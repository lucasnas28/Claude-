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280" yWindow="-120" windowWidth="29040" windowHeight="15720" tabRatio="600" firstSheet="0" activeTab="2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>
    <definedName name="_Fill" hidden="1">#REF!</definedName>
    <definedName name="aaa" hidden="1">{#N/A,#N/A,FALSE,"Aging Summary";#N/A,#N/A,FALSE,"Ratio Analysis";#N/A,#N/A,FALSE,"Test 120 Day Accts";#N/A,#N/A,FALSE,"Tickmarks"}</definedName>
    <definedName name="AAAA" hidden="1">{#N/A,#N/A,FALSE,"Aging Summary";#N/A,#N/A,FALSE,"Ratio Analysis";#N/A,#N/A,FALSE,"Test 120 Day Accts";#N/A,#N/A,FALSE,"Tickmarks"}</definedName>
    <definedName name="AS2DocOpenMode" hidden="1">"AS2DocumentEdit"</definedName>
    <definedName name="AS2NamedRange" hidden="1">15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BalType" hidden="1">TRUE</definedName>
    <definedName name="beta_observed">Valuation!$D$93</definedName>
    <definedName name="beta_observed_unlevered">#REF!</definedName>
    <definedName name="beta_unlev_comps">#REF!</definedName>
    <definedName name="BG_Del" hidden="1">15</definedName>
    <definedName name="BG_Ins" hidden="1">4</definedName>
    <definedName name="BG_Mod" hidden="1">6</definedName>
    <definedName name="cirkbreak">#REF!</definedName>
    <definedName name="costdebtfirm">#REF!</definedName>
    <definedName name="costequity">#REF!</definedName>
    <definedName name="Debt">#REF!</definedName>
    <definedName name="debt_weight">#REF!</definedName>
    <definedName name="GrpAcct1" hidden="1">"5611"</definedName>
    <definedName name="GrpAcct2" hidden="1">"5612"</definedName>
    <definedName name="GrpLevel" hidden="1">2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"c2108"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ASSA_OUTSTANDING_BS_DATE" hidden="1">"c1971"</definedName>
    <definedName name="IQ_CLASSA_OUTSTANDING_FILING_DATE" hidden="1">"c1973"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PAYMENT_DATE" hidden="1">"c2106"</definedName>
    <definedName name="IQ_DIV_RECORD_DATE" hidden="1">"c2105"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INT" hidden="1">"c373"</definedName>
    <definedName name="IQ_EBITDA_MARGIN" hidden="1">"c372"</definedName>
    <definedName name="IQ_EBITDA_OVER_TOTAL_IE" hidden="1">"c1371"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EST" hidden="1">"c399"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UM_EST" hidden="1">"c402"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EPS" hidden="1">"c1648"</definedName>
    <definedName name="IQ_EST_CURRENCY" hidden="1">"c2140"</definedName>
    <definedName name="IQ_EST_DATE" hidden="1">"c1634"</definedName>
    <definedName name="IQ_EST_EPS_DIFF" hidden="1">"c1864"</definedName>
    <definedName name="IQ_EST_EPS_GROWTH_1YR" hidden="1">"c1636"</definedName>
    <definedName name="IQ_EST_EPS_GROWTH_5YR" hidden="1">"c1655"</definedName>
    <definedName name="IQ_EST_EPS_GROWTH_5YR_HIGH" hidden="1">"c1657"</definedName>
    <definedName name="IQ_EST_EPS_GROWTH_5YR_LOW" hidden="1">"c1658"</definedName>
    <definedName name="IQ_EST_EPS_GROWTH_5YR_MEDIAN" hidden="1">"c1656"</definedName>
    <definedName name="IQ_EST_EPS_GROWTH_5YR_NUM" hidden="1">"c1659"</definedName>
    <definedName name="IQ_EST_EPS_GROWTH_5YR_STDDEV" hidden="1">"c1660"</definedName>
    <definedName name="IQ_EST_EPS_GROWTH_Q_1YR" hidden="1">"c1641"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FO" hidden="1">"c1574"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YEAR_LIFE" hidden="1">"c439"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LAND" hidden="1">"c645"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MACHINERY" hidden="1">"c711"</definedName>
    <definedName name="IQ_MAINT_REPAIR" hidden="1">"c2087"</definedName>
    <definedName name="IQ_MARKETCAP" hidden="1">"c712"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OIL_PRODUCT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ISSUED" hidden="1">"c857"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RATIO" hidden="1">"c1610"</definedName>
    <definedName name="IQ_PENSION" hidden="1">"c1031"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OWN" hidden="1">"c1153"</definedName>
    <definedName name="IQ_SECURITY_RESELL" hidden="1">"c1154"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ENSION_OBLIGATION" hidden="1">"c1292"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S" hidden="1">"c2119"</definedName>
    <definedName name="IQ_TOTAL_UNUSUAL" hidden="1">"c1508"</definedName>
    <definedName name="IQ_TRADE_AR" hidden="1">"c1345"</definedName>
    <definedName name="IQ_TRADE_PRINCIPAL" hidden="1">"c1309"</definedName>
    <definedName name="IQ_TRADING_ASSETS" hidden="1">"c1310"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USUAL_EXP" hidden="1">"c1456"</definedName>
    <definedName name="IQ_US_GAAP" hidden="1">"c1331"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"c2104"</definedName>
    <definedName name="IQ_YEARHIGH" hidden="1">"c1337"</definedName>
    <definedName name="IQ_YEARLOW" hidden="1">"c1338"</definedName>
    <definedName name="IQ_YTD" hidden="1">3000</definedName>
    <definedName name="IQ_Z_SCORE" hidden="1">"c1339"</definedName>
    <definedName name="last_close">Valuation!$G$7</definedName>
    <definedName name="Market_Equity">#REF!</definedName>
    <definedName name="midyear">#REF!</definedName>
    <definedName name="Net_Debt">#REF!</definedName>
    <definedName name="NumofGrpAccts" hidden="1">2</definedName>
    <definedName name="nvnvnvnv" hidden="1">{#N/A,#N/A,FALSE,"Aging Summary";#N/A,#N/A,FALSE,"Ratio Analysis";#N/A,#N/A,FALSE,"Test 120 Day Accts";#N/A,#N/A,FALSE,"Tickmarks"}</definedName>
    <definedName name="range">#REF!</definedName>
    <definedName name="RowLevel" hidden="1">1</definedName>
    <definedName name="Stub_year_fraction">#REF!</definedName>
    <definedName name="TBdbName" hidden="1">"88D5BF544BE111D2B8C5006097494125.mdb"</definedName>
    <definedName name="TextRefCopyRangeCount" hidden="1">68</definedName>
    <definedName name="ticker">Valuation!$D$7</definedName>
    <definedName name="Useful_Life_of_Depreciable_PP_E">"PPElife"</definedName>
    <definedName name="wrn.Aging._.and._.Trend._.Analysis." hidden="1">{#N/A,#N/A,FALSE,"Aging Summary";#N/A,#N/A,FALSE,"Ratio Analysis";#N/A,#N/A,FALSE,"Test 120 Day Accts";#N/A,#N/A,FALSE,"Tickmarks"}</definedName>
    <definedName name="wrn.EXPENSES._.98._.US.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>{#N/A,#N/A,FALSE,"Graficos    ( 9 )"}</definedName>
    <definedName name="wrn.WORK._.PAPER.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_COLUMN_1" hidden="1">#REF!</definedName>
    <definedName name="XREF_COLUMN_10" hidden="1">#REF!</definedName>
    <definedName name="XREF_COLUMN_11" hidden="1">#REF!</definedName>
    <definedName name="XREF_COLUMN_14" hidden="1">#REF!</definedName>
    <definedName name="XREF_COLUMN_15" hidden="1">#REF!</definedName>
    <definedName name="XREF_COLUMN_16" hidden="1">#REF!</definedName>
    <definedName name="XREF_COLUMN_17" hidden="1">#REF!</definedName>
    <definedName name="XREF_COLUMN_19" hidden="1">#REF!</definedName>
    <definedName name="XREF_COLUMN_2" hidden="1">#REF!</definedName>
    <definedName name="XREF_COLUMN_20" hidden="1">#REF!</definedName>
    <definedName name="XREF_COLUMN_21" hidden="1">#REF!</definedName>
    <definedName name="XREF_COLUMN_3" hidden="1">#REF!</definedName>
    <definedName name="XREF_COLUMN_4" hidden="1">#REF!</definedName>
    <definedName name="XREF_COLUMN_5" hidden="1">#REF!</definedName>
    <definedName name="XREF_COLUMN_6" hidden="1">#REF!</definedName>
    <definedName name="XREF_COLUMN_7" hidden="1">#REF!</definedName>
    <definedName name="XREF_COLUMN_8" hidden="1">#REF!</definedName>
    <definedName name="XREF_COLUMN_9" hidden="1">#REF!</definedName>
    <definedName name="XRefColumnsCount" hidden="1">2</definedName>
    <definedName name="XRefCopy1" hidden="1">#REF!</definedName>
    <definedName name="XRefCopy10" hidden="1">#REF!</definedName>
    <definedName name="XRefCopy10Row" hidden="1">#REF!</definedName>
    <definedName name="XRefCopy12" hidden="1">#REF!</definedName>
    <definedName name="XRefCopy12Row" hidden="1">#REF!</definedName>
    <definedName name="XRefCopy13" hidden="1">#REF!</definedName>
    <definedName name="XRefCopy13Row" hidden="1">#REF!</definedName>
    <definedName name="XRefCopy15" hidden="1">#REF!</definedName>
    <definedName name="XRefCopy15Row" hidden="1">#REF!</definedName>
    <definedName name="XRefCopy16Row" hidden="1">#REF!</definedName>
    <definedName name="XRefCopy17" hidden="1">#REF!</definedName>
    <definedName name="XRefCopy17Row" hidden="1">#REF!</definedName>
    <definedName name="XRefCopy18" hidden="1">#REF!</definedName>
    <definedName name="XRefCopy18Row" hidden="1">#REF!</definedName>
    <definedName name="XRefCopy19" hidden="1">#REF!</definedName>
    <definedName name="XRefCopy19Row" hidden="1">#REF!</definedName>
    <definedName name="XRefCopy2" hidden="1">#REF!</definedName>
    <definedName name="XRefCopy20" hidden="1">#REF!</definedName>
    <definedName name="XRefCopy20Row" hidden="1">#REF!</definedName>
    <definedName name="XRefCopy21" hidden="1">#REF!</definedName>
    <definedName name="XRefCopy21Row" hidden="1">#REF!</definedName>
    <definedName name="XRefCopy28" hidden="1">#REF!</definedName>
    <definedName name="XRefCopy28Row" hidden="1">#REF!</definedName>
    <definedName name="XRefCopy29" hidden="1">#REF!</definedName>
    <definedName name="XRefCopy29Row" hidden="1">#REF!</definedName>
    <definedName name="XRefCopy3" hidden="1">#REF!</definedName>
    <definedName name="XRefCopy30Row" hidden="1">#REF!</definedName>
    <definedName name="XRefCopy31" hidden="1">#REF!</definedName>
    <definedName name="XRefCopy31Row" hidden="1">#REF!</definedName>
    <definedName name="XRefCopy33Row" hidden="1">#REF!</definedName>
    <definedName name="XRefCopy39" hidden="1">#REF!</definedName>
    <definedName name="XRefCopy4" hidden="1">#REF!</definedName>
    <definedName name="XRefCopy40Row" hidden="1">#REF!</definedName>
    <definedName name="XRefCopy43Row" hidden="1">#REF!</definedName>
    <definedName name="XRefCopy44Row" hidden="1">#REF!</definedName>
    <definedName name="XRefCopy49Row" hidden="1">#REF!</definedName>
    <definedName name="XRefCopy4Row" hidden="1">#REF!</definedName>
    <definedName name="XRefCopy5" hidden="1">#REF!</definedName>
    <definedName name="XRefCopy50Row" hidden="1">#REF!</definedName>
    <definedName name="XRefCopy51Row" hidden="1">#REF!</definedName>
    <definedName name="XRefCopy52Row" hidden="1">#REF!</definedName>
    <definedName name="XRefCopy53Row" hidden="1">#REF!</definedName>
    <definedName name="XRefCopy55Row" hidden="1">#REF!</definedName>
    <definedName name="XRefCopy56" hidden="1">#REF!</definedName>
    <definedName name="XRefCopy56Row" hidden="1">#REF!</definedName>
    <definedName name="XRefCopy5Row" hidden="1">#REF!</definedName>
    <definedName name="XRefCopy6" hidden="1">#REF!</definedName>
    <definedName name="XRefCopy61" hidden="1">#REF!</definedName>
    <definedName name="XRefCopy61Row" hidden="1">#REF!</definedName>
    <definedName name="XRefCopy63Row" hidden="1">#REF!</definedName>
    <definedName name="XRefCopy64Row" hidden="1">#REF!</definedName>
    <definedName name="XRefCopy65Row" hidden="1">#REF!</definedName>
    <definedName name="XRefCopy66" hidden="1">#REF!</definedName>
    <definedName name="XRefCopy66Row" hidden="1">#REF!</definedName>
    <definedName name="XRefCopy67Row" hidden="1">#REF!</definedName>
    <definedName name="XRefCopy68Row" hidden="1">#REF!</definedName>
    <definedName name="XRefCopy69Row" hidden="1">#REF!</definedName>
    <definedName name="XRefCopy6Row" hidden="1">#REF!</definedName>
    <definedName name="XRefCopy7" hidden="1">#REF!</definedName>
    <definedName name="XRefCopy70Row" hidden="1">#REF!</definedName>
    <definedName name="XRefCopy71Row" hidden="1">#REF!</definedName>
    <definedName name="XRefCopy72Row" hidden="1">#REF!</definedName>
    <definedName name="XRefCopy73Row" hidden="1">#REF!</definedName>
    <definedName name="XRefCopy74Row" hidden="1">#REF!</definedName>
    <definedName name="XRefCopy75Row" hidden="1">#REF!</definedName>
    <definedName name="XRefCopy76Row" hidden="1">#REF!</definedName>
    <definedName name="XRefCopy77Row" hidden="1">#REF!</definedName>
    <definedName name="XRefCopy78Row" hidden="1">#REF!</definedName>
    <definedName name="XRefCopy7Row" hidden="1">#REF!</definedName>
    <definedName name="XRefCopy8" hidden="1">#REF!</definedName>
    <definedName name="XRefCopy80Row" hidden="1">#REF!</definedName>
    <definedName name="XRefCopy81" hidden="1">#REF!</definedName>
    <definedName name="XRefCopy81Row" hidden="1">#REF!</definedName>
    <definedName name="XRefCopy82Row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5</definedName>
    <definedName name="XRefPaste1" hidden="1">#REF!</definedName>
    <definedName name="XRefPaste10" hidden="1">#REF!</definedName>
    <definedName name="XRefPaste101" hidden="1">#REF!</definedName>
    <definedName name="XRefPaste101Row" hidden="1">#REF!</definedName>
    <definedName name="XRefPaste102" hidden="1">#REF!</definedName>
    <definedName name="XRefPaste102Row" hidden="1">#REF!</definedName>
    <definedName name="XRefPaste103" hidden="1">#REF!</definedName>
    <definedName name="XRefPaste103Row" hidden="1">#REF!</definedName>
    <definedName name="XRefPaste104Row" hidden="1">#REF!</definedName>
    <definedName name="XRefPaste105Row" hidden="1">#REF!</definedName>
    <definedName name="XRefPaste106" hidden="1">#REF!</definedName>
    <definedName name="XRefPaste106Row" hidden="1">#REF!</definedName>
    <definedName name="XRefPaste107Row" hidden="1">#REF!</definedName>
    <definedName name="XRefPaste108Row" hidden="1">#REF!</definedName>
    <definedName name="XRefPaste11" hidden="1">#REF!</definedName>
    <definedName name="XRefPaste111Row" hidden="1">#REF!</definedName>
    <definedName name="XRefPaste112Row" hidden="1">#REF!</definedName>
    <definedName name="XRefPaste117" hidden="1">#REF!</definedName>
    <definedName name="XRefPaste117Row" hidden="1">#REF!</definedName>
    <definedName name="XRefPaste118" hidden="1">#REF!</definedName>
    <definedName name="XRefPaste118Row" hidden="1">#REF!</definedName>
    <definedName name="XRefPaste119" hidden="1">#REF!</definedName>
    <definedName name="XRefPaste119Row" hidden="1">#REF!</definedName>
    <definedName name="XRefPaste12" hidden="1">#REF!</definedName>
    <definedName name="XRefPaste120" hidden="1">#REF!</definedName>
    <definedName name="XRefPaste120Row" hidden="1">#REF!</definedName>
    <definedName name="XRefPaste121Row" hidden="1">#REF!</definedName>
    <definedName name="XRefPaste122Row" hidden="1">#REF!</definedName>
    <definedName name="XRefPaste123Row" hidden="1">#REF!</definedName>
    <definedName name="XRefPaste124Row" hidden="1">#REF!</definedName>
    <definedName name="XRefPaste126Row" hidden="1">#REF!</definedName>
    <definedName name="XRefPaste127Row" hidden="1">#REF!</definedName>
    <definedName name="XRefPaste128Row" hidden="1">#REF!</definedName>
    <definedName name="XRefPaste129Row" hidden="1">#REF!</definedName>
    <definedName name="XRefPaste13" hidden="1">#REF!</definedName>
    <definedName name="XRefPaste130Row" hidden="1">#REF!</definedName>
    <definedName name="XRefPaste131Row" hidden="1">#REF!</definedName>
    <definedName name="XRefPaste132Row" hidden="1">#REF!</definedName>
    <definedName name="XRefPaste133Row" hidden="1">#REF!</definedName>
    <definedName name="XRefPaste134Row" hidden="1">#REF!</definedName>
    <definedName name="XRefPaste135Row" hidden="1">#REF!</definedName>
    <definedName name="XRefPaste136Row" hidden="1">#REF!</definedName>
    <definedName name="XRefPaste137Row" hidden="1">#REF!</definedName>
    <definedName name="XRefPaste138Row" hidden="1">#REF!</definedName>
    <definedName name="XRefPaste139" hidden="1">#REF!</definedName>
    <definedName name="XRefPaste139Row" hidden="1">#REF!</definedName>
    <definedName name="XRefPaste14" hidden="1">#REF!</definedName>
    <definedName name="XRefPaste15" hidden="1">#REF!</definedName>
    <definedName name="XRefPaste15Row" hidden="1">#REF!</definedName>
    <definedName name="XRefPaste16" hidden="1">#REF!</definedName>
    <definedName name="XRefPaste16Row" hidden="1">#REF!</definedName>
    <definedName name="XRefPaste17Row" hidden="1">#REF!</definedName>
    <definedName name="XRefPaste18" hidden="1">#REF!</definedName>
    <definedName name="XRefPaste18Row" hidden="1">#REF!</definedName>
    <definedName name="XRefPaste19" hidden="1">#REF!</definedName>
    <definedName name="XRefPaste19Row" hidden="1">#REF!</definedName>
    <definedName name="XRefPaste1Row" hidden="1">#REF!</definedName>
    <definedName name="XRefPaste2" hidden="1">#REF!</definedName>
    <definedName name="XRefPaste26" hidden="1">#REF!</definedName>
    <definedName name="XRefPaste26Row" hidden="1">#REF!</definedName>
    <definedName name="XRefPaste27Row" hidden="1">#REF!</definedName>
    <definedName name="XRefPaste28" hidden="1">#REF!</definedName>
    <definedName name="XRefPaste28Row" hidden="1">#REF!</definedName>
    <definedName name="XRefPaste29" hidden="1">#REF!</definedName>
    <definedName name="XRefPaste29Row" hidden="1">#REF!</definedName>
    <definedName name="XRefPaste2Row" hidden="1">#REF!</definedName>
    <definedName name="XRefPaste3" hidden="1">#REF!</definedName>
    <definedName name="XRefPaste31" hidden="1">#REF!</definedName>
    <definedName name="XRefPaste31Row" hidden="1">#REF!</definedName>
    <definedName name="XRefPaste32" hidden="1">#REF!</definedName>
    <definedName name="XRefPaste32Row" hidden="1">#REF!</definedName>
    <definedName name="XRefPaste35" hidden="1">#REF!</definedName>
    <definedName name="XRefPaste35Row" hidden="1">#REF!</definedName>
    <definedName name="XRefPaste37" hidden="1">#REF!</definedName>
    <definedName name="XRefPaste37Row" hidden="1">#REF!</definedName>
    <definedName name="XRefPaste38" hidden="1">#REF!</definedName>
    <definedName name="XRefPaste38Row" hidden="1">#REF!</definedName>
    <definedName name="XRefPaste39" hidden="1">#REF!</definedName>
    <definedName name="XRefPaste39Row" hidden="1">#REF!</definedName>
    <definedName name="XRefPaste3Row" hidden="1">#REF!</definedName>
    <definedName name="XRefPaste4" hidden="1">#REF!</definedName>
    <definedName name="XRefPaste44" hidden="1">#REF!</definedName>
    <definedName name="XRefPaste44Row" hidden="1">#REF!</definedName>
    <definedName name="XRefPaste45" hidden="1">#REF!</definedName>
    <definedName name="XRefPaste45Row" hidden="1">#REF!</definedName>
    <definedName name="XRefPaste4Row" hidden="1">#REF!</definedName>
    <definedName name="XRefPaste5" hidden="1">#REF!</definedName>
    <definedName name="XRefPaste56Row" hidden="1">#REF!</definedName>
    <definedName name="XRefPaste57Row" hidden="1">#REF!</definedName>
    <definedName name="XRefPaste59Row" hidden="1">#REF!</definedName>
    <definedName name="XRefPaste5Row" hidden="1">#REF!</definedName>
    <definedName name="XRefPaste6" hidden="1">#REF!</definedName>
    <definedName name="XRefPaste62Row" hidden="1">#REF!</definedName>
    <definedName name="XRefPaste63Row" hidden="1">#REF!</definedName>
    <definedName name="XRefPaste64Row" hidden="1">#REF!</definedName>
    <definedName name="XRefPaste65Row" hidden="1">#REF!</definedName>
    <definedName name="XRefPaste67Row" hidden="1">#REF!</definedName>
    <definedName name="XRefPaste68Row" hidden="1">#REF!</definedName>
    <definedName name="XRefPaste69Row" hidden="1">#REF!</definedName>
    <definedName name="XRefPaste6Row" hidden="1">#REF!</definedName>
    <definedName name="XRefPaste7" hidden="1">#REF!</definedName>
    <definedName name="XRefPaste70Row" hidden="1">#REF!</definedName>
    <definedName name="XRefPaste71Row" hidden="1">#REF!</definedName>
    <definedName name="XRefPaste75Row" hidden="1">#REF!</definedName>
    <definedName name="XRefPaste7Row" hidden="1">#REF!</definedName>
    <definedName name="XRefPaste8" hidden="1">#REF!</definedName>
    <definedName name="XRefPaste9" hidden="1">#REF!</definedName>
    <definedName name="XRefPaste99Row" hidden="1">#REF!</definedName>
    <definedName name="XRefPasteRangeCount" hidden="1">35</definedName>
    <definedName name="beta_observed" localSheetId="1">#REF!</definedName>
    <definedName name="ticker" localSheetId="1">#REF!</definedName>
    <definedName name="costdebtfirm" localSheetId="3">Valuation!$D$86</definedName>
    <definedName name="costequity" localSheetId="3">Valuation!$D$94</definedName>
    <definedName name="debt" localSheetId="3">Valuation!$G$88</definedName>
    <definedName name="debt_weight" localSheetId="3">Valuation!$J$88</definedName>
    <definedName name="g" localSheetId="3">Valuation!$D$63</definedName>
    <definedName name="market_equity" localSheetId="3">Valuation!$G$89</definedName>
    <definedName name="noplat_t1" localSheetId="3">Valuation!$D$65</definedName>
    <definedName name="relevered_beta" localSheetId="3">Valuation!$M$102</definedName>
    <definedName name="risk_free_rate" localSheetId="3">Valuation!$D$91</definedName>
    <definedName name="risk_premium" localSheetId="3">Valuation!$D$92</definedName>
    <definedName name="ronic" localSheetId="3">Valuation!$D$64</definedName>
    <definedName name="stub_year_fraction" localSheetId="3">Valuation!$D$11</definedName>
    <definedName name="totalcap" localSheetId="3">Valuation!$G$90</definedName>
    <definedName name="wacc" localSheetId="3">Valuation!$D$12</definedName>
    <definedName name="scenario" localSheetId="3">Valuation!$E$8</definedName>
  </definedNames>
  <calcPr calcId="191029" fullCalcOnLoad="1"/>
</workbook>
</file>

<file path=xl/styles.xml><?xml version="1.0" encoding="utf-8"?>
<styleSheet xmlns="http://schemas.openxmlformats.org/spreadsheetml/2006/main">
  <numFmts count="27">
    <numFmt numFmtId="164" formatCode="#,##0.0_);[Red]\(#,##0.0\)"/>
    <numFmt numFmtId="165" formatCode="[$-409]d\-mmm;@"/>
    <numFmt numFmtId="166" formatCode="[$-416]d\-mmm"/>
    <numFmt numFmtId="167" formatCode="[$-409]d\-mmm"/>
    <numFmt numFmtId="168" formatCode="#,##0_ ;[Red]\-#,##0\ "/>
    <numFmt numFmtId="169" formatCode="#,##0.0_ ;[Red]\-#,##0.0\ "/>
    <numFmt numFmtId="170" formatCode="0.0%"/>
    <numFmt numFmtId="171" formatCode="#,##0.0;[Red]#,##0.0"/>
    <numFmt numFmtId="172" formatCode="[$-409]d\-mmm\-yy;@"/>
    <numFmt numFmtId="173" formatCode="[$BRL]\ #,##0.00_);[Red]\([$BRL]\ #,##0.00\)"/>
    <numFmt numFmtId="174" formatCode="#,##0.0_);\(#,##0.0\)"/>
    <numFmt numFmtId="175" formatCode="#,##0.000_);\(#,##0.000\)"/>
    <numFmt numFmtId="176" formatCode="&quot;R$&quot;\ #,##0.00"/>
    <numFmt numFmtId="177" formatCode="#,##0.0\x"/>
    <numFmt numFmtId="178" formatCode="&quot;$&quot;#,##0.00_);\(&quot;$&quot;#,##0.00\)"/>
    <numFmt numFmtId="179" formatCode="#,##0.000_);[Red]\(#,##0.000\)"/>
    <numFmt numFmtId="180" formatCode="0.0\x"/>
    <numFmt numFmtId="181" formatCode="&quot;$&quot;#,##0.00_);[Red]\(&quot;$&quot;#,##0.00\)"/>
    <numFmt numFmtId="182" formatCode="&quot;$&quot;#,##0.0_);\(&quot;$&quot;#,##0.0\)"/>
    <numFmt numFmtId="183" formatCode="0.0%;\(0.0%\)"/>
    <numFmt numFmtId="184" formatCode="0.000"/>
    <numFmt numFmtId="185" formatCode="0.0"/>
    <numFmt numFmtId="186" formatCode="#,##0.0;(#,##0.0)"/>
    <numFmt numFmtId="187" formatCode="#,##0;(#,##0)"/>
    <numFmt numFmtId="188" formatCode="_(&quot;$&quot;* #,##0.00_);_(&quot;$&quot;* \(#,##0.00\);_(&quot;$&quot;* &quot;-&quot;??_);_(@_)"/>
    <numFmt numFmtId="189" formatCode="0_);\(0\)"/>
    <numFmt numFmtId="190" formatCode="#,##0.0"/>
  </numFmts>
  <fonts count="27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Verdana"/>
      <family val="2"/>
      <color theme="1"/>
      <sz val="10"/>
    </font>
    <font>
      <name val="Arial"/>
      <family val="2"/>
      <sz val="10"/>
    </font>
    <font>
      <name val="Verdana"/>
      <family val="2"/>
      <b val="1"/>
      <color theme="1"/>
      <sz val="10"/>
    </font>
    <font>
      <name val="Verdana"/>
      <family val="2"/>
      <color rgb="FF0000FF"/>
      <sz val="10"/>
    </font>
    <font>
      <name val="Verdana"/>
      <family val="2"/>
      <b val="1"/>
      <color rgb="FFFFFFFF"/>
      <sz val="10"/>
    </font>
    <font>
      <name val="Calibri"/>
      <family val="2"/>
      <color indexed="8"/>
      <sz val="11"/>
    </font>
    <font>
      <name val="Verdana"/>
      <family val="2"/>
      <sz val="10"/>
    </font>
    <font>
      <name val="Verdana"/>
      <family val="2"/>
      <b val="1"/>
      <color theme="0"/>
      <sz val="10"/>
    </font>
    <font>
      <name val="Verdana"/>
      <family val="2"/>
      <color theme="0"/>
      <sz val="10"/>
    </font>
    <font>
      <name val="Verdana"/>
      <family val="2"/>
      <b val="1"/>
      <color indexed="9"/>
      <sz val="10"/>
    </font>
    <font>
      <name val="Arial"/>
      <family val="2"/>
      <b val="1"/>
      <sz val="8"/>
    </font>
    <font>
      <name val="Verdana"/>
      <family val="2"/>
      <color indexed="12"/>
      <sz val="10"/>
    </font>
    <font>
      <name val="Verdana"/>
      <family val="2"/>
      <b val="1"/>
      <sz val="10"/>
    </font>
    <font>
      <name val="Verdana"/>
      <family val="2"/>
      <b val="1"/>
      <color theme="0" tint="-0.0499893185216834"/>
      <sz val="10"/>
    </font>
    <font>
      <name val="Arial"/>
      <family val="2"/>
      <b val="1"/>
      <color indexed="63"/>
      <sz val="10"/>
    </font>
    <font>
      <name val="Verdana"/>
      <family val="2"/>
      <b val="1"/>
      <color indexed="63"/>
      <sz val="10"/>
    </font>
    <font>
      <name val="Verdana"/>
      <family val="2"/>
      <b val="1"/>
      <color indexed="12"/>
      <sz val="10"/>
    </font>
    <font>
      <name val="Verdana"/>
      <family val="2"/>
      <sz val="10"/>
      <u val="single"/>
    </font>
    <font>
      <name val="Verdana"/>
      <family val="2"/>
      <color indexed="17"/>
      <sz val="10"/>
    </font>
    <font>
      <name val="Arial"/>
      <family val="2"/>
      <sz val="8"/>
    </font>
    <font>
      <name val="Verdana"/>
      <family val="2"/>
      <i val="1"/>
      <color theme="1"/>
      <sz val="10"/>
    </font>
    <font>
      <color rgb="FF808080"/>
    </font>
    <font>
      <b val="1"/>
    </font>
    <font>
      <name val="Verdana"/>
      <color rgb="FF808080"/>
      <sz val="10"/>
    </font>
    <font>
      <name val="Verdana"/>
      <b val="1"/>
      <sz val="10"/>
    </font>
  </fonts>
  <fills count="17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FFFFCC"/>
        <bgColor rgb="FFFFFFCC"/>
      </patternFill>
    </fill>
    <fill>
      <patternFill patternType="solid">
        <fgColor rgb="FFD8D8D8"/>
        <bgColor rgb="FFD8D8D8"/>
      </patternFill>
    </fill>
    <fill>
      <patternFill patternType="solid">
        <fgColor rgb="FF00B050"/>
        <bgColor rgb="FF00B050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9D9D9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indexed="22"/>
      </patternFill>
    </fill>
    <fill>
      <patternFill patternType="solid">
        <fgColor rgb="FFFFF2CC"/>
      </patternFill>
    </fill>
  </fills>
  <borders count="31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hair">
        <color rgb="FF0000FF"/>
      </left>
      <right style="hair">
        <color rgb="FF0000FF"/>
      </right>
      <top style="thin">
        <color auto="1"/>
      </top>
      <bottom style="hair">
        <color rgb="FF0000FF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indexed="13"/>
      </right>
      <top/>
      <bottom style="thin">
        <color indexed="13"/>
      </bottom>
      <diagonal/>
    </border>
    <border>
      <left style="thin">
        <color indexed="13"/>
      </left>
      <right/>
      <top/>
      <bottom style="thin">
        <color indexed="13"/>
      </bottom>
      <diagonal/>
    </border>
    <border>
      <left/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 style="thin">
        <color indexed="13"/>
      </top>
      <bottom style="thin">
        <color indexed="13"/>
      </bottom>
      <diagonal/>
    </border>
    <border>
      <left/>
      <right style="thin">
        <color indexed="13"/>
      </right>
      <top/>
      <bottom style="thin">
        <color indexed="64"/>
      </bottom>
      <diagonal/>
    </border>
    <border>
      <left style="thin">
        <color indexed="13"/>
      </left>
      <right/>
      <top/>
      <bottom style="thin">
        <color indexed="64"/>
      </bottom>
      <diagonal/>
    </border>
    <border>
      <left style="medium">
        <color rgb="FF00B050"/>
      </left>
      <right style="thin">
        <color indexed="64"/>
      </right>
      <top style="medium">
        <color rgb="FF00B050"/>
      </top>
      <bottom style="medium">
        <color rgb="FF00B050"/>
      </bottom>
      <diagonal/>
    </border>
    <border>
      <left/>
      <right style="thin">
        <color indexed="64"/>
      </right>
      <top style="thin">
        <color indexed="13"/>
      </top>
      <bottom style="thin">
        <color indexed="13"/>
      </bottom>
      <diagonal/>
    </border>
    <border>
      <left/>
      <right style="thin">
        <color indexed="64"/>
      </right>
      <top style="thin">
        <color indexed="1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1" fillId="0" borderId="0"/>
    <xf numFmtId="0" fontId="3" fillId="0" borderId="0"/>
    <xf numFmtId="0" fontId="1" fillId="0" borderId="0"/>
    <xf numFmtId="9" fontId="1" fillId="0" borderId="0"/>
    <xf numFmtId="43" fontId="7" fillId="0" borderId="0"/>
    <xf numFmtId="0" fontId="3" fillId="0" borderId="0"/>
    <xf numFmtId="14" fontId="12" fillId="0" borderId="3"/>
    <xf numFmtId="0" fontId="2" fillId="0" borderId="0"/>
    <xf numFmtId="9" fontId="2" fillId="0" borderId="0"/>
    <xf numFmtId="0" fontId="16" fillId="15" borderId="16"/>
    <xf numFmtId="188" fontId="3" fillId="0" borderId="0"/>
    <xf numFmtId="189" fontId="21" fillId="0" borderId="0"/>
  </cellStyleXfs>
  <cellXfs count="270">
    <xf numFmtId="0" fontId="0" fillId="0" borderId="0" pivotButton="0" quotePrefix="0" xfId="0"/>
    <xf numFmtId="0" fontId="2" fillId="0" borderId="0" applyAlignment="1" pivotButton="0" quotePrefix="0" xfId="0">
      <alignment horizontal="center"/>
    </xf>
    <xf numFmtId="0" fontId="4" fillId="0" borderId="0" pivotButton="0" quotePrefix="0" xfId="1"/>
    <xf numFmtId="164" fontId="2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pivotButton="0" quotePrefix="0" xfId="1"/>
    <xf numFmtId="164" fontId="5" fillId="2" borderId="0" applyAlignment="1" pivotButton="0" quotePrefix="0" xfId="0">
      <alignment horizontal="center"/>
    </xf>
    <xf numFmtId="165" fontId="5" fillId="2" borderId="0" applyAlignment="1" pivotButton="0" quotePrefix="0" xfId="0">
      <alignment horizontal="center"/>
    </xf>
    <xf numFmtId="166" fontId="4" fillId="3" borderId="0" applyAlignment="1" pivotButton="0" quotePrefix="0" xfId="2">
      <alignment horizontal="center"/>
    </xf>
    <xf numFmtId="167" fontId="5" fillId="4" borderId="0" applyAlignment="1" pivotButton="0" quotePrefix="0" xfId="2">
      <alignment horizontal="center"/>
    </xf>
    <xf numFmtId="166" fontId="2" fillId="3" borderId="0" applyAlignment="1" pivotButton="0" quotePrefix="0" xfId="2">
      <alignment horizontal="center"/>
    </xf>
    <xf numFmtId="168" fontId="2" fillId="0" borderId="0" applyAlignment="1" pivotButton="0" quotePrefix="0" xfId="2">
      <alignment horizontal="center"/>
    </xf>
    <xf numFmtId="0" fontId="6" fillId="6" borderId="0" applyAlignment="1" pivotButton="0" quotePrefix="0" xfId="1">
      <alignment horizontal="left"/>
    </xf>
    <xf numFmtId="0" fontId="4" fillId="0" borderId="0" applyAlignment="1" pivotButton="0" quotePrefix="0" xfId="0">
      <alignment horizontal="center"/>
    </xf>
    <xf numFmtId="0" fontId="4" fillId="3" borderId="0" pivotButton="0" quotePrefix="0" xfId="1"/>
    <xf numFmtId="164" fontId="4" fillId="7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8" borderId="0" applyAlignment="1" pivotButton="0" quotePrefix="0" xfId="0">
      <alignment horizontal="center"/>
    </xf>
    <xf numFmtId="0" fontId="2" fillId="8" borderId="0" applyAlignment="1" pivotButton="0" quotePrefix="0" xfId="0">
      <alignment horizontal="center"/>
    </xf>
    <xf numFmtId="0" fontId="4" fillId="9" borderId="0" pivotButton="0" quotePrefix="0" xfId="1"/>
    <xf numFmtId="164" fontId="4" fillId="8" borderId="0" applyAlignment="1" pivotButton="0" quotePrefix="0" xfId="0">
      <alignment horizontal="center"/>
    </xf>
    <xf numFmtId="164" fontId="2" fillId="8" borderId="0" applyAlignment="1" pivotButton="0" quotePrefix="0" xfId="0">
      <alignment horizontal="center"/>
    </xf>
    <xf numFmtId="0" fontId="4" fillId="8" borderId="0" pivotButton="0" quotePrefix="0" xfId="0"/>
    <xf numFmtId="169" fontId="2" fillId="3" borderId="0" applyAlignment="1" pivotButton="0" quotePrefix="0" xfId="1">
      <alignment horizontal="left"/>
    </xf>
    <xf numFmtId="164" fontId="2" fillId="7" borderId="0" applyAlignment="1" pivotButton="0" quotePrefix="0" xfId="0">
      <alignment horizontal="center"/>
    </xf>
    <xf numFmtId="0" fontId="2" fillId="3" borderId="0" applyAlignment="1" pivotButton="0" quotePrefix="0" xfId="1">
      <alignment horizontal="left"/>
    </xf>
    <xf numFmtId="0" fontId="4" fillId="3" borderId="0" applyAlignment="1" pivotButton="0" quotePrefix="0" xfId="1">
      <alignment horizontal="left"/>
    </xf>
    <xf numFmtId="0" fontId="2" fillId="3" borderId="1" applyAlignment="1" pivotButton="0" quotePrefix="0" xfId="1">
      <alignment horizontal="left"/>
    </xf>
    <xf numFmtId="0" fontId="2" fillId="3" borderId="0" pivotButton="0" quotePrefix="0" xfId="1"/>
    <xf numFmtId="0" fontId="2" fillId="3" borderId="1" pivotButton="0" quotePrefix="0" xfId="1"/>
    <xf numFmtId="0" fontId="4" fillId="5" borderId="0" applyAlignment="1" pivotButton="0" quotePrefix="0" xfId="2">
      <alignment horizontal="center"/>
    </xf>
    <xf numFmtId="169" fontId="2" fillId="0" borderId="0" applyAlignment="1" pivotButton="0" quotePrefix="0" xfId="1">
      <alignment horizontal="left"/>
    </xf>
    <xf numFmtId="170" fontId="2" fillId="9" borderId="0" pivotButton="0" quotePrefix="0" xfId="1"/>
    <xf numFmtId="0" fontId="2" fillId="0" borderId="0" applyAlignment="1" pivotButton="0" quotePrefix="0" xfId="1">
      <alignment horizontal="left"/>
    </xf>
    <xf numFmtId="168" fontId="5" fillId="4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/>
    </xf>
    <xf numFmtId="0" fontId="2" fillId="9" borderId="0" applyAlignment="1" pivotButton="0" quotePrefix="0" xfId="1">
      <alignment horizontal="left"/>
    </xf>
    <xf numFmtId="0" fontId="2" fillId="8" borderId="0" pivotButton="0" quotePrefix="0" xfId="0"/>
    <xf numFmtId="170" fontId="2" fillId="0" borderId="0" applyAlignment="1" pivotButton="0" quotePrefix="0" xfId="0">
      <alignment horizontal="center"/>
    </xf>
    <xf numFmtId="169" fontId="2" fillId="9" borderId="0" applyAlignment="1" pivotButton="0" quotePrefix="0" xfId="1">
      <alignment horizontal="left"/>
    </xf>
    <xf numFmtId="40" fontId="2" fillId="0" borderId="0" applyAlignment="1" pivotButton="0" quotePrefix="0" xfId="0">
      <alignment horizontal="center"/>
    </xf>
    <xf numFmtId="38" fontId="2" fillId="0" borderId="0" applyAlignment="1" pivotButton="0" quotePrefix="0" xfId="0">
      <alignment horizontal="center"/>
    </xf>
    <xf numFmtId="10" fontId="5" fillId="4" borderId="0" applyAlignment="1" pivotButton="0" quotePrefix="0" xfId="0">
      <alignment horizontal="center"/>
    </xf>
    <xf numFmtId="170" fontId="5" fillId="4" borderId="0" applyAlignment="1" pivotButton="0" quotePrefix="0" xfId="0">
      <alignment horizontal="center"/>
    </xf>
    <xf numFmtId="38" fontId="5" fillId="2" borderId="0" applyAlignment="1" pivotButton="0" quotePrefix="0" xfId="0">
      <alignment horizontal="center"/>
    </xf>
    <xf numFmtId="9" fontId="2" fillId="8" borderId="0" applyAlignment="1" pivotButton="0" quotePrefix="0" xfId="3">
      <alignment horizontal="center"/>
    </xf>
    <xf numFmtId="9" fontId="2" fillId="0" borderId="0" applyAlignment="1" pivotButton="0" quotePrefix="0" xfId="3">
      <alignment horizontal="center"/>
    </xf>
    <xf numFmtId="165" fontId="5" fillId="0" borderId="0" applyAlignment="1" pivotButton="0" quotePrefix="0" xfId="0">
      <alignment horizontal="center"/>
    </xf>
    <xf numFmtId="0" fontId="2" fillId="0" borderId="0" applyAlignment="1" pivotButton="0" quotePrefix="0" xfId="2">
      <alignment horizontal="center"/>
    </xf>
    <xf numFmtId="171" fontId="2" fillId="0" borderId="0" pivotButton="0" quotePrefix="0" xfId="0"/>
    <xf numFmtId="0" fontId="8" fillId="9" borderId="0" applyAlignment="1" pivotButton="0" quotePrefix="0" xfId="1">
      <alignment horizontal="left"/>
    </xf>
    <xf numFmtId="0" fontId="9" fillId="10" borderId="0" pivotButton="0" quotePrefix="0" xfId="0"/>
    <xf numFmtId="170" fontId="2" fillId="8" borderId="0" applyAlignment="1" pivotButton="0" quotePrefix="0" xfId="3">
      <alignment horizontal="center"/>
    </xf>
    <xf numFmtId="170" fontId="5" fillId="4" borderId="0" applyAlignment="1" pivotButton="0" quotePrefix="0" xfId="3">
      <alignment horizontal="center"/>
    </xf>
    <xf numFmtId="170" fontId="2" fillId="0" borderId="0" applyAlignment="1" pivotButton="0" quotePrefix="0" xfId="3">
      <alignment horizontal="center"/>
    </xf>
    <xf numFmtId="170" fontId="2" fillId="9" borderId="0" applyAlignment="1" pivotButton="0" quotePrefix="0" xfId="1">
      <alignment horizontal="left"/>
    </xf>
    <xf numFmtId="0" fontId="11" fillId="0" borderId="0" pivotButton="0" quotePrefix="0" xfId="5"/>
    <xf numFmtId="0" fontId="8" fillId="0" borderId="0" pivotButton="0" quotePrefix="0" xfId="5"/>
    <xf numFmtId="0" fontId="8" fillId="0" borderId="2" pivotButton="0" quotePrefix="0" xfId="5"/>
    <xf numFmtId="172" fontId="13" fillId="2" borderId="4" applyAlignment="1" pivotButton="0" quotePrefix="0" xfId="6">
      <alignment horizontal="center"/>
    </xf>
    <xf numFmtId="173" fontId="5" fillId="2" borderId="0" applyAlignment="1" pivotButton="0" quotePrefix="0" xfId="5">
      <alignment horizontal="center"/>
    </xf>
    <xf numFmtId="170" fontId="8" fillId="0" borderId="0" applyAlignment="1" pivotButton="0" quotePrefix="0" xfId="5">
      <alignment horizontal="right"/>
    </xf>
    <xf numFmtId="172" fontId="13" fillId="2" borderId="4" applyAlignment="1" pivotButton="0" quotePrefix="0" xfId="6">
      <alignment horizontal="right"/>
    </xf>
    <xf numFmtId="170" fontId="8" fillId="0" borderId="0" applyAlignment="1" pivotButton="0" quotePrefix="0" xfId="5">
      <alignment horizontal="center"/>
    </xf>
    <xf numFmtId="174" fontId="13" fillId="0" borderId="0" applyAlignment="1" pivotButton="0" quotePrefix="0" xfId="5">
      <alignment horizontal="center"/>
    </xf>
    <xf numFmtId="175" fontId="8" fillId="0" borderId="0" applyAlignment="1" pivotButton="0" quotePrefix="0" xfId="5">
      <alignment horizontal="center"/>
    </xf>
    <xf numFmtId="0" fontId="14" fillId="0" borderId="0" pivotButton="0" quotePrefix="0" xfId="5"/>
    <xf numFmtId="176" fontId="8" fillId="0" borderId="0" pivotButton="0" quotePrefix="0" xfId="5"/>
    <xf numFmtId="0" fontId="4" fillId="11" borderId="0" pivotButton="0" quotePrefix="0" xfId="5"/>
    <xf numFmtId="0" fontId="4" fillId="11" borderId="3" pivotButton="0" quotePrefix="0" xfId="5"/>
    <xf numFmtId="0" fontId="9" fillId="12" borderId="3" applyAlignment="1" pivotButton="0" quotePrefix="0" xfId="5">
      <alignment horizontal="centerContinuous"/>
    </xf>
    <xf numFmtId="0" fontId="10" fillId="12" borderId="3" applyAlignment="1" pivotButton="0" quotePrefix="0" xfId="5">
      <alignment horizontal="centerContinuous"/>
    </xf>
    <xf numFmtId="0" fontId="9" fillId="13" borderId="3" applyAlignment="1" pivotButton="0" quotePrefix="0" xfId="5">
      <alignment horizontal="centerContinuous"/>
    </xf>
    <xf numFmtId="0" fontId="10" fillId="13" borderId="3" applyAlignment="1" pivotButton="0" quotePrefix="0" xfId="5">
      <alignment horizontal="centerContinuous"/>
    </xf>
    <xf numFmtId="0" fontId="14" fillId="0" borderId="0" applyAlignment="1" pivotButton="0" quotePrefix="0" xfId="5">
      <alignment horizontal="center"/>
    </xf>
    <xf numFmtId="0" fontId="8" fillId="0" borderId="0" applyAlignment="1" pivotButton="0" quotePrefix="0" xfId="5">
      <alignment horizontal="center"/>
    </xf>
    <xf numFmtId="1" fontId="14" fillId="0" borderId="0" applyAlignment="1" pivotButton="0" quotePrefix="0" xfId="5">
      <alignment horizontal="center"/>
    </xf>
    <xf numFmtId="0" fontId="8" fillId="0" borderId="3" pivotButton="0" quotePrefix="0" xfId="5"/>
    <xf numFmtId="165" fontId="8" fillId="0" borderId="3" applyAlignment="1" pivotButton="0" quotePrefix="0" xfId="5">
      <alignment horizontal="center"/>
    </xf>
    <xf numFmtId="165" fontId="8" fillId="0" borderId="0" applyAlignment="1" pivotButton="0" quotePrefix="0" xfId="5">
      <alignment horizontal="center"/>
    </xf>
    <xf numFmtId="0" fontId="8" fillId="0" borderId="5" pivotButton="0" quotePrefix="0" xfId="5"/>
    <xf numFmtId="174" fontId="8" fillId="14" borderId="6" applyAlignment="1" pivotButton="0" quotePrefix="0" xfId="5">
      <alignment horizontal="center"/>
    </xf>
    <xf numFmtId="174" fontId="8" fillId="14" borderId="7" applyAlignment="1" pivotButton="0" quotePrefix="0" xfId="5">
      <alignment horizontal="center"/>
    </xf>
    <xf numFmtId="170" fontId="14" fillId="0" borderId="0" applyAlignment="1" pivotButton="0" quotePrefix="0" xfId="8">
      <alignment horizontal="center"/>
    </xf>
    <xf numFmtId="0" fontId="8" fillId="0" borderId="8" pivotButton="0" quotePrefix="0" xfId="5"/>
    <xf numFmtId="170" fontId="14" fillId="0" borderId="3" applyAlignment="1" pivotButton="0" quotePrefix="0" xfId="8">
      <alignment horizontal="center"/>
    </xf>
    <xf numFmtId="170" fontId="14" fillId="0" borderId="9" applyAlignment="1" pivotButton="0" quotePrefix="0" xfId="8">
      <alignment horizontal="center"/>
    </xf>
    <xf numFmtId="174" fontId="8" fillId="0" borderId="5" pivotButton="0" quotePrefix="0" xfId="5"/>
    <xf numFmtId="0" fontId="8" fillId="0" borderId="6" pivotButton="0" quotePrefix="0" xfId="5"/>
    <xf numFmtId="0" fontId="8" fillId="0" borderId="7" pivotButton="0" quotePrefix="0" xfId="5"/>
    <xf numFmtId="170" fontId="8" fillId="0" borderId="3" applyAlignment="1" pivotButton="0" quotePrefix="0" xfId="8">
      <alignment horizontal="center"/>
    </xf>
    <xf numFmtId="0" fontId="8" fillId="0" borderId="9" pivotButton="0" quotePrefix="0" xfId="5"/>
    <xf numFmtId="170" fontId="8" fillId="0" borderId="9" applyAlignment="1" pivotButton="0" quotePrefix="0" xfId="8">
      <alignment horizontal="center"/>
    </xf>
    <xf numFmtId="170" fontId="8" fillId="14" borderId="6" applyAlignment="1" pivotButton="0" quotePrefix="0" xfId="5">
      <alignment horizontal="center"/>
    </xf>
    <xf numFmtId="170" fontId="8" fillId="14" borderId="7" applyAlignment="1" pivotButton="0" quotePrefix="0" xfId="5">
      <alignment horizontal="center"/>
    </xf>
    <xf numFmtId="174" fontId="8" fillId="0" borderId="3" applyAlignment="1" pivotButton="0" quotePrefix="0" xfId="5">
      <alignment horizontal="center"/>
    </xf>
    <xf numFmtId="174" fontId="8" fillId="0" borderId="9" applyAlignment="1" pivotButton="0" quotePrefix="0" xfId="5">
      <alignment horizontal="center"/>
    </xf>
    <xf numFmtId="174" fontId="8" fillId="0" borderId="10" applyAlignment="1" pivotButton="0" quotePrefix="0" xfId="5">
      <alignment horizontal="left"/>
    </xf>
    <xf numFmtId="174" fontId="8" fillId="14" borderId="11" applyAlignment="1" pivotButton="0" quotePrefix="0" xfId="5">
      <alignment horizontal="center"/>
    </xf>
    <xf numFmtId="174" fontId="8" fillId="14" borderId="12" applyAlignment="1" pivotButton="0" quotePrefix="0" xfId="5">
      <alignment horizontal="center"/>
    </xf>
    <xf numFmtId="174" fontId="8" fillId="0" borderId="5" applyAlignment="1" pivotButton="0" quotePrefix="0" xfId="5">
      <alignment horizontal="left"/>
    </xf>
    <xf numFmtId="174" fontId="8" fillId="0" borderId="6" applyAlignment="1" pivotButton="0" quotePrefix="0" xfId="5">
      <alignment horizontal="center"/>
    </xf>
    <xf numFmtId="174" fontId="8" fillId="0" borderId="7" applyAlignment="1" pivotButton="0" quotePrefix="0" xfId="5">
      <alignment horizontal="center"/>
    </xf>
    <xf numFmtId="174" fontId="8" fillId="0" borderId="13" applyAlignment="1" pivotButton="0" quotePrefix="0" xfId="5">
      <alignment horizontal="left"/>
    </xf>
    <xf numFmtId="174" fontId="8" fillId="14" borderId="0" applyAlignment="1" pivotButton="0" quotePrefix="0" xfId="5">
      <alignment horizontal="center"/>
    </xf>
    <xf numFmtId="174" fontId="8" fillId="14" borderId="14" applyAlignment="1" pivotButton="0" quotePrefix="0" xfId="5">
      <alignment horizontal="center"/>
    </xf>
    <xf numFmtId="174" fontId="8" fillId="0" borderId="8" applyAlignment="1" pivotButton="0" quotePrefix="0" xfId="5">
      <alignment horizontal="left"/>
    </xf>
    <xf numFmtId="174" fontId="8" fillId="14" borderId="3" applyAlignment="1" pivotButton="0" quotePrefix="0" xfId="5">
      <alignment horizontal="center"/>
    </xf>
    <xf numFmtId="174" fontId="8" fillId="14" borderId="9" applyAlignment="1" pivotButton="0" quotePrefix="0" xfId="5">
      <alignment horizontal="center"/>
    </xf>
    <xf numFmtId="174" fontId="8" fillId="0" borderId="0" applyAlignment="1" pivotButton="0" quotePrefix="0" xfId="5">
      <alignment horizontal="center"/>
    </xf>
    <xf numFmtId="174" fontId="8" fillId="0" borderId="15" applyAlignment="1" pivotButton="0" quotePrefix="0" xfId="5">
      <alignment horizontal="center"/>
    </xf>
    <xf numFmtId="0" fontId="8" fillId="0" borderId="13" pivotButton="0" quotePrefix="0" xfId="5"/>
    <xf numFmtId="0" fontId="8" fillId="0" borderId="14" pivotButton="0" quotePrefix="0" xfId="5"/>
    <xf numFmtId="174" fontId="2" fillId="0" borderId="0" applyAlignment="1" pivotButton="0" quotePrefix="0" xfId="5">
      <alignment horizontal="center"/>
    </xf>
    <xf numFmtId="174" fontId="2" fillId="0" borderId="14" applyAlignment="1" pivotButton="0" quotePrefix="0" xfId="5">
      <alignment horizontal="center"/>
    </xf>
    <xf numFmtId="170" fontId="5" fillId="2" borderId="3" applyAlignment="1" pivotButton="0" quotePrefix="0" xfId="8">
      <alignment horizontal="center"/>
    </xf>
    <xf numFmtId="170" fontId="5" fillId="2" borderId="9" applyAlignment="1" pivotButton="0" quotePrefix="0" xfId="8">
      <alignment horizontal="center"/>
    </xf>
    <xf numFmtId="0" fontId="14" fillId="0" borderId="10" pivotButton="0" quotePrefix="0" xfId="5"/>
    <xf numFmtId="170" fontId="14" fillId="14" borderId="11" applyAlignment="1" pivotButton="0" quotePrefix="0" xfId="5">
      <alignment horizontal="center"/>
    </xf>
    <xf numFmtId="170" fontId="14" fillId="0" borderId="11" applyAlignment="1" pivotButton="0" quotePrefix="0" xfId="8">
      <alignment horizontal="center"/>
    </xf>
    <xf numFmtId="170" fontId="14" fillId="0" borderId="12" applyAlignment="1" pivotButton="0" quotePrefix="0" xfId="8">
      <alignment horizontal="center"/>
    </xf>
    <xf numFmtId="170" fontId="14" fillId="0" borderId="0" applyAlignment="1" pivotButton="0" quotePrefix="0" xfId="5">
      <alignment horizontal="center"/>
    </xf>
    <xf numFmtId="177" fontId="8" fillId="0" borderId="0" applyAlignment="1" pivotButton="0" quotePrefix="0" xfId="7">
      <alignment horizontal="center" vertical="center"/>
    </xf>
    <xf numFmtId="174" fontId="14" fillId="0" borderId="0" applyAlignment="1" pivotButton="0" quotePrefix="0" xfId="5">
      <alignment horizontal="center"/>
    </xf>
    <xf numFmtId="174" fontId="17" fillId="0" borderId="16" applyAlignment="1" pivotButton="0" quotePrefix="0" xfId="9">
      <alignment horizontal="center"/>
    </xf>
    <xf numFmtId="0" fontId="8" fillId="0" borderId="0" applyAlignment="1" pivotButton="0" quotePrefix="0" xfId="5">
      <alignment horizontal="left" indent="1"/>
    </xf>
    <xf numFmtId="40" fontId="8" fillId="0" borderId="0" applyAlignment="1" pivotButton="0" quotePrefix="0" xfId="5">
      <alignment horizontal="center"/>
    </xf>
    <xf numFmtId="40" fontId="17" fillId="0" borderId="16" applyAlignment="1" pivotButton="0" quotePrefix="0" xfId="9">
      <alignment horizontal="center"/>
    </xf>
    <xf numFmtId="10" fontId="8" fillId="0" borderId="0" pivotButton="0" quotePrefix="0" xfId="5"/>
    <xf numFmtId="174" fontId="14" fillId="0" borderId="0" pivotButton="0" quotePrefix="0" xfId="5"/>
    <xf numFmtId="175" fontId="8" fillId="0" borderId="0" pivotButton="0" quotePrefix="0" xfId="5"/>
    <xf numFmtId="0" fontId="4" fillId="11" borderId="5" pivotButton="0" quotePrefix="0" xfId="5"/>
    <xf numFmtId="170" fontId="2" fillId="11" borderId="7" applyAlignment="1" pivotButton="0" quotePrefix="0" xfId="5">
      <alignment horizontal="center"/>
    </xf>
    <xf numFmtId="0" fontId="4" fillId="11" borderId="6" pivotButton="0" quotePrefix="0" xfId="5"/>
    <xf numFmtId="0" fontId="2" fillId="11" borderId="6" pivotButton="0" quotePrefix="0" xfId="5"/>
    <xf numFmtId="0" fontId="4" fillId="11" borderId="17" pivotButton="0" quotePrefix="0" xfId="5"/>
    <xf numFmtId="170" fontId="2" fillId="11" borderId="18" applyAlignment="1" pivotButton="0" quotePrefix="0" xfId="5">
      <alignment horizontal="center"/>
    </xf>
    <xf numFmtId="0" fontId="2" fillId="11" borderId="18" pivotButton="0" quotePrefix="0" xfId="5"/>
    <xf numFmtId="0" fontId="2" fillId="11" borderId="19" pivotButton="0" quotePrefix="0" xfId="5"/>
    <xf numFmtId="0" fontId="14" fillId="0" borderId="13" applyAlignment="1" pivotButton="0" quotePrefix="0" xfId="5">
      <alignment horizontal="left" indent="1"/>
    </xf>
    <xf numFmtId="174" fontId="8" fillId="0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left" indent="1"/>
    </xf>
    <xf numFmtId="0" fontId="8" fillId="0" borderId="13" applyAlignment="1" pivotButton="0" quotePrefix="0" xfId="5">
      <alignment horizontal="left" indent="1"/>
    </xf>
    <xf numFmtId="174" fontId="2" fillId="14" borderId="14" applyAlignment="1" pivotButton="0" quotePrefix="0" xfId="5">
      <alignment horizontal="center"/>
    </xf>
    <xf numFmtId="170" fontId="18" fillId="2" borderId="14" applyAlignment="1" pivotButton="0" quotePrefix="0" xfId="5">
      <alignment horizontal="center"/>
    </xf>
    <xf numFmtId="0" fontId="19" fillId="0" borderId="0" applyAlignment="1" pivotButton="0" quotePrefix="0" xfId="5">
      <alignment horizontal="left" indent="1"/>
    </xf>
    <xf numFmtId="178" fontId="2" fillId="14" borderId="14" applyAlignment="1" pivotButton="0" quotePrefix="0" xfId="6">
      <alignment horizontal="center"/>
    </xf>
    <xf numFmtId="170" fontId="4" fillId="0" borderId="20" applyAlignment="1" pivotButton="0" quotePrefix="0" xfId="0">
      <alignment horizontal="center"/>
    </xf>
    <xf numFmtId="0" fontId="8" fillId="0" borderId="3" applyAlignment="1" pivotButton="0" quotePrefix="0" xfId="5">
      <alignment horizontal="left" indent="1"/>
    </xf>
    <xf numFmtId="0" fontId="8" fillId="0" borderId="9" applyAlignment="1" pivotButton="0" quotePrefix="0" xfId="5">
      <alignment horizontal="right" indent="1"/>
    </xf>
    <xf numFmtId="174" fontId="14" fillId="0" borderId="14" applyAlignment="1" pivotButton="0" quotePrefix="0" xfId="5">
      <alignment horizontal="center"/>
    </xf>
    <xf numFmtId="0" fontId="8" fillId="0" borderId="3" applyAlignment="1" pivotButton="0" quotePrefix="0" xfId="5">
      <alignment horizontal="right"/>
    </xf>
    <xf numFmtId="179" fontId="13" fillId="2" borderId="21" pivotButton="0" quotePrefix="0" xfId="5"/>
    <xf numFmtId="178" fontId="13" fillId="2" borderId="22" pivotButton="0" quotePrefix="0" xfId="10"/>
    <xf numFmtId="175" fontId="8" fillId="0" borderId="14" applyAlignment="1" pivotButton="0" quotePrefix="0" xfId="5">
      <alignment horizontal="right" indent="1"/>
    </xf>
    <xf numFmtId="179" fontId="13" fillId="2" borderId="23" pivotButton="0" quotePrefix="0" xfId="5"/>
    <xf numFmtId="178" fontId="13" fillId="2" borderId="24" pivotButton="0" quotePrefix="0" xfId="10"/>
    <xf numFmtId="174" fontId="8" fillId="0" borderId="14" applyAlignment="1" pivotButton="0" quotePrefix="0" xfId="5">
      <alignment horizontal="center"/>
    </xf>
    <xf numFmtId="179" fontId="13" fillId="2" borderId="25" pivotButton="0" quotePrefix="0" xfId="5"/>
    <xf numFmtId="178" fontId="13" fillId="2" borderId="26" pivotButton="0" quotePrefix="0" xfId="10"/>
    <xf numFmtId="175" fontId="8" fillId="0" borderId="9" applyAlignment="1" pivotButton="0" quotePrefix="0" xfId="5">
      <alignment horizontal="right" indent="1"/>
    </xf>
    <xf numFmtId="180" fontId="13" fillId="2" borderId="14" applyAlignment="1" pivotButton="0" quotePrefix="0" xfId="5">
      <alignment horizontal="center"/>
    </xf>
    <xf numFmtId="181" fontId="8" fillId="0" borderId="0" applyAlignment="1" pivotButton="0" quotePrefix="0" xfId="5">
      <alignment horizontal="right"/>
    </xf>
    <xf numFmtId="182" fontId="8" fillId="0" borderId="14" applyAlignment="1" pivotButton="0" quotePrefix="0" xfId="5">
      <alignment horizontal="right" indent="1"/>
    </xf>
    <xf numFmtId="0" fontId="8" fillId="0" borderId="0" applyAlignment="1" pivotButton="0" quotePrefix="0" xfId="5">
      <alignment horizontal="right"/>
    </xf>
    <xf numFmtId="174" fontId="20" fillId="0" borderId="0" pivotButton="0" quotePrefix="0" xfId="5"/>
    <xf numFmtId="174" fontId="8" fillId="0" borderId="14" pivotButton="0" quotePrefix="0" xfId="5"/>
    <xf numFmtId="178" fontId="14" fillId="0" borderId="27" applyAlignment="1" pivotButton="0" quotePrefix="0" xfId="5">
      <alignment horizontal="center"/>
    </xf>
    <xf numFmtId="179" fontId="13" fillId="2" borderId="28" applyAlignment="1" pivotButton="0" quotePrefix="0" xfId="5">
      <alignment horizontal="right" indent="1"/>
    </xf>
    <xf numFmtId="0" fontId="8" fillId="0" borderId="14" applyAlignment="1" pivotButton="0" quotePrefix="0" xfId="5">
      <alignment horizontal="right" indent="1"/>
    </xf>
    <xf numFmtId="178" fontId="14" fillId="0" borderId="14" applyAlignment="1" pivotButton="0" quotePrefix="0" xfId="5">
      <alignment horizontal="center"/>
    </xf>
    <xf numFmtId="179" fontId="13" fillId="2" borderId="29" applyAlignment="1" pivotButton="0" quotePrefix="0" xfId="5">
      <alignment horizontal="right" indent="1"/>
    </xf>
    <xf numFmtId="37" fontId="13" fillId="2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right"/>
    </xf>
    <xf numFmtId="174" fontId="14" fillId="0" borderId="14" applyAlignment="1" pivotButton="0" quotePrefix="0" xfId="11">
      <alignment horizontal="right" indent="1"/>
    </xf>
    <xf numFmtId="0" fontId="8" fillId="0" borderId="8" applyAlignment="1" pivotButton="0" quotePrefix="0" xfId="5">
      <alignment horizontal="left" indent="1"/>
    </xf>
    <xf numFmtId="170" fontId="8" fillId="0" borderId="9" applyAlignment="1" pivotButton="0" quotePrefix="0" xfId="5">
      <alignment horizontal="right" indent="1"/>
    </xf>
    <xf numFmtId="0" fontId="4" fillId="11" borderId="2" pivotButton="0" quotePrefix="0" xfId="5"/>
    <xf numFmtId="170" fontId="2" fillId="11" borderId="2" applyAlignment="1" pivotButton="0" quotePrefix="0" xfId="5">
      <alignment horizontal="center"/>
    </xf>
    <xf numFmtId="0" fontId="2" fillId="11" borderId="2" pivotButton="0" quotePrefix="0" xfId="5"/>
    <xf numFmtId="0" fontId="14" fillId="0" borderId="3" pivotButton="0" quotePrefix="0" xfId="5"/>
    <xf numFmtId="170" fontId="13" fillId="2" borderId="0" applyAlignment="1" pivotButton="0" quotePrefix="0" xfId="5">
      <alignment horizontal="center"/>
    </xf>
    <xf numFmtId="0" fontId="14" fillId="0" borderId="3" applyAlignment="1" pivotButton="0" quotePrefix="0" xfId="5">
      <alignment horizontal="centerContinuous"/>
    </xf>
    <xf numFmtId="0" fontId="14" fillId="0" borderId="10" applyAlignment="1" pivotButton="0" quotePrefix="0" xfId="5">
      <alignment horizontal="centerContinuous"/>
    </xf>
    <xf numFmtId="0" fontId="14" fillId="0" borderId="11" applyAlignment="1" pivotButton="0" quotePrefix="0" xfId="5">
      <alignment horizontal="centerContinuous"/>
    </xf>
    <xf numFmtId="0" fontId="8" fillId="0" borderId="11" applyAlignment="1" pivotButton="0" quotePrefix="0" xfId="5">
      <alignment horizontal="right"/>
    </xf>
    <xf numFmtId="174" fontId="8" fillId="0" borderId="0" pivotButton="0" quotePrefix="0" xfId="5"/>
    <xf numFmtId="9" fontId="8" fillId="0" borderId="0" pivotButton="0" quotePrefix="0" xfId="5"/>
    <xf numFmtId="183" fontId="8" fillId="0" borderId="0" applyAlignment="1" pivotButton="0" quotePrefix="0" xfId="5">
      <alignment horizontal="center"/>
    </xf>
    <xf numFmtId="174" fontId="8" fillId="0" borderId="0" applyAlignment="1" pivotButton="0" quotePrefix="0" xfId="5">
      <alignment horizontal="right"/>
    </xf>
    <xf numFmtId="184" fontId="8" fillId="0" borderId="0" pivotButton="0" quotePrefix="0" xfId="5"/>
    <xf numFmtId="174" fontId="19" fillId="0" borderId="0" applyAlignment="1" pivotButton="0" quotePrefix="0" xfId="5">
      <alignment horizontal="right"/>
    </xf>
    <xf numFmtId="0" fontId="19" fillId="0" borderId="0" applyAlignment="1" pivotButton="0" quotePrefix="0" xfId="5">
      <alignment horizontal="right"/>
    </xf>
    <xf numFmtId="39" fontId="13" fillId="2" borderId="0" applyAlignment="1" pivotButton="0" quotePrefix="0" xfId="5">
      <alignment horizontal="center"/>
    </xf>
    <xf numFmtId="0" fontId="14" fillId="0" borderId="0" pivotButton="0" quotePrefix="1" xfId="5"/>
    <xf numFmtId="0" fontId="14" fillId="0" borderId="3" applyAlignment="1" pivotButton="0" quotePrefix="0" xfId="5">
      <alignment horizontal="left" wrapText="1"/>
    </xf>
    <xf numFmtId="0" fontId="14" fillId="0" borderId="3" applyAlignment="1" pivotButton="0" quotePrefix="0" xfId="5">
      <alignment horizontal="center" wrapText="1"/>
    </xf>
    <xf numFmtId="39" fontId="8" fillId="0" borderId="0" applyAlignment="1" pivotButton="0" quotePrefix="0" xfId="5">
      <alignment horizontal="center"/>
    </xf>
    <xf numFmtId="178" fontId="8" fillId="0" borderId="0" applyAlignment="1" pivotButton="0" quotePrefix="0" xfId="5">
      <alignment horizontal="center"/>
    </xf>
    <xf numFmtId="10" fontId="8" fillId="0" borderId="0" applyAlignment="1" pivotButton="0" quotePrefix="0" xfId="5">
      <alignment horizontal="center"/>
    </xf>
    <xf numFmtId="2" fontId="8" fillId="0" borderId="0" applyAlignment="1" pivotButton="0" quotePrefix="0" xfId="5">
      <alignment horizontal="center"/>
    </xf>
    <xf numFmtId="39" fontId="13" fillId="2" borderId="0" applyAlignment="1" pivotButton="0" quotePrefix="0" xfId="5">
      <alignment horizontal="left"/>
    </xf>
    <xf numFmtId="178" fontId="13" fillId="2" borderId="0" applyAlignment="1" pivotButton="0" quotePrefix="0" xfId="5">
      <alignment horizontal="center"/>
    </xf>
    <xf numFmtId="174" fontId="13" fillId="2" borderId="0" applyAlignment="1" pivotButton="0" quotePrefix="0" xfId="5">
      <alignment horizontal="center"/>
    </xf>
    <xf numFmtId="10" fontId="13" fillId="2" borderId="0" applyAlignment="1" pivotButton="0" quotePrefix="0" xfId="5">
      <alignment horizontal="center"/>
    </xf>
    <xf numFmtId="39" fontId="13" fillId="2" borderId="3" applyAlignment="1" pivotButton="0" quotePrefix="0" xfId="5">
      <alignment horizontal="left"/>
    </xf>
    <xf numFmtId="39" fontId="13" fillId="2" borderId="3" applyAlignment="1" pivotButton="0" quotePrefix="0" xfId="5">
      <alignment horizontal="center"/>
    </xf>
    <xf numFmtId="178" fontId="13" fillId="2" borderId="3" applyAlignment="1" pivotButton="0" quotePrefix="0" xfId="5">
      <alignment horizontal="center"/>
    </xf>
    <xf numFmtId="174" fontId="13" fillId="2" borderId="3" applyAlignment="1" pivotButton="0" quotePrefix="0" xfId="5">
      <alignment horizontal="center"/>
    </xf>
    <xf numFmtId="10" fontId="8" fillId="0" borderId="3" applyAlignment="1" pivotButton="0" quotePrefix="0" xfId="5">
      <alignment horizontal="center"/>
    </xf>
    <xf numFmtId="10" fontId="13" fillId="2" borderId="3" applyAlignment="1" pivotButton="0" quotePrefix="0" xfId="5">
      <alignment horizontal="center"/>
    </xf>
    <xf numFmtId="39" fontId="8" fillId="0" borderId="3" applyAlignment="1" pivotButton="0" quotePrefix="0" xfId="5">
      <alignment horizontal="center"/>
    </xf>
    <xf numFmtId="39" fontId="14" fillId="0" borderId="0" applyAlignment="1" pivotButton="0" quotePrefix="0" xfId="5">
      <alignment horizontal="right"/>
    </xf>
    <xf numFmtId="39" fontId="14" fillId="0" borderId="30" applyAlignment="1" pivotButton="0" quotePrefix="0" xfId="5">
      <alignment horizontal="center"/>
    </xf>
    <xf numFmtId="164" fontId="8" fillId="8" borderId="0" applyAlignment="1" pivotButton="0" quotePrefix="0" xfId="0">
      <alignment horizontal="center"/>
    </xf>
    <xf numFmtId="0" fontId="4" fillId="0" borderId="0" applyAlignment="1" pivotButton="0" quotePrefix="0" xfId="2">
      <alignment horizontal="center"/>
    </xf>
    <xf numFmtId="9" fontId="5" fillId="2" borderId="0" applyAlignment="1" pivotButton="0" quotePrefix="0" xfId="3">
      <alignment horizontal="center"/>
    </xf>
    <xf numFmtId="180" fontId="2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horizontal="center" vertical="center"/>
    </xf>
    <xf numFmtId="170" fontId="2" fillId="0" borderId="0" applyAlignment="1" pivotButton="0" quotePrefix="0" xfId="0">
      <alignment horizontal="center" vertical="center"/>
    </xf>
    <xf numFmtId="170" fontId="2" fillId="0" borderId="0" applyAlignment="1" pivotButton="0" quotePrefix="0" xfId="3">
      <alignment horizontal="center" vertical="center"/>
    </xf>
    <xf numFmtId="185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9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 vertical="center"/>
    </xf>
    <xf numFmtId="10" fontId="4" fillId="0" borderId="0" applyAlignment="1" pivotButton="0" quotePrefix="0" xfId="3">
      <alignment horizontal="center"/>
    </xf>
    <xf numFmtId="10" fontId="4" fillId="0" borderId="0" applyAlignment="1" pivotButton="0" quotePrefix="0" xfId="2">
      <alignment horizontal="center"/>
    </xf>
    <xf numFmtId="170" fontId="22" fillId="9" borderId="0" pivotButton="0" quotePrefix="0" xfId="1"/>
    <xf numFmtId="10" fontId="5" fillId="2" borderId="0" applyAlignment="1" pivotButton="0" quotePrefix="0" xfId="0">
      <alignment horizontal="center"/>
    </xf>
    <xf numFmtId="9" fontId="5" fillId="4" borderId="0" applyAlignment="1" pivotButton="0" quotePrefix="0" xfId="3">
      <alignment horizontal="center"/>
    </xf>
    <xf numFmtId="0" fontId="6" fillId="6" borderId="0" applyAlignment="1" pivotButton="0" quotePrefix="0" xfId="1">
      <alignment horizontal="center"/>
    </xf>
    <xf numFmtId="0" fontId="2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vertical="center"/>
    </xf>
    <xf numFmtId="180" fontId="2" fillId="0" borderId="0" applyAlignment="1" pivotButton="0" quotePrefix="0" xfId="0">
      <alignment vertical="center"/>
    </xf>
    <xf numFmtId="170" fontId="2" fillId="0" borderId="0" applyAlignment="1" pivotButton="0" quotePrefix="0" xfId="3">
      <alignment vertical="center"/>
    </xf>
    <xf numFmtId="164" fontId="2" fillId="0" borderId="0" applyAlignment="1" pivotButton="0" quotePrefix="0" xfId="0">
      <alignment vertical="center"/>
    </xf>
    <xf numFmtId="9" fontId="2" fillId="0" borderId="0" applyAlignment="1" pivotButton="0" quotePrefix="0" xfId="0">
      <alignment vertical="center"/>
    </xf>
    <xf numFmtId="171" fontId="2" fillId="0" borderId="0" applyAlignment="1" pivotButton="0" quotePrefix="0" xfId="0">
      <alignment vertical="center"/>
    </xf>
    <xf numFmtId="164" fontId="2" fillId="0" borderId="0" applyAlignment="1" pivotButton="0" quotePrefix="0" xfId="0">
      <alignment horizontal="right" vertical="center"/>
    </xf>
    <xf numFmtId="0" fontId="2" fillId="0" borderId="0" applyAlignment="1" pivotButton="0" quotePrefix="1" xfId="0">
      <alignment horizontal="center"/>
    </xf>
    <xf numFmtId="168" fontId="2" fillId="5" borderId="0" applyAlignment="1" pivotButton="0" quotePrefix="0" xfId="2">
      <alignment horizontal="center"/>
    </xf>
    <xf numFmtId="164" fontId="2" fillId="0" borderId="0" pivotButton="0" quotePrefix="0" xfId="0"/>
    <xf numFmtId="9" fontId="2" fillId="0" borderId="0" applyAlignment="1" pivotButton="0" quotePrefix="0" xfId="3">
      <alignment horizontal="left"/>
    </xf>
    <xf numFmtId="9" fontId="2" fillId="0" borderId="0" pivotButton="0" quotePrefix="0" xfId="3"/>
    <xf numFmtId="0" fontId="15" fillId="12" borderId="0" applyAlignment="1" pivotButton="0" quotePrefix="0" xfId="5">
      <alignment horizontal="center" wrapText="1"/>
    </xf>
    <xf numFmtId="0" fontId="8" fillId="0" borderId="0" pivotButton="0" quotePrefix="0" xfId="5"/>
    <xf numFmtId="170" fontId="5" fillId="16" borderId="0" applyAlignment="1" pivotButton="0" quotePrefix="0" xfId="0">
      <alignment horizontal="center"/>
    </xf>
    <xf numFmtId="164" fontId="2" fillId="16" borderId="0" applyAlignment="1" pivotButton="0" quotePrefix="0" xfId="0">
      <alignment horizontal="center"/>
    </xf>
    <xf numFmtId="0" fontId="23" fillId="13" borderId="3" applyAlignment="1" pivotButton="0" quotePrefix="0" xfId="5">
      <alignment horizontal="centerContinuous"/>
    </xf>
    <xf numFmtId="1" fontId="23" fillId="0" borderId="0" applyAlignment="1" pivotButton="0" quotePrefix="0" xfId="5">
      <alignment horizontal="center"/>
    </xf>
    <xf numFmtId="0" fontId="24" fillId="0" borderId="0" pivotButton="0" quotePrefix="0" xfId="0"/>
    <xf numFmtId="186" fontId="0" fillId="0" borderId="0" pivotButton="0" quotePrefix="0" xfId="0"/>
    <xf numFmtId="187" fontId="0" fillId="0" borderId="0" pivotButton="0" quotePrefix="0" xfId="0"/>
    <xf numFmtId="0" fontId="25" fillId="0" borderId="0" applyAlignment="1" pivotButton="0" quotePrefix="0" xfId="2">
      <alignment horizontal="center"/>
    </xf>
    <xf numFmtId="168" fontId="25" fillId="5" borderId="0" applyAlignment="1" pivotButton="0" quotePrefix="0" xfId="2">
      <alignment horizontal="center"/>
    </xf>
    <xf numFmtId="186" fontId="0" fillId="0" borderId="0" pivotButton="0" quotePrefix="0" xfId="0"/>
    <xf numFmtId="187" fontId="0" fillId="0" borderId="0" pivotButton="0" quotePrefix="0" xfId="0"/>
    <xf numFmtId="0" fontId="0" fillId="16" borderId="0" pivotButton="0" quotePrefix="0" xfId="0"/>
    <xf numFmtId="3" fontId="0" fillId="0" borderId="0" pivotButton="0" quotePrefix="0" xfId="0"/>
    <xf numFmtId="190" fontId="5" fillId="2" borderId="0" applyAlignment="1" pivotButton="0" quotePrefix="0" xfId="0">
      <alignment horizontal="center"/>
    </xf>
    <xf numFmtId="190" fontId="2" fillId="0" borderId="0" applyAlignment="1" pivotButton="0" quotePrefix="0" xfId="0">
      <alignment horizontal="center"/>
    </xf>
    <xf numFmtId="3" fontId="4" fillId="7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0" fontId="26" fillId="3" borderId="0" pivotButton="0" quotePrefix="0" xfId="1"/>
    <xf numFmtId="170" fontId="4" fillId="7" borderId="0" applyAlignment="1" pivotButton="0" quotePrefix="0" xfId="0">
      <alignment horizontal="center"/>
    </xf>
    <xf numFmtId="170" fontId="4" fillId="0" borderId="0" applyAlignment="1" pivotButton="0" quotePrefix="0" xfId="0">
      <alignment horizontal="center"/>
    </xf>
  </cellXfs>
  <cellStyles count="12">
    <cellStyle name="Normal" xfId="0" builtinId="0"/>
    <cellStyle name="Normal 2" xfId="1"/>
    <cellStyle name="Normal 2 2" xfId="2"/>
    <cellStyle name="Porcentagem" xfId="3" builtinId="5"/>
    <cellStyle name="Separador de milhares 2 17" xfId="4"/>
    <cellStyle name="Normal 2 3" xfId="5"/>
    <cellStyle name="m/d/yy" xfId="6"/>
    <cellStyle name="Normal 4" xfId="7"/>
    <cellStyle name="Porcentagem 3" xfId="8"/>
    <cellStyle name="Output_dcfmodel" xfId="9"/>
    <cellStyle name="Currency 2" xfId="10"/>
    <cellStyle name="Normal [3] 2" xfId="11"/>
  </cellStyles>
  <dxfs count="24"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None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44"/>
  <sheetViews>
    <sheetView workbookViewId="0">
      <pane xSplit="10" ySplit="4" topLeftCell="K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6" customWidth="1" min="3" max="3"/>
    <col width="7" customWidth="1" min="4" max="4"/>
    <col width="6" customWidth="1" min="5" max="5"/>
    <col width="7" customWidth="1" min="6" max="6"/>
    <col width="8" customWidth="1" min="7" max="7"/>
    <col width="95" customWidth="1" min="8" max="8"/>
    <col width="20" customWidth="1" min="9" max="9"/>
    <col width="10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</cols>
  <sheetData>
    <row r="1">
      <c r="A1" t="inlineStr">
        <is>
          <t>Fator p/ milhões:</t>
        </is>
      </c>
      <c r="B1" t="n">
        <v>1e-06</v>
      </c>
      <c r="D1" t="inlineStr">
        <is>
          <t>Broadcom Inc. (AVGO, CIK 1730168) - fonte: SEC EDGAR XBRL (instâncias dos 10-Q/10-K). Moeda: USD. Brutos em USD unidades (fator 0,000001 -&gt; milhões). Colunas = trimestres-CALENDÁRIO (cada fechamento vai para o fim de trimestre mais próximo); ano fiscal termina no trimestre-calendário de set. Trimestre fiscal 4 (e qualquer trimestre sem 3M publicado) = acumulado do ano menos o acumulado anterior, calculado na extração.</t>
        </is>
      </c>
    </row>
    <row r="2">
      <c r="J2" t="inlineStr">
        <is>
          <t>Trimestre fiscal</t>
        </is>
      </c>
      <c r="K2" t="inlineStr">
        <is>
          <t>FQ2</t>
        </is>
      </c>
      <c r="L2" t="inlineStr">
        <is>
          <t>FQ3</t>
        </is>
      </c>
      <c r="M2" t="inlineStr">
        <is>
          <t>FQ4</t>
        </is>
      </c>
      <c r="N2" t="inlineStr">
        <is>
          <t>FQ1</t>
        </is>
      </c>
      <c r="O2" t="inlineStr">
        <is>
          <t>FQ2</t>
        </is>
      </c>
      <c r="P2" t="inlineStr">
        <is>
          <t>FQ3</t>
        </is>
      </c>
      <c r="Q2" t="inlineStr">
        <is>
          <t>FQ4</t>
        </is>
      </c>
      <c r="R2" t="inlineStr">
        <is>
          <t>FQ1</t>
        </is>
      </c>
      <c r="S2" t="inlineStr">
        <is>
          <t>FQ2</t>
        </is>
      </c>
      <c r="T2" t="inlineStr">
        <is>
          <t>FQ3</t>
        </is>
      </c>
      <c r="U2" t="inlineStr">
        <is>
          <t>FQ4</t>
        </is>
      </c>
      <c r="V2" t="inlineStr">
        <is>
          <t>FQ1</t>
        </is>
      </c>
      <c r="W2" t="inlineStr">
        <is>
          <t>FQ2</t>
        </is>
      </c>
      <c r="X2" t="inlineStr">
        <is>
          <t>FQ3</t>
        </is>
      </c>
      <c r="Y2" t="inlineStr">
        <is>
          <t>FQ4</t>
        </is>
      </c>
      <c r="Z2" t="inlineStr">
        <is>
          <t>FQ1</t>
        </is>
      </c>
      <c r="AA2" t="inlineStr">
        <is>
          <t>FQ2</t>
        </is>
      </c>
      <c r="AB2" t="inlineStr">
        <is>
          <t>FQ3</t>
        </is>
      </c>
      <c r="AC2" t="inlineStr">
        <is>
          <t>FQ4</t>
        </is>
      </c>
      <c r="AD2" t="inlineStr">
        <is>
          <t>FQ1</t>
        </is>
      </c>
      <c r="AE2" t="inlineStr">
        <is>
          <t>FQ2</t>
        </is>
      </c>
      <c r="AF2" t="inlineStr">
        <is>
          <t>FQ3</t>
        </is>
      </c>
      <c r="AG2" t="inlineStr">
        <is>
          <t>FQ4</t>
        </is>
      </c>
      <c r="AH2" t="inlineStr">
        <is>
          <t>FQ1</t>
        </is>
      </c>
      <c r="AI2" t="inlineStr">
        <is>
          <t>FQ2</t>
        </is>
      </c>
      <c r="AJ2" t="inlineStr">
        <is>
          <t>FQ3</t>
        </is>
      </c>
    </row>
    <row r="4">
      <c r="A4" s="254" t="inlineStr">
        <is>
          <t>COD1</t>
        </is>
      </c>
      <c r="B4" s="254" t="inlineStr">
        <is>
          <t>SINAL1</t>
        </is>
      </c>
      <c r="C4" s="254" t="inlineStr">
        <is>
          <t>COD2</t>
        </is>
      </c>
      <c r="D4" s="254" t="inlineStr">
        <is>
          <t>SINAL2</t>
        </is>
      </c>
      <c r="E4" s="254" t="inlineStr">
        <is>
          <t>COD3</t>
        </is>
      </c>
      <c r="F4" s="254" t="inlineStr">
        <is>
          <t>SINAL3</t>
        </is>
      </c>
      <c r="G4" s="254" t="inlineStr">
        <is>
          <t>UNID</t>
        </is>
      </c>
      <c r="H4" s="254" t="inlineStr">
        <is>
          <t>Conta (PT) / origem</t>
        </is>
      </c>
      <c r="I4" s="254" t="inlineStr">
        <is>
          <t>Account (EN)</t>
        </is>
      </c>
      <c r="J4" s="254" t="inlineStr">
        <is>
          <t>ORIGEM</t>
        </is>
      </c>
      <c r="K4" s="254" t="inlineStr">
        <is>
          <t>1Q20</t>
        </is>
      </c>
      <c r="L4" s="254" t="inlineStr">
        <is>
          <t>2Q20</t>
        </is>
      </c>
      <c r="M4" s="254" t="inlineStr">
        <is>
          <t>3Q20</t>
        </is>
      </c>
      <c r="N4" s="254" t="inlineStr">
        <is>
          <t>4Q20</t>
        </is>
      </c>
      <c r="O4" s="254" t="inlineStr">
        <is>
          <t>1Q21</t>
        </is>
      </c>
      <c r="P4" s="254" t="inlineStr">
        <is>
          <t>2Q21</t>
        </is>
      </c>
      <c r="Q4" s="254" t="inlineStr">
        <is>
          <t>3Q21</t>
        </is>
      </c>
      <c r="R4" s="254" t="inlineStr">
        <is>
          <t>4Q21</t>
        </is>
      </c>
      <c r="S4" s="254" t="inlineStr">
        <is>
          <t>1Q22</t>
        </is>
      </c>
      <c r="T4" s="254" t="inlineStr">
        <is>
          <t>2Q22</t>
        </is>
      </c>
      <c r="U4" s="254" t="inlineStr">
        <is>
          <t>3Q22</t>
        </is>
      </c>
      <c r="V4" s="254" t="inlineStr">
        <is>
          <t>4Q22</t>
        </is>
      </c>
      <c r="W4" s="254" t="inlineStr">
        <is>
          <t>1Q23</t>
        </is>
      </c>
      <c r="X4" s="254" t="inlineStr">
        <is>
          <t>2Q23</t>
        </is>
      </c>
      <c r="Y4" s="254" t="inlineStr">
        <is>
          <t>3Q23</t>
        </is>
      </c>
      <c r="Z4" s="254" t="inlineStr">
        <is>
          <t>4Q23</t>
        </is>
      </c>
      <c r="AA4" s="254" t="inlineStr">
        <is>
          <t>1Q24</t>
        </is>
      </c>
      <c r="AB4" s="254" t="inlineStr">
        <is>
          <t>2Q24</t>
        </is>
      </c>
      <c r="AC4" s="254" t="inlineStr">
        <is>
          <t>3Q24</t>
        </is>
      </c>
      <c r="AD4" s="254" t="inlineStr">
        <is>
          <t>4Q24</t>
        </is>
      </c>
      <c r="AE4" s="254" t="inlineStr">
        <is>
          <t>1Q25</t>
        </is>
      </c>
      <c r="AF4" s="254" t="inlineStr">
        <is>
          <t>2Q25</t>
        </is>
      </c>
      <c r="AG4" s="254" t="inlineStr">
        <is>
          <t>3Q25</t>
        </is>
      </c>
      <c r="AH4" s="254" t="inlineStr">
        <is>
          <t>4Q25</t>
        </is>
      </c>
      <c r="AI4" s="254" t="inlineStr">
        <is>
          <t>1Q26</t>
        </is>
      </c>
      <c r="AJ4" s="254" t="inlineStr">
        <is>
          <t>2Q26</t>
        </is>
      </c>
    </row>
    <row r="5">
      <c r="H5" s="254" t="inlineStr">
        <is>
          <t>DRE - trimestre isolado (USD). Brutos SEC XBRL; linhas "derivada" são fórmulas nesta aba</t>
        </is>
      </c>
    </row>
    <row r="6">
      <c r="A6" t="n">
        <v>1</v>
      </c>
      <c r="B6" t="n">
        <v>1</v>
      </c>
      <c r="G6" t="inlineStr">
        <is>
          <t>moeda</t>
        </is>
      </c>
      <c r="H6" t="inlineStr">
        <is>
          <t>Receita [us-gaap:Revenues/RevenueFromContractWithCustomerExcludingAssessedTax]</t>
        </is>
      </c>
      <c r="J6" t="inlineStr">
        <is>
          <t>fonte</t>
        </is>
      </c>
      <c r="K6" s="259" t="n">
        <v>5742000000</v>
      </c>
      <c r="L6" s="259" t="n">
        <v>5821000000</v>
      </c>
      <c r="M6" s="259" t="n">
        <v>6467000000</v>
      </c>
      <c r="N6" s="259" t="n">
        <v>6655000000</v>
      </c>
      <c r="O6" s="259" t="n">
        <v>6610000000</v>
      </c>
      <c r="P6" s="259" t="n">
        <v>6778000000</v>
      </c>
      <c r="Q6" s="259" t="n">
        <v>7407000000</v>
      </c>
      <c r="R6" s="259" t="n">
        <v>7706000000</v>
      </c>
      <c r="S6" s="259" t="n">
        <v>8103000000</v>
      </c>
      <c r="T6" s="259" t="n">
        <v>8464000000</v>
      </c>
      <c r="U6" s="259" t="n">
        <v>8930000000</v>
      </c>
      <c r="V6" s="259" t="n">
        <v>8915000000</v>
      </c>
      <c r="W6" s="259" t="n">
        <v>8733000000</v>
      </c>
      <c r="X6" s="259" t="n">
        <v>8876000000</v>
      </c>
      <c r="Y6" s="259" t="n">
        <v>9295000000</v>
      </c>
      <c r="Z6" s="259" t="n">
        <v>11961000000</v>
      </c>
      <c r="AA6" s="259" t="n">
        <v>12487000000</v>
      </c>
      <c r="AB6" s="259" t="n">
        <v>13072000000</v>
      </c>
      <c r="AC6" s="259" t="n">
        <v>14054000000</v>
      </c>
      <c r="AD6" s="259" t="n">
        <v>14916000000</v>
      </c>
      <c r="AE6" s="259" t="n">
        <v>15004000000</v>
      </c>
      <c r="AF6" s="259" t="n">
        <v>15952000000</v>
      </c>
      <c r="AG6" s="259" t="n">
        <v>18015000000</v>
      </c>
      <c r="AH6" s="259" t="n">
        <v>19311000000</v>
      </c>
      <c r="AI6" s="259" t="n">
        <v>22187000000</v>
      </c>
      <c r="AJ6" s="259" t="n">
        <v>29591000000</v>
      </c>
    </row>
    <row r="7">
      <c r="A7" t="n">
        <v>2</v>
      </c>
      <c r="B7" t="n">
        <v>-1</v>
      </c>
      <c r="G7" t="inlineStr">
        <is>
          <t>moeda</t>
        </is>
      </c>
      <c r="H7" t="inlineStr">
        <is>
          <t>Custo da receita (divulgado positivo) [us-gaap:CostOfRevenue/CostOfGoodsAndServicesSold]</t>
        </is>
      </c>
      <c r="J7" t="inlineStr">
        <is>
          <t>fonte</t>
        </is>
      </c>
      <c r="K7" s="259" t="n">
        <v>2553000000</v>
      </c>
      <c r="L7" s="259" t="n">
        <v>2505000000</v>
      </c>
      <c r="M7" s="259" t="n">
        <v>2720000000</v>
      </c>
      <c r="N7" s="259" t="n">
        <v>2703000000</v>
      </c>
      <c r="O7" s="259" t="n">
        <v>2553000000</v>
      </c>
      <c r="P7" s="259" t="n">
        <v>2581000000</v>
      </c>
      <c r="Q7" s="259" t="n">
        <v>2769000000</v>
      </c>
      <c r="R7" s="259" t="n">
        <v>2657000000</v>
      </c>
      <c r="S7" s="259" t="n">
        <v>2664000000</v>
      </c>
      <c r="T7" s="259" t="n">
        <v>2783000000</v>
      </c>
      <c r="U7" s="259" t="n">
        <v>3004000000</v>
      </c>
      <c r="V7" s="259" t="n">
        <v>2911000000</v>
      </c>
      <c r="W7" s="259" t="n">
        <v>2618000000</v>
      </c>
      <c r="X7" s="259" t="n">
        <v>2712000000</v>
      </c>
      <c r="Y7" s="259" t="n">
        <v>2888000000</v>
      </c>
      <c r="Z7" s="259" t="n">
        <v>4586000000</v>
      </c>
      <c r="AA7" s="259" t="n">
        <v>4711000000</v>
      </c>
      <c r="AB7" s="259" t="n">
        <v>4716000000</v>
      </c>
      <c r="AC7" s="259" t="n">
        <v>5052000000</v>
      </c>
      <c r="AD7" s="259" t="n">
        <v>4771000000</v>
      </c>
      <c r="AE7" s="259" t="n">
        <v>4807000000</v>
      </c>
      <c r="AF7" s="259" t="n">
        <v>5249000000</v>
      </c>
      <c r="AG7" s="259" t="n">
        <v>5766000000</v>
      </c>
      <c r="AH7" s="259" t="n">
        <v>6154000000</v>
      </c>
      <c r="AI7" s="259" t="n">
        <v>6772000000</v>
      </c>
      <c r="AJ7" s="259" t="n">
        <v>9135000000</v>
      </c>
    </row>
    <row r="8">
      <c r="G8" t="inlineStr">
        <is>
          <t>moeda</t>
        </is>
      </c>
      <c r="H8" t="inlineStr">
        <is>
          <t>Lucro operacional [us-gaap:OperatingIncomeLoss]</t>
        </is>
      </c>
      <c r="J8" t="inlineStr">
        <is>
          <t>memoria</t>
        </is>
      </c>
      <c r="K8" s="259" t="n">
        <v>766000000</v>
      </c>
      <c r="L8" s="259" t="n">
        <v>1008000000</v>
      </c>
      <c r="M8" s="259" t="n">
        <v>1526000000</v>
      </c>
      <c r="N8" s="259" t="n">
        <v>1837000000</v>
      </c>
      <c r="O8" s="259" t="n">
        <v>1975000000</v>
      </c>
      <c r="P8" s="259" t="n">
        <v>2126000000</v>
      </c>
      <c r="Q8" s="259" t="n">
        <v>2581000000</v>
      </c>
      <c r="R8" s="259" t="n">
        <v>3108000000</v>
      </c>
      <c r="S8" s="259" t="n">
        <v>3394000000</v>
      </c>
      <c r="T8" s="259" t="n">
        <v>3737000000</v>
      </c>
      <c r="U8" s="259" t="n">
        <v>3986000000</v>
      </c>
      <c r="V8" s="259" t="n">
        <v>4103000000</v>
      </c>
      <c r="W8" s="259" t="n">
        <v>4008000000</v>
      </c>
      <c r="X8" s="259" t="n">
        <v>3856000000</v>
      </c>
      <c r="Y8" s="259" t="n">
        <v>4240000000</v>
      </c>
      <c r="Z8" s="259" t="n">
        <v>2083000000</v>
      </c>
      <c r="AA8" s="259" t="n">
        <v>2965000000</v>
      </c>
      <c r="AB8" s="259" t="n">
        <v>3788000000</v>
      </c>
      <c r="AC8" s="259" t="n">
        <v>4627000000</v>
      </c>
      <c r="AD8" s="259" t="n">
        <v>6260000000</v>
      </c>
      <c r="AE8" s="259" t="n">
        <v>5829000000</v>
      </c>
      <c r="AF8" s="259" t="n">
        <v>5887000000</v>
      </c>
      <c r="AG8" s="259" t="n">
        <v>7508000000</v>
      </c>
      <c r="AH8" s="259" t="n">
        <v>8563000000</v>
      </c>
      <c r="AI8" s="259" t="n">
        <v>10788000000</v>
      </c>
      <c r="AJ8" s="259" t="n">
        <v>15955000000</v>
      </c>
    </row>
    <row r="9">
      <c r="A9" t="n">
        <v>3</v>
      </c>
      <c r="B9" t="n">
        <v>-1</v>
      </c>
      <c r="G9" t="inlineStr">
        <is>
          <t>moeda</t>
        </is>
      </c>
      <c r="H9" t="inlineStr">
        <is>
          <t>Despesas operacionais = receita - custo - lucro operacional (P&amp;D + SG&amp;A + outras operacionais)</t>
        </is>
      </c>
      <c r="J9" t="inlineStr">
        <is>
          <t>derivada</t>
        </is>
      </c>
      <c r="K9" s="259">
        <f>N(K6)-N(K7)-N(K8)</f>
        <v>2423000000</v>
      </c>
      <c r="L9" s="259">
        <f>N(L6)-N(L7)-N(L8)</f>
        <v>2308000000</v>
      </c>
      <c r="M9" s="259">
        <f>N(M6)-N(M7)-N(M8)</f>
        <v>2221000000</v>
      </c>
      <c r="N9" s="259">
        <f>N(N6)-N(N7)-N(N8)</f>
        <v>2115000000</v>
      </c>
      <c r="O9" s="259">
        <f>N(O6)-N(O7)-N(O8)</f>
        <v>2082000000</v>
      </c>
      <c r="P9" s="259">
        <f>N(P6)-N(P7)-N(P8)</f>
        <v>2071000000</v>
      </c>
      <c r="Q9" s="259">
        <f>N(Q6)-N(Q7)-N(Q8)</f>
        <v>2057000000</v>
      </c>
      <c r="R9" s="259">
        <f>N(R6)-N(R7)-N(R8)</f>
        <v>1941000000</v>
      </c>
      <c r="S9" s="259">
        <f>N(S6)-N(S7)-N(S8)</f>
        <v>2045000000</v>
      </c>
      <c r="T9" s="259">
        <f>N(T6)-N(T7)-N(T8)</f>
        <v>1944000000</v>
      </c>
      <c r="U9" s="259">
        <f>N(U6)-N(U7)-N(U8)</f>
        <v>1940000000</v>
      </c>
      <c r="V9" s="259">
        <f>N(V6)-N(V7)-N(V8)</f>
        <v>1901000000</v>
      </c>
      <c r="W9" s="259">
        <f>N(W6)-N(W7)-N(W8)</f>
        <v>2107000000</v>
      </c>
      <c r="X9" s="259">
        <f>N(X6)-N(X7)-N(X8)</f>
        <v>2308000000</v>
      </c>
      <c r="Y9" s="259">
        <f>N(Y6)-N(Y7)-N(Y8)</f>
        <v>2167000000</v>
      </c>
      <c r="Z9" s="259">
        <f>N(Z6)-N(Z7)-N(Z8)</f>
        <v>5292000000</v>
      </c>
      <c r="AA9" s="259">
        <f>N(AA6)-N(AA7)-N(AA8)</f>
        <v>4811000000</v>
      </c>
      <c r="AB9" s="259">
        <f>N(AB6)-N(AB7)-N(AB8)</f>
        <v>4568000000</v>
      </c>
      <c r="AC9" s="259">
        <f>N(AC6)-N(AC7)-N(AC8)</f>
        <v>4375000000</v>
      </c>
      <c r="AD9" s="259">
        <f>N(AD6)-N(AD7)-N(AD8)</f>
        <v>3885000000</v>
      </c>
      <c r="AE9" s="259">
        <f>N(AE6)-N(AE7)-N(AE8)</f>
        <v>4368000000</v>
      </c>
      <c r="AF9" s="259">
        <f>N(AF6)-N(AF7)-N(AF8)</f>
        <v>4816000000</v>
      </c>
      <c r="AG9" s="259">
        <f>N(AG6)-N(AG7)-N(AG8)</f>
        <v>4741000000</v>
      </c>
      <c r="AH9" s="259">
        <f>N(AH6)-N(AH7)-N(AH8)</f>
        <v>4594000000</v>
      </c>
      <c r="AI9" s="259">
        <f>N(AI6)-N(AI7)-N(AI8)</f>
        <v>4627000000</v>
      </c>
      <c r="AJ9" s="259">
        <f>N(AJ6)-N(AJ7)-N(AJ8)</f>
        <v>4501000000</v>
      </c>
    </row>
    <row r="10">
      <c r="G10" t="inlineStr">
        <is>
          <t>moeda</t>
        </is>
      </c>
      <c r="H10" t="inlineStr">
        <is>
          <t>Lucro antes do IR [us-gaap:IncomeLossFromContinuingOperationsBeforeIncomeTaxesExtraordi]</t>
        </is>
      </c>
      <c r="J10" t="inlineStr">
        <is>
          <t>memoria</t>
        </is>
      </c>
      <c r="K10" s="259" t="n">
        <v>409000000</v>
      </c>
      <c r="L10" s="259" t="n">
        <v>593000000</v>
      </c>
      <c r="M10" s="259" t="n">
        <v>1137000000</v>
      </c>
      <c r="N10" s="259" t="n">
        <v>1384000000</v>
      </c>
      <c r="O10" s="259" t="n">
        <v>1486000000</v>
      </c>
      <c r="P10" s="259" t="n">
        <v>1726000000</v>
      </c>
      <c r="Q10" s="259" t="n">
        <v>2169000000</v>
      </c>
      <c r="R10" s="259" t="n">
        <v>2687000000</v>
      </c>
      <c r="S10" s="259" t="n">
        <v>2790000000</v>
      </c>
      <c r="T10" s="259" t="n">
        <v>3337000000</v>
      </c>
      <c r="U10" s="259" t="n">
        <v>3620000000</v>
      </c>
      <c r="V10" s="259" t="n">
        <v>3840000000</v>
      </c>
      <c r="W10" s="259" t="n">
        <v>3716000000</v>
      </c>
      <c r="X10" s="259" t="n">
        <v>3574000000</v>
      </c>
      <c r="Y10" s="259" t="n">
        <v>3967000000</v>
      </c>
      <c r="Z10" s="259" t="n">
        <v>1342000000</v>
      </c>
      <c r="AA10" s="259" t="n">
        <v>2005000000</v>
      </c>
      <c r="AB10" s="259" t="n">
        <v>2806000000</v>
      </c>
      <c r="AC10" s="259" t="n">
        <v>3763000000</v>
      </c>
      <c r="AD10" s="259" t="n">
        <v>5490000000</v>
      </c>
      <c r="AE10" s="259" t="n">
        <v>5085000000</v>
      </c>
      <c r="AF10" s="259" t="n">
        <v>5285000000</v>
      </c>
      <c r="AG10" s="259" t="n">
        <v>6869000000</v>
      </c>
      <c r="AH10" s="259" t="n">
        <v>8195000000</v>
      </c>
      <c r="AI10" s="259" t="n">
        <v>10130000000</v>
      </c>
      <c r="AJ10" s="259" t="n">
        <v>15275000000</v>
      </c>
    </row>
    <row r="11">
      <c r="A11" t="n">
        <v>6</v>
      </c>
      <c r="B11" t="n">
        <v>1</v>
      </c>
      <c r="G11" t="inlineStr">
        <is>
          <t>moeda</t>
        </is>
      </c>
      <c r="H11" t="inlineStr">
        <is>
          <t>Resultado não operacional total = lucro antes do IR - lucro operacional</t>
        </is>
      </c>
      <c r="J11" t="inlineStr">
        <is>
          <t>derivada</t>
        </is>
      </c>
      <c r="K11" s="259">
        <f>N(K10)-N(K8)</f>
        <v>-357000000</v>
      </c>
      <c r="L11" s="259">
        <f>N(L10)-N(L8)</f>
        <v>-415000000</v>
      </c>
      <c r="M11" s="259">
        <f>N(M10)-N(M8)</f>
        <v>-389000000</v>
      </c>
      <c r="N11" s="259">
        <f>N(N10)-N(N8)</f>
        <v>-453000000</v>
      </c>
      <c r="O11" s="259">
        <f>N(O10)-N(O8)</f>
        <v>-489000000</v>
      </c>
      <c r="P11" s="259">
        <f>N(P10)-N(P8)</f>
        <v>-400000000</v>
      </c>
      <c r="Q11" s="259">
        <f>N(Q10)-N(Q8)</f>
        <v>-412000000</v>
      </c>
      <c r="R11" s="259">
        <f>N(R10)-N(R8)</f>
        <v>-421000000</v>
      </c>
      <c r="S11" s="259">
        <f>N(S10)-N(S8)</f>
        <v>-604000000</v>
      </c>
      <c r="T11" s="259">
        <f>N(T10)-N(T8)</f>
        <v>-400000000</v>
      </c>
      <c r="U11" s="259">
        <f>N(U10)-N(U8)</f>
        <v>-366000000</v>
      </c>
      <c r="V11" s="259">
        <f>N(V10)-N(V8)</f>
        <v>-263000000</v>
      </c>
      <c r="W11" s="259">
        <f>N(W10)-N(W8)</f>
        <v>-292000000</v>
      </c>
      <c r="X11" s="259">
        <f>N(X10)-N(X8)</f>
        <v>-282000000</v>
      </c>
      <c r="Y11" s="259">
        <f>N(Y10)-N(Y8)</f>
        <v>-273000000</v>
      </c>
      <c r="Z11" s="259">
        <f>N(Z10)-N(Z8)</f>
        <v>-741000000</v>
      </c>
      <c r="AA11" s="259">
        <f>N(AA10)-N(AA8)</f>
        <v>-960000000</v>
      </c>
      <c r="AB11" s="259">
        <f>N(AB10)-N(AB8)</f>
        <v>-982000000</v>
      </c>
      <c r="AC11" s="259">
        <f>N(AC10)-N(AC8)</f>
        <v>-864000000</v>
      </c>
      <c r="AD11" s="259">
        <f>N(AD10)-N(AD8)</f>
        <v>-770000000</v>
      </c>
      <c r="AE11" s="259">
        <f>N(AE10)-N(AE8)</f>
        <v>-744000000</v>
      </c>
      <c r="AF11" s="259">
        <f>N(AF10)-N(AF8)</f>
        <v>-602000000</v>
      </c>
      <c r="AG11" s="259">
        <f>N(AG10)-N(AG8)</f>
        <v>-639000000</v>
      </c>
      <c r="AH11" s="259">
        <f>N(AH10)-N(AH8)</f>
        <v>-368000000</v>
      </c>
      <c r="AI11" s="259">
        <f>N(AI10)-N(AI8)</f>
        <v>-658000000</v>
      </c>
      <c r="AJ11" s="259">
        <f>N(AJ10)-N(AJ8)</f>
        <v>-680000000</v>
      </c>
    </row>
    <row r="12">
      <c r="A12" t="n">
        <v>5</v>
      </c>
      <c r="B12" t="n">
        <v>-1</v>
      </c>
      <c r="C12" t="n">
        <v>6</v>
      </c>
      <c r="D12" t="n">
        <v>1</v>
      </c>
      <c r="G12" t="inlineStr">
        <is>
          <t>moeda</t>
        </is>
      </c>
      <c r="H12" t="inlineStr">
        <is>
          <t>Despesa de juros (divulgado positivo): COD1=5 lança; COD2=6 devolve ao não operacional, que já a contém [us-gaap:InterestExpense/InterestExpenseNonoperating]</t>
        </is>
      </c>
      <c r="J12" t="inlineStr">
        <is>
          <t>fonte</t>
        </is>
      </c>
      <c r="K12" s="259" t="n">
        <v>487000000</v>
      </c>
      <c r="L12" s="259" t="n">
        <v>464000000</v>
      </c>
      <c r="M12" s="259" t="n">
        <v>420000000</v>
      </c>
      <c r="N12" s="259" t="n">
        <v>570000000</v>
      </c>
      <c r="O12" s="259" t="n">
        <v>466000000</v>
      </c>
      <c r="P12" s="259" t="n">
        <v>415000000</v>
      </c>
      <c r="Q12" s="259" t="n">
        <v>434000000</v>
      </c>
      <c r="R12" s="259" t="n">
        <v>407000000</v>
      </c>
      <c r="S12" s="259" t="n">
        <v>518000000</v>
      </c>
      <c r="T12" s="259" t="n">
        <v>406000000</v>
      </c>
      <c r="U12" s="259" t="n">
        <v>406000000</v>
      </c>
      <c r="V12" s="259" t="n">
        <v>406000000</v>
      </c>
      <c r="W12" s="259" t="n">
        <v>405000000</v>
      </c>
      <c r="X12" s="259" t="n">
        <v>406000000</v>
      </c>
      <c r="Y12" s="259" t="n">
        <v>405000000</v>
      </c>
      <c r="Z12" s="259" t="n">
        <v>926000000</v>
      </c>
      <c r="AA12" s="259" t="n">
        <v>1047000000</v>
      </c>
      <c r="AB12" s="259" t="n">
        <v>1064000000</v>
      </c>
      <c r="AC12" s="259" t="n">
        <v>916000000</v>
      </c>
      <c r="AD12" s="259" t="n">
        <v>873000000</v>
      </c>
      <c r="AE12" s="259" t="n">
        <v>769000000</v>
      </c>
      <c r="AF12" s="259" t="n">
        <v>807000000</v>
      </c>
      <c r="AG12" s="259" t="n">
        <v>761000000</v>
      </c>
      <c r="AH12" s="259" t="n">
        <v>801000000</v>
      </c>
      <c r="AI12" s="259" t="n">
        <v>776000000</v>
      </c>
      <c r="AJ12" s="259" t="n">
        <v>778000000</v>
      </c>
    </row>
    <row r="13">
      <c r="A13" t="n">
        <v>7</v>
      </c>
      <c r="B13" t="n">
        <v>-1</v>
      </c>
      <c r="G13" t="inlineStr">
        <is>
          <t>moeda</t>
        </is>
      </c>
      <c r="H13" t="inlineStr">
        <is>
          <t>Imposto de renda (divulgado positivo) [us-gaap:IncomeTaxExpenseBenefit]</t>
        </is>
      </c>
      <c r="J13" t="inlineStr">
        <is>
          <t>fonte</t>
        </is>
      </c>
      <c r="K13" s="259" t="n">
        <v>-159000000</v>
      </c>
      <c r="L13" s="259" t="n">
        <v>-96000000</v>
      </c>
      <c r="M13" s="259" t="n">
        <v>-187000000</v>
      </c>
      <c r="N13" s="259" t="n">
        <v>6000000</v>
      </c>
      <c r="O13" s="259" t="n">
        <v>-7000000</v>
      </c>
      <c r="P13" s="259" t="n">
        <v>-150000000</v>
      </c>
      <c r="Q13" s="259" t="n">
        <v>180000000</v>
      </c>
      <c r="R13" s="259" t="n">
        <v>215000000</v>
      </c>
      <c r="S13" s="259" t="n">
        <v>200000000</v>
      </c>
      <c r="T13" s="259" t="n">
        <v>263000000</v>
      </c>
      <c r="U13" s="259" t="n">
        <v>261000000</v>
      </c>
      <c r="V13" s="259" t="n">
        <v>66000000</v>
      </c>
      <c r="W13" s="259" t="n">
        <v>235000000</v>
      </c>
      <c r="X13" s="259" t="n">
        <v>271000000</v>
      </c>
      <c r="Y13" s="259" t="n">
        <v>443000000</v>
      </c>
      <c r="Z13" s="259" t="n">
        <v>68000000</v>
      </c>
      <c r="AA13" s="259" t="n">
        <v>-116000000</v>
      </c>
      <c r="AB13" s="259" t="n">
        <v>4238000000</v>
      </c>
      <c r="AC13" s="259" t="n">
        <v>-442000000</v>
      </c>
      <c r="AD13" s="259" t="n">
        <v>-13000000</v>
      </c>
      <c r="AE13" s="259" t="n">
        <v>120000000</v>
      </c>
      <c r="AF13" s="259" t="n">
        <v>1145000000</v>
      </c>
      <c r="AG13" s="259" t="n">
        <v>-1649000000</v>
      </c>
      <c r="AH13" s="259" t="n">
        <v>846000000</v>
      </c>
      <c r="AI13" s="259" t="n">
        <v>820000000</v>
      </c>
      <c r="AJ13" s="259" t="n">
        <v>2187000000</v>
      </c>
    </row>
    <row r="14">
      <c r="G14" t="inlineStr">
        <is>
          <t>moeda</t>
        </is>
      </c>
      <c r="H14" t="inlineStr">
        <is>
          <t>Lucro líquido atribuído à companhia [us-gaap:NetIncomeLoss]</t>
        </is>
      </c>
      <c r="J14" t="inlineStr">
        <is>
          <t>memoria</t>
        </is>
      </c>
      <c r="K14" s="259" t="n">
        <v>488000000</v>
      </c>
      <c r="L14" s="259" t="n">
        <v>614000000</v>
      </c>
      <c r="M14" s="259" t="n">
        <v>1250000000</v>
      </c>
      <c r="N14" s="259" t="n">
        <v>1304000000</v>
      </c>
      <c r="O14" s="259" t="n">
        <v>1417000000</v>
      </c>
      <c r="P14" s="259" t="n">
        <v>1802000000</v>
      </c>
      <c r="Q14" s="259" t="n">
        <v>1914000000</v>
      </c>
      <c r="R14" s="259" t="n">
        <v>2398000000</v>
      </c>
      <c r="S14" s="259" t="n">
        <v>2515000000</v>
      </c>
      <c r="T14" s="259" t="n">
        <v>2999000000</v>
      </c>
      <c r="U14" s="259" t="n">
        <v>3583000000</v>
      </c>
      <c r="V14" s="259" t="n">
        <v>3774000000</v>
      </c>
      <c r="W14" s="259" t="n">
        <v>3481000000</v>
      </c>
      <c r="X14" s="259" t="n">
        <v>3303000000</v>
      </c>
      <c r="Y14" s="259" t="n">
        <v>3524000000</v>
      </c>
      <c r="Z14" s="259" t="n">
        <v>1325000000</v>
      </c>
      <c r="AA14" s="259" t="n">
        <v>2121000000</v>
      </c>
      <c r="AB14" s="259" t="n">
        <v>-1875000000</v>
      </c>
      <c r="AC14" s="259" t="n">
        <v>4324000000</v>
      </c>
      <c r="AD14" s="259" t="n">
        <v>5503000000</v>
      </c>
      <c r="AE14" s="259" t="n">
        <v>4965000000</v>
      </c>
      <c r="AF14" s="259" t="n">
        <v>4140000000</v>
      </c>
      <c r="AG14" s="259" t="n">
        <v>8518000000</v>
      </c>
      <c r="AH14" s="259" t="n">
        <v>7349000000</v>
      </c>
      <c r="AI14" s="259" t="n">
        <v>9310000000</v>
      </c>
      <c r="AJ14" s="259" t="n">
        <v>13088000000</v>
      </c>
    </row>
    <row r="15">
      <c r="A15" t="n">
        <v>8</v>
      </c>
      <c r="B15" t="n">
        <v>1</v>
      </c>
      <c r="G15" t="inlineStr">
        <is>
          <t>moeda</t>
        </is>
      </c>
      <c r="H15" t="inlineStr">
        <is>
          <t>Resultado após IR não classificado acima (equivalência patrimonial, operações descontinuadas): lucro - (LAIR - IR - minoritários); zero quando não há</t>
        </is>
      </c>
      <c r="J15" t="inlineStr">
        <is>
          <t>derivada</t>
        </is>
      </c>
      <c r="K15" s="259">
        <f>N(K14)-(N(K10)-N(K13)-0)</f>
        <v>-80000000</v>
      </c>
      <c r="L15" s="259">
        <f>N(L14)-(N(L10)-N(L13)-0)</f>
        <v>-75000000</v>
      </c>
      <c r="M15" s="259">
        <f>N(M14)-(N(M10)-N(M13)-0)</f>
        <v>-74000000</v>
      </c>
      <c r="N15" s="259">
        <f>N(N14)-(N(N10)-N(N13)-0)</f>
        <v>-74000000</v>
      </c>
      <c r="O15" s="259">
        <f>N(O14)-(N(O10)-N(O13)-0)</f>
        <v>-76000000</v>
      </c>
      <c r="P15" s="259">
        <f>N(P14)-(N(P10)-N(P13)-0)</f>
        <v>-74000000</v>
      </c>
      <c r="Q15" s="259">
        <f>N(Q14)-(N(Q10)-N(Q13)-0)</f>
        <v>-75000000</v>
      </c>
      <c r="R15" s="259">
        <f>N(R14)-(N(R10)-N(R13)-0)</f>
        <v>-74000000</v>
      </c>
      <c r="S15" s="259">
        <f>N(S14)-(N(S10)-N(S13)-0)</f>
        <v>-75000000</v>
      </c>
      <c r="T15" s="259">
        <f>N(T14)-(N(T10)-N(T13)-0)</f>
        <v>-75000000</v>
      </c>
      <c r="U15" s="259">
        <f>N(U14)-(N(U10)-N(U13)-0)</f>
        <v>224000000</v>
      </c>
      <c r="V15" s="259">
        <f>N(V14)-(N(V10)-N(V13)-0)</f>
        <v>0</v>
      </c>
      <c r="W15" s="259">
        <f>N(W14)-(N(W10)-N(W13)-0)</f>
        <v>0</v>
      </c>
      <c r="X15" s="259">
        <f>N(X14)-(N(X10)-N(X13)-0)</f>
        <v>0</v>
      </c>
      <c r="Y15" s="259">
        <f>N(Y14)-(N(Y10)-N(Y13)-0)</f>
        <v>0</v>
      </c>
      <c r="Z15" s="259">
        <f>N(Z14)-(N(Z10)-N(Z13)-0)</f>
        <v>51000000</v>
      </c>
      <c r="AA15" s="259">
        <f>N(AA14)-(N(AA10)-N(AA13)-0)</f>
        <v>0</v>
      </c>
      <c r="AB15" s="259">
        <f>N(AB14)-(N(AB10)-N(AB13)-0)</f>
        <v>-443000000</v>
      </c>
      <c r="AC15" s="259">
        <f>N(AC14)-(N(AC10)-N(AC13)-0)</f>
        <v>119000000</v>
      </c>
      <c r="AD15" s="259">
        <f>N(AD14)-(N(AD10)-N(AD13)-0)</f>
        <v>0</v>
      </c>
      <c r="AE15" s="259">
        <f>N(AE14)-(N(AE10)-N(AE13)-0)</f>
        <v>0</v>
      </c>
      <c r="AF15" s="259">
        <f>N(AF14)-(N(AF10)-N(AF13)-0)</f>
        <v>0</v>
      </c>
      <c r="AG15" s="259">
        <f>N(AG14)-(N(AG10)-N(AG13)-0)</f>
        <v>0</v>
      </c>
      <c r="AH15" s="259">
        <f>N(AH14)-(N(AH10)-N(AH13)-0)</f>
        <v>0</v>
      </c>
      <c r="AI15" s="259">
        <f>N(AI14)-(N(AI10)-N(AI13)-0)</f>
        <v>0</v>
      </c>
      <c r="AJ15" s="259">
        <f>N(AJ14)-(N(AJ10)-N(AJ13)-0)</f>
        <v>0</v>
      </c>
    </row>
    <row r="16">
      <c r="A16" t="n">
        <v>44</v>
      </c>
      <c r="B16" t="n">
        <v>1</v>
      </c>
      <c r="G16" t="inlineStr">
        <is>
          <t>moeda</t>
        </is>
      </c>
      <c r="H16" t="inlineStr">
        <is>
          <t>Lucro líquido (check IS, código 44)</t>
        </is>
      </c>
      <c r="J16" t="inlineStr">
        <is>
          <t>derivada</t>
        </is>
      </c>
      <c r="K16" s="259">
        <f>N(K14)</f>
        <v>488000000</v>
      </c>
      <c r="L16" s="259">
        <f>N(L14)</f>
        <v>614000000</v>
      </c>
      <c r="M16" s="259">
        <f>N(M14)</f>
        <v>1250000000</v>
      </c>
      <c r="N16" s="259">
        <f>N(N14)</f>
        <v>1304000000</v>
      </c>
      <c r="O16" s="259">
        <f>N(O14)</f>
        <v>1417000000</v>
      </c>
      <c r="P16" s="259">
        <f>N(P14)</f>
        <v>1802000000</v>
      </c>
      <c r="Q16" s="259">
        <f>N(Q14)</f>
        <v>1914000000</v>
      </c>
      <c r="R16" s="259">
        <f>N(R14)</f>
        <v>2398000000</v>
      </c>
      <c r="S16" s="259">
        <f>N(S14)</f>
        <v>2515000000</v>
      </c>
      <c r="T16" s="259">
        <f>N(T14)</f>
        <v>2999000000</v>
      </c>
      <c r="U16" s="259">
        <f>N(U14)</f>
        <v>3583000000</v>
      </c>
      <c r="V16" s="259">
        <f>N(V14)</f>
        <v>3774000000</v>
      </c>
      <c r="W16" s="259">
        <f>N(W14)</f>
        <v>3481000000</v>
      </c>
      <c r="X16" s="259">
        <f>N(X14)</f>
        <v>3303000000</v>
      </c>
      <c r="Y16" s="259">
        <f>N(Y14)</f>
        <v>3524000000</v>
      </c>
      <c r="Z16" s="259">
        <f>N(Z14)</f>
        <v>1325000000</v>
      </c>
      <c r="AA16" s="259">
        <f>N(AA14)</f>
        <v>2121000000</v>
      </c>
      <c r="AB16" s="259">
        <f>N(AB14)</f>
        <v>-1875000000</v>
      </c>
      <c r="AC16" s="259">
        <f>N(AC14)</f>
        <v>4324000000</v>
      </c>
      <c r="AD16" s="259">
        <f>N(AD14)</f>
        <v>5503000000</v>
      </c>
      <c r="AE16" s="259">
        <f>N(AE14)</f>
        <v>4965000000</v>
      </c>
      <c r="AF16" s="259">
        <f>N(AF14)</f>
        <v>4140000000</v>
      </c>
      <c r="AG16" s="259">
        <f>N(AG14)</f>
        <v>8518000000</v>
      </c>
      <c r="AH16" s="259">
        <f>N(AH14)</f>
        <v>7349000000</v>
      </c>
      <c r="AI16" s="259">
        <f>N(AI14)</f>
        <v>9310000000</v>
      </c>
      <c r="AJ16" s="259">
        <f>N(AJ14)</f>
        <v>13088000000</v>
      </c>
    </row>
    <row r="17">
      <c r="H17" s="254" t="inlineStr">
        <is>
          <t>DFC - trimestre isolado (desacumulado na extração)</t>
        </is>
      </c>
    </row>
    <row r="18">
      <c r="A18" t="n">
        <v>4</v>
      </c>
      <c r="B18" t="n">
        <v>-1</v>
      </c>
      <c r="C18" t="n">
        <v>3</v>
      </c>
      <c r="D18" t="n">
        <v>1</v>
      </c>
      <c r="G18" t="inlineStr">
        <is>
          <t>moeda</t>
        </is>
      </c>
      <c r="H18" t="inlineStr">
        <is>
          <t>D&amp;A (fluxo de caixa). COD1=4 lança (positivo -&gt; -1); COD2=3 devolve às despesas operacionais (a companhia não abre D&amp;A entre custo e despesa) [us-gaap:Depreciation+Amortizationofintangibleandrightofuseassets]</t>
        </is>
      </c>
      <c r="J18" t="inlineStr">
        <is>
          <t>fonte</t>
        </is>
      </c>
      <c r="K18" s="259" t="n">
        <v>1730000000</v>
      </c>
      <c r="L18" s="259" t="n">
        <v>1719000000</v>
      </c>
      <c r="M18" s="259" t="n">
        <v>1728000000</v>
      </c>
      <c r="N18" s="259" t="n">
        <v>1533000000</v>
      </c>
      <c r="O18" s="259" t="n">
        <v>1504000000</v>
      </c>
      <c r="P18" s="259" t="n">
        <v>1503000000</v>
      </c>
      <c r="Q18" s="259" t="n">
        <v>1501000000</v>
      </c>
      <c r="R18" s="259" t="n">
        <v>1287000000</v>
      </c>
      <c r="S18" s="259" t="n">
        <v>1264000000</v>
      </c>
      <c r="T18" s="259" t="n">
        <v>1217000000</v>
      </c>
      <c r="U18" s="259" t="n">
        <v>1216000000</v>
      </c>
      <c r="V18" s="259" t="n">
        <v>1032000000</v>
      </c>
      <c r="W18" s="259" t="n">
        <v>939000000</v>
      </c>
      <c r="X18" s="259" t="n">
        <v>932000000</v>
      </c>
      <c r="Y18" s="259" t="n">
        <v>932000000</v>
      </c>
      <c r="Z18" s="259" t="n">
        <v>2345000000</v>
      </c>
      <c r="AA18" s="259" t="n">
        <v>2530000000</v>
      </c>
      <c r="AB18" s="259" t="n">
        <v>2524000000</v>
      </c>
      <c r="AC18" s="259" t="n">
        <v>2611000000</v>
      </c>
      <c r="AD18" s="259" t="n">
        <v>2174000000</v>
      </c>
      <c r="AE18" s="259" t="n">
        <v>2131000000</v>
      </c>
      <c r="AF18" s="259" t="n">
        <v>2168000000</v>
      </c>
      <c r="AG18" s="259" t="n">
        <v>2233000000</v>
      </c>
      <c r="AH18" s="259" t="n">
        <v>2153000000</v>
      </c>
      <c r="AI18" s="259" t="n">
        <v>2130000000</v>
      </c>
      <c r="AJ18" s="259" t="n">
        <v>2177000000</v>
      </c>
    </row>
    <row r="19">
      <c r="A19" t="n">
        <v>10</v>
      </c>
      <c r="B19" t="n">
        <v>-1</v>
      </c>
      <c r="G19" t="inlineStr">
        <is>
          <t>moeda</t>
        </is>
      </c>
      <c r="H19" t="inlineStr">
        <is>
          <t>Dividendos pagos [us-gaap:PaymentsOfDividends]</t>
        </is>
      </c>
      <c r="J19" t="inlineStr">
        <is>
          <t>fonte</t>
        </is>
      </c>
      <c r="K19" s="259" t="n">
        <v>1306000000</v>
      </c>
      <c r="L19" s="259" t="n">
        <v>1312000000</v>
      </c>
      <c r="M19" s="259" t="n">
        <v>1395000000</v>
      </c>
      <c r="N19" s="259" t="n">
        <v>1543000000</v>
      </c>
      <c r="O19" s="259" t="n">
        <v>1477000000</v>
      </c>
      <c r="P19" s="259" t="n">
        <v>1482000000</v>
      </c>
      <c r="Q19" s="259" t="n">
        <v>1561000000</v>
      </c>
      <c r="R19" s="259" t="n">
        <v>1764000000</v>
      </c>
      <c r="S19" s="259" t="n">
        <v>1676000000</v>
      </c>
      <c r="T19" s="259" t="n">
        <v>1661000000</v>
      </c>
      <c r="U19" s="259" t="n">
        <v>1782000000</v>
      </c>
      <c r="V19" s="259" t="n">
        <v>1926000000</v>
      </c>
      <c r="W19" s="259" t="n">
        <v>1914000000</v>
      </c>
      <c r="X19" s="259" t="n">
        <v>1901000000</v>
      </c>
      <c r="Y19" s="259" t="n">
        <v>1904000000</v>
      </c>
      <c r="Z19" s="259" t="n">
        <v>2435000000</v>
      </c>
      <c r="AA19" s="259" t="n">
        <v>2443000000</v>
      </c>
      <c r="AB19" s="259" t="n">
        <v>2452000000</v>
      </c>
      <c r="AC19" s="259" t="n">
        <v>2484000000</v>
      </c>
      <c r="AD19" s="259" t="n">
        <v>2774000000</v>
      </c>
      <c r="AE19" s="259" t="n">
        <v>2785000000</v>
      </c>
      <c r="AF19" s="259" t="n">
        <v>2786000000</v>
      </c>
      <c r="AG19" s="259" t="n">
        <v>2797000000</v>
      </c>
      <c r="AH19" s="259" t="n">
        <v>3086000000</v>
      </c>
      <c r="AI19" s="259" t="n">
        <v>3092000000</v>
      </c>
      <c r="AJ19" s="259" t="n">
        <v>3103000000</v>
      </c>
    </row>
    <row r="20">
      <c r="H20" s="254" t="inlineStr">
        <is>
          <t>BALANÇO DE FACE (USD, saldo no fim do trimestre; cada trimestre lido da instância do próprio 10-Q/10-K)</t>
        </is>
      </c>
    </row>
    <row r="21">
      <c r="A21" t="n">
        <v>11</v>
      </c>
      <c r="B21" t="n">
        <v>1</v>
      </c>
      <c r="G21" t="inlineStr">
        <is>
          <t>moeda</t>
        </is>
      </c>
      <c r="H21" t="inlineStr">
        <is>
          <t>CashAndCashEquivalentsAtCarryingValue</t>
        </is>
      </c>
      <c r="J21" t="inlineStr">
        <is>
          <t>fonte</t>
        </is>
      </c>
      <c r="K21" s="259" t="n">
        <v>9207000000</v>
      </c>
      <c r="L21" s="259" t="n">
        <v>8857000000</v>
      </c>
      <c r="M21" s="259" t="n">
        <v>7618000000</v>
      </c>
      <c r="N21" s="259" t="n">
        <v>9552000000</v>
      </c>
      <c r="O21" s="259" t="n">
        <v>9518000000</v>
      </c>
      <c r="P21" s="259" t="n">
        <v>11105000000</v>
      </c>
      <c r="Q21" s="259" t="n">
        <v>12163000000</v>
      </c>
      <c r="R21" s="259" t="n">
        <v>10219000000</v>
      </c>
      <c r="S21" s="259" t="n">
        <v>9005000000</v>
      </c>
      <c r="T21" s="259" t="n">
        <v>9977000000</v>
      </c>
      <c r="U21" s="259" t="n">
        <v>12416000000</v>
      </c>
      <c r="V21" s="259" t="n">
        <v>12647000000</v>
      </c>
      <c r="W21" s="259" t="n">
        <v>11553000000</v>
      </c>
      <c r="X21" s="259" t="n">
        <v>12055000000</v>
      </c>
      <c r="Y21" s="259" t="n">
        <v>14189000000</v>
      </c>
      <c r="Z21" s="259" t="n">
        <v>11864000000</v>
      </c>
      <c r="AA21" s="259" t="n">
        <v>9809000000</v>
      </c>
      <c r="AB21" s="259" t="n">
        <v>9952000000</v>
      </c>
      <c r="AC21" s="259" t="n">
        <v>9348000000</v>
      </c>
      <c r="AD21" s="259" t="n">
        <v>9307000000</v>
      </c>
      <c r="AE21" s="259" t="n">
        <v>9472000000</v>
      </c>
      <c r="AF21" s="259" t="n">
        <v>10718000000</v>
      </c>
      <c r="AG21" s="259" t="n">
        <v>16178000000</v>
      </c>
      <c r="AH21" s="259" t="n">
        <v>14174000000</v>
      </c>
      <c r="AI21" s="259" t="n">
        <v>19628000000</v>
      </c>
      <c r="AJ21" s="259" t="n">
        <v>23975000000</v>
      </c>
    </row>
    <row r="22">
      <c r="A22" t="n">
        <v>12</v>
      </c>
      <c r="B22" t="n">
        <v>1</v>
      </c>
      <c r="G22" t="inlineStr">
        <is>
          <t>moeda</t>
        </is>
      </c>
      <c r="H22" t="inlineStr">
        <is>
          <t>AccountsReceivableNetCurrent</t>
        </is>
      </c>
      <c r="J22" t="inlineStr">
        <is>
          <t>fonte</t>
        </is>
      </c>
      <c r="K22" s="259" t="n">
        <v>3211000000</v>
      </c>
      <c r="L22" s="259" t="n">
        <v>2684000000</v>
      </c>
      <c r="M22" s="259" t="n">
        <v>2297000000</v>
      </c>
      <c r="N22" s="259" t="n">
        <v>2524000000</v>
      </c>
      <c r="O22" s="259" t="n">
        <v>2425000000</v>
      </c>
      <c r="P22" s="259" t="n">
        <v>2234000000</v>
      </c>
      <c r="Q22" s="259" t="n">
        <v>2071000000</v>
      </c>
      <c r="R22" s="259" t="n">
        <v>2539000000</v>
      </c>
      <c r="S22" s="259" t="n">
        <v>3083000000</v>
      </c>
      <c r="T22" s="259" t="n">
        <v>2708000000</v>
      </c>
      <c r="U22" s="259" t="n">
        <v>2958000000</v>
      </c>
      <c r="V22" s="259" t="n">
        <v>3234000000</v>
      </c>
      <c r="W22" s="259" t="n">
        <v>3031000000</v>
      </c>
      <c r="X22" s="259" t="n">
        <v>2914000000</v>
      </c>
      <c r="Y22" s="259" t="n">
        <v>3154000000</v>
      </c>
      <c r="Z22" s="259" t="n">
        <v>4969000000</v>
      </c>
      <c r="AA22" s="259" t="n">
        <v>5500000000</v>
      </c>
      <c r="AB22" s="259" t="n">
        <v>4665000000</v>
      </c>
      <c r="AC22" s="259" t="n">
        <v>4416000000</v>
      </c>
      <c r="AD22" s="259" t="n">
        <v>4955000000</v>
      </c>
      <c r="AE22" s="259" t="n">
        <v>5563000000</v>
      </c>
      <c r="AF22" s="259" t="n">
        <v>6494000000</v>
      </c>
      <c r="AG22" s="259" t="n">
        <v>7145000000</v>
      </c>
      <c r="AH22" s="259" t="n">
        <v>8460000000</v>
      </c>
      <c r="AI22" s="259" t="n">
        <v>10830000000</v>
      </c>
      <c r="AJ22" s="259" t="n">
        <v>13707000000</v>
      </c>
    </row>
    <row r="23">
      <c r="A23" t="n">
        <v>13</v>
      </c>
      <c r="B23" t="n">
        <v>1</v>
      </c>
      <c r="G23" t="inlineStr">
        <is>
          <t>moeda</t>
        </is>
      </c>
      <c r="H23" t="inlineStr">
        <is>
          <t>InventoryNet</t>
        </is>
      </c>
      <c r="J23" t="inlineStr">
        <is>
          <t>fonte</t>
        </is>
      </c>
      <c r="K23" s="259" t="n">
        <v>953000000</v>
      </c>
      <c r="L23" s="259" t="n">
        <v>1081000000</v>
      </c>
      <c r="M23" s="259" t="n">
        <v>1003000000</v>
      </c>
      <c r="N23" s="259" t="n">
        <v>952000000</v>
      </c>
      <c r="O23" s="259" t="n">
        <v>1004000000</v>
      </c>
      <c r="P23" s="259" t="n">
        <v>1160000000</v>
      </c>
      <c r="Q23" s="259" t="n">
        <v>1297000000</v>
      </c>
      <c r="R23" s="259" t="n">
        <v>1520000000</v>
      </c>
      <c r="S23" s="259" t="n">
        <v>1668000000</v>
      </c>
      <c r="T23" s="259" t="n">
        <v>1838000000</v>
      </c>
      <c r="U23" s="259" t="n">
        <v>1925000000</v>
      </c>
      <c r="V23" s="259" t="n">
        <v>1899000000</v>
      </c>
      <c r="W23" s="259" t="n">
        <v>1886000000</v>
      </c>
      <c r="X23" s="259" t="n">
        <v>1842000000</v>
      </c>
      <c r="Y23" s="259" t="n">
        <v>1898000000</v>
      </c>
      <c r="Z23" s="259" t="n">
        <v>1920000000</v>
      </c>
      <c r="AA23" s="259" t="n">
        <v>1842000000</v>
      </c>
      <c r="AB23" s="259" t="n">
        <v>1894000000</v>
      </c>
      <c r="AC23" s="259" t="n">
        <v>1760000000</v>
      </c>
      <c r="AD23" s="259" t="n">
        <v>1908000000</v>
      </c>
      <c r="AE23" s="259" t="n">
        <v>2017000000</v>
      </c>
      <c r="AF23" s="259" t="n">
        <v>2180000000</v>
      </c>
      <c r="AG23" s="259" t="n">
        <v>2270000000</v>
      </c>
      <c r="AH23" s="259" t="n">
        <v>2962000000</v>
      </c>
      <c r="AI23" s="259" t="n">
        <v>4328000000</v>
      </c>
      <c r="AJ23" s="259" t="n">
        <v>4523000000</v>
      </c>
    </row>
    <row r="24">
      <c r="A24" t="n">
        <v>16</v>
      </c>
      <c r="B24" t="n">
        <v>1</v>
      </c>
      <c r="G24" t="inlineStr">
        <is>
          <t>moeda</t>
        </is>
      </c>
      <c r="H24" t="inlineStr">
        <is>
          <t>OtherAssetsCurrent</t>
        </is>
      </c>
      <c r="J24" t="inlineStr">
        <is>
          <t>fonte</t>
        </is>
      </c>
      <c r="K24" s="259" t="n">
        <v>851000000</v>
      </c>
      <c r="L24" s="259" t="n">
        <v>1059000000</v>
      </c>
      <c r="M24" s="259" t="n">
        <v>977000000</v>
      </c>
      <c r="N24" s="259" t="n">
        <v>1272000000</v>
      </c>
      <c r="O24" s="259" t="n">
        <v>1298000000</v>
      </c>
      <c r="P24" s="259" t="n">
        <v>1137000000</v>
      </c>
      <c r="Q24" s="259" t="n">
        <v>1055000000</v>
      </c>
      <c r="R24" s="259" t="n">
        <v>1063000000</v>
      </c>
      <c r="S24" s="259" t="n">
        <v>1054000000</v>
      </c>
      <c r="T24" s="259" t="n">
        <v>1038000000</v>
      </c>
      <c r="U24" s="259" t="n">
        <v>1205000000</v>
      </c>
      <c r="V24" s="259" t="n">
        <v>1056000000</v>
      </c>
      <c r="W24" s="259" t="n">
        <v>1401000000</v>
      </c>
      <c r="X24" s="259" t="n">
        <v>1522000000</v>
      </c>
      <c r="Y24" s="259" t="n">
        <v>1606000000</v>
      </c>
      <c r="Z24" s="259" t="n">
        <v>8439000000</v>
      </c>
      <c r="AA24" s="259" t="n">
        <v>8151000000</v>
      </c>
      <c r="AB24" s="259" t="n">
        <v>3436000000</v>
      </c>
      <c r="AC24" s="259" t="n">
        <v>4071000000</v>
      </c>
      <c r="AD24" s="259" t="n">
        <v>4820000000</v>
      </c>
      <c r="AE24" s="259" t="n">
        <v>5129000000</v>
      </c>
      <c r="AF24" s="259" t="n">
        <v>5606000000</v>
      </c>
      <c r="AG24" s="259" t="n">
        <v>5980000000</v>
      </c>
      <c r="AH24" s="259" t="n">
        <v>6466000000</v>
      </c>
      <c r="AI24" s="259" t="n">
        <v>7427000000</v>
      </c>
      <c r="AJ24" s="259" t="n">
        <v>9968000000</v>
      </c>
    </row>
    <row r="25">
      <c r="A25" t="n">
        <v>18</v>
      </c>
      <c r="B25" t="n">
        <v>1</v>
      </c>
      <c r="G25" t="inlineStr">
        <is>
          <t>moeda</t>
        </is>
      </c>
      <c r="H25" t="inlineStr">
        <is>
          <t>PropertyPlantAndEquipmentNet</t>
        </is>
      </c>
      <c r="J25" t="inlineStr">
        <is>
          <t>fonte</t>
        </is>
      </c>
      <c r="K25" s="259" t="n">
        <v>2618000000</v>
      </c>
      <c r="L25" s="259" t="n">
        <v>2567000000</v>
      </c>
      <c r="M25" s="259" t="n">
        <v>2509000000</v>
      </c>
      <c r="N25" s="259" t="n">
        <v>2496000000</v>
      </c>
      <c r="O25" s="259" t="n">
        <v>2416000000</v>
      </c>
      <c r="P25" s="259" t="n">
        <v>2370000000</v>
      </c>
      <c r="Q25" s="259" t="n">
        <v>2348000000</v>
      </c>
      <c r="R25" s="259" t="n">
        <v>2303000000</v>
      </c>
      <c r="S25" s="259" t="n">
        <v>2262000000</v>
      </c>
      <c r="T25" s="259" t="n">
        <v>2250000000</v>
      </c>
      <c r="U25" s="259" t="n">
        <v>2223000000</v>
      </c>
      <c r="V25" s="259" t="n">
        <v>2201000000</v>
      </c>
      <c r="W25" s="259" t="n">
        <v>2209000000</v>
      </c>
      <c r="X25" s="259" t="n">
        <v>2180000000</v>
      </c>
      <c r="Y25" s="259" t="n">
        <v>2154000000</v>
      </c>
      <c r="Z25" s="259" t="n">
        <v>2662000000</v>
      </c>
      <c r="AA25" s="259" t="n">
        <v>2668000000</v>
      </c>
      <c r="AB25" s="259" t="n">
        <v>2602000000</v>
      </c>
      <c r="AC25" s="259" t="n">
        <v>2521000000</v>
      </c>
      <c r="AD25" s="259" t="n">
        <v>2465000000</v>
      </c>
      <c r="AE25" s="259" t="n">
        <v>2462000000</v>
      </c>
      <c r="AF25" s="259" t="n">
        <v>2451000000</v>
      </c>
      <c r="AG25" s="259" t="n">
        <v>2530000000</v>
      </c>
      <c r="AH25" s="259" t="n">
        <v>2599000000</v>
      </c>
      <c r="AI25" s="259" t="n">
        <v>2788000000</v>
      </c>
      <c r="AJ25" s="259" t="n">
        <v>3144000000</v>
      </c>
    </row>
    <row r="26">
      <c r="A26" t="n">
        <v>20</v>
      </c>
      <c r="B26" t="n">
        <v>1</v>
      </c>
      <c r="G26" t="inlineStr">
        <is>
          <t>moeda</t>
        </is>
      </c>
      <c r="H26" t="inlineStr">
        <is>
          <t>Goodwill</t>
        </is>
      </c>
      <c r="J26" t="inlineStr">
        <is>
          <t>fonte</t>
        </is>
      </c>
      <c r="K26" s="259" t="n">
        <v>43457000000</v>
      </c>
      <c r="L26" s="259" t="n">
        <v>43447000000</v>
      </c>
      <c r="M26" s="259" t="n">
        <v>43447000000</v>
      </c>
      <c r="N26" s="259" t="n">
        <v>43457000000</v>
      </c>
      <c r="O26" s="259" t="n">
        <v>43457000000</v>
      </c>
      <c r="P26" s="259" t="n">
        <v>43457000000</v>
      </c>
      <c r="Q26" s="259" t="n">
        <v>43450000000</v>
      </c>
      <c r="R26" s="259" t="n">
        <v>43450000000</v>
      </c>
      <c r="S26" s="259" t="n">
        <v>43603000000</v>
      </c>
      <c r="T26" s="259" t="n">
        <v>43608000000</v>
      </c>
      <c r="U26" s="259" t="n">
        <v>43614000000</v>
      </c>
      <c r="V26" s="259" t="n">
        <v>43614000000</v>
      </c>
      <c r="W26" s="259" t="n">
        <v>43614000000</v>
      </c>
      <c r="X26" s="259" t="n">
        <v>43619000000</v>
      </c>
      <c r="Y26" s="259" t="n">
        <v>43653000000</v>
      </c>
      <c r="Z26" s="259" t="n">
        <v>97586000000</v>
      </c>
      <c r="AA26" s="259" t="n">
        <v>97873000000</v>
      </c>
      <c r="AB26" s="259" t="n">
        <v>97873000000</v>
      </c>
      <c r="AC26" s="259" t="n">
        <v>97873000000</v>
      </c>
      <c r="AD26" s="259" t="n">
        <v>97871000000</v>
      </c>
      <c r="AE26" s="259" t="n">
        <v>97801000000</v>
      </c>
      <c r="AF26" s="259" t="n">
        <v>97801000000</v>
      </c>
      <c r="AG26" s="259" t="n">
        <v>97801000000</v>
      </c>
      <c r="AH26" s="259" t="n">
        <v>97801000000</v>
      </c>
      <c r="AI26" s="259" t="n">
        <v>97801000000</v>
      </c>
      <c r="AJ26" s="259" t="n">
        <v>97801000000</v>
      </c>
    </row>
    <row r="27">
      <c r="A27" t="n">
        <v>21</v>
      </c>
      <c r="B27" t="n">
        <v>1</v>
      </c>
      <c r="G27" t="inlineStr">
        <is>
          <t>moeda</t>
        </is>
      </c>
      <c r="H27" t="inlineStr">
        <is>
          <t>IntangibleAssetsNetExcludingGoodwill</t>
        </is>
      </c>
      <c r="J27" t="inlineStr">
        <is>
          <t>fonte</t>
        </is>
      </c>
      <c r="K27" s="259" t="n">
        <v>19909000000</v>
      </c>
      <c r="L27" s="259" t="n">
        <v>18357000000</v>
      </c>
      <c r="M27" s="259" t="n">
        <v>16782000000</v>
      </c>
      <c r="N27" s="259" t="n">
        <v>15419000000</v>
      </c>
      <c r="O27" s="259" t="n">
        <v>14068000000</v>
      </c>
      <c r="P27" s="259" t="n">
        <v>12719000000</v>
      </c>
      <c r="Q27" s="259" t="n">
        <v>11374000000</v>
      </c>
      <c r="R27" s="259" t="n">
        <v>10244000000</v>
      </c>
      <c r="S27" s="259" t="n">
        <v>9241000000</v>
      </c>
      <c r="T27" s="259" t="n">
        <v>8174000000</v>
      </c>
      <c r="U27" s="259" t="n">
        <v>7111000000</v>
      </c>
      <c r="V27" s="259" t="n">
        <v>6225000000</v>
      </c>
      <c r="W27" s="259" t="n">
        <v>5434000000</v>
      </c>
      <c r="X27" s="259" t="n">
        <v>4654000000</v>
      </c>
      <c r="Y27" s="259" t="n">
        <v>3867000000</v>
      </c>
      <c r="Z27" s="259" t="n">
        <v>47185000000</v>
      </c>
      <c r="AA27" s="259" t="n">
        <v>45407000000</v>
      </c>
      <c r="AB27" s="259" t="n">
        <v>43034000000</v>
      </c>
      <c r="AC27" s="259" t="n">
        <v>40583000000</v>
      </c>
      <c r="AD27" s="259" t="n">
        <v>38583000000</v>
      </c>
      <c r="AE27" s="259" t="n">
        <v>36393000000</v>
      </c>
      <c r="AF27" s="259" t="n">
        <v>34344000000</v>
      </c>
      <c r="AG27" s="259" t="n">
        <v>32273000000</v>
      </c>
      <c r="AH27" s="259" t="n">
        <v>30302000000</v>
      </c>
      <c r="AI27" s="259" t="n">
        <v>28333000000</v>
      </c>
      <c r="AJ27" s="259" t="n">
        <v>26325000000</v>
      </c>
    </row>
    <row r="28">
      <c r="A28" t="n">
        <v>22</v>
      </c>
      <c r="B28" t="n">
        <v>1</v>
      </c>
      <c r="G28" t="inlineStr">
        <is>
          <t>moeda</t>
        </is>
      </c>
      <c r="H28" t="inlineStr">
        <is>
          <t>OtherAssetsNoncurrent</t>
        </is>
      </c>
      <c r="J28" t="inlineStr">
        <is>
          <t>fonte</t>
        </is>
      </c>
      <c r="K28" s="259" t="n">
        <v>1342000000</v>
      </c>
      <c r="L28" s="259" t="n">
        <v>1246000000</v>
      </c>
      <c r="M28" s="259" t="n">
        <v>1300000000</v>
      </c>
      <c r="N28" s="259" t="n">
        <v>1300000000</v>
      </c>
      <c r="O28" s="259" t="n">
        <v>1338000000</v>
      </c>
      <c r="P28" s="259" t="n">
        <v>1698000000</v>
      </c>
      <c r="Q28" s="259" t="n">
        <v>1812000000</v>
      </c>
      <c r="R28" s="259" t="n">
        <v>1886000000</v>
      </c>
      <c r="S28" s="259" t="n">
        <v>1803000000</v>
      </c>
      <c r="T28" s="259" t="n">
        <v>1733000000</v>
      </c>
      <c r="U28" s="259" t="n">
        <v>1797000000</v>
      </c>
      <c r="V28" s="259" t="n">
        <v>2100000000</v>
      </c>
      <c r="W28" s="259" t="n">
        <v>2539000000</v>
      </c>
      <c r="X28" s="259" t="n">
        <v>2809000000</v>
      </c>
      <c r="Y28" s="259" t="n">
        <v>2340000000</v>
      </c>
      <c r="Z28" s="259" t="n">
        <v>3245000000</v>
      </c>
      <c r="AA28" s="259" t="n">
        <v>3961000000</v>
      </c>
      <c r="AB28" s="259" t="n">
        <v>4510000000</v>
      </c>
      <c r="AC28" s="259" t="n">
        <v>5073000000</v>
      </c>
      <c r="AD28" s="259" t="n">
        <v>5449000000</v>
      </c>
      <c r="AE28" s="259" t="n">
        <v>5793000000</v>
      </c>
      <c r="AF28" s="259" t="n">
        <v>6027000000</v>
      </c>
      <c r="AG28" s="259" t="n">
        <v>6915000000</v>
      </c>
      <c r="AH28" s="259" t="n">
        <v>7139000000</v>
      </c>
      <c r="AI28" s="259" t="n">
        <v>8023000000</v>
      </c>
      <c r="AJ28" s="259" t="n">
        <v>8705000000</v>
      </c>
    </row>
    <row r="29">
      <c r="A29" t="n">
        <v>23</v>
      </c>
      <c r="B29" t="n">
        <v>1</v>
      </c>
      <c r="G29" t="inlineStr">
        <is>
          <t>moeda</t>
        </is>
      </c>
      <c r="H29" t="inlineStr">
        <is>
          <t>AccountsPayableCurrent</t>
        </is>
      </c>
      <c r="J29" t="inlineStr">
        <is>
          <t>fonte</t>
        </is>
      </c>
      <c r="K29" s="259" t="n">
        <v>1230000000</v>
      </c>
      <c r="L29" s="259" t="n">
        <v>1092000000</v>
      </c>
      <c r="M29" s="259" t="n">
        <v>836000000</v>
      </c>
      <c r="N29" s="259" t="n">
        <v>898000000</v>
      </c>
      <c r="O29" s="259" t="n">
        <v>830000000</v>
      </c>
      <c r="P29" s="259" t="n">
        <v>968000000</v>
      </c>
      <c r="Q29" s="259" t="n">
        <v>1086000000</v>
      </c>
      <c r="R29" s="259" t="n">
        <v>1078000000</v>
      </c>
      <c r="S29" s="259" t="n">
        <v>1069000000</v>
      </c>
      <c r="T29" s="259" t="n">
        <v>712000000</v>
      </c>
      <c r="U29" s="259" t="n">
        <v>998000000</v>
      </c>
      <c r="V29" s="259" t="n">
        <v>923000000</v>
      </c>
      <c r="W29" s="259" t="n">
        <v>831000000</v>
      </c>
      <c r="X29" s="259" t="n">
        <v>992000000</v>
      </c>
      <c r="Y29" s="259" t="n">
        <v>1210000000</v>
      </c>
      <c r="Z29" s="259" t="n">
        <v>1496000000</v>
      </c>
      <c r="AA29" s="259" t="n">
        <v>1441000000</v>
      </c>
      <c r="AB29" s="259" t="n">
        <v>1757000000</v>
      </c>
      <c r="AC29" s="259" t="n">
        <v>1662000000</v>
      </c>
      <c r="AD29" s="259" t="n">
        <v>1905000000</v>
      </c>
      <c r="AE29" s="259" t="n">
        <v>1297000000</v>
      </c>
      <c r="AF29" s="259" t="n">
        <v>1432000000</v>
      </c>
      <c r="AG29" s="259" t="n">
        <v>1560000000</v>
      </c>
      <c r="AH29" s="259" t="n">
        <v>2112000000</v>
      </c>
      <c r="AI29" s="259" t="n">
        <v>2337000000</v>
      </c>
      <c r="AJ29" s="259" t="n">
        <v>4000000000</v>
      </c>
    </row>
    <row r="30">
      <c r="A30" t="n">
        <v>24</v>
      </c>
      <c r="B30" t="n">
        <v>1</v>
      </c>
      <c r="G30" t="inlineStr">
        <is>
          <t>moeda</t>
        </is>
      </c>
      <c r="H30" t="inlineStr">
        <is>
          <t>EmployeeRelatedLiabilitiesCurrent</t>
        </is>
      </c>
      <c r="J30" t="inlineStr">
        <is>
          <t>fonte</t>
        </is>
      </c>
      <c r="K30" s="259" t="n">
        <v>494000000</v>
      </c>
      <c r="L30" s="259" t="n">
        <v>732000000</v>
      </c>
      <c r="M30" s="259" t="n">
        <v>877000000</v>
      </c>
      <c r="N30" s="259" t="n">
        <v>494000000</v>
      </c>
      <c r="O30" s="259" t="n">
        <v>639000000</v>
      </c>
      <c r="P30" s="259" t="n">
        <v>893000000</v>
      </c>
      <c r="Q30" s="259" t="n">
        <v>1066000000</v>
      </c>
      <c r="R30" s="259" t="n">
        <v>531000000</v>
      </c>
      <c r="S30" s="259" t="n">
        <v>751000000</v>
      </c>
      <c r="T30" s="259" t="n">
        <v>1079000000</v>
      </c>
      <c r="U30" s="259" t="n">
        <v>1202000000</v>
      </c>
      <c r="V30" s="259" t="n">
        <v>536000000</v>
      </c>
      <c r="W30" s="259" t="n">
        <v>634000000</v>
      </c>
      <c r="X30" s="259" t="n">
        <v>831000000</v>
      </c>
      <c r="Y30" s="259" t="n">
        <v>935000000</v>
      </c>
      <c r="Z30" s="259" t="n">
        <v>1128000000</v>
      </c>
      <c r="AA30" s="259" t="n">
        <v>1385000000</v>
      </c>
      <c r="AB30" s="259" t="n">
        <v>1725000000</v>
      </c>
      <c r="AC30" s="259" t="n">
        <v>1971000000</v>
      </c>
      <c r="AD30" s="259" t="n">
        <v>922000000</v>
      </c>
      <c r="AE30" s="259" t="n">
        <v>1266000000</v>
      </c>
      <c r="AF30" s="259" t="n">
        <v>1719000000</v>
      </c>
      <c r="AG30" s="259" t="n">
        <v>2129000000</v>
      </c>
      <c r="AH30" s="259" t="n">
        <v>864000000</v>
      </c>
      <c r="AI30" s="259" t="n">
        <v>1134000000</v>
      </c>
      <c r="AJ30" s="259" t="n">
        <v>1506000000</v>
      </c>
    </row>
    <row r="31">
      <c r="A31" t="n">
        <v>26</v>
      </c>
      <c r="B31" t="n">
        <v>1</v>
      </c>
      <c r="G31" t="inlineStr">
        <is>
          <t>moeda</t>
        </is>
      </c>
      <c r="H31" t="inlineStr">
        <is>
          <t>OtherLiabilitiesCurrent</t>
        </is>
      </c>
      <c r="J31" t="inlineStr">
        <is>
          <t>fonte</t>
        </is>
      </c>
      <c r="K31" s="259" t="n">
        <v>4058000000</v>
      </c>
      <c r="L31" s="259" t="n">
        <v>4056000000</v>
      </c>
      <c r="M31" s="259" t="n">
        <v>3831000000</v>
      </c>
      <c r="N31" s="259" t="n">
        <v>4438000000</v>
      </c>
      <c r="O31" s="259" t="n">
        <v>4689000000</v>
      </c>
      <c r="P31" s="259" t="n">
        <v>4361000000</v>
      </c>
      <c r="Q31" s="259" t="n">
        <v>3839000000</v>
      </c>
      <c r="R31" s="259" t="n">
        <v>4378000000</v>
      </c>
      <c r="S31" s="259" t="n">
        <v>4788000000</v>
      </c>
      <c r="T31" s="259" t="n">
        <v>4607000000</v>
      </c>
      <c r="U31" s="259" t="n">
        <v>4412000000</v>
      </c>
      <c r="V31" s="259" t="n">
        <v>4909000000</v>
      </c>
      <c r="W31" s="259" t="n">
        <v>4929000000</v>
      </c>
      <c r="X31" s="259" t="n">
        <v>4403000000</v>
      </c>
      <c r="Y31" s="259" t="n">
        <v>3652000000</v>
      </c>
      <c r="Z31" s="259" t="n">
        <v>15312000000</v>
      </c>
      <c r="AA31" s="259" t="n">
        <v>14919000000</v>
      </c>
      <c r="AB31" s="259" t="n">
        <v>12578000000</v>
      </c>
      <c r="AC31" s="259" t="n">
        <v>11793000000</v>
      </c>
      <c r="AD31" s="259" t="n">
        <v>12430000000</v>
      </c>
      <c r="AE31" s="259" t="n">
        <v>12503000000</v>
      </c>
      <c r="AF31" s="259" t="n">
        <v>12154000000</v>
      </c>
      <c r="AG31" s="259" t="n">
        <v>11673000000</v>
      </c>
      <c r="AH31" s="259" t="n">
        <v>11631000000</v>
      </c>
      <c r="AI31" s="259" t="n">
        <v>13139000000</v>
      </c>
      <c r="AJ31" s="259" t="n">
        <v>13080000000</v>
      </c>
    </row>
    <row r="32">
      <c r="A32" t="n">
        <v>27</v>
      </c>
      <c r="B32" t="n">
        <v>1</v>
      </c>
      <c r="G32" t="inlineStr">
        <is>
          <t>moeda</t>
        </is>
      </c>
      <c r="H32" t="inlineStr">
        <is>
          <t>LongTermDebtCurrent</t>
        </is>
      </c>
      <c r="J32" t="inlineStr">
        <is>
          <t>fonte</t>
        </is>
      </c>
      <c r="K32" s="259" t="n">
        <v>819000000</v>
      </c>
      <c r="L32" s="259" t="n">
        <v>822000000</v>
      </c>
      <c r="M32" s="259" t="n">
        <v>827000000</v>
      </c>
      <c r="N32" s="259" t="n">
        <v>864000000</v>
      </c>
      <c r="O32" s="259" t="n">
        <v>0</v>
      </c>
      <c r="P32" s="259" t="n">
        <v>279000000</v>
      </c>
      <c r="Q32" s="259" t="n">
        <v>290000000</v>
      </c>
      <c r="R32" s="259" t="n">
        <v>300000000</v>
      </c>
      <c r="S32" s="259" t="n">
        <v>0</v>
      </c>
      <c r="T32" s="259" t="n">
        <v>0</v>
      </c>
      <c r="U32" s="259" t="n">
        <v>0</v>
      </c>
      <c r="V32" s="259" t="n">
        <v>0</v>
      </c>
      <c r="W32" s="259" t="n">
        <v>0</v>
      </c>
      <c r="X32" s="259" t="n">
        <v>0</v>
      </c>
      <c r="Y32" s="259" t="n">
        <v>0</v>
      </c>
      <c r="Z32" s="259" t="n">
        <v>0</v>
      </c>
      <c r="AA32" s="259" t="n">
        <v>0</v>
      </c>
      <c r="AB32" s="259" t="n">
        <v>0</v>
      </c>
      <c r="AC32" s="259" t="n">
        <v>0</v>
      </c>
      <c r="AD32" s="259" t="n">
        <v>0</v>
      </c>
      <c r="AE32" s="259" t="n">
        <v>0</v>
      </c>
      <c r="AF32" s="259" t="n">
        <v>0</v>
      </c>
      <c r="AG32" s="259" t="n">
        <v>0</v>
      </c>
      <c r="AH32" s="259" t="n">
        <v>0</v>
      </c>
      <c r="AI32" s="259" t="n">
        <v>0</v>
      </c>
      <c r="AJ32" s="259" t="n">
        <v>0</v>
      </c>
    </row>
    <row r="33">
      <c r="A33" t="n">
        <v>27</v>
      </c>
      <c r="B33" t="n">
        <v>1</v>
      </c>
      <c r="G33" t="inlineStr">
        <is>
          <t>moeda</t>
        </is>
      </c>
      <c r="H33" t="inlineStr">
        <is>
          <t>LongTermDebtAndCapitalLeaseObligationsCurrent</t>
        </is>
      </c>
      <c r="J33" t="inlineStr">
        <is>
          <t>fonte</t>
        </is>
      </c>
      <c r="K33" s="259" t="n">
        <v>0</v>
      </c>
      <c r="L33" s="259" t="n">
        <v>0</v>
      </c>
      <c r="M33" s="259" t="n">
        <v>0</v>
      </c>
      <c r="N33" s="259" t="n">
        <v>0</v>
      </c>
      <c r="O33" s="259" t="n">
        <v>278000000</v>
      </c>
      <c r="P33" s="259" t="n">
        <v>0</v>
      </c>
      <c r="Q33" s="259" t="n">
        <v>0</v>
      </c>
      <c r="R33" s="259" t="n">
        <v>0</v>
      </c>
      <c r="S33" s="259" t="n">
        <v>302000000</v>
      </c>
      <c r="T33" s="259" t="n">
        <v>304000000</v>
      </c>
      <c r="U33" s="259" t="n">
        <v>440000000</v>
      </c>
      <c r="V33" s="259" t="n">
        <v>1115000000</v>
      </c>
      <c r="W33" s="259" t="n">
        <v>1117000000</v>
      </c>
      <c r="X33" s="259" t="n">
        <v>1119000000</v>
      </c>
      <c r="Y33" s="259" t="n">
        <v>1608000000</v>
      </c>
      <c r="Z33" s="259" t="n">
        <v>2433000000</v>
      </c>
      <c r="AA33" s="259" t="n">
        <v>2426000000</v>
      </c>
      <c r="AB33" s="259" t="n">
        <v>3161000000</v>
      </c>
      <c r="AC33" s="259" t="n">
        <v>1271000000</v>
      </c>
      <c r="AD33" s="259" t="n">
        <v>0</v>
      </c>
      <c r="AE33" s="259" t="n">
        <v>0</v>
      </c>
      <c r="AF33" s="259" t="n">
        <v>0</v>
      </c>
      <c r="AG33" s="259" t="n">
        <v>3152000000</v>
      </c>
      <c r="AH33" s="259" t="n">
        <v>0</v>
      </c>
      <c r="AI33" s="259" t="n">
        <v>0</v>
      </c>
      <c r="AJ33" s="259" t="n">
        <v>0</v>
      </c>
    </row>
    <row r="34">
      <c r="A34" t="n">
        <v>27</v>
      </c>
      <c r="B34" t="n">
        <v>1</v>
      </c>
      <c r="G34" t="inlineStr">
        <is>
          <t>moeda</t>
        </is>
      </c>
      <c r="H34" t="inlineStr">
        <is>
          <t>DebtCurrent</t>
        </is>
      </c>
      <c r="J34" t="inlineStr">
        <is>
          <t>fonte</t>
        </is>
      </c>
      <c r="K34" s="259" t="n">
        <v>0</v>
      </c>
      <c r="L34" s="259" t="n">
        <v>0</v>
      </c>
      <c r="M34" s="259" t="n">
        <v>0</v>
      </c>
      <c r="N34" s="259" t="n">
        <v>0</v>
      </c>
      <c r="O34" s="259" t="n">
        <v>0</v>
      </c>
      <c r="P34" s="259" t="n">
        <v>0</v>
      </c>
      <c r="Q34" s="259" t="n">
        <v>0</v>
      </c>
      <c r="R34" s="259" t="n">
        <v>0</v>
      </c>
      <c r="S34" s="259" t="n">
        <v>0</v>
      </c>
      <c r="T34" s="259" t="n">
        <v>0</v>
      </c>
      <c r="U34" s="259" t="n">
        <v>0</v>
      </c>
      <c r="V34" s="259" t="n">
        <v>0</v>
      </c>
      <c r="W34" s="259" t="n">
        <v>0</v>
      </c>
      <c r="X34" s="259" t="n">
        <v>0</v>
      </c>
      <c r="Y34" s="259" t="n">
        <v>0</v>
      </c>
      <c r="Z34" s="259" t="n">
        <v>0</v>
      </c>
      <c r="AA34" s="259" t="n">
        <v>0</v>
      </c>
      <c r="AB34" s="259" t="n">
        <v>0</v>
      </c>
      <c r="AC34" s="259" t="n">
        <v>0</v>
      </c>
      <c r="AD34" s="259" t="n">
        <v>5653000000</v>
      </c>
      <c r="AE34" s="259" t="n">
        <v>5531000000</v>
      </c>
      <c r="AF34" s="259" t="n">
        <v>1399000000</v>
      </c>
      <c r="AG34" s="259" t="n">
        <v>0</v>
      </c>
      <c r="AH34" s="259" t="n">
        <v>2252000000</v>
      </c>
      <c r="AI34" s="259" t="n">
        <v>2252000000</v>
      </c>
      <c r="AJ34" s="259" t="n">
        <v>2252000000</v>
      </c>
    </row>
    <row r="35">
      <c r="A35" t="n">
        <v>30</v>
      </c>
      <c r="B35" t="n">
        <v>1</v>
      </c>
      <c r="G35" t="inlineStr">
        <is>
          <t>moeda</t>
        </is>
      </c>
      <c r="H35" t="inlineStr">
        <is>
          <t>LongTermDebtNoncurrent</t>
        </is>
      </c>
      <c r="J35" t="inlineStr">
        <is>
          <t>fonte</t>
        </is>
      </c>
      <c r="K35" s="259" t="n">
        <v>45044000000</v>
      </c>
      <c r="L35" s="259" t="n">
        <v>43201000000</v>
      </c>
      <c r="M35" s="259" t="n">
        <v>40235000000</v>
      </c>
      <c r="N35" s="259" t="n">
        <v>41068000000</v>
      </c>
      <c r="O35" s="259" t="n">
        <v>40160000000</v>
      </c>
      <c r="P35" s="259" t="n">
        <v>40178000000</v>
      </c>
      <c r="Q35" s="259" t="n">
        <v>39440000000</v>
      </c>
      <c r="R35" s="259" t="n">
        <v>39205000000</v>
      </c>
      <c r="S35" s="259" t="n">
        <v>0</v>
      </c>
      <c r="T35" s="259" t="n">
        <v>0</v>
      </c>
      <c r="U35" s="259" t="n">
        <v>0</v>
      </c>
      <c r="V35" s="259" t="n">
        <v>0</v>
      </c>
      <c r="W35" s="259" t="n">
        <v>0</v>
      </c>
      <c r="X35" s="259" t="n">
        <v>0</v>
      </c>
      <c r="Y35" s="259" t="n">
        <v>0</v>
      </c>
      <c r="Z35" s="259" t="n">
        <v>0</v>
      </c>
      <c r="AA35" s="259" t="n">
        <v>0</v>
      </c>
      <c r="AB35" s="259" t="n">
        <v>0</v>
      </c>
      <c r="AC35" s="259" t="n">
        <v>0</v>
      </c>
      <c r="AD35" s="259" t="n">
        <v>0</v>
      </c>
      <c r="AE35" s="259" t="n">
        <v>0</v>
      </c>
      <c r="AF35" s="259" t="n">
        <v>0</v>
      </c>
      <c r="AG35" s="259" t="n">
        <v>0</v>
      </c>
      <c r="AH35" s="259" t="n">
        <v>0</v>
      </c>
      <c r="AI35" s="259" t="n">
        <v>0</v>
      </c>
      <c r="AJ35" s="259" t="n">
        <v>0</v>
      </c>
    </row>
    <row r="36">
      <c r="A36" t="n">
        <v>30</v>
      </c>
      <c r="B36" t="n">
        <v>1</v>
      </c>
      <c r="G36" t="inlineStr">
        <is>
          <t>moeda</t>
        </is>
      </c>
      <c r="H36" t="inlineStr">
        <is>
          <t>LongTermDebtAndCapitalLeaseObligations</t>
        </is>
      </c>
      <c r="J36" t="inlineStr">
        <is>
          <t>fonte</t>
        </is>
      </c>
      <c r="K36" s="259" t="n">
        <v>0</v>
      </c>
      <c r="L36" s="259" t="n">
        <v>0</v>
      </c>
      <c r="M36" s="259" t="n">
        <v>0</v>
      </c>
      <c r="N36" s="259" t="n">
        <v>0</v>
      </c>
      <c r="O36" s="259" t="n">
        <v>0</v>
      </c>
      <c r="P36" s="259" t="n">
        <v>0</v>
      </c>
      <c r="Q36" s="259" t="n">
        <v>0</v>
      </c>
      <c r="R36" s="259" t="n">
        <v>0</v>
      </c>
      <c r="S36" s="259" t="n">
        <v>39164000000</v>
      </c>
      <c r="T36" s="259" t="n">
        <v>39191000000</v>
      </c>
      <c r="U36" s="259" t="n">
        <v>39075000000</v>
      </c>
      <c r="V36" s="259" t="n">
        <v>38167000000</v>
      </c>
      <c r="W36" s="259" t="n">
        <v>38194000000</v>
      </c>
      <c r="X36" s="259" t="n">
        <v>38222000000</v>
      </c>
      <c r="Y36" s="259" t="n">
        <v>37621000000</v>
      </c>
      <c r="Z36" s="259" t="n">
        <v>73468000000</v>
      </c>
      <c r="AA36" s="259" t="n">
        <v>71590000000</v>
      </c>
      <c r="AB36" s="259" t="n">
        <v>66798000000</v>
      </c>
      <c r="AC36" s="259" t="n">
        <v>66295000000</v>
      </c>
      <c r="AD36" s="259" t="n">
        <v>60926000000</v>
      </c>
      <c r="AE36" s="259" t="n">
        <v>61751000000</v>
      </c>
      <c r="AF36" s="259" t="n">
        <v>62830000000</v>
      </c>
      <c r="AG36" s="259" t="n">
        <v>61984000000</v>
      </c>
      <c r="AH36" s="259" t="n">
        <v>63805000000</v>
      </c>
      <c r="AI36" s="259" t="n">
        <v>62655000000</v>
      </c>
      <c r="AJ36" s="259" t="n">
        <v>57167000000</v>
      </c>
    </row>
    <row r="37">
      <c r="A37" t="n">
        <v>34</v>
      </c>
      <c r="B37" t="n">
        <v>1</v>
      </c>
      <c r="G37" t="inlineStr">
        <is>
          <t>moeda</t>
        </is>
      </c>
      <c r="H37" t="inlineStr">
        <is>
          <t>OtherLiabilitiesNoncurrent</t>
        </is>
      </c>
      <c r="J37" t="inlineStr">
        <is>
          <t>fonte</t>
        </is>
      </c>
      <c r="K37" s="259" t="n">
        <v>5933000000</v>
      </c>
      <c r="L37" s="259" t="n">
        <v>5810000000</v>
      </c>
      <c r="M37" s="259" t="n">
        <v>5426000000</v>
      </c>
      <c r="N37" s="259" t="n">
        <v>5211000000</v>
      </c>
      <c r="O37" s="259" t="n">
        <v>4962000000</v>
      </c>
      <c r="P37" s="259" t="n">
        <v>4834000000</v>
      </c>
      <c r="Q37" s="259" t="n">
        <v>4860000000</v>
      </c>
      <c r="R37" s="259" t="n">
        <v>4738000000</v>
      </c>
      <c r="S37" s="259" t="n">
        <v>4655000000</v>
      </c>
      <c r="T37" s="259" t="n">
        <v>4530000000</v>
      </c>
      <c r="U37" s="259" t="n">
        <v>4413000000</v>
      </c>
      <c r="V37" s="259" t="n">
        <v>4016000000</v>
      </c>
      <c r="W37" s="259" t="n">
        <v>3955000000</v>
      </c>
      <c r="X37" s="259" t="n">
        <v>3949000000</v>
      </c>
      <c r="Y37" s="259" t="n">
        <v>3847000000</v>
      </c>
      <c r="Z37" s="259" t="n">
        <v>13749000000</v>
      </c>
      <c r="AA37" s="259" t="n">
        <v>13489000000</v>
      </c>
      <c r="AB37" s="259" t="n">
        <v>16296000000</v>
      </c>
      <c r="AC37" s="259" t="n">
        <v>14975000000</v>
      </c>
      <c r="AD37" s="259" t="n">
        <v>13733000000</v>
      </c>
      <c r="AE37" s="259" t="n">
        <v>12696000000</v>
      </c>
      <c r="AF37" s="259" t="n">
        <v>12810000000</v>
      </c>
      <c r="AG37" s="259" t="n">
        <v>9302000000</v>
      </c>
      <c r="AH37" s="259" t="n">
        <v>9367000000</v>
      </c>
      <c r="AI37" s="259" t="n">
        <v>9950000000</v>
      </c>
      <c r="AJ37" s="259" t="n">
        <v>10453000000</v>
      </c>
    </row>
    <row r="38">
      <c r="A38" t="n">
        <v>37</v>
      </c>
      <c r="B38" t="n">
        <v>1</v>
      </c>
      <c r="G38" t="inlineStr">
        <is>
          <t>moeda</t>
        </is>
      </c>
      <c r="H38" t="inlineStr">
        <is>
          <t>CommonStockValue</t>
        </is>
      </c>
      <c r="J38" t="inlineStr">
        <is>
          <t>fonte</t>
        </is>
      </c>
      <c r="K38" s="259" t="n">
        <v>0</v>
      </c>
      <c r="L38" s="259" t="n">
        <v>0</v>
      </c>
      <c r="M38" s="259" t="n">
        <v>0</v>
      </c>
      <c r="N38" s="259" t="n">
        <v>0</v>
      </c>
      <c r="O38" s="259" t="n">
        <v>0</v>
      </c>
      <c r="P38" s="259" t="n">
        <v>0</v>
      </c>
      <c r="Q38" s="259" t="n">
        <v>0</v>
      </c>
      <c r="R38" s="259" t="n">
        <v>0</v>
      </c>
      <c r="S38" s="259" t="n">
        <v>0</v>
      </c>
      <c r="T38" s="259" t="n">
        <v>0</v>
      </c>
      <c r="U38" s="259" t="n">
        <v>0</v>
      </c>
      <c r="V38" s="259" t="n">
        <v>0</v>
      </c>
      <c r="W38" s="259" t="n">
        <v>0</v>
      </c>
      <c r="X38" s="259" t="n">
        <v>0</v>
      </c>
      <c r="Y38" s="259" t="n">
        <v>0</v>
      </c>
      <c r="Z38" s="259" t="n">
        <v>0</v>
      </c>
      <c r="AA38" s="259" t="n">
        <v>0</v>
      </c>
      <c r="AB38" s="259" t="n">
        <v>5000000</v>
      </c>
      <c r="AC38" s="259" t="n">
        <v>5000000</v>
      </c>
      <c r="AD38" s="259" t="n">
        <v>5000000</v>
      </c>
      <c r="AE38" s="259" t="n">
        <v>5000000</v>
      </c>
      <c r="AF38" s="259" t="n">
        <v>5000000</v>
      </c>
      <c r="AG38" s="259" t="n">
        <v>5000000</v>
      </c>
      <c r="AH38" s="259" t="n">
        <v>5000000</v>
      </c>
      <c r="AI38" s="259" t="n">
        <v>5000000</v>
      </c>
      <c r="AJ38" s="259" t="n">
        <v>5000000</v>
      </c>
    </row>
    <row r="39">
      <c r="A39" t="n">
        <v>37</v>
      </c>
      <c r="B39" t="n">
        <v>1</v>
      </c>
      <c r="G39" t="inlineStr">
        <is>
          <t>moeda</t>
        </is>
      </c>
      <c r="H39" t="inlineStr">
        <is>
          <t>AdditionalPaidInCapital</t>
        </is>
      </c>
      <c r="J39" t="inlineStr">
        <is>
          <t>fonte</t>
        </is>
      </c>
      <c r="K39" s="259" t="n">
        <v>24073000000</v>
      </c>
      <c r="L39" s="259" t="n">
        <v>23688000000</v>
      </c>
      <c r="M39" s="259" t="n">
        <v>23982000000</v>
      </c>
      <c r="N39" s="259" t="n">
        <v>24080000000</v>
      </c>
      <c r="O39" s="259" t="n">
        <v>24045000000</v>
      </c>
      <c r="P39" s="259" t="n">
        <v>24126000000</v>
      </c>
      <c r="Q39" s="259" t="n">
        <v>24330000000</v>
      </c>
      <c r="R39" s="259" t="n">
        <v>23083000000</v>
      </c>
      <c r="S39" s="259" t="n">
        <v>21078000000</v>
      </c>
      <c r="T39" s="259" t="n">
        <v>20990000000</v>
      </c>
      <c r="U39" s="259" t="n">
        <v>21159000000</v>
      </c>
      <c r="V39" s="259" t="n">
        <v>21119000000</v>
      </c>
      <c r="W39" s="259" t="n">
        <v>20826000000</v>
      </c>
      <c r="X39" s="259" t="n">
        <v>20855000000</v>
      </c>
      <c r="Y39" s="259" t="n">
        <v>21099000000</v>
      </c>
      <c r="Z39" s="259" t="n">
        <v>70077000000</v>
      </c>
      <c r="AA39" s="259" t="n">
        <v>69754000000</v>
      </c>
      <c r="AB39" s="259" t="n">
        <v>67313000000</v>
      </c>
      <c r="AC39" s="259" t="n">
        <v>67466000000</v>
      </c>
      <c r="AD39" s="259" t="n">
        <v>66848000000</v>
      </c>
      <c r="AE39" s="259" t="n">
        <v>66689000000</v>
      </c>
      <c r="AF39" s="259" t="n">
        <v>69011000000</v>
      </c>
      <c r="AG39" s="259" t="n">
        <v>71308000000</v>
      </c>
      <c r="AH39" s="259" t="n">
        <v>73135000000</v>
      </c>
      <c r="AI39" s="259" t="n">
        <v>75312000000</v>
      </c>
      <c r="AJ39" s="259" t="n">
        <v>77330000000</v>
      </c>
    </row>
    <row r="40">
      <c r="A40" t="n">
        <v>39</v>
      </c>
      <c r="B40" t="n">
        <v>1</v>
      </c>
      <c r="G40" t="inlineStr">
        <is>
          <t>moeda</t>
        </is>
      </c>
      <c r="H40" t="inlineStr">
        <is>
          <t>AccumulatedOtherComprehensiveIncomeLossNetOfTax</t>
        </is>
      </c>
      <c r="J40" t="inlineStr">
        <is>
          <t>fonte</t>
        </is>
      </c>
      <c r="K40" s="259" t="n">
        <v>-131000000</v>
      </c>
      <c r="L40" s="259" t="n">
        <v>-131000000</v>
      </c>
      <c r="M40" s="259" t="n">
        <v>-108000000</v>
      </c>
      <c r="N40" s="259" t="n">
        <v>-107000000</v>
      </c>
      <c r="O40" s="259" t="n">
        <v>-106000000</v>
      </c>
      <c r="P40" s="259" t="n">
        <v>-106000000</v>
      </c>
      <c r="Q40" s="259" t="n">
        <v>-116000000</v>
      </c>
      <c r="R40" s="259" t="n">
        <v>-115000000</v>
      </c>
      <c r="S40" s="259" t="n">
        <v>-115000000</v>
      </c>
      <c r="T40" s="259" t="n">
        <v>-114000000</v>
      </c>
      <c r="U40" s="259" t="n">
        <v>-54000000</v>
      </c>
      <c r="V40" s="259" t="n">
        <v>-180000000</v>
      </c>
      <c r="W40" s="259" t="n">
        <v>-182000000</v>
      </c>
      <c r="X40" s="259" t="n">
        <v>46000000</v>
      </c>
      <c r="Y40" s="259" t="n">
        <v>207000000</v>
      </c>
      <c r="Z40" s="259" t="n">
        <v>207000000</v>
      </c>
      <c r="AA40" s="259" t="n">
        <v>207000000</v>
      </c>
      <c r="AB40" s="259" t="n">
        <v>208000000</v>
      </c>
      <c r="AC40" s="259" t="n">
        <v>207000000</v>
      </c>
      <c r="AD40" s="259" t="n">
        <v>207000000</v>
      </c>
      <c r="AE40" s="259" t="n">
        <v>206000000</v>
      </c>
      <c r="AF40" s="259" t="n">
        <v>221000000</v>
      </c>
      <c r="AG40" s="259" t="n">
        <v>218000000</v>
      </c>
      <c r="AH40" s="259" t="n">
        <v>212000000</v>
      </c>
      <c r="AI40" s="259" t="n">
        <v>208000000</v>
      </c>
      <c r="AJ40" s="259" t="n">
        <v>204000000</v>
      </c>
    </row>
    <row r="41">
      <c r="A41" t="n">
        <v>40</v>
      </c>
      <c r="B41" t="n">
        <v>1</v>
      </c>
      <c r="G41" t="inlineStr">
        <is>
          <t>moeda</t>
        </is>
      </c>
      <c r="H41" t="inlineStr">
        <is>
          <t>TemporaryEquityPreferredStockDividendObligation</t>
        </is>
      </c>
      <c r="J41" t="inlineStr">
        <is>
          <t>fonte</t>
        </is>
      </c>
      <c r="K41" s="259" t="n">
        <v>28000000</v>
      </c>
      <c r="L41" s="259" t="n">
        <v>28000000</v>
      </c>
      <c r="M41" s="259" t="n">
        <v>27000000</v>
      </c>
      <c r="N41" s="259" t="n">
        <v>26000000</v>
      </c>
      <c r="O41" s="259" t="n">
        <v>27000000</v>
      </c>
      <c r="P41" s="259" t="n">
        <v>27000000</v>
      </c>
      <c r="Q41" s="259" t="n">
        <v>27000000</v>
      </c>
      <c r="R41" s="259" t="n">
        <v>26000000</v>
      </c>
      <c r="S41" s="259" t="n">
        <v>27000000</v>
      </c>
      <c r="T41" s="259" t="n">
        <v>27000000</v>
      </c>
      <c r="U41" s="259" t="n">
        <v>0</v>
      </c>
      <c r="V41" s="259" t="n">
        <v>0</v>
      </c>
      <c r="W41" s="259" t="n">
        <v>0</v>
      </c>
      <c r="X41" s="259" t="n">
        <v>0</v>
      </c>
      <c r="Y41" s="259" t="n">
        <v>0</v>
      </c>
      <c r="Z41" s="259" t="n">
        <v>0</v>
      </c>
      <c r="AA41" s="259" t="n">
        <v>0</v>
      </c>
      <c r="AB41" s="259" t="n">
        <v>0</v>
      </c>
      <c r="AC41" s="259" t="n">
        <v>0</v>
      </c>
      <c r="AD41" s="259" t="n">
        <v>0</v>
      </c>
      <c r="AE41" s="259" t="n">
        <v>0</v>
      </c>
      <c r="AF41" s="259" t="n">
        <v>0</v>
      </c>
      <c r="AG41" s="259" t="n">
        <v>0</v>
      </c>
      <c r="AH41" s="259" t="n">
        <v>0</v>
      </c>
      <c r="AI41" s="259" t="n">
        <v>0</v>
      </c>
      <c r="AJ41" s="259" t="n">
        <v>0</v>
      </c>
    </row>
    <row r="42">
      <c r="A42" t="n">
        <v>41</v>
      </c>
      <c r="B42" t="n">
        <v>1</v>
      </c>
      <c r="G42" t="inlineStr">
        <is>
          <t>moeda</t>
        </is>
      </c>
      <c r="H42" t="inlineStr">
        <is>
          <t>RetainedEarningsAccumulatedDeficit</t>
        </is>
      </c>
      <c r="J42" t="inlineStr">
        <is>
          <t>fonte</t>
        </is>
      </c>
      <c r="K42" s="259" t="n">
        <v>0</v>
      </c>
      <c r="L42" s="259" t="n">
        <v>0</v>
      </c>
      <c r="M42" s="259" t="n">
        <v>0</v>
      </c>
      <c r="N42" s="259" t="n">
        <v>0</v>
      </c>
      <c r="O42" s="259" t="n">
        <v>0</v>
      </c>
      <c r="P42" s="259" t="n">
        <v>320000000</v>
      </c>
      <c r="Q42" s="259" t="n">
        <v>748000000</v>
      </c>
      <c r="R42" s="259" t="n">
        <v>0</v>
      </c>
      <c r="S42" s="259" t="n">
        <v>0</v>
      </c>
      <c r="T42" s="259" t="n">
        <v>0</v>
      </c>
      <c r="U42" s="259" t="n">
        <v>1604000000</v>
      </c>
      <c r="V42" s="259" t="n">
        <v>2371000000</v>
      </c>
      <c r="W42" s="259" t="n">
        <v>1363000000</v>
      </c>
      <c r="X42" s="259" t="n">
        <v>1178000000</v>
      </c>
      <c r="Y42" s="259" t="n">
        <v>2682000000</v>
      </c>
      <c r="Z42" s="259" t="n">
        <v>0</v>
      </c>
      <c r="AA42" s="259" t="n">
        <v>0</v>
      </c>
      <c r="AB42" s="259" t="n">
        <v>-1875000000</v>
      </c>
      <c r="AC42" s="259" t="n">
        <v>0</v>
      </c>
      <c r="AD42" s="259" t="n">
        <v>2729000000</v>
      </c>
      <c r="AE42" s="259" t="n">
        <v>2686000000</v>
      </c>
      <c r="AF42" s="259" t="n">
        <v>4040000000</v>
      </c>
      <c r="AG42" s="259" t="n">
        <v>9761000000</v>
      </c>
      <c r="AH42" s="259" t="n">
        <v>6520000000</v>
      </c>
      <c r="AI42" s="259" t="n">
        <v>12166000000</v>
      </c>
      <c r="AJ42" s="259" t="n">
        <v>22151000000</v>
      </c>
    </row>
    <row r="43">
      <c r="A43" t="n">
        <v>9</v>
      </c>
      <c r="B43" t="n">
        <v>1</v>
      </c>
      <c r="G43" t="inlineStr">
        <is>
          <t>moeda</t>
        </is>
      </c>
      <c r="H43" t="inlineStr">
        <is>
          <t>[vazio] Minoritários (DRE): não aparece como linha própria nas demonstrações (zero)</t>
        </is>
      </c>
      <c r="J43" t="inlineStr">
        <is>
          <t>derivada</t>
        </is>
      </c>
      <c r="K43" s="259" t="n">
        <v>0</v>
      </c>
      <c r="L43" s="259" t="n">
        <v>0</v>
      </c>
      <c r="M43" s="259" t="n">
        <v>0</v>
      </c>
      <c r="N43" s="259" t="n">
        <v>0</v>
      </c>
      <c r="O43" s="259" t="n">
        <v>0</v>
      </c>
      <c r="P43" s="259" t="n">
        <v>0</v>
      </c>
      <c r="Q43" s="259" t="n">
        <v>0</v>
      </c>
      <c r="R43" s="259" t="n">
        <v>0</v>
      </c>
      <c r="S43" s="259" t="n">
        <v>0</v>
      </c>
      <c r="T43" s="259" t="n">
        <v>0</v>
      </c>
      <c r="U43" s="259" t="n">
        <v>0</v>
      </c>
      <c r="V43" s="259" t="n">
        <v>0</v>
      </c>
      <c r="W43" s="259" t="n">
        <v>0</v>
      </c>
      <c r="X43" s="259" t="n">
        <v>0</v>
      </c>
      <c r="Y43" s="259" t="n">
        <v>0</v>
      </c>
      <c r="Z43" s="259" t="n">
        <v>0</v>
      </c>
      <c r="AA43" s="259" t="n">
        <v>0</v>
      </c>
      <c r="AB43" s="259" t="n">
        <v>0</v>
      </c>
      <c r="AC43" s="259" t="n">
        <v>0</v>
      </c>
      <c r="AD43" s="259" t="n">
        <v>0</v>
      </c>
      <c r="AE43" s="259" t="n">
        <v>0</v>
      </c>
      <c r="AF43" s="259" t="n">
        <v>0</v>
      </c>
      <c r="AG43" s="259" t="n">
        <v>0</v>
      </c>
      <c r="AH43" s="259" t="n">
        <v>0</v>
      </c>
      <c r="AI43" s="259" t="n">
        <v>0</v>
      </c>
      <c r="AJ43" s="259" t="n">
        <v>0</v>
      </c>
    </row>
    <row r="44">
      <c r="A44" t="n">
        <v>14</v>
      </c>
      <c r="B44" t="n">
        <v>1</v>
      </c>
      <c r="G44" t="inlineStr">
        <is>
          <t>moeda</t>
        </is>
      </c>
      <c r="H44" t="inlineStr">
        <is>
          <t>[vazio] IR diferido ativo: não aparece como linha própria nas demonstrações (zero)</t>
        </is>
      </c>
      <c r="J44" t="inlineStr">
        <is>
          <t>derivada</t>
        </is>
      </c>
      <c r="K44" s="259" t="n">
        <v>0</v>
      </c>
      <c r="L44" s="259" t="n">
        <v>0</v>
      </c>
      <c r="M44" s="259" t="n">
        <v>0</v>
      </c>
      <c r="N44" s="259" t="n">
        <v>0</v>
      </c>
      <c r="O44" s="259" t="n">
        <v>0</v>
      </c>
      <c r="P44" s="259" t="n">
        <v>0</v>
      </c>
      <c r="Q44" s="259" t="n">
        <v>0</v>
      </c>
      <c r="R44" s="259" t="n">
        <v>0</v>
      </c>
      <c r="S44" s="259" t="n">
        <v>0</v>
      </c>
      <c r="T44" s="259" t="n">
        <v>0</v>
      </c>
      <c r="U44" s="259" t="n">
        <v>0</v>
      </c>
      <c r="V44" s="259" t="n">
        <v>0</v>
      </c>
      <c r="W44" s="259" t="n">
        <v>0</v>
      </c>
      <c r="X44" s="259" t="n">
        <v>0</v>
      </c>
      <c r="Y44" s="259" t="n">
        <v>0</v>
      </c>
      <c r="Z44" s="259" t="n">
        <v>0</v>
      </c>
      <c r="AA44" s="259" t="n">
        <v>0</v>
      </c>
      <c r="AB44" s="259" t="n">
        <v>0</v>
      </c>
      <c r="AC44" s="259" t="n">
        <v>0</v>
      </c>
      <c r="AD44" s="259" t="n">
        <v>0</v>
      </c>
      <c r="AE44" s="259" t="n">
        <v>0</v>
      </c>
      <c r="AF44" s="259" t="n">
        <v>0</v>
      </c>
      <c r="AG44" s="259" t="n">
        <v>0</v>
      </c>
      <c r="AH44" s="259" t="n">
        <v>0</v>
      </c>
      <c r="AI44" s="259" t="n">
        <v>0</v>
      </c>
      <c r="AJ44" s="259" t="n">
        <v>0</v>
      </c>
    </row>
    <row r="45">
      <c r="A45" t="n">
        <v>15</v>
      </c>
      <c r="B45" t="n">
        <v>1</v>
      </c>
      <c r="G45" t="inlineStr">
        <is>
          <t>moeda</t>
        </is>
      </c>
      <c r="H45" t="inlineStr">
        <is>
          <t>[vazio] Despesas antecipadas: não aparece como linha própria nas demonstrações (zero)</t>
        </is>
      </c>
      <c r="J45" t="inlineStr">
        <is>
          <t>derivada</t>
        </is>
      </c>
      <c r="K45" s="259" t="n">
        <v>0</v>
      </c>
      <c r="L45" s="259" t="n">
        <v>0</v>
      </c>
      <c r="M45" s="259" t="n">
        <v>0</v>
      </c>
      <c r="N45" s="259" t="n">
        <v>0</v>
      </c>
      <c r="O45" s="259" t="n">
        <v>0</v>
      </c>
      <c r="P45" s="259" t="n">
        <v>0</v>
      </c>
      <c r="Q45" s="259" t="n">
        <v>0</v>
      </c>
      <c r="R45" s="259" t="n">
        <v>0</v>
      </c>
      <c r="S45" s="259" t="n">
        <v>0</v>
      </c>
      <c r="T45" s="259" t="n">
        <v>0</v>
      </c>
      <c r="U45" s="259" t="n">
        <v>0</v>
      </c>
      <c r="V45" s="259" t="n">
        <v>0</v>
      </c>
      <c r="W45" s="259" t="n">
        <v>0</v>
      </c>
      <c r="X45" s="259" t="n">
        <v>0</v>
      </c>
      <c r="Y45" s="259" t="n">
        <v>0</v>
      </c>
      <c r="Z45" s="259" t="n">
        <v>0</v>
      </c>
      <c r="AA45" s="259" t="n">
        <v>0</v>
      </c>
      <c r="AB45" s="259" t="n">
        <v>0</v>
      </c>
      <c r="AC45" s="259" t="n">
        <v>0</v>
      </c>
      <c r="AD45" s="259" t="n">
        <v>0</v>
      </c>
      <c r="AE45" s="259" t="n">
        <v>0</v>
      </c>
      <c r="AF45" s="259" t="n">
        <v>0</v>
      </c>
      <c r="AG45" s="259" t="n">
        <v>0</v>
      </c>
      <c r="AH45" s="259" t="n">
        <v>0</v>
      </c>
      <c r="AI45" s="259" t="n">
        <v>0</v>
      </c>
      <c r="AJ45" s="259" t="n">
        <v>0</v>
      </c>
    </row>
    <row r="46">
      <c r="A46" t="n">
        <v>17</v>
      </c>
      <c r="B46" t="n">
        <v>1</v>
      </c>
      <c r="G46" t="inlineStr">
        <is>
          <t>moeda</t>
        </is>
      </c>
      <c r="H46" t="inlineStr">
        <is>
          <t>[vazio] Investimentos em coligadas: não aparece como linha própria nas demonstrações (zero)</t>
        </is>
      </c>
      <c r="J46" t="inlineStr">
        <is>
          <t>derivada</t>
        </is>
      </c>
      <c r="K46" s="259" t="n">
        <v>0</v>
      </c>
      <c r="L46" s="259" t="n">
        <v>0</v>
      </c>
      <c r="M46" s="259" t="n">
        <v>0</v>
      </c>
      <c r="N46" s="259" t="n">
        <v>0</v>
      </c>
      <c r="O46" s="259" t="n">
        <v>0</v>
      </c>
      <c r="P46" s="259" t="n">
        <v>0</v>
      </c>
      <c r="Q46" s="259" t="n">
        <v>0</v>
      </c>
      <c r="R46" s="259" t="n">
        <v>0</v>
      </c>
      <c r="S46" s="259" t="n">
        <v>0</v>
      </c>
      <c r="T46" s="259" t="n">
        <v>0</v>
      </c>
      <c r="U46" s="259" t="n">
        <v>0</v>
      </c>
      <c r="V46" s="259" t="n">
        <v>0</v>
      </c>
      <c r="W46" s="259" t="n">
        <v>0</v>
      </c>
      <c r="X46" s="259" t="n">
        <v>0</v>
      </c>
      <c r="Y46" s="259" t="n">
        <v>0</v>
      </c>
      <c r="Z46" s="259" t="n">
        <v>0</v>
      </c>
      <c r="AA46" s="259" t="n">
        <v>0</v>
      </c>
      <c r="AB46" s="259" t="n">
        <v>0</v>
      </c>
      <c r="AC46" s="259" t="n">
        <v>0</v>
      </c>
      <c r="AD46" s="259" t="n">
        <v>0</v>
      </c>
      <c r="AE46" s="259" t="n">
        <v>0</v>
      </c>
      <c r="AF46" s="259" t="n">
        <v>0</v>
      </c>
      <c r="AG46" s="259" t="n">
        <v>0</v>
      </c>
      <c r="AH46" s="259" t="n">
        <v>0</v>
      </c>
      <c r="AI46" s="259" t="n">
        <v>0</v>
      </c>
      <c r="AJ46" s="259" t="n">
        <v>0</v>
      </c>
    </row>
    <row r="47">
      <c r="A47" t="n">
        <v>19</v>
      </c>
      <c r="B47" t="n">
        <v>1</v>
      </c>
      <c r="G47" t="inlineStr">
        <is>
          <t>moeda</t>
        </is>
      </c>
      <c r="H47" t="inlineStr">
        <is>
          <t>[vazio] Direito de uso: não aparece como linha própria nas demonstrações (zero)</t>
        </is>
      </c>
      <c r="J47" t="inlineStr">
        <is>
          <t>derivada</t>
        </is>
      </c>
      <c r="K47" s="259" t="n">
        <v>0</v>
      </c>
      <c r="L47" s="259" t="n">
        <v>0</v>
      </c>
      <c r="M47" s="259" t="n">
        <v>0</v>
      </c>
      <c r="N47" s="259" t="n">
        <v>0</v>
      </c>
      <c r="O47" s="259" t="n">
        <v>0</v>
      </c>
      <c r="P47" s="259" t="n">
        <v>0</v>
      </c>
      <c r="Q47" s="259" t="n">
        <v>0</v>
      </c>
      <c r="R47" s="259" t="n">
        <v>0</v>
      </c>
      <c r="S47" s="259" t="n">
        <v>0</v>
      </c>
      <c r="T47" s="259" t="n">
        <v>0</v>
      </c>
      <c r="U47" s="259" t="n">
        <v>0</v>
      </c>
      <c r="V47" s="259" t="n">
        <v>0</v>
      </c>
      <c r="W47" s="259" t="n">
        <v>0</v>
      </c>
      <c r="X47" s="259" t="n">
        <v>0</v>
      </c>
      <c r="Y47" s="259" t="n">
        <v>0</v>
      </c>
      <c r="Z47" s="259" t="n">
        <v>0</v>
      </c>
      <c r="AA47" s="259" t="n">
        <v>0</v>
      </c>
      <c r="AB47" s="259" t="n">
        <v>0</v>
      </c>
      <c r="AC47" s="259" t="n">
        <v>0</v>
      </c>
      <c r="AD47" s="259" t="n">
        <v>0</v>
      </c>
      <c r="AE47" s="259" t="n">
        <v>0</v>
      </c>
      <c r="AF47" s="259" t="n">
        <v>0</v>
      </c>
      <c r="AG47" s="259" t="n">
        <v>0</v>
      </c>
      <c r="AH47" s="259" t="n">
        <v>0</v>
      </c>
      <c r="AI47" s="259" t="n">
        <v>0</v>
      </c>
      <c r="AJ47" s="259" t="n">
        <v>0</v>
      </c>
    </row>
    <row r="48">
      <c r="A48" t="n">
        <v>25</v>
      </c>
      <c r="B48" t="n">
        <v>1</v>
      </c>
      <c r="G48" t="inlineStr">
        <is>
          <t>moeda</t>
        </is>
      </c>
      <c r="H48" t="inlineStr">
        <is>
          <t>[vazio] Impostos a pagar: não aparece como linha própria nas demonstrações (zero)</t>
        </is>
      </c>
      <c r="J48" t="inlineStr">
        <is>
          <t>derivada</t>
        </is>
      </c>
      <c r="K48" s="259" t="n">
        <v>0</v>
      </c>
      <c r="L48" s="259" t="n">
        <v>0</v>
      </c>
      <c r="M48" s="259" t="n">
        <v>0</v>
      </c>
      <c r="N48" s="259" t="n">
        <v>0</v>
      </c>
      <c r="O48" s="259" t="n">
        <v>0</v>
      </c>
      <c r="P48" s="259" t="n">
        <v>0</v>
      </c>
      <c r="Q48" s="259" t="n">
        <v>0</v>
      </c>
      <c r="R48" s="259" t="n">
        <v>0</v>
      </c>
      <c r="S48" s="259" t="n">
        <v>0</v>
      </c>
      <c r="T48" s="259" t="n">
        <v>0</v>
      </c>
      <c r="U48" s="259" t="n">
        <v>0</v>
      </c>
      <c r="V48" s="259" t="n">
        <v>0</v>
      </c>
      <c r="W48" s="259" t="n">
        <v>0</v>
      </c>
      <c r="X48" s="259" t="n">
        <v>0</v>
      </c>
      <c r="Y48" s="259" t="n">
        <v>0</v>
      </c>
      <c r="Z48" s="259" t="n">
        <v>0</v>
      </c>
      <c r="AA48" s="259" t="n">
        <v>0</v>
      </c>
      <c r="AB48" s="259" t="n">
        <v>0</v>
      </c>
      <c r="AC48" s="259" t="n">
        <v>0</v>
      </c>
      <c r="AD48" s="259" t="n">
        <v>0</v>
      </c>
      <c r="AE48" s="259" t="n">
        <v>0</v>
      </c>
      <c r="AF48" s="259" t="n">
        <v>0</v>
      </c>
      <c r="AG48" s="259" t="n">
        <v>0</v>
      </c>
      <c r="AH48" s="259" t="n">
        <v>0</v>
      </c>
      <c r="AI48" s="259" t="n">
        <v>0</v>
      </c>
      <c r="AJ48" s="259" t="n">
        <v>0</v>
      </c>
    </row>
    <row r="49">
      <c r="A49" t="n">
        <v>28</v>
      </c>
      <c r="B49" t="n">
        <v>1</v>
      </c>
      <c r="G49" t="inlineStr">
        <is>
          <t>moeda</t>
        </is>
      </c>
      <c r="H49" t="inlineStr">
        <is>
          <t>[vazio] Revolving: não aparece como linha própria nas demonstrações (zero)</t>
        </is>
      </c>
      <c r="J49" t="inlineStr">
        <is>
          <t>derivada</t>
        </is>
      </c>
      <c r="K49" s="259" t="n">
        <v>0</v>
      </c>
      <c r="L49" s="259" t="n">
        <v>0</v>
      </c>
      <c r="M49" s="259" t="n">
        <v>0</v>
      </c>
      <c r="N49" s="259" t="n">
        <v>0</v>
      </c>
      <c r="O49" s="259" t="n">
        <v>0</v>
      </c>
      <c r="P49" s="259" t="n">
        <v>0</v>
      </c>
      <c r="Q49" s="259" t="n">
        <v>0</v>
      </c>
      <c r="R49" s="259" t="n">
        <v>0</v>
      </c>
      <c r="S49" s="259" t="n">
        <v>0</v>
      </c>
      <c r="T49" s="259" t="n">
        <v>0</v>
      </c>
      <c r="U49" s="259" t="n">
        <v>0</v>
      </c>
      <c r="V49" s="259" t="n">
        <v>0</v>
      </c>
      <c r="W49" s="259" t="n">
        <v>0</v>
      </c>
      <c r="X49" s="259" t="n">
        <v>0</v>
      </c>
      <c r="Y49" s="259" t="n">
        <v>0</v>
      </c>
      <c r="Z49" s="259" t="n">
        <v>0</v>
      </c>
      <c r="AA49" s="259" t="n">
        <v>0</v>
      </c>
      <c r="AB49" s="259" t="n">
        <v>0</v>
      </c>
      <c r="AC49" s="259" t="n">
        <v>0</v>
      </c>
      <c r="AD49" s="259" t="n">
        <v>0</v>
      </c>
      <c r="AE49" s="259" t="n">
        <v>0</v>
      </c>
      <c r="AF49" s="259" t="n">
        <v>0</v>
      </c>
      <c r="AG49" s="259" t="n">
        <v>0</v>
      </c>
      <c r="AH49" s="259" t="n">
        <v>0</v>
      </c>
      <c r="AI49" s="259" t="n">
        <v>0</v>
      </c>
      <c r="AJ49" s="259" t="n">
        <v>0</v>
      </c>
    </row>
    <row r="50">
      <c r="A50" t="n">
        <v>29</v>
      </c>
      <c r="B50" t="n">
        <v>1</v>
      </c>
      <c r="G50" t="inlineStr">
        <is>
          <t>moeda</t>
        </is>
      </c>
      <c r="H50" t="inlineStr">
        <is>
          <t>[vazio] Arrendamento CP: não aparece como linha própria nas demonstrações (zero)</t>
        </is>
      </c>
      <c r="J50" t="inlineStr">
        <is>
          <t>derivada</t>
        </is>
      </c>
      <c r="K50" s="259" t="n">
        <v>0</v>
      </c>
      <c r="L50" s="259" t="n">
        <v>0</v>
      </c>
      <c r="M50" s="259" t="n">
        <v>0</v>
      </c>
      <c r="N50" s="259" t="n">
        <v>0</v>
      </c>
      <c r="O50" s="259" t="n">
        <v>0</v>
      </c>
      <c r="P50" s="259" t="n">
        <v>0</v>
      </c>
      <c r="Q50" s="259" t="n">
        <v>0</v>
      </c>
      <c r="R50" s="259" t="n">
        <v>0</v>
      </c>
      <c r="S50" s="259" t="n">
        <v>0</v>
      </c>
      <c r="T50" s="259" t="n">
        <v>0</v>
      </c>
      <c r="U50" s="259" t="n">
        <v>0</v>
      </c>
      <c r="V50" s="259" t="n">
        <v>0</v>
      </c>
      <c r="W50" s="259" t="n">
        <v>0</v>
      </c>
      <c r="X50" s="259" t="n">
        <v>0</v>
      </c>
      <c r="Y50" s="259" t="n">
        <v>0</v>
      </c>
      <c r="Z50" s="259" t="n">
        <v>0</v>
      </c>
      <c r="AA50" s="259" t="n">
        <v>0</v>
      </c>
      <c r="AB50" s="259" t="n">
        <v>0</v>
      </c>
      <c r="AC50" s="259" t="n">
        <v>0</v>
      </c>
      <c r="AD50" s="259" t="n">
        <v>0</v>
      </c>
      <c r="AE50" s="259" t="n">
        <v>0</v>
      </c>
      <c r="AF50" s="259" t="n">
        <v>0</v>
      </c>
      <c r="AG50" s="259" t="n">
        <v>0</v>
      </c>
      <c r="AH50" s="259" t="n">
        <v>0</v>
      </c>
      <c r="AI50" s="259" t="n">
        <v>0</v>
      </c>
      <c r="AJ50" s="259" t="n">
        <v>0</v>
      </c>
    </row>
    <row r="51">
      <c r="A51" t="n">
        <v>31</v>
      </c>
      <c r="B51" t="n">
        <v>1</v>
      </c>
      <c r="G51" t="inlineStr">
        <is>
          <t>moeda</t>
        </is>
      </c>
      <c r="H51" t="inlineStr">
        <is>
          <t>[vazio] Arrendamento LP: não aparece como linha própria nas demonstrações (zero)</t>
        </is>
      </c>
      <c r="J51" t="inlineStr">
        <is>
          <t>derivada</t>
        </is>
      </c>
      <c r="K51" s="259" t="n">
        <v>0</v>
      </c>
      <c r="L51" s="259" t="n">
        <v>0</v>
      </c>
      <c r="M51" s="259" t="n">
        <v>0</v>
      </c>
      <c r="N51" s="259" t="n">
        <v>0</v>
      </c>
      <c r="O51" s="259" t="n">
        <v>0</v>
      </c>
      <c r="P51" s="259" t="n">
        <v>0</v>
      </c>
      <c r="Q51" s="259" t="n">
        <v>0</v>
      </c>
      <c r="R51" s="259" t="n">
        <v>0</v>
      </c>
      <c r="S51" s="259" t="n">
        <v>0</v>
      </c>
      <c r="T51" s="259" t="n">
        <v>0</v>
      </c>
      <c r="U51" s="259" t="n">
        <v>0</v>
      </c>
      <c r="V51" s="259" t="n">
        <v>0</v>
      </c>
      <c r="W51" s="259" t="n">
        <v>0</v>
      </c>
      <c r="X51" s="259" t="n">
        <v>0</v>
      </c>
      <c r="Y51" s="259" t="n">
        <v>0</v>
      </c>
      <c r="Z51" s="259" t="n">
        <v>0</v>
      </c>
      <c r="AA51" s="259" t="n">
        <v>0</v>
      </c>
      <c r="AB51" s="259" t="n">
        <v>0</v>
      </c>
      <c r="AC51" s="259" t="n">
        <v>0</v>
      </c>
      <c r="AD51" s="259" t="n">
        <v>0</v>
      </c>
      <c r="AE51" s="259" t="n">
        <v>0</v>
      </c>
      <c r="AF51" s="259" t="n">
        <v>0</v>
      </c>
      <c r="AG51" s="259" t="n">
        <v>0</v>
      </c>
      <c r="AH51" s="259" t="n">
        <v>0</v>
      </c>
      <c r="AI51" s="259" t="n">
        <v>0</v>
      </c>
      <c r="AJ51" s="259" t="n">
        <v>0</v>
      </c>
    </row>
    <row r="52">
      <c r="A52" t="n">
        <v>32</v>
      </c>
      <c r="B52" t="n">
        <v>1</v>
      </c>
      <c r="G52" t="inlineStr">
        <is>
          <t>moeda</t>
        </is>
      </c>
      <c r="H52" t="inlineStr">
        <is>
          <t>[vazio] Dívida conversível: não aparece como linha própria nas demonstrações (zero)</t>
        </is>
      </c>
      <c r="J52" t="inlineStr">
        <is>
          <t>derivada</t>
        </is>
      </c>
      <c r="K52" s="259" t="n">
        <v>0</v>
      </c>
      <c r="L52" s="259" t="n">
        <v>0</v>
      </c>
      <c r="M52" s="259" t="n">
        <v>0</v>
      </c>
      <c r="N52" s="259" t="n">
        <v>0</v>
      </c>
      <c r="O52" s="259" t="n">
        <v>0</v>
      </c>
      <c r="P52" s="259" t="n">
        <v>0</v>
      </c>
      <c r="Q52" s="259" t="n">
        <v>0</v>
      </c>
      <c r="R52" s="259" t="n">
        <v>0</v>
      </c>
      <c r="S52" s="259" t="n">
        <v>0</v>
      </c>
      <c r="T52" s="259" t="n">
        <v>0</v>
      </c>
      <c r="U52" s="259" t="n">
        <v>0</v>
      </c>
      <c r="V52" s="259" t="n">
        <v>0</v>
      </c>
      <c r="W52" s="259" t="n">
        <v>0</v>
      </c>
      <c r="X52" s="259" t="n">
        <v>0</v>
      </c>
      <c r="Y52" s="259" t="n">
        <v>0</v>
      </c>
      <c r="Z52" s="259" t="n">
        <v>0</v>
      </c>
      <c r="AA52" s="259" t="n">
        <v>0</v>
      </c>
      <c r="AB52" s="259" t="n">
        <v>0</v>
      </c>
      <c r="AC52" s="259" t="n">
        <v>0</v>
      </c>
      <c r="AD52" s="259" t="n">
        <v>0</v>
      </c>
      <c r="AE52" s="259" t="n">
        <v>0</v>
      </c>
      <c r="AF52" s="259" t="n">
        <v>0</v>
      </c>
      <c r="AG52" s="259" t="n">
        <v>0</v>
      </c>
      <c r="AH52" s="259" t="n">
        <v>0</v>
      </c>
      <c r="AI52" s="259" t="n">
        <v>0</v>
      </c>
      <c r="AJ52" s="259" t="n">
        <v>0</v>
      </c>
    </row>
    <row r="53">
      <c r="A53" t="n">
        <v>33</v>
      </c>
      <c r="B53" t="n">
        <v>1</v>
      </c>
      <c r="G53" t="inlineStr">
        <is>
          <t>moeda</t>
        </is>
      </c>
      <c r="H53" t="inlineStr">
        <is>
          <t>[vazio] IR diferido passivo: não aparece como linha própria nas demonstrações (zero)</t>
        </is>
      </c>
      <c r="J53" t="inlineStr">
        <is>
          <t>derivada</t>
        </is>
      </c>
      <c r="K53" s="259" t="n">
        <v>0</v>
      </c>
      <c r="L53" s="259" t="n">
        <v>0</v>
      </c>
      <c r="M53" s="259" t="n">
        <v>0</v>
      </c>
      <c r="N53" s="259" t="n">
        <v>0</v>
      </c>
      <c r="O53" s="259" t="n">
        <v>0</v>
      </c>
      <c r="P53" s="259" t="n">
        <v>0</v>
      </c>
      <c r="Q53" s="259" t="n">
        <v>0</v>
      </c>
      <c r="R53" s="259" t="n">
        <v>0</v>
      </c>
      <c r="S53" s="259" t="n">
        <v>0</v>
      </c>
      <c r="T53" s="259" t="n">
        <v>0</v>
      </c>
      <c r="U53" s="259" t="n">
        <v>0</v>
      </c>
      <c r="V53" s="259" t="n">
        <v>0</v>
      </c>
      <c r="W53" s="259" t="n">
        <v>0</v>
      </c>
      <c r="X53" s="259" t="n">
        <v>0</v>
      </c>
      <c r="Y53" s="259" t="n">
        <v>0</v>
      </c>
      <c r="Z53" s="259" t="n">
        <v>0</v>
      </c>
      <c r="AA53" s="259" t="n">
        <v>0</v>
      </c>
      <c r="AB53" s="259" t="n">
        <v>0</v>
      </c>
      <c r="AC53" s="259" t="n">
        <v>0</v>
      </c>
      <c r="AD53" s="259" t="n">
        <v>0</v>
      </c>
      <c r="AE53" s="259" t="n">
        <v>0</v>
      </c>
      <c r="AF53" s="259" t="n">
        <v>0</v>
      </c>
      <c r="AG53" s="259" t="n">
        <v>0</v>
      </c>
      <c r="AH53" s="259" t="n">
        <v>0</v>
      </c>
      <c r="AI53" s="259" t="n">
        <v>0</v>
      </c>
      <c r="AJ53" s="259" t="n">
        <v>0</v>
      </c>
    </row>
    <row r="54">
      <c r="A54" t="n">
        <v>35</v>
      </c>
      <c r="B54" t="n">
        <v>1</v>
      </c>
      <c r="G54" t="inlineStr">
        <is>
          <t>moeda</t>
        </is>
      </c>
      <c r="H54" t="inlineStr">
        <is>
          <t>[vazio] Participação de minoritários (balanço): não aparece como linha própria nas demonstrações (zero)</t>
        </is>
      </c>
      <c r="J54" t="inlineStr">
        <is>
          <t>derivada</t>
        </is>
      </c>
      <c r="K54" s="259" t="n">
        <v>0</v>
      </c>
      <c r="L54" s="259" t="n">
        <v>0</v>
      </c>
      <c r="M54" s="259" t="n">
        <v>0</v>
      </c>
      <c r="N54" s="259" t="n">
        <v>0</v>
      </c>
      <c r="O54" s="259" t="n">
        <v>0</v>
      </c>
      <c r="P54" s="259" t="n">
        <v>0</v>
      </c>
      <c r="Q54" s="259" t="n">
        <v>0</v>
      </c>
      <c r="R54" s="259" t="n">
        <v>0</v>
      </c>
      <c r="S54" s="259" t="n">
        <v>0</v>
      </c>
      <c r="T54" s="259" t="n">
        <v>0</v>
      </c>
      <c r="U54" s="259" t="n">
        <v>0</v>
      </c>
      <c r="V54" s="259" t="n">
        <v>0</v>
      </c>
      <c r="W54" s="259" t="n">
        <v>0</v>
      </c>
      <c r="X54" s="259" t="n">
        <v>0</v>
      </c>
      <c r="Y54" s="259" t="n">
        <v>0</v>
      </c>
      <c r="Z54" s="259" t="n">
        <v>0</v>
      </c>
      <c r="AA54" s="259" t="n">
        <v>0</v>
      </c>
      <c r="AB54" s="259" t="n">
        <v>0</v>
      </c>
      <c r="AC54" s="259" t="n">
        <v>0</v>
      </c>
      <c r="AD54" s="259" t="n">
        <v>0</v>
      </c>
      <c r="AE54" s="259" t="n">
        <v>0</v>
      </c>
      <c r="AF54" s="259" t="n">
        <v>0</v>
      </c>
      <c r="AG54" s="259" t="n">
        <v>0</v>
      </c>
      <c r="AH54" s="259" t="n">
        <v>0</v>
      </c>
      <c r="AI54" s="259" t="n">
        <v>0</v>
      </c>
      <c r="AJ54" s="259" t="n">
        <v>0</v>
      </c>
    </row>
    <row r="55">
      <c r="A55" t="n">
        <v>38</v>
      </c>
      <c r="B55" t="n">
        <v>1</v>
      </c>
      <c r="G55" t="inlineStr">
        <is>
          <t>moeda</t>
        </is>
      </c>
      <c r="H55" t="inlineStr">
        <is>
          <t>[vazio] Tesouraria: não aparece como linha própria nas demonstrações (zero)</t>
        </is>
      </c>
      <c r="J55" t="inlineStr">
        <is>
          <t>derivada</t>
        </is>
      </c>
      <c r="K55" s="259" t="n">
        <v>0</v>
      </c>
      <c r="L55" s="259" t="n">
        <v>0</v>
      </c>
      <c r="M55" s="259" t="n">
        <v>0</v>
      </c>
      <c r="N55" s="259" t="n">
        <v>0</v>
      </c>
      <c r="O55" s="259" t="n">
        <v>0</v>
      </c>
      <c r="P55" s="259" t="n">
        <v>0</v>
      </c>
      <c r="Q55" s="259" t="n">
        <v>0</v>
      </c>
      <c r="R55" s="259" t="n">
        <v>0</v>
      </c>
      <c r="S55" s="259" t="n">
        <v>0</v>
      </c>
      <c r="T55" s="259" t="n">
        <v>0</v>
      </c>
      <c r="U55" s="259" t="n">
        <v>0</v>
      </c>
      <c r="V55" s="259" t="n">
        <v>0</v>
      </c>
      <c r="W55" s="259" t="n">
        <v>0</v>
      </c>
      <c r="X55" s="259" t="n">
        <v>0</v>
      </c>
      <c r="Y55" s="259" t="n">
        <v>0</v>
      </c>
      <c r="Z55" s="259" t="n">
        <v>0</v>
      </c>
      <c r="AA55" s="259" t="n">
        <v>0</v>
      </c>
      <c r="AB55" s="259" t="n">
        <v>0</v>
      </c>
      <c r="AC55" s="259" t="n">
        <v>0</v>
      </c>
      <c r="AD55" s="259" t="n">
        <v>0</v>
      </c>
      <c r="AE55" s="259" t="n">
        <v>0</v>
      </c>
      <c r="AF55" s="259" t="n">
        <v>0</v>
      </c>
      <c r="AG55" s="259" t="n">
        <v>0</v>
      </c>
      <c r="AH55" s="259" t="n">
        <v>0</v>
      </c>
      <c r="AI55" s="259" t="n">
        <v>0</v>
      </c>
      <c r="AJ55" s="259" t="n">
        <v>0</v>
      </c>
    </row>
    <row r="56">
      <c r="H56" s="254" t="inlineStr">
        <is>
          <t>BALANÇO - totais divulgados (memória)</t>
        </is>
      </c>
    </row>
    <row r="57">
      <c r="G57" t="inlineStr">
        <is>
          <t>moeda</t>
        </is>
      </c>
      <c r="H57" t="inlineStr">
        <is>
          <t>Total do ativo [us-gaap:Assets]</t>
        </is>
      </c>
      <c r="J57" t="inlineStr">
        <is>
          <t>memoria</t>
        </is>
      </c>
      <c r="K57" s="259" t="n">
        <v>81548000000</v>
      </c>
      <c r="L57" s="259" t="n">
        <v>79298000000</v>
      </c>
      <c r="M57" s="259" t="n">
        <v>75933000000</v>
      </c>
      <c r="N57" s="259" t="n">
        <v>76972000000</v>
      </c>
      <c r="O57" s="259" t="n">
        <v>75524000000</v>
      </c>
      <c r="P57" s="259" t="n">
        <v>75880000000</v>
      </c>
      <c r="Q57" s="259" t="n">
        <v>75570000000</v>
      </c>
      <c r="R57" s="259" t="n">
        <v>73224000000</v>
      </c>
      <c r="S57" s="259" t="n">
        <v>71719000000</v>
      </c>
      <c r="T57" s="259" t="n">
        <v>71326000000</v>
      </c>
      <c r="U57" s="259" t="n">
        <v>73249000000</v>
      </c>
      <c r="V57" s="259" t="n">
        <v>72976000000</v>
      </c>
      <c r="W57" s="259" t="n">
        <v>71667000000</v>
      </c>
      <c r="X57" s="259" t="n">
        <v>71595000000</v>
      </c>
      <c r="Y57" s="259" t="n">
        <v>72861000000</v>
      </c>
      <c r="Z57" s="259" t="n">
        <v>177870000000</v>
      </c>
      <c r="AA57" s="259" t="n">
        <v>175211000000</v>
      </c>
      <c r="AB57" s="259" t="n">
        <v>167966000000</v>
      </c>
      <c r="AC57" s="259" t="n">
        <v>165645000000</v>
      </c>
      <c r="AD57" s="259" t="n">
        <v>165358000000</v>
      </c>
      <c r="AE57" s="259" t="n">
        <v>164630000000</v>
      </c>
      <c r="AF57" s="259" t="n">
        <v>165621000000</v>
      </c>
      <c r="AG57" s="259" t="n">
        <v>171092000000</v>
      </c>
      <c r="AH57" s="259" t="n">
        <v>169903000000</v>
      </c>
      <c r="AI57" s="259" t="n">
        <v>179158000000</v>
      </c>
      <c r="AJ57" s="259" t="n">
        <v>188148000000</v>
      </c>
    </row>
    <row r="58">
      <c r="G58" t="inlineStr">
        <is>
          <t>moeda</t>
        </is>
      </c>
      <c r="H58" t="inlineStr">
        <is>
          <t>Total do passivo + PL [us-gaap:LiabilitiesAndStockholdersEquity]</t>
        </is>
      </c>
      <c r="J58" t="inlineStr">
        <is>
          <t>memoria</t>
        </is>
      </c>
      <c r="K58" s="259" t="n">
        <v>81548000000</v>
      </c>
      <c r="L58" s="259" t="n">
        <v>79298000000</v>
      </c>
      <c r="M58" s="259" t="n">
        <v>75933000000</v>
      </c>
      <c r="N58" s="259" t="n">
        <v>76972000000</v>
      </c>
      <c r="O58" s="259" t="n">
        <v>75524000000</v>
      </c>
      <c r="P58" s="259" t="n">
        <v>75880000000</v>
      </c>
      <c r="Q58" s="259" t="n">
        <v>75570000000</v>
      </c>
      <c r="R58" s="259" t="n">
        <v>73224000000</v>
      </c>
      <c r="S58" s="259" t="n">
        <v>71719000000</v>
      </c>
      <c r="T58" s="259" t="n">
        <v>71326000000</v>
      </c>
      <c r="U58" s="259" t="n">
        <v>73249000000</v>
      </c>
      <c r="V58" s="259" t="n">
        <v>72976000000</v>
      </c>
      <c r="W58" s="259" t="n">
        <v>71667000000</v>
      </c>
      <c r="X58" s="259" t="n">
        <v>71595000000</v>
      </c>
      <c r="Y58" s="259" t="n">
        <v>72861000000</v>
      </c>
      <c r="Z58" s="259" t="n">
        <v>177870000000</v>
      </c>
      <c r="AA58" s="259" t="n">
        <v>175211000000</v>
      </c>
      <c r="AB58" s="259" t="n">
        <v>167966000000</v>
      </c>
      <c r="AC58" s="259" t="n">
        <v>165645000000</v>
      </c>
      <c r="AD58" s="259" t="n">
        <v>165358000000</v>
      </c>
      <c r="AE58" s="259" t="n">
        <v>164630000000</v>
      </c>
      <c r="AF58" s="259" t="n">
        <v>165621000000</v>
      </c>
      <c r="AG58" s="259" t="n">
        <v>171092000000</v>
      </c>
      <c r="AH58" s="259" t="n">
        <v>169903000000</v>
      </c>
      <c r="AI58" s="259" t="n">
        <v>179158000000</v>
      </c>
      <c r="AJ58" s="259" t="n">
        <v>188148000000</v>
      </c>
    </row>
    <row r="59">
      <c r="H59" s="254" t="inlineStr">
        <is>
          <t>CHECKS (devem ser 0)</t>
        </is>
      </c>
    </row>
    <row r="60">
      <c r="G60" t="inlineStr">
        <is>
          <t>moeda</t>
        </is>
      </c>
      <c r="H60" t="inlineStr">
        <is>
          <t>CHECK: contas de ativo - ativo total (USD, arredondado a 100 mil)</t>
        </is>
      </c>
      <c r="J60" t="inlineStr">
        <is>
          <t>derivada</t>
        </is>
      </c>
      <c r="K60" s="260">
        <f>ROUND(N(K21)+N(K22)+N(K23)+N(K24)+N(K25)+N(K26)+N(K27)+N(K28)-N(K57),-5)</f>
        <v>0</v>
      </c>
      <c r="L60" s="260">
        <f>ROUND(N(L21)+N(L22)+N(L23)+N(L24)+N(L25)+N(L26)+N(L27)+N(L28)-N(L57),-5)</f>
        <v>0</v>
      </c>
      <c r="M60" s="260">
        <f>ROUND(N(M21)+N(M22)+N(M23)+N(M24)+N(M25)+N(M26)+N(M27)+N(M28)-N(M57),-5)</f>
        <v>0</v>
      </c>
      <c r="N60" s="260">
        <f>ROUND(N(N21)+N(N22)+N(N23)+N(N24)+N(N25)+N(N26)+N(N27)+N(N28)-N(N57),-5)</f>
        <v>0</v>
      </c>
      <c r="O60" s="260">
        <f>ROUND(N(O21)+N(O22)+N(O23)+N(O24)+N(O25)+N(O26)+N(O27)+N(O28)-N(O57),-5)</f>
        <v>0</v>
      </c>
      <c r="P60" s="260">
        <f>ROUND(N(P21)+N(P22)+N(P23)+N(P24)+N(P25)+N(P26)+N(P27)+N(P28)-N(P57),-5)</f>
        <v>0</v>
      </c>
      <c r="Q60" s="260">
        <f>ROUND(N(Q21)+N(Q22)+N(Q23)+N(Q24)+N(Q25)+N(Q26)+N(Q27)+N(Q28)-N(Q57),-5)</f>
        <v>0</v>
      </c>
      <c r="R60" s="260">
        <f>ROUND(N(R21)+N(R22)+N(R23)+N(R24)+N(R25)+N(R26)+N(R27)+N(R28)-N(R57),-5)</f>
        <v>0</v>
      </c>
      <c r="S60" s="260">
        <f>ROUND(N(S21)+N(S22)+N(S23)+N(S24)+N(S25)+N(S26)+N(S27)+N(S28)-N(S57),-5)</f>
        <v>0</v>
      </c>
      <c r="T60" s="260">
        <f>ROUND(N(T21)+N(T22)+N(T23)+N(T24)+N(T25)+N(T26)+N(T27)+N(T28)-N(T57),-5)</f>
        <v>0</v>
      </c>
      <c r="U60" s="260">
        <f>ROUND(N(U21)+N(U22)+N(U23)+N(U24)+N(U25)+N(U26)+N(U27)+N(U28)-N(U57),-5)</f>
        <v>0</v>
      </c>
      <c r="V60" s="260">
        <f>ROUND(N(V21)+N(V22)+N(V23)+N(V24)+N(V25)+N(V26)+N(V27)+N(V28)-N(V57),-5)</f>
        <v>0</v>
      </c>
      <c r="W60" s="260">
        <f>ROUND(N(W21)+N(W22)+N(W23)+N(W24)+N(W25)+N(W26)+N(W27)+N(W28)-N(W57),-5)</f>
        <v>0</v>
      </c>
      <c r="X60" s="260">
        <f>ROUND(N(X21)+N(X22)+N(X23)+N(X24)+N(X25)+N(X26)+N(X27)+N(X28)-N(X57),-5)</f>
        <v>0</v>
      </c>
      <c r="Y60" s="260">
        <f>ROUND(N(Y21)+N(Y22)+N(Y23)+N(Y24)+N(Y25)+N(Y26)+N(Y27)+N(Y28)-N(Y57),-5)</f>
        <v>0</v>
      </c>
      <c r="Z60" s="260">
        <f>ROUND(N(Z21)+N(Z22)+N(Z23)+N(Z24)+N(Z25)+N(Z26)+N(Z27)+N(Z28)-N(Z57),-5)</f>
        <v>0</v>
      </c>
      <c r="AA60" s="260">
        <f>ROUND(N(AA21)+N(AA22)+N(AA23)+N(AA24)+N(AA25)+N(AA26)+N(AA27)+N(AA28)-N(AA57),-5)</f>
        <v>0</v>
      </c>
      <c r="AB60" s="260">
        <f>ROUND(N(AB21)+N(AB22)+N(AB23)+N(AB24)+N(AB25)+N(AB26)+N(AB27)+N(AB28)-N(AB57),-5)</f>
        <v>0</v>
      </c>
      <c r="AC60" s="260">
        <f>ROUND(N(AC21)+N(AC22)+N(AC23)+N(AC24)+N(AC25)+N(AC26)+N(AC27)+N(AC28)-N(AC57),-5)</f>
        <v>0</v>
      </c>
      <c r="AD60" s="260">
        <f>ROUND(N(AD21)+N(AD22)+N(AD23)+N(AD24)+N(AD25)+N(AD26)+N(AD27)+N(AD28)-N(AD57),-5)</f>
        <v>0</v>
      </c>
      <c r="AE60" s="260">
        <f>ROUND(N(AE21)+N(AE22)+N(AE23)+N(AE24)+N(AE25)+N(AE26)+N(AE27)+N(AE28)-N(AE57),-5)</f>
        <v>0</v>
      </c>
      <c r="AF60" s="260">
        <f>ROUND(N(AF21)+N(AF22)+N(AF23)+N(AF24)+N(AF25)+N(AF26)+N(AF27)+N(AF28)-N(AF57),-5)</f>
        <v>0</v>
      </c>
      <c r="AG60" s="260">
        <f>ROUND(N(AG21)+N(AG22)+N(AG23)+N(AG24)+N(AG25)+N(AG26)+N(AG27)+N(AG28)-N(AG57),-5)</f>
        <v>0</v>
      </c>
      <c r="AH60" s="260">
        <f>ROUND(N(AH21)+N(AH22)+N(AH23)+N(AH24)+N(AH25)+N(AH26)+N(AH27)+N(AH28)-N(AH57),-5)</f>
        <v>0</v>
      </c>
      <c r="AI60" s="260">
        <f>ROUND(N(AI21)+N(AI22)+N(AI23)+N(AI24)+N(AI25)+N(AI26)+N(AI27)+N(AI28)-N(AI57),-5)</f>
        <v>0</v>
      </c>
      <c r="AJ60" s="260">
        <f>ROUND(N(AJ21)+N(AJ22)+N(AJ23)+N(AJ24)+N(AJ25)+N(AJ26)+N(AJ27)+N(AJ28)-N(AJ57),-5)</f>
        <v>0</v>
      </c>
    </row>
    <row r="61">
      <c r="G61" t="inlineStr">
        <is>
          <t>moeda</t>
        </is>
      </c>
      <c r="H61" t="inlineStr">
        <is>
          <t>CHECK: passivo + PL (contas) - passivo + PL total</t>
        </is>
      </c>
      <c r="J61" t="inlineStr">
        <is>
          <t>derivada</t>
        </is>
      </c>
      <c r="K61" s="260">
        <f>ROUND(N(K29)+N(K30)+N(K31)+N(K32)+N(K33)+N(K34)+N(K35)+N(K36)+N(K37)+N(K38)+N(K39)+N(K40)+N(K41)+N(K42)-N(K58),-5)</f>
        <v>0</v>
      </c>
      <c r="L61" s="260">
        <f>ROUND(N(L29)+N(L30)+N(L31)+N(L32)+N(L33)+N(L34)+N(L35)+N(L36)+N(L37)+N(L38)+N(L39)+N(L40)+N(L41)+N(L42)-N(L58),-5)</f>
        <v>0</v>
      </c>
      <c r="M61" s="260">
        <f>ROUND(N(M29)+N(M30)+N(M31)+N(M32)+N(M33)+N(M34)+N(M35)+N(M36)+N(M37)+N(M38)+N(M39)+N(M40)+N(M41)+N(M42)-N(M58),-5)</f>
        <v>0</v>
      </c>
      <c r="N61" s="260">
        <f>ROUND(N(N29)+N(N30)+N(N31)+N(N32)+N(N33)+N(N34)+N(N35)+N(N36)+N(N37)+N(N38)+N(N39)+N(N40)+N(N41)+N(N42)-N(N58),-5)</f>
        <v>0</v>
      </c>
      <c r="O61" s="260">
        <f>ROUND(N(O29)+N(O30)+N(O31)+N(O32)+N(O33)+N(O34)+N(O35)+N(O36)+N(O37)+N(O38)+N(O39)+N(O40)+N(O41)+N(O42)-N(O58),-5)</f>
        <v>0</v>
      </c>
      <c r="P61" s="260">
        <f>ROUND(N(P29)+N(P30)+N(P31)+N(P32)+N(P33)+N(P34)+N(P35)+N(P36)+N(P37)+N(P38)+N(P39)+N(P40)+N(P41)+N(P42)-N(P58),-5)</f>
        <v>0</v>
      </c>
      <c r="Q61" s="260">
        <f>ROUND(N(Q29)+N(Q30)+N(Q31)+N(Q32)+N(Q33)+N(Q34)+N(Q35)+N(Q36)+N(Q37)+N(Q38)+N(Q39)+N(Q40)+N(Q41)+N(Q42)-N(Q58),-5)</f>
        <v>0</v>
      </c>
      <c r="R61" s="260">
        <f>ROUND(N(R29)+N(R30)+N(R31)+N(R32)+N(R33)+N(R34)+N(R35)+N(R36)+N(R37)+N(R38)+N(R39)+N(R40)+N(R41)+N(R42)-N(R58),-5)</f>
        <v>0</v>
      </c>
      <c r="S61" s="260">
        <f>ROUND(N(S29)+N(S30)+N(S31)+N(S32)+N(S33)+N(S34)+N(S35)+N(S36)+N(S37)+N(S38)+N(S39)+N(S40)+N(S41)+N(S42)-N(S58),-5)</f>
        <v>0</v>
      </c>
      <c r="T61" s="260">
        <f>ROUND(N(T29)+N(T30)+N(T31)+N(T32)+N(T33)+N(T34)+N(T35)+N(T36)+N(T37)+N(T38)+N(T39)+N(T40)+N(T41)+N(T42)-N(T58),-5)</f>
        <v>0</v>
      </c>
      <c r="U61" s="260">
        <f>ROUND(N(U29)+N(U30)+N(U31)+N(U32)+N(U33)+N(U34)+N(U35)+N(U36)+N(U37)+N(U38)+N(U39)+N(U40)+N(U41)+N(U42)-N(U58),-5)</f>
        <v>0</v>
      </c>
      <c r="V61" s="260">
        <f>ROUND(N(V29)+N(V30)+N(V31)+N(V32)+N(V33)+N(V34)+N(V35)+N(V36)+N(V37)+N(V38)+N(V39)+N(V40)+N(V41)+N(V42)-N(V58),-5)</f>
        <v>0</v>
      </c>
      <c r="W61" s="260">
        <f>ROUND(N(W29)+N(W30)+N(W31)+N(W32)+N(W33)+N(W34)+N(W35)+N(W36)+N(W37)+N(W38)+N(W39)+N(W40)+N(W41)+N(W42)-N(W58),-5)</f>
        <v>0</v>
      </c>
      <c r="X61" s="260">
        <f>ROUND(N(X29)+N(X30)+N(X31)+N(X32)+N(X33)+N(X34)+N(X35)+N(X36)+N(X37)+N(X38)+N(X39)+N(X40)+N(X41)+N(X42)-N(X58),-5)</f>
        <v>0</v>
      </c>
      <c r="Y61" s="260">
        <f>ROUND(N(Y29)+N(Y30)+N(Y31)+N(Y32)+N(Y33)+N(Y34)+N(Y35)+N(Y36)+N(Y37)+N(Y38)+N(Y39)+N(Y40)+N(Y41)+N(Y42)-N(Y58),-5)</f>
        <v>0</v>
      </c>
      <c r="Z61" s="260">
        <f>ROUND(N(Z29)+N(Z30)+N(Z31)+N(Z32)+N(Z33)+N(Z34)+N(Z35)+N(Z36)+N(Z37)+N(Z38)+N(Z39)+N(Z40)+N(Z41)+N(Z42)-N(Z58),-5)</f>
        <v>0</v>
      </c>
      <c r="AA61" s="260">
        <f>ROUND(N(AA29)+N(AA30)+N(AA31)+N(AA32)+N(AA33)+N(AA34)+N(AA35)+N(AA36)+N(AA37)+N(AA38)+N(AA39)+N(AA40)+N(AA41)+N(AA42)-N(AA58),-5)</f>
        <v>0</v>
      </c>
      <c r="AB61" s="260">
        <f>ROUND(N(AB29)+N(AB30)+N(AB31)+N(AB32)+N(AB33)+N(AB34)+N(AB35)+N(AB36)+N(AB37)+N(AB38)+N(AB39)+N(AB40)+N(AB41)+N(AB42)-N(AB58),-5)</f>
        <v>0</v>
      </c>
      <c r="AC61" s="260">
        <f>ROUND(N(AC29)+N(AC30)+N(AC31)+N(AC32)+N(AC33)+N(AC34)+N(AC35)+N(AC36)+N(AC37)+N(AC38)+N(AC39)+N(AC40)+N(AC41)+N(AC42)-N(AC58),-5)</f>
        <v>0</v>
      </c>
      <c r="AD61" s="260">
        <f>ROUND(N(AD29)+N(AD30)+N(AD31)+N(AD32)+N(AD33)+N(AD34)+N(AD35)+N(AD36)+N(AD37)+N(AD38)+N(AD39)+N(AD40)+N(AD41)+N(AD42)-N(AD58),-5)</f>
        <v>0</v>
      </c>
      <c r="AE61" s="260">
        <f>ROUND(N(AE29)+N(AE30)+N(AE31)+N(AE32)+N(AE33)+N(AE34)+N(AE35)+N(AE36)+N(AE37)+N(AE38)+N(AE39)+N(AE40)+N(AE41)+N(AE42)-N(AE58),-5)</f>
        <v>0</v>
      </c>
      <c r="AF61" s="260">
        <f>ROUND(N(AF29)+N(AF30)+N(AF31)+N(AF32)+N(AF33)+N(AF34)+N(AF35)+N(AF36)+N(AF37)+N(AF38)+N(AF39)+N(AF40)+N(AF41)+N(AF42)-N(AF58),-5)</f>
        <v>0</v>
      </c>
      <c r="AG61" s="260">
        <f>ROUND(N(AG29)+N(AG30)+N(AG31)+N(AG32)+N(AG33)+N(AG34)+N(AG35)+N(AG36)+N(AG37)+N(AG38)+N(AG39)+N(AG40)+N(AG41)+N(AG42)-N(AG58),-5)</f>
        <v>0</v>
      </c>
      <c r="AH61" s="260">
        <f>ROUND(N(AH29)+N(AH30)+N(AH31)+N(AH32)+N(AH33)+N(AH34)+N(AH35)+N(AH36)+N(AH37)+N(AH38)+N(AH39)+N(AH40)+N(AH41)+N(AH42)-N(AH58),-5)</f>
        <v>0</v>
      </c>
      <c r="AI61" s="260">
        <f>ROUND(N(AI29)+N(AI30)+N(AI31)+N(AI32)+N(AI33)+N(AI34)+N(AI35)+N(AI36)+N(AI37)+N(AI38)+N(AI39)+N(AI40)+N(AI41)+N(AI42)-N(AI58),-5)</f>
        <v>0</v>
      </c>
      <c r="AJ61" s="260">
        <f>ROUND(N(AJ29)+N(AJ30)+N(AJ31)+N(AJ32)+N(AJ33)+N(AJ34)+N(AJ35)+N(AJ36)+N(AJ37)+N(AJ38)+N(AJ39)+N(AJ40)+N(AJ41)+N(AJ42)-N(AJ58),-5)</f>
        <v>0</v>
      </c>
    </row>
    <row r="62">
      <c r="H62" t="inlineStr">
        <is>
          <t>CHECK: receita - custo - despesas + não operacional - IR - minoritários + outros após IR - lucro (deve ser 0)</t>
        </is>
      </c>
      <c r="J62" t="inlineStr">
        <is>
          <t>derivada</t>
        </is>
      </c>
      <c r="K62">
        <f>ROUND(N(K6)-N(K7)-N(K9)+N(K11)-N(K13)+N(K15)-N(K16),-5)</f>
        <v>0</v>
      </c>
      <c r="L62">
        <f>ROUND(N(L6)-N(L7)-N(L9)+N(L11)-N(L13)+N(L15)-N(L16),-5)</f>
        <v>0</v>
      </c>
      <c r="M62">
        <f>ROUND(N(M6)-N(M7)-N(M9)+N(M11)-N(M13)+N(M15)-N(M16),-5)</f>
        <v>0</v>
      </c>
      <c r="N62">
        <f>ROUND(N(N6)-N(N7)-N(N9)+N(N11)-N(N13)+N(N15)-N(N16),-5)</f>
        <v>0</v>
      </c>
      <c r="O62">
        <f>ROUND(N(O6)-N(O7)-N(O9)+N(O11)-N(O13)+N(O15)-N(O16),-5)</f>
        <v>0</v>
      </c>
      <c r="P62">
        <f>ROUND(N(P6)-N(P7)-N(P9)+N(P11)-N(P13)+N(P15)-N(P16),-5)</f>
        <v>0</v>
      </c>
      <c r="Q62">
        <f>ROUND(N(Q6)-N(Q7)-N(Q9)+N(Q11)-N(Q13)+N(Q15)-N(Q16),-5)</f>
        <v>0</v>
      </c>
      <c r="R62">
        <f>ROUND(N(R6)-N(R7)-N(R9)+N(R11)-N(R13)+N(R15)-N(R16),-5)</f>
        <v>0</v>
      </c>
      <c r="S62">
        <f>ROUND(N(S6)-N(S7)-N(S9)+N(S11)-N(S13)+N(S15)-N(S16),-5)</f>
        <v>0</v>
      </c>
      <c r="T62">
        <f>ROUND(N(T6)-N(T7)-N(T9)+N(T11)-N(T13)+N(T15)-N(T16),-5)</f>
        <v>0</v>
      </c>
      <c r="U62">
        <f>ROUND(N(U6)-N(U7)-N(U9)+N(U11)-N(U13)+N(U15)-N(U16),-5)</f>
        <v>0</v>
      </c>
      <c r="V62">
        <f>ROUND(N(V6)-N(V7)-N(V9)+N(V11)-N(V13)+N(V15)-N(V16),-5)</f>
        <v>0</v>
      </c>
      <c r="W62">
        <f>ROUND(N(W6)-N(W7)-N(W9)+N(W11)-N(W13)+N(W15)-N(W16),-5)</f>
        <v>0</v>
      </c>
      <c r="X62">
        <f>ROUND(N(X6)-N(X7)-N(X9)+N(X11)-N(X13)+N(X15)-N(X16),-5)</f>
        <v>0</v>
      </c>
      <c r="Y62">
        <f>ROUND(N(Y6)-N(Y7)-N(Y9)+N(Y11)-N(Y13)+N(Y15)-N(Y16),-5)</f>
        <v>0</v>
      </c>
      <c r="Z62">
        <f>ROUND(N(Z6)-N(Z7)-N(Z9)+N(Z11)-N(Z13)+N(Z15)-N(Z16),-5)</f>
        <v>0</v>
      </c>
      <c r="AA62">
        <f>ROUND(N(AA6)-N(AA7)-N(AA9)+N(AA11)-N(AA13)+N(AA15)-N(AA16),-5)</f>
        <v>0</v>
      </c>
      <c r="AB62">
        <f>ROUND(N(AB6)-N(AB7)-N(AB9)+N(AB11)-N(AB13)+N(AB15)-N(AB16),-5)</f>
        <v>0</v>
      </c>
      <c r="AC62">
        <f>ROUND(N(AC6)-N(AC7)-N(AC9)+N(AC11)-N(AC13)+N(AC15)-N(AC16),-5)</f>
        <v>0</v>
      </c>
      <c r="AD62">
        <f>ROUND(N(AD6)-N(AD7)-N(AD9)+N(AD11)-N(AD13)+N(AD15)-N(AD16),-5)</f>
        <v>0</v>
      </c>
      <c r="AE62">
        <f>ROUND(N(AE6)-N(AE7)-N(AE9)+N(AE11)-N(AE13)+N(AE15)-N(AE16),-5)</f>
        <v>0</v>
      </c>
      <c r="AF62">
        <f>ROUND(N(AF6)-N(AF7)-N(AF9)+N(AF11)-N(AF13)+N(AF15)-N(AF16),-5)</f>
        <v>0</v>
      </c>
      <c r="AG62">
        <f>ROUND(N(AG6)-N(AG7)-N(AG9)+N(AG11)-N(AG13)+N(AG15)-N(AG16),-5)</f>
        <v>0</v>
      </c>
      <c r="AH62">
        <f>ROUND(N(AH6)-N(AH7)-N(AH9)+N(AH11)-N(AH13)+N(AH15)-N(AH16),-5)</f>
        <v>0</v>
      </c>
      <c r="AI62">
        <f>ROUND(N(AI6)-N(AI7)-N(AI9)+N(AI11)-N(AI13)+N(AI15)-N(AI16),-5)</f>
        <v>0</v>
      </c>
      <c r="AJ62">
        <f>ROUND(N(AJ6)-N(AJ7)-N(AJ9)+N(AJ11)-N(AJ13)+N(AJ15)-N(AJ16),-5)</f>
        <v>0</v>
      </c>
    </row>
    <row r="64">
      <c r="H64" s="254" t="inlineStr">
        <is>
          <t>DRIVERS DE RECEITA (codigos 45+): segmentos Semicondutores x Software de Infraestrutura (receita e lucro operacional), produtos x assinaturas e regiões - SEC XBRL (USD, fator 0,000001).</t>
        </is>
      </c>
    </row>
    <row r="65">
      <c r="A65" t="n">
        <v>45</v>
      </c>
      <c r="B65" t="n">
        <v>1</v>
      </c>
      <c r="G65" t="inlineStr">
        <is>
          <t>moeda</t>
        </is>
      </c>
      <c r="H65" t="inlineStr">
        <is>
          <t>Semiconductor Solutions - receita (USD)</t>
        </is>
      </c>
      <c r="J65" t="inlineStr">
        <is>
          <t>fonte</t>
        </is>
      </c>
      <c r="K65" s="262" t="n">
        <v>4027000000</v>
      </c>
      <c r="L65" s="262" t="n">
        <v>4219000000</v>
      </c>
      <c r="M65" s="262" t="n">
        <v>4830000000</v>
      </c>
      <c r="N65" s="262" t="n">
        <v>4908000000</v>
      </c>
      <c r="O65" s="262" t="n">
        <v>4820000000</v>
      </c>
      <c r="P65" s="262" t="n">
        <v>5021000000</v>
      </c>
      <c r="Q65" s="262" t="n">
        <v>5634000000</v>
      </c>
      <c r="R65" s="262" t="n">
        <v>5873000000</v>
      </c>
      <c r="S65" s="262" t="n">
        <v>6229000000</v>
      </c>
      <c r="T65" s="262" t="n">
        <v>6624000000</v>
      </c>
      <c r="U65" s="262" t="n">
        <v>7092000000</v>
      </c>
      <c r="V65" s="262" t="n">
        <v>7107000000</v>
      </c>
      <c r="W65" s="262" t="n">
        <v>6808000000</v>
      </c>
      <c r="X65" s="262" t="n">
        <v>6941000000</v>
      </c>
      <c r="Y65" s="262" t="n">
        <v>7326000000</v>
      </c>
      <c r="Z65" s="262" t="n">
        <v>7390000000</v>
      </c>
      <c r="AA65" s="262" t="n">
        <v>7202000000</v>
      </c>
      <c r="AB65" s="262" t="n">
        <v>7274000000</v>
      </c>
      <c r="AC65" s="262" t="n">
        <v>8230000000</v>
      </c>
      <c r="AD65" s="262" t="n">
        <v>8212000000</v>
      </c>
      <c r="AE65" s="262" t="n">
        <v>8408000000</v>
      </c>
      <c r="AF65" s="262" t="n">
        <v>9166000000</v>
      </c>
      <c r="AG65" s="262" t="n">
        <v>11072000000</v>
      </c>
      <c r="AH65" s="262" t="n">
        <v>12515000000</v>
      </c>
      <c r="AI65" s="262" t="n">
        <v>15009000000</v>
      </c>
      <c r="AJ65" s="262" t="n">
        <v>20839000000</v>
      </c>
    </row>
    <row r="66">
      <c r="A66" t="n">
        <v>46</v>
      </c>
      <c r="B66" t="n">
        <v>1</v>
      </c>
      <c r="G66" t="inlineStr">
        <is>
          <t>moeda</t>
        </is>
      </c>
      <c r="H66" t="inlineStr">
        <is>
          <t>Infrastructure Software - receita (USD)</t>
        </is>
      </c>
      <c r="J66" t="inlineStr">
        <is>
          <t>fonte</t>
        </is>
      </c>
      <c r="K66" s="262" t="n">
        <v>1715000000</v>
      </c>
      <c r="L66" s="262" t="n">
        <v>1602000000</v>
      </c>
      <c r="M66" s="262" t="n">
        <v>1637000000</v>
      </c>
      <c r="N66" s="262" t="n">
        <v>1747000000</v>
      </c>
      <c r="O66" s="262" t="n">
        <v>1790000000</v>
      </c>
      <c r="P66" s="262" t="n">
        <v>1757000000</v>
      </c>
      <c r="Q66" s="262" t="n">
        <v>1773000000</v>
      </c>
      <c r="R66" s="262" t="n">
        <v>1833000000</v>
      </c>
      <c r="S66" s="262" t="n">
        <v>1874000000</v>
      </c>
      <c r="T66" s="262" t="n">
        <v>1840000000</v>
      </c>
      <c r="U66" s="262" t="n">
        <v>1838000000</v>
      </c>
      <c r="V66" s="262" t="n">
        <v>1808000000</v>
      </c>
      <c r="W66" s="262" t="n">
        <v>1925000000</v>
      </c>
      <c r="X66" s="262" t="n">
        <v>1935000000</v>
      </c>
      <c r="Y66" s="262" t="n">
        <v>1969000000</v>
      </c>
      <c r="Z66" s="262" t="n">
        <v>4571000000</v>
      </c>
      <c r="AA66" s="262" t="n">
        <v>5285000000</v>
      </c>
      <c r="AB66" s="262" t="n">
        <v>5798000000</v>
      </c>
      <c r="AC66" s="262" t="n">
        <v>5824000000</v>
      </c>
      <c r="AD66" s="262" t="n">
        <v>6704000000</v>
      </c>
      <c r="AE66" s="262" t="n">
        <v>6596000000</v>
      </c>
      <c r="AF66" s="262" t="n">
        <v>6786000000</v>
      </c>
      <c r="AG66" s="262" t="n">
        <v>6943000000</v>
      </c>
      <c r="AH66" s="262" t="n">
        <v>6796000000</v>
      </c>
      <c r="AI66" s="262" t="n">
        <v>7178000000</v>
      </c>
      <c r="AJ66" s="262" t="n">
        <v>8752000000</v>
      </c>
    </row>
    <row r="67">
      <c r="A67" t="n">
        <v>47</v>
      </c>
      <c r="B67" t="n">
        <v>1</v>
      </c>
      <c r="G67" t="inlineStr">
        <is>
          <t>moeda</t>
        </is>
      </c>
      <c r="H67" t="inlineStr">
        <is>
          <t>Semiconductor Solutions - lucro operacional (USD)</t>
        </is>
      </c>
      <c r="J67" t="inlineStr">
        <is>
          <t>fonte</t>
        </is>
      </c>
      <c r="K67" s="262" t="n">
        <v>1891000000</v>
      </c>
      <c r="L67" s="262" t="n">
        <v>2112000000</v>
      </c>
      <c r="M67" s="262" t="n">
        <v>2530000000</v>
      </c>
      <c r="N67" s="262" t="n">
        <v>2561000000</v>
      </c>
      <c r="O67" s="262" t="n">
        <v>2547000000</v>
      </c>
      <c r="P67" s="262" t="n">
        <v>2720000000</v>
      </c>
      <c r="Q67" s="262" t="n">
        <v>3148000000</v>
      </c>
      <c r="R67" s="262" t="n">
        <v>3349000000</v>
      </c>
      <c r="S67" s="262" t="n">
        <v>3626000000</v>
      </c>
      <c r="T67" s="262" t="n">
        <v>3916000000</v>
      </c>
      <c r="U67" s="262" t="n">
        <v>4184000000</v>
      </c>
      <c r="V67" s="262" t="n">
        <v>4123000000</v>
      </c>
      <c r="W67" s="262" t="n">
        <v>4000000000</v>
      </c>
      <c r="X67" s="262" t="n">
        <v>4092000000</v>
      </c>
      <c r="Y67" s="262" t="n">
        <v>4271000000</v>
      </c>
      <c r="Z67" s="262" t="n">
        <v>4116000000</v>
      </c>
      <c r="AA67" s="262" t="n">
        <v>3978000000</v>
      </c>
      <c r="AB67" s="262" t="n">
        <v>4042000000</v>
      </c>
      <c r="AC67" s="262" t="n">
        <v>4623000000</v>
      </c>
      <c r="AD67" s="262" t="n">
        <v>4706000000</v>
      </c>
      <c r="AE67" s="262" t="n">
        <v>4806000000</v>
      </c>
      <c r="AF67" s="262" t="n">
        <v>5217000000</v>
      </c>
      <c r="AG67" s="262" t="n">
        <v>6503000000</v>
      </c>
      <c r="AH67" s="262" t="n">
        <v>7503000000</v>
      </c>
      <c r="AI67" s="262" t="n">
        <v>9281000000</v>
      </c>
      <c r="AJ67" s="262" t="n">
        <v>12770000000</v>
      </c>
    </row>
    <row r="68">
      <c r="A68" t="n">
        <v>48</v>
      </c>
      <c r="B68" t="n">
        <v>1</v>
      </c>
      <c r="G68" t="inlineStr">
        <is>
          <t>moeda</t>
        </is>
      </c>
      <c r="H68" t="inlineStr">
        <is>
          <t>Infrastructure Software - lucro operacional (USD)</t>
        </is>
      </c>
      <c r="J68" t="inlineStr">
        <is>
          <t>fonte</t>
        </is>
      </c>
      <c r="K68" s="262" t="n">
        <v>1140000000</v>
      </c>
      <c r="L68" s="262" t="n">
        <v>1069000000</v>
      </c>
      <c r="M68" s="262" t="n">
        <v>1113000000</v>
      </c>
      <c r="N68" s="262" t="n">
        <v>1219000000</v>
      </c>
      <c r="O68" s="262" t="n">
        <v>1255000000</v>
      </c>
      <c r="P68" s="262" t="n">
        <v>1226000000</v>
      </c>
      <c r="Q68" s="262" t="n">
        <v>1236000000</v>
      </c>
      <c r="R68" s="262" t="n">
        <v>1307000000</v>
      </c>
      <c r="S68" s="262" t="n">
        <v>1313000000</v>
      </c>
      <c r="T68" s="262" t="n">
        <v>1283000000</v>
      </c>
      <c r="U68" s="262" t="n">
        <v>1316000000</v>
      </c>
      <c r="V68" s="262" t="n">
        <v>1307000000</v>
      </c>
      <c r="W68" s="262" t="n">
        <v>1412000000</v>
      </c>
      <c r="X68" s="262" t="n">
        <v>1444000000</v>
      </c>
      <c r="Y68" s="262" t="n">
        <v>1476000000</v>
      </c>
      <c r="Z68" s="262" t="n">
        <v>2715000000</v>
      </c>
      <c r="AA68" s="262" t="n">
        <v>3168000000</v>
      </c>
      <c r="AB68" s="262" t="n">
        <v>3906000000</v>
      </c>
      <c r="AC68" s="262" t="n">
        <v>4188000000</v>
      </c>
      <c r="AD68" s="262" t="n">
        <v>5122000000</v>
      </c>
      <c r="AE68" s="262" t="n">
        <v>4987000000</v>
      </c>
      <c r="AF68" s="262" t="n">
        <v>5238000000</v>
      </c>
      <c r="AG68" s="262" t="n">
        <v>5418000000</v>
      </c>
      <c r="AH68" s="262" t="n">
        <v>5323000000</v>
      </c>
      <c r="AI68" s="262" t="n">
        <v>5647000000</v>
      </c>
      <c r="AJ68" s="262" t="n">
        <v>7325000000</v>
      </c>
    </row>
    <row r="69">
      <c r="A69" t="n">
        <v>49</v>
      </c>
      <c r="B69" t="n">
        <v>1</v>
      </c>
      <c r="G69" t="inlineStr">
        <is>
          <t>moeda</t>
        </is>
      </c>
      <c r="H69" t="inlineStr">
        <is>
          <t>Receita de produtos (USD)</t>
        </is>
      </c>
      <c r="J69" t="inlineStr">
        <is>
          <t>fonte</t>
        </is>
      </c>
      <c r="K69" s="262" t="n">
        <v>4253000000</v>
      </c>
      <c r="L69" s="262" t="n">
        <v>4125000000</v>
      </c>
      <c r="M69" s="262" t="n">
        <v>4853000000</v>
      </c>
      <c r="N69" s="262" t="n">
        <v>5081000000</v>
      </c>
      <c r="O69" s="262" t="n">
        <v>4983000000</v>
      </c>
      <c r="P69" s="262" t="n">
        <v>5064000000</v>
      </c>
      <c r="Q69" s="262" t="n">
        <v>5758000000</v>
      </c>
      <c r="R69" s="262" t="n">
        <v>6053000000</v>
      </c>
      <c r="S69" s="262" t="n">
        <v>6417000000</v>
      </c>
      <c r="T69" s="262" t="n">
        <v>6627000000</v>
      </c>
      <c r="U69" s="262" t="n">
        <v>7180000000</v>
      </c>
      <c r="V69" s="262" t="n">
        <v>7082000000</v>
      </c>
      <c r="W69" s="262" t="n">
        <v>6741000000</v>
      </c>
      <c r="X69" s="262" t="n">
        <v>6917000000</v>
      </c>
      <c r="Y69" s="262" t="n">
        <v>7151000000</v>
      </c>
      <c r="Z69" s="262" t="n">
        <v>7412000000</v>
      </c>
      <c r="AA69" s="262" t="n">
        <v>7192000000</v>
      </c>
      <c r="AB69" s="262" t="n">
        <v>7439000000</v>
      </c>
      <c r="AC69" s="262" t="n">
        <v>8316000000</v>
      </c>
      <c r="AD69" s="262" t="n">
        <v>10143000000</v>
      </c>
      <c r="AE69" s="262" t="n">
        <v>10309000000</v>
      </c>
      <c r="AF69" s="262" t="n">
        <v>11173000000</v>
      </c>
      <c r="AG69" s="262" t="n">
        <v>13222000000</v>
      </c>
      <c r="AH69" s="262" t="n">
        <v>14130000000</v>
      </c>
      <c r="AI69" s="262" t="n">
        <v>16892000000</v>
      </c>
      <c r="AJ69" s="262" t="n">
        <v>24279000000</v>
      </c>
    </row>
    <row r="70">
      <c r="A70" t="n">
        <v>50</v>
      </c>
      <c r="B70" t="n">
        <v>1</v>
      </c>
      <c r="G70" t="inlineStr">
        <is>
          <t>moeda</t>
        </is>
      </c>
      <c r="H70" t="inlineStr">
        <is>
          <t>Receita de assinaturas e serviços (USD)</t>
        </is>
      </c>
      <c r="J70" t="inlineStr">
        <is>
          <t>fonte</t>
        </is>
      </c>
      <c r="K70" s="262" t="n">
        <v>1489000000</v>
      </c>
      <c r="L70" s="262" t="n">
        <v>1696000000</v>
      </c>
      <c r="M70" s="262" t="n">
        <v>1614000000</v>
      </c>
      <c r="N70" s="262" t="n">
        <v>1574000000</v>
      </c>
      <c r="O70" s="262" t="n">
        <v>1627000000</v>
      </c>
      <c r="P70" s="262" t="n">
        <v>1714000000</v>
      </c>
      <c r="Q70" s="262" t="n">
        <v>1649000000</v>
      </c>
      <c r="R70" s="262" t="n">
        <v>1653000000</v>
      </c>
      <c r="S70" s="262" t="n">
        <v>1686000000</v>
      </c>
      <c r="T70" s="262" t="n">
        <v>1837000000</v>
      </c>
      <c r="U70" s="262" t="n">
        <v>1750000000</v>
      </c>
      <c r="V70" s="262" t="n">
        <v>1833000000</v>
      </c>
      <c r="W70" s="262" t="n">
        <v>1992000000</v>
      </c>
      <c r="X70" s="262" t="n">
        <v>1959000000</v>
      </c>
      <c r="Y70" s="262" t="n">
        <v>2144000000</v>
      </c>
      <c r="Z70" s="262" t="n">
        <v>4549000000</v>
      </c>
      <c r="AA70" s="262" t="n">
        <v>5295000000</v>
      </c>
      <c r="AB70" s="262" t="n">
        <v>5633000000</v>
      </c>
      <c r="AC70" s="262" t="n">
        <v>5738000000</v>
      </c>
      <c r="AD70" s="262" t="n">
        <v>4773000000</v>
      </c>
      <c r="AE70" s="262" t="n">
        <v>4695000000</v>
      </c>
      <c r="AF70" s="262" t="n">
        <v>4779000000</v>
      </c>
      <c r="AG70" s="262" t="n">
        <v>4793000000</v>
      </c>
      <c r="AH70" s="262" t="n">
        <v>5181000000</v>
      </c>
      <c r="AI70" s="262" t="n">
        <v>5295000000</v>
      </c>
      <c r="AJ70" s="262" t="n">
        <v>5312000000</v>
      </c>
    </row>
    <row r="71">
      <c r="A71" t="n">
        <v>51</v>
      </c>
      <c r="B71" t="n">
        <v>1</v>
      </c>
      <c r="G71" t="inlineStr">
        <is>
          <t>moeda</t>
        </is>
      </c>
      <c r="H71" t="inlineStr">
        <is>
          <t>Receita Américas (USD)</t>
        </is>
      </c>
      <c r="J71" t="inlineStr">
        <is>
          <t>fonte</t>
        </is>
      </c>
      <c r="K71" s="262" t="n">
        <v>1466000000</v>
      </c>
      <c r="L71" s="262" t="n">
        <v>1410000000</v>
      </c>
      <c r="M71" s="262" t="n">
        <v>1419000000</v>
      </c>
      <c r="N71" s="262" t="n">
        <v>1394000000</v>
      </c>
      <c r="O71" s="262" t="n">
        <v>1521000000</v>
      </c>
      <c r="P71" s="262" t="n">
        <v>1588000000</v>
      </c>
      <c r="Q71" s="262" t="n">
        <v>1596000000</v>
      </c>
      <c r="R71" s="262" t="n">
        <v>1657000000</v>
      </c>
      <c r="S71" s="262" t="n">
        <v>1812000000</v>
      </c>
      <c r="T71" s="262" t="n">
        <v>1762000000</v>
      </c>
      <c r="U71" s="262" t="n">
        <v>1713000000</v>
      </c>
      <c r="V71" s="262" t="n">
        <v>1839000000</v>
      </c>
      <c r="W71" s="262" t="n">
        <v>2234000000</v>
      </c>
      <c r="X71" s="262" t="n">
        <v>2089000000</v>
      </c>
      <c r="Y71" s="262" t="n">
        <v>2117000000</v>
      </c>
      <c r="Z71" s="262" t="n">
        <v>3085000000</v>
      </c>
      <c r="AA71" s="262" t="n">
        <v>3874000000</v>
      </c>
      <c r="AB71" s="262" t="n">
        <v>3991000000</v>
      </c>
      <c r="AC71" s="262" t="n">
        <v>4020000000</v>
      </c>
      <c r="AD71" s="262" t="n">
        <v>4632000000</v>
      </c>
      <c r="AE71" s="262" t="n">
        <v>4706000000</v>
      </c>
      <c r="AF71" s="262" t="n">
        <v>4724000000</v>
      </c>
      <c r="AG71" s="262" t="n">
        <v>4877000000</v>
      </c>
      <c r="AH71" s="262" t="n">
        <v>5081000000</v>
      </c>
      <c r="AI71" s="262" t="n">
        <v>5202000000</v>
      </c>
      <c r="AJ71" s="262" t="n">
        <v>5513000000</v>
      </c>
    </row>
    <row r="72">
      <c r="A72" t="n">
        <v>52</v>
      </c>
      <c r="B72" t="n">
        <v>1</v>
      </c>
      <c r="G72" t="inlineStr">
        <is>
          <t>moeda</t>
        </is>
      </c>
      <c r="H72" t="inlineStr">
        <is>
          <t>Receita Ásia-Pacífico (USD)</t>
        </is>
      </c>
      <c r="J72" t="inlineStr">
        <is>
          <t>fonte</t>
        </is>
      </c>
      <c r="K72" s="262" t="n">
        <v>3600000000</v>
      </c>
      <c r="L72" s="262" t="n">
        <v>3742000000</v>
      </c>
      <c r="M72" s="262" t="n">
        <v>4361000000</v>
      </c>
      <c r="N72" s="262" t="n">
        <v>4511000000</v>
      </c>
      <c r="O72" s="262" t="n">
        <v>4228000000</v>
      </c>
      <c r="P72" s="262" t="n">
        <v>4321000000</v>
      </c>
      <c r="Q72" s="262" t="n">
        <v>4918000000</v>
      </c>
      <c r="R72" s="262" t="n">
        <v>5112000000</v>
      </c>
      <c r="S72" s="262" t="n">
        <v>5385000000</v>
      </c>
      <c r="T72" s="262" t="n">
        <v>5845000000</v>
      </c>
      <c r="U72" s="262" t="n">
        <v>6163000000</v>
      </c>
      <c r="V72" s="262" t="n">
        <v>6137000000</v>
      </c>
      <c r="W72" s="262" t="n">
        <v>5584000000</v>
      </c>
      <c r="X72" s="262" t="n">
        <v>5947000000</v>
      </c>
      <c r="Y72" s="262" t="n">
        <v>6252000000</v>
      </c>
      <c r="Z72" s="262" t="n">
        <v>6697000000</v>
      </c>
      <c r="AA72" s="262" t="n">
        <v>6754000000</v>
      </c>
      <c r="AB72" s="262" t="n">
        <v>7041000000</v>
      </c>
      <c r="AC72" s="262" t="n">
        <v>7930000000</v>
      </c>
      <c r="AD72" s="262" t="n">
        <v>8032000000</v>
      </c>
      <c r="AE72" s="262" t="n">
        <v>8100000000</v>
      </c>
      <c r="AF72" s="262" t="n">
        <v>8960000000</v>
      </c>
      <c r="AG72" s="262" t="n">
        <v>10804000000</v>
      </c>
      <c r="AH72" s="262" t="n">
        <v>11615000000</v>
      </c>
      <c r="AI72" s="262" t="n">
        <v>14535000000</v>
      </c>
      <c r="AJ72" s="262" t="n">
        <v>20944000000</v>
      </c>
    </row>
    <row r="73">
      <c r="A73" t="n">
        <v>53</v>
      </c>
      <c r="B73" t="n">
        <v>1</v>
      </c>
      <c r="G73" t="inlineStr">
        <is>
          <t>moeda</t>
        </is>
      </c>
      <c r="H73" t="inlineStr">
        <is>
          <t>Receita EMEA (USD)</t>
        </is>
      </c>
      <c r="J73" t="inlineStr">
        <is>
          <t>fonte</t>
        </is>
      </c>
      <c r="K73" s="262" t="n">
        <v>676000000</v>
      </c>
      <c r="L73" s="262" t="n">
        <v>669000000</v>
      </c>
      <c r="M73" s="262" t="n">
        <v>687000000</v>
      </c>
      <c r="N73" s="262" t="n">
        <v>750000000</v>
      </c>
      <c r="O73" s="262" t="n">
        <v>861000000</v>
      </c>
      <c r="P73" s="262" t="n">
        <v>869000000</v>
      </c>
      <c r="Q73" s="262" t="n">
        <v>893000000</v>
      </c>
      <c r="R73" s="262" t="n">
        <v>937000000</v>
      </c>
      <c r="S73" s="262" t="n">
        <v>906000000</v>
      </c>
      <c r="T73" s="262" t="n">
        <v>857000000</v>
      </c>
      <c r="U73" s="262" t="n">
        <v>1054000000</v>
      </c>
      <c r="V73" s="262" t="n">
        <v>939000000</v>
      </c>
      <c r="W73" s="262" t="n">
        <v>915000000</v>
      </c>
      <c r="X73" s="262" t="n">
        <v>840000000</v>
      </c>
      <c r="Y73" s="262" t="n">
        <v>926000000</v>
      </c>
      <c r="Z73" s="262" t="n">
        <v>2179000000</v>
      </c>
      <c r="AA73" s="262" t="n">
        <v>1859000000</v>
      </c>
      <c r="AB73" s="262" t="n">
        <v>2040000000</v>
      </c>
      <c r="AC73" s="262" t="n">
        <v>2104000000</v>
      </c>
      <c r="AD73" s="262" t="n">
        <v>2252000000</v>
      </c>
      <c r="AE73" s="262" t="n">
        <v>2198000000</v>
      </c>
      <c r="AF73" s="262" t="n">
        <v>2268000000</v>
      </c>
      <c r="AG73" s="262" t="n">
        <v>2334000000</v>
      </c>
      <c r="AH73" s="262" t="n">
        <v>2615000000</v>
      </c>
      <c r="AI73" s="262" t="n">
        <v>2450000000</v>
      </c>
      <c r="AJ73" s="262" t="n">
        <v>3134000000</v>
      </c>
    </row>
    <row r="74">
      <c r="H74" t="inlineStr">
        <is>
          <t>Notas: valores dimensionais das instâncias XBRL; ano fiscal termina no início de novembro (fechamento de fev -&gt; 4T, mai -&gt; 1T, ago -&gt; 2T, nov -&gt; 3T). VMware consolidada a partir de nov/23.</t>
        </is>
      </c>
    </row>
    <row r="113">
      <c r="H113" s="254" t="inlineStr">
        <is>
          <t>CONVENCOES</t>
        </is>
      </c>
    </row>
    <row r="114">
      <c r="H114" t="inlineStr">
        <is>
          <t>Linhas de origem: 5 a 74. As formulas da Inputs (2) varrem as linhas 5 a 110; as linhas 75 a 110 estao livres para novas contas.</t>
        </is>
      </c>
    </row>
    <row r="115">
      <c r="H115" t="inlineStr">
        <is>
          <t>Periodos: colunas K a AJ = trimestres-calendário 1Q20 a 2Q26 (linha 2: trimestre fiscal correspondente).</t>
        </is>
      </c>
    </row>
    <row r="116">
      <c r="H116" t="inlineStr">
        <is>
          <t>Brutos em USD unidades: fator da célula B1 = 0,000001 converte para USD milhões nas linhas UNID = moeda.</t>
        </is>
      </c>
    </row>
    <row r="117">
      <c r="H117" t="inlineStr">
        <is>
          <t>ORIGEM: fonte = copiado da SEC; memoria = como divulgado, sem codigo; derivada = formula nesta aba ou desacumulado na extração.</t>
        </is>
      </c>
    </row>
    <row r="118">
      <c r="H118" t="inlineStr">
        <is>
          <t>Balanço: contas de face sem mapeamento específico vão para "outros" do seu bloco (ativo circulante 16, não circulante 22, passivo circulante 26, não circulante 34, PL 40).</t>
        </is>
      </c>
    </row>
    <row r="119">
      <c r="H119" t="inlineStr">
        <is>
          <t>Codigos 45 a 53: drivers de receita (memoria); alimentam o bloco logo abaixo da receita liquida no Model.</t>
        </is>
      </c>
    </row>
    <row r="133">
      <c r="H133" s="254" t="n"/>
    </row>
    <row r="134"/>
    <row r="135"/>
    <row r="136"/>
    <row r="137"/>
    <row r="138"/>
    <row r="139"/>
    <row r="140"/>
    <row r="141"/>
    <row r="142"/>
    <row r="143"/>
    <row r="144"/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61"/>
  <sheetViews>
    <sheetView showGridLines="0" zoomScale="85" zoomScaleNormal="85" workbookViewId="0">
      <pane xSplit="3" ySplit="2" topLeftCell="E3" activePane="bottomRight" state="frozen"/>
      <selection activeCell="D24" sqref="D24"/>
      <selection pane="topRight" activeCell="D24" sqref="D24"/>
      <selection pane="bottomLeft" activeCell="D24" sqref="D24"/>
      <selection pane="bottomRight" activeCell="G24" sqref="G24:G34"/>
    </sheetView>
  </sheetViews>
  <sheetFormatPr baseColWidth="8" defaultColWidth="9.140625" defaultRowHeight="12.75"/>
  <cols>
    <col width="2.28515625" bestFit="1" customWidth="1" style="1" min="1" max="1"/>
    <col width="4.42578125" bestFit="1" customWidth="1" style="1" min="2" max="2"/>
    <col width="53.140625" bestFit="1" customWidth="1" style="4" min="3" max="3"/>
    <col width="8.140625" bestFit="1" customWidth="1" style="1" min="4" max="4"/>
    <col width="9.28515625" bestFit="1" customWidth="1" style="1" min="5" max="7"/>
    <col width="10" bestFit="1" customWidth="1" style="1" min="8" max="8"/>
    <col width="8.140625" bestFit="1" customWidth="1" style="1" min="9" max="9"/>
    <col width="9.28515625" bestFit="1" customWidth="1" style="1" min="10" max="12"/>
    <col width="10" bestFit="1" customWidth="1" style="1" min="13" max="13"/>
    <col width="8.140625" bestFit="1" customWidth="1" style="1" min="14" max="14"/>
    <col width="9.28515625" bestFit="1" customWidth="1" style="1" min="15" max="16"/>
    <col width="10" bestFit="1" customWidth="1" style="1" min="17" max="18"/>
    <col width="8.140625" bestFit="1" customWidth="1" style="1" min="19" max="19"/>
    <col width="9.28515625" bestFit="1" customWidth="1" style="1" min="20" max="20"/>
    <col width="10" bestFit="1" customWidth="1" style="1" min="21" max="23"/>
    <col width="8.140625" bestFit="1" customWidth="1" style="1" min="24" max="24"/>
    <col width="10" bestFit="1" customWidth="1" style="1" min="25" max="27"/>
    <col width="10.42578125" bestFit="1" customWidth="1" style="1" min="28" max="28"/>
    <col width="9.28515625" bestFit="1" customWidth="1" style="1" min="29" max="29"/>
    <col width="11.7109375" bestFit="1" customWidth="1" style="1" min="30" max="31"/>
    <col width="12.7109375" bestFit="1" customWidth="1" style="1" min="32" max="32"/>
    <col width="10.28515625" customWidth="1" style="1" min="33" max="33"/>
    <col width="9.28515625" customWidth="1" style="4" min="34" max="54"/>
    <col width="9.28515625" customWidth="1" min="35" max="35"/>
    <col width="9.28515625" customWidth="1" min="36" max="36"/>
    <col width="9.28515625" customWidth="1" min="37" max="37"/>
    <col width="9.28515625" customWidth="1" min="38" max="38"/>
    <col width="9.7109375" bestFit="1" customWidth="1" style="4" min="55" max="55"/>
    <col width="9.140625" customWidth="1" style="4" min="56" max="56"/>
    <col width="9.140625" customWidth="1" style="4" min="57" max="16384"/>
  </cols>
  <sheetData>
    <row r="1" customFormat="1" s="1">
      <c r="A1" s="1">
        <f>COUNTIF($B$3:$B$1048576,$B$1)</f>
        <v>1</v>
      </c>
      <c r="B1" s="1">
        <f>MAX($B$3:$B$1048576)</f>
        <v>53</v>
      </c>
    </row>
    <row r="2">
      <c r="A2" s="4" t="n"/>
      <c r="B2" s="4" t="n"/>
      <c r="D2" s="50" t="inlineStr">
        <is>
          <t>1Q21</t>
        </is>
      </c>
      <c r="E2" s="50" t="inlineStr">
        <is>
          <t>2Q21</t>
        </is>
      </c>
      <c r="F2" s="50" t="inlineStr">
        <is>
          <t>3Q21</t>
        </is>
      </c>
      <c r="G2" s="50" t="inlineStr">
        <is>
          <t>4Q21</t>
        </is>
      </c>
      <c r="H2" s="244" t="n">
        <v>2021</v>
      </c>
      <c r="I2" s="50" t="inlineStr">
        <is>
          <t>1Q22</t>
        </is>
      </c>
      <c r="J2" s="50" t="inlineStr">
        <is>
          <t>2Q22</t>
        </is>
      </c>
      <c r="K2" s="50" t="inlineStr">
        <is>
          <t>3Q22</t>
        </is>
      </c>
      <c r="L2" s="50" t="inlineStr">
        <is>
          <t>4Q22</t>
        </is>
      </c>
      <c r="M2" s="244" t="n">
        <v>2022</v>
      </c>
      <c r="N2" s="50" t="inlineStr">
        <is>
          <t>1Q23</t>
        </is>
      </c>
      <c r="O2" s="50" t="inlineStr">
        <is>
          <t>2Q23</t>
        </is>
      </c>
      <c r="P2" s="50" t="inlineStr">
        <is>
          <t>3Q23</t>
        </is>
      </c>
      <c r="Q2" s="50" t="inlineStr">
        <is>
          <t>4Q23</t>
        </is>
      </c>
      <c r="R2" s="244" t="n">
        <v>2023</v>
      </c>
      <c r="S2" s="50" t="inlineStr">
        <is>
          <t>1Q24</t>
        </is>
      </c>
      <c r="T2" s="50" t="inlineStr">
        <is>
          <t>2Q24</t>
        </is>
      </c>
      <c r="U2" s="50" t="inlineStr">
        <is>
          <t>3Q24</t>
        </is>
      </c>
      <c r="V2" s="50" t="inlineStr">
        <is>
          <t>4Q24</t>
        </is>
      </c>
      <c r="W2" s="244" t="n">
        <v>2024</v>
      </c>
      <c r="X2" s="50" t="inlineStr">
        <is>
          <t>1Q25</t>
        </is>
      </c>
      <c r="Y2" s="50" t="inlineStr">
        <is>
          <t>2Q25</t>
        </is>
      </c>
      <c r="Z2" s="50" t="inlineStr">
        <is>
          <t>3Q25</t>
        </is>
      </c>
      <c r="AA2" s="50" t="inlineStr">
        <is>
          <t>4Q25</t>
        </is>
      </c>
      <c r="AB2" s="244" t="n">
        <v>2025</v>
      </c>
      <c r="AC2" s="50" t="inlineStr">
        <is>
          <t>1Q26</t>
        </is>
      </c>
      <c r="AD2" s="50" t="inlineStr">
        <is>
          <t>2Q26</t>
        </is>
      </c>
      <c r="AE2" s="257" t="inlineStr">
        <is>
          <t>3Q26</t>
        </is>
      </c>
      <c r="AF2" s="257" t="inlineStr">
        <is>
          <t>4Q26</t>
        </is>
      </c>
      <c r="AG2" s="258" t="n">
        <v>2026</v>
      </c>
      <c r="AH2" s="50" t="inlineStr">
        <is>
          <t>1Q20</t>
        </is>
      </c>
      <c r="AI2" s="50" t="inlineStr">
        <is>
          <t>2Q20</t>
        </is>
      </c>
      <c r="AJ2" s="50" t="inlineStr">
        <is>
          <t>3Q20</t>
        </is>
      </c>
      <c r="AK2" s="50" t="inlineStr">
        <is>
          <t>4Q20</t>
        </is>
      </c>
      <c r="AL2" s="244" t="n">
        <v>2020</v>
      </c>
      <c r="AN2" t="inlineStr">
        <is>
          <t>Sem dado na fonte: 3Q26, 4Q26 e 2026 (rotulo em cinza). 2020 fica nas colunas AH-AL.</t>
        </is>
      </c>
    </row>
    <row r="3"/>
    <row r="4">
      <c r="B4" s="46" t="n">
        <v>1</v>
      </c>
      <c r="C4" s="29" t="inlineStr">
        <is>
          <t>Net Revenues</t>
        </is>
      </c>
      <c r="D4" s="6">
        <f>IF(ISNA(MATCH(D$2,Inputs!$K$4:$AJ$4,0)),NA(),IF(SUMPRODUCT((Inputs!$A$5:$A$110=$B4)*ISNUMBER(INDEX(Inputs!$K$5:$AJ$110,0,MATCH(D$2,Inputs!$K$4:$AJ$4,0))))+SUMPRODUCT((Inputs!$C$5:$C$110=$B4)*ISNUMBER(INDEX(Inputs!$K$5:$AJ$110,0,MATCH(D$2,Inputs!$K$4:$AJ$4,0))))+SUMPRODUCT((Inputs!$E$5:$E$110=$B4)*ISNUMBER(INDEX(Inputs!$K$5:$AJ$110,0,MATCH(D$2,Inputs!$K$4:$AJ$4,0))))=0,NA(),SUMPRODUCT((Inputs!$A$5:$A$110=$B4)*Inputs!$B$5:$B$110*(((Inputs!$G$5:$G$110="moeda")+(Inputs!$G$5:$G$110="acoes"))*Inputs!$B$1+((Inputs!$G$5:$G$110&lt;&gt;"moeda")*(Inputs!$G$5:$G$110&lt;&gt;"acoes")))*INDEX(Inputs!$K$5:$AJ$110,0,MATCH(D$2,Inputs!$K$4:$AJ$4,0)))+SUMPRODUCT((Inputs!$C$5:$C$110=$B4)*Inputs!$D$5:$D$110*(((Inputs!$G$5:$G$110="moeda")+(Inputs!$G$5:$G$110="acoes"))*Inputs!$B$1+((Inputs!$G$5:$G$110&lt;&gt;"moeda")*(Inputs!$G$5:$G$110&lt;&gt;"acoes")))*INDEX(Inputs!$K$5:$AJ$110,0,MATCH(D$2,Inputs!$K$4:$AJ$4,0)))+SUMPRODUCT((Inputs!$E$5:$E$110=$B4)*Inputs!$F$5:$F$110*(((Inputs!$G$5:$G$110="moeda")+(Inputs!$G$5:$G$110="acoes"))*Inputs!$B$1+((Inputs!$G$5:$G$110&lt;&gt;"moeda")*(Inputs!$G$5:$G$110&lt;&gt;"acoes")))*INDEX(Inputs!$K$5:$AJ$110,0,MATCH(D$2,Inputs!$K$4:$AJ$4,0)))))</f>
        <v>6610</v>
      </c>
      <c r="E4" s="6">
        <f>IF(ISNA(MATCH(E$2,Inputs!$K$4:$AJ$4,0)),NA(),IF(SUMPRODUCT((Inputs!$A$5:$A$110=$B4)*ISNUMBER(INDEX(Inputs!$K$5:$AJ$110,0,MATCH(E$2,Inputs!$K$4:$AJ$4,0))))+SUMPRODUCT((Inputs!$C$5:$C$110=$B4)*ISNUMBER(INDEX(Inputs!$K$5:$AJ$110,0,MATCH(E$2,Inputs!$K$4:$AJ$4,0))))+SUMPRODUCT((Inputs!$E$5:$E$110=$B4)*ISNUMBER(INDEX(Inputs!$K$5:$AJ$110,0,MATCH(E$2,Inputs!$K$4:$AJ$4,0))))=0,NA(),SUMPRODUCT((Inputs!$A$5:$A$110=$B4)*Inputs!$B$5:$B$110*(((Inputs!$G$5:$G$110="moeda")+(Inputs!$G$5:$G$110="acoes"))*Inputs!$B$1+((Inputs!$G$5:$G$110&lt;&gt;"moeda")*(Inputs!$G$5:$G$110&lt;&gt;"acoes")))*INDEX(Inputs!$K$5:$AJ$110,0,MATCH(E$2,Inputs!$K$4:$AJ$4,0)))+SUMPRODUCT((Inputs!$C$5:$C$110=$B4)*Inputs!$D$5:$D$110*(((Inputs!$G$5:$G$110="moeda")+(Inputs!$G$5:$G$110="acoes"))*Inputs!$B$1+((Inputs!$G$5:$G$110&lt;&gt;"moeda")*(Inputs!$G$5:$G$110&lt;&gt;"acoes")))*INDEX(Inputs!$K$5:$AJ$110,0,MATCH(E$2,Inputs!$K$4:$AJ$4,0)))+SUMPRODUCT((Inputs!$E$5:$E$110=$B4)*Inputs!$F$5:$F$110*(((Inputs!$G$5:$G$110="moeda")+(Inputs!$G$5:$G$110="acoes"))*Inputs!$B$1+((Inputs!$G$5:$G$110&lt;&gt;"moeda")*(Inputs!$G$5:$G$110&lt;&gt;"acoes")))*INDEX(Inputs!$K$5:$AJ$110,0,MATCH(E$2,Inputs!$K$4:$AJ$4,0)))))</f>
        <v>6778</v>
      </c>
      <c r="F4" s="6">
        <f>IF(ISNA(MATCH(F$2,Inputs!$K$4:$AJ$4,0)),NA(),IF(SUMPRODUCT((Inputs!$A$5:$A$110=$B4)*ISNUMBER(INDEX(Inputs!$K$5:$AJ$110,0,MATCH(F$2,Inputs!$K$4:$AJ$4,0))))+SUMPRODUCT((Inputs!$C$5:$C$110=$B4)*ISNUMBER(INDEX(Inputs!$K$5:$AJ$110,0,MATCH(F$2,Inputs!$K$4:$AJ$4,0))))+SUMPRODUCT((Inputs!$E$5:$E$110=$B4)*ISNUMBER(INDEX(Inputs!$K$5:$AJ$110,0,MATCH(F$2,Inputs!$K$4:$AJ$4,0))))=0,NA(),SUMPRODUCT((Inputs!$A$5:$A$110=$B4)*Inputs!$B$5:$B$110*(((Inputs!$G$5:$G$110="moeda")+(Inputs!$G$5:$G$110="acoes"))*Inputs!$B$1+((Inputs!$G$5:$G$110&lt;&gt;"moeda")*(Inputs!$G$5:$G$110&lt;&gt;"acoes")))*INDEX(Inputs!$K$5:$AJ$110,0,MATCH(F$2,Inputs!$K$4:$AJ$4,0)))+SUMPRODUCT((Inputs!$C$5:$C$110=$B4)*Inputs!$D$5:$D$110*(((Inputs!$G$5:$G$110="moeda")+(Inputs!$G$5:$G$110="acoes"))*Inputs!$B$1+((Inputs!$G$5:$G$110&lt;&gt;"moeda")*(Inputs!$G$5:$G$110&lt;&gt;"acoes")))*INDEX(Inputs!$K$5:$AJ$110,0,MATCH(F$2,Inputs!$K$4:$AJ$4,0)))+SUMPRODUCT((Inputs!$E$5:$E$110=$B4)*Inputs!$F$5:$F$110*(((Inputs!$G$5:$G$110="moeda")+(Inputs!$G$5:$G$110="acoes"))*Inputs!$B$1+((Inputs!$G$5:$G$110&lt;&gt;"moeda")*(Inputs!$G$5:$G$110&lt;&gt;"acoes")))*INDEX(Inputs!$K$5:$AJ$110,0,MATCH(F$2,Inputs!$K$4:$AJ$4,0)))))</f>
        <v>7407</v>
      </c>
      <c r="G4" s="6">
        <f>IF(ISNA(MATCH(G$2,Inputs!$K$4:$AJ$4,0)),NA(),IF(SUMPRODUCT((Inputs!$A$5:$A$110=$B4)*ISNUMBER(INDEX(Inputs!$K$5:$AJ$110,0,MATCH(G$2,Inputs!$K$4:$AJ$4,0))))+SUMPRODUCT((Inputs!$C$5:$C$110=$B4)*ISNUMBER(INDEX(Inputs!$K$5:$AJ$110,0,MATCH(G$2,Inputs!$K$4:$AJ$4,0))))+SUMPRODUCT((Inputs!$E$5:$E$110=$B4)*ISNUMBER(INDEX(Inputs!$K$5:$AJ$110,0,MATCH(G$2,Inputs!$K$4:$AJ$4,0))))=0,NA(),SUMPRODUCT((Inputs!$A$5:$A$110=$B4)*Inputs!$B$5:$B$110*(((Inputs!$G$5:$G$110="moeda")+(Inputs!$G$5:$G$110="acoes"))*Inputs!$B$1+((Inputs!$G$5:$G$110&lt;&gt;"moeda")*(Inputs!$G$5:$G$110&lt;&gt;"acoes")))*INDEX(Inputs!$K$5:$AJ$110,0,MATCH(G$2,Inputs!$K$4:$AJ$4,0)))+SUMPRODUCT((Inputs!$C$5:$C$110=$B4)*Inputs!$D$5:$D$110*(((Inputs!$G$5:$G$110="moeda")+(Inputs!$G$5:$G$110="acoes"))*Inputs!$B$1+((Inputs!$G$5:$G$110&lt;&gt;"moeda")*(Inputs!$G$5:$G$110&lt;&gt;"acoes")))*INDEX(Inputs!$K$5:$AJ$110,0,MATCH(G$2,Inputs!$K$4:$AJ$4,0)))+SUMPRODUCT((Inputs!$E$5:$E$110=$B4)*Inputs!$F$5:$F$110*(((Inputs!$G$5:$G$110="moeda")+(Inputs!$G$5:$G$110="acoes"))*Inputs!$B$1+((Inputs!$G$5:$G$110&lt;&gt;"moeda")*(Inputs!$G$5:$G$110&lt;&gt;"acoes")))*INDEX(Inputs!$K$5:$AJ$110,0,MATCH(G$2,Inputs!$K$4:$AJ$4,0)))))</f>
        <v>7706</v>
      </c>
      <c r="H4" s="3">
        <f>SUM(D4:G4)</f>
        <v>28501</v>
      </c>
      <c r="I4" s="6">
        <f>IF(ISNA(MATCH(I$2,Inputs!$K$4:$AJ$4,0)),NA(),IF(SUMPRODUCT((Inputs!$A$5:$A$110=$B4)*ISNUMBER(INDEX(Inputs!$K$5:$AJ$110,0,MATCH(I$2,Inputs!$K$4:$AJ$4,0))))+SUMPRODUCT((Inputs!$C$5:$C$110=$B4)*ISNUMBER(INDEX(Inputs!$K$5:$AJ$110,0,MATCH(I$2,Inputs!$K$4:$AJ$4,0))))+SUMPRODUCT((Inputs!$E$5:$E$110=$B4)*ISNUMBER(INDEX(Inputs!$K$5:$AJ$110,0,MATCH(I$2,Inputs!$K$4:$AJ$4,0))))=0,NA(),SUMPRODUCT((Inputs!$A$5:$A$110=$B4)*Inputs!$B$5:$B$110*(((Inputs!$G$5:$G$110="moeda")+(Inputs!$G$5:$G$110="acoes"))*Inputs!$B$1+((Inputs!$G$5:$G$110&lt;&gt;"moeda")*(Inputs!$G$5:$G$110&lt;&gt;"acoes")))*INDEX(Inputs!$K$5:$AJ$110,0,MATCH(I$2,Inputs!$K$4:$AJ$4,0)))+SUMPRODUCT((Inputs!$C$5:$C$110=$B4)*Inputs!$D$5:$D$110*(((Inputs!$G$5:$G$110="moeda")+(Inputs!$G$5:$G$110="acoes"))*Inputs!$B$1+((Inputs!$G$5:$G$110&lt;&gt;"moeda")*(Inputs!$G$5:$G$110&lt;&gt;"acoes")))*INDEX(Inputs!$K$5:$AJ$110,0,MATCH(I$2,Inputs!$K$4:$AJ$4,0)))+SUMPRODUCT((Inputs!$E$5:$E$110=$B4)*Inputs!$F$5:$F$110*(((Inputs!$G$5:$G$110="moeda")+(Inputs!$G$5:$G$110="acoes"))*Inputs!$B$1+((Inputs!$G$5:$G$110&lt;&gt;"moeda")*(Inputs!$G$5:$G$110&lt;&gt;"acoes")))*INDEX(Inputs!$K$5:$AJ$110,0,MATCH(I$2,Inputs!$K$4:$AJ$4,0)))))</f>
        <v>8103</v>
      </c>
      <c r="J4" s="6">
        <f>IF(ISNA(MATCH(J$2,Inputs!$K$4:$AJ$4,0)),NA(),IF(SUMPRODUCT((Inputs!$A$5:$A$110=$B4)*ISNUMBER(INDEX(Inputs!$K$5:$AJ$110,0,MATCH(J$2,Inputs!$K$4:$AJ$4,0))))+SUMPRODUCT((Inputs!$C$5:$C$110=$B4)*ISNUMBER(INDEX(Inputs!$K$5:$AJ$110,0,MATCH(J$2,Inputs!$K$4:$AJ$4,0))))+SUMPRODUCT((Inputs!$E$5:$E$110=$B4)*ISNUMBER(INDEX(Inputs!$K$5:$AJ$110,0,MATCH(J$2,Inputs!$K$4:$AJ$4,0))))=0,NA(),SUMPRODUCT((Inputs!$A$5:$A$110=$B4)*Inputs!$B$5:$B$110*(((Inputs!$G$5:$G$110="moeda")+(Inputs!$G$5:$G$110="acoes"))*Inputs!$B$1+((Inputs!$G$5:$G$110&lt;&gt;"moeda")*(Inputs!$G$5:$G$110&lt;&gt;"acoes")))*INDEX(Inputs!$K$5:$AJ$110,0,MATCH(J$2,Inputs!$K$4:$AJ$4,0)))+SUMPRODUCT((Inputs!$C$5:$C$110=$B4)*Inputs!$D$5:$D$110*(((Inputs!$G$5:$G$110="moeda")+(Inputs!$G$5:$G$110="acoes"))*Inputs!$B$1+((Inputs!$G$5:$G$110&lt;&gt;"moeda")*(Inputs!$G$5:$G$110&lt;&gt;"acoes")))*INDEX(Inputs!$K$5:$AJ$110,0,MATCH(J$2,Inputs!$K$4:$AJ$4,0)))+SUMPRODUCT((Inputs!$E$5:$E$110=$B4)*Inputs!$F$5:$F$110*(((Inputs!$G$5:$G$110="moeda")+(Inputs!$G$5:$G$110="acoes"))*Inputs!$B$1+((Inputs!$G$5:$G$110&lt;&gt;"moeda")*(Inputs!$G$5:$G$110&lt;&gt;"acoes")))*INDEX(Inputs!$K$5:$AJ$110,0,MATCH(J$2,Inputs!$K$4:$AJ$4,0)))))</f>
        <v>8464</v>
      </c>
      <c r="K4" s="6">
        <f>IF(ISNA(MATCH(K$2,Inputs!$K$4:$AJ$4,0)),NA(),IF(SUMPRODUCT((Inputs!$A$5:$A$110=$B4)*ISNUMBER(INDEX(Inputs!$K$5:$AJ$110,0,MATCH(K$2,Inputs!$K$4:$AJ$4,0))))+SUMPRODUCT((Inputs!$C$5:$C$110=$B4)*ISNUMBER(INDEX(Inputs!$K$5:$AJ$110,0,MATCH(K$2,Inputs!$K$4:$AJ$4,0))))+SUMPRODUCT((Inputs!$E$5:$E$110=$B4)*ISNUMBER(INDEX(Inputs!$K$5:$AJ$110,0,MATCH(K$2,Inputs!$K$4:$AJ$4,0))))=0,NA(),SUMPRODUCT((Inputs!$A$5:$A$110=$B4)*Inputs!$B$5:$B$110*(((Inputs!$G$5:$G$110="moeda")+(Inputs!$G$5:$G$110="acoes"))*Inputs!$B$1+((Inputs!$G$5:$G$110&lt;&gt;"moeda")*(Inputs!$G$5:$G$110&lt;&gt;"acoes")))*INDEX(Inputs!$K$5:$AJ$110,0,MATCH(K$2,Inputs!$K$4:$AJ$4,0)))+SUMPRODUCT((Inputs!$C$5:$C$110=$B4)*Inputs!$D$5:$D$110*(((Inputs!$G$5:$G$110="moeda")+(Inputs!$G$5:$G$110="acoes"))*Inputs!$B$1+((Inputs!$G$5:$G$110&lt;&gt;"moeda")*(Inputs!$G$5:$G$110&lt;&gt;"acoes")))*INDEX(Inputs!$K$5:$AJ$110,0,MATCH(K$2,Inputs!$K$4:$AJ$4,0)))+SUMPRODUCT((Inputs!$E$5:$E$110=$B4)*Inputs!$F$5:$F$110*(((Inputs!$G$5:$G$110="moeda")+(Inputs!$G$5:$G$110="acoes"))*Inputs!$B$1+((Inputs!$G$5:$G$110&lt;&gt;"moeda")*(Inputs!$G$5:$G$110&lt;&gt;"acoes")))*INDEX(Inputs!$K$5:$AJ$110,0,MATCH(K$2,Inputs!$K$4:$AJ$4,0)))))</f>
        <v>8930</v>
      </c>
      <c r="L4" s="6">
        <f>IF(ISNA(MATCH(L$2,Inputs!$K$4:$AJ$4,0)),NA(),IF(SUMPRODUCT((Inputs!$A$5:$A$110=$B4)*ISNUMBER(INDEX(Inputs!$K$5:$AJ$110,0,MATCH(L$2,Inputs!$K$4:$AJ$4,0))))+SUMPRODUCT((Inputs!$C$5:$C$110=$B4)*ISNUMBER(INDEX(Inputs!$K$5:$AJ$110,0,MATCH(L$2,Inputs!$K$4:$AJ$4,0))))+SUMPRODUCT((Inputs!$E$5:$E$110=$B4)*ISNUMBER(INDEX(Inputs!$K$5:$AJ$110,0,MATCH(L$2,Inputs!$K$4:$AJ$4,0))))=0,NA(),SUMPRODUCT((Inputs!$A$5:$A$110=$B4)*Inputs!$B$5:$B$110*(((Inputs!$G$5:$G$110="moeda")+(Inputs!$G$5:$G$110="acoes"))*Inputs!$B$1+((Inputs!$G$5:$G$110&lt;&gt;"moeda")*(Inputs!$G$5:$G$110&lt;&gt;"acoes")))*INDEX(Inputs!$K$5:$AJ$110,0,MATCH(L$2,Inputs!$K$4:$AJ$4,0)))+SUMPRODUCT((Inputs!$C$5:$C$110=$B4)*Inputs!$D$5:$D$110*(((Inputs!$G$5:$G$110="moeda")+(Inputs!$G$5:$G$110="acoes"))*Inputs!$B$1+((Inputs!$G$5:$G$110&lt;&gt;"moeda")*(Inputs!$G$5:$G$110&lt;&gt;"acoes")))*INDEX(Inputs!$K$5:$AJ$110,0,MATCH(L$2,Inputs!$K$4:$AJ$4,0)))+SUMPRODUCT((Inputs!$E$5:$E$110=$B4)*Inputs!$F$5:$F$110*(((Inputs!$G$5:$G$110="moeda")+(Inputs!$G$5:$G$110="acoes"))*Inputs!$B$1+((Inputs!$G$5:$G$110&lt;&gt;"moeda")*(Inputs!$G$5:$G$110&lt;&gt;"acoes")))*INDEX(Inputs!$K$5:$AJ$110,0,MATCH(L$2,Inputs!$K$4:$AJ$4,0)))))</f>
        <v>8915</v>
      </c>
      <c r="M4" s="3">
        <f>SUM(I4:L4)</f>
        <v>34412</v>
      </c>
      <c r="N4" s="6">
        <f>IF(ISNA(MATCH(N$2,Inputs!$K$4:$AJ$4,0)),NA(),IF(SUMPRODUCT((Inputs!$A$5:$A$110=$B4)*ISNUMBER(INDEX(Inputs!$K$5:$AJ$110,0,MATCH(N$2,Inputs!$K$4:$AJ$4,0))))+SUMPRODUCT((Inputs!$C$5:$C$110=$B4)*ISNUMBER(INDEX(Inputs!$K$5:$AJ$110,0,MATCH(N$2,Inputs!$K$4:$AJ$4,0))))+SUMPRODUCT((Inputs!$E$5:$E$110=$B4)*ISNUMBER(INDEX(Inputs!$K$5:$AJ$110,0,MATCH(N$2,Inputs!$K$4:$AJ$4,0))))=0,NA(),SUMPRODUCT((Inputs!$A$5:$A$110=$B4)*Inputs!$B$5:$B$110*(((Inputs!$G$5:$G$110="moeda")+(Inputs!$G$5:$G$110="acoes"))*Inputs!$B$1+((Inputs!$G$5:$G$110&lt;&gt;"moeda")*(Inputs!$G$5:$G$110&lt;&gt;"acoes")))*INDEX(Inputs!$K$5:$AJ$110,0,MATCH(N$2,Inputs!$K$4:$AJ$4,0)))+SUMPRODUCT((Inputs!$C$5:$C$110=$B4)*Inputs!$D$5:$D$110*(((Inputs!$G$5:$G$110="moeda")+(Inputs!$G$5:$G$110="acoes"))*Inputs!$B$1+((Inputs!$G$5:$G$110&lt;&gt;"moeda")*(Inputs!$G$5:$G$110&lt;&gt;"acoes")))*INDEX(Inputs!$K$5:$AJ$110,0,MATCH(N$2,Inputs!$K$4:$AJ$4,0)))+SUMPRODUCT((Inputs!$E$5:$E$110=$B4)*Inputs!$F$5:$F$110*(((Inputs!$G$5:$G$110="moeda")+(Inputs!$G$5:$G$110="acoes"))*Inputs!$B$1+((Inputs!$G$5:$G$110&lt;&gt;"moeda")*(Inputs!$G$5:$G$110&lt;&gt;"acoes")))*INDEX(Inputs!$K$5:$AJ$110,0,MATCH(N$2,Inputs!$K$4:$AJ$4,0)))))</f>
        <v>8733</v>
      </c>
      <c r="O4" s="6">
        <f>IF(ISNA(MATCH(O$2,Inputs!$K$4:$AJ$4,0)),NA(),IF(SUMPRODUCT((Inputs!$A$5:$A$110=$B4)*ISNUMBER(INDEX(Inputs!$K$5:$AJ$110,0,MATCH(O$2,Inputs!$K$4:$AJ$4,0))))+SUMPRODUCT((Inputs!$C$5:$C$110=$B4)*ISNUMBER(INDEX(Inputs!$K$5:$AJ$110,0,MATCH(O$2,Inputs!$K$4:$AJ$4,0))))+SUMPRODUCT((Inputs!$E$5:$E$110=$B4)*ISNUMBER(INDEX(Inputs!$K$5:$AJ$110,0,MATCH(O$2,Inputs!$K$4:$AJ$4,0))))=0,NA(),SUMPRODUCT((Inputs!$A$5:$A$110=$B4)*Inputs!$B$5:$B$110*(((Inputs!$G$5:$G$110="moeda")+(Inputs!$G$5:$G$110="acoes"))*Inputs!$B$1+((Inputs!$G$5:$G$110&lt;&gt;"moeda")*(Inputs!$G$5:$G$110&lt;&gt;"acoes")))*INDEX(Inputs!$K$5:$AJ$110,0,MATCH(O$2,Inputs!$K$4:$AJ$4,0)))+SUMPRODUCT((Inputs!$C$5:$C$110=$B4)*Inputs!$D$5:$D$110*(((Inputs!$G$5:$G$110="moeda")+(Inputs!$G$5:$G$110="acoes"))*Inputs!$B$1+((Inputs!$G$5:$G$110&lt;&gt;"moeda")*(Inputs!$G$5:$G$110&lt;&gt;"acoes")))*INDEX(Inputs!$K$5:$AJ$110,0,MATCH(O$2,Inputs!$K$4:$AJ$4,0)))+SUMPRODUCT((Inputs!$E$5:$E$110=$B4)*Inputs!$F$5:$F$110*(((Inputs!$G$5:$G$110="moeda")+(Inputs!$G$5:$G$110="acoes"))*Inputs!$B$1+((Inputs!$G$5:$G$110&lt;&gt;"moeda")*(Inputs!$G$5:$G$110&lt;&gt;"acoes")))*INDEX(Inputs!$K$5:$AJ$110,0,MATCH(O$2,Inputs!$K$4:$AJ$4,0)))))</f>
        <v>8876</v>
      </c>
      <c r="P4" s="6">
        <f>IF(ISNA(MATCH(P$2,Inputs!$K$4:$AJ$4,0)),NA(),IF(SUMPRODUCT((Inputs!$A$5:$A$110=$B4)*ISNUMBER(INDEX(Inputs!$K$5:$AJ$110,0,MATCH(P$2,Inputs!$K$4:$AJ$4,0))))+SUMPRODUCT((Inputs!$C$5:$C$110=$B4)*ISNUMBER(INDEX(Inputs!$K$5:$AJ$110,0,MATCH(P$2,Inputs!$K$4:$AJ$4,0))))+SUMPRODUCT((Inputs!$E$5:$E$110=$B4)*ISNUMBER(INDEX(Inputs!$K$5:$AJ$110,0,MATCH(P$2,Inputs!$K$4:$AJ$4,0))))=0,NA(),SUMPRODUCT((Inputs!$A$5:$A$110=$B4)*Inputs!$B$5:$B$110*(((Inputs!$G$5:$G$110="moeda")+(Inputs!$G$5:$G$110="acoes"))*Inputs!$B$1+((Inputs!$G$5:$G$110&lt;&gt;"moeda")*(Inputs!$G$5:$G$110&lt;&gt;"acoes")))*INDEX(Inputs!$K$5:$AJ$110,0,MATCH(P$2,Inputs!$K$4:$AJ$4,0)))+SUMPRODUCT((Inputs!$C$5:$C$110=$B4)*Inputs!$D$5:$D$110*(((Inputs!$G$5:$G$110="moeda")+(Inputs!$G$5:$G$110="acoes"))*Inputs!$B$1+((Inputs!$G$5:$G$110&lt;&gt;"moeda")*(Inputs!$G$5:$G$110&lt;&gt;"acoes")))*INDEX(Inputs!$K$5:$AJ$110,0,MATCH(P$2,Inputs!$K$4:$AJ$4,0)))+SUMPRODUCT((Inputs!$E$5:$E$110=$B4)*Inputs!$F$5:$F$110*(((Inputs!$G$5:$G$110="moeda")+(Inputs!$G$5:$G$110="acoes"))*Inputs!$B$1+((Inputs!$G$5:$G$110&lt;&gt;"moeda")*(Inputs!$G$5:$G$110&lt;&gt;"acoes")))*INDEX(Inputs!$K$5:$AJ$110,0,MATCH(P$2,Inputs!$K$4:$AJ$4,0)))))</f>
        <v>9295</v>
      </c>
      <c r="Q4" s="6">
        <f>IF(ISNA(MATCH(Q$2,Inputs!$K$4:$AJ$4,0)),NA(),IF(SUMPRODUCT((Inputs!$A$5:$A$110=$B4)*ISNUMBER(INDEX(Inputs!$K$5:$AJ$110,0,MATCH(Q$2,Inputs!$K$4:$AJ$4,0))))+SUMPRODUCT((Inputs!$C$5:$C$110=$B4)*ISNUMBER(INDEX(Inputs!$K$5:$AJ$110,0,MATCH(Q$2,Inputs!$K$4:$AJ$4,0))))+SUMPRODUCT((Inputs!$E$5:$E$110=$B4)*ISNUMBER(INDEX(Inputs!$K$5:$AJ$110,0,MATCH(Q$2,Inputs!$K$4:$AJ$4,0))))=0,NA(),SUMPRODUCT((Inputs!$A$5:$A$110=$B4)*Inputs!$B$5:$B$110*(((Inputs!$G$5:$G$110="moeda")+(Inputs!$G$5:$G$110="acoes"))*Inputs!$B$1+((Inputs!$G$5:$G$110&lt;&gt;"moeda")*(Inputs!$G$5:$G$110&lt;&gt;"acoes")))*INDEX(Inputs!$K$5:$AJ$110,0,MATCH(Q$2,Inputs!$K$4:$AJ$4,0)))+SUMPRODUCT((Inputs!$C$5:$C$110=$B4)*Inputs!$D$5:$D$110*(((Inputs!$G$5:$G$110="moeda")+(Inputs!$G$5:$G$110="acoes"))*Inputs!$B$1+((Inputs!$G$5:$G$110&lt;&gt;"moeda")*(Inputs!$G$5:$G$110&lt;&gt;"acoes")))*INDEX(Inputs!$K$5:$AJ$110,0,MATCH(Q$2,Inputs!$K$4:$AJ$4,0)))+SUMPRODUCT((Inputs!$E$5:$E$110=$B4)*Inputs!$F$5:$F$110*(((Inputs!$G$5:$G$110="moeda")+(Inputs!$G$5:$G$110="acoes"))*Inputs!$B$1+((Inputs!$G$5:$G$110&lt;&gt;"moeda")*(Inputs!$G$5:$G$110&lt;&gt;"acoes")))*INDEX(Inputs!$K$5:$AJ$110,0,MATCH(Q$2,Inputs!$K$4:$AJ$4,0)))))</f>
        <v>11961</v>
      </c>
      <c r="R4" s="3">
        <f>SUM(N4:Q4)</f>
        <v>38865</v>
      </c>
      <c r="S4" s="6">
        <f>IF(ISNA(MATCH(S$2,Inputs!$K$4:$AJ$4,0)),NA(),IF(SUMPRODUCT((Inputs!$A$5:$A$110=$B4)*ISNUMBER(INDEX(Inputs!$K$5:$AJ$110,0,MATCH(S$2,Inputs!$K$4:$AJ$4,0))))+SUMPRODUCT((Inputs!$C$5:$C$110=$B4)*ISNUMBER(INDEX(Inputs!$K$5:$AJ$110,0,MATCH(S$2,Inputs!$K$4:$AJ$4,0))))+SUMPRODUCT((Inputs!$E$5:$E$110=$B4)*ISNUMBER(INDEX(Inputs!$K$5:$AJ$110,0,MATCH(S$2,Inputs!$K$4:$AJ$4,0))))=0,NA(),SUMPRODUCT((Inputs!$A$5:$A$110=$B4)*Inputs!$B$5:$B$110*(((Inputs!$G$5:$G$110="moeda")+(Inputs!$G$5:$G$110="acoes"))*Inputs!$B$1+((Inputs!$G$5:$G$110&lt;&gt;"moeda")*(Inputs!$G$5:$G$110&lt;&gt;"acoes")))*INDEX(Inputs!$K$5:$AJ$110,0,MATCH(S$2,Inputs!$K$4:$AJ$4,0)))+SUMPRODUCT((Inputs!$C$5:$C$110=$B4)*Inputs!$D$5:$D$110*(((Inputs!$G$5:$G$110="moeda")+(Inputs!$G$5:$G$110="acoes"))*Inputs!$B$1+((Inputs!$G$5:$G$110&lt;&gt;"moeda")*(Inputs!$G$5:$G$110&lt;&gt;"acoes")))*INDEX(Inputs!$K$5:$AJ$110,0,MATCH(S$2,Inputs!$K$4:$AJ$4,0)))+SUMPRODUCT((Inputs!$E$5:$E$110=$B4)*Inputs!$F$5:$F$110*(((Inputs!$G$5:$G$110="moeda")+(Inputs!$G$5:$G$110="acoes"))*Inputs!$B$1+((Inputs!$G$5:$G$110&lt;&gt;"moeda")*(Inputs!$G$5:$G$110&lt;&gt;"acoes")))*INDEX(Inputs!$K$5:$AJ$110,0,MATCH(S$2,Inputs!$K$4:$AJ$4,0)))))</f>
        <v>12487</v>
      </c>
      <c r="T4" s="6">
        <f>IF(ISNA(MATCH(T$2,Inputs!$K$4:$AJ$4,0)),NA(),IF(SUMPRODUCT((Inputs!$A$5:$A$110=$B4)*ISNUMBER(INDEX(Inputs!$K$5:$AJ$110,0,MATCH(T$2,Inputs!$K$4:$AJ$4,0))))+SUMPRODUCT((Inputs!$C$5:$C$110=$B4)*ISNUMBER(INDEX(Inputs!$K$5:$AJ$110,0,MATCH(T$2,Inputs!$K$4:$AJ$4,0))))+SUMPRODUCT((Inputs!$E$5:$E$110=$B4)*ISNUMBER(INDEX(Inputs!$K$5:$AJ$110,0,MATCH(T$2,Inputs!$K$4:$AJ$4,0))))=0,NA(),SUMPRODUCT((Inputs!$A$5:$A$110=$B4)*Inputs!$B$5:$B$110*(((Inputs!$G$5:$G$110="moeda")+(Inputs!$G$5:$G$110="acoes"))*Inputs!$B$1+((Inputs!$G$5:$G$110&lt;&gt;"moeda")*(Inputs!$G$5:$G$110&lt;&gt;"acoes")))*INDEX(Inputs!$K$5:$AJ$110,0,MATCH(T$2,Inputs!$K$4:$AJ$4,0)))+SUMPRODUCT((Inputs!$C$5:$C$110=$B4)*Inputs!$D$5:$D$110*(((Inputs!$G$5:$G$110="moeda")+(Inputs!$G$5:$G$110="acoes"))*Inputs!$B$1+((Inputs!$G$5:$G$110&lt;&gt;"moeda")*(Inputs!$G$5:$G$110&lt;&gt;"acoes")))*INDEX(Inputs!$K$5:$AJ$110,0,MATCH(T$2,Inputs!$K$4:$AJ$4,0)))+SUMPRODUCT((Inputs!$E$5:$E$110=$B4)*Inputs!$F$5:$F$110*(((Inputs!$G$5:$G$110="moeda")+(Inputs!$G$5:$G$110="acoes"))*Inputs!$B$1+((Inputs!$G$5:$G$110&lt;&gt;"moeda")*(Inputs!$G$5:$G$110&lt;&gt;"acoes")))*INDEX(Inputs!$K$5:$AJ$110,0,MATCH(T$2,Inputs!$K$4:$AJ$4,0)))))</f>
        <v>13072</v>
      </c>
      <c r="U4" s="6">
        <f>IF(ISNA(MATCH(U$2,Inputs!$K$4:$AJ$4,0)),NA(),IF(SUMPRODUCT((Inputs!$A$5:$A$110=$B4)*ISNUMBER(INDEX(Inputs!$K$5:$AJ$110,0,MATCH(U$2,Inputs!$K$4:$AJ$4,0))))+SUMPRODUCT((Inputs!$C$5:$C$110=$B4)*ISNUMBER(INDEX(Inputs!$K$5:$AJ$110,0,MATCH(U$2,Inputs!$K$4:$AJ$4,0))))+SUMPRODUCT((Inputs!$E$5:$E$110=$B4)*ISNUMBER(INDEX(Inputs!$K$5:$AJ$110,0,MATCH(U$2,Inputs!$K$4:$AJ$4,0))))=0,NA(),SUMPRODUCT((Inputs!$A$5:$A$110=$B4)*Inputs!$B$5:$B$110*(((Inputs!$G$5:$G$110="moeda")+(Inputs!$G$5:$G$110="acoes"))*Inputs!$B$1+((Inputs!$G$5:$G$110&lt;&gt;"moeda")*(Inputs!$G$5:$G$110&lt;&gt;"acoes")))*INDEX(Inputs!$K$5:$AJ$110,0,MATCH(U$2,Inputs!$K$4:$AJ$4,0)))+SUMPRODUCT((Inputs!$C$5:$C$110=$B4)*Inputs!$D$5:$D$110*(((Inputs!$G$5:$G$110="moeda")+(Inputs!$G$5:$G$110="acoes"))*Inputs!$B$1+((Inputs!$G$5:$G$110&lt;&gt;"moeda")*(Inputs!$G$5:$G$110&lt;&gt;"acoes")))*INDEX(Inputs!$K$5:$AJ$110,0,MATCH(U$2,Inputs!$K$4:$AJ$4,0)))+SUMPRODUCT((Inputs!$E$5:$E$110=$B4)*Inputs!$F$5:$F$110*(((Inputs!$G$5:$G$110="moeda")+(Inputs!$G$5:$G$110="acoes"))*Inputs!$B$1+((Inputs!$G$5:$G$110&lt;&gt;"moeda")*(Inputs!$G$5:$G$110&lt;&gt;"acoes")))*INDEX(Inputs!$K$5:$AJ$110,0,MATCH(U$2,Inputs!$K$4:$AJ$4,0)))))</f>
        <v>14054</v>
      </c>
      <c r="V4" s="6">
        <f>IF(ISNA(MATCH(V$2,Inputs!$K$4:$AJ$4,0)),NA(),IF(SUMPRODUCT((Inputs!$A$5:$A$110=$B4)*ISNUMBER(INDEX(Inputs!$K$5:$AJ$110,0,MATCH(V$2,Inputs!$K$4:$AJ$4,0))))+SUMPRODUCT((Inputs!$C$5:$C$110=$B4)*ISNUMBER(INDEX(Inputs!$K$5:$AJ$110,0,MATCH(V$2,Inputs!$K$4:$AJ$4,0))))+SUMPRODUCT((Inputs!$E$5:$E$110=$B4)*ISNUMBER(INDEX(Inputs!$K$5:$AJ$110,0,MATCH(V$2,Inputs!$K$4:$AJ$4,0))))=0,NA(),SUMPRODUCT((Inputs!$A$5:$A$110=$B4)*Inputs!$B$5:$B$110*(((Inputs!$G$5:$G$110="moeda")+(Inputs!$G$5:$G$110="acoes"))*Inputs!$B$1+((Inputs!$G$5:$G$110&lt;&gt;"moeda")*(Inputs!$G$5:$G$110&lt;&gt;"acoes")))*INDEX(Inputs!$K$5:$AJ$110,0,MATCH(V$2,Inputs!$K$4:$AJ$4,0)))+SUMPRODUCT((Inputs!$C$5:$C$110=$B4)*Inputs!$D$5:$D$110*(((Inputs!$G$5:$G$110="moeda")+(Inputs!$G$5:$G$110="acoes"))*Inputs!$B$1+((Inputs!$G$5:$G$110&lt;&gt;"moeda")*(Inputs!$G$5:$G$110&lt;&gt;"acoes")))*INDEX(Inputs!$K$5:$AJ$110,0,MATCH(V$2,Inputs!$K$4:$AJ$4,0)))+SUMPRODUCT((Inputs!$E$5:$E$110=$B4)*Inputs!$F$5:$F$110*(((Inputs!$G$5:$G$110="moeda")+(Inputs!$G$5:$G$110="acoes"))*Inputs!$B$1+((Inputs!$G$5:$G$110&lt;&gt;"moeda")*(Inputs!$G$5:$G$110&lt;&gt;"acoes")))*INDEX(Inputs!$K$5:$AJ$110,0,MATCH(V$2,Inputs!$K$4:$AJ$4,0)))))</f>
        <v>14916</v>
      </c>
      <c r="W4" s="3">
        <f>SUM(S4:V4)</f>
        <v>54529</v>
      </c>
      <c r="X4" s="6">
        <f>IF(ISNA(MATCH(X$2,Inputs!$K$4:$AJ$4,0)),NA(),IF(SUMPRODUCT((Inputs!$A$5:$A$110=$B4)*ISNUMBER(INDEX(Inputs!$K$5:$AJ$110,0,MATCH(X$2,Inputs!$K$4:$AJ$4,0))))+SUMPRODUCT((Inputs!$C$5:$C$110=$B4)*ISNUMBER(INDEX(Inputs!$K$5:$AJ$110,0,MATCH(X$2,Inputs!$K$4:$AJ$4,0))))+SUMPRODUCT((Inputs!$E$5:$E$110=$B4)*ISNUMBER(INDEX(Inputs!$K$5:$AJ$110,0,MATCH(X$2,Inputs!$K$4:$AJ$4,0))))=0,NA(),SUMPRODUCT((Inputs!$A$5:$A$110=$B4)*Inputs!$B$5:$B$110*(((Inputs!$G$5:$G$110="moeda")+(Inputs!$G$5:$G$110="acoes"))*Inputs!$B$1+((Inputs!$G$5:$G$110&lt;&gt;"moeda")*(Inputs!$G$5:$G$110&lt;&gt;"acoes")))*INDEX(Inputs!$K$5:$AJ$110,0,MATCH(X$2,Inputs!$K$4:$AJ$4,0)))+SUMPRODUCT((Inputs!$C$5:$C$110=$B4)*Inputs!$D$5:$D$110*(((Inputs!$G$5:$G$110="moeda")+(Inputs!$G$5:$G$110="acoes"))*Inputs!$B$1+((Inputs!$G$5:$G$110&lt;&gt;"moeda")*(Inputs!$G$5:$G$110&lt;&gt;"acoes")))*INDEX(Inputs!$K$5:$AJ$110,0,MATCH(X$2,Inputs!$K$4:$AJ$4,0)))+SUMPRODUCT((Inputs!$E$5:$E$110=$B4)*Inputs!$F$5:$F$110*(((Inputs!$G$5:$G$110="moeda")+(Inputs!$G$5:$G$110="acoes"))*Inputs!$B$1+((Inputs!$G$5:$G$110&lt;&gt;"moeda")*(Inputs!$G$5:$G$110&lt;&gt;"acoes")))*INDEX(Inputs!$K$5:$AJ$110,0,MATCH(X$2,Inputs!$K$4:$AJ$4,0)))))</f>
        <v>15004</v>
      </c>
      <c r="Y4" s="6">
        <f>IF(ISNA(MATCH(Y$2,Inputs!$K$4:$AJ$4,0)),NA(),IF(SUMPRODUCT((Inputs!$A$5:$A$110=$B4)*ISNUMBER(INDEX(Inputs!$K$5:$AJ$110,0,MATCH(Y$2,Inputs!$K$4:$AJ$4,0))))+SUMPRODUCT((Inputs!$C$5:$C$110=$B4)*ISNUMBER(INDEX(Inputs!$K$5:$AJ$110,0,MATCH(Y$2,Inputs!$K$4:$AJ$4,0))))+SUMPRODUCT((Inputs!$E$5:$E$110=$B4)*ISNUMBER(INDEX(Inputs!$K$5:$AJ$110,0,MATCH(Y$2,Inputs!$K$4:$AJ$4,0))))=0,NA(),SUMPRODUCT((Inputs!$A$5:$A$110=$B4)*Inputs!$B$5:$B$110*(((Inputs!$G$5:$G$110="moeda")+(Inputs!$G$5:$G$110="acoes"))*Inputs!$B$1+((Inputs!$G$5:$G$110&lt;&gt;"moeda")*(Inputs!$G$5:$G$110&lt;&gt;"acoes")))*INDEX(Inputs!$K$5:$AJ$110,0,MATCH(Y$2,Inputs!$K$4:$AJ$4,0)))+SUMPRODUCT((Inputs!$C$5:$C$110=$B4)*Inputs!$D$5:$D$110*(((Inputs!$G$5:$G$110="moeda")+(Inputs!$G$5:$G$110="acoes"))*Inputs!$B$1+((Inputs!$G$5:$G$110&lt;&gt;"moeda")*(Inputs!$G$5:$G$110&lt;&gt;"acoes")))*INDEX(Inputs!$K$5:$AJ$110,0,MATCH(Y$2,Inputs!$K$4:$AJ$4,0)))+SUMPRODUCT((Inputs!$E$5:$E$110=$B4)*Inputs!$F$5:$F$110*(((Inputs!$G$5:$G$110="moeda")+(Inputs!$G$5:$G$110="acoes"))*Inputs!$B$1+((Inputs!$G$5:$G$110&lt;&gt;"moeda")*(Inputs!$G$5:$G$110&lt;&gt;"acoes")))*INDEX(Inputs!$K$5:$AJ$110,0,MATCH(Y$2,Inputs!$K$4:$AJ$4,0)))))</f>
        <v>15952</v>
      </c>
      <c r="Z4" s="6">
        <f>IF(ISNA(MATCH(Z$2,Inputs!$K$4:$AJ$4,0)),NA(),IF(SUMPRODUCT((Inputs!$A$5:$A$110=$B4)*ISNUMBER(INDEX(Inputs!$K$5:$AJ$110,0,MATCH(Z$2,Inputs!$K$4:$AJ$4,0))))+SUMPRODUCT((Inputs!$C$5:$C$110=$B4)*ISNUMBER(INDEX(Inputs!$K$5:$AJ$110,0,MATCH(Z$2,Inputs!$K$4:$AJ$4,0))))+SUMPRODUCT((Inputs!$E$5:$E$110=$B4)*ISNUMBER(INDEX(Inputs!$K$5:$AJ$110,0,MATCH(Z$2,Inputs!$K$4:$AJ$4,0))))=0,NA(),SUMPRODUCT((Inputs!$A$5:$A$110=$B4)*Inputs!$B$5:$B$110*(((Inputs!$G$5:$G$110="moeda")+(Inputs!$G$5:$G$110="acoes"))*Inputs!$B$1+((Inputs!$G$5:$G$110&lt;&gt;"moeda")*(Inputs!$G$5:$G$110&lt;&gt;"acoes")))*INDEX(Inputs!$K$5:$AJ$110,0,MATCH(Z$2,Inputs!$K$4:$AJ$4,0)))+SUMPRODUCT((Inputs!$C$5:$C$110=$B4)*Inputs!$D$5:$D$110*(((Inputs!$G$5:$G$110="moeda")+(Inputs!$G$5:$G$110="acoes"))*Inputs!$B$1+((Inputs!$G$5:$G$110&lt;&gt;"moeda")*(Inputs!$G$5:$G$110&lt;&gt;"acoes")))*INDEX(Inputs!$K$5:$AJ$110,0,MATCH(Z$2,Inputs!$K$4:$AJ$4,0)))+SUMPRODUCT((Inputs!$E$5:$E$110=$B4)*Inputs!$F$5:$F$110*(((Inputs!$G$5:$G$110="moeda")+(Inputs!$G$5:$G$110="acoes"))*Inputs!$B$1+((Inputs!$G$5:$G$110&lt;&gt;"moeda")*(Inputs!$G$5:$G$110&lt;&gt;"acoes")))*INDEX(Inputs!$K$5:$AJ$110,0,MATCH(Z$2,Inputs!$K$4:$AJ$4,0)))))</f>
        <v>18015</v>
      </c>
      <c r="AA4" s="6">
        <f>IF(ISNA(MATCH(AA$2,Inputs!$K$4:$AJ$4,0)),NA(),IF(SUMPRODUCT((Inputs!$A$5:$A$110=$B4)*ISNUMBER(INDEX(Inputs!$K$5:$AJ$110,0,MATCH(AA$2,Inputs!$K$4:$AJ$4,0))))+SUMPRODUCT((Inputs!$C$5:$C$110=$B4)*ISNUMBER(INDEX(Inputs!$K$5:$AJ$110,0,MATCH(AA$2,Inputs!$K$4:$AJ$4,0))))+SUMPRODUCT((Inputs!$E$5:$E$110=$B4)*ISNUMBER(INDEX(Inputs!$K$5:$AJ$110,0,MATCH(AA$2,Inputs!$K$4:$AJ$4,0))))=0,NA(),SUMPRODUCT((Inputs!$A$5:$A$110=$B4)*Inputs!$B$5:$B$110*(((Inputs!$G$5:$G$110="moeda")+(Inputs!$G$5:$G$110="acoes"))*Inputs!$B$1+((Inputs!$G$5:$G$110&lt;&gt;"moeda")*(Inputs!$G$5:$G$110&lt;&gt;"acoes")))*INDEX(Inputs!$K$5:$AJ$110,0,MATCH(AA$2,Inputs!$K$4:$AJ$4,0)))+SUMPRODUCT((Inputs!$C$5:$C$110=$B4)*Inputs!$D$5:$D$110*(((Inputs!$G$5:$G$110="moeda")+(Inputs!$G$5:$G$110="acoes"))*Inputs!$B$1+((Inputs!$G$5:$G$110&lt;&gt;"moeda")*(Inputs!$G$5:$G$110&lt;&gt;"acoes")))*INDEX(Inputs!$K$5:$AJ$110,0,MATCH(AA$2,Inputs!$K$4:$AJ$4,0)))+SUMPRODUCT((Inputs!$E$5:$E$110=$B4)*Inputs!$F$5:$F$110*(((Inputs!$G$5:$G$110="moeda")+(Inputs!$G$5:$G$110="acoes"))*Inputs!$B$1+((Inputs!$G$5:$G$110&lt;&gt;"moeda")*(Inputs!$G$5:$G$110&lt;&gt;"acoes")))*INDEX(Inputs!$K$5:$AJ$110,0,MATCH(AA$2,Inputs!$K$4:$AJ$4,0)))))</f>
        <v>19311</v>
      </c>
      <c r="AB4" s="3">
        <f>SUM(X4:AA4)</f>
        <v>68282</v>
      </c>
      <c r="AC4" s="6">
        <f>IF(ISNA(MATCH(AC$2,Inputs!$K$4:$AJ$4,0)),NA(),IF(SUMPRODUCT((Inputs!$A$5:$A$110=$B4)*ISNUMBER(INDEX(Inputs!$K$5:$AJ$110,0,MATCH(AC$2,Inputs!$K$4:$AJ$4,0))))+SUMPRODUCT((Inputs!$C$5:$C$110=$B4)*ISNUMBER(INDEX(Inputs!$K$5:$AJ$110,0,MATCH(AC$2,Inputs!$K$4:$AJ$4,0))))+SUMPRODUCT((Inputs!$E$5:$E$110=$B4)*ISNUMBER(INDEX(Inputs!$K$5:$AJ$110,0,MATCH(AC$2,Inputs!$K$4:$AJ$4,0))))=0,NA(),SUMPRODUCT((Inputs!$A$5:$A$110=$B4)*Inputs!$B$5:$B$110*(((Inputs!$G$5:$G$110="moeda")+(Inputs!$G$5:$G$110="acoes"))*Inputs!$B$1+((Inputs!$G$5:$G$110&lt;&gt;"moeda")*(Inputs!$G$5:$G$110&lt;&gt;"acoes")))*INDEX(Inputs!$K$5:$AJ$110,0,MATCH(AC$2,Inputs!$K$4:$AJ$4,0)))+SUMPRODUCT((Inputs!$C$5:$C$110=$B4)*Inputs!$D$5:$D$110*(((Inputs!$G$5:$G$110="moeda")+(Inputs!$G$5:$G$110="acoes"))*Inputs!$B$1+((Inputs!$G$5:$G$110&lt;&gt;"moeda")*(Inputs!$G$5:$G$110&lt;&gt;"acoes")))*INDEX(Inputs!$K$5:$AJ$110,0,MATCH(AC$2,Inputs!$K$4:$AJ$4,0)))+SUMPRODUCT((Inputs!$E$5:$E$110=$B4)*Inputs!$F$5:$F$110*(((Inputs!$G$5:$G$110="moeda")+(Inputs!$G$5:$G$110="acoes"))*Inputs!$B$1+((Inputs!$G$5:$G$110&lt;&gt;"moeda")*(Inputs!$G$5:$G$110&lt;&gt;"acoes")))*INDEX(Inputs!$K$5:$AJ$110,0,MATCH(AC$2,Inputs!$K$4:$AJ$4,0)))))</f>
        <v>22187</v>
      </c>
      <c r="AD4" s="6">
        <f>IF(ISNA(MATCH(AD$2,Inputs!$K$4:$AJ$4,0)),NA(),IF(SUMPRODUCT((Inputs!$A$5:$A$110=$B4)*ISNUMBER(INDEX(Inputs!$K$5:$AJ$110,0,MATCH(AD$2,Inputs!$K$4:$AJ$4,0))))+SUMPRODUCT((Inputs!$C$5:$C$110=$B4)*ISNUMBER(INDEX(Inputs!$K$5:$AJ$110,0,MATCH(AD$2,Inputs!$K$4:$AJ$4,0))))+SUMPRODUCT((Inputs!$E$5:$E$110=$B4)*ISNUMBER(INDEX(Inputs!$K$5:$AJ$110,0,MATCH(AD$2,Inputs!$K$4:$AJ$4,0))))=0,NA(),SUMPRODUCT((Inputs!$A$5:$A$110=$B4)*Inputs!$B$5:$B$110*(((Inputs!$G$5:$G$110="moeda")+(Inputs!$G$5:$G$110="acoes"))*Inputs!$B$1+((Inputs!$G$5:$G$110&lt;&gt;"moeda")*(Inputs!$G$5:$G$110&lt;&gt;"acoes")))*INDEX(Inputs!$K$5:$AJ$110,0,MATCH(AD$2,Inputs!$K$4:$AJ$4,0)))+SUMPRODUCT((Inputs!$C$5:$C$110=$B4)*Inputs!$D$5:$D$110*(((Inputs!$G$5:$G$110="moeda")+(Inputs!$G$5:$G$110="acoes"))*Inputs!$B$1+((Inputs!$G$5:$G$110&lt;&gt;"moeda")*(Inputs!$G$5:$G$110&lt;&gt;"acoes")))*INDEX(Inputs!$K$5:$AJ$110,0,MATCH(AD$2,Inputs!$K$4:$AJ$4,0)))+SUMPRODUCT((Inputs!$E$5:$E$110=$B4)*Inputs!$F$5:$F$110*(((Inputs!$G$5:$G$110="moeda")+(Inputs!$G$5:$G$110="acoes"))*Inputs!$B$1+((Inputs!$G$5:$G$110&lt;&gt;"moeda")*(Inputs!$G$5:$G$110&lt;&gt;"acoes")))*INDEX(Inputs!$K$5:$AJ$110,0,MATCH(AD$2,Inputs!$K$4:$AJ$4,0)))))</f>
        <v>29591</v>
      </c>
      <c r="AE4" s="6" t="e">
        <f>IF(ISNA(MATCH(AE$2,Inputs!$K$4:$AJ$4,0)),NA(),IF(SUMPRODUCT((Inputs!$A$5:$A$110=$B4)*ISNUMBER(INDEX(Inputs!$K$5:$AJ$110,0,MATCH(AE$2,Inputs!$K$4:$AJ$4,0))))+SUMPRODUCT((Inputs!$C$5:$C$110=$B4)*ISNUMBER(INDEX(Inputs!$K$5:$AJ$110,0,MATCH(AE$2,Inputs!$K$4:$AJ$4,0))))+SUMPRODUCT((Inputs!$E$5:$E$110=$B4)*ISNUMBER(INDEX(Inputs!$K$5:$AJ$110,0,MATCH(AE$2,Inputs!$K$4:$AJ$4,0))))=0,NA(),SUMPRODUCT((Inputs!$A$5:$A$110=$B4)*Inputs!$B$5:$B$110*(((Inputs!$G$5:$G$110="moeda")+(Inputs!$G$5:$G$110="acoes"))*Inputs!$B$1+((Inputs!$G$5:$G$110&lt;&gt;"moeda")*(Inputs!$G$5:$G$110&lt;&gt;"acoes")))*INDEX(Inputs!$K$5:$AJ$110,0,MATCH(AE$2,Inputs!$K$4:$AJ$4,0)))+SUMPRODUCT((Inputs!$C$5:$C$110=$B4)*Inputs!$D$5:$D$110*(((Inputs!$G$5:$G$110="moeda")+(Inputs!$G$5:$G$110="acoes"))*Inputs!$B$1+((Inputs!$G$5:$G$110&lt;&gt;"moeda")*(Inputs!$G$5:$G$110&lt;&gt;"acoes")))*INDEX(Inputs!$K$5:$AJ$110,0,MATCH(AE$2,Inputs!$K$4:$AJ$4,0)))+SUMPRODUCT((Inputs!$E$5:$E$110=$B4)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" s="6" t="e">
        <f>IF(ISNA(MATCH(AF$2,Inputs!$K$4:$AJ$4,0)),NA(),IF(SUMPRODUCT((Inputs!$A$5:$A$110=$B4)*ISNUMBER(INDEX(Inputs!$K$5:$AJ$110,0,MATCH(AF$2,Inputs!$K$4:$AJ$4,0))))+SUMPRODUCT((Inputs!$C$5:$C$110=$B4)*ISNUMBER(INDEX(Inputs!$K$5:$AJ$110,0,MATCH(AF$2,Inputs!$K$4:$AJ$4,0))))+SUMPRODUCT((Inputs!$E$5:$E$110=$B4)*ISNUMBER(INDEX(Inputs!$K$5:$AJ$110,0,MATCH(AF$2,Inputs!$K$4:$AJ$4,0))))=0,NA(),SUMPRODUCT((Inputs!$A$5:$A$110=$B4)*Inputs!$B$5:$B$110*(((Inputs!$G$5:$G$110="moeda")+(Inputs!$G$5:$G$110="acoes"))*Inputs!$B$1+((Inputs!$G$5:$G$110&lt;&gt;"moeda")*(Inputs!$G$5:$G$110&lt;&gt;"acoes")))*INDEX(Inputs!$K$5:$AJ$110,0,MATCH(AF$2,Inputs!$K$4:$AJ$4,0)))+SUMPRODUCT((Inputs!$C$5:$C$110=$B4)*Inputs!$D$5:$D$110*(((Inputs!$G$5:$G$110="moeda")+(Inputs!$G$5:$G$110="acoes"))*Inputs!$B$1+((Inputs!$G$5:$G$110&lt;&gt;"moeda")*(Inputs!$G$5:$G$110&lt;&gt;"acoes")))*INDEX(Inputs!$K$5:$AJ$110,0,MATCH(AF$2,Inputs!$K$4:$AJ$4,0)))+SUMPRODUCT((Inputs!$E$5:$E$110=$B4)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" s="3" t="e">
        <f>SUM(AC4:AF4)</f>
        <v>#N/A</v>
      </c>
      <c r="AH4" s="6">
        <f>IF(ISNA(MATCH(AH$2,Inputs!$K$4:$AJ$4,0)),NA(),IF(SUMPRODUCT((Inputs!$A$5:$A$110=$B4)*ISNUMBER(INDEX(Inputs!$K$5:$AJ$110,0,MATCH(AH$2,Inputs!$K$4:$AJ$4,0))))+SUMPRODUCT((Inputs!$C$5:$C$110=$B4)*ISNUMBER(INDEX(Inputs!$K$5:$AJ$110,0,MATCH(AH$2,Inputs!$K$4:$AJ$4,0))))+SUMPRODUCT((Inputs!$E$5:$E$110=$B4)*ISNUMBER(INDEX(Inputs!$K$5:$AJ$110,0,MATCH(AH$2,Inputs!$K$4:$AJ$4,0))))=0,NA(),SUMPRODUCT((Inputs!$A$5:$A$110=$B4)*Inputs!$B$5:$B$110*(((Inputs!$G$5:$G$110="moeda")+(Inputs!$G$5:$G$110="acoes"))*Inputs!$B$1+((Inputs!$G$5:$G$110&lt;&gt;"moeda")*(Inputs!$G$5:$G$110&lt;&gt;"acoes")))*INDEX(Inputs!$K$5:$AJ$110,0,MATCH(AH$2,Inputs!$K$4:$AJ$4,0)))+SUMPRODUCT((Inputs!$C$5:$C$110=$B4)*Inputs!$D$5:$D$110*(((Inputs!$G$5:$G$110="moeda")+(Inputs!$G$5:$G$110="acoes"))*Inputs!$B$1+((Inputs!$G$5:$G$110&lt;&gt;"moeda")*(Inputs!$G$5:$G$110&lt;&gt;"acoes")))*INDEX(Inputs!$K$5:$AJ$110,0,MATCH(AH$2,Inputs!$K$4:$AJ$4,0)))+SUMPRODUCT((Inputs!$E$5:$E$110=$B4)*Inputs!$F$5:$F$110*(((Inputs!$G$5:$G$110="moeda")+(Inputs!$G$5:$G$110="acoes"))*Inputs!$B$1+((Inputs!$G$5:$G$110&lt;&gt;"moeda")*(Inputs!$G$5:$G$110&lt;&gt;"acoes")))*INDEX(Inputs!$K$5:$AJ$110,0,MATCH(AH$2,Inputs!$K$4:$AJ$4,0)))))</f>
        <v>5742</v>
      </c>
      <c r="AI4" s="6">
        <f>IF(ISNA(MATCH(AI$2,Inputs!$K$4:$AJ$4,0)),NA(),IF(SUMPRODUCT((Inputs!$A$5:$A$110=$B4)*ISNUMBER(INDEX(Inputs!$K$5:$AJ$110,0,MATCH(AI$2,Inputs!$K$4:$AJ$4,0))))+SUMPRODUCT((Inputs!$C$5:$C$110=$B4)*ISNUMBER(INDEX(Inputs!$K$5:$AJ$110,0,MATCH(AI$2,Inputs!$K$4:$AJ$4,0))))+SUMPRODUCT((Inputs!$E$5:$E$110=$B4)*ISNUMBER(INDEX(Inputs!$K$5:$AJ$110,0,MATCH(AI$2,Inputs!$K$4:$AJ$4,0))))=0,NA(),SUMPRODUCT((Inputs!$A$5:$A$110=$B4)*Inputs!$B$5:$B$110*(((Inputs!$G$5:$G$110="moeda")+(Inputs!$G$5:$G$110="acoes"))*Inputs!$B$1+((Inputs!$G$5:$G$110&lt;&gt;"moeda")*(Inputs!$G$5:$G$110&lt;&gt;"acoes")))*INDEX(Inputs!$K$5:$AJ$110,0,MATCH(AI$2,Inputs!$K$4:$AJ$4,0)))+SUMPRODUCT((Inputs!$C$5:$C$110=$B4)*Inputs!$D$5:$D$110*(((Inputs!$G$5:$G$110="moeda")+(Inputs!$G$5:$G$110="acoes"))*Inputs!$B$1+((Inputs!$G$5:$G$110&lt;&gt;"moeda")*(Inputs!$G$5:$G$110&lt;&gt;"acoes")))*INDEX(Inputs!$K$5:$AJ$110,0,MATCH(AI$2,Inputs!$K$4:$AJ$4,0)))+SUMPRODUCT((Inputs!$E$5:$E$110=$B4)*Inputs!$F$5:$F$110*(((Inputs!$G$5:$G$110="moeda")+(Inputs!$G$5:$G$110="acoes"))*Inputs!$B$1+((Inputs!$G$5:$G$110&lt;&gt;"moeda")*(Inputs!$G$5:$G$110&lt;&gt;"acoes")))*INDEX(Inputs!$K$5:$AJ$110,0,MATCH(AI$2,Inputs!$K$4:$AJ$4,0)))))</f>
        <v>5821</v>
      </c>
      <c r="AJ4" s="6">
        <f>IF(ISNA(MATCH(AJ$2,Inputs!$K$4:$AJ$4,0)),NA(),IF(SUMPRODUCT((Inputs!$A$5:$A$110=$B4)*ISNUMBER(INDEX(Inputs!$K$5:$AJ$110,0,MATCH(AJ$2,Inputs!$K$4:$AJ$4,0))))+SUMPRODUCT((Inputs!$C$5:$C$110=$B4)*ISNUMBER(INDEX(Inputs!$K$5:$AJ$110,0,MATCH(AJ$2,Inputs!$K$4:$AJ$4,0))))+SUMPRODUCT((Inputs!$E$5:$E$110=$B4)*ISNUMBER(INDEX(Inputs!$K$5:$AJ$110,0,MATCH(AJ$2,Inputs!$K$4:$AJ$4,0))))=0,NA(),SUMPRODUCT((Inputs!$A$5:$A$110=$B4)*Inputs!$B$5:$B$110*(((Inputs!$G$5:$G$110="moeda")+(Inputs!$G$5:$G$110="acoes"))*Inputs!$B$1+((Inputs!$G$5:$G$110&lt;&gt;"moeda")*(Inputs!$G$5:$G$110&lt;&gt;"acoes")))*INDEX(Inputs!$K$5:$AJ$110,0,MATCH(AJ$2,Inputs!$K$4:$AJ$4,0)))+SUMPRODUCT((Inputs!$C$5:$C$110=$B4)*Inputs!$D$5:$D$110*(((Inputs!$G$5:$G$110="moeda")+(Inputs!$G$5:$G$110="acoes"))*Inputs!$B$1+((Inputs!$G$5:$G$110&lt;&gt;"moeda")*(Inputs!$G$5:$G$110&lt;&gt;"acoes")))*INDEX(Inputs!$K$5:$AJ$110,0,MATCH(AJ$2,Inputs!$K$4:$AJ$4,0)))+SUMPRODUCT((Inputs!$E$5:$E$110=$B4)*Inputs!$F$5:$F$110*(((Inputs!$G$5:$G$110="moeda")+(Inputs!$G$5:$G$110="acoes"))*Inputs!$B$1+((Inputs!$G$5:$G$110&lt;&gt;"moeda")*(Inputs!$G$5:$G$110&lt;&gt;"acoes")))*INDEX(Inputs!$K$5:$AJ$110,0,MATCH(AJ$2,Inputs!$K$4:$AJ$4,0)))))</f>
        <v>6467</v>
      </c>
      <c r="AK4" s="6">
        <f>IF(ISNA(MATCH(AK$2,Inputs!$K$4:$AJ$4,0)),NA(),IF(SUMPRODUCT((Inputs!$A$5:$A$110=$B4)*ISNUMBER(INDEX(Inputs!$K$5:$AJ$110,0,MATCH(AK$2,Inputs!$K$4:$AJ$4,0))))+SUMPRODUCT((Inputs!$C$5:$C$110=$B4)*ISNUMBER(INDEX(Inputs!$K$5:$AJ$110,0,MATCH(AK$2,Inputs!$K$4:$AJ$4,0))))+SUMPRODUCT((Inputs!$E$5:$E$110=$B4)*ISNUMBER(INDEX(Inputs!$K$5:$AJ$110,0,MATCH(AK$2,Inputs!$K$4:$AJ$4,0))))=0,NA(),SUMPRODUCT((Inputs!$A$5:$A$110=$B4)*Inputs!$B$5:$B$110*(((Inputs!$G$5:$G$110="moeda")+(Inputs!$G$5:$G$110="acoes"))*Inputs!$B$1+((Inputs!$G$5:$G$110&lt;&gt;"moeda")*(Inputs!$G$5:$G$110&lt;&gt;"acoes")))*INDEX(Inputs!$K$5:$AJ$110,0,MATCH(AK$2,Inputs!$K$4:$AJ$4,0)))+SUMPRODUCT((Inputs!$C$5:$C$110=$B4)*Inputs!$D$5:$D$110*(((Inputs!$G$5:$G$110="moeda")+(Inputs!$G$5:$G$110="acoes"))*Inputs!$B$1+((Inputs!$G$5:$G$110&lt;&gt;"moeda")*(Inputs!$G$5:$G$110&lt;&gt;"acoes")))*INDEX(Inputs!$K$5:$AJ$110,0,MATCH(AK$2,Inputs!$K$4:$AJ$4,0)))+SUMPRODUCT((Inputs!$E$5:$E$110=$B4)*Inputs!$F$5:$F$110*(((Inputs!$G$5:$G$110="moeda")+(Inputs!$G$5:$G$110="acoes"))*Inputs!$B$1+((Inputs!$G$5:$G$110&lt;&gt;"moeda")*(Inputs!$G$5:$G$110&lt;&gt;"acoes")))*INDEX(Inputs!$K$5:$AJ$110,0,MATCH(AK$2,Inputs!$K$4:$AJ$4,0)))))</f>
        <v>6655</v>
      </c>
      <c r="AL4" s="3">
        <f>SUM(AH4:AK4)</f>
        <v>24685</v>
      </c>
    </row>
    <row r="5">
      <c r="B5" s="46" t="n">
        <v>2</v>
      </c>
      <c r="C5" s="24" t="inlineStr">
        <is>
          <t>COGS (cash)</t>
        </is>
      </c>
      <c r="D5" s="6">
        <f>IF(ISNA(MATCH(D$2,Inputs!$K$4:$AJ$4,0)),NA(),IF(SUMPRODUCT((Inputs!$A$5:$A$110=$B5)*ISNUMBER(INDEX(Inputs!$K$5:$AJ$110,0,MATCH(D$2,Inputs!$K$4:$AJ$4,0))))+SUMPRODUCT((Inputs!$C$5:$C$110=$B5)*ISNUMBER(INDEX(Inputs!$K$5:$AJ$110,0,MATCH(D$2,Inputs!$K$4:$AJ$4,0))))+SUMPRODUCT((Inputs!$E$5:$E$110=$B5)*ISNUMBER(INDEX(Inputs!$K$5:$AJ$110,0,MATCH(D$2,Inputs!$K$4:$AJ$4,0))))=0,NA(),SUMPRODUCT((Inputs!$A$5:$A$110=$B5)*Inputs!$B$5:$B$110*(((Inputs!$G$5:$G$110="moeda")+(Inputs!$G$5:$G$110="acoes"))*Inputs!$B$1+((Inputs!$G$5:$G$110&lt;&gt;"moeda")*(Inputs!$G$5:$G$110&lt;&gt;"acoes")))*INDEX(Inputs!$K$5:$AJ$110,0,MATCH(D$2,Inputs!$K$4:$AJ$4,0)))+SUMPRODUCT((Inputs!$C$5:$C$110=$B5)*Inputs!$D$5:$D$110*(((Inputs!$G$5:$G$110="moeda")+(Inputs!$G$5:$G$110="acoes"))*Inputs!$B$1+((Inputs!$G$5:$G$110&lt;&gt;"moeda")*(Inputs!$G$5:$G$110&lt;&gt;"acoes")))*INDEX(Inputs!$K$5:$AJ$110,0,MATCH(D$2,Inputs!$K$4:$AJ$4,0)))+SUMPRODUCT((Inputs!$E$5:$E$110=$B5)*Inputs!$F$5:$F$110*(((Inputs!$G$5:$G$110="moeda")+(Inputs!$G$5:$G$110="acoes"))*Inputs!$B$1+((Inputs!$G$5:$G$110&lt;&gt;"moeda")*(Inputs!$G$5:$G$110&lt;&gt;"acoes")))*INDEX(Inputs!$K$5:$AJ$110,0,MATCH(D$2,Inputs!$K$4:$AJ$4,0)))))</f>
        <v>-2553</v>
      </c>
      <c r="E5" s="6">
        <f>IF(ISNA(MATCH(E$2,Inputs!$K$4:$AJ$4,0)),NA(),IF(SUMPRODUCT((Inputs!$A$5:$A$110=$B5)*ISNUMBER(INDEX(Inputs!$K$5:$AJ$110,0,MATCH(E$2,Inputs!$K$4:$AJ$4,0))))+SUMPRODUCT((Inputs!$C$5:$C$110=$B5)*ISNUMBER(INDEX(Inputs!$K$5:$AJ$110,0,MATCH(E$2,Inputs!$K$4:$AJ$4,0))))+SUMPRODUCT((Inputs!$E$5:$E$110=$B5)*ISNUMBER(INDEX(Inputs!$K$5:$AJ$110,0,MATCH(E$2,Inputs!$K$4:$AJ$4,0))))=0,NA(),SUMPRODUCT((Inputs!$A$5:$A$110=$B5)*Inputs!$B$5:$B$110*(((Inputs!$G$5:$G$110="moeda")+(Inputs!$G$5:$G$110="acoes"))*Inputs!$B$1+((Inputs!$G$5:$G$110&lt;&gt;"moeda")*(Inputs!$G$5:$G$110&lt;&gt;"acoes")))*INDEX(Inputs!$K$5:$AJ$110,0,MATCH(E$2,Inputs!$K$4:$AJ$4,0)))+SUMPRODUCT((Inputs!$C$5:$C$110=$B5)*Inputs!$D$5:$D$110*(((Inputs!$G$5:$G$110="moeda")+(Inputs!$G$5:$G$110="acoes"))*Inputs!$B$1+((Inputs!$G$5:$G$110&lt;&gt;"moeda")*(Inputs!$G$5:$G$110&lt;&gt;"acoes")))*INDEX(Inputs!$K$5:$AJ$110,0,MATCH(E$2,Inputs!$K$4:$AJ$4,0)))+SUMPRODUCT((Inputs!$E$5:$E$110=$B5)*Inputs!$F$5:$F$110*(((Inputs!$G$5:$G$110="moeda")+(Inputs!$G$5:$G$110="acoes"))*Inputs!$B$1+((Inputs!$G$5:$G$110&lt;&gt;"moeda")*(Inputs!$G$5:$G$110&lt;&gt;"acoes")))*INDEX(Inputs!$K$5:$AJ$110,0,MATCH(E$2,Inputs!$K$4:$AJ$4,0)))))</f>
        <v>-2581</v>
      </c>
      <c r="F5" s="6">
        <f>IF(ISNA(MATCH(F$2,Inputs!$K$4:$AJ$4,0)),NA(),IF(SUMPRODUCT((Inputs!$A$5:$A$110=$B5)*ISNUMBER(INDEX(Inputs!$K$5:$AJ$110,0,MATCH(F$2,Inputs!$K$4:$AJ$4,0))))+SUMPRODUCT((Inputs!$C$5:$C$110=$B5)*ISNUMBER(INDEX(Inputs!$K$5:$AJ$110,0,MATCH(F$2,Inputs!$K$4:$AJ$4,0))))+SUMPRODUCT((Inputs!$E$5:$E$110=$B5)*ISNUMBER(INDEX(Inputs!$K$5:$AJ$110,0,MATCH(F$2,Inputs!$K$4:$AJ$4,0))))=0,NA(),SUMPRODUCT((Inputs!$A$5:$A$110=$B5)*Inputs!$B$5:$B$110*(((Inputs!$G$5:$G$110="moeda")+(Inputs!$G$5:$G$110="acoes"))*Inputs!$B$1+((Inputs!$G$5:$G$110&lt;&gt;"moeda")*(Inputs!$G$5:$G$110&lt;&gt;"acoes")))*INDEX(Inputs!$K$5:$AJ$110,0,MATCH(F$2,Inputs!$K$4:$AJ$4,0)))+SUMPRODUCT((Inputs!$C$5:$C$110=$B5)*Inputs!$D$5:$D$110*(((Inputs!$G$5:$G$110="moeda")+(Inputs!$G$5:$G$110="acoes"))*Inputs!$B$1+((Inputs!$G$5:$G$110&lt;&gt;"moeda")*(Inputs!$G$5:$G$110&lt;&gt;"acoes")))*INDEX(Inputs!$K$5:$AJ$110,0,MATCH(F$2,Inputs!$K$4:$AJ$4,0)))+SUMPRODUCT((Inputs!$E$5:$E$110=$B5)*Inputs!$F$5:$F$110*(((Inputs!$G$5:$G$110="moeda")+(Inputs!$G$5:$G$110="acoes"))*Inputs!$B$1+((Inputs!$G$5:$G$110&lt;&gt;"moeda")*(Inputs!$G$5:$G$110&lt;&gt;"acoes")))*INDEX(Inputs!$K$5:$AJ$110,0,MATCH(F$2,Inputs!$K$4:$AJ$4,0)))))</f>
        <v>-2769</v>
      </c>
      <c r="G5" s="6">
        <f>IF(ISNA(MATCH(G$2,Inputs!$K$4:$AJ$4,0)),NA(),IF(SUMPRODUCT((Inputs!$A$5:$A$110=$B5)*ISNUMBER(INDEX(Inputs!$K$5:$AJ$110,0,MATCH(G$2,Inputs!$K$4:$AJ$4,0))))+SUMPRODUCT((Inputs!$C$5:$C$110=$B5)*ISNUMBER(INDEX(Inputs!$K$5:$AJ$110,0,MATCH(G$2,Inputs!$K$4:$AJ$4,0))))+SUMPRODUCT((Inputs!$E$5:$E$110=$B5)*ISNUMBER(INDEX(Inputs!$K$5:$AJ$110,0,MATCH(G$2,Inputs!$K$4:$AJ$4,0))))=0,NA(),SUMPRODUCT((Inputs!$A$5:$A$110=$B5)*Inputs!$B$5:$B$110*(((Inputs!$G$5:$G$110="moeda")+(Inputs!$G$5:$G$110="acoes"))*Inputs!$B$1+((Inputs!$G$5:$G$110&lt;&gt;"moeda")*(Inputs!$G$5:$G$110&lt;&gt;"acoes")))*INDEX(Inputs!$K$5:$AJ$110,0,MATCH(G$2,Inputs!$K$4:$AJ$4,0)))+SUMPRODUCT((Inputs!$C$5:$C$110=$B5)*Inputs!$D$5:$D$110*(((Inputs!$G$5:$G$110="moeda")+(Inputs!$G$5:$G$110="acoes"))*Inputs!$B$1+((Inputs!$G$5:$G$110&lt;&gt;"moeda")*(Inputs!$G$5:$G$110&lt;&gt;"acoes")))*INDEX(Inputs!$K$5:$AJ$110,0,MATCH(G$2,Inputs!$K$4:$AJ$4,0)))+SUMPRODUCT((Inputs!$E$5:$E$110=$B5)*Inputs!$F$5:$F$110*(((Inputs!$G$5:$G$110="moeda")+(Inputs!$G$5:$G$110="acoes"))*Inputs!$B$1+((Inputs!$G$5:$G$110&lt;&gt;"moeda")*(Inputs!$G$5:$G$110&lt;&gt;"acoes")))*INDEX(Inputs!$K$5:$AJ$110,0,MATCH(G$2,Inputs!$K$4:$AJ$4,0)))))</f>
        <v>-2657</v>
      </c>
      <c r="H5" s="3">
        <f>SUM(D5:G5)</f>
        <v>-10560</v>
      </c>
      <c r="I5" s="6">
        <f>IF(ISNA(MATCH(I$2,Inputs!$K$4:$AJ$4,0)),NA(),IF(SUMPRODUCT((Inputs!$A$5:$A$110=$B5)*ISNUMBER(INDEX(Inputs!$K$5:$AJ$110,0,MATCH(I$2,Inputs!$K$4:$AJ$4,0))))+SUMPRODUCT((Inputs!$C$5:$C$110=$B5)*ISNUMBER(INDEX(Inputs!$K$5:$AJ$110,0,MATCH(I$2,Inputs!$K$4:$AJ$4,0))))+SUMPRODUCT((Inputs!$E$5:$E$110=$B5)*ISNUMBER(INDEX(Inputs!$K$5:$AJ$110,0,MATCH(I$2,Inputs!$K$4:$AJ$4,0))))=0,NA(),SUMPRODUCT((Inputs!$A$5:$A$110=$B5)*Inputs!$B$5:$B$110*(((Inputs!$G$5:$G$110="moeda")+(Inputs!$G$5:$G$110="acoes"))*Inputs!$B$1+((Inputs!$G$5:$G$110&lt;&gt;"moeda")*(Inputs!$G$5:$G$110&lt;&gt;"acoes")))*INDEX(Inputs!$K$5:$AJ$110,0,MATCH(I$2,Inputs!$K$4:$AJ$4,0)))+SUMPRODUCT((Inputs!$C$5:$C$110=$B5)*Inputs!$D$5:$D$110*(((Inputs!$G$5:$G$110="moeda")+(Inputs!$G$5:$G$110="acoes"))*Inputs!$B$1+((Inputs!$G$5:$G$110&lt;&gt;"moeda")*(Inputs!$G$5:$G$110&lt;&gt;"acoes")))*INDEX(Inputs!$K$5:$AJ$110,0,MATCH(I$2,Inputs!$K$4:$AJ$4,0)))+SUMPRODUCT((Inputs!$E$5:$E$110=$B5)*Inputs!$F$5:$F$110*(((Inputs!$G$5:$G$110="moeda")+(Inputs!$G$5:$G$110="acoes"))*Inputs!$B$1+((Inputs!$G$5:$G$110&lt;&gt;"moeda")*(Inputs!$G$5:$G$110&lt;&gt;"acoes")))*INDEX(Inputs!$K$5:$AJ$110,0,MATCH(I$2,Inputs!$K$4:$AJ$4,0)))))</f>
        <v>-2664</v>
      </c>
      <c r="J5" s="6">
        <f>IF(ISNA(MATCH(J$2,Inputs!$K$4:$AJ$4,0)),NA(),IF(SUMPRODUCT((Inputs!$A$5:$A$110=$B5)*ISNUMBER(INDEX(Inputs!$K$5:$AJ$110,0,MATCH(J$2,Inputs!$K$4:$AJ$4,0))))+SUMPRODUCT((Inputs!$C$5:$C$110=$B5)*ISNUMBER(INDEX(Inputs!$K$5:$AJ$110,0,MATCH(J$2,Inputs!$K$4:$AJ$4,0))))+SUMPRODUCT((Inputs!$E$5:$E$110=$B5)*ISNUMBER(INDEX(Inputs!$K$5:$AJ$110,0,MATCH(J$2,Inputs!$K$4:$AJ$4,0))))=0,NA(),SUMPRODUCT((Inputs!$A$5:$A$110=$B5)*Inputs!$B$5:$B$110*(((Inputs!$G$5:$G$110="moeda")+(Inputs!$G$5:$G$110="acoes"))*Inputs!$B$1+((Inputs!$G$5:$G$110&lt;&gt;"moeda")*(Inputs!$G$5:$G$110&lt;&gt;"acoes")))*INDEX(Inputs!$K$5:$AJ$110,0,MATCH(J$2,Inputs!$K$4:$AJ$4,0)))+SUMPRODUCT((Inputs!$C$5:$C$110=$B5)*Inputs!$D$5:$D$110*(((Inputs!$G$5:$G$110="moeda")+(Inputs!$G$5:$G$110="acoes"))*Inputs!$B$1+((Inputs!$G$5:$G$110&lt;&gt;"moeda")*(Inputs!$G$5:$G$110&lt;&gt;"acoes")))*INDEX(Inputs!$K$5:$AJ$110,0,MATCH(J$2,Inputs!$K$4:$AJ$4,0)))+SUMPRODUCT((Inputs!$E$5:$E$110=$B5)*Inputs!$F$5:$F$110*(((Inputs!$G$5:$G$110="moeda")+(Inputs!$G$5:$G$110="acoes"))*Inputs!$B$1+((Inputs!$G$5:$G$110&lt;&gt;"moeda")*(Inputs!$G$5:$G$110&lt;&gt;"acoes")))*INDEX(Inputs!$K$5:$AJ$110,0,MATCH(J$2,Inputs!$K$4:$AJ$4,0)))))</f>
        <v>-2783</v>
      </c>
      <c r="K5" s="6">
        <f>IF(ISNA(MATCH(K$2,Inputs!$K$4:$AJ$4,0)),NA(),IF(SUMPRODUCT((Inputs!$A$5:$A$110=$B5)*ISNUMBER(INDEX(Inputs!$K$5:$AJ$110,0,MATCH(K$2,Inputs!$K$4:$AJ$4,0))))+SUMPRODUCT((Inputs!$C$5:$C$110=$B5)*ISNUMBER(INDEX(Inputs!$K$5:$AJ$110,0,MATCH(K$2,Inputs!$K$4:$AJ$4,0))))+SUMPRODUCT((Inputs!$E$5:$E$110=$B5)*ISNUMBER(INDEX(Inputs!$K$5:$AJ$110,0,MATCH(K$2,Inputs!$K$4:$AJ$4,0))))=0,NA(),SUMPRODUCT((Inputs!$A$5:$A$110=$B5)*Inputs!$B$5:$B$110*(((Inputs!$G$5:$G$110="moeda")+(Inputs!$G$5:$G$110="acoes"))*Inputs!$B$1+((Inputs!$G$5:$G$110&lt;&gt;"moeda")*(Inputs!$G$5:$G$110&lt;&gt;"acoes")))*INDEX(Inputs!$K$5:$AJ$110,0,MATCH(K$2,Inputs!$K$4:$AJ$4,0)))+SUMPRODUCT((Inputs!$C$5:$C$110=$B5)*Inputs!$D$5:$D$110*(((Inputs!$G$5:$G$110="moeda")+(Inputs!$G$5:$G$110="acoes"))*Inputs!$B$1+((Inputs!$G$5:$G$110&lt;&gt;"moeda")*(Inputs!$G$5:$G$110&lt;&gt;"acoes")))*INDEX(Inputs!$K$5:$AJ$110,0,MATCH(K$2,Inputs!$K$4:$AJ$4,0)))+SUMPRODUCT((Inputs!$E$5:$E$110=$B5)*Inputs!$F$5:$F$110*(((Inputs!$G$5:$G$110="moeda")+(Inputs!$G$5:$G$110="acoes"))*Inputs!$B$1+((Inputs!$G$5:$G$110&lt;&gt;"moeda")*(Inputs!$G$5:$G$110&lt;&gt;"acoes")))*INDEX(Inputs!$K$5:$AJ$110,0,MATCH(K$2,Inputs!$K$4:$AJ$4,0)))))</f>
        <v>-3004</v>
      </c>
      <c r="L5" s="6">
        <f>IF(ISNA(MATCH(L$2,Inputs!$K$4:$AJ$4,0)),NA(),IF(SUMPRODUCT((Inputs!$A$5:$A$110=$B5)*ISNUMBER(INDEX(Inputs!$K$5:$AJ$110,0,MATCH(L$2,Inputs!$K$4:$AJ$4,0))))+SUMPRODUCT((Inputs!$C$5:$C$110=$B5)*ISNUMBER(INDEX(Inputs!$K$5:$AJ$110,0,MATCH(L$2,Inputs!$K$4:$AJ$4,0))))+SUMPRODUCT((Inputs!$E$5:$E$110=$B5)*ISNUMBER(INDEX(Inputs!$K$5:$AJ$110,0,MATCH(L$2,Inputs!$K$4:$AJ$4,0))))=0,NA(),SUMPRODUCT((Inputs!$A$5:$A$110=$B5)*Inputs!$B$5:$B$110*(((Inputs!$G$5:$G$110="moeda")+(Inputs!$G$5:$G$110="acoes"))*Inputs!$B$1+((Inputs!$G$5:$G$110&lt;&gt;"moeda")*(Inputs!$G$5:$G$110&lt;&gt;"acoes")))*INDEX(Inputs!$K$5:$AJ$110,0,MATCH(L$2,Inputs!$K$4:$AJ$4,0)))+SUMPRODUCT((Inputs!$C$5:$C$110=$B5)*Inputs!$D$5:$D$110*(((Inputs!$G$5:$G$110="moeda")+(Inputs!$G$5:$G$110="acoes"))*Inputs!$B$1+((Inputs!$G$5:$G$110&lt;&gt;"moeda")*(Inputs!$G$5:$G$110&lt;&gt;"acoes")))*INDEX(Inputs!$K$5:$AJ$110,0,MATCH(L$2,Inputs!$K$4:$AJ$4,0)))+SUMPRODUCT((Inputs!$E$5:$E$110=$B5)*Inputs!$F$5:$F$110*(((Inputs!$G$5:$G$110="moeda")+(Inputs!$G$5:$G$110="acoes"))*Inputs!$B$1+((Inputs!$G$5:$G$110&lt;&gt;"moeda")*(Inputs!$G$5:$G$110&lt;&gt;"acoes")))*INDEX(Inputs!$K$5:$AJ$110,0,MATCH(L$2,Inputs!$K$4:$AJ$4,0)))))</f>
        <v>-2911</v>
      </c>
      <c r="M5" s="3">
        <f>SUM(I5:L5)</f>
        <v>-11362</v>
      </c>
      <c r="N5" s="6">
        <f>IF(ISNA(MATCH(N$2,Inputs!$K$4:$AJ$4,0)),NA(),IF(SUMPRODUCT((Inputs!$A$5:$A$110=$B5)*ISNUMBER(INDEX(Inputs!$K$5:$AJ$110,0,MATCH(N$2,Inputs!$K$4:$AJ$4,0))))+SUMPRODUCT((Inputs!$C$5:$C$110=$B5)*ISNUMBER(INDEX(Inputs!$K$5:$AJ$110,0,MATCH(N$2,Inputs!$K$4:$AJ$4,0))))+SUMPRODUCT((Inputs!$E$5:$E$110=$B5)*ISNUMBER(INDEX(Inputs!$K$5:$AJ$110,0,MATCH(N$2,Inputs!$K$4:$AJ$4,0))))=0,NA(),SUMPRODUCT((Inputs!$A$5:$A$110=$B5)*Inputs!$B$5:$B$110*(((Inputs!$G$5:$G$110="moeda")+(Inputs!$G$5:$G$110="acoes"))*Inputs!$B$1+((Inputs!$G$5:$G$110&lt;&gt;"moeda")*(Inputs!$G$5:$G$110&lt;&gt;"acoes")))*INDEX(Inputs!$K$5:$AJ$110,0,MATCH(N$2,Inputs!$K$4:$AJ$4,0)))+SUMPRODUCT((Inputs!$C$5:$C$110=$B5)*Inputs!$D$5:$D$110*(((Inputs!$G$5:$G$110="moeda")+(Inputs!$G$5:$G$110="acoes"))*Inputs!$B$1+((Inputs!$G$5:$G$110&lt;&gt;"moeda")*(Inputs!$G$5:$G$110&lt;&gt;"acoes")))*INDEX(Inputs!$K$5:$AJ$110,0,MATCH(N$2,Inputs!$K$4:$AJ$4,0)))+SUMPRODUCT((Inputs!$E$5:$E$110=$B5)*Inputs!$F$5:$F$110*(((Inputs!$G$5:$G$110="moeda")+(Inputs!$G$5:$G$110="acoes"))*Inputs!$B$1+((Inputs!$G$5:$G$110&lt;&gt;"moeda")*(Inputs!$G$5:$G$110&lt;&gt;"acoes")))*INDEX(Inputs!$K$5:$AJ$110,0,MATCH(N$2,Inputs!$K$4:$AJ$4,0)))))</f>
        <v>-2618</v>
      </c>
      <c r="O5" s="6">
        <f>IF(ISNA(MATCH(O$2,Inputs!$K$4:$AJ$4,0)),NA(),IF(SUMPRODUCT((Inputs!$A$5:$A$110=$B5)*ISNUMBER(INDEX(Inputs!$K$5:$AJ$110,0,MATCH(O$2,Inputs!$K$4:$AJ$4,0))))+SUMPRODUCT((Inputs!$C$5:$C$110=$B5)*ISNUMBER(INDEX(Inputs!$K$5:$AJ$110,0,MATCH(O$2,Inputs!$K$4:$AJ$4,0))))+SUMPRODUCT((Inputs!$E$5:$E$110=$B5)*ISNUMBER(INDEX(Inputs!$K$5:$AJ$110,0,MATCH(O$2,Inputs!$K$4:$AJ$4,0))))=0,NA(),SUMPRODUCT((Inputs!$A$5:$A$110=$B5)*Inputs!$B$5:$B$110*(((Inputs!$G$5:$G$110="moeda")+(Inputs!$G$5:$G$110="acoes"))*Inputs!$B$1+((Inputs!$G$5:$G$110&lt;&gt;"moeda")*(Inputs!$G$5:$G$110&lt;&gt;"acoes")))*INDEX(Inputs!$K$5:$AJ$110,0,MATCH(O$2,Inputs!$K$4:$AJ$4,0)))+SUMPRODUCT((Inputs!$C$5:$C$110=$B5)*Inputs!$D$5:$D$110*(((Inputs!$G$5:$G$110="moeda")+(Inputs!$G$5:$G$110="acoes"))*Inputs!$B$1+((Inputs!$G$5:$G$110&lt;&gt;"moeda")*(Inputs!$G$5:$G$110&lt;&gt;"acoes")))*INDEX(Inputs!$K$5:$AJ$110,0,MATCH(O$2,Inputs!$K$4:$AJ$4,0)))+SUMPRODUCT((Inputs!$E$5:$E$110=$B5)*Inputs!$F$5:$F$110*(((Inputs!$G$5:$G$110="moeda")+(Inputs!$G$5:$G$110="acoes"))*Inputs!$B$1+((Inputs!$G$5:$G$110&lt;&gt;"moeda")*(Inputs!$G$5:$G$110&lt;&gt;"acoes")))*INDEX(Inputs!$K$5:$AJ$110,0,MATCH(O$2,Inputs!$K$4:$AJ$4,0)))))</f>
        <v>-2712</v>
      </c>
      <c r="P5" s="6">
        <f>IF(ISNA(MATCH(P$2,Inputs!$K$4:$AJ$4,0)),NA(),IF(SUMPRODUCT((Inputs!$A$5:$A$110=$B5)*ISNUMBER(INDEX(Inputs!$K$5:$AJ$110,0,MATCH(P$2,Inputs!$K$4:$AJ$4,0))))+SUMPRODUCT((Inputs!$C$5:$C$110=$B5)*ISNUMBER(INDEX(Inputs!$K$5:$AJ$110,0,MATCH(P$2,Inputs!$K$4:$AJ$4,0))))+SUMPRODUCT((Inputs!$E$5:$E$110=$B5)*ISNUMBER(INDEX(Inputs!$K$5:$AJ$110,0,MATCH(P$2,Inputs!$K$4:$AJ$4,0))))=0,NA(),SUMPRODUCT((Inputs!$A$5:$A$110=$B5)*Inputs!$B$5:$B$110*(((Inputs!$G$5:$G$110="moeda")+(Inputs!$G$5:$G$110="acoes"))*Inputs!$B$1+((Inputs!$G$5:$G$110&lt;&gt;"moeda")*(Inputs!$G$5:$G$110&lt;&gt;"acoes")))*INDEX(Inputs!$K$5:$AJ$110,0,MATCH(P$2,Inputs!$K$4:$AJ$4,0)))+SUMPRODUCT((Inputs!$C$5:$C$110=$B5)*Inputs!$D$5:$D$110*(((Inputs!$G$5:$G$110="moeda")+(Inputs!$G$5:$G$110="acoes"))*Inputs!$B$1+((Inputs!$G$5:$G$110&lt;&gt;"moeda")*(Inputs!$G$5:$G$110&lt;&gt;"acoes")))*INDEX(Inputs!$K$5:$AJ$110,0,MATCH(P$2,Inputs!$K$4:$AJ$4,0)))+SUMPRODUCT((Inputs!$E$5:$E$110=$B5)*Inputs!$F$5:$F$110*(((Inputs!$G$5:$G$110="moeda")+(Inputs!$G$5:$G$110="acoes"))*Inputs!$B$1+((Inputs!$G$5:$G$110&lt;&gt;"moeda")*(Inputs!$G$5:$G$110&lt;&gt;"acoes")))*INDEX(Inputs!$K$5:$AJ$110,0,MATCH(P$2,Inputs!$K$4:$AJ$4,0)))))</f>
        <v>-2888</v>
      </c>
      <c r="Q5" s="6">
        <f>IF(ISNA(MATCH(Q$2,Inputs!$K$4:$AJ$4,0)),NA(),IF(SUMPRODUCT((Inputs!$A$5:$A$110=$B5)*ISNUMBER(INDEX(Inputs!$K$5:$AJ$110,0,MATCH(Q$2,Inputs!$K$4:$AJ$4,0))))+SUMPRODUCT((Inputs!$C$5:$C$110=$B5)*ISNUMBER(INDEX(Inputs!$K$5:$AJ$110,0,MATCH(Q$2,Inputs!$K$4:$AJ$4,0))))+SUMPRODUCT((Inputs!$E$5:$E$110=$B5)*ISNUMBER(INDEX(Inputs!$K$5:$AJ$110,0,MATCH(Q$2,Inputs!$K$4:$AJ$4,0))))=0,NA(),SUMPRODUCT((Inputs!$A$5:$A$110=$B5)*Inputs!$B$5:$B$110*(((Inputs!$G$5:$G$110="moeda")+(Inputs!$G$5:$G$110="acoes"))*Inputs!$B$1+((Inputs!$G$5:$G$110&lt;&gt;"moeda")*(Inputs!$G$5:$G$110&lt;&gt;"acoes")))*INDEX(Inputs!$K$5:$AJ$110,0,MATCH(Q$2,Inputs!$K$4:$AJ$4,0)))+SUMPRODUCT((Inputs!$C$5:$C$110=$B5)*Inputs!$D$5:$D$110*(((Inputs!$G$5:$G$110="moeda")+(Inputs!$G$5:$G$110="acoes"))*Inputs!$B$1+((Inputs!$G$5:$G$110&lt;&gt;"moeda")*(Inputs!$G$5:$G$110&lt;&gt;"acoes")))*INDEX(Inputs!$K$5:$AJ$110,0,MATCH(Q$2,Inputs!$K$4:$AJ$4,0)))+SUMPRODUCT((Inputs!$E$5:$E$110=$B5)*Inputs!$F$5:$F$110*(((Inputs!$G$5:$G$110="moeda")+(Inputs!$G$5:$G$110="acoes"))*Inputs!$B$1+((Inputs!$G$5:$G$110&lt;&gt;"moeda")*(Inputs!$G$5:$G$110&lt;&gt;"acoes")))*INDEX(Inputs!$K$5:$AJ$110,0,MATCH(Q$2,Inputs!$K$4:$AJ$4,0)))))</f>
        <v>-4586</v>
      </c>
      <c r="R5" s="3">
        <f>SUM(N5:Q5)</f>
        <v>-12804</v>
      </c>
      <c r="S5" s="6">
        <f>IF(ISNA(MATCH(S$2,Inputs!$K$4:$AJ$4,0)),NA(),IF(SUMPRODUCT((Inputs!$A$5:$A$110=$B5)*ISNUMBER(INDEX(Inputs!$K$5:$AJ$110,0,MATCH(S$2,Inputs!$K$4:$AJ$4,0))))+SUMPRODUCT((Inputs!$C$5:$C$110=$B5)*ISNUMBER(INDEX(Inputs!$K$5:$AJ$110,0,MATCH(S$2,Inputs!$K$4:$AJ$4,0))))+SUMPRODUCT((Inputs!$E$5:$E$110=$B5)*ISNUMBER(INDEX(Inputs!$K$5:$AJ$110,0,MATCH(S$2,Inputs!$K$4:$AJ$4,0))))=0,NA(),SUMPRODUCT((Inputs!$A$5:$A$110=$B5)*Inputs!$B$5:$B$110*(((Inputs!$G$5:$G$110="moeda")+(Inputs!$G$5:$G$110="acoes"))*Inputs!$B$1+((Inputs!$G$5:$G$110&lt;&gt;"moeda")*(Inputs!$G$5:$G$110&lt;&gt;"acoes")))*INDEX(Inputs!$K$5:$AJ$110,0,MATCH(S$2,Inputs!$K$4:$AJ$4,0)))+SUMPRODUCT((Inputs!$C$5:$C$110=$B5)*Inputs!$D$5:$D$110*(((Inputs!$G$5:$G$110="moeda")+(Inputs!$G$5:$G$110="acoes"))*Inputs!$B$1+((Inputs!$G$5:$G$110&lt;&gt;"moeda")*(Inputs!$G$5:$G$110&lt;&gt;"acoes")))*INDEX(Inputs!$K$5:$AJ$110,0,MATCH(S$2,Inputs!$K$4:$AJ$4,0)))+SUMPRODUCT((Inputs!$E$5:$E$110=$B5)*Inputs!$F$5:$F$110*(((Inputs!$G$5:$G$110="moeda")+(Inputs!$G$5:$G$110="acoes"))*Inputs!$B$1+((Inputs!$G$5:$G$110&lt;&gt;"moeda")*(Inputs!$G$5:$G$110&lt;&gt;"acoes")))*INDEX(Inputs!$K$5:$AJ$110,0,MATCH(S$2,Inputs!$K$4:$AJ$4,0)))))</f>
        <v>-4711</v>
      </c>
      <c r="T5" s="6">
        <f>IF(ISNA(MATCH(T$2,Inputs!$K$4:$AJ$4,0)),NA(),IF(SUMPRODUCT((Inputs!$A$5:$A$110=$B5)*ISNUMBER(INDEX(Inputs!$K$5:$AJ$110,0,MATCH(T$2,Inputs!$K$4:$AJ$4,0))))+SUMPRODUCT((Inputs!$C$5:$C$110=$B5)*ISNUMBER(INDEX(Inputs!$K$5:$AJ$110,0,MATCH(T$2,Inputs!$K$4:$AJ$4,0))))+SUMPRODUCT((Inputs!$E$5:$E$110=$B5)*ISNUMBER(INDEX(Inputs!$K$5:$AJ$110,0,MATCH(T$2,Inputs!$K$4:$AJ$4,0))))=0,NA(),SUMPRODUCT((Inputs!$A$5:$A$110=$B5)*Inputs!$B$5:$B$110*(((Inputs!$G$5:$G$110="moeda")+(Inputs!$G$5:$G$110="acoes"))*Inputs!$B$1+((Inputs!$G$5:$G$110&lt;&gt;"moeda")*(Inputs!$G$5:$G$110&lt;&gt;"acoes")))*INDEX(Inputs!$K$5:$AJ$110,0,MATCH(T$2,Inputs!$K$4:$AJ$4,0)))+SUMPRODUCT((Inputs!$C$5:$C$110=$B5)*Inputs!$D$5:$D$110*(((Inputs!$G$5:$G$110="moeda")+(Inputs!$G$5:$G$110="acoes"))*Inputs!$B$1+((Inputs!$G$5:$G$110&lt;&gt;"moeda")*(Inputs!$G$5:$G$110&lt;&gt;"acoes")))*INDEX(Inputs!$K$5:$AJ$110,0,MATCH(T$2,Inputs!$K$4:$AJ$4,0)))+SUMPRODUCT((Inputs!$E$5:$E$110=$B5)*Inputs!$F$5:$F$110*(((Inputs!$G$5:$G$110="moeda")+(Inputs!$G$5:$G$110="acoes"))*Inputs!$B$1+((Inputs!$G$5:$G$110&lt;&gt;"moeda")*(Inputs!$G$5:$G$110&lt;&gt;"acoes")))*INDEX(Inputs!$K$5:$AJ$110,0,MATCH(T$2,Inputs!$K$4:$AJ$4,0)))))</f>
        <v>-4716</v>
      </c>
      <c r="U5" s="6">
        <f>IF(ISNA(MATCH(U$2,Inputs!$K$4:$AJ$4,0)),NA(),IF(SUMPRODUCT((Inputs!$A$5:$A$110=$B5)*ISNUMBER(INDEX(Inputs!$K$5:$AJ$110,0,MATCH(U$2,Inputs!$K$4:$AJ$4,0))))+SUMPRODUCT((Inputs!$C$5:$C$110=$B5)*ISNUMBER(INDEX(Inputs!$K$5:$AJ$110,0,MATCH(U$2,Inputs!$K$4:$AJ$4,0))))+SUMPRODUCT((Inputs!$E$5:$E$110=$B5)*ISNUMBER(INDEX(Inputs!$K$5:$AJ$110,0,MATCH(U$2,Inputs!$K$4:$AJ$4,0))))=0,NA(),SUMPRODUCT((Inputs!$A$5:$A$110=$B5)*Inputs!$B$5:$B$110*(((Inputs!$G$5:$G$110="moeda")+(Inputs!$G$5:$G$110="acoes"))*Inputs!$B$1+((Inputs!$G$5:$G$110&lt;&gt;"moeda")*(Inputs!$G$5:$G$110&lt;&gt;"acoes")))*INDEX(Inputs!$K$5:$AJ$110,0,MATCH(U$2,Inputs!$K$4:$AJ$4,0)))+SUMPRODUCT((Inputs!$C$5:$C$110=$B5)*Inputs!$D$5:$D$110*(((Inputs!$G$5:$G$110="moeda")+(Inputs!$G$5:$G$110="acoes"))*Inputs!$B$1+((Inputs!$G$5:$G$110&lt;&gt;"moeda")*(Inputs!$G$5:$G$110&lt;&gt;"acoes")))*INDEX(Inputs!$K$5:$AJ$110,0,MATCH(U$2,Inputs!$K$4:$AJ$4,0)))+SUMPRODUCT((Inputs!$E$5:$E$110=$B5)*Inputs!$F$5:$F$110*(((Inputs!$G$5:$G$110="moeda")+(Inputs!$G$5:$G$110="acoes"))*Inputs!$B$1+((Inputs!$G$5:$G$110&lt;&gt;"moeda")*(Inputs!$G$5:$G$110&lt;&gt;"acoes")))*INDEX(Inputs!$K$5:$AJ$110,0,MATCH(U$2,Inputs!$K$4:$AJ$4,0)))))</f>
        <v>-5052</v>
      </c>
      <c r="V5" s="6">
        <f>IF(ISNA(MATCH(V$2,Inputs!$K$4:$AJ$4,0)),NA(),IF(SUMPRODUCT((Inputs!$A$5:$A$110=$B5)*ISNUMBER(INDEX(Inputs!$K$5:$AJ$110,0,MATCH(V$2,Inputs!$K$4:$AJ$4,0))))+SUMPRODUCT((Inputs!$C$5:$C$110=$B5)*ISNUMBER(INDEX(Inputs!$K$5:$AJ$110,0,MATCH(V$2,Inputs!$K$4:$AJ$4,0))))+SUMPRODUCT((Inputs!$E$5:$E$110=$B5)*ISNUMBER(INDEX(Inputs!$K$5:$AJ$110,0,MATCH(V$2,Inputs!$K$4:$AJ$4,0))))=0,NA(),SUMPRODUCT((Inputs!$A$5:$A$110=$B5)*Inputs!$B$5:$B$110*(((Inputs!$G$5:$G$110="moeda")+(Inputs!$G$5:$G$110="acoes"))*Inputs!$B$1+((Inputs!$G$5:$G$110&lt;&gt;"moeda")*(Inputs!$G$5:$G$110&lt;&gt;"acoes")))*INDEX(Inputs!$K$5:$AJ$110,0,MATCH(V$2,Inputs!$K$4:$AJ$4,0)))+SUMPRODUCT((Inputs!$C$5:$C$110=$B5)*Inputs!$D$5:$D$110*(((Inputs!$G$5:$G$110="moeda")+(Inputs!$G$5:$G$110="acoes"))*Inputs!$B$1+((Inputs!$G$5:$G$110&lt;&gt;"moeda")*(Inputs!$G$5:$G$110&lt;&gt;"acoes")))*INDEX(Inputs!$K$5:$AJ$110,0,MATCH(V$2,Inputs!$K$4:$AJ$4,0)))+SUMPRODUCT((Inputs!$E$5:$E$110=$B5)*Inputs!$F$5:$F$110*(((Inputs!$G$5:$G$110="moeda")+(Inputs!$G$5:$G$110="acoes"))*Inputs!$B$1+((Inputs!$G$5:$G$110&lt;&gt;"moeda")*(Inputs!$G$5:$G$110&lt;&gt;"acoes")))*INDEX(Inputs!$K$5:$AJ$110,0,MATCH(V$2,Inputs!$K$4:$AJ$4,0)))))</f>
        <v>-4771</v>
      </c>
      <c r="W5" s="3">
        <f>SUM(S5:V5)</f>
        <v>-19250</v>
      </c>
      <c r="X5" s="6">
        <f>IF(ISNA(MATCH(X$2,Inputs!$K$4:$AJ$4,0)),NA(),IF(SUMPRODUCT((Inputs!$A$5:$A$110=$B5)*ISNUMBER(INDEX(Inputs!$K$5:$AJ$110,0,MATCH(X$2,Inputs!$K$4:$AJ$4,0))))+SUMPRODUCT((Inputs!$C$5:$C$110=$B5)*ISNUMBER(INDEX(Inputs!$K$5:$AJ$110,0,MATCH(X$2,Inputs!$K$4:$AJ$4,0))))+SUMPRODUCT((Inputs!$E$5:$E$110=$B5)*ISNUMBER(INDEX(Inputs!$K$5:$AJ$110,0,MATCH(X$2,Inputs!$K$4:$AJ$4,0))))=0,NA(),SUMPRODUCT((Inputs!$A$5:$A$110=$B5)*Inputs!$B$5:$B$110*(((Inputs!$G$5:$G$110="moeda")+(Inputs!$G$5:$G$110="acoes"))*Inputs!$B$1+((Inputs!$G$5:$G$110&lt;&gt;"moeda")*(Inputs!$G$5:$G$110&lt;&gt;"acoes")))*INDEX(Inputs!$K$5:$AJ$110,0,MATCH(X$2,Inputs!$K$4:$AJ$4,0)))+SUMPRODUCT((Inputs!$C$5:$C$110=$B5)*Inputs!$D$5:$D$110*(((Inputs!$G$5:$G$110="moeda")+(Inputs!$G$5:$G$110="acoes"))*Inputs!$B$1+((Inputs!$G$5:$G$110&lt;&gt;"moeda")*(Inputs!$G$5:$G$110&lt;&gt;"acoes")))*INDEX(Inputs!$K$5:$AJ$110,0,MATCH(X$2,Inputs!$K$4:$AJ$4,0)))+SUMPRODUCT((Inputs!$E$5:$E$110=$B5)*Inputs!$F$5:$F$110*(((Inputs!$G$5:$G$110="moeda")+(Inputs!$G$5:$G$110="acoes"))*Inputs!$B$1+((Inputs!$G$5:$G$110&lt;&gt;"moeda")*(Inputs!$G$5:$G$110&lt;&gt;"acoes")))*INDEX(Inputs!$K$5:$AJ$110,0,MATCH(X$2,Inputs!$K$4:$AJ$4,0)))))</f>
        <v>-4807</v>
      </c>
      <c r="Y5" s="6">
        <f>IF(ISNA(MATCH(Y$2,Inputs!$K$4:$AJ$4,0)),NA(),IF(SUMPRODUCT((Inputs!$A$5:$A$110=$B5)*ISNUMBER(INDEX(Inputs!$K$5:$AJ$110,0,MATCH(Y$2,Inputs!$K$4:$AJ$4,0))))+SUMPRODUCT((Inputs!$C$5:$C$110=$B5)*ISNUMBER(INDEX(Inputs!$K$5:$AJ$110,0,MATCH(Y$2,Inputs!$K$4:$AJ$4,0))))+SUMPRODUCT((Inputs!$E$5:$E$110=$B5)*ISNUMBER(INDEX(Inputs!$K$5:$AJ$110,0,MATCH(Y$2,Inputs!$K$4:$AJ$4,0))))=0,NA(),SUMPRODUCT((Inputs!$A$5:$A$110=$B5)*Inputs!$B$5:$B$110*(((Inputs!$G$5:$G$110="moeda")+(Inputs!$G$5:$G$110="acoes"))*Inputs!$B$1+((Inputs!$G$5:$G$110&lt;&gt;"moeda")*(Inputs!$G$5:$G$110&lt;&gt;"acoes")))*INDEX(Inputs!$K$5:$AJ$110,0,MATCH(Y$2,Inputs!$K$4:$AJ$4,0)))+SUMPRODUCT((Inputs!$C$5:$C$110=$B5)*Inputs!$D$5:$D$110*(((Inputs!$G$5:$G$110="moeda")+(Inputs!$G$5:$G$110="acoes"))*Inputs!$B$1+((Inputs!$G$5:$G$110&lt;&gt;"moeda")*(Inputs!$G$5:$G$110&lt;&gt;"acoes")))*INDEX(Inputs!$K$5:$AJ$110,0,MATCH(Y$2,Inputs!$K$4:$AJ$4,0)))+SUMPRODUCT((Inputs!$E$5:$E$110=$B5)*Inputs!$F$5:$F$110*(((Inputs!$G$5:$G$110="moeda")+(Inputs!$G$5:$G$110="acoes"))*Inputs!$B$1+((Inputs!$G$5:$G$110&lt;&gt;"moeda")*(Inputs!$G$5:$G$110&lt;&gt;"acoes")))*INDEX(Inputs!$K$5:$AJ$110,0,MATCH(Y$2,Inputs!$K$4:$AJ$4,0)))))</f>
        <v>-5249</v>
      </c>
      <c r="Z5" s="6">
        <f>IF(ISNA(MATCH(Z$2,Inputs!$K$4:$AJ$4,0)),NA(),IF(SUMPRODUCT((Inputs!$A$5:$A$110=$B5)*ISNUMBER(INDEX(Inputs!$K$5:$AJ$110,0,MATCH(Z$2,Inputs!$K$4:$AJ$4,0))))+SUMPRODUCT((Inputs!$C$5:$C$110=$B5)*ISNUMBER(INDEX(Inputs!$K$5:$AJ$110,0,MATCH(Z$2,Inputs!$K$4:$AJ$4,0))))+SUMPRODUCT((Inputs!$E$5:$E$110=$B5)*ISNUMBER(INDEX(Inputs!$K$5:$AJ$110,0,MATCH(Z$2,Inputs!$K$4:$AJ$4,0))))=0,NA(),SUMPRODUCT((Inputs!$A$5:$A$110=$B5)*Inputs!$B$5:$B$110*(((Inputs!$G$5:$G$110="moeda")+(Inputs!$G$5:$G$110="acoes"))*Inputs!$B$1+((Inputs!$G$5:$G$110&lt;&gt;"moeda")*(Inputs!$G$5:$G$110&lt;&gt;"acoes")))*INDEX(Inputs!$K$5:$AJ$110,0,MATCH(Z$2,Inputs!$K$4:$AJ$4,0)))+SUMPRODUCT((Inputs!$C$5:$C$110=$B5)*Inputs!$D$5:$D$110*(((Inputs!$G$5:$G$110="moeda")+(Inputs!$G$5:$G$110="acoes"))*Inputs!$B$1+((Inputs!$G$5:$G$110&lt;&gt;"moeda")*(Inputs!$G$5:$G$110&lt;&gt;"acoes")))*INDEX(Inputs!$K$5:$AJ$110,0,MATCH(Z$2,Inputs!$K$4:$AJ$4,0)))+SUMPRODUCT((Inputs!$E$5:$E$110=$B5)*Inputs!$F$5:$F$110*(((Inputs!$G$5:$G$110="moeda")+(Inputs!$G$5:$G$110="acoes"))*Inputs!$B$1+((Inputs!$G$5:$G$110&lt;&gt;"moeda")*(Inputs!$G$5:$G$110&lt;&gt;"acoes")))*INDEX(Inputs!$K$5:$AJ$110,0,MATCH(Z$2,Inputs!$K$4:$AJ$4,0)))))</f>
        <v>-5766</v>
      </c>
      <c r="AA5" s="6">
        <f>IF(ISNA(MATCH(AA$2,Inputs!$K$4:$AJ$4,0)),NA(),IF(SUMPRODUCT((Inputs!$A$5:$A$110=$B5)*ISNUMBER(INDEX(Inputs!$K$5:$AJ$110,0,MATCH(AA$2,Inputs!$K$4:$AJ$4,0))))+SUMPRODUCT((Inputs!$C$5:$C$110=$B5)*ISNUMBER(INDEX(Inputs!$K$5:$AJ$110,0,MATCH(AA$2,Inputs!$K$4:$AJ$4,0))))+SUMPRODUCT((Inputs!$E$5:$E$110=$B5)*ISNUMBER(INDEX(Inputs!$K$5:$AJ$110,0,MATCH(AA$2,Inputs!$K$4:$AJ$4,0))))=0,NA(),SUMPRODUCT((Inputs!$A$5:$A$110=$B5)*Inputs!$B$5:$B$110*(((Inputs!$G$5:$G$110="moeda")+(Inputs!$G$5:$G$110="acoes"))*Inputs!$B$1+((Inputs!$G$5:$G$110&lt;&gt;"moeda")*(Inputs!$G$5:$G$110&lt;&gt;"acoes")))*INDEX(Inputs!$K$5:$AJ$110,0,MATCH(AA$2,Inputs!$K$4:$AJ$4,0)))+SUMPRODUCT((Inputs!$C$5:$C$110=$B5)*Inputs!$D$5:$D$110*(((Inputs!$G$5:$G$110="moeda")+(Inputs!$G$5:$G$110="acoes"))*Inputs!$B$1+((Inputs!$G$5:$G$110&lt;&gt;"moeda")*(Inputs!$G$5:$G$110&lt;&gt;"acoes")))*INDEX(Inputs!$K$5:$AJ$110,0,MATCH(AA$2,Inputs!$K$4:$AJ$4,0)))+SUMPRODUCT((Inputs!$E$5:$E$110=$B5)*Inputs!$F$5:$F$110*(((Inputs!$G$5:$G$110="moeda")+(Inputs!$G$5:$G$110="acoes"))*Inputs!$B$1+((Inputs!$G$5:$G$110&lt;&gt;"moeda")*(Inputs!$G$5:$G$110&lt;&gt;"acoes")))*INDEX(Inputs!$K$5:$AJ$110,0,MATCH(AA$2,Inputs!$K$4:$AJ$4,0)))))</f>
        <v>-6154</v>
      </c>
      <c r="AB5" s="3">
        <f>SUM(X5:AA5)</f>
        <v>-21976</v>
      </c>
      <c r="AC5" s="6">
        <f>IF(ISNA(MATCH(AC$2,Inputs!$K$4:$AJ$4,0)),NA(),IF(SUMPRODUCT((Inputs!$A$5:$A$110=$B5)*ISNUMBER(INDEX(Inputs!$K$5:$AJ$110,0,MATCH(AC$2,Inputs!$K$4:$AJ$4,0))))+SUMPRODUCT((Inputs!$C$5:$C$110=$B5)*ISNUMBER(INDEX(Inputs!$K$5:$AJ$110,0,MATCH(AC$2,Inputs!$K$4:$AJ$4,0))))+SUMPRODUCT((Inputs!$E$5:$E$110=$B5)*ISNUMBER(INDEX(Inputs!$K$5:$AJ$110,0,MATCH(AC$2,Inputs!$K$4:$AJ$4,0))))=0,NA(),SUMPRODUCT((Inputs!$A$5:$A$110=$B5)*Inputs!$B$5:$B$110*(((Inputs!$G$5:$G$110="moeda")+(Inputs!$G$5:$G$110="acoes"))*Inputs!$B$1+((Inputs!$G$5:$G$110&lt;&gt;"moeda")*(Inputs!$G$5:$G$110&lt;&gt;"acoes")))*INDEX(Inputs!$K$5:$AJ$110,0,MATCH(AC$2,Inputs!$K$4:$AJ$4,0)))+SUMPRODUCT((Inputs!$C$5:$C$110=$B5)*Inputs!$D$5:$D$110*(((Inputs!$G$5:$G$110="moeda")+(Inputs!$G$5:$G$110="acoes"))*Inputs!$B$1+((Inputs!$G$5:$G$110&lt;&gt;"moeda")*(Inputs!$G$5:$G$110&lt;&gt;"acoes")))*INDEX(Inputs!$K$5:$AJ$110,0,MATCH(AC$2,Inputs!$K$4:$AJ$4,0)))+SUMPRODUCT((Inputs!$E$5:$E$110=$B5)*Inputs!$F$5:$F$110*(((Inputs!$G$5:$G$110="moeda")+(Inputs!$G$5:$G$110="acoes"))*Inputs!$B$1+((Inputs!$G$5:$G$110&lt;&gt;"moeda")*(Inputs!$G$5:$G$110&lt;&gt;"acoes")))*INDEX(Inputs!$K$5:$AJ$110,0,MATCH(AC$2,Inputs!$K$4:$AJ$4,0)))))</f>
        <v>-6772</v>
      </c>
      <c r="AD5" s="6">
        <f>IF(ISNA(MATCH(AD$2,Inputs!$K$4:$AJ$4,0)),NA(),IF(SUMPRODUCT((Inputs!$A$5:$A$110=$B5)*ISNUMBER(INDEX(Inputs!$K$5:$AJ$110,0,MATCH(AD$2,Inputs!$K$4:$AJ$4,0))))+SUMPRODUCT((Inputs!$C$5:$C$110=$B5)*ISNUMBER(INDEX(Inputs!$K$5:$AJ$110,0,MATCH(AD$2,Inputs!$K$4:$AJ$4,0))))+SUMPRODUCT((Inputs!$E$5:$E$110=$B5)*ISNUMBER(INDEX(Inputs!$K$5:$AJ$110,0,MATCH(AD$2,Inputs!$K$4:$AJ$4,0))))=0,NA(),SUMPRODUCT((Inputs!$A$5:$A$110=$B5)*Inputs!$B$5:$B$110*(((Inputs!$G$5:$G$110="moeda")+(Inputs!$G$5:$G$110="acoes"))*Inputs!$B$1+((Inputs!$G$5:$G$110&lt;&gt;"moeda")*(Inputs!$G$5:$G$110&lt;&gt;"acoes")))*INDEX(Inputs!$K$5:$AJ$110,0,MATCH(AD$2,Inputs!$K$4:$AJ$4,0)))+SUMPRODUCT((Inputs!$C$5:$C$110=$B5)*Inputs!$D$5:$D$110*(((Inputs!$G$5:$G$110="moeda")+(Inputs!$G$5:$G$110="acoes"))*Inputs!$B$1+((Inputs!$G$5:$G$110&lt;&gt;"moeda")*(Inputs!$G$5:$G$110&lt;&gt;"acoes")))*INDEX(Inputs!$K$5:$AJ$110,0,MATCH(AD$2,Inputs!$K$4:$AJ$4,0)))+SUMPRODUCT((Inputs!$E$5:$E$110=$B5)*Inputs!$F$5:$F$110*(((Inputs!$G$5:$G$110="moeda")+(Inputs!$G$5:$G$110="acoes"))*Inputs!$B$1+((Inputs!$G$5:$G$110&lt;&gt;"moeda")*(Inputs!$G$5:$G$110&lt;&gt;"acoes")))*INDEX(Inputs!$K$5:$AJ$110,0,MATCH(AD$2,Inputs!$K$4:$AJ$4,0)))))</f>
        <v>-9135</v>
      </c>
      <c r="AE5" s="6" t="e">
        <f>IF(ISNA(MATCH(AE$2,Inputs!$K$4:$AJ$4,0)),NA(),IF(SUMPRODUCT((Inputs!$A$5:$A$110=$B5)*ISNUMBER(INDEX(Inputs!$K$5:$AJ$110,0,MATCH(AE$2,Inputs!$K$4:$AJ$4,0))))+SUMPRODUCT((Inputs!$C$5:$C$110=$B5)*ISNUMBER(INDEX(Inputs!$K$5:$AJ$110,0,MATCH(AE$2,Inputs!$K$4:$AJ$4,0))))+SUMPRODUCT((Inputs!$E$5:$E$110=$B5)*ISNUMBER(INDEX(Inputs!$K$5:$AJ$110,0,MATCH(AE$2,Inputs!$K$4:$AJ$4,0))))=0,NA(),SUMPRODUCT((Inputs!$A$5:$A$110=$B5)*Inputs!$B$5:$B$110*(((Inputs!$G$5:$G$110="moeda")+(Inputs!$G$5:$G$110="acoes"))*Inputs!$B$1+((Inputs!$G$5:$G$110&lt;&gt;"moeda")*(Inputs!$G$5:$G$110&lt;&gt;"acoes")))*INDEX(Inputs!$K$5:$AJ$110,0,MATCH(AE$2,Inputs!$K$4:$AJ$4,0)))+SUMPRODUCT((Inputs!$C$5:$C$110=$B5)*Inputs!$D$5:$D$110*(((Inputs!$G$5:$G$110="moeda")+(Inputs!$G$5:$G$110="acoes"))*Inputs!$B$1+((Inputs!$G$5:$G$110&lt;&gt;"moeda")*(Inputs!$G$5:$G$110&lt;&gt;"acoes")))*INDEX(Inputs!$K$5:$AJ$110,0,MATCH(AE$2,Inputs!$K$4:$AJ$4,0)))+SUMPRODUCT((Inputs!$E$5:$E$110=$B5)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" s="6" t="e">
        <f>IF(ISNA(MATCH(AF$2,Inputs!$K$4:$AJ$4,0)),NA(),IF(SUMPRODUCT((Inputs!$A$5:$A$110=$B5)*ISNUMBER(INDEX(Inputs!$K$5:$AJ$110,0,MATCH(AF$2,Inputs!$K$4:$AJ$4,0))))+SUMPRODUCT((Inputs!$C$5:$C$110=$B5)*ISNUMBER(INDEX(Inputs!$K$5:$AJ$110,0,MATCH(AF$2,Inputs!$K$4:$AJ$4,0))))+SUMPRODUCT((Inputs!$E$5:$E$110=$B5)*ISNUMBER(INDEX(Inputs!$K$5:$AJ$110,0,MATCH(AF$2,Inputs!$K$4:$AJ$4,0))))=0,NA(),SUMPRODUCT((Inputs!$A$5:$A$110=$B5)*Inputs!$B$5:$B$110*(((Inputs!$G$5:$G$110="moeda")+(Inputs!$G$5:$G$110="acoes"))*Inputs!$B$1+((Inputs!$G$5:$G$110&lt;&gt;"moeda")*(Inputs!$G$5:$G$110&lt;&gt;"acoes")))*INDEX(Inputs!$K$5:$AJ$110,0,MATCH(AF$2,Inputs!$K$4:$AJ$4,0)))+SUMPRODUCT((Inputs!$C$5:$C$110=$B5)*Inputs!$D$5:$D$110*(((Inputs!$G$5:$G$110="moeda")+(Inputs!$G$5:$G$110="acoes"))*Inputs!$B$1+((Inputs!$G$5:$G$110&lt;&gt;"moeda")*(Inputs!$G$5:$G$110&lt;&gt;"acoes")))*INDEX(Inputs!$K$5:$AJ$110,0,MATCH(AF$2,Inputs!$K$4:$AJ$4,0)))+SUMPRODUCT((Inputs!$E$5:$E$110=$B5)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" s="3" t="e">
        <f>SUM(AC5:AF5)</f>
        <v>#N/A</v>
      </c>
      <c r="AH5" s="6">
        <f>IF(ISNA(MATCH(AH$2,Inputs!$K$4:$AJ$4,0)),NA(),IF(SUMPRODUCT((Inputs!$A$5:$A$110=$B5)*ISNUMBER(INDEX(Inputs!$K$5:$AJ$110,0,MATCH(AH$2,Inputs!$K$4:$AJ$4,0))))+SUMPRODUCT((Inputs!$C$5:$C$110=$B5)*ISNUMBER(INDEX(Inputs!$K$5:$AJ$110,0,MATCH(AH$2,Inputs!$K$4:$AJ$4,0))))+SUMPRODUCT((Inputs!$E$5:$E$110=$B5)*ISNUMBER(INDEX(Inputs!$K$5:$AJ$110,0,MATCH(AH$2,Inputs!$K$4:$AJ$4,0))))=0,NA(),SUMPRODUCT((Inputs!$A$5:$A$110=$B5)*Inputs!$B$5:$B$110*(((Inputs!$G$5:$G$110="moeda")+(Inputs!$G$5:$G$110="acoes"))*Inputs!$B$1+((Inputs!$G$5:$G$110&lt;&gt;"moeda")*(Inputs!$G$5:$G$110&lt;&gt;"acoes")))*INDEX(Inputs!$K$5:$AJ$110,0,MATCH(AH$2,Inputs!$K$4:$AJ$4,0)))+SUMPRODUCT((Inputs!$C$5:$C$110=$B5)*Inputs!$D$5:$D$110*(((Inputs!$G$5:$G$110="moeda")+(Inputs!$G$5:$G$110="acoes"))*Inputs!$B$1+((Inputs!$G$5:$G$110&lt;&gt;"moeda")*(Inputs!$G$5:$G$110&lt;&gt;"acoes")))*INDEX(Inputs!$K$5:$AJ$110,0,MATCH(AH$2,Inputs!$K$4:$AJ$4,0)))+SUMPRODUCT((Inputs!$E$5:$E$110=$B5)*Inputs!$F$5:$F$110*(((Inputs!$G$5:$G$110="moeda")+(Inputs!$G$5:$G$110="acoes"))*Inputs!$B$1+((Inputs!$G$5:$G$110&lt;&gt;"moeda")*(Inputs!$G$5:$G$110&lt;&gt;"acoes")))*INDEX(Inputs!$K$5:$AJ$110,0,MATCH(AH$2,Inputs!$K$4:$AJ$4,0)))))</f>
        <v>-2553</v>
      </c>
      <c r="AI5" s="6">
        <f>IF(ISNA(MATCH(AI$2,Inputs!$K$4:$AJ$4,0)),NA(),IF(SUMPRODUCT((Inputs!$A$5:$A$110=$B5)*ISNUMBER(INDEX(Inputs!$K$5:$AJ$110,0,MATCH(AI$2,Inputs!$K$4:$AJ$4,0))))+SUMPRODUCT((Inputs!$C$5:$C$110=$B5)*ISNUMBER(INDEX(Inputs!$K$5:$AJ$110,0,MATCH(AI$2,Inputs!$K$4:$AJ$4,0))))+SUMPRODUCT((Inputs!$E$5:$E$110=$B5)*ISNUMBER(INDEX(Inputs!$K$5:$AJ$110,0,MATCH(AI$2,Inputs!$K$4:$AJ$4,0))))=0,NA(),SUMPRODUCT((Inputs!$A$5:$A$110=$B5)*Inputs!$B$5:$B$110*(((Inputs!$G$5:$G$110="moeda")+(Inputs!$G$5:$G$110="acoes"))*Inputs!$B$1+((Inputs!$G$5:$G$110&lt;&gt;"moeda")*(Inputs!$G$5:$G$110&lt;&gt;"acoes")))*INDEX(Inputs!$K$5:$AJ$110,0,MATCH(AI$2,Inputs!$K$4:$AJ$4,0)))+SUMPRODUCT((Inputs!$C$5:$C$110=$B5)*Inputs!$D$5:$D$110*(((Inputs!$G$5:$G$110="moeda")+(Inputs!$G$5:$G$110="acoes"))*Inputs!$B$1+((Inputs!$G$5:$G$110&lt;&gt;"moeda")*(Inputs!$G$5:$G$110&lt;&gt;"acoes")))*INDEX(Inputs!$K$5:$AJ$110,0,MATCH(AI$2,Inputs!$K$4:$AJ$4,0)))+SUMPRODUCT((Inputs!$E$5:$E$110=$B5)*Inputs!$F$5:$F$110*(((Inputs!$G$5:$G$110="moeda")+(Inputs!$G$5:$G$110="acoes"))*Inputs!$B$1+((Inputs!$G$5:$G$110&lt;&gt;"moeda")*(Inputs!$G$5:$G$110&lt;&gt;"acoes")))*INDEX(Inputs!$K$5:$AJ$110,0,MATCH(AI$2,Inputs!$K$4:$AJ$4,0)))))</f>
        <v>-2505</v>
      </c>
      <c r="AJ5" s="6">
        <f>IF(ISNA(MATCH(AJ$2,Inputs!$K$4:$AJ$4,0)),NA(),IF(SUMPRODUCT((Inputs!$A$5:$A$110=$B5)*ISNUMBER(INDEX(Inputs!$K$5:$AJ$110,0,MATCH(AJ$2,Inputs!$K$4:$AJ$4,0))))+SUMPRODUCT((Inputs!$C$5:$C$110=$B5)*ISNUMBER(INDEX(Inputs!$K$5:$AJ$110,0,MATCH(AJ$2,Inputs!$K$4:$AJ$4,0))))+SUMPRODUCT((Inputs!$E$5:$E$110=$B5)*ISNUMBER(INDEX(Inputs!$K$5:$AJ$110,0,MATCH(AJ$2,Inputs!$K$4:$AJ$4,0))))=0,NA(),SUMPRODUCT((Inputs!$A$5:$A$110=$B5)*Inputs!$B$5:$B$110*(((Inputs!$G$5:$G$110="moeda")+(Inputs!$G$5:$G$110="acoes"))*Inputs!$B$1+((Inputs!$G$5:$G$110&lt;&gt;"moeda")*(Inputs!$G$5:$G$110&lt;&gt;"acoes")))*INDEX(Inputs!$K$5:$AJ$110,0,MATCH(AJ$2,Inputs!$K$4:$AJ$4,0)))+SUMPRODUCT((Inputs!$C$5:$C$110=$B5)*Inputs!$D$5:$D$110*(((Inputs!$G$5:$G$110="moeda")+(Inputs!$G$5:$G$110="acoes"))*Inputs!$B$1+((Inputs!$G$5:$G$110&lt;&gt;"moeda")*(Inputs!$G$5:$G$110&lt;&gt;"acoes")))*INDEX(Inputs!$K$5:$AJ$110,0,MATCH(AJ$2,Inputs!$K$4:$AJ$4,0)))+SUMPRODUCT((Inputs!$E$5:$E$110=$B5)*Inputs!$F$5:$F$110*(((Inputs!$G$5:$G$110="moeda")+(Inputs!$G$5:$G$110="acoes"))*Inputs!$B$1+((Inputs!$G$5:$G$110&lt;&gt;"moeda")*(Inputs!$G$5:$G$110&lt;&gt;"acoes")))*INDEX(Inputs!$K$5:$AJ$110,0,MATCH(AJ$2,Inputs!$K$4:$AJ$4,0)))))</f>
        <v>-2720</v>
      </c>
      <c r="AK5" s="6">
        <f>IF(ISNA(MATCH(AK$2,Inputs!$K$4:$AJ$4,0)),NA(),IF(SUMPRODUCT((Inputs!$A$5:$A$110=$B5)*ISNUMBER(INDEX(Inputs!$K$5:$AJ$110,0,MATCH(AK$2,Inputs!$K$4:$AJ$4,0))))+SUMPRODUCT((Inputs!$C$5:$C$110=$B5)*ISNUMBER(INDEX(Inputs!$K$5:$AJ$110,0,MATCH(AK$2,Inputs!$K$4:$AJ$4,0))))+SUMPRODUCT((Inputs!$E$5:$E$110=$B5)*ISNUMBER(INDEX(Inputs!$K$5:$AJ$110,0,MATCH(AK$2,Inputs!$K$4:$AJ$4,0))))=0,NA(),SUMPRODUCT((Inputs!$A$5:$A$110=$B5)*Inputs!$B$5:$B$110*(((Inputs!$G$5:$G$110="moeda")+(Inputs!$G$5:$G$110="acoes"))*Inputs!$B$1+((Inputs!$G$5:$G$110&lt;&gt;"moeda")*(Inputs!$G$5:$G$110&lt;&gt;"acoes")))*INDEX(Inputs!$K$5:$AJ$110,0,MATCH(AK$2,Inputs!$K$4:$AJ$4,0)))+SUMPRODUCT((Inputs!$C$5:$C$110=$B5)*Inputs!$D$5:$D$110*(((Inputs!$G$5:$G$110="moeda")+(Inputs!$G$5:$G$110="acoes"))*Inputs!$B$1+((Inputs!$G$5:$G$110&lt;&gt;"moeda")*(Inputs!$G$5:$G$110&lt;&gt;"acoes")))*INDEX(Inputs!$K$5:$AJ$110,0,MATCH(AK$2,Inputs!$K$4:$AJ$4,0)))+SUMPRODUCT((Inputs!$E$5:$E$110=$B5)*Inputs!$F$5:$F$110*(((Inputs!$G$5:$G$110="moeda")+(Inputs!$G$5:$G$110="acoes"))*Inputs!$B$1+((Inputs!$G$5:$G$110&lt;&gt;"moeda")*(Inputs!$G$5:$G$110&lt;&gt;"acoes")))*INDEX(Inputs!$K$5:$AJ$110,0,MATCH(AK$2,Inputs!$K$4:$AJ$4,0)))))</f>
        <v>-2703</v>
      </c>
      <c r="AL5" s="3">
        <f>SUM(AH5:AK5)</f>
        <v>-10481</v>
      </c>
    </row>
    <row r="6">
      <c r="B6" s="46" t="n">
        <v>3</v>
      </c>
      <c r="C6" s="24" t="inlineStr">
        <is>
          <t>SG&amp;A and Other (cash)</t>
        </is>
      </c>
      <c r="D6" s="6">
        <f>IF(ISNA(MATCH(D$2,Inputs!$K$4:$AJ$4,0)),NA(),IF(SUMPRODUCT((Inputs!$A$5:$A$110=$B6)*ISNUMBER(INDEX(Inputs!$K$5:$AJ$110,0,MATCH(D$2,Inputs!$K$4:$AJ$4,0))))+SUMPRODUCT((Inputs!$C$5:$C$110=$B6)*ISNUMBER(INDEX(Inputs!$K$5:$AJ$110,0,MATCH(D$2,Inputs!$K$4:$AJ$4,0))))+SUMPRODUCT((Inputs!$E$5:$E$110=$B6)*ISNUMBER(INDEX(Inputs!$K$5:$AJ$110,0,MATCH(D$2,Inputs!$K$4:$AJ$4,0))))=0,NA(),SUMPRODUCT((Inputs!$A$5:$A$110=$B6)*Inputs!$B$5:$B$110*(((Inputs!$G$5:$G$110="moeda")+(Inputs!$G$5:$G$110="acoes"))*Inputs!$B$1+((Inputs!$G$5:$G$110&lt;&gt;"moeda")*(Inputs!$G$5:$G$110&lt;&gt;"acoes")))*INDEX(Inputs!$K$5:$AJ$110,0,MATCH(D$2,Inputs!$K$4:$AJ$4,0)))+SUMPRODUCT((Inputs!$C$5:$C$110=$B6)*Inputs!$D$5:$D$110*(((Inputs!$G$5:$G$110="moeda")+(Inputs!$G$5:$G$110="acoes"))*Inputs!$B$1+((Inputs!$G$5:$G$110&lt;&gt;"moeda")*(Inputs!$G$5:$G$110&lt;&gt;"acoes")))*INDEX(Inputs!$K$5:$AJ$110,0,MATCH(D$2,Inputs!$K$4:$AJ$4,0)))+SUMPRODUCT((Inputs!$E$5:$E$110=$B6)*Inputs!$F$5:$F$110*(((Inputs!$G$5:$G$110="moeda")+(Inputs!$G$5:$G$110="acoes"))*Inputs!$B$1+((Inputs!$G$5:$G$110&lt;&gt;"moeda")*(Inputs!$G$5:$G$110&lt;&gt;"acoes")))*INDEX(Inputs!$K$5:$AJ$110,0,MATCH(D$2,Inputs!$K$4:$AJ$4,0)))))</f>
        <v>-578</v>
      </c>
      <c r="E6" s="6">
        <f>IF(ISNA(MATCH(E$2,Inputs!$K$4:$AJ$4,0)),NA(),IF(SUMPRODUCT((Inputs!$A$5:$A$110=$B6)*ISNUMBER(INDEX(Inputs!$K$5:$AJ$110,0,MATCH(E$2,Inputs!$K$4:$AJ$4,0))))+SUMPRODUCT((Inputs!$C$5:$C$110=$B6)*ISNUMBER(INDEX(Inputs!$K$5:$AJ$110,0,MATCH(E$2,Inputs!$K$4:$AJ$4,0))))+SUMPRODUCT((Inputs!$E$5:$E$110=$B6)*ISNUMBER(INDEX(Inputs!$K$5:$AJ$110,0,MATCH(E$2,Inputs!$K$4:$AJ$4,0))))=0,NA(),SUMPRODUCT((Inputs!$A$5:$A$110=$B6)*Inputs!$B$5:$B$110*(((Inputs!$G$5:$G$110="moeda")+(Inputs!$G$5:$G$110="acoes"))*Inputs!$B$1+((Inputs!$G$5:$G$110&lt;&gt;"moeda")*(Inputs!$G$5:$G$110&lt;&gt;"acoes")))*INDEX(Inputs!$K$5:$AJ$110,0,MATCH(E$2,Inputs!$K$4:$AJ$4,0)))+SUMPRODUCT((Inputs!$C$5:$C$110=$B6)*Inputs!$D$5:$D$110*(((Inputs!$G$5:$G$110="moeda")+(Inputs!$G$5:$G$110="acoes"))*Inputs!$B$1+((Inputs!$G$5:$G$110&lt;&gt;"moeda")*(Inputs!$G$5:$G$110&lt;&gt;"acoes")))*INDEX(Inputs!$K$5:$AJ$110,0,MATCH(E$2,Inputs!$K$4:$AJ$4,0)))+SUMPRODUCT((Inputs!$E$5:$E$110=$B6)*Inputs!$F$5:$F$110*(((Inputs!$G$5:$G$110="moeda")+(Inputs!$G$5:$G$110="acoes"))*Inputs!$B$1+((Inputs!$G$5:$G$110&lt;&gt;"moeda")*(Inputs!$G$5:$G$110&lt;&gt;"acoes")))*INDEX(Inputs!$K$5:$AJ$110,0,MATCH(E$2,Inputs!$K$4:$AJ$4,0)))))</f>
        <v>-568</v>
      </c>
      <c r="F6" s="6">
        <f>IF(ISNA(MATCH(F$2,Inputs!$K$4:$AJ$4,0)),NA(),IF(SUMPRODUCT((Inputs!$A$5:$A$110=$B6)*ISNUMBER(INDEX(Inputs!$K$5:$AJ$110,0,MATCH(F$2,Inputs!$K$4:$AJ$4,0))))+SUMPRODUCT((Inputs!$C$5:$C$110=$B6)*ISNUMBER(INDEX(Inputs!$K$5:$AJ$110,0,MATCH(F$2,Inputs!$K$4:$AJ$4,0))))+SUMPRODUCT((Inputs!$E$5:$E$110=$B6)*ISNUMBER(INDEX(Inputs!$K$5:$AJ$110,0,MATCH(F$2,Inputs!$K$4:$AJ$4,0))))=0,NA(),SUMPRODUCT((Inputs!$A$5:$A$110=$B6)*Inputs!$B$5:$B$110*(((Inputs!$G$5:$G$110="moeda")+(Inputs!$G$5:$G$110="acoes"))*Inputs!$B$1+((Inputs!$G$5:$G$110&lt;&gt;"moeda")*(Inputs!$G$5:$G$110&lt;&gt;"acoes")))*INDEX(Inputs!$K$5:$AJ$110,0,MATCH(F$2,Inputs!$K$4:$AJ$4,0)))+SUMPRODUCT((Inputs!$C$5:$C$110=$B6)*Inputs!$D$5:$D$110*(((Inputs!$G$5:$G$110="moeda")+(Inputs!$G$5:$G$110="acoes"))*Inputs!$B$1+((Inputs!$G$5:$G$110&lt;&gt;"moeda")*(Inputs!$G$5:$G$110&lt;&gt;"acoes")))*INDEX(Inputs!$K$5:$AJ$110,0,MATCH(F$2,Inputs!$K$4:$AJ$4,0)))+SUMPRODUCT((Inputs!$E$5:$E$110=$B6)*Inputs!$F$5:$F$110*(((Inputs!$G$5:$G$110="moeda")+(Inputs!$G$5:$G$110="acoes"))*Inputs!$B$1+((Inputs!$G$5:$G$110&lt;&gt;"moeda")*(Inputs!$G$5:$G$110&lt;&gt;"acoes")))*INDEX(Inputs!$K$5:$AJ$110,0,MATCH(F$2,Inputs!$K$4:$AJ$4,0)))))</f>
        <v>-556</v>
      </c>
      <c r="G6" s="6">
        <f>IF(ISNA(MATCH(G$2,Inputs!$K$4:$AJ$4,0)),NA(),IF(SUMPRODUCT((Inputs!$A$5:$A$110=$B6)*ISNUMBER(INDEX(Inputs!$K$5:$AJ$110,0,MATCH(G$2,Inputs!$K$4:$AJ$4,0))))+SUMPRODUCT((Inputs!$C$5:$C$110=$B6)*ISNUMBER(INDEX(Inputs!$K$5:$AJ$110,0,MATCH(G$2,Inputs!$K$4:$AJ$4,0))))+SUMPRODUCT((Inputs!$E$5:$E$110=$B6)*ISNUMBER(INDEX(Inputs!$K$5:$AJ$110,0,MATCH(G$2,Inputs!$K$4:$AJ$4,0))))=0,NA(),SUMPRODUCT((Inputs!$A$5:$A$110=$B6)*Inputs!$B$5:$B$110*(((Inputs!$G$5:$G$110="moeda")+(Inputs!$G$5:$G$110="acoes"))*Inputs!$B$1+((Inputs!$G$5:$G$110&lt;&gt;"moeda")*(Inputs!$G$5:$G$110&lt;&gt;"acoes")))*INDEX(Inputs!$K$5:$AJ$110,0,MATCH(G$2,Inputs!$K$4:$AJ$4,0)))+SUMPRODUCT((Inputs!$C$5:$C$110=$B6)*Inputs!$D$5:$D$110*(((Inputs!$G$5:$G$110="moeda")+(Inputs!$G$5:$G$110="acoes"))*Inputs!$B$1+((Inputs!$G$5:$G$110&lt;&gt;"moeda")*(Inputs!$G$5:$G$110&lt;&gt;"acoes")))*INDEX(Inputs!$K$5:$AJ$110,0,MATCH(G$2,Inputs!$K$4:$AJ$4,0)))+SUMPRODUCT((Inputs!$E$5:$E$110=$B6)*Inputs!$F$5:$F$110*(((Inputs!$G$5:$G$110="moeda")+(Inputs!$G$5:$G$110="acoes"))*Inputs!$B$1+((Inputs!$G$5:$G$110&lt;&gt;"moeda")*(Inputs!$G$5:$G$110&lt;&gt;"acoes")))*INDEX(Inputs!$K$5:$AJ$110,0,MATCH(G$2,Inputs!$K$4:$AJ$4,0)))))</f>
        <v>-654</v>
      </c>
      <c r="H6" s="3">
        <f>SUM(D6:G6)</f>
        <v>-2356</v>
      </c>
      <c r="I6" s="6">
        <f>IF(ISNA(MATCH(I$2,Inputs!$K$4:$AJ$4,0)),NA(),IF(SUMPRODUCT((Inputs!$A$5:$A$110=$B6)*ISNUMBER(INDEX(Inputs!$K$5:$AJ$110,0,MATCH(I$2,Inputs!$K$4:$AJ$4,0))))+SUMPRODUCT((Inputs!$C$5:$C$110=$B6)*ISNUMBER(INDEX(Inputs!$K$5:$AJ$110,0,MATCH(I$2,Inputs!$K$4:$AJ$4,0))))+SUMPRODUCT((Inputs!$E$5:$E$110=$B6)*ISNUMBER(INDEX(Inputs!$K$5:$AJ$110,0,MATCH(I$2,Inputs!$K$4:$AJ$4,0))))=0,NA(),SUMPRODUCT((Inputs!$A$5:$A$110=$B6)*Inputs!$B$5:$B$110*(((Inputs!$G$5:$G$110="moeda")+(Inputs!$G$5:$G$110="acoes"))*Inputs!$B$1+((Inputs!$G$5:$G$110&lt;&gt;"moeda")*(Inputs!$G$5:$G$110&lt;&gt;"acoes")))*INDEX(Inputs!$K$5:$AJ$110,0,MATCH(I$2,Inputs!$K$4:$AJ$4,0)))+SUMPRODUCT((Inputs!$C$5:$C$110=$B6)*Inputs!$D$5:$D$110*(((Inputs!$G$5:$G$110="moeda")+(Inputs!$G$5:$G$110="acoes"))*Inputs!$B$1+((Inputs!$G$5:$G$110&lt;&gt;"moeda")*(Inputs!$G$5:$G$110&lt;&gt;"acoes")))*INDEX(Inputs!$K$5:$AJ$110,0,MATCH(I$2,Inputs!$K$4:$AJ$4,0)))+SUMPRODUCT((Inputs!$E$5:$E$110=$B6)*Inputs!$F$5:$F$110*(((Inputs!$G$5:$G$110="moeda")+(Inputs!$G$5:$G$110="acoes"))*Inputs!$B$1+((Inputs!$G$5:$G$110&lt;&gt;"moeda")*(Inputs!$G$5:$G$110&lt;&gt;"acoes")))*INDEX(Inputs!$K$5:$AJ$110,0,MATCH(I$2,Inputs!$K$4:$AJ$4,0)))))</f>
        <v>-781</v>
      </c>
      <c r="J6" s="6">
        <f>IF(ISNA(MATCH(J$2,Inputs!$K$4:$AJ$4,0)),NA(),IF(SUMPRODUCT((Inputs!$A$5:$A$110=$B6)*ISNUMBER(INDEX(Inputs!$K$5:$AJ$110,0,MATCH(J$2,Inputs!$K$4:$AJ$4,0))))+SUMPRODUCT((Inputs!$C$5:$C$110=$B6)*ISNUMBER(INDEX(Inputs!$K$5:$AJ$110,0,MATCH(J$2,Inputs!$K$4:$AJ$4,0))))+SUMPRODUCT((Inputs!$E$5:$E$110=$B6)*ISNUMBER(INDEX(Inputs!$K$5:$AJ$110,0,MATCH(J$2,Inputs!$K$4:$AJ$4,0))))=0,NA(),SUMPRODUCT((Inputs!$A$5:$A$110=$B6)*Inputs!$B$5:$B$110*(((Inputs!$G$5:$G$110="moeda")+(Inputs!$G$5:$G$110="acoes"))*Inputs!$B$1+((Inputs!$G$5:$G$110&lt;&gt;"moeda")*(Inputs!$G$5:$G$110&lt;&gt;"acoes")))*INDEX(Inputs!$K$5:$AJ$110,0,MATCH(J$2,Inputs!$K$4:$AJ$4,0)))+SUMPRODUCT((Inputs!$C$5:$C$110=$B6)*Inputs!$D$5:$D$110*(((Inputs!$G$5:$G$110="moeda")+(Inputs!$G$5:$G$110="acoes"))*Inputs!$B$1+((Inputs!$G$5:$G$110&lt;&gt;"moeda")*(Inputs!$G$5:$G$110&lt;&gt;"acoes")))*INDEX(Inputs!$K$5:$AJ$110,0,MATCH(J$2,Inputs!$K$4:$AJ$4,0)))+SUMPRODUCT((Inputs!$E$5:$E$110=$B6)*Inputs!$F$5:$F$110*(((Inputs!$G$5:$G$110="moeda")+(Inputs!$G$5:$G$110="acoes"))*Inputs!$B$1+((Inputs!$G$5:$G$110&lt;&gt;"moeda")*(Inputs!$G$5:$G$110&lt;&gt;"acoes")))*INDEX(Inputs!$K$5:$AJ$110,0,MATCH(J$2,Inputs!$K$4:$AJ$4,0)))))</f>
        <v>-727</v>
      </c>
      <c r="K6" s="6">
        <f>IF(ISNA(MATCH(K$2,Inputs!$K$4:$AJ$4,0)),NA(),IF(SUMPRODUCT((Inputs!$A$5:$A$110=$B6)*ISNUMBER(INDEX(Inputs!$K$5:$AJ$110,0,MATCH(K$2,Inputs!$K$4:$AJ$4,0))))+SUMPRODUCT((Inputs!$C$5:$C$110=$B6)*ISNUMBER(INDEX(Inputs!$K$5:$AJ$110,0,MATCH(K$2,Inputs!$K$4:$AJ$4,0))))+SUMPRODUCT((Inputs!$E$5:$E$110=$B6)*ISNUMBER(INDEX(Inputs!$K$5:$AJ$110,0,MATCH(K$2,Inputs!$K$4:$AJ$4,0))))=0,NA(),SUMPRODUCT((Inputs!$A$5:$A$110=$B6)*Inputs!$B$5:$B$110*(((Inputs!$G$5:$G$110="moeda")+(Inputs!$G$5:$G$110="acoes"))*Inputs!$B$1+((Inputs!$G$5:$G$110&lt;&gt;"moeda")*(Inputs!$G$5:$G$110&lt;&gt;"acoes")))*INDEX(Inputs!$K$5:$AJ$110,0,MATCH(K$2,Inputs!$K$4:$AJ$4,0)))+SUMPRODUCT((Inputs!$C$5:$C$110=$B6)*Inputs!$D$5:$D$110*(((Inputs!$G$5:$G$110="moeda")+(Inputs!$G$5:$G$110="acoes"))*Inputs!$B$1+((Inputs!$G$5:$G$110&lt;&gt;"moeda")*(Inputs!$G$5:$G$110&lt;&gt;"acoes")))*INDEX(Inputs!$K$5:$AJ$110,0,MATCH(K$2,Inputs!$K$4:$AJ$4,0)))+SUMPRODUCT((Inputs!$E$5:$E$110=$B6)*Inputs!$F$5:$F$110*(((Inputs!$G$5:$G$110="moeda")+(Inputs!$G$5:$G$110="acoes"))*Inputs!$B$1+((Inputs!$G$5:$G$110&lt;&gt;"moeda")*(Inputs!$G$5:$G$110&lt;&gt;"acoes")))*INDEX(Inputs!$K$5:$AJ$110,0,MATCH(K$2,Inputs!$K$4:$AJ$4,0)))))</f>
        <v>-724</v>
      </c>
      <c r="L6" s="6">
        <f>IF(ISNA(MATCH(L$2,Inputs!$K$4:$AJ$4,0)),NA(),IF(SUMPRODUCT((Inputs!$A$5:$A$110=$B6)*ISNUMBER(INDEX(Inputs!$K$5:$AJ$110,0,MATCH(L$2,Inputs!$K$4:$AJ$4,0))))+SUMPRODUCT((Inputs!$C$5:$C$110=$B6)*ISNUMBER(INDEX(Inputs!$K$5:$AJ$110,0,MATCH(L$2,Inputs!$K$4:$AJ$4,0))))+SUMPRODUCT((Inputs!$E$5:$E$110=$B6)*ISNUMBER(INDEX(Inputs!$K$5:$AJ$110,0,MATCH(L$2,Inputs!$K$4:$AJ$4,0))))=0,NA(),SUMPRODUCT((Inputs!$A$5:$A$110=$B6)*Inputs!$B$5:$B$110*(((Inputs!$G$5:$G$110="moeda")+(Inputs!$G$5:$G$110="acoes"))*Inputs!$B$1+((Inputs!$G$5:$G$110&lt;&gt;"moeda")*(Inputs!$G$5:$G$110&lt;&gt;"acoes")))*INDEX(Inputs!$K$5:$AJ$110,0,MATCH(L$2,Inputs!$K$4:$AJ$4,0)))+SUMPRODUCT((Inputs!$C$5:$C$110=$B6)*Inputs!$D$5:$D$110*(((Inputs!$G$5:$G$110="moeda")+(Inputs!$G$5:$G$110="acoes"))*Inputs!$B$1+((Inputs!$G$5:$G$110&lt;&gt;"moeda")*(Inputs!$G$5:$G$110&lt;&gt;"acoes")))*INDEX(Inputs!$K$5:$AJ$110,0,MATCH(L$2,Inputs!$K$4:$AJ$4,0)))+SUMPRODUCT((Inputs!$E$5:$E$110=$B6)*Inputs!$F$5:$F$110*(((Inputs!$G$5:$G$110="moeda")+(Inputs!$G$5:$G$110="acoes"))*Inputs!$B$1+((Inputs!$G$5:$G$110&lt;&gt;"moeda")*(Inputs!$G$5:$G$110&lt;&gt;"acoes")))*INDEX(Inputs!$K$5:$AJ$110,0,MATCH(L$2,Inputs!$K$4:$AJ$4,0)))))</f>
        <v>-869</v>
      </c>
      <c r="M6" s="3">
        <f>SUM(I6:L6)</f>
        <v>-3101</v>
      </c>
      <c r="N6" s="6">
        <f>IF(ISNA(MATCH(N$2,Inputs!$K$4:$AJ$4,0)),NA(),IF(SUMPRODUCT((Inputs!$A$5:$A$110=$B6)*ISNUMBER(INDEX(Inputs!$K$5:$AJ$110,0,MATCH(N$2,Inputs!$K$4:$AJ$4,0))))+SUMPRODUCT((Inputs!$C$5:$C$110=$B6)*ISNUMBER(INDEX(Inputs!$K$5:$AJ$110,0,MATCH(N$2,Inputs!$K$4:$AJ$4,0))))+SUMPRODUCT((Inputs!$E$5:$E$110=$B6)*ISNUMBER(INDEX(Inputs!$K$5:$AJ$110,0,MATCH(N$2,Inputs!$K$4:$AJ$4,0))))=0,NA(),SUMPRODUCT((Inputs!$A$5:$A$110=$B6)*Inputs!$B$5:$B$110*(((Inputs!$G$5:$G$110="moeda")+(Inputs!$G$5:$G$110="acoes"))*Inputs!$B$1+((Inputs!$G$5:$G$110&lt;&gt;"moeda")*(Inputs!$G$5:$G$110&lt;&gt;"acoes")))*INDEX(Inputs!$K$5:$AJ$110,0,MATCH(N$2,Inputs!$K$4:$AJ$4,0)))+SUMPRODUCT((Inputs!$C$5:$C$110=$B6)*Inputs!$D$5:$D$110*(((Inputs!$G$5:$G$110="moeda")+(Inputs!$G$5:$G$110="acoes"))*Inputs!$B$1+((Inputs!$G$5:$G$110&lt;&gt;"moeda")*(Inputs!$G$5:$G$110&lt;&gt;"acoes")))*INDEX(Inputs!$K$5:$AJ$110,0,MATCH(N$2,Inputs!$K$4:$AJ$4,0)))+SUMPRODUCT((Inputs!$E$5:$E$110=$B6)*Inputs!$F$5:$F$110*(((Inputs!$G$5:$G$110="moeda")+(Inputs!$G$5:$G$110="acoes"))*Inputs!$B$1+((Inputs!$G$5:$G$110&lt;&gt;"moeda")*(Inputs!$G$5:$G$110&lt;&gt;"acoes")))*INDEX(Inputs!$K$5:$AJ$110,0,MATCH(N$2,Inputs!$K$4:$AJ$4,0)))))</f>
        <v>-1168</v>
      </c>
      <c r="O6" s="6">
        <f>IF(ISNA(MATCH(O$2,Inputs!$K$4:$AJ$4,0)),NA(),IF(SUMPRODUCT((Inputs!$A$5:$A$110=$B6)*ISNUMBER(INDEX(Inputs!$K$5:$AJ$110,0,MATCH(O$2,Inputs!$K$4:$AJ$4,0))))+SUMPRODUCT((Inputs!$C$5:$C$110=$B6)*ISNUMBER(INDEX(Inputs!$K$5:$AJ$110,0,MATCH(O$2,Inputs!$K$4:$AJ$4,0))))+SUMPRODUCT((Inputs!$E$5:$E$110=$B6)*ISNUMBER(INDEX(Inputs!$K$5:$AJ$110,0,MATCH(O$2,Inputs!$K$4:$AJ$4,0))))=0,NA(),SUMPRODUCT((Inputs!$A$5:$A$110=$B6)*Inputs!$B$5:$B$110*(((Inputs!$G$5:$G$110="moeda")+(Inputs!$G$5:$G$110="acoes"))*Inputs!$B$1+((Inputs!$G$5:$G$110&lt;&gt;"moeda")*(Inputs!$G$5:$G$110&lt;&gt;"acoes")))*INDEX(Inputs!$K$5:$AJ$110,0,MATCH(O$2,Inputs!$K$4:$AJ$4,0)))+SUMPRODUCT((Inputs!$C$5:$C$110=$B6)*Inputs!$D$5:$D$110*(((Inputs!$G$5:$G$110="moeda")+(Inputs!$G$5:$G$110="acoes"))*Inputs!$B$1+((Inputs!$G$5:$G$110&lt;&gt;"moeda")*(Inputs!$G$5:$G$110&lt;&gt;"acoes")))*INDEX(Inputs!$K$5:$AJ$110,0,MATCH(O$2,Inputs!$K$4:$AJ$4,0)))+SUMPRODUCT((Inputs!$E$5:$E$110=$B6)*Inputs!$F$5:$F$110*(((Inputs!$G$5:$G$110="moeda")+(Inputs!$G$5:$G$110="acoes"))*Inputs!$B$1+((Inputs!$G$5:$G$110&lt;&gt;"moeda")*(Inputs!$G$5:$G$110&lt;&gt;"acoes")))*INDEX(Inputs!$K$5:$AJ$110,0,MATCH(O$2,Inputs!$K$4:$AJ$4,0)))))</f>
        <v>-1376</v>
      </c>
      <c r="P6" s="6">
        <f>IF(ISNA(MATCH(P$2,Inputs!$K$4:$AJ$4,0)),NA(),IF(SUMPRODUCT((Inputs!$A$5:$A$110=$B6)*ISNUMBER(INDEX(Inputs!$K$5:$AJ$110,0,MATCH(P$2,Inputs!$K$4:$AJ$4,0))))+SUMPRODUCT((Inputs!$C$5:$C$110=$B6)*ISNUMBER(INDEX(Inputs!$K$5:$AJ$110,0,MATCH(P$2,Inputs!$K$4:$AJ$4,0))))+SUMPRODUCT((Inputs!$E$5:$E$110=$B6)*ISNUMBER(INDEX(Inputs!$K$5:$AJ$110,0,MATCH(P$2,Inputs!$K$4:$AJ$4,0))))=0,NA(),SUMPRODUCT((Inputs!$A$5:$A$110=$B6)*Inputs!$B$5:$B$110*(((Inputs!$G$5:$G$110="moeda")+(Inputs!$G$5:$G$110="acoes"))*Inputs!$B$1+((Inputs!$G$5:$G$110&lt;&gt;"moeda")*(Inputs!$G$5:$G$110&lt;&gt;"acoes")))*INDEX(Inputs!$K$5:$AJ$110,0,MATCH(P$2,Inputs!$K$4:$AJ$4,0)))+SUMPRODUCT((Inputs!$C$5:$C$110=$B6)*Inputs!$D$5:$D$110*(((Inputs!$G$5:$G$110="moeda")+(Inputs!$G$5:$G$110="acoes"))*Inputs!$B$1+((Inputs!$G$5:$G$110&lt;&gt;"moeda")*(Inputs!$G$5:$G$110&lt;&gt;"acoes")))*INDEX(Inputs!$K$5:$AJ$110,0,MATCH(P$2,Inputs!$K$4:$AJ$4,0)))+SUMPRODUCT((Inputs!$E$5:$E$110=$B6)*Inputs!$F$5:$F$110*(((Inputs!$G$5:$G$110="moeda")+(Inputs!$G$5:$G$110="acoes"))*Inputs!$B$1+((Inputs!$G$5:$G$110&lt;&gt;"moeda")*(Inputs!$G$5:$G$110&lt;&gt;"acoes")))*INDEX(Inputs!$K$5:$AJ$110,0,MATCH(P$2,Inputs!$K$4:$AJ$4,0)))))</f>
        <v>-1235</v>
      </c>
      <c r="Q6" s="6">
        <f>IF(ISNA(MATCH(Q$2,Inputs!$K$4:$AJ$4,0)),NA(),IF(SUMPRODUCT((Inputs!$A$5:$A$110=$B6)*ISNUMBER(INDEX(Inputs!$K$5:$AJ$110,0,MATCH(Q$2,Inputs!$K$4:$AJ$4,0))))+SUMPRODUCT((Inputs!$C$5:$C$110=$B6)*ISNUMBER(INDEX(Inputs!$K$5:$AJ$110,0,MATCH(Q$2,Inputs!$K$4:$AJ$4,0))))+SUMPRODUCT((Inputs!$E$5:$E$110=$B6)*ISNUMBER(INDEX(Inputs!$K$5:$AJ$110,0,MATCH(Q$2,Inputs!$K$4:$AJ$4,0))))=0,NA(),SUMPRODUCT((Inputs!$A$5:$A$110=$B6)*Inputs!$B$5:$B$110*(((Inputs!$G$5:$G$110="moeda")+(Inputs!$G$5:$G$110="acoes"))*Inputs!$B$1+((Inputs!$G$5:$G$110&lt;&gt;"moeda")*(Inputs!$G$5:$G$110&lt;&gt;"acoes")))*INDEX(Inputs!$K$5:$AJ$110,0,MATCH(Q$2,Inputs!$K$4:$AJ$4,0)))+SUMPRODUCT((Inputs!$C$5:$C$110=$B6)*Inputs!$D$5:$D$110*(((Inputs!$G$5:$G$110="moeda")+(Inputs!$G$5:$G$110="acoes"))*Inputs!$B$1+((Inputs!$G$5:$G$110&lt;&gt;"moeda")*(Inputs!$G$5:$G$110&lt;&gt;"acoes")))*INDEX(Inputs!$K$5:$AJ$110,0,MATCH(Q$2,Inputs!$K$4:$AJ$4,0)))+SUMPRODUCT((Inputs!$E$5:$E$110=$B6)*Inputs!$F$5:$F$110*(((Inputs!$G$5:$G$110="moeda")+(Inputs!$G$5:$G$110="acoes"))*Inputs!$B$1+((Inputs!$G$5:$G$110&lt;&gt;"moeda")*(Inputs!$G$5:$G$110&lt;&gt;"acoes")))*INDEX(Inputs!$K$5:$AJ$110,0,MATCH(Q$2,Inputs!$K$4:$AJ$4,0)))))</f>
        <v>-2947</v>
      </c>
      <c r="R6" s="3">
        <f>SUM(N6:Q6)</f>
        <v>-6726</v>
      </c>
      <c r="S6" s="6">
        <f>IF(ISNA(MATCH(S$2,Inputs!$K$4:$AJ$4,0)),NA(),IF(SUMPRODUCT((Inputs!$A$5:$A$110=$B6)*ISNUMBER(INDEX(Inputs!$K$5:$AJ$110,0,MATCH(S$2,Inputs!$K$4:$AJ$4,0))))+SUMPRODUCT((Inputs!$C$5:$C$110=$B6)*ISNUMBER(INDEX(Inputs!$K$5:$AJ$110,0,MATCH(S$2,Inputs!$K$4:$AJ$4,0))))+SUMPRODUCT((Inputs!$E$5:$E$110=$B6)*ISNUMBER(INDEX(Inputs!$K$5:$AJ$110,0,MATCH(S$2,Inputs!$K$4:$AJ$4,0))))=0,NA(),SUMPRODUCT((Inputs!$A$5:$A$110=$B6)*Inputs!$B$5:$B$110*(((Inputs!$G$5:$G$110="moeda")+(Inputs!$G$5:$G$110="acoes"))*Inputs!$B$1+((Inputs!$G$5:$G$110&lt;&gt;"moeda")*(Inputs!$G$5:$G$110&lt;&gt;"acoes")))*INDEX(Inputs!$K$5:$AJ$110,0,MATCH(S$2,Inputs!$K$4:$AJ$4,0)))+SUMPRODUCT((Inputs!$C$5:$C$110=$B6)*Inputs!$D$5:$D$110*(((Inputs!$G$5:$G$110="moeda")+(Inputs!$G$5:$G$110="acoes"))*Inputs!$B$1+((Inputs!$G$5:$G$110&lt;&gt;"moeda")*(Inputs!$G$5:$G$110&lt;&gt;"acoes")))*INDEX(Inputs!$K$5:$AJ$110,0,MATCH(S$2,Inputs!$K$4:$AJ$4,0)))+SUMPRODUCT((Inputs!$E$5:$E$110=$B6)*Inputs!$F$5:$F$110*(((Inputs!$G$5:$G$110="moeda")+(Inputs!$G$5:$G$110="acoes"))*Inputs!$B$1+((Inputs!$G$5:$G$110&lt;&gt;"moeda")*(Inputs!$G$5:$G$110&lt;&gt;"acoes")))*INDEX(Inputs!$K$5:$AJ$110,0,MATCH(S$2,Inputs!$K$4:$AJ$4,0)))))</f>
        <v>-2281</v>
      </c>
      <c r="T6" s="6">
        <f>IF(ISNA(MATCH(T$2,Inputs!$K$4:$AJ$4,0)),NA(),IF(SUMPRODUCT((Inputs!$A$5:$A$110=$B6)*ISNUMBER(INDEX(Inputs!$K$5:$AJ$110,0,MATCH(T$2,Inputs!$K$4:$AJ$4,0))))+SUMPRODUCT((Inputs!$C$5:$C$110=$B6)*ISNUMBER(INDEX(Inputs!$K$5:$AJ$110,0,MATCH(T$2,Inputs!$K$4:$AJ$4,0))))+SUMPRODUCT((Inputs!$E$5:$E$110=$B6)*ISNUMBER(INDEX(Inputs!$K$5:$AJ$110,0,MATCH(T$2,Inputs!$K$4:$AJ$4,0))))=0,NA(),SUMPRODUCT((Inputs!$A$5:$A$110=$B6)*Inputs!$B$5:$B$110*(((Inputs!$G$5:$G$110="moeda")+(Inputs!$G$5:$G$110="acoes"))*Inputs!$B$1+((Inputs!$G$5:$G$110&lt;&gt;"moeda")*(Inputs!$G$5:$G$110&lt;&gt;"acoes")))*INDEX(Inputs!$K$5:$AJ$110,0,MATCH(T$2,Inputs!$K$4:$AJ$4,0)))+SUMPRODUCT((Inputs!$C$5:$C$110=$B6)*Inputs!$D$5:$D$110*(((Inputs!$G$5:$G$110="moeda")+(Inputs!$G$5:$G$110="acoes"))*Inputs!$B$1+((Inputs!$G$5:$G$110&lt;&gt;"moeda")*(Inputs!$G$5:$G$110&lt;&gt;"acoes")))*INDEX(Inputs!$K$5:$AJ$110,0,MATCH(T$2,Inputs!$K$4:$AJ$4,0)))+SUMPRODUCT((Inputs!$E$5:$E$110=$B6)*Inputs!$F$5:$F$110*(((Inputs!$G$5:$G$110="moeda")+(Inputs!$G$5:$G$110="acoes"))*Inputs!$B$1+((Inputs!$G$5:$G$110&lt;&gt;"moeda")*(Inputs!$G$5:$G$110&lt;&gt;"acoes")))*INDEX(Inputs!$K$5:$AJ$110,0,MATCH(T$2,Inputs!$K$4:$AJ$4,0)))))</f>
        <v>-2044</v>
      </c>
      <c r="U6" s="6">
        <f>IF(ISNA(MATCH(U$2,Inputs!$K$4:$AJ$4,0)),NA(),IF(SUMPRODUCT((Inputs!$A$5:$A$110=$B6)*ISNUMBER(INDEX(Inputs!$K$5:$AJ$110,0,MATCH(U$2,Inputs!$K$4:$AJ$4,0))))+SUMPRODUCT((Inputs!$C$5:$C$110=$B6)*ISNUMBER(INDEX(Inputs!$K$5:$AJ$110,0,MATCH(U$2,Inputs!$K$4:$AJ$4,0))))+SUMPRODUCT((Inputs!$E$5:$E$110=$B6)*ISNUMBER(INDEX(Inputs!$K$5:$AJ$110,0,MATCH(U$2,Inputs!$K$4:$AJ$4,0))))=0,NA(),SUMPRODUCT((Inputs!$A$5:$A$110=$B6)*Inputs!$B$5:$B$110*(((Inputs!$G$5:$G$110="moeda")+(Inputs!$G$5:$G$110="acoes"))*Inputs!$B$1+((Inputs!$G$5:$G$110&lt;&gt;"moeda")*(Inputs!$G$5:$G$110&lt;&gt;"acoes")))*INDEX(Inputs!$K$5:$AJ$110,0,MATCH(U$2,Inputs!$K$4:$AJ$4,0)))+SUMPRODUCT((Inputs!$C$5:$C$110=$B6)*Inputs!$D$5:$D$110*(((Inputs!$G$5:$G$110="moeda")+(Inputs!$G$5:$G$110="acoes"))*Inputs!$B$1+((Inputs!$G$5:$G$110&lt;&gt;"moeda")*(Inputs!$G$5:$G$110&lt;&gt;"acoes")))*INDEX(Inputs!$K$5:$AJ$110,0,MATCH(U$2,Inputs!$K$4:$AJ$4,0)))+SUMPRODUCT((Inputs!$E$5:$E$110=$B6)*Inputs!$F$5:$F$110*(((Inputs!$G$5:$G$110="moeda")+(Inputs!$G$5:$G$110="acoes"))*Inputs!$B$1+((Inputs!$G$5:$G$110&lt;&gt;"moeda")*(Inputs!$G$5:$G$110&lt;&gt;"acoes")))*INDEX(Inputs!$K$5:$AJ$110,0,MATCH(U$2,Inputs!$K$4:$AJ$4,0)))))</f>
        <v>-1764</v>
      </c>
      <c r="V6" s="6">
        <f>IF(ISNA(MATCH(V$2,Inputs!$K$4:$AJ$4,0)),NA(),IF(SUMPRODUCT((Inputs!$A$5:$A$110=$B6)*ISNUMBER(INDEX(Inputs!$K$5:$AJ$110,0,MATCH(V$2,Inputs!$K$4:$AJ$4,0))))+SUMPRODUCT((Inputs!$C$5:$C$110=$B6)*ISNUMBER(INDEX(Inputs!$K$5:$AJ$110,0,MATCH(V$2,Inputs!$K$4:$AJ$4,0))))+SUMPRODUCT((Inputs!$E$5:$E$110=$B6)*ISNUMBER(INDEX(Inputs!$K$5:$AJ$110,0,MATCH(V$2,Inputs!$K$4:$AJ$4,0))))=0,NA(),SUMPRODUCT((Inputs!$A$5:$A$110=$B6)*Inputs!$B$5:$B$110*(((Inputs!$G$5:$G$110="moeda")+(Inputs!$G$5:$G$110="acoes"))*Inputs!$B$1+((Inputs!$G$5:$G$110&lt;&gt;"moeda")*(Inputs!$G$5:$G$110&lt;&gt;"acoes")))*INDEX(Inputs!$K$5:$AJ$110,0,MATCH(V$2,Inputs!$K$4:$AJ$4,0)))+SUMPRODUCT((Inputs!$C$5:$C$110=$B6)*Inputs!$D$5:$D$110*(((Inputs!$G$5:$G$110="moeda")+(Inputs!$G$5:$G$110="acoes"))*Inputs!$B$1+((Inputs!$G$5:$G$110&lt;&gt;"moeda")*(Inputs!$G$5:$G$110&lt;&gt;"acoes")))*INDEX(Inputs!$K$5:$AJ$110,0,MATCH(V$2,Inputs!$K$4:$AJ$4,0)))+SUMPRODUCT((Inputs!$E$5:$E$110=$B6)*Inputs!$F$5:$F$110*(((Inputs!$G$5:$G$110="moeda")+(Inputs!$G$5:$G$110="acoes"))*Inputs!$B$1+((Inputs!$G$5:$G$110&lt;&gt;"moeda")*(Inputs!$G$5:$G$110&lt;&gt;"acoes")))*INDEX(Inputs!$K$5:$AJ$110,0,MATCH(V$2,Inputs!$K$4:$AJ$4,0)))))</f>
        <v>-1711</v>
      </c>
      <c r="W6" s="3">
        <f>SUM(S6:V6)</f>
        <v>-7800</v>
      </c>
      <c r="X6" s="6">
        <f>IF(ISNA(MATCH(X$2,Inputs!$K$4:$AJ$4,0)),NA(),IF(SUMPRODUCT((Inputs!$A$5:$A$110=$B6)*ISNUMBER(INDEX(Inputs!$K$5:$AJ$110,0,MATCH(X$2,Inputs!$K$4:$AJ$4,0))))+SUMPRODUCT((Inputs!$C$5:$C$110=$B6)*ISNUMBER(INDEX(Inputs!$K$5:$AJ$110,0,MATCH(X$2,Inputs!$K$4:$AJ$4,0))))+SUMPRODUCT((Inputs!$E$5:$E$110=$B6)*ISNUMBER(INDEX(Inputs!$K$5:$AJ$110,0,MATCH(X$2,Inputs!$K$4:$AJ$4,0))))=0,NA(),SUMPRODUCT((Inputs!$A$5:$A$110=$B6)*Inputs!$B$5:$B$110*(((Inputs!$G$5:$G$110="moeda")+(Inputs!$G$5:$G$110="acoes"))*Inputs!$B$1+((Inputs!$G$5:$G$110&lt;&gt;"moeda")*(Inputs!$G$5:$G$110&lt;&gt;"acoes")))*INDEX(Inputs!$K$5:$AJ$110,0,MATCH(X$2,Inputs!$K$4:$AJ$4,0)))+SUMPRODUCT((Inputs!$C$5:$C$110=$B6)*Inputs!$D$5:$D$110*(((Inputs!$G$5:$G$110="moeda")+(Inputs!$G$5:$G$110="acoes"))*Inputs!$B$1+((Inputs!$G$5:$G$110&lt;&gt;"moeda")*(Inputs!$G$5:$G$110&lt;&gt;"acoes")))*INDEX(Inputs!$K$5:$AJ$110,0,MATCH(X$2,Inputs!$K$4:$AJ$4,0)))+SUMPRODUCT((Inputs!$E$5:$E$110=$B6)*Inputs!$F$5:$F$110*(((Inputs!$G$5:$G$110="moeda")+(Inputs!$G$5:$G$110="acoes"))*Inputs!$B$1+((Inputs!$G$5:$G$110&lt;&gt;"moeda")*(Inputs!$G$5:$G$110&lt;&gt;"acoes")))*INDEX(Inputs!$K$5:$AJ$110,0,MATCH(X$2,Inputs!$K$4:$AJ$4,0)))))</f>
        <v>-2237</v>
      </c>
      <c r="Y6" s="6">
        <f>IF(ISNA(MATCH(Y$2,Inputs!$K$4:$AJ$4,0)),NA(),IF(SUMPRODUCT((Inputs!$A$5:$A$110=$B6)*ISNUMBER(INDEX(Inputs!$K$5:$AJ$110,0,MATCH(Y$2,Inputs!$K$4:$AJ$4,0))))+SUMPRODUCT((Inputs!$C$5:$C$110=$B6)*ISNUMBER(INDEX(Inputs!$K$5:$AJ$110,0,MATCH(Y$2,Inputs!$K$4:$AJ$4,0))))+SUMPRODUCT((Inputs!$E$5:$E$110=$B6)*ISNUMBER(INDEX(Inputs!$K$5:$AJ$110,0,MATCH(Y$2,Inputs!$K$4:$AJ$4,0))))=0,NA(),SUMPRODUCT((Inputs!$A$5:$A$110=$B6)*Inputs!$B$5:$B$110*(((Inputs!$G$5:$G$110="moeda")+(Inputs!$G$5:$G$110="acoes"))*Inputs!$B$1+((Inputs!$G$5:$G$110&lt;&gt;"moeda")*(Inputs!$G$5:$G$110&lt;&gt;"acoes")))*INDEX(Inputs!$K$5:$AJ$110,0,MATCH(Y$2,Inputs!$K$4:$AJ$4,0)))+SUMPRODUCT((Inputs!$C$5:$C$110=$B6)*Inputs!$D$5:$D$110*(((Inputs!$G$5:$G$110="moeda")+(Inputs!$G$5:$G$110="acoes"))*Inputs!$B$1+((Inputs!$G$5:$G$110&lt;&gt;"moeda")*(Inputs!$G$5:$G$110&lt;&gt;"acoes")))*INDEX(Inputs!$K$5:$AJ$110,0,MATCH(Y$2,Inputs!$K$4:$AJ$4,0)))+SUMPRODUCT((Inputs!$E$5:$E$110=$B6)*Inputs!$F$5:$F$110*(((Inputs!$G$5:$G$110="moeda")+(Inputs!$G$5:$G$110="acoes"))*Inputs!$B$1+((Inputs!$G$5:$G$110&lt;&gt;"moeda")*(Inputs!$G$5:$G$110&lt;&gt;"acoes")))*INDEX(Inputs!$K$5:$AJ$110,0,MATCH(Y$2,Inputs!$K$4:$AJ$4,0)))))</f>
        <v>-2648</v>
      </c>
      <c r="Z6" s="6">
        <f>IF(ISNA(MATCH(Z$2,Inputs!$K$4:$AJ$4,0)),NA(),IF(SUMPRODUCT((Inputs!$A$5:$A$110=$B6)*ISNUMBER(INDEX(Inputs!$K$5:$AJ$110,0,MATCH(Z$2,Inputs!$K$4:$AJ$4,0))))+SUMPRODUCT((Inputs!$C$5:$C$110=$B6)*ISNUMBER(INDEX(Inputs!$K$5:$AJ$110,0,MATCH(Z$2,Inputs!$K$4:$AJ$4,0))))+SUMPRODUCT((Inputs!$E$5:$E$110=$B6)*ISNUMBER(INDEX(Inputs!$K$5:$AJ$110,0,MATCH(Z$2,Inputs!$K$4:$AJ$4,0))))=0,NA(),SUMPRODUCT((Inputs!$A$5:$A$110=$B6)*Inputs!$B$5:$B$110*(((Inputs!$G$5:$G$110="moeda")+(Inputs!$G$5:$G$110="acoes"))*Inputs!$B$1+((Inputs!$G$5:$G$110&lt;&gt;"moeda")*(Inputs!$G$5:$G$110&lt;&gt;"acoes")))*INDEX(Inputs!$K$5:$AJ$110,0,MATCH(Z$2,Inputs!$K$4:$AJ$4,0)))+SUMPRODUCT((Inputs!$C$5:$C$110=$B6)*Inputs!$D$5:$D$110*(((Inputs!$G$5:$G$110="moeda")+(Inputs!$G$5:$G$110="acoes"))*Inputs!$B$1+((Inputs!$G$5:$G$110&lt;&gt;"moeda")*(Inputs!$G$5:$G$110&lt;&gt;"acoes")))*INDEX(Inputs!$K$5:$AJ$110,0,MATCH(Z$2,Inputs!$K$4:$AJ$4,0)))+SUMPRODUCT((Inputs!$E$5:$E$110=$B6)*Inputs!$F$5:$F$110*(((Inputs!$G$5:$G$110="moeda")+(Inputs!$G$5:$G$110="acoes"))*Inputs!$B$1+((Inputs!$G$5:$G$110&lt;&gt;"moeda")*(Inputs!$G$5:$G$110&lt;&gt;"acoes")))*INDEX(Inputs!$K$5:$AJ$110,0,MATCH(Z$2,Inputs!$K$4:$AJ$4,0)))))</f>
        <v>-2508</v>
      </c>
      <c r="AA6" s="6">
        <f>IF(ISNA(MATCH(AA$2,Inputs!$K$4:$AJ$4,0)),NA(),IF(SUMPRODUCT((Inputs!$A$5:$A$110=$B6)*ISNUMBER(INDEX(Inputs!$K$5:$AJ$110,0,MATCH(AA$2,Inputs!$K$4:$AJ$4,0))))+SUMPRODUCT((Inputs!$C$5:$C$110=$B6)*ISNUMBER(INDEX(Inputs!$K$5:$AJ$110,0,MATCH(AA$2,Inputs!$K$4:$AJ$4,0))))+SUMPRODUCT((Inputs!$E$5:$E$110=$B6)*ISNUMBER(INDEX(Inputs!$K$5:$AJ$110,0,MATCH(AA$2,Inputs!$K$4:$AJ$4,0))))=0,NA(),SUMPRODUCT((Inputs!$A$5:$A$110=$B6)*Inputs!$B$5:$B$110*(((Inputs!$G$5:$G$110="moeda")+(Inputs!$G$5:$G$110="acoes"))*Inputs!$B$1+((Inputs!$G$5:$G$110&lt;&gt;"moeda")*(Inputs!$G$5:$G$110&lt;&gt;"acoes")))*INDEX(Inputs!$K$5:$AJ$110,0,MATCH(AA$2,Inputs!$K$4:$AJ$4,0)))+SUMPRODUCT((Inputs!$C$5:$C$110=$B6)*Inputs!$D$5:$D$110*(((Inputs!$G$5:$G$110="moeda")+(Inputs!$G$5:$G$110="acoes"))*Inputs!$B$1+((Inputs!$G$5:$G$110&lt;&gt;"moeda")*(Inputs!$G$5:$G$110&lt;&gt;"acoes")))*INDEX(Inputs!$K$5:$AJ$110,0,MATCH(AA$2,Inputs!$K$4:$AJ$4,0)))+SUMPRODUCT((Inputs!$E$5:$E$110=$B6)*Inputs!$F$5:$F$110*(((Inputs!$G$5:$G$110="moeda")+(Inputs!$G$5:$G$110="acoes"))*Inputs!$B$1+((Inputs!$G$5:$G$110&lt;&gt;"moeda")*(Inputs!$G$5:$G$110&lt;&gt;"acoes")))*INDEX(Inputs!$K$5:$AJ$110,0,MATCH(AA$2,Inputs!$K$4:$AJ$4,0)))))</f>
        <v>-2441</v>
      </c>
      <c r="AB6" s="3">
        <f>SUM(X6:AA6)</f>
        <v>-9834</v>
      </c>
      <c r="AC6" s="6">
        <f>IF(ISNA(MATCH(AC$2,Inputs!$K$4:$AJ$4,0)),NA(),IF(SUMPRODUCT((Inputs!$A$5:$A$110=$B6)*ISNUMBER(INDEX(Inputs!$K$5:$AJ$110,0,MATCH(AC$2,Inputs!$K$4:$AJ$4,0))))+SUMPRODUCT((Inputs!$C$5:$C$110=$B6)*ISNUMBER(INDEX(Inputs!$K$5:$AJ$110,0,MATCH(AC$2,Inputs!$K$4:$AJ$4,0))))+SUMPRODUCT((Inputs!$E$5:$E$110=$B6)*ISNUMBER(INDEX(Inputs!$K$5:$AJ$110,0,MATCH(AC$2,Inputs!$K$4:$AJ$4,0))))=0,NA(),SUMPRODUCT((Inputs!$A$5:$A$110=$B6)*Inputs!$B$5:$B$110*(((Inputs!$G$5:$G$110="moeda")+(Inputs!$G$5:$G$110="acoes"))*Inputs!$B$1+((Inputs!$G$5:$G$110&lt;&gt;"moeda")*(Inputs!$G$5:$G$110&lt;&gt;"acoes")))*INDEX(Inputs!$K$5:$AJ$110,0,MATCH(AC$2,Inputs!$K$4:$AJ$4,0)))+SUMPRODUCT((Inputs!$C$5:$C$110=$B6)*Inputs!$D$5:$D$110*(((Inputs!$G$5:$G$110="moeda")+(Inputs!$G$5:$G$110="acoes"))*Inputs!$B$1+((Inputs!$G$5:$G$110&lt;&gt;"moeda")*(Inputs!$G$5:$G$110&lt;&gt;"acoes")))*INDEX(Inputs!$K$5:$AJ$110,0,MATCH(AC$2,Inputs!$K$4:$AJ$4,0)))+SUMPRODUCT((Inputs!$E$5:$E$110=$B6)*Inputs!$F$5:$F$110*(((Inputs!$G$5:$G$110="moeda")+(Inputs!$G$5:$G$110="acoes"))*Inputs!$B$1+((Inputs!$G$5:$G$110&lt;&gt;"moeda")*(Inputs!$G$5:$G$110&lt;&gt;"acoes")))*INDEX(Inputs!$K$5:$AJ$110,0,MATCH(AC$2,Inputs!$K$4:$AJ$4,0)))))</f>
        <v>-2497</v>
      </c>
      <c r="AD6" s="6">
        <f>IF(ISNA(MATCH(AD$2,Inputs!$K$4:$AJ$4,0)),NA(),IF(SUMPRODUCT((Inputs!$A$5:$A$110=$B6)*ISNUMBER(INDEX(Inputs!$K$5:$AJ$110,0,MATCH(AD$2,Inputs!$K$4:$AJ$4,0))))+SUMPRODUCT((Inputs!$C$5:$C$110=$B6)*ISNUMBER(INDEX(Inputs!$K$5:$AJ$110,0,MATCH(AD$2,Inputs!$K$4:$AJ$4,0))))+SUMPRODUCT((Inputs!$E$5:$E$110=$B6)*ISNUMBER(INDEX(Inputs!$K$5:$AJ$110,0,MATCH(AD$2,Inputs!$K$4:$AJ$4,0))))=0,NA(),SUMPRODUCT((Inputs!$A$5:$A$110=$B6)*Inputs!$B$5:$B$110*(((Inputs!$G$5:$G$110="moeda")+(Inputs!$G$5:$G$110="acoes"))*Inputs!$B$1+((Inputs!$G$5:$G$110&lt;&gt;"moeda")*(Inputs!$G$5:$G$110&lt;&gt;"acoes")))*INDEX(Inputs!$K$5:$AJ$110,0,MATCH(AD$2,Inputs!$K$4:$AJ$4,0)))+SUMPRODUCT((Inputs!$C$5:$C$110=$B6)*Inputs!$D$5:$D$110*(((Inputs!$G$5:$G$110="moeda")+(Inputs!$G$5:$G$110="acoes"))*Inputs!$B$1+((Inputs!$G$5:$G$110&lt;&gt;"moeda")*(Inputs!$G$5:$G$110&lt;&gt;"acoes")))*INDEX(Inputs!$K$5:$AJ$110,0,MATCH(AD$2,Inputs!$K$4:$AJ$4,0)))+SUMPRODUCT((Inputs!$E$5:$E$110=$B6)*Inputs!$F$5:$F$110*(((Inputs!$G$5:$G$110="moeda")+(Inputs!$G$5:$G$110="acoes"))*Inputs!$B$1+((Inputs!$G$5:$G$110&lt;&gt;"moeda")*(Inputs!$G$5:$G$110&lt;&gt;"acoes")))*INDEX(Inputs!$K$5:$AJ$110,0,MATCH(AD$2,Inputs!$K$4:$AJ$4,0)))))</f>
        <v>-2324</v>
      </c>
      <c r="AE6" s="6" t="e">
        <f>IF(ISNA(MATCH(AE$2,Inputs!$K$4:$AJ$4,0)),NA(),IF(SUMPRODUCT((Inputs!$A$5:$A$110=$B6)*ISNUMBER(INDEX(Inputs!$K$5:$AJ$110,0,MATCH(AE$2,Inputs!$K$4:$AJ$4,0))))+SUMPRODUCT((Inputs!$C$5:$C$110=$B6)*ISNUMBER(INDEX(Inputs!$K$5:$AJ$110,0,MATCH(AE$2,Inputs!$K$4:$AJ$4,0))))+SUMPRODUCT((Inputs!$E$5:$E$110=$B6)*ISNUMBER(INDEX(Inputs!$K$5:$AJ$110,0,MATCH(AE$2,Inputs!$K$4:$AJ$4,0))))=0,NA(),SUMPRODUCT((Inputs!$A$5:$A$110=$B6)*Inputs!$B$5:$B$110*(((Inputs!$G$5:$G$110="moeda")+(Inputs!$G$5:$G$110="acoes"))*Inputs!$B$1+((Inputs!$G$5:$G$110&lt;&gt;"moeda")*(Inputs!$G$5:$G$110&lt;&gt;"acoes")))*INDEX(Inputs!$K$5:$AJ$110,0,MATCH(AE$2,Inputs!$K$4:$AJ$4,0)))+SUMPRODUCT((Inputs!$C$5:$C$110=$B6)*Inputs!$D$5:$D$110*(((Inputs!$G$5:$G$110="moeda")+(Inputs!$G$5:$G$110="acoes"))*Inputs!$B$1+((Inputs!$G$5:$G$110&lt;&gt;"moeda")*(Inputs!$G$5:$G$110&lt;&gt;"acoes")))*INDEX(Inputs!$K$5:$AJ$110,0,MATCH(AE$2,Inputs!$K$4:$AJ$4,0)))+SUMPRODUCT((Inputs!$E$5:$E$110=$B6)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6" s="6" t="e">
        <f>IF(ISNA(MATCH(AF$2,Inputs!$K$4:$AJ$4,0)),NA(),IF(SUMPRODUCT((Inputs!$A$5:$A$110=$B6)*ISNUMBER(INDEX(Inputs!$K$5:$AJ$110,0,MATCH(AF$2,Inputs!$K$4:$AJ$4,0))))+SUMPRODUCT((Inputs!$C$5:$C$110=$B6)*ISNUMBER(INDEX(Inputs!$K$5:$AJ$110,0,MATCH(AF$2,Inputs!$K$4:$AJ$4,0))))+SUMPRODUCT((Inputs!$E$5:$E$110=$B6)*ISNUMBER(INDEX(Inputs!$K$5:$AJ$110,0,MATCH(AF$2,Inputs!$K$4:$AJ$4,0))))=0,NA(),SUMPRODUCT((Inputs!$A$5:$A$110=$B6)*Inputs!$B$5:$B$110*(((Inputs!$G$5:$G$110="moeda")+(Inputs!$G$5:$G$110="acoes"))*Inputs!$B$1+((Inputs!$G$5:$G$110&lt;&gt;"moeda")*(Inputs!$G$5:$G$110&lt;&gt;"acoes")))*INDEX(Inputs!$K$5:$AJ$110,0,MATCH(AF$2,Inputs!$K$4:$AJ$4,0)))+SUMPRODUCT((Inputs!$C$5:$C$110=$B6)*Inputs!$D$5:$D$110*(((Inputs!$G$5:$G$110="moeda")+(Inputs!$G$5:$G$110="acoes"))*Inputs!$B$1+((Inputs!$G$5:$G$110&lt;&gt;"moeda")*(Inputs!$G$5:$G$110&lt;&gt;"acoes")))*INDEX(Inputs!$K$5:$AJ$110,0,MATCH(AF$2,Inputs!$K$4:$AJ$4,0)))+SUMPRODUCT((Inputs!$E$5:$E$110=$B6)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6" s="3" t="e">
        <f>SUM(AC6:AF6)</f>
        <v>#N/A</v>
      </c>
      <c r="AH6" s="6">
        <f>IF(ISNA(MATCH(AH$2,Inputs!$K$4:$AJ$4,0)),NA(),IF(SUMPRODUCT((Inputs!$A$5:$A$110=$B6)*ISNUMBER(INDEX(Inputs!$K$5:$AJ$110,0,MATCH(AH$2,Inputs!$K$4:$AJ$4,0))))+SUMPRODUCT((Inputs!$C$5:$C$110=$B6)*ISNUMBER(INDEX(Inputs!$K$5:$AJ$110,0,MATCH(AH$2,Inputs!$K$4:$AJ$4,0))))+SUMPRODUCT((Inputs!$E$5:$E$110=$B6)*ISNUMBER(INDEX(Inputs!$K$5:$AJ$110,0,MATCH(AH$2,Inputs!$K$4:$AJ$4,0))))=0,NA(),SUMPRODUCT((Inputs!$A$5:$A$110=$B6)*Inputs!$B$5:$B$110*(((Inputs!$G$5:$G$110="moeda")+(Inputs!$G$5:$G$110="acoes"))*Inputs!$B$1+((Inputs!$G$5:$G$110&lt;&gt;"moeda")*(Inputs!$G$5:$G$110&lt;&gt;"acoes")))*INDEX(Inputs!$K$5:$AJ$110,0,MATCH(AH$2,Inputs!$K$4:$AJ$4,0)))+SUMPRODUCT((Inputs!$C$5:$C$110=$B6)*Inputs!$D$5:$D$110*(((Inputs!$G$5:$G$110="moeda")+(Inputs!$G$5:$G$110="acoes"))*Inputs!$B$1+((Inputs!$G$5:$G$110&lt;&gt;"moeda")*(Inputs!$G$5:$G$110&lt;&gt;"acoes")))*INDEX(Inputs!$K$5:$AJ$110,0,MATCH(AH$2,Inputs!$K$4:$AJ$4,0)))+SUMPRODUCT((Inputs!$E$5:$E$110=$B6)*Inputs!$F$5:$F$110*(((Inputs!$G$5:$G$110="moeda")+(Inputs!$G$5:$G$110="acoes"))*Inputs!$B$1+((Inputs!$G$5:$G$110&lt;&gt;"moeda")*(Inputs!$G$5:$G$110&lt;&gt;"acoes")))*INDEX(Inputs!$K$5:$AJ$110,0,MATCH(AH$2,Inputs!$K$4:$AJ$4,0)))))</f>
        <v>-693</v>
      </c>
      <c r="AI6" s="6">
        <f>IF(ISNA(MATCH(AI$2,Inputs!$K$4:$AJ$4,0)),NA(),IF(SUMPRODUCT((Inputs!$A$5:$A$110=$B6)*ISNUMBER(INDEX(Inputs!$K$5:$AJ$110,0,MATCH(AI$2,Inputs!$K$4:$AJ$4,0))))+SUMPRODUCT((Inputs!$C$5:$C$110=$B6)*ISNUMBER(INDEX(Inputs!$K$5:$AJ$110,0,MATCH(AI$2,Inputs!$K$4:$AJ$4,0))))+SUMPRODUCT((Inputs!$E$5:$E$110=$B6)*ISNUMBER(INDEX(Inputs!$K$5:$AJ$110,0,MATCH(AI$2,Inputs!$K$4:$AJ$4,0))))=0,NA(),SUMPRODUCT((Inputs!$A$5:$A$110=$B6)*Inputs!$B$5:$B$110*(((Inputs!$G$5:$G$110="moeda")+(Inputs!$G$5:$G$110="acoes"))*Inputs!$B$1+((Inputs!$G$5:$G$110&lt;&gt;"moeda")*(Inputs!$G$5:$G$110&lt;&gt;"acoes")))*INDEX(Inputs!$K$5:$AJ$110,0,MATCH(AI$2,Inputs!$K$4:$AJ$4,0)))+SUMPRODUCT((Inputs!$C$5:$C$110=$B6)*Inputs!$D$5:$D$110*(((Inputs!$G$5:$G$110="moeda")+(Inputs!$G$5:$G$110="acoes"))*Inputs!$B$1+((Inputs!$G$5:$G$110&lt;&gt;"moeda")*(Inputs!$G$5:$G$110&lt;&gt;"acoes")))*INDEX(Inputs!$K$5:$AJ$110,0,MATCH(AI$2,Inputs!$K$4:$AJ$4,0)))+SUMPRODUCT((Inputs!$E$5:$E$110=$B6)*Inputs!$F$5:$F$110*(((Inputs!$G$5:$G$110="moeda")+(Inputs!$G$5:$G$110="acoes"))*Inputs!$B$1+((Inputs!$G$5:$G$110&lt;&gt;"moeda")*(Inputs!$G$5:$G$110&lt;&gt;"acoes")))*INDEX(Inputs!$K$5:$AJ$110,0,MATCH(AI$2,Inputs!$K$4:$AJ$4,0)))))</f>
        <v>-589</v>
      </c>
      <c r="AJ6" s="6">
        <f>IF(ISNA(MATCH(AJ$2,Inputs!$K$4:$AJ$4,0)),NA(),IF(SUMPRODUCT((Inputs!$A$5:$A$110=$B6)*ISNUMBER(INDEX(Inputs!$K$5:$AJ$110,0,MATCH(AJ$2,Inputs!$K$4:$AJ$4,0))))+SUMPRODUCT((Inputs!$C$5:$C$110=$B6)*ISNUMBER(INDEX(Inputs!$K$5:$AJ$110,0,MATCH(AJ$2,Inputs!$K$4:$AJ$4,0))))+SUMPRODUCT((Inputs!$E$5:$E$110=$B6)*ISNUMBER(INDEX(Inputs!$K$5:$AJ$110,0,MATCH(AJ$2,Inputs!$K$4:$AJ$4,0))))=0,NA(),SUMPRODUCT((Inputs!$A$5:$A$110=$B6)*Inputs!$B$5:$B$110*(((Inputs!$G$5:$G$110="moeda")+(Inputs!$G$5:$G$110="acoes"))*Inputs!$B$1+((Inputs!$G$5:$G$110&lt;&gt;"moeda")*(Inputs!$G$5:$G$110&lt;&gt;"acoes")))*INDEX(Inputs!$K$5:$AJ$110,0,MATCH(AJ$2,Inputs!$K$4:$AJ$4,0)))+SUMPRODUCT((Inputs!$C$5:$C$110=$B6)*Inputs!$D$5:$D$110*(((Inputs!$G$5:$G$110="moeda")+(Inputs!$G$5:$G$110="acoes"))*Inputs!$B$1+((Inputs!$G$5:$G$110&lt;&gt;"moeda")*(Inputs!$G$5:$G$110&lt;&gt;"acoes")))*INDEX(Inputs!$K$5:$AJ$110,0,MATCH(AJ$2,Inputs!$K$4:$AJ$4,0)))+SUMPRODUCT((Inputs!$E$5:$E$110=$B6)*Inputs!$F$5:$F$110*(((Inputs!$G$5:$G$110="moeda")+(Inputs!$G$5:$G$110="acoes"))*Inputs!$B$1+((Inputs!$G$5:$G$110&lt;&gt;"moeda")*(Inputs!$G$5:$G$110&lt;&gt;"acoes")))*INDEX(Inputs!$K$5:$AJ$110,0,MATCH(AJ$2,Inputs!$K$4:$AJ$4,0)))))</f>
        <v>-493</v>
      </c>
      <c r="AK6" s="6">
        <f>IF(ISNA(MATCH(AK$2,Inputs!$K$4:$AJ$4,0)),NA(),IF(SUMPRODUCT((Inputs!$A$5:$A$110=$B6)*ISNUMBER(INDEX(Inputs!$K$5:$AJ$110,0,MATCH(AK$2,Inputs!$K$4:$AJ$4,0))))+SUMPRODUCT((Inputs!$C$5:$C$110=$B6)*ISNUMBER(INDEX(Inputs!$K$5:$AJ$110,0,MATCH(AK$2,Inputs!$K$4:$AJ$4,0))))+SUMPRODUCT((Inputs!$E$5:$E$110=$B6)*ISNUMBER(INDEX(Inputs!$K$5:$AJ$110,0,MATCH(AK$2,Inputs!$K$4:$AJ$4,0))))=0,NA(),SUMPRODUCT((Inputs!$A$5:$A$110=$B6)*Inputs!$B$5:$B$110*(((Inputs!$G$5:$G$110="moeda")+(Inputs!$G$5:$G$110="acoes"))*Inputs!$B$1+((Inputs!$G$5:$G$110&lt;&gt;"moeda")*(Inputs!$G$5:$G$110&lt;&gt;"acoes")))*INDEX(Inputs!$K$5:$AJ$110,0,MATCH(AK$2,Inputs!$K$4:$AJ$4,0)))+SUMPRODUCT((Inputs!$C$5:$C$110=$B6)*Inputs!$D$5:$D$110*(((Inputs!$G$5:$G$110="moeda")+(Inputs!$G$5:$G$110="acoes"))*Inputs!$B$1+((Inputs!$G$5:$G$110&lt;&gt;"moeda")*(Inputs!$G$5:$G$110&lt;&gt;"acoes")))*INDEX(Inputs!$K$5:$AJ$110,0,MATCH(AK$2,Inputs!$K$4:$AJ$4,0)))+SUMPRODUCT((Inputs!$E$5:$E$110=$B6)*Inputs!$F$5:$F$110*(((Inputs!$G$5:$G$110="moeda")+(Inputs!$G$5:$G$110="acoes"))*Inputs!$B$1+((Inputs!$G$5:$G$110&lt;&gt;"moeda")*(Inputs!$G$5:$G$110&lt;&gt;"acoes")))*INDEX(Inputs!$K$5:$AJ$110,0,MATCH(AK$2,Inputs!$K$4:$AJ$4,0)))))</f>
        <v>-582</v>
      </c>
      <c r="AL6" s="3">
        <f>SUM(AH6:AK6)</f>
        <v>-2357</v>
      </c>
    </row>
    <row r="7">
      <c r="B7" s="46" t="n">
        <v>4</v>
      </c>
      <c r="C7" s="24" t="inlineStr">
        <is>
          <t>D&amp;A</t>
        </is>
      </c>
      <c r="D7" s="6">
        <f>IF(ISNA(MATCH(D$2,Inputs!$K$4:$AJ$4,0)),NA(),IF(SUMPRODUCT((Inputs!$A$5:$A$110=$B7)*ISNUMBER(INDEX(Inputs!$K$5:$AJ$110,0,MATCH(D$2,Inputs!$K$4:$AJ$4,0))))+SUMPRODUCT((Inputs!$C$5:$C$110=$B7)*ISNUMBER(INDEX(Inputs!$K$5:$AJ$110,0,MATCH(D$2,Inputs!$K$4:$AJ$4,0))))+SUMPRODUCT((Inputs!$E$5:$E$110=$B7)*ISNUMBER(INDEX(Inputs!$K$5:$AJ$110,0,MATCH(D$2,Inputs!$K$4:$AJ$4,0))))=0,NA(),SUMPRODUCT((Inputs!$A$5:$A$110=$B7)*Inputs!$B$5:$B$110*(((Inputs!$G$5:$G$110="moeda")+(Inputs!$G$5:$G$110="acoes"))*Inputs!$B$1+((Inputs!$G$5:$G$110&lt;&gt;"moeda")*(Inputs!$G$5:$G$110&lt;&gt;"acoes")))*INDEX(Inputs!$K$5:$AJ$110,0,MATCH(D$2,Inputs!$K$4:$AJ$4,0)))+SUMPRODUCT((Inputs!$C$5:$C$110=$B7)*Inputs!$D$5:$D$110*(((Inputs!$G$5:$G$110="moeda")+(Inputs!$G$5:$G$110="acoes"))*Inputs!$B$1+((Inputs!$G$5:$G$110&lt;&gt;"moeda")*(Inputs!$G$5:$G$110&lt;&gt;"acoes")))*INDEX(Inputs!$K$5:$AJ$110,0,MATCH(D$2,Inputs!$K$4:$AJ$4,0)))+SUMPRODUCT((Inputs!$E$5:$E$110=$B7)*Inputs!$F$5:$F$110*(((Inputs!$G$5:$G$110="moeda")+(Inputs!$G$5:$G$110="acoes"))*Inputs!$B$1+((Inputs!$G$5:$G$110&lt;&gt;"moeda")*(Inputs!$G$5:$G$110&lt;&gt;"acoes")))*INDEX(Inputs!$K$5:$AJ$110,0,MATCH(D$2,Inputs!$K$4:$AJ$4,0)))))</f>
        <v>-1504</v>
      </c>
      <c r="E7" s="6">
        <f>IF(ISNA(MATCH(E$2,Inputs!$K$4:$AJ$4,0)),NA(),IF(SUMPRODUCT((Inputs!$A$5:$A$110=$B7)*ISNUMBER(INDEX(Inputs!$K$5:$AJ$110,0,MATCH(E$2,Inputs!$K$4:$AJ$4,0))))+SUMPRODUCT((Inputs!$C$5:$C$110=$B7)*ISNUMBER(INDEX(Inputs!$K$5:$AJ$110,0,MATCH(E$2,Inputs!$K$4:$AJ$4,0))))+SUMPRODUCT((Inputs!$E$5:$E$110=$B7)*ISNUMBER(INDEX(Inputs!$K$5:$AJ$110,0,MATCH(E$2,Inputs!$K$4:$AJ$4,0))))=0,NA(),SUMPRODUCT((Inputs!$A$5:$A$110=$B7)*Inputs!$B$5:$B$110*(((Inputs!$G$5:$G$110="moeda")+(Inputs!$G$5:$G$110="acoes"))*Inputs!$B$1+((Inputs!$G$5:$G$110&lt;&gt;"moeda")*(Inputs!$G$5:$G$110&lt;&gt;"acoes")))*INDEX(Inputs!$K$5:$AJ$110,0,MATCH(E$2,Inputs!$K$4:$AJ$4,0)))+SUMPRODUCT((Inputs!$C$5:$C$110=$B7)*Inputs!$D$5:$D$110*(((Inputs!$G$5:$G$110="moeda")+(Inputs!$G$5:$G$110="acoes"))*Inputs!$B$1+((Inputs!$G$5:$G$110&lt;&gt;"moeda")*(Inputs!$G$5:$G$110&lt;&gt;"acoes")))*INDEX(Inputs!$K$5:$AJ$110,0,MATCH(E$2,Inputs!$K$4:$AJ$4,0)))+SUMPRODUCT((Inputs!$E$5:$E$110=$B7)*Inputs!$F$5:$F$110*(((Inputs!$G$5:$G$110="moeda")+(Inputs!$G$5:$G$110="acoes"))*Inputs!$B$1+((Inputs!$G$5:$G$110&lt;&gt;"moeda")*(Inputs!$G$5:$G$110&lt;&gt;"acoes")))*INDEX(Inputs!$K$5:$AJ$110,0,MATCH(E$2,Inputs!$K$4:$AJ$4,0)))))</f>
        <v>-1503</v>
      </c>
      <c r="F7" s="6">
        <f>IF(ISNA(MATCH(F$2,Inputs!$K$4:$AJ$4,0)),NA(),IF(SUMPRODUCT((Inputs!$A$5:$A$110=$B7)*ISNUMBER(INDEX(Inputs!$K$5:$AJ$110,0,MATCH(F$2,Inputs!$K$4:$AJ$4,0))))+SUMPRODUCT((Inputs!$C$5:$C$110=$B7)*ISNUMBER(INDEX(Inputs!$K$5:$AJ$110,0,MATCH(F$2,Inputs!$K$4:$AJ$4,0))))+SUMPRODUCT((Inputs!$E$5:$E$110=$B7)*ISNUMBER(INDEX(Inputs!$K$5:$AJ$110,0,MATCH(F$2,Inputs!$K$4:$AJ$4,0))))=0,NA(),SUMPRODUCT((Inputs!$A$5:$A$110=$B7)*Inputs!$B$5:$B$110*(((Inputs!$G$5:$G$110="moeda")+(Inputs!$G$5:$G$110="acoes"))*Inputs!$B$1+((Inputs!$G$5:$G$110&lt;&gt;"moeda")*(Inputs!$G$5:$G$110&lt;&gt;"acoes")))*INDEX(Inputs!$K$5:$AJ$110,0,MATCH(F$2,Inputs!$K$4:$AJ$4,0)))+SUMPRODUCT((Inputs!$C$5:$C$110=$B7)*Inputs!$D$5:$D$110*(((Inputs!$G$5:$G$110="moeda")+(Inputs!$G$5:$G$110="acoes"))*Inputs!$B$1+((Inputs!$G$5:$G$110&lt;&gt;"moeda")*(Inputs!$G$5:$G$110&lt;&gt;"acoes")))*INDEX(Inputs!$K$5:$AJ$110,0,MATCH(F$2,Inputs!$K$4:$AJ$4,0)))+SUMPRODUCT((Inputs!$E$5:$E$110=$B7)*Inputs!$F$5:$F$110*(((Inputs!$G$5:$G$110="moeda")+(Inputs!$G$5:$G$110="acoes"))*Inputs!$B$1+((Inputs!$G$5:$G$110&lt;&gt;"moeda")*(Inputs!$G$5:$G$110&lt;&gt;"acoes")))*INDEX(Inputs!$K$5:$AJ$110,0,MATCH(F$2,Inputs!$K$4:$AJ$4,0)))))</f>
        <v>-1501</v>
      </c>
      <c r="G7" s="6">
        <f>IF(ISNA(MATCH(G$2,Inputs!$K$4:$AJ$4,0)),NA(),IF(SUMPRODUCT((Inputs!$A$5:$A$110=$B7)*ISNUMBER(INDEX(Inputs!$K$5:$AJ$110,0,MATCH(G$2,Inputs!$K$4:$AJ$4,0))))+SUMPRODUCT((Inputs!$C$5:$C$110=$B7)*ISNUMBER(INDEX(Inputs!$K$5:$AJ$110,0,MATCH(G$2,Inputs!$K$4:$AJ$4,0))))+SUMPRODUCT((Inputs!$E$5:$E$110=$B7)*ISNUMBER(INDEX(Inputs!$K$5:$AJ$110,0,MATCH(G$2,Inputs!$K$4:$AJ$4,0))))=0,NA(),SUMPRODUCT((Inputs!$A$5:$A$110=$B7)*Inputs!$B$5:$B$110*(((Inputs!$G$5:$G$110="moeda")+(Inputs!$G$5:$G$110="acoes"))*Inputs!$B$1+((Inputs!$G$5:$G$110&lt;&gt;"moeda")*(Inputs!$G$5:$G$110&lt;&gt;"acoes")))*INDEX(Inputs!$K$5:$AJ$110,0,MATCH(G$2,Inputs!$K$4:$AJ$4,0)))+SUMPRODUCT((Inputs!$C$5:$C$110=$B7)*Inputs!$D$5:$D$110*(((Inputs!$G$5:$G$110="moeda")+(Inputs!$G$5:$G$110="acoes"))*Inputs!$B$1+((Inputs!$G$5:$G$110&lt;&gt;"moeda")*(Inputs!$G$5:$G$110&lt;&gt;"acoes")))*INDEX(Inputs!$K$5:$AJ$110,0,MATCH(G$2,Inputs!$K$4:$AJ$4,0)))+SUMPRODUCT((Inputs!$E$5:$E$110=$B7)*Inputs!$F$5:$F$110*(((Inputs!$G$5:$G$110="moeda")+(Inputs!$G$5:$G$110="acoes"))*Inputs!$B$1+((Inputs!$G$5:$G$110&lt;&gt;"moeda")*(Inputs!$G$5:$G$110&lt;&gt;"acoes")))*INDEX(Inputs!$K$5:$AJ$110,0,MATCH(G$2,Inputs!$K$4:$AJ$4,0)))))</f>
        <v>-1287</v>
      </c>
      <c r="H7" s="3">
        <f>SUM(D7:G7)</f>
        <v>-5795</v>
      </c>
      <c r="I7" s="6">
        <f>IF(ISNA(MATCH(I$2,Inputs!$K$4:$AJ$4,0)),NA(),IF(SUMPRODUCT((Inputs!$A$5:$A$110=$B7)*ISNUMBER(INDEX(Inputs!$K$5:$AJ$110,0,MATCH(I$2,Inputs!$K$4:$AJ$4,0))))+SUMPRODUCT((Inputs!$C$5:$C$110=$B7)*ISNUMBER(INDEX(Inputs!$K$5:$AJ$110,0,MATCH(I$2,Inputs!$K$4:$AJ$4,0))))+SUMPRODUCT((Inputs!$E$5:$E$110=$B7)*ISNUMBER(INDEX(Inputs!$K$5:$AJ$110,0,MATCH(I$2,Inputs!$K$4:$AJ$4,0))))=0,NA(),SUMPRODUCT((Inputs!$A$5:$A$110=$B7)*Inputs!$B$5:$B$110*(((Inputs!$G$5:$G$110="moeda")+(Inputs!$G$5:$G$110="acoes"))*Inputs!$B$1+((Inputs!$G$5:$G$110&lt;&gt;"moeda")*(Inputs!$G$5:$G$110&lt;&gt;"acoes")))*INDEX(Inputs!$K$5:$AJ$110,0,MATCH(I$2,Inputs!$K$4:$AJ$4,0)))+SUMPRODUCT((Inputs!$C$5:$C$110=$B7)*Inputs!$D$5:$D$110*(((Inputs!$G$5:$G$110="moeda")+(Inputs!$G$5:$G$110="acoes"))*Inputs!$B$1+((Inputs!$G$5:$G$110&lt;&gt;"moeda")*(Inputs!$G$5:$G$110&lt;&gt;"acoes")))*INDEX(Inputs!$K$5:$AJ$110,0,MATCH(I$2,Inputs!$K$4:$AJ$4,0)))+SUMPRODUCT((Inputs!$E$5:$E$110=$B7)*Inputs!$F$5:$F$110*(((Inputs!$G$5:$G$110="moeda")+(Inputs!$G$5:$G$110="acoes"))*Inputs!$B$1+((Inputs!$G$5:$G$110&lt;&gt;"moeda")*(Inputs!$G$5:$G$110&lt;&gt;"acoes")))*INDEX(Inputs!$K$5:$AJ$110,0,MATCH(I$2,Inputs!$K$4:$AJ$4,0)))))</f>
        <v>-1264</v>
      </c>
      <c r="J7" s="6">
        <f>IF(ISNA(MATCH(J$2,Inputs!$K$4:$AJ$4,0)),NA(),IF(SUMPRODUCT((Inputs!$A$5:$A$110=$B7)*ISNUMBER(INDEX(Inputs!$K$5:$AJ$110,0,MATCH(J$2,Inputs!$K$4:$AJ$4,0))))+SUMPRODUCT((Inputs!$C$5:$C$110=$B7)*ISNUMBER(INDEX(Inputs!$K$5:$AJ$110,0,MATCH(J$2,Inputs!$K$4:$AJ$4,0))))+SUMPRODUCT((Inputs!$E$5:$E$110=$B7)*ISNUMBER(INDEX(Inputs!$K$5:$AJ$110,0,MATCH(J$2,Inputs!$K$4:$AJ$4,0))))=0,NA(),SUMPRODUCT((Inputs!$A$5:$A$110=$B7)*Inputs!$B$5:$B$110*(((Inputs!$G$5:$G$110="moeda")+(Inputs!$G$5:$G$110="acoes"))*Inputs!$B$1+((Inputs!$G$5:$G$110&lt;&gt;"moeda")*(Inputs!$G$5:$G$110&lt;&gt;"acoes")))*INDEX(Inputs!$K$5:$AJ$110,0,MATCH(J$2,Inputs!$K$4:$AJ$4,0)))+SUMPRODUCT((Inputs!$C$5:$C$110=$B7)*Inputs!$D$5:$D$110*(((Inputs!$G$5:$G$110="moeda")+(Inputs!$G$5:$G$110="acoes"))*Inputs!$B$1+((Inputs!$G$5:$G$110&lt;&gt;"moeda")*(Inputs!$G$5:$G$110&lt;&gt;"acoes")))*INDEX(Inputs!$K$5:$AJ$110,0,MATCH(J$2,Inputs!$K$4:$AJ$4,0)))+SUMPRODUCT((Inputs!$E$5:$E$110=$B7)*Inputs!$F$5:$F$110*(((Inputs!$G$5:$G$110="moeda")+(Inputs!$G$5:$G$110="acoes"))*Inputs!$B$1+((Inputs!$G$5:$G$110&lt;&gt;"moeda")*(Inputs!$G$5:$G$110&lt;&gt;"acoes")))*INDEX(Inputs!$K$5:$AJ$110,0,MATCH(J$2,Inputs!$K$4:$AJ$4,0)))))</f>
        <v>-1217</v>
      </c>
      <c r="K7" s="6">
        <f>IF(ISNA(MATCH(K$2,Inputs!$K$4:$AJ$4,0)),NA(),IF(SUMPRODUCT((Inputs!$A$5:$A$110=$B7)*ISNUMBER(INDEX(Inputs!$K$5:$AJ$110,0,MATCH(K$2,Inputs!$K$4:$AJ$4,0))))+SUMPRODUCT((Inputs!$C$5:$C$110=$B7)*ISNUMBER(INDEX(Inputs!$K$5:$AJ$110,0,MATCH(K$2,Inputs!$K$4:$AJ$4,0))))+SUMPRODUCT((Inputs!$E$5:$E$110=$B7)*ISNUMBER(INDEX(Inputs!$K$5:$AJ$110,0,MATCH(K$2,Inputs!$K$4:$AJ$4,0))))=0,NA(),SUMPRODUCT((Inputs!$A$5:$A$110=$B7)*Inputs!$B$5:$B$110*(((Inputs!$G$5:$G$110="moeda")+(Inputs!$G$5:$G$110="acoes"))*Inputs!$B$1+((Inputs!$G$5:$G$110&lt;&gt;"moeda")*(Inputs!$G$5:$G$110&lt;&gt;"acoes")))*INDEX(Inputs!$K$5:$AJ$110,0,MATCH(K$2,Inputs!$K$4:$AJ$4,0)))+SUMPRODUCT((Inputs!$C$5:$C$110=$B7)*Inputs!$D$5:$D$110*(((Inputs!$G$5:$G$110="moeda")+(Inputs!$G$5:$G$110="acoes"))*Inputs!$B$1+((Inputs!$G$5:$G$110&lt;&gt;"moeda")*(Inputs!$G$5:$G$110&lt;&gt;"acoes")))*INDEX(Inputs!$K$5:$AJ$110,0,MATCH(K$2,Inputs!$K$4:$AJ$4,0)))+SUMPRODUCT((Inputs!$E$5:$E$110=$B7)*Inputs!$F$5:$F$110*(((Inputs!$G$5:$G$110="moeda")+(Inputs!$G$5:$G$110="acoes"))*Inputs!$B$1+((Inputs!$G$5:$G$110&lt;&gt;"moeda")*(Inputs!$G$5:$G$110&lt;&gt;"acoes")))*INDEX(Inputs!$K$5:$AJ$110,0,MATCH(K$2,Inputs!$K$4:$AJ$4,0)))))</f>
        <v>-1216</v>
      </c>
      <c r="L7" s="6">
        <f>IF(ISNA(MATCH(L$2,Inputs!$K$4:$AJ$4,0)),NA(),IF(SUMPRODUCT((Inputs!$A$5:$A$110=$B7)*ISNUMBER(INDEX(Inputs!$K$5:$AJ$110,0,MATCH(L$2,Inputs!$K$4:$AJ$4,0))))+SUMPRODUCT((Inputs!$C$5:$C$110=$B7)*ISNUMBER(INDEX(Inputs!$K$5:$AJ$110,0,MATCH(L$2,Inputs!$K$4:$AJ$4,0))))+SUMPRODUCT((Inputs!$E$5:$E$110=$B7)*ISNUMBER(INDEX(Inputs!$K$5:$AJ$110,0,MATCH(L$2,Inputs!$K$4:$AJ$4,0))))=0,NA(),SUMPRODUCT((Inputs!$A$5:$A$110=$B7)*Inputs!$B$5:$B$110*(((Inputs!$G$5:$G$110="moeda")+(Inputs!$G$5:$G$110="acoes"))*Inputs!$B$1+((Inputs!$G$5:$G$110&lt;&gt;"moeda")*(Inputs!$G$5:$G$110&lt;&gt;"acoes")))*INDEX(Inputs!$K$5:$AJ$110,0,MATCH(L$2,Inputs!$K$4:$AJ$4,0)))+SUMPRODUCT((Inputs!$C$5:$C$110=$B7)*Inputs!$D$5:$D$110*(((Inputs!$G$5:$G$110="moeda")+(Inputs!$G$5:$G$110="acoes"))*Inputs!$B$1+((Inputs!$G$5:$G$110&lt;&gt;"moeda")*(Inputs!$G$5:$G$110&lt;&gt;"acoes")))*INDEX(Inputs!$K$5:$AJ$110,0,MATCH(L$2,Inputs!$K$4:$AJ$4,0)))+SUMPRODUCT((Inputs!$E$5:$E$110=$B7)*Inputs!$F$5:$F$110*(((Inputs!$G$5:$G$110="moeda")+(Inputs!$G$5:$G$110="acoes"))*Inputs!$B$1+((Inputs!$G$5:$G$110&lt;&gt;"moeda")*(Inputs!$G$5:$G$110&lt;&gt;"acoes")))*INDEX(Inputs!$K$5:$AJ$110,0,MATCH(L$2,Inputs!$K$4:$AJ$4,0)))))</f>
        <v>-1032</v>
      </c>
      <c r="M7" s="3">
        <f>SUM(I7:L7)</f>
        <v>-4729</v>
      </c>
      <c r="N7" s="6">
        <f>IF(ISNA(MATCH(N$2,Inputs!$K$4:$AJ$4,0)),NA(),IF(SUMPRODUCT((Inputs!$A$5:$A$110=$B7)*ISNUMBER(INDEX(Inputs!$K$5:$AJ$110,0,MATCH(N$2,Inputs!$K$4:$AJ$4,0))))+SUMPRODUCT((Inputs!$C$5:$C$110=$B7)*ISNUMBER(INDEX(Inputs!$K$5:$AJ$110,0,MATCH(N$2,Inputs!$K$4:$AJ$4,0))))+SUMPRODUCT((Inputs!$E$5:$E$110=$B7)*ISNUMBER(INDEX(Inputs!$K$5:$AJ$110,0,MATCH(N$2,Inputs!$K$4:$AJ$4,0))))=0,NA(),SUMPRODUCT((Inputs!$A$5:$A$110=$B7)*Inputs!$B$5:$B$110*(((Inputs!$G$5:$G$110="moeda")+(Inputs!$G$5:$G$110="acoes"))*Inputs!$B$1+((Inputs!$G$5:$G$110&lt;&gt;"moeda")*(Inputs!$G$5:$G$110&lt;&gt;"acoes")))*INDEX(Inputs!$K$5:$AJ$110,0,MATCH(N$2,Inputs!$K$4:$AJ$4,0)))+SUMPRODUCT((Inputs!$C$5:$C$110=$B7)*Inputs!$D$5:$D$110*(((Inputs!$G$5:$G$110="moeda")+(Inputs!$G$5:$G$110="acoes"))*Inputs!$B$1+((Inputs!$G$5:$G$110&lt;&gt;"moeda")*(Inputs!$G$5:$G$110&lt;&gt;"acoes")))*INDEX(Inputs!$K$5:$AJ$110,0,MATCH(N$2,Inputs!$K$4:$AJ$4,0)))+SUMPRODUCT((Inputs!$E$5:$E$110=$B7)*Inputs!$F$5:$F$110*(((Inputs!$G$5:$G$110="moeda")+(Inputs!$G$5:$G$110="acoes"))*Inputs!$B$1+((Inputs!$G$5:$G$110&lt;&gt;"moeda")*(Inputs!$G$5:$G$110&lt;&gt;"acoes")))*INDEX(Inputs!$K$5:$AJ$110,0,MATCH(N$2,Inputs!$K$4:$AJ$4,0)))))</f>
        <v>-939</v>
      </c>
      <c r="O7" s="6">
        <f>IF(ISNA(MATCH(O$2,Inputs!$K$4:$AJ$4,0)),NA(),IF(SUMPRODUCT((Inputs!$A$5:$A$110=$B7)*ISNUMBER(INDEX(Inputs!$K$5:$AJ$110,0,MATCH(O$2,Inputs!$K$4:$AJ$4,0))))+SUMPRODUCT((Inputs!$C$5:$C$110=$B7)*ISNUMBER(INDEX(Inputs!$K$5:$AJ$110,0,MATCH(O$2,Inputs!$K$4:$AJ$4,0))))+SUMPRODUCT((Inputs!$E$5:$E$110=$B7)*ISNUMBER(INDEX(Inputs!$K$5:$AJ$110,0,MATCH(O$2,Inputs!$K$4:$AJ$4,0))))=0,NA(),SUMPRODUCT((Inputs!$A$5:$A$110=$B7)*Inputs!$B$5:$B$110*(((Inputs!$G$5:$G$110="moeda")+(Inputs!$G$5:$G$110="acoes"))*Inputs!$B$1+((Inputs!$G$5:$G$110&lt;&gt;"moeda")*(Inputs!$G$5:$G$110&lt;&gt;"acoes")))*INDEX(Inputs!$K$5:$AJ$110,0,MATCH(O$2,Inputs!$K$4:$AJ$4,0)))+SUMPRODUCT((Inputs!$C$5:$C$110=$B7)*Inputs!$D$5:$D$110*(((Inputs!$G$5:$G$110="moeda")+(Inputs!$G$5:$G$110="acoes"))*Inputs!$B$1+((Inputs!$G$5:$G$110&lt;&gt;"moeda")*(Inputs!$G$5:$G$110&lt;&gt;"acoes")))*INDEX(Inputs!$K$5:$AJ$110,0,MATCH(O$2,Inputs!$K$4:$AJ$4,0)))+SUMPRODUCT((Inputs!$E$5:$E$110=$B7)*Inputs!$F$5:$F$110*(((Inputs!$G$5:$G$110="moeda")+(Inputs!$G$5:$G$110="acoes"))*Inputs!$B$1+((Inputs!$G$5:$G$110&lt;&gt;"moeda")*(Inputs!$G$5:$G$110&lt;&gt;"acoes")))*INDEX(Inputs!$K$5:$AJ$110,0,MATCH(O$2,Inputs!$K$4:$AJ$4,0)))))</f>
        <v>-932</v>
      </c>
      <c r="P7" s="6">
        <f>IF(ISNA(MATCH(P$2,Inputs!$K$4:$AJ$4,0)),NA(),IF(SUMPRODUCT((Inputs!$A$5:$A$110=$B7)*ISNUMBER(INDEX(Inputs!$K$5:$AJ$110,0,MATCH(P$2,Inputs!$K$4:$AJ$4,0))))+SUMPRODUCT((Inputs!$C$5:$C$110=$B7)*ISNUMBER(INDEX(Inputs!$K$5:$AJ$110,0,MATCH(P$2,Inputs!$K$4:$AJ$4,0))))+SUMPRODUCT((Inputs!$E$5:$E$110=$B7)*ISNUMBER(INDEX(Inputs!$K$5:$AJ$110,0,MATCH(P$2,Inputs!$K$4:$AJ$4,0))))=0,NA(),SUMPRODUCT((Inputs!$A$5:$A$110=$B7)*Inputs!$B$5:$B$110*(((Inputs!$G$5:$G$110="moeda")+(Inputs!$G$5:$G$110="acoes"))*Inputs!$B$1+((Inputs!$G$5:$G$110&lt;&gt;"moeda")*(Inputs!$G$5:$G$110&lt;&gt;"acoes")))*INDEX(Inputs!$K$5:$AJ$110,0,MATCH(P$2,Inputs!$K$4:$AJ$4,0)))+SUMPRODUCT((Inputs!$C$5:$C$110=$B7)*Inputs!$D$5:$D$110*(((Inputs!$G$5:$G$110="moeda")+(Inputs!$G$5:$G$110="acoes"))*Inputs!$B$1+((Inputs!$G$5:$G$110&lt;&gt;"moeda")*(Inputs!$G$5:$G$110&lt;&gt;"acoes")))*INDEX(Inputs!$K$5:$AJ$110,0,MATCH(P$2,Inputs!$K$4:$AJ$4,0)))+SUMPRODUCT((Inputs!$E$5:$E$110=$B7)*Inputs!$F$5:$F$110*(((Inputs!$G$5:$G$110="moeda")+(Inputs!$G$5:$G$110="acoes"))*Inputs!$B$1+((Inputs!$G$5:$G$110&lt;&gt;"moeda")*(Inputs!$G$5:$G$110&lt;&gt;"acoes")))*INDEX(Inputs!$K$5:$AJ$110,0,MATCH(P$2,Inputs!$K$4:$AJ$4,0)))))</f>
        <v>-932</v>
      </c>
      <c r="Q7" s="6">
        <f>IF(ISNA(MATCH(Q$2,Inputs!$K$4:$AJ$4,0)),NA(),IF(SUMPRODUCT((Inputs!$A$5:$A$110=$B7)*ISNUMBER(INDEX(Inputs!$K$5:$AJ$110,0,MATCH(Q$2,Inputs!$K$4:$AJ$4,0))))+SUMPRODUCT((Inputs!$C$5:$C$110=$B7)*ISNUMBER(INDEX(Inputs!$K$5:$AJ$110,0,MATCH(Q$2,Inputs!$K$4:$AJ$4,0))))+SUMPRODUCT((Inputs!$E$5:$E$110=$B7)*ISNUMBER(INDEX(Inputs!$K$5:$AJ$110,0,MATCH(Q$2,Inputs!$K$4:$AJ$4,0))))=0,NA(),SUMPRODUCT((Inputs!$A$5:$A$110=$B7)*Inputs!$B$5:$B$110*(((Inputs!$G$5:$G$110="moeda")+(Inputs!$G$5:$G$110="acoes"))*Inputs!$B$1+((Inputs!$G$5:$G$110&lt;&gt;"moeda")*(Inputs!$G$5:$G$110&lt;&gt;"acoes")))*INDEX(Inputs!$K$5:$AJ$110,0,MATCH(Q$2,Inputs!$K$4:$AJ$4,0)))+SUMPRODUCT((Inputs!$C$5:$C$110=$B7)*Inputs!$D$5:$D$110*(((Inputs!$G$5:$G$110="moeda")+(Inputs!$G$5:$G$110="acoes"))*Inputs!$B$1+((Inputs!$G$5:$G$110&lt;&gt;"moeda")*(Inputs!$G$5:$G$110&lt;&gt;"acoes")))*INDEX(Inputs!$K$5:$AJ$110,0,MATCH(Q$2,Inputs!$K$4:$AJ$4,0)))+SUMPRODUCT((Inputs!$E$5:$E$110=$B7)*Inputs!$F$5:$F$110*(((Inputs!$G$5:$G$110="moeda")+(Inputs!$G$5:$G$110="acoes"))*Inputs!$B$1+((Inputs!$G$5:$G$110&lt;&gt;"moeda")*(Inputs!$G$5:$G$110&lt;&gt;"acoes")))*INDEX(Inputs!$K$5:$AJ$110,0,MATCH(Q$2,Inputs!$K$4:$AJ$4,0)))))</f>
        <v>-2345</v>
      </c>
      <c r="R7" s="3">
        <f>SUM(N7:Q7)</f>
        <v>-5148</v>
      </c>
      <c r="S7" s="6">
        <f>IF(ISNA(MATCH(S$2,Inputs!$K$4:$AJ$4,0)),NA(),IF(SUMPRODUCT((Inputs!$A$5:$A$110=$B7)*ISNUMBER(INDEX(Inputs!$K$5:$AJ$110,0,MATCH(S$2,Inputs!$K$4:$AJ$4,0))))+SUMPRODUCT((Inputs!$C$5:$C$110=$B7)*ISNUMBER(INDEX(Inputs!$K$5:$AJ$110,0,MATCH(S$2,Inputs!$K$4:$AJ$4,0))))+SUMPRODUCT((Inputs!$E$5:$E$110=$B7)*ISNUMBER(INDEX(Inputs!$K$5:$AJ$110,0,MATCH(S$2,Inputs!$K$4:$AJ$4,0))))=0,NA(),SUMPRODUCT((Inputs!$A$5:$A$110=$B7)*Inputs!$B$5:$B$110*(((Inputs!$G$5:$G$110="moeda")+(Inputs!$G$5:$G$110="acoes"))*Inputs!$B$1+((Inputs!$G$5:$G$110&lt;&gt;"moeda")*(Inputs!$G$5:$G$110&lt;&gt;"acoes")))*INDEX(Inputs!$K$5:$AJ$110,0,MATCH(S$2,Inputs!$K$4:$AJ$4,0)))+SUMPRODUCT((Inputs!$C$5:$C$110=$B7)*Inputs!$D$5:$D$110*(((Inputs!$G$5:$G$110="moeda")+(Inputs!$G$5:$G$110="acoes"))*Inputs!$B$1+((Inputs!$G$5:$G$110&lt;&gt;"moeda")*(Inputs!$G$5:$G$110&lt;&gt;"acoes")))*INDEX(Inputs!$K$5:$AJ$110,0,MATCH(S$2,Inputs!$K$4:$AJ$4,0)))+SUMPRODUCT((Inputs!$E$5:$E$110=$B7)*Inputs!$F$5:$F$110*(((Inputs!$G$5:$G$110="moeda")+(Inputs!$G$5:$G$110="acoes"))*Inputs!$B$1+((Inputs!$G$5:$G$110&lt;&gt;"moeda")*(Inputs!$G$5:$G$110&lt;&gt;"acoes")))*INDEX(Inputs!$K$5:$AJ$110,0,MATCH(S$2,Inputs!$K$4:$AJ$4,0)))))</f>
        <v>-2530</v>
      </c>
      <c r="T7" s="6">
        <f>IF(ISNA(MATCH(T$2,Inputs!$K$4:$AJ$4,0)),NA(),IF(SUMPRODUCT((Inputs!$A$5:$A$110=$B7)*ISNUMBER(INDEX(Inputs!$K$5:$AJ$110,0,MATCH(T$2,Inputs!$K$4:$AJ$4,0))))+SUMPRODUCT((Inputs!$C$5:$C$110=$B7)*ISNUMBER(INDEX(Inputs!$K$5:$AJ$110,0,MATCH(T$2,Inputs!$K$4:$AJ$4,0))))+SUMPRODUCT((Inputs!$E$5:$E$110=$B7)*ISNUMBER(INDEX(Inputs!$K$5:$AJ$110,0,MATCH(T$2,Inputs!$K$4:$AJ$4,0))))=0,NA(),SUMPRODUCT((Inputs!$A$5:$A$110=$B7)*Inputs!$B$5:$B$110*(((Inputs!$G$5:$G$110="moeda")+(Inputs!$G$5:$G$110="acoes"))*Inputs!$B$1+((Inputs!$G$5:$G$110&lt;&gt;"moeda")*(Inputs!$G$5:$G$110&lt;&gt;"acoes")))*INDEX(Inputs!$K$5:$AJ$110,0,MATCH(T$2,Inputs!$K$4:$AJ$4,0)))+SUMPRODUCT((Inputs!$C$5:$C$110=$B7)*Inputs!$D$5:$D$110*(((Inputs!$G$5:$G$110="moeda")+(Inputs!$G$5:$G$110="acoes"))*Inputs!$B$1+((Inputs!$G$5:$G$110&lt;&gt;"moeda")*(Inputs!$G$5:$G$110&lt;&gt;"acoes")))*INDEX(Inputs!$K$5:$AJ$110,0,MATCH(T$2,Inputs!$K$4:$AJ$4,0)))+SUMPRODUCT((Inputs!$E$5:$E$110=$B7)*Inputs!$F$5:$F$110*(((Inputs!$G$5:$G$110="moeda")+(Inputs!$G$5:$G$110="acoes"))*Inputs!$B$1+((Inputs!$G$5:$G$110&lt;&gt;"moeda")*(Inputs!$G$5:$G$110&lt;&gt;"acoes")))*INDEX(Inputs!$K$5:$AJ$110,0,MATCH(T$2,Inputs!$K$4:$AJ$4,0)))))</f>
        <v>-2524</v>
      </c>
      <c r="U7" s="6">
        <f>IF(ISNA(MATCH(U$2,Inputs!$K$4:$AJ$4,0)),NA(),IF(SUMPRODUCT((Inputs!$A$5:$A$110=$B7)*ISNUMBER(INDEX(Inputs!$K$5:$AJ$110,0,MATCH(U$2,Inputs!$K$4:$AJ$4,0))))+SUMPRODUCT((Inputs!$C$5:$C$110=$B7)*ISNUMBER(INDEX(Inputs!$K$5:$AJ$110,0,MATCH(U$2,Inputs!$K$4:$AJ$4,0))))+SUMPRODUCT((Inputs!$E$5:$E$110=$B7)*ISNUMBER(INDEX(Inputs!$K$5:$AJ$110,0,MATCH(U$2,Inputs!$K$4:$AJ$4,0))))=0,NA(),SUMPRODUCT((Inputs!$A$5:$A$110=$B7)*Inputs!$B$5:$B$110*(((Inputs!$G$5:$G$110="moeda")+(Inputs!$G$5:$G$110="acoes"))*Inputs!$B$1+((Inputs!$G$5:$G$110&lt;&gt;"moeda")*(Inputs!$G$5:$G$110&lt;&gt;"acoes")))*INDEX(Inputs!$K$5:$AJ$110,0,MATCH(U$2,Inputs!$K$4:$AJ$4,0)))+SUMPRODUCT((Inputs!$C$5:$C$110=$B7)*Inputs!$D$5:$D$110*(((Inputs!$G$5:$G$110="moeda")+(Inputs!$G$5:$G$110="acoes"))*Inputs!$B$1+((Inputs!$G$5:$G$110&lt;&gt;"moeda")*(Inputs!$G$5:$G$110&lt;&gt;"acoes")))*INDEX(Inputs!$K$5:$AJ$110,0,MATCH(U$2,Inputs!$K$4:$AJ$4,0)))+SUMPRODUCT((Inputs!$E$5:$E$110=$B7)*Inputs!$F$5:$F$110*(((Inputs!$G$5:$G$110="moeda")+(Inputs!$G$5:$G$110="acoes"))*Inputs!$B$1+((Inputs!$G$5:$G$110&lt;&gt;"moeda")*(Inputs!$G$5:$G$110&lt;&gt;"acoes")))*INDEX(Inputs!$K$5:$AJ$110,0,MATCH(U$2,Inputs!$K$4:$AJ$4,0)))))</f>
        <v>-2611</v>
      </c>
      <c r="V7" s="6">
        <f>IF(ISNA(MATCH(V$2,Inputs!$K$4:$AJ$4,0)),NA(),IF(SUMPRODUCT((Inputs!$A$5:$A$110=$B7)*ISNUMBER(INDEX(Inputs!$K$5:$AJ$110,0,MATCH(V$2,Inputs!$K$4:$AJ$4,0))))+SUMPRODUCT((Inputs!$C$5:$C$110=$B7)*ISNUMBER(INDEX(Inputs!$K$5:$AJ$110,0,MATCH(V$2,Inputs!$K$4:$AJ$4,0))))+SUMPRODUCT((Inputs!$E$5:$E$110=$B7)*ISNUMBER(INDEX(Inputs!$K$5:$AJ$110,0,MATCH(V$2,Inputs!$K$4:$AJ$4,0))))=0,NA(),SUMPRODUCT((Inputs!$A$5:$A$110=$B7)*Inputs!$B$5:$B$110*(((Inputs!$G$5:$G$110="moeda")+(Inputs!$G$5:$G$110="acoes"))*Inputs!$B$1+((Inputs!$G$5:$G$110&lt;&gt;"moeda")*(Inputs!$G$5:$G$110&lt;&gt;"acoes")))*INDEX(Inputs!$K$5:$AJ$110,0,MATCH(V$2,Inputs!$K$4:$AJ$4,0)))+SUMPRODUCT((Inputs!$C$5:$C$110=$B7)*Inputs!$D$5:$D$110*(((Inputs!$G$5:$G$110="moeda")+(Inputs!$G$5:$G$110="acoes"))*Inputs!$B$1+((Inputs!$G$5:$G$110&lt;&gt;"moeda")*(Inputs!$G$5:$G$110&lt;&gt;"acoes")))*INDEX(Inputs!$K$5:$AJ$110,0,MATCH(V$2,Inputs!$K$4:$AJ$4,0)))+SUMPRODUCT((Inputs!$E$5:$E$110=$B7)*Inputs!$F$5:$F$110*(((Inputs!$G$5:$G$110="moeda")+(Inputs!$G$5:$G$110="acoes"))*Inputs!$B$1+((Inputs!$G$5:$G$110&lt;&gt;"moeda")*(Inputs!$G$5:$G$110&lt;&gt;"acoes")))*INDEX(Inputs!$K$5:$AJ$110,0,MATCH(V$2,Inputs!$K$4:$AJ$4,0)))))</f>
        <v>-2174</v>
      </c>
      <c r="W7" s="3">
        <f>SUM(S7:V7)</f>
        <v>-9839</v>
      </c>
      <c r="X7" s="6">
        <f>IF(ISNA(MATCH(X$2,Inputs!$K$4:$AJ$4,0)),NA(),IF(SUMPRODUCT((Inputs!$A$5:$A$110=$B7)*ISNUMBER(INDEX(Inputs!$K$5:$AJ$110,0,MATCH(X$2,Inputs!$K$4:$AJ$4,0))))+SUMPRODUCT((Inputs!$C$5:$C$110=$B7)*ISNUMBER(INDEX(Inputs!$K$5:$AJ$110,0,MATCH(X$2,Inputs!$K$4:$AJ$4,0))))+SUMPRODUCT((Inputs!$E$5:$E$110=$B7)*ISNUMBER(INDEX(Inputs!$K$5:$AJ$110,0,MATCH(X$2,Inputs!$K$4:$AJ$4,0))))=0,NA(),SUMPRODUCT((Inputs!$A$5:$A$110=$B7)*Inputs!$B$5:$B$110*(((Inputs!$G$5:$G$110="moeda")+(Inputs!$G$5:$G$110="acoes"))*Inputs!$B$1+((Inputs!$G$5:$G$110&lt;&gt;"moeda")*(Inputs!$G$5:$G$110&lt;&gt;"acoes")))*INDEX(Inputs!$K$5:$AJ$110,0,MATCH(X$2,Inputs!$K$4:$AJ$4,0)))+SUMPRODUCT((Inputs!$C$5:$C$110=$B7)*Inputs!$D$5:$D$110*(((Inputs!$G$5:$G$110="moeda")+(Inputs!$G$5:$G$110="acoes"))*Inputs!$B$1+((Inputs!$G$5:$G$110&lt;&gt;"moeda")*(Inputs!$G$5:$G$110&lt;&gt;"acoes")))*INDEX(Inputs!$K$5:$AJ$110,0,MATCH(X$2,Inputs!$K$4:$AJ$4,0)))+SUMPRODUCT((Inputs!$E$5:$E$110=$B7)*Inputs!$F$5:$F$110*(((Inputs!$G$5:$G$110="moeda")+(Inputs!$G$5:$G$110="acoes"))*Inputs!$B$1+((Inputs!$G$5:$G$110&lt;&gt;"moeda")*(Inputs!$G$5:$G$110&lt;&gt;"acoes")))*INDEX(Inputs!$K$5:$AJ$110,0,MATCH(X$2,Inputs!$K$4:$AJ$4,0)))))</f>
        <v>-2131</v>
      </c>
      <c r="Y7" s="6">
        <f>IF(ISNA(MATCH(Y$2,Inputs!$K$4:$AJ$4,0)),NA(),IF(SUMPRODUCT((Inputs!$A$5:$A$110=$B7)*ISNUMBER(INDEX(Inputs!$K$5:$AJ$110,0,MATCH(Y$2,Inputs!$K$4:$AJ$4,0))))+SUMPRODUCT((Inputs!$C$5:$C$110=$B7)*ISNUMBER(INDEX(Inputs!$K$5:$AJ$110,0,MATCH(Y$2,Inputs!$K$4:$AJ$4,0))))+SUMPRODUCT((Inputs!$E$5:$E$110=$B7)*ISNUMBER(INDEX(Inputs!$K$5:$AJ$110,0,MATCH(Y$2,Inputs!$K$4:$AJ$4,0))))=0,NA(),SUMPRODUCT((Inputs!$A$5:$A$110=$B7)*Inputs!$B$5:$B$110*(((Inputs!$G$5:$G$110="moeda")+(Inputs!$G$5:$G$110="acoes"))*Inputs!$B$1+((Inputs!$G$5:$G$110&lt;&gt;"moeda")*(Inputs!$G$5:$G$110&lt;&gt;"acoes")))*INDEX(Inputs!$K$5:$AJ$110,0,MATCH(Y$2,Inputs!$K$4:$AJ$4,0)))+SUMPRODUCT((Inputs!$C$5:$C$110=$B7)*Inputs!$D$5:$D$110*(((Inputs!$G$5:$G$110="moeda")+(Inputs!$G$5:$G$110="acoes"))*Inputs!$B$1+((Inputs!$G$5:$G$110&lt;&gt;"moeda")*(Inputs!$G$5:$G$110&lt;&gt;"acoes")))*INDEX(Inputs!$K$5:$AJ$110,0,MATCH(Y$2,Inputs!$K$4:$AJ$4,0)))+SUMPRODUCT((Inputs!$E$5:$E$110=$B7)*Inputs!$F$5:$F$110*(((Inputs!$G$5:$G$110="moeda")+(Inputs!$G$5:$G$110="acoes"))*Inputs!$B$1+((Inputs!$G$5:$G$110&lt;&gt;"moeda")*(Inputs!$G$5:$G$110&lt;&gt;"acoes")))*INDEX(Inputs!$K$5:$AJ$110,0,MATCH(Y$2,Inputs!$K$4:$AJ$4,0)))))</f>
        <v>-2168</v>
      </c>
      <c r="Z7" s="6">
        <f>IF(ISNA(MATCH(Z$2,Inputs!$K$4:$AJ$4,0)),NA(),IF(SUMPRODUCT((Inputs!$A$5:$A$110=$B7)*ISNUMBER(INDEX(Inputs!$K$5:$AJ$110,0,MATCH(Z$2,Inputs!$K$4:$AJ$4,0))))+SUMPRODUCT((Inputs!$C$5:$C$110=$B7)*ISNUMBER(INDEX(Inputs!$K$5:$AJ$110,0,MATCH(Z$2,Inputs!$K$4:$AJ$4,0))))+SUMPRODUCT((Inputs!$E$5:$E$110=$B7)*ISNUMBER(INDEX(Inputs!$K$5:$AJ$110,0,MATCH(Z$2,Inputs!$K$4:$AJ$4,0))))=0,NA(),SUMPRODUCT((Inputs!$A$5:$A$110=$B7)*Inputs!$B$5:$B$110*(((Inputs!$G$5:$G$110="moeda")+(Inputs!$G$5:$G$110="acoes"))*Inputs!$B$1+((Inputs!$G$5:$G$110&lt;&gt;"moeda")*(Inputs!$G$5:$G$110&lt;&gt;"acoes")))*INDEX(Inputs!$K$5:$AJ$110,0,MATCH(Z$2,Inputs!$K$4:$AJ$4,0)))+SUMPRODUCT((Inputs!$C$5:$C$110=$B7)*Inputs!$D$5:$D$110*(((Inputs!$G$5:$G$110="moeda")+(Inputs!$G$5:$G$110="acoes"))*Inputs!$B$1+((Inputs!$G$5:$G$110&lt;&gt;"moeda")*(Inputs!$G$5:$G$110&lt;&gt;"acoes")))*INDEX(Inputs!$K$5:$AJ$110,0,MATCH(Z$2,Inputs!$K$4:$AJ$4,0)))+SUMPRODUCT((Inputs!$E$5:$E$110=$B7)*Inputs!$F$5:$F$110*(((Inputs!$G$5:$G$110="moeda")+(Inputs!$G$5:$G$110="acoes"))*Inputs!$B$1+((Inputs!$G$5:$G$110&lt;&gt;"moeda")*(Inputs!$G$5:$G$110&lt;&gt;"acoes")))*INDEX(Inputs!$K$5:$AJ$110,0,MATCH(Z$2,Inputs!$K$4:$AJ$4,0)))))</f>
        <v>-2233</v>
      </c>
      <c r="AA7" s="6">
        <f>IF(ISNA(MATCH(AA$2,Inputs!$K$4:$AJ$4,0)),NA(),IF(SUMPRODUCT((Inputs!$A$5:$A$110=$B7)*ISNUMBER(INDEX(Inputs!$K$5:$AJ$110,0,MATCH(AA$2,Inputs!$K$4:$AJ$4,0))))+SUMPRODUCT((Inputs!$C$5:$C$110=$B7)*ISNUMBER(INDEX(Inputs!$K$5:$AJ$110,0,MATCH(AA$2,Inputs!$K$4:$AJ$4,0))))+SUMPRODUCT((Inputs!$E$5:$E$110=$B7)*ISNUMBER(INDEX(Inputs!$K$5:$AJ$110,0,MATCH(AA$2,Inputs!$K$4:$AJ$4,0))))=0,NA(),SUMPRODUCT((Inputs!$A$5:$A$110=$B7)*Inputs!$B$5:$B$110*(((Inputs!$G$5:$G$110="moeda")+(Inputs!$G$5:$G$110="acoes"))*Inputs!$B$1+((Inputs!$G$5:$G$110&lt;&gt;"moeda")*(Inputs!$G$5:$G$110&lt;&gt;"acoes")))*INDEX(Inputs!$K$5:$AJ$110,0,MATCH(AA$2,Inputs!$K$4:$AJ$4,0)))+SUMPRODUCT((Inputs!$C$5:$C$110=$B7)*Inputs!$D$5:$D$110*(((Inputs!$G$5:$G$110="moeda")+(Inputs!$G$5:$G$110="acoes"))*Inputs!$B$1+((Inputs!$G$5:$G$110&lt;&gt;"moeda")*(Inputs!$G$5:$G$110&lt;&gt;"acoes")))*INDEX(Inputs!$K$5:$AJ$110,0,MATCH(AA$2,Inputs!$K$4:$AJ$4,0)))+SUMPRODUCT((Inputs!$E$5:$E$110=$B7)*Inputs!$F$5:$F$110*(((Inputs!$G$5:$G$110="moeda")+(Inputs!$G$5:$G$110="acoes"))*Inputs!$B$1+((Inputs!$G$5:$G$110&lt;&gt;"moeda")*(Inputs!$G$5:$G$110&lt;&gt;"acoes")))*INDEX(Inputs!$K$5:$AJ$110,0,MATCH(AA$2,Inputs!$K$4:$AJ$4,0)))))</f>
        <v>-2153</v>
      </c>
      <c r="AB7" s="3">
        <f>SUM(X7:AA7)</f>
        <v>-8685</v>
      </c>
      <c r="AC7" s="6">
        <f>IF(ISNA(MATCH(AC$2,Inputs!$K$4:$AJ$4,0)),NA(),IF(SUMPRODUCT((Inputs!$A$5:$A$110=$B7)*ISNUMBER(INDEX(Inputs!$K$5:$AJ$110,0,MATCH(AC$2,Inputs!$K$4:$AJ$4,0))))+SUMPRODUCT((Inputs!$C$5:$C$110=$B7)*ISNUMBER(INDEX(Inputs!$K$5:$AJ$110,0,MATCH(AC$2,Inputs!$K$4:$AJ$4,0))))+SUMPRODUCT((Inputs!$E$5:$E$110=$B7)*ISNUMBER(INDEX(Inputs!$K$5:$AJ$110,0,MATCH(AC$2,Inputs!$K$4:$AJ$4,0))))=0,NA(),SUMPRODUCT((Inputs!$A$5:$A$110=$B7)*Inputs!$B$5:$B$110*(((Inputs!$G$5:$G$110="moeda")+(Inputs!$G$5:$G$110="acoes"))*Inputs!$B$1+((Inputs!$G$5:$G$110&lt;&gt;"moeda")*(Inputs!$G$5:$G$110&lt;&gt;"acoes")))*INDEX(Inputs!$K$5:$AJ$110,0,MATCH(AC$2,Inputs!$K$4:$AJ$4,0)))+SUMPRODUCT((Inputs!$C$5:$C$110=$B7)*Inputs!$D$5:$D$110*(((Inputs!$G$5:$G$110="moeda")+(Inputs!$G$5:$G$110="acoes"))*Inputs!$B$1+((Inputs!$G$5:$G$110&lt;&gt;"moeda")*(Inputs!$G$5:$G$110&lt;&gt;"acoes")))*INDEX(Inputs!$K$5:$AJ$110,0,MATCH(AC$2,Inputs!$K$4:$AJ$4,0)))+SUMPRODUCT((Inputs!$E$5:$E$110=$B7)*Inputs!$F$5:$F$110*(((Inputs!$G$5:$G$110="moeda")+(Inputs!$G$5:$G$110="acoes"))*Inputs!$B$1+((Inputs!$G$5:$G$110&lt;&gt;"moeda")*(Inputs!$G$5:$G$110&lt;&gt;"acoes")))*INDEX(Inputs!$K$5:$AJ$110,0,MATCH(AC$2,Inputs!$K$4:$AJ$4,0)))))</f>
        <v>-2130</v>
      </c>
      <c r="AD7" s="6">
        <f>IF(ISNA(MATCH(AD$2,Inputs!$K$4:$AJ$4,0)),NA(),IF(SUMPRODUCT((Inputs!$A$5:$A$110=$B7)*ISNUMBER(INDEX(Inputs!$K$5:$AJ$110,0,MATCH(AD$2,Inputs!$K$4:$AJ$4,0))))+SUMPRODUCT((Inputs!$C$5:$C$110=$B7)*ISNUMBER(INDEX(Inputs!$K$5:$AJ$110,0,MATCH(AD$2,Inputs!$K$4:$AJ$4,0))))+SUMPRODUCT((Inputs!$E$5:$E$110=$B7)*ISNUMBER(INDEX(Inputs!$K$5:$AJ$110,0,MATCH(AD$2,Inputs!$K$4:$AJ$4,0))))=0,NA(),SUMPRODUCT((Inputs!$A$5:$A$110=$B7)*Inputs!$B$5:$B$110*(((Inputs!$G$5:$G$110="moeda")+(Inputs!$G$5:$G$110="acoes"))*Inputs!$B$1+((Inputs!$G$5:$G$110&lt;&gt;"moeda")*(Inputs!$G$5:$G$110&lt;&gt;"acoes")))*INDEX(Inputs!$K$5:$AJ$110,0,MATCH(AD$2,Inputs!$K$4:$AJ$4,0)))+SUMPRODUCT((Inputs!$C$5:$C$110=$B7)*Inputs!$D$5:$D$110*(((Inputs!$G$5:$G$110="moeda")+(Inputs!$G$5:$G$110="acoes"))*Inputs!$B$1+((Inputs!$G$5:$G$110&lt;&gt;"moeda")*(Inputs!$G$5:$G$110&lt;&gt;"acoes")))*INDEX(Inputs!$K$5:$AJ$110,0,MATCH(AD$2,Inputs!$K$4:$AJ$4,0)))+SUMPRODUCT((Inputs!$E$5:$E$110=$B7)*Inputs!$F$5:$F$110*(((Inputs!$G$5:$G$110="moeda")+(Inputs!$G$5:$G$110="acoes"))*Inputs!$B$1+((Inputs!$G$5:$G$110&lt;&gt;"moeda")*(Inputs!$G$5:$G$110&lt;&gt;"acoes")))*INDEX(Inputs!$K$5:$AJ$110,0,MATCH(AD$2,Inputs!$K$4:$AJ$4,0)))))</f>
        <v>-2177</v>
      </c>
      <c r="AE7" s="6" t="e">
        <f>IF(ISNA(MATCH(AE$2,Inputs!$K$4:$AJ$4,0)),NA(),IF(SUMPRODUCT((Inputs!$A$5:$A$110=$B7)*ISNUMBER(INDEX(Inputs!$K$5:$AJ$110,0,MATCH(AE$2,Inputs!$K$4:$AJ$4,0))))+SUMPRODUCT((Inputs!$C$5:$C$110=$B7)*ISNUMBER(INDEX(Inputs!$K$5:$AJ$110,0,MATCH(AE$2,Inputs!$K$4:$AJ$4,0))))+SUMPRODUCT((Inputs!$E$5:$E$110=$B7)*ISNUMBER(INDEX(Inputs!$K$5:$AJ$110,0,MATCH(AE$2,Inputs!$K$4:$AJ$4,0))))=0,NA(),SUMPRODUCT((Inputs!$A$5:$A$110=$B7)*Inputs!$B$5:$B$110*(((Inputs!$G$5:$G$110="moeda")+(Inputs!$G$5:$G$110="acoes"))*Inputs!$B$1+((Inputs!$G$5:$G$110&lt;&gt;"moeda")*(Inputs!$G$5:$G$110&lt;&gt;"acoes")))*INDEX(Inputs!$K$5:$AJ$110,0,MATCH(AE$2,Inputs!$K$4:$AJ$4,0)))+SUMPRODUCT((Inputs!$C$5:$C$110=$B7)*Inputs!$D$5:$D$110*(((Inputs!$G$5:$G$110="moeda")+(Inputs!$G$5:$G$110="acoes"))*Inputs!$B$1+((Inputs!$G$5:$G$110&lt;&gt;"moeda")*(Inputs!$G$5:$G$110&lt;&gt;"acoes")))*INDEX(Inputs!$K$5:$AJ$110,0,MATCH(AE$2,Inputs!$K$4:$AJ$4,0)))+SUMPRODUCT((Inputs!$E$5:$E$110=$B7)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7" s="6" t="e">
        <f>IF(ISNA(MATCH(AF$2,Inputs!$K$4:$AJ$4,0)),NA(),IF(SUMPRODUCT((Inputs!$A$5:$A$110=$B7)*ISNUMBER(INDEX(Inputs!$K$5:$AJ$110,0,MATCH(AF$2,Inputs!$K$4:$AJ$4,0))))+SUMPRODUCT((Inputs!$C$5:$C$110=$B7)*ISNUMBER(INDEX(Inputs!$K$5:$AJ$110,0,MATCH(AF$2,Inputs!$K$4:$AJ$4,0))))+SUMPRODUCT((Inputs!$E$5:$E$110=$B7)*ISNUMBER(INDEX(Inputs!$K$5:$AJ$110,0,MATCH(AF$2,Inputs!$K$4:$AJ$4,0))))=0,NA(),SUMPRODUCT((Inputs!$A$5:$A$110=$B7)*Inputs!$B$5:$B$110*(((Inputs!$G$5:$G$110="moeda")+(Inputs!$G$5:$G$110="acoes"))*Inputs!$B$1+((Inputs!$G$5:$G$110&lt;&gt;"moeda")*(Inputs!$G$5:$G$110&lt;&gt;"acoes")))*INDEX(Inputs!$K$5:$AJ$110,0,MATCH(AF$2,Inputs!$K$4:$AJ$4,0)))+SUMPRODUCT((Inputs!$C$5:$C$110=$B7)*Inputs!$D$5:$D$110*(((Inputs!$G$5:$G$110="moeda")+(Inputs!$G$5:$G$110="acoes"))*Inputs!$B$1+((Inputs!$G$5:$G$110&lt;&gt;"moeda")*(Inputs!$G$5:$G$110&lt;&gt;"acoes")))*INDEX(Inputs!$K$5:$AJ$110,0,MATCH(AF$2,Inputs!$K$4:$AJ$4,0)))+SUMPRODUCT((Inputs!$E$5:$E$110=$B7)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7" s="3" t="e">
        <f>SUM(AC7:AF7)</f>
        <v>#N/A</v>
      </c>
      <c r="AH7" s="6">
        <f>IF(ISNA(MATCH(AH$2,Inputs!$K$4:$AJ$4,0)),NA(),IF(SUMPRODUCT((Inputs!$A$5:$A$110=$B7)*ISNUMBER(INDEX(Inputs!$K$5:$AJ$110,0,MATCH(AH$2,Inputs!$K$4:$AJ$4,0))))+SUMPRODUCT((Inputs!$C$5:$C$110=$B7)*ISNUMBER(INDEX(Inputs!$K$5:$AJ$110,0,MATCH(AH$2,Inputs!$K$4:$AJ$4,0))))+SUMPRODUCT((Inputs!$E$5:$E$110=$B7)*ISNUMBER(INDEX(Inputs!$K$5:$AJ$110,0,MATCH(AH$2,Inputs!$K$4:$AJ$4,0))))=0,NA(),SUMPRODUCT((Inputs!$A$5:$A$110=$B7)*Inputs!$B$5:$B$110*(((Inputs!$G$5:$G$110="moeda")+(Inputs!$G$5:$G$110="acoes"))*Inputs!$B$1+((Inputs!$G$5:$G$110&lt;&gt;"moeda")*(Inputs!$G$5:$G$110&lt;&gt;"acoes")))*INDEX(Inputs!$K$5:$AJ$110,0,MATCH(AH$2,Inputs!$K$4:$AJ$4,0)))+SUMPRODUCT((Inputs!$C$5:$C$110=$B7)*Inputs!$D$5:$D$110*(((Inputs!$G$5:$G$110="moeda")+(Inputs!$G$5:$G$110="acoes"))*Inputs!$B$1+((Inputs!$G$5:$G$110&lt;&gt;"moeda")*(Inputs!$G$5:$G$110&lt;&gt;"acoes")))*INDEX(Inputs!$K$5:$AJ$110,0,MATCH(AH$2,Inputs!$K$4:$AJ$4,0)))+SUMPRODUCT((Inputs!$E$5:$E$110=$B7)*Inputs!$F$5:$F$110*(((Inputs!$G$5:$G$110="moeda")+(Inputs!$G$5:$G$110="acoes"))*Inputs!$B$1+((Inputs!$G$5:$G$110&lt;&gt;"moeda")*(Inputs!$G$5:$G$110&lt;&gt;"acoes")))*INDEX(Inputs!$K$5:$AJ$110,0,MATCH(AH$2,Inputs!$K$4:$AJ$4,0)))))</f>
        <v>-1730</v>
      </c>
      <c r="AI7" s="6">
        <f>IF(ISNA(MATCH(AI$2,Inputs!$K$4:$AJ$4,0)),NA(),IF(SUMPRODUCT((Inputs!$A$5:$A$110=$B7)*ISNUMBER(INDEX(Inputs!$K$5:$AJ$110,0,MATCH(AI$2,Inputs!$K$4:$AJ$4,0))))+SUMPRODUCT((Inputs!$C$5:$C$110=$B7)*ISNUMBER(INDEX(Inputs!$K$5:$AJ$110,0,MATCH(AI$2,Inputs!$K$4:$AJ$4,0))))+SUMPRODUCT((Inputs!$E$5:$E$110=$B7)*ISNUMBER(INDEX(Inputs!$K$5:$AJ$110,0,MATCH(AI$2,Inputs!$K$4:$AJ$4,0))))=0,NA(),SUMPRODUCT((Inputs!$A$5:$A$110=$B7)*Inputs!$B$5:$B$110*(((Inputs!$G$5:$G$110="moeda")+(Inputs!$G$5:$G$110="acoes"))*Inputs!$B$1+((Inputs!$G$5:$G$110&lt;&gt;"moeda")*(Inputs!$G$5:$G$110&lt;&gt;"acoes")))*INDEX(Inputs!$K$5:$AJ$110,0,MATCH(AI$2,Inputs!$K$4:$AJ$4,0)))+SUMPRODUCT((Inputs!$C$5:$C$110=$B7)*Inputs!$D$5:$D$110*(((Inputs!$G$5:$G$110="moeda")+(Inputs!$G$5:$G$110="acoes"))*Inputs!$B$1+((Inputs!$G$5:$G$110&lt;&gt;"moeda")*(Inputs!$G$5:$G$110&lt;&gt;"acoes")))*INDEX(Inputs!$K$5:$AJ$110,0,MATCH(AI$2,Inputs!$K$4:$AJ$4,0)))+SUMPRODUCT((Inputs!$E$5:$E$110=$B7)*Inputs!$F$5:$F$110*(((Inputs!$G$5:$G$110="moeda")+(Inputs!$G$5:$G$110="acoes"))*Inputs!$B$1+((Inputs!$G$5:$G$110&lt;&gt;"moeda")*(Inputs!$G$5:$G$110&lt;&gt;"acoes")))*INDEX(Inputs!$K$5:$AJ$110,0,MATCH(AI$2,Inputs!$K$4:$AJ$4,0)))))</f>
        <v>-1719</v>
      </c>
      <c r="AJ7" s="6">
        <f>IF(ISNA(MATCH(AJ$2,Inputs!$K$4:$AJ$4,0)),NA(),IF(SUMPRODUCT((Inputs!$A$5:$A$110=$B7)*ISNUMBER(INDEX(Inputs!$K$5:$AJ$110,0,MATCH(AJ$2,Inputs!$K$4:$AJ$4,0))))+SUMPRODUCT((Inputs!$C$5:$C$110=$B7)*ISNUMBER(INDEX(Inputs!$K$5:$AJ$110,0,MATCH(AJ$2,Inputs!$K$4:$AJ$4,0))))+SUMPRODUCT((Inputs!$E$5:$E$110=$B7)*ISNUMBER(INDEX(Inputs!$K$5:$AJ$110,0,MATCH(AJ$2,Inputs!$K$4:$AJ$4,0))))=0,NA(),SUMPRODUCT((Inputs!$A$5:$A$110=$B7)*Inputs!$B$5:$B$110*(((Inputs!$G$5:$G$110="moeda")+(Inputs!$G$5:$G$110="acoes"))*Inputs!$B$1+((Inputs!$G$5:$G$110&lt;&gt;"moeda")*(Inputs!$G$5:$G$110&lt;&gt;"acoes")))*INDEX(Inputs!$K$5:$AJ$110,0,MATCH(AJ$2,Inputs!$K$4:$AJ$4,0)))+SUMPRODUCT((Inputs!$C$5:$C$110=$B7)*Inputs!$D$5:$D$110*(((Inputs!$G$5:$G$110="moeda")+(Inputs!$G$5:$G$110="acoes"))*Inputs!$B$1+((Inputs!$G$5:$G$110&lt;&gt;"moeda")*(Inputs!$G$5:$G$110&lt;&gt;"acoes")))*INDEX(Inputs!$K$5:$AJ$110,0,MATCH(AJ$2,Inputs!$K$4:$AJ$4,0)))+SUMPRODUCT((Inputs!$E$5:$E$110=$B7)*Inputs!$F$5:$F$110*(((Inputs!$G$5:$G$110="moeda")+(Inputs!$G$5:$G$110="acoes"))*Inputs!$B$1+((Inputs!$G$5:$G$110&lt;&gt;"moeda")*(Inputs!$G$5:$G$110&lt;&gt;"acoes")))*INDEX(Inputs!$K$5:$AJ$110,0,MATCH(AJ$2,Inputs!$K$4:$AJ$4,0)))))</f>
        <v>-1728</v>
      </c>
      <c r="AK7" s="6">
        <f>IF(ISNA(MATCH(AK$2,Inputs!$K$4:$AJ$4,0)),NA(),IF(SUMPRODUCT((Inputs!$A$5:$A$110=$B7)*ISNUMBER(INDEX(Inputs!$K$5:$AJ$110,0,MATCH(AK$2,Inputs!$K$4:$AJ$4,0))))+SUMPRODUCT((Inputs!$C$5:$C$110=$B7)*ISNUMBER(INDEX(Inputs!$K$5:$AJ$110,0,MATCH(AK$2,Inputs!$K$4:$AJ$4,0))))+SUMPRODUCT((Inputs!$E$5:$E$110=$B7)*ISNUMBER(INDEX(Inputs!$K$5:$AJ$110,0,MATCH(AK$2,Inputs!$K$4:$AJ$4,0))))=0,NA(),SUMPRODUCT((Inputs!$A$5:$A$110=$B7)*Inputs!$B$5:$B$110*(((Inputs!$G$5:$G$110="moeda")+(Inputs!$G$5:$G$110="acoes"))*Inputs!$B$1+((Inputs!$G$5:$G$110&lt;&gt;"moeda")*(Inputs!$G$5:$G$110&lt;&gt;"acoes")))*INDEX(Inputs!$K$5:$AJ$110,0,MATCH(AK$2,Inputs!$K$4:$AJ$4,0)))+SUMPRODUCT((Inputs!$C$5:$C$110=$B7)*Inputs!$D$5:$D$110*(((Inputs!$G$5:$G$110="moeda")+(Inputs!$G$5:$G$110="acoes"))*Inputs!$B$1+((Inputs!$G$5:$G$110&lt;&gt;"moeda")*(Inputs!$G$5:$G$110&lt;&gt;"acoes")))*INDEX(Inputs!$K$5:$AJ$110,0,MATCH(AK$2,Inputs!$K$4:$AJ$4,0)))+SUMPRODUCT((Inputs!$E$5:$E$110=$B7)*Inputs!$F$5:$F$110*(((Inputs!$G$5:$G$110="moeda")+(Inputs!$G$5:$G$110="acoes"))*Inputs!$B$1+((Inputs!$G$5:$G$110&lt;&gt;"moeda")*(Inputs!$G$5:$G$110&lt;&gt;"acoes")))*INDEX(Inputs!$K$5:$AJ$110,0,MATCH(AK$2,Inputs!$K$4:$AJ$4,0)))))</f>
        <v>-1533</v>
      </c>
      <c r="AL7" s="3">
        <f>SUM(AH7:AK7)</f>
        <v>-6710</v>
      </c>
    </row>
    <row r="8">
      <c r="B8" s="46" t="n">
        <v>5</v>
      </c>
      <c r="C8" s="26" t="inlineStr">
        <is>
          <t>Interest Expense</t>
        </is>
      </c>
      <c r="D8" s="6">
        <f>IF(ISNA(MATCH(D$2,Inputs!$K$4:$AJ$4,0)),NA(),IF(SUMPRODUCT((Inputs!$A$5:$A$110=$B8)*ISNUMBER(INDEX(Inputs!$K$5:$AJ$110,0,MATCH(D$2,Inputs!$K$4:$AJ$4,0))))+SUMPRODUCT((Inputs!$C$5:$C$110=$B8)*ISNUMBER(INDEX(Inputs!$K$5:$AJ$110,0,MATCH(D$2,Inputs!$K$4:$AJ$4,0))))+SUMPRODUCT((Inputs!$E$5:$E$110=$B8)*ISNUMBER(INDEX(Inputs!$K$5:$AJ$110,0,MATCH(D$2,Inputs!$K$4:$AJ$4,0))))=0,NA(),SUMPRODUCT((Inputs!$A$5:$A$110=$B8)*Inputs!$B$5:$B$110*(((Inputs!$G$5:$G$110="moeda")+(Inputs!$G$5:$G$110="acoes"))*Inputs!$B$1+((Inputs!$G$5:$G$110&lt;&gt;"moeda")*(Inputs!$G$5:$G$110&lt;&gt;"acoes")))*INDEX(Inputs!$K$5:$AJ$110,0,MATCH(D$2,Inputs!$K$4:$AJ$4,0)))+SUMPRODUCT((Inputs!$C$5:$C$110=$B8)*Inputs!$D$5:$D$110*(((Inputs!$G$5:$G$110="moeda")+(Inputs!$G$5:$G$110="acoes"))*Inputs!$B$1+((Inputs!$G$5:$G$110&lt;&gt;"moeda")*(Inputs!$G$5:$G$110&lt;&gt;"acoes")))*INDEX(Inputs!$K$5:$AJ$110,0,MATCH(D$2,Inputs!$K$4:$AJ$4,0)))+SUMPRODUCT((Inputs!$E$5:$E$110=$B8)*Inputs!$F$5:$F$110*(((Inputs!$G$5:$G$110="moeda")+(Inputs!$G$5:$G$110="acoes"))*Inputs!$B$1+((Inputs!$G$5:$G$110&lt;&gt;"moeda")*(Inputs!$G$5:$G$110&lt;&gt;"acoes")))*INDEX(Inputs!$K$5:$AJ$110,0,MATCH(D$2,Inputs!$K$4:$AJ$4,0)))))</f>
        <v>-466</v>
      </c>
      <c r="E8" s="6">
        <f>IF(ISNA(MATCH(E$2,Inputs!$K$4:$AJ$4,0)),NA(),IF(SUMPRODUCT((Inputs!$A$5:$A$110=$B8)*ISNUMBER(INDEX(Inputs!$K$5:$AJ$110,0,MATCH(E$2,Inputs!$K$4:$AJ$4,0))))+SUMPRODUCT((Inputs!$C$5:$C$110=$B8)*ISNUMBER(INDEX(Inputs!$K$5:$AJ$110,0,MATCH(E$2,Inputs!$K$4:$AJ$4,0))))+SUMPRODUCT((Inputs!$E$5:$E$110=$B8)*ISNUMBER(INDEX(Inputs!$K$5:$AJ$110,0,MATCH(E$2,Inputs!$K$4:$AJ$4,0))))=0,NA(),SUMPRODUCT((Inputs!$A$5:$A$110=$B8)*Inputs!$B$5:$B$110*(((Inputs!$G$5:$G$110="moeda")+(Inputs!$G$5:$G$110="acoes"))*Inputs!$B$1+((Inputs!$G$5:$G$110&lt;&gt;"moeda")*(Inputs!$G$5:$G$110&lt;&gt;"acoes")))*INDEX(Inputs!$K$5:$AJ$110,0,MATCH(E$2,Inputs!$K$4:$AJ$4,0)))+SUMPRODUCT((Inputs!$C$5:$C$110=$B8)*Inputs!$D$5:$D$110*(((Inputs!$G$5:$G$110="moeda")+(Inputs!$G$5:$G$110="acoes"))*Inputs!$B$1+((Inputs!$G$5:$G$110&lt;&gt;"moeda")*(Inputs!$G$5:$G$110&lt;&gt;"acoes")))*INDEX(Inputs!$K$5:$AJ$110,0,MATCH(E$2,Inputs!$K$4:$AJ$4,0)))+SUMPRODUCT((Inputs!$E$5:$E$110=$B8)*Inputs!$F$5:$F$110*(((Inputs!$G$5:$G$110="moeda")+(Inputs!$G$5:$G$110="acoes"))*Inputs!$B$1+((Inputs!$G$5:$G$110&lt;&gt;"moeda")*(Inputs!$G$5:$G$110&lt;&gt;"acoes")))*INDEX(Inputs!$K$5:$AJ$110,0,MATCH(E$2,Inputs!$K$4:$AJ$4,0)))))</f>
        <v>-415</v>
      </c>
      <c r="F8" s="6">
        <f>IF(ISNA(MATCH(F$2,Inputs!$K$4:$AJ$4,0)),NA(),IF(SUMPRODUCT((Inputs!$A$5:$A$110=$B8)*ISNUMBER(INDEX(Inputs!$K$5:$AJ$110,0,MATCH(F$2,Inputs!$K$4:$AJ$4,0))))+SUMPRODUCT((Inputs!$C$5:$C$110=$B8)*ISNUMBER(INDEX(Inputs!$K$5:$AJ$110,0,MATCH(F$2,Inputs!$K$4:$AJ$4,0))))+SUMPRODUCT((Inputs!$E$5:$E$110=$B8)*ISNUMBER(INDEX(Inputs!$K$5:$AJ$110,0,MATCH(F$2,Inputs!$K$4:$AJ$4,0))))=0,NA(),SUMPRODUCT((Inputs!$A$5:$A$110=$B8)*Inputs!$B$5:$B$110*(((Inputs!$G$5:$G$110="moeda")+(Inputs!$G$5:$G$110="acoes"))*Inputs!$B$1+((Inputs!$G$5:$G$110&lt;&gt;"moeda")*(Inputs!$G$5:$G$110&lt;&gt;"acoes")))*INDEX(Inputs!$K$5:$AJ$110,0,MATCH(F$2,Inputs!$K$4:$AJ$4,0)))+SUMPRODUCT((Inputs!$C$5:$C$110=$B8)*Inputs!$D$5:$D$110*(((Inputs!$G$5:$G$110="moeda")+(Inputs!$G$5:$G$110="acoes"))*Inputs!$B$1+((Inputs!$G$5:$G$110&lt;&gt;"moeda")*(Inputs!$G$5:$G$110&lt;&gt;"acoes")))*INDEX(Inputs!$K$5:$AJ$110,0,MATCH(F$2,Inputs!$K$4:$AJ$4,0)))+SUMPRODUCT((Inputs!$E$5:$E$110=$B8)*Inputs!$F$5:$F$110*(((Inputs!$G$5:$G$110="moeda")+(Inputs!$G$5:$G$110="acoes"))*Inputs!$B$1+((Inputs!$G$5:$G$110&lt;&gt;"moeda")*(Inputs!$G$5:$G$110&lt;&gt;"acoes")))*INDEX(Inputs!$K$5:$AJ$110,0,MATCH(F$2,Inputs!$K$4:$AJ$4,0)))))</f>
        <v>-434</v>
      </c>
      <c r="G8" s="6">
        <f>IF(ISNA(MATCH(G$2,Inputs!$K$4:$AJ$4,0)),NA(),IF(SUMPRODUCT((Inputs!$A$5:$A$110=$B8)*ISNUMBER(INDEX(Inputs!$K$5:$AJ$110,0,MATCH(G$2,Inputs!$K$4:$AJ$4,0))))+SUMPRODUCT((Inputs!$C$5:$C$110=$B8)*ISNUMBER(INDEX(Inputs!$K$5:$AJ$110,0,MATCH(G$2,Inputs!$K$4:$AJ$4,0))))+SUMPRODUCT((Inputs!$E$5:$E$110=$B8)*ISNUMBER(INDEX(Inputs!$K$5:$AJ$110,0,MATCH(G$2,Inputs!$K$4:$AJ$4,0))))=0,NA(),SUMPRODUCT((Inputs!$A$5:$A$110=$B8)*Inputs!$B$5:$B$110*(((Inputs!$G$5:$G$110="moeda")+(Inputs!$G$5:$G$110="acoes"))*Inputs!$B$1+((Inputs!$G$5:$G$110&lt;&gt;"moeda")*(Inputs!$G$5:$G$110&lt;&gt;"acoes")))*INDEX(Inputs!$K$5:$AJ$110,0,MATCH(G$2,Inputs!$K$4:$AJ$4,0)))+SUMPRODUCT((Inputs!$C$5:$C$110=$B8)*Inputs!$D$5:$D$110*(((Inputs!$G$5:$G$110="moeda")+(Inputs!$G$5:$G$110="acoes"))*Inputs!$B$1+((Inputs!$G$5:$G$110&lt;&gt;"moeda")*(Inputs!$G$5:$G$110&lt;&gt;"acoes")))*INDEX(Inputs!$K$5:$AJ$110,0,MATCH(G$2,Inputs!$K$4:$AJ$4,0)))+SUMPRODUCT((Inputs!$E$5:$E$110=$B8)*Inputs!$F$5:$F$110*(((Inputs!$G$5:$G$110="moeda")+(Inputs!$G$5:$G$110="acoes"))*Inputs!$B$1+((Inputs!$G$5:$G$110&lt;&gt;"moeda")*(Inputs!$G$5:$G$110&lt;&gt;"acoes")))*INDEX(Inputs!$K$5:$AJ$110,0,MATCH(G$2,Inputs!$K$4:$AJ$4,0)))))</f>
        <v>-407</v>
      </c>
      <c r="H8" s="3">
        <f>SUM(D8:G8)</f>
        <v>-1722</v>
      </c>
      <c r="I8" s="6">
        <f>IF(ISNA(MATCH(I$2,Inputs!$K$4:$AJ$4,0)),NA(),IF(SUMPRODUCT((Inputs!$A$5:$A$110=$B8)*ISNUMBER(INDEX(Inputs!$K$5:$AJ$110,0,MATCH(I$2,Inputs!$K$4:$AJ$4,0))))+SUMPRODUCT((Inputs!$C$5:$C$110=$B8)*ISNUMBER(INDEX(Inputs!$K$5:$AJ$110,0,MATCH(I$2,Inputs!$K$4:$AJ$4,0))))+SUMPRODUCT((Inputs!$E$5:$E$110=$B8)*ISNUMBER(INDEX(Inputs!$K$5:$AJ$110,0,MATCH(I$2,Inputs!$K$4:$AJ$4,0))))=0,NA(),SUMPRODUCT((Inputs!$A$5:$A$110=$B8)*Inputs!$B$5:$B$110*(((Inputs!$G$5:$G$110="moeda")+(Inputs!$G$5:$G$110="acoes"))*Inputs!$B$1+((Inputs!$G$5:$G$110&lt;&gt;"moeda")*(Inputs!$G$5:$G$110&lt;&gt;"acoes")))*INDEX(Inputs!$K$5:$AJ$110,0,MATCH(I$2,Inputs!$K$4:$AJ$4,0)))+SUMPRODUCT((Inputs!$C$5:$C$110=$B8)*Inputs!$D$5:$D$110*(((Inputs!$G$5:$G$110="moeda")+(Inputs!$G$5:$G$110="acoes"))*Inputs!$B$1+((Inputs!$G$5:$G$110&lt;&gt;"moeda")*(Inputs!$G$5:$G$110&lt;&gt;"acoes")))*INDEX(Inputs!$K$5:$AJ$110,0,MATCH(I$2,Inputs!$K$4:$AJ$4,0)))+SUMPRODUCT((Inputs!$E$5:$E$110=$B8)*Inputs!$F$5:$F$110*(((Inputs!$G$5:$G$110="moeda")+(Inputs!$G$5:$G$110="acoes"))*Inputs!$B$1+((Inputs!$G$5:$G$110&lt;&gt;"moeda")*(Inputs!$G$5:$G$110&lt;&gt;"acoes")))*INDEX(Inputs!$K$5:$AJ$110,0,MATCH(I$2,Inputs!$K$4:$AJ$4,0)))))</f>
        <v>-518</v>
      </c>
      <c r="J8" s="6">
        <f>IF(ISNA(MATCH(J$2,Inputs!$K$4:$AJ$4,0)),NA(),IF(SUMPRODUCT((Inputs!$A$5:$A$110=$B8)*ISNUMBER(INDEX(Inputs!$K$5:$AJ$110,0,MATCH(J$2,Inputs!$K$4:$AJ$4,0))))+SUMPRODUCT((Inputs!$C$5:$C$110=$B8)*ISNUMBER(INDEX(Inputs!$K$5:$AJ$110,0,MATCH(J$2,Inputs!$K$4:$AJ$4,0))))+SUMPRODUCT((Inputs!$E$5:$E$110=$B8)*ISNUMBER(INDEX(Inputs!$K$5:$AJ$110,0,MATCH(J$2,Inputs!$K$4:$AJ$4,0))))=0,NA(),SUMPRODUCT((Inputs!$A$5:$A$110=$B8)*Inputs!$B$5:$B$110*(((Inputs!$G$5:$G$110="moeda")+(Inputs!$G$5:$G$110="acoes"))*Inputs!$B$1+((Inputs!$G$5:$G$110&lt;&gt;"moeda")*(Inputs!$G$5:$G$110&lt;&gt;"acoes")))*INDEX(Inputs!$K$5:$AJ$110,0,MATCH(J$2,Inputs!$K$4:$AJ$4,0)))+SUMPRODUCT((Inputs!$C$5:$C$110=$B8)*Inputs!$D$5:$D$110*(((Inputs!$G$5:$G$110="moeda")+(Inputs!$G$5:$G$110="acoes"))*Inputs!$B$1+((Inputs!$G$5:$G$110&lt;&gt;"moeda")*(Inputs!$G$5:$G$110&lt;&gt;"acoes")))*INDEX(Inputs!$K$5:$AJ$110,0,MATCH(J$2,Inputs!$K$4:$AJ$4,0)))+SUMPRODUCT((Inputs!$E$5:$E$110=$B8)*Inputs!$F$5:$F$110*(((Inputs!$G$5:$G$110="moeda")+(Inputs!$G$5:$G$110="acoes"))*Inputs!$B$1+((Inputs!$G$5:$G$110&lt;&gt;"moeda")*(Inputs!$G$5:$G$110&lt;&gt;"acoes")))*INDEX(Inputs!$K$5:$AJ$110,0,MATCH(J$2,Inputs!$K$4:$AJ$4,0)))))</f>
        <v>-406</v>
      </c>
      <c r="K8" s="6">
        <f>IF(ISNA(MATCH(K$2,Inputs!$K$4:$AJ$4,0)),NA(),IF(SUMPRODUCT((Inputs!$A$5:$A$110=$B8)*ISNUMBER(INDEX(Inputs!$K$5:$AJ$110,0,MATCH(K$2,Inputs!$K$4:$AJ$4,0))))+SUMPRODUCT((Inputs!$C$5:$C$110=$B8)*ISNUMBER(INDEX(Inputs!$K$5:$AJ$110,0,MATCH(K$2,Inputs!$K$4:$AJ$4,0))))+SUMPRODUCT((Inputs!$E$5:$E$110=$B8)*ISNUMBER(INDEX(Inputs!$K$5:$AJ$110,0,MATCH(K$2,Inputs!$K$4:$AJ$4,0))))=0,NA(),SUMPRODUCT((Inputs!$A$5:$A$110=$B8)*Inputs!$B$5:$B$110*(((Inputs!$G$5:$G$110="moeda")+(Inputs!$G$5:$G$110="acoes"))*Inputs!$B$1+((Inputs!$G$5:$G$110&lt;&gt;"moeda")*(Inputs!$G$5:$G$110&lt;&gt;"acoes")))*INDEX(Inputs!$K$5:$AJ$110,0,MATCH(K$2,Inputs!$K$4:$AJ$4,0)))+SUMPRODUCT((Inputs!$C$5:$C$110=$B8)*Inputs!$D$5:$D$110*(((Inputs!$G$5:$G$110="moeda")+(Inputs!$G$5:$G$110="acoes"))*Inputs!$B$1+((Inputs!$G$5:$G$110&lt;&gt;"moeda")*(Inputs!$G$5:$G$110&lt;&gt;"acoes")))*INDEX(Inputs!$K$5:$AJ$110,0,MATCH(K$2,Inputs!$K$4:$AJ$4,0)))+SUMPRODUCT((Inputs!$E$5:$E$110=$B8)*Inputs!$F$5:$F$110*(((Inputs!$G$5:$G$110="moeda")+(Inputs!$G$5:$G$110="acoes"))*Inputs!$B$1+((Inputs!$G$5:$G$110&lt;&gt;"moeda")*(Inputs!$G$5:$G$110&lt;&gt;"acoes")))*INDEX(Inputs!$K$5:$AJ$110,0,MATCH(K$2,Inputs!$K$4:$AJ$4,0)))))</f>
        <v>-406</v>
      </c>
      <c r="L8" s="6">
        <f>IF(ISNA(MATCH(L$2,Inputs!$K$4:$AJ$4,0)),NA(),IF(SUMPRODUCT((Inputs!$A$5:$A$110=$B8)*ISNUMBER(INDEX(Inputs!$K$5:$AJ$110,0,MATCH(L$2,Inputs!$K$4:$AJ$4,0))))+SUMPRODUCT((Inputs!$C$5:$C$110=$B8)*ISNUMBER(INDEX(Inputs!$K$5:$AJ$110,0,MATCH(L$2,Inputs!$K$4:$AJ$4,0))))+SUMPRODUCT((Inputs!$E$5:$E$110=$B8)*ISNUMBER(INDEX(Inputs!$K$5:$AJ$110,0,MATCH(L$2,Inputs!$K$4:$AJ$4,0))))=0,NA(),SUMPRODUCT((Inputs!$A$5:$A$110=$B8)*Inputs!$B$5:$B$110*(((Inputs!$G$5:$G$110="moeda")+(Inputs!$G$5:$G$110="acoes"))*Inputs!$B$1+((Inputs!$G$5:$G$110&lt;&gt;"moeda")*(Inputs!$G$5:$G$110&lt;&gt;"acoes")))*INDEX(Inputs!$K$5:$AJ$110,0,MATCH(L$2,Inputs!$K$4:$AJ$4,0)))+SUMPRODUCT((Inputs!$C$5:$C$110=$B8)*Inputs!$D$5:$D$110*(((Inputs!$G$5:$G$110="moeda")+(Inputs!$G$5:$G$110="acoes"))*Inputs!$B$1+((Inputs!$G$5:$G$110&lt;&gt;"moeda")*(Inputs!$G$5:$G$110&lt;&gt;"acoes")))*INDEX(Inputs!$K$5:$AJ$110,0,MATCH(L$2,Inputs!$K$4:$AJ$4,0)))+SUMPRODUCT((Inputs!$E$5:$E$110=$B8)*Inputs!$F$5:$F$110*(((Inputs!$G$5:$G$110="moeda")+(Inputs!$G$5:$G$110="acoes"))*Inputs!$B$1+((Inputs!$G$5:$G$110&lt;&gt;"moeda")*(Inputs!$G$5:$G$110&lt;&gt;"acoes")))*INDEX(Inputs!$K$5:$AJ$110,0,MATCH(L$2,Inputs!$K$4:$AJ$4,0)))))</f>
        <v>-406</v>
      </c>
      <c r="M8" s="3">
        <f>SUM(I8:L8)</f>
        <v>-1736</v>
      </c>
      <c r="N8" s="6">
        <f>IF(ISNA(MATCH(N$2,Inputs!$K$4:$AJ$4,0)),NA(),IF(SUMPRODUCT((Inputs!$A$5:$A$110=$B8)*ISNUMBER(INDEX(Inputs!$K$5:$AJ$110,0,MATCH(N$2,Inputs!$K$4:$AJ$4,0))))+SUMPRODUCT((Inputs!$C$5:$C$110=$B8)*ISNUMBER(INDEX(Inputs!$K$5:$AJ$110,0,MATCH(N$2,Inputs!$K$4:$AJ$4,0))))+SUMPRODUCT((Inputs!$E$5:$E$110=$B8)*ISNUMBER(INDEX(Inputs!$K$5:$AJ$110,0,MATCH(N$2,Inputs!$K$4:$AJ$4,0))))=0,NA(),SUMPRODUCT((Inputs!$A$5:$A$110=$B8)*Inputs!$B$5:$B$110*(((Inputs!$G$5:$G$110="moeda")+(Inputs!$G$5:$G$110="acoes"))*Inputs!$B$1+((Inputs!$G$5:$G$110&lt;&gt;"moeda")*(Inputs!$G$5:$G$110&lt;&gt;"acoes")))*INDEX(Inputs!$K$5:$AJ$110,0,MATCH(N$2,Inputs!$K$4:$AJ$4,0)))+SUMPRODUCT((Inputs!$C$5:$C$110=$B8)*Inputs!$D$5:$D$110*(((Inputs!$G$5:$G$110="moeda")+(Inputs!$G$5:$G$110="acoes"))*Inputs!$B$1+((Inputs!$G$5:$G$110&lt;&gt;"moeda")*(Inputs!$G$5:$G$110&lt;&gt;"acoes")))*INDEX(Inputs!$K$5:$AJ$110,0,MATCH(N$2,Inputs!$K$4:$AJ$4,0)))+SUMPRODUCT((Inputs!$E$5:$E$110=$B8)*Inputs!$F$5:$F$110*(((Inputs!$G$5:$G$110="moeda")+(Inputs!$G$5:$G$110="acoes"))*Inputs!$B$1+((Inputs!$G$5:$G$110&lt;&gt;"moeda")*(Inputs!$G$5:$G$110&lt;&gt;"acoes")))*INDEX(Inputs!$K$5:$AJ$110,0,MATCH(N$2,Inputs!$K$4:$AJ$4,0)))))</f>
        <v>-405</v>
      </c>
      <c r="O8" s="6">
        <f>IF(ISNA(MATCH(O$2,Inputs!$K$4:$AJ$4,0)),NA(),IF(SUMPRODUCT((Inputs!$A$5:$A$110=$B8)*ISNUMBER(INDEX(Inputs!$K$5:$AJ$110,0,MATCH(O$2,Inputs!$K$4:$AJ$4,0))))+SUMPRODUCT((Inputs!$C$5:$C$110=$B8)*ISNUMBER(INDEX(Inputs!$K$5:$AJ$110,0,MATCH(O$2,Inputs!$K$4:$AJ$4,0))))+SUMPRODUCT((Inputs!$E$5:$E$110=$B8)*ISNUMBER(INDEX(Inputs!$K$5:$AJ$110,0,MATCH(O$2,Inputs!$K$4:$AJ$4,0))))=0,NA(),SUMPRODUCT((Inputs!$A$5:$A$110=$B8)*Inputs!$B$5:$B$110*(((Inputs!$G$5:$G$110="moeda")+(Inputs!$G$5:$G$110="acoes"))*Inputs!$B$1+((Inputs!$G$5:$G$110&lt;&gt;"moeda")*(Inputs!$G$5:$G$110&lt;&gt;"acoes")))*INDEX(Inputs!$K$5:$AJ$110,0,MATCH(O$2,Inputs!$K$4:$AJ$4,0)))+SUMPRODUCT((Inputs!$C$5:$C$110=$B8)*Inputs!$D$5:$D$110*(((Inputs!$G$5:$G$110="moeda")+(Inputs!$G$5:$G$110="acoes"))*Inputs!$B$1+((Inputs!$G$5:$G$110&lt;&gt;"moeda")*(Inputs!$G$5:$G$110&lt;&gt;"acoes")))*INDEX(Inputs!$K$5:$AJ$110,0,MATCH(O$2,Inputs!$K$4:$AJ$4,0)))+SUMPRODUCT((Inputs!$E$5:$E$110=$B8)*Inputs!$F$5:$F$110*(((Inputs!$G$5:$G$110="moeda")+(Inputs!$G$5:$G$110="acoes"))*Inputs!$B$1+((Inputs!$G$5:$G$110&lt;&gt;"moeda")*(Inputs!$G$5:$G$110&lt;&gt;"acoes")))*INDEX(Inputs!$K$5:$AJ$110,0,MATCH(O$2,Inputs!$K$4:$AJ$4,0)))))</f>
        <v>-406</v>
      </c>
      <c r="P8" s="6">
        <f>IF(ISNA(MATCH(P$2,Inputs!$K$4:$AJ$4,0)),NA(),IF(SUMPRODUCT((Inputs!$A$5:$A$110=$B8)*ISNUMBER(INDEX(Inputs!$K$5:$AJ$110,0,MATCH(P$2,Inputs!$K$4:$AJ$4,0))))+SUMPRODUCT((Inputs!$C$5:$C$110=$B8)*ISNUMBER(INDEX(Inputs!$K$5:$AJ$110,0,MATCH(P$2,Inputs!$K$4:$AJ$4,0))))+SUMPRODUCT((Inputs!$E$5:$E$110=$B8)*ISNUMBER(INDEX(Inputs!$K$5:$AJ$110,0,MATCH(P$2,Inputs!$K$4:$AJ$4,0))))=0,NA(),SUMPRODUCT((Inputs!$A$5:$A$110=$B8)*Inputs!$B$5:$B$110*(((Inputs!$G$5:$G$110="moeda")+(Inputs!$G$5:$G$110="acoes"))*Inputs!$B$1+((Inputs!$G$5:$G$110&lt;&gt;"moeda")*(Inputs!$G$5:$G$110&lt;&gt;"acoes")))*INDEX(Inputs!$K$5:$AJ$110,0,MATCH(P$2,Inputs!$K$4:$AJ$4,0)))+SUMPRODUCT((Inputs!$C$5:$C$110=$B8)*Inputs!$D$5:$D$110*(((Inputs!$G$5:$G$110="moeda")+(Inputs!$G$5:$G$110="acoes"))*Inputs!$B$1+((Inputs!$G$5:$G$110&lt;&gt;"moeda")*(Inputs!$G$5:$G$110&lt;&gt;"acoes")))*INDEX(Inputs!$K$5:$AJ$110,0,MATCH(P$2,Inputs!$K$4:$AJ$4,0)))+SUMPRODUCT((Inputs!$E$5:$E$110=$B8)*Inputs!$F$5:$F$110*(((Inputs!$G$5:$G$110="moeda")+(Inputs!$G$5:$G$110="acoes"))*Inputs!$B$1+((Inputs!$G$5:$G$110&lt;&gt;"moeda")*(Inputs!$G$5:$G$110&lt;&gt;"acoes")))*INDEX(Inputs!$K$5:$AJ$110,0,MATCH(P$2,Inputs!$K$4:$AJ$4,0)))))</f>
        <v>-405</v>
      </c>
      <c r="Q8" s="6">
        <f>IF(ISNA(MATCH(Q$2,Inputs!$K$4:$AJ$4,0)),NA(),IF(SUMPRODUCT((Inputs!$A$5:$A$110=$B8)*ISNUMBER(INDEX(Inputs!$K$5:$AJ$110,0,MATCH(Q$2,Inputs!$K$4:$AJ$4,0))))+SUMPRODUCT((Inputs!$C$5:$C$110=$B8)*ISNUMBER(INDEX(Inputs!$K$5:$AJ$110,0,MATCH(Q$2,Inputs!$K$4:$AJ$4,0))))+SUMPRODUCT((Inputs!$E$5:$E$110=$B8)*ISNUMBER(INDEX(Inputs!$K$5:$AJ$110,0,MATCH(Q$2,Inputs!$K$4:$AJ$4,0))))=0,NA(),SUMPRODUCT((Inputs!$A$5:$A$110=$B8)*Inputs!$B$5:$B$110*(((Inputs!$G$5:$G$110="moeda")+(Inputs!$G$5:$G$110="acoes"))*Inputs!$B$1+((Inputs!$G$5:$G$110&lt;&gt;"moeda")*(Inputs!$G$5:$G$110&lt;&gt;"acoes")))*INDEX(Inputs!$K$5:$AJ$110,0,MATCH(Q$2,Inputs!$K$4:$AJ$4,0)))+SUMPRODUCT((Inputs!$C$5:$C$110=$B8)*Inputs!$D$5:$D$110*(((Inputs!$G$5:$G$110="moeda")+(Inputs!$G$5:$G$110="acoes"))*Inputs!$B$1+((Inputs!$G$5:$G$110&lt;&gt;"moeda")*(Inputs!$G$5:$G$110&lt;&gt;"acoes")))*INDEX(Inputs!$K$5:$AJ$110,0,MATCH(Q$2,Inputs!$K$4:$AJ$4,0)))+SUMPRODUCT((Inputs!$E$5:$E$110=$B8)*Inputs!$F$5:$F$110*(((Inputs!$G$5:$G$110="moeda")+(Inputs!$G$5:$G$110="acoes"))*Inputs!$B$1+((Inputs!$G$5:$G$110&lt;&gt;"moeda")*(Inputs!$G$5:$G$110&lt;&gt;"acoes")))*INDEX(Inputs!$K$5:$AJ$110,0,MATCH(Q$2,Inputs!$K$4:$AJ$4,0)))))</f>
        <v>-926</v>
      </c>
      <c r="R8" s="3">
        <f>SUM(N8:Q8)</f>
        <v>-2142</v>
      </c>
      <c r="S8" s="6">
        <f>IF(ISNA(MATCH(S$2,Inputs!$K$4:$AJ$4,0)),NA(),IF(SUMPRODUCT((Inputs!$A$5:$A$110=$B8)*ISNUMBER(INDEX(Inputs!$K$5:$AJ$110,0,MATCH(S$2,Inputs!$K$4:$AJ$4,0))))+SUMPRODUCT((Inputs!$C$5:$C$110=$B8)*ISNUMBER(INDEX(Inputs!$K$5:$AJ$110,0,MATCH(S$2,Inputs!$K$4:$AJ$4,0))))+SUMPRODUCT((Inputs!$E$5:$E$110=$B8)*ISNUMBER(INDEX(Inputs!$K$5:$AJ$110,0,MATCH(S$2,Inputs!$K$4:$AJ$4,0))))=0,NA(),SUMPRODUCT((Inputs!$A$5:$A$110=$B8)*Inputs!$B$5:$B$110*(((Inputs!$G$5:$G$110="moeda")+(Inputs!$G$5:$G$110="acoes"))*Inputs!$B$1+((Inputs!$G$5:$G$110&lt;&gt;"moeda")*(Inputs!$G$5:$G$110&lt;&gt;"acoes")))*INDEX(Inputs!$K$5:$AJ$110,0,MATCH(S$2,Inputs!$K$4:$AJ$4,0)))+SUMPRODUCT((Inputs!$C$5:$C$110=$B8)*Inputs!$D$5:$D$110*(((Inputs!$G$5:$G$110="moeda")+(Inputs!$G$5:$G$110="acoes"))*Inputs!$B$1+((Inputs!$G$5:$G$110&lt;&gt;"moeda")*(Inputs!$G$5:$G$110&lt;&gt;"acoes")))*INDEX(Inputs!$K$5:$AJ$110,0,MATCH(S$2,Inputs!$K$4:$AJ$4,0)))+SUMPRODUCT((Inputs!$E$5:$E$110=$B8)*Inputs!$F$5:$F$110*(((Inputs!$G$5:$G$110="moeda")+(Inputs!$G$5:$G$110="acoes"))*Inputs!$B$1+((Inputs!$G$5:$G$110&lt;&gt;"moeda")*(Inputs!$G$5:$G$110&lt;&gt;"acoes")))*INDEX(Inputs!$K$5:$AJ$110,0,MATCH(S$2,Inputs!$K$4:$AJ$4,0)))))</f>
        <v>-1047</v>
      </c>
      <c r="T8" s="6">
        <f>IF(ISNA(MATCH(T$2,Inputs!$K$4:$AJ$4,0)),NA(),IF(SUMPRODUCT((Inputs!$A$5:$A$110=$B8)*ISNUMBER(INDEX(Inputs!$K$5:$AJ$110,0,MATCH(T$2,Inputs!$K$4:$AJ$4,0))))+SUMPRODUCT((Inputs!$C$5:$C$110=$B8)*ISNUMBER(INDEX(Inputs!$K$5:$AJ$110,0,MATCH(T$2,Inputs!$K$4:$AJ$4,0))))+SUMPRODUCT((Inputs!$E$5:$E$110=$B8)*ISNUMBER(INDEX(Inputs!$K$5:$AJ$110,0,MATCH(T$2,Inputs!$K$4:$AJ$4,0))))=0,NA(),SUMPRODUCT((Inputs!$A$5:$A$110=$B8)*Inputs!$B$5:$B$110*(((Inputs!$G$5:$G$110="moeda")+(Inputs!$G$5:$G$110="acoes"))*Inputs!$B$1+((Inputs!$G$5:$G$110&lt;&gt;"moeda")*(Inputs!$G$5:$G$110&lt;&gt;"acoes")))*INDEX(Inputs!$K$5:$AJ$110,0,MATCH(T$2,Inputs!$K$4:$AJ$4,0)))+SUMPRODUCT((Inputs!$C$5:$C$110=$B8)*Inputs!$D$5:$D$110*(((Inputs!$G$5:$G$110="moeda")+(Inputs!$G$5:$G$110="acoes"))*Inputs!$B$1+((Inputs!$G$5:$G$110&lt;&gt;"moeda")*(Inputs!$G$5:$G$110&lt;&gt;"acoes")))*INDEX(Inputs!$K$5:$AJ$110,0,MATCH(T$2,Inputs!$K$4:$AJ$4,0)))+SUMPRODUCT((Inputs!$E$5:$E$110=$B8)*Inputs!$F$5:$F$110*(((Inputs!$G$5:$G$110="moeda")+(Inputs!$G$5:$G$110="acoes"))*Inputs!$B$1+((Inputs!$G$5:$G$110&lt;&gt;"moeda")*(Inputs!$G$5:$G$110&lt;&gt;"acoes")))*INDEX(Inputs!$K$5:$AJ$110,0,MATCH(T$2,Inputs!$K$4:$AJ$4,0)))))</f>
        <v>-1064</v>
      </c>
      <c r="U8" s="6">
        <f>IF(ISNA(MATCH(U$2,Inputs!$K$4:$AJ$4,0)),NA(),IF(SUMPRODUCT((Inputs!$A$5:$A$110=$B8)*ISNUMBER(INDEX(Inputs!$K$5:$AJ$110,0,MATCH(U$2,Inputs!$K$4:$AJ$4,0))))+SUMPRODUCT((Inputs!$C$5:$C$110=$B8)*ISNUMBER(INDEX(Inputs!$K$5:$AJ$110,0,MATCH(U$2,Inputs!$K$4:$AJ$4,0))))+SUMPRODUCT((Inputs!$E$5:$E$110=$B8)*ISNUMBER(INDEX(Inputs!$K$5:$AJ$110,0,MATCH(U$2,Inputs!$K$4:$AJ$4,0))))=0,NA(),SUMPRODUCT((Inputs!$A$5:$A$110=$B8)*Inputs!$B$5:$B$110*(((Inputs!$G$5:$G$110="moeda")+(Inputs!$G$5:$G$110="acoes"))*Inputs!$B$1+((Inputs!$G$5:$G$110&lt;&gt;"moeda")*(Inputs!$G$5:$G$110&lt;&gt;"acoes")))*INDEX(Inputs!$K$5:$AJ$110,0,MATCH(U$2,Inputs!$K$4:$AJ$4,0)))+SUMPRODUCT((Inputs!$C$5:$C$110=$B8)*Inputs!$D$5:$D$110*(((Inputs!$G$5:$G$110="moeda")+(Inputs!$G$5:$G$110="acoes"))*Inputs!$B$1+((Inputs!$G$5:$G$110&lt;&gt;"moeda")*(Inputs!$G$5:$G$110&lt;&gt;"acoes")))*INDEX(Inputs!$K$5:$AJ$110,0,MATCH(U$2,Inputs!$K$4:$AJ$4,0)))+SUMPRODUCT((Inputs!$E$5:$E$110=$B8)*Inputs!$F$5:$F$110*(((Inputs!$G$5:$G$110="moeda")+(Inputs!$G$5:$G$110="acoes"))*Inputs!$B$1+((Inputs!$G$5:$G$110&lt;&gt;"moeda")*(Inputs!$G$5:$G$110&lt;&gt;"acoes")))*INDEX(Inputs!$K$5:$AJ$110,0,MATCH(U$2,Inputs!$K$4:$AJ$4,0)))))</f>
        <v>-916</v>
      </c>
      <c r="V8" s="6">
        <f>IF(ISNA(MATCH(V$2,Inputs!$K$4:$AJ$4,0)),NA(),IF(SUMPRODUCT((Inputs!$A$5:$A$110=$B8)*ISNUMBER(INDEX(Inputs!$K$5:$AJ$110,0,MATCH(V$2,Inputs!$K$4:$AJ$4,0))))+SUMPRODUCT((Inputs!$C$5:$C$110=$B8)*ISNUMBER(INDEX(Inputs!$K$5:$AJ$110,0,MATCH(V$2,Inputs!$K$4:$AJ$4,0))))+SUMPRODUCT((Inputs!$E$5:$E$110=$B8)*ISNUMBER(INDEX(Inputs!$K$5:$AJ$110,0,MATCH(V$2,Inputs!$K$4:$AJ$4,0))))=0,NA(),SUMPRODUCT((Inputs!$A$5:$A$110=$B8)*Inputs!$B$5:$B$110*(((Inputs!$G$5:$G$110="moeda")+(Inputs!$G$5:$G$110="acoes"))*Inputs!$B$1+((Inputs!$G$5:$G$110&lt;&gt;"moeda")*(Inputs!$G$5:$G$110&lt;&gt;"acoes")))*INDEX(Inputs!$K$5:$AJ$110,0,MATCH(V$2,Inputs!$K$4:$AJ$4,0)))+SUMPRODUCT((Inputs!$C$5:$C$110=$B8)*Inputs!$D$5:$D$110*(((Inputs!$G$5:$G$110="moeda")+(Inputs!$G$5:$G$110="acoes"))*Inputs!$B$1+((Inputs!$G$5:$G$110&lt;&gt;"moeda")*(Inputs!$G$5:$G$110&lt;&gt;"acoes")))*INDEX(Inputs!$K$5:$AJ$110,0,MATCH(V$2,Inputs!$K$4:$AJ$4,0)))+SUMPRODUCT((Inputs!$E$5:$E$110=$B8)*Inputs!$F$5:$F$110*(((Inputs!$G$5:$G$110="moeda")+(Inputs!$G$5:$G$110="acoes"))*Inputs!$B$1+((Inputs!$G$5:$G$110&lt;&gt;"moeda")*(Inputs!$G$5:$G$110&lt;&gt;"acoes")))*INDEX(Inputs!$K$5:$AJ$110,0,MATCH(V$2,Inputs!$K$4:$AJ$4,0)))))</f>
        <v>-873</v>
      </c>
      <c r="W8" s="3">
        <f>SUM(S8:V8)</f>
        <v>-3900</v>
      </c>
      <c r="X8" s="6">
        <f>IF(ISNA(MATCH(X$2,Inputs!$K$4:$AJ$4,0)),NA(),IF(SUMPRODUCT((Inputs!$A$5:$A$110=$B8)*ISNUMBER(INDEX(Inputs!$K$5:$AJ$110,0,MATCH(X$2,Inputs!$K$4:$AJ$4,0))))+SUMPRODUCT((Inputs!$C$5:$C$110=$B8)*ISNUMBER(INDEX(Inputs!$K$5:$AJ$110,0,MATCH(X$2,Inputs!$K$4:$AJ$4,0))))+SUMPRODUCT((Inputs!$E$5:$E$110=$B8)*ISNUMBER(INDEX(Inputs!$K$5:$AJ$110,0,MATCH(X$2,Inputs!$K$4:$AJ$4,0))))=0,NA(),SUMPRODUCT((Inputs!$A$5:$A$110=$B8)*Inputs!$B$5:$B$110*(((Inputs!$G$5:$G$110="moeda")+(Inputs!$G$5:$G$110="acoes"))*Inputs!$B$1+((Inputs!$G$5:$G$110&lt;&gt;"moeda")*(Inputs!$G$5:$G$110&lt;&gt;"acoes")))*INDEX(Inputs!$K$5:$AJ$110,0,MATCH(X$2,Inputs!$K$4:$AJ$4,0)))+SUMPRODUCT((Inputs!$C$5:$C$110=$B8)*Inputs!$D$5:$D$110*(((Inputs!$G$5:$G$110="moeda")+(Inputs!$G$5:$G$110="acoes"))*Inputs!$B$1+((Inputs!$G$5:$G$110&lt;&gt;"moeda")*(Inputs!$G$5:$G$110&lt;&gt;"acoes")))*INDEX(Inputs!$K$5:$AJ$110,0,MATCH(X$2,Inputs!$K$4:$AJ$4,0)))+SUMPRODUCT((Inputs!$E$5:$E$110=$B8)*Inputs!$F$5:$F$110*(((Inputs!$G$5:$G$110="moeda")+(Inputs!$G$5:$G$110="acoes"))*Inputs!$B$1+((Inputs!$G$5:$G$110&lt;&gt;"moeda")*(Inputs!$G$5:$G$110&lt;&gt;"acoes")))*INDEX(Inputs!$K$5:$AJ$110,0,MATCH(X$2,Inputs!$K$4:$AJ$4,0)))))</f>
        <v>-769</v>
      </c>
      <c r="Y8" s="6">
        <f>IF(ISNA(MATCH(Y$2,Inputs!$K$4:$AJ$4,0)),NA(),IF(SUMPRODUCT((Inputs!$A$5:$A$110=$B8)*ISNUMBER(INDEX(Inputs!$K$5:$AJ$110,0,MATCH(Y$2,Inputs!$K$4:$AJ$4,0))))+SUMPRODUCT((Inputs!$C$5:$C$110=$B8)*ISNUMBER(INDEX(Inputs!$K$5:$AJ$110,0,MATCH(Y$2,Inputs!$K$4:$AJ$4,0))))+SUMPRODUCT((Inputs!$E$5:$E$110=$B8)*ISNUMBER(INDEX(Inputs!$K$5:$AJ$110,0,MATCH(Y$2,Inputs!$K$4:$AJ$4,0))))=0,NA(),SUMPRODUCT((Inputs!$A$5:$A$110=$B8)*Inputs!$B$5:$B$110*(((Inputs!$G$5:$G$110="moeda")+(Inputs!$G$5:$G$110="acoes"))*Inputs!$B$1+((Inputs!$G$5:$G$110&lt;&gt;"moeda")*(Inputs!$G$5:$G$110&lt;&gt;"acoes")))*INDEX(Inputs!$K$5:$AJ$110,0,MATCH(Y$2,Inputs!$K$4:$AJ$4,0)))+SUMPRODUCT((Inputs!$C$5:$C$110=$B8)*Inputs!$D$5:$D$110*(((Inputs!$G$5:$G$110="moeda")+(Inputs!$G$5:$G$110="acoes"))*Inputs!$B$1+((Inputs!$G$5:$G$110&lt;&gt;"moeda")*(Inputs!$G$5:$G$110&lt;&gt;"acoes")))*INDEX(Inputs!$K$5:$AJ$110,0,MATCH(Y$2,Inputs!$K$4:$AJ$4,0)))+SUMPRODUCT((Inputs!$E$5:$E$110=$B8)*Inputs!$F$5:$F$110*(((Inputs!$G$5:$G$110="moeda")+(Inputs!$G$5:$G$110="acoes"))*Inputs!$B$1+((Inputs!$G$5:$G$110&lt;&gt;"moeda")*(Inputs!$G$5:$G$110&lt;&gt;"acoes")))*INDEX(Inputs!$K$5:$AJ$110,0,MATCH(Y$2,Inputs!$K$4:$AJ$4,0)))))</f>
        <v>-807</v>
      </c>
      <c r="Z8" s="6">
        <f>IF(ISNA(MATCH(Z$2,Inputs!$K$4:$AJ$4,0)),NA(),IF(SUMPRODUCT((Inputs!$A$5:$A$110=$B8)*ISNUMBER(INDEX(Inputs!$K$5:$AJ$110,0,MATCH(Z$2,Inputs!$K$4:$AJ$4,0))))+SUMPRODUCT((Inputs!$C$5:$C$110=$B8)*ISNUMBER(INDEX(Inputs!$K$5:$AJ$110,0,MATCH(Z$2,Inputs!$K$4:$AJ$4,0))))+SUMPRODUCT((Inputs!$E$5:$E$110=$B8)*ISNUMBER(INDEX(Inputs!$K$5:$AJ$110,0,MATCH(Z$2,Inputs!$K$4:$AJ$4,0))))=0,NA(),SUMPRODUCT((Inputs!$A$5:$A$110=$B8)*Inputs!$B$5:$B$110*(((Inputs!$G$5:$G$110="moeda")+(Inputs!$G$5:$G$110="acoes"))*Inputs!$B$1+((Inputs!$G$5:$G$110&lt;&gt;"moeda")*(Inputs!$G$5:$G$110&lt;&gt;"acoes")))*INDEX(Inputs!$K$5:$AJ$110,0,MATCH(Z$2,Inputs!$K$4:$AJ$4,0)))+SUMPRODUCT((Inputs!$C$5:$C$110=$B8)*Inputs!$D$5:$D$110*(((Inputs!$G$5:$G$110="moeda")+(Inputs!$G$5:$G$110="acoes"))*Inputs!$B$1+((Inputs!$G$5:$G$110&lt;&gt;"moeda")*(Inputs!$G$5:$G$110&lt;&gt;"acoes")))*INDEX(Inputs!$K$5:$AJ$110,0,MATCH(Z$2,Inputs!$K$4:$AJ$4,0)))+SUMPRODUCT((Inputs!$E$5:$E$110=$B8)*Inputs!$F$5:$F$110*(((Inputs!$G$5:$G$110="moeda")+(Inputs!$G$5:$G$110="acoes"))*Inputs!$B$1+((Inputs!$G$5:$G$110&lt;&gt;"moeda")*(Inputs!$G$5:$G$110&lt;&gt;"acoes")))*INDEX(Inputs!$K$5:$AJ$110,0,MATCH(Z$2,Inputs!$K$4:$AJ$4,0)))))</f>
        <v>-761</v>
      </c>
      <c r="AA8" s="6">
        <f>IF(ISNA(MATCH(AA$2,Inputs!$K$4:$AJ$4,0)),NA(),IF(SUMPRODUCT((Inputs!$A$5:$A$110=$B8)*ISNUMBER(INDEX(Inputs!$K$5:$AJ$110,0,MATCH(AA$2,Inputs!$K$4:$AJ$4,0))))+SUMPRODUCT((Inputs!$C$5:$C$110=$B8)*ISNUMBER(INDEX(Inputs!$K$5:$AJ$110,0,MATCH(AA$2,Inputs!$K$4:$AJ$4,0))))+SUMPRODUCT((Inputs!$E$5:$E$110=$B8)*ISNUMBER(INDEX(Inputs!$K$5:$AJ$110,0,MATCH(AA$2,Inputs!$K$4:$AJ$4,0))))=0,NA(),SUMPRODUCT((Inputs!$A$5:$A$110=$B8)*Inputs!$B$5:$B$110*(((Inputs!$G$5:$G$110="moeda")+(Inputs!$G$5:$G$110="acoes"))*Inputs!$B$1+((Inputs!$G$5:$G$110&lt;&gt;"moeda")*(Inputs!$G$5:$G$110&lt;&gt;"acoes")))*INDEX(Inputs!$K$5:$AJ$110,0,MATCH(AA$2,Inputs!$K$4:$AJ$4,0)))+SUMPRODUCT((Inputs!$C$5:$C$110=$B8)*Inputs!$D$5:$D$110*(((Inputs!$G$5:$G$110="moeda")+(Inputs!$G$5:$G$110="acoes"))*Inputs!$B$1+((Inputs!$G$5:$G$110&lt;&gt;"moeda")*(Inputs!$G$5:$G$110&lt;&gt;"acoes")))*INDEX(Inputs!$K$5:$AJ$110,0,MATCH(AA$2,Inputs!$K$4:$AJ$4,0)))+SUMPRODUCT((Inputs!$E$5:$E$110=$B8)*Inputs!$F$5:$F$110*(((Inputs!$G$5:$G$110="moeda")+(Inputs!$G$5:$G$110="acoes"))*Inputs!$B$1+((Inputs!$G$5:$G$110&lt;&gt;"moeda")*(Inputs!$G$5:$G$110&lt;&gt;"acoes")))*INDEX(Inputs!$K$5:$AJ$110,0,MATCH(AA$2,Inputs!$K$4:$AJ$4,0)))))</f>
        <v>-801</v>
      </c>
      <c r="AB8" s="3">
        <f>SUM(X8:AA8)</f>
        <v>-3138</v>
      </c>
      <c r="AC8" s="6">
        <f>IF(ISNA(MATCH(AC$2,Inputs!$K$4:$AJ$4,0)),NA(),IF(SUMPRODUCT((Inputs!$A$5:$A$110=$B8)*ISNUMBER(INDEX(Inputs!$K$5:$AJ$110,0,MATCH(AC$2,Inputs!$K$4:$AJ$4,0))))+SUMPRODUCT((Inputs!$C$5:$C$110=$B8)*ISNUMBER(INDEX(Inputs!$K$5:$AJ$110,0,MATCH(AC$2,Inputs!$K$4:$AJ$4,0))))+SUMPRODUCT((Inputs!$E$5:$E$110=$B8)*ISNUMBER(INDEX(Inputs!$K$5:$AJ$110,0,MATCH(AC$2,Inputs!$K$4:$AJ$4,0))))=0,NA(),SUMPRODUCT((Inputs!$A$5:$A$110=$B8)*Inputs!$B$5:$B$110*(((Inputs!$G$5:$G$110="moeda")+(Inputs!$G$5:$G$110="acoes"))*Inputs!$B$1+((Inputs!$G$5:$G$110&lt;&gt;"moeda")*(Inputs!$G$5:$G$110&lt;&gt;"acoes")))*INDEX(Inputs!$K$5:$AJ$110,0,MATCH(AC$2,Inputs!$K$4:$AJ$4,0)))+SUMPRODUCT((Inputs!$C$5:$C$110=$B8)*Inputs!$D$5:$D$110*(((Inputs!$G$5:$G$110="moeda")+(Inputs!$G$5:$G$110="acoes"))*Inputs!$B$1+((Inputs!$G$5:$G$110&lt;&gt;"moeda")*(Inputs!$G$5:$G$110&lt;&gt;"acoes")))*INDEX(Inputs!$K$5:$AJ$110,0,MATCH(AC$2,Inputs!$K$4:$AJ$4,0)))+SUMPRODUCT((Inputs!$E$5:$E$110=$B8)*Inputs!$F$5:$F$110*(((Inputs!$G$5:$G$110="moeda")+(Inputs!$G$5:$G$110="acoes"))*Inputs!$B$1+((Inputs!$G$5:$G$110&lt;&gt;"moeda")*(Inputs!$G$5:$G$110&lt;&gt;"acoes")))*INDEX(Inputs!$K$5:$AJ$110,0,MATCH(AC$2,Inputs!$K$4:$AJ$4,0)))))</f>
        <v>-776</v>
      </c>
      <c r="AD8" s="6">
        <f>IF(ISNA(MATCH(AD$2,Inputs!$K$4:$AJ$4,0)),NA(),IF(SUMPRODUCT((Inputs!$A$5:$A$110=$B8)*ISNUMBER(INDEX(Inputs!$K$5:$AJ$110,0,MATCH(AD$2,Inputs!$K$4:$AJ$4,0))))+SUMPRODUCT((Inputs!$C$5:$C$110=$B8)*ISNUMBER(INDEX(Inputs!$K$5:$AJ$110,0,MATCH(AD$2,Inputs!$K$4:$AJ$4,0))))+SUMPRODUCT((Inputs!$E$5:$E$110=$B8)*ISNUMBER(INDEX(Inputs!$K$5:$AJ$110,0,MATCH(AD$2,Inputs!$K$4:$AJ$4,0))))=0,NA(),SUMPRODUCT((Inputs!$A$5:$A$110=$B8)*Inputs!$B$5:$B$110*(((Inputs!$G$5:$G$110="moeda")+(Inputs!$G$5:$G$110="acoes"))*Inputs!$B$1+((Inputs!$G$5:$G$110&lt;&gt;"moeda")*(Inputs!$G$5:$G$110&lt;&gt;"acoes")))*INDEX(Inputs!$K$5:$AJ$110,0,MATCH(AD$2,Inputs!$K$4:$AJ$4,0)))+SUMPRODUCT((Inputs!$C$5:$C$110=$B8)*Inputs!$D$5:$D$110*(((Inputs!$G$5:$G$110="moeda")+(Inputs!$G$5:$G$110="acoes"))*Inputs!$B$1+((Inputs!$G$5:$G$110&lt;&gt;"moeda")*(Inputs!$G$5:$G$110&lt;&gt;"acoes")))*INDEX(Inputs!$K$5:$AJ$110,0,MATCH(AD$2,Inputs!$K$4:$AJ$4,0)))+SUMPRODUCT((Inputs!$E$5:$E$110=$B8)*Inputs!$F$5:$F$110*(((Inputs!$G$5:$G$110="moeda")+(Inputs!$G$5:$G$110="acoes"))*Inputs!$B$1+((Inputs!$G$5:$G$110&lt;&gt;"moeda")*(Inputs!$G$5:$G$110&lt;&gt;"acoes")))*INDEX(Inputs!$K$5:$AJ$110,0,MATCH(AD$2,Inputs!$K$4:$AJ$4,0)))))</f>
        <v>-778</v>
      </c>
      <c r="AE8" s="6" t="e">
        <f>IF(ISNA(MATCH(AE$2,Inputs!$K$4:$AJ$4,0)),NA(),IF(SUMPRODUCT((Inputs!$A$5:$A$110=$B8)*ISNUMBER(INDEX(Inputs!$K$5:$AJ$110,0,MATCH(AE$2,Inputs!$K$4:$AJ$4,0))))+SUMPRODUCT((Inputs!$C$5:$C$110=$B8)*ISNUMBER(INDEX(Inputs!$K$5:$AJ$110,0,MATCH(AE$2,Inputs!$K$4:$AJ$4,0))))+SUMPRODUCT((Inputs!$E$5:$E$110=$B8)*ISNUMBER(INDEX(Inputs!$K$5:$AJ$110,0,MATCH(AE$2,Inputs!$K$4:$AJ$4,0))))=0,NA(),SUMPRODUCT((Inputs!$A$5:$A$110=$B8)*Inputs!$B$5:$B$110*(((Inputs!$G$5:$G$110="moeda")+(Inputs!$G$5:$G$110="acoes"))*Inputs!$B$1+((Inputs!$G$5:$G$110&lt;&gt;"moeda")*(Inputs!$G$5:$G$110&lt;&gt;"acoes")))*INDEX(Inputs!$K$5:$AJ$110,0,MATCH(AE$2,Inputs!$K$4:$AJ$4,0)))+SUMPRODUCT((Inputs!$C$5:$C$110=$B8)*Inputs!$D$5:$D$110*(((Inputs!$G$5:$G$110="moeda")+(Inputs!$G$5:$G$110="acoes"))*Inputs!$B$1+((Inputs!$G$5:$G$110&lt;&gt;"moeda")*(Inputs!$G$5:$G$110&lt;&gt;"acoes")))*INDEX(Inputs!$K$5:$AJ$110,0,MATCH(AE$2,Inputs!$K$4:$AJ$4,0)))+SUMPRODUCT((Inputs!$E$5:$E$110=$B8)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8" s="6" t="e">
        <f>IF(ISNA(MATCH(AF$2,Inputs!$K$4:$AJ$4,0)),NA(),IF(SUMPRODUCT((Inputs!$A$5:$A$110=$B8)*ISNUMBER(INDEX(Inputs!$K$5:$AJ$110,0,MATCH(AF$2,Inputs!$K$4:$AJ$4,0))))+SUMPRODUCT((Inputs!$C$5:$C$110=$B8)*ISNUMBER(INDEX(Inputs!$K$5:$AJ$110,0,MATCH(AF$2,Inputs!$K$4:$AJ$4,0))))+SUMPRODUCT((Inputs!$E$5:$E$110=$B8)*ISNUMBER(INDEX(Inputs!$K$5:$AJ$110,0,MATCH(AF$2,Inputs!$K$4:$AJ$4,0))))=0,NA(),SUMPRODUCT((Inputs!$A$5:$A$110=$B8)*Inputs!$B$5:$B$110*(((Inputs!$G$5:$G$110="moeda")+(Inputs!$G$5:$G$110="acoes"))*Inputs!$B$1+((Inputs!$G$5:$G$110&lt;&gt;"moeda")*(Inputs!$G$5:$G$110&lt;&gt;"acoes")))*INDEX(Inputs!$K$5:$AJ$110,0,MATCH(AF$2,Inputs!$K$4:$AJ$4,0)))+SUMPRODUCT((Inputs!$C$5:$C$110=$B8)*Inputs!$D$5:$D$110*(((Inputs!$G$5:$G$110="moeda")+(Inputs!$G$5:$G$110="acoes"))*Inputs!$B$1+((Inputs!$G$5:$G$110&lt;&gt;"moeda")*(Inputs!$G$5:$G$110&lt;&gt;"acoes")))*INDEX(Inputs!$K$5:$AJ$110,0,MATCH(AF$2,Inputs!$K$4:$AJ$4,0)))+SUMPRODUCT((Inputs!$E$5:$E$110=$B8)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8" s="3" t="e">
        <f>SUM(AC8:AF8)</f>
        <v>#N/A</v>
      </c>
      <c r="AH8" s="6">
        <f>IF(ISNA(MATCH(AH$2,Inputs!$K$4:$AJ$4,0)),NA(),IF(SUMPRODUCT((Inputs!$A$5:$A$110=$B8)*ISNUMBER(INDEX(Inputs!$K$5:$AJ$110,0,MATCH(AH$2,Inputs!$K$4:$AJ$4,0))))+SUMPRODUCT((Inputs!$C$5:$C$110=$B8)*ISNUMBER(INDEX(Inputs!$K$5:$AJ$110,0,MATCH(AH$2,Inputs!$K$4:$AJ$4,0))))+SUMPRODUCT((Inputs!$E$5:$E$110=$B8)*ISNUMBER(INDEX(Inputs!$K$5:$AJ$110,0,MATCH(AH$2,Inputs!$K$4:$AJ$4,0))))=0,NA(),SUMPRODUCT((Inputs!$A$5:$A$110=$B8)*Inputs!$B$5:$B$110*(((Inputs!$G$5:$G$110="moeda")+(Inputs!$G$5:$G$110="acoes"))*Inputs!$B$1+((Inputs!$G$5:$G$110&lt;&gt;"moeda")*(Inputs!$G$5:$G$110&lt;&gt;"acoes")))*INDEX(Inputs!$K$5:$AJ$110,0,MATCH(AH$2,Inputs!$K$4:$AJ$4,0)))+SUMPRODUCT((Inputs!$C$5:$C$110=$B8)*Inputs!$D$5:$D$110*(((Inputs!$G$5:$G$110="moeda")+(Inputs!$G$5:$G$110="acoes"))*Inputs!$B$1+((Inputs!$G$5:$G$110&lt;&gt;"moeda")*(Inputs!$G$5:$G$110&lt;&gt;"acoes")))*INDEX(Inputs!$K$5:$AJ$110,0,MATCH(AH$2,Inputs!$K$4:$AJ$4,0)))+SUMPRODUCT((Inputs!$E$5:$E$110=$B8)*Inputs!$F$5:$F$110*(((Inputs!$G$5:$G$110="moeda")+(Inputs!$G$5:$G$110="acoes"))*Inputs!$B$1+((Inputs!$G$5:$G$110&lt;&gt;"moeda")*(Inputs!$G$5:$G$110&lt;&gt;"acoes")))*INDEX(Inputs!$K$5:$AJ$110,0,MATCH(AH$2,Inputs!$K$4:$AJ$4,0)))))</f>
        <v>-487</v>
      </c>
      <c r="AI8" s="6">
        <f>IF(ISNA(MATCH(AI$2,Inputs!$K$4:$AJ$4,0)),NA(),IF(SUMPRODUCT((Inputs!$A$5:$A$110=$B8)*ISNUMBER(INDEX(Inputs!$K$5:$AJ$110,0,MATCH(AI$2,Inputs!$K$4:$AJ$4,0))))+SUMPRODUCT((Inputs!$C$5:$C$110=$B8)*ISNUMBER(INDEX(Inputs!$K$5:$AJ$110,0,MATCH(AI$2,Inputs!$K$4:$AJ$4,0))))+SUMPRODUCT((Inputs!$E$5:$E$110=$B8)*ISNUMBER(INDEX(Inputs!$K$5:$AJ$110,0,MATCH(AI$2,Inputs!$K$4:$AJ$4,0))))=0,NA(),SUMPRODUCT((Inputs!$A$5:$A$110=$B8)*Inputs!$B$5:$B$110*(((Inputs!$G$5:$G$110="moeda")+(Inputs!$G$5:$G$110="acoes"))*Inputs!$B$1+((Inputs!$G$5:$G$110&lt;&gt;"moeda")*(Inputs!$G$5:$G$110&lt;&gt;"acoes")))*INDEX(Inputs!$K$5:$AJ$110,0,MATCH(AI$2,Inputs!$K$4:$AJ$4,0)))+SUMPRODUCT((Inputs!$C$5:$C$110=$B8)*Inputs!$D$5:$D$110*(((Inputs!$G$5:$G$110="moeda")+(Inputs!$G$5:$G$110="acoes"))*Inputs!$B$1+((Inputs!$G$5:$G$110&lt;&gt;"moeda")*(Inputs!$G$5:$G$110&lt;&gt;"acoes")))*INDEX(Inputs!$K$5:$AJ$110,0,MATCH(AI$2,Inputs!$K$4:$AJ$4,0)))+SUMPRODUCT((Inputs!$E$5:$E$110=$B8)*Inputs!$F$5:$F$110*(((Inputs!$G$5:$G$110="moeda")+(Inputs!$G$5:$G$110="acoes"))*Inputs!$B$1+((Inputs!$G$5:$G$110&lt;&gt;"moeda")*(Inputs!$G$5:$G$110&lt;&gt;"acoes")))*INDEX(Inputs!$K$5:$AJ$110,0,MATCH(AI$2,Inputs!$K$4:$AJ$4,0)))))</f>
        <v>-464</v>
      </c>
      <c r="AJ8" s="6">
        <f>IF(ISNA(MATCH(AJ$2,Inputs!$K$4:$AJ$4,0)),NA(),IF(SUMPRODUCT((Inputs!$A$5:$A$110=$B8)*ISNUMBER(INDEX(Inputs!$K$5:$AJ$110,0,MATCH(AJ$2,Inputs!$K$4:$AJ$4,0))))+SUMPRODUCT((Inputs!$C$5:$C$110=$B8)*ISNUMBER(INDEX(Inputs!$K$5:$AJ$110,0,MATCH(AJ$2,Inputs!$K$4:$AJ$4,0))))+SUMPRODUCT((Inputs!$E$5:$E$110=$B8)*ISNUMBER(INDEX(Inputs!$K$5:$AJ$110,0,MATCH(AJ$2,Inputs!$K$4:$AJ$4,0))))=0,NA(),SUMPRODUCT((Inputs!$A$5:$A$110=$B8)*Inputs!$B$5:$B$110*(((Inputs!$G$5:$G$110="moeda")+(Inputs!$G$5:$G$110="acoes"))*Inputs!$B$1+((Inputs!$G$5:$G$110&lt;&gt;"moeda")*(Inputs!$G$5:$G$110&lt;&gt;"acoes")))*INDEX(Inputs!$K$5:$AJ$110,0,MATCH(AJ$2,Inputs!$K$4:$AJ$4,0)))+SUMPRODUCT((Inputs!$C$5:$C$110=$B8)*Inputs!$D$5:$D$110*(((Inputs!$G$5:$G$110="moeda")+(Inputs!$G$5:$G$110="acoes"))*Inputs!$B$1+((Inputs!$G$5:$G$110&lt;&gt;"moeda")*(Inputs!$G$5:$G$110&lt;&gt;"acoes")))*INDEX(Inputs!$K$5:$AJ$110,0,MATCH(AJ$2,Inputs!$K$4:$AJ$4,0)))+SUMPRODUCT((Inputs!$E$5:$E$110=$B8)*Inputs!$F$5:$F$110*(((Inputs!$G$5:$G$110="moeda")+(Inputs!$G$5:$G$110="acoes"))*Inputs!$B$1+((Inputs!$G$5:$G$110&lt;&gt;"moeda")*(Inputs!$G$5:$G$110&lt;&gt;"acoes")))*INDEX(Inputs!$K$5:$AJ$110,0,MATCH(AJ$2,Inputs!$K$4:$AJ$4,0)))))</f>
        <v>-420</v>
      </c>
      <c r="AK8" s="6">
        <f>IF(ISNA(MATCH(AK$2,Inputs!$K$4:$AJ$4,0)),NA(),IF(SUMPRODUCT((Inputs!$A$5:$A$110=$B8)*ISNUMBER(INDEX(Inputs!$K$5:$AJ$110,0,MATCH(AK$2,Inputs!$K$4:$AJ$4,0))))+SUMPRODUCT((Inputs!$C$5:$C$110=$B8)*ISNUMBER(INDEX(Inputs!$K$5:$AJ$110,0,MATCH(AK$2,Inputs!$K$4:$AJ$4,0))))+SUMPRODUCT((Inputs!$E$5:$E$110=$B8)*ISNUMBER(INDEX(Inputs!$K$5:$AJ$110,0,MATCH(AK$2,Inputs!$K$4:$AJ$4,0))))=0,NA(),SUMPRODUCT((Inputs!$A$5:$A$110=$B8)*Inputs!$B$5:$B$110*(((Inputs!$G$5:$G$110="moeda")+(Inputs!$G$5:$G$110="acoes"))*Inputs!$B$1+((Inputs!$G$5:$G$110&lt;&gt;"moeda")*(Inputs!$G$5:$G$110&lt;&gt;"acoes")))*INDEX(Inputs!$K$5:$AJ$110,0,MATCH(AK$2,Inputs!$K$4:$AJ$4,0)))+SUMPRODUCT((Inputs!$C$5:$C$110=$B8)*Inputs!$D$5:$D$110*(((Inputs!$G$5:$G$110="moeda")+(Inputs!$G$5:$G$110="acoes"))*Inputs!$B$1+((Inputs!$G$5:$G$110&lt;&gt;"moeda")*(Inputs!$G$5:$G$110&lt;&gt;"acoes")))*INDEX(Inputs!$K$5:$AJ$110,0,MATCH(AK$2,Inputs!$K$4:$AJ$4,0)))+SUMPRODUCT((Inputs!$E$5:$E$110=$B8)*Inputs!$F$5:$F$110*(((Inputs!$G$5:$G$110="moeda")+(Inputs!$G$5:$G$110="acoes"))*Inputs!$B$1+((Inputs!$G$5:$G$110&lt;&gt;"moeda")*(Inputs!$G$5:$G$110&lt;&gt;"acoes")))*INDEX(Inputs!$K$5:$AJ$110,0,MATCH(AK$2,Inputs!$K$4:$AJ$4,0)))))</f>
        <v>-570</v>
      </c>
      <c r="AL8" s="3">
        <f>SUM(AH8:AK8)</f>
        <v>-1941</v>
      </c>
    </row>
    <row r="9">
      <c r="B9" s="46" t="n">
        <v>6</v>
      </c>
      <c r="C9" s="26" t="inlineStr">
        <is>
          <t>Nonoperating Income / (Loss)</t>
        </is>
      </c>
      <c r="D9" s="6">
        <f>IF(ISNA(MATCH(D$2,Inputs!$K$4:$AJ$4,0)),NA(),IF(SUMPRODUCT((Inputs!$A$5:$A$110=$B9)*ISNUMBER(INDEX(Inputs!$K$5:$AJ$110,0,MATCH(D$2,Inputs!$K$4:$AJ$4,0))))+SUMPRODUCT((Inputs!$C$5:$C$110=$B9)*ISNUMBER(INDEX(Inputs!$K$5:$AJ$110,0,MATCH(D$2,Inputs!$K$4:$AJ$4,0))))+SUMPRODUCT((Inputs!$E$5:$E$110=$B9)*ISNUMBER(INDEX(Inputs!$K$5:$AJ$110,0,MATCH(D$2,Inputs!$K$4:$AJ$4,0))))=0,NA(),SUMPRODUCT((Inputs!$A$5:$A$110=$B9)*Inputs!$B$5:$B$110*(((Inputs!$G$5:$G$110="moeda")+(Inputs!$G$5:$G$110="acoes"))*Inputs!$B$1+((Inputs!$G$5:$G$110&lt;&gt;"moeda")*(Inputs!$G$5:$G$110&lt;&gt;"acoes")))*INDEX(Inputs!$K$5:$AJ$110,0,MATCH(D$2,Inputs!$K$4:$AJ$4,0)))+SUMPRODUCT((Inputs!$C$5:$C$110=$B9)*Inputs!$D$5:$D$110*(((Inputs!$G$5:$G$110="moeda")+(Inputs!$G$5:$G$110="acoes"))*Inputs!$B$1+((Inputs!$G$5:$G$110&lt;&gt;"moeda")*(Inputs!$G$5:$G$110&lt;&gt;"acoes")))*INDEX(Inputs!$K$5:$AJ$110,0,MATCH(D$2,Inputs!$K$4:$AJ$4,0)))+SUMPRODUCT((Inputs!$E$5:$E$110=$B9)*Inputs!$F$5:$F$110*(((Inputs!$G$5:$G$110="moeda")+(Inputs!$G$5:$G$110="acoes"))*Inputs!$B$1+((Inputs!$G$5:$G$110&lt;&gt;"moeda")*(Inputs!$G$5:$G$110&lt;&gt;"acoes")))*INDEX(Inputs!$K$5:$AJ$110,0,MATCH(D$2,Inputs!$K$4:$AJ$4,0)))))</f>
        <v>-23</v>
      </c>
      <c r="E9" s="6">
        <f>IF(ISNA(MATCH(E$2,Inputs!$K$4:$AJ$4,0)),NA(),IF(SUMPRODUCT((Inputs!$A$5:$A$110=$B9)*ISNUMBER(INDEX(Inputs!$K$5:$AJ$110,0,MATCH(E$2,Inputs!$K$4:$AJ$4,0))))+SUMPRODUCT((Inputs!$C$5:$C$110=$B9)*ISNUMBER(INDEX(Inputs!$K$5:$AJ$110,0,MATCH(E$2,Inputs!$K$4:$AJ$4,0))))+SUMPRODUCT((Inputs!$E$5:$E$110=$B9)*ISNUMBER(INDEX(Inputs!$K$5:$AJ$110,0,MATCH(E$2,Inputs!$K$4:$AJ$4,0))))=0,NA(),SUMPRODUCT((Inputs!$A$5:$A$110=$B9)*Inputs!$B$5:$B$110*(((Inputs!$G$5:$G$110="moeda")+(Inputs!$G$5:$G$110="acoes"))*Inputs!$B$1+((Inputs!$G$5:$G$110&lt;&gt;"moeda")*(Inputs!$G$5:$G$110&lt;&gt;"acoes")))*INDEX(Inputs!$K$5:$AJ$110,0,MATCH(E$2,Inputs!$K$4:$AJ$4,0)))+SUMPRODUCT((Inputs!$C$5:$C$110=$B9)*Inputs!$D$5:$D$110*(((Inputs!$G$5:$G$110="moeda")+(Inputs!$G$5:$G$110="acoes"))*Inputs!$B$1+((Inputs!$G$5:$G$110&lt;&gt;"moeda")*(Inputs!$G$5:$G$110&lt;&gt;"acoes")))*INDEX(Inputs!$K$5:$AJ$110,0,MATCH(E$2,Inputs!$K$4:$AJ$4,0)))+SUMPRODUCT((Inputs!$E$5:$E$110=$B9)*Inputs!$F$5:$F$110*(((Inputs!$G$5:$G$110="moeda")+(Inputs!$G$5:$G$110="acoes"))*Inputs!$B$1+((Inputs!$G$5:$G$110&lt;&gt;"moeda")*(Inputs!$G$5:$G$110&lt;&gt;"acoes")))*INDEX(Inputs!$K$5:$AJ$110,0,MATCH(E$2,Inputs!$K$4:$AJ$4,0)))))</f>
        <v>15</v>
      </c>
      <c r="F9" s="6">
        <f>IF(ISNA(MATCH(F$2,Inputs!$K$4:$AJ$4,0)),NA(),IF(SUMPRODUCT((Inputs!$A$5:$A$110=$B9)*ISNUMBER(INDEX(Inputs!$K$5:$AJ$110,0,MATCH(F$2,Inputs!$K$4:$AJ$4,0))))+SUMPRODUCT((Inputs!$C$5:$C$110=$B9)*ISNUMBER(INDEX(Inputs!$K$5:$AJ$110,0,MATCH(F$2,Inputs!$K$4:$AJ$4,0))))+SUMPRODUCT((Inputs!$E$5:$E$110=$B9)*ISNUMBER(INDEX(Inputs!$K$5:$AJ$110,0,MATCH(F$2,Inputs!$K$4:$AJ$4,0))))=0,NA(),SUMPRODUCT((Inputs!$A$5:$A$110=$B9)*Inputs!$B$5:$B$110*(((Inputs!$G$5:$G$110="moeda")+(Inputs!$G$5:$G$110="acoes"))*Inputs!$B$1+((Inputs!$G$5:$G$110&lt;&gt;"moeda")*(Inputs!$G$5:$G$110&lt;&gt;"acoes")))*INDEX(Inputs!$K$5:$AJ$110,0,MATCH(F$2,Inputs!$K$4:$AJ$4,0)))+SUMPRODUCT((Inputs!$C$5:$C$110=$B9)*Inputs!$D$5:$D$110*(((Inputs!$G$5:$G$110="moeda")+(Inputs!$G$5:$G$110="acoes"))*Inputs!$B$1+((Inputs!$G$5:$G$110&lt;&gt;"moeda")*(Inputs!$G$5:$G$110&lt;&gt;"acoes")))*INDEX(Inputs!$K$5:$AJ$110,0,MATCH(F$2,Inputs!$K$4:$AJ$4,0)))+SUMPRODUCT((Inputs!$E$5:$E$110=$B9)*Inputs!$F$5:$F$110*(((Inputs!$G$5:$G$110="moeda")+(Inputs!$G$5:$G$110="acoes"))*Inputs!$B$1+((Inputs!$G$5:$G$110&lt;&gt;"moeda")*(Inputs!$G$5:$G$110&lt;&gt;"acoes")))*INDEX(Inputs!$K$5:$AJ$110,0,MATCH(F$2,Inputs!$K$4:$AJ$4,0)))))</f>
        <v>22</v>
      </c>
      <c r="G9" s="6">
        <f>IF(ISNA(MATCH(G$2,Inputs!$K$4:$AJ$4,0)),NA(),IF(SUMPRODUCT((Inputs!$A$5:$A$110=$B9)*ISNUMBER(INDEX(Inputs!$K$5:$AJ$110,0,MATCH(G$2,Inputs!$K$4:$AJ$4,0))))+SUMPRODUCT((Inputs!$C$5:$C$110=$B9)*ISNUMBER(INDEX(Inputs!$K$5:$AJ$110,0,MATCH(G$2,Inputs!$K$4:$AJ$4,0))))+SUMPRODUCT((Inputs!$E$5:$E$110=$B9)*ISNUMBER(INDEX(Inputs!$K$5:$AJ$110,0,MATCH(G$2,Inputs!$K$4:$AJ$4,0))))=0,NA(),SUMPRODUCT((Inputs!$A$5:$A$110=$B9)*Inputs!$B$5:$B$110*(((Inputs!$G$5:$G$110="moeda")+(Inputs!$G$5:$G$110="acoes"))*Inputs!$B$1+((Inputs!$G$5:$G$110&lt;&gt;"moeda")*(Inputs!$G$5:$G$110&lt;&gt;"acoes")))*INDEX(Inputs!$K$5:$AJ$110,0,MATCH(G$2,Inputs!$K$4:$AJ$4,0)))+SUMPRODUCT((Inputs!$C$5:$C$110=$B9)*Inputs!$D$5:$D$110*(((Inputs!$G$5:$G$110="moeda")+(Inputs!$G$5:$G$110="acoes"))*Inputs!$B$1+((Inputs!$G$5:$G$110&lt;&gt;"moeda")*(Inputs!$G$5:$G$110&lt;&gt;"acoes")))*INDEX(Inputs!$K$5:$AJ$110,0,MATCH(G$2,Inputs!$K$4:$AJ$4,0)))+SUMPRODUCT((Inputs!$E$5:$E$110=$B9)*Inputs!$F$5:$F$110*(((Inputs!$G$5:$G$110="moeda")+(Inputs!$G$5:$G$110="acoes"))*Inputs!$B$1+((Inputs!$G$5:$G$110&lt;&gt;"moeda")*(Inputs!$G$5:$G$110&lt;&gt;"acoes")))*INDEX(Inputs!$K$5:$AJ$110,0,MATCH(G$2,Inputs!$K$4:$AJ$4,0)))))</f>
        <v>-14</v>
      </c>
      <c r="H9" s="3">
        <f>SUM(D9:G9)</f>
        <v>0</v>
      </c>
      <c r="I9" s="6">
        <f>IF(ISNA(MATCH(I$2,Inputs!$K$4:$AJ$4,0)),NA(),IF(SUMPRODUCT((Inputs!$A$5:$A$110=$B9)*ISNUMBER(INDEX(Inputs!$K$5:$AJ$110,0,MATCH(I$2,Inputs!$K$4:$AJ$4,0))))+SUMPRODUCT((Inputs!$C$5:$C$110=$B9)*ISNUMBER(INDEX(Inputs!$K$5:$AJ$110,0,MATCH(I$2,Inputs!$K$4:$AJ$4,0))))+SUMPRODUCT((Inputs!$E$5:$E$110=$B9)*ISNUMBER(INDEX(Inputs!$K$5:$AJ$110,0,MATCH(I$2,Inputs!$K$4:$AJ$4,0))))=0,NA(),SUMPRODUCT((Inputs!$A$5:$A$110=$B9)*Inputs!$B$5:$B$110*(((Inputs!$G$5:$G$110="moeda")+(Inputs!$G$5:$G$110="acoes"))*Inputs!$B$1+((Inputs!$G$5:$G$110&lt;&gt;"moeda")*(Inputs!$G$5:$G$110&lt;&gt;"acoes")))*INDEX(Inputs!$K$5:$AJ$110,0,MATCH(I$2,Inputs!$K$4:$AJ$4,0)))+SUMPRODUCT((Inputs!$C$5:$C$110=$B9)*Inputs!$D$5:$D$110*(((Inputs!$G$5:$G$110="moeda")+(Inputs!$G$5:$G$110="acoes"))*Inputs!$B$1+((Inputs!$G$5:$G$110&lt;&gt;"moeda")*(Inputs!$G$5:$G$110&lt;&gt;"acoes")))*INDEX(Inputs!$K$5:$AJ$110,0,MATCH(I$2,Inputs!$K$4:$AJ$4,0)))+SUMPRODUCT((Inputs!$E$5:$E$110=$B9)*Inputs!$F$5:$F$110*(((Inputs!$G$5:$G$110="moeda")+(Inputs!$G$5:$G$110="acoes"))*Inputs!$B$1+((Inputs!$G$5:$G$110&lt;&gt;"moeda")*(Inputs!$G$5:$G$110&lt;&gt;"acoes")))*INDEX(Inputs!$K$5:$AJ$110,0,MATCH(I$2,Inputs!$K$4:$AJ$4,0)))))</f>
        <v>-86</v>
      </c>
      <c r="J9" s="6">
        <f>IF(ISNA(MATCH(J$2,Inputs!$K$4:$AJ$4,0)),NA(),IF(SUMPRODUCT((Inputs!$A$5:$A$110=$B9)*ISNUMBER(INDEX(Inputs!$K$5:$AJ$110,0,MATCH(J$2,Inputs!$K$4:$AJ$4,0))))+SUMPRODUCT((Inputs!$C$5:$C$110=$B9)*ISNUMBER(INDEX(Inputs!$K$5:$AJ$110,0,MATCH(J$2,Inputs!$K$4:$AJ$4,0))))+SUMPRODUCT((Inputs!$E$5:$E$110=$B9)*ISNUMBER(INDEX(Inputs!$K$5:$AJ$110,0,MATCH(J$2,Inputs!$K$4:$AJ$4,0))))=0,NA(),SUMPRODUCT((Inputs!$A$5:$A$110=$B9)*Inputs!$B$5:$B$110*(((Inputs!$G$5:$G$110="moeda")+(Inputs!$G$5:$G$110="acoes"))*Inputs!$B$1+((Inputs!$G$5:$G$110&lt;&gt;"moeda")*(Inputs!$G$5:$G$110&lt;&gt;"acoes")))*INDEX(Inputs!$K$5:$AJ$110,0,MATCH(J$2,Inputs!$K$4:$AJ$4,0)))+SUMPRODUCT((Inputs!$C$5:$C$110=$B9)*Inputs!$D$5:$D$110*(((Inputs!$G$5:$G$110="moeda")+(Inputs!$G$5:$G$110="acoes"))*Inputs!$B$1+((Inputs!$G$5:$G$110&lt;&gt;"moeda")*(Inputs!$G$5:$G$110&lt;&gt;"acoes")))*INDEX(Inputs!$K$5:$AJ$110,0,MATCH(J$2,Inputs!$K$4:$AJ$4,0)))+SUMPRODUCT((Inputs!$E$5:$E$110=$B9)*Inputs!$F$5:$F$110*(((Inputs!$G$5:$G$110="moeda")+(Inputs!$G$5:$G$110="acoes"))*Inputs!$B$1+((Inputs!$G$5:$G$110&lt;&gt;"moeda")*(Inputs!$G$5:$G$110&lt;&gt;"acoes")))*INDEX(Inputs!$K$5:$AJ$110,0,MATCH(J$2,Inputs!$K$4:$AJ$4,0)))))</f>
        <v>6</v>
      </c>
      <c r="K9" s="6">
        <f>IF(ISNA(MATCH(K$2,Inputs!$K$4:$AJ$4,0)),NA(),IF(SUMPRODUCT((Inputs!$A$5:$A$110=$B9)*ISNUMBER(INDEX(Inputs!$K$5:$AJ$110,0,MATCH(K$2,Inputs!$K$4:$AJ$4,0))))+SUMPRODUCT((Inputs!$C$5:$C$110=$B9)*ISNUMBER(INDEX(Inputs!$K$5:$AJ$110,0,MATCH(K$2,Inputs!$K$4:$AJ$4,0))))+SUMPRODUCT((Inputs!$E$5:$E$110=$B9)*ISNUMBER(INDEX(Inputs!$K$5:$AJ$110,0,MATCH(K$2,Inputs!$K$4:$AJ$4,0))))=0,NA(),SUMPRODUCT((Inputs!$A$5:$A$110=$B9)*Inputs!$B$5:$B$110*(((Inputs!$G$5:$G$110="moeda")+(Inputs!$G$5:$G$110="acoes"))*Inputs!$B$1+((Inputs!$G$5:$G$110&lt;&gt;"moeda")*(Inputs!$G$5:$G$110&lt;&gt;"acoes")))*INDEX(Inputs!$K$5:$AJ$110,0,MATCH(K$2,Inputs!$K$4:$AJ$4,0)))+SUMPRODUCT((Inputs!$C$5:$C$110=$B9)*Inputs!$D$5:$D$110*(((Inputs!$G$5:$G$110="moeda")+(Inputs!$G$5:$G$110="acoes"))*Inputs!$B$1+((Inputs!$G$5:$G$110&lt;&gt;"moeda")*(Inputs!$G$5:$G$110&lt;&gt;"acoes")))*INDEX(Inputs!$K$5:$AJ$110,0,MATCH(K$2,Inputs!$K$4:$AJ$4,0)))+SUMPRODUCT((Inputs!$E$5:$E$110=$B9)*Inputs!$F$5:$F$110*(((Inputs!$G$5:$G$110="moeda")+(Inputs!$G$5:$G$110="acoes"))*Inputs!$B$1+((Inputs!$G$5:$G$110&lt;&gt;"moeda")*(Inputs!$G$5:$G$110&lt;&gt;"acoes")))*INDEX(Inputs!$K$5:$AJ$110,0,MATCH(K$2,Inputs!$K$4:$AJ$4,0)))))</f>
        <v>40</v>
      </c>
      <c r="L9" s="6">
        <f>IF(ISNA(MATCH(L$2,Inputs!$K$4:$AJ$4,0)),NA(),IF(SUMPRODUCT((Inputs!$A$5:$A$110=$B9)*ISNUMBER(INDEX(Inputs!$K$5:$AJ$110,0,MATCH(L$2,Inputs!$K$4:$AJ$4,0))))+SUMPRODUCT((Inputs!$C$5:$C$110=$B9)*ISNUMBER(INDEX(Inputs!$K$5:$AJ$110,0,MATCH(L$2,Inputs!$K$4:$AJ$4,0))))+SUMPRODUCT((Inputs!$E$5:$E$110=$B9)*ISNUMBER(INDEX(Inputs!$K$5:$AJ$110,0,MATCH(L$2,Inputs!$K$4:$AJ$4,0))))=0,NA(),SUMPRODUCT((Inputs!$A$5:$A$110=$B9)*Inputs!$B$5:$B$110*(((Inputs!$G$5:$G$110="moeda")+(Inputs!$G$5:$G$110="acoes"))*Inputs!$B$1+((Inputs!$G$5:$G$110&lt;&gt;"moeda")*(Inputs!$G$5:$G$110&lt;&gt;"acoes")))*INDEX(Inputs!$K$5:$AJ$110,0,MATCH(L$2,Inputs!$K$4:$AJ$4,0)))+SUMPRODUCT((Inputs!$C$5:$C$110=$B9)*Inputs!$D$5:$D$110*(((Inputs!$G$5:$G$110="moeda")+(Inputs!$G$5:$G$110="acoes"))*Inputs!$B$1+((Inputs!$G$5:$G$110&lt;&gt;"moeda")*(Inputs!$G$5:$G$110&lt;&gt;"acoes")))*INDEX(Inputs!$K$5:$AJ$110,0,MATCH(L$2,Inputs!$K$4:$AJ$4,0)))+SUMPRODUCT((Inputs!$E$5:$E$110=$B9)*Inputs!$F$5:$F$110*(((Inputs!$G$5:$G$110="moeda")+(Inputs!$G$5:$G$110="acoes"))*Inputs!$B$1+((Inputs!$G$5:$G$110&lt;&gt;"moeda")*(Inputs!$G$5:$G$110&lt;&gt;"acoes")))*INDEX(Inputs!$K$5:$AJ$110,0,MATCH(L$2,Inputs!$K$4:$AJ$4,0)))))</f>
        <v>143</v>
      </c>
      <c r="M9" s="3">
        <f>SUM(I9:L9)</f>
        <v>103</v>
      </c>
      <c r="N9" s="6">
        <f>IF(ISNA(MATCH(N$2,Inputs!$K$4:$AJ$4,0)),NA(),IF(SUMPRODUCT((Inputs!$A$5:$A$110=$B9)*ISNUMBER(INDEX(Inputs!$K$5:$AJ$110,0,MATCH(N$2,Inputs!$K$4:$AJ$4,0))))+SUMPRODUCT((Inputs!$C$5:$C$110=$B9)*ISNUMBER(INDEX(Inputs!$K$5:$AJ$110,0,MATCH(N$2,Inputs!$K$4:$AJ$4,0))))+SUMPRODUCT((Inputs!$E$5:$E$110=$B9)*ISNUMBER(INDEX(Inputs!$K$5:$AJ$110,0,MATCH(N$2,Inputs!$K$4:$AJ$4,0))))=0,NA(),SUMPRODUCT((Inputs!$A$5:$A$110=$B9)*Inputs!$B$5:$B$110*(((Inputs!$G$5:$G$110="moeda")+(Inputs!$G$5:$G$110="acoes"))*Inputs!$B$1+((Inputs!$G$5:$G$110&lt;&gt;"moeda")*(Inputs!$G$5:$G$110&lt;&gt;"acoes")))*INDEX(Inputs!$K$5:$AJ$110,0,MATCH(N$2,Inputs!$K$4:$AJ$4,0)))+SUMPRODUCT((Inputs!$C$5:$C$110=$B9)*Inputs!$D$5:$D$110*(((Inputs!$G$5:$G$110="moeda")+(Inputs!$G$5:$G$110="acoes"))*Inputs!$B$1+((Inputs!$G$5:$G$110&lt;&gt;"moeda")*(Inputs!$G$5:$G$110&lt;&gt;"acoes")))*INDEX(Inputs!$K$5:$AJ$110,0,MATCH(N$2,Inputs!$K$4:$AJ$4,0)))+SUMPRODUCT((Inputs!$E$5:$E$110=$B9)*Inputs!$F$5:$F$110*(((Inputs!$G$5:$G$110="moeda")+(Inputs!$G$5:$G$110="acoes"))*Inputs!$B$1+((Inputs!$G$5:$G$110&lt;&gt;"moeda")*(Inputs!$G$5:$G$110&lt;&gt;"acoes")))*INDEX(Inputs!$K$5:$AJ$110,0,MATCH(N$2,Inputs!$K$4:$AJ$4,0)))))</f>
        <v>113</v>
      </c>
      <c r="O9" s="6">
        <f>IF(ISNA(MATCH(O$2,Inputs!$K$4:$AJ$4,0)),NA(),IF(SUMPRODUCT((Inputs!$A$5:$A$110=$B9)*ISNUMBER(INDEX(Inputs!$K$5:$AJ$110,0,MATCH(O$2,Inputs!$K$4:$AJ$4,0))))+SUMPRODUCT((Inputs!$C$5:$C$110=$B9)*ISNUMBER(INDEX(Inputs!$K$5:$AJ$110,0,MATCH(O$2,Inputs!$K$4:$AJ$4,0))))+SUMPRODUCT((Inputs!$E$5:$E$110=$B9)*ISNUMBER(INDEX(Inputs!$K$5:$AJ$110,0,MATCH(O$2,Inputs!$K$4:$AJ$4,0))))=0,NA(),SUMPRODUCT((Inputs!$A$5:$A$110=$B9)*Inputs!$B$5:$B$110*(((Inputs!$G$5:$G$110="moeda")+(Inputs!$G$5:$G$110="acoes"))*Inputs!$B$1+((Inputs!$G$5:$G$110&lt;&gt;"moeda")*(Inputs!$G$5:$G$110&lt;&gt;"acoes")))*INDEX(Inputs!$K$5:$AJ$110,0,MATCH(O$2,Inputs!$K$4:$AJ$4,0)))+SUMPRODUCT((Inputs!$C$5:$C$110=$B9)*Inputs!$D$5:$D$110*(((Inputs!$G$5:$G$110="moeda")+(Inputs!$G$5:$G$110="acoes"))*Inputs!$B$1+((Inputs!$G$5:$G$110&lt;&gt;"moeda")*(Inputs!$G$5:$G$110&lt;&gt;"acoes")))*INDEX(Inputs!$K$5:$AJ$110,0,MATCH(O$2,Inputs!$K$4:$AJ$4,0)))+SUMPRODUCT((Inputs!$E$5:$E$110=$B9)*Inputs!$F$5:$F$110*(((Inputs!$G$5:$G$110="moeda")+(Inputs!$G$5:$G$110="acoes"))*Inputs!$B$1+((Inputs!$G$5:$G$110&lt;&gt;"moeda")*(Inputs!$G$5:$G$110&lt;&gt;"acoes")))*INDEX(Inputs!$K$5:$AJ$110,0,MATCH(O$2,Inputs!$K$4:$AJ$4,0)))))</f>
        <v>124</v>
      </c>
      <c r="P9" s="6">
        <f>IF(ISNA(MATCH(P$2,Inputs!$K$4:$AJ$4,0)),NA(),IF(SUMPRODUCT((Inputs!$A$5:$A$110=$B9)*ISNUMBER(INDEX(Inputs!$K$5:$AJ$110,0,MATCH(P$2,Inputs!$K$4:$AJ$4,0))))+SUMPRODUCT((Inputs!$C$5:$C$110=$B9)*ISNUMBER(INDEX(Inputs!$K$5:$AJ$110,0,MATCH(P$2,Inputs!$K$4:$AJ$4,0))))+SUMPRODUCT((Inputs!$E$5:$E$110=$B9)*ISNUMBER(INDEX(Inputs!$K$5:$AJ$110,0,MATCH(P$2,Inputs!$K$4:$AJ$4,0))))=0,NA(),SUMPRODUCT((Inputs!$A$5:$A$110=$B9)*Inputs!$B$5:$B$110*(((Inputs!$G$5:$G$110="moeda")+(Inputs!$G$5:$G$110="acoes"))*Inputs!$B$1+((Inputs!$G$5:$G$110&lt;&gt;"moeda")*(Inputs!$G$5:$G$110&lt;&gt;"acoes")))*INDEX(Inputs!$K$5:$AJ$110,0,MATCH(P$2,Inputs!$K$4:$AJ$4,0)))+SUMPRODUCT((Inputs!$C$5:$C$110=$B9)*Inputs!$D$5:$D$110*(((Inputs!$G$5:$G$110="moeda")+(Inputs!$G$5:$G$110="acoes"))*Inputs!$B$1+((Inputs!$G$5:$G$110&lt;&gt;"moeda")*(Inputs!$G$5:$G$110&lt;&gt;"acoes")))*INDEX(Inputs!$K$5:$AJ$110,0,MATCH(P$2,Inputs!$K$4:$AJ$4,0)))+SUMPRODUCT((Inputs!$E$5:$E$110=$B9)*Inputs!$F$5:$F$110*(((Inputs!$G$5:$G$110="moeda")+(Inputs!$G$5:$G$110="acoes"))*Inputs!$B$1+((Inputs!$G$5:$G$110&lt;&gt;"moeda")*(Inputs!$G$5:$G$110&lt;&gt;"acoes")))*INDEX(Inputs!$K$5:$AJ$110,0,MATCH(P$2,Inputs!$K$4:$AJ$4,0)))))</f>
        <v>132</v>
      </c>
      <c r="Q9" s="6">
        <f>IF(ISNA(MATCH(Q$2,Inputs!$K$4:$AJ$4,0)),NA(),IF(SUMPRODUCT((Inputs!$A$5:$A$110=$B9)*ISNUMBER(INDEX(Inputs!$K$5:$AJ$110,0,MATCH(Q$2,Inputs!$K$4:$AJ$4,0))))+SUMPRODUCT((Inputs!$C$5:$C$110=$B9)*ISNUMBER(INDEX(Inputs!$K$5:$AJ$110,0,MATCH(Q$2,Inputs!$K$4:$AJ$4,0))))+SUMPRODUCT((Inputs!$E$5:$E$110=$B9)*ISNUMBER(INDEX(Inputs!$K$5:$AJ$110,0,MATCH(Q$2,Inputs!$K$4:$AJ$4,0))))=0,NA(),SUMPRODUCT((Inputs!$A$5:$A$110=$B9)*Inputs!$B$5:$B$110*(((Inputs!$G$5:$G$110="moeda")+(Inputs!$G$5:$G$110="acoes"))*Inputs!$B$1+((Inputs!$G$5:$G$110&lt;&gt;"moeda")*(Inputs!$G$5:$G$110&lt;&gt;"acoes")))*INDEX(Inputs!$K$5:$AJ$110,0,MATCH(Q$2,Inputs!$K$4:$AJ$4,0)))+SUMPRODUCT((Inputs!$C$5:$C$110=$B9)*Inputs!$D$5:$D$110*(((Inputs!$G$5:$G$110="moeda")+(Inputs!$G$5:$G$110="acoes"))*Inputs!$B$1+((Inputs!$G$5:$G$110&lt;&gt;"moeda")*(Inputs!$G$5:$G$110&lt;&gt;"acoes")))*INDEX(Inputs!$K$5:$AJ$110,0,MATCH(Q$2,Inputs!$K$4:$AJ$4,0)))+SUMPRODUCT((Inputs!$E$5:$E$110=$B9)*Inputs!$F$5:$F$110*(((Inputs!$G$5:$G$110="moeda")+(Inputs!$G$5:$G$110="acoes"))*Inputs!$B$1+((Inputs!$G$5:$G$110&lt;&gt;"moeda")*(Inputs!$G$5:$G$110&lt;&gt;"acoes")))*INDEX(Inputs!$K$5:$AJ$110,0,MATCH(Q$2,Inputs!$K$4:$AJ$4,0)))))</f>
        <v>185</v>
      </c>
      <c r="R9" s="3">
        <f>SUM(N9:Q9)</f>
        <v>554</v>
      </c>
      <c r="S9" s="6">
        <f>IF(ISNA(MATCH(S$2,Inputs!$K$4:$AJ$4,0)),NA(),IF(SUMPRODUCT((Inputs!$A$5:$A$110=$B9)*ISNUMBER(INDEX(Inputs!$K$5:$AJ$110,0,MATCH(S$2,Inputs!$K$4:$AJ$4,0))))+SUMPRODUCT((Inputs!$C$5:$C$110=$B9)*ISNUMBER(INDEX(Inputs!$K$5:$AJ$110,0,MATCH(S$2,Inputs!$K$4:$AJ$4,0))))+SUMPRODUCT((Inputs!$E$5:$E$110=$B9)*ISNUMBER(INDEX(Inputs!$K$5:$AJ$110,0,MATCH(S$2,Inputs!$K$4:$AJ$4,0))))=0,NA(),SUMPRODUCT((Inputs!$A$5:$A$110=$B9)*Inputs!$B$5:$B$110*(((Inputs!$G$5:$G$110="moeda")+(Inputs!$G$5:$G$110="acoes"))*Inputs!$B$1+((Inputs!$G$5:$G$110&lt;&gt;"moeda")*(Inputs!$G$5:$G$110&lt;&gt;"acoes")))*INDEX(Inputs!$K$5:$AJ$110,0,MATCH(S$2,Inputs!$K$4:$AJ$4,0)))+SUMPRODUCT((Inputs!$C$5:$C$110=$B9)*Inputs!$D$5:$D$110*(((Inputs!$G$5:$G$110="moeda")+(Inputs!$G$5:$G$110="acoes"))*Inputs!$B$1+((Inputs!$G$5:$G$110&lt;&gt;"moeda")*(Inputs!$G$5:$G$110&lt;&gt;"acoes")))*INDEX(Inputs!$K$5:$AJ$110,0,MATCH(S$2,Inputs!$K$4:$AJ$4,0)))+SUMPRODUCT((Inputs!$E$5:$E$110=$B9)*Inputs!$F$5:$F$110*(((Inputs!$G$5:$G$110="moeda")+(Inputs!$G$5:$G$110="acoes"))*Inputs!$B$1+((Inputs!$G$5:$G$110&lt;&gt;"moeda")*(Inputs!$G$5:$G$110&lt;&gt;"acoes")))*INDEX(Inputs!$K$5:$AJ$110,0,MATCH(S$2,Inputs!$K$4:$AJ$4,0)))))</f>
        <v>87</v>
      </c>
      <c r="T9" s="6">
        <f>IF(ISNA(MATCH(T$2,Inputs!$K$4:$AJ$4,0)),NA(),IF(SUMPRODUCT((Inputs!$A$5:$A$110=$B9)*ISNUMBER(INDEX(Inputs!$K$5:$AJ$110,0,MATCH(T$2,Inputs!$K$4:$AJ$4,0))))+SUMPRODUCT((Inputs!$C$5:$C$110=$B9)*ISNUMBER(INDEX(Inputs!$K$5:$AJ$110,0,MATCH(T$2,Inputs!$K$4:$AJ$4,0))))+SUMPRODUCT((Inputs!$E$5:$E$110=$B9)*ISNUMBER(INDEX(Inputs!$K$5:$AJ$110,0,MATCH(T$2,Inputs!$K$4:$AJ$4,0))))=0,NA(),SUMPRODUCT((Inputs!$A$5:$A$110=$B9)*Inputs!$B$5:$B$110*(((Inputs!$G$5:$G$110="moeda")+(Inputs!$G$5:$G$110="acoes"))*Inputs!$B$1+((Inputs!$G$5:$G$110&lt;&gt;"moeda")*(Inputs!$G$5:$G$110&lt;&gt;"acoes")))*INDEX(Inputs!$K$5:$AJ$110,0,MATCH(T$2,Inputs!$K$4:$AJ$4,0)))+SUMPRODUCT((Inputs!$C$5:$C$110=$B9)*Inputs!$D$5:$D$110*(((Inputs!$G$5:$G$110="moeda")+(Inputs!$G$5:$G$110="acoes"))*Inputs!$B$1+((Inputs!$G$5:$G$110&lt;&gt;"moeda")*(Inputs!$G$5:$G$110&lt;&gt;"acoes")))*INDEX(Inputs!$K$5:$AJ$110,0,MATCH(T$2,Inputs!$K$4:$AJ$4,0)))+SUMPRODUCT((Inputs!$E$5:$E$110=$B9)*Inputs!$F$5:$F$110*(((Inputs!$G$5:$G$110="moeda")+(Inputs!$G$5:$G$110="acoes"))*Inputs!$B$1+((Inputs!$G$5:$G$110&lt;&gt;"moeda")*(Inputs!$G$5:$G$110&lt;&gt;"acoes")))*INDEX(Inputs!$K$5:$AJ$110,0,MATCH(T$2,Inputs!$K$4:$AJ$4,0)))))</f>
        <v>82</v>
      </c>
      <c r="U9" s="6">
        <f>IF(ISNA(MATCH(U$2,Inputs!$K$4:$AJ$4,0)),NA(),IF(SUMPRODUCT((Inputs!$A$5:$A$110=$B9)*ISNUMBER(INDEX(Inputs!$K$5:$AJ$110,0,MATCH(U$2,Inputs!$K$4:$AJ$4,0))))+SUMPRODUCT((Inputs!$C$5:$C$110=$B9)*ISNUMBER(INDEX(Inputs!$K$5:$AJ$110,0,MATCH(U$2,Inputs!$K$4:$AJ$4,0))))+SUMPRODUCT((Inputs!$E$5:$E$110=$B9)*ISNUMBER(INDEX(Inputs!$K$5:$AJ$110,0,MATCH(U$2,Inputs!$K$4:$AJ$4,0))))=0,NA(),SUMPRODUCT((Inputs!$A$5:$A$110=$B9)*Inputs!$B$5:$B$110*(((Inputs!$G$5:$G$110="moeda")+(Inputs!$G$5:$G$110="acoes"))*Inputs!$B$1+((Inputs!$G$5:$G$110&lt;&gt;"moeda")*(Inputs!$G$5:$G$110&lt;&gt;"acoes")))*INDEX(Inputs!$K$5:$AJ$110,0,MATCH(U$2,Inputs!$K$4:$AJ$4,0)))+SUMPRODUCT((Inputs!$C$5:$C$110=$B9)*Inputs!$D$5:$D$110*(((Inputs!$G$5:$G$110="moeda")+(Inputs!$G$5:$G$110="acoes"))*Inputs!$B$1+((Inputs!$G$5:$G$110&lt;&gt;"moeda")*(Inputs!$G$5:$G$110&lt;&gt;"acoes")))*INDEX(Inputs!$K$5:$AJ$110,0,MATCH(U$2,Inputs!$K$4:$AJ$4,0)))+SUMPRODUCT((Inputs!$E$5:$E$110=$B9)*Inputs!$F$5:$F$110*(((Inputs!$G$5:$G$110="moeda")+(Inputs!$G$5:$G$110="acoes"))*Inputs!$B$1+((Inputs!$G$5:$G$110&lt;&gt;"moeda")*(Inputs!$G$5:$G$110&lt;&gt;"acoes")))*INDEX(Inputs!$K$5:$AJ$110,0,MATCH(U$2,Inputs!$K$4:$AJ$4,0)))))</f>
        <v>52</v>
      </c>
      <c r="V9" s="6">
        <f>IF(ISNA(MATCH(V$2,Inputs!$K$4:$AJ$4,0)),NA(),IF(SUMPRODUCT((Inputs!$A$5:$A$110=$B9)*ISNUMBER(INDEX(Inputs!$K$5:$AJ$110,0,MATCH(V$2,Inputs!$K$4:$AJ$4,0))))+SUMPRODUCT((Inputs!$C$5:$C$110=$B9)*ISNUMBER(INDEX(Inputs!$K$5:$AJ$110,0,MATCH(V$2,Inputs!$K$4:$AJ$4,0))))+SUMPRODUCT((Inputs!$E$5:$E$110=$B9)*ISNUMBER(INDEX(Inputs!$K$5:$AJ$110,0,MATCH(V$2,Inputs!$K$4:$AJ$4,0))))=0,NA(),SUMPRODUCT((Inputs!$A$5:$A$110=$B9)*Inputs!$B$5:$B$110*(((Inputs!$G$5:$G$110="moeda")+(Inputs!$G$5:$G$110="acoes"))*Inputs!$B$1+((Inputs!$G$5:$G$110&lt;&gt;"moeda")*(Inputs!$G$5:$G$110&lt;&gt;"acoes")))*INDEX(Inputs!$K$5:$AJ$110,0,MATCH(V$2,Inputs!$K$4:$AJ$4,0)))+SUMPRODUCT((Inputs!$C$5:$C$110=$B9)*Inputs!$D$5:$D$110*(((Inputs!$G$5:$G$110="moeda")+(Inputs!$G$5:$G$110="acoes"))*Inputs!$B$1+((Inputs!$G$5:$G$110&lt;&gt;"moeda")*(Inputs!$G$5:$G$110&lt;&gt;"acoes")))*INDEX(Inputs!$K$5:$AJ$110,0,MATCH(V$2,Inputs!$K$4:$AJ$4,0)))+SUMPRODUCT((Inputs!$E$5:$E$110=$B9)*Inputs!$F$5:$F$110*(((Inputs!$G$5:$G$110="moeda")+(Inputs!$G$5:$G$110="acoes"))*Inputs!$B$1+((Inputs!$G$5:$G$110&lt;&gt;"moeda")*(Inputs!$G$5:$G$110&lt;&gt;"acoes")))*INDEX(Inputs!$K$5:$AJ$110,0,MATCH(V$2,Inputs!$K$4:$AJ$4,0)))))</f>
        <v>103</v>
      </c>
      <c r="W9" s="3">
        <f>SUM(S9:V9)</f>
        <v>324</v>
      </c>
      <c r="X9" s="6">
        <f>IF(ISNA(MATCH(X$2,Inputs!$K$4:$AJ$4,0)),NA(),IF(SUMPRODUCT((Inputs!$A$5:$A$110=$B9)*ISNUMBER(INDEX(Inputs!$K$5:$AJ$110,0,MATCH(X$2,Inputs!$K$4:$AJ$4,0))))+SUMPRODUCT((Inputs!$C$5:$C$110=$B9)*ISNUMBER(INDEX(Inputs!$K$5:$AJ$110,0,MATCH(X$2,Inputs!$K$4:$AJ$4,0))))+SUMPRODUCT((Inputs!$E$5:$E$110=$B9)*ISNUMBER(INDEX(Inputs!$K$5:$AJ$110,0,MATCH(X$2,Inputs!$K$4:$AJ$4,0))))=0,NA(),SUMPRODUCT((Inputs!$A$5:$A$110=$B9)*Inputs!$B$5:$B$110*(((Inputs!$G$5:$G$110="moeda")+(Inputs!$G$5:$G$110="acoes"))*Inputs!$B$1+((Inputs!$G$5:$G$110&lt;&gt;"moeda")*(Inputs!$G$5:$G$110&lt;&gt;"acoes")))*INDEX(Inputs!$K$5:$AJ$110,0,MATCH(X$2,Inputs!$K$4:$AJ$4,0)))+SUMPRODUCT((Inputs!$C$5:$C$110=$B9)*Inputs!$D$5:$D$110*(((Inputs!$G$5:$G$110="moeda")+(Inputs!$G$5:$G$110="acoes"))*Inputs!$B$1+((Inputs!$G$5:$G$110&lt;&gt;"moeda")*(Inputs!$G$5:$G$110&lt;&gt;"acoes")))*INDEX(Inputs!$K$5:$AJ$110,0,MATCH(X$2,Inputs!$K$4:$AJ$4,0)))+SUMPRODUCT((Inputs!$E$5:$E$110=$B9)*Inputs!$F$5:$F$110*(((Inputs!$G$5:$G$110="moeda")+(Inputs!$G$5:$G$110="acoes"))*Inputs!$B$1+((Inputs!$G$5:$G$110&lt;&gt;"moeda")*(Inputs!$G$5:$G$110&lt;&gt;"acoes")))*INDEX(Inputs!$K$5:$AJ$110,0,MATCH(X$2,Inputs!$K$4:$AJ$4,0)))))</f>
        <v>25</v>
      </c>
      <c r="Y9" s="6">
        <f>IF(ISNA(MATCH(Y$2,Inputs!$K$4:$AJ$4,0)),NA(),IF(SUMPRODUCT((Inputs!$A$5:$A$110=$B9)*ISNUMBER(INDEX(Inputs!$K$5:$AJ$110,0,MATCH(Y$2,Inputs!$K$4:$AJ$4,0))))+SUMPRODUCT((Inputs!$C$5:$C$110=$B9)*ISNUMBER(INDEX(Inputs!$K$5:$AJ$110,0,MATCH(Y$2,Inputs!$K$4:$AJ$4,0))))+SUMPRODUCT((Inputs!$E$5:$E$110=$B9)*ISNUMBER(INDEX(Inputs!$K$5:$AJ$110,0,MATCH(Y$2,Inputs!$K$4:$AJ$4,0))))=0,NA(),SUMPRODUCT((Inputs!$A$5:$A$110=$B9)*Inputs!$B$5:$B$110*(((Inputs!$G$5:$G$110="moeda")+(Inputs!$G$5:$G$110="acoes"))*Inputs!$B$1+((Inputs!$G$5:$G$110&lt;&gt;"moeda")*(Inputs!$G$5:$G$110&lt;&gt;"acoes")))*INDEX(Inputs!$K$5:$AJ$110,0,MATCH(Y$2,Inputs!$K$4:$AJ$4,0)))+SUMPRODUCT((Inputs!$C$5:$C$110=$B9)*Inputs!$D$5:$D$110*(((Inputs!$G$5:$G$110="moeda")+(Inputs!$G$5:$G$110="acoes"))*Inputs!$B$1+((Inputs!$G$5:$G$110&lt;&gt;"moeda")*(Inputs!$G$5:$G$110&lt;&gt;"acoes")))*INDEX(Inputs!$K$5:$AJ$110,0,MATCH(Y$2,Inputs!$K$4:$AJ$4,0)))+SUMPRODUCT((Inputs!$E$5:$E$110=$B9)*Inputs!$F$5:$F$110*(((Inputs!$G$5:$G$110="moeda")+(Inputs!$G$5:$G$110="acoes"))*Inputs!$B$1+((Inputs!$G$5:$G$110&lt;&gt;"moeda")*(Inputs!$G$5:$G$110&lt;&gt;"acoes")))*INDEX(Inputs!$K$5:$AJ$110,0,MATCH(Y$2,Inputs!$K$4:$AJ$4,0)))))</f>
        <v>205</v>
      </c>
      <c r="Z9" s="6">
        <f>IF(ISNA(MATCH(Z$2,Inputs!$K$4:$AJ$4,0)),NA(),IF(SUMPRODUCT((Inputs!$A$5:$A$110=$B9)*ISNUMBER(INDEX(Inputs!$K$5:$AJ$110,0,MATCH(Z$2,Inputs!$K$4:$AJ$4,0))))+SUMPRODUCT((Inputs!$C$5:$C$110=$B9)*ISNUMBER(INDEX(Inputs!$K$5:$AJ$110,0,MATCH(Z$2,Inputs!$K$4:$AJ$4,0))))+SUMPRODUCT((Inputs!$E$5:$E$110=$B9)*ISNUMBER(INDEX(Inputs!$K$5:$AJ$110,0,MATCH(Z$2,Inputs!$K$4:$AJ$4,0))))=0,NA(),SUMPRODUCT((Inputs!$A$5:$A$110=$B9)*Inputs!$B$5:$B$110*(((Inputs!$G$5:$G$110="moeda")+(Inputs!$G$5:$G$110="acoes"))*Inputs!$B$1+((Inputs!$G$5:$G$110&lt;&gt;"moeda")*(Inputs!$G$5:$G$110&lt;&gt;"acoes")))*INDEX(Inputs!$K$5:$AJ$110,0,MATCH(Z$2,Inputs!$K$4:$AJ$4,0)))+SUMPRODUCT((Inputs!$C$5:$C$110=$B9)*Inputs!$D$5:$D$110*(((Inputs!$G$5:$G$110="moeda")+(Inputs!$G$5:$G$110="acoes"))*Inputs!$B$1+((Inputs!$G$5:$G$110&lt;&gt;"moeda")*(Inputs!$G$5:$G$110&lt;&gt;"acoes")))*INDEX(Inputs!$K$5:$AJ$110,0,MATCH(Z$2,Inputs!$K$4:$AJ$4,0)))+SUMPRODUCT((Inputs!$E$5:$E$110=$B9)*Inputs!$F$5:$F$110*(((Inputs!$G$5:$G$110="moeda")+(Inputs!$G$5:$G$110="acoes"))*Inputs!$B$1+((Inputs!$G$5:$G$110&lt;&gt;"moeda")*(Inputs!$G$5:$G$110&lt;&gt;"acoes")))*INDEX(Inputs!$K$5:$AJ$110,0,MATCH(Z$2,Inputs!$K$4:$AJ$4,0)))))</f>
        <v>122</v>
      </c>
      <c r="AA9" s="6">
        <f>IF(ISNA(MATCH(AA$2,Inputs!$K$4:$AJ$4,0)),NA(),IF(SUMPRODUCT((Inputs!$A$5:$A$110=$B9)*ISNUMBER(INDEX(Inputs!$K$5:$AJ$110,0,MATCH(AA$2,Inputs!$K$4:$AJ$4,0))))+SUMPRODUCT((Inputs!$C$5:$C$110=$B9)*ISNUMBER(INDEX(Inputs!$K$5:$AJ$110,0,MATCH(AA$2,Inputs!$K$4:$AJ$4,0))))+SUMPRODUCT((Inputs!$E$5:$E$110=$B9)*ISNUMBER(INDEX(Inputs!$K$5:$AJ$110,0,MATCH(AA$2,Inputs!$K$4:$AJ$4,0))))=0,NA(),SUMPRODUCT((Inputs!$A$5:$A$110=$B9)*Inputs!$B$5:$B$110*(((Inputs!$G$5:$G$110="moeda")+(Inputs!$G$5:$G$110="acoes"))*Inputs!$B$1+((Inputs!$G$5:$G$110&lt;&gt;"moeda")*(Inputs!$G$5:$G$110&lt;&gt;"acoes")))*INDEX(Inputs!$K$5:$AJ$110,0,MATCH(AA$2,Inputs!$K$4:$AJ$4,0)))+SUMPRODUCT((Inputs!$C$5:$C$110=$B9)*Inputs!$D$5:$D$110*(((Inputs!$G$5:$G$110="moeda")+(Inputs!$G$5:$G$110="acoes"))*Inputs!$B$1+((Inputs!$G$5:$G$110&lt;&gt;"moeda")*(Inputs!$G$5:$G$110&lt;&gt;"acoes")))*INDEX(Inputs!$K$5:$AJ$110,0,MATCH(AA$2,Inputs!$K$4:$AJ$4,0)))+SUMPRODUCT((Inputs!$E$5:$E$110=$B9)*Inputs!$F$5:$F$110*(((Inputs!$G$5:$G$110="moeda")+(Inputs!$G$5:$G$110="acoes"))*Inputs!$B$1+((Inputs!$G$5:$G$110&lt;&gt;"moeda")*(Inputs!$G$5:$G$110&lt;&gt;"acoes")))*INDEX(Inputs!$K$5:$AJ$110,0,MATCH(AA$2,Inputs!$K$4:$AJ$4,0)))))</f>
        <v>433</v>
      </c>
      <c r="AB9" s="3">
        <f>SUM(X9:AA9)</f>
        <v>785</v>
      </c>
      <c r="AC9" s="6">
        <f>IF(ISNA(MATCH(AC$2,Inputs!$K$4:$AJ$4,0)),NA(),IF(SUMPRODUCT((Inputs!$A$5:$A$110=$B9)*ISNUMBER(INDEX(Inputs!$K$5:$AJ$110,0,MATCH(AC$2,Inputs!$K$4:$AJ$4,0))))+SUMPRODUCT((Inputs!$C$5:$C$110=$B9)*ISNUMBER(INDEX(Inputs!$K$5:$AJ$110,0,MATCH(AC$2,Inputs!$K$4:$AJ$4,0))))+SUMPRODUCT((Inputs!$E$5:$E$110=$B9)*ISNUMBER(INDEX(Inputs!$K$5:$AJ$110,0,MATCH(AC$2,Inputs!$K$4:$AJ$4,0))))=0,NA(),SUMPRODUCT((Inputs!$A$5:$A$110=$B9)*Inputs!$B$5:$B$110*(((Inputs!$G$5:$G$110="moeda")+(Inputs!$G$5:$G$110="acoes"))*Inputs!$B$1+((Inputs!$G$5:$G$110&lt;&gt;"moeda")*(Inputs!$G$5:$G$110&lt;&gt;"acoes")))*INDEX(Inputs!$K$5:$AJ$110,0,MATCH(AC$2,Inputs!$K$4:$AJ$4,0)))+SUMPRODUCT((Inputs!$C$5:$C$110=$B9)*Inputs!$D$5:$D$110*(((Inputs!$G$5:$G$110="moeda")+(Inputs!$G$5:$G$110="acoes"))*Inputs!$B$1+((Inputs!$G$5:$G$110&lt;&gt;"moeda")*(Inputs!$G$5:$G$110&lt;&gt;"acoes")))*INDEX(Inputs!$K$5:$AJ$110,0,MATCH(AC$2,Inputs!$K$4:$AJ$4,0)))+SUMPRODUCT((Inputs!$E$5:$E$110=$B9)*Inputs!$F$5:$F$110*(((Inputs!$G$5:$G$110="moeda")+(Inputs!$G$5:$G$110="acoes"))*Inputs!$B$1+((Inputs!$G$5:$G$110&lt;&gt;"moeda")*(Inputs!$G$5:$G$110&lt;&gt;"acoes")))*INDEX(Inputs!$K$5:$AJ$110,0,MATCH(AC$2,Inputs!$K$4:$AJ$4,0)))))</f>
        <v>118</v>
      </c>
      <c r="AD9" s="6">
        <f>IF(ISNA(MATCH(AD$2,Inputs!$K$4:$AJ$4,0)),NA(),IF(SUMPRODUCT((Inputs!$A$5:$A$110=$B9)*ISNUMBER(INDEX(Inputs!$K$5:$AJ$110,0,MATCH(AD$2,Inputs!$K$4:$AJ$4,0))))+SUMPRODUCT((Inputs!$C$5:$C$110=$B9)*ISNUMBER(INDEX(Inputs!$K$5:$AJ$110,0,MATCH(AD$2,Inputs!$K$4:$AJ$4,0))))+SUMPRODUCT((Inputs!$E$5:$E$110=$B9)*ISNUMBER(INDEX(Inputs!$K$5:$AJ$110,0,MATCH(AD$2,Inputs!$K$4:$AJ$4,0))))=0,NA(),SUMPRODUCT((Inputs!$A$5:$A$110=$B9)*Inputs!$B$5:$B$110*(((Inputs!$G$5:$G$110="moeda")+(Inputs!$G$5:$G$110="acoes"))*Inputs!$B$1+((Inputs!$G$5:$G$110&lt;&gt;"moeda")*(Inputs!$G$5:$G$110&lt;&gt;"acoes")))*INDEX(Inputs!$K$5:$AJ$110,0,MATCH(AD$2,Inputs!$K$4:$AJ$4,0)))+SUMPRODUCT((Inputs!$C$5:$C$110=$B9)*Inputs!$D$5:$D$110*(((Inputs!$G$5:$G$110="moeda")+(Inputs!$G$5:$G$110="acoes"))*Inputs!$B$1+((Inputs!$G$5:$G$110&lt;&gt;"moeda")*(Inputs!$G$5:$G$110&lt;&gt;"acoes")))*INDEX(Inputs!$K$5:$AJ$110,0,MATCH(AD$2,Inputs!$K$4:$AJ$4,0)))+SUMPRODUCT((Inputs!$E$5:$E$110=$B9)*Inputs!$F$5:$F$110*(((Inputs!$G$5:$G$110="moeda")+(Inputs!$G$5:$G$110="acoes"))*Inputs!$B$1+((Inputs!$G$5:$G$110&lt;&gt;"moeda")*(Inputs!$G$5:$G$110&lt;&gt;"acoes")))*INDEX(Inputs!$K$5:$AJ$110,0,MATCH(AD$2,Inputs!$K$4:$AJ$4,0)))))</f>
        <v>98</v>
      </c>
      <c r="AE9" s="6" t="e">
        <f>IF(ISNA(MATCH(AE$2,Inputs!$K$4:$AJ$4,0)),NA(),IF(SUMPRODUCT((Inputs!$A$5:$A$110=$B9)*ISNUMBER(INDEX(Inputs!$K$5:$AJ$110,0,MATCH(AE$2,Inputs!$K$4:$AJ$4,0))))+SUMPRODUCT((Inputs!$C$5:$C$110=$B9)*ISNUMBER(INDEX(Inputs!$K$5:$AJ$110,0,MATCH(AE$2,Inputs!$K$4:$AJ$4,0))))+SUMPRODUCT((Inputs!$E$5:$E$110=$B9)*ISNUMBER(INDEX(Inputs!$K$5:$AJ$110,0,MATCH(AE$2,Inputs!$K$4:$AJ$4,0))))=0,NA(),SUMPRODUCT((Inputs!$A$5:$A$110=$B9)*Inputs!$B$5:$B$110*(((Inputs!$G$5:$G$110="moeda")+(Inputs!$G$5:$G$110="acoes"))*Inputs!$B$1+((Inputs!$G$5:$G$110&lt;&gt;"moeda")*(Inputs!$G$5:$G$110&lt;&gt;"acoes")))*INDEX(Inputs!$K$5:$AJ$110,0,MATCH(AE$2,Inputs!$K$4:$AJ$4,0)))+SUMPRODUCT((Inputs!$C$5:$C$110=$B9)*Inputs!$D$5:$D$110*(((Inputs!$G$5:$G$110="moeda")+(Inputs!$G$5:$G$110="acoes"))*Inputs!$B$1+((Inputs!$G$5:$G$110&lt;&gt;"moeda")*(Inputs!$G$5:$G$110&lt;&gt;"acoes")))*INDEX(Inputs!$K$5:$AJ$110,0,MATCH(AE$2,Inputs!$K$4:$AJ$4,0)))+SUMPRODUCT((Inputs!$E$5:$E$110=$B9)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9" s="6" t="e">
        <f>IF(ISNA(MATCH(AF$2,Inputs!$K$4:$AJ$4,0)),NA(),IF(SUMPRODUCT((Inputs!$A$5:$A$110=$B9)*ISNUMBER(INDEX(Inputs!$K$5:$AJ$110,0,MATCH(AF$2,Inputs!$K$4:$AJ$4,0))))+SUMPRODUCT((Inputs!$C$5:$C$110=$B9)*ISNUMBER(INDEX(Inputs!$K$5:$AJ$110,0,MATCH(AF$2,Inputs!$K$4:$AJ$4,0))))+SUMPRODUCT((Inputs!$E$5:$E$110=$B9)*ISNUMBER(INDEX(Inputs!$K$5:$AJ$110,0,MATCH(AF$2,Inputs!$K$4:$AJ$4,0))))=0,NA(),SUMPRODUCT((Inputs!$A$5:$A$110=$B9)*Inputs!$B$5:$B$110*(((Inputs!$G$5:$G$110="moeda")+(Inputs!$G$5:$G$110="acoes"))*Inputs!$B$1+((Inputs!$G$5:$G$110&lt;&gt;"moeda")*(Inputs!$G$5:$G$110&lt;&gt;"acoes")))*INDEX(Inputs!$K$5:$AJ$110,0,MATCH(AF$2,Inputs!$K$4:$AJ$4,0)))+SUMPRODUCT((Inputs!$C$5:$C$110=$B9)*Inputs!$D$5:$D$110*(((Inputs!$G$5:$G$110="moeda")+(Inputs!$G$5:$G$110="acoes"))*Inputs!$B$1+((Inputs!$G$5:$G$110&lt;&gt;"moeda")*(Inputs!$G$5:$G$110&lt;&gt;"acoes")))*INDEX(Inputs!$K$5:$AJ$110,0,MATCH(AF$2,Inputs!$K$4:$AJ$4,0)))+SUMPRODUCT((Inputs!$E$5:$E$110=$B9)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9" s="3" t="e">
        <f>SUM(AC9:AF9)</f>
        <v>#N/A</v>
      </c>
      <c r="AH9" s="6">
        <f>IF(ISNA(MATCH(AH$2,Inputs!$K$4:$AJ$4,0)),NA(),IF(SUMPRODUCT((Inputs!$A$5:$A$110=$B9)*ISNUMBER(INDEX(Inputs!$K$5:$AJ$110,0,MATCH(AH$2,Inputs!$K$4:$AJ$4,0))))+SUMPRODUCT((Inputs!$C$5:$C$110=$B9)*ISNUMBER(INDEX(Inputs!$K$5:$AJ$110,0,MATCH(AH$2,Inputs!$K$4:$AJ$4,0))))+SUMPRODUCT((Inputs!$E$5:$E$110=$B9)*ISNUMBER(INDEX(Inputs!$K$5:$AJ$110,0,MATCH(AH$2,Inputs!$K$4:$AJ$4,0))))=0,NA(),SUMPRODUCT((Inputs!$A$5:$A$110=$B9)*Inputs!$B$5:$B$110*(((Inputs!$G$5:$G$110="moeda")+(Inputs!$G$5:$G$110="acoes"))*Inputs!$B$1+((Inputs!$G$5:$G$110&lt;&gt;"moeda")*(Inputs!$G$5:$G$110&lt;&gt;"acoes")))*INDEX(Inputs!$K$5:$AJ$110,0,MATCH(AH$2,Inputs!$K$4:$AJ$4,0)))+SUMPRODUCT((Inputs!$C$5:$C$110=$B9)*Inputs!$D$5:$D$110*(((Inputs!$G$5:$G$110="moeda")+(Inputs!$G$5:$G$110="acoes"))*Inputs!$B$1+((Inputs!$G$5:$G$110&lt;&gt;"moeda")*(Inputs!$G$5:$G$110&lt;&gt;"acoes")))*INDEX(Inputs!$K$5:$AJ$110,0,MATCH(AH$2,Inputs!$K$4:$AJ$4,0)))+SUMPRODUCT((Inputs!$E$5:$E$110=$B9)*Inputs!$F$5:$F$110*(((Inputs!$G$5:$G$110="moeda")+(Inputs!$G$5:$G$110="acoes"))*Inputs!$B$1+((Inputs!$G$5:$G$110&lt;&gt;"moeda")*(Inputs!$G$5:$G$110&lt;&gt;"acoes")))*INDEX(Inputs!$K$5:$AJ$110,0,MATCH(AH$2,Inputs!$K$4:$AJ$4,0)))))</f>
        <v>130</v>
      </c>
      <c r="AI9" s="6">
        <f>IF(ISNA(MATCH(AI$2,Inputs!$K$4:$AJ$4,0)),NA(),IF(SUMPRODUCT((Inputs!$A$5:$A$110=$B9)*ISNUMBER(INDEX(Inputs!$K$5:$AJ$110,0,MATCH(AI$2,Inputs!$K$4:$AJ$4,0))))+SUMPRODUCT((Inputs!$C$5:$C$110=$B9)*ISNUMBER(INDEX(Inputs!$K$5:$AJ$110,0,MATCH(AI$2,Inputs!$K$4:$AJ$4,0))))+SUMPRODUCT((Inputs!$E$5:$E$110=$B9)*ISNUMBER(INDEX(Inputs!$K$5:$AJ$110,0,MATCH(AI$2,Inputs!$K$4:$AJ$4,0))))=0,NA(),SUMPRODUCT((Inputs!$A$5:$A$110=$B9)*Inputs!$B$5:$B$110*(((Inputs!$G$5:$G$110="moeda")+(Inputs!$G$5:$G$110="acoes"))*Inputs!$B$1+((Inputs!$G$5:$G$110&lt;&gt;"moeda")*(Inputs!$G$5:$G$110&lt;&gt;"acoes")))*INDEX(Inputs!$K$5:$AJ$110,0,MATCH(AI$2,Inputs!$K$4:$AJ$4,0)))+SUMPRODUCT((Inputs!$C$5:$C$110=$B9)*Inputs!$D$5:$D$110*(((Inputs!$G$5:$G$110="moeda")+(Inputs!$G$5:$G$110="acoes"))*Inputs!$B$1+((Inputs!$G$5:$G$110&lt;&gt;"moeda")*(Inputs!$G$5:$G$110&lt;&gt;"acoes")))*INDEX(Inputs!$K$5:$AJ$110,0,MATCH(AI$2,Inputs!$K$4:$AJ$4,0)))+SUMPRODUCT((Inputs!$E$5:$E$110=$B9)*Inputs!$F$5:$F$110*(((Inputs!$G$5:$G$110="moeda")+(Inputs!$G$5:$G$110="acoes"))*Inputs!$B$1+((Inputs!$G$5:$G$110&lt;&gt;"moeda")*(Inputs!$G$5:$G$110&lt;&gt;"acoes")))*INDEX(Inputs!$K$5:$AJ$110,0,MATCH(AI$2,Inputs!$K$4:$AJ$4,0)))))</f>
        <v>49</v>
      </c>
      <c r="AJ9" s="6">
        <f>IF(ISNA(MATCH(AJ$2,Inputs!$K$4:$AJ$4,0)),NA(),IF(SUMPRODUCT((Inputs!$A$5:$A$110=$B9)*ISNUMBER(INDEX(Inputs!$K$5:$AJ$110,0,MATCH(AJ$2,Inputs!$K$4:$AJ$4,0))))+SUMPRODUCT((Inputs!$C$5:$C$110=$B9)*ISNUMBER(INDEX(Inputs!$K$5:$AJ$110,0,MATCH(AJ$2,Inputs!$K$4:$AJ$4,0))))+SUMPRODUCT((Inputs!$E$5:$E$110=$B9)*ISNUMBER(INDEX(Inputs!$K$5:$AJ$110,0,MATCH(AJ$2,Inputs!$K$4:$AJ$4,0))))=0,NA(),SUMPRODUCT((Inputs!$A$5:$A$110=$B9)*Inputs!$B$5:$B$110*(((Inputs!$G$5:$G$110="moeda")+(Inputs!$G$5:$G$110="acoes"))*Inputs!$B$1+((Inputs!$G$5:$G$110&lt;&gt;"moeda")*(Inputs!$G$5:$G$110&lt;&gt;"acoes")))*INDEX(Inputs!$K$5:$AJ$110,0,MATCH(AJ$2,Inputs!$K$4:$AJ$4,0)))+SUMPRODUCT((Inputs!$C$5:$C$110=$B9)*Inputs!$D$5:$D$110*(((Inputs!$G$5:$G$110="moeda")+(Inputs!$G$5:$G$110="acoes"))*Inputs!$B$1+((Inputs!$G$5:$G$110&lt;&gt;"moeda")*(Inputs!$G$5:$G$110&lt;&gt;"acoes")))*INDEX(Inputs!$K$5:$AJ$110,0,MATCH(AJ$2,Inputs!$K$4:$AJ$4,0)))+SUMPRODUCT((Inputs!$E$5:$E$110=$B9)*Inputs!$F$5:$F$110*(((Inputs!$G$5:$G$110="moeda")+(Inputs!$G$5:$G$110="acoes"))*Inputs!$B$1+((Inputs!$G$5:$G$110&lt;&gt;"moeda")*(Inputs!$G$5:$G$110&lt;&gt;"acoes")))*INDEX(Inputs!$K$5:$AJ$110,0,MATCH(AJ$2,Inputs!$K$4:$AJ$4,0)))))</f>
        <v>31</v>
      </c>
      <c r="AK9" s="6">
        <f>IF(ISNA(MATCH(AK$2,Inputs!$K$4:$AJ$4,0)),NA(),IF(SUMPRODUCT((Inputs!$A$5:$A$110=$B9)*ISNUMBER(INDEX(Inputs!$K$5:$AJ$110,0,MATCH(AK$2,Inputs!$K$4:$AJ$4,0))))+SUMPRODUCT((Inputs!$C$5:$C$110=$B9)*ISNUMBER(INDEX(Inputs!$K$5:$AJ$110,0,MATCH(AK$2,Inputs!$K$4:$AJ$4,0))))+SUMPRODUCT((Inputs!$E$5:$E$110=$B9)*ISNUMBER(INDEX(Inputs!$K$5:$AJ$110,0,MATCH(AK$2,Inputs!$K$4:$AJ$4,0))))=0,NA(),SUMPRODUCT((Inputs!$A$5:$A$110=$B9)*Inputs!$B$5:$B$110*(((Inputs!$G$5:$G$110="moeda")+(Inputs!$G$5:$G$110="acoes"))*Inputs!$B$1+((Inputs!$G$5:$G$110&lt;&gt;"moeda")*(Inputs!$G$5:$G$110&lt;&gt;"acoes")))*INDEX(Inputs!$K$5:$AJ$110,0,MATCH(AK$2,Inputs!$K$4:$AJ$4,0)))+SUMPRODUCT((Inputs!$C$5:$C$110=$B9)*Inputs!$D$5:$D$110*(((Inputs!$G$5:$G$110="moeda")+(Inputs!$G$5:$G$110="acoes"))*Inputs!$B$1+((Inputs!$G$5:$G$110&lt;&gt;"moeda")*(Inputs!$G$5:$G$110&lt;&gt;"acoes")))*INDEX(Inputs!$K$5:$AJ$110,0,MATCH(AK$2,Inputs!$K$4:$AJ$4,0)))+SUMPRODUCT((Inputs!$E$5:$E$110=$B9)*Inputs!$F$5:$F$110*(((Inputs!$G$5:$G$110="moeda")+(Inputs!$G$5:$G$110="acoes"))*Inputs!$B$1+((Inputs!$G$5:$G$110&lt;&gt;"moeda")*(Inputs!$G$5:$G$110&lt;&gt;"acoes")))*INDEX(Inputs!$K$5:$AJ$110,0,MATCH(AK$2,Inputs!$K$4:$AJ$4,0)))))</f>
        <v>117</v>
      </c>
      <c r="AL9" s="3">
        <f>SUM(AH9:AK9)</f>
        <v>327</v>
      </c>
    </row>
    <row r="10">
      <c r="B10" s="46" t="n">
        <v>7</v>
      </c>
      <c r="C10" s="26" t="inlineStr">
        <is>
          <t>Taxes</t>
        </is>
      </c>
      <c r="D10" s="6">
        <f>IF(ISNA(MATCH(D$2,Inputs!$K$4:$AJ$4,0)),NA(),IF(SUMPRODUCT((Inputs!$A$5:$A$110=$B10)*ISNUMBER(INDEX(Inputs!$K$5:$AJ$110,0,MATCH(D$2,Inputs!$K$4:$AJ$4,0))))+SUMPRODUCT((Inputs!$C$5:$C$110=$B10)*ISNUMBER(INDEX(Inputs!$K$5:$AJ$110,0,MATCH(D$2,Inputs!$K$4:$AJ$4,0))))+SUMPRODUCT((Inputs!$E$5:$E$110=$B10)*ISNUMBER(INDEX(Inputs!$K$5:$AJ$110,0,MATCH(D$2,Inputs!$K$4:$AJ$4,0))))=0,NA(),SUMPRODUCT((Inputs!$A$5:$A$110=$B10)*Inputs!$B$5:$B$110*(((Inputs!$G$5:$G$110="moeda")+(Inputs!$G$5:$G$110="acoes"))*Inputs!$B$1+((Inputs!$G$5:$G$110&lt;&gt;"moeda")*(Inputs!$G$5:$G$110&lt;&gt;"acoes")))*INDEX(Inputs!$K$5:$AJ$110,0,MATCH(D$2,Inputs!$K$4:$AJ$4,0)))+SUMPRODUCT((Inputs!$C$5:$C$110=$B10)*Inputs!$D$5:$D$110*(((Inputs!$G$5:$G$110="moeda")+(Inputs!$G$5:$G$110="acoes"))*Inputs!$B$1+((Inputs!$G$5:$G$110&lt;&gt;"moeda")*(Inputs!$G$5:$G$110&lt;&gt;"acoes")))*INDEX(Inputs!$K$5:$AJ$110,0,MATCH(D$2,Inputs!$K$4:$AJ$4,0)))+SUMPRODUCT((Inputs!$E$5:$E$110=$B10)*Inputs!$F$5:$F$110*(((Inputs!$G$5:$G$110="moeda")+(Inputs!$G$5:$G$110="acoes"))*Inputs!$B$1+((Inputs!$G$5:$G$110&lt;&gt;"moeda")*(Inputs!$G$5:$G$110&lt;&gt;"acoes")))*INDEX(Inputs!$K$5:$AJ$110,0,MATCH(D$2,Inputs!$K$4:$AJ$4,0)))))</f>
        <v>7</v>
      </c>
      <c r="E10" s="6">
        <f>IF(ISNA(MATCH(E$2,Inputs!$K$4:$AJ$4,0)),NA(),IF(SUMPRODUCT((Inputs!$A$5:$A$110=$B10)*ISNUMBER(INDEX(Inputs!$K$5:$AJ$110,0,MATCH(E$2,Inputs!$K$4:$AJ$4,0))))+SUMPRODUCT((Inputs!$C$5:$C$110=$B10)*ISNUMBER(INDEX(Inputs!$K$5:$AJ$110,0,MATCH(E$2,Inputs!$K$4:$AJ$4,0))))+SUMPRODUCT((Inputs!$E$5:$E$110=$B10)*ISNUMBER(INDEX(Inputs!$K$5:$AJ$110,0,MATCH(E$2,Inputs!$K$4:$AJ$4,0))))=0,NA(),SUMPRODUCT((Inputs!$A$5:$A$110=$B10)*Inputs!$B$5:$B$110*(((Inputs!$G$5:$G$110="moeda")+(Inputs!$G$5:$G$110="acoes"))*Inputs!$B$1+((Inputs!$G$5:$G$110&lt;&gt;"moeda")*(Inputs!$G$5:$G$110&lt;&gt;"acoes")))*INDEX(Inputs!$K$5:$AJ$110,0,MATCH(E$2,Inputs!$K$4:$AJ$4,0)))+SUMPRODUCT((Inputs!$C$5:$C$110=$B10)*Inputs!$D$5:$D$110*(((Inputs!$G$5:$G$110="moeda")+(Inputs!$G$5:$G$110="acoes"))*Inputs!$B$1+((Inputs!$G$5:$G$110&lt;&gt;"moeda")*(Inputs!$G$5:$G$110&lt;&gt;"acoes")))*INDEX(Inputs!$K$5:$AJ$110,0,MATCH(E$2,Inputs!$K$4:$AJ$4,0)))+SUMPRODUCT((Inputs!$E$5:$E$110=$B10)*Inputs!$F$5:$F$110*(((Inputs!$G$5:$G$110="moeda")+(Inputs!$G$5:$G$110="acoes"))*Inputs!$B$1+((Inputs!$G$5:$G$110&lt;&gt;"moeda")*(Inputs!$G$5:$G$110&lt;&gt;"acoes")))*INDEX(Inputs!$K$5:$AJ$110,0,MATCH(E$2,Inputs!$K$4:$AJ$4,0)))))</f>
        <v>150</v>
      </c>
      <c r="F10" s="6">
        <f>IF(ISNA(MATCH(F$2,Inputs!$K$4:$AJ$4,0)),NA(),IF(SUMPRODUCT((Inputs!$A$5:$A$110=$B10)*ISNUMBER(INDEX(Inputs!$K$5:$AJ$110,0,MATCH(F$2,Inputs!$K$4:$AJ$4,0))))+SUMPRODUCT((Inputs!$C$5:$C$110=$B10)*ISNUMBER(INDEX(Inputs!$K$5:$AJ$110,0,MATCH(F$2,Inputs!$K$4:$AJ$4,0))))+SUMPRODUCT((Inputs!$E$5:$E$110=$B10)*ISNUMBER(INDEX(Inputs!$K$5:$AJ$110,0,MATCH(F$2,Inputs!$K$4:$AJ$4,0))))=0,NA(),SUMPRODUCT((Inputs!$A$5:$A$110=$B10)*Inputs!$B$5:$B$110*(((Inputs!$G$5:$G$110="moeda")+(Inputs!$G$5:$G$110="acoes"))*Inputs!$B$1+((Inputs!$G$5:$G$110&lt;&gt;"moeda")*(Inputs!$G$5:$G$110&lt;&gt;"acoes")))*INDEX(Inputs!$K$5:$AJ$110,0,MATCH(F$2,Inputs!$K$4:$AJ$4,0)))+SUMPRODUCT((Inputs!$C$5:$C$110=$B10)*Inputs!$D$5:$D$110*(((Inputs!$G$5:$G$110="moeda")+(Inputs!$G$5:$G$110="acoes"))*Inputs!$B$1+((Inputs!$G$5:$G$110&lt;&gt;"moeda")*(Inputs!$G$5:$G$110&lt;&gt;"acoes")))*INDEX(Inputs!$K$5:$AJ$110,0,MATCH(F$2,Inputs!$K$4:$AJ$4,0)))+SUMPRODUCT((Inputs!$E$5:$E$110=$B10)*Inputs!$F$5:$F$110*(((Inputs!$G$5:$G$110="moeda")+(Inputs!$G$5:$G$110="acoes"))*Inputs!$B$1+((Inputs!$G$5:$G$110&lt;&gt;"moeda")*(Inputs!$G$5:$G$110&lt;&gt;"acoes")))*INDEX(Inputs!$K$5:$AJ$110,0,MATCH(F$2,Inputs!$K$4:$AJ$4,0)))))</f>
        <v>-180</v>
      </c>
      <c r="G10" s="6">
        <f>IF(ISNA(MATCH(G$2,Inputs!$K$4:$AJ$4,0)),NA(),IF(SUMPRODUCT((Inputs!$A$5:$A$110=$B10)*ISNUMBER(INDEX(Inputs!$K$5:$AJ$110,0,MATCH(G$2,Inputs!$K$4:$AJ$4,0))))+SUMPRODUCT((Inputs!$C$5:$C$110=$B10)*ISNUMBER(INDEX(Inputs!$K$5:$AJ$110,0,MATCH(G$2,Inputs!$K$4:$AJ$4,0))))+SUMPRODUCT((Inputs!$E$5:$E$110=$B10)*ISNUMBER(INDEX(Inputs!$K$5:$AJ$110,0,MATCH(G$2,Inputs!$K$4:$AJ$4,0))))=0,NA(),SUMPRODUCT((Inputs!$A$5:$A$110=$B10)*Inputs!$B$5:$B$110*(((Inputs!$G$5:$G$110="moeda")+(Inputs!$G$5:$G$110="acoes"))*Inputs!$B$1+((Inputs!$G$5:$G$110&lt;&gt;"moeda")*(Inputs!$G$5:$G$110&lt;&gt;"acoes")))*INDEX(Inputs!$K$5:$AJ$110,0,MATCH(G$2,Inputs!$K$4:$AJ$4,0)))+SUMPRODUCT((Inputs!$C$5:$C$110=$B10)*Inputs!$D$5:$D$110*(((Inputs!$G$5:$G$110="moeda")+(Inputs!$G$5:$G$110="acoes"))*Inputs!$B$1+((Inputs!$G$5:$G$110&lt;&gt;"moeda")*(Inputs!$G$5:$G$110&lt;&gt;"acoes")))*INDEX(Inputs!$K$5:$AJ$110,0,MATCH(G$2,Inputs!$K$4:$AJ$4,0)))+SUMPRODUCT((Inputs!$E$5:$E$110=$B10)*Inputs!$F$5:$F$110*(((Inputs!$G$5:$G$110="moeda")+(Inputs!$G$5:$G$110="acoes"))*Inputs!$B$1+((Inputs!$G$5:$G$110&lt;&gt;"moeda")*(Inputs!$G$5:$G$110&lt;&gt;"acoes")))*INDEX(Inputs!$K$5:$AJ$110,0,MATCH(G$2,Inputs!$K$4:$AJ$4,0)))))</f>
        <v>-215</v>
      </c>
      <c r="H10" s="3">
        <f>SUM(D10:G10)</f>
        <v>-238</v>
      </c>
      <c r="I10" s="6">
        <f>IF(ISNA(MATCH(I$2,Inputs!$K$4:$AJ$4,0)),NA(),IF(SUMPRODUCT((Inputs!$A$5:$A$110=$B10)*ISNUMBER(INDEX(Inputs!$K$5:$AJ$110,0,MATCH(I$2,Inputs!$K$4:$AJ$4,0))))+SUMPRODUCT((Inputs!$C$5:$C$110=$B10)*ISNUMBER(INDEX(Inputs!$K$5:$AJ$110,0,MATCH(I$2,Inputs!$K$4:$AJ$4,0))))+SUMPRODUCT((Inputs!$E$5:$E$110=$B10)*ISNUMBER(INDEX(Inputs!$K$5:$AJ$110,0,MATCH(I$2,Inputs!$K$4:$AJ$4,0))))=0,NA(),SUMPRODUCT((Inputs!$A$5:$A$110=$B10)*Inputs!$B$5:$B$110*(((Inputs!$G$5:$G$110="moeda")+(Inputs!$G$5:$G$110="acoes"))*Inputs!$B$1+((Inputs!$G$5:$G$110&lt;&gt;"moeda")*(Inputs!$G$5:$G$110&lt;&gt;"acoes")))*INDEX(Inputs!$K$5:$AJ$110,0,MATCH(I$2,Inputs!$K$4:$AJ$4,0)))+SUMPRODUCT((Inputs!$C$5:$C$110=$B10)*Inputs!$D$5:$D$110*(((Inputs!$G$5:$G$110="moeda")+(Inputs!$G$5:$G$110="acoes"))*Inputs!$B$1+((Inputs!$G$5:$G$110&lt;&gt;"moeda")*(Inputs!$G$5:$G$110&lt;&gt;"acoes")))*INDEX(Inputs!$K$5:$AJ$110,0,MATCH(I$2,Inputs!$K$4:$AJ$4,0)))+SUMPRODUCT((Inputs!$E$5:$E$110=$B10)*Inputs!$F$5:$F$110*(((Inputs!$G$5:$G$110="moeda")+(Inputs!$G$5:$G$110="acoes"))*Inputs!$B$1+((Inputs!$G$5:$G$110&lt;&gt;"moeda")*(Inputs!$G$5:$G$110&lt;&gt;"acoes")))*INDEX(Inputs!$K$5:$AJ$110,0,MATCH(I$2,Inputs!$K$4:$AJ$4,0)))))</f>
        <v>-200</v>
      </c>
      <c r="J10" s="6">
        <f>IF(ISNA(MATCH(J$2,Inputs!$K$4:$AJ$4,0)),NA(),IF(SUMPRODUCT((Inputs!$A$5:$A$110=$B10)*ISNUMBER(INDEX(Inputs!$K$5:$AJ$110,0,MATCH(J$2,Inputs!$K$4:$AJ$4,0))))+SUMPRODUCT((Inputs!$C$5:$C$110=$B10)*ISNUMBER(INDEX(Inputs!$K$5:$AJ$110,0,MATCH(J$2,Inputs!$K$4:$AJ$4,0))))+SUMPRODUCT((Inputs!$E$5:$E$110=$B10)*ISNUMBER(INDEX(Inputs!$K$5:$AJ$110,0,MATCH(J$2,Inputs!$K$4:$AJ$4,0))))=0,NA(),SUMPRODUCT((Inputs!$A$5:$A$110=$B10)*Inputs!$B$5:$B$110*(((Inputs!$G$5:$G$110="moeda")+(Inputs!$G$5:$G$110="acoes"))*Inputs!$B$1+((Inputs!$G$5:$G$110&lt;&gt;"moeda")*(Inputs!$G$5:$G$110&lt;&gt;"acoes")))*INDEX(Inputs!$K$5:$AJ$110,0,MATCH(J$2,Inputs!$K$4:$AJ$4,0)))+SUMPRODUCT((Inputs!$C$5:$C$110=$B10)*Inputs!$D$5:$D$110*(((Inputs!$G$5:$G$110="moeda")+(Inputs!$G$5:$G$110="acoes"))*Inputs!$B$1+((Inputs!$G$5:$G$110&lt;&gt;"moeda")*(Inputs!$G$5:$G$110&lt;&gt;"acoes")))*INDEX(Inputs!$K$5:$AJ$110,0,MATCH(J$2,Inputs!$K$4:$AJ$4,0)))+SUMPRODUCT((Inputs!$E$5:$E$110=$B10)*Inputs!$F$5:$F$110*(((Inputs!$G$5:$G$110="moeda")+(Inputs!$G$5:$G$110="acoes"))*Inputs!$B$1+((Inputs!$G$5:$G$110&lt;&gt;"moeda")*(Inputs!$G$5:$G$110&lt;&gt;"acoes")))*INDEX(Inputs!$K$5:$AJ$110,0,MATCH(J$2,Inputs!$K$4:$AJ$4,0)))))</f>
        <v>-263</v>
      </c>
      <c r="K10" s="6">
        <f>IF(ISNA(MATCH(K$2,Inputs!$K$4:$AJ$4,0)),NA(),IF(SUMPRODUCT((Inputs!$A$5:$A$110=$B10)*ISNUMBER(INDEX(Inputs!$K$5:$AJ$110,0,MATCH(K$2,Inputs!$K$4:$AJ$4,0))))+SUMPRODUCT((Inputs!$C$5:$C$110=$B10)*ISNUMBER(INDEX(Inputs!$K$5:$AJ$110,0,MATCH(K$2,Inputs!$K$4:$AJ$4,0))))+SUMPRODUCT((Inputs!$E$5:$E$110=$B10)*ISNUMBER(INDEX(Inputs!$K$5:$AJ$110,0,MATCH(K$2,Inputs!$K$4:$AJ$4,0))))=0,NA(),SUMPRODUCT((Inputs!$A$5:$A$110=$B10)*Inputs!$B$5:$B$110*(((Inputs!$G$5:$G$110="moeda")+(Inputs!$G$5:$G$110="acoes"))*Inputs!$B$1+((Inputs!$G$5:$G$110&lt;&gt;"moeda")*(Inputs!$G$5:$G$110&lt;&gt;"acoes")))*INDEX(Inputs!$K$5:$AJ$110,0,MATCH(K$2,Inputs!$K$4:$AJ$4,0)))+SUMPRODUCT((Inputs!$C$5:$C$110=$B10)*Inputs!$D$5:$D$110*(((Inputs!$G$5:$G$110="moeda")+(Inputs!$G$5:$G$110="acoes"))*Inputs!$B$1+((Inputs!$G$5:$G$110&lt;&gt;"moeda")*(Inputs!$G$5:$G$110&lt;&gt;"acoes")))*INDEX(Inputs!$K$5:$AJ$110,0,MATCH(K$2,Inputs!$K$4:$AJ$4,0)))+SUMPRODUCT((Inputs!$E$5:$E$110=$B10)*Inputs!$F$5:$F$110*(((Inputs!$G$5:$G$110="moeda")+(Inputs!$G$5:$G$110="acoes"))*Inputs!$B$1+((Inputs!$G$5:$G$110&lt;&gt;"moeda")*(Inputs!$G$5:$G$110&lt;&gt;"acoes")))*INDEX(Inputs!$K$5:$AJ$110,0,MATCH(K$2,Inputs!$K$4:$AJ$4,0)))))</f>
        <v>-261</v>
      </c>
      <c r="L10" s="6">
        <f>IF(ISNA(MATCH(L$2,Inputs!$K$4:$AJ$4,0)),NA(),IF(SUMPRODUCT((Inputs!$A$5:$A$110=$B10)*ISNUMBER(INDEX(Inputs!$K$5:$AJ$110,0,MATCH(L$2,Inputs!$K$4:$AJ$4,0))))+SUMPRODUCT((Inputs!$C$5:$C$110=$B10)*ISNUMBER(INDEX(Inputs!$K$5:$AJ$110,0,MATCH(L$2,Inputs!$K$4:$AJ$4,0))))+SUMPRODUCT((Inputs!$E$5:$E$110=$B10)*ISNUMBER(INDEX(Inputs!$K$5:$AJ$110,0,MATCH(L$2,Inputs!$K$4:$AJ$4,0))))=0,NA(),SUMPRODUCT((Inputs!$A$5:$A$110=$B10)*Inputs!$B$5:$B$110*(((Inputs!$G$5:$G$110="moeda")+(Inputs!$G$5:$G$110="acoes"))*Inputs!$B$1+((Inputs!$G$5:$G$110&lt;&gt;"moeda")*(Inputs!$G$5:$G$110&lt;&gt;"acoes")))*INDEX(Inputs!$K$5:$AJ$110,0,MATCH(L$2,Inputs!$K$4:$AJ$4,0)))+SUMPRODUCT((Inputs!$C$5:$C$110=$B10)*Inputs!$D$5:$D$110*(((Inputs!$G$5:$G$110="moeda")+(Inputs!$G$5:$G$110="acoes"))*Inputs!$B$1+((Inputs!$G$5:$G$110&lt;&gt;"moeda")*(Inputs!$G$5:$G$110&lt;&gt;"acoes")))*INDEX(Inputs!$K$5:$AJ$110,0,MATCH(L$2,Inputs!$K$4:$AJ$4,0)))+SUMPRODUCT((Inputs!$E$5:$E$110=$B10)*Inputs!$F$5:$F$110*(((Inputs!$G$5:$G$110="moeda")+(Inputs!$G$5:$G$110="acoes"))*Inputs!$B$1+((Inputs!$G$5:$G$110&lt;&gt;"moeda")*(Inputs!$G$5:$G$110&lt;&gt;"acoes")))*INDEX(Inputs!$K$5:$AJ$110,0,MATCH(L$2,Inputs!$K$4:$AJ$4,0)))))</f>
        <v>-66</v>
      </c>
      <c r="M10" s="3">
        <f>SUM(I10:L10)</f>
        <v>-790</v>
      </c>
      <c r="N10" s="6">
        <f>IF(ISNA(MATCH(N$2,Inputs!$K$4:$AJ$4,0)),NA(),IF(SUMPRODUCT((Inputs!$A$5:$A$110=$B10)*ISNUMBER(INDEX(Inputs!$K$5:$AJ$110,0,MATCH(N$2,Inputs!$K$4:$AJ$4,0))))+SUMPRODUCT((Inputs!$C$5:$C$110=$B10)*ISNUMBER(INDEX(Inputs!$K$5:$AJ$110,0,MATCH(N$2,Inputs!$K$4:$AJ$4,0))))+SUMPRODUCT((Inputs!$E$5:$E$110=$B10)*ISNUMBER(INDEX(Inputs!$K$5:$AJ$110,0,MATCH(N$2,Inputs!$K$4:$AJ$4,0))))=0,NA(),SUMPRODUCT((Inputs!$A$5:$A$110=$B10)*Inputs!$B$5:$B$110*(((Inputs!$G$5:$G$110="moeda")+(Inputs!$G$5:$G$110="acoes"))*Inputs!$B$1+((Inputs!$G$5:$G$110&lt;&gt;"moeda")*(Inputs!$G$5:$G$110&lt;&gt;"acoes")))*INDEX(Inputs!$K$5:$AJ$110,0,MATCH(N$2,Inputs!$K$4:$AJ$4,0)))+SUMPRODUCT((Inputs!$C$5:$C$110=$B10)*Inputs!$D$5:$D$110*(((Inputs!$G$5:$G$110="moeda")+(Inputs!$G$5:$G$110="acoes"))*Inputs!$B$1+((Inputs!$G$5:$G$110&lt;&gt;"moeda")*(Inputs!$G$5:$G$110&lt;&gt;"acoes")))*INDEX(Inputs!$K$5:$AJ$110,0,MATCH(N$2,Inputs!$K$4:$AJ$4,0)))+SUMPRODUCT((Inputs!$E$5:$E$110=$B10)*Inputs!$F$5:$F$110*(((Inputs!$G$5:$G$110="moeda")+(Inputs!$G$5:$G$110="acoes"))*Inputs!$B$1+((Inputs!$G$5:$G$110&lt;&gt;"moeda")*(Inputs!$G$5:$G$110&lt;&gt;"acoes")))*INDEX(Inputs!$K$5:$AJ$110,0,MATCH(N$2,Inputs!$K$4:$AJ$4,0)))))</f>
        <v>-235</v>
      </c>
      <c r="O10" s="6">
        <f>IF(ISNA(MATCH(O$2,Inputs!$K$4:$AJ$4,0)),NA(),IF(SUMPRODUCT((Inputs!$A$5:$A$110=$B10)*ISNUMBER(INDEX(Inputs!$K$5:$AJ$110,0,MATCH(O$2,Inputs!$K$4:$AJ$4,0))))+SUMPRODUCT((Inputs!$C$5:$C$110=$B10)*ISNUMBER(INDEX(Inputs!$K$5:$AJ$110,0,MATCH(O$2,Inputs!$K$4:$AJ$4,0))))+SUMPRODUCT((Inputs!$E$5:$E$110=$B10)*ISNUMBER(INDEX(Inputs!$K$5:$AJ$110,0,MATCH(O$2,Inputs!$K$4:$AJ$4,0))))=0,NA(),SUMPRODUCT((Inputs!$A$5:$A$110=$B10)*Inputs!$B$5:$B$110*(((Inputs!$G$5:$G$110="moeda")+(Inputs!$G$5:$G$110="acoes"))*Inputs!$B$1+((Inputs!$G$5:$G$110&lt;&gt;"moeda")*(Inputs!$G$5:$G$110&lt;&gt;"acoes")))*INDEX(Inputs!$K$5:$AJ$110,0,MATCH(O$2,Inputs!$K$4:$AJ$4,0)))+SUMPRODUCT((Inputs!$C$5:$C$110=$B10)*Inputs!$D$5:$D$110*(((Inputs!$G$5:$G$110="moeda")+(Inputs!$G$5:$G$110="acoes"))*Inputs!$B$1+((Inputs!$G$5:$G$110&lt;&gt;"moeda")*(Inputs!$G$5:$G$110&lt;&gt;"acoes")))*INDEX(Inputs!$K$5:$AJ$110,0,MATCH(O$2,Inputs!$K$4:$AJ$4,0)))+SUMPRODUCT((Inputs!$E$5:$E$110=$B10)*Inputs!$F$5:$F$110*(((Inputs!$G$5:$G$110="moeda")+(Inputs!$G$5:$G$110="acoes"))*Inputs!$B$1+((Inputs!$G$5:$G$110&lt;&gt;"moeda")*(Inputs!$G$5:$G$110&lt;&gt;"acoes")))*INDEX(Inputs!$K$5:$AJ$110,0,MATCH(O$2,Inputs!$K$4:$AJ$4,0)))))</f>
        <v>-271</v>
      </c>
      <c r="P10" s="6">
        <f>IF(ISNA(MATCH(P$2,Inputs!$K$4:$AJ$4,0)),NA(),IF(SUMPRODUCT((Inputs!$A$5:$A$110=$B10)*ISNUMBER(INDEX(Inputs!$K$5:$AJ$110,0,MATCH(P$2,Inputs!$K$4:$AJ$4,0))))+SUMPRODUCT((Inputs!$C$5:$C$110=$B10)*ISNUMBER(INDEX(Inputs!$K$5:$AJ$110,0,MATCH(P$2,Inputs!$K$4:$AJ$4,0))))+SUMPRODUCT((Inputs!$E$5:$E$110=$B10)*ISNUMBER(INDEX(Inputs!$K$5:$AJ$110,0,MATCH(P$2,Inputs!$K$4:$AJ$4,0))))=0,NA(),SUMPRODUCT((Inputs!$A$5:$A$110=$B10)*Inputs!$B$5:$B$110*(((Inputs!$G$5:$G$110="moeda")+(Inputs!$G$5:$G$110="acoes"))*Inputs!$B$1+((Inputs!$G$5:$G$110&lt;&gt;"moeda")*(Inputs!$G$5:$G$110&lt;&gt;"acoes")))*INDEX(Inputs!$K$5:$AJ$110,0,MATCH(P$2,Inputs!$K$4:$AJ$4,0)))+SUMPRODUCT((Inputs!$C$5:$C$110=$B10)*Inputs!$D$5:$D$110*(((Inputs!$G$5:$G$110="moeda")+(Inputs!$G$5:$G$110="acoes"))*Inputs!$B$1+((Inputs!$G$5:$G$110&lt;&gt;"moeda")*(Inputs!$G$5:$G$110&lt;&gt;"acoes")))*INDEX(Inputs!$K$5:$AJ$110,0,MATCH(P$2,Inputs!$K$4:$AJ$4,0)))+SUMPRODUCT((Inputs!$E$5:$E$110=$B10)*Inputs!$F$5:$F$110*(((Inputs!$G$5:$G$110="moeda")+(Inputs!$G$5:$G$110="acoes"))*Inputs!$B$1+((Inputs!$G$5:$G$110&lt;&gt;"moeda")*(Inputs!$G$5:$G$110&lt;&gt;"acoes")))*INDEX(Inputs!$K$5:$AJ$110,0,MATCH(P$2,Inputs!$K$4:$AJ$4,0)))))</f>
        <v>-443</v>
      </c>
      <c r="Q10" s="6">
        <f>IF(ISNA(MATCH(Q$2,Inputs!$K$4:$AJ$4,0)),NA(),IF(SUMPRODUCT((Inputs!$A$5:$A$110=$B10)*ISNUMBER(INDEX(Inputs!$K$5:$AJ$110,0,MATCH(Q$2,Inputs!$K$4:$AJ$4,0))))+SUMPRODUCT((Inputs!$C$5:$C$110=$B10)*ISNUMBER(INDEX(Inputs!$K$5:$AJ$110,0,MATCH(Q$2,Inputs!$K$4:$AJ$4,0))))+SUMPRODUCT((Inputs!$E$5:$E$110=$B10)*ISNUMBER(INDEX(Inputs!$K$5:$AJ$110,0,MATCH(Q$2,Inputs!$K$4:$AJ$4,0))))=0,NA(),SUMPRODUCT((Inputs!$A$5:$A$110=$B10)*Inputs!$B$5:$B$110*(((Inputs!$G$5:$G$110="moeda")+(Inputs!$G$5:$G$110="acoes"))*Inputs!$B$1+((Inputs!$G$5:$G$110&lt;&gt;"moeda")*(Inputs!$G$5:$G$110&lt;&gt;"acoes")))*INDEX(Inputs!$K$5:$AJ$110,0,MATCH(Q$2,Inputs!$K$4:$AJ$4,0)))+SUMPRODUCT((Inputs!$C$5:$C$110=$B10)*Inputs!$D$5:$D$110*(((Inputs!$G$5:$G$110="moeda")+(Inputs!$G$5:$G$110="acoes"))*Inputs!$B$1+((Inputs!$G$5:$G$110&lt;&gt;"moeda")*(Inputs!$G$5:$G$110&lt;&gt;"acoes")))*INDEX(Inputs!$K$5:$AJ$110,0,MATCH(Q$2,Inputs!$K$4:$AJ$4,0)))+SUMPRODUCT((Inputs!$E$5:$E$110=$B10)*Inputs!$F$5:$F$110*(((Inputs!$G$5:$G$110="moeda")+(Inputs!$G$5:$G$110="acoes"))*Inputs!$B$1+((Inputs!$G$5:$G$110&lt;&gt;"moeda")*(Inputs!$G$5:$G$110&lt;&gt;"acoes")))*INDEX(Inputs!$K$5:$AJ$110,0,MATCH(Q$2,Inputs!$K$4:$AJ$4,0)))))</f>
        <v>-68</v>
      </c>
      <c r="R10" s="3">
        <f>SUM(N10:Q10)</f>
        <v>-1017</v>
      </c>
      <c r="S10" s="6">
        <f>IF(ISNA(MATCH(S$2,Inputs!$K$4:$AJ$4,0)),NA(),IF(SUMPRODUCT((Inputs!$A$5:$A$110=$B10)*ISNUMBER(INDEX(Inputs!$K$5:$AJ$110,0,MATCH(S$2,Inputs!$K$4:$AJ$4,0))))+SUMPRODUCT((Inputs!$C$5:$C$110=$B10)*ISNUMBER(INDEX(Inputs!$K$5:$AJ$110,0,MATCH(S$2,Inputs!$K$4:$AJ$4,0))))+SUMPRODUCT((Inputs!$E$5:$E$110=$B10)*ISNUMBER(INDEX(Inputs!$K$5:$AJ$110,0,MATCH(S$2,Inputs!$K$4:$AJ$4,0))))=0,NA(),SUMPRODUCT((Inputs!$A$5:$A$110=$B10)*Inputs!$B$5:$B$110*(((Inputs!$G$5:$G$110="moeda")+(Inputs!$G$5:$G$110="acoes"))*Inputs!$B$1+((Inputs!$G$5:$G$110&lt;&gt;"moeda")*(Inputs!$G$5:$G$110&lt;&gt;"acoes")))*INDEX(Inputs!$K$5:$AJ$110,0,MATCH(S$2,Inputs!$K$4:$AJ$4,0)))+SUMPRODUCT((Inputs!$C$5:$C$110=$B10)*Inputs!$D$5:$D$110*(((Inputs!$G$5:$G$110="moeda")+(Inputs!$G$5:$G$110="acoes"))*Inputs!$B$1+((Inputs!$G$5:$G$110&lt;&gt;"moeda")*(Inputs!$G$5:$G$110&lt;&gt;"acoes")))*INDEX(Inputs!$K$5:$AJ$110,0,MATCH(S$2,Inputs!$K$4:$AJ$4,0)))+SUMPRODUCT((Inputs!$E$5:$E$110=$B10)*Inputs!$F$5:$F$110*(((Inputs!$G$5:$G$110="moeda")+(Inputs!$G$5:$G$110="acoes"))*Inputs!$B$1+((Inputs!$G$5:$G$110&lt;&gt;"moeda")*(Inputs!$G$5:$G$110&lt;&gt;"acoes")))*INDEX(Inputs!$K$5:$AJ$110,0,MATCH(S$2,Inputs!$K$4:$AJ$4,0)))))</f>
        <v>116</v>
      </c>
      <c r="T10" s="6">
        <f>IF(ISNA(MATCH(T$2,Inputs!$K$4:$AJ$4,0)),NA(),IF(SUMPRODUCT((Inputs!$A$5:$A$110=$B10)*ISNUMBER(INDEX(Inputs!$K$5:$AJ$110,0,MATCH(T$2,Inputs!$K$4:$AJ$4,0))))+SUMPRODUCT((Inputs!$C$5:$C$110=$B10)*ISNUMBER(INDEX(Inputs!$K$5:$AJ$110,0,MATCH(T$2,Inputs!$K$4:$AJ$4,0))))+SUMPRODUCT((Inputs!$E$5:$E$110=$B10)*ISNUMBER(INDEX(Inputs!$K$5:$AJ$110,0,MATCH(T$2,Inputs!$K$4:$AJ$4,0))))=0,NA(),SUMPRODUCT((Inputs!$A$5:$A$110=$B10)*Inputs!$B$5:$B$110*(((Inputs!$G$5:$G$110="moeda")+(Inputs!$G$5:$G$110="acoes"))*Inputs!$B$1+((Inputs!$G$5:$G$110&lt;&gt;"moeda")*(Inputs!$G$5:$G$110&lt;&gt;"acoes")))*INDEX(Inputs!$K$5:$AJ$110,0,MATCH(T$2,Inputs!$K$4:$AJ$4,0)))+SUMPRODUCT((Inputs!$C$5:$C$110=$B10)*Inputs!$D$5:$D$110*(((Inputs!$G$5:$G$110="moeda")+(Inputs!$G$5:$G$110="acoes"))*Inputs!$B$1+((Inputs!$G$5:$G$110&lt;&gt;"moeda")*(Inputs!$G$5:$G$110&lt;&gt;"acoes")))*INDEX(Inputs!$K$5:$AJ$110,0,MATCH(T$2,Inputs!$K$4:$AJ$4,0)))+SUMPRODUCT((Inputs!$E$5:$E$110=$B10)*Inputs!$F$5:$F$110*(((Inputs!$G$5:$G$110="moeda")+(Inputs!$G$5:$G$110="acoes"))*Inputs!$B$1+((Inputs!$G$5:$G$110&lt;&gt;"moeda")*(Inputs!$G$5:$G$110&lt;&gt;"acoes")))*INDEX(Inputs!$K$5:$AJ$110,0,MATCH(T$2,Inputs!$K$4:$AJ$4,0)))))</f>
        <v>-4238</v>
      </c>
      <c r="U10" s="6">
        <f>IF(ISNA(MATCH(U$2,Inputs!$K$4:$AJ$4,0)),NA(),IF(SUMPRODUCT((Inputs!$A$5:$A$110=$B10)*ISNUMBER(INDEX(Inputs!$K$5:$AJ$110,0,MATCH(U$2,Inputs!$K$4:$AJ$4,0))))+SUMPRODUCT((Inputs!$C$5:$C$110=$B10)*ISNUMBER(INDEX(Inputs!$K$5:$AJ$110,0,MATCH(U$2,Inputs!$K$4:$AJ$4,0))))+SUMPRODUCT((Inputs!$E$5:$E$110=$B10)*ISNUMBER(INDEX(Inputs!$K$5:$AJ$110,0,MATCH(U$2,Inputs!$K$4:$AJ$4,0))))=0,NA(),SUMPRODUCT((Inputs!$A$5:$A$110=$B10)*Inputs!$B$5:$B$110*(((Inputs!$G$5:$G$110="moeda")+(Inputs!$G$5:$G$110="acoes"))*Inputs!$B$1+((Inputs!$G$5:$G$110&lt;&gt;"moeda")*(Inputs!$G$5:$G$110&lt;&gt;"acoes")))*INDEX(Inputs!$K$5:$AJ$110,0,MATCH(U$2,Inputs!$K$4:$AJ$4,0)))+SUMPRODUCT((Inputs!$C$5:$C$110=$B10)*Inputs!$D$5:$D$110*(((Inputs!$G$5:$G$110="moeda")+(Inputs!$G$5:$G$110="acoes"))*Inputs!$B$1+((Inputs!$G$5:$G$110&lt;&gt;"moeda")*(Inputs!$G$5:$G$110&lt;&gt;"acoes")))*INDEX(Inputs!$K$5:$AJ$110,0,MATCH(U$2,Inputs!$K$4:$AJ$4,0)))+SUMPRODUCT((Inputs!$E$5:$E$110=$B10)*Inputs!$F$5:$F$110*(((Inputs!$G$5:$G$110="moeda")+(Inputs!$G$5:$G$110="acoes"))*Inputs!$B$1+((Inputs!$G$5:$G$110&lt;&gt;"moeda")*(Inputs!$G$5:$G$110&lt;&gt;"acoes")))*INDEX(Inputs!$K$5:$AJ$110,0,MATCH(U$2,Inputs!$K$4:$AJ$4,0)))))</f>
        <v>442</v>
      </c>
      <c r="V10" s="6">
        <f>IF(ISNA(MATCH(V$2,Inputs!$K$4:$AJ$4,0)),NA(),IF(SUMPRODUCT((Inputs!$A$5:$A$110=$B10)*ISNUMBER(INDEX(Inputs!$K$5:$AJ$110,0,MATCH(V$2,Inputs!$K$4:$AJ$4,0))))+SUMPRODUCT((Inputs!$C$5:$C$110=$B10)*ISNUMBER(INDEX(Inputs!$K$5:$AJ$110,0,MATCH(V$2,Inputs!$K$4:$AJ$4,0))))+SUMPRODUCT((Inputs!$E$5:$E$110=$B10)*ISNUMBER(INDEX(Inputs!$K$5:$AJ$110,0,MATCH(V$2,Inputs!$K$4:$AJ$4,0))))=0,NA(),SUMPRODUCT((Inputs!$A$5:$A$110=$B10)*Inputs!$B$5:$B$110*(((Inputs!$G$5:$G$110="moeda")+(Inputs!$G$5:$G$110="acoes"))*Inputs!$B$1+((Inputs!$G$5:$G$110&lt;&gt;"moeda")*(Inputs!$G$5:$G$110&lt;&gt;"acoes")))*INDEX(Inputs!$K$5:$AJ$110,0,MATCH(V$2,Inputs!$K$4:$AJ$4,0)))+SUMPRODUCT((Inputs!$C$5:$C$110=$B10)*Inputs!$D$5:$D$110*(((Inputs!$G$5:$G$110="moeda")+(Inputs!$G$5:$G$110="acoes"))*Inputs!$B$1+((Inputs!$G$5:$G$110&lt;&gt;"moeda")*(Inputs!$G$5:$G$110&lt;&gt;"acoes")))*INDEX(Inputs!$K$5:$AJ$110,0,MATCH(V$2,Inputs!$K$4:$AJ$4,0)))+SUMPRODUCT((Inputs!$E$5:$E$110=$B10)*Inputs!$F$5:$F$110*(((Inputs!$G$5:$G$110="moeda")+(Inputs!$G$5:$G$110="acoes"))*Inputs!$B$1+((Inputs!$G$5:$G$110&lt;&gt;"moeda")*(Inputs!$G$5:$G$110&lt;&gt;"acoes")))*INDEX(Inputs!$K$5:$AJ$110,0,MATCH(V$2,Inputs!$K$4:$AJ$4,0)))))</f>
        <v>13</v>
      </c>
      <c r="W10" s="3">
        <f>SUM(S10:V10)</f>
        <v>-3667</v>
      </c>
      <c r="X10" s="6">
        <f>IF(ISNA(MATCH(X$2,Inputs!$K$4:$AJ$4,0)),NA(),IF(SUMPRODUCT((Inputs!$A$5:$A$110=$B10)*ISNUMBER(INDEX(Inputs!$K$5:$AJ$110,0,MATCH(X$2,Inputs!$K$4:$AJ$4,0))))+SUMPRODUCT((Inputs!$C$5:$C$110=$B10)*ISNUMBER(INDEX(Inputs!$K$5:$AJ$110,0,MATCH(X$2,Inputs!$K$4:$AJ$4,0))))+SUMPRODUCT((Inputs!$E$5:$E$110=$B10)*ISNUMBER(INDEX(Inputs!$K$5:$AJ$110,0,MATCH(X$2,Inputs!$K$4:$AJ$4,0))))=0,NA(),SUMPRODUCT((Inputs!$A$5:$A$110=$B10)*Inputs!$B$5:$B$110*(((Inputs!$G$5:$G$110="moeda")+(Inputs!$G$5:$G$110="acoes"))*Inputs!$B$1+((Inputs!$G$5:$G$110&lt;&gt;"moeda")*(Inputs!$G$5:$G$110&lt;&gt;"acoes")))*INDEX(Inputs!$K$5:$AJ$110,0,MATCH(X$2,Inputs!$K$4:$AJ$4,0)))+SUMPRODUCT((Inputs!$C$5:$C$110=$B10)*Inputs!$D$5:$D$110*(((Inputs!$G$5:$G$110="moeda")+(Inputs!$G$5:$G$110="acoes"))*Inputs!$B$1+((Inputs!$G$5:$G$110&lt;&gt;"moeda")*(Inputs!$G$5:$G$110&lt;&gt;"acoes")))*INDEX(Inputs!$K$5:$AJ$110,0,MATCH(X$2,Inputs!$K$4:$AJ$4,0)))+SUMPRODUCT((Inputs!$E$5:$E$110=$B10)*Inputs!$F$5:$F$110*(((Inputs!$G$5:$G$110="moeda")+(Inputs!$G$5:$G$110="acoes"))*Inputs!$B$1+((Inputs!$G$5:$G$110&lt;&gt;"moeda")*(Inputs!$G$5:$G$110&lt;&gt;"acoes")))*INDEX(Inputs!$K$5:$AJ$110,0,MATCH(X$2,Inputs!$K$4:$AJ$4,0)))))</f>
        <v>-120</v>
      </c>
      <c r="Y10" s="6">
        <f>IF(ISNA(MATCH(Y$2,Inputs!$K$4:$AJ$4,0)),NA(),IF(SUMPRODUCT((Inputs!$A$5:$A$110=$B10)*ISNUMBER(INDEX(Inputs!$K$5:$AJ$110,0,MATCH(Y$2,Inputs!$K$4:$AJ$4,0))))+SUMPRODUCT((Inputs!$C$5:$C$110=$B10)*ISNUMBER(INDEX(Inputs!$K$5:$AJ$110,0,MATCH(Y$2,Inputs!$K$4:$AJ$4,0))))+SUMPRODUCT((Inputs!$E$5:$E$110=$B10)*ISNUMBER(INDEX(Inputs!$K$5:$AJ$110,0,MATCH(Y$2,Inputs!$K$4:$AJ$4,0))))=0,NA(),SUMPRODUCT((Inputs!$A$5:$A$110=$B10)*Inputs!$B$5:$B$110*(((Inputs!$G$5:$G$110="moeda")+(Inputs!$G$5:$G$110="acoes"))*Inputs!$B$1+((Inputs!$G$5:$G$110&lt;&gt;"moeda")*(Inputs!$G$5:$G$110&lt;&gt;"acoes")))*INDEX(Inputs!$K$5:$AJ$110,0,MATCH(Y$2,Inputs!$K$4:$AJ$4,0)))+SUMPRODUCT((Inputs!$C$5:$C$110=$B10)*Inputs!$D$5:$D$110*(((Inputs!$G$5:$G$110="moeda")+(Inputs!$G$5:$G$110="acoes"))*Inputs!$B$1+((Inputs!$G$5:$G$110&lt;&gt;"moeda")*(Inputs!$G$5:$G$110&lt;&gt;"acoes")))*INDEX(Inputs!$K$5:$AJ$110,0,MATCH(Y$2,Inputs!$K$4:$AJ$4,0)))+SUMPRODUCT((Inputs!$E$5:$E$110=$B10)*Inputs!$F$5:$F$110*(((Inputs!$G$5:$G$110="moeda")+(Inputs!$G$5:$G$110="acoes"))*Inputs!$B$1+((Inputs!$G$5:$G$110&lt;&gt;"moeda")*(Inputs!$G$5:$G$110&lt;&gt;"acoes")))*INDEX(Inputs!$K$5:$AJ$110,0,MATCH(Y$2,Inputs!$K$4:$AJ$4,0)))))</f>
        <v>-1145</v>
      </c>
      <c r="Z10" s="6">
        <f>IF(ISNA(MATCH(Z$2,Inputs!$K$4:$AJ$4,0)),NA(),IF(SUMPRODUCT((Inputs!$A$5:$A$110=$B10)*ISNUMBER(INDEX(Inputs!$K$5:$AJ$110,0,MATCH(Z$2,Inputs!$K$4:$AJ$4,0))))+SUMPRODUCT((Inputs!$C$5:$C$110=$B10)*ISNUMBER(INDEX(Inputs!$K$5:$AJ$110,0,MATCH(Z$2,Inputs!$K$4:$AJ$4,0))))+SUMPRODUCT((Inputs!$E$5:$E$110=$B10)*ISNUMBER(INDEX(Inputs!$K$5:$AJ$110,0,MATCH(Z$2,Inputs!$K$4:$AJ$4,0))))=0,NA(),SUMPRODUCT((Inputs!$A$5:$A$110=$B10)*Inputs!$B$5:$B$110*(((Inputs!$G$5:$G$110="moeda")+(Inputs!$G$5:$G$110="acoes"))*Inputs!$B$1+((Inputs!$G$5:$G$110&lt;&gt;"moeda")*(Inputs!$G$5:$G$110&lt;&gt;"acoes")))*INDEX(Inputs!$K$5:$AJ$110,0,MATCH(Z$2,Inputs!$K$4:$AJ$4,0)))+SUMPRODUCT((Inputs!$C$5:$C$110=$B10)*Inputs!$D$5:$D$110*(((Inputs!$G$5:$G$110="moeda")+(Inputs!$G$5:$G$110="acoes"))*Inputs!$B$1+((Inputs!$G$5:$G$110&lt;&gt;"moeda")*(Inputs!$G$5:$G$110&lt;&gt;"acoes")))*INDEX(Inputs!$K$5:$AJ$110,0,MATCH(Z$2,Inputs!$K$4:$AJ$4,0)))+SUMPRODUCT((Inputs!$E$5:$E$110=$B10)*Inputs!$F$5:$F$110*(((Inputs!$G$5:$G$110="moeda")+(Inputs!$G$5:$G$110="acoes"))*Inputs!$B$1+((Inputs!$G$5:$G$110&lt;&gt;"moeda")*(Inputs!$G$5:$G$110&lt;&gt;"acoes")))*INDEX(Inputs!$K$5:$AJ$110,0,MATCH(Z$2,Inputs!$K$4:$AJ$4,0)))))</f>
        <v>1649</v>
      </c>
      <c r="AA10" s="6">
        <f>IF(ISNA(MATCH(AA$2,Inputs!$K$4:$AJ$4,0)),NA(),IF(SUMPRODUCT((Inputs!$A$5:$A$110=$B10)*ISNUMBER(INDEX(Inputs!$K$5:$AJ$110,0,MATCH(AA$2,Inputs!$K$4:$AJ$4,0))))+SUMPRODUCT((Inputs!$C$5:$C$110=$B10)*ISNUMBER(INDEX(Inputs!$K$5:$AJ$110,0,MATCH(AA$2,Inputs!$K$4:$AJ$4,0))))+SUMPRODUCT((Inputs!$E$5:$E$110=$B10)*ISNUMBER(INDEX(Inputs!$K$5:$AJ$110,0,MATCH(AA$2,Inputs!$K$4:$AJ$4,0))))=0,NA(),SUMPRODUCT((Inputs!$A$5:$A$110=$B10)*Inputs!$B$5:$B$110*(((Inputs!$G$5:$G$110="moeda")+(Inputs!$G$5:$G$110="acoes"))*Inputs!$B$1+((Inputs!$G$5:$G$110&lt;&gt;"moeda")*(Inputs!$G$5:$G$110&lt;&gt;"acoes")))*INDEX(Inputs!$K$5:$AJ$110,0,MATCH(AA$2,Inputs!$K$4:$AJ$4,0)))+SUMPRODUCT((Inputs!$C$5:$C$110=$B10)*Inputs!$D$5:$D$110*(((Inputs!$G$5:$G$110="moeda")+(Inputs!$G$5:$G$110="acoes"))*Inputs!$B$1+((Inputs!$G$5:$G$110&lt;&gt;"moeda")*(Inputs!$G$5:$G$110&lt;&gt;"acoes")))*INDEX(Inputs!$K$5:$AJ$110,0,MATCH(AA$2,Inputs!$K$4:$AJ$4,0)))+SUMPRODUCT((Inputs!$E$5:$E$110=$B10)*Inputs!$F$5:$F$110*(((Inputs!$G$5:$G$110="moeda")+(Inputs!$G$5:$G$110="acoes"))*Inputs!$B$1+((Inputs!$G$5:$G$110&lt;&gt;"moeda")*(Inputs!$G$5:$G$110&lt;&gt;"acoes")))*INDEX(Inputs!$K$5:$AJ$110,0,MATCH(AA$2,Inputs!$K$4:$AJ$4,0)))))</f>
        <v>-846</v>
      </c>
      <c r="AB10" s="3">
        <f>SUM(X10:AA10)</f>
        <v>-462</v>
      </c>
      <c r="AC10" s="6">
        <f>IF(ISNA(MATCH(AC$2,Inputs!$K$4:$AJ$4,0)),NA(),IF(SUMPRODUCT((Inputs!$A$5:$A$110=$B10)*ISNUMBER(INDEX(Inputs!$K$5:$AJ$110,0,MATCH(AC$2,Inputs!$K$4:$AJ$4,0))))+SUMPRODUCT((Inputs!$C$5:$C$110=$B10)*ISNUMBER(INDEX(Inputs!$K$5:$AJ$110,0,MATCH(AC$2,Inputs!$K$4:$AJ$4,0))))+SUMPRODUCT((Inputs!$E$5:$E$110=$B10)*ISNUMBER(INDEX(Inputs!$K$5:$AJ$110,0,MATCH(AC$2,Inputs!$K$4:$AJ$4,0))))=0,NA(),SUMPRODUCT((Inputs!$A$5:$A$110=$B10)*Inputs!$B$5:$B$110*(((Inputs!$G$5:$G$110="moeda")+(Inputs!$G$5:$G$110="acoes"))*Inputs!$B$1+((Inputs!$G$5:$G$110&lt;&gt;"moeda")*(Inputs!$G$5:$G$110&lt;&gt;"acoes")))*INDEX(Inputs!$K$5:$AJ$110,0,MATCH(AC$2,Inputs!$K$4:$AJ$4,0)))+SUMPRODUCT((Inputs!$C$5:$C$110=$B10)*Inputs!$D$5:$D$110*(((Inputs!$G$5:$G$110="moeda")+(Inputs!$G$5:$G$110="acoes"))*Inputs!$B$1+((Inputs!$G$5:$G$110&lt;&gt;"moeda")*(Inputs!$G$5:$G$110&lt;&gt;"acoes")))*INDEX(Inputs!$K$5:$AJ$110,0,MATCH(AC$2,Inputs!$K$4:$AJ$4,0)))+SUMPRODUCT((Inputs!$E$5:$E$110=$B10)*Inputs!$F$5:$F$110*(((Inputs!$G$5:$G$110="moeda")+(Inputs!$G$5:$G$110="acoes"))*Inputs!$B$1+((Inputs!$G$5:$G$110&lt;&gt;"moeda")*(Inputs!$G$5:$G$110&lt;&gt;"acoes")))*INDEX(Inputs!$K$5:$AJ$110,0,MATCH(AC$2,Inputs!$K$4:$AJ$4,0)))))</f>
        <v>-820</v>
      </c>
      <c r="AD10" s="6">
        <f>IF(ISNA(MATCH(AD$2,Inputs!$K$4:$AJ$4,0)),NA(),IF(SUMPRODUCT((Inputs!$A$5:$A$110=$B10)*ISNUMBER(INDEX(Inputs!$K$5:$AJ$110,0,MATCH(AD$2,Inputs!$K$4:$AJ$4,0))))+SUMPRODUCT((Inputs!$C$5:$C$110=$B10)*ISNUMBER(INDEX(Inputs!$K$5:$AJ$110,0,MATCH(AD$2,Inputs!$K$4:$AJ$4,0))))+SUMPRODUCT((Inputs!$E$5:$E$110=$B10)*ISNUMBER(INDEX(Inputs!$K$5:$AJ$110,0,MATCH(AD$2,Inputs!$K$4:$AJ$4,0))))=0,NA(),SUMPRODUCT((Inputs!$A$5:$A$110=$B10)*Inputs!$B$5:$B$110*(((Inputs!$G$5:$G$110="moeda")+(Inputs!$G$5:$G$110="acoes"))*Inputs!$B$1+((Inputs!$G$5:$G$110&lt;&gt;"moeda")*(Inputs!$G$5:$G$110&lt;&gt;"acoes")))*INDEX(Inputs!$K$5:$AJ$110,0,MATCH(AD$2,Inputs!$K$4:$AJ$4,0)))+SUMPRODUCT((Inputs!$C$5:$C$110=$B10)*Inputs!$D$5:$D$110*(((Inputs!$G$5:$G$110="moeda")+(Inputs!$G$5:$G$110="acoes"))*Inputs!$B$1+((Inputs!$G$5:$G$110&lt;&gt;"moeda")*(Inputs!$G$5:$G$110&lt;&gt;"acoes")))*INDEX(Inputs!$K$5:$AJ$110,0,MATCH(AD$2,Inputs!$K$4:$AJ$4,0)))+SUMPRODUCT((Inputs!$E$5:$E$110=$B10)*Inputs!$F$5:$F$110*(((Inputs!$G$5:$G$110="moeda")+(Inputs!$G$5:$G$110="acoes"))*Inputs!$B$1+((Inputs!$G$5:$G$110&lt;&gt;"moeda")*(Inputs!$G$5:$G$110&lt;&gt;"acoes")))*INDEX(Inputs!$K$5:$AJ$110,0,MATCH(AD$2,Inputs!$K$4:$AJ$4,0)))))</f>
        <v>-2187</v>
      </c>
      <c r="AE10" s="6" t="e">
        <f>IF(ISNA(MATCH(AE$2,Inputs!$K$4:$AJ$4,0)),NA(),IF(SUMPRODUCT((Inputs!$A$5:$A$110=$B10)*ISNUMBER(INDEX(Inputs!$K$5:$AJ$110,0,MATCH(AE$2,Inputs!$K$4:$AJ$4,0))))+SUMPRODUCT((Inputs!$C$5:$C$110=$B10)*ISNUMBER(INDEX(Inputs!$K$5:$AJ$110,0,MATCH(AE$2,Inputs!$K$4:$AJ$4,0))))+SUMPRODUCT((Inputs!$E$5:$E$110=$B10)*ISNUMBER(INDEX(Inputs!$K$5:$AJ$110,0,MATCH(AE$2,Inputs!$K$4:$AJ$4,0))))=0,NA(),SUMPRODUCT((Inputs!$A$5:$A$110=$B10)*Inputs!$B$5:$B$110*(((Inputs!$G$5:$G$110="moeda")+(Inputs!$G$5:$G$110="acoes"))*Inputs!$B$1+((Inputs!$G$5:$G$110&lt;&gt;"moeda")*(Inputs!$G$5:$G$110&lt;&gt;"acoes")))*INDEX(Inputs!$K$5:$AJ$110,0,MATCH(AE$2,Inputs!$K$4:$AJ$4,0)))+SUMPRODUCT((Inputs!$C$5:$C$110=$B10)*Inputs!$D$5:$D$110*(((Inputs!$G$5:$G$110="moeda")+(Inputs!$G$5:$G$110="acoes"))*Inputs!$B$1+((Inputs!$G$5:$G$110&lt;&gt;"moeda")*(Inputs!$G$5:$G$110&lt;&gt;"acoes")))*INDEX(Inputs!$K$5:$AJ$110,0,MATCH(AE$2,Inputs!$K$4:$AJ$4,0)))+SUMPRODUCT((Inputs!$E$5:$E$110=$B10)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0" s="6" t="e">
        <f>IF(ISNA(MATCH(AF$2,Inputs!$K$4:$AJ$4,0)),NA(),IF(SUMPRODUCT((Inputs!$A$5:$A$110=$B10)*ISNUMBER(INDEX(Inputs!$K$5:$AJ$110,0,MATCH(AF$2,Inputs!$K$4:$AJ$4,0))))+SUMPRODUCT((Inputs!$C$5:$C$110=$B10)*ISNUMBER(INDEX(Inputs!$K$5:$AJ$110,0,MATCH(AF$2,Inputs!$K$4:$AJ$4,0))))+SUMPRODUCT((Inputs!$E$5:$E$110=$B10)*ISNUMBER(INDEX(Inputs!$K$5:$AJ$110,0,MATCH(AF$2,Inputs!$K$4:$AJ$4,0))))=0,NA(),SUMPRODUCT((Inputs!$A$5:$A$110=$B10)*Inputs!$B$5:$B$110*(((Inputs!$G$5:$G$110="moeda")+(Inputs!$G$5:$G$110="acoes"))*Inputs!$B$1+((Inputs!$G$5:$G$110&lt;&gt;"moeda")*(Inputs!$G$5:$G$110&lt;&gt;"acoes")))*INDEX(Inputs!$K$5:$AJ$110,0,MATCH(AF$2,Inputs!$K$4:$AJ$4,0)))+SUMPRODUCT((Inputs!$C$5:$C$110=$B10)*Inputs!$D$5:$D$110*(((Inputs!$G$5:$G$110="moeda")+(Inputs!$G$5:$G$110="acoes"))*Inputs!$B$1+((Inputs!$G$5:$G$110&lt;&gt;"moeda")*(Inputs!$G$5:$G$110&lt;&gt;"acoes")))*INDEX(Inputs!$K$5:$AJ$110,0,MATCH(AF$2,Inputs!$K$4:$AJ$4,0)))+SUMPRODUCT((Inputs!$E$5:$E$110=$B10)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0" s="3" t="e">
        <f>SUM(AC10:AF10)</f>
        <v>#N/A</v>
      </c>
      <c r="AH10" s="6">
        <f>IF(ISNA(MATCH(AH$2,Inputs!$K$4:$AJ$4,0)),NA(),IF(SUMPRODUCT((Inputs!$A$5:$A$110=$B10)*ISNUMBER(INDEX(Inputs!$K$5:$AJ$110,0,MATCH(AH$2,Inputs!$K$4:$AJ$4,0))))+SUMPRODUCT((Inputs!$C$5:$C$110=$B10)*ISNUMBER(INDEX(Inputs!$K$5:$AJ$110,0,MATCH(AH$2,Inputs!$K$4:$AJ$4,0))))+SUMPRODUCT((Inputs!$E$5:$E$110=$B10)*ISNUMBER(INDEX(Inputs!$K$5:$AJ$110,0,MATCH(AH$2,Inputs!$K$4:$AJ$4,0))))=0,NA(),SUMPRODUCT((Inputs!$A$5:$A$110=$B10)*Inputs!$B$5:$B$110*(((Inputs!$G$5:$G$110="moeda")+(Inputs!$G$5:$G$110="acoes"))*Inputs!$B$1+((Inputs!$G$5:$G$110&lt;&gt;"moeda")*(Inputs!$G$5:$G$110&lt;&gt;"acoes")))*INDEX(Inputs!$K$5:$AJ$110,0,MATCH(AH$2,Inputs!$K$4:$AJ$4,0)))+SUMPRODUCT((Inputs!$C$5:$C$110=$B10)*Inputs!$D$5:$D$110*(((Inputs!$G$5:$G$110="moeda")+(Inputs!$G$5:$G$110="acoes"))*Inputs!$B$1+((Inputs!$G$5:$G$110&lt;&gt;"moeda")*(Inputs!$G$5:$G$110&lt;&gt;"acoes")))*INDEX(Inputs!$K$5:$AJ$110,0,MATCH(AH$2,Inputs!$K$4:$AJ$4,0)))+SUMPRODUCT((Inputs!$E$5:$E$110=$B10)*Inputs!$F$5:$F$110*(((Inputs!$G$5:$G$110="moeda")+(Inputs!$G$5:$G$110="acoes"))*Inputs!$B$1+((Inputs!$G$5:$G$110&lt;&gt;"moeda")*(Inputs!$G$5:$G$110&lt;&gt;"acoes")))*INDEX(Inputs!$K$5:$AJ$110,0,MATCH(AH$2,Inputs!$K$4:$AJ$4,0)))))</f>
        <v>159</v>
      </c>
      <c r="AI10" s="6">
        <f>IF(ISNA(MATCH(AI$2,Inputs!$K$4:$AJ$4,0)),NA(),IF(SUMPRODUCT((Inputs!$A$5:$A$110=$B10)*ISNUMBER(INDEX(Inputs!$K$5:$AJ$110,0,MATCH(AI$2,Inputs!$K$4:$AJ$4,0))))+SUMPRODUCT((Inputs!$C$5:$C$110=$B10)*ISNUMBER(INDEX(Inputs!$K$5:$AJ$110,0,MATCH(AI$2,Inputs!$K$4:$AJ$4,0))))+SUMPRODUCT((Inputs!$E$5:$E$110=$B10)*ISNUMBER(INDEX(Inputs!$K$5:$AJ$110,0,MATCH(AI$2,Inputs!$K$4:$AJ$4,0))))=0,NA(),SUMPRODUCT((Inputs!$A$5:$A$110=$B10)*Inputs!$B$5:$B$110*(((Inputs!$G$5:$G$110="moeda")+(Inputs!$G$5:$G$110="acoes"))*Inputs!$B$1+((Inputs!$G$5:$G$110&lt;&gt;"moeda")*(Inputs!$G$5:$G$110&lt;&gt;"acoes")))*INDEX(Inputs!$K$5:$AJ$110,0,MATCH(AI$2,Inputs!$K$4:$AJ$4,0)))+SUMPRODUCT((Inputs!$C$5:$C$110=$B10)*Inputs!$D$5:$D$110*(((Inputs!$G$5:$G$110="moeda")+(Inputs!$G$5:$G$110="acoes"))*Inputs!$B$1+((Inputs!$G$5:$G$110&lt;&gt;"moeda")*(Inputs!$G$5:$G$110&lt;&gt;"acoes")))*INDEX(Inputs!$K$5:$AJ$110,0,MATCH(AI$2,Inputs!$K$4:$AJ$4,0)))+SUMPRODUCT((Inputs!$E$5:$E$110=$B10)*Inputs!$F$5:$F$110*(((Inputs!$G$5:$G$110="moeda")+(Inputs!$G$5:$G$110="acoes"))*Inputs!$B$1+((Inputs!$G$5:$G$110&lt;&gt;"moeda")*(Inputs!$G$5:$G$110&lt;&gt;"acoes")))*INDEX(Inputs!$K$5:$AJ$110,0,MATCH(AI$2,Inputs!$K$4:$AJ$4,0)))))</f>
        <v>96</v>
      </c>
      <c r="AJ10" s="6">
        <f>IF(ISNA(MATCH(AJ$2,Inputs!$K$4:$AJ$4,0)),NA(),IF(SUMPRODUCT((Inputs!$A$5:$A$110=$B10)*ISNUMBER(INDEX(Inputs!$K$5:$AJ$110,0,MATCH(AJ$2,Inputs!$K$4:$AJ$4,0))))+SUMPRODUCT((Inputs!$C$5:$C$110=$B10)*ISNUMBER(INDEX(Inputs!$K$5:$AJ$110,0,MATCH(AJ$2,Inputs!$K$4:$AJ$4,0))))+SUMPRODUCT((Inputs!$E$5:$E$110=$B10)*ISNUMBER(INDEX(Inputs!$K$5:$AJ$110,0,MATCH(AJ$2,Inputs!$K$4:$AJ$4,0))))=0,NA(),SUMPRODUCT((Inputs!$A$5:$A$110=$B10)*Inputs!$B$5:$B$110*(((Inputs!$G$5:$G$110="moeda")+(Inputs!$G$5:$G$110="acoes"))*Inputs!$B$1+((Inputs!$G$5:$G$110&lt;&gt;"moeda")*(Inputs!$G$5:$G$110&lt;&gt;"acoes")))*INDEX(Inputs!$K$5:$AJ$110,0,MATCH(AJ$2,Inputs!$K$4:$AJ$4,0)))+SUMPRODUCT((Inputs!$C$5:$C$110=$B10)*Inputs!$D$5:$D$110*(((Inputs!$G$5:$G$110="moeda")+(Inputs!$G$5:$G$110="acoes"))*Inputs!$B$1+((Inputs!$G$5:$G$110&lt;&gt;"moeda")*(Inputs!$G$5:$G$110&lt;&gt;"acoes")))*INDEX(Inputs!$K$5:$AJ$110,0,MATCH(AJ$2,Inputs!$K$4:$AJ$4,0)))+SUMPRODUCT((Inputs!$E$5:$E$110=$B10)*Inputs!$F$5:$F$110*(((Inputs!$G$5:$G$110="moeda")+(Inputs!$G$5:$G$110="acoes"))*Inputs!$B$1+((Inputs!$G$5:$G$110&lt;&gt;"moeda")*(Inputs!$G$5:$G$110&lt;&gt;"acoes")))*INDEX(Inputs!$K$5:$AJ$110,0,MATCH(AJ$2,Inputs!$K$4:$AJ$4,0)))))</f>
        <v>187</v>
      </c>
      <c r="AK10" s="6">
        <f>IF(ISNA(MATCH(AK$2,Inputs!$K$4:$AJ$4,0)),NA(),IF(SUMPRODUCT((Inputs!$A$5:$A$110=$B10)*ISNUMBER(INDEX(Inputs!$K$5:$AJ$110,0,MATCH(AK$2,Inputs!$K$4:$AJ$4,0))))+SUMPRODUCT((Inputs!$C$5:$C$110=$B10)*ISNUMBER(INDEX(Inputs!$K$5:$AJ$110,0,MATCH(AK$2,Inputs!$K$4:$AJ$4,0))))+SUMPRODUCT((Inputs!$E$5:$E$110=$B10)*ISNUMBER(INDEX(Inputs!$K$5:$AJ$110,0,MATCH(AK$2,Inputs!$K$4:$AJ$4,0))))=0,NA(),SUMPRODUCT((Inputs!$A$5:$A$110=$B10)*Inputs!$B$5:$B$110*(((Inputs!$G$5:$G$110="moeda")+(Inputs!$G$5:$G$110="acoes"))*Inputs!$B$1+((Inputs!$G$5:$G$110&lt;&gt;"moeda")*(Inputs!$G$5:$G$110&lt;&gt;"acoes")))*INDEX(Inputs!$K$5:$AJ$110,0,MATCH(AK$2,Inputs!$K$4:$AJ$4,0)))+SUMPRODUCT((Inputs!$C$5:$C$110=$B10)*Inputs!$D$5:$D$110*(((Inputs!$G$5:$G$110="moeda")+(Inputs!$G$5:$G$110="acoes"))*Inputs!$B$1+((Inputs!$G$5:$G$110&lt;&gt;"moeda")*(Inputs!$G$5:$G$110&lt;&gt;"acoes")))*INDEX(Inputs!$K$5:$AJ$110,0,MATCH(AK$2,Inputs!$K$4:$AJ$4,0)))+SUMPRODUCT((Inputs!$E$5:$E$110=$B10)*Inputs!$F$5:$F$110*(((Inputs!$G$5:$G$110="moeda")+(Inputs!$G$5:$G$110="acoes"))*Inputs!$B$1+((Inputs!$G$5:$G$110&lt;&gt;"moeda")*(Inputs!$G$5:$G$110&lt;&gt;"acoes")))*INDEX(Inputs!$K$5:$AJ$110,0,MATCH(AK$2,Inputs!$K$4:$AJ$4,0)))))</f>
        <v>-6</v>
      </c>
      <c r="AL10" s="3">
        <f>SUM(AH10:AK10)</f>
        <v>436</v>
      </c>
    </row>
    <row r="11">
      <c r="B11" s="46" t="n">
        <v>8</v>
      </c>
      <c r="C11" s="26" t="inlineStr">
        <is>
          <t>Equity in Income of Affiliates, after tax (enter as +)</t>
        </is>
      </c>
      <c r="D11" s="6">
        <f>IF(ISNA(MATCH(D$2,Inputs!$K$4:$AJ$4,0)),NA(),IF(SUMPRODUCT((Inputs!$A$5:$A$110=$B11)*ISNUMBER(INDEX(Inputs!$K$5:$AJ$110,0,MATCH(D$2,Inputs!$K$4:$AJ$4,0))))+SUMPRODUCT((Inputs!$C$5:$C$110=$B11)*ISNUMBER(INDEX(Inputs!$K$5:$AJ$110,0,MATCH(D$2,Inputs!$K$4:$AJ$4,0))))+SUMPRODUCT((Inputs!$E$5:$E$110=$B11)*ISNUMBER(INDEX(Inputs!$K$5:$AJ$110,0,MATCH(D$2,Inputs!$K$4:$AJ$4,0))))=0,NA(),SUMPRODUCT((Inputs!$A$5:$A$110=$B11)*Inputs!$B$5:$B$110*(((Inputs!$G$5:$G$110="moeda")+(Inputs!$G$5:$G$110="acoes"))*Inputs!$B$1+((Inputs!$G$5:$G$110&lt;&gt;"moeda")*(Inputs!$G$5:$G$110&lt;&gt;"acoes")))*INDEX(Inputs!$K$5:$AJ$110,0,MATCH(D$2,Inputs!$K$4:$AJ$4,0)))+SUMPRODUCT((Inputs!$C$5:$C$110=$B11)*Inputs!$D$5:$D$110*(((Inputs!$G$5:$G$110="moeda")+(Inputs!$G$5:$G$110="acoes"))*Inputs!$B$1+((Inputs!$G$5:$G$110&lt;&gt;"moeda")*(Inputs!$G$5:$G$110&lt;&gt;"acoes")))*INDEX(Inputs!$K$5:$AJ$110,0,MATCH(D$2,Inputs!$K$4:$AJ$4,0)))+SUMPRODUCT((Inputs!$E$5:$E$110=$B11)*Inputs!$F$5:$F$110*(((Inputs!$G$5:$G$110="moeda")+(Inputs!$G$5:$G$110="acoes"))*Inputs!$B$1+((Inputs!$G$5:$G$110&lt;&gt;"moeda")*(Inputs!$G$5:$G$110&lt;&gt;"acoes")))*INDEX(Inputs!$K$5:$AJ$110,0,MATCH(D$2,Inputs!$K$4:$AJ$4,0)))))</f>
        <v>-76</v>
      </c>
      <c r="E11" s="6">
        <f>IF(ISNA(MATCH(E$2,Inputs!$K$4:$AJ$4,0)),NA(),IF(SUMPRODUCT((Inputs!$A$5:$A$110=$B11)*ISNUMBER(INDEX(Inputs!$K$5:$AJ$110,0,MATCH(E$2,Inputs!$K$4:$AJ$4,0))))+SUMPRODUCT((Inputs!$C$5:$C$110=$B11)*ISNUMBER(INDEX(Inputs!$K$5:$AJ$110,0,MATCH(E$2,Inputs!$K$4:$AJ$4,0))))+SUMPRODUCT((Inputs!$E$5:$E$110=$B11)*ISNUMBER(INDEX(Inputs!$K$5:$AJ$110,0,MATCH(E$2,Inputs!$K$4:$AJ$4,0))))=0,NA(),SUMPRODUCT((Inputs!$A$5:$A$110=$B11)*Inputs!$B$5:$B$110*(((Inputs!$G$5:$G$110="moeda")+(Inputs!$G$5:$G$110="acoes"))*Inputs!$B$1+((Inputs!$G$5:$G$110&lt;&gt;"moeda")*(Inputs!$G$5:$G$110&lt;&gt;"acoes")))*INDEX(Inputs!$K$5:$AJ$110,0,MATCH(E$2,Inputs!$K$4:$AJ$4,0)))+SUMPRODUCT((Inputs!$C$5:$C$110=$B11)*Inputs!$D$5:$D$110*(((Inputs!$G$5:$G$110="moeda")+(Inputs!$G$5:$G$110="acoes"))*Inputs!$B$1+((Inputs!$G$5:$G$110&lt;&gt;"moeda")*(Inputs!$G$5:$G$110&lt;&gt;"acoes")))*INDEX(Inputs!$K$5:$AJ$110,0,MATCH(E$2,Inputs!$K$4:$AJ$4,0)))+SUMPRODUCT((Inputs!$E$5:$E$110=$B11)*Inputs!$F$5:$F$110*(((Inputs!$G$5:$G$110="moeda")+(Inputs!$G$5:$G$110="acoes"))*Inputs!$B$1+((Inputs!$G$5:$G$110&lt;&gt;"moeda")*(Inputs!$G$5:$G$110&lt;&gt;"acoes")))*INDEX(Inputs!$K$5:$AJ$110,0,MATCH(E$2,Inputs!$K$4:$AJ$4,0)))))</f>
        <v>-74</v>
      </c>
      <c r="F11" s="6">
        <f>IF(ISNA(MATCH(F$2,Inputs!$K$4:$AJ$4,0)),NA(),IF(SUMPRODUCT((Inputs!$A$5:$A$110=$B11)*ISNUMBER(INDEX(Inputs!$K$5:$AJ$110,0,MATCH(F$2,Inputs!$K$4:$AJ$4,0))))+SUMPRODUCT((Inputs!$C$5:$C$110=$B11)*ISNUMBER(INDEX(Inputs!$K$5:$AJ$110,0,MATCH(F$2,Inputs!$K$4:$AJ$4,0))))+SUMPRODUCT((Inputs!$E$5:$E$110=$B11)*ISNUMBER(INDEX(Inputs!$K$5:$AJ$110,0,MATCH(F$2,Inputs!$K$4:$AJ$4,0))))=0,NA(),SUMPRODUCT((Inputs!$A$5:$A$110=$B11)*Inputs!$B$5:$B$110*(((Inputs!$G$5:$G$110="moeda")+(Inputs!$G$5:$G$110="acoes"))*Inputs!$B$1+((Inputs!$G$5:$G$110&lt;&gt;"moeda")*(Inputs!$G$5:$G$110&lt;&gt;"acoes")))*INDEX(Inputs!$K$5:$AJ$110,0,MATCH(F$2,Inputs!$K$4:$AJ$4,0)))+SUMPRODUCT((Inputs!$C$5:$C$110=$B11)*Inputs!$D$5:$D$110*(((Inputs!$G$5:$G$110="moeda")+(Inputs!$G$5:$G$110="acoes"))*Inputs!$B$1+((Inputs!$G$5:$G$110&lt;&gt;"moeda")*(Inputs!$G$5:$G$110&lt;&gt;"acoes")))*INDEX(Inputs!$K$5:$AJ$110,0,MATCH(F$2,Inputs!$K$4:$AJ$4,0)))+SUMPRODUCT((Inputs!$E$5:$E$110=$B11)*Inputs!$F$5:$F$110*(((Inputs!$G$5:$G$110="moeda")+(Inputs!$G$5:$G$110="acoes"))*Inputs!$B$1+((Inputs!$G$5:$G$110&lt;&gt;"moeda")*(Inputs!$G$5:$G$110&lt;&gt;"acoes")))*INDEX(Inputs!$K$5:$AJ$110,0,MATCH(F$2,Inputs!$K$4:$AJ$4,0)))))</f>
        <v>-75</v>
      </c>
      <c r="G11" s="6">
        <f>IF(ISNA(MATCH(G$2,Inputs!$K$4:$AJ$4,0)),NA(),IF(SUMPRODUCT((Inputs!$A$5:$A$110=$B11)*ISNUMBER(INDEX(Inputs!$K$5:$AJ$110,0,MATCH(G$2,Inputs!$K$4:$AJ$4,0))))+SUMPRODUCT((Inputs!$C$5:$C$110=$B11)*ISNUMBER(INDEX(Inputs!$K$5:$AJ$110,0,MATCH(G$2,Inputs!$K$4:$AJ$4,0))))+SUMPRODUCT((Inputs!$E$5:$E$110=$B11)*ISNUMBER(INDEX(Inputs!$K$5:$AJ$110,0,MATCH(G$2,Inputs!$K$4:$AJ$4,0))))=0,NA(),SUMPRODUCT((Inputs!$A$5:$A$110=$B11)*Inputs!$B$5:$B$110*(((Inputs!$G$5:$G$110="moeda")+(Inputs!$G$5:$G$110="acoes"))*Inputs!$B$1+((Inputs!$G$5:$G$110&lt;&gt;"moeda")*(Inputs!$G$5:$G$110&lt;&gt;"acoes")))*INDEX(Inputs!$K$5:$AJ$110,0,MATCH(G$2,Inputs!$K$4:$AJ$4,0)))+SUMPRODUCT((Inputs!$C$5:$C$110=$B11)*Inputs!$D$5:$D$110*(((Inputs!$G$5:$G$110="moeda")+(Inputs!$G$5:$G$110="acoes"))*Inputs!$B$1+((Inputs!$G$5:$G$110&lt;&gt;"moeda")*(Inputs!$G$5:$G$110&lt;&gt;"acoes")))*INDEX(Inputs!$K$5:$AJ$110,0,MATCH(G$2,Inputs!$K$4:$AJ$4,0)))+SUMPRODUCT((Inputs!$E$5:$E$110=$B11)*Inputs!$F$5:$F$110*(((Inputs!$G$5:$G$110="moeda")+(Inputs!$G$5:$G$110="acoes"))*Inputs!$B$1+((Inputs!$G$5:$G$110&lt;&gt;"moeda")*(Inputs!$G$5:$G$110&lt;&gt;"acoes")))*INDEX(Inputs!$K$5:$AJ$110,0,MATCH(G$2,Inputs!$K$4:$AJ$4,0)))))</f>
        <v>-74</v>
      </c>
      <c r="H11" s="3">
        <f>SUM(D11:G11)</f>
        <v>-299</v>
      </c>
      <c r="I11" s="6">
        <f>IF(ISNA(MATCH(I$2,Inputs!$K$4:$AJ$4,0)),NA(),IF(SUMPRODUCT((Inputs!$A$5:$A$110=$B11)*ISNUMBER(INDEX(Inputs!$K$5:$AJ$110,0,MATCH(I$2,Inputs!$K$4:$AJ$4,0))))+SUMPRODUCT((Inputs!$C$5:$C$110=$B11)*ISNUMBER(INDEX(Inputs!$K$5:$AJ$110,0,MATCH(I$2,Inputs!$K$4:$AJ$4,0))))+SUMPRODUCT((Inputs!$E$5:$E$110=$B11)*ISNUMBER(INDEX(Inputs!$K$5:$AJ$110,0,MATCH(I$2,Inputs!$K$4:$AJ$4,0))))=0,NA(),SUMPRODUCT((Inputs!$A$5:$A$110=$B11)*Inputs!$B$5:$B$110*(((Inputs!$G$5:$G$110="moeda")+(Inputs!$G$5:$G$110="acoes"))*Inputs!$B$1+((Inputs!$G$5:$G$110&lt;&gt;"moeda")*(Inputs!$G$5:$G$110&lt;&gt;"acoes")))*INDEX(Inputs!$K$5:$AJ$110,0,MATCH(I$2,Inputs!$K$4:$AJ$4,0)))+SUMPRODUCT((Inputs!$C$5:$C$110=$B11)*Inputs!$D$5:$D$110*(((Inputs!$G$5:$G$110="moeda")+(Inputs!$G$5:$G$110="acoes"))*Inputs!$B$1+((Inputs!$G$5:$G$110&lt;&gt;"moeda")*(Inputs!$G$5:$G$110&lt;&gt;"acoes")))*INDEX(Inputs!$K$5:$AJ$110,0,MATCH(I$2,Inputs!$K$4:$AJ$4,0)))+SUMPRODUCT((Inputs!$E$5:$E$110=$B11)*Inputs!$F$5:$F$110*(((Inputs!$G$5:$G$110="moeda")+(Inputs!$G$5:$G$110="acoes"))*Inputs!$B$1+((Inputs!$G$5:$G$110&lt;&gt;"moeda")*(Inputs!$G$5:$G$110&lt;&gt;"acoes")))*INDEX(Inputs!$K$5:$AJ$110,0,MATCH(I$2,Inputs!$K$4:$AJ$4,0)))))</f>
        <v>-75</v>
      </c>
      <c r="J11" s="6">
        <f>IF(ISNA(MATCH(J$2,Inputs!$K$4:$AJ$4,0)),NA(),IF(SUMPRODUCT((Inputs!$A$5:$A$110=$B11)*ISNUMBER(INDEX(Inputs!$K$5:$AJ$110,0,MATCH(J$2,Inputs!$K$4:$AJ$4,0))))+SUMPRODUCT((Inputs!$C$5:$C$110=$B11)*ISNUMBER(INDEX(Inputs!$K$5:$AJ$110,0,MATCH(J$2,Inputs!$K$4:$AJ$4,0))))+SUMPRODUCT((Inputs!$E$5:$E$110=$B11)*ISNUMBER(INDEX(Inputs!$K$5:$AJ$110,0,MATCH(J$2,Inputs!$K$4:$AJ$4,0))))=0,NA(),SUMPRODUCT((Inputs!$A$5:$A$110=$B11)*Inputs!$B$5:$B$110*(((Inputs!$G$5:$G$110="moeda")+(Inputs!$G$5:$G$110="acoes"))*Inputs!$B$1+((Inputs!$G$5:$G$110&lt;&gt;"moeda")*(Inputs!$G$5:$G$110&lt;&gt;"acoes")))*INDEX(Inputs!$K$5:$AJ$110,0,MATCH(J$2,Inputs!$K$4:$AJ$4,0)))+SUMPRODUCT((Inputs!$C$5:$C$110=$B11)*Inputs!$D$5:$D$110*(((Inputs!$G$5:$G$110="moeda")+(Inputs!$G$5:$G$110="acoes"))*Inputs!$B$1+((Inputs!$G$5:$G$110&lt;&gt;"moeda")*(Inputs!$G$5:$G$110&lt;&gt;"acoes")))*INDEX(Inputs!$K$5:$AJ$110,0,MATCH(J$2,Inputs!$K$4:$AJ$4,0)))+SUMPRODUCT((Inputs!$E$5:$E$110=$B11)*Inputs!$F$5:$F$110*(((Inputs!$G$5:$G$110="moeda")+(Inputs!$G$5:$G$110="acoes"))*Inputs!$B$1+((Inputs!$G$5:$G$110&lt;&gt;"moeda")*(Inputs!$G$5:$G$110&lt;&gt;"acoes")))*INDEX(Inputs!$K$5:$AJ$110,0,MATCH(J$2,Inputs!$K$4:$AJ$4,0)))))</f>
        <v>-75</v>
      </c>
      <c r="K11" s="6">
        <f>IF(ISNA(MATCH(K$2,Inputs!$K$4:$AJ$4,0)),NA(),IF(SUMPRODUCT((Inputs!$A$5:$A$110=$B11)*ISNUMBER(INDEX(Inputs!$K$5:$AJ$110,0,MATCH(K$2,Inputs!$K$4:$AJ$4,0))))+SUMPRODUCT((Inputs!$C$5:$C$110=$B11)*ISNUMBER(INDEX(Inputs!$K$5:$AJ$110,0,MATCH(K$2,Inputs!$K$4:$AJ$4,0))))+SUMPRODUCT((Inputs!$E$5:$E$110=$B11)*ISNUMBER(INDEX(Inputs!$K$5:$AJ$110,0,MATCH(K$2,Inputs!$K$4:$AJ$4,0))))=0,NA(),SUMPRODUCT((Inputs!$A$5:$A$110=$B11)*Inputs!$B$5:$B$110*(((Inputs!$G$5:$G$110="moeda")+(Inputs!$G$5:$G$110="acoes"))*Inputs!$B$1+((Inputs!$G$5:$G$110&lt;&gt;"moeda")*(Inputs!$G$5:$G$110&lt;&gt;"acoes")))*INDEX(Inputs!$K$5:$AJ$110,0,MATCH(K$2,Inputs!$K$4:$AJ$4,0)))+SUMPRODUCT((Inputs!$C$5:$C$110=$B11)*Inputs!$D$5:$D$110*(((Inputs!$G$5:$G$110="moeda")+(Inputs!$G$5:$G$110="acoes"))*Inputs!$B$1+((Inputs!$G$5:$G$110&lt;&gt;"moeda")*(Inputs!$G$5:$G$110&lt;&gt;"acoes")))*INDEX(Inputs!$K$5:$AJ$110,0,MATCH(K$2,Inputs!$K$4:$AJ$4,0)))+SUMPRODUCT((Inputs!$E$5:$E$110=$B11)*Inputs!$F$5:$F$110*(((Inputs!$G$5:$G$110="moeda")+(Inputs!$G$5:$G$110="acoes"))*Inputs!$B$1+((Inputs!$G$5:$G$110&lt;&gt;"moeda")*(Inputs!$G$5:$G$110&lt;&gt;"acoes")))*INDEX(Inputs!$K$5:$AJ$110,0,MATCH(K$2,Inputs!$K$4:$AJ$4,0)))))</f>
        <v>224</v>
      </c>
      <c r="L11" s="6">
        <f>IF(ISNA(MATCH(L$2,Inputs!$K$4:$AJ$4,0)),NA(),IF(SUMPRODUCT((Inputs!$A$5:$A$110=$B11)*ISNUMBER(INDEX(Inputs!$K$5:$AJ$110,0,MATCH(L$2,Inputs!$K$4:$AJ$4,0))))+SUMPRODUCT((Inputs!$C$5:$C$110=$B11)*ISNUMBER(INDEX(Inputs!$K$5:$AJ$110,0,MATCH(L$2,Inputs!$K$4:$AJ$4,0))))+SUMPRODUCT((Inputs!$E$5:$E$110=$B11)*ISNUMBER(INDEX(Inputs!$K$5:$AJ$110,0,MATCH(L$2,Inputs!$K$4:$AJ$4,0))))=0,NA(),SUMPRODUCT((Inputs!$A$5:$A$110=$B11)*Inputs!$B$5:$B$110*(((Inputs!$G$5:$G$110="moeda")+(Inputs!$G$5:$G$110="acoes"))*Inputs!$B$1+((Inputs!$G$5:$G$110&lt;&gt;"moeda")*(Inputs!$G$5:$G$110&lt;&gt;"acoes")))*INDEX(Inputs!$K$5:$AJ$110,0,MATCH(L$2,Inputs!$K$4:$AJ$4,0)))+SUMPRODUCT((Inputs!$C$5:$C$110=$B11)*Inputs!$D$5:$D$110*(((Inputs!$G$5:$G$110="moeda")+(Inputs!$G$5:$G$110="acoes"))*Inputs!$B$1+((Inputs!$G$5:$G$110&lt;&gt;"moeda")*(Inputs!$G$5:$G$110&lt;&gt;"acoes")))*INDEX(Inputs!$K$5:$AJ$110,0,MATCH(L$2,Inputs!$K$4:$AJ$4,0)))+SUMPRODUCT((Inputs!$E$5:$E$110=$B11)*Inputs!$F$5:$F$110*(((Inputs!$G$5:$G$110="moeda")+(Inputs!$G$5:$G$110="acoes"))*Inputs!$B$1+((Inputs!$G$5:$G$110&lt;&gt;"moeda")*(Inputs!$G$5:$G$110&lt;&gt;"acoes")))*INDEX(Inputs!$K$5:$AJ$110,0,MATCH(L$2,Inputs!$K$4:$AJ$4,0)))))</f>
        <v>0</v>
      </c>
      <c r="M11" s="3">
        <f>SUM(I11:L11)</f>
        <v>74</v>
      </c>
      <c r="N11" s="6">
        <f>IF(ISNA(MATCH(N$2,Inputs!$K$4:$AJ$4,0)),NA(),IF(SUMPRODUCT((Inputs!$A$5:$A$110=$B11)*ISNUMBER(INDEX(Inputs!$K$5:$AJ$110,0,MATCH(N$2,Inputs!$K$4:$AJ$4,0))))+SUMPRODUCT((Inputs!$C$5:$C$110=$B11)*ISNUMBER(INDEX(Inputs!$K$5:$AJ$110,0,MATCH(N$2,Inputs!$K$4:$AJ$4,0))))+SUMPRODUCT((Inputs!$E$5:$E$110=$B11)*ISNUMBER(INDEX(Inputs!$K$5:$AJ$110,0,MATCH(N$2,Inputs!$K$4:$AJ$4,0))))=0,NA(),SUMPRODUCT((Inputs!$A$5:$A$110=$B11)*Inputs!$B$5:$B$110*(((Inputs!$G$5:$G$110="moeda")+(Inputs!$G$5:$G$110="acoes"))*Inputs!$B$1+((Inputs!$G$5:$G$110&lt;&gt;"moeda")*(Inputs!$G$5:$G$110&lt;&gt;"acoes")))*INDEX(Inputs!$K$5:$AJ$110,0,MATCH(N$2,Inputs!$K$4:$AJ$4,0)))+SUMPRODUCT((Inputs!$C$5:$C$110=$B11)*Inputs!$D$5:$D$110*(((Inputs!$G$5:$G$110="moeda")+(Inputs!$G$5:$G$110="acoes"))*Inputs!$B$1+((Inputs!$G$5:$G$110&lt;&gt;"moeda")*(Inputs!$G$5:$G$110&lt;&gt;"acoes")))*INDEX(Inputs!$K$5:$AJ$110,0,MATCH(N$2,Inputs!$K$4:$AJ$4,0)))+SUMPRODUCT((Inputs!$E$5:$E$110=$B11)*Inputs!$F$5:$F$110*(((Inputs!$G$5:$G$110="moeda")+(Inputs!$G$5:$G$110="acoes"))*Inputs!$B$1+((Inputs!$G$5:$G$110&lt;&gt;"moeda")*(Inputs!$G$5:$G$110&lt;&gt;"acoes")))*INDEX(Inputs!$K$5:$AJ$110,0,MATCH(N$2,Inputs!$K$4:$AJ$4,0)))))</f>
        <v>0</v>
      </c>
      <c r="O11" s="6">
        <f>IF(ISNA(MATCH(O$2,Inputs!$K$4:$AJ$4,0)),NA(),IF(SUMPRODUCT((Inputs!$A$5:$A$110=$B11)*ISNUMBER(INDEX(Inputs!$K$5:$AJ$110,0,MATCH(O$2,Inputs!$K$4:$AJ$4,0))))+SUMPRODUCT((Inputs!$C$5:$C$110=$B11)*ISNUMBER(INDEX(Inputs!$K$5:$AJ$110,0,MATCH(O$2,Inputs!$K$4:$AJ$4,0))))+SUMPRODUCT((Inputs!$E$5:$E$110=$B11)*ISNUMBER(INDEX(Inputs!$K$5:$AJ$110,0,MATCH(O$2,Inputs!$K$4:$AJ$4,0))))=0,NA(),SUMPRODUCT((Inputs!$A$5:$A$110=$B11)*Inputs!$B$5:$B$110*(((Inputs!$G$5:$G$110="moeda")+(Inputs!$G$5:$G$110="acoes"))*Inputs!$B$1+((Inputs!$G$5:$G$110&lt;&gt;"moeda")*(Inputs!$G$5:$G$110&lt;&gt;"acoes")))*INDEX(Inputs!$K$5:$AJ$110,0,MATCH(O$2,Inputs!$K$4:$AJ$4,0)))+SUMPRODUCT((Inputs!$C$5:$C$110=$B11)*Inputs!$D$5:$D$110*(((Inputs!$G$5:$G$110="moeda")+(Inputs!$G$5:$G$110="acoes"))*Inputs!$B$1+((Inputs!$G$5:$G$110&lt;&gt;"moeda")*(Inputs!$G$5:$G$110&lt;&gt;"acoes")))*INDEX(Inputs!$K$5:$AJ$110,0,MATCH(O$2,Inputs!$K$4:$AJ$4,0)))+SUMPRODUCT((Inputs!$E$5:$E$110=$B11)*Inputs!$F$5:$F$110*(((Inputs!$G$5:$G$110="moeda")+(Inputs!$G$5:$G$110="acoes"))*Inputs!$B$1+((Inputs!$G$5:$G$110&lt;&gt;"moeda")*(Inputs!$G$5:$G$110&lt;&gt;"acoes")))*INDEX(Inputs!$K$5:$AJ$110,0,MATCH(O$2,Inputs!$K$4:$AJ$4,0)))))</f>
        <v>0</v>
      </c>
      <c r="P11" s="6">
        <f>IF(ISNA(MATCH(P$2,Inputs!$K$4:$AJ$4,0)),NA(),IF(SUMPRODUCT((Inputs!$A$5:$A$110=$B11)*ISNUMBER(INDEX(Inputs!$K$5:$AJ$110,0,MATCH(P$2,Inputs!$K$4:$AJ$4,0))))+SUMPRODUCT((Inputs!$C$5:$C$110=$B11)*ISNUMBER(INDEX(Inputs!$K$5:$AJ$110,0,MATCH(P$2,Inputs!$K$4:$AJ$4,0))))+SUMPRODUCT((Inputs!$E$5:$E$110=$B11)*ISNUMBER(INDEX(Inputs!$K$5:$AJ$110,0,MATCH(P$2,Inputs!$K$4:$AJ$4,0))))=0,NA(),SUMPRODUCT((Inputs!$A$5:$A$110=$B11)*Inputs!$B$5:$B$110*(((Inputs!$G$5:$G$110="moeda")+(Inputs!$G$5:$G$110="acoes"))*Inputs!$B$1+((Inputs!$G$5:$G$110&lt;&gt;"moeda")*(Inputs!$G$5:$G$110&lt;&gt;"acoes")))*INDEX(Inputs!$K$5:$AJ$110,0,MATCH(P$2,Inputs!$K$4:$AJ$4,0)))+SUMPRODUCT((Inputs!$C$5:$C$110=$B11)*Inputs!$D$5:$D$110*(((Inputs!$G$5:$G$110="moeda")+(Inputs!$G$5:$G$110="acoes"))*Inputs!$B$1+((Inputs!$G$5:$G$110&lt;&gt;"moeda")*(Inputs!$G$5:$G$110&lt;&gt;"acoes")))*INDEX(Inputs!$K$5:$AJ$110,0,MATCH(P$2,Inputs!$K$4:$AJ$4,0)))+SUMPRODUCT((Inputs!$E$5:$E$110=$B11)*Inputs!$F$5:$F$110*(((Inputs!$G$5:$G$110="moeda")+(Inputs!$G$5:$G$110="acoes"))*Inputs!$B$1+((Inputs!$G$5:$G$110&lt;&gt;"moeda")*(Inputs!$G$5:$G$110&lt;&gt;"acoes")))*INDEX(Inputs!$K$5:$AJ$110,0,MATCH(P$2,Inputs!$K$4:$AJ$4,0)))))</f>
        <v>0</v>
      </c>
      <c r="Q11" s="6">
        <f>IF(ISNA(MATCH(Q$2,Inputs!$K$4:$AJ$4,0)),NA(),IF(SUMPRODUCT((Inputs!$A$5:$A$110=$B11)*ISNUMBER(INDEX(Inputs!$K$5:$AJ$110,0,MATCH(Q$2,Inputs!$K$4:$AJ$4,0))))+SUMPRODUCT((Inputs!$C$5:$C$110=$B11)*ISNUMBER(INDEX(Inputs!$K$5:$AJ$110,0,MATCH(Q$2,Inputs!$K$4:$AJ$4,0))))+SUMPRODUCT((Inputs!$E$5:$E$110=$B11)*ISNUMBER(INDEX(Inputs!$K$5:$AJ$110,0,MATCH(Q$2,Inputs!$K$4:$AJ$4,0))))=0,NA(),SUMPRODUCT((Inputs!$A$5:$A$110=$B11)*Inputs!$B$5:$B$110*(((Inputs!$G$5:$G$110="moeda")+(Inputs!$G$5:$G$110="acoes"))*Inputs!$B$1+((Inputs!$G$5:$G$110&lt;&gt;"moeda")*(Inputs!$G$5:$G$110&lt;&gt;"acoes")))*INDEX(Inputs!$K$5:$AJ$110,0,MATCH(Q$2,Inputs!$K$4:$AJ$4,0)))+SUMPRODUCT((Inputs!$C$5:$C$110=$B11)*Inputs!$D$5:$D$110*(((Inputs!$G$5:$G$110="moeda")+(Inputs!$G$5:$G$110="acoes"))*Inputs!$B$1+((Inputs!$G$5:$G$110&lt;&gt;"moeda")*(Inputs!$G$5:$G$110&lt;&gt;"acoes")))*INDEX(Inputs!$K$5:$AJ$110,0,MATCH(Q$2,Inputs!$K$4:$AJ$4,0)))+SUMPRODUCT((Inputs!$E$5:$E$110=$B11)*Inputs!$F$5:$F$110*(((Inputs!$G$5:$G$110="moeda")+(Inputs!$G$5:$G$110="acoes"))*Inputs!$B$1+((Inputs!$G$5:$G$110&lt;&gt;"moeda")*(Inputs!$G$5:$G$110&lt;&gt;"acoes")))*INDEX(Inputs!$K$5:$AJ$110,0,MATCH(Q$2,Inputs!$K$4:$AJ$4,0)))))</f>
        <v>51</v>
      </c>
      <c r="R11" s="3">
        <f>SUM(N11:Q11)</f>
        <v>51</v>
      </c>
      <c r="S11" s="6">
        <f>IF(ISNA(MATCH(S$2,Inputs!$K$4:$AJ$4,0)),NA(),IF(SUMPRODUCT((Inputs!$A$5:$A$110=$B11)*ISNUMBER(INDEX(Inputs!$K$5:$AJ$110,0,MATCH(S$2,Inputs!$K$4:$AJ$4,0))))+SUMPRODUCT((Inputs!$C$5:$C$110=$B11)*ISNUMBER(INDEX(Inputs!$K$5:$AJ$110,0,MATCH(S$2,Inputs!$K$4:$AJ$4,0))))+SUMPRODUCT((Inputs!$E$5:$E$110=$B11)*ISNUMBER(INDEX(Inputs!$K$5:$AJ$110,0,MATCH(S$2,Inputs!$K$4:$AJ$4,0))))=0,NA(),SUMPRODUCT((Inputs!$A$5:$A$110=$B11)*Inputs!$B$5:$B$110*(((Inputs!$G$5:$G$110="moeda")+(Inputs!$G$5:$G$110="acoes"))*Inputs!$B$1+((Inputs!$G$5:$G$110&lt;&gt;"moeda")*(Inputs!$G$5:$G$110&lt;&gt;"acoes")))*INDEX(Inputs!$K$5:$AJ$110,0,MATCH(S$2,Inputs!$K$4:$AJ$4,0)))+SUMPRODUCT((Inputs!$C$5:$C$110=$B11)*Inputs!$D$5:$D$110*(((Inputs!$G$5:$G$110="moeda")+(Inputs!$G$5:$G$110="acoes"))*Inputs!$B$1+((Inputs!$G$5:$G$110&lt;&gt;"moeda")*(Inputs!$G$5:$G$110&lt;&gt;"acoes")))*INDEX(Inputs!$K$5:$AJ$110,0,MATCH(S$2,Inputs!$K$4:$AJ$4,0)))+SUMPRODUCT((Inputs!$E$5:$E$110=$B11)*Inputs!$F$5:$F$110*(((Inputs!$G$5:$G$110="moeda")+(Inputs!$G$5:$G$110="acoes"))*Inputs!$B$1+((Inputs!$G$5:$G$110&lt;&gt;"moeda")*(Inputs!$G$5:$G$110&lt;&gt;"acoes")))*INDEX(Inputs!$K$5:$AJ$110,0,MATCH(S$2,Inputs!$K$4:$AJ$4,0)))))</f>
        <v>0</v>
      </c>
      <c r="T11" s="6">
        <f>IF(ISNA(MATCH(T$2,Inputs!$K$4:$AJ$4,0)),NA(),IF(SUMPRODUCT((Inputs!$A$5:$A$110=$B11)*ISNUMBER(INDEX(Inputs!$K$5:$AJ$110,0,MATCH(T$2,Inputs!$K$4:$AJ$4,0))))+SUMPRODUCT((Inputs!$C$5:$C$110=$B11)*ISNUMBER(INDEX(Inputs!$K$5:$AJ$110,0,MATCH(T$2,Inputs!$K$4:$AJ$4,0))))+SUMPRODUCT((Inputs!$E$5:$E$110=$B11)*ISNUMBER(INDEX(Inputs!$K$5:$AJ$110,0,MATCH(T$2,Inputs!$K$4:$AJ$4,0))))=0,NA(),SUMPRODUCT((Inputs!$A$5:$A$110=$B11)*Inputs!$B$5:$B$110*(((Inputs!$G$5:$G$110="moeda")+(Inputs!$G$5:$G$110="acoes"))*Inputs!$B$1+((Inputs!$G$5:$G$110&lt;&gt;"moeda")*(Inputs!$G$5:$G$110&lt;&gt;"acoes")))*INDEX(Inputs!$K$5:$AJ$110,0,MATCH(T$2,Inputs!$K$4:$AJ$4,0)))+SUMPRODUCT((Inputs!$C$5:$C$110=$B11)*Inputs!$D$5:$D$110*(((Inputs!$G$5:$G$110="moeda")+(Inputs!$G$5:$G$110="acoes"))*Inputs!$B$1+((Inputs!$G$5:$G$110&lt;&gt;"moeda")*(Inputs!$G$5:$G$110&lt;&gt;"acoes")))*INDEX(Inputs!$K$5:$AJ$110,0,MATCH(T$2,Inputs!$K$4:$AJ$4,0)))+SUMPRODUCT((Inputs!$E$5:$E$110=$B11)*Inputs!$F$5:$F$110*(((Inputs!$G$5:$G$110="moeda")+(Inputs!$G$5:$G$110="acoes"))*Inputs!$B$1+((Inputs!$G$5:$G$110&lt;&gt;"moeda")*(Inputs!$G$5:$G$110&lt;&gt;"acoes")))*INDEX(Inputs!$K$5:$AJ$110,0,MATCH(T$2,Inputs!$K$4:$AJ$4,0)))))</f>
        <v>-443</v>
      </c>
      <c r="U11" s="6">
        <f>IF(ISNA(MATCH(U$2,Inputs!$K$4:$AJ$4,0)),NA(),IF(SUMPRODUCT((Inputs!$A$5:$A$110=$B11)*ISNUMBER(INDEX(Inputs!$K$5:$AJ$110,0,MATCH(U$2,Inputs!$K$4:$AJ$4,0))))+SUMPRODUCT((Inputs!$C$5:$C$110=$B11)*ISNUMBER(INDEX(Inputs!$K$5:$AJ$110,0,MATCH(U$2,Inputs!$K$4:$AJ$4,0))))+SUMPRODUCT((Inputs!$E$5:$E$110=$B11)*ISNUMBER(INDEX(Inputs!$K$5:$AJ$110,0,MATCH(U$2,Inputs!$K$4:$AJ$4,0))))=0,NA(),SUMPRODUCT((Inputs!$A$5:$A$110=$B11)*Inputs!$B$5:$B$110*(((Inputs!$G$5:$G$110="moeda")+(Inputs!$G$5:$G$110="acoes"))*Inputs!$B$1+((Inputs!$G$5:$G$110&lt;&gt;"moeda")*(Inputs!$G$5:$G$110&lt;&gt;"acoes")))*INDEX(Inputs!$K$5:$AJ$110,0,MATCH(U$2,Inputs!$K$4:$AJ$4,0)))+SUMPRODUCT((Inputs!$C$5:$C$110=$B11)*Inputs!$D$5:$D$110*(((Inputs!$G$5:$G$110="moeda")+(Inputs!$G$5:$G$110="acoes"))*Inputs!$B$1+((Inputs!$G$5:$G$110&lt;&gt;"moeda")*(Inputs!$G$5:$G$110&lt;&gt;"acoes")))*INDEX(Inputs!$K$5:$AJ$110,0,MATCH(U$2,Inputs!$K$4:$AJ$4,0)))+SUMPRODUCT((Inputs!$E$5:$E$110=$B11)*Inputs!$F$5:$F$110*(((Inputs!$G$5:$G$110="moeda")+(Inputs!$G$5:$G$110="acoes"))*Inputs!$B$1+((Inputs!$G$5:$G$110&lt;&gt;"moeda")*(Inputs!$G$5:$G$110&lt;&gt;"acoes")))*INDEX(Inputs!$K$5:$AJ$110,0,MATCH(U$2,Inputs!$K$4:$AJ$4,0)))))</f>
        <v>119</v>
      </c>
      <c r="V11" s="6">
        <f>IF(ISNA(MATCH(V$2,Inputs!$K$4:$AJ$4,0)),NA(),IF(SUMPRODUCT((Inputs!$A$5:$A$110=$B11)*ISNUMBER(INDEX(Inputs!$K$5:$AJ$110,0,MATCH(V$2,Inputs!$K$4:$AJ$4,0))))+SUMPRODUCT((Inputs!$C$5:$C$110=$B11)*ISNUMBER(INDEX(Inputs!$K$5:$AJ$110,0,MATCH(V$2,Inputs!$K$4:$AJ$4,0))))+SUMPRODUCT((Inputs!$E$5:$E$110=$B11)*ISNUMBER(INDEX(Inputs!$K$5:$AJ$110,0,MATCH(V$2,Inputs!$K$4:$AJ$4,0))))=0,NA(),SUMPRODUCT((Inputs!$A$5:$A$110=$B11)*Inputs!$B$5:$B$110*(((Inputs!$G$5:$G$110="moeda")+(Inputs!$G$5:$G$110="acoes"))*Inputs!$B$1+((Inputs!$G$5:$G$110&lt;&gt;"moeda")*(Inputs!$G$5:$G$110&lt;&gt;"acoes")))*INDEX(Inputs!$K$5:$AJ$110,0,MATCH(V$2,Inputs!$K$4:$AJ$4,0)))+SUMPRODUCT((Inputs!$C$5:$C$110=$B11)*Inputs!$D$5:$D$110*(((Inputs!$G$5:$G$110="moeda")+(Inputs!$G$5:$G$110="acoes"))*Inputs!$B$1+((Inputs!$G$5:$G$110&lt;&gt;"moeda")*(Inputs!$G$5:$G$110&lt;&gt;"acoes")))*INDEX(Inputs!$K$5:$AJ$110,0,MATCH(V$2,Inputs!$K$4:$AJ$4,0)))+SUMPRODUCT((Inputs!$E$5:$E$110=$B11)*Inputs!$F$5:$F$110*(((Inputs!$G$5:$G$110="moeda")+(Inputs!$G$5:$G$110="acoes"))*Inputs!$B$1+((Inputs!$G$5:$G$110&lt;&gt;"moeda")*(Inputs!$G$5:$G$110&lt;&gt;"acoes")))*INDEX(Inputs!$K$5:$AJ$110,0,MATCH(V$2,Inputs!$K$4:$AJ$4,0)))))</f>
        <v>0</v>
      </c>
      <c r="W11" s="3">
        <f>SUM(S11:V11)</f>
        <v>-324</v>
      </c>
      <c r="X11" s="6">
        <f>IF(ISNA(MATCH(X$2,Inputs!$K$4:$AJ$4,0)),NA(),IF(SUMPRODUCT((Inputs!$A$5:$A$110=$B11)*ISNUMBER(INDEX(Inputs!$K$5:$AJ$110,0,MATCH(X$2,Inputs!$K$4:$AJ$4,0))))+SUMPRODUCT((Inputs!$C$5:$C$110=$B11)*ISNUMBER(INDEX(Inputs!$K$5:$AJ$110,0,MATCH(X$2,Inputs!$K$4:$AJ$4,0))))+SUMPRODUCT((Inputs!$E$5:$E$110=$B11)*ISNUMBER(INDEX(Inputs!$K$5:$AJ$110,0,MATCH(X$2,Inputs!$K$4:$AJ$4,0))))=0,NA(),SUMPRODUCT((Inputs!$A$5:$A$110=$B11)*Inputs!$B$5:$B$110*(((Inputs!$G$5:$G$110="moeda")+(Inputs!$G$5:$G$110="acoes"))*Inputs!$B$1+((Inputs!$G$5:$G$110&lt;&gt;"moeda")*(Inputs!$G$5:$G$110&lt;&gt;"acoes")))*INDEX(Inputs!$K$5:$AJ$110,0,MATCH(X$2,Inputs!$K$4:$AJ$4,0)))+SUMPRODUCT((Inputs!$C$5:$C$110=$B11)*Inputs!$D$5:$D$110*(((Inputs!$G$5:$G$110="moeda")+(Inputs!$G$5:$G$110="acoes"))*Inputs!$B$1+((Inputs!$G$5:$G$110&lt;&gt;"moeda")*(Inputs!$G$5:$G$110&lt;&gt;"acoes")))*INDEX(Inputs!$K$5:$AJ$110,0,MATCH(X$2,Inputs!$K$4:$AJ$4,0)))+SUMPRODUCT((Inputs!$E$5:$E$110=$B11)*Inputs!$F$5:$F$110*(((Inputs!$G$5:$G$110="moeda")+(Inputs!$G$5:$G$110="acoes"))*Inputs!$B$1+((Inputs!$G$5:$G$110&lt;&gt;"moeda")*(Inputs!$G$5:$G$110&lt;&gt;"acoes")))*INDEX(Inputs!$K$5:$AJ$110,0,MATCH(X$2,Inputs!$K$4:$AJ$4,0)))))</f>
        <v>0</v>
      </c>
      <c r="Y11" s="6">
        <f>IF(ISNA(MATCH(Y$2,Inputs!$K$4:$AJ$4,0)),NA(),IF(SUMPRODUCT((Inputs!$A$5:$A$110=$B11)*ISNUMBER(INDEX(Inputs!$K$5:$AJ$110,0,MATCH(Y$2,Inputs!$K$4:$AJ$4,0))))+SUMPRODUCT((Inputs!$C$5:$C$110=$B11)*ISNUMBER(INDEX(Inputs!$K$5:$AJ$110,0,MATCH(Y$2,Inputs!$K$4:$AJ$4,0))))+SUMPRODUCT((Inputs!$E$5:$E$110=$B11)*ISNUMBER(INDEX(Inputs!$K$5:$AJ$110,0,MATCH(Y$2,Inputs!$K$4:$AJ$4,0))))=0,NA(),SUMPRODUCT((Inputs!$A$5:$A$110=$B11)*Inputs!$B$5:$B$110*(((Inputs!$G$5:$G$110="moeda")+(Inputs!$G$5:$G$110="acoes"))*Inputs!$B$1+((Inputs!$G$5:$G$110&lt;&gt;"moeda")*(Inputs!$G$5:$G$110&lt;&gt;"acoes")))*INDEX(Inputs!$K$5:$AJ$110,0,MATCH(Y$2,Inputs!$K$4:$AJ$4,0)))+SUMPRODUCT((Inputs!$C$5:$C$110=$B11)*Inputs!$D$5:$D$110*(((Inputs!$G$5:$G$110="moeda")+(Inputs!$G$5:$G$110="acoes"))*Inputs!$B$1+((Inputs!$G$5:$G$110&lt;&gt;"moeda")*(Inputs!$G$5:$G$110&lt;&gt;"acoes")))*INDEX(Inputs!$K$5:$AJ$110,0,MATCH(Y$2,Inputs!$K$4:$AJ$4,0)))+SUMPRODUCT((Inputs!$E$5:$E$110=$B11)*Inputs!$F$5:$F$110*(((Inputs!$G$5:$G$110="moeda")+(Inputs!$G$5:$G$110="acoes"))*Inputs!$B$1+((Inputs!$G$5:$G$110&lt;&gt;"moeda")*(Inputs!$G$5:$G$110&lt;&gt;"acoes")))*INDEX(Inputs!$K$5:$AJ$110,0,MATCH(Y$2,Inputs!$K$4:$AJ$4,0)))))</f>
        <v>0</v>
      </c>
      <c r="Z11" s="6">
        <f>IF(ISNA(MATCH(Z$2,Inputs!$K$4:$AJ$4,0)),NA(),IF(SUMPRODUCT((Inputs!$A$5:$A$110=$B11)*ISNUMBER(INDEX(Inputs!$K$5:$AJ$110,0,MATCH(Z$2,Inputs!$K$4:$AJ$4,0))))+SUMPRODUCT((Inputs!$C$5:$C$110=$B11)*ISNUMBER(INDEX(Inputs!$K$5:$AJ$110,0,MATCH(Z$2,Inputs!$K$4:$AJ$4,0))))+SUMPRODUCT((Inputs!$E$5:$E$110=$B11)*ISNUMBER(INDEX(Inputs!$K$5:$AJ$110,0,MATCH(Z$2,Inputs!$K$4:$AJ$4,0))))=0,NA(),SUMPRODUCT((Inputs!$A$5:$A$110=$B11)*Inputs!$B$5:$B$110*(((Inputs!$G$5:$G$110="moeda")+(Inputs!$G$5:$G$110="acoes"))*Inputs!$B$1+((Inputs!$G$5:$G$110&lt;&gt;"moeda")*(Inputs!$G$5:$G$110&lt;&gt;"acoes")))*INDEX(Inputs!$K$5:$AJ$110,0,MATCH(Z$2,Inputs!$K$4:$AJ$4,0)))+SUMPRODUCT((Inputs!$C$5:$C$110=$B11)*Inputs!$D$5:$D$110*(((Inputs!$G$5:$G$110="moeda")+(Inputs!$G$5:$G$110="acoes"))*Inputs!$B$1+((Inputs!$G$5:$G$110&lt;&gt;"moeda")*(Inputs!$G$5:$G$110&lt;&gt;"acoes")))*INDEX(Inputs!$K$5:$AJ$110,0,MATCH(Z$2,Inputs!$K$4:$AJ$4,0)))+SUMPRODUCT((Inputs!$E$5:$E$110=$B11)*Inputs!$F$5:$F$110*(((Inputs!$G$5:$G$110="moeda")+(Inputs!$G$5:$G$110="acoes"))*Inputs!$B$1+((Inputs!$G$5:$G$110&lt;&gt;"moeda")*(Inputs!$G$5:$G$110&lt;&gt;"acoes")))*INDEX(Inputs!$K$5:$AJ$110,0,MATCH(Z$2,Inputs!$K$4:$AJ$4,0)))))</f>
        <v>0</v>
      </c>
      <c r="AA11" s="6">
        <f>IF(ISNA(MATCH(AA$2,Inputs!$K$4:$AJ$4,0)),NA(),IF(SUMPRODUCT((Inputs!$A$5:$A$110=$B11)*ISNUMBER(INDEX(Inputs!$K$5:$AJ$110,0,MATCH(AA$2,Inputs!$K$4:$AJ$4,0))))+SUMPRODUCT((Inputs!$C$5:$C$110=$B11)*ISNUMBER(INDEX(Inputs!$K$5:$AJ$110,0,MATCH(AA$2,Inputs!$K$4:$AJ$4,0))))+SUMPRODUCT((Inputs!$E$5:$E$110=$B11)*ISNUMBER(INDEX(Inputs!$K$5:$AJ$110,0,MATCH(AA$2,Inputs!$K$4:$AJ$4,0))))=0,NA(),SUMPRODUCT((Inputs!$A$5:$A$110=$B11)*Inputs!$B$5:$B$110*(((Inputs!$G$5:$G$110="moeda")+(Inputs!$G$5:$G$110="acoes"))*Inputs!$B$1+((Inputs!$G$5:$G$110&lt;&gt;"moeda")*(Inputs!$G$5:$G$110&lt;&gt;"acoes")))*INDEX(Inputs!$K$5:$AJ$110,0,MATCH(AA$2,Inputs!$K$4:$AJ$4,0)))+SUMPRODUCT((Inputs!$C$5:$C$110=$B11)*Inputs!$D$5:$D$110*(((Inputs!$G$5:$G$110="moeda")+(Inputs!$G$5:$G$110="acoes"))*Inputs!$B$1+((Inputs!$G$5:$G$110&lt;&gt;"moeda")*(Inputs!$G$5:$G$110&lt;&gt;"acoes")))*INDEX(Inputs!$K$5:$AJ$110,0,MATCH(AA$2,Inputs!$K$4:$AJ$4,0)))+SUMPRODUCT((Inputs!$E$5:$E$110=$B11)*Inputs!$F$5:$F$110*(((Inputs!$G$5:$G$110="moeda")+(Inputs!$G$5:$G$110="acoes"))*Inputs!$B$1+((Inputs!$G$5:$G$110&lt;&gt;"moeda")*(Inputs!$G$5:$G$110&lt;&gt;"acoes")))*INDEX(Inputs!$K$5:$AJ$110,0,MATCH(AA$2,Inputs!$K$4:$AJ$4,0)))))</f>
        <v>0</v>
      </c>
      <c r="AB11" s="3">
        <f>SUM(X11:AA11)</f>
        <v>0</v>
      </c>
      <c r="AC11" s="6">
        <f>IF(ISNA(MATCH(AC$2,Inputs!$K$4:$AJ$4,0)),NA(),IF(SUMPRODUCT((Inputs!$A$5:$A$110=$B11)*ISNUMBER(INDEX(Inputs!$K$5:$AJ$110,0,MATCH(AC$2,Inputs!$K$4:$AJ$4,0))))+SUMPRODUCT((Inputs!$C$5:$C$110=$B11)*ISNUMBER(INDEX(Inputs!$K$5:$AJ$110,0,MATCH(AC$2,Inputs!$K$4:$AJ$4,0))))+SUMPRODUCT((Inputs!$E$5:$E$110=$B11)*ISNUMBER(INDEX(Inputs!$K$5:$AJ$110,0,MATCH(AC$2,Inputs!$K$4:$AJ$4,0))))=0,NA(),SUMPRODUCT((Inputs!$A$5:$A$110=$B11)*Inputs!$B$5:$B$110*(((Inputs!$G$5:$G$110="moeda")+(Inputs!$G$5:$G$110="acoes"))*Inputs!$B$1+((Inputs!$G$5:$G$110&lt;&gt;"moeda")*(Inputs!$G$5:$G$110&lt;&gt;"acoes")))*INDEX(Inputs!$K$5:$AJ$110,0,MATCH(AC$2,Inputs!$K$4:$AJ$4,0)))+SUMPRODUCT((Inputs!$C$5:$C$110=$B11)*Inputs!$D$5:$D$110*(((Inputs!$G$5:$G$110="moeda")+(Inputs!$G$5:$G$110="acoes"))*Inputs!$B$1+((Inputs!$G$5:$G$110&lt;&gt;"moeda")*(Inputs!$G$5:$G$110&lt;&gt;"acoes")))*INDEX(Inputs!$K$5:$AJ$110,0,MATCH(AC$2,Inputs!$K$4:$AJ$4,0)))+SUMPRODUCT((Inputs!$E$5:$E$110=$B11)*Inputs!$F$5:$F$110*(((Inputs!$G$5:$G$110="moeda")+(Inputs!$G$5:$G$110="acoes"))*Inputs!$B$1+((Inputs!$G$5:$G$110&lt;&gt;"moeda")*(Inputs!$G$5:$G$110&lt;&gt;"acoes")))*INDEX(Inputs!$K$5:$AJ$110,0,MATCH(AC$2,Inputs!$K$4:$AJ$4,0)))))</f>
        <v>0</v>
      </c>
      <c r="AD11" s="6">
        <f>IF(ISNA(MATCH(AD$2,Inputs!$K$4:$AJ$4,0)),NA(),IF(SUMPRODUCT((Inputs!$A$5:$A$110=$B11)*ISNUMBER(INDEX(Inputs!$K$5:$AJ$110,0,MATCH(AD$2,Inputs!$K$4:$AJ$4,0))))+SUMPRODUCT((Inputs!$C$5:$C$110=$B11)*ISNUMBER(INDEX(Inputs!$K$5:$AJ$110,0,MATCH(AD$2,Inputs!$K$4:$AJ$4,0))))+SUMPRODUCT((Inputs!$E$5:$E$110=$B11)*ISNUMBER(INDEX(Inputs!$K$5:$AJ$110,0,MATCH(AD$2,Inputs!$K$4:$AJ$4,0))))=0,NA(),SUMPRODUCT((Inputs!$A$5:$A$110=$B11)*Inputs!$B$5:$B$110*(((Inputs!$G$5:$G$110="moeda")+(Inputs!$G$5:$G$110="acoes"))*Inputs!$B$1+((Inputs!$G$5:$G$110&lt;&gt;"moeda")*(Inputs!$G$5:$G$110&lt;&gt;"acoes")))*INDEX(Inputs!$K$5:$AJ$110,0,MATCH(AD$2,Inputs!$K$4:$AJ$4,0)))+SUMPRODUCT((Inputs!$C$5:$C$110=$B11)*Inputs!$D$5:$D$110*(((Inputs!$G$5:$G$110="moeda")+(Inputs!$G$5:$G$110="acoes"))*Inputs!$B$1+((Inputs!$G$5:$G$110&lt;&gt;"moeda")*(Inputs!$G$5:$G$110&lt;&gt;"acoes")))*INDEX(Inputs!$K$5:$AJ$110,0,MATCH(AD$2,Inputs!$K$4:$AJ$4,0)))+SUMPRODUCT((Inputs!$E$5:$E$110=$B11)*Inputs!$F$5:$F$110*(((Inputs!$G$5:$G$110="moeda")+(Inputs!$G$5:$G$110="acoes"))*Inputs!$B$1+((Inputs!$G$5:$G$110&lt;&gt;"moeda")*(Inputs!$G$5:$G$110&lt;&gt;"acoes")))*INDEX(Inputs!$K$5:$AJ$110,0,MATCH(AD$2,Inputs!$K$4:$AJ$4,0)))))</f>
        <v>0</v>
      </c>
      <c r="AE11" s="6" t="e">
        <f>IF(ISNA(MATCH(AE$2,Inputs!$K$4:$AJ$4,0)),NA(),IF(SUMPRODUCT((Inputs!$A$5:$A$110=$B11)*ISNUMBER(INDEX(Inputs!$K$5:$AJ$110,0,MATCH(AE$2,Inputs!$K$4:$AJ$4,0))))+SUMPRODUCT((Inputs!$C$5:$C$110=$B11)*ISNUMBER(INDEX(Inputs!$K$5:$AJ$110,0,MATCH(AE$2,Inputs!$K$4:$AJ$4,0))))+SUMPRODUCT((Inputs!$E$5:$E$110=$B11)*ISNUMBER(INDEX(Inputs!$K$5:$AJ$110,0,MATCH(AE$2,Inputs!$K$4:$AJ$4,0))))=0,NA(),SUMPRODUCT((Inputs!$A$5:$A$110=$B11)*Inputs!$B$5:$B$110*(((Inputs!$G$5:$G$110="moeda")+(Inputs!$G$5:$G$110="acoes"))*Inputs!$B$1+((Inputs!$G$5:$G$110&lt;&gt;"moeda")*(Inputs!$G$5:$G$110&lt;&gt;"acoes")))*INDEX(Inputs!$K$5:$AJ$110,0,MATCH(AE$2,Inputs!$K$4:$AJ$4,0)))+SUMPRODUCT((Inputs!$C$5:$C$110=$B11)*Inputs!$D$5:$D$110*(((Inputs!$G$5:$G$110="moeda")+(Inputs!$G$5:$G$110="acoes"))*Inputs!$B$1+((Inputs!$G$5:$G$110&lt;&gt;"moeda")*(Inputs!$G$5:$G$110&lt;&gt;"acoes")))*INDEX(Inputs!$K$5:$AJ$110,0,MATCH(AE$2,Inputs!$K$4:$AJ$4,0)))+SUMPRODUCT((Inputs!$E$5:$E$110=$B11)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1" s="6" t="e">
        <f>IF(ISNA(MATCH(AF$2,Inputs!$K$4:$AJ$4,0)),NA(),IF(SUMPRODUCT((Inputs!$A$5:$A$110=$B11)*ISNUMBER(INDEX(Inputs!$K$5:$AJ$110,0,MATCH(AF$2,Inputs!$K$4:$AJ$4,0))))+SUMPRODUCT((Inputs!$C$5:$C$110=$B11)*ISNUMBER(INDEX(Inputs!$K$5:$AJ$110,0,MATCH(AF$2,Inputs!$K$4:$AJ$4,0))))+SUMPRODUCT((Inputs!$E$5:$E$110=$B11)*ISNUMBER(INDEX(Inputs!$K$5:$AJ$110,0,MATCH(AF$2,Inputs!$K$4:$AJ$4,0))))=0,NA(),SUMPRODUCT((Inputs!$A$5:$A$110=$B11)*Inputs!$B$5:$B$110*(((Inputs!$G$5:$G$110="moeda")+(Inputs!$G$5:$G$110="acoes"))*Inputs!$B$1+((Inputs!$G$5:$G$110&lt;&gt;"moeda")*(Inputs!$G$5:$G$110&lt;&gt;"acoes")))*INDEX(Inputs!$K$5:$AJ$110,0,MATCH(AF$2,Inputs!$K$4:$AJ$4,0)))+SUMPRODUCT((Inputs!$C$5:$C$110=$B11)*Inputs!$D$5:$D$110*(((Inputs!$G$5:$G$110="moeda")+(Inputs!$G$5:$G$110="acoes"))*Inputs!$B$1+((Inputs!$G$5:$G$110&lt;&gt;"moeda")*(Inputs!$G$5:$G$110&lt;&gt;"acoes")))*INDEX(Inputs!$K$5:$AJ$110,0,MATCH(AF$2,Inputs!$K$4:$AJ$4,0)))+SUMPRODUCT((Inputs!$E$5:$E$110=$B11)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1" s="3" t="e">
        <f>SUM(AC11:AF11)</f>
        <v>#N/A</v>
      </c>
      <c r="AH11" s="6">
        <f>IF(ISNA(MATCH(AH$2,Inputs!$K$4:$AJ$4,0)),NA(),IF(SUMPRODUCT((Inputs!$A$5:$A$110=$B11)*ISNUMBER(INDEX(Inputs!$K$5:$AJ$110,0,MATCH(AH$2,Inputs!$K$4:$AJ$4,0))))+SUMPRODUCT((Inputs!$C$5:$C$110=$B11)*ISNUMBER(INDEX(Inputs!$K$5:$AJ$110,0,MATCH(AH$2,Inputs!$K$4:$AJ$4,0))))+SUMPRODUCT((Inputs!$E$5:$E$110=$B11)*ISNUMBER(INDEX(Inputs!$K$5:$AJ$110,0,MATCH(AH$2,Inputs!$K$4:$AJ$4,0))))=0,NA(),SUMPRODUCT((Inputs!$A$5:$A$110=$B11)*Inputs!$B$5:$B$110*(((Inputs!$G$5:$G$110="moeda")+(Inputs!$G$5:$G$110="acoes"))*Inputs!$B$1+((Inputs!$G$5:$G$110&lt;&gt;"moeda")*(Inputs!$G$5:$G$110&lt;&gt;"acoes")))*INDEX(Inputs!$K$5:$AJ$110,0,MATCH(AH$2,Inputs!$K$4:$AJ$4,0)))+SUMPRODUCT((Inputs!$C$5:$C$110=$B11)*Inputs!$D$5:$D$110*(((Inputs!$G$5:$G$110="moeda")+(Inputs!$G$5:$G$110="acoes"))*Inputs!$B$1+((Inputs!$G$5:$G$110&lt;&gt;"moeda")*(Inputs!$G$5:$G$110&lt;&gt;"acoes")))*INDEX(Inputs!$K$5:$AJ$110,0,MATCH(AH$2,Inputs!$K$4:$AJ$4,0)))+SUMPRODUCT((Inputs!$E$5:$E$110=$B11)*Inputs!$F$5:$F$110*(((Inputs!$G$5:$G$110="moeda")+(Inputs!$G$5:$G$110="acoes"))*Inputs!$B$1+((Inputs!$G$5:$G$110&lt;&gt;"moeda")*(Inputs!$G$5:$G$110&lt;&gt;"acoes")))*INDEX(Inputs!$K$5:$AJ$110,0,MATCH(AH$2,Inputs!$K$4:$AJ$4,0)))))</f>
        <v>-80</v>
      </c>
      <c r="AI11" s="6">
        <f>IF(ISNA(MATCH(AI$2,Inputs!$K$4:$AJ$4,0)),NA(),IF(SUMPRODUCT((Inputs!$A$5:$A$110=$B11)*ISNUMBER(INDEX(Inputs!$K$5:$AJ$110,0,MATCH(AI$2,Inputs!$K$4:$AJ$4,0))))+SUMPRODUCT((Inputs!$C$5:$C$110=$B11)*ISNUMBER(INDEX(Inputs!$K$5:$AJ$110,0,MATCH(AI$2,Inputs!$K$4:$AJ$4,0))))+SUMPRODUCT((Inputs!$E$5:$E$110=$B11)*ISNUMBER(INDEX(Inputs!$K$5:$AJ$110,0,MATCH(AI$2,Inputs!$K$4:$AJ$4,0))))=0,NA(),SUMPRODUCT((Inputs!$A$5:$A$110=$B11)*Inputs!$B$5:$B$110*(((Inputs!$G$5:$G$110="moeda")+(Inputs!$G$5:$G$110="acoes"))*Inputs!$B$1+((Inputs!$G$5:$G$110&lt;&gt;"moeda")*(Inputs!$G$5:$G$110&lt;&gt;"acoes")))*INDEX(Inputs!$K$5:$AJ$110,0,MATCH(AI$2,Inputs!$K$4:$AJ$4,0)))+SUMPRODUCT((Inputs!$C$5:$C$110=$B11)*Inputs!$D$5:$D$110*(((Inputs!$G$5:$G$110="moeda")+(Inputs!$G$5:$G$110="acoes"))*Inputs!$B$1+((Inputs!$G$5:$G$110&lt;&gt;"moeda")*(Inputs!$G$5:$G$110&lt;&gt;"acoes")))*INDEX(Inputs!$K$5:$AJ$110,0,MATCH(AI$2,Inputs!$K$4:$AJ$4,0)))+SUMPRODUCT((Inputs!$E$5:$E$110=$B11)*Inputs!$F$5:$F$110*(((Inputs!$G$5:$G$110="moeda")+(Inputs!$G$5:$G$110="acoes"))*Inputs!$B$1+((Inputs!$G$5:$G$110&lt;&gt;"moeda")*(Inputs!$G$5:$G$110&lt;&gt;"acoes")))*INDEX(Inputs!$K$5:$AJ$110,0,MATCH(AI$2,Inputs!$K$4:$AJ$4,0)))))</f>
        <v>-75</v>
      </c>
      <c r="AJ11" s="6">
        <f>IF(ISNA(MATCH(AJ$2,Inputs!$K$4:$AJ$4,0)),NA(),IF(SUMPRODUCT((Inputs!$A$5:$A$110=$B11)*ISNUMBER(INDEX(Inputs!$K$5:$AJ$110,0,MATCH(AJ$2,Inputs!$K$4:$AJ$4,0))))+SUMPRODUCT((Inputs!$C$5:$C$110=$B11)*ISNUMBER(INDEX(Inputs!$K$5:$AJ$110,0,MATCH(AJ$2,Inputs!$K$4:$AJ$4,0))))+SUMPRODUCT((Inputs!$E$5:$E$110=$B11)*ISNUMBER(INDEX(Inputs!$K$5:$AJ$110,0,MATCH(AJ$2,Inputs!$K$4:$AJ$4,0))))=0,NA(),SUMPRODUCT((Inputs!$A$5:$A$110=$B11)*Inputs!$B$5:$B$110*(((Inputs!$G$5:$G$110="moeda")+(Inputs!$G$5:$G$110="acoes"))*Inputs!$B$1+((Inputs!$G$5:$G$110&lt;&gt;"moeda")*(Inputs!$G$5:$G$110&lt;&gt;"acoes")))*INDEX(Inputs!$K$5:$AJ$110,0,MATCH(AJ$2,Inputs!$K$4:$AJ$4,0)))+SUMPRODUCT((Inputs!$C$5:$C$110=$B11)*Inputs!$D$5:$D$110*(((Inputs!$G$5:$G$110="moeda")+(Inputs!$G$5:$G$110="acoes"))*Inputs!$B$1+((Inputs!$G$5:$G$110&lt;&gt;"moeda")*(Inputs!$G$5:$G$110&lt;&gt;"acoes")))*INDEX(Inputs!$K$5:$AJ$110,0,MATCH(AJ$2,Inputs!$K$4:$AJ$4,0)))+SUMPRODUCT((Inputs!$E$5:$E$110=$B11)*Inputs!$F$5:$F$110*(((Inputs!$G$5:$G$110="moeda")+(Inputs!$G$5:$G$110="acoes"))*Inputs!$B$1+((Inputs!$G$5:$G$110&lt;&gt;"moeda")*(Inputs!$G$5:$G$110&lt;&gt;"acoes")))*INDEX(Inputs!$K$5:$AJ$110,0,MATCH(AJ$2,Inputs!$K$4:$AJ$4,0)))))</f>
        <v>-74</v>
      </c>
      <c r="AK11" s="6">
        <f>IF(ISNA(MATCH(AK$2,Inputs!$K$4:$AJ$4,0)),NA(),IF(SUMPRODUCT((Inputs!$A$5:$A$110=$B11)*ISNUMBER(INDEX(Inputs!$K$5:$AJ$110,0,MATCH(AK$2,Inputs!$K$4:$AJ$4,0))))+SUMPRODUCT((Inputs!$C$5:$C$110=$B11)*ISNUMBER(INDEX(Inputs!$K$5:$AJ$110,0,MATCH(AK$2,Inputs!$K$4:$AJ$4,0))))+SUMPRODUCT((Inputs!$E$5:$E$110=$B11)*ISNUMBER(INDEX(Inputs!$K$5:$AJ$110,0,MATCH(AK$2,Inputs!$K$4:$AJ$4,0))))=0,NA(),SUMPRODUCT((Inputs!$A$5:$A$110=$B11)*Inputs!$B$5:$B$110*(((Inputs!$G$5:$G$110="moeda")+(Inputs!$G$5:$G$110="acoes"))*Inputs!$B$1+((Inputs!$G$5:$G$110&lt;&gt;"moeda")*(Inputs!$G$5:$G$110&lt;&gt;"acoes")))*INDEX(Inputs!$K$5:$AJ$110,0,MATCH(AK$2,Inputs!$K$4:$AJ$4,0)))+SUMPRODUCT((Inputs!$C$5:$C$110=$B11)*Inputs!$D$5:$D$110*(((Inputs!$G$5:$G$110="moeda")+(Inputs!$G$5:$G$110="acoes"))*Inputs!$B$1+((Inputs!$G$5:$G$110&lt;&gt;"moeda")*(Inputs!$G$5:$G$110&lt;&gt;"acoes")))*INDEX(Inputs!$K$5:$AJ$110,0,MATCH(AK$2,Inputs!$K$4:$AJ$4,0)))+SUMPRODUCT((Inputs!$E$5:$E$110=$B11)*Inputs!$F$5:$F$110*(((Inputs!$G$5:$G$110="moeda")+(Inputs!$G$5:$G$110="acoes"))*Inputs!$B$1+((Inputs!$G$5:$G$110&lt;&gt;"moeda")*(Inputs!$G$5:$G$110&lt;&gt;"acoes")))*INDEX(Inputs!$K$5:$AJ$110,0,MATCH(AK$2,Inputs!$K$4:$AJ$4,0)))))</f>
        <v>-74</v>
      </c>
      <c r="AL11" s="3">
        <f>SUM(AH11:AK11)</f>
        <v>-303</v>
      </c>
    </row>
    <row r="12">
      <c r="B12" s="46" t="n">
        <v>9</v>
      </c>
      <c r="C12" s="26" t="inlineStr">
        <is>
          <t>Minority Interest Expense, after tax (enter as - )</t>
        </is>
      </c>
      <c r="D12" s="6">
        <f>IF(ISNA(MATCH(D$2,Inputs!$K$4:$AJ$4,0)),NA(),IF(SUMPRODUCT((Inputs!$A$5:$A$110=$B12)*ISNUMBER(INDEX(Inputs!$K$5:$AJ$110,0,MATCH(D$2,Inputs!$K$4:$AJ$4,0))))+SUMPRODUCT((Inputs!$C$5:$C$110=$B12)*ISNUMBER(INDEX(Inputs!$K$5:$AJ$110,0,MATCH(D$2,Inputs!$K$4:$AJ$4,0))))+SUMPRODUCT((Inputs!$E$5:$E$110=$B12)*ISNUMBER(INDEX(Inputs!$K$5:$AJ$110,0,MATCH(D$2,Inputs!$K$4:$AJ$4,0))))=0,NA(),SUMPRODUCT((Inputs!$A$5:$A$110=$B12)*Inputs!$B$5:$B$110*(((Inputs!$G$5:$G$110="moeda")+(Inputs!$G$5:$G$110="acoes"))*Inputs!$B$1+((Inputs!$G$5:$G$110&lt;&gt;"moeda")*(Inputs!$G$5:$G$110&lt;&gt;"acoes")))*INDEX(Inputs!$K$5:$AJ$110,0,MATCH(D$2,Inputs!$K$4:$AJ$4,0)))+SUMPRODUCT((Inputs!$C$5:$C$110=$B12)*Inputs!$D$5:$D$110*(((Inputs!$G$5:$G$110="moeda")+(Inputs!$G$5:$G$110="acoes"))*Inputs!$B$1+((Inputs!$G$5:$G$110&lt;&gt;"moeda")*(Inputs!$G$5:$G$110&lt;&gt;"acoes")))*INDEX(Inputs!$K$5:$AJ$110,0,MATCH(D$2,Inputs!$K$4:$AJ$4,0)))+SUMPRODUCT((Inputs!$E$5:$E$110=$B12)*Inputs!$F$5:$F$110*(((Inputs!$G$5:$G$110="moeda")+(Inputs!$G$5:$G$110="acoes"))*Inputs!$B$1+((Inputs!$G$5:$G$110&lt;&gt;"moeda")*(Inputs!$G$5:$G$110&lt;&gt;"acoes")))*INDEX(Inputs!$K$5:$AJ$110,0,MATCH(D$2,Inputs!$K$4:$AJ$4,0)))))</f>
        <v>0</v>
      </c>
      <c r="E12" s="6">
        <f>IF(ISNA(MATCH(E$2,Inputs!$K$4:$AJ$4,0)),NA(),IF(SUMPRODUCT((Inputs!$A$5:$A$110=$B12)*ISNUMBER(INDEX(Inputs!$K$5:$AJ$110,0,MATCH(E$2,Inputs!$K$4:$AJ$4,0))))+SUMPRODUCT((Inputs!$C$5:$C$110=$B12)*ISNUMBER(INDEX(Inputs!$K$5:$AJ$110,0,MATCH(E$2,Inputs!$K$4:$AJ$4,0))))+SUMPRODUCT((Inputs!$E$5:$E$110=$B12)*ISNUMBER(INDEX(Inputs!$K$5:$AJ$110,0,MATCH(E$2,Inputs!$K$4:$AJ$4,0))))=0,NA(),SUMPRODUCT((Inputs!$A$5:$A$110=$B12)*Inputs!$B$5:$B$110*(((Inputs!$G$5:$G$110="moeda")+(Inputs!$G$5:$G$110="acoes"))*Inputs!$B$1+((Inputs!$G$5:$G$110&lt;&gt;"moeda")*(Inputs!$G$5:$G$110&lt;&gt;"acoes")))*INDEX(Inputs!$K$5:$AJ$110,0,MATCH(E$2,Inputs!$K$4:$AJ$4,0)))+SUMPRODUCT((Inputs!$C$5:$C$110=$B12)*Inputs!$D$5:$D$110*(((Inputs!$G$5:$G$110="moeda")+(Inputs!$G$5:$G$110="acoes"))*Inputs!$B$1+((Inputs!$G$5:$G$110&lt;&gt;"moeda")*(Inputs!$G$5:$G$110&lt;&gt;"acoes")))*INDEX(Inputs!$K$5:$AJ$110,0,MATCH(E$2,Inputs!$K$4:$AJ$4,0)))+SUMPRODUCT((Inputs!$E$5:$E$110=$B12)*Inputs!$F$5:$F$110*(((Inputs!$G$5:$G$110="moeda")+(Inputs!$G$5:$G$110="acoes"))*Inputs!$B$1+((Inputs!$G$5:$G$110&lt;&gt;"moeda")*(Inputs!$G$5:$G$110&lt;&gt;"acoes")))*INDEX(Inputs!$K$5:$AJ$110,0,MATCH(E$2,Inputs!$K$4:$AJ$4,0)))))</f>
        <v>0</v>
      </c>
      <c r="F12" s="6">
        <f>IF(ISNA(MATCH(F$2,Inputs!$K$4:$AJ$4,0)),NA(),IF(SUMPRODUCT((Inputs!$A$5:$A$110=$B12)*ISNUMBER(INDEX(Inputs!$K$5:$AJ$110,0,MATCH(F$2,Inputs!$K$4:$AJ$4,0))))+SUMPRODUCT((Inputs!$C$5:$C$110=$B12)*ISNUMBER(INDEX(Inputs!$K$5:$AJ$110,0,MATCH(F$2,Inputs!$K$4:$AJ$4,0))))+SUMPRODUCT((Inputs!$E$5:$E$110=$B12)*ISNUMBER(INDEX(Inputs!$K$5:$AJ$110,0,MATCH(F$2,Inputs!$K$4:$AJ$4,0))))=0,NA(),SUMPRODUCT((Inputs!$A$5:$A$110=$B12)*Inputs!$B$5:$B$110*(((Inputs!$G$5:$G$110="moeda")+(Inputs!$G$5:$G$110="acoes"))*Inputs!$B$1+((Inputs!$G$5:$G$110&lt;&gt;"moeda")*(Inputs!$G$5:$G$110&lt;&gt;"acoes")))*INDEX(Inputs!$K$5:$AJ$110,0,MATCH(F$2,Inputs!$K$4:$AJ$4,0)))+SUMPRODUCT((Inputs!$C$5:$C$110=$B12)*Inputs!$D$5:$D$110*(((Inputs!$G$5:$G$110="moeda")+(Inputs!$G$5:$G$110="acoes"))*Inputs!$B$1+((Inputs!$G$5:$G$110&lt;&gt;"moeda")*(Inputs!$G$5:$G$110&lt;&gt;"acoes")))*INDEX(Inputs!$K$5:$AJ$110,0,MATCH(F$2,Inputs!$K$4:$AJ$4,0)))+SUMPRODUCT((Inputs!$E$5:$E$110=$B12)*Inputs!$F$5:$F$110*(((Inputs!$G$5:$G$110="moeda")+(Inputs!$G$5:$G$110="acoes"))*Inputs!$B$1+((Inputs!$G$5:$G$110&lt;&gt;"moeda")*(Inputs!$G$5:$G$110&lt;&gt;"acoes")))*INDEX(Inputs!$K$5:$AJ$110,0,MATCH(F$2,Inputs!$K$4:$AJ$4,0)))))</f>
        <v>0</v>
      </c>
      <c r="G12" s="6">
        <f>IF(ISNA(MATCH(G$2,Inputs!$K$4:$AJ$4,0)),NA(),IF(SUMPRODUCT((Inputs!$A$5:$A$110=$B12)*ISNUMBER(INDEX(Inputs!$K$5:$AJ$110,0,MATCH(G$2,Inputs!$K$4:$AJ$4,0))))+SUMPRODUCT((Inputs!$C$5:$C$110=$B12)*ISNUMBER(INDEX(Inputs!$K$5:$AJ$110,0,MATCH(G$2,Inputs!$K$4:$AJ$4,0))))+SUMPRODUCT((Inputs!$E$5:$E$110=$B12)*ISNUMBER(INDEX(Inputs!$K$5:$AJ$110,0,MATCH(G$2,Inputs!$K$4:$AJ$4,0))))=0,NA(),SUMPRODUCT((Inputs!$A$5:$A$110=$B12)*Inputs!$B$5:$B$110*(((Inputs!$G$5:$G$110="moeda")+(Inputs!$G$5:$G$110="acoes"))*Inputs!$B$1+((Inputs!$G$5:$G$110&lt;&gt;"moeda")*(Inputs!$G$5:$G$110&lt;&gt;"acoes")))*INDEX(Inputs!$K$5:$AJ$110,0,MATCH(G$2,Inputs!$K$4:$AJ$4,0)))+SUMPRODUCT((Inputs!$C$5:$C$110=$B12)*Inputs!$D$5:$D$110*(((Inputs!$G$5:$G$110="moeda")+(Inputs!$G$5:$G$110="acoes"))*Inputs!$B$1+((Inputs!$G$5:$G$110&lt;&gt;"moeda")*(Inputs!$G$5:$G$110&lt;&gt;"acoes")))*INDEX(Inputs!$K$5:$AJ$110,0,MATCH(G$2,Inputs!$K$4:$AJ$4,0)))+SUMPRODUCT((Inputs!$E$5:$E$110=$B12)*Inputs!$F$5:$F$110*(((Inputs!$G$5:$G$110="moeda")+(Inputs!$G$5:$G$110="acoes"))*Inputs!$B$1+((Inputs!$G$5:$G$110&lt;&gt;"moeda")*(Inputs!$G$5:$G$110&lt;&gt;"acoes")))*INDEX(Inputs!$K$5:$AJ$110,0,MATCH(G$2,Inputs!$K$4:$AJ$4,0)))))</f>
        <v>0</v>
      </c>
      <c r="H12" s="3">
        <f>SUM(D12:G12)</f>
        <v>0</v>
      </c>
      <c r="I12" s="6">
        <f>IF(ISNA(MATCH(I$2,Inputs!$K$4:$AJ$4,0)),NA(),IF(SUMPRODUCT((Inputs!$A$5:$A$110=$B12)*ISNUMBER(INDEX(Inputs!$K$5:$AJ$110,0,MATCH(I$2,Inputs!$K$4:$AJ$4,0))))+SUMPRODUCT((Inputs!$C$5:$C$110=$B12)*ISNUMBER(INDEX(Inputs!$K$5:$AJ$110,0,MATCH(I$2,Inputs!$K$4:$AJ$4,0))))+SUMPRODUCT((Inputs!$E$5:$E$110=$B12)*ISNUMBER(INDEX(Inputs!$K$5:$AJ$110,0,MATCH(I$2,Inputs!$K$4:$AJ$4,0))))=0,NA(),SUMPRODUCT((Inputs!$A$5:$A$110=$B12)*Inputs!$B$5:$B$110*(((Inputs!$G$5:$G$110="moeda")+(Inputs!$G$5:$G$110="acoes"))*Inputs!$B$1+((Inputs!$G$5:$G$110&lt;&gt;"moeda")*(Inputs!$G$5:$G$110&lt;&gt;"acoes")))*INDEX(Inputs!$K$5:$AJ$110,0,MATCH(I$2,Inputs!$K$4:$AJ$4,0)))+SUMPRODUCT((Inputs!$C$5:$C$110=$B12)*Inputs!$D$5:$D$110*(((Inputs!$G$5:$G$110="moeda")+(Inputs!$G$5:$G$110="acoes"))*Inputs!$B$1+((Inputs!$G$5:$G$110&lt;&gt;"moeda")*(Inputs!$G$5:$G$110&lt;&gt;"acoes")))*INDEX(Inputs!$K$5:$AJ$110,0,MATCH(I$2,Inputs!$K$4:$AJ$4,0)))+SUMPRODUCT((Inputs!$E$5:$E$110=$B12)*Inputs!$F$5:$F$110*(((Inputs!$G$5:$G$110="moeda")+(Inputs!$G$5:$G$110="acoes"))*Inputs!$B$1+((Inputs!$G$5:$G$110&lt;&gt;"moeda")*(Inputs!$G$5:$G$110&lt;&gt;"acoes")))*INDEX(Inputs!$K$5:$AJ$110,0,MATCH(I$2,Inputs!$K$4:$AJ$4,0)))))</f>
        <v>0</v>
      </c>
      <c r="J12" s="6">
        <f>IF(ISNA(MATCH(J$2,Inputs!$K$4:$AJ$4,0)),NA(),IF(SUMPRODUCT((Inputs!$A$5:$A$110=$B12)*ISNUMBER(INDEX(Inputs!$K$5:$AJ$110,0,MATCH(J$2,Inputs!$K$4:$AJ$4,0))))+SUMPRODUCT((Inputs!$C$5:$C$110=$B12)*ISNUMBER(INDEX(Inputs!$K$5:$AJ$110,0,MATCH(J$2,Inputs!$K$4:$AJ$4,0))))+SUMPRODUCT((Inputs!$E$5:$E$110=$B12)*ISNUMBER(INDEX(Inputs!$K$5:$AJ$110,0,MATCH(J$2,Inputs!$K$4:$AJ$4,0))))=0,NA(),SUMPRODUCT((Inputs!$A$5:$A$110=$B12)*Inputs!$B$5:$B$110*(((Inputs!$G$5:$G$110="moeda")+(Inputs!$G$5:$G$110="acoes"))*Inputs!$B$1+((Inputs!$G$5:$G$110&lt;&gt;"moeda")*(Inputs!$G$5:$G$110&lt;&gt;"acoes")))*INDEX(Inputs!$K$5:$AJ$110,0,MATCH(J$2,Inputs!$K$4:$AJ$4,0)))+SUMPRODUCT((Inputs!$C$5:$C$110=$B12)*Inputs!$D$5:$D$110*(((Inputs!$G$5:$G$110="moeda")+(Inputs!$G$5:$G$110="acoes"))*Inputs!$B$1+((Inputs!$G$5:$G$110&lt;&gt;"moeda")*(Inputs!$G$5:$G$110&lt;&gt;"acoes")))*INDEX(Inputs!$K$5:$AJ$110,0,MATCH(J$2,Inputs!$K$4:$AJ$4,0)))+SUMPRODUCT((Inputs!$E$5:$E$110=$B12)*Inputs!$F$5:$F$110*(((Inputs!$G$5:$G$110="moeda")+(Inputs!$G$5:$G$110="acoes"))*Inputs!$B$1+((Inputs!$G$5:$G$110&lt;&gt;"moeda")*(Inputs!$G$5:$G$110&lt;&gt;"acoes")))*INDEX(Inputs!$K$5:$AJ$110,0,MATCH(J$2,Inputs!$K$4:$AJ$4,0)))))</f>
        <v>0</v>
      </c>
      <c r="K12" s="6">
        <f>IF(ISNA(MATCH(K$2,Inputs!$K$4:$AJ$4,0)),NA(),IF(SUMPRODUCT((Inputs!$A$5:$A$110=$B12)*ISNUMBER(INDEX(Inputs!$K$5:$AJ$110,0,MATCH(K$2,Inputs!$K$4:$AJ$4,0))))+SUMPRODUCT((Inputs!$C$5:$C$110=$B12)*ISNUMBER(INDEX(Inputs!$K$5:$AJ$110,0,MATCH(K$2,Inputs!$K$4:$AJ$4,0))))+SUMPRODUCT((Inputs!$E$5:$E$110=$B12)*ISNUMBER(INDEX(Inputs!$K$5:$AJ$110,0,MATCH(K$2,Inputs!$K$4:$AJ$4,0))))=0,NA(),SUMPRODUCT((Inputs!$A$5:$A$110=$B12)*Inputs!$B$5:$B$110*(((Inputs!$G$5:$G$110="moeda")+(Inputs!$G$5:$G$110="acoes"))*Inputs!$B$1+((Inputs!$G$5:$G$110&lt;&gt;"moeda")*(Inputs!$G$5:$G$110&lt;&gt;"acoes")))*INDEX(Inputs!$K$5:$AJ$110,0,MATCH(K$2,Inputs!$K$4:$AJ$4,0)))+SUMPRODUCT((Inputs!$C$5:$C$110=$B12)*Inputs!$D$5:$D$110*(((Inputs!$G$5:$G$110="moeda")+(Inputs!$G$5:$G$110="acoes"))*Inputs!$B$1+((Inputs!$G$5:$G$110&lt;&gt;"moeda")*(Inputs!$G$5:$G$110&lt;&gt;"acoes")))*INDEX(Inputs!$K$5:$AJ$110,0,MATCH(K$2,Inputs!$K$4:$AJ$4,0)))+SUMPRODUCT((Inputs!$E$5:$E$110=$B12)*Inputs!$F$5:$F$110*(((Inputs!$G$5:$G$110="moeda")+(Inputs!$G$5:$G$110="acoes"))*Inputs!$B$1+((Inputs!$G$5:$G$110&lt;&gt;"moeda")*(Inputs!$G$5:$G$110&lt;&gt;"acoes")))*INDEX(Inputs!$K$5:$AJ$110,0,MATCH(K$2,Inputs!$K$4:$AJ$4,0)))))</f>
        <v>0</v>
      </c>
      <c r="L12" s="6">
        <f>IF(ISNA(MATCH(L$2,Inputs!$K$4:$AJ$4,0)),NA(),IF(SUMPRODUCT((Inputs!$A$5:$A$110=$B12)*ISNUMBER(INDEX(Inputs!$K$5:$AJ$110,0,MATCH(L$2,Inputs!$K$4:$AJ$4,0))))+SUMPRODUCT((Inputs!$C$5:$C$110=$B12)*ISNUMBER(INDEX(Inputs!$K$5:$AJ$110,0,MATCH(L$2,Inputs!$K$4:$AJ$4,0))))+SUMPRODUCT((Inputs!$E$5:$E$110=$B12)*ISNUMBER(INDEX(Inputs!$K$5:$AJ$110,0,MATCH(L$2,Inputs!$K$4:$AJ$4,0))))=0,NA(),SUMPRODUCT((Inputs!$A$5:$A$110=$B12)*Inputs!$B$5:$B$110*(((Inputs!$G$5:$G$110="moeda")+(Inputs!$G$5:$G$110="acoes"))*Inputs!$B$1+((Inputs!$G$5:$G$110&lt;&gt;"moeda")*(Inputs!$G$5:$G$110&lt;&gt;"acoes")))*INDEX(Inputs!$K$5:$AJ$110,0,MATCH(L$2,Inputs!$K$4:$AJ$4,0)))+SUMPRODUCT((Inputs!$C$5:$C$110=$B12)*Inputs!$D$5:$D$110*(((Inputs!$G$5:$G$110="moeda")+(Inputs!$G$5:$G$110="acoes"))*Inputs!$B$1+((Inputs!$G$5:$G$110&lt;&gt;"moeda")*(Inputs!$G$5:$G$110&lt;&gt;"acoes")))*INDEX(Inputs!$K$5:$AJ$110,0,MATCH(L$2,Inputs!$K$4:$AJ$4,0)))+SUMPRODUCT((Inputs!$E$5:$E$110=$B12)*Inputs!$F$5:$F$110*(((Inputs!$G$5:$G$110="moeda")+(Inputs!$G$5:$G$110="acoes"))*Inputs!$B$1+((Inputs!$G$5:$G$110&lt;&gt;"moeda")*(Inputs!$G$5:$G$110&lt;&gt;"acoes")))*INDEX(Inputs!$K$5:$AJ$110,0,MATCH(L$2,Inputs!$K$4:$AJ$4,0)))))</f>
        <v>0</v>
      </c>
      <c r="M12" s="3">
        <f>SUM(I12:L12)</f>
        <v>0</v>
      </c>
      <c r="N12" s="6">
        <f>IF(ISNA(MATCH(N$2,Inputs!$K$4:$AJ$4,0)),NA(),IF(SUMPRODUCT((Inputs!$A$5:$A$110=$B12)*ISNUMBER(INDEX(Inputs!$K$5:$AJ$110,0,MATCH(N$2,Inputs!$K$4:$AJ$4,0))))+SUMPRODUCT((Inputs!$C$5:$C$110=$B12)*ISNUMBER(INDEX(Inputs!$K$5:$AJ$110,0,MATCH(N$2,Inputs!$K$4:$AJ$4,0))))+SUMPRODUCT((Inputs!$E$5:$E$110=$B12)*ISNUMBER(INDEX(Inputs!$K$5:$AJ$110,0,MATCH(N$2,Inputs!$K$4:$AJ$4,0))))=0,NA(),SUMPRODUCT((Inputs!$A$5:$A$110=$B12)*Inputs!$B$5:$B$110*(((Inputs!$G$5:$G$110="moeda")+(Inputs!$G$5:$G$110="acoes"))*Inputs!$B$1+((Inputs!$G$5:$G$110&lt;&gt;"moeda")*(Inputs!$G$5:$G$110&lt;&gt;"acoes")))*INDEX(Inputs!$K$5:$AJ$110,0,MATCH(N$2,Inputs!$K$4:$AJ$4,0)))+SUMPRODUCT((Inputs!$C$5:$C$110=$B12)*Inputs!$D$5:$D$110*(((Inputs!$G$5:$G$110="moeda")+(Inputs!$G$5:$G$110="acoes"))*Inputs!$B$1+((Inputs!$G$5:$G$110&lt;&gt;"moeda")*(Inputs!$G$5:$G$110&lt;&gt;"acoes")))*INDEX(Inputs!$K$5:$AJ$110,0,MATCH(N$2,Inputs!$K$4:$AJ$4,0)))+SUMPRODUCT((Inputs!$E$5:$E$110=$B12)*Inputs!$F$5:$F$110*(((Inputs!$G$5:$G$110="moeda")+(Inputs!$G$5:$G$110="acoes"))*Inputs!$B$1+((Inputs!$G$5:$G$110&lt;&gt;"moeda")*(Inputs!$G$5:$G$110&lt;&gt;"acoes")))*INDEX(Inputs!$K$5:$AJ$110,0,MATCH(N$2,Inputs!$K$4:$AJ$4,0)))))</f>
        <v>0</v>
      </c>
      <c r="O12" s="6">
        <f>IF(ISNA(MATCH(O$2,Inputs!$K$4:$AJ$4,0)),NA(),IF(SUMPRODUCT((Inputs!$A$5:$A$110=$B12)*ISNUMBER(INDEX(Inputs!$K$5:$AJ$110,0,MATCH(O$2,Inputs!$K$4:$AJ$4,0))))+SUMPRODUCT((Inputs!$C$5:$C$110=$B12)*ISNUMBER(INDEX(Inputs!$K$5:$AJ$110,0,MATCH(O$2,Inputs!$K$4:$AJ$4,0))))+SUMPRODUCT((Inputs!$E$5:$E$110=$B12)*ISNUMBER(INDEX(Inputs!$K$5:$AJ$110,0,MATCH(O$2,Inputs!$K$4:$AJ$4,0))))=0,NA(),SUMPRODUCT((Inputs!$A$5:$A$110=$B12)*Inputs!$B$5:$B$110*(((Inputs!$G$5:$G$110="moeda")+(Inputs!$G$5:$G$110="acoes"))*Inputs!$B$1+((Inputs!$G$5:$G$110&lt;&gt;"moeda")*(Inputs!$G$5:$G$110&lt;&gt;"acoes")))*INDEX(Inputs!$K$5:$AJ$110,0,MATCH(O$2,Inputs!$K$4:$AJ$4,0)))+SUMPRODUCT((Inputs!$C$5:$C$110=$B12)*Inputs!$D$5:$D$110*(((Inputs!$G$5:$G$110="moeda")+(Inputs!$G$5:$G$110="acoes"))*Inputs!$B$1+((Inputs!$G$5:$G$110&lt;&gt;"moeda")*(Inputs!$G$5:$G$110&lt;&gt;"acoes")))*INDEX(Inputs!$K$5:$AJ$110,0,MATCH(O$2,Inputs!$K$4:$AJ$4,0)))+SUMPRODUCT((Inputs!$E$5:$E$110=$B12)*Inputs!$F$5:$F$110*(((Inputs!$G$5:$G$110="moeda")+(Inputs!$G$5:$G$110="acoes"))*Inputs!$B$1+((Inputs!$G$5:$G$110&lt;&gt;"moeda")*(Inputs!$G$5:$G$110&lt;&gt;"acoes")))*INDEX(Inputs!$K$5:$AJ$110,0,MATCH(O$2,Inputs!$K$4:$AJ$4,0)))))</f>
        <v>0</v>
      </c>
      <c r="P12" s="6">
        <f>IF(ISNA(MATCH(P$2,Inputs!$K$4:$AJ$4,0)),NA(),IF(SUMPRODUCT((Inputs!$A$5:$A$110=$B12)*ISNUMBER(INDEX(Inputs!$K$5:$AJ$110,0,MATCH(P$2,Inputs!$K$4:$AJ$4,0))))+SUMPRODUCT((Inputs!$C$5:$C$110=$B12)*ISNUMBER(INDEX(Inputs!$K$5:$AJ$110,0,MATCH(P$2,Inputs!$K$4:$AJ$4,0))))+SUMPRODUCT((Inputs!$E$5:$E$110=$B12)*ISNUMBER(INDEX(Inputs!$K$5:$AJ$110,0,MATCH(P$2,Inputs!$K$4:$AJ$4,0))))=0,NA(),SUMPRODUCT((Inputs!$A$5:$A$110=$B12)*Inputs!$B$5:$B$110*(((Inputs!$G$5:$G$110="moeda")+(Inputs!$G$5:$G$110="acoes"))*Inputs!$B$1+((Inputs!$G$5:$G$110&lt;&gt;"moeda")*(Inputs!$G$5:$G$110&lt;&gt;"acoes")))*INDEX(Inputs!$K$5:$AJ$110,0,MATCH(P$2,Inputs!$K$4:$AJ$4,0)))+SUMPRODUCT((Inputs!$C$5:$C$110=$B12)*Inputs!$D$5:$D$110*(((Inputs!$G$5:$G$110="moeda")+(Inputs!$G$5:$G$110="acoes"))*Inputs!$B$1+((Inputs!$G$5:$G$110&lt;&gt;"moeda")*(Inputs!$G$5:$G$110&lt;&gt;"acoes")))*INDEX(Inputs!$K$5:$AJ$110,0,MATCH(P$2,Inputs!$K$4:$AJ$4,0)))+SUMPRODUCT((Inputs!$E$5:$E$110=$B12)*Inputs!$F$5:$F$110*(((Inputs!$G$5:$G$110="moeda")+(Inputs!$G$5:$G$110="acoes"))*Inputs!$B$1+((Inputs!$G$5:$G$110&lt;&gt;"moeda")*(Inputs!$G$5:$G$110&lt;&gt;"acoes")))*INDEX(Inputs!$K$5:$AJ$110,0,MATCH(P$2,Inputs!$K$4:$AJ$4,0)))))</f>
        <v>0</v>
      </c>
      <c r="Q12" s="6">
        <f>IF(ISNA(MATCH(Q$2,Inputs!$K$4:$AJ$4,0)),NA(),IF(SUMPRODUCT((Inputs!$A$5:$A$110=$B12)*ISNUMBER(INDEX(Inputs!$K$5:$AJ$110,0,MATCH(Q$2,Inputs!$K$4:$AJ$4,0))))+SUMPRODUCT((Inputs!$C$5:$C$110=$B12)*ISNUMBER(INDEX(Inputs!$K$5:$AJ$110,0,MATCH(Q$2,Inputs!$K$4:$AJ$4,0))))+SUMPRODUCT((Inputs!$E$5:$E$110=$B12)*ISNUMBER(INDEX(Inputs!$K$5:$AJ$110,0,MATCH(Q$2,Inputs!$K$4:$AJ$4,0))))=0,NA(),SUMPRODUCT((Inputs!$A$5:$A$110=$B12)*Inputs!$B$5:$B$110*(((Inputs!$G$5:$G$110="moeda")+(Inputs!$G$5:$G$110="acoes"))*Inputs!$B$1+((Inputs!$G$5:$G$110&lt;&gt;"moeda")*(Inputs!$G$5:$G$110&lt;&gt;"acoes")))*INDEX(Inputs!$K$5:$AJ$110,0,MATCH(Q$2,Inputs!$K$4:$AJ$4,0)))+SUMPRODUCT((Inputs!$C$5:$C$110=$B12)*Inputs!$D$5:$D$110*(((Inputs!$G$5:$G$110="moeda")+(Inputs!$G$5:$G$110="acoes"))*Inputs!$B$1+((Inputs!$G$5:$G$110&lt;&gt;"moeda")*(Inputs!$G$5:$G$110&lt;&gt;"acoes")))*INDEX(Inputs!$K$5:$AJ$110,0,MATCH(Q$2,Inputs!$K$4:$AJ$4,0)))+SUMPRODUCT((Inputs!$E$5:$E$110=$B12)*Inputs!$F$5:$F$110*(((Inputs!$G$5:$G$110="moeda")+(Inputs!$G$5:$G$110="acoes"))*Inputs!$B$1+((Inputs!$G$5:$G$110&lt;&gt;"moeda")*(Inputs!$G$5:$G$110&lt;&gt;"acoes")))*INDEX(Inputs!$K$5:$AJ$110,0,MATCH(Q$2,Inputs!$K$4:$AJ$4,0)))))</f>
        <v>0</v>
      </c>
      <c r="R12" s="3">
        <f>SUM(N12:Q12)</f>
        <v>0</v>
      </c>
      <c r="S12" s="6">
        <f>IF(ISNA(MATCH(S$2,Inputs!$K$4:$AJ$4,0)),NA(),IF(SUMPRODUCT((Inputs!$A$5:$A$110=$B12)*ISNUMBER(INDEX(Inputs!$K$5:$AJ$110,0,MATCH(S$2,Inputs!$K$4:$AJ$4,0))))+SUMPRODUCT((Inputs!$C$5:$C$110=$B12)*ISNUMBER(INDEX(Inputs!$K$5:$AJ$110,0,MATCH(S$2,Inputs!$K$4:$AJ$4,0))))+SUMPRODUCT((Inputs!$E$5:$E$110=$B12)*ISNUMBER(INDEX(Inputs!$K$5:$AJ$110,0,MATCH(S$2,Inputs!$K$4:$AJ$4,0))))=0,NA(),SUMPRODUCT((Inputs!$A$5:$A$110=$B12)*Inputs!$B$5:$B$110*(((Inputs!$G$5:$G$110="moeda")+(Inputs!$G$5:$G$110="acoes"))*Inputs!$B$1+((Inputs!$G$5:$G$110&lt;&gt;"moeda")*(Inputs!$G$5:$G$110&lt;&gt;"acoes")))*INDEX(Inputs!$K$5:$AJ$110,0,MATCH(S$2,Inputs!$K$4:$AJ$4,0)))+SUMPRODUCT((Inputs!$C$5:$C$110=$B12)*Inputs!$D$5:$D$110*(((Inputs!$G$5:$G$110="moeda")+(Inputs!$G$5:$G$110="acoes"))*Inputs!$B$1+((Inputs!$G$5:$G$110&lt;&gt;"moeda")*(Inputs!$G$5:$G$110&lt;&gt;"acoes")))*INDEX(Inputs!$K$5:$AJ$110,0,MATCH(S$2,Inputs!$K$4:$AJ$4,0)))+SUMPRODUCT((Inputs!$E$5:$E$110=$B12)*Inputs!$F$5:$F$110*(((Inputs!$G$5:$G$110="moeda")+(Inputs!$G$5:$G$110="acoes"))*Inputs!$B$1+((Inputs!$G$5:$G$110&lt;&gt;"moeda")*(Inputs!$G$5:$G$110&lt;&gt;"acoes")))*INDEX(Inputs!$K$5:$AJ$110,0,MATCH(S$2,Inputs!$K$4:$AJ$4,0)))))</f>
        <v>0</v>
      </c>
      <c r="T12" s="6">
        <f>IF(ISNA(MATCH(T$2,Inputs!$K$4:$AJ$4,0)),NA(),IF(SUMPRODUCT((Inputs!$A$5:$A$110=$B12)*ISNUMBER(INDEX(Inputs!$K$5:$AJ$110,0,MATCH(T$2,Inputs!$K$4:$AJ$4,0))))+SUMPRODUCT((Inputs!$C$5:$C$110=$B12)*ISNUMBER(INDEX(Inputs!$K$5:$AJ$110,0,MATCH(T$2,Inputs!$K$4:$AJ$4,0))))+SUMPRODUCT((Inputs!$E$5:$E$110=$B12)*ISNUMBER(INDEX(Inputs!$K$5:$AJ$110,0,MATCH(T$2,Inputs!$K$4:$AJ$4,0))))=0,NA(),SUMPRODUCT((Inputs!$A$5:$A$110=$B12)*Inputs!$B$5:$B$110*(((Inputs!$G$5:$G$110="moeda")+(Inputs!$G$5:$G$110="acoes"))*Inputs!$B$1+((Inputs!$G$5:$G$110&lt;&gt;"moeda")*(Inputs!$G$5:$G$110&lt;&gt;"acoes")))*INDEX(Inputs!$K$5:$AJ$110,0,MATCH(T$2,Inputs!$K$4:$AJ$4,0)))+SUMPRODUCT((Inputs!$C$5:$C$110=$B12)*Inputs!$D$5:$D$110*(((Inputs!$G$5:$G$110="moeda")+(Inputs!$G$5:$G$110="acoes"))*Inputs!$B$1+((Inputs!$G$5:$G$110&lt;&gt;"moeda")*(Inputs!$G$5:$G$110&lt;&gt;"acoes")))*INDEX(Inputs!$K$5:$AJ$110,0,MATCH(T$2,Inputs!$K$4:$AJ$4,0)))+SUMPRODUCT((Inputs!$E$5:$E$110=$B12)*Inputs!$F$5:$F$110*(((Inputs!$G$5:$G$110="moeda")+(Inputs!$G$5:$G$110="acoes"))*Inputs!$B$1+((Inputs!$G$5:$G$110&lt;&gt;"moeda")*(Inputs!$G$5:$G$110&lt;&gt;"acoes")))*INDEX(Inputs!$K$5:$AJ$110,0,MATCH(T$2,Inputs!$K$4:$AJ$4,0)))))</f>
        <v>0</v>
      </c>
      <c r="U12" s="6">
        <f>IF(ISNA(MATCH(U$2,Inputs!$K$4:$AJ$4,0)),NA(),IF(SUMPRODUCT((Inputs!$A$5:$A$110=$B12)*ISNUMBER(INDEX(Inputs!$K$5:$AJ$110,0,MATCH(U$2,Inputs!$K$4:$AJ$4,0))))+SUMPRODUCT((Inputs!$C$5:$C$110=$B12)*ISNUMBER(INDEX(Inputs!$K$5:$AJ$110,0,MATCH(U$2,Inputs!$K$4:$AJ$4,0))))+SUMPRODUCT((Inputs!$E$5:$E$110=$B12)*ISNUMBER(INDEX(Inputs!$K$5:$AJ$110,0,MATCH(U$2,Inputs!$K$4:$AJ$4,0))))=0,NA(),SUMPRODUCT((Inputs!$A$5:$A$110=$B12)*Inputs!$B$5:$B$110*(((Inputs!$G$5:$G$110="moeda")+(Inputs!$G$5:$G$110="acoes"))*Inputs!$B$1+((Inputs!$G$5:$G$110&lt;&gt;"moeda")*(Inputs!$G$5:$G$110&lt;&gt;"acoes")))*INDEX(Inputs!$K$5:$AJ$110,0,MATCH(U$2,Inputs!$K$4:$AJ$4,0)))+SUMPRODUCT((Inputs!$C$5:$C$110=$B12)*Inputs!$D$5:$D$110*(((Inputs!$G$5:$G$110="moeda")+(Inputs!$G$5:$G$110="acoes"))*Inputs!$B$1+((Inputs!$G$5:$G$110&lt;&gt;"moeda")*(Inputs!$G$5:$G$110&lt;&gt;"acoes")))*INDEX(Inputs!$K$5:$AJ$110,0,MATCH(U$2,Inputs!$K$4:$AJ$4,0)))+SUMPRODUCT((Inputs!$E$5:$E$110=$B12)*Inputs!$F$5:$F$110*(((Inputs!$G$5:$G$110="moeda")+(Inputs!$G$5:$G$110="acoes"))*Inputs!$B$1+((Inputs!$G$5:$G$110&lt;&gt;"moeda")*(Inputs!$G$5:$G$110&lt;&gt;"acoes")))*INDEX(Inputs!$K$5:$AJ$110,0,MATCH(U$2,Inputs!$K$4:$AJ$4,0)))))</f>
        <v>0</v>
      </c>
      <c r="V12" s="6">
        <f>IF(ISNA(MATCH(V$2,Inputs!$K$4:$AJ$4,0)),NA(),IF(SUMPRODUCT((Inputs!$A$5:$A$110=$B12)*ISNUMBER(INDEX(Inputs!$K$5:$AJ$110,0,MATCH(V$2,Inputs!$K$4:$AJ$4,0))))+SUMPRODUCT((Inputs!$C$5:$C$110=$B12)*ISNUMBER(INDEX(Inputs!$K$5:$AJ$110,0,MATCH(V$2,Inputs!$K$4:$AJ$4,0))))+SUMPRODUCT((Inputs!$E$5:$E$110=$B12)*ISNUMBER(INDEX(Inputs!$K$5:$AJ$110,0,MATCH(V$2,Inputs!$K$4:$AJ$4,0))))=0,NA(),SUMPRODUCT((Inputs!$A$5:$A$110=$B12)*Inputs!$B$5:$B$110*(((Inputs!$G$5:$G$110="moeda")+(Inputs!$G$5:$G$110="acoes"))*Inputs!$B$1+((Inputs!$G$5:$G$110&lt;&gt;"moeda")*(Inputs!$G$5:$G$110&lt;&gt;"acoes")))*INDEX(Inputs!$K$5:$AJ$110,0,MATCH(V$2,Inputs!$K$4:$AJ$4,0)))+SUMPRODUCT((Inputs!$C$5:$C$110=$B12)*Inputs!$D$5:$D$110*(((Inputs!$G$5:$G$110="moeda")+(Inputs!$G$5:$G$110="acoes"))*Inputs!$B$1+((Inputs!$G$5:$G$110&lt;&gt;"moeda")*(Inputs!$G$5:$G$110&lt;&gt;"acoes")))*INDEX(Inputs!$K$5:$AJ$110,0,MATCH(V$2,Inputs!$K$4:$AJ$4,0)))+SUMPRODUCT((Inputs!$E$5:$E$110=$B12)*Inputs!$F$5:$F$110*(((Inputs!$G$5:$G$110="moeda")+(Inputs!$G$5:$G$110="acoes"))*Inputs!$B$1+((Inputs!$G$5:$G$110&lt;&gt;"moeda")*(Inputs!$G$5:$G$110&lt;&gt;"acoes")))*INDEX(Inputs!$K$5:$AJ$110,0,MATCH(V$2,Inputs!$K$4:$AJ$4,0)))))</f>
        <v>0</v>
      </c>
      <c r="W12" s="3">
        <f>SUM(S12:V12)</f>
        <v>0</v>
      </c>
      <c r="X12" s="6">
        <f>IF(ISNA(MATCH(X$2,Inputs!$K$4:$AJ$4,0)),NA(),IF(SUMPRODUCT((Inputs!$A$5:$A$110=$B12)*ISNUMBER(INDEX(Inputs!$K$5:$AJ$110,0,MATCH(X$2,Inputs!$K$4:$AJ$4,0))))+SUMPRODUCT((Inputs!$C$5:$C$110=$B12)*ISNUMBER(INDEX(Inputs!$K$5:$AJ$110,0,MATCH(X$2,Inputs!$K$4:$AJ$4,0))))+SUMPRODUCT((Inputs!$E$5:$E$110=$B12)*ISNUMBER(INDEX(Inputs!$K$5:$AJ$110,0,MATCH(X$2,Inputs!$K$4:$AJ$4,0))))=0,NA(),SUMPRODUCT((Inputs!$A$5:$A$110=$B12)*Inputs!$B$5:$B$110*(((Inputs!$G$5:$G$110="moeda")+(Inputs!$G$5:$G$110="acoes"))*Inputs!$B$1+((Inputs!$G$5:$G$110&lt;&gt;"moeda")*(Inputs!$G$5:$G$110&lt;&gt;"acoes")))*INDEX(Inputs!$K$5:$AJ$110,0,MATCH(X$2,Inputs!$K$4:$AJ$4,0)))+SUMPRODUCT((Inputs!$C$5:$C$110=$B12)*Inputs!$D$5:$D$110*(((Inputs!$G$5:$G$110="moeda")+(Inputs!$G$5:$G$110="acoes"))*Inputs!$B$1+((Inputs!$G$5:$G$110&lt;&gt;"moeda")*(Inputs!$G$5:$G$110&lt;&gt;"acoes")))*INDEX(Inputs!$K$5:$AJ$110,0,MATCH(X$2,Inputs!$K$4:$AJ$4,0)))+SUMPRODUCT((Inputs!$E$5:$E$110=$B12)*Inputs!$F$5:$F$110*(((Inputs!$G$5:$G$110="moeda")+(Inputs!$G$5:$G$110="acoes"))*Inputs!$B$1+((Inputs!$G$5:$G$110&lt;&gt;"moeda")*(Inputs!$G$5:$G$110&lt;&gt;"acoes")))*INDEX(Inputs!$K$5:$AJ$110,0,MATCH(X$2,Inputs!$K$4:$AJ$4,0)))))</f>
        <v>0</v>
      </c>
      <c r="Y12" s="6">
        <f>IF(ISNA(MATCH(Y$2,Inputs!$K$4:$AJ$4,0)),NA(),IF(SUMPRODUCT((Inputs!$A$5:$A$110=$B12)*ISNUMBER(INDEX(Inputs!$K$5:$AJ$110,0,MATCH(Y$2,Inputs!$K$4:$AJ$4,0))))+SUMPRODUCT((Inputs!$C$5:$C$110=$B12)*ISNUMBER(INDEX(Inputs!$K$5:$AJ$110,0,MATCH(Y$2,Inputs!$K$4:$AJ$4,0))))+SUMPRODUCT((Inputs!$E$5:$E$110=$B12)*ISNUMBER(INDEX(Inputs!$K$5:$AJ$110,0,MATCH(Y$2,Inputs!$K$4:$AJ$4,0))))=0,NA(),SUMPRODUCT((Inputs!$A$5:$A$110=$B12)*Inputs!$B$5:$B$110*(((Inputs!$G$5:$G$110="moeda")+(Inputs!$G$5:$G$110="acoes"))*Inputs!$B$1+((Inputs!$G$5:$G$110&lt;&gt;"moeda")*(Inputs!$G$5:$G$110&lt;&gt;"acoes")))*INDEX(Inputs!$K$5:$AJ$110,0,MATCH(Y$2,Inputs!$K$4:$AJ$4,0)))+SUMPRODUCT((Inputs!$C$5:$C$110=$B12)*Inputs!$D$5:$D$110*(((Inputs!$G$5:$G$110="moeda")+(Inputs!$G$5:$G$110="acoes"))*Inputs!$B$1+((Inputs!$G$5:$G$110&lt;&gt;"moeda")*(Inputs!$G$5:$G$110&lt;&gt;"acoes")))*INDEX(Inputs!$K$5:$AJ$110,0,MATCH(Y$2,Inputs!$K$4:$AJ$4,0)))+SUMPRODUCT((Inputs!$E$5:$E$110=$B12)*Inputs!$F$5:$F$110*(((Inputs!$G$5:$G$110="moeda")+(Inputs!$G$5:$G$110="acoes"))*Inputs!$B$1+((Inputs!$G$5:$G$110&lt;&gt;"moeda")*(Inputs!$G$5:$G$110&lt;&gt;"acoes")))*INDEX(Inputs!$K$5:$AJ$110,0,MATCH(Y$2,Inputs!$K$4:$AJ$4,0)))))</f>
        <v>0</v>
      </c>
      <c r="Z12" s="6">
        <f>IF(ISNA(MATCH(Z$2,Inputs!$K$4:$AJ$4,0)),NA(),IF(SUMPRODUCT((Inputs!$A$5:$A$110=$B12)*ISNUMBER(INDEX(Inputs!$K$5:$AJ$110,0,MATCH(Z$2,Inputs!$K$4:$AJ$4,0))))+SUMPRODUCT((Inputs!$C$5:$C$110=$B12)*ISNUMBER(INDEX(Inputs!$K$5:$AJ$110,0,MATCH(Z$2,Inputs!$K$4:$AJ$4,0))))+SUMPRODUCT((Inputs!$E$5:$E$110=$B12)*ISNUMBER(INDEX(Inputs!$K$5:$AJ$110,0,MATCH(Z$2,Inputs!$K$4:$AJ$4,0))))=0,NA(),SUMPRODUCT((Inputs!$A$5:$A$110=$B12)*Inputs!$B$5:$B$110*(((Inputs!$G$5:$G$110="moeda")+(Inputs!$G$5:$G$110="acoes"))*Inputs!$B$1+((Inputs!$G$5:$G$110&lt;&gt;"moeda")*(Inputs!$G$5:$G$110&lt;&gt;"acoes")))*INDEX(Inputs!$K$5:$AJ$110,0,MATCH(Z$2,Inputs!$K$4:$AJ$4,0)))+SUMPRODUCT((Inputs!$C$5:$C$110=$B12)*Inputs!$D$5:$D$110*(((Inputs!$G$5:$G$110="moeda")+(Inputs!$G$5:$G$110="acoes"))*Inputs!$B$1+((Inputs!$G$5:$G$110&lt;&gt;"moeda")*(Inputs!$G$5:$G$110&lt;&gt;"acoes")))*INDEX(Inputs!$K$5:$AJ$110,0,MATCH(Z$2,Inputs!$K$4:$AJ$4,0)))+SUMPRODUCT((Inputs!$E$5:$E$110=$B12)*Inputs!$F$5:$F$110*(((Inputs!$G$5:$G$110="moeda")+(Inputs!$G$5:$G$110="acoes"))*Inputs!$B$1+((Inputs!$G$5:$G$110&lt;&gt;"moeda")*(Inputs!$G$5:$G$110&lt;&gt;"acoes")))*INDEX(Inputs!$K$5:$AJ$110,0,MATCH(Z$2,Inputs!$K$4:$AJ$4,0)))))</f>
        <v>0</v>
      </c>
      <c r="AA12" s="6">
        <f>IF(ISNA(MATCH(AA$2,Inputs!$K$4:$AJ$4,0)),NA(),IF(SUMPRODUCT((Inputs!$A$5:$A$110=$B12)*ISNUMBER(INDEX(Inputs!$K$5:$AJ$110,0,MATCH(AA$2,Inputs!$K$4:$AJ$4,0))))+SUMPRODUCT((Inputs!$C$5:$C$110=$B12)*ISNUMBER(INDEX(Inputs!$K$5:$AJ$110,0,MATCH(AA$2,Inputs!$K$4:$AJ$4,0))))+SUMPRODUCT((Inputs!$E$5:$E$110=$B12)*ISNUMBER(INDEX(Inputs!$K$5:$AJ$110,0,MATCH(AA$2,Inputs!$K$4:$AJ$4,0))))=0,NA(),SUMPRODUCT((Inputs!$A$5:$A$110=$B12)*Inputs!$B$5:$B$110*(((Inputs!$G$5:$G$110="moeda")+(Inputs!$G$5:$G$110="acoes"))*Inputs!$B$1+((Inputs!$G$5:$G$110&lt;&gt;"moeda")*(Inputs!$G$5:$G$110&lt;&gt;"acoes")))*INDEX(Inputs!$K$5:$AJ$110,0,MATCH(AA$2,Inputs!$K$4:$AJ$4,0)))+SUMPRODUCT((Inputs!$C$5:$C$110=$B12)*Inputs!$D$5:$D$110*(((Inputs!$G$5:$G$110="moeda")+(Inputs!$G$5:$G$110="acoes"))*Inputs!$B$1+((Inputs!$G$5:$G$110&lt;&gt;"moeda")*(Inputs!$G$5:$G$110&lt;&gt;"acoes")))*INDEX(Inputs!$K$5:$AJ$110,0,MATCH(AA$2,Inputs!$K$4:$AJ$4,0)))+SUMPRODUCT((Inputs!$E$5:$E$110=$B12)*Inputs!$F$5:$F$110*(((Inputs!$G$5:$G$110="moeda")+(Inputs!$G$5:$G$110="acoes"))*Inputs!$B$1+((Inputs!$G$5:$G$110&lt;&gt;"moeda")*(Inputs!$G$5:$G$110&lt;&gt;"acoes")))*INDEX(Inputs!$K$5:$AJ$110,0,MATCH(AA$2,Inputs!$K$4:$AJ$4,0)))))</f>
        <v>0</v>
      </c>
      <c r="AB12" s="3">
        <f>SUM(X12:AA12)</f>
        <v>0</v>
      </c>
      <c r="AC12" s="6">
        <f>IF(ISNA(MATCH(AC$2,Inputs!$K$4:$AJ$4,0)),NA(),IF(SUMPRODUCT((Inputs!$A$5:$A$110=$B12)*ISNUMBER(INDEX(Inputs!$K$5:$AJ$110,0,MATCH(AC$2,Inputs!$K$4:$AJ$4,0))))+SUMPRODUCT((Inputs!$C$5:$C$110=$B12)*ISNUMBER(INDEX(Inputs!$K$5:$AJ$110,0,MATCH(AC$2,Inputs!$K$4:$AJ$4,0))))+SUMPRODUCT((Inputs!$E$5:$E$110=$B12)*ISNUMBER(INDEX(Inputs!$K$5:$AJ$110,0,MATCH(AC$2,Inputs!$K$4:$AJ$4,0))))=0,NA(),SUMPRODUCT((Inputs!$A$5:$A$110=$B12)*Inputs!$B$5:$B$110*(((Inputs!$G$5:$G$110="moeda")+(Inputs!$G$5:$G$110="acoes"))*Inputs!$B$1+((Inputs!$G$5:$G$110&lt;&gt;"moeda")*(Inputs!$G$5:$G$110&lt;&gt;"acoes")))*INDEX(Inputs!$K$5:$AJ$110,0,MATCH(AC$2,Inputs!$K$4:$AJ$4,0)))+SUMPRODUCT((Inputs!$C$5:$C$110=$B12)*Inputs!$D$5:$D$110*(((Inputs!$G$5:$G$110="moeda")+(Inputs!$G$5:$G$110="acoes"))*Inputs!$B$1+((Inputs!$G$5:$G$110&lt;&gt;"moeda")*(Inputs!$G$5:$G$110&lt;&gt;"acoes")))*INDEX(Inputs!$K$5:$AJ$110,0,MATCH(AC$2,Inputs!$K$4:$AJ$4,0)))+SUMPRODUCT((Inputs!$E$5:$E$110=$B12)*Inputs!$F$5:$F$110*(((Inputs!$G$5:$G$110="moeda")+(Inputs!$G$5:$G$110="acoes"))*Inputs!$B$1+((Inputs!$G$5:$G$110&lt;&gt;"moeda")*(Inputs!$G$5:$G$110&lt;&gt;"acoes")))*INDEX(Inputs!$K$5:$AJ$110,0,MATCH(AC$2,Inputs!$K$4:$AJ$4,0)))))</f>
        <v>0</v>
      </c>
      <c r="AD12" s="6">
        <f>IF(ISNA(MATCH(AD$2,Inputs!$K$4:$AJ$4,0)),NA(),IF(SUMPRODUCT((Inputs!$A$5:$A$110=$B12)*ISNUMBER(INDEX(Inputs!$K$5:$AJ$110,0,MATCH(AD$2,Inputs!$K$4:$AJ$4,0))))+SUMPRODUCT((Inputs!$C$5:$C$110=$B12)*ISNUMBER(INDEX(Inputs!$K$5:$AJ$110,0,MATCH(AD$2,Inputs!$K$4:$AJ$4,0))))+SUMPRODUCT((Inputs!$E$5:$E$110=$B12)*ISNUMBER(INDEX(Inputs!$K$5:$AJ$110,0,MATCH(AD$2,Inputs!$K$4:$AJ$4,0))))=0,NA(),SUMPRODUCT((Inputs!$A$5:$A$110=$B12)*Inputs!$B$5:$B$110*(((Inputs!$G$5:$G$110="moeda")+(Inputs!$G$5:$G$110="acoes"))*Inputs!$B$1+((Inputs!$G$5:$G$110&lt;&gt;"moeda")*(Inputs!$G$5:$G$110&lt;&gt;"acoes")))*INDEX(Inputs!$K$5:$AJ$110,0,MATCH(AD$2,Inputs!$K$4:$AJ$4,0)))+SUMPRODUCT((Inputs!$C$5:$C$110=$B12)*Inputs!$D$5:$D$110*(((Inputs!$G$5:$G$110="moeda")+(Inputs!$G$5:$G$110="acoes"))*Inputs!$B$1+((Inputs!$G$5:$G$110&lt;&gt;"moeda")*(Inputs!$G$5:$G$110&lt;&gt;"acoes")))*INDEX(Inputs!$K$5:$AJ$110,0,MATCH(AD$2,Inputs!$K$4:$AJ$4,0)))+SUMPRODUCT((Inputs!$E$5:$E$110=$B12)*Inputs!$F$5:$F$110*(((Inputs!$G$5:$G$110="moeda")+(Inputs!$G$5:$G$110="acoes"))*Inputs!$B$1+((Inputs!$G$5:$G$110&lt;&gt;"moeda")*(Inputs!$G$5:$G$110&lt;&gt;"acoes")))*INDEX(Inputs!$K$5:$AJ$110,0,MATCH(AD$2,Inputs!$K$4:$AJ$4,0)))))</f>
        <v>0</v>
      </c>
      <c r="AE12" s="6" t="e">
        <f>IF(ISNA(MATCH(AE$2,Inputs!$K$4:$AJ$4,0)),NA(),IF(SUMPRODUCT((Inputs!$A$5:$A$110=$B12)*ISNUMBER(INDEX(Inputs!$K$5:$AJ$110,0,MATCH(AE$2,Inputs!$K$4:$AJ$4,0))))+SUMPRODUCT((Inputs!$C$5:$C$110=$B12)*ISNUMBER(INDEX(Inputs!$K$5:$AJ$110,0,MATCH(AE$2,Inputs!$K$4:$AJ$4,0))))+SUMPRODUCT((Inputs!$E$5:$E$110=$B12)*ISNUMBER(INDEX(Inputs!$K$5:$AJ$110,0,MATCH(AE$2,Inputs!$K$4:$AJ$4,0))))=0,NA(),SUMPRODUCT((Inputs!$A$5:$A$110=$B12)*Inputs!$B$5:$B$110*(((Inputs!$G$5:$G$110="moeda")+(Inputs!$G$5:$G$110="acoes"))*Inputs!$B$1+((Inputs!$G$5:$G$110&lt;&gt;"moeda")*(Inputs!$G$5:$G$110&lt;&gt;"acoes")))*INDEX(Inputs!$K$5:$AJ$110,0,MATCH(AE$2,Inputs!$K$4:$AJ$4,0)))+SUMPRODUCT((Inputs!$C$5:$C$110=$B12)*Inputs!$D$5:$D$110*(((Inputs!$G$5:$G$110="moeda")+(Inputs!$G$5:$G$110="acoes"))*Inputs!$B$1+((Inputs!$G$5:$G$110&lt;&gt;"moeda")*(Inputs!$G$5:$G$110&lt;&gt;"acoes")))*INDEX(Inputs!$K$5:$AJ$110,0,MATCH(AE$2,Inputs!$K$4:$AJ$4,0)))+SUMPRODUCT((Inputs!$E$5:$E$110=$B12)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2" s="6" t="e">
        <f>IF(ISNA(MATCH(AF$2,Inputs!$K$4:$AJ$4,0)),NA(),IF(SUMPRODUCT((Inputs!$A$5:$A$110=$B12)*ISNUMBER(INDEX(Inputs!$K$5:$AJ$110,0,MATCH(AF$2,Inputs!$K$4:$AJ$4,0))))+SUMPRODUCT((Inputs!$C$5:$C$110=$B12)*ISNUMBER(INDEX(Inputs!$K$5:$AJ$110,0,MATCH(AF$2,Inputs!$K$4:$AJ$4,0))))+SUMPRODUCT((Inputs!$E$5:$E$110=$B12)*ISNUMBER(INDEX(Inputs!$K$5:$AJ$110,0,MATCH(AF$2,Inputs!$K$4:$AJ$4,0))))=0,NA(),SUMPRODUCT((Inputs!$A$5:$A$110=$B12)*Inputs!$B$5:$B$110*(((Inputs!$G$5:$G$110="moeda")+(Inputs!$G$5:$G$110="acoes"))*Inputs!$B$1+((Inputs!$G$5:$G$110&lt;&gt;"moeda")*(Inputs!$G$5:$G$110&lt;&gt;"acoes")))*INDEX(Inputs!$K$5:$AJ$110,0,MATCH(AF$2,Inputs!$K$4:$AJ$4,0)))+SUMPRODUCT((Inputs!$C$5:$C$110=$B12)*Inputs!$D$5:$D$110*(((Inputs!$G$5:$G$110="moeda")+(Inputs!$G$5:$G$110="acoes"))*Inputs!$B$1+((Inputs!$G$5:$G$110&lt;&gt;"moeda")*(Inputs!$G$5:$G$110&lt;&gt;"acoes")))*INDEX(Inputs!$K$5:$AJ$110,0,MATCH(AF$2,Inputs!$K$4:$AJ$4,0)))+SUMPRODUCT((Inputs!$E$5:$E$110=$B12)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2" s="3" t="e">
        <f>SUM(AC12:AF12)</f>
        <v>#N/A</v>
      </c>
      <c r="AH12" s="6">
        <f>IF(ISNA(MATCH(AH$2,Inputs!$K$4:$AJ$4,0)),NA(),IF(SUMPRODUCT((Inputs!$A$5:$A$110=$B12)*ISNUMBER(INDEX(Inputs!$K$5:$AJ$110,0,MATCH(AH$2,Inputs!$K$4:$AJ$4,0))))+SUMPRODUCT((Inputs!$C$5:$C$110=$B12)*ISNUMBER(INDEX(Inputs!$K$5:$AJ$110,0,MATCH(AH$2,Inputs!$K$4:$AJ$4,0))))+SUMPRODUCT((Inputs!$E$5:$E$110=$B12)*ISNUMBER(INDEX(Inputs!$K$5:$AJ$110,0,MATCH(AH$2,Inputs!$K$4:$AJ$4,0))))=0,NA(),SUMPRODUCT((Inputs!$A$5:$A$110=$B12)*Inputs!$B$5:$B$110*(((Inputs!$G$5:$G$110="moeda")+(Inputs!$G$5:$G$110="acoes"))*Inputs!$B$1+((Inputs!$G$5:$G$110&lt;&gt;"moeda")*(Inputs!$G$5:$G$110&lt;&gt;"acoes")))*INDEX(Inputs!$K$5:$AJ$110,0,MATCH(AH$2,Inputs!$K$4:$AJ$4,0)))+SUMPRODUCT((Inputs!$C$5:$C$110=$B12)*Inputs!$D$5:$D$110*(((Inputs!$G$5:$G$110="moeda")+(Inputs!$G$5:$G$110="acoes"))*Inputs!$B$1+((Inputs!$G$5:$G$110&lt;&gt;"moeda")*(Inputs!$G$5:$G$110&lt;&gt;"acoes")))*INDEX(Inputs!$K$5:$AJ$110,0,MATCH(AH$2,Inputs!$K$4:$AJ$4,0)))+SUMPRODUCT((Inputs!$E$5:$E$110=$B12)*Inputs!$F$5:$F$110*(((Inputs!$G$5:$G$110="moeda")+(Inputs!$G$5:$G$110="acoes"))*Inputs!$B$1+((Inputs!$G$5:$G$110&lt;&gt;"moeda")*(Inputs!$G$5:$G$110&lt;&gt;"acoes")))*INDEX(Inputs!$K$5:$AJ$110,0,MATCH(AH$2,Inputs!$K$4:$AJ$4,0)))))</f>
        <v>0</v>
      </c>
      <c r="AI12" s="6">
        <f>IF(ISNA(MATCH(AI$2,Inputs!$K$4:$AJ$4,0)),NA(),IF(SUMPRODUCT((Inputs!$A$5:$A$110=$B12)*ISNUMBER(INDEX(Inputs!$K$5:$AJ$110,0,MATCH(AI$2,Inputs!$K$4:$AJ$4,0))))+SUMPRODUCT((Inputs!$C$5:$C$110=$B12)*ISNUMBER(INDEX(Inputs!$K$5:$AJ$110,0,MATCH(AI$2,Inputs!$K$4:$AJ$4,0))))+SUMPRODUCT((Inputs!$E$5:$E$110=$B12)*ISNUMBER(INDEX(Inputs!$K$5:$AJ$110,0,MATCH(AI$2,Inputs!$K$4:$AJ$4,0))))=0,NA(),SUMPRODUCT((Inputs!$A$5:$A$110=$B12)*Inputs!$B$5:$B$110*(((Inputs!$G$5:$G$110="moeda")+(Inputs!$G$5:$G$110="acoes"))*Inputs!$B$1+((Inputs!$G$5:$G$110&lt;&gt;"moeda")*(Inputs!$G$5:$G$110&lt;&gt;"acoes")))*INDEX(Inputs!$K$5:$AJ$110,0,MATCH(AI$2,Inputs!$K$4:$AJ$4,0)))+SUMPRODUCT((Inputs!$C$5:$C$110=$B12)*Inputs!$D$5:$D$110*(((Inputs!$G$5:$G$110="moeda")+(Inputs!$G$5:$G$110="acoes"))*Inputs!$B$1+((Inputs!$G$5:$G$110&lt;&gt;"moeda")*(Inputs!$G$5:$G$110&lt;&gt;"acoes")))*INDEX(Inputs!$K$5:$AJ$110,0,MATCH(AI$2,Inputs!$K$4:$AJ$4,0)))+SUMPRODUCT((Inputs!$E$5:$E$110=$B12)*Inputs!$F$5:$F$110*(((Inputs!$G$5:$G$110="moeda")+(Inputs!$G$5:$G$110="acoes"))*Inputs!$B$1+((Inputs!$G$5:$G$110&lt;&gt;"moeda")*(Inputs!$G$5:$G$110&lt;&gt;"acoes")))*INDEX(Inputs!$K$5:$AJ$110,0,MATCH(AI$2,Inputs!$K$4:$AJ$4,0)))))</f>
        <v>0</v>
      </c>
      <c r="AJ12" s="6">
        <f>IF(ISNA(MATCH(AJ$2,Inputs!$K$4:$AJ$4,0)),NA(),IF(SUMPRODUCT((Inputs!$A$5:$A$110=$B12)*ISNUMBER(INDEX(Inputs!$K$5:$AJ$110,0,MATCH(AJ$2,Inputs!$K$4:$AJ$4,0))))+SUMPRODUCT((Inputs!$C$5:$C$110=$B12)*ISNUMBER(INDEX(Inputs!$K$5:$AJ$110,0,MATCH(AJ$2,Inputs!$K$4:$AJ$4,0))))+SUMPRODUCT((Inputs!$E$5:$E$110=$B12)*ISNUMBER(INDEX(Inputs!$K$5:$AJ$110,0,MATCH(AJ$2,Inputs!$K$4:$AJ$4,0))))=0,NA(),SUMPRODUCT((Inputs!$A$5:$A$110=$B12)*Inputs!$B$5:$B$110*(((Inputs!$G$5:$G$110="moeda")+(Inputs!$G$5:$G$110="acoes"))*Inputs!$B$1+((Inputs!$G$5:$G$110&lt;&gt;"moeda")*(Inputs!$G$5:$G$110&lt;&gt;"acoes")))*INDEX(Inputs!$K$5:$AJ$110,0,MATCH(AJ$2,Inputs!$K$4:$AJ$4,0)))+SUMPRODUCT((Inputs!$C$5:$C$110=$B12)*Inputs!$D$5:$D$110*(((Inputs!$G$5:$G$110="moeda")+(Inputs!$G$5:$G$110="acoes"))*Inputs!$B$1+((Inputs!$G$5:$G$110&lt;&gt;"moeda")*(Inputs!$G$5:$G$110&lt;&gt;"acoes")))*INDEX(Inputs!$K$5:$AJ$110,0,MATCH(AJ$2,Inputs!$K$4:$AJ$4,0)))+SUMPRODUCT((Inputs!$E$5:$E$110=$B12)*Inputs!$F$5:$F$110*(((Inputs!$G$5:$G$110="moeda")+(Inputs!$G$5:$G$110="acoes"))*Inputs!$B$1+((Inputs!$G$5:$G$110&lt;&gt;"moeda")*(Inputs!$G$5:$G$110&lt;&gt;"acoes")))*INDEX(Inputs!$K$5:$AJ$110,0,MATCH(AJ$2,Inputs!$K$4:$AJ$4,0)))))</f>
        <v>0</v>
      </c>
      <c r="AK12" s="6">
        <f>IF(ISNA(MATCH(AK$2,Inputs!$K$4:$AJ$4,0)),NA(),IF(SUMPRODUCT((Inputs!$A$5:$A$110=$B12)*ISNUMBER(INDEX(Inputs!$K$5:$AJ$110,0,MATCH(AK$2,Inputs!$K$4:$AJ$4,0))))+SUMPRODUCT((Inputs!$C$5:$C$110=$B12)*ISNUMBER(INDEX(Inputs!$K$5:$AJ$110,0,MATCH(AK$2,Inputs!$K$4:$AJ$4,0))))+SUMPRODUCT((Inputs!$E$5:$E$110=$B12)*ISNUMBER(INDEX(Inputs!$K$5:$AJ$110,0,MATCH(AK$2,Inputs!$K$4:$AJ$4,0))))=0,NA(),SUMPRODUCT((Inputs!$A$5:$A$110=$B12)*Inputs!$B$5:$B$110*(((Inputs!$G$5:$G$110="moeda")+(Inputs!$G$5:$G$110="acoes"))*Inputs!$B$1+((Inputs!$G$5:$G$110&lt;&gt;"moeda")*(Inputs!$G$5:$G$110&lt;&gt;"acoes")))*INDEX(Inputs!$K$5:$AJ$110,0,MATCH(AK$2,Inputs!$K$4:$AJ$4,0)))+SUMPRODUCT((Inputs!$C$5:$C$110=$B12)*Inputs!$D$5:$D$110*(((Inputs!$G$5:$G$110="moeda")+(Inputs!$G$5:$G$110="acoes"))*Inputs!$B$1+((Inputs!$G$5:$G$110&lt;&gt;"moeda")*(Inputs!$G$5:$G$110&lt;&gt;"acoes")))*INDEX(Inputs!$K$5:$AJ$110,0,MATCH(AK$2,Inputs!$K$4:$AJ$4,0)))+SUMPRODUCT((Inputs!$E$5:$E$110=$B12)*Inputs!$F$5:$F$110*(((Inputs!$G$5:$G$110="moeda")+(Inputs!$G$5:$G$110="acoes"))*Inputs!$B$1+((Inputs!$G$5:$G$110&lt;&gt;"moeda")*(Inputs!$G$5:$G$110&lt;&gt;"acoes")))*INDEX(Inputs!$K$5:$AJ$110,0,MATCH(AK$2,Inputs!$K$4:$AJ$4,0)))))</f>
        <v>0</v>
      </c>
      <c r="AL12" s="3">
        <f>SUM(AH12:AK12)</f>
        <v>0</v>
      </c>
    </row>
    <row r="13">
      <c r="B13" s="46" t="n">
        <v>10</v>
      </c>
      <c r="C13" s="24" t="inlineStr">
        <is>
          <t>Common Dividends</t>
        </is>
      </c>
      <c r="D13" s="6">
        <f>IF(ISNA(MATCH(D$2,Inputs!$K$4:$AJ$4,0)),NA(),IF(SUMPRODUCT((Inputs!$A$5:$A$110=$B13)*ISNUMBER(INDEX(Inputs!$K$5:$AJ$110,0,MATCH(D$2,Inputs!$K$4:$AJ$4,0))))+SUMPRODUCT((Inputs!$C$5:$C$110=$B13)*ISNUMBER(INDEX(Inputs!$K$5:$AJ$110,0,MATCH(D$2,Inputs!$K$4:$AJ$4,0))))+SUMPRODUCT((Inputs!$E$5:$E$110=$B13)*ISNUMBER(INDEX(Inputs!$K$5:$AJ$110,0,MATCH(D$2,Inputs!$K$4:$AJ$4,0))))=0,NA(),SUMPRODUCT((Inputs!$A$5:$A$110=$B13)*Inputs!$B$5:$B$110*(((Inputs!$G$5:$G$110="moeda")+(Inputs!$G$5:$G$110="acoes"))*Inputs!$B$1+((Inputs!$G$5:$G$110&lt;&gt;"moeda")*(Inputs!$G$5:$G$110&lt;&gt;"acoes")))*INDEX(Inputs!$K$5:$AJ$110,0,MATCH(D$2,Inputs!$K$4:$AJ$4,0)))+SUMPRODUCT((Inputs!$C$5:$C$110=$B13)*Inputs!$D$5:$D$110*(((Inputs!$G$5:$G$110="moeda")+(Inputs!$G$5:$G$110="acoes"))*Inputs!$B$1+((Inputs!$G$5:$G$110&lt;&gt;"moeda")*(Inputs!$G$5:$G$110&lt;&gt;"acoes")))*INDEX(Inputs!$K$5:$AJ$110,0,MATCH(D$2,Inputs!$K$4:$AJ$4,0)))+SUMPRODUCT((Inputs!$E$5:$E$110=$B13)*Inputs!$F$5:$F$110*(((Inputs!$G$5:$G$110="moeda")+(Inputs!$G$5:$G$110="acoes"))*Inputs!$B$1+((Inputs!$G$5:$G$110&lt;&gt;"moeda")*(Inputs!$G$5:$G$110&lt;&gt;"acoes")))*INDEX(Inputs!$K$5:$AJ$110,0,MATCH(D$2,Inputs!$K$4:$AJ$4,0)))))</f>
        <v>-1477</v>
      </c>
      <c r="E13" s="6">
        <f>IF(ISNA(MATCH(E$2,Inputs!$K$4:$AJ$4,0)),NA(),IF(SUMPRODUCT((Inputs!$A$5:$A$110=$B13)*ISNUMBER(INDEX(Inputs!$K$5:$AJ$110,0,MATCH(E$2,Inputs!$K$4:$AJ$4,0))))+SUMPRODUCT((Inputs!$C$5:$C$110=$B13)*ISNUMBER(INDEX(Inputs!$K$5:$AJ$110,0,MATCH(E$2,Inputs!$K$4:$AJ$4,0))))+SUMPRODUCT((Inputs!$E$5:$E$110=$B13)*ISNUMBER(INDEX(Inputs!$K$5:$AJ$110,0,MATCH(E$2,Inputs!$K$4:$AJ$4,0))))=0,NA(),SUMPRODUCT((Inputs!$A$5:$A$110=$B13)*Inputs!$B$5:$B$110*(((Inputs!$G$5:$G$110="moeda")+(Inputs!$G$5:$G$110="acoes"))*Inputs!$B$1+((Inputs!$G$5:$G$110&lt;&gt;"moeda")*(Inputs!$G$5:$G$110&lt;&gt;"acoes")))*INDEX(Inputs!$K$5:$AJ$110,0,MATCH(E$2,Inputs!$K$4:$AJ$4,0)))+SUMPRODUCT((Inputs!$C$5:$C$110=$B13)*Inputs!$D$5:$D$110*(((Inputs!$G$5:$G$110="moeda")+(Inputs!$G$5:$G$110="acoes"))*Inputs!$B$1+((Inputs!$G$5:$G$110&lt;&gt;"moeda")*(Inputs!$G$5:$G$110&lt;&gt;"acoes")))*INDEX(Inputs!$K$5:$AJ$110,0,MATCH(E$2,Inputs!$K$4:$AJ$4,0)))+SUMPRODUCT((Inputs!$E$5:$E$110=$B13)*Inputs!$F$5:$F$110*(((Inputs!$G$5:$G$110="moeda")+(Inputs!$G$5:$G$110="acoes"))*Inputs!$B$1+((Inputs!$G$5:$G$110&lt;&gt;"moeda")*(Inputs!$G$5:$G$110&lt;&gt;"acoes")))*INDEX(Inputs!$K$5:$AJ$110,0,MATCH(E$2,Inputs!$K$4:$AJ$4,0)))))</f>
        <v>-1482</v>
      </c>
      <c r="F13" s="6">
        <f>IF(ISNA(MATCH(F$2,Inputs!$K$4:$AJ$4,0)),NA(),IF(SUMPRODUCT((Inputs!$A$5:$A$110=$B13)*ISNUMBER(INDEX(Inputs!$K$5:$AJ$110,0,MATCH(F$2,Inputs!$K$4:$AJ$4,0))))+SUMPRODUCT((Inputs!$C$5:$C$110=$B13)*ISNUMBER(INDEX(Inputs!$K$5:$AJ$110,0,MATCH(F$2,Inputs!$K$4:$AJ$4,0))))+SUMPRODUCT((Inputs!$E$5:$E$110=$B13)*ISNUMBER(INDEX(Inputs!$K$5:$AJ$110,0,MATCH(F$2,Inputs!$K$4:$AJ$4,0))))=0,NA(),SUMPRODUCT((Inputs!$A$5:$A$110=$B13)*Inputs!$B$5:$B$110*(((Inputs!$G$5:$G$110="moeda")+(Inputs!$G$5:$G$110="acoes"))*Inputs!$B$1+((Inputs!$G$5:$G$110&lt;&gt;"moeda")*(Inputs!$G$5:$G$110&lt;&gt;"acoes")))*INDEX(Inputs!$K$5:$AJ$110,0,MATCH(F$2,Inputs!$K$4:$AJ$4,0)))+SUMPRODUCT((Inputs!$C$5:$C$110=$B13)*Inputs!$D$5:$D$110*(((Inputs!$G$5:$G$110="moeda")+(Inputs!$G$5:$G$110="acoes"))*Inputs!$B$1+((Inputs!$G$5:$G$110&lt;&gt;"moeda")*(Inputs!$G$5:$G$110&lt;&gt;"acoes")))*INDEX(Inputs!$K$5:$AJ$110,0,MATCH(F$2,Inputs!$K$4:$AJ$4,0)))+SUMPRODUCT((Inputs!$E$5:$E$110=$B13)*Inputs!$F$5:$F$110*(((Inputs!$G$5:$G$110="moeda")+(Inputs!$G$5:$G$110="acoes"))*Inputs!$B$1+((Inputs!$G$5:$G$110&lt;&gt;"moeda")*(Inputs!$G$5:$G$110&lt;&gt;"acoes")))*INDEX(Inputs!$K$5:$AJ$110,0,MATCH(F$2,Inputs!$K$4:$AJ$4,0)))))</f>
        <v>-1561</v>
      </c>
      <c r="G13" s="6">
        <f>IF(ISNA(MATCH(G$2,Inputs!$K$4:$AJ$4,0)),NA(),IF(SUMPRODUCT((Inputs!$A$5:$A$110=$B13)*ISNUMBER(INDEX(Inputs!$K$5:$AJ$110,0,MATCH(G$2,Inputs!$K$4:$AJ$4,0))))+SUMPRODUCT((Inputs!$C$5:$C$110=$B13)*ISNUMBER(INDEX(Inputs!$K$5:$AJ$110,0,MATCH(G$2,Inputs!$K$4:$AJ$4,0))))+SUMPRODUCT((Inputs!$E$5:$E$110=$B13)*ISNUMBER(INDEX(Inputs!$K$5:$AJ$110,0,MATCH(G$2,Inputs!$K$4:$AJ$4,0))))=0,NA(),SUMPRODUCT((Inputs!$A$5:$A$110=$B13)*Inputs!$B$5:$B$110*(((Inputs!$G$5:$G$110="moeda")+(Inputs!$G$5:$G$110="acoes"))*Inputs!$B$1+((Inputs!$G$5:$G$110&lt;&gt;"moeda")*(Inputs!$G$5:$G$110&lt;&gt;"acoes")))*INDEX(Inputs!$K$5:$AJ$110,0,MATCH(G$2,Inputs!$K$4:$AJ$4,0)))+SUMPRODUCT((Inputs!$C$5:$C$110=$B13)*Inputs!$D$5:$D$110*(((Inputs!$G$5:$G$110="moeda")+(Inputs!$G$5:$G$110="acoes"))*Inputs!$B$1+((Inputs!$G$5:$G$110&lt;&gt;"moeda")*(Inputs!$G$5:$G$110&lt;&gt;"acoes")))*INDEX(Inputs!$K$5:$AJ$110,0,MATCH(G$2,Inputs!$K$4:$AJ$4,0)))+SUMPRODUCT((Inputs!$E$5:$E$110=$B13)*Inputs!$F$5:$F$110*(((Inputs!$G$5:$G$110="moeda")+(Inputs!$G$5:$G$110="acoes"))*Inputs!$B$1+((Inputs!$G$5:$G$110&lt;&gt;"moeda")*(Inputs!$G$5:$G$110&lt;&gt;"acoes")))*INDEX(Inputs!$K$5:$AJ$110,0,MATCH(G$2,Inputs!$K$4:$AJ$4,0)))))</f>
        <v>-1764</v>
      </c>
      <c r="H13" s="3">
        <f>SUM(D13:G13)</f>
        <v>-6284</v>
      </c>
      <c r="I13" s="6">
        <f>IF(ISNA(MATCH(I$2,Inputs!$K$4:$AJ$4,0)),NA(),IF(SUMPRODUCT((Inputs!$A$5:$A$110=$B13)*ISNUMBER(INDEX(Inputs!$K$5:$AJ$110,0,MATCH(I$2,Inputs!$K$4:$AJ$4,0))))+SUMPRODUCT((Inputs!$C$5:$C$110=$B13)*ISNUMBER(INDEX(Inputs!$K$5:$AJ$110,0,MATCH(I$2,Inputs!$K$4:$AJ$4,0))))+SUMPRODUCT((Inputs!$E$5:$E$110=$B13)*ISNUMBER(INDEX(Inputs!$K$5:$AJ$110,0,MATCH(I$2,Inputs!$K$4:$AJ$4,0))))=0,NA(),SUMPRODUCT((Inputs!$A$5:$A$110=$B13)*Inputs!$B$5:$B$110*(((Inputs!$G$5:$G$110="moeda")+(Inputs!$G$5:$G$110="acoes"))*Inputs!$B$1+((Inputs!$G$5:$G$110&lt;&gt;"moeda")*(Inputs!$G$5:$G$110&lt;&gt;"acoes")))*INDEX(Inputs!$K$5:$AJ$110,0,MATCH(I$2,Inputs!$K$4:$AJ$4,0)))+SUMPRODUCT((Inputs!$C$5:$C$110=$B13)*Inputs!$D$5:$D$110*(((Inputs!$G$5:$G$110="moeda")+(Inputs!$G$5:$G$110="acoes"))*Inputs!$B$1+((Inputs!$G$5:$G$110&lt;&gt;"moeda")*(Inputs!$G$5:$G$110&lt;&gt;"acoes")))*INDEX(Inputs!$K$5:$AJ$110,0,MATCH(I$2,Inputs!$K$4:$AJ$4,0)))+SUMPRODUCT((Inputs!$E$5:$E$110=$B13)*Inputs!$F$5:$F$110*(((Inputs!$G$5:$G$110="moeda")+(Inputs!$G$5:$G$110="acoes"))*Inputs!$B$1+((Inputs!$G$5:$G$110&lt;&gt;"moeda")*(Inputs!$G$5:$G$110&lt;&gt;"acoes")))*INDEX(Inputs!$K$5:$AJ$110,0,MATCH(I$2,Inputs!$K$4:$AJ$4,0)))))</f>
        <v>-1676</v>
      </c>
      <c r="J13" s="6">
        <f>IF(ISNA(MATCH(J$2,Inputs!$K$4:$AJ$4,0)),NA(),IF(SUMPRODUCT((Inputs!$A$5:$A$110=$B13)*ISNUMBER(INDEX(Inputs!$K$5:$AJ$110,0,MATCH(J$2,Inputs!$K$4:$AJ$4,0))))+SUMPRODUCT((Inputs!$C$5:$C$110=$B13)*ISNUMBER(INDEX(Inputs!$K$5:$AJ$110,0,MATCH(J$2,Inputs!$K$4:$AJ$4,0))))+SUMPRODUCT((Inputs!$E$5:$E$110=$B13)*ISNUMBER(INDEX(Inputs!$K$5:$AJ$110,0,MATCH(J$2,Inputs!$K$4:$AJ$4,0))))=0,NA(),SUMPRODUCT((Inputs!$A$5:$A$110=$B13)*Inputs!$B$5:$B$110*(((Inputs!$G$5:$G$110="moeda")+(Inputs!$G$5:$G$110="acoes"))*Inputs!$B$1+((Inputs!$G$5:$G$110&lt;&gt;"moeda")*(Inputs!$G$5:$G$110&lt;&gt;"acoes")))*INDEX(Inputs!$K$5:$AJ$110,0,MATCH(J$2,Inputs!$K$4:$AJ$4,0)))+SUMPRODUCT((Inputs!$C$5:$C$110=$B13)*Inputs!$D$5:$D$110*(((Inputs!$G$5:$G$110="moeda")+(Inputs!$G$5:$G$110="acoes"))*Inputs!$B$1+((Inputs!$G$5:$G$110&lt;&gt;"moeda")*(Inputs!$G$5:$G$110&lt;&gt;"acoes")))*INDEX(Inputs!$K$5:$AJ$110,0,MATCH(J$2,Inputs!$K$4:$AJ$4,0)))+SUMPRODUCT((Inputs!$E$5:$E$110=$B13)*Inputs!$F$5:$F$110*(((Inputs!$G$5:$G$110="moeda")+(Inputs!$G$5:$G$110="acoes"))*Inputs!$B$1+((Inputs!$G$5:$G$110&lt;&gt;"moeda")*(Inputs!$G$5:$G$110&lt;&gt;"acoes")))*INDEX(Inputs!$K$5:$AJ$110,0,MATCH(J$2,Inputs!$K$4:$AJ$4,0)))))</f>
        <v>-1661</v>
      </c>
      <c r="K13" s="6">
        <f>IF(ISNA(MATCH(K$2,Inputs!$K$4:$AJ$4,0)),NA(),IF(SUMPRODUCT((Inputs!$A$5:$A$110=$B13)*ISNUMBER(INDEX(Inputs!$K$5:$AJ$110,0,MATCH(K$2,Inputs!$K$4:$AJ$4,0))))+SUMPRODUCT((Inputs!$C$5:$C$110=$B13)*ISNUMBER(INDEX(Inputs!$K$5:$AJ$110,0,MATCH(K$2,Inputs!$K$4:$AJ$4,0))))+SUMPRODUCT((Inputs!$E$5:$E$110=$B13)*ISNUMBER(INDEX(Inputs!$K$5:$AJ$110,0,MATCH(K$2,Inputs!$K$4:$AJ$4,0))))=0,NA(),SUMPRODUCT((Inputs!$A$5:$A$110=$B13)*Inputs!$B$5:$B$110*(((Inputs!$G$5:$G$110="moeda")+(Inputs!$G$5:$G$110="acoes"))*Inputs!$B$1+((Inputs!$G$5:$G$110&lt;&gt;"moeda")*(Inputs!$G$5:$G$110&lt;&gt;"acoes")))*INDEX(Inputs!$K$5:$AJ$110,0,MATCH(K$2,Inputs!$K$4:$AJ$4,0)))+SUMPRODUCT((Inputs!$C$5:$C$110=$B13)*Inputs!$D$5:$D$110*(((Inputs!$G$5:$G$110="moeda")+(Inputs!$G$5:$G$110="acoes"))*Inputs!$B$1+((Inputs!$G$5:$G$110&lt;&gt;"moeda")*(Inputs!$G$5:$G$110&lt;&gt;"acoes")))*INDEX(Inputs!$K$5:$AJ$110,0,MATCH(K$2,Inputs!$K$4:$AJ$4,0)))+SUMPRODUCT((Inputs!$E$5:$E$110=$B13)*Inputs!$F$5:$F$110*(((Inputs!$G$5:$G$110="moeda")+(Inputs!$G$5:$G$110="acoes"))*Inputs!$B$1+((Inputs!$G$5:$G$110&lt;&gt;"moeda")*(Inputs!$G$5:$G$110&lt;&gt;"acoes")))*INDEX(Inputs!$K$5:$AJ$110,0,MATCH(K$2,Inputs!$K$4:$AJ$4,0)))))</f>
        <v>-1782</v>
      </c>
      <c r="L13" s="6">
        <f>IF(ISNA(MATCH(L$2,Inputs!$K$4:$AJ$4,0)),NA(),IF(SUMPRODUCT((Inputs!$A$5:$A$110=$B13)*ISNUMBER(INDEX(Inputs!$K$5:$AJ$110,0,MATCH(L$2,Inputs!$K$4:$AJ$4,0))))+SUMPRODUCT((Inputs!$C$5:$C$110=$B13)*ISNUMBER(INDEX(Inputs!$K$5:$AJ$110,0,MATCH(L$2,Inputs!$K$4:$AJ$4,0))))+SUMPRODUCT((Inputs!$E$5:$E$110=$B13)*ISNUMBER(INDEX(Inputs!$K$5:$AJ$110,0,MATCH(L$2,Inputs!$K$4:$AJ$4,0))))=0,NA(),SUMPRODUCT((Inputs!$A$5:$A$110=$B13)*Inputs!$B$5:$B$110*(((Inputs!$G$5:$G$110="moeda")+(Inputs!$G$5:$G$110="acoes"))*Inputs!$B$1+((Inputs!$G$5:$G$110&lt;&gt;"moeda")*(Inputs!$G$5:$G$110&lt;&gt;"acoes")))*INDEX(Inputs!$K$5:$AJ$110,0,MATCH(L$2,Inputs!$K$4:$AJ$4,0)))+SUMPRODUCT((Inputs!$C$5:$C$110=$B13)*Inputs!$D$5:$D$110*(((Inputs!$G$5:$G$110="moeda")+(Inputs!$G$5:$G$110="acoes"))*Inputs!$B$1+((Inputs!$G$5:$G$110&lt;&gt;"moeda")*(Inputs!$G$5:$G$110&lt;&gt;"acoes")))*INDEX(Inputs!$K$5:$AJ$110,0,MATCH(L$2,Inputs!$K$4:$AJ$4,0)))+SUMPRODUCT((Inputs!$E$5:$E$110=$B13)*Inputs!$F$5:$F$110*(((Inputs!$G$5:$G$110="moeda")+(Inputs!$G$5:$G$110="acoes"))*Inputs!$B$1+((Inputs!$G$5:$G$110&lt;&gt;"moeda")*(Inputs!$G$5:$G$110&lt;&gt;"acoes")))*INDEX(Inputs!$K$5:$AJ$110,0,MATCH(L$2,Inputs!$K$4:$AJ$4,0)))))</f>
        <v>-1926</v>
      </c>
      <c r="M13" s="3">
        <f>SUM(I13:L13)</f>
        <v>-7045</v>
      </c>
      <c r="N13" s="6">
        <f>IF(ISNA(MATCH(N$2,Inputs!$K$4:$AJ$4,0)),NA(),IF(SUMPRODUCT((Inputs!$A$5:$A$110=$B13)*ISNUMBER(INDEX(Inputs!$K$5:$AJ$110,0,MATCH(N$2,Inputs!$K$4:$AJ$4,0))))+SUMPRODUCT((Inputs!$C$5:$C$110=$B13)*ISNUMBER(INDEX(Inputs!$K$5:$AJ$110,0,MATCH(N$2,Inputs!$K$4:$AJ$4,0))))+SUMPRODUCT((Inputs!$E$5:$E$110=$B13)*ISNUMBER(INDEX(Inputs!$K$5:$AJ$110,0,MATCH(N$2,Inputs!$K$4:$AJ$4,0))))=0,NA(),SUMPRODUCT((Inputs!$A$5:$A$110=$B13)*Inputs!$B$5:$B$110*(((Inputs!$G$5:$G$110="moeda")+(Inputs!$G$5:$G$110="acoes"))*Inputs!$B$1+((Inputs!$G$5:$G$110&lt;&gt;"moeda")*(Inputs!$G$5:$G$110&lt;&gt;"acoes")))*INDEX(Inputs!$K$5:$AJ$110,0,MATCH(N$2,Inputs!$K$4:$AJ$4,0)))+SUMPRODUCT((Inputs!$C$5:$C$110=$B13)*Inputs!$D$5:$D$110*(((Inputs!$G$5:$G$110="moeda")+(Inputs!$G$5:$G$110="acoes"))*Inputs!$B$1+((Inputs!$G$5:$G$110&lt;&gt;"moeda")*(Inputs!$G$5:$G$110&lt;&gt;"acoes")))*INDEX(Inputs!$K$5:$AJ$110,0,MATCH(N$2,Inputs!$K$4:$AJ$4,0)))+SUMPRODUCT((Inputs!$E$5:$E$110=$B13)*Inputs!$F$5:$F$110*(((Inputs!$G$5:$G$110="moeda")+(Inputs!$G$5:$G$110="acoes"))*Inputs!$B$1+((Inputs!$G$5:$G$110&lt;&gt;"moeda")*(Inputs!$G$5:$G$110&lt;&gt;"acoes")))*INDEX(Inputs!$K$5:$AJ$110,0,MATCH(N$2,Inputs!$K$4:$AJ$4,0)))))</f>
        <v>-1914</v>
      </c>
      <c r="O13" s="6">
        <f>IF(ISNA(MATCH(O$2,Inputs!$K$4:$AJ$4,0)),NA(),IF(SUMPRODUCT((Inputs!$A$5:$A$110=$B13)*ISNUMBER(INDEX(Inputs!$K$5:$AJ$110,0,MATCH(O$2,Inputs!$K$4:$AJ$4,0))))+SUMPRODUCT((Inputs!$C$5:$C$110=$B13)*ISNUMBER(INDEX(Inputs!$K$5:$AJ$110,0,MATCH(O$2,Inputs!$K$4:$AJ$4,0))))+SUMPRODUCT((Inputs!$E$5:$E$110=$B13)*ISNUMBER(INDEX(Inputs!$K$5:$AJ$110,0,MATCH(O$2,Inputs!$K$4:$AJ$4,0))))=0,NA(),SUMPRODUCT((Inputs!$A$5:$A$110=$B13)*Inputs!$B$5:$B$110*(((Inputs!$G$5:$G$110="moeda")+(Inputs!$G$5:$G$110="acoes"))*Inputs!$B$1+((Inputs!$G$5:$G$110&lt;&gt;"moeda")*(Inputs!$G$5:$G$110&lt;&gt;"acoes")))*INDEX(Inputs!$K$5:$AJ$110,0,MATCH(O$2,Inputs!$K$4:$AJ$4,0)))+SUMPRODUCT((Inputs!$C$5:$C$110=$B13)*Inputs!$D$5:$D$110*(((Inputs!$G$5:$G$110="moeda")+(Inputs!$G$5:$G$110="acoes"))*Inputs!$B$1+((Inputs!$G$5:$G$110&lt;&gt;"moeda")*(Inputs!$G$5:$G$110&lt;&gt;"acoes")))*INDEX(Inputs!$K$5:$AJ$110,0,MATCH(O$2,Inputs!$K$4:$AJ$4,0)))+SUMPRODUCT((Inputs!$E$5:$E$110=$B13)*Inputs!$F$5:$F$110*(((Inputs!$G$5:$G$110="moeda")+(Inputs!$G$5:$G$110="acoes"))*Inputs!$B$1+((Inputs!$G$5:$G$110&lt;&gt;"moeda")*(Inputs!$G$5:$G$110&lt;&gt;"acoes")))*INDEX(Inputs!$K$5:$AJ$110,0,MATCH(O$2,Inputs!$K$4:$AJ$4,0)))))</f>
        <v>-1901</v>
      </c>
      <c r="P13" s="6">
        <f>IF(ISNA(MATCH(P$2,Inputs!$K$4:$AJ$4,0)),NA(),IF(SUMPRODUCT((Inputs!$A$5:$A$110=$B13)*ISNUMBER(INDEX(Inputs!$K$5:$AJ$110,0,MATCH(P$2,Inputs!$K$4:$AJ$4,0))))+SUMPRODUCT((Inputs!$C$5:$C$110=$B13)*ISNUMBER(INDEX(Inputs!$K$5:$AJ$110,0,MATCH(P$2,Inputs!$K$4:$AJ$4,0))))+SUMPRODUCT((Inputs!$E$5:$E$110=$B13)*ISNUMBER(INDEX(Inputs!$K$5:$AJ$110,0,MATCH(P$2,Inputs!$K$4:$AJ$4,0))))=0,NA(),SUMPRODUCT((Inputs!$A$5:$A$110=$B13)*Inputs!$B$5:$B$110*(((Inputs!$G$5:$G$110="moeda")+(Inputs!$G$5:$G$110="acoes"))*Inputs!$B$1+((Inputs!$G$5:$G$110&lt;&gt;"moeda")*(Inputs!$G$5:$G$110&lt;&gt;"acoes")))*INDEX(Inputs!$K$5:$AJ$110,0,MATCH(P$2,Inputs!$K$4:$AJ$4,0)))+SUMPRODUCT((Inputs!$C$5:$C$110=$B13)*Inputs!$D$5:$D$110*(((Inputs!$G$5:$G$110="moeda")+(Inputs!$G$5:$G$110="acoes"))*Inputs!$B$1+((Inputs!$G$5:$G$110&lt;&gt;"moeda")*(Inputs!$G$5:$G$110&lt;&gt;"acoes")))*INDEX(Inputs!$K$5:$AJ$110,0,MATCH(P$2,Inputs!$K$4:$AJ$4,0)))+SUMPRODUCT((Inputs!$E$5:$E$110=$B13)*Inputs!$F$5:$F$110*(((Inputs!$G$5:$G$110="moeda")+(Inputs!$G$5:$G$110="acoes"))*Inputs!$B$1+((Inputs!$G$5:$G$110&lt;&gt;"moeda")*(Inputs!$G$5:$G$110&lt;&gt;"acoes")))*INDEX(Inputs!$K$5:$AJ$110,0,MATCH(P$2,Inputs!$K$4:$AJ$4,0)))))</f>
        <v>-1904</v>
      </c>
      <c r="Q13" s="6">
        <f>IF(ISNA(MATCH(Q$2,Inputs!$K$4:$AJ$4,0)),NA(),IF(SUMPRODUCT((Inputs!$A$5:$A$110=$B13)*ISNUMBER(INDEX(Inputs!$K$5:$AJ$110,0,MATCH(Q$2,Inputs!$K$4:$AJ$4,0))))+SUMPRODUCT((Inputs!$C$5:$C$110=$B13)*ISNUMBER(INDEX(Inputs!$K$5:$AJ$110,0,MATCH(Q$2,Inputs!$K$4:$AJ$4,0))))+SUMPRODUCT((Inputs!$E$5:$E$110=$B13)*ISNUMBER(INDEX(Inputs!$K$5:$AJ$110,0,MATCH(Q$2,Inputs!$K$4:$AJ$4,0))))=0,NA(),SUMPRODUCT((Inputs!$A$5:$A$110=$B13)*Inputs!$B$5:$B$110*(((Inputs!$G$5:$G$110="moeda")+(Inputs!$G$5:$G$110="acoes"))*Inputs!$B$1+((Inputs!$G$5:$G$110&lt;&gt;"moeda")*(Inputs!$G$5:$G$110&lt;&gt;"acoes")))*INDEX(Inputs!$K$5:$AJ$110,0,MATCH(Q$2,Inputs!$K$4:$AJ$4,0)))+SUMPRODUCT((Inputs!$C$5:$C$110=$B13)*Inputs!$D$5:$D$110*(((Inputs!$G$5:$G$110="moeda")+(Inputs!$G$5:$G$110="acoes"))*Inputs!$B$1+((Inputs!$G$5:$G$110&lt;&gt;"moeda")*(Inputs!$G$5:$G$110&lt;&gt;"acoes")))*INDEX(Inputs!$K$5:$AJ$110,0,MATCH(Q$2,Inputs!$K$4:$AJ$4,0)))+SUMPRODUCT((Inputs!$E$5:$E$110=$B13)*Inputs!$F$5:$F$110*(((Inputs!$G$5:$G$110="moeda")+(Inputs!$G$5:$G$110="acoes"))*Inputs!$B$1+((Inputs!$G$5:$G$110&lt;&gt;"moeda")*(Inputs!$G$5:$G$110&lt;&gt;"acoes")))*INDEX(Inputs!$K$5:$AJ$110,0,MATCH(Q$2,Inputs!$K$4:$AJ$4,0)))))</f>
        <v>-2435</v>
      </c>
      <c r="R13" s="3">
        <f>SUM(N13:Q13)</f>
        <v>-8154</v>
      </c>
      <c r="S13" s="6">
        <f>IF(ISNA(MATCH(S$2,Inputs!$K$4:$AJ$4,0)),NA(),IF(SUMPRODUCT((Inputs!$A$5:$A$110=$B13)*ISNUMBER(INDEX(Inputs!$K$5:$AJ$110,0,MATCH(S$2,Inputs!$K$4:$AJ$4,0))))+SUMPRODUCT((Inputs!$C$5:$C$110=$B13)*ISNUMBER(INDEX(Inputs!$K$5:$AJ$110,0,MATCH(S$2,Inputs!$K$4:$AJ$4,0))))+SUMPRODUCT((Inputs!$E$5:$E$110=$B13)*ISNUMBER(INDEX(Inputs!$K$5:$AJ$110,0,MATCH(S$2,Inputs!$K$4:$AJ$4,0))))=0,NA(),SUMPRODUCT((Inputs!$A$5:$A$110=$B13)*Inputs!$B$5:$B$110*(((Inputs!$G$5:$G$110="moeda")+(Inputs!$G$5:$G$110="acoes"))*Inputs!$B$1+((Inputs!$G$5:$G$110&lt;&gt;"moeda")*(Inputs!$G$5:$G$110&lt;&gt;"acoes")))*INDEX(Inputs!$K$5:$AJ$110,0,MATCH(S$2,Inputs!$K$4:$AJ$4,0)))+SUMPRODUCT((Inputs!$C$5:$C$110=$B13)*Inputs!$D$5:$D$110*(((Inputs!$G$5:$G$110="moeda")+(Inputs!$G$5:$G$110="acoes"))*Inputs!$B$1+((Inputs!$G$5:$G$110&lt;&gt;"moeda")*(Inputs!$G$5:$G$110&lt;&gt;"acoes")))*INDEX(Inputs!$K$5:$AJ$110,0,MATCH(S$2,Inputs!$K$4:$AJ$4,0)))+SUMPRODUCT((Inputs!$E$5:$E$110=$B13)*Inputs!$F$5:$F$110*(((Inputs!$G$5:$G$110="moeda")+(Inputs!$G$5:$G$110="acoes"))*Inputs!$B$1+((Inputs!$G$5:$G$110&lt;&gt;"moeda")*(Inputs!$G$5:$G$110&lt;&gt;"acoes")))*INDEX(Inputs!$K$5:$AJ$110,0,MATCH(S$2,Inputs!$K$4:$AJ$4,0)))))</f>
        <v>-2443</v>
      </c>
      <c r="T13" s="6">
        <f>IF(ISNA(MATCH(T$2,Inputs!$K$4:$AJ$4,0)),NA(),IF(SUMPRODUCT((Inputs!$A$5:$A$110=$B13)*ISNUMBER(INDEX(Inputs!$K$5:$AJ$110,0,MATCH(T$2,Inputs!$K$4:$AJ$4,0))))+SUMPRODUCT((Inputs!$C$5:$C$110=$B13)*ISNUMBER(INDEX(Inputs!$K$5:$AJ$110,0,MATCH(T$2,Inputs!$K$4:$AJ$4,0))))+SUMPRODUCT((Inputs!$E$5:$E$110=$B13)*ISNUMBER(INDEX(Inputs!$K$5:$AJ$110,0,MATCH(T$2,Inputs!$K$4:$AJ$4,0))))=0,NA(),SUMPRODUCT((Inputs!$A$5:$A$110=$B13)*Inputs!$B$5:$B$110*(((Inputs!$G$5:$G$110="moeda")+(Inputs!$G$5:$G$110="acoes"))*Inputs!$B$1+((Inputs!$G$5:$G$110&lt;&gt;"moeda")*(Inputs!$G$5:$G$110&lt;&gt;"acoes")))*INDEX(Inputs!$K$5:$AJ$110,0,MATCH(T$2,Inputs!$K$4:$AJ$4,0)))+SUMPRODUCT((Inputs!$C$5:$C$110=$B13)*Inputs!$D$5:$D$110*(((Inputs!$G$5:$G$110="moeda")+(Inputs!$G$5:$G$110="acoes"))*Inputs!$B$1+((Inputs!$G$5:$G$110&lt;&gt;"moeda")*(Inputs!$G$5:$G$110&lt;&gt;"acoes")))*INDEX(Inputs!$K$5:$AJ$110,0,MATCH(T$2,Inputs!$K$4:$AJ$4,0)))+SUMPRODUCT((Inputs!$E$5:$E$110=$B13)*Inputs!$F$5:$F$110*(((Inputs!$G$5:$G$110="moeda")+(Inputs!$G$5:$G$110="acoes"))*Inputs!$B$1+((Inputs!$G$5:$G$110&lt;&gt;"moeda")*(Inputs!$G$5:$G$110&lt;&gt;"acoes")))*INDEX(Inputs!$K$5:$AJ$110,0,MATCH(T$2,Inputs!$K$4:$AJ$4,0)))))</f>
        <v>-2452</v>
      </c>
      <c r="U13" s="6">
        <f>IF(ISNA(MATCH(U$2,Inputs!$K$4:$AJ$4,0)),NA(),IF(SUMPRODUCT((Inputs!$A$5:$A$110=$B13)*ISNUMBER(INDEX(Inputs!$K$5:$AJ$110,0,MATCH(U$2,Inputs!$K$4:$AJ$4,0))))+SUMPRODUCT((Inputs!$C$5:$C$110=$B13)*ISNUMBER(INDEX(Inputs!$K$5:$AJ$110,0,MATCH(U$2,Inputs!$K$4:$AJ$4,0))))+SUMPRODUCT((Inputs!$E$5:$E$110=$B13)*ISNUMBER(INDEX(Inputs!$K$5:$AJ$110,0,MATCH(U$2,Inputs!$K$4:$AJ$4,0))))=0,NA(),SUMPRODUCT((Inputs!$A$5:$A$110=$B13)*Inputs!$B$5:$B$110*(((Inputs!$G$5:$G$110="moeda")+(Inputs!$G$5:$G$110="acoes"))*Inputs!$B$1+((Inputs!$G$5:$G$110&lt;&gt;"moeda")*(Inputs!$G$5:$G$110&lt;&gt;"acoes")))*INDEX(Inputs!$K$5:$AJ$110,0,MATCH(U$2,Inputs!$K$4:$AJ$4,0)))+SUMPRODUCT((Inputs!$C$5:$C$110=$B13)*Inputs!$D$5:$D$110*(((Inputs!$G$5:$G$110="moeda")+(Inputs!$G$5:$G$110="acoes"))*Inputs!$B$1+((Inputs!$G$5:$G$110&lt;&gt;"moeda")*(Inputs!$G$5:$G$110&lt;&gt;"acoes")))*INDEX(Inputs!$K$5:$AJ$110,0,MATCH(U$2,Inputs!$K$4:$AJ$4,0)))+SUMPRODUCT((Inputs!$E$5:$E$110=$B13)*Inputs!$F$5:$F$110*(((Inputs!$G$5:$G$110="moeda")+(Inputs!$G$5:$G$110="acoes"))*Inputs!$B$1+((Inputs!$G$5:$G$110&lt;&gt;"moeda")*(Inputs!$G$5:$G$110&lt;&gt;"acoes")))*INDEX(Inputs!$K$5:$AJ$110,0,MATCH(U$2,Inputs!$K$4:$AJ$4,0)))))</f>
        <v>-2484</v>
      </c>
      <c r="V13" s="6">
        <f>IF(ISNA(MATCH(V$2,Inputs!$K$4:$AJ$4,0)),NA(),IF(SUMPRODUCT((Inputs!$A$5:$A$110=$B13)*ISNUMBER(INDEX(Inputs!$K$5:$AJ$110,0,MATCH(V$2,Inputs!$K$4:$AJ$4,0))))+SUMPRODUCT((Inputs!$C$5:$C$110=$B13)*ISNUMBER(INDEX(Inputs!$K$5:$AJ$110,0,MATCH(V$2,Inputs!$K$4:$AJ$4,0))))+SUMPRODUCT((Inputs!$E$5:$E$110=$B13)*ISNUMBER(INDEX(Inputs!$K$5:$AJ$110,0,MATCH(V$2,Inputs!$K$4:$AJ$4,0))))=0,NA(),SUMPRODUCT((Inputs!$A$5:$A$110=$B13)*Inputs!$B$5:$B$110*(((Inputs!$G$5:$G$110="moeda")+(Inputs!$G$5:$G$110="acoes"))*Inputs!$B$1+((Inputs!$G$5:$G$110&lt;&gt;"moeda")*(Inputs!$G$5:$G$110&lt;&gt;"acoes")))*INDEX(Inputs!$K$5:$AJ$110,0,MATCH(V$2,Inputs!$K$4:$AJ$4,0)))+SUMPRODUCT((Inputs!$C$5:$C$110=$B13)*Inputs!$D$5:$D$110*(((Inputs!$G$5:$G$110="moeda")+(Inputs!$G$5:$G$110="acoes"))*Inputs!$B$1+((Inputs!$G$5:$G$110&lt;&gt;"moeda")*(Inputs!$G$5:$G$110&lt;&gt;"acoes")))*INDEX(Inputs!$K$5:$AJ$110,0,MATCH(V$2,Inputs!$K$4:$AJ$4,0)))+SUMPRODUCT((Inputs!$E$5:$E$110=$B13)*Inputs!$F$5:$F$110*(((Inputs!$G$5:$G$110="moeda")+(Inputs!$G$5:$G$110="acoes"))*Inputs!$B$1+((Inputs!$G$5:$G$110&lt;&gt;"moeda")*(Inputs!$G$5:$G$110&lt;&gt;"acoes")))*INDEX(Inputs!$K$5:$AJ$110,0,MATCH(V$2,Inputs!$K$4:$AJ$4,0)))))</f>
        <v>-2774</v>
      </c>
      <c r="W13" s="3">
        <f>SUM(S13:V13)</f>
        <v>-10153</v>
      </c>
      <c r="X13" s="6">
        <f>IF(ISNA(MATCH(X$2,Inputs!$K$4:$AJ$4,0)),NA(),IF(SUMPRODUCT((Inputs!$A$5:$A$110=$B13)*ISNUMBER(INDEX(Inputs!$K$5:$AJ$110,0,MATCH(X$2,Inputs!$K$4:$AJ$4,0))))+SUMPRODUCT((Inputs!$C$5:$C$110=$B13)*ISNUMBER(INDEX(Inputs!$K$5:$AJ$110,0,MATCH(X$2,Inputs!$K$4:$AJ$4,0))))+SUMPRODUCT((Inputs!$E$5:$E$110=$B13)*ISNUMBER(INDEX(Inputs!$K$5:$AJ$110,0,MATCH(X$2,Inputs!$K$4:$AJ$4,0))))=0,NA(),SUMPRODUCT((Inputs!$A$5:$A$110=$B13)*Inputs!$B$5:$B$110*(((Inputs!$G$5:$G$110="moeda")+(Inputs!$G$5:$G$110="acoes"))*Inputs!$B$1+((Inputs!$G$5:$G$110&lt;&gt;"moeda")*(Inputs!$G$5:$G$110&lt;&gt;"acoes")))*INDEX(Inputs!$K$5:$AJ$110,0,MATCH(X$2,Inputs!$K$4:$AJ$4,0)))+SUMPRODUCT((Inputs!$C$5:$C$110=$B13)*Inputs!$D$5:$D$110*(((Inputs!$G$5:$G$110="moeda")+(Inputs!$G$5:$G$110="acoes"))*Inputs!$B$1+((Inputs!$G$5:$G$110&lt;&gt;"moeda")*(Inputs!$G$5:$G$110&lt;&gt;"acoes")))*INDEX(Inputs!$K$5:$AJ$110,0,MATCH(X$2,Inputs!$K$4:$AJ$4,0)))+SUMPRODUCT((Inputs!$E$5:$E$110=$B13)*Inputs!$F$5:$F$110*(((Inputs!$G$5:$G$110="moeda")+(Inputs!$G$5:$G$110="acoes"))*Inputs!$B$1+((Inputs!$G$5:$G$110&lt;&gt;"moeda")*(Inputs!$G$5:$G$110&lt;&gt;"acoes")))*INDEX(Inputs!$K$5:$AJ$110,0,MATCH(X$2,Inputs!$K$4:$AJ$4,0)))))</f>
        <v>-2785</v>
      </c>
      <c r="Y13" s="6">
        <f>IF(ISNA(MATCH(Y$2,Inputs!$K$4:$AJ$4,0)),NA(),IF(SUMPRODUCT((Inputs!$A$5:$A$110=$B13)*ISNUMBER(INDEX(Inputs!$K$5:$AJ$110,0,MATCH(Y$2,Inputs!$K$4:$AJ$4,0))))+SUMPRODUCT((Inputs!$C$5:$C$110=$B13)*ISNUMBER(INDEX(Inputs!$K$5:$AJ$110,0,MATCH(Y$2,Inputs!$K$4:$AJ$4,0))))+SUMPRODUCT((Inputs!$E$5:$E$110=$B13)*ISNUMBER(INDEX(Inputs!$K$5:$AJ$110,0,MATCH(Y$2,Inputs!$K$4:$AJ$4,0))))=0,NA(),SUMPRODUCT((Inputs!$A$5:$A$110=$B13)*Inputs!$B$5:$B$110*(((Inputs!$G$5:$G$110="moeda")+(Inputs!$G$5:$G$110="acoes"))*Inputs!$B$1+((Inputs!$G$5:$G$110&lt;&gt;"moeda")*(Inputs!$G$5:$G$110&lt;&gt;"acoes")))*INDEX(Inputs!$K$5:$AJ$110,0,MATCH(Y$2,Inputs!$K$4:$AJ$4,0)))+SUMPRODUCT((Inputs!$C$5:$C$110=$B13)*Inputs!$D$5:$D$110*(((Inputs!$G$5:$G$110="moeda")+(Inputs!$G$5:$G$110="acoes"))*Inputs!$B$1+((Inputs!$G$5:$G$110&lt;&gt;"moeda")*(Inputs!$G$5:$G$110&lt;&gt;"acoes")))*INDEX(Inputs!$K$5:$AJ$110,0,MATCH(Y$2,Inputs!$K$4:$AJ$4,0)))+SUMPRODUCT((Inputs!$E$5:$E$110=$B13)*Inputs!$F$5:$F$110*(((Inputs!$G$5:$G$110="moeda")+(Inputs!$G$5:$G$110="acoes"))*Inputs!$B$1+((Inputs!$G$5:$G$110&lt;&gt;"moeda")*(Inputs!$G$5:$G$110&lt;&gt;"acoes")))*INDEX(Inputs!$K$5:$AJ$110,0,MATCH(Y$2,Inputs!$K$4:$AJ$4,0)))))</f>
        <v>-2786</v>
      </c>
      <c r="Z13" s="6">
        <f>IF(ISNA(MATCH(Z$2,Inputs!$K$4:$AJ$4,0)),NA(),IF(SUMPRODUCT((Inputs!$A$5:$A$110=$B13)*ISNUMBER(INDEX(Inputs!$K$5:$AJ$110,0,MATCH(Z$2,Inputs!$K$4:$AJ$4,0))))+SUMPRODUCT((Inputs!$C$5:$C$110=$B13)*ISNUMBER(INDEX(Inputs!$K$5:$AJ$110,0,MATCH(Z$2,Inputs!$K$4:$AJ$4,0))))+SUMPRODUCT((Inputs!$E$5:$E$110=$B13)*ISNUMBER(INDEX(Inputs!$K$5:$AJ$110,0,MATCH(Z$2,Inputs!$K$4:$AJ$4,0))))=0,NA(),SUMPRODUCT((Inputs!$A$5:$A$110=$B13)*Inputs!$B$5:$B$110*(((Inputs!$G$5:$G$110="moeda")+(Inputs!$G$5:$G$110="acoes"))*Inputs!$B$1+((Inputs!$G$5:$G$110&lt;&gt;"moeda")*(Inputs!$G$5:$G$110&lt;&gt;"acoes")))*INDEX(Inputs!$K$5:$AJ$110,0,MATCH(Z$2,Inputs!$K$4:$AJ$4,0)))+SUMPRODUCT((Inputs!$C$5:$C$110=$B13)*Inputs!$D$5:$D$110*(((Inputs!$G$5:$G$110="moeda")+(Inputs!$G$5:$G$110="acoes"))*Inputs!$B$1+((Inputs!$G$5:$G$110&lt;&gt;"moeda")*(Inputs!$G$5:$G$110&lt;&gt;"acoes")))*INDEX(Inputs!$K$5:$AJ$110,0,MATCH(Z$2,Inputs!$K$4:$AJ$4,0)))+SUMPRODUCT((Inputs!$E$5:$E$110=$B13)*Inputs!$F$5:$F$110*(((Inputs!$G$5:$G$110="moeda")+(Inputs!$G$5:$G$110="acoes"))*Inputs!$B$1+((Inputs!$G$5:$G$110&lt;&gt;"moeda")*(Inputs!$G$5:$G$110&lt;&gt;"acoes")))*INDEX(Inputs!$K$5:$AJ$110,0,MATCH(Z$2,Inputs!$K$4:$AJ$4,0)))))</f>
        <v>-2797</v>
      </c>
      <c r="AA13" s="6">
        <f>IF(ISNA(MATCH(AA$2,Inputs!$K$4:$AJ$4,0)),NA(),IF(SUMPRODUCT((Inputs!$A$5:$A$110=$B13)*ISNUMBER(INDEX(Inputs!$K$5:$AJ$110,0,MATCH(AA$2,Inputs!$K$4:$AJ$4,0))))+SUMPRODUCT((Inputs!$C$5:$C$110=$B13)*ISNUMBER(INDEX(Inputs!$K$5:$AJ$110,0,MATCH(AA$2,Inputs!$K$4:$AJ$4,0))))+SUMPRODUCT((Inputs!$E$5:$E$110=$B13)*ISNUMBER(INDEX(Inputs!$K$5:$AJ$110,0,MATCH(AA$2,Inputs!$K$4:$AJ$4,0))))=0,NA(),SUMPRODUCT((Inputs!$A$5:$A$110=$B13)*Inputs!$B$5:$B$110*(((Inputs!$G$5:$G$110="moeda")+(Inputs!$G$5:$G$110="acoes"))*Inputs!$B$1+((Inputs!$G$5:$G$110&lt;&gt;"moeda")*(Inputs!$G$5:$G$110&lt;&gt;"acoes")))*INDEX(Inputs!$K$5:$AJ$110,0,MATCH(AA$2,Inputs!$K$4:$AJ$4,0)))+SUMPRODUCT((Inputs!$C$5:$C$110=$B13)*Inputs!$D$5:$D$110*(((Inputs!$G$5:$G$110="moeda")+(Inputs!$G$5:$G$110="acoes"))*Inputs!$B$1+((Inputs!$G$5:$G$110&lt;&gt;"moeda")*(Inputs!$G$5:$G$110&lt;&gt;"acoes")))*INDEX(Inputs!$K$5:$AJ$110,0,MATCH(AA$2,Inputs!$K$4:$AJ$4,0)))+SUMPRODUCT((Inputs!$E$5:$E$110=$B13)*Inputs!$F$5:$F$110*(((Inputs!$G$5:$G$110="moeda")+(Inputs!$G$5:$G$110="acoes"))*Inputs!$B$1+((Inputs!$G$5:$G$110&lt;&gt;"moeda")*(Inputs!$G$5:$G$110&lt;&gt;"acoes")))*INDEX(Inputs!$K$5:$AJ$110,0,MATCH(AA$2,Inputs!$K$4:$AJ$4,0)))))</f>
        <v>-3086</v>
      </c>
      <c r="AB13" s="3">
        <f>SUM(X13:AA13)</f>
        <v>-11454</v>
      </c>
      <c r="AC13" s="6">
        <f>IF(ISNA(MATCH(AC$2,Inputs!$K$4:$AJ$4,0)),NA(),IF(SUMPRODUCT((Inputs!$A$5:$A$110=$B13)*ISNUMBER(INDEX(Inputs!$K$5:$AJ$110,0,MATCH(AC$2,Inputs!$K$4:$AJ$4,0))))+SUMPRODUCT((Inputs!$C$5:$C$110=$B13)*ISNUMBER(INDEX(Inputs!$K$5:$AJ$110,0,MATCH(AC$2,Inputs!$K$4:$AJ$4,0))))+SUMPRODUCT((Inputs!$E$5:$E$110=$B13)*ISNUMBER(INDEX(Inputs!$K$5:$AJ$110,0,MATCH(AC$2,Inputs!$K$4:$AJ$4,0))))=0,NA(),SUMPRODUCT((Inputs!$A$5:$A$110=$B13)*Inputs!$B$5:$B$110*(((Inputs!$G$5:$G$110="moeda")+(Inputs!$G$5:$G$110="acoes"))*Inputs!$B$1+((Inputs!$G$5:$G$110&lt;&gt;"moeda")*(Inputs!$G$5:$G$110&lt;&gt;"acoes")))*INDEX(Inputs!$K$5:$AJ$110,0,MATCH(AC$2,Inputs!$K$4:$AJ$4,0)))+SUMPRODUCT((Inputs!$C$5:$C$110=$B13)*Inputs!$D$5:$D$110*(((Inputs!$G$5:$G$110="moeda")+(Inputs!$G$5:$G$110="acoes"))*Inputs!$B$1+((Inputs!$G$5:$G$110&lt;&gt;"moeda")*(Inputs!$G$5:$G$110&lt;&gt;"acoes")))*INDEX(Inputs!$K$5:$AJ$110,0,MATCH(AC$2,Inputs!$K$4:$AJ$4,0)))+SUMPRODUCT((Inputs!$E$5:$E$110=$B13)*Inputs!$F$5:$F$110*(((Inputs!$G$5:$G$110="moeda")+(Inputs!$G$5:$G$110="acoes"))*Inputs!$B$1+((Inputs!$G$5:$G$110&lt;&gt;"moeda")*(Inputs!$G$5:$G$110&lt;&gt;"acoes")))*INDEX(Inputs!$K$5:$AJ$110,0,MATCH(AC$2,Inputs!$K$4:$AJ$4,0)))))</f>
        <v>-3092</v>
      </c>
      <c r="AD13" s="6">
        <f>IF(ISNA(MATCH(AD$2,Inputs!$K$4:$AJ$4,0)),NA(),IF(SUMPRODUCT((Inputs!$A$5:$A$110=$B13)*ISNUMBER(INDEX(Inputs!$K$5:$AJ$110,0,MATCH(AD$2,Inputs!$K$4:$AJ$4,0))))+SUMPRODUCT((Inputs!$C$5:$C$110=$B13)*ISNUMBER(INDEX(Inputs!$K$5:$AJ$110,0,MATCH(AD$2,Inputs!$K$4:$AJ$4,0))))+SUMPRODUCT((Inputs!$E$5:$E$110=$B13)*ISNUMBER(INDEX(Inputs!$K$5:$AJ$110,0,MATCH(AD$2,Inputs!$K$4:$AJ$4,0))))=0,NA(),SUMPRODUCT((Inputs!$A$5:$A$110=$B13)*Inputs!$B$5:$B$110*(((Inputs!$G$5:$G$110="moeda")+(Inputs!$G$5:$G$110="acoes"))*Inputs!$B$1+((Inputs!$G$5:$G$110&lt;&gt;"moeda")*(Inputs!$G$5:$G$110&lt;&gt;"acoes")))*INDEX(Inputs!$K$5:$AJ$110,0,MATCH(AD$2,Inputs!$K$4:$AJ$4,0)))+SUMPRODUCT((Inputs!$C$5:$C$110=$B13)*Inputs!$D$5:$D$110*(((Inputs!$G$5:$G$110="moeda")+(Inputs!$G$5:$G$110="acoes"))*Inputs!$B$1+((Inputs!$G$5:$G$110&lt;&gt;"moeda")*(Inputs!$G$5:$G$110&lt;&gt;"acoes")))*INDEX(Inputs!$K$5:$AJ$110,0,MATCH(AD$2,Inputs!$K$4:$AJ$4,0)))+SUMPRODUCT((Inputs!$E$5:$E$110=$B13)*Inputs!$F$5:$F$110*(((Inputs!$G$5:$G$110="moeda")+(Inputs!$G$5:$G$110="acoes"))*Inputs!$B$1+((Inputs!$G$5:$G$110&lt;&gt;"moeda")*(Inputs!$G$5:$G$110&lt;&gt;"acoes")))*INDEX(Inputs!$K$5:$AJ$110,0,MATCH(AD$2,Inputs!$K$4:$AJ$4,0)))))</f>
        <v>-3103</v>
      </c>
      <c r="AE13" s="6" t="e">
        <f>IF(ISNA(MATCH(AE$2,Inputs!$K$4:$AJ$4,0)),NA(),IF(SUMPRODUCT((Inputs!$A$5:$A$110=$B13)*ISNUMBER(INDEX(Inputs!$K$5:$AJ$110,0,MATCH(AE$2,Inputs!$K$4:$AJ$4,0))))+SUMPRODUCT((Inputs!$C$5:$C$110=$B13)*ISNUMBER(INDEX(Inputs!$K$5:$AJ$110,0,MATCH(AE$2,Inputs!$K$4:$AJ$4,0))))+SUMPRODUCT((Inputs!$E$5:$E$110=$B13)*ISNUMBER(INDEX(Inputs!$K$5:$AJ$110,0,MATCH(AE$2,Inputs!$K$4:$AJ$4,0))))=0,NA(),SUMPRODUCT((Inputs!$A$5:$A$110=$B13)*Inputs!$B$5:$B$110*(((Inputs!$G$5:$G$110="moeda")+(Inputs!$G$5:$G$110="acoes"))*Inputs!$B$1+((Inputs!$G$5:$G$110&lt;&gt;"moeda")*(Inputs!$G$5:$G$110&lt;&gt;"acoes")))*INDEX(Inputs!$K$5:$AJ$110,0,MATCH(AE$2,Inputs!$K$4:$AJ$4,0)))+SUMPRODUCT((Inputs!$C$5:$C$110=$B13)*Inputs!$D$5:$D$110*(((Inputs!$G$5:$G$110="moeda")+(Inputs!$G$5:$G$110="acoes"))*Inputs!$B$1+((Inputs!$G$5:$G$110&lt;&gt;"moeda")*(Inputs!$G$5:$G$110&lt;&gt;"acoes")))*INDEX(Inputs!$K$5:$AJ$110,0,MATCH(AE$2,Inputs!$K$4:$AJ$4,0)))+SUMPRODUCT((Inputs!$E$5:$E$110=$B13)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3" s="6" t="e">
        <f>IF(ISNA(MATCH(AF$2,Inputs!$K$4:$AJ$4,0)),NA(),IF(SUMPRODUCT((Inputs!$A$5:$A$110=$B13)*ISNUMBER(INDEX(Inputs!$K$5:$AJ$110,0,MATCH(AF$2,Inputs!$K$4:$AJ$4,0))))+SUMPRODUCT((Inputs!$C$5:$C$110=$B13)*ISNUMBER(INDEX(Inputs!$K$5:$AJ$110,0,MATCH(AF$2,Inputs!$K$4:$AJ$4,0))))+SUMPRODUCT((Inputs!$E$5:$E$110=$B13)*ISNUMBER(INDEX(Inputs!$K$5:$AJ$110,0,MATCH(AF$2,Inputs!$K$4:$AJ$4,0))))=0,NA(),SUMPRODUCT((Inputs!$A$5:$A$110=$B13)*Inputs!$B$5:$B$110*(((Inputs!$G$5:$G$110="moeda")+(Inputs!$G$5:$G$110="acoes"))*Inputs!$B$1+((Inputs!$G$5:$G$110&lt;&gt;"moeda")*(Inputs!$G$5:$G$110&lt;&gt;"acoes")))*INDEX(Inputs!$K$5:$AJ$110,0,MATCH(AF$2,Inputs!$K$4:$AJ$4,0)))+SUMPRODUCT((Inputs!$C$5:$C$110=$B13)*Inputs!$D$5:$D$110*(((Inputs!$G$5:$G$110="moeda")+(Inputs!$G$5:$G$110="acoes"))*Inputs!$B$1+((Inputs!$G$5:$G$110&lt;&gt;"moeda")*(Inputs!$G$5:$G$110&lt;&gt;"acoes")))*INDEX(Inputs!$K$5:$AJ$110,0,MATCH(AF$2,Inputs!$K$4:$AJ$4,0)))+SUMPRODUCT((Inputs!$E$5:$E$110=$B13)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3" s="3" t="e">
        <f>SUM(AC13:AF13)</f>
        <v>#N/A</v>
      </c>
      <c r="AH13" s="6">
        <f>IF(ISNA(MATCH(AH$2,Inputs!$K$4:$AJ$4,0)),NA(),IF(SUMPRODUCT((Inputs!$A$5:$A$110=$B13)*ISNUMBER(INDEX(Inputs!$K$5:$AJ$110,0,MATCH(AH$2,Inputs!$K$4:$AJ$4,0))))+SUMPRODUCT((Inputs!$C$5:$C$110=$B13)*ISNUMBER(INDEX(Inputs!$K$5:$AJ$110,0,MATCH(AH$2,Inputs!$K$4:$AJ$4,0))))+SUMPRODUCT((Inputs!$E$5:$E$110=$B13)*ISNUMBER(INDEX(Inputs!$K$5:$AJ$110,0,MATCH(AH$2,Inputs!$K$4:$AJ$4,0))))=0,NA(),SUMPRODUCT((Inputs!$A$5:$A$110=$B13)*Inputs!$B$5:$B$110*(((Inputs!$G$5:$G$110="moeda")+(Inputs!$G$5:$G$110="acoes"))*Inputs!$B$1+((Inputs!$G$5:$G$110&lt;&gt;"moeda")*(Inputs!$G$5:$G$110&lt;&gt;"acoes")))*INDEX(Inputs!$K$5:$AJ$110,0,MATCH(AH$2,Inputs!$K$4:$AJ$4,0)))+SUMPRODUCT((Inputs!$C$5:$C$110=$B13)*Inputs!$D$5:$D$110*(((Inputs!$G$5:$G$110="moeda")+(Inputs!$G$5:$G$110="acoes"))*Inputs!$B$1+((Inputs!$G$5:$G$110&lt;&gt;"moeda")*(Inputs!$G$5:$G$110&lt;&gt;"acoes")))*INDEX(Inputs!$K$5:$AJ$110,0,MATCH(AH$2,Inputs!$K$4:$AJ$4,0)))+SUMPRODUCT((Inputs!$E$5:$E$110=$B13)*Inputs!$F$5:$F$110*(((Inputs!$G$5:$G$110="moeda")+(Inputs!$G$5:$G$110="acoes"))*Inputs!$B$1+((Inputs!$G$5:$G$110&lt;&gt;"moeda")*(Inputs!$G$5:$G$110&lt;&gt;"acoes")))*INDEX(Inputs!$K$5:$AJ$110,0,MATCH(AH$2,Inputs!$K$4:$AJ$4,0)))))</f>
        <v>-1306</v>
      </c>
      <c r="AI13" s="6">
        <f>IF(ISNA(MATCH(AI$2,Inputs!$K$4:$AJ$4,0)),NA(),IF(SUMPRODUCT((Inputs!$A$5:$A$110=$B13)*ISNUMBER(INDEX(Inputs!$K$5:$AJ$110,0,MATCH(AI$2,Inputs!$K$4:$AJ$4,0))))+SUMPRODUCT((Inputs!$C$5:$C$110=$B13)*ISNUMBER(INDEX(Inputs!$K$5:$AJ$110,0,MATCH(AI$2,Inputs!$K$4:$AJ$4,0))))+SUMPRODUCT((Inputs!$E$5:$E$110=$B13)*ISNUMBER(INDEX(Inputs!$K$5:$AJ$110,0,MATCH(AI$2,Inputs!$K$4:$AJ$4,0))))=0,NA(),SUMPRODUCT((Inputs!$A$5:$A$110=$B13)*Inputs!$B$5:$B$110*(((Inputs!$G$5:$G$110="moeda")+(Inputs!$G$5:$G$110="acoes"))*Inputs!$B$1+((Inputs!$G$5:$G$110&lt;&gt;"moeda")*(Inputs!$G$5:$G$110&lt;&gt;"acoes")))*INDEX(Inputs!$K$5:$AJ$110,0,MATCH(AI$2,Inputs!$K$4:$AJ$4,0)))+SUMPRODUCT((Inputs!$C$5:$C$110=$B13)*Inputs!$D$5:$D$110*(((Inputs!$G$5:$G$110="moeda")+(Inputs!$G$5:$G$110="acoes"))*Inputs!$B$1+((Inputs!$G$5:$G$110&lt;&gt;"moeda")*(Inputs!$G$5:$G$110&lt;&gt;"acoes")))*INDEX(Inputs!$K$5:$AJ$110,0,MATCH(AI$2,Inputs!$K$4:$AJ$4,0)))+SUMPRODUCT((Inputs!$E$5:$E$110=$B13)*Inputs!$F$5:$F$110*(((Inputs!$G$5:$G$110="moeda")+(Inputs!$G$5:$G$110="acoes"))*Inputs!$B$1+((Inputs!$G$5:$G$110&lt;&gt;"moeda")*(Inputs!$G$5:$G$110&lt;&gt;"acoes")))*INDEX(Inputs!$K$5:$AJ$110,0,MATCH(AI$2,Inputs!$K$4:$AJ$4,0)))))</f>
        <v>-1312</v>
      </c>
      <c r="AJ13" s="6">
        <f>IF(ISNA(MATCH(AJ$2,Inputs!$K$4:$AJ$4,0)),NA(),IF(SUMPRODUCT((Inputs!$A$5:$A$110=$B13)*ISNUMBER(INDEX(Inputs!$K$5:$AJ$110,0,MATCH(AJ$2,Inputs!$K$4:$AJ$4,0))))+SUMPRODUCT((Inputs!$C$5:$C$110=$B13)*ISNUMBER(INDEX(Inputs!$K$5:$AJ$110,0,MATCH(AJ$2,Inputs!$K$4:$AJ$4,0))))+SUMPRODUCT((Inputs!$E$5:$E$110=$B13)*ISNUMBER(INDEX(Inputs!$K$5:$AJ$110,0,MATCH(AJ$2,Inputs!$K$4:$AJ$4,0))))=0,NA(),SUMPRODUCT((Inputs!$A$5:$A$110=$B13)*Inputs!$B$5:$B$110*(((Inputs!$G$5:$G$110="moeda")+(Inputs!$G$5:$G$110="acoes"))*Inputs!$B$1+((Inputs!$G$5:$G$110&lt;&gt;"moeda")*(Inputs!$G$5:$G$110&lt;&gt;"acoes")))*INDEX(Inputs!$K$5:$AJ$110,0,MATCH(AJ$2,Inputs!$K$4:$AJ$4,0)))+SUMPRODUCT((Inputs!$C$5:$C$110=$B13)*Inputs!$D$5:$D$110*(((Inputs!$G$5:$G$110="moeda")+(Inputs!$G$5:$G$110="acoes"))*Inputs!$B$1+((Inputs!$G$5:$G$110&lt;&gt;"moeda")*(Inputs!$G$5:$G$110&lt;&gt;"acoes")))*INDEX(Inputs!$K$5:$AJ$110,0,MATCH(AJ$2,Inputs!$K$4:$AJ$4,0)))+SUMPRODUCT((Inputs!$E$5:$E$110=$B13)*Inputs!$F$5:$F$110*(((Inputs!$G$5:$G$110="moeda")+(Inputs!$G$5:$G$110="acoes"))*Inputs!$B$1+((Inputs!$G$5:$G$110&lt;&gt;"moeda")*(Inputs!$G$5:$G$110&lt;&gt;"acoes")))*INDEX(Inputs!$K$5:$AJ$110,0,MATCH(AJ$2,Inputs!$K$4:$AJ$4,0)))))</f>
        <v>-1395</v>
      </c>
      <c r="AK13" s="6">
        <f>IF(ISNA(MATCH(AK$2,Inputs!$K$4:$AJ$4,0)),NA(),IF(SUMPRODUCT((Inputs!$A$5:$A$110=$B13)*ISNUMBER(INDEX(Inputs!$K$5:$AJ$110,0,MATCH(AK$2,Inputs!$K$4:$AJ$4,0))))+SUMPRODUCT((Inputs!$C$5:$C$110=$B13)*ISNUMBER(INDEX(Inputs!$K$5:$AJ$110,0,MATCH(AK$2,Inputs!$K$4:$AJ$4,0))))+SUMPRODUCT((Inputs!$E$5:$E$110=$B13)*ISNUMBER(INDEX(Inputs!$K$5:$AJ$110,0,MATCH(AK$2,Inputs!$K$4:$AJ$4,0))))=0,NA(),SUMPRODUCT((Inputs!$A$5:$A$110=$B13)*Inputs!$B$5:$B$110*(((Inputs!$G$5:$G$110="moeda")+(Inputs!$G$5:$G$110="acoes"))*Inputs!$B$1+((Inputs!$G$5:$G$110&lt;&gt;"moeda")*(Inputs!$G$5:$G$110&lt;&gt;"acoes")))*INDEX(Inputs!$K$5:$AJ$110,0,MATCH(AK$2,Inputs!$K$4:$AJ$4,0)))+SUMPRODUCT((Inputs!$C$5:$C$110=$B13)*Inputs!$D$5:$D$110*(((Inputs!$G$5:$G$110="moeda")+(Inputs!$G$5:$G$110="acoes"))*Inputs!$B$1+((Inputs!$G$5:$G$110&lt;&gt;"moeda")*(Inputs!$G$5:$G$110&lt;&gt;"acoes")))*INDEX(Inputs!$K$5:$AJ$110,0,MATCH(AK$2,Inputs!$K$4:$AJ$4,0)))+SUMPRODUCT((Inputs!$E$5:$E$110=$B13)*Inputs!$F$5:$F$110*(((Inputs!$G$5:$G$110="moeda")+(Inputs!$G$5:$G$110="acoes"))*Inputs!$B$1+((Inputs!$G$5:$G$110&lt;&gt;"moeda")*(Inputs!$G$5:$G$110&lt;&gt;"acoes")))*INDEX(Inputs!$K$5:$AJ$110,0,MATCH(AK$2,Inputs!$K$4:$AJ$4,0)))))</f>
        <v>-1543</v>
      </c>
      <c r="AL13" s="3">
        <f>SUM(AH13:AK13)</f>
        <v>-5556</v>
      </c>
    </row>
    <row r="14">
      <c r="D14" s="3" t="n"/>
    </row>
    <row r="15">
      <c r="B15" s="46" t="n">
        <v>11</v>
      </c>
      <c r="C15" s="24" t="inlineStr">
        <is>
          <t>Cash and equivalents (inc. investment securities)</t>
        </is>
      </c>
      <c r="D15" s="6">
        <f>IF(ISNA(MATCH(D$2,Inputs!$K$4:$AJ$4,0)),NA(),IF(SUMPRODUCT((Inputs!$A$5:$A$110=$B15)*ISNUMBER(INDEX(Inputs!$K$5:$AJ$110,0,MATCH(D$2,Inputs!$K$4:$AJ$4,0))))+SUMPRODUCT((Inputs!$C$5:$C$110=$B15)*ISNUMBER(INDEX(Inputs!$K$5:$AJ$110,0,MATCH(D$2,Inputs!$K$4:$AJ$4,0))))+SUMPRODUCT((Inputs!$E$5:$E$110=$B15)*ISNUMBER(INDEX(Inputs!$K$5:$AJ$110,0,MATCH(D$2,Inputs!$K$4:$AJ$4,0))))=0,NA(),SUMPRODUCT((Inputs!$A$5:$A$110=$B15)*Inputs!$B$5:$B$110*(((Inputs!$G$5:$G$110="moeda")+(Inputs!$G$5:$G$110="acoes"))*Inputs!$B$1+((Inputs!$G$5:$G$110&lt;&gt;"moeda")*(Inputs!$G$5:$G$110&lt;&gt;"acoes")))*INDEX(Inputs!$K$5:$AJ$110,0,MATCH(D$2,Inputs!$K$4:$AJ$4,0)))+SUMPRODUCT((Inputs!$C$5:$C$110=$B15)*Inputs!$D$5:$D$110*(((Inputs!$G$5:$G$110="moeda")+(Inputs!$G$5:$G$110="acoes"))*Inputs!$B$1+((Inputs!$G$5:$G$110&lt;&gt;"moeda")*(Inputs!$G$5:$G$110&lt;&gt;"acoes")))*INDEX(Inputs!$K$5:$AJ$110,0,MATCH(D$2,Inputs!$K$4:$AJ$4,0)))+SUMPRODUCT((Inputs!$E$5:$E$110=$B15)*Inputs!$F$5:$F$110*(((Inputs!$G$5:$G$110="moeda")+(Inputs!$G$5:$G$110="acoes"))*Inputs!$B$1+((Inputs!$G$5:$G$110&lt;&gt;"moeda")*(Inputs!$G$5:$G$110&lt;&gt;"acoes")))*INDEX(Inputs!$K$5:$AJ$110,0,MATCH(D$2,Inputs!$K$4:$AJ$4,0)))))</f>
        <v>9518</v>
      </c>
      <c r="E15" s="6">
        <f>IF(ISNA(MATCH(E$2,Inputs!$K$4:$AJ$4,0)),NA(),IF(SUMPRODUCT((Inputs!$A$5:$A$110=$B15)*ISNUMBER(INDEX(Inputs!$K$5:$AJ$110,0,MATCH(E$2,Inputs!$K$4:$AJ$4,0))))+SUMPRODUCT((Inputs!$C$5:$C$110=$B15)*ISNUMBER(INDEX(Inputs!$K$5:$AJ$110,0,MATCH(E$2,Inputs!$K$4:$AJ$4,0))))+SUMPRODUCT((Inputs!$E$5:$E$110=$B15)*ISNUMBER(INDEX(Inputs!$K$5:$AJ$110,0,MATCH(E$2,Inputs!$K$4:$AJ$4,0))))=0,NA(),SUMPRODUCT((Inputs!$A$5:$A$110=$B15)*Inputs!$B$5:$B$110*(((Inputs!$G$5:$G$110="moeda")+(Inputs!$G$5:$G$110="acoes"))*Inputs!$B$1+((Inputs!$G$5:$G$110&lt;&gt;"moeda")*(Inputs!$G$5:$G$110&lt;&gt;"acoes")))*INDEX(Inputs!$K$5:$AJ$110,0,MATCH(E$2,Inputs!$K$4:$AJ$4,0)))+SUMPRODUCT((Inputs!$C$5:$C$110=$B15)*Inputs!$D$5:$D$110*(((Inputs!$G$5:$G$110="moeda")+(Inputs!$G$5:$G$110="acoes"))*Inputs!$B$1+((Inputs!$G$5:$G$110&lt;&gt;"moeda")*(Inputs!$G$5:$G$110&lt;&gt;"acoes")))*INDEX(Inputs!$K$5:$AJ$110,0,MATCH(E$2,Inputs!$K$4:$AJ$4,0)))+SUMPRODUCT((Inputs!$E$5:$E$110=$B15)*Inputs!$F$5:$F$110*(((Inputs!$G$5:$G$110="moeda")+(Inputs!$G$5:$G$110="acoes"))*Inputs!$B$1+((Inputs!$G$5:$G$110&lt;&gt;"moeda")*(Inputs!$G$5:$G$110&lt;&gt;"acoes")))*INDEX(Inputs!$K$5:$AJ$110,0,MATCH(E$2,Inputs!$K$4:$AJ$4,0)))))</f>
        <v>11105</v>
      </c>
      <c r="F15" s="6">
        <f>IF(ISNA(MATCH(F$2,Inputs!$K$4:$AJ$4,0)),NA(),IF(SUMPRODUCT((Inputs!$A$5:$A$110=$B15)*ISNUMBER(INDEX(Inputs!$K$5:$AJ$110,0,MATCH(F$2,Inputs!$K$4:$AJ$4,0))))+SUMPRODUCT((Inputs!$C$5:$C$110=$B15)*ISNUMBER(INDEX(Inputs!$K$5:$AJ$110,0,MATCH(F$2,Inputs!$K$4:$AJ$4,0))))+SUMPRODUCT((Inputs!$E$5:$E$110=$B15)*ISNUMBER(INDEX(Inputs!$K$5:$AJ$110,0,MATCH(F$2,Inputs!$K$4:$AJ$4,0))))=0,NA(),SUMPRODUCT((Inputs!$A$5:$A$110=$B15)*Inputs!$B$5:$B$110*(((Inputs!$G$5:$G$110="moeda")+(Inputs!$G$5:$G$110="acoes"))*Inputs!$B$1+((Inputs!$G$5:$G$110&lt;&gt;"moeda")*(Inputs!$G$5:$G$110&lt;&gt;"acoes")))*INDEX(Inputs!$K$5:$AJ$110,0,MATCH(F$2,Inputs!$K$4:$AJ$4,0)))+SUMPRODUCT((Inputs!$C$5:$C$110=$B15)*Inputs!$D$5:$D$110*(((Inputs!$G$5:$G$110="moeda")+(Inputs!$G$5:$G$110="acoes"))*Inputs!$B$1+((Inputs!$G$5:$G$110&lt;&gt;"moeda")*(Inputs!$G$5:$G$110&lt;&gt;"acoes")))*INDEX(Inputs!$K$5:$AJ$110,0,MATCH(F$2,Inputs!$K$4:$AJ$4,0)))+SUMPRODUCT((Inputs!$E$5:$E$110=$B15)*Inputs!$F$5:$F$110*(((Inputs!$G$5:$G$110="moeda")+(Inputs!$G$5:$G$110="acoes"))*Inputs!$B$1+((Inputs!$G$5:$G$110&lt;&gt;"moeda")*(Inputs!$G$5:$G$110&lt;&gt;"acoes")))*INDEX(Inputs!$K$5:$AJ$110,0,MATCH(F$2,Inputs!$K$4:$AJ$4,0)))))</f>
        <v>12163</v>
      </c>
      <c r="G15" s="6">
        <f>IF(ISNA(MATCH(G$2,Inputs!$K$4:$AJ$4,0)),NA(),IF(SUMPRODUCT((Inputs!$A$5:$A$110=$B15)*ISNUMBER(INDEX(Inputs!$K$5:$AJ$110,0,MATCH(G$2,Inputs!$K$4:$AJ$4,0))))+SUMPRODUCT((Inputs!$C$5:$C$110=$B15)*ISNUMBER(INDEX(Inputs!$K$5:$AJ$110,0,MATCH(G$2,Inputs!$K$4:$AJ$4,0))))+SUMPRODUCT((Inputs!$E$5:$E$110=$B15)*ISNUMBER(INDEX(Inputs!$K$5:$AJ$110,0,MATCH(G$2,Inputs!$K$4:$AJ$4,0))))=0,NA(),SUMPRODUCT((Inputs!$A$5:$A$110=$B15)*Inputs!$B$5:$B$110*(((Inputs!$G$5:$G$110="moeda")+(Inputs!$G$5:$G$110="acoes"))*Inputs!$B$1+((Inputs!$G$5:$G$110&lt;&gt;"moeda")*(Inputs!$G$5:$G$110&lt;&gt;"acoes")))*INDEX(Inputs!$K$5:$AJ$110,0,MATCH(G$2,Inputs!$K$4:$AJ$4,0)))+SUMPRODUCT((Inputs!$C$5:$C$110=$B15)*Inputs!$D$5:$D$110*(((Inputs!$G$5:$G$110="moeda")+(Inputs!$G$5:$G$110="acoes"))*Inputs!$B$1+((Inputs!$G$5:$G$110&lt;&gt;"moeda")*(Inputs!$G$5:$G$110&lt;&gt;"acoes")))*INDEX(Inputs!$K$5:$AJ$110,0,MATCH(G$2,Inputs!$K$4:$AJ$4,0)))+SUMPRODUCT((Inputs!$E$5:$E$110=$B15)*Inputs!$F$5:$F$110*(((Inputs!$G$5:$G$110="moeda")+(Inputs!$G$5:$G$110="acoes"))*Inputs!$B$1+((Inputs!$G$5:$G$110&lt;&gt;"moeda")*(Inputs!$G$5:$G$110&lt;&gt;"acoes")))*INDEX(Inputs!$K$5:$AJ$110,0,MATCH(G$2,Inputs!$K$4:$AJ$4,0)))))</f>
        <v>10219</v>
      </c>
      <c r="H15" s="3">
        <f>G15</f>
        <v>10219</v>
      </c>
      <c r="I15" s="6">
        <f>IF(ISNA(MATCH(I$2,Inputs!$K$4:$AJ$4,0)),NA(),IF(SUMPRODUCT((Inputs!$A$5:$A$110=$B15)*ISNUMBER(INDEX(Inputs!$K$5:$AJ$110,0,MATCH(I$2,Inputs!$K$4:$AJ$4,0))))+SUMPRODUCT((Inputs!$C$5:$C$110=$B15)*ISNUMBER(INDEX(Inputs!$K$5:$AJ$110,0,MATCH(I$2,Inputs!$K$4:$AJ$4,0))))+SUMPRODUCT((Inputs!$E$5:$E$110=$B15)*ISNUMBER(INDEX(Inputs!$K$5:$AJ$110,0,MATCH(I$2,Inputs!$K$4:$AJ$4,0))))=0,NA(),SUMPRODUCT((Inputs!$A$5:$A$110=$B15)*Inputs!$B$5:$B$110*(((Inputs!$G$5:$G$110="moeda")+(Inputs!$G$5:$G$110="acoes"))*Inputs!$B$1+((Inputs!$G$5:$G$110&lt;&gt;"moeda")*(Inputs!$G$5:$G$110&lt;&gt;"acoes")))*INDEX(Inputs!$K$5:$AJ$110,0,MATCH(I$2,Inputs!$K$4:$AJ$4,0)))+SUMPRODUCT((Inputs!$C$5:$C$110=$B15)*Inputs!$D$5:$D$110*(((Inputs!$G$5:$G$110="moeda")+(Inputs!$G$5:$G$110="acoes"))*Inputs!$B$1+((Inputs!$G$5:$G$110&lt;&gt;"moeda")*(Inputs!$G$5:$G$110&lt;&gt;"acoes")))*INDEX(Inputs!$K$5:$AJ$110,0,MATCH(I$2,Inputs!$K$4:$AJ$4,0)))+SUMPRODUCT((Inputs!$E$5:$E$110=$B15)*Inputs!$F$5:$F$110*(((Inputs!$G$5:$G$110="moeda")+(Inputs!$G$5:$G$110="acoes"))*Inputs!$B$1+((Inputs!$G$5:$G$110&lt;&gt;"moeda")*(Inputs!$G$5:$G$110&lt;&gt;"acoes")))*INDEX(Inputs!$K$5:$AJ$110,0,MATCH(I$2,Inputs!$K$4:$AJ$4,0)))))</f>
        <v>9005</v>
      </c>
      <c r="J15" s="6">
        <f>IF(ISNA(MATCH(J$2,Inputs!$K$4:$AJ$4,0)),NA(),IF(SUMPRODUCT((Inputs!$A$5:$A$110=$B15)*ISNUMBER(INDEX(Inputs!$K$5:$AJ$110,0,MATCH(J$2,Inputs!$K$4:$AJ$4,0))))+SUMPRODUCT((Inputs!$C$5:$C$110=$B15)*ISNUMBER(INDEX(Inputs!$K$5:$AJ$110,0,MATCH(J$2,Inputs!$K$4:$AJ$4,0))))+SUMPRODUCT((Inputs!$E$5:$E$110=$B15)*ISNUMBER(INDEX(Inputs!$K$5:$AJ$110,0,MATCH(J$2,Inputs!$K$4:$AJ$4,0))))=0,NA(),SUMPRODUCT((Inputs!$A$5:$A$110=$B15)*Inputs!$B$5:$B$110*(((Inputs!$G$5:$G$110="moeda")+(Inputs!$G$5:$G$110="acoes"))*Inputs!$B$1+((Inputs!$G$5:$G$110&lt;&gt;"moeda")*(Inputs!$G$5:$G$110&lt;&gt;"acoes")))*INDEX(Inputs!$K$5:$AJ$110,0,MATCH(J$2,Inputs!$K$4:$AJ$4,0)))+SUMPRODUCT((Inputs!$C$5:$C$110=$B15)*Inputs!$D$5:$D$110*(((Inputs!$G$5:$G$110="moeda")+(Inputs!$G$5:$G$110="acoes"))*Inputs!$B$1+((Inputs!$G$5:$G$110&lt;&gt;"moeda")*(Inputs!$G$5:$G$110&lt;&gt;"acoes")))*INDEX(Inputs!$K$5:$AJ$110,0,MATCH(J$2,Inputs!$K$4:$AJ$4,0)))+SUMPRODUCT((Inputs!$E$5:$E$110=$B15)*Inputs!$F$5:$F$110*(((Inputs!$G$5:$G$110="moeda")+(Inputs!$G$5:$G$110="acoes"))*Inputs!$B$1+((Inputs!$G$5:$G$110&lt;&gt;"moeda")*(Inputs!$G$5:$G$110&lt;&gt;"acoes")))*INDEX(Inputs!$K$5:$AJ$110,0,MATCH(J$2,Inputs!$K$4:$AJ$4,0)))))</f>
        <v>9977</v>
      </c>
      <c r="K15" s="6">
        <f>IF(ISNA(MATCH(K$2,Inputs!$K$4:$AJ$4,0)),NA(),IF(SUMPRODUCT((Inputs!$A$5:$A$110=$B15)*ISNUMBER(INDEX(Inputs!$K$5:$AJ$110,0,MATCH(K$2,Inputs!$K$4:$AJ$4,0))))+SUMPRODUCT((Inputs!$C$5:$C$110=$B15)*ISNUMBER(INDEX(Inputs!$K$5:$AJ$110,0,MATCH(K$2,Inputs!$K$4:$AJ$4,0))))+SUMPRODUCT((Inputs!$E$5:$E$110=$B15)*ISNUMBER(INDEX(Inputs!$K$5:$AJ$110,0,MATCH(K$2,Inputs!$K$4:$AJ$4,0))))=0,NA(),SUMPRODUCT((Inputs!$A$5:$A$110=$B15)*Inputs!$B$5:$B$110*(((Inputs!$G$5:$G$110="moeda")+(Inputs!$G$5:$G$110="acoes"))*Inputs!$B$1+((Inputs!$G$5:$G$110&lt;&gt;"moeda")*(Inputs!$G$5:$G$110&lt;&gt;"acoes")))*INDEX(Inputs!$K$5:$AJ$110,0,MATCH(K$2,Inputs!$K$4:$AJ$4,0)))+SUMPRODUCT((Inputs!$C$5:$C$110=$B15)*Inputs!$D$5:$D$110*(((Inputs!$G$5:$G$110="moeda")+(Inputs!$G$5:$G$110="acoes"))*Inputs!$B$1+((Inputs!$G$5:$G$110&lt;&gt;"moeda")*(Inputs!$G$5:$G$110&lt;&gt;"acoes")))*INDEX(Inputs!$K$5:$AJ$110,0,MATCH(K$2,Inputs!$K$4:$AJ$4,0)))+SUMPRODUCT((Inputs!$E$5:$E$110=$B15)*Inputs!$F$5:$F$110*(((Inputs!$G$5:$G$110="moeda")+(Inputs!$G$5:$G$110="acoes"))*Inputs!$B$1+((Inputs!$G$5:$G$110&lt;&gt;"moeda")*(Inputs!$G$5:$G$110&lt;&gt;"acoes")))*INDEX(Inputs!$K$5:$AJ$110,0,MATCH(K$2,Inputs!$K$4:$AJ$4,0)))))</f>
        <v>12416</v>
      </c>
      <c r="L15" s="6">
        <f>IF(ISNA(MATCH(L$2,Inputs!$K$4:$AJ$4,0)),NA(),IF(SUMPRODUCT((Inputs!$A$5:$A$110=$B15)*ISNUMBER(INDEX(Inputs!$K$5:$AJ$110,0,MATCH(L$2,Inputs!$K$4:$AJ$4,0))))+SUMPRODUCT((Inputs!$C$5:$C$110=$B15)*ISNUMBER(INDEX(Inputs!$K$5:$AJ$110,0,MATCH(L$2,Inputs!$K$4:$AJ$4,0))))+SUMPRODUCT((Inputs!$E$5:$E$110=$B15)*ISNUMBER(INDEX(Inputs!$K$5:$AJ$110,0,MATCH(L$2,Inputs!$K$4:$AJ$4,0))))=0,NA(),SUMPRODUCT((Inputs!$A$5:$A$110=$B15)*Inputs!$B$5:$B$110*(((Inputs!$G$5:$G$110="moeda")+(Inputs!$G$5:$G$110="acoes"))*Inputs!$B$1+((Inputs!$G$5:$G$110&lt;&gt;"moeda")*(Inputs!$G$5:$G$110&lt;&gt;"acoes")))*INDEX(Inputs!$K$5:$AJ$110,0,MATCH(L$2,Inputs!$K$4:$AJ$4,0)))+SUMPRODUCT((Inputs!$C$5:$C$110=$B15)*Inputs!$D$5:$D$110*(((Inputs!$G$5:$G$110="moeda")+(Inputs!$G$5:$G$110="acoes"))*Inputs!$B$1+((Inputs!$G$5:$G$110&lt;&gt;"moeda")*(Inputs!$G$5:$G$110&lt;&gt;"acoes")))*INDEX(Inputs!$K$5:$AJ$110,0,MATCH(L$2,Inputs!$K$4:$AJ$4,0)))+SUMPRODUCT((Inputs!$E$5:$E$110=$B15)*Inputs!$F$5:$F$110*(((Inputs!$G$5:$G$110="moeda")+(Inputs!$G$5:$G$110="acoes"))*Inputs!$B$1+((Inputs!$G$5:$G$110&lt;&gt;"moeda")*(Inputs!$G$5:$G$110&lt;&gt;"acoes")))*INDEX(Inputs!$K$5:$AJ$110,0,MATCH(L$2,Inputs!$K$4:$AJ$4,0)))))</f>
        <v>12647</v>
      </c>
      <c r="M15" s="3">
        <f>L15</f>
        <v>12647</v>
      </c>
      <c r="N15" s="6">
        <f>IF(ISNA(MATCH(N$2,Inputs!$K$4:$AJ$4,0)),NA(),IF(SUMPRODUCT((Inputs!$A$5:$A$110=$B15)*ISNUMBER(INDEX(Inputs!$K$5:$AJ$110,0,MATCH(N$2,Inputs!$K$4:$AJ$4,0))))+SUMPRODUCT((Inputs!$C$5:$C$110=$B15)*ISNUMBER(INDEX(Inputs!$K$5:$AJ$110,0,MATCH(N$2,Inputs!$K$4:$AJ$4,0))))+SUMPRODUCT((Inputs!$E$5:$E$110=$B15)*ISNUMBER(INDEX(Inputs!$K$5:$AJ$110,0,MATCH(N$2,Inputs!$K$4:$AJ$4,0))))=0,NA(),SUMPRODUCT((Inputs!$A$5:$A$110=$B15)*Inputs!$B$5:$B$110*(((Inputs!$G$5:$G$110="moeda")+(Inputs!$G$5:$G$110="acoes"))*Inputs!$B$1+((Inputs!$G$5:$G$110&lt;&gt;"moeda")*(Inputs!$G$5:$G$110&lt;&gt;"acoes")))*INDEX(Inputs!$K$5:$AJ$110,0,MATCH(N$2,Inputs!$K$4:$AJ$4,0)))+SUMPRODUCT((Inputs!$C$5:$C$110=$B15)*Inputs!$D$5:$D$110*(((Inputs!$G$5:$G$110="moeda")+(Inputs!$G$5:$G$110="acoes"))*Inputs!$B$1+((Inputs!$G$5:$G$110&lt;&gt;"moeda")*(Inputs!$G$5:$G$110&lt;&gt;"acoes")))*INDEX(Inputs!$K$5:$AJ$110,0,MATCH(N$2,Inputs!$K$4:$AJ$4,0)))+SUMPRODUCT((Inputs!$E$5:$E$110=$B15)*Inputs!$F$5:$F$110*(((Inputs!$G$5:$G$110="moeda")+(Inputs!$G$5:$G$110="acoes"))*Inputs!$B$1+((Inputs!$G$5:$G$110&lt;&gt;"moeda")*(Inputs!$G$5:$G$110&lt;&gt;"acoes")))*INDEX(Inputs!$K$5:$AJ$110,0,MATCH(N$2,Inputs!$K$4:$AJ$4,0)))))</f>
        <v>11553</v>
      </c>
      <c r="O15" s="6">
        <f>IF(ISNA(MATCH(O$2,Inputs!$K$4:$AJ$4,0)),NA(),IF(SUMPRODUCT((Inputs!$A$5:$A$110=$B15)*ISNUMBER(INDEX(Inputs!$K$5:$AJ$110,0,MATCH(O$2,Inputs!$K$4:$AJ$4,0))))+SUMPRODUCT((Inputs!$C$5:$C$110=$B15)*ISNUMBER(INDEX(Inputs!$K$5:$AJ$110,0,MATCH(O$2,Inputs!$K$4:$AJ$4,0))))+SUMPRODUCT((Inputs!$E$5:$E$110=$B15)*ISNUMBER(INDEX(Inputs!$K$5:$AJ$110,0,MATCH(O$2,Inputs!$K$4:$AJ$4,0))))=0,NA(),SUMPRODUCT((Inputs!$A$5:$A$110=$B15)*Inputs!$B$5:$B$110*(((Inputs!$G$5:$G$110="moeda")+(Inputs!$G$5:$G$110="acoes"))*Inputs!$B$1+((Inputs!$G$5:$G$110&lt;&gt;"moeda")*(Inputs!$G$5:$G$110&lt;&gt;"acoes")))*INDEX(Inputs!$K$5:$AJ$110,0,MATCH(O$2,Inputs!$K$4:$AJ$4,0)))+SUMPRODUCT((Inputs!$C$5:$C$110=$B15)*Inputs!$D$5:$D$110*(((Inputs!$G$5:$G$110="moeda")+(Inputs!$G$5:$G$110="acoes"))*Inputs!$B$1+((Inputs!$G$5:$G$110&lt;&gt;"moeda")*(Inputs!$G$5:$G$110&lt;&gt;"acoes")))*INDEX(Inputs!$K$5:$AJ$110,0,MATCH(O$2,Inputs!$K$4:$AJ$4,0)))+SUMPRODUCT((Inputs!$E$5:$E$110=$B15)*Inputs!$F$5:$F$110*(((Inputs!$G$5:$G$110="moeda")+(Inputs!$G$5:$G$110="acoes"))*Inputs!$B$1+((Inputs!$G$5:$G$110&lt;&gt;"moeda")*(Inputs!$G$5:$G$110&lt;&gt;"acoes")))*INDEX(Inputs!$K$5:$AJ$110,0,MATCH(O$2,Inputs!$K$4:$AJ$4,0)))))</f>
        <v>12055</v>
      </c>
      <c r="P15" s="6">
        <f>IF(ISNA(MATCH(P$2,Inputs!$K$4:$AJ$4,0)),NA(),IF(SUMPRODUCT((Inputs!$A$5:$A$110=$B15)*ISNUMBER(INDEX(Inputs!$K$5:$AJ$110,0,MATCH(P$2,Inputs!$K$4:$AJ$4,0))))+SUMPRODUCT((Inputs!$C$5:$C$110=$B15)*ISNUMBER(INDEX(Inputs!$K$5:$AJ$110,0,MATCH(P$2,Inputs!$K$4:$AJ$4,0))))+SUMPRODUCT((Inputs!$E$5:$E$110=$B15)*ISNUMBER(INDEX(Inputs!$K$5:$AJ$110,0,MATCH(P$2,Inputs!$K$4:$AJ$4,0))))=0,NA(),SUMPRODUCT((Inputs!$A$5:$A$110=$B15)*Inputs!$B$5:$B$110*(((Inputs!$G$5:$G$110="moeda")+(Inputs!$G$5:$G$110="acoes"))*Inputs!$B$1+((Inputs!$G$5:$G$110&lt;&gt;"moeda")*(Inputs!$G$5:$G$110&lt;&gt;"acoes")))*INDEX(Inputs!$K$5:$AJ$110,0,MATCH(P$2,Inputs!$K$4:$AJ$4,0)))+SUMPRODUCT((Inputs!$C$5:$C$110=$B15)*Inputs!$D$5:$D$110*(((Inputs!$G$5:$G$110="moeda")+(Inputs!$G$5:$G$110="acoes"))*Inputs!$B$1+((Inputs!$G$5:$G$110&lt;&gt;"moeda")*(Inputs!$G$5:$G$110&lt;&gt;"acoes")))*INDEX(Inputs!$K$5:$AJ$110,0,MATCH(P$2,Inputs!$K$4:$AJ$4,0)))+SUMPRODUCT((Inputs!$E$5:$E$110=$B15)*Inputs!$F$5:$F$110*(((Inputs!$G$5:$G$110="moeda")+(Inputs!$G$5:$G$110="acoes"))*Inputs!$B$1+((Inputs!$G$5:$G$110&lt;&gt;"moeda")*(Inputs!$G$5:$G$110&lt;&gt;"acoes")))*INDEX(Inputs!$K$5:$AJ$110,0,MATCH(P$2,Inputs!$K$4:$AJ$4,0)))))</f>
        <v>14189</v>
      </c>
      <c r="Q15" s="6">
        <f>IF(ISNA(MATCH(Q$2,Inputs!$K$4:$AJ$4,0)),NA(),IF(SUMPRODUCT((Inputs!$A$5:$A$110=$B15)*ISNUMBER(INDEX(Inputs!$K$5:$AJ$110,0,MATCH(Q$2,Inputs!$K$4:$AJ$4,0))))+SUMPRODUCT((Inputs!$C$5:$C$110=$B15)*ISNUMBER(INDEX(Inputs!$K$5:$AJ$110,0,MATCH(Q$2,Inputs!$K$4:$AJ$4,0))))+SUMPRODUCT((Inputs!$E$5:$E$110=$B15)*ISNUMBER(INDEX(Inputs!$K$5:$AJ$110,0,MATCH(Q$2,Inputs!$K$4:$AJ$4,0))))=0,NA(),SUMPRODUCT((Inputs!$A$5:$A$110=$B15)*Inputs!$B$5:$B$110*(((Inputs!$G$5:$G$110="moeda")+(Inputs!$G$5:$G$110="acoes"))*Inputs!$B$1+((Inputs!$G$5:$G$110&lt;&gt;"moeda")*(Inputs!$G$5:$G$110&lt;&gt;"acoes")))*INDEX(Inputs!$K$5:$AJ$110,0,MATCH(Q$2,Inputs!$K$4:$AJ$4,0)))+SUMPRODUCT((Inputs!$C$5:$C$110=$B15)*Inputs!$D$5:$D$110*(((Inputs!$G$5:$G$110="moeda")+(Inputs!$G$5:$G$110="acoes"))*Inputs!$B$1+((Inputs!$G$5:$G$110&lt;&gt;"moeda")*(Inputs!$G$5:$G$110&lt;&gt;"acoes")))*INDEX(Inputs!$K$5:$AJ$110,0,MATCH(Q$2,Inputs!$K$4:$AJ$4,0)))+SUMPRODUCT((Inputs!$E$5:$E$110=$B15)*Inputs!$F$5:$F$110*(((Inputs!$G$5:$G$110="moeda")+(Inputs!$G$5:$G$110="acoes"))*Inputs!$B$1+((Inputs!$G$5:$G$110&lt;&gt;"moeda")*(Inputs!$G$5:$G$110&lt;&gt;"acoes")))*INDEX(Inputs!$K$5:$AJ$110,0,MATCH(Q$2,Inputs!$K$4:$AJ$4,0)))))</f>
        <v>11864</v>
      </c>
      <c r="R15" s="3">
        <f>Q15</f>
        <v>11864</v>
      </c>
      <c r="S15" s="6">
        <f>IF(ISNA(MATCH(S$2,Inputs!$K$4:$AJ$4,0)),NA(),IF(SUMPRODUCT((Inputs!$A$5:$A$110=$B15)*ISNUMBER(INDEX(Inputs!$K$5:$AJ$110,0,MATCH(S$2,Inputs!$K$4:$AJ$4,0))))+SUMPRODUCT((Inputs!$C$5:$C$110=$B15)*ISNUMBER(INDEX(Inputs!$K$5:$AJ$110,0,MATCH(S$2,Inputs!$K$4:$AJ$4,0))))+SUMPRODUCT((Inputs!$E$5:$E$110=$B15)*ISNUMBER(INDEX(Inputs!$K$5:$AJ$110,0,MATCH(S$2,Inputs!$K$4:$AJ$4,0))))=0,NA(),SUMPRODUCT((Inputs!$A$5:$A$110=$B15)*Inputs!$B$5:$B$110*(((Inputs!$G$5:$G$110="moeda")+(Inputs!$G$5:$G$110="acoes"))*Inputs!$B$1+((Inputs!$G$5:$G$110&lt;&gt;"moeda")*(Inputs!$G$5:$G$110&lt;&gt;"acoes")))*INDEX(Inputs!$K$5:$AJ$110,0,MATCH(S$2,Inputs!$K$4:$AJ$4,0)))+SUMPRODUCT((Inputs!$C$5:$C$110=$B15)*Inputs!$D$5:$D$110*(((Inputs!$G$5:$G$110="moeda")+(Inputs!$G$5:$G$110="acoes"))*Inputs!$B$1+((Inputs!$G$5:$G$110&lt;&gt;"moeda")*(Inputs!$G$5:$G$110&lt;&gt;"acoes")))*INDEX(Inputs!$K$5:$AJ$110,0,MATCH(S$2,Inputs!$K$4:$AJ$4,0)))+SUMPRODUCT((Inputs!$E$5:$E$110=$B15)*Inputs!$F$5:$F$110*(((Inputs!$G$5:$G$110="moeda")+(Inputs!$G$5:$G$110="acoes"))*Inputs!$B$1+((Inputs!$G$5:$G$110&lt;&gt;"moeda")*(Inputs!$G$5:$G$110&lt;&gt;"acoes")))*INDEX(Inputs!$K$5:$AJ$110,0,MATCH(S$2,Inputs!$K$4:$AJ$4,0)))))</f>
        <v>9809</v>
      </c>
      <c r="T15" s="6">
        <f>IF(ISNA(MATCH(T$2,Inputs!$K$4:$AJ$4,0)),NA(),IF(SUMPRODUCT((Inputs!$A$5:$A$110=$B15)*ISNUMBER(INDEX(Inputs!$K$5:$AJ$110,0,MATCH(T$2,Inputs!$K$4:$AJ$4,0))))+SUMPRODUCT((Inputs!$C$5:$C$110=$B15)*ISNUMBER(INDEX(Inputs!$K$5:$AJ$110,0,MATCH(T$2,Inputs!$K$4:$AJ$4,0))))+SUMPRODUCT((Inputs!$E$5:$E$110=$B15)*ISNUMBER(INDEX(Inputs!$K$5:$AJ$110,0,MATCH(T$2,Inputs!$K$4:$AJ$4,0))))=0,NA(),SUMPRODUCT((Inputs!$A$5:$A$110=$B15)*Inputs!$B$5:$B$110*(((Inputs!$G$5:$G$110="moeda")+(Inputs!$G$5:$G$110="acoes"))*Inputs!$B$1+((Inputs!$G$5:$G$110&lt;&gt;"moeda")*(Inputs!$G$5:$G$110&lt;&gt;"acoes")))*INDEX(Inputs!$K$5:$AJ$110,0,MATCH(T$2,Inputs!$K$4:$AJ$4,0)))+SUMPRODUCT((Inputs!$C$5:$C$110=$B15)*Inputs!$D$5:$D$110*(((Inputs!$G$5:$G$110="moeda")+(Inputs!$G$5:$G$110="acoes"))*Inputs!$B$1+((Inputs!$G$5:$G$110&lt;&gt;"moeda")*(Inputs!$G$5:$G$110&lt;&gt;"acoes")))*INDEX(Inputs!$K$5:$AJ$110,0,MATCH(T$2,Inputs!$K$4:$AJ$4,0)))+SUMPRODUCT((Inputs!$E$5:$E$110=$B15)*Inputs!$F$5:$F$110*(((Inputs!$G$5:$G$110="moeda")+(Inputs!$G$5:$G$110="acoes"))*Inputs!$B$1+((Inputs!$G$5:$G$110&lt;&gt;"moeda")*(Inputs!$G$5:$G$110&lt;&gt;"acoes")))*INDEX(Inputs!$K$5:$AJ$110,0,MATCH(T$2,Inputs!$K$4:$AJ$4,0)))))</f>
        <v>9952</v>
      </c>
      <c r="U15" s="6">
        <f>IF(ISNA(MATCH(U$2,Inputs!$K$4:$AJ$4,0)),NA(),IF(SUMPRODUCT((Inputs!$A$5:$A$110=$B15)*ISNUMBER(INDEX(Inputs!$K$5:$AJ$110,0,MATCH(U$2,Inputs!$K$4:$AJ$4,0))))+SUMPRODUCT((Inputs!$C$5:$C$110=$B15)*ISNUMBER(INDEX(Inputs!$K$5:$AJ$110,0,MATCH(U$2,Inputs!$K$4:$AJ$4,0))))+SUMPRODUCT((Inputs!$E$5:$E$110=$B15)*ISNUMBER(INDEX(Inputs!$K$5:$AJ$110,0,MATCH(U$2,Inputs!$K$4:$AJ$4,0))))=0,NA(),SUMPRODUCT((Inputs!$A$5:$A$110=$B15)*Inputs!$B$5:$B$110*(((Inputs!$G$5:$G$110="moeda")+(Inputs!$G$5:$G$110="acoes"))*Inputs!$B$1+((Inputs!$G$5:$G$110&lt;&gt;"moeda")*(Inputs!$G$5:$G$110&lt;&gt;"acoes")))*INDEX(Inputs!$K$5:$AJ$110,0,MATCH(U$2,Inputs!$K$4:$AJ$4,0)))+SUMPRODUCT((Inputs!$C$5:$C$110=$B15)*Inputs!$D$5:$D$110*(((Inputs!$G$5:$G$110="moeda")+(Inputs!$G$5:$G$110="acoes"))*Inputs!$B$1+((Inputs!$G$5:$G$110&lt;&gt;"moeda")*(Inputs!$G$5:$G$110&lt;&gt;"acoes")))*INDEX(Inputs!$K$5:$AJ$110,0,MATCH(U$2,Inputs!$K$4:$AJ$4,0)))+SUMPRODUCT((Inputs!$E$5:$E$110=$B15)*Inputs!$F$5:$F$110*(((Inputs!$G$5:$G$110="moeda")+(Inputs!$G$5:$G$110="acoes"))*Inputs!$B$1+((Inputs!$G$5:$G$110&lt;&gt;"moeda")*(Inputs!$G$5:$G$110&lt;&gt;"acoes")))*INDEX(Inputs!$K$5:$AJ$110,0,MATCH(U$2,Inputs!$K$4:$AJ$4,0)))))</f>
        <v>9348</v>
      </c>
      <c r="V15" s="6">
        <f>IF(ISNA(MATCH(V$2,Inputs!$K$4:$AJ$4,0)),NA(),IF(SUMPRODUCT((Inputs!$A$5:$A$110=$B15)*ISNUMBER(INDEX(Inputs!$K$5:$AJ$110,0,MATCH(V$2,Inputs!$K$4:$AJ$4,0))))+SUMPRODUCT((Inputs!$C$5:$C$110=$B15)*ISNUMBER(INDEX(Inputs!$K$5:$AJ$110,0,MATCH(V$2,Inputs!$K$4:$AJ$4,0))))+SUMPRODUCT((Inputs!$E$5:$E$110=$B15)*ISNUMBER(INDEX(Inputs!$K$5:$AJ$110,0,MATCH(V$2,Inputs!$K$4:$AJ$4,0))))=0,NA(),SUMPRODUCT((Inputs!$A$5:$A$110=$B15)*Inputs!$B$5:$B$110*(((Inputs!$G$5:$G$110="moeda")+(Inputs!$G$5:$G$110="acoes"))*Inputs!$B$1+((Inputs!$G$5:$G$110&lt;&gt;"moeda")*(Inputs!$G$5:$G$110&lt;&gt;"acoes")))*INDEX(Inputs!$K$5:$AJ$110,0,MATCH(V$2,Inputs!$K$4:$AJ$4,0)))+SUMPRODUCT((Inputs!$C$5:$C$110=$B15)*Inputs!$D$5:$D$110*(((Inputs!$G$5:$G$110="moeda")+(Inputs!$G$5:$G$110="acoes"))*Inputs!$B$1+((Inputs!$G$5:$G$110&lt;&gt;"moeda")*(Inputs!$G$5:$G$110&lt;&gt;"acoes")))*INDEX(Inputs!$K$5:$AJ$110,0,MATCH(V$2,Inputs!$K$4:$AJ$4,0)))+SUMPRODUCT((Inputs!$E$5:$E$110=$B15)*Inputs!$F$5:$F$110*(((Inputs!$G$5:$G$110="moeda")+(Inputs!$G$5:$G$110="acoes"))*Inputs!$B$1+((Inputs!$G$5:$G$110&lt;&gt;"moeda")*(Inputs!$G$5:$G$110&lt;&gt;"acoes")))*INDEX(Inputs!$K$5:$AJ$110,0,MATCH(V$2,Inputs!$K$4:$AJ$4,0)))))</f>
        <v>9307</v>
      </c>
      <c r="W15" s="3">
        <f>V15</f>
        <v>9307</v>
      </c>
      <c r="X15" s="6">
        <f>IF(ISNA(MATCH(X$2,Inputs!$K$4:$AJ$4,0)),NA(),IF(SUMPRODUCT((Inputs!$A$5:$A$110=$B15)*ISNUMBER(INDEX(Inputs!$K$5:$AJ$110,0,MATCH(X$2,Inputs!$K$4:$AJ$4,0))))+SUMPRODUCT((Inputs!$C$5:$C$110=$B15)*ISNUMBER(INDEX(Inputs!$K$5:$AJ$110,0,MATCH(X$2,Inputs!$K$4:$AJ$4,0))))+SUMPRODUCT((Inputs!$E$5:$E$110=$B15)*ISNUMBER(INDEX(Inputs!$K$5:$AJ$110,0,MATCH(X$2,Inputs!$K$4:$AJ$4,0))))=0,NA(),SUMPRODUCT((Inputs!$A$5:$A$110=$B15)*Inputs!$B$5:$B$110*(((Inputs!$G$5:$G$110="moeda")+(Inputs!$G$5:$G$110="acoes"))*Inputs!$B$1+((Inputs!$G$5:$G$110&lt;&gt;"moeda")*(Inputs!$G$5:$G$110&lt;&gt;"acoes")))*INDEX(Inputs!$K$5:$AJ$110,0,MATCH(X$2,Inputs!$K$4:$AJ$4,0)))+SUMPRODUCT((Inputs!$C$5:$C$110=$B15)*Inputs!$D$5:$D$110*(((Inputs!$G$5:$G$110="moeda")+(Inputs!$G$5:$G$110="acoes"))*Inputs!$B$1+((Inputs!$G$5:$G$110&lt;&gt;"moeda")*(Inputs!$G$5:$G$110&lt;&gt;"acoes")))*INDEX(Inputs!$K$5:$AJ$110,0,MATCH(X$2,Inputs!$K$4:$AJ$4,0)))+SUMPRODUCT((Inputs!$E$5:$E$110=$B15)*Inputs!$F$5:$F$110*(((Inputs!$G$5:$G$110="moeda")+(Inputs!$G$5:$G$110="acoes"))*Inputs!$B$1+((Inputs!$G$5:$G$110&lt;&gt;"moeda")*(Inputs!$G$5:$G$110&lt;&gt;"acoes")))*INDEX(Inputs!$K$5:$AJ$110,0,MATCH(X$2,Inputs!$K$4:$AJ$4,0)))))</f>
        <v>9472</v>
      </c>
      <c r="Y15" s="6">
        <f>IF(ISNA(MATCH(Y$2,Inputs!$K$4:$AJ$4,0)),NA(),IF(SUMPRODUCT((Inputs!$A$5:$A$110=$B15)*ISNUMBER(INDEX(Inputs!$K$5:$AJ$110,0,MATCH(Y$2,Inputs!$K$4:$AJ$4,0))))+SUMPRODUCT((Inputs!$C$5:$C$110=$B15)*ISNUMBER(INDEX(Inputs!$K$5:$AJ$110,0,MATCH(Y$2,Inputs!$K$4:$AJ$4,0))))+SUMPRODUCT((Inputs!$E$5:$E$110=$B15)*ISNUMBER(INDEX(Inputs!$K$5:$AJ$110,0,MATCH(Y$2,Inputs!$K$4:$AJ$4,0))))=0,NA(),SUMPRODUCT((Inputs!$A$5:$A$110=$B15)*Inputs!$B$5:$B$110*(((Inputs!$G$5:$G$110="moeda")+(Inputs!$G$5:$G$110="acoes"))*Inputs!$B$1+((Inputs!$G$5:$G$110&lt;&gt;"moeda")*(Inputs!$G$5:$G$110&lt;&gt;"acoes")))*INDEX(Inputs!$K$5:$AJ$110,0,MATCH(Y$2,Inputs!$K$4:$AJ$4,0)))+SUMPRODUCT((Inputs!$C$5:$C$110=$B15)*Inputs!$D$5:$D$110*(((Inputs!$G$5:$G$110="moeda")+(Inputs!$G$5:$G$110="acoes"))*Inputs!$B$1+((Inputs!$G$5:$G$110&lt;&gt;"moeda")*(Inputs!$G$5:$G$110&lt;&gt;"acoes")))*INDEX(Inputs!$K$5:$AJ$110,0,MATCH(Y$2,Inputs!$K$4:$AJ$4,0)))+SUMPRODUCT((Inputs!$E$5:$E$110=$B15)*Inputs!$F$5:$F$110*(((Inputs!$G$5:$G$110="moeda")+(Inputs!$G$5:$G$110="acoes"))*Inputs!$B$1+((Inputs!$G$5:$G$110&lt;&gt;"moeda")*(Inputs!$G$5:$G$110&lt;&gt;"acoes")))*INDEX(Inputs!$K$5:$AJ$110,0,MATCH(Y$2,Inputs!$K$4:$AJ$4,0)))))</f>
        <v>10718</v>
      </c>
      <c r="Z15" s="6">
        <f>IF(ISNA(MATCH(Z$2,Inputs!$K$4:$AJ$4,0)),NA(),IF(SUMPRODUCT((Inputs!$A$5:$A$110=$B15)*ISNUMBER(INDEX(Inputs!$K$5:$AJ$110,0,MATCH(Z$2,Inputs!$K$4:$AJ$4,0))))+SUMPRODUCT((Inputs!$C$5:$C$110=$B15)*ISNUMBER(INDEX(Inputs!$K$5:$AJ$110,0,MATCH(Z$2,Inputs!$K$4:$AJ$4,0))))+SUMPRODUCT((Inputs!$E$5:$E$110=$B15)*ISNUMBER(INDEX(Inputs!$K$5:$AJ$110,0,MATCH(Z$2,Inputs!$K$4:$AJ$4,0))))=0,NA(),SUMPRODUCT((Inputs!$A$5:$A$110=$B15)*Inputs!$B$5:$B$110*(((Inputs!$G$5:$G$110="moeda")+(Inputs!$G$5:$G$110="acoes"))*Inputs!$B$1+((Inputs!$G$5:$G$110&lt;&gt;"moeda")*(Inputs!$G$5:$G$110&lt;&gt;"acoes")))*INDEX(Inputs!$K$5:$AJ$110,0,MATCH(Z$2,Inputs!$K$4:$AJ$4,0)))+SUMPRODUCT((Inputs!$C$5:$C$110=$B15)*Inputs!$D$5:$D$110*(((Inputs!$G$5:$G$110="moeda")+(Inputs!$G$5:$G$110="acoes"))*Inputs!$B$1+((Inputs!$G$5:$G$110&lt;&gt;"moeda")*(Inputs!$G$5:$G$110&lt;&gt;"acoes")))*INDEX(Inputs!$K$5:$AJ$110,0,MATCH(Z$2,Inputs!$K$4:$AJ$4,0)))+SUMPRODUCT((Inputs!$E$5:$E$110=$B15)*Inputs!$F$5:$F$110*(((Inputs!$G$5:$G$110="moeda")+(Inputs!$G$5:$G$110="acoes"))*Inputs!$B$1+((Inputs!$G$5:$G$110&lt;&gt;"moeda")*(Inputs!$G$5:$G$110&lt;&gt;"acoes")))*INDEX(Inputs!$K$5:$AJ$110,0,MATCH(Z$2,Inputs!$K$4:$AJ$4,0)))))</f>
        <v>16178</v>
      </c>
      <c r="AA15" s="6">
        <f>IF(ISNA(MATCH(AA$2,Inputs!$K$4:$AJ$4,0)),NA(),IF(SUMPRODUCT((Inputs!$A$5:$A$110=$B15)*ISNUMBER(INDEX(Inputs!$K$5:$AJ$110,0,MATCH(AA$2,Inputs!$K$4:$AJ$4,0))))+SUMPRODUCT((Inputs!$C$5:$C$110=$B15)*ISNUMBER(INDEX(Inputs!$K$5:$AJ$110,0,MATCH(AA$2,Inputs!$K$4:$AJ$4,0))))+SUMPRODUCT((Inputs!$E$5:$E$110=$B15)*ISNUMBER(INDEX(Inputs!$K$5:$AJ$110,0,MATCH(AA$2,Inputs!$K$4:$AJ$4,0))))=0,NA(),SUMPRODUCT((Inputs!$A$5:$A$110=$B15)*Inputs!$B$5:$B$110*(((Inputs!$G$5:$G$110="moeda")+(Inputs!$G$5:$G$110="acoes"))*Inputs!$B$1+((Inputs!$G$5:$G$110&lt;&gt;"moeda")*(Inputs!$G$5:$G$110&lt;&gt;"acoes")))*INDEX(Inputs!$K$5:$AJ$110,0,MATCH(AA$2,Inputs!$K$4:$AJ$4,0)))+SUMPRODUCT((Inputs!$C$5:$C$110=$B15)*Inputs!$D$5:$D$110*(((Inputs!$G$5:$G$110="moeda")+(Inputs!$G$5:$G$110="acoes"))*Inputs!$B$1+((Inputs!$G$5:$G$110&lt;&gt;"moeda")*(Inputs!$G$5:$G$110&lt;&gt;"acoes")))*INDEX(Inputs!$K$5:$AJ$110,0,MATCH(AA$2,Inputs!$K$4:$AJ$4,0)))+SUMPRODUCT((Inputs!$E$5:$E$110=$B15)*Inputs!$F$5:$F$110*(((Inputs!$G$5:$G$110="moeda")+(Inputs!$G$5:$G$110="acoes"))*Inputs!$B$1+((Inputs!$G$5:$G$110&lt;&gt;"moeda")*(Inputs!$G$5:$G$110&lt;&gt;"acoes")))*INDEX(Inputs!$K$5:$AJ$110,0,MATCH(AA$2,Inputs!$K$4:$AJ$4,0)))))</f>
        <v>14174</v>
      </c>
      <c r="AB15" s="3">
        <f>AA15</f>
        <v>14174</v>
      </c>
      <c r="AC15" s="6">
        <f>IF(ISNA(MATCH(AC$2,Inputs!$K$4:$AJ$4,0)),NA(),IF(SUMPRODUCT((Inputs!$A$5:$A$110=$B15)*ISNUMBER(INDEX(Inputs!$K$5:$AJ$110,0,MATCH(AC$2,Inputs!$K$4:$AJ$4,0))))+SUMPRODUCT((Inputs!$C$5:$C$110=$B15)*ISNUMBER(INDEX(Inputs!$K$5:$AJ$110,0,MATCH(AC$2,Inputs!$K$4:$AJ$4,0))))+SUMPRODUCT((Inputs!$E$5:$E$110=$B15)*ISNUMBER(INDEX(Inputs!$K$5:$AJ$110,0,MATCH(AC$2,Inputs!$K$4:$AJ$4,0))))=0,NA(),SUMPRODUCT((Inputs!$A$5:$A$110=$B15)*Inputs!$B$5:$B$110*(((Inputs!$G$5:$G$110="moeda")+(Inputs!$G$5:$G$110="acoes"))*Inputs!$B$1+((Inputs!$G$5:$G$110&lt;&gt;"moeda")*(Inputs!$G$5:$G$110&lt;&gt;"acoes")))*INDEX(Inputs!$K$5:$AJ$110,0,MATCH(AC$2,Inputs!$K$4:$AJ$4,0)))+SUMPRODUCT((Inputs!$C$5:$C$110=$B15)*Inputs!$D$5:$D$110*(((Inputs!$G$5:$G$110="moeda")+(Inputs!$G$5:$G$110="acoes"))*Inputs!$B$1+((Inputs!$G$5:$G$110&lt;&gt;"moeda")*(Inputs!$G$5:$G$110&lt;&gt;"acoes")))*INDEX(Inputs!$K$5:$AJ$110,0,MATCH(AC$2,Inputs!$K$4:$AJ$4,0)))+SUMPRODUCT((Inputs!$E$5:$E$110=$B15)*Inputs!$F$5:$F$110*(((Inputs!$G$5:$G$110="moeda")+(Inputs!$G$5:$G$110="acoes"))*Inputs!$B$1+((Inputs!$G$5:$G$110&lt;&gt;"moeda")*(Inputs!$G$5:$G$110&lt;&gt;"acoes")))*INDEX(Inputs!$K$5:$AJ$110,0,MATCH(AC$2,Inputs!$K$4:$AJ$4,0)))))</f>
        <v>19628</v>
      </c>
      <c r="AD15" s="6">
        <f>IF(ISNA(MATCH(AD$2,Inputs!$K$4:$AJ$4,0)),NA(),IF(SUMPRODUCT((Inputs!$A$5:$A$110=$B15)*ISNUMBER(INDEX(Inputs!$K$5:$AJ$110,0,MATCH(AD$2,Inputs!$K$4:$AJ$4,0))))+SUMPRODUCT((Inputs!$C$5:$C$110=$B15)*ISNUMBER(INDEX(Inputs!$K$5:$AJ$110,0,MATCH(AD$2,Inputs!$K$4:$AJ$4,0))))+SUMPRODUCT((Inputs!$E$5:$E$110=$B15)*ISNUMBER(INDEX(Inputs!$K$5:$AJ$110,0,MATCH(AD$2,Inputs!$K$4:$AJ$4,0))))=0,NA(),SUMPRODUCT((Inputs!$A$5:$A$110=$B15)*Inputs!$B$5:$B$110*(((Inputs!$G$5:$G$110="moeda")+(Inputs!$G$5:$G$110="acoes"))*Inputs!$B$1+((Inputs!$G$5:$G$110&lt;&gt;"moeda")*(Inputs!$G$5:$G$110&lt;&gt;"acoes")))*INDEX(Inputs!$K$5:$AJ$110,0,MATCH(AD$2,Inputs!$K$4:$AJ$4,0)))+SUMPRODUCT((Inputs!$C$5:$C$110=$B15)*Inputs!$D$5:$D$110*(((Inputs!$G$5:$G$110="moeda")+(Inputs!$G$5:$G$110="acoes"))*Inputs!$B$1+((Inputs!$G$5:$G$110&lt;&gt;"moeda")*(Inputs!$G$5:$G$110&lt;&gt;"acoes")))*INDEX(Inputs!$K$5:$AJ$110,0,MATCH(AD$2,Inputs!$K$4:$AJ$4,0)))+SUMPRODUCT((Inputs!$E$5:$E$110=$B15)*Inputs!$F$5:$F$110*(((Inputs!$G$5:$G$110="moeda")+(Inputs!$G$5:$G$110="acoes"))*Inputs!$B$1+((Inputs!$G$5:$G$110&lt;&gt;"moeda")*(Inputs!$G$5:$G$110&lt;&gt;"acoes")))*INDEX(Inputs!$K$5:$AJ$110,0,MATCH(AD$2,Inputs!$K$4:$AJ$4,0)))))</f>
        <v>23975</v>
      </c>
      <c r="AE15" s="6" t="e">
        <f>IF(ISNA(MATCH(AE$2,Inputs!$K$4:$AJ$4,0)),NA(),IF(SUMPRODUCT((Inputs!$A$5:$A$110=$B15)*ISNUMBER(INDEX(Inputs!$K$5:$AJ$110,0,MATCH(AE$2,Inputs!$K$4:$AJ$4,0))))+SUMPRODUCT((Inputs!$C$5:$C$110=$B15)*ISNUMBER(INDEX(Inputs!$K$5:$AJ$110,0,MATCH(AE$2,Inputs!$K$4:$AJ$4,0))))+SUMPRODUCT((Inputs!$E$5:$E$110=$B15)*ISNUMBER(INDEX(Inputs!$K$5:$AJ$110,0,MATCH(AE$2,Inputs!$K$4:$AJ$4,0))))=0,NA(),SUMPRODUCT((Inputs!$A$5:$A$110=$B15)*Inputs!$B$5:$B$110*(((Inputs!$G$5:$G$110="moeda")+(Inputs!$G$5:$G$110="acoes"))*Inputs!$B$1+((Inputs!$G$5:$G$110&lt;&gt;"moeda")*(Inputs!$G$5:$G$110&lt;&gt;"acoes")))*INDEX(Inputs!$K$5:$AJ$110,0,MATCH(AE$2,Inputs!$K$4:$AJ$4,0)))+SUMPRODUCT((Inputs!$C$5:$C$110=$B15)*Inputs!$D$5:$D$110*(((Inputs!$G$5:$G$110="moeda")+(Inputs!$G$5:$G$110="acoes"))*Inputs!$B$1+((Inputs!$G$5:$G$110&lt;&gt;"moeda")*(Inputs!$G$5:$G$110&lt;&gt;"acoes")))*INDEX(Inputs!$K$5:$AJ$110,0,MATCH(AE$2,Inputs!$K$4:$AJ$4,0)))+SUMPRODUCT((Inputs!$E$5:$E$110=$B15)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5" s="6" t="e">
        <f>IF(ISNA(MATCH(AF$2,Inputs!$K$4:$AJ$4,0)),NA(),IF(SUMPRODUCT((Inputs!$A$5:$A$110=$B15)*ISNUMBER(INDEX(Inputs!$K$5:$AJ$110,0,MATCH(AF$2,Inputs!$K$4:$AJ$4,0))))+SUMPRODUCT((Inputs!$C$5:$C$110=$B15)*ISNUMBER(INDEX(Inputs!$K$5:$AJ$110,0,MATCH(AF$2,Inputs!$K$4:$AJ$4,0))))+SUMPRODUCT((Inputs!$E$5:$E$110=$B15)*ISNUMBER(INDEX(Inputs!$K$5:$AJ$110,0,MATCH(AF$2,Inputs!$K$4:$AJ$4,0))))=0,NA(),SUMPRODUCT((Inputs!$A$5:$A$110=$B15)*Inputs!$B$5:$B$110*(((Inputs!$G$5:$G$110="moeda")+(Inputs!$G$5:$G$110="acoes"))*Inputs!$B$1+((Inputs!$G$5:$G$110&lt;&gt;"moeda")*(Inputs!$G$5:$G$110&lt;&gt;"acoes")))*INDEX(Inputs!$K$5:$AJ$110,0,MATCH(AF$2,Inputs!$K$4:$AJ$4,0)))+SUMPRODUCT((Inputs!$C$5:$C$110=$B15)*Inputs!$D$5:$D$110*(((Inputs!$G$5:$G$110="moeda")+(Inputs!$G$5:$G$110="acoes"))*Inputs!$B$1+((Inputs!$G$5:$G$110&lt;&gt;"moeda")*(Inputs!$G$5:$G$110&lt;&gt;"acoes")))*INDEX(Inputs!$K$5:$AJ$110,0,MATCH(AF$2,Inputs!$K$4:$AJ$4,0)))+SUMPRODUCT((Inputs!$E$5:$E$110=$B15)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5" s="3" t="e">
        <f>AF15</f>
        <v>#N/A</v>
      </c>
      <c r="AH15" s="6">
        <f>IF(ISNA(MATCH(AH$2,Inputs!$K$4:$AJ$4,0)),NA(),IF(SUMPRODUCT((Inputs!$A$5:$A$110=$B15)*ISNUMBER(INDEX(Inputs!$K$5:$AJ$110,0,MATCH(AH$2,Inputs!$K$4:$AJ$4,0))))+SUMPRODUCT((Inputs!$C$5:$C$110=$B15)*ISNUMBER(INDEX(Inputs!$K$5:$AJ$110,0,MATCH(AH$2,Inputs!$K$4:$AJ$4,0))))+SUMPRODUCT((Inputs!$E$5:$E$110=$B15)*ISNUMBER(INDEX(Inputs!$K$5:$AJ$110,0,MATCH(AH$2,Inputs!$K$4:$AJ$4,0))))=0,NA(),SUMPRODUCT((Inputs!$A$5:$A$110=$B15)*Inputs!$B$5:$B$110*(((Inputs!$G$5:$G$110="moeda")+(Inputs!$G$5:$G$110="acoes"))*Inputs!$B$1+((Inputs!$G$5:$G$110&lt;&gt;"moeda")*(Inputs!$G$5:$G$110&lt;&gt;"acoes")))*INDEX(Inputs!$K$5:$AJ$110,0,MATCH(AH$2,Inputs!$K$4:$AJ$4,0)))+SUMPRODUCT((Inputs!$C$5:$C$110=$B15)*Inputs!$D$5:$D$110*(((Inputs!$G$5:$G$110="moeda")+(Inputs!$G$5:$G$110="acoes"))*Inputs!$B$1+((Inputs!$G$5:$G$110&lt;&gt;"moeda")*(Inputs!$G$5:$G$110&lt;&gt;"acoes")))*INDEX(Inputs!$K$5:$AJ$110,0,MATCH(AH$2,Inputs!$K$4:$AJ$4,0)))+SUMPRODUCT((Inputs!$E$5:$E$110=$B15)*Inputs!$F$5:$F$110*(((Inputs!$G$5:$G$110="moeda")+(Inputs!$G$5:$G$110="acoes"))*Inputs!$B$1+((Inputs!$G$5:$G$110&lt;&gt;"moeda")*(Inputs!$G$5:$G$110&lt;&gt;"acoes")))*INDEX(Inputs!$K$5:$AJ$110,0,MATCH(AH$2,Inputs!$K$4:$AJ$4,0)))))</f>
        <v>9207</v>
      </c>
      <c r="AI15" s="6">
        <f>IF(ISNA(MATCH(AI$2,Inputs!$K$4:$AJ$4,0)),NA(),IF(SUMPRODUCT((Inputs!$A$5:$A$110=$B15)*ISNUMBER(INDEX(Inputs!$K$5:$AJ$110,0,MATCH(AI$2,Inputs!$K$4:$AJ$4,0))))+SUMPRODUCT((Inputs!$C$5:$C$110=$B15)*ISNUMBER(INDEX(Inputs!$K$5:$AJ$110,0,MATCH(AI$2,Inputs!$K$4:$AJ$4,0))))+SUMPRODUCT((Inputs!$E$5:$E$110=$B15)*ISNUMBER(INDEX(Inputs!$K$5:$AJ$110,0,MATCH(AI$2,Inputs!$K$4:$AJ$4,0))))=0,NA(),SUMPRODUCT((Inputs!$A$5:$A$110=$B15)*Inputs!$B$5:$B$110*(((Inputs!$G$5:$G$110="moeda")+(Inputs!$G$5:$G$110="acoes"))*Inputs!$B$1+((Inputs!$G$5:$G$110&lt;&gt;"moeda")*(Inputs!$G$5:$G$110&lt;&gt;"acoes")))*INDEX(Inputs!$K$5:$AJ$110,0,MATCH(AI$2,Inputs!$K$4:$AJ$4,0)))+SUMPRODUCT((Inputs!$C$5:$C$110=$B15)*Inputs!$D$5:$D$110*(((Inputs!$G$5:$G$110="moeda")+(Inputs!$G$5:$G$110="acoes"))*Inputs!$B$1+((Inputs!$G$5:$G$110&lt;&gt;"moeda")*(Inputs!$G$5:$G$110&lt;&gt;"acoes")))*INDEX(Inputs!$K$5:$AJ$110,0,MATCH(AI$2,Inputs!$K$4:$AJ$4,0)))+SUMPRODUCT((Inputs!$E$5:$E$110=$B15)*Inputs!$F$5:$F$110*(((Inputs!$G$5:$G$110="moeda")+(Inputs!$G$5:$G$110="acoes"))*Inputs!$B$1+((Inputs!$G$5:$G$110&lt;&gt;"moeda")*(Inputs!$G$5:$G$110&lt;&gt;"acoes")))*INDEX(Inputs!$K$5:$AJ$110,0,MATCH(AI$2,Inputs!$K$4:$AJ$4,0)))))</f>
        <v>8857</v>
      </c>
      <c r="AJ15" s="6">
        <f>IF(ISNA(MATCH(AJ$2,Inputs!$K$4:$AJ$4,0)),NA(),IF(SUMPRODUCT((Inputs!$A$5:$A$110=$B15)*ISNUMBER(INDEX(Inputs!$K$5:$AJ$110,0,MATCH(AJ$2,Inputs!$K$4:$AJ$4,0))))+SUMPRODUCT((Inputs!$C$5:$C$110=$B15)*ISNUMBER(INDEX(Inputs!$K$5:$AJ$110,0,MATCH(AJ$2,Inputs!$K$4:$AJ$4,0))))+SUMPRODUCT((Inputs!$E$5:$E$110=$B15)*ISNUMBER(INDEX(Inputs!$K$5:$AJ$110,0,MATCH(AJ$2,Inputs!$K$4:$AJ$4,0))))=0,NA(),SUMPRODUCT((Inputs!$A$5:$A$110=$B15)*Inputs!$B$5:$B$110*(((Inputs!$G$5:$G$110="moeda")+(Inputs!$G$5:$G$110="acoes"))*Inputs!$B$1+((Inputs!$G$5:$G$110&lt;&gt;"moeda")*(Inputs!$G$5:$G$110&lt;&gt;"acoes")))*INDEX(Inputs!$K$5:$AJ$110,0,MATCH(AJ$2,Inputs!$K$4:$AJ$4,0)))+SUMPRODUCT((Inputs!$C$5:$C$110=$B15)*Inputs!$D$5:$D$110*(((Inputs!$G$5:$G$110="moeda")+(Inputs!$G$5:$G$110="acoes"))*Inputs!$B$1+((Inputs!$G$5:$G$110&lt;&gt;"moeda")*(Inputs!$G$5:$G$110&lt;&gt;"acoes")))*INDEX(Inputs!$K$5:$AJ$110,0,MATCH(AJ$2,Inputs!$K$4:$AJ$4,0)))+SUMPRODUCT((Inputs!$E$5:$E$110=$B15)*Inputs!$F$5:$F$110*(((Inputs!$G$5:$G$110="moeda")+(Inputs!$G$5:$G$110="acoes"))*Inputs!$B$1+((Inputs!$G$5:$G$110&lt;&gt;"moeda")*(Inputs!$G$5:$G$110&lt;&gt;"acoes")))*INDEX(Inputs!$K$5:$AJ$110,0,MATCH(AJ$2,Inputs!$K$4:$AJ$4,0)))))</f>
        <v>7618</v>
      </c>
      <c r="AK15" s="6">
        <f>IF(ISNA(MATCH(AK$2,Inputs!$K$4:$AJ$4,0)),NA(),IF(SUMPRODUCT((Inputs!$A$5:$A$110=$B15)*ISNUMBER(INDEX(Inputs!$K$5:$AJ$110,0,MATCH(AK$2,Inputs!$K$4:$AJ$4,0))))+SUMPRODUCT((Inputs!$C$5:$C$110=$B15)*ISNUMBER(INDEX(Inputs!$K$5:$AJ$110,0,MATCH(AK$2,Inputs!$K$4:$AJ$4,0))))+SUMPRODUCT((Inputs!$E$5:$E$110=$B15)*ISNUMBER(INDEX(Inputs!$K$5:$AJ$110,0,MATCH(AK$2,Inputs!$K$4:$AJ$4,0))))=0,NA(),SUMPRODUCT((Inputs!$A$5:$A$110=$B15)*Inputs!$B$5:$B$110*(((Inputs!$G$5:$G$110="moeda")+(Inputs!$G$5:$G$110="acoes"))*Inputs!$B$1+((Inputs!$G$5:$G$110&lt;&gt;"moeda")*(Inputs!$G$5:$G$110&lt;&gt;"acoes")))*INDEX(Inputs!$K$5:$AJ$110,0,MATCH(AK$2,Inputs!$K$4:$AJ$4,0)))+SUMPRODUCT((Inputs!$C$5:$C$110=$B15)*Inputs!$D$5:$D$110*(((Inputs!$G$5:$G$110="moeda")+(Inputs!$G$5:$G$110="acoes"))*Inputs!$B$1+((Inputs!$G$5:$G$110&lt;&gt;"moeda")*(Inputs!$G$5:$G$110&lt;&gt;"acoes")))*INDEX(Inputs!$K$5:$AJ$110,0,MATCH(AK$2,Inputs!$K$4:$AJ$4,0)))+SUMPRODUCT((Inputs!$E$5:$E$110=$B15)*Inputs!$F$5:$F$110*(((Inputs!$G$5:$G$110="moeda")+(Inputs!$G$5:$G$110="acoes"))*Inputs!$B$1+((Inputs!$G$5:$G$110&lt;&gt;"moeda")*(Inputs!$G$5:$G$110&lt;&gt;"acoes")))*INDEX(Inputs!$K$5:$AJ$110,0,MATCH(AK$2,Inputs!$K$4:$AJ$4,0)))))</f>
        <v>9552</v>
      </c>
      <c r="AL15" s="3">
        <f>AK15</f>
        <v>9552</v>
      </c>
    </row>
    <row r="16">
      <c r="B16" s="46" t="n">
        <v>12</v>
      </c>
      <c r="C16" s="26" t="inlineStr">
        <is>
          <t>Accounts receivable</t>
        </is>
      </c>
      <c r="D16" s="6">
        <f>IF(ISNA(MATCH(D$2,Inputs!$K$4:$AJ$4,0)),NA(),IF(SUMPRODUCT((Inputs!$A$5:$A$110=$B16)*ISNUMBER(INDEX(Inputs!$K$5:$AJ$110,0,MATCH(D$2,Inputs!$K$4:$AJ$4,0))))+SUMPRODUCT((Inputs!$C$5:$C$110=$B16)*ISNUMBER(INDEX(Inputs!$K$5:$AJ$110,0,MATCH(D$2,Inputs!$K$4:$AJ$4,0))))+SUMPRODUCT((Inputs!$E$5:$E$110=$B16)*ISNUMBER(INDEX(Inputs!$K$5:$AJ$110,0,MATCH(D$2,Inputs!$K$4:$AJ$4,0))))=0,NA(),SUMPRODUCT((Inputs!$A$5:$A$110=$B16)*Inputs!$B$5:$B$110*(((Inputs!$G$5:$G$110="moeda")+(Inputs!$G$5:$G$110="acoes"))*Inputs!$B$1+((Inputs!$G$5:$G$110&lt;&gt;"moeda")*(Inputs!$G$5:$G$110&lt;&gt;"acoes")))*INDEX(Inputs!$K$5:$AJ$110,0,MATCH(D$2,Inputs!$K$4:$AJ$4,0)))+SUMPRODUCT((Inputs!$C$5:$C$110=$B16)*Inputs!$D$5:$D$110*(((Inputs!$G$5:$G$110="moeda")+(Inputs!$G$5:$G$110="acoes"))*Inputs!$B$1+((Inputs!$G$5:$G$110&lt;&gt;"moeda")*(Inputs!$G$5:$G$110&lt;&gt;"acoes")))*INDEX(Inputs!$K$5:$AJ$110,0,MATCH(D$2,Inputs!$K$4:$AJ$4,0)))+SUMPRODUCT((Inputs!$E$5:$E$110=$B16)*Inputs!$F$5:$F$110*(((Inputs!$G$5:$G$110="moeda")+(Inputs!$G$5:$G$110="acoes"))*Inputs!$B$1+((Inputs!$G$5:$G$110&lt;&gt;"moeda")*(Inputs!$G$5:$G$110&lt;&gt;"acoes")))*INDEX(Inputs!$K$5:$AJ$110,0,MATCH(D$2,Inputs!$K$4:$AJ$4,0)))))</f>
        <v>2425</v>
      </c>
      <c r="E16" s="6">
        <f>IF(ISNA(MATCH(E$2,Inputs!$K$4:$AJ$4,0)),NA(),IF(SUMPRODUCT((Inputs!$A$5:$A$110=$B16)*ISNUMBER(INDEX(Inputs!$K$5:$AJ$110,0,MATCH(E$2,Inputs!$K$4:$AJ$4,0))))+SUMPRODUCT((Inputs!$C$5:$C$110=$B16)*ISNUMBER(INDEX(Inputs!$K$5:$AJ$110,0,MATCH(E$2,Inputs!$K$4:$AJ$4,0))))+SUMPRODUCT((Inputs!$E$5:$E$110=$B16)*ISNUMBER(INDEX(Inputs!$K$5:$AJ$110,0,MATCH(E$2,Inputs!$K$4:$AJ$4,0))))=0,NA(),SUMPRODUCT((Inputs!$A$5:$A$110=$B16)*Inputs!$B$5:$B$110*(((Inputs!$G$5:$G$110="moeda")+(Inputs!$G$5:$G$110="acoes"))*Inputs!$B$1+((Inputs!$G$5:$G$110&lt;&gt;"moeda")*(Inputs!$G$5:$G$110&lt;&gt;"acoes")))*INDEX(Inputs!$K$5:$AJ$110,0,MATCH(E$2,Inputs!$K$4:$AJ$4,0)))+SUMPRODUCT((Inputs!$C$5:$C$110=$B16)*Inputs!$D$5:$D$110*(((Inputs!$G$5:$G$110="moeda")+(Inputs!$G$5:$G$110="acoes"))*Inputs!$B$1+((Inputs!$G$5:$G$110&lt;&gt;"moeda")*(Inputs!$G$5:$G$110&lt;&gt;"acoes")))*INDEX(Inputs!$K$5:$AJ$110,0,MATCH(E$2,Inputs!$K$4:$AJ$4,0)))+SUMPRODUCT((Inputs!$E$5:$E$110=$B16)*Inputs!$F$5:$F$110*(((Inputs!$G$5:$G$110="moeda")+(Inputs!$G$5:$G$110="acoes"))*Inputs!$B$1+((Inputs!$G$5:$G$110&lt;&gt;"moeda")*(Inputs!$G$5:$G$110&lt;&gt;"acoes")))*INDEX(Inputs!$K$5:$AJ$110,0,MATCH(E$2,Inputs!$K$4:$AJ$4,0)))))</f>
        <v>2234</v>
      </c>
      <c r="F16" s="6">
        <f>IF(ISNA(MATCH(F$2,Inputs!$K$4:$AJ$4,0)),NA(),IF(SUMPRODUCT((Inputs!$A$5:$A$110=$B16)*ISNUMBER(INDEX(Inputs!$K$5:$AJ$110,0,MATCH(F$2,Inputs!$K$4:$AJ$4,0))))+SUMPRODUCT((Inputs!$C$5:$C$110=$B16)*ISNUMBER(INDEX(Inputs!$K$5:$AJ$110,0,MATCH(F$2,Inputs!$K$4:$AJ$4,0))))+SUMPRODUCT((Inputs!$E$5:$E$110=$B16)*ISNUMBER(INDEX(Inputs!$K$5:$AJ$110,0,MATCH(F$2,Inputs!$K$4:$AJ$4,0))))=0,NA(),SUMPRODUCT((Inputs!$A$5:$A$110=$B16)*Inputs!$B$5:$B$110*(((Inputs!$G$5:$G$110="moeda")+(Inputs!$G$5:$G$110="acoes"))*Inputs!$B$1+((Inputs!$G$5:$G$110&lt;&gt;"moeda")*(Inputs!$G$5:$G$110&lt;&gt;"acoes")))*INDEX(Inputs!$K$5:$AJ$110,0,MATCH(F$2,Inputs!$K$4:$AJ$4,0)))+SUMPRODUCT((Inputs!$C$5:$C$110=$B16)*Inputs!$D$5:$D$110*(((Inputs!$G$5:$G$110="moeda")+(Inputs!$G$5:$G$110="acoes"))*Inputs!$B$1+((Inputs!$G$5:$G$110&lt;&gt;"moeda")*(Inputs!$G$5:$G$110&lt;&gt;"acoes")))*INDEX(Inputs!$K$5:$AJ$110,0,MATCH(F$2,Inputs!$K$4:$AJ$4,0)))+SUMPRODUCT((Inputs!$E$5:$E$110=$B16)*Inputs!$F$5:$F$110*(((Inputs!$G$5:$G$110="moeda")+(Inputs!$G$5:$G$110="acoes"))*Inputs!$B$1+((Inputs!$G$5:$G$110&lt;&gt;"moeda")*(Inputs!$G$5:$G$110&lt;&gt;"acoes")))*INDEX(Inputs!$K$5:$AJ$110,0,MATCH(F$2,Inputs!$K$4:$AJ$4,0)))))</f>
        <v>2071</v>
      </c>
      <c r="G16" s="6">
        <f>IF(ISNA(MATCH(G$2,Inputs!$K$4:$AJ$4,0)),NA(),IF(SUMPRODUCT((Inputs!$A$5:$A$110=$B16)*ISNUMBER(INDEX(Inputs!$K$5:$AJ$110,0,MATCH(G$2,Inputs!$K$4:$AJ$4,0))))+SUMPRODUCT((Inputs!$C$5:$C$110=$B16)*ISNUMBER(INDEX(Inputs!$K$5:$AJ$110,0,MATCH(G$2,Inputs!$K$4:$AJ$4,0))))+SUMPRODUCT((Inputs!$E$5:$E$110=$B16)*ISNUMBER(INDEX(Inputs!$K$5:$AJ$110,0,MATCH(G$2,Inputs!$K$4:$AJ$4,0))))=0,NA(),SUMPRODUCT((Inputs!$A$5:$A$110=$B16)*Inputs!$B$5:$B$110*(((Inputs!$G$5:$G$110="moeda")+(Inputs!$G$5:$G$110="acoes"))*Inputs!$B$1+((Inputs!$G$5:$G$110&lt;&gt;"moeda")*(Inputs!$G$5:$G$110&lt;&gt;"acoes")))*INDEX(Inputs!$K$5:$AJ$110,0,MATCH(G$2,Inputs!$K$4:$AJ$4,0)))+SUMPRODUCT((Inputs!$C$5:$C$110=$B16)*Inputs!$D$5:$D$110*(((Inputs!$G$5:$G$110="moeda")+(Inputs!$G$5:$G$110="acoes"))*Inputs!$B$1+((Inputs!$G$5:$G$110&lt;&gt;"moeda")*(Inputs!$G$5:$G$110&lt;&gt;"acoes")))*INDEX(Inputs!$K$5:$AJ$110,0,MATCH(G$2,Inputs!$K$4:$AJ$4,0)))+SUMPRODUCT((Inputs!$E$5:$E$110=$B16)*Inputs!$F$5:$F$110*(((Inputs!$G$5:$G$110="moeda")+(Inputs!$G$5:$G$110="acoes"))*Inputs!$B$1+((Inputs!$G$5:$G$110&lt;&gt;"moeda")*(Inputs!$G$5:$G$110&lt;&gt;"acoes")))*INDEX(Inputs!$K$5:$AJ$110,0,MATCH(G$2,Inputs!$K$4:$AJ$4,0)))))</f>
        <v>2539</v>
      </c>
      <c r="H16" s="3">
        <f>G16</f>
        <v>2539</v>
      </c>
      <c r="I16" s="6">
        <f>IF(ISNA(MATCH(I$2,Inputs!$K$4:$AJ$4,0)),NA(),IF(SUMPRODUCT((Inputs!$A$5:$A$110=$B16)*ISNUMBER(INDEX(Inputs!$K$5:$AJ$110,0,MATCH(I$2,Inputs!$K$4:$AJ$4,0))))+SUMPRODUCT((Inputs!$C$5:$C$110=$B16)*ISNUMBER(INDEX(Inputs!$K$5:$AJ$110,0,MATCH(I$2,Inputs!$K$4:$AJ$4,0))))+SUMPRODUCT((Inputs!$E$5:$E$110=$B16)*ISNUMBER(INDEX(Inputs!$K$5:$AJ$110,0,MATCH(I$2,Inputs!$K$4:$AJ$4,0))))=0,NA(),SUMPRODUCT((Inputs!$A$5:$A$110=$B16)*Inputs!$B$5:$B$110*(((Inputs!$G$5:$G$110="moeda")+(Inputs!$G$5:$G$110="acoes"))*Inputs!$B$1+((Inputs!$G$5:$G$110&lt;&gt;"moeda")*(Inputs!$G$5:$G$110&lt;&gt;"acoes")))*INDEX(Inputs!$K$5:$AJ$110,0,MATCH(I$2,Inputs!$K$4:$AJ$4,0)))+SUMPRODUCT((Inputs!$C$5:$C$110=$B16)*Inputs!$D$5:$D$110*(((Inputs!$G$5:$G$110="moeda")+(Inputs!$G$5:$G$110="acoes"))*Inputs!$B$1+((Inputs!$G$5:$G$110&lt;&gt;"moeda")*(Inputs!$G$5:$G$110&lt;&gt;"acoes")))*INDEX(Inputs!$K$5:$AJ$110,0,MATCH(I$2,Inputs!$K$4:$AJ$4,0)))+SUMPRODUCT((Inputs!$E$5:$E$110=$B16)*Inputs!$F$5:$F$110*(((Inputs!$G$5:$G$110="moeda")+(Inputs!$G$5:$G$110="acoes"))*Inputs!$B$1+((Inputs!$G$5:$G$110&lt;&gt;"moeda")*(Inputs!$G$5:$G$110&lt;&gt;"acoes")))*INDEX(Inputs!$K$5:$AJ$110,0,MATCH(I$2,Inputs!$K$4:$AJ$4,0)))))</f>
        <v>3083</v>
      </c>
      <c r="J16" s="6">
        <f>IF(ISNA(MATCH(J$2,Inputs!$K$4:$AJ$4,0)),NA(),IF(SUMPRODUCT((Inputs!$A$5:$A$110=$B16)*ISNUMBER(INDEX(Inputs!$K$5:$AJ$110,0,MATCH(J$2,Inputs!$K$4:$AJ$4,0))))+SUMPRODUCT((Inputs!$C$5:$C$110=$B16)*ISNUMBER(INDEX(Inputs!$K$5:$AJ$110,0,MATCH(J$2,Inputs!$K$4:$AJ$4,0))))+SUMPRODUCT((Inputs!$E$5:$E$110=$B16)*ISNUMBER(INDEX(Inputs!$K$5:$AJ$110,0,MATCH(J$2,Inputs!$K$4:$AJ$4,0))))=0,NA(),SUMPRODUCT((Inputs!$A$5:$A$110=$B16)*Inputs!$B$5:$B$110*(((Inputs!$G$5:$G$110="moeda")+(Inputs!$G$5:$G$110="acoes"))*Inputs!$B$1+((Inputs!$G$5:$G$110&lt;&gt;"moeda")*(Inputs!$G$5:$G$110&lt;&gt;"acoes")))*INDEX(Inputs!$K$5:$AJ$110,0,MATCH(J$2,Inputs!$K$4:$AJ$4,0)))+SUMPRODUCT((Inputs!$C$5:$C$110=$B16)*Inputs!$D$5:$D$110*(((Inputs!$G$5:$G$110="moeda")+(Inputs!$G$5:$G$110="acoes"))*Inputs!$B$1+((Inputs!$G$5:$G$110&lt;&gt;"moeda")*(Inputs!$G$5:$G$110&lt;&gt;"acoes")))*INDEX(Inputs!$K$5:$AJ$110,0,MATCH(J$2,Inputs!$K$4:$AJ$4,0)))+SUMPRODUCT((Inputs!$E$5:$E$110=$B16)*Inputs!$F$5:$F$110*(((Inputs!$G$5:$G$110="moeda")+(Inputs!$G$5:$G$110="acoes"))*Inputs!$B$1+((Inputs!$G$5:$G$110&lt;&gt;"moeda")*(Inputs!$G$5:$G$110&lt;&gt;"acoes")))*INDEX(Inputs!$K$5:$AJ$110,0,MATCH(J$2,Inputs!$K$4:$AJ$4,0)))))</f>
        <v>2708</v>
      </c>
      <c r="K16" s="6">
        <f>IF(ISNA(MATCH(K$2,Inputs!$K$4:$AJ$4,0)),NA(),IF(SUMPRODUCT((Inputs!$A$5:$A$110=$B16)*ISNUMBER(INDEX(Inputs!$K$5:$AJ$110,0,MATCH(K$2,Inputs!$K$4:$AJ$4,0))))+SUMPRODUCT((Inputs!$C$5:$C$110=$B16)*ISNUMBER(INDEX(Inputs!$K$5:$AJ$110,0,MATCH(K$2,Inputs!$K$4:$AJ$4,0))))+SUMPRODUCT((Inputs!$E$5:$E$110=$B16)*ISNUMBER(INDEX(Inputs!$K$5:$AJ$110,0,MATCH(K$2,Inputs!$K$4:$AJ$4,0))))=0,NA(),SUMPRODUCT((Inputs!$A$5:$A$110=$B16)*Inputs!$B$5:$B$110*(((Inputs!$G$5:$G$110="moeda")+(Inputs!$G$5:$G$110="acoes"))*Inputs!$B$1+((Inputs!$G$5:$G$110&lt;&gt;"moeda")*(Inputs!$G$5:$G$110&lt;&gt;"acoes")))*INDEX(Inputs!$K$5:$AJ$110,0,MATCH(K$2,Inputs!$K$4:$AJ$4,0)))+SUMPRODUCT((Inputs!$C$5:$C$110=$B16)*Inputs!$D$5:$D$110*(((Inputs!$G$5:$G$110="moeda")+(Inputs!$G$5:$G$110="acoes"))*Inputs!$B$1+((Inputs!$G$5:$G$110&lt;&gt;"moeda")*(Inputs!$G$5:$G$110&lt;&gt;"acoes")))*INDEX(Inputs!$K$5:$AJ$110,0,MATCH(K$2,Inputs!$K$4:$AJ$4,0)))+SUMPRODUCT((Inputs!$E$5:$E$110=$B16)*Inputs!$F$5:$F$110*(((Inputs!$G$5:$G$110="moeda")+(Inputs!$G$5:$G$110="acoes"))*Inputs!$B$1+((Inputs!$G$5:$G$110&lt;&gt;"moeda")*(Inputs!$G$5:$G$110&lt;&gt;"acoes")))*INDEX(Inputs!$K$5:$AJ$110,0,MATCH(K$2,Inputs!$K$4:$AJ$4,0)))))</f>
        <v>2958</v>
      </c>
      <c r="L16" s="6">
        <f>IF(ISNA(MATCH(L$2,Inputs!$K$4:$AJ$4,0)),NA(),IF(SUMPRODUCT((Inputs!$A$5:$A$110=$B16)*ISNUMBER(INDEX(Inputs!$K$5:$AJ$110,0,MATCH(L$2,Inputs!$K$4:$AJ$4,0))))+SUMPRODUCT((Inputs!$C$5:$C$110=$B16)*ISNUMBER(INDEX(Inputs!$K$5:$AJ$110,0,MATCH(L$2,Inputs!$K$4:$AJ$4,0))))+SUMPRODUCT((Inputs!$E$5:$E$110=$B16)*ISNUMBER(INDEX(Inputs!$K$5:$AJ$110,0,MATCH(L$2,Inputs!$K$4:$AJ$4,0))))=0,NA(),SUMPRODUCT((Inputs!$A$5:$A$110=$B16)*Inputs!$B$5:$B$110*(((Inputs!$G$5:$G$110="moeda")+(Inputs!$G$5:$G$110="acoes"))*Inputs!$B$1+((Inputs!$G$5:$G$110&lt;&gt;"moeda")*(Inputs!$G$5:$G$110&lt;&gt;"acoes")))*INDEX(Inputs!$K$5:$AJ$110,0,MATCH(L$2,Inputs!$K$4:$AJ$4,0)))+SUMPRODUCT((Inputs!$C$5:$C$110=$B16)*Inputs!$D$5:$D$110*(((Inputs!$G$5:$G$110="moeda")+(Inputs!$G$5:$G$110="acoes"))*Inputs!$B$1+((Inputs!$G$5:$G$110&lt;&gt;"moeda")*(Inputs!$G$5:$G$110&lt;&gt;"acoes")))*INDEX(Inputs!$K$5:$AJ$110,0,MATCH(L$2,Inputs!$K$4:$AJ$4,0)))+SUMPRODUCT((Inputs!$E$5:$E$110=$B16)*Inputs!$F$5:$F$110*(((Inputs!$G$5:$G$110="moeda")+(Inputs!$G$5:$G$110="acoes"))*Inputs!$B$1+((Inputs!$G$5:$G$110&lt;&gt;"moeda")*(Inputs!$G$5:$G$110&lt;&gt;"acoes")))*INDEX(Inputs!$K$5:$AJ$110,0,MATCH(L$2,Inputs!$K$4:$AJ$4,0)))))</f>
        <v>3234</v>
      </c>
      <c r="M16" s="3">
        <f>L16</f>
        <v>3234</v>
      </c>
      <c r="N16" s="6">
        <f>IF(ISNA(MATCH(N$2,Inputs!$K$4:$AJ$4,0)),NA(),IF(SUMPRODUCT((Inputs!$A$5:$A$110=$B16)*ISNUMBER(INDEX(Inputs!$K$5:$AJ$110,0,MATCH(N$2,Inputs!$K$4:$AJ$4,0))))+SUMPRODUCT((Inputs!$C$5:$C$110=$B16)*ISNUMBER(INDEX(Inputs!$K$5:$AJ$110,0,MATCH(N$2,Inputs!$K$4:$AJ$4,0))))+SUMPRODUCT((Inputs!$E$5:$E$110=$B16)*ISNUMBER(INDEX(Inputs!$K$5:$AJ$110,0,MATCH(N$2,Inputs!$K$4:$AJ$4,0))))=0,NA(),SUMPRODUCT((Inputs!$A$5:$A$110=$B16)*Inputs!$B$5:$B$110*(((Inputs!$G$5:$G$110="moeda")+(Inputs!$G$5:$G$110="acoes"))*Inputs!$B$1+((Inputs!$G$5:$G$110&lt;&gt;"moeda")*(Inputs!$G$5:$G$110&lt;&gt;"acoes")))*INDEX(Inputs!$K$5:$AJ$110,0,MATCH(N$2,Inputs!$K$4:$AJ$4,0)))+SUMPRODUCT((Inputs!$C$5:$C$110=$B16)*Inputs!$D$5:$D$110*(((Inputs!$G$5:$G$110="moeda")+(Inputs!$G$5:$G$110="acoes"))*Inputs!$B$1+((Inputs!$G$5:$G$110&lt;&gt;"moeda")*(Inputs!$G$5:$G$110&lt;&gt;"acoes")))*INDEX(Inputs!$K$5:$AJ$110,0,MATCH(N$2,Inputs!$K$4:$AJ$4,0)))+SUMPRODUCT((Inputs!$E$5:$E$110=$B16)*Inputs!$F$5:$F$110*(((Inputs!$G$5:$G$110="moeda")+(Inputs!$G$5:$G$110="acoes"))*Inputs!$B$1+((Inputs!$G$5:$G$110&lt;&gt;"moeda")*(Inputs!$G$5:$G$110&lt;&gt;"acoes")))*INDEX(Inputs!$K$5:$AJ$110,0,MATCH(N$2,Inputs!$K$4:$AJ$4,0)))))</f>
        <v>3031</v>
      </c>
      <c r="O16" s="6">
        <f>IF(ISNA(MATCH(O$2,Inputs!$K$4:$AJ$4,0)),NA(),IF(SUMPRODUCT((Inputs!$A$5:$A$110=$B16)*ISNUMBER(INDEX(Inputs!$K$5:$AJ$110,0,MATCH(O$2,Inputs!$K$4:$AJ$4,0))))+SUMPRODUCT((Inputs!$C$5:$C$110=$B16)*ISNUMBER(INDEX(Inputs!$K$5:$AJ$110,0,MATCH(O$2,Inputs!$K$4:$AJ$4,0))))+SUMPRODUCT((Inputs!$E$5:$E$110=$B16)*ISNUMBER(INDEX(Inputs!$K$5:$AJ$110,0,MATCH(O$2,Inputs!$K$4:$AJ$4,0))))=0,NA(),SUMPRODUCT((Inputs!$A$5:$A$110=$B16)*Inputs!$B$5:$B$110*(((Inputs!$G$5:$G$110="moeda")+(Inputs!$G$5:$G$110="acoes"))*Inputs!$B$1+((Inputs!$G$5:$G$110&lt;&gt;"moeda")*(Inputs!$G$5:$G$110&lt;&gt;"acoes")))*INDEX(Inputs!$K$5:$AJ$110,0,MATCH(O$2,Inputs!$K$4:$AJ$4,0)))+SUMPRODUCT((Inputs!$C$5:$C$110=$B16)*Inputs!$D$5:$D$110*(((Inputs!$G$5:$G$110="moeda")+(Inputs!$G$5:$G$110="acoes"))*Inputs!$B$1+((Inputs!$G$5:$G$110&lt;&gt;"moeda")*(Inputs!$G$5:$G$110&lt;&gt;"acoes")))*INDEX(Inputs!$K$5:$AJ$110,0,MATCH(O$2,Inputs!$K$4:$AJ$4,0)))+SUMPRODUCT((Inputs!$E$5:$E$110=$B16)*Inputs!$F$5:$F$110*(((Inputs!$G$5:$G$110="moeda")+(Inputs!$G$5:$G$110="acoes"))*Inputs!$B$1+((Inputs!$G$5:$G$110&lt;&gt;"moeda")*(Inputs!$G$5:$G$110&lt;&gt;"acoes")))*INDEX(Inputs!$K$5:$AJ$110,0,MATCH(O$2,Inputs!$K$4:$AJ$4,0)))))</f>
        <v>2914</v>
      </c>
      <c r="P16" s="6">
        <f>IF(ISNA(MATCH(P$2,Inputs!$K$4:$AJ$4,0)),NA(),IF(SUMPRODUCT((Inputs!$A$5:$A$110=$B16)*ISNUMBER(INDEX(Inputs!$K$5:$AJ$110,0,MATCH(P$2,Inputs!$K$4:$AJ$4,0))))+SUMPRODUCT((Inputs!$C$5:$C$110=$B16)*ISNUMBER(INDEX(Inputs!$K$5:$AJ$110,0,MATCH(P$2,Inputs!$K$4:$AJ$4,0))))+SUMPRODUCT((Inputs!$E$5:$E$110=$B16)*ISNUMBER(INDEX(Inputs!$K$5:$AJ$110,0,MATCH(P$2,Inputs!$K$4:$AJ$4,0))))=0,NA(),SUMPRODUCT((Inputs!$A$5:$A$110=$B16)*Inputs!$B$5:$B$110*(((Inputs!$G$5:$G$110="moeda")+(Inputs!$G$5:$G$110="acoes"))*Inputs!$B$1+((Inputs!$G$5:$G$110&lt;&gt;"moeda")*(Inputs!$G$5:$G$110&lt;&gt;"acoes")))*INDEX(Inputs!$K$5:$AJ$110,0,MATCH(P$2,Inputs!$K$4:$AJ$4,0)))+SUMPRODUCT((Inputs!$C$5:$C$110=$B16)*Inputs!$D$5:$D$110*(((Inputs!$G$5:$G$110="moeda")+(Inputs!$G$5:$G$110="acoes"))*Inputs!$B$1+((Inputs!$G$5:$G$110&lt;&gt;"moeda")*(Inputs!$G$5:$G$110&lt;&gt;"acoes")))*INDEX(Inputs!$K$5:$AJ$110,0,MATCH(P$2,Inputs!$K$4:$AJ$4,0)))+SUMPRODUCT((Inputs!$E$5:$E$110=$B16)*Inputs!$F$5:$F$110*(((Inputs!$G$5:$G$110="moeda")+(Inputs!$G$5:$G$110="acoes"))*Inputs!$B$1+((Inputs!$G$5:$G$110&lt;&gt;"moeda")*(Inputs!$G$5:$G$110&lt;&gt;"acoes")))*INDEX(Inputs!$K$5:$AJ$110,0,MATCH(P$2,Inputs!$K$4:$AJ$4,0)))))</f>
        <v>3154</v>
      </c>
      <c r="Q16" s="6">
        <f>IF(ISNA(MATCH(Q$2,Inputs!$K$4:$AJ$4,0)),NA(),IF(SUMPRODUCT((Inputs!$A$5:$A$110=$B16)*ISNUMBER(INDEX(Inputs!$K$5:$AJ$110,0,MATCH(Q$2,Inputs!$K$4:$AJ$4,0))))+SUMPRODUCT((Inputs!$C$5:$C$110=$B16)*ISNUMBER(INDEX(Inputs!$K$5:$AJ$110,0,MATCH(Q$2,Inputs!$K$4:$AJ$4,0))))+SUMPRODUCT((Inputs!$E$5:$E$110=$B16)*ISNUMBER(INDEX(Inputs!$K$5:$AJ$110,0,MATCH(Q$2,Inputs!$K$4:$AJ$4,0))))=0,NA(),SUMPRODUCT((Inputs!$A$5:$A$110=$B16)*Inputs!$B$5:$B$110*(((Inputs!$G$5:$G$110="moeda")+(Inputs!$G$5:$G$110="acoes"))*Inputs!$B$1+((Inputs!$G$5:$G$110&lt;&gt;"moeda")*(Inputs!$G$5:$G$110&lt;&gt;"acoes")))*INDEX(Inputs!$K$5:$AJ$110,0,MATCH(Q$2,Inputs!$K$4:$AJ$4,0)))+SUMPRODUCT((Inputs!$C$5:$C$110=$B16)*Inputs!$D$5:$D$110*(((Inputs!$G$5:$G$110="moeda")+(Inputs!$G$5:$G$110="acoes"))*Inputs!$B$1+((Inputs!$G$5:$G$110&lt;&gt;"moeda")*(Inputs!$G$5:$G$110&lt;&gt;"acoes")))*INDEX(Inputs!$K$5:$AJ$110,0,MATCH(Q$2,Inputs!$K$4:$AJ$4,0)))+SUMPRODUCT((Inputs!$E$5:$E$110=$B16)*Inputs!$F$5:$F$110*(((Inputs!$G$5:$G$110="moeda")+(Inputs!$G$5:$G$110="acoes"))*Inputs!$B$1+((Inputs!$G$5:$G$110&lt;&gt;"moeda")*(Inputs!$G$5:$G$110&lt;&gt;"acoes")))*INDEX(Inputs!$K$5:$AJ$110,0,MATCH(Q$2,Inputs!$K$4:$AJ$4,0)))))</f>
        <v>4969</v>
      </c>
      <c r="R16" s="3">
        <f>Q16</f>
        <v>4969</v>
      </c>
      <c r="S16" s="6">
        <f>IF(ISNA(MATCH(S$2,Inputs!$K$4:$AJ$4,0)),NA(),IF(SUMPRODUCT((Inputs!$A$5:$A$110=$B16)*ISNUMBER(INDEX(Inputs!$K$5:$AJ$110,0,MATCH(S$2,Inputs!$K$4:$AJ$4,0))))+SUMPRODUCT((Inputs!$C$5:$C$110=$B16)*ISNUMBER(INDEX(Inputs!$K$5:$AJ$110,0,MATCH(S$2,Inputs!$K$4:$AJ$4,0))))+SUMPRODUCT((Inputs!$E$5:$E$110=$B16)*ISNUMBER(INDEX(Inputs!$K$5:$AJ$110,0,MATCH(S$2,Inputs!$K$4:$AJ$4,0))))=0,NA(),SUMPRODUCT((Inputs!$A$5:$A$110=$B16)*Inputs!$B$5:$B$110*(((Inputs!$G$5:$G$110="moeda")+(Inputs!$G$5:$G$110="acoes"))*Inputs!$B$1+((Inputs!$G$5:$G$110&lt;&gt;"moeda")*(Inputs!$G$5:$G$110&lt;&gt;"acoes")))*INDEX(Inputs!$K$5:$AJ$110,0,MATCH(S$2,Inputs!$K$4:$AJ$4,0)))+SUMPRODUCT((Inputs!$C$5:$C$110=$B16)*Inputs!$D$5:$D$110*(((Inputs!$G$5:$G$110="moeda")+(Inputs!$G$5:$G$110="acoes"))*Inputs!$B$1+((Inputs!$G$5:$G$110&lt;&gt;"moeda")*(Inputs!$G$5:$G$110&lt;&gt;"acoes")))*INDEX(Inputs!$K$5:$AJ$110,0,MATCH(S$2,Inputs!$K$4:$AJ$4,0)))+SUMPRODUCT((Inputs!$E$5:$E$110=$B16)*Inputs!$F$5:$F$110*(((Inputs!$G$5:$G$110="moeda")+(Inputs!$G$5:$G$110="acoes"))*Inputs!$B$1+((Inputs!$G$5:$G$110&lt;&gt;"moeda")*(Inputs!$G$5:$G$110&lt;&gt;"acoes")))*INDEX(Inputs!$K$5:$AJ$110,0,MATCH(S$2,Inputs!$K$4:$AJ$4,0)))))</f>
        <v>5500</v>
      </c>
      <c r="T16" s="6">
        <f>IF(ISNA(MATCH(T$2,Inputs!$K$4:$AJ$4,0)),NA(),IF(SUMPRODUCT((Inputs!$A$5:$A$110=$B16)*ISNUMBER(INDEX(Inputs!$K$5:$AJ$110,0,MATCH(T$2,Inputs!$K$4:$AJ$4,0))))+SUMPRODUCT((Inputs!$C$5:$C$110=$B16)*ISNUMBER(INDEX(Inputs!$K$5:$AJ$110,0,MATCH(T$2,Inputs!$K$4:$AJ$4,0))))+SUMPRODUCT((Inputs!$E$5:$E$110=$B16)*ISNUMBER(INDEX(Inputs!$K$5:$AJ$110,0,MATCH(T$2,Inputs!$K$4:$AJ$4,0))))=0,NA(),SUMPRODUCT((Inputs!$A$5:$A$110=$B16)*Inputs!$B$5:$B$110*(((Inputs!$G$5:$G$110="moeda")+(Inputs!$G$5:$G$110="acoes"))*Inputs!$B$1+((Inputs!$G$5:$G$110&lt;&gt;"moeda")*(Inputs!$G$5:$G$110&lt;&gt;"acoes")))*INDEX(Inputs!$K$5:$AJ$110,0,MATCH(T$2,Inputs!$K$4:$AJ$4,0)))+SUMPRODUCT((Inputs!$C$5:$C$110=$B16)*Inputs!$D$5:$D$110*(((Inputs!$G$5:$G$110="moeda")+(Inputs!$G$5:$G$110="acoes"))*Inputs!$B$1+((Inputs!$G$5:$G$110&lt;&gt;"moeda")*(Inputs!$G$5:$G$110&lt;&gt;"acoes")))*INDEX(Inputs!$K$5:$AJ$110,0,MATCH(T$2,Inputs!$K$4:$AJ$4,0)))+SUMPRODUCT((Inputs!$E$5:$E$110=$B16)*Inputs!$F$5:$F$110*(((Inputs!$G$5:$G$110="moeda")+(Inputs!$G$5:$G$110="acoes"))*Inputs!$B$1+((Inputs!$G$5:$G$110&lt;&gt;"moeda")*(Inputs!$G$5:$G$110&lt;&gt;"acoes")))*INDEX(Inputs!$K$5:$AJ$110,0,MATCH(T$2,Inputs!$K$4:$AJ$4,0)))))</f>
        <v>4665</v>
      </c>
      <c r="U16" s="6">
        <f>IF(ISNA(MATCH(U$2,Inputs!$K$4:$AJ$4,0)),NA(),IF(SUMPRODUCT((Inputs!$A$5:$A$110=$B16)*ISNUMBER(INDEX(Inputs!$K$5:$AJ$110,0,MATCH(U$2,Inputs!$K$4:$AJ$4,0))))+SUMPRODUCT((Inputs!$C$5:$C$110=$B16)*ISNUMBER(INDEX(Inputs!$K$5:$AJ$110,0,MATCH(U$2,Inputs!$K$4:$AJ$4,0))))+SUMPRODUCT((Inputs!$E$5:$E$110=$B16)*ISNUMBER(INDEX(Inputs!$K$5:$AJ$110,0,MATCH(U$2,Inputs!$K$4:$AJ$4,0))))=0,NA(),SUMPRODUCT((Inputs!$A$5:$A$110=$B16)*Inputs!$B$5:$B$110*(((Inputs!$G$5:$G$110="moeda")+(Inputs!$G$5:$G$110="acoes"))*Inputs!$B$1+((Inputs!$G$5:$G$110&lt;&gt;"moeda")*(Inputs!$G$5:$G$110&lt;&gt;"acoes")))*INDEX(Inputs!$K$5:$AJ$110,0,MATCH(U$2,Inputs!$K$4:$AJ$4,0)))+SUMPRODUCT((Inputs!$C$5:$C$110=$B16)*Inputs!$D$5:$D$110*(((Inputs!$G$5:$G$110="moeda")+(Inputs!$G$5:$G$110="acoes"))*Inputs!$B$1+((Inputs!$G$5:$G$110&lt;&gt;"moeda")*(Inputs!$G$5:$G$110&lt;&gt;"acoes")))*INDEX(Inputs!$K$5:$AJ$110,0,MATCH(U$2,Inputs!$K$4:$AJ$4,0)))+SUMPRODUCT((Inputs!$E$5:$E$110=$B16)*Inputs!$F$5:$F$110*(((Inputs!$G$5:$G$110="moeda")+(Inputs!$G$5:$G$110="acoes"))*Inputs!$B$1+((Inputs!$G$5:$G$110&lt;&gt;"moeda")*(Inputs!$G$5:$G$110&lt;&gt;"acoes")))*INDEX(Inputs!$K$5:$AJ$110,0,MATCH(U$2,Inputs!$K$4:$AJ$4,0)))))</f>
        <v>4416</v>
      </c>
      <c r="V16" s="6">
        <f>IF(ISNA(MATCH(V$2,Inputs!$K$4:$AJ$4,0)),NA(),IF(SUMPRODUCT((Inputs!$A$5:$A$110=$B16)*ISNUMBER(INDEX(Inputs!$K$5:$AJ$110,0,MATCH(V$2,Inputs!$K$4:$AJ$4,0))))+SUMPRODUCT((Inputs!$C$5:$C$110=$B16)*ISNUMBER(INDEX(Inputs!$K$5:$AJ$110,0,MATCH(V$2,Inputs!$K$4:$AJ$4,0))))+SUMPRODUCT((Inputs!$E$5:$E$110=$B16)*ISNUMBER(INDEX(Inputs!$K$5:$AJ$110,0,MATCH(V$2,Inputs!$K$4:$AJ$4,0))))=0,NA(),SUMPRODUCT((Inputs!$A$5:$A$110=$B16)*Inputs!$B$5:$B$110*(((Inputs!$G$5:$G$110="moeda")+(Inputs!$G$5:$G$110="acoes"))*Inputs!$B$1+((Inputs!$G$5:$G$110&lt;&gt;"moeda")*(Inputs!$G$5:$G$110&lt;&gt;"acoes")))*INDEX(Inputs!$K$5:$AJ$110,0,MATCH(V$2,Inputs!$K$4:$AJ$4,0)))+SUMPRODUCT((Inputs!$C$5:$C$110=$B16)*Inputs!$D$5:$D$110*(((Inputs!$G$5:$G$110="moeda")+(Inputs!$G$5:$G$110="acoes"))*Inputs!$B$1+((Inputs!$G$5:$G$110&lt;&gt;"moeda")*(Inputs!$G$5:$G$110&lt;&gt;"acoes")))*INDEX(Inputs!$K$5:$AJ$110,0,MATCH(V$2,Inputs!$K$4:$AJ$4,0)))+SUMPRODUCT((Inputs!$E$5:$E$110=$B16)*Inputs!$F$5:$F$110*(((Inputs!$G$5:$G$110="moeda")+(Inputs!$G$5:$G$110="acoes"))*Inputs!$B$1+((Inputs!$G$5:$G$110&lt;&gt;"moeda")*(Inputs!$G$5:$G$110&lt;&gt;"acoes")))*INDEX(Inputs!$K$5:$AJ$110,0,MATCH(V$2,Inputs!$K$4:$AJ$4,0)))))</f>
        <v>4955</v>
      </c>
      <c r="W16" s="3">
        <f>V16</f>
        <v>4955</v>
      </c>
      <c r="X16" s="6">
        <f>IF(ISNA(MATCH(X$2,Inputs!$K$4:$AJ$4,0)),NA(),IF(SUMPRODUCT((Inputs!$A$5:$A$110=$B16)*ISNUMBER(INDEX(Inputs!$K$5:$AJ$110,0,MATCH(X$2,Inputs!$K$4:$AJ$4,0))))+SUMPRODUCT((Inputs!$C$5:$C$110=$B16)*ISNUMBER(INDEX(Inputs!$K$5:$AJ$110,0,MATCH(X$2,Inputs!$K$4:$AJ$4,0))))+SUMPRODUCT((Inputs!$E$5:$E$110=$B16)*ISNUMBER(INDEX(Inputs!$K$5:$AJ$110,0,MATCH(X$2,Inputs!$K$4:$AJ$4,0))))=0,NA(),SUMPRODUCT((Inputs!$A$5:$A$110=$B16)*Inputs!$B$5:$B$110*(((Inputs!$G$5:$G$110="moeda")+(Inputs!$G$5:$G$110="acoes"))*Inputs!$B$1+((Inputs!$G$5:$G$110&lt;&gt;"moeda")*(Inputs!$G$5:$G$110&lt;&gt;"acoes")))*INDEX(Inputs!$K$5:$AJ$110,0,MATCH(X$2,Inputs!$K$4:$AJ$4,0)))+SUMPRODUCT((Inputs!$C$5:$C$110=$B16)*Inputs!$D$5:$D$110*(((Inputs!$G$5:$G$110="moeda")+(Inputs!$G$5:$G$110="acoes"))*Inputs!$B$1+((Inputs!$G$5:$G$110&lt;&gt;"moeda")*(Inputs!$G$5:$G$110&lt;&gt;"acoes")))*INDEX(Inputs!$K$5:$AJ$110,0,MATCH(X$2,Inputs!$K$4:$AJ$4,0)))+SUMPRODUCT((Inputs!$E$5:$E$110=$B16)*Inputs!$F$5:$F$110*(((Inputs!$G$5:$G$110="moeda")+(Inputs!$G$5:$G$110="acoes"))*Inputs!$B$1+((Inputs!$G$5:$G$110&lt;&gt;"moeda")*(Inputs!$G$5:$G$110&lt;&gt;"acoes")))*INDEX(Inputs!$K$5:$AJ$110,0,MATCH(X$2,Inputs!$K$4:$AJ$4,0)))))</f>
        <v>5563</v>
      </c>
      <c r="Y16" s="6">
        <f>IF(ISNA(MATCH(Y$2,Inputs!$K$4:$AJ$4,0)),NA(),IF(SUMPRODUCT((Inputs!$A$5:$A$110=$B16)*ISNUMBER(INDEX(Inputs!$K$5:$AJ$110,0,MATCH(Y$2,Inputs!$K$4:$AJ$4,0))))+SUMPRODUCT((Inputs!$C$5:$C$110=$B16)*ISNUMBER(INDEX(Inputs!$K$5:$AJ$110,0,MATCH(Y$2,Inputs!$K$4:$AJ$4,0))))+SUMPRODUCT((Inputs!$E$5:$E$110=$B16)*ISNUMBER(INDEX(Inputs!$K$5:$AJ$110,0,MATCH(Y$2,Inputs!$K$4:$AJ$4,0))))=0,NA(),SUMPRODUCT((Inputs!$A$5:$A$110=$B16)*Inputs!$B$5:$B$110*(((Inputs!$G$5:$G$110="moeda")+(Inputs!$G$5:$G$110="acoes"))*Inputs!$B$1+((Inputs!$G$5:$G$110&lt;&gt;"moeda")*(Inputs!$G$5:$G$110&lt;&gt;"acoes")))*INDEX(Inputs!$K$5:$AJ$110,0,MATCH(Y$2,Inputs!$K$4:$AJ$4,0)))+SUMPRODUCT((Inputs!$C$5:$C$110=$B16)*Inputs!$D$5:$D$110*(((Inputs!$G$5:$G$110="moeda")+(Inputs!$G$5:$G$110="acoes"))*Inputs!$B$1+((Inputs!$G$5:$G$110&lt;&gt;"moeda")*(Inputs!$G$5:$G$110&lt;&gt;"acoes")))*INDEX(Inputs!$K$5:$AJ$110,0,MATCH(Y$2,Inputs!$K$4:$AJ$4,0)))+SUMPRODUCT((Inputs!$E$5:$E$110=$B16)*Inputs!$F$5:$F$110*(((Inputs!$G$5:$G$110="moeda")+(Inputs!$G$5:$G$110="acoes"))*Inputs!$B$1+((Inputs!$G$5:$G$110&lt;&gt;"moeda")*(Inputs!$G$5:$G$110&lt;&gt;"acoes")))*INDEX(Inputs!$K$5:$AJ$110,0,MATCH(Y$2,Inputs!$K$4:$AJ$4,0)))))</f>
        <v>6494</v>
      </c>
      <c r="Z16" s="6">
        <f>IF(ISNA(MATCH(Z$2,Inputs!$K$4:$AJ$4,0)),NA(),IF(SUMPRODUCT((Inputs!$A$5:$A$110=$B16)*ISNUMBER(INDEX(Inputs!$K$5:$AJ$110,0,MATCH(Z$2,Inputs!$K$4:$AJ$4,0))))+SUMPRODUCT((Inputs!$C$5:$C$110=$B16)*ISNUMBER(INDEX(Inputs!$K$5:$AJ$110,0,MATCH(Z$2,Inputs!$K$4:$AJ$4,0))))+SUMPRODUCT((Inputs!$E$5:$E$110=$B16)*ISNUMBER(INDEX(Inputs!$K$5:$AJ$110,0,MATCH(Z$2,Inputs!$K$4:$AJ$4,0))))=0,NA(),SUMPRODUCT((Inputs!$A$5:$A$110=$B16)*Inputs!$B$5:$B$110*(((Inputs!$G$5:$G$110="moeda")+(Inputs!$G$5:$G$110="acoes"))*Inputs!$B$1+((Inputs!$G$5:$G$110&lt;&gt;"moeda")*(Inputs!$G$5:$G$110&lt;&gt;"acoes")))*INDEX(Inputs!$K$5:$AJ$110,0,MATCH(Z$2,Inputs!$K$4:$AJ$4,0)))+SUMPRODUCT((Inputs!$C$5:$C$110=$B16)*Inputs!$D$5:$D$110*(((Inputs!$G$5:$G$110="moeda")+(Inputs!$G$5:$G$110="acoes"))*Inputs!$B$1+((Inputs!$G$5:$G$110&lt;&gt;"moeda")*(Inputs!$G$5:$G$110&lt;&gt;"acoes")))*INDEX(Inputs!$K$5:$AJ$110,0,MATCH(Z$2,Inputs!$K$4:$AJ$4,0)))+SUMPRODUCT((Inputs!$E$5:$E$110=$B16)*Inputs!$F$5:$F$110*(((Inputs!$G$5:$G$110="moeda")+(Inputs!$G$5:$G$110="acoes"))*Inputs!$B$1+((Inputs!$G$5:$G$110&lt;&gt;"moeda")*(Inputs!$G$5:$G$110&lt;&gt;"acoes")))*INDEX(Inputs!$K$5:$AJ$110,0,MATCH(Z$2,Inputs!$K$4:$AJ$4,0)))))</f>
        <v>7145</v>
      </c>
      <c r="AA16" s="6">
        <f>IF(ISNA(MATCH(AA$2,Inputs!$K$4:$AJ$4,0)),NA(),IF(SUMPRODUCT((Inputs!$A$5:$A$110=$B16)*ISNUMBER(INDEX(Inputs!$K$5:$AJ$110,0,MATCH(AA$2,Inputs!$K$4:$AJ$4,0))))+SUMPRODUCT((Inputs!$C$5:$C$110=$B16)*ISNUMBER(INDEX(Inputs!$K$5:$AJ$110,0,MATCH(AA$2,Inputs!$K$4:$AJ$4,0))))+SUMPRODUCT((Inputs!$E$5:$E$110=$B16)*ISNUMBER(INDEX(Inputs!$K$5:$AJ$110,0,MATCH(AA$2,Inputs!$K$4:$AJ$4,0))))=0,NA(),SUMPRODUCT((Inputs!$A$5:$A$110=$B16)*Inputs!$B$5:$B$110*(((Inputs!$G$5:$G$110="moeda")+(Inputs!$G$5:$G$110="acoes"))*Inputs!$B$1+((Inputs!$G$5:$G$110&lt;&gt;"moeda")*(Inputs!$G$5:$G$110&lt;&gt;"acoes")))*INDEX(Inputs!$K$5:$AJ$110,0,MATCH(AA$2,Inputs!$K$4:$AJ$4,0)))+SUMPRODUCT((Inputs!$C$5:$C$110=$B16)*Inputs!$D$5:$D$110*(((Inputs!$G$5:$G$110="moeda")+(Inputs!$G$5:$G$110="acoes"))*Inputs!$B$1+((Inputs!$G$5:$G$110&lt;&gt;"moeda")*(Inputs!$G$5:$G$110&lt;&gt;"acoes")))*INDEX(Inputs!$K$5:$AJ$110,0,MATCH(AA$2,Inputs!$K$4:$AJ$4,0)))+SUMPRODUCT((Inputs!$E$5:$E$110=$B16)*Inputs!$F$5:$F$110*(((Inputs!$G$5:$G$110="moeda")+(Inputs!$G$5:$G$110="acoes"))*Inputs!$B$1+((Inputs!$G$5:$G$110&lt;&gt;"moeda")*(Inputs!$G$5:$G$110&lt;&gt;"acoes")))*INDEX(Inputs!$K$5:$AJ$110,0,MATCH(AA$2,Inputs!$K$4:$AJ$4,0)))))</f>
        <v>8460</v>
      </c>
      <c r="AB16" s="3">
        <f>AA16</f>
        <v>8460</v>
      </c>
      <c r="AC16" s="6">
        <f>IF(ISNA(MATCH(AC$2,Inputs!$K$4:$AJ$4,0)),NA(),IF(SUMPRODUCT((Inputs!$A$5:$A$110=$B16)*ISNUMBER(INDEX(Inputs!$K$5:$AJ$110,0,MATCH(AC$2,Inputs!$K$4:$AJ$4,0))))+SUMPRODUCT((Inputs!$C$5:$C$110=$B16)*ISNUMBER(INDEX(Inputs!$K$5:$AJ$110,0,MATCH(AC$2,Inputs!$K$4:$AJ$4,0))))+SUMPRODUCT((Inputs!$E$5:$E$110=$B16)*ISNUMBER(INDEX(Inputs!$K$5:$AJ$110,0,MATCH(AC$2,Inputs!$K$4:$AJ$4,0))))=0,NA(),SUMPRODUCT((Inputs!$A$5:$A$110=$B16)*Inputs!$B$5:$B$110*(((Inputs!$G$5:$G$110="moeda")+(Inputs!$G$5:$G$110="acoes"))*Inputs!$B$1+((Inputs!$G$5:$G$110&lt;&gt;"moeda")*(Inputs!$G$5:$G$110&lt;&gt;"acoes")))*INDEX(Inputs!$K$5:$AJ$110,0,MATCH(AC$2,Inputs!$K$4:$AJ$4,0)))+SUMPRODUCT((Inputs!$C$5:$C$110=$B16)*Inputs!$D$5:$D$110*(((Inputs!$G$5:$G$110="moeda")+(Inputs!$G$5:$G$110="acoes"))*Inputs!$B$1+((Inputs!$G$5:$G$110&lt;&gt;"moeda")*(Inputs!$G$5:$G$110&lt;&gt;"acoes")))*INDEX(Inputs!$K$5:$AJ$110,0,MATCH(AC$2,Inputs!$K$4:$AJ$4,0)))+SUMPRODUCT((Inputs!$E$5:$E$110=$B16)*Inputs!$F$5:$F$110*(((Inputs!$G$5:$G$110="moeda")+(Inputs!$G$5:$G$110="acoes"))*Inputs!$B$1+((Inputs!$G$5:$G$110&lt;&gt;"moeda")*(Inputs!$G$5:$G$110&lt;&gt;"acoes")))*INDEX(Inputs!$K$5:$AJ$110,0,MATCH(AC$2,Inputs!$K$4:$AJ$4,0)))))</f>
        <v>10830</v>
      </c>
      <c r="AD16" s="6">
        <f>IF(ISNA(MATCH(AD$2,Inputs!$K$4:$AJ$4,0)),NA(),IF(SUMPRODUCT((Inputs!$A$5:$A$110=$B16)*ISNUMBER(INDEX(Inputs!$K$5:$AJ$110,0,MATCH(AD$2,Inputs!$K$4:$AJ$4,0))))+SUMPRODUCT((Inputs!$C$5:$C$110=$B16)*ISNUMBER(INDEX(Inputs!$K$5:$AJ$110,0,MATCH(AD$2,Inputs!$K$4:$AJ$4,0))))+SUMPRODUCT((Inputs!$E$5:$E$110=$B16)*ISNUMBER(INDEX(Inputs!$K$5:$AJ$110,0,MATCH(AD$2,Inputs!$K$4:$AJ$4,0))))=0,NA(),SUMPRODUCT((Inputs!$A$5:$A$110=$B16)*Inputs!$B$5:$B$110*(((Inputs!$G$5:$G$110="moeda")+(Inputs!$G$5:$G$110="acoes"))*Inputs!$B$1+((Inputs!$G$5:$G$110&lt;&gt;"moeda")*(Inputs!$G$5:$G$110&lt;&gt;"acoes")))*INDEX(Inputs!$K$5:$AJ$110,0,MATCH(AD$2,Inputs!$K$4:$AJ$4,0)))+SUMPRODUCT((Inputs!$C$5:$C$110=$B16)*Inputs!$D$5:$D$110*(((Inputs!$G$5:$G$110="moeda")+(Inputs!$G$5:$G$110="acoes"))*Inputs!$B$1+((Inputs!$G$5:$G$110&lt;&gt;"moeda")*(Inputs!$G$5:$G$110&lt;&gt;"acoes")))*INDEX(Inputs!$K$5:$AJ$110,0,MATCH(AD$2,Inputs!$K$4:$AJ$4,0)))+SUMPRODUCT((Inputs!$E$5:$E$110=$B16)*Inputs!$F$5:$F$110*(((Inputs!$G$5:$G$110="moeda")+(Inputs!$G$5:$G$110="acoes"))*Inputs!$B$1+((Inputs!$G$5:$G$110&lt;&gt;"moeda")*(Inputs!$G$5:$G$110&lt;&gt;"acoes")))*INDEX(Inputs!$K$5:$AJ$110,0,MATCH(AD$2,Inputs!$K$4:$AJ$4,0)))))</f>
        <v>13707</v>
      </c>
      <c r="AE16" s="6" t="e">
        <f>IF(ISNA(MATCH(AE$2,Inputs!$K$4:$AJ$4,0)),NA(),IF(SUMPRODUCT((Inputs!$A$5:$A$110=$B16)*ISNUMBER(INDEX(Inputs!$K$5:$AJ$110,0,MATCH(AE$2,Inputs!$K$4:$AJ$4,0))))+SUMPRODUCT((Inputs!$C$5:$C$110=$B16)*ISNUMBER(INDEX(Inputs!$K$5:$AJ$110,0,MATCH(AE$2,Inputs!$K$4:$AJ$4,0))))+SUMPRODUCT((Inputs!$E$5:$E$110=$B16)*ISNUMBER(INDEX(Inputs!$K$5:$AJ$110,0,MATCH(AE$2,Inputs!$K$4:$AJ$4,0))))=0,NA(),SUMPRODUCT((Inputs!$A$5:$A$110=$B16)*Inputs!$B$5:$B$110*(((Inputs!$G$5:$G$110="moeda")+(Inputs!$G$5:$G$110="acoes"))*Inputs!$B$1+((Inputs!$G$5:$G$110&lt;&gt;"moeda")*(Inputs!$G$5:$G$110&lt;&gt;"acoes")))*INDEX(Inputs!$K$5:$AJ$110,0,MATCH(AE$2,Inputs!$K$4:$AJ$4,0)))+SUMPRODUCT((Inputs!$C$5:$C$110=$B16)*Inputs!$D$5:$D$110*(((Inputs!$G$5:$G$110="moeda")+(Inputs!$G$5:$G$110="acoes"))*Inputs!$B$1+((Inputs!$G$5:$G$110&lt;&gt;"moeda")*(Inputs!$G$5:$G$110&lt;&gt;"acoes")))*INDEX(Inputs!$K$5:$AJ$110,0,MATCH(AE$2,Inputs!$K$4:$AJ$4,0)))+SUMPRODUCT((Inputs!$E$5:$E$110=$B16)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6" s="6" t="e">
        <f>IF(ISNA(MATCH(AF$2,Inputs!$K$4:$AJ$4,0)),NA(),IF(SUMPRODUCT((Inputs!$A$5:$A$110=$B16)*ISNUMBER(INDEX(Inputs!$K$5:$AJ$110,0,MATCH(AF$2,Inputs!$K$4:$AJ$4,0))))+SUMPRODUCT((Inputs!$C$5:$C$110=$B16)*ISNUMBER(INDEX(Inputs!$K$5:$AJ$110,0,MATCH(AF$2,Inputs!$K$4:$AJ$4,0))))+SUMPRODUCT((Inputs!$E$5:$E$110=$B16)*ISNUMBER(INDEX(Inputs!$K$5:$AJ$110,0,MATCH(AF$2,Inputs!$K$4:$AJ$4,0))))=0,NA(),SUMPRODUCT((Inputs!$A$5:$A$110=$B16)*Inputs!$B$5:$B$110*(((Inputs!$G$5:$G$110="moeda")+(Inputs!$G$5:$G$110="acoes"))*Inputs!$B$1+((Inputs!$G$5:$G$110&lt;&gt;"moeda")*(Inputs!$G$5:$G$110&lt;&gt;"acoes")))*INDEX(Inputs!$K$5:$AJ$110,0,MATCH(AF$2,Inputs!$K$4:$AJ$4,0)))+SUMPRODUCT((Inputs!$C$5:$C$110=$B16)*Inputs!$D$5:$D$110*(((Inputs!$G$5:$G$110="moeda")+(Inputs!$G$5:$G$110="acoes"))*Inputs!$B$1+((Inputs!$G$5:$G$110&lt;&gt;"moeda")*(Inputs!$G$5:$G$110&lt;&gt;"acoes")))*INDEX(Inputs!$K$5:$AJ$110,0,MATCH(AF$2,Inputs!$K$4:$AJ$4,0)))+SUMPRODUCT((Inputs!$E$5:$E$110=$B16)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6" s="3" t="e">
        <f>AF16</f>
        <v>#N/A</v>
      </c>
      <c r="AH16" s="6">
        <f>IF(ISNA(MATCH(AH$2,Inputs!$K$4:$AJ$4,0)),NA(),IF(SUMPRODUCT((Inputs!$A$5:$A$110=$B16)*ISNUMBER(INDEX(Inputs!$K$5:$AJ$110,0,MATCH(AH$2,Inputs!$K$4:$AJ$4,0))))+SUMPRODUCT((Inputs!$C$5:$C$110=$B16)*ISNUMBER(INDEX(Inputs!$K$5:$AJ$110,0,MATCH(AH$2,Inputs!$K$4:$AJ$4,0))))+SUMPRODUCT((Inputs!$E$5:$E$110=$B16)*ISNUMBER(INDEX(Inputs!$K$5:$AJ$110,0,MATCH(AH$2,Inputs!$K$4:$AJ$4,0))))=0,NA(),SUMPRODUCT((Inputs!$A$5:$A$110=$B16)*Inputs!$B$5:$B$110*(((Inputs!$G$5:$G$110="moeda")+(Inputs!$G$5:$G$110="acoes"))*Inputs!$B$1+((Inputs!$G$5:$G$110&lt;&gt;"moeda")*(Inputs!$G$5:$G$110&lt;&gt;"acoes")))*INDEX(Inputs!$K$5:$AJ$110,0,MATCH(AH$2,Inputs!$K$4:$AJ$4,0)))+SUMPRODUCT((Inputs!$C$5:$C$110=$B16)*Inputs!$D$5:$D$110*(((Inputs!$G$5:$G$110="moeda")+(Inputs!$G$5:$G$110="acoes"))*Inputs!$B$1+((Inputs!$G$5:$G$110&lt;&gt;"moeda")*(Inputs!$G$5:$G$110&lt;&gt;"acoes")))*INDEX(Inputs!$K$5:$AJ$110,0,MATCH(AH$2,Inputs!$K$4:$AJ$4,0)))+SUMPRODUCT((Inputs!$E$5:$E$110=$B16)*Inputs!$F$5:$F$110*(((Inputs!$G$5:$G$110="moeda")+(Inputs!$G$5:$G$110="acoes"))*Inputs!$B$1+((Inputs!$G$5:$G$110&lt;&gt;"moeda")*(Inputs!$G$5:$G$110&lt;&gt;"acoes")))*INDEX(Inputs!$K$5:$AJ$110,0,MATCH(AH$2,Inputs!$K$4:$AJ$4,0)))))</f>
        <v>3211</v>
      </c>
      <c r="AI16" s="6">
        <f>IF(ISNA(MATCH(AI$2,Inputs!$K$4:$AJ$4,0)),NA(),IF(SUMPRODUCT((Inputs!$A$5:$A$110=$B16)*ISNUMBER(INDEX(Inputs!$K$5:$AJ$110,0,MATCH(AI$2,Inputs!$K$4:$AJ$4,0))))+SUMPRODUCT((Inputs!$C$5:$C$110=$B16)*ISNUMBER(INDEX(Inputs!$K$5:$AJ$110,0,MATCH(AI$2,Inputs!$K$4:$AJ$4,0))))+SUMPRODUCT((Inputs!$E$5:$E$110=$B16)*ISNUMBER(INDEX(Inputs!$K$5:$AJ$110,0,MATCH(AI$2,Inputs!$K$4:$AJ$4,0))))=0,NA(),SUMPRODUCT((Inputs!$A$5:$A$110=$B16)*Inputs!$B$5:$B$110*(((Inputs!$G$5:$G$110="moeda")+(Inputs!$G$5:$G$110="acoes"))*Inputs!$B$1+((Inputs!$G$5:$G$110&lt;&gt;"moeda")*(Inputs!$G$5:$G$110&lt;&gt;"acoes")))*INDEX(Inputs!$K$5:$AJ$110,0,MATCH(AI$2,Inputs!$K$4:$AJ$4,0)))+SUMPRODUCT((Inputs!$C$5:$C$110=$B16)*Inputs!$D$5:$D$110*(((Inputs!$G$5:$G$110="moeda")+(Inputs!$G$5:$G$110="acoes"))*Inputs!$B$1+((Inputs!$G$5:$G$110&lt;&gt;"moeda")*(Inputs!$G$5:$G$110&lt;&gt;"acoes")))*INDEX(Inputs!$K$5:$AJ$110,0,MATCH(AI$2,Inputs!$K$4:$AJ$4,0)))+SUMPRODUCT((Inputs!$E$5:$E$110=$B16)*Inputs!$F$5:$F$110*(((Inputs!$G$5:$G$110="moeda")+(Inputs!$G$5:$G$110="acoes"))*Inputs!$B$1+((Inputs!$G$5:$G$110&lt;&gt;"moeda")*(Inputs!$G$5:$G$110&lt;&gt;"acoes")))*INDEX(Inputs!$K$5:$AJ$110,0,MATCH(AI$2,Inputs!$K$4:$AJ$4,0)))))</f>
        <v>2684</v>
      </c>
      <c r="AJ16" s="6">
        <f>IF(ISNA(MATCH(AJ$2,Inputs!$K$4:$AJ$4,0)),NA(),IF(SUMPRODUCT((Inputs!$A$5:$A$110=$B16)*ISNUMBER(INDEX(Inputs!$K$5:$AJ$110,0,MATCH(AJ$2,Inputs!$K$4:$AJ$4,0))))+SUMPRODUCT((Inputs!$C$5:$C$110=$B16)*ISNUMBER(INDEX(Inputs!$K$5:$AJ$110,0,MATCH(AJ$2,Inputs!$K$4:$AJ$4,0))))+SUMPRODUCT((Inputs!$E$5:$E$110=$B16)*ISNUMBER(INDEX(Inputs!$K$5:$AJ$110,0,MATCH(AJ$2,Inputs!$K$4:$AJ$4,0))))=0,NA(),SUMPRODUCT((Inputs!$A$5:$A$110=$B16)*Inputs!$B$5:$B$110*(((Inputs!$G$5:$G$110="moeda")+(Inputs!$G$5:$G$110="acoes"))*Inputs!$B$1+((Inputs!$G$5:$G$110&lt;&gt;"moeda")*(Inputs!$G$5:$G$110&lt;&gt;"acoes")))*INDEX(Inputs!$K$5:$AJ$110,0,MATCH(AJ$2,Inputs!$K$4:$AJ$4,0)))+SUMPRODUCT((Inputs!$C$5:$C$110=$B16)*Inputs!$D$5:$D$110*(((Inputs!$G$5:$G$110="moeda")+(Inputs!$G$5:$G$110="acoes"))*Inputs!$B$1+((Inputs!$G$5:$G$110&lt;&gt;"moeda")*(Inputs!$G$5:$G$110&lt;&gt;"acoes")))*INDEX(Inputs!$K$5:$AJ$110,0,MATCH(AJ$2,Inputs!$K$4:$AJ$4,0)))+SUMPRODUCT((Inputs!$E$5:$E$110=$B16)*Inputs!$F$5:$F$110*(((Inputs!$G$5:$G$110="moeda")+(Inputs!$G$5:$G$110="acoes"))*Inputs!$B$1+((Inputs!$G$5:$G$110&lt;&gt;"moeda")*(Inputs!$G$5:$G$110&lt;&gt;"acoes")))*INDEX(Inputs!$K$5:$AJ$110,0,MATCH(AJ$2,Inputs!$K$4:$AJ$4,0)))))</f>
        <v>2297</v>
      </c>
      <c r="AK16" s="6">
        <f>IF(ISNA(MATCH(AK$2,Inputs!$K$4:$AJ$4,0)),NA(),IF(SUMPRODUCT((Inputs!$A$5:$A$110=$B16)*ISNUMBER(INDEX(Inputs!$K$5:$AJ$110,0,MATCH(AK$2,Inputs!$K$4:$AJ$4,0))))+SUMPRODUCT((Inputs!$C$5:$C$110=$B16)*ISNUMBER(INDEX(Inputs!$K$5:$AJ$110,0,MATCH(AK$2,Inputs!$K$4:$AJ$4,0))))+SUMPRODUCT((Inputs!$E$5:$E$110=$B16)*ISNUMBER(INDEX(Inputs!$K$5:$AJ$110,0,MATCH(AK$2,Inputs!$K$4:$AJ$4,0))))=0,NA(),SUMPRODUCT((Inputs!$A$5:$A$110=$B16)*Inputs!$B$5:$B$110*(((Inputs!$G$5:$G$110="moeda")+(Inputs!$G$5:$G$110="acoes"))*Inputs!$B$1+((Inputs!$G$5:$G$110&lt;&gt;"moeda")*(Inputs!$G$5:$G$110&lt;&gt;"acoes")))*INDEX(Inputs!$K$5:$AJ$110,0,MATCH(AK$2,Inputs!$K$4:$AJ$4,0)))+SUMPRODUCT((Inputs!$C$5:$C$110=$B16)*Inputs!$D$5:$D$110*(((Inputs!$G$5:$G$110="moeda")+(Inputs!$G$5:$G$110="acoes"))*Inputs!$B$1+((Inputs!$G$5:$G$110&lt;&gt;"moeda")*(Inputs!$G$5:$G$110&lt;&gt;"acoes")))*INDEX(Inputs!$K$5:$AJ$110,0,MATCH(AK$2,Inputs!$K$4:$AJ$4,0)))+SUMPRODUCT((Inputs!$E$5:$E$110=$B16)*Inputs!$F$5:$F$110*(((Inputs!$G$5:$G$110="moeda")+(Inputs!$G$5:$G$110="acoes"))*Inputs!$B$1+((Inputs!$G$5:$G$110&lt;&gt;"moeda")*(Inputs!$G$5:$G$110&lt;&gt;"acoes")))*INDEX(Inputs!$K$5:$AJ$110,0,MATCH(AK$2,Inputs!$K$4:$AJ$4,0)))))</f>
        <v>2524</v>
      </c>
      <c r="AL16" s="3">
        <f>AK16</f>
        <v>2524</v>
      </c>
    </row>
    <row r="17">
      <c r="B17" s="46" t="n">
        <v>13</v>
      </c>
      <c r="C17" s="26" t="inlineStr">
        <is>
          <t>Inventories</t>
        </is>
      </c>
      <c r="D17" s="6">
        <f>IF(ISNA(MATCH(D$2,Inputs!$K$4:$AJ$4,0)),NA(),IF(SUMPRODUCT((Inputs!$A$5:$A$110=$B17)*ISNUMBER(INDEX(Inputs!$K$5:$AJ$110,0,MATCH(D$2,Inputs!$K$4:$AJ$4,0))))+SUMPRODUCT((Inputs!$C$5:$C$110=$B17)*ISNUMBER(INDEX(Inputs!$K$5:$AJ$110,0,MATCH(D$2,Inputs!$K$4:$AJ$4,0))))+SUMPRODUCT((Inputs!$E$5:$E$110=$B17)*ISNUMBER(INDEX(Inputs!$K$5:$AJ$110,0,MATCH(D$2,Inputs!$K$4:$AJ$4,0))))=0,NA(),SUMPRODUCT((Inputs!$A$5:$A$110=$B17)*Inputs!$B$5:$B$110*(((Inputs!$G$5:$G$110="moeda")+(Inputs!$G$5:$G$110="acoes"))*Inputs!$B$1+((Inputs!$G$5:$G$110&lt;&gt;"moeda")*(Inputs!$G$5:$G$110&lt;&gt;"acoes")))*INDEX(Inputs!$K$5:$AJ$110,0,MATCH(D$2,Inputs!$K$4:$AJ$4,0)))+SUMPRODUCT((Inputs!$C$5:$C$110=$B17)*Inputs!$D$5:$D$110*(((Inputs!$G$5:$G$110="moeda")+(Inputs!$G$5:$G$110="acoes"))*Inputs!$B$1+((Inputs!$G$5:$G$110&lt;&gt;"moeda")*(Inputs!$G$5:$G$110&lt;&gt;"acoes")))*INDEX(Inputs!$K$5:$AJ$110,0,MATCH(D$2,Inputs!$K$4:$AJ$4,0)))+SUMPRODUCT((Inputs!$E$5:$E$110=$B17)*Inputs!$F$5:$F$110*(((Inputs!$G$5:$G$110="moeda")+(Inputs!$G$5:$G$110="acoes"))*Inputs!$B$1+((Inputs!$G$5:$G$110&lt;&gt;"moeda")*(Inputs!$G$5:$G$110&lt;&gt;"acoes")))*INDEX(Inputs!$K$5:$AJ$110,0,MATCH(D$2,Inputs!$K$4:$AJ$4,0)))))</f>
        <v>1004</v>
      </c>
      <c r="E17" s="6">
        <f>IF(ISNA(MATCH(E$2,Inputs!$K$4:$AJ$4,0)),NA(),IF(SUMPRODUCT((Inputs!$A$5:$A$110=$B17)*ISNUMBER(INDEX(Inputs!$K$5:$AJ$110,0,MATCH(E$2,Inputs!$K$4:$AJ$4,0))))+SUMPRODUCT((Inputs!$C$5:$C$110=$B17)*ISNUMBER(INDEX(Inputs!$K$5:$AJ$110,0,MATCH(E$2,Inputs!$K$4:$AJ$4,0))))+SUMPRODUCT((Inputs!$E$5:$E$110=$B17)*ISNUMBER(INDEX(Inputs!$K$5:$AJ$110,0,MATCH(E$2,Inputs!$K$4:$AJ$4,0))))=0,NA(),SUMPRODUCT((Inputs!$A$5:$A$110=$B17)*Inputs!$B$5:$B$110*(((Inputs!$G$5:$G$110="moeda")+(Inputs!$G$5:$G$110="acoes"))*Inputs!$B$1+((Inputs!$G$5:$G$110&lt;&gt;"moeda")*(Inputs!$G$5:$G$110&lt;&gt;"acoes")))*INDEX(Inputs!$K$5:$AJ$110,0,MATCH(E$2,Inputs!$K$4:$AJ$4,0)))+SUMPRODUCT((Inputs!$C$5:$C$110=$B17)*Inputs!$D$5:$D$110*(((Inputs!$G$5:$G$110="moeda")+(Inputs!$G$5:$G$110="acoes"))*Inputs!$B$1+((Inputs!$G$5:$G$110&lt;&gt;"moeda")*(Inputs!$G$5:$G$110&lt;&gt;"acoes")))*INDEX(Inputs!$K$5:$AJ$110,0,MATCH(E$2,Inputs!$K$4:$AJ$4,0)))+SUMPRODUCT((Inputs!$E$5:$E$110=$B17)*Inputs!$F$5:$F$110*(((Inputs!$G$5:$G$110="moeda")+(Inputs!$G$5:$G$110="acoes"))*Inputs!$B$1+((Inputs!$G$5:$G$110&lt;&gt;"moeda")*(Inputs!$G$5:$G$110&lt;&gt;"acoes")))*INDEX(Inputs!$K$5:$AJ$110,0,MATCH(E$2,Inputs!$K$4:$AJ$4,0)))))</f>
        <v>1160</v>
      </c>
      <c r="F17" s="6">
        <f>IF(ISNA(MATCH(F$2,Inputs!$K$4:$AJ$4,0)),NA(),IF(SUMPRODUCT((Inputs!$A$5:$A$110=$B17)*ISNUMBER(INDEX(Inputs!$K$5:$AJ$110,0,MATCH(F$2,Inputs!$K$4:$AJ$4,0))))+SUMPRODUCT((Inputs!$C$5:$C$110=$B17)*ISNUMBER(INDEX(Inputs!$K$5:$AJ$110,0,MATCH(F$2,Inputs!$K$4:$AJ$4,0))))+SUMPRODUCT((Inputs!$E$5:$E$110=$B17)*ISNUMBER(INDEX(Inputs!$K$5:$AJ$110,0,MATCH(F$2,Inputs!$K$4:$AJ$4,0))))=0,NA(),SUMPRODUCT((Inputs!$A$5:$A$110=$B17)*Inputs!$B$5:$B$110*(((Inputs!$G$5:$G$110="moeda")+(Inputs!$G$5:$G$110="acoes"))*Inputs!$B$1+((Inputs!$G$5:$G$110&lt;&gt;"moeda")*(Inputs!$G$5:$G$110&lt;&gt;"acoes")))*INDEX(Inputs!$K$5:$AJ$110,0,MATCH(F$2,Inputs!$K$4:$AJ$4,0)))+SUMPRODUCT((Inputs!$C$5:$C$110=$B17)*Inputs!$D$5:$D$110*(((Inputs!$G$5:$G$110="moeda")+(Inputs!$G$5:$G$110="acoes"))*Inputs!$B$1+((Inputs!$G$5:$G$110&lt;&gt;"moeda")*(Inputs!$G$5:$G$110&lt;&gt;"acoes")))*INDEX(Inputs!$K$5:$AJ$110,0,MATCH(F$2,Inputs!$K$4:$AJ$4,0)))+SUMPRODUCT((Inputs!$E$5:$E$110=$B17)*Inputs!$F$5:$F$110*(((Inputs!$G$5:$G$110="moeda")+(Inputs!$G$5:$G$110="acoes"))*Inputs!$B$1+((Inputs!$G$5:$G$110&lt;&gt;"moeda")*(Inputs!$G$5:$G$110&lt;&gt;"acoes")))*INDEX(Inputs!$K$5:$AJ$110,0,MATCH(F$2,Inputs!$K$4:$AJ$4,0)))))</f>
        <v>1297</v>
      </c>
      <c r="G17" s="6">
        <f>IF(ISNA(MATCH(G$2,Inputs!$K$4:$AJ$4,0)),NA(),IF(SUMPRODUCT((Inputs!$A$5:$A$110=$B17)*ISNUMBER(INDEX(Inputs!$K$5:$AJ$110,0,MATCH(G$2,Inputs!$K$4:$AJ$4,0))))+SUMPRODUCT((Inputs!$C$5:$C$110=$B17)*ISNUMBER(INDEX(Inputs!$K$5:$AJ$110,0,MATCH(G$2,Inputs!$K$4:$AJ$4,0))))+SUMPRODUCT((Inputs!$E$5:$E$110=$B17)*ISNUMBER(INDEX(Inputs!$K$5:$AJ$110,0,MATCH(G$2,Inputs!$K$4:$AJ$4,0))))=0,NA(),SUMPRODUCT((Inputs!$A$5:$A$110=$B17)*Inputs!$B$5:$B$110*(((Inputs!$G$5:$G$110="moeda")+(Inputs!$G$5:$G$110="acoes"))*Inputs!$B$1+((Inputs!$G$5:$G$110&lt;&gt;"moeda")*(Inputs!$G$5:$G$110&lt;&gt;"acoes")))*INDEX(Inputs!$K$5:$AJ$110,0,MATCH(G$2,Inputs!$K$4:$AJ$4,0)))+SUMPRODUCT((Inputs!$C$5:$C$110=$B17)*Inputs!$D$5:$D$110*(((Inputs!$G$5:$G$110="moeda")+(Inputs!$G$5:$G$110="acoes"))*Inputs!$B$1+((Inputs!$G$5:$G$110&lt;&gt;"moeda")*(Inputs!$G$5:$G$110&lt;&gt;"acoes")))*INDEX(Inputs!$K$5:$AJ$110,0,MATCH(G$2,Inputs!$K$4:$AJ$4,0)))+SUMPRODUCT((Inputs!$E$5:$E$110=$B17)*Inputs!$F$5:$F$110*(((Inputs!$G$5:$G$110="moeda")+(Inputs!$G$5:$G$110="acoes"))*Inputs!$B$1+((Inputs!$G$5:$G$110&lt;&gt;"moeda")*(Inputs!$G$5:$G$110&lt;&gt;"acoes")))*INDEX(Inputs!$K$5:$AJ$110,0,MATCH(G$2,Inputs!$K$4:$AJ$4,0)))))</f>
        <v>1520</v>
      </c>
      <c r="H17" s="3">
        <f>G17</f>
        <v>1520</v>
      </c>
      <c r="I17" s="6">
        <f>IF(ISNA(MATCH(I$2,Inputs!$K$4:$AJ$4,0)),NA(),IF(SUMPRODUCT((Inputs!$A$5:$A$110=$B17)*ISNUMBER(INDEX(Inputs!$K$5:$AJ$110,0,MATCH(I$2,Inputs!$K$4:$AJ$4,0))))+SUMPRODUCT((Inputs!$C$5:$C$110=$B17)*ISNUMBER(INDEX(Inputs!$K$5:$AJ$110,0,MATCH(I$2,Inputs!$K$4:$AJ$4,0))))+SUMPRODUCT((Inputs!$E$5:$E$110=$B17)*ISNUMBER(INDEX(Inputs!$K$5:$AJ$110,0,MATCH(I$2,Inputs!$K$4:$AJ$4,0))))=0,NA(),SUMPRODUCT((Inputs!$A$5:$A$110=$B17)*Inputs!$B$5:$B$110*(((Inputs!$G$5:$G$110="moeda")+(Inputs!$G$5:$G$110="acoes"))*Inputs!$B$1+((Inputs!$G$5:$G$110&lt;&gt;"moeda")*(Inputs!$G$5:$G$110&lt;&gt;"acoes")))*INDEX(Inputs!$K$5:$AJ$110,0,MATCH(I$2,Inputs!$K$4:$AJ$4,0)))+SUMPRODUCT((Inputs!$C$5:$C$110=$B17)*Inputs!$D$5:$D$110*(((Inputs!$G$5:$G$110="moeda")+(Inputs!$G$5:$G$110="acoes"))*Inputs!$B$1+((Inputs!$G$5:$G$110&lt;&gt;"moeda")*(Inputs!$G$5:$G$110&lt;&gt;"acoes")))*INDEX(Inputs!$K$5:$AJ$110,0,MATCH(I$2,Inputs!$K$4:$AJ$4,0)))+SUMPRODUCT((Inputs!$E$5:$E$110=$B17)*Inputs!$F$5:$F$110*(((Inputs!$G$5:$G$110="moeda")+(Inputs!$G$5:$G$110="acoes"))*Inputs!$B$1+((Inputs!$G$5:$G$110&lt;&gt;"moeda")*(Inputs!$G$5:$G$110&lt;&gt;"acoes")))*INDEX(Inputs!$K$5:$AJ$110,0,MATCH(I$2,Inputs!$K$4:$AJ$4,0)))))</f>
        <v>1668</v>
      </c>
      <c r="J17" s="6">
        <f>IF(ISNA(MATCH(J$2,Inputs!$K$4:$AJ$4,0)),NA(),IF(SUMPRODUCT((Inputs!$A$5:$A$110=$B17)*ISNUMBER(INDEX(Inputs!$K$5:$AJ$110,0,MATCH(J$2,Inputs!$K$4:$AJ$4,0))))+SUMPRODUCT((Inputs!$C$5:$C$110=$B17)*ISNUMBER(INDEX(Inputs!$K$5:$AJ$110,0,MATCH(J$2,Inputs!$K$4:$AJ$4,0))))+SUMPRODUCT((Inputs!$E$5:$E$110=$B17)*ISNUMBER(INDEX(Inputs!$K$5:$AJ$110,0,MATCH(J$2,Inputs!$K$4:$AJ$4,0))))=0,NA(),SUMPRODUCT((Inputs!$A$5:$A$110=$B17)*Inputs!$B$5:$B$110*(((Inputs!$G$5:$G$110="moeda")+(Inputs!$G$5:$G$110="acoes"))*Inputs!$B$1+((Inputs!$G$5:$G$110&lt;&gt;"moeda")*(Inputs!$G$5:$G$110&lt;&gt;"acoes")))*INDEX(Inputs!$K$5:$AJ$110,0,MATCH(J$2,Inputs!$K$4:$AJ$4,0)))+SUMPRODUCT((Inputs!$C$5:$C$110=$B17)*Inputs!$D$5:$D$110*(((Inputs!$G$5:$G$110="moeda")+(Inputs!$G$5:$G$110="acoes"))*Inputs!$B$1+((Inputs!$G$5:$G$110&lt;&gt;"moeda")*(Inputs!$G$5:$G$110&lt;&gt;"acoes")))*INDEX(Inputs!$K$5:$AJ$110,0,MATCH(J$2,Inputs!$K$4:$AJ$4,0)))+SUMPRODUCT((Inputs!$E$5:$E$110=$B17)*Inputs!$F$5:$F$110*(((Inputs!$G$5:$G$110="moeda")+(Inputs!$G$5:$G$110="acoes"))*Inputs!$B$1+((Inputs!$G$5:$G$110&lt;&gt;"moeda")*(Inputs!$G$5:$G$110&lt;&gt;"acoes")))*INDEX(Inputs!$K$5:$AJ$110,0,MATCH(J$2,Inputs!$K$4:$AJ$4,0)))))</f>
        <v>1838</v>
      </c>
      <c r="K17" s="6">
        <f>IF(ISNA(MATCH(K$2,Inputs!$K$4:$AJ$4,0)),NA(),IF(SUMPRODUCT((Inputs!$A$5:$A$110=$B17)*ISNUMBER(INDEX(Inputs!$K$5:$AJ$110,0,MATCH(K$2,Inputs!$K$4:$AJ$4,0))))+SUMPRODUCT((Inputs!$C$5:$C$110=$B17)*ISNUMBER(INDEX(Inputs!$K$5:$AJ$110,0,MATCH(K$2,Inputs!$K$4:$AJ$4,0))))+SUMPRODUCT((Inputs!$E$5:$E$110=$B17)*ISNUMBER(INDEX(Inputs!$K$5:$AJ$110,0,MATCH(K$2,Inputs!$K$4:$AJ$4,0))))=0,NA(),SUMPRODUCT((Inputs!$A$5:$A$110=$B17)*Inputs!$B$5:$B$110*(((Inputs!$G$5:$G$110="moeda")+(Inputs!$G$5:$G$110="acoes"))*Inputs!$B$1+((Inputs!$G$5:$G$110&lt;&gt;"moeda")*(Inputs!$G$5:$G$110&lt;&gt;"acoes")))*INDEX(Inputs!$K$5:$AJ$110,0,MATCH(K$2,Inputs!$K$4:$AJ$4,0)))+SUMPRODUCT((Inputs!$C$5:$C$110=$B17)*Inputs!$D$5:$D$110*(((Inputs!$G$5:$G$110="moeda")+(Inputs!$G$5:$G$110="acoes"))*Inputs!$B$1+((Inputs!$G$5:$G$110&lt;&gt;"moeda")*(Inputs!$G$5:$G$110&lt;&gt;"acoes")))*INDEX(Inputs!$K$5:$AJ$110,0,MATCH(K$2,Inputs!$K$4:$AJ$4,0)))+SUMPRODUCT((Inputs!$E$5:$E$110=$B17)*Inputs!$F$5:$F$110*(((Inputs!$G$5:$G$110="moeda")+(Inputs!$G$5:$G$110="acoes"))*Inputs!$B$1+((Inputs!$G$5:$G$110&lt;&gt;"moeda")*(Inputs!$G$5:$G$110&lt;&gt;"acoes")))*INDEX(Inputs!$K$5:$AJ$110,0,MATCH(K$2,Inputs!$K$4:$AJ$4,0)))))</f>
        <v>1925</v>
      </c>
      <c r="L17" s="6">
        <f>IF(ISNA(MATCH(L$2,Inputs!$K$4:$AJ$4,0)),NA(),IF(SUMPRODUCT((Inputs!$A$5:$A$110=$B17)*ISNUMBER(INDEX(Inputs!$K$5:$AJ$110,0,MATCH(L$2,Inputs!$K$4:$AJ$4,0))))+SUMPRODUCT((Inputs!$C$5:$C$110=$B17)*ISNUMBER(INDEX(Inputs!$K$5:$AJ$110,0,MATCH(L$2,Inputs!$K$4:$AJ$4,0))))+SUMPRODUCT((Inputs!$E$5:$E$110=$B17)*ISNUMBER(INDEX(Inputs!$K$5:$AJ$110,0,MATCH(L$2,Inputs!$K$4:$AJ$4,0))))=0,NA(),SUMPRODUCT((Inputs!$A$5:$A$110=$B17)*Inputs!$B$5:$B$110*(((Inputs!$G$5:$G$110="moeda")+(Inputs!$G$5:$G$110="acoes"))*Inputs!$B$1+((Inputs!$G$5:$G$110&lt;&gt;"moeda")*(Inputs!$G$5:$G$110&lt;&gt;"acoes")))*INDEX(Inputs!$K$5:$AJ$110,0,MATCH(L$2,Inputs!$K$4:$AJ$4,0)))+SUMPRODUCT((Inputs!$C$5:$C$110=$B17)*Inputs!$D$5:$D$110*(((Inputs!$G$5:$G$110="moeda")+(Inputs!$G$5:$G$110="acoes"))*Inputs!$B$1+((Inputs!$G$5:$G$110&lt;&gt;"moeda")*(Inputs!$G$5:$G$110&lt;&gt;"acoes")))*INDEX(Inputs!$K$5:$AJ$110,0,MATCH(L$2,Inputs!$K$4:$AJ$4,0)))+SUMPRODUCT((Inputs!$E$5:$E$110=$B17)*Inputs!$F$5:$F$110*(((Inputs!$G$5:$G$110="moeda")+(Inputs!$G$5:$G$110="acoes"))*Inputs!$B$1+((Inputs!$G$5:$G$110&lt;&gt;"moeda")*(Inputs!$G$5:$G$110&lt;&gt;"acoes")))*INDEX(Inputs!$K$5:$AJ$110,0,MATCH(L$2,Inputs!$K$4:$AJ$4,0)))))</f>
        <v>1899</v>
      </c>
      <c r="M17" s="3">
        <f>L17</f>
        <v>1899</v>
      </c>
      <c r="N17" s="6">
        <f>IF(ISNA(MATCH(N$2,Inputs!$K$4:$AJ$4,0)),NA(),IF(SUMPRODUCT((Inputs!$A$5:$A$110=$B17)*ISNUMBER(INDEX(Inputs!$K$5:$AJ$110,0,MATCH(N$2,Inputs!$K$4:$AJ$4,0))))+SUMPRODUCT((Inputs!$C$5:$C$110=$B17)*ISNUMBER(INDEX(Inputs!$K$5:$AJ$110,0,MATCH(N$2,Inputs!$K$4:$AJ$4,0))))+SUMPRODUCT((Inputs!$E$5:$E$110=$B17)*ISNUMBER(INDEX(Inputs!$K$5:$AJ$110,0,MATCH(N$2,Inputs!$K$4:$AJ$4,0))))=0,NA(),SUMPRODUCT((Inputs!$A$5:$A$110=$B17)*Inputs!$B$5:$B$110*(((Inputs!$G$5:$G$110="moeda")+(Inputs!$G$5:$G$110="acoes"))*Inputs!$B$1+((Inputs!$G$5:$G$110&lt;&gt;"moeda")*(Inputs!$G$5:$G$110&lt;&gt;"acoes")))*INDEX(Inputs!$K$5:$AJ$110,0,MATCH(N$2,Inputs!$K$4:$AJ$4,0)))+SUMPRODUCT((Inputs!$C$5:$C$110=$B17)*Inputs!$D$5:$D$110*(((Inputs!$G$5:$G$110="moeda")+(Inputs!$G$5:$G$110="acoes"))*Inputs!$B$1+((Inputs!$G$5:$G$110&lt;&gt;"moeda")*(Inputs!$G$5:$G$110&lt;&gt;"acoes")))*INDEX(Inputs!$K$5:$AJ$110,0,MATCH(N$2,Inputs!$K$4:$AJ$4,0)))+SUMPRODUCT((Inputs!$E$5:$E$110=$B17)*Inputs!$F$5:$F$110*(((Inputs!$G$5:$G$110="moeda")+(Inputs!$G$5:$G$110="acoes"))*Inputs!$B$1+((Inputs!$G$5:$G$110&lt;&gt;"moeda")*(Inputs!$G$5:$G$110&lt;&gt;"acoes")))*INDEX(Inputs!$K$5:$AJ$110,0,MATCH(N$2,Inputs!$K$4:$AJ$4,0)))))</f>
        <v>1886</v>
      </c>
      <c r="O17" s="6">
        <f>IF(ISNA(MATCH(O$2,Inputs!$K$4:$AJ$4,0)),NA(),IF(SUMPRODUCT((Inputs!$A$5:$A$110=$B17)*ISNUMBER(INDEX(Inputs!$K$5:$AJ$110,0,MATCH(O$2,Inputs!$K$4:$AJ$4,0))))+SUMPRODUCT((Inputs!$C$5:$C$110=$B17)*ISNUMBER(INDEX(Inputs!$K$5:$AJ$110,0,MATCH(O$2,Inputs!$K$4:$AJ$4,0))))+SUMPRODUCT((Inputs!$E$5:$E$110=$B17)*ISNUMBER(INDEX(Inputs!$K$5:$AJ$110,0,MATCH(O$2,Inputs!$K$4:$AJ$4,0))))=0,NA(),SUMPRODUCT((Inputs!$A$5:$A$110=$B17)*Inputs!$B$5:$B$110*(((Inputs!$G$5:$G$110="moeda")+(Inputs!$G$5:$G$110="acoes"))*Inputs!$B$1+((Inputs!$G$5:$G$110&lt;&gt;"moeda")*(Inputs!$G$5:$G$110&lt;&gt;"acoes")))*INDEX(Inputs!$K$5:$AJ$110,0,MATCH(O$2,Inputs!$K$4:$AJ$4,0)))+SUMPRODUCT((Inputs!$C$5:$C$110=$B17)*Inputs!$D$5:$D$110*(((Inputs!$G$5:$G$110="moeda")+(Inputs!$G$5:$G$110="acoes"))*Inputs!$B$1+((Inputs!$G$5:$G$110&lt;&gt;"moeda")*(Inputs!$G$5:$G$110&lt;&gt;"acoes")))*INDEX(Inputs!$K$5:$AJ$110,0,MATCH(O$2,Inputs!$K$4:$AJ$4,0)))+SUMPRODUCT((Inputs!$E$5:$E$110=$B17)*Inputs!$F$5:$F$110*(((Inputs!$G$5:$G$110="moeda")+(Inputs!$G$5:$G$110="acoes"))*Inputs!$B$1+((Inputs!$G$5:$G$110&lt;&gt;"moeda")*(Inputs!$G$5:$G$110&lt;&gt;"acoes")))*INDEX(Inputs!$K$5:$AJ$110,0,MATCH(O$2,Inputs!$K$4:$AJ$4,0)))))</f>
        <v>1842</v>
      </c>
      <c r="P17" s="6">
        <f>IF(ISNA(MATCH(P$2,Inputs!$K$4:$AJ$4,0)),NA(),IF(SUMPRODUCT((Inputs!$A$5:$A$110=$B17)*ISNUMBER(INDEX(Inputs!$K$5:$AJ$110,0,MATCH(P$2,Inputs!$K$4:$AJ$4,0))))+SUMPRODUCT((Inputs!$C$5:$C$110=$B17)*ISNUMBER(INDEX(Inputs!$K$5:$AJ$110,0,MATCH(P$2,Inputs!$K$4:$AJ$4,0))))+SUMPRODUCT((Inputs!$E$5:$E$110=$B17)*ISNUMBER(INDEX(Inputs!$K$5:$AJ$110,0,MATCH(P$2,Inputs!$K$4:$AJ$4,0))))=0,NA(),SUMPRODUCT((Inputs!$A$5:$A$110=$B17)*Inputs!$B$5:$B$110*(((Inputs!$G$5:$G$110="moeda")+(Inputs!$G$5:$G$110="acoes"))*Inputs!$B$1+((Inputs!$G$5:$G$110&lt;&gt;"moeda")*(Inputs!$G$5:$G$110&lt;&gt;"acoes")))*INDEX(Inputs!$K$5:$AJ$110,0,MATCH(P$2,Inputs!$K$4:$AJ$4,0)))+SUMPRODUCT((Inputs!$C$5:$C$110=$B17)*Inputs!$D$5:$D$110*(((Inputs!$G$5:$G$110="moeda")+(Inputs!$G$5:$G$110="acoes"))*Inputs!$B$1+((Inputs!$G$5:$G$110&lt;&gt;"moeda")*(Inputs!$G$5:$G$110&lt;&gt;"acoes")))*INDEX(Inputs!$K$5:$AJ$110,0,MATCH(P$2,Inputs!$K$4:$AJ$4,0)))+SUMPRODUCT((Inputs!$E$5:$E$110=$B17)*Inputs!$F$5:$F$110*(((Inputs!$G$5:$G$110="moeda")+(Inputs!$G$5:$G$110="acoes"))*Inputs!$B$1+((Inputs!$G$5:$G$110&lt;&gt;"moeda")*(Inputs!$G$5:$G$110&lt;&gt;"acoes")))*INDEX(Inputs!$K$5:$AJ$110,0,MATCH(P$2,Inputs!$K$4:$AJ$4,0)))))</f>
        <v>1898</v>
      </c>
      <c r="Q17" s="6">
        <f>IF(ISNA(MATCH(Q$2,Inputs!$K$4:$AJ$4,0)),NA(),IF(SUMPRODUCT((Inputs!$A$5:$A$110=$B17)*ISNUMBER(INDEX(Inputs!$K$5:$AJ$110,0,MATCH(Q$2,Inputs!$K$4:$AJ$4,0))))+SUMPRODUCT((Inputs!$C$5:$C$110=$B17)*ISNUMBER(INDEX(Inputs!$K$5:$AJ$110,0,MATCH(Q$2,Inputs!$K$4:$AJ$4,0))))+SUMPRODUCT((Inputs!$E$5:$E$110=$B17)*ISNUMBER(INDEX(Inputs!$K$5:$AJ$110,0,MATCH(Q$2,Inputs!$K$4:$AJ$4,0))))=0,NA(),SUMPRODUCT((Inputs!$A$5:$A$110=$B17)*Inputs!$B$5:$B$110*(((Inputs!$G$5:$G$110="moeda")+(Inputs!$G$5:$G$110="acoes"))*Inputs!$B$1+((Inputs!$G$5:$G$110&lt;&gt;"moeda")*(Inputs!$G$5:$G$110&lt;&gt;"acoes")))*INDEX(Inputs!$K$5:$AJ$110,0,MATCH(Q$2,Inputs!$K$4:$AJ$4,0)))+SUMPRODUCT((Inputs!$C$5:$C$110=$B17)*Inputs!$D$5:$D$110*(((Inputs!$G$5:$G$110="moeda")+(Inputs!$G$5:$G$110="acoes"))*Inputs!$B$1+((Inputs!$G$5:$G$110&lt;&gt;"moeda")*(Inputs!$G$5:$G$110&lt;&gt;"acoes")))*INDEX(Inputs!$K$5:$AJ$110,0,MATCH(Q$2,Inputs!$K$4:$AJ$4,0)))+SUMPRODUCT((Inputs!$E$5:$E$110=$B17)*Inputs!$F$5:$F$110*(((Inputs!$G$5:$G$110="moeda")+(Inputs!$G$5:$G$110="acoes"))*Inputs!$B$1+((Inputs!$G$5:$G$110&lt;&gt;"moeda")*(Inputs!$G$5:$G$110&lt;&gt;"acoes")))*INDEX(Inputs!$K$5:$AJ$110,0,MATCH(Q$2,Inputs!$K$4:$AJ$4,0)))))</f>
        <v>1920</v>
      </c>
      <c r="R17" s="3">
        <f>Q17</f>
        <v>1920</v>
      </c>
      <c r="S17" s="6">
        <f>IF(ISNA(MATCH(S$2,Inputs!$K$4:$AJ$4,0)),NA(),IF(SUMPRODUCT((Inputs!$A$5:$A$110=$B17)*ISNUMBER(INDEX(Inputs!$K$5:$AJ$110,0,MATCH(S$2,Inputs!$K$4:$AJ$4,0))))+SUMPRODUCT((Inputs!$C$5:$C$110=$B17)*ISNUMBER(INDEX(Inputs!$K$5:$AJ$110,0,MATCH(S$2,Inputs!$K$4:$AJ$4,0))))+SUMPRODUCT((Inputs!$E$5:$E$110=$B17)*ISNUMBER(INDEX(Inputs!$K$5:$AJ$110,0,MATCH(S$2,Inputs!$K$4:$AJ$4,0))))=0,NA(),SUMPRODUCT((Inputs!$A$5:$A$110=$B17)*Inputs!$B$5:$B$110*(((Inputs!$G$5:$G$110="moeda")+(Inputs!$G$5:$G$110="acoes"))*Inputs!$B$1+((Inputs!$G$5:$G$110&lt;&gt;"moeda")*(Inputs!$G$5:$G$110&lt;&gt;"acoes")))*INDEX(Inputs!$K$5:$AJ$110,0,MATCH(S$2,Inputs!$K$4:$AJ$4,0)))+SUMPRODUCT((Inputs!$C$5:$C$110=$B17)*Inputs!$D$5:$D$110*(((Inputs!$G$5:$G$110="moeda")+(Inputs!$G$5:$G$110="acoes"))*Inputs!$B$1+((Inputs!$G$5:$G$110&lt;&gt;"moeda")*(Inputs!$G$5:$G$110&lt;&gt;"acoes")))*INDEX(Inputs!$K$5:$AJ$110,0,MATCH(S$2,Inputs!$K$4:$AJ$4,0)))+SUMPRODUCT((Inputs!$E$5:$E$110=$B17)*Inputs!$F$5:$F$110*(((Inputs!$G$5:$G$110="moeda")+(Inputs!$G$5:$G$110="acoes"))*Inputs!$B$1+((Inputs!$G$5:$G$110&lt;&gt;"moeda")*(Inputs!$G$5:$G$110&lt;&gt;"acoes")))*INDEX(Inputs!$K$5:$AJ$110,0,MATCH(S$2,Inputs!$K$4:$AJ$4,0)))))</f>
        <v>1842</v>
      </c>
      <c r="T17" s="6">
        <f>IF(ISNA(MATCH(T$2,Inputs!$K$4:$AJ$4,0)),NA(),IF(SUMPRODUCT((Inputs!$A$5:$A$110=$B17)*ISNUMBER(INDEX(Inputs!$K$5:$AJ$110,0,MATCH(T$2,Inputs!$K$4:$AJ$4,0))))+SUMPRODUCT((Inputs!$C$5:$C$110=$B17)*ISNUMBER(INDEX(Inputs!$K$5:$AJ$110,0,MATCH(T$2,Inputs!$K$4:$AJ$4,0))))+SUMPRODUCT((Inputs!$E$5:$E$110=$B17)*ISNUMBER(INDEX(Inputs!$K$5:$AJ$110,0,MATCH(T$2,Inputs!$K$4:$AJ$4,0))))=0,NA(),SUMPRODUCT((Inputs!$A$5:$A$110=$B17)*Inputs!$B$5:$B$110*(((Inputs!$G$5:$G$110="moeda")+(Inputs!$G$5:$G$110="acoes"))*Inputs!$B$1+((Inputs!$G$5:$G$110&lt;&gt;"moeda")*(Inputs!$G$5:$G$110&lt;&gt;"acoes")))*INDEX(Inputs!$K$5:$AJ$110,0,MATCH(T$2,Inputs!$K$4:$AJ$4,0)))+SUMPRODUCT((Inputs!$C$5:$C$110=$B17)*Inputs!$D$5:$D$110*(((Inputs!$G$5:$G$110="moeda")+(Inputs!$G$5:$G$110="acoes"))*Inputs!$B$1+((Inputs!$G$5:$G$110&lt;&gt;"moeda")*(Inputs!$G$5:$G$110&lt;&gt;"acoes")))*INDEX(Inputs!$K$5:$AJ$110,0,MATCH(T$2,Inputs!$K$4:$AJ$4,0)))+SUMPRODUCT((Inputs!$E$5:$E$110=$B17)*Inputs!$F$5:$F$110*(((Inputs!$G$5:$G$110="moeda")+(Inputs!$G$5:$G$110="acoes"))*Inputs!$B$1+((Inputs!$G$5:$G$110&lt;&gt;"moeda")*(Inputs!$G$5:$G$110&lt;&gt;"acoes")))*INDEX(Inputs!$K$5:$AJ$110,0,MATCH(T$2,Inputs!$K$4:$AJ$4,0)))))</f>
        <v>1894</v>
      </c>
      <c r="U17" s="6">
        <f>IF(ISNA(MATCH(U$2,Inputs!$K$4:$AJ$4,0)),NA(),IF(SUMPRODUCT((Inputs!$A$5:$A$110=$B17)*ISNUMBER(INDEX(Inputs!$K$5:$AJ$110,0,MATCH(U$2,Inputs!$K$4:$AJ$4,0))))+SUMPRODUCT((Inputs!$C$5:$C$110=$B17)*ISNUMBER(INDEX(Inputs!$K$5:$AJ$110,0,MATCH(U$2,Inputs!$K$4:$AJ$4,0))))+SUMPRODUCT((Inputs!$E$5:$E$110=$B17)*ISNUMBER(INDEX(Inputs!$K$5:$AJ$110,0,MATCH(U$2,Inputs!$K$4:$AJ$4,0))))=0,NA(),SUMPRODUCT((Inputs!$A$5:$A$110=$B17)*Inputs!$B$5:$B$110*(((Inputs!$G$5:$G$110="moeda")+(Inputs!$G$5:$G$110="acoes"))*Inputs!$B$1+((Inputs!$G$5:$G$110&lt;&gt;"moeda")*(Inputs!$G$5:$G$110&lt;&gt;"acoes")))*INDEX(Inputs!$K$5:$AJ$110,0,MATCH(U$2,Inputs!$K$4:$AJ$4,0)))+SUMPRODUCT((Inputs!$C$5:$C$110=$B17)*Inputs!$D$5:$D$110*(((Inputs!$G$5:$G$110="moeda")+(Inputs!$G$5:$G$110="acoes"))*Inputs!$B$1+((Inputs!$G$5:$G$110&lt;&gt;"moeda")*(Inputs!$G$5:$G$110&lt;&gt;"acoes")))*INDEX(Inputs!$K$5:$AJ$110,0,MATCH(U$2,Inputs!$K$4:$AJ$4,0)))+SUMPRODUCT((Inputs!$E$5:$E$110=$B17)*Inputs!$F$5:$F$110*(((Inputs!$G$5:$G$110="moeda")+(Inputs!$G$5:$G$110="acoes"))*Inputs!$B$1+((Inputs!$G$5:$G$110&lt;&gt;"moeda")*(Inputs!$G$5:$G$110&lt;&gt;"acoes")))*INDEX(Inputs!$K$5:$AJ$110,0,MATCH(U$2,Inputs!$K$4:$AJ$4,0)))))</f>
        <v>1760</v>
      </c>
      <c r="V17" s="6">
        <f>IF(ISNA(MATCH(V$2,Inputs!$K$4:$AJ$4,0)),NA(),IF(SUMPRODUCT((Inputs!$A$5:$A$110=$B17)*ISNUMBER(INDEX(Inputs!$K$5:$AJ$110,0,MATCH(V$2,Inputs!$K$4:$AJ$4,0))))+SUMPRODUCT((Inputs!$C$5:$C$110=$B17)*ISNUMBER(INDEX(Inputs!$K$5:$AJ$110,0,MATCH(V$2,Inputs!$K$4:$AJ$4,0))))+SUMPRODUCT((Inputs!$E$5:$E$110=$B17)*ISNUMBER(INDEX(Inputs!$K$5:$AJ$110,0,MATCH(V$2,Inputs!$K$4:$AJ$4,0))))=0,NA(),SUMPRODUCT((Inputs!$A$5:$A$110=$B17)*Inputs!$B$5:$B$110*(((Inputs!$G$5:$G$110="moeda")+(Inputs!$G$5:$G$110="acoes"))*Inputs!$B$1+((Inputs!$G$5:$G$110&lt;&gt;"moeda")*(Inputs!$G$5:$G$110&lt;&gt;"acoes")))*INDEX(Inputs!$K$5:$AJ$110,0,MATCH(V$2,Inputs!$K$4:$AJ$4,0)))+SUMPRODUCT((Inputs!$C$5:$C$110=$B17)*Inputs!$D$5:$D$110*(((Inputs!$G$5:$G$110="moeda")+(Inputs!$G$5:$G$110="acoes"))*Inputs!$B$1+((Inputs!$G$5:$G$110&lt;&gt;"moeda")*(Inputs!$G$5:$G$110&lt;&gt;"acoes")))*INDEX(Inputs!$K$5:$AJ$110,0,MATCH(V$2,Inputs!$K$4:$AJ$4,0)))+SUMPRODUCT((Inputs!$E$5:$E$110=$B17)*Inputs!$F$5:$F$110*(((Inputs!$G$5:$G$110="moeda")+(Inputs!$G$5:$G$110="acoes"))*Inputs!$B$1+((Inputs!$G$5:$G$110&lt;&gt;"moeda")*(Inputs!$G$5:$G$110&lt;&gt;"acoes")))*INDEX(Inputs!$K$5:$AJ$110,0,MATCH(V$2,Inputs!$K$4:$AJ$4,0)))))</f>
        <v>1908</v>
      </c>
      <c r="W17" s="3">
        <f>V17</f>
        <v>1908</v>
      </c>
      <c r="X17" s="6">
        <f>IF(ISNA(MATCH(X$2,Inputs!$K$4:$AJ$4,0)),NA(),IF(SUMPRODUCT((Inputs!$A$5:$A$110=$B17)*ISNUMBER(INDEX(Inputs!$K$5:$AJ$110,0,MATCH(X$2,Inputs!$K$4:$AJ$4,0))))+SUMPRODUCT((Inputs!$C$5:$C$110=$B17)*ISNUMBER(INDEX(Inputs!$K$5:$AJ$110,0,MATCH(X$2,Inputs!$K$4:$AJ$4,0))))+SUMPRODUCT((Inputs!$E$5:$E$110=$B17)*ISNUMBER(INDEX(Inputs!$K$5:$AJ$110,0,MATCH(X$2,Inputs!$K$4:$AJ$4,0))))=0,NA(),SUMPRODUCT((Inputs!$A$5:$A$110=$B17)*Inputs!$B$5:$B$110*(((Inputs!$G$5:$G$110="moeda")+(Inputs!$G$5:$G$110="acoes"))*Inputs!$B$1+((Inputs!$G$5:$G$110&lt;&gt;"moeda")*(Inputs!$G$5:$G$110&lt;&gt;"acoes")))*INDEX(Inputs!$K$5:$AJ$110,0,MATCH(X$2,Inputs!$K$4:$AJ$4,0)))+SUMPRODUCT((Inputs!$C$5:$C$110=$B17)*Inputs!$D$5:$D$110*(((Inputs!$G$5:$G$110="moeda")+(Inputs!$G$5:$G$110="acoes"))*Inputs!$B$1+((Inputs!$G$5:$G$110&lt;&gt;"moeda")*(Inputs!$G$5:$G$110&lt;&gt;"acoes")))*INDEX(Inputs!$K$5:$AJ$110,0,MATCH(X$2,Inputs!$K$4:$AJ$4,0)))+SUMPRODUCT((Inputs!$E$5:$E$110=$B17)*Inputs!$F$5:$F$110*(((Inputs!$G$5:$G$110="moeda")+(Inputs!$G$5:$G$110="acoes"))*Inputs!$B$1+((Inputs!$G$5:$G$110&lt;&gt;"moeda")*(Inputs!$G$5:$G$110&lt;&gt;"acoes")))*INDEX(Inputs!$K$5:$AJ$110,0,MATCH(X$2,Inputs!$K$4:$AJ$4,0)))))</f>
        <v>2017</v>
      </c>
      <c r="Y17" s="6">
        <f>IF(ISNA(MATCH(Y$2,Inputs!$K$4:$AJ$4,0)),NA(),IF(SUMPRODUCT((Inputs!$A$5:$A$110=$B17)*ISNUMBER(INDEX(Inputs!$K$5:$AJ$110,0,MATCH(Y$2,Inputs!$K$4:$AJ$4,0))))+SUMPRODUCT((Inputs!$C$5:$C$110=$B17)*ISNUMBER(INDEX(Inputs!$K$5:$AJ$110,0,MATCH(Y$2,Inputs!$K$4:$AJ$4,0))))+SUMPRODUCT((Inputs!$E$5:$E$110=$B17)*ISNUMBER(INDEX(Inputs!$K$5:$AJ$110,0,MATCH(Y$2,Inputs!$K$4:$AJ$4,0))))=0,NA(),SUMPRODUCT((Inputs!$A$5:$A$110=$B17)*Inputs!$B$5:$B$110*(((Inputs!$G$5:$G$110="moeda")+(Inputs!$G$5:$G$110="acoes"))*Inputs!$B$1+((Inputs!$G$5:$G$110&lt;&gt;"moeda")*(Inputs!$G$5:$G$110&lt;&gt;"acoes")))*INDEX(Inputs!$K$5:$AJ$110,0,MATCH(Y$2,Inputs!$K$4:$AJ$4,0)))+SUMPRODUCT((Inputs!$C$5:$C$110=$B17)*Inputs!$D$5:$D$110*(((Inputs!$G$5:$G$110="moeda")+(Inputs!$G$5:$G$110="acoes"))*Inputs!$B$1+((Inputs!$G$5:$G$110&lt;&gt;"moeda")*(Inputs!$G$5:$G$110&lt;&gt;"acoes")))*INDEX(Inputs!$K$5:$AJ$110,0,MATCH(Y$2,Inputs!$K$4:$AJ$4,0)))+SUMPRODUCT((Inputs!$E$5:$E$110=$B17)*Inputs!$F$5:$F$110*(((Inputs!$G$5:$G$110="moeda")+(Inputs!$G$5:$G$110="acoes"))*Inputs!$B$1+((Inputs!$G$5:$G$110&lt;&gt;"moeda")*(Inputs!$G$5:$G$110&lt;&gt;"acoes")))*INDEX(Inputs!$K$5:$AJ$110,0,MATCH(Y$2,Inputs!$K$4:$AJ$4,0)))))</f>
        <v>2180</v>
      </c>
      <c r="Z17" s="6">
        <f>IF(ISNA(MATCH(Z$2,Inputs!$K$4:$AJ$4,0)),NA(),IF(SUMPRODUCT((Inputs!$A$5:$A$110=$B17)*ISNUMBER(INDEX(Inputs!$K$5:$AJ$110,0,MATCH(Z$2,Inputs!$K$4:$AJ$4,0))))+SUMPRODUCT((Inputs!$C$5:$C$110=$B17)*ISNUMBER(INDEX(Inputs!$K$5:$AJ$110,0,MATCH(Z$2,Inputs!$K$4:$AJ$4,0))))+SUMPRODUCT((Inputs!$E$5:$E$110=$B17)*ISNUMBER(INDEX(Inputs!$K$5:$AJ$110,0,MATCH(Z$2,Inputs!$K$4:$AJ$4,0))))=0,NA(),SUMPRODUCT((Inputs!$A$5:$A$110=$B17)*Inputs!$B$5:$B$110*(((Inputs!$G$5:$G$110="moeda")+(Inputs!$G$5:$G$110="acoes"))*Inputs!$B$1+((Inputs!$G$5:$G$110&lt;&gt;"moeda")*(Inputs!$G$5:$G$110&lt;&gt;"acoes")))*INDEX(Inputs!$K$5:$AJ$110,0,MATCH(Z$2,Inputs!$K$4:$AJ$4,0)))+SUMPRODUCT((Inputs!$C$5:$C$110=$B17)*Inputs!$D$5:$D$110*(((Inputs!$G$5:$G$110="moeda")+(Inputs!$G$5:$G$110="acoes"))*Inputs!$B$1+((Inputs!$G$5:$G$110&lt;&gt;"moeda")*(Inputs!$G$5:$G$110&lt;&gt;"acoes")))*INDEX(Inputs!$K$5:$AJ$110,0,MATCH(Z$2,Inputs!$K$4:$AJ$4,0)))+SUMPRODUCT((Inputs!$E$5:$E$110=$B17)*Inputs!$F$5:$F$110*(((Inputs!$G$5:$G$110="moeda")+(Inputs!$G$5:$G$110="acoes"))*Inputs!$B$1+((Inputs!$G$5:$G$110&lt;&gt;"moeda")*(Inputs!$G$5:$G$110&lt;&gt;"acoes")))*INDEX(Inputs!$K$5:$AJ$110,0,MATCH(Z$2,Inputs!$K$4:$AJ$4,0)))))</f>
        <v>2270</v>
      </c>
      <c r="AA17" s="6">
        <f>IF(ISNA(MATCH(AA$2,Inputs!$K$4:$AJ$4,0)),NA(),IF(SUMPRODUCT((Inputs!$A$5:$A$110=$B17)*ISNUMBER(INDEX(Inputs!$K$5:$AJ$110,0,MATCH(AA$2,Inputs!$K$4:$AJ$4,0))))+SUMPRODUCT((Inputs!$C$5:$C$110=$B17)*ISNUMBER(INDEX(Inputs!$K$5:$AJ$110,0,MATCH(AA$2,Inputs!$K$4:$AJ$4,0))))+SUMPRODUCT((Inputs!$E$5:$E$110=$B17)*ISNUMBER(INDEX(Inputs!$K$5:$AJ$110,0,MATCH(AA$2,Inputs!$K$4:$AJ$4,0))))=0,NA(),SUMPRODUCT((Inputs!$A$5:$A$110=$B17)*Inputs!$B$5:$B$110*(((Inputs!$G$5:$G$110="moeda")+(Inputs!$G$5:$G$110="acoes"))*Inputs!$B$1+((Inputs!$G$5:$G$110&lt;&gt;"moeda")*(Inputs!$G$5:$G$110&lt;&gt;"acoes")))*INDEX(Inputs!$K$5:$AJ$110,0,MATCH(AA$2,Inputs!$K$4:$AJ$4,0)))+SUMPRODUCT((Inputs!$C$5:$C$110=$B17)*Inputs!$D$5:$D$110*(((Inputs!$G$5:$G$110="moeda")+(Inputs!$G$5:$G$110="acoes"))*Inputs!$B$1+((Inputs!$G$5:$G$110&lt;&gt;"moeda")*(Inputs!$G$5:$G$110&lt;&gt;"acoes")))*INDEX(Inputs!$K$5:$AJ$110,0,MATCH(AA$2,Inputs!$K$4:$AJ$4,0)))+SUMPRODUCT((Inputs!$E$5:$E$110=$B17)*Inputs!$F$5:$F$110*(((Inputs!$G$5:$G$110="moeda")+(Inputs!$G$5:$G$110="acoes"))*Inputs!$B$1+((Inputs!$G$5:$G$110&lt;&gt;"moeda")*(Inputs!$G$5:$G$110&lt;&gt;"acoes")))*INDEX(Inputs!$K$5:$AJ$110,0,MATCH(AA$2,Inputs!$K$4:$AJ$4,0)))))</f>
        <v>2962</v>
      </c>
      <c r="AB17" s="3">
        <f>AA17</f>
        <v>2962</v>
      </c>
      <c r="AC17" s="6">
        <f>IF(ISNA(MATCH(AC$2,Inputs!$K$4:$AJ$4,0)),NA(),IF(SUMPRODUCT((Inputs!$A$5:$A$110=$B17)*ISNUMBER(INDEX(Inputs!$K$5:$AJ$110,0,MATCH(AC$2,Inputs!$K$4:$AJ$4,0))))+SUMPRODUCT((Inputs!$C$5:$C$110=$B17)*ISNUMBER(INDEX(Inputs!$K$5:$AJ$110,0,MATCH(AC$2,Inputs!$K$4:$AJ$4,0))))+SUMPRODUCT((Inputs!$E$5:$E$110=$B17)*ISNUMBER(INDEX(Inputs!$K$5:$AJ$110,0,MATCH(AC$2,Inputs!$K$4:$AJ$4,0))))=0,NA(),SUMPRODUCT((Inputs!$A$5:$A$110=$B17)*Inputs!$B$5:$B$110*(((Inputs!$G$5:$G$110="moeda")+(Inputs!$G$5:$G$110="acoes"))*Inputs!$B$1+((Inputs!$G$5:$G$110&lt;&gt;"moeda")*(Inputs!$G$5:$G$110&lt;&gt;"acoes")))*INDEX(Inputs!$K$5:$AJ$110,0,MATCH(AC$2,Inputs!$K$4:$AJ$4,0)))+SUMPRODUCT((Inputs!$C$5:$C$110=$B17)*Inputs!$D$5:$D$110*(((Inputs!$G$5:$G$110="moeda")+(Inputs!$G$5:$G$110="acoes"))*Inputs!$B$1+((Inputs!$G$5:$G$110&lt;&gt;"moeda")*(Inputs!$G$5:$G$110&lt;&gt;"acoes")))*INDEX(Inputs!$K$5:$AJ$110,0,MATCH(AC$2,Inputs!$K$4:$AJ$4,0)))+SUMPRODUCT((Inputs!$E$5:$E$110=$B17)*Inputs!$F$5:$F$110*(((Inputs!$G$5:$G$110="moeda")+(Inputs!$G$5:$G$110="acoes"))*Inputs!$B$1+((Inputs!$G$5:$G$110&lt;&gt;"moeda")*(Inputs!$G$5:$G$110&lt;&gt;"acoes")))*INDEX(Inputs!$K$5:$AJ$110,0,MATCH(AC$2,Inputs!$K$4:$AJ$4,0)))))</f>
        <v>4328</v>
      </c>
      <c r="AD17" s="6">
        <f>IF(ISNA(MATCH(AD$2,Inputs!$K$4:$AJ$4,0)),NA(),IF(SUMPRODUCT((Inputs!$A$5:$A$110=$B17)*ISNUMBER(INDEX(Inputs!$K$5:$AJ$110,0,MATCH(AD$2,Inputs!$K$4:$AJ$4,0))))+SUMPRODUCT((Inputs!$C$5:$C$110=$B17)*ISNUMBER(INDEX(Inputs!$K$5:$AJ$110,0,MATCH(AD$2,Inputs!$K$4:$AJ$4,0))))+SUMPRODUCT((Inputs!$E$5:$E$110=$B17)*ISNUMBER(INDEX(Inputs!$K$5:$AJ$110,0,MATCH(AD$2,Inputs!$K$4:$AJ$4,0))))=0,NA(),SUMPRODUCT((Inputs!$A$5:$A$110=$B17)*Inputs!$B$5:$B$110*(((Inputs!$G$5:$G$110="moeda")+(Inputs!$G$5:$G$110="acoes"))*Inputs!$B$1+((Inputs!$G$5:$G$110&lt;&gt;"moeda")*(Inputs!$G$5:$G$110&lt;&gt;"acoes")))*INDEX(Inputs!$K$5:$AJ$110,0,MATCH(AD$2,Inputs!$K$4:$AJ$4,0)))+SUMPRODUCT((Inputs!$C$5:$C$110=$B17)*Inputs!$D$5:$D$110*(((Inputs!$G$5:$G$110="moeda")+(Inputs!$G$5:$G$110="acoes"))*Inputs!$B$1+((Inputs!$G$5:$G$110&lt;&gt;"moeda")*(Inputs!$G$5:$G$110&lt;&gt;"acoes")))*INDEX(Inputs!$K$5:$AJ$110,0,MATCH(AD$2,Inputs!$K$4:$AJ$4,0)))+SUMPRODUCT((Inputs!$E$5:$E$110=$B17)*Inputs!$F$5:$F$110*(((Inputs!$G$5:$G$110="moeda")+(Inputs!$G$5:$G$110="acoes"))*Inputs!$B$1+((Inputs!$G$5:$G$110&lt;&gt;"moeda")*(Inputs!$G$5:$G$110&lt;&gt;"acoes")))*INDEX(Inputs!$K$5:$AJ$110,0,MATCH(AD$2,Inputs!$K$4:$AJ$4,0)))))</f>
        <v>4523</v>
      </c>
      <c r="AE17" s="6" t="e">
        <f>IF(ISNA(MATCH(AE$2,Inputs!$K$4:$AJ$4,0)),NA(),IF(SUMPRODUCT((Inputs!$A$5:$A$110=$B17)*ISNUMBER(INDEX(Inputs!$K$5:$AJ$110,0,MATCH(AE$2,Inputs!$K$4:$AJ$4,0))))+SUMPRODUCT((Inputs!$C$5:$C$110=$B17)*ISNUMBER(INDEX(Inputs!$K$5:$AJ$110,0,MATCH(AE$2,Inputs!$K$4:$AJ$4,0))))+SUMPRODUCT((Inputs!$E$5:$E$110=$B17)*ISNUMBER(INDEX(Inputs!$K$5:$AJ$110,0,MATCH(AE$2,Inputs!$K$4:$AJ$4,0))))=0,NA(),SUMPRODUCT((Inputs!$A$5:$A$110=$B17)*Inputs!$B$5:$B$110*(((Inputs!$G$5:$G$110="moeda")+(Inputs!$G$5:$G$110="acoes"))*Inputs!$B$1+((Inputs!$G$5:$G$110&lt;&gt;"moeda")*(Inputs!$G$5:$G$110&lt;&gt;"acoes")))*INDEX(Inputs!$K$5:$AJ$110,0,MATCH(AE$2,Inputs!$K$4:$AJ$4,0)))+SUMPRODUCT((Inputs!$C$5:$C$110=$B17)*Inputs!$D$5:$D$110*(((Inputs!$G$5:$G$110="moeda")+(Inputs!$G$5:$G$110="acoes"))*Inputs!$B$1+((Inputs!$G$5:$G$110&lt;&gt;"moeda")*(Inputs!$G$5:$G$110&lt;&gt;"acoes")))*INDEX(Inputs!$K$5:$AJ$110,0,MATCH(AE$2,Inputs!$K$4:$AJ$4,0)))+SUMPRODUCT((Inputs!$E$5:$E$110=$B17)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7" s="6" t="e">
        <f>IF(ISNA(MATCH(AF$2,Inputs!$K$4:$AJ$4,0)),NA(),IF(SUMPRODUCT((Inputs!$A$5:$A$110=$B17)*ISNUMBER(INDEX(Inputs!$K$5:$AJ$110,0,MATCH(AF$2,Inputs!$K$4:$AJ$4,0))))+SUMPRODUCT((Inputs!$C$5:$C$110=$B17)*ISNUMBER(INDEX(Inputs!$K$5:$AJ$110,0,MATCH(AF$2,Inputs!$K$4:$AJ$4,0))))+SUMPRODUCT((Inputs!$E$5:$E$110=$B17)*ISNUMBER(INDEX(Inputs!$K$5:$AJ$110,0,MATCH(AF$2,Inputs!$K$4:$AJ$4,0))))=0,NA(),SUMPRODUCT((Inputs!$A$5:$A$110=$B17)*Inputs!$B$5:$B$110*(((Inputs!$G$5:$G$110="moeda")+(Inputs!$G$5:$G$110="acoes"))*Inputs!$B$1+((Inputs!$G$5:$G$110&lt;&gt;"moeda")*(Inputs!$G$5:$G$110&lt;&gt;"acoes")))*INDEX(Inputs!$K$5:$AJ$110,0,MATCH(AF$2,Inputs!$K$4:$AJ$4,0)))+SUMPRODUCT((Inputs!$C$5:$C$110=$B17)*Inputs!$D$5:$D$110*(((Inputs!$G$5:$G$110="moeda")+(Inputs!$G$5:$G$110="acoes"))*Inputs!$B$1+((Inputs!$G$5:$G$110&lt;&gt;"moeda")*(Inputs!$G$5:$G$110&lt;&gt;"acoes")))*INDEX(Inputs!$K$5:$AJ$110,0,MATCH(AF$2,Inputs!$K$4:$AJ$4,0)))+SUMPRODUCT((Inputs!$E$5:$E$110=$B17)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7" s="3" t="e">
        <f>AF17</f>
        <v>#N/A</v>
      </c>
      <c r="AH17" s="6">
        <f>IF(ISNA(MATCH(AH$2,Inputs!$K$4:$AJ$4,0)),NA(),IF(SUMPRODUCT((Inputs!$A$5:$A$110=$B17)*ISNUMBER(INDEX(Inputs!$K$5:$AJ$110,0,MATCH(AH$2,Inputs!$K$4:$AJ$4,0))))+SUMPRODUCT((Inputs!$C$5:$C$110=$B17)*ISNUMBER(INDEX(Inputs!$K$5:$AJ$110,0,MATCH(AH$2,Inputs!$K$4:$AJ$4,0))))+SUMPRODUCT((Inputs!$E$5:$E$110=$B17)*ISNUMBER(INDEX(Inputs!$K$5:$AJ$110,0,MATCH(AH$2,Inputs!$K$4:$AJ$4,0))))=0,NA(),SUMPRODUCT((Inputs!$A$5:$A$110=$B17)*Inputs!$B$5:$B$110*(((Inputs!$G$5:$G$110="moeda")+(Inputs!$G$5:$G$110="acoes"))*Inputs!$B$1+((Inputs!$G$5:$G$110&lt;&gt;"moeda")*(Inputs!$G$5:$G$110&lt;&gt;"acoes")))*INDEX(Inputs!$K$5:$AJ$110,0,MATCH(AH$2,Inputs!$K$4:$AJ$4,0)))+SUMPRODUCT((Inputs!$C$5:$C$110=$B17)*Inputs!$D$5:$D$110*(((Inputs!$G$5:$G$110="moeda")+(Inputs!$G$5:$G$110="acoes"))*Inputs!$B$1+((Inputs!$G$5:$G$110&lt;&gt;"moeda")*(Inputs!$G$5:$G$110&lt;&gt;"acoes")))*INDEX(Inputs!$K$5:$AJ$110,0,MATCH(AH$2,Inputs!$K$4:$AJ$4,0)))+SUMPRODUCT((Inputs!$E$5:$E$110=$B17)*Inputs!$F$5:$F$110*(((Inputs!$G$5:$G$110="moeda")+(Inputs!$G$5:$G$110="acoes"))*Inputs!$B$1+((Inputs!$G$5:$G$110&lt;&gt;"moeda")*(Inputs!$G$5:$G$110&lt;&gt;"acoes")))*INDEX(Inputs!$K$5:$AJ$110,0,MATCH(AH$2,Inputs!$K$4:$AJ$4,0)))))</f>
        <v>953</v>
      </c>
      <c r="AI17" s="6">
        <f>IF(ISNA(MATCH(AI$2,Inputs!$K$4:$AJ$4,0)),NA(),IF(SUMPRODUCT((Inputs!$A$5:$A$110=$B17)*ISNUMBER(INDEX(Inputs!$K$5:$AJ$110,0,MATCH(AI$2,Inputs!$K$4:$AJ$4,0))))+SUMPRODUCT((Inputs!$C$5:$C$110=$B17)*ISNUMBER(INDEX(Inputs!$K$5:$AJ$110,0,MATCH(AI$2,Inputs!$K$4:$AJ$4,0))))+SUMPRODUCT((Inputs!$E$5:$E$110=$B17)*ISNUMBER(INDEX(Inputs!$K$5:$AJ$110,0,MATCH(AI$2,Inputs!$K$4:$AJ$4,0))))=0,NA(),SUMPRODUCT((Inputs!$A$5:$A$110=$B17)*Inputs!$B$5:$B$110*(((Inputs!$G$5:$G$110="moeda")+(Inputs!$G$5:$G$110="acoes"))*Inputs!$B$1+((Inputs!$G$5:$G$110&lt;&gt;"moeda")*(Inputs!$G$5:$G$110&lt;&gt;"acoes")))*INDEX(Inputs!$K$5:$AJ$110,0,MATCH(AI$2,Inputs!$K$4:$AJ$4,0)))+SUMPRODUCT((Inputs!$C$5:$C$110=$B17)*Inputs!$D$5:$D$110*(((Inputs!$G$5:$G$110="moeda")+(Inputs!$G$5:$G$110="acoes"))*Inputs!$B$1+((Inputs!$G$5:$G$110&lt;&gt;"moeda")*(Inputs!$G$5:$G$110&lt;&gt;"acoes")))*INDEX(Inputs!$K$5:$AJ$110,0,MATCH(AI$2,Inputs!$K$4:$AJ$4,0)))+SUMPRODUCT((Inputs!$E$5:$E$110=$B17)*Inputs!$F$5:$F$110*(((Inputs!$G$5:$G$110="moeda")+(Inputs!$G$5:$G$110="acoes"))*Inputs!$B$1+((Inputs!$G$5:$G$110&lt;&gt;"moeda")*(Inputs!$G$5:$G$110&lt;&gt;"acoes")))*INDEX(Inputs!$K$5:$AJ$110,0,MATCH(AI$2,Inputs!$K$4:$AJ$4,0)))))</f>
        <v>1081</v>
      </c>
      <c r="AJ17" s="6">
        <f>IF(ISNA(MATCH(AJ$2,Inputs!$K$4:$AJ$4,0)),NA(),IF(SUMPRODUCT((Inputs!$A$5:$A$110=$B17)*ISNUMBER(INDEX(Inputs!$K$5:$AJ$110,0,MATCH(AJ$2,Inputs!$K$4:$AJ$4,0))))+SUMPRODUCT((Inputs!$C$5:$C$110=$B17)*ISNUMBER(INDEX(Inputs!$K$5:$AJ$110,0,MATCH(AJ$2,Inputs!$K$4:$AJ$4,0))))+SUMPRODUCT((Inputs!$E$5:$E$110=$B17)*ISNUMBER(INDEX(Inputs!$K$5:$AJ$110,0,MATCH(AJ$2,Inputs!$K$4:$AJ$4,0))))=0,NA(),SUMPRODUCT((Inputs!$A$5:$A$110=$B17)*Inputs!$B$5:$B$110*(((Inputs!$G$5:$G$110="moeda")+(Inputs!$G$5:$G$110="acoes"))*Inputs!$B$1+((Inputs!$G$5:$G$110&lt;&gt;"moeda")*(Inputs!$G$5:$G$110&lt;&gt;"acoes")))*INDEX(Inputs!$K$5:$AJ$110,0,MATCH(AJ$2,Inputs!$K$4:$AJ$4,0)))+SUMPRODUCT((Inputs!$C$5:$C$110=$B17)*Inputs!$D$5:$D$110*(((Inputs!$G$5:$G$110="moeda")+(Inputs!$G$5:$G$110="acoes"))*Inputs!$B$1+((Inputs!$G$5:$G$110&lt;&gt;"moeda")*(Inputs!$G$5:$G$110&lt;&gt;"acoes")))*INDEX(Inputs!$K$5:$AJ$110,0,MATCH(AJ$2,Inputs!$K$4:$AJ$4,0)))+SUMPRODUCT((Inputs!$E$5:$E$110=$B17)*Inputs!$F$5:$F$110*(((Inputs!$G$5:$G$110="moeda")+(Inputs!$G$5:$G$110="acoes"))*Inputs!$B$1+((Inputs!$G$5:$G$110&lt;&gt;"moeda")*(Inputs!$G$5:$G$110&lt;&gt;"acoes")))*INDEX(Inputs!$K$5:$AJ$110,0,MATCH(AJ$2,Inputs!$K$4:$AJ$4,0)))))</f>
        <v>1003</v>
      </c>
      <c r="AK17" s="6">
        <f>IF(ISNA(MATCH(AK$2,Inputs!$K$4:$AJ$4,0)),NA(),IF(SUMPRODUCT((Inputs!$A$5:$A$110=$B17)*ISNUMBER(INDEX(Inputs!$K$5:$AJ$110,0,MATCH(AK$2,Inputs!$K$4:$AJ$4,0))))+SUMPRODUCT((Inputs!$C$5:$C$110=$B17)*ISNUMBER(INDEX(Inputs!$K$5:$AJ$110,0,MATCH(AK$2,Inputs!$K$4:$AJ$4,0))))+SUMPRODUCT((Inputs!$E$5:$E$110=$B17)*ISNUMBER(INDEX(Inputs!$K$5:$AJ$110,0,MATCH(AK$2,Inputs!$K$4:$AJ$4,0))))=0,NA(),SUMPRODUCT((Inputs!$A$5:$A$110=$B17)*Inputs!$B$5:$B$110*(((Inputs!$G$5:$G$110="moeda")+(Inputs!$G$5:$G$110="acoes"))*Inputs!$B$1+((Inputs!$G$5:$G$110&lt;&gt;"moeda")*(Inputs!$G$5:$G$110&lt;&gt;"acoes")))*INDEX(Inputs!$K$5:$AJ$110,0,MATCH(AK$2,Inputs!$K$4:$AJ$4,0)))+SUMPRODUCT((Inputs!$C$5:$C$110=$B17)*Inputs!$D$5:$D$110*(((Inputs!$G$5:$G$110="moeda")+(Inputs!$G$5:$G$110="acoes"))*Inputs!$B$1+((Inputs!$G$5:$G$110&lt;&gt;"moeda")*(Inputs!$G$5:$G$110&lt;&gt;"acoes")))*INDEX(Inputs!$K$5:$AJ$110,0,MATCH(AK$2,Inputs!$K$4:$AJ$4,0)))+SUMPRODUCT((Inputs!$E$5:$E$110=$B17)*Inputs!$F$5:$F$110*(((Inputs!$G$5:$G$110="moeda")+(Inputs!$G$5:$G$110="acoes"))*Inputs!$B$1+((Inputs!$G$5:$G$110&lt;&gt;"moeda")*(Inputs!$G$5:$G$110&lt;&gt;"acoes")))*INDEX(Inputs!$K$5:$AJ$110,0,MATCH(AK$2,Inputs!$K$4:$AJ$4,0)))))</f>
        <v>952</v>
      </c>
      <c r="AL17" s="3">
        <f>AK17</f>
        <v>952</v>
      </c>
    </row>
    <row r="18">
      <c r="B18" s="46" t="n">
        <v>14</v>
      </c>
      <c r="C18" s="26" t="inlineStr">
        <is>
          <t>Deferred income taxes</t>
        </is>
      </c>
      <c r="D18" s="6">
        <f>IF(ISNA(MATCH(D$2,Inputs!$K$4:$AJ$4,0)),NA(),IF(SUMPRODUCT((Inputs!$A$5:$A$110=$B18)*ISNUMBER(INDEX(Inputs!$K$5:$AJ$110,0,MATCH(D$2,Inputs!$K$4:$AJ$4,0))))+SUMPRODUCT((Inputs!$C$5:$C$110=$B18)*ISNUMBER(INDEX(Inputs!$K$5:$AJ$110,0,MATCH(D$2,Inputs!$K$4:$AJ$4,0))))+SUMPRODUCT((Inputs!$E$5:$E$110=$B18)*ISNUMBER(INDEX(Inputs!$K$5:$AJ$110,0,MATCH(D$2,Inputs!$K$4:$AJ$4,0))))=0,NA(),SUMPRODUCT((Inputs!$A$5:$A$110=$B18)*Inputs!$B$5:$B$110*(((Inputs!$G$5:$G$110="moeda")+(Inputs!$G$5:$G$110="acoes"))*Inputs!$B$1+((Inputs!$G$5:$G$110&lt;&gt;"moeda")*(Inputs!$G$5:$G$110&lt;&gt;"acoes")))*INDEX(Inputs!$K$5:$AJ$110,0,MATCH(D$2,Inputs!$K$4:$AJ$4,0)))+SUMPRODUCT((Inputs!$C$5:$C$110=$B18)*Inputs!$D$5:$D$110*(((Inputs!$G$5:$G$110="moeda")+(Inputs!$G$5:$G$110="acoes"))*Inputs!$B$1+((Inputs!$G$5:$G$110&lt;&gt;"moeda")*(Inputs!$G$5:$G$110&lt;&gt;"acoes")))*INDEX(Inputs!$K$5:$AJ$110,0,MATCH(D$2,Inputs!$K$4:$AJ$4,0)))+SUMPRODUCT((Inputs!$E$5:$E$110=$B18)*Inputs!$F$5:$F$110*(((Inputs!$G$5:$G$110="moeda")+(Inputs!$G$5:$G$110="acoes"))*Inputs!$B$1+((Inputs!$G$5:$G$110&lt;&gt;"moeda")*(Inputs!$G$5:$G$110&lt;&gt;"acoes")))*INDEX(Inputs!$K$5:$AJ$110,0,MATCH(D$2,Inputs!$K$4:$AJ$4,0)))))</f>
        <v>0</v>
      </c>
      <c r="E18" s="6">
        <f>IF(ISNA(MATCH(E$2,Inputs!$K$4:$AJ$4,0)),NA(),IF(SUMPRODUCT((Inputs!$A$5:$A$110=$B18)*ISNUMBER(INDEX(Inputs!$K$5:$AJ$110,0,MATCH(E$2,Inputs!$K$4:$AJ$4,0))))+SUMPRODUCT((Inputs!$C$5:$C$110=$B18)*ISNUMBER(INDEX(Inputs!$K$5:$AJ$110,0,MATCH(E$2,Inputs!$K$4:$AJ$4,0))))+SUMPRODUCT((Inputs!$E$5:$E$110=$B18)*ISNUMBER(INDEX(Inputs!$K$5:$AJ$110,0,MATCH(E$2,Inputs!$K$4:$AJ$4,0))))=0,NA(),SUMPRODUCT((Inputs!$A$5:$A$110=$B18)*Inputs!$B$5:$B$110*(((Inputs!$G$5:$G$110="moeda")+(Inputs!$G$5:$G$110="acoes"))*Inputs!$B$1+((Inputs!$G$5:$G$110&lt;&gt;"moeda")*(Inputs!$G$5:$G$110&lt;&gt;"acoes")))*INDEX(Inputs!$K$5:$AJ$110,0,MATCH(E$2,Inputs!$K$4:$AJ$4,0)))+SUMPRODUCT((Inputs!$C$5:$C$110=$B18)*Inputs!$D$5:$D$110*(((Inputs!$G$5:$G$110="moeda")+(Inputs!$G$5:$G$110="acoes"))*Inputs!$B$1+((Inputs!$G$5:$G$110&lt;&gt;"moeda")*(Inputs!$G$5:$G$110&lt;&gt;"acoes")))*INDEX(Inputs!$K$5:$AJ$110,0,MATCH(E$2,Inputs!$K$4:$AJ$4,0)))+SUMPRODUCT((Inputs!$E$5:$E$110=$B18)*Inputs!$F$5:$F$110*(((Inputs!$G$5:$G$110="moeda")+(Inputs!$G$5:$G$110="acoes"))*Inputs!$B$1+((Inputs!$G$5:$G$110&lt;&gt;"moeda")*(Inputs!$G$5:$G$110&lt;&gt;"acoes")))*INDEX(Inputs!$K$5:$AJ$110,0,MATCH(E$2,Inputs!$K$4:$AJ$4,0)))))</f>
        <v>0</v>
      </c>
      <c r="F18" s="6">
        <f>IF(ISNA(MATCH(F$2,Inputs!$K$4:$AJ$4,0)),NA(),IF(SUMPRODUCT((Inputs!$A$5:$A$110=$B18)*ISNUMBER(INDEX(Inputs!$K$5:$AJ$110,0,MATCH(F$2,Inputs!$K$4:$AJ$4,0))))+SUMPRODUCT((Inputs!$C$5:$C$110=$B18)*ISNUMBER(INDEX(Inputs!$K$5:$AJ$110,0,MATCH(F$2,Inputs!$K$4:$AJ$4,0))))+SUMPRODUCT((Inputs!$E$5:$E$110=$B18)*ISNUMBER(INDEX(Inputs!$K$5:$AJ$110,0,MATCH(F$2,Inputs!$K$4:$AJ$4,0))))=0,NA(),SUMPRODUCT((Inputs!$A$5:$A$110=$B18)*Inputs!$B$5:$B$110*(((Inputs!$G$5:$G$110="moeda")+(Inputs!$G$5:$G$110="acoes"))*Inputs!$B$1+((Inputs!$G$5:$G$110&lt;&gt;"moeda")*(Inputs!$G$5:$G$110&lt;&gt;"acoes")))*INDEX(Inputs!$K$5:$AJ$110,0,MATCH(F$2,Inputs!$K$4:$AJ$4,0)))+SUMPRODUCT((Inputs!$C$5:$C$110=$B18)*Inputs!$D$5:$D$110*(((Inputs!$G$5:$G$110="moeda")+(Inputs!$G$5:$G$110="acoes"))*Inputs!$B$1+((Inputs!$G$5:$G$110&lt;&gt;"moeda")*(Inputs!$G$5:$G$110&lt;&gt;"acoes")))*INDEX(Inputs!$K$5:$AJ$110,0,MATCH(F$2,Inputs!$K$4:$AJ$4,0)))+SUMPRODUCT((Inputs!$E$5:$E$110=$B18)*Inputs!$F$5:$F$110*(((Inputs!$G$5:$G$110="moeda")+(Inputs!$G$5:$G$110="acoes"))*Inputs!$B$1+((Inputs!$G$5:$G$110&lt;&gt;"moeda")*(Inputs!$G$5:$G$110&lt;&gt;"acoes")))*INDEX(Inputs!$K$5:$AJ$110,0,MATCH(F$2,Inputs!$K$4:$AJ$4,0)))))</f>
        <v>0</v>
      </c>
      <c r="G18" s="6">
        <f>IF(ISNA(MATCH(G$2,Inputs!$K$4:$AJ$4,0)),NA(),IF(SUMPRODUCT((Inputs!$A$5:$A$110=$B18)*ISNUMBER(INDEX(Inputs!$K$5:$AJ$110,0,MATCH(G$2,Inputs!$K$4:$AJ$4,0))))+SUMPRODUCT((Inputs!$C$5:$C$110=$B18)*ISNUMBER(INDEX(Inputs!$K$5:$AJ$110,0,MATCH(G$2,Inputs!$K$4:$AJ$4,0))))+SUMPRODUCT((Inputs!$E$5:$E$110=$B18)*ISNUMBER(INDEX(Inputs!$K$5:$AJ$110,0,MATCH(G$2,Inputs!$K$4:$AJ$4,0))))=0,NA(),SUMPRODUCT((Inputs!$A$5:$A$110=$B18)*Inputs!$B$5:$B$110*(((Inputs!$G$5:$G$110="moeda")+(Inputs!$G$5:$G$110="acoes"))*Inputs!$B$1+((Inputs!$G$5:$G$110&lt;&gt;"moeda")*(Inputs!$G$5:$G$110&lt;&gt;"acoes")))*INDEX(Inputs!$K$5:$AJ$110,0,MATCH(G$2,Inputs!$K$4:$AJ$4,0)))+SUMPRODUCT((Inputs!$C$5:$C$110=$B18)*Inputs!$D$5:$D$110*(((Inputs!$G$5:$G$110="moeda")+(Inputs!$G$5:$G$110="acoes"))*Inputs!$B$1+((Inputs!$G$5:$G$110&lt;&gt;"moeda")*(Inputs!$G$5:$G$110&lt;&gt;"acoes")))*INDEX(Inputs!$K$5:$AJ$110,0,MATCH(G$2,Inputs!$K$4:$AJ$4,0)))+SUMPRODUCT((Inputs!$E$5:$E$110=$B18)*Inputs!$F$5:$F$110*(((Inputs!$G$5:$G$110="moeda")+(Inputs!$G$5:$G$110="acoes"))*Inputs!$B$1+((Inputs!$G$5:$G$110&lt;&gt;"moeda")*(Inputs!$G$5:$G$110&lt;&gt;"acoes")))*INDEX(Inputs!$K$5:$AJ$110,0,MATCH(G$2,Inputs!$K$4:$AJ$4,0)))))</f>
        <v>0</v>
      </c>
      <c r="H18" s="3">
        <f>G18</f>
        <v>0</v>
      </c>
      <c r="I18" s="6">
        <f>IF(ISNA(MATCH(I$2,Inputs!$K$4:$AJ$4,0)),NA(),IF(SUMPRODUCT((Inputs!$A$5:$A$110=$B18)*ISNUMBER(INDEX(Inputs!$K$5:$AJ$110,0,MATCH(I$2,Inputs!$K$4:$AJ$4,0))))+SUMPRODUCT((Inputs!$C$5:$C$110=$B18)*ISNUMBER(INDEX(Inputs!$K$5:$AJ$110,0,MATCH(I$2,Inputs!$K$4:$AJ$4,0))))+SUMPRODUCT((Inputs!$E$5:$E$110=$B18)*ISNUMBER(INDEX(Inputs!$K$5:$AJ$110,0,MATCH(I$2,Inputs!$K$4:$AJ$4,0))))=0,NA(),SUMPRODUCT((Inputs!$A$5:$A$110=$B18)*Inputs!$B$5:$B$110*(((Inputs!$G$5:$G$110="moeda")+(Inputs!$G$5:$G$110="acoes"))*Inputs!$B$1+((Inputs!$G$5:$G$110&lt;&gt;"moeda")*(Inputs!$G$5:$G$110&lt;&gt;"acoes")))*INDEX(Inputs!$K$5:$AJ$110,0,MATCH(I$2,Inputs!$K$4:$AJ$4,0)))+SUMPRODUCT((Inputs!$C$5:$C$110=$B18)*Inputs!$D$5:$D$110*(((Inputs!$G$5:$G$110="moeda")+(Inputs!$G$5:$G$110="acoes"))*Inputs!$B$1+((Inputs!$G$5:$G$110&lt;&gt;"moeda")*(Inputs!$G$5:$G$110&lt;&gt;"acoes")))*INDEX(Inputs!$K$5:$AJ$110,0,MATCH(I$2,Inputs!$K$4:$AJ$4,0)))+SUMPRODUCT((Inputs!$E$5:$E$110=$B18)*Inputs!$F$5:$F$110*(((Inputs!$G$5:$G$110="moeda")+(Inputs!$G$5:$G$110="acoes"))*Inputs!$B$1+((Inputs!$G$5:$G$110&lt;&gt;"moeda")*(Inputs!$G$5:$G$110&lt;&gt;"acoes")))*INDEX(Inputs!$K$5:$AJ$110,0,MATCH(I$2,Inputs!$K$4:$AJ$4,0)))))</f>
        <v>0</v>
      </c>
      <c r="J18" s="6">
        <f>IF(ISNA(MATCH(J$2,Inputs!$K$4:$AJ$4,0)),NA(),IF(SUMPRODUCT((Inputs!$A$5:$A$110=$B18)*ISNUMBER(INDEX(Inputs!$K$5:$AJ$110,0,MATCH(J$2,Inputs!$K$4:$AJ$4,0))))+SUMPRODUCT((Inputs!$C$5:$C$110=$B18)*ISNUMBER(INDEX(Inputs!$K$5:$AJ$110,0,MATCH(J$2,Inputs!$K$4:$AJ$4,0))))+SUMPRODUCT((Inputs!$E$5:$E$110=$B18)*ISNUMBER(INDEX(Inputs!$K$5:$AJ$110,0,MATCH(J$2,Inputs!$K$4:$AJ$4,0))))=0,NA(),SUMPRODUCT((Inputs!$A$5:$A$110=$B18)*Inputs!$B$5:$B$110*(((Inputs!$G$5:$G$110="moeda")+(Inputs!$G$5:$G$110="acoes"))*Inputs!$B$1+((Inputs!$G$5:$G$110&lt;&gt;"moeda")*(Inputs!$G$5:$G$110&lt;&gt;"acoes")))*INDEX(Inputs!$K$5:$AJ$110,0,MATCH(J$2,Inputs!$K$4:$AJ$4,0)))+SUMPRODUCT((Inputs!$C$5:$C$110=$B18)*Inputs!$D$5:$D$110*(((Inputs!$G$5:$G$110="moeda")+(Inputs!$G$5:$G$110="acoes"))*Inputs!$B$1+((Inputs!$G$5:$G$110&lt;&gt;"moeda")*(Inputs!$G$5:$G$110&lt;&gt;"acoes")))*INDEX(Inputs!$K$5:$AJ$110,0,MATCH(J$2,Inputs!$K$4:$AJ$4,0)))+SUMPRODUCT((Inputs!$E$5:$E$110=$B18)*Inputs!$F$5:$F$110*(((Inputs!$G$5:$G$110="moeda")+(Inputs!$G$5:$G$110="acoes"))*Inputs!$B$1+((Inputs!$G$5:$G$110&lt;&gt;"moeda")*(Inputs!$G$5:$G$110&lt;&gt;"acoes")))*INDEX(Inputs!$K$5:$AJ$110,0,MATCH(J$2,Inputs!$K$4:$AJ$4,0)))))</f>
        <v>0</v>
      </c>
      <c r="K18" s="6">
        <f>IF(ISNA(MATCH(K$2,Inputs!$K$4:$AJ$4,0)),NA(),IF(SUMPRODUCT((Inputs!$A$5:$A$110=$B18)*ISNUMBER(INDEX(Inputs!$K$5:$AJ$110,0,MATCH(K$2,Inputs!$K$4:$AJ$4,0))))+SUMPRODUCT((Inputs!$C$5:$C$110=$B18)*ISNUMBER(INDEX(Inputs!$K$5:$AJ$110,0,MATCH(K$2,Inputs!$K$4:$AJ$4,0))))+SUMPRODUCT((Inputs!$E$5:$E$110=$B18)*ISNUMBER(INDEX(Inputs!$K$5:$AJ$110,0,MATCH(K$2,Inputs!$K$4:$AJ$4,0))))=0,NA(),SUMPRODUCT((Inputs!$A$5:$A$110=$B18)*Inputs!$B$5:$B$110*(((Inputs!$G$5:$G$110="moeda")+(Inputs!$G$5:$G$110="acoes"))*Inputs!$B$1+((Inputs!$G$5:$G$110&lt;&gt;"moeda")*(Inputs!$G$5:$G$110&lt;&gt;"acoes")))*INDEX(Inputs!$K$5:$AJ$110,0,MATCH(K$2,Inputs!$K$4:$AJ$4,0)))+SUMPRODUCT((Inputs!$C$5:$C$110=$B18)*Inputs!$D$5:$D$110*(((Inputs!$G$5:$G$110="moeda")+(Inputs!$G$5:$G$110="acoes"))*Inputs!$B$1+((Inputs!$G$5:$G$110&lt;&gt;"moeda")*(Inputs!$G$5:$G$110&lt;&gt;"acoes")))*INDEX(Inputs!$K$5:$AJ$110,0,MATCH(K$2,Inputs!$K$4:$AJ$4,0)))+SUMPRODUCT((Inputs!$E$5:$E$110=$B18)*Inputs!$F$5:$F$110*(((Inputs!$G$5:$G$110="moeda")+(Inputs!$G$5:$G$110="acoes"))*Inputs!$B$1+((Inputs!$G$5:$G$110&lt;&gt;"moeda")*(Inputs!$G$5:$G$110&lt;&gt;"acoes")))*INDEX(Inputs!$K$5:$AJ$110,0,MATCH(K$2,Inputs!$K$4:$AJ$4,0)))))</f>
        <v>0</v>
      </c>
      <c r="L18" s="6">
        <f>IF(ISNA(MATCH(L$2,Inputs!$K$4:$AJ$4,0)),NA(),IF(SUMPRODUCT((Inputs!$A$5:$A$110=$B18)*ISNUMBER(INDEX(Inputs!$K$5:$AJ$110,0,MATCH(L$2,Inputs!$K$4:$AJ$4,0))))+SUMPRODUCT((Inputs!$C$5:$C$110=$B18)*ISNUMBER(INDEX(Inputs!$K$5:$AJ$110,0,MATCH(L$2,Inputs!$K$4:$AJ$4,0))))+SUMPRODUCT((Inputs!$E$5:$E$110=$B18)*ISNUMBER(INDEX(Inputs!$K$5:$AJ$110,0,MATCH(L$2,Inputs!$K$4:$AJ$4,0))))=0,NA(),SUMPRODUCT((Inputs!$A$5:$A$110=$B18)*Inputs!$B$5:$B$110*(((Inputs!$G$5:$G$110="moeda")+(Inputs!$G$5:$G$110="acoes"))*Inputs!$B$1+((Inputs!$G$5:$G$110&lt;&gt;"moeda")*(Inputs!$G$5:$G$110&lt;&gt;"acoes")))*INDEX(Inputs!$K$5:$AJ$110,0,MATCH(L$2,Inputs!$K$4:$AJ$4,0)))+SUMPRODUCT((Inputs!$C$5:$C$110=$B18)*Inputs!$D$5:$D$110*(((Inputs!$G$5:$G$110="moeda")+(Inputs!$G$5:$G$110="acoes"))*Inputs!$B$1+((Inputs!$G$5:$G$110&lt;&gt;"moeda")*(Inputs!$G$5:$G$110&lt;&gt;"acoes")))*INDEX(Inputs!$K$5:$AJ$110,0,MATCH(L$2,Inputs!$K$4:$AJ$4,0)))+SUMPRODUCT((Inputs!$E$5:$E$110=$B18)*Inputs!$F$5:$F$110*(((Inputs!$G$5:$G$110="moeda")+(Inputs!$G$5:$G$110="acoes"))*Inputs!$B$1+((Inputs!$G$5:$G$110&lt;&gt;"moeda")*(Inputs!$G$5:$G$110&lt;&gt;"acoes")))*INDEX(Inputs!$K$5:$AJ$110,0,MATCH(L$2,Inputs!$K$4:$AJ$4,0)))))</f>
        <v>0</v>
      </c>
      <c r="M18" s="3">
        <f>L18</f>
        <v>0</v>
      </c>
      <c r="N18" s="6">
        <f>IF(ISNA(MATCH(N$2,Inputs!$K$4:$AJ$4,0)),NA(),IF(SUMPRODUCT((Inputs!$A$5:$A$110=$B18)*ISNUMBER(INDEX(Inputs!$K$5:$AJ$110,0,MATCH(N$2,Inputs!$K$4:$AJ$4,0))))+SUMPRODUCT((Inputs!$C$5:$C$110=$B18)*ISNUMBER(INDEX(Inputs!$K$5:$AJ$110,0,MATCH(N$2,Inputs!$K$4:$AJ$4,0))))+SUMPRODUCT((Inputs!$E$5:$E$110=$B18)*ISNUMBER(INDEX(Inputs!$K$5:$AJ$110,0,MATCH(N$2,Inputs!$K$4:$AJ$4,0))))=0,NA(),SUMPRODUCT((Inputs!$A$5:$A$110=$B18)*Inputs!$B$5:$B$110*(((Inputs!$G$5:$G$110="moeda")+(Inputs!$G$5:$G$110="acoes"))*Inputs!$B$1+((Inputs!$G$5:$G$110&lt;&gt;"moeda")*(Inputs!$G$5:$G$110&lt;&gt;"acoes")))*INDEX(Inputs!$K$5:$AJ$110,0,MATCH(N$2,Inputs!$K$4:$AJ$4,0)))+SUMPRODUCT((Inputs!$C$5:$C$110=$B18)*Inputs!$D$5:$D$110*(((Inputs!$G$5:$G$110="moeda")+(Inputs!$G$5:$G$110="acoes"))*Inputs!$B$1+((Inputs!$G$5:$G$110&lt;&gt;"moeda")*(Inputs!$G$5:$G$110&lt;&gt;"acoes")))*INDEX(Inputs!$K$5:$AJ$110,0,MATCH(N$2,Inputs!$K$4:$AJ$4,0)))+SUMPRODUCT((Inputs!$E$5:$E$110=$B18)*Inputs!$F$5:$F$110*(((Inputs!$G$5:$G$110="moeda")+(Inputs!$G$5:$G$110="acoes"))*Inputs!$B$1+((Inputs!$G$5:$G$110&lt;&gt;"moeda")*(Inputs!$G$5:$G$110&lt;&gt;"acoes")))*INDEX(Inputs!$K$5:$AJ$110,0,MATCH(N$2,Inputs!$K$4:$AJ$4,0)))))</f>
        <v>0</v>
      </c>
      <c r="O18" s="6">
        <f>IF(ISNA(MATCH(O$2,Inputs!$K$4:$AJ$4,0)),NA(),IF(SUMPRODUCT((Inputs!$A$5:$A$110=$B18)*ISNUMBER(INDEX(Inputs!$K$5:$AJ$110,0,MATCH(O$2,Inputs!$K$4:$AJ$4,0))))+SUMPRODUCT((Inputs!$C$5:$C$110=$B18)*ISNUMBER(INDEX(Inputs!$K$5:$AJ$110,0,MATCH(O$2,Inputs!$K$4:$AJ$4,0))))+SUMPRODUCT((Inputs!$E$5:$E$110=$B18)*ISNUMBER(INDEX(Inputs!$K$5:$AJ$110,0,MATCH(O$2,Inputs!$K$4:$AJ$4,0))))=0,NA(),SUMPRODUCT((Inputs!$A$5:$A$110=$B18)*Inputs!$B$5:$B$110*(((Inputs!$G$5:$G$110="moeda")+(Inputs!$G$5:$G$110="acoes"))*Inputs!$B$1+((Inputs!$G$5:$G$110&lt;&gt;"moeda")*(Inputs!$G$5:$G$110&lt;&gt;"acoes")))*INDEX(Inputs!$K$5:$AJ$110,0,MATCH(O$2,Inputs!$K$4:$AJ$4,0)))+SUMPRODUCT((Inputs!$C$5:$C$110=$B18)*Inputs!$D$5:$D$110*(((Inputs!$G$5:$G$110="moeda")+(Inputs!$G$5:$G$110="acoes"))*Inputs!$B$1+((Inputs!$G$5:$G$110&lt;&gt;"moeda")*(Inputs!$G$5:$G$110&lt;&gt;"acoes")))*INDEX(Inputs!$K$5:$AJ$110,0,MATCH(O$2,Inputs!$K$4:$AJ$4,0)))+SUMPRODUCT((Inputs!$E$5:$E$110=$B18)*Inputs!$F$5:$F$110*(((Inputs!$G$5:$G$110="moeda")+(Inputs!$G$5:$G$110="acoes"))*Inputs!$B$1+((Inputs!$G$5:$G$110&lt;&gt;"moeda")*(Inputs!$G$5:$G$110&lt;&gt;"acoes")))*INDEX(Inputs!$K$5:$AJ$110,0,MATCH(O$2,Inputs!$K$4:$AJ$4,0)))))</f>
        <v>0</v>
      </c>
      <c r="P18" s="6">
        <f>IF(ISNA(MATCH(P$2,Inputs!$K$4:$AJ$4,0)),NA(),IF(SUMPRODUCT((Inputs!$A$5:$A$110=$B18)*ISNUMBER(INDEX(Inputs!$K$5:$AJ$110,0,MATCH(P$2,Inputs!$K$4:$AJ$4,0))))+SUMPRODUCT((Inputs!$C$5:$C$110=$B18)*ISNUMBER(INDEX(Inputs!$K$5:$AJ$110,0,MATCH(P$2,Inputs!$K$4:$AJ$4,0))))+SUMPRODUCT((Inputs!$E$5:$E$110=$B18)*ISNUMBER(INDEX(Inputs!$K$5:$AJ$110,0,MATCH(P$2,Inputs!$K$4:$AJ$4,0))))=0,NA(),SUMPRODUCT((Inputs!$A$5:$A$110=$B18)*Inputs!$B$5:$B$110*(((Inputs!$G$5:$G$110="moeda")+(Inputs!$G$5:$G$110="acoes"))*Inputs!$B$1+((Inputs!$G$5:$G$110&lt;&gt;"moeda")*(Inputs!$G$5:$G$110&lt;&gt;"acoes")))*INDEX(Inputs!$K$5:$AJ$110,0,MATCH(P$2,Inputs!$K$4:$AJ$4,0)))+SUMPRODUCT((Inputs!$C$5:$C$110=$B18)*Inputs!$D$5:$D$110*(((Inputs!$G$5:$G$110="moeda")+(Inputs!$G$5:$G$110="acoes"))*Inputs!$B$1+((Inputs!$G$5:$G$110&lt;&gt;"moeda")*(Inputs!$G$5:$G$110&lt;&gt;"acoes")))*INDEX(Inputs!$K$5:$AJ$110,0,MATCH(P$2,Inputs!$K$4:$AJ$4,0)))+SUMPRODUCT((Inputs!$E$5:$E$110=$B18)*Inputs!$F$5:$F$110*(((Inputs!$G$5:$G$110="moeda")+(Inputs!$G$5:$G$110="acoes"))*Inputs!$B$1+((Inputs!$G$5:$G$110&lt;&gt;"moeda")*(Inputs!$G$5:$G$110&lt;&gt;"acoes")))*INDEX(Inputs!$K$5:$AJ$110,0,MATCH(P$2,Inputs!$K$4:$AJ$4,0)))))</f>
        <v>0</v>
      </c>
      <c r="Q18" s="6">
        <f>IF(ISNA(MATCH(Q$2,Inputs!$K$4:$AJ$4,0)),NA(),IF(SUMPRODUCT((Inputs!$A$5:$A$110=$B18)*ISNUMBER(INDEX(Inputs!$K$5:$AJ$110,0,MATCH(Q$2,Inputs!$K$4:$AJ$4,0))))+SUMPRODUCT((Inputs!$C$5:$C$110=$B18)*ISNUMBER(INDEX(Inputs!$K$5:$AJ$110,0,MATCH(Q$2,Inputs!$K$4:$AJ$4,0))))+SUMPRODUCT((Inputs!$E$5:$E$110=$B18)*ISNUMBER(INDEX(Inputs!$K$5:$AJ$110,0,MATCH(Q$2,Inputs!$K$4:$AJ$4,0))))=0,NA(),SUMPRODUCT((Inputs!$A$5:$A$110=$B18)*Inputs!$B$5:$B$110*(((Inputs!$G$5:$G$110="moeda")+(Inputs!$G$5:$G$110="acoes"))*Inputs!$B$1+((Inputs!$G$5:$G$110&lt;&gt;"moeda")*(Inputs!$G$5:$G$110&lt;&gt;"acoes")))*INDEX(Inputs!$K$5:$AJ$110,0,MATCH(Q$2,Inputs!$K$4:$AJ$4,0)))+SUMPRODUCT((Inputs!$C$5:$C$110=$B18)*Inputs!$D$5:$D$110*(((Inputs!$G$5:$G$110="moeda")+(Inputs!$G$5:$G$110="acoes"))*Inputs!$B$1+((Inputs!$G$5:$G$110&lt;&gt;"moeda")*(Inputs!$G$5:$G$110&lt;&gt;"acoes")))*INDEX(Inputs!$K$5:$AJ$110,0,MATCH(Q$2,Inputs!$K$4:$AJ$4,0)))+SUMPRODUCT((Inputs!$E$5:$E$110=$B18)*Inputs!$F$5:$F$110*(((Inputs!$G$5:$G$110="moeda")+(Inputs!$G$5:$G$110="acoes"))*Inputs!$B$1+((Inputs!$G$5:$G$110&lt;&gt;"moeda")*(Inputs!$G$5:$G$110&lt;&gt;"acoes")))*INDEX(Inputs!$K$5:$AJ$110,0,MATCH(Q$2,Inputs!$K$4:$AJ$4,0)))))</f>
        <v>0</v>
      </c>
      <c r="R18" s="3">
        <f>Q18</f>
        <v>0</v>
      </c>
      <c r="S18" s="6">
        <f>IF(ISNA(MATCH(S$2,Inputs!$K$4:$AJ$4,0)),NA(),IF(SUMPRODUCT((Inputs!$A$5:$A$110=$B18)*ISNUMBER(INDEX(Inputs!$K$5:$AJ$110,0,MATCH(S$2,Inputs!$K$4:$AJ$4,0))))+SUMPRODUCT((Inputs!$C$5:$C$110=$B18)*ISNUMBER(INDEX(Inputs!$K$5:$AJ$110,0,MATCH(S$2,Inputs!$K$4:$AJ$4,0))))+SUMPRODUCT((Inputs!$E$5:$E$110=$B18)*ISNUMBER(INDEX(Inputs!$K$5:$AJ$110,0,MATCH(S$2,Inputs!$K$4:$AJ$4,0))))=0,NA(),SUMPRODUCT((Inputs!$A$5:$A$110=$B18)*Inputs!$B$5:$B$110*(((Inputs!$G$5:$G$110="moeda")+(Inputs!$G$5:$G$110="acoes"))*Inputs!$B$1+((Inputs!$G$5:$G$110&lt;&gt;"moeda")*(Inputs!$G$5:$G$110&lt;&gt;"acoes")))*INDEX(Inputs!$K$5:$AJ$110,0,MATCH(S$2,Inputs!$K$4:$AJ$4,0)))+SUMPRODUCT((Inputs!$C$5:$C$110=$B18)*Inputs!$D$5:$D$110*(((Inputs!$G$5:$G$110="moeda")+(Inputs!$G$5:$G$110="acoes"))*Inputs!$B$1+((Inputs!$G$5:$G$110&lt;&gt;"moeda")*(Inputs!$G$5:$G$110&lt;&gt;"acoes")))*INDEX(Inputs!$K$5:$AJ$110,0,MATCH(S$2,Inputs!$K$4:$AJ$4,0)))+SUMPRODUCT((Inputs!$E$5:$E$110=$B18)*Inputs!$F$5:$F$110*(((Inputs!$G$5:$G$110="moeda")+(Inputs!$G$5:$G$110="acoes"))*Inputs!$B$1+((Inputs!$G$5:$G$110&lt;&gt;"moeda")*(Inputs!$G$5:$G$110&lt;&gt;"acoes")))*INDEX(Inputs!$K$5:$AJ$110,0,MATCH(S$2,Inputs!$K$4:$AJ$4,0)))))</f>
        <v>0</v>
      </c>
      <c r="T18" s="6">
        <f>IF(ISNA(MATCH(T$2,Inputs!$K$4:$AJ$4,0)),NA(),IF(SUMPRODUCT((Inputs!$A$5:$A$110=$B18)*ISNUMBER(INDEX(Inputs!$K$5:$AJ$110,0,MATCH(T$2,Inputs!$K$4:$AJ$4,0))))+SUMPRODUCT((Inputs!$C$5:$C$110=$B18)*ISNUMBER(INDEX(Inputs!$K$5:$AJ$110,0,MATCH(T$2,Inputs!$K$4:$AJ$4,0))))+SUMPRODUCT((Inputs!$E$5:$E$110=$B18)*ISNUMBER(INDEX(Inputs!$K$5:$AJ$110,0,MATCH(T$2,Inputs!$K$4:$AJ$4,0))))=0,NA(),SUMPRODUCT((Inputs!$A$5:$A$110=$B18)*Inputs!$B$5:$B$110*(((Inputs!$G$5:$G$110="moeda")+(Inputs!$G$5:$G$110="acoes"))*Inputs!$B$1+((Inputs!$G$5:$G$110&lt;&gt;"moeda")*(Inputs!$G$5:$G$110&lt;&gt;"acoes")))*INDEX(Inputs!$K$5:$AJ$110,0,MATCH(T$2,Inputs!$K$4:$AJ$4,0)))+SUMPRODUCT((Inputs!$C$5:$C$110=$B18)*Inputs!$D$5:$D$110*(((Inputs!$G$5:$G$110="moeda")+(Inputs!$G$5:$G$110="acoes"))*Inputs!$B$1+((Inputs!$G$5:$G$110&lt;&gt;"moeda")*(Inputs!$G$5:$G$110&lt;&gt;"acoes")))*INDEX(Inputs!$K$5:$AJ$110,0,MATCH(T$2,Inputs!$K$4:$AJ$4,0)))+SUMPRODUCT((Inputs!$E$5:$E$110=$B18)*Inputs!$F$5:$F$110*(((Inputs!$G$5:$G$110="moeda")+(Inputs!$G$5:$G$110="acoes"))*Inputs!$B$1+((Inputs!$G$5:$G$110&lt;&gt;"moeda")*(Inputs!$G$5:$G$110&lt;&gt;"acoes")))*INDEX(Inputs!$K$5:$AJ$110,0,MATCH(T$2,Inputs!$K$4:$AJ$4,0)))))</f>
        <v>0</v>
      </c>
      <c r="U18" s="6">
        <f>IF(ISNA(MATCH(U$2,Inputs!$K$4:$AJ$4,0)),NA(),IF(SUMPRODUCT((Inputs!$A$5:$A$110=$B18)*ISNUMBER(INDEX(Inputs!$K$5:$AJ$110,0,MATCH(U$2,Inputs!$K$4:$AJ$4,0))))+SUMPRODUCT((Inputs!$C$5:$C$110=$B18)*ISNUMBER(INDEX(Inputs!$K$5:$AJ$110,0,MATCH(U$2,Inputs!$K$4:$AJ$4,0))))+SUMPRODUCT((Inputs!$E$5:$E$110=$B18)*ISNUMBER(INDEX(Inputs!$K$5:$AJ$110,0,MATCH(U$2,Inputs!$K$4:$AJ$4,0))))=0,NA(),SUMPRODUCT((Inputs!$A$5:$A$110=$B18)*Inputs!$B$5:$B$110*(((Inputs!$G$5:$G$110="moeda")+(Inputs!$G$5:$G$110="acoes"))*Inputs!$B$1+((Inputs!$G$5:$G$110&lt;&gt;"moeda")*(Inputs!$G$5:$G$110&lt;&gt;"acoes")))*INDEX(Inputs!$K$5:$AJ$110,0,MATCH(U$2,Inputs!$K$4:$AJ$4,0)))+SUMPRODUCT((Inputs!$C$5:$C$110=$B18)*Inputs!$D$5:$D$110*(((Inputs!$G$5:$G$110="moeda")+(Inputs!$G$5:$G$110="acoes"))*Inputs!$B$1+((Inputs!$G$5:$G$110&lt;&gt;"moeda")*(Inputs!$G$5:$G$110&lt;&gt;"acoes")))*INDEX(Inputs!$K$5:$AJ$110,0,MATCH(U$2,Inputs!$K$4:$AJ$4,0)))+SUMPRODUCT((Inputs!$E$5:$E$110=$B18)*Inputs!$F$5:$F$110*(((Inputs!$G$5:$G$110="moeda")+(Inputs!$G$5:$G$110="acoes"))*Inputs!$B$1+((Inputs!$G$5:$G$110&lt;&gt;"moeda")*(Inputs!$G$5:$G$110&lt;&gt;"acoes")))*INDEX(Inputs!$K$5:$AJ$110,0,MATCH(U$2,Inputs!$K$4:$AJ$4,0)))))</f>
        <v>0</v>
      </c>
      <c r="V18" s="6">
        <f>IF(ISNA(MATCH(V$2,Inputs!$K$4:$AJ$4,0)),NA(),IF(SUMPRODUCT((Inputs!$A$5:$A$110=$B18)*ISNUMBER(INDEX(Inputs!$K$5:$AJ$110,0,MATCH(V$2,Inputs!$K$4:$AJ$4,0))))+SUMPRODUCT((Inputs!$C$5:$C$110=$B18)*ISNUMBER(INDEX(Inputs!$K$5:$AJ$110,0,MATCH(V$2,Inputs!$K$4:$AJ$4,0))))+SUMPRODUCT((Inputs!$E$5:$E$110=$B18)*ISNUMBER(INDEX(Inputs!$K$5:$AJ$110,0,MATCH(V$2,Inputs!$K$4:$AJ$4,0))))=0,NA(),SUMPRODUCT((Inputs!$A$5:$A$110=$B18)*Inputs!$B$5:$B$110*(((Inputs!$G$5:$G$110="moeda")+(Inputs!$G$5:$G$110="acoes"))*Inputs!$B$1+((Inputs!$G$5:$G$110&lt;&gt;"moeda")*(Inputs!$G$5:$G$110&lt;&gt;"acoes")))*INDEX(Inputs!$K$5:$AJ$110,0,MATCH(V$2,Inputs!$K$4:$AJ$4,0)))+SUMPRODUCT((Inputs!$C$5:$C$110=$B18)*Inputs!$D$5:$D$110*(((Inputs!$G$5:$G$110="moeda")+(Inputs!$G$5:$G$110="acoes"))*Inputs!$B$1+((Inputs!$G$5:$G$110&lt;&gt;"moeda")*(Inputs!$G$5:$G$110&lt;&gt;"acoes")))*INDEX(Inputs!$K$5:$AJ$110,0,MATCH(V$2,Inputs!$K$4:$AJ$4,0)))+SUMPRODUCT((Inputs!$E$5:$E$110=$B18)*Inputs!$F$5:$F$110*(((Inputs!$G$5:$G$110="moeda")+(Inputs!$G$5:$G$110="acoes"))*Inputs!$B$1+((Inputs!$G$5:$G$110&lt;&gt;"moeda")*(Inputs!$G$5:$G$110&lt;&gt;"acoes")))*INDEX(Inputs!$K$5:$AJ$110,0,MATCH(V$2,Inputs!$K$4:$AJ$4,0)))))</f>
        <v>0</v>
      </c>
      <c r="W18" s="3">
        <f>V18</f>
        <v>0</v>
      </c>
      <c r="X18" s="6">
        <f>IF(ISNA(MATCH(X$2,Inputs!$K$4:$AJ$4,0)),NA(),IF(SUMPRODUCT((Inputs!$A$5:$A$110=$B18)*ISNUMBER(INDEX(Inputs!$K$5:$AJ$110,0,MATCH(X$2,Inputs!$K$4:$AJ$4,0))))+SUMPRODUCT((Inputs!$C$5:$C$110=$B18)*ISNUMBER(INDEX(Inputs!$K$5:$AJ$110,0,MATCH(X$2,Inputs!$K$4:$AJ$4,0))))+SUMPRODUCT((Inputs!$E$5:$E$110=$B18)*ISNUMBER(INDEX(Inputs!$K$5:$AJ$110,0,MATCH(X$2,Inputs!$K$4:$AJ$4,0))))=0,NA(),SUMPRODUCT((Inputs!$A$5:$A$110=$B18)*Inputs!$B$5:$B$110*(((Inputs!$G$5:$G$110="moeda")+(Inputs!$G$5:$G$110="acoes"))*Inputs!$B$1+((Inputs!$G$5:$G$110&lt;&gt;"moeda")*(Inputs!$G$5:$G$110&lt;&gt;"acoes")))*INDEX(Inputs!$K$5:$AJ$110,0,MATCH(X$2,Inputs!$K$4:$AJ$4,0)))+SUMPRODUCT((Inputs!$C$5:$C$110=$B18)*Inputs!$D$5:$D$110*(((Inputs!$G$5:$G$110="moeda")+(Inputs!$G$5:$G$110="acoes"))*Inputs!$B$1+((Inputs!$G$5:$G$110&lt;&gt;"moeda")*(Inputs!$G$5:$G$110&lt;&gt;"acoes")))*INDEX(Inputs!$K$5:$AJ$110,0,MATCH(X$2,Inputs!$K$4:$AJ$4,0)))+SUMPRODUCT((Inputs!$E$5:$E$110=$B18)*Inputs!$F$5:$F$110*(((Inputs!$G$5:$G$110="moeda")+(Inputs!$G$5:$G$110="acoes"))*Inputs!$B$1+((Inputs!$G$5:$G$110&lt;&gt;"moeda")*(Inputs!$G$5:$G$110&lt;&gt;"acoes")))*INDEX(Inputs!$K$5:$AJ$110,0,MATCH(X$2,Inputs!$K$4:$AJ$4,0)))))</f>
        <v>0</v>
      </c>
      <c r="Y18" s="6">
        <f>IF(ISNA(MATCH(Y$2,Inputs!$K$4:$AJ$4,0)),NA(),IF(SUMPRODUCT((Inputs!$A$5:$A$110=$B18)*ISNUMBER(INDEX(Inputs!$K$5:$AJ$110,0,MATCH(Y$2,Inputs!$K$4:$AJ$4,0))))+SUMPRODUCT((Inputs!$C$5:$C$110=$B18)*ISNUMBER(INDEX(Inputs!$K$5:$AJ$110,0,MATCH(Y$2,Inputs!$K$4:$AJ$4,0))))+SUMPRODUCT((Inputs!$E$5:$E$110=$B18)*ISNUMBER(INDEX(Inputs!$K$5:$AJ$110,0,MATCH(Y$2,Inputs!$K$4:$AJ$4,0))))=0,NA(),SUMPRODUCT((Inputs!$A$5:$A$110=$B18)*Inputs!$B$5:$B$110*(((Inputs!$G$5:$G$110="moeda")+(Inputs!$G$5:$G$110="acoes"))*Inputs!$B$1+((Inputs!$G$5:$G$110&lt;&gt;"moeda")*(Inputs!$G$5:$G$110&lt;&gt;"acoes")))*INDEX(Inputs!$K$5:$AJ$110,0,MATCH(Y$2,Inputs!$K$4:$AJ$4,0)))+SUMPRODUCT((Inputs!$C$5:$C$110=$B18)*Inputs!$D$5:$D$110*(((Inputs!$G$5:$G$110="moeda")+(Inputs!$G$5:$G$110="acoes"))*Inputs!$B$1+((Inputs!$G$5:$G$110&lt;&gt;"moeda")*(Inputs!$G$5:$G$110&lt;&gt;"acoes")))*INDEX(Inputs!$K$5:$AJ$110,0,MATCH(Y$2,Inputs!$K$4:$AJ$4,0)))+SUMPRODUCT((Inputs!$E$5:$E$110=$B18)*Inputs!$F$5:$F$110*(((Inputs!$G$5:$G$110="moeda")+(Inputs!$G$5:$G$110="acoes"))*Inputs!$B$1+((Inputs!$G$5:$G$110&lt;&gt;"moeda")*(Inputs!$G$5:$G$110&lt;&gt;"acoes")))*INDEX(Inputs!$K$5:$AJ$110,0,MATCH(Y$2,Inputs!$K$4:$AJ$4,0)))))</f>
        <v>0</v>
      </c>
      <c r="Z18" s="6">
        <f>IF(ISNA(MATCH(Z$2,Inputs!$K$4:$AJ$4,0)),NA(),IF(SUMPRODUCT((Inputs!$A$5:$A$110=$B18)*ISNUMBER(INDEX(Inputs!$K$5:$AJ$110,0,MATCH(Z$2,Inputs!$K$4:$AJ$4,0))))+SUMPRODUCT((Inputs!$C$5:$C$110=$B18)*ISNUMBER(INDEX(Inputs!$K$5:$AJ$110,0,MATCH(Z$2,Inputs!$K$4:$AJ$4,0))))+SUMPRODUCT((Inputs!$E$5:$E$110=$B18)*ISNUMBER(INDEX(Inputs!$K$5:$AJ$110,0,MATCH(Z$2,Inputs!$K$4:$AJ$4,0))))=0,NA(),SUMPRODUCT((Inputs!$A$5:$A$110=$B18)*Inputs!$B$5:$B$110*(((Inputs!$G$5:$G$110="moeda")+(Inputs!$G$5:$G$110="acoes"))*Inputs!$B$1+((Inputs!$G$5:$G$110&lt;&gt;"moeda")*(Inputs!$G$5:$G$110&lt;&gt;"acoes")))*INDEX(Inputs!$K$5:$AJ$110,0,MATCH(Z$2,Inputs!$K$4:$AJ$4,0)))+SUMPRODUCT((Inputs!$C$5:$C$110=$B18)*Inputs!$D$5:$D$110*(((Inputs!$G$5:$G$110="moeda")+(Inputs!$G$5:$G$110="acoes"))*Inputs!$B$1+((Inputs!$G$5:$G$110&lt;&gt;"moeda")*(Inputs!$G$5:$G$110&lt;&gt;"acoes")))*INDEX(Inputs!$K$5:$AJ$110,0,MATCH(Z$2,Inputs!$K$4:$AJ$4,0)))+SUMPRODUCT((Inputs!$E$5:$E$110=$B18)*Inputs!$F$5:$F$110*(((Inputs!$G$5:$G$110="moeda")+(Inputs!$G$5:$G$110="acoes"))*Inputs!$B$1+((Inputs!$G$5:$G$110&lt;&gt;"moeda")*(Inputs!$G$5:$G$110&lt;&gt;"acoes")))*INDEX(Inputs!$K$5:$AJ$110,0,MATCH(Z$2,Inputs!$K$4:$AJ$4,0)))))</f>
        <v>0</v>
      </c>
      <c r="AA18" s="6">
        <f>IF(ISNA(MATCH(AA$2,Inputs!$K$4:$AJ$4,0)),NA(),IF(SUMPRODUCT((Inputs!$A$5:$A$110=$B18)*ISNUMBER(INDEX(Inputs!$K$5:$AJ$110,0,MATCH(AA$2,Inputs!$K$4:$AJ$4,0))))+SUMPRODUCT((Inputs!$C$5:$C$110=$B18)*ISNUMBER(INDEX(Inputs!$K$5:$AJ$110,0,MATCH(AA$2,Inputs!$K$4:$AJ$4,0))))+SUMPRODUCT((Inputs!$E$5:$E$110=$B18)*ISNUMBER(INDEX(Inputs!$K$5:$AJ$110,0,MATCH(AA$2,Inputs!$K$4:$AJ$4,0))))=0,NA(),SUMPRODUCT((Inputs!$A$5:$A$110=$B18)*Inputs!$B$5:$B$110*(((Inputs!$G$5:$G$110="moeda")+(Inputs!$G$5:$G$110="acoes"))*Inputs!$B$1+((Inputs!$G$5:$G$110&lt;&gt;"moeda")*(Inputs!$G$5:$G$110&lt;&gt;"acoes")))*INDEX(Inputs!$K$5:$AJ$110,0,MATCH(AA$2,Inputs!$K$4:$AJ$4,0)))+SUMPRODUCT((Inputs!$C$5:$C$110=$B18)*Inputs!$D$5:$D$110*(((Inputs!$G$5:$G$110="moeda")+(Inputs!$G$5:$G$110="acoes"))*Inputs!$B$1+((Inputs!$G$5:$G$110&lt;&gt;"moeda")*(Inputs!$G$5:$G$110&lt;&gt;"acoes")))*INDEX(Inputs!$K$5:$AJ$110,0,MATCH(AA$2,Inputs!$K$4:$AJ$4,0)))+SUMPRODUCT((Inputs!$E$5:$E$110=$B18)*Inputs!$F$5:$F$110*(((Inputs!$G$5:$G$110="moeda")+(Inputs!$G$5:$G$110="acoes"))*Inputs!$B$1+((Inputs!$G$5:$G$110&lt;&gt;"moeda")*(Inputs!$G$5:$G$110&lt;&gt;"acoes")))*INDEX(Inputs!$K$5:$AJ$110,0,MATCH(AA$2,Inputs!$K$4:$AJ$4,0)))))</f>
        <v>0</v>
      </c>
      <c r="AB18" s="3">
        <f>AA18</f>
        <v>0</v>
      </c>
      <c r="AC18" s="6">
        <f>IF(ISNA(MATCH(AC$2,Inputs!$K$4:$AJ$4,0)),NA(),IF(SUMPRODUCT((Inputs!$A$5:$A$110=$B18)*ISNUMBER(INDEX(Inputs!$K$5:$AJ$110,0,MATCH(AC$2,Inputs!$K$4:$AJ$4,0))))+SUMPRODUCT((Inputs!$C$5:$C$110=$B18)*ISNUMBER(INDEX(Inputs!$K$5:$AJ$110,0,MATCH(AC$2,Inputs!$K$4:$AJ$4,0))))+SUMPRODUCT((Inputs!$E$5:$E$110=$B18)*ISNUMBER(INDEX(Inputs!$K$5:$AJ$110,0,MATCH(AC$2,Inputs!$K$4:$AJ$4,0))))=0,NA(),SUMPRODUCT((Inputs!$A$5:$A$110=$B18)*Inputs!$B$5:$B$110*(((Inputs!$G$5:$G$110="moeda")+(Inputs!$G$5:$G$110="acoes"))*Inputs!$B$1+((Inputs!$G$5:$G$110&lt;&gt;"moeda")*(Inputs!$G$5:$G$110&lt;&gt;"acoes")))*INDEX(Inputs!$K$5:$AJ$110,0,MATCH(AC$2,Inputs!$K$4:$AJ$4,0)))+SUMPRODUCT((Inputs!$C$5:$C$110=$B18)*Inputs!$D$5:$D$110*(((Inputs!$G$5:$G$110="moeda")+(Inputs!$G$5:$G$110="acoes"))*Inputs!$B$1+((Inputs!$G$5:$G$110&lt;&gt;"moeda")*(Inputs!$G$5:$G$110&lt;&gt;"acoes")))*INDEX(Inputs!$K$5:$AJ$110,0,MATCH(AC$2,Inputs!$K$4:$AJ$4,0)))+SUMPRODUCT((Inputs!$E$5:$E$110=$B18)*Inputs!$F$5:$F$110*(((Inputs!$G$5:$G$110="moeda")+(Inputs!$G$5:$G$110="acoes"))*Inputs!$B$1+((Inputs!$G$5:$G$110&lt;&gt;"moeda")*(Inputs!$G$5:$G$110&lt;&gt;"acoes")))*INDEX(Inputs!$K$5:$AJ$110,0,MATCH(AC$2,Inputs!$K$4:$AJ$4,0)))))</f>
        <v>0</v>
      </c>
      <c r="AD18" s="6">
        <f>IF(ISNA(MATCH(AD$2,Inputs!$K$4:$AJ$4,0)),NA(),IF(SUMPRODUCT((Inputs!$A$5:$A$110=$B18)*ISNUMBER(INDEX(Inputs!$K$5:$AJ$110,0,MATCH(AD$2,Inputs!$K$4:$AJ$4,0))))+SUMPRODUCT((Inputs!$C$5:$C$110=$B18)*ISNUMBER(INDEX(Inputs!$K$5:$AJ$110,0,MATCH(AD$2,Inputs!$K$4:$AJ$4,0))))+SUMPRODUCT((Inputs!$E$5:$E$110=$B18)*ISNUMBER(INDEX(Inputs!$K$5:$AJ$110,0,MATCH(AD$2,Inputs!$K$4:$AJ$4,0))))=0,NA(),SUMPRODUCT((Inputs!$A$5:$A$110=$B18)*Inputs!$B$5:$B$110*(((Inputs!$G$5:$G$110="moeda")+(Inputs!$G$5:$G$110="acoes"))*Inputs!$B$1+((Inputs!$G$5:$G$110&lt;&gt;"moeda")*(Inputs!$G$5:$G$110&lt;&gt;"acoes")))*INDEX(Inputs!$K$5:$AJ$110,0,MATCH(AD$2,Inputs!$K$4:$AJ$4,0)))+SUMPRODUCT((Inputs!$C$5:$C$110=$B18)*Inputs!$D$5:$D$110*(((Inputs!$G$5:$G$110="moeda")+(Inputs!$G$5:$G$110="acoes"))*Inputs!$B$1+((Inputs!$G$5:$G$110&lt;&gt;"moeda")*(Inputs!$G$5:$G$110&lt;&gt;"acoes")))*INDEX(Inputs!$K$5:$AJ$110,0,MATCH(AD$2,Inputs!$K$4:$AJ$4,0)))+SUMPRODUCT((Inputs!$E$5:$E$110=$B18)*Inputs!$F$5:$F$110*(((Inputs!$G$5:$G$110="moeda")+(Inputs!$G$5:$G$110="acoes"))*Inputs!$B$1+((Inputs!$G$5:$G$110&lt;&gt;"moeda")*(Inputs!$G$5:$G$110&lt;&gt;"acoes")))*INDEX(Inputs!$K$5:$AJ$110,0,MATCH(AD$2,Inputs!$K$4:$AJ$4,0)))))</f>
        <v>0</v>
      </c>
      <c r="AE18" s="6" t="e">
        <f>IF(ISNA(MATCH(AE$2,Inputs!$K$4:$AJ$4,0)),NA(),IF(SUMPRODUCT((Inputs!$A$5:$A$110=$B18)*ISNUMBER(INDEX(Inputs!$K$5:$AJ$110,0,MATCH(AE$2,Inputs!$K$4:$AJ$4,0))))+SUMPRODUCT((Inputs!$C$5:$C$110=$B18)*ISNUMBER(INDEX(Inputs!$K$5:$AJ$110,0,MATCH(AE$2,Inputs!$K$4:$AJ$4,0))))+SUMPRODUCT((Inputs!$E$5:$E$110=$B18)*ISNUMBER(INDEX(Inputs!$K$5:$AJ$110,0,MATCH(AE$2,Inputs!$K$4:$AJ$4,0))))=0,NA(),SUMPRODUCT((Inputs!$A$5:$A$110=$B18)*Inputs!$B$5:$B$110*(((Inputs!$G$5:$G$110="moeda")+(Inputs!$G$5:$G$110="acoes"))*Inputs!$B$1+((Inputs!$G$5:$G$110&lt;&gt;"moeda")*(Inputs!$G$5:$G$110&lt;&gt;"acoes")))*INDEX(Inputs!$K$5:$AJ$110,0,MATCH(AE$2,Inputs!$K$4:$AJ$4,0)))+SUMPRODUCT((Inputs!$C$5:$C$110=$B18)*Inputs!$D$5:$D$110*(((Inputs!$G$5:$G$110="moeda")+(Inputs!$G$5:$G$110="acoes"))*Inputs!$B$1+((Inputs!$G$5:$G$110&lt;&gt;"moeda")*(Inputs!$G$5:$G$110&lt;&gt;"acoes")))*INDEX(Inputs!$K$5:$AJ$110,0,MATCH(AE$2,Inputs!$K$4:$AJ$4,0)))+SUMPRODUCT((Inputs!$E$5:$E$110=$B18)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8" s="6" t="e">
        <f>IF(ISNA(MATCH(AF$2,Inputs!$K$4:$AJ$4,0)),NA(),IF(SUMPRODUCT((Inputs!$A$5:$A$110=$B18)*ISNUMBER(INDEX(Inputs!$K$5:$AJ$110,0,MATCH(AF$2,Inputs!$K$4:$AJ$4,0))))+SUMPRODUCT((Inputs!$C$5:$C$110=$B18)*ISNUMBER(INDEX(Inputs!$K$5:$AJ$110,0,MATCH(AF$2,Inputs!$K$4:$AJ$4,0))))+SUMPRODUCT((Inputs!$E$5:$E$110=$B18)*ISNUMBER(INDEX(Inputs!$K$5:$AJ$110,0,MATCH(AF$2,Inputs!$K$4:$AJ$4,0))))=0,NA(),SUMPRODUCT((Inputs!$A$5:$A$110=$B18)*Inputs!$B$5:$B$110*(((Inputs!$G$5:$G$110="moeda")+(Inputs!$G$5:$G$110="acoes"))*Inputs!$B$1+((Inputs!$G$5:$G$110&lt;&gt;"moeda")*(Inputs!$G$5:$G$110&lt;&gt;"acoes")))*INDEX(Inputs!$K$5:$AJ$110,0,MATCH(AF$2,Inputs!$K$4:$AJ$4,0)))+SUMPRODUCT((Inputs!$C$5:$C$110=$B18)*Inputs!$D$5:$D$110*(((Inputs!$G$5:$G$110="moeda")+(Inputs!$G$5:$G$110="acoes"))*Inputs!$B$1+((Inputs!$G$5:$G$110&lt;&gt;"moeda")*(Inputs!$G$5:$G$110&lt;&gt;"acoes")))*INDEX(Inputs!$K$5:$AJ$110,0,MATCH(AF$2,Inputs!$K$4:$AJ$4,0)))+SUMPRODUCT((Inputs!$E$5:$E$110=$B18)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8" s="3" t="e">
        <f>AF18</f>
        <v>#N/A</v>
      </c>
      <c r="AH18" s="6">
        <f>IF(ISNA(MATCH(AH$2,Inputs!$K$4:$AJ$4,0)),NA(),IF(SUMPRODUCT((Inputs!$A$5:$A$110=$B18)*ISNUMBER(INDEX(Inputs!$K$5:$AJ$110,0,MATCH(AH$2,Inputs!$K$4:$AJ$4,0))))+SUMPRODUCT((Inputs!$C$5:$C$110=$B18)*ISNUMBER(INDEX(Inputs!$K$5:$AJ$110,0,MATCH(AH$2,Inputs!$K$4:$AJ$4,0))))+SUMPRODUCT((Inputs!$E$5:$E$110=$B18)*ISNUMBER(INDEX(Inputs!$K$5:$AJ$110,0,MATCH(AH$2,Inputs!$K$4:$AJ$4,0))))=0,NA(),SUMPRODUCT((Inputs!$A$5:$A$110=$B18)*Inputs!$B$5:$B$110*(((Inputs!$G$5:$G$110="moeda")+(Inputs!$G$5:$G$110="acoes"))*Inputs!$B$1+((Inputs!$G$5:$G$110&lt;&gt;"moeda")*(Inputs!$G$5:$G$110&lt;&gt;"acoes")))*INDEX(Inputs!$K$5:$AJ$110,0,MATCH(AH$2,Inputs!$K$4:$AJ$4,0)))+SUMPRODUCT((Inputs!$C$5:$C$110=$B18)*Inputs!$D$5:$D$110*(((Inputs!$G$5:$G$110="moeda")+(Inputs!$G$5:$G$110="acoes"))*Inputs!$B$1+((Inputs!$G$5:$G$110&lt;&gt;"moeda")*(Inputs!$G$5:$G$110&lt;&gt;"acoes")))*INDEX(Inputs!$K$5:$AJ$110,0,MATCH(AH$2,Inputs!$K$4:$AJ$4,0)))+SUMPRODUCT((Inputs!$E$5:$E$110=$B18)*Inputs!$F$5:$F$110*(((Inputs!$G$5:$G$110="moeda")+(Inputs!$G$5:$G$110="acoes"))*Inputs!$B$1+((Inputs!$G$5:$G$110&lt;&gt;"moeda")*(Inputs!$G$5:$G$110&lt;&gt;"acoes")))*INDEX(Inputs!$K$5:$AJ$110,0,MATCH(AH$2,Inputs!$K$4:$AJ$4,0)))))</f>
        <v>0</v>
      </c>
      <c r="AI18" s="6">
        <f>IF(ISNA(MATCH(AI$2,Inputs!$K$4:$AJ$4,0)),NA(),IF(SUMPRODUCT((Inputs!$A$5:$A$110=$B18)*ISNUMBER(INDEX(Inputs!$K$5:$AJ$110,0,MATCH(AI$2,Inputs!$K$4:$AJ$4,0))))+SUMPRODUCT((Inputs!$C$5:$C$110=$B18)*ISNUMBER(INDEX(Inputs!$K$5:$AJ$110,0,MATCH(AI$2,Inputs!$K$4:$AJ$4,0))))+SUMPRODUCT((Inputs!$E$5:$E$110=$B18)*ISNUMBER(INDEX(Inputs!$K$5:$AJ$110,0,MATCH(AI$2,Inputs!$K$4:$AJ$4,0))))=0,NA(),SUMPRODUCT((Inputs!$A$5:$A$110=$B18)*Inputs!$B$5:$B$110*(((Inputs!$G$5:$G$110="moeda")+(Inputs!$G$5:$G$110="acoes"))*Inputs!$B$1+((Inputs!$G$5:$G$110&lt;&gt;"moeda")*(Inputs!$G$5:$G$110&lt;&gt;"acoes")))*INDEX(Inputs!$K$5:$AJ$110,0,MATCH(AI$2,Inputs!$K$4:$AJ$4,0)))+SUMPRODUCT((Inputs!$C$5:$C$110=$B18)*Inputs!$D$5:$D$110*(((Inputs!$G$5:$G$110="moeda")+(Inputs!$G$5:$G$110="acoes"))*Inputs!$B$1+((Inputs!$G$5:$G$110&lt;&gt;"moeda")*(Inputs!$G$5:$G$110&lt;&gt;"acoes")))*INDEX(Inputs!$K$5:$AJ$110,0,MATCH(AI$2,Inputs!$K$4:$AJ$4,0)))+SUMPRODUCT((Inputs!$E$5:$E$110=$B18)*Inputs!$F$5:$F$110*(((Inputs!$G$5:$G$110="moeda")+(Inputs!$G$5:$G$110="acoes"))*Inputs!$B$1+((Inputs!$G$5:$G$110&lt;&gt;"moeda")*(Inputs!$G$5:$G$110&lt;&gt;"acoes")))*INDEX(Inputs!$K$5:$AJ$110,0,MATCH(AI$2,Inputs!$K$4:$AJ$4,0)))))</f>
        <v>0</v>
      </c>
      <c r="AJ18" s="6">
        <f>IF(ISNA(MATCH(AJ$2,Inputs!$K$4:$AJ$4,0)),NA(),IF(SUMPRODUCT((Inputs!$A$5:$A$110=$B18)*ISNUMBER(INDEX(Inputs!$K$5:$AJ$110,0,MATCH(AJ$2,Inputs!$K$4:$AJ$4,0))))+SUMPRODUCT((Inputs!$C$5:$C$110=$B18)*ISNUMBER(INDEX(Inputs!$K$5:$AJ$110,0,MATCH(AJ$2,Inputs!$K$4:$AJ$4,0))))+SUMPRODUCT((Inputs!$E$5:$E$110=$B18)*ISNUMBER(INDEX(Inputs!$K$5:$AJ$110,0,MATCH(AJ$2,Inputs!$K$4:$AJ$4,0))))=0,NA(),SUMPRODUCT((Inputs!$A$5:$A$110=$B18)*Inputs!$B$5:$B$110*(((Inputs!$G$5:$G$110="moeda")+(Inputs!$G$5:$G$110="acoes"))*Inputs!$B$1+((Inputs!$G$5:$G$110&lt;&gt;"moeda")*(Inputs!$G$5:$G$110&lt;&gt;"acoes")))*INDEX(Inputs!$K$5:$AJ$110,0,MATCH(AJ$2,Inputs!$K$4:$AJ$4,0)))+SUMPRODUCT((Inputs!$C$5:$C$110=$B18)*Inputs!$D$5:$D$110*(((Inputs!$G$5:$G$110="moeda")+(Inputs!$G$5:$G$110="acoes"))*Inputs!$B$1+((Inputs!$G$5:$G$110&lt;&gt;"moeda")*(Inputs!$G$5:$G$110&lt;&gt;"acoes")))*INDEX(Inputs!$K$5:$AJ$110,0,MATCH(AJ$2,Inputs!$K$4:$AJ$4,0)))+SUMPRODUCT((Inputs!$E$5:$E$110=$B18)*Inputs!$F$5:$F$110*(((Inputs!$G$5:$G$110="moeda")+(Inputs!$G$5:$G$110="acoes"))*Inputs!$B$1+((Inputs!$G$5:$G$110&lt;&gt;"moeda")*(Inputs!$G$5:$G$110&lt;&gt;"acoes")))*INDEX(Inputs!$K$5:$AJ$110,0,MATCH(AJ$2,Inputs!$K$4:$AJ$4,0)))))</f>
        <v>0</v>
      </c>
      <c r="AK18" s="6">
        <f>IF(ISNA(MATCH(AK$2,Inputs!$K$4:$AJ$4,0)),NA(),IF(SUMPRODUCT((Inputs!$A$5:$A$110=$B18)*ISNUMBER(INDEX(Inputs!$K$5:$AJ$110,0,MATCH(AK$2,Inputs!$K$4:$AJ$4,0))))+SUMPRODUCT((Inputs!$C$5:$C$110=$B18)*ISNUMBER(INDEX(Inputs!$K$5:$AJ$110,0,MATCH(AK$2,Inputs!$K$4:$AJ$4,0))))+SUMPRODUCT((Inputs!$E$5:$E$110=$B18)*ISNUMBER(INDEX(Inputs!$K$5:$AJ$110,0,MATCH(AK$2,Inputs!$K$4:$AJ$4,0))))=0,NA(),SUMPRODUCT((Inputs!$A$5:$A$110=$B18)*Inputs!$B$5:$B$110*(((Inputs!$G$5:$G$110="moeda")+(Inputs!$G$5:$G$110="acoes"))*Inputs!$B$1+((Inputs!$G$5:$G$110&lt;&gt;"moeda")*(Inputs!$G$5:$G$110&lt;&gt;"acoes")))*INDEX(Inputs!$K$5:$AJ$110,0,MATCH(AK$2,Inputs!$K$4:$AJ$4,0)))+SUMPRODUCT((Inputs!$C$5:$C$110=$B18)*Inputs!$D$5:$D$110*(((Inputs!$G$5:$G$110="moeda")+(Inputs!$G$5:$G$110="acoes"))*Inputs!$B$1+((Inputs!$G$5:$G$110&lt;&gt;"moeda")*(Inputs!$G$5:$G$110&lt;&gt;"acoes")))*INDEX(Inputs!$K$5:$AJ$110,0,MATCH(AK$2,Inputs!$K$4:$AJ$4,0)))+SUMPRODUCT((Inputs!$E$5:$E$110=$B18)*Inputs!$F$5:$F$110*(((Inputs!$G$5:$G$110="moeda")+(Inputs!$G$5:$G$110="acoes"))*Inputs!$B$1+((Inputs!$G$5:$G$110&lt;&gt;"moeda")*(Inputs!$G$5:$G$110&lt;&gt;"acoes")))*INDEX(Inputs!$K$5:$AJ$110,0,MATCH(AK$2,Inputs!$K$4:$AJ$4,0)))))</f>
        <v>0</v>
      </c>
      <c r="AL18" s="3">
        <f>AK18</f>
        <v>0</v>
      </c>
    </row>
    <row r="19">
      <c r="B19" s="46" t="n">
        <v>15</v>
      </c>
      <c r="C19" s="26" t="inlineStr">
        <is>
          <t>Prepaid expenses</t>
        </is>
      </c>
      <c r="D19" s="6">
        <f>IF(ISNA(MATCH(D$2,Inputs!$K$4:$AJ$4,0)),NA(),IF(SUMPRODUCT((Inputs!$A$5:$A$110=$B19)*ISNUMBER(INDEX(Inputs!$K$5:$AJ$110,0,MATCH(D$2,Inputs!$K$4:$AJ$4,0))))+SUMPRODUCT((Inputs!$C$5:$C$110=$B19)*ISNUMBER(INDEX(Inputs!$K$5:$AJ$110,0,MATCH(D$2,Inputs!$K$4:$AJ$4,0))))+SUMPRODUCT((Inputs!$E$5:$E$110=$B19)*ISNUMBER(INDEX(Inputs!$K$5:$AJ$110,0,MATCH(D$2,Inputs!$K$4:$AJ$4,0))))=0,NA(),SUMPRODUCT((Inputs!$A$5:$A$110=$B19)*Inputs!$B$5:$B$110*(((Inputs!$G$5:$G$110="moeda")+(Inputs!$G$5:$G$110="acoes"))*Inputs!$B$1+((Inputs!$G$5:$G$110&lt;&gt;"moeda")*(Inputs!$G$5:$G$110&lt;&gt;"acoes")))*INDEX(Inputs!$K$5:$AJ$110,0,MATCH(D$2,Inputs!$K$4:$AJ$4,0)))+SUMPRODUCT((Inputs!$C$5:$C$110=$B19)*Inputs!$D$5:$D$110*(((Inputs!$G$5:$G$110="moeda")+(Inputs!$G$5:$G$110="acoes"))*Inputs!$B$1+((Inputs!$G$5:$G$110&lt;&gt;"moeda")*(Inputs!$G$5:$G$110&lt;&gt;"acoes")))*INDEX(Inputs!$K$5:$AJ$110,0,MATCH(D$2,Inputs!$K$4:$AJ$4,0)))+SUMPRODUCT((Inputs!$E$5:$E$110=$B19)*Inputs!$F$5:$F$110*(((Inputs!$G$5:$G$110="moeda")+(Inputs!$G$5:$G$110="acoes"))*Inputs!$B$1+((Inputs!$G$5:$G$110&lt;&gt;"moeda")*(Inputs!$G$5:$G$110&lt;&gt;"acoes")))*INDEX(Inputs!$K$5:$AJ$110,0,MATCH(D$2,Inputs!$K$4:$AJ$4,0)))))</f>
        <v>0</v>
      </c>
      <c r="E19" s="6">
        <f>IF(ISNA(MATCH(E$2,Inputs!$K$4:$AJ$4,0)),NA(),IF(SUMPRODUCT((Inputs!$A$5:$A$110=$B19)*ISNUMBER(INDEX(Inputs!$K$5:$AJ$110,0,MATCH(E$2,Inputs!$K$4:$AJ$4,0))))+SUMPRODUCT((Inputs!$C$5:$C$110=$B19)*ISNUMBER(INDEX(Inputs!$K$5:$AJ$110,0,MATCH(E$2,Inputs!$K$4:$AJ$4,0))))+SUMPRODUCT((Inputs!$E$5:$E$110=$B19)*ISNUMBER(INDEX(Inputs!$K$5:$AJ$110,0,MATCH(E$2,Inputs!$K$4:$AJ$4,0))))=0,NA(),SUMPRODUCT((Inputs!$A$5:$A$110=$B19)*Inputs!$B$5:$B$110*(((Inputs!$G$5:$G$110="moeda")+(Inputs!$G$5:$G$110="acoes"))*Inputs!$B$1+((Inputs!$G$5:$G$110&lt;&gt;"moeda")*(Inputs!$G$5:$G$110&lt;&gt;"acoes")))*INDEX(Inputs!$K$5:$AJ$110,0,MATCH(E$2,Inputs!$K$4:$AJ$4,0)))+SUMPRODUCT((Inputs!$C$5:$C$110=$B19)*Inputs!$D$5:$D$110*(((Inputs!$G$5:$G$110="moeda")+(Inputs!$G$5:$G$110="acoes"))*Inputs!$B$1+((Inputs!$G$5:$G$110&lt;&gt;"moeda")*(Inputs!$G$5:$G$110&lt;&gt;"acoes")))*INDEX(Inputs!$K$5:$AJ$110,0,MATCH(E$2,Inputs!$K$4:$AJ$4,0)))+SUMPRODUCT((Inputs!$E$5:$E$110=$B19)*Inputs!$F$5:$F$110*(((Inputs!$G$5:$G$110="moeda")+(Inputs!$G$5:$G$110="acoes"))*Inputs!$B$1+((Inputs!$G$5:$G$110&lt;&gt;"moeda")*(Inputs!$G$5:$G$110&lt;&gt;"acoes")))*INDEX(Inputs!$K$5:$AJ$110,0,MATCH(E$2,Inputs!$K$4:$AJ$4,0)))))</f>
        <v>0</v>
      </c>
      <c r="F19" s="6">
        <f>IF(ISNA(MATCH(F$2,Inputs!$K$4:$AJ$4,0)),NA(),IF(SUMPRODUCT((Inputs!$A$5:$A$110=$B19)*ISNUMBER(INDEX(Inputs!$K$5:$AJ$110,0,MATCH(F$2,Inputs!$K$4:$AJ$4,0))))+SUMPRODUCT((Inputs!$C$5:$C$110=$B19)*ISNUMBER(INDEX(Inputs!$K$5:$AJ$110,0,MATCH(F$2,Inputs!$K$4:$AJ$4,0))))+SUMPRODUCT((Inputs!$E$5:$E$110=$B19)*ISNUMBER(INDEX(Inputs!$K$5:$AJ$110,0,MATCH(F$2,Inputs!$K$4:$AJ$4,0))))=0,NA(),SUMPRODUCT((Inputs!$A$5:$A$110=$B19)*Inputs!$B$5:$B$110*(((Inputs!$G$5:$G$110="moeda")+(Inputs!$G$5:$G$110="acoes"))*Inputs!$B$1+((Inputs!$G$5:$G$110&lt;&gt;"moeda")*(Inputs!$G$5:$G$110&lt;&gt;"acoes")))*INDEX(Inputs!$K$5:$AJ$110,0,MATCH(F$2,Inputs!$K$4:$AJ$4,0)))+SUMPRODUCT((Inputs!$C$5:$C$110=$B19)*Inputs!$D$5:$D$110*(((Inputs!$G$5:$G$110="moeda")+(Inputs!$G$5:$G$110="acoes"))*Inputs!$B$1+((Inputs!$G$5:$G$110&lt;&gt;"moeda")*(Inputs!$G$5:$G$110&lt;&gt;"acoes")))*INDEX(Inputs!$K$5:$AJ$110,0,MATCH(F$2,Inputs!$K$4:$AJ$4,0)))+SUMPRODUCT((Inputs!$E$5:$E$110=$B19)*Inputs!$F$5:$F$110*(((Inputs!$G$5:$G$110="moeda")+(Inputs!$G$5:$G$110="acoes"))*Inputs!$B$1+((Inputs!$G$5:$G$110&lt;&gt;"moeda")*(Inputs!$G$5:$G$110&lt;&gt;"acoes")))*INDEX(Inputs!$K$5:$AJ$110,0,MATCH(F$2,Inputs!$K$4:$AJ$4,0)))))</f>
        <v>0</v>
      </c>
      <c r="G19" s="6">
        <f>IF(ISNA(MATCH(G$2,Inputs!$K$4:$AJ$4,0)),NA(),IF(SUMPRODUCT((Inputs!$A$5:$A$110=$B19)*ISNUMBER(INDEX(Inputs!$K$5:$AJ$110,0,MATCH(G$2,Inputs!$K$4:$AJ$4,0))))+SUMPRODUCT((Inputs!$C$5:$C$110=$B19)*ISNUMBER(INDEX(Inputs!$K$5:$AJ$110,0,MATCH(G$2,Inputs!$K$4:$AJ$4,0))))+SUMPRODUCT((Inputs!$E$5:$E$110=$B19)*ISNUMBER(INDEX(Inputs!$K$5:$AJ$110,0,MATCH(G$2,Inputs!$K$4:$AJ$4,0))))=0,NA(),SUMPRODUCT((Inputs!$A$5:$A$110=$B19)*Inputs!$B$5:$B$110*(((Inputs!$G$5:$G$110="moeda")+(Inputs!$G$5:$G$110="acoes"))*Inputs!$B$1+((Inputs!$G$5:$G$110&lt;&gt;"moeda")*(Inputs!$G$5:$G$110&lt;&gt;"acoes")))*INDEX(Inputs!$K$5:$AJ$110,0,MATCH(G$2,Inputs!$K$4:$AJ$4,0)))+SUMPRODUCT((Inputs!$C$5:$C$110=$B19)*Inputs!$D$5:$D$110*(((Inputs!$G$5:$G$110="moeda")+(Inputs!$G$5:$G$110="acoes"))*Inputs!$B$1+((Inputs!$G$5:$G$110&lt;&gt;"moeda")*(Inputs!$G$5:$G$110&lt;&gt;"acoes")))*INDEX(Inputs!$K$5:$AJ$110,0,MATCH(G$2,Inputs!$K$4:$AJ$4,0)))+SUMPRODUCT((Inputs!$E$5:$E$110=$B19)*Inputs!$F$5:$F$110*(((Inputs!$G$5:$G$110="moeda")+(Inputs!$G$5:$G$110="acoes"))*Inputs!$B$1+((Inputs!$G$5:$G$110&lt;&gt;"moeda")*(Inputs!$G$5:$G$110&lt;&gt;"acoes")))*INDEX(Inputs!$K$5:$AJ$110,0,MATCH(G$2,Inputs!$K$4:$AJ$4,0)))))</f>
        <v>0</v>
      </c>
      <c r="H19" s="3">
        <f>G19</f>
        <v>0</v>
      </c>
      <c r="I19" s="6">
        <f>IF(ISNA(MATCH(I$2,Inputs!$K$4:$AJ$4,0)),NA(),IF(SUMPRODUCT((Inputs!$A$5:$A$110=$B19)*ISNUMBER(INDEX(Inputs!$K$5:$AJ$110,0,MATCH(I$2,Inputs!$K$4:$AJ$4,0))))+SUMPRODUCT((Inputs!$C$5:$C$110=$B19)*ISNUMBER(INDEX(Inputs!$K$5:$AJ$110,0,MATCH(I$2,Inputs!$K$4:$AJ$4,0))))+SUMPRODUCT((Inputs!$E$5:$E$110=$B19)*ISNUMBER(INDEX(Inputs!$K$5:$AJ$110,0,MATCH(I$2,Inputs!$K$4:$AJ$4,0))))=0,NA(),SUMPRODUCT((Inputs!$A$5:$A$110=$B19)*Inputs!$B$5:$B$110*(((Inputs!$G$5:$G$110="moeda")+(Inputs!$G$5:$G$110="acoes"))*Inputs!$B$1+((Inputs!$G$5:$G$110&lt;&gt;"moeda")*(Inputs!$G$5:$G$110&lt;&gt;"acoes")))*INDEX(Inputs!$K$5:$AJ$110,0,MATCH(I$2,Inputs!$K$4:$AJ$4,0)))+SUMPRODUCT((Inputs!$C$5:$C$110=$B19)*Inputs!$D$5:$D$110*(((Inputs!$G$5:$G$110="moeda")+(Inputs!$G$5:$G$110="acoes"))*Inputs!$B$1+((Inputs!$G$5:$G$110&lt;&gt;"moeda")*(Inputs!$G$5:$G$110&lt;&gt;"acoes")))*INDEX(Inputs!$K$5:$AJ$110,0,MATCH(I$2,Inputs!$K$4:$AJ$4,0)))+SUMPRODUCT((Inputs!$E$5:$E$110=$B19)*Inputs!$F$5:$F$110*(((Inputs!$G$5:$G$110="moeda")+(Inputs!$G$5:$G$110="acoes"))*Inputs!$B$1+((Inputs!$G$5:$G$110&lt;&gt;"moeda")*(Inputs!$G$5:$G$110&lt;&gt;"acoes")))*INDEX(Inputs!$K$5:$AJ$110,0,MATCH(I$2,Inputs!$K$4:$AJ$4,0)))))</f>
        <v>0</v>
      </c>
      <c r="J19" s="6">
        <f>IF(ISNA(MATCH(J$2,Inputs!$K$4:$AJ$4,0)),NA(),IF(SUMPRODUCT((Inputs!$A$5:$A$110=$B19)*ISNUMBER(INDEX(Inputs!$K$5:$AJ$110,0,MATCH(J$2,Inputs!$K$4:$AJ$4,0))))+SUMPRODUCT((Inputs!$C$5:$C$110=$B19)*ISNUMBER(INDEX(Inputs!$K$5:$AJ$110,0,MATCH(J$2,Inputs!$K$4:$AJ$4,0))))+SUMPRODUCT((Inputs!$E$5:$E$110=$B19)*ISNUMBER(INDEX(Inputs!$K$5:$AJ$110,0,MATCH(J$2,Inputs!$K$4:$AJ$4,0))))=0,NA(),SUMPRODUCT((Inputs!$A$5:$A$110=$B19)*Inputs!$B$5:$B$110*(((Inputs!$G$5:$G$110="moeda")+(Inputs!$G$5:$G$110="acoes"))*Inputs!$B$1+((Inputs!$G$5:$G$110&lt;&gt;"moeda")*(Inputs!$G$5:$G$110&lt;&gt;"acoes")))*INDEX(Inputs!$K$5:$AJ$110,0,MATCH(J$2,Inputs!$K$4:$AJ$4,0)))+SUMPRODUCT((Inputs!$C$5:$C$110=$B19)*Inputs!$D$5:$D$110*(((Inputs!$G$5:$G$110="moeda")+(Inputs!$G$5:$G$110="acoes"))*Inputs!$B$1+((Inputs!$G$5:$G$110&lt;&gt;"moeda")*(Inputs!$G$5:$G$110&lt;&gt;"acoes")))*INDEX(Inputs!$K$5:$AJ$110,0,MATCH(J$2,Inputs!$K$4:$AJ$4,0)))+SUMPRODUCT((Inputs!$E$5:$E$110=$B19)*Inputs!$F$5:$F$110*(((Inputs!$G$5:$G$110="moeda")+(Inputs!$G$5:$G$110="acoes"))*Inputs!$B$1+((Inputs!$G$5:$G$110&lt;&gt;"moeda")*(Inputs!$G$5:$G$110&lt;&gt;"acoes")))*INDEX(Inputs!$K$5:$AJ$110,0,MATCH(J$2,Inputs!$K$4:$AJ$4,0)))))</f>
        <v>0</v>
      </c>
      <c r="K19" s="6">
        <f>IF(ISNA(MATCH(K$2,Inputs!$K$4:$AJ$4,0)),NA(),IF(SUMPRODUCT((Inputs!$A$5:$A$110=$B19)*ISNUMBER(INDEX(Inputs!$K$5:$AJ$110,0,MATCH(K$2,Inputs!$K$4:$AJ$4,0))))+SUMPRODUCT((Inputs!$C$5:$C$110=$B19)*ISNUMBER(INDEX(Inputs!$K$5:$AJ$110,0,MATCH(K$2,Inputs!$K$4:$AJ$4,0))))+SUMPRODUCT((Inputs!$E$5:$E$110=$B19)*ISNUMBER(INDEX(Inputs!$K$5:$AJ$110,0,MATCH(K$2,Inputs!$K$4:$AJ$4,0))))=0,NA(),SUMPRODUCT((Inputs!$A$5:$A$110=$B19)*Inputs!$B$5:$B$110*(((Inputs!$G$5:$G$110="moeda")+(Inputs!$G$5:$G$110="acoes"))*Inputs!$B$1+((Inputs!$G$5:$G$110&lt;&gt;"moeda")*(Inputs!$G$5:$G$110&lt;&gt;"acoes")))*INDEX(Inputs!$K$5:$AJ$110,0,MATCH(K$2,Inputs!$K$4:$AJ$4,0)))+SUMPRODUCT((Inputs!$C$5:$C$110=$B19)*Inputs!$D$5:$D$110*(((Inputs!$G$5:$G$110="moeda")+(Inputs!$G$5:$G$110="acoes"))*Inputs!$B$1+((Inputs!$G$5:$G$110&lt;&gt;"moeda")*(Inputs!$G$5:$G$110&lt;&gt;"acoes")))*INDEX(Inputs!$K$5:$AJ$110,0,MATCH(K$2,Inputs!$K$4:$AJ$4,0)))+SUMPRODUCT((Inputs!$E$5:$E$110=$B19)*Inputs!$F$5:$F$110*(((Inputs!$G$5:$G$110="moeda")+(Inputs!$G$5:$G$110="acoes"))*Inputs!$B$1+((Inputs!$G$5:$G$110&lt;&gt;"moeda")*(Inputs!$G$5:$G$110&lt;&gt;"acoes")))*INDEX(Inputs!$K$5:$AJ$110,0,MATCH(K$2,Inputs!$K$4:$AJ$4,0)))))</f>
        <v>0</v>
      </c>
      <c r="L19" s="6">
        <f>IF(ISNA(MATCH(L$2,Inputs!$K$4:$AJ$4,0)),NA(),IF(SUMPRODUCT((Inputs!$A$5:$A$110=$B19)*ISNUMBER(INDEX(Inputs!$K$5:$AJ$110,0,MATCH(L$2,Inputs!$K$4:$AJ$4,0))))+SUMPRODUCT((Inputs!$C$5:$C$110=$B19)*ISNUMBER(INDEX(Inputs!$K$5:$AJ$110,0,MATCH(L$2,Inputs!$K$4:$AJ$4,0))))+SUMPRODUCT((Inputs!$E$5:$E$110=$B19)*ISNUMBER(INDEX(Inputs!$K$5:$AJ$110,0,MATCH(L$2,Inputs!$K$4:$AJ$4,0))))=0,NA(),SUMPRODUCT((Inputs!$A$5:$A$110=$B19)*Inputs!$B$5:$B$110*(((Inputs!$G$5:$G$110="moeda")+(Inputs!$G$5:$G$110="acoes"))*Inputs!$B$1+((Inputs!$G$5:$G$110&lt;&gt;"moeda")*(Inputs!$G$5:$G$110&lt;&gt;"acoes")))*INDEX(Inputs!$K$5:$AJ$110,0,MATCH(L$2,Inputs!$K$4:$AJ$4,0)))+SUMPRODUCT((Inputs!$C$5:$C$110=$B19)*Inputs!$D$5:$D$110*(((Inputs!$G$5:$G$110="moeda")+(Inputs!$G$5:$G$110="acoes"))*Inputs!$B$1+((Inputs!$G$5:$G$110&lt;&gt;"moeda")*(Inputs!$G$5:$G$110&lt;&gt;"acoes")))*INDEX(Inputs!$K$5:$AJ$110,0,MATCH(L$2,Inputs!$K$4:$AJ$4,0)))+SUMPRODUCT((Inputs!$E$5:$E$110=$B19)*Inputs!$F$5:$F$110*(((Inputs!$G$5:$G$110="moeda")+(Inputs!$G$5:$G$110="acoes"))*Inputs!$B$1+((Inputs!$G$5:$G$110&lt;&gt;"moeda")*(Inputs!$G$5:$G$110&lt;&gt;"acoes")))*INDEX(Inputs!$K$5:$AJ$110,0,MATCH(L$2,Inputs!$K$4:$AJ$4,0)))))</f>
        <v>0</v>
      </c>
      <c r="M19" s="3">
        <f>L19</f>
        <v>0</v>
      </c>
      <c r="N19" s="6">
        <f>IF(ISNA(MATCH(N$2,Inputs!$K$4:$AJ$4,0)),NA(),IF(SUMPRODUCT((Inputs!$A$5:$A$110=$B19)*ISNUMBER(INDEX(Inputs!$K$5:$AJ$110,0,MATCH(N$2,Inputs!$K$4:$AJ$4,0))))+SUMPRODUCT((Inputs!$C$5:$C$110=$B19)*ISNUMBER(INDEX(Inputs!$K$5:$AJ$110,0,MATCH(N$2,Inputs!$K$4:$AJ$4,0))))+SUMPRODUCT((Inputs!$E$5:$E$110=$B19)*ISNUMBER(INDEX(Inputs!$K$5:$AJ$110,0,MATCH(N$2,Inputs!$K$4:$AJ$4,0))))=0,NA(),SUMPRODUCT((Inputs!$A$5:$A$110=$B19)*Inputs!$B$5:$B$110*(((Inputs!$G$5:$G$110="moeda")+(Inputs!$G$5:$G$110="acoes"))*Inputs!$B$1+((Inputs!$G$5:$G$110&lt;&gt;"moeda")*(Inputs!$G$5:$G$110&lt;&gt;"acoes")))*INDEX(Inputs!$K$5:$AJ$110,0,MATCH(N$2,Inputs!$K$4:$AJ$4,0)))+SUMPRODUCT((Inputs!$C$5:$C$110=$B19)*Inputs!$D$5:$D$110*(((Inputs!$G$5:$G$110="moeda")+(Inputs!$G$5:$G$110="acoes"))*Inputs!$B$1+((Inputs!$G$5:$G$110&lt;&gt;"moeda")*(Inputs!$G$5:$G$110&lt;&gt;"acoes")))*INDEX(Inputs!$K$5:$AJ$110,0,MATCH(N$2,Inputs!$K$4:$AJ$4,0)))+SUMPRODUCT((Inputs!$E$5:$E$110=$B19)*Inputs!$F$5:$F$110*(((Inputs!$G$5:$G$110="moeda")+(Inputs!$G$5:$G$110="acoes"))*Inputs!$B$1+((Inputs!$G$5:$G$110&lt;&gt;"moeda")*(Inputs!$G$5:$G$110&lt;&gt;"acoes")))*INDEX(Inputs!$K$5:$AJ$110,0,MATCH(N$2,Inputs!$K$4:$AJ$4,0)))))</f>
        <v>0</v>
      </c>
      <c r="O19" s="6">
        <f>IF(ISNA(MATCH(O$2,Inputs!$K$4:$AJ$4,0)),NA(),IF(SUMPRODUCT((Inputs!$A$5:$A$110=$B19)*ISNUMBER(INDEX(Inputs!$K$5:$AJ$110,0,MATCH(O$2,Inputs!$K$4:$AJ$4,0))))+SUMPRODUCT((Inputs!$C$5:$C$110=$B19)*ISNUMBER(INDEX(Inputs!$K$5:$AJ$110,0,MATCH(O$2,Inputs!$K$4:$AJ$4,0))))+SUMPRODUCT((Inputs!$E$5:$E$110=$B19)*ISNUMBER(INDEX(Inputs!$K$5:$AJ$110,0,MATCH(O$2,Inputs!$K$4:$AJ$4,0))))=0,NA(),SUMPRODUCT((Inputs!$A$5:$A$110=$B19)*Inputs!$B$5:$B$110*(((Inputs!$G$5:$G$110="moeda")+(Inputs!$G$5:$G$110="acoes"))*Inputs!$B$1+((Inputs!$G$5:$G$110&lt;&gt;"moeda")*(Inputs!$G$5:$G$110&lt;&gt;"acoes")))*INDEX(Inputs!$K$5:$AJ$110,0,MATCH(O$2,Inputs!$K$4:$AJ$4,0)))+SUMPRODUCT((Inputs!$C$5:$C$110=$B19)*Inputs!$D$5:$D$110*(((Inputs!$G$5:$G$110="moeda")+(Inputs!$G$5:$G$110="acoes"))*Inputs!$B$1+((Inputs!$G$5:$G$110&lt;&gt;"moeda")*(Inputs!$G$5:$G$110&lt;&gt;"acoes")))*INDEX(Inputs!$K$5:$AJ$110,0,MATCH(O$2,Inputs!$K$4:$AJ$4,0)))+SUMPRODUCT((Inputs!$E$5:$E$110=$B19)*Inputs!$F$5:$F$110*(((Inputs!$G$5:$G$110="moeda")+(Inputs!$G$5:$G$110="acoes"))*Inputs!$B$1+((Inputs!$G$5:$G$110&lt;&gt;"moeda")*(Inputs!$G$5:$G$110&lt;&gt;"acoes")))*INDEX(Inputs!$K$5:$AJ$110,0,MATCH(O$2,Inputs!$K$4:$AJ$4,0)))))</f>
        <v>0</v>
      </c>
      <c r="P19" s="6">
        <f>IF(ISNA(MATCH(P$2,Inputs!$K$4:$AJ$4,0)),NA(),IF(SUMPRODUCT((Inputs!$A$5:$A$110=$B19)*ISNUMBER(INDEX(Inputs!$K$5:$AJ$110,0,MATCH(P$2,Inputs!$K$4:$AJ$4,0))))+SUMPRODUCT((Inputs!$C$5:$C$110=$B19)*ISNUMBER(INDEX(Inputs!$K$5:$AJ$110,0,MATCH(P$2,Inputs!$K$4:$AJ$4,0))))+SUMPRODUCT((Inputs!$E$5:$E$110=$B19)*ISNUMBER(INDEX(Inputs!$K$5:$AJ$110,0,MATCH(P$2,Inputs!$K$4:$AJ$4,0))))=0,NA(),SUMPRODUCT((Inputs!$A$5:$A$110=$B19)*Inputs!$B$5:$B$110*(((Inputs!$G$5:$G$110="moeda")+(Inputs!$G$5:$G$110="acoes"))*Inputs!$B$1+((Inputs!$G$5:$G$110&lt;&gt;"moeda")*(Inputs!$G$5:$G$110&lt;&gt;"acoes")))*INDEX(Inputs!$K$5:$AJ$110,0,MATCH(P$2,Inputs!$K$4:$AJ$4,0)))+SUMPRODUCT((Inputs!$C$5:$C$110=$B19)*Inputs!$D$5:$D$110*(((Inputs!$G$5:$G$110="moeda")+(Inputs!$G$5:$G$110="acoes"))*Inputs!$B$1+((Inputs!$G$5:$G$110&lt;&gt;"moeda")*(Inputs!$G$5:$G$110&lt;&gt;"acoes")))*INDEX(Inputs!$K$5:$AJ$110,0,MATCH(P$2,Inputs!$K$4:$AJ$4,0)))+SUMPRODUCT((Inputs!$E$5:$E$110=$B19)*Inputs!$F$5:$F$110*(((Inputs!$G$5:$G$110="moeda")+(Inputs!$G$5:$G$110="acoes"))*Inputs!$B$1+((Inputs!$G$5:$G$110&lt;&gt;"moeda")*(Inputs!$G$5:$G$110&lt;&gt;"acoes")))*INDEX(Inputs!$K$5:$AJ$110,0,MATCH(P$2,Inputs!$K$4:$AJ$4,0)))))</f>
        <v>0</v>
      </c>
      <c r="Q19" s="6">
        <f>IF(ISNA(MATCH(Q$2,Inputs!$K$4:$AJ$4,0)),NA(),IF(SUMPRODUCT((Inputs!$A$5:$A$110=$B19)*ISNUMBER(INDEX(Inputs!$K$5:$AJ$110,0,MATCH(Q$2,Inputs!$K$4:$AJ$4,0))))+SUMPRODUCT((Inputs!$C$5:$C$110=$B19)*ISNUMBER(INDEX(Inputs!$K$5:$AJ$110,0,MATCH(Q$2,Inputs!$K$4:$AJ$4,0))))+SUMPRODUCT((Inputs!$E$5:$E$110=$B19)*ISNUMBER(INDEX(Inputs!$K$5:$AJ$110,0,MATCH(Q$2,Inputs!$K$4:$AJ$4,0))))=0,NA(),SUMPRODUCT((Inputs!$A$5:$A$110=$B19)*Inputs!$B$5:$B$110*(((Inputs!$G$5:$G$110="moeda")+(Inputs!$G$5:$G$110="acoes"))*Inputs!$B$1+((Inputs!$G$5:$G$110&lt;&gt;"moeda")*(Inputs!$G$5:$G$110&lt;&gt;"acoes")))*INDEX(Inputs!$K$5:$AJ$110,0,MATCH(Q$2,Inputs!$K$4:$AJ$4,0)))+SUMPRODUCT((Inputs!$C$5:$C$110=$B19)*Inputs!$D$5:$D$110*(((Inputs!$G$5:$G$110="moeda")+(Inputs!$G$5:$G$110="acoes"))*Inputs!$B$1+((Inputs!$G$5:$G$110&lt;&gt;"moeda")*(Inputs!$G$5:$G$110&lt;&gt;"acoes")))*INDEX(Inputs!$K$5:$AJ$110,0,MATCH(Q$2,Inputs!$K$4:$AJ$4,0)))+SUMPRODUCT((Inputs!$E$5:$E$110=$B19)*Inputs!$F$5:$F$110*(((Inputs!$G$5:$G$110="moeda")+(Inputs!$G$5:$G$110="acoes"))*Inputs!$B$1+((Inputs!$G$5:$G$110&lt;&gt;"moeda")*(Inputs!$G$5:$G$110&lt;&gt;"acoes")))*INDEX(Inputs!$K$5:$AJ$110,0,MATCH(Q$2,Inputs!$K$4:$AJ$4,0)))))</f>
        <v>0</v>
      </c>
      <c r="R19" s="3">
        <f>Q19</f>
        <v>0</v>
      </c>
      <c r="S19" s="6">
        <f>IF(ISNA(MATCH(S$2,Inputs!$K$4:$AJ$4,0)),NA(),IF(SUMPRODUCT((Inputs!$A$5:$A$110=$B19)*ISNUMBER(INDEX(Inputs!$K$5:$AJ$110,0,MATCH(S$2,Inputs!$K$4:$AJ$4,0))))+SUMPRODUCT((Inputs!$C$5:$C$110=$B19)*ISNUMBER(INDEX(Inputs!$K$5:$AJ$110,0,MATCH(S$2,Inputs!$K$4:$AJ$4,0))))+SUMPRODUCT((Inputs!$E$5:$E$110=$B19)*ISNUMBER(INDEX(Inputs!$K$5:$AJ$110,0,MATCH(S$2,Inputs!$K$4:$AJ$4,0))))=0,NA(),SUMPRODUCT((Inputs!$A$5:$A$110=$B19)*Inputs!$B$5:$B$110*(((Inputs!$G$5:$G$110="moeda")+(Inputs!$G$5:$G$110="acoes"))*Inputs!$B$1+((Inputs!$G$5:$G$110&lt;&gt;"moeda")*(Inputs!$G$5:$G$110&lt;&gt;"acoes")))*INDEX(Inputs!$K$5:$AJ$110,0,MATCH(S$2,Inputs!$K$4:$AJ$4,0)))+SUMPRODUCT((Inputs!$C$5:$C$110=$B19)*Inputs!$D$5:$D$110*(((Inputs!$G$5:$G$110="moeda")+(Inputs!$G$5:$G$110="acoes"))*Inputs!$B$1+((Inputs!$G$5:$G$110&lt;&gt;"moeda")*(Inputs!$G$5:$G$110&lt;&gt;"acoes")))*INDEX(Inputs!$K$5:$AJ$110,0,MATCH(S$2,Inputs!$K$4:$AJ$4,0)))+SUMPRODUCT((Inputs!$E$5:$E$110=$B19)*Inputs!$F$5:$F$110*(((Inputs!$G$5:$G$110="moeda")+(Inputs!$G$5:$G$110="acoes"))*Inputs!$B$1+((Inputs!$G$5:$G$110&lt;&gt;"moeda")*(Inputs!$G$5:$G$110&lt;&gt;"acoes")))*INDEX(Inputs!$K$5:$AJ$110,0,MATCH(S$2,Inputs!$K$4:$AJ$4,0)))))</f>
        <v>0</v>
      </c>
      <c r="T19" s="6">
        <f>IF(ISNA(MATCH(T$2,Inputs!$K$4:$AJ$4,0)),NA(),IF(SUMPRODUCT((Inputs!$A$5:$A$110=$B19)*ISNUMBER(INDEX(Inputs!$K$5:$AJ$110,0,MATCH(T$2,Inputs!$K$4:$AJ$4,0))))+SUMPRODUCT((Inputs!$C$5:$C$110=$B19)*ISNUMBER(INDEX(Inputs!$K$5:$AJ$110,0,MATCH(T$2,Inputs!$K$4:$AJ$4,0))))+SUMPRODUCT((Inputs!$E$5:$E$110=$B19)*ISNUMBER(INDEX(Inputs!$K$5:$AJ$110,0,MATCH(T$2,Inputs!$K$4:$AJ$4,0))))=0,NA(),SUMPRODUCT((Inputs!$A$5:$A$110=$B19)*Inputs!$B$5:$B$110*(((Inputs!$G$5:$G$110="moeda")+(Inputs!$G$5:$G$110="acoes"))*Inputs!$B$1+((Inputs!$G$5:$G$110&lt;&gt;"moeda")*(Inputs!$G$5:$G$110&lt;&gt;"acoes")))*INDEX(Inputs!$K$5:$AJ$110,0,MATCH(T$2,Inputs!$K$4:$AJ$4,0)))+SUMPRODUCT((Inputs!$C$5:$C$110=$B19)*Inputs!$D$5:$D$110*(((Inputs!$G$5:$G$110="moeda")+(Inputs!$G$5:$G$110="acoes"))*Inputs!$B$1+((Inputs!$G$5:$G$110&lt;&gt;"moeda")*(Inputs!$G$5:$G$110&lt;&gt;"acoes")))*INDEX(Inputs!$K$5:$AJ$110,0,MATCH(T$2,Inputs!$K$4:$AJ$4,0)))+SUMPRODUCT((Inputs!$E$5:$E$110=$B19)*Inputs!$F$5:$F$110*(((Inputs!$G$5:$G$110="moeda")+(Inputs!$G$5:$G$110="acoes"))*Inputs!$B$1+((Inputs!$G$5:$G$110&lt;&gt;"moeda")*(Inputs!$G$5:$G$110&lt;&gt;"acoes")))*INDEX(Inputs!$K$5:$AJ$110,0,MATCH(T$2,Inputs!$K$4:$AJ$4,0)))))</f>
        <v>0</v>
      </c>
      <c r="U19" s="6">
        <f>IF(ISNA(MATCH(U$2,Inputs!$K$4:$AJ$4,0)),NA(),IF(SUMPRODUCT((Inputs!$A$5:$A$110=$B19)*ISNUMBER(INDEX(Inputs!$K$5:$AJ$110,0,MATCH(U$2,Inputs!$K$4:$AJ$4,0))))+SUMPRODUCT((Inputs!$C$5:$C$110=$B19)*ISNUMBER(INDEX(Inputs!$K$5:$AJ$110,0,MATCH(U$2,Inputs!$K$4:$AJ$4,0))))+SUMPRODUCT((Inputs!$E$5:$E$110=$B19)*ISNUMBER(INDEX(Inputs!$K$5:$AJ$110,0,MATCH(U$2,Inputs!$K$4:$AJ$4,0))))=0,NA(),SUMPRODUCT((Inputs!$A$5:$A$110=$B19)*Inputs!$B$5:$B$110*(((Inputs!$G$5:$G$110="moeda")+(Inputs!$G$5:$G$110="acoes"))*Inputs!$B$1+((Inputs!$G$5:$G$110&lt;&gt;"moeda")*(Inputs!$G$5:$G$110&lt;&gt;"acoes")))*INDEX(Inputs!$K$5:$AJ$110,0,MATCH(U$2,Inputs!$K$4:$AJ$4,0)))+SUMPRODUCT((Inputs!$C$5:$C$110=$B19)*Inputs!$D$5:$D$110*(((Inputs!$G$5:$G$110="moeda")+(Inputs!$G$5:$G$110="acoes"))*Inputs!$B$1+((Inputs!$G$5:$G$110&lt;&gt;"moeda")*(Inputs!$G$5:$G$110&lt;&gt;"acoes")))*INDEX(Inputs!$K$5:$AJ$110,0,MATCH(U$2,Inputs!$K$4:$AJ$4,0)))+SUMPRODUCT((Inputs!$E$5:$E$110=$B19)*Inputs!$F$5:$F$110*(((Inputs!$G$5:$G$110="moeda")+(Inputs!$G$5:$G$110="acoes"))*Inputs!$B$1+((Inputs!$G$5:$G$110&lt;&gt;"moeda")*(Inputs!$G$5:$G$110&lt;&gt;"acoes")))*INDEX(Inputs!$K$5:$AJ$110,0,MATCH(U$2,Inputs!$K$4:$AJ$4,0)))))</f>
        <v>0</v>
      </c>
      <c r="V19" s="6">
        <f>IF(ISNA(MATCH(V$2,Inputs!$K$4:$AJ$4,0)),NA(),IF(SUMPRODUCT((Inputs!$A$5:$A$110=$B19)*ISNUMBER(INDEX(Inputs!$K$5:$AJ$110,0,MATCH(V$2,Inputs!$K$4:$AJ$4,0))))+SUMPRODUCT((Inputs!$C$5:$C$110=$B19)*ISNUMBER(INDEX(Inputs!$K$5:$AJ$110,0,MATCH(V$2,Inputs!$K$4:$AJ$4,0))))+SUMPRODUCT((Inputs!$E$5:$E$110=$B19)*ISNUMBER(INDEX(Inputs!$K$5:$AJ$110,0,MATCH(V$2,Inputs!$K$4:$AJ$4,0))))=0,NA(),SUMPRODUCT((Inputs!$A$5:$A$110=$B19)*Inputs!$B$5:$B$110*(((Inputs!$G$5:$G$110="moeda")+(Inputs!$G$5:$G$110="acoes"))*Inputs!$B$1+((Inputs!$G$5:$G$110&lt;&gt;"moeda")*(Inputs!$G$5:$G$110&lt;&gt;"acoes")))*INDEX(Inputs!$K$5:$AJ$110,0,MATCH(V$2,Inputs!$K$4:$AJ$4,0)))+SUMPRODUCT((Inputs!$C$5:$C$110=$B19)*Inputs!$D$5:$D$110*(((Inputs!$G$5:$G$110="moeda")+(Inputs!$G$5:$G$110="acoes"))*Inputs!$B$1+((Inputs!$G$5:$G$110&lt;&gt;"moeda")*(Inputs!$G$5:$G$110&lt;&gt;"acoes")))*INDEX(Inputs!$K$5:$AJ$110,0,MATCH(V$2,Inputs!$K$4:$AJ$4,0)))+SUMPRODUCT((Inputs!$E$5:$E$110=$B19)*Inputs!$F$5:$F$110*(((Inputs!$G$5:$G$110="moeda")+(Inputs!$G$5:$G$110="acoes"))*Inputs!$B$1+((Inputs!$G$5:$G$110&lt;&gt;"moeda")*(Inputs!$G$5:$G$110&lt;&gt;"acoes")))*INDEX(Inputs!$K$5:$AJ$110,0,MATCH(V$2,Inputs!$K$4:$AJ$4,0)))))</f>
        <v>0</v>
      </c>
      <c r="W19" s="3">
        <f>V19</f>
        <v>0</v>
      </c>
      <c r="X19" s="6">
        <f>IF(ISNA(MATCH(X$2,Inputs!$K$4:$AJ$4,0)),NA(),IF(SUMPRODUCT((Inputs!$A$5:$A$110=$B19)*ISNUMBER(INDEX(Inputs!$K$5:$AJ$110,0,MATCH(X$2,Inputs!$K$4:$AJ$4,0))))+SUMPRODUCT((Inputs!$C$5:$C$110=$B19)*ISNUMBER(INDEX(Inputs!$K$5:$AJ$110,0,MATCH(X$2,Inputs!$K$4:$AJ$4,0))))+SUMPRODUCT((Inputs!$E$5:$E$110=$B19)*ISNUMBER(INDEX(Inputs!$K$5:$AJ$110,0,MATCH(X$2,Inputs!$K$4:$AJ$4,0))))=0,NA(),SUMPRODUCT((Inputs!$A$5:$A$110=$B19)*Inputs!$B$5:$B$110*(((Inputs!$G$5:$G$110="moeda")+(Inputs!$G$5:$G$110="acoes"))*Inputs!$B$1+((Inputs!$G$5:$G$110&lt;&gt;"moeda")*(Inputs!$G$5:$G$110&lt;&gt;"acoes")))*INDEX(Inputs!$K$5:$AJ$110,0,MATCH(X$2,Inputs!$K$4:$AJ$4,0)))+SUMPRODUCT((Inputs!$C$5:$C$110=$B19)*Inputs!$D$5:$D$110*(((Inputs!$G$5:$G$110="moeda")+(Inputs!$G$5:$G$110="acoes"))*Inputs!$B$1+((Inputs!$G$5:$G$110&lt;&gt;"moeda")*(Inputs!$G$5:$G$110&lt;&gt;"acoes")))*INDEX(Inputs!$K$5:$AJ$110,0,MATCH(X$2,Inputs!$K$4:$AJ$4,0)))+SUMPRODUCT((Inputs!$E$5:$E$110=$B19)*Inputs!$F$5:$F$110*(((Inputs!$G$5:$G$110="moeda")+(Inputs!$G$5:$G$110="acoes"))*Inputs!$B$1+((Inputs!$G$5:$G$110&lt;&gt;"moeda")*(Inputs!$G$5:$G$110&lt;&gt;"acoes")))*INDEX(Inputs!$K$5:$AJ$110,0,MATCH(X$2,Inputs!$K$4:$AJ$4,0)))))</f>
        <v>0</v>
      </c>
      <c r="Y19" s="6">
        <f>IF(ISNA(MATCH(Y$2,Inputs!$K$4:$AJ$4,0)),NA(),IF(SUMPRODUCT((Inputs!$A$5:$A$110=$B19)*ISNUMBER(INDEX(Inputs!$K$5:$AJ$110,0,MATCH(Y$2,Inputs!$K$4:$AJ$4,0))))+SUMPRODUCT((Inputs!$C$5:$C$110=$B19)*ISNUMBER(INDEX(Inputs!$K$5:$AJ$110,0,MATCH(Y$2,Inputs!$K$4:$AJ$4,0))))+SUMPRODUCT((Inputs!$E$5:$E$110=$B19)*ISNUMBER(INDEX(Inputs!$K$5:$AJ$110,0,MATCH(Y$2,Inputs!$K$4:$AJ$4,0))))=0,NA(),SUMPRODUCT((Inputs!$A$5:$A$110=$B19)*Inputs!$B$5:$B$110*(((Inputs!$G$5:$G$110="moeda")+(Inputs!$G$5:$G$110="acoes"))*Inputs!$B$1+((Inputs!$G$5:$G$110&lt;&gt;"moeda")*(Inputs!$G$5:$G$110&lt;&gt;"acoes")))*INDEX(Inputs!$K$5:$AJ$110,0,MATCH(Y$2,Inputs!$K$4:$AJ$4,0)))+SUMPRODUCT((Inputs!$C$5:$C$110=$B19)*Inputs!$D$5:$D$110*(((Inputs!$G$5:$G$110="moeda")+(Inputs!$G$5:$G$110="acoes"))*Inputs!$B$1+((Inputs!$G$5:$G$110&lt;&gt;"moeda")*(Inputs!$G$5:$G$110&lt;&gt;"acoes")))*INDEX(Inputs!$K$5:$AJ$110,0,MATCH(Y$2,Inputs!$K$4:$AJ$4,0)))+SUMPRODUCT((Inputs!$E$5:$E$110=$B19)*Inputs!$F$5:$F$110*(((Inputs!$G$5:$G$110="moeda")+(Inputs!$G$5:$G$110="acoes"))*Inputs!$B$1+((Inputs!$G$5:$G$110&lt;&gt;"moeda")*(Inputs!$G$5:$G$110&lt;&gt;"acoes")))*INDEX(Inputs!$K$5:$AJ$110,0,MATCH(Y$2,Inputs!$K$4:$AJ$4,0)))))</f>
        <v>0</v>
      </c>
      <c r="Z19" s="6">
        <f>IF(ISNA(MATCH(Z$2,Inputs!$K$4:$AJ$4,0)),NA(),IF(SUMPRODUCT((Inputs!$A$5:$A$110=$B19)*ISNUMBER(INDEX(Inputs!$K$5:$AJ$110,0,MATCH(Z$2,Inputs!$K$4:$AJ$4,0))))+SUMPRODUCT((Inputs!$C$5:$C$110=$B19)*ISNUMBER(INDEX(Inputs!$K$5:$AJ$110,0,MATCH(Z$2,Inputs!$K$4:$AJ$4,0))))+SUMPRODUCT((Inputs!$E$5:$E$110=$B19)*ISNUMBER(INDEX(Inputs!$K$5:$AJ$110,0,MATCH(Z$2,Inputs!$K$4:$AJ$4,0))))=0,NA(),SUMPRODUCT((Inputs!$A$5:$A$110=$B19)*Inputs!$B$5:$B$110*(((Inputs!$G$5:$G$110="moeda")+(Inputs!$G$5:$G$110="acoes"))*Inputs!$B$1+((Inputs!$G$5:$G$110&lt;&gt;"moeda")*(Inputs!$G$5:$G$110&lt;&gt;"acoes")))*INDEX(Inputs!$K$5:$AJ$110,0,MATCH(Z$2,Inputs!$K$4:$AJ$4,0)))+SUMPRODUCT((Inputs!$C$5:$C$110=$B19)*Inputs!$D$5:$D$110*(((Inputs!$G$5:$G$110="moeda")+(Inputs!$G$5:$G$110="acoes"))*Inputs!$B$1+((Inputs!$G$5:$G$110&lt;&gt;"moeda")*(Inputs!$G$5:$G$110&lt;&gt;"acoes")))*INDEX(Inputs!$K$5:$AJ$110,0,MATCH(Z$2,Inputs!$K$4:$AJ$4,0)))+SUMPRODUCT((Inputs!$E$5:$E$110=$B19)*Inputs!$F$5:$F$110*(((Inputs!$G$5:$G$110="moeda")+(Inputs!$G$5:$G$110="acoes"))*Inputs!$B$1+((Inputs!$G$5:$G$110&lt;&gt;"moeda")*(Inputs!$G$5:$G$110&lt;&gt;"acoes")))*INDEX(Inputs!$K$5:$AJ$110,0,MATCH(Z$2,Inputs!$K$4:$AJ$4,0)))))</f>
        <v>0</v>
      </c>
      <c r="AA19" s="6">
        <f>IF(ISNA(MATCH(AA$2,Inputs!$K$4:$AJ$4,0)),NA(),IF(SUMPRODUCT((Inputs!$A$5:$A$110=$B19)*ISNUMBER(INDEX(Inputs!$K$5:$AJ$110,0,MATCH(AA$2,Inputs!$K$4:$AJ$4,0))))+SUMPRODUCT((Inputs!$C$5:$C$110=$B19)*ISNUMBER(INDEX(Inputs!$K$5:$AJ$110,0,MATCH(AA$2,Inputs!$K$4:$AJ$4,0))))+SUMPRODUCT((Inputs!$E$5:$E$110=$B19)*ISNUMBER(INDEX(Inputs!$K$5:$AJ$110,0,MATCH(AA$2,Inputs!$K$4:$AJ$4,0))))=0,NA(),SUMPRODUCT((Inputs!$A$5:$A$110=$B19)*Inputs!$B$5:$B$110*(((Inputs!$G$5:$G$110="moeda")+(Inputs!$G$5:$G$110="acoes"))*Inputs!$B$1+((Inputs!$G$5:$G$110&lt;&gt;"moeda")*(Inputs!$G$5:$G$110&lt;&gt;"acoes")))*INDEX(Inputs!$K$5:$AJ$110,0,MATCH(AA$2,Inputs!$K$4:$AJ$4,0)))+SUMPRODUCT((Inputs!$C$5:$C$110=$B19)*Inputs!$D$5:$D$110*(((Inputs!$G$5:$G$110="moeda")+(Inputs!$G$5:$G$110="acoes"))*Inputs!$B$1+((Inputs!$G$5:$G$110&lt;&gt;"moeda")*(Inputs!$G$5:$G$110&lt;&gt;"acoes")))*INDEX(Inputs!$K$5:$AJ$110,0,MATCH(AA$2,Inputs!$K$4:$AJ$4,0)))+SUMPRODUCT((Inputs!$E$5:$E$110=$B19)*Inputs!$F$5:$F$110*(((Inputs!$G$5:$G$110="moeda")+(Inputs!$G$5:$G$110="acoes"))*Inputs!$B$1+((Inputs!$G$5:$G$110&lt;&gt;"moeda")*(Inputs!$G$5:$G$110&lt;&gt;"acoes")))*INDEX(Inputs!$K$5:$AJ$110,0,MATCH(AA$2,Inputs!$K$4:$AJ$4,0)))))</f>
        <v>0</v>
      </c>
      <c r="AB19" s="3">
        <f>AA19</f>
        <v>0</v>
      </c>
      <c r="AC19" s="6">
        <f>IF(ISNA(MATCH(AC$2,Inputs!$K$4:$AJ$4,0)),NA(),IF(SUMPRODUCT((Inputs!$A$5:$A$110=$B19)*ISNUMBER(INDEX(Inputs!$K$5:$AJ$110,0,MATCH(AC$2,Inputs!$K$4:$AJ$4,0))))+SUMPRODUCT((Inputs!$C$5:$C$110=$B19)*ISNUMBER(INDEX(Inputs!$K$5:$AJ$110,0,MATCH(AC$2,Inputs!$K$4:$AJ$4,0))))+SUMPRODUCT((Inputs!$E$5:$E$110=$B19)*ISNUMBER(INDEX(Inputs!$K$5:$AJ$110,0,MATCH(AC$2,Inputs!$K$4:$AJ$4,0))))=0,NA(),SUMPRODUCT((Inputs!$A$5:$A$110=$B19)*Inputs!$B$5:$B$110*(((Inputs!$G$5:$G$110="moeda")+(Inputs!$G$5:$G$110="acoes"))*Inputs!$B$1+((Inputs!$G$5:$G$110&lt;&gt;"moeda")*(Inputs!$G$5:$G$110&lt;&gt;"acoes")))*INDEX(Inputs!$K$5:$AJ$110,0,MATCH(AC$2,Inputs!$K$4:$AJ$4,0)))+SUMPRODUCT((Inputs!$C$5:$C$110=$B19)*Inputs!$D$5:$D$110*(((Inputs!$G$5:$G$110="moeda")+(Inputs!$G$5:$G$110="acoes"))*Inputs!$B$1+((Inputs!$G$5:$G$110&lt;&gt;"moeda")*(Inputs!$G$5:$G$110&lt;&gt;"acoes")))*INDEX(Inputs!$K$5:$AJ$110,0,MATCH(AC$2,Inputs!$K$4:$AJ$4,0)))+SUMPRODUCT((Inputs!$E$5:$E$110=$B19)*Inputs!$F$5:$F$110*(((Inputs!$G$5:$G$110="moeda")+(Inputs!$G$5:$G$110="acoes"))*Inputs!$B$1+((Inputs!$G$5:$G$110&lt;&gt;"moeda")*(Inputs!$G$5:$G$110&lt;&gt;"acoes")))*INDEX(Inputs!$K$5:$AJ$110,0,MATCH(AC$2,Inputs!$K$4:$AJ$4,0)))))</f>
        <v>0</v>
      </c>
      <c r="AD19" s="6">
        <f>IF(ISNA(MATCH(AD$2,Inputs!$K$4:$AJ$4,0)),NA(),IF(SUMPRODUCT((Inputs!$A$5:$A$110=$B19)*ISNUMBER(INDEX(Inputs!$K$5:$AJ$110,0,MATCH(AD$2,Inputs!$K$4:$AJ$4,0))))+SUMPRODUCT((Inputs!$C$5:$C$110=$B19)*ISNUMBER(INDEX(Inputs!$K$5:$AJ$110,0,MATCH(AD$2,Inputs!$K$4:$AJ$4,0))))+SUMPRODUCT((Inputs!$E$5:$E$110=$B19)*ISNUMBER(INDEX(Inputs!$K$5:$AJ$110,0,MATCH(AD$2,Inputs!$K$4:$AJ$4,0))))=0,NA(),SUMPRODUCT((Inputs!$A$5:$A$110=$B19)*Inputs!$B$5:$B$110*(((Inputs!$G$5:$G$110="moeda")+(Inputs!$G$5:$G$110="acoes"))*Inputs!$B$1+((Inputs!$G$5:$G$110&lt;&gt;"moeda")*(Inputs!$G$5:$G$110&lt;&gt;"acoes")))*INDEX(Inputs!$K$5:$AJ$110,0,MATCH(AD$2,Inputs!$K$4:$AJ$4,0)))+SUMPRODUCT((Inputs!$C$5:$C$110=$B19)*Inputs!$D$5:$D$110*(((Inputs!$G$5:$G$110="moeda")+(Inputs!$G$5:$G$110="acoes"))*Inputs!$B$1+((Inputs!$G$5:$G$110&lt;&gt;"moeda")*(Inputs!$G$5:$G$110&lt;&gt;"acoes")))*INDEX(Inputs!$K$5:$AJ$110,0,MATCH(AD$2,Inputs!$K$4:$AJ$4,0)))+SUMPRODUCT((Inputs!$E$5:$E$110=$B19)*Inputs!$F$5:$F$110*(((Inputs!$G$5:$G$110="moeda")+(Inputs!$G$5:$G$110="acoes"))*Inputs!$B$1+((Inputs!$G$5:$G$110&lt;&gt;"moeda")*(Inputs!$G$5:$G$110&lt;&gt;"acoes")))*INDEX(Inputs!$K$5:$AJ$110,0,MATCH(AD$2,Inputs!$K$4:$AJ$4,0)))))</f>
        <v>0</v>
      </c>
      <c r="AE19" s="6" t="e">
        <f>IF(ISNA(MATCH(AE$2,Inputs!$K$4:$AJ$4,0)),NA(),IF(SUMPRODUCT((Inputs!$A$5:$A$110=$B19)*ISNUMBER(INDEX(Inputs!$K$5:$AJ$110,0,MATCH(AE$2,Inputs!$K$4:$AJ$4,0))))+SUMPRODUCT((Inputs!$C$5:$C$110=$B19)*ISNUMBER(INDEX(Inputs!$K$5:$AJ$110,0,MATCH(AE$2,Inputs!$K$4:$AJ$4,0))))+SUMPRODUCT((Inputs!$E$5:$E$110=$B19)*ISNUMBER(INDEX(Inputs!$K$5:$AJ$110,0,MATCH(AE$2,Inputs!$K$4:$AJ$4,0))))=0,NA(),SUMPRODUCT((Inputs!$A$5:$A$110=$B19)*Inputs!$B$5:$B$110*(((Inputs!$G$5:$G$110="moeda")+(Inputs!$G$5:$G$110="acoes"))*Inputs!$B$1+((Inputs!$G$5:$G$110&lt;&gt;"moeda")*(Inputs!$G$5:$G$110&lt;&gt;"acoes")))*INDEX(Inputs!$K$5:$AJ$110,0,MATCH(AE$2,Inputs!$K$4:$AJ$4,0)))+SUMPRODUCT((Inputs!$C$5:$C$110=$B19)*Inputs!$D$5:$D$110*(((Inputs!$G$5:$G$110="moeda")+(Inputs!$G$5:$G$110="acoes"))*Inputs!$B$1+((Inputs!$G$5:$G$110&lt;&gt;"moeda")*(Inputs!$G$5:$G$110&lt;&gt;"acoes")))*INDEX(Inputs!$K$5:$AJ$110,0,MATCH(AE$2,Inputs!$K$4:$AJ$4,0)))+SUMPRODUCT((Inputs!$E$5:$E$110=$B19)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9" s="6" t="e">
        <f>IF(ISNA(MATCH(AF$2,Inputs!$K$4:$AJ$4,0)),NA(),IF(SUMPRODUCT((Inputs!$A$5:$A$110=$B19)*ISNUMBER(INDEX(Inputs!$K$5:$AJ$110,0,MATCH(AF$2,Inputs!$K$4:$AJ$4,0))))+SUMPRODUCT((Inputs!$C$5:$C$110=$B19)*ISNUMBER(INDEX(Inputs!$K$5:$AJ$110,0,MATCH(AF$2,Inputs!$K$4:$AJ$4,0))))+SUMPRODUCT((Inputs!$E$5:$E$110=$B19)*ISNUMBER(INDEX(Inputs!$K$5:$AJ$110,0,MATCH(AF$2,Inputs!$K$4:$AJ$4,0))))=0,NA(),SUMPRODUCT((Inputs!$A$5:$A$110=$B19)*Inputs!$B$5:$B$110*(((Inputs!$G$5:$G$110="moeda")+(Inputs!$G$5:$G$110="acoes"))*Inputs!$B$1+((Inputs!$G$5:$G$110&lt;&gt;"moeda")*(Inputs!$G$5:$G$110&lt;&gt;"acoes")))*INDEX(Inputs!$K$5:$AJ$110,0,MATCH(AF$2,Inputs!$K$4:$AJ$4,0)))+SUMPRODUCT((Inputs!$C$5:$C$110=$B19)*Inputs!$D$5:$D$110*(((Inputs!$G$5:$G$110="moeda")+(Inputs!$G$5:$G$110="acoes"))*Inputs!$B$1+((Inputs!$G$5:$G$110&lt;&gt;"moeda")*(Inputs!$G$5:$G$110&lt;&gt;"acoes")))*INDEX(Inputs!$K$5:$AJ$110,0,MATCH(AF$2,Inputs!$K$4:$AJ$4,0)))+SUMPRODUCT((Inputs!$E$5:$E$110=$B19)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9" s="3" t="e">
        <f>AF19</f>
        <v>#N/A</v>
      </c>
      <c r="AH19" s="6">
        <f>IF(ISNA(MATCH(AH$2,Inputs!$K$4:$AJ$4,0)),NA(),IF(SUMPRODUCT((Inputs!$A$5:$A$110=$B19)*ISNUMBER(INDEX(Inputs!$K$5:$AJ$110,0,MATCH(AH$2,Inputs!$K$4:$AJ$4,0))))+SUMPRODUCT((Inputs!$C$5:$C$110=$B19)*ISNUMBER(INDEX(Inputs!$K$5:$AJ$110,0,MATCH(AH$2,Inputs!$K$4:$AJ$4,0))))+SUMPRODUCT((Inputs!$E$5:$E$110=$B19)*ISNUMBER(INDEX(Inputs!$K$5:$AJ$110,0,MATCH(AH$2,Inputs!$K$4:$AJ$4,0))))=0,NA(),SUMPRODUCT((Inputs!$A$5:$A$110=$B19)*Inputs!$B$5:$B$110*(((Inputs!$G$5:$G$110="moeda")+(Inputs!$G$5:$G$110="acoes"))*Inputs!$B$1+((Inputs!$G$5:$G$110&lt;&gt;"moeda")*(Inputs!$G$5:$G$110&lt;&gt;"acoes")))*INDEX(Inputs!$K$5:$AJ$110,0,MATCH(AH$2,Inputs!$K$4:$AJ$4,0)))+SUMPRODUCT((Inputs!$C$5:$C$110=$B19)*Inputs!$D$5:$D$110*(((Inputs!$G$5:$G$110="moeda")+(Inputs!$G$5:$G$110="acoes"))*Inputs!$B$1+((Inputs!$G$5:$G$110&lt;&gt;"moeda")*(Inputs!$G$5:$G$110&lt;&gt;"acoes")))*INDEX(Inputs!$K$5:$AJ$110,0,MATCH(AH$2,Inputs!$K$4:$AJ$4,0)))+SUMPRODUCT((Inputs!$E$5:$E$110=$B19)*Inputs!$F$5:$F$110*(((Inputs!$G$5:$G$110="moeda")+(Inputs!$G$5:$G$110="acoes"))*Inputs!$B$1+((Inputs!$G$5:$G$110&lt;&gt;"moeda")*(Inputs!$G$5:$G$110&lt;&gt;"acoes")))*INDEX(Inputs!$K$5:$AJ$110,0,MATCH(AH$2,Inputs!$K$4:$AJ$4,0)))))</f>
        <v>0</v>
      </c>
      <c r="AI19" s="6">
        <f>IF(ISNA(MATCH(AI$2,Inputs!$K$4:$AJ$4,0)),NA(),IF(SUMPRODUCT((Inputs!$A$5:$A$110=$B19)*ISNUMBER(INDEX(Inputs!$K$5:$AJ$110,0,MATCH(AI$2,Inputs!$K$4:$AJ$4,0))))+SUMPRODUCT((Inputs!$C$5:$C$110=$B19)*ISNUMBER(INDEX(Inputs!$K$5:$AJ$110,0,MATCH(AI$2,Inputs!$K$4:$AJ$4,0))))+SUMPRODUCT((Inputs!$E$5:$E$110=$B19)*ISNUMBER(INDEX(Inputs!$K$5:$AJ$110,0,MATCH(AI$2,Inputs!$K$4:$AJ$4,0))))=0,NA(),SUMPRODUCT((Inputs!$A$5:$A$110=$B19)*Inputs!$B$5:$B$110*(((Inputs!$G$5:$G$110="moeda")+(Inputs!$G$5:$G$110="acoes"))*Inputs!$B$1+((Inputs!$G$5:$G$110&lt;&gt;"moeda")*(Inputs!$G$5:$G$110&lt;&gt;"acoes")))*INDEX(Inputs!$K$5:$AJ$110,0,MATCH(AI$2,Inputs!$K$4:$AJ$4,0)))+SUMPRODUCT((Inputs!$C$5:$C$110=$B19)*Inputs!$D$5:$D$110*(((Inputs!$G$5:$G$110="moeda")+(Inputs!$G$5:$G$110="acoes"))*Inputs!$B$1+((Inputs!$G$5:$G$110&lt;&gt;"moeda")*(Inputs!$G$5:$G$110&lt;&gt;"acoes")))*INDEX(Inputs!$K$5:$AJ$110,0,MATCH(AI$2,Inputs!$K$4:$AJ$4,0)))+SUMPRODUCT((Inputs!$E$5:$E$110=$B19)*Inputs!$F$5:$F$110*(((Inputs!$G$5:$G$110="moeda")+(Inputs!$G$5:$G$110="acoes"))*Inputs!$B$1+((Inputs!$G$5:$G$110&lt;&gt;"moeda")*(Inputs!$G$5:$G$110&lt;&gt;"acoes")))*INDEX(Inputs!$K$5:$AJ$110,0,MATCH(AI$2,Inputs!$K$4:$AJ$4,0)))))</f>
        <v>0</v>
      </c>
      <c r="AJ19" s="6">
        <f>IF(ISNA(MATCH(AJ$2,Inputs!$K$4:$AJ$4,0)),NA(),IF(SUMPRODUCT((Inputs!$A$5:$A$110=$B19)*ISNUMBER(INDEX(Inputs!$K$5:$AJ$110,0,MATCH(AJ$2,Inputs!$K$4:$AJ$4,0))))+SUMPRODUCT((Inputs!$C$5:$C$110=$B19)*ISNUMBER(INDEX(Inputs!$K$5:$AJ$110,0,MATCH(AJ$2,Inputs!$K$4:$AJ$4,0))))+SUMPRODUCT((Inputs!$E$5:$E$110=$B19)*ISNUMBER(INDEX(Inputs!$K$5:$AJ$110,0,MATCH(AJ$2,Inputs!$K$4:$AJ$4,0))))=0,NA(),SUMPRODUCT((Inputs!$A$5:$A$110=$B19)*Inputs!$B$5:$B$110*(((Inputs!$G$5:$G$110="moeda")+(Inputs!$G$5:$G$110="acoes"))*Inputs!$B$1+((Inputs!$G$5:$G$110&lt;&gt;"moeda")*(Inputs!$G$5:$G$110&lt;&gt;"acoes")))*INDEX(Inputs!$K$5:$AJ$110,0,MATCH(AJ$2,Inputs!$K$4:$AJ$4,0)))+SUMPRODUCT((Inputs!$C$5:$C$110=$B19)*Inputs!$D$5:$D$110*(((Inputs!$G$5:$G$110="moeda")+(Inputs!$G$5:$G$110="acoes"))*Inputs!$B$1+((Inputs!$G$5:$G$110&lt;&gt;"moeda")*(Inputs!$G$5:$G$110&lt;&gt;"acoes")))*INDEX(Inputs!$K$5:$AJ$110,0,MATCH(AJ$2,Inputs!$K$4:$AJ$4,0)))+SUMPRODUCT((Inputs!$E$5:$E$110=$B19)*Inputs!$F$5:$F$110*(((Inputs!$G$5:$G$110="moeda")+(Inputs!$G$5:$G$110="acoes"))*Inputs!$B$1+((Inputs!$G$5:$G$110&lt;&gt;"moeda")*(Inputs!$G$5:$G$110&lt;&gt;"acoes")))*INDEX(Inputs!$K$5:$AJ$110,0,MATCH(AJ$2,Inputs!$K$4:$AJ$4,0)))))</f>
        <v>0</v>
      </c>
      <c r="AK19" s="6">
        <f>IF(ISNA(MATCH(AK$2,Inputs!$K$4:$AJ$4,0)),NA(),IF(SUMPRODUCT((Inputs!$A$5:$A$110=$B19)*ISNUMBER(INDEX(Inputs!$K$5:$AJ$110,0,MATCH(AK$2,Inputs!$K$4:$AJ$4,0))))+SUMPRODUCT((Inputs!$C$5:$C$110=$B19)*ISNUMBER(INDEX(Inputs!$K$5:$AJ$110,0,MATCH(AK$2,Inputs!$K$4:$AJ$4,0))))+SUMPRODUCT((Inputs!$E$5:$E$110=$B19)*ISNUMBER(INDEX(Inputs!$K$5:$AJ$110,0,MATCH(AK$2,Inputs!$K$4:$AJ$4,0))))=0,NA(),SUMPRODUCT((Inputs!$A$5:$A$110=$B19)*Inputs!$B$5:$B$110*(((Inputs!$G$5:$G$110="moeda")+(Inputs!$G$5:$G$110="acoes"))*Inputs!$B$1+((Inputs!$G$5:$G$110&lt;&gt;"moeda")*(Inputs!$G$5:$G$110&lt;&gt;"acoes")))*INDEX(Inputs!$K$5:$AJ$110,0,MATCH(AK$2,Inputs!$K$4:$AJ$4,0)))+SUMPRODUCT((Inputs!$C$5:$C$110=$B19)*Inputs!$D$5:$D$110*(((Inputs!$G$5:$G$110="moeda")+(Inputs!$G$5:$G$110="acoes"))*Inputs!$B$1+((Inputs!$G$5:$G$110&lt;&gt;"moeda")*(Inputs!$G$5:$G$110&lt;&gt;"acoes")))*INDEX(Inputs!$K$5:$AJ$110,0,MATCH(AK$2,Inputs!$K$4:$AJ$4,0)))+SUMPRODUCT((Inputs!$E$5:$E$110=$B19)*Inputs!$F$5:$F$110*(((Inputs!$G$5:$G$110="moeda")+(Inputs!$G$5:$G$110="acoes"))*Inputs!$B$1+((Inputs!$G$5:$G$110&lt;&gt;"moeda")*(Inputs!$G$5:$G$110&lt;&gt;"acoes")))*INDEX(Inputs!$K$5:$AJ$110,0,MATCH(AK$2,Inputs!$K$4:$AJ$4,0)))))</f>
        <v>0</v>
      </c>
      <c r="AL19" s="3">
        <f>AK19</f>
        <v>0</v>
      </c>
    </row>
    <row r="20">
      <c r="B20" s="46" t="n">
        <v>16</v>
      </c>
      <c r="C20" s="26" t="inlineStr">
        <is>
          <t>Other current assets</t>
        </is>
      </c>
      <c r="D20" s="6">
        <f>IF(ISNA(MATCH(D$2,Inputs!$K$4:$AJ$4,0)),NA(),IF(SUMPRODUCT((Inputs!$A$5:$A$110=$B20)*ISNUMBER(INDEX(Inputs!$K$5:$AJ$110,0,MATCH(D$2,Inputs!$K$4:$AJ$4,0))))+SUMPRODUCT((Inputs!$C$5:$C$110=$B20)*ISNUMBER(INDEX(Inputs!$K$5:$AJ$110,0,MATCH(D$2,Inputs!$K$4:$AJ$4,0))))+SUMPRODUCT((Inputs!$E$5:$E$110=$B20)*ISNUMBER(INDEX(Inputs!$K$5:$AJ$110,0,MATCH(D$2,Inputs!$K$4:$AJ$4,0))))=0,NA(),SUMPRODUCT((Inputs!$A$5:$A$110=$B20)*Inputs!$B$5:$B$110*(((Inputs!$G$5:$G$110="moeda")+(Inputs!$G$5:$G$110="acoes"))*Inputs!$B$1+((Inputs!$G$5:$G$110&lt;&gt;"moeda")*(Inputs!$G$5:$G$110&lt;&gt;"acoes")))*INDEX(Inputs!$K$5:$AJ$110,0,MATCH(D$2,Inputs!$K$4:$AJ$4,0)))+SUMPRODUCT((Inputs!$C$5:$C$110=$B20)*Inputs!$D$5:$D$110*(((Inputs!$G$5:$G$110="moeda")+(Inputs!$G$5:$G$110="acoes"))*Inputs!$B$1+((Inputs!$G$5:$G$110&lt;&gt;"moeda")*(Inputs!$G$5:$G$110&lt;&gt;"acoes")))*INDEX(Inputs!$K$5:$AJ$110,0,MATCH(D$2,Inputs!$K$4:$AJ$4,0)))+SUMPRODUCT((Inputs!$E$5:$E$110=$B20)*Inputs!$F$5:$F$110*(((Inputs!$G$5:$G$110="moeda")+(Inputs!$G$5:$G$110="acoes"))*Inputs!$B$1+((Inputs!$G$5:$G$110&lt;&gt;"moeda")*(Inputs!$G$5:$G$110&lt;&gt;"acoes")))*INDEX(Inputs!$K$5:$AJ$110,0,MATCH(D$2,Inputs!$K$4:$AJ$4,0)))))</f>
        <v>1298</v>
      </c>
      <c r="E20" s="6">
        <f>IF(ISNA(MATCH(E$2,Inputs!$K$4:$AJ$4,0)),NA(),IF(SUMPRODUCT((Inputs!$A$5:$A$110=$B20)*ISNUMBER(INDEX(Inputs!$K$5:$AJ$110,0,MATCH(E$2,Inputs!$K$4:$AJ$4,0))))+SUMPRODUCT((Inputs!$C$5:$C$110=$B20)*ISNUMBER(INDEX(Inputs!$K$5:$AJ$110,0,MATCH(E$2,Inputs!$K$4:$AJ$4,0))))+SUMPRODUCT((Inputs!$E$5:$E$110=$B20)*ISNUMBER(INDEX(Inputs!$K$5:$AJ$110,0,MATCH(E$2,Inputs!$K$4:$AJ$4,0))))=0,NA(),SUMPRODUCT((Inputs!$A$5:$A$110=$B20)*Inputs!$B$5:$B$110*(((Inputs!$G$5:$G$110="moeda")+(Inputs!$G$5:$G$110="acoes"))*Inputs!$B$1+((Inputs!$G$5:$G$110&lt;&gt;"moeda")*(Inputs!$G$5:$G$110&lt;&gt;"acoes")))*INDEX(Inputs!$K$5:$AJ$110,0,MATCH(E$2,Inputs!$K$4:$AJ$4,0)))+SUMPRODUCT((Inputs!$C$5:$C$110=$B20)*Inputs!$D$5:$D$110*(((Inputs!$G$5:$G$110="moeda")+(Inputs!$G$5:$G$110="acoes"))*Inputs!$B$1+((Inputs!$G$5:$G$110&lt;&gt;"moeda")*(Inputs!$G$5:$G$110&lt;&gt;"acoes")))*INDEX(Inputs!$K$5:$AJ$110,0,MATCH(E$2,Inputs!$K$4:$AJ$4,0)))+SUMPRODUCT((Inputs!$E$5:$E$110=$B20)*Inputs!$F$5:$F$110*(((Inputs!$G$5:$G$110="moeda")+(Inputs!$G$5:$G$110="acoes"))*Inputs!$B$1+((Inputs!$G$5:$G$110&lt;&gt;"moeda")*(Inputs!$G$5:$G$110&lt;&gt;"acoes")))*INDEX(Inputs!$K$5:$AJ$110,0,MATCH(E$2,Inputs!$K$4:$AJ$4,0)))))</f>
        <v>1137</v>
      </c>
      <c r="F20" s="6">
        <f>IF(ISNA(MATCH(F$2,Inputs!$K$4:$AJ$4,0)),NA(),IF(SUMPRODUCT((Inputs!$A$5:$A$110=$B20)*ISNUMBER(INDEX(Inputs!$K$5:$AJ$110,0,MATCH(F$2,Inputs!$K$4:$AJ$4,0))))+SUMPRODUCT((Inputs!$C$5:$C$110=$B20)*ISNUMBER(INDEX(Inputs!$K$5:$AJ$110,0,MATCH(F$2,Inputs!$K$4:$AJ$4,0))))+SUMPRODUCT((Inputs!$E$5:$E$110=$B20)*ISNUMBER(INDEX(Inputs!$K$5:$AJ$110,0,MATCH(F$2,Inputs!$K$4:$AJ$4,0))))=0,NA(),SUMPRODUCT((Inputs!$A$5:$A$110=$B20)*Inputs!$B$5:$B$110*(((Inputs!$G$5:$G$110="moeda")+(Inputs!$G$5:$G$110="acoes"))*Inputs!$B$1+((Inputs!$G$5:$G$110&lt;&gt;"moeda")*(Inputs!$G$5:$G$110&lt;&gt;"acoes")))*INDEX(Inputs!$K$5:$AJ$110,0,MATCH(F$2,Inputs!$K$4:$AJ$4,0)))+SUMPRODUCT((Inputs!$C$5:$C$110=$B20)*Inputs!$D$5:$D$110*(((Inputs!$G$5:$G$110="moeda")+(Inputs!$G$5:$G$110="acoes"))*Inputs!$B$1+((Inputs!$G$5:$G$110&lt;&gt;"moeda")*(Inputs!$G$5:$G$110&lt;&gt;"acoes")))*INDEX(Inputs!$K$5:$AJ$110,0,MATCH(F$2,Inputs!$K$4:$AJ$4,0)))+SUMPRODUCT((Inputs!$E$5:$E$110=$B20)*Inputs!$F$5:$F$110*(((Inputs!$G$5:$G$110="moeda")+(Inputs!$G$5:$G$110="acoes"))*Inputs!$B$1+((Inputs!$G$5:$G$110&lt;&gt;"moeda")*(Inputs!$G$5:$G$110&lt;&gt;"acoes")))*INDEX(Inputs!$K$5:$AJ$110,0,MATCH(F$2,Inputs!$K$4:$AJ$4,0)))))</f>
        <v>1055</v>
      </c>
      <c r="G20" s="6">
        <f>IF(ISNA(MATCH(G$2,Inputs!$K$4:$AJ$4,0)),NA(),IF(SUMPRODUCT((Inputs!$A$5:$A$110=$B20)*ISNUMBER(INDEX(Inputs!$K$5:$AJ$110,0,MATCH(G$2,Inputs!$K$4:$AJ$4,0))))+SUMPRODUCT((Inputs!$C$5:$C$110=$B20)*ISNUMBER(INDEX(Inputs!$K$5:$AJ$110,0,MATCH(G$2,Inputs!$K$4:$AJ$4,0))))+SUMPRODUCT((Inputs!$E$5:$E$110=$B20)*ISNUMBER(INDEX(Inputs!$K$5:$AJ$110,0,MATCH(G$2,Inputs!$K$4:$AJ$4,0))))=0,NA(),SUMPRODUCT((Inputs!$A$5:$A$110=$B20)*Inputs!$B$5:$B$110*(((Inputs!$G$5:$G$110="moeda")+(Inputs!$G$5:$G$110="acoes"))*Inputs!$B$1+((Inputs!$G$5:$G$110&lt;&gt;"moeda")*(Inputs!$G$5:$G$110&lt;&gt;"acoes")))*INDEX(Inputs!$K$5:$AJ$110,0,MATCH(G$2,Inputs!$K$4:$AJ$4,0)))+SUMPRODUCT((Inputs!$C$5:$C$110=$B20)*Inputs!$D$5:$D$110*(((Inputs!$G$5:$G$110="moeda")+(Inputs!$G$5:$G$110="acoes"))*Inputs!$B$1+((Inputs!$G$5:$G$110&lt;&gt;"moeda")*(Inputs!$G$5:$G$110&lt;&gt;"acoes")))*INDEX(Inputs!$K$5:$AJ$110,0,MATCH(G$2,Inputs!$K$4:$AJ$4,0)))+SUMPRODUCT((Inputs!$E$5:$E$110=$B20)*Inputs!$F$5:$F$110*(((Inputs!$G$5:$G$110="moeda")+(Inputs!$G$5:$G$110="acoes"))*Inputs!$B$1+((Inputs!$G$5:$G$110&lt;&gt;"moeda")*(Inputs!$G$5:$G$110&lt;&gt;"acoes")))*INDEX(Inputs!$K$5:$AJ$110,0,MATCH(G$2,Inputs!$K$4:$AJ$4,0)))))</f>
        <v>1063</v>
      </c>
      <c r="H20" s="3">
        <f>G20</f>
        <v>1063</v>
      </c>
      <c r="I20" s="6">
        <f>IF(ISNA(MATCH(I$2,Inputs!$K$4:$AJ$4,0)),NA(),IF(SUMPRODUCT((Inputs!$A$5:$A$110=$B20)*ISNUMBER(INDEX(Inputs!$K$5:$AJ$110,0,MATCH(I$2,Inputs!$K$4:$AJ$4,0))))+SUMPRODUCT((Inputs!$C$5:$C$110=$B20)*ISNUMBER(INDEX(Inputs!$K$5:$AJ$110,0,MATCH(I$2,Inputs!$K$4:$AJ$4,0))))+SUMPRODUCT((Inputs!$E$5:$E$110=$B20)*ISNUMBER(INDEX(Inputs!$K$5:$AJ$110,0,MATCH(I$2,Inputs!$K$4:$AJ$4,0))))=0,NA(),SUMPRODUCT((Inputs!$A$5:$A$110=$B20)*Inputs!$B$5:$B$110*(((Inputs!$G$5:$G$110="moeda")+(Inputs!$G$5:$G$110="acoes"))*Inputs!$B$1+((Inputs!$G$5:$G$110&lt;&gt;"moeda")*(Inputs!$G$5:$G$110&lt;&gt;"acoes")))*INDEX(Inputs!$K$5:$AJ$110,0,MATCH(I$2,Inputs!$K$4:$AJ$4,0)))+SUMPRODUCT((Inputs!$C$5:$C$110=$B20)*Inputs!$D$5:$D$110*(((Inputs!$G$5:$G$110="moeda")+(Inputs!$G$5:$G$110="acoes"))*Inputs!$B$1+((Inputs!$G$5:$G$110&lt;&gt;"moeda")*(Inputs!$G$5:$G$110&lt;&gt;"acoes")))*INDEX(Inputs!$K$5:$AJ$110,0,MATCH(I$2,Inputs!$K$4:$AJ$4,0)))+SUMPRODUCT((Inputs!$E$5:$E$110=$B20)*Inputs!$F$5:$F$110*(((Inputs!$G$5:$G$110="moeda")+(Inputs!$G$5:$G$110="acoes"))*Inputs!$B$1+((Inputs!$G$5:$G$110&lt;&gt;"moeda")*(Inputs!$G$5:$G$110&lt;&gt;"acoes")))*INDEX(Inputs!$K$5:$AJ$110,0,MATCH(I$2,Inputs!$K$4:$AJ$4,0)))))</f>
        <v>1054</v>
      </c>
      <c r="J20" s="6">
        <f>IF(ISNA(MATCH(J$2,Inputs!$K$4:$AJ$4,0)),NA(),IF(SUMPRODUCT((Inputs!$A$5:$A$110=$B20)*ISNUMBER(INDEX(Inputs!$K$5:$AJ$110,0,MATCH(J$2,Inputs!$K$4:$AJ$4,0))))+SUMPRODUCT((Inputs!$C$5:$C$110=$B20)*ISNUMBER(INDEX(Inputs!$K$5:$AJ$110,0,MATCH(J$2,Inputs!$K$4:$AJ$4,0))))+SUMPRODUCT((Inputs!$E$5:$E$110=$B20)*ISNUMBER(INDEX(Inputs!$K$5:$AJ$110,0,MATCH(J$2,Inputs!$K$4:$AJ$4,0))))=0,NA(),SUMPRODUCT((Inputs!$A$5:$A$110=$B20)*Inputs!$B$5:$B$110*(((Inputs!$G$5:$G$110="moeda")+(Inputs!$G$5:$G$110="acoes"))*Inputs!$B$1+((Inputs!$G$5:$G$110&lt;&gt;"moeda")*(Inputs!$G$5:$G$110&lt;&gt;"acoes")))*INDEX(Inputs!$K$5:$AJ$110,0,MATCH(J$2,Inputs!$K$4:$AJ$4,0)))+SUMPRODUCT((Inputs!$C$5:$C$110=$B20)*Inputs!$D$5:$D$110*(((Inputs!$G$5:$G$110="moeda")+(Inputs!$G$5:$G$110="acoes"))*Inputs!$B$1+((Inputs!$G$5:$G$110&lt;&gt;"moeda")*(Inputs!$G$5:$G$110&lt;&gt;"acoes")))*INDEX(Inputs!$K$5:$AJ$110,0,MATCH(J$2,Inputs!$K$4:$AJ$4,0)))+SUMPRODUCT((Inputs!$E$5:$E$110=$B20)*Inputs!$F$5:$F$110*(((Inputs!$G$5:$G$110="moeda")+(Inputs!$G$5:$G$110="acoes"))*Inputs!$B$1+((Inputs!$G$5:$G$110&lt;&gt;"moeda")*(Inputs!$G$5:$G$110&lt;&gt;"acoes")))*INDEX(Inputs!$K$5:$AJ$110,0,MATCH(J$2,Inputs!$K$4:$AJ$4,0)))))</f>
        <v>1038</v>
      </c>
      <c r="K20" s="6">
        <f>IF(ISNA(MATCH(K$2,Inputs!$K$4:$AJ$4,0)),NA(),IF(SUMPRODUCT((Inputs!$A$5:$A$110=$B20)*ISNUMBER(INDEX(Inputs!$K$5:$AJ$110,0,MATCH(K$2,Inputs!$K$4:$AJ$4,0))))+SUMPRODUCT((Inputs!$C$5:$C$110=$B20)*ISNUMBER(INDEX(Inputs!$K$5:$AJ$110,0,MATCH(K$2,Inputs!$K$4:$AJ$4,0))))+SUMPRODUCT((Inputs!$E$5:$E$110=$B20)*ISNUMBER(INDEX(Inputs!$K$5:$AJ$110,0,MATCH(K$2,Inputs!$K$4:$AJ$4,0))))=0,NA(),SUMPRODUCT((Inputs!$A$5:$A$110=$B20)*Inputs!$B$5:$B$110*(((Inputs!$G$5:$G$110="moeda")+(Inputs!$G$5:$G$110="acoes"))*Inputs!$B$1+((Inputs!$G$5:$G$110&lt;&gt;"moeda")*(Inputs!$G$5:$G$110&lt;&gt;"acoes")))*INDEX(Inputs!$K$5:$AJ$110,0,MATCH(K$2,Inputs!$K$4:$AJ$4,0)))+SUMPRODUCT((Inputs!$C$5:$C$110=$B20)*Inputs!$D$5:$D$110*(((Inputs!$G$5:$G$110="moeda")+(Inputs!$G$5:$G$110="acoes"))*Inputs!$B$1+((Inputs!$G$5:$G$110&lt;&gt;"moeda")*(Inputs!$G$5:$G$110&lt;&gt;"acoes")))*INDEX(Inputs!$K$5:$AJ$110,0,MATCH(K$2,Inputs!$K$4:$AJ$4,0)))+SUMPRODUCT((Inputs!$E$5:$E$110=$B20)*Inputs!$F$5:$F$110*(((Inputs!$G$5:$G$110="moeda")+(Inputs!$G$5:$G$110="acoes"))*Inputs!$B$1+((Inputs!$G$5:$G$110&lt;&gt;"moeda")*(Inputs!$G$5:$G$110&lt;&gt;"acoes")))*INDEX(Inputs!$K$5:$AJ$110,0,MATCH(K$2,Inputs!$K$4:$AJ$4,0)))))</f>
        <v>1205</v>
      </c>
      <c r="L20" s="6">
        <f>IF(ISNA(MATCH(L$2,Inputs!$K$4:$AJ$4,0)),NA(),IF(SUMPRODUCT((Inputs!$A$5:$A$110=$B20)*ISNUMBER(INDEX(Inputs!$K$5:$AJ$110,0,MATCH(L$2,Inputs!$K$4:$AJ$4,0))))+SUMPRODUCT((Inputs!$C$5:$C$110=$B20)*ISNUMBER(INDEX(Inputs!$K$5:$AJ$110,0,MATCH(L$2,Inputs!$K$4:$AJ$4,0))))+SUMPRODUCT((Inputs!$E$5:$E$110=$B20)*ISNUMBER(INDEX(Inputs!$K$5:$AJ$110,0,MATCH(L$2,Inputs!$K$4:$AJ$4,0))))=0,NA(),SUMPRODUCT((Inputs!$A$5:$A$110=$B20)*Inputs!$B$5:$B$110*(((Inputs!$G$5:$G$110="moeda")+(Inputs!$G$5:$G$110="acoes"))*Inputs!$B$1+((Inputs!$G$5:$G$110&lt;&gt;"moeda")*(Inputs!$G$5:$G$110&lt;&gt;"acoes")))*INDEX(Inputs!$K$5:$AJ$110,0,MATCH(L$2,Inputs!$K$4:$AJ$4,0)))+SUMPRODUCT((Inputs!$C$5:$C$110=$B20)*Inputs!$D$5:$D$110*(((Inputs!$G$5:$G$110="moeda")+(Inputs!$G$5:$G$110="acoes"))*Inputs!$B$1+((Inputs!$G$5:$G$110&lt;&gt;"moeda")*(Inputs!$G$5:$G$110&lt;&gt;"acoes")))*INDEX(Inputs!$K$5:$AJ$110,0,MATCH(L$2,Inputs!$K$4:$AJ$4,0)))+SUMPRODUCT((Inputs!$E$5:$E$110=$B20)*Inputs!$F$5:$F$110*(((Inputs!$G$5:$G$110="moeda")+(Inputs!$G$5:$G$110="acoes"))*Inputs!$B$1+((Inputs!$G$5:$G$110&lt;&gt;"moeda")*(Inputs!$G$5:$G$110&lt;&gt;"acoes")))*INDEX(Inputs!$K$5:$AJ$110,0,MATCH(L$2,Inputs!$K$4:$AJ$4,0)))))</f>
        <v>1056</v>
      </c>
      <c r="M20" s="3">
        <f>L20</f>
        <v>1056</v>
      </c>
      <c r="N20" s="6">
        <f>IF(ISNA(MATCH(N$2,Inputs!$K$4:$AJ$4,0)),NA(),IF(SUMPRODUCT((Inputs!$A$5:$A$110=$B20)*ISNUMBER(INDEX(Inputs!$K$5:$AJ$110,0,MATCH(N$2,Inputs!$K$4:$AJ$4,0))))+SUMPRODUCT((Inputs!$C$5:$C$110=$B20)*ISNUMBER(INDEX(Inputs!$K$5:$AJ$110,0,MATCH(N$2,Inputs!$K$4:$AJ$4,0))))+SUMPRODUCT((Inputs!$E$5:$E$110=$B20)*ISNUMBER(INDEX(Inputs!$K$5:$AJ$110,0,MATCH(N$2,Inputs!$K$4:$AJ$4,0))))=0,NA(),SUMPRODUCT((Inputs!$A$5:$A$110=$B20)*Inputs!$B$5:$B$110*(((Inputs!$G$5:$G$110="moeda")+(Inputs!$G$5:$G$110="acoes"))*Inputs!$B$1+((Inputs!$G$5:$G$110&lt;&gt;"moeda")*(Inputs!$G$5:$G$110&lt;&gt;"acoes")))*INDEX(Inputs!$K$5:$AJ$110,0,MATCH(N$2,Inputs!$K$4:$AJ$4,0)))+SUMPRODUCT((Inputs!$C$5:$C$110=$B20)*Inputs!$D$5:$D$110*(((Inputs!$G$5:$G$110="moeda")+(Inputs!$G$5:$G$110="acoes"))*Inputs!$B$1+((Inputs!$G$5:$G$110&lt;&gt;"moeda")*(Inputs!$G$5:$G$110&lt;&gt;"acoes")))*INDEX(Inputs!$K$5:$AJ$110,0,MATCH(N$2,Inputs!$K$4:$AJ$4,0)))+SUMPRODUCT((Inputs!$E$5:$E$110=$B20)*Inputs!$F$5:$F$110*(((Inputs!$G$5:$G$110="moeda")+(Inputs!$G$5:$G$110="acoes"))*Inputs!$B$1+((Inputs!$G$5:$G$110&lt;&gt;"moeda")*(Inputs!$G$5:$G$110&lt;&gt;"acoes")))*INDEX(Inputs!$K$5:$AJ$110,0,MATCH(N$2,Inputs!$K$4:$AJ$4,0)))))</f>
        <v>1401</v>
      </c>
      <c r="O20" s="6">
        <f>IF(ISNA(MATCH(O$2,Inputs!$K$4:$AJ$4,0)),NA(),IF(SUMPRODUCT((Inputs!$A$5:$A$110=$B20)*ISNUMBER(INDEX(Inputs!$K$5:$AJ$110,0,MATCH(O$2,Inputs!$K$4:$AJ$4,0))))+SUMPRODUCT((Inputs!$C$5:$C$110=$B20)*ISNUMBER(INDEX(Inputs!$K$5:$AJ$110,0,MATCH(O$2,Inputs!$K$4:$AJ$4,0))))+SUMPRODUCT((Inputs!$E$5:$E$110=$B20)*ISNUMBER(INDEX(Inputs!$K$5:$AJ$110,0,MATCH(O$2,Inputs!$K$4:$AJ$4,0))))=0,NA(),SUMPRODUCT((Inputs!$A$5:$A$110=$B20)*Inputs!$B$5:$B$110*(((Inputs!$G$5:$G$110="moeda")+(Inputs!$G$5:$G$110="acoes"))*Inputs!$B$1+((Inputs!$G$5:$G$110&lt;&gt;"moeda")*(Inputs!$G$5:$G$110&lt;&gt;"acoes")))*INDEX(Inputs!$K$5:$AJ$110,0,MATCH(O$2,Inputs!$K$4:$AJ$4,0)))+SUMPRODUCT((Inputs!$C$5:$C$110=$B20)*Inputs!$D$5:$D$110*(((Inputs!$G$5:$G$110="moeda")+(Inputs!$G$5:$G$110="acoes"))*Inputs!$B$1+((Inputs!$G$5:$G$110&lt;&gt;"moeda")*(Inputs!$G$5:$G$110&lt;&gt;"acoes")))*INDEX(Inputs!$K$5:$AJ$110,0,MATCH(O$2,Inputs!$K$4:$AJ$4,0)))+SUMPRODUCT((Inputs!$E$5:$E$110=$B20)*Inputs!$F$5:$F$110*(((Inputs!$G$5:$G$110="moeda")+(Inputs!$G$5:$G$110="acoes"))*Inputs!$B$1+((Inputs!$G$5:$G$110&lt;&gt;"moeda")*(Inputs!$G$5:$G$110&lt;&gt;"acoes")))*INDEX(Inputs!$K$5:$AJ$110,0,MATCH(O$2,Inputs!$K$4:$AJ$4,0)))))</f>
        <v>1522</v>
      </c>
      <c r="P20" s="6">
        <f>IF(ISNA(MATCH(P$2,Inputs!$K$4:$AJ$4,0)),NA(),IF(SUMPRODUCT((Inputs!$A$5:$A$110=$B20)*ISNUMBER(INDEX(Inputs!$K$5:$AJ$110,0,MATCH(P$2,Inputs!$K$4:$AJ$4,0))))+SUMPRODUCT((Inputs!$C$5:$C$110=$B20)*ISNUMBER(INDEX(Inputs!$K$5:$AJ$110,0,MATCH(P$2,Inputs!$K$4:$AJ$4,0))))+SUMPRODUCT((Inputs!$E$5:$E$110=$B20)*ISNUMBER(INDEX(Inputs!$K$5:$AJ$110,0,MATCH(P$2,Inputs!$K$4:$AJ$4,0))))=0,NA(),SUMPRODUCT((Inputs!$A$5:$A$110=$B20)*Inputs!$B$5:$B$110*(((Inputs!$G$5:$G$110="moeda")+(Inputs!$G$5:$G$110="acoes"))*Inputs!$B$1+((Inputs!$G$5:$G$110&lt;&gt;"moeda")*(Inputs!$G$5:$G$110&lt;&gt;"acoes")))*INDEX(Inputs!$K$5:$AJ$110,0,MATCH(P$2,Inputs!$K$4:$AJ$4,0)))+SUMPRODUCT((Inputs!$C$5:$C$110=$B20)*Inputs!$D$5:$D$110*(((Inputs!$G$5:$G$110="moeda")+(Inputs!$G$5:$G$110="acoes"))*Inputs!$B$1+((Inputs!$G$5:$G$110&lt;&gt;"moeda")*(Inputs!$G$5:$G$110&lt;&gt;"acoes")))*INDEX(Inputs!$K$5:$AJ$110,0,MATCH(P$2,Inputs!$K$4:$AJ$4,0)))+SUMPRODUCT((Inputs!$E$5:$E$110=$B20)*Inputs!$F$5:$F$110*(((Inputs!$G$5:$G$110="moeda")+(Inputs!$G$5:$G$110="acoes"))*Inputs!$B$1+((Inputs!$G$5:$G$110&lt;&gt;"moeda")*(Inputs!$G$5:$G$110&lt;&gt;"acoes")))*INDEX(Inputs!$K$5:$AJ$110,0,MATCH(P$2,Inputs!$K$4:$AJ$4,0)))))</f>
        <v>1606</v>
      </c>
      <c r="Q20" s="6">
        <f>IF(ISNA(MATCH(Q$2,Inputs!$K$4:$AJ$4,0)),NA(),IF(SUMPRODUCT((Inputs!$A$5:$A$110=$B20)*ISNUMBER(INDEX(Inputs!$K$5:$AJ$110,0,MATCH(Q$2,Inputs!$K$4:$AJ$4,0))))+SUMPRODUCT((Inputs!$C$5:$C$110=$B20)*ISNUMBER(INDEX(Inputs!$K$5:$AJ$110,0,MATCH(Q$2,Inputs!$K$4:$AJ$4,0))))+SUMPRODUCT((Inputs!$E$5:$E$110=$B20)*ISNUMBER(INDEX(Inputs!$K$5:$AJ$110,0,MATCH(Q$2,Inputs!$K$4:$AJ$4,0))))=0,NA(),SUMPRODUCT((Inputs!$A$5:$A$110=$B20)*Inputs!$B$5:$B$110*(((Inputs!$G$5:$G$110="moeda")+(Inputs!$G$5:$G$110="acoes"))*Inputs!$B$1+((Inputs!$G$5:$G$110&lt;&gt;"moeda")*(Inputs!$G$5:$G$110&lt;&gt;"acoes")))*INDEX(Inputs!$K$5:$AJ$110,0,MATCH(Q$2,Inputs!$K$4:$AJ$4,0)))+SUMPRODUCT((Inputs!$C$5:$C$110=$B20)*Inputs!$D$5:$D$110*(((Inputs!$G$5:$G$110="moeda")+(Inputs!$G$5:$G$110="acoes"))*Inputs!$B$1+((Inputs!$G$5:$G$110&lt;&gt;"moeda")*(Inputs!$G$5:$G$110&lt;&gt;"acoes")))*INDEX(Inputs!$K$5:$AJ$110,0,MATCH(Q$2,Inputs!$K$4:$AJ$4,0)))+SUMPRODUCT((Inputs!$E$5:$E$110=$B20)*Inputs!$F$5:$F$110*(((Inputs!$G$5:$G$110="moeda")+(Inputs!$G$5:$G$110="acoes"))*Inputs!$B$1+((Inputs!$G$5:$G$110&lt;&gt;"moeda")*(Inputs!$G$5:$G$110&lt;&gt;"acoes")))*INDEX(Inputs!$K$5:$AJ$110,0,MATCH(Q$2,Inputs!$K$4:$AJ$4,0)))))</f>
        <v>8439</v>
      </c>
      <c r="R20" s="3">
        <f>Q20</f>
        <v>8439</v>
      </c>
      <c r="S20" s="6">
        <f>IF(ISNA(MATCH(S$2,Inputs!$K$4:$AJ$4,0)),NA(),IF(SUMPRODUCT((Inputs!$A$5:$A$110=$B20)*ISNUMBER(INDEX(Inputs!$K$5:$AJ$110,0,MATCH(S$2,Inputs!$K$4:$AJ$4,0))))+SUMPRODUCT((Inputs!$C$5:$C$110=$B20)*ISNUMBER(INDEX(Inputs!$K$5:$AJ$110,0,MATCH(S$2,Inputs!$K$4:$AJ$4,0))))+SUMPRODUCT((Inputs!$E$5:$E$110=$B20)*ISNUMBER(INDEX(Inputs!$K$5:$AJ$110,0,MATCH(S$2,Inputs!$K$4:$AJ$4,0))))=0,NA(),SUMPRODUCT((Inputs!$A$5:$A$110=$B20)*Inputs!$B$5:$B$110*(((Inputs!$G$5:$G$110="moeda")+(Inputs!$G$5:$G$110="acoes"))*Inputs!$B$1+((Inputs!$G$5:$G$110&lt;&gt;"moeda")*(Inputs!$G$5:$G$110&lt;&gt;"acoes")))*INDEX(Inputs!$K$5:$AJ$110,0,MATCH(S$2,Inputs!$K$4:$AJ$4,0)))+SUMPRODUCT((Inputs!$C$5:$C$110=$B20)*Inputs!$D$5:$D$110*(((Inputs!$G$5:$G$110="moeda")+(Inputs!$G$5:$G$110="acoes"))*Inputs!$B$1+((Inputs!$G$5:$G$110&lt;&gt;"moeda")*(Inputs!$G$5:$G$110&lt;&gt;"acoes")))*INDEX(Inputs!$K$5:$AJ$110,0,MATCH(S$2,Inputs!$K$4:$AJ$4,0)))+SUMPRODUCT((Inputs!$E$5:$E$110=$B20)*Inputs!$F$5:$F$110*(((Inputs!$G$5:$G$110="moeda")+(Inputs!$G$5:$G$110="acoes"))*Inputs!$B$1+((Inputs!$G$5:$G$110&lt;&gt;"moeda")*(Inputs!$G$5:$G$110&lt;&gt;"acoes")))*INDEX(Inputs!$K$5:$AJ$110,0,MATCH(S$2,Inputs!$K$4:$AJ$4,0)))))</f>
        <v>8151</v>
      </c>
      <c r="T20" s="6">
        <f>IF(ISNA(MATCH(T$2,Inputs!$K$4:$AJ$4,0)),NA(),IF(SUMPRODUCT((Inputs!$A$5:$A$110=$B20)*ISNUMBER(INDEX(Inputs!$K$5:$AJ$110,0,MATCH(T$2,Inputs!$K$4:$AJ$4,0))))+SUMPRODUCT((Inputs!$C$5:$C$110=$B20)*ISNUMBER(INDEX(Inputs!$K$5:$AJ$110,0,MATCH(T$2,Inputs!$K$4:$AJ$4,0))))+SUMPRODUCT((Inputs!$E$5:$E$110=$B20)*ISNUMBER(INDEX(Inputs!$K$5:$AJ$110,0,MATCH(T$2,Inputs!$K$4:$AJ$4,0))))=0,NA(),SUMPRODUCT((Inputs!$A$5:$A$110=$B20)*Inputs!$B$5:$B$110*(((Inputs!$G$5:$G$110="moeda")+(Inputs!$G$5:$G$110="acoes"))*Inputs!$B$1+((Inputs!$G$5:$G$110&lt;&gt;"moeda")*(Inputs!$G$5:$G$110&lt;&gt;"acoes")))*INDEX(Inputs!$K$5:$AJ$110,0,MATCH(T$2,Inputs!$K$4:$AJ$4,0)))+SUMPRODUCT((Inputs!$C$5:$C$110=$B20)*Inputs!$D$5:$D$110*(((Inputs!$G$5:$G$110="moeda")+(Inputs!$G$5:$G$110="acoes"))*Inputs!$B$1+((Inputs!$G$5:$G$110&lt;&gt;"moeda")*(Inputs!$G$5:$G$110&lt;&gt;"acoes")))*INDEX(Inputs!$K$5:$AJ$110,0,MATCH(T$2,Inputs!$K$4:$AJ$4,0)))+SUMPRODUCT((Inputs!$E$5:$E$110=$B20)*Inputs!$F$5:$F$110*(((Inputs!$G$5:$G$110="moeda")+(Inputs!$G$5:$G$110="acoes"))*Inputs!$B$1+((Inputs!$G$5:$G$110&lt;&gt;"moeda")*(Inputs!$G$5:$G$110&lt;&gt;"acoes")))*INDEX(Inputs!$K$5:$AJ$110,0,MATCH(T$2,Inputs!$K$4:$AJ$4,0)))))</f>
        <v>3436</v>
      </c>
      <c r="U20" s="6">
        <f>IF(ISNA(MATCH(U$2,Inputs!$K$4:$AJ$4,0)),NA(),IF(SUMPRODUCT((Inputs!$A$5:$A$110=$B20)*ISNUMBER(INDEX(Inputs!$K$5:$AJ$110,0,MATCH(U$2,Inputs!$K$4:$AJ$4,0))))+SUMPRODUCT((Inputs!$C$5:$C$110=$B20)*ISNUMBER(INDEX(Inputs!$K$5:$AJ$110,0,MATCH(U$2,Inputs!$K$4:$AJ$4,0))))+SUMPRODUCT((Inputs!$E$5:$E$110=$B20)*ISNUMBER(INDEX(Inputs!$K$5:$AJ$110,0,MATCH(U$2,Inputs!$K$4:$AJ$4,0))))=0,NA(),SUMPRODUCT((Inputs!$A$5:$A$110=$B20)*Inputs!$B$5:$B$110*(((Inputs!$G$5:$G$110="moeda")+(Inputs!$G$5:$G$110="acoes"))*Inputs!$B$1+((Inputs!$G$5:$G$110&lt;&gt;"moeda")*(Inputs!$G$5:$G$110&lt;&gt;"acoes")))*INDEX(Inputs!$K$5:$AJ$110,0,MATCH(U$2,Inputs!$K$4:$AJ$4,0)))+SUMPRODUCT((Inputs!$C$5:$C$110=$B20)*Inputs!$D$5:$D$110*(((Inputs!$G$5:$G$110="moeda")+(Inputs!$G$5:$G$110="acoes"))*Inputs!$B$1+((Inputs!$G$5:$G$110&lt;&gt;"moeda")*(Inputs!$G$5:$G$110&lt;&gt;"acoes")))*INDEX(Inputs!$K$5:$AJ$110,0,MATCH(U$2,Inputs!$K$4:$AJ$4,0)))+SUMPRODUCT((Inputs!$E$5:$E$110=$B20)*Inputs!$F$5:$F$110*(((Inputs!$G$5:$G$110="moeda")+(Inputs!$G$5:$G$110="acoes"))*Inputs!$B$1+((Inputs!$G$5:$G$110&lt;&gt;"moeda")*(Inputs!$G$5:$G$110&lt;&gt;"acoes")))*INDEX(Inputs!$K$5:$AJ$110,0,MATCH(U$2,Inputs!$K$4:$AJ$4,0)))))</f>
        <v>4071</v>
      </c>
      <c r="V20" s="6">
        <f>IF(ISNA(MATCH(V$2,Inputs!$K$4:$AJ$4,0)),NA(),IF(SUMPRODUCT((Inputs!$A$5:$A$110=$B20)*ISNUMBER(INDEX(Inputs!$K$5:$AJ$110,0,MATCH(V$2,Inputs!$K$4:$AJ$4,0))))+SUMPRODUCT((Inputs!$C$5:$C$110=$B20)*ISNUMBER(INDEX(Inputs!$K$5:$AJ$110,0,MATCH(V$2,Inputs!$K$4:$AJ$4,0))))+SUMPRODUCT((Inputs!$E$5:$E$110=$B20)*ISNUMBER(INDEX(Inputs!$K$5:$AJ$110,0,MATCH(V$2,Inputs!$K$4:$AJ$4,0))))=0,NA(),SUMPRODUCT((Inputs!$A$5:$A$110=$B20)*Inputs!$B$5:$B$110*(((Inputs!$G$5:$G$110="moeda")+(Inputs!$G$5:$G$110="acoes"))*Inputs!$B$1+((Inputs!$G$5:$G$110&lt;&gt;"moeda")*(Inputs!$G$5:$G$110&lt;&gt;"acoes")))*INDEX(Inputs!$K$5:$AJ$110,0,MATCH(V$2,Inputs!$K$4:$AJ$4,0)))+SUMPRODUCT((Inputs!$C$5:$C$110=$B20)*Inputs!$D$5:$D$110*(((Inputs!$G$5:$G$110="moeda")+(Inputs!$G$5:$G$110="acoes"))*Inputs!$B$1+((Inputs!$G$5:$G$110&lt;&gt;"moeda")*(Inputs!$G$5:$G$110&lt;&gt;"acoes")))*INDEX(Inputs!$K$5:$AJ$110,0,MATCH(V$2,Inputs!$K$4:$AJ$4,0)))+SUMPRODUCT((Inputs!$E$5:$E$110=$B20)*Inputs!$F$5:$F$110*(((Inputs!$G$5:$G$110="moeda")+(Inputs!$G$5:$G$110="acoes"))*Inputs!$B$1+((Inputs!$G$5:$G$110&lt;&gt;"moeda")*(Inputs!$G$5:$G$110&lt;&gt;"acoes")))*INDEX(Inputs!$K$5:$AJ$110,0,MATCH(V$2,Inputs!$K$4:$AJ$4,0)))))</f>
        <v>4820</v>
      </c>
      <c r="W20" s="3">
        <f>V20</f>
        <v>4820</v>
      </c>
      <c r="X20" s="6">
        <f>IF(ISNA(MATCH(X$2,Inputs!$K$4:$AJ$4,0)),NA(),IF(SUMPRODUCT((Inputs!$A$5:$A$110=$B20)*ISNUMBER(INDEX(Inputs!$K$5:$AJ$110,0,MATCH(X$2,Inputs!$K$4:$AJ$4,0))))+SUMPRODUCT((Inputs!$C$5:$C$110=$B20)*ISNUMBER(INDEX(Inputs!$K$5:$AJ$110,0,MATCH(X$2,Inputs!$K$4:$AJ$4,0))))+SUMPRODUCT((Inputs!$E$5:$E$110=$B20)*ISNUMBER(INDEX(Inputs!$K$5:$AJ$110,0,MATCH(X$2,Inputs!$K$4:$AJ$4,0))))=0,NA(),SUMPRODUCT((Inputs!$A$5:$A$110=$B20)*Inputs!$B$5:$B$110*(((Inputs!$G$5:$G$110="moeda")+(Inputs!$G$5:$G$110="acoes"))*Inputs!$B$1+((Inputs!$G$5:$G$110&lt;&gt;"moeda")*(Inputs!$G$5:$G$110&lt;&gt;"acoes")))*INDEX(Inputs!$K$5:$AJ$110,0,MATCH(X$2,Inputs!$K$4:$AJ$4,0)))+SUMPRODUCT((Inputs!$C$5:$C$110=$B20)*Inputs!$D$5:$D$110*(((Inputs!$G$5:$G$110="moeda")+(Inputs!$G$5:$G$110="acoes"))*Inputs!$B$1+((Inputs!$G$5:$G$110&lt;&gt;"moeda")*(Inputs!$G$5:$G$110&lt;&gt;"acoes")))*INDEX(Inputs!$K$5:$AJ$110,0,MATCH(X$2,Inputs!$K$4:$AJ$4,0)))+SUMPRODUCT((Inputs!$E$5:$E$110=$B20)*Inputs!$F$5:$F$110*(((Inputs!$G$5:$G$110="moeda")+(Inputs!$G$5:$G$110="acoes"))*Inputs!$B$1+((Inputs!$G$5:$G$110&lt;&gt;"moeda")*(Inputs!$G$5:$G$110&lt;&gt;"acoes")))*INDEX(Inputs!$K$5:$AJ$110,0,MATCH(X$2,Inputs!$K$4:$AJ$4,0)))))</f>
        <v>5129</v>
      </c>
      <c r="Y20" s="6">
        <f>IF(ISNA(MATCH(Y$2,Inputs!$K$4:$AJ$4,0)),NA(),IF(SUMPRODUCT((Inputs!$A$5:$A$110=$B20)*ISNUMBER(INDEX(Inputs!$K$5:$AJ$110,0,MATCH(Y$2,Inputs!$K$4:$AJ$4,0))))+SUMPRODUCT((Inputs!$C$5:$C$110=$B20)*ISNUMBER(INDEX(Inputs!$K$5:$AJ$110,0,MATCH(Y$2,Inputs!$K$4:$AJ$4,0))))+SUMPRODUCT((Inputs!$E$5:$E$110=$B20)*ISNUMBER(INDEX(Inputs!$K$5:$AJ$110,0,MATCH(Y$2,Inputs!$K$4:$AJ$4,0))))=0,NA(),SUMPRODUCT((Inputs!$A$5:$A$110=$B20)*Inputs!$B$5:$B$110*(((Inputs!$G$5:$G$110="moeda")+(Inputs!$G$5:$G$110="acoes"))*Inputs!$B$1+((Inputs!$G$5:$G$110&lt;&gt;"moeda")*(Inputs!$G$5:$G$110&lt;&gt;"acoes")))*INDEX(Inputs!$K$5:$AJ$110,0,MATCH(Y$2,Inputs!$K$4:$AJ$4,0)))+SUMPRODUCT((Inputs!$C$5:$C$110=$B20)*Inputs!$D$5:$D$110*(((Inputs!$G$5:$G$110="moeda")+(Inputs!$G$5:$G$110="acoes"))*Inputs!$B$1+((Inputs!$G$5:$G$110&lt;&gt;"moeda")*(Inputs!$G$5:$G$110&lt;&gt;"acoes")))*INDEX(Inputs!$K$5:$AJ$110,0,MATCH(Y$2,Inputs!$K$4:$AJ$4,0)))+SUMPRODUCT((Inputs!$E$5:$E$110=$B20)*Inputs!$F$5:$F$110*(((Inputs!$G$5:$G$110="moeda")+(Inputs!$G$5:$G$110="acoes"))*Inputs!$B$1+((Inputs!$G$5:$G$110&lt;&gt;"moeda")*(Inputs!$G$5:$G$110&lt;&gt;"acoes")))*INDEX(Inputs!$K$5:$AJ$110,0,MATCH(Y$2,Inputs!$K$4:$AJ$4,0)))))</f>
        <v>5606</v>
      </c>
      <c r="Z20" s="6">
        <f>IF(ISNA(MATCH(Z$2,Inputs!$K$4:$AJ$4,0)),NA(),IF(SUMPRODUCT((Inputs!$A$5:$A$110=$B20)*ISNUMBER(INDEX(Inputs!$K$5:$AJ$110,0,MATCH(Z$2,Inputs!$K$4:$AJ$4,0))))+SUMPRODUCT((Inputs!$C$5:$C$110=$B20)*ISNUMBER(INDEX(Inputs!$K$5:$AJ$110,0,MATCH(Z$2,Inputs!$K$4:$AJ$4,0))))+SUMPRODUCT((Inputs!$E$5:$E$110=$B20)*ISNUMBER(INDEX(Inputs!$K$5:$AJ$110,0,MATCH(Z$2,Inputs!$K$4:$AJ$4,0))))=0,NA(),SUMPRODUCT((Inputs!$A$5:$A$110=$B20)*Inputs!$B$5:$B$110*(((Inputs!$G$5:$G$110="moeda")+(Inputs!$G$5:$G$110="acoes"))*Inputs!$B$1+((Inputs!$G$5:$G$110&lt;&gt;"moeda")*(Inputs!$G$5:$G$110&lt;&gt;"acoes")))*INDEX(Inputs!$K$5:$AJ$110,0,MATCH(Z$2,Inputs!$K$4:$AJ$4,0)))+SUMPRODUCT((Inputs!$C$5:$C$110=$B20)*Inputs!$D$5:$D$110*(((Inputs!$G$5:$G$110="moeda")+(Inputs!$G$5:$G$110="acoes"))*Inputs!$B$1+((Inputs!$G$5:$G$110&lt;&gt;"moeda")*(Inputs!$G$5:$G$110&lt;&gt;"acoes")))*INDEX(Inputs!$K$5:$AJ$110,0,MATCH(Z$2,Inputs!$K$4:$AJ$4,0)))+SUMPRODUCT((Inputs!$E$5:$E$110=$B20)*Inputs!$F$5:$F$110*(((Inputs!$G$5:$G$110="moeda")+(Inputs!$G$5:$G$110="acoes"))*Inputs!$B$1+((Inputs!$G$5:$G$110&lt;&gt;"moeda")*(Inputs!$G$5:$G$110&lt;&gt;"acoes")))*INDEX(Inputs!$K$5:$AJ$110,0,MATCH(Z$2,Inputs!$K$4:$AJ$4,0)))))</f>
        <v>5980</v>
      </c>
      <c r="AA20" s="6">
        <f>IF(ISNA(MATCH(AA$2,Inputs!$K$4:$AJ$4,0)),NA(),IF(SUMPRODUCT((Inputs!$A$5:$A$110=$B20)*ISNUMBER(INDEX(Inputs!$K$5:$AJ$110,0,MATCH(AA$2,Inputs!$K$4:$AJ$4,0))))+SUMPRODUCT((Inputs!$C$5:$C$110=$B20)*ISNUMBER(INDEX(Inputs!$K$5:$AJ$110,0,MATCH(AA$2,Inputs!$K$4:$AJ$4,0))))+SUMPRODUCT((Inputs!$E$5:$E$110=$B20)*ISNUMBER(INDEX(Inputs!$K$5:$AJ$110,0,MATCH(AA$2,Inputs!$K$4:$AJ$4,0))))=0,NA(),SUMPRODUCT((Inputs!$A$5:$A$110=$B20)*Inputs!$B$5:$B$110*(((Inputs!$G$5:$G$110="moeda")+(Inputs!$G$5:$G$110="acoes"))*Inputs!$B$1+((Inputs!$G$5:$G$110&lt;&gt;"moeda")*(Inputs!$G$5:$G$110&lt;&gt;"acoes")))*INDEX(Inputs!$K$5:$AJ$110,0,MATCH(AA$2,Inputs!$K$4:$AJ$4,0)))+SUMPRODUCT((Inputs!$C$5:$C$110=$B20)*Inputs!$D$5:$D$110*(((Inputs!$G$5:$G$110="moeda")+(Inputs!$G$5:$G$110="acoes"))*Inputs!$B$1+((Inputs!$G$5:$G$110&lt;&gt;"moeda")*(Inputs!$G$5:$G$110&lt;&gt;"acoes")))*INDEX(Inputs!$K$5:$AJ$110,0,MATCH(AA$2,Inputs!$K$4:$AJ$4,0)))+SUMPRODUCT((Inputs!$E$5:$E$110=$B20)*Inputs!$F$5:$F$110*(((Inputs!$G$5:$G$110="moeda")+(Inputs!$G$5:$G$110="acoes"))*Inputs!$B$1+((Inputs!$G$5:$G$110&lt;&gt;"moeda")*(Inputs!$G$5:$G$110&lt;&gt;"acoes")))*INDEX(Inputs!$K$5:$AJ$110,0,MATCH(AA$2,Inputs!$K$4:$AJ$4,0)))))</f>
        <v>6466</v>
      </c>
      <c r="AB20" s="3">
        <f>AA20</f>
        <v>6466</v>
      </c>
      <c r="AC20" s="6">
        <f>IF(ISNA(MATCH(AC$2,Inputs!$K$4:$AJ$4,0)),NA(),IF(SUMPRODUCT((Inputs!$A$5:$A$110=$B20)*ISNUMBER(INDEX(Inputs!$K$5:$AJ$110,0,MATCH(AC$2,Inputs!$K$4:$AJ$4,0))))+SUMPRODUCT((Inputs!$C$5:$C$110=$B20)*ISNUMBER(INDEX(Inputs!$K$5:$AJ$110,0,MATCH(AC$2,Inputs!$K$4:$AJ$4,0))))+SUMPRODUCT((Inputs!$E$5:$E$110=$B20)*ISNUMBER(INDEX(Inputs!$K$5:$AJ$110,0,MATCH(AC$2,Inputs!$K$4:$AJ$4,0))))=0,NA(),SUMPRODUCT((Inputs!$A$5:$A$110=$B20)*Inputs!$B$5:$B$110*(((Inputs!$G$5:$G$110="moeda")+(Inputs!$G$5:$G$110="acoes"))*Inputs!$B$1+((Inputs!$G$5:$G$110&lt;&gt;"moeda")*(Inputs!$G$5:$G$110&lt;&gt;"acoes")))*INDEX(Inputs!$K$5:$AJ$110,0,MATCH(AC$2,Inputs!$K$4:$AJ$4,0)))+SUMPRODUCT((Inputs!$C$5:$C$110=$B20)*Inputs!$D$5:$D$110*(((Inputs!$G$5:$G$110="moeda")+(Inputs!$G$5:$G$110="acoes"))*Inputs!$B$1+((Inputs!$G$5:$G$110&lt;&gt;"moeda")*(Inputs!$G$5:$G$110&lt;&gt;"acoes")))*INDEX(Inputs!$K$5:$AJ$110,0,MATCH(AC$2,Inputs!$K$4:$AJ$4,0)))+SUMPRODUCT((Inputs!$E$5:$E$110=$B20)*Inputs!$F$5:$F$110*(((Inputs!$G$5:$G$110="moeda")+(Inputs!$G$5:$G$110="acoes"))*Inputs!$B$1+((Inputs!$G$5:$G$110&lt;&gt;"moeda")*(Inputs!$G$5:$G$110&lt;&gt;"acoes")))*INDEX(Inputs!$K$5:$AJ$110,0,MATCH(AC$2,Inputs!$K$4:$AJ$4,0)))))</f>
        <v>7427</v>
      </c>
      <c r="AD20" s="6">
        <f>IF(ISNA(MATCH(AD$2,Inputs!$K$4:$AJ$4,0)),NA(),IF(SUMPRODUCT((Inputs!$A$5:$A$110=$B20)*ISNUMBER(INDEX(Inputs!$K$5:$AJ$110,0,MATCH(AD$2,Inputs!$K$4:$AJ$4,0))))+SUMPRODUCT((Inputs!$C$5:$C$110=$B20)*ISNUMBER(INDEX(Inputs!$K$5:$AJ$110,0,MATCH(AD$2,Inputs!$K$4:$AJ$4,0))))+SUMPRODUCT((Inputs!$E$5:$E$110=$B20)*ISNUMBER(INDEX(Inputs!$K$5:$AJ$110,0,MATCH(AD$2,Inputs!$K$4:$AJ$4,0))))=0,NA(),SUMPRODUCT((Inputs!$A$5:$A$110=$B20)*Inputs!$B$5:$B$110*(((Inputs!$G$5:$G$110="moeda")+(Inputs!$G$5:$G$110="acoes"))*Inputs!$B$1+((Inputs!$G$5:$G$110&lt;&gt;"moeda")*(Inputs!$G$5:$G$110&lt;&gt;"acoes")))*INDEX(Inputs!$K$5:$AJ$110,0,MATCH(AD$2,Inputs!$K$4:$AJ$4,0)))+SUMPRODUCT((Inputs!$C$5:$C$110=$B20)*Inputs!$D$5:$D$110*(((Inputs!$G$5:$G$110="moeda")+(Inputs!$G$5:$G$110="acoes"))*Inputs!$B$1+((Inputs!$G$5:$G$110&lt;&gt;"moeda")*(Inputs!$G$5:$G$110&lt;&gt;"acoes")))*INDEX(Inputs!$K$5:$AJ$110,0,MATCH(AD$2,Inputs!$K$4:$AJ$4,0)))+SUMPRODUCT((Inputs!$E$5:$E$110=$B20)*Inputs!$F$5:$F$110*(((Inputs!$G$5:$G$110="moeda")+(Inputs!$G$5:$G$110="acoes"))*Inputs!$B$1+((Inputs!$G$5:$G$110&lt;&gt;"moeda")*(Inputs!$G$5:$G$110&lt;&gt;"acoes")))*INDEX(Inputs!$K$5:$AJ$110,0,MATCH(AD$2,Inputs!$K$4:$AJ$4,0)))))</f>
        <v>9968</v>
      </c>
      <c r="AE20" s="6" t="e">
        <f>IF(ISNA(MATCH(AE$2,Inputs!$K$4:$AJ$4,0)),NA(),IF(SUMPRODUCT((Inputs!$A$5:$A$110=$B20)*ISNUMBER(INDEX(Inputs!$K$5:$AJ$110,0,MATCH(AE$2,Inputs!$K$4:$AJ$4,0))))+SUMPRODUCT((Inputs!$C$5:$C$110=$B20)*ISNUMBER(INDEX(Inputs!$K$5:$AJ$110,0,MATCH(AE$2,Inputs!$K$4:$AJ$4,0))))+SUMPRODUCT((Inputs!$E$5:$E$110=$B20)*ISNUMBER(INDEX(Inputs!$K$5:$AJ$110,0,MATCH(AE$2,Inputs!$K$4:$AJ$4,0))))=0,NA(),SUMPRODUCT((Inputs!$A$5:$A$110=$B20)*Inputs!$B$5:$B$110*(((Inputs!$G$5:$G$110="moeda")+(Inputs!$G$5:$G$110="acoes"))*Inputs!$B$1+((Inputs!$G$5:$G$110&lt;&gt;"moeda")*(Inputs!$G$5:$G$110&lt;&gt;"acoes")))*INDEX(Inputs!$K$5:$AJ$110,0,MATCH(AE$2,Inputs!$K$4:$AJ$4,0)))+SUMPRODUCT((Inputs!$C$5:$C$110=$B20)*Inputs!$D$5:$D$110*(((Inputs!$G$5:$G$110="moeda")+(Inputs!$G$5:$G$110="acoes"))*Inputs!$B$1+((Inputs!$G$5:$G$110&lt;&gt;"moeda")*(Inputs!$G$5:$G$110&lt;&gt;"acoes")))*INDEX(Inputs!$K$5:$AJ$110,0,MATCH(AE$2,Inputs!$K$4:$AJ$4,0)))+SUMPRODUCT((Inputs!$E$5:$E$110=$B20)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0" s="6" t="e">
        <f>IF(ISNA(MATCH(AF$2,Inputs!$K$4:$AJ$4,0)),NA(),IF(SUMPRODUCT((Inputs!$A$5:$A$110=$B20)*ISNUMBER(INDEX(Inputs!$K$5:$AJ$110,0,MATCH(AF$2,Inputs!$K$4:$AJ$4,0))))+SUMPRODUCT((Inputs!$C$5:$C$110=$B20)*ISNUMBER(INDEX(Inputs!$K$5:$AJ$110,0,MATCH(AF$2,Inputs!$K$4:$AJ$4,0))))+SUMPRODUCT((Inputs!$E$5:$E$110=$B20)*ISNUMBER(INDEX(Inputs!$K$5:$AJ$110,0,MATCH(AF$2,Inputs!$K$4:$AJ$4,0))))=0,NA(),SUMPRODUCT((Inputs!$A$5:$A$110=$B20)*Inputs!$B$5:$B$110*(((Inputs!$G$5:$G$110="moeda")+(Inputs!$G$5:$G$110="acoes"))*Inputs!$B$1+((Inputs!$G$5:$G$110&lt;&gt;"moeda")*(Inputs!$G$5:$G$110&lt;&gt;"acoes")))*INDEX(Inputs!$K$5:$AJ$110,0,MATCH(AF$2,Inputs!$K$4:$AJ$4,0)))+SUMPRODUCT((Inputs!$C$5:$C$110=$B20)*Inputs!$D$5:$D$110*(((Inputs!$G$5:$G$110="moeda")+(Inputs!$G$5:$G$110="acoes"))*Inputs!$B$1+((Inputs!$G$5:$G$110&lt;&gt;"moeda")*(Inputs!$G$5:$G$110&lt;&gt;"acoes")))*INDEX(Inputs!$K$5:$AJ$110,0,MATCH(AF$2,Inputs!$K$4:$AJ$4,0)))+SUMPRODUCT((Inputs!$E$5:$E$110=$B20)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0" s="3" t="e">
        <f>AF20</f>
        <v>#N/A</v>
      </c>
      <c r="AH20" s="6">
        <f>IF(ISNA(MATCH(AH$2,Inputs!$K$4:$AJ$4,0)),NA(),IF(SUMPRODUCT((Inputs!$A$5:$A$110=$B20)*ISNUMBER(INDEX(Inputs!$K$5:$AJ$110,0,MATCH(AH$2,Inputs!$K$4:$AJ$4,0))))+SUMPRODUCT((Inputs!$C$5:$C$110=$B20)*ISNUMBER(INDEX(Inputs!$K$5:$AJ$110,0,MATCH(AH$2,Inputs!$K$4:$AJ$4,0))))+SUMPRODUCT((Inputs!$E$5:$E$110=$B20)*ISNUMBER(INDEX(Inputs!$K$5:$AJ$110,0,MATCH(AH$2,Inputs!$K$4:$AJ$4,0))))=0,NA(),SUMPRODUCT((Inputs!$A$5:$A$110=$B20)*Inputs!$B$5:$B$110*(((Inputs!$G$5:$G$110="moeda")+(Inputs!$G$5:$G$110="acoes"))*Inputs!$B$1+((Inputs!$G$5:$G$110&lt;&gt;"moeda")*(Inputs!$G$5:$G$110&lt;&gt;"acoes")))*INDEX(Inputs!$K$5:$AJ$110,0,MATCH(AH$2,Inputs!$K$4:$AJ$4,0)))+SUMPRODUCT((Inputs!$C$5:$C$110=$B20)*Inputs!$D$5:$D$110*(((Inputs!$G$5:$G$110="moeda")+(Inputs!$G$5:$G$110="acoes"))*Inputs!$B$1+((Inputs!$G$5:$G$110&lt;&gt;"moeda")*(Inputs!$G$5:$G$110&lt;&gt;"acoes")))*INDEX(Inputs!$K$5:$AJ$110,0,MATCH(AH$2,Inputs!$K$4:$AJ$4,0)))+SUMPRODUCT((Inputs!$E$5:$E$110=$B20)*Inputs!$F$5:$F$110*(((Inputs!$G$5:$G$110="moeda")+(Inputs!$G$5:$G$110="acoes"))*Inputs!$B$1+((Inputs!$G$5:$G$110&lt;&gt;"moeda")*(Inputs!$G$5:$G$110&lt;&gt;"acoes")))*INDEX(Inputs!$K$5:$AJ$110,0,MATCH(AH$2,Inputs!$K$4:$AJ$4,0)))))</f>
        <v>851</v>
      </c>
      <c r="AI20" s="6">
        <f>IF(ISNA(MATCH(AI$2,Inputs!$K$4:$AJ$4,0)),NA(),IF(SUMPRODUCT((Inputs!$A$5:$A$110=$B20)*ISNUMBER(INDEX(Inputs!$K$5:$AJ$110,0,MATCH(AI$2,Inputs!$K$4:$AJ$4,0))))+SUMPRODUCT((Inputs!$C$5:$C$110=$B20)*ISNUMBER(INDEX(Inputs!$K$5:$AJ$110,0,MATCH(AI$2,Inputs!$K$4:$AJ$4,0))))+SUMPRODUCT((Inputs!$E$5:$E$110=$B20)*ISNUMBER(INDEX(Inputs!$K$5:$AJ$110,0,MATCH(AI$2,Inputs!$K$4:$AJ$4,0))))=0,NA(),SUMPRODUCT((Inputs!$A$5:$A$110=$B20)*Inputs!$B$5:$B$110*(((Inputs!$G$5:$G$110="moeda")+(Inputs!$G$5:$G$110="acoes"))*Inputs!$B$1+((Inputs!$G$5:$G$110&lt;&gt;"moeda")*(Inputs!$G$5:$G$110&lt;&gt;"acoes")))*INDEX(Inputs!$K$5:$AJ$110,0,MATCH(AI$2,Inputs!$K$4:$AJ$4,0)))+SUMPRODUCT((Inputs!$C$5:$C$110=$B20)*Inputs!$D$5:$D$110*(((Inputs!$G$5:$G$110="moeda")+(Inputs!$G$5:$G$110="acoes"))*Inputs!$B$1+((Inputs!$G$5:$G$110&lt;&gt;"moeda")*(Inputs!$G$5:$G$110&lt;&gt;"acoes")))*INDEX(Inputs!$K$5:$AJ$110,0,MATCH(AI$2,Inputs!$K$4:$AJ$4,0)))+SUMPRODUCT((Inputs!$E$5:$E$110=$B20)*Inputs!$F$5:$F$110*(((Inputs!$G$5:$G$110="moeda")+(Inputs!$G$5:$G$110="acoes"))*Inputs!$B$1+((Inputs!$G$5:$G$110&lt;&gt;"moeda")*(Inputs!$G$5:$G$110&lt;&gt;"acoes")))*INDEX(Inputs!$K$5:$AJ$110,0,MATCH(AI$2,Inputs!$K$4:$AJ$4,0)))))</f>
        <v>1059</v>
      </c>
      <c r="AJ20" s="6">
        <f>IF(ISNA(MATCH(AJ$2,Inputs!$K$4:$AJ$4,0)),NA(),IF(SUMPRODUCT((Inputs!$A$5:$A$110=$B20)*ISNUMBER(INDEX(Inputs!$K$5:$AJ$110,0,MATCH(AJ$2,Inputs!$K$4:$AJ$4,0))))+SUMPRODUCT((Inputs!$C$5:$C$110=$B20)*ISNUMBER(INDEX(Inputs!$K$5:$AJ$110,0,MATCH(AJ$2,Inputs!$K$4:$AJ$4,0))))+SUMPRODUCT((Inputs!$E$5:$E$110=$B20)*ISNUMBER(INDEX(Inputs!$K$5:$AJ$110,0,MATCH(AJ$2,Inputs!$K$4:$AJ$4,0))))=0,NA(),SUMPRODUCT((Inputs!$A$5:$A$110=$B20)*Inputs!$B$5:$B$110*(((Inputs!$G$5:$G$110="moeda")+(Inputs!$G$5:$G$110="acoes"))*Inputs!$B$1+((Inputs!$G$5:$G$110&lt;&gt;"moeda")*(Inputs!$G$5:$G$110&lt;&gt;"acoes")))*INDEX(Inputs!$K$5:$AJ$110,0,MATCH(AJ$2,Inputs!$K$4:$AJ$4,0)))+SUMPRODUCT((Inputs!$C$5:$C$110=$B20)*Inputs!$D$5:$D$110*(((Inputs!$G$5:$G$110="moeda")+(Inputs!$G$5:$G$110="acoes"))*Inputs!$B$1+((Inputs!$G$5:$G$110&lt;&gt;"moeda")*(Inputs!$G$5:$G$110&lt;&gt;"acoes")))*INDEX(Inputs!$K$5:$AJ$110,0,MATCH(AJ$2,Inputs!$K$4:$AJ$4,0)))+SUMPRODUCT((Inputs!$E$5:$E$110=$B20)*Inputs!$F$5:$F$110*(((Inputs!$G$5:$G$110="moeda")+(Inputs!$G$5:$G$110="acoes"))*Inputs!$B$1+((Inputs!$G$5:$G$110&lt;&gt;"moeda")*(Inputs!$G$5:$G$110&lt;&gt;"acoes")))*INDEX(Inputs!$K$5:$AJ$110,0,MATCH(AJ$2,Inputs!$K$4:$AJ$4,0)))))</f>
        <v>977</v>
      </c>
      <c r="AK20" s="6">
        <f>IF(ISNA(MATCH(AK$2,Inputs!$K$4:$AJ$4,0)),NA(),IF(SUMPRODUCT((Inputs!$A$5:$A$110=$B20)*ISNUMBER(INDEX(Inputs!$K$5:$AJ$110,0,MATCH(AK$2,Inputs!$K$4:$AJ$4,0))))+SUMPRODUCT((Inputs!$C$5:$C$110=$B20)*ISNUMBER(INDEX(Inputs!$K$5:$AJ$110,0,MATCH(AK$2,Inputs!$K$4:$AJ$4,0))))+SUMPRODUCT((Inputs!$E$5:$E$110=$B20)*ISNUMBER(INDEX(Inputs!$K$5:$AJ$110,0,MATCH(AK$2,Inputs!$K$4:$AJ$4,0))))=0,NA(),SUMPRODUCT((Inputs!$A$5:$A$110=$B20)*Inputs!$B$5:$B$110*(((Inputs!$G$5:$G$110="moeda")+(Inputs!$G$5:$G$110="acoes"))*Inputs!$B$1+((Inputs!$G$5:$G$110&lt;&gt;"moeda")*(Inputs!$G$5:$G$110&lt;&gt;"acoes")))*INDEX(Inputs!$K$5:$AJ$110,0,MATCH(AK$2,Inputs!$K$4:$AJ$4,0)))+SUMPRODUCT((Inputs!$C$5:$C$110=$B20)*Inputs!$D$5:$D$110*(((Inputs!$G$5:$G$110="moeda")+(Inputs!$G$5:$G$110="acoes"))*Inputs!$B$1+((Inputs!$G$5:$G$110&lt;&gt;"moeda")*(Inputs!$G$5:$G$110&lt;&gt;"acoes")))*INDEX(Inputs!$K$5:$AJ$110,0,MATCH(AK$2,Inputs!$K$4:$AJ$4,0)))+SUMPRODUCT((Inputs!$E$5:$E$110=$B20)*Inputs!$F$5:$F$110*(((Inputs!$G$5:$G$110="moeda")+(Inputs!$G$5:$G$110="acoes"))*Inputs!$B$1+((Inputs!$G$5:$G$110&lt;&gt;"moeda")*(Inputs!$G$5:$G$110&lt;&gt;"acoes")))*INDEX(Inputs!$K$5:$AJ$110,0,MATCH(AK$2,Inputs!$K$4:$AJ$4,0)))))</f>
        <v>1272</v>
      </c>
      <c r="AL20" s="3">
        <f>AK20</f>
        <v>1272</v>
      </c>
    </row>
    <row r="21">
      <c r="B21" s="46" t="n">
        <v>17</v>
      </c>
      <c r="C21" s="26" t="inlineStr">
        <is>
          <t>Equity in affiliates</t>
        </is>
      </c>
      <c r="D21" s="6">
        <f>IF(ISNA(MATCH(D$2,Inputs!$K$4:$AJ$4,0)),NA(),IF(SUMPRODUCT((Inputs!$A$5:$A$110=$B21)*ISNUMBER(INDEX(Inputs!$K$5:$AJ$110,0,MATCH(D$2,Inputs!$K$4:$AJ$4,0))))+SUMPRODUCT((Inputs!$C$5:$C$110=$B21)*ISNUMBER(INDEX(Inputs!$K$5:$AJ$110,0,MATCH(D$2,Inputs!$K$4:$AJ$4,0))))+SUMPRODUCT((Inputs!$E$5:$E$110=$B21)*ISNUMBER(INDEX(Inputs!$K$5:$AJ$110,0,MATCH(D$2,Inputs!$K$4:$AJ$4,0))))=0,NA(),SUMPRODUCT((Inputs!$A$5:$A$110=$B21)*Inputs!$B$5:$B$110*(((Inputs!$G$5:$G$110="moeda")+(Inputs!$G$5:$G$110="acoes"))*Inputs!$B$1+((Inputs!$G$5:$G$110&lt;&gt;"moeda")*(Inputs!$G$5:$G$110&lt;&gt;"acoes")))*INDEX(Inputs!$K$5:$AJ$110,0,MATCH(D$2,Inputs!$K$4:$AJ$4,0)))+SUMPRODUCT((Inputs!$C$5:$C$110=$B21)*Inputs!$D$5:$D$110*(((Inputs!$G$5:$G$110="moeda")+(Inputs!$G$5:$G$110="acoes"))*Inputs!$B$1+((Inputs!$G$5:$G$110&lt;&gt;"moeda")*(Inputs!$G$5:$G$110&lt;&gt;"acoes")))*INDEX(Inputs!$K$5:$AJ$110,0,MATCH(D$2,Inputs!$K$4:$AJ$4,0)))+SUMPRODUCT((Inputs!$E$5:$E$110=$B21)*Inputs!$F$5:$F$110*(((Inputs!$G$5:$G$110="moeda")+(Inputs!$G$5:$G$110="acoes"))*Inputs!$B$1+((Inputs!$G$5:$G$110&lt;&gt;"moeda")*(Inputs!$G$5:$G$110&lt;&gt;"acoes")))*INDEX(Inputs!$K$5:$AJ$110,0,MATCH(D$2,Inputs!$K$4:$AJ$4,0)))))</f>
        <v>0</v>
      </c>
      <c r="E21" s="6">
        <f>IF(ISNA(MATCH(E$2,Inputs!$K$4:$AJ$4,0)),NA(),IF(SUMPRODUCT((Inputs!$A$5:$A$110=$B21)*ISNUMBER(INDEX(Inputs!$K$5:$AJ$110,0,MATCH(E$2,Inputs!$K$4:$AJ$4,0))))+SUMPRODUCT((Inputs!$C$5:$C$110=$B21)*ISNUMBER(INDEX(Inputs!$K$5:$AJ$110,0,MATCH(E$2,Inputs!$K$4:$AJ$4,0))))+SUMPRODUCT((Inputs!$E$5:$E$110=$B21)*ISNUMBER(INDEX(Inputs!$K$5:$AJ$110,0,MATCH(E$2,Inputs!$K$4:$AJ$4,0))))=0,NA(),SUMPRODUCT((Inputs!$A$5:$A$110=$B21)*Inputs!$B$5:$B$110*(((Inputs!$G$5:$G$110="moeda")+(Inputs!$G$5:$G$110="acoes"))*Inputs!$B$1+((Inputs!$G$5:$G$110&lt;&gt;"moeda")*(Inputs!$G$5:$G$110&lt;&gt;"acoes")))*INDEX(Inputs!$K$5:$AJ$110,0,MATCH(E$2,Inputs!$K$4:$AJ$4,0)))+SUMPRODUCT((Inputs!$C$5:$C$110=$B21)*Inputs!$D$5:$D$110*(((Inputs!$G$5:$G$110="moeda")+(Inputs!$G$5:$G$110="acoes"))*Inputs!$B$1+((Inputs!$G$5:$G$110&lt;&gt;"moeda")*(Inputs!$G$5:$G$110&lt;&gt;"acoes")))*INDEX(Inputs!$K$5:$AJ$110,0,MATCH(E$2,Inputs!$K$4:$AJ$4,0)))+SUMPRODUCT((Inputs!$E$5:$E$110=$B21)*Inputs!$F$5:$F$110*(((Inputs!$G$5:$G$110="moeda")+(Inputs!$G$5:$G$110="acoes"))*Inputs!$B$1+((Inputs!$G$5:$G$110&lt;&gt;"moeda")*(Inputs!$G$5:$G$110&lt;&gt;"acoes")))*INDEX(Inputs!$K$5:$AJ$110,0,MATCH(E$2,Inputs!$K$4:$AJ$4,0)))))</f>
        <v>0</v>
      </c>
      <c r="F21" s="6">
        <f>IF(ISNA(MATCH(F$2,Inputs!$K$4:$AJ$4,0)),NA(),IF(SUMPRODUCT((Inputs!$A$5:$A$110=$B21)*ISNUMBER(INDEX(Inputs!$K$5:$AJ$110,0,MATCH(F$2,Inputs!$K$4:$AJ$4,0))))+SUMPRODUCT((Inputs!$C$5:$C$110=$B21)*ISNUMBER(INDEX(Inputs!$K$5:$AJ$110,0,MATCH(F$2,Inputs!$K$4:$AJ$4,0))))+SUMPRODUCT((Inputs!$E$5:$E$110=$B21)*ISNUMBER(INDEX(Inputs!$K$5:$AJ$110,0,MATCH(F$2,Inputs!$K$4:$AJ$4,0))))=0,NA(),SUMPRODUCT((Inputs!$A$5:$A$110=$B21)*Inputs!$B$5:$B$110*(((Inputs!$G$5:$G$110="moeda")+(Inputs!$G$5:$G$110="acoes"))*Inputs!$B$1+((Inputs!$G$5:$G$110&lt;&gt;"moeda")*(Inputs!$G$5:$G$110&lt;&gt;"acoes")))*INDEX(Inputs!$K$5:$AJ$110,0,MATCH(F$2,Inputs!$K$4:$AJ$4,0)))+SUMPRODUCT((Inputs!$C$5:$C$110=$B21)*Inputs!$D$5:$D$110*(((Inputs!$G$5:$G$110="moeda")+(Inputs!$G$5:$G$110="acoes"))*Inputs!$B$1+((Inputs!$G$5:$G$110&lt;&gt;"moeda")*(Inputs!$G$5:$G$110&lt;&gt;"acoes")))*INDEX(Inputs!$K$5:$AJ$110,0,MATCH(F$2,Inputs!$K$4:$AJ$4,0)))+SUMPRODUCT((Inputs!$E$5:$E$110=$B21)*Inputs!$F$5:$F$110*(((Inputs!$G$5:$G$110="moeda")+(Inputs!$G$5:$G$110="acoes"))*Inputs!$B$1+((Inputs!$G$5:$G$110&lt;&gt;"moeda")*(Inputs!$G$5:$G$110&lt;&gt;"acoes")))*INDEX(Inputs!$K$5:$AJ$110,0,MATCH(F$2,Inputs!$K$4:$AJ$4,0)))))</f>
        <v>0</v>
      </c>
      <c r="G21" s="6">
        <f>IF(ISNA(MATCH(G$2,Inputs!$K$4:$AJ$4,0)),NA(),IF(SUMPRODUCT((Inputs!$A$5:$A$110=$B21)*ISNUMBER(INDEX(Inputs!$K$5:$AJ$110,0,MATCH(G$2,Inputs!$K$4:$AJ$4,0))))+SUMPRODUCT((Inputs!$C$5:$C$110=$B21)*ISNUMBER(INDEX(Inputs!$K$5:$AJ$110,0,MATCH(G$2,Inputs!$K$4:$AJ$4,0))))+SUMPRODUCT((Inputs!$E$5:$E$110=$B21)*ISNUMBER(INDEX(Inputs!$K$5:$AJ$110,0,MATCH(G$2,Inputs!$K$4:$AJ$4,0))))=0,NA(),SUMPRODUCT((Inputs!$A$5:$A$110=$B21)*Inputs!$B$5:$B$110*(((Inputs!$G$5:$G$110="moeda")+(Inputs!$G$5:$G$110="acoes"))*Inputs!$B$1+((Inputs!$G$5:$G$110&lt;&gt;"moeda")*(Inputs!$G$5:$G$110&lt;&gt;"acoes")))*INDEX(Inputs!$K$5:$AJ$110,0,MATCH(G$2,Inputs!$K$4:$AJ$4,0)))+SUMPRODUCT((Inputs!$C$5:$C$110=$B21)*Inputs!$D$5:$D$110*(((Inputs!$G$5:$G$110="moeda")+(Inputs!$G$5:$G$110="acoes"))*Inputs!$B$1+((Inputs!$G$5:$G$110&lt;&gt;"moeda")*(Inputs!$G$5:$G$110&lt;&gt;"acoes")))*INDEX(Inputs!$K$5:$AJ$110,0,MATCH(G$2,Inputs!$K$4:$AJ$4,0)))+SUMPRODUCT((Inputs!$E$5:$E$110=$B21)*Inputs!$F$5:$F$110*(((Inputs!$G$5:$G$110="moeda")+(Inputs!$G$5:$G$110="acoes"))*Inputs!$B$1+((Inputs!$G$5:$G$110&lt;&gt;"moeda")*(Inputs!$G$5:$G$110&lt;&gt;"acoes")))*INDEX(Inputs!$K$5:$AJ$110,0,MATCH(G$2,Inputs!$K$4:$AJ$4,0)))))</f>
        <v>0</v>
      </c>
      <c r="H21" s="3">
        <f>G21</f>
        <v>0</v>
      </c>
      <c r="I21" s="6">
        <f>IF(ISNA(MATCH(I$2,Inputs!$K$4:$AJ$4,0)),NA(),IF(SUMPRODUCT((Inputs!$A$5:$A$110=$B21)*ISNUMBER(INDEX(Inputs!$K$5:$AJ$110,0,MATCH(I$2,Inputs!$K$4:$AJ$4,0))))+SUMPRODUCT((Inputs!$C$5:$C$110=$B21)*ISNUMBER(INDEX(Inputs!$K$5:$AJ$110,0,MATCH(I$2,Inputs!$K$4:$AJ$4,0))))+SUMPRODUCT((Inputs!$E$5:$E$110=$B21)*ISNUMBER(INDEX(Inputs!$K$5:$AJ$110,0,MATCH(I$2,Inputs!$K$4:$AJ$4,0))))=0,NA(),SUMPRODUCT((Inputs!$A$5:$A$110=$B21)*Inputs!$B$5:$B$110*(((Inputs!$G$5:$G$110="moeda")+(Inputs!$G$5:$G$110="acoes"))*Inputs!$B$1+((Inputs!$G$5:$G$110&lt;&gt;"moeda")*(Inputs!$G$5:$G$110&lt;&gt;"acoes")))*INDEX(Inputs!$K$5:$AJ$110,0,MATCH(I$2,Inputs!$K$4:$AJ$4,0)))+SUMPRODUCT((Inputs!$C$5:$C$110=$B21)*Inputs!$D$5:$D$110*(((Inputs!$G$5:$G$110="moeda")+(Inputs!$G$5:$G$110="acoes"))*Inputs!$B$1+((Inputs!$G$5:$G$110&lt;&gt;"moeda")*(Inputs!$G$5:$G$110&lt;&gt;"acoes")))*INDEX(Inputs!$K$5:$AJ$110,0,MATCH(I$2,Inputs!$K$4:$AJ$4,0)))+SUMPRODUCT((Inputs!$E$5:$E$110=$B21)*Inputs!$F$5:$F$110*(((Inputs!$G$5:$G$110="moeda")+(Inputs!$G$5:$G$110="acoes"))*Inputs!$B$1+((Inputs!$G$5:$G$110&lt;&gt;"moeda")*(Inputs!$G$5:$G$110&lt;&gt;"acoes")))*INDEX(Inputs!$K$5:$AJ$110,0,MATCH(I$2,Inputs!$K$4:$AJ$4,0)))))</f>
        <v>0</v>
      </c>
      <c r="J21" s="6">
        <f>IF(ISNA(MATCH(J$2,Inputs!$K$4:$AJ$4,0)),NA(),IF(SUMPRODUCT((Inputs!$A$5:$A$110=$B21)*ISNUMBER(INDEX(Inputs!$K$5:$AJ$110,0,MATCH(J$2,Inputs!$K$4:$AJ$4,0))))+SUMPRODUCT((Inputs!$C$5:$C$110=$B21)*ISNUMBER(INDEX(Inputs!$K$5:$AJ$110,0,MATCH(J$2,Inputs!$K$4:$AJ$4,0))))+SUMPRODUCT((Inputs!$E$5:$E$110=$B21)*ISNUMBER(INDEX(Inputs!$K$5:$AJ$110,0,MATCH(J$2,Inputs!$K$4:$AJ$4,0))))=0,NA(),SUMPRODUCT((Inputs!$A$5:$A$110=$B21)*Inputs!$B$5:$B$110*(((Inputs!$G$5:$G$110="moeda")+(Inputs!$G$5:$G$110="acoes"))*Inputs!$B$1+((Inputs!$G$5:$G$110&lt;&gt;"moeda")*(Inputs!$G$5:$G$110&lt;&gt;"acoes")))*INDEX(Inputs!$K$5:$AJ$110,0,MATCH(J$2,Inputs!$K$4:$AJ$4,0)))+SUMPRODUCT((Inputs!$C$5:$C$110=$B21)*Inputs!$D$5:$D$110*(((Inputs!$G$5:$G$110="moeda")+(Inputs!$G$5:$G$110="acoes"))*Inputs!$B$1+((Inputs!$G$5:$G$110&lt;&gt;"moeda")*(Inputs!$G$5:$G$110&lt;&gt;"acoes")))*INDEX(Inputs!$K$5:$AJ$110,0,MATCH(J$2,Inputs!$K$4:$AJ$4,0)))+SUMPRODUCT((Inputs!$E$5:$E$110=$B21)*Inputs!$F$5:$F$110*(((Inputs!$G$5:$G$110="moeda")+(Inputs!$G$5:$G$110="acoes"))*Inputs!$B$1+((Inputs!$G$5:$G$110&lt;&gt;"moeda")*(Inputs!$G$5:$G$110&lt;&gt;"acoes")))*INDEX(Inputs!$K$5:$AJ$110,0,MATCH(J$2,Inputs!$K$4:$AJ$4,0)))))</f>
        <v>0</v>
      </c>
      <c r="K21" s="6">
        <f>IF(ISNA(MATCH(K$2,Inputs!$K$4:$AJ$4,0)),NA(),IF(SUMPRODUCT((Inputs!$A$5:$A$110=$B21)*ISNUMBER(INDEX(Inputs!$K$5:$AJ$110,0,MATCH(K$2,Inputs!$K$4:$AJ$4,0))))+SUMPRODUCT((Inputs!$C$5:$C$110=$B21)*ISNUMBER(INDEX(Inputs!$K$5:$AJ$110,0,MATCH(K$2,Inputs!$K$4:$AJ$4,0))))+SUMPRODUCT((Inputs!$E$5:$E$110=$B21)*ISNUMBER(INDEX(Inputs!$K$5:$AJ$110,0,MATCH(K$2,Inputs!$K$4:$AJ$4,0))))=0,NA(),SUMPRODUCT((Inputs!$A$5:$A$110=$B21)*Inputs!$B$5:$B$110*(((Inputs!$G$5:$G$110="moeda")+(Inputs!$G$5:$G$110="acoes"))*Inputs!$B$1+((Inputs!$G$5:$G$110&lt;&gt;"moeda")*(Inputs!$G$5:$G$110&lt;&gt;"acoes")))*INDEX(Inputs!$K$5:$AJ$110,0,MATCH(K$2,Inputs!$K$4:$AJ$4,0)))+SUMPRODUCT((Inputs!$C$5:$C$110=$B21)*Inputs!$D$5:$D$110*(((Inputs!$G$5:$G$110="moeda")+(Inputs!$G$5:$G$110="acoes"))*Inputs!$B$1+((Inputs!$G$5:$G$110&lt;&gt;"moeda")*(Inputs!$G$5:$G$110&lt;&gt;"acoes")))*INDEX(Inputs!$K$5:$AJ$110,0,MATCH(K$2,Inputs!$K$4:$AJ$4,0)))+SUMPRODUCT((Inputs!$E$5:$E$110=$B21)*Inputs!$F$5:$F$110*(((Inputs!$G$5:$G$110="moeda")+(Inputs!$G$5:$G$110="acoes"))*Inputs!$B$1+((Inputs!$G$5:$G$110&lt;&gt;"moeda")*(Inputs!$G$5:$G$110&lt;&gt;"acoes")))*INDEX(Inputs!$K$5:$AJ$110,0,MATCH(K$2,Inputs!$K$4:$AJ$4,0)))))</f>
        <v>0</v>
      </c>
      <c r="L21" s="6">
        <f>IF(ISNA(MATCH(L$2,Inputs!$K$4:$AJ$4,0)),NA(),IF(SUMPRODUCT((Inputs!$A$5:$A$110=$B21)*ISNUMBER(INDEX(Inputs!$K$5:$AJ$110,0,MATCH(L$2,Inputs!$K$4:$AJ$4,0))))+SUMPRODUCT((Inputs!$C$5:$C$110=$B21)*ISNUMBER(INDEX(Inputs!$K$5:$AJ$110,0,MATCH(L$2,Inputs!$K$4:$AJ$4,0))))+SUMPRODUCT((Inputs!$E$5:$E$110=$B21)*ISNUMBER(INDEX(Inputs!$K$5:$AJ$110,0,MATCH(L$2,Inputs!$K$4:$AJ$4,0))))=0,NA(),SUMPRODUCT((Inputs!$A$5:$A$110=$B21)*Inputs!$B$5:$B$110*(((Inputs!$G$5:$G$110="moeda")+(Inputs!$G$5:$G$110="acoes"))*Inputs!$B$1+((Inputs!$G$5:$G$110&lt;&gt;"moeda")*(Inputs!$G$5:$G$110&lt;&gt;"acoes")))*INDEX(Inputs!$K$5:$AJ$110,0,MATCH(L$2,Inputs!$K$4:$AJ$4,0)))+SUMPRODUCT((Inputs!$C$5:$C$110=$B21)*Inputs!$D$5:$D$110*(((Inputs!$G$5:$G$110="moeda")+(Inputs!$G$5:$G$110="acoes"))*Inputs!$B$1+((Inputs!$G$5:$G$110&lt;&gt;"moeda")*(Inputs!$G$5:$G$110&lt;&gt;"acoes")))*INDEX(Inputs!$K$5:$AJ$110,0,MATCH(L$2,Inputs!$K$4:$AJ$4,0)))+SUMPRODUCT((Inputs!$E$5:$E$110=$B21)*Inputs!$F$5:$F$110*(((Inputs!$G$5:$G$110="moeda")+(Inputs!$G$5:$G$110="acoes"))*Inputs!$B$1+((Inputs!$G$5:$G$110&lt;&gt;"moeda")*(Inputs!$G$5:$G$110&lt;&gt;"acoes")))*INDEX(Inputs!$K$5:$AJ$110,0,MATCH(L$2,Inputs!$K$4:$AJ$4,0)))))</f>
        <v>0</v>
      </c>
      <c r="M21" s="3">
        <f>L21</f>
        <v>0</v>
      </c>
      <c r="N21" s="6">
        <f>IF(ISNA(MATCH(N$2,Inputs!$K$4:$AJ$4,0)),NA(),IF(SUMPRODUCT((Inputs!$A$5:$A$110=$B21)*ISNUMBER(INDEX(Inputs!$K$5:$AJ$110,0,MATCH(N$2,Inputs!$K$4:$AJ$4,0))))+SUMPRODUCT((Inputs!$C$5:$C$110=$B21)*ISNUMBER(INDEX(Inputs!$K$5:$AJ$110,0,MATCH(N$2,Inputs!$K$4:$AJ$4,0))))+SUMPRODUCT((Inputs!$E$5:$E$110=$B21)*ISNUMBER(INDEX(Inputs!$K$5:$AJ$110,0,MATCH(N$2,Inputs!$K$4:$AJ$4,0))))=0,NA(),SUMPRODUCT((Inputs!$A$5:$A$110=$B21)*Inputs!$B$5:$B$110*(((Inputs!$G$5:$G$110="moeda")+(Inputs!$G$5:$G$110="acoes"))*Inputs!$B$1+((Inputs!$G$5:$G$110&lt;&gt;"moeda")*(Inputs!$G$5:$G$110&lt;&gt;"acoes")))*INDEX(Inputs!$K$5:$AJ$110,0,MATCH(N$2,Inputs!$K$4:$AJ$4,0)))+SUMPRODUCT((Inputs!$C$5:$C$110=$B21)*Inputs!$D$5:$D$110*(((Inputs!$G$5:$G$110="moeda")+(Inputs!$G$5:$G$110="acoes"))*Inputs!$B$1+((Inputs!$G$5:$G$110&lt;&gt;"moeda")*(Inputs!$G$5:$G$110&lt;&gt;"acoes")))*INDEX(Inputs!$K$5:$AJ$110,0,MATCH(N$2,Inputs!$K$4:$AJ$4,0)))+SUMPRODUCT((Inputs!$E$5:$E$110=$B21)*Inputs!$F$5:$F$110*(((Inputs!$G$5:$G$110="moeda")+(Inputs!$G$5:$G$110="acoes"))*Inputs!$B$1+((Inputs!$G$5:$G$110&lt;&gt;"moeda")*(Inputs!$G$5:$G$110&lt;&gt;"acoes")))*INDEX(Inputs!$K$5:$AJ$110,0,MATCH(N$2,Inputs!$K$4:$AJ$4,0)))))</f>
        <v>0</v>
      </c>
      <c r="O21" s="6">
        <f>IF(ISNA(MATCH(O$2,Inputs!$K$4:$AJ$4,0)),NA(),IF(SUMPRODUCT((Inputs!$A$5:$A$110=$B21)*ISNUMBER(INDEX(Inputs!$K$5:$AJ$110,0,MATCH(O$2,Inputs!$K$4:$AJ$4,0))))+SUMPRODUCT((Inputs!$C$5:$C$110=$B21)*ISNUMBER(INDEX(Inputs!$K$5:$AJ$110,0,MATCH(O$2,Inputs!$K$4:$AJ$4,0))))+SUMPRODUCT((Inputs!$E$5:$E$110=$B21)*ISNUMBER(INDEX(Inputs!$K$5:$AJ$110,0,MATCH(O$2,Inputs!$K$4:$AJ$4,0))))=0,NA(),SUMPRODUCT((Inputs!$A$5:$A$110=$B21)*Inputs!$B$5:$B$110*(((Inputs!$G$5:$G$110="moeda")+(Inputs!$G$5:$G$110="acoes"))*Inputs!$B$1+((Inputs!$G$5:$G$110&lt;&gt;"moeda")*(Inputs!$G$5:$G$110&lt;&gt;"acoes")))*INDEX(Inputs!$K$5:$AJ$110,0,MATCH(O$2,Inputs!$K$4:$AJ$4,0)))+SUMPRODUCT((Inputs!$C$5:$C$110=$B21)*Inputs!$D$5:$D$110*(((Inputs!$G$5:$G$110="moeda")+(Inputs!$G$5:$G$110="acoes"))*Inputs!$B$1+((Inputs!$G$5:$G$110&lt;&gt;"moeda")*(Inputs!$G$5:$G$110&lt;&gt;"acoes")))*INDEX(Inputs!$K$5:$AJ$110,0,MATCH(O$2,Inputs!$K$4:$AJ$4,0)))+SUMPRODUCT((Inputs!$E$5:$E$110=$B21)*Inputs!$F$5:$F$110*(((Inputs!$G$5:$G$110="moeda")+(Inputs!$G$5:$G$110="acoes"))*Inputs!$B$1+((Inputs!$G$5:$G$110&lt;&gt;"moeda")*(Inputs!$G$5:$G$110&lt;&gt;"acoes")))*INDEX(Inputs!$K$5:$AJ$110,0,MATCH(O$2,Inputs!$K$4:$AJ$4,0)))))</f>
        <v>0</v>
      </c>
      <c r="P21" s="6">
        <f>IF(ISNA(MATCH(P$2,Inputs!$K$4:$AJ$4,0)),NA(),IF(SUMPRODUCT((Inputs!$A$5:$A$110=$B21)*ISNUMBER(INDEX(Inputs!$K$5:$AJ$110,0,MATCH(P$2,Inputs!$K$4:$AJ$4,0))))+SUMPRODUCT((Inputs!$C$5:$C$110=$B21)*ISNUMBER(INDEX(Inputs!$K$5:$AJ$110,0,MATCH(P$2,Inputs!$K$4:$AJ$4,0))))+SUMPRODUCT((Inputs!$E$5:$E$110=$B21)*ISNUMBER(INDEX(Inputs!$K$5:$AJ$110,0,MATCH(P$2,Inputs!$K$4:$AJ$4,0))))=0,NA(),SUMPRODUCT((Inputs!$A$5:$A$110=$B21)*Inputs!$B$5:$B$110*(((Inputs!$G$5:$G$110="moeda")+(Inputs!$G$5:$G$110="acoes"))*Inputs!$B$1+((Inputs!$G$5:$G$110&lt;&gt;"moeda")*(Inputs!$G$5:$G$110&lt;&gt;"acoes")))*INDEX(Inputs!$K$5:$AJ$110,0,MATCH(P$2,Inputs!$K$4:$AJ$4,0)))+SUMPRODUCT((Inputs!$C$5:$C$110=$B21)*Inputs!$D$5:$D$110*(((Inputs!$G$5:$G$110="moeda")+(Inputs!$G$5:$G$110="acoes"))*Inputs!$B$1+((Inputs!$G$5:$G$110&lt;&gt;"moeda")*(Inputs!$G$5:$G$110&lt;&gt;"acoes")))*INDEX(Inputs!$K$5:$AJ$110,0,MATCH(P$2,Inputs!$K$4:$AJ$4,0)))+SUMPRODUCT((Inputs!$E$5:$E$110=$B21)*Inputs!$F$5:$F$110*(((Inputs!$G$5:$G$110="moeda")+(Inputs!$G$5:$G$110="acoes"))*Inputs!$B$1+((Inputs!$G$5:$G$110&lt;&gt;"moeda")*(Inputs!$G$5:$G$110&lt;&gt;"acoes")))*INDEX(Inputs!$K$5:$AJ$110,0,MATCH(P$2,Inputs!$K$4:$AJ$4,0)))))</f>
        <v>0</v>
      </c>
      <c r="Q21" s="6">
        <f>IF(ISNA(MATCH(Q$2,Inputs!$K$4:$AJ$4,0)),NA(),IF(SUMPRODUCT((Inputs!$A$5:$A$110=$B21)*ISNUMBER(INDEX(Inputs!$K$5:$AJ$110,0,MATCH(Q$2,Inputs!$K$4:$AJ$4,0))))+SUMPRODUCT((Inputs!$C$5:$C$110=$B21)*ISNUMBER(INDEX(Inputs!$K$5:$AJ$110,0,MATCH(Q$2,Inputs!$K$4:$AJ$4,0))))+SUMPRODUCT((Inputs!$E$5:$E$110=$B21)*ISNUMBER(INDEX(Inputs!$K$5:$AJ$110,0,MATCH(Q$2,Inputs!$K$4:$AJ$4,0))))=0,NA(),SUMPRODUCT((Inputs!$A$5:$A$110=$B21)*Inputs!$B$5:$B$110*(((Inputs!$G$5:$G$110="moeda")+(Inputs!$G$5:$G$110="acoes"))*Inputs!$B$1+((Inputs!$G$5:$G$110&lt;&gt;"moeda")*(Inputs!$G$5:$G$110&lt;&gt;"acoes")))*INDEX(Inputs!$K$5:$AJ$110,0,MATCH(Q$2,Inputs!$K$4:$AJ$4,0)))+SUMPRODUCT((Inputs!$C$5:$C$110=$B21)*Inputs!$D$5:$D$110*(((Inputs!$G$5:$G$110="moeda")+(Inputs!$G$5:$G$110="acoes"))*Inputs!$B$1+((Inputs!$G$5:$G$110&lt;&gt;"moeda")*(Inputs!$G$5:$G$110&lt;&gt;"acoes")))*INDEX(Inputs!$K$5:$AJ$110,0,MATCH(Q$2,Inputs!$K$4:$AJ$4,0)))+SUMPRODUCT((Inputs!$E$5:$E$110=$B21)*Inputs!$F$5:$F$110*(((Inputs!$G$5:$G$110="moeda")+(Inputs!$G$5:$G$110="acoes"))*Inputs!$B$1+((Inputs!$G$5:$G$110&lt;&gt;"moeda")*(Inputs!$G$5:$G$110&lt;&gt;"acoes")))*INDEX(Inputs!$K$5:$AJ$110,0,MATCH(Q$2,Inputs!$K$4:$AJ$4,0)))))</f>
        <v>0</v>
      </c>
      <c r="R21" s="3">
        <f>Q21</f>
        <v>0</v>
      </c>
      <c r="S21" s="6">
        <f>IF(ISNA(MATCH(S$2,Inputs!$K$4:$AJ$4,0)),NA(),IF(SUMPRODUCT((Inputs!$A$5:$A$110=$B21)*ISNUMBER(INDEX(Inputs!$K$5:$AJ$110,0,MATCH(S$2,Inputs!$K$4:$AJ$4,0))))+SUMPRODUCT((Inputs!$C$5:$C$110=$B21)*ISNUMBER(INDEX(Inputs!$K$5:$AJ$110,0,MATCH(S$2,Inputs!$K$4:$AJ$4,0))))+SUMPRODUCT((Inputs!$E$5:$E$110=$B21)*ISNUMBER(INDEX(Inputs!$K$5:$AJ$110,0,MATCH(S$2,Inputs!$K$4:$AJ$4,0))))=0,NA(),SUMPRODUCT((Inputs!$A$5:$A$110=$B21)*Inputs!$B$5:$B$110*(((Inputs!$G$5:$G$110="moeda")+(Inputs!$G$5:$G$110="acoes"))*Inputs!$B$1+((Inputs!$G$5:$G$110&lt;&gt;"moeda")*(Inputs!$G$5:$G$110&lt;&gt;"acoes")))*INDEX(Inputs!$K$5:$AJ$110,0,MATCH(S$2,Inputs!$K$4:$AJ$4,0)))+SUMPRODUCT((Inputs!$C$5:$C$110=$B21)*Inputs!$D$5:$D$110*(((Inputs!$G$5:$G$110="moeda")+(Inputs!$G$5:$G$110="acoes"))*Inputs!$B$1+((Inputs!$G$5:$G$110&lt;&gt;"moeda")*(Inputs!$G$5:$G$110&lt;&gt;"acoes")))*INDEX(Inputs!$K$5:$AJ$110,0,MATCH(S$2,Inputs!$K$4:$AJ$4,0)))+SUMPRODUCT((Inputs!$E$5:$E$110=$B21)*Inputs!$F$5:$F$110*(((Inputs!$G$5:$G$110="moeda")+(Inputs!$G$5:$G$110="acoes"))*Inputs!$B$1+((Inputs!$G$5:$G$110&lt;&gt;"moeda")*(Inputs!$G$5:$G$110&lt;&gt;"acoes")))*INDEX(Inputs!$K$5:$AJ$110,0,MATCH(S$2,Inputs!$K$4:$AJ$4,0)))))</f>
        <v>0</v>
      </c>
      <c r="T21" s="6">
        <f>IF(ISNA(MATCH(T$2,Inputs!$K$4:$AJ$4,0)),NA(),IF(SUMPRODUCT((Inputs!$A$5:$A$110=$B21)*ISNUMBER(INDEX(Inputs!$K$5:$AJ$110,0,MATCH(T$2,Inputs!$K$4:$AJ$4,0))))+SUMPRODUCT((Inputs!$C$5:$C$110=$B21)*ISNUMBER(INDEX(Inputs!$K$5:$AJ$110,0,MATCH(T$2,Inputs!$K$4:$AJ$4,0))))+SUMPRODUCT((Inputs!$E$5:$E$110=$B21)*ISNUMBER(INDEX(Inputs!$K$5:$AJ$110,0,MATCH(T$2,Inputs!$K$4:$AJ$4,0))))=0,NA(),SUMPRODUCT((Inputs!$A$5:$A$110=$B21)*Inputs!$B$5:$B$110*(((Inputs!$G$5:$G$110="moeda")+(Inputs!$G$5:$G$110="acoes"))*Inputs!$B$1+((Inputs!$G$5:$G$110&lt;&gt;"moeda")*(Inputs!$G$5:$G$110&lt;&gt;"acoes")))*INDEX(Inputs!$K$5:$AJ$110,0,MATCH(T$2,Inputs!$K$4:$AJ$4,0)))+SUMPRODUCT((Inputs!$C$5:$C$110=$B21)*Inputs!$D$5:$D$110*(((Inputs!$G$5:$G$110="moeda")+(Inputs!$G$5:$G$110="acoes"))*Inputs!$B$1+((Inputs!$G$5:$G$110&lt;&gt;"moeda")*(Inputs!$G$5:$G$110&lt;&gt;"acoes")))*INDEX(Inputs!$K$5:$AJ$110,0,MATCH(T$2,Inputs!$K$4:$AJ$4,0)))+SUMPRODUCT((Inputs!$E$5:$E$110=$B21)*Inputs!$F$5:$F$110*(((Inputs!$G$5:$G$110="moeda")+(Inputs!$G$5:$G$110="acoes"))*Inputs!$B$1+((Inputs!$G$5:$G$110&lt;&gt;"moeda")*(Inputs!$G$5:$G$110&lt;&gt;"acoes")))*INDEX(Inputs!$K$5:$AJ$110,0,MATCH(T$2,Inputs!$K$4:$AJ$4,0)))))</f>
        <v>0</v>
      </c>
      <c r="U21" s="6">
        <f>IF(ISNA(MATCH(U$2,Inputs!$K$4:$AJ$4,0)),NA(),IF(SUMPRODUCT((Inputs!$A$5:$A$110=$B21)*ISNUMBER(INDEX(Inputs!$K$5:$AJ$110,0,MATCH(U$2,Inputs!$K$4:$AJ$4,0))))+SUMPRODUCT((Inputs!$C$5:$C$110=$B21)*ISNUMBER(INDEX(Inputs!$K$5:$AJ$110,0,MATCH(U$2,Inputs!$K$4:$AJ$4,0))))+SUMPRODUCT((Inputs!$E$5:$E$110=$B21)*ISNUMBER(INDEX(Inputs!$K$5:$AJ$110,0,MATCH(U$2,Inputs!$K$4:$AJ$4,0))))=0,NA(),SUMPRODUCT((Inputs!$A$5:$A$110=$B21)*Inputs!$B$5:$B$110*(((Inputs!$G$5:$G$110="moeda")+(Inputs!$G$5:$G$110="acoes"))*Inputs!$B$1+((Inputs!$G$5:$G$110&lt;&gt;"moeda")*(Inputs!$G$5:$G$110&lt;&gt;"acoes")))*INDEX(Inputs!$K$5:$AJ$110,0,MATCH(U$2,Inputs!$K$4:$AJ$4,0)))+SUMPRODUCT((Inputs!$C$5:$C$110=$B21)*Inputs!$D$5:$D$110*(((Inputs!$G$5:$G$110="moeda")+(Inputs!$G$5:$G$110="acoes"))*Inputs!$B$1+((Inputs!$G$5:$G$110&lt;&gt;"moeda")*(Inputs!$G$5:$G$110&lt;&gt;"acoes")))*INDEX(Inputs!$K$5:$AJ$110,0,MATCH(U$2,Inputs!$K$4:$AJ$4,0)))+SUMPRODUCT((Inputs!$E$5:$E$110=$B21)*Inputs!$F$5:$F$110*(((Inputs!$G$5:$G$110="moeda")+(Inputs!$G$5:$G$110="acoes"))*Inputs!$B$1+((Inputs!$G$5:$G$110&lt;&gt;"moeda")*(Inputs!$G$5:$G$110&lt;&gt;"acoes")))*INDEX(Inputs!$K$5:$AJ$110,0,MATCH(U$2,Inputs!$K$4:$AJ$4,0)))))</f>
        <v>0</v>
      </c>
      <c r="V21" s="6">
        <f>IF(ISNA(MATCH(V$2,Inputs!$K$4:$AJ$4,0)),NA(),IF(SUMPRODUCT((Inputs!$A$5:$A$110=$B21)*ISNUMBER(INDEX(Inputs!$K$5:$AJ$110,0,MATCH(V$2,Inputs!$K$4:$AJ$4,0))))+SUMPRODUCT((Inputs!$C$5:$C$110=$B21)*ISNUMBER(INDEX(Inputs!$K$5:$AJ$110,0,MATCH(V$2,Inputs!$K$4:$AJ$4,0))))+SUMPRODUCT((Inputs!$E$5:$E$110=$B21)*ISNUMBER(INDEX(Inputs!$K$5:$AJ$110,0,MATCH(V$2,Inputs!$K$4:$AJ$4,0))))=0,NA(),SUMPRODUCT((Inputs!$A$5:$A$110=$B21)*Inputs!$B$5:$B$110*(((Inputs!$G$5:$G$110="moeda")+(Inputs!$G$5:$G$110="acoes"))*Inputs!$B$1+((Inputs!$G$5:$G$110&lt;&gt;"moeda")*(Inputs!$G$5:$G$110&lt;&gt;"acoes")))*INDEX(Inputs!$K$5:$AJ$110,0,MATCH(V$2,Inputs!$K$4:$AJ$4,0)))+SUMPRODUCT((Inputs!$C$5:$C$110=$B21)*Inputs!$D$5:$D$110*(((Inputs!$G$5:$G$110="moeda")+(Inputs!$G$5:$G$110="acoes"))*Inputs!$B$1+((Inputs!$G$5:$G$110&lt;&gt;"moeda")*(Inputs!$G$5:$G$110&lt;&gt;"acoes")))*INDEX(Inputs!$K$5:$AJ$110,0,MATCH(V$2,Inputs!$K$4:$AJ$4,0)))+SUMPRODUCT((Inputs!$E$5:$E$110=$B21)*Inputs!$F$5:$F$110*(((Inputs!$G$5:$G$110="moeda")+(Inputs!$G$5:$G$110="acoes"))*Inputs!$B$1+((Inputs!$G$5:$G$110&lt;&gt;"moeda")*(Inputs!$G$5:$G$110&lt;&gt;"acoes")))*INDEX(Inputs!$K$5:$AJ$110,0,MATCH(V$2,Inputs!$K$4:$AJ$4,0)))))</f>
        <v>0</v>
      </c>
      <c r="W21" s="3">
        <f>V21</f>
        <v>0</v>
      </c>
      <c r="X21" s="6">
        <f>IF(ISNA(MATCH(X$2,Inputs!$K$4:$AJ$4,0)),NA(),IF(SUMPRODUCT((Inputs!$A$5:$A$110=$B21)*ISNUMBER(INDEX(Inputs!$K$5:$AJ$110,0,MATCH(X$2,Inputs!$K$4:$AJ$4,0))))+SUMPRODUCT((Inputs!$C$5:$C$110=$B21)*ISNUMBER(INDEX(Inputs!$K$5:$AJ$110,0,MATCH(X$2,Inputs!$K$4:$AJ$4,0))))+SUMPRODUCT((Inputs!$E$5:$E$110=$B21)*ISNUMBER(INDEX(Inputs!$K$5:$AJ$110,0,MATCH(X$2,Inputs!$K$4:$AJ$4,0))))=0,NA(),SUMPRODUCT((Inputs!$A$5:$A$110=$B21)*Inputs!$B$5:$B$110*(((Inputs!$G$5:$G$110="moeda")+(Inputs!$G$5:$G$110="acoes"))*Inputs!$B$1+((Inputs!$G$5:$G$110&lt;&gt;"moeda")*(Inputs!$G$5:$G$110&lt;&gt;"acoes")))*INDEX(Inputs!$K$5:$AJ$110,0,MATCH(X$2,Inputs!$K$4:$AJ$4,0)))+SUMPRODUCT((Inputs!$C$5:$C$110=$B21)*Inputs!$D$5:$D$110*(((Inputs!$G$5:$G$110="moeda")+(Inputs!$G$5:$G$110="acoes"))*Inputs!$B$1+((Inputs!$G$5:$G$110&lt;&gt;"moeda")*(Inputs!$G$5:$G$110&lt;&gt;"acoes")))*INDEX(Inputs!$K$5:$AJ$110,0,MATCH(X$2,Inputs!$K$4:$AJ$4,0)))+SUMPRODUCT((Inputs!$E$5:$E$110=$B21)*Inputs!$F$5:$F$110*(((Inputs!$G$5:$G$110="moeda")+(Inputs!$G$5:$G$110="acoes"))*Inputs!$B$1+((Inputs!$G$5:$G$110&lt;&gt;"moeda")*(Inputs!$G$5:$G$110&lt;&gt;"acoes")))*INDEX(Inputs!$K$5:$AJ$110,0,MATCH(X$2,Inputs!$K$4:$AJ$4,0)))))</f>
        <v>0</v>
      </c>
      <c r="Y21" s="6">
        <f>IF(ISNA(MATCH(Y$2,Inputs!$K$4:$AJ$4,0)),NA(),IF(SUMPRODUCT((Inputs!$A$5:$A$110=$B21)*ISNUMBER(INDEX(Inputs!$K$5:$AJ$110,0,MATCH(Y$2,Inputs!$K$4:$AJ$4,0))))+SUMPRODUCT((Inputs!$C$5:$C$110=$B21)*ISNUMBER(INDEX(Inputs!$K$5:$AJ$110,0,MATCH(Y$2,Inputs!$K$4:$AJ$4,0))))+SUMPRODUCT((Inputs!$E$5:$E$110=$B21)*ISNUMBER(INDEX(Inputs!$K$5:$AJ$110,0,MATCH(Y$2,Inputs!$K$4:$AJ$4,0))))=0,NA(),SUMPRODUCT((Inputs!$A$5:$A$110=$B21)*Inputs!$B$5:$B$110*(((Inputs!$G$5:$G$110="moeda")+(Inputs!$G$5:$G$110="acoes"))*Inputs!$B$1+((Inputs!$G$5:$G$110&lt;&gt;"moeda")*(Inputs!$G$5:$G$110&lt;&gt;"acoes")))*INDEX(Inputs!$K$5:$AJ$110,0,MATCH(Y$2,Inputs!$K$4:$AJ$4,0)))+SUMPRODUCT((Inputs!$C$5:$C$110=$B21)*Inputs!$D$5:$D$110*(((Inputs!$G$5:$G$110="moeda")+(Inputs!$G$5:$G$110="acoes"))*Inputs!$B$1+((Inputs!$G$5:$G$110&lt;&gt;"moeda")*(Inputs!$G$5:$G$110&lt;&gt;"acoes")))*INDEX(Inputs!$K$5:$AJ$110,0,MATCH(Y$2,Inputs!$K$4:$AJ$4,0)))+SUMPRODUCT((Inputs!$E$5:$E$110=$B21)*Inputs!$F$5:$F$110*(((Inputs!$G$5:$G$110="moeda")+(Inputs!$G$5:$G$110="acoes"))*Inputs!$B$1+((Inputs!$G$5:$G$110&lt;&gt;"moeda")*(Inputs!$G$5:$G$110&lt;&gt;"acoes")))*INDEX(Inputs!$K$5:$AJ$110,0,MATCH(Y$2,Inputs!$K$4:$AJ$4,0)))))</f>
        <v>0</v>
      </c>
      <c r="Z21" s="6">
        <f>IF(ISNA(MATCH(Z$2,Inputs!$K$4:$AJ$4,0)),NA(),IF(SUMPRODUCT((Inputs!$A$5:$A$110=$B21)*ISNUMBER(INDEX(Inputs!$K$5:$AJ$110,0,MATCH(Z$2,Inputs!$K$4:$AJ$4,0))))+SUMPRODUCT((Inputs!$C$5:$C$110=$B21)*ISNUMBER(INDEX(Inputs!$K$5:$AJ$110,0,MATCH(Z$2,Inputs!$K$4:$AJ$4,0))))+SUMPRODUCT((Inputs!$E$5:$E$110=$B21)*ISNUMBER(INDEX(Inputs!$K$5:$AJ$110,0,MATCH(Z$2,Inputs!$K$4:$AJ$4,0))))=0,NA(),SUMPRODUCT((Inputs!$A$5:$A$110=$B21)*Inputs!$B$5:$B$110*(((Inputs!$G$5:$G$110="moeda")+(Inputs!$G$5:$G$110="acoes"))*Inputs!$B$1+((Inputs!$G$5:$G$110&lt;&gt;"moeda")*(Inputs!$G$5:$G$110&lt;&gt;"acoes")))*INDEX(Inputs!$K$5:$AJ$110,0,MATCH(Z$2,Inputs!$K$4:$AJ$4,0)))+SUMPRODUCT((Inputs!$C$5:$C$110=$B21)*Inputs!$D$5:$D$110*(((Inputs!$G$5:$G$110="moeda")+(Inputs!$G$5:$G$110="acoes"))*Inputs!$B$1+((Inputs!$G$5:$G$110&lt;&gt;"moeda")*(Inputs!$G$5:$G$110&lt;&gt;"acoes")))*INDEX(Inputs!$K$5:$AJ$110,0,MATCH(Z$2,Inputs!$K$4:$AJ$4,0)))+SUMPRODUCT((Inputs!$E$5:$E$110=$B21)*Inputs!$F$5:$F$110*(((Inputs!$G$5:$G$110="moeda")+(Inputs!$G$5:$G$110="acoes"))*Inputs!$B$1+((Inputs!$G$5:$G$110&lt;&gt;"moeda")*(Inputs!$G$5:$G$110&lt;&gt;"acoes")))*INDEX(Inputs!$K$5:$AJ$110,0,MATCH(Z$2,Inputs!$K$4:$AJ$4,0)))))</f>
        <v>0</v>
      </c>
      <c r="AA21" s="6">
        <f>IF(ISNA(MATCH(AA$2,Inputs!$K$4:$AJ$4,0)),NA(),IF(SUMPRODUCT((Inputs!$A$5:$A$110=$B21)*ISNUMBER(INDEX(Inputs!$K$5:$AJ$110,0,MATCH(AA$2,Inputs!$K$4:$AJ$4,0))))+SUMPRODUCT((Inputs!$C$5:$C$110=$B21)*ISNUMBER(INDEX(Inputs!$K$5:$AJ$110,0,MATCH(AA$2,Inputs!$K$4:$AJ$4,0))))+SUMPRODUCT((Inputs!$E$5:$E$110=$B21)*ISNUMBER(INDEX(Inputs!$K$5:$AJ$110,0,MATCH(AA$2,Inputs!$K$4:$AJ$4,0))))=0,NA(),SUMPRODUCT((Inputs!$A$5:$A$110=$B21)*Inputs!$B$5:$B$110*(((Inputs!$G$5:$G$110="moeda")+(Inputs!$G$5:$G$110="acoes"))*Inputs!$B$1+((Inputs!$G$5:$G$110&lt;&gt;"moeda")*(Inputs!$G$5:$G$110&lt;&gt;"acoes")))*INDEX(Inputs!$K$5:$AJ$110,0,MATCH(AA$2,Inputs!$K$4:$AJ$4,0)))+SUMPRODUCT((Inputs!$C$5:$C$110=$B21)*Inputs!$D$5:$D$110*(((Inputs!$G$5:$G$110="moeda")+(Inputs!$G$5:$G$110="acoes"))*Inputs!$B$1+((Inputs!$G$5:$G$110&lt;&gt;"moeda")*(Inputs!$G$5:$G$110&lt;&gt;"acoes")))*INDEX(Inputs!$K$5:$AJ$110,0,MATCH(AA$2,Inputs!$K$4:$AJ$4,0)))+SUMPRODUCT((Inputs!$E$5:$E$110=$B21)*Inputs!$F$5:$F$110*(((Inputs!$G$5:$G$110="moeda")+(Inputs!$G$5:$G$110="acoes"))*Inputs!$B$1+((Inputs!$G$5:$G$110&lt;&gt;"moeda")*(Inputs!$G$5:$G$110&lt;&gt;"acoes")))*INDEX(Inputs!$K$5:$AJ$110,0,MATCH(AA$2,Inputs!$K$4:$AJ$4,0)))))</f>
        <v>0</v>
      </c>
      <c r="AB21" s="3">
        <f>AA21</f>
        <v>0</v>
      </c>
      <c r="AC21" s="6">
        <f>IF(ISNA(MATCH(AC$2,Inputs!$K$4:$AJ$4,0)),NA(),IF(SUMPRODUCT((Inputs!$A$5:$A$110=$B21)*ISNUMBER(INDEX(Inputs!$K$5:$AJ$110,0,MATCH(AC$2,Inputs!$K$4:$AJ$4,0))))+SUMPRODUCT((Inputs!$C$5:$C$110=$B21)*ISNUMBER(INDEX(Inputs!$K$5:$AJ$110,0,MATCH(AC$2,Inputs!$K$4:$AJ$4,0))))+SUMPRODUCT((Inputs!$E$5:$E$110=$B21)*ISNUMBER(INDEX(Inputs!$K$5:$AJ$110,0,MATCH(AC$2,Inputs!$K$4:$AJ$4,0))))=0,NA(),SUMPRODUCT((Inputs!$A$5:$A$110=$B21)*Inputs!$B$5:$B$110*(((Inputs!$G$5:$G$110="moeda")+(Inputs!$G$5:$G$110="acoes"))*Inputs!$B$1+((Inputs!$G$5:$G$110&lt;&gt;"moeda")*(Inputs!$G$5:$G$110&lt;&gt;"acoes")))*INDEX(Inputs!$K$5:$AJ$110,0,MATCH(AC$2,Inputs!$K$4:$AJ$4,0)))+SUMPRODUCT((Inputs!$C$5:$C$110=$B21)*Inputs!$D$5:$D$110*(((Inputs!$G$5:$G$110="moeda")+(Inputs!$G$5:$G$110="acoes"))*Inputs!$B$1+((Inputs!$G$5:$G$110&lt;&gt;"moeda")*(Inputs!$G$5:$G$110&lt;&gt;"acoes")))*INDEX(Inputs!$K$5:$AJ$110,0,MATCH(AC$2,Inputs!$K$4:$AJ$4,0)))+SUMPRODUCT((Inputs!$E$5:$E$110=$B21)*Inputs!$F$5:$F$110*(((Inputs!$G$5:$G$110="moeda")+(Inputs!$G$5:$G$110="acoes"))*Inputs!$B$1+((Inputs!$G$5:$G$110&lt;&gt;"moeda")*(Inputs!$G$5:$G$110&lt;&gt;"acoes")))*INDEX(Inputs!$K$5:$AJ$110,0,MATCH(AC$2,Inputs!$K$4:$AJ$4,0)))))</f>
        <v>0</v>
      </c>
      <c r="AD21" s="6">
        <f>IF(ISNA(MATCH(AD$2,Inputs!$K$4:$AJ$4,0)),NA(),IF(SUMPRODUCT((Inputs!$A$5:$A$110=$B21)*ISNUMBER(INDEX(Inputs!$K$5:$AJ$110,0,MATCH(AD$2,Inputs!$K$4:$AJ$4,0))))+SUMPRODUCT((Inputs!$C$5:$C$110=$B21)*ISNUMBER(INDEX(Inputs!$K$5:$AJ$110,0,MATCH(AD$2,Inputs!$K$4:$AJ$4,0))))+SUMPRODUCT((Inputs!$E$5:$E$110=$B21)*ISNUMBER(INDEX(Inputs!$K$5:$AJ$110,0,MATCH(AD$2,Inputs!$K$4:$AJ$4,0))))=0,NA(),SUMPRODUCT((Inputs!$A$5:$A$110=$B21)*Inputs!$B$5:$B$110*(((Inputs!$G$5:$G$110="moeda")+(Inputs!$G$5:$G$110="acoes"))*Inputs!$B$1+((Inputs!$G$5:$G$110&lt;&gt;"moeda")*(Inputs!$G$5:$G$110&lt;&gt;"acoes")))*INDEX(Inputs!$K$5:$AJ$110,0,MATCH(AD$2,Inputs!$K$4:$AJ$4,0)))+SUMPRODUCT((Inputs!$C$5:$C$110=$B21)*Inputs!$D$5:$D$110*(((Inputs!$G$5:$G$110="moeda")+(Inputs!$G$5:$G$110="acoes"))*Inputs!$B$1+((Inputs!$G$5:$G$110&lt;&gt;"moeda")*(Inputs!$G$5:$G$110&lt;&gt;"acoes")))*INDEX(Inputs!$K$5:$AJ$110,0,MATCH(AD$2,Inputs!$K$4:$AJ$4,0)))+SUMPRODUCT((Inputs!$E$5:$E$110=$B21)*Inputs!$F$5:$F$110*(((Inputs!$G$5:$G$110="moeda")+(Inputs!$G$5:$G$110="acoes"))*Inputs!$B$1+((Inputs!$G$5:$G$110&lt;&gt;"moeda")*(Inputs!$G$5:$G$110&lt;&gt;"acoes")))*INDEX(Inputs!$K$5:$AJ$110,0,MATCH(AD$2,Inputs!$K$4:$AJ$4,0)))))</f>
        <v>0</v>
      </c>
      <c r="AE21" s="6" t="e">
        <f>IF(ISNA(MATCH(AE$2,Inputs!$K$4:$AJ$4,0)),NA(),IF(SUMPRODUCT((Inputs!$A$5:$A$110=$B21)*ISNUMBER(INDEX(Inputs!$K$5:$AJ$110,0,MATCH(AE$2,Inputs!$K$4:$AJ$4,0))))+SUMPRODUCT((Inputs!$C$5:$C$110=$B21)*ISNUMBER(INDEX(Inputs!$K$5:$AJ$110,0,MATCH(AE$2,Inputs!$K$4:$AJ$4,0))))+SUMPRODUCT((Inputs!$E$5:$E$110=$B21)*ISNUMBER(INDEX(Inputs!$K$5:$AJ$110,0,MATCH(AE$2,Inputs!$K$4:$AJ$4,0))))=0,NA(),SUMPRODUCT((Inputs!$A$5:$A$110=$B21)*Inputs!$B$5:$B$110*(((Inputs!$G$5:$G$110="moeda")+(Inputs!$G$5:$G$110="acoes"))*Inputs!$B$1+((Inputs!$G$5:$G$110&lt;&gt;"moeda")*(Inputs!$G$5:$G$110&lt;&gt;"acoes")))*INDEX(Inputs!$K$5:$AJ$110,0,MATCH(AE$2,Inputs!$K$4:$AJ$4,0)))+SUMPRODUCT((Inputs!$C$5:$C$110=$B21)*Inputs!$D$5:$D$110*(((Inputs!$G$5:$G$110="moeda")+(Inputs!$G$5:$G$110="acoes"))*Inputs!$B$1+((Inputs!$G$5:$G$110&lt;&gt;"moeda")*(Inputs!$G$5:$G$110&lt;&gt;"acoes")))*INDEX(Inputs!$K$5:$AJ$110,0,MATCH(AE$2,Inputs!$K$4:$AJ$4,0)))+SUMPRODUCT((Inputs!$E$5:$E$110=$B21)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1" s="6" t="e">
        <f>IF(ISNA(MATCH(AF$2,Inputs!$K$4:$AJ$4,0)),NA(),IF(SUMPRODUCT((Inputs!$A$5:$A$110=$B21)*ISNUMBER(INDEX(Inputs!$K$5:$AJ$110,0,MATCH(AF$2,Inputs!$K$4:$AJ$4,0))))+SUMPRODUCT((Inputs!$C$5:$C$110=$B21)*ISNUMBER(INDEX(Inputs!$K$5:$AJ$110,0,MATCH(AF$2,Inputs!$K$4:$AJ$4,0))))+SUMPRODUCT((Inputs!$E$5:$E$110=$B21)*ISNUMBER(INDEX(Inputs!$K$5:$AJ$110,0,MATCH(AF$2,Inputs!$K$4:$AJ$4,0))))=0,NA(),SUMPRODUCT((Inputs!$A$5:$A$110=$B21)*Inputs!$B$5:$B$110*(((Inputs!$G$5:$G$110="moeda")+(Inputs!$G$5:$G$110="acoes"))*Inputs!$B$1+((Inputs!$G$5:$G$110&lt;&gt;"moeda")*(Inputs!$G$5:$G$110&lt;&gt;"acoes")))*INDEX(Inputs!$K$5:$AJ$110,0,MATCH(AF$2,Inputs!$K$4:$AJ$4,0)))+SUMPRODUCT((Inputs!$C$5:$C$110=$B21)*Inputs!$D$5:$D$110*(((Inputs!$G$5:$G$110="moeda")+(Inputs!$G$5:$G$110="acoes"))*Inputs!$B$1+((Inputs!$G$5:$G$110&lt;&gt;"moeda")*(Inputs!$G$5:$G$110&lt;&gt;"acoes")))*INDEX(Inputs!$K$5:$AJ$110,0,MATCH(AF$2,Inputs!$K$4:$AJ$4,0)))+SUMPRODUCT((Inputs!$E$5:$E$110=$B21)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1" s="3" t="e">
        <f>AF21</f>
        <v>#N/A</v>
      </c>
      <c r="AH21" s="6">
        <f>IF(ISNA(MATCH(AH$2,Inputs!$K$4:$AJ$4,0)),NA(),IF(SUMPRODUCT((Inputs!$A$5:$A$110=$B21)*ISNUMBER(INDEX(Inputs!$K$5:$AJ$110,0,MATCH(AH$2,Inputs!$K$4:$AJ$4,0))))+SUMPRODUCT((Inputs!$C$5:$C$110=$B21)*ISNUMBER(INDEX(Inputs!$K$5:$AJ$110,0,MATCH(AH$2,Inputs!$K$4:$AJ$4,0))))+SUMPRODUCT((Inputs!$E$5:$E$110=$B21)*ISNUMBER(INDEX(Inputs!$K$5:$AJ$110,0,MATCH(AH$2,Inputs!$K$4:$AJ$4,0))))=0,NA(),SUMPRODUCT((Inputs!$A$5:$A$110=$B21)*Inputs!$B$5:$B$110*(((Inputs!$G$5:$G$110="moeda")+(Inputs!$G$5:$G$110="acoes"))*Inputs!$B$1+((Inputs!$G$5:$G$110&lt;&gt;"moeda")*(Inputs!$G$5:$G$110&lt;&gt;"acoes")))*INDEX(Inputs!$K$5:$AJ$110,0,MATCH(AH$2,Inputs!$K$4:$AJ$4,0)))+SUMPRODUCT((Inputs!$C$5:$C$110=$B21)*Inputs!$D$5:$D$110*(((Inputs!$G$5:$G$110="moeda")+(Inputs!$G$5:$G$110="acoes"))*Inputs!$B$1+((Inputs!$G$5:$G$110&lt;&gt;"moeda")*(Inputs!$G$5:$G$110&lt;&gt;"acoes")))*INDEX(Inputs!$K$5:$AJ$110,0,MATCH(AH$2,Inputs!$K$4:$AJ$4,0)))+SUMPRODUCT((Inputs!$E$5:$E$110=$B21)*Inputs!$F$5:$F$110*(((Inputs!$G$5:$G$110="moeda")+(Inputs!$G$5:$G$110="acoes"))*Inputs!$B$1+((Inputs!$G$5:$G$110&lt;&gt;"moeda")*(Inputs!$G$5:$G$110&lt;&gt;"acoes")))*INDEX(Inputs!$K$5:$AJ$110,0,MATCH(AH$2,Inputs!$K$4:$AJ$4,0)))))</f>
        <v>0</v>
      </c>
      <c r="AI21" s="6">
        <f>IF(ISNA(MATCH(AI$2,Inputs!$K$4:$AJ$4,0)),NA(),IF(SUMPRODUCT((Inputs!$A$5:$A$110=$B21)*ISNUMBER(INDEX(Inputs!$K$5:$AJ$110,0,MATCH(AI$2,Inputs!$K$4:$AJ$4,0))))+SUMPRODUCT((Inputs!$C$5:$C$110=$B21)*ISNUMBER(INDEX(Inputs!$K$5:$AJ$110,0,MATCH(AI$2,Inputs!$K$4:$AJ$4,0))))+SUMPRODUCT((Inputs!$E$5:$E$110=$B21)*ISNUMBER(INDEX(Inputs!$K$5:$AJ$110,0,MATCH(AI$2,Inputs!$K$4:$AJ$4,0))))=0,NA(),SUMPRODUCT((Inputs!$A$5:$A$110=$B21)*Inputs!$B$5:$B$110*(((Inputs!$G$5:$G$110="moeda")+(Inputs!$G$5:$G$110="acoes"))*Inputs!$B$1+((Inputs!$G$5:$G$110&lt;&gt;"moeda")*(Inputs!$G$5:$G$110&lt;&gt;"acoes")))*INDEX(Inputs!$K$5:$AJ$110,0,MATCH(AI$2,Inputs!$K$4:$AJ$4,0)))+SUMPRODUCT((Inputs!$C$5:$C$110=$B21)*Inputs!$D$5:$D$110*(((Inputs!$G$5:$G$110="moeda")+(Inputs!$G$5:$G$110="acoes"))*Inputs!$B$1+((Inputs!$G$5:$G$110&lt;&gt;"moeda")*(Inputs!$G$5:$G$110&lt;&gt;"acoes")))*INDEX(Inputs!$K$5:$AJ$110,0,MATCH(AI$2,Inputs!$K$4:$AJ$4,0)))+SUMPRODUCT((Inputs!$E$5:$E$110=$B21)*Inputs!$F$5:$F$110*(((Inputs!$G$5:$G$110="moeda")+(Inputs!$G$5:$G$110="acoes"))*Inputs!$B$1+((Inputs!$G$5:$G$110&lt;&gt;"moeda")*(Inputs!$G$5:$G$110&lt;&gt;"acoes")))*INDEX(Inputs!$K$5:$AJ$110,0,MATCH(AI$2,Inputs!$K$4:$AJ$4,0)))))</f>
        <v>0</v>
      </c>
      <c r="AJ21" s="6">
        <f>IF(ISNA(MATCH(AJ$2,Inputs!$K$4:$AJ$4,0)),NA(),IF(SUMPRODUCT((Inputs!$A$5:$A$110=$B21)*ISNUMBER(INDEX(Inputs!$K$5:$AJ$110,0,MATCH(AJ$2,Inputs!$K$4:$AJ$4,0))))+SUMPRODUCT((Inputs!$C$5:$C$110=$B21)*ISNUMBER(INDEX(Inputs!$K$5:$AJ$110,0,MATCH(AJ$2,Inputs!$K$4:$AJ$4,0))))+SUMPRODUCT((Inputs!$E$5:$E$110=$B21)*ISNUMBER(INDEX(Inputs!$K$5:$AJ$110,0,MATCH(AJ$2,Inputs!$K$4:$AJ$4,0))))=0,NA(),SUMPRODUCT((Inputs!$A$5:$A$110=$B21)*Inputs!$B$5:$B$110*(((Inputs!$G$5:$G$110="moeda")+(Inputs!$G$5:$G$110="acoes"))*Inputs!$B$1+((Inputs!$G$5:$G$110&lt;&gt;"moeda")*(Inputs!$G$5:$G$110&lt;&gt;"acoes")))*INDEX(Inputs!$K$5:$AJ$110,0,MATCH(AJ$2,Inputs!$K$4:$AJ$4,0)))+SUMPRODUCT((Inputs!$C$5:$C$110=$B21)*Inputs!$D$5:$D$110*(((Inputs!$G$5:$G$110="moeda")+(Inputs!$G$5:$G$110="acoes"))*Inputs!$B$1+((Inputs!$G$5:$G$110&lt;&gt;"moeda")*(Inputs!$G$5:$G$110&lt;&gt;"acoes")))*INDEX(Inputs!$K$5:$AJ$110,0,MATCH(AJ$2,Inputs!$K$4:$AJ$4,0)))+SUMPRODUCT((Inputs!$E$5:$E$110=$B21)*Inputs!$F$5:$F$110*(((Inputs!$G$5:$G$110="moeda")+(Inputs!$G$5:$G$110="acoes"))*Inputs!$B$1+((Inputs!$G$5:$G$110&lt;&gt;"moeda")*(Inputs!$G$5:$G$110&lt;&gt;"acoes")))*INDEX(Inputs!$K$5:$AJ$110,0,MATCH(AJ$2,Inputs!$K$4:$AJ$4,0)))))</f>
        <v>0</v>
      </c>
      <c r="AK21" s="6">
        <f>IF(ISNA(MATCH(AK$2,Inputs!$K$4:$AJ$4,0)),NA(),IF(SUMPRODUCT((Inputs!$A$5:$A$110=$B21)*ISNUMBER(INDEX(Inputs!$K$5:$AJ$110,0,MATCH(AK$2,Inputs!$K$4:$AJ$4,0))))+SUMPRODUCT((Inputs!$C$5:$C$110=$B21)*ISNUMBER(INDEX(Inputs!$K$5:$AJ$110,0,MATCH(AK$2,Inputs!$K$4:$AJ$4,0))))+SUMPRODUCT((Inputs!$E$5:$E$110=$B21)*ISNUMBER(INDEX(Inputs!$K$5:$AJ$110,0,MATCH(AK$2,Inputs!$K$4:$AJ$4,0))))=0,NA(),SUMPRODUCT((Inputs!$A$5:$A$110=$B21)*Inputs!$B$5:$B$110*(((Inputs!$G$5:$G$110="moeda")+(Inputs!$G$5:$G$110="acoes"))*Inputs!$B$1+((Inputs!$G$5:$G$110&lt;&gt;"moeda")*(Inputs!$G$5:$G$110&lt;&gt;"acoes")))*INDEX(Inputs!$K$5:$AJ$110,0,MATCH(AK$2,Inputs!$K$4:$AJ$4,0)))+SUMPRODUCT((Inputs!$C$5:$C$110=$B21)*Inputs!$D$5:$D$110*(((Inputs!$G$5:$G$110="moeda")+(Inputs!$G$5:$G$110="acoes"))*Inputs!$B$1+((Inputs!$G$5:$G$110&lt;&gt;"moeda")*(Inputs!$G$5:$G$110&lt;&gt;"acoes")))*INDEX(Inputs!$K$5:$AJ$110,0,MATCH(AK$2,Inputs!$K$4:$AJ$4,0)))+SUMPRODUCT((Inputs!$E$5:$E$110=$B21)*Inputs!$F$5:$F$110*(((Inputs!$G$5:$G$110="moeda")+(Inputs!$G$5:$G$110="acoes"))*Inputs!$B$1+((Inputs!$G$5:$G$110&lt;&gt;"moeda")*(Inputs!$G$5:$G$110&lt;&gt;"acoes")))*INDEX(Inputs!$K$5:$AJ$110,0,MATCH(AK$2,Inputs!$K$4:$AJ$4,0)))))</f>
        <v>0</v>
      </c>
      <c r="AL21" s="3">
        <f>AK21</f>
        <v>0</v>
      </c>
    </row>
    <row r="22">
      <c r="B22" s="46" t="n">
        <v>18</v>
      </c>
      <c r="C22" s="26" t="inlineStr">
        <is>
          <t>PP&amp;E</t>
        </is>
      </c>
      <c r="D22" s="6">
        <f>IF(ISNA(MATCH(D$2,Inputs!$K$4:$AJ$4,0)),NA(),IF(SUMPRODUCT((Inputs!$A$5:$A$110=$B22)*ISNUMBER(INDEX(Inputs!$K$5:$AJ$110,0,MATCH(D$2,Inputs!$K$4:$AJ$4,0))))+SUMPRODUCT((Inputs!$C$5:$C$110=$B22)*ISNUMBER(INDEX(Inputs!$K$5:$AJ$110,0,MATCH(D$2,Inputs!$K$4:$AJ$4,0))))+SUMPRODUCT((Inputs!$E$5:$E$110=$B22)*ISNUMBER(INDEX(Inputs!$K$5:$AJ$110,0,MATCH(D$2,Inputs!$K$4:$AJ$4,0))))=0,NA(),SUMPRODUCT((Inputs!$A$5:$A$110=$B22)*Inputs!$B$5:$B$110*(((Inputs!$G$5:$G$110="moeda")+(Inputs!$G$5:$G$110="acoes"))*Inputs!$B$1+((Inputs!$G$5:$G$110&lt;&gt;"moeda")*(Inputs!$G$5:$G$110&lt;&gt;"acoes")))*INDEX(Inputs!$K$5:$AJ$110,0,MATCH(D$2,Inputs!$K$4:$AJ$4,0)))+SUMPRODUCT((Inputs!$C$5:$C$110=$B22)*Inputs!$D$5:$D$110*(((Inputs!$G$5:$G$110="moeda")+(Inputs!$G$5:$G$110="acoes"))*Inputs!$B$1+((Inputs!$G$5:$G$110&lt;&gt;"moeda")*(Inputs!$G$5:$G$110&lt;&gt;"acoes")))*INDEX(Inputs!$K$5:$AJ$110,0,MATCH(D$2,Inputs!$K$4:$AJ$4,0)))+SUMPRODUCT((Inputs!$E$5:$E$110=$B22)*Inputs!$F$5:$F$110*(((Inputs!$G$5:$G$110="moeda")+(Inputs!$G$5:$G$110="acoes"))*Inputs!$B$1+((Inputs!$G$5:$G$110&lt;&gt;"moeda")*(Inputs!$G$5:$G$110&lt;&gt;"acoes")))*INDEX(Inputs!$K$5:$AJ$110,0,MATCH(D$2,Inputs!$K$4:$AJ$4,0)))))</f>
        <v>2416</v>
      </c>
      <c r="E22" s="6">
        <f>IF(ISNA(MATCH(E$2,Inputs!$K$4:$AJ$4,0)),NA(),IF(SUMPRODUCT((Inputs!$A$5:$A$110=$B22)*ISNUMBER(INDEX(Inputs!$K$5:$AJ$110,0,MATCH(E$2,Inputs!$K$4:$AJ$4,0))))+SUMPRODUCT((Inputs!$C$5:$C$110=$B22)*ISNUMBER(INDEX(Inputs!$K$5:$AJ$110,0,MATCH(E$2,Inputs!$K$4:$AJ$4,0))))+SUMPRODUCT((Inputs!$E$5:$E$110=$B22)*ISNUMBER(INDEX(Inputs!$K$5:$AJ$110,0,MATCH(E$2,Inputs!$K$4:$AJ$4,0))))=0,NA(),SUMPRODUCT((Inputs!$A$5:$A$110=$B22)*Inputs!$B$5:$B$110*(((Inputs!$G$5:$G$110="moeda")+(Inputs!$G$5:$G$110="acoes"))*Inputs!$B$1+((Inputs!$G$5:$G$110&lt;&gt;"moeda")*(Inputs!$G$5:$G$110&lt;&gt;"acoes")))*INDEX(Inputs!$K$5:$AJ$110,0,MATCH(E$2,Inputs!$K$4:$AJ$4,0)))+SUMPRODUCT((Inputs!$C$5:$C$110=$B22)*Inputs!$D$5:$D$110*(((Inputs!$G$5:$G$110="moeda")+(Inputs!$G$5:$G$110="acoes"))*Inputs!$B$1+((Inputs!$G$5:$G$110&lt;&gt;"moeda")*(Inputs!$G$5:$G$110&lt;&gt;"acoes")))*INDEX(Inputs!$K$5:$AJ$110,0,MATCH(E$2,Inputs!$K$4:$AJ$4,0)))+SUMPRODUCT((Inputs!$E$5:$E$110=$B22)*Inputs!$F$5:$F$110*(((Inputs!$G$5:$G$110="moeda")+(Inputs!$G$5:$G$110="acoes"))*Inputs!$B$1+((Inputs!$G$5:$G$110&lt;&gt;"moeda")*(Inputs!$G$5:$G$110&lt;&gt;"acoes")))*INDEX(Inputs!$K$5:$AJ$110,0,MATCH(E$2,Inputs!$K$4:$AJ$4,0)))))</f>
        <v>2370</v>
      </c>
      <c r="F22" s="6">
        <f>IF(ISNA(MATCH(F$2,Inputs!$K$4:$AJ$4,0)),NA(),IF(SUMPRODUCT((Inputs!$A$5:$A$110=$B22)*ISNUMBER(INDEX(Inputs!$K$5:$AJ$110,0,MATCH(F$2,Inputs!$K$4:$AJ$4,0))))+SUMPRODUCT((Inputs!$C$5:$C$110=$B22)*ISNUMBER(INDEX(Inputs!$K$5:$AJ$110,0,MATCH(F$2,Inputs!$K$4:$AJ$4,0))))+SUMPRODUCT((Inputs!$E$5:$E$110=$B22)*ISNUMBER(INDEX(Inputs!$K$5:$AJ$110,0,MATCH(F$2,Inputs!$K$4:$AJ$4,0))))=0,NA(),SUMPRODUCT((Inputs!$A$5:$A$110=$B22)*Inputs!$B$5:$B$110*(((Inputs!$G$5:$G$110="moeda")+(Inputs!$G$5:$G$110="acoes"))*Inputs!$B$1+((Inputs!$G$5:$G$110&lt;&gt;"moeda")*(Inputs!$G$5:$G$110&lt;&gt;"acoes")))*INDEX(Inputs!$K$5:$AJ$110,0,MATCH(F$2,Inputs!$K$4:$AJ$4,0)))+SUMPRODUCT((Inputs!$C$5:$C$110=$B22)*Inputs!$D$5:$D$110*(((Inputs!$G$5:$G$110="moeda")+(Inputs!$G$5:$G$110="acoes"))*Inputs!$B$1+((Inputs!$G$5:$G$110&lt;&gt;"moeda")*(Inputs!$G$5:$G$110&lt;&gt;"acoes")))*INDEX(Inputs!$K$5:$AJ$110,0,MATCH(F$2,Inputs!$K$4:$AJ$4,0)))+SUMPRODUCT((Inputs!$E$5:$E$110=$B22)*Inputs!$F$5:$F$110*(((Inputs!$G$5:$G$110="moeda")+(Inputs!$G$5:$G$110="acoes"))*Inputs!$B$1+((Inputs!$G$5:$G$110&lt;&gt;"moeda")*(Inputs!$G$5:$G$110&lt;&gt;"acoes")))*INDEX(Inputs!$K$5:$AJ$110,0,MATCH(F$2,Inputs!$K$4:$AJ$4,0)))))</f>
        <v>2348</v>
      </c>
      <c r="G22" s="6">
        <f>IF(ISNA(MATCH(G$2,Inputs!$K$4:$AJ$4,0)),NA(),IF(SUMPRODUCT((Inputs!$A$5:$A$110=$B22)*ISNUMBER(INDEX(Inputs!$K$5:$AJ$110,0,MATCH(G$2,Inputs!$K$4:$AJ$4,0))))+SUMPRODUCT((Inputs!$C$5:$C$110=$B22)*ISNUMBER(INDEX(Inputs!$K$5:$AJ$110,0,MATCH(G$2,Inputs!$K$4:$AJ$4,0))))+SUMPRODUCT((Inputs!$E$5:$E$110=$B22)*ISNUMBER(INDEX(Inputs!$K$5:$AJ$110,0,MATCH(G$2,Inputs!$K$4:$AJ$4,0))))=0,NA(),SUMPRODUCT((Inputs!$A$5:$A$110=$B22)*Inputs!$B$5:$B$110*(((Inputs!$G$5:$G$110="moeda")+(Inputs!$G$5:$G$110="acoes"))*Inputs!$B$1+((Inputs!$G$5:$G$110&lt;&gt;"moeda")*(Inputs!$G$5:$G$110&lt;&gt;"acoes")))*INDEX(Inputs!$K$5:$AJ$110,0,MATCH(G$2,Inputs!$K$4:$AJ$4,0)))+SUMPRODUCT((Inputs!$C$5:$C$110=$B22)*Inputs!$D$5:$D$110*(((Inputs!$G$5:$G$110="moeda")+(Inputs!$G$5:$G$110="acoes"))*Inputs!$B$1+((Inputs!$G$5:$G$110&lt;&gt;"moeda")*(Inputs!$G$5:$G$110&lt;&gt;"acoes")))*INDEX(Inputs!$K$5:$AJ$110,0,MATCH(G$2,Inputs!$K$4:$AJ$4,0)))+SUMPRODUCT((Inputs!$E$5:$E$110=$B22)*Inputs!$F$5:$F$110*(((Inputs!$G$5:$G$110="moeda")+(Inputs!$G$5:$G$110="acoes"))*Inputs!$B$1+((Inputs!$G$5:$G$110&lt;&gt;"moeda")*(Inputs!$G$5:$G$110&lt;&gt;"acoes")))*INDEX(Inputs!$K$5:$AJ$110,0,MATCH(G$2,Inputs!$K$4:$AJ$4,0)))))</f>
        <v>2303</v>
      </c>
      <c r="H22" s="3">
        <f>G22</f>
        <v>2303</v>
      </c>
      <c r="I22" s="6">
        <f>IF(ISNA(MATCH(I$2,Inputs!$K$4:$AJ$4,0)),NA(),IF(SUMPRODUCT((Inputs!$A$5:$A$110=$B22)*ISNUMBER(INDEX(Inputs!$K$5:$AJ$110,0,MATCH(I$2,Inputs!$K$4:$AJ$4,0))))+SUMPRODUCT((Inputs!$C$5:$C$110=$B22)*ISNUMBER(INDEX(Inputs!$K$5:$AJ$110,0,MATCH(I$2,Inputs!$K$4:$AJ$4,0))))+SUMPRODUCT((Inputs!$E$5:$E$110=$B22)*ISNUMBER(INDEX(Inputs!$K$5:$AJ$110,0,MATCH(I$2,Inputs!$K$4:$AJ$4,0))))=0,NA(),SUMPRODUCT((Inputs!$A$5:$A$110=$B22)*Inputs!$B$5:$B$110*(((Inputs!$G$5:$G$110="moeda")+(Inputs!$G$5:$G$110="acoes"))*Inputs!$B$1+((Inputs!$G$5:$G$110&lt;&gt;"moeda")*(Inputs!$G$5:$G$110&lt;&gt;"acoes")))*INDEX(Inputs!$K$5:$AJ$110,0,MATCH(I$2,Inputs!$K$4:$AJ$4,0)))+SUMPRODUCT((Inputs!$C$5:$C$110=$B22)*Inputs!$D$5:$D$110*(((Inputs!$G$5:$G$110="moeda")+(Inputs!$G$5:$G$110="acoes"))*Inputs!$B$1+((Inputs!$G$5:$G$110&lt;&gt;"moeda")*(Inputs!$G$5:$G$110&lt;&gt;"acoes")))*INDEX(Inputs!$K$5:$AJ$110,0,MATCH(I$2,Inputs!$K$4:$AJ$4,0)))+SUMPRODUCT((Inputs!$E$5:$E$110=$B22)*Inputs!$F$5:$F$110*(((Inputs!$G$5:$G$110="moeda")+(Inputs!$G$5:$G$110="acoes"))*Inputs!$B$1+((Inputs!$G$5:$G$110&lt;&gt;"moeda")*(Inputs!$G$5:$G$110&lt;&gt;"acoes")))*INDEX(Inputs!$K$5:$AJ$110,0,MATCH(I$2,Inputs!$K$4:$AJ$4,0)))))</f>
        <v>2262</v>
      </c>
      <c r="J22" s="6">
        <f>IF(ISNA(MATCH(J$2,Inputs!$K$4:$AJ$4,0)),NA(),IF(SUMPRODUCT((Inputs!$A$5:$A$110=$B22)*ISNUMBER(INDEX(Inputs!$K$5:$AJ$110,0,MATCH(J$2,Inputs!$K$4:$AJ$4,0))))+SUMPRODUCT((Inputs!$C$5:$C$110=$B22)*ISNUMBER(INDEX(Inputs!$K$5:$AJ$110,0,MATCH(J$2,Inputs!$K$4:$AJ$4,0))))+SUMPRODUCT((Inputs!$E$5:$E$110=$B22)*ISNUMBER(INDEX(Inputs!$K$5:$AJ$110,0,MATCH(J$2,Inputs!$K$4:$AJ$4,0))))=0,NA(),SUMPRODUCT((Inputs!$A$5:$A$110=$B22)*Inputs!$B$5:$B$110*(((Inputs!$G$5:$G$110="moeda")+(Inputs!$G$5:$G$110="acoes"))*Inputs!$B$1+((Inputs!$G$5:$G$110&lt;&gt;"moeda")*(Inputs!$G$5:$G$110&lt;&gt;"acoes")))*INDEX(Inputs!$K$5:$AJ$110,0,MATCH(J$2,Inputs!$K$4:$AJ$4,0)))+SUMPRODUCT((Inputs!$C$5:$C$110=$B22)*Inputs!$D$5:$D$110*(((Inputs!$G$5:$G$110="moeda")+(Inputs!$G$5:$G$110="acoes"))*Inputs!$B$1+((Inputs!$G$5:$G$110&lt;&gt;"moeda")*(Inputs!$G$5:$G$110&lt;&gt;"acoes")))*INDEX(Inputs!$K$5:$AJ$110,0,MATCH(J$2,Inputs!$K$4:$AJ$4,0)))+SUMPRODUCT((Inputs!$E$5:$E$110=$B22)*Inputs!$F$5:$F$110*(((Inputs!$G$5:$G$110="moeda")+(Inputs!$G$5:$G$110="acoes"))*Inputs!$B$1+((Inputs!$G$5:$G$110&lt;&gt;"moeda")*(Inputs!$G$5:$G$110&lt;&gt;"acoes")))*INDEX(Inputs!$K$5:$AJ$110,0,MATCH(J$2,Inputs!$K$4:$AJ$4,0)))))</f>
        <v>2250</v>
      </c>
      <c r="K22" s="6">
        <f>IF(ISNA(MATCH(K$2,Inputs!$K$4:$AJ$4,0)),NA(),IF(SUMPRODUCT((Inputs!$A$5:$A$110=$B22)*ISNUMBER(INDEX(Inputs!$K$5:$AJ$110,0,MATCH(K$2,Inputs!$K$4:$AJ$4,0))))+SUMPRODUCT((Inputs!$C$5:$C$110=$B22)*ISNUMBER(INDEX(Inputs!$K$5:$AJ$110,0,MATCH(K$2,Inputs!$K$4:$AJ$4,0))))+SUMPRODUCT((Inputs!$E$5:$E$110=$B22)*ISNUMBER(INDEX(Inputs!$K$5:$AJ$110,0,MATCH(K$2,Inputs!$K$4:$AJ$4,0))))=0,NA(),SUMPRODUCT((Inputs!$A$5:$A$110=$B22)*Inputs!$B$5:$B$110*(((Inputs!$G$5:$G$110="moeda")+(Inputs!$G$5:$G$110="acoes"))*Inputs!$B$1+((Inputs!$G$5:$G$110&lt;&gt;"moeda")*(Inputs!$G$5:$G$110&lt;&gt;"acoes")))*INDEX(Inputs!$K$5:$AJ$110,0,MATCH(K$2,Inputs!$K$4:$AJ$4,0)))+SUMPRODUCT((Inputs!$C$5:$C$110=$B22)*Inputs!$D$5:$D$110*(((Inputs!$G$5:$G$110="moeda")+(Inputs!$G$5:$G$110="acoes"))*Inputs!$B$1+((Inputs!$G$5:$G$110&lt;&gt;"moeda")*(Inputs!$G$5:$G$110&lt;&gt;"acoes")))*INDEX(Inputs!$K$5:$AJ$110,0,MATCH(K$2,Inputs!$K$4:$AJ$4,0)))+SUMPRODUCT((Inputs!$E$5:$E$110=$B22)*Inputs!$F$5:$F$110*(((Inputs!$G$5:$G$110="moeda")+(Inputs!$G$5:$G$110="acoes"))*Inputs!$B$1+((Inputs!$G$5:$G$110&lt;&gt;"moeda")*(Inputs!$G$5:$G$110&lt;&gt;"acoes")))*INDEX(Inputs!$K$5:$AJ$110,0,MATCH(K$2,Inputs!$K$4:$AJ$4,0)))))</f>
        <v>2223</v>
      </c>
      <c r="L22" s="6">
        <f>IF(ISNA(MATCH(L$2,Inputs!$K$4:$AJ$4,0)),NA(),IF(SUMPRODUCT((Inputs!$A$5:$A$110=$B22)*ISNUMBER(INDEX(Inputs!$K$5:$AJ$110,0,MATCH(L$2,Inputs!$K$4:$AJ$4,0))))+SUMPRODUCT((Inputs!$C$5:$C$110=$B22)*ISNUMBER(INDEX(Inputs!$K$5:$AJ$110,0,MATCH(L$2,Inputs!$K$4:$AJ$4,0))))+SUMPRODUCT((Inputs!$E$5:$E$110=$B22)*ISNUMBER(INDEX(Inputs!$K$5:$AJ$110,0,MATCH(L$2,Inputs!$K$4:$AJ$4,0))))=0,NA(),SUMPRODUCT((Inputs!$A$5:$A$110=$B22)*Inputs!$B$5:$B$110*(((Inputs!$G$5:$G$110="moeda")+(Inputs!$G$5:$G$110="acoes"))*Inputs!$B$1+((Inputs!$G$5:$G$110&lt;&gt;"moeda")*(Inputs!$G$5:$G$110&lt;&gt;"acoes")))*INDEX(Inputs!$K$5:$AJ$110,0,MATCH(L$2,Inputs!$K$4:$AJ$4,0)))+SUMPRODUCT((Inputs!$C$5:$C$110=$B22)*Inputs!$D$5:$D$110*(((Inputs!$G$5:$G$110="moeda")+(Inputs!$G$5:$G$110="acoes"))*Inputs!$B$1+((Inputs!$G$5:$G$110&lt;&gt;"moeda")*(Inputs!$G$5:$G$110&lt;&gt;"acoes")))*INDEX(Inputs!$K$5:$AJ$110,0,MATCH(L$2,Inputs!$K$4:$AJ$4,0)))+SUMPRODUCT((Inputs!$E$5:$E$110=$B22)*Inputs!$F$5:$F$110*(((Inputs!$G$5:$G$110="moeda")+(Inputs!$G$5:$G$110="acoes"))*Inputs!$B$1+((Inputs!$G$5:$G$110&lt;&gt;"moeda")*(Inputs!$G$5:$G$110&lt;&gt;"acoes")))*INDEX(Inputs!$K$5:$AJ$110,0,MATCH(L$2,Inputs!$K$4:$AJ$4,0)))))</f>
        <v>2201</v>
      </c>
      <c r="M22" s="3">
        <f>L22</f>
        <v>2201</v>
      </c>
      <c r="N22" s="6">
        <f>IF(ISNA(MATCH(N$2,Inputs!$K$4:$AJ$4,0)),NA(),IF(SUMPRODUCT((Inputs!$A$5:$A$110=$B22)*ISNUMBER(INDEX(Inputs!$K$5:$AJ$110,0,MATCH(N$2,Inputs!$K$4:$AJ$4,0))))+SUMPRODUCT((Inputs!$C$5:$C$110=$B22)*ISNUMBER(INDEX(Inputs!$K$5:$AJ$110,0,MATCH(N$2,Inputs!$K$4:$AJ$4,0))))+SUMPRODUCT((Inputs!$E$5:$E$110=$B22)*ISNUMBER(INDEX(Inputs!$K$5:$AJ$110,0,MATCH(N$2,Inputs!$K$4:$AJ$4,0))))=0,NA(),SUMPRODUCT((Inputs!$A$5:$A$110=$B22)*Inputs!$B$5:$B$110*(((Inputs!$G$5:$G$110="moeda")+(Inputs!$G$5:$G$110="acoes"))*Inputs!$B$1+((Inputs!$G$5:$G$110&lt;&gt;"moeda")*(Inputs!$G$5:$G$110&lt;&gt;"acoes")))*INDEX(Inputs!$K$5:$AJ$110,0,MATCH(N$2,Inputs!$K$4:$AJ$4,0)))+SUMPRODUCT((Inputs!$C$5:$C$110=$B22)*Inputs!$D$5:$D$110*(((Inputs!$G$5:$G$110="moeda")+(Inputs!$G$5:$G$110="acoes"))*Inputs!$B$1+((Inputs!$G$5:$G$110&lt;&gt;"moeda")*(Inputs!$G$5:$G$110&lt;&gt;"acoes")))*INDEX(Inputs!$K$5:$AJ$110,0,MATCH(N$2,Inputs!$K$4:$AJ$4,0)))+SUMPRODUCT((Inputs!$E$5:$E$110=$B22)*Inputs!$F$5:$F$110*(((Inputs!$G$5:$G$110="moeda")+(Inputs!$G$5:$G$110="acoes"))*Inputs!$B$1+((Inputs!$G$5:$G$110&lt;&gt;"moeda")*(Inputs!$G$5:$G$110&lt;&gt;"acoes")))*INDEX(Inputs!$K$5:$AJ$110,0,MATCH(N$2,Inputs!$K$4:$AJ$4,0)))))</f>
        <v>2209</v>
      </c>
      <c r="O22" s="6">
        <f>IF(ISNA(MATCH(O$2,Inputs!$K$4:$AJ$4,0)),NA(),IF(SUMPRODUCT((Inputs!$A$5:$A$110=$B22)*ISNUMBER(INDEX(Inputs!$K$5:$AJ$110,0,MATCH(O$2,Inputs!$K$4:$AJ$4,0))))+SUMPRODUCT((Inputs!$C$5:$C$110=$B22)*ISNUMBER(INDEX(Inputs!$K$5:$AJ$110,0,MATCH(O$2,Inputs!$K$4:$AJ$4,0))))+SUMPRODUCT((Inputs!$E$5:$E$110=$B22)*ISNUMBER(INDEX(Inputs!$K$5:$AJ$110,0,MATCH(O$2,Inputs!$K$4:$AJ$4,0))))=0,NA(),SUMPRODUCT((Inputs!$A$5:$A$110=$B22)*Inputs!$B$5:$B$110*(((Inputs!$G$5:$G$110="moeda")+(Inputs!$G$5:$G$110="acoes"))*Inputs!$B$1+((Inputs!$G$5:$G$110&lt;&gt;"moeda")*(Inputs!$G$5:$G$110&lt;&gt;"acoes")))*INDEX(Inputs!$K$5:$AJ$110,0,MATCH(O$2,Inputs!$K$4:$AJ$4,0)))+SUMPRODUCT((Inputs!$C$5:$C$110=$B22)*Inputs!$D$5:$D$110*(((Inputs!$G$5:$G$110="moeda")+(Inputs!$G$5:$G$110="acoes"))*Inputs!$B$1+((Inputs!$G$5:$G$110&lt;&gt;"moeda")*(Inputs!$G$5:$G$110&lt;&gt;"acoes")))*INDEX(Inputs!$K$5:$AJ$110,0,MATCH(O$2,Inputs!$K$4:$AJ$4,0)))+SUMPRODUCT((Inputs!$E$5:$E$110=$B22)*Inputs!$F$5:$F$110*(((Inputs!$G$5:$G$110="moeda")+(Inputs!$G$5:$G$110="acoes"))*Inputs!$B$1+((Inputs!$G$5:$G$110&lt;&gt;"moeda")*(Inputs!$G$5:$G$110&lt;&gt;"acoes")))*INDEX(Inputs!$K$5:$AJ$110,0,MATCH(O$2,Inputs!$K$4:$AJ$4,0)))))</f>
        <v>2180</v>
      </c>
      <c r="P22" s="6">
        <f>IF(ISNA(MATCH(P$2,Inputs!$K$4:$AJ$4,0)),NA(),IF(SUMPRODUCT((Inputs!$A$5:$A$110=$B22)*ISNUMBER(INDEX(Inputs!$K$5:$AJ$110,0,MATCH(P$2,Inputs!$K$4:$AJ$4,0))))+SUMPRODUCT((Inputs!$C$5:$C$110=$B22)*ISNUMBER(INDEX(Inputs!$K$5:$AJ$110,0,MATCH(P$2,Inputs!$K$4:$AJ$4,0))))+SUMPRODUCT((Inputs!$E$5:$E$110=$B22)*ISNUMBER(INDEX(Inputs!$K$5:$AJ$110,0,MATCH(P$2,Inputs!$K$4:$AJ$4,0))))=0,NA(),SUMPRODUCT((Inputs!$A$5:$A$110=$B22)*Inputs!$B$5:$B$110*(((Inputs!$G$5:$G$110="moeda")+(Inputs!$G$5:$G$110="acoes"))*Inputs!$B$1+((Inputs!$G$5:$G$110&lt;&gt;"moeda")*(Inputs!$G$5:$G$110&lt;&gt;"acoes")))*INDEX(Inputs!$K$5:$AJ$110,0,MATCH(P$2,Inputs!$K$4:$AJ$4,0)))+SUMPRODUCT((Inputs!$C$5:$C$110=$B22)*Inputs!$D$5:$D$110*(((Inputs!$G$5:$G$110="moeda")+(Inputs!$G$5:$G$110="acoes"))*Inputs!$B$1+((Inputs!$G$5:$G$110&lt;&gt;"moeda")*(Inputs!$G$5:$G$110&lt;&gt;"acoes")))*INDEX(Inputs!$K$5:$AJ$110,0,MATCH(P$2,Inputs!$K$4:$AJ$4,0)))+SUMPRODUCT((Inputs!$E$5:$E$110=$B22)*Inputs!$F$5:$F$110*(((Inputs!$G$5:$G$110="moeda")+(Inputs!$G$5:$G$110="acoes"))*Inputs!$B$1+((Inputs!$G$5:$G$110&lt;&gt;"moeda")*(Inputs!$G$5:$G$110&lt;&gt;"acoes")))*INDEX(Inputs!$K$5:$AJ$110,0,MATCH(P$2,Inputs!$K$4:$AJ$4,0)))))</f>
        <v>2154</v>
      </c>
      <c r="Q22" s="6">
        <f>IF(ISNA(MATCH(Q$2,Inputs!$K$4:$AJ$4,0)),NA(),IF(SUMPRODUCT((Inputs!$A$5:$A$110=$B22)*ISNUMBER(INDEX(Inputs!$K$5:$AJ$110,0,MATCH(Q$2,Inputs!$K$4:$AJ$4,0))))+SUMPRODUCT((Inputs!$C$5:$C$110=$B22)*ISNUMBER(INDEX(Inputs!$K$5:$AJ$110,0,MATCH(Q$2,Inputs!$K$4:$AJ$4,0))))+SUMPRODUCT((Inputs!$E$5:$E$110=$B22)*ISNUMBER(INDEX(Inputs!$K$5:$AJ$110,0,MATCH(Q$2,Inputs!$K$4:$AJ$4,0))))=0,NA(),SUMPRODUCT((Inputs!$A$5:$A$110=$B22)*Inputs!$B$5:$B$110*(((Inputs!$G$5:$G$110="moeda")+(Inputs!$G$5:$G$110="acoes"))*Inputs!$B$1+((Inputs!$G$5:$G$110&lt;&gt;"moeda")*(Inputs!$G$5:$G$110&lt;&gt;"acoes")))*INDEX(Inputs!$K$5:$AJ$110,0,MATCH(Q$2,Inputs!$K$4:$AJ$4,0)))+SUMPRODUCT((Inputs!$C$5:$C$110=$B22)*Inputs!$D$5:$D$110*(((Inputs!$G$5:$G$110="moeda")+(Inputs!$G$5:$G$110="acoes"))*Inputs!$B$1+((Inputs!$G$5:$G$110&lt;&gt;"moeda")*(Inputs!$G$5:$G$110&lt;&gt;"acoes")))*INDEX(Inputs!$K$5:$AJ$110,0,MATCH(Q$2,Inputs!$K$4:$AJ$4,0)))+SUMPRODUCT((Inputs!$E$5:$E$110=$B22)*Inputs!$F$5:$F$110*(((Inputs!$G$5:$G$110="moeda")+(Inputs!$G$5:$G$110="acoes"))*Inputs!$B$1+((Inputs!$G$5:$G$110&lt;&gt;"moeda")*(Inputs!$G$5:$G$110&lt;&gt;"acoes")))*INDEX(Inputs!$K$5:$AJ$110,0,MATCH(Q$2,Inputs!$K$4:$AJ$4,0)))))</f>
        <v>2662</v>
      </c>
      <c r="R22" s="3">
        <f>Q22</f>
        <v>2662</v>
      </c>
      <c r="S22" s="6">
        <f>IF(ISNA(MATCH(S$2,Inputs!$K$4:$AJ$4,0)),NA(),IF(SUMPRODUCT((Inputs!$A$5:$A$110=$B22)*ISNUMBER(INDEX(Inputs!$K$5:$AJ$110,0,MATCH(S$2,Inputs!$K$4:$AJ$4,0))))+SUMPRODUCT((Inputs!$C$5:$C$110=$B22)*ISNUMBER(INDEX(Inputs!$K$5:$AJ$110,0,MATCH(S$2,Inputs!$K$4:$AJ$4,0))))+SUMPRODUCT((Inputs!$E$5:$E$110=$B22)*ISNUMBER(INDEX(Inputs!$K$5:$AJ$110,0,MATCH(S$2,Inputs!$K$4:$AJ$4,0))))=0,NA(),SUMPRODUCT((Inputs!$A$5:$A$110=$B22)*Inputs!$B$5:$B$110*(((Inputs!$G$5:$G$110="moeda")+(Inputs!$G$5:$G$110="acoes"))*Inputs!$B$1+((Inputs!$G$5:$G$110&lt;&gt;"moeda")*(Inputs!$G$5:$G$110&lt;&gt;"acoes")))*INDEX(Inputs!$K$5:$AJ$110,0,MATCH(S$2,Inputs!$K$4:$AJ$4,0)))+SUMPRODUCT((Inputs!$C$5:$C$110=$B22)*Inputs!$D$5:$D$110*(((Inputs!$G$5:$G$110="moeda")+(Inputs!$G$5:$G$110="acoes"))*Inputs!$B$1+((Inputs!$G$5:$G$110&lt;&gt;"moeda")*(Inputs!$G$5:$G$110&lt;&gt;"acoes")))*INDEX(Inputs!$K$5:$AJ$110,0,MATCH(S$2,Inputs!$K$4:$AJ$4,0)))+SUMPRODUCT((Inputs!$E$5:$E$110=$B22)*Inputs!$F$5:$F$110*(((Inputs!$G$5:$G$110="moeda")+(Inputs!$G$5:$G$110="acoes"))*Inputs!$B$1+((Inputs!$G$5:$G$110&lt;&gt;"moeda")*(Inputs!$G$5:$G$110&lt;&gt;"acoes")))*INDEX(Inputs!$K$5:$AJ$110,0,MATCH(S$2,Inputs!$K$4:$AJ$4,0)))))</f>
        <v>2668</v>
      </c>
      <c r="T22" s="6">
        <f>IF(ISNA(MATCH(T$2,Inputs!$K$4:$AJ$4,0)),NA(),IF(SUMPRODUCT((Inputs!$A$5:$A$110=$B22)*ISNUMBER(INDEX(Inputs!$K$5:$AJ$110,0,MATCH(T$2,Inputs!$K$4:$AJ$4,0))))+SUMPRODUCT((Inputs!$C$5:$C$110=$B22)*ISNUMBER(INDEX(Inputs!$K$5:$AJ$110,0,MATCH(T$2,Inputs!$K$4:$AJ$4,0))))+SUMPRODUCT((Inputs!$E$5:$E$110=$B22)*ISNUMBER(INDEX(Inputs!$K$5:$AJ$110,0,MATCH(T$2,Inputs!$K$4:$AJ$4,0))))=0,NA(),SUMPRODUCT((Inputs!$A$5:$A$110=$B22)*Inputs!$B$5:$B$110*(((Inputs!$G$5:$G$110="moeda")+(Inputs!$G$5:$G$110="acoes"))*Inputs!$B$1+((Inputs!$G$5:$G$110&lt;&gt;"moeda")*(Inputs!$G$5:$G$110&lt;&gt;"acoes")))*INDEX(Inputs!$K$5:$AJ$110,0,MATCH(T$2,Inputs!$K$4:$AJ$4,0)))+SUMPRODUCT((Inputs!$C$5:$C$110=$B22)*Inputs!$D$5:$D$110*(((Inputs!$G$5:$G$110="moeda")+(Inputs!$G$5:$G$110="acoes"))*Inputs!$B$1+((Inputs!$G$5:$G$110&lt;&gt;"moeda")*(Inputs!$G$5:$G$110&lt;&gt;"acoes")))*INDEX(Inputs!$K$5:$AJ$110,0,MATCH(T$2,Inputs!$K$4:$AJ$4,0)))+SUMPRODUCT((Inputs!$E$5:$E$110=$B22)*Inputs!$F$5:$F$110*(((Inputs!$G$5:$G$110="moeda")+(Inputs!$G$5:$G$110="acoes"))*Inputs!$B$1+((Inputs!$G$5:$G$110&lt;&gt;"moeda")*(Inputs!$G$5:$G$110&lt;&gt;"acoes")))*INDEX(Inputs!$K$5:$AJ$110,0,MATCH(T$2,Inputs!$K$4:$AJ$4,0)))))</f>
        <v>2602</v>
      </c>
      <c r="U22" s="6">
        <f>IF(ISNA(MATCH(U$2,Inputs!$K$4:$AJ$4,0)),NA(),IF(SUMPRODUCT((Inputs!$A$5:$A$110=$B22)*ISNUMBER(INDEX(Inputs!$K$5:$AJ$110,0,MATCH(U$2,Inputs!$K$4:$AJ$4,0))))+SUMPRODUCT((Inputs!$C$5:$C$110=$B22)*ISNUMBER(INDEX(Inputs!$K$5:$AJ$110,0,MATCH(U$2,Inputs!$K$4:$AJ$4,0))))+SUMPRODUCT((Inputs!$E$5:$E$110=$B22)*ISNUMBER(INDEX(Inputs!$K$5:$AJ$110,0,MATCH(U$2,Inputs!$K$4:$AJ$4,0))))=0,NA(),SUMPRODUCT((Inputs!$A$5:$A$110=$B22)*Inputs!$B$5:$B$110*(((Inputs!$G$5:$G$110="moeda")+(Inputs!$G$5:$G$110="acoes"))*Inputs!$B$1+((Inputs!$G$5:$G$110&lt;&gt;"moeda")*(Inputs!$G$5:$G$110&lt;&gt;"acoes")))*INDEX(Inputs!$K$5:$AJ$110,0,MATCH(U$2,Inputs!$K$4:$AJ$4,0)))+SUMPRODUCT((Inputs!$C$5:$C$110=$B22)*Inputs!$D$5:$D$110*(((Inputs!$G$5:$G$110="moeda")+(Inputs!$G$5:$G$110="acoes"))*Inputs!$B$1+((Inputs!$G$5:$G$110&lt;&gt;"moeda")*(Inputs!$G$5:$G$110&lt;&gt;"acoes")))*INDEX(Inputs!$K$5:$AJ$110,0,MATCH(U$2,Inputs!$K$4:$AJ$4,0)))+SUMPRODUCT((Inputs!$E$5:$E$110=$B22)*Inputs!$F$5:$F$110*(((Inputs!$G$5:$G$110="moeda")+(Inputs!$G$5:$G$110="acoes"))*Inputs!$B$1+((Inputs!$G$5:$G$110&lt;&gt;"moeda")*(Inputs!$G$5:$G$110&lt;&gt;"acoes")))*INDEX(Inputs!$K$5:$AJ$110,0,MATCH(U$2,Inputs!$K$4:$AJ$4,0)))))</f>
        <v>2521</v>
      </c>
      <c r="V22" s="6">
        <f>IF(ISNA(MATCH(V$2,Inputs!$K$4:$AJ$4,0)),NA(),IF(SUMPRODUCT((Inputs!$A$5:$A$110=$B22)*ISNUMBER(INDEX(Inputs!$K$5:$AJ$110,0,MATCH(V$2,Inputs!$K$4:$AJ$4,0))))+SUMPRODUCT((Inputs!$C$5:$C$110=$B22)*ISNUMBER(INDEX(Inputs!$K$5:$AJ$110,0,MATCH(V$2,Inputs!$K$4:$AJ$4,0))))+SUMPRODUCT((Inputs!$E$5:$E$110=$B22)*ISNUMBER(INDEX(Inputs!$K$5:$AJ$110,0,MATCH(V$2,Inputs!$K$4:$AJ$4,0))))=0,NA(),SUMPRODUCT((Inputs!$A$5:$A$110=$B22)*Inputs!$B$5:$B$110*(((Inputs!$G$5:$G$110="moeda")+(Inputs!$G$5:$G$110="acoes"))*Inputs!$B$1+((Inputs!$G$5:$G$110&lt;&gt;"moeda")*(Inputs!$G$5:$G$110&lt;&gt;"acoes")))*INDEX(Inputs!$K$5:$AJ$110,0,MATCH(V$2,Inputs!$K$4:$AJ$4,0)))+SUMPRODUCT((Inputs!$C$5:$C$110=$B22)*Inputs!$D$5:$D$110*(((Inputs!$G$5:$G$110="moeda")+(Inputs!$G$5:$G$110="acoes"))*Inputs!$B$1+((Inputs!$G$5:$G$110&lt;&gt;"moeda")*(Inputs!$G$5:$G$110&lt;&gt;"acoes")))*INDEX(Inputs!$K$5:$AJ$110,0,MATCH(V$2,Inputs!$K$4:$AJ$4,0)))+SUMPRODUCT((Inputs!$E$5:$E$110=$B22)*Inputs!$F$5:$F$110*(((Inputs!$G$5:$G$110="moeda")+(Inputs!$G$5:$G$110="acoes"))*Inputs!$B$1+((Inputs!$G$5:$G$110&lt;&gt;"moeda")*(Inputs!$G$5:$G$110&lt;&gt;"acoes")))*INDEX(Inputs!$K$5:$AJ$110,0,MATCH(V$2,Inputs!$K$4:$AJ$4,0)))))</f>
        <v>2465</v>
      </c>
      <c r="W22" s="3">
        <f>V22</f>
        <v>2465</v>
      </c>
      <c r="X22" s="6">
        <f>IF(ISNA(MATCH(X$2,Inputs!$K$4:$AJ$4,0)),NA(),IF(SUMPRODUCT((Inputs!$A$5:$A$110=$B22)*ISNUMBER(INDEX(Inputs!$K$5:$AJ$110,0,MATCH(X$2,Inputs!$K$4:$AJ$4,0))))+SUMPRODUCT((Inputs!$C$5:$C$110=$B22)*ISNUMBER(INDEX(Inputs!$K$5:$AJ$110,0,MATCH(X$2,Inputs!$K$4:$AJ$4,0))))+SUMPRODUCT((Inputs!$E$5:$E$110=$B22)*ISNUMBER(INDEX(Inputs!$K$5:$AJ$110,0,MATCH(X$2,Inputs!$K$4:$AJ$4,0))))=0,NA(),SUMPRODUCT((Inputs!$A$5:$A$110=$B22)*Inputs!$B$5:$B$110*(((Inputs!$G$5:$G$110="moeda")+(Inputs!$G$5:$G$110="acoes"))*Inputs!$B$1+((Inputs!$G$5:$G$110&lt;&gt;"moeda")*(Inputs!$G$5:$G$110&lt;&gt;"acoes")))*INDEX(Inputs!$K$5:$AJ$110,0,MATCH(X$2,Inputs!$K$4:$AJ$4,0)))+SUMPRODUCT((Inputs!$C$5:$C$110=$B22)*Inputs!$D$5:$D$110*(((Inputs!$G$5:$G$110="moeda")+(Inputs!$G$5:$G$110="acoes"))*Inputs!$B$1+((Inputs!$G$5:$G$110&lt;&gt;"moeda")*(Inputs!$G$5:$G$110&lt;&gt;"acoes")))*INDEX(Inputs!$K$5:$AJ$110,0,MATCH(X$2,Inputs!$K$4:$AJ$4,0)))+SUMPRODUCT((Inputs!$E$5:$E$110=$B22)*Inputs!$F$5:$F$110*(((Inputs!$G$5:$G$110="moeda")+(Inputs!$G$5:$G$110="acoes"))*Inputs!$B$1+((Inputs!$G$5:$G$110&lt;&gt;"moeda")*(Inputs!$G$5:$G$110&lt;&gt;"acoes")))*INDEX(Inputs!$K$5:$AJ$110,0,MATCH(X$2,Inputs!$K$4:$AJ$4,0)))))</f>
        <v>2462</v>
      </c>
      <c r="Y22" s="6">
        <f>IF(ISNA(MATCH(Y$2,Inputs!$K$4:$AJ$4,0)),NA(),IF(SUMPRODUCT((Inputs!$A$5:$A$110=$B22)*ISNUMBER(INDEX(Inputs!$K$5:$AJ$110,0,MATCH(Y$2,Inputs!$K$4:$AJ$4,0))))+SUMPRODUCT((Inputs!$C$5:$C$110=$B22)*ISNUMBER(INDEX(Inputs!$K$5:$AJ$110,0,MATCH(Y$2,Inputs!$K$4:$AJ$4,0))))+SUMPRODUCT((Inputs!$E$5:$E$110=$B22)*ISNUMBER(INDEX(Inputs!$K$5:$AJ$110,0,MATCH(Y$2,Inputs!$K$4:$AJ$4,0))))=0,NA(),SUMPRODUCT((Inputs!$A$5:$A$110=$B22)*Inputs!$B$5:$B$110*(((Inputs!$G$5:$G$110="moeda")+(Inputs!$G$5:$G$110="acoes"))*Inputs!$B$1+((Inputs!$G$5:$G$110&lt;&gt;"moeda")*(Inputs!$G$5:$G$110&lt;&gt;"acoes")))*INDEX(Inputs!$K$5:$AJ$110,0,MATCH(Y$2,Inputs!$K$4:$AJ$4,0)))+SUMPRODUCT((Inputs!$C$5:$C$110=$B22)*Inputs!$D$5:$D$110*(((Inputs!$G$5:$G$110="moeda")+(Inputs!$G$5:$G$110="acoes"))*Inputs!$B$1+((Inputs!$G$5:$G$110&lt;&gt;"moeda")*(Inputs!$G$5:$G$110&lt;&gt;"acoes")))*INDEX(Inputs!$K$5:$AJ$110,0,MATCH(Y$2,Inputs!$K$4:$AJ$4,0)))+SUMPRODUCT((Inputs!$E$5:$E$110=$B22)*Inputs!$F$5:$F$110*(((Inputs!$G$5:$G$110="moeda")+(Inputs!$G$5:$G$110="acoes"))*Inputs!$B$1+((Inputs!$G$5:$G$110&lt;&gt;"moeda")*(Inputs!$G$5:$G$110&lt;&gt;"acoes")))*INDEX(Inputs!$K$5:$AJ$110,0,MATCH(Y$2,Inputs!$K$4:$AJ$4,0)))))</f>
        <v>2451</v>
      </c>
      <c r="Z22" s="6">
        <f>IF(ISNA(MATCH(Z$2,Inputs!$K$4:$AJ$4,0)),NA(),IF(SUMPRODUCT((Inputs!$A$5:$A$110=$B22)*ISNUMBER(INDEX(Inputs!$K$5:$AJ$110,0,MATCH(Z$2,Inputs!$K$4:$AJ$4,0))))+SUMPRODUCT((Inputs!$C$5:$C$110=$B22)*ISNUMBER(INDEX(Inputs!$K$5:$AJ$110,0,MATCH(Z$2,Inputs!$K$4:$AJ$4,0))))+SUMPRODUCT((Inputs!$E$5:$E$110=$B22)*ISNUMBER(INDEX(Inputs!$K$5:$AJ$110,0,MATCH(Z$2,Inputs!$K$4:$AJ$4,0))))=0,NA(),SUMPRODUCT((Inputs!$A$5:$A$110=$B22)*Inputs!$B$5:$B$110*(((Inputs!$G$5:$G$110="moeda")+(Inputs!$G$5:$G$110="acoes"))*Inputs!$B$1+((Inputs!$G$5:$G$110&lt;&gt;"moeda")*(Inputs!$G$5:$G$110&lt;&gt;"acoes")))*INDEX(Inputs!$K$5:$AJ$110,0,MATCH(Z$2,Inputs!$K$4:$AJ$4,0)))+SUMPRODUCT((Inputs!$C$5:$C$110=$B22)*Inputs!$D$5:$D$110*(((Inputs!$G$5:$G$110="moeda")+(Inputs!$G$5:$G$110="acoes"))*Inputs!$B$1+((Inputs!$G$5:$G$110&lt;&gt;"moeda")*(Inputs!$G$5:$G$110&lt;&gt;"acoes")))*INDEX(Inputs!$K$5:$AJ$110,0,MATCH(Z$2,Inputs!$K$4:$AJ$4,0)))+SUMPRODUCT((Inputs!$E$5:$E$110=$B22)*Inputs!$F$5:$F$110*(((Inputs!$G$5:$G$110="moeda")+(Inputs!$G$5:$G$110="acoes"))*Inputs!$B$1+((Inputs!$G$5:$G$110&lt;&gt;"moeda")*(Inputs!$G$5:$G$110&lt;&gt;"acoes")))*INDEX(Inputs!$K$5:$AJ$110,0,MATCH(Z$2,Inputs!$K$4:$AJ$4,0)))))</f>
        <v>2530</v>
      </c>
      <c r="AA22" s="6">
        <f>IF(ISNA(MATCH(AA$2,Inputs!$K$4:$AJ$4,0)),NA(),IF(SUMPRODUCT((Inputs!$A$5:$A$110=$B22)*ISNUMBER(INDEX(Inputs!$K$5:$AJ$110,0,MATCH(AA$2,Inputs!$K$4:$AJ$4,0))))+SUMPRODUCT((Inputs!$C$5:$C$110=$B22)*ISNUMBER(INDEX(Inputs!$K$5:$AJ$110,0,MATCH(AA$2,Inputs!$K$4:$AJ$4,0))))+SUMPRODUCT((Inputs!$E$5:$E$110=$B22)*ISNUMBER(INDEX(Inputs!$K$5:$AJ$110,0,MATCH(AA$2,Inputs!$K$4:$AJ$4,0))))=0,NA(),SUMPRODUCT((Inputs!$A$5:$A$110=$B22)*Inputs!$B$5:$B$110*(((Inputs!$G$5:$G$110="moeda")+(Inputs!$G$5:$G$110="acoes"))*Inputs!$B$1+((Inputs!$G$5:$G$110&lt;&gt;"moeda")*(Inputs!$G$5:$G$110&lt;&gt;"acoes")))*INDEX(Inputs!$K$5:$AJ$110,0,MATCH(AA$2,Inputs!$K$4:$AJ$4,0)))+SUMPRODUCT((Inputs!$C$5:$C$110=$B22)*Inputs!$D$5:$D$110*(((Inputs!$G$5:$G$110="moeda")+(Inputs!$G$5:$G$110="acoes"))*Inputs!$B$1+((Inputs!$G$5:$G$110&lt;&gt;"moeda")*(Inputs!$G$5:$G$110&lt;&gt;"acoes")))*INDEX(Inputs!$K$5:$AJ$110,0,MATCH(AA$2,Inputs!$K$4:$AJ$4,0)))+SUMPRODUCT((Inputs!$E$5:$E$110=$B22)*Inputs!$F$5:$F$110*(((Inputs!$G$5:$G$110="moeda")+(Inputs!$G$5:$G$110="acoes"))*Inputs!$B$1+((Inputs!$G$5:$G$110&lt;&gt;"moeda")*(Inputs!$G$5:$G$110&lt;&gt;"acoes")))*INDEX(Inputs!$K$5:$AJ$110,0,MATCH(AA$2,Inputs!$K$4:$AJ$4,0)))))</f>
        <v>2599</v>
      </c>
      <c r="AB22" s="3">
        <f>AA22</f>
        <v>2599</v>
      </c>
      <c r="AC22" s="6">
        <f>IF(ISNA(MATCH(AC$2,Inputs!$K$4:$AJ$4,0)),NA(),IF(SUMPRODUCT((Inputs!$A$5:$A$110=$B22)*ISNUMBER(INDEX(Inputs!$K$5:$AJ$110,0,MATCH(AC$2,Inputs!$K$4:$AJ$4,0))))+SUMPRODUCT((Inputs!$C$5:$C$110=$B22)*ISNUMBER(INDEX(Inputs!$K$5:$AJ$110,0,MATCH(AC$2,Inputs!$K$4:$AJ$4,0))))+SUMPRODUCT((Inputs!$E$5:$E$110=$B22)*ISNUMBER(INDEX(Inputs!$K$5:$AJ$110,0,MATCH(AC$2,Inputs!$K$4:$AJ$4,0))))=0,NA(),SUMPRODUCT((Inputs!$A$5:$A$110=$B22)*Inputs!$B$5:$B$110*(((Inputs!$G$5:$G$110="moeda")+(Inputs!$G$5:$G$110="acoes"))*Inputs!$B$1+((Inputs!$G$5:$G$110&lt;&gt;"moeda")*(Inputs!$G$5:$G$110&lt;&gt;"acoes")))*INDEX(Inputs!$K$5:$AJ$110,0,MATCH(AC$2,Inputs!$K$4:$AJ$4,0)))+SUMPRODUCT((Inputs!$C$5:$C$110=$B22)*Inputs!$D$5:$D$110*(((Inputs!$G$5:$G$110="moeda")+(Inputs!$G$5:$G$110="acoes"))*Inputs!$B$1+((Inputs!$G$5:$G$110&lt;&gt;"moeda")*(Inputs!$G$5:$G$110&lt;&gt;"acoes")))*INDEX(Inputs!$K$5:$AJ$110,0,MATCH(AC$2,Inputs!$K$4:$AJ$4,0)))+SUMPRODUCT((Inputs!$E$5:$E$110=$B22)*Inputs!$F$5:$F$110*(((Inputs!$G$5:$G$110="moeda")+(Inputs!$G$5:$G$110="acoes"))*Inputs!$B$1+((Inputs!$G$5:$G$110&lt;&gt;"moeda")*(Inputs!$G$5:$G$110&lt;&gt;"acoes")))*INDEX(Inputs!$K$5:$AJ$110,0,MATCH(AC$2,Inputs!$K$4:$AJ$4,0)))))</f>
        <v>2788</v>
      </c>
      <c r="AD22" s="6">
        <f>IF(ISNA(MATCH(AD$2,Inputs!$K$4:$AJ$4,0)),NA(),IF(SUMPRODUCT((Inputs!$A$5:$A$110=$B22)*ISNUMBER(INDEX(Inputs!$K$5:$AJ$110,0,MATCH(AD$2,Inputs!$K$4:$AJ$4,0))))+SUMPRODUCT((Inputs!$C$5:$C$110=$B22)*ISNUMBER(INDEX(Inputs!$K$5:$AJ$110,0,MATCH(AD$2,Inputs!$K$4:$AJ$4,0))))+SUMPRODUCT((Inputs!$E$5:$E$110=$B22)*ISNUMBER(INDEX(Inputs!$K$5:$AJ$110,0,MATCH(AD$2,Inputs!$K$4:$AJ$4,0))))=0,NA(),SUMPRODUCT((Inputs!$A$5:$A$110=$B22)*Inputs!$B$5:$B$110*(((Inputs!$G$5:$G$110="moeda")+(Inputs!$G$5:$G$110="acoes"))*Inputs!$B$1+((Inputs!$G$5:$G$110&lt;&gt;"moeda")*(Inputs!$G$5:$G$110&lt;&gt;"acoes")))*INDEX(Inputs!$K$5:$AJ$110,0,MATCH(AD$2,Inputs!$K$4:$AJ$4,0)))+SUMPRODUCT((Inputs!$C$5:$C$110=$B22)*Inputs!$D$5:$D$110*(((Inputs!$G$5:$G$110="moeda")+(Inputs!$G$5:$G$110="acoes"))*Inputs!$B$1+((Inputs!$G$5:$G$110&lt;&gt;"moeda")*(Inputs!$G$5:$G$110&lt;&gt;"acoes")))*INDEX(Inputs!$K$5:$AJ$110,0,MATCH(AD$2,Inputs!$K$4:$AJ$4,0)))+SUMPRODUCT((Inputs!$E$5:$E$110=$B22)*Inputs!$F$5:$F$110*(((Inputs!$G$5:$G$110="moeda")+(Inputs!$G$5:$G$110="acoes"))*Inputs!$B$1+((Inputs!$G$5:$G$110&lt;&gt;"moeda")*(Inputs!$G$5:$G$110&lt;&gt;"acoes")))*INDEX(Inputs!$K$5:$AJ$110,0,MATCH(AD$2,Inputs!$K$4:$AJ$4,0)))))</f>
        <v>3144</v>
      </c>
      <c r="AE22" s="6" t="e">
        <f>IF(ISNA(MATCH(AE$2,Inputs!$K$4:$AJ$4,0)),NA(),IF(SUMPRODUCT((Inputs!$A$5:$A$110=$B22)*ISNUMBER(INDEX(Inputs!$K$5:$AJ$110,0,MATCH(AE$2,Inputs!$K$4:$AJ$4,0))))+SUMPRODUCT((Inputs!$C$5:$C$110=$B22)*ISNUMBER(INDEX(Inputs!$K$5:$AJ$110,0,MATCH(AE$2,Inputs!$K$4:$AJ$4,0))))+SUMPRODUCT((Inputs!$E$5:$E$110=$B22)*ISNUMBER(INDEX(Inputs!$K$5:$AJ$110,0,MATCH(AE$2,Inputs!$K$4:$AJ$4,0))))=0,NA(),SUMPRODUCT((Inputs!$A$5:$A$110=$B22)*Inputs!$B$5:$B$110*(((Inputs!$G$5:$G$110="moeda")+(Inputs!$G$5:$G$110="acoes"))*Inputs!$B$1+((Inputs!$G$5:$G$110&lt;&gt;"moeda")*(Inputs!$G$5:$G$110&lt;&gt;"acoes")))*INDEX(Inputs!$K$5:$AJ$110,0,MATCH(AE$2,Inputs!$K$4:$AJ$4,0)))+SUMPRODUCT((Inputs!$C$5:$C$110=$B22)*Inputs!$D$5:$D$110*(((Inputs!$G$5:$G$110="moeda")+(Inputs!$G$5:$G$110="acoes"))*Inputs!$B$1+((Inputs!$G$5:$G$110&lt;&gt;"moeda")*(Inputs!$G$5:$G$110&lt;&gt;"acoes")))*INDEX(Inputs!$K$5:$AJ$110,0,MATCH(AE$2,Inputs!$K$4:$AJ$4,0)))+SUMPRODUCT((Inputs!$E$5:$E$110=$B22)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2" s="6" t="e">
        <f>IF(ISNA(MATCH(AF$2,Inputs!$K$4:$AJ$4,0)),NA(),IF(SUMPRODUCT((Inputs!$A$5:$A$110=$B22)*ISNUMBER(INDEX(Inputs!$K$5:$AJ$110,0,MATCH(AF$2,Inputs!$K$4:$AJ$4,0))))+SUMPRODUCT((Inputs!$C$5:$C$110=$B22)*ISNUMBER(INDEX(Inputs!$K$5:$AJ$110,0,MATCH(AF$2,Inputs!$K$4:$AJ$4,0))))+SUMPRODUCT((Inputs!$E$5:$E$110=$B22)*ISNUMBER(INDEX(Inputs!$K$5:$AJ$110,0,MATCH(AF$2,Inputs!$K$4:$AJ$4,0))))=0,NA(),SUMPRODUCT((Inputs!$A$5:$A$110=$B22)*Inputs!$B$5:$B$110*(((Inputs!$G$5:$G$110="moeda")+(Inputs!$G$5:$G$110="acoes"))*Inputs!$B$1+((Inputs!$G$5:$G$110&lt;&gt;"moeda")*(Inputs!$G$5:$G$110&lt;&gt;"acoes")))*INDEX(Inputs!$K$5:$AJ$110,0,MATCH(AF$2,Inputs!$K$4:$AJ$4,0)))+SUMPRODUCT((Inputs!$C$5:$C$110=$B22)*Inputs!$D$5:$D$110*(((Inputs!$G$5:$G$110="moeda")+(Inputs!$G$5:$G$110="acoes"))*Inputs!$B$1+((Inputs!$G$5:$G$110&lt;&gt;"moeda")*(Inputs!$G$5:$G$110&lt;&gt;"acoes")))*INDEX(Inputs!$K$5:$AJ$110,0,MATCH(AF$2,Inputs!$K$4:$AJ$4,0)))+SUMPRODUCT((Inputs!$E$5:$E$110=$B22)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2" s="3" t="e">
        <f>AF22</f>
        <v>#N/A</v>
      </c>
      <c r="AH22" s="6">
        <f>IF(ISNA(MATCH(AH$2,Inputs!$K$4:$AJ$4,0)),NA(),IF(SUMPRODUCT((Inputs!$A$5:$A$110=$B22)*ISNUMBER(INDEX(Inputs!$K$5:$AJ$110,0,MATCH(AH$2,Inputs!$K$4:$AJ$4,0))))+SUMPRODUCT((Inputs!$C$5:$C$110=$B22)*ISNUMBER(INDEX(Inputs!$K$5:$AJ$110,0,MATCH(AH$2,Inputs!$K$4:$AJ$4,0))))+SUMPRODUCT((Inputs!$E$5:$E$110=$B22)*ISNUMBER(INDEX(Inputs!$K$5:$AJ$110,0,MATCH(AH$2,Inputs!$K$4:$AJ$4,0))))=0,NA(),SUMPRODUCT((Inputs!$A$5:$A$110=$B22)*Inputs!$B$5:$B$110*(((Inputs!$G$5:$G$110="moeda")+(Inputs!$G$5:$G$110="acoes"))*Inputs!$B$1+((Inputs!$G$5:$G$110&lt;&gt;"moeda")*(Inputs!$G$5:$G$110&lt;&gt;"acoes")))*INDEX(Inputs!$K$5:$AJ$110,0,MATCH(AH$2,Inputs!$K$4:$AJ$4,0)))+SUMPRODUCT((Inputs!$C$5:$C$110=$B22)*Inputs!$D$5:$D$110*(((Inputs!$G$5:$G$110="moeda")+(Inputs!$G$5:$G$110="acoes"))*Inputs!$B$1+((Inputs!$G$5:$G$110&lt;&gt;"moeda")*(Inputs!$G$5:$G$110&lt;&gt;"acoes")))*INDEX(Inputs!$K$5:$AJ$110,0,MATCH(AH$2,Inputs!$K$4:$AJ$4,0)))+SUMPRODUCT((Inputs!$E$5:$E$110=$B22)*Inputs!$F$5:$F$110*(((Inputs!$G$5:$G$110="moeda")+(Inputs!$G$5:$G$110="acoes"))*Inputs!$B$1+((Inputs!$G$5:$G$110&lt;&gt;"moeda")*(Inputs!$G$5:$G$110&lt;&gt;"acoes")))*INDEX(Inputs!$K$5:$AJ$110,0,MATCH(AH$2,Inputs!$K$4:$AJ$4,0)))))</f>
        <v>2618</v>
      </c>
      <c r="AI22" s="6">
        <f>IF(ISNA(MATCH(AI$2,Inputs!$K$4:$AJ$4,0)),NA(),IF(SUMPRODUCT((Inputs!$A$5:$A$110=$B22)*ISNUMBER(INDEX(Inputs!$K$5:$AJ$110,0,MATCH(AI$2,Inputs!$K$4:$AJ$4,0))))+SUMPRODUCT((Inputs!$C$5:$C$110=$B22)*ISNUMBER(INDEX(Inputs!$K$5:$AJ$110,0,MATCH(AI$2,Inputs!$K$4:$AJ$4,0))))+SUMPRODUCT((Inputs!$E$5:$E$110=$B22)*ISNUMBER(INDEX(Inputs!$K$5:$AJ$110,0,MATCH(AI$2,Inputs!$K$4:$AJ$4,0))))=0,NA(),SUMPRODUCT((Inputs!$A$5:$A$110=$B22)*Inputs!$B$5:$B$110*(((Inputs!$G$5:$G$110="moeda")+(Inputs!$G$5:$G$110="acoes"))*Inputs!$B$1+((Inputs!$G$5:$G$110&lt;&gt;"moeda")*(Inputs!$G$5:$G$110&lt;&gt;"acoes")))*INDEX(Inputs!$K$5:$AJ$110,0,MATCH(AI$2,Inputs!$K$4:$AJ$4,0)))+SUMPRODUCT((Inputs!$C$5:$C$110=$B22)*Inputs!$D$5:$D$110*(((Inputs!$G$5:$G$110="moeda")+(Inputs!$G$5:$G$110="acoes"))*Inputs!$B$1+((Inputs!$G$5:$G$110&lt;&gt;"moeda")*(Inputs!$G$5:$G$110&lt;&gt;"acoes")))*INDEX(Inputs!$K$5:$AJ$110,0,MATCH(AI$2,Inputs!$K$4:$AJ$4,0)))+SUMPRODUCT((Inputs!$E$5:$E$110=$B22)*Inputs!$F$5:$F$110*(((Inputs!$G$5:$G$110="moeda")+(Inputs!$G$5:$G$110="acoes"))*Inputs!$B$1+((Inputs!$G$5:$G$110&lt;&gt;"moeda")*(Inputs!$G$5:$G$110&lt;&gt;"acoes")))*INDEX(Inputs!$K$5:$AJ$110,0,MATCH(AI$2,Inputs!$K$4:$AJ$4,0)))))</f>
        <v>2567</v>
      </c>
      <c r="AJ22" s="6">
        <f>IF(ISNA(MATCH(AJ$2,Inputs!$K$4:$AJ$4,0)),NA(),IF(SUMPRODUCT((Inputs!$A$5:$A$110=$B22)*ISNUMBER(INDEX(Inputs!$K$5:$AJ$110,0,MATCH(AJ$2,Inputs!$K$4:$AJ$4,0))))+SUMPRODUCT((Inputs!$C$5:$C$110=$B22)*ISNUMBER(INDEX(Inputs!$K$5:$AJ$110,0,MATCH(AJ$2,Inputs!$K$4:$AJ$4,0))))+SUMPRODUCT((Inputs!$E$5:$E$110=$B22)*ISNUMBER(INDEX(Inputs!$K$5:$AJ$110,0,MATCH(AJ$2,Inputs!$K$4:$AJ$4,0))))=0,NA(),SUMPRODUCT((Inputs!$A$5:$A$110=$B22)*Inputs!$B$5:$B$110*(((Inputs!$G$5:$G$110="moeda")+(Inputs!$G$5:$G$110="acoes"))*Inputs!$B$1+((Inputs!$G$5:$G$110&lt;&gt;"moeda")*(Inputs!$G$5:$G$110&lt;&gt;"acoes")))*INDEX(Inputs!$K$5:$AJ$110,0,MATCH(AJ$2,Inputs!$K$4:$AJ$4,0)))+SUMPRODUCT((Inputs!$C$5:$C$110=$B22)*Inputs!$D$5:$D$110*(((Inputs!$G$5:$G$110="moeda")+(Inputs!$G$5:$G$110="acoes"))*Inputs!$B$1+((Inputs!$G$5:$G$110&lt;&gt;"moeda")*(Inputs!$G$5:$G$110&lt;&gt;"acoes")))*INDEX(Inputs!$K$5:$AJ$110,0,MATCH(AJ$2,Inputs!$K$4:$AJ$4,0)))+SUMPRODUCT((Inputs!$E$5:$E$110=$B22)*Inputs!$F$5:$F$110*(((Inputs!$G$5:$G$110="moeda")+(Inputs!$G$5:$G$110="acoes"))*Inputs!$B$1+((Inputs!$G$5:$G$110&lt;&gt;"moeda")*(Inputs!$G$5:$G$110&lt;&gt;"acoes")))*INDEX(Inputs!$K$5:$AJ$110,0,MATCH(AJ$2,Inputs!$K$4:$AJ$4,0)))))</f>
        <v>2509</v>
      </c>
      <c r="AK22" s="6">
        <f>IF(ISNA(MATCH(AK$2,Inputs!$K$4:$AJ$4,0)),NA(),IF(SUMPRODUCT((Inputs!$A$5:$A$110=$B22)*ISNUMBER(INDEX(Inputs!$K$5:$AJ$110,0,MATCH(AK$2,Inputs!$K$4:$AJ$4,0))))+SUMPRODUCT((Inputs!$C$5:$C$110=$B22)*ISNUMBER(INDEX(Inputs!$K$5:$AJ$110,0,MATCH(AK$2,Inputs!$K$4:$AJ$4,0))))+SUMPRODUCT((Inputs!$E$5:$E$110=$B22)*ISNUMBER(INDEX(Inputs!$K$5:$AJ$110,0,MATCH(AK$2,Inputs!$K$4:$AJ$4,0))))=0,NA(),SUMPRODUCT((Inputs!$A$5:$A$110=$B22)*Inputs!$B$5:$B$110*(((Inputs!$G$5:$G$110="moeda")+(Inputs!$G$5:$G$110="acoes"))*Inputs!$B$1+((Inputs!$G$5:$G$110&lt;&gt;"moeda")*(Inputs!$G$5:$G$110&lt;&gt;"acoes")))*INDEX(Inputs!$K$5:$AJ$110,0,MATCH(AK$2,Inputs!$K$4:$AJ$4,0)))+SUMPRODUCT((Inputs!$C$5:$C$110=$B22)*Inputs!$D$5:$D$110*(((Inputs!$G$5:$G$110="moeda")+(Inputs!$G$5:$G$110="acoes"))*Inputs!$B$1+((Inputs!$G$5:$G$110&lt;&gt;"moeda")*(Inputs!$G$5:$G$110&lt;&gt;"acoes")))*INDEX(Inputs!$K$5:$AJ$110,0,MATCH(AK$2,Inputs!$K$4:$AJ$4,0)))+SUMPRODUCT((Inputs!$E$5:$E$110=$B22)*Inputs!$F$5:$F$110*(((Inputs!$G$5:$G$110="moeda")+(Inputs!$G$5:$G$110="acoes"))*Inputs!$B$1+((Inputs!$G$5:$G$110&lt;&gt;"moeda")*(Inputs!$G$5:$G$110&lt;&gt;"acoes")))*INDEX(Inputs!$K$5:$AJ$110,0,MATCH(AK$2,Inputs!$K$4:$AJ$4,0)))))</f>
        <v>2496</v>
      </c>
      <c r="AL22" s="3">
        <f>AK22</f>
        <v>2496</v>
      </c>
    </row>
    <row r="23">
      <c r="B23" s="46" t="n">
        <v>19</v>
      </c>
      <c r="C23" s="26" t="inlineStr">
        <is>
          <t>Right-of-use-assets</t>
        </is>
      </c>
      <c r="D23" s="6">
        <f>IF(ISNA(MATCH(D$2,Inputs!$K$4:$AJ$4,0)),NA(),IF(SUMPRODUCT((Inputs!$A$5:$A$110=$B23)*ISNUMBER(INDEX(Inputs!$K$5:$AJ$110,0,MATCH(D$2,Inputs!$K$4:$AJ$4,0))))+SUMPRODUCT((Inputs!$C$5:$C$110=$B23)*ISNUMBER(INDEX(Inputs!$K$5:$AJ$110,0,MATCH(D$2,Inputs!$K$4:$AJ$4,0))))+SUMPRODUCT((Inputs!$E$5:$E$110=$B23)*ISNUMBER(INDEX(Inputs!$K$5:$AJ$110,0,MATCH(D$2,Inputs!$K$4:$AJ$4,0))))=0,NA(),SUMPRODUCT((Inputs!$A$5:$A$110=$B23)*Inputs!$B$5:$B$110*(((Inputs!$G$5:$G$110="moeda")+(Inputs!$G$5:$G$110="acoes"))*Inputs!$B$1+((Inputs!$G$5:$G$110&lt;&gt;"moeda")*(Inputs!$G$5:$G$110&lt;&gt;"acoes")))*INDEX(Inputs!$K$5:$AJ$110,0,MATCH(D$2,Inputs!$K$4:$AJ$4,0)))+SUMPRODUCT((Inputs!$C$5:$C$110=$B23)*Inputs!$D$5:$D$110*(((Inputs!$G$5:$G$110="moeda")+(Inputs!$G$5:$G$110="acoes"))*Inputs!$B$1+((Inputs!$G$5:$G$110&lt;&gt;"moeda")*(Inputs!$G$5:$G$110&lt;&gt;"acoes")))*INDEX(Inputs!$K$5:$AJ$110,0,MATCH(D$2,Inputs!$K$4:$AJ$4,0)))+SUMPRODUCT((Inputs!$E$5:$E$110=$B23)*Inputs!$F$5:$F$110*(((Inputs!$G$5:$G$110="moeda")+(Inputs!$G$5:$G$110="acoes"))*Inputs!$B$1+((Inputs!$G$5:$G$110&lt;&gt;"moeda")*(Inputs!$G$5:$G$110&lt;&gt;"acoes")))*INDEX(Inputs!$K$5:$AJ$110,0,MATCH(D$2,Inputs!$K$4:$AJ$4,0)))))</f>
        <v>0</v>
      </c>
      <c r="E23" s="6">
        <f>IF(ISNA(MATCH(E$2,Inputs!$K$4:$AJ$4,0)),NA(),IF(SUMPRODUCT((Inputs!$A$5:$A$110=$B23)*ISNUMBER(INDEX(Inputs!$K$5:$AJ$110,0,MATCH(E$2,Inputs!$K$4:$AJ$4,0))))+SUMPRODUCT((Inputs!$C$5:$C$110=$B23)*ISNUMBER(INDEX(Inputs!$K$5:$AJ$110,0,MATCH(E$2,Inputs!$K$4:$AJ$4,0))))+SUMPRODUCT((Inputs!$E$5:$E$110=$B23)*ISNUMBER(INDEX(Inputs!$K$5:$AJ$110,0,MATCH(E$2,Inputs!$K$4:$AJ$4,0))))=0,NA(),SUMPRODUCT((Inputs!$A$5:$A$110=$B23)*Inputs!$B$5:$B$110*(((Inputs!$G$5:$G$110="moeda")+(Inputs!$G$5:$G$110="acoes"))*Inputs!$B$1+((Inputs!$G$5:$G$110&lt;&gt;"moeda")*(Inputs!$G$5:$G$110&lt;&gt;"acoes")))*INDEX(Inputs!$K$5:$AJ$110,0,MATCH(E$2,Inputs!$K$4:$AJ$4,0)))+SUMPRODUCT((Inputs!$C$5:$C$110=$B23)*Inputs!$D$5:$D$110*(((Inputs!$G$5:$G$110="moeda")+(Inputs!$G$5:$G$110="acoes"))*Inputs!$B$1+((Inputs!$G$5:$G$110&lt;&gt;"moeda")*(Inputs!$G$5:$G$110&lt;&gt;"acoes")))*INDEX(Inputs!$K$5:$AJ$110,0,MATCH(E$2,Inputs!$K$4:$AJ$4,0)))+SUMPRODUCT((Inputs!$E$5:$E$110=$B23)*Inputs!$F$5:$F$110*(((Inputs!$G$5:$G$110="moeda")+(Inputs!$G$5:$G$110="acoes"))*Inputs!$B$1+((Inputs!$G$5:$G$110&lt;&gt;"moeda")*(Inputs!$G$5:$G$110&lt;&gt;"acoes")))*INDEX(Inputs!$K$5:$AJ$110,0,MATCH(E$2,Inputs!$K$4:$AJ$4,0)))))</f>
        <v>0</v>
      </c>
      <c r="F23" s="6">
        <f>IF(ISNA(MATCH(F$2,Inputs!$K$4:$AJ$4,0)),NA(),IF(SUMPRODUCT((Inputs!$A$5:$A$110=$B23)*ISNUMBER(INDEX(Inputs!$K$5:$AJ$110,0,MATCH(F$2,Inputs!$K$4:$AJ$4,0))))+SUMPRODUCT((Inputs!$C$5:$C$110=$B23)*ISNUMBER(INDEX(Inputs!$K$5:$AJ$110,0,MATCH(F$2,Inputs!$K$4:$AJ$4,0))))+SUMPRODUCT((Inputs!$E$5:$E$110=$B23)*ISNUMBER(INDEX(Inputs!$K$5:$AJ$110,0,MATCH(F$2,Inputs!$K$4:$AJ$4,0))))=0,NA(),SUMPRODUCT((Inputs!$A$5:$A$110=$B23)*Inputs!$B$5:$B$110*(((Inputs!$G$5:$G$110="moeda")+(Inputs!$G$5:$G$110="acoes"))*Inputs!$B$1+((Inputs!$G$5:$G$110&lt;&gt;"moeda")*(Inputs!$G$5:$G$110&lt;&gt;"acoes")))*INDEX(Inputs!$K$5:$AJ$110,0,MATCH(F$2,Inputs!$K$4:$AJ$4,0)))+SUMPRODUCT((Inputs!$C$5:$C$110=$B23)*Inputs!$D$5:$D$110*(((Inputs!$G$5:$G$110="moeda")+(Inputs!$G$5:$G$110="acoes"))*Inputs!$B$1+((Inputs!$G$5:$G$110&lt;&gt;"moeda")*(Inputs!$G$5:$G$110&lt;&gt;"acoes")))*INDEX(Inputs!$K$5:$AJ$110,0,MATCH(F$2,Inputs!$K$4:$AJ$4,0)))+SUMPRODUCT((Inputs!$E$5:$E$110=$B23)*Inputs!$F$5:$F$110*(((Inputs!$G$5:$G$110="moeda")+(Inputs!$G$5:$G$110="acoes"))*Inputs!$B$1+((Inputs!$G$5:$G$110&lt;&gt;"moeda")*(Inputs!$G$5:$G$110&lt;&gt;"acoes")))*INDEX(Inputs!$K$5:$AJ$110,0,MATCH(F$2,Inputs!$K$4:$AJ$4,0)))))</f>
        <v>0</v>
      </c>
      <c r="G23" s="6">
        <f>IF(ISNA(MATCH(G$2,Inputs!$K$4:$AJ$4,0)),NA(),IF(SUMPRODUCT((Inputs!$A$5:$A$110=$B23)*ISNUMBER(INDEX(Inputs!$K$5:$AJ$110,0,MATCH(G$2,Inputs!$K$4:$AJ$4,0))))+SUMPRODUCT((Inputs!$C$5:$C$110=$B23)*ISNUMBER(INDEX(Inputs!$K$5:$AJ$110,0,MATCH(G$2,Inputs!$K$4:$AJ$4,0))))+SUMPRODUCT((Inputs!$E$5:$E$110=$B23)*ISNUMBER(INDEX(Inputs!$K$5:$AJ$110,0,MATCH(G$2,Inputs!$K$4:$AJ$4,0))))=0,NA(),SUMPRODUCT((Inputs!$A$5:$A$110=$B23)*Inputs!$B$5:$B$110*(((Inputs!$G$5:$G$110="moeda")+(Inputs!$G$5:$G$110="acoes"))*Inputs!$B$1+((Inputs!$G$5:$G$110&lt;&gt;"moeda")*(Inputs!$G$5:$G$110&lt;&gt;"acoes")))*INDEX(Inputs!$K$5:$AJ$110,0,MATCH(G$2,Inputs!$K$4:$AJ$4,0)))+SUMPRODUCT((Inputs!$C$5:$C$110=$B23)*Inputs!$D$5:$D$110*(((Inputs!$G$5:$G$110="moeda")+(Inputs!$G$5:$G$110="acoes"))*Inputs!$B$1+((Inputs!$G$5:$G$110&lt;&gt;"moeda")*(Inputs!$G$5:$G$110&lt;&gt;"acoes")))*INDEX(Inputs!$K$5:$AJ$110,0,MATCH(G$2,Inputs!$K$4:$AJ$4,0)))+SUMPRODUCT((Inputs!$E$5:$E$110=$B23)*Inputs!$F$5:$F$110*(((Inputs!$G$5:$G$110="moeda")+(Inputs!$G$5:$G$110="acoes"))*Inputs!$B$1+((Inputs!$G$5:$G$110&lt;&gt;"moeda")*(Inputs!$G$5:$G$110&lt;&gt;"acoes")))*INDEX(Inputs!$K$5:$AJ$110,0,MATCH(G$2,Inputs!$K$4:$AJ$4,0)))))</f>
        <v>0</v>
      </c>
      <c r="H23" s="3">
        <f>G23</f>
        <v>0</v>
      </c>
      <c r="I23" s="6">
        <f>IF(ISNA(MATCH(I$2,Inputs!$K$4:$AJ$4,0)),NA(),IF(SUMPRODUCT((Inputs!$A$5:$A$110=$B23)*ISNUMBER(INDEX(Inputs!$K$5:$AJ$110,0,MATCH(I$2,Inputs!$K$4:$AJ$4,0))))+SUMPRODUCT((Inputs!$C$5:$C$110=$B23)*ISNUMBER(INDEX(Inputs!$K$5:$AJ$110,0,MATCH(I$2,Inputs!$K$4:$AJ$4,0))))+SUMPRODUCT((Inputs!$E$5:$E$110=$B23)*ISNUMBER(INDEX(Inputs!$K$5:$AJ$110,0,MATCH(I$2,Inputs!$K$4:$AJ$4,0))))=0,NA(),SUMPRODUCT((Inputs!$A$5:$A$110=$B23)*Inputs!$B$5:$B$110*(((Inputs!$G$5:$G$110="moeda")+(Inputs!$G$5:$G$110="acoes"))*Inputs!$B$1+((Inputs!$G$5:$G$110&lt;&gt;"moeda")*(Inputs!$G$5:$G$110&lt;&gt;"acoes")))*INDEX(Inputs!$K$5:$AJ$110,0,MATCH(I$2,Inputs!$K$4:$AJ$4,0)))+SUMPRODUCT((Inputs!$C$5:$C$110=$B23)*Inputs!$D$5:$D$110*(((Inputs!$G$5:$G$110="moeda")+(Inputs!$G$5:$G$110="acoes"))*Inputs!$B$1+((Inputs!$G$5:$G$110&lt;&gt;"moeda")*(Inputs!$G$5:$G$110&lt;&gt;"acoes")))*INDEX(Inputs!$K$5:$AJ$110,0,MATCH(I$2,Inputs!$K$4:$AJ$4,0)))+SUMPRODUCT((Inputs!$E$5:$E$110=$B23)*Inputs!$F$5:$F$110*(((Inputs!$G$5:$G$110="moeda")+(Inputs!$G$5:$G$110="acoes"))*Inputs!$B$1+((Inputs!$G$5:$G$110&lt;&gt;"moeda")*(Inputs!$G$5:$G$110&lt;&gt;"acoes")))*INDEX(Inputs!$K$5:$AJ$110,0,MATCH(I$2,Inputs!$K$4:$AJ$4,0)))))</f>
        <v>0</v>
      </c>
      <c r="J23" s="6">
        <f>IF(ISNA(MATCH(J$2,Inputs!$K$4:$AJ$4,0)),NA(),IF(SUMPRODUCT((Inputs!$A$5:$A$110=$B23)*ISNUMBER(INDEX(Inputs!$K$5:$AJ$110,0,MATCH(J$2,Inputs!$K$4:$AJ$4,0))))+SUMPRODUCT((Inputs!$C$5:$C$110=$B23)*ISNUMBER(INDEX(Inputs!$K$5:$AJ$110,0,MATCH(J$2,Inputs!$K$4:$AJ$4,0))))+SUMPRODUCT((Inputs!$E$5:$E$110=$B23)*ISNUMBER(INDEX(Inputs!$K$5:$AJ$110,0,MATCH(J$2,Inputs!$K$4:$AJ$4,0))))=0,NA(),SUMPRODUCT((Inputs!$A$5:$A$110=$B23)*Inputs!$B$5:$B$110*(((Inputs!$G$5:$G$110="moeda")+(Inputs!$G$5:$G$110="acoes"))*Inputs!$B$1+((Inputs!$G$5:$G$110&lt;&gt;"moeda")*(Inputs!$G$5:$G$110&lt;&gt;"acoes")))*INDEX(Inputs!$K$5:$AJ$110,0,MATCH(J$2,Inputs!$K$4:$AJ$4,0)))+SUMPRODUCT((Inputs!$C$5:$C$110=$B23)*Inputs!$D$5:$D$110*(((Inputs!$G$5:$G$110="moeda")+(Inputs!$G$5:$G$110="acoes"))*Inputs!$B$1+((Inputs!$G$5:$G$110&lt;&gt;"moeda")*(Inputs!$G$5:$G$110&lt;&gt;"acoes")))*INDEX(Inputs!$K$5:$AJ$110,0,MATCH(J$2,Inputs!$K$4:$AJ$4,0)))+SUMPRODUCT((Inputs!$E$5:$E$110=$B23)*Inputs!$F$5:$F$110*(((Inputs!$G$5:$G$110="moeda")+(Inputs!$G$5:$G$110="acoes"))*Inputs!$B$1+((Inputs!$G$5:$G$110&lt;&gt;"moeda")*(Inputs!$G$5:$G$110&lt;&gt;"acoes")))*INDEX(Inputs!$K$5:$AJ$110,0,MATCH(J$2,Inputs!$K$4:$AJ$4,0)))))</f>
        <v>0</v>
      </c>
      <c r="K23" s="6">
        <f>IF(ISNA(MATCH(K$2,Inputs!$K$4:$AJ$4,0)),NA(),IF(SUMPRODUCT((Inputs!$A$5:$A$110=$B23)*ISNUMBER(INDEX(Inputs!$K$5:$AJ$110,0,MATCH(K$2,Inputs!$K$4:$AJ$4,0))))+SUMPRODUCT((Inputs!$C$5:$C$110=$B23)*ISNUMBER(INDEX(Inputs!$K$5:$AJ$110,0,MATCH(K$2,Inputs!$K$4:$AJ$4,0))))+SUMPRODUCT((Inputs!$E$5:$E$110=$B23)*ISNUMBER(INDEX(Inputs!$K$5:$AJ$110,0,MATCH(K$2,Inputs!$K$4:$AJ$4,0))))=0,NA(),SUMPRODUCT((Inputs!$A$5:$A$110=$B23)*Inputs!$B$5:$B$110*(((Inputs!$G$5:$G$110="moeda")+(Inputs!$G$5:$G$110="acoes"))*Inputs!$B$1+((Inputs!$G$5:$G$110&lt;&gt;"moeda")*(Inputs!$G$5:$G$110&lt;&gt;"acoes")))*INDEX(Inputs!$K$5:$AJ$110,0,MATCH(K$2,Inputs!$K$4:$AJ$4,0)))+SUMPRODUCT((Inputs!$C$5:$C$110=$B23)*Inputs!$D$5:$D$110*(((Inputs!$G$5:$G$110="moeda")+(Inputs!$G$5:$G$110="acoes"))*Inputs!$B$1+((Inputs!$G$5:$G$110&lt;&gt;"moeda")*(Inputs!$G$5:$G$110&lt;&gt;"acoes")))*INDEX(Inputs!$K$5:$AJ$110,0,MATCH(K$2,Inputs!$K$4:$AJ$4,0)))+SUMPRODUCT((Inputs!$E$5:$E$110=$B23)*Inputs!$F$5:$F$110*(((Inputs!$G$5:$G$110="moeda")+(Inputs!$G$5:$G$110="acoes"))*Inputs!$B$1+((Inputs!$G$5:$G$110&lt;&gt;"moeda")*(Inputs!$G$5:$G$110&lt;&gt;"acoes")))*INDEX(Inputs!$K$5:$AJ$110,0,MATCH(K$2,Inputs!$K$4:$AJ$4,0)))))</f>
        <v>0</v>
      </c>
      <c r="L23" s="6">
        <f>IF(ISNA(MATCH(L$2,Inputs!$K$4:$AJ$4,0)),NA(),IF(SUMPRODUCT((Inputs!$A$5:$A$110=$B23)*ISNUMBER(INDEX(Inputs!$K$5:$AJ$110,0,MATCH(L$2,Inputs!$K$4:$AJ$4,0))))+SUMPRODUCT((Inputs!$C$5:$C$110=$B23)*ISNUMBER(INDEX(Inputs!$K$5:$AJ$110,0,MATCH(L$2,Inputs!$K$4:$AJ$4,0))))+SUMPRODUCT((Inputs!$E$5:$E$110=$B23)*ISNUMBER(INDEX(Inputs!$K$5:$AJ$110,0,MATCH(L$2,Inputs!$K$4:$AJ$4,0))))=0,NA(),SUMPRODUCT((Inputs!$A$5:$A$110=$B23)*Inputs!$B$5:$B$110*(((Inputs!$G$5:$G$110="moeda")+(Inputs!$G$5:$G$110="acoes"))*Inputs!$B$1+((Inputs!$G$5:$G$110&lt;&gt;"moeda")*(Inputs!$G$5:$G$110&lt;&gt;"acoes")))*INDEX(Inputs!$K$5:$AJ$110,0,MATCH(L$2,Inputs!$K$4:$AJ$4,0)))+SUMPRODUCT((Inputs!$C$5:$C$110=$B23)*Inputs!$D$5:$D$110*(((Inputs!$G$5:$G$110="moeda")+(Inputs!$G$5:$G$110="acoes"))*Inputs!$B$1+((Inputs!$G$5:$G$110&lt;&gt;"moeda")*(Inputs!$G$5:$G$110&lt;&gt;"acoes")))*INDEX(Inputs!$K$5:$AJ$110,0,MATCH(L$2,Inputs!$K$4:$AJ$4,0)))+SUMPRODUCT((Inputs!$E$5:$E$110=$B23)*Inputs!$F$5:$F$110*(((Inputs!$G$5:$G$110="moeda")+(Inputs!$G$5:$G$110="acoes"))*Inputs!$B$1+((Inputs!$G$5:$G$110&lt;&gt;"moeda")*(Inputs!$G$5:$G$110&lt;&gt;"acoes")))*INDEX(Inputs!$K$5:$AJ$110,0,MATCH(L$2,Inputs!$K$4:$AJ$4,0)))))</f>
        <v>0</v>
      </c>
      <c r="M23" s="3">
        <f>L23</f>
        <v>0</v>
      </c>
      <c r="N23" s="6">
        <f>IF(ISNA(MATCH(N$2,Inputs!$K$4:$AJ$4,0)),NA(),IF(SUMPRODUCT((Inputs!$A$5:$A$110=$B23)*ISNUMBER(INDEX(Inputs!$K$5:$AJ$110,0,MATCH(N$2,Inputs!$K$4:$AJ$4,0))))+SUMPRODUCT((Inputs!$C$5:$C$110=$B23)*ISNUMBER(INDEX(Inputs!$K$5:$AJ$110,0,MATCH(N$2,Inputs!$K$4:$AJ$4,0))))+SUMPRODUCT((Inputs!$E$5:$E$110=$B23)*ISNUMBER(INDEX(Inputs!$K$5:$AJ$110,0,MATCH(N$2,Inputs!$K$4:$AJ$4,0))))=0,NA(),SUMPRODUCT((Inputs!$A$5:$A$110=$B23)*Inputs!$B$5:$B$110*(((Inputs!$G$5:$G$110="moeda")+(Inputs!$G$5:$G$110="acoes"))*Inputs!$B$1+((Inputs!$G$5:$G$110&lt;&gt;"moeda")*(Inputs!$G$5:$G$110&lt;&gt;"acoes")))*INDEX(Inputs!$K$5:$AJ$110,0,MATCH(N$2,Inputs!$K$4:$AJ$4,0)))+SUMPRODUCT((Inputs!$C$5:$C$110=$B23)*Inputs!$D$5:$D$110*(((Inputs!$G$5:$G$110="moeda")+(Inputs!$G$5:$G$110="acoes"))*Inputs!$B$1+((Inputs!$G$5:$G$110&lt;&gt;"moeda")*(Inputs!$G$5:$G$110&lt;&gt;"acoes")))*INDEX(Inputs!$K$5:$AJ$110,0,MATCH(N$2,Inputs!$K$4:$AJ$4,0)))+SUMPRODUCT((Inputs!$E$5:$E$110=$B23)*Inputs!$F$5:$F$110*(((Inputs!$G$5:$G$110="moeda")+(Inputs!$G$5:$G$110="acoes"))*Inputs!$B$1+((Inputs!$G$5:$G$110&lt;&gt;"moeda")*(Inputs!$G$5:$G$110&lt;&gt;"acoes")))*INDEX(Inputs!$K$5:$AJ$110,0,MATCH(N$2,Inputs!$K$4:$AJ$4,0)))))</f>
        <v>0</v>
      </c>
      <c r="O23" s="6">
        <f>IF(ISNA(MATCH(O$2,Inputs!$K$4:$AJ$4,0)),NA(),IF(SUMPRODUCT((Inputs!$A$5:$A$110=$B23)*ISNUMBER(INDEX(Inputs!$K$5:$AJ$110,0,MATCH(O$2,Inputs!$K$4:$AJ$4,0))))+SUMPRODUCT((Inputs!$C$5:$C$110=$B23)*ISNUMBER(INDEX(Inputs!$K$5:$AJ$110,0,MATCH(O$2,Inputs!$K$4:$AJ$4,0))))+SUMPRODUCT((Inputs!$E$5:$E$110=$B23)*ISNUMBER(INDEX(Inputs!$K$5:$AJ$110,0,MATCH(O$2,Inputs!$K$4:$AJ$4,0))))=0,NA(),SUMPRODUCT((Inputs!$A$5:$A$110=$B23)*Inputs!$B$5:$B$110*(((Inputs!$G$5:$G$110="moeda")+(Inputs!$G$5:$G$110="acoes"))*Inputs!$B$1+((Inputs!$G$5:$G$110&lt;&gt;"moeda")*(Inputs!$G$5:$G$110&lt;&gt;"acoes")))*INDEX(Inputs!$K$5:$AJ$110,0,MATCH(O$2,Inputs!$K$4:$AJ$4,0)))+SUMPRODUCT((Inputs!$C$5:$C$110=$B23)*Inputs!$D$5:$D$110*(((Inputs!$G$5:$G$110="moeda")+(Inputs!$G$5:$G$110="acoes"))*Inputs!$B$1+((Inputs!$G$5:$G$110&lt;&gt;"moeda")*(Inputs!$G$5:$G$110&lt;&gt;"acoes")))*INDEX(Inputs!$K$5:$AJ$110,0,MATCH(O$2,Inputs!$K$4:$AJ$4,0)))+SUMPRODUCT((Inputs!$E$5:$E$110=$B23)*Inputs!$F$5:$F$110*(((Inputs!$G$5:$G$110="moeda")+(Inputs!$G$5:$G$110="acoes"))*Inputs!$B$1+((Inputs!$G$5:$G$110&lt;&gt;"moeda")*(Inputs!$G$5:$G$110&lt;&gt;"acoes")))*INDEX(Inputs!$K$5:$AJ$110,0,MATCH(O$2,Inputs!$K$4:$AJ$4,0)))))</f>
        <v>0</v>
      </c>
      <c r="P23" s="6">
        <f>IF(ISNA(MATCH(P$2,Inputs!$K$4:$AJ$4,0)),NA(),IF(SUMPRODUCT((Inputs!$A$5:$A$110=$B23)*ISNUMBER(INDEX(Inputs!$K$5:$AJ$110,0,MATCH(P$2,Inputs!$K$4:$AJ$4,0))))+SUMPRODUCT((Inputs!$C$5:$C$110=$B23)*ISNUMBER(INDEX(Inputs!$K$5:$AJ$110,0,MATCH(P$2,Inputs!$K$4:$AJ$4,0))))+SUMPRODUCT((Inputs!$E$5:$E$110=$B23)*ISNUMBER(INDEX(Inputs!$K$5:$AJ$110,0,MATCH(P$2,Inputs!$K$4:$AJ$4,0))))=0,NA(),SUMPRODUCT((Inputs!$A$5:$A$110=$B23)*Inputs!$B$5:$B$110*(((Inputs!$G$5:$G$110="moeda")+(Inputs!$G$5:$G$110="acoes"))*Inputs!$B$1+((Inputs!$G$5:$G$110&lt;&gt;"moeda")*(Inputs!$G$5:$G$110&lt;&gt;"acoes")))*INDEX(Inputs!$K$5:$AJ$110,0,MATCH(P$2,Inputs!$K$4:$AJ$4,0)))+SUMPRODUCT((Inputs!$C$5:$C$110=$B23)*Inputs!$D$5:$D$110*(((Inputs!$G$5:$G$110="moeda")+(Inputs!$G$5:$G$110="acoes"))*Inputs!$B$1+((Inputs!$G$5:$G$110&lt;&gt;"moeda")*(Inputs!$G$5:$G$110&lt;&gt;"acoes")))*INDEX(Inputs!$K$5:$AJ$110,0,MATCH(P$2,Inputs!$K$4:$AJ$4,0)))+SUMPRODUCT((Inputs!$E$5:$E$110=$B23)*Inputs!$F$5:$F$110*(((Inputs!$G$5:$G$110="moeda")+(Inputs!$G$5:$G$110="acoes"))*Inputs!$B$1+((Inputs!$G$5:$G$110&lt;&gt;"moeda")*(Inputs!$G$5:$G$110&lt;&gt;"acoes")))*INDEX(Inputs!$K$5:$AJ$110,0,MATCH(P$2,Inputs!$K$4:$AJ$4,0)))))</f>
        <v>0</v>
      </c>
      <c r="Q23" s="6">
        <f>IF(ISNA(MATCH(Q$2,Inputs!$K$4:$AJ$4,0)),NA(),IF(SUMPRODUCT((Inputs!$A$5:$A$110=$B23)*ISNUMBER(INDEX(Inputs!$K$5:$AJ$110,0,MATCH(Q$2,Inputs!$K$4:$AJ$4,0))))+SUMPRODUCT((Inputs!$C$5:$C$110=$B23)*ISNUMBER(INDEX(Inputs!$K$5:$AJ$110,0,MATCH(Q$2,Inputs!$K$4:$AJ$4,0))))+SUMPRODUCT((Inputs!$E$5:$E$110=$B23)*ISNUMBER(INDEX(Inputs!$K$5:$AJ$110,0,MATCH(Q$2,Inputs!$K$4:$AJ$4,0))))=0,NA(),SUMPRODUCT((Inputs!$A$5:$A$110=$B23)*Inputs!$B$5:$B$110*(((Inputs!$G$5:$G$110="moeda")+(Inputs!$G$5:$G$110="acoes"))*Inputs!$B$1+((Inputs!$G$5:$G$110&lt;&gt;"moeda")*(Inputs!$G$5:$G$110&lt;&gt;"acoes")))*INDEX(Inputs!$K$5:$AJ$110,0,MATCH(Q$2,Inputs!$K$4:$AJ$4,0)))+SUMPRODUCT((Inputs!$C$5:$C$110=$B23)*Inputs!$D$5:$D$110*(((Inputs!$G$5:$G$110="moeda")+(Inputs!$G$5:$G$110="acoes"))*Inputs!$B$1+((Inputs!$G$5:$G$110&lt;&gt;"moeda")*(Inputs!$G$5:$G$110&lt;&gt;"acoes")))*INDEX(Inputs!$K$5:$AJ$110,0,MATCH(Q$2,Inputs!$K$4:$AJ$4,0)))+SUMPRODUCT((Inputs!$E$5:$E$110=$B23)*Inputs!$F$5:$F$110*(((Inputs!$G$5:$G$110="moeda")+(Inputs!$G$5:$G$110="acoes"))*Inputs!$B$1+((Inputs!$G$5:$G$110&lt;&gt;"moeda")*(Inputs!$G$5:$G$110&lt;&gt;"acoes")))*INDEX(Inputs!$K$5:$AJ$110,0,MATCH(Q$2,Inputs!$K$4:$AJ$4,0)))))</f>
        <v>0</v>
      </c>
      <c r="R23" s="3">
        <f>Q23</f>
        <v>0</v>
      </c>
      <c r="S23" s="6">
        <f>IF(ISNA(MATCH(S$2,Inputs!$K$4:$AJ$4,0)),NA(),IF(SUMPRODUCT((Inputs!$A$5:$A$110=$B23)*ISNUMBER(INDEX(Inputs!$K$5:$AJ$110,0,MATCH(S$2,Inputs!$K$4:$AJ$4,0))))+SUMPRODUCT((Inputs!$C$5:$C$110=$B23)*ISNUMBER(INDEX(Inputs!$K$5:$AJ$110,0,MATCH(S$2,Inputs!$K$4:$AJ$4,0))))+SUMPRODUCT((Inputs!$E$5:$E$110=$B23)*ISNUMBER(INDEX(Inputs!$K$5:$AJ$110,0,MATCH(S$2,Inputs!$K$4:$AJ$4,0))))=0,NA(),SUMPRODUCT((Inputs!$A$5:$A$110=$B23)*Inputs!$B$5:$B$110*(((Inputs!$G$5:$G$110="moeda")+(Inputs!$G$5:$G$110="acoes"))*Inputs!$B$1+((Inputs!$G$5:$G$110&lt;&gt;"moeda")*(Inputs!$G$5:$G$110&lt;&gt;"acoes")))*INDEX(Inputs!$K$5:$AJ$110,0,MATCH(S$2,Inputs!$K$4:$AJ$4,0)))+SUMPRODUCT((Inputs!$C$5:$C$110=$B23)*Inputs!$D$5:$D$110*(((Inputs!$G$5:$G$110="moeda")+(Inputs!$G$5:$G$110="acoes"))*Inputs!$B$1+((Inputs!$G$5:$G$110&lt;&gt;"moeda")*(Inputs!$G$5:$G$110&lt;&gt;"acoes")))*INDEX(Inputs!$K$5:$AJ$110,0,MATCH(S$2,Inputs!$K$4:$AJ$4,0)))+SUMPRODUCT((Inputs!$E$5:$E$110=$B23)*Inputs!$F$5:$F$110*(((Inputs!$G$5:$G$110="moeda")+(Inputs!$G$5:$G$110="acoes"))*Inputs!$B$1+((Inputs!$G$5:$G$110&lt;&gt;"moeda")*(Inputs!$G$5:$G$110&lt;&gt;"acoes")))*INDEX(Inputs!$K$5:$AJ$110,0,MATCH(S$2,Inputs!$K$4:$AJ$4,0)))))</f>
        <v>0</v>
      </c>
      <c r="T23" s="6">
        <f>IF(ISNA(MATCH(T$2,Inputs!$K$4:$AJ$4,0)),NA(),IF(SUMPRODUCT((Inputs!$A$5:$A$110=$B23)*ISNUMBER(INDEX(Inputs!$K$5:$AJ$110,0,MATCH(T$2,Inputs!$K$4:$AJ$4,0))))+SUMPRODUCT((Inputs!$C$5:$C$110=$B23)*ISNUMBER(INDEX(Inputs!$K$5:$AJ$110,0,MATCH(T$2,Inputs!$K$4:$AJ$4,0))))+SUMPRODUCT((Inputs!$E$5:$E$110=$B23)*ISNUMBER(INDEX(Inputs!$K$5:$AJ$110,0,MATCH(T$2,Inputs!$K$4:$AJ$4,0))))=0,NA(),SUMPRODUCT((Inputs!$A$5:$A$110=$B23)*Inputs!$B$5:$B$110*(((Inputs!$G$5:$G$110="moeda")+(Inputs!$G$5:$G$110="acoes"))*Inputs!$B$1+((Inputs!$G$5:$G$110&lt;&gt;"moeda")*(Inputs!$G$5:$G$110&lt;&gt;"acoes")))*INDEX(Inputs!$K$5:$AJ$110,0,MATCH(T$2,Inputs!$K$4:$AJ$4,0)))+SUMPRODUCT((Inputs!$C$5:$C$110=$B23)*Inputs!$D$5:$D$110*(((Inputs!$G$5:$G$110="moeda")+(Inputs!$G$5:$G$110="acoes"))*Inputs!$B$1+((Inputs!$G$5:$G$110&lt;&gt;"moeda")*(Inputs!$G$5:$G$110&lt;&gt;"acoes")))*INDEX(Inputs!$K$5:$AJ$110,0,MATCH(T$2,Inputs!$K$4:$AJ$4,0)))+SUMPRODUCT((Inputs!$E$5:$E$110=$B23)*Inputs!$F$5:$F$110*(((Inputs!$G$5:$G$110="moeda")+(Inputs!$G$5:$G$110="acoes"))*Inputs!$B$1+((Inputs!$G$5:$G$110&lt;&gt;"moeda")*(Inputs!$G$5:$G$110&lt;&gt;"acoes")))*INDEX(Inputs!$K$5:$AJ$110,0,MATCH(T$2,Inputs!$K$4:$AJ$4,0)))))</f>
        <v>0</v>
      </c>
      <c r="U23" s="6">
        <f>IF(ISNA(MATCH(U$2,Inputs!$K$4:$AJ$4,0)),NA(),IF(SUMPRODUCT((Inputs!$A$5:$A$110=$B23)*ISNUMBER(INDEX(Inputs!$K$5:$AJ$110,0,MATCH(U$2,Inputs!$K$4:$AJ$4,0))))+SUMPRODUCT((Inputs!$C$5:$C$110=$B23)*ISNUMBER(INDEX(Inputs!$K$5:$AJ$110,0,MATCH(U$2,Inputs!$K$4:$AJ$4,0))))+SUMPRODUCT((Inputs!$E$5:$E$110=$B23)*ISNUMBER(INDEX(Inputs!$K$5:$AJ$110,0,MATCH(U$2,Inputs!$K$4:$AJ$4,0))))=0,NA(),SUMPRODUCT((Inputs!$A$5:$A$110=$B23)*Inputs!$B$5:$B$110*(((Inputs!$G$5:$G$110="moeda")+(Inputs!$G$5:$G$110="acoes"))*Inputs!$B$1+((Inputs!$G$5:$G$110&lt;&gt;"moeda")*(Inputs!$G$5:$G$110&lt;&gt;"acoes")))*INDEX(Inputs!$K$5:$AJ$110,0,MATCH(U$2,Inputs!$K$4:$AJ$4,0)))+SUMPRODUCT((Inputs!$C$5:$C$110=$B23)*Inputs!$D$5:$D$110*(((Inputs!$G$5:$G$110="moeda")+(Inputs!$G$5:$G$110="acoes"))*Inputs!$B$1+((Inputs!$G$5:$G$110&lt;&gt;"moeda")*(Inputs!$G$5:$G$110&lt;&gt;"acoes")))*INDEX(Inputs!$K$5:$AJ$110,0,MATCH(U$2,Inputs!$K$4:$AJ$4,0)))+SUMPRODUCT((Inputs!$E$5:$E$110=$B23)*Inputs!$F$5:$F$110*(((Inputs!$G$5:$G$110="moeda")+(Inputs!$G$5:$G$110="acoes"))*Inputs!$B$1+((Inputs!$G$5:$G$110&lt;&gt;"moeda")*(Inputs!$G$5:$G$110&lt;&gt;"acoes")))*INDEX(Inputs!$K$5:$AJ$110,0,MATCH(U$2,Inputs!$K$4:$AJ$4,0)))))</f>
        <v>0</v>
      </c>
      <c r="V23" s="6">
        <f>IF(ISNA(MATCH(V$2,Inputs!$K$4:$AJ$4,0)),NA(),IF(SUMPRODUCT((Inputs!$A$5:$A$110=$B23)*ISNUMBER(INDEX(Inputs!$K$5:$AJ$110,0,MATCH(V$2,Inputs!$K$4:$AJ$4,0))))+SUMPRODUCT((Inputs!$C$5:$C$110=$B23)*ISNUMBER(INDEX(Inputs!$K$5:$AJ$110,0,MATCH(V$2,Inputs!$K$4:$AJ$4,0))))+SUMPRODUCT((Inputs!$E$5:$E$110=$B23)*ISNUMBER(INDEX(Inputs!$K$5:$AJ$110,0,MATCH(V$2,Inputs!$K$4:$AJ$4,0))))=0,NA(),SUMPRODUCT((Inputs!$A$5:$A$110=$B23)*Inputs!$B$5:$B$110*(((Inputs!$G$5:$G$110="moeda")+(Inputs!$G$5:$G$110="acoes"))*Inputs!$B$1+((Inputs!$G$5:$G$110&lt;&gt;"moeda")*(Inputs!$G$5:$G$110&lt;&gt;"acoes")))*INDEX(Inputs!$K$5:$AJ$110,0,MATCH(V$2,Inputs!$K$4:$AJ$4,0)))+SUMPRODUCT((Inputs!$C$5:$C$110=$B23)*Inputs!$D$5:$D$110*(((Inputs!$G$5:$G$110="moeda")+(Inputs!$G$5:$G$110="acoes"))*Inputs!$B$1+((Inputs!$G$5:$G$110&lt;&gt;"moeda")*(Inputs!$G$5:$G$110&lt;&gt;"acoes")))*INDEX(Inputs!$K$5:$AJ$110,0,MATCH(V$2,Inputs!$K$4:$AJ$4,0)))+SUMPRODUCT((Inputs!$E$5:$E$110=$B23)*Inputs!$F$5:$F$110*(((Inputs!$G$5:$G$110="moeda")+(Inputs!$G$5:$G$110="acoes"))*Inputs!$B$1+((Inputs!$G$5:$G$110&lt;&gt;"moeda")*(Inputs!$G$5:$G$110&lt;&gt;"acoes")))*INDEX(Inputs!$K$5:$AJ$110,0,MATCH(V$2,Inputs!$K$4:$AJ$4,0)))))</f>
        <v>0</v>
      </c>
      <c r="W23" s="3">
        <f>V23</f>
        <v>0</v>
      </c>
      <c r="X23" s="6">
        <f>IF(ISNA(MATCH(X$2,Inputs!$K$4:$AJ$4,0)),NA(),IF(SUMPRODUCT((Inputs!$A$5:$A$110=$B23)*ISNUMBER(INDEX(Inputs!$K$5:$AJ$110,0,MATCH(X$2,Inputs!$K$4:$AJ$4,0))))+SUMPRODUCT((Inputs!$C$5:$C$110=$B23)*ISNUMBER(INDEX(Inputs!$K$5:$AJ$110,0,MATCH(X$2,Inputs!$K$4:$AJ$4,0))))+SUMPRODUCT((Inputs!$E$5:$E$110=$B23)*ISNUMBER(INDEX(Inputs!$K$5:$AJ$110,0,MATCH(X$2,Inputs!$K$4:$AJ$4,0))))=0,NA(),SUMPRODUCT((Inputs!$A$5:$A$110=$B23)*Inputs!$B$5:$B$110*(((Inputs!$G$5:$G$110="moeda")+(Inputs!$G$5:$G$110="acoes"))*Inputs!$B$1+((Inputs!$G$5:$G$110&lt;&gt;"moeda")*(Inputs!$G$5:$G$110&lt;&gt;"acoes")))*INDEX(Inputs!$K$5:$AJ$110,0,MATCH(X$2,Inputs!$K$4:$AJ$4,0)))+SUMPRODUCT((Inputs!$C$5:$C$110=$B23)*Inputs!$D$5:$D$110*(((Inputs!$G$5:$G$110="moeda")+(Inputs!$G$5:$G$110="acoes"))*Inputs!$B$1+((Inputs!$G$5:$G$110&lt;&gt;"moeda")*(Inputs!$G$5:$G$110&lt;&gt;"acoes")))*INDEX(Inputs!$K$5:$AJ$110,0,MATCH(X$2,Inputs!$K$4:$AJ$4,0)))+SUMPRODUCT((Inputs!$E$5:$E$110=$B23)*Inputs!$F$5:$F$110*(((Inputs!$G$5:$G$110="moeda")+(Inputs!$G$5:$G$110="acoes"))*Inputs!$B$1+((Inputs!$G$5:$G$110&lt;&gt;"moeda")*(Inputs!$G$5:$G$110&lt;&gt;"acoes")))*INDEX(Inputs!$K$5:$AJ$110,0,MATCH(X$2,Inputs!$K$4:$AJ$4,0)))))</f>
        <v>0</v>
      </c>
      <c r="Y23" s="6">
        <f>IF(ISNA(MATCH(Y$2,Inputs!$K$4:$AJ$4,0)),NA(),IF(SUMPRODUCT((Inputs!$A$5:$A$110=$B23)*ISNUMBER(INDEX(Inputs!$K$5:$AJ$110,0,MATCH(Y$2,Inputs!$K$4:$AJ$4,0))))+SUMPRODUCT((Inputs!$C$5:$C$110=$B23)*ISNUMBER(INDEX(Inputs!$K$5:$AJ$110,0,MATCH(Y$2,Inputs!$K$4:$AJ$4,0))))+SUMPRODUCT((Inputs!$E$5:$E$110=$B23)*ISNUMBER(INDEX(Inputs!$K$5:$AJ$110,0,MATCH(Y$2,Inputs!$K$4:$AJ$4,0))))=0,NA(),SUMPRODUCT((Inputs!$A$5:$A$110=$B23)*Inputs!$B$5:$B$110*(((Inputs!$G$5:$G$110="moeda")+(Inputs!$G$5:$G$110="acoes"))*Inputs!$B$1+((Inputs!$G$5:$G$110&lt;&gt;"moeda")*(Inputs!$G$5:$G$110&lt;&gt;"acoes")))*INDEX(Inputs!$K$5:$AJ$110,0,MATCH(Y$2,Inputs!$K$4:$AJ$4,0)))+SUMPRODUCT((Inputs!$C$5:$C$110=$B23)*Inputs!$D$5:$D$110*(((Inputs!$G$5:$G$110="moeda")+(Inputs!$G$5:$G$110="acoes"))*Inputs!$B$1+((Inputs!$G$5:$G$110&lt;&gt;"moeda")*(Inputs!$G$5:$G$110&lt;&gt;"acoes")))*INDEX(Inputs!$K$5:$AJ$110,0,MATCH(Y$2,Inputs!$K$4:$AJ$4,0)))+SUMPRODUCT((Inputs!$E$5:$E$110=$B23)*Inputs!$F$5:$F$110*(((Inputs!$G$5:$G$110="moeda")+(Inputs!$G$5:$G$110="acoes"))*Inputs!$B$1+((Inputs!$G$5:$G$110&lt;&gt;"moeda")*(Inputs!$G$5:$G$110&lt;&gt;"acoes")))*INDEX(Inputs!$K$5:$AJ$110,0,MATCH(Y$2,Inputs!$K$4:$AJ$4,0)))))</f>
        <v>0</v>
      </c>
      <c r="Z23" s="6">
        <f>IF(ISNA(MATCH(Z$2,Inputs!$K$4:$AJ$4,0)),NA(),IF(SUMPRODUCT((Inputs!$A$5:$A$110=$B23)*ISNUMBER(INDEX(Inputs!$K$5:$AJ$110,0,MATCH(Z$2,Inputs!$K$4:$AJ$4,0))))+SUMPRODUCT((Inputs!$C$5:$C$110=$B23)*ISNUMBER(INDEX(Inputs!$K$5:$AJ$110,0,MATCH(Z$2,Inputs!$K$4:$AJ$4,0))))+SUMPRODUCT((Inputs!$E$5:$E$110=$B23)*ISNUMBER(INDEX(Inputs!$K$5:$AJ$110,0,MATCH(Z$2,Inputs!$K$4:$AJ$4,0))))=0,NA(),SUMPRODUCT((Inputs!$A$5:$A$110=$B23)*Inputs!$B$5:$B$110*(((Inputs!$G$5:$G$110="moeda")+(Inputs!$G$5:$G$110="acoes"))*Inputs!$B$1+((Inputs!$G$5:$G$110&lt;&gt;"moeda")*(Inputs!$G$5:$G$110&lt;&gt;"acoes")))*INDEX(Inputs!$K$5:$AJ$110,0,MATCH(Z$2,Inputs!$K$4:$AJ$4,0)))+SUMPRODUCT((Inputs!$C$5:$C$110=$B23)*Inputs!$D$5:$D$110*(((Inputs!$G$5:$G$110="moeda")+(Inputs!$G$5:$G$110="acoes"))*Inputs!$B$1+((Inputs!$G$5:$G$110&lt;&gt;"moeda")*(Inputs!$G$5:$G$110&lt;&gt;"acoes")))*INDEX(Inputs!$K$5:$AJ$110,0,MATCH(Z$2,Inputs!$K$4:$AJ$4,0)))+SUMPRODUCT((Inputs!$E$5:$E$110=$B23)*Inputs!$F$5:$F$110*(((Inputs!$G$5:$G$110="moeda")+(Inputs!$G$5:$G$110="acoes"))*Inputs!$B$1+((Inputs!$G$5:$G$110&lt;&gt;"moeda")*(Inputs!$G$5:$G$110&lt;&gt;"acoes")))*INDEX(Inputs!$K$5:$AJ$110,0,MATCH(Z$2,Inputs!$K$4:$AJ$4,0)))))</f>
        <v>0</v>
      </c>
      <c r="AA23" s="6">
        <f>IF(ISNA(MATCH(AA$2,Inputs!$K$4:$AJ$4,0)),NA(),IF(SUMPRODUCT((Inputs!$A$5:$A$110=$B23)*ISNUMBER(INDEX(Inputs!$K$5:$AJ$110,0,MATCH(AA$2,Inputs!$K$4:$AJ$4,0))))+SUMPRODUCT((Inputs!$C$5:$C$110=$B23)*ISNUMBER(INDEX(Inputs!$K$5:$AJ$110,0,MATCH(AA$2,Inputs!$K$4:$AJ$4,0))))+SUMPRODUCT((Inputs!$E$5:$E$110=$B23)*ISNUMBER(INDEX(Inputs!$K$5:$AJ$110,0,MATCH(AA$2,Inputs!$K$4:$AJ$4,0))))=0,NA(),SUMPRODUCT((Inputs!$A$5:$A$110=$B23)*Inputs!$B$5:$B$110*(((Inputs!$G$5:$G$110="moeda")+(Inputs!$G$5:$G$110="acoes"))*Inputs!$B$1+((Inputs!$G$5:$G$110&lt;&gt;"moeda")*(Inputs!$G$5:$G$110&lt;&gt;"acoes")))*INDEX(Inputs!$K$5:$AJ$110,0,MATCH(AA$2,Inputs!$K$4:$AJ$4,0)))+SUMPRODUCT((Inputs!$C$5:$C$110=$B23)*Inputs!$D$5:$D$110*(((Inputs!$G$5:$G$110="moeda")+(Inputs!$G$5:$G$110="acoes"))*Inputs!$B$1+((Inputs!$G$5:$G$110&lt;&gt;"moeda")*(Inputs!$G$5:$G$110&lt;&gt;"acoes")))*INDEX(Inputs!$K$5:$AJ$110,0,MATCH(AA$2,Inputs!$K$4:$AJ$4,0)))+SUMPRODUCT((Inputs!$E$5:$E$110=$B23)*Inputs!$F$5:$F$110*(((Inputs!$G$5:$G$110="moeda")+(Inputs!$G$5:$G$110="acoes"))*Inputs!$B$1+((Inputs!$G$5:$G$110&lt;&gt;"moeda")*(Inputs!$G$5:$G$110&lt;&gt;"acoes")))*INDEX(Inputs!$K$5:$AJ$110,0,MATCH(AA$2,Inputs!$K$4:$AJ$4,0)))))</f>
        <v>0</v>
      </c>
      <c r="AB23" s="3">
        <f>AA23</f>
        <v>0</v>
      </c>
      <c r="AC23" s="6">
        <f>IF(ISNA(MATCH(AC$2,Inputs!$K$4:$AJ$4,0)),NA(),IF(SUMPRODUCT((Inputs!$A$5:$A$110=$B23)*ISNUMBER(INDEX(Inputs!$K$5:$AJ$110,0,MATCH(AC$2,Inputs!$K$4:$AJ$4,0))))+SUMPRODUCT((Inputs!$C$5:$C$110=$B23)*ISNUMBER(INDEX(Inputs!$K$5:$AJ$110,0,MATCH(AC$2,Inputs!$K$4:$AJ$4,0))))+SUMPRODUCT((Inputs!$E$5:$E$110=$B23)*ISNUMBER(INDEX(Inputs!$K$5:$AJ$110,0,MATCH(AC$2,Inputs!$K$4:$AJ$4,0))))=0,NA(),SUMPRODUCT((Inputs!$A$5:$A$110=$B23)*Inputs!$B$5:$B$110*(((Inputs!$G$5:$G$110="moeda")+(Inputs!$G$5:$G$110="acoes"))*Inputs!$B$1+((Inputs!$G$5:$G$110&lt;&gt;"moeda")*(Inputs!$G$5:$G$110&lt;&gt;"acoes")))*INDEX(Inputs!$K$5:$AJ$110,0,MATCH(AC$2,Inputs!$K$4:$AJ$4,0)))+SUMPRODUCT((Inputs!$C$5:$C$110=$B23)*Inputs!$D$5:$D$110*(((Inputs!$G$5:$G$110="moeda")+(Inputs!$G$5:$G$110="acoes"))*Inputs!$B$1+((Inputs!$G$5:$G$110&lt;&gt;"moeda")*(Inputs!$G$5:$G$110&lt;&gt;"acoes")))*INDEX(Inputs!$K$5:$AJ$110,0,MATCH(AC$2,Inputs!$K$4:$AJ$4,0)))+SUMPRODUCT((Inputs!$E$5:$E$110=$B23)*Inputs!$F$5:$F$110*(((Inputs!$G$5:$G$110="moeda")+(Inputs!$G$5:$G$110="acoes"))*Inputs!$B$1+((Inputs!$G$5:$G$110&lt;&gt;"moeda")*(Inputs!$G$5:$G$110&lt;&gt;"acoes")))*INDEX(Inputs!$K$5:$AJ$110,0,MATCH(AC$2,Inputs!$K$4:$AJ$4,0)))))</f>
        <v>0</v>
      </c>
      <c r="AD23" s="6">
        <f>IF(ISNA(MATCH(AD$2,Inputs!$K$4:$AJ$4,0)),NA(),IF(SUMPRODUCT((Inputs!$A$5:$A$110=$B23)*ISNUMBER(INDEX(Inputs!$K$5:$AJ$110,0,MATCH(AD$2,Inputs!$K$4:$AJ$4,0))))+SUMPRODUCT((Inputs!$C$5:$C$110=$B23)*ISNUMBER(INDEX(Inputs!$K$5:$AJ$110,0,MATCH(AD$2,Inputs!$K$4:$AJ$4,0))))+SUMPRODUCT((Inputs!$E$5:$E$110=$B23)*ISNUMBER(INDEX(Inputs!$K$5:$AJ$110,0,MATCH(AD$2,Inputs!$K$4:$AJ$4,0))))=0,NA(),SUMPRODUCT((Inputs!$A$5:$A$110=$B23)*Inputs!$B$5:$B$110*(((Inputs!$G$5:$G$110="moeda")+(Inputs!$G$5:$G$110="acoes"))*Inputs!$B$1+((Inputs!$G$5:$G$110&lt;&gt;"moeda")*(Inputs!$G$5:$G$110&lt;&gt;"acoes")))*INDEX(Inputs!$K$5:$AJ$110,0,MATCH(AD$2,Inputs!$K$4:$AJ$4,0)))+SUMPRODUCT((Inputs!$C$5:$C$110=$B23)*Inputs!$D$5:$D$110*(((Inputs!$G$5:$G$110="moeda")+(Inputs!$G$5:$G$110="acoes"))*Inputs!$B$1+((Inputs!$G$5:$G$110&lt;&gt;"moeda")*(Inputs!$G$5:$G$110&lt;&gt;"acoes")))*INDEX(Inputs!$K$5:$AJ$110,0,MATCH(AD$2,Inputs!$K$4:$AJ$4,0)))+SUMPRODUCT((Inputs!$E$5:$E$110=$B23)*Inputs!$F$5:$F$110*(((Inputs!$G$5:$G$110="moeda")+(Inputs!$G$5:$G$110="acoes"))*Inputs!$B$1+((Inputs!$G$5:$G$110&lt;&gt;"moeda")*(Inputs!$G$5:$G$110&lt;&gt;"acoes")))*INDEX(Inputs!$K$5:$AJ$110,0,MATCH(AD$2,Inputs!$K$4:$AJ$4,0)))))</f>
        <v>0</v>
      </c>
      <c r="AE23" s="6" t="e">
        <f>IF(ISNA(MATCH(AE$2,Inputs!$K$4:$AJ$4,0)),NA(),IF(SUMPRODUCT((Inputs!$A$5:$A$110=$B23)*ISNUMBER(INDEX(Inputs!$K$5:$AJ$110,0,MATCH(AE$2,Inputs!$K$4:$AJ$4,0))))+SUMPRODUCT((Inputs!$C$5:$C$110=$B23)*ISNUMBER(INDEX(Inputs!$K$5:$AJ$110,0,MATCH(AE$2,Inputs!$K$4:$AJ$4,0))))+SUMPRODUCT((Inputs!$E$5:$E$110=$B23)*ISNUMBER(INDEX(Inputs!$K$5:$AJ$110,0,MATCH(AE$2,Inputs!$K$4:$AJ$4,0))))=0,NA(),SUMPRODUCT((Inputs!$A$5:$A$110=$B23)*Inputs!$B$5:$B$110*(((Inputs!$G$5:$G$110="moeda")+(Inputs!$G$5:$G$110="acoes"))*Inputs!$B$1+((Inputs!$G$5:$G$110&lt;&gt;"moeda")*(Inputs!$G$5:$G$110&lt;&gt;"acoes")))*INDEX(Inputs!$K$5:$AJ$110,0,MATCH(AE$2,Inputs!$K$4:$AJ$4,0)))+SUMPRODUCT((Inputs!$C$5:$C$110=$B23)*Inputs!$D$5:$D$110*(((Inputs!$G$5:$G$110="moeda")+(Inputs!$G$5:$G$110="acoes"))*Inputs!$B$1+((Inputs!$G$5:$G$110&lt;&gt;"moeda")*(Inputs!$G$5:$G$110&lt;&gt;"acoes")))*INDEX(Inputs!$K$5:$AJ$110,0,MATCH(AE$2,Inputs!$K$4:$AJ$4,0)))+SUMPRODUCT((Inputs!$E$5:$E$110=$B23)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3" s="6" t="e">
        <f>IF(ISNA(MATCH(AF$2,Inputs!$K$4:$AJ$4,0)),NA(),IF(SUMPRODUCT((Inputs!$A$5:$A$110=$B23)*ISNUMBER(INDEX(Inputs!$K$5:$AJ$110,0,MATCH(AF$2,Inputs!$K$4:$AJ$4,0))))+SUMPRODUCT((Inputs!$C$5:$C$110=$B23)*ISNUMBER(INDEX(Inputs!$K$5:$AJ$110,0,MATCH(AF$2,Inputs!$K$4:$AJ$4,0))))+SUMPRODUCT((Inputs!$E$5:$E$110=$B23)*ISNUMBER(INDEX(Inputs!$K$5:$AJ$110,0,MATCH(AF$2,Inputs!$K$4:$AJ$4,0))))=0,NA(),SUMPRODUCT((Inputs!$A$5:$A$110=$B23)*Inputs!$B$5:$B$110*(((Inputs!$G$5:$G$110="moeda")+(Inputs!$G$5:$G$110="acoes"))*Inputs!$B$1+((Inputs!$G$5:$G$110&lt;&gt;"moeda")*(Inputs!$G$5:$G$110&lt;&gt;"acoes")))*INDEX(Inputs!$K$5:$AJ$110,0,MATCH(AF$2,Inputs!$K$4:$AJ$4,0)))+SUMPRODUCT((Inputs!$C$5:$C$110=$B23)*Inputs!$D$5:$D$110*(((Inputs!$G$5:$G$110="moeda")+(Inputs!$G$5:$G$110="acoes"))*Inputs!$B$1+((Inputs!$G$5:$G$110&lt;&gt;"moeda")*(Inputs!$G$5:$G$110&lt;&gt;"acoes")))*INDEX(Inputs!$K$5:$AJ$110,0,MATCH(AF$2,Inputs!$K$4:$AJ$4,0)))+SUMPRODUCT((Inputs!$E$5:$E$110=$B23)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3" s="3" t="e">
        <f>AF23</f>
        <v>#N/A</v>
      </c>
      <c r="AH23" s="6">
        <f>IF(ISNA(MATCH(AH$2,Inputs!$K$4:$AJ$4,0)),NA(),IF(SUMPRODUCT((Inputs!$A$5:$A$110=$B23)*ISNUMBER(INDEX(Inputs!$K$5:$AJ$110,0,MATCH(AH$2,Inputs!$K$4:$AJ$4,0))))+SUMPRODUCT((Inputs!$C$5:$C$110=$B23)*ISNUMBER(INDEX(Inputs!$K$5:$AJ$110,0,MATCH(AH$2,Inputs!$K$4:$AJ$4,0))))+SUMPRODUCT((Inputs!$E$5:$E$110=$B23)*ISNUMBER(INDEX(Inputs!$K$5:$AJ$110,0,MATCH(AH$2,Inputs!$K$4:$AJ$4,0))))=0,NA(),SUMPRODUCT((Inputs!$A$5:$A$110=$B23)*Inputs!$B$5:$B$110*(((Inputs!$G$5:$G$110="moeda")+(Inputs!$G$5:$G$110="acoes"))*Inputs!$B$1+((Inputs!$G$5:$G$110&lt;&gt;"moeda")*(Inputs!$G$5:$G$110&lt;&gt;"acoes")))*INDEX(Inputs!$K$5:$AJ$110,0,MATCH(AH$2,Inputs!$K$4:$AJ$4,0)))+SUMPRODUCT((Inputs!$C$5:$C$110=$B23)*Inputs!$D$5:$D$110*(((Inputs!$G$5:$G$110="moeda")+(Inputs!$G$5:$G$110="acoes"))*Inputs!$B$1+((Inputs!$G$5:$G$110&lt;&gt;"moeda")*(Inputs!$G$5:$G$110&lt;&gt;"acoes")))*INDEX(Inputs!$K$5:$AJ$110,0,MATCH(AH$2,Inputs!$K$4:$AJ$4,0)))+SUMPRODUCT((Inputs!$E$5:$E$110=$B23)*Inputs!$F$5:$F$110*(((Inputs!$G$5:$G$110="moeda")+(Inputs!$G$5:$G$110="acoes"))*Inputs!$B$1+((Inputs!$G$5:$G$110&lt;&gt;"moeda")*(Inputs!$G$5:$G$110&lt;&gt;"acoes")))*INDEX(Inputs!$K$5:$AJ$110,0,MATCH(AH$2,Inputs!$K$4:$AJ$4,0)))))</f>
        <v>0</v>
      </c>
      <c r="AI23" s="6">
        <f>IF(ISNA(MATCH(AI$2,Inputs!$K$4:$AJ$4,0)),NA(),IF(SUMPRODUCT((Inputs!$A$5:$A$110=$B23)*ISNUMBER(INDEX(Inputs!$K$5:$AJ$110,0,MATCH(AI$2,Inputs!$K$4:$AJ$4,0))))+SUMPRODUCT((Inputs!$C$5:$C$110=$B23)*ISNUMBER(INDEX(Inputs!$K$5:$AJ$110,0,MATCH(AI$2,Inputs!$K$4:$AJ$4,0))))+SUMPRODUCT((Inputs!$E$5:$E$110=$B23)*ISNUMBER(INDEX(Inputs!$K$5:$AJ$110,0,MATCH(AI$2,Inputs!$K$4:$AJ$4,0))))=0,NA(),SUMPRODUCT((Inputs!$A$5:$A$110=$B23)*Inputs!$B$5:$B$110*(((Inputs!$G$5:$G$110="moeda")+(Inputs!$G$5:$G$110="acoes"))*Inputs!$B$1+((Inputs!$G$5:$G$110&lt;&gt;"moeda")*(Inputs!$G$5:$G$110&lt;&gt;"acoes")))*INDEX(Inputs!$K$5:$AJ$110,0,MATCH(AI$2,Inputs!$K$4:$AJ$4,0)))+SUMPRODUCT((Inputs!$C$5:$C$110=$B23)*Inputs!$D$5:$D$110*(((Inputs!$G$5:$G$110="moeda")+(Inputs!$G$5:$G$110="acoes"))*Inputs!$B$1+((Inputs!$G$5:$G$110&lt;&gt;"moeda")*(Inputs!$G$5:$G$110&lt;&gt;"acoes")))*INDEX(Inputs!$K$5:$AJ$110,0,MATCH(AI$2,Inputs!$K$4:$AJ$4,0)))+SUMPRODUCT((Inputs!$E$5:$E$110=$B23)*Inputs!$F$5:$F$110*(((Inputs!$G$5:$G$110="moeda")+(Inputs!$G$5:$G$110="acoes"))*Inputs!$B$1+((Inputs!$G$5:$G$110&lt;&gt;"moeda")*(Inputs!$G$5:$G$110&lt;&gt;"acoes")))*INDEX(Inputs!$K$5:$AJ$110,0,MATCH(AI$2,Inputs!$K$4:$AJ$4,0)))))</f>
        <v>0</v>
      </c>
      <c r="AJ23" s="6">
        <f>IF(ISNA(MATCH(AJ$2,Inputs!$K$4:$AJ$4,0)),NA(),IF(SUMPRODUCT((Inputs!$A$5:$A$110=$B23)*ISNUMBER(INDEX(Inputs!$K$5:$AJ$110,0,MATCH(AJ$2,Inputs!$K$4:$AJ$4,0))))+SUMPRODUCT((Inputs!$C$5:$C$110=$B23)*ISNUMBER(INDEX(Inputs!$K$5:$AJ$110,0,MATCH(AJ$2,Inputs!$K$4:$AJ$4,0))))+SUMPRODUCT((Inputs!$E$5:$E$110=$B23)*ISNUMBER(INDEX(Inputs!$K$5:$AJ$110,0,MATCH(AJ$2,Inputs!$K$4:$AJ$4,0))))=0,NA(),SUMPRODUCT((Inputs!$A$5:$A$110=$B23)*Inputs!$B$5:$B$110*(((Inputs!$G$5:$G$110="moeda")+(Inputs!$G$5:$G$110="acoes"))*Inputs!$B$1+((Inputs!$G$5:$G$110&lt;&gt;"moeda")*(Inputs!$G$5:$G$110&lt;&gt;"acoes")))*INDEX(Inputs!$K$5:$AJ$110,0,MATCH(AJ$2,Inputs!$K$4:$AJ$4,0)))+SUMPRODUCT((Inputs!$C$5:$C$110=$B23)*Inputs!$D$5:$D$110*(((Inputs!$G$5:$G$110="moeda")+(Inputs!$G$5:$G$110="acoes"))*Inputs!$B$1+((Inputs!$G$5:$G$110&lt;&gt;"moeda")*(Inputs!$G$5:$G$110&lt;&gt;"acoes")))*INDEX(Inputs!$K$5:$AJ$110,0,MATCH(AJ$2,Inputs!$K$4:$AJ$4,0)))+SUMPRODUCT((Inputs!$E$5:$E$110=$B23)*Inputs!$F$5:$F$110*(((Inputs!$G$5:$G$110="moeda")+(Inputs!$G$5:$G$110="acoes"))*Inputs!$B$1+((Inputs!$G$5:$G$110&lt;&gt;"moeda")*(Inputs!$G$5:$G$110&lt;&gt;"acoes")))*INDEX(Inputs!$K$5:$AJ$110,0,MATCH(AJ$2,Inputs!$K$4:$AJ$4,0)))))</f>
        <v>0</v>
      </c>
      <c r="AK23" s="6">
        <f>IF(ISNA(MATCH(AK$2,Inputs!$K$4:$AJ$4,0)),NA(),IF(SUMPRODUCT((Inputs!$A$5:$A$110=$B23)*ISNUMBER(INDEX(Inputs!$K$5:$AJ$110,0,MATCH(AK$2,Inputs!$K$4:$AJ$4,0))))+SUMPRODUCT((Inputs!$C$5:$C$110=$B23)*ISNUMBER(INDEX(Inputs!$K$5:$AJ$110,0,MATCH(AK$2,Inputs!$K$4:$AJ$4,0))))+SUMPRODUCT((Inputs!$E$5:$E$110=$B23)*ISNUMBER(INDEX(Inputs!$K$5:$AJ$110,0,MATCH(AK$2,Inputs!$K$4:$AJ$4,0))))=0,NA(),SUMPRODUCT((Inputs!$A$5:$A$110=$B23)*Inputs!$B$5:$B$110*(((Inputs!$G$5:$G$110="moeda")+(Inputs!$G$5:$G$110="acoes"))*Inputs!$B$1+((Inputs!$G$5:$G$110&lt;&gt;"moeda")*(Inputs!$G$5:$G$110&lt;&gt;"acoes")))*INDEX(Inputs!$K$5:$AJ$110,0,MATCH(AK$2,Inputs!$K$4:$AJ$4,0)))+SUMPRODUCT((Inputs!$C$5:$C$110=$B23)*Inputs!$D$5:$D$110*(((Inputs!$G$5:$G$110="moeda")+(Inputs!$G$5:$G$110="acoes"))*Inputs!$B$1+((Inputs!$G$5:$G$110&lt;&gt;"moeda")*(Inputs!$G$5:$G$110&lt;&gt;"acoes")))*INDEX(Inputs!$K$5:$AJ$110,0,MATCH(AK$2,Inputs!$K$4:$AJ$4,0)))+SUMPRODUCT((Inputs!$E$5:$E$110=$B23)*Inputs!$F$5:$F$110*(((Inputs!$G$5:$G$110="moeda")+(Inputs!$G$5:$G$110="acoes"))*Inputs!$B$1+((Inputs!$G$5:$G$110&lt;&gt;"moeda")*(Inputs!$G$5:$G$110&lt;&gt;"acoes")))*INDEX(Inputs!$K$5:$AJ$110,0,MATCH(AK$2,Inputs!$K$4:$AJ$4,0)))))</f>
        <v>0</v>
      </c>
      <c r="AL23" s="3">
        <f>AK23</f>
        <v>0</v>
      </c>
    </row>
    <row r="24">
      <c r="B24" s="46" t="n">
        <v>20</v>
      </c>
      <c r="C24" s="26" t="inlineStr">
        <is>
          <t>Goodwill</t>
        </is>
      </c>
      <c r="D24" s="6">
        <f>IF(ISNA(MATCH(D$2,Inputs!$K$4:$AJ$4,0)),NA(),IF(SUMPRODUCT((Inputs!$A$5:$A$110=$B24)*ISNUMBER(INDEX(Inputs!$K$5:$AJ$110,0,MATCH(D$2,Inputs!$K$4:$AJ$4,0))))+SUMPRODUCT((Inputs!$C$5:$C$110=$B24)*ISNUMBER(INDEX(Inputs!$K$5:$AJ$110,0,MATCH(D$2,Inputs!$K$4:$AJ$4,0))))+SUMPRODUCT((Inputs!$E$5:$E$110=$B24)*ISNUMBER(INDEX(Inputs!$K$5:$AJ$110,0,MATCH(D$2,Inputs!$K$4:$AJ$4,0))))=0,NA(),SUMPRODUCT((Inputs!$A$5:$A$110=$B24)*Inputs!$B$5:$B$110*(((Inputs!$G$5:$G$110="moeda")+(Inputs!$G$5:$G$110="acoes"))*Inputs!$B$1+((Inputs!$G$5:$G$110&lt;&gt;"moeda")*(Inputs!$G$5:$G$110&lt;&gt;"acoes")))*INDEX(Inputs!$K$5:$AJ$110,0,MATCH(D$2,Inputs!$K$4:$AJ$4,0)))+SUMPRODUCT((Inputs!$C$5:$C$110=$B24)*Inputs!$D$5:$D$110*(((Inputs!$G$5:$G$110="moeda")+(Inputs!$G$5:$G$110="acoes"))*Inputs!$B$1+((Inputs!$G$5:$G$110&lt;&gt;"moeda")*(Inputs!$G$5:$G$110&lt;&gt;"acoes")))*INDEX(Inputs!$K$5:$AJ$110,0,MATCH(D$2,Inputs!$K$4:$AJ$4,0)))+SUMPRODUCT((Inputs!$E$5:$E$110=$B24)*Inputs!$F$5:$F$110*(((Inputs!$G$5:$G$110="moeda")+(Inputs!$G$5:$G$110="acoes"))*Inputs!$B$1+((Inputs!$G$5:$G$110&lt;&gt;"moeda")*(Inputs!$G$5:$G$110&lt;&gt;"acoes")))*INDEX(Inputs!$K$5:$AJ$110,0,MATCH(D$2,Inputs!$K$4:$AJ$4,0)))))</f>
        <v>43457</v>
      </c>
      <c r="E24" s="6">
        <f>IF(ISNA(MATCH(E$2,Inputs!$K$4:$AJ$4,0)),NA(),IF(SUMPRODUCT((Inputs!$A$5:$A$110=$B24)*ISNUMBER(INDEX(Inputs!$K$5:$AJ$110,0,MATCH(E$2,Inputs!$K$4:$AJ$4,0))))+SUMPRODUCT((Inputs!$C$5:$C$110=$B24)*ISNUMBER(INDEX(Inputs!$K$5:$AJ$110,0,MATCH(E$2,Inputs!$K$4:$AJ$4,0))))+SUMPRODUCT((Inputs!$E$5:$E$110=$B24)*ISNUMBER(INDEX(Inputs!$K$5:$AJ$110,0,MATCH(E$2,Inputs!$K$4:$AJ$4,0))))=0,NA(),SUMPRODUCT((Inputs!$A$5:$A$110=$B24)*Inputs!$B$5:$B$110*(((Inputs!$G$5:$G$110="moeda")+(Inputs!$G$5:$G$110="acoes"))*Inputs!$B$1+((Inputs!$G$5:$G$110&lt;&gt;"moeda")*(Inputs!$G$5:$G$110&lt;&gt;"acoes")))*INDEX(Inputs!$K$5:$AJ$110,0,MATCH(E$2,Inputs!$K$4:$AJ$4,0)))+SUMPRODUCT((Inputs!$C$5:$C$110=$B24)*Inputs!$D$5:$D$110*(((Inputs!$G$5:$G$110="moeda")+(Inputs!$G$5:$G$110="acoes"))*Inputs!$B$1+((Inputs!$G$5:$G$110&lt;&gt;"moeda")*(Inputs!$G$5:$G$110&lt;&gt;"acoes")))*INDEX(Inputs!$K$5:$AJ$110,0,MATCH(E$2,Inputs!$K$4:$AJ$4,0)))+SUMPRODUCT((Inputs!$E$5:$E$110=$B24)*Inputs!$F$5:$F$110*(((Inputs!$G$5:$G$110="moeda")+(Inputs!$G$5:$G$110="acoes"))*Inputs!$B$1+((Inputs!$G$5:$G$110&lt;&gt;"moeda")*(Inputs!$G$5:$G$110&lt;&gt;"acoes")))*INDEX(Inputs!$K$5:$AJ$110,0,MATCH(E$2,Inputs!$K$4:$AJ$4,0)))))</f>
        <v>43457</v>
      </c>
      <c r="F24" s="6">
        <f>IF(ISNA(MATCH(F$2,Inputs!$K$4:$AJ$4,0)),NA(),IF(SUMPRODUCT((Inputs!$A$5:$A$110=$B24)*ISNUMBER(INDEX(Inputs!$K$5:$AJ$110,0,MATCH(F$2,Inputs!$K$4:$AJ$4,0))))+SUMPRODUCT((Inputs!$C$5:$C$110=$B24)*ISNUMBER(INDEX(Inputs!$K$5:$AJ$110,0,MATCH(F$2,Inputs!$K$4:$AJ$4,0))))+SUMPRODUCT((Inputs!$E$5:$E$110=$B24)*ISNUMBER(INDEX(Inputs!$K$5:$AJ$110,0,MATCH(F$2,Inputs!$K$4:$AJ$4,0))))=0,NA(),SUMPRODUCT((Inputs!$A$5:$A$110=$B24)*Inputs!$B$5:$B$110*(((Inputs!$G$5:$G$110="moeda")+(Inputs!$G$5:$G$110="acoes"))*Inputs!$B$1+((Inputs!$G$5:$G$110&lt;&gt;"moeda")*(Inputs!$G$5:$G$110&lt;&gt;"acoes")))*INDEX(Inputs!$K$5:$AJ$110,0,MATCH(F$2,Inputs!$K$4:$AJ$4,0)))+SUMPRODUCT((Inputs!$C$5:$C$110=$B24)*Inputs!$D$5:$D$110*(((Inputs!$G$5:$G$110="moeda")+(Inputs!$G$5:$G$110="acoes"))*Inputs!$B$1+((Inputs!$G$5:$G$110&lt;&gt;"moeda")*(Inputs!$G$5:$G$110&lt;&gt;"acoes")))*INDEX(Inputs!$K$5:$AJ$110,0,MATCH(F$2,Inputs!$K$4:$AJ$4,0)))+SUMPRODUCT((Inputs!$E$5:$E$110=$B24)*Inputs!$F$5:$F$110*(((Inputs!$G$5:$G$110="moeda")+(Inputs!$G$5:$G$110="acoes"))*Inputs!$B$1+((Inputs!$G$5:$G$110&lt;&gt;"moeda")*(Inputs!$G$5:$G$110&lt;&gt;"acoes")))*INDEX(Inputs!$K$5:$AJ$110,0,MATCH(F$2,Inputs!$K$4:$AJ$4,0)))))</f>
        <v>43450</v>
      </c>
      <c r="G24" s="6">
        <f>IF(ISNA(MATCH(G$2,Inputs!$K$4:$AJ$4,0)),NA(),IF(SUMPRODUCT((Inputs!$A$5:$A$110=$B24)*ISNUMBER(INDEX(Inputs!$K$5:$AJ$110,0,MATCH(G$2,Inputs!$K$4:$AJ$4,0))))+SUMPRODUCT((Inputs!$C$5:$C$110=$B24)*ISNUMBER(INDEX(Inputs!$K$5:$AJ$110,0,MATCH(G$2,Inputs!$K$4:$AJ$4,0))))+SUMPRODUCT((Inputs!$E$5:$E$110=$B24)*ISNUMBER(INDEX(Inputs!$K$5:$AJ$110,0,MATCH(G$2,Inputs!$K$4:$AJ$4,0))))=0,NA(),SUMPRODUCT((Inputs!$A$5:$A$110=$B24)*Inputs!$B$5:$B$110*(((Inputs!$G$5:$G$110="moeda")+(Inputs!$G$5:$G$110="acoes"))*Inputs!$B$1+((Inputs!$G$5:$G$110&lt;&gt;"moeda")*(Inputs!$G$5:$G$110&lt;&gt;"acoes")))*INDEX(Inputs!$K$5:$AJ$110,0,MATCH(G$2,Inputs!$K$4:$AJ$4,0)))+SUMPRODUCT((Inputs!$C$5:$C$110=$B24)*Inputs!$D$5:$D$110*(((Inputs!$G$5:$G$110="moeda")+(Inputs!$G$5:$G$110="acoes"))*Inputs!$B$1+((Inputs!$G$5:$G$110&lt;&gt;"moeda")*(Inputs!$G$5:$G$110&lt;&gt;"acoes")))*INDEX(Inputs!$K$5:$AJ$110,0,MATCH(G$2,Inputs!$K$4:$AJ$4,0)))+SUMPRODUCT((Inputs!$E$5:$E$110=$B24)*Inputs!$F$5:$F$110*(((Inputs!$G$5:$G$110="moeda")+(Inputs!$G$5:$G$110="acoes"))*Inputs!$B$1+((Inputs!$G$5:$G$110&lt;&gt;"moeda")*(Inputs!$G$5:$G$110&lt;&gt;"acoes")))*INDEX(Inputs!$K$5:$AJ$110,0,MATCH(G$2,Inputs!$K$4:$AJ$4,0)))))</f>
        <v>43450</v>
      </c>
      <c r="H24" s="3">
        <f>G24</f>
        <v>43450</v>
      </c>
      <c r="I24" s="6">
        <f>IF(ISNA(MATCH(I$2,Inputs!$K$4:$AJ$4,0)),NA(),IF(SUMPRODUCT((Inputs!$A$5:$A$110=$B24)*ISNUMBER(INDEX(Inputs!$K$5:$AJ$110,0,MATCH(I$2,Inputs!$K$4:$AJ$4,0))))+SUMPRODUCT((Inputs!$C$5:$C$110=$B24)*ISNUMBER(INDEX(Inputs!$K$5:$AJ$110,0,MATCH(I$2,Inputs!$K$4:$AJ$4,0))))+SUMPRODUCT((Inputs!$E$5:$E$110=$B24)*ISNUMBER(INDEX(Inputs!$K$5:$AJ$110,0,MATCH(I$2,Inputs!$K$4:$AJ$4,0))))=0,NA(),SUMPRODUCT((Inputs!$A$5:$A$110=$B24)*Inputs!$B$5:$B$110*(((Inputs!$G$5:$G$110="moeda")+(Inputs!$G$5:$G$110="acoes"))*Inputs!$B$1+((Inputs!$G$5:$G$110&lt;&gt;"moeda")*(Inputs!$G$5:$G$110&lt;&gt;"acoes")))*INDEX(Inputs!$K$5:$AJ$110,0,MATCH(I$2,Inputs!$K$4:$AJ$4,0)))+SUMPRODUCT((Inputs!$C$5:$C$110=$B24)*Inputs!$D$5:$D$110*(((Inputs!$G$5:$G$110="moeda")+(Inputs!$G$5:$G$110="acoes"))*Inputs!$B$1+((Inputs!$G$5:$G$110&lt;&gt;"moeda")*(Inputs!$G$5:$G$110&lt;&gt;"acoes")))*INDEX(Inputs!$K$5:$AJ$110,0,MATCH(I$2,Inputs!$K$4:$AJ$4,0)))+SUMPRODUCT((Inputs!$E$5:$E$110=$B24)*Inputs!$F$5:$F$110*(((Inputs!$G$5:$G$110="moeda")+(Inputs!$G$5:$G$110="acoes"))*Inputs!$B$1+((Inputs!$G$5:$G$110&lt;&gt;"moeda")*(Inputs!$G$5:$G$110&lt;&gt;"acoes")))*INDEX(Inputs!$K$5:$AJ$110,0,MATCH(I$2,Inputs!$K$4:$AJ$4,0)))))</f>
        <v>43603</v>
      </c>
      <c r="J24" s="6">
        <f>IF(ISNA(MATCH(J$2,Inputs!$K$4:$AJ$4,0)),NA(),IF(SUMPRODUCT((Inputs!$A$5:$A$110=$B24)*ISNUMBER(INDEX(Inputs!$K$5:$AJ$110,0,MATCH(J$2,Inputs!$K$4:$AJ$4,0))))+SUMPRODUCT((Inputs!$C$5:$C$110=$B24)*ISNUMBER(INDEX(Inputs!$K$5:$AJ$110,0,MATCH(J$2,Inputs!$K$4:$AJ$4,0))))+SUMPRODUCT((Inputs!$E$5:$E$110=$B24)*ISNUMBER(INDEX(Inputs!$K$5:$AJ$110,0,MATCH(J$2,Inputs!$K$4:$AJ$4,0))))=0,NA(),SUMPRODUCT((Inputs!$A$5:$A$110=$B24)*Inputs!$B$5:$B$110*(((Inputs!$G$5:$G$110="moeda")+(Inputs!$G$5:$G$110="acoes"))*Inputs!$B$1+((Inputs!$G$5:$G$110&lt;&gt;"moeda")*(Inputs!$G$5:$G$110&lt;&gt;"acoes")))*INDEX(Inputs!$K$5:$AJ$110,0,MATCH(J$2,Inputs!$K$4:$AJ$4,0)))+SUMPRODUCT((Inputs!$C$5:$C$110=$B24)*Inputs!$D$5:$D$110*(((Inputs!$G$5:$G$110="moeda")+(Inputs!$G$5:$G$110="acoes"))*Inputs!$B$1+((Inputs!$G$5:$G$110&lt;&gt;"moeda")*(Inputs!$G$5:$G$110&lt;&gt;"acoes")))*INDEX(Inputs!$K$5:$AJ$110,0,MATCH(J$2,Inputs!$K$4:$AJ$4,0)))+SUMPRODUCT((Inputs!$E$5:$E$110=$B24)*Inputs!$F$5:$F$110*(((Inputs!$G$5:$G$110="moeda")+(Inputs!$G$5:$G$110="acoes"))*Inputs!$B$1+((Inputs!$G$5:$G$110&lt;&gt;"moeda")*(Inputs!$G$5:$G$110&lt;&gt;"acoes")))*INDEX(Inputs!$K$5:$AJ$110,0,MATCH(J$2,Inputs!$K$4:$AJ$4,0)))))</f>
        <v>43608</v>
      </c>
      <c r="K24" s="6">
        <f>IF(ISNA(MATCH(K$2,Inputs!$K$4:$AJ$4,0)),NA(),IF(SUMPRODUCT((Inputs!$A$5:$A$110=$B24)*ISNUMBER(INDEX(Inputs!$K$5:$AJ$110,0,MATCH(K$2,Inputs!$K$4:$AJ$4,0))))+SUMPRODUCT((Inputs!$C$5:$C$110=$B24)*ISNUMBER(INDEX(Inputs!$K$5:$AJ$110,0,MATCH(K$2,Inputs!$K$4:$AJ$4,0))))+SUMPRODUCT((Inputs!$E$5:$E$110=$B24)*ISNUMBER(INDEX(Inputs!$K$5:$AJ$110,0,MATCH(K$2,Inputs!$K$4:$AJ$4,0))))=0,NA(),SUMPRODUCT((Inputs!$A$5:$A$110=$B24)*Inputs!$B$5:$B$110*(((Inputs!$G$5:$G$110="moeda")+(Inputs!$G$5:$G$110="acoes"))*Inputs!$B$1+((Inputs!$G$5:$G$110&lt;&gt;"moeda")*(Inputs!$G$5:$G$110&lt;&gt;"acoes")))*INDEX(Inputs!$K$5:$AJ$110,0,MATCH(K$2,Inputs!$K$4:$AJ$4,0)))+SUMPRODUCT((Inputs!$C$5:$C$110=$B24)*Inputs!$D$5:$D$110*(((Inputs!$G$5:$G$110="moeda")+(Inputs!$G$5:$G$110="acoes"))*Inputs!$B$1+((Inputs!$G$5:$G$110&lt;&gt;"moeda")*(Inputs!$G$5:$G$110&lt;&gt;"acoes")))*INDEX(Inputs!$K$5:$AJ$110,0,MATCH(K$2,Inputs!$K$4:$AJ$4,0)))+SUMPRODUCT((Inputs!$E$5:$E$110=$B24)*Inputs!$F$5:$F$110*(((Inputs!$G$5:$G$110="moeda")+(Inputs!$G$5:$G$110="acoes"))*Inputs!$B$1+((Inputs!$G$5:$G$110&lt;&gt;"moeda")*(Inputs!$G$5:$G$110&lt;&gt;"acoes")))*INDEX(Inputs!$K$5:$AJ$110,0,MATCH(K$2,Inputs!$K$4:$AJ$4,0)))))</f>
        <v>43614</v>
      </c>
      <c r="L24" s="6">
        <f>IF(ISNA(MATCH(L$2,Inputs!$K$4:$AJ$4,0)),NA(),IF(SUMPRODUCT((Inputs!$A$5:$A$110=$B24)*ISNUMBER(INDEX(Inputs!$K$5:$AJ$110,0,MATCH(L$2,Inputs!$K$4:$AJ$4,0))))+SUMPRODUCT((Inputs!$C$5:$C$110=$B24)*ISNUMBER(INDEX(Inputs!$K$5:$AJ$110,0,MATCH(L$2,Inputs!$K$4:$AJ$4,0))))+SUMPRODUCT((Inputs!$E$5:$E$110=$B24)*ISNUMBER(INDEX(Inputs!$K$5:$AJ$110,0,MATCH(L$2,Inputs!$K$4:$AJ$4,0))))=0,NA(),SUMPRODUCT((Inputs!$A$5:$A$110=$B24)*Inputs!$B$5:$B$110*(((Inputs!$G$5:$G$110="moeda")+(Inputs!$G$5:$G$110="acoes"))*Inputs!$B$1+((Inputs!$G$5:$G$110&lt;&gt;"moeda")*(Inputs!$G$5:$G$110&lt;&gt;"acoes")))*INDEX(Inputs!$K$5:$AJ$110,0,MATCH(L$2,Inputs!$K$4:$AJ$4,0)))+SUMPRODUCT((Inputs!$C$5:$C$110=$B24)*Inputs!$D$5:$D$110*(((Inputs!$G$5:$G$110="moeda")+(Inputs!$G$5:$G$110="acoes"))*Inputs!$B$1+((Inputs!$G$5:$G$110&lt;&gt;"moeda")*(Inputs!$G$5:$G$110&lt;&gt;"acoes")))*INDEX(Inputs!$K$5:$AJ$110,0,MATCH(L$2,Inputs!$K$4:$AJ$4,0)))+SUMPRODUCT((Inputs!$E$5:$E$110=$B24)*Inputs!$F$5:$F$110*(((Inputs!$G$5:$G$110="moeda")+(Inputs!$G$5:$G$110="acoes"))*Inputs!$B$1+((Inputs!$G$5:$G$110&lt;&gt;"moeda")*(Inputs!$G$5:$G$110&lt;&gt;"acoes")))*INDEX(Inputs!$K$5:$AJ$110,0,MATCH(L$2,Inputs!$K$4:$AJ$4,0)))))</f>
        <v>43614</v>
      </c>
      <c r="M24" s="3">
        <f>L24</f>
        <v>43614</v>
      </c>
      <c r="N24" s="6">
        <f>IF(ISNA(MATCH(N$2,Inputs!$K$4:$AJ$4,0)),NA(),IF(SUMPRODUCT((Inputs!$A$5:$A$110=$B24)*ISNUMBER(INDEX(Inputs!$K$5:$AJ$110,0,MATCH(N$2,Inputs!$K$4:$AJ$4,0))))+SUMPRODUCT((Inputs!$C$5:$C$110=$B24)*ISNUMBER(INDEX(Inputs!$K$5:$AJ$110,0,MATCH(N$2,Inputs!$K$4:$AJ$4,0))))+SUMPRODUCT((Inputs!$E$5:$E$110=$B24)*ISNUMBER(INDEX(Inputs!$K$5:$AJ$110,0,MATCH(N$2,Inputs!$K$4:$AJ$4,0))))=0,NA(),SUMPRODUCT((Inputs!$A$5:$A$110=$B24)*Inputs!$B$5:$B$110*(((Inputs!$G$5:$G$110="moeda")+(Inputs!$G$5:$G$110="acoes"))*Inputs!$B$1+((Inputs!$G$5:$G$110&lt;&gt;"moeda")*(Inputs!$G$5:$G$110&lt;&gt;"acoes")))*INDEX(Inputs!$K$5:$AJ$110,0,MATCH(N$2,Inputs!$K$4:$AJ$4,0)))+SUMPRODUCT((Inputs!$C$5:$C$110=$B24)*Inputs!$D$5:$D$110*(((Inputs!$G$5:$G$110="moeda")+(Inputs!$G$5:$G$110="acoes"))*Inputs!$B$1+((Inputs!$G$5:$G$110&lt;&gt;"moeda")*(Inputs!$G$5:$G$110&lt;&gt;"acoes")))*INDEX(Inputs!$K$5:$AJ$110,0,MATCH(N$2,Inputs!$K$4:$AJ$4,0)))+SUMPRODUCT((Inputs!$E$5:$E$110=$B24)*Inputs!$F$5:$F$110*(((Inputs!$G$5:$G$110="moeda")+(Inputs!$G$5:$G$110="acoes"))*Inputs!$B$1+((Inputs!$G$5:$G$110&lt;&gt;"moeda")*(Inputs!$G$5:$G$110&lt;&gt;"acoes")))*INDEX(Inputs!$K$5:$AJ$110,0,MATCH(N$2,Inputs!$K$4:$AJ$4,0)))))</f>
        <v>43614</v>
      </c>
      <c r="O24" s="6">
        <f>IF(ISNA(MATCH(O$2,Inputs!$K$4:$AJ$4,0)),NA(),IF(SUMPRODUCT((Inputs!$A$5:$A$110=$B24)*ISNUMBER(INDEX(Inputs!$K$5:$AJ$110,0,MATCH(O$2,Inputs!$K$4:$AJ$4,0))))+SUMPRODUCT((Inputs!$C$5:$C$110=$B24)*ISNUMBER(INDEX(Inputs!$K$5:$AJ$110,0,MATCH(O$2,Inputs!$K$4:$AJ$4,0))))+SUMPRODUCT((Inputs!$E$5:$E$110=$B24)*ISNUMBER(INDEX(Inputs!$K$5:$AJ$110,0,MATCH(O$2,Inputs!$K$4:$AJ$4,0))))=0,NA(),SUMPRODUCT((Inputs!$A$5:$A$110=$B24)*Inputs!$B$5:$B$110*(((Inputs!$G$5:$G$110="moeda")+(Inputs!$G$5:$G$110="acoes"))*Inputs!$B$1+((Inputs!$G$5:$G$110&lt;&gt;"moeda")*(Inputs!$G$5:$G$110&lt;&gt;"acoes")))*INDEX(Inputs!$K$5:$AJ$110,0,MATCH(O$2,Inputs!$K$4:$AJ$4,0)))+SUMPRODUCT((Inputs!$C$5:$C$110=$B24)*Inputs!$D$5:$D$110*(((Inputs!$G$5:$G$110="moeda")+(Inputs!$G$5:$G$110="acoes"))*Inputs!$B$1+((Inputs!$G$5:$G$110&lt;&gt;"moeda")*(Inputs!$G$5:$G$110&lt;&gt;"acoes")))*INDEX(Inputs!$K$5:$AJ$110,0,MATCH(O$2,Inputs!$K$4:$AJ$4,0)))+SUMPRODUCT((Inputs!$E$5:$E$110=$B24)*Inputs!$F$5:$F$110*(((Inputs!$G$5:$G$110="moeda")+(Inputs!$G$5:$G$110="acoes"))*Inputs!$B$1+((Inputs!$G$5:$G$110&lt;&gt;"moeda")*(Inputs!$G$5:$G$110&lt;&gt;"acoes")))*INDEX(Inputs!$K$5:$AJ$110,0,MATCH(O$2,Inputs!$K$4:$AJ$4,0)))))</f>
        <v>43619</v>
      </c>
      <c r="P24" s="6">
        <f>IF(ISNA(MATCH(P$2,Inputs!$K$4:$AJ$4,0)),NA(),IF(SUMPRODUCT((Inputs!$A$5:$A$110=$B24)*ISNUMBER(INDEX(Inputs!$K$5:$AJ$110,0,MATCH(P$2,Inputs!$K$4:$AJ$4,0))))+SUMPRODUCT((Inputs!$C$5:$C$110=$B24)*ISNUMBER(INDEX(Inputs!$K$5:$AJ$110,0,MATCH(P$2,Inputs!$K$4:$AJ$4,0))))+SUMPRODUCT((Inputs!$E$5:$E$110=$B24)*ISNUMBER(INDEX(Inputs!$K$5:$AJ$110,0,MATCH(P$2,Inputs!$K$4:$AJ$4,0))))=0,NA(),SUMPRODUCT((Inputs!$A$5:$A$110=$B24)*Inputs!$B$5:$B$110*(((Inputs!$G$5:$G$110="moeda")+(Inputs!$G$5:$G$110="acoes"))*Inputs!$B$1+((Inputs!$G$5:$G$110&lt;&gt;"moeda")*(Inputs!$G$5:$G$110&lt;&gt;"acoes")))*INDEX(Inputs!$K$5:$AJ$110,0,MATCH(P$2,Inputs!$K$4:$AJ$4,0)))+SUMPRODUCT((Inputs!$C$5:$C$110=$B24)*Inputs!$D$5:$D$110*(((Inputs!$G$5:$G$110="moeda")+(Inputs!$G$5:$G$110="acoes"))*Inputs!$B$1+((Inputs!$G$5:$G$110&lt;&gt;"moeda")*(Inputs!$G$5:$G$110&lt;&gt;"acoes")))*INDEX(Inputs!$K$5:$AJ$110,0,MATCH(P$2,Inputs!$K$4:$AJ$4,0)))+SUMPRODUCT((Inputs!$E$5:$E$110=$B24)*Inputs!$F$5:$F$110*(((Inputs!$G$5:$G$110="moeda")+(Inputs!$G$5:$G$110="acoes"))*Inputs!$B$1+((Inputs!$G$5:$G$110&lt;&gt;"moeda")*(Inputs!$G$5:$G$110&lt;&gt;"acoes")))*INDEX(Inputs!$K$5:$AJ$110,0,MATCH(P$2,Inputs!$K$4:$AJ$4,0)))))</f>
        <v>43653</v>
      </c>
      <c r="Q24" s="6">
        <f>IF(ISNA(MATCH(Q$2,Inputs!$K$4:$AJ$4,0)),NA(),IF(SUMPRODUCT((Inputs!$A$5:$A$110=$B24)*ISNUMBER(INDEX(Inputs!$K$5:$AJ$110,0,MATCH(Q$2,Inputs!$K$4:$AJ$4,0))))+SUMPRODUCT((Inputs!$C$5:$C$110=$B24)*ISNUMBER(INDEX(Inputs!$K$5:$AJ$110,0,MATCH(Q$2,Inputs!$K$4:$AJ$4,0))))+SUMPRODUCT((Inputs!$E$5:$E$110=$B24)*ISNUMBER(INDEX(Inputs!$K$5:$AJ$110,0,MATCH(Q$2,Inputs!$K$4:$AJ$4,0))))=0,NA(),SUMPRODUCT((Inputs!$A$5:$A$110=$B24)*Inputs!$B$5:$B$110*(((Inputs!$G$5:$G$110="moeda")+(Inputs!$G$5:$G$110="acoes"))*Inputs!$B$1+((Inputs!$G$5:$G$110&lt;&gt;"moeda")*(Inputs!$G$5:$G$110&lt;&gt;"acoes")))*INDEX(Inputs!$K$5:$AJ$110,0,MATCH(Q$2,Inputs!$K$4:$AJ$4,0)))+SUMPRODUCT((Inputs!$C$5:$C$110=$B24)*Inputs!$D$5:$D$110*(((Inputs!$G$5:$G$110="moeda")+(Inputs!$G$5:$G$110="acoes"))*Inputs!$B$1+((Inputs!$G$5:$G$110&lt;&gt;"moeda")*(Inputs!$G$5:$G$110&lt;&gt;"acoes")))*INDEX(Inputs!$K$5:$AJ$110,0,MATCH(Q$2,Inputs!$K$4:$AJ$4,0)))+SUMPRODUCT((Inputs!$E$5:$E$110=$B24)*Inputs!$F$5:$F$110*(((Inputs!$G$5:$G$110="moeda")+(Inputs!$G$5:$G$110="acoes"))*Inputs!$B$1+((Inputs!$G$5:$G$110&lt;&gt;"moeda")*(Inputs!$G$5:$G$110&lt;&gt;"acoes")))*INDEX(Inputs!$K$5:$AJ$110,0,MATCH(Q$2,Inputs!$K$4:$AJ$4,0)))))</f>
        <v>97586</v>
      </c>
      <c r="R24" s="3">
        <f>Q24</f>
        <v>97586</v>
      </c>
      <c r="S24" s="6">
        <f>IF(ISNA(MATCH(S$2,Inputs!$K$4:$AJ$4,0)),NA(),IF(SUMPRODUCT((Inputs!$A$5:$A$110=$B24)*ISNUMBER(INDEX(Inputs!$K$5:$AJ$110,0,MATCH(S$2,Inputs!$K$4:$AJ$4,0))))+SUMPRODUCT((Inputs!$C$5:$C$110=$B24)*ISNUMBER(INDEX(Inputs!$K$5:$AJ$110,0,MATCH(S$2,Inputs!$K$4:$AJ$4,0))))+SUMPRODUCT((Inputs!$E$5:$E$110=$B24)*ISNUMBER(INDEX(Inputs!$K$5:$AJ$110,0,MATCH(S$2,Inputs!$K$4:$AJ$4,0))))=0,NA(),SUMPRODUCT((Inputs!$A$5:$A$110=$B24)*Inputs!$B$5:$B$110*(((Inputs!$G$5:$G$110="moeda")+(Inputs!$G$5:$G$110="acoes"))*Inputs!$B$1+((Inputs!$G$5:$G$110&lt;&gt;"moeda")*(Inputs!$G$5:$G$110&lt;&gt;"acoes")))*INDEX(Inputs!$K$5:$AJ$110,0,MATCH(S$2,Inputs!$K$4:$AJ$4,0)))+SUMPRODUCT((Inputs!$C$5:$C$110=$B24)*Inputs!$D$5:$D$110*(((Inputs!$G$5:$G$110="moeda")+(Inputs!$G$5:$G$110="acoes"))*Inputs!$B$1+((Inputs!$G$5:$G$110&lt;&gt;"moeda")*(Inputs!$G$5:$G$110&lt;&gt;"acoes")))*INDEX(Inputs!$K$5:$AJ$110,0,MATCH(S$2,Inputs!$K$4:$AJ$4,0)))+SUMPRODUCT((Inputs!$E$5:$E$110=$B24)*Inputs!$F$5:$F$110*(((Inputs!$G$5:$G$110="moeda")+(Inputs!$G$5:$G$110="acoes"))*Inputs!$B$1+((Inputs!$G$5:$G$110&lt;&gt;"moeda")*(Inputs!$G$5:$G$110&lt;&gt;"acoes")))*INDEX(Inputs!$K$5:$AJ$110,0,MATCH(S$2,Inputs!$K$4:$AJ$4,0)))))</f>
        <v>97873</v>
      </c>
      <c r="T24" s="6">
        <f>IF(ISNA(MATCH(T$2,Inputs!$K$4:$AJ$4,0)),NA(),IF(SUMPRODUCT((Inputs!$A$5:$A$110=$B24)*ISNUMBER(INDEX(Inputs!$K$5:$AJ$110,0,MATCH(T$2,Inputs!$K$4:$AJ$4,0))))+SUMPRODUCT((Inputs!$C$5:$C$110=$B24)*ISNUMBER(INDEX(Inputs!$K$5:$AJ$110,0,MATCH(T$2,Inputs!$K$4:$AJ$4,0))))+SUMPRODUCT((Inputs!$E$5:$E$110=$B24)*ISNUMBER(INDEX(Inputs!$K$5:$AJ$110,0,MATCH(T$2,Inputs!$K$4:$AJ$4,0))))=0,NA(),SUMPRODUCT((Inputs!$A$5:$A$110=$B24)*Inputs!$B$5:$B$110*(((Inputs!$G$5:$G$110="moeda")+(Inputs!$G$5:$G$110="acoes"))*Inputs!$B$1+((Inputs!$G$5:$G$110&lt;&gt;"moeda")*(Inputs!$G$5:$G$110&lt;&gt;"acoes")))*INDEX(Inputs!$K$5:$AJ$110,0,MATCH(T$2,Inputs!$K$4:$AJ$4,0)))+SUMPRODUCT((Inputs!$C$5:$C$110=$B24)*Inputs!$D$5:$D$110*(((Inputs!$G$5:$G$110="moeda")+(Inputs!$G$5:$G$110="acoes"))*Inputs!$B$1+((Inputs!$G$5:$G$110&lt;&gt;"moeda")*(Inputs!$G$5:$G$110&lt;&gt;"acoes")))*INDEX(Inputs!$K$5:$AJ$110,0,MATCH(T$2,Inputs!$K$4:$AJ$4,0)))+SUMPRODUCT((Inputs!$E$5:$E$110=$B24)*Inputs!$F$5:$F$110*(((Inputs!$G$5:$G$110="moeda")+(Inputs!$G$5:$G$110="acoes"))*Inputs!$B$1+((Inputs!$G$5:$G$110&lt;&gt;"moeda")*(Inputs!$G$5:$G$110&lt;&gt;"acoes")))*INDEX(Inputs!$K$5:$AJ$110,0,MATCH(T$2,Inputs!$K$4:$AJ$4,0)))))</f>
        <v>97873</v>
      </c>
      <c r="U24" s="6">
        <f>IF(ISNA(MATCH(U$2,Inputs!$K$4:$AJ$4,0)),NA(),IF(SUMPRODUCT((Inputs!$A$5:$A$110=$B24)*ISNUMBER(INDEX(Inputs!$K$5:$AJ$110,0,MATCH(U$2,Inputs!$K$4:$AJ$4,0))))+SUMPRODUCT((Inputs!$C$5:$C$110=$B24)*ISNUMBER(INDEX(Inputs!$K$5:$AJ$110,0,MATCH(U$2,Inputs!$K$4:$AJ$4,0))))+SUMPRODUCT((Inputs!$E$5:$E$110=$B24)*ISNUMBER(INDEX(Inputs!$K$5:$AJ$110,0,MATCH(U$2,Inputs!$K$4:$AJ$4,0))))=0,NA(),SUMPRODUCT((Inputs!$A$5:$A$110=$B24)*Inputs!$B$5:$B$110*(((Inputs!$G$5:$G$110="moeda")+(Inputs!$G$5:$G$110="acoes"))*Inputs!$B$1+((Inputs!$G$5:$G$110&lt;&gt;"moeda")*(Inputs!$G$5:$G$110&lt;&gt;"acoes")))*INDEX(Inputs!$K$5:$AJ$110,0,MATCH(U$2,Inputs!$K$4:$AJ$4,0)))+SUMPRODUCT((Inputs!$C$5:$C$110=$B24)*Inputs!$D$5:$D$110*(((Inputs!$G$5:$G$110="moeda")+(Inputs!$G$5:$G$110="acoes"))*Inputs!$B$1+((Inputs!$G$5:$G$110&lt;&gt;"moeda")*(Inputs!$G$5:$G$110&lt;&gt;"acoes")))*INDEX(Inputs!$K$5:$AJ$110,0,MATCH(U$2,Inputs!$K$4:$AJ$4,0)))+SUMPRODUCT((Inputs!$E$5:$E$110=$B24)*Inputs!$F$5:$F$110*(((Inputs!$G$5:$G$110="moeda")+(Inputs!$G$5:$G$110="acoes"))*Inputs!$B$1+((Inputs!$G$5:$G$110&lt;&gt;"moeda")*(Inputs!$G$5:$G$110&lt;&gt;"acoes")))*INDEX(Inputs!$K$5:$AJ$110,0,MATCH(U$2,Inputs!$K$4:$AJ$4,0)))))</f>
        <v>97873</v>
      </c>
      <c r="V24" s="6">
        <f>IF(ISNA(MATCH(V$2,Inputs!$K$4:$AJ$4,0)),NA(),IF(SUMPRODUCT((Inputs!$A$5:$A$110=$B24)*ISNUMBER(INDEX(Inputs!$K$5:$AJ$110,0,MATCH(V$2,Inputs!$K$4:$AJ$4,0))))+SUMPRODUCT((Inputs!$C$5:$C$110=$B24)*ISNUMBER(INDEX(Inputs!$K$5:$AJ$110,0,MATCH(V$2,Inputs!$K$4:$AJ$4,0))))+SUMPRODUCT((Inputs!$E$5:$E$110=$B24)*ISNUMBER(INDEX(Inputs!$K$5:$AJ$110,0,MATCH(V$2,Inputs!$K$4:$AJ$4,0))))=0,NA(),SUMPRODUCT((Inputs!$A$5:$A$110=$B24)*Inputs!$B$5:$B$110*(((Inputs!$G$5:$G$110="moeda")+(Inputs!$G$5:$G$110="acoes"))*Inputs!$B$1+((Inputs!$G$5:$G$110&lt;&gt;"moeda")*(Inputs!$G$5:$G$110&lt;&gt;"acoes")))*INDEX(Inputs!$K$5:$AJ$110,0,MATCH(V$2,Inputs!$K$4:$AJ$4,0)))+SUMPRODUCT((Inputs!$C$5:$C$110=$B24)*Inputs!$D$5:$D$110*(((Inputs!$G$5:$G$110="moeda")+(Inputs!$G$5:$G$110="acoes"))*Inputs!$B$1+((Inputs!$G$5:$G$110&lt;&gt;"moeda")*(Inputs!$G$5:$G$110&lt;&gt;"acoes")))*INDEX(Inputs!$K$5:$AJ$110,0,MATCH(V$2,Inputs!$K$4:$AJ$4,0)))+SUMPRODUCT((Inputs!$E$5:$E$110=$B24)*Inputs!$F$5:$F$110*(((Inputs!$G$5:$G$110="moeda")+(Inputs!$G$5:$G$110="acoes"))*Inputs!$B$1+((Inputs!$G$5:$G$110&lt;&gt;"moeda")*(Inputs!$G$5:$G$110&lt;&gt;"acoes")))*INDEX(Inputs!$K$5:$AJ$110,0,MATCH(V$2,Inputs!$K$4:$AJ$4,0)))))</f>
        <v>97871</v>
      </c>
      <c r="W24" s="3">
        <f>V24</f>
        <v>97871</v>
      </c>
      <c r="X24" s="6">
        <f>IF(ISNA(MATCH(X$2,Inputs!$K$4:$AJ$4,0)),NA(),IF(SUMPRODUCT((Inputs!$A$5:$A$110=$B24)*ISNUMBER(INDEX(Inputs!$K$5:$AJ$110,0,MATCH(X$2,Inputs!$K$4:$AJ$4,0))))+SUMPRODUCT((Inputs!$C$5:$C$110=$B24)*ISNUMBER(INDEX(Inputs!$K$5:$AJ$110,0,MATCH(X$2,Inputs!$K$4:$AJ$4,0))))+SUMPRODUCT((Inputs!$E$5:$E$110=$B24)*ISNUMBER(INDEX(Inputs!$K$5:$AJ$110,0,MATCH(X$2,Inputs!$K$4:$AJ$4,0))))=0,NA(),SUMPRODUCT((Inputs!$A$5:$A$110=$B24)*Inputs!$B$5:$B$110*(((Inputs!$G$5:$G$110="moeda")+(Inputs!$G$5:$G$110="acoes"))*Inputs!$B$1+((Inputs!$G$5:$G$110&lt;&gt;"moeda")*(Inputs!$G$5:$G$110&lt;&gt;"acoes")))*INDEX(Inputs!$K$5:$AJ$110,0,MATCH(X$2,Inputs!$K$4:$AJ$4,0)))+SUMPRODUCT((Inputs!$C$5:$C$110=$B24)*Inputs!$D$5:$D$110*(((Inputs!$G$5:$G$110="moeda")+(Inputs!$G$5:$G$110="acoes"))*Inputs!$B$1+((Inputs!$G$5:$G$110&lt;&gt;"moeda")*(Inputs!$G$5:$G$110&lt;&gt;"acoes")))*INDEX(Inputs!$K$5:$AJ$110,0,MATCH(X$2,Inputs!$K$4:$AJ$4,0)))+SUMPRODUCT((Inputs!$E$5:$E$110=$B24)*Inputs!$F$5:$F$110*(((Inputs!$G$5:$G$110="moeda")+(Inputs!$G$5:$G$110="acoes"))*Inputs!$B$1+((Inputs!$G$5:$G$110&lt;&gt;"moeda")*(Inputs!$G$5:$G$110&lt;&gt;"acoes")))*INDEX(Inputs!$K$5:$AJ$110,0,MATCH(X$2,Inputs!$K$4:$AJ$4,0)))))</f>
        <v>97801</v>
      </c>
      <c r="Y24" s="6">
        <f>IF(ISNA(MATCH(Y$2,Inputs!$K$4:$AJ$4,0)),NA(),IF(SUMPRODUCT((Inputs!$A$5:$A$110=$B24)*ISNUMBER(INDEX(Inputs!$K$5:$AJ$110,0,MATCH(Y$2,Inputs!$K$4:$AJ$4,0))))+SUMPRODUCT((Inputs!$C$5:$C$110=$B24)*ISNUMBER(INDEX(Inputs!$K$5:$AJ$110,0,MATCH(Y$2,Inputs!$K$4:$AJ$4,0))))+SUMPRODUCT((Inputs!$E$5:$E$110=$B24)*ISNUMBER(INDEX(Inputs!$K$5:$AJ$110,0,MATCH(Y$2,Inputs!$K$4:$AJ$4,0))))=0,NA(),SUMPRODUCT((Inputs!$A$5:$A$110=$B24)*Inputs!$B$5:$B$110*(((Inputs!$G$5:$G$110="moeda")+(Inputs!$G$5:$G$110="acoes"))*Inputs!$B$1+((Inputs!$G$5:$G$110&lt;&gt;"moeda")*(Inputs!$G$5:$G$110&lt;&gt;"acoes")))*INDEX(Inputs!$K$5:$AJ$110,0,MATCH(Y$2,Inputs!$K$4:$AJ$4,0)))+SUMPRODUCT((Inputs!$C$5:$C$110=$B24)*Inputs!$D$5:$D$110*(((Inputs!$G$5:$G$110="moeda")+(Inputs!$G$5:$G$110="acoes"))*Inputs!$B$1+((Inputs!$G$5:$G$110&lt;&gt;"moeda")*(Inputs!$G$5:$G$110&lt;&gt;"acoes")))*INDEX(Inputs!$K$5:$AJ$110,0,MATCH(Y$2,Inputs!$K$4:$AJ$4,0)))+SUMPRODUCT((Inputs!$E$5:$E$110=$B24)*Inputs!$F$5:$F$110*(((Inputs!$G$5:$G$110="moeda")+(Inputs!$G$5:$G$110="acoes"))*Inputs!$B$1+((Inputs!$G$5:$G$110&lt;&gt;"moeda")*(Inputs!$G$5:$G$110&lt;&gt;"acoes")))*INDEX(Inputs!$K$5:$AJ$110,0,MATCH(Y$2,Inputs!$K$4:$AJ$4,0)))))</f>
        <v>97801</v>
      </c>
      <c r="Z24" s="6">
        <f>IF(ISNA(MATCH(Z$2,Inputs!$K$4:$AJ$4,0)),NA(),IF(SUMPRODUCT((Inputs!$A$5:$A$110=$B24)*ISNUMBER(INDEX(Inputs!$K$5:$AJ$110,0,MATCH(Z$2,Inputs!$K$4:$AJ$4,0))))+SUMPRODUCT((Inputs!$C$5:$C$110=$B24)*ISNUMBER(INDEX(Inputs!$K$5:$AJ$110,0,MATCH(Z$2,Inputs!$K$4:$AJ$4,0))))+SUMPRODUCT((Inputs!$E$5:$E$110=$B24)*ISNUMBER(INDEX(Inputs!$K$5:$AJ$110,0,MATCH(Z$2,Inputs!$K$4:$AJ$4,0))))=0,NA(),SUMPRODUCT((Inputs!$A$5:$A$110=$B24)*Inputs!$B$5:$B$110*(((Inputs!$G$5:$G$110="moeda")+(Inputs!$G$5:$G$110="acoes"))*Inputs!$B$1+((Inputs!$G$5:$G$110&lt;&gt;"moeda")*(Inputs!$G$5:$G$110&lt;&gt;"acoes")))*INDEX(Inputs!$K$5:$AJ$110,0,MATCH(Z$2,Inputs!$K$4:$AJ$4,0)))+SUMPRODUCT((Inputs!$C$5:$C$110=$B24)*Inputs!$D$5:$D$110*(((Inputs!$G$5:$G$110="moeda")+(Inputs!$G$5:$G$110="acoes"))*Inputs!$B$1+((Inputs!$G$5:$G$110&lt;&gt;"moeda")*(Inputs!$G$5:$G$110&lt;&gt;"acoes")))*INDEX(Inputs!$K$5:$AJ$110,0,MATCH(Z$2,Inputs!$K$4:$AJ$4,0)))+SUMPRODUCT((Inputs!$E$5:$E$110=$B24)*Inputs!$F$5:$F$110*(((Inputs!$G$5:$G$110="moeda")+(Inputs!$G$5:$G$110="acoes"))*Inputs!$B$1+((Inputs!$G$5:$G$110&lt;&gt;"moeda")*(Inputs!$G$5:$G$110&lt;&gt;"acoes")))*INDEX(Inputs!$K$5:$AJ$110,0,MATCH(Z$2,Inputs!$K$4:$AJ$4,0)))))</f>
        <v>97801</v>
      </c>
      <c r="AA24" s="6">
        <f>IF(ISNA(MATCH(AA$2,Inputs!$K$4:$AJ$4,0)),NA(),IF(SUMPRODUCT((Inputs!$A$5:$A$110=$B24)*ISNUMBER(INDEX(Inputs!$K$5:$AJ$110,0,MATCH(AA$2,Inputs!$K$4:$AJ$4,0))))+SUMPRODUCT((Inputs!$C$5:$C$110=$B24)*ISNUMBER(INDEX(Inputs!$K$5:$AJ$110,0,MATCH(AA$2,Inputs!$K$4:$AJ$4,0))))+SUMPRODUCT((Inputs!$E$5:$E$110=$B24)*ISNUMBER(INDEX(Inputs!$K$5:$AJ$110,0,MATCH(AA$2,Inputs!$K$4:$AJ$4,0))))=0,NA(),SUMPRODUCT((Inputs!$A$5:$A$110=$B24)*Inputs!$B$5:$B$110*(((Inputs!$G$5:$G$110="moeda")+(Inputs!$G$5:$G$110="acoes"))*Inputs!$B$1+((Inputs!$G$5:$G$110&lt;&gt;"moeda")*(Inputs!$G$5:$G$110&lt;&gt;"acoes")))*INDEX(Inputs!$K$5:$AJ$110,0,MATCH(AA$2,Inputs!$K$4:$AJ$4,0)))+SUMPRODUCT((Inputs!$C$5:$C$110=$B24)*Inputs!$D$5:$D$110*(((Inputs!$G$5:$G$110="moeda")+(Inputs!$G$5:$G$110="acoes"))*Inputs!$B$1+((Inputs!$G$5:$G$110&lt;&gt;"moeda")*(Inputs!$G$5:$G$110&lt;&gt;"acoes")))*INDEX(Inputs!$K$5:$AJ$110,0,MATCH(AA$2,Inputs!$K$4:$AJ$4,0)))+SUMPRODUCT((Inputs!$E$5:$E$110=$B24)*Inputs!$F$5:$F$110*(((Inputs!$G$5:$G$110="moeda")+(Inputs!$G$5:$G$110="acoes"))*Inputs!$B$1+((Inputs!$G$5:$G$110&lt;&gt;"moeda")*(Inputs!$G$5:$G$110&lt;&gt;"acoes")))*INDEX(Inputs!$K$5:$AJ$110,0,MATCH(AA$2,Inputs!$K$4:$AJ$4,0)))))</f>
        <v>97801</v>
      </c>
      <c r="AB24" s="3">
        <f>AA24</f>
        <v>97801</v>
      </c>
      <c r="AC24" s="6">
        <f>IF(ISNA(MATCH(AC$2,Inputs!$K$4:$AJ$4,0)),NA(),IF(SUMPRODUCT((Inputs!$A$5:$A$110=$B24)*ISNUMBER(INDEX(Inputs!$K$5:$AJ$110,0,MATCH(AC$2,Inputs!$K$4:$AJ$4,0))))+SUMPRODUCT((Inputs!$C$5:$C$110=$B24)*ISNUMBER(INDEX(Inputs!$K$5:$AJ$110,0,MATCH(AC$2,Inputs!$K$4:$AJ$4,0))))+SUMPRODUCT((Inputs!$E$5:$E$110=$B24)*ISNUMBER(INDEX(Inputs!$K$5:$AJ$110,0,MATCH(AC$2,Inputs!$K$4:$AJ$4,0))))=0,NA(),SUMPRODUCT((Inputs!$A$5:$A$110=$B24)*Inputs!$B$5:$B$110*(((Inputs!$G$5:$G$110="moeda")+(Inputs!$G$5:$G$110="acoes"))*Inputs!$B$1+((Inputs!$G$5:$G$110&lt;&gt;"moeda")*(Inputs!$G$5:$G$110&lt;&gt;"acoes")))*INDEX(Inputs!$K$5:$AJ$110,0,MATCH(AC$2,Inputs!$K$4:$AJ$4,0)))+SUMPRODUCT((Inputs!$C$5:$C$110=$B24)*Inputs!$D$5:$D$110*(((Inputs!$G$5:$G$110="moeda")+(Inputs!$G$5:$G$110="acoes"))*Inputs!$B$1+((Inputs!$G$5:$G$110&lt;&gt;"moeda")*(Inputs!$G$5:$G$110&lt;&gt;"acoes")))*INDEX(Inputs!$K$5:$AJ$110,0,MATCH(AC$2,Inputs!$K$4:$AJ$4,0)))+SUMPRODUCT((Inputs!$E$5:$E$110=$B24)*Inputs!$F$5:$F$110*(((Inputs!$G$5:$G$110="moeda")+(Inputs!$G$5:$G$110="acoes"))*Inputs!$B$1+((Inputs!$G$5:$G$110&lt;&gt;"moeda")*(Inputs!$G$5:$G$110&lt;&gt;"acoes")))*INDEX(Inputs!$K$5:$AJ$110,0,MATCH(AC$2,Inputs!$K$4:$AJ$4,0)))))</f>
        <v>97801</v>
      </c>
      <c r="AD24" s="6">
        <f>IF(ISNA(MATCH(AD$2,Inputs!$K$4:$AJ$4,0)),NA(),IF(SUMPRODUCT((Inputs!$A$5:$A$110=$B24)*ISNUMBER(INDEX(Inputs!$K$5:$AJ$110,0,MATCH(AD$2,Inputs!$K$4:$AJ$4,0))))+SUMPRODUCT((Inputs!$C$5:$C$110=$B24)*ISNUMBER(INDEX(Inputs!$K$5:$AJ$110,0,MATCH(AD$2,Inputs!$K$4:$AJ$4,0))))+SUMPRODUCT((Inputs!$E$5:$E$110=$B24)*ISNUMBER(INDEX(Inputs!$K$5:$AJ$110,0,MATCH(AD$2,Inputs!$K$4:$AJ$4,0))))=0,NA(),SUMPRODUCT((Inputs!$A$5:$A$110=$B24)*Inputs!$B$5:$B$110*(((Inputs!$G$5:$G$110="moeda")+(Inputs!$G$5:$G$110="acoes"))*Inputs!$B$1+((Inputs!$G$5:$G$110&lt;&gt;"moeda")*(Inputs!$G$5:$G$110&lt;&gt;"acoes")))*INDEX(Inputs!$K$5:$AJ$110,0,MATCH(AD$2,Inputs!$K$4:$AJ$4,0)))+SUMPRODUCT((Inputs!$C$5:$C$110=$B24)*Inputs!$D$5:$D$110*(((Inputs!$G$5:$G$110="moeda")+(Inputs!$G$5:$G$110="acoes"))*Inputs!$B$1+((Inputs!$G$5:$G$110&lt;&gt;"moeda")*(Inputs!$G$5:$G$110&lt;&gt;"acoes")))*INDEX(Inputs!$K$5:$AJ$110,0,MATCH(AD$2,Inputs!$K$4:$AJ$4,0)))+SUMPRODUCT((Inputs!$E$5:$E$110=$B24)*Inputs!$F$5:$F$110*(((Inputs!$G$5:$G$110="moeda")+(Inputs!$G$5:$G$110="acoes"))*Inputs!$B$1+((Inputs!$G$5:$G$110&lt;&gt;"moeda")*(Inputs!$G$5:$G$110&lt;&gt;"acoes")))*INDEX(Inputs!$K$5:$AJ$110,0,MATCH(AD$2,Inputs!$K$4:$AJ$4,0)))))</f>
        <v>97801</v>
      </c>
      <c r="AE24" s="6" t="e">
        <f>IF(ISNA(MATCH(AE$2,Inputs!$K$4:$AJ$4,0)),NA(),IF(SUMPRODUCT((Inputs!$A$5:$A$110=$B24)*ISNUMBER(INDEX(Inputs!$K$5:$AJ$110,0,MATCH(AE$2,Inputs!$K$4:$AJ$4,0))))+SUMPRODUCT((Inputs!$C$5:$C$110=$B24)*ISNUMBER(INDEX(Inputs!$K$5:$AJ$110,0,MATCH(AE$2,Inputs!$K$4:$AJ$4,0))))+SUMPRODUCT((Inputs!$E$5:$E$110=$B24)*ISNUMBER(INDEX(Inputs!$K$5:$AJ$110,0,MATCH(AE$2,Inputs!$K$4:$AJ$4,0))))=0,NA(),SUMPRODUCT((Inputs!$A$5:$A$110=$B24)*Inputs!$B$5:$B$110*(((Inputs!$G$5:$G$110="moeda")+(Inputs!$G$5:$G$110="acoes"))*Inputs!$B$1+((Inputs!$G$5:$G$110&lt;&gt;"moeda")*(Inputs!$G$5:$G$110&lt;&gt;"acoes")))*INDEX(Inputs!$K$5:$AJ$110,0,MATCH(AE$2,Inputs!$K$4:$AJ$4,0)))+SUMPRODUCT((Inputs!$C$5:$C$110=$B24)*Inputs!$D$5:$D$110*(((Inputs!$G$5:$G$110="moeda")+(Inputs!$G$5:$G$110="acoes"))*Inputs!$B$1+((Inputs!$G$5:$G$110&lt;&gt;"moeda")*(Inputs!$G$5:$G$110&lt;&gt;"acoes")))*INDEX(Inputs!$K$5:$AJ$110,0,MATCH(AE$2,Inputs!$K$4:$AJ$4,0)))+SUMPRODUCT((Inputs!$E$5:$E$110=$B24)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4" s="6" t="e">
        <f>IF(ISNA(MATCH(AF$2,Inputs!$K$4:$AJ$4,0)),NA(),IF(SUMPRODUCT((Inputs!$A$5:$A$110=$B24)*ISNUMBER(INDEX(Inputs!$K$5:$AJ$110,0,MATCH(AF$2,Inputs!$K$4:$AJ$4,0))))+SUMPRODUCT((Inputs!$C$5:$C$110=$B24)*ISNUMBER(INDEX(Inputs!$K$5:$AJ$110,0,MATCH(AF$2,Inputs!$K$4:$AJ$4,0))))+SUMPRODUCT((Inputs!$E$5:$E$110=$B24)*ISNUMBER(INDEX(Inputs!$K$5:$AJ$110,0,MATCH(AF$2,Inputs!$K$4:$AJ$4,0))))=0,NA(),SUMPRODUCT((Inputs!$A$5:$A$110=$B24)*Inputs!$B$5:$B$110*(((Inputs!$G$5:$G$110="moeda")+(Inputs!$G$5:$G$110="acoes"))*Inputs!$B$1+((Inputs!$G$5:$G$110&lt;&gt;"moeda")*(Inputs!$G$5:$G$110&lt;&gt;"acoes")))*INDEX(Inputs!$K$5:$AJ$110,0,MATCH(AF$2,Inputs!$K$4:$AJ$4,0)))+SUMPRODUCT((Inputs!$C$5:$C$110=$B24)*Inputs!$D$5:$D$110*(((Inputs!$G$5:$G$110="moeda")+(Inputs!$G$5:$G$110="acoes"))*Inputs!$B$1+((Inputs!$G$5:$G$110&lt;&gt;"moeda")*(Inputs!$G$5:$G$110&lt;&gt;"acoes")))*INDEX(Inputs!$K$5:$AJ$110,0,MATCH(AF$2,Inputs!$K$4:$AJ$4,0)))+SUMPRODUCT((Inputs!$E$5:$E$110=$B24)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4" s="3" t="e">
        <f>AF24</f>
        <v>#N/A</v>
      </c>
      <c r="AH24" s="6">
        <f>IF(ISNA(MATCH(AH$2,Inputs!$K$4:$AJ$4,0)),NA(),IF(SUMPRODUCT((Inputs!$A$5:$A$110=$B24)*ISNUMBER(INDEX(Inputs!$K$5:$AJ$110,0,MATCH(AH$2,Inputs!$K$4:$AJ$4,0))))+SUMPRODUCT((Inputs!$C$5:$C$110=$B24)*ISNUMBER(INDEX(Inputs!$K$5:$AJ$110,0,MATCH(AH$2,Inputs!$K$4:$AJ$4,0))))+SUMPRODUCT((Inputs!$E$5:$E$110=$B24)*ISNUMBER(INDEX(Inputs!$K$5:$AJ$110,0,MATCH(AH$2,Inputs!$K$4:$AJ$4,0))))=0,NA(),SUMPRODUCT((Inputs!$A$5:$A$110=$B24)*Inputs!$B$5:$B$110*(((Inputs!$G$5:$G$110="moeda")+(Inputs!$G$5:$G$110="acoes"))*Inputs!$B$1+((Inputs!$G$5:$G$110&lt;&gt;"moeda")*(Inputs!$G$5:$G$110&lt;&gt;"acoes")))*INDEX(Inputs!$K$5:$AJ$110,0,MATCH(AH$2,Inputs!$K$4:$AJ$4,0)))+SUMPRODUCT((Inputs!$C$5:$C$110=$B24)*Inputs!$D$5:$D$110*(((Inputs!$G$5:$G$110="moeda")+(Inputs!$G$5:$G$110="acoes"))*Inputs!$B$1+((Inputs!$G$5:$G$110&lt;&gt;"moeda")*(Inputs!$G$5:$G$110&lt;&gt;"acoes")))*INDEX(Inputs!$K$5:$AJ$110,0,MATCH(AH$2,Inputs!$K$4:$AJ$4,0)))+SUMPRODUCT((Inputs!$E$5:$E$110=$B24)*Inputs!$F$5:$F$110*(((Inputs!$G$5:$G$110="moeda")+(Inputs!$G$5:$G$110="acoes"))*Inputs!$B$1+((Inputs!$G$5:$G$110&lt;&gt;"moeda")*(Inputs!$G$5:$G$110&lt;&gt;"acoes")))*INDEX(Inputs!$K$5:$AJ$110,0,MATCH(AH$2,Inputs!$K$4:$AJ$4,0)))))</f>
        <v>43457</v>
      </c>
      <c r="AI24" s="6">
        <f>IF(ISNA(MATCH(AI$2,Inputs!$K$4:$AJ$4,0)),NA(),IF(SUMPRODUCT((Inputs!$A$5:$A$110=$B24)*ISNUMBER(INDEX(Inputs!$K$5:$AJ$110,0,MATCH(AI$2,Inputs!$K$4:$AJ$4,0))))+SUMPRODUCT((Inputs!$C$5:$C$110=$B24)*ISNUMBER(INDEX(Inputs!$K$5:$AJ$110,0,MATCH(AI$2,Inputs!$K$4:$AJ$4,0))))+SUMPRODUCT((Inputs!$E$5:$E$110=$B24)*ISNUMBER(INDEX(Inputs!$K$5:$AJ$110,0,MATCH(AI$2,Inputs!$K$4:$AJ$4,0))))=0,NA(),SUMPRODUCT((Inputs!$A$5:$A$110=$B24)*Inputs!$B$5:$B$110*(((Inputs!$G$5:$G$110="moeda")+(Inputs!$G$5:$G$110="acoes"))*Inputs!$B$1+((Inputs!$G$5:$G$110&lt;&gt;"moeda")*(Inputs!$G$5:$G$110&lt;&gt;"acoes")))*INDEX(Inputs!$K$5:$AJ$110,0,MATCH(AI$2,Inputs!$K$4:$AJ$4,0)))+SUMPRODUCT((Inputs!$C$5:$C$110=$B24)*Inputs!$D$5:$D$110*(((Inputs!$G$5:$G$110="moeda")+(Inputs!$G$5:$G$110="acoes"))*Inputs!$B$1+((Inputs!$G$5:$G$110&lt;&gt;"moeda")*(Inputs!$G$5:$G$110&lt;&gt;"acoes")))*INDEX(Inputs!$K$5:$AJ$110,0,MATCH(AI$2,Inputs!$K$4:$AJ$4,0)))+SUMPRODUCT((Inputs!$E$5:$E$110=$B24)*Inputs!$F$5:$F$110*(((Inputs!$G$5:$G$110="moeda")+(Inputs!$G$5:$G$110="acoes"))*Inputs!$B$1+((Inputs!$G$5:$G$110&lt;&gt;"moeda")*(Inputs!$G$5:$G$110&lt;&gt;"acoes")))*INDEX(Inputs!$K$5:$AJ$110,0,MATCH(AI$2,Inputs!$K$4:$AJ$4,0)))))</f>
        <v>43447</v>
      </c>
      <c r="AJ24" s="6">
        <f>IF(ISNA(MATCH(AJ$2,Inputs!$K$4:$AJ$4,0)),NA(),IF(SUMPRODUCT((Inputs!$A$5:$A$110=$B24)*ISNUMBER(INDEX(Inputs!$K$5:$AJ$110,0,MATCH(AJ$2,Inputs!$K$4:$AJ$4,0))))+SUMPRODUCT((Inputs!$C$5:$C$110=$B24)*ISNUMBER(INDEX(Inputs!$K$5:$AJ$110,0,MATCH(AJ$2,Inputs!$K$4:$AJ$4,0))))+SUMPRODUCT((Inputs!$E$5:$E$110=$B24)*ISNUMBER(INDEX(Inputs!$K$5:$AJ$110,0,MATCH(AJ$2,Inputs!$K$4:$AJ$4,0))))=0,NA(),SUMPRODUCT((Inputs!$A$5:$A$110=$B24)*Inputs!$B$5:$B$110*(((Inputs!$G$5:$G$110="moeda")+(Inputs!$G$5:$G$110="acoes"))*Inputs!$B$1+((Inputs!$G$5:$G$110&lt;&gt;"moeda")*(Inputs!$G$5:$G$110&lt;&gt;"acoes")))*INDEX(Inputs!$K$5:$AJ$110,0,MATCH(AJ$2,Inputs!$K$4:$AJ$4,0)))+SUMPRODUCT((Inputs!$C$5:$C$110=$B24)*Inputs!$D$5:$D$110*(((Inputs!$G$5:$G$110="moeda")+(Inputs!$G$5:$G$110="acoes"))*Inputs!$B$1+((Inputs!$G$5:$G$110&lt;&gt;"moeda")*(Inputs!$G$5:$G$110&lt;&gt;"acoes")))*INDEX(Inputs!$K$5:$AJ$110,0,MATCH(AJ$2,Inputs!$K$4:$AJ$4,0)))+SUMPRODUCT((Inputs!$E$5:$E$110=$B24)*Inputs!$F$5:$F$110*(((Inputs!$G$5:$G$110="moeda")+(Inputs!$G$5:$G$110="acoes"))*Inputs!$B$1+((Inputs!$G$5:$G$110&lt;&gt;"moeda")*(Inputs!$G$5:$G$110&lt;&gt;"acoes")))*INDEX(Inputs!$K$5:$AJ$110,0,MATCH(AJ$2,Inputs!$K$4:$AJ$4,0)))))</f>
        <v>43447</v>
      </c>
      <c r="AK24" s="6">
        <f>IF(ISNA(MATCH(AK$2,Inputs!$K$4:$AJ$4,0)),NA(),IF(SUMPRODUCT((Inputs!$A$5:$A$110=$B24)*ISNUMBER(INDEX(Inputs!$K$5:$AJ$110,0,MATCH(AK$2,Inputs!$K$4:$AJ$4,0))))+SUMPRODUCT((Inputs!$C$5:$C$110=$B24)*ISNUMBER(INDEX(Inputs!$K$5:$AJ$110,0,MATCH(AK$2,Inputs!$K$4:$AJ$4,0))))+SUMPRODUCT((Inputs!$E$5:$E$110=$B24)*ISNUMBER(INDEX(Inputs!$K$5:$AJ$110,0,MATCH(AK$2,Inputs!$K$4:$AJ$4,0))))=0,NA(),SUMPRODUCT((Inputs!$A$5:$A$110=$B24)*Inputs!$B$5:$B$110*(((Inputs!$G$5:$G$110="moeda")+(Inputs!$G$5:$G$110="acoes"))*Inputs!$B$1+((Inputs!$G$5:$G$110&lt;&gt;"moeda")*(Inputs!$G$5:$G$110&lt;&gt;"acoes")))*INDEX(Inputs!$K$5:$AJ$110,0,MATCH(AK$2,Inputs!$K$4:$AJ$4,0)))+SUMPRODUCT((Inputs!$C$5:$C$110=$B24)*Inputs!$D$5:$D$110*(((Inputs!$G$5:$G$110="moeda")+(Inputs!$G$5:$G$110="acoes"))*Inputs!$B$1+((Inputs!$G$5:$G$110&lt;&gt;"moeda")*(Inputs!$G$5:$G$110&lt;&gt;"acoes")))*INDEX(Inputs!$K$5:$AJ$110,0,MATCH(AK$2,Inputs!$K$4:$AJ$4,0)))+SUMPRODUCT((Inputs!$E$5:$E$110=$B24)*Inputs!$F$5:$F$110*(((Inputs!$G$5:$G$110="moeda")+(Inputs!$G$5:$G$110="acoes"))*Inputs!$B$1+((Inputs!$G$5:$G$110&lt;&gt;"moeda")*(Inputs!$G$5:$G$110&lt;&gt;"acoes")))*INDEX(Inputs!$K$5:$AJ$110,0,MATCH(AK$2,Inputs!$K$4:$AJ$4,0)))))</f>
        <v>43457</v>
      </c>
      <c r="AL24" s="3">
        <f>AK24</f>
        <v>43457</v>
      </c>
    </row>
    <row r="25">
      <c r="B25" s="46" t="n">
        <v>21</v>
      </c>
      <c r="C25" s="26" t="inlineStr">
        <is>
          <t>Intangibles</t>
        </is>
      </c>
      <c r="D25" s="6">
        <f>IF(ISNA(MATCH(D$2,Inputs!$K$4:$AJ$4,0)),NA(),IF(SUMPRODUCT((Inputs!$A$5:$A$110=$B25)*ISNUMBER(INDEX(Inputs!$K$5:$AJ$110,0,MATCH(D$2,Inputs!$K$4:$AJ$4,0))))+SUMPRODUCT((Inputs!$C$5:$C$110=$B25)*ISNUMBER(INDEX(Inputs!$K$5:$AJ$110,0,MATCH(D$2,Inputs!$K$4:$AJ$4,0))))+SUMPRODUCT((Inputs!$E$5:$E$110=$B25)*ISNUMBER(INDEX(Inputs!$K$5:$AJ$110,0,MATCH(D$2,Inputs!$K$4:$AJ$4,0))))=0,NA(),SUMPRODUCT((Inputs!$A$5:$A$110=$B25)*Inputs!$B$5:$B$110*(((Inputs!$G$5:$G$110="moeda")+(Inputs!$G$5:$G$110="acoes"))*Inputs!$B$1+((Inputs!$G$5:$G$110&lt;&gt;"moeda")*(Inputs!$G$5:$G$110&lt;&gt;"acoes")))*INDEX(Inputs!$K$5:$AJ$110,0,MATCH(D$2,Inputs!$K$4:$AJ$4,0)))+SUMPRODUCT((Inputs!$C$5:$C$110=$B25)*Inputs!$D$5:$D$110*(((Inputs!$G$5:$G$110="moeda")+(Inputs!$G$5:$G$110="acoes"))*Inputs!$B$1+((Inputs!$G$5:$G$110&lt;&gt;"moeda")*(Inputs!$G$5:$G$110&lt;&gt;"acoes")))*INDEX(Inputs!$K$5:$AJ$110,0,MATCH(D$2,Inputs!$K$4:$AJ$4,0)))+SUMPRODUCT((Inputs!$E$5:$E$110=$B25)*Inputs!$F$5:$F$110*(((Inputs!$G$5:$G$110="moeda")+(Inputs!$G$5:$G$110="acoes"))*Inputs!$B$1+((Inputs!$G$5:$G$110&lt;&gt;"moeda")*(Inputs!$G$5:$G$110&lt;&gt;"acoes")))*INDEX(Inputs!$K$5:$AJ$110,0,MATCH(D$2,Inputs!$K$4:$AJ$4,0)))))</f>
        <v>14068</v>
      </c>
      <c r="E25" s="6">
        <f>IF(ISNA(MATCH(E$2,Inputs!$K$4:$AJ$4,0)),NA(),IF(SUMPRODUCT((Inputs!$A$5:$A$110=$B25)*ISNUMBER(INDEX(Inputs!$K$5:$AJ$110,0,MATCH(E$2,Inputs!$K$4:$AJ$4,0))))+SUMPRODUCT((Inputs!$C$5:$C$110=$B25)*ISNUMBER(INDEX(Inputs!$K$5:$AJ$110,0,MATCH(E$2,Inputs!$K$4:$AJ$4,0))))+SUMPRODUCT((Inputs!$E$5:$E$110=$B25)*ISNUMBER(INDEX(Inputs!$K$5:$AJ$110,0,MATCH(E$2,Inputs!$K$4:$AJ$4,0))))=0,NA(),SUMPRODUCT((Inputs!$A$5:$A$110=$B25)*Inputs!$B$5:$B$110*(((Inputs!$G$5:$G$110="moeda")+(Inputs!$G$5:$G$110="acoes"))*Inputs!$B$1+((Inputs!$G$5:$G$110&lt;&gt;"moeda")*(Inputs!$G$5:$G$110&lt;&gt;"acoes")))*INDEX(Inputs!$K$5:$AJ$110,0,MATCH(E$2,Inputs!$K$4:$AJ$4,0)))+SUMPRODUCT((Inputs!$C$5:$C$110=$B25)*Inputs!$D$5:$D$110*(((Inputs!$G$5:$G$110="moeda")+(Inputs!$G$5:$G$110="acoes"))*Inputs!$B$1+((Inputs!$G$5:$G$110&lt;&gt;"moeda")*(Inputs!$G$5:$G$110&lt;&gt;"acoes")))*INDEX(Inputs!$K$5:$AJ$110,0,MATCH(E$2,Inputs!$K$4:$AJ$4,0)))+SUMPRODUCT((Inputs!$E$5:$E$110=$B25)*Inputs!$F$5:$F$110*(((Inputs!$G$5:$G$110="moeda")+(Inputs!$G$5:$G$110="acoes"))*Inputs!$B$1+((Inputs!$G$5:$G$110&lt;&gt;"moeda")*(Inputs!$G$5:$G$110&lt;&gt;"acoes")))*INDEX(Inputs!$K$5:$AJ$110,0,MATCH(E$2,Inputs!$K$4:$AJ$4,0)))))</f>
        <v>12719</v>
      </c>
      <c r="F25" s="6">
        <f>IF(ISNA(MATCH(F$2,Inputs!$K$4:$AJ$4,0)),NA(),IF(SUMPRODUCT((Inputs!$A$5:$A$110=$B25)*ISNUMBER(INDEX(Inputs!$K$5:$AJ$110,0,MATCH(F$2,Inputs!$K$4:$AJ$4,0))))+SUMPRODUCT((Inputs!$C$5:$C$110=$B25)*ISNUMBER(INDEX(Inputs!$K$5:$AJ$110,0,MATCH(F$2,Inputs!$K$4:$AJ$4,0))))+SUMPRODUCT((Inputs!$E$5:$E$110=$B25)*ISNUMBER(INDEX(Inputs!$K$5:$AJ$110,0,MATCH(F$2,Inputs!$K$4:$AJ$4,0))))=0,NA(),SUMPRODUCT((Inputs!$A$5:$A$110=$B25)*Inputs!$B$5:$B$110*(((Inputs!$G$5:$G$110="moeda")+(Inputs!$G$5:$G$110="acoes"))*Inputs!$B$1+((Inputs!$G$5:$G$110&lt;&gt;"moeda")*(Inputs!$G$5:$G$110&lt;&gt;"acoes")))*INDEX(Inputs!$K$5:$AJ$110,0,MATCH(F$2,Inputs!$K$4:$AJ$4,0)))+SUMPRODUCT((Inputs!$C$5:$C$110=$B25)*Inputs!$D$5:$D$110*(((Inputs!$G$5:$G$110="moeda")+(Inputs!$G$5:$G$110="acoes"))*Inputs!$B$1+((Inputs!$G$5:$G$110&lt;&gt;"moeda")*(Inputs!$G$5:$G$110&lt;&gt;"acoes")))*INDEX(Inputs!$K$5:$AJ$110,0,MATCH(F$2,Inputs!$K$4:$AJ$4,0)))+SUMPRODUCT((Inputs!$E$5:$E$110=$B25)*Inputs!$F$5:$F$110*(((Inputs!$G$5:$G$110="moeda")+(Inputs!$G$5:$G$110="acoes"))*Inputs!$B$1+((Inputs!$G$5:$G$110&lt;&gt;"moeda")*(Inputs!$G$5:$G$110&lt;&gt;"acoes")))*INDEX(Inputs!$K$5:$AJ$110,0,MATCH(F$2,Inputs!$K$4:$AJ$4,0)))))</f>
        <v>11374</v>
      </c>
      <c r="G25" s="6">
        <f>IF(ISNA(MATCH(G$2,Inputs!$K$4:$AJ$4,0)),NA(),IF(SUMPRODUCT((Inputs!$A$5:$A$110=$B25)*ISNUMBER(INDEX(Inputs!$K$5:$AJ$110,0,MATCH(G$2,Inputs!$K$4:$AJ$4,0))))+SUMPRODUCT((Inputs!$C$5:$C$110=$B25)*ISNUMBER(INDEX(Inputs!$K$5:$AJ$110,0,MATCH(G$2,Inputs!$K$4:$AJ$4,0))))+SUMPRODUCT((Inputs!$E$5:$E$110=$B25)*ISNUMBER(INDEX(Inputs!$K$5:$AJ$110,0,MATCH(G$2,Inputs!$K$4:$AJ$4,0))))=0,NA(),SUMPRODUCT((Inputs!$A$5:$A$110=$B25)*Inputs!$B$5:$B$110*(((Inputs!$G$5:$G$110="moeda")+(Inputs!$G$5:$G$110="acoes"))*Inputs!$B$1+((Inputs!$G$5:$G$110&lt;&gt;"moeda")*(Inputs!$G$5:$G$110&lt;&gt;"acoes")))*INDEX(Inputs!$K$5:$AJ$110,0,MATCH(G$2,Inputs!$K$4:$AJ$4,0)))+SUMPRODUCT((Inputs!$C$5:$C$110=$B25)*Inputs!$D$5:$D$110*(((Inputs!$G$5:$G$110="moeda")+(Inputs!$G$5:$G$110="acoes"))*Inputs!$B$1+((Inputs!$G$5:$G$110&lt;&gt;"moeda")*(Inputs!$G$5:$G$110&lt;&gt;"acoes")))*INDEX(Inputs!$K$5:$AJ$110,0,MATCH(G$2,Inputs!$K$4:$AJ$4,0)))+SUMPRODUCT((Inputs!$E$5:$E$110=$B25)*Inputs!$F$5:$F$110*(((Inputs!$G$5:$G$110="moeda")+(Inputs!$G$5:$G$110="acoes"))*Inputs!$B$1+((Inputs!$G$5:$G$110&lt;&gt;"moeda")*(Inputs!$G$5:$G$110&lt;&gt;"acoes")))*INDEX(Inputs!$K$5:$AJ$110,0,MATCH(G$2,Inputs!$K$4:$AJ$4,0)))))</f>
        <v>10244</v>
      </c>
      <c r="H25" s="3">
        <f>G25</f>
        <v>10244</v>
      </c>
      <c r="I25" s="6">
        <f>IF(ISNA(MATCH(I$2,Inputs!$K$4:$AJ$4,0)),NA(),IF(SUMPRODUCT((Inputs!$A$5:$A$110=$B25)*ISNUMBER(INDEX(Inputs!$K$5:$AJ$110,0,MATCH(I$2,Inputs!$K$4:$AJ$4,0))))+SUMPRODUCT((Inputs!$C$5:$C$110=$B25)*ISNUMBER(INDEX(Inputs!$K$5:$AJ$110,0,MATCH(I$2,Inputs!$K$4:$AJ$4,0))))+SUMPRODUCT((Inputs!$E$5:$E$110=$B25)*ISNUMBER(INDEX(Inputs!$K$5:$AJ$110,0,MATCH(I$2,Inputs!$K$4:$AJ$4,0))))=0,NA(),SUMPRODUCT((Inputs!$A$5:$A$110=$B25)*Inputs!$B$5:$B$110*(((Inputs!$G$5:$G$110="moeda")+(Inputs!$G$5:$G$110="acoes"))*Inputs!$B$1+((Inputs!$G$5:$G$110&lt;&gt;"moeda")*(Inputs!$G$5:$G$110&lt;&gt;"acoes")))*INDEX(Inputs!$K$5:$AJ$110,0,MATCH(I$2,Inputs!$K$4:$AJ$4,0)))+SUMPRODUCT((Inputs!$C$5:$C$110=$B25)*Inputs!$D$5:$D$110*(((Inputs!$G$5:$G$110="moeda")+(Inputs!$G$5:$G$110="acoes"))*Inputs!$B$1+((Inputs!$G$5:$G$110&lt;&gt;"moeda")*(Inputs!$G$5:$G$110&lt;&gt;"acoes")))*INDEX(Inputs!$K$5:$AJ$110,0,MATCH(I$2,Inputs!$K$4:$AJ$4,0)))+SUMPRODUCT((Inputs!$E$5:$E$110=$B25)*Inputs!$F$5:$F$110*(((Inputs!$G$5:$G$110="moeda")+(Inputs!$G$5:$G$110="acoes"))*Inputs!$B$1+((Inputs!$G$5:$G$110&lt;&gt;"moeda")*(Inputs!$G$5:$G$110&lt;&gt;"acoes")))*INDEX(Inputs!$K$5:$AJ$110,0,MATCH(I$2,Inputs!$K$4:$AJ$4,0)))))</f>
        <v>9241</v>
      </c>
      <c r="J25" s="6">
        <f>IF(ISNA(MATCH(J$2,Inputs!$K$4:$AJ$4,0)),NA(),IF(SUMPRODUCT((Inputs!$A$5:$A$110=$B25)*ISNUMBER(INDEX(Inputs!$K$5:$AJ$110,0,MATCH(J$2,Inputs!$K$4:$AJ$4,0))))+SUMPRODUCT((Inputs!$C$5:$C$110=$B25)*ISNUMBER(INDEX(Inputs!$K$5:$AJ$110,0,MATCH(J$2,Inputs!$K$4:$AJ$4,0))))+SUMPRODUCT((Inputs!$E$5:$E$110=$B25)*ISNUMBER(INDEX(Inputs!$K$5:$AJ$110,0,MATCH(J$2,Inputs!$K$4:$AJ$4,0))))=0,NA(),SUMPRODUCT((Inputs!$A$5:$A$110=$B25)*Inputs!$B$5:$B$110*(((Inputs!$G$5:$G$110="moeda")+(Inputs!$G$5:$G$110="acoes"))*Inputs!$B$1+((Inputs!$G$5:$G$110&lt;&gt;"moeda")*(Inputs!$G$5:$G$110&lt;&gt;"acoes")))*INDEX(Inputs!$K$5:$AJ$110,0,MATCH(J$2,Inputs!$K$4:$AJ$4,0)))+SUMPRODUCT((Inputs!$C$5:$C$110=$B25)*Inputs!$D$5:$D$110*(((Inputs!$G$5:$G$110="moeda")+(Inputs!$G$5:$G$110="acoes"))*Inputs!$B$1+((Inputs!$G$5:$G$110&lt;&gt;"moeda")*(Inputs!$G$5:$G$110&lt;&gt;"acoes")))*INDEX(Inputs!$K$5:$AJ$110,0,MATCH(J$2,Inputs!$K$4:$AJ$4,0)))+SUMPRODUCT((Inputs!$E$5:$E$110=$B25)*Inputs!$F$5:$F$110*(((Inputs!$G$5:$G$110="moeda")+(Inputs!$G$5:$G$110="acoes"))*Inputs!$B$1+((Inputs!$G$5:$G$110&lt;&gt;"moeda")*(Inputs!$G$5:$G$110&lt;&gt;"acoes")))*INDEX(Inputs!$K$5:$AJ$110,0,MATCH(J$2,Inputs!$K$4:$AJ$4,0)))))</f>
        <v>8174</v>
      </c>
      <c r="K25" s="6">
        <f>IF(ISNA(MATCH(K$2,Inputs!$K$4:$AJ$4,0)),NA(),IF(SUMPRODUCT((Inputs!$A$5:$A$110=$B25)*ISNUMBER(INDEX(Inputs!$K$5:$AJ$110,0,MATCH(K$2,Inputs!$K$4:$AJ$4,0))))+SUMPRODUCT((Inputs!$C$5:$C$110=$B25)*ISNUMBER(INDEX(Inputs!$K$5:$AJ$110,0,MATCH(K$2,Inputs!$K$4:$AJ$4,0))))+SUMPRODUCT((Inputs!$E$5:$E$110=$B25)*ISNUMBER(INDEX(Inputs!$K$5:$AJ$110,0,MATCH(K$2,Inputs!$K$4:$AJ$4,0))))=0,NA(),SUMPRODUCT((Inputs!$A$5:$A$110=$B25)*Inputs!$B$5:$B$110*(((Inputs!$G$5:$G$110="moeda")+(Inputs!$G$5:$G$110="acoes"))*Inputs!$B$1+((Inputs!$G$5:$G$110&lt;&gt;"moeda")*(Inputs!$G$5:$G$110&lt;&gt;"acoes")))*INDEX(Inputs!$K$5:$AJ$110,0,MATCH(K$2,Inputs!$K$4:$AJ$4,0)))+SUMPRODUCT((Inputs!$C$5:$C$110=$B25)*Inputs!$D$5:$D$110*(((Inputs!$G$5:$G$110="moeda")+(Inputs!$G$5:$G$110="acoes"))*Inputs!$B$1+((Inputs!$G$5:$G$110&lt;&gt;"moeda")*(Inputs!$G$5:$G$110&lt;&gt;"acoes")))*INDEX(Inputs!$K$5:$AJ$110,0,MATCH(K$2,Inputs!$K$4:$AJ$4,0)))+SUMPRODUCT((Inputs!$E$5:$E$110=$B25)*Inputs!$F$5:$F$110*(((Inputs!$G$5:$G$110="moeda")+(Inputs!$G$5:$G$110="acoes"))*Inputs!$B$1+((Inputs!$G$5:$G$110&lt;&gt;"moeda")*(Inputs!$G$5:$G$110&lt;&gt;"acoes")))*INDEX(Inputs!$K$5:$AJ$110,0,MATCH(K$2,Inputs!$K$4:$AJ$4,0)))))</f>
        <v>7111</v>
      </c>
      <c r="L25" s="6">
        <f>IF(ISNA(MATCH(L$2,Inputs!$K$4:$AJ$4,0)),NA(),IF(SUMPRODUCT((Inputs!$A$5:$A$110=$B25)*ISNUMBER(INDEX(Inputs!$K$5:$AJ$110,0,MATCH(L$2,Inputs!$K$4:$AJ$4,0))))+SUMPRODUCT((Inputs!$C$5:$C$110=$B25)*ISNUMBER(INDEX(Inputs!$K$5:$AJ$110,0,MATCH(L$2,Inputs!$K$4:$AJ$4,0))))+SUMPRODUCT((Inputs!$E$5:$E$110=$B25)*ISNUMBER(INDEX(Inputs!$K$5:$AJ$110,0,MATCH(L$2,Inputs!$K$4:$AJ$4,0))))=0,NA(),SUMPRODUCT((Inputs!$A$5:$A$110=$B25)*Inputs!$B$5:$B$110*(((Inputs!$G$5:$G$110="moeda")+(Inputs!$G$5:$G$110="acoes"))*Inputs!$B$1+((Inputs!$G$5:$G$110&lt;&gt;"moeda")*(Inputs!$G$5:$G$110&lt;&gt;"acoes")))*INDEX(Inputs!$K$5:$AJ$110,0,MATCH(L$2,Inputs!$K$4:$AJ$4,0)))+SUMPRODUCT((Inputs!$C$5:$C$110=$B25)*Inputs!$D$5:$D$110*(((Inputs!$G$5:$G$110="moeda")+(Inputs!$G$5:$G$110="acoes"))*Inputs!$B$1+((Inputs!$G$5:$G$110&lt;&gt;"moeda")*(Inputs!$G$5:$G$110&lt;&gt;"acoes")))*INDEX(Inputs!$K$5:$AJ$110,0,MATCH(L$2,Inputs!$K$4:$AJ$4,0)))+SUMPRODUCT((Inputs!$E$5:$E$110=$B25)*Inputs!$F$5:$F$110*(((Inputs!$G$5:$G$110="moeda")+(Inputs!$G$5:$G$110="acoes"))*Inputs!$B$1+((Inputs!$G$5:$G$110&lt;&gt;"moeda")*(Inputs!$G$5:$G$110&lt;&gt;"acoes")))*INDEX(Inputs!$K$5:$AJ$110,0,MATCH(L$2,Inputs!$K$4:$AJ$4,0)))))</f>
        <v>6225</v>
      </c>
      <c r="M25" s="3">
        <f>L25</f>
        <v>6225</v>
      </c>
      <c r="N25" s="6">
        <f>IF(ISNA(MATCH(N$2,Inputs!$K$4:$AJ$4,0)),NA(),IF(SUMPRODUCT((Inputs!$A$5:$A$110=$B25)*ISNUMBER(INDEX(Inputs!$K$5:$AJ$110,0,MATCH(N$2,Inputs!$K$4:$AJ$4,0))))+SUMPRODUCT((Inputs!$C$5:$C$110=$B25)*ISNUMBER(INDEX(Inputs!$K$5:$AJ$110,0,MATCH(N$2,Inputs!$K$4:$AJ$4,0))))+SUMPRODUCT((Inputs!$E$5:$E$110=$B25)*ISNUMBER(INDEX(Inputs!$K$5:$AJ$110,0,MATCH(N$2,Inputs!$K$4:$AJ$4,0))))=0,NA(),SUMPRODUCT((Inputs!$A$5:$A$110=$B25)*Inputs!$B$5:$B$110*(((Inputs!$G$5:$G$110="moeda")+(Inputs!$G$5:$G$110="acoes"))*Inputs!$B$1+((Inputs!$G$5:$G$110&lt;&gt;"moeda")*(Inputs!$G$5:$G$110&lt;&gt;"acoes")))*INDEX(Inputs!$K$5:$AJ$110,0,MATCH(N$2,Inputs!$K$4:$AJ$4,0)))+SUMPRODUCT((Inputs!$C$5:$C$110=$B25)*Inputs!$D$5:$D$110*(((Inputs!$G$5:$G$110="moeda")+(Inputs!$G$5:$G$110="acoes"))*Inputs!$B$1+((Inputs!$G$5:$G$110&lt;&gt;"moeda")*(Inputs!$G$5:$G$110&lt;&gt;"acoes")))*INDEX(Inputs!$K$5:$AJ$110,0,MATCH(N$2,Inputs!$K$4:$AJ$4,0)))+SUMPRODUCT((Inputs!$E$5:$E$110=$B25)*Inputs!$F$5:$F$110*(((Inputs!$G$5:$G$110="moeda")+(Inputs!$G$5:$G$110="acoes"))*Inputs!$B$1+((Inputs!$G$5:$G$110&lt;&gt;"moeda")*(Inputs!$G$5:$G$110&lt;&gt;"acoes")))*INDEX(Inputs!$K$5:$AJ$110,0,MATCH(N$2,Inputs!$K$4:$AJ$4,0)))))</f>
        <v>5434</v>
      </c>
      <c r="O25" s="6">
        <f>IF(ISNA(MATCH(O$2,Inputs!$K$4:$AJ$4,0)),NA(),IF(SUMPRODUCT((Inputs!$A$5:$A$110=$B25)*ISNUMBER(INDEX(Inputs!$K$5:$AJ$110,0,MATCH(O$2,Inputs!$K$4:$AJ$4,0))))+SUMPRODUCT((Inputs!$C$5:$C$110=$B25)*ISNUMBER(INDEX(Inputs!$K$5:$AJ$110,0,MATCH(O$2,Inputs!$K$4:$AJ$4,0))))+SUMPRODUCT((Inputs!$E$5:$E$110=$B25)*ISNUMBER(INDEX(Inputs!$K$5:$AJ$110,0,MATCH(O$2,Inputs!$K$4:$AJ$4,0))))=0,NA(),SUMPRODUCT((Inputs!$A$5:$A$110=$B25)*Inputs!$B$5:$B$110*(((Inputs!$G$5:$G$110="moeda")+(Inputs!$G$5:$G$110="acoes"))*Inputs!$B$1+((Inputs!$G$5:$G$110&lt;&gt;"moeda")*(Inputs!$G$5:$G$110&lt;&gt;"acoes")))*INDEX(Inputs!$K$5:$AJ$110,0,MATCH(O$2,Inputs!$K$4:$AJ$4,0)))+SUMPRODUCT((Inputs!$C$5:$C$110=$B25)*Inputs!$D$5:$D$110*(((Inputs!$G$5:$G$110="moeda")+(Inputs!$G$5:$G$110="acoes"))*Inputs!$B$1+((Inputs!$G$5:$G$110&lt;&gt;"moeda")*(Inputs!$G$5:$G$110&lt;&gt;"acoes")))*INDEX(Inputs!$K$5:$AJ$110,0,MATCH(O$2,Inputs!$K$4:$AJ$4,0)))+SUMPRODUCT((Inputs!$E$5:$E$110=$B25)*Inputs!$F$5:$F$110*(((Inputs!$G$5:$G$110="moeda")+(Inputs!$G$5:$G$110="acoes"))*Inputs!$B$1+((Inputs!$G$5:$G$110&lt;&gt;"moeda")*(Inputs!$G$5:$G$110&lt;&gt;"acoes")))*INDEX(Inputs!$K$5:$AJ$110,0,MATCH(O$2,Inputs!$K$4:$AJ$4,0)))))</f>
        <v>4654</v>
      </c>
      <c r="P25" s="6">
        <f>IF(ISNA(MATCH(P$2,Inputs!$K$4:$AJ$4,0)),NA(),IF(SUMPRODUCT((Inputs!$A$5:$A$110=$B25)*ISNUMBER(INDEX(Inputs!$K$5:$AJ$110,0,MATCH(P$2,Inputs!$K$4:$AJ$4,0))))+SUMPRODUCT((Inputs!$C$5:$C$110=$B25)*ISNUMBER(INDEX(Inputs!$K$5:$AJ$110,0,MATCH(P$2,Inputs!$K$4:$AJ$4,0))))+SUMPRODUCT((Inputs!$E$5:$E$110=$B25)*ISNUMBER(INDEX(Inputs!$K$5:$AJ$110,0,MATCH(P$2,Inputs!$K$4:$AJ$4,0))))=0,NA(),SUMPRODUCT((Inputs!$A$5:$A$110=$B25)*Inputs!$B$5:$B$110*(((Inputs!$G$5:$G$110="moeda")+(Inputs!$G$5:$G$110="acoes"))*Inputs!$B$1+((Inputs!$G$5:$G$110&lt;&gt;"moeda")*(Inputs!$G$5:$G$110&lt;&gt;"acoes")))*INDEX(Inputs!$K$5:$AJ$110,0,MATCH(P$2,Inputs!$K$4:$AJ$4,0)))+SUMPRODUCT((Inputs!$C$5:$C$110=$B25)*Inputs!$D$5:$D$110*(((Inputs!$G$5:$G$110="moeda")+(Inputs!$G$5:$G$110="acoes"))*Inputs!$B$1+((Inputs!$G$5:$G$110&lt;&gt;"moeda")*(Inputs!$G$5:$G$110&lt;&gt;"acoes")))*INDEX(Inputs!$K$5:$AJ$110,0,MATCH(P$2,Inputs!$K$4:$AJ$4,0)))+SUMPRODUCT((Inputs!$E$5:$E$110=$B25)*Inputs!$F$5:$F$110*(((Inputs!$G$5:$G$110="moeda")+(Inputs!$G$5:$G$110="acoes"))*Inputs!$B$1+((Inputs!$G$5:$G$110&lt;&gt;"moeda")*(Inputs!$G$5:$G$110&lt;&gt;"acoes")))*INDEX(Inputs!$K$5:$AJ$110,0,MATCH(P$2,Inputs!$K$4:$AJ$4,0)))))</f>
        <v>3867</v>
      </c>
      <c r="Q25" s="6">
        <f>IF(ISNA(MATCH(Q$2,Inputs!$K$4:$AJ$4,0)),NA(),IF(SUMPRODUCT((Inputs!$A$5:$A$110=$B25)*ISNUMBER(INDEX(Inputs!$K$5:$AJ$110,0,MATCH(Q$2,Inputs!$K$4:$AJ$4,0))))+SUMPRODUCT((Inputs!$C$5:$C$110=$B25)*ISNUMBER(INDEX(Inputs!$K$5:$AJ$110,0,MATCH(Q$2,Inputs!$K$4:$AJ$4,0))))+SUMPRODUCT((Inputs!$E$5:$E$110=$B25)*ISNUMBER(INDEX(Inputs!$K$5:$AJ$110,0,MATCH(Q$2,Inputs!$K$4:$AJ$4,0))))=0,NA(),SUMPRODUCT((Inputs!$A$5:$A$110=$B25)*Inputs!$B$5:$B$110*(((Inputs!$G$5:$G$110="moeda")+(Inputs!$G$5:$G$110="acoes"))*Inputs!$B$1+((Inputs!$G$5:$G$110&lt;&gt;"moeda")*(Inputs!$G$5:$G$110&lt;&gt;"acoes")))*INDEX(Inputs!$K$5:$AJ$110,0,MATCH(Q$2,Inputs!$K$4:$AJ$4,0)))+SUMPRODUCT((Inputs!$C$5:$C$110=$B25)*Inputs!$D$5:$D$110*(((Inputs!$G$5:$G$110="moeda")+(Inputs!$G$5:$G$110="acoes"))*Inputs!$B$1+((Inputs!$G$5:$G$110&lt;&gt;"moeda")*(Inputs!$G$5:$G$110&lt;&gt;"acoes")))*INDEX(Inputs!$K$5:$AJ$110,0,MATCH(Q$2,Inputs!$K$4:$AJ$4,0)))+SUMPRODUCT((Inputs!$E$5:$E$110=$B25)*Inputs!$F$5:$F$110*(((Inputs!$G$5:$G$110="moeda")+(Inputs!$G$5:$G$110="acoes"))*Inputs!$B$1+((Inputs!$G$5:$G$110&lt;&gt;"moeda")*(Inputs!$G$5:$G$110&lt;&gt;"acoes")))*INDEX(Inputs!$K$5:$AJ$110,0,MATCH(Q$2,Inputs!$K$4:$AJ$4,0)))))</f>
        <v>47185</v>
      </c>
      <c r="R25" s="3">
        <f>Q25</f>
        <v>47185</v>
      </c>
      <c r="S25" s="6">
        <f>IF(ISNA(MATCH(S$2,Inputs!$K$4:$AJ$4,0)),NA(),IF(SUMPRODUCT((Inputs!$A$5:$A$110=$B25)*ISNUMBER(INDEX(Inputs!$K$5:$AJ$110,0,MATCH(S$2,Inputs!$K$4:$AJ$4,0))))+SUMPRODUCT((Inputs!$C$5:$C$110=$B25)*ISNUMBER(INDEX(Inputs!$K$5:$AJ$110,0,MATCH(S$2,Inputs!$K$4:$AJ$4,0))))+SUMPRODUCT((Inputs!$E$5:$E$110=$B25)*ISNUMBER(INDEX(Inputs!$K$5:$AJ$110,0,MATCH(S$2,Inputs!$K$4:$AJ$4,0))))=0,NA(),SUMPRODUCT((Inputs!$A$5:$A$110=$B25)*Inputs!$B$5:$B$110*(((Inputs!$G$5:$G$110="moeda")+(Inputs!$G$5:$G$110="acoes"))*Inputs!$B$1+((Inputs!$G$5:$G$110&lt;&gt;"moeda")*(Inputs!$G$5:$G$110&lt;&gt;"acoes")))*INDEX(Inputs!$K$5:$AJ$110,0,MATCH(S$2,Inputs!$K$4:$AJ$4,0)))+SUMPRODUCT((Inputs!$C$5:$C$110=$B25)*Inputs!$D$5:$D$110*(((Inputs!$G$5:$G$110="moeda")+(Inputs!$G$5:$G$110="acoes"))*Inputs!$B$1+((Inputs!$G$5:$G$110&lt;&gt;"moeda")*(Inputs!$G$5:$G$110&lt;&gt;"acoes")))*INDEX(Inputs!$K$5:$AJ$110,0,MATCH(S$2,Inputs!$K$4:$AJ$4,0)))+SUMPRODUCT((Inputs!$E$5:$E$110=$B25)*Inputs!$F$5:$F$110*(((Inputs!$G$5:$G$110="moeda")+(Inputs!$G$5:$G$110="acoes"))*Inputs!$B$1+((Inputs!$G$5:$G$110&lt;&gt;"moeda")*(Inputs!$G$5:$G$110&lt;&gt;"acoes")))*INDEX(Inputs!$K$5:$AJ$110,0,MATCH(S$2,Inputs!$K$4:$AJ$4,0)))))</f>
        <v>45407</v>
      </c>
      <c r="T25" s="6">
        <f>IF(ISNA(MATCH(T$2,Inputs!$K$4:$AJ$4,0)),NA(),IF(SUMPRODUCT((Inputs!$A$5:$A$110=$B25)*ISNUMBER(INDEX(Inputs!$K$5:$AJ$110,0,MATCH(T$2,Inputs!$K$4:$AJ$4,0))))+SUMPRODUCT((Inputs!$C$5:$C$110=$B25)*ISNUMBER(INDEX(Inputs!$K$5:$AJ$110,0,MATCH(T$2,Inputs!$K$4:$AJ$4,0))))+SUMPRODUCT((Inputs!$E$5:$E$110=$B25)*ISNUMBER(INDEX(Inputs!$K$5:$AJ$110,0,MATCH(T$2,Inputs!$K$4:$AJ$4,0))))=0,NA(),SUMPRODUCT((Inputs!$A$5:$A$110=$B25)*Inputs!$B$5:$B$110*(((Inputs!$G$5:$G$110="moeda")+(Inputs!$G$5:$G$110="acoes"))*Inputs!$B$1+((Inputs!$G$5:$G$110&lt;&gt;"moeda")*(Inputs!$G$5:$G$110&lt;&gt;"acoes")))*INDEX(Inputs!$K$5:$AJ$110,0,MATCH(T$2,Inputs!$K$4:$AJ$4,0)))+SUMPRODUCT((Inputs!$C$5:$C$110=$B25)*Inputs!$D$5:$D$110*(((Inputs!$G$5:$G$110="moeda")+(Inputs!$G$5:$G$110="acoes"))*Inputs!$B$1+((Inputs!$G$5:$G$110&lt;&gt;"moeda")*(Inputs!$G$5:$G$110&lt;&gt;"acoes")))*INDEX(Inputs!$K$5:$AJ$110,0,MATCH(T$2,Inputs!$K$4:$AJ$4,0)))+SUMPRODUCT((Inputs!$E$5:$E$110=$B25)*Inputs!$F$5:$F$110*(((Inputs!$G$5:$G$110="moeda")+(Inputs!$G$5:$G$110="acoes"))*Inputs!$B$1+((Inputs!$G$5:$G$110&lt;&gt;"moeda")*(Inputs!$G$5:$G$110&lt;&gt;"acoes")))*INDEX(Inputs!$K$5:$AJ$110,0,MATCH(T$2,Inputs!$K$4:$AJ$4,0)))))</f>
        <v>43034</v>
      </c>
      <c r="U25" s="6">
        <f>IF(ISNA(MATCH(U$2,Inputs!$K$4:$AJ$4,0)),NA(),IF(SUMPRODUCT((Inputs!$A$5:$A$110=$B25)*ISNUMBER(INDEX(Inputs!$K$5:$AJ$110,0,MATCH(U$2,Inputs!$K$4:$AJ$4,0))))+SUMPRODUCT((Inputs!$C$5:$C$110=$B25)*ISNUMBER(INDEX(Inputs!$K$5:$AJ$110,0,MATCH(U$2,Inputs!$K$4:$AJ$4,0))))+SUMPRODUCT((Inputs!$E$5:$E$110=$B25)*ISNUMBER(INDEX(Inputs!$K$5:$AJ$110,0,MATCH(U$2,Inputs!$K$4:$AJ$4,0))))=0,NA(),SUMPRODUCT((Inputs!$A$5:$A$110=$B25)*Inputs!$B$5:$B$110*(((Inputs!$G$5:$G$110="moeda")+(Inputs!$G$5:$G$110="acoes"))*Inputs!$B$1+((Inputs!$G$5:$G$110&lt;&gt;"moeda")*(Inputs!$G$5:$G$110&lt;&gt;"acoes")))*INDEX(Inputs!$K$5:$AJ$110,0,MATCH(U$2,Inputs!$K$4:$AJ$4,0)))+SUMPRODUCT((Inputs!$C$5:$C$110=$B25)*Inputs!$D$5:$D$110*(((Inputs!$G$5:$G$110="moeda")+(Inputs!$G$5:$G$110="acoes"))*Inputs!$B$1+((Inputs!$G$5:$G$110&lt;&gt;"moeda")*(Inputs!$G$5:$G$110&lt;&gt;"acoes")))*INDEX(Inputs!$K$5:$AJ$110,0,MATCH(U$2,Inputs!$K$4:$AJ$4,0)))+SUMPRODUCT((Inputs!$E$5:$E$110=$B25)*Inputs!$F$5:$F$110*(((Inputs!$G$5:$G$110="moeda")+(Inputs!$G$5:$G$110="acoes"))*Inputs!$B$1+((Inputs!$G$5:$G$110&lt;&gt;"moeda")*(Inputs!$G$5:$G$110&lt;&gt;"acoes")))*INDEX(Inputs!$K$5:$AJ$110,0,MATCH(U$2,Inputs!$K$4:$AJ$4,0)))))</f>
        <v>40583</v>
      </c>
      <c r="V25" s="6">
        <f>IF(ISNA(MATCH(V$2,Inputs!$K$4:$AJ$4,0)),NA(),IF(SUMPRODUCT((Inputs!$A$5:$A$110=$B25)*ISNUMBER(INDEX(Inputs!$K$5:$AJ$110,0,MATCH(V$2,Inputs!$K$4:$AJ$4,0))))+SUMPRODUCT((Inputs!$C$5:$C$110=$B25)*ISNUMBER(INDEX(Inputs!$K$5:$AJ$110,0,MATCH(V$2,Inputs!$K$4:$AJ$4,0))))+SUMPRODUCT((Inputs!$E$5:$E$110=$B25)*ISNUMBER(INDEX(Inputs!$K$5:$AJ$110,0,MATCH(V$2,Inputs!$K$4:$AJ$4,0))))=0,NA(),SUMPRODUCT((Inputs!$A$5:$A$110=$B25)*Inputs!$B$5:$B$110*(((Inputs!$G$5:$G$110="moeda")+(Inputs!$G$5:$G$110="acoes"))*Inputs!$B$1+((Inputs!$G$5:$G$110&lt;&gt;"moeda")*(Inputs!$G$5:$G$110&lt;&gt;"acoes")))*INDEX(Inputs!$K$5:$AJ$110,0,MATCH(V$2,Inputs!$K$4:$AJ$4,0)))+SUMPRODUCT((Inputs!$C$5:$C$110=$B25)*Inputs!$D$5:$D$110*(((Inputs!$G$5:$G$110="moeda")+(Inputs!$G$5:$G$110="acoes"))*Inputs!$B$1+((Inputs!$G$5:$G$110&lt;&gt;"moeda")*(Inputs!$G$5:$G$110&lt;&gt;"acoes")))*INDEX(Inputs!$K$5:$AJ$110,0,MATCH(V$2,Inputs!$K$4:$AJ$4,0)))+SUMPRODUCT((Inputs!$E$5:$E$110=$B25)*Inputs!$F$5:$F$110*(((Inputs!$G$5:$G$110="moeda")+(Inputs!$G$5:$G$110="acoes"))*Inputs!$B$1+((Inputs!$G$5:$G$110&lt;&gt;"moeda")*(Inputs!$G$5:$G$110&lt;&gt;"acoes")))*INDEX(Inputs!$K$5:$AJ$110,0,MATCH(V$2,Inputs!$K$4:$AJ$4,0)))))</f>
        <v>38583</v>
      </c>
      <c r="W25" s="3">
        <f>V25</f>
        <v>38583</v>
      </c>
      <c r="X25" s="6">
        <f>IF(ISNA(MATCH(X$2,Inputs!$K$4:$AJ$4,0)),NA(),IF(SUMPRODUCT((Inputs!$A$5:$A$110=$B25)*ISNUMBER(INDEX(Inputs!$K$5:$AJ$110,0,MATCH(X$2,Inputs!$K$4:$AJ$4,0))))+SUMPRODUCT((Inputs!$C$5:$C$110=$B25)*ISNUMBER(INDEX(Inputs!$K$5:$AJ$110,0,MATCH(X$2,Inputs!$K$4:$AJ$4,0))))+SUMPRODUCT((Inputs!$E$5:$E$110=$B25)*ISNUMBER(INDEX(Inputs!$K$5:$AJ$110,0,MATCH(X$2,Inputs!$K$4:$AJ$4,0))))=0,NA(),SUMPRODUCT((Inputs!$A$5:$A$110=$B25)*Inputs!$B$5:$B$110*(((Inputs!$G$5:$G$110="moeda")+(Inputs!$G$5:$G$110="acoes"))*Inputs!$B$1+((Inputs!$G$5:$G$110&lt;&gt;"moeda")*(Inputs!$G$5:$G$110&lt;&gt;"acoes")))*INDEX(Inputs!$K$5:$AJ$110,0,MATCH(X$2,Inputs!$K$4:$AJ$4,0)))+SUMPRODUCT((Inputs!$C$5:$C$110=$B25)*Inputs!$D$5:$D$110*(((Inputs!$G$5:$G$110="moeda")+(Inputs!$G$5:$G$110="acoes"))*Inputs!$B$1+((Inputs!$G$5:$G$110&lt;&gt;"moeda")*(Inputs!$G$5:$G$110&lt;&gt;"acoes")))*INDEX(Inputs!$K$5:$AJ$110,0,MATCH(X$2,Inputs!$K$4:$AJ$4,0)))+SUMPRODUCT((Inputs!$E$5:$E$110=$B25)*Inputs!$F$5:$F$110*(((Inputs!$G$5:$G$110="moeda")+(Inputs!$G$5:$G$110="acoes"))*Inputs!$B$1+((Inputs!$G$5:$G$110&lt;&gt;"moeda")*(Inputs!$G$5:$G$110&lt;&gt;"acoes")))*INDEX(Inputs!$K$5:$AJ$110,0,MATCH(X$2,Inputs!$K$4:$AJ$4,0)))))</f>
        <v>36393</v>
      </c>
      <c r="Y25" s="6">
        <f>IF(ISNA(MATCH(Y$2,Inputs!$K$4:$AJ$4,0)),NA(),IF(SUMPRODUCT((Inputs!$A$5:$A$110=$B25)*ISNUMBER(INDEX(Inputs!$K$5:$AJ$110,0,MATCH(Y$2,Inputs!$K$4:$AJ$4,0))))+SUMPRODUCT((Inputs!$C$5:$C$110=$B25)*ISNUMBER(INDEX(Inputs!$K$5:$AJ$110,0,MATCH(Y$2,Inputs!$K$4:$AJ$4,0))))+SUMPRODUCT((Inputs!$E$5:$E$110=$B25)*ISNUMBER(INDEX(Inputs!$K$5:$AJ$110,0,MATCH(Y$2,Inputs!$K$4:$AJ$4,0))))=0,NA(),SUMPRODUCT((Inputs!$A$5:$A$110=$B25)*Inputs!$B$5:$B$110*(((Inputs!$G$5:$G$110="moeda")+(Inputs!$G$5:$G$110="acoes"))*Inputs!$B$1+((Inputs!$G$5:$G$110&lt;&gt;"moeda")*(Inputs!$G$5:$G$110&lt;&gt;"acoes")))*INDEX(Inputs!$K$5:$AJ$110,0,MATCH(Y$2,Inputs!$K$4:$AJ$4,0)))+SUMPRODUCT((Inputs!$C$5:$C$110=$B25)*Inputs!$D$5:$D$110*(((Inputs!$G$5:$G$110="moeda")+(Inputs!$G$5:$G$110="acoes"))*Inputs!$B$1+((Inputs!$G$5:$G$110&lt;&gt;"moeda")*(Inputs!$G$5:$G$110&lt;&gt;"acoes")))*INDEX(Inputs!$K$5:$AJ$110,0,MATCH(Y$2,Inputs!$K$4:$AJ$4,0)))+SUMPRODUCT((Inputs!$E$5:$E$110=$B25)*Inputs!$F$5:$F$110*(((Inputs!$G$5:$G$110="moeda")+(Inputs!$G$5:$G$110="acoes"))*Inputs!$B$1+((Inputs!$G$5:$G$110&lt;&gt;"moeda")*(Inputs!$G$5:$G$110&lt;&gt;"acoes")))*INDEX(Inputs!$K$5:$AJ$110,0,MATCH(Y$2,Inputs!$K$4:$AJ$4,0)))))</f>
        <v>34344</v>
      </c>
      <c r="Z25" s="6">
        <f>IF(ISNA(MATCH(Z$2,Inputs!$K$4:$AJ$4,0)),NA(),IF(SUMPRODUCT((Inputs!$A$5:$A$110=$B25)*ISNUMBER(INDEX(Inputs!$K$5:$AJ$110,0,MATCH(Z$2,Inputs!$K$4:$AJ$4,0))))+SUMPRODUCT((Inputs!$C$5:$C$110=$B25)*ISNUMBER(INDEX(Inputs!$K$5:$AJ$110,0,MATCH(Z$2,Inputs!$K$4:$AJ$4,0))))+SUMPRODUCT((Inputs!$E$5:$E$110=$B25)*ISNUMBER(INDEX(Inputs!$K$5:$AJ$110,0,MATCH(Z$2,Inputs!$K$4:$AJ$4,0))))=0,NA(),SUMPRODUCT((Inputs!$A$5:$A$110=$B25)*Inputs!$B$5:$B$110*(((Inputs!$G$5:$G$110="moeda")+(Inputs!$G$5:$G$110="acoes"))*Inputs!$B$1+((Inputs!$G$5:$G$110&lt;&gt;"moeda")*(Inputs!$G$5:$G$110&lt;&gt;"acoes")))*INDEX(Inputs!$K$5:$AJ$110,0,MATCH(Z$2,Inputs!$K$4:$AJ$4,0)))+SUMPRODUCT((Inputs!$C$5:$C$110=$B25)*Inputs!$D$5:$D$110*(((Inputs!$G$5:$G$110="moeda")+(Inputs!$G$5:$G$110="acoes"))*Inputs!$B$1+((Inputs!$G$5:$G$110&lt;&gt;"moeda")*(Inputs!$G$5:$G$110&lt;&gt;"acoes")))*INDEX(Inputs!$K$5:$AJ$110,0,MATCH(Z$2,Inputs!$K$4:$AJ$4,0)))+SUMPRODUCT((Inputs!$E$5:$E$110=$B25)*Inputs!$F$5:$F$110*(((Inputs!$G$5:$G$110="moeda")+(Inputs!$G$5:$G$110="acoes"))*Inputs!$B$1+((Inputs!$G$5:$G$110&lt;&gt;"moeda")*(Inputs!$G$5:$G$110&lt;&gt;"acoes")))*INDEX(Inputs!$K$5:$AJ$110,0,MATCH(Z$2,Inputs!$K$4:$AJ$4,0)))))</f>
        <v>32273</v>
      </c>
      <c r="AA25" s="6">
        <f>IF(ISNA(MATCH(AA$2,Inputs!$K$4:$AJ$4,0)),NA(),IF(SUMPRODUCT((Inputs!$A$5:$A$110=$B25)*ISNUMBER(INDEX(Inputs!$K$5:$AJ$110,0,MATCH(AA$2,Inputs!$K$4:$AJ$4,0))))+SUMPRODUCT((Inputs!$C$5:$C$110=$B25)*ISNUMBER(INDEX(Inputs!$K$5:$AJ$110,0,MATCH(AA$2,Inputs!$K$4:$AJ$4,0))))+SUMPRODUCT((Inputs!$E$5:$E$110=$B25)*ISNUMBER(INDEX(Inputs!$K$5:$AJ$110,0,MATCH(AA$2,Inputs!$K$4:$AJ$4,0))))=0,NA(),SUMPRODUCT((Inputs!$A$5:$A$110=$B25)*Inputs!$B$5:$B$110*(((Inputs!$G$5:$G$110="moeda")+(Inputs!$G$5:$G$110="acoes"))*Inputs!$B$1+((Inputs!$G$5:$G$110&lt;&gt;"moeda")*(Inputs!$G$5:$G$110&lt;&gt;"acoes")))*INDEX(Inputs!$K$5:$AJ$110,0,MATCH(AA$2,Inputs!$K$4:$AJ$4,0)))+SUMPRODUCT((Inputs!$C$5:$C$110=$B25)*Inputs!$D$5:$D$110*(((Inputs!$G$5:$G$110="moeda")+(Inputs!$G$5:$G$110="acoes"))*Inputs!$B$1+((Inputs!$G$5:$G$110&lt;&gt;"moeda")*(Inputs!$G$5:$G$110&lt;&gt;"acoes")))*INDEX(Inputs!$K$5:$AJ$110,0,MATCH(AA$2,Inputs!$K$4:$AJ$4,0)))+SUMPRODUCT((Inputs!$E$5:$E$110=$B25)*Inputs!$F$5:$F$110*(((Inputs!$G$5:$G$110="moeda")+(Inputs!$G$5:$G$110="acoes"))*Inputs!$B$1+((Inputs!$G$5:$G$110&lt;&gt;"moeda")*(Inputs!$G$5:$G$110&lt;&gt;"acoes")))*INDEX(Inputs!$K$5:$AJ$110,0,MATCH(AA$2,Inputs!$K$4:$AJ$4,0)))))</f>
        <v>30302</v>
      </c>
      <c r="AB25" s="3">
        <f>AA25</f>
        <v>30302</v>
      </c>
      <c r="AC25" s="6">
        <f>IF(ISNA(MATCH(AC$2,Inputs!$K$4:$AJ$4,0)),NA(),IF(SUMPRODUCT((Inputs!$A$5:$A$110=$B25)*ISNUMBER(INDEX(Inputs!$K$5:$AJ$110,0,MATCH(AC$2,Inputs!$K$4:$AJ$4,0))))+SUMPRODUCT((Inputs!$C$5:$C$110=$B25)*ISNUMBER(INDEX(Inputs!$K$5:$AJ$110,0,MATCH(AC$2,Inputs!$K$4:$AJ$4,0))))+SUMPRODUCT((Inputs!$E$5:$E$110=$B25)*ISNUMBER(INDEX(Inputs!$K$5:$AJ$110,0,MATCH(AC$2,Inputs!$K$4:$AJ$4,0))))=0,NA(),SUMPRODUCT((Inputs!$A$5:$A$110=$B25)*Inputs!$B$5:$B$110*(((Inputs!$G$5:$G$110="moeda")+(Inputs!$G$5:$G$110="acoes"))*Inputs!$B$1+((Inputs!$G$5:$G$110&lt;&gt;"moeda")*(Inputs!$G$5:$G$110&lt;&gt;"acoes")))*INDEX(Inputs!$K$5:$AJ$110,0,MATCH(AC$2,Inputs!$K$4:$AJ$4,0)))+SUMPRODUCT((Inputs!$C$5:$C$110=$B25)*Inputs!$D$5:$D$110*(((Inputs!$G$5:$G$110="moeda")+(Inputs!$G$5:$G$110="acoes"))*Inputs!$B$1+((Inputs!$G$5:$G$110&lt;&gt;"moeda")*(Inputs!$G$5:$G$110&lt;&gt;"acoes")))*INDEX(Inputs!$K$5:$AJ$110,0,MATCH(AC$2,Inputs!$K$4:$AJ$4,0)))+SUMPRODUCT((Inputs!$E$5:$E$110=$B25)*Inputs!$F$5:$F$110*(((Inputs!$G$5:$G$110="moeda")+(Inputs!$G$5:$G$110="acoes"))*Inputs!$B$1+((Inputs!$G$5:$G$110&lt;&gt;"moeda")*(Inputs!$G$5:$G$110&lt;&gt;"acoes")))*INDEX(Inputs!$K$5:$AJ$110,0,MATCH(AC$2,Inputs!$K$4:$AJ$4,0)))))</f>
        <v>28333</v>
      </c>
      <c r="AD25" s="6">
        <f>IF(ISNA(MATCH(AD$2,Inputs!$K$4:$AJ$4,0)),NA(),IF(SUMPRODUCT((Inputs!$A$5:$A$110=$B25)*ISNUMBER(INDEX(Inputs!$K$5:$AJ$110,0,MATCH(AD$2,Inputs!$K$4:$AJ$4,0))))+SUMPRODUCT((Inputs!$C$5:$C$110=$B25)*ISNUMBER(INDEX(Inputs!$K$5:$AJ$110,0,MATCH(AD$2,Inputs!$K$4:$AJ$4,0))))+SUMPRODUCT((Inputs!$E$5:$E$110=$B25)*ISNUMBER(INDEX(Inputs!$K$5:$AJ$110,0,MATCH(AD$2,Inputs!$K$4:$AJ$4,0))))=0,NA(),SUMPRODUCT((Inputs!$A$5:$A$110=$B25)*Inputs!$B$5:$B$110*(((Inputs!$G$5:$G$110="moeda")+(Inputs!$G$5:$G$110="acoes"))*Inputs!$B$1+((Inputs!$G$5:$G$110&lt;&gt;"moeda")*(Inputs!$G$5:$G$110&lt;&gt;"acoes")))*INDEX(Inputs!$K$5:$AJ$110,0,MATCH(AD$2,Inputs!$K$4:$AJ$4,0)))+SUMPRODUCT((Inputs!$C$5:$C$110=$B25)*Inputs!$D$5:$D$110*(((Inputs!$G$5:$G$110="moeda")+(Inputs!$G$5:$G$110="acoes"))*Inputs!$B$1+((Inputs!$G$5:$G$110&lt;&gt;"moeda")*(Inputs!$G$5:$G$110&lt;&gt;"acoes")))*INDEX(Inputs!$K$5:$AJ$110,0,MATCH(AD$2,Inputs!$K$4:$AJ$4,0)))+SUMPRODUCT((Inputs!$E$5:$E$110=$B25)*Inputs!$F$5:$F$110*(((Inputs!$G$5:$G$110="moeda")+(Inputs!$G$5:$G$110="acoes"))*Inputs!$B$1+((Inputs!$G$5:$G$110&lt;&gt;"moeda")*(Inputs!$G$5:$G$110&lt;&gt;"acoes")))*INDEX(Inputs!$K$5:$AJ$110,0,MATCH(AD$2,Inputs!$K$4:$AJ$4,0)))))</f>
        <v>26325</v>
      </c>
      <c r="AE25" s="6" t="e">
        <f>IF(ISNA(MATCH(AE$2,Inputs!$K$4:$AJ$4,0)),NA(),IF(SUMPRODUCT((Inputs!$A$5:$A$110=$B25)*ISNUMBER(INDEX(Inputs!$K$5:$AJ$110,0,MATCH(AE$2,Inputs!$K$4:$AJ$4,0))))+SUMPRODUCT((Inputs!$C$5:$C$110=$B25)*ISNUMBER(INDEX(Inputs!$K$5:$AJ$110,0,MATCH(AE$2,Inputs!$K$4:$AJ$4,0))))+SUMPRODUCT((Inputs!$E$5:$E$110=$B25)*ISNUMBER(INDEX(Inputs!$K$5:$AJ$110,0,MATCH(AE$2,Inputs!$K$4:$AJ$4,0))))=0,NA(),SUMPRODUCT((Inputs!$A$5:$A$110=$B25)*Inputs!$B$5:$B$110*(((Inputs!$G$5:$G$110="moeda")+(Inputs!$G$5:$G$110="acoes"))*Inputs!$B$1+((Inputs!$G$5:$G$110&lt;&gt;"moeda")*(Inputs!$G$5:$G$110&lt;&gt;"acoes")))*INDEX(Inputs!$K$5:$AJ$110,0,MATCH(AE$2,Inputs!$K$4:$AJ$4,0)))+SUMPRODUCT((Inputs!$C$5:$C$110=$B25)*Inputs!$D$5:$D$110*(((Inputs!$G$5:$G$110="moeda")+(Inputs!$G$5:$G$110="acoes"))*Inputs!$B$1+((Inputs!$G$5:$G$110&lt;&gt;"moeda")*(Inputs!$G$5:$G$110&lt;&gt;"acoes")))*INDEX(Inputs!$K$5:$AJ$110,0,MATCH(AE$2,Inputs!$K$4:$AJ$4,0)))+SUMPRODUCT((Inputs!$E$5:$E$110=$B25)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5" s="6" t="e">
        <f>IF(ISNA(MATCH(AF$2,Inputs!$K$4:$AJ$4,0)),NA(),IF(SUMPRODUCT((Inputs!$A$5:$A$110=$B25)*ISNUMBER(INDEX(Inputs!$K$5:$AJ$110,0,MATCH(AF$2,Inputs!$K$4:$AJ$4,0))))+SUMPRODUCT((Inputs!$C$5:$C$110=$B25)*ISNUMBER(INDEX(Inputs!$K$5:$AJ$110,0,MATCH(AF$2,Inputs!$K$4:$AJ$4,0))))+SUMPRODUCT((Inputs!$E$5:$E$110=$B25)*ISNUMBER(INDEX(Inputs!$K$5:$AJ$110,0,MATCH(AF$2,Inputs!$K$4:$AJ$4,0))))=0,NA(),SUMPRODUCT((Inputs!$A$5:$A$110=$B25)*Inputs!$B$5:$B$110*(((Inputs!$G$5:$G$110="moeda")+(Inputs!$G$5:$G$110="acoes"))*Inputs!$B$1+((Inputs!$G$5:$G$110&lt;&gt;"moeda")*(Inputs!$G$5:$G$110&lt;&gt;"acoes")))*INDEX(Inputs!$K$5:$AJ$110,0,MATCH(AF$2,Inputs!$K$4:$AJ$4,0)))+SUMPRODUCT((Inputs!$C$5:$C$110=$B25)*Inputs!$D$5:$D$110*(((Inputs!$G$5:$G$110="moeda")+(Inputs!$G$5:$G$110="acoes"))*Inputs!$B$1+((Inputs!$G$5:$G$110&lt;&gt;"moeda")*(Inputs!$G$5:$G$110&lt;&gt;"acoes")))*INDEX(Inputs!$K$5:$AJ$110,0,MATCH(AF$2,Inputs!$K$4:$AJ$4,0)))+SUMPRODUCT((Inputs!$E$5:$E$110=$B25)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5" s="3" t="e">
        <f>AF25</f>
        <v>#N/A</v>
      </c>
      <c r="AH25" s="6">
        <f>IF(ISNA(MATCH(AH$2,Inputs!$K$4:$AJ$4,0)),NA(),IF(SUMPRODUCT((Inputs!$A$5:$A$110=$B25)*ISNUMBER(INDEX(Inputs!$K$5:$AJ$110,0,MATCH(AH$2,Inputs!$K$4:$AJ$4,0))))+SUMPRODUCT((Inputs!$C$5:$C$110=$B25)*ISNUMBER(INDEX(Inputs!$K$5:$AJ$110,0,MATCH(AH$2,Inputs!$K$4:$AJ$4,0))))+SUMPRODUCT((Inputs!$E$5:$E$110=$B25)*ISNUMBER(INDEX(Inputs!$K$5:$AJ$110,0,MATCH(AH$2,Inputs!$K$4:$AJ$4,0))))=0,NA(),SUMPRODUCT((Inputs!$A$5:$A$110=$B25)*Inputs!$B$5:$B$110*(((Inputs!$G$5:$G$110="moeda")+(Inputs!$G$5:$G$110="acoes"))*Inputs!$B$1+((Inputs!$G$5:$G$110&lt;&gt;"moeda")*(Inputs!$G$5:$G$110&lt;&gt;"acoes")))*INDEX(Inputs!$K$5:$AJ$110,0,MATCH(AH$2,Inputs!$K$4:$AJ$4,0)))+SUMPRODUCT((Inputs!$C$5:$C$110=$B25)*Inputs!$D$5:$D$110*(((Inputs!$G$5:$G$110="moeda")+(Inputs!$G$5:$G$110="acoes"))*Inputs!$B$1+((Inputs!$G$5:$G$110&lt;&gt;"moeda")*(Inputs!$G$5:$G$110&lt;&gt;"acoes")))*INDEX(Inputs!$K$5:$AJ$110,0,MATCH(AH$2,Inputs!$K$4:$AJ$4,0)))+SUMPRODUCT((Inputs!$E$5:$E$110=$B25)*Inputs!$F$5:$F$110*(((Inputs!$G$5:$G$110="moeda")+(Inputs!$G$5:$G$110="acoes"))*Inputs!$B$1+((Inputs!$G$5:$G$110&lt;&gt;"moeda")*(Inputs!$G$5:$G$110&lt;&gt;"acoes")))*INDEX(Inputs!$K$5:$AJ$110,0,MATCH(AH$2,Inputs!$K$4:$AJ$4,0)))))</f>
        <v>19909</v>
      </c>
      <c r="AI25" s="6">
        <f>IF(ISNA(MATCH(AI$2,Inputs!$K$4:$AJ$4,0)),NA(),IF(SUMPRODUCT((Inputs!$A$5:$A$110=$B25)*ISNUMBER(INDEX(Inputs!$K$5:$AJ$110,0,MATCH(AI$2,Inputs!$K$4:$AJ$4,0))))+SUMPRODUCT((Inputs!$C$5:$C$110=$B25)*ISNUMBER(INDEX(Inputs!$K$5:$AJ$110,0,MATCH(AI$2,Inputs!$K$4:$AJ$4,0))))+SUMPRODUCT((Inputs!$E$5:$E$110=$B25)*ISNUMBER(INDEX(Inputs!$K$5:$AJ$110,0,MATCH(AI$2,Inputs!$K$4:$AJ$4,0))))=0,NA(),SUMPRODUCT((Inputs!$A$5:$A$110=$B25)*Inputs!$B$5:$B$110*(((Inputs!$G$5:$G$110="moeda")+(Inputs!$G$5:$G$110="acoes"))*Inputs!$B$1+((Inputs!$G$5:$G$110&lt;&gt;"moeda")*(Inputs!$G$5:$G$110&lt;&gt;"acoes")))*INDEX(Inputs!$K$5:$AJ$110,0,MATCH(AI$2,Inputs!$K$4:$AJ$4,0)))+SUMPRODUCT((Inputs!$C$5:$C$110=$B25)*Inputs!$D$5:$D$110*(((Inputs!$G$5:$G$110="moeda")+(Inputs!$G$5:$G$110="acoes"))*Inputs!$B$1+((Inputs!$G$5:$G$110&lt;&gt;"moeda")*(Inputs!$G$5:$G$110&lt;&gt;"acoes")))*INDEX(Inputs!$K$5:$AJ$110,0,MATCH(AI$2,Inputs!$K$4:$AJ$4,0)))+SUMPRODUCT((Inputs!$E$5:$E$110=$B25)*Inputs!$F$5:$F$110*(((Inputs!$G$5:$G$110="moeda")+(Inputs!$G$5:$G$110="acoes"))*Inputs!$B$1+((Inputs!$G$5:$G$110&lt;&gt;"moeda")*(Inputs!$G$5:$G$110&lt;&gt;"acoes")))*INDEX(Inputs!$K$5:$AJ$110,0,MATCH(AI$2,Inputs!$K$4:$AJ$4,0)))))</f>
        <v>18357</v>
      </c>
      <c r="AJ25" s="6">
        <f>IF(ISNA(MATCH(AJ$2,Inputs!$K$4:$AJ$4,0)),NA(),IF(SUMPRODUCT((Inputs!$A$5:$A$110=$B25)*ISNUMBER(INDEX(Inputs!$K$5:$AJ$110,0,MATCH(AJ$2,Inputs!$K$4:$AJ$4,0))))+SUMPRODUCT((Inputs!$C$5:$C$110=$B25)*ISNUMBER(INDEX(Inputs!$K$5:$AJ$110,0,MATCH(AJ$2,Inputs!$K$4:$AJ$4,0))))+SUMPRODUCT((Inputs!$E$5:$E$110=$B25)*ISNUMBER(INDEX(Inputs!$K$5:$AJ$110,0,MATCH(AJ$2,Inputs!$K$4:$AJ$4,0))))=0,NA(),SUMPRODUCT((Inputs!$A$5:$A$110=$B25)*Inputs!$B$5:$B$110*(((Inputs!$G$5:$G$110="moeda")+(Inputs!$G$5:$G$110="acoes"))*Inputs!$B$1+((Inputs!$G$5:$G$110&lt;&gt;"moeda")*(Inputs!$G$5:$G$110&lt;&gt;"acoes")))*INDEX(Inputs!$K$5:$AJ$110,0,MATCH(AJ$2,Inputs!$K$4:$AJ$4,0)))+SUMPRODUCT((Inputs!$C$5:$C$110=$B25)*Inputs!$D$5:$D$110*(((Inputs!$G$5:$G$110="moeda")+(Inputs!$G$5:$G$110="acoes"))*Inputs!$B$1+((Inputs!$G$5:$G$110&lt;&gt;"moeda")*(Inputs!$G$5:$G$110&lt;&gt;"acoes")))*INDEX(Inputs!$K$5:$AJ$110,0,MATCH(AJ$2,Inputs!$K$4:$AJ$4,0)))+SUMPRODUCT((Inputs!$E$5:$E$110=$B25)*Inputs!$F$5:$F$110*(((Inputs!$G$5:$G$110="moeda")+(Inputs!$G$5:$G$110="acoes"))*Inputs!$B$1+((Inputs!$G$5:$G$110&lt;&gt;"moeda")*(Inputs!$G$5:$G$110&lt;&gt;"acoes")))*INDEX(Inputs!$K$5:$AJ$110,0,MATCH(AJ$2,Inputs!$K$4:$AJ$4,0)))))</f>
        <v>16782</v>
      </c>
      <c r="AK25" s="6">
        <f>IF(ISNA(MATCH(AK$2,Inputs!$K$4:$AJ$4,0)),NA(),IF(SUMPRODUCT((Inputs!$A$5:$A$110=$B25)*ISNUMBER(INDEX(Inputs!$K$5:$AJ$110,0,MATCH(AK$2,Inputs!$K$4:$AJ$4,0))))+SUMPRODUCT((Inputs!$C$5:$C$110=$B25)*ISNUMBER(INDEX(Inputs!$K$5:$AJ$110,0,MATCH(AK$2,Inputs!$K$4:$AJ$4,0))))+SUMPRODUCT((Inputs!$E$5:$E$110=$B25)*ISNUMBER(INDEX(Inputs!$K$5:$AJ$110,0,MATCH(AK$2,Inputs!$K$4:$AJ$4,0))))=0,NA(),SUMPRODUCT((Inputs!$A$5:$A$110=$B25)*Inputs!$B$5:$B$110*(((Inputs!$G$5:$G$110="moeda")+(Inputs!$G$5:$G$110="acoes"))*Inputs!$B$1+((Inputs!$G$5:$G$110&lt;&gt;"moeda")*(Inputs!$G$5:$G$110&lt;&gt;"acoes")))*INDEX(Inputs!$K$5:$AJ$110,0,MATCH(AK$2,Inputs!$K$4:$AJ$4,0)))+SUMPRODUCT((Inputs!$C$5:$C$110=$B25)*Inputs!$D$5:$D$110*(((Inputs!$G$5:$G$110="moeda")+(Inputs!$G$5:$G$110="acoes"))*Inputs!$B$1+((Inputs!$G$5:$G$110&lt;&gt;"moeda")*(Inputs!$G$5:$G$110&lt;&gt;"acoes")))*INDEX(Inputs!$K$5:$AJ$110,0,MATCH(AK$2,Inputs!$K$4:$AJ$4,0)))+SUMPRODUCT((Inputs!$E$5:$E$110=$B25)*Inputs!$F$5:$F$110*(((Inputs!$G$5:$G$110="moeda")+(Inputs!$G$5:$G$110="acoes"))*Inputs!$B$1+((Inputs!$G$5:$G$110&lt;&gt;"moeda")*(Inputs!$G$5:$G$110&lt;&gt;"acoes")))*INDEX(Inputs!$K$5:$AJ$110,0,MATCH(AK$2,Inputs!$K$4:$AJ$4,0)))))</f>
        <v>15419</v>
      </c>
      <c r="AL25" s="3">
        <f>AK25</f>
        <v>15419</v>
      </c>
    </row>
    <row r="26">
      <c r="B26" s="46" t="n">
        <v>22</v>
      </c>
      <c r="C26" s="26" t="inlineStr">
        <is>
          <t>Other non-current assets</t>
        </is>
      </c>
      <c r="D26" s="6">
        <f>IF(ISNA(MATCH(D$2,Inputs!$K$4:$AJ$4,0)),NA(),IF(SUMPRODUCT((Inputs!$A$5:$A$110=$B26)*ISNUMBER(INDEX(Inputs!$K$5:$AJ$110,0,MATCH(D$2,Inputs!$K$4:$AJ$4,0))))+SUMPRODUCT((Inputs!$C$5:$C$110=$B26)*ISNUMBER(INDEX(Inputs!$K$5:$AJ$110,0,MATCH(D$2,Inputs!$K$4:$AJ$4,0))))+SUMPRODUCT((Inputs!$E$5:$E$110=$B26)*ISNUMBER(INDEX(Inputs!$K$5:$AJ$110,0,MATCH(D$2,Inputs!$K$4:$AJ$4,0))))=0,NA(),SUMPRODUCT((Inputs!$A$5:$A$110=$B26)*Inputs!$B$5:$B$110*(((Inputs!$G$5:$G$110="moeda")+(Inputs!$G$5:$G$110="acoes"))*Inputs!$B$1+((Inputs!$G$5:$G$110&lt;&gt;"moeda")*(Inputs!$G$5:$G$110&lt;&gt;"acoes")))*INDEX(Inputs!$K$5:$AJ$110,0,MATCH(D$2,Inputs!$K$4:$AJ$4,0)))+SUMPRODUCT((Inputs!$C$5:$C$110=$B26)*Inputs!$D$5:$D$110*(((Inputs!$G$5:$G$110="moeda")+(Inputs!$G$5:$G$110="acoes"))*Inputs!$B$1+((Inputs!$G$5:$G$110&lt;&gt;"moeda")*(Inputs!$G$5:$G$110&lt;&gt;"acoes")))*INDEX(Inputs!$K$5:$AJ$110,0,MATCH(D$2,Inputs!$K$4:$AJ$4,0)))+SUMPRODUCT((Inputs!$E$5:$E$110=$B26)*Inputs!$F$5:$F$110*(((Inputs!$G$5:$G$110="moeda")+(Inputs!$G$5:$G$110="acoes"))*Inputs!$B$1+((Inputs!$G$5:$G$110&lt;&gt;"moeda")*(Inputs!$G$5:$G$110&lt;&gt;"acoes")))*INDEX(Inputs!$K$5:$AJ$110,0,MATCH(D$2,Inputs!$K$4:$AJ$4,0)))))</f>
        <v>1338</v>
      </c>
      <c r="E26" s="6">
        <f>IF(ISNA(MATCH(E$2,Inputs!$K$4:$AJ$4,0)),NA(),IF(SUMPRODUCT((Inputs!$A$5:$A$110=$B26)*ISNUMBER(INDEX(Inputs!$K$5:$AJ$110,0,MATCH(E$2,Inputs!$K$4:$AJ$4,0))))+SUMPRODUCT((Inputs!$C$5:$C$110=$B26)*ISNUMBER(INDEX(Inputs!$K$5:$AJ$110,0,MATCH(E$2,Inputs!$K$4:$AJ$4,0))))+SUMPRODUCT((Inputs!$E$5:$E$110=$B26)*ISNUMBER(INDEX(Inputs!$K$5:$AJ$110,0,MATCH(E$2,Inputs!$K$4:$AJ$4,0))))=0,NA(),SUMPRODUCT((Inputs!$A$5:$A$110=$B26)*Inputs!$B$5:$B$110*(((Inputs!$G$5:$G$110="moeda")+(Inputs!$G$5:$G$110="acoes"))*Inputs!$B$1+((Inputs!$G$5:$G$110&lt;&gt;"moeda")*(Inputs!$G$5:$G$110&lt;&gt;"acoes")))*INDEX(Inputs!$K$5:$AJ$110,0,MATCH(E$2,Inputs!$K$4:$AJ$4,0)))+SUMPRODUCT((Inputs!$C$5:$C$110=$B26)*Inputs!$D$5:$D$110*(((Inputs!$G$5:$G$110="moeda")+(Inputs!$G$5:$G$110="acoes"))*Inputs!$B$1+((Inputs!$G$5:$G$110&lt;&gt;"moeda")*(Inputs!$G$5:$G$110&lt;&gt;"acoes")))*INDEX(Inputs!$K$5:$AJ$110,0,MATCH(E$2,Inputs!$K$4:$AJ$4,0)))+SUMPRODUCT((Inputs!$E$5:$E$110=$B26)*Inputs!$F$5:$F$110*(((Inputs!$G$5:$G$110="moeda")+(Inputs!$G$5:$G$110="acoes"))*Inputs!$B$1+((Inputs!$G$5:$G$110&lt;&gt;"moeda")*(Inputs!$G$5:$G$110&lt;&gt;"acoes")))*INDEX(Inputs!$K$5:$AJ$110,0,MATCH(E$2,Inputs!$K$4:$AJ$4,0)))))</f>
        <v>1698</v>
      </c>
      <c r="F26" s="6">
        <f>IF(ISNA(MATCH(F$2,Inputs!$K$4:$AJ$4,0)),NA(),IF(SUMPRODUCT((Inputs!$A$5:$A$110=$B26)*ISNUMBER(INDEX(Inputs!$K$5:$AJ$110,0,MATCH(F$2,Inputs!$K$4:$AJ$4,0))))+SUMPRODUCT((Inputs!$C$5:$C$110=$B26)*ISNUMBER(INDEX(Inputs!$K$5:$AJ$110,0,MATCH(F$2,Inputs!$K$4:$AJ$4,0))))+SUMPRODUCT((Inputs!$E$5:$E$110=$B26)*ISNUMBER(INDEX(Inputs!$K$5:$AJ$110,0,MATCH(F$2,Inputs!$K$4:$AJ$4,0))))=0,NA(),SUMPRODUCT((Inputs!$A$5:$A$110=$B26)*Inputs!$B$5:$B$110*(((Inputs!$G$5:$G$110="moeda")+(Inputs!$G$5:$G$110="acoes"))*Inputs!$B$1+((Inputs!$G$5:$G$110&lt;&gt;"moeda")*(Inputs!$G$5:$G$110&lt;&gt;"acoes")))*INDEX(Inputs!$K$5:$AJ$110,0,MATCH(F$2,Inputs!$K$4:$AJ$4,0)))+SUMPRODUCT((Inputs!$C$5:$C$110=$B26)*Inputs!$D$5:$D$110*(((Inputs!$G$5:$G$110="moeda")+(Inputs!$G$5:$G$110="acoes"))*Inputs!$B$1+((Inputs!$G$5:$G$110&lt;&gt;"moeda")*(Inputs!$G$5:$G$110&lt;&gt;"acoes")))*INDEX(Inputs!$K$5:$AJ$110,0,MATCH(F$2,Inputs!$K$4:$AJ$4,0)))+SUMPRODUCT((Inputs!$E$5:$E$110=$B26)*Inputs!$F$5:$F$110*(((Inputs!$G$5:$G$110="moeda")+(Inputs!$G$5:$G$110="acoes"))*Inputs!$B$1+((Inputs!$G$5:$G$110&lt;&gt;"moeda")*(Inputs!$G$5:$G$110&lt;&gt;"acoes")))*INDEX(Inputs!$K$5:$AJ$110,0,MATCH(F$2,Inputs!$K$4:$AJ$4,0)))))</f>
        <v>1812</v>
      </c>
      <c r="G26" s="6">
        <f>IF(ISNA(MATCH(G$2,Inputs!$K$4:$AJ$4,0)),NA(),IF(SUMPRODUCT((Inputs!$A$5:$A$110=$B26)*ISNUMBER(INDEX(Inputs!$K$5:$AJ$110,0,MATCH(G$2,Inputs!$K$4:$AJ$4,0))))+SUMPRODUCT((Inputs!$C$5:$C$110=$B26)*ISNUMBER(INDEX(Inputs!$K$5:$AJ$110,0,MATCH(G$2,Inputs!$K$4:$AJ$4,0))))+SUMPRODUCT((Inputs!$E$5:$E$110=$B26)*ISNUMBER(INDEX(Inputs!$K$5:$AJ$110,0,MATCH(G$2,Inputs!$K$4:$AJ$4,0))))=0,NA(),SUMPRODUCT((Inputs!$A$5:$A$110=$B26)*Inputs!$B$5:$B$110*(((Inputs!$G$5:$G$110="moeda")+(Inputs!$G$5:$G$110="acoes"))*Inputs!$B$1+((Inputs!$G$5:$G$110&lt;&gt;"moeda")*(Inputs!$G$5:$G$110&lt;&gt;"acoes")))*INDEX(Inputs!$K$5:$AJ$110,0,MATCH(G$2,Inputs!$K$4:$AJ$4,0)))+SUMPRODUCT((Inputs!$C$5:$C$110=$B26)*Inputs!$D$5:$D$110*(((Inputs!$G$5:$G$110="moeda")+(Inputs!$G$5:$G$110="acoes"))*Inputs!$B$1+((Inputs!$G$5:$G$110&lt;&gt;"moeda")*(Inputs!$G$5:$G$110&lt;&gt;"acoes")))*INDEX(Inputs!$K$5:$AJ$110,0,MATCH(G$2,Inputs!$K$4:$AJ$4,0)))+SUMPRODUCT((Inputs!$E$5:$E$110=$B26)*Inputs!$F$5:$F$110*(((Inputs!$G$5:$G$110="moeda")+(Inputs!$G$5:$G$110="acoes"))*Inputs!$B$1+((Inputs!$G$5:$G$110&lt;&gt;"moeda")*(Inputs!$G$5:$G$110&lt;&gt;"acoes")))*INDEX(Inputs!$K$5:$AJ$110,0,MATCH(G$2,Inputs!$K$4:$AJ$4,0)))))</f>
        <v>1886</v>
      </c>
      <c r="H26" s="3">
        <f>G26</f>
        <v>1886</v>
      </c>
      <c r="I26" s="6">
        <f>IF(ISNA(MATCH(I$2,Inputs!$K$4:$AJ$4,0)),NA(),IF(SUMPRODUCT((Inputs!$A$5:$A$110=$B26)*ISNUMBER(INDEX(Inputs!$K$5:$AJ$110,0,MATCH(I$2,Inputs!$K$4:$AJ$4,0))))+SUMPRODUCT((Inputs!$C$5:$C$110=$B26)*ISNUMBER(INDEX(Inputs!$K$5:$AJ$110,0,MATCH(I$2,Inputs!$K$4:$AJ$4,0))))+SUMPRODUCT((Inputs!$E$5:$E$110=$B26)*ISNUMBER(INDEX(Inputs!$K$5:$AJ$110,0,MATCH(I$2,Inputs!$K$4:$AJ$4,0))))=0,NA(),SUMPRODUCT((Inputs!$A$5:$A$110=$B26)*Inputs!$B$5:$B$110*(((Inputs!$G$5:$G$110="moeda")+(Inputs!$G$5:$G$110="acoes"))*Inputs!$B$1+((Inputs!$G$5:$G$110&lt;&gt;"moeda")*(Inputs!$G$5:$G$110&lt;&gt;"acoes")))*INDEX(Inputs!$K$5:$AJ$110,0,MATCH(I$2,Inputs!$K$4:$AJ$4,0)))+SUMPRODUCT((Inputs!$C$5:$C$110=$B26)*Inputs!$D$5:$D$110*(((Inputs!$G$5:$G$110="moeda")+(Inputs!$G$5:$G$110="acoes"))*Inputs!$B$1+((Inputs!$G$5:$G$110&lt;&gt;"moeda")*(Inputs!$G$5:$G$110&lt;&gt;"acoes")))*INDEX(Inputs!$K$5:$AJ$110,0,MATCH(I$2,Inputs!$K$4:$AJ$4,0)))+SUMPRODUCT((Inputs!$E$5:$E$110=$B26)*Inputs!$F$5:$F$110*(((Inputs!$G$5:$G$110="moeda")+(Inputs!$G$5:$G$110="acoes"))*Inputs!$B$1+((Inputs!$G$5:$G$110&lt;&gt;"moeda")*(Inputs!$G$5:$G$110&lt;&gt;"acoes")))*INDEX(Inputs!$K$5:$AJ$110,0,MATCH(I$2,Inputs!$K$4:$AJ$4,0)))))</f>
        <v>1803</v>
      </c>
      <c r="J26" s="6">
        <f>IF(ISNA(MATCH(J$2,Inputs!$K$4:$AJ$4,0)),NA(),IF(SUMPRODUCT((Inputs!$A$5:$A$110=$B26)*ISNUMBER(INDEX(Inputs!$K$5:$AJ$110,0,MATCH(J$2,Inputs!$K$4:$AJ$4,0))))+SUMPRODUCT((Inputs!$C$5:$C$110=$B26)*ISNUMBER(INDEX(Inputs!$K$5:$AJ$110,0,MATCH(J$2,Inputs!$K$4:$AJ$4,0))))+SUMPRODUCT((Inputs!$E$5:$E$110=$B26)*ISNUMBER(INDEX(Inputs!$K$5:$AJ$110,0,MATCH(J$2,Inputs!$K$4:$AJ$4,0))))=0,NA(),SUMPRODUCT((Inputs!$A$5:$A$110=$B26)*Inputs!$B$5:$B$110*(((Inputs!$G$5:$G$110="moeda")+(Inputs!$G$5:$G$110="acoes"))*Inputs!$B$1+((Inputs!$G$5:$G$110&lt;&gt;"moeda")*(Inputs!$G$5:$G$110&lt;&gt;"acoes")))*INDEX(Inputs!$K$5:$AJ$110,0,MATCH(J$2,Inputs!$K$4:$AJ$4,0)))+SUMPRODUCT((Inputs!$C$5:$C$110=$B26)*Inputs!$D$5:$D$110*(((Inputs!$G$5:$G$110="moeda")+(Inputs!$G$5:$G$110="acoes"))*Inputs!$B$1+((Inputs!$G$5:$G$110&lt;&gt;"moeda")*(Inputs!$G$5:$G$110&lt;&gt;"acoes")))*INDEX(Inputs!$K$5:$AJ$110,0,MATCH(J$2,Inputs!$K$4:$AJ$4,0)))+SUMPRODUCT((Inputs!$E$5:$E$110=$B26)*Inputs!$F$5:$F$110*(((Inputs!$G$5:$G$110="moeda")+(Inputs!$G$5:$G$110="acoes"))*Inputs!$B$1+((Inputs!$G$5:$G$110&lt;&gt;"moeda")*(Inputs!$G$5:$G$110&lt;&gt;"acoes")))*INDEX(Inputs!$K$5:$AJ$110,0,MATCH(J$2,Inputs!$K$4:$AJ$4,0)))))</f>
        <v>1733</v>
      </c>
      <c r="K26" s="6">
        <f>IF(ISNA(MATCH(K$2,Inputs!$K$4:$AJ$4,0)),NA(),IF(SUMPRODUCT((Inputs!$A$5:$A$110=$B26)*ISNUMBER(INDEX(Inputs!$K$5:$AJ$110,0,MATCH(K$2,Inputs!$K$4:$AJ$4,0))))+SUMPRODUCT((Inputs!$C$5:$C$110=$B26)*ISNUMBER(INDEX(Inputs!$K$5:$AJ$110,0,MATCH(K$2,Inputs!$K$4:$AJ$4,0))))+SUMPRODUCT((Inputs!$E$5:$E$110=$B26)*ISNUMBER(INDEX(Inputs!$K$5:$AJ$110,0,MATCH(K$2,Inputs!$K$4:$AJ$4,0))))=0,NA(),SUMPRODUCT((Inputs!$A$5:$A$110=$B26)*Inputs!$B$5:$B$110*(((Inputs!$G$5:$G$110="moeda")+(Inputs!$G$5:$G$110="acoes"))*Inputs!$B$1+((Inputs!$G$5:$G$110&lt;&gt;"moeda")*(Inputs!$G$5:$G$110&lt;&gt;"acoes")))*INDEX(Inputs!$K$5:$AJ$110,0,MATCH(K$2,Inputs!$K$4:$AJ$4,0)))+SUMPRODUCT((Inputs!$C$5:$C$110=$B26)*Inputs!$D$5:$D$110*(((Inputs!$G$5:$G$110="moeda")+(Inputs!$G$5:$G$110="acoes"))*Inputs!$B$1+((Inputs!$G$5:$G$110&lt;&gt;"moeda")*(Inputs!$G$5:$G$110&lt;&gt;"acoes")))*INDEX(Inputs!$K$5:$AJ$110,0,MATCH(K$2,Inputs!$K$4:$AJ$4,0)))+SUMPRODUCT((Inputs!$E$5:$E$110=$B26)*Inputs!$F$5:$F$110*(((Inputs!$G$5:$G$110="moeda")+(Inputs!$G$5:$G$110="acoes"))*Inputs!$B$1+((Inputs!$G$5:$G$110&lt;&gt;"moeda")*(Inputs!$G$5:$G$110&lt;&gt;"acoes")))*INDEX(Inputs!$K$5:$AJ$110,0,MATCH(K$2,Inputs!$K$4:$AJ$4,0)))))</f>
        <v>1797</v>
      </c>
      <c r="L26" s="6">
        <f>IF(ISNA(MATCH(L$2,Inputs!$K$4:$AJ$4,0)),NA(),IF(SUMPRODUCT((Inputs!$A$5:$A$110=$B26)*ISNUMBER(INDEX(Inputs!$K$5:$AJ$110,0,MATCH(L$2,Inputs!$K$4:$AJ$4,0))))+SUMPRODUCT((Inputs!$C$5:$C$110=$B26)*ISNUMBER(INDEX(Inputs!$K$5:$AJ$110,0,MATCH(L$2,Inputs!$K$4:$AJ$4,0))))+SUMPRODUCT((Inputs!$E$5:$E$110=$B26)*ISNUMBER(INDEX(Inputs!$K$5:$AJ$110,0,MATCH(L$2,Inputs!$K$4:$AJ$4,0))))=0,NA(),SUMPRODUCT((Inputs!$A$5:$A$110=$B26)*Inputs!$B$5:$B$110*(((Inputs!$G$5:$G$110="moeda")+(Inputs!$G$5:$G$110="acoes"))*Inputs!$B$1+((Inputs!$G$5:$G$110&lt;&gt;"moeda")*(Inputs!$G$5:$G$110&lt;&gt;"acoes")))*INDEX(Inputs!$K$5:$AJ$110,0,MATCH(L$2,Inputs!$K$4:$AJ$4,0)))+SUMPRODUCT((Inputs!$C$5:$C$110=$B26)*Inputs!$D$5:$D$110*(((Inputs!$G$5:$G$110="moeda")+(Inputs!$G$5:$G$110="acoes"))*Inputs!$B$1+((Inputs!$G$5:$G$110&lt;&gt;"moeda")*(Inputs!$G$5:$G$110&lt;&gt;"acoes")))*INDEX(Inputs!$K$5:$AJ$110,0,MATCH(L$2,Inputs!$K$4:$AJ$4,0)))+SUMPRODUCT((Inputs!$E$5:$E$110=$B26)*Inputs!$F$5:$F$110*(((Inputs!$G$5:$G$110="moeda")+(Inputs!$G$5:$G$110="acoes"))*Inputs!$B$1+((Inputs!$G$5:$G$110&lt;&gt;"moeda")*(Inputs!$G$5:$G$110&lt;&gt;"acoes")))*INDEX(Inputs!$K$5:$AJ$110,0,MATCH(L$2,Inputs!$K$4:$AJ$4,0)))))</f>
        <v>2100</v>
      </c>
      <c r="M26" s="3">
        <f>L26</f>
        <v>2100</v>
      </c>
      <c r="N26" s="6">
        <f>IF(ISNA(MATCH(N$2,Inputs!$K$4:$AJ$4,0)),NA(),IF(SUMPRODUCT((Inputs!$A$5:$A$110=$B26)*ISNUMBER(INDEX(Inputs!$K$5:$AJ$110,0,MATCH(N$2,Inputs!$K$4:$AJ$4,0))))+SUMPRODUCT((Inputs!$C$5:$C$110=$B26)*ISNUMBER(INDEX(Inputs!$K$5:$AJ$110,0,MATCH(N$2,Inputs!$K$4:$AJ$4,0))))+SUMPRODUCT((Inputs!$E$5:$E$110=$B26)*ISNUMBER(INDEX(Inputs!$K$5:$AJ$110,0,MATCH(N$2,Inputs!$K$4:$AJ$4,0))))=0,NA(),SUMPRODUCT((Inputs!$A$5:$A$110=$B26)*Inputs!$B$5:$B$110*(((Inputs!$G$5:$G$110="moeda")+(Inputs!$G$5:$G$110="acoes"))*Inputs!$B$1+((Inputs!$G$5:$G$110&lt;&gt;"moeda")*(Inputs!$G$5:$G$110&lt;&gt;"acoes")))*INDEX(Inputs!$K$5:$AJ$110,0,MATCH(N$2,Inputs!$K$4:$AJ$4,0)))+SUMPRODUCT((Inputs!$C$5:$C$110=$B26)*Inputs!$D$5:$D$110*(((Inputs!$G$5:$G$110="moeda")+(Inputs!$G$5:$G$110="acoes"))*Inputs!$B$1+((Inputs!$G$5:$G$110&lt;&gt;"moeda")*(Inputs!$G$5:$G$110&lt;&gt;"acoes")))*INDEX(Inputs!$K$5:$AJ$110,0,MATCH(N$2,Inputs!$K$4:$AJ$4,0)))+SUMPRODUCT((Inputs!$E$5:$E$110=$B26)*Inputs!$F$5:$F$110*(((Inputs!$G$5:$G$110="moeda")+(Inputs!$G$5:$G$110="acoes"))*Inputs!$B$1+((Inputs!$G$5:$G$110&lt;&gt;"moeda")*(Inputs!$G$5:$G$110&lt;&gt;"acoes")))*INDEX(Inputs!$K$5:$AJ$110,0,MATCH(N$2,Inputs!$K$4:$AJ$4,0)))))</f>
        <v>2539</v>
      </c>
      <c r="O26" s="6">
        <f>IF(ISNA(MATCH(O$2,Inputs!$K$4:$AJ$4,0)),NA(),IF(SUMPRODUCT((Inputs!$A$5:$A$110=$B26)*ISNUMBER(INDEX(Inputs!$K$5:$AJ$110,0,MATCH(O$2,Inputs!$K$4:$AJ$4,0))))+SUMPRODUCT((Inputs!$C$5:$C$110=$B26)*ISNUMBER(INDEX(Inputs!$K$5:$AJ$110,0,MATCH(O$2,Inputs!$K$4:$AJ$4,0))))+SUMPRODUCT((Inputs!$E$5:$E$110=$B26)*ISNUMBER(INDEX(Inputs!$K$5:$AJ$110,0,MATCH(O$2,Inputs!$K$4:$AJ$4,0))))=0,NA(),SUMPRODUCT((Inputs!$A$5:$A$110=$B26)*Inputs!$B$5:$B$110*(((Inputs!$G$5:$G$110="moeda")+(Inputs!$G$5:$G$110="acoes"))*Inputs!$B$1+((Inputs!$G$5:$G$110&lt;&gt;"moeda")*(Inputs!$G$5:$G$110&lt;&gt;"acoes")))*INDEX(Inputs!$K$5:$AJ$110,0,MATCH(O$2,Inputs!$K$4:$AJ$4,0)))+SUMPRODUCT((Inputs!$C$5:$C$110=$B26)*Inputs!$D$5:$D$110*(((Inputs!$G$5:$G$110="moeda")+(Inputs!$G$5:$G$110="acoes"))*Inputs!$B$1+((Inputs!$G$5:$G$110&lt;&gt;"moeda")*(Inputs!$G$5:$G$110&lt;&gt;"acoes")))*INDEX(Inputs!$K$5:$AJ$110,0,MATCH(O$2,Inputs!$K$4:$AJ$4,0)))+SUMPRODUCT((Inputs!$E$5:$E$110=$B26)*Inputs!$F$5:$F$110*(((Inputs!$G$5:$G$110="moeda")+(Inputs!$G$5:$G$110="acoes"))*Inputs!$B$1+((Inputs!$G$5:$G$110&lt;&gt;"moeda")*(Inputs!$G$5:$G$110&lt;&gt;"acoes")))*INDEX(Inputs!$K$5:$AJ$110,0,MATCH(O$2,Inputs!$K$4:$AJ$4,0)))))</f>
        <v>2809</v>
      </c>
      <c r="P26" s="6">
        <f>IF(ISNA(MATCH(P$2,Inputs!$K$4:$AJ$4,0)),NA(),IF(SUMPRODUCT((Inputs!$A$5:$A$110=$B26)*ISNUMBER(INDEX(Inputs!$K$5:$AJ$110,0,MATCH(P$2,Inputs!$K$4:$AJ$4,0))))+SUMPRODUCT((Inputs!$C$5:$C$110=$B26)*ISNUMBER(INDEX(Inputs!$K$5:$AJ$110,0,MATCH(P$2,Inputs!$K$4:$AJ$4,0))))+SUMPRODUCT((Inputs!$E$5:$E$110=$B26)*ISNUMBER(INDEX(Inputs!$K$5:$AJ$110,0,MATCH(P$2,Inputs!$K$4:$AJ$4,0))))=0,NA(),SUMPRODUCT((Inputs!$A$5:$A$110=$B26)*Inputs!$B$5:$B$110*(((Inputs!$G$5:$G$110="moeda")+(Inputs!$G$5:$G$110="acoes"))*Inputs!$B$1+((Inputs!$G$5:$G$110&lt;&gt;"moeda")*(Inputs!$G$5:$G$110&lt;&gt;"acoes")))*INDEX(Inputs!$K$5:$AJ$110,0,MATCH(P$2,Inputs!$K$4:$AJ$4,0)))+SUMPRODUCT((Inputs!$C$5:$C$110=$B26)*Inputs!$D$5:$D$110*(((Inputs!$G$5:$G$110="moeda")+(Inputs!$G$5:$G$110="acoes"))*Inputs!$B$1+((Inputs!$G$5:$G$110&lt;&gt;"moeda")*(Inputs!$G$5:$G$110&lt;&gt;"acoes")))*INDEX(Inputs!$K$5:$AJ$110,0,MATCH(P$2,Inputs!$K$4:$AJ$4,0)))+SUMPRODUCT((Inputs!$E$5:$E$110=$B26)*Inputs!$F$5:$F$110*(((Inputs!$G$5:$G$110="moeda")+(Inputs!$G$5:$G$110="acoes"))*Inputs!$B$1+((Inputs!$G$5:$G$110&lt;&gt;"moeda")*(Inputs!$G$5:$G$110&lt;&gt;"acoes")))*INDEX(Inputs!$K$5:$AJ$110,0,MATCH(P$2,Inputs!$K$4:$AJ$4,0)))))</f>
        <v>2340</v>
      </c>
      <c r="Q26" s="6">
        <f>IF(ISNA(MATCH(Q$2,Inputs!$K$4:$AJ$4,0)),NA(),IF(SUMPRODUCT((Inputs!$A$5:$A$110=$B26)*ISNUMBER(INDEX(Inputs!$K$5:$AJ$110,0,MATCH(Q$2,Inputs!$K$4:$AJ$4,0))))+SUMPRODUCT((Inputs!$C$5:$C$110=$B26)*ISNUMBER(INDEX(Inputs!$K$5:$AJ$110,0,MATCH(Q$2,Inputs!$K$4:$AJ$4,0))))+SUMPRODUCT((Inputs!$E$5:$E$110=$B26)*ISNUMBER(INDEX(Inputs!$K$5:$AJ$110,0,MATCH(Q$2,Inputs!$K$4:$AJ$4,0))))=0,NA(),SUMPRODUCT((Inputs!$A$5:$A$110=$B26)*Inputs!$B$5:$B$110*(((Inputs!$G$5:$G$110="moeda")+(Inputs!$G$5:$G$110="acoes"))*Inputs!$B$1+((Inputs!$G$5:$G$110&lt;&gt;"moeda")*(Inputs!$G$5:$G$110&lt;&gt;"acoes")))*INDEX(Inputs!$K$5:$AJ$110,0,MATCH(Q$2,Inputs!$K$4:$AJ$4,0)))+SUMPRODUCT((Inputs!$C$5:$C$110=$B26)*Inputs!$D$5:$D$110*(((Inputs!$G$5:$G$110="moeda")+(Inputs!$G$5:$G$110="acoes"))*Inputs!$B$1+((Inputs!$G$5:$G$110&lt;&gt;"moeda")*(Inputs!$G$5:$G$110&lt;&gt;"acoes")))*INDEX(Inputs!$K$5:$AJ$110,0,MATCH(Q$2,Inputs!$K$4:$AJ$4,0)))+SUMPRODUCT((Inputs!$E$5:$E$110=$B26)*Inputs!$F$5:$F$110*(((Inputs!$G$5:$G$110="moeda")+(Inputs!$G$5:$G$110="acoes"))*Inputs!$B$1+((Inputs!$G$5:$G$110&lt;&gt;"moeda")*(Inputs!$G$5:$G$110&lt;&gt;"acoes")))*INDEX(Inputs!$K$5:$AJ$110,0,MATCH(Q$2,Inputs!$K$4:$AJ$4,0)))))</f>
        <v>3245</v>
      </c>
      <c r="R26" s="3">
        <f>Q26</f>
        <v>3245</v>
      </c>
      <c r="S26" s="6">
        <f>IF(ISNA(MATCH(S$2,Inputs!$K$4:$AJ$4,0)),NA(),IF(SUMPRODUCT((Inputs!$A$5:$A$110=$B26)*ISNUMBER(INDEX(Inputs!$K$5:$AJ$110,0,MATCH(S$2,Inputs!$K$4:$AJ$4,0))))+SUMPRODUCT((Inputs!$C$5:$C$110=$B26)*ISNUMBER(INDEX(Inputs!$K$5:$AJ$110,0,MATCH(S$2,Inputs!$K$4:$AJ$4,0))))+SUMPRODUCT((Inputs!$E$5:$E$110=$B26)*ISNUMBER(INDEX(Inputs!$K$5:$AJ$110,0,MATCH(S$2,Inputs!$K$4:$AJ$4,0))))=0,NA(),SUMPRODUCT((Inputs!$A$5:$A$110=$B26)*Inputs!$B$5:$B$110*(((Inputs!$G$5:$G$110="moeda")+(Inputs!$G$5:$G$110="acoes"))*Inputs!$B$1+((Inputs!$G$5:$G$110&lt;&gt;"moeda")*(Inputs!$G$5:$G$110&lt;&gt;"acoes")))*INDEX(Inputs!$K$5:$AJ$110,0,MATCH(S$2,Inputs!$K$4:$AJ$4,0)))+SUMPRODUCT((Inputs!$C$5:$C$110=$B26)*Inputs!$D$5:$D$110*(((Inputs!$G$5:$G$110="moeda")+(Inputs!$G$5:$G$110="acoes"))*Inputs!$B$1+((Inputs!$G$5:$G$110&lt;&gt;"moeda")*(Inputs!$G$5:$G$110&lt;&gt;"acoes")))*INDEX(Inputs!$K$5:$AJ$110,0,MATCH(S$2,Inputs!$K$4:$AJ$4,0)))+SUMPRODUCT((Inputs!$E$5:$E$110=$B26)*Inputs!$F$5:$F$110*(((Inputs!$G$5:$G$110="moeda")+(Inputs!$G$5:$G$110="acoes"))*Inputs!$B$1+((Inputs!$G$5:$G$110&lt;&gt;"moeda")*(Inputs!$G$5:$G$110&lt;&gt;"acoes")))*INDEX(Inputs!$K$5:$AJ$110,0,MATCH(S$2,Inputs!$K$4:$AJ$4,0)))))</f>
        <v>3961</v>
      </c>
      <c r="T26" s="6">
        <f>IF(ISNA(MATCH(T$2,Inputs!$K$4:$AJ$4,0)),NA(),IF(SUMPRODUCT((Inputs!$A$5:$A$110=$B26)*ISNUMBER(INDEX(Inputs!$K$5:$AJ$110,0,MATCH(T$2,Inputs!$K$4:$AJ$4,0))))+SUMPRODUCT((Inputs!$C$5:$C$110=$B26)*ISNUMBER(INDEX(Inputs!$K$5:$AJ$110,0,MATCH(T$2,Inputs!$K$4:$AJ$4,0))))+SUMPRODUCT((Inputs!$E$5:$E$110=$B26)*ISNUMBER(INDEX(Inputs!$K$5:$AJ$110,0,MATCH(T$2,Inputs!$K$4:$AJ$4,0))))=0,NA(),SUMPRODUCT((Inputs!$A$5:$A$110=$B26)*Inputs!$B$5:$B$110*(((Inputs!$G$5:$G$110="moeda")+(Inputs!$G$5:$G$110="acoes"))*Inputs!$B$1+((Inputs!$G$5:$G$110&lt;&gt;"moeda")*(Inputs!$G$5:$G$110&lt;&gt;"acoes")))*INDEX(Inputs!$K$5:$AJ$110,0,MATCH(T$2,Inputs!$K$4:$AJ$4,0)))+SUMPRODUCT((Inputs!$C$5:$C$110=$B26)*Inputs!$D$5:$D$110*(((Inputs!$G$5:$G$110="moeda")+(Inputs!$G$5:$G$110="acoes"))*Inputs!$B$1+((Inputs!$G$5:$G$110&lt;&gt;"moeda")*(Inputs!$G$5:$G$110&lt;&gt;"acoes")))*INDEX(Inputs!$K$5:$AJ$110,0,MATCH(T$2,Inputs!$K$4:$AJ$4,0)))+SUMPRODUCT((Inputs!$E$5:$E$110=$B26)*Inputs!$F$5:$F$110*(((Inputs!$G$5:$G$110="moeda")+(Inputs!$G$5:$G$110="acoes"))*Inputs!$B$1+((Inputs!$G$5:$G$110&lt;&gt;"moeda")*(Inputs!$G$5:$G$110&lt;&gt;"acoes")))*INDEX(Inputs!$K$5:$AJ$110,0,MATCH(T$2,Inputs!$K$4:$AJ$4,0)))))</f>
        <v>4510</v>
      </c>
      <c r="U26" s="6">
        <f>IF(ISNA(MATCH(U$2,Inputs!$K$4:$AJ$4,0)),NA(),IF(SUMPRODUCT((Inputs!$A$5:$A$110=$B26)*ISNUMBER(INDEX(Inputs!$K$5:$AJ$110,0,MATCH(U$2,Inputs!$K$4:$AJ$4,0))))+SUMPRODUCT((Inputs!$C$5:$C$110=$B26)*ISNUMBER(INDEX(Inputs!$K$5:$AJ$110,0,MATCH(U$2,Inputs!$K$4:$AJ$4,0))))+SUMPRODUCT((Inputs!$E$5:$E$110=$B26)*ISNUMBER(INDEX(Inputs!$K$5:$AJ$110,0,MATCH(U$2,Inputs!$K$4:$AJ$4,0))))=0,NA(),SUMPRODUCT((Inputs!$A$5:$A$110=$B26)*Inputs!$B$5:$B$110*(((Inputs!$G$5:$G$110="moeda")+(Inputs!$G$5:$G$110="acoes"))*Inputs!$B$1+((Inputs!$G$5:$G$110&lt;&gt;"moeda")*(Inputs!$G$5:$G$110&lt;&gt;"acoes")))*INDEX(Inputs!$K$5:$AJ$110,0,MATCH(U$2,Inputs!$K$4:$AJ$4,0)))+SUMPRODUCT((Inputs!$C$5:$C$110=$B26)*Inputs!$D$5:$D$110*(((Inputs!$G$5:$G$110="moeda")+(Inputs!$G$5:$G$110="acoes"))*Inputs!$B$1+((Inputs!$G$5:$G$110&lt;&gt;"moeda")*(Inputs!$G$5:$G$110&lt;&gt;"acoes")))*INDEX(Inputs!$K$5:$AJ$110,0,MATCH(U$2,Inputs!$K$4:$AJ$4,0)))+SUMPRODUCT((Inputs!$E$5:$E$110=$B26)*Inputs!$F$5:$F$110*(((Inputs!$G$5:$G$110="moeda")+(Inputs!$G$5:$G$110="acoes"))*Inputs!$B$1+((Inputs!$G$5:$G$110&lt;&gt;"moeda")*(Inputs!$G$5:$G$110&lt;&gt;"acoes")))*INDEX(Inputs!$K$5:$AJ$110,0,MATCH(U$2,Inputs!$K$4:$AJ$4,0)))))</f>
        <v>5073</v>
      </c>
      <c r="V26" s="6">
        <f>IF(ISNA(MATCH(V$2,Inputs!$K$4:$AJ$4,0)),NA(),IF(SUMPRODUCT((Inputs!$A$5:$A$110=$B26)*ISNUMBER(INDEX(Inputs!$K$5:$AJ$110,0,MATCH(V$2,Inputs!$K$4:$AJ$4,0))))+SUMPRODUCT((Inputs!$C$5:$C$110=$B26)*ISNUMBER(INDEX(Inputs!$K$5:$AJ$110,0,MATCH(V$2,Inputs!$K$4:$AJ$4,0))))+SUMPRODUCT((Inputs!$E$5:$E$110=$B26)*ISNUMBER(INDEX(Inputs!$K$5:$AJ$110,0,MATCH(V$2,Inputs!$K$4:$AJ$4,0))))=0,NA(),SUMPRODUCT((Inputs!$A$5:$A$110=$B26)*Inputs!$B$5:$B$110*(((Inputs!$G$5:$G$110="moeda")+(Inputs!$G$5:$G$110="acoes"))*Inputs!$B$1+((Inputs!$G$5:$G$110&lt;&gt;"moeda")*(Inputs!$G$5:$G$110&lt;&gt;"acoes")))*INDEX(Inputs!$K$5:$AJ$110,0,MATCH(V$2,Inputs!$K$4:$AJ$4,0)))+SUMPRODUCT((Inputs!$C$5:$C$110=$B26)*Inputs!$D$5:$D$110*(((Inputs!$G$5:$G$110="moeda")+(Inputs!$G$5:$G$110="acoes"))*Inputs!$B$1+((Inputs!$G$5:$G$110&lt;&gt;"moeda")*(Inputs!$G$5:$G$110&lt;&gt;"acoes")))*INDEX(Inputs!$K$5:$AJ$110,0,MATCH(V$2,Inputs!$K$4:$AJ$4,0)))+SUMPRODUCT((Inputs!$E$5:$E$110=$B26)*Inputs!$F$5:$F$110*(((Inputs!$G$5:$G$110="moeda")+(Inputs!$G$5:$G$110="acoes"))*Inputs!$B$1+((Inputs!$G$5:$G$110&lt;&gt;"moeda")*(Inputs!$G$5:$G$110&lt;&gt;"acoes")))*INDEX(Inputs!$K$5:$AJ$110,0,MATCH(V$2,Inputs!$K$4:$AJ$4,0)))))</f>
        <v>5449</v>
      </c>
      <c r="W26" s="3">
        <f>V26</f>
        <v>5449</v>
      </c>
      <c r="X26" s="6">
        <f>IF(ISNA(MATCH(X$2,Inputs!$K$4:$AJ$4,0)),NA(),IF(SUMPRODUCT((Inputs!$A$5:$A$110=$B26)*ISNUMBER(INDEX(Inputs!$K$5:$AJ$110,0,MATCH(X$2,Inputs!$K$4:$AJ$4,0))))+SUMPRODUCT((Inputs!$C$5:$C$110=$B26)*ISNUMBER(INDEX(Inputs!$K$5:$AJ$110,0,MATCH(X$2,Inputs!$K$4:$AJ$4,0))))+SUMPRODUCT((Inputs!$E$5:$E$110=$B26)*ISNUMBER(INDEX(Inputs!$K$5:$AJ$110,0,MATCH(X$2,Inputs!$K$4:$AJ$4,0))))=0,NA(),SUMPRODUCT((Inputs!$A$5:$A$110=$B26)*Inputs!$B$5:$B$110*(((Inputs!$G$5:$G$110="moeda")+(Inputs!$G$5:$G$110="acoes"))*Inputs!$B$1+((Inputs!$G$5:$G$110&lt;&gt;"moeda")*(Inputs!$G$5:$G$110&lt;&gt;"acoes")))*INDEX(Inputs!$K$5:$AJ$110,0,MATCH(X$2,Inputs!$K$4:$AJ$4,0)))+SUMPRODUCT((Inputs!$C$5:$C$110=$B26)*Inputs!$D$5:$D$110*(((Inputs!$G$5:$G$110="moeda")+(Inputs!$G$5:$G$110="acoes"))*Inputs!$B$1+((Inputs!$G$5:$G$110&lt;&gt;"moeda")*(Inputs!$G$5:$G$110&lt;&gt;"acoes")))*INDEX(Inputs!$K$5:$AJ$110,0,MATCH(X$2,Inputs!$K$4:$AJ$4,0)))+SUMPRODUCT((Inputs!$E$5:$E$110=$B26)*Inputs!$F$5:$F$110*(((Inputs!$G$5:$G$110="moeda")+(Inputs!$G$5:$G$110="acoes"))*Inputs!$B$1+((Inputs!$G$5:$G$110&lt;&gt;"moeda")*(Inputs!$G$5:$G$110&lt;&gt;"acoes")))*INDEX(Inputs!$K$5:$AJ$110,0,MATCH(X$2,Inputs!$K$4:$AJ$4,0)))))</f>
        <v>5793</v>
      </c>
      <c r="Y26" s="6">
        <f>IF(ISNA(MATCH(Y$2,Inputs!$K$4:$AJ$4,0)),NA(),IF(SUMPRODUCT((Inputs!$A$5:$A$110=$B26)*ISNUMBER(INDEX(Inputs!$K$5:$AJ$110,0,MATCH(Y$2,Inputs!$K$4:$AJ$4,0))))+SUMPRODUCT((Inputs!$C$5:$C$110=$B26)*ISNUMBER(INDEX(Inputs!$K$5:$AJ$110,0,MATCH(Y$2,Inputs!$K$4:$AJ$4,0))))+SUMPRODUCT((Inputs!$E$5:$E$110=$B26)*ISNUMBER(INDEX(Inputs!$K$5:$AJ$110,0,MATCH(Y$2,Inputs!$K$4:$AJ$4,0))))=0,NA(),SUMPRODUCT((Inputs!$A$5:$A$110=$B26)*Inputs!$B$5:$B$110*(((Inputs!$G$5:$G$110="moeda")+(Inputs!$G$5:$G$110="acoes"))*Inputs!$B$1+((Inputs!$G$5:$G$110&lt;&gt;"moeda")*(Inputs!$G$5:$G$110&lt;&gt;"acoes")))*INDEX(Inputs!$K$5:$AJ$110,0,MATCH(Y$2,Inputs!$K$4:$AJ$4,0)))+SUMPRODUCT((Inputs!$C$5:$C$110=$B26)*Inputs!$D$5:$D$110*(((Inputs!$G$5:$G$110="moeda")+(Inputs!$G$5:$G$110="acoes"))*Inputs!$B$1+((Inputs!$G$5:$G$110&lt;&gt;"moeda")*(Inputs!$G$5:$G$110&lt;&gt;"acoes")))*INDEX(Inputs!$K$5:$AJ$110,0,MATCH(Y$2,Inputs!$K$4:$AJ$4,0)))+SUMPRODUCT((Inputs!$E$5:$E$110=$B26)*Inputs!$F$5:$F$110*(((Inputs!$G$5:$G$110="moeda")+(Inputs!$G$5:$G$110="acoes"))*Inputs!$B$1+((Inputs!$G$5:$G$110&lt;&gt;"moeda")*(Inputs!$G$5:$G$110&lt;&gt;"acoes")))*INDEX(Inputs!$K$5:$AJ$110,0,MATCH(Y$2,Inputs!$K$4:$AJ$4,0)))))</f>
        <v>6027</v>
      </c>
      <c r="Z26" s="6">
        <f>IF(ISNA(MATCH(Z$2,Inputs!$K$4:$AJ$4,0)),NA(),IF(SUMPRODUCT((Inputs!$A$5:$A$110=$B26)*ISNUMBER(INDEX(Inputs!$K$5:$AJ$110,0,MATCH(Z$2,Inputs!$K$4:$AJ$4,0))))+SUMPRODUCT((Inputs!$C$5:$C$110=$B26)*ISNUMBER(INDEX(Inputs!$K$5:$AJ$110,0,MATCH(Z$2,Inputs!$K$4:$AJ$4,0))))+SUMPRODUCT((Inputs!$E$5:$E$110=$B26)*ISNUMBER(INDEX(Inputs!$K$5:$AJ$110,0,MATCH(Z$2,Inputs!$K$4:$AJ$4,0))))=0,NA(),SUMPRODUCT((Inputs!$A$5:$A$110=$B26)*Inputs!$B$5:$B$110*(((Inputs!$G$5:$G$110="moeda")+(Inputs!$G$5:$G$110="acoes"))*Inputs!$B$1+((Inputs!$G$5:$G$110&lt;&gt;"moeda")*(Inputs!$G$5:$G$110&lt;&gt;"acoes")))*INDEX(Inputs!$K$5:$AJ$110,0,MATCH(Z$2,Inputs!$K$4:$AJ$4,0)))+SUMPRODUCT((Inputs!$C$5:$C$110=$B26)*Inputs!$D$5:$D$110*(((Inputs!$G$5:$G$110="moeda")+(Inputs!$G$5:$G$110="acoes"))*Inputs!$B$1+((Inputs!$G$5:$G$110&lt;&gt;"moeda")*(Inputs!$G$5:$G$110&lt;&gt;"acoes")))*INDEX(Inputs!$K$5:$AJ$110,0,MATCH(Z$2,Inputs!$K$4:$AJ$4,0)))+SUMPRODUCT((Inputs!$E$5:$E$110=$B26)*Inputs!$F$5:$F$110*(((Inputs!$G$5:$G$110="moeda")+(Inputs!$G$5:$G$110="acoes"))*Inputs!$B$1+((Inputs!$G$5:$G$110&lt;&gt;"moeda")*(Inputs!$G$5:$G$110&lt;&gt;"acoes")))*INDEX(Inputs!$K$5:$AJ$110,0,MATCH(Z$2,Inputs!$K$4:$AJ$4,0)))))</f>
        <v>6915</v>
      </c>
      <c r="AA26" s="6">
        <f>IF(ISNA(MATCH(AA$2,Inputs!$K$4:$AJ$4,0)),NA(),IF(SUMPRODUCT((Inputs!$A$5:$A$110=$B26)*ISNUMBER(INDEX(Inputs!$K$5:$AJ$110,0,MATCH(AA$2,Inputs!$K$4:$AJ$4,0))))+SUMPRODUCT((Inputs!$C$5:$C$110=$B26)*ISNUMBER(INDEX(Inputs!$K$5:$AJ$110,0,MATCH(AA$2,Inputs!$K$4:$AJ$4,0))))+SUMPRODUCT((Inputs!$E$5:$E$110=$B26)*ISNUMBER(INDEX(Inputs!$K$5:$AJ$110,0,MATCH(AA$2,Inputs!$K$4:$AJ$4,0))))=0,NA(),SUMPRODUCT((Inputs!$A$5:$A$110=$B26)*Inputs!$B$5:$B$110*(((Inputs!$G$5:$G$110="moeda")+(Inputs!$G$5:$G$110="acoes"))*Inputs!$B$1+((Inputs!$G$5:$G$110&lt;&gt;"moeda")*(Inputs!$G$5:$G$110&lt;&gt;"acoes")))*INDEX(Inputs!$K$5:$AJ$110,0,MATCH(AA$2,Inputs!$K$4:$AJ$4,0)))+SUMPRODUCT((Inputs!$C$5:$C$110=$B26)*Inputs!$D$5:$D$110*(((Inputs!$G$5:$G$110="moeda")+(Inputs!$G$5:$G$110="acoes"))*Inputs!$B$1+((Inputs!$G$5:$G$110&lt;&gt;"moeda")*(Inputs!$G$5:$G$110&lt;&gt;"acoes")))*INDEX(Inputs!$K$5:$AJ$110,0,MATCH(AA$2,Inputs!$K$4:$AJ$4,0)))+SUMPRODUCT((Inputs!$E$5:$E$110=$B26)*Inputs!$F$5:$F$110*(((Inputs!$G$5:$G$110="moeda")+(Inputs!$G$5:$G$110="acoes"))*Inputs!$B$1+((Inputs!$G$5:$G$110&lt;&gt;"moeda")*(Inputs!$G$5:$G$110&lt;&gt;"acoes")))*INDEX(Inputs!$K$5:$AJ$110,0,MATCH(AA$2,Inputs!$K$4:$AJ$4,0)))))</f>
        <v>7139</v>
      </c>
      <c r="AB26" s="3">
        <f>AA26</f>
        <v>7139</v>
      </c>
      <c r="AC26" s="6">
        <f>IF(ISNA(MATCH(AC$2,Inputs!$K$4:$AJ$4,0)),NA(),IF(SUMPRODUCT((Inputs!$A$5:$A$110=$B26)*ISNUMBER(INDEX(Inputs!$K$5:$AJ$110,0,MATCH(AC$2,Inputs!$K$4:$AJ$4,0))))+SUMPRODUCT((Inputs!$C$5:$C$110=$B26)*ISNUMBER(INDEX(Inputs!$K$5:$AJ$110,0,MATCH(AC$2,Inputs!$K$4:$AJ$4,0))))+SUMPRODUCT((Inputs!$E$5:$E$110=$B26)*ISNUMBER(INDEX(Inputs!$K$5:$AJ$110,0,MATCH(AC$2,Inputs!$K$4:$AJ$4,0))))=0,NA(),SUMPRODUCT((Inputs!$A$5:$A$110=$B26)*Inputs!$B$5:$B$110*(((Inputs!$G$5:$G$110="moeda")+(Inputs!$G$5:$G$110="acoes"))*Inputs!$B$1+((Inputs!$G$5:$G$110&lt;&gt;"moeda")*(Inputs!$G$5:$G$110&lt;&gt;"acoes")))*INDEX(Inputs!$K$5:$AJ$110,0,MATCH(AC$2,Inputs!$K$4:$AJ$4,0)))+SUMPRODUCT((Inputs!$C$5:$C$110=$B26)*Inputs!$D$5:$D$110*(((Inputs!$G$5:$G$110="moeda")+(Inputs!$G$5:$G$110="acoes"))*Inputs!$B$1+((Inputs!$G$5:$G$110&lt;&gt;"moeda")*(Inputs!$G$5:$G$110&lt;&gt;"acoes")))*INDEX(Inputs!$K$5:$AJ$110,0,MATCH(AC$2,Inputs!$K$4:$AJ$4,0)))+SUMPRODUCT((Inputs!$E$5:$E$110=$B26)*Inputs!$F$5:$F$110*(((Inputs!$G$5:$G$110="moeda")+(Inputs!$G$5:$G$110="acoes"))*Inputs!$B$1+((Inputs!$G$5:$G$110&lt;&gt;"moeda")*(Inputs!$G$5:$G$110&lt;&gt;"acoes")))*INDEX(Inputs!$K$5:$AJ$110,0,MATCH(AC$2,Inputs!$K$4:$AJ$4,0)))))</f>
        <v>8023</v>
      </c>
      <c r="AD26" s="6">
        <f>IF(ISNA(MATCH(AD$2,Inputs!$K$4:$AJ$4,0)),NA(),IF(SUMPRODUCT((Inputs!$A$5:$A$110=$B26)*ISNUMBER(INDEX(Inputs!$K$5:$AJ$110,0,MATCH(AD$2,Inputs!$K$4:$AJ$4,0))))+SUMPRODUCT((Inputs!$C$5:$C$110=$B26)*ISNUMBER(INDEX(Inputs!$K$5:$AJ$110,0,MATCH(AD$2,Inputs!$K$4:$AJ$4,0))))+SUMPRODUCT((Inputs!$E$5:$E$110=$B26)*ISNUMBER(INDEX(Inputs!$K$5:$AJ$110,0,MATCH(AD$2,Inputs!$K$4:$AJ$4,0))))=0,NA(),SUMPRODUCT((Inputs!$A$5:$A$110=$B26)*Inputs!$B$5:$B$110*(((Inputs!$G$5:$G$110="moeda")+(Inputs!$G$5:$G$110="acoes"))*Inputs!$B$1+((Inputs!$G$5:$G$110&lt;&gt;"moeda")*(Inputs!$G$5:$G$110&lt;&gt;"acoes")))*INDEX(Inputs!$K$5:$AJ$110,0,MATCH(AD$2,Inputs!$K$4:$AJ$4,0)))+SUMPRODUCT((Inputs!$C$5:$C$110=$B26)*Inputs!$D$5:$D$110*(((Inputs!$G$5:$G$110="moeda")+(Inputs!$G$5:$G$110="acoes"))*Inputs!$B$1+((Inputs!$G$5:$G$110&lt;&gt;"moeda")*(Inputs!$G$5:$G$110&lt;&gt;"acoes")))*INDEX(Inputs!$K$5:$AJ$110,0,MATCH(AD$2,Inputs!$K$4:$AJ$4,0)))+SUMPRODUCT((Inputs!$E$5:$E$110=$B26)*Inputs!$F$5:$F$110*(((Inputs!$G$5:$G$110="moeda")+(Inputs!$G$5:$G$110="acoes"))*Inputs!$B$1+((Inputs!$G$5:$G$110&lt;&gt;"moeda")*(Inputs!$G$5:$G$110&lt;&gt;"acoes")))*INDEX(Inputs!$K$5:$AJ$110,0,MATCH(AD$2,Inputs!$K$4:$AJ$4,0)))))</f>
        <v>8705</v>
      </c>
      <c r="AE26" s="6" t="e">
        <f>IF(ISNA(MATCH(AE$2,Inputs!$K$4:$AJ$4,0)),NA(),IF(SUMPRODUCT((Inputs!$A$5:$A$110=$B26)*ISNUMBER(INDEX(Inputs!$K$5:$AJ$110,0,MATCH(AE$2,Inputs!$K$4:$AJ$4,0))))+SUMPRODUCT((Inputs!$C$5:$C$110=$B26)*ISNUMBER(INDEX(Inputs!$K$5:$AJ$110,0,MATCH(AE$2,Inputs!$K$4:$AJ$4,0))))+SUMPRODUCT((Inputs!$E$5:$E$110=$B26)*ISNUMBER(INDEX(Inputs!$K$5:$AJ$110,0,MATCH(AE$2,Inputs!$K$4:$AJ$4,0))))=0,NA(),SUMPRODUCT((Inputs!$A$5:$A$110=$B26)*Inputs!$B$5:$B$110*(((Inputs!$G$5:$G$110="moeda")+(Inputs!$G$5:$G$110="acoes"))*Inputs!$B$1+((Inputs!$G$5:$G$110&lt;&gt;"moeda")*(Inputs!$G$5:$G$110&lt;&gt;"acoes")))*INDEX(Inputs!$K$5:$AJ$110,0,MATCH(AE$2,Inputs!$K$4:$AJ$4,0)))+SUMPRODUCT((Inputs!$C$5:$C$110=$B26)*Inputs!$D$5:$D$110*(((Inputs!$G$5:$G$110="moeda")+(Inputs!$G$5:$G$110="acoes"))*Inputs!$B$1+((Inputs!$G$5:$G$110&lt;&gt;"moeda")*(Inputs!$G$5:$G$110&lt;&gt;"acoes")))*INDEX(Inputs!$K$5:$AJ$110,0,MATCH(AE$2,Inputs!$K$4:$AJ$4,0)))+SUMPRODUCT((Inputs!$E$5:$E$110=$B26)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6" s="6" t="e">
        <f>IF(ISNA(MATCH(AF$2,Inputs!$K$4:$AJ$4,0)),NA(),IF(SUMPRODUCT((Inputs!$A$5:$A$110=$B26)*ISNUMBER(INDEX(Inputs!$K$5:$AJ$110,0,MATCH(AF$2,Inputs!$K$4:$AJ$4,0))))+SUMPRODUCT((Inputs!$C$5:$C$110=$B26)*ISNUMBER(INDEX(Inputs!$K$5:$AJ$110,0,MATCH(AF$2,Inputs!$K$4:$AJ$4,0))))+SUMPRODUCT((Inputs!$E$5:$E$110=$B26)*ISNUMBER(INDEX(Inputs!$K$5:$AJ$110,0,MATCH(AF$2,Inputs!$K$4:$AJ$4,0))))=0,NA(),SUMPRODUCT((Inputs!$A$5:$A$110=$B26)*Inputs!$B$5:$B$110*(((Inputs!$G$5:$G$110="moeda")+(Inputs!$G$5:$G$110="acoes"))*Inputs!$B$1+((Inputs!$G$5:$G$110&lt;&gt;"moeda")*(Inputs!$G$5:$G$110&lt;&gt;"acoes")))*INDEX(Inputs!$K$5:$AJ$110,0,MATCH(AF$2,Inputs!$K$4:$AJ$4,0)))+SUMPRODUCT((Inputs!$C$5:$C$110=$B26)*Inputs!$D$5:$D$110*(((Inputs!$G$5:$G$110="moeda")+(Inputs!$G$5:$G$110="acoes"))*Inputs!$B$1+((Inputs!$G$5:$G$110&lt;&gt;"moeda")*(Inputs!$G$5:$G$110&lt;&gt;"acoes")))*INDEX(Inputs!$K$5:$AJ$110,0,MATCH(AF$2,Inputs!$K$4:$AJ$4,0)))+SUMPRODUCT((Inputs!$E$5:$E$110=$B26)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6" s="3" t="e">
        <f>AF26</f>
        <v>#N/A</v>
      </c>
      <c r="AH26" s="6">
        <f>IF(ISNA(MATCH(AH$2,Inputs!$K$4:$AJ$4,0)),NA(),IF(SUMPRODUCT((Inputs!$A$5:$A$110=$B26)*ISNUMBER(INDEX(Inputs!$K$5:$AJ$110,0,MATCH(AH$2,Inputs!$K$4:$AJ$4,0))))+SUMPRODUCT((Inputs!$C$5:$C$110=$B26)*ISNUMBER(INDEX(Inputs!$K$5:$AJ$110,0,MATCH(AH$2,Inputs!$K$4:$AJ$4,0))))+SUMPRODUCT((Inputs!$E$5:$E$110=$B26)*ISNUMBER(INDEX(Inputs!$K$5:$AJ$110,0,MATCH(AH$2,Inputs!$K$4:$AJ$4,0))))=0,NA(),SUMPRODUCT((Inputs!$A$5:$A$110=$B26)*Inputs!$B$5:$B$110*(((Inputs!$G$5:$G$110="moeda")+(Inputs!$G$5:$G$110="acoes"))*Inputs!$B$1+((Inputs!$G$5:$G$110&lt;&gt;"moeda")*(Inputs!$G$5:$G$110&lt;&gt;"acoes")))*INDEX(Inputs!$K$5:$AJ$110,0,MATCH(AH$2,Inputs!$K$4:$AJ$4,0)))+SUMPRODUCT((Inputs!$C$5:$C$110=$B26)*Inputs!$D$5:$D$110*(((Inputs!$G$5:$G$110="moeda")+(Inputs!$G$5:$G$110="acoes"))*Inputs!$B$1+((Inputs!$G$5:$G$110&lt;&gt;"moeda")*(Inputs!$G$5:$G$110&lt;&gt;"acoes")))*INDEX(Inputs!$K$5:$AJ$110,0,MATCH(AH$2,Inputs!$K$4:$AJ$4,0)))+SUMPRODUCT((Inputs!$E$5:$E$110=$B26)*Inputs!$F$5:$F$110*(((Inputs!$G$5:$G$110="moeda")+(Inputs!$G$5:$G$110="acoes"))*Inputs!$B$1+((Inputs!$G$5:$G$110&lt;&gt;"moeda")*(Inputs!$G$5:$G$110&lt;&gt;"acoes")))*INDEX(Inputs!$K$5:$AJ$110,0,MATCH(AH$2,Inputs!$K$4:$AJ$4,0)))))</f>
        <v>1342</v>
      </c>
      <c r="AI26" s="6">
        <f>IF(ISNA(MATCH(AI$2,Inputs!$K$4:$AJ$4,0)),NA(),IF(SUMPRODUCT((Inputs!$A$5:$A$110=$B26)*ISNUMBER(INDEX(Inputs!$K$5:$AJ$110,0,MATCH(AI$2,Inputs!$K$4:$AJ$4,0))))+SUMPRODUCT((Inputs!$C$5:$C$110=$B26)*ISNUMBER(INDEX(Inputs!$K$5:$AJ$110,0,MATCH(AI$2,Inputs!$K$4:$AJ$4,0))))+SUMPRODUCT((Inputs!$E$5:$E$110=$B26)*ISNUMBER(INDEX(Inputs!$K$5:$AJ$110,0,MATCH(AI$2,Inputs!$K$4:$AJ$4,0))))=0,NA(),SUMPRODUCT((Inputs!$A$5:$A$110=$B26)*Inputs!$B$5:$B$110*(((Inputs!$G$5:$G$110="moeda")+(Inputs!$G$5:$G$110="acoes"))*Inputs!$B$1+((Inputs!$G$5:$G$110&lt;&gt;"moeda")*(Inputs!$G$5:$G$110&lt;&gt;"acoes")))*INDEX(Inputs!$K$5:$AJ$110,0,MATCH(AI$2,Inputs!$K$4:$AJ$4,0)))+SUMPRODUCT((Inputs!$C$5:$C$110=$B26)*Inputs!$D$5:$D$110*(((Inputs!$G$5:$G$110="moeda")+(Inputs!$G$5:$G$110="acoes"))*Inputs!$B$1+((Inputs!$G$5:$G$110&lt;&gt;"moeda")*(Inputs!$G$5:$G$110&lt;&gt;"acoes")))*INDEX(Inputs!$K$5:$AJ$110,0,MATCH(AI$2,Inputs!$K$4:$AJ$4,0)))+SUMPRODUCT((Inputs!$E$5:$E$110=$B26)*Inputs!$F$5:$F$110*(((Inputs!$G$5:$G$110="moeda")+(Inputs!$G$5:$G$110="acoes"))*Inputs!$B$1+((Inputs!$G$5:$G$110&lt;&gt;"moeda")*(Inputs!$G$5:$G$110&lt;&gt;"acoes")))*INDEX(Inputs!$K$5:$AJ$110,0,MATCH(AI$2,Inputs!$K$4:$AJ$4,0)))))</f>
        <v>1246</v>
      </c>
      <c r="AJ26" s="6">
        <f>IF(ISNA(MATCH(AJ$2,Inputs!$K$4:$AJ$4,0)),NA(),IF(SUMPRODUCT((Inputs!$A$5:$A$110=$B26)*ISNUMBER(INDEX(Inputs!$K$5:$AJ$110,0,MATCH(AJ$2,Inputs!$K$4:$AJ$4,0))))+SUMPRODUCT((Inputs!$C$5:$C$110=$B26)*ISNUMBER(INDEX(Inputs!$K$5:$AJ$110,0,MATCH(AJ$2,Inputs!$K$4:$AJ$4,0))))+SUMPRODUCT((Inputs!$E$5:$E$110=$B26)*ISNUMBER(INDEX(Inputs!$K$5:$AJ$110,0,MATCH(AJ$2,Inputs!$K$4:$AJ$4,0))))=0,NA(),SUMPRODUCT((Inputs!$A$5:$A$110=$B26)*Inputs!$B$5:$B$110*(((Inputs!$G$5:$G$110="moeda")+(Inputs!$G$5:$G$110="acoes"))*Inputs!$B$1+((Inputs!$G$5:$G$110&lt;&gt;"moeda")*(Inputs!$G$5:$G$110&lt;&gt;"acoes")))*INDEX(Inputs!$K$5:$AJ$110,0,MATCH(AJ$2,Inputs!$K$4:$AJ$4,0)))+SUMPRODUCT((Inputs!$C$5:$C$110=$B26)*Inputs!$D$5:$D$110*(((Inputs!$G$5:$G$110="moeda")+(Inputs!$G$5:$G$110="acoes"))*Inputs!$B$1+((Inputs!$G$5:$G$110&lt;&gt;"moeda")*(Inputs!$G$5:$G$110&lt;&gt;"acoes")))*INDEX(Inputs!$K$5:$AJ$110,0,MATCH(AJ$2,Inputs!$K$4:$AJ$4,0)))+SUMPRODUCT((Inputs!$E$5:$E$110=$B26)*Inputs!$F$5:$F$110*(((Inputs!$G$5:$G$110="moeda")+(Inputs!$G$5:$G$110="acoes"))*Inputs!$B$1+((Inputs!$G$5:$G$110&lt;&gt;"moeda")*(Inputs!$G$5:$G$110&lt;&gt;"acoes")))*INDEX(Inputs!$K$5:$AJ$110,0,MATCH(AJ$2,Inputs!$K$4:$AJ$4,0)))))</f>
        <v>1300</v>
      </c>
      <c r="AK26" s="6">
        <f>IF(ISNA(MATCH(AK$2,Inputs!$K$4:$AJ$4,0)),NA(),IF(SUMPRODUCT((Inputs!$A$5:$A$110=$B26)*ISNUMBER(INDEX(Inputs!$K$5:$AJ$110,0,MATCH(AK$2,Inputs!$K$4:$AJ$4,0))))+SUMPRODUCT((Inputs!$C$5:$C$110=$B26)*ISNUMBER(INDEX(Inputs!$K$5:$AJ$110,0,MATCH(AK$2,Inputs!$K$4:$AJ$4,0))))+SUMPRODUCT((Inputs!$E$5:$E$110=$B26)*ISNUMBER(INDEX(Inputs!$K$5:$AJ$110,0,MATCH(AK$2,Inputs!$K$4:$AJ$4,0))))=0,NA(),SUMPRODUCT((Inputs!$A$5:$A$110=$B26)*Inputs!$B$5:$B$110*(((Inputs!$G$5:$G$110="moeda")+(Inputs!$G$5:$G$110="acoes"))*Inputs!$B$1+((Inputs!$G$5:$G$110&lt;&gt;"moeda")*(Inputs!$G$5:$G$110&lt;&gt;"acoes")))*INDEX(Inputs!$K$5:$AJ$110,0,MATCH(AK$2,Inputs!$K$4:$AJ$4,0)))+SUMPRODUCT((Inputs!$C$5:$C$110=$B26)*Inputs!$D$5:$D$110*(((Inputs!$G$5:$G$110="moeda")+(Inputs!$G$5:$G$110="acoes"))*Inputs!$B$1+((Inputs!$G$5:$G$110&lt;&gt;"moeda")*(Inputs!$G$5:$G$110&lt;&gt;"acoes")))*INDEX(Inputs!$K$5:$AJ$110,0,MATCH(AK$2,Inputs!$K$4:$AJ$4,0)))+SUMPRODUCT((Inputs!$E$5:$E$110=$B26)*Inputs!$F$5:$F$110*(((Inputs!$G$5:$G$110="moeda")+(Inputs!$G$5:$G$110="acoes"))*Inputs!$B$1+((Inputs!$G$5:$G$110&lt;&gt;"moeda")*(Inputs!$G$5:$G$110&lt;&gt;"acoes")))*INDEX(Inputs!$K$5:$AJ$110,0,MATCH(AK$2,Inputs!$K$4:$AJ$4,0)))))</f>
        <v>1300</v>
      </c>
      <c r="AL26" s="3">
        <f>AK26</f>
        <v>1300</v>
      </c>
    </row>
    <row r="27">
      <c r="C27" s="1" t="n"/>
    </row>
    <row r="28">
      <c r="B28" s="46" t="n">
        <v>23</v>
      </c>
      <c r="C28" s="26" t="inlineStr">
        <is>
          <t>Accounts payable</t>
        </is>
      </c>
      <c r="D28" s="6">
        <f>IF(ISNA(MATCH(D$2,Inputs!$K$4:$AJ$4,0)),NA(),IF(SUMPRODUCT((Inputs!$A$5:$A$110=$B28)*ISNUMBER(INDEX(Inputs!$K$5:$AJ$110,0,MATCH(D$2,Inputs!$K$4:$AJ$4,0))))+SUMPRODUCT((Inputs!$C$5:$C$110=$B28)*ISNUMBER(INDEX(Inputs!$K$5:$AJ$110,0,MATCH(D$2,Inputs!$K$4:$AJ$4,0))))+SUMPRODUCT((Inputs!$E$5:$E$110=$B28)*ISNUMBER(INDEX(Inputs!$K$5:$AJ$110,0,MATCH(D$2,Inputs!$K$4:$AJ$4,0))))=0,NA(),SUMPRODUCT((Inputs!$A$5:$A$110=$B28)*Inputs!$B$5:$B$110*(((Inputs!$G$5:$G$110="moeda")+(Inputs!$G$5:$G$110="acoes"))*Inputs!$B$1+((Inputs!$G$5:$G$110&lt;&gt;"moeda")*(Inputs!$G$5:$G$110&lt;&gt;"acoes")))*INDEX(Inputs!$K$5:$AJ$110,0,MATCH(D$2,Inputs!$K$4:$AJ$4,0)))+SUMPRODUCT((Inputs!$C$5:$C$110=$B28)*Inputs!$D$5:$D$110*(((Inputs!$G$5:$G$110="moeda")+(Inputs!$G$5:$G$110="acoes"))*Inputs!$B$1+((Inputs!$G$5:$G$110&lt;&gt;"moeda")*(Inputs!$G$5:$G$110&lt;&gt;"acoes")))*INDEX(Inputs!$K$5:$AJ$110,0,MATCH(D$2,Inputs!$K$4:$AJ$4,0)))+SUMPRODUCT((Inputs!$E$5:$E$110=$B28)*Inputs!$F$5:$F$110*(((Inputs!$G$5:$G$110="moeda")+(Inputs!$G$5:$G$110="acoes"))*Inputs!$B$1+((Inputs!$G$5:$G$110&lt;&gt;"moeda")*(Inputs!$G$5:$G$110&lt;&gt;"acoes")))*INDEX(Inputs!$K$5:$AJ$110,0,MATCH(D$2,Inputs!$K$4:$AJ$4,0)))))</f>
        <v>830</v>
      </c>
      <c r="E28" s="6">
        <f>IF(ISNA(MATCH(E$2,Inputs!$K$4:$AJ$4,0)),NA(),IF(SUMPRODUCT((Inputs!$A$5:$A$110=$B28)*ISNUMBER(INDEX(Inputs!$K$5:$AJ$110,0,MATCH(E$2,Inputs!$K$4:$AJ$4,0))))+SUMPRODUCT((Inputs!$C$5:$C$110=$B28)*ISNUMBER(INDEX(Inputs!$K$5:$AJ$110,0,MATCH(E$2,Inputs!$K$4:$AJ$4,0))))+SUMPRODUCT((Inputs!$E$5:$E$110=$B28)*ISNUMBER(INDEX(Inputs!$K$5:$AJ$110,0,MATCH(E$2,Inputs!$K$4:$AJ$4,0))))=0,NA(),SUMPRODUCT((Inputs!$A$5:$A$110=$B28)*Inputs!$B$5:$B$110*(((Inputs!$G$5:$G$110="moeda")+(Inputs!$G$5:$G$110="acoes"))*Inputs!$B$1+((Inputs!$G$5:$G$110&lt;&gt;"moeda")*(Inputs!$G$5:$G$110&lt;&gt;"acoes")))*INDEX(Inputs!$K$5:$AJ$110,0,MATCH(E$2,Inputs!$K$4:$AJ$4,0)))+SUMPRODUCT((Inputs!$C$5:$C$110=$B28)*Inputs!$D$5:$D$110*(((Inputs!$G$5:$G$110="moeda")+(Inputs!$G$5:$G$110="acoes"))*Inputs!$B$1+((Inputs!$G$5:$G$110&lt;&gt;"moeda")*(Inputs!$G$5:$G$110&lt;&gt;"acoes")))*INDEX(Inputs!$K$5:$AJ$110,0,MATCH(E$2,Inputs!$K$4:$AJ$4,0)))+SUMPRODUCT((Inputs!$E$5:$E$110=$B28)*Inputs!$F$5:$F$110*(((Inputs!$G$5:$G$110="moeda")+(Inputs!$G$5:$G$110="acoes"))*Inputs!$B$1+((Inputs!$G$5:$G$110&lt;&gt;"moeda")*(Inputs!$G$5:$G$110&lt;&gt;"acoes")))*INDEX(Inputs!$K$5:$AJ$110,0,MATCH(E$2,Inputs!$K$4:$AJ$4,0)))))</f>
        <v>968</v>
      </c>
      <c r="F28" s="6">
        <f>IF(ISNA(MATCH(F$2,Inputs!$K$4:$AJ$4,0)),NA(),IF(SUMPRODUCT((Inputs!$A$5:$A$110=$B28)*ISNUMBER(INDEX(Inputs!$K$5:$AJ$110,0,MATCH(F$2,Inputs!$K$4:$AJ$4,0))))+SUMPRODUCT((Inputs!$C$5:$C$110=$B28)*ISNUMBER(INDEX(Inputs!$K$5:$AJ$110,0,MATCH(F$2,Inputs!$K$4:$AJ$4,0))))+SUMPRODUCT((Inputs!$E$5:$E$110=$B28)*ISNUMBER(INDEX(Inputs!$K$5:$AJ$110,0,MATCH(F$2,Inputs!$K$4:$AJ$4,0))))=0,NA(),SUMPRODUCT((Inputs!$A$5:$A$110=$B28)*Inputs!$B$5:$B$110*(((Inputs!$G$5:$G$110="moeda")+(Inputs!$G$5:$G$110="acoes"))*Inputs!$B$1+((Inputs!$G$5:$G$110&lt;&gt;"moeda")*(Inputs!$G$5:$G$110&lt;&gt;"acoes")))*INDEX(Inputs!$K$5:$AJ$110,0,MATCH(F$2,Inputs!$K$4:$AJ$4,0)))+SUMPRODUCT((Inputs!$C$5:$C$110=$B28)*Inputs!$D$5:$D$110*(((Inputs!$G$5:$G$110="moeda")+(Inputs!$G$5:$G$110="acoes"))*Inputs!$B$1+((Inputs!$G$5:$G$110&lt;&gt;"moeda")*(Inputs!$G$5:$G$110&lt;&gt;"acoes")))*INDEX(Inputs!$K$5:$AJ$110,0,MATCH(F$2,Inputs!$K$4:$AJ$4,0)))+SUMPRODUCT((Inputs!$E$5:$E$110=$B28)*Inputs!$F$5:$F$110*(((Inputs!$G$5:$G$110="moeda")+(Inputs!$G$5:$G$110="acoes"))*Inputs!$B$1+((Inputs!$G$5:$G$110&lt;&gt;"moeda")*(Inputs!$G$5:$G$110&lt;&gt;"acoes")))*INDEX(Inputs!$K$5:$AJ$110,0,MATCH(F$2,Inputs!$K$4:$AJ$4,0)))))</f>
        <v>1086</v>
      </c>
      <c r="G28" s="6">
        <f>IF(ISNA(MATCH(G$2,Inputs!$K$4:$AJ$4,0)),NA(),IF(SUMPRODUCT((Inputs!$A$5:$A$110=$B28)*ISNUMBER(INDEX(Inputs!$K$5:$AJ$110,0,MATCH(G$2,Inputs!$K$4:$AJ$4,0))))+SUMPRODUCT((Inputs!$C$5:$C$110=$B28)*ISNUMBER(INDEX(Inputs!$K$5:$AJ$110,0,MATCH(G$2,Inputs!$K$4:$AJ$4,0))))+SUMPRODUCT((Inputs!$E$5:$E$110=$B28)*ISNUMBER(INDEX(Inputs!$K$5:$AJ$110,0,MATCH(G$2,Inputs!$K$4:$AJ$4,0))))=0,NA(),SUMPRODUCT((Inputs!$A$5:$A$110=$B28)*Inputs!$B$5:$B$110*(((Inputs!$G$5:$G$110="moeda")+(Inputs!$G$5:$G$110="acoes"))*Inputs!$B$1+((Inputs!$G$5:$G$110&lt;&gt;"moeda")*(Inputs!$G$5:$G$110&lt;&gt;"acoes")))*INDEX(Inputs!$K$5:$AJ$110,0,MATCH(G$2,Inputs!$K$4:$AJ$4,0)))+SUMPRODUCT((Inputs!$C$5:$C$110=$B28)*Inputs!$D$5:$D$110*(((Inputs!$G$5:$G$110="moeda")+(Inputs!$G$5:$G$110="acoes"))*Inputs!$B$1+((Inputs!$G$5:$G$110&lt;&gt;"moeda")*(Inputs!$G$5:$G$110&lt;&gt;"acoes")))*INDEX(Inputs!$K$5:$AJ$110,0,MATCH(G$2,Inputs!$K$4:$AJ$4,0)))+SUMPRODUCT((Inputs!$E$5:$E$110=$B28)*Inputs!$F$5:$F$110*(((Inputs!$G$5:$G$110="moeda")+(Inputs!$G$5:$G$110="acoes"))*Inputs!$B$1+((Inputs!$G$5:$G$110&lt;&gt;"moeda")*(Inputs!$G$5:$G$110&lt;&gt;"acoes")))*INDEX(Inputs!$K$5:$AJ$110,0,MATCH(G$2,Inputs!$K$4:$AJ$4,0)))))</f>
        <v>1078</v>
      </c>
      <c r="H28" s="3">
        <f>G28</f>
        <v>1078</v>
      </c>
      <c r="I28" s="6">
        <f>IF(ISNA(MATCH(I$2,Inputs!$K$4:$AJ$4,0)),NA(),IF(SUMPRODUCT((Inputs!$A$5:$A$110=$B28)*ISNUMBER(INDEX(Inputs!$K$5:$AJ$110,0,MATCH(I$2,Inputs!$K$4:$AJ$4,0))))+SUMPRODUCT((Inputs!$C$5:$C$110=$B28)*ISNUMBER(INDEX(Inputs!$K$5:$AJ$110,0,MATCH(I$2,Inputs!$K$4:$AJ$4,0))))+SUMPRODUCT((Inputs!$E$5:$E$110=$B28)*ISNUMBER(INDEX(Inputs!$K$5:$AJ$110,0,MATCH(I$2,Inputs!$K$4:$AJ$4,0))))=0,NA(),SUMPRODUCT((Inputs!$A$5:$A$110=$B28)*Inputs!$B$5:$B$110*(((Inputs!$G$5:$G$110="moeda")+(Inputs!$G$5:$G$110="acoes"))*Inputs!$B$1+((Inputs!$G$5:$G$110&lt;&gt;"moeda")*(Inputs!$G$5:$G$110&lt;&gt;"acoes")))*INDEX(Inputs!$K$5:$AJ$110,0,MATCH(I$2,Inputs!$K$4:$AJ$4,0)))+SUMPRODUCT((Inputs!$C$5:$C$110=$B28)*Inputs!$D$5:$D$110*(((Inputs!$G$5:$G$110="moeda")+(Inputs!$G$5:$G$110="acoes"))*Inputs!$B$1+((Inputs!$G$5:$G$110&lt;&gt;"moeda")*(Inputs!$G$5:$G$110&lt;&gt;"acoes")))*INDEX(Inputs!$K$5:$AJ$110,0,MATCH(I$2,Inputs!$K$4:$AJ$4,0)))+SUMPRODUCT((Inputs!$E$5:$E$110=$B28)*Inputs!$F$5:$F$110*(((Inputs!$G$5:$G$110="moeda")+(Inputs!$G$5:$G$110="acoes"))*Inputs!$B$1+((Inputs!$G$5:$G$110&lt;&gt;"moeda")*(Inputs!$G$5:$G$110&lt;&gt;"acoes")))*INDEX(Inputs!$K$5:$AJ$110,0,MATCH(I$2,Inputs!$K$4:$AJ$4,0)))))</f>
        <v>1069</v>
      </c>
      <c r="J28" s="6">
        <f>IF(ISNA(MATCH(J$2,Inputs!$K$4:$AJ$4,0)),NA(),IF(SUMPRODUCT((Inputs!$A$5:$A$110=$B28)*ISNUMBER(INDEX(Inputs!$K$5:$AJ$110,0,MATCH(J$2,Inputs!$K$4:$AJ$4,0))))+SUMPRODUCT((Inputs!$C$5:$C$110=$B28)*ISNUMBER(INDEX(Inputs!$K$5:$AJ$110,0,MATCH(J$2,Inputs!$K$4:$AJ$4,0))))+SUMPRODUCT((Inputs!$E$5:$E$110=$B28)*ISNUMBER(INDEX(Inputs!$K$5:$AJ$110,0,MATCH(J$2,Inputs!$K$4:$AJ$4,0))))=0,NA(),SUMPRODUCT((Inputs!$A$5:$A$110=$B28)*Inputs!$B$5:$B$110*(((Inputs!$G$5:$G$110="moeda")+(Inputs!$G$5:$G$110="acoes"))*Inputs!$B$1+((Inputs!$G$5:$G$110&lt;&gt;"moeda")*(Inputs!$G$5:$G$110&lt;&gt;"acoes")))*INDEX(Inputs!$K$5:$AJ$110,0,MATCH(J$2,Inputs!$K$4:$AJ$4,0)))+SUMPRODUCT((Inputs!$C$5:$C$110=$B28)*Inputs!$D$5:$D$110*(((Inputs!$G$5:$G$110="moeda")+(Inputs!$G$5:$G$110="acoes"))*Inputs!$B$1+((Inputs!$G$5:$G$110&lt;&gt;"moeda")*(Inputs!$G$5:$G$110&lt;&gt;"acoes")))*INDEX(Inputs!$K$5:$AJ$110,0,MATCH(J$2,Inputs!$K$4:$AJ$4,0)))+SUMPRODUCT((Inputs!$E$5:$E$110=$B28)*Inputs!$F$5:$F$110*(((Inputs!$G$5:$G$110="moeda")+(Inputs!$G$5:$G$110="acoes"))*Inputs!$B$1+((Inputs!$G$5:$G$110&lt;&gt;"moeda")*(Inputs!$G$5:$G$110&lt;&gt;"acoes")))*INDEX(Inputs!$K$5:$AJ$110,0,MATCH(J$2,Inputs!$K$4:$AJ$4,0)))))</f>
        <v>712</v>
      </c>
      <c r="K28" s="6">
        <f>IF(ISNA(MATCH(K$2,Inputs!$K$4:$AJ$4,0)),NA(),IF(SUMPRODUCT((Inputs!$A$5:$A$110=$B28)*ISNUMBER(INDEX(Inputs!$K$5:$AJ$110,0,MATCH(K$2,Inputs!$K$4:$AJ$4,0))))+SUMPRODUCT((Inputs!$C$5:$C$110=$B28)*ISNUMBER(INDEX(Inputs!$K$5:$AJ$110,0,MATCH(K$2,Inputs!$K$4:$AJ$4,0))))+SUMPRODUCT((Inputs!$E$5:$E$110=$B28)*ISNUMBER(INDEX(Inputs!$K$5:$AJ$110,0,MATCH(K$2,Inputs!$K$4:$AJ$4,0))))=0,NA(),SUMPRODUCT((Inputs!$A$5:$A$110=$B28)*Inputs!$B$5:$B$110*(((Inputs!$G$5:$G$110="moeda")+(Inputs!$G$5:$G$110="acoes"))*Inputs!$B$1+((Inputs!$G$5:$G$110&lt;&gt;"moeda")*(Inputs!$G$5:$G$110&lt;&gt;"acoes")))*INDEX(Inputs!$K$5:$AJ$110,0,MATCH(K$2,Inputs!$K$4:$AJ$4,0)))+SUMPRODUCT((Inputs!$C$5:$C$110=$B28)*Inputs!$D$5:$D$110*(((Inputs!$G$5:$G$110="moeda")+(Inputs!$G$5:$G$110="acoes"))*Inputs!$B$1+((Inputs!$G$5:$G$110&lt;&gt;"moeda")*(Inputs!$G$5:$G$110&lt;&gt;"acoes")))*INDEX(Inputs!$K$5:$AJ$110,0,MATCH(K$2,Inputs!$K$4:$AJ$4,0)))+SUMPRODUCT((Inputs!$E$5:$E$110=$B28)*Inputs!$F$5:$F$110*(((Inputs!$G$5:$G$110="moeda")+(Inputs!$G$5:$G$110="acoes"))*Inputs!$B$1+((Inputs!$G$5:$G$110&lt;&gt;"moeda")*(Inputs!$G$5:$G$110&lt;&gt;"acoes")))*INDEX(Inputs!$K$5:$AJ$110,0,MATCH(K$2,Inputs!$K$4:$AJ$4,0)))))</f>
        <v>998</v>
      </c>
      <c r="L28" s="6">
        <f>IF(ISNA(MATCH(L$2,Inputs!$K$4:$AJ$4,0)),NA(),IF(SUMPRODUCT((Inputs!$A$5:$A$110=$B28)*ISNUMBER(INDEX(Inputs!$K$5:$AJ$110,0,MATCH(L$2,Inputs!$K$4:$AJ$4,0))))+SUMPRODUCT((Inputs!$C$5:$C$110=$B28)*ISNUMBER(INDEX(Inputs!$K$5:$AJ$110,0,MATCH(L$2,Inputs!$K$4:$AJ$4,0))))+SUMPRODUCT((Inputs!$E$5:$E$110=$B28)*ISNUMBER(INDEX(Inputs!$K$5:$AJ$110,0,MATCH(L$2,Inputs!$K$4:$AJ$4,0))))=0,NA(),SUMPRODUCT((Inputs!$A$5:$A$110=$B28)*Inputs!$B$5:$B$110*(((Inputs!$G$5:$G$110="moeda")+(Inputs!$G$5:$G$110="acoes"))*Inputs!$B$1+((Inputs!$G$5:$G$110&lt;&gt;"moeda")*(Inputs!$G$5:$G$110&lt;&gt;"acoes")))*INDEX(Inputs!$K$5:$AJ$110,0,MATCH(L$2,Inputs!$K$4:$AJ$4,0)))+SUMPRODUCT((Inputs!$C$5:$C$110=$B28)*Inputs!$D$5:$D$110*(((Inputs!$G$5:$G$110="moeda")+(Inputs!$G$5:$G$110="acoes"))*Inputs!$B$1+((Inputs!$G$5:$G$110&lt;&gt;"moeda")*(Inputs!$G$5:$G$110&lt;&gt;"acoes")))*INDEX(Inputs!$K$5:$AJ$110,0,MATCH(L$2,Inputs!$K$4:$AJ$4,0)))+SUMPRODUCT((Inputs!$E$5:$E$110=$B28)*Inputs!$F$5:$F$110*(((Inputs!$G$5:$G$110="moeda")+(Inputs!$G$5:$G$110="acoes"))*Inputs!$B$1+((Inputs!$G$5:$G$110&lt;&gt;"moeda")*(Inputs!$G$5:$G$110&lt;&gt;"acoes")))*INDEX(Inputs!$K$5:$AJ$110,0,MATCH(L$2,Inputs!$K$4:$AJ$4,0)))))</f>
        <v>923</v>
      </c>
      <c r="M28" s="3">
        <f>L28</f>
        <v>923</v>
      </c>
      <c r="N28" s="6">
        <f>IF(ISNA(MATCH(N$2,Inputs!$K$4:$AJ$4,0)),NA(),IF(SUMPRODUCT((Inputs!$A$5:$A$110=$B28)*ISNUMBER(INDEX(Inputs!$K$5:$AJ$110,0,MATCH(N$2,Inputs!$K$4:$AJ$4,0))))+SUMPRODUCT((Inputs!$C$5:$C$110=$B28)*ISNUMBER(INDEX(Inputs!$K$5:$AJ$110,0,MATCH(N$2,Inputs!$K$4:$AJ$4,0))))+SUMPRODUCT((Inputs!$E$5:$E$110=$B28)*ISNUMBER(INDEX(Inputs!$K$5:$AJ$110,0,MATCH(N$2,Inputs!$K$4:$AJ$4,0))))=0,NA(),SUMPRODUCT((Inputs!$A$5:$A$110=$B28)*Inputs!$B$5:$B$110*(((Inputs!$G$5:$G$110="moeda")+(Inputs!$G$5:$G$110="acoes"))*Inputs!$B$1+((Inputs!$G$5:$G$110&lt;&gt;"moeda")*(Inputs!$G$5:$G$110&lt;&gt;"acoes")))*INDEX(Inputs!$K$5:$AJ$110,0,MATCH(N$2,Inputs!$K$4:$AJ$4,0)))+SUMPRODUCT((Inputs!$C$5:$C$110=$B28)*Inputs!$D$5:$D$110*(((Inputs!$G$5:$G$110="moeda")+(Inputs!$G$5:$G$110="acoes"))*Inputs!$B$1+((Inputs!$G$5:$G$110&lt;&gt;"moeda")*(Inputs!$G$5:$G$110&lt;&gt;"acoes")))*INDEX(Inputs!$K$5:$AJ$110,0,MATCH(N$2,Inputs!$K$4:$AJ$4,0)))+SUMPRODUCT((Inputs!$E$5:$E$110=$B28)*Inputs!$F$5:$F$110*(((Inputs!$G$5:$G$110="moeda")+(Inputs!$G$5:$G$110="acoes"))*Inputs!$B$1+((Inputs!$G$5:$G$110&lt;&gt;"moeda")*(Inputs!$G$5:$G$110&lt;&gt;"acoes")))*INDEX(Inputs!$K$5:$AJ$110,0,MATCH(N$2,Inputs!$K$4:$AJ$4,0)))))</f>
        <v>831</v>
      </c>
      <c r="O28" s="6">
        <f>IF(ISNA(MATCH(O$2,Inputs!$K$4:$AJ$4,0)),NA(),IF(SUMPRODUCT((Inputs!$A$5:$A$110=$B28)*ISNUMBER(INDEX(Inputs!$K$5:$AJ$110,0,MATCH(O$2,Inputs!$K$4:$AJ$4,0))))+SUMPRODUCT((Inputs!$C$5:$C$110=$B28)*ISNUMBER(INDEX(Inputs!$K$5:$AJ$110,0,MATCH(O$2,Inputs!$K$4:$AJ$4,0))))+SUMPRODUCT((Inputs!$E$5:$E$110=$B28)*ISNUMBER(INDEX(Inputs!$K$5:$AJ$110,0,MATCH(O$2,Inputs!$K$4:$AJ$4,0))))=0,NA(),SUMPRODUCT((Inputs!$A$5:$A$110=$B28)*Inputs!$B$5:$B$110*(((Inputs!$G$5:$G$110="moeda")+(Inputs!$G$5:$G$110="acoes"))*Inputs!$B$1+((Inputs!$G$5:$G$110&lt;&gt;"moeda")*(Inputs!$G$5:$G$110&lt;&gt;"acoes")))*INDEX(Inputs!$K$5:$AJ$110,0,MATCH(O$2,Inputs!$K$4:$AJ$4,0)))+SUMPRODUCT((Inputs!$C$5:$C$110=$B28)*Inputs!$D$5:$D$110*(((Inputs!$G$5:$G$110="moeda")+(Inputs!$G$5:$G$110="acoes"))*Inputs!$B$1+((Inputs!$G$5:$G$110&lt;&gt;"moeda")*(Inputs!$G$5:$G$110&lt;&gt;"acoes")))*INDEX(Inputs!$K$5:$AJ$110,0,MATCH(O$2,Inputs!$K$4:$AJ$4,0)))+SUMPRODUCT((Inputs!$E$5:$E$110=$B28)*Inputs!$F$5:$F$110*(((Inputs!$G$5:$G$110="moeda")+(Inputs!$G$5:$G$110="acoes"))*Inputs!$B$1+((Inputs!$G$5:$G$110&lt;&gt;"moeda")*(Inputs!$G$5:$G$110&lt;&gt;"acoes")))*INDEX(Inputs!$K$5:$AJ$110,0,MATCH(O$2,Inputs!$K$4:$AJ$4,0)))))</f>
        <v>992</v>
      </c>
      <c r="P28" s="6">
        <f>IF(ISNA(MATCH(P$2,Inputs!$K$4:$AJ$4,0)),NA(),IF(SUMPRODUCT((Inputs!$A$5:$A$110=$B28)*ISNUMBER(INDEX(Inputs!$K$5:$AJ$110,0,MATCH(P$2,Inputs!$K$4:$AJ$4,0))))+SUMPRODUCT((Inputs!$C$5:$C$110=$B28)*ISNUMBER(INDEX(Inputs!$K$5:$AJ$110,0,MATCH(P$2,Inputs!$K$4:$AJ$4,0))))+SUMPRODUCT((Inputs!$E$5:$E$110=$B28)*ISNUMBER(INDEX(Inputs!$K$5:$AJ$110,0,MATCH(P$2,Inputs!$K$4:$AJ$4,0))))=0,NA(),SUMPRODUCT((Inputs!$A$5:$A$110=$B28)*Inputs!$B$5:$B$110*(((Inputs!$G$5:$G$110="moeda")+(Inputs!$G$5:$G$110="acoes"))*Inputs!$B$1+((Inputs!$G$5:$G$110&lt;&gt;"moeda")*(Inputs!$G$5:$G$110&lt;&gt;"acoes")))*INDEX(Inputs!$K$5:$AJ$110,0,MATCH(P$2,Inputs!$K$4:$AJ$4,0)))+SUMPRODUCT((Inputs!$C$5:$C$110=$B28)*Inputs!$D$5:$D$110*(((Inputs!$G$5:$G$110="moeda")+(Inputs!$G$5:$G$110="acoes"))*Inputs!$B$1+((Inputs!$G$5:$G$110&lt;&gt;"moeda")*(Inputs!$G$5:$G$110&lt;&gt;"acoes")))*INDEX(Inputs!$K$5:$AJ$110,0,MATCH(P$2,Inputs!$K$4:$AJ$4,0)))+SUMPRODUCT((Inputs!$E$5:$E$110=$B28)*Inputs!$F$5:$F$110*(((Inputs!$G$5:$G$110="moeda")+(Inputs!$G$5:$G$110="acoes"))*Inputs!$B$1+((Inputs!$G$5:$G$110&lt;&gt;"moeda")*(Inputs!$G$5:$G$110&lt;&gt;"acoes")))*INDEX(Inputs!$K$5:$AJ$110,0,MATCH(P$2,Inputs!$K$4:$AJ$4,0)))))</f>
        <v>1210</v>
      </c>
      <c r="Q28" s="6">
        <f>IF(ISNA(MATCH(Q$2,Inputs!$K$4:$AJ$4,0)),NA(),IF(SUMPRODUCT((Inputs!$A$5:$A$110=$B28)*ISNUMBER(INDEX(Inputs!$K$5:$AJ$110,0,MATCH(Q$2,Inputs!$K$4:$AJ$4,0))))+SUMPRODUCT((Inputs!$C$5:$C$110=$B28)*ISNUMBER(INDEX(Inputs!$K$5:$AJ$110,0,MATCH(Q$2,Inputs!$K$4:$AJ$4,0))))+SUMPRODUCT((Inputs!$E$5:$E$110=$B28)*ISNUMBER(INDEX(Inputs!$K$5:$AJ$110,0,MATCH(Q$2,Inputs!$K$4:$AJ$4,0))))=0,NA(),SUMPRODUCT((Inputs!$A$5:$A$110=$B28)*Inputs!$B$5:$B$110*(((Inputs!$G$5:$G$110="moeda")+(Inputs!$G$5:$G$110="acoes"))*Inputs!$B$1+((Inputs!$G$5:$G$110&lt;&gt;"moeda")*(Inputs!$G$5:$G$110&lt;&gt;"acoes")))*INDEX(Inputs!$K$5:$AJ$110,0,MATCH(Q$2,Inputs!$K$4:$AJ$4,0)))+SUMPRODUCT((Inputs!$C$5:$C$110=$B28)*Inputs!$D$5:$D$110*(((Inputs!$G$5:$G$110="moeda")+(Inputs!$G$5:$G$110="acoes"))*Inputs!$B$1+((Inputs!$G$5:$G$110&lt;&gt;"moeda")*(Inputs!$G$5:$G$110&lt;&gt;"acoes")))*INDEX(Inputs!$K$5:$AJ$110,0,MATCH(Q$2,Inputs!$K$4:$AJ$4,0)))+SUMPRODUCT((Inputs!$E$5:$E$110=$B28)*Inputs!$F$5:$F$110*(((Inputs!$G$5:$G$110="moeda")+(Inputs!$G$5:$G$110="acoes"))*Inputs!$B$1+((Inputs!$G$5:$G$110&lt;&gt;"moeda")*(Inputs!$G$5:$G$110&lt;&gt;"acoes")))*INDEX(Inputs!$K$5:$AJ$110,0,MATCH(Q$2,Inputs!$K$4:$AJ$4,0)))))</f>
        <v>1496</v>
      </c>
      <c r="R28" s="3">
        <f>Q28</f>
        <v>1496</v>
      </c>
      <c r="S28" s="6">
        <f>IF(ISNA(MATCH(S$2,Inputs!$K$4:$AJ$4,0)),NA(),IF(SUMPRODUCT((Inputs!$A$5:$A$110=$B28)*ISNUMBER(INDEX(Inputs!$K$5:$AJ$110,0,MATCH(S$2,Inputs!$K$4:$AJ$4,0))))+SUMPRODUCT((Inputs!$C$5:$C$110=$B28)*ISNUMBER(INDEX(Inputs!$K$5:$AJ$110,0,MATCH(S$2,Inputs!$K$4:$AJ$4,0))))+SUMPRODUCT((Inputs!$E$5:$E$110=$B28)*ISNUMBER(INDEX(Inputs!$K$5:$AJ$110,0,MATCH(S$2,Inputs!$K$4:$AJ$4,0))))=0,NA(),SUMPRODUCT((Inputs!$A$5:$A$110=$B28)*Inputs!$B$5:$B$110*(((Inputs!$G$5:$G$110="moeda")+(Inputs!$G$5:$G$110="acoes"))*Inputs!$B$1+((Inputs!$G$5:$G$110&lt;&gt;"moeda")*(Inputs!$G$5:$G$110&lt;&gt;"acoes")))*INDEX(Inputs!$K$5:$AJ$110,0,MATCH(S$2,Inputs!$K$4:$AJ$4,0)))+SUMPRODUCT((Inputs!$C$5:$C$110=$B28)*Inputs!$D$5:$D$110*(((Inputs!$G$5:$G$110="moeda")+(Inputs!$G$5:$G$110="acoes"))*Inputs!$B$1+((Inputs!$G$5:$G$110&lt;&gt;"moeda")*(Inputs!$G$5:$G$110&lt;&gt;"acoes")))*INDEX(Inputs!$K$5:$AJ$110,0,MATCH(S$2,Inputs!$K$4:$AJ$4,0)))+SUMPRODUCT((Inputs!$E$5:$E$110=$B28)*Inputs!$F$5:$F$110*(((Inputs!$G$5:$G$110="moeda")+(Inputs!$G$5:$G$110="acoes"))*Inputs!$B$1+((Inputs!$G$5:$G$110&lt;&gt;"moeda")*(Inputs!$G$5:$G$110&lt;&gt;"acoes")))*INDEX(Inputs!$K$5:$AJ$110,0,MATCH(S$2,Inputs!$K$4:$AJ$4,0)))))</f>
        <v>1441</v>
      </c>
      <c r="T28" s="6">
        <f>IF(ISNA(MATCH(T$2,Inputs!$K$4:$AJ$4,0)),NA(),IF(SUMPRODUCT((Inputs!$A$5:$A$110=$B28)*ISNUMBER(INDEX(Inputs!$K$5:$AJ$110,0,MATCH(T$2,Inputs!$K$4:$AJ$4,0))))+SUMPRODUCT((Inputs!$C$5:$C$110=$B28)*ISNUMBER(INDEX(Inputs!$K$5:$AJ$110,0,MATCH(T$2,Inputs!$K$4:$AJ$4,0))))+SUMPRODUCT((Inputs!$E$5:$E$110=$B28)*ISNUMBER(INDEX(Inputs!$K$5:$AJ$110,0,MATCH(T$2,Inputs!$K$4:$AJ$4,0))))=0,NA(),SUMPRODUCT((Inputs!$A$5:$A$110=$B28)*Inputs!$B$5:$B$110*(((Inputs!$G$5:$G$110="moeda")+(Inputs!$G$5:$G$110="acoes"))*Inputs!$B$1+((Inputs!$G$5:$G$110&lt;&gt;"moeda")*(Inputs!$G$5:$G$110&lt;&gt;"acoes")))*INDEX(Inputs!$K$5:$AJ$110,0,MATCH(T$2,Inputs!$K$4:$AJ$4,0)))+SUMPRODUCT((Inputs!$C$5:$C$110=$B28)*Inputs!$D$5:$D$110*(((Inputs!$G$5:$G$110="moeda")+(Inputs!$G$5:$G$110="acoes"))*Inputs!$B$1+((Inputs!$G$5:$G$110&lt;&gt;"moeda")*(Inputs!$G$5:$G$110&lt;&gt;"acoes")))*INDEX(Inputs!$K$5:$AJ$110,0,MATCH(T$2,Inputs!$K$4:$AJ$4,0)))+SUMPRODUCT((Inputs!$E$5:$E$110=$B28)*Inputs!$F$5:$F$110*(((Inputs!$G$5:$G$110="moeda")+(Inputs!$G$5:$G$110="acoes"))*Inputs!$B$1+((Inputs!$G$5:$G$110&lt;&gt;"moeda")*(Inputs!$G$5:$G$110&lt;&gt;"acoes")))*INDEX(Inputs!$K$5:$AJ$110,0,MATCH(T$2,Inputs!$K$4:$AJ$4,0)))))</f>
        <v>1757</v>
      </c>
      <c r="U28" s="6">
        <f>IF(ISNA(MATCH(U$2,Inputs!$K$4:$AJ$4,0)),NA(),IF(SUMPRODUCT((Inputs!$A$5:$A$110=$B28)*ISNUMBER(INDEX(Inputs!$K$5:$AJ$110,0,MATCH(U$2,Inputs!$K$4:$AJ$4,0))))+SUMPRODUCT((Inputs!$C$5:$C$110=$B28)*ISNUMBER(INDEX(Inputs!$K$5:$AJ$110,0,MATCH(U$2,Inputs!$K$4:$AJ$4,0))))+SUMPRODUCT((Inputs!$E$5:$E$110=$B28)*ISNUMBER(INDEX(Inputs!$K$5:$AJ$110,0,MATCH(U$2,Inputs!$K$4:$AJ$4,0))))=0,NA(),SUMPRODUCT((Inputs!$A$5:$A$110=$B28)*Inputs!$B$5:$B$110*(((Inputs!$G$5:$G$110="moeda")+(Inputs!$G$5:$G$110="acoes"))*Inputs!$B$1+((Inputs!$G$5:$G$110&lt;&gt;"moeda")*(Inputs!$G$5:$G$110&lt;&gt;"acoes")))*INDEX(Inputs!$K$5:$AJ$110,0,MATCH(U$2,Inputs!$K$4:$AJ$4,0)))+SUMPRODUCT((Inputs!$C$5:$C$110=$B28)*Inputs!$D$5:$D$110*(((Inputs!$G$5:$G$110="moeda")+(Inputs!$G$5:$G$110="acoes"))*Inputs!$B$1+((Inputs!$G$5:$G$110&lt;&gt;"moeda")*(Inputs!$G$5:$G$110&lt;&gt;"acoes")))*INDEX(Inputs!$K$5:$AJ$110,0,MATCH(U$2,Inputs!$K$4:$AJ$4,0)))+SUMPRODUCT((Inputs!$E$5:$E$110=$B28)*Inputs!$F$5:$F$110*(((Inputs!$G$5:$G$110="moeda")+(Inputs!$G$5:$G$110="acoes"))*Inputs!$B$1+((Inputs!$G$5:$G$110&lt;&gt;"moeda")*(Inputs!$G$5:$G$110&lt;&gt;"acoes")))*INDEX(Inputs!$K$5:$AJ$110,0,MATCH(U$2,Inputs!$K$4:$AJ$4,0)))))</f>
        <v>1662</v>
      </c>
      <c r="V28" s="6">
        <f>IF(ISNA(MATCH(V$2,Inputs!$K$4:$AJ$4,0)),NA(),IF(SUMPRODUCT((Inputs!$A$5:$A$110=$B28)*ISNUMBER(INDEX(Inputs!$K$5:$AJ$110,0,MATCH(V$2,Inputs!$K$4:$AJ$4,0))))+SUMPRODUCT((Inputs!$C$5:$C$110=$B28)*ISNUMBER(INDEX(Inputs!$K$5:$AJ$110,0,MATCH(V$2,Inputs!$K$4:$AJ$4,0))))+SUMPRODUCT((Inputs!$E$5:$E$110=$B28)*ISNUMBER(INDEX(Inputs!$K$5:$AJ$110,0,MATCH(V$2,Inputs!$K$4:$AJ$4,0))))=0,NA(),SUMPRODUCT((Inputs!$A$5:$A$110=$B28)*Inputs!$B$5:$B$110*(((Inputs!$G$5:$G$110="moeda")+(Inputs!$G$5:$G$110="acoes"))*Inputs!$B$1+((Inputs!$G$5:$G$110&lt;&gt;"moeda")*(Inputs!$G$5:$G$110&lt;&gt;"acoes")))*INDEX(Inputs!$K$5:$AJ$110,0,MATCH(V$2,Inputs!$K$4:$AJ$4,0)))+SUMPRODUCT((Inputs!$C$5:$C$110=$B28)*Inputs!$D$5:$D$110*(((Inputs!$G$5:$G$110="moeda")+(Inputs!$G$5:$G$110="acoes"))*Inputs!$B$1+((Inputs!$G$5:$G$110&lt;&gt;"moeda")*(Inputs!$G$5:$G$110&lt;&gt;"acoes")))*INDEX(Inputs!$K$5:$AJ$110,0,MATCH(V$2,Inputs!$K$4:$AJ$4,0)))+SUMPRODUCT((Inputs!$E$5:$E$110=$B28)*Inputs!$F$5:$F$110*(((Inputs!$G$5:$G$110="moeda")+(Inputs!$G$5:$G$110="acoes"))*Inputs!$B$1+((Inputs!$G$5:$G$110&lt;&gt;"moeda")*(Inputs!$G$5:$G$110&lt;&gt;"acoes")))*INDEX(Inputs!$K$5:$AJ$110,0,MATCH(V$2,Inputs!$K$4:$AJ$4,0)))))</f>
        <v>1905</v>
      </c>
      <c r="W28" s="3">
        <f>V28</f>
        <v>1905</v>
      </c>
      <c r="X28" s="6">
        <f>IF(ISNA(MATCH(X$2,Inputs!$K$4:$AJ$4,0)),NA(),IF(SUMPRODUCT((Inputs!$A$5:$A$110=$B28)*ISNUMBER(INDEX(Inputs!$K$5:$AJ$110,0,MATCH(X$2,Inputs!$K$4:$AJ$4,0))))+SUMPRODUCT((Inputs!$C$5:$C$110=$B28)*ISNUMBER(INDEX(Inputs!$K$5:$AJ$110,0,MATCH(X$2,Inputs!$K$4:$AJ$4,0))))+SUMPRODUCT((Inputs!$E$5:$E$110=$B28)*ISNUMBER(INDEX(Inputs!$K$5:$AJ$110,0,MATCH(X$2,Inputs!$K$4:$AJ$4,0))))=0,NA(),SUMPRODUCT((Inputs!$A$5:$A$110=$B28)*Inputs!$B$5:$B$110*(((Inputs!$G$5:$G$110="moeda")+(Inputs!$G$5:$G$110="acoes"))*Inputs!$B$1+((Inputs!$G$5:$G$110&lt;&gt;"moeda")*(Inputs!$G$5:$G$110&lt;&gt;"acoes")))*INDEX(Inputs!$K$5:$AJ$110,0,MATCH(X$2,Inputs!$K$4:$AJ$4,0)))+SUMPRODUCT((Inputs!$C$5:$C$110=$B28)*Inputs!$D$5:$D$110*(((Inputs!$G$5:$G$110="moeda")+(Inputs!$G$5:$G$110="acoes"))*Inputs!$B$1+((Inputs!$G$5:$G$110&lt;&gt;"moeda")*(Inputs!$G$5:$G$110&lt;&gt;"acoes")))*INDEX(Inputs!$K$5:$AJ$110,0,MATCH(X$2,Inputs!$K$4:$AJ$4,0)))+SUMPRODUCT((Inputs!$E$5:$E$110=$B28)*Inputs!$F$5:$F$110*(((Inputs!$G$5:$G$110="moeda")+(Inputs!$G$5:$G$110="acoes"))*Inputs!$B$1+((Inputs!$G$5:$G$110&lt;&gt;"moeda")*(Inputs!$G$5:$G$110&lt;&gt;"acoes")))*INDEX(Inputs!$K$5:$AJ$110,0,MATCH(X$2,Inputs!$K$4:$AJ$4,0)))))</f>
        <v>1297</v>
      </c>
      <c r="Y28" s="6">
        <f>IF(ISNA(MATCH(Y$2,Inputs!$K$4:$AJ$4,0)),NA(),IF(SUMPRODUCT((Inputs!$A$5:$A$110=$B28)*ISNUMBER(INDEX(Inputs!$K$5:$AJ$110,0,MATCH(Y$2,Inputs!$K$4:$AJ$4,0))))+SUMPRODUCT((Inputs!$C$5:$C$110=$B28)*ISNUMBER(INDEX(Inputs!$K$5:$AJ$110,0,MATCH(Y$2,Inputs!$K$4:$AJ$4,0))))+SUMPRODUCT((Inputs!$E$5:$E$110=$B28)*ISNUMBER(INDEX(Inputs!$K$5:$AJ$110,0,MATCH(Y$2,Inputs!$K$4:$AJ$4,0))))=0,NA(),SUMPRODUCT((Inputs!$A$5:$A$110=$B28)*Inputs!$B$5:$B$110*(((Inputs!$G$5:$G$110="moeda")+(Inputs!$G$5:$G$110="acoes"))*Inputs!$B$1+((Inputs!$G$5:$G$110&lt;&gt;"moeda")*(Inputs!$G$5:$G$110&lt;&gt;"acoes")))*INDEX(Inputs!$K$5:$AJ$110,0,MATCH(Y$2,Inputs!$K$4:$AJ$4,0)))+SUMPRODUCT((Inputs!$C$5:$C$110=$B28)*Inputs!$D$5:$D$110*(((Inputs!$G$5:$G$110="moeda")+(Inputs!$G$5:$G$110="acoes"))*Inputs!$B$1+((Inputs!$G$5:$G$110&lt;&gt;"moeda")*(Inputs!$G$5:$G$110&lt;&gt;"acoes")))*INDEX(Inputs!$K$5:$AJ$110,0,MATCH(Y$2,Inputs!$K$4:$AJ$4,0)))+SUMPRODUCT((Inputs!$E$5:$E$110=$B28)*Inputs!$F$5:$F$110*(((Inputs!$G$5:$G$110="moeda")+(Inputs!$G$5:$G$110="acoes"))*Inputs!$B$1+((Inputs!$G$5:$G$110&lt;&gt;"moeda")*(Inputs!$G$5:$G$110&lt;&gt;"acoes")))*INDEX(Inputs!$K$5:$AJ$110,0,MATCH(Y$2,Inputs!$K$4:$AJ$4,0)))))</f>
        <v>1432</v>
      </c>
      <c r="Z28" s="6">
        <f>IF(ISNA(MATCH(Z$2,Inputs!$K$4:$AJ$4,0)),NA(),IF(SUMPRODUCT((Inputs!$A$5:$A$110=$B28)*ISNUMBER(INDEX(Inputs!$K$5:$AJ$110,0,MATCH(Z$2,Inputs!$K$4:$AJ$4,0))))+SUMPRODUCT((Inputs!$C$5:$C$110=$B28)*ISNUMBER(INDEX(Inputs!$K$5:$AJ$110,0,MATCH(Z$2,Inputs!$K$4:$AJ$4,0))))+SUMPRODUCT((Inputs!$E$5:$E$110=$B28)*ISNUMBER(INDEX(Inputs!$K$5:$AJ$110,0,MATCH(Z$2,Inputs!$K$4:$AJ$4,0))))=0,NA(),SUMPRODUCT((Inputs!$A$5:$A$110=$B28)*Inputs!$B$5:$B$110*(((Inputs!$G$5:$G$110="moeda")+(Inputs!$G$5:$G$110="acoes"))*Inputs!$B$1+((Inputs!$G$5:$G$110&lt;&gt;"moeda")*(Inputs!$G$5:$G$110&lt;&gt;"acoes")))*INDEX(Inputs!$K$5:$AJ$110,0,MATCH(Z$2,Inputs!$K$4:$AJ$4,0)))+SUMPRODUCT((Inputs!$C$5:$C$110=$B28)*Inputs!$D$5:$D$110*(((Inputs!$G$5:$G$110="moeda")+(Inputs!$G$5:$G$110="acoes"))*Inputs!$B$1+((Inputs!$G$5:$G$110&lt;&gt;"moeda")*(Inputs!$G$5:$G$110&lt;&gt;"acoes")))*INDEX(Inputs!$K$5:$AJ$110,0,MATCH(Z$2,Inputs!$K$4:$AJ$4,0)))+SUMPRODUCT((Inputs!$E$5:$E$110=$B28)*Inputs!$F$5:$F$110*(((Inputs!$G$5:$G$110="moeda")+(Inputs!$G$5:$G$110="acoes"))*Inputs!$B$1+((Inputs!$G$5:$G$110&lt;&gt;"moeda")*(Inputs!$G$5:$G$110&lt;&gt;"acoes")))*INDEX(Inputs!$K$5:$AJ$110,0,MATCH(Z$2,Inputs!$K$4:$AJ$4,0)))))</f>
        <v>1560</v>
      </c>
      <c r="AA28" s="6">
        <f>IF(ISNA(MATCH(AA$2,Inputs!$K$4:$AJ$4,0)),NA(),IF(SUMPRODUCT((Inputs!$A$5:$A$110=$B28)*ISNUMBER(INDEX(Inputs!$K$5:$AJ$110,0,MATCH(AA$2,Inputs!$K$4:$AJ$4,0))))+SUMPRODUCT((Inputs!$C$5:$C$110=$B28)*ISNUMBER(INDEX(Inputs!$K$5:$AJ$110,0,MATCH(AA$2,Inputs!$K$4:$AJ$4,0))))+SUMPRODUCT((Inputs!$E$5:$E$110=$B28)*ISNUMBER(INDEX(Inputs!$K$5:$AJ$110,0,MATCH(AA$2,Inputs!$K$4:$AJ$4,0))))=0,NA(),SUMPRODUCT((Inputs!$A$5:$A$110=$B28)*Inputs!$B$5:$B$110*(((Inputs!$G$5:$G$110="moeda")+(Inputs!$G$5:$G$110="acoes"))*Inputs!$B$1+((Inputs!$G$5:$G$110&lt;&gt;"moeda")*(Inputs!$G$5:$G$110&lt;&gt;"acoes")))*INDEX(Inputs!$K$5:$AJ$110,0,MATCH(AA$2,Inputs!$K$4:$AJ$4,0)))+SUMPRODUCT((Inputs!$C$5:$C$110=$B28)*Inputs!$D$5:$D$110*(((Inputs!$G$5:$G$110="moeda")+(Inputs!$G$5:$G$110="acoes"))*Inputs!$B$1+((Inputs!$G$5:$G$110&lt;&gt;"moeda")*(Inputs!$G$5:$G$110&lt;&gt;"acoes")))*INDEX(Inputs!$K$5:$AJ$110,0,MATCH(AA$2,Inputs!$K$4:$AJ$4,0)))+SUMPRODUCT((Inputs!$E$5:$E$110=$B28)*Inputs!$F$5:$F$110*(((Inputs!$G$5:$G$110="moeda")+(Inputs!$G$5:$G$110="acoes"))*Inputs!$B$1+((Inputs!$G$5:$G$110&lt;&gt;"moeda")*(Inputs!$G$5:$G$110&lt;&gt;"acoes")))*INDEX(Inputs!$K$5:$AJ$110,0,MATCH(AA$2,Inputs!$K$4:$AJ$4,0)))))</f>
        <v>2112</v>
      </c>
      <c r="AB28" s="3">
        <f>AA28</f>
        <v>2112</v>
      </c>
      <c r="AC28" s="6">
        <f>IF(ISNA(MATCH(AC$2,Inputs!$K$4:$AJ$4,0)),NA(),IF(SUMPRODUCT((Inputs!$A$5:$A$110=$B28)*ISNUMBER(INDEX(Inputs!$K$5:$AJ$110,0,MATCH(AC$2,Inputs!$K$4:$AJ$4,0))))+SUMPRODUCT((Inputs!$C$5:$C$110=$B28)*ISNUMBER(INDEX(Inputs!$K$5:$AJ$110,0,MATCH(AC$2,Inputs!$K$4:$AJ$4,0))))+SUMPRODUCT((Inputs!$E$5:$E$110=$B28)*ISNUMBER(INDEX(Inputs!$K$5:$AJ$110,0,MATCH(AC$2,Inputs!$K$4:$AJ$4,0))))=0,NA(),SUMPRODUCT((Inputs!$A$5:$A$110=$B28)*Inputs!$B$5:$B$110*(((Inputs!$G$5:$G$110="moeda")+(Inputs!$G$5:$G$110="acoes"))*Inputs!$B$1+((Inputs!$G$5:$G$110&lt;&gt;"moeda")*(Inputs!$G$5:$G$110&lt;&gt;"acoes")))*INDEX(Inputs!$K$5:$AJ$110,0,MATCH(AC$2,Inputs!$K$4:$AJ$4,0)))+SUMPRODUCT((Inputs!$C$5:$C$110=$B28)*Inputs!$D$5:$D$110*(((Inputs!$G$5:$G$110="moeda")+(Inputs!$G$5:$G$110="acoes"))*Inputs!$B$1+((Inputs!$G$5:$G$110&lt;&gt;"moeda")*(Inputs!$G$5:$G$110&lt;&gt;"acoes")))*INDEX(Inputs!$K$5:$AJ$110,0,MATCH(AC$2,Inputs!$K$4:$AJ$4,0)))+SUMPRODUCT((Inputs!$E$5:$E$110=$B28)*Inputs!$F$5:$F$110*(((Inputs!$G$5:$G$110="moeda")+(Inputs!$G$5:$G$110="acoes"))*Inputs!$B$1+((Inputs!$G$5:$G$110&lt;&gt;"moeda")*(Inputs!$G$5:$G$110&lt;&gt;"acoes")))*INDEX(Inputs!$K$5:$AJ$110,0,MATCH(AC$2,Inputs!$K$4:$AJ$4,0)))))</f>
        <v>2337</v>
      </c>
      <c r="AD28" s="6">
        <f>IF(ISNA(MATCH(AD$2,Inputs!$K$4:$AJ$4,0)),NA(),IF(SUMPRODUCT((Inputs!$A$5:$A$110=$B28)*ISNUMBER(INDEX(Inputs!$K$5:$AJ$110,0,MATCH(AD$2,Inputs!$K$4:$AJ$4,0))))+SUMPRODUCT((Inputs!$C$5:$C$110=$B28)*ISNUMBER(INDEX(Inputs!$K$5:$AJ$110,0,MATCH(AD$2,Inputs!$K$4:$AJ$4,0))))+SUMPRODUCT((Inputs!$E$5:$E$110=$B28)*ISNUMBER(INDEX(Inputs!$K$5:$AJ$110,0,MATCH(AD$2,Inputs!$K$4:$AJ$4,0))))=0,NA(),SUMPRODUCT((Inputs!$A$5:$A$110=$B28)*Inputs!$B$5:$B$110*(((Inputs!$G$5:$G$110="moeda")+(Inputs!$G$5:$G$110="acoes"))*Inputs!$B$1+((Inputs!$G$5:$G$110&lt;&gt;"moeda")*(Inputs!$G$5:$G$110&lt;&gt;"acoes")))*INDEX(Inputs!$K$5:$AJ$110,0,MATCH(AD$2,Inputs!$K$4:$AJ$4,0)))+SUMPRODUCT((Inputs!$C$5:$C$110=$B28)*Inputs!$D$5:$D$110*(((Inputs!$G$5:$G$110="moeda")+(Inputs!$G$5:$G$110="acoes"))*Inputs!$B$1+((Inputs!$G$5:$G$110&lt;&gt;"moeda")*(Inputs!$G$5:$G$110&lt;&gt;"acoes")))*INDEX(Inputs!$K$5:$AJ$110,0,MATCH(AD$2,Inputs!$K$4:$AJ$4,0)))+SUMPRODUCT((Inputs!$E$5:$E$110=$B28)*Inputs!$F$5:$F$110*(((Inputs!$G$5:$G$110="moeda")+(Inputs!$G$5:$G$110="acoes"))*Inputs!$B$1+((Inputs!$G$5:$G$110&lt;&gt;"moeda")*(Inputs!$G$5:$G$110&lt;&gt;"acoes")))*INDEX(Inputs!$K$5:$AJ$110,0,MATCH(AD$2,Inputs!$K$4:$AJ$4,0)))))</f>
        <v>4000</v>
      </c>
      <c r="AE28" s="6" t="e">
        <f>IF(ISNA(MATCH(AE$2,Inputs!$K$4:$AJ$4,0)),NA(),IF(SUMPRODUCT((Inputs!$A$5:$A$110=$B28)*ISNUMBER(INDEX(Inputs!$K$5:$AJ$110,0,MATCH(AE$2,Inputs!$K$4:$AJ$4,0))))+SUMPRODUCT((Inputs!$C$5:$C$110=$B28)*ISNUMBER(INDEX(Inputs!$K$5:$AJ$110,0,MATCH(AE$2,Inputs!$K$4:$AJ$4,0))))+SUMPRODUCT((Inputs!$E$5:$E$110=$B28)*ISNUMBER(INDEX(Inputs!$K$5:$AJ$110,0,MATCH(AE$2,Inputs!$K$4:$AJ$4,0))))=0,NA(),SUMPRODUCT((Inputs!$A$5:$A$110=$B28)*Inputs!$B$5:$B$110*(((Inputs!$G$5:$G$110="moeda")+(Inputs!$G$5:$G$110="acoes"))*Inputs!$B$1+((Inputs!$G$5:$G$110&lt;&gt;"moeda")*(Inputs!$G$5:$G$110&lt;&gt;"acoes")))*INDEX(Inputs!$K$5:$AJ$110,0,MATCH(AE$2,Inputs!$K$4:$AJ$4,0)))+SUMPRODUCT((Inputs!$C$5:$C$110=$B28)*Inputs!$D$5:$D$110*(((Inputs!$G$5:$G$110="moeda")+(Inputs!$G$5:$G$110="acoes"))*Inputs!$B$1+((Inputs!$G$5:$G$110&lt;&gt;"moeda")*(Inputs!$G$5:$G$110&lt;&gt;"acoes")))*INDEX(Inputs!$K$5:$AJ$110,0,MATCH(AE$2,Inputs!$K$4:$AJ$4,0)))+SUMPRODUCT((Inputs!$E$5:$E$110=$B28)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8" s="6" t="e">
        <f>IF(ISNA(MATCH(AF$2,Inputs!$K$4:$AJ$4,0)),NA(),IF(SUMPRODUCT((Inputs!$A$5:$A$110=$B28)*ISNUMBER(INDEX(Inputs!$K$5:$AJ$110,0,MATCH(AF$2,Inputs!$K$4:$AJ$4,0))))+SUMPRODUCT((Inputs!$C$5:$C$110=$B28)*ISNUMBER(INDEX(Inputs!$K$5:$AJ$110,0,MATCH(AF$2,Inputs!$K$4:$AJ$4,0))))+SUMPRODUCT((Inputs!$E$5:$E$110=$B28)*ISNUMBER(INDEX(Inputs!$K$5:$AJ$110,0,MATCH(AF$2,Inputs!$K$4:$AJ$4,0))))=0,NA(),SUMPRODUCT((Inputs!$A$5:$A$110=$B28)*Inputs!$B$5:$B$110*(((Inputs!$G$5:$G$110="moeda")+(Inputs!$G$5:$G$110="acoes"))*Inputs!$B$1+((Inputs!$G$5:$G$110&lt;&gt;"moeda")*(Inputs!$G$5:$G$110&lt;&gt;"acoes")))*INDEX(Inputs!$K$5:$AJ$110,0,MATCH(AF$2,Inputs!$K$4:$AJ$4,0)))+SUMPRODUCT((Inputs!$C$5:$C$110=$B28)*Inputs!$D$5:$D$110*(((Inputs!$G$5:$G$110="moeda")+(Inputs!$G$5:$G$110="acoes"))*Inputs!$B$1+((Inputs!$G$5:$G$110&lt;&gt;"moeda")*(Inputs!$G$5:$G$110&lt;&gt;"acoes")))*INDEX(Inputs!$K$5:$AJ$110,0,MATCH(AF$2,Inputs!$K$4:$AJ$4,0)))+SUMPRODUCT((Inputs!$E$5:$E$110=$B28)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8" s="3" t="e">
        <f>AF28</f>
        <v>#N/A</v>
      </c>
      <c r="AH28" s="6">
        <f>IF(ISNA(MATCH(AH$2,Inputs!$K$4:$AJ$4,0)),NA(),IF(SUMPRODUCT((Inputs!$A$5:$A$110=$B28)*ISNUMBER(INDEX(Inputs!$K$5:$AJ$110,0,MATCH(AH$2,Inputs!$K$4:$AJ$4,0))))+SUMPRODUCT((Inputs!$C$5:$C$110=$B28)*ISNUMBER(INDEX(Inputs!$K$5:$AJ$110,0,MATCH(AH$2,Inputs!$K$4:$AJ$4,0))))+SUMPRODUCT((Inputs!$E$5:$E$110=$B28)*ISNUMBER(INDEX(Inputs!$K$5:$AJ$110,0,MATCH(AH$2,Inputs!$K$4:$AJ$4,0))))=0,NA(),SUMPRODUCT((Inputs!$A$5:$A$110=$B28)*Inputs!$B$5:$B$110*(((Inputs!$G$5:$G$110="moeda")+(Inputs!$G$5:$G$110="acoes"))*Inputs!$B$1+((Inputs!$G$5:$G$110&lt;&gt;"moeda")*(Inputs!$G$5:$G$110&lt;&gt;"acoes")))*INDEX(Inputs!$K$5:$AJ$110,0,MATCH(AH$2,Inputs!$K$4:$AJ$4,0)))+SUMPRODUCT((Inputs!$C$5:$C$110=$B28)*Inputs!$D$5:$D$110*(((Inputs!$G$5:$G$110="moeda")+(Inputs!$G$5:$G$110="acoes"))*Inputs!$B$1+((Inputs!$G$5:$G$110&lt;&gt;"moeda")*(Inputs!$G$5:$G$110&lt;&gt;"acoes")))*INDEX(Inputs!$K$5:$AJ$110,0,MATCH(AH$2,Inputs!$K$4:$AJ$4,0)))+SUMPRODUCT((Inputs!$E$5:$E$110=$B28)*Inputs!$F$5:$F$110*(((Inputs!$G$5:$G$110="moeda")+(Inputs!$G$5:$G$110="acoes"))*Inputs!$B$1+((Inputs!$G$5:$G$110&lt;&gt;"moeda")*(Inputs!$G$5:$G$110&lt;&gt;"acoes")))*INDEX(Inputs!$K$5:$AJ$110,0,MATCH(AH$2,Inputs!$K$4:$AJ$4,0)))))</f>
        <v>1230</v>
      </c>
      <c r="AI28" s="6">
        <f>IF(ISNA(MATCH(AI$2,Inputs!$K$4:$AJ$4,0)),NA(),IF(SUMPRODUCT((Inputs!$A$5:$A$110=$B28)*ISNUMBER(INDEX(Inputs!$K$5:$AJ$110,0,MATCH(AI$2,Inputs!$K$4:$AJ$4,0))))+SUMPRODUCT((Inputs!$C$5:$C$110=$B28)*ISNUMBER(INDEX(Inputs!$K$5:$AJ$110,0,MATCH(AI$2,Inputs!$K$4:$AJ$4,0))))+SUMPRODUCT((Inputs!$E$5:$E$110=$B28)*ISNUMBER(INDEX(Inputs!$K$5:$AJ$110,0,MATCH(AI$2,Inputs!$K$4:$AJ$4,0))))=0,NA(),SUMPRODUCT((Inputs!$A$5:$A$110=$B28)*Inputs!$B$5:$B$110*(((Inputs!$G$5:$G$110="moeda")+(Inputs!$G$5:$G$110="acoes"))*Inputs!$B$1+((Inputs!$G$5:$G$110&lt;&gt;"moeda")*(Inputs!$G$5:$G$110&lt;&gt;"acoes")))*INDEX(Inputs!$K$5:$AJ$110,0,MATCH(AI$2,Inputs!$K$4:$AJ$4,0)))+SUMPRODUCT((Inputs!$C$5:$C$110=$B28)*Inputs!$D$5:$D$110*(((Inputs!$G$5:$G$110="moeda")+(Inputs!$G$5:$G$110="acoes"))*Inputs!$B$1+((Inputs!$G$5:$G$110&lt;&gt;"moeda")*(Inputs!$G$5:$G$110&lt;&gt;"acoes")))*INDEX(Inputs!$K$5:$AJ$110,0,MATCH(AI$2,Inputs!$K$4:$AJ$4,0)))+SUMPRODUCT((Inputs!$E$5:$E$110=$B28)*Inputs!$F$5:$F$110*(((Inputs!$G$5:$G$110="moeda")+(Inputs!$G$5:$G$110="acoes"))*Inputs!$B$1+((Inputs!$G$5:$G$110&lt;&gt;"moeda")*(Inputs!$G$5:$G$110&lt;&gt;"acoes")))*INDEX(Inputs!$K$5:$AJ$110,0,MATCH(AI$2,Inputs!$K$4:$AJ$4,0)))))</f>
        <v>1092</v>
      </c>
      <c r="AJ28" s="6">
        <f>IF(ISNA(MATCH(AJ$2,Inputs!$K$4:$AJ$4,0)),NA(),IF(SUMPRODUCT((Inputs!$A$5:$A$110=$B28)*ISNUMBER(INDEX(Inputs!$K$5:$AJ$110,0,MATCH(AJ$2,Inputs!$K$4:$AJ$4,0))))+SUMPRODUCT((Inputs!$C$5:$C$110=$B28)*ISNUMBER(INDEX(Inputs!$K$5:$AJ$110,0,MATCH(AJ$2,Inputs!$K$4:$AJ$4,0))))+SUMPRODUCT((Inputs!$E$5:$E$110=$B28)*ISNUMBER(INDEX(Inputs!$K$5:$AJ$110,0,MATCH(AJ$2,Inputs!$K$4:$AJ$4,0))))=0,NA(),SUMPRODUCT((Inputs!$A$5:$A$110=$B28)*Inputs!$B$5:$B$110*(((Inputs!$G$5:$G$110="moeda")+(Inputs!$G$5:$G$110="acoes"))*Inputs!$B$1+((Inputs!$G$5:$G$110&lt;&gt;"moeda")*(Inputs!$G$5:$G$110&lt;&gt;"acoes")))*INDEX(Inputs!$K$5:$AJ$110,0,MATCH(AJ$2,Inputs!$K$4:$AJ$4,0)))+SUMPRODUCT((Inputs!$C$5:$C$110=$B28)*Inputs!$D$5:$D$110*(((Inputs!$G$5:$G$110="moeda")+(Inputs!$G$5:$G$110="acoes"))*Inputs!$B$1+((Inputs!$G$5:$G$110&lt;&gt;"moeda")*(Inputs!$G$5:$G$110&lt;&gt;"acoes")))*INDEX(Inputs!$K$5:$AJ$110,0,MATCH(AJ$2,Inputs!$K$4:$AJ$4,0)))+SUMPRODUCT((Inputs!$E$5:$E$110=$B28)*Inputs!$F$5:$F$110*(((Inputs!$G$5:$G$110="moeda")+(Inputs!$G$5:$G$110="acoes"))*Inputs!$B$1+((Inputs!$G$5:$G$110&lt;&gt;"moeda")*(Inputs!$G$5:$G$110&lt;&gt;"acoes")))*INDEX(Inputs!$K$5:$AJ$110,0,MATCH(AJ$2,Inputs!$K$4:$AJ$4,0)))))</f>
        <v>836</v>
      </c>
      <c r="AK28" s="6">
        <f>IF(ISNA(MATCH(AK$2,Inputs!$K$4:$AJ$4,0)),NA(),IF(SUMPRODUCT((Inputs!$A$5:$A$110=$B28)*ISNUMBER(INDEX(Inputs!$K$5:$AJ$110,0,MATCH(AK$2,Inputs!$K$4:$AJ$4,0))))+SUMPRODUCT((Inputs!$C$5:$C$110=$B28)*ISNUMBER(INDEX(Inputs!$K$5:$AJ$110,0,MATCH(AK$2,Inputs!$K$4:$AJ$4,0))))+SUMPRODUCT((Inputs!$E$5:$E$110=$B28)*ISNUMBER(INDEX(Inputs!$K$5:$AJ$110,0,MATCH(AK$2,Inputs!$K$4:$AJ$4,0))))=0,NA(),SUMPRODUCT((Inputs!$A$5:$A$110=$B28)*Inputs!$B$5:$B$110*(((Inputs!$G$5:$G$110="moeda")+(Inputs!$G$5:$G$110="acoes"))*Inputs!$B$1+((Inputs!$G$5:$G$110&lt;&gt;"moeda")*(Inputs!$G$5:$G$110&lt;&gt;"acoes")))*INDEX(Inputs!$K$5:$AJ$110,0,MATCH(AK$2,Inputs!$K$4:$AJ$4,0)))+SUMPRODUCT((Inputs!$C$5:$C$110=$B28)*Inputs!$D$5:$D$110*(((Inputs!$G$5:$G$110="moeda")+(Inputs!$G$5:$G$110="acoes"))*Inputs!$B$1+((Inputs!$G$5:$G$110&lt;&gt;"moeda")*(Inputs!$G$5:$G$110&lt;&gt;"acoes")))*INDEX(Inputs!$K$5:$AJ$110,0,MATCH(AK$2,Inputs!$K$4:$AJ$4,0)))+SUMPRODUCT((Inputs!$E$5:$E$110=$B28)*Inputs!$F$5:$F$110*(((Inputs!$G$5:$G$110="moeda")+(Inputs!$G$5:$G$110="acoes"))*Inputs!$B$1+((Inputs!$G$5:$G$110&lt;&gt;"moeda")*(Inputs!$G$5:$G$110&lt;&gt;"acoes")))*INDEX(Inputs!$K$5:$AJ$110,0,MATCH(AK$2,Inputs!$K$4:$AJ$4,0)))))</f>
        <v>898</v>
      </c>
      <c r="AL28" s="3">
        <f>AK28</f>
        <v>898</v>
      </c>
    </row>
    <row r="29">
      <c r="B29" s="46" t="n">
        <v>24</v>
      </c>
      <c r="C29" s="26" t="inlineStr">
        <is>
          <t>Accrued expenses</t>
        </is>
      </c>
      <c r="D29" s="6">
        <f>IF(ISNA(MATCH(D$2,Inputs!$K$4:$AJ$4,0)),NA(),IF(SUMPRODUCT((Inputs!$A$5:$A$110=$B29)*ISNUMBER(INDEX(Inputs!$K$5:$AJ$110,0,MATCH(D$2,Inputs!$K$4:$AJ$4,0))))+SUMPRODUCT((Inputs!$C$5:$C$110=$B29)*ISNUMBER(INDEX(Inputs!$K$5:$AJ$110,0,MATCH(D$2,Inputs!$K$4:$AJ$4,0))))+SUMPRODUCT((Inputs!$E$5:$E$110=$B29)*ISNUMBER(INDEX(Inputs!$K$5:$AJ$110,0,MATCH(D$2,Inputs!$K$4:$AJ$4,0))))=0,NA(),SUMPRODUCT((Inputs!$A$5:$A$110=$B29)*Inputs!$B$5:$B$110*(((Inputs!$G$5:$G$110="moeda")+(Inputs!$G$5:$G$110="acoes"))*Inputs!$B$1+((Inputs!$G$5:$G$110&lt;&gt;"moeda")*(Inputs!$G$5:$G$110&lt;&gt;"acoes")))*INDEX(Inputs!$K$5:$AJ$110,0,MATCH(D$2,Inputs!$K$4:$AJ$4,0)))+SUMPRODUCT((Inputs!$C$5:$C$110=$B29)*Inputs!$D$5:$D$110*(((Inputs!$G$5:$G$110="moeda")+(Inputs!$G$5:$G$110="acoes"))*Inputs!$B$1+((Inputs!$G$5:$G$110&lt;&gt;"moeda")*(Inputs!$G$5:$G$110&lt;&gt;"acoes")))*INDEX(Inputs!$K$5:$AJ$110,0,MATCH(D$2,Inputs!$K$4:$AJ$4,0)))+SUMPRODUCT((Inputs!$E$5:$E$110=$B29)*Inputs!$F$5:$F$110*(((Inputs!$G$5:$G$110="moeda")+(Inputs!$G$5:$G$110="acoes"))*Inputs!$B$1+((Inputs!$G$5:$G$110&lt;&gt;"moeda")*(Inputs!$G$5:$G$110&lt;&gt;"acoes")))*INDEX(Inputs!$K$5:$AJ$110,0,MATCH(D$2,Inputs!$K$4:$AJ$4,0)))))</f>
        <v>639</v>
      </c>
      <c r="E29" s="6">
        <f>IF(ISNA(MATCH(E$2,Inputs!$K$4:$AJ$4,0)),NA(),IF(SUMPRODUCT((Inputs!$A$5:$A$110=$B29)*ISNUMBER(INDEX(Inputs!$K$5:$AJ$110,0,MATCH(E$2,Inputs!$K$4:$AJ$4,0))))+SUMPRODUCT((Inputs!$C$5:$C$110=$B29)*ISNUMBER(INDEX(Inputs!$K$5:$AJ$110,0,MATCH(E$2,Inputs!$K$4:$AJ$4,0))))+SUMPRODUCT((Inputs!$E$5:$E$110=$B29)*ISNUMBER(INDEX(Inputs!$K$5:$AJ$110,0,MATCH(E$2,Inputs!$K$4:$AJ$4,0))))=0,NA(),SUMPRODUCT((Inputs!$A$5:$A$110=$B29)*Inputs!$B$5:$B$110*(((Inputs!$G$5:$G$110="moeda")+(Inputs!$G$5:$G$110="acoes"))*Inputs!$B$1+((Inputs!$G$5:$G$110&lt;&gt;"moeda")*(Inputs!$G$5:$G$110&lt;&gt;"acoes")))*INDEX(Inputs!$K$5:$AJ$110,0,MATCH(E$2,Inputs!$K$4:$AJ$4,0)))+SUMPRODUCT((Inputs!$C$5:$C$110=$B29)*Inputs!$D$5:$D$110*(((Inputs!$G$5:$G$110="moeda")+(Inputs!$G$5:$G$110="acoes"))*Inputs!$B$1+((Inputs!$G$5:$G$110&lt;&gt;"moeda")*(Inputs!$G$5:$G$110&lt;&gt;"acoes")))*INDEX(Inputs!$K$5:$AJ$110,0,MATCH(E$2,Inputs!$K$4:$AJ$4,0)))+SUMPRODUCT((Inputs!$E$5:$E$110=$B29)*Inputs!$F$5:$F$110*(((Inputs!$G$5:$G$110="moeda")+(Inputs!$G$5:$G$110="acoes"))*Inputs!$B$1+((Inputs!$G$5:$G$110&lt;&gt;"moeda")*(Inputs!$G$5:$G$110&lt;&gt;"acoes")))*INDEX(Inputs!$K$5:$AJ$110,0,MATCH(E$2,Inputs!$K$4:$AJ$4,0)))))</f>
        <v>893</v>
      </c>
      <c r="F29" s="6">
        <f>IF(ISNA(MATCH(F$2,Inputs!$K$4:$AJ$4,0)),NA(),IF(SUMPRODUCT((Inputs!$A$5:$A$110=$B29)*ISNUMBER(INDEX(Inputs!$K$5:$AJ$110,0,MATCH(F$2,Inputs!$K$4:$AJ$4,0))))+SUMPRODUCT((Inputs!$C$5:$C$110=$B29)*ISNUMBER(INDEX(Inputs!$K$5:$AJ$110,0,MATCH(F$2,Inputs!$K$4:$AJ$4,0))))+SUMPRODUCT((Inputs!$E$5:$E$110=$B29)*ISNUMBER(INDEX(Inputs!$K$5:$AJ$110,0,MATCH(F$2,Inputs!$K$4:$AJ$4,0))))=0,NA(),SUMPRODUCT((Inputs!$A$5:$A$110=$B29)*Inputs!$B$5:$B$110*(((Inputs!$G$5:$G$110="moeda")+(Inputs!$G$5:$G$110="acoes"))*Inputs!$B$1+((Inputs!$G$5:$G$110&lt;&gt;"moeda")*(Inputs!$G$5:$G$110&lt;&gt;"acoes")))*INDEX(Inputs!$K$5:$AJ$110,0,MATCH(F$2,Inputs!$K$4:$AJ$4,0)))+SUMPRODUCT((Inputs!$C$5:$C$110=$B29)*Inputs!$D$5:$D$110*(((Inputs!$G$5:$G$110="moeda")+(Inputs!$G$5:$G$110="acoes"))*Inputs!$B$1+((Inputs!$G$5:$G$110&lt;&gt;"moeda")*(Inputs!$G$5:$G$110&lt;&gt;"acoes")))*INDEX(Inputs!$K$5:$AJ$110,0,MATCH(F$2,Inputs!$K$4:$AJ$4,0)))+SUMPRODUCT((Inputs!$E$5:$E$110=$B29)*Inputs!$F$5:$F$110*(((Inputs!$G$5:$G$110="moeda")+(Inputs!$G$5:$G$110="acoes"))*Inputs!$B$1+((Inputs!$G$5:$G$110&lt;&gt;"moeda")*(Inputs!$G$5:$G$110&lt;&gt;"acoes")))*INDEX(Inputs!$K$5:$AJ$110,0,MATCH(F$2,Inputs!$K$4:$AJ$4,0)))))</f>
        <v>1066</v>
      </c>
      <c r="G29" s="6">
        <f>IF(ISNA(MATCH(G$2,Inputs!$K$4:$AJ$4,0)),NA(),IF(SUMPRODUCT((Inputs!$A$5:$A$110=$B29)*ISNUMBER(INDEX(Inputs!$K$5:$AJ$110,0,MATCH(G$2,Inputs!$K$4:$AJ$4,0))))+SUMPRODUCT((Inputs!$C$5:$C$110=$B29)*ISNUMBER(INDEX(Inputs!$K$5:$AJ$110,0,MATCH(G$2,Inputs!$K$4:$AJ$4,0))))+SUMPRODUCT((Inputs!$E$5:$E$110=$B29)*ISNUMBER(INDEX(Inputs!$K$5:$AJ$110,0,MATCH(G$2,Inputs!$K$4:$AJ$4,0))))=0,NA(),SUMPRODUCT((Inputs!$A$5:$A$110=$B29)*Inputs!$B$5:$B$110*(((Inputs!$G$5:$G$110="moeda")+(Inputs!$G$5:$G$110="acoes"))*Inputs!$B$1+((Inputs!$G$5:$G$110&lt;&gt;"moeda")*(Inputs!$G$5:$G$110&lt;&gt;"acoes")))*INDEX(Inputs!$K$5:$AJ$110,0,MATCH(G$2,Inputs!$K$4:$AJ$4,0)))+SUMPRODUCT((Inputs!$C$5:$C$110=$B29)*Inputs!$D$5:$D$110*(((Inputs!$G$5:$G$110="moeda")+(Inputs!$G$5:$G$110="acoes"))*Inputs!$B$1+((Inputs!$G$5:$G$110&lt;&gt;"moeda")*(Inputs!$G$5:$G$110&lt;&gt;"acoes")))*INDEX(Inputs!$K$5:$AJ$110,0,MATCH(G$2,Inputs!$K$4:$AJ$4,0)))+SUMPRODUCT((Inputs!$E$5:$E$110=$B29)*Inputs!$F$5:$F$110*(((Inputs!$G$5:$G$110="moeda")+(Inputs!$G$5:$G$110="acoes"))*Inputs!$B$1+((Inputs!$G$5:$G$110&lt;&gt;"moeda")*(Inputs!$G$5:$G$110&lt;&gt;"acoes")))*INDEX(Inputs!$K$5:$AJ$110,0,MATCH(G$2,Inputs!$K$4:$AJ$4,0)))))</f>
        <v>531</v>
      </c>
      <c r="H29" s="3">
        <f>G29</f>
        <v>531</v>
      </c>
      <c r="I29" s="6">
        <f>IF(ISNA(MATCH(I$2,Inputs!$K$4:$AJ$4,0)),NA(),IF(SUMPRODUCT((Inputs!$A$5:$A$110=$B29)*ISNUMBER(INDEX(Inputs!$K$5:$AJ$110,0,MATCH(I$2,Inputs!$K$4:$AJ$4,0))))+SUMPRODUCT((Inputs!$C$5:$C$110=$B29)*ISNUMBER(INDEX(Inputs!$K$5:$AJ$110,0,MATCH(I$2,Inputs!$K$4:$AJ$4,0))))+SUMPRODUCT((Inputs!$E$5:$E$110=$B29)*ISNUMBER(INDEX(Inputs!$K$5:$AJ$110,0,MATCH(I$2,Inputs!$K$4:$AJ$4,0))))=0,NA(),SUMPRODUCT((Inputs!$A$5:$A$110=$B29)*Inputs!$B$5:$B$110*(((Inputs!$G$5:$G$110="moeda")+(Inputs!$G$5:$G$110="acoes"))*Inputs!$B$1+((Inputs!$G$5:$G$110&lt;&gt;"moeda")*(Inputs!$G$5:$G$110&lt;&gt;"acoes")))*INDEX(Inputs!$K$5:$AJ$110,0,MATCH(I$2,Inputs!$K$4:$AJ$4,0)))+SUMPRODUCT((Inputs!$C$5:$C$110=$B29)*Inputs!$D$5:$D$110*(((Inputs!$G$5:$G$110="moeda")+(Inputs!$G$5:$G$110="acoes"))*Inputs!$B$1+((Inputs!$G$5:$G$110&lt;&gt;"moeda")*(Inputs!$G$5:$G$110&lt;&gt;"acoes")))*INDEX(Inputs!$K$5:$AJ$110,0,MATCH(I$2,Inputs!$K$4:$AJ$4,0)))+SUMPRODUCT((Inputs!$E$5:$E$110=$B29)*Inputs!$F$5:$F$110*(((Inputs!$G$5:$G$110="moeda")+(Inputs!$G$5:$G$110="acoes"))*Inputs!$B$1+((Inputs!$G$5:$G$110&lt;&gt;"moeda")*(Inputs!$G$5:$G$110&lt;&gt;"acoes")))*INDEX(Inputs!$K$5:$AJ$110,0,MATCH(I$2,Inputs!$K$4:$AJ$4,0)))))</f>
        <v>751</v>
      </c>
      <c r="J29" s="6">
        <f>IF(ISNA(MATCH(J$2,Inputs!$K$4:$AJ$4,0)),NA(),IF(SUMPRODUCT((Inputs!$A$5:$A$110=$B29)*ISNUMBER(INDEX(Inputs!$K$5:$AJ$110,0,MATCH(J$2,Inputs!$K$4:$AJ$4,0))))+SUMPRODUCT((Inputs!$C$5:$C$110=$B29)*ISNUMBER(INDEX(Inputs!$K$5:$AJ$110,0,MATCH(J$2,Inputs!$K$4:$AJ$4,0))))+SUMPRODUCT((Inputs!$E$5:$E$110=$B29)*ISNUMBER(INDEX(Inputs!$K$5:$AJ$110,0,MATCH(J$2,Inputs!$K$4:$AJ$4,0))))=0,NA(),SUMPRODUCT((Inputs!$A$5:$A$110=$B29)*Inputs!$B$5:$B$110*(((Inputs!$G$5:$G$110="moeda")+(Inputs!$G$5:$G$110="acoes"))*Inputs!$B$1+((Inputs!$G$5:$G$110&lt;&gt;"moeda")*(Inputs!$G$5:$G$110&lt;&gt;"acoes")))*INDEX(Inputs!$K$5:$AJ$110,0,MATCH(J$2,Inputs!$K$4:$AJ$4,0)))+SUMPRODUCT((Inputs!$C$5:$C$110=$B29)*Inputs!$D$5:$D$110*(((Inputs!$G$5:$G$110="moeda")+(Inputs!$G$5:$G$110="acoes"))*Inputs!$B$1+((Inputs!$G$5:$G$110&lt;&gt;"moeda")*(Inputs!$G$5:$G$110&lt;&gt;"acoes")))*INDEX(Inputs!$K$5:$AJ$110,0,MATCH(J$2,Inputs!$K$4:$AJ$4,0)))+SUMPRODUCT((Inputs!$E$5:$E$110=$B29)*Inputs!$F$5:$F$110*(((Inputs!$G$5:$G$110="moeda")+(Inputs!$G$5:$G$110="acoes"))*Inputs!$B$1+((Inputs!$G$5:$G$110&lt;&gt;"moeda")*(Inputs!$G$5:$G$110&lt;&gt;"acoes")))*INDEX(Inputs!$K$5:$AJ$110,0,MATCH(J$2,Inputs!$K$4:$AJ$4,0)))))</f>
        <v>1079</v>
      </c>
      <c r="K29" s="6">
        <f>IF(ISNA(MATCH(K$2,Inputs!$K$4:$AJ$4,0)),NA(),IF(SUMPRODUCT((Inputs!$A$5:$A$110=$B29)*ISNUMBER(INDEX(Inputs!$K$5:$AJ$110,0,MATCH(K$2,Inputs!$K$4:$AJ$4,0))))+SUMPRODUCT((Inputs!$C$5:$C$110=$B29)*ISNUMBER(INDEX(Inputs!$K$5:$AJ$110,0,MATCH(K$2,Inputs!$K$4:$AJ$4,0))))+SUMPRODUCT((Inputs!$E$5:$E$110=$B29)*ISNUMBER(INDEX(Inputs!$K$5:$AJ$110,0,MATCH(K$2,Inputs!$K$4:$AJ$4,0))))=0,NA(),SUMPRODUCT((Inputs!$A$5:$A$110=$B29)*Inputs!$B$5:$B$110*(((Inputs!$G$5:$G$110="moeda")+(Inputs!$G$5:$G$110="acoes"))*Inputs!$B$1+((Inputs!$G$5:$G$110&lt;&gt;"moeda")*(Inputs!$G$5:$G$110&lt;&gt;"acoes")))*INDEX(Inputs!$K$5:$AJ$110,0,MATCH(K$2,Inputs!$K$4:$AJ$4,0)))+SUMPRODUCT((Inputs!$C$5:$C$110=$B29)*Inputs!$D$5:$D$110*(((Inputs!$G$5:$G$110="moeda")+(Inputs!$G$5:$G$110="acoes"))*Inputs!$B$1+((Inputs!$G$5:$G$110&lt;&gt;"moeda")*(Inputs!$G$5:$G$110&lt;&gt;"acoes")))*INDEX(Inputs!$K$5:$AJ$110,0,MATCH(K$2,Inputs!$K$4:$AJ$4,0)))+SUMPRODUCT((Inputs!$E$5:$E$110=$B29)*Inputs!$F$5:$F$110*(((Inputs!$G$5:$G$110="moeda")+(Inputs!$G$5:$G$110="acoes"))*Inputs!$B$1+((Inputs!$G$5:$G$110&lt;&gt;"moeda")*(Inputs!$G$5:$G$110&lt;&gt;"acoes")))*INDEX(Inputs!$K$5:$AJ$110,0,MATCH(K$2,Inputs!$K$4:$AJ$4,0)))))</f>
        <v>1202</v>
      </c>
      <c r="L29" s="6">
        <f>IF(ISNA(MATCH(L$2,Inputs!$K$4:$AJ$4,0)),NA(),IF(SUMPRODUCT((Inputs!$A$5:$A$110=$B29)*ISNUMBER(INDEX(Inputs!$K$5:$AJ$110,0,MATCH(L$2,Inputs!$K$4:$AJ$4,0))))+SUMPRODUCT((Inputs!$C$5:$C$110=$B29)*ISNUMBER(INDEX(Inputs!$K$5:$AJ$110,0,MATCH(L$2,Inputs!$K$4:$AJ$4,0))))+SUMPRODUCT((Inputs!$E$5:$E$110=$B29)*ISNUMBER(INDEX(Inputs!$K$5:$AJ$110,0,MATCH(L$2,Inputs!$K$4:$AJ$4,0))))=0,NA(),SUMPRODUCT((Inputs!$A$5:$A$110=$B29)*Inputs!$B$5:$B$110*(((Inputs!$G$5:$G$110="moeda")+(Inputs!$G$5:$G$110="acoes"))*Inputs!$B$1+((Inputs!$G$5:$G$110&lt;&gt;"moeda")*(Inputs!$G$5:$G$110&lt;&gt;"acoes")))*INDEX(Inputs!$K$5:$AJ$110,0,MATCH(L$2,Inputs!$K$4:$AJ$4,0)))+SUMPRODUCT((Inputs!$C$5:$C$110=$B29)*Inputs!$D$5:$D$110*(((Inputs!$G$5:$G$110="moeda")+(Inputs!$G$5:$G$110="acoes"))*Inputs!$B$1+((Inputs!$G$5:$G$110&lt;&gt;"moeda")*(Inputs!$G$5:$G$110&lt;&gt;"acoes")))*INDEX(Inputs!$K$5:$AJ$110,0,MATCH(L$2,Inputs!$K$4:$AJ$4,0)))+SUMPRODUCT((Inputs!$E$5:$E$110=$B29)*Inputs!$F$5:$F$110*(((Inputs!$G$5:$G$110="moeda")+(Inputs!$G$5:$G$110="acoes"))*Inputs!$B$1+((Inputs!$G$5:$G$110&lt;&gt;"moeda")*(Inputs!$G$5:$G$110&lt;&gt;"acoes")))*INDEX(Inputs!$K$5:$AJ$110,0,MATCH(L$2,Inputs!$K$4:$AJ$4,0)))))</f>
        <v>536</v>
      </c>
      <c r="M29" s="3">
        <f>L29</f>
        <v>536</v>
      </c>
      <c r="N29" s="6">
        <f>IF(ISNA(MATCH(N$2,Inputs!$K$4:$AJ$4,0)),NA(),IF(SUMPRODUCT((Inputs!$A$5:$A$110=$B29)*ISNUMBER(INDEX(Inputs!$K$5:$AJ$110,0,MATCH(N$2,Inputs!$K$4:$AJ$4,0))))+SUMPRODUCT((Inputs!$C$5:$C$110=$B29)*ISNUMBER(INDEX(Inputs!$K$5:$AJ$110,0,MATCH(N$2,Inputs!$K$4:$AJ$4,0))))+SUMPRODUCT((Inputs!$E$5:$E$110=$B29)*ISNUMBER(INDEX(Inputs!$K$5:$AJ$110,0,MATCH(N$2,Inputs!$K$4:$AJ$4,0))))=0,NA(),SUMPRODUCT((Inputs!$A$5:$A$110=$B29)*Inputs!$B$5:$B$110*(((Inputs!$G$5:$G$110="moeda")+(Inputs!$G$5:$G$110="acoes"))*Inputs!$B$1+((Inputs!$G$5:$G$110&lt;&gt;"moeda")*(Inputs!$G$5:$G$110&lt;&gt;"acoes")))*INDEX(Inputs!$K$5:$AJ$110,0,MATCH(N$2,Inputs!$K$4:$AJ$4,0)))+SUMPRODUCT((Inputs!$C$5:$C$110=$B29)*Inputs!$D$5:$D$110*(((Inputs!$G$5:$G$110="moeda")+(Inputs!$G$5:$G$110="acoes"))*Inputs!$B$1+((Inputs!$G$5:$G$110&lt;&gt;"moeda")*(Inputs!$G$5:$G$110&lt;&gt;"acoes")))*INDEX(Inputs!$K$5:$AJ$110,0,MATCH(N$2,Inputs!$K$4:$AJ$4,0)))+SUMPRODUCT((Inputs!$E$5:$E$110=$B29)*Inputs!$F$5:$F$110*(((Inputs!$G$5:$G$110="moeda")+(Inputs!$G$5:$G$110="acoes"))*Inputs!$B$1+((Inputs!$G$5:$G$110&lt;&gt;"moeda")*(Inputs!$G$5:$G$110&lt;&gt;"acoes")))*INDEX(Inputs!$K$5:$AJ$110,0,MATCH(N$2,Inputs!$K$4:$AJ$4,0)))))</f>
        <v>634</v>
      </c>
      <c r="O29" s="6">
        <f>IF(ISNA(MATCH(O$2,Inputs!$K$4:$AJ$4,0)),NA(),IF(SUMPRODUCT((Inputs!$A$5:$A$110=$B29)*ISNUMBER(INDEX(Inputs!$K$5:$AJ$110,0,MATCH(O$2,Inputs!$K$4:$AJ$4,0))))+SUMPRODUCT((Inputs!$C$5:$C$110=$B29)*ISNUMBER(INDEX(Inputs!$K$5:$AJ$110,0,MATCH(O$2,Inputs!$K$4:$AJ$4,0))))+SUMPRODUCT((Inputs!$E$5:$E$110=$B29)*ISNUMBER(INDEX(Inputs!$K$5:$AJ$110,0,MATCH(O$2,Inputs!$K$4:$AJ$4,0))))=0,NA(),SUMPRODUCT((Inputs!$A$5:$A$110=$B29)*Inputs!$B$5:$B$110*(((Inputs!$G$5:$G$110="moeda")+(Inputs!$G$5:$G$110="acoes"))*Inputs!$B$1+((Inputs!$G$5:$G$110&lt;&gt;"moeda")*(Inputs!$G$5:$G$110&lt;&gt;"acoes")))*INDEX(Inputs!$K$5:$AJ$110,0,MATCH(O$2,Inputs!$K$4:$AJ$4,0)))+SUMPRODUCT((Inputs!$C$5:$C$110=$B29)*Inputs!$D$5:$D$110*(((Inputs!$G$5:$G$110="moeda")+(Inputs!$G$5:$G$110="acoes"))*Inputs!$B$1+((Inputs!$G$5:$G$110&lt;&gt;"moeda")*(Inputs!$G$5:$G$110&lt;&gt;"acoes")))*INDEX(Inputs!$K$5:$AJ$110,0,MATCH(O$2,Inputs!$K$4:$AJ$4,0)))+SUMPRODUCT((Inputs!$E$5:$E$110=$B29)*Inputs!$F$5:$F$110*(((Inputs!$G$5:$G$110="moeda")+(Inputs!$G$5:$G$110="acoes"))*Inputs!$B$1+((Inputs!$G$5:$G$110&lt;&gt;"moeda")*(Inputs!$G$5:$G$110&lt;&gt;"acoes")))*INDEX(Inputs!$K$5:$AJ$110,0,MATCH(O$2,Inputs!$K$4:$AJ$4,0)))))</f>
        <v>831</v>
      </c>
      <c r="P29" s="6">
        <f>IF(ISNA(MATCH(P$2,Inputs!$K$4:$AJ$4,0)),NA(),IF(SUMPRODUCT((Inputs!$A$5:$A$110=$B29)*ISNUMBER(INDEX(Inputs!$K$5:$AJ$110,0,MATCH(P$2,Inputs!$K$4:$AJ$4,0))))+SUMPRODUCT((Inputs!$C$5:$C$110=$B29)*ISNUMBER(INDEX(Inputs!$K$5:$AJ$110,0,MATCH(P$2,Inputs!$K$4:$AJ$4,0))))+SUMPRODUCT((Inputs!$E$5:$E$110=$B29)*ISNUMBER(INDEX(Inputs!$K$5:$AJ$110,0,MATCH(P$2,Inputs!$K$4:$AJ$4,0))))=0,NA(),SUMPRODUCT((Inputs!$A$5:$A$110=$B29)*Inputs!$B$5:$B$110*(((Inputs!$G$5:$G$110="moeda")+(Inputs!$G$5:$G$110="acoes"))*Inputs!$B$1+((Inputs!$G$5:$G$110&lt;&gt;"moeda")*(Inputs!$G$5:$G$110&lt;&gt;"acoes")))*INDEX(Inputs!$K$5:$AJ$110,0,MATCH(P$2,Inputs!$K$4:$AJ$4,0)))+SUMPRODUCT((Inputs!$C$5:$C$110=$B29)*Inputs!$D$5:$D$110*(((Inputs!$G$5:$G$110="moeda")+(Inputs!$G$5:$G$110="acoes"))*Inputs!$B$1+((Inputs!$G$5:$G$110&lt;&gt;"moeda")*(Inputs!$G$5:$G$110&lt;&gt;"acoes")))*INDEX(Inputs!$K$5:$AJ$110,0,MATCH(P$2,Inputs!$K$4:$AJ$4,0)))+SUMPRODUCT((Inputs!$E$5:$E$110=$B29)*Inputs!$F$5:$F$110*(((Inputs!$G$5:$G$110="moeda")+(Inputs!$G$5:$G$110="acoes"))*Inputs!$B$1+((Inputs!$G$5:$G$110&lt;&gt;"moeda")*(Inputs!$G$5:$G$110&lt;&gt;"acoes")))*INDEX(Inputs!$K$5:$AJ$110,0,MATCH(P$2,Inputs!$K$4:$AJ$4,0)))))</f>
        <v>935</v>
      </c>
      <c r="Q29" s="6">
        <f>IF(ISNA(MATCH(Q$2,Inputs!$K$4:$AJ$4,0)),NA(),IF(SUMPRODUCT((Inputs!$A$5:$A$110=$B29)*ISNUMBER(INDEX(Inputs!$K$5:$AJ$110,0,MATCH(Q$2,Inputs!$K$4:$AJ$4,0))))+SUMPRODUCT((Inputs!$C$5:$C$110=$B29)*ISNUMBER(INDEX(Inputs!$K$5:$AJ$110,0,MATCH(Q$2,Inputs!$K$4:$AJ$4,0))))+SUMPRODUCT((Inputs!$E$5:$E$110=$B29)*ISNUMBER(INDEX(Inputs!$K$5:$AJ$110,0,MATCH(Q$2,Inputs!$K$4:$AJ$4,0))))=0,NA(),SUMPRODUCT((Inputs!$A$5:$A$110=$B29)*Inputs!$B$5:$B$110*(((Inputs!$G$5:$G$110="moeda")+(Inputs!$G$5:$G$110="acoes"))*Inputs!$B$1+((Inputs!$G$5:$G$110&lt;&gt;"moeda")*(Inputs!$G$5:$G$110&lt;&gt;"acoes")))*INDEX(Inputs!$K$5:$AJ$110,0,MATCH(Q$2,Inputs!$K$4:$AJ$4,0)))+SUMPRODUCT((Inputs!$C$5:$C$110=$B29)*Inputs!$D$5:$D$110*(((Inputs!$G$5:$G$110="moeda")+(Inputs!$G$5:$G$110="acoes"))*Inputs!$B$1+((Inputs!$G$5:$G$110&lt;&gt;"moeda")*(Inputs!$G$5:$G$110&lt;&gt;"acoes")))*INDEX(Inputs!$K$5:$AJ$110,0,MATCH(Q$2,Inputs!$K$4:$AJ$4,0)))+SUMPRODUCT((Inputs!$E$5:$E$110=$B29)*Inputs!$F$5:$F$110*(((Inputs!$G$5:$G$110="moeda")+(Inputs!$G$5:$G$110="acoes"))*Inputs!$B$1+((Inputs!$G$5:$G$110&lt;&gt;"moeda")*(Inputs!$G$5:$G$110&lt;&gt;"acoes")))*INDEX(Inputs!$K$5:$AJ$110,0,MATCH(Q$2,Inputs!$K$4:$AJ$4,0)))))</f>
        <v>1128</v>
      </c>
      <c r="R29" s="3">
        <f>Q29</f>
        <v>1128</v>
      </c>
      <c r="S29" s="6">
        <f>IF(ISNA(MATCH(S$2,Inputs!$K$4:$AJ$4,0)),NA(),IF(SUMPRODUCT((Inputs!$A$5:$A$110=$B29)*ISNUMBER(INDEX(Inputs!$K$5:$AJ$110,0,MATCH(S$2,Inputs!$K$4:$AJ$4,0))))+SUMPRODUCT((Inputs!$C$5:$C$110=$B29)*ISNUMBER(INDEX(Inputs!$K$5:$AJ$110,0,MATCH(S$2,Inputs!$K$4:$AJ$4,0))))+SUMPRODUCT((Inputs!$E$5:$E$110=$B29)*ISNUMBER(INDEX(Inputs!$K$5:$AJ$110,0,MATCH(S$2,Inputs!$K$4:$AJ$4,0))))=0,NA(),SUMPRODUCT((Inputs!$A$5:$A$110=$B29)*Inputs!$B$5:$B$110*(((Inputs!$G$5:$G$110="moeda")+(Inputs!$G$5:$G$110="acoes"))*Inputs!$B$1+((Inputs!$G$5:$G$110&lt;&gt;"moeda")*(Inputs!$G$5:$G$110&lt;&gt;"acoes")))*INDEX(Inputs!$K$5:$AJ$110,0,MATCH(S$2,Inputs!$K$4:$AJ$4,0)))+SUMPRODUCT((Inputs!$C$5:$C$110=$B29)*Inputs!$D$5:$D$110*(((Inputs!$G$5:$G$110="moeda")+(Inputs!$G$5:$G$110="acoes"))*Inputs!$B$1+((Inputs!$G$5:$G$110&lt;&gt;"moeda")*(Inputs!$G$5:$G$110&lt;&gt;"acoes")))*INDEX(Inputs!$K$5:$AJ$110,0,MATCH(S$2,Inputs!$K$4:$AJ$4,0)))+SUMPRODUCT((Inputs!$E$5:$E$110=$B29)*Inputs!$F$5:$F$110*(((Inputs!$G$5:$G$110="moeda")+(Inputs!$G$5:$G$110="acoes"))*Inputs!$B$1+((Inputs!$G$5:$G$110&lt;&gt;"moeda")*(Inputs!$G$5:$G$110&lt;&gt;"acoes")))*INDEX(Inputs!$K$5:$AJ$110,0,MATCH(S$2,Inputs!$K$4:$AJ$4,0)))))</f>
        <v>1385</v>
      </c>
      <c r="T29" s="6">
        <f>IF(ISNA(MATCH(T$2,Inputs!$K$4:$AJ$4,0)),NA(),IF(SUMPRODUCT((Inputs!$A$5:$A$110=$B29)*ISNUMBER(INDEX(Inputs!$K$5:$AJ$110,0,MATCH(T$2,Inputs!$K$4:$AJ$4,0))))+SUMPRODUCT((Inputs!$C$5:$C$110=$B29)*ISNUMBER(INDEX(Inputs!$K$5:$AJ$110,0,MATCH(T$2,Inputs!$K$4:$AJ$4,0))))+SUMPRODUCT((Inputs!$E$5:$E$110=$B29)*ISNUMBER(INDEX(Inputs!$K$5:$AJ$110,0,MATCH(T$2,Inputs!$K$4:$AJ$4,0))))=0,NA(),SUMPRODUCT((Inputs!$A$5:$A$110=$B29)*Inputs!$B$5:$B$110*(((Inputs!$G$5:$G$110="moeda")+(Inputs!$G$5:$G$110="acoes"))*Inputs!$B$1+((Inputs!$G$5:$G$110&lt;&gt;"moeda")*(Inputs!$G$5:$G$110&lt;&gt;"acoes")))*INDEX(Inputs!$K$5:$AJ$110,0,MATCH(T$2,Inputs!$K$4:$AJ$4,0)))+SUMPRODUCT((Inputs!$C$5:$C$110=$B29)*Inputs!$D$5:$D$110*(((Inputs!$G$5:$G$110="moeda")+(Inputs!$G$5:$G$110="acoes"))*Inputs!$B$1+((Inputs!$G$5:$G$110&lt;&gt;"moeda")*(Inputs!$G$5:$G$110&lt;&gt;"acoes")))*INDEX(Inputs!$K$5:$AJ$110,0,MATCH(T$2,Inputs!$K$4:$AJ$4,0)))+SUMPRODUCT((Inputs!$E$5:$E$110=$B29)*Inputs!$F$5:$F$110*(((Inputs!$G$5:$G$110="moeda")+(Inputs!$G$5:$G$110="acoes"))*Inputs!$B$1+((Inputs!$G$5:$G$110&lt;&gt;"moeda")*(Inputs!$G$5:$G$110&lt;&gt;"acoes")))*INDEX(Inputs!$K$5:$AJ$110,0,MATCH(T$2,Inputs!$K$4:$AJ$4,0)))))</f>
        <v>1725</v>
      </c>
      <c r="U29" s="6">
        <f>IF(ISNA(MATCH(U$2,Inputs!$K$4:$AJ$4,0)),NA(),IF(SUMPRODUCT((Inputs!$A$5:$A$110=$B29)*ISNUMBER(INDEX(Inputs!$K$5:$AJ$110,0,MATCH(U$2,Inputs!$K$4:$AJ$4,0))))+SUMPRODUCT((Inputs!$C$5:$C$110=$B29)*ISNUMBER(INDEX(Inputs!$K$5:$AJ$110,0,MATCH(U$2,Inputs!$K$4:$AJ$4,0))))+SUMPRODUCT((Inputs!$E$5:$E$110=$B29)*ISNUMBER(INDEX(Inputs!$K$5:$AJ$110,0,MATCH(U$2,Inputs!$K$4:$AJ$4,0))))=0,NA(),SUMPRODUCT((Inputs!$A$5:$A$110=$B29)*Inputs!$B$5:$B$110*(((Inputs!$G$5:$G$110="moeda")+(Inputs!$G$5:$G$110="acoes"))*Inputs!$B$1+((Inputs!$G$5:$G$110&lt;&gt;"moeda")*(Inputs!$G$5:$G$110&lt;&gt;"acoes")))*INDEX(Inputs!$K$5:$AJ$110,0,MATCH(U$2,Inputs!$K$4:$AJ$4,0)))+SUMPRODUCT((Inputs!$C$5:$C$110=$B29)*Inputs!$D$5:$D$110*(((Inputs!$G$5:$G$110="moeda")+(Inputs!$G$5:$G$110="acoes"))*Inputs!$B$1+((Inputs!$G$5:$G$110&lt;&gt;"moeda")*(Inputs!$G$5:$G$110&lt;&gt;"acoes")))*INDEX(Inputs!$K$5:$AJ$110,0,MATCH(U$2,Inputs!$K$4:$AJ$4,0)))+SUMPRODUCT((Inputs!$E$5:$E$110=$B29)*Inputs!$F$5:$F$110*(((Inputs!$G$5:$G$110="moeda")+(Inputs!$G$5:$G$110="acoes"))*Inputs!$B$1+((Inputs!$G$5:$G$110&lt;&gt;"moeda")*(Inputs!$G$5:$G$110&lt;&gt;"acoes")))*INDEX(Inputs!$K$5:$AJ$110,0,MATCH(U$2,Inputs!$K$4:$AJ$4,0)))))</f>
        <v>1971</v>
      </c>
      <c r="V29" s="6">
        <f>IF(ISNA(MATCH(V$2,Inputs!$K$4:$AJ$4,0)),NA(),IF(SUMPRODUCT((Inputs!$A$5:$A$110=$B29)*ISNUMBER(INDEX(Inputs!$K$5:$AJ$110,0,MATCH(V$2,Inputs!$K$4:$AJ$4,0))))+SUMPRODUCT((Inputs!$C$5:$C$110=$B29)*ISNUMBER(INDEX(Inputs!$K$5:$AJ$110,0,MATCH(V$2,Inputs!$K$4:$AJ$4,0))))+SUMPRODUCT((Inputs!$E$5:$E$110=$B29)*ISNUMBER(INDEX(Inputs!$K$5:$AJ$110,0,MATCH(V$2,Inputs!$K$4:$AJ$4,0))))=0,NA(),SUMPRODUCT((Inputs!$A$5:$A$110=$B29)*Inputs!$B$5:$B$110*(((Inputs!$G$5:$G$110="moeda")+(Inputs!$G$5:$G$110="acoes"))*Inputs!$B$1+((Inputs!$G$5:$G$110&lt;&gt;"moeda")*(Inputs!$G$5:$G$110&lt;&gt;"acoes")))*INDEX(Inputs!$K$5:$AJ$110,0,MATCH(V$2,Inputs!$K$4:$AJ$4,0)))+SUMPRODUCT((Inputs!$C$5:$C$110=$B29)*Inputs!$D$5:$D$110*(((Inputs!$G$5:$G$110="moeda")+(Inputs!$G$5:$G$110="acoes"))*Inputs!$B$1+((Inputs!$G$5:$G$110&lt;&gt;"moeda")*(Inputs!$G$5:$G$110&lt;&gt;"acoes")))*INDEX(Inputs!$K$5:$AJ$110,0,MATCH(V$2,Inputs!$K$4:$AJ$4,0)))+SUMPRODUCT((Inputs!$E$5:$E$110=$B29)*Inputs!$F$5:$F$110*(((Inputs!$G$5:$G$110="moeda")+(Inputs!$G$5:$G$110="acoes"))*Inputs!$B$1+((Inputs!$G$5:$G$110&lt;&gt;"moeda")*(Inputs!$G$5:$G$110&lt;&gt;"acoes")))*INDEX(Inputs!$K$5:$AJ$110,0,MATCH(V$2,Inputs!$K$4:$AJ$4,0)))))</f>
        <v>922</v>
      </c>
      <c r="W29" s="3">
        <f>V29</f>
        <v>922</v>
      </c>
      <c r="X29" s="6">
        <f>IF(ISNA(MATCH(X$2,Inputs!$K$4:$AJ$4,0)),NA(),IF(SUMPRODUCT((Inputs!$A$5:$A$110=$B29)*ISNUMBER(INDEX(Inputs!$K$5:$AJ$110,0,MATCH(X$2,Inputs!$K$4:$AJ$4,0))))+SUMPRODUCT((Inputs!$C$5:$C$110=$B29)*ISNUMBER(INDEX(Inputs!$K$5:$AJ$110,0,MATCH(X$2,Inputs!$K$4:$AJ$4,0))))+SUMPRODUCT((Inputs!$E$5:$E$110=$B29)*ISNUMBER(INDEX(Inputs!$K$5:$AJ$110,0,MATCH(X$2,Inputs!$K$4:$AJ$4,0))))=0,NA(),SUMPRODUCT((Inputs!$A$5:$A$110=$B29)*Inputs!$B$5:$B$110*(((Inputs!$G$5:$G$110="moeda")+(Inputs!$G$5:$G$110="acoes"))*Inputs!$B$1+((Inputs!$G$5:$G$110&lt;&gt;"moeda")*(Inputs!$G$5:$G$110&lt;&gt;"acoes")))*INDEX(Inputs!$K$5:$AJ$110,0,MATCH(X$2,Inputs!$K$4:$AJ$4,0)))+SUMPRODUCT((Inputs!$C$5:$C$110=$B29)*Inputs!$D$5:$D$110*(((Inputs!$G$5:$G$110="moeda")+(Inputs!$G$5:$G$110="acoes"))*Inputs!$B$1+((Inputs!$G$5:$G$110&lt;&gt;"moeda")*(Inputs!$G$5:$G$110&lt;&gt;"acoes")))*INDEX(Inputs!$K$5:$AJ$110,0,MATCH(X$2,Inputs!$K$4:$AJ$4,0)))+SUMPRODUCT((Inputs!$E$5:$E$110=$B29)*Inputs!$F$5:$F$110*(((Inputs!$G$5:$G$110="moeda")+(Inputs!$G$5:$G$110="acoes"))*Inputs!$B$1+((Inputs!$G$5:$G$110&lt;&gt;"moeda")*(Inputs!$G$5:$G$110&lt;&gt;"acoes")))*INDEX(Inputs!$K$5:$AJ$110,0,MATCH(X$2,Inputs!$K$4:$AJ$4,0)))))</f>
        <v>1266</v>
      </c>
      <c r="Y29" s="6">
        <f>IF(ISNA(MATCH(Y$2,Inputs!$K$4:$AJ$4,0)),NA(),IF(SUMPRODUCT((Inputs!$A$5:$A$110=$B29)*ISNUMBER(INDEX(Inputs!$K$5:$AJ$110,0,MATCH(Y$2,Inputs!$K$4:$AJ$4,0))))+SUMPRODUCT((Inputs!$C$5:$C$110=$B29)*ISNUMBER(INDEX(Inputs!$K$5:$AJ$110,0,MATCH(Y$2,Inputs!$K$4:$AJ$4,0))))+SUMPRODUCT((Inputs!$E$5:$E$110=$B29)*ISNUMBER(INDEX(Inputs!$K$5:$AJ$110,0,MATCH(Y$2,Inputs!$K$4:$AJ$4,0))))=0,NA(),SUMPRODUCT((Inputs!$A$5:$A$110=$B29)*Inputs!$B$5:$B$110*(((Inputs!$G$5:$G$110="moeda")+(Inputs!$G$5:$G$110="acoes"))*Inputs!$B$1+((Inputs!$G$5:$G$110&lt;&gt;"moeda")*(Inputs!$G$5:$G$110&lt;&gt;"acoes")))*INDEX(Inputs!$K$5:$AJ$110,0,MATCH(Y$2,Inputs!$K$4:$AJ$4,0)))+SUMPRODUCT((Inputs!$C$5:$C$110=$B29)*Inputs!$D$5:$D$110*(((Inputs!$G$5:$G$110="moeda")+(Inputs!$G$5:$G$110="acoes"))*Inputs!$B$1+((Inputs!$G$5:$G$110&lt;&gt;"moeda")*(Inputs!$G$5:$G$110&lt;&gt;"acoes")))*INDEX(Inputs!$K$5:$AJ$110,0,MATCH(Y$2,Inputs!$K$4:$AJ$4,0)))+SUMPRODUCT((Inputs!$E$5:$E$110=$B29)*Inputs!$F$5:$F$110*(((Inputs!$G$5:$G$110="moeda")+(Inputs!$G$5:$G$110="acoes"))*Inputs!$B$1+((Inputs!$G$5:$G$110&lt;&gt;"moeda")*(Inputs!$G$5:$G$110&lt;&gt;"acoes")))*INDEX(Inputs!$K$5:$AJ$110,0,MATCH(Y$2,Inputs!$K$4:$AJ$4,0)))))</f>
        <v>1719</v>
      </c>
      <c r="Z29" s="6">
        <f>IF(ISNA(MATCH(Z$2,Inputs!$K$4:$AJ$4,0)),NA(),IF(SUMPRODUCT((Inputs!$A$5:$A$110=$B29)*ISNUMBER(INDEX(Inputs!$K$5:$AJ$110,0,MATCH(Z$2,Inputs!$K$4:$AJ$4,0))))+SUMPRODUCT((Inputs!$C$5:$C$110=$B29)*ISNUMBER(INDEX(Inputs!$K$5:$AJ$110,0,MATCH(Z$2,Inputs!$K$4:$AJ$4,0))))+SUMPRODUCT((Inputs!$E$5:$E$110=$B29)*ISNUMBER(INDEX(Inputs!$K$5:$AJ$110,0,MATCH(Z$2,Inputs!$K$4:$AJ$4,0))))=0,NA(),SUMPRODUCT((Inputs!$A$5:$A$110=$B29)*Inputs!$B$5:$B$110*(((Inputs!$G$5:$G$110="moeda")+(Inputs!$G$5:$G$110="acoes"))*Inputs!$B$1+((Inputs!$G$5:$G$110&lt;&gt;"moeda")*(Inputs!$G$5:$G$110&lt;&gt;"acoes")))*INDEX(Inputs!$K$5:$AJ$110,0,MATCH(Z$2,Inputs!$K$4:$AJ$4,0)))+SUMPRODUCT((Inputs!$C$5:$C$110=$B29)*Inputs!$D$5:$D$110*(((Inputs!$G$5:$G$110="moeda")+(Inputs!$G$5:$G$110="acoes"))*Inputs!$B$1+((Inputs!$G$5:$G$110&lt;&gt;"moeda")*(Inputs!$G$5:$G$110&lt;&gt;"acoes")))*INDEX(Inputs!$K$5:$AJ$110,0,MATCH(Z$2,Inputs!$K$4:$AJ$4,0)))+SUMPRODUCT((Inputs!$E$5:$E$110=$B29)*Inputs!$F$5:$F$110*(((Inputs!$G$5:$G$110="moeda")+(Inputs!$G$5:$G$110="acoes"))*Inputs!$B$1+((Inputs!$G$5:$G$110&lt;&gt;"moeda")*(Inputs!$G$5:$G$110&lt;&gt;"acoes")))*INDEX(Inputs!$K$5:$AJ$110,0,MATCH(Z$2,Inputs!$K$4:$AJ$4,0)))))</f>
        <v>2129</v>
      </c>
      <c r="AA29" s="6">
        <f>IF(ISNA(MATCH(AA$2,Inputs!$K$4:$AJ$4,0)),NA(),IF(SUMPRODUCT((Inputs!$A$5:$A$110=$B29)*ISNUMBER(INDEX(Inputs!$K$5:$AJ$110,0,MATCH(AA$2,Inputs!$K$4:$AJ$4,0))))+SUMPRODUCT((Inputs!$C$5:$C$110=$B29)*ISNUMBER(INDEX(Inputs!$K$5:$AJ$110,0,MATCH(AA$2,Inputs!$K$4:$AJ$4,0))))+SUMPRODUCT((Inputs!$E$5:$E$110=$B29)*ISNUMBER(INDEX(Inputs!$K$5:$AJ$110,0,MATCH(AA$2,Inputs!$K$4:$AJ$4,0))))=0,NA(),SUMPRODUCT((Inputs!$A$5:$A$110=$B29)*Inputs!$B$5:$B$110*(((Inputs!$G$5:$G$110="moeda")+(Inputs!$G$5:$G$110="acoes"))*Inputs!$B$1+((Inputs!$G$5:$G$110&lt;&gt;"moeda")*(Inputs!$G$5:$G$110&lt;&gt;"acoes")))*INDEX(Inputs!$K$5:$AJ$110,0,MATCH(AA$2,Inputs!$K$4:$AJ$4,0)))+SUMPRODUCT((Inputs!$C$5:$C$110=$B29)*Inputs!$D$5:$D$110*(((Inputs!$G$5:$G$110="moeda")+(Inputs!$G$5:$G$110="acoes"))*Inputs!$B$1+((Inputs!$G$5:$G$110&lt;&gt;"moeda")*(Inputs!$G$5:$G$110&lt;&gt;"acoes")))*INDEX(Inputs!$K$5:$AJ$110,0,MATCH(AA$2,Inputs!$K$4:$AJ$4,0)))+SUMPRODUCT((Inputs!$E$5:$E$110=$B29)*Inputs!$F$5:$F$110*(((Inputs!$G$5:$G$110="moeda")+(Inputs!$G$5:$G$110="acoes"))*Inputs!$B$1+((Inputs!$G$5:$G$110&lt;&gt;"moeda")*(Inputs!$G$5:$G$110&lt;&gt;"acoes")))*INDEX(Inputs!$K$5:$AJ$110,0,MATCH(AA$2,Inputs!$K$4:$AJ$4,0)))))</f>
        <v>864</v>
      </c>
      <c r="AB29" s="3">
        <f>AA29</f>
        <v>864</v>
      </c>
      <c r="AC29" s="6">
        <f>IF(ISNA(MATCH(AC$2,Inputs!$K$4:$AJ$4,0)),NA(),IF(SUMPRODUCT((Inputs!$A$5:$A$110=$B29)*ISNUMBER(INDEX(Inputs!$K$5:$AJ$110,0,MATCH(AC$2,Inputs!$K$4:$AJ$4,0))))+SUMPRODUCT((Inputs!$C$5:$C$110=$B29)*ISNUMBER(INDEX(Inputs!$K$5:$AJ$110,0,MATCH(AC$2,Inputs!$K$4:$AJ$4,0))))+SUMPRODUCT((Inputs!$E$5:$E$110=$B29)*ISNUMBER(INDEX(Inputs!$K$5:$AJ$110,0,MATCH(AC$2,Inputs!$K$4:$AJ$4,0))))=0,NA(),SUMPRODUCT((Inputs!$A$5:$A$110=$B29)*Inputs!$B$5:$B$110*(((Inputs!$G$5:$G$110="moeda")+(Inputs!$G$5:$G$110="acoes"))*Inputs!$B$1+((Inputs!$G$5:$G$110&lt;&gt;"moeda")*(Inputs!$G$5:$G$110&lt;&gt;"acoes")))*INDEX(Inputs!$K$5:$AJ$110,0,MATCH(AC$2,Inputs!$K$4:$AJ$4,0)))+SUMPRODUCT((Inputs!$C$5:$C$110=$B29)*Inputs!$D$5:$D$110*(((Inputs!$G$5:$G$110="moeda")+(Inputs!$G$5:$G$110="acoes"))*Inputs!$B$1+((Inputs!$G$5:$G$110&lt;&gt;"moeda")*(Inputs!$G$5:$G$110&lt;&gt;"acoes")))*INDEX(Inputs!$K$5:$AJ$110,0,MATCH(AC$2,Inputs!$K$4:$AJ$4,0)))+SUMPRODUCT((Inputs!$E$5:$E$110=$B29)*Inputs!$F$5:$F$110*(((Inputs!$G$5:$G$110="moeda")+(Inputs!$G$5:$G$110="acoes"))*Inputs!$B$1+((Inputs!$G$5:$G$110&lt;&gt;"moeda")*(Inputs!$G$5:$G$110&lt;&gt;"acoes")))*INDEX(Inputs!$K$5:$AJ$110,0,MATCH(AC$2,Inputs!$K$4:$AJ$4,0)))))</f>
        <v>1134</v>
      </c>
      <c r="AD29" s="6">
        <f>IF(ISNA(MATCH(AD$2,Inputs!$K$4:$AJ$4,0)),NA(),IF(SUMPRODUCT((Inputs!$A$5:$A$110=$B29)*ISNUMBER(INDEX(Inputs!$K$5:$AJ$110,0,MATCH(AD$2,Inputs!$K$4:$AJ$4,0))))+SUMPRODUCT((Inputs!$C$5:$C$110=$B29)*ISNUMBER(INDEX(Inputs!$K$5:$AJ$110,0,MATCH(AD$2,Inputs!$K$4:$AJ$4,0))))+SUMPRODUCT((Inputs!$E$5:$E$110=$B29)*ISNUMBER(INDEX(Inputs!$K$5:$AJ$110,0,MATCH(AD$2,Inputs!$K$4:$AJ$4,0))))=0,NA(),SUMPRODUCT((Inputs!$A$5:$A$110=$B29)*Inputs!$B$5:$B$110*(((Inputs!$G$5:$G$110="moeda")+(Inputs!$G$5:$G$110="acoes"))*Inputs!$B$1+((Inputs!$G$5:$G$110&lt;&gt;"moeda")*(Inputs!$G$5:$G$110&lt;&gt;"acoes")))*INDEX(Inputs!$K$5:$AJ$110,0,MATCH(AD$2,Inputs!$K$4:$AJ$4,0)))+SUMPRODUCT((Inputs!$C$5:$C$110=$B29)*Inputs!$D$5:$D$110*(((Inputs!$G$5:$G$110="moeda")+(Inputs!$G$5:$G$110="acoes"))*Inputs!$B$1+((Inputs!$G$5:$G$110&lt;&gt;"moeda")*(Inputs!$G$5:$G$110&lt;&gt;"acoes")))*INDEX(Inputs!$K$5:$AJ$110,0,MATCH(AD$2,Inputs!$K$4:$AJ$4,0)))+SUMPRODUCT((Inputs!$E$5:$E$110=$B29)*Inputs!$F$5:$F$110*(((Inputs!$G$5:$G$110="moeda")+(Inputs!$G$5:$G$110="acoes"))*Inputs!$B$1+((Inputs!$G$5:$G$110&lt;&gt;"moeda")*(Inputs!$G$5:$G$110&lt;&gt;"acoes")))*INDEX(Inputs!$K$5:$AJ$110,0,MATCH(AD$2,Inputs!$K$4:$AJ$4,0)))))</f>
        <v>1506</v>
      </c>
      <c r="AE29" s="6" t="e">
        <f>IF(ISNA(MATCH(AE$2,Inputs!$K$4:$AJ$4,0)),NA(),IF(SUMPRODUCT((Inputs!$A$5:$A$110=$B29)*ISNUMBER(INDEX(Inputs!$K$5:$AJ$110,0,MATCH(AE$2,Inputs!$K$4:$AJ$4,0))))+SUMPRODUCT((Inputs!$C$5:$C$110=$B29)*ISNUMBER(INDEX(Inputs!$K$5:$AJ$110,0,MATCH(AE$2,Inputs!$K$4:$AJ$4,0))))+SUMPRODUCT((Inputs!$E$5:$E$110=$B29)*ISNUMBER(INDEX(Inputs!$K$5:$AJ$110,0,MATCH(AE$2,Inputs!$K$4:$AJ$4,0))))=0,NA(),SUMPRODUCT((Inputs!$A$5:$A$110=$B29)*Inputs!$B$5:$B$110*(((Inputs!$G$5:$G$110="moeda")+(Inputs!$G$5:$G$110="acoes"))*Inputs!$B$1+((Inputs!$G$5:$G$110&lt;&gt;"moeda")*(Inputs!$G$5:$G$110&lt;&gt;"acoes")))*INDEX(Inputs!$K$5:$AJ$110,0,MATCH(AE$2,Inputs!$K$4:$AJ$4,0)))+SUMPRODUCT((Inputs!$C$5:$C$110=$B29)*Inputs!$D$5:$D$110*(((Inputs!$G$5:$G$110="moeda")+(Inputs!$G$5:$G$110="acoes"))*Inputs!$B$1+((Inputs!$G$5:$G$110&lt;&gt;"moeda")*(Inputs!$G$5:$G$110&lt;&gt;"acoes")))*INDEX(Inputs!$K$5:$AJ$110,0,MATCH(AE$2,Inputs!$K$4:$AJ$4,0)))+SUMPRODUCT((Inputs!$E$5:$E$110=$B29)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9" s="6" t="e">
        <f>IF(ISNA(MATCH(AF$2,Inputs!$K$4:$AJ$4,0)),NA(),IF(SUMPRODUCT((Inputs!$A$5:$A$110=$B29)*ISNUMBER(INDEX(Inputs!$K$5:$AJ$110,0,MATCH(AF$2,Inputs!$K$4:$AJ$4,0))))+SUMPRODUCT((Inputs!$C$5:$C$110=$B29)*ISNUMBER(INDEX(Inputs!$K$5:$AJ$110,0,MATCH(AF$2,Inputs!$K$4:$AJ$4,0))))+SUMPRODUCT((Inputs!$E$5:$E$110=$B29)*ISNUMBER(INDEX(Inputs!$K$5:$AJ$110,0,MATCH(AF$2,Inputs!$K$4:$AJ$4,0))))=0,NA(),SUMPRODUCT((Inputs!$A$5:$A$110=$B29)*Inputs!$B$5:$B$110*(((Inputs!$G$5:$G$110="moeda")+(Inputs!$G$5:$G$110="acoes"))*Inputs!$B$1+((Inputs!$G$5:$G$110&lt;&gt;"moeda")*(Inputs!$G$5:$G$110&lt;&gt;"acoes")))*INDEX(Inputs!$K$5:$AJ$110,0,MATCH(AF$2,Inputs!$K$4:$AJ$4,0)))+SUMPRODUCT((Inputs!$C$5:$C$110=$B29)*Inputs!$D$5:$D$110*(((Inputs!$G$5:$G$110="moeda")+(Inputs!$G$5:$G$110="acoes"))*Inputs!$B$1+((Inputs!$G$5:$G$110&lt;&gt;"moeda")*(Inputs!$G$5:$G$110&lt;&gt;"acoes")))*INDEX(Inputs!$K$5:$AJ$110,0,MATCH(AF$2,Inputs!$K$4:$AJ$4,0)))+SUMPRODUCT((Inputs!$E$5:$E$110=$B29)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9" s="3" t="e">
        <f>AF29</f>
        <v>#N/A</v>
      </c>
      <c r="AH29" s="6">
        <f>IF(ISNA(MATCH(AH$2,Inputs!$K$4:$AJ$4,0)),NA(),IF(SUMPRODUCT((Inputs!$A$5:$A$110=$B29)*ISNUMBER(INDEX(Inputs!$K$5:$AJ$110,0,MATCH(AH$2,Inputs!$K$4:$AJ$4,0))))+SUMPRODUCT((Inputs!$C$5:$C$110=$B29)*ISNUMBER(INDEX(Inputs!$K$5:$AJ$110,0,MATCH(AH$2,Inputs!$K$4:$AJ$4,0))))+SUMPRODUCT((Inputs!$E$5:$E$110=$B29)*ISNUMBER(INDEX(Inputs!$K$5:$AJ$110,0,MATCH(AH$2,Inputs!$K$4:$AJ$4,0))))=0,NA(),SUMPRODUCT((Inputs!$A$5:$A$110=$B29)*Inputs!$B$5:$B$110*(((Inputs!$G$5:$G$110="moeda")+(Inputs!$G$5:$G$110="acoes"))*Inputs!$B$1+((Inputs!$G$5:$G$110&lt;&gt;"moeda")*(Inputs!$G$5:$G$110&lt;&gt;"acoes")))*INDEX(Inputs!$K$5:$AJ$110,0,MATCH(AH$2,Inputs!$K$4:$AJ$4,0)))+SUMPRODUCT((Inputs!$C$5:$C$110=$B29)*Inputs!$D$5:$D$110*(((Inputs!$G$5:$G$110="moeda")+(Inputs!$G$5:$G$110="acoes"))*Inputs!$B$1+((Inputs!$G$5:$G$110&lt;&gt;"moeda")*(Inputs!$G$5:$G$110&lt;&gt;"acoes")))*INDEX(Inputs!$K$5:$AJ$110,0,MATCH(AH$2,Inputs!$K$4:$AJ$4,0)))+SUMPRODUCT((Inputs!$E$5:$E$110=$B29)*Inputs!$F$5:$F$110*(((Inputs!$G$5:$G$110="moeda")+(Inputs!$G$5:$G$110="acoes"))*Inputs!$B$1+((Inputs!$G$5:$G$110&lt;&gt;"moeda")*(Inputs!$G$5:$G$110&lt;&gt;"acoes")))*INDEX(Inputs!$K$5:$AJ$110,0,MATCH(AH$2,Inputs!$K$4:$AJ$4,0)))))</f>
        <v>494</v>
      </c>
      <c r="AI29" s="6">
        <f>IF(ISNA(MATCH(AI$2,Inputs!$K$4:$AJ$4,0)),NA(),IF(SUMPRODUCT((Inputs!$A$5:$A$110=$B29)*ISNUMBER(INDEX(Inputs!$K$5:$AJ$110,0,MATCH(AI$2,Inputs!$K$4:$AJ$4,0))))+SUMPRODUCT((Inputs!$C$5:$C$110=$B29)*ISNUMBER(INDEX(Inputs!$K$5:$AJ$110,0,MATCH(AI$2,Inputs!$K$4:$AJ$4,0))))+SUMPRODUCT((Inputs!$E$5:$E$110=$B29)*ISNUMBER(INDEX(Inputs!$K$5:$AJ$110,0,MATCH(AI$2,Inputs!$K$4:$AJ$4,0))))=0,NA(),SUMPRODUCT((Inputs!$A$5:$A$110=$B29)*Inputs!$B$5:$B$110*(((Inputs!$G$5:$G$110="moeda")+(Inputs!$G$5:$G$110="acoes"))*Inputs!$B$1+((Inputs!$G$5:$G$110&lt;&gt;"moeda")*(Inputs!$G$5:$G$110&lt;&gt;"acoes")))*INDEX(Inputs!$K$5:$AJ$110,0,MATCH(AI$2,Inputs!$K$4:$AJ$4,0)))+SUMPRODUCT((Inputs!$C$5:$C$110=$B29)*Inputs!$D$5:$D$110*(((Inputs!$G$5:$G$110="moeda")+(Inputs!$G$5:$G$110="acoes"))*Inputs!$B$1+((Inputs!$G$5:$G$110&lt;&gt;"moeda")*(Inputs!$G$5:$G$110&lt;&gt;"acoes")))*INDEX(Inputs!$K$5:$AJ$110,0,MATCH(AI$2,Inputs!$K$4:$AJ$4,0)))+SUMPRODUCT((Inputs!$E$5:$E$110=$B29)*Inputs!$F$5:$F$110*(((Inputs!$G$5:$G$110="moeda")+(Inputs!$G$5:$G$110="acoes"))*Inputs!$B$1+((Inputs!$G$5:$G$110&lt;&gt;"moeda")*(Inputs!$G$5:$G$110&lt;&gt;"acoes")))*INDEX(Inputs!$K$5:$AJ$110,0,MATCH(AI$2,Inputs!$K$4:$AJ$4,0)))))</f>
        <v>732</v>
      </c>
      <c r="AJ29" s="6">
        <f>IF(ISNA(MATCH(AJ$2,Inputs!$K$4:$AJ$4,0)),NA(),IF(SUMPRODUCT((Inputs!$A$5:$A$110=$B29)*ISNUMBER(INDEX(Inputs!$K$5:$AJ$110,0,MATCH(AJ$2,Inputs!$K$4:$AJ$4,0))))+SUMPRODUCT((Inputs!$C$5:$C$110=$B29)*ISNUMBER(INDEX(Inputs!$K$5:$AJ$110,0,MATCH(AJ$2,Inputs!$K$4:$AJ$4,0))))+SUMPRODUCT((Inputs!$E$5:$E$110=$B29)*ISNUMBER(INDEX(Inputs!$K$5:$AJ$110,0,MATCH(AJ$2,Inputs!$K$4:$AJ$4,0))))=0,NA(),SUMPRODUCT((Inputs!$A$5:$A$110=$B29)*Inputs!$B$5:$B$110*(((Inputs!$G$5:$G$110="moeda")+(Inputs!$G$5:$G$110="acoes"))*Inputs!$B$1+((Inputs!$G$5:$G$110&lt;&gt;"moeda")*(Inputs!$G$5:$G$110&lt;&gt;"acoes")))*INDEX(Inputs!$K$5:$AJ$110,0,MATCH(AJ$2,Inputs!$K$4:$AJ$4,0)))+SUMPRODUCT((Inputs!$C$5:$C$110=$B29)*Inputs!$D$5:$D$110*(((Inputs!$G$5:$G$110="moeda")+(Inputs!$G$5:$G$110="acoes"))*Inputs!$B$1+((Inputs!$G$5:$G$110&lt;&gt;"moeda")*(Inputs!$G$5:$G$110&lt;&gt;"acoes")))*INDEX(Inputs!$K$5:$AJ$110,0,MATCH(AJ$2,Inputs!$K$4:$AJ$4,0)))+SUMPRODUCT((Inputs!$E$5:$E$110=$B29)*Inputs!$F$5:$F$110*(((Inputs!$G$5:$G$110="moeda")+(Inputs!$G$5:$G$110="acoes"))*Inputs!$B$1+((Inputs!$G$5:$G$110&lt;&gt;"moeda")*(Inputs!$G$5:$G$110&lt;&gt;"acoes")))*INDEX(Inputs!$K$5:$AJ$110,0,MATCH(AJ$2,Inputs!$K$4:$AJ$4,0)))))</f>
        <v>877</v>
      </c>
      <c r="AK29" s="6">
        <f>IF(ISNA(MATCH(AK$2,Inputs!$K$4:$AJ$4,0)),NA(),IF(SUMPRODUCT((Inputs!$A$5:$A$110=$B29)*ISNUMBER(INDEX(Inputs!$K$5:$AJ$110,0,MATCH(AK$2,Inputs!$K$4:$AJ$4,0))))+SUMPRODUCT((Inputs!$C$5:$C$110=$B29)*ISNUMBER(INDEX(Inputs!$K$5:$AJ$110,0,MATCH(AK$2,Inputs!$K$4:$AJ$4,0))))+SUMPRODUCT((Inputs!$E$5:$E$110=$B29)*ISNUMBER(INDEX(Inputs!$K$5:$AJ$110,0,MATCH(AK$2,Inputs!$K$4:$AJ$4,0))))=0,NA(),SUMPRODUCT((Inputs!$A$5:$A$110=$B29)*Inputs!$B$5:$B$110*(((Inputs!$G$5:$G$110="moeda")+(Inputs!$G$5:$G$110="acoes"))*Inputs!$B$1+((Inputs!$G$5:$G$110&lt;&gt;"moeda")*(Inputs!$G$5:$G$110&lt;&gt;"acoes")))*INDEX(Inputs!$K$5:$AJ$110,0,MATCH(AK$2,Inputs!$K$4:$AJ$4,0)))+SUMPRODUCT((Inputs!$C$5:$C$110=$B29)*Inputs!$D$5:$D$110*(((Inputs!$G$5:$G$110="moeda")+(Inputs!$G$5:$G$110="acoes"))*Inputs!$B$1+((Inputs!$G$5:$G$110&lt;&gt;"moeda")*(Inputs!$G$5:$G$110&lt;&gt;"acoes")))*INDEX(Inputs!$K$5:$AJ$110,0,MATCH(AK$2,Inputs!$K$4:$AJ$4,0)))+SUMPRODUCT((Inputs!$E$5:$E$110=$B29)*Inputs!$F$5:$F$110*(((Inputs!$G$5:$G$110="moeda")+(Inputs!$G$5:$G$110="acoes"))*Inputs!$B$1+((Inputs!$G$5:$G$110&lt;&gt;"moeda")*(Inputs!$G$5:$G$110&lt;&gt;"acoes")))*INDEX(Inputs!$K$5:$AJ$110,0,MATCH(AK$2,Inputs!$K$4:$AJ$4,0)))))</f>
        <v>494</v>
      </c>
      <c r="AL29" s="3">
        <f>AK29</f>
        <v>494</v>
      </c>
    </row>
    <row r="30">
      <c r="B30" s="46" t="n">
        <v>25</v>
      </c>
      <c r="C30" s="26" t="inlineStr">
        <is>
          <t>Taxes payable</t>
        </is>
      </c>
      <c r="D30" s="6">
        <f>IF(ISNA(MATCH(D$2,Inputs!$K$4:$AJ$4,0)),NA(),IF(SUMPRODUCT((Inputs!$A$5:$A$110=$B30)*ISNUMBER(INDEX(Inputs!$K$5:$AJ$110,0,MATCH(D$2,Inputs!$K$4:$AJ$4,0))))+SUMPRODUCT((Inputs!$C$5:$C$110=$B30)*ISNUMBER(INDEX(Inputs!$K$5:$AJ$110,0,MATCH(D$2,Inputs!$K$4:$AJ$4,0))))+SUMPRODUCT((Inputs!$E$5:$E$110=$B30)*ISNUMBER(INDEX(Inputs!$K$5:$AJ$110,0,MATCH(D$2,Inputs!$K$4:$AJ$4,0))))=0,NA(),SUMPRODUCT((Inputs!$A$5:$A$110=$B30)*Inputs!$B$5:$B$110*(((Inputs!$G$5:$G$110="moeda")+(Inputs!$G$5:$G$110="acoes"))*Inputs!$B$1+((Inputs!$G$5:$G$110&lt;&gt;"moeda")*(Inputs!$G$5:$G$110&lt;&gt;"acoes")))*INDEX(Inputs!$K$5:$AJ$110,0,MATCH(D$2,Inputs!$K$4:$AJ$4,0)))+SUMPRODUCT((Inputs!$C$5:$C$110=$B30)*Inputs!$D$5:$D$110*(((Inputs!$G$5:$G$110="moeda")+(Inputs!$G$5:$G$110="acoes"))*Inputs!$B$1+((Inputs!$G$5:$G$110&lt;&gt;"moeda")*(Inputs!$G$5:$G$110&lt;&gt;"acoes")))*INDEX(Inputs!$K$5:$AJ$110,0,MATCH(D$2,Inputs!$K$4:$AJ$4,0)))+SUMPRODUCT((Inputs!$E$5:$E$110=$B30)*Inputs!$F$5:$F$110*(((Inputs!$G$5:$G$110="moeda")+(Inputs!$G$5:$G$110="acoes"))*Inputs!$B$1+((Inputs!$G$5:$G$110&lt;&gt;"moeda")*(Inputs!$G$5:$G$110&lt;&gt;"acoes")))*INDEX(Inputs!$K$5:$AJ$110,0,MATCH(D$2,Inputs!$K$4:$AJ$4,0)))))</f>
        <v>0</v>
      </c>
      <c r="E30" s="6">
        <f>IF(ISNA(MATCH(E$2,Inputs!$K$4:$AJ$4,0)),NA(),IF(SUMPRODUCT((Inputs!$A$5:$A$110=$B30)*ISNUMBER(INDEX(Inputs!$K$5:$AJ$110,0,MATCH(E$2,Inputs!$K$4:$AJ$4,0))))+SUMPRODUCT((Inputs!$C$5:$C$110=$B30)*ISNUMBER(INDEX(Inputs!$K$5:$AJ$110,0,MATCH(E$2,Inputs!$K$4:$AJ$4,0))))+SUMPRODUCT((Inputs!$E$5:$E$110=$B30)*ISNUMBER(INDEX(Inputs!$K$5:$AJ$110,0,MATCH(E$2,Inputs!$K$4:$AJ$4,0))))=0,NA(),SUMPRODUCT((Inputs!$A$5:$A$110=$B30)*Inputs!$B$5:$B$110*(((Inputs!$G$5:$G$110="moeda")+(Inputs!$G$5:$G$110="acoes"))*Inputs!$B$1+((Inputs!$G$5:$G$110&lt;&gt;"moeda")*(Inputs!$G$5:$G$110&lt;&gt;"acoes")))*INDEX(Inputs!$K$5:$AJ$110,0,MATCH(E$2,Inputs!$K$4:$AJ$4,0)))+SUMPRODUCT((Inputs!$C$5:$C$110=$B30)*Inputs!$D$5:$D$110*(((Inputs!$G$5:$G$110="moeda")+(Inputs!$G$5:$G$110="acoes"))*Inputs!$B$1+((Inputs!$G$5:$G$110&lt;&gt;"moeda")*(Inputs!$G$5:$G$110&lt;&gt;"acoes")))*INDEX(Inputs!$K$5:$AJ$110,0,MATCH(E$2,Inputs!$K$4:$AJ$4,0)))+SUMPRODUCT((Inputs!$E$5:$E$110=$B30)*Inputs!$F$5:$F$110*(((Inputs!$G$5:$G$110="moeda")+(Inputs!$G$5:$G$110="acoes"))*Inputs!$B$1+((Inputs!$G$5:$G$110&lt;&gt;"moeda")*(Inputs!$G$5:$G$110&lt;&gt;"acoes")))*INDEX(Inputs!$K$5:$AJ$110,0,MATCH(E$2,Inputs!$K$4:$AJ$4,0)))))</f>
        <v>0</v>
      </c>
      <c r="F30" s="6">
        <f>IF(ISNA(MATCH(F$2,Inputs!$K$4:$AJ$4,0)),NA(),IF(SUMPRODUCT((Inputs!$A$5:$A$110=$B30)*ISNUMBER(INDEX(Inputs!$K$5:$AJ$110,0,MATCH(F$2,Inputs!$K$4:$AJ$4,0))))+SUMPRODUCT((Inputs!$C$5:$C$110=$B30)*ISNUMBER(INDEX(Inputs!$K$5:$AJ$110,0,MATCH(F$2,Inputs!$K$4:$AJ$4,0))))+SUMPRODUCT((Inputs!$E$5:$E$110=$B30)*ISNUMBER(INDEX(Inputs!$K$5:$AJ$110,0,MATCH(F$2,Inputs!$K$4:$AJ$4,0))))=0,NA(),SUMPRODUCT((Inputs!$A$5:$A$110=$B30)*Inputs!$B$5:$B$110*(((Inputs!$G$5:$G$110="moeda")+(Inputs!$G$5:$G$110="acoes"))*Inputs!$B$1+((Inputs!$G$5:$G$110&lt;&gt;"moeda")*(Inputs!$G$5:$G$110&lt;&gt;"acoes")))*INDEX(Inputs!$K$5:$AJ$110,0,MATCH(F$2,Inputs!$K$4:$AJ$4,0)))+SUMPRODUCT((Inputs!$C$5:$C$110=$B30)*Inputs!$D$5:$D$110*(((Inputs!$G$5:$G$110="moeda")+(Inputs!$G$5:$G$110="acoes"))*Inputs!$B$1+((Inputs!$G$5:$G$110&lt;&gt;"moeda")*(Inputs!$G$5:$G$110&lt;&gt;"acoes")))*INDEX(Inputs!$K$5:$AJ$110,0,MATCH(F$2,Inputs!$K$4:$AJ$4,0)))+SUMPRODUCT((Inputs!$E$5:$E$110=$B30)*Inputs!$F$5:$F$110*(((Inputs!$G$5:$G$110="moeda")+(Inputs!$G$5:$G$110="acoes"))*Inputs!$B$1+((Inputs!$G$5:$G$110&lt;&gt;"moeda")*(Inputs!$G$5:$G$110&lt;&gt;"acoes")))*INDEX(Inputs!$K$5:$AJ$110,0,MATCH(F$2,Inputs!$K$4:$AJ$4,0)))))</f>
        <v>0</v>
      </c>
      <c r="G30" s="6">
        <f>IF(ISNA(MATCH(G$2,Inputs!$K$4:$AJ$4,0)),NA(),IF(SUMPRODUCT((Inputs!$A$5:$A$110=$B30)*ISNUMBER(INDEX(Inputs!$K$5:$AJ$110,0,MATCH(G$2,Inputs!$K$4:$AJ$4,0))))+SUMPRODUCT((Inputs!$C$5:$C$110=$B30)*ISNUMBER(INDEX(Inputs!$K$5:$AJ$110,0,MATCH(G$2,Inputs!$K$4:$AJ$4,0))))+SUMPRODUCT((Inputs!$E$5:$E$110=$B30)*ISNUMBER(INDEX(Inputs!$K$5:$AJ$110,0,MATCH(G$2,Inputs!$K$4:$AJ$4,0))))=0,NA(),SUMPRODUCT((Inputs!$A$5:$A$110=$B30)*Inputs!$B$5:$B$110*(((Inputs!$G$5:$G$110="moeda")+(Inputs!$G$5:$G$110="acoes"))*Inputs!$B$1+((Inputs!$G$5:$G$110&lt;&gt;"moeda")*(Inputs!$G$5:$G$110&lt;&gt;"acoes")))*INDEX(Inputs!$K$5:$AJ$110,0,MATCH(G$2,Inputs!$K$4:$AJ$4,0)))+SUMPRODUCT((Inputs!$C$5:$C$110=$B30)*Inputs!$D$5:$D$110*(((Inputs!$G$5:$G$110="moeda")+(Inputs!$G$5:$G$110="acoes"))*Inputs!$B$1+((Inputs!$G$5:$G$110&lt;&gt;"moeda")*(Inputs!$G$5:$G$110&lt;&gt;"acoes")))*INDEX(Inputs!$K$5:$AJ$110,0,MATCH(G$2,Inputs!$K$4:$AJ$4,0)))+SUMPRODUCT((Inputs!$E$5:$E$110=$B30)*Inputs!$F$5:$F$110*(((Inputs!$G$5:$G$110="moeda")+(Inputs!$G$5:$G$110="acoes"))*Inputs!$B$1+((Inputs!$G$5:$G$110&lt;&gt;"moeda")*(Inputs!$G$5:$G$110&lt;&gt;"acoes")))*INDEX(Inputs!$K$5:$AJ$110,0,MATCH(G$2,Inputs!$K$4:$AJ$4,0)))))</f>
        <v>0</v>
      </c>
      <c r="H30" s="3">
        <f>G30</f>
        <v>0</v>
      </c>
      <c r="I30" s="6">
        <f>IF(ISNA(MATCH(I$2,Inputs!$K$4:$AJ$4,0)),NA(),IF(SUMPRODUCT((Inputs!$A$5:$A$110=$B30)*ISNUMBER(INDEX(Inputs!$K$5:$AJ$110,0,MATCH(I$2,Inputs!$K$4:$AJ$4,0))))+SUMPRODUCT((Inputs!$C$5:$C$110=$B30)*ISNUMBER(INDEX(Inputs!$K$5:$AJ$110,0,MATCH(I$2,Inputs!$K$4:$AJ$4,0))))+SUMPRODUCT((Inputs!$E$5:$E$110=$B30)*ISNUMBER(INDEX(Inputs!$K$5:$AJ$110,0,MATCH(I$2,Inputs!$K$4:$AJ$4,0))))=0,NA(),SUMPRODUCT((Inputs!$A$5:$A$110=$B30)*Inputs!$B$5:$B$110*(((Inputs!$G$5:$G$110="moeda")+(Inputs!$G$5:$G$110="acoes"))*Inputs!$B$1+((Inputs!$G$5:$G$110&lt;&gt;"moeda")*(Inputs!$G$5:$G$110&lt;&gt;"acoes")))*INDEX(Inputs!$K$5:$AJ$110,0,MATCH(I$2,Inputs!$K$4:$AJ$4,0)))+SUMPRODUCT((Inputs!$C$5:$C$110=$B30)*Inputs!$D$5:$D$110*(((Inputs!$G$5:$G$110="moeda")+(Inputs!$G$5:$G$110="acoes"))*Inputs!$B$1+((Inputs!$G$5:$G$110&lt;&gt;"moeda")*(Inputs!$G$5:$G$110&lt;&gt;"acoes")))*INDEX(Inputs!$K$5:$AJ$110,0,MATCH(I$2,Inputs!$K$4:$AJ$4,0)))+SUMPRODUCT((Inputs!$E$5:$E$110=$B30)*Inputs!$F$5:$F$110*(((Inputs!$G$5:$G$110="moeda")+(Inputs!$G$5:$G$110="acoes"))*Inputs!$B$1+((Inputs!$G$5:$G$110&lt;&gt;"moeda")*(Inputs!$G$5:$G$110&lt;&gt;"acoes")))*INDEX(Inputs!$K$5:$AJ$110,0,MATCH(I$2,Inputs!$K$4:$AJ$4,0)))))</f>
        <v>0</v>
      </c>
      <c r="J30" s="6">
        <f>IF(ISNA(MATCH(J$2,Inputs!$K$4:$AJ$4,0)),NA(),IF(SUMPRODUCT((Inputs!$A$5:$A$110=$B30)*ISNUMBER(INDEX(Inputs!$K$5:$AJ$110,0,MATCH(J$2,Inputs!$K$4:$AJ$4,0))))+SUMPRODUCT((Inputs!$C$5:$C$110=$B30)*ISNUMBER(INDEX(Inputs!$K$5:$AJ$110,0,MATCH(J$2,Inputs!$K$4:$AJ$4,0))))+SUMPRODUCT((Inputs!$E$5:$E$110=$B30)*ISNUMBER(INDEX(Inputs!$K$5:$AJ$110,0,MATCH(J$2,Inputs!$K$4:$AJ$4,0))))=0,NA(),SUMPRODUCT((Inputs!$A$5:$A$110=$B30)*Inputs!$B$5:$B$110*(((Inputs!$G$5:$G$110="moeda")+(Inputs!$G$5:$G$110="acoes"))*Inputs!$B$1+((Inputs!$G$5:$G$110&lt;&gt;"moeda")*(Inputs!$G$5:$G$110&lt;&gt;"acoes")))*INDEX(Inputs!$K$5:$AJ$110,0,MATCH(J$2,Inputs!$K$4:$AJ$4,0)))+SUMPRODUCT((Inputs!$C$5:$C$110=$B30)*Inputs!$D$5:$D$110*(((Inputs!$G$5:$G$110="moeda")+(Inputs!$G$5:$G$110="acoes"))*Inputs!$B$1+((Inputs!$G$5:$G$110&lt;&gt;"moeda")*(Inputs!$G$5:$G$110&lt;&gt;"acoes")))*INDEX(Inputs!$K$5:$AJ$110,0,MATCH(J$2,Inputs!$K$4:$AJ$4,0)))+SUMPRODUCT((Inputs!$E$5:$E$110=$B30)*Inputs!$F$5:$F$110*(((Inputs!$G$5:$G$110="moeda")+(Inputs!$G$5:$G$110="acoes"))*Inputs!$B$1+((Inputs!$G$5:$G$110&lt;&gt;"moeda")*(Inputs!$G$5:$G$110&lt;&gt;"acoes")))*INDEX(Inputs!$K$5:$AJ$110,0,MATCH(J$2,Inputs!$K$4:$AJ$4,0)))))</f>
        <v>0</v>
      </c>
      <c r="K30" s="6">
        <f>IF(ISNA(MATCH(K$2,Inputs!$K$4:$AJ$4,0)),NA(),IF(SUMPRODUCT((Inputs!$A$5:$A$110=$B30)*ISNUMBER(INDEX(Inputs!$K$5:$AJ$110,0,MATCH(K$2,Inputs!$K$4:$AJ$4,0))))+SUMPRODUCT((Inputs!$C$5:$C$110=$B30)*ISNUMBER(INDEX(Inputs!$K$5:$AJ$110,0,MATCH(K$2,Inputs!$K$4:$AJ$4,0))))+SUMPRODUCT((Inputs!$E$5:$E$110=$B30)*ISNUMBER(INDEX(Inputs!$K$5:$AJ$110,0,MATCH(K$2,Inputs!$K$4:$AJ$4,0))))=0,NA(),SUMPRODUCT((Inputs!$A$5:$A$110=$B30)*Inputs!$B$5:$B$110*(((Inputs!$G$5:$G$110="moeda")+(Inputs!$G$5:$G$110="acoes"))*Inputs!$B$1+((Inputs!$G$5:$G$110&lt;&gt;"moeda")*(Inputs!$G$5:$G$110&lt;&gt;"acoes")))*INDEX(Inputs!$K$5:$AJ$110,0,MATCH(K$2,Inputs!$K$4:$AJ$4,0)))+SUMPRODUCT((Inputs!$C$5:$C$110=$B30)*Inputs!$D$5:$D$110*(((Inputs!$G$5:$G$110="moeda")+(Inputs!$G$5:$G$110="acoes"))*Inputs!$B$1+((Inputs!$G$5:$G$110&lt;&gt;"moeda")*(Inputs!$G$5:$G$110&lt;&gt;"acoes")))*INDEX(Inputs!$K$5:$AJ$110,0,MATCH(K$2,Inputs!$K$4:$AJ$4,0)))+SUMPRODUCT((Inputs!$E$5:$E$110=$B30)*Inputs!$F$5:$F$110*(((Inputs!$G$5:$G$110="moeda")+(Inputs!$G$5:$G$110="acoes"))*Inputs!$B$1+((Inputs!$G$5:$G$110&lt;&gt;"moeda")*(Inputs!$G$5:$G$110&lt;&gt;"acoes")))*INDEX(Inputs!$K$5:$AJ$110,0,MATCH(K$2,Inputs!$K$4:$AJ$4,0)))))</f>
        <v>0</v>
      </c>
      <c r="L30" s="6">
        <f>IF(ISNA(MATCH(L$2,Inputs!$K$4:$AJ$4,0)),NA(),IF(SUMPRODUCT((Inputs!$A$5:$A$110=$B30)*ISNUMBER(INDEX(Inputs!$K$5:$AJ$110,0,MATCH(L$2,Inputs!$K$4:$AJ$4,0))))+SUMPRODUCT((Inputs!$C$5:$C$110=$B30)*ISNUMBER(INDEX(Inputs!$K$5:$AJ$110,0,MATCH(L$2,Inputs!$K$4:$AJ$4,0))))+SUMPRODUCT((Inputs!$E$5:$E$110=$B30)*ISNUMBER(INDEX(Inputs!$K$5:$AJ$110,0,MATCH(L$2,Inputs!$K$4:$AJ$4,0))))=0,NA(),SUMPRODUCT((Inputs!$A$5:$A$110=$B30)*Inputs!$B$5:$B$110*(((Inputs!$G$5:$G$110="moeda")+(Inputs!$G$5:$G$110="acoes"))*Inputs!$B$1+((Inputs!$G$5:$G$110&lt;&gt;"moeda")*(Inputs!$G$5:$G$110&lt;&gt;"acoes")))*INDEX(Inputs!$K$5:$AJ$110,0,MATCH(L$2,Inputs!$K$4:$AJ$4,0)))+SUMPRODUCT((Inputs!$C$5:$C$110=$B30)*Inputs!$D$5:$D$110*(((Inputs!$G$5:$G$110="moeda")+(Inputs!$G$5:$G$110="acoes"))*Inputs!$B$1+((Inputs!$G$5:$G$110&lt;&gt;"moeda")*(Inputs!$G$5:$G$110&lt;&gt;"acoes")))*INDEX(Inputs!$K$5:$AJ$110,0,MATCH(L$2,Inputs!$K$4:$AJ$4,0)))+SUMPRODUCT((Inputs!$E$5:$E$110=$B30)*Inputs!$F$5:$F$110*(((Inputs!$G$5:$G$110="moeda")+(Inputs!$G$5:$G$110="acoes"))*Inputs!$B$1+((Inputs!$G$5:$G$110&lt;&gt;"moeda")*(Inputs!$G$5:$G$110&lt;&gt;"acoes")))*INDEX(Inputs!$K$5:$AJ$110,0,MATCH(L$2,Inputs!$K$4:$AJ$4,0)))))</f>
        <v>0</v>
      </c>
      <c r="M30" s="3">
        <f>L30</f>
        <v>0</v>
      </c>
      <c r="N30" s="6">
        <f>IF(ISNA(MATCH(N$2,Inputs!$K$4:$AJ$4,0)),NA(),IF(SUMPRODUCT((Inputs!$A$5:$A$110=$B30)*ISNUMBER(INDEX(Inputs!$K$5:$AJ$110,0,MATCH(N$2,Inputs!$K$4:$AJ$4,0))))+SUMPRODUCT((Inputs!$C$5:$C$110=$B30)*ISNUMBER(INDEX(Inputs!$K$5:$AJ$110,0,MATCH(N$2,Inputs!$K$4:$AJ$4,0))))+SUMPRODUCT((Inputs!$E$5:$E$110=$B30)*ISNUMBER(INDEX(Inputs!$K$5:$AJ$110,0,MATCH(N$2,Inputs!$K$4:$AJ$4,0))))=0,NA(),SUMPRODUCT((Inputs!$A$5:$A$110=$B30)*Inputs!$B$5:$B$110*(((Inputs!$G$5:$G$110="moeda")+(Inputs!$G$5:$G$110="acoes"))*Inputs!$B$1+((Inputs!$G$5:$G$110&lt;&gt;"moeda")*(Inputs!$G$5:$G$110&lt;&gt;"acoes")))*INDEX(Inputs!$K$5:$AJ$110,0,MATCH(N$2,Inputs!$K$4:$AJ$4,0)))+SUMPRODUCT((Inputs!$C$5:$C$110=$B30)*Inputs!$D$5:$D$110*(((Inputs!$G$5:$G$110="moeda")+(Inputs!$G$5:$G$110="acoes"))*Inputs!$B$1+((Inputs!$G$5:$G$110&lt;&gt;"moeda")*(Inputs!$G$5:$G$110&lt;&gt;"acoes")))*INDEX(Inputs!$K$5:$AJ$110,0,MATCH(N$2,Inputs!$K$4:$AJ$4,0)))+SUMPRODUCT((Inputs!$E$5:$E$110=$B30)*Inputs!$F$5:$F$110*(((Inputs!$G$5:$G$110="moeda")+(Inputs!$G$5:$G$110="acoes"))*Inputs!$B$1+((Inputs!$G$5:$G$110&lt;&gt;"moeda")*(Inputs!$G$5:$G$110&lt;&gt;"acoes")))*INDEX(Inputs!$K$5:$AJ$110,0,MATCH(N$2,Inputs!$K$4:$AJ$4,0)))))</f>
        <v>0</v>
      </c>
      <c r="O30" s="6">
        <f>IF(ISNA(MATCH(O$2,Inputs!$K$4:$AJ$4,0)),NA(),IF(SUMPRODUCT((Inputs!$A$5:$A$110=$B30)*ISNUMBER(INDEX(Inputs!$K$5:$AJ$110,0,MATCH(O$2,Inputs!$K$4:$AJ$4,0))))+SUMPRODUCT((Inputs!$C$5:$C$110=$B30)*ISNUMBER(INDEX(Inputs!$K$5:$AJ$110,0,MATCH(O$2,Inputs!$K$4:$AJ$4,0))))+SUMPRODUCT((Inputs!$E$5:$E$110=$B30)*ISNUMBER(INDEX(Inputs!$K$5:$AJ$110,0,MATCH(O$2,Inputs!$K$4:$AJ$4,0))))=0,NA(),SUMPRODUCT((Inputs!$A$5:$A$110=$B30)*Inputs!$B$5:$B$110*(((Inputs!$G$5:$G$110="moeda")+(Inputs!$G$5:$G$110="acoes"))*Inputs!$B$1+((Inputs!$G$5:$G$110&lt;&gt;"moeda")*(Inputs!$G$5:$G$110&lt;&gt;"acoes")))*INDEX(Inputs!$K$5:$AJ$110,0,MATCH(O$2,Inputs!$K$4:$AJ$4,0)))+SUMPRODUCT((Inputs!$C$5:$C$110=$B30)*Inputs!$D$5:$D$110*(((Inputs!$G$5:$G$110="moeda")+(Inputs!$G$5:$G$110="acoes"))*Inputs!$B$1+((Inputs!$G$5:$G$110&lt;&gt;"moeda")*(Inputs!$G$5:$G$110&lt;&gt;"acoes")))*INDEX(Inputs!$K$5:$AJ$110,0,MATCH(O$2,Inputs!$K$4:$AJ$4,0)))+SUMPRODUCT((Inputs!$E$5:$E$110=$B30)*Inputs!$F$5:$F$110*(((Inputs!$G$5:$G$110="moeda")+(Inputs!$G$5:$G$110="acoes"))*Inputs!$B$1+((Inputs!$G$5:$G$110&lt;&gt;"moeda")*(Inputs!$G$5:$G$110&lt;&gt;"acoes")))*INDEX(Inputs!$K$5:$AJ$110,0,MATCH(O$2,Inputs!$K$4:$AJ$4,0)))))</f>
        <v>0</v>
      </c>
      <c r="P30" s="6">
        <f>IF(ISNA(MATCH(P$2,Inputs!$K$4:$AJ$4,0)),NA(),IF(SUMPRODUCT((Inputs!$A$5:$A$110=$B30)*ISNUMBER(INDEX(Inputs!$K$5:$AJ$110,0,MATCH(P$2,Inputs!$K$4:$AJ$4,0))))+SUMPRODUCT((Inputs!$C$5:$C$110=$B30)*ISNUMBER(INDEX(Inputs!$K$5:$AJ$110,0,MATCH(P$2,Inputs!$K$4:$AJ$4,0))))+SUMPRODUCT((Inputs!$E$5:$E$110=$B30)*ISNUMBER(INDEX(Inputs!$K$5:$AJ$110,0,MATCH(P$2,Inputs!$K$4:$AJ$4,0))))=0,NA(),SUMPRODUCT((Inputs!$A$5:$A$110=$B30)*Inputs!$B$5:$B$110*(((Inputs!$G$5:$G$110="moeda")+(Inputs!$G$5:$G$110="acoes"))*Inputs!$B$1+((Inputs!$G$5:$G$110&lt;&gt;"moeda")*(Inputs!$G$5:$G$110&lt;&gt;"acoes")))*INDEX(Inputs!$K$5:$AJ$110,0,MATCH(P$2,Inputs!$K$4:$AJ$4,0)))+SUMPRODUCT((Inputs!$C$5:$C$110=$B30)*Inputs!$D$5:$D$110*(((Inputs!$G$5:$G$110="moeda")+(Inputs!$G$5:$G$110="acoes"))*Inputs!$B$1+((Inputs!$G$5:$G$110&lt;&gt;"moeda")*(Inputs!$G$5:$G$110&lt;&gt;"acoes")))*INDEX(Inputs!$K$5:$AJ$110,0,MATCH(P$2,Inputs!$K$4:$AJ$4,0)))+SUMPRODUCT((Inputs!$E$5:$E$110=$B30)*Inputs!$F$5:$F$110*(((Inputs!$G$5:$G$110="moeda")+(Inputs!$G$5:$G$110="acoes"))*Inputs!$B$1+((Inputs!$G$5:$G$110&lt;&gt;"moeda")*(Inputs!$G$5:$G$110&lt;&gt;"acoes")))*INDEX(Inputs!$K$5:$AJ$110,0,MATCH(P$2,Inputs!$K$4:$AJ$4,0)))))</f>
        <v>0</v>
      </c>
      <c r="Q30" s="6">
        <f>IF(ISNA(MATCH(Q$2,Inputs!$K$4:$AJ$4,0)),NA(),IF(SUMPRODUCT((Inputs!$A$5:$A$110=$B30)*ISNUMBER(INDEX(Inputs!$K$5:$AJ$110,0,MATCH(Q$2,Inputs!$K$4:$AJ$4,0))))+SUMPRODUCT((Inputs!$C$5:$C$110=$B30)*ISNUMBER(INDEX(Inputs!$K$5:$AJ$110,0,MATCH(Q$2,Inputs!$K$4:$AJ$4,0))))+SUMPRODUCT((Inputs!$E$5:$E$110=$B30)*ISNUMBER(INDEX(Inputs!$K$5:$AJ$110,0,MATCH(Q$2,Inputs!$K$4:$AJ$4,0))))=0,NA(),SUMPRODUCT((Inputs!$A$5:$A$110=$B30)*Inputs!$B$5:$B$110*(((Inputs!$G$5:$G$110="moeda")+(Inputs!$G$5:$G$110="acoes"))*Inputs!$B$1+((Inputs!$G$5:$G$110&lt;&gt;"moeda")*(Inputs!$G$5:$G$110&lt;&gt;"acoes")))*INDEX(Inputs!$K$5:$AJ$110,0,MATCH(Q$2,Inputs!$K$4:$AJ$4,0)))+SUMPRODUCT((Inputs!$C$5:$C$110=$B30)*Inputs!$D$5:$D$110*(((Inputs!$G$5:$G$110="moeda")+(Inputs!$G$5:$G$110="acoes"))*Inputs!$B$1+((Inputs!$G$5:$G$110&lt;&gt;"moeda")*(Inputs!$G$5:$G$110&lt;&gt;"acoes")))*INDEX(Inputs!$K$5:$AJ$110,0,MATCH(Q$2,Inputs!$K$4:$AJ$4,0)))+SUMPRODUCT((Inputs!$E$5:$E$110=$B30)*Inputs!$F$5:$F$110*(((Inputs!$G$5:$G$110="moeda")+(Inputs!$G$5:$G$110="acoes"))*Inputs!$B$1+((Inputs!$G$5:$G$110&lt;&gt;"moeda")*(Inputs!$G$5:$G$110&lt;&gt;"acoes")))*INDEX(Inputs!$K$5:$AJ$110,0,MATCH(Q$2,Inputs!$K$4:$AJ$4,0)))))</f>
        <v>0</v>
      </c>
      <c r="R30" s="3">
        <f>Q30</f>
        <v>0</v>
      </c>
      <c r="S30" s="6">
        <f>IF(ISNA(MATCH(S$2,Inputs!$K$4:$AJ$4,0)),NA(),IF(SUMPRODUCT((Inputs!$A$5:$A$110=$B30)*ISNUMBER(INDEX(Inputs!$K$5:$AJ$110,0,MATCH(S$2,Inputs!$K$4:$AJ$4,0))))+SUMPRODUCT((Inputs!$C$5:$C$110=$B30)*ISNUMBER(INDEX(Inputs!$K$5:$AJ$110,0,MATCH(S$2,Inputs!$K$4:$AJ$4,0))))+SUMPRODUCT((Inputs!$E$5:$E$110=$B30)*ISNUMBER(INDEX(Inputs!$K$5:$AJ$110,0,MATCH(S$2,Inputs!$K$4:$AJ$4,0))))=0,NA(),SUMPRODUCT((Inputs!$A$5:$A$110=$B30)*Inputs!$B$5:$B$110*(((Inputs!$G$5:$G$110="moeda")+(Inputs!$G$5:$G$110="acoes"))*Inputs!$B$1+((Inputs!$G$5:$G$110&lt;&gt;"moeda")*(Inputs!$G$5:$G$110&lt;&gt;"acoes")))*INDEX(Inputs!$K$5:$AJ$110,0,MATCH(S$2,Inputs!$K$4:$AJ$4,0)))+SUMPRODUCT((Inputs!$C$5:$C$110=$B30)*Inputs!$D$5:$D$110*(((Inputs!$G$5:$G$110="moeda")+(Inputs!$G$5:$G$110="acoes"))*Inputs!$B$1+((Inputs!$G$5:$G$110&lt;&gt;"moeda")*(Inputs!$G$5:$G$110&lt;&gt;"acoes")))*INDEX(Inputs!$K$5:$AJ$110,0,MATCH(S$2,Inputs!$K$4:$AJ$4,0)))+SUMPRODUCT((Inputs!$E$5:$E$110=$B30)*Inputs!$F$5:$F$110*(((Inputs!$G$5:$G$110="moeda")+(Inputs!$G$5:$G$110="acoes"))*Inputs!$B$1+((Inputs!$G$5:$G$110&lt;&gt;"moeda")*(Inputs!$G$5:$G$110&lt;&gt;"acoes")))*INDEX(Inputs!$K$5:$AJ$110,0,MATCH(S$2,Inputs!$K$4:$AJ$4,0)))))</f>
        <v>0</v>
      </c>
      <c r="T30" s="6">
        <f>IF(ISNA(MATCH(T$2,Inputs!$K$4:$AJ$4,0)),NA(),IF(SUMPRODUCT((Inputs!$A$5:$A$110=$B30)*ISNUMBER(INDEX(Inputs!$K$5:$AJ$110,0,MATCH(T$2,Inputs!$K$4:$AJ$4,0))))+SUMPRODUCT((Inputs!$C$5:$C$110=$B30)*ISNUMBER(INDEX(Inputs!$K$5:$AJ$110,0,MATCH(T$2,Inputs!$K$4:$AJ$4,0))))+SUMPRODUCT((Inputs!$E$5:$E$110=$B30)*ISNUMBER(INDEX(Inputs!$K$5:$AJ$110,0,MATCH(T$2,Inputs!$K$4:$AJ$4,0))))=0,NA(),SUMPRODUCT((Inputs!$A$5:$A$110=$B30)*Inputs!$B$5:$B$110*(((Inputs!$G$5:$G$110="moeda")+(Inputs!$G$5:$G$110="acoes"))*Inputs!$B$1+((Inputs!$G$5:$G$110&lt;&gt;"moeda")*(Inputs!$G$5:$G$110&lt;&gt;"acoes")))*INDEX(Inputs!$K$5:$AJ$110,0,MATCH(T$2,Inputs!$K$4:$AJ$4,0)))+SUMPRODUCT((Inputs!$C$5:$C$110=$B30)*Inputs!$D$5:$D$110*(((Inputs!$G$5:$G$110="moeda")+(Inputs!$G$5:$G$110="acoes"))*Inputs!$B$1+((Inputs!$G$5:$G$110&lt;&gt;"moeda")*(Inputs!$G$5:$G$110&lt;&gt;"acoes")))*INDEX(Inputs!$K$5:$AJ$110,0,MATCH(T$2,Inputs!$K$4:$AJ$4,0)))+SUMPRODUCT((Inputs!$E$5:$E$110=$B30)*Inputs!$F$5:$F$110*(((Inputs!$G$5:$G$110="moeda")+(Inputs!$G$5:$G$110="acoes"))*Inputs!$B$1+((Inputs!$G$5:$G$110&lt;&gt;"moeda")*(Inputs!$G$5:$G$110&lt;&gt;"acoes")))*INDEX(Inputs!$K$5:$AJ$110,0,MATCH(T$2,Inputs!$K$4:$AJ$4,0)))))</f>
        <v>0</v>
      </c>
      <c r="U30" s="6">
        <f>IF(ISNA(MATCH(U$2,Inputs!$K$4:$AJ$4,0)),NA(),IF(SUMPRODUCT((Inputs!$A$5:$A$110=$B30)*ISNUMBER(INDEX(Inputs!$K$5:$AJ$110,0,MATCH(U$2,Inputs!$K$4:$AJ$4,0))))+SUMPRODUCT((Inputs!$C$5:$C$110=$B30)*ISNUMBER(INDEX(Inputs!$K$5:$AJ$110,0,MATCH(U$2,Inputs!$K$4:$AJ$4,0))))+SUMPRODUCT((Inputs!$E$5:$E$110=$B30)*ISNUMBER(INDEX(Inputs!$K$5:$AJ$110,0,MATCH(U$2,Inputs!$K$4:$AJ$4,0))))=0,NA(),SUMPRODUCT((Inputs!$A$5:$A$110=$B30)*Inputs!$B$5:$B$110*(((Inputs!$G$5:$G$110="moeda")+(Inputs!$G$5:$G$110="acoes"))*Inputs!$B$1+((Inputs!$G$5:$G$110&lt;&gt;"moeda")*(Inputs!$G$5:$G$110&lt;&gt;"acoes")))*INDEX(Inputs!$K$5:$AJ$110,0,MATCH(U$2,Inputs!$K$4:$AJ$4,0)))+SUMPRODUCT((Inputs!$C$5:$C$110=$B30)*Inputs!$D$5:$D$110*(((Inputs!$G$5:$G$110="moeda")+(Inputs!$G$5:$G$110="acoes"))*Inputs!$B$1+((Inputs!$G$5:$G$110&lt;&gt;"moeda")*(Inputs!$G$5:$G$110&lt;&gt;"acoes")))*INDEX(Inputs!$K$5:$AJ$110,0,MATCH(U$2,Inputs!$K$4:$AJ$4,0)))+SUMPRODUCT((Inputs!$E$5:$E$110=$B30)*Inputs!$F$5:$F$110*(((Inputs!$G$5:$G$110="moeda")+(Inputs!$G$5:$G$110="acoes"))*Inputs!$B$1+((Inputs!$G$5:$G$110&lt;&gt;"moeda")*(Inputs!$G$5:$G$110&lt;&gt;"acoes")))*INDEX(Inputs!$K$5:$AJ$110,0,MATCH(U$2,Inputs!$K$4:$AJ$4,0)))))</f>
        <v>0</v>
      </c>
      <c r="V30" s="6">
        <f>IF(ISNA(MATCH(V$2,Inputs!$K$4:$AJ$4,0)),NA(),IF(SUMPRODUCT((Inputs!$A$5:$A$110=$B30)*ISNUMBER(INDEX(Inputs!$K$5:$AJ$110,0,MATCH(V$2,Inputs!$K$4:$AJ$4,0))))+SUMPRODUCT((Inputs!$C$5:$C$110=$B30)*ISNUMBER(INDEX(Inputs!$K$5:$AJ$110,0,MATCH(V$2,Inputs!$K$4:$AJ$4,0))))+SUMPRODUCT((Inputs!$E$5:$E$110=$B30)*ISNUMBER(INDEX(Inputs!$K$5:$AJ$110,0,MATCH(V$2,Inputs!$K$4:$AJ$4,0))))=0,NA(),SUMPRODUCT((Inputs!$A$5:$A$110=$B30)*Inputs!$B$5:$B$110*(((Inputs!$G$5:$G$110="moeda")+(Inputs!$G$5:$G$110="acoes"))*Inputs!$B$1+((Inputs!$G$5:$G$110&lt;&gt;"moeda")*(Inputs!$G$5:$G$110&lt;&gt;"acoes")))*INDEX(Inputs!$K$5:$AJ$110,0,MATCH(V$2,Inputs!$K$4:$AJ$4,0)))+SUMPRODUCT((Inputs!$C$5:$C$110=$B30)*Inputs!$D$5:$D$110*(((Inputs!$G$5:$G$110="moeda")+(Inputs!$G$5:$G$110="acoes"))*Inputs!$B$1+((Inputs!$G$5:$G$110&lt;&gt;"moeda")*(Inputs!$G$5:$G$110&lt;&gt;"acoes")))*INDEX(Inputs!$K$5:$AJ$110,0,MATCH(V$2,Inputs!$K$4:$AJ$4,0)))+SUMPRODUCT((Inputs!$E$5:$E$110=$B30)*Inputs!$F$5:$F$110*(((Inputs!$G$5:$G$110="moeda")+(Inputs!$G$5:$G$110="acoes"))*Inputs!$B$1+((Inputs!$G$5:$G$110&lt;&gt;"moeda")*(Inputs!$G$5:$G$110&lt;&gt;"acoes")))*INDEX(Inputs!$K$5:$AJ$110,0,MATCH(V$2,Inputs!$K$4:$AJ$4,0)))))</f>
        <v>0</v>
      </c>
      <c r="W30" s="3">
        <f>V30</f>
        <v>0</v>
      </c>
      <c r="X30" s="6">
        <f>IF(ISNA(MATCH(X$2,Inputs!$K$4:$AJ$4,0)),NA(),IF(SUMPRODUCT((Inputs!$A$5:$A$110=$B30)*ISNUMBER(INDEX(Inputs!$K$5:$AJ$110,0,MATCH(X$2,Inputs!$K$4:$AJ$4,0))))+SUMPRODUCT((Inputs!$C$5:$C$110=$B30)*ISNUMBER(INDEX(Inputs!$K$5:$AJ$110,0,MATCH(X$2,Inputs!$K$4:$AJ$4,0))))+SUMPRODUCT((Inputs!$E$5:$E$110=$B30)*ISNUMBER(INDEX(Inputs!$K$5:$AJ$110,0,MATCH(X$2,Inputs!$K$4:$AJ$4,0))))=0,NA(),SUMPRODUCT((Inputs!$A$5:$A$110=$B30)*Inputs!$B$5:$B$110*(((Inputs!$G$5:$G$110="moeda")+(Inputs!$G$5:$G$110="acoes"))*Inputs!$B$1+((Inputs!$G$5:$G$110&lt;&gt;"moeda")*(Inputs!$G$5:$G$110&lt;&gt;"acoes")))*INDEX(Inputs!$K$5:$AJ$110,0,MATCH(X$2,Inputs!$K$4:$AJ$4,0)))+SUMPRODUCT((Inputs!$C$5:$C$110=$B30)*Inputs!$D$5:$D$110*(((Inputs!$G$5:$G$110="moeda")+(Inputs!$G$5:$G$110="acoes"))*Inputs!$B$1+((Inputs!$G$5:$G$110&lt;&gt;"moeda")*(Inputs!$G$5:$G$110&lt;&gt;"acoes")))*INDEX(Inputs!$K$5:$AJ$110,0,MATCH(X$2,Inputs!$K$4:$AJ$4,0)))+SUMPRODUCT((Inputs!$E$5:$E$110=$B30)*Inputs!$F$5:$F$110*(((Inputs!$G$5:$G$110="moeda")+(Inputs!$G$5:$G$110="acoes"))*Inputs!$B$1+((Inputs!$G$5:$G$110&lt;&gt;"moeda")*(Inputs!$G$5:$G$110&lt;&gt;"acoes")))*INDEX(Inputs!$K$5:$AJ$110,0,MATCH(X$2,Inputs!$K$4:$AJ$4,0)))))</f>
        <v>0</v>
      </c>
      <c r="Y30" s="6">
        <f>IF(ISNA(MATCH(Y$2,Inputs!$K$4:$AJ$4,0)),NA(),IF(SUMPRODUCT((Inputs!$A$5:$A$110=$B30)*ISNUMBER(INDEX(Inputs!$K$5:$AJ$110,0,MATCH(Y$2,Inputs!$K$4:$AJ$4,0))))+SUMPRODUCT((Inputs!$C$5:$C$110=$B30)*ISNUMBER(INDEX(Inputs!$K$5:$AJ$110,0,MATCH(Y$2,Inputs!$K$4:$AJ$4,0))))+SUMPRODUCT((Inputs!$E$5:$E$110=$B30)*ISNUMBER(INDEX(Inputs!$K$5:$AJ$110,0,MATCH(Y$2,Inputs!$K$4:$AJ$4,0))))=0,NA(),SUMPRODUCT((Inputs!$A$5:$A$110=$B30)*Inputs!$B$5:$B$110*(((Inputs!$G$5:$G$110="moeda")+(Inputs!$G$5:$G$110="acoes"))*Inputs!$B$1+((Inputs!$G$5:$G$110&lt;&gt;"moeda")*(Inputs!$G$5:$G$110&lt;&gt;"acoes")))*INDEX(Inputs!$K$5:$AJ$110,0,MATCH(Y$2,Inputs!$K$4:$AJ$4,0)))+SUMPRODUCT((Inputs!$C$5:$C$110=$B30)*Inputs!$D$5:$D$110*(((Inputs!$G$5:$G$110="moeda")+(Inputs!$G$5:$G$110="acoes"))*Inputs!$B$1+((Inputs!$G$5:$G$110&lt;&gt;"moeda")*(Inputs!$G$5:$G$110&lt;&gt;"acoes")))*INDEX(Inputs!$K$5:$AJ$110,0,MATCH(Y$2,Inputs!$K$4:$AJ$4,0)))+SUMPRODUCT((Inputs!$E$5:$E$110=$B30)*Inputs!$F$5:$F$110*(((Inputs!$G$5:$G$110="moeda")+(Inputs!$G$5:$G$110="acoes"))*Inputs!$B$1+((Inputs!$G$5:$G$110&lt;&gt;"moeda")*(Inputs!$G$5:$G$110&lt;&gt;"acoes")))*INDEX(Inputs!$K$5:$AJ$110,0,MATCH(Y$2,Inputs!$K$4:$AJ$4,0)))))</f>
        <v>0</v>
      </c>
      <c r="Z30" s="6">
        <f>IF(ISNA(MATCH(Z$2,Inputs!$K$4:$AJ$4,0)),NA(),IF(SUMPRODUCT((Inputs!$A$5:$A$110=$B30)*ISNUMBER(INDEX(Inputs!$K$5:$AJ$110,0,MATCH(Z$2,Inputs!$K$4:$AJ$4,0))))+SUMPRODUCT((Inputs!$C$5:$C$110=$B30)*ISNUMBER(INDEX(Inputs!$K$5:$AJ$110,0,MATCH(Z$2,Inputs!$K$4:$AJ$4,0))))+SUMPRODUCT((Inputs!$E$5:$E$110=$B30)*ISNUMBER(INDEX(Inputs!$K$5:$AJ$110,0,MATCH(Z$2,Inputs!$K$4:$AJ$4,0))))=0,NA(),SUMPRODUCT((Inputs!$A$5:$A$110=$B30)*Inputs!$B$5:$B$110*(((Inputs!$G$5:$G$110="moeda")+(Inputs!$G$5:$G$110="acoes"))*Inputs!$B$1+((Inputs!$G$5:$G$110&lt;&gt;"moeda")*(Inputs!$G$5:$G$110&lt;&gt;"acoes")))*INDEX(Inputs!$K$5:$AJ$110,0,MATCH(Z$2,Inputs!$K$4:$AJ$4,0)))+SUMPRODUCT((Inputs!$C$5:$C$110=$B30)*Inputs!$D$5:$D$110*(((Inputs!$G$5:$G$110="moeda")+(Inputs!$G$5:$G$110="acoes"))*Inputs!$B$1+((Inputs!$G$5:$G$110&lt;&gt;"moeda")*(Inputs!$G$5:$G$110&lt;&gt;"acoes")))*INDEX(Inputs!$K$5:$AJ$110,0,MATCH(Z$2,Inputs!$K$4:$AJ$4,0)))+SUMPRODUCT((Inputs!$E$5:$E$110=$B30)*Inputs!$F$5:$F$110*(((Inputs!$G$5:$G$110="moeda")+(Inputs!$G$5:$G$110="acoes"))*Inputs!$B$1+((Inputs!$G$5:$G$110&lt;&gt;"moeda")*(Inputs!$G$5:$G$110&lt;&gt;"acoes")))*INDEX(Inputs!$K$5:$AJ$110,0,MATCH(Z$2,Inputs!$K$4:$AJ$4,0)))))</f>
        <v>0</v>
      </c>
      <c r="AA30" s="6">
        <f>IF(ISNA(MATCH(AA$2,Inputs!$K$4:$AJ$4,0)),NA(),IF(SUMPRODUCT((Inputs!$A$5:$A$110=$B30)*ISNUMBER(INDEX(Inputs!$K$5:$AJ$110,0,MATCH(AA$2,Inputs!$K$4:$AJ$4,0))))+SUMPRODUCT((Inputs!$C$5:$C$110=$B30)*ISNUMBER(INDEX(Inputs!$K$5:$AJ$110,0,MATCH(AA$2,Inputs!$K$4:$AJ$4,0))))+SUMPRODUCT((Inputs!$E$5:$E$110=$B30)*ISNUMBER(INDEX(Inputs!$K$5:$AJ$110,0,MATCH(AA$2,Inputs!$K$4:$AJ$4,0))))=0,NA(),SUMPRODUCT((Inputs!$A$5:$A$110=$B30)*Inputs!$B$5:$B$110*(((Inputs!$G$5:$G$110="moeda")+(Inputs!$G$5:$G$110="acoes"))*Inputs!$B$1+((Inputs!$G$5:$G$110&lt;&gt;"moeda")*(Inputs!$G$5:$G$110&lt;&gt;"acoes")))*INDEX(Inputs!$K$5:$AJ$110,0,MATCH(AA$2,Inputs!$K$4:$AJ$4,0)))+SUMPRODUCT((Inputs!$C$5:$C$110=$B30)*Inputs!$D$5:$D$110*(((Inputs!$G$5:$G$110="moeda")+(Inputs!$G$5:$G$110="acoes"))*Inputs!$B$1+((Inputs!$G$5:$G$110&lt;&gt;"moeda")*(Inputs!$G$5:$G$110&lt;&gt;"acoes")))*INDEX(Inputs!$K$5:$AJ$110,0,MATCH(AA$2,Inputs!$K$4:$AJ$4,0)))+SUMPRODUCT((Inputs!$E$5:$E$110=$B30)*Inputs!$F$5:$F$110*(((Inputs!$G$5:$G$110="moeda")+(Inputs!$G$5:$G$110="acoes"))*Inputs!$B$1+((Inputs!$G$5:$G$110&lt;&gt;"moeda")*(Inputs!$G$5:$G$110&lt;&gt;"acoes")))*INDEX(Inputs!$K$5:$AJ$110,0,MATCH(AA$2,Inputs!$K$4:$AJ$4,0)))))</f>
        <v>0</v>
      </c>
      <c r="AB30" s="3">
        <f>AA30</f>
        <v>0</v>
      </c>
      <c r="AC30" s="6">
        <f>IF(ISNA(MATCH(AC$2,Inputs!$K$4:$AJ$4,0)),NA(),IF(SUMPRODUCT((Inputs!$A$5:$A$110=$B30)*ISNUMBER(INDEX(Inputs!$K$5:$AJ$110,0,MATCH(AC$2,Inputs!$K$4:$AJ$4,0))))+SUMPRODUCT((Inputs!$C$5:$C$110=$B30)*ISNUMBER(INDEX(Inputs!$K$5:$AJ$110,0,MATCH(AC$2,Inputs!$K$4:$AJ$4,0))))+SUMPRODUCT((Inputs!$E$5:$E$110=$B30)*ISNUMBER(INDEX(Inputs!$K$5:$AJ$110,0,MATCH(AC$2,Inputs!$K$4:$AJ$4,0))))=0,NA(),SUMPRODUCT((Inputs!$A$5:$A$110=$B30)*Inputs!$B$5:$B$110*(((Inputs!$G$5:$G$110="moeda")+(Inputs!$G$5:$G$110="acoes"))*Inputs!$B$1+((Inputs!$G$5:$G$110&lt;&gt;"moeda")*(Inputs!$G$5:$G$110&lt;&gt;"acoes")))*INDEX(Inputs!$K$5:$AJ$110,0,MATCH(AC$2,Inputs!$K$4:$AJ$4,0)))+SUMPRODUCT((Inputs!$C$5:$C$110=$B30)*Inputs!$D$5:$D$110*(((Inputs!$G$5:$G$110="moeda")+(Inputs!$G$5:$G$110="acoes"))*Inputs!$B$1+((Inputs!$G$5:$G$110&lt;&gt;"moeda")*(Inputs!$G$5:$G$110&lt;&gt;"acoes")))*INDEX(Inputs!$K$5:$AJ$110,0,MATCH(AC$2,Inputs!$K$4:$AJ$4,0)))+SUMPRODUCT((Inputs!$E$5:$E$110=$B30)*Inputs!$F$5:$F$110*(((Inputs!$G$5:$G$110="moeda")+(Inputs!$G$5:$G$110="acoes"))*Inputs!$B$1+((Inputs!$G$5:$G$110&lt;&gt;"moeda")*(Inputs!$G$5:$G$110&lt;&gt;"acoes")))*INDEX(Inputs!$K$5:$AJ$110,0,MATCH(AC$2,Inputs!$K$4:$AJ$4,0)))))</f>
        <v>0</v>
      </c>
      <c r="AD30" s="6">
        <f>IF(ISNA(MATCH(AD$2,Inputs!$K$4:$AJ$4,0)),NA(),IF(SUMPRODUCT((Inputs!$A$5:$A$110=$B30)*ISNUMBER(INDEX(Inputs!$K$5:$AJ$110,0,MATCH(AD$2,Inputs!$K$4:$AJ$4,0))))+SUMPRODUCT((Inputs!$C$5:$C$110=$B30)*ISNUMBER(INDEX(Inputs!$K$5:$AJ$110,0,MATCH(AD$2,Inputs!$K$4:$AJ$4,0))))+SUMPRODUCT((Inputs!$E$5:$E$110=$B30)*ISNUMBER(INDEX(Inputs!$K$5:$AJ$110,0,MATCH(AD$2,Inputs!$K$4:$AJ$4,0))))=0,NA(),SUMPRODUCT((Inputs!$A$5:$A$110=$B30)*Inputs!$B$5:$B$110*(((Inputs!$G$5:$G$110="moeda")+(Inputs!$G$5:$G$110="acoes"))*Inputs!$B$1+((Inputs!$G$5:$G$110&lt;&gt;"moeda")*(Inputs!$G$5:$G$110&lt;&gt;"acoes")))*INDEX(Inputs!$K$5:$AJ$110,0,MATCH(AD$2,Inputs!$K$4:$AJ$4,0)))+SUMPRODUCT((Inputs!$C$5:$C$110=$B30)*Inputs!$D$5:$D$110*(((Inputs!$G$5:$G$110="moeda")+(Inputs!$G$5:$G$110="acoes"))*Inputs!$B$1+((Inputs!$G$5:$G$110&lt;&gt;"moeda")*(Inputs!$G$5:$G$110&lt;&gt;"acoes")))*INDEX(Inputs!$K$5:$AJ$110,0,MATCH(AD$2,Inputs!$K$4:$AJ$4,0)))+SUMPRODUCT((Inputs!$E$5:$E$110=$B30)*Inputs!$F$5:$F$110*(((Inputs!$G$5:$G$110="moeda")+(Inputs!$G$5:$G$110="acoes"))*Inputs!$B$1+((Inputs!$G$5:$G$110&lt;&gt;"moeda")*(Inputs!$G$5:$G$110&lt;&gt;"acoes")))*INDEX(Inputs!$K$5:$AJ$110,0,MATCH(AD$2,Inputs!$K$4:$AJ$4,0)))))</f>
        <v>0</v>
      </c>
      <c r="AE30" s="6" t="e">
        <f>IF(ISNA(MATCH(AE$2,Inputs!$K$4:$AJ$4,0)),NA(),IF(SUMPRODUCT((Inputs!$A$5:$A$110=$B30)*ISNUMBER(INDEX(Inputs!$K$5:$AJ$110,0,MATCH(AE$2,Inputs!$K$4:$AJ$4,0))))+SUMPRODUCT((Inputs!$C$5:$C$110=$B30)*ISNUMBER(INDEX(Inputs!$K$5:$AJ$110,0,MATCH(AE$2,Inputs!$K$4:$AJ$4,0))))+SUMPRODUCT((Inputs!$E$5:$E$110=$B30)*ISNUMBER(INDEX(Inputs!$K$5:$AJ$110,0,MATCH(AE$2,Inputs!$K$4:$AJ$4,0))))=0,NA(),SUMPRODUCT((Inputs!$A$5:$A$110=$B30)*Inputs!$B$5:$B$110*(((Inputs!$G$5:$G$110="moeda")+(Inputs!$G$5:$G$110="acoes"))*Inputs!$B$1+((Inputs!$G$5:$G$110&lt;&gt;"moeda")*(Inputs!$G$5:$G$110&lt;&gt;"acoes")))*INDEX(Inputs!$K$5:$AJ$110,0,MATCH(AE$2,Inputs!$K$4:$AJ$4,0)))+SUMPRODUCT((Inputs!$C$5:$C$110=$B30)*Inputs!$D$5:$D$110*(((Inputs!$G$5:$G$110="moeda")+(Inputs!$G$5:$G$110="acoes"))*Inputs!$B$1+((Inputs!$G$5:$G$110&lt;&gt;"moeda")*(Inputs!$G$5:$G$110&lt;&gt;"acoes")))*INDEX(Inputs!$K$5:$AJ$110,0,MATCH(AE$2,Inputs!$K$4:$AJ$4,0)))+SUMPRODUCT((Inputs!$E$5:$E$110=$B30)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0" s="6" t="e">
        <f>IF(ISNA(MATCH(AF$2,Inputs!$K$4:$AJ$4,0)),NA(),IF(SUMPRODUCT((Inputs!$A$5:$A$110=$B30)*ISNUMBER(INDEX(Inputs!$K$5:$AJ$110,0,MATCH(AF$2,Inputs!$K$4:$AJ$4,0))))+SUMPRODUCT((Inputs!$C$5:$C$110=$B30)*ISNUMBER(INDEX(Inputs!$K$5:$AJ$110,0,MATCH(AF$2,Inputs!$K$4:$AJ$4,0))))+SUMPRODUCT((Inputs!$E$5:$E$110=$B30)*ISNUMBER(INDEX(Inputs!$K$5:$AJ$110,0,MATCH(AF$2,Inputs!$K$4:$AJ$4,0))))=0,NA(),SUMPRODUCT((Inputs!$A$5:$A$110=$B30)*Inputs!$B$5:$B$110*(((Inputs!$G$5:$G$110="moeda")+(Inputs!$G$5:$G$110="acoes"))*Inputs!$B$1+((Inputs!$G$5:$G$110&lt;&gt;"moeda")*(Inputs!$G$5:$G$110&lt;&gt;"acoes")))*INDEX(Inputs!$K$5:$AJ$110,0,MATCH(AF$2,Inputs!$K$4:$AJ$4,0)))+SUMPRODUCT((Inputs!$C$5:$C$110=$B30)*Inputs!$D$5:$D$110*(((Inputs!$G$5:$G$110="moeda")+(Inputs!$G$5:$G$110="acoes"))*Inputs!$B$1+((Inputs!$G$5:$G$110&lt;&gt;"moeda")*(Inputs!$G$5:$G$110&lt;&gt;"acoes")))*INDEX(Inputs!$K$5:$AJ$110,0,MATCH(AF$2,Inputs!$K$4:$AJ$4,0)))+SUMPRODUCT((Inputs!$E$5:$E$110=$B30)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0" s="3" t="e">
        <f>AF30</f>
        <v>#N/A</v>
      </c>
      <c r="AH30" s="6">
        <f>IF(ISNA(MATCH(AH$2,Inputs!$K$4:$AJ$4,0)),NA(),IF(SUMPRODUCT((Inputs!$A$5:$A$110=$B30)*ISNUMBER(INDEX(Inputs!$K$5:$AJ$110,0,MATCH(AH$2,Inputs!$K$4:$AJ$4,0))))+SUMPRODUCT((Inputs!$C$5:$C$110=$B30)*ISNUMBER(INDEX(Inputs!$K$5:$AJ$110,0,MATCH(AH$2,Inputs!$K$4:$AJ$4,0))))+SUMPRODUCT((Inputs!$E$5:$E$110=$B30)*ISNUMBER(INDEX(Inputs!$K$5:$AJ$110,0,MATCH(AH$2,Inputs!$K$4:$AJ$4,0))))=0,NA(),SUMPRODUCT((Inputs!$A$5:$A$110=$B30)*Inputs!$B$5:$B$110*(((Inputs!$G$5:$G$110="moeda")+(Inputs!$G$5:$G$110="acoes"))*Inputs!$B$1+((Inputs!$G$5:$G$110&lt;&gt;"moeda")*(Inputs!$G$5:$G$110&lt;&gt;"acoes")))*INDEX(Inputs!$K$5:$AJ$110,0,MATCH(AH$2,Inputs!$K$4:$AJ$4,0)))+SUMPRODUCT((Inputs!$C$5:$C$110=$B30)*Inputs!$D$5:$D$110*(((Inputs!$G$5:$G$110="moeda")+(Inputs!$G$5:$G$110="acoes"))*Inputs!$B$1+((Inputs!$G$5:$G$110&lt;&gt;"moeda")*(Inputs!$G$5:$G$110&lt;&gt;"acoes")))*INDEX(Inputs!$K$5:$AJ$110,0,MATCH(AH$2,Inputs!$K$4:$AJ$4,0)))+SUMPRODUCT((Inputs!$E$5:$E$110=$B30)*Inputs!$F$5:$F$110*(((Inputs!$G$5:$G$110="moeda")+(Inputs!$G$5:$G$110="acoes"))*Inputs!$B$1+((Inputs!$G$5:$G$110&lt;&gt;"moeda")*(Inputs!$G$5:$G$110&lt;&gt;"acoes")))*INDEX(Inputs!$K$5:$AJ$110,0,MATCH(AH$2,Inputs!$K$4:$AJ$4,0)))))</f>
        <v>0</v>
      </c>
      <c r="AI30" s="6">
        <f>IF(ISNA(MATCH(AI$2,Inputs!$K$4:$AJ$4,0)),NA(),IF(SUMPRODUCT((Inputs!$A$5:$A$110=$B30)*ISNUMBER(INDEX(Inputs!$K$5:$AJ$110,0,MATCH(AI$2,Inputs!$K$4:$AJ$4,0))))+SUMPRODUCT((Inputs!$C$5:$C$110=$B30)*ISNUMBER(INDEX(Inputs!$K$5:$AJ$110,0,MATCH(AI$2,Inputs!$K$4:$AJ$4,0))))+SUMPRODUCT((Inputs!$E$5:$E$110=$B30)*ISNUMBER(INDEX(Inputs!$K$5:$AJ$110,0,MATCH(AI$2,Inputs!$K$4:$AJ$4,0))))=0,NA(),SUMPRODUCT((Inputs!$A$5:$A$110=$B30)*Inputs!$B$5:$B$110*(((Inputs!$G$5:$G$110="moeda")+(Inputs!$G$5:$G$110="acoes"))*Inputs!$B$1+((Inputs!$G$5:$G$110&lt;&gt;"moeda")*(Inputs!$G$5:$G$110&lt;&gt;"acoes")))*INDEX(Inputs!$K$5:$AJ$110,0,MATCH(AI$2,Inputs!$K$4:$AJ$4,0)))+SUMPRODUCT((Inputs!$C$5:$C$110=$B30)*Inputs!$D$5:$D$110*(((Inputs!$G$5:$G$110="moeda")+(Inputs!$G$5:$G$110="acoes"))*Inputs!$B$1+((Inputs!$G$5:$G$110&lt;&gt;"moeda")*(Inputs!$G$5:$G$110&lt;&gt;"acoes")))*INDEX(Inputs!$K$5:$AJ$110,0,MATCH(AI$2,Inputs!$K$4:$AJ$4,0)))+SUMPRODUCT((Inputs!$E$5:$E$110=$B30)*Inputs!$F$5:$F$110*(((Inputs!$G$5:$G$110="moeda")+(Inputs!$G$5:$G$110="acoes"))*Inputs!$B$1+((Inputs!$G$5:$G$110&lt;&gt;"moeda")*(Inputs!$G$5:$G$110&lt;&gt;"acoes")))*INDEX(Inputs!$K$5:$AJ$110,0,MATCH(AI$2,Inputs!$K$4:$AJ$4,0)))))</f>
        <v>0</v>
      </c>
      <c r="AJ30" s="6">
        <f>IF(ISNA(MATCH(AJ$2,Inputs!$K$4:$AJ$4,0)),NA(),IF(SUMPRODUCT((Inputs!$A$5:$A$110=$B30)*ISNUMBER(INDEX(Inputs!$K$5:$AJ$110,0,MATCH(AJ$2,Inputs!$K$4:$AJ$4,0))))+SUMPRODUCT((Inputs!$C$5:$C$110=$B30)*ISNUMBER(INDEX(Inputs!$K$5:$AJ$110,0,MATCH(AJ$2,Inputs!$K$4:$AJ$4,0))))+SUMPRODUCT((Inputs!$E$5:$E$110=$B30)*ISNUMBER(INDEX(Inputs!$K$5:$AJ$110,0,MATCH(AJ$2,Inputs!$K$4:$AJ$4,0))))=0,NA(),SUMPRODUCT((Inputs!$A$5:$A$110=$B30)*Inputs!$B$5:$B$110*(((Inputs!$G$5:$G$110="moeda")+(Inputs!$G$5:$G$110="acoes"))*Inputs!$B$1+((Inputs!$G$5:$G$110&lt;&gt;"moeda")*(Inputs!$G$5:$G$110&lt;&gt;"acoes")))*INDEX(Inputs!$K$5:$AJ$110,0,MATCH(AJ$2,Inputs!$K$4:$AJ$4,0)))+SUMPRODUCT((Inputs!$C$5:$C$110=$B30)*Inputs!$D$5:$D$110*(((Inputs!$G$5:$G$110="moeda")+(Inputs!$G$5:$G$110="acoes"))*Inputs!$B$1+((Inputs!$G$5:$G$110&lt;&gt;"moeda")*(Inputs!$G$5:$G$110&lt;&gt;"acoes")))*INDEX(Inputs!$K$5:$AJ$110,0,MATCH(AJ$2,Inputs!$K$4:$AJ$4,0)))+SUMPRODUCT((Inputs!$E$5:$E$110=$B30)*Inputs!$F$5:$F$110*(((Inputs!$G$5:$G$110="moeda")+(Inputs!$G$5:$G$110="acoes"))*Inputs!$B$1+((Inputs!$G$5:$G$110&lt;&gt;"moeda")*(Inputs!$G$5:$G$110&lt;&gt;"acoes")))*INDEX(Inputs!$K$5:$AJ$110,0,MATCH(AJ$2,Inputs!$K$4:$AJ$4,0)))))</f>
        <v>0</v>
      </c>
      <c r="AK30" s="6">
        <f>IF(ISNA(MATCH(AK$2,Inputs!$K$4:$AJ$4,0)),NA(),IF(SUMPRODUCT((Inputs!$A$5:$A$110=$B30)*ISNUMBER(INDEX(Inputs!$K$5:$AJ$110,0,MATCH(AK$2,Inputs!$K$4:$AJ$4,0))))+SUMPRODUCT((Inputs!$C$5:$C$110=$B30)*ISNUMBER(INDEX(Inputs!$K$5:$AJ$110,0,MATCH(AK$2,Inputs!$K$4:$AJ$4,0))))+SUMPRODUCT((Inputs!$E$5:$E$110=$B30)*ISNUMBER(INDEX(Inputs!$K$5:$AJ$110,0,MATCH(AK$2,Inputs!$K$4:$AJ$4,0))))=0,NA(),SUMPRODUCT((Inputs!$A$5:$A$110=$B30)*Inputs!$B$5:$B$110*(((Inputs!$G$5:$G$110="moeda")+(Inputs!$G$5:$G$110="acoes"))*Inputs!$B$1+((Inputs!$G$5:$G$110&lt;&gt;"moeda")*(Inputs!$G$5:$G$110&lt;&gt;"acoes")))*INDEX(Inputs!$K$5:$AJ$110,0,MATCH(AK$2,Inputs!$K$4:$AJ$4,0)))+SUMPRODUCT((Inputs!$C$5:$C$110=$B30)*Inputs!$D$5:$D$110*(((Inputs!$G$5:$G$110="moeda")+(Inputs!$G$5:$G$110="acoes"))*Inputs!$B$1+((Inputs!$G$5:$G$110&lt;&gt;"moeda")*(Inputs!$G$5:$G$110&lt;&gt;"acoes")))*INDEX(Inputs!$K$5:$AJ$110,0,MATCH(AK$2,Inputs!$K$4:$AJ$4,0)))+SUMPRODUCT((Inputs!$E$5:$E$110=$B30)*Inputs!$F$5:$F$110*(((Inputs!$G$5:$G$110="moeda")+(Inputs!$G$5:$G$110="acoes"))*Inputs!$B$1+((Inputs!$G$5:$G$110&lt;&gt;"moeda")*(Inputs!$G$5:$G$110&lt;&gt;"acoes")))*INDEX(Inputs!$K$5:$AJ$110,0,MATCH(AK$2,Inputs!$K$4:$AJ$4,0)))))</f>
        <v>0</v>
      </c>
      <c r="AL30" s="3">
        <f>AK30</f>
        <v>0</v>
      </c>
    </row>
    <row r="31">
      <c r="B31" s="46" t="n">
        <v>26</v>
      </c>
      <c r="C31" s="26" t="inlineStr">
        <is>
          <t>Other current liabilities (non-debt)</t>
        </is>
      </c>
      <c r="D31" s="6">
        <f>IF(ISNA(MATCH(D$2,Inputs!$K$4:$AJ$4,0)),NA(),IF(SUMPRODUCT((Inputs!$A$5:$A$110=$B31)*ISNUMBER(INDEX(Inputs!$K$5:$AJ$110,0,MATCH(D$2,Inputs!$K$4:$AJ$4,0))))+SUMPRODUCT((Inputs!$C$5:$C$110=$B31)*ISNUMBER(INDEX(Inputs!$K$5:$AJ$110,0,MATCH(D$2,Inputs!$K$4:$AJ$4,0))))+SUMPRODUCT((Inputs!$E$5:$E$110=$B31)*ISNUMBER(INDEX(Inputs!$K$5:$AJ$110,0,MATCH(D$2,Inputs!$K$4:$AJ$4,0))))=0,NA(),SUMPRODUCT((Inputs!$A$5:$A$110=$B31)*Inputs!$B$5:$B$110*(((Inputs!$G$5:$G$110="moeda")+(Inputs!$G$5:$G$110="acoes"))*Inputs!$B$1+((Inputs!$G$5:$G$110&lt;&gt;"moeda")*(Inputs!$G$5:$G$110&lt;&gt;"acoes")))*INDEX(Inputs!$K$5:$AJ$110,0,MATCH(D$2,Inputs!$K$4:$AJ$4,0)))+SUMPRODUCT((Inputs!$C$5:$C$110=$B31)*Inputs!$D$5:$D$110*(((Inputs!$G$5:$G$110="moeda")+(Inputs!$G$5:$G$110="acoes"))*Inputs!$B$1+((Inputs!$G$5:$G$110&lt;&gt;"moeda")*(Inputs!$G$5:$G$110&lt;&gt;"acoes")))*INDEX(Inputs!$K$5:$AJ$110,0,MATCH(D$2,Inputs!$K$4:$AJ$4,0)))+SUMPRODUCT((Inputs!$E$5:$E$110=$B31)*Inputs!$F$5:$F$110*(((Inputs!$G$5:$G$110="moeda")+(Inputs!$G$5:$G$110="acoes"))*Inputs!$B$1+((Inputs!$G$5:$G$110&lt;&gt;"moeda")*(Inputs!$G$5:$G$110&lt;&gt;"acoes")))*INDEX(Inputs!$K$5:$AJ$110,0,MATCH(D$2,Inputs!$K$4:$AJ$4,0)))))</f>
        <v>4689</v>
      </c>
      <c r="E31" s="6">
        <f>IF(ISNA(MATCH(E$2,Inputs!$K$4:$AJ$4,0)),NA(),IF(SUMPRODUCT((Inputs!$A$5:$A$110=$B31)*ISNUMBER(INDEX(Inputs!$K$5:$AJ$110,0,MATCH(E$2,Inputs!$K$4:$AJ$4,0))))+SUMPRODUCT((Inputs!$C$5:$C$110=$B31)*ISNUMBER(INDEX(Inputs!$K$5:$AJ$110,0,MATCH(E$2,Inputs!$K$4:$AJ$4,0))))+SUMPRODUCT((Inputs!$E$5:$E$110=$B31)*ISNUMBER(INDEX(Inputs!$K$5:$AJ$110,0,MATCH(E$2,Inputs!$K$4:$AJ$4,0))))=0,NA(),SUMPRODUCT((Inputs!$A$5:$A$110=$B31)*Inputs!$B$5:$B$110*(((Inputs!$G$5:$G$110="moeda")+(Inputs!$G$5:$G$110="acoes"))*Inputs!$B$1+((Inputs!$G$5:$G$110&lt;&gt;"moeda")*(Inputs!$G$5:$G$110&lt;&gt;"acoes")))*INDEX(Inputs!$K$5:$AJ$110,0,MATCH(E$2,Inputs!$K$4:$AJ$4,0)))+SUMPRODUCT((Inputs!$C$5:$C$110=$B31)*Inputs!$D$5:$D$110*(((Inputs!$G$5:$G$110="moeda")+(Inputs!$G$5:$G$110="acoes"))*Inputs!$B$1+((Inputs!$G$5:$G$110&lt;&gt;"moeda")*(Inputs!$G$5:$G$110&lt;&gt;"acoes")))*INDEX(Inputs!$K$5:$AJ$110,0,MATCH(E$2,Inputs!$K$4:$AJ$4,0)))+SUMPRODUCT((Inputs!$E$5:$E$110=$B31)*Inputs!$F$5:$F$110*(((Inputs!$G$5:$G$110="moeda")+(Inputs!$G$5:$G$110="acoes"))*Inputs!$B$1+((Inputs!$G$5:$G$110&lt;&gt;"moeda")*(Inputs!$G$5:$G$110&lt;&gt;"acoes")))*INDEX(Inputs!$K$5:$AJ$110,0,MATCH(E$2,Inputs!$K$4:$AJ$4,0)))))</f>
        <v>4361</v>
      </c>
      <c r="F31" s="6">
        <f>IF(ISNA(MATCH(F$2,Inputs!$K$4:$AJ$4,0)),NA(),IF(SUMPRODUCT((Inputs!$A$5:$A$110=$B31)*ISNUMBER(INDEX(Inputs!$K$5:$AJ$110,0,MATCH(F$2,Inputs!$K$4:$AJ$4,0))))+SUMPRODUCT((Inputs!$C$5:$C$110=$B31)*ISNUMBER(INDEX(Inputs!$K$5:$AJ$110,0,MATCH(F$2,Inputs!$K$4:$AJ$4,0))))+SUMPRODUCT((Inputs!$E$5:$E$110=$B31)*ISNUMBER(INDEX(Inputs!$K$5:$AJ$110,0,MATCH(F$2,Inputs!$K$4:$AJ$4,0))))=0,NA(),SUMPRODUCT((Inputs!$A$5:$A$110=$B31)*Inputs!$B$5:$B$110*(((Inputs!$G$5:$G$110="moeda")+(Inputs!$G$5:$G$110="acoes"))*Inputs!$B$1+((Inputs!$G$5:$G$110&lt;&gt;"moeda")*(Inputs!$G$5:$G$110&lt;&gt;"acoes")))*INDEX(Inputs!$K$5:$AJ$110,0,MATCH(F$2,Inputs!$K$4:$AJ$4,0)))+SUMPRODUCT((Inputs!$C$5:$C$110=$B31)*Inputs!$D$5:$D$110*(((Inputs!$G$5:$G$110="moeda")+(Inputs!$G$5:$G$110="acoes"))*Inputs!$B$1+((Inputs!$G$5:$G$110&lt;&gt;"moeda")*(Inputs!$G$5:$G$110&lt;&gt;"acoes")))*INDEX(Inputs!$K$5:$AJ$110,0,MATCH(F$2,Inputs!$K$4:$AJ$4,0)))+SUMPRODUCT((Inputs!$E$5:$E$110=$B31)*Inputs!$F$5:$F$110*(((Inputs!$G$5:$G$110="moeda")+(Inputs!$G$5:$G$110="acoes"))*Inputs!$B$1+((Inputs!$G$5:$G$110&lt;&gt;"moeda")*(Inputs!$G$5:$G$110&lt;&gt;"acoes")))*INDEX(Inputs!$K$5:$AJ$110,0,MATCH(F$2,Inputs!$K$4:$AJ$4,0)))))</f>
        <v>3839</v>
      </c>
      <c r="G31" s="6">
        <f>IF(ISNA(MATCH(G$2,Inputs!$K$4:$AJ$4,0)),NA(),IF(SUMPRODUCT((Inputs!$A$5:$A$110=$B31)*ISNUMBER(INDEX(Inputs!$K$5:$AJ$110,0,MATCH(G$2,Inputs!$K$4:$AJ$4,0))))+SUMPRODUCT((Inputs!$C$5:$C$110=$B31)*ISNUMBER(INDEX(Inputs!$K$5:$AJ$110,0,MATCH(G$2,Inputs!$K$4:$AJ$4,0))))+SUMPRODUCT((Inputs!$E$5:$E$110=$B31)*ISNUMBER(INDEX(Inputs!$K$5:$AJ$110,0,MATCH(G$2,Inputs!$K$4:$AJ$4,0))))=0,NA(),SUMPRODUCT((Inputs!$A$5:$A$110=$B31)*Inputs!$B$5:$B$110*(((Inputs!$G$5:$G$110="moeda")+(Inputs!$G$5:$G$110="acoes"))*Inputs!$B$1+((Inputs!$G$5:$G$110&lt;&gt;"moeda")*(Inputs!$G$5:$G$110&lt;&gt;"acoes")))*INDEX(Inputs!$K$5:$AJ$110,0,MATCH(G$2,Inputs!$K$4:$AJ$4,0)))+SUMPRODUCT((Inputs!$C$5:$C$110=$B31)*Inputs!$D$5:$D$110*(((Inputs!$G$5:$G$110="moeda")+(Inputs!$G$5:$G$110="acoes"))*Inputs!$B$1+((Inputs!$G$5:$G$110&lt;&gt;"moeda")*(Inputs!$G$5:$G$110&lt;&gt;"acoes")))*INDEX(Inputs!$K$5:$AJ$110,0,MATCH(G$2,Inputs!$K$4:$AJ$4,0)))+SUMPRODUCT((Inputs!$E$5:$E$110=$B31)*Inputs!$F$5:$F$110*(((Inputs!$G$5:$G$110="moeda")+(Inputs!$G$5:$G$110="acoes"))*Inputs!$B$1+((Inputs!$G$5:$G$110&lt;&gt;"moeda")*(Inputs!$G$5:$G$110&lt;&gt;"acoes")))*INDEX(Inputs!$K$5:$AJ$110,0,MATCH(G$2,Inputs!$K$4:$AJ$4,0)))))</f>
        <v>4378</v>
      </c>
      <c r="H31" s="3">
        <f>G31</f>
        <v>4378</v>
      </c>
      <c r="I31" s="6">
        <f>IF(ISNA(MATCH(I$2,Inputs!$K$4:$AJ$4,0)),NA(),IF(SUMPRODUCT((Inputs!$A$5:$A$110=$B31)*ISNUMBER(INDEX(Inputs!$K$5:$AJ$110,0,MATCH(I$2,Inputs!$K$4:$AJ$4,0))))+SUMPRODUCT((Inputs!$C$5:$C$110=$B31)*ISNUMBER(INDEX(Inputs!$K$5:$AJ$110,0,MATCH(I$2,Inputs!$K$4:$AJ$4,0))))+SUMPRODUCT((Inputs!$E$5:$E$110=$B31)*ISNUMBER(INDEX(Inputs!$K$5:$AJ$110,0,MATCH(I$2,Inputs!$K$4:$AJ$4,0))))=0,NA(),SUMPRODUCT((Inputs!$A$5:$A$110=$B31)*Inputs!$B$5:$B$110*(((Inputs!$G$5:$G$110="moeda")+(Inputs!$G$5:$G$110="acoes"))*Inputs!$B$1+((Inputs!$G$5:$G$110&lt;&gt;"moeda")*(Inputs!$G$5:$G$110&lt;&gt;"acoes")))*INDEX(Inputs!$K$5:$AJ$110,0,MATCH(I$2,Inputs!$K$4:$AJ$4,0)))+SUMPRODUCT((Inputs!$C$5:$C$110=$B31)*Inputs!$D$5:$D$110*(((Inputs!$G$5:$G$110="moeda")+(Inputs!$G$5:$G$110="acoes"))*Inputs!$B$1+((Inputs!$G$5:$G$110&lt;&gt;"moeda")*(Inputs!$G$5:$G$110&lt;&gt;"acoes")))*INDEX(Inputs!$K$5:$AJ$110,0,MATCH(I$2,Inputs!$K$4:$AJ$4,0)))+SUMPRODUCT((Inputs!$E$5:$E$110=$B31)*Inputs!$F$5:$F$110*(((Inputs!$G$5:$G$110="moeda")+(Inputs!$G$5:$G$110="acoes"))*Inputs!$B$1+((Inputs!$G$5:$G$110&lt;&gt;"moeda")*(Inputs!$G$5:$G$110&lt;&gt;"acoes")))*INDEX(Inputs!$K$5:$AJ$110,0,MATCH(I$2,Inputs!$K$4:$AJ$4,0)))))</f>
        <v>4788</v>
      </c>
      <c r="J31" s="6">
        <f>IF(ISNA(MATCH(J$2,Inputs!$K$4:$AJ$4,0)),NA(),IF(SUMPRODUCT((Inputs!$A$5:$A$110=$B31)*ISNUMBER(INDEX(Inputs!$K$5:$AJ$110,0,MATCH(J$2,Inputs!$K$4:$AJ$4,0))))+SUMPRODUCT((Inputs!$C$5:$C$110=$B31)*ISNUMBER(INDEX(Inputs!$K$5:$AJ$110,0,MATCH(J$2,Inputs!$K$4:$AJ$4,0))))+SUMPRODUCT((Inputs!$E$5:$E$110=$B31)*ISNUMBER(INDEX(Inputs!$K$5:$AJ$110,0,MATCH(J$2,Inputs!$K$4:$AJ$4,0))))=0,NA(),SUMPRODUCT((Inputs!$A$5:$A$110=$B31)*Inputs!$B$5:$B$110*(((Inputs!$G$5:$G$110="moeda")+(Inputs!$G$5:$G$110="acoes"))*Inputs!$B$1+((Inputs!$G$5:$G$110&lt;&gt;"moeda")*(Inputs!$G$5:$G$110&lt;&gt;"acoes")))*INDEX(Inputs!$K$5:$AJ$110,0,MATCH(J$2,Inputs!$K$4:$AJ$4,0)))+SUMPRODUCT((Inputs!$C$5:$C$110=$B31)*Inputs!$D$5:$D$110*(((Inputs!$G$5:$G$110="moeda")+(Inputs!$G$5:$G$110="acoes"))*Inputs!$B$1+((Inputs!$G$5:$G$110&lt;&gt;"moeda")*(Inputs!$G$5:$G$110&lt;&gt;"acoes")))*INDEX(Inputs!$K$5:$AJ$110,0,MATCH(J$2,Inputs!$K$4:$AJ$4,0)))+SUMPRODUCT((Inputs!$E$5:$E$110=$B31)*Inputs!$F$5:$F$110*(((Inputs!$G$5:$G$110="moeda")+(Inputs!$G$5:$G$110="acoes"))*Inputs!$B$1+((Inputs!$G$5:$G$110&lt;&gt;"moeda")*(Inputs!$G$5:$G$110&lt;&gt;"acoes")))*INDEX(Inputs!$K$5:$AJ$110,0,MATCH(J$2,Inputs!$K$4:$AJ$4,0)))))</f>
        <v>4607</v>
      </c>
      <c r="K31" s="6">
        <f>IF(ISNA(MATCH(K$2,Inputs!$K$4:$AJ$4,0)),NA(),IF(SUMPRODUCT((Inputs!$A$5:$A$110=$B31)*ISNUMBER(INDEX(Inputs!$K$5:$AJ$110,0,MATCH(K$2,Inputs!$K$4:$AJ$4,0))))+SUMPRODUCT((Inputs!$C$5:$C$110=$B31)*ISNUMBER(INDEX(Inputs!$K$5:$AJ$110,0,MATCH(K$2,Inputs!$K$4:$AJ$4,0))))+SUMPRODUCT((Inputs!$E$5:$E$110=$B31)*ISNUMBER(INDEX(Inputs!$K$5:$AJ$110,0,MATCH(K$2,Inputs!$K$4:$AJ$4,0))))=0,NA(),SUMPRODUCT((Inputs!$A$5:$A$110=$B31)*Inputs!$B$5:$B$110*(((Inputs!$G$5:$G$110="moeda")+(Inputs!$G$5:$G$110="acoes"))*Inputs!$B$1+((Inputs!$G$5:$G$110&lt;&gt;"moeda")*(Inputs!$G$5:$G$110&lt;&gt;"acoes")))*INDEX(Inputs!$K$5:$AJ$110,0,MATCH(K$2,Inputs!$K$4:$AJ$4,0)))+SUMPRODUCT((Inputs!$C$5:$C$110=$B31)*Inputs!$D$5:$D$110*(((Inputs!$G$5:$G$110="moeda")+(Inputs!$G$5:$G$110="acoes"))*Inputs!$B$1+((Inputs!$G$5:$G$110&lt;&gt;"moeda")*(Inputs!$G$5:$G$110&lt;&gt;"acoes")))*INDEX(Inputs!$K$5:$AJ$110,0,MATCH(K$2,Inputs!$K$4:$AJ$4,0)))+SUMPRODUCT((Inputs!$E$5:$E$110=$B31)*Inputs!$F$5:$F$110*(((Inputs!$G$5:$G$110="moeda")+(Inputs!$G$5:$G$110="acoes"))*Inputs!$B$1+((Inputs!$G$5:$G$110&lt;&gt;"moeda")*(Inputs!$G$5:$G$110&lt;&gt;"acoes")))*INDEX(Inputs!$K$5:$AJ$110,0,MATCH(K$2,Inputs!$K$4:$AJ$4,0)))))</f>
        <v>4412</v>
      </c>
      <c r="L31" s="6">
        <f>IF(ISNA(MATCH(L$2,Inputs!$K$4:$AJ$4,0)),NA(),IF(SUMPRODUCT((Inputs!$A$5:$A$110=$B31)*ISNUMBER(INDEX(Inputs!$K$5:$AJ$110,0,MATCH(L$2,Inputs!$K$4:$AJ$4,0))))+SUMPRODUCT((Inputs!$C$5:$C$110=$B31)*ISNUMBER(INDEX(Inputs!$K$5:$AJ$110,0,MATCH(L$2,Inputs!$K$4:$AJ$4,0))))+SUMPRODUCT((Inputs!$E$5:$E$110=$B31)*ISNUMBER(INDEX(Inputs!$K$5:$AJ$110,0,MATCH(L$2,Inputs!$K$4:$AJ$4,0))))=0,NA(),SUMPRODUCT((Inputs!$A$5:$A$110=$B31)*Inputs!$B$5:$B$110*(((Inputs!$G$5:$G$110="moeda")+(Inputs!$G$5:$G$110="acoes"))*Inputs!$B$1+((Inputs!$G$5:$G$110&lt;&gt;"moeda")*(Inputs!$G$5:$G$110&lt;&gt;"acoes")))*INDEX(Inputs!$K$5:$AJ$110,0,MATCH(L$2,Inputs!$K$4:$AJ$4,0)))+SUMPRODUCT((Inputs!$C$5:$C$110=$B31)*Inputs!$D$5:$D$110*(((Inputs!$G$5:$G$110="moeda")+(Inputs!$G$5:$G$110="acoes"))*Inputs!$B$1+((Inputs!$G$5:$G$110&lt;&gt;"moeda")*(Inputs!$G$5:$G$110&lt;&gt;"acoes")))*INDEX(Inputs!$K$5:$AJ$110,0,MATCH(L$2,Inputs!$K$4:$AJ$4,0)))+SUMPRODUCT((Inputs!$E$5:$E$110=$B31)*Inputs!$F$5:$F$110*(((Inputs!$G$5:$G$110="moeda")+(Inputs!$G$5:$G$110="acoes"))*Inputs!$B$1+((Inputs!$G$5:$G$110&lt;&gt;"moeda")*(Inputs!$G$5:$G$110&lt;&gt;"acoes")))*INDEX(Inputs!$K$5:$AJ$110,0,MATCH(L$2,Inputs!$K$4:$AJ$4,0)))))</f>
        <v>4909</v>
      </c>
      <c r="M31" s="3">
        <f>L31</f>
        <v>4909</v>
      </c>
      <c r="N31" s="6">
        <f>IF(ISNA(MATCH(N$2,Inputs!$K$4:$AJ$4,0)),NA(),IF(SUMPRODUCT((Inputs!$A$5:$A$110=$B31)*ISNUMBER(INDEX(Inputs!$K$5:$AJ$110,0,MATCH(N$2,Inputs!$K$4:$AJ$4,0))))+SUMPRODUCT((Inputs!$C$5:$C$110=$B31)*ISNUMBER(INDEX(Inputs!$K$5:$AJ$110,0,MATCH(N$2,Inputs!$K$4:$AJ$4,0))))+SUMPRODUCT((Inputs!$E$5:$E$110=$B31)*ISNUMBER(INDEX(Inputs!$K$5:$AJ$110,0,MATCH(N$2,Inputs!$K$4:$AJ$4,0))))=0,NA(),SUMPRODUCT((Inputs!$A$5:$A$110=$B31)*Inputs!$B$5:$B$110*(((Inputs!$G$5:$G$110="moeda")+(Inputs!$G$5:$G$110="acoes"))*Inputs!$B$1+((Inputs!$G$5:$G$110&lt;&gt;"moeda")*(Inputs!$G$5:$G$110&lt;&gt;"acoes")))*INDEX(Inputs!$K$5:$AJ$110,0,MATCH(N$2,Inputs!$K$4:$AJ$4,0)))+SUMPRODUCT((Inputs!$C$5:$C$110=$B31)*Inputs!$D$5:$D$110*(((Inputs!$G$5:$G$110="moeda")+(Inputs!$G$5:$G$110="acoes"))*Inputs!$B$1+((Inputs!$G$5:$G$110&lt;&gt;"moeda")*(Inputs!$G$5:$G$110&lt;&gt;"acoes")))*INDEX(Inputs!$K$5:$AJ$110,0,MATCH(N$2,Inputs!$K$4:$AJ$4,0)))+SUMPRODUCT((Inputs!$E$5:$E$110=$B31)*Inputs!$F$5:$F$110*(((Inputs!$G$5:$G$110="moeda")+(Inputs!$G$5:$G$110="acoes"))*Inputs!$B$1+((Inputs!$G$5:$G$110&lt;&gt;"moeda")*(Inputs!$G$5:$G$110&lt;&gt;"acoes")))*INDEX(Inputs!$K$5:$AJ$110,0,MATCH(N$2,Inputs!$K$4:$AJ$4,0)))))</f>
        <v>4929</v>
      </c>
      <c r="O31" s="6">
        <f>IF(ISNA(MATCH(O$2,Inputs!$K$4:$AJ$4,0)),NA(),IF(SUMPRODUCT((Inputs!$A$5:$A$110=$B31)*ISNUMBER(INDEX(Inputs!$K$5:$AJ$110,0,MATCH(O$2,Inputs!$K$4:$AJ$4,0))))+SUMPRODUCT((Inputs!$C$5:$C$110=$B31)*ISNUMBER(INDEX(Inputs!$K$5:$AJ$110,0,MATCH(O$2,Inputs!$K$4:$AJ$4,0))))+SUMPRODUCT((Inputs!$E$5:$E$110=$B31)*ISNUMBER(INDEX(Inputs!$K$5:$AJ$110,0,MATCH(O$2,Inputs!$K$4:$AJ$4,0))))=0,NA(),SUMPRODUCT((Inputs!$A$5:$A$110=$B31)*Inputs!$B$5:$B$110*(((Inputs!$G$5:$G$110="moeda")+(Inputs!$G$5:$G$110="acoes"))*Inputs!$B$1+((Inputs!$G$5:$G$110&lt;&gt;"moeda")*(Inputs!$G$5:$G$110&lt;&gt;"acoes")))*INDEX(Inputs!$K$5:$AJ$110,0,MATCH(O$2,Inputs!$K$4:$AJ$4,0)))+SUMPRODUCT((Inputs!$C$5:$C$110=$B31)*Inputs!$D$5:$D$110*(((Inputs!$G$5:$G$110="moeda")+(Inputs!$G$5:$G$110="acoes"))*Inputs!$B$1+((Inputs!$G$5:$G$110&lt;&gt;"moeda")*(Inputs!$G$5:$G$110&lt;&gt;"acoes")))*INDEX(Inputs!$K$5:$AJ$110,0,MATCH(O$2,Inputs!$K$4:$AJ$4,0)))+SUMPRODUCT((Inputs!$E$5:$E$110=$B31)*Inputs!$F$5:$F$110*(((Inputs!$G$5:$G$110="moeda")+(Inputs!$G$5:$G$110="acoes"))*Inputs!$B$1+((Inputs!$G$5:$G$110&lt;&gt;"moeda")*(Inputs!$G$5:$G$110&lt;&gt;"acoes")))*INDEX(Inputs!$K$5:$AJ$110,0,MATCH(O$2,Inputs!$K$4:$AJ$4,0)))))</f>
        <v>4403</v>
      </c>
      <c r="P31" s="6">
        <f>IF(ISNA(MATCH(P$2,Inputs!$K$4:$AJ$4,0)),NA(),IF(SUMPRODUCT((Inputs!$A$5:$A$110=$B31)*ISNUMBER(INDEX(Inputs!$K$5:$AJ$110,0,MATCH(P$2,Inputs!$K$4:$AJ$4,0))))+SUMPRODUCT((Inputs!$C$5:$C$110=$B31)*ISNUMBER(INDEX(Inputs!$K$5:$AJ$110,0,MATCH(P$2,Inputs!$K$4:$AJ$4,0))))+SUMPRODUCT((Inputs!$E$5:$E$110=$B31)*ISNUMBER(INDEX(Inputs!$K$5:$AJ$110,0,MATCH(P$2,Inputs!$K$4:$AJ$4,0))))=0,NA(),SUMPRODUCT((Inputs!$A$5:$A$110=$B31)*Inputs!$B$5:$B$110*(((Inputs!$G$5:$G$110="moeda")+(Inputs!$G$5:$G$110="acoes"))*Inputs!$B$1+((Inputs!$G$5:$G$110&lt;&gt;"moeda")*(Inputs!$G$5:$G$110&lt;&gt;"acoes")))*INDEX(Inputs!$K$5:$AJ$110,0,MATCH(P$2,Inputs!$K$4:$AJ$4,0)))+SUMPRODUCT((Inputs!$C$5:$C$110=$B31)*Inputs!$D$5:$D$110*(((Inputs!$G$5:$G$110="moeda")+(Inputs!$G$5:$G$110="acoes"))*Inputs!$B$1+((Inputs!$G$5:$G$110&lt;&gt;"moeda")*(Inputs!$G$5:$G$110&lt;&gt;"acoes")))*INDEX(Inputs!$K$5:$AJ$110,0,MATCH(P$2,Inputs!$K$4:$AJ$4,0)))+SUMPRODUCT((Inputs!$E$5:$E$110=$B31)*Inputs!$F$5:$F$110*(((Inputs!$G$5:$G$110="moeda")+(Inputs!$G$5:$G$110="acoes"))*Inputs!$B$1+((Inputs!$G$5:$G$110&lt;&gt;"moeda")*(Inputs!$G$5:$G$110&lt;&gt;"acoes")))*INDEX(Inputs!$K$5:$AJ$110,0,MATCH(P$2,Inputs!$K$4:$AJ$4,0)))))</f>
        <v>3652</v>
      </c>
      <c r="Q31" s="6">
        <f>IF(ISNA(MATCH(Q$2,Inputs!$K$4:$AJ$4,0)),NA(),IF(SUMPRODUCT((Inputs!$A$5:$A$110=$B31)*ISNUMBER(INDEX(Inputs!$K$5:$AJ$110,0,MATCH(Q$2,Inputs!$K$4:$AJ$4,0))))+SUMPRODUCT((Inputs!$C$5:$C$110=$B31)*ISNUMBER(INDEX(Inputs!$K$5:$AJ$110,0,MATCH(Q$2,Inputs!$K$4:$AJ$4,0))))+SUMPRODUCT((Inputs!$E$5:$E$110=$B31)*ISNUMBER(INDEX(Inputs!$K$5:$AJ$110,0,MATCH(Q$2,Inputs!$K$4:$AJ$4,0))))=0,NA(),SUMPRODUCT((Inputs!$A$5:$A$110=$B31)*Inputs!$B$5:$B$110*(((Inputs!$G$5:$G$110="moeda")+(Inputs!$G$5:$G$110="acoes"))*Inputs!$B$1+((Inputs!$G$5:$G$110&lt;&gt;"moeda")*(Inputs!$G$5:$G$110&lt;&gt;"acoes")))*INDEX(Inputs!$K$5:$AJ$110,0,MATCH(Q$2,Inputs!$K$4:$AJ$4,0)))+SUMPRODUCT((Inputs!$C$5:$C$110=$B31)*Inputs!$D$5:$D$110*(((Inputs!$G$5:$G$110="moeda")+(Inputs!$G$5:$G$110="acoes"))*Inputs!$B$1+((Inputs!$G$5:$G$110&lt;&gt;"moeda")*(Inputs!$G$5:$G$110&lt;&gt;"acoes")))*INDEX(Inputs!$K$5:$AJ$110,0,MATCH(Q$2,Inputs!$K$4:$AJ$4,0)))+SUMPRODUCT((Inputs!$E$5:$E$110=$B31)*Inputs!$F$5:$F$110*(((Inputs!$G$5:$G$110="moeda")+(Inputs!$G$5:$G$110="acoes"))*Inputs!$B$1+((Inputs!$G$5:$G$110&lt;&gt;"moeda")*(Inputs!$G$5:$G$110&lt;&gt;"acoes")))*INDEX(Inputs!$K$5:$AJ$110,0,MATCH(Q$2,Inputs!$K$4:$AJ$4,0)))))</f>
        <v>15312</v>
      </c>
      <c r="R31" s="3">
        <f>Q31</f>
        <v>15312</v>
      </c>
      <c r="S31" s="6">
        <f>IF(ISNA(MATCH(S$2,Inputs!$K$4:$AJ$4,0)),NA(),IF(SUMPRODUCT((Inputs!$A$5:$A$110=$B31)*ISNUMBER(INDEX(Inputs!$K$5:$AJ$110,0,MATCH(S$2,Inputs!$K$4:$AJ$4,0))))+SUMPRODUCT((Inputs!$C$5:$C$110=$B31)*ISNUMBER(INDEX(Inputs!$K$5:$AJ$110,0,MATCH(S$2,Inputs!$K$4:$AJ$4,0))))+SUMPRODUCT((Inputs!$E$5:$E$110=$B31)*ISNUMBER(INDEX(Inputs!$K$5:$AJ$110,0,MATCH(S$2,Inputs!$K$4:$AJ$4,0))))=0,NA(),SUMPRODUCT((Inputs!$A$5:$A$110=$B31)*Inputs!$B$5:$B$110*(((Inputs!$G$5:$G$110="moeda")+(Inputs!$G$5:$G$110="acoes"))*Inputs!$B$1+((Inputs!$G$5:$G$110&lt;&gt;"moeda")*(Inputs!$G$5:$G$110&lt;&gt;"acoes")))*INDEX(Inputs!$K$5:$AJ$110,0,MATCH(S$2,Inputs!$K$4:$AJ$4,0)))+SUMPRODUCT((Inputs!$C$5:$C$110=$B31)*Inputs!$D$5:$D$110*(((Inputs!$G$5:$G$110="moeda")+(Inputs!$G$5:$G$110="acoes"))*Inputs!$B$1+((Inputs!$G$5:$G$110&lt;&gt;"moeda")*(Inputs!$G$5:$G$110&lt;&gt;"acoes")))*INDEX(Inputs!$K$5:$AJ$110,0,MATCH(S$2,Inputs!$K$4:$AJ$4,0)))+SUMPRODUCT((Inputs!$E$5:$E$110=$B31)*Inputs!$F$5:$F$110*(((Inputs!$G$5:$G$110="moeda")+(Inputs!$G$5:$G$110="acoes"))*Inputs!$B$1+((Inputs!$G$5:$G$110&lt;&gt;"moeda")*(Inputs!$G$5:$G$110&lt;&gt;"acoes")))*INDEX(Inputs!$K$5:$AJ$110,0,MATCH(S$2,Inputs!$K$4:$AJ$4,0)))))</f>
        <v>14919</v>
      </c>
      <c r="T31" s="6">
        <f>IF(ISNA(MATCH(T$2,Inputs!$K$4:$AJ$4,0)),NA(),IF(SUMPRODUCT((Inputs!$A$5:$A$110=$B31)*ISNUMBER(INDEX(Inputs!$K$5:$AJ$110,0,MATCH(T$2,Inputs!$K$4:$AJ$4,0))))+SUMPRODUCT((Inputs!$C$5:$C$110=$B31)*ISNUMBER(INDEX(Inputs!$K$5:$AJ$110,0,MATCH(T$2,Inputs!$K$4:$AJ$4,0))))+SUMPRODUCT((Inputs!$E$5:$E$110=$B31)*ISNUMBER(INDEX(Inputs!$K$5:$AJ$110,0,MATCH(T$2,Inputs!$K$4:$AJ$4,0))))=0,NA(),SUMPRODUCT((Inputs!$A$5:$A$110=$B31)*Inputs!$B$5:$B$110*(((Inputs!$G$5:$G$110="moeda")+(Inputs!$G$5:$G$110="acoes"))*Inputs!$B$1+((Inputs!$G$5:$G$110&lt;&gt;"moeda")*(Inputs!$G$5:$G$110&lt;&gt;"acoes")))*INDEX(Inputs!$K$5:$AJ$110,0,MATCH(T$2,Inputs!$K$4:$AJ$4,0)))+SUMPRODUCT((Inputs!$C$5:$C$110=$B31)*Inputs!$D$5:$D$110*(((Inputs!$G$5:$G$110="moeda")+(Inputs!$G$5:$G$110="acoes"))*Inputs!$B$1+((Inputs!$G$5:$G$110&lt;&gt;"moeda")*(Inputs!$G$5:$G$110&lt;&gt;"acoes")))*INDEX(Inputs!$K$5:$AJ$110,0,MATCH(T$2,Inputs!$K$4:$AJ$4,0)))+SUMPRODUCT((Inputs!$E$5:$E$110=$B31)*Inputs!$F$5:$F$110*(((Inputs!$G$5:$G$110="moeda")+(Inputs!$G$5:$G$110="acoes"))*Inputs!$B$1+((Inputs!$G$5:$G$110&lt;&gt;"moeda")*(Inputs!$G$5:$G$110&lt;&gt;"acoes")))*INDEX(Inputs!$K$5:$AJ$110,0,MATCH(T$2,Inputs!$K$4:$AJ$4,0)))))</f>
        <v>12578</v>
      </c>
      <c r="U31" s="6">
        <f>IF(ISNA(MATCH(U$2,Inputs!$K$4:$AJ$4,0)),NA(),IF(SUMPRODUCT((Inputs!$A$5:$A$110=$B31)*ISNUMBER(INDEX(Inputs!$K$5:$AJ$110,0,MATCH(U$2,Inputs!$K$4:$AJ$4,0))))+SUMPRODUCT((Inputs!$C$5:$C$110=$B31)*ISNUMBER(INDEX(Inputs!$K$5:$AJ$110,0,MATCH(U$2,Inputs!$K$4:$AJ$4,0))))+SUMPRODUCT((Inputs!$E$5:$E$110=$B31)*ISNUMBER(INDEX(Inputs!$K$5:$AJ$110,0,MATCH(U$2,Inputs!$K$4:$AJ$4,0))))=0,NA(),SUMPRODUCT((Inputs!$A$5:$A$110=$B31)*Inputs!$B$5:$B$110*(((Inputs!$G$5:$G$110="moeda")+(Inputs!$G$5:$G$110="acoes"))*Inputs!$B$1+((Inputs!$G$5:$G$110&lt;&gt;"moeda")*(Inputs!$G$5:$G$110&lt;&gt;"acoes")))*INDEX(Inputs!$K$5:$AJ$110,0,MATCH(U$2,Inputs!$K$4:$AJ$4,0)))+SUMPRODUCT((Inputs!$C$5:$C$110=$B31)*Inputs!$D$5:$D$110*(((Inputs!$G$5:$G$110="moeda")+(Inputs!$G$5:$G$110="acoes"))*Inputs!$B$1+((Inputs!$G$5:$G$110&lt;&gt;"moeda")*(Inputs!$G$5:$G$110&lt;&gt;"acoes")))*INDEX(Inputs!$K$5:$AJ$110,0,MATCH(U$2,Inputs!$K$4:$AJ$4,0)))+SUMPRODUCT((Inputs!$E$5:$E$110=$B31)*Inputs!$F$5:$F$110*(((Inputs!$G$5:$G$110="moeda")+(Inputs!$G$5:$G$110="acoes"))*Inputs!$B$1+((Inputs!$G$5:$G$110&lt;&gt;"moeda")*(Inputs!$G$5:$G$110&lt;&gt;"acoes")))*INDEX(Inputs!$K$5:$AJ$110,0,MATCH(U$2,Inputs!$K$4:$AJ$4,0)))))</f>
        <v>11793</v>
      </c>
      <c r="V31" s="6">
        <f>IF(ISNA(MATCH(V$2,Inputs!$K$4:$AJ$4,0)),NA(),IF(SUMPRODUCT((Inputs!$A$5:$A$110=$B31)*ISNUMBER(INDEX(Inputs!$K$5:$AJ$110,0,MATCH(V$2,Inputs!$K$4:$AJ$4,0))))+SUMPRODUCT((Inputs!$C$5:$C$110=$B31)*ISNUMBER(INDEX(Inputs!$K$5:$AJ$110,0,MATCH(V$2,Inputs!$K$4:$AJ$4,0))))+SUMPRODUCT((Inputs!$E$5:$E$110=$B31)*ISNUMBER(INDEX(Inputs!$K$5:$AJ$110,0,MATCH(V$2,Inputs!$K$4:$AJ$4,0))))=0,NA(),SUMPRODUCT((Inputs!$A$5:$A$110=$B31)*Inputs!$B$5:$B$110*(((Inputs!$G$5:$G$110="moeda")+(Inputs!$G$5:$G$110="acoes"))*Inputs!$B$1+((Inputs!$G$5:$G$110&lt;&gt;"moeda")*(Inputs!$G$5:$G$110&lt;&gt;"acoes")))*INDEX(Inputs!$K$5:$AJ$110,0,MATCH(V$2,Inputs!$K$4:$AJ$4,0)))+SUMPRODUCT((Inputs!$C$5:$C$110=$B31)*Inputs!$D$5:$D$110*(((Inputs!$G$5:$G$110="moeda")+(Inputs!$G$5:$G$110="acoes"))*Inputs!$B$1+((Inputs!$G$5:$G$110&lt;&gt;"moeda")*(Inputs!$G$5:$G$110&lt;&gt;"acoes")))*INDEX(Inputs!$K$5:$AJ$110,0,MATCH(V$2,Inputs!$K$4:$AJ$4,0)))+SUMPRODUCT((Inputs!$E$5:$E$110=$B31)*Inputs!$F$5:$F$110*(((Inputs!$G$5:$G$110="moeda")+(Inputs!$G$5:$G$110="acoes"))*Inputs!$B$1+((Inputs!$G$5:$G$110&lt;&gt;"moeda")*(Inputs!$G$5:$G$110&lt;&gt;"acoes")))*INDEX(Inputs!$K$5:$AJ$110,0,MATCH(V$2,Inputs!$K$4:$AJ$4,0)))))</f>
        <v>12430</v>
      </c>
      <c r="W31" s="3">
        <f>V31</f>
        <v>12430</v>
      </c>
      <c r="X31" s="6">
        <f>IF(ISNA(MATCH(X$2,Inputs!$K$4:$AJ$4,0)),NA(),IF(SUMPRODUCT((Inputs!$A$5:$A$110=$B31)*ISNUMBER(INDEX(Inputs!$K$5:$AJ$110,0,MATCH(X$2,Inputs!$K$4:$AJ$4,0))))+SUMPRODUCT((Inputs!$C$5:$C$110=$B31)*ISNUMBER(INDEX(Inputs!$K$5:$AJ$110,0,MATCH(X$2,Inputs!$K$4:$AJ$4,0))))+SUMPRODUCT((Inputs!$E$5:$E$110=$B31)*ISNUMBER(INDEX(Inputs!$K$5:$AJ$110,0,MATCH(X$2,Inputs!$K$4:$AJ$4,0))))=0,NA(),SUMPRODUCT((Inputs!$A$5:$A$110=$B31)*Inputs!$B$5:$B$110*(((Inputs!$G$5:$G$110="moeda")+(Inputs!$G$5:$G$110="acoes"))*Inputs!$B$1+((Inputs!$G$5:$G$110&lt;&gt;"moeda")*(Inputs!$G$5:$G$110&lt;&gt;"acoes")))*INDEX(Inputs!$K$5:$AJ$110,0,MATCH(X$2,Inputs!$K$4:$AJ$4,0)))+SUMPRODUCT((Inputs!$C$5:$C$110=$B31)*Inputs!$D$5:$D$110*(((Inputs!$G$5:$G$110="moeda")+(Inputs!$G$5:$G$110="acoes"))*Inputs!$B$1+((Inputs!$G$5:$G$110&lt;&gt;"moeda")*(Inputs!$G$5:$G$110&lt;&gt;"acoes")))*INDEX(Inputs!$K$5:$AJ$110,0,MATCH(X$2,Inputs!$K$4:$AJ$4,0)))+SUMPRODUCT((Inputs!$E$5:$E$110=$B31)*Inputs!$F$5:$F$110*(((Inputs!$G$5:$G$110="moeda")+(Inputs!$G$5:$G$110="acoes"))*Inputs!$B$1+((Inputs!$G$5:$G$110&lt;&gt;"moeda")*(Inputs!$G$5:$G$110&lt;&gt;"acoes")))*INDEX(Inputs!$K$5:$AJ$110,0,MATCH(X$2,Inputs!$K$4:$AJ$4,0)))))</f>
        <v>12503</v>
      </c>
      <c r="Y31" s="6">
        <f>IF(ISNA(MATCH(Y$2,Inputs!$K$4:$AJ$4,0)),NA(),IF(SUMPRODUCT((Inputs!$A$5:$A$110=$B31)*ISNUMBER(INDEX(Inputs!$K$5:$AJ$110,0,MATCH(Y$2,Inputs!$K$4:$AJ$4,0))))+SUMPRODUCT((Inputs!$C$5:$C$110=$B31)*ISNUMBER(INDEX(Inputs!$K$5:$AJ$110,0,MATCH(Y$2,Inputs!$K$4:$AJ$4,0))))+SUMPRODUCT((Inputs!$E$5:$E$110=$B31)*ISNUMBER(INDEX(Inputs!$K$5:$AJ$110,0,MATCH(Y$2,Inputs!$K$4:$AJ$4,0))))=0,NA(),SUMPRODUCT((Inputs!$A$5:$A$110=$B31)*Inputs!$B$5:$B$110*(((Inputs!$G$5:$G$110="moeda")+(Inputs!$G$5:$G$110="acoes"))*Inputs!$B$1+((Inputs!$G$5:$G$110&lt;&gt;"moeda")*(Inputs!$G$5:$G$110&lt;&gt;"acoes")))*INDEX(Inputs!$K$5:$AJ$110,0,MATCH(Y$2,Inputs!$K$4:$AJ$4,0)))+SUMPRODUCT((Inputs!$C$5:$C$110=$B31)*Inputs!$D$5:$D$110*(((Inputs!$G$5:$G$110="moeda")+(Inputs!$G$5:$G$110="acoes"))*Inputs!$B$1+((Inputs!$G$5:$G$110&lt;&gt;"moeda")*(Inputs!$G$5:$G$110&lt;&gt;"acoes")))*INDEX(Inputs!$K$5:$AJ$110,0,MATCH(Y$2,Inputs!$K$4:$AJ$4,0)))+SUMPRODUCT((Inputs!$E$5:$E$110=$B31)*Inputs!$F$5:$F$110*(((Inputs!$G$5:$G$110="moeda")+(Inputs!$G$5:$G$110="acoes"))*Inputs!$B$1+((Inputs!$G$5:$G$110&lt;&gt;"moeda")*(Inputs!$G$5:$G$110&lt;&gt;"acoes")))*INDEX(Inputs!$K$5:$AJ$110,0,MATCH(Y$2,Inputs!$K$4:$AJ$4,0)))))</f>
        <v>12154</v>
      </c>
      <c r="Z31" s="6">
        <f>IF(ISNA(MATCH(Z$2,Inputs!$K$4:$AJ$4,0)),NA(),IF(SUMPRODUCT((Inputs!$A$5:$A$110=$B31)*ISNUMBER(INDEX(Inputs!$K$5:$AJ$110,0,MATCH(Z$2,Inputs!$K$4:$AJ$4,0))))+SUMPRODUCT((Inputs!$C$5:$C$110=$B31)*ISNUMBER(INDEX(Inputs!$K$5:$AJ$110,0,MATCH(Z$2,Inputs!$K$4:$AJ$4,0))))+SUMPRODUCT((Inputs!$E$5:$E$110=$B31)*ISNUMBER(INDEX(Inputs!$K$5:$AJ$110,0,MATCH(Z$2,Inputs!$K$4:$AJ$4,0))))=0,NA(),SUMPRODUCT((Inputs!$A$5:$A$110=$B31)*Inputs!$B$5:$B$110*(((Inputs!$G$5:$G$110="moeda")+(Inputs!$G$5:$G$110="acoes"))*Inputs!$B$1+((Inputs!$G$5:$G$110&lt;&gt;"moeda")*(Inputs!$G$5:$G$110&lt;&gt;"acoes")))*INDEX(Inputs!$K$5:$AJ$110,0,MATCH(Z$2,Inputs!$K$4:$AJ$4,0)))+SUMPRODUCT((Inputs!$C$5:$C$110=$B31)*Inputs!$D$5:$D$110*(((Inputs!$G$5:$G$110="moeda")+(Inputs!$G$5:$G$110="acoes"))*Inputs!$B$1+((Inputs!$G$5:$G$110&lt;&gt;"moeda")*(Inputs!$G$5:$G$110&lt;&gt;"acoes")))*INDEX(Inputs!$K$5:$AJ$110,0,MATCH(Z$2,Inputs!$K$4:$AJ$4,0)))+SUMPRODUCT((Inputs!$E$5:$E$110=$B31)*Inputs!$F$5:$F$110*(((Inputs!$G$5:$G$110="moeda")+(Inputs!$G$5:$G$110="acoes"))*Inputs!$B$1+((Inputs!$G$5:$G$110&lt;&gt;"moeda")*(Inputs!$G$5:$G$110&lt;&gt;"acoes")))*INDEX(Inputs!$K$5:$AJ$110,0,MATCH(Z$2,Inputs!$K$4:$AJ$4,0)))))</f>
        <v>11673</v>
      </c>
      <c r="AA31" s="6">
        <f>IF(ISNA(MATCH(AA$2,Inputs!$K$4:$AJ$4,0)),NA(),IF(SUMPRODUCT((Inputs!$A$5:$A$110=$B31)*ISNUMBER(INDEX(Inputs!$K$5:$AJ$110,0,MATCH(AA$2,Inputs!$K$4:$AJ$4,0))))+SUMPRODUCT((Inputs!$C$5:$C$110=$B31)*ISNUMBER(INDEX(Inputs!$K$5:$AJ$110,0,MATCH(AA$2,Inputs!$K$4:$AJ$4,0))))+SUMPRODUCT((Inputs!$E$5:$E$110=$B31)*ISNUMBER(INDEX(Inputs!$K$5:$AJ$110,0,MATCH(AA$2,Inputs!$K$4:$AJ$4,0))))=0,NA(),SUMPRODUCT((Inputs!$A$5:$A$110=$B31)*Inputs!$B$5:$B$110*(((Inputs!$G$5:$G$110="moeda")+(Inputs!$G$5:$G$110="acoes"))*Inputs!$B$1+((Inputs!$G$5:$G$110&lt;&gt;"moeda")*(Inputs!$G$5:$G$110&lt;&gt;"acoes")))*INDEX(Inputs!$K$5:$AJ$110,0,MATCH(AA$2,Inputs!$K$4:$AJ$4,0)))+SUMPRODUCT((Inputs!$C$5:$C$110=$B31)*Inputs!$D$5:$D$110*(((Inputs!$G$5:$G$110="moeda")+(Inputs!$G$5:$G$110="acoes"))*Inputs!$B$1+((Inputs!$G$5:$G$110&lt;&gt;"moeda")*(Inputs!$G$5:$G$110&lt;&gt;"acoes")))*INDEX(Inputs!$K$5:$AJ$110,0,MATCH(AA$2,Inputs!$K$4:$AJ$4,0)))+SUMPRODUCT((Inputs!$E$5:$E$110=$B31)*Inputs!$F$5:$F$110*(((Inputs!$G$5:$G$110="moeda")+(Inputs!$G$5:$G$110="acoes"))*Inputs!$B$1+((Inputs!$G$5:$G$110&lt;&gt;"moeda")*(Inputs!$G$5:$G$110&lt;&gt;"acoes")))*INDEX(Inputs!$K$5:$AJ$110,0,MATCH(AA$2,Inputs!$K$4:$AJ$4,0)))))</f>
        <v>11631</v>
      </c>
      <c r="AB31" s="3">
        <f>AA31</f>
        <v>11631</v>
      </c>
      <c r="AC31" s="6">
        <f>IF(ISNA(MATCH(AC$2,Inputs!$K$4:$AJ$4,0)),NA(),IF(SUMPRODUCT((Inputs!$A$5:$A$110=$B31)*ISNUMBER(INDEX(Inputs!$K$5:$AJ$110,0,MATCH(AC$2,Inputs!$K$4:$AJ$4,0))))+SUMPRODUCT((Inputs!$C$5:$C$110=$B31)*ISNUMBER(INDEX(Inputs!$K$5:$AJ$110,0,MATCH(AC$2,Inputs!$K$4:$AJ$4,0))))+SUMPRODUCT((Inputs!$E$5:$E$110=$B31)*ISNUMBER(INDEX(Inputs!$K$5:$AJ$110,0,MATCH(AC$2,Inputs!$K$4:$AJ$4,0))))=0,NA(),SUMPRODUCT((Inputs!$A$5:$A$110=$B31)*Inputs!$B$5:$B$110*(((Inputs!$G$5:$G$110="moeda")+(Inputs!$G$5:$G$110="acoes"))*Inputs!$B$1+((Inputs!$G$5:$G$110&lt;&gt;"moeda")*(Inputs!$G$5:$G$110&lt;&gt;"acoes")))*INDEX(Inputs!$K$5:$AJ$110,0,MATCH(AC$2,Inputs!$K$4:$AJ$4,0)))+SUMPRODUCT((Inputs!$C$5:$C$110=$B31)*Inputs!$D$5:$D$110*(((Inputs!$G$5:$G$110="moeda")+(Inputs!$G$5:$G$110="acoes"))*Inputs!$B$1+((Inputs!$G$5:$G$110&lt;&gt;"moeda")*(Inputs!$G$5:$G$110&lt;&gt;"acoes")))*INDEX(Inputs!$K$5:$AJ$110,0,MATCH(AC$2,Inputs!$K$4:$AJ$4,0)))+SUMPRODUCT((Inputs!$E$5:$E$110=$B31)*Inputs!$F$5:$F$110*(((Inputs!$G$5:$G$110="moeda")+(Inputs!$G$5:$G$110="acoes"))*Inputs!$B$1+((Inputs!$G$5:$G$110&lt;&gt;"moeda")*(Inputs!$G$5:$G$110&lt;&gt;"acoes")))*INDEX(Inputs!$K$5:$AJ$110,0,MATCH(AC$2,Inputs!$K$4:$AJ$4,0)))))</f>
        <v>13139</v>
      </c>
      <c r="AD31" s="6">
        <f>IF(ISNA(MATCH(AD$2,Inputs!$K$4:$AJ$4,0)),NA(),IF(SUMPRODUCT((Inputs!$A$5:$A$110=$B31)*ISNUMBER(INDEX(Inputs!$K$5:$AJ$110,0,MATCH(AD$2,Inputs!$K$4:$AJ$4,0))))+SUMPRODUCT((Inputs!$C$5:$C$110=$B31)*ISNUMBER(INDEX(Inputs!$K$5:$AJ$110,0,MATCH(AD$2,Inputs!$K$4:$AJ$4,0))))+SUMPRODUCT((Inputs!$E$5:$E$110=$B31)*ISNUMBER(INDEX(Inputs!$K$5:$AJ$110,0,MATCH(AD$2,Inputs!$K$4:$AJ$4,0))))=0,NA(),SUMPRODUCT((Inputs!$A$5:$A$110=$B31)*Inputs!$B$5:$B$110*(((Inputs!$G$5:$G$110="moeda")+(Inputs!$G$5:$G$110="acoes"))*Inputs!$B$1+((Inputs!$G$5:$G$110&lt;&gt;"moeda")*(Inputs!$G$5:$G$110&lt;&gt;"acoes")))*INDEX(Inputs!$K$5:$AJ$110,0,MATCH(AD$2,Inputs!$K$4:$AJ$4,0)))+SUMPRODUCT((Inputs!$C$5:$C$110=$B31)*Inputs!$D$5:$D$110*(((Inputs!$G$5:$G$110="moeda")+(Inputs!$G$5:$G$110="acoes"))*Inputs!$B$1+((Inputs!$G$5:$G$110&lt;&gt;"moeda")*(Inputs!$G$5:$G$110&lt;&gt;"acoes")))*INDEX(Inputs!$K$5:$AJ$110,0,MATCH(AD$2,Inputs!$K$4:$AJ$4,0)))+SUMPRODUCT((Inputs!$E$5:$E$110=$B31)*Inputs!$F$5:$F$110*(((Inputs!$G$5:$G$110="moeda")+(Inputs!$G$5:$G$110="acoes"))*Inputs!$B$1+((Inputs!$G$5:$G$110&lt;&gt;"moeda")*(Inputs!$G$5:$G$110&lt;&gt;"acoes")))*INDEX(Inputs!$K$5:$AJ$110,0,MATCH(AD$2,Inputs!$K$4:$AJ$4,0)))))</f>
        <v>13080</v>
      </c>
      <c r="AE31" s="6" t="e">
        <f>IF(ISNA(MATCH(AE$2,Inputs!$K$4:$AJ$4,0)),NA(),IF(SUMPRODUCT((Inputs!$A$5:$A$110=$B31)*ISNUMBER(INDEX(Inputs!$K$5:$AJ$110,0,MATCH(AE$2,Inputs!$K$4:$AJ$4,0))))+SUMPRODUCT((Inputs!$C$5:$C$110=$B31)*ISNUMBER(INDEX(Inputs!$K$5:$AJ$110,0,MATCH(AE$2,Inputs!$K$4:$AJ$4,0))))+SUMPRODUCT((Inputs!$E$5:$E$110=$B31)*ISNUMBER(INDEX(Inputs!$K$5:$AJ$110,0,MATCH(AE$2,Inputs!$K$4:$AJ$4,0))))=0,NA(),SUMPRODUCT((Inputs!$A$5:$A$110=$B31)*Inputs!$B$5:$B$110*(((Inputs!$G$5:$G$110="moeda")+(Inputs!$G$5:$G$110="acoes"))*Inputs!$B$1+((Inputs!$G$5:$G$110&lt;&gt;"moeda")*(Inputs!$G$5:$G$110&lt;&gt;"acoes")))*INDEX(Inputs!$K$5:$AJ$110,0,MATCH(AE$2,Inputs!$K$4:$AJ$4,0)))+SUMPRODUCT((Inputs!$C$5:$C$110=$B31)*Inputs!$D$5:$D$110*(((Inputs!$G$5:$G$110="moeda")+(Inputs!$G$5:$G$110="acoes"))*Inputs!$B$1+((Inputs!$G$5:$G$110&lt;&gt;"moeda")*(Inputs!$G$5:$G$110&lt;&gt;"acoes")))*INDEX(Inputs!$K$5:$AJ$110,0,MATCH(AE$2,Inputs!$K$4:$AJ$4,0)))+SUMPRODUCT((Inputs!$E$5:$E$110=$B31)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1" s="6" t="e">
        <f>IF(ISNA(MATCH(AF$2,Inputs!$K$4:$AJ$4,0)),NA(),IF(SUMPRODUCT((Inputs!$A$5:$A$110=$B31)*ISNUMBER(INDEX(Inputs!$K$5:$AJ$110,0,MATCH(AF$2,Inputs!$K$4:$AJ$4,0))))+SUMPRODUCT((Inputs!$C$5:$C$110=$B31)*ISNUMBER(INDEX(Inputs!$K$5:$AJ$110,0,MATCH(AF$2,Inputs!$K$4:$AJ$4,0))))+SUMPRODUCT((Inputs!$E$5:$E$110=$B31)*ISNUMBER(INDEX(Inputs!$K$5:$AJ$110,0,MATCH(AF$2,Inputs!$K$4:$AJ$4,0))))=0,NA(),SUMPRODUCT((Inputs!$A$5:$A$110=$B31)*Inputs!$B$5:$B$110*(((Inputs!$G$5:$G$110="moeda")+(Inputs!$G$5:$G$110="acoes"))*Inputs!$B$1+((Inputs!$G$5:$G$110&lt;&gt;"moeda")*(Inputs!$G$5:$G$110&lt;&gt;"acoes")))*INDEX(Inputs!$K$5:$AJ$110,0,MATCH(AF$2,Inputs!$K$4:$AJ$4,0)))+SUMPRODUCT((Inputs!$C$5:$C$110=$B31)*Inputs!$D$5:$D$110*(((Inputs!$G$5:$G$110="moeda")+(Inputs!$G$5:$G$110="acoes"))*Inputs!$B$1+((Inputs!$G$5:$G$110&lt;&gt;"moeda")*(Inputs!$G$5:$G$110&lt;&gt;"acoes")))*INDEX(Inputs!$K$5:$AJ$110,0,MATCH(AF$2,Inputs!$K$4:$AJ$4,0)))+SUMPRODUCT((Inputs!$E$5:$E$110=$B31)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1" s="3" t="e">
        <f>AF31</f>
        <v>#N/A</v>
      </c>
      <c r="AH31" s="6">
        <f>IF(ISNA(MATCH(AH$2,Inputs!$K$4:$AJ$4,0)),NA(),IF(SUMPRODUCT((Inputs!$A$5:$A$110=$B31)*ISNUMBER(INDEX(Inputs!$K$5:$AJ$110,0,MATCH(AH$2,Inputs!$K$4:$AJ$4,0))))+SUMPRODUCT((Inputs!$C$5:$C$110=$B31)*ISNUMBER(INDEX(Inputs!$K$5:$AJ$110,0,MATCH(AH$2,Inputs!$K$4:$AJ$4,0))))+SUMPRODUCT((Inputs!$E$5:$E$110=$B31)*ISNUMBER(INDEX(Inputs!$K$5:$AJ$110,0,MATCH(AH$2,Inputs!$K$4:$AJ$4,0))))=0,NA(),SUMPRODUCT((Inputs!$A$5:$A$110=$B31)*Inputs!$B$5:$B$110*(((Inputs!$G$5:$G$110="moeda")+(Inputs!$G$5:$G$110="acoes"))*Inputs!$B$1+((Inputs!$G$5:$G$110&lt;&gt;"moeda")*(Inputs!$G$5:$G$110&lt;&gt;"acoes")))*INDEX(Inputs!$K$5:$AJ$110,0,MATCH(AH$2,Inputs!$K$4:$AJ$4,0)))+SUMPRODUCT((Inputs!$C$5:$C$110=$B31)*Inputs!$D$5:$D$110*(((Inputs!$G$5:$G$110="moeda")+(Inputs!$G$5:$G$110="acoes"))*Inputs!$B$1+((Inputs!$G$5:$G$110&lt;&gt;"moeda")*(Inputs!$G$5:$G$110&lt;&gt;"acoes")))*INDEX(Inputs!$K$5:$AJ$110,0,MATCH(AH$2,Inputs!$K$4:$AJ$4,0)))+SUMPRODUCT((Inputs!$E$5:$E$110=$B31)*Inputs!$F$5:$F$110*(((Inputs!$G$5:$G$110="moeda")+(Inputs!$G$5:$G$110="acoes"))*Inputs!$B$1+((Inputs!$G$5:$G$110&lt;&gt;"moeda")*(Inputs!$G$5:$G$110&lt;&gt;"acoes")))*INDEX(Inputs!$K$5:$AJ$110,0,MATCH(AH$2,Inputs!$K$4:$AJ$4,0)))))</f>
        <v>4058</v>
      </c>
      <c r="AI31" s="6">
        <f>IF(ISNA(MATCH(AI$2,Inputs!$K$4:$AJ$4,0)),NA(),IF(SUMPRODUCT((Inputs!$A$5:$A$110=$B31)*ISNUMBER(INDEX(Inputs!$K$5:$AJ$110,0,MATCH(AI$2,Inputs!$K$4:$AJ$4,0))))+SUMPRODUCT((Inputs!$C$5:$C$110=$B31)*ISNUMBER(INDEX(Inputs!$K$5:$AJ$110,0,MATCH(AI$2,Inputs!$K$4:$AJ$4,0))))+SUMPRODUCT((Inputs!$E$5:$E$110=$B31)*ISNUMBER(INDEX(Inputs!$K$5:$AJ$110,0,MATCH(AI$2,Inputs!$K$4:$AJ$4,0))))=0,NA(),SUMPRODUCT((Inputs!$A$5:$A$110=$B31)*Inputs!$B$5:$B$110*(((Inputs!$G$5:$G$110="moeda")+(Inputs!$G$5:$G$110="acoes"))*Inputs!$B$1+((Inputs!$G$5:$G$110&lt;&gt;"moeda")*(Inputs!$G$5:$G$110&lt;&gt;"acoes")))*INDEX(Inputs!$K$5:$AJ$110,0,MATCH(AI$2,Inputs!$K$4:$AJ$4,0)))+SUMPRODUCT((Inputs!$C$5:$C$110=$B31)*Inputs!$D$5:$D$110*(((Inputs!$G$5:$G$110="moeda")+(Inputs!$G$5:$G$110="acoes"))*Inputs!$B$1+((Inputs!$G$5:$G$110&lt;&gt;"moeda")*(Inputs!$G$5:$G$110&lt;&gt;"acoes")))*INDEX(Inputs!$K$5:$AJ$110,0,MATCH(AI$2,Inputs!$K$4:$AJ$4,0)))+SUMPRODUCT((Inputs!$E$5:$E$110=$B31)*Inputs!$F$5:$F$110*(((Inputs!$G$5:$G$110="moeda")+(Inputs!$G$5:$G$110="acoes"))*Inputs!$B$1+((Inputs!$G$5:$G$110&lt;&gt;"moeda")*(Inputs!$G$5:$G$110&lt;&gt;"acoes")))*INDEX(Inputs!$K$5:$AJ$110,0,MATCH(AI$2,Inputs!$K$4:$AJ$4,0)))))</f>
        <v>4056</v>
      </c>
      <c r="AJ31" s="6">
        <f>IF(ISNA(MATCH(AJ$2,Inputs!$K$4:$AJ$4,0)),NA(),IF(SUMPRODUCT((Inputs!$A$5:$A$110=$B31)*ISNUMBER(INDEX(Inputs!$K$5:$AJ$110,0,MATCH(AJ$2,Inputs!$K$4:$AJ$4,0))))+SUMPRODUCT((Inputs!$C$5:$C$110=$B31)*ISNUMBER(INDEX(Inputs!$K$5:$AJ$110,0,MATCH(AJ$2,Inputs!$K$4:$AJ$4,0))))+SUMPRODUCT((Inputs!$E$5:$E$110=$B31)*ISNUMBER(INDEX(Inputs!$K$5:$AJ$110,0,MATCH(AJ$2,Inputs!$K$4:$AJ$4,0))))=0,NA(),SUMPRODUCT((Inputs!$A$5:$A$110=$B31)*Inputs!$B$5:$B$110*(((Inputs!$G$5:$G$110="moeda")+(Inputs!$G$5:$G$110="acoes"))*Inputs!$B$1+((Inputs!$G$5:$G$110&lt;&gt;"moeda")*(Inputs!$G$5:$G$110&lt;&gt;"acoes")))*INDEX(Inputs!$K$5:$AJ$110,0,MATCH(AJ$2,Inputs!$K$4:$AJ$4,0)))+SUMPRODUCT((Inputs!$C$5:$C$110=$B31)*Inputs!$D$5:$D$110*(((Inputs!$G$5:$G$110="moeda")+(Inputs!$G$5:$G$110="acoes"))*Inputs!$B$1+((Inputs!$G$5:$G$110&lt;&gt;"moeda")*(Inputs!$G$5:$G$110&lt;&gt;"acoes")))*INDEX(Inputs!$K$5:$AJ$110,0,MATCH(AJ$2,Inputs!$K$4:$AJ$4,0)))+SUMPRODUCT((Inputs!$E$5:$E$110=$B31)*Inputs!$F$5:$F$110*(((Inputs!$G$5:$G$110="moeda")+(Inputs!$G$5:$G$110="acoes"))*Inputs!$B$1+((Inputs!$G$5:$G$110&lt;&gt;"moeda")*(Inputs!$G$5:$G$110&lt;&gt;"acoes")))*INDEX(Inputs!$K$5:$AJ$110,0,MATCH(AJ$2,Inputs!$K$4:$AJ$4,0)))))</f>
        <v>3831</v>
      </c>
      <c r="AK31" s="6">
        <f>IF(ISNA(MATCH(AK$2,Inputs!$K$4:$AJ$4,0)),NA(),IF(SUMPRODUCT((Inputs!$A$5:$A$110=$B31)*ISNUMBER(INDEX(Inputs!$K$5:$AJ$110,0,MATCH(AK$2,Inputs!$K$4:$AJ$4,0))))+SUMPRODUCT((Inputs!$C$5:$C$110=$B31)*ISNUMBER(INDEX(Inputs!$K$5:$AJ$110,0,MATCH(AK$2,Inputs!$K$4:$AJ$4,0))))+SUMPRODUCT((Inputs!$E$5:$E$110=$B31)*ISNUMBER(INDEX(Inputs!$K$5:$AJ$110,0,MATCH(AK$2,Inputs!$K$4:$AJ$4,0))))=0,NA(),SUMPRODUCT((Inputs!$A$5:$A$110=$B31)*Inputs!$B$5:$B$110*(((Inputs!$G$5:$G$110="moeda")+(Inputs!$G$5:$G$110="acoes"))*Inputs!$B$1+((Inputs!$G$5:$G$110&lt;&gt;"moeda")*(Inputs!$G$5:$G$110&lt;&gt;"acoes")))*INDEX(Inputs!$K$5:$AJ$110,0,MATCH(AK$2,Inputs!$K$4:$AJ$4,0)))+SUMPRODUCT((Inputs!$C$5:$C$110=$B31)*Inputs!$D$5:$D$110*(((Inputs!$G$5:$G$110="moeda")+(Inputs!$G$5:$G$110="acoes"))*Inputs!$B$1+((Inputs!$G$5:$G$110&lt;&gt;"moeda")*(Inputs!$G$5:$G$110&lt;&gt;"acoes")))*INDEX(Inputs!$K$5:$AJ$110,0,MATCH(AK$2,Inputs!$K$4:$AJ$4,0)))+SUMPRODUCT((Inputs!$E$5:$E$110=$B31)*Inputs!$F$5:$F$110*(((Inputs!$G$5:$G$110="moeda")+(Inputs!$G$5:$G$110="acoes"))*Inputs!$B$1+((Inputs!$G$5:$G$110&lt;&gt;"moeda")*(Inputs!$G$5:$G$110&lt;&gt;"acoes")))*INDEX(Inputs!$K$5:$AJ$110,0,MATCH(AK$2,Inputs!$K$4:$AJ$4,0)))))</f>
        <v>4438</v>
      </c>
      <c r="AL31" s="3">
        <f>AK31</f>
        <v>4438</v>
      </c>
    </row>
    <row r="32">
      <c r="B32" s="46" t="n">
        <v>27</v>
      </c>
      <c r="C32" s="26" t="inlineStr">
        <is>
          <t>Current portion of long-term debt</t>
        </is>
      </c>
      <c r="D32" s="6">
        <f>IF(ISNA(MATCH(D$2,Inputs!$K$4:$AJ$4,0)),NA(),IF(SUMPRODUCT((Inputs!$A$5:$A$110=$B32)*ISNUMBER(INDEX(Inputs!$K$5:$AJ$110,0,MATCH(D$2,Inputs!$K$4:$AJ$4,0))))+SUMPRODUCT((Inputs!$C$5:$C$110=$B32)*ISNUMBER(INDEX(Inputs!$K$5:$AJ$110,0,MATCH(D$2,Inputs!$K$4:$AJ$4,0))))+SUMPRODUCT((Inputs!$E$5:$E$110=$B32)*ISNUMBER(INDEX(Inputs!$K$5:$AJ$110,0,MATCH(D$2,Inputs!$K$4:$AJ$4,0))))=0,NA(),SUMPRODUCT((Inputs!$A$5:$A$110=$B32)*Inputs!$B$5:$B$110*(((Inputs!$G$5:$G$110="moeda")+(Inputs!$G$5:$G$110="acoes"))*Inputs!$B$1+((Inputs!$G$5:$G$110&lt;&gt;"moeda")*(Inputs!$G$5:$G$110&lt;&gt;"acoes")))*INDEX(Inputs!$K$5:$AJ$110,0,MATCH(D$2,Inputs!$K$4:$AJ$4,0)))+SUMPRODUCT((Inputs!$C$5:$C$110=$B32)*Inputs!$D$5:$D$110*(((Inputs!$G$5:$G$110="moeda")+(Inputs!$G$5:$G$110="acoes"))*Inputs!$B$1+((Inputs!$G$5:$G$110&lt;&gt;"moeda")*(Inputs!$G$5:$G$110&lt;&gt;"acoes")))*INDEX(Inputs!$K$5:$AJ$110,0,MATCH(D$2,Inputs!$K$4:$AJ$4,0)))+SUMPRODUCT((Inputs!$E$5:$E$110=$B32)*Inputs!$F$5:$F$110*(((Inputs!$G$5:$G$110="moeda")+(Inputs!$G$5:$G$110="acoes"))*Inputs!$B$1+((Inputs!$G$5:$G$110&lt;&gt;"moeda")*(Inputs!$G$5:$G$110&lt;&gt;"acoes")))*INDEX(Inputs!$K$5:$AJ$110,0,MATCH(D$2,Inputs!$K$4:$AJ$4,0)))))</f>
        <v>278</v>
      </c>
      <c r="E32" s="6">
        <f>IF(ISNA(MATCH(E$2,Inputs!$K$4:$AJ$4,0)),NA(),IF(SUMPRODUCT((Inputs!$A$5:$A$110=$B32)*ISNUMBER(INDEX(Inputs!$K$5:$AJ$110,0,MATCH(E$2,Inputs!$K$4:$AJ$4,0))))+SUMPRODUCT((Inputs!$C$5:$C$110=$B32)*ISNUMBER(INDEX(Inputs!$K$5:$AJ$110,0,MATCH(E$2,Inputs!$K$4:$AJ$4,0))))+SUMPRODUCT((Inputs!$E$5:$E$110=$B32)*ISNUMBER(INDEX(Inputs!$K$5:$AJ$110,0,MATCH(E$2,Inputs!$K$4:$AJ$4,0))))=0,NA(),SUMPRODUCT((Inputs!$A$5:$A$110=$B32)*Inputs!$B$5:$B$110*(((Inputs!$G$5:$G$110="moeda")+(Inputs!$G$5:$G$110="acoes"))*Inputs!$B$1+((Inputs!$G$5:$G$110&lt;&gt;"moeda")*(Inputs!$G$5:$G$110&lt;&gt;"acoes")))*INDEX(Inputs!$K$5:$AJ$110,0,MATCH(E$2,Inputs!$K$4:$AJ$4,0)))+SUMPRODUCT((Inputs!$C$5:$C$110=$B32)*Inputs!$D$5:$D$110*(((Inputs!$G$5:$G$110="moeda")+(Inputs!$G$5:$G$110="acoes"))*Inputs!$B$1+((Inputs!$G$5:$G$110&lt;&gt;"moeda")*(Inputs!$G$5:$G$110&lt;&gt;"acoes")))*INDEX(Inputs!$K$5:$AJ$110,0,MATCH(E$2,Inputs!$K$4:$AJ$4,0)))+SUMPRODUCT((Inputs!$E$5:$E$110=$B32)*Inputs!$F$5:$F$110*(((Inputs!$G$5:$G$110="moeda")+(Inputs!$G$5:$G$110="acoes"))*Inputs!$B$1+((Inputs!$G$5:$G$110&lt;&gt;"moeda")*(Inputs!$G$5:$G$110&lt;&gt;"acoes")))*INDEX(Inputs!$K$5:$AJ$110,0,MATCH(E$2,Inputs!$K$4:$AJ$4,0)))))</f>
        <v>279</v>
      </c>
      <c r="F32" s="6">
        <f>IF(ISNA(MATCH(F$2,Inputs!$K$4:$AJ$4,0)),NA(),IF(SUMPRODUCT((Inputs!$A$5:$A$110=$B32)*ISNUMBER(INDEX(Inputs!$K$5:$AJ$110,0,MATCH(F$2,Inputs!$K$4:$AJ$4,0))))+SUMPRODUCT((Inputs!$C$5:$C$110=$B32)*ISNUMBER(INDEX(Inputs!$K$5:$AJ$110,0,MATCH(F$2,Inputs!$K$4:$AJ$4,0))))+SUMPRODUCT((Inputs!$E$5:$E$110=$B32)*ISNUMBER(INDEX(Inputs!$K$5:$AJ$110,0,MATCH(F$2,Inputs!$K$4:$AJ$4,0))))=0,NA(),SUMPRODUCT((Inputs!$A$5:$A$110=$B32)*Inputs!$B$5:$B$110*(((Inputs!$G$5:$G$110="moeda")+(Inputs!$G$5:$G$110="acoes"))*Inputs!$B$1+((Inputs!$G$5:$G$110&lt;&gt;"moeda")*(Inputs!$G$5:$G$110&lt;&gt;"acoes")))*INDEX(Inputs!$K$5:$AJ$110,0,MATCH(F$2,Inputs!$K$4:$AJ$4,0)))+SUMPRODUCT((Inputs!$C$5:$C$110=$B32)*Inputs!$D$5:$D$110*(((Inputs!$G$5:$G$110="moeda")+(Inputs!$G$5:$G$110="acoes"))*Inputs!$B$1+((Inputs!$G$5:$G$110&lt;&gt;"moeda")*(Inputs!$G$5:$G$110&lt;&gt;"acoes")))*INDEX(Inputs!$K$5:$AJ$110,0,MATCH(F$2,Inputs!$K$4:$AJ$4,0)))+SUMPRODUCT((Inputs!$E$5:$E$110=$B32)*Inputs!$F$5:$F$110*(((Inputs!$G$5:$G$110="moeda")+(Inputs!$G$5:$G$110="acoes"))*Inputs!$B$1+((Inputs!$G$5:$G$110&lt;&gt;"moeda")*(Inputs!$G$5:$G$110&lt;&gt;"acoes")))*INDEX(Inputs!$K$5:$AJ$110,0,MATCH(F$2,Inputs!$K$4:$AJ$4,0)))))</f>
        <v>290</v>
      </c>
      <c r="G32" s="6">
        <f>IF(ISNA(MATCH(G$2,Inputs!$K$4:$AJ$4,0)),NA(),IF(SUMPRODUCT((Inputs!$A$5:$A$110=$B32)*ISNUMBER(INDEX(Inputs!$K$5:$AJ$110,0,MATCH(G$2,Inputs!$K$4:$AJ$4,0))))+SUMPRODUCT((Inputs!$C$5:$C$110=$B32)*ISNUMBER(INDEX(Inputs!$K$5:$AJ$110,0,MATCH(G$2,Inputs!$K$4:$AJ$4,0))))+SUMPRODUCT((Inputs!$E$5:$E$110=$B32)*ISNUMBER(INDEX(Inputs!$K$5:$AJ$110,0,MATCH(G$2,Inputs!$K$4:$AJ$4,0))))=0,NA(),SUMPRODUCT((Inputs!$A$5:$A$110=$B32)*Inputs!$B$5:$B$110*(((Inputs!$G$5:$G$110="moeda")+(Inputs!$G$5:$G$110="acoes"))*Inputs!$B$1+((Inputs!$G$5:$G$110&lt;&gt;"moeda")*(Inputs!$G$5:$G$110&lt;&gt;"acoes")))*INDEX(Inputs!$K$5:$AJ$110,0,MATCH(G$2,Inputs!$K$4:$AJ$4,0)))+SUMPRODUCT((Inputs!$C$5:$C$110=$B32)*Inputs!$D$5:$D$110*(((Inputs!$G$5:$G$110="moeda")+(Inputs!$G$5:$G$110="acoes"))*Inputs!$B$1+((Inputs!$G$5:$G$110&lt;&gt;"moeda")*(Inputs!$G$5:$G$110&lt;&gt;"acoes")))*INDEX(Inputs!$K$5:$AJ$110,0,MATCH(G$2,Inputs!$K$4:$AJ$4,0)))+SUMPRODUCT((Inputs!$E$5:$E$110=$B32)*Inputs!$F$5:$F$110*(((Inputs!$G$5:$G$110="moeda")+(Inputs!$G$5:$G$110="acoes"))*Inputs!$B$1+((Inputs!$G$5:$G$110&lt;&gt;"moeda")*(Inputs!$G$5:$G$110&lt;&gt;"acoes")))*INDEX(Inputs!$K$5:$AJ$110,0,MATCH(G$2,Inputs!$K$4:$AJ$4,0)))))</f>
        <v>300</v>
      </c>
      <c r="H32" s="3">
        <f>G32</f>
        <v>300</v>
      </c>
      <c r="I32" s="6">
        <f>IF(ISNA(MATCH(I$2,Inputs!$K$4:$AJ$4,0)),NA(),IF(SUMPRODUCT((Inputs!$A$5:$A$110=$B32)*ISNUMBER(INDEX(Inputs!$K$5:$AJ$110,0,MATCH(I$2,Inputs!$K$4:$AJ$4,0))))+SUMPRODUCT((Inputs!$C$5:$C$110=$B32)*ISNUMBER(INDEX(Inputs!$K$5:$AJ$110,0,MATCH(I$2,Inputs!$K$4:$AJ$4,0))))+SUMPRODUCT((Inputs!$E$5:$E$110=$B32)*ISNUMBER(INDEX(Inputs!$K$5:$AJ$110,0,MATCH(I$2,Inputs!$K$4:$AJ$4,0))))=0,NA(),SUMPRODUCT((Inputs!$A$5:$A$110=$B32)*Inputs!$B$5:$B$110*(((Inputs!$G$5:$G$110="moeda")+(Inputs!$G$5:$G$110="acoes"))*Inputs!$B$1+((Inputs!$G$5:$G$110&lt;&gt;"moeda")*(Inputs!$G$5:$G$110&lt;&gt;"acoes")))*INDEX(Inputs!$K$5:$AJ$110,0,MATCH(I$2,Inputs!$K$4:$AJ$4,0)))+SUMPRODUCT((Inputs!$C$5:$C$110=$B32)*Inputs!$D$5:$D$110*(((Inputs!$G$5:$G$110="moeda")+(Inputs!$G$5:$G$110="acoes"))*Inputs!$B$1+((Inputs!$G$5:$G$110&lt;&gt;"moeda")*(Inputs!$G$5:$G$110&lt;&gt;"acoes")))*INDEX(Inputs!$K$5:$AJ$110,0,MATCH(I$2,Inputs!$K$4:$AJ$4,0)))+SUMPRODUCT((Inputs!$E$5:$E$110=$B32)*Inputs!$F$5:$F$110*(((Inputs!$G$5:$G$110="moeda")+(Inputs!$G$5:$G$110="acoes"))*Inputs!$B$1+((Inputs!$G$5:$G$110&lt;&gt;"moeda")*(Inputs!$G$5:$G$110&lt;&gt;"acoes")))*INDEX(Inputs!$K$5:$AJ$110,0,MATCH(I$2,Inputs!$K$4:$AJ$4,0)))))</f>
        <v>302</v>
      </c>
      <c r="J32" s="6">
        <f>IF(ISNA(MATCH(J$2,Inputs!$K$4:$AJ$4,0)),NA(),IF(SUMPRODUCT((Inputs!$A$5:$A$110=$B32)*ISNUMBER(INDEX(Inputs!$K$5:$AJ$110,0,MATCH(J$2,Inputs!$K$4:$AJ$4,0))))+SUMPRODUCT((Inputs!$C$5:$C$110=$B32)*ISNUMBER(INDEX(Inputs!$K$5:$AJ$110,0,MATCH(J$2,Inputs!$K$4:$AJ$4,0))))+SUMPRODUCT((Inputs!$E$5:$E$110=$B32)*ISNUMBER(INDEX(Inputs!$K$5:$AJ$110,0,MATCH(J$2,Inputs!$K$4:$AJ$4,0))))=0,NA(),SUMPRODUCT((Inputs!$A$5:$A$110=$B32)*Inputs!$B$5:$B$110*(((Inputs!$G$5:$G$110="moeda")+(Inputs!$G$5:$G$110="acoes"))*Inputs!$B$1+((Inputs!$G$5:$G$110&lt;&gt;"moeda")*(Inputs!$G$5:$G$110&lt;&gt;"acoes")))*INDEX(Inputs!$K$5:$AJ$110,0,MATCH(J$2,Inputs!$K$4:$AJ$4,0)))+SUMPRODUCT((Inputs!$C$5:$C$110=$B32)*Inputs!$D$5:$D$110*(((Inputs!$G$5:$G$110="moeda")+(Inputs!$G$5:$G$110="acoes"))*Inputs!$B$1+((Inputs!$G$5:$G$110&lt;&gt;"moeda")*(Inputs!$G$5:$G$110&lt;&gt;"acoes")))*INDEX(Inputs!$K$5:$AJ$110,0,MATCH(J$2,Inputs!$K$4:$AJ$4,0)))+SUMPRODUCT((Inputs!$E$5:$E$110=$B32)*Inputs!$F$5:$F$110*(((Inputs!$G$5:$G$110="moeda")+(Inputs!$G$5:$G$110="acoes"))*Inputs!$B$1+((Inputs!$G$5:$G$110&lt;&gt;"moeda")*(Inputs!$G$5:$G$110&lt;&gt;"acoes")))*INDEX(Inputs!$K$5:$AJ$110,0,MATCH(J$2,Inputs!$K$4:$AJ$4,0)))))</f>
        <v>304</v>
      </c>
      <c r="K32" s="6">
        <f>IF(ISNA(MATCH(K$2,Inputs!$K$4:$AJ$4,0)),NA(),IF(SUMPRODUCT((Inputs!$A$5:$A$110=$B32)*ISNUMBER(INDEX(Inputs!$K$5:$AJ$110,0,MATCH(K$2,Inputs!$K$4:$AJ$4,0))))+SUMPRODUCT((Inputs!$C$5:$C$110=$B32)*ISNUMBER(INDEX(Inputs!$K$5:$AJ$110,0,MATCH(K$2,Inputs!$K$4:$AJ$4,0))))+SUMPRODUCT((Inputs!$E$5:$E$110=$B32)*ISNUMBER(INDEX(Inputs!$K$5:$AJ$110,0,MATCH(K$2,Inputs!$K$4:$AJ$4,0))))=0,NA(),SUMPRODUCT((Inputs!$A$5:$A$110=$B32)*Inputs!$B$5:$B$110*(((Inputs!$G$5:$G$110="moeda")+(Inputs!$G$5:$G$110="acoes"))*Inputs!$B$1+((Inputs!$G$5:$G$110&lt;&gt;"moeda")*(Inputs!$G$5:$G$110&lt;&gt;"acoes")))*INDEX(Inputs!$K$5:$AJ$110,0,MATCH(K$2,Inputs!$K$4:$AJ$4,0)))+SUMPRODUCT((Inputs!$C$5:$C$110=$B32)*Inputs!$D$5:$D$110*(((Inputs!$G$5:$G$110="moeda")+(Inputs!$G$5:$G$110="acoes"))*Inputs!$B$1+((Inputs!$G$5:$G$110&lt;&gt;"moeda")*(Inputs!$G$5:$G$110&lt;&gt;"acoes")))*INDEX(Inputs!$K$5:$AJ$110,0,MATCH(K$2,Inputs!$K$4:$AJ$4,0)))+SUMPRODUCT((Inputs!$E$5:$E$110=$B32)*Inputs!$F$5:$F$110*(((Inputs!$G$5:$G$110="moeda")+(Inputs!$G$5:$G$110="acoes"))*Inputs!$B$1+((Inputs!$G$5:$G$110&lt;&gt;"moeda")*(Inputs!$G$5:$G$110&lt;&gt;"acoes")))*INDEX(Inputs!$K$5:$AJ$110,0,MATCH(K$2,Inputs!$K$4:$AJ$4,0)))))</f>
        <v>440</v>
      </c>
      <c r="L32" s="6">
        <f>IF(ISNA(MATCH(L$2,Inputs!$K$4:$AJ$4,0)),NA(),IF(SUMPRODUCT((Inputs!$A$5:$A$110=$B32)*ISNUMBER(INDEX(Inputs!$K$5:$AJ$110,0,MATCH(L$2,Inputs!$K$4:$AJ$4,0))))+SUMPRODUCT((Inputs!$C$5:$C$110=$B32)*ISNUMBER(INDEX(Inputs!$K$5:$AJ$110,0,MATCH(L$2,Inputs!$K$4:$AJ$4,0))))+SUMPRODUCT((Inputs!$E$5:$E$110=$B32)*ISNUMBER(INDEX(Inputs!$K$5:$AJ$110,0,MATCH(L$2,Inputs!$K$4:$AJ$4,0))))=0,NA(),SUMPRODUCT((Inputs!$A$5:$A$110=$B32)*Inputs!$B$5:$B$110*(((Inputs!$G$5:$G$110="moeda")+(Inputs!$G$5:$G$110="acoes"))*Inputs!$B$1+((Inputs!$G$5:$G$110&lt;&gt;"moeda")*(Inputs!$G$5:$G$110&lt;&gt;"acoes")))*INDEX(Inputs!$K$5:$AJ$110,0,MATCH(L$2,Inputs!$K$4:$AJ$4,0)))+SUMPRODUCT((Inputs!$C$5:$C$110=$B32)*Inputs!$D$5:$D$110*(((Inputs!$G$5:$G$110="moeda")+(Inputs!$G$5:$G$110="acoes"))*Inputs!$B$1+((Inputs!$G$5:$G$110&lt;&gt;"moeda")*(Inputs!$G$5:$G$110&lt;&gt;"acoes")))*INDEX(Inputs!$K$5:$AJ$110,0,MATCH(L$2,Inputs!$K$4:$AJ$4,0)))+SUMPRODUCT((Inputs!$E$5:$E$110=$B32)*Inputs!$F$5:$F$110*(((Inputs!$G$5:$G$110="moeda")+(Inputs!$G$5:$G$110="acoes"))*Inputs!$B$1+((Inputs!$G$5:$G$110&lt;&gt;"moeda")*(Inputs!$G$5:$G$110&lt;&gt;"acoes")))*INDEX(Inputs!$K$5:$AJ$110,0,MATCH(L$2,Inputs!$K$4:$AJ$4,0)))))</f>
        <v>1115</v>
      </c>
      <c r="M32" s="3">
        <f>L32</f>
        <v>1115</v>
      </c>
      <c r="N32" s="6">
        <f>IF(ISNA(MATCH(N$2,Inputs!$K$4:$AJ$4,0)),NA(),IF(SUMPRODUCT((Inputs!$A$5:$A$110=$B32)*ISNUMBER(INDEX(Inputs!$K$5:$AJ$110,0,MATCH(N$2,Inputs!$K$4:$AJ$4,0))))+SUMPRODUCT((Inputs!$C$5:$C$110=$B32)*ISNUMBER(INDEX(Inputs!$K$5:$AJ$110,0,MATCH(N$2,Inputs!$K$4:$AJ$4,0))))+SUMPRODUCT((Inputs!$E$5:$E$110=$B32)*ISNUMBER(INDEX(Inputs!$K$5:$AJ$110,0,MATCH(N$2,Inputs!$K$4:$AJ$4,0))))=0,NA(),SUMPRODUCT((Inputs!$A$5:$A$110=$B32)*Inputs!$B$5:$B$110*(((Inputs!$G$5:$G$110="moeda")+(Inputs!$G$5:$G$110="acoes"))*Inputs!$B$1+((Inputs!$G$5:$G$110&lt;&gt;"moeda")*(Inputs!$G$5:$G$110&lt;&gt;"acoes")))*INDEX(Inputs!$K$5:$AJ$110,0,MATCH(N$2,Inputs!$K$4:$AJ$4,0)))+SUMPRODUCT((Inputs!$C$5:$C$110=$B32)*Inputs!$D$5:$D$110*(((Inputs!$G$5:$G$110="moeda")+(Inputs!$G$5:$G$110="acoes"))*Inputs!$B$1+((Inputs!$G$5:$G$110&lt;&gt;"moeda")*(Inputs!$G$5:$G$110&lt;&gt;"acoes")))*INDEX(Inputs!$K$5:$AJ$110,0,MATCH(N$2,Inputs!$K$4:$AJ$4,0)))+SUMPRODUCT((Inputs!$E$5:$E$110=$B32)*Inputs!$F$5:$F$110*(((Inputs!$G$5:$G$110="moeda")+(Inputs!$G$5:$G$110="acoes"))*Inputs!$B$1+((Inputs!$G$5:$G$110&lt;&gt;"moeda")*(Inputs!$G$5:$G$110&lt;&gt;"acoes")))*INDEX(Inputs!$K$5:$AJ$110,0,MATCH(N$2,Inputs!$K$4:$AJ$4,0)))))</f>
        <v>1117</v>
      </c>
      <c r="O32" s="6">
        <f>IF(ISNA(MATCH(O$2,Inputs!$K$4:$AJ$4,0)),NA(),IF(SUMPRODUCT((Inputs!$A$5:$A$110=$B32)*ISNUMBER(INDEX(Inputs!$K$5:$AJ$110,0,MATCH(O$2,Inputs!$K$4:$AJ$4,0))))+SUMPRODUCT((Inputs!$C$5:$C$110=$B32)*ISNUMBER(INDEX(Inputs!$K$5:$AJ$110,0,MATCH(O$2,Inputs!$K$4:$AJ$4,0))))+SUMPRODUCT((Inputs!$E$5:$E$110=$B32)*ISNUMBER(INDEX(Inputs!$K$5:$AJ$110,0,MATCH(O$2,Inputs!$K$4:$AJ$4,0))))=0,NA(),SUMPRODUCT((Inputs!$A$5:$A$110=$B32)*Inputs!$B$5:$B$110*(((Inputs!$G$5:$G$110="moeda")+(Inputs!$G$5:$G$110="acoes"))*Inputs!$B$1+((Inputs!$G$5:$G$110&lt;&gt;"moeda")*(Inputs!$G$5:$G$110&lt;&gt;"acoes")))*INDEX(Inputs!$K$5:$AJ$110,0,MATCH(O$2,Inputs!$K$4:$AJ$4,0)))+SUMPRODUCT((Inputs!$C$5:$C$110=$B32)*Inputs!$D$5:$D$110*(((Inputs!$G$5:$G$110="moeda")+(Inputs!$G$5:$G$110="acoes"))*Inputs!$B$1+((Inputs!$G$5:$G$110&lt;&gt;"moeda")*(Inputs!$G$5:$G$110&lt;&gt;"acoes")))*INDEX(Inputs!$K$5:$AJ$110,0,MATCH(O$2,Inputs!$K$4:$AJ$4,0)))+SUMPRODUCT((Inputs!$E$5:$E$110=$B32)*Inputs!$F$5:$F$110*(((Inputs!$G$5:$G$110="moeda")+(Inputs!$G$5:$G$110="acoes"))*Inputs!$B$1+((Inputs!$G$5:$G$110&lt;&gt;"moeda")*(Inputs!$G$5:$G$110&lt;&gt;"acoes")))*INDEX(Inputs!$K$5:$AJ$110,0,MATCH(O$2,Inputs!$K$4:$AJ$4,0)))))</f>
        <v>1119</v>
      </c>
      <c r="P32" s="6">
        <f>IF(ISNA(MATCH(P$2,Inputs!$K$4:$AJ$4,0)),NA(),IF(SUMPRODUCT((Inputs!$A$5:$A$110=$B32)*ISNUMBER(INDEX(Inputs!$K$5:$AJ$110,0,MATCH(P$2,Inputs!$K$4:$AJ$4,0))))+SUMPRODUCT((Inputs!$C$5:$C$110=$B32)*ISNUMBER(INDEX(Inputs!$K$5:$AJ$110,0,MATCH(P$2,Inputs!$K$4:$AJ$4,0))))+SUMPRODUCT((Inputs!$E$5:$E$110=$B32)*ISNUMBER(INDEX(Inputs!$K$5:$AJ$110,0,MATCH(P$2,Inputs!$K$4:$AJ$4,0))))=0,NA(),SUMPRODUCT((Inputs!$A$5:$A$110=$B32)*Inputs!$B$5:$B$110*(((Inputs!$G$5:$G$110="moeda")+(Inputs!$G$5:$G$110="acoes"))*Inputs!$B$1+((Inputs!$G$5:$G$110&lt;&gt;"moeda")*(Inputs!$G$5:$G$110&lt;&gt;"acoes")))*INDEX(Inputs!$K$5:$AJ$110,0,MATCH(P$2,Inputs!$K$4:$AJ$4,0)))+SUMPRODUCT((Inputs!$C$5:$C$110=$B32)*Inputs!$D$5:$D$110*(((Inputs!$G$5:$G$110="moeda")+(Inputs!$G$5:$G$110="acoes"))*Inputs!$B$1+((Inputs!$G$5:$G$110&lt;&gt;"moeda")*(Inputs!$G$5:$G$110&lt;&gt;"acoes")))*INDEX(Inputs!$K$5:$AJ$110,0,MATCH(P$2,Inputs!$K$4:$AJ$4,0)))+SUMPRODUCT((Inputs!$E$5:$E$110=$B32)*Inputs!$F$5:$F$110*(((Inputs!$G$5:$G$110="moeda")+(Inputs!$G$5:$G$110="acoes"))*Inputs!$B$1+((Inputs!$G$5:$G$110&lt;&gt;"moeda")*(Inputs!$G$5:$G$110&lt;&gt;"acoes")))*INDEX(Inputs!$K$5:$AJ$110,0,MATCH(P$2,Inputs!$K$4:$AJ$4,0)))))</f>
        <v>1608</v>
      </c>
      <c r="Q32" s="6">
        <f>IF(ISNA(MATCH(Q$2,Inputs!$K$4:$AJ$4,0)),NA(),IF(SUMPRODUCT((Inputs!$A$5:$A$110=$B32)*ISNUMBER(INDEX(Inputs!$K$5:$AJ$110,0,MATCH(Q$2,Inputs!$K$4:$AJ$4,0))))+SUMPRODUCT((Inputs!$C$5:$C$110=$B32)*ISNUMBER(INDEX(Inputs!$K$5:$AJ$110,0,MATCH(Q$2,Inputs!$K$4:$AJ$4,0))))+SUMPRODUCT((Inputs!$E$5:$E$110=$B32)*ISNUMBER(INDEX(Inputs!$K$5:$AJ$110,0,MATCH(Q$2,Inputs!$K$4:$AJ$4,0))))=0,NA(),SUMPRODUCT((Inputs!$A$5:$A$110=$B32)*Inputs!$B$5:$B$110*(((Inputs!$G$5:$G$110="moeda")+(Inputs!$G$5:$G$110="acoes"))*Inputs!$B$1+((Inputs!$G$5:$G$110&lt;&gt;"moeda")*(Inputs!$G$5:$G$110&lt;&gt;"acoes")))*INDEX(Inputs!$K$5:$AJ$110,0,MATCH(Q$2,Inputs!$K$4:$AJ$4,0)))+SUMPRODUCT((Inputs!$C$5:$C$110=$B32)*Inputs!$D$5:$D$110*(((Inputs!$G$5:$G$110="moeda")+(Inputs!$G$5:$G$110="acoes"))*Inputs!$B$1+((Inputs!$G$5:$G$110&lt;&gt;"moeda")*(Inputs!$G$5:$G$110&lt;&gt;"acoes")))*INDEX(Inputs!$K$5:$AJ$110,0,MATCH(Q$2,Inputs!$K$4:$AJ$4,0)))+SUMPRODUCT((Inputs!$E$5:$E$110=$B32)*Inputs!$F$5:$F$110*(((Inputs!$G$5:$G$110="moeda")+(Inputs!$G$5:$G$110="acoes"))*Inputs!$B$1+((Inputs!$G$5:$G$110&lt;&gt;"moeda")*(Inputs!$G$5:$G$110&lt;&gt;"acoes")))*INDEX(Inputs!$K$5:$AJ$110,0,MATCH(Q$2,Inputs!$K$4:$AJ$4,0)))))</f>
        <v>2433</v>
      </c>
      <c r="R32" s="3">
        <f>Q32</f>
        <v>2433</v>
      </c>
      <c r="S32" s="6">
        <f>IF(ISNA(MATCH(S$2,Inputs!$K$4:$AJ$4,0)),NA(),IF(SUMPRODUCT((Inputs!$A$5:$A$110=$B32)*ISNUMBER(INDEX(Inputs!$K$5:$AJ$110,0,MATCH(S$2,Inputs!$K$4:$AJ$4,0))))+SUMPRODUCT((Inputs!$C$5:$C$110=$B32)*ISNUMBER(INDEX(Inputs!$K$5:$AJ$110,0,MATCH(S$2,Inputs!$K$4:$AJ$4,0))))+SUMPRODUCT((Inputs!$E$5:$E$110=$B32)*ISNUMBER(INDEX(Inputs!$K$5:$AJ$110,0,MATCH(S$2,Inputs!$K$4:$AJ$4,0))))=0,NA(),SUMPRODUCT((Inputs!$A$5:$A$110=$B32)*Inputs!$B$5:$B$110*(((Inputs!$G$5:$G$110="moeda")+(Inputs!$G$5:$G$110="acoes"))*Inputs!$B$1+((Inputs!$G$5:$G$110&lt;&gt;"moeda")*(Inputs!$G$5:$G$110&lt;&gt;"acoes")))*INDEX(Inputs!$K$5:$AJ$110,0,MATCH(S$2,Inputs!$K$4:$AJ$4,0)))+SUMPRODUCT((Inputs!$C$5:$C$110=$B32)*Inputs!$D$5:$D$110*(((Inputs!$G$5:$G$110="moeda")+(Inputs!$G$5:$G$110="acoes"))*Inputs!$B$1+((Inputs!$G$5:$G$110&lt;&gt;"moeda")*(Inputs!$G$5:$G$110&lt;&gt;"acoes")))*INDEX(Inputs!$K$5:$AJ$110,0,MATCH(S$2,Inputs!$K$4:$AJ$4,0)))+SUMPRODUCT((Inputs!$E$5:$E$110=$B32)*Inputs!$F$5:$F$110*(((Inputs!$G$5:$G$110="moeda")+(Inputs!$G$5:$G$110="acoes"))*Inputs!$B$1+((Inputs!$G$5:$G$110&lt;&gt;"moeda")*(Inputs!$G$5:$G$110&lt;&gt;"acoes")))*INDEX(Inputs!$K$5:$AJ$110,0,MATCH(S$2,Inputs!$K$4:$AJ$4,0)))))</f>
        <v>2426</v>
      </c>
      <c r="T32" s="6">
        <f>IF(ISNA(MATCH(T$2,Inputs!$K$4:$AJ$4,0)),NA(),IF(SUMPRODUCT((Inputs!$A$5:$A$110=$B32)*ISNUMBER(INDEX(Inputs!$K$5:$AJ$110,0,MATCH(T$2,Inputs!$K$4:$AJ$4,0))))+SUMPRODUCT((Inputs!$C$5:$C$110=$B32)*ISNUMBER(INDEX(Inputs!$K$5:$AJ$110,0,MATCH(T$2,Inputs!$K$4:$AJ$4,0))))+SUMPRODUCT((Inputs!$E$5:$E$110=$B32)*ISNUMBER(INDEX(Inputs!$K$5:$AJ$110,0,MATCH(T$2,Inputs!$K$4:$AJ$4,0))))=0,NA(),SUMPRODUCT((Inputs!$A$5:$A$110=$B32)*Inputs!$B$5:$B$110*(((Inputs!$G$5:$G$110="moeda")+(Inputs!$G$5:$G$110="acoes"))*Inputs!$B$1+((Inputs!$G$5:$G$110&lt;&gt;"moeda")*(Inputs!$G$5:$G$110&lt;&gt;"acoes")))*INDEX(Inputs!$K$5:$AJ$110,0,MATCH(T$2,Inputs!$K$4:$AJ$4,0)))+SUMPRODUCT((Inputs!$C$5:$C$110=$B32)*Inputs!$D$5:$D$110*(((Inputs!$G$5:$G$110="moeda")+(Inputs!$G$5:$G$110="acoes"))*Inputs!$B$1+((Inputs!$G$5:$G$110&lt;&gt;"moeda")*(Inputs!$G$5:$G$110&lt;&gt;"acoes")))*INDEX(Inputs!$K$5:$AJ$110,0,MATCH(T$2,Inputs!$K$4:$AJ$4,0)))+SUMPRODUCT((Inputs!$E$5:$E$110=$B32)*Inputs!$F$5:$F$110*(((Inputs!$G$5:$G$110="moeda")+(Inputs!$G$5:$G$110="acoes"))*Inputs!$B$1+((Inputs!$G$5:$G$110&lt;&gt;"moeda")*(Inputs!$G$5:$G$110&lt;&gt;"acoes")))*INDEX(Inputs!$K$5:$AJ$110,0,MATCH(T$2,Inputs!$K$4:$AJ$4,0)))))</f>
        <v>3161</v>
      </c>
      <c r="U32" s="6">
        <f>IF(ISNA(MATCH(U$2,Inputs!$K$4:$AJ$4,0)),NA(),IF(SUMPRODUCT((Inputs!$A$5:$A$110=$B32)*ISNUMBER(INDEX(Inputs!$K$5:$AJ$110,0,MATCH(U$2,Inputs!$K$4:$AJ$4,0))))+SUMPRODUCT((Inputs!$C$5:$C$110=$B32)*ISNUMBER(INDEX(Inputs!$K$5:$AJ$110,0,MATCH(U$2,Inputs!$K$4:$AJ$4,0))))+SUMPRODUCT((Inputs!$E$5:$E$110=$B32)*ISNUMBER(INDEX(Inputs!$K$5:$AJ$110,0,MATCH(U$2,Inputs!$K$4:$AJ$4,0))))=0,NA(),SUMPRODUCT((Inputs!$A$5:$A$110=$B32)*Inputs!$B$5:$B$110*(((Inputs!$G$5:$G$110="moeda")+(Inputs!$G$5:$G$110="acoes"))*Inputs!$B$1+((Inputs!$G$5:$G$110&lt;&gt;"moeda")*(Inputs!$G$5:$G$110&lt;&gt;"acoes")))*INDEX(Inputs!$K$5:$AJ$110,0,MATCH(U$2,Inputs!$K$4:$AJ$4,0)))+SUMPRODUCT((Inputs!$C$5:$C$110=$B32)*Inputs!$D$5:$D$110*(((Inputs!$G$5:$G$110="moeda")+(Inputs!$G$5:$G$110="acoes"))*Inputs!$B$1+((Inputs!$G$5:$G$110&lt;&gt;"moeda")*(Inputs!$G$5:$G$110&lt;&gt;"acoes")))*INDEX(Inputs!$K$5:$AJ$110,0,MATCH(U$2,Inputs!$K$4:$AJ$4,0)))+SUMPRODUCT((Inputs!$E$5:$E$110=$B32)*Inputs!$F$5:$F$110*(((Inputs!$G$5:$G$110="moeda")+(Inputs!$G$5:$G$110="acoes"))*Inputs!$B$1+((Inputs!$G$5:$G$110&lt;&gt;"moeda")*(Inputs!$G$5:$G$110&lt;&gt;"acoes")))*INDEX(Inputs!$K$5:$AJ$110,0,MATCH(U$2,Inputs!$K$4:$AJ$4,0)))))</f>
        <v>1271</v>
      </c>
      <c r="V32" s="6">
        <f>IF(ISNA(MATCH(V$2,Inputs!$K$4:$AJ$4,0)),NA(),IF(SUMPRODUCT((Inputs!$A$5:$A$110=$B32)*ISNUMBER(INDEX(Inputs!$K$5:$AJ$110,0,MATCH(V$2,Inputs!$K$4:$AJ$4,0))))+SUMPRODUCT((Inputs!$C$5:$C$110=$B32)*ISNUMBER(INDEX(Inputs!$K$5:$AJ$110,0,MATCH(V$2,Inputs!$K$4:$AJ$4,0))))+SUMPRODUCT((Inputs!$E$5:$E$110=$B32)*ISNUMBER(INDEX(Inputs!$K$5:$AJ$110,0,MATCH(V$2,Inputs!$K$4:$AJ$4,0))))=0,NA(),SUMPRODUCT((Inputs!$A$5:$A$110=$B32)*Inputs!$B$5:$B$110*(((Inputs!$G$5:$G$110="moeda")+(Inputs!$G$5:$G$110="acoes"))*Inputs!$B$1+((Inputs!$G$5:$G$110&lt;&gt;"moeda")*(Inputs!$G$5:$G$110&lt;&gt;"acoes")))*INDEX(Inputs!$K$5:$AJ$110,0,MATCH(V$2,Inputs!$K$4:$AJ$4,0)))+SUMPRODUCT((Inputs!$C$5:$C$110=$B32)*Inputs!$D$5:$D$110*(((Inputs!$G$5:$G$110="moeda")+(Inputs!$G$5:$G$110="acoes"))*Inputs!$B$1+((Inputs!$G$5:$G$110&lt;&gt;"moeda")*(Inputs!$G$5:$G$110&lt;&gt;"acoes")))*INDEX(Inputs!$K$5:$AJ$110,0,MATCH(V$2,Inputs!$K$4:$AJ$4,0)))+SUMPRODUCT((Inputs!$E$5:$E$110=$B32)*Inputs!$F$5:$F$110*(((Inputs!$G$5:$G$110="moeda")+(Inputs!$G$5:$G$110="acoes"))*Inputs!$B$1+((Inputs!$G$5:$G$110&lt;&gt;"moeda")*(Inputs!$G$5:$G$110&lt;&gt;"acoes")))*INDEX(Inputs!$K$5:$AJ$110,0,MATCH(V$2,Inputs!$K$4:$AJ$4,0)))))</f>
        <v>5653</v>
      </c>
      <c r="W32" s="3">
        <f>V32</f>
        <v>5653</v>
      </c>
      <c r="X32" s="6">
        <f>IF(ISNA(MATCH(X$2,Inputs!$K$4:$AJ$4,0)),NA(),IF(SUMPRODUCT((Inputs!$A$5:$A$110=$B32)*ISNUMBER(INDEX(Inputs!$K$5:$AJ$110,0,MATCH(X$2,Inputs!$K$4:$AJ$4,0))))+SUMPRODUCT((Inputs!$C$5:$C$110=$B32)*ISNUMBER(INDEX(Inputs!$K$5:$AJ$110,0,MATCH(X$2,Inputs!$K$4:$AJ$4,0))))+SUMPRODUCT((Inputs!$E$5:$E$110=$B32)*ISNUMBER(INDEX(Inputs!$K$5:$AJ$110,0,MATCH(X$2,Inputs!$K$4:$AJ$4,0))))=0,NA(),SUMPRODUCT((Inputs!$A$5:$A$110=$B32)*Inputs!$B$5:$B$110*(((Inputs!$G$5:$G$110="moeda")+(Inputs!$G$5:$G$110="acoes"))*Inputs!$B$1+((Inputs!$G$5:$G$110&lt;&gt;"moeda")*(Inputs!$G$5:$G$110&lt;&gt;"acoes")))*INDEX(Inputs!$K$5:$AJ$110,0,MATCH(X$2,Inputs!$K$4:$AJ$4,0)))+SUMPRODUCT((Inputs!$C$5:$C$110=$B32)*Inputs!$D$5:$D$110*(((Inputs!$G$5:$G$110="moeda")+(Inputs!$G$5:$G$110="acoes"))*Inputs!$B$1+((Inputs!$G$5:$G$110&lt;&gt;"moeda")*(Inputs!$G$5:$G$110&lt;&gt;"acoes")))*INDEX(Inputs!$K$5:$AJ$110,0,MATCH(X$2,Inputs!$K$4:$AJ$4,0)))+SUMPRODUCT((Inputs!$E$5:$E$110=$B32)*Inputs!$F$5:$F$110*(((Inputs!$G$5:$G$110="moeda")+(Inputs!$G$5:$G$110="acoes"))*Inputs!$B$1+((Inputs!$G$5:$G$110&lt;&gt;"moeda")*(Inputs!$G$5:$G$110&lt;&gt;"acoes")))*INDEX(Inputs!$K$5:$AJ$110,0,MATCH(X$2,Inputs!$K$4:$AJ$4,0)))))</f>
        <v>5531</v>
      </c>
      <c r="Y32" s="6">
        <f>IF(ISNA(MATCH(Y$2,Inputs!$K$4:$AJ$4,0)),NA(),IF(SUMPRODUCT((Inputs!$A$5:$A$110=$B32)*ISNUMBER(INDEX(Inputs!$K$5:$AJ$110,0,MATCH(Y$2,Inputs!$K$4:$AJ$4,0))))+SUMPRODUCT((Inputs!$C$5:$C$110=$B32)*ISNUMBER(INDEX(Inputs!$K$5:$AJ$110,0,MATCH(Y$2,Inputs!$K$4:$AJ$4,0))))+SUMPRODUCT((Inputs!$E$5:$E$110=$B32)*ISNUMBER(INDEX(Inputs!$K$5:$AJ$110,0,MATCH(Y$2,Inputs!$K$4:$AJ$4,0))))=0,NA(),SUMPRODUCT((Inputs!$A$5:$A$110=$B32)*Inputs!$B$5:$B$110*(((Inputs!$G$5:$G$110="moeda")+(Inputs!$G$5:$G$110="acoes"))*Inputs!$B$1+((Inputs!$G$5:$G$110&lt;&gt;"moeda")*(Inputs!$G$5:$G$110&lt;&gt;"acoes")))*INDEX(Inputs!$K$5:$AJ$110,0,MATCH(Y$2,Inputs!$K$4:$AJ$4,0)))+SUMPRODUCT((Inputs!$C$5:$C$110=$B32)*Inputs!$D$5:$D$110*(((Inputs!$G$5:$G$110="moeda")+(Inputs!$G$5:$G$110="acoes"))*Inputs!$B$1+((Inputs!$G$5:$G$110&lt;&gt;"moeda")*(Inputs!$G$5:$G$110&lt;&gt;"acoes")))*INDEX(Inputs!$K$5:$AJ$110,0,MATCH(Y$2,Inputs!$K$4:$AJ$4,0)))+SUMPRODUCT((Inputs!$E$5:$E$110=$B32)*Inputs!$F$5:$F$110*(((Inputs!$G$5:$G$110="moeda")+(Inputs!$G$5:$G$110="acoes"))*Inputs!$B$1+((Inputs!$G$5:$G$110&lt;&gt;"moeda")*(Inputs!$G$5:$G$110&lt;&gt;"acoes")))*INDEX(Inputs!$K$5:$AJ$110,0,MATCH(Y$2,Inputs!$K$4:$AJ$4,0)))))</f>
        <v>1399</v>
      </c>
      <c r="Z32" s="6">
        <f>IF(ISNA(MATCH(Z$2,Inputs!$K$4:$AJ$4,0)),NA(),IF(SUMPRODUCT((Inputs!$A$5:$A$110=$B32)*ISNUMBER(INDEX(Inputs!$K$5:$AJ$110,0,MATCH(Z$2,Inputs!$K$4:$AJ$4,0))))+SUMPRODUCT((Inputs!$C$5:$C$110=$B32)*ISNUMBER(INDEX(Inputs!$K$5:$AJ$110,0,MATCH(Z$2,Inputs!$K$4:$AJ$4,0))))+SUMPRODUCT((Inputs!$E$5:$E$110=$B32)*ISNUMBER(INDEX(Inputs!$K$5:$AJ$110,0,MATCH(Z$2,Inputs!$K$4:$AJ$4,0))))=0,NA(),SUMPRODUCT((Inputs!$A$5:$A$110=$B32)*Inputs!$B$5:$B$110*(((Inputs!$G$5:$G$110="moeda")+(Inputs!$G$5:$G$110="acoes"))*Inputs!$B$1+((Inputs!$G$5:$G$110&lt;&gt;"moeda")*(Inputs!$G$5:$G$110&lt;&gt;"acoes")))*INDEX(Inputs!$K$5:$AJ$110,0,MATCH(Z$2,Inputs!$K$4:$AJ$4,0)))+SUMPRODUCT((Inputs!$C$5:$C$110=$B32)*Inputs!$D$5:$D$110*(((Inputs!$G$5:$G$110="moeda")+(Inputs!$G$5:$G$110="acoes"))*Inputs!$B$1+((Inputs!$G$5:$G$110&lt;&gt;"moeda")*(Inputs!$G$5:$G$110&lt;&gt;"acoes")))*INDEX(Inputs!$K$5:$AJ$110,0,MATCH(Z$2,Inputs!$K$4:$AJ$4,0)))+SUMPRODUCT((Inputs!$E$5:$E$110=$B32)*Inputs!$F$5:$F$110*(((Inputs!$G$5:$G$110="moeda")+(Inputs!$G$5:$G$110="acoes"))*Inputs!$B$1+((Inputs!$G$5:$G$110&lt;&gt;"moeda")*(Inputs!$G$5:$G$110&lt;&gt;"acoes")))*INDEX(Inputs!$K$5:$AJ$110,0,MATCH(Z$2,Inputs!$K$4:$AJ$4,0)))))</f>
        <v>3152</v>
      </c>
      <c r="AA32" s="6">
        <f>IF(ISNA(MATCH(AA$2,Inputs!$K$4:$AJ$4,0)),NA(),IF(SUMPRODUCT((Inputs!$A$5:$A$110=$B32)*ISNUMBER(INDEX(Inputs!$K$5:$AJ$110,0,MATCH(AA$2,Inputs!$K$4:$AJ$4,0))))+SUMPRODUCT((Inputs!$C$5:$C$110=$B32)*ISNUMBER(INDEX(Inputs!$K$5:$AJ$110,0,MATCH(AA$2,Inputs!$K$4:$AJ$4,0))))+SUMPRODUCT((Inputs!$E$5:$E$110=$B32)*ISNUMBER(INDEX(Inputs!$K$5:$AJ$110,0,MATCH(AA$2,Inputs!$K$4:$AJ$4,0))))=0,NA(),SUMPRODUCT((Inputs!$A$5:$A$110=$B32)*Inputs!$B$5:$B$110*(((Inputs!$G$5:$G$110="moeda")+(Inputs!$G$5:$G$110="acoes"))*Inputs!$B$1+((Inputs!$G$5:$G$110&lt;&gt;"moeda")*(Inputs!$G$5:$G$110&lt;&gt;"acoes")))*INDEX(Inputs!$K$5:$AJ$110,0,MATCH(AA$2,Inputs!$K$4:$AJ$4,0)))+SUMPRODUCT((Inputs!$C$5:$C$110=$B32)*Inputs!$D$5:$D$110*(((Inputs!$G$5:$G$110="moeda")+(Inputs!$G$5:$G$110="acoes"))*Inputs!$B$1+((Inputs!$G$5:$G$110&lt;&gt;"moeda")*(Inputs!$G$5:$G$110&lt;&gt;"acoes")))*INDEX(Inputs!$K$5:$AJ$110,0,MATCH(AA$2,Inputs!$K$4:$AJ$4,0)))+SUMPRODUCT((Inputs!$E$5:$E$110=$B32)*Inputs!$F$5:$F$110*(((Inputs!$G$5:$G$110="moeda")+(Inputs!$G$5:$G$110="acoes"))*Inputs!$B$1+((Inputs!$G$5:$G$110&lt;&gt;"moeda")*(Inputs!$G$5:$G$110&lt;&gt;"acoes")))*INDEX(Inputs!$K$5:$AJ$110,0,MATCH(AA$2,Inputs!$K$4:$AJ$4,0)))))</f>
        <v>2252</v>
      </c>
      <c r="AB32" s="3">
        <f>AA32</f>
        <v>2252</v>
      </c>
      <c r="AC32" s="6">
        <f>IF(ISNA(MATCH(AC$2,Inputs!$K$4:$AJ$4,0)),NA(),IF(SUMPRODUCT((Inputs!$A$5:$A$110=$B32)*ISNUMBER(INDEX(Inputs!$K$5:$AJ$110,0,MATCH(AC$2,Inputs!$K$4:$AJ$4,0))))+SUMPRODUCT((Inputs!$C$5:$C$110=$B32)*ISNUMBER(INDEX(Inputs!$K$5:$AJ$110,0,MATCH(AC$2,Inputs!$K$4:$AJ$4,0))))+SUMPRODUCT((Inputs!$E$5:$E$110=$B32)*ISNUMBER(INDEX(Inputs!$K$5:$AJ$110,0,MATCH(AC$2,Inputs!$K$4:$AJ$4,0))))=0,NA(),SUMPRODUCT((Inputs!$A$5:$A$110=$B32)*Inputs!$B$5:$B$110*(((Inputs!$G$5:$G$110="moeda")+(Inputs!$G$5:$G$110="acoes"))*Inputs!$B$1+((Inputs!$G$5:$G$110&lt;&gt;"moeda")*(Inputs!$G$5:$G$110&lt;&gt;"acoes")))*INDEX(Inputs!$K$5:$AJ$110,0,MATCH(AC$2,Inputs!$K$4:$AJ$4,0)))+SUMPRODUCT((Inputs!$C$5:$C$110=$B32)*Inputs!$D$5:$D$110*(((Inputs!$G$5:$G$110="moeda")+(Inputs!$G$5:$G$110="acoes"))*Inputs!$B$1+((Inputs!$G$5:$G$110&lt;&gt;"moeda")*(Inputs!$G$5:$G$110&lt;&gt;"acoes")))*INDEX(Inputs!$K$5:$AJ$110,0,MATCH(AC$2,Inputs!$K$4:$AJ$4,0)))+SUMPRODUCT((Inputs!$E$5:$E$110=$B32)*Inputs!$F$5:$F$110*(((Inputs!$G$5:$G$110="moeda")+(Inputs!$G$5:$G$110="acoes"))*Inputs!$B$1+((Inputs!$G$5:$G$110&lt;&gt;"moeda")*(Inputs!$G$5:$G$110&lt;&gt;"acoes")))*INDEX(Inputs!$K$5:$AJ$110,0,MATCH(AC$2,Inputs!$K$4:$AJ$4,0)))))</f>
        <v>2252</v>
      </c>
      <c r="AD32" s="6">
        <f>IF(ISNA(MATCH(AD$2,Inputs!$K$4:$AJ$4,0)),NA(),IF(SUMPRODUCT((Inputs!$A$5:$A$110=$B32)*ISNUMBER(INDEX(Inputs!$K$5:$AJ$110,0,MATCH(AD$2,Inputs!$K$4:$AJ$4,0))))+SUMPRODUCT((Inputs!$C$5:$C$110=$B32)*ISNUMBER(INDEX(Inputs!$K$5:$AJ$110,0,MATCH(AD$2,Inputs!$K$4:$AJ$4,0))))+SUMPRODUCT((Inputs!$E$5:$E$110=$B32)*ISNUMBER(INDEX(Inputs!$K$5:$AJ$110,0,MATCH(AD$2,Inputs!$K$4:$AJ$4,0))))=0,NA(),SUMPRODUCT((Inputs!$A$5:$A$110=$B32)*Inputs!$B$5:$B$110*(((Inputs!$G$5:$G$110="moeda")+(Inputs!$G$5:$G$110="acoes"))*Inputs!$B$1+((Inputs!$G$5:$G$110&lt;&gt;"moeda")*(Inputs!$G$5:$G$110&lt;&gt;"acoes")))*INDEX(Inputs!$K$5:$AJ$110,0,MATCH(AD$2,Inputs!$K$4:$AJ$4,0)))+SUMPRODUCT((Inputs!$C$5:$C$110=$B32)*Inputs!$D$5:$D$110*(((Inputs!$G$5:$G$110="moeda")+(Inputs!$G$5:$G$110="acoes"))*Inputs!$B$1+((Inputs!$G$5:$G$110&lt;&gt;"moeda")*(Inputs!$G$5:$G$110&lt;&gt;"acoes")))*INDEX(Inputs!$K$5:$AJ$110,0,MATCH(AD$2,Inputs!$K$4:$AJ$4,0)))+SUMPRODUCT((Inputs!$E$5:$E$110=$B32)*Inputs!$F$5:$F$110*(((Inputs!$G$5:$G$110="moeda")+(Inputs!$G$5:$G$110="acoes"))*Inputs!$B$1+((Inputs!$G$5:$G$110&lt;&gt;"moeda")*(Inputs!$G$5:$G$110&lt;&gt;"acoes")))*INDEX(Inputs!$K$5:$AJ$110,0,MATCH(AD$2,Inputs!$K$4:$AJ$4,0)))))</f>
        <v>2252</v>
      </c>
      <c r="AE32" s="6" t="e">
        <f>IF(ISNA(MATCH(AE$2,Inputs!$K$4:$AJ$4,0)),NA(),IF(SUMPRODUCT((Inputs!$A$5:$A$110=$B32)*ISNUMBER(INDEX(Inputs!$K$5:$AJ$110,0,MATCH(AE$2,Inputs!$K$4:$AJ$4,0))))+SUMPRODUCT((Inputs!$C$5:$C$110=$B32)*ISNUMBER(INDEX(Inputs!$K$5:$AJ$110,0,MATCH(AE$2,Inputs!$K$4:$AJ$4,0))))+SUMPRODUCT((Inputs!$E$5:$E$110=$B32)*ISNUMBER(INDEX(Inputs!$K$5:$AJ$110,0,MATCH(AE$2,Inputs!$K$4:$AJ$4,0))))=0,NA(),SUMPRODUCT((Inputs!$A$5:$A$110=$B32)*Inputs!$B$5:$B$110*(((Inputs!$G$5:$G$110="moeda")+(Inputs!$G$5:$G$110="acoes"))*Inputs!$B$1+((Inputs!$G$5:$G$110&lt;&gt;"moeda")*(Inputs!$G$5:$G$110&lt;&gt;"acoes")))*INDEX(Inputs!$K$5:$AJ$110,0,MATCH(AE$2,Inputs!$K$4:$AJ$4,0)))+SUMPRODUCT((Inputs!$C$5:$C$110=$B32)*Inputs!$D$5:$D$110*(((Inputs!$G$5:$G$110="moeda")+(Inputs!$G$5:$G$110="acoes"))*Inputs!$B$1+((Inputs!$G$5:$G$110&lt;&gt;"moeda")*(Inputs!$G$5:$G$110&lt;&gt;"acoes")))*INDEX(Inputs!$K$5:$AJ$110,0,MATCH(AE$2,Inputs!$K$4:$AJ$4,0)))+SUMPRODUCT((Inputs!$E$5:$E$110=$B32)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2" s="6" t="e">
        <f>IF(ISNA(MATCH(AF$2,Inputs!$K$4:$AJ$4,0)),NA(),IF(SUMPRODUCT((Inputs!$A$5:$A$110=$B32)*ISNUMBER(INDEX(Inputs!$K$5:$AJ$110,0,MATCH(AF$2,Inputs!$K$4:$AJ$4,0))))+SUMPRODUCT((Inputs!$C$5:$C$110=$B32)*ISNUMBER(INDEX(Inputs!$K$5:$AJ$110,0,MATCH(AF$2,Inputs!$K$4:$AJ$4,0))))+SUMPRODUCT((Inputs!$E$5:$E$110=$B32)*ISNUMBER(INDEX(Inputs!$K$5:$AJ$110,0,MATCH(AF$2,Inputs!$K$4:$AJ$4,0))))=0,NA(),SUMPRODUCT((Inputs!$A$5:$A$110=$B32)*Inputs!$B$5:$B$110*(((Inputs!$G$5:$G$110="moeda")+(Inputs!$G$5:$G$110="acoes"))*Inputs!$B$1+((Inputs!$G$5:$G$110&lt;&gt;"moeda")*(Inputs!$G$5:$G$110&lt;&gt;"acoes")))*INDEX(Inputs!$K$5:$AJ$110,0,MATCH(AF$2,Inputs!$K$4:$AJ$4,0)))+SUMPRODUCT((Inputs!$C$5:$C$110=$B32)*Inputs!$D$5:$D$110*(((Inputs!$G$5:$G$110="moeda")+(Inputs!$G$5:$G$110="acoes"))*Inputs!$B$1+((Inputs!$G$5:$G$110&lt;&gt;"moeda")*(Inputs!$G$5:$G$110&lt;&gt;"acoes")))*INDEX(Inputs!$K$5:$AJ$110,0,MATCH(AF$2,Inputs!$K$4:$AJ$4,0)))+SUMPRODUCT((Inputs!$E$5:$E$110=$B32)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2" s="3" t="e">
        <f>AF32</f>
        <v>#N/A</v>
      </c>
      <c r="AH32" s="6">
        <f>IF(ISNA(MATCH(AH$2,Inputs!$K$4:$AJ$4,0)),NA(),IF(SUMPRODUCT((Inputs!$A$5:$A$110=$B32)*ISNUMBER(INDEX(Inputs!$K$5:$AJ$110,0,MATCH(AH$2,Inputs!$K$4:$AJ$4,0))))+SUMPRODUCT((Inputs!$C$5:$C$110=$B32)*ISNUMBER(INDEX(Inputs!$K$5:$AJ$110,0,MATCH(AH$2,Inputs!$K$4:$AJ$4,0))))+SUMPRODUCT((Inputs!$E$5:$E$110=$B32)*ISNUMBER(INDEX(Inputs!$K$5:$AJ$110,0,MATCH(AH$2,Inputs!$K$4:$AJ$4,0))))=0,NA(),SUMPRODUCT((Inputs!$A$5:$A$110=$B32)*Inputs!$B$5:$B$110*(((Inputs!$G$5:$G$110="moeda")+(Inputs!$G$5:$G$110="acoes"))*Inputs!$B$1+((Inputs!$G$5:$G$110&lt;&gt;"moeda")*(Inputs!$G$5:$G$110&lt;&gt;"acoes")))*INDEX(Inputs!$K$5:$AJ$110,0,MATCH(AH$2,Inputs!$K$4:$AJ$4,0)))+SUMPRODUCT((Inputs!$C$5:$C$110=$B32)*Inputs!$D$5:$D$110*(((Inputs!$G$5:$G$110="moeda")+(Inputs!$G$5:$G$110="acoes"))*Inputs!$B$1+((Inputs!$G$5:$G$110&lt;&gt;"moeda")*(Inputs!$G$5:$G$110&lt;&gt;"acoes")))*INDEX(Inputs!$K$5:$AJ$110,0,MATCH(AH$2,Inputs!$K$4:$AJ$4,0)))+SUMPRODUCT((Inputs!$E$5:$E$110=$B32)*Inputs!$F$5:$F$110*(((Inputs!$G$5:$G$110="moeda")+(Inputs!$G$5:$G$110="acoes"))*Inputs!$B$1+((Inputs!$G$5:$G$110&lt;&gt;"moeda")*(Inputs!$G$5:$G$110&lt;&gt;"acoes")))*INDEX(Inputs!$K$5:$AJ$110,0,MATCH(AH$2,Inputs!$K$4:$AJ$4,0)))))</f>
        <v>819</v>
      </c>
      <c r="AI32" s="6">
        <f>IF(ISNA(MATCH(AI$2,Inputs!$K$4:$AJ$4,0)),NA(),IF(SUMPRODUCT((Inputs!$A$5:$A$110=$B32)*ISNUMBER(INDEX(Inputs!$K$5:$AJ$110,0,MATCH(AI$2,Inputs!$K$4:$AJ$4,0))))+SUMPRODUCT((Inputs!$C$5:$C$110=$B32)*ISNUMBER(INDEX(Inputs!$K$5:$AJ$110,0,MATCH(AI$2,Inputs!$K$4:$AJ$4,0))))+SUMPRODUCT((Inputs!$E$5:$E$110=$B32)*ISNUMBER(INDEX(Inputs!$K$5:$AJ$110,0,MATCH(AI$2,Inputs!$K$4:$AJ$4,0))))=0,NA(),SUMPRODUCT((Inputs!$A$5:$A$110=$B32)*Inputs!$B$5:$B$110*(((Inputs!$G$5:$G$110="moeda")+(Inputs!$G$5:$G$110="acoes"))*Inputs!$B$1+((Inputs!$G$5:$G$110&lt;&gt;"moeda")*(Inputs!$G$5:$G$110&lt;&gt;"acoes")))*INDEX(Inputs!$K$5:$AJ$110,0,MATCH(AI$2,Inputs!$K$4:$AJ$4,0)))+SUMPRODUCT((Inputs!$C$5:$C$110=$B32)*Inputs!$D$5:$D$110*(((Inputs!$G$5:$G$110="moeda")+(Inputs!$G$5:$G$110="acoes"))*Inputs!$B$1+((Inputs!$G$5:$G$110&lt;&gt;"moeda")*(Inputs!$G$5:$G$110&lt;&gt;"acoes")))*INDEX(Inputs!$K$5:$AJ$110,0,MATCH(AI$2,Inputs!$K$4:$AJ$4,0)))+SUMPRODUCT((Inputs!$E$5:$E$110=$B32)*Inputs!$F$5:$F$110*(((Inputs!$G$5:$G$110="moeda")+(Inputs!$G$5:$G$110="acoes"))*Inputs!$B$1+((Inputs!$G$5:$G$110&lt;&gt;"moeda")*(Inputs!$G$5:$G$110&lt;&gt;"acoes")))*INDEX(Inputs!$K$5:$AJ$110,0,MATCH(AI$2,Inputs!$K$4:$AJ$4,0)))))</f>
        <v>822</v>
      </c>
      <c r="AJ32" s="6">
        <f>IF(ISNA(MATCH(AJ$2,Inputs!$K$4:$AJ$4,0)),NA(),IF(SUMPRODUCT((Inputs!$A$5:$A$110=$B32)*ISNUMBER(INDEX(Inputs!$K$5:$AJ$110,0,MATCH(AJ$2,Inputs!$K$4:$AJ$4,0))))+SUMPRODUCT((Inputs!$C$5:$C$110=$B32)*ISNUMBER(INDEX(Inputs!$K$5:$AJ$110,0,MATCH(AJ$2,Inputs!$K$4:$AJ$4,0))))+SUMPRODUCT((Inputs!$E$5:$E$110=$B32)*ISNUMBER(INDEX(Inputs!$K$5:$AJ$110,0,MATCH(AJ$2,Inputs!$K$4:$AJ$4,0))))=0,NA(),SUMPRODUCT((Inputs!$A$5:$A$110=$B32)*Inputs!$B$5:$B$110*(((Inputs!$G$5:$G$110="moeda")+(Inputs!$G$5:$G$110="acoes"))*Inputs!$B$1+((Inputs!$G$5:$G$110&lt;&gt;"moeda")*(Inputs!$G$5:$G$110&lt;&gt;"acoes")))*INDEX(Inputs!$K$5:$AJ$110,0,MATCH(AJ$2,Inputs!$K$4:$AJ$4,0)))+SUMPRODUCT((Inputs!$C$5:$C$110=$B32)*Inputs!$D$5:$D$110*(((Inputs!$G$5:$G$110="moeda")+(Inputs!$G$5:$G$110="acoes"))*Inputs!$B$1+((Inputs!$G$5:$G$110&lt;&gt;"moeda")*(Inputs!$G$5:$G$110&lt;&gt;"acoes")))*INDEX(Inputs!$K$5:$AJ$110,0,MATCH(AJ$2,Inputs!$K$4:$AJ$4,0)))+SUMPRODUCT((Inputs!$E$5:$E$110=$B32)*Inputs!$F$5:$F$110*(((Inputs!$G$5:$G$110="moeda")+(Inputs!$G$5:$G$110="acoes"))*Inputs!$B$1+((Inputs!$G$5:$G$110&lt;&gt;"moeda")*(Inputs!$G$5:$G$110&lt;&gt;"acoes")))*INDEX(Inputs!$K$5:$AJ$110,0,MATCH(AJ$2,Inputs!$K$4:$AJ$4,0)))))</f>
        <v>827</v>
      </c>
      <c r="AK32" s="6">
        <f>IF(ISNA(MATCH(AK$2,Inputs!$K$4:$AJ$4,0)),NA(),IF(SUMPRODUCT((Inputs!$A$5:$A$110=$B32)*ISNUMBER(INDEX(Inputs!$K$5:$AJ$110,0,MATCH(AK$2,Inputs!$K$4:$AJ$4,0))))+SUMPRODUCT((Inputs!$C$5:$C$110=$B32)*ISNUMBER(INDEX(Inputs!$K$5:$AJ$110,0,MATCH(AK$2,Inputs!$K$4:$AJ$4,0))))+SUMPRODUCT((Inputs!$E$5:$E$110=$B32)*ISNUMBER(INDEX(Inputs!$K$5:$AJ$110,0,MATCH(AK$2,Inputs!$K$4:$AJ$4,0))))=0,NA(),SUMPRODUCT((Inputs!$A$5:$A$110=$B32)*Inputs!$B$5:$B$110*(((Inputs!$G$5:$G$110="moeda")+(Inputs!$G$5:$G$110="acoes"))*Inputs!$B$1+((Inputs!$G$5:$G$110&lt;&gt;"moeda")*(Inputs!$G$5:$G$110&lt;&gt;"acoes")))*INDEX(Inputs!$K$5:$AJ$110,0,MATCH(AK$2,Inputs!$K$4:$AJ$4,0)))+SUMPRODUCT((Inputs!$C$5:$C$110=$B32)*Inputs!$D$5:$D$110*(((Inputs!$G$5:$G$110="moeda")+(Inputs!$G$5:$G$110="acoes"))*Inputs!$B$1+((Inputs!$G$5:$G$110&lt;&gt;"moeda")*(Inputs!$G$5:$G$110&lt;&gt;"acoes")))*INDEX(Inputs!$K$5:$AJ$110,0,MATCH(AK$2,Inputs!$K$4:$AJ$4,0)))+SUMPRODUCT((Inputs!$E$5:$E$110=$B32)*Inputs!$F$5:$F$110*(((Inputs!$G$5:$G$110="moeda")+(Inputs!$G$5:$G$110="acoes"))*Inputs!$B$1+((Inputs!$G$5:$G$110&lt;&gt;"moeda")*(Inputs!$G$5:$G$110&lt;&gt;"acoes")))*INDEX(Inputs!$K$5:$AJ$110,0,MATCH(AK$2,Inputs!$K$4:$AJ$4,0)))))</f>
        <v>864</v>
      </c>
      <c r="AL32" s="3">
        <f>AK32</f>
        <v>864</v>
      </c>
    </row>
    <row r="33">
      <c r="B33" s="46" t="n">
        <v>28</v>
      </c>
      <c r="C33" s="26" t="inlineStr">
        <is>
          <t>Short term debt (Revolving credit facility)</t>
        </is>
      </c>
      <c r="D33" s="6">
        <f>IF(ISNA(MATCH(D$2,Inputs!$K$4:$AJ$4,0)),NA(),IF(SUMPRODUCT((Inputs!$A$5:$A$110=$B33)*ISNUMBER(INDEX(Inputs!$K$5:$AJ$110,0,MATCH(D$2,Inputs!$K$4:$AJ$4,0))))+SUMPRODUCT((Inputs!$C$5:$C$110=$B33)*ISNUMBER(INDEX(Inputs!$K$5:$AJ$110,0,MATCH(D$2,Inputs!$K$4:$AJ$4,0))))+SUMPRODUCT((Inputs!$E$5:$E$110=$B33)*ISNUMBER(INDEX(Inputs!$K$5:$AJ$110,0,MATCH(D$2,Inputs!$K$4:$AJ$4,0))))=0,NA(),SUMPRODUCT((Inputs!$A$5:$A$110=$B33)*Inputs!$B$5:$B$110*(((Inputs!$G$5:$G$110="moeda")+(Inputs!$G$5:$G$110="acoes"))*Inputs!$B$1+((Inputs!$G$5:$G$110&lt;&gt;"moeda")*(Inputs!$G$5:$G$110&lt;&gt;"acoes")))*INDEX(Inputs!$K$5:$AJ$110,0,MATCH(D$2,Inputs!$K$4:$AJ$4,0)))+SUMPRODUCT((Inputs!$C$5:$C$110=$B33)*Inputs!$D$5:$D$110*(((Inputs!$G$5:$G$110="moeda")+(Inputs!$G$5:$G$110="acoes"))*Inputs!$B$1+((Inputs!$G$5:$G$110&lt;&gt;"moeda")*(Inputs!$G$5:$G$110&lt;&gt;"acoes")))*INDEX(Inputs!$K$5:$AJ$110,0,MATCH(D$2,Inputs!$K$4:$AJ$4,0)))+SUMPRODUCT((Inputs!$E$5:$E$110=$B33)*Inputs!$F$5:$F$110*(((Inputs!$G$5:$G$110="moeda")+(Inputs!$G$5:$G$110="acoes"))*Inputs!$B$1+((Inputs!$G$5:$G$110&lt;&gt;"moeda")*(Inputs!$G$5:$G$110&lt;&gt;"acoes")))*INDEX(Inputs!$K$5:$AJ$110,0,MATCH(D$2,Inputs!$K$4:$AJ$4,0)))))</f>
        <v>0</v>
      </c>
      <c r="E33" s="6">
        <f>IF(ISNA(MATCH(E$2,Inputs!$K$4:$AJ$4,0)),NA(),IF(SUMPRODUCT((Inputs!$A$5:$A$110=$B33)*ISNUMBER(INDEX(Inputs!$K$5:$AJ$110,0,MATCH(E$2,Inputs!$K$4:$AJ$4,0))))+SUMPRODUCT((Inputs!$C$5:$C$110=$B33)*ISNUMBER(INDEX(Inputs!$K$5:$AJ$110,0,MATCH(E$2,Inputs!$K$4:$AJ$4,0))))+SUMPRODUCT((Inputs!$E$5:$E$110=$B33)*ISNUMBER(INDEX(Inputs!$K$5:$AJ$110,0,MATCH(E$2,Inputs!$K$4:$AJ$4,0))))=0,NA(),SUMPRODUCT((Inputs!$A$5:$A$110=$B33)*Inputs!$B$5:$B$110*(((Inputs!$G$5:$G$110="moeda")+(Inputs!$G$5:$G$110="acoes"))*Inputs!$B$1+((Inputs!$G$5:$G$110&lt;&gt;"moeda")*(Inputs!$G$5:$G$110&lt;&gt;"acoes")))*INDEX(Inputs!$K$5:$AJ$110,0,MATCH(E$2,Inputs!$K$4:$AJ$4,0)))+SUMPRODUCT((Inputs!$C$5:$C$110=$B33)*Inputs!$D$5:$D$110*(((Inputs!$G$5:$G$110="moeda")+(Inputs!$G$5:$G$110="acoes"))*Inputs!$B$1+((Inputs!$G$5:$G$110&lt;&gt;"moeda")*(Inputs!$G$5:$G$110&lt;&gt;"acoes")))*INDEX(Inputs!$K$5:$AJ$110,0,MATCH(E$2,Inputs!$K$4:$AJ$4,0)))+SUMPRODUCT((Inputs!$E$5:$E$110=$B33)*Inputs!$F$5:$F$110*(((Inputs!$G$5:$G$110="moeda")+(Inputs!$G$5:$G$110="acoes"))*Inputs!$B$1+((Inputs!$G$5:$G$110&lt;&gt;"moeda")*(Inputs!$G$5:$G$110&lt;&gt;"acoes")))*INDEX(Inputs!$K$5:$AJ$110,0,MATCH(E$2,Inputs!$K$4:$AJ$4,0)))))</f>
        <v>0</v>
      </c>
      <c r="F33" s="6">
        <f>IF(ISNA(MATCH(F$2,Inputs!$K$4:$AJ$4,0)),NA(),IF(SUMPRODUCT((Inputs!$A$5:$A$110=$B33)*ISNUMBER(INDEX(Inputs!$K$5:$AJ$110,0,MATCH(F$2,Inputs!$K$4:$AJ$4,0))))+SUMPRODUCT((Inputs!$C$5:$C$110=$B33)*ISNUMBER(INDEX(Inputs!$K$5:$AJ$110,0,MATCH(F$2,Inputs!$K$4:$AJ$4,0))))+SUMPRODUCT((Inputs!$E$5:$E$110=$B33)*ISNUMBER(INDEX(Inputs!$K$5:$AJ$110,0,MATCH(F$2,Inputs!$K$4:$AJ$4,0))))=0,NA(),SUMPRODUCT((Inputs!$A$5:$A$110=$B33)*Inputs!$B$5:$B$110*(((Inputs!$G$5:$G$110="moeda")+(Inputs!$G$5:$G$110="acoes"))*Inputs!$B$1+((Inputs!$G$5:$G$110&lt;&gt;"moeda")*(Inputs!$G$5:$G$110&lt;&gt;"acoes")))*INDEX(Inputs!$K$5:$AJ$110,0,MATCH(F$2,Inputs!$K$4:$AJ$4,0)))+SUMPRODUCT((Inputs!$C$5:$C$110=$B33)*Inputs!$D$5:$D$110*(((Inputs!$G$5:$G$110="moeda")+(Inputs!$G$5:$G$110="acoes"))*Inputs!$B$1+((Inputs!$G$5:$G$110&lt;&gt;"moeda")*(Inputs!$G$5:$G$110&lt;&gt;"acoes")))*INDEX(Inputs!$K$5:$AJ$110,0,MATCH(F$2,Inputs!$K$4:$AJ$4,0)))+SUMPRODUCT((Inputs!$E$5:$E$110=$B33)*Inputs!$F$5:$F$110*(((Inputs!$G$5:$G$110="moeda")+(Inputs!$G$5:$G$110="acoes"))*Inputs!$B$1+((Inputs!$G$5:$G$110&lt;&gt;"moeda")*(Inputs!$G$5:$G$110&lt;&gt;"acoes")))*INDEX(Inputs!$K$5:$AJ$110,0,MATCH(F$2,Inputs!$K$4:$AJ$4,0)))))</f>
        <v>0</v>
      </c>
      <c r="G33" s="6">
        <f>IF(ISNA(MATCH(G$2,Inputs!$K$4:$AJ$4,0)),NA(),IF(SUMPRODUCT((Inputs!$A$5:$A$110=$B33)*ISNUMBER(INDEX(Inputs!$K$5:$AJ$110,0,MATCH(G$2,Inputs!$K$4:$AJ$4,0))))+SUMPRODUCT((Inputs!$C$5:$C$110=$B33)*ISNUMBER(INDEX(Inputs!$K$5:$AJ$110,0,MATCH(G$2,Inputs!$K$4:$AJ$4,0))))+SUMPRODUCT((Inputs!$E$5:$E$110=$B33)*ISNUMBER(INDEX(Inputs!$K$5:$AJ$110,0,MATCH(G$2,Inputs!$K$4:$AJ$4,0))))=0,NA(),SUMPRODUCT((Inputs!$A$5:$A$110=$B33)*Inputs!$B$5:$B$110*(((Inputs!$G$5:$G$110="moeda")+(Inputs!$G$5:$G$110="acoes"))*Inputs!$B$1+((Inputs!$G$5:$G$110&lt;&gt;"moeda")*(Inputs!$G$5:$G$110&lt;&gt;"acoes")))*INDEX(Inputs!$K$5:$AJ$110,0,MATCH(G$2,Inputs!$K$4:$AJ$4,0)))+SUMPRODUCT((Inputs!$C$5:$C$110=$B33)*Inputs!$D$5:$D$110*(((Inputs!$G$5:$G$110="moeda")+(Inputs!$G$5:$G$110="acoes"))*Inputs!$B$1+((Inputs!$G$5:$G$110&lt;&gt;"moeda")*(Inputs!$G$5:$G$110&lt;&gt;"acoes")))*INDEX(Inputs!$K$5:$AJ$110,0,MATCH(G$2,Inputs!$K$4:$AJ$4,0)))+SUMPRODUCT((Inputs!$E$5:$E$110=$B33)*Inputs!$F$5:$F$110*(((Inputs!$G$5:$G$110="moeda")+(Inputs!$G$5:$G$110="acoes"))*Inputs!$B$1+((Inputs!$G$5:$G$110&lt;&gt;"moeda")*(Inputs!$G$5:$G$110&lt;&gt;"acoes")))*INDEX(Inputs!$K$5:$AJ$110,0,MATCH(G$2,Inputs!$K$4:$AJ$4,0)))))</f>
        <v>0</v>
      </c>
      <c r="H33" s="3">
        <f>G33</f>
        <v>0</v>
      </c>
      <c r="I33" s="6">
        <f>IF(ISNA(MATCH(I$2,Inputs!$K$4:$AJ$4,0)),NA(),IF(SUMPRODUCT((Inputs!$A$5:$A$110=$B33)*ISNUMBER(INDEX(Inputs!$K$5:$AJ$110,0,MATCH(I$2,Inputs!$K$4:$AJ$4,0))))+SUMPRODUCT((Inputs!$C$5:$C$110=$B33)*ISNUMBER(INDEX(Inputs!$K$5:$AJ$110,0,MATCH(I$2,Inputs!$K$4:$AJ$4,0))))+SUMPRODUCT((Inputs!$E$5:$E$110=$B33)*ISNUMBER(INDEX(Inputs!$K$5:$AJ$110,0,MATCH(I$2,Inputs!$K$4:$AJ$4,0))))=0,NA(),SUMPRODUCT((Inputs!$A$5:$A$110=$B33)*Inputs!$B$5:$B$110*(((Inputs!$G$5:$G$110="moeda")+(Inputs!$G$5:$G$110="acoes"))*Inputs!$B$1+((Inputs!$G$5:$G$110&lt;&gt;"moeda")*(Inputs!$G$5:$G$110&lt;&gt;"acoes")))*INDEX(Inputs!$K$5:$AJ$110,0,MATCH(I$2,Inputs!$K$4:$AJ$4,0)))+SUMPRODUCT((Inputs!$C$5:$C$110=$B33)*Inputs!$D$5:$D$110*(((Inputs!$G$5:$G$110="moeda")+(Inputs!$G$5:$G$110="acoes"))*Inputs!$B$1+((Inputs!$G$5:$G$110&lt;&gt;"moeda")*(Inputs!$G$5:$G$110&lt;&gt;"acoes")))*INDEX(Inputs!$K$5:$AJ$110,0,MATCH(I$2,Inputs!$K$4:$AJ$4,0)))+SUMPRODUCT((Inputs!$E$5:$E$110=$B33)*Inputs!$F$5:$F$110*(((Inputs!$G$5:$G$110="moeda")+(Inputs!$G$5:$G$110="acoes"))*Inputs!$B$1+((Inputs!$G$5:$G$110&lt;&gt;"moeda")*(Inputs!$G$5:$G$110&lt;&gt;"acoes")))*INDEX(Inputs!$K$5:$AJ$110,0,MATCH(I$2,Inputs!$K$4:$AJ$4,0)))))</f>
        <v>0</v>
      </c>
      <c r="J33" s="6">
        <f>IF(ISNA(MATCH(J$2,Inputs!$K$4:$AJ$4,0)),NA(),IF(SUMPRODUCT((Inputs!$A$5:$A$110=$B33)*ISNUMBER(INDEX(Inputs!$K$5:$AJ$110,0,MATCH(J$2,Inputs!$K$4:$AJ$4,0))))+SUMPRODUCT((Inputs!$C$5:$C$110=$B33)*ISNUMBER(INDEX(Inputs!$K$5:$AJ$110,0,MATCH(J$2,Inputs!$K$4:$AJ$4,0))))+SUMPRODUCT((Inputs!$E$5:$E$110=$B33)*ISNUMBER(INDEX(Inputs!$K$5:$AJ$110,0,MATCH(J$2,Inputs!$K$4:$AJ$4,0))))=0,NA(),SUMPRODUCT((Inputs!$A$5:$A$110=$B33)*Inputs!$B$5:$B$110*(((Inputs!$G$5:$G$110="moeda")+(Inputs!$G$5:$G$110="acoes"))*Inputs!$B$1+((Inputs!$G$5:$G$110&lt;&gt;"moeda")*(Inputs!$G$5:$G$110&lt;&gt;"acoes")))*INDEX(Inputs!$K$5:$AJ$110,0,MATCH(J$2,Inputs!$K$4:$AJ$4,0)))+SUMPRODUCT((Inputs!$C$5:$C$110=$B33)*Inputs!$D$5:$D$110*(((Inputs!$G$5:$G$110="moeda")+(Inputs!$G$5:$G$110="acoes"))*Inputs!$B$1+((Inputs!$G$5:$G$110&lt;&gt;"moeda")*(Inputs!$G$5:$G$110&lt;&gt;"acoes")))*INDEX(Inputs!$K$5:$AJ$110,0,MATCH(J$2,Inputs!$K$4:$AJ$4,0)))+SUMPRODUCT((Inputs!$E$5:$E$110=$B33)*Inputs!$F$5:$F$110*(((Inputs!$G$5:$G$110="moeda")+(Inputs!$G$5:$G$110="acoes"))*Inputs!$B$1+((Inputs!$G$5:$G$110&lt;&gt;"moeda")*(Inputs!$G$5:$G$110&lt;&gt;"acoes")))*INDEX(Inputs!$K$5:$AJ$110,0,MATCH(J$2,Inputs!$K$4:$AJ$4,0)))))</f>
        <v>0</v>
      </c>
      <c r="K33" s="6">
        <f>IF(ISNA(MATCH(K$2,Inputs!$K$4:$AJ$4,0)),NA(),IF(SUMPRODUCT((Inputs!$A$5:$A$110=$B33)*ISNUMBER(INDEX(Inputs!$K$5:$AJ$110,0,MATCH(K$2,Inputs!$K$4:$AJ$4,0))))+SUMPRODUCT((Inputs!$C$5:$C$110=$B33)*ISNUMBER(INDEX(Inputs!$K$5:$AJ$110,0,MATCH(K$2,Inputs!$K$4:$AJ$4,0))))+SUMPRODUCT((Inputs!$E$5:$E$110=$B33)*ISNUMBER(INDEX(Inputs!$K$5:$AJ$110,0,MATCH(K$2,Inputs!$K$4:$AJ$4,0))))=0,NA(),SUMPRODUCT((Inputs!$A$5:$A$110=$B33)*Inputs!$B$5:$B$110*(((Inputs!$G$5:$G$110="moeda")+(Inputs!$G$5:$G$110="acoes"))*Inputs!$B$1+((Inputs!$G$5:$G$110&lt;&gt;"moeda")*(Inputs!$G$5:$G$110&lt;&gt;"acoes")))*INDEX(Inputs!$K$5:$AJ$110,0,MATCH(K$2,Inputs!$K$4:$AJ$4,0)))+SUMPRODUCT((Inputs!$C$5:$C$110=$B33)*Inputs!$D$5:$D$110*(((Inputs!$G$5:$G$110="moeda")+(Inputs!$G$5:$G$110="acoes"))*Inputs!$B$1+((Inputs!$G$5:$G$110&lt;&gt;"moeda")*(Inputs!$G$5:$G$110&lt;&gt;"acoes")))*INDEX(Inputs!$K$5:$AJ$110,0,MATCH(K$2,Inputs!$K$4:$AJ$4,0)))+SUMPRODUCT((Inputs!$E$5:$E$110=$B33)*Inputs!$F$5:$F$110*(((Inputs!$G$5:$G$110="moeda")+(Inputs!$G$5:$G$110="acoes"))*Inputs!$B$1+((Inputs!$G$5:$G$110&lt;&gt;"moeda")*(Inputs!$G$5:$G$110&lt;&gt;"acoes")))*INDEX(Inputs!$K$5:$AJ$110,0,MATCH(K$2,Inputs!$K$4:$AJ$4,0)))))</f>
        <v>0</v>
      </c>
      <c r="L33" s="6">
        <f>IF(ISNA(MATCH(L$2,Inputs!$K$4:$AJ$4,0)),NA(),IF(SUMPRODUCT((Inputs!$A$5:$A$110=$B33)*ISNUMBER(INDEX(Inputs!$K$5:$AJ$110,0,MATCH(L$2,Inputs!$K$4:$AJ$4,0))))+SUMPRODUCT((Inputs!$C$5:$C$110=$B33)*ISNUMBER(INDEX(Inputs!$K$5:$AJ$110,0,MATCH(L$2,Inputs!$K$4:$AJ$4,0))))+SUMPRODUCT((Inputs!$E$5:$E$110=$B33)*ISNUMBER(INDEX(Inputs!$K$5:$AJ$110,0,MATCH(L$2,Inputs!$K$4:$AJ$4,0))))=0,NA(),SUMPRODUCT((Inputs!$A$5:$A$110=$B33)*Inputs!$B$5:$B$110*(((Inputs!$G$5:$G$110="moeda")+(Inputs!$G$5:$G$110="acoes"))*Inputs!$B$1+((Inputs!$G$5:$G$110&lt;&gt;"moeda")*(Inputs!$G$5:$G$110&lt;&gt;"acoes")))*INDEX(Inputs!$K$5:$AJ$110,0,MATCH(L$2,Inputs!$K$4:$AJ$4,0)))+SUMPRODUCT((Inputs!$C$5:$C$110=$B33)*Inputs!$D$5:$D$110*(((Inputs!$G$5:$G$110="moeda")+(Inputs!$G$5:$G$110="acoes"))*Inputs!$B$1+((Inputs!$G$5:$G$110&lt;&gt;"moeda")*(Inputs!$G$5:$G$110&lt;&gt;"acoes")))*INDEX(Inputs!$K$5:$AJ$110,0,MATCH(L$2,Inputs!$K$4:$AJ$4,0)))+SUMPRODUCT((Inputs!$E$5:$E$110=$B33)*Inputs!$F$5:$F$110*(((Inputs!$G$5:$G$110="moeda")+(Inputs!$G$5:$G$110="acoes"))*Inputs!$B$1+((Inputs!$G$5:$G$110&lt;&gt;"moeda")*(Inputs!$G$5:$G$110&lt;&gt;"acoes")))*INDEX(Inputs!$K$5:$AJ$110,0,MATCH(L$2,Inputs!$K$4:$AJ$4,0)))))</f>
        <v>0</v>
      </c>
      <c r="M33" s="3">
        <f>L33</f>
        <v>0</v>
      </c>
      <c r="N33" s="6">
        <f>IF(ISNA(MATCH(N$2,Inputs!$K$4:$AJ$4,0)),NA(),IF(SUMPRODUCT((Inputs!$A$5:$A$110=$B33)*ISNUMBER(INDEX(Inputs!$K$5:$AJ$110,0,MATCH(N$2,Inputs!$K$4:$AJ$4,0))))+SUMPRODUCT((Inputs!$C$5:$C$110=$B33)*ISNUMBER(INDEX(Inputs!$K$5:$AJ$110,0,MATCH(N$2,Inputs!$K$4:$AJ$4,0))))+SUMPRODUCT((Inputs!$E$5:$E$110=$B33)*ISNUMBER(INDEX(Inputs!$K$5:$AJ$110,0,MATCH(N$2,Inputs!$K$4:$AJ$4,0))))=0,NA(),SUMPRODUCT((Inputs!$A$5:$A$110=$B33)*Inputs!$B$5:$B$110*(((Inputs!$G$5:$G$110="moeda")+(Inputs!$G$5:$G$110="acoes"))*Inputs!$B$1+((Inputs!$G$5:$G$110&lt;&gt;"moeda")*(Inputs!$G$5:$G$110&lt;&gt;"acoes")))*INDEX(Inputs!$K$5:$AJ$110,0,MATCH(N$2,Inputs!$K$4:$AJ$4,0)))+SUMPRODUCT((Inputs!$C$5:$C$110=$B33)*Inputs!$D$5:$D$110*(((Inputs!$G$5:$G$110="moeda")+(Inputs!$G$5:$G$110="acoes"))*Inputs!$B$1+((Inputs!$G$5:$G$110&lt;&gt;"moeda")*(Inputs!$G$5:$G$110&lt;&gt;"acoes")))*INDEX(Inputs!$K$5:$AJ$110,0,MATCH(N$2,Inputs!$K$4:$AJ$4,0)))+SUMPRODUCT((Inputs!$E$5:$E$110=$B33)*Inputs!$F$5:$F$110*(((Inputs!$G$5:$G$110="moeda")+(Inputs!$G$5:$G$110="acoes"))*Inputs!$B$1+((Inputs!$G$5:$G$110&lt;&gt;"moeda")*(Inputs!$G$5:$G$110&lt;&gt;"acoes")))*INDEX(Inputs!$K$5:$AJ$110,0,MATCH(N$2,Inputs!$K$4:$AJ$4,0)))))</f>
        <v>0</v>
      </c>
      <c r="O33" s="6">
        <f>IF(ISNA(MATCH(O$2,Inputs!$K$4:$AJ$4,0)),NA(),IF(SUMPRODUCT((Inputs!$A$5:$A$110=$B33)*ISNUMBER(INDEX(Inputs!$K$5:$AJ$110,0,MATCH(O$2,Inputs!$K$4:$AJ$4,0))))+SUMPRODUCT((Inputs!$C$5:$C$110=$B33)*ISNUMBER(INDEX(Inputs!$K$5:$AJ$110,0,MATCH(O$2,Inputs!$K$4:$AJ$4,0))))+SUMPRODUCT((Inputs!$E$5:$E$110=$B33)*ISNUMBER(INDEX(Inputs!$K$5:$AJ$110,0,MATCH(O$2,Inputs!$K$4:$AJ$4,0))))=0,NA(),SUMPRODUCT((Inputs!$A$5:$A$110=$B33)*Inputs!$B$5:$B$110*(((Inputs!$G$5:$G$110="moeda")+(Inputs!$G$5:$G$110="acoes"))*Inputs!$B$1+((Inputs!$G$5:$G$110&lt;&gt;"moeda")*(Inputs!$G$5:$G$110&lt;&gt;"acoes")))*INDEX(Inputs!$K$5:$AJ$110,0,MATCH(O$2,Inputs!$K$4:$AJ$4,0)))+SUMPRODUCT((Inputs!$C$5:$C$110=$B33)*Inputs!$D$5:$D$110*(((Inputs!$G$5:$G$110="moeda")+(Inputs!$G$5:$G$110="acoes"))*Inputs!$B$1+((Inputs!$G$5:$G$110&lt;&gt;"moeda")*(Inputs!$G$5:$G$110&lt;&gt;"acoes")))*INDEX(Inputs!$K$5:$AJ$110,0,MATCH(O$2,Inputs!$K$4:$AJ$4,0)))+SUMPRODUCT((Inputs!$E$5:$E$110=$B33)*Inputs!$F$5:$F$110*(((Inputs!$G$5:$G$110="moeda")+(Inputs!$G$5:$G$110="acoes"))*Inputs!$B$1+((Inputs!$G$5:$G$110&lt;&gt;"moeda")*(Inputs!$G$5:$G$110&lt;&gt;"acoes")))*INDEX(Inputs!$K$5:$AJ$110,0,MATCH(O$2,Inputs!$K$4:$AJ$4,0)))))</f>
        <v>0</v>
      </c>
      <c r="P33" s="6">
        <f>IF(ISNA(MATCH(P$2,Inputs!$K$4:$AJ$4,0)),NA(),IF(SUMPRODUCT((Inputs!$A$5:$A$110=$B33)*ISNUMBER(INDEX(Inputs!$K$5:$AJ$110,0,MATCH(P$2,Inputs!$K$4:$AJ$4,0))))+SUMPRODUCT((Inputs!$C$5:$C$110=$B33)*ISNUMBER(INDEX(Inputs!$K$5:$AJ$110,0,MATCH(P$2,Inputs!$K$4:$AJ$4,0))))+SUMPRODUCT((Inputs!$E$5:$E$110=$B33)*ISNUMBER(INDEX(Inputs!$K$5:$AJ$110,0,MATCH(P$2,Inputs!$K$4:$AJ$4,0))))=0,NA(),SUMPRODUCT((Inputs!$A$5:$A$110=$B33)*Inputs!$B$5:$B$110*(((Inputs!$G$5:$G$110="moeda")+(Inputs!$G$5:$G$110="acoes"))*Inputs!$B$1+((Inputs!$G$5:$G$110&lt;&gt;"moeda")*(Inputs!$G$5:$G$110&lt;&gt;"acoes")))*INDEX(Inputs!$K$5:$AJ$110,0,MATCH(P$2,Inputs!$K$4:$AJ$4,0)))+SUMPRODUCT((Inputs!$C$5:$C$110=$B33)*Inputs!$D$5:$D$110*(((Inputs!$G$5:$G$110="moeda")+(Inputs!$G$5:$G$110="acoes"))*Inputs!$B$1+((Inputs!$G$5:$G$110&lt;&gt;"moeda")*(Inputs!$G$5:$G$110&lt;&gt;"acoes")))*INDEX(Inputs!$K$5:$AJ$110,0,MATCH(P$2,Inputs!$K$4:$AJ$4,0)))+SUMPRODUCT((Inputs!$E$5:$E$110=$B33)*Inputs!$F$5:$F$110*(((Inputs!$G$5:$G$110="moeda")+(Inputs!$G$5:$G$110="acoes"))*Inputs!$B$1+((Inputs!$G$5:$G$110&lt;&gt;"moeda")*(Inputs!$G$5:$G$110&lt;&gt;"acoes")))*INDEX(Inputs!$K$5:$AJ$110,0,MATCH(P$2,Inputs!$K$4:$AJ$4,0)))))</f>
        <v>0</v>
      </c>
      <c r="Q33" s="6">
        <f>IF(ISNA(MATCH(Q$2,Inputs!$K$4:$AJ$4,0)),NA(),IF(SUMPRODUCT((Inputs!$A$5:$A$110=$B33)*ISNUMBER(INDEX(Inputs!$K$5:$AJ$110,0,MATCH(Q$2,Inputs!$K$4:$AJ$4,0))))+SUMPRODUCT((Inputs!$C$5:$C$110=$B33)*ISNUMBER(INDEX(Inputs!$K$5:$AJ$110,0,MATCH(Q$2,Inputs!$K$4:$AJ$4,0))))+SUMPRODUCT((Inputs!$E$5:$E$110=$B33)*ISNUMBER(INDEX(Inputs!$K$5:$AJ$110,0,MATCH(Q$2,Inputs!$K$4:$AJ$4,0))))=0,NA(),SUMPRODUCT((Inputs!$A$5:$A$110=$B33)*Inputs!$B$5:$B$110*(((Inputs!$G$5:$G$110="moeda")+(Inputs!$G$5:$G$110="acoes"))*Inputs!$B$1+((Inputs!$G$5:$G$110&lt;&gt;"moeda")*(Inputs!$G$5:$G$110&lt;&gt;"acoes")))*INDEX(Inputs!$K$5:$AJ$110,0,MATCH(Q$2,Inputs!$K$4:$AJ$4,0)))+SUMPRODUCT((Inputs!$C$5:$C$110=$B33)*Inputs!$D$5:$D$110*(((Inputs!$G$5:$G$110="moeda")+(Inputs!$G$5:$G$110="acoes"))*Inputs!$B$1+((Inputs!$G$5:$G$110&lt;&gt;"moeda")*(Inputs!$G$5:$G$110&lt;&gt;"acoes")))*INDEX(Inputs!$K$5:$AJ$110,0,MATCH(Q$2,Inputs!$K$4:$AJ$4,0)))+SUMPRODUCT((Inputs!$E$5:$E$110=$B33)*Inputs!$F$5:$F$110*(((Inputs!$G$5:$G$110="moeda")+(Inputs!$G$5:$G$110="acoes"))*Inputs!$B$1+((Inputs!$G$5:$G$110&lt;&gt;"moeda")*(Inputs!$G$5:$G$110&lt;&gt;"acoes")))*INDEX(Inputs!$K$5:$AJ$110,0,MATCH(Q$2,Inputs!$K$4:$AJ$4,0)))))</f>
        <v>0</v>
      </c>
      <c r="R33" s="3">
        <f>Q33</f>
        <v>0</v>
      </c>
      <c r="S33" s="6">
        <f>IF(ISNA(MATCH(S$2,Inputs!$K$4:$AJ$4,0)),NA(),IF(SUMPRODUCT((Inputs!$A$5:$A$110=$B33)*ISNUMBER(INDEX(Inputs!$K$5:$AJ$110,0,MATCH(S$2,Inputs!$K$4:$AJ$4,0))))+SUMPRODUCT((Inputs!$C$5:$C$110=$B33)*ISNUMBER(INDEX(Inputs!$K$5:$AJ$110,0,MATCH(S$2,Inputs!$K$4:$AJ$4,0))))+SUMPRODUCT((Inputs!$E$5:$E$110=$B33)*ISNUMBER(INDEX(Inputs!$K$5:$AJ$110,0,MATCH(S$2,Inputs!$K$4:$AJ$4,0))))=0,NA(),SUMPRODUCT((Inputs!$A$5:$A$110=$B33)*Inputs!$B$5:$B$110*(((Inputs!$G$5:$G$110="moeda")+(Inputs!$G$5:$G$110="acoes"))*Inputs!$B$1+((Inputs!$G$5:$G$110&lt;&gt;"moeda")*(Inputs!$G$5:$G$110&lt;&gt;"acoes")))*INDEX(Inputs!$K$5:$AJ$110,0,MATCH(S$2,Inputs!$K$4:$AJ$4,0)))+SUMPRODUCT((Inputs!$C$5:$C$110=$B33)*Inputs!$D$5:$D$110*(((Inputs!$G$5:$G$110="moeda")+(Inputs!$G$5:$G$110="acoes"))*Inputs!$B$1+((Inputs!$G$5:$G$110&lt;&gt;"moeda")*(Inputs!$G$5:$G$110&lt;&gt;"acoes")))*INDEX(Inputs!$K$5:$AJ$110,0,MATCH(S$2,Inputs!$K$4:$AJ$4,0)))+SUMPRODUCT((Inputs!$E$5:$E$110=$B33)*Inputs!$F$5:$F$110*(((Inputs!$G$5:$G$110="moeda")+(Inputs!$G$5:$G$110="acoes"))*Inputs!$B$1+((Inputs!$G$5:$G$110&lt;&gt;"moeda")*(Inputs!$G$5:$G$110&lt;&gt;"acoes")))*INDEX(Inputs!$K$5:$AJ$110,0,MATCH(S$2,Inputs!$K$4:$AJ$4,0)))))</f>
        <v>0</v>
      </c>
      <c r="T33" s="6">
        <f>IF(ISNA(MATCH(T$2,Inputs!$K$4:$AJ$4,0)),NA(),IF(SUMPRODUCT((Inputs!$A$5:$A$110=$B33)*ISNUMBER(INDEX(Inputs!$K$5:$AJ$110,0,MATCH(T$2,Inputs!$K$4:$AJ$4,0))))+SUMPRODUCT((Inputs!$C$5:$C$110=$B33)*ISNUMBER(INDEX(Inputs!$K$5:$AJ$110,0,MATCH(T$2,Inputs!$K$4:$AJ$4,0))))+SUMPRODUCT((Inputs!$E$5:$E$110=$B33)*ISNUMBER(INDEX(Inputs!$K$5:$AJ$110,0,MATCH(T$2,Inputs!$K$4:$AJ$4,0))))=0,NA(),SUMPRODUCT((Inputs!$A$5:$A$110=$B33)*Inputs!$B$5:$B$110*(((Inputs!$G$5:$G$110="moeda")+(Inputs!$G$5:$G$110="acoes"))*Inputs!$B$1+((Inputs!$G$5:$G$110&lt;&gt;"moeda")*(Inputs!$G$5:$G$110&lt;&gt;"acoes")))*INDEX(Inputs!$K$5:$AJ$110,0,MATCH(T$2,Inputs!$K$4:$AJ$4,0)))+SUMPRODUCT((Inputs!$C$5:$C$110=$B33)*Inputs!$D$5:$D$110*(((Inputs!$G$5:$G$110="moeda")+(Inputs!$G$5:$G$110="acoes"))*Inputs!$B$1+((Inputs!$G$5:$G$110&lt;&gt;"moeda")*(Inputs!$G$5:$G$110&lt;&gt;"acoes")))*INDEX(Inputs!$K$5:$AJ$110,0,MATCH(T$2,Inputs!$K$4:$AJ$4,0)))+SUMPRODUCT((Inputs!$E$5:$E$110=$B33)*Inputs!$F$5:$F$110*(((Inputs!$G$5:$G$110="moeda")+(Inputs!$G$5:$G$110="acoes"))*Inputs!$B$1+((Inputs!$G$5:$G$110&lt;&gt;"moeda")*(Inputs!$G$5:$G$110&lt;&gt;"acoes")))*INDEX(Inputs!$K$5:$AJ$110,0,MATCH(T$2,Inputs!$K$4:$AJ$4,0)))))</f>
        <v>0</v>
      </c>
      <c r="U33" s="6">
        <f>IF(ISNA(MATCH(U$2,Inputs!$K$4:$AJ$4,0)),NA(),IF(SUMPRODUCT((Inputs!$A$5:$A$110=$B33)*ISNUMBER(INDEX(Inputs!$K$5:$AJ$110,0,MATCH(U$2,Inputs!$K$4:$AJ$4,0))))+SUMPRODUCT((Inputs!$C$5:$C$110=$B33)*ISNUMBER(INDEX(Inputs!$K$5:$AJ$110,0,MATCH(U$2,Inputs!$K$4:$AJ$4,0))))+SUMPRODUCT((Inputs!$E$5:$E$110=$B33)*ISNUMBER(INDEX(Inputs!$K$5:$AJ$110,0,MATCH(U$2,Inputs!$K$4:$AJ$4,0))))=0,NA(),SUMPRODUCT((Inputs!$A$5:$A$110=$B33)*Inputs!$B$5:$B$110*(((Inputs!$G$5:$G$110="moeda")+(Inputs!$G$5:$G$110="acoes"))*Inputs!$B$1+((Inputs!$G$5:$G$110&lt;&gt;"moeda")*(Inputs!$G$5:$G$110&lt;&gt;"acoes")))*INDEX(Inputs!$K$5:$AJ$110,0,MATCH(U$2,Inputs!$K$4:$AJ$4,0)))+SUMPRODUCT((Inputs!$C$5:$C$110=$B33)*Inputs!$D$5:$D$110*(((Inputs!$G$5:$G$110="moeda")+(Inputs!$G$5:$G$110="acoes"))*Inputs!$B$1+((Inputs!$G$5:$G$110&lt;&gt;"moeda")*(Inputs!$G$5:$G$110&lt;&gt;"acoes")))*INDEX(Inputs!$K$5:$AJ$110,0,MATCH(U$2,Inputs!$K$4:$AJ$4,0)))+SUMPRODUCT((Inputs!$E$5:$E$110=$B33)*Inputs!$F$5:$F$110*(((Inputs!$G$5:$G$110="moeda")+(Inputs!$G$5:$G$110="acoes"))*Inputs!$B$1+((Inputs!$G$5:$G$110&lt;&gt;"moeda")*(Inputs!$G$5:$G$110&lt;&gt;"acoes")))*INDEX(Inputs!$K$5:$AJ$110,0,MATCH(U$2,Inputs!$K$4:$AJ$4,0)))))</f>
        <v>0</v>
      </c>
      <c r="V33" s="6">
        <f>IF(ISNA(MATCH(V$2,Inputs!$K$4:$AJ$4,0)),NA(),IF(SUMPRODUCT((Inputs!$A$5:$A$110=$B33)*ISNUMBER(INDEX(Inputs!$K$5:$AJ$110,0,MATCH(V$2,Inputs!$K$4:$AJ$4,0))))+SUMPRODUCT((Inputs!$C$5:$C$110=$B33)*ISNUMBER(INDEX(Inputs!$K$5:$AJ$110,0,MATCH(V$2,Inputs!$K$4:$AJ$4,0))))+SUMPRODUCT((Inputs!$E$5:$E$110=$B33)*ISNUMBER(INDEX(Inputs!$K$5:$AJ$110,0,MATCH(V$2,Inputs!$K$4:$AJ$4,0))))=0,NA(),SUMPRODUCT((Inputs!$A$5:$A$110=$B33)*Inputs!$B$5:$B$110*(((Inputs!$G$5:$G$110="moeda")+(Inputs!$G$5:$G$110="acoes"))*Inputs!$B$1+((Inputs!$G$5:$G$110&lt;&gt;"moeda")*(Inputs!$G$5:$G$110&lt;&gt;"acoes")))*INDEX(Inputs!$K$5:$AJ$110,0,MATCH(V$2,Inputs!$K$4:$AJ$4,0)))+SUMPRODUCT((Inputs!$C$5:$C$110=$B33)*Inputs!$D$5:$D$110*(((Inputs!$G$5:$G$110="moeda")+(Inputs!$G$5:$G$110="acoes"))*Inputs!$B$1+((Inputs!$G$5:$G$110&lt;&gt;"moeda")*(Inputs!$G$5:$G$110&lt;&gt;"acoes")))*INDEX(Inputs!$K$5:$AJ$110,0,MATCH(V$2,Inputs!$K$4:$AJ$4,0)))+SUMPRODUCT((Inputs!$E$5:$E$110=$B33)*Inputs!$F$5:$F$110*(((Inputs!$G$5:$G$110="moeda")+(Inputs!$G$5:$G$110="acoes"))*Inputs!$B$1+((Inputs!$G$5:$G$110&lt;&gt;"moeda")*(Inputs!$G$5:$G$110&lt;&gt;"acoes")))*INDEX(Inputs!$K$5:$AJ$110,0,MATCH(V$2,Inputs!$K$4:$AJ$4,0)))))</f>
        <v>0</v>
      </c>
      <c r="W33" s="3">
        <f>V33</f>
        <v>0</v>
      </c>
      <c r="X33" s="6">
        <f>IF(ISNA(MATCH(X$2,Inputs!$K$4:$AJ$4,0)),NA(),IF(SUMPRODUCT((Inputs!$A$5:$A$110=$B33)*ISNUMBER(INDEX(Inputs!$K$5:$AJ$110,0,MATCH(X$2,Inputs!$K$4:$AJ$4,0))))+SUMPRODUCT((Inputs!$C$5:$C$110=$B33)*ISNUMBER(INDEX(Inputs!$K$5:$AJ$110,0,MATCH(X$2,Inputs!$K$4:$AJ$4,0))))+SUMPRODUCT((Inputs!$E$5:$E$110=$B33)*ISNUMBER(INDEX(Inputs!$K$5:$AJ$110,0,MATCH(X$2,Inputs!$K$4:$AJ$4,0))))=0,NA(),SUMPRODUCT((Inputs!$A$5:$A$110=$B33)*Inputs!$B$5:$B$110*(((Inputs!$G$5:$G$110="moeda")+(Inputs!$G$5:$G$110="acoes"))*Inputs!$B$1+((Inputs!$G$5:$G$110&lt;&gt;"moeda")*(Inputs!$G$5:$G$110&lt;&gt;"acoes")))*INDEX(Inputs!$K$5:$AJ$110,0,MATCH(X$2,Inputs!$K$4:$AJ$4,0)))+SUMPRODUCT((Inputs!$C$5:$C$110=$B33)*Inputs!$D$5:$D$110*(((Inputs!$G$5:$G$110="moeda")+(Inputs!$G$5:$G$110="acoes"))*Inputs!$B$1+((Inputs!$G$5:$G$110&lt;&gt;"moeda")*(Inputs!$G$5:$G$110&lt;&gt;"acoes")))*INDEX(Inputs!$K$5:$AJ$110,0,MATCH(X$2,Inputs!$K$4:$AJ$4,0)))+SUMPRODUCT((Inputs!$E$5:$E$110=$B33)*Inputs!$F$5:$F$110*(((Inputs!$G$5:$G$110="moeda")+(Inputs!$G$5:$G$110="acoes"))*Inputs!$B$1+((Inputs!$G$5:$G$110&lt;&gt;"moeda")*(Inputs!$G$5:$G$110&lt;&gt;"acoes")))*INDEX(Inputs!$K$5:$AJ$110,0,MATCH(X$2,Inputs!$K$4:$AJ$4,0)))))</f>
        <v>0</v>
      </c>
      <c r="Y33" s="6">
        <f>IF(ISNA(MATCH(Y$2,Inputs!$K$4:$AJ$4,0)),NA(),IF(SUMPRODUCT((Inputs!$A$5:$A$110=$B33)*ISNUMBER(INDEX(Inputs!$K$5:$AJ$110,0,MATCH(Y$2,Inputs!$K$4:$AJ$4,0))))+SUMPRODUCT((Inputs!$C$5:$C$110=$B33)*ISNUMBER(INDEX(Inputs!$K$5:$AJ$110,0,MATCH(Y$2,Inputs!$K$4:$AJ$4,0))))+SUMPRODUCT((Inputs!$E$5:$E$110=$B33)*ISNUMBER(INDEX(Inputs!$K$5:$AJ$110,0,MATCH(Y$2,Inputs!$K$4:$AJ$4,0))))=0,NA(),SUMPRODUCT((Inputs!$A$5:$A$110=$B33)*Inputs!$B$5:$B$110*(((Inputs!$G$5:$G$110="moeda")+(Inputs!$G$5:$G$110="acoes"))*Inputs!$B$1+((Inputs!$G$5:$G$110&lt;&gt;"moeda")*(Inputs!$G$5:$G$110&lt;&gt;"acoes")))*INDEX(Inputs!$K$5:$AJ$110,0,MATCH(Y$2,Inputs!$K$4:$AJ$4,0)))+SUMPRODUCT((Inputs!$C$5:$C$110=$B33)*Inputs!$D$5:$D$110*(((Inputs!$G$5:$G$110="moeda")+(Inputs!$G$5:$G$110="acoes"))*Inputs!$B$1+((Inputs!$G$5:$G$110&lt;&gt;"moeda")*(Inputs!$G$5:$G$110&lt;&gt;"acoes")))*INDEX(Inputs!$K$5:$AJ$110,0,MATCH(Y$2,Inputs!$K$4:$AJ$4,0)))+SUMPRODUCT((Inputs!$E$5:$E$110=$B33)*Inputs!$F$5:$F$110*(((Inputs!$G$5:$G$110="moeda")+(Inputs!$G$5:$G$110="acoes"))*Inputs!$B$1+((Inputs!$G$5:$G$110&lt;&gt;"moeda")*(Inputs!$G$5:$G$110&lt;&gt;"acoes")))*INDEX(Inputs!$K$5:$AJ$110,0,MATCH(Y$2,Inputs!$K$4:$AJ$4,0)))))</f>
        <v>0</v>
      </c>
      <c r="Z33" s="6">
        <f>IF(ISNA(MATCH(Z$2,Inputs!$K$4:$AJ$4,0)),NA(),IF(SUMPRODUCT((Inputs!$A$5:$A$110=$B33)*ISNUMBER(INDEX(Inputs!$K$5:$AJ$110,0,MATCH(Z$2,Inputs!$K$4:$AJ$4,0))))+SUMPRODUCT((Inputs!$C$5:$C$110=$B33)*ISNUMBER(INDEX(Inputs!$K$5:$AJ$110,0,MATCH(Z$2,Inputs!$K$4:$AJ$4,0))))+SUMPRODUCT((Inputs!$E$5:$E$110=$B33)*ISNUMBER(INDEX(Inputs!$K$5:$AJ$110,0,MATCH(Z$2,Inputs!$K$4:$AJ$4,0))))=0,NA(),SUMPRODUCT((Inputs!$A$5:$A$110=$B33)*Inputs!$B$5:$B$110*(((Inputs!$G$5:$G$110="moeda")+(Inputs!$G$5:$G$110="acoes"))*Inputs!$B$1+((Inputs!$G$5:$G$110&lt;&gt;"moeda")*(Inputs!$G$5:$G$110&lt;&gt;"acoes")))*INDEX(Inputs!$K$5:$AJ$110,0,MATCH(Z$2,Inputs!$K$4:$AJ$4,0)))+SUMPRODUCT((Inputs!$C$5:$C$110=$B33)*Inputs!$D$5:$D$110*(((Inputs!$G$5:$G$110="moeda")+(Inputs!$G$5:$G$110="acoes"))*Inputs!$B$1+((Inputs!$G$5:$G$110&lt;&gt;"moeda")*(Inputs!$G$5:$G$110&lt;&gt;"acoes")))*INDEX(Inputs!$K$5:$AJ$110,0,MATCH(Z$2,Inputs!$K$4:$AJ$4,0)))+SUMPRODUCT((Inputs!$E$5:$E$110=$B33)*Inputs!$F$5:$F$110*(((Inputs!$G$5:$G$110="moeda")+(Inputs!$G$5:$G$110="acoes"))*Inputs!$B$1+((Inputs!$G$5:$G$110&lt;&gt;"moeda")*(Inputs!$G$5:$G$110&lt;&gt;"acoes")))*INDEX(Inputs!$K$5:$AJ$110,0,MATCH(Z$2,Inputs!$K$4:$AJ$4,0)))))</f>
        <v>0</v>
      </c>
      <c r="AA33" s="6">
        <f>IF(ISNA(MATCH(AA$2,Inputs!$K$4:$AJ$4,0)),NA(),IF(SUMPRODUCT((Inputs!$A$5:$A$110=$B33)*ISNUMBER(INDEX(Inputs!$K$5:$AJ$110,0,MATCH(AA$2,Inputs!$K$4:$AJ$4,0))))+SUMPRODUCT((Inputs!$C$5:$C$110=$B33)*ISNUMBER(INDEX(Inputs!$K$5:$AJ$110,0,MATCH(AA$2,Inputs!$K$4:$AJ$4,0))))+SUMPRODUCT((Inputs!$E$5:$E$110=$B33)*ISNUMBER(INDEX(Inputs!$K$5:$AJ$110,0,MATCH(AA$2,Inputs!$K$4:$AJ$4,0))))=0,NA(),SUMPRODUCT((Inputs!$A$5:$A$110=$B33)*Inputs!$B$5:$B$110*(((Inputs!$G$5:$G$110="moeda")+(Inputs!$G$5:$G$110="acoes"))*Inputs!$B$1+((Inputs!$G$5:$G$110&lt;&gt;"moeda")*(Inputs!$G$5:$G$110&lt;&gt;"acoes")))*INDEX(Inputs!$K$5:$AJ$110,0,MATCH(AA$2,Inputs!$K$4:$AJ$4,0)))+SUMPRODUCT((Inputs!$C$5:$C$110=$B33)*Inputs!$D$5:$D$110*(((Inputs!$G$5:$G$110="moeda")+(Inputs!$G$5:$G$110="acoes"))*Inputs!$B$1+((Inputs!$G$5:$G$110&lt;&gt;"moeda")*(Inputs!$G$5:$G$110&lt;&gt;"acoes")))*INDEX(Inputs!$K$5:$AJ$110,0,MATCH(AA$2,Inputs!$K$4:$AJ$4,0)))+SUMPRODUCT((Inputs!$E$5:$E$110=$B33)*Inputs!$F$5:$F$110*(((Inputs!$G$5:$G$110="moeda")+(Inputs!$G$5:$G$110="acoes"))*Inputs!$B$1+((Inputs!$G$5:$G$110&lt;&gt;"moeda")*(Inputs!$G$5:$G$110&lt;&gt;"acoes")))*INDEX(Inputs!$K$5:$AJ$110,0,MATCH(AA$2,Inputs!$K$4:$AJ$4,0)))))</f>
        <v>0</v>
      </c>
      <c r="AB33" s="3">
        <f>AA33</f>
        <v>0</v>
      </c>
      <c r="AC33" s="6">
        <f>IF(ISNA(MATCH(AC$2,Inputs!$K$4:$AJ$4,0)),NA(),IF(SUMPRODUCT((Inputs!$A$5:$A$110=$B33)*ISNUMBER(INDEX(Inputs!$K$5:$AJ$110,0,MATCH(AC$2,Inputs!$K$4:$AJ$4,0))))+SUMPRODUCT((Inputs!$C$5:$C$110=$B33)*ISNUMBER(INDEX(Inputs!$K$5:$AJ$110,0,MATCH(AC$2,Inputs!$K$4:$AJ$4,0))))+SUMPRODUCT((Inputs!$E$5:$E$110=$B33)*ISNUMBER(INDEX(Inputs!$K$5:$AJ$110,0,MATCH(AC$2,Inputs!$K$4:$AJ$4,0))))=0,NA(),SUMPRODUCT((Inputs!$A$5:$A$110=$B33)*Inputs!$B$5:$B$110*(((Inputs!$G$5:$G$110="moeda")+(Inputs!$G$5:$G$110="acoes"))*Inputs!$B$1+((Inputs!$G$5:$G$110&lt;&gt;"moeda")*(Inputs!$G$5:$G$110&lt;&gt;"acoes")))*INDEX(Inputs!$K$5:$AJ$110,0,MATCH(AC$2,Inputs!$K$4:$AJ$4,0)))+SUMPRODUCT((Inputs!$C$5:$C$110=$B33)*Inputs!$D$5:$D$110*(((Inputs!$G$5:$G$110="moeda")+(Inputs!$G$5:$G$110="acoes"))*Inputs!$B$1+((Inputs!$G$5:$G$110&lt;&gt;"moeda")*(Inputs!$G$5:$G$110&lt;&gt;"acoes")))*INDEX(Inputs!$K$5:$AJ$110,0,MATCH(AC$2,Inputs!$K$4:$AJ$4,0)))+SUMPRODUCT((Inputs!$E$5:$E$110=$B33)*Inputs!$F$5:$F$110*(((Inputs!$G$5:$G$110="moeda")+(Inputs!$G$5:$G$110="acoes"))*Inputs!$B$1+((Inputs!$G$5:$G$110&lt;&gt;"moeda")*(Inputs!$G$5:$G$110&lt;&gt;"acoes")))*INDEX(Inputs!$K$5:$AJ$110,0,MATCH(AC$2,Inputs!$K$4:$AJ$4,0)))))</f>
        <v>0</v>
      </c>
      <c r="AD33" s="6">
        <f>IF(ISNA(MATCH(AD$2,Inputs!$K$4:$AJ$4,0)),NA(),IF(SUMPRODUCT((Inputs!$A$5:$A$110=$B33)*ISNUMBER(INDEX(Inputs!$K$5:$AJ$110,0,MATCH(AD$2,Inputs!$K$4:$AJ$4,0))))+SUMPRODUCT((Inputs!$C$5:$C$110=$B33)*ISNUMBER(INDEX(Inputs!$K$5:$AJ$110,0,MATCH(AD$2,Inputs!$K$4:$AJ$4,0))))+SUMPRODUCT((Inputs!$E$5:$E$110=$B33)*ISNUMBER(INDEX(Inputs!$K$5:$AJ$110,0,MATCH(AD$2,Inputs!$K$4:$AJ$4,0))))=0,NA(),SUMPRODUCT((Inputs!$A$5:$A$110=$B33)*Inputs!$B$5:$B$110*(((Inputs!$G$5:$G$110="moeda")+(Inputs!$G$5:$G$110="acoes"))*Inputs!$B$1+((Inputs!$G$5:$G$110&lt;&gt;"moeda")*(Inputs!$G$5:$G$110&lt;&gt;"acoes")))*INDEX(Inputs!$K$5:$AJ$110,0,MATCH(AD$2,Inputs!$K$4:$AJ$4,0)))+SUMPRODUCT((Inputs!$C$5:$C$110=$B33)*Inputs!$D$5:$D$110*(((Inputs!$G$5:$G$110="moeda")+(Inputs!$G$5:$G$110="acoes"))*Inputs!$B$1+((Inputs!$G$5:$G$110&lt;&gt;"moeda")*(Inputs!$G$5:$G$110&lt;&gt;"acoes")))*INDEX(Inputs!$K$5:$AJ$110,0,MATCH(AD$2,Inputs!$K$4:$AJ$4,0)))+SUMPRODUCT((Inputs!$E$5:$E$110=$B33)*Inputs!$F$5:$F$110*(((Inputs!$G$5:$G$110="moeda")+(Inputs!$G$5:$G$110="acoes"))*Inputs!$B$1+((Inputs!$G$5:$G$110&lt;&gt;"moeda")*(Inputs!$G$5:$G$110&lt;&gt;"acoes")))*INDEX(Inputs!$K$5:$AJ$110,0,MATCH(AD$2,Inputs!$K$4:$AJ$4,0)))))</f>
        <v>0</v>
      </c>
      <c r="AE33" s="6" t="e">
        <f>IF(ISNA(MATCH(AE$2,Inputs!$K$4:$AJ$4,0)),NA(),IF(SUMPRODUCT((Inputs!$A$5:$A$110=$B33)*ISNUMBER(INDEX(Inputs!$K$5:$AJ$110,0,MATCH(AE$2,Inputs!$K$4:$AJ$4,0))))+SUMPRODUCT((Inputs!$C$5:$C$110=$B33)*ISNUMBER(INDEX(Inputs!$K$5:$AJ$110,0,MATCH(AE$2,Inputs!$K$4:$AJ$4,0))))+SUMPRODUCT((Inputs!$E$5:$E$110=$B33)*ISNUMBER(INDEX(Inputs!$K$5:$AJ$110,0,MATCH(AE$2,Inputs!$K$4:$AJ$4,0))))=0,NA(),SUMPRODUCT((Inputs!$A$5:$A$110=$B33)*Inputs!$B$5:$B$110*(((Inputs!$G$5:$G$110="moeda")+(Inputs!$G$5:$G$110="acoes"))*Inputs!$B$1+((Inputs!$G$5:$G$110&lt;&gt;"moeda")*(Inputs!$G$5:$G$110&lt;&gt;"acoes")))*INDEX(Inputs!$K$5:$AJ$110,0,MATCH(AE$2,Inputs!$K$4:$AJ$4,0)))+SUMPRODUCT((Inputs!$C$5:$C$110=$B33)*Inputs!$D$5:$D$110*(((Inputs!$G$5:$G$110="moeda")+(Inputs!$G$5:$G$110="acoes"))*Inputs!$B$1+((Inputs!$G$5:$G$110&lt;&gt;"moeda")*(Inputs!$G$5:$G$110&lt;&gt;"acoes")))*INDEX(Inputs!$K$5:$AJ$110,0,MATCH(AE$2,Inputs!$K$4:$AJ$4,0)))+SUMPRODUCT((Inputs!$E$5:$E$110=$B33)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3" s="6" t="e">
        <f>IF(ISNA(MATCH(AF$2,Inputs!$K$4:$AJ$4,0)),NA(),IF(SUMPRODUCT((Inputs!$A$5:$A$110=$B33)*ISNUMBER(INDEX(Inputs!$K$5:$AJ$110,0,MATCH(AF$2,Inputs!$K$4:$AJ$4,0))))+SUMPRODUCT((Inputs!$C$5:$C$110=$B33)*ISNUMBER(INDEX(Inputs!$K$5:$AJ$110,0,MATCH(AF$2,Inputs!$K$4:$AJ$4,0))))+SUMPRODUCT((Inputs!$E$5:$E$110=$B33)*ISNUMBER(INDEX(Inputs!$K$5:$AJ$110,0,MATCH(AF$2,Inputs!$K$4:$AJ$4,0))))=0,NA(),SUMPRODUCT((Inputs!$A$5:$A$110=$B33)*Inputs!$B$5:$B$110*(((Inputs!$G$5:$G$110="moeda")+(Inputs!$G$5:$G$110="acoes"))*Inputs!$B$1+((Inputs!$G$5:$G$110&lt;&gt;"moeda")*(Inputs!$G$5:$G$110&lt;&gt;"acoes")))*INDEX(Inputs!$K$5:$AJ$110,0,MATCH(AF$2,Inputs!$K$4:$AJ$4,0)))+SUMPRODUCT((Inputs!$C$5:$C$110=$B33)*Inputs!$D$5:$D$110*(((Inputs!$G$5:$G$110="moeda")+(Inputs!$G$5:$G$110="acoes"))*Inputs!$B$1+((Inputs!$G$5:$G$110&lt;&gt;"moeda")*(Inputs!$G$5:$G$110&lt;&gt;"acoes")))*INDEX(Inputs!$K$5:$AJ$110,0,MATCH(AF$2,Inputs!$K$4:$AJ$4,0)))+SUMPRODUCT((Inputs!$E$5:$E$110=$B33)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3" s="3" t="e">
        <f>AF33</f>
        <v>#N/A</v>
      </c>
      <c r="AH33" s="6">
        <f>IF(ISNA(MATCH(AH$2,Inputs!$K$4:$AJ$4,0)),NA(),IF(SUMPRODUCT((Inputs!$A$5:$A$110=$B33)*ISNUMBER(INDEX(Inputs!$K$5:$AJ$110,0,MATCH(AH$2,Inputs!$K$4:$AJ$4,0))))+SUMPRODUCT((Inputs!$C$5:$C$110=$B33)*ISNUMBER(INDEX(Inputs!$K$5:$AJ$110,0,MATCH(AH$2,Inputs!$K$4:$AJ$4,0))))+SUMPRODUCT((Inputs!$E$5:$E$110=$B33)*ISNUMBER(INDEX(Inputs!$K$5:$AJ$110,0,MATCH(AH$2,Inputs!$K$4:$AJ$4,0))))=0,NA(),SUMPRODUCT((Inputs!$A$5:$A$110=$B33)*Inputs!$B$5:$B$110*(((Inputs!$G$5:$G$110="moeda")+(Inputs!$G$5:$G$110="acoes"))*Inputs!$B$1+((Inputs!$G$5:$G$110&lt;&gt;"moeda")*(Inputs!$G$5:$G$110&lt;&gt;"acoes")))*INDEX(Inputs!$K$5:$AJ$110,0,MATCH(AH$2,Inputs!$K$4:$AJ$4,0)))+SUMPRODUCT((Inputs!$C$5:$C$110=$B33)*Inputs!$D$5:$D$110*(((Inputs!$G$5:$G$110="moeda")+(Inputs!$G$5:$G$110="acoes"))*Inputs!$B$1+((Inputs!$G$5:$G$110&lt;&gt;"moeda")*(Inputs!$G$5:$G$110&lt;&gt;"acoes")))*INDEX(Inputs!$K$5:$AJ$110,0,MATCH(AH$2,Inputs!$K$4:$AJ$4,0)))+SUMPRODUCT((Inputs!$E$5:$E$110=$B33)*Inputs!$F$5:$F$110*(((Inputs!$G$5:$G$110="moeda")+(Inputs!$G$5:$G$110="acoes"))*Inputs!$B$1+((Inputs!$G$5:$G$110&lt;&gt;"moeda")*(Inputs!$G$5:$G$110&lt;&gt;"acoes")))*INDEX(Inputs!$K$5:$AJ$110,0,MATCH(AH$2,Inputs!$K$4:$AJ$4,0)))))</f>
        <v>0</v>
      </c>
      <c r="AI33" s="6">
        <f>IF(ISNA(MATCH(AI$2,Inputs!$K$4:$AJ$4,0)),NA(),IF(SUMPRODUCT((Inputs!$A$5:$A$110=$B33)*ISNUMBER(INDEX(Inputs!$K$5:$AJ$110,0,MATCH(AI$2,Inputs!$K$4:$AJ$4,0))))+SUMPRODUCT((Inputs!$C$5:$C$110=$B33)*ISNUMBER(INDEX(Inputs!$K$5:$AJ$110,0,MATCH(AI$2,Inputs!$K$4:$AJ$4,0))))+SUMPRODUCT((Inputs!$E$5:$E$110=$B33)*ISNUMBER(INDEX(Inputs!$K$5:$AJ$110,0,MATCH(AI$2,Inputs!$K$4:$AJ$4,0))))=0,NA(),SUMPRODUCT((Inputs!$A$5:$A$110=$B33)*Inputs!$B$5:$B$110*(((Inputs!$G$5:$G$110="moeda")+(Inputs!$G$5:$G$110="acoes"))*Inputs!$B$1+((Inputs!$G$5:$G$110&lt;&gt;"moeda")*(Inputs!$G$5:$G$110&lt;&gt;"acoes")))*INDEX(Inputs!$K$5:$AJ$110,0,MATCH(AI$2,Inputs!$K$4:$AJ$4,0)))+SUMPRODUCT((Inputs!$C$5:$C$110=$B33)*Inputs!$D$5:$D$110*(((Inputs!$G$5:$G$110="moeda")+(Inputs!$G$5:$G$110="acoes"))*Inputs!$B$1+((Inputs!$G$5:$G$110&lt;&gt;"moeda")*(Inputs!$G$5:$G$110&lt;&gt;"acoes")))*INDEX(Inputs!$K$5:$AJ$110,0,MATCH(AI$2,Inputs!$K$4:$AJ$4,0)))+SUMPRODUCT((Inputs!$E$5:$E$110=$B33)*Inputs!$F$5:$F$110*(((Inputs!$G$5:$G$110="moeda")+(Inputs!$G$5:$G$110="acoes"))*Inputs!$B$1+((Inputs!$G$5:$G$110&lt;&gt;"moeda")*(Inputs!$G$5:$G$110&lt;&gt;"acoes")))*INDEX(Inputs!$K$5:$AJ$110,0,MATCH(AI$2,Inputs!$K$4:$AJ$4,0)))))</f>
        <v>0</v>
      </c>
      <c r="AJ33" s="6">
        <f>IF(ISNA(MATCH(AJ$2,Inputs!$K$4:$AJ$4,0)),NA(),IF(SUMPRODUCT((Inputs!$A$5:$A$110=$B33)*ISNUMBER(INDEX(Inputs!$K$5:$AJ$110,0,MATCH(AJ$2,Inputs!$K$4:$AJ$4,0))))+SUMPRODUCT((Inputs!$C$5:$C$110=$B33)*ISNUMBER(INDEX(Inputs!$K$5:$AJ$110,0,MATCH(AJ$2,Inputs!$K$4:$AJ$4,0))))+SUMPRODUCT((Inputs!$E$5:$E$110=$B33)*ISNUMBER(INDEX(Inputs!$K$5:$AJ$110,0,MATCH(AJ$2,Inputs!$K$4:$AJ$4,0))))=0,NA(),SUMPRODUCT((Inputs!$A$5:$A$110=$B33)*Inputs!$B$5:$B$110*(((Inputs!$G$5:$G$110="moeda")+(Inputs!$G$5:$G$110="acoes"))*Inputs!$B$1+((Inputs!$G$5:$G$110&lt;&gt;"moeda")*(Inputs!$G$5:$G$110&lt;&gt;"acoes")))*INDEX(Inputs!$K$5:$AJ$110,0,MATCH(AJ$2,Inputs!$K$4:$AJ$4,0)))+SUMPRODUCT((Inputs!$C$5:$C$110=$B33)*Inputs!$D$5:$D$110*(((Inputs!$G$5:$G$110="moeda")+(Inputs!$G$5:$G$110="acoes"))*Inputs!$B$1+((Inputs!$G$5:$G$110&lt;&gt;"moeda")*(Inputs!$G$5:$G$110&lt;&gt;"acoes")))*INDEX(Inputs!$K$5:$AJ$110,0,MATCH(AJ$2,Inputs!$K$4:$AJ$4,0)))+SUMPRODUCT((Inputs!$E$5:$E$110=$B33)*Inputs!$F$5:$F$110*(((Inputs!$G$5:$G$110="moeda")+(Inputs!$G$5:$G$110="acoes"))*Inputs!$B$1+((Inputs!$G$5:$G$110&lt;&gt;"moeda")*(Inputs!$G$5:$G$110&lt;&gt;"acoes")))*INDEX(Inputs!$K$5:$AJ$110,0,MATCH(AJ$2,Inputs!$K$4:$AJ$4,0)))))</f>
        <v>0</v>
      </c>
      <c r="AK33" s="6">
        <f>IF(ISNA(MATCH(AK$2,Inputs!$K$4:$AJ$4,0)),NA(),IF(SUMPRODUCT((Inputs!$A$5:$A$110=$B33)*ISNUMBER(INDEX(Inputs!$K$5:$AJ$110,0,MATCH(AK$2,Inputs!$K$4:$AJ$4,0))))+SUMPRODUCT((Inputs!$C$5:$C$110=$B33)*ISNUMBER(INDEX(Inputs!$K$5:$AJ$110,0,MATCH(AK$2,Inputs!$K$4:$AJ$4,0))))+SUMPRODUCT((Inputs!$E$5:$E$110=$B33)*ISNUMBER(INDEX(Inputs!$K$5:$AJ$110,0,MATCH(AK$2,Inputs!$K$4:$AJ$4,0))))=0,NA(),SUMPRODUCT((Inputs!$A$5:$A$110=$B33)*Inputs!$B$5:$B$110*(((Inputs!$G$5:$G$110="moeda")+(Inputs!$G$5:$G$110="acoes"))*Inputs!$B$1+((Inputs!$G$5:$G$110&lt;&gt;"moeda")*(Inputs!$G$5:$G$110&lt;&gt;"acoes")))*INDEX(Inputs!$K$5:$AJ$110,0,MATCH(AK$2,Inputs!$K$4:$AJ$4,0)))+SUMPRODUCT((Inputs!$C$5:$C$110=$B33)*Inputs!$D$5:$D$110*(((Inputs!$G$5:$G$110="moeda")+(Inputs!$G$5:$G$110="acoes"))*Inputs!$B$1+((Inputs!$G$5:$G$110&lt;&gt;"moeda")*(Inputs!$G$5:$G$110&lt;&gt;"acoes")))*INDEX(Inputs!$K$5:$AJ$110,0,MATCH(AK$2,Inputs!$K$4:$AJ$4,0)))+SUMPRODUCT((Inputs!$E$5:$E$110=$B33)*Inputs!$F$5:$F$110*(((Inputs!$G$5:$G$110="moeda")+(Inputs!$G$5:$G$110="acoes"))*Inputs!$B$1+((Inputs!$G$5:$G$110&lt;&gt;"moeda")*(Inputs!$G$5:$G$110&lt;&gt;"acoes")))*INDEX(Inputs!$K$5:$AJ$110,0,MATCH(AK$2,Inputs!$K$4:$AJ$4,0)))))</f>
        <v>0</v>
      </c>
      <c r="AL33" s="3">
        <f>AK33</f>
        <v>0</v>
      </c>
    </row>
    <row r="34">
      <c r="B34" s="46" t="n">
        <v>29</v>
      </c>
      <c r="C34" s="26" t="inlineStr">
        <is>
          <t>Short term operating leases</t>
        </is>
      </c>
      <c r="D34" s="6">
        <f>IF(ISNA(MATCH(D$2,Inputs!$K$4:$AJ$4,0)),NA(),IF(SUMPRODUCT((Inputs!$A$5:$A$110=$B34)*ISNUMBER(INDEX(Inputs!$K$5:$AJ$110,0,MATCH(D$2,Inputs!$K$4:$AJ$4,0))))+SUMPRODUCT((Inputs!$C$5:$C$110=$B34)*ISNUMBER(INDEX(Inputs!$K$5:$AJ$110,0,MATCH(D$2,Inputs!$K$4:$AJ$4,0))))+SUMPRODUCT((Inputs!$E$5:$E$110=$B34)*ISNUMBER(INDEX(Inputs!$K$5:$AJ$110,0,MATCH(D$2,Inputs!$K$4:$AJ$4,0))))=0,NA(),SUMPRODUCT((Inputs!$A$5:$A$110=$B34)*Inputs!$B$5:$B$110*(((Inputs!$G$5:$G$110="moeda")+(Inputs!$G$5:$G$110="acoes"))*Inputs!$B$1+((Inputs!$G$5:$G$110&lt;&gt;"moeda")*(Inputs!$G$5:$G$110&lt;&gt;"acoes")))*INDEX(Inputs!$K$5:$AJ$110,0,MATCH(D$2,Inputs!$K$4:$AJ$4,0)))+SUMPRODUCT((Inputs!$C$5:$C$110=$B34)*Inputs!$D$5:$D$110*(((Inputs!$G$5:$G$110="moeda")+(Inputs!$G$5:$G$110="acoes"))*Inputs!$B$1+((Inputs!$G$5:$G$110&lt;&gt;"moeda")*(Inputs!$G$5:$G$110&lt;&gt;"acoes")))*INDEX(Inputs!$K$5:$AJ$110,0,MATCH(D$2,Inputs!$K$4:$AJ$4,0)))+SUMPRODUCT((Inputs!$E$5:$E$110=$B34)*Inputs!$F$5:$F$110*(((Inputs!$G$5:$G$110="moeda")+(Inputs!$G$5:$G$110="acoes"))*Inputs!$B$1+((Inputs!$G$5:$G$110&lt;&gt;"moeda")*(Inputs!$G$5:$G$110&lt;&gt;"acoes")))*INDEX(Inputs!$K$5:$AJ$110,0,MATCH(D$2,Inputs!$K$4:$AJ$4,0)))))</f>
        <v>0</v>
      </c>
      <c r="E34" s="6">
        <f>IF(ISNA(MATCH(E$2,Inputs!$K$4:$AJ$4,0)),NA(),IF(SUMPRODUCT((Inputs!$A$5:$A$110=$B34)*ISNUMBER(INDEX(Inputs!$K$5:$AJ$110,0,MATCH(E$2,Inputs!$K$4:$AJ$4,0))))+SUMPRODUCT((Inputs!$C$5:$C$110=$B34)*ISNUMBER(INDEX(Inputs!$K$5:$AJ$110,0,MATCH(E$2,Inputs!$K$4:$AJ$4,0))))+SUMPRODUCT((Inputs!$E$5:$E$110=$B34)*ISNUMBER(INDEX(Inputs!$K$5:$AJ$110,0,MATCH(E$2,Inputs!$K$4:$AJ$4,0))))=0,NA(),SUMPRODUCT((Inputs!$A$5:$A$110=$B34)*Inputs!$B$5:$B$110*(((Inputs!$G$5:$G$110="moeda")+(Inputs!$G$5:$G$110="acoes"))*Inputs!$B$1+((Inputs!$G$5:$G$110&lt;&gt;"moeda")*(Inputs!$G$5:$G$110&lt;&gt;"acoes")))*INDEX(Inputs!$K$5:$AJ$110,0,MATCH(E$2,Inputs!$K$4:$AJ$4,0)))+SUMPRODUCT((Inputs!$C$5:$C$110=$B34)*Inputs!$D$5:$D$110*(((Inputs!$G$5:$G$110="moeda")+(Inputs!$G$5:$G$110="acoes"))*Inputs!$B$1+((Inputs!$G$5:$G$110&lt;&gt;"moeda")*(Inputs!$G$5:$G$110&lt;&gt;"acoes")))*INDEX(Inputs!$K$5:$AJ$110,0,MATCH(E$2,Inputs!$K$4:$AJ$4,0)))+SUMPRODUCT((Inputs!$E$5:$E$110=$B34)*Inputs!$F$5:$F$110*(((Inputs!$G$5:$G$110="moeda")+(Inputs!$G$5:$G$110="acoes"))*Inputs!$B$1+((Inputs!$G$5:$G$110&lt;&gt;"moeda")*(Inputs!$G$5:$G$110&lt;&gt;"acoes")))*INDEX(Inputs!$K$5:$AJ$110,0,MATCH(E$2,Inputs!$K$4:$AJ$4,0)))))</f>
        <v>0</v>
      </c>
      <c r="F34" s="6">
        <f>IF(ISNA(MATCH(F$2,Inputs!$K$4:$AJ$4,0)),NA(),IF(SUMPRODUCT((Inputs!$A$5:$A$110=$B34)*ISNUMBER(INDEX(Inputs!$K$5:$AJ$110,0,MATCH(F$2,Inputs!$K$4:$AJ$4,0))))+SUMPRODUCT((Inputs!$C$5:$C$110=$B34)*ISNUMBER(INDEX(Inputs!$K$5:$AJ$110,0,MATCH(F$2,Inputs!$K$4:$AJ$4,0))))+SUMPRODUCT((Inputs!$E$5:$E$110=$B34)*ISNUMBER(INDEX(Inputs!$K$5:$AJ$110,0,MATCH(F$2,Inputs!$K$4:$AJ$4,0))))=0,NA(),SUMPRODUCT((Inputs!$A$5:$A$110=$B34)*Inputs!$B$5:$B$110*(((Inputs!$G$5:$G$110="moeda")+(Inputs!$G$5:$G$110="acoes"))*Inputs!$B$1+((Inputs!$G$5:$G$110&lt;&gt;"moeda")*(Inputs!$G$5:$G$110&lt;&gt;"acoes")))*INDEX(Inputs!$K$5:$AJ$110,0,MATCH(F$2,Inputs!$K$4:$AJ$4,0)))+SUMPRODUCT((Inputs!$C$5:$C$110=$B34)*Inputs!$D$5:$D$110*(((Inputs!$G$5:$G$110="moeda")+(Inputs!$G$5:$G$110="acoes"))*Inputs!$B$1+((Inputs!$G$5:$G$110&lt;&gt;"moeda")*(Inputs!$G$5:$G$110&lt;&gt;"acoes")))*INDEX(Inputs!$K$5:$AJ$110,0,MATCH(F$2,Inputs!$K$4:$AJ$4,0)))+SUMPRODUCT((Inputs!$E$5:$E$110=$B34)*Inputs!$F$5:$F$110*(((Inputs!$G$5:$G$110="moeda")+(Inputs!$G$5:$G$110="acoes"))*Inputs!$B$1+((Inputs!$G$5:$G$110&lt;&gt;"moeda")*(Inputs!$G$5:$G$110&lt;&gt;"acoes")))*INDEX(Inputs!$K$5:$AJ$110,0,MATCH(F$2,Inputs!$K$4:$AJ$4,0)))))</f>
        <v>0</v>
      </c>
      <c r="G34" s="6">
        <f>IF(ISNA(MATCH(G$2,Inputs!$K$4:$AJ$4,0)),NA(),IF(SUMPRODUCT((Inputs!$A$5:$A$110=$B34)*ISNUMBER(INDEX(Inputs!$K$5:$AJ$110,0,MATCH(G$2,Inputs!$K$4:$AJ$4,0))))+SUMPRODUCT((Inputs!$C$5:$C$110=$B34)*ISNUMBER(INDEX(Inputs!$K$5:$AJ$110,0,MATCH(G$2,Inputs!$K$4:$AJ$4,0))))+SUMPRODUCT((Inputs!$E$5:$E$110=$B34)*ISNUMBER(INDEX(Inputs!$K$5:$AJ$110,0,MATCH(G$2,Inputs!$K$4:$AJ$4,0))))=0,NA(),SUMPRODUCT((Inputs!$A$5:$A$110=$B34)*Inputs!$B$5:$B$110*(((Inputs!$G$5:$G$110="moeda")+(Inputs!$G$5:$G$110="acoes"))*Inputs!$B$1+((Inputs!$G$5:$G$110&lt;&gt;"moeda")*(Inputs!$G$5:$G$110&lt;&gt;"acoes")))*INDEX(Inputs!$K$5:$AJ$110,0,MATCH(G$2,Inputs!$K$4:$AJ$4,0)))+SUMPRODUCT((Inputs!$C$5:$C$110=$B34)*Inputs!$D$5:$D$110*(((Inputs!$G$5:$G$110="moeda")+(Inputs!$G$5:$G$110="acoes"))*Inputs!$B$1+((Inputs!$G$5:$G$110&lt;&gt;"moeda")*(Inputs!$G$5:$G$110&lt;&gt;"acoes")))*INDEX(Inputs!$K$5:$AJ$110,0,MATCH(G$2,Inputs!$K$4:$AJ$4,0)))+SUMPRODUCT((Inputs!$E$5:$E$110=$B34)*Inputs!$F$5:$F$110*(((Inputs!$G$5:$G$110="moeda")+(Inputs!$G$5:$G$110="acoes"))*Inputs!$B$1+((Inputs!$G$5:$G$110&lt;&gt;"moeda")*(Inputs!$G$5:$G$110&lt;&gt;"acoes")))*INDEX(Inputs!$K$5:$AJ$110,0,MATCH(G$2,Inputs!$K$4:$AJ$4,0)))))</f>
        <v>0</v>
      </c>
      <c r="H34" s="3">
        <f>G34</f>
        <v>0</v>
      </c>
      <c r="I34" s="6">
        <f>IF(ISNA(MATCH(I$2,Inputs!$K$4:$AJ$4,0)),NA(),IF(SUMPRODUCT((Inputs!$A$5:$A$110=$B34)*ISNUMBER(INDEX(Inputs!$K$5:$AJ$110,0,MATCH(I$2,Inputs!$K$4:$AJ$4,0))))+SUMPRODUCT((Inputs!$C$5:$C$110=$B34)*ISNUMBER(INDEX(Inputs!$K$5:$AJ$110,0,MATCH(I$2,Inputs!$K$4:$AJ$4,0))))+SUMPRODUCT((Inputs!$E$5:$E$110=$B34)*ISNUMBER(INDEX(Inputs!$K$5:$AJ$110,0,MATCH(I$2,Inputs!$K$4:$AJ$4,0))))=0,NA(),SUMPRODUCT((Inputs!$A$5:$A$110=$B34)*Inputs!$B$5:$B$110*(((Inputs!$G$5:$G$110="moeda")+(Inputs!$G$5:$G$110="acoes"))*Inputs!$B$1+((Inputs!$G$5:$G$110&lt;&gt;"moeda")*(Inputs!$G$5:$G$110&lt;&gt;"acoes")))*INDEX(Inputs!$K$5:$AJ$110,0,MATCH(I$2,Inputs!$K$4:$AJ$4,0)))+SUMPRODUCT((Inputs!$C$5:$C$110=$B34)*Inputs!$D$5:$D$110*(((Inputs!$G$5:$G$110="moeda")+(Inputs!$G$5:$G$110="acoes"))*Inputs!$B$1+((Inputs!$G$5:$G$110&lt;&gt;"moeda")*(Inputs!$G$5:$G$110&lt;&gt;"acoes")))*INDEX(Inputs!$K$5:$AJ$110,0,MATCH(I$2,Inputs!$K$4:$AJ$4,0)))+SUMPRODUCT((Inputs!$E$5:$E$110=$B34)*Inputs!$F$5:$F$110*(((Inputs!$G$5:$G$110="moeda")+(Inputs!$G$5:$G$110="acoes"))*Inputs!$B$1+((Inputs!$G$5:$G$110&lt;&gt;"moeda")*(Inputs!$G$5:$G$110&lt;&gt;"acoes")))*INDEX(Inputs!$K$5:$AJ$110,0,MATCH(I$2,Inputs!$K$4:$AJ$4,0)))))</f>
        <v>0</v>
      </c>
      <c r="J34" s="6">
        <f>IF(ISNA(MATCH(J$2,Inputs!$K$4:$AJ$4,0)),NA(),IF(SUMPRODUCT((Inputs!$A$5:$A$110=$B34)*ISNUMBER(INDEX(Inputs!$K$5:$AJ$110,0,MATCH(J$2,Inputs!$K$4:$AJ$4,0))))+SUMPRODUCT((Inputs!$C$5:$C$110=$B34)*ISNUMBER(INDEX(Inputs!$K$5:$AJ$110,0,MATCH(J$2,Inputs!$K$4:$AJ$4,0))))+SUMPRODUCT((Inputs!$E$5:$E$110=$B34)*ISNUMBER(INDEX(Inputs!$K$5:$AJ$110,0,MATCH(J$2,Inputs!$K$4:$AJ$4,0))))=0,NA(),SUMPRODUCT((Inputs!$A$5:$A$110=$B34)*Inputs!$B$5:$B$110*(((Inputs!$G$5:$G$110="moeda")+(Inputs!$G$5:$G$110="acoes"))*Inputs!$B$1+((Inputs!$G$5:$G$110&lt;&gt;"moeda")*(Inputs!$G$5:$G$110&lt;&gt;"acoes")))*INDEX(Inputs!$K$5:$AJ$110,0,MATCH(J$2,Inputs!$K$4:$AJ$4,0)))+SUMPRODUCT((Inputs!$C$5:$C$110=$B34)*Inputs!$D$5:$D$110*(((Inputs!$G$5:$G$110="moeda")+(Inputs!$G$5:$G$110="acoes"))*Inputs!$B$1+((Inputs!$G$5:$G$110&lt;&gt;"moeda")*(Inputs!$G$5:$G$110&lt;&gt;"acoes")))*INDEX(Inputs!$K$5:$AJ$110,0,MATCH(J$2,Inputs!$K$4:$AJ$4,0)))+SUMPRODUCT((Inputs!$E$5:$E$110=$B34)*Inputs!$F$5:$F$110*(((Inputs!$G$5:$G$110="moeda")+(Inputs!$G$5:$G$110="acoes"))*Inputs!$B$1+((Inputs!$G$5:$G$110&lt;&gt;"moeda")*(Inputs!$G$5:$G$110&lt;&gt;"acoes")))*INDEX(Inputs!$K$5:$AJ$110,0,MATCH(J$2,Inputs!$K$4:$AJ$4,0)))))</f>
        <v>0</v>
      </c>
      <c r="K34" s="6">
        <f>IF(ISNA(MATCH(K$2,Inputs!$K$4:$AJ$4,0)),NA(),IF(SUMPRODUCT((Inputs!$A$5:$A$110=$B34)*ISNUMBER(INDEX(Inputs!$K$5:$AJ$110,0,MATCH(K$2,Inputs!$K$4:$AJ$4,0))))+SUMPRODUCT((Inputs!$C$5:$C$110=$B34)*ISNUMBER(INDEX(Inputs!$K$5:$AJ$110,0,MATCH(K$2,Inputs!$K$4:$AJ$4,0))))+SUMPRODUCT((Inputs!$E$5:$E$110=$B34)*ISNUMBER(INDEX(Inputs!$K$5:$AJ$110,0,MATCH(K$2,Inputs!$K$4:$AJ$4,0))))=0,NA(),SUMPRODUCT((Inputs!$A$5:$A$110=$B34)*Inputs!$B$5:$B$110*(((Inputs!$G$5:$G$110="moeda")+(Inputs!$G$5:$G$110="acoes"))*Inputs!$B$1+((Inputs!$G$5:$G$110&lt;&gt;"moeda")*(Inputs!$G$5:$G$110&lt;&gt;"acoes")))*INDEX(Inputs!$K$5:$AJ$110,0,MATCH(K$2,Inputs!$K$4:$AJ$4,0)))+SUMPRODUCT((Inputs!$C$5:$C$110=$B34)*Inputs!$D$5:$D$110*(((Inputs!$G$5:$G$110="moeda")+(Inputs!$G$5:$G$110="acoes"))*Inputs!$B$1+((Inputs!$G$5:$G$110&lt;&gt;"moeda")*(Inputs!$G$5:$G$110&lt;&gt;"acoes")))*INDEX(Inputs!$K$5:$AJ$110,0,MATCH(K$2,Inputs!$K$4:$AJ$4,0)))+SUMPRODUCT((Inputs!$E$5:$E$110=$B34)*Inputs!$F$5:$F$110*(((Inputs!$G$5:$G$110="moeda")+(Inputs!$G$5:$G$110="acoes"))*Inputs!$B$1+((Inputs!$G$5:$G$110&lt;&gt;"moeda")*(Inputs!$G$5:$G$110&lt;&gt;"acoes")))*INDEX(Inputs!$K$5:$AJ$110,0,MATCH(K$2,Inputs!$K$4:$AJ$4,0)))))</f>
        <v>0</v>
      </c>
      <c r="L34" s="6">
        <f>IF(ISNA(MATCH(L$2,Inputs!$K$4:$AJ$4,0)),NA(),IF(SUMPRODUCT((Inputs!$A$5:$A$110=$B34)*ISNUMBER(INDEX(Inputs!$K$5:$AJ$110,0,MATCH(L$2,Inputs!$K$4:$AJ$4,0))))+SUMPRODUCT((Inputs!$C$5:$C$110=$B34)*ISNUMBER(INDEX(Inputs!$K$5:$AJ$110,0,MATCH(L$2,Inputs!$K$4:$AJ$4,0))))+SUMPRODUCT((Inputs!$E$5:$E$110=$B34)*ISNUMBER(INDEX(Inputs!$K$5:$AJ$110,0,MATCH(L$2,Inputs!$K$4:$AJ$4,0))))=0,NA(),SUMPRODUCT((Inputs!$A$5:$A$110=$B34)*Inputs!$B$5:$B$110*(((Inputs!$G$5:$G$110="moeda")+(Inputs!$G$5:$G$110="acoes"))*Inputs!$B$1+((Inputs!$G$5:$G$110&lt;&gt;"moeda")*(Inputs!$G$5:$G$110&lt;&gt;"acoes")))*INDEX(Inputs!$K$5:$AJ$110,0,MATCH(L$2,Inputs!$K$4:$AJ$4,0)))+SUMPRODUCT((Inputs!$C$5:$C$110=$B34)*Inputs!$D$5:$D$110*(((Inputs!$G$5:$G$110="moeda")+(Inputs!$G$5:$G$110="acoes"))*Inputs!$B$1+((Inputs!$G$5:$G$110&lt;&gt;"moeda")*(Inputs!$G$5:$G$110&lt;&gt;"acoes")))*INDEX(Inputs!$K$5:$AJ$110,0,MATCH(L$2,Inputs!$K$4:$AJ$4,0)))+SUMPRODUCT((Inputs!$E$5:$E$110=$B34)*Inputs!$F$5:$F$110*(((Inputs!$G$5:$G$110="moeda")+(Inputs!$G$5:$G$110="acoes"))*Inputs!$B$1+((Inputs!$G$5:$G$110&lt;&gt;"moeda")*(Inputs!$G$5:$G$110&lt;&gt;"acoes")))*INDEX(Inputs!$K$5:$AJ$110,0,MATCH(L$2,Inputs!$K$4:$AJ$4,0)))))</f>
        <v>0</v>
      </c>
      <c r="M34" s="3">
        <f>L34</f>
        <v>0</v>
      </c>
      <c r="N34" s="6">
        <f>IF(ISNA(MATCH(N$2,Inputs!$K$4:$AJ$4,0)),NA(),IF(SUMPRODUCT((Inputs!$A$5:$A$110=$B34)*ISNUMBER(INDEX(Inputs!$K$5:$AJ$110,0,MATCH(N$2,Inputs!$K$4:$AJ$4,0))))+SUMPRODUCT((Inputs!$C$5:$C$110=$B34)*ISNUMBER(INDEX(Inputs!$K$5:$AJ$110,0,MATCH(N$2,Inputs!$K$4:$AJ$4,0))))+SUMPRODUCT((Inputs!$E$5:$E$110=$B34)*ISNUMBER(INDEX(Inputs!$K$5:$AJ$110,0,MATCH(N$2,Inputs!$K$4:$AJ$4,0))))=0,NA(),SUMPRODUCT((Inputs!$A$5:$A$110=$B34)*Inputs!$B$5:$B$110*(((Inputs!$G$5:$G$110="moeda")+(Inputs!$G$5:$G$110="acoes"))*Inputs!$B$1+((Inputs!$G$5:$G$110&lt;&gt;"moeda")*(Inputs!$G$5:$G$110&lt;&gt;"acoes")))*INDEX(Inputs!$K$5:$AJ$110,0,MATCH(N$2,Inputs!$K$4:$AJ$4,0)))+SUMPRODUCT((Inputs!$C$5:$C$110=$B34)*Inputs!$D$5:$D$110*(((Inputs!$G$5:$G$110="moeda")+(Inputs!$G$5:$G$110="acoes"))*Inputs!$B$1+((Inputs!$G$5:$G$110&lt;&gt;"moeda")*(Inputs!$G$5:$G$110&lt;&gt;"acoes")))*INDEX(Inputs!$K$5:$AJ$110,0,MATCH(N$2,Inputs!$K$4:$AJ$4,0)))+SUMPRODUCT((Inputs!$E$5:$E$110=$B34)*Inputs!$F$5:$F$110*(((Inputs!$G$5:$G$110="moeda")+(Inputs!$G$5:$G$110="acoes"))*Inputs!$B$1+((Inputs!$G$5:$G$110&lt;&gt;"moeda")*(Inputs!$G$5:$G$110&lt;&gt;"acoes")))*INDEX(Inputs!$K$5:$AJ$110,0,MATCH(N$2,Inputs!$K$4:$AJ$4,0)))))</f>
        <v>0</v>
      </c>
      <c r="O34" s="6">
        <f>IF(ISNA(MATCH(O$2,Inputs!$K$4:$AJ$4,0)),NA(),IF(SUMPRODUCT((Inputs!$A$5:$A$110=$B34)*ISNUMBER(INDEX(Inputs!$K$5:$AJ$110,0,MATCH(O$2,Inputs!$K$4:$AJ$4,0))))+SUMPRODUCT((Inputs!$C$5:$C$110=$B34)*ISNUMBER(INDEX(Inputs!$K$5:$AJ$110,0,MATCH(O$2,Inputs!$K$4:$AJ$4,0))))+SUMPRODUCT((Inputs!$E$5:$E$110=$B34)*ISNUMBER(INDEX(Inputs!$K$5:$AJ$110,0,MATCH(O$2,Inputs!$K$4:$AJ$4,0))))=0,NA(),SUMPRODUCT((Inputs!$A$5:$A$110=$B34)*Inputs!$B$5:$B$110*(((Inputs!$G$5:$G$110="moeda")+(Inputs!$G$5:$G$110="acoes"))*Inputs!$B$1+((Inputs!$G$5:$G$110&lt;&gt;"moeda")*(Inputs!$G$5:$G$110&lt;&gt;"acoes")))*INDEX(Inputs!$K$5:$AJ$110,0,MATCH(O$2,Inputs!$K$4:$AJ$4,0)))+SUMPRODUCT((Inputs!$C$5:$C$110=$B34)*Inputs!$D$5:$D$110*(((Inputs!$G$5:$G$110="moeda")+(Inputs!$G$5:$G$110="acoes"))*Inputs!$B$1+((Inputs!$G$5:$G$110&lt;&gt;"moeda")*(Inputs!$G$5:$G$110&lt;&gt;"acoes")))*INDEX(Inputs!$K$5:$AJ$110,0,MATCH(O$2,Inputs!$K$4:$AJ$4,0)))+SUMPRODUCT((Inputs!$E$5:$E$110=$B34)*Inputs!$F$5:$F$110*(((Inputs!$G$5:$G$110="moeda")+(Inputs!$G$5:$G$110="acoes"))*Inputs!$B$1+((Inputs!$G$5:$G$110&lt;&gt;"moeda")*(Inputs!$G$5:$G$110&lt;&gt;"acoes")))*INDEX(Inputs!$K$5:$AJ$110,0,MATCH(O$2,Inputs!$K$4:$AJ$4,0)))))</f>
        <v>0</v>
      </c>
      <c r="P34" s="6">
        <f>IF(ISNA(MATCH(P$2,Inputs!$K$4:$AJ$4,0)),NA(),IF(SUMPRODUCT((Inputs!$A$5:$A$110=$B34)*ISNUMBER(INDEX(Inputs!$K$5:$AJ$110,0,MATCH(P$2,Inputs!$K$4:$AJ$4,0))))+SUMPRODUCT((Inputs!$C$5:$C$110=$B34)*ISNUMBER(INDEX(Inputs!$K$5:$AJ$110,0,MATCH(P$2,Inputs!$K$4:$AJ$4,0))))+SUMPRODUCT((Inputs!$E$5:$E$110=$B34)*ISNUMBER(INDEX(Inputs!$K$5:$AJ$110,0,MATCH(P$2,Inputs!$K$4:$AJ$4,0))))=0,NA(),SUMPRODUCT((Inputs!$A$5:$A$110=$B34)*Inputs!$B$5:$B$110*(((Inputs!$G$5:$G$110="moeda")+(Inputs!$G$5:$G$110="acoes"))*Inputs!$B$1+((Inputs!$G$5:$G$110&lt;&gt;"moeda")*(Inputs!$G$5:$G$110&lt;&gt;"acoes")))*INDEX(Inputs!$K$5:$AJ$110,0,MATCH(P$2,Inputs!$K$4:$AJ$4,0)))+SUMPRODUCT((Inputs!$C$5:$C$110=$B34)*Inputs!$D$5:$D$110*(((Inputs!$G$5:$G$110="moeda")+(Inputs!$G$5:$G$110="acoes"))*Inputs!$B$1+((Inputs!$G$5:$G$110&lt;&gt;"moeda")*(Inputs!$G$5:$G$110&lt;&gt;"acoes")))*INDEX(Inputs!$K$5:$AJ$110,0,MATCH(P$2,Inputs!$K$4:$AJ$4,0)))+SUMPRODUCT((Inputs!$E$5:$E$110=$B34)*Inputs!$F$5:$F$110*(((Inputs!$G$5:$G$110="moeda")+(Inputs!$G$5:$G$110="acoes"))*Inputs!$B$1+((Inputs!$G$5:$G$110&lt;&gt;"moeda")*(Inputs!$G$5:$G$110&lt;&gt;"acoes")))*INDEX(Inputs!$K$5:$AJ$110,0,MATCH(P$2,Inputs!$K$4:$AJ$4,0)))))</f>
        <v>0</v>
      </c>
      <c r="Q34" s="6">
        <f>IF(ISNA(MATCH(Q$2,Inputs!$K$4:$AJ$4,0)),NA(),IF(SUMPRODUCT((Inputs!$A$5:$A$110=$B34)*ISNUMBER(INDEX(Inputs!$K$5:$AJ$110,0,MATCH(Q$2,Inputs!$K$4:$AJ$4,0))))+SUMPRODUCT((Inputs!$C$5:$C$110=$B34)*ISNUMBER(INDEX(Inputs!$K$5:$AJ$110,0,MATCH(Q$2,Inputs!$K$4:$AJ$4,0))))+SUMPRODUCT((Inputs!$E$5:$E$110=$B34)*ISNUMBER(INDEX(Inputs!$K$5:$AJ$110,0,MATCH(Q$2,Inputs!$K$4:$AJ$4,0))))=0,NA(),SUMPRODUCT((Inputs!$A$5:$A$110=$B34)*Inputs!$B$5:$B$110*(((Inputs!$G$5:$G$110="moeda")+(Inputs!$G$5:$G$110="acoes"))*Inputs!$B$1+((Inputs!$G$5:$G$110&lt;&gt;"moeda")*(Inputs!$G$5:$G$110&lt;&gt;"acoes")))*INDEX(Inputs!$K$5:$AJ$110,0,MATCH(Q$2,Inputs!$K$4:$AJ$4,0)))+SUMPRODUCT((Inputs!$C$5:$C$110=$B34)*Inputs!$D$5:$D$110*(((Inputs!$G$5:$G$110="moeda")+(Inputs!$G$5:$G$110="acoes"))*Inputs!$B$1+((Inputs!$G$5:$G$110&lt;&gt;"moeda")*(Inputs!$G$5:$G$110&lt;&gt;"acoes")))*INDEX(Inputs!$K$5:$AJ$110,0,MATCH(Q$2,Inputs!$K$4:$AJ$4,0)))+SUMPRODUCT((Inputs!$E$5:$E$110=$B34)*Inputs!$F$5:$F$110*(((Inputs!$G$5:$G$110="moeda")+(Inputs!$G$5:$G$110="acoes"))*Inputs!$B$1+((Inputs!$G$5:$G$110&lt;&gt;"moeda")*(Inputs!$G$5:$G$110&lt;&gt;"acoes")))*INDEX(Inputs!$K$5:$AJ$110,0,MATCH(Q$2,Inputs!$K$4:$AJ$4,0)))))</f>
        <v>0</v>
      </c>
      <c r="R34" s="3">
        <f>Q34</f>
        <v>0</v>
      </c>
      <c r="S34" s="6">
        <f>IF(ISNA(MATCH(S$2,Inputs!$K$4:$AJ$4,0)),NA(),IF(SUMPRODUCT((Inputs!$A$5:$A$110=$B34)*ISNUMBER(INDEX(Inputs!$K$5:$AJ$110,0,MATCH(S$2,Inputs!$K$4:$AJ$4,0))))+SUMPRODUCT((Inputs!$C$5:$C$110=$B34)*ISNUMBER(INDEX(Inputs!$K$5:$AJ$110,0,MATCH(S$2,Inputs!$K$4:$AJ$4,0))))+SUMPRODUCT((Inputs!$E$5:$E$110=$B34)*ISNUMBER(INDEX(Inputs!$K$5:$AJ$110,0,MATCH(S$2,Inputs!$K$4:$AJ$4,0))))=0,NA(),SUMPRODUCT((Inputs!$A$5:$A$110=$B34)*Inputs!$B$5:$B$110*(((Inputs!$G$5:$G$110="moeda")+(Inputs!$G$5:$G$110="acoes"))*Inputs!$B$1+((Inputs!$G$5:$G$110&lt;&gt;"moeda")*(Inputs!$G$5:$G$110&lt;&gt;"acoes")))*INDEX(Inputs!$K$5:$AJ$110,0,MATCH(S$2,Inputs!$K$4:$AJ$4,0)))+SUMPRODUCT((Inputs!$C$5:$C$110=$B34)*Inputs!$D$5:$D$110*(((Inputs!$G$5:$G$110="moeda")+(Inputs!$G$5:$G$110="acoes"))*Inputs!$B$1+((Inputs!$G$5:$G$110&lt;&gt;"moeda")*(Inputs!$G$5:$G$110&lt;&gt;"acoes")))*INDEX(Inputs!$K$5:$AJ$110,0,MATCH(S$2,Inputs!$K$4:$AJ$4,0)))+SUMPRODUCT((Inputs!$E$5:$E$110=$B34)*Inputs!$F$5:$F$110*(((Inputs!$G$5:$G$110="moeda")+(Inputs!$G$5:$G$110="acoes"))*Inputs!$B$1+((Inputs!$G$5:$G$110&lt;&gt;"moeda")*(Inputs!$G$5:$G$110&lt;&gt;"acoes")))*INDEX(Inputs!$K$5:$AJ$110,0,MATCH(S$2,Inputs!$K$4:$AJ$4,0)))))</f>
        <v>0</v>
      </c>
      <c r="T34" s="6">
        <f>IF(ISNA(MATCH(T$2,Inputs!$K$4:$AJ$4,0)),NA(),IF(SUMPRODUCT((Inputs!$A$5:$A$110=$B34)*ISNUMBER(INDEX(Inputs!$K$5:$AJ$110,0,MATCH(T$2,Inputs!$K$4:$AJ$4,0))))+SUMPRODUCT((Inputs!$C$5:$C$110=$B34)*ISNUMBER(INDEX(Inputs!$K$5:$AJ$110,0,MATCH(T$2,Inputs!$K$4:$AJ$4,0))))+SUMPRODUCT((Inputs!$E$5:$E$110=$B34)*ISNUMBER(INDEX(Inputs!$K$5:$AJ$110,0,MATCH(T$2,Inputs!$K$4:$AJ$4,0))))=0,NA(),SUMPRODUCT((Inputs!$A$5:$A$110=$B34)*Inputs!$B$5:$B$110*(((Inputs!$G$5:$G$110="moeda")+(Inputs!$G$5:$G$110="acoes"))*Inputs!$B$1+((Inputs!$G$5:$G$110&lt;&gt;"moeda")*(Inputs!$G$5:$G$110&lt;&gt;"acoes")))*INDEX(Inputs!$K$5:$AJ$110,0,MATCH(T$2,Inputs!$K$4:$AJ$4,0)))+SUMPRODUCT((Inputs!$C$5:$C$110=$B34)*Inputs!$D$5:$D$110*(((Inputs!$G$5:$G$110="moeda")+(Inputs!$G$5:$G$110="acoes"))*Inputs!$B$1+((Inputs!$G$5:$G$110&lt;&gt;"moeda")*(Inputs!$G$5:$G$110&lt;&gt;"acoes")))*INDEX(Inputs!$K$5:$AJ$110,0,MATCH(T$2,Inputs!$K$4:$AJ$4,0)))+SUMPRODUCT((Inputs!$E$5:$E$110=$B34)*Inputs!$F$5:$F$110*(((Inputs!$G$5:$G$110="moeda")+(Inputs!$G$5:$G$110="acoes"))*Inputs!$B$1+((Inputs!$G$5:$G$110&lt;&gt;"moeda")*(Inputs!$G$5:$G$110&lt;&gt;"acoes")))*INDEX(Inputs!$K$5:$AJ$110,0,MATCH(T$2,Inputs!$K$4:$AJ$4,0)))))</f>
        <v>0</v>
      </c>
      <c r="U34" s="6">
        <f>IF(ISNA(MATCH(U$2,Inputs!$K$4:$AJ$4,0)),NA(),IF(SUMPRODUCT((Inputs!$A$5:$A$110=$B34)*ISNUMBER(INDEX(Inputs!$K$5:$AJ$110,0,MATCH(U$2,Inputs!$K$4:$AJ$4,0))))+SUMPRODUCT((Inputs!$C$5:$C$110=$B34)*ISNUMBER(INDEX(Inputs!$K$5:$AJ$110,0,MATCH(U$2,Inputs!$K$4:$AJ$4,0))))+SUMPRODUCT((Inputs!$E$5:$E$110=$B34)*ISNUMBER(INDEX(Inputs!$K$5:$AJ$110,0,MATCH(U$2,Inputs!$K$4:$AJ$4,0))))=0,NA(),SUMPRODUCT((Inputs!$A$5:$A$110=$B34)*Inputs!$B$5:$B$110*(((Inputs!$G$5:$G$110="moeda")+(Inputs!$G$5:$G$110="acoes"))*Inputs!$B$1+((Inputs!$G$5:$G$110&lt;&gt;"moeda")*(Inputs!$G$5:$G$110&lt;&gt;"acoes")))*INDEX(Inputs!$K$5:$AJ$110,0,MATCH(U$2,Inputs!$K$4:$AJ$4,0)))+SUMPRODUCT((Inputs!$C$5:$C$110=$B34)*Inputs!$D$5:$D$110*(((Inputs!$G$5:$G$110="moeda")+(Inputs!$G$5:$G$110="acoes"))*Inputs!$B$1+((Inputs!$G$5:$G$110&lt;&gt;"moeda")*(Inputs!$G$5:$G$110&lt;&gt;"acoes")))*INDEX(Inputs!$K$5:$AJ$110,0,MATCH(U$2,Inputs!$K$4:$AJ$4,0)))+SUMPRODUCT((Inputs!$E$5:$E$110=$B34)*Inputs!$F$5:$F$110*(((Inputs!$G$5:$G$110="moeda")+(Inputs!$G$5:$G$110="acoes"))*Inputs!$B$1+((Inputs!$G$5:$G$110&lt;&gt;"moeda")*(Inputs!$G$5:$G$110&lt;&gt;"acoes")))*INDEX(Inputs!$K$5:$AJ$110,0,MATCH(U$2,Inputs!$K$4:$AJ$4,0)))))</f>
        <v>0</v>
      </c>
      <c r="V34" s="6">
        <f>IF(ISNA(MATCH(V$2,Inputs!$K$4:$AJ$4,0)),NA(),IF(SUMPRODUCT((Inputs!$A$5:$A$110=$B34)*ISNUMBER(INDEX(Inputs!$K$5:$AJ$110,0,MATCH(V$2,Inputs!$K$4:$AJ$4,0))))+SUMPRODUCT((Inputs!$C$5:$C$110=$B34)*ISNUMBER(INDEX(Inputs!$K$5:$AJ$110,0,MATCH(V$2,Inputs!$K$4:$AJ$4,0))))+SUMPRODUCT((Inputs!$E$5:$E$110=$B34)*ISNUMBER(INDEX(Inputs!$K$5:$AJ$110,0,MATCH(V$2,Inputs!$K$4:$AJ$4,0))))=0,NA(),SUMPRODUCT((Inputs!$A$5:$A$110=$B34)*Inputs!$B$5:$B$110*(((Inputs!$G$5:$G$110="moeda")+(Inputs!$G$5:$G$110="acoes"))*Inputs!$B$1+((Inputs!$G$5:$G$110&lt;&gt;"moeda")*(Inputs!$G$5:$G$110&lt;&gt;"acoes")))*INDEX(Inputs!$K$5:$AJ$110,0,MATCH(V$2,Inputs!$K$4:$AJ$4,0)))+SUMPRODUCT((Inputs!$C$5:$C$110=$B34)*Inputs!$D$5:$D$110*(((Inputs!$G$5:$G$110="moeda")+(Inputs!$G$5:$G$110="acoes"))*Inputs!$B$1+((Inputs!$G$5:$G$110&lt;&gt;"moeda")*(Inputs!$G$5:$G$110&lt;&gt;"acoes")))*INDEX(Inputs!$K$5:$AJ$110,0,MATCH(V$2,Inputs!$K$4:$AJ$4,0)))+SUMPRODUCT((Inputs!$E$5:$E$110=$B34)*Inputs!$F$5:$F$110*(((Inputs!$G$5:$G$110="moeda")+(Inputs!$G$5:$G$110="acoes"))*Inputs!$B$1+((Inputs!$G$5:$G$110&lt;&gt;"moeda")*(Inputs!$G$5:$G$110&lt;&gt;"acoes")))*INDEX(Inputs!$K$5:$AJ$110,0,MATCH(V$2,Inputs!$K$4:$AJ$4,0)))))</f>
        <v>0</v>
      </c>
      <c r="W34" s="3">
        <f>V34</f>
        <v>0</v>
      </c>
      <c r="X34" s="6">
        <f>IF(ISNA(MATCH(X$2,Inputs!$K$4:$AJ$4,0)),NA(),IF(SUMPRODUCT((Inputs!$A$5:$A$110=$B34)*ISNUMBER(INDEX(Inputs!$K$5:$AJ$110,0,MATCH(X$2,Inputs!$K$4:$AJ$4,0))))+SUMPRODUCT((Inputs!$C$5:$C$110=$B34)*ISNUMBER(INDEX(Inputs!$K$5:$AJ$110,0,MATCH(X$2,Inputs!$K$4:$AJ$4,0))))+SUMPRODUCT((Inputs!$E$5:$E$110=$B34)*ISNUMBER(INDEX(Inputs!$K$5:$AJ$110,0,MATCH(X$2,Inputs!$K$4:$AJ$4,0))))=0,NA(),SUMPRODUCT((Inputs!$A$5:$A$110=$B34)*Inputs!$B$5:$B$110*(((Inputs!$G$5:$G$110="moeda")+(Inputs!$G$5:$G$110="acoes"))*Inputs!$B$1+((Inputs!$G$5:$G$110&lt;&gt;"moeda")*(Inputs!$G$5:$G$110&lt;&gt;"acoes")))*INDEX(Inputs!$K$5:$AJ$110,0,MATCH(X$2,Inputs!$K$4:$AJ$4,0)))+SUMPRODUCT((Inputs!$C$5:$C$110=$B34)*Inputs!$D$5:$D$110*(((Inputs!$G$5:$G$110="moeda")+(Inputs!$G$5:$G$110="acoes"))*Inputs!$B$1+((Inputs!$G$5:$G$110&lt;&gt;"moeda")*(Inputs!$G$5:$G$110&lt;&gt;"acoes")))*INDEX(Inputs!$K$5:$AJ$110,0,MATCH(X$2,Inputs!$K$4:$AJ$4,0)))+SUMPRODUCT((Inputs!$E$5:$E$110=$B34)*Inputs!$F$5:$F$110*(((Inputs!$G$5:$G$110="moeda")+(Inputs!$G$5:$G$110="acoes"))*Inputs!$B$1+((Inputs!$G$5:$G$110&lt;&gt;"moeda")*(Inputs!$G$5:$G$110&lt;&gt;"acoes")))*INDEX(Inputs!$K$5:$AJ$110,0,MATCH(X$2,Inputs!$K$4:$AJ$4,0)))))</f>
        <v>0</v>
      </c>
      <c r="Y34" s="6">
        <f>IF(ISNA(MATCH(Y$2,Inputs!$K$4:$AJ$4,0)),NA(),IF(SUMPRODUCT((Inputs!$A$5:$A$110=$B34)*ISNUMBER(INDEX(Inputs!$K$5:$AJ$110,0,MATCH(Y$2,Inputs!$K$4:$AJ$4,0))))+SUMPRODUCT((Inputs!$C$5:$C$110=$B34)*ISNUMBER(INDEX(Inputs!$K$5:$AJ$110,0,MATCH(Y$2,Inputs!$K$4:$AJ$4,0))))+SUMPRODUCT((Inputs!$E$5:$E$110=$B34)*ISNUMBER(INDEX(Inputs!$K$5:$AJ$110,0,MATCH(Y$2,Inputs!$K$4:$AJ$4,0))))=0,NA(),SUMPRODUCT((Inputs!$A$5:$A$110=$B34)*Inputs!$B$5:$B$110*(((Inputs!$G$5:$G$110="moeda")+(Inputs!$G$5:$G$110="acoes"))*Inputs!$B$1+((Inputs!$G$5:$G$110&lt;&gt;"moeda")*(Inputs!$G$5:$G$110&lt;&gt;"acoes")))*INDEX(Inputs!$K$5:$AJ$110,0,MATCH(Y$2,Inputs!$K$4:$AJ$4,0)))+SUMPRODUCT((Inputs!$C$5:$C$110=$B34)*Inputs!$D$5:$D$110*(((Inputs!$G$5:$G$110="moeda")+(Inputs!$G$5:$G$110="acoes"))*Inputs!$B$1+((Inputs!$G$5:$G$110&lt;&gt;"moeda")*(Inputs!$G$5:$G$110&lt;&gt;"acoes")))*INDEX(Inputs!$K$5:$AJ$110,0,MATCH(Y$2,Inputs!$K$4:$AJ$4,0)))+SUMPRODUCT((Inputs!$E$5:$E$110=$B34)*Inputs!$F$5:$F$110*(((Inputs!$G$5:$G$110="moeda")+(Inputs!$G$5:$G$110="acoes"))*Inputs!$B$1+((Inputs!$G$5:$G$110&lt;&gt;"moeda")*(Inputs!$G$5:$G$110&lt;&gt;"acoes")))*INDEX(Inputs!$K$5:$AJ$110,0,MATCH(Y$2,Inputs!$K$4:$AJ$4,0)))))</f>
        <v>0</v>
      </c>
      <c r="Z34" s="6">
        <f>IF(ISNA(MATCH(Z$2,Inputs!$K$4:$AJ$4,0)),NA(),IF(SUMPRODUCT((Inputs!$A$5:$A$110=$B34)*ISNUMBER(INDEX(Inputs!$K$5:$AJ$110,0,MATCH(Z$2,Inputs!$K$4:$AJ$4,0))))+SUMPRODUCT((Inputs!$C$5:$C$110=$B34)*ISNUMBER(INDEX(Inputs!$K$5:$AJ$110,0,MATCH(Z$2,Inputs!$K$4:$AJ$4,0))))+SUMPRODUCT((Inputs!$E$5:$E$110=$B34)*ISNUMBER(INDEX(Inputs!$K$5:$AJ$110,0,MATCH(Z$2,Inputs!$K$4:$AJ$4,0))))=0,NA(),SUMPRODUCT((Inputs!$A$5:$A$110=$B34)*Inputs!$B$5:$B$110*(((Inputs!$G$5:$G$110="moeda")+(Inputs!$G$5:$G$110="acoes"))*Inputs!$B$1+((Inputs!$G$5:$G$110&lt;&gt;"moeda")*(Inputs!$G$5:$G$110&lt;&gt;"acoes")))*INDEX(Inputs!$K$5:$AJ$110,0,MATCH(Z$2,Inputs!$K$4:$AJ$4,0)))+SUMPRODUCT((Inputs!$C$5:$C$110=$B34)*Inputs!$D$5:$D$110*(((Inputs!$G$5:$G$110="moeda")+(Inputs!$G$5:$G$110="acoes"))*Inputs!$B$1+((Inputs!$G$5:$G$110&lt;&gt;"moeda")*(Inputs!$G$5:$G$110&lt;&gt;"acoes")))*INDEX(Inputs!$K$5:$AJ$110,0,MATCH(Z$2,Inputs!$K$4:$AJ$4,0)))+SUMPRODUCT((Inputs!$E$5:$E$110=$B34)*Inputs!$F$5:$F$110*(((Inputs!$G$5:$G$110="moeda")+(Inputs!$G$5:$G$110="acoes"))*Inputs!$B$1+((Inputs!$G$5:$G$110&lt;&gt;"moeda")*(Inputs!$G$5:$G$110&lt;&gt;"acoes")))*INDEX(Inputs!$K$5:$AJ$110,0,MATCH(Z$2,Inputs!$K$4:$AJ$4,0)))))</f>
        <v>0</v>
      </c>
      <c r="AA34" s="6">
        <f>IF(ISNA(MATCH(AA$2,Inputs!$K$4:$AJ$4,0)),NA(),IF(SUMPRODUCT((Inputs!$A$5:$A$110=$B34)*ISNUMBER(INDEX(Inputs!$K$5:$AJ$110,0,MATCH(AA$2,Inputs!$K$4:$AJ$4,0))))+SUMPRODUCT((Inputs!$C$5:$C$110=$B34)*ISNUMBER(INDEX(Inputs!$K$5:$AJ$110,0,MATCH(AA$2,Inputs!$K$4:$AJ$4,0))))+SUMPRODUCT((Inputs!$E$5:$E$110=$B34)*ISNUMBER(INDEX(Inputs!$K$5:$AJ$110,0,MATCH(AA$2,Inputs!$K$4:$AJ$4,0))))=0,NA(),SUMPRODUCT((Inputs!$A$5:$A$110=$B34)*Inputs!$B$5:$B$110*(((Inputs!$G$5:$G$110="moeda")+(Inputs!$G$5:$G$110="acoes"))*Inputs!$B$1+((Inputs!$G$5:$G$110&lt;&gt;"moeda")*(Inputs!$G$5:$G$110&lt;&gt;"acoes")))*INDEX(Inputs!$K$5:$AJ$110,0,MATCH(AA$2,Inputs!$K$4:$AJ$4,0)))+SUMPRODUCT((Inputs!$C$5:$C$110=$B34)*Inputs!$D$5:$D$110*(((Inputs!$G$5:$G$110="moeda")+(Inputs!$G$5:$G$110="acoes"))*Inputs!$B$1+((Inputs!$G$5:$G$110&lt;&gt;"moeda")*(Inputs!$G$5:$G$110&lt;&gt;"acoes")))*INDEX(Inputs!$K$5:$AJ$110,0,MATCH(AA$2,Inputs!$K$4:$AJ$4,0)))+SUMPRODUCT((Inputs!$E$5:$E$110=$B34)*Inputs!$F$5:$F$110*(((Inputs!$G$5:$G$110="moeda")+(Inputs!$G$5:$G$110="acoes"))*Inputs!$B$1+((Inputs!$G$5:$G$110&lt;&gt;"moeda")*(Inputs!$G$5:$G$110&lt;&gt;"acoes")))*INDEX(Inputs!$K$5:$AJ$110,0,MATCH(AA$2,Inputs!$K$4:$AJ$4,0)))))</f>
        <v>0</v>
      </c>
      <c r="AB34" s="3">
        <f>AA34</f>
        <v>0</v>
      </c>
      <c r="AC34" s="6">
        <f>IF(ISNA(MATCH(AC$2,Inputs!$K$4:$AJ$4,0)),NA(),IF(SUMPRODUCT((Inputs!$A$5:$A$110=$B34)*ISNUMBER(INDEX(Inputs!$K$5:$AJ$110,0,MATCH(AC$2,Inputs!$K$4:$AJ$4,0))))+SUMPRODUCT((Inputs!$C$5:$C$110=$B34)*ISNUMBER(INDEX(Inputs!$K$5:$AJ$110,0,MATCH(AC$2,Inputs!$K$4:$AJ$4,0))))+SUMPRODUCT((Inputs!$E$5:$E$110=$B34)*ISNUMBER(INDEX(Inputs!$K$5:$AJ$110,0,MATCH(AC$2,Inputs!$K$4:$AJ$4,0))))=0,NA(),SUMPRODUCT((Inputs!$A$5:$A$110=$B34)*Inputs!$B$5:$B$110*(((Inputs!$G$5:$G$110="moeda")+(Inputs!$G$5:$G$110="acoes"))*Inputs!$B$1+((Inputs!$G$5:$G$110&lt;&gt;"moeda")*(Inputs!$G$5:$G$110&lt;&gt;"acoes")))*INDEX(Inputs!$K$5:$AJ$110,0,MATCH(AC$2,Inputs!$K$4:$AJ$4,0)))+SUMPRODUCT((Inputs!$C$5:$C$110=$B34)*Inputs!$D$5:$D$110*(((Inputs!$G$5:$G$110="moeda")+(Inputs!$G$5:$G$110="acoes"))*Inputs!$B$1+((Inputs!$G$5:$G$110&lt;&gt;"moeda")*(Inputs!$G$5:$G$110&lt;&gt;"acoes")))*INDEX(Inputs!$K$5:$AJ$110,0,MATCH(AC$2,Inputs!$K$4:$AJ$4,0)))+SUMPRODUCT((Inputs!$E$5:$E$110=$B34)*Inputs!$F$5:$F$110*(((Inputs!$G$5:$G$110="moeda")+(Inputs!$G$5:$G$110="acoes"))*Inputs!$B$1+((Inputs!$G$5:$G$110&lt;&gt;"moeda")*(Inputs!$G$5:$G$110&lt;&gt;"acoes")))*INDEX(Inputs!$K$5:$AJ$110,0,MATCH(AC$2,Inputs!$K$4:$AJ$4,0)))))</f>
        <v>0</v>
      </c>
      <c r="AD34" s="6">
        <f>IF(ISNA(MATCH(AD$2,Inputs!$K$4:$AJ$4,0)),NA(),IF(SUMPRODUCT((Inputs!$A$5:$A$110=$B34)*ISNUMBER(INDEX(Inputs!$K$5:$AJ$110,0,MATCH(AD$2,Inputs!$K$4:$AJ$4,0))))+SUMPRODUCT((Inputs!$C$5:$C$110=$B34)*ISNUMBER(INDEX(Inputs!$K$5:$AJ$110,0,MATCH(AD$2,Inputs!$K$4:$AJ$4,0))))+SUMPRODUCT((Inputs!$E$5:$E$110=$B34)*ISNUMBER(INDEX(Inputs!$K$5:$AJ$110,0,MATCH(AD$2,Inputs!$K$4:$AJ$4,0))))=0,NA(),SUMPRODUCT((Inputs!$A$5:$A$110=$B34)*Inputs!$B$5:$B$110*(((Inputs!$G$5:$G$110="moeda")+(Inputs!$G$5:$G$110="acoes"))*Inputs!$B$1+((Inputs!$G$5:$G$110&lt;&gt;"moeda")*(Inputs!$G$5:$G$110&lt;&gt;"acoes")))*INDEX(Inputs!$K$5:$AJ$110,0,MATCH(AD$2,Inputs!$K$4:$AJ$4,0)))+SUMPRODUCT((Inputs!$C$5:$C$110=$B34)*Inputs!$D$5:$D$110*(((Inputs!$G$5:$G$110="moeda")+(Inputs!$G$5:$G$110="acoes"))*Inputs!$B$1+((Inputs!$G$5:$G$110&lt;&gt;"moeda")*(Inputs!$G$5:$G$110&lt;&gt;"acoes")))*INDEX(Inputs!$K$5:$AJ$110,0,MATCH(AD$2,Inputs!$K$4:$AJ$4,0)))+SUMPRODUCT((Inputs!$E$5:$E$110=$B34)*Inputs!$F$5:$F$110*(((Inputs!$G$5:$G$110="moeda")+(Inputs!$G$5:$G$110="acoes"))*Inputs!$B$1+((Inputs!$G$5:$G$110&lt;&gt;"moeda")*(Inputs!$G$5:$G$110&lt;&gt;"acoes")))*INDEX(Inputs!$K$5:$AJ$110,0,MATCH(AD$2,Inputs!$K$4:$AJ$4,0)))))</f>
        <v>0</v>
      </c>
      <c r="AE34" s="6" t="e">
        <f>IF(ISNA(MATCH(AE$2,Inputs!$K$4:$AJ$4,0)),NA(),IF(SUMPRODUCT((Inputs!$A$5:$A$110=$B34)*ISNUMBER(INDEX(Inputs!$K$5:$AJ$110,0,MATCH(AE$2,Inputs!$K$4:$AJ$4,0))))+SUMPRODUCT((Inputs!$C$5:$C$110=$B34)*ISNUMBER(INDEX(Inputs!$K$5:$AJ$110,0,MATCH(AE$2,Inputs!$K$4:$AJ$4,0))))+SUMPRODUCT((Inputs!$E$5:$E$110=$B34)*ISNUMBER(INDEX(Inputs!$K$5:$AJ$110,0,MATCH(AE$2,Inputs!$K$4:$AJ$4,0))))=0,NA(),SUMPRODUCT((Inputs!$A$5:$A$110=$B34)*Inputs!$B$5:$B$110*(((Inputs!$G$5:$G$110="moeda")+(Inputs!$G$5:$G$110="acoes"))*Inputs!$B$1+((Inputs!$G$5:$G$110&lt;&gt;"moeda")*(Inputs!$G$5:$G$110&lt;&gt;"acoes")))*INDEX(Inputs!$K$5:$AJ$110,0,MATCH(AE$2,Inputs!$K$4:$AJ$4,0)))+SUMPRODUCT((Inputs!$C$5:$C$110=$B34)*Inputs!$D$5:$D$110*(((Inputs!$G$5:$G$110="moeda")+(Inputs!$G$5:$G$110="acoes"))*Inputs!$B$1+((Inputs!$G$5:$G$110&lt;&gt;"moeda")*(Inputs!$G$5:$G$110&lt;&gt;"acoes")))*INDEX(Inputs!$K$5:$AJ$110,0,MATCH(AE$2,Inputs!$K$4:$AJ$4,0)))+SUMPRODUCT((Inputs!$E$5:$E$110=$B34)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4" s="6" t="e">
        <f>IF(ISNA(MATCH(AF$2,Inputs!$K$4:$AJ$4,0)),NA(),IF(SUMPRODUCT((Inputs!$A$5:$A$110=$B34)*ISNUMBER(INDEX(Inputs!$K$5:$AJ$110,0,MATCH(AF$2,Inputs!$K$4:$AJ$4,0))))+SUMPRODUCT((Inputs!$C$5:$C$110=$B34)*ISNUMBER(INDEX(Inputs!$K$5:$AJ$110,0,MATCH(AF$2,Inputs!$K$4:$AJ$4,0))))+SUMPRODUCT((Inputs!$E$5:$E$110=$B34)*ISNUMBER(INDEX(Inputs!$K$5:$AJ$110,0,MATCH(AF$2,Inputs!$K$4:$AJ$4,0))))=0,NA(),SUMPRODUCT((Inputs!$A$5:$A$110=$B34)*Inputs!$B$5:$B$110*(((Inputs!$G$5:$G$110="moeda")+(Inputs!$G$5:$G$110="acoes"))*Inputs!$B$1+((Inputs!$G$5:$G$110&lt;&gt;"moeda")*(Inputs!$G$5:$G$110&lt;&gt;"acoes")))*INDEX(Inputs!$K$5:$AJ$110,0,MATCH(AF$2,Inputs!$K$4:$AJ$4,0)))+SUMPRODUCT((Inputs!$C$5:$C$110=$B34)*Inputs!$D$5:$D$110*(((Inputs!$G$5:$G$110="moeda")+(Inputs!$G$5:$G$110="acoes"))*Inputs!$B$1+((Inputs!$G$5:$G$110&lt;&gt;"moeda")*(Inputs!$G$5:$G$110&lt;&gt;"acoes")))*INDEX(Inputs!$K$5:$AJ$110,0,MATCH(AF$2,Inputs!$K$4:$AJ$4,0)))+SUMPRODUCT((Inputs!$E$5:$E$110=$B34)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4" s="3" t="e">
        <f>AF34</f>
        <v>#N/A</v>
      </c>
      <c r="AH34" s="6">
        <f>IF(ISNA(MATCH(AH$2,Inputs!$K$4:$AJ$4,0)),NA(),IF(SUMPRODUCT((Inputs!$A$5:$A$110=$B34)*ISNUMBER(INDEX(Inputs!$K$5:$AJ$110,0,MATCH(AH$2,Inputs!$K$4:$AJ$4,0))))+SUMPRODUCT((Inputs!$C$5:$C$110=$B34)*ISNUMBER(INDEX(Inputs!$K$5:$AJ$110,0,MATCH(AH$2,Inputs!$K$4:$AJ$4,0))))+SUMPRODUCT((Inputs!$E$5:$E$110=$B34)*ISNUMBER(INDEX(Inputs!$K$5:$AJ$110,0,MATCH(AH$2,Inputs!$K$4:$AJ$4,0))))=0,NA(),SUMPRODUCT((Inputs!$A$5:$A$110=$B34)*Inputs!$B$5:$B$110*(((Inputs!$G$5:$G$110="moeda")+(Inputs!$G$5:$G$110="acoes"))*Inputs!$B$1+((Inputs!$G$5:$G$110&lt;&gt;"moeda")*(Inputs!$G$5:$G$110&lt;&gt;"acoes")))*INDEX(Inputs!$K$5:$AJ$110,0,MATCH(AH$2,Inputs!$K$4:$AJ$4,0)))+SUMPRODUCT((Inputs!$C$5:$C$110=$B34)*Inputs!$D$5:$D$110*(((Inputs!$G$5:$G$110="moeda")+(Inputs!$G$5:$G$110="acoes"))*Inputs!$B$1+((Inputs!$G$5:$G$110&lt;&gt;"moeda")*(Inputs!$G$5:$G$110&lt;&gt;"acoes")))*INDEX(Inputs!$K$5:$AJ$110,0,MATCH(AH$2,Inputs!$K$4:$AJ$4,0)))+SUMPRODUCT((Inputs!$E$5:$E$110=$B34)*Inputs!$F$5:$F$110*(((Inputs!$G$5:$G$110="moeda")+(Inputs!$G$5:$G$110="acoes"))*Inputs!$B$1+((Inputs!$G$5:$G$110&lt;&gt;"moeda")*(Inputs!$G$5:$G$110&lt;&gt;"acoes")))*INDEX(Inputs!$K$5:$AJ$110,0,MATCH(AH$2,Inputs!$K$4:$AJ$4,0)))))</f>
        <v>0</v>
      </c>
      <c r="AI34" s="6">
        <f>IF(ISNA(MATCH(AI$2,Inputs!$K$4:$AJ$4,0)),NA(),IF(SUMPRODUCT((Inputs!$A$5:$A$110=$B34)*ISNUMBER(INDEX(Inputs!$K$5:$AJ$110,0,MATCH(AI$2,Inputs!$K$4:$AJ$4,0))))+SUMPRODUCT((Inputs!$C$5:$C$110=$B34)*ISNUMBER(INDEX(Inputs!$K$5:$AJ$110,0,MATCH(AI$2,Inputs!$K$4:$AJ$4,0))))+SUMPRODUCT((Inputs!$E$5:$E$110=$B34)*ISNUMBER(INDEX(Inputs!$K$5:$AJ$110,0,MATCH(AI$2,Inputs!$K$4:$AJ$4,0))))=0,NA(),SUMPRODUCT((Inputs!$A$5:$A$110=$B34)*Inputs!$B$5:$B$110*(((Inputs!$G$5:$G$110="moeda")+(Inputs!$G$5:$G$110="acoes"))*Inputs!$B$1+((Inputs!$G$5:$G$110&lt;&gt;"moeda")*(Inputs!$G$5:$G$110&lt;&gt;"acoes")))*INDEX(Inputs!$K$5:$AJ$110,0,MATCH(AI$2,Inputs!$K$4:$AJ$4,0)))+SUMPRODUCT((Inputs!$C$5:$C$110=$B34)*Inputs!$D$5:$D$110*(((Inputs!$G$5:$G$110="moeda")+(Inputs!$G$5:$G$110="acoes"))*Inputs!$B$1+((Inputs!$G$5:$G$110&lt;&gt;"moeda")*(Inputs!$G$5:$G$110&lt;&gt;"acoes")))*INDEX(Inputs!$K$5:$AJ$110,0,MATCH(AI$2,Inputs!$K$4:$AJ$4,0)))+SUMPRODUCT((Inputs!$E$5:$E$110=$B34)*Inputs!$F$5:$F$110*(((Inputs!$G$5:$G$110="moeda")+(Inputs!$G$5:$G$110="acoes"))*Inputs!$B$1+((Inputs!$G$5:$G$110&lt;&gt;"moeda")*(Inputs!$G$5:$G$110&lt;&gt;"acoes")))*INDEX(Inputs!$K$5:$AJ$110,0,MATCH(AI$2,Inputs!$K$4:$AJ$4,0)))))</f>
        <v>0</v>
      </c>
      <c r="AJ34" s="6">
        <f>IF(ISNA(MATCH(AJ$2,Inputs!$K$4:$AJ$4,0)),NA(),IF(SUMPRODUCT((Inputs!$A$5:$A$110=$B34)*ISNUMBER(INDEX(Inputs!$K$5:$AJ$110,0,MATCH(AJ$2,Inputs!$K$4:$AJ$4,0))))+SUMPRODUCT((Inputs!$C$5:$C$110=$B34)*ISNUMBER(INDEX(Inputs!$K$5:$AJ$110,0,MATCH(AJ$2,Inputs!$K$4:$AJ$4,0))))+SUMPRODUCT((Inputs!$E$5:$E$110=$B34)*ISNUMBER(INDEX(Inputs!$K$5:$AJ$110,0,MATCH(AJ$2,Inputs!$K$4:$AJ$4,0))))=0,NA(),SUMPRODUCT((Inputs!$A$5:$A$110=$B34)*Inputs!$B$5:$B$110*(((Inputs!$G$5:$G$110="moeda")+(Inputs!$G$5:$G$110="acoes"))*Inputs!$B$1+((Inputs!$G$5:$G$110&lt;&gt;"moeda")*(Inputs!$G$5:$G$110&lt;&gt;"acoes")))*INDEX(Inputs!$K$5:$AJ$110,0,MATCH(AJ$2,Inputs!$K$4:$AJ$4,0)))+SUMPRODUCT((Inputs!$C$5:$C$110=$B34)*Inputs!$D$5:$D$110*(((Inputs!$G$5:$G$110="moeda")+(Inputs!$G$5:$G$110="acoes"))*Inputs!$B$1+((Inputs!$G$5:$G$110&lt;&gt;"moeda")*(Inputs!$G$5:$G$110&lt;&gt;"acoes")))*INDEX(Inputs!$K$5:$AJ$110,0,MATCH(AJ$2,Inputs!$K$4:$AJ$4,0)))+SUMPRODUCT((Inputs!$E$5:$E$110=$B34)*Inputs!$F$5:$F$110*(((Inputs!$G$5:$G$110="moeda")+(Inputs!$G$5:$G$110="acoes"))*Inputs!$B$1+((Inputs!$G$5:$G$110&lt;&gt;"moeda")*(Inputs!$G$5:$G$110&lt;&gt;"acoes")))*INDEX(Inputs!$K$5:$AJ$110,0,MATCH(AJ$2,Inputs!$K$4:$AJ$4,0)))))</f>
        <v>0</v>
      </c>
      <c r="AK34" s="6">
        <f>IF(ISNA(MATCH(AK$2,Inputs!$K$4:$AJ$4,0)),NA(),IF(SUMPRODUCT((Inputs!$A$5:$A$110=$B34)*ISNUMBER(INDEX(Inputs!$K$5:$AJ$110,0,MATCH(AK$2,Inputs!$K$4:$AJ$4,0))))+SUMPRODUCT((Inputs!$C$5:$C$110=$B34)*ISNUMBER(INDEX(Inputs!$K$5:$AJ$110,0,MATCH(AK$2,Inputs!$K$4:$AJ$4,0))))+SUMPRODUCT((Inputs!$E$5:$E$110=$B34)*ISNUMBER(INDEX(Inputs!$K$5:$AJ$110,0,MATCH(AK$2,Inputs!$K$4:$AJ$4,0))))=0,NA(),SUMPRODUCT((Inputs!$A$5:$A$110=$B34)*Inputs!$B$5:$B$110*(((Inputs!$G$5:$G$110="moeda")+(Inputs!$G$5:$G$110="acoes"))*Inputs!$B$1+((Inputs!$G$5:$G$110&lt;&gt;"moeda")*(Inputs!$G$5:$G$110&lt;&gt;"acoes")))*INDEX(Inputs!$K$5:$AJ$110,0,MATCH(AK$2,Inputs!$K$4:$AJ$4,0)))+SUMPRODUCT((Inputs!$C$5:$C$110=$B34)*Inputs!$D$5:$D$110*(((Inputs!$G$5:$G$110="moeda")+(Inputs!$G$5:$G$110="acoes"))*Inputs!$B$1+((Inputs!$G$5:$G$110&lt;&gt;"moeda")*(Inputs!$G$5:$G$110&lt;&gt;"acoes")))*INDEX(Inputs!$K$5:$AJ$110,0,MATCH(AK$2,Inputs!$K$4:$AJ$4,0)))+SUMPRODUCT((Inputs!$E$5:$E$110=$B34)*Inputs!$F$5:$F$110*(((Inputs!$G$5:$G$110="moeda")+(Inputs!$G$5:$G$110="acoes"))*Inputs!$B$1+((Inputs!$G$5:$G$110&lt;&gt;"moeda")*(Inputs!$G$5:$G$110&lt;&gt;"acoes")))*INDEX(Inputs!$K$5:$AJ$110,0,MATCH(AK$2,Inputs!$K$4:$AJ$4,0)))))</f>
        <v>0</v>
      </c>
      <c r="AL34" s="3">
        <f>AK34</f>
        <v>0</v>
      </c>
    </row>
    <row r="35">
      <c r="B35" s="46" t="n">
        <v>30</v>
      </c>
      <c r="C35" s="26" t="inlineStr">
        <is>
          <t>Long term debt</t>
        </is>
      </c>
      <c r="D35" s="6">
        <f>IF(ISNA(MATCH(D$2,Inputs!$K$4:$AJ$4,0)),NA(),IF(SUMPRODUCT((Inputs!$A$5:$A$110=$B35)*ISNUMBER(INDEX(Inputs!$K$5:$AJ$110,0,MATCH(D$2,Inputs!$K$4:$AJ$4,0))))+SUMPRODUCT((Inputs!$C$5:$C$110=$B35)*ISNUMBER(INDEX(Inputs!$K$5:$AJ$110,0,MATCH(D$2,Inputs!$K$4:$AJ$4,0))))+SUMPRODUCT((Inputs!$E$5:$E$110=$B35)*ISNUMBER(INDEX(Inputs!$K$5:$AJ$110,0,MATCH(D$2,Inputs!$K$4:$AJ$4,0))))=0,NA(),SUMPRODUCT((Inputs!$A$5:$A$110=$B35)*Inputs!$B$5:$B$110*(((Inputs!$G$5:$G$110="moeda")+(Inputs!$G$5:$G$110="acoes"))*Inputs!$B$1+((Inputs!$G$5:$G$110&lt;&gt;"moeda")*(Inputs!$G$5:$G$110&lt;&gt;"acoes")))*INDEX(Inputs!$K$5:$AJ$110,0,MATCH(D$2,Inputs!$K$4:$AJ$4,0)))+SUMPRODUCT((Inputs!$C$5:$C$110=$B35)*Inputs!$D$5:$D$110*(((Inputs!$G$5:$G$110="moeda")+(Inputs!$G$5:$G$110="acoes"))*Inputs!$B$1+((Inputs!$G$5:$G$110&lt;&gt;"moeda")*(Inputs!$G$5:$G$110&lt;&gt;"acoes")))*INDEX(Inputs!$K$5:$AJ$110,0,MATCH(D$2,Inputs!$K$4:$AJ$4,0)))+SUMPRODUCT((Inputs!$E$5:$E$110=$B35)*Inputs!$F$5:$F$110*(((Inputs!$G$5:$G$110="moeda")+(Inputs!$G$5:$G$110="acoes"))*Inputs!$B$1+((Inputs!$G$5:$G$110&lt;&gt;"moeda")*(Inputs!$G$5:$G$110&lt;&gt;"acoes")))*INDEX(Inputs!$K$5:$AJ$110,0,MATCH(D$2,Inputs!$K$4:$AJ$4,0)))))</f>
        <v>40160</v>
      </c>
      <c r="E35" s="6">
        <f>IF(ISNA(MATCH(E$2,Inputs!$K$4:$AJ$4,0)),NA(),IF(SUMPRODUCT((Inputs!$A$5:$A$110=$B35)*ISNUMBER(INDEX(Inputs!$K$5:$AJ$110,0,MATCH(E$2,Inputs!$K$4:$AJ$4,0))))+SUMPRODUCT((Inputs!$C$5:$C$110=$B35)*ISNUMBER(INDEX(Inputs!$K$5:$AJ$110,0,MATCH(E$2,Inputs!$K$4:$AJ$4,0))))+SUMPRODUCT((Inputs!$E$5:$E$110=$B35)*ISNUMBER(INDEX(Inputs!$K$5:$AJ$110,0,MATCH(E$2,Inputs!$K$4:$AJ$4,0))))=0,NA(),SUMPRODUCT((Inputs!$A$5:$A$110=$B35)*Inputs!$B$5:$B$110*(((Inputs!$G$5:$G$110="moeda")+(Inputs!$G$5:$G$110="acoes"))*Inputs!$B$1+((Inputs!$G$5:$G$110&lt;&gt;"moeda")*(Inputs!$G$5:$G$110&lt;&gt;"acoes")))*INDEX(Inputs!$K$5:$AJ$110,0,MATCH(E$2,Inputs!$K$4:$AJ$4,0)))+SUMPRODUCT((Inputs!$C$5:$C$110=$B35)*Inputs!$D$5:$D$110*(((Inputs!$G$5:$G$110="moeda")+(Inputs!$G$5:$G$110="acoes"))*Inputs!$B$1+((Inputs!$G$5:$G$110&lt;&gt;"moeda")*(Inputs!$G$5:$G$110&lt;&gt;"acoes")))*INDEX(Inputs!$K$5:$AJ$110,0,MATCH(E$2,Inputs!$K$4:$AJ$4,0)))+SUMPRODUCT((Inputs!$E$5:$E$110=$B35)*Inputs!$F$5:$F$110*(((Inputs!$G$5:$G$110="moeda")+(Inputs!$G$5:$G$110="acoes"))*Inputs!$B$1+((Inputs!$G$5:$G$110&lt;&gt;"moeda")*(Inputs!$G$5:$G$110&lt;&gt;"acoes")))*INDEX(Inputs!$K$5:$AJ$110,0,MATCH(E$2,Inputs!$K$4:$AJ$4,0)))))</f>
        <v>40178</v>
      </c>
      <c r="F35" s="6">
        <f>IF(ISNA(MATCH(F$2,Inputs!$K$4:$AJ$4,0)),NA(),IF(SUMPRODUCT((Inputs!$A$5:$A$110=$B35)*ISNUMBER(INDEX(Inputs!$K$5:$AJ$110,0,MATCH(F$2,Inputs!$K$4:$AJ$4,0))))+SUMPRODUCT((Inputs!$C$5:$C$110=$B35)*ISNUMBER(INDEX(Inputs!$K$5:$AJ$110,0,MATCH(F$2,Inputs!$K$4:$AJ$4,0))))+SUMPRODUCT((Inputs!$E$5:$E$110=$B35)*ISNUMBER(INDEX(Inputs!$K$5:$AJ$110,0,MATCH(F$2,Inputs!$K$4:$AJ$4,0))))=0,NA(),SUMPRODUCT((Inputs!$A$5:$A$110=$B35)*Inputs!$B$5:$B$110*(((Inputs!$G$5:$G$110="moeda")+(Inputs!$G$5:$G$110="acoes"))*Inputs!$B$1+((Inputs!$G$5:$G$110&lt;&gt;"moeda")*(Inputs!$G$5:$G$110&lt;&gt;"acoes")))*INDEX(Inputs!$K$5:$AJ$110,0,MATCH(F$2,Inputs!$K$4:$AJ$4,0)))+SUMPRODUCT((Inputs!$C$5:$C$110=$B35)*Inputs!$D$5:$D$110*(((Inputs!$G$5:$G$110="moeda")+(Inputs!$G$5:$G$110="acoes"))*Inputs!$B$1+((Inputs!$G$5:$G$110&lt;&gt;"moeda")*(Inputs!$G$5:$G$110&lt;&gt;"acoes")))*INDEX(Inputs!$K$5:$AJ$110,0,MATCH(F$2,Inputs!$K$4:$AJ$4,0)))+SUMPRODUCT((Inputs!$E$5:$E$110=$B35)*Inputs!$F$5:$F$110*(((Inputs!$G$5:$G$110="moeda")+(Inputs!$G$5:$G$110="acoes"))*Inputs!$B$1+((Inputs!$G$5:$G$110&lt;&gt;"moeda")*(Inputs!$G$5:$G$110&lt;&gt;"acoes")))*INDEX(Inputs!$K$5:$AJ$110,0,MATCH(F$2,Inputs!$K$4:$AJ$4,0)))))</f>
        <v>39440</v>
      </c>
      <c r="G35" s="6">
        <f>IF(ISNA(MATCH(G$2,Inputs!$K$4:$AJ$4,0)),NA(),IF(SUMPRODUCT((Inputs!$A$5:$A$110=$B35)*ISNUMBER(INDEX(Inputs!$K$5:$AJ$110,0,MATCH(G$2,Inputs!$K$4:$AJ$4,0))))+SUMPRODUCT((Inputs!$C$5:$C$110=$B35)*ISNUMBER(INDEX(Inputs!$K$5:$AJ$110,0,MATCH(G$2,Inputs!$K$4:$AJ$4,0))))+SUMPRODUCT((Inputs!$E$5:$E$110=$B35)*ISNUMBER(INDEX(Inputs!$K$5:$AJ$110,0,MATCH(G$2,Inputs!$K$4:$AJ$4,0))))=0,NA(),SUMPRODUCT((Inputs!$A$5:$A$110=$B35)*Inputs!$B$5:$B$110*(((Inputs!$G$5:$G$110="moeda")+(Inputs!$G$5:$G$110="acoes"))*Inputs!$B$1+((Inputs!$G$5:$G$110&lt;&gt;"moeda")*(Inputs!$G$5:$G$110&lt;&gt;"acoes")))*INDEX(Inputs!$K$5:$AJ$110,0,MATCH(G$2,Inputs!$K$4:$AJ$4,0)))+SUMPRODUCT((Inputs!$C$5:$C$110=$B35)*Inputs!$D$5:$D$110*(((Inputs!$G$5:$G$110="moeda")+(Inputs!$G$5:$G$110="acoes"))*Inputs!$B$1+((Inputs!$G$5:$G$110&lt;&gt;"moeda")*(Inputs!$G$5:$G$110&lt;&gt;"acoes")))*INDEX(Inputs!$K$5:$AJ$110,0,MATCH(G$2,Inputs!$K$4:$AJ$4,0)))+SUMPRODUCT((Inputs!$E$5:$E$110=$B35)*Inputs!$F$5:$F$110*(((Inputs!$G$5:$G$110="moeda")+(Inputs!$G$5:$G$110="acoes"))*Inputs!$B$1+((Inputs!$G$5:$G$110&lt;&gt;"moeda")*(Inputs!$G$5:$G$110&lt;&gt;"acoes")))*INDEX(Inputs!$K$5:$AJ$110,0,MATCH(G$2,Inputs!$K$4:$AJ$4,0)))))</f>
        <v>39205</v>
      </c>
      <c r="H35" s="3">
        <f>G35</f>
        <v>39205</v>
      </c>
      <c r="I35" s="6">
        <f>IF(ISNA(MATCH(I$2,Inputs!$K$4:$AJ$4,0)),NA(),IF(SUMPRODUCT((Inputs!$A$5:$A$110=$B35)*ISNUMBER(INDEX(Inputs!$K$5:$AJ$110,0,MATCH(I$2,Inputs!$K$4:$AJ$4,0))))+SUMPRODUCT((Inputs!$C$5:$C$110=$B35)*ISNUMBER(INDEX(Inputs!$K$5:$AJ$110,0,MATCH(I$2,Inputs!$K$4:$AJ$4,0))))+SUMPRODUCT((Inputs!$E$5:$E$110=$B35)*ISNUMBER(INDEX(Inputs!$K$5:$AJ$110,0,MATCH(I$2,Inputs!$K$4:$AJ$4,0))))=0,NA(),SUMPRODUCT((Inputs!$A$5:$A$110=$B35)*Inputs!$B$5:$B$110*(((Inputs!$G$5:$G$110="moeda")+(Inputs!$G$5:$G$110="acoes"))*Inputs!$B$1+((Inputs!$G$5:$G$110&lt;&gt;"moeda")*(Inputs!$G$5:$G$110&lt;&gt;"acoes")))*INDEX(Inputs!$K$5:$AJ$110,0,MATCH(I$2,Inputs!$K$4:$AJ$4,0)))+SUMPRODUCT((Inputs!$C$5:$C$110=$B35)*Inputs!$D$5:$D$110*(((Inputs!$G$5:$G$110="moeda")+(Inputs!$G$5:$G$110="acoes"))*Inputs!$B$1+((Inputs!$G$5:$G$110&lt;&gt;"moeda")*(Inputs!$G$5:$G$110&lt;&gt;"acoes")))*INDEX(Inputs!$K$5:$AJ$110,0,MATCH(I$2,Inputs!$K$4:$AJ$4,0)))+SUMPRODUCT((Inputs!$E$5:$E$110=$B35)*Inputs!$F$5:$F$110*(((Inputs!$G$5:$G$110="moeda")+(Inputs!$G$5:$G$110="acoes"))*Inputs!$B$1+((Inputs!$G$5:$G$110&lt;&gt;"moeda")*(Inputs!$G$5:$G$110&lt;&gt;"acoes")))*INDEX(Inputs!$K$5:$AJ$110,0,MATCH(I$2,Inputs!$K$4:$AJ$4,0)))))</f>
        <v>39164</v>
      </c>
      <c r="J35" s="6">
        <f>IF(ISNA(MATCH(J$2,Inputs!$K$4:$AJ$4,0)),NA(),IF(SUMPRODUCT((Inputs!$A$5:$A$110=$B35)*ISNUMBER(INDEX(Inputs!$K$5:$AJ$110,0,MATCH(J$2,Inputs!$K$4:$AJ$4,0))))+SUMPRODUCT((Inputs!$C$5:$C$110=$B35)*ISNUMBER(INDEX(Inputs!$K$5:$AJ$110,0,MATCH(J$2,Inputs!$K$4:$AJ$4,0))))+SUMPRODUCT((Inputs!$E$5:$E$110=$B35)*ISNUMBER(INDEX(Inputs!$K$5:$AJ$110,0,MATCH(J$2,Inputs!$K$4:$AJ$4,0))))=0,NA(),SUMPRODUCT((Inputs!$A$5:$A$110=$B35)*Inputs!$B$5:$B$110*(((Inputs!$G$5:$G$110="moeda")+(Inputs!$G$5:$G$110="acoes"))*Inputs!$B$1+((Inputs!$G$5:$G$110&lt;&gt;"moeda")*(Inputs!$G$5:$G$110&lt;&gt;"acoes")))*INDEX(Inputs!$K$5:$AJ$110,0,MATCH(J$2,Inputs!$K$4:$AJ$4,0)))+SUMPRODUCT((Inputs!$C$5:$C$110=$B35)*Inputs!$D$5:$D$110*(((Inputs!$G$5:$G$110="moeda")+(Inputs!$G$5:$G$110="acoes"))*Inputs!$B$1+((Inputs!$G$5:$G$110&lt;&gt;"moeda")*(Inputs!$G$5:$G$110&lt;&gt;"acoes")))*INDEX(Inputs!$K$5:$AJ$110,0,MATCH(J$2,Inputs!$K$4:$AJ$4,0)))+SUMPRODUCT((Inputs!$E$5:$E$110=$B35)*Inputs!$F$5:$F$110*(((Inputs!$G$5:$G$110="moeda")+(Inputs!$G$5:$G$110="acoes"))*Inputs!$B$1+((Inputs!$G$5:$G$110&lt;&gt;"moeda")*(Inputs!$G$5:$G$110&lt;&gt;"acoes")))*INDEX(Inputs!$K$5:$AJ$110,0,MATCH(J$2,Inputs!$K$4:$AJ$4,0)))))</f>
        <v>39191</v>
      </c>
      <c r="K35" s="6">
        <f>IF(ISNA(MATCH(K$2,Inputs!$K$4:$AJ$4,0)),NA(),IF(SUMPRODUCT((Inputs!$A$5:$A$110=$B35)*ISNUMBER(INDEX(Inputs!$K$5:$AJ$110,0,MATCH(K$2,Inputs!$K$4:$AJ$4,0))))+SUMPRODUCT((Inputs!$C$5:$C$110=$B35)*ISNUMBER(INDEX(Inputs!$K$5:$AJ$110,0,MATCH(K$2,Inputs!$K$4:$AJ$4,0))))+SUMPRODUCT((Inputs!$E$5:$E$110=$B35)*ISNUMBER(INDEX(Inputs!$K$5:$AJ$110,0,MATCH(K$2,Inputs!$K$4:$AJ$4,0))))=0,NA(),SUMPRODUCT((Inputs!$A$5:$A$110=$B35)*Inputs!$B$5:$B$110*(((Inputs!$G$5:$G$110="moeda")+(Inputs!$G$5:$G$110="acoes"))*Inputs!$B$1+((Inputs!$G$5:$G$110&lt;&gt;"moeda")*(Inputs!$G$5:$G$110&lt;&gt;"acoes")))*INDEX(Inputs!$K$5:$AJ$110,0,MATCH(K$2,Inputs!$K$4:$AJ$4,0)))+SUMPRODUCT((Inputs!$C$5:$C$110=$B35)*Inputs!$D$5:$D$110*(((Inputs!$G$5:$G$110="moeda")+(Inputs!$G$5:$G$110="acoes"))*Inputs!$B$1+((Inputs!$G$5:$G$110&lt;&gt;"moeda")*(Inputs!$G$5:$G$110&lt;&gt;"acoes")))*INDEX(Inputs!$K$5:$AJ$110,0,MATCH(K$2,Inputs!$K$4:$AJ$4,0)))+SUMPRODUCT((Inputs!$E$5:$E$110=$B35)*Inputs!$F$5:$F$110*(((Inputs!$G$5:$G$110="moeda")+(Inputs!$G$5:$G$110="acoes"))*Inputs!$B$1+((Inputs!$G$5:$G$110&lt;&gt;"moeda")*(Inputs!$G$5:$G$110&lt;&gt;"acoes")))*INDEX(Inputs!$K$5:$AJ$110,0,MATCH(K$2,Inputs!$K$4:$AJ$4,0)))))</f>
        <v>39075</v>
      </c>
      <c r="L35" s="6">
        <f>IF(ISNA(MATCH(L$2,Inputs!$K$4:$AJ$4,0)),NA(),IF(SUMPRODUCT((Inputs!$A$5:$A$110=$B35)*ISNUMBER(INDEX(Inputs!$K$5:$AJ$110,0,MATCH(L$2,Inputs!$K$4:$AJ$4,0))))+SUMPRODUCT((Inputs!$C$5:$C$110=$B35)*ISNUMBER(INDEX(Inputs!$K$5:$AJ$110,0,MATCH(L$2,Inputs!$K$4:$AJ$4,0))))+SUMPRODUCT((Inputs!$E$5:$E$110=$B35)*ISNUMBER(INDEX(Inputs!$K$5:$AJ$110,0,MATCH(L$2,Inputs!$K$4:$AJ$4,0))))=0,NA(),SUMPRODUCT((Inputs!$A$5:$A$110=$B35)*Inputs!$B$5:$B$110*(((Inputs!$G$5:$G$110="moeda")+(Inputs!$G$5:$G$110="acoes"))*Inputs!$B$1+((Inputs!$G$5:$G$110&lt;&gt;"moeda")*(Inputs!$G$5:$G$110&lt;&gt;"acoes")))*INDEX(Inputs!$K$5:$AJ$110,0,MATCH(L$2,Inputs!$K$4:$AJ$4,0)))+SUMPRODUCT((Inputs!$C$5:$C$110=$B35)*Inputs!$D$5:$D$110*(((Inputs!$G$5:$G$110="moeda")+(Inputs!$G$5:$G$110="acoes"))*Inputs!$B$1+((Inputs!$G$5:$G$110&lt;&gt;"moeda")*(Inputs!$G$5:$G$110&lt;&gt;"acoes")))*INDEX(Inputs!$K$5:$AJ$110,0,MATCH(L$2,Inputs!$K$4:$AJ$4,0)))+SUMPRODUCT((Inputs!$E$5:$E$110=$B35)*Inputs!$F$5:$F$110*(((Inputs!$G$5:$G$110="moeda")+(Inputs!$G$5:$G$110="acoes"))*Inputs!$B$1+((Inputs!$G$5:$G$110&lt;&gt;"moeda")*(Inputs!$G$5:$G$110&lt;&gt;"acoes")))*INDEX(Inputs!$K$5:$AJ$110,0,MATCH(L$2,Inputs!$K$4:$AJ$4,0)))))</f>
        <v>38167</v>
      </c>
      <c r="M35" s="3">
        <f>L35</f>
        <v>38167</v>
      </c>
      <c r="N35" s="6">
        <f>IF(ISNA(MATCH(N$2,Inputs!$K$4:$AJ$4,0)),NA(),IF(SUMPRODUCT((Inputs!$A$5:$A$110=$B35)*ISNUMBER(INDEX(Inputs!$K$5:$AJ$110,0,MATCH(N$2,Inputs!$K$4:$AJ$4,0))))+SUMPRODUCT((Inputs!$C$5:$C$110=$B35)*ISNUMBER(INDEX(Inputs!$K$5:$AJ$110,0,MATCH(N$2,Inputs!$K$4:$AJ$4,0))))+SUMPRODUCT((Inputs!$E$5:$E$110=$B35)*ISNUMBER(INDEX(Inputs!$K$5:$AJ$110,0,MATCH(N$2,Inputs!$K$4:$AJ$4,0))))=0,NA(),SUMPRODUCT((Inputs!$A$5:$A$110=$B35)*Inputs!$B$5:$B$110*(((Inputs!$G$5:$G$110="moeda")+(Inputs!$G$5:$G$110="acoes"))*Inputs!$B$1+((Inputs!$G$5:$G$110&lt;&gt;"moeda")*(Inputs!$G$5:$G$110&lt;&gt;"acoes")))*INDEX(Inputs!$K$5:$AJ$110,0,MATCH(N$2,Inputs!$K$4:$AJ$4,0)))+SUMPRODUCT((Inputs!$C$5:$C$110=$B35)*Inputs!$D$5:$D$110*(((Inputs!$G$5:$G$110="moeda")+(Inputs!$G$5:$G$110="acoes"))*Inputs!$B$1+((Inputs!$G$5:$G$110&lt;&gt;"moeda")*(Inputs!$G$5:$G$110&lt;&gt;"acoes")))*INDEX(Inputs!$K$5:$AJ$110,0,MATCH(N$2,Inputs!$K$4:$AJ$4,0)))+SUMPRODUCT((Inputs!$E$5:$E$110=$B35)*Inputs!$F$5:$F$110*(((Inputs!$G$5:$G$110="moeda")+(Inputs!$G$5:$G$110="acoes"))*Inputs!$B$1+((Inputs!$G$5:$G$110&lt;&gt;"moeda")*(Inputs!$G$5:$G$110&lt;&gt;"acoes")))*INDEX(Inputs!$K$5:$AJ$110,0,MATCH(N$2,Inputs!$K$4:$AJ$4,0)))))</f>
        <v>38194</v>
      </c>
      <c r="O35" s="6">
        <f>IF(ISNA(MATCH(O$2,Inputs!$K$4:$AJ$4,0)),NA(),IF(SUMPRODUCT((Inputs!$A$5:$A$110=$B35)*ISNUMBER(INDEX(Inputs!$K$5:$AJ$110,0,MATCH(O$2,Inputs!$K$4:$AJ$4,0))))+SUMPRODUCT((Inputs!$C$5:$C$110=$B35)*ISNUMBER(INDEX(Inputs!$K$5:$AJ$110,0,MATCH(O$2,Inputs!$K$4:$AJ$4,0))))+SUMPRODUCT((Inputs!$E$5:$E$110=$B35)*ISNUMBER(INDEX(Inputs!$K$5:$AJ$110,0,MATCH(O$2,Inputs!$K$4:$AJ$4,0))))=0,NA(),SUMPRODUCT((Inputs!$A$5:$A$110=$B35)*Inputs!$B$5:$B$110*(((Inputs!$G$5:$G$110="moeda")+(Inputs!$G$5:$G$110="acoes"))*Inputs!$B$1+((Inputs!$G$5:$G$110&lt;&gt;"moeda")*(Inputs!$G$5:$G$110&lt;&gt;"acoes")))*INDEX(Inputs!$K$5:$AJ$110,0,MATCH(O$2,Inputs!$K$4:$AJ$4,0)))+SUMPRODUCT((Inputs!$C$5:$C$110=$B35)*Inputs!$D$5:$D$110*(((Inputs!$G$5:$G$110="moeda")+(Inputs!$G$5:$G$110="acoes"))*Inputs!$B$1+((Inputs!$G$5:$G$110&lt;&gt;"moeda")*(Inputs!$G$5:$G$110&lt;&gt;"acoes")))*INDEX(Inputs!$K$5:$AJ$110,0,MATCH(O$2,Inputs!$K$4:$AJ$4,0)))+SUMPRODUCT((Inputs!$E$5:$E$110=$B35)*Inputs!$F$5:$F$110*(((Inputs!$G$5:$G$110="moeda")+(Inputs!$G$5:$G$110="acoes"))*Inputs!$B$1+((Inputs!$G$5:$G$110&lt;&gt;"moeda")*(Inputs!$G$5:$G$110&lt;&gt;"acoes")))*INDEX(Inputs!$K$5:$AJ$110,0,MATCH(O$2,Inputs!$K$4:$AJ$4,0)))))</f>
        <v>38222</v>
      </c>
      <c r="P35" s="6">
        <f>IF(ISNA(MATCH(P$2,Inputs!$K$4:$AJ$4,0)),NA(),IF(SUMPRODUCT((Inputs!$A$5:$A$110=$B35)*ISNUMBER(INDEX(Inputs!$K$5:$AJ$110,0,MATCH(P$2,Inputs!$K$4:$AJ$4,0))))+SUMPRODUCT((Inputs!$C$5:$C$110=$B35)*ISNUMBER(INDEX(Inputs!$K$5:$AJ$110,0,MATCH(P$2,Inputs!$K$4:$AJ$4,0))))+SUMPRODUCT((Inputs!$E$5:$E$110=$B35)*ISNUMBER(INDEX(Inputs!$K$5:$AJ$110,0,MATCH(P$2,Inputs!$K$4:$AJ$4,0))))=0,NA(),SUMPRODUCT((Inputs!$A$5:$A$110=$B35)*Inputs!$B$5:$B$110*(((Inputs!$G$5:$G$110="moeda")+(Inputs!$G$5:$G$110="acoes"))*Inputs!$B$1+((Inputs!$G$5:$G$110&lt;&gt;"moeda")*(Inputs!$G$5:$G$110&lt;&gt;"acoes")))*INDEX(Inputs!$K$5:$AJ$110,0,MATCH(P$2,Inputs!$K$4:$AJ$4,0)))+SUMPRODUCT((Inputs!$C$5:$C$110=$B35)*Inputs!$D$5:$D$110*(((Inputs!$G$5:$G$110="moeda")+(Inputs!$G$5:$G$110="acoes"))*Inputs!$B$1+((Inputs!$G$5:$G$110&lt;&gt;"moeda")*(Inputs!$G$5:$G$110&lt;&gt;"acoes")))*INDEX(Inputs!$K$5:$AJ$110,0,MATCH(P$2,Inputs!$K$4:$AJ$4,0)))+SUMPRODUCT((Inputs!$E$5:$E$110=$B35)*Inputs!$F$5:$F$110*(((Inputs!$G$5:$G$110="moeda")+(Inputs!$G$5:$G$110="acoes"))*Inputs!$B$1+((Inputs!$G$5:$G$110&lt;&gt;"moeda")*(Inputs!$G$5:$G$110&lt;&gt;"acoes")))*INDEX(Inputs!$K$5:$AJ$110,0,MATCH(P$2,Inputs!$K$4:$AJ$4,0)))))</f>
        <v>37621</v>
      </c>
      <c r="Q35" s="6">
        <f>IF(ISNA(MATCH(Q$2,Inputs!$K$4:$AJ$4,0)),NA(),IF(SUMPRODUCT((Inputs!$A$5:$A$110=$B35)*ISNUMBER(INDEX(Inputs!$K$5:$AJ$110,0,MATCH(Q$2,Inputs!$K$4:$AJ$4,0))))+SUMPRODUCT((Inputs!$C$5:$C$110=$B35)*ISNUMBER(INDEX(Inputs!$K$5:$AJ$110,0,MATCH(Q$2,Inputs!$K$4:$AJ$4,0))))+SUMPRODUCT((Inputs!$E$5:$E$110=$B35)*ISNUMBER(INDEX(Inputs!$K$5:$AJ$110,0,MATCH(Q$2,Inputs!$K$4:$AJ$4,0))))=0,NA(),SUMPRODUCT((Inputs!$A$5:$A$110=$B35)*Inputs!$B$5:$B$110*(((Inputs!$G$5:$G$110="moeda")+(Inputs!$G$5:$G$110="acoes"))*Inputs!$B$1+((Inputs!$G$5:$G$110&lt;&gt;"moeda")*(Inputs!$G$5:$G$110&lt;&gt;"acoes")))*INDEX(Inputs!$K$5:$AJ$110,0,MATCH(Q$2,Inputs!$K$4:$AJ$4,0)))+SUMPRODUCT((Inputs!$C$5:$C$110=$B35)*Inputs!$D$5:$D$110*(((Inputs!$G$5:$G$110="moeda")+(Inputs!$G$5:$G$110="acoes"))*Inputs!$B$1+((Inputs!$G$5:$G$110&lt;&gt;"moeda")*(Inputs!$G$5:$G$110&lt;&gt;"acoes")))*INDEX(Inputs!$K$5:$AJ$110,0,MATCH(Q$2,Inputs!$K$4:$AJ$4,0)))+SUMPRODUCT((Inputs!$E$5:$E$110=$B35)*Inputs!$F$5:$F$110*(((Inputs!$G$5:$G$110="moeda")+(Inputs!$G$5:$G$110="acoes"))*Inputs!$B$1+((Inputs!$G$5:$G$110&lt;&gt;"moeda")*(Inputs!$G$5:$G$110&lt;&gt;"acoes")))*INDEX(Inputs!$K$5:$AJ$110,0,MATCH(Q$2,Inputs!$K$4:$AJ$4,0)))))</f>
        <v>73468</v>
      </c>
      <c r="R35" s="3">
        <f>Q35</f>
        <v>73468</v>
      </c>
      <c r="S35" s="6">
        <f>IF(ISNA(MATCH(S$2,Inputs!$K$4:$AJ$4,0)),NA(),IF(SUMPRODUCT((Inputs!$A$5:$A$110=$B35)*ISNUMBER(INDEX(Inputs!$K$5:$AJ$110,0,MATCH(S$2,Inputs!$K$4:$AJ$4,0))))+SUMPRODUCT((Inputs!$C$5:$C$110=$B35)*ISNUMBER(INDEX(Inputs!$K$5:$AJ$110,0,MATCH(S$2,Inputs!$K$4:$AJ$4,0))))+SUMPRODUCT((Inputs!$E$5:$E$110=$B35)*ISNUMBER(INDEX(Inputs!$K$5:$AJ$110,0,MATCH(S$2,Inputs!$K$4:$AJ$4,0))))=0,NA(),SUMPRODUCT((Inputs!$A$5:$A$110=$B35)*Inputs!$B$5:$B$110*(((Inputs!$G$5:$G$110="moeda")+(Inputs!$G$5:$G$110="acoes"))*Inputs!$B$1+((Inputs!$G$5:$G$110&lt;&gt;"moeda")*(Inputs!$G$5:$G$110&lt;&gt;"acoes")))*INDEX(Inputs!$K$5:$AJ$110,0,MATCH(S$2,Inputs!$K$4:$AJ$4,0)))+SUMPRODUCT((Inputs!$C$5:$C$110=$B35)*Inputs!$D$5:$D$110*(((Inputs!$G$5:$G$110="moeda")+(Inputs!$G$5:$G$110="acoes"))*Inputs!$B$1+((Inputs!$G$5:$G$110&lt;&gt;"moeda")*(Inputs!$G$5:$G$110&lt;&gt;"acoes")))*INDEX(Inputs!$K$5:$AJ$110,0,MATCH(S$2,Inputs!$K$4:$AJ$4,0)))+SUMPRODUCT((Inputs!$E$5:$E$110=$B35)*Inputs!$F$5:$F$110*(((Inputs!$G$5:$G$110="moeda")+(Inputs!$G$5:$G$110="acoes"))*Inputs!$B$1+((Inputs!$G$5:$G$110&lt;&gt;"moeda")*(Inputs!$G$5:$G$110&lt;&gt;"acoes")))*INDEX(Inputs!$K$5:$AJ$110,0,MATCH(S$2,Inputs!$K$4:$AJ$4,0)))))</f>
        <v>71590</v>
      </c>
      <c r="T35" s="6">
        <f>IF(ISNA(MATCH(T$2,Inputs!$K$4:$AJ$4,0)),NA(),IF(SUMPRODUCT((Inputs!$A$5:$A$110=$B35)*ISNUMBER(INDEX(Inputs!$K$5:$AJ$110,0,MATCH(T$2,Inputs!$K$4:$AJ$4,0))))+SUMPRODUCT((Inputs!$C$5:$C$110=$B35)*ISNUMBER(INDEX(Inputs!$K$5:$AJ$110,0,MATCH(T$2,Inputs!$K$4:$AJ$4,0))))+SUMPRODUCT((Inputs!$E$5:$E$110=$B35)*ISNUMBER(INDEX(Inputs!$K$5:$AJ$110,0,MATCH(T$2,Inputs!$K$4:$AJ$4,0))))=0,NA(),SUMPRODUCT((Inputs!$A$5:$A$110=$B35)*Inputs!$B$5:$B$110*(((Inputs!$G$5:$G$110="moeda")+(Inputs!$G$5:$G$110="acoes"))*Inputs!$B$1+((Inputs!$G$5:$G$110&lt;&gt;"moeda")*(Inputs!$G$5:$G$110&lt;&gt;"acoes")))*INDEX(Inputs!$K$5:$AJ$110,0,MATCH(T$2,Inputs!$K$4:$AJ$4,0)))+SUMPRODUCT((Inputs!$C$5:$C$110=$B35)*Inputs!$D$5:$D$110*(((Inputs!$G$5:$G$110="moeda")+(Inputs!$G$5:$G$110="acoes"))*Inputs!$B$1+((Inputs!$G$5:$G$110&lt;&gt;"moeda")*(Inputs!$G$5:$G$110&lt;&gt;"acoes")))*INDEX(Inputs!$K$5:$AJ$110,0,MATCH(T$2,Inputs!$K$4:$AJ$4,0)))+SUMPRODUCT((Inputs!$E$5:$E$110=$B35)*Inputs!$F$5:$F$110*(((Inputs!$G$5:$G$110="moeda")+(Inputs!$G$5:$G$110="acoes"))*Inputs!$B$1+((Inputs!$G$5:$G$110&lt;&gt;"moeda")*(Inputs!$G$5:$G$110&lt;&gt;"acoes")))*INDEX(Inputs!$K$5:$AJ$110,0,MATCH(T$2,Inputs!$K$4:$AJ$4,0)))))</f>
        <v>66798</v>
      </c>
      <c r="U35" s="6">
        <f>IF(ISNA(MATCH(U$2,Inputs!$K$4:$AJ$4,0)),NA(),IF(SUMPRODUCT((Inputs!$A$5:$A$110=$B35)*ISNUMBER(INDEX(Inputs!$K$5:$AJ$110,0,MATCH(U$2,Inputs!$K$4:$AJ$4,0))))+SUMPRODUCT((Inputs!$C$5:$C$110=$B35)*ISNUMBER(INDEX(Inputs!$K$5:$AJ$110,0,MATCH(U$2,Inputs!$K$4:$AJ$4,0))))+SUMPRODUCT((Inputs!$E$5:$E$110=$B35)*ISNUMBER(INDEX(Inputs!$K$5:$AJ$110,0,MATCH(U$2,Inputs!$K$4:$AJ$4,0))))=0,NA(),SUMPRODUCT((Inputs!$A$5:$A$110=$B35)*Inputs!$B$5:$B$110*(((Inputs!$G$5:$G$110="moeda")+(Inputs!$G$5:$G$110="acoes"))*Inputs!$B$1+((Inputs!$G$5:$G$110&lt;&gt;"moeda")*(Inputs!$G$5:$G$110&lt;&gt;"acoes")))*INDEX(Inputs!$K$5:$AJ$110,0,MATCH(U$2,Inputs!$K$4:$AJ$4,0)))+SUMPRODUCT((Inputs!$C$5:$C$110=$B35)*Inputs!$D$5:$D$110*(((Inputs!$G$5:$G$110="moeda")+(Inputs!$G$5:$G$110="acoes"))*Inputs!$B$1+((Inputs!$G$5:$G$110&lt;&gt;"moeda")*(Inputs!$G$5:$G$110&lt;&gt;"acoes")))*INDEX(Inputs!$K$5:$AJ$110,0,MATCH(U$2,Inputs!$K$4:$AJ$4,0)))+SUMPRODUCT((Inputs!$E$5:$E$110=$B35)*Inputs!$F$5:$F$110*(((Inputs!$G$5:$G$110="moeda")+(Inputs!$G$5:$G$110="acoes"))*Inputs!$B$1+((Inputs!$G$5:$G$110&lt;&gt;"moeda")*(Inputs!$G$5:$G$110&lt;&gt;"acoes")))*INDEX(Inputs!$K$5:$AJ$110,0,MATCH(U$2,Inputs!$K$4:$AJ$4,0)))))</f>
        <v>66295</v>
      </c>
      <c r="V35" s="6">
        <f>IF(ISNA(MATCH(V$2,Inputs!$K$4:$AJ$4,0)),NA(),IF(SUMPRODUCT((Inputs!$A$5:$A$110=$B35)*ISNUMBER(INDEX(Inputs!$K$5:$AJ$110,0,MATCH(V$2,Inputs!$K$4:$AJ$4,0))))+SUMPRODUCT((Inputs!$C$5:$C$110=$B35)*ISNUMBER(INDEX(Inputs!$K$5:$AJ$110,0,MATCH(V$2,Inputs!$K$4:$AJ$4,0))))+SUMPRODUCT((Inputs!$E$5:$E$110=$B35)*ISNUMBER(INDEX(Inputs!$K$5:$AJ$110,0,MATCH(V$2,Inputs!$K$4:$AJ$4,0))))=0,NA(),SUMPRODUCT((Inputs!$A$5:$A$110=$B35)*Inputs!$B$5:$B$110*(((Inputs!$G$5:$G$110="moeda")+(Inputs!$G$5:$G$110="acoes"))*Inputs!$B$1+((Inputs!$G$5:$G$110&lt;&gt;"moeda")*(Inputs!$G$5:$G$110&lt;&gt;"acoes")))*INDEX(Inputs!$K$5:$AJ$110,0,MATCH(V$2,Inputs!$K$4:$AJ$4,0)))+SUMPRODUCT((Inputs!$C$5:$C$110=$B35)*Inputs!$D$5:$D$110*(((Inputs!$G$5:$G$110="moeda")+(Inputs!$G$5:$G$110="acoes"))*Inputs!$B$1+((Inputs!$G$5:$G$110&lt;&gt;"moeda")*(Inputs!$G$5:$G$110&lt;&gt;"acoes")))*INDEX(Inputs!$K$5:$AJ$110,0,MATCH(V$2,Inputs!$K$4:$AJ$4,0)))+SUMPRODUCT((Inputs!$E$5:$E$110=$B35)*Inputs!$F$5:$F$110*(((Inputs!$G$5:$G$110="moeda")+(Inputs!$G$5:$G$110="acoes"))*Inputs!$B$1+((Inputs!$G$5:$G$110&lt;&gt;"moeda")*(Inputs!$G$5:$G$110&lt;&gt;"acoes")))*INDEX(Inputs!$K$5:$AJ$110,0,MATCH(V$2,Inputs!$K$4:$AJ$4,0)))))</f>
        <v>60926</v>
      </c>
      <c r="W35" s="3">
        <f>V35</f>
        <v>60926</v>
      </c>
      <c r="X35" s="6">
        <f>IF(ISNA(MATCH(X$2,Inputs!$K$4:$AJ$4,0)),NA(),IF(SUMPRODUCT((Inputs!$A$5:$A$110=$B35)*ISNUMBER(INDEX(Inputs!$K$5:$AJ$110,0,MATCH(X$2,Inputs!$K$4:$AJ$4,0))))+SUMPRODUCT((Inputs!$C$5:$C$110=$B35)*ISNUMBER(INDEX(Inputs!$K$5:$AJ$110,0,MATCH(X$2,Inputs!$K$4:$AJ$4,0))))+SUMPRODUCT((Inputs!$E$5:$E$110=$B35)*ISNUMBER(INDEX(Inputs!$K$5:$AJ$110,0,MATCH(X$2,Inputs!$K$4:$AJ$4,0))))=0,NA(),SUMPRODUCT((Inputs!$A$5:$A$110=$B35)*Inputs!$B$5:$B$110*(((Inputs!$G$5:$G$110="moeda")+(Inputs!$G$5:$G$110="acoes"))*Inputs!$B$1+((Inputs!$G$5:$G$110&lt;&gt;"moeda")*(Inputs!$G$5:$G$110&lt;&gt;"acoes")))*INDEX(Inputs!$K$5:$AJ$110,0,MATCH(X$2,Inputs!$K$4:$AJ$4,0)))+SUMPRODUCT((Inputs!$C$5:$C$110=$B35)*Inputs!$D$5:$D$110*(((Inputs!$G$5:$G$110="moeda")+(Inputs!$G$5:$G$110="acoes"))*Inputs!$B$1+((Inputs!$G$5:$G$110&lt;&gt;"moeda")*(Inputs!$G$5:$G$110&lt;&gt;"acoes")))*INDEX(Inputs!$K$5:$AJ$110,0,MATCH(X$2,Inputs!$K$4:$AJ$4,0)))+SUMPRODUCT((Inputs!$E$5:$E$110=$B35)*Inputs!$F$5:$F$110*(((Inputs!$G$5:$G$110="moeda")+(Inputs!$G$5:$G$110="acoes"))*Inputs!$B$1+((Inputs!$G$5:$G$110&lt;&gt;"moeda")*(Inputs!$G$5:$G$110&lt;&gt;"acoes")))*INDEX(Inputs!$K$5:$AJ$110,0,MATCH(X$2,Inputs!$K$4:$AJ$4,0)))))</f>
        <v>61751</v>
      </c>
      <c r="Y35" s="6">
        <f>IF(ISNA(MATCH(Y$2,Inputs!$K$4:$AJ$4,0)),NA(),IF(SUMPRODUCT((Inputs!$A$5:$A$110=$B35)*ISNUMBER(INDEX(Inputs!$K$5:$AJ$110,0,MATCH(Y$2,Inputs!$K$4:$AJ$4,0))))+SUMPRODUCT((Inputs!$C$5:$C$110=$B35)*ISNUMBER(INDEX(Inputs!$K$5:$AJ$110,0,MATCH(Y$2,Inputs!$K$4:$AJ$4,0))))+SUMPRODUCT((Inputs!$E$5:$E$110=$B35)*ISNUMBER(INDEX(Inputs!$K$5:$AJ$110,0,MATCH(Y$2,Inputs!$K$4:$AJ$4,0))))=0,NA(),SUMPRODUCT((Inputs!$A$5:$A$110=$B35)*Inputs!$B$5:$B$110*(((Inputs!$G$5:$G$110="moeda")+(Inputs!$G$5:$G$110="acoes"))*Inputs!$B$1+((Inputs!$G$5:$G$110&lt;&gt;"moeda")*(Inputs!$G$5:$G$110&lt;&gt;"acoes")))*INDEX(Inputs!$K$5:$AJ$110,0,MATCH(Y$2,Inputs!$K$4:$AJ$4,0)))+SUMPRODUCT((Inputs!$C$5:$C$110=$B35)*Inputs!$D$5:$D$110*(((Inputs!$G$5:$G$110="moeda")+(Inputs!$G$5:$G$110="acoes"))*Inputs!$B$1+((Inputs!$G$5:$G$110&lt;&gt;"moeda")*(Inputs!$G$5:$G$110&lt;&gt;"acoes")))*INDEX(Inputs!$K$5:$AJ$110,0,MATCH(Y$2,Inputs!$K$4:$AJ$4,0)))+SUMPRODUCT((Inputs!$E$5:$E$110=$B35)*Inputs!$F$5:$F$110*(((Inputs!$G$5:$G$110="moeda")+(Inputs!$G$5:$G$110="acoes"))*Inputs!$B$1+((Inputs!$G$5:$G$110&lt;&gt;"moeda")*(Inputs!$G$5:$G$110&lt;&gt;"acoes")))*INDEX(Inputs!$K$5:$AJ$110,0,MATCH(Y$2,Inputs!$K$4:$AJ$4,0)))))</f>
        <v>62830</v>
      </c>
      <c r="Z35" s="6">
        <f>IF(ISNA(MATCH(Z$2,Inputs!$K$4:$AJ$4,0)),NA(),IF(SUMPRODUCT((Inputs!$A$5:$A$110=$B35)*ISNUMBER(INDEX(Inputs!$K$5:$AJ$110,0,MATCH(Z$2,Inputs!$K$4:$AJ$4,0))))+SUMPRODUCT((Inputs!$C$5:$C$110=$B35)*ISNUMBER(INDEX(Inputs!$K$5:$AJ$110,0,MATCH(Z$2,Inputs!$K$4:$AJ$4,0))))+SUMPRODUCT((Inputs!$E$5:$E$110=$B35)*ISNUMBER(INDEX(Inputs!$K$5:$AJ$110,0,MATCH(Z$2,Inputs!$K$4:$AJ$4,0))))=0,NA(),SUMPRODUCT((Inputs!$A$5:$A$110=$B35)*Inputs!$B$5:$B$110*(((Inputs!$G$5:$G$110="moeda")+(Inputs!$G$5:$G$110="acoes"))*Inputs!$B$1+((Inputs!$G$5:$G$110&lt;&gt;"moeda")*(Inputs!$G$5:$G$110&lt;&gt;"acoes")))*INDEX(Inputs!$K$5:$AJ$110,0,MATCH(Z$2,Inputs!$K$4:$AJ$4,0)))+SUMPRODUCT((Inputs!$C$5:$C$110=$B35)*Inputs!$D$5:$D$110*(((Inputs!$G$5:$G$110="moeda")+(Inputs!$G$5:$G$110="acoes"))*Inputs!$B$1+((Inputs!$G$5:$G$110&lt;&gt;"moeda")*(Inputs!$G$5:$G$110&lt;&gt;"acoes")))*INDEX(Inputs!$K$5:$AJ$110,0,MATCH(Z$2,Inputs!$K$4:$AJ$4,0)))+SUMPRODUCT((Inputs!$E$5:$E$110=$B35)*Inputs!$F$5:$F$110*(((Inputs!$G$5:$G$110="moeda")+(Inputs!$G$5:$G$110="acoes"))*Inputs!$B$1+((Inputs!$G$5:$G$110&lt;&gt;"moeda")*(Inputs!$G$5:$G$110&lt;&gt;"acoes")))*INDEX(Inputs!$K$5:$AJ$110,0,MATCH(Z$2,Inputs!$K$4:$AJ$4,0)))))</f>
        <v>61984</v>
      </c>
      <c r="AA35" s="6">
        <f>IF(ISNA(MATCH(AA$2,Inputs!$K$4:$AJ$4,0)),NA(),IF(SUMPRODUCT((Inputs!$A$5:$A$110=$B35)*ISNUMBER(INDEX(Inputs!$K$5:$AJ$110,0,MATCH(AA$2,Inputs!$K$4:$AJ$4,0))))+SUMPRODUCT((Inputs!$C$5:$C$110=$B35)*ISNUMBER(INDEX(Inputs!$K$5:$AJ$110,0,MATCH(AA$2,Inputs!$K$4:$AJ$4,0))))+SUMPRODUCT((Inputs!$E$5:$E$110=$B35)*ISNUMBER(INDEX(Inputs!$K$5:$AJ$110,0,MATCH(AA$2,Inputs!$K$4:$AJ$4,0))))=0,NA(),SUMPRODUCT((Inputs!$A$5:$A$110=$B35)*Inputs!$B$5:$B$110*(((Inputs!$G$5:$G$110="moeda")+(Inputs!$G$5:$G$110="acoes"))*Inputs!$B$1+((Inputs!$G$5:$G$110&lt;&gt;"moeda")*(Inputs!$G$5:$G$110&lt;&gt;"acoes")))*INDEX(Inputs!$K$5:$AJ$110,0,MATCH(AA$2,Inputs!$K$4:$AJ$4,0)))+SUMPRODUCT((Inputs!$C$5:$C$110=$B35)*Inputs!$D$5:$D$110*(((Inputs!$G$5:$G$110="moeda")+(Inputs!$G$5:$G$110="acoes"))*Inputs!$B$1+((Inputs!$G$5:$G$110&lt;&gt;"moeda")*(Inputs!$G$5:$G$110&lt;&gt;"acoes")))*INDEX(Inputs!$K$5:$AJ$110,0,MATCH(AA$2,Inputs!$K$4:$AJ$4,0)))+SUMPRODUCT((Inputs!$E$5:$E$110=$B35)*Inputs!$F$5:$F$110*(((Inputs!$G$5:$G$110="moeda")+(Inputs!$G$5:$G$110="acoes"))*Inputs!$B$1+((Inputs!$G$5:$G$110&lt;&gt;"moeda")*(Inputs!$G$5:$G$110&lt;&gt;"acoes")))*INDEX(Inputs!$K$5:$AJ$110,0,MATCH(AA$2,Inputs!$K$4:$AJ$4,0)))))</f>
        <v>63805</v>
      </c>
      <c r="AB35" s="3">
        <f>AA35</f>
        <v>63805</v>
      </c>
      <c r="AC35" s="6">
        <f>IF(ISNA(MATCH(AC$2,Inputs!$K$4:$AJ$4,0)),NA(),IF(SUMPRODUCT((Inputs!$A$5:$A$110=$B35)*ISNUMBER(INDEX(Inputs!$K$5:$AJ$110,0,MATCH(AC$2,Inputs!$K$4:$AJ$4,0))))+SUMPRODUCT((Inputs!$C$5:$C$110=$B35)*ISNUMBER(INDEX(Inputs!$K$5:$AJ$110,0,MATCH(AC$2,Inputs!$K$4:$AJ$4,0))))+SUMPRODUCT((Inputs!$E$5:$E$110=$B35)*ISNUMBER(INDEX(Inputs!$K$5:$AJ$110,0,MATCH(AC$2,Inputs!$K$4:$AJ$4,0))))=0,NA(),SUMPRODUCT((Inputs!$A$5:$A$110=$B35)*Inputs!$B$5:$B$110*(((Inputs!$G$5:$G$110="moeda")+(Inputs!$G$5:$G$110="acoes"))*Inputs!$B$1+((Inputs!$G$5:$G$110&lt;&gt;"moeda")*(Inputs!$G$5:$G$110&lt;&gt;"acoes")))*INDEX(Inputs!$K$5:$AJ$110,0,MATCH(AC$2,Inputs!$K$4:$AJ$4,0)))+SUMPRODUCT((Inputs!$C$5:$C$110=$B35)*Inputs!$D$5:$D$110*(((Inputs!$G$5:$G$110="moeda")+(Inputs!$G$5:$G$110="acoes"))*Inputs!$B$1+((Inputs!$G$5:$G$110&lt;&gt;"moeda")*(Inputs!$G$5:$G$110&lt;&gt;"acoes")))*INDEX(Inputs!$K$5:$AJ$110,0,MATCH(AC$2,Inputs!$K$4:$AJ$4,0)))+SUMPRODUCT((Inputs!$E$5:$E$110=$B35)*Inputs!$F$5:$F$110*(((Inputs!$G$5:$G$110="moeda")+(Inputs!$G$5:$G$110="acoes"))*Inputs!$B$1+((Inputs!$G$5:$G$110&lt;&gt;"moeda")*(Inputs!$G$5:$G$110&lt;&gt;"acoes")))*INDEX(Inputs!$K$5:$AJ$110,0,MATCH(AC$2,Inputs!$K$4:$AJ$4,0)))))</f>
        <v>62655</v>
      </c>
      <c r="AD35" s="6">
        <f>IF(ISNA(MATCH(AD$2,Inputs!$K$4:$AJ$4,0)),NA(),IF(SUMPRODUCT((Inputs!$A$5:$A$110=$B35)*ISNUMBER(INDEX(Inputs!$K$5:$AJ$110,0,MATCH(AD$2,Inputs!$K$4:$AJ$4,0))))+SUMPRODUCT((Inputs!$C$5:$C$110=$B35)*ISNUMBER(INDEX(Inputs!$K$5:$AJ$110,0,MATCH(AD$2,Inputs!$K$4:$AJ$4,0))))+SUMPRODUCT((Inputs!$E$5:$E$110=$B35)*ISNUMBER(INDEX(Inputs!$K$5:$AJ$110,0,MATCH(AD$2,Inputs!$K$4:$AJ$4,0))))=0,NA(),SUMPRODUCT((Inputs!$A$5:$A$110=$B35)*Inputs!$B$5:$B$110*(((Inputs!$G$5:$G$110="moeda")+(Inputs!$G$5:$G$110="acoes"))*Inputs!$B$1+((Inputs!$G$5:$G$110&lt;&gt;"moeda")*(Inputs!$G$5:$G$110&lt;&gt;"acoes")))*INDEX(Inputs!$K$5:$AJ$110,0,MATCH(AD$2,Inputs!$K$4:$AJ$4,0)))+SUMPRODUCT((Inputs!$C$5:$C$110=$B35)*Inputs!$D$5:$D$110*(((Inputs!$G$5:$G$110="moeda")+(Inputs!$G$5:$G$110="acoes"))*Inputs!$B$1+((Inputs!$G$5:$G$110&lt;&gt;"moeda")*(Inputs!$G$5:$G$110&lt;&gt;"acoes")))*INDEX(Inputs!$K$5:$AJ$110,0,MATCH(AD$2,Inputs!$K$4:$AJ$4,0)))+SUMPRODUCT((Inputs!$E$5:$E$110=$B35)*Inputs!$F$5:$F$110*(((Inputs!$G$5:$G$110="moeda")+(Inputs!$G$5:$G$110="acoes"))*Inputs!$B$1+((Inputs!$G$5:$G$110&lt;&gt;"moeda")*(Inputs!$G$5:$G$110&lt;&gt;"acoes")))*INDEX(Inputs!$K$5:$AJ$110,0,MATCH(AD$2,Inputs!$K$4:$AJ$4,0)))))</f>
        <v>57167</v>
      </c>
      <c r="AE35" s="6" t="e">
        <f>IF(ISNA(MATCH(AE$2,Inputs!$K$4:$AJ$4,0)),NA(),IF(SUMPRODUCT((Inputs!$A$5:$A$110=$B35)*ISNUMBER(INDEX(Inputs!$K$5:$AJ$110,0,MATCH(AE$2,Inputs!$K$4:$AJ$4,0))))+SUMPRODUCT((Inputs!$C$5:$C$110=$B35)*ISNUMBER(INDEX(Inputs!$K$5:$AJ$110,0,MATCH(AE$2,Inputs!$K$4:$AJ$4,0))))+SUMPRODUCT((Inputs!$E$5:$E$110=$B35)*ISNUMBER(INDEX(Inputs!$K$5:$AJ$110,0,MATCH(AE$2,Inputs!$K$4:$AJ$4,0))))=0,NA(),SUMPRODUCT((Inputs!$A$5:$A$110=$B35)*Inputs!$B$5:$B$110*(((Inputs!$G$5:$G$110="moeda")+(Inputs!$G$5:$G$110="acoes"))*Inputs!$B$1+((Inputs!$G$5:$G$110&lt;&gt;"moeda")*(Inputs!$G$5:$G$110&lt;&gt;"acoes")))*INDEX(Inputs!$K$5:$AJ$110,0,MATCH(AE$2,Inputs!$K$4:$AJ$4,0)))+SUMPRODUCT((Inputs!$C$5:$C$110=$B35)*Inputs!$D$5:$D$110*(((Inputs!$G$5:$G$110="moeda")+(Inputs!$G$5:$G$110="acoes"))*Inputs!$B$1+((Inputs!$G$5:$G$110&lt;&gt;"moeda")*(Inputs!$G$5:$G$110&lt;&gt;"acoes")))*INDEX(Inputs!$K$5:$AJ$110,0,MATCH(AE$2,Inputs!$K$4:$AJ$4,0)))+SUMPRODUCT((Inputs!$E$5:$E$110=$B35)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5" s="6" t="e">
        <f>IF(ISNA(MATCH(AF$2,Inputs!$K$4:$AJ$4,0)),NA(),IF(SUMPRODUCT((Inputs!$A$5:$A$110=$B35)*ISNUMBER(INDEX(Inputs!$K$5:$AJ$110,0,MATCH(AF$2,Inputs!$K$4:$AJ$4,0))))+SUMPRODUCT((Inputs!$C$5:$C$110=$B35)*ISNUMBER(INDEX(Inputs!$K$5:$AJ$110,0,MATCH(AF$2,Inputs!$K$4:$AJ$4,0))))+SUMPRODUCT((Inputs!$E$5:$E$110=$B35)*ISNUMBER(INDEX(Inputs!$K$5:$AJ$110,0,MATCH(AF$2,Inputs!$K$4:$AJ$4,0))))=0,NA(),SUMPRODUCT((Inputs!$A$5:$A$110=$B35)*Inputs!$B$5:$B$110*(((Inputs!$G$5:$G$110="moeda")+(Inputs!$G$5:$G$110="acoes"))*Inputs!$B$1+((Inputs!$G$5:$G$110&lt;&gt;"moeda")*(Inputs!$G$5:$G$110&lt;&gt;"acoes")))*INDEX(Inputs!$K$5:$AJ$110,0,MATCH(AF$2,Inputs!$K$4:$AJ$4,0)))+SUMPRODUCT((Inputs!$C$5:$C$110=$B35)*Inputs!$D$5:$D$110*(((Inputs!$G$5:$G$110="moeda")+(Inputs!$G$5:$G$110="acoes"))*Inputs!$B$1+((Inputs!$G$5:$G$110&lt;&gt;"moeda")*(Inputs!$G$5:$G$110&lt;&gt;"acoes")))*INDEX(Inputs!$K$5:$AJ$110,0,MATCH(AF$2,Inputs!$K$4:$AJ$4,0)))+SUMPRODUCT((Inputs!$E$5:$E$110=$B35)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5" s="3" t="e">
        <f>AF35</f>
        <v>#N/A</v>
      </c>
      <c r="AH35" s="6">
        <f>IF(ISNA(MATCH(AH$2,Inputs!$K$4:$AJ$4,0)),NA(),IF(SUMPRODUCT((Inputs!$A$5:$A$110=$B35)*ISNUMBER(INDEX(Inputs!$K$5:$AJ$110,0,MATCH(AH$2,Inputs!$K$4:$AJ$4,0))))+SUMPRODUCT((Inputs!$C$5:$C$110=$B35)*ISNUMBER(INDEX(Inputs!$K$5:$AJ$110,0,MATCH(AH$2,Inputs!$K$4:$AJ$4,0))))+SUMPRODUCT((Inputs!$E$5:$E$110=$B35)*ISNUMBER(INDEX(Inputs!$K$5:$AJ$110,0,MATCH(AH$2,Inputs!$K$4:$AJ$4,0))))=0,NA(),SUMPRODUCT((Inputs!$A$5:$A$110=$B35)*Inputs!$B$5:$B$110*(((Inputs!$G$5:$G$110="moeda")+(Inputs!$G$5:$G$110="acoes"))*Inputs!$B$1+((Inputs!$G$5:$G$110&lt;&gt;"moeda")*(Inputs!$G$5:$G$110&lt;&gt;"acoes")))*INDEX(Inputs!$K$5:$AJ$110,0,MATCH(AH$2,Inputs!$K$4:$AJ$4,0)))+SUMPRODUCT((Inputs!$C$5:$C$110=$B35)*Inputs!$D$5:$D$110*(((Inputs!$G$5:$G$110="moeda")+(Inputs!$G$5:$G$110="acoes"))*Inputs!$B$1+((Inputs!$G$5:$G$110&lt;&gt;"moeda")*(Inputs!$G$5:$G$110&lt;&gt;"acoes")))*INDEX(Inputs!$K$5:$AJ$110,0,MATCH(AH$2,Inputs!$K$4:$AJ$4,0)))+SUMPRODUCT((Inputs!$E$5:$E$110=$B35)*Inputs!$F$5:$F$110*(((Inputs!$G$5:$G$110="moeda")+(Inputs!$G$5:$G$110="acoes"))*Inputs!$B$1+((Inputs!$G$5:$G$110&lt;&gt;"moeda")*(Inputs!$G$5:$G$110&lt;&gt;"acoes")))*INDEX(Inputs!$K$5:$AJ$110,0,MATCH(AH$2,Inputs!$K$4:$AJ$4,0)))))</f>
        <v>45044</v>
      </c>
      <c r="AI35" s="6">
        <f>IF(ISNA(MATCH(AI$2,Inputs!$K$4:$AJ$4,0)),NA(),IF(SUMPRODUCT((Inputs!$A$5:$A$110=$B35)*ISNUMBER(INDEX(Inputs!$K$5:$AJ$110,0,MATCH(AI$2,Inputs!$K$4:$AJ$4,0))))+SUMPRODUCT((Inputs!$C$5:$C$110=$B35)*ISNUMBER(INDEX(Inputs!$K$5:$AJ$110,0,MATCH(AI$2,Inputs!$K$4:$AJ$4,0))))+SUMPRODUCT((Inputs!$E$5:$E$110=$B35)*ISNUMBER(INDEX(Inputs!$K$5:$AJ$110,0,MATCH(AI$2,Inputs!$K$4:$AJ$4,0))))=0,NA(),SUMPRODUCT((Inputs!$A$5:$A$110=$B35)*Inputs!$B$5:$B$110*(((Inputs!$G$5:$G$110="moeda")+(Inputs!$G$5:$G$110="acoes"))*Inputs!$B$1+((Inputs!$G$5:$G$110&lt;&gt;"moeda")*(Inputs!$G$5:$G$110&lt;&gt;"acoes")))*INDEX(Inputs!$K$5:$AJ$110,0,MATCH(AI$2,Inputs!$K$4:$AJ$4,0)))+SUMPRODUCT((Inputs!$C$5:$C$110=$B35)*Inputs!$D$5:$D$110*(((Inputs!$G$5:$G$110="moeda")+(Inputs!$G$5:$G$110="acoes"))*Inputs!$B$1+((Inputs!$G$5:$G$110&lt;&gt;"moeda")*(Inputs!$G$5:$G$110&lt;&gt;"acoes")))*INDEX(Inputs!$K$5:$AJ$110,0,MATCH(AI$2,Inputs!$K$4:$AJ$4,0)))+SUMPRODUCT((Inputs!$E$5:$E$110=$B35)*Inputs!$F$5:$F$110*(((Inputs!$G$5:$G$110="moeda")+(Inputs!$G$5:$G$110="acoes"))*Inputs!$B$1+((Inputs!$G$5:$G$110&lt;&gt;"moeda")*(Inputs!$G$5:$G$110&lt;&gt;"acoes")))*INDEX(Inputs!$K$5:$AJ$110,0,MATCH(AI$2,Inputs!$K$4:$AJ$4,0)))))</f>
        <v>43201</v>
      </c>
      <c r="AJ35" s="6">
        <f>IF(ISNA(MATCH(AJ$2,Inputs!$K$4:$AJ$4,0)),NA(),IF(SUMPRODUCT((Inputs!$A$5:$A$110=$B35)*ISNUMBER(INDEX(Inputs!$K$5:$AJ$110,0,MATCH(AJ$2,Inputs!$K$4:$AJ$4,0))))+SUMPRODUCT((Inputs!$C$5:$C$110=$B35)*ISNUMBER(INDEX(Inputs!$K$5:$AJ$110,0,MATCH(AJ$2,Inputs!$K$4:$AJ$4,0))))+SUMPRODUCT((Inputs!$E$5:$E$110=$B35)*ISNUMBER(INDEX(Inputs!$K$5:$AJ$110,0,MATCH(AJ$2,Inputs!$K$4:$AJ$4,0))))=0,NA(),SUMPRODUCT((Inputs!$A$5:$A$110=$B35)*Inputs!$B$5:$B$110*(((Inputs!$G$5:$G$110="moeda")+(Inputs!$G$5:$G$110="acoes"))*Inputs!$B$1+((Inputs!$G$5:$G$110&lt;&gt;"moeda")*(Inputs!$G$5:$G$110&lt;&gt;"acoes")))*INDEX(Inputs!$K$5:$AJ$110,0,MATCH(AJ$2,Inputs!$K$4:$AJ$4,0)))+SUMPRODUCT((Inputs!$C$5:$C$110=$B35)*Inputs!$D$5:$D$110*(((Inputs!$G$5:$G$110="moeda")+(Inputs!$G$5:$G$110="acoes"))*Inputs!$B$1+((Inputs!$G$5:$G$110&lt;&gt;"moeda")*(Inputs!$G$5:$G$110&lt;&gt;"acoes")))*INDEX(Inputs!$K$5:$AJ$110,0,MATCH(AJ$2,Inputs!$K$4:$AJ$4,0)))+SUMPRODUCT((Inputs!$E$5:$E$110=$B35)*Inputs!$F$5:$F$110*(((Inputs!$G$5:$G$110="moeda")+(Inputs!$G$5:$G$110="acoes"))*Inputs!$B$1+((Inputs!$G$5:$G$110&lt;&gt;"moeda")*(Inputs!$G$5:$G$110&lt;&gt;"acoes")))*INDEX(Inputs!$K$5:$AJ$110,0,MATCH(AJ$2,Inputs!$K$4:$AJ$4,0)))))</f>
        <v>40235</v>
      </c>
      <c r="AK35" s="6">
        <f>IF(ISNA(MATCH(AK$2,Inputs!$K$4:$AJ$4,0)),NA(),IF(SUMPRODUCT((Inputs!$A$5:$A$110=$B35)*ISNUMBER(INDEX(Inputs!$K$5:$AJ$110,0,MATCH(AK$2,Inputs!$K$4:$AJ$4,0))))+SUMPRODUCT((Inputs!$C$5:$C$110=$B35)*ISNUMBER(INDEX(Inputs!$K$5:$AJ$110,0,MATCH(AK$2,Inputs!$K$4:$AJ$4,0))))+SUMPRODUCT((Inputs!$E$5:$E$110=$B35)*ISNUMBER(INDEX(Inputs!$K$5:$AJ$110,0,MATCH(AK$2,Inputs!$K$4:$AJ$4,0))))=0,NA(),SUMPRODUCT((Inputs!$A$5:$A$110=$B35)*Inputs!$B$5:$B$110*(((Inputs!$G$5:$G$110="moeda")+(Inputs!$G$5:$G$110="acoes"))*Inputs!$B$1+((Inputs!$G$5:$G$110&lt;&gt;"moeda")*(Inputs!$G$5:$G$110&lt;&gt;"acoes")))*INDEX(Inputs!$K$5:$AJ$110,0,MATCH(AK$2,Inputs!$K$4:$AJ$4,0)))+SUMPRODUCT((Inputs!$C$5:$C$110=$B35)*Inputs!$D$5:$D$110*(((Inputs!$G$5:$G$110="moeda")+(Inputs!$G$5:$G$110="acoes"))*Inputs!$B$1+((Inputs!$G$5:$G$110&lt;&gt;"moeda")*(Inputs!$G$5:$G$110&lt;&gt;"acoes")))*INDEX(Inputs!$K$5:$AJ$110,0,MATCH(AK$2,Inputs!$K$4:$AJ$4,0)))+SUMPRODUCT((Inputs!$E$5:$E$110=$B35)*Inputs!$F$5:$F$110*(((Inputs!$G$5:$G$110="moeda")+(Inputs!$G$5:$G$110="acoes"))*Inputs!$B$1+((Inputs!$G$5:$G$110&lt;&gt;"moeda")*(Inputs!$G$5:$G$110&lt;&gt;"acoes")))*INDEX(Inputs!$K$5:$AJ$110,0,MATCH(AK$2,Inputs!$K$4:$AJ$4,0)))))</f>
        <v>41068</v>
      </c>
      <c r="AL35" s="3">
        <f>AK35</f>
        <v>41068</v>
      </c>
    </row>
    <row r="36">
      <c r="B36" s="46" t="n">
        <v>31</v>
      </c>
      <c r="C36" s="26" t="inlineStr">
        <is>
          <t>Long term operating leases</t>
        </is>
      </c>
      <c r="D36" s="6">
        <f>IF(ISNA(MATCH(D$2,Inputs!$K$4:$AJ$4,0)),NA(),IF(SUMPRODUCT((Inputs!$A$5:$A$110=$B36)*ISNUMBER(INDEX(Inputs!$K$5:$AJ$110,0,MATCH(D$2,Inputs!$K$4:$AJ$4,0))))+SUMPRODUCT((Inputs!$C$5:$C$110=$B36)*ISNUMBER(INDEX(Inputs!$K$5:$AJ$110,0,MATCH(D$2,Inputs!$K$4:$AJ$4,0))))+SUMPRODUCT((Inputs!$E$5:$E$110=$B36)*ISNUMBER(INDEX(Inputs!$K$5:$AJ$110,0,MATCH(D$2,Inputs!$K$4:$AJ$4,0))))=0,NA(),SUMPRODUCT((Inputs!$A$5:$A$110=$B36)*Inputs!$B$5:$B$110*(((Inputs!$G$5:$G$110="moeda")+(Inputs!$G$5:$G$110="acoes"))*Inputs!$B$1+((Inputs!$G$5:$G$110&lt;&gt;"moeda")*(Inputs!$G$5:$G$110&lt;&gt;"acoes")))*INDEX(Inputs!$K$5:$AJ$110,0,MATCH(D$2,Inputs!$K$4:$AJ$4,0)))+SUMPRODUCT((Inputs!$C$5:$C$110=$B36)*Inputs!$D$5:$D$110*(((Inputs!$G$5:$G$110="moeda")+(Inputs!$G$5:$G$110="acoes"))*Inputs!$B$1+((Inputs!$G$5:$G$110&lt;&gt;"moeda")*(Inputs!$G$5:$G$110&lt;&gt;"acoes")))*INDEX(Inputs!$K$5:$AJ$110,0,MATCH(D$2,Inputs!$K$4:$AJ$4,0)))+SUMPRODUCT((Inputs!$E$5:$E$110=$B36)*Inputs!$F$5:$F$110*(((Inputs!$G$5:$G$110="moeda")+(Inputs!$G$5:$G$110="acoes"))*Inputs!$B$1+((Inputs!$G$5:$G$110&lt;&gt;"moeda")*(Inputs!$G$5:$G$110&lt;&gt;"acoes")))*INDEX(Inputs!$K$5:$AJ$110,0,MATCH(D$2,Inputs!$K$4:$AJ$4,0)))))</f>
        <v>0</v>
      </c>
      <c r="E36" s="6">
        <f>IF(ISNA(MATCH(E$2,Inputs!$K$4:$AJ$4,0)),NA(),IF(SUMPRODUCT((Inputs!$A$5:$A$110=$B36)*ISNUMBER(INDEX(Inputs!$K$5:$AJ$110,0,MATCH(E$2,Inputs!$K$4:$AJ$4,0))))+SUMPRODUCT((Inputs!$C$5:$C$110=$B36)*ISNUMBER(INDEX(Inputs!$K$5:$AJ$110,0,MATCH(E$2,Inputs!$K$4:$AJ$4,0))))+SUMPRODUCT((Inputs!$E$5:$E$110=$B36)*ISNUMBER(INDEX(Inputs!$K$5:$AJ$110,0,MATCH(E$2,Inputs!$K$4:$AJ$4,0))))=0,NA(),SUMPRODUCT((Inputs!$A$5:$A$110=$B36)*Inputs!$B$5:$B$110*(((Inputs!$G$5:$G$110="moeda")+(Inputs!$G$5:$G$110="acoes"))*Inputs!$B$1+((Inputs!$G$5:$G$110&lt;&gt;"moeda")*(Inputs!$G$5:$G$110&lt;&gt;"acoes")))*INDEX(Inputs!$K$5:$AJ$110,0,MATCH(E$2,Inputs!$K$4:$AJ$4,0)))+SUMPRODUCT((Inputs!$C$5:$C$110=$B36)*Inputs!$D$5:$D$110*(((Inputs!$G$5:$G$110="moeda")+(Inputs!$G$5:$G$110="acoes"))*Inputs!$B$1+((Inputs!$G$5:$G$110&lt;&gt;"moeda")*(Inputs!$G$5:$G$110&lt;&gt;"acoes")))*INDEX(Inputs!$K$5:$AJ$110,0,MATCH(E$2,Inputs!$K$4:$AJ$4,0)))+SUMPRODUCT((Inputs!$E$5:$E$110=$B36)*Inputs!$F$5:$F$110*(((Inputs!$G$5:$G$110="moeda")+(Inputs!$G$5:$G$110="acoes"))*Inputs!$B$1+((Inputs!$G$5:$G$110&lt;&gt;"moeda")*(Inputs!$G$5:$G$110&lt;&gt;"acoes")))*INDEX(Inputs!$K$5:$AJ$110,0,MATCH(E$2,Inputs!$K$4:$AJ$4,0)))))</f>
        <v>0</v>
      </c>
      <c r="F36" s="6">
        <f>IF(ISNA(MATCH(F$2,Inputs!$K$4:$AJ$4,0)),NA(),IF(SUMPRODUCT((Inputs!$A$5:$A$110=$B36)*ISNUMBER(INDEX(Inputs!$K$5:$AJ$110,0,MATCH(F$2,Inputs!$K$4:$AJ$4,0))))+SUMPRODUCT((Inputs!$C$5:$C$110=$B36)*ISNUMBER(INDEX(Inputs!$K$5:$AJ$110,0,MATCH(F$2,Inputs!$K$4:$AJ$4,0))))+SUMPRODUCT((Inputs!$E$5:$E$110=$B36)*ISNUMBER(INDEX(Inputs!$K$5:$AJ$110,0,MATCH(F$2,Inputs!$K$4:$AJ$4,0))))=0,NA(),SUMPRODUCT((Inputs!$A$5:$A$110=$B36)*Inputs!$B$5:$B$110*(((Inputs!$G$5:$G$110="moeda")+(Inputs!$G$5:$G$110="acoes"))*Inputs!$B$1+((Inputs!$G$5:$G$110&lt;&gt;"moeda")*(Inputs!$G$5:$G$110&lt;&gt;"acoes")))*INDEX(Inputs!$K$5:$AJ$110,0,MATCH(F$2,Inputs!$K$4:$AJ$4,0)))+SUMPRODUCT((Inputs!$C$5:$C$110=$B36)*Inputs!$D$5:$D$110*(((Inputs!$G$5:$G$110="moeda")+(Inputs!$G$5:$G$110="acoes"))*Inputs!$B$1+((Inputs!$G$5:$G$110&lt;&gt;"moeda")*(Inputs!$G$5:$G$110&lt;&gt;"acoes")))*INDEX(Inputs!$K$5:$AJ$110,0,MATCH(F$2,Inputs!$K$4:$AJ$4,0)))+SUMPRODUCT((Inputs!$E$5:$E$110=$B36)*Inputs!$F$5:$F$110*(((Inputs!$G$5:$G$110="moeda")+(Inputs!$G$5:$G$110="acoes"))*Inputs!$B$1+((Inputs!$G$5:$G$110&lt;&gt;"moeda")*(Inputs!$G$5:$G$110&lt;&gt;"acoes")))*INDEX(Inputs!$K$5:$AJ$110,0,MATCH(F$2,Inputs!$K$4:$AJ$4,0)))))</f>
        <v>0</v>
      </c>
      <c r="G36" s="6">
        <f>IF(ISNA(MATCH(G$2,Inputs!$K$4:$AJ$4,0)),NA(),IF(SUMPRODUCT((Inputs!$A$5:$A$110=$B36)*ISNUMBER(INDEX(Inputs!$K$5:$AJ$110,0,MATCH(G$2,Inputs!$K$4:$AJ$4,0))))+SUMPRODUCT((Inputs!$C$5:$C$110=$B36)*ISNUMBER(INDEX(Inputs!$K$5:$AJ$110,0,MATCH(G$2,Inputs!$K$4:$AJ$4,0))))+SUMPRODUCT((Inputs!$E$5:$E$110=$B36)*ISNUMBER(INDEX(Inputs!$K$5:$AJ$110,0,MATCH(G$2,Inputs!$K$4:$AJ$4,0))))=0,NA(),SUMPRODUCT((Inputs!$A$5:$A$110=$B36)*Inputs!$B$5:$B$110*(((Inputs!$G$5:$G$110="moeda")+(Inputs!$G$5:$G$110="acoes"))*Inputs!$B$1+((Inputs!$G$5:$G$110&lt;&gt;"moeda")*(Inputs!$G$5:$G$110&lt;&gt;"acoes")))*INDEX(Inputs!$K$5:$AJ$110,0,MATCH(G$2,Inputs!$K$4:$AJ$4,0)))+SUMPRODUCT((Inputs!$C$5:$C$110=$B36)*Inputs!$D$5:$D$110*(((Inputs!$G$5:$G$110="moeda")+(Inputs!$G$5:$G$110="acoes"))*Inputs!$B$1+((Inputs!$G$5:$G$110&lt;&gt;"moeda")*(Inputs!$G$5:$G$110&lt;&gt;"acoes")))*INDEX(Inputs!$K$5:$AJ$110,0,MATCH(G$2,Inputs!$K$4:$AJ$4,0)))+SUMPRODUCT((Inputs!$E$5:$E$110=$B36)*Inputs!$F$5:$F$110*(((Inputs!$G$5:$G$110="moeda")+(Inputs!$G$5:$G$110="acoes"))*Inputs!$B$1+((Inputs!$G$5:$G$110&lt;&gt;"moeda")*(Inputs!$G$5:$G$110&lt;&gt;"acoes")))*INDEX(Inputs!$K$5:$AJ$110,0,MATCH(G$2,Inputs!$K$4:$AJ$4,0)))))</f>
        <v>0</v>
      </c>
      <c r="H36" s="3">
        <f>G36</f>
        <v>0</v>
      </c>
      <c r="I36" s="6">
        <f>IF(ISNA(MATCH(I$2,Inputs!$K$4:$AJ$4,0)),NA(),IF(SUMPRODUCT((Inputs!$A$5:$A$110=$B36)*ISNUMBER(INDEX(Inputs!$K$5:$AJ$110,0,MATCH(I$2,Inputs!$K$4:$AJ$4,0))))+SUMPRODUCT((Inputs!$C$5:$C$110=$B36)*ISNUMBER(INDEX(Inputs!$K$5:$AJ$110,0,MATCH(I$2,Inputs!$K$4:$AJ$4,0))))+SUMPRODUCT((Inputs!$E$5:$E$110=$B36)*ISNUMBER(INDEX(Inputs!$K$5:$AJ$110,0,MATCH(I$2,Inputs!$K$4:$AJ$4,0))))=0,NA(),SUMPRODUCT((Inputs!$A$5:$A$110=$B36)*Inputs!$B$5:$B$110*(((Inputs!$G$5:$G$110="moeda")+(Inputs!$G$5:$G$110="acoes"))*Inputs!$B$1+((Inputs!$G$5:$G$110&lt;&gt;"moeda")*(Inputs!$G$5:$G$110&lt;&gt;"acoes")))*INDEX(Inputs!$K$5:$AJ$110,0,MATCH(I$2,Inputs!$K$4:$AJ$4,0)))+SUMPRODUCT((Inputs!$C$5:$C$110=$B36)*Inputs!$D$5:$D$110*(((Inputs!$G$5:$G$110="moeda")+(Inputs!$G$5:$G$110="acoes"))*Inputs!$B$1+((Inputs!$G$5:$G$110&lt;&gt;"moeda")*(Inputs!$G$5:$G$110&lt;&gt;"acoes")))*INDEX(Inputs!$K$5:$AJ$110,0,MATCH(I$2,Inputs!$K$4:$AJ$4,0)))+SUMPRODUCT((Inputs!$E$5:$E$110=$B36)*Inputs!$F$5:$F$110*(((Inputs!$G$5:$G$110="moeda")+(Inputs!$G$5:$G$110="acoes"))*Inputs!$B$1+((Inputs!$G$5:$G$110&lt;&gt;"moeda")*(Inputs!$G$5:$G$110&lt;&gt;"acoes")))*INDEX(Inputs!$K$5:$AJ$110,0,MATCH(I$2,Inputs!$K$4:$AJ$4,0)))))</f>
        <v>0</v>
      </c>
      <c r="J36" s="6">
        <f>IF(ISNA(MATCH(J$2,Inputs!$K$4:$AJ$4,0)),NA(),IF(SUMPRODUCT((Inputs!$A$5:$A$110=$B36)*ISNUMBER(INDEX(Inputs!$K$5:$AJ$110,0,MATCH(J$2,Inputs!$K$4:$AJ$4,0))))+SUMPRODUCT((Inputs!$C$5:$C$110=$B36)*ISNUMBER(INDEX(Inputs!$K$5:$AJ$110,0,MATCH(J$2,Inputs!$K$4:$AJ$4,0))))+SUMPRODUCT((Inputs!$E$5:$E$110=$B36)*ISNUMBER(INDEX(Inputs!$K$5:$AJ$110,0,MATCH(J$2,Inputs!$K$4:$AJ$4,0))))=0,NA(),SUMPRODUCT((Inputs!$A$5:$A$110=$B36)*Inputs!$B$5:$B$110*(((Inputs!$G$5:$G$110="moeda")+(Inputs!$G$5:$G$110="acoes"))*Inputs!$B$1+((Inputs!$G$5:$G$110&lt;&gt;"moeda")*(Inputs!$G$5:$G$110&lt;&gt;"acoes")))*INDEX(Inputs!$K$5:$AJ$110,0,MATCH(J$2,Inputs!$K$4:$AJ$4,0)))+SUMPRODUCT((Inputs!$C$5:$C$110=$B36)*Inputs!$D$5:$D$110*(((Inputs!$G$5:$G$110="moeda")+(Inputs!$G$5:$G$110="acoes"))*Inputs!$B$1+((Inputs!$G$5:$G$110&lt;&gt;"moeda")*(Inputs!$G$5:$G$110&lt;&gt;"acoes")))*INDEX(Inputs!$K$5:$AJ$110,0,MATCH(J$2,Inputs!$K$4:$AJ$4,0)))+SUMPRODUCT((Inputs!$E$5:$E$110=$B36)*Inputs!$F$5:$F$110*(((Inputs!$G$5:$G$110="moeda")+(Inputs!$G$5:$G$110="acoes"))*Inputs!$B$1+((Inputs!$G$5:$G$110&lt;&gt;"moeda")*(Inputs!$G$5:$G$110&lt;&gt;"acoes")))*INDEX(Inputs!$K$5:$AJ$110,0,MATCH(J$2,Inputs!$K$4:$AJ$4,0)))))</f>
        <v>0</v>
      </c>
      <c r="K36" s="6">
        <f>IF(ISNA(MATCH(K$2,Inputs!$K$4:$AJ$4,0)),NA(),IF(SUMPRODUCT((Inputs!$A$5:$A$110=$B36)*ISNUMBER(INDEX(Inputs!$K$5:$AJ$110,0,MATCH(K$2,Inputs!$K$4:$AJ$4,0))))+SUMPRODUCT((Inputs!$C$5:$C$110=$B36)*ISNUMBER(INDEX(Inputs!$K$5:$AJ$110,0,MATCH(K$2,Inputs!$K$4:$AJ$4,0))))+SUMPRODUCT((Inputs!$E$5:$E$110=$B36)*ISNUMBER(INDEX(Inputs!$K$5:$AJ$110,0,MATCH(K$2,Inputs!$K$4:$AJ$4,0))))=0,NA(),SUMPRODUCT((Inputs!$A$5:$A$110=$B36)*Inputs!$B$5:$B$110*(((Inputs!$G$5:$G$110="moeda")+(Inputs!$G$5:$G$110="acoes"))*Inputs!$B$1+((Inputs!$G$5:$G$110&lt;&gt;"moeda")*(Inputs!$G$5:$G$110&lt;&gt;"acoes")))*INDEX(Inputs!$K$5:$AJ$110,0,MATCH(K$2,Inputs!$K$4:$AJ$4,0)))+SUMPRODUCT((Inputs!$C$5:$C$110=$B36)*Inputs!$D$5:$D$110*(((Inputs!$G$5:$G$110="moeda")+(Inputs!$G$5:$G$110="acoes"))*Inputs!$B$1+((Inputs!$G$5:$G$110&lt;&gt;"moeda")*(Inputs!$G$5:$G$110&lt;&gt;"acoes")))*INDEX(Inputs!$K$5:$AJ$110,0,MATCH(K$2,Inputs!$K$4:$AJ$4,0)))+SUMPRODUCT((Inputs!$E$5:$E$110=$B36)*Inputs!$F$5:$F$110*(((Inputs!$G$5:$G$110="moeda")+(Inputs!$G$5:$G$110="acoes"))*Inputs!$B$1+((Inputs!$G$5:$G$110&lt;&gt;"moeda")*(Inputs!$G$5:$G$110&lt;&gt;"acoes")))*INDEX(Inputs!$K$5:$AJ$110,0,MATCH(K$2,Inputs!$K$4:$AJ$4,0)))))</f>
        <v>0</v>
      </c>
      <c r="L36" s="6">
        <f>IF(ISNA(MATCH(L$2,Inputs!$K$4:$AJ$4,0)),NA(),IF(SUMPRODUCT((Inputs!$A$5:$A$110=$B36)*ISNUMBER(INDEX(Inputs!$K$5:$AJ$110,0,MATCH(L$2,Inputs!$K$4:$AJ$4,0))))+SUMPRODUCT((Inputs!$C$5:$C$110=$B36)*ISNUMBER(INDEX(Inputs!$K$5:$AJ$110,0,MATCH(L$2,Inputs!$K$4:$AJ$4,0))))+SUMPRODUCT((Inputs!$E$5:$E$110=$B36)*ISNUMBER(INDEX(Inputs!$K$5:$AJ$110,0,MATCH(L$2,Inputs!$K$4:$AJ$4,0))))=0,NA(),SUMPRODUCT((Inputs!$A$5:$A$110=$B36)*Inputs!$B$5:$B$110*(((Inputs!$G$5:$G$110="moeda")+(Inputs!$G$5:$G$110="acoes"))*Inputs!$B$1+((Inputs!$G$5:$G$110&lt;&gt;"moeda")*(Inputs!$G$5:$G$110&lt;&gt;"acoes")))*INDEX(Inputs!$K$5:$AJ$110,0,MATCH(L$2,Inputs!$K$4:$AJ$4,0)))+SUMPRODUCT((Inputs!$C$5:$C$110=$B36)*Inputs!$D$5:$D$110*(((Inputs!$G$5:$G$110="moeda")+(Inputs!$G$5:$G$110="acoes"))*Inputs!$B$1+((Inputs!$G$5:$G$110&lt;&gt;"moeda")*(Inputs!$G$5:$G$110&lt;&gt;"acoes")))*INDEX(Inputs!$K$5:$AJ$110,0,MATCH(L$2,Inputs!$K$4:$AJ$4,0)))+SUMPRODUCT((Inputs!$E$5:$E$110=$B36)*Inputs!$F$5:$F$110*(((Inputs!$G$5:$G$110="moeda")+(Inputs!$G$5:$G$110="acoes"))*Inputs!$B$1+((Inputs!$G$5:$G$110&lt;&gt;"moeda")*(Inputs!$G$5:$G$110&lt;&gt;"acoes")))*INDEX(Inputs!$K$5:$AJ$110,0,MATCH(L$2,Inputs!$K$4:$AJ$4,0)))))</f>
        <v>0</v>
      </c>
      <c r="M36" s="3">
        <f>L36</f>
        <v>0</v>
      </c>
      <c r="N36" s="6">
        <f>IF(ISNA(MATCH(N$2,Inputs!$K$4:$AJ$4,0)),NA(),IF(SUMPRODUCT((Inputs!$A$5:$A$110=$B36)*ISNUMBER(INDEX(Inputs!$K$5:$AJ$110,0,MATCH(N$2,Inputs!$K$4:$AJ$4,0))))+SUMPRODUCT((Inputs!$C$5:$C$110=$B36)*ISNUMBER(INDEX(Inputs!$K$5:$AJ$110,0,MATCH(N$2,Inputs!$K$4:$AJ$4,0))))+SUMPRODUCT((Inputs!$E$5:$E$110=$B36)*ISNUMBER(INDEX(Inputs!$K$5:$AJ$110,0,MATCH(N$2,Inputs!$K$4:$AJ$4,0))))=0,NA(),SUMPRODUCT((Inputs!$A$5:$A$110=$B36)*Inputs!$B$5:$B$110*(((Inputs!$G$5:$G$110="moeda")+(Inputs!$G$5:$G$110="acoes"))*Inputs!$B$1+((Inputs!$G$5:$G$110&lt;&gt;"moeda")*(Inputs!$G$5:$G$110&lt;&gt;"acoes")))*INDEX(Inputs!$K$5:$AJ$110,0,MATCH(N$2,Inputs!$K$4:$AJ$4,0)))+SUMPRODUCT((Inputs!$C$5:$C$110=$B36)*Inputs!$D$5:$D$110*(((Inputs!$G$5:$G$110="moeda")+(Inputs!$G$5:$G$110="acoes"))*Inputs!$B$1+((Inputs!$G$5:$G$110&lt;&gt;"moeda")*(Inputs!$G$5:$G$110&lt;&gt;"acoes")))*INDEX(Inputs!$K$5:$AJ$110,0,MATCH(N$2,Inputs!$K$4:$AJ$4,0)))+SUMPRODUCT((Inputs!$E$5:$E$110=$B36)*Inputs!$F$5:$F$110*(((Inputs!$G$5:$G$110="moeda")+(Inputs!$G$5:$G$110="acoes"))*Inputs!$B$1+((Inputs!$G$5:$G$110&lt;&gt;"moeda")*(Inputs!$G$5:$G$110&lt;&gt;"acoes")))*INDEX(Inputs!$K$5:$AJ$110,0,MATCH(N$2,Inputs!$K$4:$AJ$4,0)))))</f>
        <v>0</v>
      </c>
      <c r="O36" s="6">
        <f>IF(ISNA(MATCH(O$2,Inputs!$K$4:$AJ$4,0)),NA(),IF(SUMPRODUCT((Inputs!$A$5:$A$110=$B36)*ISNUMBER(INDEX(Inputs!$K$5:$AJ$110,0,MATCH(O$2,Inputs!$K$4:$AJ$4,0))))+SUMPRODUCT((Inputs!$C$5:$C$110=$B36)*ISNUMBER(INDEX(Inputs!$K$5:$AJ$110,0,MATCH(O$2,Inputs!$K$4:$AJ$4,0))))+SUMPRODUCT((Inputs!$E$5:$E$110=$B36)*ISNUMBER(INDEX(Inputs!$K$5:$AJ$110,0,MATCH(O$2,Inputs!$K$4:$AJ$4,0))))=0,NA(),SUMPRODUCT((Inputs!$A$5:$A$110=$B36)*Inputs!$B$5:$B$110*(((Inputs!$G$5:$G$110="moeda")+(Inputs!$G$5:$G$110="acoes"))*Inputs!$B$1+((Inputs!$G$5:$G$110&lt;&gt;"moeda")*(Inputs!$G$5:$G$110&lt;&gt;"acoes")))*INDEX(Inputs!$K$5:$AJ$110,0,MATCH(O$2,Inputs!$K$4:$AJ$4,0)))+SUMPRODUCT((Inputs!$C$5:$C$110=$B36)*Inputs!$D$5:$D$110*(((Inputs!$G$5:$G$110="moeda")+(Inputs!$G$5:$G$110="acoes"))*Inputs!$B$1+((Inputs!$G$5:$G$110&lt;&gt;"moeda")*(Inputs!$G$5:$G$110&lt;&gt;"acoes")))*INDEX(Inputs!$K$5:$AJ$110,0,MATCH(O$2,Inputs!$K$4:$AJ$4,0)))+SUMPRODUCT((Inputs!$E$5:$E$110=$B36)*Inputs!$F$5:$F$110*(((Inputs!$G$5:$G$110="moeda")+(Inputs!$G$5:$G$110="acoes"))*Inputs!$B$1+((Inputs!$G$5:$G$110&lt;&gt;"moeda")*(Inputs!$G$5:$G$110&lt;&gt;"acoes")))*INDEX(Inputs!$K$5:$AJ$110,0,MATCH(O$2,Inputs!$K$4:$AJ$4,0)))))</f>
        <v>0</v>
      </c>
      <c r="P36" s="6">
        <f>IF(ISNA(MATCH(P$2,Inputs!$K$4:$AJ$4,0)),NA(),IF(SUMPRODUCT((Inputs!$A$5:$A$110=$B36)*ISNUMBER(INDEX(Inputs!$K$5:$AJ$110,0,MATCH(P$2,Inputs!$K$4:$AJ$4,0))))+SUMPRODUCT((Inputs!$C$5:$C$110=$B36)*ISNUMBER(INDEX(Inputs!$K$5:$AJ$110,0,MATCH(P$2,Inputs!$K$4:$AJ$4,0))))+SUMPRODUCT((Inputs!$E$5:$E$110=$B36)*ISNUMBER(INDEX(Inputs!$K$5:$AJ$110,0,MATCH(P$2,Inputs!$K$4:$AJ$4,0))))=0,NA(),SUMPRODUCT((Inputs!$A$5:$A$110=$B36)*Inputs!$B$5:$B$110*(((Inputs!$G$5:$G$110="moeda")+(Inputs!$G$5:$G$110="acoes"))*Inputs!$B$1+((Inputs!$G$5:$G$110&lt;&gt;"moeda")*(Inputs!$G$5:$G$110&lt;&gt;"acoes")))*INDEX(Inputs!$K$5:$AJ$110,0,MATCH(P$2,Inputs!$K$4:$AJ$4,0)))+SUMPRODUCT((Inputs!$C$5:$C$110=$B36)*Inputs!$D$5:$D$110*(((Inputs!$G$5:$G$110="moeda")+(Inputs!$G$5:$G$110="acoes"))*Inputs!$B$1+((Inputs!$G$5:$G$110&lt;&gt;"moeda")*(Inputs!$G$5:$G$110&lt;&gt;"acoes")))*INDEX(Inputs!$K$5:$AJ$110,0,MATCH(P$2,Inputs!$K$4:$AJ$4,0)))+SUMPRODUCT((Inputs!$E$5:$E$110=$B36)*Inputs!$F$5:$F$110*(((Inputs!$G$5:$G$110="moeda")+(Inputs!$G$5:$G$110="acoes"))*Inputs!$B$1+((Inputs!$G$5:$G$110&lt;&gt;"moeda")*(Inputs!$G$5:$G$110&lt;&gt;"acoes")))*INDEX(Inputs!$K$5:$AJ$110,0,MATCH(P$2,Inputs!$K$4:$AJ$4,0)))))</f>
        <v>0</v>
      </c>
      <c r="Q36" s="6">
        <f>IF(ISNA(MATCH(Q$2,Inputs!$K$4:$AJ$4,0)),NA(),IF(SUMPRODUCT((Inputs!$A$5:$A$110=$B36)*ISNUMBER(INDEX(Inputs!$K$5:$AJ$110,0,MATCH(Q$2,Inputs!$K$4:$AJ$4,0))))+SUMPRODUCT((Inputs!$C$5:$C$110=$B36)*ISNUMBER(INDEX(Inputs!$K$5:$AJ$110,0,MATCH(Q$2,Inputs!$K$4:$AJ$4,0))))+SUMPRODUCT((Inputs!$E$5:$E$110=$B36)*ISNUMBER(INDEX(Inputs!$K$5:$AJ$110,0,MATCH(Q$2,Inputs!$K$4:$AJ$4,0))))=0,NA(),SUMPRODUCT((Inputs!$A$5:$A$110=$B36)*Inputs!$B$5:$B$110*(((Inputs!$G$5:$G$110="moeda")+(Inputs!$G$5:$G$110="acoes"))*Inputs!$B$1+((Inputs!$G$5:$G$110&lt;&gt;"moeda")*(Inputs!$G$5:$G$110&lt;&gt;"acoes")))*INDEX(Inputs!$K$5:$AJ$110,0,MATCH(Q$2,Inputs!$K$4:$AJ$4,0)))+SUMPRODUCT((Inputs!$C$5:$C$110=$B36)*Inputs!$D$5:$D$110*(((Inputs!$G$5:$G$110="moeda")+(Inputs!$G$5:$G$110="acoes"))*Inputs!$B$1+((Inputs!$G$5:$G$110&lt;&gt;"moeda")*(Inputs!$G$5:$G$110&lt;&gt;"acoes")))*INDEX(Inputs!$K$5:$AJ$110,0,MATCH(Q$2,Inputs!$K$4:$AJ$4,0)))+SUMPRODUCT((Inputs!$E$5:$E$110=$B36)*Inputs!$F$5:$F$110*(((Inputs!$G$5:$G$110="moeda")+(Inputs!$G$5:$G$110="acoes"))*Inputs!$B$1+((Inputs!$G$5:$G$110&lt;&gt;"moeda")*(Inputs!$G$5:$G$110&lt;&gt;"acoes")))*INDEX(Inputs!$K$5:$AJ$110,0,MATCH(Q$2,Inputs!$K$4:$AJ$4,0)))))</f>
        <v>0</v>
      </c>
      <c r="R36" s="3">
        <f>Q36</f>
        <v>0</v>
      </c>
      <c r="S36" s="6">
        <f>IF(ISNA(MATCH(S$2,Inputs!$K$4:$AJ$4,0)),NA(),IF(SUMPRODUCT((Inputs!$A$5:$A$110=$B36)*ISNUMBER(INDEX(Inputs!$K$5:$AJ$110,0,MATCH(S$2,Inputs!$K$4:$AJ$4,0))))+SUMPRODUCT((Inputs!$C$5:$C$110=$B36)*ISNUMBER(INDEX(Inputs!$K$5:$AJ$110,0,MATCH(S$2,Inputs!$K$4:$AJ$4,0))))+SUMPRODUCT((Inputs!$E$5:$E$110=$B36)*ISNUMBER(INDEX(Inputs!$K$5:$AJ$110,0,MATCH(S$2,Inputs!$K$4:$AJ$4,0))))=0,NA(),SUMPRODUCT((Inputs!$A$5:$A$110=$B36)*Inputs!$B$5:$B$110*(((Inputs!$G$5:$G$110="moeda")+(Inputs!$G$5:$G$110="acoes"))*Inputs!$B$1+((Inputs!$G$5:$G$110&lt;&gt;"moeda")*(Inputs!$G$5:$G$110&lt;&gt;"acoes")))*INDEX(Inputs!$K$5:$AJ$110,0,MATCH(S$2,Inputs!$K$4:$AJ$4,0)))+SUMPRODUCT((Inputs!$C$5:$C$110=$B36)*Inputs!$D$5:$D$110*(((Inputs!$G$5:$G$110="moeda")+(Inputs!$G$5:$G$110="acoes"))*Inputs!$B$1+((Inputs!$G$5:$G$110&lt;&gt;"moeda")*(Inputs!$G$5:$G$110&lt;&gt;"acoes")))*INDEX(Inputs!$K$5:$AJ$110,0,MATCH(S$2,Inputs!$K$4:$AJ$4,0)))+SUMPRODUCT((Inputs!$E$5:$E$110=$B36)*Inputs!$F$5:$F$110*(((Inputs!$G$5:$G$110="moeda")+(Inputs!$G$5:$G$110="acoes"))*Inputs!$B$1+((Inputs!$G$5:$G$110&lt;&gt;"moeda")*(Inputs!$G$5:$G$110&lt;&gt;"acoes")))*INDEX(Inputs!$K$5:$AJ$110,0,MATCH(S$2,Inputs!$K$4:$AJ$4,0)))))</f>
        <v>0</v>
      </c>
      <c r="T36" s="6">
        <f>IF(ISNA(MATCH(T$2,Inputs!$K$4:$AJ$4,0)),NA(),IF(SUMPRODUCT((Inputs!$A$5:$A$110=$B36)*ISNUMBER(INDEX(Inputs!$K$5:$AJ$110,0,MATCH(T$2,Inputs!$K$4:$AJ$4,0))))+SUMPRODUCT((Inputs!$C$5:$C$110=$B36)*ISNUMBER(INDEX(Inputs!$K$5:$AJ$110,0,MATCH(T$2,Inputs!$K$4:$AJ$4,0))))+SUMPRODUCT((Inputs!$E$5:$E$110=$B36)*ISNUMBER(INDEX(Inputs!$K$5:$AJ$110,0,MATCH(T$2,Inputs!$K$4:$AJ$4,0))))=0,NA(),SUMPRODUCT((Inputs!$A$5:$A$110=$B36)*Inputs!$B$5:$B$110*(((Inputs!$G$5:$G$110="moeda")+(Inputs!$G$5:$G$110="acoes"))*Inputs!$B$1+((Inputs!$G$5:$G$110&lt;&gt;"moeda")*(Inputs!$G$5:$G$110&lt;&gt;"acoes")))*INDEX(Inputs!$K$5:$AJ$110,0,MATCH(T$2,Inputs!$K$4:$AJ$4,0)))+SUMPRODUCT((Inputs!$C$5:$C$110=$B36)*Inputs!$D$5:$D$110*(((Inputs!$G$5:$G$110="moeda")+(Inputs!$G$5:$G$110="acoes"))*Inputs!$B$1+((Inputs!$G$5:$G$110&lt;&gt;"moeda")*(Inputs!$G$5:$G$110&lt;&gt;"acoes")))*INDEX(Inputs!$K$5:$AJ$110,0,MATCH(T$2,Inputs!$K$4:$AJ$4,0)))+SUMPRODUCT((Inputs!$E$5:$E$110=$B36)*Inputs!$F$5:$F$110*(((Inputs!$G$5:$G$110="moeda")+(Inputs!$G$5:$G$110="acoes"))*Inputs!$B$1+((Inputs!$G$5:$G$110&lt;&gt;"moeda")*(Inputs!$G$5:$G$110&lt;&gt;"acoes")))*INDEX(Inputs!$K$5:$AJ$110,0,MATCH(T$2,Inputs!$K$4:$AJ$4,0)))))</f>
        <v>0</v>
      </c>
      <c r="U36" s="6">
        <f>IF(ISNA(MATCH(U$2,Inputs!$K$4:$AJ$4,0)),NA(),IF(SUMPRODUCT((Inputs!$A$5:$A$110=$B36)*ISNUMBER(INDEX(Inputs!$K$5:$AJ$110,0,MATCH(U$2,Inputs!$K$4:$AJ$4,0))))+SUMPRODUCT((Inputs!$C$5:$C$110=$B36)*ISNUMBER(INDEX(Inputs!$K$5:$AJ$110,0,MATCH(U$2,Inputs!$K$4:$AJ$4,0))))+SUMPRODUCT((Inputs!$E$5:$E$110=$B36)*ISNUMBER(INDEX(Inputs!$K$5:$AJ$110,0,MATCH(U$2,Inputs!$K$4:$AJ$4,0))))=0,NA(),SUMPRODUCT((Inputs!$A$5:$A$110=$B36)*Inputs!$B$5:$B$110*(((Inputs!$G$5:$G$110="moeda")+(Inputs!$G$5:$G$110="acoes"))*Inputs!$B$1+((Inputs!$G$5:$G$110&lt;&gt;"moeda")*(Inputs!$G$5:$G$110&lt;&gt;"acoes")))*INDEX(Inputs!$K$5:$AJ$110,0,MATCH(U$2,Inputs!$K$4:$AJ$4,0)))+SUMPRODUCT((Inputs!$C$5:$C$110=$B36)*Inputs!$D$5:$D$110*(((Inputs!$G$5:$G$110="moeda")+(Inputs!$G$5:$G$110="acoes"))*Inputs!$B$1+((Inputs!$G$5:$G$110&lt;&gt;"moeda")*(Inputs!$G$5:$G$110&lt;&gt;"acoes")))*INDEX(Inputs!$K$5:$AJ$110,0,MATCH(U$2,Inputs!$K$4:$AJ$4,0)))+SUMPRODUCT((Inputs!$E$5:$E$110=$B36)*Inputs!$F$5:$F$110*(((Inputs!$G$5:$G$110="moeda")+(Inputs!$G$5:$G$110="acoes"))*Inputs!$B$1+((Inputs!$G$5:$G$110&lt;&gt;"moeda")*(Inputs!$G$5:$G$110&lt;&gt;"acoes")))*INDEX(Inputs!$K$5:$AJ$110,0,MATCH(U$2,Inputs!$K$4:$AJ$4,0)))))</f>
        <v>0</v>
      </c>
      <c r="V36" s="6">
        <f>IF(ISNA(MATCH(V$2,Inputs!$K$4:$AJ$4,0)),NA(),IF(SUMPRODUCT((Inputs!$A$5:$A$110=$B36)*ISNUMBER(INDEX(Inputs!$K$5:$AJ$110,0,MATCH(V$2,Inputs!$K$4:$AJ$4,0))))+SUMPRODUCT((Inputs!$C$5:$C$110=$B36)*ISNUMBER(INDEX(Inputs!$K$5:$AJ$110,0,MATCH(V$2,Inputs!$K$4:$AJ$4,0))))+SUMPRODUCT((Inputs!$E$5:$E$110=$B36)*ISNUMBER(INDEX(Inputs!$K$5:$AJ$110,0,MATCH(V$2,Inputs!$K$4:$AJ$4,0))))=0,NA(),SUMPRODUCT((Inputs!$A$5:$A$110=$B36)*Inputs!$B$5:$B$110*(((Inputs!$G$5:$G$110="moeda")+(Inputs!$G$5:$G$110="acoes"))*Inputs!$B$1+((Inputs!$G$5:$G$110&lt;&gt;"moeda")*(Inputs!$G$5:$G$110&lt;&gt;"acoes")))*INDEX(Inputs!$K$5:$AJ$110,0,MATCH(V$2,Inputs!$K$4:$AJ$4,0)))+SUMPRODUCT((Inputs!$C$5:$C$110=$B36)*Inputs!$D$5:$D$110*(((Inputs!$G$5:$G$110="moeda")+(Inputs!$G$5:$G$110="acoes"))*Inputs!$B$1+((Inputs!$G$5:$G$110&lt;&gt;"moeda")*(Inputs!$G$5:$G$110&lt;&gt;"acoes")))*INDEX(Inputs!$K$5:$AJ$110,0,MATCH(V$2,Inputs!$K$4:$AJ$4,0)))+SUMPRODUCT((Inputs!$E$5:$E$110=$B36)*Inputs!$F$5:$F$110*(((Inputs!$G$5:$G$110="moeda")+(Inputs!$G$5:$G$110="acoes"))*Inputs!$B$1+((Inputs!$G$5:$G$110&lt;&gt;"moeda")*(Inputs!$G$5:$G$110&lt;&gt;"acoes")))*INDEX(Inputs!$K$5:$AJ$110,0,MATCH(V$2,Inputs!$K$4:$AJ$4,0)))))</f>
        <v>0</v>
      </c>
      <c r="W36" s="3">
        <f>V36</f>
        <v>0</v>
      </c>
      <c r="X36" s="6">
        <f>IF(ISNA(MATCH(X$2,Inputs!$K$4:$AJ$4,0)),NA(),IF(SUMPRODUCT((Inputs!$A$5:$A$110=$B36)*ISNUMBER(INDEX(Inputs!$K$5:$AJ$110,0,MATCH(X$2,Inputs!$K$4:$AJ$4,0))))+SUMPRODUCT((Inputs!$C$5:$C$110=$B36)*ISNUMBER(INDEX(Inputs!$K$5:$AJ$110,0,MATCH(X$2,Inputs!$K$4:$AJ$4,0))))+SUMPRODUCT((Inputs!$E$5:$E$110=$B36)*ISNUMBER(INDEX(Inputs!$K$5:$AJ$110,0,MATCH(X$2,Inputs!$K$4:$AJ$4,0))))=0,NA(),SUMPRODUCT((Inputs!$A$5:$A$110=$B36)*Inputs!$B$5:$B$110*(((Inputs!$G$5:$G$110="moeda")+(Inputs!$G$5:$G$110="acoes"))*Inputs!$B$1+((Inputs!$G$5:$G$110&lt;&gt;"moeda")*(Inputs!$G$5:$G$110&lt;&gt;"acoes")))*INDEX(Inputs!$K$5:$AJ$110,0,MATCH(X$2,Inputs!$K$4:$AJ$4,0)))+SUMPRODUCT((Inputs!$C$5:$C$110=$B36)*Inputs!$D$5:$D$110*(((Inputs!$G$5:$G$110="moeda")+(Inputs!$G$5:$G$110="acoes"))*Inputs!$B$1+((Inputs!$G$5:$G$110&lt;&gt;"moeda")*(Inputs!$G$5:$G$110&lt;&gt;"acoes")))*INDEX(Inputs!$K$5:$AJ$110,0,MATCH(X$2,Inputs!$K$4:$AJ$4,0)))+SUMPRODUCT((Inputs!$E$5:$E$110=$B36)*Inputs!$F$5:$F$110*(((Inputs!$G$5:$G$110="moeda")+(Inputs!$G$5:$G$110="acoes"))*Inputs!$B$1+((Inputs!$G$5:$G$110&lt;&gt;"moeda")*(Inputs!$G$5:$G$110&lt;&gt;"acoes")))*INDEX(Inputs!$K$5:$AJ$110,0,MATCH(X$2,Inputs!$K$4:$AJ$4,0)))))</f>
        <v>0</v>
      </c>
      <c r="Y36" s="6">
        <f>IF(ISNA(MATCH(Y$2,Inputs!$K$4:$AJ$4,0)),NA(),IF(SUMPRODUCT((Inputs!$A$5:$A$110=$B36)*ISNUMBER(INDEX(Inputs!$K$5:$AJ$110,0,MATCH(Y$2,Inputs!$K$4:$AJ$4,0))))+SUMPRODUCT((Inputs!$C$5:$C$110=$B36)*ISNUMBER(INDEX(Inputs!$K$5:$AJ$110,0,MATCH(Y$2,Inputs!$K$4:$AJ$4,0))))+SUMPRODUCT((Inputs!$E$5:$E$110=$B36)*ISNUMBER(INDEX(Inputs!$K$5:$AJ$110,0,MATCH(Y$2,Inputs!$K$4:$AJ$4,0))))=0,NA(),SUMPRODUCT((Inputs!$A$5:$A$110=$B36)*Inputs!$B$5:$B$110*(((Inputs!$G$5:$G$110="moeda")+(Inputs!$G$5:$G$110="acoes"))*Inputs!$B$1+((Inputs!$G$5:$G$110&lt;&gt;"moeda")*(Inputs!$G$5:$G$110&lt;&gt;"acoes")))*INDEX(Inputs!$K$5:$AJ$110,0,MATCH(Y$2,Inputs!$K$4:$AJ$4,0)))+SUMPRODUCT((Inputs!$C$5:$C$110=$B36)*Inputs!$D$5:$D$110*(((Inputs!$G$5:$G$110="moeda")+(Inputs!$G$5:$G$110="acoes"))*Inputs!$B$1+((Inputs!$G$5:$G$110&lt;&gt;"moeda")*(Inputs!$G$5:$G$110&lt;&gt;"acoes")))*INDEX(Inputs!$K$5:$AJ$110,0,MATCH(Y$2,Inputs!$K$4:$AJ$4,0)))+SUMPRODUCT((Inputs!$E$5:$E$110=$B36)*Inputs!$F$5:$F$110*(((Inputs!$G$5:$G$110="moeda")+(Inputs!$G$5:$G$110="acoes"))*Inputs!$B$1+((Inputs!$G$5:$G$110&lt;&gt;"moeda")*(Inputs!$G$5:$G$110&lt;&gt;"acoes")))*INDEX(Inputs!$K$5:$AJ$110,0,MATCH(Y$2,Inputs!$K$4:$AJ$4,0)))))</f>
        <v>0</v>
      </c>
      <c r="Z36" s="6">
        <f>IF(ISNA(MATCH(Z$2,Inputs!$K$4:$AJ$4,0)),NA(),IF(SUMPRODUCT((Inputs!$A$5:$A$110=$B36)*ISNUMBER(INDEX(Inputs!$K$5:$AJ$110,0,MATCH(Z$2,Inputs!$K$4:$AJ$4,0))))+SUMPRODUCT((Inputs!$C$5:$C$110=$B36)*ISNUMBER(INDEX(Inputs!$K$5:$AJ$110,0,MATCH(Z$2,Inputs!$K$4:$AJ$4,0))))+SUMPRODUCT((Inputs!$E$5:$E$110=$B36)*ISNUMBER(INDEX(Inputs!$K$5:$AJ$110,0,MATCH(Z$2,Inputs!$K$4:$AJ$4,0))))=0,NA(),SUMPRODUCT((Inputs!$A$5:$A$110=$B36)*Inputs!$B$5:$B$110*(((Inputs!$G$5:$G$110="moeda")+(Inputs!$G$5:$G$110="acoes"))*Inputs!$B$1+((Inputs!$G$5:$G$110&lt;&gt;"moeda")*(Inputs!$G$5:$G$110&lt;&gt;"acoes")))*INDEX(Inputs!$K$5:$AJ$110,0,MATCH(Z$2,Inputs!$K$4:$AJ$4,0)))+SUMPRODUCT((Inputs!$C$5:$C$110=$B36)*Inputs!$D$5:$D$110*(((Inputs!$G$5:$G$110="moeda")+(Inputs!$G$5:$G$110="acoes"))*Inputs!$B$1+((Inputs!$G$5:$G$110&lt;&gt;"moeda")*(Inputs!$G$5:$G$110&lt;&gt;"acoes")))*INDEX(Inputs!$K$5:$AJ$110,0,MATCH(Z$2,Inputs!$K$4:$AJ$4,0)))+SUMPRODUCT((Inputs!$E$5:$E$110=$B36)*Inputs!$F$5:$F$110*(((Inputs!$G$5:$G$110="moeda")+(Inputs!$G$5:$G$110="acoes"))*Inputs!$B$1+((Inputs!$G$5:$G$110&lt;&gt;"moeda")*(Inputs!$G$5:$G$110&lt;&gt;"acoes")))*INDEX(Inputs!$K$5:$AJ$110,0,MATCH(Z$2,Inputs!$K$4:$AJ$4,0)))))</f>
        <v>0</v>
      </c>
      <c r="AA36" s="6">
        <f>IF(ISNA(MATCH(AA$2,Inputs!$K$4:$AJ$4,0)),NA(),IF(SUMPRODUCT((Inputs!$A$5:$A$110=$B36)*ISNUMBER(INDEX(Inputs!$K$5:$AJ$110,0,MATCH(AA$2,Inputs!$K$4:$AJ$4,0))))+SUMPRODUCT((Inputs!$C$5:$C$110=$B36)*ISNUMBER(INDEX(Inputs!$K$5:$AJ$110,0,MATCH(AA$2,Inputs!$K$4:$AJ$4,0))))+SUMPRODUCT((Inputs!$E$5:$E$110=$B36)*ISNUMBER(INDEX(Inputs!$K$5:$AJ$110,0,MATCH(AA$2,Inputs!$K$4:$AJ$4,0))))=0,NA(),SUMPRODUCT((Inputs!$A$5:$A$110=$B36)*Inputs!$B$5:$B$110*(((Inputs!$G$5:$G$110="moeda")+(Inputs!$G$5:$G$110="acoes"))*Inputs!$B$1+((Inputs!$G$5:$G$110&lt;&gt;"moeda")*(Inputs!$G$5:$G$110&lt;&gt;"acoes")))*INDEX(Inputs!$K$5:$AJ$110,0,MATCH(AA$2,Inputs!$K$4:$AJ$4,0)))+SUMPRODUCT((Inputs!$C$5:$C$110=$B36)*Inputs!$D$5:$D$110*(((Inputs!$G$5:$G$110="moeda")+(Inputs!$G$5:$G$110="acoes"))*Inputs!$B$1+((Inputs!$G$5:$G$110&lt;&gt;"moeda")*(Inputs!$G$5:$G$110&lt;&gt;"acoes")))*INDEX(Inputs!$K$5:$AJ$110,0,MATCH(AA$2,Inputs!$K$4:$AJ$4,0)))+SUMPRODUCT((Inputs!$E$5:$E$110=$B36)*Inputs!$F$5:$F$110*(((Inputs!$G$5:$G$110="moeda")+(Inputs!$G$5:$G$110="acoes"))*Inputs!$B$1+((Inputs!$G$5:$G$110&lt;&gt;"moeda")*(Inputs!$G$5:$G$110&lt;&gt;"acoes")))*INDEX(Inputs!$K$5:$AJ$110,0,MATCH(AA$2,Inputs!$K$4:$AJ$4,0)))))</f>
        <v>0</v>
      </c>
      <c r="AB36" s="3">
        <f>AA36</f>
        <v>0</v>
      </c>
      <c r="AC36" s="6">
        <f>IF(ISNA(MATCH(AC$2,Inputs!$K$4:$AJ$4,0)),NA(),IF(SUMPRODUCT((Inputs!$A$5:$A$110=$B36)*ISNUMBER(INDEX(Inputs!$K$5:$AJ$110,0,MATCH(AC$2,Inputs!$K$4:$AJ$4,0))))+SUMPRODUCT((Inputs!$C$5:$C$110=$B36)*ISNUMBER(INDEX(Inputs!$K$5:$AJ$110,0,MATCH(AC$2,Inputs!$K$4:$AJ$4,0))))+SUMPRODUCT((Inputs!$E$5:$E$110=$B36)*ISNUMBER(INDEX(Inputs!$K$5:$AJ$110,0,MATCH(AC$2,Inputs!$K$4:$AJ$4,0))))=0,NA(),SUMPRODUCT((Inputs!$A$5:$A$110=$B36)*Inputs!$B$5:$B$110*(((Inputs!$G$5:$G$110="moeda")+(Inputs!$G$5:$G$110="acoes"))*Inputs!$B$1+((Inputs!$G$5:$G$110&lt;&gt;"moeda")*(Inputs!$G$5:$G$110&lt;&gt;"acoes")))*INDEX(Inputs!$K$5:$AJ$110,0,MATCH(AC$2,Inputs!$K$4:$AJ$4,0)))+SUMPRODUCT((Inputs!$C$5:$C$110=$B36)*Inputs!$D$5:$D$110*(((Inputs!$G$5:$G$110="moeda")+(Inputs!$G$5:$G$110="acoes"))*Inputs!$B$1+((Inputs!$G$5:$G$110&lt;&gt;"moeda")*(Inputs!$G$5:$G$110&lt;&gt;"acoes")))*INDEX(Inputs!$K$5:$AJ$110,0,MATCH(AC$2,Inputs!$K$4:$AJ$4,0)))+SUMPRODUCT((Inputs!$E$5:$E$110=$B36)*Inputs!$F$5:$F$110*(((Inputs!$G$5:$G$110="moeda")+(Inputs!$G$5:$G$110="acoes"))*Inputs!$B$1+((Inputs!$G$5:$G$110&lt;&gt;"moeda")*(Inputs!$G$5:$G$110&lt;&gt;"acoes")))*INDEX(Inputs!$K$5:$AJ$110,0,MATCH(AC$2,Inputs!$K$4:$AJ$4,0)))))</f>
        <v>0</v>
      </c>
      <c r="AD36" s="6">
        <f>IF(ISNA(MATCH(AD$2,Inputs!$K$4:$AJ$4,0)),NA(),IF(SUMPRODUCT((Inputs!$A$5:$A$110=$B36)*ISNUMBER(INDEX(Inputs!$K$5:$AJ$110,0,MATCH(AD$2,Inputs!$K$4:$AJ$4,0))))+SUMPRODUCT((Inputs!$C$5:$C$110=$B36)*ISNUMBER(INDEX(Inputs!$K$5:$AJ$110,0,MATCH(AD$2,Inputs!$K$4:$AJ$4,0))))+SUMPRODUCT((Inputs!$E$5:$E$110=$B36)*ISNUMBER(INDEX(Inputs!$K$5:$AJ$110,0,MATCH(AD$2,Inputs!$K$4:$AJ$4,0))))=0,NA(),SUMPRODUCT((Inputs!$A$5:$A$110=$B36)*Inputs!$B$5:$B$110*(((Inputs!$G$5:$G$110="moeda")+(Inputs!$G$5:$G$110="acoes"))*Inputs!$B$1+((Inputs!$G$5:$G$110&lt;&gt;"moeda")*(Inputs!$G$5:$G$110&lt;&gt;"acoes")))*INDEX(Inputs!$K$5:$AJ$110,0,MATCH(AD$2,Inputs!$K$4:$AJ$4,0)))+SUMPRODUCT((Inputs!$C$5:$C$110=$B36)*Inputs!$D$5:$D$110*(((Inputs!$G$5:$G$110="moeda")+(Inputs!$G$5:$G$110="acoes"))*Inputs!$B$1+((Inputs!$G$5:$G$110&lt;&gt;"moeda")*(Inputs!$G$5:$G$110&lt;&gt;"acoes")))*INDEX(Inputs!$K$5:$AJ$110,0,MATCH(AD$2,Inputs!$K$4:$AJ$4,0)))+SUMPRODUCT((Inputs!$E$5:$E$110=$B36)*Inputs!$F$5:$F$110*(((Inputs!$G$5:$G$110="moeda")+(Inputs!$G$5:$G$110="acoes"))*Inputs!$B$1+((Inputs!$G$5:$G$110&lt;&gt;"moeda")*(Inputs!$G$5:$G$110&lt;&gt;"acoes")))*INDEX(Inputs!$K$5:$AJ$110,0,MATCH(AD$2,Inputs!$K$4:$AJ$4,0)))))</f>
        <v>0</v>
      </c>
      <c r="AE36" s="6" t="e">
        <f>IF(ISNA(MATCH(AE$2,Inputs!$K$4:$AJ$4,0)),NA(),IF(SUMPRODUCT((Inputs!$A$5:$A$110=$B36)*ISNUMBER(INDEX(Inputs!$K$5:$AJ$110,0,MATCH(AE$2,Inputs!$K$4:$AJ$4,0))))+SUMPRODUCT((Inputs!$C$5:$C$110=$B36)*ISNUMBER(INDEX(Inputs!$K$5:$AJ$110,0,MATCH(AE$2,Inputs!$K$4:$AJ$4,0))))+SUMPRODUCT((Inputs!$E$5:$E$110=$B36)*ISNUMBER(INDEX(Inputs!$K$5:$AJ$110,0,MATCH(AE$2,Inputs!$K$4:$AJ$4,0))))=0,NA(),SUMPRODUCT((Inputs!$A$5:$A$110=$B36)*Inputs!$B$5:$B$110*(((Inputs!$G$5:$G$110="moeda")+(Inputs!$G$5:$G$110="acoes"))*Inputs!$B$1+((Inputs!$G$5:$G$110&lt;&gt;"moeda")*(Inputs!$G$5:$G$110&lt;&gt;"acoes")))*INDEX(Inputs!$K$5:$AJ$110,0,MATCH(AE$2,Inputs!$K$4:$AJ$4,0)))+SUMPRODUCT((Inputs!$C$5:$C$110=$B36)*Inputs!$D$5:$D$110*(((Inputs!$G$5:$G$110="moeda")+(Inputs!$G$5:$G$110="acoes"))*Inputs!$B$1+((Inputs!$G$5:$G$110&lt;&gt;"moeda")*(Inputs!$G$5:$G$110&lt;&gt;"acoes")))*INDEX(Inputs!$K$5:$AJ$110,0,MATCH(AE$2,Inputs!$K$4:$AJ$4,0)))+SUMPRODUCT((Inputs!$E$5:$E$110=$B36)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6" s="6" t="e">
        <f>IF(ISNA(MATCH(AF$2,Inputs!$K$4:$AJ$4,0)),NA(),IF(SUMPRODUCT((Inputs!$A$5:$A$110=$B36)*ISNUMBER(INDEX(Inputs!$K$5:$AJ$110,0,MATCH(AF$2,Inputs!$K$4:$AJ$4,0))))+SUMPRODUCT((Inputs!$C$5:$C$110=$B36)*ISNUMBER(INDEX(Inputs!$K$5:$AJ$110,0,MATCH(AF$2,Inputs!$K$4:$AJ$4,0))))+SUMPRODUCT((Inputs!$E$5:$E$110=$B36)*ISNUMBER(INDEX(Inputs!$K$5:$AJ$110,0,MATCH(AF$2,Inputs!$K$4:$AJ$4,0))))=0,NA(),SUMPRODUCT((Inputs!$A$5:$A$110=$B36)*Inputs!$B$5:$B$110*(((Inputs!$G$5:$G$110="moeda")+(Inputs!$G$5:$G$110="acoes"))*Inputs!$B$1+((Inputs!$G$5:$G$110&lt;&gt;"moeda")*(Inputs!$G$5:$G$110&lt;&gt;"acoes")))*INDEX(Inputs!$K$5:$AJ$110,0,MATCH(AF$2,Inputs!$K$4:$AJ$4,0)))+SUMPRODUCT((Inputs!$C$5:$C$110=$B36)*Inputs!$D$5:$D$110*(((Inputs!$G$5:$G$110="moeda")+(Inputs!$G$5:$G$110="acoes"))*Inputs!$B$1+((Inputs!$G$5:$G$110&lt;&gt;"moeda")*(Inputs!$G$5:$G$110&lt;&gt;"acoes")))*INDEX(Inputs!$K$5:$AJ$110,0,MATCH(AF$2,Inputs!$K$4:$AJ$4,0)))+SUMPRODUCT((Inputs!$E$5:$E$110=$B36)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6" s="3" t="e">
        <f>AF36</f>
        <v>#N/A</v>
      </c>
      <c r="AH36" s="6">
        <f>IF(ISNA(MATCH(AH$2,Inputs!$K$4:$AJ$4,0)),NA(),IF(SUMPRODUCT((Inputs!$A$5:$A$110=$B36)*ISNUMBER(INDEX(Inputs!$K$5:$AJ$110,0,MATCH(AH$2,Inputs!$K$4:$AJ$4,0))))+SUMPRODUCT((Inputs!$C$5:$C$110=$B36)*ISNUMBER(INDEX(Inputs!$K$5:$AJ$110,0,MATCH(AH$2,Inputs!$K$4:$AJ$4,0))))+SUMPRODUCT((Inputs!$E$5:$E$110=$B36)*ISNUMBER(INDEX(Inputs!$K$5:$AJ$110,0,MATCH(AH$2,Inputs!$K$4:$AJ$4,0))))=0,NA(),SUMPRODUCT((Inputs!$A$5:$A$110=$B36)*Inputs!$B$5:$B$110*(((Inputs!$G$5:$G$110="moeda")+(Inputs!$G$5:$G$110="acoes"))*Inputs!$B$1+((Inputs!$G$5:$G$110&lt;&gt;"moeda")*(Inputs!$G$5:$G$110&lt;&gt;"acoes")))*INDEX(Inputs!$K$5:$AJ$110,0,MATCH(AH$2,Inputs!$K$4:$AJ$4,0)))+SUMPRODUCT((Inputs!$C$5:$C$110=$B36)*Inputs!$D$5:$D$110*(((Inputs!$G$5:$G$110="moeda")+(Inputs!$G$5:$G$110="acoes"))*Inputs!$B$1+((Inputs!$G$5:$G$110&lt;&gt;"moeda")*(Inputs!$G$5:$G$110&lt;&gt;"acoes")))*INDEX(Inputs!$K$5:$AJ$110,0,MATCH(AH$2,Inputs!$K$4:$AJ$4,0)))+SUMPRODUCT((Inputs!$E$5:$E$110=$B36)*Inputs!$F$5:$F$110*(((Inputs!$G$5:$G$110="moeda")+(Inputs!$G$5:$G$110="acoes"))*Inputs!$B$1+((Inputs!$G$5:$G$110&lt;&gt;"moeda")*(Inputs!$G$5:$G$110&lt;&gt;"acoes")))*INDEX(Inputs!$K$5:$AJ$110,0,MATCH(AH$2,Inputs!$K$4:$AJ$4,0)))))</f>
        <v>0</v>
      </c>
      <c r="AI36" s="6">
        <f>IF(ISNA(MATCH(AI$2,Inputs!$K$4:$AJ$4,0)),NA(),IF(SUMPRODUCT((Inputs!$A$5:$A$110=$B36)*ISNUMBER(INDEX(Inputs!$K$5:$AJ$110,0,MATCH(AI$2,Inputs!$K$4:$AJ$4,0))))+SUMPRODUCT((Inputs!$C$5:$C$110=$B36)*ISNUMBER(INDEX(Inputs!$K$5:$AJ$110,0,MATCH(AI$2,Inputs!$K$4:$AJ$4,0))))+SUMPRODUCT((Inputs!$E$5:$E$110=$B36)*ISNUMBER(INDEX(Inputs!$K$5:$AJ$110,0,MATCH(AI$2,Inputs!$K$4:$AJ$4,0))))=0,NA(),SUMPRODUCT((Inputs!$A$5:$A$110=$B36)*Inputs!$B$5:$B$110*(((Inputs!$G$5:$G$110="moeda")+(Inputs!$G$5:$G$110="acoes"))*Inputs!$B$1+((Inputs!$G$5:$G$110&lt;&gt;"moeda")*(Inputs!$G$5:$G$110&lt;&gt;"acoes")))*INDEX(Inputs!$K$5:$AJ$110,0,MATCH(AI$2,Inputs!$K$4:$AJ$4,0)))+SUMPRODUCT((Inputs!$C$5:$C$110=$B36)*Inputs!$D$5:$D$110*(((Inputs!$G$5:$G$110="moeda")+(Inputs!$G$5:$G$110="acoes"))*Inputs!$B$1+((Inputs!$G$5:$G$110&lt;&gt;"moeda")*(Inputs!$G$5:$G$110&lt;&gt;"acoes")))*INDEX(Inputs!$K$5:$AJ$110,0,MATCH(AI$2,Inputs!$K$4:$AJ$4,0)))+SUMPRODUCT((Inputs!$E$5:$E$110=$B36)*Inputs!$F$5:$F$110*(((Inputs!$G$5:$G$110="moeda")+(Inputs!$G$5:$G$110="acoes"))*Inputs!$B$1+((Inputs!$G$5:$G$110&lt;&gt;"moeda")*(Inputs!$G$5:$G$110&lt;&gt;"acoes")))*INDEX(Inputs!$K$5:$AJ$110,0,MATCH(AI$2,Inputs!$K$4:$AJ$4,0)))))</f>
        <v>0</v>
      </c>
      <c r="AJ36" s="6">
        <f>IF(ISNA(MATCH(AJ$2,Inputs!$K$4:$AJ$4,0)),NA(),IF(SUMPRODUCT((Inputs!$A$5:$A$110=$B36)*ISNUMBER(INDEX(Inputs!$K$5:$AJ$110,0,MATCH(AJ$2,Inputs!$K$4:$AJ$4,0))))+SUMPRODUCT((Inputs!$C$5:$C$110=$B36)*ISNUMBER(INDEX(Inputs!$K$5:$AJ$110,0,MATCH(AJ$2,Inputs!$K$4:$AJ$4,0))))+SUMPRODUCT((Inputs!$E$5:$E$110=$B36)*ISNUMBER(INDEX(Inputs!$K$5:$AJ$110,0,MATCH(AJ$2,Inputs!$K$4:$AJ$4,0))))=0,NA(),SUMPRODUCT((Inputs!$A$5:$A$110=$B36)*Inputs!$B$5:$B$110*(((Inputs!$G$5:$G$110="moeda")+(Inputs!$G$5:$G$110="acoes"))*Inputs!$B$1+((Inputs!$G$5:$G$110&lt;&gt;"moeda")*(Inputs!$G$5:$G$110&lt;&gt;"acoes")))*INDEX(Inputs!$K$5:$AJ$110,0,MATCH(AJ$2,Inputs!$K$4:$AJ$4,0)))+SUMPRODUCT((Inputs!$C$5:$C$110=$B36)*Inputs!$D$5:$D$110*(((Inputs!$G$5:$G$110="moeda")+(Inputs!$G$5:$G$110="acoes"))*Inputs!$B$1+((Inputs!$G$5:$G$110&lt;&gt;"moeda")*(Inputs!$G$5:$G$110&lt;&gt;"acoes")))*INDEX(Inputs!$K$5:$AJ$110,0,MATCH(AJ$2,Inputs!$K$4:$AJ$4,0)))+SUMPRODUCT((Inputs!$E$5:$E$110=$B36)*Inputs!$F$5:$F$110*(((Inputs!$G$5:$G$110="moeda")+(Inputs!$G$5:$G$110="acoes"))*Inputs!$B$1+((Inputs!$G$5:$G$110&lt;&gt;"moeda")*(Inputs!$G$5:$G$110&lt;&gt;"acoes")))*INDEX(Inputs!$K$5:$AJ$110,0,MATCH(AJ$2,Inputs!$K$4:$AJ$4,0)))))</f>
        <v>0</v>
      </c>
      <c r="AK36" s="6">
        <f>IF(ISNA(MATCH(AK$2,Inputs!$K$4:$AJ$4,0)),NA(),IF(SUMPRODUCT((Inputs!$A$5:$A$110=$B36)*ISNUMBER(INDEX(Inputs!$K$5:$AJ$110,0,MATCH(AK$2,Inputs!$K$4:$AJ$4,0))))+SUMPRODUCT((Inputs!$C$5:$C$110=$B36)*ISNUMBER(INDEX(Inputs!$K$5:$AJ$110,0,MATCH(AK$2,Inputs!$K$4:$AJ$4,0))))+SUMPRODUCT((Inputs!$E$5:$E$110=$B36)*ISNUMBER(INDEX(Inputs!$K$5:$AJ$110,0,MATCH(AK$2,Inputs!$K$4:$AJ$4,0))))=0,NA(),SUMPRODUCT((Inputs!$A$5:$A$110=$B36)*Inputs!$B$5:$B$110*(((Inputs!$G$5:$G$110="moeda")+(Inputs!$G$5:$G$110="acoes"))*Inputs!$B$1+((Inputs!$G$5:$G$110&lt;&gt;"moeda")*(Inputs!$G$5:$G$110&lt;&gt;"acoes")))*INDEX(Inputs!$K$5:$AJ$110,0,MATCH(AK$2,Inputs!$K$4:$AJ$4,0)))+SUMPRODUCT((Inputs!$C$5:$C$110=$B36)*Inputs!$D$5:$D$110*(((Inputs!$G$5:$G$110="moeda")+(Inputs!$G$5:$G$110="acoes"))*Inputs!$B$1+((Inputs!$G$5:$G$110&lt;&gt;"moeda")*(Inputs!$G$5:$G$110&lt;&gt;"acoes")))*INDEX(Inputs!$K$5:$AJ$110,0,MATCH(AK$2,Inputs!$K$4:$AJ$4,0)))+SUMPRODUCT((Inputs!$E$5:$E$110=$B36)*Inputs!$F$5:$F$110*(((Inputs!$G$5:$G$110="moeda")+(Inputs!$G$5:$G$110="acoes"))*Inputs!$B$1+((Inputs!$G$5:$G$110&lt;&gt;"moeda")*(Inputs!$G$5:$G$110&lt;&gt;"acoes")))*INDEX(Inputs!$K$5:$AJ$110,0,MATCH(AK$2,Inputs!$K$4:$AJ$4,0)))))</f>
        <v>0</v>
      </c>
      <c r="AL36" s="3">
        <f>AK36</f>
        <v>0</v>
      </c>
    </row>
    <row r="37">
      <c r="B37" s="46" t="n">
        <v>32</v>
      </c>
      <c r="C37" s="26" t="inlineStr">
        <is>
          <t>Convertible debt</t>
        </is>
      </c>
      <c r="D37" s="6">
        <f>IF(ISNA(MATCH(D$2,Inputs!$K$4:$AJ$4,0)),NA(),IF(SUMPRODUCT((Inputs!$A$5:$A$110=$B37)*ISNUMBER(INDEX(Inputs!$K$5:$AJ$110,0,MATCH(D$2,Inputs!$K$4:$AJ$4,0))))+SUMPRODUCT((Inputs!$C$5:$C$110=$B37)*ISNUMBER(INDEX(Inputs!$K$5:$AJ$110,0,MATCH(D$2,Inputs!$K$4:$AJ$4,0))))+SUMPRODUCT((Inputs!$E$5:$E$110=$B37)*ISNUMBER(INDEX(Inputs!$K$5:$AJ$110,0,MATCH(D$2,Inputs!$K$4:$AJ$4,0))))=0,NA(),SUMPRODUCT((Inputs!$A$5:$A$110=$B37)*Inputs!$B$5:$B$110*(((Inputs!$G$5:$G$110="moeda")+(Inputs!$G$5:$G$110="acoes"))*Inputs!$B$1+((Inputs!$G$5:$G$110&lt;&gt;"moeda")*(Inputs!$G$5:$G$110&lt;&gt;"acoes")))*INDEX(Inputs!$K$5:$AJ$110,0,MATCH(D$2,Inputs!$K$4:$AJ$4,0)))+SUMPRODUCT((Inputs!$C$5:$C$110=$B37)*Inputs!$D$5:$D$110*(((Inputs!$G$5:$G$110="moeda")+(Inputs!$G$5:$G$110="acoes"))*Inputs!$B$1+((Inputs!$G$5:$G$110&lt;&gt;"moeda")*(Inputs!$G$5:$G$110&lt;&gt;"acoes")))*INDEX(Inputs!$K$5:$AJ$110,0,MATCH(D$2,Inputs!$K$4:$AJ$4,0)))+SUMPRODUCT((Inputs!$E$5:$E$110=$B37)*Inputs!$F$5:$F$110*(((Inputs!$G$5:$G$110="moeda")+(Inputs!$G$5:$G$110="acoes"))*Inputs!$B$1+((Inputs!$G$5:$G$110&lt;&gt;"moeda")*(Inputs!$G$5:$G$110&lt;&gt;"acoes")))*INDEX(Inputs!$K$5:$AJ$110,0,MATCH(D$2,Inputs!$K$4:$AJ$4,0)))))</f>
        <v>0</v>
      </c>
      <c r="E37" s="6">
        <f>IF(ISNA(MATCH(E$2,Inputs!$K$4:$AJ$4,0)),NA(),IF(SUMPRODUCT((Inputs!$A$5:$A$110=$B37)*ISNUMBER(INDEX(Inputs!$K$5:$AJ$110,0,MATCH(E$2,Inputs!$K$4:$AJ$4,0))))+SUMPRODUCT((Inputs!$C$5:$C$110=$B37)*ISNUMBER(INDEX(Inputs!$K$5:$AJ$110,0,MATCH(E$2,Inputs!$K$4:$AJ$4,0))))+SUMPRODUCT((Inputs!$E$5:$E$110=$B37)*ISNUMBER(INDEX(Inputs!$K$5:$AJ$110,0,MATCH(E$2,Inputs!$K$4:$AJ$4,0))))=0,NA(),SUMPRODUCT((Inputs!$A$5:$A$110=$B37)*Inputs!$B$5:$B$110*(((Inputs!$G$5:$G$110="moeda")+(Inputs!$G$5:$G$110="acoes"))*Inputs!$B$1+((Inputs!$G$5:$G$110&lt;&gt;"moeda")*(Inputs!$G$5:$G$110&lt;&gt;"acoes")))*INDEX(Inputs!$K$5:$AJ$110,0,MATCH(E$2,Inputs!$K$4:$AJ$4,0)))+SUMPRODUCT((Inputs!$C$5:$C$110=$B37)*Inputs!$D$5:$D$110*(((Inputs!$G$5:$G$110="moeda")+(Inputs!$G$5:$G$110="acoes"))*Inputs!$B$1+((Inputs!$G$5:$G$110&lt;&gt;"moeda")*(Inputs!$G$5:$G$110&lt;&gt;"acoes")))*INDEX(Inputs!$K$5:$AJ$110,0,MATCH(E$2,Inputs!$K$4:$AJ$4,0)))+SUMPRODUCT((Inputs!$E$5:$E$110=$B37)*Inputs!$F$5:$F$110*(((Inputs!$G$5:$G$110="moeda")+(Inputs!$G$5:$G$110="acoes"))*Inputs!$B$1+((Inputs!$G$5:$G$110&lt;&gt;"moeda")*(Inputs!$G$5:$G$110&lt;&gt;"acoes")))*INDEX(Inputs!$K$5:$AJ$110,0,MATCH(E$2,Inputs!$K$4:$AJ$4,0)))))</f>
        <v>0</v>
      </c>
      <c r="F37" s="6">
        <f>IF(ISNA(MATCH(F$2,Inputs!$K$4:$AJ$4,0)),NA(),IF(SUMPRODUCT((Inputs!$A$5:$A$110=$B37)*ISNUMBER(INDEX(Inputs!$K$5:$AJ$110,0,MATCH(F$2,Inputs!$K$4:$AJ$4,0))))+SUMPRODUCT((Inputs!$C$5:$C$110=$B37)*ISNUMBER(INDEX(Inputs!$K$5:$AJ$110,0,MATCH(F$2,Inputs!$K$4:$AJ$4,0))))+SUMPRODUCT((Inputs!$E$5:$E$110=$B37)*ISNUMBER(INDEX(Inputs!$K$5:$AJ$110,0,MATCH(F$2,Inputs!$K$4:$AJ$4,0))))=0,NA(),SUMPRODUCT((Inputs!$A$5:$A$110=$B37)*Inputs!$B$5:$B$110*(((Inputs!$G$5:$G$110="moeda")+(Inputs!$G$5:$G$110="acoes"))*Inputs!$B$1+((Inputs!$G$5:$G$110&lt;&gt;"moeda")*(Inputs!$G$5:$G$110&lt;&gt;"acoes")))*INDEX(Inputs!$K$5:$AJ$110,0,MATCH(F$2,Inputs!$K$4:$AJ$4,0)))+SUMPRODUCT((Inputs!$C$5:$C$110=$B37)*Inputs!$D$5:$D$110*(((Inputs!$G$5:$G$110="moeda")+(Inputs!$G$5:$G$110="acoes"))*Inputs!$B$1+((Inputs!$G$5:$G$110&lt;&gt;"moeda")*(Inputs!$G$5:$G$110&lt;&gt;"acoes")))*INDEX(Inputs!$K$5:$AJ$110,0,MATCH(F$2,Inputs!$K$4:$AJ$4,0)))+SUMPRODUCT((Inputs!$E$5:$E$110=$B37)*Inputs!$F$5:$F$110*(((Inputs!$G$5:$G$110="moeda")+(Inputs!$G$5:$G$110="acoes"))*Inputs!$B$1+((Inputs!$G$5:$G$110&lt;&gt;"moeda")*(Inputs!$G$5:$G$110&lt;&gt;"acoes")))*INDEX(Inputs!$K$5:$AJ$110,0,MATCH(F$2,Inputs!$K$4:$AJ$4,0)))))</f>
        <v>0</v>
      </c>
      <c r="G37" s="6">
        <f>IF(ISNA(MATCH(G$2,Inputs!$K$4:$AJ$4,0)),NA(),IF(SUMPRODUCT((Inputs!$A$5:$A$110=$B37)*ISNUMBER(INDEX(Inputs!$K$5:$AJ$110,0,MATCH(G$2,Inputs!$K$4:$AJ$4,0))))+SUMPRODUCT((Inputs!$C$5:$C$110=$B37)*ISNUMBER(INDEX(Inputs!$K$5:$AJ$110,0,MATCH(G$2,Inputs!$K$4:$AJ$4,0))))+SUMPRODUCT((Inputs!$E$5:$E$110=$B37)*ISNUMBER(INDEX(Inputs!$K$5:$AJ$110,0,MATCH(G$2,Inputs!$K$4:$AJ$4,0))))=0,NA(),SUMPRODUCT((Inputs!$A$5:$A$110=$B37)*Inputs!$B$5:$B$110*(((Inputs!$G$5:$G$110="moeda")+(Inputs!$G$5:$G$110="acoes"))*Inputs!$B$1+((Inputs!$G$5:$G$110&lt;&gt;"moeda")*(Inputs!$G$5:$G$110&lt;&gt;"acoes")))*INDEX(Inputs!$K$5:$AJ$110,0,MATCH(G$2,Inputs!$K$4:$AJ$4,0)))+SUMPRODUCT((Inputs!$C$5:$C$110=$B37)*Inputs!$D$5:$D$110*(((Inputs!$G$5:$G$110="moeda")+(Inputs!$G$5:$G$110="acoes"))*Inputs!$B$1+((Inputs!$G$5:$G$110&lt;&gt;"moeda")*(Inputs!$G$5:$G$110&lt;&gt;"acoes")))*INDEX(Inputs!$K$5:$AJ$110,0,MATCH(G$2,Inputs!$K$4:$AJ$4,0)))+SUMPRODUCT((Inputs!$E$5:$E$110=$B37)*Inputs!$F$5:$F$110*(((Inputs!$G$5:$G$110="moeda")+(Inputs!$G$5:$G$110="acoes"))*Inputs!$B$1+((Inputs!$G$5:$G$110&lt;&gt;"moeda")*(Inputs!$G$5:$G$110&lt;&gt;"acoes")))*INDEX(Inputs!$K$5:$AJ$110,0,MATCH(G$2,Inputs!$K$4:$AJ$4,0)))))</f>
        <v>0</v>
      </c>
      <c r="H37" s="3">
        <f>G37</f>
        <v>0</v>
      </c>
      <c r="I37" s="6">
        <f>IF(ISNA(MATCH(I$2,Inputs!$K$4:$AJ$4,0)),NA(),IF(SUMPRODUCT((Inputs!$A$5:$A$110=$B37)*ISNUMBER(INDEX(Inputs!$K$5:$AJ$110,0,MATCH(I$2,Inputs!$K$4:$AJ$4,0))))+SUMPRODUCT((Inputs!$C$5:$C$110=$B37)*ISNUMBER(INDEX(Inputs!$K$5:$AJ$110,0,MATCH(I$2,Inputs!$K$4:$AJ$4,0))))+SUMPRODUCT((Inputs!$E$5:$E$110=$B37)*ISNUMBER(INDEX(Inputs!$K$5:$AJ$110,0,MATCH(I$2,Inputs!$K$4:$AJ$4,0))))=0,NA(),SUMPRODUCT((Inputs!$A$5:$A$110=$B37)*Inputs!$B$5:$B$110*(((Inputs!$G$5:$G$110="moeda")+(Inputs!$G$5:$G$110="acoes"))*Inputs!$B$1+((Inputs!$G$5:$G$110&lt;&gt;"moeda")*(Inputs!$G$5:$G$110&lt;&gt;"acoes")))*INDEX(Inputs!$K$5:$AJ$110,0,MATCH(I$2,Inputs!$K$4:$AJ$4,0)))+SUMPRODUCT((Inputs!$C$5:$C$110=$B37)*Inputs!$D$5:$D$110*(((Inputs!$G$5:$G$110="moeda")+(Inputs!$G$5:$G$110="acoes"))*Inputs!$B$1+((Inputs!$G$5:$G$110&lt;&gt;"moeda")*(Inputs!$G$5:$G$110&lt;&gt;"acoes")))*INDEX(Inputs!$K$5:$AJ$110,0,MATCH(I$2,Inputs!$K$4:$AJ$4,0)))+SUMPRODUCT((Inputs!$E$5:$E$110=$B37)*Inputs!$F$5:$F$110*(((Inputs!$G$5:$G$110="moeda")+(Inputs!$G$5:$G$110="acoes"))*Inputs!$B$1+((Inputs!$G$5:$G$110&lt;&gt;"moeda")*(Inputs!$G$5:$G$110&lt;&gt;"acoes")))*INDEX(Inputs!$K$5:$AJ$110,0,MATCH(I$2,Inputs!$K$4:$AJ$4,0)))))</f>
        <v>0</v>
      </c>
      <c r="J37" s="6">
        <f>IF(ISNA(MATCH(J$2,Inputs!$K$4:$AJ$4,0)),NA(),IF(SUMPRODUCT((Inputs!$A$5:$A$110=$B37)*ISNUMBER(INDEX(Inputs!$K$5:$AJ$110,0,MATCH(J$2,Inputs!$K$4:$AJ$4,0))))+SUMPRODUCT((Inputs!$C$5:$C$110=$B37)*ISNUMBER(INDEX(Inputs!$K$5:$AJ$110,0,MATCH(J$2,Inputs!$K$4:$AJ$4,0))))+SUMPRODUCT((Inputs!$E$5:$E$110=$B37)*ISNUMBER(INDEX(Inputs!$K$5:$AJ$110,0,MATCH(J$2,Inputs!$K$4:$AJ$4,0))))=0,NA(),SUMPRODUCT((Inputs!$A$5:$A$110=$B37)*Inputs!$B$5:$B$110*(((Inputs!$G$5:$G$110="moeda")+(Inputs!$G$5:$G$110="acoes"))*Inputs!$B$1+((Inputs!$G$5:$G$110&lt;&gt;"moeda")*(Inputs!$G$5:$G$110&lt;&gt;"acoes")))*INDEX(Inputs!$K$5:$AJ$110,0,MATCH(J$2,Inputs!$K$4:$AJ$4,0)))+SUMPRODUCT((Inputs!$C$5:$C$110=$B37)*Inputs!$D$5:$D$110*(((Inputs!$G$5:$G$110="moeda")+(Inputs!$G$5:$G$110="acoes"))*Inputs!$B$1+((Inputs!$G$5:$G$110&lt;&gt;"moeda")*(Inputs!$G$5:$G$110&lt;&gt;"acoes")))*INDEX(Inputs!$K$5:$AJ$110,0,MATCH(J$2,Inputs!$K$4:$AJ$4,0)))+SUMPRODUCT((Inputs!$E$5:$E$110=$B37)*Inputs!$F$5:$F$110*(((Inputs!$G$5:$G$110="moeda")+(Inputs!$G$5:$G$110="acoes"))*Inputs!$B$1+((Inputs!$G$5:$G$110&lt;&gt;"moeda")*(Inputs!$G$5:$G$110&lt;&gt;"acoes")))*INDEX(Inputs!$K$5:$AJ$110,0,MATCH(J$2,Inputs!$K$4:$AJ$4,0)))))</f>
        <v>0</v>
      </c>
      <c r="K37" s="6">
        <f>IF(ISNA(MATCH(K$2,Inputs!$K$4:$AJ$4,0)),NA(),IF(SUMPRODUCT((Inputs!$A$5:$A$110=$B37)*ISNUMBER(INDEX(Inputs!$K$5:$AJ$110,0,MATCH(K$2,Inputs!$K$4:$AJ$4,0))))+SUMPRODUCT((Inputs!$C$5:$C$110=$B37)*ISNUMBER(INDEX(Inputs!$K$5:$AJ$110,0,MATCH(K$2,Inputs!$K$4:$AJ$4,0))))+SUMPRODUCT((Inputs!$E$5:$E$110=$B37)*ISNUMBER(INDEX(Inputs!$K$5:$AJ$110,0,MATCH(K$2,Inputs!$K$4:$AJ$4,0))))=0,NA(),SUMPRODUCT((Inputs!$A$5:$A$110=$B37)*Inputs!$B$5:$B$110*(((Inputs!$G$5:$G$110="moeda")+(Inputs!$G$5:$G$110="acoes"))*Inputs!$B$1+((Inputs!$G$5:$G$110&lt;&gt;"moeda")*(Inputs!$G$5:$G$110&lt;&gt;"acoes")))*INDEX(Inputs!$K$5:$AJ$110,0,MATCH(K$2,Inputs!$K$4:$AJ$4,0)))+SUMPRODUCT((Inputs!$C$5:$C$110=$B37)*Inputs!$D$5:$D$110*(((Inputs!$G$5:$G$110="moeda")+(Inputs!$G$5:$G$110="acoes"))*Inputs!$B$1+((Inputs!$G$5:$G$110&lt;&gt;"moeda")*(Inputs!$G$5:$G$110&lt;&gt;"acoes")))*INDEX(Inputs!$K$5:$AJ$110,0,MATCH(K$2,Inputs!$K$4:$AJ$4,0)))+SUMPRODUCT((Inputs!$E$5:$E$110=$B37)*Inputs!$F$5:$F$110*(((Inputs!$G$5:$G$110="moeda")+(Inputs!$G$5:$G$110="acoes"))*Inputs!$B$1+((Inputs!$G$5:$G$110&lt;&gt;"moeda")*(Inputs!$G$5:$G$110&lt;&gt;"acoes")))*INDEX(Inputs!$K$5:$AJ$110,0,MATCH(K$2,Inputs!$K$4:$AJ$4,0)))))</f>
        <v>0</v>
      </c>
      <c r="L37" s="6">
        <f>IF(ISNA(MATCH(L$2,Inputs!$K$4:$AJ$4,0)),NA(),IF(SUMPRODUCT((Inputs!$A$5:$A$110=$B37)*ISNUMBER(INDEX(Inputs!$K$5:$AJ$110,0,MATCH(L$2,Inputs!$K$4:$AJ$4,0))))+SUMPRODUCT((Inputs!$C$5:$C$110=$B37)*ISNUMBER(INDEX(Inputs!$K$5:$AJ$110,0,MATCH(L$2,Inputs!$K$4:$AJ$4,0))))+SUMPRODUCT((Inputs!$E$5:$E$110=$B37)*ISNUMBER(INDEX(Inputs!$K$5:$AJ$110,0,MATCH(L$2,Inputs!$K$4:$AJ$4,0))))=0,NA(),SUMPRODUCT((Inputs!$A$5:$A$110=$B37)*Inputs!$B$5:$B$110*(((Inputs!$G$5:$G$110="moeda")+(Inputs!$G$5:$G$110="acoes"))*Inputs!$B$1+((Inputs!$G$5:$G$110&lt;&gt;"moeda")*(Inputs!$G$5:$G$110&lt;&gt;"acoes")))*INDEX(Inputs!$K$5:$AJ$110,0,MATCH(L$2,Inputs!$K$4:$AJ$4,0)))+SUMPRODUCT((Inputs!$C$5:$C$110=$B37)*Inputs!$D$5:$D$110*(((Inputs!$G$5:$G$110="moeda")+(Inputs!$G$5:$G$110="acoes"))*Inputs!$B$1+((Inputs!$G$5:$G$110&lt;&gt;"moeda")*(Inputs!$G$5:$G$110&lt;&gt;"acoes")))*INDEX(Inputs!$K$5:$AJ$110,0,MATCH(L$2,Inputs!$K$4:$AJ$4,0)))+SUMPRODUCT((Inputs!$E$5:$E$110=$B37)*Inputs!$F$5:$F$110*(((Inputs!$G$5:$G$110="moeda")+(Inputs!$G$5:$G$110="acoes"))*Inputs!$B$1+((Inputs!$G$5:$G$110&lt;&gt;"moeda")*(Inputs!$G$5:$G$110&lt;&gt;"acoes")))*INDEX(Inputs!$K$5:$AJ$110,0,MATCH(L$2,Inputs!$K$4:$AJ$4,0)))))</f>
        <v>0</v>
      </c>
      <c r="M37" s="3">
        <f>L37</f>
        <v>0</v>
      </c>
      <c r="N37" s="6">
        <f>IF(ISNA(MATCH(N$2,Inputs!$K$4:$AJ$4,0)),NA(),IF(SUMPRODUCT((Inputs!$A$5:$A$110=$B37)*ISNUMBER(INDEX(Inputs!$K$5:$AJ$110,0,MATCH(N$2,Inputs!$K$4:$AJ$4,0))))+SUMPRODUCT((Inputs!$C$5:$C$110=$B37)*ISNUMBER(INDEX(Inputs!$K$5:$AJ$110,0,MATCH(N$2,Inputs!$K$4:$AJ$4,0))))+SUMPRODUCT((Inputs!$E$5:$E$110=$B37)*ISNUMBER(INDEX(Inputs!$K$5:$AJ$110,0,MATCH(N$2,Inputs!$K$4:$AJ$4,0))))=0,NA(),SUMPRODUCT((Inputs!$A$5:$A$110=$B37)*Inputs!$B$5:$B$110*(((Inputs!$G$5:$G$110="moeda")+(Inputs!$G$5:$G$110="acoes"))*Inputs!$B$1+((Inputs!$G$5:$G$110&lt;&gt;"moeda")*(Inputs!$G$5:$G$110&lt;&gt;"acoes")))*INDEX(Inputs!$K$5:$AJ$110,0,MATCH(N$2,Inputs!$K$4:$AJ$4,0)))+SUMPRODUCT((Inputs!$C$5:$C$110=$B37)*Inputs!$D$5:$D$110*(((Inputs!$G$5:$G$110="moeda")+(Inputs!$G$5:$G$110="acoes"))*Inputs!$B$1+((Inputs!$G$5:$G$110&lt;&gt;"moeda")*(Inputs!$G$5:$G$110&lt;&gt;"acoes")))*INDEX(Inputs!$K$5:$AJ$110,0,MATCH(N$2,Inputs!$K$4:$AJ$4,0)))+SUMPRODUCT((Inputs!$E$5:$E$110=$B37)*Inputs!$F$5:$F$110*(((Inputs!$G$5:$G$110="moeda")+(Inputs!$G$5:$G$110="acoes"))*Inputs!$B$1+((Inputs!$G$5:$G$110&lt;&gt;"moeda")*(Inputs!$G$5:$G$110&lt;&gt;"acoes")))*INDEX(Inputs!$K$5:$AJ$110,0,MATCH(N$2,Inputs!$K$4:$AJ$4,0)))))</f>
        <v>0</v>
      </c>
      <c r="O37" s="6">
        <f>IF(ISNA(MATCH(O$2,Inputs!$K$4:$AJ$4,0)),NA(),IF(SUMPRODUCT((Inputs!$A$5:$A$110=$B37)*ISNUMBER(INDEX(Inputs!$K$5:$AJ$110,0,MATCH(O$2,Inputs!$K$4:$AJ$4,0))))+SUMPRODUCT((Inputs!$C$5:$C$110=$B37)*ISNUMBER(INDEX(Inputs!$K$5:$AJ$110,0,MATCH(O$2,Inputs!$K$4:$AJ$4,0))))+SUMPRODUCT((Inputs!$E$5:$E$110=$B37)*ISNUMBER(INDEX(Inputs!$K$5:$AJ$110,0,MATCH(O$2,Inputs!$K$4:$AJ$4,0))))=0,NA(),SUMPRODUCT((Inputs!$A$5:$A$110=$B37)*Inputs!$B$5:$B$110*(((Inputs!$G$5:$G$110="moeda")+(Inputs!$G$5:$G$110="acoes"))*Inputs!$B$1+((Inputs!$G$5:$G$110&lt;&gt;"moeda")*(Inputs!$G$5:$G$110&lt;&gt;"acoes")))*INDEX(Inputs!$K$5:$AJ$110,0,MATCH(O$2,Inputs!$K$4:$AJ$4,0)))+SUMPRODUCT((Inputs!$C$5:$C$110=$B37)*Inputs!$D$5:$D$110*(((Inputs!$G$5:$G$110="moeda")+(Inputs!$G$5:$G$110="acoes"))*Inputs!$B$1+((Inputs!$G$5:$G$110&lt;&gt;"moeda")*(Inputs!$G$5:$G$110&lt;&gt;"acoes")))*INDEX(Inputs!$K$5:$AJ$110,0,MATCH(O$2,Inputs!$K$4:$AJ$4,0)))+SUMPRODUCT((Inputs!$E$5:$E$110=$B37)*Inputs!$F$5:$F$110*(((Inputs!$G$5:$G$110="moeda")+(Inputs!$G$5:$G$110="acoes"))*Inputs!$B$1+((Inputs!$G$5:$G$110&lt;&gt;"moeda")*(Inputs!$G$5:$G$110&lt;&gt;"acoes")))*INDEX(Inputs!$K$5:$AJ$110,0,MATCH(O$2,Inputs!$K$4:$AJ$4,0)))))</f>
        <v>0</v>
      </c>
      <c r="P37" s="6">
        <f>IF(ISNA(MATCH(P$2,Inputs!$K$4:$AJ$4,0)),NA(),IF(SUMPRODUCT((Inputs!$A$5:$A$110=$B37)*ISNUMBER(INDEX(Inputs!$K$5:$AJ$110,0,MATCH(P$2,Inputs!$K$4:$AJ$4,0))))+SUMPRODUCT((Inputs!$C$5:$C$110=$B37)*ISNUMBER(INDEX(Inputs!$K$5:$AJ$110,0,MATCH(P$2,Inputs!$K$4:$AJ$4,0))))+SUMPRODUCT((Inputs!$E$5:$E$110=$B37)*ISNUMBER(INDEX(Inputs!$K$5:$AJ$110,0,MATCH(P$2,Inputs!$K$4:$AJ$4,0))))=0,NA(),SUMPRODUCT((Inputs!$A$5:$A$110=$B37)*Inputs!$B$5:$B$110*(((Inputs!$G$5:$G$110="moeda")+(Inputs!$G$5:$G$110="acoes"))*Inputs!$B$1+((Inputs!$G$5:$G$110&lt;&gt;"moeda")*(Inputs!$G$5:$G$110&lt;&gt;"acoes")))*INDEX(Inputs!$K$5:$AJ$110,0,MATCH(P$2,Inputs!$K$4:$AJ$4,0)))+SUMPRODUCT((Inputs!$C$5:$C$110=$B37)*Inputs!$D$5:$D$110*(((Inputs!$G$5:$G$110="moeda")+(Inputs!$G$5:$G$110="acoes"))*Inputs!$B$1+((Inputs!$G$5:$G$110&lt;&gt;"moeda")*(Inputs!$G$5:$G$110&lt;&gt;"acoes")))*INDEX(Inputs!$K$5:$AJ$110,0,MATCH(P$2,Inputs!$K$4:$AJ$4,0)))+SUMPRODUCT((Inputs!$E$5:$E$110=$B37)*Inputs!$F$5:$F$110*(((Inputs!$G$5:$G$110="moeda")+(Inputs!$G$5:$G$110="acoes"))*Inputs!$B$1+((Inputs!$G$5:$G$110&lt;&gt;"moeda")*(Inputs!$G$5:$G$110&lt;&gt;"acoes")))*INDEX(Inputs!$K$5:$AJ$110,0,MATCH(P$2,Inputs!$K$4:$AJ$4,0)))))</f>
        <v>0</v>
      </c>
      <c r="Q37" s="6">
        <f>IF(ISNA(MATCH(Q$2,Inputs!$K$4:$AJ$4,0)),NA(),IF(SUMPRODUCT((Inputs!$A$5:$A$110=$B37)*ISNUMBER(INDEX(Inputs!$K$5:$AJ$110,0,MATCH(Q$2,Inputs!$K$4:$AJ$4,0))))+SUMPRODUCT((Inputs!$C$5:$C$110=$B37)*ISNUMBER(INDEX(Inputs!$K$5:$AJ$110,0,MATCH(Q$2,Inputs!$K$4:$AJ$4,0))))+SUMPRODUCT((Inputs!$E$5:$E$110=$B37)*ISNUMBER(INDEX(Inputs!$K$5:$AJ$110,0,MATCH(Q$2,Inputs!$K$4:$AJ$4,0))))=0,NA(),SUMPRODUCT((Inputs!$A$5:$A$110=$B37)*Inputs!$B$5:$B$110*(((Inputs!$G$5:$G$110="moeda")+(Inputs!$G$5:$G$110="acoes"))*Inputs!$B$1+((Inputs!$G$5:$G$110&lt;&gt;"moeda")*(Inputs!$G$5:$G$110&lt;&gt;"acoes")))*INDEX(Inputs!$K$5:$AJ$110,0,MATCH(Q$2,Inputs!$K$4:$AJ$4,0)))+SUMPRODUCT((Inputs!$C$5:$C$110=$B37)*Inputs!$D$5:$D$110*(((Inputs!$G$5:$G$110="moeda")+(Inputs!$G$5:$G$110="acoes"))*Inputs!$B$1+((Inputs!$G$5:$G$110&lt;&gt;"moeda")*(Inputs!$G$5:$G$110&lt;&gt;"acoes")))*INDEX(Inputs!$K$5:$AJ$110,0,MATCH(Q$2,Inputs!$K$4:$AJ$4,0)))+SUMPRODUCT((Inputs!$E$5:$E$110=$B37)*Inputs!$F$5:$F$110*(((Inputs!$G$5:$G$110="moeda")+(Inputs!$G$5:$G$110="acoes"))*Inputs!$B$1+((Inputs!$G$5:$G$110&lt;&gt;"moeda")*(Inputs!$G$5:$G$110&lt;&gt;"acoes")))*INDEX(Inputs!$K$5:$AJ$110,0,MATCH(Q$2,Inputs!$K$4:$AJ$4,0)))))</f>
        <v>0</v>
      </c>
      <c r="R37" s="3">
        <f>Q37</f>
        <v>0</v>
      </c>
      <c r="S37" s="6">
        <f>IF(ISNA(MATCH(S$2,Inputs!$K$4:$AJ$4,0)),NA(),IF(SUMPRODUCT((Inputs!$A$5:$A$110=$B37)*ISNUMBER(INDEX(Inputs!$K$5:$AJ$110,0,MATCH(S$2,Inputs!$K$4:$AJ$4,0))))+SUMPRODUCT((Inputs!$C$5:$C$110=$B37)*ISNUMBER(INDEX(Inputs!$K$5:$AJ$110,0,MATCH(S$2,Inputs!$K$4:$AJ$4,0))))+SUMPRODUCT((Inputs!$E$5:$E$110=$B37)*ISNUMBER(INDEX(Inputs!$K$5:$AJ$110,0,MATCH(S$2,Inputs!$K$4:$AJ$4,0))))=0,NA(),SUMPRODUCT((Inputs!$A$5:$A$110=$B37)*Inputs!$B$5:$B$110*(((Inputs!$G$5:$G$110="moeda")+(Inputs!$G$5:$G$110="acoes"))*Inputs!$B$1+((Inputs!$G$5:$G$110&lt;&gt;"moeda")*(Inputs!$G$5:$G$110&lt;&gt;"acoes")))*INDEX(Inputs!$K$5:$AJ$110,0,MATCH(S$2,Inputs!$K$4:$AJ$4,0)))+SUMPRODUCT((Inputs!$C$5:$C$110=$B37)*Inputs!$D$5:$D$110*(((Inputs!$G$5:$G$110="moeda")+(Inputs!$G$5:$G$110="acoes"))*Inputs!$B$1+((Inputs!$G$5:$G$110&lt;&gt;"moeda")*(Inputs!$G$5:$G$110&lt;&gt;"acoes")))*INDEX(Inputs!$K$5:$AJ$110,0,MATCH(S$2,Inputs!$K$4:$AJ$4,0)))+SUMPRODUCT((Inputs!$E$5:$E$110=$B37)*Inputs!$F$5:$F$110*(((Inputs!$G$5:$G$110="moeda")+(Inputs!$G$5:$G$110="acoes"))*Inputs!$B$1+((Inputs!$G$5:$G$110&lt;&gt;"moeda")*(Inputs!$G$5:$G$110&lt;&gt;"acoes")))*INDEX(Inputs!$K$5:$AJ$110,0,MATCH(S$2,Inputs!$K$4:$AJ$4,0)))))</f>
        <v>0</v>
      </c>
      <c r="T37" s="6">
        <f>IF(ISNA(MATCH(T$2,Inputs!$K$4:$AJ$4,0)),NA(),IF(SUMPRODUCT((Inputs!$A$5:$A$110=$B37)*ISNUMBER(INDEX(Inputs!$K$5:$AJ$110,0,MATCH(T$2,Inputs!$K$4:$AJ$4,0))))+SUMPRODUCT((Inputs!$C$5:$C$110=$B37)*ISNUMBER(INDEX(Inputs!$K$5:$AJ$110,0,MATCH(T$2,Inputs!$K$4:$AJ$4,0))))+SUMPRODUCT((Inputs!$E$5:$E$110=$B37)*ISNUMBER(INDEX(Inputs!$K$5:$AJ$110,0,MATCH(T$2,Inputs!$K$4:$AJ$4,0))))=0,NA(),SUMPRODUCT((Inputs!$A$5:$A$110=$B37)*Inputs!$B$5:$B$110*(((Inputs!$G$5:$G$110="moeda")+(Inputs!$G$5:$G$110="acoes"))*Inputs!$B$1+((Inputs!$G$5:$G$110&lt;&gt;"moeda")*(Inputs!$G$5:$G$110&lt;&gt;"acoes")))*INDEX(Inputs!$K$5:$AJ$110,0,MATCH(T$2,Inputs!$K$4:$AJ$4,0)))+SUMPRODUCT((Inputs!$C$5:$C$110=$B37)*Inputs!$D$5:$D$110*(((Inputs!$G$5:$G$110="moeda")+(Inputs!$G$5:$G$110="acoes"))*Inputs!$B$1+((Inputs!$G$5:$G$110&lt;&gt;"moeda")*(Inputs!$G$5:$G$110&lt;&gt;"acoes")))*INDEX(Inputs!$K$5:$AJ$110,0,MATCH(T$2,Inputs!$K$4:$AJ$4,0)))+SUMPRODUCT((Inputs!$E$5:$E$110=$B37)*Inputs!$F$5:$F$110*(((Inputs!$G$5:$G$110="moeda")+(Inputs!$G$5:$G$110="acoes"))*Inputs!$B$1+((Inputs!$G$5:$G$110&lt;&gt;"moeda")*(Inputs!$G$5:$G$110&lt;&gt;"acoes")))*INDEX(Inputs!$K$5:$AJ$110,0,MATCH(T$2,Inputs!$K$4:$AJ$4,0)))))</f>
        <v>0</v>
      </c>
      <c r="U37" s="6">
        <f>IF(ISNA(MATCH(U$2,Inputs!$K$4:$AJ$4,0)),NA(),IF(SUMPRODUCT((Inputs!$A$5:$A$110=$B37)*ISNUMBER(INDEX(Inputs!$K$5:$AJ$110,0,MATCH(U$2,Inputs!$K$4:$AJ$4,0))))+SUMPRODUCT((Inputs!$C$5:$C$110=$B37)*ISNUMBER(INDEX(Inputs!$K$5:$AJ$110,0,MATCH(U$2,Inputs!$K$4:$AJ$4,0))))+SUMPRODUCT((Inputs!$E$5:$E$110=$B37)*ISNUMBER(INDEX(Inputs!$K$5:$AJ$110,0,MATCH(U$2,Inputs!$K$4:$AJ$4,0))))=0,NA(),SUMPRODUCT((Inputs!$A$5:$A$110=$B37)*Inputs!$B$5:$B$110*(((Inputs!$G$5:$G$110="moeda")+(Inputs!$G$5:$G$110="acoes"))*Inputs!$B$1+((Inputs!$G$5:$G$110&lt;&gt;"moeda")*(Inputs!$G$5:$G$110&lt;&gt;"acoes")))*INDEX(Inputs!$K$5:$AJ$110,0,MATCH(U$2,Inputs!$K$4:$AJ$4,0)))+SUMPRODUCT((Inputs!$C$5:$C$110=$B37)*Inputs!$D$5:$D$110*(((Inputs!$G$5:$G$110="moeda")+(Inputs!$G$5:$G$110="acoes"))*Inputs!$B$1+((Inputs!$G$5:$G$110&lt;&gt;"moeda")*(Inputs!$G$5:$G$110&lt;&gt;"acoes")))*INDEX(Inputs!$K$5:$AJ$110,0,MATCH(U$2,Inputs!$K$4:$AJ$4,0)))+SUMPRODUCT((Inputs!$E$5:$E$110=$B37)*Inputs!$F$5:$F$110*(((Inputs!$G$5:$G$110="moeda")+(Inputs!$G$5:$G$110="acoes"))*Inputs!$B$1+((Inputs!$G$5:$G$110&lt;&gt;"moeda")*(Inputs!$G$5:$G$110&lt;&gt;"acoes")))*INDEX(Inputs!$K$5:$AJ$110,0,MATCH(U$2,Inputs!$K$4:$AJ$4,0)))))</f>
        <v>0</v>
      </c>
      <c r="V37" s="6">
        <f>IF(ISNA(MATCH(V$2,Inputs!$K$4:$AJ$4,0)),NA(),IF(SUMPRODUCT((Inputs!$A$5:$A$110=$B37)*ISNUMBER(INDEX(Inputs!$K$5:$AJ$110,0,MATCH(V$2,Inputs!$K$4:$AJ$4,0))))+SUMPRODUCT((Inputs!$C$5:$C$110=$B37)*ISNUMBER(INDEX(Inputs!$K$5:$AJ$110,0,MATCH(V$2,Inputs!$K$4:$AJ$4,0))))+SUMPRODUCT((Inputs!$E$5:$E$110=$B37)*ISNUMBER(INDEX(Inputs!$K$5:$AJ$110,0,MATCH(V$2,Inputs!$K$4:$AJ$4,0))))=0,NA(),SUMPRODUCT((Inputs!$A$5:$A$110=$B37)*Inputs!$B$5:$B$110*(((Inputs!$G$5:$G$110="moeda")+(Inputs!$G$5:$G$110="acoes"))*Inputs!$B$1+((Inputs!$G$5:$G$110&lt;&gt;"moeda")*(Inputs!$G$5:$G$110&lt;&gt;"acoes")))*INDEX(Inputs!$K$5:$AJ$110,0,MATCH(V$2,Inputs!$K$4:$AJ$4,0)))+SUMPRODUCT((Inputs!$C$5:$C$110=$B37)*Inputs!$D$5:$D$110*(((Inputs!$G$5:$G$110="moeda")+(Inputs!$G$5:$G$110="acoes"))*Inputs!$B$1+((Inputs!$G$5:$G$110&lt;&gt;"moeda")*(Inputs!$G$5:$G$110&lt;&gt;"acoes")))*INDEX(Inputs!$K$5:$AJ$110,0,MATCH(V$2,Inputs!$K$4:$AJ$4,0)))+SUMPRODUCT((Inputs!$E$5:$E$110=$B37)*Inputs!$F$5:$F$110*(((Inputs!$G$5:$G$110="moeda")+(Inputs!$G$5:$G$110="acoes"))*Inputs!$B$1+((Inputs!$G$5:$G$110&lt;&gt;"moeda")*(Inputs!$G$5:$G$110&lt;&gt;"acoes")))*INDEX(Inputs!$K$5:$AJ$110,0,MATCH(V$2,Inputs!$K$4:$AJ$4,0)))))</f>
        <v>0</v>
      </c>
      <c r="W37" s="3">
        <f>V37</f>
        <v>0</v>
      </c>
      <c r="X37" s="6">
        <f>IF(ISNA(MATCH(X$2,Inputs!$K$4:$AJ$4,0)),NA(),IF(SUMPRODUCT((Inputs!$A$5:$A$110=$B37)*ISNUMBER(INDEX(Inputs!$K$5:$AJ$110,0,MATCH(X$2,Inputs!$K$4:$AJ$4,0))))+SUMPRODUCT((Inputs!$C$5:$C$110=$B37)*ISNUMBER(INDEX(Inputs!$K$5:$AJ$110,0,MATCH(X$2,Inputs!$K$4:$AJ$4,0))))+SUMPRODUCT((Inputs!$E$5:$E$110=$B37)*ISNUMBER(INDEX(Inputs!$K$5:$AJ$110,0,MATCH(X$2,Inputs!$K$4:$AJ$4,0))))=0,NA(),SUMPRODUCT((Inputs!$A$5:$A$110=$B37)*Inputs!$B$5:$B$110*(((Inputs!$G$5:$G$110="moeda")+(Inputs!$G$5:$G$110="acoes"))*Inputs!$B$1+((Inputs!$G$5:$G$110&lt;&gt;"moeda")*(Inputs!$G$5:$G$110&lt;&gt;"acoes")))*INDEX(Inputs!$K$5:$AJ$110,0,MATCH(X$2,Inputs!$K$4:$AJ$4,0)))+SUMPRODUCT((Inputs!$C$5:$C$110=$B37)*Inputs!$D$5:$D$110*(((Inputs!$G$5:$G$110="moeda")+(Inputs!$G$5:$G$110="acoes"))*Inputs!$B$1+((Inputs!$G$5:$G$110&lt;&gt;"moeda")*(Inputs!$G$5:$G$110&lt;&gt;"acoes")))*INDEX(Inputs!$K$5:$AJ$110,0,MATCH(X$2,Inputs!$K$4:$AJ$4,0)))+SUMPRODUCT((Inputs!$E$5:$E$110=$B37)*Inputs!$F$5:$F$110*(((Inputs!$G$5:$G$110="moeda")+(Inputs!$G$5:$G$110="acoes"))*Inputs!$B$1+((Inputs!$G$5:$G$110&lt;&gt;"moeda")*(Inputs!$G$5:$G$110&lt;&gt;"acoes")))*INDEX(Inputs!$K$5:$AJ$110,0,MATCH(X$2,Inputs!$K$4:$AJ$4,0)))))</f>
        <v>0</v>
      </c>
      <c r="Y37" s="6">
        <f>IF(ISNA(MATCH(Y$2,Inputs!$K$4:$AJ$4,0)),NA(),IF(SUMPRODUCT((Inputs!$A$5:$A$110=$B37)*ISNUMBER(INDEX(Inputs!$K$5:$AJ$110,0,MATCH(Y$2,Inputs!$K$4:$AJ$4,0))))+SUMPRODUCT((Inputs!$C$5:$C$110=$B37)*ISNUMBER(INDEX(Inputs!$K$5:$AJ$110,0,MATCH(Y$2,Inputs!$K$4:$AJ$4,0))))+SUMPRODUCT((Inputs!$E$5:$E$110=$B37)*ISNUMBER(INDEX(Inputs!$K$5:$AJ$110,0,MATCH(Y$2,Inputs!$K$4:$AJ$4,0))))=0,NA(),SUMPRODUCT((Inputs!$A$5:$A$110=$B37)*Inputs!$B$5:$B$110*(((Inputs!$G$5:$G$110="moeda")+(Inputs!$G$5:$G$110="acoes"))*Inputs!$B$1+((Inputs!$G$5:$G$110&lt;&gt;"moeda")*(Inputs!$G$5:$G$110&lt;&gt;"acoes")))*INDEX(Inputs!$K$5:$AJ$110,0,MATCH(Y$2,Inputs!$K$4:$AJ$4,0)))+SUMPRODUCT((Inputs!$C$5:$C$110=$B37)*Inputs!$D$5:$D$110*(((Inputs!$G$5:$G$110="moeda")+(Inputs!$G$5:$G$110="acoes"))*Inputs!$B$1+((Inputs!$G$5:$G$110&lt;&gt;"moeda")*(Inputs!$G$5:$G$110&lt;&gt;"acoes")))*INDEX(Inputs!$K$5:$AJ$110,0,MATCH(Y$2,Inputs!$K$4:$AJ$4,0)))+SUMPRODUCT((Inputs!$E$5:$E$110=$B37)*Inputs!$F$5:$F$110*(((Inputs!$G$5:$G$110="moeda")+(Inputs!$G$5:$G$110="acoes"))*Inputs!$B$1+((Inputs!$G$5:$G$110&lt;&gt;"moeda")*(Inputs!$G$5:$G$110&lt;&gt;"acoes")))*INDEX(Inputs!$K$5:$AJ$110,0,MATCH(Y$2,Inputs!$K$4:$AJ$4,0)))))</f>
        <v>0</v>
      </c>
      <c r="Z37" s="6">
        <f>IF(ISNA(MATCH(Z$2,Inputs!$K$4:$AJ$4,0)),NA(),IF(SUMPRODUCT((Inputs!$A$5:$A$110=$B37)*ISNUMBER(INDEX(Inputs!$K$5:$AJ$110,0,MATCH(Z$2,Inputs!$K$4:$AJ$4,0))))+SUMPRODUCT((Inputs!$C$5:$C$110=$B37)*ISNUMBER(INDEX(Inputs!$K$5:$AJ$110,0,MATCH(Z$2,Inputs!$K$4:$AJ$4,0))))+SUMPRODUCT((Inputs!$E$5:$E$110=$B37)*ISNUMBER(INDEX(Inputs!$K$5:$AJ$110,0,MATCH(Z$2,Inputs!$K$4:$AJ$4,0))))=0,NA(),SUMPRODUCT((Inputs!$A$5:$A$110=$B37)*Inputs!$B$5:$B$110*(((Inputs!$G$5:$G$110="moeda")+(Inputs!$G$5:$G$110="acoes"))*Inputs!$B$1+((Inputs!$G$5:$G$110&lt;&gt;"moeda")*(Inputs!$G$5:$G$110&lt;&gt;"acoes")))*INDEX(Inputs!$K$5:$AJ$110,0,MATCH(Z$2,Inputs!$K$4:$AJ$4,0)))+SUMPRODUCT((Inputs!$C$5:$C$110=$B37)*Inputs!$D$5:$D$110*(((Inputs!$G$5:$G$110="moeda")+(Inputs!$G$5:$G$110="acoes"))*Inputs!$B$1+((Inputs!$G$5:$G$110&lt;&gt;"moeda")*(Inputs!$G$5:$G$110&lt;&gt;"acoes")))*INDEX(Inputs!$K$5:$AJ$110,0,MATCH(Z$2,Inputs!$K$4:$AJ$4,0)))+SUMPRODUCT((Inputs!$E$5:$E$110=$B37)*Inputs!$F$5:$F$110*(((Inputs!$G$5:$G$110="moeda")+(Inputs!$G$5:$G$110="acoes"))*Inputs!$B$1+((Inputs!$G$5:$G$110&lt;&gt;"moeda")*(Inputs!$G$5:$G$110&lt;&gt;"acoes")))*INDEX(Inputs!$K$5:$AJ$110,0,MATCH(Z$2,Inputs!$K$4:$AJ$4,0)))))</f>
        <v>0</v>
      </c>
      <c r="AA37" s="6">
        <f>IF(ISNA(MATCH(AA$2,Inputs!$K$4:$AJ$4,0)),NA(),IF(SUMPRODUCT((Inputs!$A$5:$A$110=$B37)*ISNUMBER(INDEX(Inputs!$K$5:$AJ$110,0,MATCH(AA$2,Inputs!$K$4:$AJ$4,0))))+SUMPRODUCT((Inputs!$C$5:$C$110=$B37)*ISNUMBER(INDEX(Inputs!$K$5:$AJ$110,0,MATCH(AA$2,Inputs!$K$4:$AJ$4,0))))+SUMPRODUCT((Inputs!$E$5:$E$110=$B37)*ISNUMBER(INDEX(Inputs!$K$5:$AJ$110,0,MATCH(AA$2,Inputs!$K$4:$AJ$4,0))))=0,NA(),SUMPRODUCT((Inputs!$A$5:$A$110=$B37)*Inputs!$B$5:$B$110*(((Inputs!$G$5:$G$110="moeda")+(Inputs!$G$5:$G$110="acoes"))*Inputs!$B$1+((Inputs!$G$5:$G$110&lt;&gt;"moeda")*(Inputs!$G$5:$G$110&lt;&gt;"acoes")))*INDEX(Inputs!$K$5:$AJ$110,0,MATCH(AA$2,Inputs!$K$4:$AJ$4,0)))+SUMPRODUCT((Inputs!$C$5:$C$110=$B37)*Inputs!$D$5:$D$110*(((Inputs!$G$5:$G$110="moeda")+(Inputs!$G$5:$G$110="acoes"))*Inputs!$B$1+((Inputs!$G$5:$G$110&lt;&gt;"moeda")*(Inputs!$G$5:$G$110&lt;&gt;"acoes")))*INDEX(Inputs!$K$5:$AJ$110,0,MATCH(AA$2,Inputs!$K$4:$AJ$4,0)))+SUMPRODUCT((Inputs!$E$5:$E$110=$B37)*Inputs!$F$5:$F$110*(((Inputs!$G$5:$G$110="moeda")+(Inputs!$G$5:$G$110="acoes"))*Inputs!$B$1+((Inputs!$G$5:$G$110&lt;&gt;"moeda")*(Inputs!$G$5:$G$110&lt;&gt;"acoes")))*INDEX(Inputs!$K$5:$AJ$110,0,MATCH(AA$2,Inputs!$K$4:$AJ$4,0)))))</f>
        <v>0</v>
      </c>
      <c r="AB37" s="3">
        <f>AA37</f>
        <v>0</v>
      </c>
      <c r="AC37" s="6">
        <f>IF(ISNA(MATCH(AC$2,Inputs!$K$4:$AJ$4,0)),NA(),IF(SUMPRODUCT((Inputs!$A$5:$A$110=$B37)*ISNUMBER(INDEX(Inputs!$K$5:$AJ$110,0,MATCH(AC$2,Inputs!$K$4:$AJ$4,0))))+SUMPRODUCT((Inputs!$C$5:$C$110=$B37)*ISNUMBER(INDEX(Inputs!$K$5:$AJ$110,0,MATCH(AC$2,Inputs!$K$4:$AJ$4,0))))+SUMPRODUCT((Inputs!$E$5:$E$110=$B37)*ISNUMBER(INDEX(Inputs!$K$5:$AJ$110,0,MATCH(AC$2,Inputs!$K$4:$AJ$4,0))))=0,NA(),SUMPRODUCT((Inputs!$A$5:$A$110=$B37)*Inputs!$B$5:$B$110*(((Inputs!$G$5:$G$110="moeda")+(Inputs!$G$5:$G$110="acoes"))*Inputs!$B$1+((Inputs!$G$5:$G$110&lt;&gt;"moeda")*(Inputs!$G$5:$G$110&lt;&gt;"acoes")))*INDEX(Inputs!$K$5:$AJ$110,0,MATCH(AC$2,Inputs!$K$4:$AJ$4,0)))+SUMPRODUCT((Inputs!$C$5:$C$110=$B37)*Inputs!$D$5:$D$110*(((Inputs!$G$5:$G$110="moeda")+(Inputs!$G$5:$G$110="acoes"))*Inputs!$B$1+((Inputs!$G$5:$G$110&lt;&gt;"moeda")*(Inputs!$G$5:$G$110&lt;&gt;"acoes")))*INDEX(Inputs!$K$5:$AJ$110,0,MATCH(AC$2,Inputs!$K$4:$AJ$4,0)))+SUMPRODUCT((Inputs!$E$5:$E$110=$B37)*Inputs!$F$5:$F$110*(((Inputs!$G$5:$G$110="moeda")+(Inputs!$G$5:$G$110="acoes"))*Inputs!$B$1+((Inputs!$G$5:$G$110&lt;&gt;"moeda")*(Inputs!$G$5:$G$110&lt;&gt;"acoes")))*INDEX(Inputs!$K$5:$AJ$110,0,MATCH(AC$2,Inputs!$K$4:$AJ$4,0)))))</f>
        <v>0</v>
      </c>
      <c r="AD37" s="6">
        <f>IF(ISNA(MATCH(AD$2,Inputs!$K$4:$AJ$4,0)),NA(),IF(SUMPRODUCT((Inputs!$A$5:$A$110=$B37)*ISNUMBER(INDEX(Inputs!$K$5:$AJ$110,0,MATCH(AD$2,Inputs!$K$4:$AJ$4,0))))+SUMPRODUCT((Inputs!$C$5:$C$110=$B37)*ISNUMBER(INDEX(Inputs!$K$5:$AJ$110,0,MATCH(AD$2,Inputs!$K$4:$AJ$4,0))))+SUMPRODUCT((Inputs!$E$5:$E$110=$B37)*ISNUMBER(INDEX(Inputs!$K$5:$AJ$110,0,MATCH(AD$2,Inputs!$K$4:$AJ$4,0))))=0,NA(),SUMPRODUCT((Inputs!$A$5:$A$110=$B37)*Inputs!$B$5:$B$110*(((Inputs!$G$5:$G$110="moeda")+(Inputs!$G$5:$G$110="acoes"))*Inputs!$B$1+((Inputs!$G$5:$G$110&lt;&gt;"moeda")*(Inputs!$G$5:$G$110&lt;&gt;"acoes")))*INDEX(Inputs!$K$5:$AJ$110,0,MATCH(AD$2,Inputs!$K$4:$AJ$4,0)))+SUMPRODUCT((Inputs!$C$5:$C$110=$B37)*Inputs!$D$5:$D$110*(((Inputs!$G$5:$G$110="moeda")+(Inputs!$G$5:$G$110="acoes"))*Inputs!$B$1+((Inputs!$G$5:$G$110&lt;&gt;"moeda")*(Inputs!$G$5:$G$110&lt;&gt;"acoes")))*INDEX(Inputs!$K$5:$AJ$110,0,MATCH(AD$2,Inputs!$K$4:$AJ$4,0)))+SUMPRODUCT((Inputs!$E$5:$E$110=$B37)*Inputs!$F$5:$F$110*(((Inputs!$G$5:$G$110="moeda")+(Inputs!$G$5:$G$110="acoes"))*Inputs!$B$1+((Inputs!$G$5:$G$110&lt;&gt;"moeda")*(Inputs!$G$5:$G$110&lt;&gt;"acoes")))*INDEX(Inputs!$K$5:$AJ$110,0,MATCH(AD$2,Inputs!$K$4:$AJ$4,0)))))</f>
        <v>0</v>
      </c>
      <c r="AE37" s="6" t="e">
        <f>IF(ISNA(MATCH(AE$2,Inputs!$K$4:$AJ$4,0)),NA(),IF(SUMPRODUCT((Inputs!$A$5:$A$110=$B37)*ISNUMBER(INDEX(Inputs!$K$5:$AJ$110,0,MATCH(AE$2,Inputs!$K$4:$AJ$4,0))))+SUMPRODUCT((Inputs!$C$5:$C$110=$B37)*ISNUMBER(INDEX(Inputs!$K$5:$AJ$110,0,MATCH(AE$2,Inputs!$K$4:$AJ$4,0))))+SUMPRODUCT((Inputs!$E$5:$E$110=$B37)*ISNUMBER(INDEX(Inputs!$K$5:$AJ$110,0,MATCH(AE$2,Inputs!$K$4:$AJ$4,0))))=0,NA(),SUMPRODUCT((Inputs!$A$5:$A$110=$B37)*Inputs!$B$5:$B$110*(((Inputs!$G$5:$G$110="moeda")+(Inputs!$G$5:$G$110="acoes"))*Inputs!$B$1+((Inputs!$G$5:$G$110&lt;&gt;"moeda")*(Inputs!$G$5:$G$110&lt;&gt;"acoes")))*INDEX(Inputs!$K$5:$AJ$110,0,MATCH(AE$2,Inputs!$K$4:$AJ$4,0)))+SUMPRODUCT((Inputs!$C$5:$C$110=$B37)*Inputs!$D$5:$D$110*(((Inputs!$G$5:$G$110="moeda")+(Inputs!$G$5:$G$110="acoes"))*Inputs!$B$1+((Inputs!$G$5:$G$110&lt;&gt;"moeda")*(Inputs!$G$5:$G$110&lt;&gt;"acoes")))*INDEX(Inputs!$K$5:$AJ$110,0,MATCH(AE$2,Inputs!$K$4:$AJ$4,0)))+SUMPRODUCT((Inputs!$E$5:$E$110=$B37)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7" s="6" t="e">
        <f>IF(ISNA(MATCH(AF$2,Inputs!$K$4:$AJ$4,0)),NA(),IF(SUMPRODUCT((Inputs!$A$5:$A$110=$B37)*ISNUMBER(INDEX(Inputs!$K$5:$AJ$110,0,MATCH(AF$2,Inputs!$K$4:$AJ$4,0))))+SUMPRODUCT((Inputs!$C$5:$C$110=$B37)*ISNUMBER(INDEX(Inputs!$K$5:$AJ$110,0,MATCH(AF$2,Inputs!$K$4:$AJ$4,0))))+SUMPRODUCT((Inputs!$E$5:$E$110=$B37)*ISNUMBER(INDEX(Inputs!$K$5:$AJ$110,0,MATCH(AF$2,Inputs!$K$4:$AJ$4,0))))=0,NA(),SUMPRODUCT((Inputs!$A$5:$A$110=$B37)*Inputs!$B$5:$B$110*(((Inputs!$G$5:$G$110="moeda")+(Inputs!$G$5:$G$110="acoes"))*Inputs!$B$1+((Inputs!$G$5:$G$110&lt;&gt;"moeda")*(Inputs!$G$5:$G$110&lt;&gt;"acoes")))*INDEX(Inputs!$K$5:$AJ$110,0,MATCH(AF$2,Inputs!$K$4:$AJ$4,0)))+SUMPRODUCT((Inputs!$C$5:$C$110=$B37)*Inputs!$D$5:$D$110*(((Inputs!$G$5:$G$110="moeda")+(Inputs!$G$5:$G$110="acoes"))*Inputs!$B$1+((Inputs!$G$5:$G$110&lt;&gt;"moeda")*(Inputs!$G$5:$G$110&lt;&gt;"acoes")))*INDEX(Inputs!$K$5:$AJ$110,0,MATCH(AF$2,Inputs!$K$4:$AJ$4,0)))+SUMPRODUCT((Inputs!$E$5:$E$110=$B37)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7" s="3" t="e">
        <f>AF37</f>
        <v>#N/A</v>
      </c>
      <c r="AH37" s="6">
        <f>IF(ISNA(MATCH(AH$2,Inputs!$K$4:$AJ$4,0)),NA(),IF(SUMPRODUCT((Inputs!$A$5:$A$110=$B37)*ISNUMBER(INDEX(Inputs!$K$5:$AJ$110,0,MATCH(AH$2,Inputs!$K$4:$AJ$4,0))))+SUMPRODUCT((Inputs!$C$5:$C$110=$B37)*ISNUMBER(INDEX(Inputs!$K$5:$AJ$110,0,MATCH(AH$2,Inputs!$K$4:$AJ$4,0))))+SUMPRODUCT((Inputs!$E$5:$E$110=$B37)*ISNUMBER(INDEX(Inputs!$K$5:$AJ$110,0,MATCH(AH$2,Inputs!$K$4:$AJ$4,0))))=0,NA(),SUMPRODUCT((Inputs!$A$5:$A$110=$B37)*Inputs!$B$5:$B$110*(((Inputs!$G$5:$G$110="moeda")+(Inputs!$G$5:$G$110="acoes"))*Inputs!$B$1+((Inputs!$G$5:$G$110&lt;&gt;"moeda")*(Inputs!$G$5:$G$110&lt;&gt;"acoes")))*INDEX(Inputs!$K$5:$AJ$110,0,MATCH(AH$2,Inputs!$K$4:$AJ$4,0)))+SUMPRODUCT((Inputs!$C$5:$C$110=$B37)*Inputs!$D$5:$D$110*(((Inputs!$G$5:$G$110="moeda")+(Inputs!$G$5:$G$110="acoes"))*Inputs!$B$1+((Inputs!$G$5:$G$110&lt;&gt;"moeda")*(Inputs!$G$5:$G$110&lt;&gt;"acoes")))*INDEX(Inputs!$K$5:$AJ$110,0,MATCH(AH$2,Inputs!$K$4:$AJ$4,0)))+SUMPRODUCT((Inputs!$E$5:$E$110=$B37)*Inputs!$F$5:$F$110*(((Inputs!$G$5:$G$110="moeda")+(Inputs!$G$5:$G$110="acoes"))*Inputs!$B$1+((Inputs!$G$5:$G$110&lt;&gt;"moeda")*(Inputs!$G$5:$G$110&lt;&gt;"acoes")))*INDEX(Inputs!$K$5:$AJ$110,0,MATCH(AH$2,Inputs!$K$4:$AJ$4,0)))))</f>
        <v>0</v>
      </c>
      <c r="AI37" s="6">
        <f>IF(ISNA(MATCH(AI$2,Inputs!$K$4:$AJ$4,0)),NA(),IF(SUMPRODUCT((Inputs!$A$5:$A$110=$B37)*ISNUMBER(INDEX(Inputs!$K$5:$AJ$110,0,MATCH(AI$2,Inputs!$K$4:$AJ$4,0))))+SUMPRODUCT((Inputs!$C$5:$C$110=$B37)*ISNUMBER(INDEX(Inputs!$K$5:$AJ$110,0,MATCH(AI$2,Inputs!$K$4:$AJ$4,0))))+SUMPRODUCT((Inputs!$E$5:$E$110=$B37)*ISNUMBER(INDEX(Inputs!$K$5:$AJ$110,0,MATCH(AI$2,Inputs!$K$4:$AJ$4,0))))=0,NA(),SUMPRODUCT((Inputs!$A$5:$A$110=$B37)*Inputs!$B$5:$B$110*(((Inputs!$G$5:$G$110="moeda")+(Inputs!$G$5:$G$110="acoes"))*Inputs!$B$1+((Inputs!$G$5:$G$110&lt;&gt;"moeda")*(Inputs!$G$5:$G$110&lt;&gt;"acoes")))*INDEX(Inputs!$K$5:$AJ$110,0,MATCH(AI$2,Inputs!$K$4:$AJ$4,0)))+SUMPRODUCT((Inputs!$C$5:$C$110=$B37)*Inputs!$D$5:$D$110*(((Inputs!$G$5:$G$110="moeda")+(Inputs!$G$5:$G$110="acoes"))*Inputs!$B$1+((Inputs!$G$5:$G$110&lt;&gt;"moeda")*(Inputs!$G$5:$G$110&lt;&gt;"acoes")))*INDEX(Inputs!$K$5:$AJ$110,0,MATCH(AI$2,Inputs!$K$4:$AJ$4,0)))+SUMPRODUCT((Inputs!$E$5:$E$110=$B37)*Inputs!$F$5:$F$110*(((Inputs!$G$5:$G$110="moeda")+(Inputs!$G$5:$G$110="acoes"))*Inputs!$B$1+((Inputs!$G$5:$G$110&lt;&gt;"moeda")*(Inputs!$G$5:$G$110&lt;&gt;"acoes")))*INDEX(Inputs!$K$5:$AJ$110,0,MATCH(AI$2,Inputs!$K$4:$AJ$4,0)))))</f>
        <v>0</v>
      </c>
      <c r="AJ37" s="6">
        <f>IF(ISNA(MATCH(AJ$2,Inputs!$K$4:$AJ$4,0)),NA(),IF(SUMPRODUCT((Inputs!$A$5:$A$110=$B37)*ISNUMBER(INDEX(Inputs!$K$5:$AJ$110,0,MATCH(AJ$2,Inputs!$K$4:$AJ$4,0))))+SUMPRODUCT((Inputs!$C$5:$C$110=$B37)*ISNUMBER(INDEX(Inputs!$K$5:$AJ$110,0,MATCH(AJ$2,Inputs!$K$4:$AJ$4,0))))+SUMPRODUCT((Inputs!$E$5:$E$110=$B37)*ISNUMBER(INDEX(Inputs!$K$5:$AJ$110,0,MATCH(AJ$2,Inputs!$K$4:$AJ$4,0))))=0,NA(),SUMPRODUCT((Inputs!$A$5:$A$110=$B37)*Inputs!$B$5:$B$110*(((Inputs!$G$5:$G$110="moeda")+(Inputs!$G$5:$G$110="acoes"))*Inputs!$B$1+((Inputs!$G$5:$G$110&lt;&gt;"moeda")*(Inputs!$G$5:$G$110&lt;&gt;"acoes")))*INDEX(Inputs!$K$5:$AJ$110,0,MATCH(AJ$2,Inputs!$K$4:$AJ$4,0)))+SUMPRODUCT((Inputs!$C$5:$C$110=$B37)*Inputs!$D$5:$D$110*(((Inputs!$G$5:$G$110="moeda")+(Inputs!$G$5:$G$110="acoes"))*Inputs!$B$1+((Inputs!$G$5:$G$110&lt;&gt;"moeda")*(Inputs!$G$5:$G$110&lt;&gt;"acoes")))*INDEX(Inputs!$K$5:$AJ$110,0,MATCH(AJ$2,Inputs!$K$4:$AJ$4,0)))+SUMPRODUCT((Inputs!$E$5:$E$110=$B37)*Inputs!$F$5:$F$110*(((Inputs!$G$5:$G$110="moeda")+(Inputs!$G$5:$G$110="acoes"))*Inputs!$B$1+((Inputs!$G$5:$G$110&lt;&gt;"moeda")*(Inputs!$G$5:$G$110&lt;&gt;"acoes")))*INDEX(Inputs!$K$5:$AJ$110,0,MATCH(AJ$2,Inputs!$K$4:$AJ$4,0)))))</f>
        <v>0</v>
      </c>
      <c r="AK37" s="6">
        <f>IF(ISNA(MATCH(AK$2,Inputs!$K$4:$AJ$4,0)),NA(),IF(SUMPRODUCT((Inputs!$A$5:$A$110=$B37)*ISNUMBER(INDEX(Inputs!$K$5:$AJ$110,0,MATCH(AK$2,Inputs!$K$4:$AJ$4,0))))+SUMPRODUCT((Inputs!$C$5:$C$110=$B37)*ISNUMBER(INDEX(Inputs!$K$5:$AJ$110,0,MATCH(AK$2,Inputs!$K$4:$AJ$4,0))))+SUMPRODUCT((Inputs!$E$5:$E$110=$B37)*ISNUMBER(INDEX(Inputs!$K$5:$AJ$110,0,MATCH(AK$2,Inputs!$K$4:$AJ$4,0))))=0,NA(),SUMPRODUCT((Inputs!$A$5:$A$110=$B37)*Inputs!$B$5:$B$110*(((Inputs!$G$5:$G$110="moeda")+(Inputs!$G$5:$G$110="acoes"))*Inputs!$B$1+((Inputs!$G$5:$G$110&lt;&gt;"moeda")*(Inputs!$G$5:$G$110&lt;&gt;"acoes")))*INDEX(Inputs!$K$5:$AJ$110,0,MATCH(AK$2,Inputs!$K$4:$AJ$4,0)))+SUMPRODUCT((Inputs!$C$5:$C$110=$B37)*Inputs!$D$5:$D$110*(((Inputs!$G$5:$G$110="moeda")+(Inputs!$G$5:$G$110="acoes"))*Inputs!$B$1+((Inputs!$G$5:$G$110&lt;&gt;"moeda")*(Inputs!$G$5:$G$110&lt;&gt;"acoes")))*INDEX(Inputs!$K$5:$AJ$110,0,MATCH(AK$2,Inputs!$K$4:$AJ$4,0)))+SUMPRODUCT((Inputs!$E$5:$E$110=$B37)*Inputs!$F$5:$F$110*(((Inputs!$G$5:$G$110="moeda")+(Inputs!$G$5:$G$110="acoes"))*Inputs!$B$1+((Inputs!$G$5:$G$110&lt;&gt;"moeda")*(Inputs!$G$5:$G$110&lt;&gt;"acoes")))*INDEX(Inputs!$K$5:$AJ$110,0,MATCH(AK$2,Inputs!$K$4:$AJ$4,0)))))</f>
        <v>0</v>
      </c>
      <c r="AL37" s="3">
        <f>AK37</f>
        <v>0</v>
      </c>
    </row>
    <row r="38">
      <c r="B38" s="46" t="n">
        <v>33</v>
      </c>
      <c r="C38" s="26" t="inlineStr">
        <is>
          <t>Deferred income taxes</t>
        </is>
      </c>
      <c r="D38" s="6">
        <f>IF(ISNA(MATCH(D$2,Inputs!$K$4:$AJ$4,0)),NA(),IF(SUMPRODUCT((Inputs!$A$5:$A$110=$B38)*ISNUMBER(INDEX(Inputs!$K$5:$AJ$110,0,MATCH(D$2,Inputs!$K$4:$AJ$4,0))))+SUMPRODUCT((Inputs!$C$5:$C$110=$B38)*ISNUMBER(INDEX(Inputs!$K$5:$AJ$110,0,MATCH(D$2,Inputs!$K$4:$AJ$4,0))))+SUMPRODUCT((Inputs!$E$5:$E$110=$B38)*ISNUMBER(INDEX(Inputs!$K$5:$AJ$110,0,MATCH(D$2,Inputs!$K$4:$AJ$4,0))))=0,NA(),SUMPRODUCT((Inputs!$A$5:$A$110=$B38)*Inputs!$B$5:$B$110*(((Inputs!$G$5:$G$110="moeda")+(Inputs!$G$5:$G$110="acoes"))*Inputs!$B$1+((Inputs!$G$5:$G$110&lt;&gt;"moeda")*(Inputs!$G$5:$G$110&lt;&gt;"acoes")))*INDEX(Inputs!$K$5:$AJ$110,0,MATCH(D$2,Inputs!$K$4:$AJ$4,0)))+SUMPRODUCT((Inputs!$C$5:$C$110=$B38)*Inputs!$D$5:$D$110*(((Inputs!$G$5:$G$110="moeda")+(Inputs!$G$5:$G$110="acoes"))*Inputs!$B$1+((Inputs!$G$5:$G$110&lt;&gt;"moeda")*(Inputs!$G$5:$G$110&lt;&gt;"acoes")))*INDEX(Inputs!$K$5:$AJ$110,0,MATCH(D$2,Inputs!$K$4:$AJ$4,0)))+SUMPRODUCT((Inputs!$E$5:$E$110=$B38)*Inputs!$F$5:$F$110*(((Inputs!$G$5:$G$110="moeda")+(Inputs!$G$5:$G$110="acoes"))*Inputs!$B$1+((Inputs!$G$5:$G$110&lt;&gt;"moeda")*(Inputs!$G$5:$G$110&lt;&gt;"acoes")))*INDEX(Inputs!$K$5:$AJ$110,0,MATCH(D$2,Inputs!$K$4:$AJ$4,0)))))</f>
        <v>0</v>
      </c>
      <c r="E38" s="6">
        <f>IF(ISNA(MATCH(E$2,Inputs!$K$4:$AJ$4,0)),NA(),IF(SUMPRODUCT((Inputs!$A$5:$A$110=$B38)*ISNUMBER(INDEX(Inputs!$K$5:$AJ$110,0,MATCH(E$2,Inputs!$K$4:$AJ$4,0))))+SUMPRODUCT((Inputs!$C$5:$C$110=$B38)*ISNUMBER(INDEX(Inputs!$K$5:$AJ$110,0,MATCH(E$2,Inputs!$K$4:$AJ$4,0))))+SUMPRODUCT((Inputs!$E$5:$E$110=$B38)*ISNUMBER(INDEX(Inputs!$K$5:$AJ$110,0,MATCH(E$2,Inputs!$K$4:$AJ$4,0))))=0,NA(),SUMPRODUCT((Inputs!$A$5:$A$110=$B38)*Inputs!$B$5:$B$110*(((Inputs!$G$5:$G$110="moeda")+(Inputs!$G$5:$G$110="acoes"))*Inputs!$B$1+((Inputs!$G$5:$G$110&lt;&gt;"moeda")*(Inputs!$G$5:$G$110&lt;&gt;"acoes")))*INDEX(Inputs!$K$5:$AJ$110,0,MATCH(E$2,Inputs!$K$4:$AJ$4,0)))+SUMPRODUCT((Inputs!$C$5:$C$110=$B38)*Inputs!$D$5:$D$110*(((Inputs!$G$5:$G$110="moeda")+(Inputs!$G$5:$G$110="acoes"))*Inputs!$B$1+((Inputs!$G$5:$G$110&lt;&gt;"moeda")*(Inputs!$G$5:$G$110&lt;&gt;"acoes")))*INDEX(Inputs!$K$5:$AJ$110,0,MATCH(E$2,Inputs!$K$4:$AJ$4,0)))+SUMPRODUCT((Inputs!$E$5:$E$110=$B38)*Inputs!$F$5:$F$110*(((Inputs!$G$5:$G$110="moeda")+(Inputs!$G$5:$G$110="acoes"))*Inputs!$B$1+((Inputs!$G$5:$G$110&lt;&gt;"moeda")*(Inputs!$G$5:$G$110&lt;&gt;"acoes")))*INDEX(Inputs!$K$5:$AJ$110,0,MATCH(E$2,Inputs!$K$4:$AJ$4,0)))))</f>
        <v>0</v>
      </c>
      <c r="F38" s="6">
        <f>IF(ISNA(MATCH(F$2,Inputs!$K$4:$AJ$4,0)),NA(),IF(SUMPRODUCT((Inputs!$A$5:$A$110=$B38)*ISNUMBER(INDEX(Inputs!$K$5:$AJ$110,0,MATCH(F$2,Inputs!$K$4:$AJ$4,0))))+SUMPRODUCT((Inputs!$C$5:$C$110=$B38)*ISNUMBER(INDEX(Inputs!$K$5:$AJ$110,0,MATCH(F$2,Inputs!$K$4:$AJ$4,0))))+SUMPRODUCT((Inputs!$E$5:$E$110=$B38)*ISNUMBER(INDEX(Inputs!$K$5:$AJ$110,0,MATCH(F$2,Inputs!$K$4:$AJ$4,0))))=0,NA(),SUMPRODUCT((Inputs!$A$5:$A$110=$B38)*Inputs!$B$5:$B$110*(((Inputs!$G$5:$G$110="moeda")+(Inputs!$G$5:$G$110="acoes"))*Inputs!$B$1+((Inputs!$G$5:$G$110&lt;&gt;"moeda")*(Inputs!$G$5:$G$110&lt;&gt;"acoes")))*INDEX(Inputs!$K$5:$AJ$110,0,MATCH(F$2,Inputs!$K$4:$AJ$4,0)))+SUMPRODUCT((Inputs!$C$5:$C$110=$B38)*Inputs!$D$5:$D$110*(((Inputs!$G$5:$G$110="moeda")+(Inputs!$G$5:$G$110="acoes"))*Inputs!$B$1+((Inputs!$G$5:$G$110&lt;&gt;"moeda")*(Inputs!$G$5:$G$110&lt;&gt;"acoes")))*INDEX(Inputs!$K$5:$AJ$110,0,MATCH(F$2,Inputs!$K$4:$AJ$4,0)))+SUMPRODUCT((Inputs!$E$5:$E$110=$B38)*Inputs!$F$5:$F$110*(((Inputs!$G$5:$G$110="moeda")+(Inputs!$G$5:$G$110="acoes"))*Inputs!$B$1+((Inputs!$G$5:$G$110&lt;&gt;"moeda")*(Inputs!$G$5:$G$110&lt;&gt;"acoes")))*INDEX(Inputs!$K$5:$AJ$110,0,MATCH(F$2,Inputs!$K$4:$AJ$4,0)))))</f>
        <v>0</v>
      </c>
      <c r="G38" s="6">
        <f>IF(ISNA(MATCH(G$2,Inputs!$K$4:$AJ$4,0)),NA(),IF(SUMPRODUCT((Inputs!$A$5:$A$110=$B38)*ISNUMBER(INDEX(Inputs!$K$5:$AJ$110,0,MATCH(G$2,Inputs!$K$4:$AJ$4,0))))+SUMPRODUCT((Inputs!$C$5:$C$110=$B38)*ISNUMBER(INDEX(Inputs!$K$5:$AJ$110,0,MATCH(G$2,Inputs!$K$4:$AJ$4,0))))+SUMPRODUCT((Inputs!$E$5:$E$110=$B38)*ISNUMBER(INDEX(Inputs!$K$5:$AJ$110,0,MATCH(G$2,Inputs!$K$4:$AJ$4,0))))=0,NA(),SUMPRODUCT((Inputs!$A$5:$A$110=$B38)*Inputs!$B$5:$B$110*(((Inputs!$G$5:$G$110="moeda")+(Inputs!$G$5:$G$110="acoes"))*Inputs!$B$1+((Inputs!$G$5:$G$110&lt;&gt;"moeda")*(Inputs!$G$5:$G$110&lt;&gt;"acoes")))*INDEX(Inputs!$K$5:$AJ$110,0,MATCH(G$2,Inputs!$K$4:$AJ$4,0)))+SUMPRODUCT((Inputs!$C$5:$C$110=$B38)*Inputs!$D$5:$D$110*(((Inputs!$G$5:$G$110="moeda")+(Inputs!$G$5:$G$110="acoes"))*Inputs!$B$1+((Inputs!$G$5:$G$110&lt;&gt;"moeda")*(Inputs!$G$5:$G$110&lt;&gt;"acoes")))*INDEX(Inputs!$K$5:$AJ$110,0,MATCH(G$2,Inputs!$K$4:$AJ$4,0)))+SUMPRODUCT((Inputs!$E$5:$E$110=$B38)*Inputs!$F$5:$F$110*(((Inputs!$G$5:$G$110="moeda")+(Inputs!$G$5:$G$110="acoes"))*Inputs!$B$1+((Inputs!$G$5:$G$110&lt;&gt;"moeda")*(Inputs!$G$5:$G$110&lt;&gt;"acoes")))*INDEX(Inputs!$K$5:$AJ$110,0,MATCH(G$2,Inputs!$K$4:$AJ$4,0)))))</f>
        <v>0</v>
      </c>
      <c r="H38" s="3">
        <f>G38</f>
        <v>0</v>
      </c>
      <c r="I38" s="6">
        <f>IF(ISNA(MATCH(I$2,Inputs!$K$4:$AJ$4,0)),NA(),IF(SUMPRODUCT((Inputs!$A$5:$A$110=$B38)*ISNUMBER(INDEX(Inputs!$K$5:$AJ$110,0,MATCH(I$2,Inputs!$K$4:$AJ$4,0))))+SUMPRODUCT((Inputs!$C$5:$C$110=$B38)*ISNUMBER(INDEX(Inputs!$K$5:$AJ$110,0,MATCH(I$2,Inputs!$K$4:$AJ$4,0))))+SUMPRODUCT((Inputs!$E$5:$E$110=$B38)*ISNUMBER(INDEX(Inputs!$K$5:$AJ$110,0,MATCH(I$2,Inputs!$K$4:$AJ$4,0))))=0,NA(),SUMPRODUCT((Inputs!$A$5:$A$110=$B38)*Inputs!$B$5:$B$110*(((Inputs!$G$5:$G$110="moeda")+(Inputs!$G$5:$G$110="acoes"))*Inputs!$B$1+((Inputs!$G$5:$G$110&lt;&gt;"moeda")*(Inputs!$G$5:$G$110&lt;&gt;"acoes")))*INDEX(Inputs!$K$5:$AJ$110,0,MATCH(I$2,Inputs!$K$4:$AJ$4,0)))+SUMPRODUCT((Inputs!$C$5:$C$110=$B38)*Inputs!$D$5:$D$110*(((Inputs!$G$5:$G$110="moeda")+(Inputs!$G$5:$G$110="acoes"))*Inputs!$B$1+((Inputs!$G$5:$G$110&lt;&gt;"moeda")*(Inputs!$G$5:$G$110&lt;&gt;"acoes")))*INDEX(Inputs!$K$5:$AJ$110,0,MATCH(I$2,Inputs!$K$4:$AJ$4,0)))+SUMPRODUCT((Inputs!$E$5:$E$110=$B38)*Inputs!$F$5:$F$110*(((Inputs!$G$5:$G$110="moeda")+(Inputs!$G$5:$G$110="acoes"))*Inputs!$B$1+((Inputs!$G$5:$G$110&lt;&gt;"moeda")*(Inputs!$G$5:$G$110&lt;&gt;"acoes")))*INDEX(Inputs!$K$5:$AJ$110,0,MATCH(I$2,Inputs!$K$4:$AJ$4,0)))))</f>
        <v>0</v>
      </c>
      <c r="J38" s="6">
        <f>IF(ISNA(MATCH(J$2,Inputs!$K$4:$AJ$4,0)),NA(),IF(SUMPRODUCT((Inputs!$A$5:$A$110=$B38)*ISNUMBER(INDEX(Inputs!$K$5:$AJ$110,0,MATCH(J$2,Inputs!$K$4:$AJ$4,0))))+SUMPRODUCT((Inputs!$C$5:$C$110=$B38)*ISNUMBER(INDEX(Inputs!$K$5:$AJ$110,0,MATCH(J$2,Inputs!$K$4:$AJ$4,0))))+SUMPRODUCT((Inputs!$E$5:$E$110=$B38)*ISNUMBER(INDEX(Inputs!$K$5:$AJ$110,0,MATCH(J$2,Inputs!$K$4:$AJ$4,0))))=0,NA(),SUMPRODUCT((Inputs!$A$5:$A$110=$B38)*Inputs!$B$5:$B$110*(((Inputs!$G$5:$G$110="moeda")+(Inputs!$G$5:$G$110="acoes"))*Inputs!$B$1+((Inputs!$G$5:$G$110&lt;&gt;"moeda")*(Inputs!$G$5:$G$110&lt;&gt;"acoes")))*INDEX(Inputs!$K$5:$AJ$110,0,MATCH(J$2,Inputs!$K$4:$AJ$4,0)))+SUMPRODUCT((Inputs!$C$5:$C$110=$B38)*Inputs!$D$5:$D$110*(((Inputs!$G$5:$G$110="moeda")+(Inputs!$G$5:$G$110="acoes"))*Inputs!$B$1+((Inputs!$G$5:$G$110&lt;&gt;"moeda")*(Inputs!$G$5:$G$110&lt;&gt;"acoes")))*INDEX(Inputs!$K$5:$AJ$110,0,MATCH(J$2,Inputs!$K$4:$AJ$4,0)))+SUMPRODUCT((Inputs!$E$5:$E$110=$B38)*Inputs!$F$5:$F$110*(((Inputs!$G$5:$G$110="moeda")+(Inputs!$G$5:$G$110="acoes"))*Inputs!$B$1+((Inputs!$G$5:$G$110&lt;&gt;"moeda")*(Inputs!$G$5:$G$110&lt;&gt;"acoes")))*INDEX(Inputs!$K$5:$AJ$110,0,MATCH(J$2,Inputs!$K$4:$AJ$4,0)))))</f>
        <v>0</v>
      </c>
      <c r="K38" s="6">
        <f>IF(ISNA(MATCH(K$2,Inputs!$K$4:$AJ$4,0)),NA(),IF(SUMPRODUCT((Inputs!$A$5:$A$110=$B38)*ISNUMBER(INDEX(Inputs!$K$5:$AJ$110,0,MATCH(K$2,Inputs!$K$4:$AJ$4,0))))+SUMPRODUCT((Inputs!$C$5:$C$110=$B38)*ISNUMBER(INDEX(Inputs!$K$5:$AJ$110,0,MATCH(K$2,Inputs!$K$4:$AJ$4,0))))+SUMPRODUCT((Inputs!$E$5:$E$110=$B38)*ISNUMBER(INDEX(Inputs!$K$5:$AJ$110,0,MATCH(K$2,Inputs!$K$4:$AJ$4,0))))=0,NA(),SUMPRODUCT((Inputs!$A$5:$A$110=$B38)*Inputs!$B$5:$B$110*(((Inputs!$G$5:$G$110="moeda")+(Inputs!$G$5:$G$110="acoes"))*Inputs!$B$1+((Inputs!$G$5:$G$110&lt;&gt;"moeda")*(Inputs!$G$5:$G$110&lt;&gt;"acoes")))*INDEX(Inputs!$K$5:$AJ$110,0,MATCH(K$2,Inputs!$K$4:$AJ$4,0)))+SUMPRODUCT((Inputs!$C$5:$C$110=$B38)*Inputs!$D$5:$D$110*(((Inputs!$G$5:$G$110="moeda")+(Inputs!$G$5:$G$110="acoes"))*Inputs!$B$1+((Inputs!$G$5:$G$110&lt;&gt;"moeda")*(Inputs!$G$5:$G$110&lt;&gt;"acoes")))*INDEX(Inputs!$K$5:$AJ$110,0,MATCH(K$2,Inputs!$K$4:$AJ$4,0)))+SUMPRODUCT((Inputs!$E$5:$E$110=$B38)*Inputs!$F$5:$F$110*(((Inputs!$G$5:$G$110="moeda")+(Inputs!$G$5:$G$110="acoes"))*Inputs!$B$1+((Inputs!$G$5:$G$110&lt;&gt;"moeda")*(Inputs!$G$5:$G$110&lt;&gt;"acoes")))*INDEX(Inputs!$K$5:$AJ$110,0,MATCH(K$2,Inputs!$K$4:$AJ$4,0)))))</f>
        <v>0</v>
      </c>
      <c r="L38" s="6">
        <f>IF(ISNA(MATCH(L$2,Inputs!$K$4:$AJ$4,0)),NA(),IF(SUMPRODUCT((Inputs!$A$5:$A$110=$B38)*ISNUMBER(INDEX(Inputs!$K$5:$AJ$110,0,MATCH(L$2,Inputs!$K$4:$AJ$4,0))))+SUMPRODUCT((Inputs!$C$5:$C$110=$B38)*ISNUMBER(INDEX(Inputs!$K$5:$AJ$110,0,MATCH(L$2,Inputs!$K$4:$AJ$4,0))))+SUMPRODUCT((Inputs!$E$5:$E$110=$B38)*ISNUMBER(INDEX(Inputs!$K$5:$AJ$110,0,MATCH(L$2,Inputs!$K$4:$AJ$4,0))))=0,NA(),SUMPRODUCT((Inputs!$A$5:$A$110=$B38)*Inputs!$B$5:$B$110*(((Inputs!$G$5:$G$110="moeda")+(Inputs!$G$5:$G$110="acoes"))*Inputs!$B$1+((Inputs!$G$5:$G$110&lt;&gt;"moeda")*(Inputs!$G$5:$G$110&lt;&gt;"acoes")))*INDEX(Inputs!$K$5:$AJ$110,0,MATCH(L$2,Inputs!$K$4:$AJ$4,0)))+SUMPRODUCT((Inputs!$C$5:$C$110=$B38)*Inputs!$D$5:$D$110*(((Inputs!$G$5:$G$110="moeda")+(Inputs!$G$5:$G$110="acoes"))*Inputs!$B$1+((Inputs!$G$5:$G$110&lt;&gt;"moeda")*(Inputs!$G$5:$G$110&lt;&gt;"acoes")))*INDEX(Inputs!$K$5:$AJ$110,0,MATCH(L$2,Inputs!$K$4:$AJ$4,0)))+SUMPRODUCT((Inputs!$E$5:$E$110=$B38)*Inputs!$F$5:$F$110*(((Inputs!$G$5:$G$110="moeda")+(Inputs!$G$5:$G$110="acoes"))*Inputs!$B$1+((Inputs!$G$5:$G$110&lt;&gt;"moeda")*(Inputs!$G$5:$G$110&lt;&gt;"acoes")))*INDEX(Inputs!$K$5:$AJ$110,0,MATCH(L$2,Inputs!$K$4:$AJ$4,0)))))</f>
        <v>0</v>
      </c>
      <c r="M38" s="3">
        <f>L38</f>
        <v>0</v>
      </c>
      <c r="N38" s="6">
        <f>IF(ISNA(MATCH(N$2,Inputs!$K$4:$AJ$4,0)),NA(),IF(SUMPRODUCT((Inputs!$A$5:$A$110=$B38)*ISNUMBER(INDEX(Inputs!$K$5:$AJ$110,0,MATCH(N$2,Inputs!$K$4:$AJ$4,0))))+SUMPRODUCT((Inputs!$C$5:$C$110=$B38)*ISNUMBER(INDEX(Inputs!$K$5:$AJ$110,0,MATCH(N$2,Inputs!$K$4:$AJ$4,0))))+SUMPRODUCT((Inputs!$E$5:$E$110=$B38)*ISNUMBER(INDEX(Inputs!$K$5:$AJ$110,0,MATCH(N$2,Inputs!$K$4:$AJ$4,0))))=0,NA(),SUMPRODUCT((Inputs!$A$5:$A$110=$B38)*Inputs!$B$5:$B$110*(((Inputs!$G$5:$G$110="moeda")+(Inputs!$G$5:$G$110="acoes"))*Inputs!$B$1+((Inputs!$G$5:$G$110&lt;&gt;"moeda")*(Inputs!$G$5:$G$110&lt;&gt;"acoes")))*INDEX(Inputs!$K$5:$AJ$110,0,MATCH(N$2,Inputs!$K$4:$AJ$4,0)))+SUMPRODUCT((Inputs!$C$5:$C$110=$B38)*Inputs!$D$5:$D$110*(((Inputs!$G$5:$G$110="moeda")+(Inputs!$G$5:$G$110="acoes"))*Inputs!$B$1+((Inputs!$G$5:$G$110&lt;&gt;"moeda")*(Inputs!$G$5:$G$110&lt;&gt;"acoes")))*INDEX(Inputs!$K$5:$AJ$110,0,MATCH(N$2,Inputs!$K$4:$AJ$4,0)))+SUMPRODUCT((Inputs!$E$5:$E$110=$B38)*Inputs!$F$5:$F$110*(((Inputs!$G$5:$G$110="moeda")+(Inputs!$G$5:$G$110="acoes"))*Inputs!$B$1+((Inputs!$G$5:$G$110&lt;&gt;"moeda")*(Inputs!$G$5:$G$110&lt;&gt;"acoes")))*INDEX(Inputs!$K$5:$AJ$110,0,MATCH(N$2,Inputs!$K$4:$AJ$4,0)))))</f>
        <v>0</v>
      </c>
      <c r="O38" s="6">
        <f>IF(ISNA(MATCH(O$2,Inputs!$K$4:$AJ$4,0)),NA(),IF(SUMPRODUCT((Inputs!$A$5:$A$110=$B38)*ISNUMBER(INDEX(Inputs!$K$5:$AJ$110,0,MATCH(O$2,Inputs!$K$4:$AJ$4,0))))+SUMPRODUCT((Inputs!$C$5:$C$110=$B38)*ISNUMBER(INDEX(Inputs!$K$5:$AJ$110,0,MATCH(O$2,Inputs!$K$4:$AJ$4,0))))+SUMPRODUCT((Inputs!$E$5:$E$110=$B38)*ISNUMBER(INDEX(Inputs!$K$5:$AJ$110,0,MATCH(O$2,Inputs!$K$4:$AJ$4,0))))=0,NA(),SUMPRODUCT((Inputs!$A$5:$A$110=$B38)*Inputs!$B$5:$B$110*(((Inputs!$G$5:$G$110="moeda")+(Inputs!$G$5:$G$110="acoes"))*Inputs!$B$1+((Inputs!$G$5:$G$110&lt;&gt;"moeda")*(Inputs!$G$5:$G$110&lt;&gt;"acoes")))*INDEX(Inputs!$K$5:$AJ$110,0,MATCH(O$2,Inputs!$K$4:$AJ$4,0)))+SUMPRODUCT((Inputs!$C$5:$C$110=$B38)*Inputs!$D$5:$D$110*(((Inputs!$G$5:$G$110="moeda")+(Inputs!$G$5:$G$110="acoes"))*Inputs!$B$1+((Inputs!$G$5:$G$110&lt;&gt;"moeda")*(Inputs!$G$5:$G$110&lt;&gt;"acoes")))*INDEX(Inputs!$K$5:$AJ$110,0,MATCH(O$2,Inputs!$K$4:$AJ$4,0)))+SUMPRODUCT((Inputs!$E$5:$E$110=$B38)*Inputs!$F$5:$F$110*(((Inputs!$G$5:$G$110="moeda")+(Inputs!$G$5:$G$110="acoes"))*Inputs!$B$1+((Inputs!$G$5:$G$110&lt;&gt;"moeda")*(Inputs!$G$5:$G$110&lt;&gt;"acoes")))*INDEX(Inputs!$K$5:$AJ$110,0,MATCH(O$2,Inputs!$K$4:$AJ$4,0)))))</f>
        <v>0</v>
      </c>
      <c r="P38" s="6">
        <f>IF(ISNA(MATCH(P$2,Inputs!$K$4:$AJ$4,0)),NA(),IF(SUMPRODUCT((Inputs!$A$5:$A$110=$B38)*ISNUMBER(INDEX(Inputs!$K$5:$AJ$110,0,MATCH(P$2,Inputs!$K$4:$AJ$4,0))))+SUMPRODUCT((Inputs!$C$5:$C$110=$B38)*ISNUMBER(INDEX(Inputs!$K$5:$AJ$110,0,MATCH(P$2,Inputs!$K$4:$AJ$4,0))))+SUMPRODUCT((Inputs!$E$5:$E$110=$B38)*ISNUMBER(INDEX(Inputs!$K$5:$AJ$110,0,MATCH(P$2,Inputs!$K$4:$AJ$4,0))))=0,NA(),SUMPRODUCT((Inputs!$A$5:$A$110=$B38)*Inputs!$B$5:$B$110*(((Inputs!$G$5:$G$110="moeda")+(Inputs!$G$5:$G$110="acoes"))*Inputs!$B$1+((Inputs!$G$5:$G$110&lt;&gt;"moeda")*(Inputs!$G$5:$G$110&lt;&gt;"acoes")))*INDEX(Inputs!$K$5:$AJ$110,0,MATCH(P$2,Inputs!$K$4:$AJ$4,0)))+SUMPRODUCT((Inputs!$C$5:$C$110=$B38)*Inputs!$D$5:$D$110*(((Inputs!$G$5:$G$110="moeda")+(Inputs!$G$5:$G$110="acoes"))*Inputs!$B$1+((Inputs!$G$5:$G$110&lt;&gt;"moeda")*(Inputs!$G$5:$G$110&lt;&gt;"acoes")))*INDEX(Inputs!$K$5:$AJ$110,0,MATCH(P$2,Inputs!$K$4:$AJ$4,0)))+SUMPRODUCT((Inputs!$E$5:$E$110=$B38)*Inputs!$F$5:$F$110*(((Inputs!$G$5:$G$110="moeda")+(Inputs!$G$5:$G$110="acoes"))*Inputs!$B$1+((Inputs!$G$5:$G$110&lt;&gt;"moeda")*(Inputs!$G$5:$G$110&lt;&gt;"acoes")))*INDEX(Inputs!$K$5:$AJ$110,0,MATCH(P$2,Inputs!$K$4:$AJ$4,0)))))</f>
        <v>0</v>
      </c>
      <c r="Q38" s="6">
        <f>IF(ISNA(MATCH(Q$2,Inputs!$K$4:$AJ$4,0)),NA(),IF(SUMPRODUCT((Inputs!$A$5:$A$110=$B38)*ISNUMBER(INDEX(Inputs!$K$5:$AJ$110,0,MATCH(Q$2,Inputs!$K$4:$AJ$4,0))))+SUMPRODUCT((Inputs!$C$5:$C$110=$B38)*ISNUMBER(INDEX(Inputs!$K$5:$AJ$110,0,MATCH(Q$2,Inputs!$K$4:$AJ$4,0))))+SUMPRODUCT((Inputs!$E$5:$E$110=$B38)*ISNUMBER(INDEX(Inputs!$K$5:$AJ$110,0,MATCH(Q$2,Inputs!$K$4:$AJ$4,0))))=0,NA(),SUMPRODUCT((Inputs!$A$5:$A$110=$B38)*Inputs!$B$5:$B$110*(((Inputs!$G$5:$G$110="moeda")+(Inputs!$G$5:$G$110="acoes"))*Inputs!$B$1+((Inputs!$G$5:$G$110&lt;&gt;"moeda")*(Inputs!$G$5:$G$110&lt;&gt;"acoes")))*INDEX(Inputs!$K$5:$AJ$110,0,MATCH(Q$2,Inputs!$K$4:$AJ$4,0)))+SUMPRODUCT((Inputs!$C$5:$C$110=$B38)*Inputs!$D$5:$D$110*(((Inputs!$G$5:$G$110="moeda")+(Inputs!$G$5:$G$110="acoes"))*Inputs!$B$1+((Inputs!$G$5:$G$110&lt;&gt;"moeda")*(Inputs!$G$5:$G$110&lt;&gt;"acoes")))*INDEX(Inputs!$K$5:$AJ$110,0,MATCH(Q$2,Inputs!$K$4:$AJ$4,0)))+SUMPRODUCT((Inputs!$E$5:$E$110=$B38)*Inputs!$F$5:$F$110*(((Inputs!$G$5:$G$110="moeda")+(Inputs!$G$5:$G$110="acoes"))*Inputs!$B$1+((Inputs!$G$5:$G$110&lt;&gt;"moeda")*(Inputs!$G$5:$G$110&lt;&gt;"acoes")))*INDEX(Inputs!$K$5:$AJ$110,0,MATCH(Q$2,Inputs!$K$4:$AJ$4,0)))))</f>
        <v>0</v>
      </c>
      <c r="R38" s="3">
        <f>Q38</f>
        <v>0</v>
      </c>
      <c r="S38" s="6">
        <f>IF(ISNA(MATCH(S$2,Inputs!$K$4:$AJ$4,0)),NA(),IF(SUMPRODUCT((Inputs!$A$5:$A$110=$B38)*ISNUMBER(INDEX(Inputs!$K$5:$AJ$110,0,MATCH(S$2,Inputs!$K$4:$AJ$4,0))))+SUMPRODUCT((Inputs!$C$5:$C$110=$B38)*ISNUMBER(INDEX(Inputs!$K$5:$AJ$110,0,MATCH(S$2,Inputs!$K$4:$AJ$4,0))))+SUMPRODUCT((Inputs!$E$5:$E$110=$B38)*ISNUMBER(INDEX(Inputs!$K$5:$AJ$110,0,MATCH(S$2,Inputs!$K$4:$AJ$4,0))))=0,NA(),SUMPRODUCT((Inputs!$A$5:$A$110=$B38)*Inputs!$B$5:$B$110*(((Inputs!$G$5:$G$110="moeda")+(Inputs!$G$5:$G$110="acoes"))*Inputs!$B$1+((Inputs!$G$5:$G$110&lt;&gt;"moeda")*(Inputs!$G$5:$G$110&lt;&gt;"acoes")))*INDEX(Inputs!$K$5:$AJ$110,0,MATCH(S$2,Inputs!$K$4:$AJ$4,0)))+SUMPRODUCT((Inputs!$C$5:$C$110=$B38)*Inputs!$D$5:$D$110*(((Inputs!$G$5:$G$110="moeda")+(Inputs!$G$5:$G$110="acoes"))*Inputs!$B$1+((Inputs!$G$5:$G$110&lt;&gt;"moeda")*(Inputs!$G$5:$G$110&lt;&gt;"acoes")))*INDEX(Inputs!$K$5:$AJ$110,0,MATCH(S$2,Inputs!$K$4:$AJ$4,0)))+SUMPRODUCT((Inputs!$E$5:$E$110=$B38)*Inputs!$F$5:$F$110*(((Inputs!$G$5:$G$110="moeda")+(Inputs!$G$5:$G$110="acoes"))*Inputs!$B$1+((Inputs!$G$5:$G$110&lt;&gt;"moeda")*(Inputs!$G$5:$G$110&lt;&gt;"acoes")))*INDEX(Inputs!$K$5:$AJ$110,0,MATCH(S$2,Inputs!$K$4:$AJ$4,0)))))</f>
        <v>0</v>
      </c>
      <c r="T38" s="6">
        <f>IF(ISNA(MATCH(T$2,Inputs!$K$4:$AJ$4,0)),NA(),IF(SUMPRODUCT((Inputs!$A$5:$A$110=$B38)*ISNUMBER(INDEX(Inputs!$K$5:$AJ$110,0,MATCH(T$2,Inputs!$K$4:$AJ$4,0))))+SUMPRODUCT((Inputs!$C$5:$C$110=$B38)*ISNUMBER(INDEX(Inputs!$K$5:$AJ$110,0,MATCH(T$2,Inputs!$K$4:$AJ$4,0))))+SUMPRODUCT((Inputs!$E$5:$E$110=$B38)*ISNUMBER(INDEX(Inputs!$K$5:$AJ$110,0,MATCH(T$2,Inputs!$K$4:$AJ$4,0))))=0,NA(),SUMPRODUCT((Inputs!$A$5:$A$110=$B38)*Inputs!$B$5:$B$110*(((Inputs!$G$5:$G$110="moeda")+(Inputs!$G$5:$G$110="acoes"))*Inputs!$B$1+((Inputs!$G$5:$G$110&lt;&gt;"moeda")*(Inputs!$G$5:$G$110&lt;&gt;"acoes")))*INDEX(Inputs!$K$5:$AJ$110,0,MATCH(T$2,Inputs!$K$4:$AJ$4,0)))+SUMPRODUCT((Inputs!$C$5:$C$110=$B38)*Inputs!$D$5:$D$110*(((Inputs!$G$5:$G$110="moeda")+(Inputs!$G$5:$G$110="acoes"))*Inputs!$B$1+((Inputs!$G$5:$G$110&lt;&gt;"moeda")*(Inputs!$G$5:$G$110&lt;&gt;"acoes")))*INDEX(Inputs!$K$5:$AJ$110,0,MATCH(T$2,Inputs!$K$4:$AJ$4,0)))+SUMPRODUCT((Inputs!$E$5:$E$110=$B38)*Inputs!$F$5:$F$110*(((Inputs!$G$5:$G$110="moeda")+(Inputs!$G$5:$G$110="acoes"))*Inputs!$B$1+((Inputs!$G$5:$G$110&lt;&gt;"moeda")*(Inputs!$G$5:$G$110&lt;&gt;"acoes")))*INDEX(Inputs!$K$5:$AJ$110,0,MATCH(T$2,Inputs!$K$4:$AJ$4,0)))))</f>
        <v>0</v>
      </c>
      <c r="U38" s="6">
        <f>IF(ISNA(MATCH(U$2,Inputs!$K$4:$AJ$4,0)),NA(),IF(SUMPRODUCT((Inputs!$A$5:$A$110=$B38)*ISNUMBER(INDEX(Inputs!$K$5:$AJ$110,0,MATCH(U$2,Inputs!$K$4:$AJ$4,0))))+SUMPRODUCT((Inputs!$C$5:$C$110=$B38)*ISNUMBER(INDEX(Inputs!$K$5:$AJ$110,0,MATCH(U$2,Inputs!$K$4:$AJ$4,0))))+SUMPRODUCT((Inputs!$E$5:$E$110=$B38)*ISNUMBER(INDEX(Inputs!$K$5:$AJ$110,0,MATCH(U$2,Inputs!$K$4:$AJ$4,0))))=0,NA(),SUMPRODUCT((Inputs!$A$5:$A$110=$B38)*Inputs!$B$5:$B$110*(((Inputs!$G$5:$G$110="moeda")+(Inputs!$G$5:$G$110="acoes"))*Inputs!$B$1+((Inputs!$G$5:$G$110&lt;&gt;"moeda")*(Inputs!$G$5:$G$110&lt;&gt;"acoes")))*INDEX(Inputs!$K$5:$AJ$110,0,MATCH(U$2,Inputs!$K$4:$AJ$4,0)))+SUMPRODUCT((Inputs!$C$5:$C$110=$B38)*Inputs!$D$5:$D$110*(((Inputs!$G$5:$G$110="moeda")+(Inputs!$G$5:$G$110="acoes"))*Inputs!$B$1+((Inputs!$G$5:$G$110&lt;&gt;"moeda")*(Inputs!$G$5:$G$110&lt;&gt;"acoes")))*INDEX(Inputs!$K$5:$AJ$110,0,MATCH(U$2,Inputs!$K$4:$AJ$4,0)))+SUMPRODUCT((Inputs!$E$5:$E$110=$B38)*Inputs!$F$5:$F$110*(((Inputs!$G$5:$G$110="moeda")+(Inputs!$G$5:$G$110="acoes"))*Inputs!$B$1+((Inputs!$G$5:$G$110&lt;&gt;"moeda")*(Inputs!$G$5:$G$110&lt;&gt;"acoes")))*INDEX(Inputs!$K$5:$AJ$110,0,MATCH(U$2,Inputs!$K$4:$AJ$4,0)))))</f>
        <v>0</v>
      </c>
      <c r="V38" s="6">
        <f>IF(ISNA(MATCH(V$2,Inputs!$K$4:$AJ$4,0)),NA(),IF(SUMPRODUCT((Inputs!$A$5:$A$110=$B38)*ISNUMBER(INDEX(Inputs!$K$5:$AJ$110,0,MATCH(V$2,Inputs!$K$4:$AJ$4,0))))+SUMPRODUCT((Inputs!$C$5:$C$110=$B38)*ISNUMBER(INDEX(Inputs!$K$5:$AJ$110,0,MATCH(V$2,Inputs!$K$4:$AJ$4,0))))+SUMPRODUCT((Inputs!$E$5:$E$110=$B38)*ISNUMBER(INDEX(Inputs!$K$5:$AJ$110,0,MATCH(V$2,Inputs!$K$4:$AJ$4,0))))=0,NA(),SUMPRODUCT((Inputs!$A$5:$A$110=$B38)*Inputs!$B$5:$B$110*(((Inputs!$G$5:$G$110="moeda")+(Inputs!$G$5:$G$110="acoes"))*Inputs!$B$1+((Inputs!$G$5:$G$110&lt;&gt;"moeda")*(Inputs!$G$5:$G$110&lt;&gt;"acoes")))*INDEX(Inputs!$K$5:$AJ$110,0,MATCH(V$2,Inputs!$K$4:$AJ$4,0)))+SUMPRODUCT((Inputs!$C$5:$C$110=$B38)*Inputs!$D$5:$D$110*(((Inputs!$G$5:$G$110="moeda")+(Inputs!$G$5:$G$110="acoes"))*Inputs!$B$1+((Inputs!$G$5:$G$110&lt;&gt;"moeda")*(Inputs!$G$5:$G$110&lt;&gt;"acoes")))*INDEX(Inputs!$K$5:$AJ$110,0,MATCH(V$2,Inputs!$K$4:$AJ$4,0)))+SUMPRODUCT((Inputs!$E$5:$E$110=$B38)*Inputs!$F$5:$F$110*(((Inputs!$G$5:$G$110="moeda")+(Inputs!$G$5:$G$110="acoes"))*Inputs!$B$1+((Inputs!$G$5:$G$110&lt;&gt;"moeda")*(Inputs!$G$5:$G$110&lt;&gt;"acoes")))*INDEX(Inputs!$K$5:$AJ$110,0,MATCH(V$2,Inputs!$K$4:$AJ$4,0)))))</f>
        <v>0</v>
      </c>
      <c r="W38" s="3">
        <f>V38</f>
        <v>0</v>
      </c>
      <c r="X38" s="6">
        <f>IF(ISNA(MATCH(X$2,Inputs!$K$4:$AJ$4,0)),NA(),IF(SUMPRODUCT((Inputs!$A$5:$A$110=$B38)*ISNUMBER(INDEX(Inputs!$K$5:$AJ$110,0,MATCH(X$2,Inputs!$K$4:$AJ$4,0))))+SUMPRODUCT((Inputs!$C$5:$C$110=$B38)*ISNUMBER(INDEX(Inputs!$K$5:$AJ$110,0,MATCH(X$2,Inputs!$K$4:$AJ$4,0))))+SUMPRODUCT((Inputs!$E$5:$E$110=$B38)*ISNUMBER(INDEX(Inputs!$K$5:$AJ$110,0,MATCH(X$2,Inputs!$K$4:$AJ$4,0))))=0,NA(),SUMPRODUCT((Inputs!$A$5:$A$110=$B38)*Inputs!$B$5:$B$110*(((Inputs!$G$5:$G$110="moeda")+(Inputs!$G$5:$G$110="acoes"))*Inputs!$B$1+((Inputs!$G$5:$G$110&lt;&gt;"moeda")*(Inputs!$G$5:$G$110&lt;&gt;"acoes")))*INDEX(Inputs!$K$5:$AJ$110,0,MATCH(X$2,Inputs!$K$4:$AJ$4,0)))+SUMPRODUCT((Inputs!$C$5:$C$110=$B38)*Inputs!$D$5:$D$110*(((Inputs!$G$5:$G$110="moeda")+(Inputs!$G$5:$G$110="acoes"))*Inputs!$B$1+((Inputs!$G$5:$G$110&lt;&gt;"moeda")*(Inputs!$G$5:$G$110&lt;&gt;"acoes")))*INDEX(Inputs!$K$5:$AJ$110,0,MATCH(X$2,Inputs!$K$4:$AJ$4,0)))+SUMPRODUCT((Inputs!$E$5:$E$110=$B38)*Inputs!$F$5:$F$110*(((Inputs!$G$5:$G$110="moeda")+(Inputs!$G$5:$G$110="acoes"))*Inputs!$B$1+((Inputs!$G$5:$G$110&lt;&gt;"moeda")*(Inputs!$G$5:$G$110&lt;&gt;"acoes")))*INDEX(Inputs!$K$5:$AJ$110,0,MATCH(X$2,Inputs!$K$4:$AJ$4,0)))))</f>
        <v>0</v>
      </c>
      <c r="Y38" s="6">
        <f>IF(ISNA(MATCH(Y$2,Inputs!$K$4:$AJ$4,0)),NA(),IF(SUMPRODUCT((Inputs!$A$5:$A$110=$B38)*ISNUMBER(INDEX(Inputs!$K$5:$AJ$110,0,MATCH(Y$2,Inputs!$K$4:$AJ$4,0))))+SUMPRODUCT((Inputs!$C$5:$C$110=$B38)*ISNUMBER(INDEX(Inputs!$K$5:$AJ$110,0,MATCH(Y$2,Inputs!$K$4:$AJ$4,0))))+SUMPRODUCT((Inputs!$E$5:$E$110=$B38)*ISNUMBER(INDEX(Inputs!$K$5:$AJ$110,0,MATCH(Y$2,Inputs!$K$4:$AJ$4,0))))=0,NA(),SUMPRODUCT((Inputs!$A$5:$A$110=$B38)*Inputs!$B$5:$B$110*(((Inputs!$G$5:$G$110="moeda")+(Inputs!$G$5:$G$110="acoes"))*Inputs!$B$1+((Inputs!$G$5:$G$110&lt;&gt;"moeda")*(Inputs!$G$5:$G$110&lt;&gt;"acoes")))*INDEX(Inputs!$K$5:$AJ$110,0,MATCH(Y$2,Inputs!$K$4:$AJ$4,0)))+SUMPRODUCT((Inputs!$C$5:$C$110=$B38)*Inputs!$D$5:$D$110*(((Inputs!$G$5:$G$110="moeda")+(Inputs!$G$5:$G$110="acoes"))*Inputs!$B$1+((Inputs!$G$5:$G$110&lt;&gt;"moeda")*(Inputs!$G$5:$G$110&lt;&gt;"acoes")))*INDEX(Inputs!$K$5:$AJ$110,0,MATCH(Y$2,Inputs!$K$4:$AJ$4,0)))+SUMPRODUCT((Inputs!$E$5:$E$110=$B38)*Inputs!$F$5:$F$110*(((Inputs!$G$5:$G$110="moeda")+(Inputs!$G$5:$G$110="acoes"))*Inputs!$B$1+((Inputs!$G$5:$G$110&lt;&gt;"moeda")*(Inputs!$G$5:$G$110&lt;&gt;"acoes")))*INDEX(Inputs!$K$5:$AJ$110,0,MATCH(Y$2,Inputs!$K$4:$AJ$4,0)))))</f>
        <v>0</v>
      </c>
      <c r="Z38" s="6">
        <f>IF(ISNA(MATCH(Z$2,Inputs!$K$4:$AJ$4,0)),NA(),IF(SUMPRODUCT((Inputs!$A$5:$A$110=$B38)*ISNUMBER(INDEX(Inputs!$K$5:$AJ$110,0,MATCH(Z$2,Inputs!$K$4:$AJ$4,0))))+SUMPRODUCT((Inputs!$C$5:$C$110=$B38)*ISNUMBER(INDEX(Inputs!$K$5:$AJ$110,0,MATCH(Z$2,Inputs!$K$4:$AJ$4,0))))+SUMPRODUCT((Inputs!$E$5:$E$110=$B38)*ISNUMBER(INDEX(Inputs!$K$5:$AJ$110,0,MATCH(Z$2,Inputs!$K$4:$AJ$4,0))))=0,NA(),SUMPRODUCT((Inputs!$A$5:$A$110=$B38)*Inputs!$B$5:$B$110*(((Inputs!$G$5:$G$110="moeda")+(Inputs!$G$5:$G$110="acoes"))*Inputs!$B$1+((Inputs!$G$5:$G$110&lt;&gt;"moeda")*(Inputs!$G$5:$G$110&lt;&gt;"acoes")))*INDEX(Inputs!$K$5:$AJ$110,0,MATCH(Z$2,Inputs!$K$4:$AJ$4,0)))+SUMPRODUCT((Inputs!$C$5:$C$110=$B38)*Inputs!$D$5:$D$110*(((Inputs!$G$5:$G$110="moeda")+(Inputs!$G$5:$G$110="acoes"))*Inputs!$B$1+((Inputs!$G$5:$G$110&lt;&gt;"moeda")*(Inputs!$G$5:$G$110&lt;&gt;"acoes")))*INDEX(Inputs!$K$5:$AJ$110,0,MATCH(Z$2,Inputs!$K$4:$AJ$4,0)))+SUMPRODUCT((Inputs!$E$5:$E$110=$B38)*Inputs!$F$5:$F$110*(((Inputs!$G$5:$G$110="moeda")+(Inputs!$G$5:$G$110="acoes"))*Inputs!$B$1+((Inputs!$G$5:$G$110&lt;&gt;"moeda")*(Inputs!$G$5:$G$110&lt;&gt;"acoes")))*INDEX(Inputs!$K$5:$AJ$110,0,MATCH(Z$2,Inputs!$K$4:$AJ$4,0)))))</f>
        <v>0</v>
      </c>
      <c r="AA38" s="6">
        <f>IF(ISNA(MATCH(AA$2,Inputs!$K$4:$AJ$4,0)),NA(),IF(SUMPRODUCT((Inputs!$A$5:$A$110=$B38)*ISNUMBER(INDEX(Inputs!$K$5:$AJ$110,0,MATCH(AA$2,Inputs!$K$4:$AJ$4,0))))+SUMPRODUCT((Inputs!$C$5:$C$110=$B38)*ISNUMBER(INDEX(Inputs!$K$5:$AJ$110,0,MATCH(AA$2,Inputs!$K$4:$AJ$4,0))))+SUMPRODUCT((Inputs!$E$5:$E$110=$B38)*ISNUMBER(INDEX(Inputs!$K$5:$AJ$110,0,MATCH(AA$2,Inputs!$K$4:$AJ$4,0))))=0,NA(),SUMPRODUCT((Inputs!$A$5:$A$110=$B38)*Inputs!$B$5:$B$110*(((Inputs!$G$5:$G$110="moeda")+(Inputs!$G$5:$G$110="acoes"))*Inputs!$B$1+((Inputs!$G$5:$G$110&lt;&gt;"moeda")*(Inputs!$G$5:$G$110&lt;&gt;"acoes")))*INDEX(Inputs!$K$5:$AJ$110,0,MATCH(AA$2,Inputs!$K$4:$AJ$4,0)))+SUMPRODUCT((Inputs!$C$5:$C$110=$B38)*Inputs!$D$5:$D$110*(((Inputs!$G$5:$G$110="moeda")+(Inputs!$G$5:$G$110="acoes"))*Inputs!$B$1+((Inputs!$G$5:$G$110&lt;&gt;"moeda")*(Inputs!$G$5:$G$110&lt;&gt;"acoes")))*INDEX(Inputs!$K$5:$AJ$110,0,MATCH(AA$2,Inputs!$K$4:$AJ$4,0)))+SUMPRODUCT((Inputs!$E$5:$E$110=$B38)*Inputs!$F$5:$F$110*(((Inputs!$G$5:$G$110="moeda")+(Inputs!$G$5:$G$110="acoes"))*Inputs!$B$1+((Inputs!$G$5:$G$110&lt;&gt;"moeda")*(Inputs!$G$5:$G$110&lt;&gt;"acoes")))*INDEX(Inputs!$K$5:$AJ$110,0,MATCH(AA$2,Inputs!$K$4:$AJ$4,0)))))</f>
        <v>0</v>
      </c>
      <c r="AB38" s="3">
        <f>AA38</f>
        <v>0</v>
      </c>
      <c r="AC38" s="6">
        <f>IF(ISNA(MATCH(AC$2,Inputs!$K$4:$AJ$4,0)),NA(),IF(SUMPRODUCT((Inputs!$A$5:$A$110=$B38)*ISNUMBER(INDEX(Inputs!$K$5:$AJ$110,0,MATCH(AC$2,Inputs!$K$4:$AJ$4,0))))+SUMPRODUCT((Inputs!$C$5:$C$110=$B38)*ISNUMBER(INDEX(Inputs!$K$5:$AJ$110,0,MATCH(AC$2,Inputs!$K$4:$AJ$4,0))))+SUMPRODUCT((Inputs!$E$5:$E$110=$B38)*ISNUMBER(INDEX(Inputs!$K$5:$AJ$110,0,MATCH(AC$2,Inputs!$K$4:$AJ$4,0))))=0,NA(),SUMPRODUCT((Inputs!$A$5:$A$110=$B38)*Inputs!$B$5:$B$110*(((Inputs!$G$5:$G$110="moeda")+(Inputs!$G$5:$G$110="acoes"))*Inputs!$B$1+((Inputs!$G$5:$G$110&lt;&gt;"moeda")*(Inputs!$G$5:$G$110&lt;&gt;"acoes")))*INDEX(Inputs!$K$5:$AJ$110,0,MATCH(AC$2,Inputs!$K$4:$AJ$4,0)))+SUMPRODUCT((Inputs!$C$5:$C$110=$B38)*Inputs!$D$5:$D$110*(((Inputs!$G$5:$G$110="moeda")+(Inputs!$G$5:$G$110="acoes"))*Inputs!$B$1+((Inputs!$G$5:$G$110&lt;&gt;"moeda")*(Inputs!$G$5:$G$110&lt;&gt;"acoes")))*INDEX(Inputs!$K$5:$AJ$110,0,MATCH(AC$2,Inputs!$K$4:$AJ$4,0)))+SUMPRODUCT((Inputs!$E$5:$E$110=$B38)*Inputs!$F$5:$F$110*(((Inputs!$G$5:$G$110="moeda")+(Inputs!$G$5:$G$110="acoes"))*Inputs!$B$1+((Inputs!$G$5:$G$110&lt;&gt;"moeda")*(Inputs!$G$5:$G$110&lt;&gt;"acoes")))*INDEX(Inputs!$K$5:$AJ$110,0,MATCH(AC$2,Inputs!$K$4:$AJ$4,0)))))</f>
        <v>0</v>
      </c>
      <c r="AD38" s="6">
        <f>IF(ISNA(MATCH(AD$2,Inputs!$K$4:$AJ$4,0)),NA(),IF(SUMPRODUCT((Inputs!$A$5:$A$110=$B38)*ISNUMBER(INDEX(Inputs!$K$5:$AJ$110,0,MATCH(AD$2,Inputs!$K$4:$AJ$4,0))))+SUMPRODUCT((Inputs!$C$5:$C$110=$B38)*ISNUMBER(INDEX(Inputs!$K$5:$AJ$110,0,MATCH(AD$2,Inputs!$K$4:$AJ$4,0))))+SUMPRODUCT((Inputs!$E$5:$E$110=$B38)*ISNUMBER(INDEX(Inputs!$K$5:$AJ$110,0,MATCH(AD$2,Inputs!$K$4:$AJ$4,0))))=0,NA(),SUMPRODUCT((Inputs!$A$5:$A$110=$B38)*Inputs!$B$5:$B$110*(((Inputs!$G$5:$G$110="moeda")+(Inputs!$G$5:$G$110="acoes"))*Inputs!$B$1+((Inputs!$G$5:$G$110&lt;&gt;"moeda")*(Inputs!$G$5:$G$110&lt;&gt;"acoes")))*INDEX(Inputs!$K$5:$AJ$110,0,MATCH(AD$2,Inputs!$K$4:$AJ$4,0)))+SUMPRODUCT((Inputs!$C$5:$C$110=$B38)*Inputs!$D$5:$D$110*(((Inputs!$G$5:$G$110="moeda")+(Inputs!$G$5:$G$110="acoes"))*Inputs!$B$1+((Inputs!$G$5:$G$110&lt;&gt;"moeda")*(Inputs!$G$5:$G$110&lt;&gt;"acoes")))*INDEX(Inputs!$K$5:$AJ$110,0,MATCH(AD$2,Inputs!$K$4:$AJ$4,0)))+SUMPRODUCT((Inputs!$E$5:$E$110=$B38)*Inputs!$F$5:$F$110*(((Inputs!$G$5:$G$110="moeda")+(Inputs!$G$5:$G$110="acoes"))*Inputs!$B$1+((Inputs!$G$5:$G$110&lt;&gt;"moeda")*(Inputs!$G$5:$G$110&lt;&gt;"acoes")))*INDEX(Inputs!$K$5:$AJ$110,0,MATCH(AD$2,Inputs!$K$4:$AJ$4,0)))))</f>
        <v>0</v>
      </c>
      <c r="AE38" s="6" t="e">
        <f>IF(ISNA(MATCH(AE$2,Inputs!$K$4:$AJ$4,0)),NA(),IF(SUMPRODUCT((Inputs!$A$5:$A$110=$B38)*ISNUMBER(INDEX(Inputs!$K$5:$AJ$110,0,MATCH(AE$2,Inputs!$K$4:$AJ$4,0))))+SUMPRODUCT((Inputs!$C$5:$C$110=$B38)*ISNUMBER(INDEX(Inputs!$K$5:$AJ$110,0,MATCH(AE$2,Inputs!$K$4:$AJ$4,0))))+SUMPRODUCT((Inputs!$E$5:$E$110=$B38)*ISNUMBER(INDEX(Inputs!$K$5:$AJ$110,0,MATCH(AE$2,Inputs!$K$4:$AJ$4,0))))=0,NA(),SUMPRODUCT((Inputs!$A$5:$A$110=$B38)*Inputs!$B$5:$B$110*(((Inputs!$G$5:$G$110="moeda")+(Inputs!$G$5:$G$110="acoes"))*Inputs!$B$1+((Inputs!$G$5:$G$110&lt;&gt;"moeda")*(Inputs!$G$5:$G$110&lt;&gt;"acoes")))*INDEX(Inputs!$K$5:$AJ$110,0,MATCH(AE$2,Inputs!$K$4:$AJ$4,0)))+SUMPRODUCT((Inputs!$C$5:$C$110=$B38)*Inputs!$D$5:$D$110*(((Inputs!$G$5:$G$110="moeda")+(Inputs!$G$5:$G$110="acoes"))*Inputs!$B$1+((Inputs!$G$5:$G$110&lt;&gt;"moeda")*(Inputs!$G$5:$G$110&lt;&gt;"acoes")))*INDEX(Inputs!$K$5:$AJ$110,0,MATCH(AE$2,Inputs!$K$4:$AJ$4,0)))+SUMPRODUCT((Inputs!$E$5:$E$110=$B38)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8" s="6" t="e">
        <f>IF(ISNA(MATCH(AF$2,Inputs!$K$4:$AJ$4,0)),NA(),IF(SUMPRODUCT((Inputs!$A$5:$A$110=$B38)*ISNUMBER(INDEX(Inputs!$K$5:$AJ$110,0,MATCH(AF$2,Inputs!$K$4:$AJ$4,0))))+SUMPRODUCT((Inputs!$C$5:$C$110=$B38)*ISNUMBER(INDEX(Inputs!$K$5:$AJ$110,0,MATCH(AF$2,Inputs!$K$4:$AJ$4,0))))+SUMPRODUCT((Inputs!$E$5:$E$110=$B38)*ISNUMBER(INDEX(Inputs!$K$5:$AJ$110,0,MATCH(AF$2,Inputs!$K$4:$AJ$4,0))))=0,NA(),SUMPRODUCT((Inputs!$A$5:$A$110=$B38)*Inputs!$B$5:$B$110*(((Inputs!$G$5:$G$110="moeda")+(Inputs!$G$5:$G$110="acoes"))*Inputs!$B$1+((Inputs!$G$5:$G$110&lt;&gt;"moeda")*(Inputs!$G$5:$G$110&lt;&gt;"acoes")))*INDEX(Inputs!$K$5:$AJ$110,0,MATCH(AF$2,Inputs!$K$4:$AJ$4,0)))+SUMPRODUCT((Inputs!$C$5:$C$110=$B38)*Inputs!$D$5:$D$110*(((Inputs!$G$5:$G$110="moeda")+(Inputs!$G$5:$G$110="acoes"))*Inputs!$B$1+((Inputs!$G$5:$G$110&lt;&gt;"moeda")*(Inputs!$G$5:$G$110&lt;&gt;"acoes")))*INDEX(Inputs!$K$5:$AJ$110,0,MATCH(AF$2,Inputs!$K$4:$AJ$4,0)))+SUMPRODUCT((Inputs!$E$5:$E$110=$B38)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8" s="3" t="e">
        <f>AF38</f>
        <v>#N/A</v>
      </c>
      <c r="AH38" s="6">
        <f>IF(ISNA(MATCH(AH$2,Inputs!$K$4:$AJ$4,0)),NA(),IF(SUMPRODUCT((Inputs!$A$5:$A$110=$B38)*ISNUMBER(INDEX(Inputs!$K$5:$AJ$110,0,MATCH(AH$2,Inputs!$K$4:$AJ$4,0))))+SUMPRODUCT((Inputs!$C$5:$C$110=$B38)*ISNUMBER(INDEX(Inputs!$K$5:$AJ$110,0,MATCH(AH$2,Inputs!$K$4:$AJ$4,0))))+SUMPRODUCT((Inputs!$E$5:$E$110=$B38)*ISNUMBER(INDEX(Inputs!$K$5:$AJ$110,0,MATCH(AH$2,Inputs!$K$4:$AJ$4,0))))=0,NA(),SUMPRODUCT((Inputs!$A$5:$A$110=$B38)*Inputs!$B$5:$B$110*(((Inputs!$G$5:$G$110="moeda")+(Inputs!$G$5:$G$110="acoes"))*Inputs!$B$1+((Inputs!$G$5:$G$110&lt;&gt;"moeda")*(Inputs!$G$5:$G$110&lt;&gt;"acoes")))*INDEX(Inputs!$K$5:$AJ$110,0,MATCH(AH$2,Inputs!$K$4:$AJ$4,0)))+SUMPRODUCT((Inputs!$C$5:$C$110=$B38)*Inputs!$D$5:$D$110*(((Inputs!$G$5:$G$110="moeda")+(Inputs!$G$5:$G$110="acoes"))*Inputs!$B$1+((Inputs!$G$5:$G$110&lt;&gt;"moeda")*(Inputs!$G$5:$G$110&lt;&gt;"acoes")))*INDEX(Inputs!$K$5:$AJ$110,0,MATCH(AH$2,Inputs!$K$4:$AJ$4,0)))+SUMPRODUCT((Inputs!$E$5:$E$110=$B38)*Inputs!$F$5:$F$110*(((Inputs!$G$5:$G$110="moeda")+(Inputs!$G$5:$G$110="acoes"))*Inputs!$B$1+((Inputs!$G$5:$G$110&lt;&gt;"moeda")*(Inputs!$G$5:$G$110&lt;&gt;"acoes")))*INDEX(Inputs!$K$5:$AJ$110,0,MATCH(AH$2,Inputs!$K$4:$AJ$4,0)))))</f>
        <v>0</v>
      </c>
      <c r="AI38" s="6">
        <f>IF(ISNA(MATCH(AI$2,Inputs!$K$4:$AJ$4,0)),NA(),IF(SUMPRODUCT((Inputs!$A$5:$A$110=$B38)*ISNUMBER(INDEX(Inputs!$K$5:$AJ$110,0,MATCH(AI$2,Inputs!$K$4:$AJ$4,0))))+SUMPRODUCT((Inputs!$C$5:$C$110=$B38)*ISNUMBER(INDEX(Inputs!$K$5:$AJ$110,0,MATCH(AI$2,Inputs!$K$4:$AJ$4,0))))+SUMPRODUCT((Inputs!$E$5:$E$110=$B38)*ISNUMBER(INDEX(Inputs!$K$5:$AJ$110,0,MATCH(AI$2,Inputs!$K$4:$AJ$4,0))))=0,NA(),SUMPRODUCT((Inputs!$A$5:$A$110=$B38)*Inputs!$B$5:$B$110*(((Inputs!$G$5:$G$110="moeda")+(Inputs!$G$5:$G$110="acoes"))*Inputs!$B$1+((Inputs!$G$5:$G$110&lt;&gt;"moeda")*(Inputs!$G$5:$G$110&lt;&gt;"acoes")))*INDEX(Inputs!$K$5:$AJ$110,0,MATCH(AI$2,Inputs!$K$4:$AJ$4,0)))+SUMPRODUCT((Inputs!$C$5:$C$110=$B38)*Inputs!$D$5:$D$110*(((Inputs!$G$5:$G$110="moeda")+(Inputs!$G$5:$G$110="acoes"))*Inputs!$B$1+((Inputs!$G$5:$G$110&lt;&gt;"moeda")*(Inputs!$G$5:$G$110&lt;&gt;"acoes")))*INDEX(Inputs!$K$5:$AJ$110,0,MATCH(AI$2,Inputs!$K$4:$AJ$4,0)))+SUMPRODUCT((Inputs!$E$5:$E$110=$B38)*Inputs!$F$5:$F$110*(((Inputs!$G$5:$G$110="moeda")+(Inputs!$G$5:$G$110="acoes"))*Inputs!$B$1+((Inputs!$G$5:$G$110&lt;&gt;"moeda")*(Inputs!$G$5:$G$110&lt;&gt;"acoes")))*INDEX(Inputs!$K$5:$AJ$110,0,MATCH(AI$2,Inputs!$K$4:$AJ$4,0)))))</f>
        <v>0</v>
      </c>
      <c r="AJ38" s="6">
        <f>IF(ISNA(MATCH(AJ$2,Inputs!$K$4:$AJ$4,0)),NA(),IF(SUMPRODUCT((Inputs!$A$5:$A$110=$B38)*ISNUMBER(INDEX(Inputs!$K$5:$AJ$110,0,MATCH(AJ$2,Inputs!$K$4:$AJ$4,0))))+SUMPRODUCT((Inputs!$C$5:$C$110=$B38)*ISNUMBER(INDEX(Inputs!$K$5:$AJ$110,0,MATCH(AJ$2,Inputs!$K$4:$AJ$4,0))))+SUMPRODUCT((Inputs!$E$5:$E$110=$B38)*ISNUMBER(INDEX(Inputs!$K$5:$AJ$110,0,MATCH(AJ$2,Inputs!$K$4:$AJ$4,0))))=0,NA(),SUMPRODUCT((Inputs!$A$5:$A$110=$B38)*Inputs!$B$5:$B$110*(((Inputs!$G$5:$G$110="moeda")+(Inputs!$G$5:$G$110="acoes"))*Inputs!$B$1+((Inputs!$G$5:$G$110&lt;&gt;"moeda")*(Inputs!$G$5:$G$110&lt;&gt;"acoes")))*INDEX(Inputs!$K$5:$AJ$110,0,MATCH(AJ$2,Inputs!$K$4:$AJ$4,0)))+SUMPRODUCT((Inputs!$C$5:$C$110=$B38)*Inputs!$D$5:$D$110*(((Inputs!$G$5:$G$110="moeda")+(Inputs!$G$5:$G$110="acoes"))*Inputs!$B$1+((Inputs!$G$5:$G$110&lt;&gt;"moeda")*(Inputs!$G$5:$G$110&lt;&gt;"acoes")))*INDEX(Inputs!$K$5:$AJ$110,0,MATCH(AJ$2,Inputs!$K$4:$AJ$4,0)))+SUMPRODUCT((Inputs!$E$5:$E$110=$B38)*Inputs!$F$5:$F$110*(((Inputs!$G$5:$G$110="moeda")+(Inputs!$G$5:$G$110="acoes"))*Inputs!$B$1+((Inputs!$G$5:$G$110&lt;&gt;"moeda")*(Inputs!$G$5:$G$110&lt;&gt;"acoes")))*INDEX(Inputs!$K$5:$AJ$110,0,MATCH(AJ$2,Inputs!$K$4:$AJ$4,0)))))</f>
        <v>0</v>
      </c>
      <c r="AK38" s="6">
        <f>IF(ISNA(MATCH(AK$2,Inputs!$K$4:$AJ$4,0)),NA(),IF(SUMPRODUCT((Inputs!$A$5:$A$110=$B38)*ISNUMBER(INDEX(Inputs!$K$5:$AJ$110,0,MATCH(AK$2,Inputs!$K$4:$AJ$4,0))))+SUMPRODUCT((Inputs!$C$5:$C$110=$B38)*ISNUMBER(INDEX(Inputs!$K$5:$AJ$110,0,MATCH(AK$2,Inputs!$K$4:$AJ$4,0))))+SUMPRODUCT((Inputs!$E$5:$E$110=$B38)*ISNUMBER(INDEX(Inputs!$K$5:$AJ$110,0,MATCH(AK$2,Inputs!$K$4:$AJ$4,0))))=0,NA(),SUMPRODUCT((Inputs!$A$5:$A$110=$B38)*Inputs!$B$5:$B$110*(((Inputs!$G$5:$G$110="moeda")+(Inputs!$G$5:$G$110="acoes"))*Inputs!$B$1+((Inputs!$G$5:$G$110&lt;&gt;"moeda")*(Inputs!$G$5:$G$110&lt;&gt;"acoes")))*INDEX(Inputs!$K$5:$AJ$110,0,MATCH(AK$2,Inputs!$K$4:$AJ$4,0)))+SUMPRODUCT((Inputs!$C$5:$C$110=$B38)*Inputs!$D$5:$D$110*(((Inputs!$G$5:$G$110="moeda")+(Inputs!$G$5:$G$110="acoes"))*Inputs!$B$1+((Inputs!$G$5:$G$110&lt;&gt;"moeda")*(Inputs!$G$5:$G$110&lt;&gt;"acoes")))*INDEX(Inputs!$K$5:$AJ$110,0,MATCH(AK$2,Inputs!$K$4:$AJ$4,0)))+SUMPRODUCT((Inputs!$E$5:$E$110=$B38)*Inputs!$F$5:$F$110*(((Inputs!$G$5:$G$110="moeda")+(Inputs!$G$5:$G$110="acoes"))*Inputs!$B$1+((Inputs!$G$5:$G$110&lt;&gt;"moeda")*(Inputs!$G$5:$G$110&lt;&gt;"acoes")))*INDEX(Inputs!$K$5:$AJ$110,0,MATCH(AK$2,Inputs!$K$4:$AJ$4,0)))))</f>
        <v>0</v>
      </c>
      <c r="AL38" s="3">
        <f>AK38</f>
        <v>0</v>
      </c>
    </row>
    <row r="39">
      <c r="B39" s="46" t="n">
        <v>34</v>
      </c>
      <c r="C39" s="26" t="inlineStr">
        <is>
          <t>Other non-current liabilities</t>
        </is>
      </c>
      <c r="D39" s="6">
        <f>IF(ISNA(MATCH(D$2,Inputs!$K$4:$AJ$4,0)),NA(),IF(SUMPRODUCT((Inputs!$A$5:$A$110=$B39)*ISNUMBER(INDEX(Inputs!$K$5:$AJ$110,0,MATCH(D$2,Inputs!$K$4:$AJ$4,0))))+SUMPRODUCT((Inputs!$C$5:$C$110=$B39)*ISNUMBER(INDEX(Inputs!$K$5:$AJ$110,0,MATCH(D$2,Inputs!$K$4:$AJ$4,0))))+SUMPRODUCT((Inputs!$E$5:$E$110=$B39)*ISNUMBER(INDEX(Inputs!$K$5:$AJ$110,0,MATCH(D$2,Inputs!$K$4:$AJ$4,0))))=0,NA(),SUMPRODUCT((Inputs!$A$5:$A$110=$B39)*Inputs!$B$5:$B$110*(((Inputs!$G$5:$G$110="moeda")+(Inputs!$G$5:$G$110="acoes"))*Inputs!$B$1+((Inputs!$G$5:$G$110&lt;&gt;"moeda")*(Inputs!$G$5:$G$110&lt;&gt;"acoes")))*INDEX(Inputs!$K$5:$AJ$110,0,MATCH(D$2,Inputs!$K$4:$AJ$4,0)))+SUMPRODUCT((Inputs!$C$5:$C$110=$B39)*Inputs!$D$5:$D$110*(((Inputs!$G$5:$G$110="moeda")+(Inputs!$G$5:$G$110="acoes"))*Inputs!$B$1+((Inputs!$G$5:$G$110&lt;&gt;"moeda")*(Inputs!$G$5:$G$110&lt;&gt;"acoes")))*INDEX(Inputs!$K$5:$AJ$110,0,MATCH(D$2,Inputs!$K$4:$AJ$4,0)))+SUMPRODUCT((Inputs!$E$5:$E$110=$B39)*Inputs!$F$5:$F$110*(((Inputs!$G$5:$G$110="moeda")+(Inputs!$G$5:$G$110="acoes"))*Inputs!$B$1+((Inputs!$G$5:$G$110&lt;&gt;"moeda")*(Inputs!$G$5:$G$110&lt;&gt;"acoes")))*INDEX(Inputs!$K$5:$AJ$110,0,MATCH(D$2,Inputs!$K$4:$AJ$4,0)))))</f>
        <v>4962</v>
      </c>
      <c r="E39" s="6">
        <f>IF(ISNA(MATCH(E$2,Inputs!$K$4:$AJ$4,0)),NA(),IF(SUMPRODUCT((Inputs!$A$5:$A$110=$B39)*ISNUMBER(INDEX(Inputs!$K$5:$AJ$110,0,MATCH(E$2,Inputs!$K$4:$AJ$4,0))))+SUMPRODUCT((Inputs!$C$5:$C$110=$B39)*ISNUMBER(INDEX(Inputs!$K$5:$AJ$110,0,MATCH(E$2,Inputs!$K$4:$AJ$4,0))))+SUMPRODUCT((Inputs!$E$5:$E$110=$B39)*ISNUMBER(INDEX(Inputs!$K$5:$AJ$110,0,MATCH(E$2,Inputs!$K$4:$AJ$4,0))))=0,NA(),SUMPRODUCT((Inputs!$A$5:$A$110=$B39)*Inputs!$B$5:$B$110*(((Inputs!$G$5:$G$110="moeda")+(Inputs!$G$5:$G$110="acoes"))*Inputs!$B$1+((Inputs!$G$5:$G$110&lt;&gt;"moeda")*(Inputs!$G$5:$G$110&lt;&gt;"acoes")))*INDEX(Inputs!$K$5:$AJ$110,0,MATCH(E$2,Inputs!$K$4:$AJ$4,0)))+SUMPRODUCT((Inputs!$C$5:$C$110=$B39)*Inputs!$D$5:$D$110*(((Inputs!$G$5:$G$110="moeda")+(Inputs!$G$5:$G$110="acoes"))*Inputs!$B$1+((Inputs!$G$5:$G$110&lt;&gt;"moeda")*(Inputs!$G$5:$G$110&lt;&gt;"acoes")))*INDEX(Inputs!$K$5:$AJ$110,0,MATCH(E$2,Inputs!$K$4:$AJ$4,0)))+SUMPRODUCT((Inputs!$E$5:$E$110=$B39)*Inputs!$F$5:$F$110*(((Inputs!$G$5:$G$110="moeda")+(Inputs!$G$5:$G$110="acoes"))*Inputs!$B$1+((Inputs!$G$5:$G$110&lt;&gt;"moeda")*(Inputs!$G$5:$G$110&lt;&gt;"acoes")))*INDEX(Inputs!$K$5:$AJ$110,0,MATCH(E$2,Inputs!$K$4:$AJ$4,0)))))</f>
        <v>4834</v>
      </c>
      <c r="F39" s="6">
        <f>IF(ISNA(MATCH(F$2,Inputs!$K$4:$AJ$4,0)),NA(),IF(SUMPRODUCT((Inputs!$A$5:$A$110=$B39)*ISNUMBER(INDEX(Inputs!$K$5:$AJ$110,0,MATCH(F$2,Inputs!$K$4:$AJ$4,0))))+SUMPRODUCT((Inputs!$C$5:$C$110=$B39)*ISNUMBER(INDEX(Inputs!$K$5:$AJ$110,0,MATCH(F$2,Inputs!$K$4:$AJ$4,0))))+SUMPRODUCT((Inputs!$E$5:$E$110=$B39)*ISNUMBER(INDEX(Inputs!$K$5:$AJ$110,0,MATCH(F$2,Inputs!$K$4:$AJ$4,0))))=0,NA(),SUMPRODUCT((Inputs!$A$5:$A$110=$B39)*Inputs!$B$5:$B$110*(((Inputs!$G$5:$G$110="moeda")+(Inputs!$G$5:$G$110="acoes"))*Inputs!$B$1+((Inputs!$G$5:$G$110&lt;&gt;"moeda")*(Inputs!$G$5:$G$110&lt;&gt;"acoes")))*INDEX(Inputs!$K$5:$AJ$110,0,MATCH(F$2,Inputs!$K$4:$AJ$4,0)))+SUMPRODUCT((Inputs!$C$5:$C$110=$B39)*Inputs!$D$5:$D$110*(((Inputs!$G$5:$G$110="moeda")+(Inputs!$G$5:$G$110="acoes"))*Inputs!$B$1+((Inputs!$G$5:$G$110&lt;&gt;"moeda")*(Inputs!$G$5:$G$110&lt;&gt;"acoes")))*INDEX(Inputs!$K$5:$AJ$110,0,MATCH(F$2,Inputs!$K$4:$AJ$4,0)))+SUMPRODUCT((Inputs!$E$5:$E$110=$B39)*Inputs!$F$5:$F$110*(((Inputs!$G$5:$G$110="moeda")+(Inputs!$G$5:$G$110="acoes"))*Inputs!$B$1+((Inputs!$G$5:$G$110&lt;&gt;"moeda")*(Inputs!$G$5:$G$110&lt;&gt;"acoes")))*INDEX(Inputs!$K$5:$AJ$110,0,MATCH(F$2,Inputs!$K$4:$AJ$4,0)))))</f>
        <v>4860</v>
      </c>
      <c r="G39" s="6">
        <f>IF(ISNA(MATCH(G$2,Inputs!$K$4:$AJ$4,0)),NA(),IF(SUMPRODUCT((Inputs!$A$5:$A$110=$B39)*ISNUMBER(INDEX(Inputs!$K$5:$AJ$110,0,MATCH(G$2,Inputs!$K$4:$AJ$4,0))))+SUMPRODUCT((Inputs!$C$5:$C$110=$B39)*ISNUMBER(INDEX(Inputs!$K$5:$AJ$110,0,MATCH(G$2,Inputs!$K$4:$AJ$4,0))))+SUMPRODUCT((Inputs!$E$5:$E$110=$B39)*ISNUMBER(INDEX(Inputs!$K$5:$AJ$110,0,MATCH(G$2,Inputs!$K$4:$AJ$4,0))))=0,NA(),SUMPRODUCT((Inputs!$A$5:$A$110=$B39)*Inputs!$B$5:$B$110*(((Inputs!$G$5:$G$110="moeda")+(Inputs!$G$5:$G$110="acoes"))*Inputs!$B$1+((Inputs!$G$5:$G$110&lt;&gt;"moeda")*(Inputs!$G$5:$G$110&lt;&gt;"acoes")))*INDEX(Inputs!$K$5:$AJ$110,0,MATCH(G$2,Inputs!$K$4:$AJ$4,0)))+SUMPRODUCT((Inputs!$C$5:$C$110=$B39)*Inputs!$D$5:$D$110*(((Inputs!$G$5:$G$110="moeda")+(Inputs!$G$5:$G$110="acoes"))*Inputs!$B$1+((Inputs!$G$5:$G$110&lt;&gt;"moeda")*(Inputs!$G$5:$G$110&lt;&gt;"acoes")))*INDEX(Inputs!$K$5:$AJ$110,0,MATCH(G$2,Inputs!$K$4:$AJ$4,0)))+SUMPRODUCT((Inputs!$E$5:$E$110=$B39)*Inputs!$F$5:$F$110*(((Inputs!$G$5:$G$110="moeda")+(Inputs!$G$5:$G$110="acoes"))*Inputs!$B$1+((Inputs!$G$5:$G$110&lt;&gt;"moeda")*(Inputs!$G$5:$G$110&lt;&gt;"acoes")))*INDEX(Inputs!$K$5:$AJ$110,0,MATCH(G$2,Inputs!$K$4:$AJ$4,0)))))</f>
        <v>4738</v>
      </c>
      <c r="H39" s="3">
        <f>G39</f>
        <v>4738</v>
      </c>
      <c r="I39" s="6">
        <f>IF(ISNA(MATCH(I$2,Inputs!$K$4:$AJ$4,0)),NA(),IF(SUMPRODUCT((Inputs!$A$5:$A$110=$B39)*ISNUMBER(INDEX(Inputs!$K$5:$AJ$110,0,MATCH(I$2,Inputs!$K$4:$AJ$4,0))))+SUMPRODUCT((Inputs!$C$5:$C$110=$B39)*ISNUMBER(INDEX(Inputs!$K$5:$AJ$110,0,MATCH(I$2,Inputs!$K$4:$AJ$4,0))))+SUMPRODUCT((Inputs!$E$5:$E$110=$B39)*ISNUMBER(INDEX(Inputs!$K$5:$AJ$110,0,MATCH(I$2,Inputs!$K$4:$AJ$4,0))))=0,NA(),SUMPRODUCT((Inputs!$A$5:$A$110=$B39)*Inputs!$B$5:$B$110*(((Inputs!$G$5:$G$110="moeda")+(Inputs!$G$5:$G$110="acoes"))*Inputs!$B$1+((Inputs!$G$5:$G$110&lt;&gt;"moeda")*(Inputs!$G$5:$G$110&lt;&gt;"acoes")))*INDEX(Inputs!$K$5:$AJ$110,0,MATCH(I$2,Inputs!$K$4:$AJ$4,0)))+SUMPRODUCT((Inputs!$C$5:$C$110=$B39)*Inputs!$D$5:$D$110*(((Inputs!$G$5:$G$110="moeda")+(Inputs!$G$5:$G$110="acoes"))*Inputs!$B$1+((Inputs!$G$5:$G$110&lt;&gt;"moeda")*(Inputs!$G$5:$G$110&lt;&gt;"acoes")))*INDEX(Inputs!$K$5:$AJ$110,0,MATCH(I$2,Inputs!$K$4:$AJ$4,0)))+SUMPRODUCT((Inputs!$E$5:$E$110=$B39)*Inputs!$F$5:$F$110*(((Inputs!$G$5:$G$110="moeda")+(Inputs!$G$5:$G$110="acoes"))*Inputs!$B$1+((Inputs!$G$5:$G$110&lt;&gt;"moeda")*(Inputs!$G$5:$G$110&lt;&gt;"acoes")))*INDEX(Inputs!$K$5:$AJ$110,0,MATCH(I$2,Inputs!$K$4:$AJ$4,0)))))</f>
        <v>4655</v>
      </c>
      <c r="J39" s="6">
        <f>IF(ISNA(MATCH(J$2,Inputs!$K$4:$AJ$4,0)),NA(),IF(SUMPRODUCT((Inputs!$A$5:$A$110=$B39)*ISNUMBER(INDEX(Inputs!$K$5:$AJ$110,0,MATCH(J$2,Inputs!$K$4:$AJ$4,0))))+SUMPRODUCT((Inputs!$C$5:$C$110=$B39)*ISNUMBER(INDEX(Inputs!$K$5:$AJ$110,0,MATCH(J$2,Inputs!$K$4:$AJ$4,0))))+SUMPRODUCT((Inputs!$E$5:$E$110=$B39)*ISNUMBER(INDEX(Inputs!$K$5:$AJ$110,0,MATCH(J$2,Inputs!$K$4:$AJ$4,0))))=0,NA(),SUMPRODUCT((Inputs!$A$5:$A$110=$B39)*Inputs!$B$5:$B$110*(((Inputs!$G$5:$G$110="moeda")+(Inputs!$G$5:$G$110="acoes"))*Inputs!$B$1+((Inputs!$G$5:$G$110&lt;&gt;"moeda")*(Inputs!$G$5:$G$110&lt;&gt;"acoes")))*INDEX(Inputs!$K$5:$AJ$110,0,MATCH(J$2,Inputs!$K$4:$AJ$4,0)))+SUMPRODUCT((Inputs!$C$5:$C$110=$B39)*Inputs!$D$5:$D$110*(((Inputs!$G$5:$G$110="moeda")+(Inputs!$G$5:$G$110="acoes"))*Inputs!$B$1+((Inputs!$G$5:$G$110&lt;&gt;"moeda")*(Inputs!$G$5:$G$110&lt;&gt;"acoes")))*INDEX(Inputs!$K$5:$AJ$110,0,MATCH(J$2,Inputs!$K$4:$AJ$4,0)))+SUMPRODUCT((Inputs!$E$5:$E$110=$B39)*Inputs!$F$5:$F$110*(((Inputs!$G$5:$G$110="moeda")+(Inputs!$G$5:$G$110="acoes"))*Inputs!$B$1+((Inputs!$G$5:$G$110&lt;&gt;"moeda")*(Inputs!$G$5:$G$110&lt;&gt;"acoes")))*INDEX(Inputs!$K$5:$AJ$110,0,MATCH(J$2,Inputs!$K$4:$AJ$4,0)))))</f>
        <v>4530</v>
      </c>
      <c r="K39" s="6">
        <f>IF(ISNA(MATCH(K$2,Inputs!$K$4:$AJ$4,0)),NA(),IF(SUMPRODUCT((Inputs!$A$5:$A$110=$B39)*ISNUMBER(INDEX(Inputs!$K$5:$AJ$110,0,MATCH(K$2,Inputs!$K$4:$AJ$4,0))))+SUMPRODUCT((Inputs!$C$5:$C$110=$B39)*ISNUMBER(INDEX(Inputs!$K$5:$AJ$110,0,MATCH(K$2,Inputs!$K$4:$AJ$4,0))))+SUMPRODUCT((Inputs!$E$5:$E$110=$B39)*ISNUMBER(INDEX(Inputs!$K$5:$AJ$110,0,MATCH(K$2,Inputs!$K$4:$AJ$4,0))))=0,NA(),SUMPRODUCT((Inputs!$A$5:$A$110=$B39)*Inputs!$B$5:$B$110*(((Inputs!$G$5:$G$110="moeda")+(Inputs!$G$5:$G$110="acoes"))*Inputs!$B$1+((Inputs!$G$5:$G$110&lt;&gt;"moeda")*(Inputs!$G$5:$G$110&lt;&gt;"acoes")))*INDEX(Inputs!$K$5:$AJ$110,0,MATCH(K$2,Inputs!$K$4:$AJ$4,0)))+SUMPRODUCT((Inputs!$C$5:$C$110=$B39)*Inputs!$D$5:$D$110*(((Inputs!$G$5:$G$110="moeda")+(Inputs!$G$5:$G$110="acoes"))*Inputs!$B$1+((Inputs!$G$5:$G$110&lt;&gt;"moeda")*(Inputs!$G$5:$G$110&lt;&gt;"acoes")))*INDEX(Inputs!$K$5:$AJ$110,0,MATCH(K$2,Inputs!$K$4:$AJ$4,0)))+SUMPRODUCT((Inputs!$E$5:$E$110=$B39)*Inputs!$F$5:$F$110*(((Inputs!$G$5:$G$110="moeda")+(Inputs!$G$5:$G$110="acoes"))*Inputs!$B$1+((Inputs!$G$5:$G$110&lt;&gt;"moeda")*(Inputs!$G$5:$G$110&lt;&gt;"acoes")))*INDEX(Inputs!$K$5:$AJ$110,0,MATCH(K$2,Inputs!$K$4:$AJ$4,0)))))</f>
        <v>4413</v>
      </c>
      <c r="L39" s="6">
        <f>IF(ISNA(MATCH(L$2,Inputs!$K$4:$AJ$4,0)),NA(),IF(SUMPRODUCT((Inputs!$A$5:$A$110=$B39)*ISNUMBER(INDEX(Inputs!$K$5:$AJ$110,0,MATCH(L$2,Inputs!$K$4:$AJ$4,0))))+SUMPRODUCT((Inputs!$C$5:$C$110=$B39)*ISNUMBER(INDEX(Inputs!$K$5:$AJ$110,0,MATCH(L$2,Inputs!$K$4:$AJ$4,0))))+SUMPRODUCT((Inputs!$E$5:$E$110=$B39)*ISNUMBER(INDEX(Inputs!$K$5:$AJ$110,0,MATCH(L$2,Inputs!$K$4:$AJ$4,0))))=0,NA(),SUMPRODUCT((Inputs!$A$5:$A$110=$B39)*Inputs!$B$5:$B$110*(((Inputs!$G$5:$G$110="moeda")+(Inputs!$G$5:$G$110="acoes"))*Inputs!$B$1+((Inputs!$G$5:$G$110&lt;&gt;"moeda")*(Inputs!$G$5:$G$110&lt;&gt;"acoes")))*INDEX(Inputs!$K$5:$AJ$110,0,MATCH(L$2,Inputs!$K$4:$AJ$4,0)))+SUMPRODUCT((Inputs!$C$5:$C$110=$B39)*Inputs!$D$5:$D$110*(((Inputs!$G$5:$G$110="moeda")+(Inputs!$G$5:$G$110="acoes"))*Inputs!$B$1+((Inputs!$G$5:$G$110&lt;&gt;"moeda")*(Inputs!$G$5:$G$110&lt;&gt;"acoes")))*INDEX(Inputs!$K$5:$AJ$110,0,MATCH(L$2,Inputs!$K$4:$AJ$4,0)))+SUMPRODUCT((Inputs!$E$5:$E$110=$B39)*Inputs!$F$5:$F$110*(((Inputs!$G$5:$G$110="moeda")+(Inputs!$G$5:$G$110="acoes"))*Inputs!$B$1+((Inputs!$G$5:$G$110&lt;&gt;"moeda")*(Inputs!$G$5:$G$110&lt;&gt;"acoes")))*INDEX(Inputs!$K$5:$AJ$110,0,MATCH(L$2,Inputs!$K$4:$AJ$4,0)))))</f>
        <v>4016</v>
      </c>
      <c r="M39" s="3">
        <f>L39</f>
        <v>4016</v>
      </c>
      <c r="N39" s="6">
        <f>IF(ISNA(MATCH(N$2,Inputs!$K$4:$AJ$4,0)),NA(),IF(SUMPRODUCT((Inputs!$A$5:$A$110=$B39)*ISNUMBER(INDEX(Inputs!$K$5:$AJ$110,0,MATCH(N$2,Inputs!$K$4:$AJ$4,0))))+SUMPRODUCT((Inputs!$C$5:$C$110=$B39)*ISNUMBER(INDEX(Inputs!$K$5:$AJ$110,0,MATCH(N$2,Inputs!$K$4:$AJ$4,0))))+SUMPRODUCT((Inputs!$E$5:$E$110=$B39)*ISNUMBER(INDEX(Inputs!$K$5:$AJ$110,0,MATCH(N$2,Inputs!$K$4:$AJ$4,0))))=0,NA(),SUMPRODUCT((Inputs!$A$5:$A$110=$B39)*Inputs!$B$5:$B$110*(((Inputs!$G$5:$G$110="moeda")+(Inputs!$G$5:$G$110="acoes"))*Inputs!$B$1+((Inputs!$G$5:$G$110&lt;&gt;"moeda")*(Inputs!$G$5:$G$110&lt;&gt;"acoes")))*INDEX(Inputs!$K$5:$AJ$110,0,MATCH(N$2,Inputs!$K$4:$AJ$4,0)))+SUMPRODUCT((Inputs!$C$5:$C$110=$B39)*Inputs!$D$5:$D$110*(((Inputs!$G$5:$G$110="moeda")+(Inputs!$G$5:$G$110="acoes"))*Inputs!$B$1+((Inputs!$G$5:$G$110&lt;&gt;"moeda")*(Inputs!$G$5:$G$110&lt;&gt;"acoes")))*INDEX(Inputs!$K$5:$AJ$110,0,MATCH(N$2,Inputs!$K$4:$AJ$4,0)))+SUMPRODUCT((Inputs!$E$5:$E$110=$B39)*Inputs!$F$5:$F$110*(((Inputs!$G$5:$G$110="moeda")+(Inputs!$G$5:$G$110="acoes"))*Inputs!$B$1+((Inputs!$G$5:$G$110&lt;&gt;"moeda")*(Inputs!$G$5:$G$110&lt;&gt;"acoes")))*INDEX(Inputs!$K$5:$AJ$110,0,MATCH(N$2,Inputs!$K$4:$AJ$4,0)))))</f>
        <v>3955</v>
      </c>
      <c r="O39" s="6">
        <f>IF(ISNA(MATCH(O$2,Inputs!$K$4:$AJ$4,0)),NA(),IF(SUMPRODUCT((Inputs!$A$5:$A$110=$B39)*ISNUMBER(INDEX(Inputs!$K$5:$AJ$110,0,MATCH(O$2,Inputs!$K$4:$AJ$4,0))))+SUMPRODUCT((Inputs!$C$5:$C$110=$B39)*ISNUMBER(INDEX(Inputs!$K$5:$AJ$110,0,MATCH(O$2,Inputs!$K$4:$AJ$4,0))))+SUMPRODUCT((Inputs!$E$5:$E$110=$B39)*ISNUMBER(INDEX(Inputs!$K$5:$AJ$110,0,MATCH(O$2,Inputs!$K$4:$AJ$4,0))))=0,NA(),SUMPRODUCT((Inputs!$A$5:$A$110=$B39)*Inputs!$B$5:$B$110*(((Inputs!$G$5:$G$110="moeda")+(Inputs!$G$5:$G$110="acoes"))*Inputs!$B$1+((Inputs!$G$5:$G$110&lt;&gt;"moeda")*(Inputs!$G$5:$G$110&lt;&gt;"acoes")))*INDEX(Inputs!$K$5:$AJ$110,0,MATCH(O$2,Inputs!$K$4:$AJ$4,0)))+SUMPRODUCT((Inputs!$C$5:$C$110=$B39)*Inputs!$D$5:$D$110*(((Inputs!$G$5:$G$110="moeda")+(Inputs!$G$5:$G$110="acoes"))*Inputs!$B$1+((Inputs!$G$5:$G$110&lt;&gt;"moeda")*(Inputs!$G$5:$G$110&lt;&gt;"acoes")))*INDEX(Inputs!$K$5:$AJ$110,0,MATCH(O$2,Inputs!$K$4:$AJ$4,0)))+SUMPRODUCT((Inputs!$E$5:$E$110=$B39)*Inputs!$F$5:$F$110*(((Inputs!$G$5:$G$110="moeda")+(Inputs!$G$5:$G$110="acoes"))*Inputs!$B$1+((Inputs!$G$5:$G$110&lt;&gt;"moeda")*(Inputs!$G$5:$G$110&lt;&gt;"acoes")))*INDEX(Inputs!$K$5:$AJ$110,0,MATCH(O$2,Inputs!$K$4:$AJ$4,0)))))</f>
        <v>3949</v>
      </c>
      <c r="P39" s="6">
        <f>IF(ISNA(MATCH(P$2,Inputs!$K$4:$AJ$4,0)),NA(),IF(SUMPRODUCT((Inputs!$A$5:$A$110=$B39)*ISNUMBER(INDEX(Inputs!$K$5:$AJ$110,0,MATCH(P$2,Inputs!$K$4:$AJ$4,0))))+SUMPRODUCT((Inputs!$C$5:$C$110=$B39)*ISNUMBER(INDEX(Inputs!$K$5:$AJ$110,0,MATCH(P$2,Inputs!$K$4:$AJ$4,0))))+SUMPRODUCT((Inputs!$E$5:$E$110=$B39)*ISNUMBER(INDEX(Inputs!$K$5:$AJ$110,0,MATCH(P$2,Inputs!$K$4:$AJ$4,0))))=0,NA(),SUMPRODUCT((Inputs!$A$5:$A$110=$B39)*Inputs!$B$5:$B$110*(((Inputs!$G$5:$G$110="moeda")+(Inputs!$G$5:$G$110="acoes"))*Inputs!$B$1+((Inputs!$G$5:$G$110&lt;&gt;"moeda")*(Inputs!$G$5:$G$110&lt;&gt;"acoes")))*INDEX(Inputs!$K$5:$AJ$110,0,MATCH(P$2,Inputs!$K$4:$AJ$4,0)))+SUMPRODUCT((Inputs!$C$5:$C$110=$B39)*Inputs!$D$5:$D$110*(((Inputs!$G$5:$G$110="moeda")+(Inputs!$G$5:$G$110="acoes"))*Inputs!$B$1+((Inputs!$G$5:$G$110&lt;&gt;"moeda")*(Inputs!$G$5:$G$110&lt;&gt;"acoes")))*INDEX(Inputs!$K$5:$AJ$110,0,MATCH(P$2,Inputs!$K$4:$AJ$4,0)))+SUMPRODUCT((Inputs!$E$5:$E$110=$B39)*Inputs!$F$5:$F$110*(((Inputs!$G$5:$G$110="moeda")+(Inputs!$G$5:$G$110="acoes"))*Inputs!$B$1+((Inputs!$G$5:$G$110&lt;&gt;"moeda")*(Inputs!$G$5:$G$110&lt;&gt;"acoes")))*INDEX(Inputs!$K$5:$AJ$110,0,MATCH(P$2,Inputs!$K$4:$AJ$4,0)))))</f>
        <v>3847</v>
      </c>
      <c r="Q39" s="6">
        <f>IF(ISNA(MATCH(Q$2,Inputs!$K$4:$AJ$4,0)),NA(),IF(SUMPRODUCT((Inputs!$A$5:$A$110=$B39)*ISNUMBER(INDEX(Inputs!$K$5:$AJ$110,0,MATCH(Q$2,Inputs!$K$4:$AJ$4,0))))+SUMPRODUCT((Inputs!$C$5:$C$110=$B39)*ISNUMBER(INDEX(Inputs!$K$5:$AJ$110,0,MATCH(Q$2,Inputs!$K$4:$AJ$4,0))))+SUMPRODUCT((Inputs!$E$5:$E$110=$B39)*ISNUMBER(INDEX(Inputs!$K$5:$AJ$110,0,MATCH(Q$2,Inputs!$K$4:$AJ$4,0))))=0,NA(),SUMPRODUCT((Inputs!$A$5:$A$110=$B39)*Inputs!$B$5:$B$110*(((Inputs!$G$5:$G$110="moeda")+(Inputs!$G$5:$G$110="acoes"))*Inputs!$B$1+((Inputs!$G$5:$G$110&lt;&gt;"moeda")*(Inputs!$G$5:$G$110&lt;&gt;"acoes")))*INDEX(Inputs!$K$5:$AJ$110,0,MATCH(Q$2,Inputs!$K$4:$AJ$4,0)))+SUMPRODUCT((Inputs!$C$5:$C$110=$B39)*Inputs!$D$5:$D$110*(((Inputs!$G$5:$G$110="moeda")+(Inputs!$G$5:$G$110="acoes"))*Inputs!$B$1+((Inputs!$G$5:$G$110&lt;&gt;"moeda")*(Inputs!$G$5:$G$110&lt;&gt;"acoes")))*INDEX(Inputs!$K$5:$AJ$110,0,MATCH(Q$2,Inputs!$K$4:$AJ$4,0)))+SUMPRODUCT((Inputs!$E$5:$E$110=$B39)*Inputs!$F$5:$F$110*(((Inputs!$G$5:$G$110="moeda")+(Inputs!$G$5:$G$110="acoes"))*Inputs!$B$1+((Inputs!$G$5:$G$110&lt;&gt;"moeda")*(Inputs!$G$5:$G$110&lt;&gt;"acoes")))*INDEX(Inputs!$K$5:$AJ$110,0,MATCH(Q$2,Inputs!$K$4:$AJ$4,0)))))</f>
        <v>13749</v>
      </c>
      <c r="R39" s="3">
        <f>Q39</f>
        <v>13749</v>
      </c>
      <c r="S39" s="6">
        <f>IF(ISNA(MATCH(S$2,Inputs!$K$4:$AJ$4,0)),NA(),IF(SUMPRODUCT((Inputs!$A$5:$A$110=$B39)*ISNUMBER(INDEX(Inputs!$K$5:$AJ$110,0,MATCH(S$2,Inputs!$K$4:$AJ$4,0))))+SUMPRODUCT((Inputs!$C$5:$C$110=$B39)*ISNUMBER(INDEX(Inputs!$K$5:$AJ$110,0,MATCH(S$2,Inputs!$K$4:$AJ$4,0))))+SUMPRODUCT((Inputs!$E$5:$E$110=$B39)*ISNUMBER(INDEX(Inputs!$K$5:$AJ$110,0,MATCH(S$2,Inputs!$K$4:$AJ$4,0))))=0,NA(),SUMPRODUCT((Inputs!$A$5:$A$110=$B39)*Inputs!$B$5:$B$110*(((Inputs!$G$5:$G$110="moeda")+(Inputs!$G$5:$G$110="acoes"))*Inputs!$B$1+((Inputs!$G$5:$G$110&lt;&gt;"moeda")*(Inputs!$G$5:$G$110&lt;&gt;"acoes")))*INDEX(Inputs!$K$5:$AJ$110,0,MATCH(S$2,Inputs!$K$4:$AJ$4,0)))+SUMPRODUCT((Inputs!$C$5:$C$110=$B39)*Inputs!$D$5:$D$110*(((Inputs!$G$5:$G$110="moeda")+(Inputs!$G$5:$G$110="acoes"))*Inputs!$B$1+((Inputs!$G$5:$G$110&lt;&gt;"moeda")*(Inputs!$G$5:$G$110&lt;&gt;"acoes")))*INDEX(Inputs!$K$5:$AJ$110,0,MATCH(S$2,Inputs!$K$4:$AJ$4,0)))+SUMPRODUCT((Inputs!$E$5:$E$110=$B39)*Inputs!$F$5:$F$110*(((Inputs!$G$5:$G$110="moeda")+(Inputs!$G$5:$G$110="acoes"))*Inputs!$B$1+((Inputs!$G$5:$G$110&lt;&gt;"moeda")*(Inputs!$G$5:$G$110&lt;&gt;"acoes")))*INDEX(Inputs!$K$5:$AJ$110,0,MATCH(S$2,Inputs!$K$4:$AJ$4,0)))))</f>
        <v>13489</v>
      </c>
      <c r="T39" s="6">
        <f>IF(ISNA(MATCH(T$2,Inputs!$K$4:$AJ$4,0)),NA(),IF(SUMPRODUCT((Inputs!$A$5:$A$110=$B39)*ISNUMBER(INDEX(Inputs!$K$5:$AJ$110,0,MATCH(T$2,Inputs!$K$4:$AJ$4,0))))+SUMPRODUCT((Inputs!$C$5:$C$110=$B39)*ISNUMBER(INDEX(Inputs!$K$5:$AJ$110,0,MATCH(T$2,Inputs!$K$4:$AJ$4,0))))+SUMPRODUCT((Inputs!$E$5:$E$110=$B39)*ISNUMBER(INDEX(Inputs!$K$5:$AJ$110,0,MATCH(T$2,Inputs!$K$4:$AJ$4,0))))=0,NA(),SUMPRODUCT((Inputs!$A$5:$A$110=$B39)*Inputs!$B$5:$B$110*(((Inputs!$G$5:$G$110="moeda")+(Inputs!$G$5:$G$110="acoes"))*Inputs!$B$1+((Inputs!$G$5:$G$110&lt;&gt;"moeda")*(Inputs!$G$5:$G$110&lt;&gt;"acoes")))*INDEX(Inputs!$K$5:$AJ$110,0,MATCH(T$2,Inputs!$K$4:$AJ$4,0)))+SUMPRODUCT((Inputs!$C$5:$C$110=$B39)*Inputs!$D$5:$D$110*(((Inputs!$G$5:$G$110="moeda")+(Inputs!$G$5:$G$110="acoes"))*Inputs!$B$1+((Inputs!$G$5:$G$110&lt;&gt;"moeda")*(Inputs!$G$5:$G$110&lt;&gt;"acoes")))*INDEX(Inputs!$K$5:$AJ$110,0,MATCH(T$2,Inputs!$K$4:$AJ$4,0)))+SUMPRODUCT((Inputs!$E$5:$E$110=$B39)*Inputs!$F$5:$F$110*(((Inputs!$G$5:$G$110="moeda")+(Inputs!$G$5:$G$110="acoes"))*Inputs!$B$1+((Inputs!$G$5:$G$110&lt;&gt;"moeda")*(Inputs!$G$5:$G$110&lt;&gt;"acoes")))*INDEX(Inputs!$K$5:$AJ$110,0,MATCH(T$2,Inputs!$K$4:$AJ$4,0)))))</f>
        <v>16296</v>
      </c>
      <c r="U39" s="6">
        <f>IF(ISNA(MATCH(U$2,Inputs!$K$4:$AJ$4,0)),NA(),IF(SUMPRODUCT((Inputs!$A$5:$A$110=$B39)*ISNUMBER(INDEX(Inputs!$K$5:$AJ$110,0,MATCH(U$2,Inputs!$K$4:$AJ$4,0))))+SUMPRODUCT((Inputs!$C$5:$C$110=$B39)*ISNUMBER(INDEX(Inputs!$K$5:$AJ$110,0,MATCH(U$2,Inputs!$K$4:$AJ$4,0))))+SUMPRODUCT((Inputs!$E$5:$E$110=$B39)*ISNUMBER(INDEX(Inputs!$K$5:$AJ$110,0,MATCH(U$2,Inputs!$K$4:$AJ$4,0))))=0,NA(),SUMPRODUCT((Inputs!$A$5:$A$110=$B39)*Inputs!$B$5:$B$110*(((Inputs!$G$5:$G$110="moeda")+(Inputs!$G$5:$G$110="acoes"))*Inputs!$B$1+((Inputs!$G$5:$G$110&lt;&gt;"moeda")*(Inputs!$G$5:$G$110&lt;&gt;"acoes")))*INDEX(Inputs!$K$5:$AJ$110,0,MATCH(U$2,Inputs!$K$4:$AJ$4,0)))+SUMPRODUCT((Inputs!$C$5:$C$110=$B39)*Inputs!$D$5:$D$110*(((Inputs!$G$5:$G$110="moeda")+(Inputs!$G$5:$G$110="acoes"))*Inputs!$B$1+((Inputs!$G$5:$G$110&lt;&gt;"moeda")*(Inputs!$G$5:$G$110&lt;&gt;"acoes")))*INDEX(Inputs!$K$5:$AJ$110,0,MATCH(U$2,Inputs!$K$4:$AJ$4,0)))+SUMPRODUCT((Inputs!$E$5:$E$110=$B39)*Inputs!$F$5:$F$110*(((Inputs!$G$5:$G$110="moeda")+(Inputs!$G$5:$G$110="acoes"))*Inputs!$B$1+((Inputs!$G$5:$G$110&lt;&gt;"moeda")*(Inputs!$G$5:$G$110&lt;&gt;"acoes")))*INDEX(Inputs!$K$5:$AJ$110,0,MATCH(U$2,Inputs!$K$4:$AJ$4,0)))))</f>
        <v>14975</v>
      </c>
      <c r="V39" s="6">
        <f>IF(ISNA(MATCH(V$2,Inputs!$K$4:$AJ$4,0)),NA(),IF(SUMPRODUCT((Inputs!$A$5:$A$110=$B39)*ISNUMBER(INDEX(Inputs!$K$5:$AJ$110,0,MATCH(V$2,Inputs!$K$4:$AJ$4,0))))+SUMPRODUCT((Inputs!$C$5:$C$110=$B39)*ISNUMBER(INDEX(Inputs!$K$5:$AJ$110,0,MATCH(V$2,Inputs!$K$4:$AJ$4,0))))+SUMPRODUCT((Inputs!$E$5:$E$110=$B39)*ISNUMBER(INDEX(Inputs!$K$5:$AJ$110,0,MATCH(V$2,Inputs!$K$4:$AJ$4,0))))=0,NA(),SUMPRODUCT((Inputs!$A$5:$A$110=$B39)*Inputs!$B$5:$B$110*(((Inputs!$G$5:$G$110="moeda")+(Inputs!$G$5:$G$110="acoes"))*Inputs!$B$1+((Inputs!$G$5:$G$110&lt;&gt;"moeda")*(Inputs!$G$5:$G$110&lt;&gt;"acoes")))*INDEX(Inputs!$K$5:$AJ$110,0,MATCH(V$2,Inputs!$K$4:$AJ$4,0)))+SUMPRODUCT((Inputs!$C$5:$C$110=$B39)*Inputs!$D$5:$D$110*(((Inputs!$G$5:$G$110="moeda")+(Inputs!$G$5:$G$110="acoes"))*Inputs!$B$1+((Inputs!$G$5:$G$110&lt;&gt;"moeda")*(Inputs!$G$5:$G$110&lt;&gt;"acoes")))*INDEX(Inputs!$K$5:$AJ$110,0,MATCH(V$2,Inputs!$K$4:$AJ$4,0)))+SUMPRODUCT((Inputs!$E$5:$E$110=$B39)*Inputs!$F$5:$F$110*(((Inputs!$G$5:$G$110="moeda")+(Inputs!$G$5:$G$110="acoes"))*Inputs!$B$1+((Inputs!$G$5:$G$110&lt;&gt;"moeda")*(Inputs!$G$5:$G$110&lt;&gt;"acoes")))*INDEX(Inputs!$K$5:$AJ$110,0,MATCH(V$2,Inputs!$K$4:$AJ$4,0)))))</f>
        <v>13733</v>
      </c>
      <c r="W39" s="3">
        <f>V39</f>
        <v>13733</v>
      </c>
      <c r="X39" s="6">
        <f>IF(ISNA(MATCH(X$2,Inputs!$K$4:$AJ$4,0)),NA(),IF(SUMPRODUCT((Inputs!$A$5:$A$110=$B39)*ISNUMBER(INDEX(Inputs!$K$5:$AJ$110,0,MATCH(X$2,Inputs!$K$4:$AJ$4,0))))+SUMPRODUCT((Inputs!$C$5:$C$110=$B39)*ISNUMBER(INDEX(Inputs!$K$5:$AJ$110,0,MATCH(X$2,Inputs!$K$4:$AJ$4,0))))+SUMPRODUCT((Inputs!$E$5:$E$110=$B39)*ISNUMBER(INDEX(Inputs!$K$5:$AJ$110,0,MATCH(X$2,Inputs!$K$4:$AJ$4,0))))=0,NA(),SUMPRODUCT((Inputs!$A$5:$A$110=$B39)*Inputs!$B$5:$B$110*(((Inputs!$G$5:$G$110="moeda")+(Inputs!$G$5:$G$110="acoes"))*Inputs!$B$1+((Inputs!$G$5:$G$110&lt;&gt;"moeda")*(Inputs!$G$5:$G$110&lt;&gt;"acoes")))*INDEX(Inputs!$K$5:$AJ$110,0,MATCH(X$2,Inputs!$K$4:$AJ$4,0)))+SUMPRODUCT((Inputs!$C$5:$C$110=$B39)*Inputs!$D$5:$D$110*(((Inputs!$G$5:$G$110="moeda")+(Inputs!$G$5:$G$110="acoes"))*Inputs!$B$1+((Inputs!$G$5:$G$110&lt;&gt;"moeda")*(Inputs!$G$5:$G$110&lt;&gt;"acoes")))*INDEX(Inputs!$K$5:$AJ$110,0,MATCH(X$2,Inputs!$K$4:$AJ$4,0)))+SUMPRODUCT((Inputs!$E$5:$E$110=$B39)*Inputs!$F$5:$F$110*(((Inputs!$G$5:$G$110="moeda")+(Inputs!$G$5:$G$110="acoes"))*Inputs!$B$1+((Inputs!$G$5:$G$110&lt;&gt;"moeda")*(Inputs!$G$5:$G$110&lt;&gt;"acoes")))*INDEX(Inputs!$K$5:$AJ$110,0,MATCH(X$2,Inputs!$K$4:$AJ$4,0)))))</f>
        <v>12696</v>
      </c>
      <c r="Y39" s="6">
        <f>IF(ISNA(MATCH(Y$2,Inputs!$K$4:$AJ$4,0)),NA(),IF(SUMPRODUCT((Inputs!$A$5:$A$110=$B39)*ISNUMBER(INDEX(Inputs!$K$5:$AJ$110,0,MATCH(Y$2,Inputs!$K$4:$AJ$4,0))))+SUMPRODUCT((Inputs!$C$5:$C$110=$B39)*ISNUMBER(INDEX(Inputs!$K$5:$AJ$110,0,MATCH(Y$2,Inputs!$K$4:$AJ$4,0))))+SUMPRODUCT((Inputs!$E$5:$E$110=$B39)*ISNUMBER(INDEX(Inputs!$K$5:$AJ$110,0,MATCH(Y$2,Inputs!$K$4:$AJ$4,0))))=0,NA(),SUMPRODUCT((Inputs!$A$5:$A$110=$B39)*Inputs!$B$5:$B$110*(((Inputs!$G$5:$G$110="moeda")+(Inputs!$G$5:$G$110="acoes"))*Inputs!$B$1+((Inputs!$G$5:$G$110&lt;&gt;"moeda")*(Inputs!$G$5:$G$110&lt;&gt;"acoes")))*INDEX(Inputs!$K$5:$AJ$110,0,MATCH(Y$2,Inputs!$K$4:$AJ$4,0)))+SUMPRODUCT((Inputs!$C$5:$C$110=$B39)*Inputs!$D$5:$D$110*(((Inputs!$G$5:$G$110="moeda")+(Inputs!$G$5:$G$110="acoes"))*Inputs!$B$1+((Inputs!$G$5:$G$110&lt;&gt;"moeda")*(Inputs!$G$5:$G$110&lt;&gt;"acoes")))*INDEX(Inputs!$K$5:$AJ$110,0,MATCH(Y$2,Inputs!$K$4:$AJ$4,0)))+SUMPRODUCT((Inputs!$E$5:$E$110=$B39)*Inputs!$F$5:$F$110*(((Inputs!$G$5:$G$110="moeda")+(Inputs!$G$5:$G$110="acoes"))*Inputs!$B$1+((Inputs!$G$5:$G$110&lt;&gt;"moeda")*(Inputs!$G$5:$G$110&lt;&gt;"acoes")))*INDEX(Inputs!$K$5:$AJ$110,0,MATCH(Y$2,Inputs!$K$4:$AJ$4,0)))))</f>
        <v>12810</v>
      </c>
      <c r="Z39" s="6">
        <f>IF(ISNA(MATCH(Z$2,Inputs!$K$4:$AJ$4,0)),NA(),IF(SUMPRODUCT((Inputs!$A$5:$A$110=$B39)*ISNUMBER(INDEX(Inputs!$K$5:$AJ$110,0,MATCH(Z$2,Inputs!$K$4:$AJ$4,0))))+SUMPRODUCT((Inputs!$C$5:$C$110=$B39)*ISNUMBER(INDEX(Inputs!$K$5:$AJ$110,0,MATCH(Z$2,Inputs!$K$4:$AJ$4,0))))+SUMPRODUCT((Inputs!$E$5:$E$110=$B39)*ISNUMBER(INDEX(Inputs!$K$5:$AJ$110,0,MATCH(Z$2,Inputs!$K$4:$AJ$4,0))))=0,NA(),SUMPRODUCT((Inputs!$A$5:$A$110=$B39)*Inputs!$B$5:$B$110*(((Inputs!$G$5:$G$110="moeda")+(Inputs!$G$5:$G$110="acoes"))*Inputs!$B$1+((Inputs!$G$5:$G$110&lt;&gt;"moeda")*(Inputs!$G$5:$G$110&lt;&gt;"acoes")))*INDEX(Inputs!$K$5:$AJ$110,0,MATCH(Z$2,Inputs!$K$4:$AJ$4,0)))+SUMPRODUCT((Inputs!$C$5:$C$110=$B39)*Inputs!$D$5:$D$110*(((Inputs!$G$5:$G$110="moeda")+(Inputs!$G$5:$G$110="acoes"))*Inputs!$B$1+((Inputs!$G$5:$G$110&lt;&gt;"moeda")*(Inputs!$G$5:$G$110&lt;&gt;"acoes")))*INDEX(Inputs!$K$5:$AJ$110,0,MATCH(Z$2,Inputs!$K$4:$AJ$4,0)))+SUMPRODUCT((Inputs!$E$5:$E$110=$B39)*Inputs!$F$5:$F$110*(((Inputs!$G$5:$G$110="moeda")+(Inputs!$G$5:$G$110="acoes"))*Inputs!$B$1+((Inputs!$G$5:$G$110&lt;&gt;"moeda")*(Inputs!$G$5:$G$110&lt;&gt;"acoes")))*INDEX(Inputs!$K$5:$AJ$110,0,MATCH(Z$2,Inputs!$K$4:$AJ$4,0)))))</f>
        <v>9302</v>
      </c>
      <c r="AA39" s="6">
        <f>IF(ISNA(MATCH(AA$2,Inputs!$K$4:$AJ$4,0)),NA(),IF(SUMPRODUCT((Inputs!$A$5:$A$110=$B39)*ISNUMBER(INDEX(Inputs!$K$5:$AJ$110,0,MATCH(AA$2,Inputs!$K$4:$AJ$4,0))))+SUMPRODUCT((Inputs!$C$5:$C$110=$B39)*ISNUMBER(INDEX(Inputs!$K$5:$AJ$110,0,MATCH(AA$2,Inputs!$K$4:$AJ$4,0))))+SUMPRODUCT((Inputs!$E$5:$E$110=$B39)*ISNUMBER(INDEX(Inputs!$K$5:$AJ$110,0,MATCH(AA$2,Inputs!$K$4:$AJ$4,0))))=0,NA(),SUMPRODUCT((Inputs!$A$5:$A$110=$B39)*Inputs!$B$5:$B$110*(((Inputs!$G$5:$G$110="moeda")+(Inputs!$G$5:$G$110="acoes"))*Inputs!$B$1+((Inputs!$G$5:$G$110&lt;&gt;"moeda")*(Inputs!$G$5:$G$110&lt;&gt;"acoes")))*INDEX(Inputs!$K$5:$AJ$110,0,MATCH(AA$2,Inputs!$K$4:$AJ$4,0)))+SUMPRODUCT((Inputs!$C$5:$C$110=$B39)*Inputs!$D$5:$D$110*(((Inputs!$G$5:$G$110="moeda")+(Inputs!$G$5:$G$110="acoes"))*Inputs!$B$1+((Inputs!$G$5:$G$110&lt;&gt;"moeda")*(Inputs!$G$5:$G$110&lt;&gt;"acoes")))*INDEX(Inputs!$K$5:$AJ$110,0,MATCH(AA$2,Inputs!$K$4:$AJ$4,0)))+SUMPRODUCT((Inputs!$E$5:$E$110=$B39)*Inputs!$F$5:$F$110*(((Inputs!$G$5:$G$110="moeda")+(Inputs!$G$5:$G$110="acoes"))*Inputs!$B$1+((Inputs!$G$5:$G$110&lt;&gt;"moeda")*(Inputs!$G$5:$G$110&lt;&gt;"acoes")))*INDEX(Inputs!$K$5:$AJ$110,0,MATCH(AA$2,Inputs!$K$4:$AJ$4,0)))))</f>
        <v>9367</v>
      </c>
      <c r="AB39" s="3">
        <f>AA39</f>
        <v>9367</v>
      </c>
      <c r="AC39" s="6">
        <f>IF(ISNA(MATCH(AC$2,Inputs!$K$4:$AJ$4,0)),NA(),IF(SUMPRODUCT((Inputs!$A$5:$A$110=$B39)*ISNUMBER(INDEX(Inputs!$K$5:$AJ$110,0,MATCH(AC$2,Inputs!$K$4:$AJ$4,0))))+SUMPRODUCT((Inputs!$C$5:$C$110=$B39)*ISNUMBER(INDEX(Inputs!$K$5:$AJ$110,0,MATCH(AC$2,Inputs!$K$4:$AJ$4,0))))+SUMPRODUCT((Inputs!$E$5:$E$110=$B39)*ISNUMBER(INDEX(Inputs!$K$5:$AJ$110,0,MATCH(AC$2,Inputs!$K$4:$AJ$4,0))))=0,NA(),SUMPRODUCT((Inputs!$A$5:$A$110=$B39)*Inputs!$B$5:$B$110*(((Inputs!$G$5:$G$110="moeda")+(Inputs!$G$5:$G$110="acoes"))*Inputs!$B$1+((Inputs!$G$5:$G$110&lt;&gt;"moeda")*(Inputs!$G$5:$G$110&lt;&gt;"acoes")))*INDEX(Inputs!$K$5:$AJ$110,0,MATCH(AC$2,Inputs!$K$4:$AJ$4,0)))+SUMPRODUCT((Inputs!$C$5:$C$110=$B39)*Inputs!$D$5:$D$110*(((Inputs!$G$5:$G$110="moeda")+(Inputs!$G$5:$G$110="acoes"))*Inputs!$B$1+((Inputs!$G$5:$G$110&lt;&gt;"moeda")*(Inputs!$G$5:$G$110&lt;&gt;"acoes")))*INDEX(Inputs!$K$5:$AJ$110,0,MATCH(AC$2,Inputs!$K$4:$AJ$4,0)))+SUMPRODUCT((Inputs!$E$5:$E$110=$B39)*Inputs!$F$5:$F$110*(((Inputs!$G$5:$G$110="moeda")+(Inputs!$G$5:$G$110="acoes"))*Inputs!$B$1+((Inputs!$G$5:$G$110&lt;&gt;"moeda")*(Inputs!$G$5:$G$110&lt;&gt;"acoes")))*INDEX(Inputs!$K$5:$AJ$110,0,MATCH(AC$2,Inputs!$K$4:$AJ$4,0)))))</f>
        <v>9950</v>
      </c>
      <c r="AD39" s="6">
        <f>IF(ISNA(MATCH(AD$2,Inputs!$K$4:$AJ$4,0)),NA(),IF(SUMPRODUCT((Inputs!$A$5:$A$110=$B39)*ISNUMBER(INDEX(Inputs!$K$5:$AJ$110,0,MATCH(AD$2,Inputs!$K$4:$AJ$4,0))))+SUMPRODUCT((Inputs!$C$5:$C$110=$B39)*ISNUMBER(INDEX(Inputs!$K$5:$AJ$110,0,MATCH(AD$2,Inputs!$K$4:$AJ$4,0))))+SUMPRODUCT((Inputs!$E$5:$E$110=$B39)*ISNUMBER(INDEX(Inputs!$K$5:$AJ$110,0,MATCH(AD$2,Inputs!$K$4:$AJ$4,0))))=0,NA(),SUMPRODUCT((Inputs!$A$5:$A$110=$B39)*Inputs!$B$5:$B$110*(((Inputs!$G$5:$G$110="moeda")+(Inputs!$G$5:$G$110="acoes"))*Inputs!$B$1+((Inputs!$G$5:$G$110&lt;&gt;"moeda")*(Inputs!$G$5:$G$110&lt;&gt;"acoes")))*INDEX(Inputs!$K$5:$AJ$110,0,MATCH(AD$2,Inputs!$K$4:$AJ$4,0)))+SUMPRODUCT((Inputs!$C$5:$C$110=$B39)*Inputs!$D$5:$D$110*(((Inputs!$G$5:$G$110="moeda")+(Inputs!$G$5:$G$110="acoes"))*Inputs!$B$1+((Inputs!$G$5:$G$110&lt;&gt;"moeda")*(Inputs!$G$5:$G$110&lt;&gt;"acoes")))*INDEX(Inputs!$K$5:$AJ$110,0,MATCH(AD$2,Inputs!$K$4:$AJ$4,0)))+SUMPRODUCT((Inputs!$E$5:$E$110=$B39)*Inputs!$F$5:$F$110*(((Inputs!$G$5:$G$110="moeda")+(Inputs!$G$5:$G$110="acoes"))*Inputs!$B$1+((Inputs!$G$5:$G$110&lt;&gt;"moeda")*(Inputs!$G$5:$G$110&lt;&gt;"acoes")))*INDEX(Inputs!$K$5:$AJ$110,0,MATCH(AD$2,Inputs!$K$4:$AJ$4,0)))))</f>
        <v>10453</v>
      </c>
      <c r="AE39" s="6" t="e">
        <f>IF(ISNA(MATCH(AE$2,Inputs!$K$4:$AJ$4,0)),NA(),IF(SUMPRODUCT((Inputs!$A$5:$A$110=$B39)*ISNUMBER(INDEX(Inputs!$K$5:$AJ$110,0,MATCH(AE$2,Inputs!$K$4:$AJ$4,0))))+SUMPRODUCT((Inputs!$C$5:$C$110=$B39)*ISNUMBER(INDEX(Inputs!$K$5:$AJ$110,0,MATCH(AE$2,Inputs!$K$4:$AJ$4,0))))+SUMPRODUCT((Inputs!$E$5:$E$110=$B39)*ISNUMBER(INDEX(Inputs!$K$5:$AJ$110,0,MATCH(AE$2,Inputs!$K$4:$AJ$4,0))))=0,NA(),SUMPRODUCT((Inputs!$A$5:$A$110=$B39)*Inputs!$B$5:$B$110*(((Inputs!$G$5:$G$110="moeda")+(Inputs!$G$5:$G$110="acoes"))*Inputs!$B$1+((Inputs!$G$5:$G$110&lt;&gt;"moeda")*(Inputs!$G$5:$G$110&lt;&gt;"acoes")))*INDEX(Inputs!$K$5:$AJ$110,0,MATCH(AE$2,Inputs!$K$4:$AJ$4,0)))+SUMPRODUCT((Inputs!$C$5:$C$110=$B39)*Inputs!$D$5:$D$110*(((Inputs!$G$5:$G$110="moeda")+(Inputs!$G$5:$G$110="acoes"))*Inputs!$B$1+((Inputs!$G$5:$G$110&lt;&gt;"moeda")*(Inputs!$G$5:$G$110&lt;&gt;"acoes")))*INDEX(Inputs!$K$5:$AJ$110,0,MATCH(AE$2,Inputs!$K$4:$AJ$4,0)))+SUMPRODUCT((Inputs!$E$5:$E$110=$B39)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9" s="6" t="e">
        <f>IF(ISNA(MATCH(AF$2,Inputs!$K$4:$AJ$4,0)),NA(),IF(SUMPRODUCT((Inputs!$A$5:$A$110=$B39)*ISNUMBER(INDEX(Inputs!$K$5:$AJ$110,0,MATCH(AF$2,Inputs!$K$4:$AJ$4,0))))+SUMPRODUCT((Inputs!$C$5:$C$110=$B39)*ISNUMBER(INDEX(Inputs!$K$5:$AJ$110,0,MATCH(AF$2,Inputs!$K$4:$AJ$4,0))))+SUMPRODUCT((Inputs!$E$5:$E$110=$B39)*ISNUMBER(INDEX(Inputs!$K$5:$AJ$110,0,MATCH(AF$2,Inputs!$K$4:$AJ$4,0))))=0,NA(),SUMPRODUCT((Inputs!$A$5:$A$110=$B39)*Inputs!$B$5:$B$110*(((Inputs!$G$5:$G$110="moeda")+(Inputs!$G$5:$G$110="acoes"))*Inputs!$B$1+((Inputs!$G$5:$G$110&lt;&gt;"moeda")*(Inputs!$G$5:$G$110&lt;&gt;"acoes")))*INDEX(Inputs!$K$5:$AJ$110,0,MATCH(AF$2,Inputs!$K$4:$AJ$4,0)))+SUMPRODUCT((Inputs!$C$5:$C$110=$B39)*Inputs!$D$5:$D$110*(((Inputs!$G$5:$G$110="moeda")+(Inputs!$G$5:$G$110="acoes"))*Inputs!$B$1+((Inputs!$G$5:$G$110&lt;&gt;"moeda")*(Inputs!$G$5:$G$110&lt;&gt;"acoes")))*INDEX(Inputs!$K$5:$AJ$110,0,MATCH(AF$2,Inputs!$K$4:$AJ$4,0)))+SUMPRODUCT((Inputs!$E$5:$E$110=$B39)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9" s="3" t="e">
        <f>AF39</f>
        <v>#N/A</v>
      </c>
      <c r="AH39" s="6">
        <f>IF(ISNA(MATCH(AH$2,Inputs!$K$4:$AJ$4,0)),NA(),IF(SUMPRODUCT((Inputs!$A$5:$A$110=$B39)*ISNUMBER(INDEX(Inputs!$K$5:$AJ$110,0,MATCH(AH$2,Inputs!$K$4:$AJ$4,0))))+SUMPRODUCT((Inputs!$C$5:$C$110=$B39)*ISNUMBER(INDEX(Inputs!$K$5:$AJ$110,0,MATCH(AH$2,Inputs!$K$4:$AJ$4,0))))+SUMPRODUCT((Inputs!$E$5:$E$110=$B39)*ISNUMBER(INDEX(Inputs!$K$5:$AJ$110,0,MATCH(AH$2,Inputs!$K$4:$AJ$4,0))))=0,NA(),SUMPRODUCT((Inputs!$A$5:$A$110=$B39)*Inputs!$B$5:$B$110*(((Inputs!$G$5:$G$110="moeda")+(Inputs!$G$5:$G$110="acoes"))*Inputs!$B$1+((Inputs!$G$5:$G$110&lt;&gt;"moeda")*(Inputs!$G$5:$G$110&lt;&gt;"acoes")))*INDEX(Inputs!$K$5:$AJ$110,0,MATCH(AH$2,Inputs!$K$4:$AJ$4,0)))+SUMPRODUCT((Inputs!$C$5:$C$110=$B39)*Inputs!$D$5:$D$110*(((Inputs!$G$5:$G$110="moeda")+(Inputs!$G$5:$G$110="acoes"))*Inputs!$B$1+((Inputs!$G$5:$G$110&lt;&gt;"moeda")*(Inputs!$G$5:$G$110&lt;&gt;"acoes")))*INDEX(Inputs!$K$5:$AJ$110,0,MATCH(AH$2,Inputs!$K$4:$AJ$4,0)))+SUMPRODUCT((Inputs!$E$5:$E$110=$B39)*Inputs!$F$5:$F$110*(((Inputs!$G$5:$G$110="moeda")+(Inputs!$G$5:$G$110="acoes"))*Inputs!$B$1+((Inputs!$G$5:$G$110&lt;&gt;"moeda")*(Inputs!$G$5:$G$110&lt;&gt;"acoes")))*INDEX(Inputs!$K$5:$AJ$110,0,MATCH(AH$2,Inputs!$K$4:$AJ$4,0)))))</f>
        <v>5933</v>
      </c>
      <c r="AI39" s="6">
        <f>IF(ISNA(MATCH(AI$2,Inputs!$K$4:$AJ$4,0)),NA(),IF(SUMPRODUCT((Inputs!$A$5:$A$110=$B39)*ISNUMBER(INDEX(Inputs!$K$5:$AJ$110,0,MATCH(AI$2,Inputs!$K$4:$AJ$4,0))))+SUMPRODUCT((Inputs!$C$5:$C$110=$B39)*ISNUMBER(INDEX(Inputs!$K$5:$AJ$110,0,MATCH(AI$2,Inputs!$K$4:$AJ$4,0))))+SUMPRODUCT((Inputs!$E$5:$E$110=$B39)*ISNUMBER(INDEX(Inputs!$K$5:$AJ$110,0,MATCH(AI$2,Inputs!$K$4:$AJ$4,0))))=0,NA(),SUMPRODUCT((Inputs!$A$5:$A$110=$B39)*Inputs!$B$5:$B$110*(((Inputs!$G$5:$G$110="moeda")+(Inputs!$G$5:$G$110="acoes"))*Inputs!$B$1+((Inputs!$G$5:$G$110&lt;&gt;"moeda")*(Inputs!$G$5:$G$110&lt;&gt;"acoes")))*INDEX(Inputs!$K$5:$AJ$110,0,MATCH(AI$2,Inputs!$K$4:$AJ$4,0)))+SUMPRODUCT((Inputs!$C$5:$C$110=$B39)*Inputs!$D$5:$D$110*(((Inputs!$G$5:$G$110="moeda")+(Inputs!$G$5:$G$110="acoes"))*Inputs!$B$1+((Inputs!$G$5:$G$110&lt;&gt;"moeda")*(Inputs!$G$5:$G$110&lt;&gt;"acoes")))*INDEX(Inputs!$K$5:$AJ$110,0,MATCH(AI$2,Inputs!$K$4:$AJ$4,0)))+SUMPRODUCT((Inputs!$E$5:$E$110=$B39)*Inputs!$F$5:$F$110*(((Inputs!$G$5:$G$110="moeda")+(Inputs!$G$5:$G$110="acoes"))*Inputs!$B$1+((Inputs!$G$5:$G$110&lt;&gt;"moeda")*(Inputs!$G$5:$G$110&lt;&gt;"acoes")))*INDEX(Inputs!$K$5:$AJ$110,0,MATCH(AI$2,Inputs!$K$4:$AJ$4,0)))))</f>
        <v>5810</v>
      </c>
      <c r="AJ39" s="6">
        <f>IF(ISNA(MATCH(AJ$2,Inputs!$K$4:$AJ$4,0)),NA(),IF(SUMPRODUCT((Inputs!$A$5:$A$110=$B39)*ISNUMBER(INDEX(Inputs!$K$5:$AJ$110,0,MATCH(AJ$2,Inputs!$K$4:$AJ$4,0))))+SUMPRODUCT((Inputs!$C$5:$C$110=$B39)*ISNUMBER(INDEX(Inputs!$K$5:$AJ$110,0,MATCH(AJ$2,Inputs!$K$4:$AJ$4,0))))+SUMPRODUCT((Inputs!$E$5:$E$110=$B39)*ISNUMBER(INDEX(Inputs!$K$5:$AJ$110,0,MATCH(AJ$2,Inputs!$K$4:$AJ$4,0))))=0,NA(),SUMPRODUCT((Inputs!$A$5:$A$110=$B39)*Inputs!$B$5:$B$110*(((Inputs!$G$5:$G$110="moeda")+(Inputs!$G$5:$G$110="acoes"))*Inputs!$B$1+((Inputs!$G$5:$G$110&lt;&gt;"moeda")*(Inputs!$G$5:$G$110&lt;&gt;"acoes")))*INDEX(Inputs!$K$5:$AJ$110,0,MATCH(AJ$2,Inputs!$K$4:$AJ$4,0)))+SUMPRODUCT((Inputs!$C$5:$C$110=$B39)*Inputs!$D$5:$D$110*(((Inputs!$G$5:$G$110="moeda")+(Inputs!$G$5:$G$110="acoes"))*Inputs!$B$1+((Inputs!$G$5:$G$110&lt;&gt;"moeda")*(Inputs!$G$5:$G$110&lt;&gt;"acoes")))*INDEX(Inputs!$K$5:$AJ$110,0,MATCH(AJ$2,Inputs!$K$4:$AJ$4,0)))+SUMPRODUCT((Inputs!$E$5:$E$110=$B39)*Inputs!$F$5:$F$110*(((Inputs!$G$5:$G$110="moeda")+(Inputs!$G$5:$G$110="acoes"))*Inputs!$B$1+((Inputs!$G$5:$G$110&lt;&gt;"moeda")*(Inputs!$G$5:$G$110&lt;&gt;"acoes")))*INDEX(Inputs!$K$5:$AJ$110,0,MATCH(AJ$2,Inputs!$K$4:$AJ$4,0)))))</f>
        <v>5426</v>
      </c>
      <c r="AK39" s="6">
        <f>IF(ISNA(MATCH(AK$2,Inputs!$K$4:$AJ$4,0)),NA(),IF(SUMPRODUCT((Inputs!$A$5:$A$110=$B39)*ISNUMBER(INDEX(Inputs!$K$5:$AJ$110,0,MATCH(AK$2,Inputs!$K$4:$AJ$4,0))))+SUMPRODUCT((Inputs!$C$5:$C$110=$B39)*ISNUMBER(INDEX(Inputs!$K$5:$AJ$110,0,MATCH(AK$2,Inputs!$K$4:$AJ$4,0))))+SUMPRODUCT((Inputs!$E$5:$E$110=$B39)*ISNUMBER(INDEX(Inputs!$K$5:$AJ$110,0,MATCH(AK$2,Inputs!$K$4:$AJ$4,0))))=0,NA(),SUMPRODUCT((Inputs!$A$5:$A$110=$B39)*Inputs!$B$5:$B$110*(((Inputs!$G$5:$G$110="moeda")+(Inputs!$G$5:$G$110="acoes"))*Inputs!$B$1+((Inputs!$G$5:$G$110&lt;&gt;"moeda")*(Inputs!$G$5:$G$110&lt;&gt;"acoes")))*INDEX(Inputs!$K$5:$AJ$110,0,MATCH(AK$2,Inputs!$K$4:$AJ$4,0)))+SUMPRODUCT((Inputs!$C$5:$C$110=$B39)*Inputs!$D$5:$D$110*(((Inputs!$G$5:$G$110="moeda")+(Inputs!$G$5:$G$110="acoes"))*Inputs!$B$1+((Inputs!$G$5:$G$110&lt;&gt;"moeda")*(Inputs!$G$5:$G$110&lt;&gt;"acoes")))*INDEX(Inputs!$K$5:$AJ$110,0,MATCH(AK$2,Inputs!$K$4:$AJ$4,0)))+SUMPRODUCT((Inputs!$E$5:$E$110=$B39)*Inputs!$F$5:$F$110*(((Inputs!$G$5:$G$110="moeda")+(Inputs!$G$5:$G$110="acoes"))*Inputs!$B$1+((Inputs!$G$5:$G$110&lt;&gt;"moeda")*(Inputs!$G$5:$G$110&lt;&gt;"acoes")))*INDEX(Inputs!$K$5:$AJ$110,0,MATCH(AK$2,Inputs!$K$4:$AJ$4,0)))))</f>
        <v>5211</v>
      </c>
      <c r="AL39" s="3">
        <f>AK39</f>
        <v>5211</v>
      </c>
    </row>
    <row r="40">
      <c r="C40" s="1" t="n"/>
    </row>
    <row r="41">
      <c r="B41" s="46" t="n">
        <v>35</v>
      </c>
      <c r="C41" s="26" t="inlineStr">
        <is>
          <t>Minority interest</t>
        </is>
      </c>
      <c r="D41" s="6">
        <f>IF(ISNA(MATCH(D$2,Inputs!$K$4:$AJ$4,0)),NA(),IF(SUMPRODUCT((Inputs!$A$5:$A$110=$B41)*ISNUMBER(INDEX(Inputs!$K$5:$AJ$110,0,MATCH(D$2,Inputs!$K$4:$AJ$4,0))))+SUMPRODUCT((Inputs!$C$5:$C$110=$B41)*ISNUMBER(INDEX(Inputs!$K$5:$AJ$110,0,MATCH(D$2,Inputs!$K$4:$AJ$4,0))))+SUMPRODUCT((Inputs!$E$5:$E$110=$B41)*ISNUMBER(INDEX(Inputs!$K$5:$AJ$110,0,MATCH(D$2,Inputs!$K$4:$AJ$4,0))))=0,NA(),SUMPRODUCT((Inputs!$A$5:$A$110=$B41)*Inputs!$B$5:$B$110*(((Inputs!$G$5:$G$110="moeda")+(Inputs!$G$5:$G$110="acoes"))*Inputs!$B$1+((Inputs!$G$5:$G$110&lt;&gt;"moeda")*(Inputs!$G$5:$G$110&lt;&gt;"acoes")))*INDEX(Inputs!$K$5:$AJ$110,0,MATCH(D$2,Inputs!$K$4:$AJ$4,0)))+SUMPRODUCT((Inputs!$C$5:$C$110=$B41)*Inputs!$D$5:$D$110*(((Inputs!$G$5:$G$110="moeda")+(Inputs!$G$5:$G$110="acoes"))*Inputs!$B$1+((Inputs!$G$5:$G$110&lt;&gt;"moeda")*(Inputs!$G$5:$G$110&lt;&gt;"acoes")))*INDEX(Inputs!$K$5:$AJ$110,0,MATCH(D$2,Inputs!$K$4:$AJ$4,0)))+SUMPRODUCT((Inputs!$E$5:$E$110=$B41)*Inputs!$F$5:$F$110*(((Inputs!$G$5:$G$110="moeda")+(Inputs!$G$5:$G$110="acoes"))*Inputs!$B$1+((Inputs!$G$5:$G$110&lt;&gt;"moeda")*(Inputs!$G$5:$G$110&lt;&gt;"acoes")))*INDEX(Inputs!$K$5:$AJ$110,0,MATCH(D$2,Inputs!$K$4:$AJ$4,0)))))</f>
        <v>0</v>
      </c>
      <c r="E41" s="6">
        <f>IF(ISNA(MATCH(E$2,Inputs!$K$4:$AJ$4,0)),NA(),IF(SUMPRODUCT((Inputs!$A$5:$A$110=$B41)*ISNUMBER(INDEX(Inputs!$K$5:$AJ$110,0,MATCH(E$2,Inputs!$K$4:$AJ$4,0))))+SUMPRODUCT((Inputs!$C$5:$C$110=$B41)*ISNUMBER(INDEX(Inputs!$K$5:$AJ$110,0,MATCH(E$2,Inputs!$K$4:$AJ$4,0))))+SUMPRODUCT((Inputs!$E$5:$E$110=$B41)*ISNUMBER(INDEX(Inputs!$K$5:$AJ$110,0,MATCH(E$2,Inputs!$K$4:$AJ$4,0))))=0,NA(),SUMPRODUCT((Inputs!$A$5:$A$110=$B41)*Inputs!$B$5:$B$110*(((Inputs!$G$5:$G$110="moeda")+(Inputs!$G$5:$G$110="acoes"))*Inputs!$B$1+((Inputs!$G$5:$G$110&lt;&gt;"moeda")*(Inputs!$G$5:$G$110&lt;&gt;"acoes")))*INDEX(Inputs!$K$5:$AJ$110,0,MATCH(E$2,Inputs!$K$4:$AJ$4,0)))+SUMPRODUCT((Inputs!$C$5:$C$110=$B41)*Inputs!$D$5:$D$110*(((Inputs!$G$5:$G$110="moeda")+(Inputs!$G$5:$G$110="acoes"))*Inputs!$B$1+((Inputs!$G$5:$G$110&lt;&gt;"moeda")*(Inputs!$G$5:$G$110&lt;&gt;"acoes")))*INDEX(Inputs!$K$5:$AJ$110,0,MATCH(E$2,Inputs!$K$4:$AJ$4,0)))+SUMPRODUCT((Inputs!$E$5:$E$110=$B41)*Inputs!$F$5:$F$110*(((Inputs!$G$5:$G$110="moeda")+(Inputs!$G$5:$G$110="acoes"))*Inputs!$B$1+((Inputs!$G$5:$G$110&lt;&gt;"moeda")*(Inputs!$G$5:$G$110&lt;&gt;"acoes")))*INDEX(Inputs!$K$5:$AJ$110,0,MATCH(E$2,Inputs!$K$4:$AJ$4,0)))))</f>
        <v>0</v>
      </c>
      <c r="F41" s="6">
        <f>IF(ISNA(MATCH(F$2,Inputs!$K$4:$AJ$4,0)),NA(),IF(SUMPRODUCT((Inputs!$A$5:$A$110=$B41)*ISNUMBER(INDEX(Inputs!$K$5:$AJ$110,0,MATCH(F$2,Inputs!$K$4:$AJ$4,0))))+SUMPRODUCT((Inputs!$C$5:$C$110=$B41)*ISNUMBER(INDEX(Inputs!$K$5:$AJ$110,0,MATCH(F$2,Inputs!$K$4:$AJ$4,0))))+SUMPRODUCT((Inputs!$E$5:$E$110=$B41)*ISNUMBER(INDEX(Inputs!$K$5:$AJ$110,0,MATCH(F$2,Inputs!$K$4:$AJ$4,0))))=0,NA(),SUMPRODUCT((Inputs!$A$5:$A$110=$B41)*Inputs!$B$5:$B$110*(((Inputs!$G$5:$G$110="moeda")+(Inputs!$G$5:$G$110="acoes"))*Inputs!$B$1+((Inputs!$G$5:$G$110&lt;&gt;"moeda")*(Inputs!$G$5:$G$110&lt;&gt;"acoes")))*INDEX(Inputs!$K$5:$AJ$110,0,MATCH(F$2,Inputs!$K$4:$AJ$4,0)))+SUMPRODUCT((Inputs!$C$5:$C$110=$B41)*Inputs!$D$5:$D$110*(((Inputs!$G$5:$G$110="moeda")+(Inputs!$G$5:$G$110="acoes"))*Inputs!$B$1+((Inputs!$G$5:$G$110&lt;&gt;"moeda")*(Inputs!$G$5:$G$110&lt;&gt;"acoes")))*INDEX(Inputs!$K$5:$AJ$110,0,MATCH(F$2,Inputs!$K$4:$AJ$4,0)))+SUMPRODUCT((Inputs!$E$5:$E$110=$B41)*Inputs!$F$5:$F$110*(((Inputs!$G$5:$G$110="moeda")+(Inputs!$G$5:$G$110="acoes"))*Inputs!$B$1+((Inputs!$G$5:$G$110&lt;&gt;"moeda")*(Inputs!$G$5:$G$110&lt;&gt;"acoes")))*INDEX(Inputs!$K$5:$AJ$110,0,MATCH(F$2,Inputs!$K$4:$AJ$4,0)))))</f>
        <v>0</v>
      </c>
      <c r="G41" s="6">
        <f>IF(ISNA(MATCH(G$2,Inputs!$K$4:$AJ$4,0)),NA(),IF(SUMPRODUCT((Inputs!$A$5:$A$110=$B41)*ISNUMBER(INDEX(Inputs!$K$5:$AJ$110,0,MATCH(G$2,Inputs!$K$4:$AJ$4,0))))+SUMPRODUCT((Inputs!$C$5:$C$110=$B41)*ISNUMBER(INDEX(Inputs!$K$5:$AJ$110,0,MATCH(G$2,Inputs!$K$4:$AJ$4,0))))+SUMPRODUCT((Inputs!$E$5:$E$110=$B41)*ISNUMBER(INDEX(Inputs!$K$5:$AJ$110,0,MATCH(G$2,Inputs!$K$4:$AJ$4,0))))=0,NA(),SUMPRODUCT((Inputs!$A$5:$A$110=$B41)*Inputs!$B$5:$B$110*(((Inputs!$G$5:$G$110="moeda")+(Inputs!$G$5:$G$110="acoes"))*Inputs!$B$1+((Inputs!$G$5:$G$110&lt;&gt;"moeda")*(Inputs!$G$5:$G$110&lt;&gt;"acoes")))*INDEX(Inputs!$K$5:$AJ$110,0,MATCH(G$2,Inputs!$K$4:$AJ$4,0)))+SUMPRODUCT((Inputs!$C$5:$C$110=$B41)*Inputs!$D$5:$D$110*(((Inputs!$G$5:$G$110="moeda")+(Inputs!$G$5:$G$110="acoes"))*Inputs!$B$1+((Inputs!$G$5:$G$110&lt;&gt;"moeda")*(Inputs!$G$5:$G$110&lt;&gt;"acoes")))*INDEX(Inputs!$K$5:$AJ$110,0,MATCH(G$2,Inputs!$K$4:$AJ$4,0)))+SUMPRODUCT((Inputs!$E$5:$E$110=$B41)*Inputs!$F$5:$F$110*(((Inputs!$G$5:$G$110="moeda")+(Inputs!$G$5:$G$110="acoes"))*Inputs!$B$1+((Inputs!$G$5:$G$110&lt;&gt;"moeda")*(Inputs!$G$5:$G$110&lt;&gt;"acoes")))*INDEX(Inputs!$K$5:$AJ$110,0,MATCH(G$2,Inputs!$K$4:$AJ$4,0)))))</f>
        <v>0</v>
      </c>
      <c r="H41" s="3">
        <f>G41</f>
        <v>0</v>
      </c>
      <c r="I41" s="6">
        <f>IF(ISNA(MATCH(I$2,Inputs!$K$4:$AJ$4,0)),NA(),IF(SUMPRODUCT((Inputs!$A$5:$A$110=$B41)*ISNUMBER(INDEX(Inputs!$K$5:$AJ$110,0,MATCH(I$2,Inputs!$K$4:$AJ$4,0))))+SUMPRODUCT((Inputs!$C$5:$C$110=$B41)*ISNUMBER(INDEX(Inputs!$K$5:$AJ$110,0,MATCH(I$2,Inputs!$K$4:$AJ$4,0))))+SUMPRODUCT((Inputs!$E$5:$E$110=$B41)*ISNUMBER(INDEX(Inputs!$K$5:$AJ$110,0,MATCH(I$2,Inputs!$K$4:$AJ$4,0))))=0,NA(),SUMPRODUCT((Inputs!$A$5:$A$110=$B41)*Inputs!$B$5:$B$110*(((Inputs!$G$5:$G$110="moeda")+(Inputs!$G$5:$G$110="acoes"))*Inputs!$B$1+((Inputs!$G$5:$G$110&lt;&gt;"moeda")*(Inputs!$G$5:$G$110&lt;&gt;"acoes")))*INDEX(Inputs!$K$5:$AJ$110,0,MATCH(I$2,Inputs!$K$4:$AJ$4,0)))+SUMPRODUCT((Inputs!$C$5:$C$110=$B41)*Inputs!$D$5:$D$110*(((Inputs!$G$5:$G$110="moeda")+(Inputs!$G$5:$G$110="acoes"))*Inputs!$B$1+((Inputs!$G$5:$G$110&lt;&gt;"moeda")*(Inputs!$G$5:$G$110&lt;&gt;"acoes")))*INDEX(Inputs!$K$5:$AJ$110,0,MATCH(I$2,Inputs!$K$4:$AJ$4,0)))+SUMPRODUCT((Inputs!$E$5:$E$110=$B41)*Inputs!$F$5:$F$110*(((Inputs!$G$5:$G$110="moeda")+(Inputs!$G$5:$G$110="acoes"))*Inputs!$B$1+((Inputs!$G$5:$G$110&lt;&gt;"moeda")*(Inputs!$G$5:$G$110&lt;&gt;"acoes")))*INDEX(Inputs!$K$5:$AJ$110,0,MATCH(I$2,Inputs!$K$4:$AJ$4,0)))))</f>
        <v>0</v>
      </c>
      <c r="J41" s="6">
        <f>IF(ISNA(MATCH(J$2,Inputs!$K$4:$AJ$4,0)),NA(),IF(SUMPRODUCT((Inputs!$A$5:$A$110=$B41)*ISNUMBER(INDEX(Inputs!$K$5:$AJ$110,0,MATCH(J$2,Inputs!$K$4:$AJ$4,0))))+SUMPRODUCT((Inputs!$C$5:$C$110=$B41)*ISNUMBER(INDEX(Inputs!$K$5:$AJ$110,0,MATCH(J$2,Inputs!$K$4:$AJ$4,0))))+SUMPRODUCT((Inputs!$E$5:$E$110=$B41)*ISNUMBER(INDEX(Inputs!$K$5:$AJ$110,0,MATCH(J$2,Inputs!$K$4:$AJ$4,0))))=0,NA(),SUMPRODUCT((Inputs!$A$5:$A$110=$B41)*Inputs!$B$5:$B$110*(((Inputs!$G$5:$G$110="moeda")+(Inputs!$G$5:$G$110="acoes"))*Inputs!$B$1+((Inputs!$G$5:$G$110&lt;&gt;"moeda")*(Inputs!$G$5:$G$110&lt;&gt;"acoes")))*INDEX(Inputs!$K$5:$AJ$110,0,MATCH(J$2,Inputs!$K$4:$AJ$4,0)))+SUMPRODUCT((Inputs!$C$5:$C$110=$B41)*Inputs!$D$5:$D$110*(((Inputs!$G$5:$G$110="moeda")+(Inputs!$G$5:$G$110="acoes"))*Inputs!$B$1+((Inputs!$G$5:$G$110&lt;&gt;"moeda")*(Inputs!$G$5:$G$110&lt;&gt;"acoes")))*INDEX(Inputs!$K$5:$AJ$110,0,MATCH(J$2,Inputs!$K$4:$AJ$4,0)))+SUMPRODUCT((Inputs!$E$5:$E$110=$B41)*Inputs!$F$5:$F$110*(((Inputs!$G$5:$G$110="moeda")+(Inputs!$G$5:$G$110="acoes"))*Inputs!$B$1+((Inputs!$G$5:$G$110&lt;&gt;"moeda")*(Inputs!$G$5:$G$110&lt;&gt;"acoes")))*INDEX(Inputs!$K$5:$AJ$110,0,MATCH(J$2,Inputs!$K$4:$AJ$4,0)))))</f>
        <v>0</v>
      </c>
      <c r="K41" s="6">
        <f>IF(ISNA(MATCH(K$2,Inputs!$K$4:$AJ$4,0)),NA(),IF(SUMPRODUCT((Inputs!$A$5:$A$110=$B41)*ISNUMBER(INDEX(Inputs!$K$5:$AJ$110,0,MATCH(K$2,Inputs!$K$4:$AJ$4,0))))+SUMPRODUCT((Inputs!$C$5:$C$110=$B41)*ISNUMBER(INDEX(Inputs!$K$5:$AJ$110,0,MATCH(K$2,Inputs!$K$4:$AJ$4,0))))+SUMPRODUCT((Inputs!$E$5:$E$110=$B41)*ISNUMBER(INDEX(Inputs!$K$5:$AJ$110,0,MATCH(K$2,Inputs!$K$4:$AJ$4,0))))=0,NA(),SUMPRODUCT((Inputs!$A$5:$A$110=$B41)*Inputs!$B$5:$B$110*(((Inputs!$G$5:$G$110="moeda")+(Inputs!$G$5:$G$110="acoes"))*Inputs!$B$1+((Inputs!$G$5:$G$110&lt;&gt;"moeda")*(Inputs!$G$5:$G$110&lt;&gt;"acoes")))*INDEX(Inputs!$K$5:$AJ$110,0,MATCH(K$2,Inputs!$K$4:$AJ$4,0)))+SUMPRODUCT((Inputs!$C$5:$C$110=$B41)*Inputs!$D$5:$D$110*(((Inputs!$G$5:$G$110="moeda")+(Inputs!$G$5:$G$110="acoes"))*Inputs!$B$1+((Inputs!$G$5:$G$110&lt;&gt;"moeda")*(Inputs!$G$5:$G$110&lt;&gt;"acoes")))*INDEX(Inputs!$K$5:$AJ$110,0,MATCH(K$2,Inputs!$K$4:$AJ$4,0)))+SUMPRODUCT((Inputs!$E$5:$E$110=$B41)*Inputs!$F$5:$F$110*(((Inputs!$G$5:$G$110="moeda")+(Inputs!$G$5:$G$110="acoes"))*Inputs!$B$1+((Inputs!$G$5:$G$110&lt;&gt;"moeda")*(Inputs!$G$5:$G$110&lt;&gt;"acoes")))*INDEX(Inputs!$K$5:$AJ$110,0,MATCH(K$2,Inputs!$K$4:$AJ$4,0)))))</f>
        <v>0</v>
      </c>
      <c r="L41" s="6">
        <f>IF(ISNA(MATCH(L$2,Inputs!$K$4:$AJ$4,0)),NA(),IF(SUMPRODUCT((Inputs!$A$5:$A$110=$B41)*ISNUMBER(INDEX(Inputs!$K$5:$AJ$110,0,MATCH(L$2,Inputs!$K$4:$AJ$4,0))))+SUMPRODUCT((Inputs!$C$5:$C$110=$B41)*ISNUMBER(INDEX(Inputs!$K$5:$AJ$110,0,MATCH(L$2,Inputs!$K$4:$AJ$4,0))))+SUMPRODUCT((Inputs!$E$5:$E$110=$B41)*ISNUMBER(INDEX(Inputs!$K$5:$AJ$110,0,MATCH(L$2,Inputs!$K$4:$AJ$4,0))))=0,NA(),SUMPRODUCT((Inputs!$A$5:$A$110=$B41)*Inputs!$B$5:$B$110*(((Inputs!$G$5:$G$110="moeda")+(Inputs!$G$5:$G$110="acoes"))*Inputs!$B$1+((Inputs!$G$5:$G$110&lt;&gt;"moeda")*(Inputs!$G$5:$G$110&lt;&gt;"acoes")))*INDEX(Inputs!$K$5:$AJ$110,0,MATCH(L$2,Inputs!$K$4:$AJ$4,0)))+SUMPRODUCT((Inputs!$C$5:$C$110=$B41)*Inputs!$D$5:$D$110*(((Inputs!$G$5:$G$110="moeda")+(Inputs!$G$5:$G$110="acoes"))*Inputs!$B$1+((Inputs!$G$5:$G$110&lt;&gt;"moeda")*(Inputs!$G$5:$G$110&lt;&gt;"acoes")))*INDEX(Inputs!$K$5:$AJ$110,0,MATCH(L$2,Inputs!$K$4:$AJ$4,0)))+SUMPRODUCT((Inputs!$E$5:$E$110=$B41)*Inputs!$F$5:$F$110*(((Inputs!$G$5:$G$110="moeda")+(Inputs!$G$5:$G$110="acoes"))*Inputs!$B$1+((Inputs!$G$5:$G$110&lt;&gt;"moeda")*(Inputs!$G$5:$G$110&lt;&gt;"acoes")))*INDEX(Inputs!$K$5:$AJ$110,0,MATCH(L$2,Inputs!$K$4:$AJ$4,0)))))</f>
        <v>0</v>
      </c>
      <c r="M41" s="3">
        <f>L41</f>
        <v>0</v>
      </c>
      <c r="N41" s="6">
        <f>IF(ISNA(MATCH(N$2,Inputs!$K$4:$AJ$4,0)),NA(),IF(SUMPRODUCT((Inputs!$A$5:$A$110=$B41)*ISNUMBER(INDEX(Inputs!$K$5:$AJ$110,0,MATCH(N$2,Inputs!$K$4:$AJ$4,0))))+SUMPRODUCT((Inputs!$C$5:$C$110=$B41)*ISNUMBER(INDEX(Inputs!$K$5:$AJ$110,0,MATCH(N$2,Inputs!$K$4:$AJ$4,0))))+SUMPRODUCT((Inputs!$E$5:$E$110=$B41)*ISNUMBER(INDEX(Inputs!$K$5:$AJ$110,0,MATCH(N$2,Inputs!$K$4:$AJ$4,0))))=0,NA(),SUMPRODUCT((Inputs!$A$5:$A$110=$B41)*Inputs!$B$5:$B$110*(((Inputs!$G$5:$G$110="moeda")+(Inputs!$G$5:$G$110="acoes"))*Inputs!$B$1+((Inputs!$G$5:$G$110&lt;&gt;"moeda")*(Inputs!$G$5:$G$110&lt;&gt;"acoes")))*INDEX(Inputs!$K$5:$AJ$110,0,MATCH(N$2,Inputs!$K$4:$AJ$4,0)))+SUMPRODUCT((Inputs!$C$5:$C$110=$B41)*Inputs!$D$5:$D$110*(((Inputs!$G$5:$G$110="moeda")+(Inputs!$G$5:$G$110="acoes"))*Inputs!$B$1+((Inputs!$G$5:$G$110&lt;&gt;"moeda")*(Inputs!$G$5:$G$110&lt;&gt;"acoes")))*INDEX(Inputs!$K$5:$AJ$110,0,MATCH(N$2,Inputs!$K$4:$AJ$4,0)))+SUMPRODUCT((Inputs!$E$5:$E$110=$B41)*Inputs!$F$5:$F$110*(((Inputs!$G$5:$G$110="moeda")+(Inputs!$G$5:$G$110="acoes"))*Inputs!$B$1+((Inputs!$G$5:$G$110&lt;&gt;"moeda")*(Inputs!$G$5:$G$110&lt;&gt;"acoes")))*INDEX(Inputs!$K$5:$AJ$110,0,MATCH(N$2,Inputs!$K$4:$AJ$4,0)))))</f>
        <v>0</v>
      </c>
      <c r="O41" s="6">
        <f>IF(ISNA(MATCH(O$2,Inputs!$K$4:$AJ$4,0)),NA(),IF(SUMPRODUCT((Inputs!$A$5:$A$110=$B41)*ISNUMBER(INDEX(Inputs!$K$5:$AJ$110,0,MATCH(O$2,Inputs!$K$4:$AJ$4,0))))+SUMPRODUCT((Inputs!$C$5:$C$110=$B41)*ISNUMBER(INDEX(Inputs!$K$5:$AJ$110,0,MATCH(O$2,Inputs!$K$4:$AJ$4,0))))+SUMPRODUCT((Inputs!$E$5:$E$110=$B41)*ISNUMBER(INDEX(Inputs!$K$5:$AJ$110,0,MATCH(O$2,Inputs!$K$4:$AJ$4,0))))=0,NA(),SUMPRODUCT((Inputs!$A$5:$A$110=$B41)*Inputs!$B$5:$B$110*(((Inputs!$G$5:$G$110="moeda")+(Inputs!$G$5:$G$110="acoes"))*Inputs!$B$1+((Inputs!$G$5:$G$110&lt;&gt;"moeda")*(Inputs!$G$5:$G$110&lt;&gt;"acoes")))*INDEX(Inputs!$K$5:$AJ$110,0,MATCH(O$2,Inputs!$K$4:$AJ$4,0)))+SUMPRODUCT((Inputs!$C$5:$C$110=$B41)*Inputs!$D$5:$D$110*(((Inputs!$G$5:$G$110="moeda")+(Inputs!$G$5:$G$110="acoes"))*Inputs!$B$1+((Inputs!$G$5:$G$110&lt;&gt;"moeda")*(Inputs!$G$5:$G$110&lt;&gt;"acoes")))*INDEX(Inputs!$K$5:$AJ$110,0,MATCH(O$2,Inputs!$K$4:$AJ$4,0)))+SUMPRODUCT((Inputs!$E$5:$E$110=$B41)*Inputs!$F$5:$F$110*(((Inputs!$G$5:$G$110="moeda")+(Inputs!$G$5:$G$110="acoes"))*Inputs!$B$1+((Inputs!$G$5:$G$110&lt;&gt;"moeda")*(Inputs!$G$5:$G$110&lt;&gt;"acoes")))*INDEX(Inputs!$K$5:$AJ$110,0,MATCH(O$2,Inputs!$K$4:$AJ$4,0)))))</f>
        <v>0</v>
      </c>
      <c r="P41" s="6">
        <f>IF(ISNA(MATCH(P$2,Inputs!$K$4:$AJ$4,0)),NA(),IF(SUMPRODUCT((Inputs!$A$5:$A$110=$B41)*ISNUMBER(INDEX(Inputs!$K$5:$AJ$110,0,MATCH(P$2,Inputs!$K$4:$AJ$4,0))))+SUMPRODUCT((Inputs!$C$5:$C$110=$B41)*ISNUMBER(INDEX(Inputs!$K$5:$AJ$110,0,MATCH(P$2,Inputs!$K$4:$AJ$4,0))))+SUMPRODUCT((Inputs!$E$5:$E$110=$B41)*ISNUMBER(INDEX(Inputs!$K$5:$AJ$110,0,MATCH(P$2,Inputs!$K$4:$AJ$4,0))))=0,NA(),SUMPRODUCT((Inputs!$A$5:$A$110=$B41)*Inputs!$B$5:$B$110*(((Inputs!$G$5:$G$110="moeda")+(Inputs!$G$5:$G$110="acoes"))*Inputs!$B$1+((Inputs!$G$5:$G$110&lt;&gt;"moeda")*(Inputs!$G$5:$G$110&lt;&gt;"acoes")))*INDEX(Inputs!$K$5:$AJ$110,0,MATCH(P$2,Inputs!$K$4:$AJ$4,0)))+SUMPRODUCT((Inputs!$C$5:$C$110=$B41)*Inputs!$D$5:$D$110*(((Inputs!$G$5:$G$110="moeda")+(Inputs!$G$5:$G$110="acoes"))*Inputs!$B$1+((Inputs!$G$5:$G$110&lt;&gt;"moeda")*(Inputs!$G$5:$G$110&lt;&gt;"acoes")))*INDEX(Inputs!$K$5:$AJ$110,0,MATCH(P$2,Inputs!$K$4:$AJ$4,0)))+SUMPRODUCT((Inputs!$E$5:$E$110=$B41)*Inputs!$F$5:$F$110*(((Inputs!$G$5:$G$110="moeda")+(Inputs!$G$5:$G$110="acoes"))*Inputs!$B$1+((Inputs!$G$5:$G$110&lt;&gt;"moeda")*(Inputs!$G$5:$G$110&lt;&gt;"acoes")))*INDEX(Inputs!$K$5:$AJ$110,0,MATCH(P$2,Inputs!$K$4:$AJ$4,0)))))</f>
        <v>0</v>
      </c>
      <c r="Q41" s="6">
        <f>IF(ISNA(MATCH(Q$2,Inputs!$K$4:$AJ$4,0)),NA(),IF(SUMPRODUCT((Inputs!$A$5:$A$110=$B41)*ISNUMBER(INDEX(Inputs!$K$5:$AJ$110,0,MATCH(Q$2,Inputs!$K$4:$AJ$4,0))))+SUMPRODUCT((Inputs!$C$5:$C$110=$B41)*ISNUMBER(INDEX(Inputs!$K$5:$AJ$110,0,MATCH(Q$2,Inputs!$K$4:$AJ$4,0))))+SUMPRODUCT((Inputs!$E$5:$E$110=$B41)*ISNUMBER(INDEX(Inputs!$K$5:$AJ$110,0,MATCH(Q$2,Inputs!$K$4:$AJ$4,0))))=0,NA(),SUMPRODUCT((Inputs!$A$5:$A$110=$B41)*Inputs!$B$5:$B$110*(((Inputs!$G$5:$G$110="moeda")+(Inputs!$G$5:$G$110="acoes"))*Inputs!$B$1+((Inputs!$G$5:$G$110&lt;&gt;"moeda")*(Inputs!$G$5:$G$110&lt;&gt;"acoes")))*INDEX(Inputs!$K$5:$AJ$110,0,MATCH(Q$2,Inputs!$K$4:$AJ$4,0)))+SUMPRODUCT((Inputs!$C$5:$C$110=$B41)*Inputs!$D$5:$D$110*(((Inputs!$G$5:$G$110="moeda")+(Inputs!$G$5:$G$110="acoes"))*Inputs!$B$1+((Inputs!$G$5:$G$110&lt;&gt;"moeda")*(Inputs!$G$5:$G$110&lt;&gt;"acoes")))*INDEX(Inputs!$K$5:$AJ$110,0,MATCH(Q$2,Inputs!$K$4:$AJ$4,0)))+SUMPRODUCT((Inputs!$E$5:$E$110=$B41)*Inputs!$F$5:$F$110*(((Inputs!$G$5:$G$110="moeda")+(Inputs!$G$5:$G$110="acoes"))*Inputs!$B$1+((Inputs!$G$5:$G$110&lt;&gt;"moeda")*(Inputs!$G$5:$G$110&lt;&gt;"acoes")))*INDEX(Inputs!$K$5:$AJ$110,0,MATCH(Q$2,Inputs!$K$4:$AJ$4,0)))))</f>
        <v>0</v>
      </c>
      <c r="R41" s="3">
        <f>Q41</f>
        <v>0</v>
      </c>
      <c r="S41" s="6">
        <f>IF(ISNA(MATCH(S$2,Inputs!$K$4:$AJ$4,0)),NA(),IF(SUMPRODUCT((Inputs!$A$5:$A$110=$B41)*ISNUMBER(INDEX(Inputs!$K$5:$AJ$110,0,MATCH(S$2,Inputs!$K$4:$AJ$4,0))))+SUMPRODUCT((Inputs!$C$5:$C$110=$B41)*ISNUMBER(INDEX(Inputs!$K$5:$AJ$110,0,MATCH(S$2,Inputs!$K$4:$AJ$4,0))))+SUMPRODUCT((Inputs!$E$5:$E$110=$B41)*ISNUMBER(INDEX(Inputs!$K$5:$AJ$110,0,MATCH(S$2,Inputs!$K$4:$AJ$4,0))))=0,NA(),SUMPRODUCT((Inputs!$A$5:$A$110=$B41)*Inputs!$B$5:$B$110*(((Inputs!$G$5:$G$110="moeda")+(Inputs!$G$5:$G$110="acoes"))*Inputs!$B$1+((Inputs!$G$5:$G$110&lt;&gt;"moeda")*(Inputs!$G$5:$G$110&lt;&gt;"acoes")))*INDEX(Inputs!$K$5:$AJ$110,0,MATCH(S$2,Inputs!$K$4:$AJ$4,0)))+SUMPRODUCT((Inputs!$C$5:$C$110=$B41)*Inputs!$D$5:$D$110*(((Inputs!$G$5:$G$110="moeda")+(Inputs!$G$5:$G$110="acoes"))*Inputs!$B$1+((Inputs!$G$5:$G$110&lt;&gt;"moeda")*(Inputs!$G$5:$G$110&lt;&gt;"acoes")))*INDEX(Inputs!$K$5:$AJ$110,0,MATCH(S$2,Inputs!$K$4:$AJ$4,0)))+SUMPRODUCT((Inputs!$E$5:$E$110=$B41)*Inputs!$F$5:$F$110*(((Inputs!$G$5:$G$110="moeda")+(Inputs!$G$5:$G$110="acoes"))*Inputs!$B$1+((Inputs!$G$5:$G$110&lt;&gt;"moeda")*(Inputs!$G$5:$G$110&lt;&gt;"acoes")))*INDEX(Inputs!$K$5:$AJ$110,0,MATCH(S$2,Inputs!$K$4:$AJ$4,0)))))</f>
        <v>0</v>
      </c>
      <c r="T41" s="6">
        <f>IF(ISNA(MATCH(T$2,Inputs!$K$4:$AJ$4,0)),NA(),IF(SUMPRODUCT((Inputs!$A$5:$A$110=$B41)*ISNUMBER(INDEX(Inputs!$K$5:$AJ$110,0,MATCH(T$2,Inputs!$K$4:$AJ$4,0))))+SUMPRODUCT((Inputs!$C$5:$C$110=$B41)*ISNUMBER(INDEX(Inputs!$K$5:$AJ$110,0,MATCH(T$2,Inputs!$K$4:$AJ$4,0))))+SUMPRODUCT((Inputs!$E$5:$E$110=$B41)*ISNUMBER(INDEX(Inputs!$K$5:$AJ$110,0,MATCH(T$2,Inputs!$K$4:$AJ$4,0))))=0,NA(),SUMPRODUCT((Inputs!$A$5:$A$110=$B41)*Inputs!$B$5:$B$110*(((Inputs!$G$5:$G$110="moeda")+(Inputs!$G$5:$G$110="acoes"))*Inputs!$B$1+((Inputs!$G$5:$G$110&lt;&gt;"moeda")*(Inputs!$G$5:$G$110&lt;&gt;"acoes")))*INDEX(Inputs!$K$5:$AJ$110,0,MATCH(T$2,Inputs!$K$4:$AJ$4,0)))+SUMPRODUCT((Inputs!$C$5:$C$110=$B41)*Inputs!$D$5:$D$110*(((Inputs!$G$5:$G$110="moeda")+(Inputs!$G$5:$G$110="acoes"))*Inputs!$B$1+((Inputs!$G$5:$G$110&lt;&gt;"moeda")*(Inputs!$G$5:$G$110&lt;&gt;"acoes")))*INDEX(Inputs!$K$5:$AJ$110,0,MATCH(T$2,Inputs!$K$4:$AJ$4,0)))+SUMPRODUCT((Inputs!$E$5:$E$110=$B41)*Inputs!$F$5:$F$110*(((Inputs!$G$5:$G$110="moeda")+(Inputs!$G$5:$G$110="acoes"))*Inputs!$B$1+((Inputs!$G$5:$G$110&lt;&gt;"moeda")*(Inputs!$G$5:$G$110&lt;&gt;"acoes")))*INDEX(Inputs!$K$5:$AJ$110,0,MATCH(T$2,Inputs!$K$4:$AJ$4,0)))))</f>
        <v>0</v>
      </c>
      <c r="U41" s="6">
        <f>IF(ISNA(MATCH(U$2,Inputs!$K$4:$AJ$4,0)),NA(),IF(SUMPRODUCT((Inputs!$A$5:$A$110=$B41)*ISNUMBER(INDEX(Inputs!$K$5:$AJ$110,0,MATCH(U$2,Inputs!$K$4:$AJ$4,0))))+SUMPRODUCT((Inputs!$C$5:$C$110=$B41)*ISNUMBER(INDEX(Inputs!$K$5:$AJ$110,0,MATCH(U$2,Inputs!$K$4:$AJ$4,0))))+SUMPRODUCT((Inputs!$E$5:$E$110=$B41)*ISNUMBER(INDEX(Inputs!$K$5:$AJ$110,0,MATCH(U$2,Inputs!$K$4:$AJ$4,0))))=0,NA(),SUMPRODUCT((Inputs!$A$5:$A$110=$B41)*Inputs!$B$5:$B$110*(((Inputs!$G$5:$G$110="moeda")+(Inputs!$G$5:$G$110="acoes"))*Inputs!$B$1+((Inputs!$G$5:$G$110&lt;&gt;"moeda")*(Inputs!$G$5:$G$110&lt;&gt;"acoes")))*INDEX(Inputs!$K$5:$AJ$110,0,MATCH(U$2,Inputs!$K$4:$AJ$4,0)))+SUMPRODUCT((Inputs!$C$5:$C$110=$B41)*Inputs!$D$5:$D$110*(((Inputs!$G$5:$G$110="moeda")+(Inputs!$G$5:$G$110="acoes"))*Inputs!$B$1+((Inputs!$G$5:$G$110&lt;&gt;"moeda")*(Inputs!$G$5:$G$110&lt;&gt;"acoes")))*INDEX(Inputs!$K$5:$AJ$110,0,MATCH(U$2,Inputs!$K$4:$AJ$4,0)))+SUMPRODUCT((Inputs!$E$5:$E$110=$B41)*Inputs!$F$5:$F$110*(((Inputs!$G$5:$G$110="moeda")+(Inputs!$G$5:$G$110="acoes"))*Inputs!$B$1+((Inputs!$G$5:$G$110&lt;&gt;"moeda")*(Inputs!$G$5:$G$110&lt;&gt;"acoes")))*INDEX(Inputs!$K$5:$AJ$110,0,MATCH(U$2,Inputs!$K$4:$AJ$4,0)))))</f>
        <v>0</v>
      </c>
      <c r="V41" s="6">
        <f>IF(ISNA(MATCH(V$2,Inputs!$K$4:$AJ$4,0)),NA(),IF(SUMPRODUCT((Inputs!$A$5:$A$110=$B41)*ISNUMBER(INDEX(Inputs!$K$5:$AJ$110,0,MATCH(V$2,Inputs!$K$4:$AJ$4,0))))+SUMPRODUCT((Inputs!$C$5:$C$110=$B41)*ISNUMBER(INDEX(Inputs!$K$5:$AJ$110,0,MATCH(V$2,Inputs!$K$4:$AJ$4,0))))+SUMPRODUCT((Inputs!$E$5:$E$110=$B41)*ISNUMBER(INDEX(Inputs!$K$5:$AJ$110,0,MATCH(V$2,Inputs!$K$4:$AJ$4,0))))=0,NA(),SUMPRODUCT((Inputs!$A$5:$A$110=$B41)*Inputs!$B$5:$B$110*(((Inputs!$G$5:$G$110="moeda")+(Inputs!$G$5:$G$110="acoes"))*Inputs!$B$1+((Inputs!$G$5:$G$110&lt;&gt;"moeda")*(Inputs!$G$5:$G$110&lt;&gt;"acoes")))*INDEX(Inputs!$K$5:$AJ$110,0,MATCH(V$2,Inputs!$K$4:$AJ$4,0)))+SUMPRODUCT((Inputs!$C$5:$C$110=$B41)*Inputs!$D$5:$D$110*(((Inputs!$G$5:$G$110="moeda")+(Inputs!$G$5:$G$110="acoes"))*Inputs!$B$1+((Inputs!$G$5:$G$110&lt;&gt;"moeda")*(Inputs!$G$5:$G$110&lt;&gt;"acoes")))*INDEX(Inputs!$K$5:$AJ$110,0,MATCH(V$2,Inputs!$K$4:$AJ$4,0)))+SUMPRODUCT((Inputs!$E$5:$E$110=$B41)*Inputs!$F$5:$F$110*(((Inputs!$G$5:$G$110="moeda")+(Inputs!$G$5:$G$110="acoes"))*Inputs!$B$1+((Inputs!$G$5:$G$110&lt;&gt;"moeda")*(Inputs!$G$5:$G$110&lt;&gt;"acoes")))*INDEX(Inputs!$K$5:$AJ$110,0,MATCH(V$2,Inputs!$K$4:$AJ$4,0)))))</f>
        <v>0</v>
      </c>
      <c r="W41" s="3">
        <f>V41</f>
        <v>0</v>
      </c>
      <c r="X41" s="6">
        <f>IF(ISNA(MATCH(X$2,Inputs!$K$4:$AJ$4,0)),NA(),IF(SUMPRODUCT((Inputs!$A$5:$A$110=$B41)*ISNUMBER(INDEX(Inputs!$K$5:$AJ$110,0,MATCH(X$2,Inputs!$K$4:$AJ$4,0))))+SUMPRODUCT((Inputs!$C$5:$C$110=$B41)*ISNUMBER(INDEX(Inputs!$K$5:$AJ$110,0,MATCH(X$2,Inputs!$K$4:$AJ$4,0))))+SUMPRODUCT((Inputs!$E$5:$E$110=$B41)*ISNUMBER(INDEX(Inputs!$K$5:$AJ$110,0,MATCH(X$2,Inputs!$K$4:$AJ$4,0))))=0,NA(),SUMPRODUCT((Inputs!$A$5:$A$110=$B41)*Inputs!$B$5:$B$110*(((Inputs!$G$5:$G$110="moeda")+(Inputs!$G$5:$G$110="acoes"))*Inputs!$B$1+((Inputs!$G$5:$G$110&lt;&gt;"moeda")*(Inputs!$G$5:$G$110&lt;&gt;"acoes")))*INDEX(Inputs!$K$5:$AJ$110,0,MATCH(X$2,Inputs!$K$4:$AJ$4,0)))+SUMPRODUCT((Inputs!$C$5:$C$110=$B41)*Inputs!$D$5:$D$110*(((Inputs!$G$5:$G$110="moeda")+(Inputs!$G$5:$G$110="acoes"))*Inputs!$B$1+((Inputs!$G$5:$G$110&lt;&gt;"moeda")*(Inputs!$G$5:$G$110&lt;&gt;"acoes")))*INDEX(Inputs!$K$5:$AJ$110,0,MATCH(X$2,Inputs!$K$4:$AJ$4,0)))+SUMPRODUCT((Inputs!$E$5:$E$110=$B41)*Inputs!$F$5:$F$110*(((Inputs!$G$5:$G$110="moeda")+(Inputs!$G$5:$G$110="acoes"))*Inputs!$B$1+((Inputs!$G$5:$G$110&lt;&gt;"moeda")*(Inputs!$G$5:$G$110&lt;&gt;"acoes")))*INDEX(Inputs!$K$5:$AJ$110,0,MATCH(X$2,Inputs!$K$4:$AJ$4,0)))))</f>
        <v>0</v>
      </c>
      <c r="Y41" s="6">
        <f>IF(ISNA(MATCH(Y$2,Inputs!$K$4:$AJ$4,0)),NA(),IF(SUMPRODUCT((Inputs!$A$5:$A$110=$B41)*ISNUMBER(INDEX(Inputs!$K$5:$AJ$110,0,MATCH(Y$2,Inputs!$K$4:$AJ$4,0))))+SUMPRODUCT((Inputs!$C$5:$C$110=$B41)*ISNUMBER(INDEX(Inputs!$K$5:$AJ$110,0,MATCH(Y$2,Inputs!$K$4:$AJ$4,0))))+SUMPRODUCT((Inputs!$E$5:$E$110=$B41)*ISNUMBER(INDEX(Inputs!$K$5:$AJ$110,0,MATCH(Y$2,Inputs!$K$4:$AJ$4,0))))=0,NA(),SUMPRODUCT((Inputs!$A$5:$A$110=$B41)*Inputs!$B$5:$B$110*(((Inputs!$G$5:$G$110="moeda")+(Inputs!$G$5:$G$110="acoes"))*Inputs!$B$1+((Inputs!$G$5:$G$110&lt;&gt;"moeda")*(Inputs!$G$5:$G$110&lt;&gt;"acoes")))*INDEX(Inputs!$K$5:$AJ$110,0,MATCH(Y$2,Inputs!$K$4:$AJ$4,0)))+SUMPRODUCT((Inputs!$C$5:$C$110=$B41)*Inputs!$D$5:$D$110*(((Inputs!$G$5:$G$110="moeda")+(Inputs!$G$5:$G$110="acoes"))*Inputs!$B$1+((Inputs!$G$5:$G$110&lt;&gt;"moeda")*(Inputs!$G$5:$G$110&lt;&gt;"acoes")))*INDEX(Inputs!$K$5:$AJ$110,0,MATCH(Y$2,Inputs!$K$4:$AJ$4,0)))+SUMPRODUCT((Inputs!$E$5:$E$110=$B41)*Inputs!$F$5:$F$110*(((Inputs!$G$5:$G$110="moeda")+(Inputs!$G$5:$G$110="acoes"))*Inputs!$B$1+((Inputs!$G$5:$G$110&lt;&gt;"moeda")*(Inputs!$G$5:$G$110&lt;&gt;"acoes")))*INDEX(Inputs!$K$5:$AJ$110,0,MATCH(Y$2,Inputs!$K$4:$AJ$4,0)))))</f>
        <v>0</v>
      </c>
      <c r="Z41" s="6">
        <f>IF(ISNA(MATCH(Z$2,Inputs!$K$4:$AJ$4,0)),NA(),IF(SUMPRODUCT((Inputs!$A$5:$A$110=$B41)*ISNUMBER(INDEX(Inputs!$K$5:$AJ$110,0,MATCH(Z$2,Inputs!$K$4:$AJ$4,0))))+SUMPRODUCT((Inputs!$C$5:$C$110=$B41)*ISNUMBER(INDEX(Inputs!$K$5:$AJ$110,0,MATCH(Z$2,Inputs!$K$4:$AJ$4,0))))+SUMPRODUCT((Inputs!$E$5:$E$110=$B41)*ISNUMBER(INDEX(Inputs!$K$5:$AJ$110,0,MATCH(Z$2,Inputs!$K$4:$AJ$4,0))))=0,NA(),SUMPRODUCT((Inputs!$A$5:$A$110=$B41)*Inputs!$B$5:$B$110*(((Inputs!$G$5:$G$110="moeda")+(Inputs!$G$5:$G$110="acoes"))*Inputs!$B$1+((Inputs!$G$5:$G$110&lt;&gt;"moeda")*(Inputs!$G$5:$G$110&lt;&gt;"acoes")))*INDEX(Inputs!$K$5:$AJ$110,0,MATCH(Z$2,Inputs!$K$4:$AJ$4,0)))+SUMPRODUCT((Inputs!$C$5:$C$110=$B41)*Inputs!$D$5:$D$110*(((Inputs!$G$5:$G$110="moeda")+(Inputs!$G$5:$G$110="acoes"))*Inputs!$B$1+((Inputs!$G$5:$G$110&lt;&gt;"moeda")*(Inputs!$G$5:$G$110&lt;&gt;"acoes")))*INDEX(Inputs!$K$5:$AJ$110,0,MATCH(Z$2,Inputs!$K$4:$AJ$4,0)))+SUMPRODUCT((Inputs!$E$5:$E$110=$B41)*Inputs!$F$5:$F$110*(((Inputs!$G$5:$G$110="moeda")+(Inputs!$G$5:$G$110="acoes"))*Inputs!$B$1+((Inputs!$G$5:$G$110&lt;&gt;"moeda")*(Inputs!$G$5:$G$110&lt;&gt;"acoes")))*INDEX(Inputs!$K$5:$AJ$110,0,MATCH(Z$2,Inputs!$K$4:$AJ$4,0)))))</f>
        <v>0</v>
      </c>
      <c r="AA41" s="6">
        <f>IF(ISNA(MATCH(AA$2,Inputs!$K$4:$AJ$4,0)),NA(),IF(SUMPRODUCT((Inputs!$A$5:$A$110=$B41)*ISNUMBER(INDEX(Inputs!$K$5:$AJ$110,0,MATCH(AA$2,Inputs!$K$4:$AJ$4,0))))+SUMPRODUCT((Inputs!$C$5:$C$110=$B41)*ISNUMBER(INDEX(Inputs!$K$5:$AJ$110,0,MATCH(AA$2,Inputs!$K$4:$AJ$4,0))))+SUMPRODUCT((Inputs!$E$5:$E$110=$B41)*ISNUMBER(INDEX(Inputs!$K$5:$AJ$110,0,MATCH(AA$2,Inputs!$K$4:$AJ$4,0))))=0,NA(),SUMPRODUCT((Inputs!$A$5:$A$110=$B41)*Inputs!$B$5:$B$110*(((Inputs!$G$5:$G$110="moeda")+(Inputs!$G$5:$G$110="acoes"))*Inputs!$B$1+((Inputs!$G$5:$G$110&lt;&gt;"moeda")*(Inputs!$G$5:$G$110&lt;&gt;"acoes")))*INDEX(Inputs!$K$5:$AJ$110,0,MATCH(AA$2,Inputs!$K$4:$AJ$4,0)))+SUMPRODUCT((Inputs!$C$5:$C$110=$B41)*Inputs!$D$5:$D$110*(((Inputs!$G$5:$G$110="moeda")+(Inputs!$G$5:$G$110="acoes"))*Inputs!$B$1+((Inputs!$G$5:$G$110&lt;&gt;"moeda")*(Inputs!$G$5:$G$110&lt;&gt;"acoes")))*INDEX(Inputs!$K$5:$AJ$110,0,MATCH(AA$2,Inputs!$K$4:$AJ$4,0)))+SUMPRODUCT((Inputs!$E$5:$E$110=$B41)*Inputs!$F$5:$F$110*(((Inputs!$G$5:$G$110="moeda")+(Inputs!$G$5:$G$110="acoes"))*Inputs!$B$1+((Inputs!$G$5:$G$110&lt;&gt;"moeda")*(Inputs!$G$5:$G$110&lt;&gt;"acoes")))*INDEX(Inputs!$K$5:$AJ$110,0,MATCH(AA$2,Inputs!$K$4:$AJ$4,0)))))</f>
        <v>0</v>
      </c>
      <c r="AB41" s="3">
        <f>AA41</f>
        <v>0</v>
      </c>
      <c r="AC41" s="6">
        <f>IF(ISNA(MATCH(AC$2,Inputs!$K$4:$AJ$4,0)),NA(),IF(SUMPRODUCT((Inputs!$A$5:$A$110=$B41)*ISNUMBER(INDEX(Inputs!$K$5:$AJ$110,0,MATCH(AC$2,Inputs!$K$4:$AJ$4,0))))+SUMPRODUCT((Inputs!$C$5:$C$110=$B41)*ISNUMBER(INDEX(Inputs!$K$5:$AJ$110,0,MATCH(AC$2,Inputs!$K$4:$AJ$4,0))))+SUMPRODUCT((Inputs!$E$5:$E$110=$B41)*ISNUMBER(INDEX(Inputs!$K$5:$AJ$110,0,MATCH(AC$2,Inputs!$K$4:$AJ$4,0))))=0,NA(),SUMPRODUCT((Inputs!$A$5:$A$110=$B41)*Inputs!$B$5:$B$110*(((Inputs!$G$5:$G$110="moeda")+(Inputs!$G$5:$G$110="acoes"))*Inputs!$B$1+((Inputs!$G$5:$G$110&lt;&gt;"moeda")*(Inputs!$G$5:$G$110&lt;&gt;"acoes")))*INDEX(Inputs!$K$5:$AJ$110,0,MATCH(AC$2,Inputs!$K$4:$AJ$4,0)))+SUMPRODUCT((Inputs!$C$5:$C$110=$B41)*Inputs!$D$5:$D$110*(((Inputs!$G$5:$G$110="moeda")+(Inputs!$G$5:$G$110="acoes"))*Inputs!$B$1+((Inputs!$G$5:$G$110&lt;&gt;"moeda")*(Inputs!$G$5:$G$110&lt;&gt;"acoes")))*INDEX(Inputs!$K$5:$AJ$110,0,MATCH(AC$2,Inputs!$K$4:$AJ$4,0)))+SUMPRODUCT((Inputs!$E$5:$E$110=$B41)*Inputs!$F$5:$F$110*(((Inputs!$G$5:$G$110="moeda")+(Inputs!$G$5:$G$110="acoes"))*Inputs!$B$1+((Inputs!$G$5:$G$110&lt;&gt;"moeda")*(Inputs!$G$5:$G$110&lt;&gt;"acoes")))*INDEX(Inputs!$K$5:$AJ$110,0,MATCH(AC$2,Inputs!$K$4:$AJ$4,0)))))</f>
        <v>0</v>
      </c>
      <c r="AD41" s="6">
        <f>IF(ISNA(MATCH(AD$2,Inputs!$K$4:$AJ$4,0)),NA(),IF(SUMPRODUCT((Inputs!$A$5:$A$110=$B41)*ISNUMBER(INDEX(Inputs!$K$5:$AJ$110,0,MATCH(AD$2,Inputs!$K$4:$AJ$4,0))))+SUMPRODUCT((Inputs!$C$5:$C$110=$B41)*ISNUMBER(INDEX(Inputs!$K$5:$AJ$110,0,MATCH(AD$2,Inputs!$K$4:$AJ$4,0))))+SUMPRODUCT((Inputs!$E$5:$E$110=$B41)*ISNUMBER(INDEX(Inputs!$K$5:$AJ$110,0,MATCH(AD$2,Inputs!$K$4:$AJ$4,0))))=0,NA(),SUMPRODUCT((Inputs!$A$5:$A$110=$B41)*Inputs!$B$5:$B$110*(((Inputs!$G$5:$G$110="moeda")+(Inputs!$G$5:$G$110="acoes"))*Inputs!$B$1+((Inputs!$G$5:$G$110&lt;&gt;"moeda")*(Inputs!$G$5:$G$110&lt;&gt;"acoes")))*INDEX(Inputs!$K$5:$AJ$110,0,MATCH(AD$2,Inputs!$K$4:$AJ$4,0)))+SUMPRODUCT((Inputs!$C$5:$C$110=$B41)*Inputs!$D$5:$D$110*(((Inputs!$G$5:$G$110="moeda")+(Inputs!$G$5:$G$110="acoes"))*Inputs!$B$1+((Inputs!$G$5:$G$110&lt;&gt;"moeda")*(Inputs!$G$5:$G$110&lt;&gt;"acoes")))*INDEX(Inputs!$K$5:$AJ$110,0,MATCH(AD$2,Inputs!$K$4:$AJ$4,0)))+SUMPRODUCT((Inputs!$E$5:$E$110=$B41)*Inputs!$F$5:$F$110*(((Inputs!$G$5:$G$110="moeda")+(Inputs!$G$5:$G$110="acoes"))*Inputs!$B$1+((Inputs!$G$5:$G$110&lt;&gt;"moeda")*(Inputs!$G$5:$G$110&lt;&gt;"acoes")))*INDEX(Inputs!$K$5:$AJ$110,0,MATCH(AD$2,Inputs!$K$4:$AJ$4,0)))))</f>
        <v>0</v>
      </c>
      <c r="AE41" s="6" t="e">
        <f>IF(ISNA(MATCH(AE$2,Inputs!$K$4:$AJ$4,0)),NA(),IF(SUMPRODUCT((Inputs!$A$5:$A$110=$B41)*ISNUMBER(INDEX(Inputs!$K$5:$AJ$110,0,MATCH(AE$2,Inputs!$K$4:$AJ$4,0))))+SUMPRODUCT((Inputs!$C$5:$C$110=$B41)*ISNUMBER(INDEX(Inputs!$K$5:$AJ$110,0,MATCH(AE$2,Inputs!$K$4:$AJ$4,0))))+SUMPRODUCT((Inputs!$E$5:$E$110=$B41)*ISNUMBER(INDEX(Inputs!$K$5:$AJ$110,0,MATCH(AE$2,Inputs!$K$4:$AJ$4,0))))=0,NA(),SUMPRODUCT((Inputs!$A$5:$A$110=$B41)*Inputs!$B$5:$B$110*(((Inputs!$G$5:$G$110="moeda")+(Inputs!$G$5:$G$110="acoes"))*Inputs!$B$1+((Inputs!$G$5:$G$110&lt;&gt;"moeda")*(Inputs!$G$5:$G$110&lt;&gt;"acoes")))*INDEX(Inputs!$K$5:$AJ$110,0,MATCH(AE$2,Inputs!$K$4:$AJ$4,0)))+SUMPRODUCT((Inputs!$C$5:$C$110=$B41)*Inputs!$D$5:$D$110*(((Inputs!$G$5:$G$110="moeda")+(Inputs!$G$5:$G$110="acoes"))*Inputs!$B$1+((Inputs!$G$5:$G$110&lt;&gt;"moeda")*(Inputs!$G$5:$G$110&lt;&gt;"acoes")))*INDEX(Inputs!$K$5:$AJ$110,0,MATCH(AE$2,Inputs!$K$4:$AJ$4,0)))+SUMPRODUCT((Inputs!$E$5:$E$110=$B41)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1" s="6" t="e">
        <f>IF(ISNA(MATCH(AF$2,Inputs!$K$4:$AJ$4,0)),NA(),IF(SUMPRODUCT((Inputs!$A$5:$A$110=$B41)*ISNUMBER(INDEX(Inputs!$K$5:$AJ$110,0,MATCH(AF$2,Inputs!$K$4:$AJ$4,0))))+SUMPRODUCT((Inputs!$C$5:$C$110=$B41)*ISNUMBER(INDEX(Inputs!$K$5:$AJ$110,0,MATCH(AF$2,Inputs!$K$4:$AJ$4,0))))+SUMPRODUCT((Inputs!$E$5:$E$110=$B41)*ISNUMBER(INDEX(Inputs!$K$5:$AJ$110,0,MATCH(AF$2,Inputs!$K$4:$AJ$4,0))))=0,NA(),SUMPRODUCT((Inputs!$A$5:$A$110=$B41)*Inputs!$B$5:$B$110*(((Inputs!$G$5:$G$110="moeda")+(Inputs!$G$5:$G$110="acoes"))*Inputs!$B$1+((Inputs!$G$5:$G$110&lt;&gt;"moeda")*(Inputs!$G$5:$G$110&lt;&gt;"acoes")))*INDEX(Inputs!$K$5:$AJ$110,0,MATCH(AF$2,Inputs!$K$4:$AJ$4,0)))+SUMPRODUCT((Inputs!$C$5:$C$110=$B41)*Inputs!$D$5:$D$110*(((Inputs!$G$5:$G$110="moeda")+(Inputs!$G$5:$G$110="acoes"))*Inputs!$B$1+((Inputs!$G$5:$G$110&lt;&gt;"moeda")*(Inputs!$G$5:$G$110&lt;&gt;"acoes")))*INDEX(Inputs!$K$5:$AJ$110,0,MATCH(AF$2,Inputs!$K$4:$AJ$4,0)))+SUMPRODUCT((Inputs!$E$5:$E$110=$B41)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1" s="3" t="e">
        <f>AF41</f>
        <v>#N/A</v>
      </c>
      <c r="AH41" s="6">
        <f>IF(ISNA(MATCH(AH$2,Inputs!$K$4:$AJ$4,0)),NA(),IF(SUMPRODUCT((Inputs!$A$5:$A$110=$B41)*ISNUMBER(INDEX(Inputs!$K$5:$AJ$110,0,MATCH(AH$2,Inputs!$K$4:$AJ$4,0))))+SUMPRODUCT((Inputs!$C$5:$C$110=$B41)*ISNUMBER(INDEX(Inputs!$K$5:$AJ$110,0,MATCH(AH$2,Inputs!$K$4:$AJ$4,0))))+SUMPRODUCT((Inputs!$E$5:$E$110=$B41)*ISNUMBER(INDEX(Inputs!$K$5:$AJ$110,0,MATCH(AH$2,Inputs!$K$4:$AJ$4,0))))=0,NA(),SUMPRODUCT((Inputs!$A$5:$A$110=$B41)*Inputs!$B$5:$B$110*(((Inputs!$G$5:$G$110="moeda")+(Inputs!$G$5:$G$110="acoes"))*Inputs!$B$1+((Inputs!$G$5:$G$110&lt;&gt;"moeda")*(Inputs!$G$5:$G$110&lt;&gt;"acoes")))*INDEX(Inputs!$K$5:$AJ$110,0,MATCH(AH$2,Inputs!$K$4:$AJ$4,0)))+SUMPRODUCT((Inputs!$C$5:$C$110=$B41)*Inputs!$D$5:$D$110*(((Inputs!$G$5:$G$110="moeda")+(Inputs!$G$5:$G$110="acoes"))*Inputs!$B$1+((Inputs!$G$5:$G$110&lt;&gt;"moeda")*(Inputs!$G$5:$G$110&lt;&gt;"acoes")))*INDEX(Inputs!$K$5:$AJ$110,0,MATCH(AH$2,Inputs!$K$4:$AJ$4,0)))+SUMPRODUCT((Inputs!$E$5:$E$110=$B41)*Inputs!$F$5:$F$110*(((Inputs!$G$5:$G$110="moeda")+(Inputs!$G$5:$G$110="acoes"))*Inputs!$B$1+((Inputs!$G$5:$G$110&lt;&gt;"moeda")*(Inputs!$G$5:$G$110&lt;&gt;"acoes")))*INDEX(Inputs!$K$5:$AJ$110,0,MATCH(AH$2,Inputs!$K$4:$AJ$4,0)))))</f>
        <v>0</v>
      </c>
      <c r="AI41" s="6">
        <f>IF(ISNA(MATCH(AI$2,Inputs!$K$4:$AJ$4,0)),NA(),IF(SUMPRODUCT((Inputs!$A$5:$A$110=$B41)*ISNUMBER(INDEX(Inputs!$K$5:$AJ$110,0,MATCH(AI$2,Inputs!$K$4:$AJ$4,0))))+SUMPRODUCT((Inputs!$C$5:$C$110=$B41)*ISNUMBER(INDEX(Inputs!$K$5:$AJ$110,0,MATCH(AI$2,Inputs!$K$4:$AJ$4,0))))+SUMPRODUCT((Inputs!$E$5:$E$110=$B41)*ISNUMBER(INDEX(Inputs!$K$5:$AJ$110,0,MATCH(AI$2,Inputs!$K$4:$AJ$4,0))))=0,NA(),SUMPRODUCT((Inputs!$A$5:$A$110=$B41)*Inputs!$B$5:$B$110*(((Inputs!$G$5:$G$110="moeda")+(Inputs!$G$5:$G$110="acoes"))*Inputs!$B$1+((Inputs!$G$5:$G$110&lt;&gt;"moeda")*(Inputs!$G$5:$G$110&lt;&gt;"acoes")))*INDEX(Inputs!$K$5:$AJ$110,0,MATCH(AI$2,Inputs!$K$4:$AJ$4,0)))+SUMPRODUCT((Inputs!$C$5:$C$110=$B41)*Inputs!$D$5:$D$110*(((Inputs!$G$5:$G$110="moeda")+(Inputs!$G$5:$G$110="acoes"))*Inputs!$B$1+((Inputs!$G$5:$G$110&lt;&gt;"moeda")*(Inputs!$G$5:$G$110&lt;&gt;"acoes")))*INDEX(Inputs!$K$5:$AJ$110,0,MATCH(AI$2,Inputs!$K$4:$AJ$4,0)))+SUMPRODUCT((Inputs!$E$5:$E$110=$B41)*Inputs!$F$5:$F$110*(((Inputs!$G$5:$G$110="moeda")+(Inputs!$G$5:$G$110="acoes"))*Inputs!$B$1+((Inputs!$G$5:$G$110&lt;&gt;"moeda")*(Inputs!$G$5:$G$110&lt;&gt;"acoes")))*INDEX(Inputs!$K$5:$AJ$110,0,MATCH(AI$2,Inputs!$K$4:$AJ$4,0)))))</f>
        <v>0</v>
      </c>
      <c r="AJ41" s="6">
        <f>IF(ISNA(MATCH(AJ$2,Inputs!$K$4:$AJ$4,0)),NA(),IF(SUMPRODUCT((Inputs!$A$5:$A$110=$B41)*ISNUMBER(INDEX(Inputs!$K$5:$AJ$110,0,MATCH(AJ$2,Inputs!$K$4:$AJ$4,0))))+SUMPRODUCT((Inputs!$C$5:$C$110=$B41)*ISNUMBER(INDEX(Inputs!$K$5:$AJ$110,0,MATCH(AJ$2,Inputs!$K$4:$AJ$4,0))))+SUMPRODUCT((Inputs!$E$5:$E$110=$B41)*ISNUMBER(INDEX(Inputs!$K$5:$AJ$110,0,MATCH(AJ$2,Inputs!$K$4:$AJ$4,0))))=0,NA(),SUMPRODUCT((Inputs!$A$5:$A$110=$B41)*Inputs!$B$5:$B$110*(((Inputs!$G$5:$G$110="moeda")+(Inputs!$G$5:$G$110="acoes"))*Inputs!$B$1+((Inputs!$G$5:$G$110&lt;&gt;"moeda")*(Inputs!$G$5:$G$110&lt;&gt;"acoes")))*INDEX(Inputs!$K$5:$AJ$110,0,MATCH(AJ$2,Inputs!$K$4:$AJ$4,0)))+SUMPRODUCT((Inputs!$C$5:$C$110=$B41)*Inputs!$D$5:$D$110*(((Inputs!$G$5:$G$110="moeda")+(Inputs!$G$5:$G$110="acoes"))*Inputs!$B$1+((Inputs!$G$5:$G$110&lt;&gt;"moeda")*(Inputs!$G$5:$G$110&lt;&gt;"acoes")))*INDEX(Inputs!$K$5:$AJ$110,0,MATCH(AJ$2,Inputs!$K$4:$AJ$4,0)))+SUMPRODUCT((Inputs!$E$5:$E$110=$B41)*Inputs!$F$5:$F$110*(((Inputs!$G$5:$G$110="moeda")+(Inputs!$G$5:$G$110="acoes"))*Inputs!$B$1+((Inputs!$G$5:$G$110&lt;&gt;"moeda")*(Inputs!$G$5:$G$110&lt;&gt;"acoes")))*INDEX(Inputs!$K$5:$AJ$110,0,MATCH(AJ$2,Inputs!$K$4:$AJ$4,0)))))</f>
        <v>0</v>
      </c>
      <c r="AK41" s="6">
        <f>IF(ISNA(MATCH(AK$2,Inputs!$K$4:$AJ$4,0)),NA(),IF(SUMPRODUCT((Inputs!$A$5:$A$110=$B41)*ISNUMBER(INDEX(Inputs!$K$5:$AJ$110,0,MATCH(AK$2,Inputs!$K$4:$AJ$4,0))))+SUMPRODUCT((Inputs!$C$5:$C$110=$B41)*ISNUMBER(INDEX(Inputs!$K$5:$AJ$110,0,MATCH(AK$2,Inputs!$K$4:$AJ$4,0))))+SUMPRODUCT((Inputs!$E$5:$E$110=$B41)*ISNUMBER(INDEX(Inputs!$K$5:$AJ$110,0,MATCH(AK$2,Inputs!$K$4:$AJ$4,0))))=0,NA(),SUMPRODUCT((Inputs!$A$5:$A$110=$B41)*Inputs!$B$5:$B$110*(((Inputs!$G$5:$G$110="moeda")+(Inputs!$G$5:$G$110="acoes"))*Inputs!$B$1+((Inputs!$G$5:$G$110&lt;&gt;"moeda")*(Inputs!$G$5:$G$110&lt;&gt;"acoes")))*INDEX(Inputs!$K$5:$AJ$110,0,MATCH(AK$2,Inputs!$K$4:$AJ$4,0)))+SUMPRODUCT((Inputs!$C$5:$C$110=$B41)*Inputs!$D$5:$D$110*(((Inputs!$G$5:$G$110="moeda")+(Inputs!$G$5:$G$110="acoes"))*Inputs!$B$1+((Inputs!$G$5:$G$110&lt;&gt;"moeda")*(Inputs!$G$5:$G$110&lt;&gt;"acoes")))*INDEX(Inputs!$K$5:$AJ$110,0,MATCH(AK$2,Inputs!$K$4:$AJ$4,0)))+SUMPRODUCT((Inputs!$E$5:$E$110=$B41)*Inputs!$F$5:$F$110*(((Inputs!$G$5:$G$110="moeda")+(Inputs!$G$5:$G$110="acoes"))*Inputs!$B$1+((Inputs!$G$5:$G$110&lt;&gt;"moeda")*(Inputs!$G$5:$G$110&lt;&gt;"acoes")))*INDEX(Inputs!$K$5:$AJ$110,0,MATCH(AK$2,Inputs!$K$4:$AJ$4,0)))))</f>
        <v>0</v>
      </c>
      <c r="AL41" s="3">
        <f>AK41</f>
        <v>0</v>
      </c>
    </row>
    <row r="42">
      <c r="B42" s="46" t="n">
        <v>36</v>
      </c>
      <c r="C42" s="26" t="inlineStr">
        <is>
          <t>Convertible Preferred Stock</t>
        </is>
      </c>
      <c r="D42" s="6" t="e">
        <f>IF(ISNA(MATCH(D$2,Inputs!$K$4:$AJ$4,0)),NA(),IF(SUMPRODUCT((Inputs!$A$5:$A$110=$B42)*ISNUMBER(INDEX(Inputs!$K$5:$AJ$110,0,MATCH(D$2,Inputs!$K$4:$AJ$4,0))))+SUMPRODUCT((Inputs!$C$5:$C$110=$B42)*ISNUMBER(INDEX(Inputs!$K$5:$AJ$110,0,MATCH(D$2,Inputs!$K$4:$AJ$4,0))))+SUMPRODUCT((Inputs!$E$5:$E$110=$B42)*ISNUMBER(INDEX(Inputs!$K$5:$AJ$110,0,MATCH(D$2,Inputs!$K$4:$AJ$4,0))))=0,NA(),SUMPRODUCT((Inputs!$A$5:$A$110=$B42)*Inputs!$B$5:$B$110*(((Inputs!$G$5:$G$110="moeda")+(Inputs!$G$5:$G$110="acoes"))*Inputs!$B$1+((Inputs!$G$5:$G$110&lt;&gt;"moeda")*(Inputs!$G$5:$G$110&lt;&gt;"acoes")))*INDEX(Inputs!$K$5:$AJ$110,0,MATCH(D$2,Inputs!$K$4:$AJ$4,0)))+SUMPRODUCT((Inputs!$C$5:$C$110=$B42)*Inputs!$D$5:$D$110*(((Inputs!$G$5:$G$110="moeda")+(Inputs!$G$5:$G$110="acoes"))*Inputs!$B$1+((Inputs!$G$5:$G$110&lt;&gt;"moeda")*(Inputs!$G$5:$G$110&lt;&gt;"acoes")))*INDEX(Inputs!$K$5:$AJ$110,0,MATCH(D$2,Inputs!$K$4:$AJ$4,0)))+SUMPRODUCT((Inputs!$E$5:$E$110=$B42)*Inputs!$F$5:$F$110*(((Inputs!$G$5:$G$110="moeda")+(Inputs!$G$5:$G$110="acoes"))*Inputs!$B$1+((Inputs!$G$5:$G$110&lt;&gt;"moeda")*(Inputs!$G$5:$G$110&lt;&gt;"acoes")))*INDEX(Inputs!$K$5:$AJ$110,0,MATCH(D$2,Inputs!$K$4:$AJ$4,0)))))</f>
        <v>#N/A</v>
      </c>
      <c r="E42" s="6" t="e">
        <f>IF(ISNA(MATCH(E$2,Inputs!$K$4:$AJ$4,0)),NA(),IF(SUMPRODUCT((Inputs!$A$5:$A$110=$B42)*ISNUMBER(INDEX(Inputs!$K$5:$AJ$110,0,MATCH(E$2,Inputs!$K$4:$AJ$4,0))))+SUMPRODUCT((Inputs!$C$5:$C$110=$B42)*ISNUMBER(INDEX(Inputs!$K$5:$AJ$110,0,MATCH(E$2,Inputs!$K$4:$AJ$4,0))))+SUMPRODUCT((Inputs!$E$5:$E$110=$B42)*ISNUMBER(INDEX(Inputs!$K$5:$AJ$110,0,MATCH(E$2,Inputs!$K$4:$AJ$4,0))))=0,NA(),SUMPRODUCT((Inputs!$A$5:$A$110=$B42)*Inputs!$B$5:$B$110*(((Inputs!$G$5:$G$110="moeda")+(Inputs!$G$5:$G$110="acoes"))*Inputs!$B$1+((Inputs!$G$5:$G$110&lt;&gt;"moeda")*(Inputs!$G$5:$G$110&lt;&gt;"acoes")))*INDEX(Inputs!$K$5:$AJ$110,0,MATCH(E$2,Inputs!$K$4:$AJ$4,0)))+SUMPRODUCT((Inputs!$C$5:$C$110=$B42)*Inputs!$D$5:$D$110*(((Inputs!$G$5:$G$110="moeda")+(Inputs!$G$5:$G$110="acoes"))*Inputs!$B$1+((Inputs!$G$5:$G$110&lt;&gt;"moeda")*(Inputs!$G$5:$G$110&lt;&gt;"acoes")))*INDEX(Inputs!$K$5:$AJ$110,0,MATCH(E$2,Inputs!$K$4:$AJ$4,0)))+SUMPRODUCT((Inputs!$E$5:$E$110=$B42)*Inputs!$F$5:$F$110*(((Inputs!$G$5:$G$110="moeda")+(Inputs!$G$5:$G$110="acoes"))*Inputs!$B$1+((Inputs!$G$5:$G$110&lt;&gt;"moeda")*(Inputs!$G$5:$G$110&lt;&gt;"acoes")))*INDEX(Inputs!$K$5:$AJ$110,0,MATCH(E$2,Inputs!$K$4:$AJ$4,0)))))</f>
        <v>#N/A</v>
      </c>
      <c r="F42" s="6" t="e">
        <f>IF(ISNA(MATCH(F$2,Inputs!$K$4:$AJ$4,0)),NA(),IF(SUMPRODUCT((Inputs!$A$5:$A$110=$B42)*ISNUMBER(INDEX(Inputs!$K$5:$AJ$110,0,MATCH(F$2,Inputs!$K$4:$AJ$4,0))))+SUMPRODUCT((Inputs!$C$5:$C$110=$B42)*ISNUMBER(INDEX(Inputs!$K$5:$AJ$110,0,MATCH(F$2,Inputs!$K$4:$AJ$4,0))))+SUMPRODUCT((Inputs!$E$5:$E$110=$B42)*ISNUMBER(INDEX(Inputs!$K$5:$AJ$110,0,MATCH(F$2,Inputs!$K$4:$AJ$4,0))))=0,NA(),SUMPRODUCT((Inputs!$A$5:$A$110=$B42)*Inputs!$B$5:$B$110*(((Inputs!$G$5:$G$110="moeda")+(Inputs!$G$5:$G$110="acoes"))*Inputs!$B$1+((Inputs!$G$5:$G$110&lt;&gt;"moeda")*(Inputs!$G$5:$G$110&lt;&gt;"acoes")))*INDEX(Inputs!$K$5:$AJ$110,0,MATCH(F$2,Inputs!$K$4:$AJ$4,0)))+SUMPRODUCT((Inputs!$C$5:$C$110=$B42)*Inputs!$D$5:$D$110*(((Inputs!$G$5:$G$110="moeda")+(Inputs!$G$5:$G$110="acoes"))*Inputs!$B$1+((Inputs!$G$5:$G$110&lt;&gt;"moeda")*(Inputs!$G$5:$G$110&lt;&gt;"acoes")))*INDEX(Inputs!$K$5:$AJ$110,0,MATCH(F$2,Inputs!$K$4:$AJ$4,0)))+SUMPRODUCT((Inputs!$E$5:$E$110=$B42)*Inputs!$F$5:$F$110*(((Inputs!$G$5:$G$110="moeda")+(Inputs!$G$5:$G$110="acoes"))*Inputs!$B$1+((Inputs!$G$5:$G$110&lt;&gt;"moeda")*(Inputs!$G$5:$G$110&lt;&gt;"acoes")))*INDEX(Inputs!$K$5:$AJ$110,0,MATCH(F$2,Inputs!$K$4:$AJ$4,0)))))</f>
        <v>#N/A</v>
      </c>
      <c r="G42" s="6" t="e">
        <f>IF(ISNA(MATCH(G$2,Inputs!$K$4:$AJ$4,0)),NA(),IF(SUMPRODUCT((Inputs!$A$5:$A$110=$B42)*ISNUMBER(INDEX(Inputs!$K$5:$AJ$110,0,MATCH(G$2,Inputs!$K$4:$AJ$4,0))))+SUMPRODUCT((Inputs!$C$5:$C$110=$B42)*ISNUMBER(INDEX(Inputs!$K$5:$AJ$110,0,MATCH(G$2,Inputs!$K$4:$AJ$4,0))))+SUMPRODUCT((Inputs!$E$5:$E$110=$B42)*ISNUMBER(INDEX(Inputs!$K$5:$AJ$110,0,MATCH(G$2,Inputs!$K$4:$AJ$4,0))))=0,NA(),SUMPRODUCT((Inputs!$A$5:$A$110=$B42)*Inputs!$B$5:$B$110*(((Inputs!$G$5:$G$110="moeda")+(Inputs!$G$5:$G$110="acoes"))*Inputs!$B$1+((Inputs!$G$5:$G$110&lt;&gt;"moeda")*(Inputs!$G$5:$G$110&lt;&gt;"acoes")))*INDEX(Inputs!$K$5:$AJ$110,0,MATCH(G$2,Inputs!$K$4:$AJ$4,0)))+SUMPRODUCT((Inputs!$C$5:$C$110=$B42)*Inputs!$D$5:$D$110*(((Inputs!$G$5:$G$110="moeda")+(Inputs!$G$5:$G$110="acoes"))*Inputs!$B$1+((Inputs!$G$5:$G$110&lt;&gt;"moeda")*(Inputs!$G$5:$G$110&lt;&gt;"acoes")))*INDEX(Inputs!$K$5:$AJ$110,0,MATCH(G$2,Inputs!$K$4:$AJ$4,0)))+SUMPRODUCT((Inputs!$E$5:$E$110=$B42)*Inputs!$F$5:$F$110*(((Inputs!$G$5:$G$110="moeda")+(Inputs!$G$5:$G$110="acoes"))*Inputs!$B$1+((Inputs!$G$5:$G$110&lt;&gt;"moeda")*(Inputs!$G$5:$G$110&lt;&gt;"acoes")))*INDEX(Inputs!$K$5:$AJ$110,0,MATCH(G$2,Inputs!$K$4:$AJ$4,0)))))</f>
        <v>#N/A</v>
      </c>
      <c r="H42" s="3" t="e">
        <f>G42</f>
        <v>#N/A</v>
      </c>
      <c r="I42" s="6" t="e">
        <f>IF(ISNA(MATCH(I$2,Inputs!$K$4:$AJ$4,0)),NA(),IF(SUMPRODUCT((Inputs!$A$5:$A$110=$B42)*ISNUMBER(INDEX(Inputs!$K$5:$AJ$110,0,MATCH(I$2,Inputs!$K$4:$AJ$4,0))))+SUMPRODUCT((Inputs!$C$5:$C$110=$B42)*ISNUMBER(INDEX(Inputs!$K$5:$AJ$110,0,MATCH(I$2,Inputs!$K$4:$AJ$4,0))))+SUMPRODUCT((Inputs!$E$5:$E$110=$B42)*ISNUMBER(INDEX(Inputs!$K$5:$AJ$110,0,MATCH(I$2,Inputs!$K$4:$AJ$4,0))))=0,NA(),SUMPRODUCT((Inputs!$A$5:$A$110=$B42)*Inputs!$B$5:$B$110*(((Inputs!$G$5:$G$110="moeda")+(Inputs!$G$5:$G$110="acoes"))*Inputs!$B$1+((Inputs!$G$5:$G$110&lt;&gt;"moeda")*(Inputs!$G$5:$G$110&lt;&gt;"acoes")))*INDEX(Inputs!$K$5:$AJ$110,0,MATCH(I$2,Inputs!$K$4:$AJ$4,0)))+SUMPRODUCT((Inputs!$C$5:$C$110=$B42)*Inputs!$D$5:$D$110*(((Inputs!$G$5:$G$110="moeda")+(Inputs!$G$5:$G$110="acoes"))*Inputs!$B$1+((Inputs!$G$5:$G$110&lt;&gt;"moeda")*(Inputs!$G$5:$G$110&lt;&gt;"acoes")))*INDEX(Inputs!$K$5:$AJ$110,0,MATCH(I$2,Inputs!$K$4:$AJ$4,0)))+SUMPRODUCT((Inputs!$E$5:$E$110=$B42)*Inputs!$F$5:$F$110*(((Inputs!$G$5:$G$110="moeda")+(Inputs!$G$5:$G$110="acoes"))*Inputs!$B$1+((Inputs!$G$5:$G$110&lt;&gt;"moeda")*(Inputs!$G$5:$G$110&lt;&gt;"acoes")))*INDEX(Inputs!$K$5:$AJ$110,0,MATCH(I$2,Inputs!$K$4:$AJ$4,0)))))</f>
        <v>#N/A</v>
      </c>
      <c r="J42" s="6" t="e">
        <f>IF(ISNA(MATCH(J$2,Inputs!$K$4:$AJ$4,0)),NA(),IF(SUMPRODUCT((Inputs!$A$5:$A$110=$B42)*ISNUMBER(INDEX(Inputs!$K$5:$AJ$110,0,MATCH(J$2,Inputs!$K$4:$AJ$4,0))))+SUMPRODUCT((Inputs!$C$5:$C$110=$B42)*ISNUMBER(INDEX(Inputs!$K$5:$AJ$110,0,MATCH(J$2,Inputs!$K$4:$AJ$4,0))))+SUMPRODUCT((Inputs!$E$5:$E$110=$B42)*ISNUMBER(INDEX(Inputs!$K$5:$AJ$110,0,MATCH(J$2,Inputs!$K$4:$AJ$4,0))))=0,NA(),SUMPRODUCT((Inputs!$A$5:$A$110=$B42)*Inputs!$B$5:$B$110*(((Inputs!$G$5:$G$110="moeda")+(Inputs!$G$5:$G$110="acoes"))*Inputs!$B$1+((Inputs!$G$5:$G$110&lt;&gt;"moeda")*(Inputs!$G$5:$G$110&lt;&gt;"acoes")))*INDEX(Inputs!$K$5:$AJ$110,0,MATCH(J$2,Inputs!$K$4:$AJ$4,0)))+SUMPRODUCT((Inputs!$C$5:$C$110=$B42)*Inputs!$D$5:$D$110*(((Inputs!$G$5:$G$110="moeda")+(Inputs!$G$5:$G$110="acoes"))*Inputs!$B$1+((Inputs!$G$5:$G$110&lt;&gt;"moeda")*(Inputs!$G$5:$G$110&lt;&gt;"acoes")))*INDEX(Inputs!$K$5:$AJ$110,0,MATCH(J$2,Inputs!$K$4:$AJ$4,0)))+SUMPRODUCT((Inputs!$E$5:$E$110=$B42)*Inputs!$F$5:$F$110*(((Inputs!$G$5:$G$110="moeda")+(Inputs!$G$5:$G$110="acoes"))*Inputs!$B$1+((Inputs!$G$5:$G$110&lt;&gt;"moeda")*(Inputs!$G$5:$G$110&lt;&gt;"acoes")))*INDEX(Inputs!$K$5:$AJ$110,0,MATCH(J$2,Inputs!$K$4:$AJ$4,0)))))</f>
        <v>#N/A</v>
      </c>
      <c r="K42" s="6" t="e">
        <f>IF(ISNA(MATCH(K$2,Inputs!$K$4:$AJ$4,0)),NA(),IF(SUMPRODUCT((Inputs!$A$5:$A$110=$B42)*ISNUMBER(INDEX(Inputs!$K$5:$AJ$110,0,MATCH(K$2,Inputs!$K$4:$AJ$4,0))))+SUMPRODUCT((Inputs!$C$5:$C$110=$B42)*ISNUMBER(INDEX(Inputs!$K$5:$AJ$110,0,MATCH(K$2,Inputs!$K$4:$AJ$4,0))))+SUMPRODUCT((Inputs!$E$5:$E$110=$B42)*ISNUMBER(INDEX(Inputs!$K$5:$AJ$110,0,MATCH(K$2,Inputs!$K$4:$AJ$4,0))))=0,NA(),SUMPRODUCT((Inputs!$A$5:$A$110=$B42)*Inputs!$B$5:$B$110*(((Inputs!$G$5:$G$110="moeda")+(Inputs!$G$5:$G$110="acoes"))*Inputs!$B$1+((Inputs!$G$5:$G$110&lt;&gt;"moeda")*(Inputs!$G$5:$G$110&lt;&gt;"acoes")))*INDEX(Inputs!$K$5:$AJ$110,0,MATCH(K$2,Inputs!$K$4:$AJ$4,0)))+SUMPRODUCT((Inputs!$C$5:$C$110=$B42)*Inputs!$D$5:$D$110*(((Inputs!$G$5:$G$110="moeda")+(Inputs!$G$5:$G$110="acoes"))*Inputs!$B$1+((Inputs!$G$5:$G$110&lt;&gt;"moeda")*(Inputs!$G$5:$G$110&lt;&gt;"acoes")))*INDEX(Inputs!$K$5:$AJ$110,0,MATCH(K$2,Inputs!$K$4:$AJ$4,0)))+SUMPRODUCT((Inputs!$E$5:$E$110=$B42)*Inputs!$F$5:$F$110*(((Inputs!$G$5:$G$110="moeda")+(Inputs!$G$5:$G$110="acoes"))*Inputs!$B$1+((Inputs!$G$5:$G$110&lt;&gt;"moeda")*(Inputs!$G$5:$G$110&lt;&gt;"acoes")))*INDEX(Inputs!$K$5:$AJ$110,0,MATCH(K$2,Inputs!$K$4:$AJ$4,0)))))</f>
        <v>#N/A</v>
      </c>
      <c r="L42" s="6" t="e">
        <f>IF(ISNA(MATCH(L$2,Inputs!$K$4:$AJ$4,0)),NA(),IF(SUMPRODUCT((Inputs!$A$5:$A$110=$B42)*ISNUMBER(INDEX(Inputs!$K$5:$AJ$110,0,MATCH(L$2,Inputs!$K$4:$AJ$4,0))))+SUMPRODUCT((Inputs!$C$5:$C$110=$B42)*ISNUMBER(INDEX(Inputs!$K$5:$AJ$110,0,MATCH(L$2,Inputs!$K$4:$AJ$4,0))))+SUMPRODUCT((Inputs!$E$5:$E$110=$B42)*ISNUMBER(INDEX(Inputs!$K$5:$AJ$110,0,MATCH(L$2,Inputs!$K$4:$AJ$4,0))))=0,NA(),SUMPRODUCT((Inputs!$A$5:$A$110=$B42)*Inputs!$B$5:$B$110*(((Inputs!$G$5:$G$110="moeda")+(Inputs!$G$5:$G$110="acoes"))*Inputs!$B$1+((Inputs!$G$5:$G$110&lt;&gt;"moeda")*(Inputs!$G$5:$G$110&lt;&gt;"acoes")))*INDEX(Inputs!$K$5:$AJ$110,0,MATCH(L$2,Inputs!$K$4:$AJ$4,0)))+SUMPRODUCT((Inputs!$C$5:$C$110=$B42)*Inputs!$D$5:$D$110*(((Inputs!$G$5:$G$110="moeda")+(Inputs!$G$5:$G$110="acoes"))*Inputs!$B$1+((Inputs!$G$5:$G$110&lt;&gt;"moeda")*(Inputs!$G$5:$G$110&lt;&gt;"acoes")))*INDEX(Inputs!$K$5:$AJ$110,0,MATCH(L$2,Inputs!$K$4:$AJ$4,0)))+SUMPRODUCT((Inputs!$E$5:$E$110=$B42)*Inputs!$F$5:$F$110*(((Inputs!$G$5:$G$110="moeda")+(Inputs!$G$5:$G$110="acoes"))*Inputs!$B$1+((Inputs!$G$5:$G$110&lt;&gt;"moeda")*(Inputs!$G$5:$G$110&lt;&gt;"acoes")))*INDEX(Inputs!$K$5:$AJ$110,0,MATCH(L$2,Inputs!$K$4:$AJ$4,0)))))</f>
        <v>#N/A</v>
      </c>
      <c r="M42" s="3" t="e">
        <f>L42</f>
        <v>#N/A</v>
      </c>
      <c r="N42" s="6" t="e">
        <f>IF(ISNA(MATCH(N$2,Inputs!$K$4:$AJ$4,0)),NA(),IF(SUMPRODUCT((Inputs!$A$5:$A$110=$B42)*ISNUMBER(INDEX(Inputs!$K$5:$AJ$110,0,MATCH(N$2,Inputs!$K$4:$AJ$4,0))))+SUMPRODUCT((Inputs!$C$5:$C$110=$B42)*ISNUMBER(INDEX(Inputs!$K$5:$AJ$110,0,MATCH(N$2,Inputs!$K$4:$AJ$4,0))))+SUMPRODUCT((Inputs!$E$5:$E$110=$B42)*ISNUMBER(INDEX(Inputs!$K$5:$AJ$110,0,MATCH(N$2,Inputs!$K$4:$AJ$4,0))))=0,NA(),SUMPRODUCT((Inputs!$A$5:$A$110=$B42)*Inputs!$B$5:$B$110*(((Inputs!$G$5:$G$110="moeda")+(Inputs!$G$5:$G$110="acoes"))*Inputs!$B$1+((Inputs!$G$5:$G$110&lt;&gt;"moeda")*(Inputs!$G$5:$G$110&lt;&gt;"acoes")))*INDEX(Inputs!$K$5:$AJ$110,0,MATCH(N$2,Inputs!$K$4:$AJ$4,0)))+SUMPRODUCT((Inputs!$C$5:$C$110=$B42)*Inputs!$D$5:$D$110*(((Inputs!$G$5:$G$110="moeda")+(Inputs!$G$5:$G$110="acoes"))*Inputs!$B$1+((Inputs!$G$5:$G$110&lt;&gt;"moeda")*(Inputs!$G$5:$G$110&lt;&gt;"acoes")))*INDEX(Inputs!$K$5:$AJ$110,0,MATCH(N$2,Inputs!$K$4:$AJ$4,0)))+SUMPRODUCT((Inputs!$E$5:$E$110=$B42)*Inputs!$F$5:$F$110*(((Inputs!$G$5:$G$110="moeda")+(Inputs!$G$5:$G$110="acoes"))*Inputs!$B$1+((Inputs!$G$5:$G$110&lt;&gt;"moeda")*(Inputs!$G$5:$G$110&lt;&gt;"acoes")))*INDEX(Inputs!$K$5:$AJ$110,0,MATCH(N$2,Inputs!$K$4:$AJ$4,0)))))</f>
        <v>#N/A</v>
      </c>
      <c r="O42" s="6" t="e">
        <f>IF(ISNA(MATCH(O$2,Inputs!$K$4:$AJ$4,0)),NA(),IF(SUMPRODUCT((Inputs!$A$5:$A$110=$B42)*ISNUMBER(INDEX(Inputs!$K$5:$AJ$110,0,MATCH(O$2,Inputs!$K$4:$AJ$4,0))))+SUMPRODUCT((Inputs!$C$5:$C$110=$B42)*ISNUMBER(INDEX(Inputs!$K$5:$AJ$110,0,MATCH(O$2,Inputs!$K$4:$AJ$4,0))))+SUMPRODUCT((Inputs!$E$5:$E$110=$B42)*ISNUMBER(INDEX(Inputs!$K$5:$AJ$110,0,MATCH(O$2,Inputs!$K$4:$AJ$4,0))))=0,NA(),SUMPRODUCT((Inputs!$A$5:$A$110=$B42)*Inputs!$B$5:$B$110*(((Inputs!$G$5:$G$110="moeda")+(Inputs!$G$5:$G$110="acoes"))*Inputs!$B$1+((Inputs!$G$5:$G$110&lt;&gt;"moeda")*(Inputs!$G$5:$G$110&lt;&gt;"acoes")))*INDEX(Inputs!$K$5:$AJ$110,0,MATCH(O$2,Inputs!$K$4:$AJ$4,0)))+SUMPRODUCT((Inputs!$C$5:$C$110=$B42)*Inputs!$D$5:$D$110*(((Inputs!$G$5:$G$110="moeda")+(Inputs!$G$5:$G$110="acoes"))*Inputs!$B$1+((Inputs!$G$5:$G$110&lt;&gt;"moeda")*(Inputs!$G$5:$G$110&lt;&gt;"acoes")))*INDEX(Inputs!$K$5:$AJ$110,0,MATCH(O$2,Inputs!$K$4:$AJ$4,0)))+SUMPRODUCT((Inputs!$E$5:$E$110=$B42)*Inputs!$F$5:$F$110*(((Inputs!$G$5:$G$110="moeda")+(Inputs!$G$5:$G$110="acoes"))*Inputs!$B$1+((Inputs!$G$5:$G$110&lt;&gt;"moeda")*(Inputs!$G$5:$G$110&lt;&gt;"acoes")))*INDEX(Inputs!$K$5:$AJ$110,0,MATCH(O$2,Inputs!$K$4:$AJ$4,0)))))</f>
        <v>#N/A</v>
      </c>
      <c r="P42" s="6" t="e">
        <f>IF(ISNA(MATCH(P$2,Inputs!$K$4:$AJ$4,0)),NA(),IF(SUMPRODUCT((Inputs!$A$5:$A$110=$B42)*ISNUMBER(INDEX(Inputs!$K$5:$AJ$110,0,MATCH(P$2,Inputs!$K$4:$AJ$4,0))))+SUMPRODUCT((Inputs!$C$5:$C$110=$B42)*ISNUMBER(INDEX(Inputs!$K$5:$AJ$110,0,MATCH(P$2,Inputs!$K$4:$AJ$4,0))))+SUMPRODUCT((Inputs!$E$5:$E$110=$B42)*ISNUMBER(INDEX(Inputs!$K$5:$AJ$110,0,MATCH(P$2,Inputs!$K$4:$AJ$4,0))))=0,NA(),SUMPRODUCT((Inputs!$A$5:$A$110=$B42)*Inputs!$B$5:$B$110*(((Inputs!$G$5:$G$110="moeda")+(Inputs!$G$5:$G$110="acoes"))*Inputs!$B$1+((Inputs!$G$5:$G$110&lt;&gt;"moeda")*(Inputs!$G$5:$G$110&lt;&gt;"acoes")))*INDEX(Inputs!$K$5:$AJ$110,0,MATCH(P$2,Inputs!$K$4:$AJ$4,0)))+SUMPRODUCT((Inputs!$C$5:$C$110=$B42)*Inputs!$D$5:$D$110*(((Inputs!$G$5:$G$110="moeda")+(Inputs!$G$5:$G$110="acoes"))*Inputs!$B$1+((Inputs!$G$5:$G$110&lt;&gt;"moeda")*(Inputs!$G$5:$G$110&lt;&gt;"acoes")))*INDEX(Inputs!$K$5:$AJ$110,0,MATCH(P$2,Inputs!$K$4:$AJ$4,0)))+SUMPRODUCT((Inputs!$E$5:$E$110=$B42)*Inputs!$F$5:$F$110*(((Inputs!$G$5:$G$110="moeda")+(Inputs!$G$5:$G$110="acoes"))*Inputs!$B$1+((Inputs!$G$5:$G$110&lt;&gt;"moeda")*(Inputs!$G$5:$G$110&lt;&gt;"acoes")))*INDEX(Inputs!$K$5:$AJ$110,0,MATCH(P$2,Inputs!$K$4:$AJ$4,0)))))</f>
        <v>#N/A</v>
      </c>
      <c r="Q42" s="6" t="e">
        <f>IF(ISNA(MATCH(Q$2,Inputs!$K$4:$AJ$4,0)),NA(),IF(SUMPRODUCT((Inputs!$A$5:$A$110=$B42)*ISNUMBER(INDEX(Inputs!$K$5:$AJ$110,0,MATCH(Q$2,Inputs!$K$4:$AJ$4,0))))+SUMPRODUCT((Inputs!$C$5:$C$110=$B42)*ISNUMBER(INDEX(Inputs!$K$5:$AJ$110,0,MATCH(Q$2,Inputs!$K$4:$AJ$4,0))))+SUMPRODUCT((Inputs!$E$5:$E$110=$B42)*ISNUMBER(INDEX(Inputs!$K$5:$AJ$110,0,MATCH(Q$2,Inputs!$K$4:$AJ$4,0))))=0,NA(),SUMPRODUCT((Inputs!$A$5:$A$110=$B42)*Inputs!$B$5:$B$110*(((Inputs!$G$5:$G$110="moeda")+(Inputs!$G$5:$G$110="acoes"))*Inputs!$B$1+((Inputs!$G$5:$G$110&lt;&gt;"moeda")*(Inputs!$G$5:$G$110&lt;&gt;"acoes")))*INDEX(Inputs!$K$5:$AJ$110,0,MATCH(Q$2,Inputs!$K$4:$AJ$4,0)))+SUMPRODUCT((Inputs!$C$5:$C$110=$B42)*Inputs!$D$5:$D$110*(((Inputs!$G$5:$G$110="moeda")+(Inputs!$G$5:$G$110="acoes"))*Inputs!$B$1+((Inputs!$G$5:$G$110&lt;&gt;"moeda")*(Inputs!$G$5:$G$110&lt;&gt;"acoes")))*INDEX(Inputs!$K$5:$AJ$110,0,MATCH(Q$2,Inputs!$K$4:$AJ$4,0)))+SUMPRODUCT((Inputs!$E$5:$E$110=$B42)*Inputs!$F$5:$F$110*(((Inputs!$G$5:$G$110="moeda")+(Inputs!$G$5:$G$110="acoes"))*Inputs!$B$1+((Inputs!$G$5:$G$110&lt;&gt;"moeda")*(Inputs!$G$5:$G$110&lt;&gt;"acoes")))*INDEX(Inputs!$K$5:$AJ$110,0,MATCH(Q$2,Inputs!$K$4:$AJ$4,0)))))</f>
        <v>#N/A</v>
      </c>
      <c r="R42" s="3" t="e">
        <f>Q42</f>
        <v>#N/A</v>
      </c>
      <c r="S42" s="6" t="e">
        <f>IF(ISNA(MATCH(S$2,Inputs!$K$4:$AJ$4,0)),NA(),IF(SUMPRODUCT((Inputs!$A$5:$A$110=$B42)*ISNUMBER(INDEX(Inputs!$K$5:$AJ$110,0,MATCH(S$2,Inputs!$K$4:$AJ$4,0))))+SUMPRODUCT((Inputs!$C$5:$C$110=$B42)*ISNUMBER(INDEX(Inputs!$K$5:$AJ$110,0,MATCH(S$2,Inputs!$K$4:$AJ$4,0))))+SUMPRODUCT((Inputs!$E$5:$E$110=$B42)*ISNUMBER(INDEX(Inputs!$K$5:$AJ$110,0,MATCH(S$2,Inputs!$K$4:$AJ$4,0))))=0,NA(),SUMPRODUCT((Inputs!$A$5:$A$110=$B42)*Inputs!$B$5:$B$110*(((Inputs!$G$5:$G$110="moeda")+(Inputs!$G$5:$G$110="acoes"))*Inputs!$B$1+((Inputs!$G$5:$G$110&lt;&gt;"moeda")*(Inputs!$G$5:$G$110&lt;&gt;"acoes")))*INDEX(Inputs!$K$5:$AJ$110,0,MATCH(S$2,Inputs!$K$4:$AJ$4,0)))+SUMPRODUCT((Inputs!$C$5:$C$110=$B42)*Inputs!$D$5:$D$110*(((Inputs!$G$5:$G$110="moeda")+(Inputs!$G$5:$G$110="acoes"))*Inputs!$B$1+((Inputs!$G$5:$G$110&lt;&gt;"moeda")*(Inputs!$G$5:$G$110&lt;&gt;"acoes")))*INDEX(Inputs!$K$5:$AJ$110,0,MATCH(S$2,Inputs!$K$4:$AJ$4,0)))+SUMPRODUCT((Inputs!$E$5:$E$110=$B42)*Inputs!$F$5:$F$110*(((Inputs!$G$5:$G$110="moeda")+(Inputs!$G$5:$G$110="acoes"))*Inputs!$B$1+((Inputs!$G$5:$G$110&lt;&gt;"moeda")*(Inputs!$G$5:$G$110&lt;&gt;"acoes")))*INDEX(Inputs!$K$5:$AJ$110,0,MATCH(S$2,Inputs!$K$4:$AJ$4,0)))))</f>
        <v>#N/A</v>
      </c>
      <c r="T42" s="6" t="e">
        <f>IF(ISNA(MATCH(T$2,Inputs!$K$4:$AJ$4,0)),NA(),IF(SUMPRODUCT((Inputs!$A$5:$A$110=$B42)*ISNUMBER(INDEX(Inputs!$K$5:$AJ$110,0,MATCH(T$2,Inputs!$K$4:$AJ$4,0))))+SUMPRODUCT((Inputs!$C$5:$C$110=$B42)*ISNUMBER(INDEX(Inputs!$K$5:$AJ$110,0,MATCH(T$2,Inputs!$K$4:$AJ$4,0))))+SUMPRODUCT((Inputs!$E$5:$E$110=$B42)*ISNUMBER(INDEX(Inputs!$K$5:$AJ$110,0,MATCH(T$2,Inputs!$K$4:$AJ$4,0))))=0,NA(),SUMPRODUCT((Inputs!$A$5:$A$110=$B42)*Inputs!$B$5:$B$110*(((Inputs!$G$5:$G$110="moeda")+(Inputs!$G$5:$G$110="acoes"))*Inputs!$B$1+((Inputs!$G$5:$G$110&lt;&gt;"moeda")*(Inputs!$G$5:$G$110&lt;&gt;"acoes")))*INDEX(Inputs!$K$5:$AJ$110,0,MATCH(T$2,Inputs!$K$4:$AJ$4,0)))+SUMPRODUCT((Inputs!$C$5:$C$110=$B42)*Inputs!$D$5:$D$110*(((Inputs!$G$5:$G$110="moeda")+(Inputs!$G$5:$G$110="acoes"))*Inputs!$B$1+((Inputs!$G$5:$G$110&lt;&gt;"moeda")*(Inputs!$G$5:$G$110&lt;&gt;"acoes")))*INDEX(Inputs!$K$5:$AJ$110,0,MATCH(T$2,Inputs!$K$4:$AJ$4,0)))+SUMPRODUCT((Inputs!$E$5:$E$110=$B42)*Inputs!$F$5:$F$110*(((Inputs!$G$5:$G$110="moeda")+(Inputs!$G$5:$G$110="acoes"))*Inputs!$B$1+((Inputs!$G$5:$G$110&lt;&gt;"moeda")*(Inputs!$G$5:$G$110&lt;&gt;"acoes")))*INDEX(Inputs!$K$5:$AJ$110,0,MATCH(T$2,Inputs!$K$4:$AJ$4,0)))))</f>
        <v>#N/A</v>
      </c>
      <c r="U42" s="6" t="e">
        <f>IF(ISNA(MATCH(U$2,Inputs!$K$4:$AJ$4,0)),NA(),IF(SUMPRODUCT((Inputs!$A$5:$A$110=$B42)*ISNUMBER(INDEX(Inputs!$K$5:$AJ$110,0,MATCH(U$2,Inputs!$K$4:$AJ$4,0))))+SUMPRODUCT((Inputs!$C$5:$C$110=$B42)*ISNUMBER(INDEX(Inputs!$K$5:$AJ$110,0,MATCH(U$2,Inputs!$K$4:$AJ$4,0))))+SUMPRODUCT((Inputs!$E$5:$E$110=$B42)*ISNUMBER(INDEX(Inputs!$K$5:$AJ$110,0,MATCH(U$2,Inputs!$K$4:$AJ$4,0))))=0,NA(),SUMPRODUCT((Inputs!$A$5:$A$110=$B42)*Inputs!$B$5:$B$110*(((Inputs!$G$5:$G$110="moeda")+(Inputs!$G$5:$G$110="acoes"))*Inputs!$B$1+((Inputs!$G$5:$G$110&lt;&gt;"moeda")*(Inputs!$G$5:$G$110&lt;&gt;"acoes")))*INDEX(Inputs!$K$5:$AJ$110,0,MATCH(U$2,Inputs!$K$4:$AJ$4,0)))+SUMPRODUCT((Inputs!$C$5:$C$110=$B42)*Inputs!$D$5:$D$110*(((Inputs!$G$5:$G$110="moeda")+(Inputs!$G$5:$G$110="acoes"))*Inputs!$B$1+((Inputs!$G$5:$G$110&lt;&gt;"moeda")*(Inputs!$G$5:$G$110&lt;&gt;"acoes")))*INDEX(Inputs!$K$5:$AJ$110,0,MATCH(U$2,Inputs!$K$4:$AJ$4,0)))+SUMPRODUCT((Inputs!$E$5:$E$110=$B42)*Inputs!$F$5:$F$110*(((Inputs!$G$5:$G$110="moeda")+(Inputs!$G$5:$G$110="acoes"))*Inputs!$B$1+((Inputs!$G$5:$G$110&lt;&gt;"moeda")*(Inputs!$G$5:$G$110&lt;&gt;"acoes")))*INDEX(Inputs!$K$5:$AJ$110,0,MATCH(U$2,Inputs!$K$4:$AJ$4,0)))))</f>
        <v>#N/A</v>
      </c>
      <c r="V42" s="6" t="e">
        <f>IF(ISNA(MATCH(V$2,Inputs!$K$4:$AJ$4,0)),NA(),IF(SUMPRODUCT((Inputs!$A$5:$A$110=$B42)*ISNUMBER(INDEX(Inputs!$K$5:$AJ$110,0,MATCH(V$2,Inputs!$K$4:$AJ$4,0))))+SUMPRODUCT((Inputs!$C$5:$C$110=$B42)*ISNUMBER(INDEX(Inputs!$K$5:$AJ$110,0,MATCH(V$2,Inputs!$K$4:$AJ$4,0))))+SUMPRODUCT((Inputs!$E$5:$E$110=$B42)*ISNUMBER(INDEX(Inputs!$K$5:$AJ$110,0,MATCH(V$2,Inputs!$K$4:$AJ$4,0))))=0,NA(),SUMPRODUCT((Inputs!$A$5:$A$110=$B42)*Inputs!$B$5:$B$110*(((Inputs!$G$5:$G$110="moeda")+(Inputs!$G$5:$G$110="acoes"))*Inputs!$B$1+((Inputs!$G$5:$G$110&lt;&gt;"moeda")*(Inputs!$G$5:$G$110&lt;&gt;"acoes")))*INDEX(Inputs!$K$5:$AJ$110,0,MATCH(V$2,Inputs!$K$4:$AJ$4,0)))+SUMPRODUCT((Inputs!$C$5:$C$110=$B42)*Inputs!$D$5:$D$110*(((Inputs!$G$5:$G$110="moeda")+(Inputs!$G$5:$G$110="acoes"))*Inputs!$B$1+((Inputs!$G$5:$G$110&lt;&gt;"moeda")*(Inputs!$G$5:$G$110&lt;&gt;"acoes")))*INDEX(Inputs!$K$5:$AJ$110,0,MATCH(V$2,Inputs!$K$4:$AJ$4,0)))+SUMPRODUCT((Inputs!$E$5:$E$110=$B42)*Inputs!$F$5:$F$110*(((Inputs!$G$5:$G$110="moeda")+(Inputs!$G$5:$G$110="acoes"))*Inputs!$B$1+((Inputs!$G$5:$G$110&lt;&gt;"moeda")*(Inputs!$G$5:$G$110&lt;&gt;"acoes")))*INDEX(Inputs!$K$5:$AJ$110,0,MATCH(V$2,Inputs!$K$4:$AJ$4,0)))))</f>
        <v>#N/A</v>
      </c>
      <c r="W42" s="3" t="e">
        <f>V42</f>
        <v>#N/A</v>
      </c>
      <c r="X42" s="6" t="e">
        <f>IF(ISNA(MATCH(X$2,Inputs!$K$4:$AJ$4,0)),NA(),IF(SUMPRODUCT((Inputs!$A$5:$A$110=$B42)*ISNUMBER(INDEX(Inputs!$K$5:$AJ$110,0,MATCH(X$2,Inputs!$K$4:$AJ$4,0))))+SUMPRODUCT((Inputs!$C$5:$C$110=$B42)*ISNUMBER(INDEX(Inputs!$K$5:$AJ$110,0,MATCH(X$2,Inputs!$K$4:$AJ$4,0))))+SUMPRODUCT((Inputs!$E$5:$E$110=$B42)*ISNUMBER(INDEX(Inputs!$K$5:$AJ$110,0,MATCH(X$2,Inputs!$K$4:$AJ$4,0))))=0,NA(),SUMPRODUCT((Inputs!$A$5:$A$110=$B42)*Inputs!$B$5:$B$110*(((Inputs!$G$5:$G$110="moeda")+(Inputs!$G$5:$G$110="acoes"))*Inputs!$B$1+((Inputs!$G$5:$G$110&lt;&gt;"moeda")*(Inputs!$G$5:$G$110&lt;&gt;"acoes")))*INDEX(Inputs!$K$5:$AJ$110,0,MATCH(X$2,Inputs!$K$4:$AJ$4,0)))+SUMPRODUCT((Inputs!$C$5:$C$110=$B42)*Inputs!$D$5:$D$110*(((Inputs!$G$5:$G$110="moeda")+(Inputs!$G$5:$G$110="acoes"))*Inputs!$B$1+((Inputs!$G$5:$G$110&lt;&gt;"moeda")*(Inputs!$G$5:$G$110&lt;&gt;"acoes")))*INDEX(Inputs!$K$5:$AJ$110,0,MATCH(X$2,Inputs!$K$4:$AJ$4,0)))+SUMPRODUCT((Inputs!$E$5:$E$110=$B42)*Inputs!$F$5:$F$110*(((Inputs!$G$5:$G$110="moeda")+(Inputs!$G$5:$G$110="acoes"))*Inputs!$B$1+((Inputs!$G$5:$G$110&lt;&gt;"moeda")*(Inputs!$G$5:$G$110&lt;&gt;"acoes")))*INDEX(Inputs!$K$5:$AJ$110,0,MATCH(X$2,Inputs!$K$4:$AJ$4,0)))))</f>
        <v>#N/A</v>
      </c>
      <c r="Y42" s="6" t="e">
        <f>IF(ISNA(MATCH(Y$2,Inputs!$K$4:$AJ$4,0)),NA(),IF(SUMPRODUCT((Inputs!$A$5:$A$110=$B42)*ISNUMBER(INDEX(Inputs!$K$5:$AJ$110,0,MATCH(Y$2,Inputs!$K$4:$AJ$4,0))))+SUMPRODUCT((Inputs!$C$5:$C$110=$B42)*ISNUMBER(INDEX(Inputs!$K$5:$AJ$110,0,MATCH(Y$2,Inputs!$K$4:$AJ$4,0))))+SUMPRODUCT((Inputs!$E$5:$E$110=$B42)*ISNUMBER(INDEX(Inputs!$K$5:$AJ$110,0,MATCH(Y$2,Inputs!$K$4:$AJ$4,0))))=0,NA(),SUMPRODUCT((Inputs!$A$5:$A$110=$B42)*Inputs!$B$5:$B$110*(((Inputs!$G$5:$G$110="moeda")+(Inputs!$G$5:$G$110="acoes"))*Inputs!$B$1+((Inputs!$G$5:$G$110&lt;&gt;"moeda")*(Inputs!$G$5:$G$110&lt;&gt;"acoes")))*INDEX(Inputs!$K$5:$AJ$110,0,MATCH(Y$2,Inputs!$K$4:$AJ$4,0)))+SUMPRODUCT((Inputs!$C$5:$C$110=$B42)*Inputs!$D$5:$D$110*(((Inputs!$G$5:$G$110="moeda")+(Inputs!$G$5:$G$110="acoes"))*Inputs!$B$1+((Inputs!$G$5:$G$110&lt;&gt;"moeda")*(Inputs!$G$5:$G$110&lt;&gt;"acoes")))*INDEX(Inputs!$K$5:$AJ$110,0,MATCH(Y$2,Inputs!$K$4:$AJ$4,0)))+SUMPRODUCT((Inputs!$E$5:$E$110=$B42)*Inputs!$F$5:$F$110*(((Inputs!$G$5:$G$110="moeda")+(Inputs!$G$5:$G$110="acoes"))*Inputs!$B$1+((Inputs!$G$5:$G$110&lt;&gt;"moeda")*(Inputs!$G$5:$G$110&lt;&gt;"acoes")))*INDEX(Inputs!$K$5:$AJ$110,0,MATCH(Y$2,Inputs!$K$4:$AJ$4,0)))))</f>
        <v>#N/A</v>
      </c>
      <c r="Z42" s="6" t="e">
        <f>IF(ISNA(MATCH(Z$2,Inputs!$K$4:$AJ$4,0)),NA(),IF(SUMPRODUCT((Inputs!$A$5:$A$110=$B42)*ISNUMBER(INDEX(Inputs!$K$5:$AJ$110,0,MATCH(Z$2,Inputs!$K$4:$AJ$4,0))))+SUMPRODUCT((Inputs!$C$5:$C$110=$B42)*ISNUMBER(INDEX(Inputs!$K$5:$AJ$110,0,MATCH(Z$2,Inputs!$K$4:$AJ$4,0))))+SUMPRODUCT((Inputs!$E$5:$E$110=$B42)*ISNUMBER(INDEX(Inputs!$K$5:$AJ$110,0,MATCH(Z$2,Inputs!$K$4:$AJ$4,0))))=0,NA(),SUMPRODUCT((Inputs!$A$5:$A$110=$B42)*Inputs!$B$5:$B$110*(((Inputs!$G$5:$G$110="moeda")+(Inputs!$G$5:$G$110="acoes"))*Inputs!$B$1+((Inputs!$G$5:$G$110&lt;&gt;"moeda")*(Inputs!$G$5:$G$110&lt;&gt;"acoes")))*INDEX(Inputs!$K$5:$AJ$110,0,MATCH(Z$2,Inputs!$K$4:$AJ$4,0)))+SUMPRODUCT((Inputs!$C$5:$C$110=$B42)*Inputs!$D$5:$D$110*(((Inputs!$G$5:$G$110="moeda")+(Inputs!$G$5:$G$110="acoes"))*Inputs!$B$1+((Inputs!$G$5:$G$110&lt;&gt;"moeda")*(Inputs!$G$5:$G$110&lt;&gt;"acoes")))*INDEX(Inputs!$K$5:$AJ$110,0,MATCH(Z$2,Inputs!$K$4:$AJ$4,0)))+SUMPRODUCT((Inputs!$E$5:$E$110=$B42)*Inputs!$F$5:$F$110*(((Inputs!$G$5:$G$110="moeda")+(Inputs!$G$5:$G$110="acoes"))*Inputs!$B$1+((Inputs!$G$5:$G$110&lt;&gt;"moeda")*(Inputs!$G$5:$G$110&lt;&gt;"acoes")))*INDEX(Inputs!$K$5:$AJ$110,0,MATCH(Z$2,Inputs!$K$4:$AJ$4,0)))))</f>
        <v>#N/A</v>
      </c>
      <c r="AA42" s="6" t="e">
        <f>IF(ISNA(MATCH(AA$2,Inputs!$K$4:$AJ$4,0)),NA(),IF(SUMPRODUCT((Inputs!$A$5:$A$110=$B42)*ISNUMBER(INDEX(Inputs!$K$5:$AJ$110,0,MATCH(AA$2,Inputs!$K$4:$AJ$4,0))))+SUMPRODUCT((Inputs!$C$5:$C$110=$B42)*ISNUMBER(INDEX(Inputs!$K$5:$AJ$110,0,MATCH(AA$2,Inputs!$K$4:$AJ$4,0))))+SUMPRODUCT((Inputs!$E$5:$E$110=$B42)*ISNUMBER(INDEX(Inputs!$K$5:$AJ$110,0,MATCH(AA$2,Inputs!$K$4:$AJ$4,0))))=0,NA(),SUMPRODUCT((Inputs!$A$5:$A$110=$B42)*Inputs!$B$5:$B$110*(((Inputs!$G$5:$G$110="moeda")+(Inputs!$G$5:$G$110="acoes"))*Inputs!$B$1+((Inputs!$G$5:$G$110&lt;&gt;"moeda")*(Inputs!$G$5:$G$110&lt;&gt;"acoes")))*INDEX(Inputs!$K$5:$AJ$110,0,MATCH(AA$2,Inputs!$K$4:$AJ$4,0)))+SUMPRODUCT((Inputs!$C$5:$C$110=$B42)*Inputs!$D$5:$D$110*(((Inputs!$G$5:$G$110="moeda")+(Inputs!$G$5:$G$110="acoes"))*Inputs!$B$1+((Inputs!$G$5:$G$110&lt;&gt;"moeda")*(Inputs!$G$5:$G$110&lt;&gt;"acoes")))*INDEX(Inputs!$K$5:$AJ$110,0,MATCH(AA$2,Inputs!$K$4:$AJ$4,0)))+SUMPRODUCT((Inputs!$E$5:$E$110=$B42)*Inputs!$F$5:$F$110*(((Inputs!$G$5:$G$110="moeda")+(Inputs!$G$5:$G$110="acoes"))*Inputs!$B$1+((Inputs!$G$5:$G$110&lt;&gt;"moeda")*(Inputs!$G$5:$G$110&lt;&gt;"acoes")))*INDEX(Inputs!$K$5:$AJ$110,0,MATCH(AA$2,Inputs!$K$4:$AJ$4,0)))))</f>
        <v>#N/A</v>
      </c>
      <c r="AB42" s="3" t="e">
        <f>AA42</f>
        <v>#N/A</v>
      </c>
      <c r="AC42" s="6" t="e">
        <f>IF(ISNA(MATCH(AC$2,Inputs!$K$4:$AJ$4,0)),NA(),IF(SUMPRODUCT((Inputs!$A$5:$A$110=$B42)*ISNUMBER(INDEX(Inputs!$K$5:$AJ$110,0,MATCH(AC$2,Inputs!$K$4:$AJ$4,0))))+SUMPRODUCT((Inputs!$C$5:$C$110=$B42)*ISNUMBER(INDEX(Inputs!$K$5:$AJ$110,0,MATCH(AC$2,Inputs!$K$4:$AJ$4,0))))+SUMPRODUCT((Inputs!$E$5:$E$110=$B42)*ISNUMBER(INDEX(Inputs!$K$5:$AJ$110,0,MATCH(AC$2,Inputs!$K$4:$AJ$4,0))))=0,NA(),SUMPRODUCT((Inputs!$A$5:$A$110=$B42)*Inputs!$B$5:$B$110*(((Inputs!$G$5:$G$110="moeda")+(Inputs!$G$5:$G$110="acoes"))*Inputs!$B$1+((Inputs!$G$5:$G$110&lt;&gt;"moeda")*(Inputs!$G$5:$G$110&lt;&gt;"acoes")))*INDEX(Inputs!$K$5:$AJ$110,0,MATCH(AC$2,Inputs!$K$4:$AJ$4,0)))+SUMPRODUCT((Inputs!$C$5:$C$110=$B42)*Inputs!$D$5:$D$110*(((Inputs!$G$5:$G$110="moeda")+(Inputs!$G$5:$G$110="acoes"))*Inputs!$B$1+((Inputs!$G$5:$G$110&lt;&gt;"moeda")*(Inputs!$G$5:$G$110&lt;&gt;"acoes")))*INDEX(Inputs!$K$5:$AJ$110,0,MATCH(AC$2,Inputs!$K$4:$AJ$4,0)))+SUMPRODUCT((Inputs!$E$5:$E$110=$B42)*Inputs!$F$5:$F$110*(((Inputs!$G$5:$G$110="moeda")+(Inputs!$G$5:$G$110="acoes"))*Inputs!$B$1+((Inputs!$G$5:$G$110&lt;&gt;"moeda")*(Inputs!$G$5:$G$110&lt;&gt;"acoes")))*INDEX(Inputs!$K$5:$AJ$110,0,MATCH(AC$2,Inputs!$K$4:$AJ$4,0)))))</f>
        <v>#N/A</v>
      </c>
      <c r="AD42" s="6" t="e">
        <f>IF(ISNA(MATCH(AD$2,Inputs!$K$4:$AJ$4,0)),NA(),IF(SUMPRODUCT((Inputs!$A$5:$A$110=$B42)*ISNUMBER(INDEX(Inputs!$K$5:$AJ$110,0,MATCH(AD$2,Inputs!$K$4:$AJ$4,0))))+SUMPRODUCT((Inputs!$C$5:$C$110=$B42)*ISNUMBER(INDEX(Inputs!$K$5:$AJ$110,0,MATCH(AD$2,Inputs!$K$4:$AJ$4,0))))+SUMPRODUCT((Inputs!$E$5:$E$110=$B42)*ISNUMBER(INDEX(Inputs!$K$5:$AJ$110,0,MATCH(AD$2,Inputs!$K$4:$AJ$4,0))))=0,NA(),SUMPRODUCT((Inputs!$A$5:$A$110=$B42)*Inputs!$B$5:$B$110*(((Inputs!$G$5:$G$110="moeda")+(Inputs!$G$5:$G$110="acoes"))*Inputs!$B$1+((Inputs!$G$5:$G$110&lt;&gt;"moeda")*(Inputs!$G$5:$G$110&lt;&gt;"acoes")))*INDEX(Inputs!$K$5:$AJ$110,0,MATCH(AD$2,Inputs!$K$4:$AJ$4,0)))+SUMPRODUCT((Inputs!$C$5:$C$110=$B42)*Inputs!$D$5:$D$110*(((Inputs!$G$5:$G$110="moeda")+(Inputs!$G$5:$G$110="acoes"))*Inputs!$B$1+((Inputs!$G$5:$G$110&lt;&gt;"moeda")*(Inputs!$G$5:$G$110&lt;&gt;"acoes")))*INDEX(Inputs!$K$5:$AJ$110,0,MATCH(AD$2,Inputs!$K$4:$AJ$4,0)))+SUMPRODUCT((Inputs!$E$5:$E$110=$B42)*Inputs!$F$5:$F$110*(((Inputs!$G$5:$G$110="moeda")+(Inputs!$G$5:$G$110="acoes"))*Inputs!$B$1+((Inputs!$G$5:$G$110&lt;&gt;"moeda")*(Inputs!$G$5:$G$110&lt;&gt;"acoes")))*INDEX(Inputs!$K$5:$AJ$110,0,MATCH(AD$2,Inputs!$K$4:$AJ$4,0)))))</f>
        <v>#N/A</v>
      </c>
      <c r="AE42" s="6" t="e">
        <f>IF(ISNA(MATCH(AE$2,Inputs!$K$4:$AJ$4,0)),NA(),IF(SUMPRODUCT((Inputs!$A$5:$A$110=$B42)*ISNUMBER(INDEX(Inputs!$K$5:$AJ$110,0,MATCH(AE$2,Inputs!$K$4:$AJ$4,0))))+SUMPRODUCT((Inputs!$C$5:$C$110=$B42)*ISNUMBER(INDEX(Inputs!$K$5:$AJ$110,0,MATCH(AE$2,Inputs!$K$4:$AJ$4,0))))+SUMPRODUCT((Inputs!$E$5:$E$110=$B42)*ISNUMBER(INDEX(Inputs!$K$5:$AJ$110,0,MATCH(AE$2,Inputs!$K$4:$AJ$4,0))))=0,NA(),SUMPRODUCT((Inputs!$A$5:$A$110=$B42)*Inputs!$B$5:$B$110*(((Inputs!$G$5:$G$110="moeda")+(Inputs!$G$5:$G$110="acoes"))*Inputs!$B$1+((Inputs!$G$5:$G$110&lt;&gt;"moeda")*(Inputs!$G$5:$G$110&lt;&gt;"acoes")))*INDEX(Inputs!$K$5:$AJ$110,0,MATCH(AE$2,Inputs!$K$4:$AJ$4,0)))+SUMPRODUCT((Inputs!$C$5:$C$110=$B42)*Inputs!$D$5:$D$110*(((Inputs!$G$5:$G$110="moeda")+(Inputs!$G$5:$G$110="acoes"))*Inputs!$B$1+((Inputs!$G$5:$G$110&lt;&gt;"moeda")*(Inputs!$G$5:$G$110&lt;&gt;"acoes")))*INDEX(Inputs!$K$5:$AJ$110,0,MATCH(AE$2,Inputs!$K$4:$AJ$4,0)))+SUMPRODUCT((Inputs!$E$5:$E$110=$B42)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2" s="6" t="e">
        <f>IF(ISNA(MATCH(AF$2,Inputs!$K$4:$AJ$4,0)),NA(),IF(SUMPRODUCT((Inputs!$A$5:$A$110=$B42)*ISNUMBER(INDEX(Inputs!$K$5:$AJ$110,0,MATCH(AF$2,Inputs!$K$4:$AJ$4,0))))+SUMPRODUCT((Inputs!$C$5:$C$110=$B42)*ISNUMBER(INDEX(Inputs!$K$5:$AJ$110,0,MATCH(AF$2,Inputs!$K$4:$AJ$4,0))))+SUMPRODUCT((Inputs!$E$5:$E$110=$B42)*ISNUMBER(INDEX(Inputs!$K$5:$AJ$110,0,MATCH(AF$2,Inputs!$K$4:$AJ$4,0))))=0,NA(),SUMPRODUCT((Inputs!$A$5:$A$110=$B42)*Inputs!$B$5:$B$110*(((Inputs!$G$5:$G$110="moeda")+(Inputs!$G$5:$G$110="acoes"))*Inputs!$B$1+((Inputs!$G$5:$G$110&lt;&gt;"moeda")*(Inputs!$G$5:$G$110&lt;&gt;"acoes")))*INDEX(Inputs!$K$5:$AJ$110,0,MATCH(AF$2,Inputs!$K$4:$AJ$4,0)))+SUMPRODUCT((Inputs!$C$5:$C$110=$B42)*Inputs!$D$5:$D$110*(((Inputs!$G$5:$G$110="moeda")+(Inputs!$G$5:$G$110="acoes"))*Inputs!$B$1+((Inputs!$G$5:$G$110&lt;&gt;"moeda")*(Inputs!$G$5:$G$110&lt;&gt;"acoes")))*INDEX(Inputs!$K$5:$AJ$110,0,MATCH(AF$2,Inputs!$K$4:$AJ$4,0)))+SUMPRODUCT((Inputs!$E$5:$E$110=$B42)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2" s="3" t="e">
        <f>AF42</f>
        <v>#N/A</v>
      </c>
      <c r="AH42" s="6" t="e">
        <f>IF(ISNA(MATCH(AH$2,Inputs!$K$4:$AJ$4,0)),NA(),IF(SUMPRODUCT((Inputs!$A$5:$A$110=$B42)*ISNUMBER(INDEX(Inputs!$K$5:$AJ$110,0,MATCH(AH$2,Inputs!$K$4:$AJ$4,0))))+SUMPRODUCT((Inputs!$C$5:$C$110=$B42)*ISNUMBER(INDEX(Inputs!$K$5:$AJ$110,0,MATCH(AH$2,Inputs!$K$4:$AJ$4,0))))+SUMPRODUCT((Inputs!$E$5:$E$110=$B42)*ISNUMBER(INDEX(Inputs!$K$5:$AJ$110,0,MATCH(AH$2,Inputs!$K$4:$AJ$4,0))))=0,NA(),SUMPRODUCT((Inputs!$A$5:$A$110=$B42)*Inputs!$B$5:$B$110*(((Inputs!$G$5:$G$110="moeda")+(Inputs!$G$5:$G$110="acoes"))*Inputs!$B$1+((Inputs!$G$5:$G$110&lt;&gt;"moeda")*(Inputs!$G$5:$G$110&lt;&gt;"acoes")))*INDEX(Inputs!$K$5:$AJ$110,0,MATCH(AH$2,Inputs!$K$4:$AJ$4,0)))+SUMPRODUCT((Inputs!$C$5:$C$110=$B42)*Inputs!$D$5:$D$110*(((Inputs!$G$5:$G$110="moeda")+(Inputs!$G$5:$G$110="acoes"))*Inputs!$B$1+((Inputs!$G$5:$G$110&lt;&gt;"moeda")*(Inputs!$G$5:$G$110&lt;&gt;"acoes")))*INDEX(Inputs!$K$5:$AJ$110,0,MATCH(AH$2,Inputs!$K$4:$AJ$4,0)))+SUMPRODUCT((Inputs!$E$5:$E$110=$B42)*Inputs!$F$5:$F$110*(((Inputs!$G$5:$G$110="moeda")+(Inputs!$G$5:$G$110="acoes"))*Inputs!$B$1+((Inputs!$G$5:$G$110&lt;&gt;"moeda")*(Inputs!$G$5:$G$110&lt;&gt;"acoes")))*INDEX(Inputs!$K$5:$AJ$110,0,MATCH(AH$2,Inputs!$K$4:$AJ$4,0)))))</f>
        <v>#N/A</v>
      </c>
      <c r="AI42" s="6" t="e">
        <f>IF(ISNA(MATCH(AI$2,Inputs!$K$4:$AJ$4,0)),NA(),IF(SUMPRODUCT((Inputs!$A$5:$A$110=$B42)*ISNUMBER(INDEX(Inputs!$K$5:$AJ$110,0,MATCH(AI$2,Inputs!$K$4:$AJ$4,0))))+SUMPRODUCT((Inputs!$C$5:$C$110=$B42)*ISNUMBER(INDEX(Inputs!$K$5:$AJ$110,0,MATCH(AI$2,Inputs!$K$4:$AJ$4,0))))+SUMPRODUCT((Inputs!$E$5:$E$110=$B42)*ISNUMBER(INDEX(Inputs!$K$5:$AJ$110,0,MATCH(AI$2,Inputs!$K$4:$AJ$4,0))))=0,NA(),SUMPRODUCT((Inputs!$A$5:$A$110=$B42)*Inputs!$B$5:$B$110*(((Inputs!$G$5:$G$110="moeda")+(Inputs!$G$5:$G$110="acoes"))*Inputs!$B$1+((Inputs!$G$5:$G$110&lt;&gt;"moeda")*(Inputs!$G$5:$G$110&lt;&gt;"acoes")))*INDEX(Inputs!$K$5:$AJ$110,0,MATCH(AI$2,Inputs!$K$4:$AJ$4,0)))+SUMPRODUCT((Inputs!$C$5:$C$110=$B42)*Inputs!$D$5:$D$110*(((Inputs!$G$5:$G$110="moeda")+(Inputs!$G$5:$G$110="acoes"))*Inputs!$B$1+((Inputs!$G$5:$G$110&lt;&gt;"moeda")*(Inputs!$G$5:$G$110&lt;&gt;"acoes")))*INDEX(Inputs!$K$5:$AJ$110,0,MATCH(AI$2,Inputs!$K$4:$AJ$4,0)))+SUMPRODUCT((Inputs!$E$5:$E$110=$B42)*Inputs!$F$5:$F$110*(((Inputs!$G$5:$G$110="moeda")+(Inputs!$G$5:$G$110="acoes"))*Inputs!$B$1+((Inputs!$G$5:$G$110&lt;&gt;"moeda")*(Inputs!$G$5:$G$110&lt;&gt;"acoes")))*INDEX(Inputs!$K$5:$AJ$110,0,MATCH(AI$2,Inputs!$K$4:$AJ$4,0)))))</f>
        <v>#N/A</v>
      </c>
      <c r="AJ42" s="6" t="e">
        <f>IF(ISNA(MATCH(AJ$2,Inputs!$K$4:$AJ$4,0)),NA(),IF(SUMPRODUCT((Inputs!$A$5:$A$110=$B42)*ISNUMBER(INDEX(Inputs!$K$5:$AJ$110,0,MATCH(AJ$2,Inputs!$K$4:$AJ$4,0))))+SUMPRODUCT((Inputs!$C$5:$C$110=$B42)*ISNUMBER(INDEX(Inputs!$K$5:$AJ$110,0,MATCH(AJ$2,Inputs!$K$4:$AJ$4,0))))+SUMPRODUCT((Inputs!$E$5:$E$110=$B42)*ISNUMBER(INDEX(Inputs!$K$5:$AJ$110,0,MATCH(AJ$2,Inputs!$K$4:$AJ$4,0))))=0,NA(),SUMPRODUCT((Inputs!$A$5:$A$110=$B42)*Inputs!$B$5:$B$110*(((Inputs!$G$5:$G$110="moeda")+(Inputs!$G$5:$G$110="acoes"))*Inputs!$B$1+((Inputs!$G$5:$G$110&lt;&gt;"moeda")*(Inputs!$G$5:$G$110&lt;&gt;"acoes")))*INDEX(Inputs!$K$5:$AJ$110,0,MATCH(AJ$2,Inputs!$K$4:$AJ$4,0)))+SUMPRODUCT((Inputs!$C$5:$C$110=$B42)*Inputs!$D$5:$D$110*(((Inputs!$G$5:$G$110="moeda")+(Inputs!$G$5:$G$110="acoes"))*Inputs!$B$1+((Inputs!$G$5:$G$110&lt;&gt;"moeda")*(Inputs!$G$5:$G$110&lt;&gt;"acoes")))*INDEX(Inputs!$K$5:$AJ$110,0,MATCH(AJ$2,Inputs!$K$4:$AJ$4,0)))+SUMPRODUCT((Inputs!$E$5:$E$110=$B42)*Inputs!$F$5:$F$110*(((Inputs!$G$5:$G$110="moeda")+(Inputs!$G$5:$G$110="acoes"))*Inputs!$B$1+((Inputs!$G$5:$G$110&lt;&gt;"moeda")*(Inputs!$G$5:$G$110&lt;&gt;"acoes")))*INDEX(Inputs!$K$5:$AJ$110,0,MATCH(AJ$2,Inputs!$K$4:$AJ$4,0)))))</f>
        <v>#N/A</v>
      </c>
      <c r="AK42" s="6" t="e">
        <f>IF(ISNA(MATCH(AK$2,Inputs!$K$4:$AJ$4,0)),NA(),IF(SUMPRODUCT((Inputs!$A$5:$A$110=$B42)*ISNUMBER(INDEX(Inputs!$K$5:$AJ$110,0,MATCH(AK$2,Inputs!$K$4:$AJ$4,0))))+SUMPRODUCT((Inputs!$C$5:$C$110=$B42)*ISNUMBER(INDEX(Inputs!$K$5:$AJ$110,0,MATCH(AK$2,Inputs!$K$4:$AJ$4,0))))+SUMPRODUCT((Inputs!$E$5:$E$110=$B42)*ISNUMBER(INDEX(Inputs!$K$5:$AJ$110,0,MATCH(AK$2,Inputs!$K$4:$AJ$4,0))))=0,NA(),SUMPRODUCT((Inputs!$A$5:$A$110=$B42)*Inputs!$B$5:$B$110*(((Inputs!$G$5:$G$110="moeda")+(Inputs!$G$5:$G$110="acoes"))*Inputs!$B$1+((Inputs!$G$5:$G$110&lt;&gt;"moeda")*(Inputs!$G$5:$G$110&lt;&gt;"acoes")))*INDEX(Inputs!$K$5:$AJ$110,0,MATCH(AK$2,Inputs!$K$4:$AJ$4,0)))+SUMPRODUCT((Inputs!$C$5:$C$110=$B42)*Inputs!$D$5:$D$110*(((Inputs!$G$5:$G$110="moeda")+(Inputs!$G$5:$G$110="acoes"))*Inputs!$B$1+((Inputs!$G$5:$G$110&lt;&gt;"moeda")*(Inputs!$G$5:$G$110&lt;&gt;"acoes")))*INDEX(Inputs!$K$5:$AJ$110,0,MATCH(AK$2,Inputs!$K$4:$AJ$4,0)))+SUMPRODUCT((Inputs!$E$5:$E$110=$B42)*Inputs!$F$5:$F$110*(((Inputs!$G$5:$G$110="moeda")+(Inputs!$G$5:$G$110="acoes"))*Inputs!$B$1+((Inputs!$G$5:$G$110&lt;&gt;"moeda")*(Inputs!$G$5:$G$110&lt;&gt;"acoes")))*INDEX(Inputs!$K$5:$AJ$110,0,MATCH(AK$2,Inputs!$K$4:$AJ$4,0)))))</f>
        <v>#N/A</v>
      </c>
      <c r="AL42" s="3" t="e">
        <f>AK42</f>
        <v>#N/A</v>
      </c>
    </row>
    <row r="43">
      <c r="B43" s="46" t="n">
        <v>37</v>
      </c>
      <c r="C43" s="24" t="inlineStr">
        <is>
          <t>Common Stock and APIC</t>
        </is>
      </c>
      <c r="D43" s="6">
        <f>IF(ISNA(MATCH(D$2,Inputs!$K$4:$AJ$4,0)),NA(),IF(SUMPRODUCT((Inputs!$A$5:$A$110=$B43)*ISNUMBER(INDEX(Inputs!$K$5:$AJ$110,0,MATCH(D$2,Inputs!$K$4:$AJ$4,0))))+SUMPRODUCT((Inputs!$C$5:$C$110=$B43)*ISNUMBER(INDEX(Inputs!$K$5:$AJ$110,0,MATCH(D$2,Inputs!$K$4:$AJ$4,0))))+SUMPRODUCT((Inputs!$E$5:$E$110=$B43)*ISNUMBER(INDEX(Inputs!$K$5:$AJ$110,0,MATCH(D$2,Inputs!$K$4:$AJ$4,0))))=0,NA(),SUMPRODUCT((Inputs!$A$5:$A$110=$B43)*Inputs!$B$5:$B$110*(((Inputs!$G$5:$G$110="moeda")+(Inputs!$G$5:$G$110="acoes"))*Inputs!$B$1+((Inputs!$G$5:$G$110&lt;&gt;"moeda")*(Inputs!$G$5:$G$110&lt;&gt;"acoes")))*INDEX(Inputs!$K$5:$AJ$110,0,MATCH(D$2,Inputs!$K$4:$AJ$4,0)))+SUMPRODUCT((Inputs!$C$5:$C$110=$B43)*Inputs!$D$5:$D$110*(((Inputs!$G$5:$G$110="moeda")+(Inputs!$G$5:$G$110="acoes"))*Inputs!$B$1+((Inputs!$G$5:$G$110&lt;&gt;"moeda")*(Inputs!$G$5:$G$110&lt;&gt;"acoes")))*INDEX(Inputs!$K$5:$AJ$110,0,MATCH(D$2,Inputs!$K$4:$AJ$4,0)))+SUMPRODUCT((Inputs!$E$5:$E$110=$B43)*Inputs!$F$5:$F$110*(((Inputs!$G$5:$G$110="moeda")+(Inputs!$G$5:$G$110="acoes"))*Inputs!$B$1+((Inputs!$G$5:$G$110&lt;&gt;"moeda")*(Inputs!$G$5:$G$110&lt;&gt;"acoes")))*INDEX(Inputs!$K$5:$AJ$110,0,MATCH(D$2,Inputs!$K$4:$AJ$4,0)))))</f>
        <v>24045</v>
      </c>
      <c r="E43" s="6">
        <f>IF(ISNA(MATCH(E$2,Inputs!$K$4:$AJ$4,0)),NA(),IF(SUMPRODUCT((Inputs!$A$5:$A$110=$B43)*ISNUMBER(INDEX(Inputs!$K$5:$AJ$110,0,MATCH(E$2,Inputs!$K$4:$AJ$4,0))))+SUMPRODUCT((Inputs!$C$5:$C$110=$B43)*ISNUMBER(INDEX(Inputs!$K$5:$AJ$110,0,MATCH(E$2,Inputs!$K$4:$AJ$4,0))))+SUMPRODUCT((Inputs!$E$5:$E$110=$B43)*ISNUMBER(INDEX(Inputs!$K$5:$AJ$110,0,MATCH(E$2,Inputs!$K$4:$AJ$4,0))))=0,NA(),SUMPRODUCT((Inputs!$A$5:$A$110=$B43)*Inputs!$B$5:$B$110*(((Inputs!$G$5:$G$110="moeda")+(Inputs!$G$5:$G$110="acoes"))*Inputs!$B$1+((Inputs!$G$5:$G$110&lt;&gt;"moeda")*(Inputs!$G$5:$G$110&lt;&gt;"acoes")))*INDEX(Inputs!$K$5:$AJ$110,0,MATCH(E$2,Inputs!$K$4:$AJ$4,0)))+SUMPRODUCT((Inputs!$C$5:$C$110=$B43)*Inputs!$D$5:$D$110*(((Inputs!$G$5:$G$110="moeda")+(Inputs!$G$5:$G$110="acoes"))*Inputs!$B$1+((Inputs!$G$5:$G$110&lt;&gt;"moeda")*(Inputs!$G$5:$G$110&lt;&gt;"acoes")))*INDEX(Inputs!$K$5:$AJ$110,0,MATCH(E$2,Inputs!$K$4:$AJ$4,0)))+SUMPRODUCT((Inputs!$E$5:$E$110=$B43)*Inputs!$F$5:$F$110*(((Inputs!$G$5:$G$110="moeda")+(Inputs!$G$5:$G$110="acoes"))*Inputs!$B$1+((Inputs!$G$5:$G$110&lt;&gt;"moeda")*(Inputs!$G$5:$G$110&lt;&gt;"acoes")))*INDEX(Inputs!$K$5:$AJ$110,0,MATCH(E$2,Inputs!$K$4:$AJ$4,0)))))</f>
        <v>24126</v>
      </c>
      <c r="F43" s="6">
        <f>IF(ISNA(MATCH(F$2,Inputs!$K$4:$AJ$4,0)),NA(),IF(SUMPRODUCT((Inputs!$A$5:$A$110=$B43)*ISNUMBER(INDEX(Inputs!$K$5:$AJ$110,0,MATCH(F$2,Inputs!$K$4:$AJ$4,0))))+SUMPRODUCT((Inputs!$C$5:$C$110=$B43)*ISNUMBER(INDEX(Inputs!$K$5:$AJ$110,0,MATCH(F$2,Inputs!$K$4:$AJ$4,0))))+SUMPRODUCT((Inputs!$E$5:$E$110=$B43)*ISNUMBER(INDEX(Inputs!$K$5:$AJ$110,0,MATCH(F$2,Inputs!$K$4:$AJ$4,0))))=0,NA(),SUMPRODUCT((Inputs!$A$5:$A$110=$B43)*Inputs!$B$5:$B$110*(((Inputs!$G$5:$G$110="moeda")+(Inputs!$G$5:$G$110="acoes"))*Inputs!$B$1+((Inputs!$G$5:$G$110&lt;&gt;"moeda")*(Inputs!$G$5:$G$110&lt;&gt;"acoes")))*INDEX(Inputs!$K$5:$AJ$110,0,MATCH(F$2,Inputs!$K$4:$AJ$4,0)))+SUMPRODUCT((Inputs!$C$5:$C$110=$B43)*Inputs!$D$5:$D$110*(((Inputs!$G$5:$G$110="moeda")+(Inputs!$G$5:$G$110="acoes"))*Inputs!$B$1+((Inputs!$G$5:$G$110&lt;&gt;"moeda")*(Inputs!$G$5:$G$110&lt;&gt;"acoes")))*INDEX(Inputs!$K$5:$AJ$110,0,MATCH(F$2,Inputs!$K$4:$AJ$4,0)))+SUMPRODUCT((Inputs!$E$5:$E$110=$B43)*Inputs!$F$5:$F$110*(((Inputs!$G$5:$G$110="moeda")+(Inputs!$G$5:$G$110="acoes"))*Inputs!$B$1+((Inputs!$G$5:$G$110&lt;&gt;"moeda")*(Inputs!$G$5:$G$110&lt;&gt;"acoes")))*INDEX(Inputs!$K$5:$AJ$110,0,MATCH(F$2,Inputs!$K$4:$AJ$4,0)))))</f>
        <v>24330</v>
      </c>
      <c r="G43" s="6">
        <f>IF(ISNA(MATCH(G$2,Inputs!$K$4:$AJ$4,0)),NA(),IF(SUMPRODUCT((Inputs!$A$5:$A$110=$B43)*ISNUMBER(INDEX(Inputs!$K$5:$AJ$110,0,MATCH(G$2,Inputs!$K$4:$AJ$4,0))))+SUMPRODUCT((Inputs!$C$5:$C$110=$B43)*ISNUMBER(INDEX(Inputs!$K$5:$AJ$110,0,MATCH(G$2,Inputs!$K$4:$AJ$4,0))))+SUMPRODUCT((Inputs!$E$5:$E$110=$B43)*ISNUMBER(INDEX(Inputs!$K$5:$AJ$110,0,MATCH(G$2,Inputs!$K$4:$AJ$4,0))))=0,NA(),SUMPRODUCT((Inputs!$A$5:$A$110=$B43)*Inputs!$B$5:$B$110*(((Inputs!$G$5:$G$110="moeda")+(Inputs!$G$5:$G$110="acoes"))*Inputs!$B$1+((Inputs!$G$5:$G$110&lt;&gt;"moeda")*(Inputs!$G$5:$G$110&lt;&gt;"acoes")))*INDEX(Inputs!$K$5:$AJ$110,0,MATCH(G$2,Inputs!$K$4:$AJ$4,0)))+SUMPRODUCT((Inputs!$C$5:$C$110=$B43)*Inputs!$D$5:$D$110*(((Inputs!$G$5:$G$110="moeda")+(Inputs!$G$5:$G$110="acoes"))*Inputs!$B$1+((Inputs!$G$5:$G$110&lt;&gt;"moeda")*(Inputs!$G$5:$G$110&lt;&gt;"acoes")))*INDEX(Inputs!$K$5:$AJ$110,0,MATCH(G$2,Inputs!$K$4:$AJ$4,0)))+SUMPRODUCT((Inputs!$E$5:$E$110=$B43)*Inputs!$F$5:$F$110*(((Inputs!$G$5:$G$110="moeda")+(Inputs!$G$5:$G$110="acoes"))*Inputs!$B$1+((Inputs!$G$5:$G$110&lt;&gt;"moeda")*(Inputs!$G$5:$G$110&lt;&gt;"acoes")))*INDEX(Inputs!$K$5:$AJ$110,0,MATCH(G$2,Inputs!$K$4:$AJ$4,0)))))</f>
        <v>23083</v>
      </c>
      <c r="H43" s="3">
        <f>G43</f>
        <v>23083</v>
      </c>
      <c r="I43" s="6">
        <f>IF(ISNA(MATCH(I$2,Inputs!$K$4:$AJ$4,0)),NA(),IF(SUMPRODUCT((Inputs!$A$5:$A$110=$B43)*ISNUMBER(INDEX(Inputs!$K$5:$AJ$110,0,MATCH(I$2,Inputs!$K$4:$AJ$4,0))))+SUMPRODUCT((Inputs!$C$5:$C$110=$B43)*ISNUMBER(INDEX(Inputs!$K$5:$AJ$110,0,MATCH(I$2,Inputs!$K$4:$AJ$4,0))))+SUMPRODUCT((Inputs!$E$5:$E$110=$B43)*ISNUMBER(INDEX(Inputs!$K$5:$AJ$110,0,MATCH(I$2,Inputs!$K$4:$AJ$4,0))))=0,NA(),SUMPRODUCT((Inputs!$A$5:$A$110=$B43)*Inputs!$B$5:$B$110*(((Inputs!$G$5:$G$110="moeda")+(Inputs!$G$5:$G$110="acoes"))*Inputs!$B$1+((Inputs!$G$5:$G$110&lt;&gt;"moeda")*(Inputs!$G$5:$G$110&lt;&gt;"acoes")))*INDEX(Inputs!$K$5:$AJ$110,0,MATCH(I$2,Inputs!$K$4:$AJ$4,0)))+SUMPRODUCT((Inputs!$C$5:$C$110=$B43)*Inputs!$D$5:$D$110*(((Inputs!$G$5:$G$110="moeda")+(Inputs!$G$5:$G$110="acoes"))*Inputs!$B$1+((Inputs!$G$5:$G$110&lt;&gt;"moeda")*(Inputs!$G$5:$G$110&lt;&gt;"acoes")))*INDEX(Inputs!$K$5:$AJ$110,0,MATCH(I$2,Inputs!$K$4:$AJ$4,0)))+SUMPRODUCT((Inputs!$E$5:$E$110=$B43)*Inputs!$F$5:$F$110*(((Inputs!$G$5:$G$110="moeda")+(Inputs!$G$5:$G$110="acoes"))*Inputs!$B$1+((Inputs!$G$5:$G$110&lt;&gt;"moeda")*(Inputs!$G$5:$G$110&lt;&gt;"acoes")))*INDEX(Inputs!$K$5:$AJ$110,0,MATCH(I$2,Inputs!$K$4:$AJ$4,0)))))</f>
        <v>21078</v>
      </c>
      <c r="J43" s="6">
        <f>IF(ISNA(MATCH(J$2,Inputs!$K$4:$AJ$4,0)),NA(),IF(SUMPRODUCT((Inputs!$A$5:$A$110=$B43)*ISNUMBER(INDEX(Inputs!$K$5:$AJ$110,0,MATCH(J$2,Inputs!$K$4:$AJ$4,0))))+SUMPRODUCT((Inputs!$C$5:$C$110=$B43)*ISNUMBER(INDEX(Inputs!$K$5:$AJ$110,0,MATCH(J$2,Inputs!$K$4:$AJ$4,0))))+SUMPRODUCT((Inputs!$E$5:$E$110=$B43)*ISNUMBER(INDEX(Inputs!$K$5:$AJ$110,0,MATCH(J$2,Inputs!$K$4:$AJ$4,0))))=0,NA(),SUMPRODUCT((Inputs!$A$5:$A$110=$B43)*Inputs!$B$5:$B$110*(((Inputs!$G$5:$G$110="moeda")+(Inputs!$G$5:$G$110="acoes"))*Inputs!$B$1+((Inputs!$G$5:$G$110&lt;&gt;"moeda")*(Inputs!$G$5:$G$110&lt;&gt;"acoes")))*INDEX(Inputs!$K$5:$AJ$110,0,MATCH(J$2,Inputs!$K$4:$AJ$4,0)))+SUMPRODUCT((Inputs!$C$5:$C$110=$B43)*Inputs!$D$5:$D$110*(((Inputs!$G$5:$G$110="moeda")+(Inputs!$G$5:$G$110="acoes"))*Inputs!$B$1+((Inputs!$G$5:$G$110&lt;&gt;"moeda")*(Inputs!$G$5:$G$110&lt;&gt;"acoes")))*INDEX(Inputs!$K$5:$AJ$110,0,MATCH(J$2,Inputs!$K$4:$AJ$4,0)))+SUMPRODUCT((Inputs!$E$5:$E$110=$B43)*Inputs!$F$5:$F$110*(((Inputs!$G$5:$G$110="moeda")+(Inputs!$G$5:$G$110="acoes"))*Inputs!$B$1+((Inputs!$G$5:$G$110&lt;&gt;"moeda")*(Inputs!$G$5:$G$110&lt;&gt;"acoes")))*INDEX(Inputs!$K$5:$AJ$110,0,MATCH(J$2,Inputs!$K$4:$AJ$4,0)))))</f>
        <v>20990</v>
      </c>
      <c r="K43" s="6">
        <f>IF(ISNA(MATCH(K$2,Inputs!$K$4:$AJ$4,0)),NA(),IF(SUMPRODUCT((Inputs!$A$5:$A$110=$B43)*ISNUMBER(INDEX(Inputs!$K$5:$AJ$110,0,MATCH(K$2,Inputs!$K$4:$AJ$4,0))))+SUMPRODUCT((Inputs!$C$5:$C$110=$B43)*ISNUMBER(INDEX(Inputs!$K$5:$AJ$110,0,MATCH(K$2,Inputs!$K$4:$AJ$4,0))))+SUMPRODUCT((Inputs!$E$5:$E$110=$B43)*ISNUMBER(INDEX(Inputs!$K$5:$AJ$110,0,MATCH(K$2,Inputs!$K$4:$AJ$4,0))))=0,NA(),SUMPRODUCT((Inputs!$A$5:$A$110=$B43)*Inputs!$B$5:$B$110*(((Inputs!$G$5:$G$110="moeda")+(Inputs!$G$5:$G$110="acoes"))*Inputs!$B$1+((Inputs!$G$5:$G$110&lt;&gt;"moeda")*(Inputs!$G$5:$G$110&lt;&gt;"acoes")))*INDEX(Inputs!$K$5:$AJ$110,0,MATCH(K$2,Inputs!$K$4:$AJ$4,0)))+SUMPRODUCT((Inputs!$C$5:$C$110=$B43)*Inputs!$D$5:$D$110*(((Inputs!$G$5:$G$110="moeda")+(Inputs!$G$5:$G$110="acoes"))*Inputs!$B$1+((Inputs!$G$5:$G$110&lt;&gt;"moeda")*(Inputs!$G$5:$G$110&lt;&gt;"acoes")))*INDEX(Inputs!$K$5:$AJ$110,0,MATCH(K$2,Inputs!$K$4:$AJ$4,0)))+SUMPRODUCT((Inputs!$E$5:$E$110=$B43)*Inputs!$F$5:$F$110*(((Inputs!$G$5:$G$110="moeda")+(Inputs!$G$5:$G$110="acoes"))*Inputs!$B$1+((Inputs!$G$5:$G$110&lt;&gt;"moeda")*(Inputs!$G$5:$G$110&lt;&gt;"acoes")))*INDEX(Inputs!$K$5:$AJ$110,0,MATCH(K$2,Inputs!$K$4:$AJ$4,0)))))</f>
        <v>21159</v>
      </c>
      <c r="L43" s="6">
        <f>IF(ISNA(MATCH(L$2,Inputs!$K$4:$AJ$4,0)),NA(),IF(SUMPRODUCT((Inputs!$A$5:$A$110=$B43)*ISNUMBER(INDEX(Inputs!$K$5:$AJ$110,0,MATCH(L$2,Inputs!$K$4:$AJ$4,0))))+SUMPRODUCT((Inputs!$C$5:$C$110=$B43)*ISNUMBER(INDEX(Inputs!$K$5:$AJ$110,0,MATCH(L$2,Inputs!$K$4:$AJ$4,0))))+SUMPRODUCT((Inputs!$E$5:$E$110=$B43)*ISNUMBER(INDEX(Inputs!$K$5:$AJ$110,0,MATCH(L$2,Inputs!$K$4:$AJ$4,0))))=0,NA(),SUMPRODUCT((Inputs!$A$5:$A$110=$B43)*Inputs!$B$5:$B$110*(((Inputs!$G$5:$G$110="moeda")+(Inputs!$G$5:$G$110="acoes"))*Inputs!$B$1+((Inputs!$G$5:$G$110&lt;&gt;"moeda")*(Inputs!$G$5:$G$110&lt;&gt;"acoes")))*INDEX(Inputs!$K$5:$AJ$110,0,MATCH(L$2,Inputs!$K$4:$AJ$4,0)))+SUMPRODUCT((Inputs!$C$5:$C$110=$B43)*Inputs!$D$5:$D$110*(((Inputs!$G$5:$G$110="moeda")+(Inputs!$G$5:$G$110="acoes"))*Inputs!$B$1+((Inputs!$G$5:$G$110&lt;&gt;"moeda")*(Inputs!$G$5:$G$110&lt;&gt;"acoes")))*INDEX(Inputs!$K$5:$AJ$110,0,MATCH(L$2,Inputs!$K$4:$AJ$4,0)))+SUMPRODUCT((Inputs!$E$5:$E$110=$B43)*Inputs!$F$5:$F$110*(((Inputs!$G$5:$G$110="moeda")+(Inputs!$G$5:$G$110="acoes"))*Inputs!$B$1+((Inputs!$G$5:$G$110&lt;&gt;"moeda")*(Inputs!$G$5:$G$110&lt;&gt;"acoes")))*INDEX(Inputs!$K$5:$AJ$110,0,MATCH(L$2,Inputs!$K$4:$AJ$4,0)))))</f>
        <v>21119</v>
      </c>
      <c r="M43" s="3">
        <f>L43</f>
        <v>21119</v>
      </c>
      <c r="N43" s="6">
        <f>IF(ISNA(MATCH(N$2,Inputs!$K$4:$AJ$4,0)),NA(),IF(SUMPRODUCT((Inputs!$A$5:$A$110=$B43)*ISNUMBER(INDEX(Inputs!$K$5:$AJ$110,0,MATCH(N$2,Inputs!$K$4:$AJ$4,0))))+SUMPRODUCT((Inputs!$C$5:$C$110=$B43)*ISNUMBER(INDEX(Inputs!$K$5:$AJ$110,0,MATCH(N$2,Inputs!$K$4:$AJ$4,0))))+SUMPRODUCT((Inputs!$E$5:$E$110=$B43)*ISNUMBER(INDEX(Inputs!$K$5:$AJ$110,0,MATCH(N$2,Inputs!$K$4:$AJ$4,0))))=0,NA(),SUMPRODUCT((Inputs!$A$5:$A$110=$B43)*Inputs!$B$5:$B$110*(((Inputs!$G$5:$G$110="moeda")+(Inputs!$G$5:$G$110="acoes"))*Inputs!$B$1+((Inputs!$G$5:$G$110&lt;&gt;"moeda")*(Inputs!$G$5:$G$110&lt;&gt;"acoes")))*INDEX(Inputs!$K$5:$AJ$110,0,MATCH(N$2,Inputs!$K$4:$AJ$4,0)))+SUMPRODUCT((Inputs!$C$5:$C$110=$B43)*Inputs!$D$5:$D$110*(((Inputs!$G$5:$G$110="moeda")+(Inputs!$G$5:$G$110="acoes"))*Inputs!$B$1+((Inputs!$G$5:$G$110&lt;&gt;"moeda")*(Inputs!$G$5:$G$110&lt;&gt;"acoes")))*INDEX(Inputs!$K$5:$AJ$110,0,MATCH(N$2,Inputs!$K$4:$AJ$4,0)))+SUMPRODUCT((Inputs!$E$5:$E$110=$B43)*Inputs!$F$5:$F$110*(((Inputs!$G$5:$G$110="moeda")+(Inputs!$G$5:$G$110="acoes"))*Inputs!$B$1+((Inputs!$G$5:$G$110&lt;&gt;"moeda")*(Inputs!$G$5:$G$110&lt;&gt;"acoes")))*INDEX(Inputs!$K$5:$AJ$110,0,MATCH(N$2,Inputs!$K$4:$AJ$4,0)))))</f>
        <v>20826</v>
      </c>
      <c r="O43" s="6">
        <f>IF(ISNA(MATCH(O$2,Inputs!$K$4:$AJ$4,0)),NA(),IF(SUMPRODUCT((Inputs!$A$5:$A$110=$B43)*ISNUMBER(INDEX(Inputs!$K$5:$AJ$110,0,MATCH(O$2,Inputs!$K$4:$AJ$4,0))))+SUMPRODUCT((Inputs!$C$5:$C$110=$B43)*ISNUMBER(INDEX(Inputs!$K$5:$AJ$110,0,MATCH(O$2,Inputs!$K$4:$AJ$4,0))))+SUMPRODUCT((Inputs!$E$5:$E$110=$B43)*ISNUMBER(INDEX(Inputs!$K$5:$AJ$110,0,MATCH(O$2,Inputs!$K$4:$AJ$4,0))))=0,NA(),SUMPRODUCT((Inputs!$A$5:$A$110=$B43)*Inputs!$B$5:$B$110*(((Inputs!$G$5:$G$110="moeda")+(Inputs!$G$5:$G$110="acoes"))*Inputs!$B$1+((Inputs!$G$5:$G$110&lt;&gt;"moeda")*(Inputs!$G$5:$G$110&lt;&gt;"acoes")))*INDEX(Inputs!$K$5:$AJ$110,0,MATCH(O$2,Inputs!$K$4:$AJ$4,0)))+SUMPRODUCT((Inputs!$C$5:$C$110=$B43)*Inputs!$D$5:$D$110*(((Inputs!$G$5:$G$110="moeda")+(Inputs!$G$5:$G$110="acoes"))*Inputs!$B$1+((Inputs!$G$5:$G$110&lt;&gt;"moeda")*(Inputs!$G$5:$G$110&lt;&gt;"acoes")))*INDEX(Inputs!$K$5:$AJ$110,0,MATCH(O$2,Inputs!$K$4:$AJ$4,0)))+SUMPRODUCT((Inputs!$E$5:$E$110=$B43)*Inputs!$F$5:$F$110*(((Inputs!$G$5:$G$110="moeda")+(Inputs!$G$5:$G$110="acoes"))*Inputs!$B$1+((Inputs!$G$5:$G$110&lt;&gt;"moeda")*(Inputs!$G$5:$G$110&lt;&gt;"acoes")))*INDEX(Inputs!$K$5:$AJ$110,0,MATCH(O$2,Inputs!$K$4:$AJ$4,0)))))</f>
        <v>20855</v>
      </c>
      <c r="P43" s="6">
        <f>IF(ISNA(MATCH(P$2,Inputs!$K$4:$AJ$4,0)),NA(),IF(SUMPRODUCT((Inputs!$A$5:$A$110=$B43)*ISNUMBER(INDEX(Inputs!$K$5:$AJ$110,0,MATCH(P$2,Inputs!$K$4:$AJ$4,0))))+SUMPRODUCT((Inputs!$C$5:$C$110=$B43)*ISNUMBER(INDEX(Inputs!$K$5:$AJ$110,0,MATCH(P$2,Inputs!$K$4:$AJ$4,0))))+SUMPRODUCT((Inputs!$E$5:$E$110=$B43)*ISNUMBER(INDEX(Inputs!$K$5:$AJ$110,0,MATCH(P$2,Inputs!$K$4:$AJ$4,0))))=0,NA(),SUMPRODUCT((Inputs!$A$5:$A$110=$B43)*Inputs!$B$5:$B$110*(((Inputs!$G$5:$G$110="moeda")+(Inputs!$G$5:$G$110="acoes"))*Inputs!$B$1+((Inputs!$G$5:$G$110&lt;&gt;"moeda")*(Inputs!$G$5:$G$110&lt;&gt;"acoes")))*INDEX(Inputs!$K$5:$AJ$110,0,MATCH(P$2,Inputs!$K$4:$AJ$4,0)))+SUMPRODUCT((Inputs!$C$5:$C$110=$B43)*Inputs!$D$5:$D$110*(((Inputs!$G$5:$G$110="moeda")+(Inputs!$G$5:$G$110="acoes"))*Inputs!$B$1+((Inputs!$G$5:$G$110&lt;&gt;"moeda")*(Inputs!$G$5:$G$110&lt;&gt;"acoes")))*INDEX(Inputs!$K$5:$AJ$110,0,MATCH(P$2,Inputs!$K$4:$AJ$4,0)))+SUMPRODUCT((Inputs!$E$5:$E$110=$B43)*Inputs!$F$5:$F$110*(((Inputs!$G$5:$G$110="moeda")+(Inputs!$G$5:$G$110="acoes"))*Inputs!$B$1+((Inputs!$G$5:$G$110&lt;&gt;"moeda")*(Inputs!$G$5:$G$110&lt;&gt;"acoes")))*INDEX(Inputs!$K$5:$AJ$110,0,MATCH(P$2,Inputs!$K$4:$AJ$4,0)))))</f>
        <v>21099</v>
      </c>
      <c r="Q43" s="6">
        <f>IF(ISNA(MATCH(Q$2,Inputs!$K$4:$AJ$4,0)),NA(),IF(SUMPRODUCT((Inputs!$A$5:$A$110=$B43)*ISNUMBER(INDEX(Inputs!$K$5:$AJ$110,0,MATCH(Q$2,Inputs!$K$4:$AJ$4,0))))+SUMPRODUCT((Inputs!$C$5:$C$110=$B43)*ISNUMBER(INDEX(Inputs!$K$5:$AJ$110,0,MATCH(Q$2,Inputs!$K$4:$AJ$4,0))))+SUMPRODUCT((Inputs!$E$5:$E$110=$B43)*ISNUMBER(INDEX(Inputs!$K$5:$AJ$110,0,MATCH(Q$2,Inputs!$K$4:$AJ$4,0))))=0,NA(),SUMPRODUCT((Inputs!$A$5:$A$110=$B43)*Inputs!$B$5:$B$110*(((Inputs!$G$5:$G$110="moeda")+(Inputs!$G$5:$G$110="acoes"))*Inputs!$B$1+((Inputs!$G$5:$G$110&lt;&gt;"moeda")*(Inputs!$G$5:$G$110&lt;&gt;"acoes")))*INDEX(Inputs!$K$5:$AJ$110,0,MATCH(Q$2,Inputs!$K$4:$AJ$4,0)))+SUMPRODUCT((Inputs!$C$5:$C$110=$B43)*Inputs!$D$5:$D$110*(((Inputs!$G$5:$G$110="moeda")+(Inputs!$G$5:$G$110="acoes"))*Inputs!$B$1+((Inputs!$G$5:$G$110&lt;&gt;"moeda")*(Inputs!$G$5:$G$110&lt;&gt;"acoes")))*INDEX(Inputs!$K$5:$AJ$110,0,MATCH(Q$2,Inputs!$K$4:$AJ$4,0)))+SUMPRODUCT((Inputs!$E$5:$E$110=$B43)*Inputs!$F$5:$F$110*(((Inputs!$G$5:$G$110="moeda")+(Inputs!$G$5:$G$110="acoes"))*Inputs!$B$1+((Inputs!$G$5:$G$110&lt;&gt;"moeda")*(Inputs!$G$5:$G$110&lt;&gt;"acoes")))*INDEX(Inputs!$K$5:$AJ$110,0,MATCH(Q$2,Inputs!$K$4:$AJ$4,0)))))</f>
        <v>70077</v>
      </c>
      <c r="R43" s="3">
        <f>Q43</f>
        <v>70077</v>
      </c>
      <c r="S43" s="6">
        <f>IF(ISNA(MATCH(S$2,Inputs!$K$4:$AJ$4,0)),NA(),IF(SUMPRODUCT((Inputs!$A$5:$A$110=$B43)*ISNUMBER(INDEX(Inputs!$K$5:$AJ$110,0,MATCH(S$2,Inputs!$K$4:$AJ$4,0))))+SUMPRODUCT((Inputs!$C$5:$C$110=$B43)*ISNUMBER(INDEX(Inputs!$K$5:$AJ$110,0,MATCH(S$2,Inputs!$K$4:$AJ$4,0))))+SUMPRODUCT((Inputs!$E$5:$E$110=$B43)*ISNUMBER(INDEX(Inputs!$K$5:$AJ$110,0,MATCH(S$2,Inputs!$K$4:$AJ$4,0))))=0,NA(),SUMPRODUCT((Inputs!$A$5:$A$110=$B43)*Inputs!$B$5:$B$110*(((Inputs!$G$5:$G$110="moeda")+(Inputs!$G$5:$G$110="acoes"))*Inputs!$B$1+((Inputs!$G$5:$G$110&lt;&gt;"moeda")*(Inputs!$G$5:$G$110&lt;&gt;"acoes")))*INDEX(Inputs!$K$5:$AJ$110,0,MATCH(S$2,Inputs!$K$4:$AJ$4,0)))+SUMPRODUCT((Inputs!$C$5:$C$110=$B43)*Inputs!$D$5:$D$110*(((Inputs!$G$5:$G$110="moeda")+(Inputs!$G$5:$G$110="acoes"))*Inputs!$B$1+((Inputs!$G$5:$G$110&lt;&gt;"moeda")*(Inputs!$G$5:$G$110&lt;&gt;"acoes")))*INDEX(Inputs!$K$5:$AJ$110,0,MATCH(S$2,Inputs!$K$4:$AJ$4,0)))+SUMPRODUCT((Inputs!$E$5:$E$110=$B43)*Inputs!$F$5:$F$110*(((Inputs!$G$5:$G$110="moeda")+(Inputs!$G$5:$G$110="acoes"))*Inputs!$B$1+((Inputs!$G$5:$G$110&lt;&gt;"moeda")*(Inputs!$G$5:$G$110&lt;&gt;"acoes")))*INDEX(Inputs!$K$5:$AJ$110,0,MATCH(S$2,Inputs!$K$4:$AJ$4,0)))))</f>
        <v>69754</v>
      </c>
      <c r="T43" s="6">
        <f>IF(ISNA(MATCH(T$2,Inputs!$K$4:$AJ$4,0)),NA(),IF(SUMPRODUCT((Inputs!$A$5:$A$110=$B43)*ISNUMBER(INDEX(Inputs!$K$5:$AJ$110,0,MATCH(T$2,Inputs!$K$4:$AJ$4,0))))+SUMPRODUCT((Inputs!$C$5:$C$110=$B43)*ISNUMBER(INDEX(Inputs!$K$5:$AJ$110,0,MATCH(T$2,Inputs!$K$4:$AJ$4,0))))+SUMPRODUCT((Inputs!$E$5:$E$110=$B43)*ISNUMBER(INDEX(Inputs!$K$5:$AJ$110,0,MATCH(T$2,Inputs!$K$4:$AJ$4,0))))=0,NA(),SUMPRODUCT((Inputs!$A$5:$A$110=$B43)*Inputs!$B$5:$B$110*(((Inputs!$G$5:$G$110="moeda")+(Inputs!$G$5:$G$110="acoes"))*Inputs!$B$1+((Inputs!$G$5:$G$110&lt;&gt;"moeda")*(Inputs!$G$5:$G$110&lt;&gt;"acoes")))*INDEX(Inputs!$K$5:$AJ$110,0,MATCH(T$2,Inputs!$K$4:$AJ$4,0)))+SUMPRODUCT((Inputs!$C$5:$C$110=$B43)*Inputs!$D$5:$D$110*(((Inputs!$G$5:$G$110="moeda")+(Inputs!$G$5:$G$110="acoes"))*Inputs!$B$1+((Inputs!$G$5:$G$110&lt;&gt;"moeda")*(Inputs!$G$5:$G$110&lt;&gt;"acoes")))*INDEX(Inputs!$K$5:$AJ$110,0,MATCH(T$2,Inputs!$K$4:$AJ$4,0)))+SUMPRODUCT((Inputs!$E$5:$E$110=$B43)*Inputs!$F$5:$F$110*(((Inputs!$G$5:$G$110="moeda")+(Inputs!$G$5:$G$110="acoes"))*Inputs!$B$1+((Inputs!$G$5:$G$110&lt;&gt;"moeda")*(Inputs!$G$5:$G$110&lt;&gt;"acoes")))*INDEX(Inputs!$K$5:$AJ$110,0,MATCH(T$2,Inputs!$K$4:$AJ$4,0)))))</f>
        <v>67318</v>
      </c>
      <c r="U43" s="6">
        <f>IF(ISNA(MATCH(U$2,Inputs!$K$4:$AJ$4,0)),NA(),IF(SUMPRODUCT((Inputs!$A$5:$A$110=$B43)*ISNUMBER(INDEX(Inputs!$K$5:$AJ$110,0,MATCH(U$2,Inputs!$K$4:$AJ$4,0))))+SUMPRODUCT((Inputs!$C$5:$C$110=$B43)*ISNUMBER(INDEX(Inputs!$K$5:$AJ$110,0,MATCH(U$2,Inputs!$K$4:$AJ$4,0))))+SUMPRODUCT((Inputs!$E$5:$E$110=$B43)*ISNUMBER(INDEX(Inputs!$K$5:$AJ$110,0,MATCH(U$2,Inputs!$K$4:$AJ$4,0))))=0,NA(),SUMPRODUCT((Inputs!$A$5:$A$110=$B43)*Inputs!$B$5:$B$110*(((Inputs!$G$5:$G$110="moeda")+(Inputs!$G$5:$G$110="acoes"))*Inputs!$B$1+((Inputs!$G$5:$G$110&lt;&gt;"moeda")*(Inputs!$G$5:$G$110&lt;&gt;"acoes")))*INDEX(Inputs!$K$5:$AJ$110,0,MATCH(U$2,Inputs!$K$4:$AJ$4,0)))+SUMPRODUCT((Inputs!$C$5:$C$110=$B43)*Inputs!$D$5:$D$110*(((Inputs!$G$5:$G$110="moeda")+(Inputs!$G$5:$G$110="acoes"))*Inputs!$B$1+((Inputs!$G$5:$G$110&lt;&gt;"moeda")*(Inputs!$G$5:$G$110&lt;&gt;"acoes")))*INDEX(Inputs!$K$5:$AJ$110,0,MATCH(U$2,Inputs!$K$4:$AJ$4,0)))+SUMPRODUCT((Inputs!$E$5:$E$110=$B43)*Inputs!$F$5:$F$110*(((Inputs!$G$5:$G$110="moeda")+(Inputs!$G$5:$G$110="acoes"))*Inputs!$B$1+((Inputs!$G$5:$G$110&lt;&gt;"moeda")*(Inputs!$G$5:$G$110&lt;&gt;"acoes")))*INDEX(Inputs!$K$5:$AJ$110,0,MATCH(U$2,Inputs!$K$4:$AJ$4,0)))))</f>
        <v>67471</v>
      </c>
      <c r="V43" s="6">
        <f>IF(ISNA(MATCH(V$2,Inputs!$K$4:$AJ$4,0)),NA(),IF(SUMPRODUCT((Inputs!$A$5:$A$110=$B43)*ISNUMBER(INDEX(Inputs!$K$5:$AJ$110,0,MATCH(V$2,Inputs!$K$4:$AJ$4,0))))+SUMPRODUCT((Inputs!$C$5:$C$110=$B43)*ISNUMBER(INDEX(Inputs!$K$5:$AJ$110,0,MATCH(V$2,Inputs!$K$4:$AJ$4,0))))+SUMPRODUCT((Inputs!$E$5:$E$110=$B43)*ISNUMBER(INDEX(Inputs!$K$5:$AJ$110,0,MATCH(V$2,Inputs!$K$4:$AJ$4,0))))=0,NA(),SUMPRODUCT((Inputs!$A$5:$A$110=$B43)*Inputs!$B$5:$B$110*(((Inputs!$G$5:$G$110="moeda")+(Inputs!$G$5:$G$110="acoes"))*Inputs!$B$1+((Inputs!$G$5:$G$110&lt;&gt;"moeda")*(Inputs!$G$5:$G$110&lt;&gt;"acoes")))*INDEX(Inputs!$K$5:$AJ$110,0,MATCH(V$2,Inputs!$K$4:$AJ$4,0)))+SUMPRODUCT((Inputs!$C$5:$C$110=$B43)*Inputs!$D$5:$D$110*(((Inputs!$G$5:$G$110="moeda")+(Inputs!$G$5:$G$110="acoes"))*Inputs!$B$1+((Inputs!$G$5:$G$110&lt;&gt;"moeda")*(Inputs!$G$5:$G$110&lt;&gt;"acoes")))*INDEX(Inputs!$K$5:$AJ$110,0,MATCH(V$2,Inputs!$K$4:$AJ$4,0)))+SUMPRODUCT((Inputs!$E$5:$E$110=$B43)*Inputs!$F$5:$F$110*(((Inputs!$G$5:$G$110="moeda")+(Inputs!$G$5:$G$110="acoes"))*Inputs!$B$1+((Inputs!$G$5:$G$110&lt;&gt;"moeda")*(Inputs!$G$5:$G$110&lt;&gt;"acoes")))*INDEX(Inputs!$K$5:$AJ$110,0,MATCH(V$2,Inputs!$K$4:$AJ$4,0)))))</f>
        <v>66853</v>
      </c>
      <c r="W43" s="3">
        <f>V43</f>
        <v>66853</v>
      </c>
      <c r="X43" s="6">
        <f>IF(ISNA(MATCH(X$2,Inputs!$K$4:$AJ$4,0)),NA(),IF(SUMPRODUCT((Inputs!$A$5:$A$110=$B43)*ISNUMBER(INDEX(Inputs!$K$5:$AJ$110,0,MATCH(X$2,Inputs!$K$4:$AJ$4,0))))+SUMPRODUCT((Inputs!$C$5:$C$110=$B43)*ISNUMBER(INDEX(Inputs!$K$5:$AJ$110,0,MATCH(X$2,Inputs!$K$4:$AJ$4,0))))+SUMPRODUCT((Inputs!$E$5:$E$110=$B43)*ISNUMBER(INDEX(Inputs!$K$5:$AJ$110,0,MATCH(X$2,Inputs!$K$4:$AJ$4,0))))=0,NA(),SUMPRODUCT((Inputs!$A$5:$A$110=$B43)*Inputs!$B$5:$B$110*(((Inputs!$G$5:$G$110="moeda")+(Inputs!$G$5:$G$110="acoes"))*Inputs!$B$1+((Inputs!$G$5:$G$110&lt;&gt;"moeda")*(Inputs!$G$5:$G$110&lt;&gt;"acoes")))*INDEX(Inputs!$K$5:$AJ$110,0,MATCH(X$2,Inputs!$K$4:$AJ$4,0)))+SUMPRODUCT((Inputs!$C$5:$C$110=$B43)*Inputs!$D$5:$D$110*(((Inputs!$G$5:$G$110="moeda")+(Inputs!$G$5:$G$110="acoes"))*Inputs!$B$1+((Inputs!$G$5:$G$110&lt;&gt;"moeda")*(Inputs!$G$5:$G$110&lt;&gt;"acoes")))*INDEX(Inputs!$K$5:$AJ$110,0,MATCH(X$2,Inputs!$K$4:$AJ$4,0)))+SUMPRODUCT((Inputs!$E$5:$E$110=$B43)*Inputs!$F$5:$F$110*(((Inputs!$G$5:$G$110="moeda")+(Inputs!$G$5:$G$110="acoes"))*Inputs!$B$1+((Inputs!$G$5:$G$110&lt;&gt;"moeda")*(Inputs!$G$5:$G$110&lt;&gt;"acoes")))*INDEX(Inputs!$K$5:$AJ$110,0,MATCH(X$2,Inputs!$K$4:$AJ$4,0)))))</f>
        <v>66694</v>
      </c>
      <c r="Y43" s="6">
        <f>IF(ISNA(MATCH(Y$2,Inputs!$K$4:$AJ$4,0)),NA(),IF(SUMPRODUCT((Inputs!$A$5:$A$110=$B43)*ISNUMBER(INDEX(Inputs!$K$5:$AJ$110,0,MATCH(Y$2,Inputs!$K$4:$AJ$4,0))))+SUMPRODUCT((Inputs!$C$5:$C$110=$B43)*ISNUMBER(INDEX(Inputs!$K$5:$AJ$110,0,MATCH(Y$2,Inputs!$K$4:$AJ$4,0))))+SUMPRODUCT((Inputs!$E$5:$E$110=$B43)*ISNUMBER(INDEX(Inputs!$K$5:$AJ$110,0,MATCH(Y$2,Inputs!$K$4:$AJ$4,0))))=0,NA(),SUMPRODUCT((Inputs!$A$5:$A$110=$B43)*Inputs!$B$5:$B$110*(((Inputs!$G$5:$G$110="moeda")+(Inputs!$G$5:$G$110="acoes"))*Inputs!$B$1+((Inputs!$G$5:$G$110&lt;&gt;"moeda")*(Inputs!$G$5:$G$110&lt;&gt;"acoes")))*INDEX(Inputs!$K$5:$AJ$110,0,MATCH(Y$2,Inputs!$K$4:$AJ$4,0)))+SUMPRODUCT((Inputs!$C$5:$C$110=$B43)*Inputs!$D$5:$D$110*(((Inputs!$G$5:$G$110="moeda")+(Inputs!$G$5:$G$110="acoes"))*Inputs!$B$1+((Inputs!$G$5:$G$110&lt;&gt;"moeda")*(Inputs!$G$5:$G$110&lt;&gt;"acoes")))*INDEX(Inputs!$K$5:$AJ$110,0,MATCH(Y$2,Inputs!$K$4:$AJ$4,0)))+SUMPRODUCT((Inputs!$E$5:$E$110=$B43)*Inputs!$F$5:$F$110*(((Inputs!$G$5:$G$110="moeda")+(Inputs!$G$5:$G$110="acoes"))*Inputs!$B$1+((Inputs!$G$5:$G$110&lt;&gt;"moeda")*(Inputs!$G$5:$G$110&lt;&gt;"acoes")))*INDEX(Inputs!$K$5:$AJ$110,0,MATCH(Y$2,Inputs!$K$4:$AJ$4,0)))))</f>
        <v>69016</v>
      </c>
      <c r="Z43" s="6">
        <f>IF(ISNA(MATCH(Z$2,Inputs!$K$4:$AJ$4,0)),NA(),IF(SUMPRODUCT((Inputs!$A$5:$A$110=$B43)*ISNUMBER(INDEX(Inputs!$K$5:$AJ$110,0,MATCH(Z$2,Inputs!$K$4:$AJ$4,0))))+SUMPRODUCT((Inputs!$C$5:$C$110=$B43)*ISNUMBER(INDEX(Inputs!$K$5:$AJ$110,0,MATCH(Z$2,Inputs!$K$4:$AJ$4,0))))+SUMPRODUCT((Inputs!$E$5:$E$110=$B43)*ISNUMBER(INDEX(Inputs!$K$5:$AJ$110,0,MATCH(Z$2,Inputs!$K$4:$AJ$4,0))))=0,NA(),SUMPRODUCT((Inputs!$A$5:$A$110=$B43)*Inputs!$B$5:$B$110*(((Inputs!$G$5:$G$110="moeda")+(Inputs!$G$5:$G$110="acoes"))*Inputs!$B$1+((Inputs!$G$5:$G$110&lt;&gt;"moeda")*(Inputs!$G$5:$G$110&lt;&gt;"acoes")))*INDEX(Inputs!$K$5:$AJ$110,0,MATCH(Z$2,Inputs!$K$4:$AJ$4,0)))+SUMPRODUCT((Inputs!$C$5:$C$110=$B43)*Inputs!$D$5:$D$110*(((Inputs!$G$5:$G$110="moeda")+(Inputs!$G$5:$G$110="acoes"))*Inputs!$B$1+((Inputs!$G$5:$G$110&lt;&gt;"moeda")*(Inputs!$G$5:$G$110&lt;&gt;"acoes")))*INDEX(Inputs!$K$5:$AJ$110,0,MATCH(Z$2,Inputs!$K$4:$AJ$4,0)))+SUMPRODUCT((Inputs!$E$5:$E$110=$B43)*Inputs!$F$5:$F$110*(((Inputs!$G$5:$G$110="moeda")+(Inputs!$G$5:$G$110="acoes"))*Inputs!$B$1+((Inputs!$G$5:$G$110&lt;&gt;"moeda")*(Inputs!$G$5:$G$110&lt;&gt;"acoes")))*INDEX(Inputs!$K$5:$AJ$110,0,MATCH(Z$2,Inputs!$K$4:$AJ$4,0)))))</f>
        <v>71313</v>
      </c>
      <c r="AA43" s="6">
        <f>IF(ISNA(MATCH(AA$2,Inputs!$K$4:$AJ$4,0)),NA(),IF(SUMPRODUCT((Inputs!$A$5:$A$110=$B43)*ISNUMBER(INDEX(Inputs!$K$5:$AJ$110,0,MATCH(AA$2,Inputs!$K$4:$AJ$4,0))))+SUMPRODUCT((Inputs!$C$5:$C$110=$B43)*ISNUMBER(INDEX(Inputs!$K$5:$AJ$110,0,MATCH(AA$2,Inputs!$K$4:$AJ$4,0))))+SUMPRODUCT((Inputs!$E$5:$E$110=$B43)*ISNUMBER(INDEX(Inputs!$K$5:$AJ$110,0,MATCH(AA$2,Inputs!$K$4:$AJ$4,0))))=0,NA(),SUMPRODUCT((Inputs!$A$5:$A$110=$B43)*Inputs!$B$5:$B$110*(((Inputs!$G$5:$G$110="moeda")+(Inputs!$G$5:$G$110="acoes"))*Inputs!$B$1+((Inputs!$G$5:$G$110&lt;&gt;"moeda")*(Inputs!$G$5:$G$110&lt;&gt;"acoes")))*INDEX(Inputs!$K$5:$AJ$110,0,MATCH(AA$2,Inputs!$K$4:$AJ$4,0)))+SUMPRODUCT((Inputs!$C$5:$C$110=$B43)*Inputs!$D$5:$D$110*(((Inputs!$G$5:$G$110="moeda")+(Inputs!$G$5:$G$110="acoes"))*Inputs!$B$1+((Inputs!$G$5:$G$110&lt;&gt;"moeda")*(Inputs!$G$5:$G$110&lt;&gt;"acoes")))*INDEX(Inputs!$K$5:$AJ$110,0,MATCH(AA$2,Inputs!$K$4:$AJ$4,0)))+SUMPRODUCT((Inputs!$E$5:$E$110=$B43)*Inputs!$F$5:$F$110*(((Inputs!$G$5:$G$110="moeda")+(Inputs!$G$5:$G$110="acoes"))*Inputs!$B$1+((Inputs!$G$5:$G$110&lt;&gt;"moeda")*(Inputs!$G$5:$G$110&lt;&gt;"acoes")))*INDEX(Inputs!$K$5:$AJ$110,0,MATCH(AA$2,Inputs!$K$4:$AJ$4,0)))))</f>
        <v>73140</v>
      </c>
      <c r="AB43" s="3">
        <f>AA43</f>
        <v>73140</v>
      </c>
      <c r="AC43" s="6">
        <f>IF(ISNA(MATCH(AC$2,Inputs!$K$4:$AJ$4,0)),NA(),IF(SUMPRODUCT((Inputs!$A$5:$A$110=$B43)*ISNUMBER(INDEX(Inputs!$K$5:$AJ$110,0,MATCH(AC$2,Inputs!$K$4:$AJ$4,0))))+SUMPRODUCT((Inputs!$C$5:$C$110=$B43)*ISNUMBER(INDEX(Inputs!$K$5:$AJ$110,0,MATCH(AC$2,Inputs!$K$4:$AJ$4,0))))+SUMPRODUCT((Inputs!$E$5:$E$110=$B43)*ISNUMBER(INDEX(Inputs!$K$5:$AJ$110,0,MATCH(AC$2,Inputs!$K$4:$AJ$4,0))))=0,NA(),SUMPRODUCT((Inputs!$A$5:$A$110=$B43)*Inputs!$B$5:$B$110*(((Inputs!$G$5:$G$110="moeda")+(Inputs!$G$5:$G$110="acoes"))*Inputs!$B$1+((Inputs!$G$5:$G$110&lt;&gt;"moeda")*(Inputs!$G$5:$G$110&lt;&gt;"acoes")))*INDEX(Inputs!$K$5:$AJ$110,0,MATCH(AC$2,Inputs!$K$4:$AJ$4,0)))+SUMPRODUCT((Inputs!$C$5:$C$110=$B43)*Inputs!$D$5:$D$110*(((Inputs!$G$5:$G$110="moeda")+(Inputs!$G$5:$G$110="acoes"))*Inputs!$B$1+((Inputs!$G$5:$G$110&lt;&gt;"moeda")*(Inputs!$G$5:$G$110&lt;&gt;"acoes")))*INDEX(Inputs!$K$5:$AJ$110,0,MATCH(AC$2,Inputs!$K$4:$AJ$4,0)))+SUMPRODUCT((Inputs!$E$5:$E$110=$B43)*Inputs!$F$5:$F$110*(((Inputs!$G$5:$G$110="moeda")+(Inputs!$G$5:$G$110="acoes"))*Inputs!$B$1+((Inputs!$G$5:$G$110&lt;&gt;"moeda")*(Inputs!$G$5:$G$110&lt;&gt;"acoes")))*INDEX(Inputs!$K$5:$AJ$110,0,MATCH(AC$2,Inputs!$K$4:$AJ$4,0)))))</f>
        <v>75317</v>
      </c>
      <c r="AD43" s="6">
        <f>IF(ISNA(MATCH(AD$2,Inputs!$K$4:$AJ$4,0)),NA(),IF(SUMPRODUCT((Inputs!$A$5:$A$110=$B43)*ISNUMBER(INDEX(Inputs!$K$5:$AJ$110,0,MATCH(AD$2,Inputs!$K$4:$AJ$4,0))))+SUMPRODUCT((Inputs!$C$5:$C$110=$B43)*ISNUMBER(INDEX(Inputs!$K$5:$AJ$110,0,MATCH(AD$2,Inputs!$K$4:$AJ$4,0))))+SUMPRODUCT((Inputs!$E$5:$E$110=$B43)*ISNUMBER(INDEX(Inputs!$K$5:$AJ$110,0,MATCH(AD$2,Inputs!$K$4:$AJ$4,0))))=0,NA(),SUMPRODUCT((Inputs!$A$5:$A$110=$B43)*Inputs!$B$5:$B$110*(((Inputs!$G$5:$G$110="moeda")+(Inputs!$G$5:$G$110="acoes"))*Inputs!$B$1+((Inputs!$G$5:$G$110&lt;&gt;"moeda")*(Inputs!$G$5:$G$110&lt;&gt;"acoes")))*INDEX(Inputs!$K$5:$AJ$110,0,MATCH(AD$2,Inputs!$K$4:$AJ$4,0)))+SUMPRODUCT((Inputs!$C$5:$C$110=$B43)*Inputs!$D$5:$D$110*(((Inputs!$G$5:$G$110="moeda")+(Inputs!$G$5:$G$110="acoes"))*Inputs!$B$1+((Inputs!$G$5:$G$110&lt;&gt;"moeda")*(Inputs!$G$5:$G$110&lt;&gt;"acoes")))*INDEX(Inputs!$K$5:$AJ$110,0,MATCH(AD$2,Inputs!$K$4:$AJ$4,0)))+SUMPRODUCT((Inputs!$E$5:$E$110=$B43)*Inputs!$F$5:$F$110*(((Inputs!$G$5:$G$110="moeda")+(Inputs!$G$5:$G$110="acoes"))*Inputs!$B$1+((Inputs!$G$5:$G$110&lt;&gt;"moeda")*(Inputs!$G$5:$G$110&lt;&gt;"acoes")))*INDEX(Inputs!$K$5:$AJ$110,0,MATCH(AD$2,Inputs!$K$4:$AJ$4,0)))))</f>
        <v>77335</v>
      </c>
      <c r="AE43" s="6" t="e">
        <f>IF(ISNA(MATCH(AE$2,Inputs!$K$4:$AJ$4,0)),NA(),IF(SUMPRODUCT((Inputs!$A$5:$A$110=$B43)*ISNUMBER(INDEX(Inputs!$K$5:$AJ$110,0,MATCH(AE$2,Inputs!$K$4:$AJ$4,0))))+SUMPRODUCT((Inputs!$C$5:$C$110=$B43)*ISNUMBER(INDEX(Inputs!$K$5:$AJ$110,0,MATCH(AE$2,Inputs!$K$4:$AJ$4,0))))+SUMPRODUCT((Inputs!$E$5:$E$110=$B43)*ISNUMBER(INDEX(Inputs!$K$5:$AJ$110,0,MATCH(AE$2,Inputs!$K$4:$AJ$4,0))))=0,NA(),SUMPRODUCT((Inputs!$A$5:$A$110=$B43)*Inputs!$B$5:$B$110*(((Inputs!$G$5:$G$110="moeda")+(Inputs!$G$5:$G$110="acoes"))*Inputs!$B$1+((Inputs!$G$5:$G$110&lt;&gt;"moeda")*(Inputs!$G$5:$G$110&lt;&gt;"acoes")))*INDEX(Inputs!$K$5:$AJ$110,0,MATCH(AE$2,Inputs!$K$4:$AJ$4,0)))+SUMPRODUCT((Inputs!$C$5:$C$110=$B43)*Inputs!$D$5:$D$110*(((Inputs!$G$5:$G$110="moeda")+(Inputs!$G$5:$G$110="acoes"))*Inputs!$B$1+((Inputs!$G$5:$G$110&lt;&gt;"moeda")*(Inputs!$G$5:$G$110&lt;&gt;"acoes")))*INDEX(Inputs!$K$5:$AJ$110,0,MATCH(AE$2,Inputs!$K$4:$AJ$4,0)))+SUMPRODUCT((Inputs!$E$5:$E$110=$B43)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3" s="6" t="e">
        <f>IF(ISNA(MATCH(AF$2,Inputs!$K$4:$AJ$4,0)),NA(),IF(SUMPRODUCT((Inputs!$A$5:$A$110=$B43)*ISNUMBER(INDEX(Inputs!$K$5:$AJ$110,0,MATCH(AF$2,Inputs!$K$4:$AJ$4,0))))+SUMPRODUCT((Inputs!$C$5:$C$110=$B43)*ISNUMBER(INDEX(Inputs!$K$5:$AJ$110,0,MATCH(AF$2,Inputs!$K$4:$AJ$4,0))))+SUMPRODUCT((Inputs!$E$5:$E$110=$B43)*ISNUMBER(INDEX(Inputs!$K$5:$AJ$110,0,MATCH(AF$2,Inputs!$K$4:$AJ$4,0))))=0,NA(),SUMPRODUCT((Inputs!$A$5:$A$110=$B43)*Inputs!$B$5:$B$110*(((Inputs!$G$5:$G$110="moeda")+(Inputs!$G$5:$G$110="acoes"))*Inputs!$B$1+((Inputs!$G$5:$G$110&lt;&gt;"moeda")*(Inputs!$G$5:$G$110&lt;&gt;"acoes")))*INDEX(Inputs!$K$5:$AJ$110,0,MATCH(AF$2,Inputs!$K$4:$AJ$4,0)))+SUMPRODUCT((Inputs!$C$5:$C$110=$B43)*Inputs!$D$5:$D$110*(((Inputs!$G$5:$G$110="moeda")+(Inputs!$G$5:$G$110="acoes"))*Inputs!$B$1+((Inputs!$G$5:$G$110&lt;&gt;"moeda")*(Inputs!$G$5:$G$110&lt;&gt;"acoes")))*INDEX(Inputs!$K$5:$AJ$110,0,MATCH(AF$2,Inputs!$K$4:$AJ$4,0)))+SUMPRODUCT((Inputs!$E$5:$E$110=$B43)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3" s="3" t="e">
        <f>AF43</f>
        <v>#N/A</v>
      </c>
      <c r="AH43" s="6">
        <f>IF(ISNA(MATCH(AH$2,Inputs!$K$4:$AJ$4,0)),NA(),IF(SUMPRODUCT((Inputs!$A$5:$A$110=$B43)*ISNUMBER(INDEX(Inputs!$K$5:$AJ$110,0,MATCH(AH$2,Inputs!$K$4:$AJ$4,0))))+SUMPRODUCT((Inputs!$C$5:$C$110=$B43)*ISNUMBER(INDEX(Inputs!$K$5:$AJ$110,0,MATCH(AH$2,Inputs!$K$4:$AJ$4,0))))+SUMPRODUCT((Inputs!$E$5:$E$110=$B43)*ISNUMBER(INDEX(Inputs!$K$5:$AJ$110,0,MATCH(AH$2,Inputs!$K$4:$AJ$4,0))))=0,NA(),SUMPRODUCT((Inputs!$A$5:$A$110=$B43)*Inputs!$B$5:$B$110*(((Inputs!$G$5:$G$110="moeda")+(Inputs!$G$5:$G$110="acoes"))*Inputs!$B$1+((Inputs!$G$5:$G$110&lt;&gt;"moeda")*(Inputs!$G$5:$G$110&lt;&gt;"acoes")))*INDEX(Inputs!$K$5:$AJ$110,0,MATCH(AH$2,Inputs!$K$4:$AJ$4,0)))+SUMPRODUCT((Inputs!$C$5:$C$110=$B43)*Inputs!$D$5:$D$110*(((Inputs!$G$5:$G$110="moeda")+(Inputs!$G$5:$G$110="acoes"))*Inputs!$B$1+((Inputs!$G$5:$G$110&lt;&gt;"moeda")*(Inputs!$G$5:$G$110&lt;&gt;"acoes")))*INDEX(Inputs!$K$5:$AJ$110,0,MATCH(AH$2,Inputs!$K$4:$AJ$4,0)))+SUMPRODUCT((Inputs!$E$5:$E$110=$B43)*Inputs!$F$5:$F$110*(((Inputs!$G$5:$G$110="moeda")+(Inputs!$G$5:$G$110="acoes"))*Inputs!$B$1+((Inputs!$G$5:$G$110&lt;&gt;"moeda")*(Inputs!$G$5:$G$110&lt;&gt;"acoes")))*INDEX(Inputs!$K$5:$AJ$110,0,MATCH(AH$2,Inputs!$K$4:$AJ$4,0)))))</f>
        <v>24073</v>
      </c>
      <c r="AI43" s="6">
        <f>IF(ISNA(MATCH(AI$2,Inputs!$K$4:$AJ$4,0)),NA(),IF(SUMPRODUCT((Inputs!$A$5:$A$110=$B43)*ISNUMBER(INDEX(Inputs!$K$5:$AJ$110,0,MATCH(AI$2,Inputs!$K$4:$AJ$4,0))))+SUMPRODUCT((Inputs!$C$5:$C$110=$B43)*ISNUMBER(INDEX(Inputs!$K$5:$AJ$110,0,MATCH(AI$2,Inputs!$K$4:$AJ$4,0))))+SUMPRODUCT((Inputs!$E$5:$E$110=$B43)*ISNUMBER(INDEX(Inputs!$K$5:$AJ$110,0,MATCH(AI$2,Inputs!$K$4:$AJ$4,0))))=0,NA(),SUMPRODUCT((Inputs!$A$5:$A$110=$B43)*Inputs!$B$5:$B$110*(((Inputs!$G$5:$G$110="moeda")+(Inputs!$G$5:$G$110="acoes"))*Inputs!$B$1+((Inputs!$G$5:$G$110&lt;&gt;"moeda")*(Inputs!$G$5:$G$110&lt;&gt;"acoes")))*INDEX(Inputs!$K$5:$AJ$110,0,MATCH(AI$2,Inputs!$K$4:$AJ$4,0)))+SUMPRODUCT((Inputs!$C$5:$C$110=$B43)*Inputs!$D$5:$D$110*(((Inputs!$G$5:$G$110="moeda")+(Inputs!$G$5:$G$110="acoes"))*Inputs!$B$1+((Inputs!$G$5:$G$110&lt;&gt;"moeda")*(Inputs!$G$5:$G$110&lt;&gt;"acoes")))*INDEX(Inputs!$K$5:$AJ$110,0,MATCH(AI$2,Inputs!$K$4:$AJ$4,0)))+SUMPRODUCT((Inputs!$E$5:$E$110=$B43)*Inputs!$F$5:$F$110*(((Inputs!$G$5:$G$110="moeda")+(Inputs!$G$5:$G$110="acoes"))*Inputs!$B$1+((Inputs!$G$5:$G$110&lt;&gt;"moeda")*(Inputs!$G$5:$G$110&lt;&gt;"acoes")))*INDEX(Inputs!$K$5:$AJ$110,0,MATCH(AI$2,Inputs!$K$4:$AJ$4,0)))))</f>
        <v>23688</v>
      </c>
      <c r="AJ43" s="6">
        <f>IF(ISNA(MATCH(AJ$2,Inputs!$K$4:$AJ$4,0)),NA(),IF(SUMPRODUCT((Inputs!$A$5:$A$110=$B43)*ISNUMBER(INDEX(Inputs!$K$5:$AJ$110,0,MATCH(AJ$2,Inputs!$K$4:$AJ$4,0))))+SUMPRODUCT((Inputs!$C$5:$C$110=$B43)*ISNUMBER(INDEX(Inputs!$K$5:$AJ$110,0,MATCH(AJ$2,Inputs!$K$4:$AJ$4,0))))+SUMPRODUCT((Inputs!$E$5:$E$110=$B43)*ISNUMBER(INDEX(Inputs!$K$5:$AJ$110,0,MATCH(AJ$2,Inputs!$K$4:$AJ$4,0))))=0,NA(),SUMPRODUCT((Inputs!$A$5:$A$110=$B43)*Inputs!$B$5:$B$110*(((Inputs!$G$5:$G$110="moeda")+(Inputs!$G$5:$G$110="acoes"))*Inputs!$B$1+((Inputs!$G$5:$G$110&lt;&gt;"moeda")*(Inputs!$G$5:$G$110&lt;&gt;"acoes")))*INDEX(Inputs!$K$5:$AJ$110,0,MATCH(AJ$2,Inputs!$K$4:$AJ$4,0)))+SUMPRODUCT((Inputs!$C$5:$C$110=$B43)*Inputs!$D$5:$D$110*(((Inputs!$G$5:$G$110="moeda")+(Inputs!$G$5:$G$110="acoes"))*Inputs!$B$1+((Inputs!$G$5:$G$110&lt;&gt;"moeda")*(Inputs!$G$5:$G$110&lt;&gt;"acoes")))*INDEX(Inputs!$K$5:$AJ$110,0,MATCH(AJ$2,Inputs!$K$4:$AJ$4,0)))+SUMPRODUCT((Inputs!$E$5:$E$110=$B43)*Inputs!$F$5:$F$110*(((Inputs!$G$5:$G$110="moeda")+(Inputs!$G$5:$G$110="acoes"))*Inputs!$B$1+((Inputs!$G$5:$G$110&lt;&gt;"moeda")*(Inputs!$G$5:$G$110&lt;&gt;"acoes")))*INDEX(Inputs!$K$5:$AJ$110,0,MATCH(AJ$2,Inputs!$K$4:$AJ$4,0)))))</f>
        <v>23982</v>
      </c>
      <c r="AK43" s="6">
        <f>IF(ISNA(MATCH(AK$2,Inputs!$K$4:$AJ$4,0)),NA(),IF(SUMPRODUCT((Inputs!$A$5:$A$110=$B43)*ISNUMBER(INDEX(Inputs!$K$5:$AJ$110,0,MATCH(AK$2,Inputs!$K$4:$AJ$4,0))))+SUMPRODUCT((Inputs!$C$5:$C$110=$B43)*ISNUMBER(INDEX(Inputs!$K$5:$AJ$110,0,MATCH(AK$2,Inputs!$K$4:$AJ$4,0))))+SUMPRODUCT((Inputs!$E$5:$E$110=$B43)*ISNUMBER(INDEX(Inputs!$K$5:$AJ$110,0,MATCH(AK$2,Inputs!$K$4:$AJ$4,0))))=0,NA(),SUMPRODUCT((Inputs!$A$5:$A$110=$B43)*Inputs!$B$5:$B$110*(((Inputs!$G$5:$G$110="moeda")+(Inputs!$G$5:$G$110="acoes"))*Inputs!$B$1+((Inputs!$G$5:$G$110&lt;&gt;"moeda")*(Inputs!$G$5:$G$110&lt;&gt;"acoes")))*INDEX(Inputs!$K$5:$AJ$110,0,MATCH(AK$2,Inputs!$K$4:$AJ$4,0)))+SUMPRODUCT((Inputs!$C$5:$C$110=$B43)*Inputs!$D$5:$D$110*(((Inputs!$G$5:$G$110="moeda")+(Inputs!$G$5:$G$110="acoes"))*Inputs!$B$1+((Inputs!$G$5:$G$110&lt;&gt;"moeda")*(Inputs!$G$5:$G$110&lt;&gt;"acoes")))*INDEX(Inputs!$K$5:$AJ$110,0,MATCH(AK$2,Inputs!$K$4:$AJ$4,0)))+SUMPRODUCT((Inputs!$E$5:$E$110=$B43)*Inputs!$F$5:$F$110*(((Inputs!$G$5:$G$110="moeda")+(Inputs!$G$5:$G$110="acoes"))*Inputs!$B$1+((Inputs!$G$5:$G$110&lt;&gt;"moeda")*(Inputs!$G$5:$G$110&lt;&gt;"acoes")))*INDEX(Inputs!$K$5:$AJ$110,0,MATCH(AK$2,Inputs!$K$4:$AJ$4,0)))))</f>
        <v>24080</v>
      </c>
      <c r="AL43" s="3">
        <f>AK43</f>
        <v>24080</v>
      </c>
    </row>
    <row r="44">
      <c r="B44" s="46" t="n">
        <v>38</v>
      </c>
      <c r="C44" s="26" t="inlineStr">
        <is>
          <t>Treasury stock (contra account)</t>
        </is>
      </c>
      <c r="D44" s="6">
        <f>IF(ISNA(MATCH(D$2,Inputs!$K$4:$AJ$4,0)),NA(),IF(SUMPRODUCT((Inputs!$A$5:$A$110=$B44)*ISNUMBER(INDEX(Inputs!$K$5:$AJ$110,0,MATCH(D$2,Inputs!$K$4:$AJ$4,0))))+SUMPRODUCT((Inputs!$C$5:$C$110=$B44)*ISNUMBER(INDEX(Inputs!$K$5:$AJ$110,0,MATCH(D$2,Inputs!$K$4:$AJ$4,0))))+SUMPRODUCT((Inputs!$E$5:$E$110=$B44)*ISNUMBER(INDEX(Inputs!$K$5:$AJ$110,0,MATCH(D$2,Inputs!$K$4:$AJ$4,0))))=0,NA(),SUMPRODUCT((Inputs!$A$5:$A$110=$B44)*Inputs!$B$5:$B$110*(((Inputs!$G$5:$G$110="moeda")+(Inputs!$G$5:$G$110="acoes"))*Inputs!$B$1+((Inputs!$G$5:$G$110&lt;&gt;"moeda")*(Inputs!$G$5:$G$110&lt;&gt;"acoes")))*INDEX(Inputs!$K$5:$AJ$110,0,MATCH(D$2,Inputs!$K$4:$AJ$4,0)))+SUMPRODUCT((Inputs!$C$5:$C$110=$B44)*Inputs!$D$5:$D$110*(((Inputs!$G$5:$G$110="moeda")+(Inputs!$G$5:$G$110="acoes"))*Inputs!$B$1+((Inputs!$G$5:$G$110&lt;&gt;"moeda")*(Inputs!$G$5:$G$110&lt;&gt;"acoes")))*INDEX(Inputs!$K$5:$AJ$110,0,MATCH(D$2,Inputs!$K$4:$AJ$4,0)))+SUMPRODUCT((Inputs!$E$5:$E$110=$B44)*Inputs!$F$5:$F$110*(((Inputs!$G$5:$G$110="moeda")+(Inputs!$G$5:$G$110="acoes"))*Inputs!$B$1+((Inputs!$G$5:$G$110&lt;&gt;"moeda")*(Inputs!$G$5:$G$110&lt;&gt;"acoes")))*INDEX(Inputs!$K$5:$AJ$110,0,MATCH(D$2,Inputs!$K$4:$AJ$4,0)))))</f>
        <v>0</v>
      </c>
      <c r="E44" s="6">
        <f>IF(ISNA(MATCH(E$2,Inputs!$K$4:$AJ$4,0)),NA(),IF(SUMPRODUCT((Inputs!$A$5:$A$110=$B44)*ISNUMBER(INDEX(Inputs!$K$5:$AJ$110,0,MATCH(E$2,Inputs!$K$4:$AJ$4,0))))+SUMPRODUCT((Inputs!$C$5:$C$110=$B44)*ISNUMBER(INDEX(Inputs!$K$5:$AJ$110,0,MATCH(E$2,Inputs!$K$4:$AJ$4,0))))+SUMPRODUCT((Inputs!$E$5:$E$110=$B44)*ISNUMBER(INDEX(Inputs!$K$5:$AJ$110,0,MATCH(E$2,Inputs!$K$4:$AJ$4,0))))=0,NA(),SUMPRODUCT((Inputs!$A$5:$A$110=$B44)*Inputs!$B$5:$B$110*(((Inputs!$G$5:$G$110="moeda")+(Inputs!$G$5:$G$110="acoes"))*Inputs!$B$1+((Inputs!$G$5:$G$110&lt;&gt;"moeda")*(Inputs!$G$5:$G$110&lt;&gt;"acoes")))*INDEX(Inputs!$K$5:$AJ$110,0,MATCH(E$2,Inputs!$K$4:$AJ$4,0)))+SUMPRODUCT((Inputs!$C$5:$C$110=$B44)*Inputs!$D$5:$D$110*(((Inputs!$G$5:$G$110="moeda")+(Inputs!$G$5:$G$110="acoes"))*Inputs!$B$1+((Inputs!$G$5:$G$110&lt;&gt;"moeda")*(Inputs!$G$5:$G$110&lt;&gt;"acoes")))*INDEX(Inputs!$K$5:$AJ$110,0,MATCH(E$2,Inputs!$K$4:$AJ$4,0)))+SUMPRODUCT((Inputs!$E$5:$E$110=$B44)*Inputs!$F$5:$F$110*(((Inputs!$G$5:$G$110="moeda")+(Inputs!$G$5:$G$110="acoes"))*Inputs!$B$1+((Inputs!$G$5:$G$110&lt;&gt;"moeda")*(Inputs!$G$5:$G$110&lt;&gt;"acoes")))*INDEX(Inputs!$K$5:$AJ$110,0,MATCH(E$2,Inputs!$K$4:$AJ$4,0)))))</f>
        <v>0</v>
      </c>
      <c r="F44" s="6">
        <f>IF(ISNA(MATCH(F$2,Inputs!$K$4:$AJ$4,0)),NA(),IF(SUMPRODUCT((Inputs!$A$5:$A$110=$B44)*ISNUMBER(INDEX(Inputs!$K$5:$AJ$110,0,MATCH(F$2,Inputs!$K$4:$AJ$4,0))))+SUMPRODUCT((Inputs!$C$5:$C$110=$B44)*ISNUMBER(INDEX(Inputs!$K$5:$AJ$110,0,MATCH(F$2,Inputs!$K$4:$AJ$4,0))))+SUMPRODUCT((Inputs!$E$5:$E$110=$B44)*ISNUMBER(INDEX(Inputs!$K$5:$AJ$110,0,MATCH(F$2,Inputs!$K$4:$AJ$4,0))))=0,NA(),SUMPRODUCT((Inputs!$A$5:$A$110=$B44)*Inputs!$B$5:$B$110*(((Inputs!$G$5:$G$110="moeda")+(Inputs!$G$5:$G$110="acoes"))*Inputs!$B$1+((Inputs!$G$5:$G$110&lt;&gt;"moeda")*(Inputs!$G$5:$G$110&lt;&gt;"acoes")))*INDEX(Inputs!$K$5:$AJ$110,0,MATCH(F$2,Inputs!$K$4:$AJ$4,0)))+SUMPRODUCT((Inputs!$C$5:$C$110=$B44)*Inputs!$D$5:$D$110*(((Inputs!$G$5:$G$110="moeda")+(Inputs!$G$5:$G$110="acoes"))*Inputs!$B$1+((Inputs!$G$5:$G$110&lt;&gt;"moeda")*(Inputs!$G$5:$G$110&lt;&gt;"acoes")))*INDEX(Inputs!$K$5:$AJ$110,0,MATCH(F$2,Inputs!$K$4:$AJ$4,0)))+SUMPRODUCT((Inputs!$E$5:$E$110=$B44)*Inputs!$F$5:$F$110*(((Inputs!$G$5:$G$110="moeda")+(Inputs!$G$5:$G$110="acoes"))*Inputs!$B$1+((Inputs!$G$5:$G$110&lt;&gt;"moeda")*(Inputs!$G$5:$G$110&lt;&gt;"acoes")))*INDEX(Inputs!$K$5:$AJ$110,0,MATCH(F$2,Inputs!$K$4:$AJ$4,0)))))</f>
        <v>0</v>
      </c>
      <c r="G44" s="6">
        <f>IF(ISNA(MATCH(G$2,Inputs!$K$4:$AJ$4,0)),NA(),IF(SUMPRODUCT((Inputs!$A$5:$A$110=$B44)*ISNUMBER(INDEX(Inputs!$K$5:$AJ$110,0,MATCH(G$2,Inputs!$K$4:$AJ$4,0))))+SUMPRODUCT((Inputs!$C$5:$C$110=$B44)*ISNUMBER(INDEX(Inputs!$K$5:$AJ$110,0,MATCH(G$2,Inputs!$K$4:$AJ$4,0))))+SUMPRODUCT((Inputs!$E$5:$E$110=$B44)*ISNUMBER(INDEX(Inputs!$K$5:$AJ$110,0,MATCH(G$2,Inputs!$K$4:$AJ$4,0))))=0,NA(),SUMPRODUCT((Inputs!$A$5:$A$110=$B44)*Inputs!$B$5:$B$110*(((Inputs!$G$5:$G$110="moeda")+(Inputs!$G$5:$G$110="acoes"))*Inputs!$B$1+((Inputs!$G$5:$G$110&lt;&gt;"moeda")*(Inputs!$G$5:$G$110&lt;&gt;"acoes")))*INDEX(Inputs!$K$5:$AJ$110,0,MATCH(G$2,Inputs!$K$4:$AJ$4,0)))+SUMPRODUCT((Inputs!$C$5:$C$110=$B44)*Inputs!$D$5:$D$110*(((Inputs!$G$5:$G$110="moeda")+(Inputs!$G$5:$G$110="acoes"))*Inputs!$B$1+((Inputs!$G$5:$G$110&lt;&gt;"moeda")*(Inputs!$G$5:$G$110&lt;&gt;"acoes")))*INDEX(Inputs!$K$5:$AJ$110,0,MATCH(G$2,Inputs!$K$4:$AJ$4,0)))+SUMPRODUCT((Inputs!$E$5:$E$110=$B44)*Inputs!$F$5:$F$110*(((Inputs!$G$5:$G$110="moeda")+(Inputs!$G$5:$G$110="acoes"))*Inputs!$B$1+((Inputs!$G$5:$G$110&lt;&gt;"moeda")*(Inputs!$G$5:$G$110&lt;&gt;"acoes")))*INDEX(Inputs!$K$5:$AJ$110,0,MATCH(G$2,Inputs!$K$4:$AJ$4,0)))))</f>
        <v>0</v>
      </c>
      <c r="H44" s="3">
        <f>G44</f>
        <v>0</v>
      </c>
      <c r="I44" s="6">
        <f>IF(ISNA(MATCH(I$2,Inputs!$K$4:$AJ$4,0)),NA(),IF(SUMPRODUCT((Inputs!$A$5:$A$110=$B44)*ISNUMBER(INDEX(Inputs!$K$5:$AJ$110,0,MATCH(I$2,Inputs!$K$4:$AJ$4,0))))+SUMPRODUCT((Inputs!$C$5:$C$110=$B44)*ISNUMBER(INDEX(Inputs!$K$5:$AJ$110,0,MATCH(I$2,Inputs!$K$4:$AJ$4,0))))+SUMPRODUCT((Inputs!$E$5:$E$110=$B44)*ISNUMBER(INDEX(Inputs!$K$5:$AJ$110,0,MATCH(I$2,Inputs!$K$4:$AJ$4,0))))=0,NA(),SUMPRODUCT((Inputs!$A$5:$A$110=$B44)*Inputs!$B$5:$B$110*(((Inputs!$G$5:$G$110="moeda")+(Inputs!$G$5:$G$110="acoes"))*Inputs!$B$1+((Inputs!$G$5:$G$110&lt;&gt;"moeda")*(Inputs!$G$5:$G$110&lt;&gt;"acoes")))*INDEX(Inputs!$K$5:$AJ$110,0,MATCH(I$2,Inputs!$K$4:$AJ$4,0)))+SUMPRODUCT((Inputs!$C$5:$C$110=$B44)*Inputs!$D$5:$D$110*(((Inputs!$G$5:$G$110="moeda")+(Inputs!$G$5:$G$110="acoes"))*Inputs!$B$1+((Inputs!$G$5:$G$110&lt;&gt;"moeda")*(Inputs!$G$5:$G$110&lt;&gt;"acoes")))*INDEX(Inputs!$K$5:$AJ$110,0,MATCH(I$2,Inputs!$K$4:$AJ$4,0)))+SUMPRODUCT((Inputs!$E$5:$E$110=$B44)*Inputs!$F$5:$F$110*(((Inputs!$G$5:$G$110="moeda")+(Inputs!$G$5:$G$110="acoes"))*Inputs!$B$1+((Inputs!$G$5:$G$110&lt;&gt;"moeda")*(Inputs!$G$5:$G$110&lt;&gt;"acoes")))*INDEX(Inputs!$K$5:$AJ$110,0,MATCH(I$2,Inputs!$K$4:$AJ$4,0)))))</f>
        <v>0</v>
      </c>
      <c r="J44" s="6">
        <f>IF(ISNA(MATCH(J$2,Inputs!$K$4:$AJ$4,0)),NA(),IF(SUMPRODUCT((Inputs!$A$5:$A$110=$B44)*ISNUMBER(INDEX(Inputs!$K$5:$AJ$110,0,MATCH(J$2,Inputs!$K$4:$AJ$4,0))))+SUMPRODUCT((Inputs!$C$5:$C$110=$B44)*ISNUMBER(INDEX(Inputs!$K$5:$AJ$110,0,MATCH(J$2,Inputs!$K$4:$AJ$4,0))))+SUMPRODUCT((Inputs!$E$5:$E$110=$B44)*ISNUMBER(INDEX(Inputs!$K$5:$AJ$110,0,MATCH(J$2,Inputs!$K$4:$AJ$4,0))))=0,NA(),SUMPRODUCT((Inputs!$A$5:$A$110=$B44)*Inputs!$B$5:$B$110*(((Inputs!$G$5:$G$110="moeda")+(Inputs!$G$5:$G$110="acoes"))*Inputs!$B$1+((Inputs!$G$5:$G$110&lt;&gt;"moeda")*(Inputs!$G$5:$G$110&lt;&gt;"acoes")))*INDEX(Inputs!$K$5:$AJ$110,0,MATCH(J$2,Inputs!$K$4:$AJ$4,0)))+SUMPRODUCT((Inputs!$C$5:$C$110=$B44)*Inputs!$D$5:$D$110*(((Inputs!$G$5:$G$110="moeda")+(Inputs!$G$5:$G$110="acoes"))*Inputs!$B$1+((Inputs!$G$5:$G$110&lt;&gt;"moeda")*(Inputs!$G$5:$G$110&lt;&gt;"acoes")))*INDEX(Inputs!$K$5:$AJ$110,0,MATCH(J$2,Inputs!$K$4:$AJ$4,0)))+SUMPRODUCT((Inputs!$E$5:$E$110=$B44)*Inputs!$F$5:$F$110*(((Inputs!$G$5:$G$110="moeda")+(Inputs!$G$5:$G$110="acoes"))*Inputs!$B$1+((Inputs!$G$5:$G$110&lt;&gt;"moeda")*(Inputs!$G$5:$G$110&lt;&gt;"acoes")))*INDEX(Inputs!$K$5:$AJ$110,0,MATCH(J$2,Inputs!$K$4:$AJ$4,0)))))</f>
        <v>0</v>
      </c>
      <c r="K44" s="6">
        <f>IF(ISNA(MATCH(K$2,Inputs!$K$4:$AJ$4,0)),NA(),IF(SUMPRODUCT((Inputs!$A$5:$A$110=$B44)*ISNUMBER(INDEX(Inputs!$K$5:$AJ$110,0,MATCH(K$2,Inputs!$K$4:$AJ$4,0))))+SUMPRODUCT((Inputs!$C$5:$C$110=$B44)*ISNUMBER(INDEX(Inputs!$K$5:$AJ$110,0,MATCH(K$2,Inputs!$K$4:$AJ$4,0))))+SUMPRODUCT((Inputs!$E$5:$E$110=$B44)*ISNUMBER(INDEX(Inputs!$K$5:$AJ$110,0,MATCH(K$2,Inputs!$K$4:$AJ$4,0))))=0,NA(),SUMPRODUCT((Inputs!$A$5:$A$110=$B44)*Inputs!$B$5:$B$110*(((Inputs!$G$5:$G$110="moeda")+(Inputs!$G$5:$G$110="acoes"))*Inputs!$B$1+((Inputs!$G$5:$G$110&lt;&gt;"moeda")*(Inputs!$G$5:$G$110&lt;&gt;"acoes")))*INDEX(Inputs!$K$5:$AJ$110,0,MATCH(K$2,Inputs!$K$4:$AJ$4,0)))+SUMPRODUCT((Inputs!$C$5:$C$110=$B44)*Inputs!$D$5:$D$110*(((Inputs!$G$5:$G$110="moeda")+(Inputs!$G$5:$G$110="acoes"))*Inputs!$B$1+((Inputs!$G$5:$G$110&lt;&gt;"moeda")*(Inputs!$G$5:$G$110&lt;&gt;"acoes")))*INDEX(Inputs!$K$5:$AJ$110,0,MATCH(K$2,Inputs!$K$4:$AJ$4,0)))+SUMPRODUCT((Inputs!$E$5:$E$110=$B44)*Inputs!$F$5:$F$110*(((Inputs!$G$5:$G$110="moeda")+(Inputs!$G$5:$G$110="acoes"))*Inputs!$B$1+((Inputs!$G$5:$G$110&lt;&gt;"moeda")*(Inputs!$G$5:$G$110&lt;&gt;"acoes")))*INDEX(Inputs!$K$5:$AJ$110,0,MATCH(K$2,Inputs!$K$4:$AJ$4,0)))))</f>
        <v>0</v>
      </c>
      <c r="L44" s="6">
        <f>IF(ISNA(MATCH(L$2,Inputs!$K$4:$AJ$4,0)),NA(),IF(SUMPRODUCT((Inputs!$A$5:$A$110=$B44)*ISNUMBER(INDEX(Inputs!$K$5:$AJ$110,0,MATCH(L$2,Inputs!$K$4:$AJ$4,0))))+SUMPRODUCT((Inputs!$C$5:$C$110=$B44)*ISNUMBER(INDEX(Inputs!$K$5:$AJ$110,0,MATCH(L$2,Inputs!$K$4:$AJ$4,0))))+SUMPRODUCT((Inputs!$E$5:$E$110=$B44)*ISNUMBER(INDEX(Inputs!$K$5:$AJ$110,0,MATCH(L$2,Inputs!$K$4:$AJ$4,0))))=0,NA(),SUMPRODUCT((Inputs!$A$5:$A$110=$B44)*Inputs!$B$5:$B$110*(((Inputs!$G$5:$G$110="moeda")+(Inputs!$G$5:$G$110="acoes"))*Inputs!$B$1+((Inputs!$G$5:$G$110&lt;&gt;"moeda")*(Inputs!$G$5:$G$110&lt;&gt;"acoes")))*INDEX(Inputs!$K$5:$AJ$110,0,MATCH(L$2,Inputs!$K$4:$AJ$4,0)))+SUMPRODUCT((Inputs!$C$5:$C$110=$B44)*Inputs!$D$5:$D$110*(((Inputs!$G$5:$G$110="moeda")+(Inputs!$G$5:$G$110="acoes"))*Inputs!$B$1+((Inputs!$G$5:$G$110&lt;&gt;"moeda")*(Inputs!$G$5:$G$110&lt;&gt;"acoes")))*INDEX(Inputs!$K$5:$AJ$110,0,MATCH(L$2,Inputs!$K$4:$AJ$4,0)))+SUMPRODUCT((Inputs!$E$5:$E$110=$B44)*Inputs!$F$5:$F$110*(((Inputs!$G$5:$G$110="moeda")+(Inputs!$G$5:$G$110="acoes"))*Inputs!$B$1+((Inputs!$G$5:$G$110&lt;&gt;"moeda")*(Inputs!$G$5:$G$110&lt;&gt;"acoes")))*INDEX(Inputs!$K$5:$AJ$110,0,MATCH(L$2,Inputs!$K$4:$AJ$4,0)))))</f>
        <v>0</v>
      </c>
      <c r="M44" s="3">
        <f>L44</f>
        <v>0</v>
      </c>
      <c r="N44" s="6">
        <f>IF(ISNA(MATCH(N$2,Inputs!$K$4:$AJ$4,0)),NA(),IF(SUMPRODUCT((Inputs!$A$5:$A$110=$B44)*ISNUMBER(INDEX(Inputs!$K$5:$AJ$110,0,MATCH(N$2,Inputs!$K$4:$AJ$4,0))))+SUMPRODUCT((Inputs!$C$5:$C$110=$B44)*ISNUMBER(INDEX(Inputs!$K$5:$AJ$110,0,MATCH(N$2,Inputs!$K$4:$AJ$4,0))))+SUMPRODUCT((Inputs!$E$5:$E$110=$B44)*ISNUMBER(INDEX(Inputs!$K$5:$AJ$110,0,MATCH(N$2,Inputs!$K$4:$AJ$4,0))))=0,NA(),SUMPRODUCT((Inputs!$A$5:$A$110=$B44)*Inputs!$B$5:$B$110*(((Inputs!$G$5:$G$110="moeda")+(Inputs!$G$5:$G$110="acoes"))*Inputs!$B$1+((Inputs!$G$5:$G$110&lt;&gt;"moeda")*(Inputs!$G$5:$G$110&lt;&gt;"acoes")))*INDEX(Inputs!$K$5:$AJ$110,0,MATCH(N$2,Inputs!$K$4:$AJ$4,0)))+SUMPRODUCT((Inputs!$C$5:$C$110=$B44)*Inputs!$D$5:$D$110*(((Inputs!$G$5:$G$110="moeda")+(Inputs!$G$5:$G$110="acoes"))*Inputs!$B$1+((Inputs!$G$5:$G$110&lt;&gt;"moeda")*(Inputs!$G$5:$G$110&lt;&gt;"acoes")))*INDEX(Inputs!$K$5:$AJ$110,0,MATCH(N$2,Inputs!$K$4:$AJ$4,0)))+SUMPRODUCT((Inputs!$E$5:$E$110=$B44)*Inputs!$F$5:$F$110*(((Inputs!$G$5:$G$110="moeda")+(Inputs!$G$5:$G$110="acoes"))*Inputs!$B$1+((Inputs!$G$5:$G$110&lt;&gt;"moeda")*(Inputs!$G$5:$G$110&lt;&gt;"acoes")))*INDEX(Inputs!$K$5:$AJ$110,0,MATCH(N$2,Inputs!$K$4:$AJ$4,0)))))</f>
        <v>0</v>
      </c>
      <c r="O44" s="6">
        <f>IF(ISNA(MATCH(O$2,Inputs!$K$4:$AJ$4,0)),NA(),IF(SUMPRODUCT((Inputs!$A$5:$A$110=$B44)*ISNUMBER(INDEX(Inputs!$K$5:$AJ$110,0,MATCH(O$2,Inputs!$K$4:$AJ$4,0))))+SUMPRODUCT((Inputs!$C$5:$C$110=$B44)*ISNUMBER(INDEX(Inputs!$K$5:$AJ$110,0,MATCH(O$2,Inputs!$K$4:$AJ$4,0))))+SUMPRODUCT((Inputs!$E$5:$E$110=$B44)*ISNUMBER(INDEX(Inputs!$K$5:$AJ$110,0,MATCH(O$2,Inputs!$K$4:$AJ$4,0))))=0,NA(),SUMPRODUCT((Inputs!$A$5:$A$110=$B44)*Inputs!$B$5:$B$110*(((Inputs!$G$5:$G$110="moeda")+(Inputs!$G$5:$G$110="acoes"))*Inputs!$B$1+((Inputs!$G$5:$G$110&lt;&gt;"moeda")*(Inputs!$G$5:$G$110&lt;&gt;"acoes")))*INDEX(Inputs!$K$5:$AJ$110,0,MATCH(O$2,Inputs!$K$4:$AJ$4,0)))+SUMPRODUCT((Inputs!$C$5:$C$110=$B44)*Inputs!$D$5:$D$110*(((Inputs!$G$5:$G$110="moeda")+(Inputs!$G$5:$G$110="acoes"))*Inputs!$B$1+((Inputs!$G$5:$G$110&lt;&gt;"moeda")*(Inputs!$G$5:$G$110&lt;&gt;"acoes")))*INDEX(Inputs!$K$5:$AJ$110,0,MATCH(O$2,Inputs!$K$4:$AJ$4,0)))+SUMPRODUCT((Inputs!$E$5:$E$110=$B44)*Inputs!$F$5:$F$110*(((Inputs!$G$5:$G$110="moeda")+(Inputs!$G$5:$G$110="acoes"))*Inputs!$B$1+((Inputs!$G$5:$G$110&lt;&gt;"moeda")*(Inputs!$G$5:$G$110&lt;&gt;"acoes")))*INDEX(Inputs!$K$5:$AJ$110,0,MATCH(O$2,Inputs!$K$4:$AJ$4,0)))))</f>
        <v>0</v>
      </c>
      <c r="P44" s="6">
        <f>IF(ISNA(MATCH(P$2,Inputs!$K$4:$AJ$4,0)),NA(),IF(SUMPRODUCT((Inputs!$A$5:$A$110=$B44)*ISNUMBER(INDEX(Inputs!$K$5:$AJ$110,0,MATCH(P$2,Inputs!$K$4:$AJ$4,0))))+SUMPRODUCT((Inputs!$C$5:$C$110=$B44)*ISNUMBER(INDEX(Inputs!$K$5:$AJ$110,0,MATCH(P$2,Inputs!$K$4:$AJ$4,0))))+SUMPRODUCT((Inputs!$E$5:$E$110=$B44)*ISNUMBER(INDEX(Inputs!$K$5:$AJ$110,0,MATCH(P$2,Inputs!$K$4:$AJ$4,0))))=0,NA(),SUMPRODUCT((Inputs!$A$5:$A$110=$B44)*Inputs!$B$5:$B$110*(((Inputs!$G$5:$G$110="moeda")+(Inputs!$G$5:$G$110="acoes"))*Inputs!$B$1+((Inputs!$G$5:$G$110&lt;&gt;"moeda")*(Inputs!$G$5:$G$110&lt;&gt;"acoes")))*INDEX(Inputs!$K$5:$AJ$110,0,MATCH(P$2,Inputs!$K$4:$AJ$4,0)))+SUMPRODUCT((Inputs!$C$5:$C$110=$B44)*Inputs!$D$5:$D$110*(((Inputs!$G$5:$G$110="moeda")+(Inputs!$G$5:$G$110="acoes"))*Inputs!$B$1+((Inputs!$G$5:$G$110&lt;&gt;"moeda")*(Inputs!$G$5:$G$110&lt;&gt;"acoes")))*INDEX(Inputs!$K$5:$AJ$110,0,MATCH(P$2,Inputs!$K$4:$AJ$4,0)))+SUMPRODUCT((Inputs!$E$5:$E$110=$B44)*Inputs!$F$5:$F$110*(((Inputs!$G$5:$G$110="moeda")+(Inputs!$G$5:$G$110="acoes"))*Inputs!$B$1+((Inputs!$G$5:$G$110&lt;&gt;"moeda")*(Inputs!$G$5:$G$110&lt;&gt;"acoes")))*INDEX(Inputs!$K$5:$AJ$110,0,MATCH(P$2,Inputs!$K$4:$AJ$4,0)))))</f>
        <v>0</v>
      </c>
      <c r="Q44" s="6">
        <f>IF(ISNA(MATCH(Q$2,Inputs!$K$4:$AJ$4,0)),NA(),IF(SUMPRODUCT((Inputs!$A$5:$A$110=$B44)*ISNUMBER(INDEX(Inputs!$K$5:$AJ$110,0,MATCH(Q$2,Inputs!$K$4:$AJ$4,0))))+SUMPRODUCT((Inputs!$C$5:$C$110=$B44)*ISNUMBER(INDEX(Inputs!$K$5:$AJ$110,0,MATCH(Q$2,Inputs!$K$4:$AJ$4,0))))+SUMPRODUCT((Inputs!$E$5:$E$110=$B44)*ISNUMBER(INDEX(Inputs!$K$5:$AJ$110,0,MATCH(Q$2,Inputs!$K$4:$AJ$4,0))))=0,NA(),SUMPRODUCT((Inputs!$A$5:$A$110=$B44)*Inputs!$B$5:$B$110*(((Inputs!$G$5:$G$110="moeda")+(Inputs!$G$5:$G$110="acoes"))*Inputs!$B$1+((Inputs!$G$5:$G$110&lt;&gt;"moeda")*(Inputs!$G$5:$G$110&lt;&gt;"acoes")))*INDEX(Inputs!$K$5:$AJ$110,0,MATCH(Q$2,Inputs!$K$4:$AJ$4,0)))+SUMPRODUCT((Inputs!$C$5:$C$110=$B44)*Inputs!$D$5:$D$110*(((Inputs!$G$5:$G$110="moeda")+(Inputs!$G$5:$G$110="acoes"))*Inputs!$B$1+((Inputs!$G$5:$G$110&lt;&gt;"moeda")*(Inputs!$G$5:$G$110&lt;&gt;"acoes")))*INDEX(Inputs!$K$5:$AJ$110,0,MATCH(Q$2,Inputs!$K$4:$AJ$4,0)))+SUMPRODUCT((Inputs!$E$5:$E$110=$B44)*Inputs!$F$5:$F$110*(((Inputs!$G$5:$G$110="moeda")+(Inputs!$G$5:$G$110="acoes"))*Inputs!$B$1+((Inputs!$G$5:$G$110&lt;&gt;"moeda")*(Inputs!$G$5:$G$110&lt;&gt;"acoes")))*INDEX(Inputs!$K$5:$AJ$110,0,MATCH(Q$2,Inputs!$K$4:$AJ$4,0)))))</f>
        <v>0</v>
      </c>
      <c r="R44" s="3">
        <f>Q44</f>
        <v>0</v>
      </c>
      <c r="S44" s="6">
        <f>IF(ISNA(MATCH(S$2,Inputs!$K$4:$AJ$4,0)),NA(),IF(SUMPRODUCT((Inputs!$A$5:$A$110=$B44)*ISNUMBER(INDEX(Inputs!$K$5:$AJ$110,0,MATCH(S$2,Inputs!$K$4:$AJ$4,0))))+SUMPRODUCT((Inputs!$C$5:$C$110=$B44)*ISNUMBER(INDEX(Inputs!$K$5:$AJ$110,0,MATCH(S$2,Inputs!$K$4:$AJ$4,0))))+SUMPRODUCT((Inputs!$E$5:$E$110=$B44)*ISNUMBER(INDEX(Inputs!$K$5:$AJ$110,0,MATCH(S$2,Inputs!$K$4:$AJ$4,0))))=0,NA(),SUMPRODUCT((Inputs!$A$5:$A$110=$B44)*Inputs!$B$5:$B$110*(((Inputs!$G$5:$G$110="moeda")+(Inputs!$G$5:$G$110="acoes"))*Inputs!$B$1+((Inputs!$G$5:$G$110&lt;&gt;"moeda")*(Inputs!$G$5:$G$110&lt;&gt;"acoes")))*INDEX(Inputs!$K$5:$AJ$110,0,MATCH(S$2,Inputs!$K$4:$AJ$4,0)))+SUMPRODUCT((Inputs!$C$5:$C$110=$B44)*Inputs!$D$5:$D$110*(((Inputs!$G$5:$G$110="moeda")+(Inputs!$G$5:$G$110="acoes"))*Inputs!$B$1+((Inputs!$G$5:$G$110&lt;&gt;"moeda")*(Inputs!$G$5:$G$110&lt;&gt;"acoes")))*INDEX(Inputs!$K$5:$AJ$110,0,MATCH(S$2,Inputs!$K$4:$AJ$4,0)))+SUMPRODUCT((Inputs!$E$5:$E$110=$B44)*Inputs!$F$5:$F$110*(((Inputs!$G$5:$G$110="moeda")+(Inputs!$G$5:$G$110="acoes"))*Inputs!$B$1+((Inputs!$G$5:$G$110&lt;&gt;"moeda")*(Inputs!$G$5:$G$110&lt;&gt;"acoes")))*INDEX(Inputs!$K$5:$AJ$110,0,MATCH(S$2,Inputs!$K$4:$AJ$4,0)))))</f>
        <v>0</v>
      </c>
      <c r="T44" s="6">
        <f>IF(ISNA(MATCH(T$2,Inputs!$K$4:$AJ$4,0)),NA(),IF(SUMPRODUCT((Inputs!$A$5:$A$110=$B44)*ISNUMBER(INDEX(Inputs!$K$5:$AJ$110,0,MATCH(T$2,Inputs!$K$4:$AJ$4,0))))+SUMPRODUCT((Inputs!$C$5:$C$110=$B44)*ISNUMBER(INDEX(Inputs!$K$5:$AJ$110,0,MATCH(T$2,Inputs!$K$4:$AJ$4,0))))+SUMPRODUCT((Inputs!$E$5:$E$110=$B44)*ISNUMBER(INDEX(Inputs!$K$5:$AJ$110,0,MATCH(T$2,Inputs!$K$4:$AJ$4,0))))=0,NA(),SUMPRODUCT((Inputs!$A$5:$A$110=$B44)*Inputs!$B$5:$B$110*(((Inputs!$G$5:$G$110="moeda")+(Inputs!$G$5:$G$110="acoes"))*Inputs!$B$1+((Inputs!$G$5:$G$110&lt;&gt;"moeda")*(Inputs!$G$5:$G$110&lt;&gt;"acoes")))*INDEX(Inputs!$K$5:$AJ$110,0,MATCH(T$2,Inputs!$K$4:$AJ$4,0)))+SUMPRODUCT((Inputs!$C$5:$C$110=$B44)*Inputs!$D$5:$D$110*(((Inputs!$G$5:$G$110="moeda")+(Inputs!$G$5:$G$110="acoes"))*Inputs!$B$1+((Inputs!$G$5:$G$110&lt;&gt;"moeda")*(Inputs!$G$5:$G$110&lt;&gt;"acoes")))*INDEX(Inputs!$K$5:$AJ$110,0,MATCH(T$2,Inputs!$K$4:$AJ$4,0)))+SUMPRODUCT((Inputs!$E$5:$E$110=$B44)*Inputs!$F$5:$F$110*(((Inputs!$G$5:$G$110="moeda")+(Inputs!$G$5:$G$110="acoes"))*Inputs!$B$1+((Inputs!$G$5:$G$110&lt;&gt;"moeda")*(Inputs!$G$5:$G$110&lt;&gt;"acoes")))*INDEX(Inputs!$K$5:$AJ$110,0,MATCH(T$2,Inputs!$K$4:$AJ$4,0)))))</f>
        <v>0</v>
      </c>
      <c r="U44" s="6">
        <f>IF(ISNA(MATCH(U$2,Inputs!$K$4:$AJ$4,0)),NA(),IF(SUMPRODUCT((Inputs!$A$5:$A$110=$B44)*ISNUMBER(INDEX(Inputs!$K$5:$AJ$110,0,MATCH(U$2,Inputs!$K$4:$AJ$4,0))))+SUMPRODUCT((Inputs!$C$5:$C$110=$B44)*ISNUMBER(INDEX(Inputs!$K$5:$AJ$110,0,MATCH(U$2,Inputs!$K$4:$AJ$4,0))))+SUMPRODUCT((Inputs!$E$5:$E$110=$B44)*ISNUMBER(INDEX(Inputs!$K$5:$AJ$110,0,MATCH(U$2,Inputs!$K$4:$AJ$4,0))))=0,NA(),SUMPRODUCT((Inputs!$A$5:$A$110=$B44)*Inputs!$B$5:$B$110*(((Inputs!$G$5:$G$110="moeda")+(Inputs!$G$5:$G$110="acoes"))*Inputs!$B$1+((Inputs!$G$5:$G$110&lt;&gt;"moeda")*(Inputs!$G$5:$G$110&lt;&gt;"acoes")))*INDEX(Inputs!$K$5:$AJ$110,0,MATCH(U$2,Inputs!$K$4:$AJ$4,0)))+SUMPRODUCT((Inputs!$C$5:$C$110=$B44)*Inputs!$D$5:$D$110*(((Inputs!$G$5:$G$110="moeda")+(Inputs!$G$5:$G$110="acoes"))*Inputs!$B$1+((Inputs!$G$5:$G$110&lt;&gt;"moeda")*(Inputs!$G$5:$G$110&lt;&gt;"acoes")))*INDEX(Inputs!$K$5:$AJ$110,0,MATCH(U$2,Inputs!$K$4:$AJ$4,0)))+SUMPRODUCT((Inputs!$E$5:$E$110=$B44)*Inputs!$F$5:$F$110*(((Inputs!$G$5:$G$110="moeda")+(Inputs!$G$5:$G$110="acoes"))*Inputs!$B$1+((Inputs!$G$5:$G$110&lt;&gt;"moeda")*(Inputs!$G$5:$G$110&lt;&gt;"acoes")))*INDEX(Inputs!$K$5:$AJ$110,0,MATCH(U$2,Inputs!$K$4:$AJ$4,0)))))</f>
        <v>0</v>
      </c>
      <c r="V44" s="6">
        <f>IF(ISNA(MATCH(V$2,Inputs!$K$4:$AJ$4,0)),NA(),IF(SUMPRODUCT((Inputs!$A$5:$A$110=$B44)*ISNUMBER(INDEX(Inputs!$K$5:$AJ$110,0,MATCH(V$2,Inputs!$K$4:$AJ$4,0))))+SUMPRODUCT((Inputs!$C$5:$C$110=$B44)*ISNUMBER(INDEX(Inputs!$K$5:$AJ$110,0,MATCH(V$2,Inputs!$K$4:$AJ$4,0))))+SUMPRODUCT((Inputs!$E$5:$E$110=$B44)*ISNUMBER(INDEX(Inputs!$K$5:$AJ$110,0,MATCH(V$2,Inputs!$K$4:$AJ$4,0))))=0,NA(),SUMPRODUCT((Inputs!$A$5:$A$110=$B44)*Inputs!$B$5:$B$110*(((Inputs!$G$5:$G$110="moeda")+(Inputs!$G$5:$G$110="acoes"))*Inputs!$B$1+((Inputs!$G$5:$G$110&lt;&gt;"moeda")*(Inputs!$G$5:$G$110&lt;&gt;"acoes")))*INDEX(Inputs!$K$5:$AJ$110,0,MATCH(V$2,Inputs!$K$4:$AJ$4,0)))+SUMPRODUCT((Inputs!$C$5:$C$110=$B44)*Inputs!$D$5:$D$110*(((Inputs!$G$5:$G$110="moeda")+(Inputs!$G$5:$G$110="acoes"))*Inputs!$B$1+((Inputs!$G$5:$G$110&lt;&gt;"moeda")*(Inputs!$G$5:$G$110&lt;&gt;"acoes")))*INDEX(Inputs!$K$5:$AJ$110,0,MATCH(V$2,Inputs!$K$4:$AJ$4,0)))+SUMPRODUCT((Inputs!$E$5:$E$110=$B44)*Inputs!$F$5:$F$110*(((Inputs!$G$5:$G$110="moeda")+(Inputs!$G$5:$G$110="acoes"))*Inputs!$B$1+((Inputs!$G$5:$G$110&lt;&gt;"moeda")*(Inputs!$G$5:$G$110&lt;&gt;"acoes")))*INDEX(Inputs!$K$5:$AJ$110,0,MATCH(V$2,Inputs!$K$4:$AJ$4,0)))))</f>
        <v>0</v>
      </c>
      <c r="W44" s="3">
        <f>V44</f>
        <v>0</v>
      </c>
      <c r="X44" s="6">
        <f>IF(ISNA(MATCH(X$2,Inputs!$K$4:$AJ$4,0)),NA(),IF(SUMPRODUCT((Inputs!$A$5:$A$110=$B44)*ISNUMBER(INDEX(Inputs!$K$5:$AJ$110,0,MATCH(X$2,Inputs!$K$4:$AJ$4,0))))+SUMPRODUCT((Inputs!$C$5:$C$110=$B44)*ISNUMBER(INDEX(Inputs!$K$5:$AJ$110,0,MATCH(X$2,Inputs!$K$4:$AJ$4,0))))+SUMPRODUCT((Inputs!$E$5:$E$110=$B44)*ISNUMBER(INDEX(Inputs!$K$5:$AJ$110,0,MATCH(X$2,Inputs!$K$4:$AJ$4,0))))=0,NA(),SUMPRODUCT((Inputs!$A$5:$A$110=$B44)*Inputs!$B$5:$B$110*(((Inputs!$G$5:$G$110="moeda")+(Inputs!$G$5:$G$110="acoes"))*Inputs!$B$1+((Inputs!$G$5:$G$110&lt;&gt;"moeda")*(Inputs!$G$5:$G$110&lt;&gt;"acoes")))*INDEX(Inputs!$K$5:$AJ$110,0,MATCH(X$2,Inputs!$K$4:$AJ$4,0)))+SUMPRODUCT((Inputs!$C$5:$C$110=$B44)*Inputs!$D$5:$D$110*(((Inputs!$G$5:$G$110="moeda")+(Inputs!$G$5:$G$110="acoes"))*Inputs!$B$1+((Inputs!$G$5:$G$110&lt;&gt;"moeda")*(Inputs!$G$5:$G$110&lt;&gt;"acoes")))*INDEX(Inputs!$K$5:$AJ$110,0,MATCH(X$2,Inputs!$K$4:$AJ$4,0)))+SUMPRODUCT((Inputs!$E$5:$E$110=$B44)*Inputs!$F$5:$F$110*(((Inputs!$G$5:$G$110="moeda")+(Inputs!$G$5:$G$110="acoes"))*Inputs!$B$1+((Inputs!$G$5:$G$110&lt;&gt;"moeda")*(Inputs!$G$5:$G$110&lt;&gt;"acoes")))*INDEX(Inputs!$K$5:$AJ$110,0,MATCH(X$2,Inputs!$K$4:$AJ$4,0)))))</f>
        <v>0</v>
      </c>
      <c r="Y44" s="6">
        <f>IF(ISNA(MATCH(Y$2,Inputs!$K$4:$AJ$4,0)),NA(),IF(SUMPRODUCT((Inputs!$A$5:$A$110=$B44)*ISNUMBER(INDEX(Inputs!$K$5:$AJ$110,0,MATCH(Y$2,Inputs!$K$4:$AJ$4,0))))+SUMPRODUCT((Inputs!$C$5:$C$110=$B44)*ISNUMBER(INDEX(Inputs!$K$5:$AJ$110,0,MATCH(Y$2,Inputs!$K$4:$AJ$4,0))))+SUMPRODUCT((Inputs!$E$5:$E$110=$B44)*ISNUMBER(INDEX(Inputs!$K$5:$AJ$110,0,MATCH(Y$2,Inputs!$K$4:$AJ$4,0))))=0,NA(),SUMPRODUCT((Inputs!$A$5:$A$110=$B44)*Inputs!$B$5:$B$110*(((Inputs!$G$5:$G$110="moeda")+(Inputs!$G$5:$G$110="acoes"))*Inputs!$B$1+((Inputs!$G$5:$G$110&lt;&gt;"moeda")*(Inputs!$G$5:$G$110&lt;&gt;"acoes")))*INDEX(Inputs!$K$5:$AJ$110,0,MATCH(Y$2,Inputs!$K$4:$AJ$4,0)))+SUMPRODUCT((Inputs!$C$5:$C$110=$B44)*Inputs!$D$5:$D$110*(((Inputs!$G$5:$G$110="moeda")+(Inputs!$G$5:$G$110="acoes"))*Inputs!$B$1+((Inputs!$G$5:$G$110&lt;&gt;"moeda")*(Inputs!$G$5:$G$110&lt;&gt;"acoes")))*INDEX(Inputs!$K$5:$AJ$110,0,MATCH(Y$2,Inputs!$K$4:$AJ$4,0)))+SUMPRODUCT((Inputs!$E$5:$E$110=$B44)*Inputs!$F$5:$F$110*(((Inputs!$G$5:$G$110="moeda")+(Inputs!$G$5:$G$110="acoes"))*Inputs!$B$1+((Inputs!$G$5:$G$110&lt;&gt;"moeda")*(Inputs!$G$5:$G$110&lt;&gt;"acoes")))*INDEX(Inputs!$K$5:$AJ$110,0,MATCH(Y$2,Inputs!$K$4:$AJ$4,0)))))</f>
        <v>0</v>
      </c>
      <c r="Z44" s="6">
        <f>IF(ISNA(MATCH(Z$2,Inputs!$K$4:$AJ$4,0)),NA(),IF(SUMPRODUCT((Inputs!$A$5:$A$110=$B44)*ISNUMBER(INDEX(Inputs!$K$5:$AJ$110,0,MATCH(Z$2,Inputs!$K$4:$AJ$4,0))))+SUMPRODUCT((Inputs!$C$5:$C$110=$B44)*ISNUMBER(INDEX(Inputs!$K$5:$AJ$110,0,MATCH(Z$2,Inputs!$K$4:$AJ$4,0))))+SUMPRODUCT((Inputs!$E$5:$E$110=$B44)*ISNUMBER(INDEX(Inputs!$K$5:$AJ$110,0,MATCH(Z$2,Inputs!$K$4:$AJ$4,0))))=0,NA(),SUMPRODUCT((Inputs!$A$5:$A$110=$B44)*Inputs!$B$5:$B$110*(((Inputs!$G$5:$G$110="moeda")+(Inputs!$G$5:$G$110="acoes"))*Inputs!$B$1+((Inputs!$G$5:$G$110&lt;&gt;"moeda")*(Inputs!$G$5:$G$110&lt;&gt;"acoes")))*INDEX(Inputs!$K$5:$AJ$110,0,MATCH(Z$2,Inputs!$K$4:$AJ$4,0)))+SUMPRODUCT((Inputs!$C$5:$C$110=$B44)*Inputs!$D$5:$D$110*(((Inputs!$G$5:$G$110="moeda")+(Inputs!$G$5:$G$110="acoes"))*Inputs!$B$1+((Inputs!$G$5:$G$110&lt;&gt;"moeda")*(Inputs!$G$5:$G$110&lt;&gt;"acoes")))*INDEX(Inputs!$K$5:$AJ$110,0,MATCH(Z$2,Inputs!$K$4:$AJ$4,0)))+SUMPRODUCT((Inputs!$E$5:$E$110=$B44)*Inputs!$F$5:$F$110*(((Inputs!$G$5:$G$110="moeda")+(Inputs!$G$5:$G$110="acoes"))*Inputs!$B$1+((Inputs!$G$5:$G$110&lt;&gt;"moeda")*(Inputs!$G$5:$G$110&lt;&gt;"acoes")))*INDEX(Inputs!$K$5:$AJ$110,0,MATCH(Z$2,Inputs!$K$4:$AJ$4,0)))))</f>
        <v>0</v>
      </c>
      <c r="AA44" s="6">
        <f>IF(ISNA(MATCH(AA$2,Inputs!$K$4:$AJ$4,0)),NA(),IF(SUMPRODUCT((Inputs!$A$5:$A$110=$B44)*ISNUMBER(INDEX(Inputs!$K$5:$AJ$110,0,MATCH(AA$2,Inputs!$K$4:$AJ$4,0))))+SUMPRODUCT((Inputs!$C$5:$C$110=$B44)*ISNUMBER(INDEX(Inputs!$K$5:$AJ$110,0,MATCH(AA$2,Inputs!$K$4:$AJ$4,0))))+SUMPRODUCT((Inputs!$E$5:$E$110=$B44)*ISNUMBER(INDEX(Inputs!$K$5:$AJ$110,0,MATCH(AA$2,Inputs!$K$4:$AJ$4,0))))=0,NA(),SUMPRODUCT((Inputs!$A$5:$A$110=$B44)*Inputs!$B$5:$B$110*(((Inputs!$G$5:$G$110="moeda")+(Inputs!$G$5:$G$110="acoes"))*Inputs!$B$1+((Inputs!$G$5:$G$110&lt;&gt;"moeda")*(Inputs!$G$5:$G$110&lt;&gt;"acoes")))*INDEX(Inputs!$K$5:$AJ$110,0,MATCH(AA$2,Inputs!$K$4:$AJ$4,0)))+SUMPRODUCT((Inputs!$C$5:$C$110=$B44)*Inputs!$D$5:$D$110*(((Inputs!$G$5:$G$110="moeda")+(Inputs!$G$5:$G$110="acoes"))*Inputs!$B$1+((Inputs!$G$5:$G$110&lt;&gt;"moeda")*(Inputs!$G$5:$G$110&lt;&gt;"acoes")))*INDEX(Inputs!$K$5:$AJ$110,0,MATCH(AA$2,Inputs!$K$4:$AJ$4,0)))+SUMPRODUCT((Inputs!$E$5:$E$110=$B44)*Inputs!$F$5:$F$110*(((Inputs!$G$5:$G$110="moeda")+(Inputs!$G$5:$G$110="acoes"))*Inputs!$B$1+((Inputs!$G$5:$G$110&lt;&gt;"moeda")*(Inputs!$G$5:$G$110&lt;&gt;"acoes")))*INDEX(Inputs!$K$5:$AJ$110,0,MATCH(AA$2,Inputs!$K$4:$AJ$4,0)))))</f>
        <v>0</v>
      </c>
      <c r="AB44" s="3">
        <f>AA44</f>
        <v>0</v>
      </c>
      <c r="AC44" s="6">
        <f>IF(ISNA(MATCH(AC$2,Inputs!$K$4:$AJ$4,0)),NA(),IF(SUMPRODUCT((Inputs!$A$5:$A$110=$B44)*ISNUMBER(INDEX(Inputs!$K$5:$AJ$110,0,MATCH(AC$2,Inputs!$K$4:$AJ$4,0))))+SUMPRODUCT((Inputs!$C$5:$C$110=$B44)*ISNUMBER(INDEX(Inputs!$K$5:$AJ$110,0,MATCH(AC$2,Inputs!$K$4:$AJ$4,0))))+SUMPRODUCT((Inputs!$E$5:$E$110=$B44)*ISNUMBER(INDEX(Inputs!$K$5:$AJ$110,0,MATCH(AC$2,Inputs!$K$4:$AJ$4,0))))=0,NA(),SUMPRODUCT((Inputs!$A$5:$A$110=$B44)*Inputs!$B$5:$B$110*(((Inputs!$G$5:$G$110="moeda")+(Inputs!$G$5:$G$110="acoes"))*Inputs!$B$1+((Inputs!$G$5:$G$110&lt;&gt;"moeda")*(Inputs!$G$5:$G$110&lt;&gt;"acoes")))*INDEX(Inputs!$K$5:$AJ$110,0,MATCH(AC$2,Inputs!$K$4:$AJ$4,0)))+SUMPRODUCT((Inputs!$C$5:$C$110=$B44)*Inputs!$D$5:$D$110*(((Inputs!$G$5:$G$110="moeda")+(Inputs!$G$5:$G$110="acoes"))*Inputs!$B$1+((Inputs!$G$5:$G$110&lt;&gt;"moeda")*(Inputs!$G$5:$G$110&lt;&gt;"acoes")))*INDEX(Inputs!$K$5:$AJ$110,0,MATCH(AC$2,Inputs!$K$4:$AJ$4,0)))+SUMPRODUCT((Inputs!$E$5:$E$110=$B44)*Inputs!$F$5:$F$110*(((Inputs!$G$5:$G$110="moeda")+(Inputs!$G$5:$G$110="acoes"))*Inputs!$B$1+((Inputs!$G$5:$G$110&lt;&gt;"moeda")*(Inputs!$G$5:$G$110&lt;&gt;"acoes")))*INDEX(Inputs!$K$5:$AJ$110,0,MATCH(AC$2,Inputs!$K$4:$AJ$4,0)))))</f>
        <v>0</v>
      </c>
      <c r="AD44" s="6">
        <f>IF(ISNA(MATCH(AD$2,Inputs!$K$4:$AJ$4,0)),NA(),IF(SUMPRODUCT((Inputs!$A$5:$A$110=$B44)*ISNUMBER(INDEX(Inputs!$K$5:$AJ$110,0,MATCH(AD$2,Inputs!$K$4:$AJ$4,0))))+SUMPRODUCT((Inputs!$C$5:$C$110=$B44)*ISNUMBER(INDEX(Inputs!$K$5:$AJ$110,0,MATCH(AD$2,Inputs!$K$4:$AJ$4,0))))+SUMPRODUCT((Inputs!$E$5:$E$110=$B44)*ISNUMBER(INDEX(Inputs!$K$5:$AJ$110,0,MATCH(AD$2,Inputs!$K$4:$AJ$4,0))))=0,NA(),SUMPRODUCT((Inputs!$A$5:$A$110=$B44)*Inputs!$B$5:$B$110*(((Inputs!$G$5:$G$110="moeda")+(Inputs!$G$5:$G$110="acoes"))*Inputs!$B$1+((Inputs!$G$5:$G$110&lt;&gt;"moeda")*(Inputs!$G$5:$G$110&lt;&gt;"acoes")))*INDEX(Inputs!$K$5:$AJ$110,0,MATCH(AD$2,Inputs!$K$4:$AJ$4,0)))+SUMPRODUCT((Inputs!$C$5:$C$110=$B44)*Inputs!$D$5:$D$110*(((Inputs!$G$5:$G$110="moeda")+(Inputs!$G$5:$G$110="acoes"))*Inputs!$B$1+((Inputs!$G$5:$G$110&lt;&gt;"moeda")*(Inputs!$G$5:$G$110&lt;&gt;"acoes")))*INDEX(Inputs!$K$5:$AJ$110,0,MATCH(AD$2,Inputs!$K$4:$AJ$4,0)))+SUMPRODUCT((Inputs!$E$5:$E$110=$B44)*Inputs!$F$5:$F$110*(((Inputs!$G$5:$G$110="moeda")+(Inputs!$G$5:$G$110="acoes"))*Inputs!$B$1+((Inputs!$G$5:$G$110&lt;&gt;"moeda")*(Inputs!$G$5:$G$110&lt;&gt;"acoes")))*INDEX(Inputs!$K$5:$AJ$110,0,MATCH(AD$2,Inputs!$K$4:$AJ$4,0)))))</f>
        <v>0</v>
      </c>
      <c r="AE44" s="6" t="e">
        <f>IF(ISNA(MATCH(AE$2,Inputs!$K$4:$AJ$4,0)),NA(),IF(SUMPRODUCT((Inputs!$A$5:$A$110=$B44)*ISNUMBER(INDEX(Inputs!$K$5:$AJ$110,0,MATCH(AE$2,Inputs!$K$4:$AJ$4,0))))+SUMPRODUCT((Inputs!$C$5:$C$110=$B44)*ISNUMBER(INDEX(Inputs!$K$5:$AJ$110,0,MATCH(AE$2,Inputs!$K$4:$AJ$4,0))))+SUMPRODUCT((Inputs!$E$5:$E$110=$B44)*ISNUMBER(INDEX(Inputs!$K$5:$AJ$110,0,MATCH(AE$2,Inputs!$K$4:$AJ$4,0))))=0,NA(),SUMPRODUCT((Inputs!$A$5:$A$110=$B44)*Inputs!$B$5:$B$110*(((Inputs!$G$5:$G$110="moeda")+(Inputs!$G$5:$G$110="acoes"))*Inputs!$B$1+((Inputs!$G$5:$G$110&lt;&gt;"moeda")*(Inputs!$G$5:$G$110&lt;&gt;"acoes")))*INDEX(Inputs!$K$5:$AJ$110,0,MATCH(AE$2,Inputs!$K$4:$AJ$4,0)))+SUMPRODUCT((Inputs!$C$5:$C$110=$B44)*Inputs!$D$5:$D$110*(((Inputs!$G$5:$G$110="moeda")+(Inputs!$G$5:$G$110="acoes"))*Inputs!$B$1+((Inputs!$G$5:$G$110&lt;&gt;"moeda")*(Inputs!$G$5:$G$110&lt;&gt;"acoes")))*INDEX(Inputs!$K$5:$AJ$110,0,MATCH(AE$2,Inputs!$K$4:$AJ$4,0)))+SUMPRODUCT((Inputs!$E$5:$E$110=$B44)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4" s="6" t="e">
        <f>IF(ISNA(MATCH(AF$2,Inputs!$K$4:$AJ$4,0)),NA(),IF(SUMPRODUCT((Inputs!$A$5:$A$110=$B44)*ISNUMBER(INDEX(Inputs!$K$5:$AJ$110,0,MATCH(AF$2,Inputs!$K$4:$AJ$4,0))))+SUMPRODUCT((Inputs!$C$5:$C$110=$B44)*ISNUMBER(INDEX(Inputs!$K$5:$AJ$110,0,MATCH(AF$2,Inputs!$K$4:$AJ$4,0))))+SUMPRODUCT((Inputs!$E$5:$E$110=$B44)*ISNUMBER(INDEX(Inputs!$K$5:$AJ$110,0,MATCH(AF$2,Inputs!$K$4:$AJ$4,0))))=0,NA(),SUMPRODUCT((Inputs!$A$5:$A$110=$B44)*Inputs!$B$5:$B$110*(((Inputs!$G$5:$G$110="moeda")+(Inputs!$G$5:$G$110="acoes"))*Inputs!$B$1+((Inputs!$G$5:$G$110&lt;&gt;"moeda")*(Inputs!$G$5:$G$110&lt;&gt;"acoes")))*INDEX(Inputs!$K$5:$AJ$110,0,MATCH(AF$2,Inputs!$K$4:$AJ$4,0)))+SUMPRODUCT((Inputs!$C$5:$C$110=$B44)*Inputs!$D$5:$D$110*(((Inputs!$G$5:$G$110="moeda")+(Inputs!$G$5:$G$110="acoes"))*Inputs!$B$1+((Inputs!$G$5:$G$110&lt;&gt;"moeda")*(Inputs!$G$5:$G$110&lt;&gt;"acoes")))*INDEX(Inputs!$K$5:$AJ$110,0,MATCH(AF$2,Inputs!$K$4:$AJ$4,0)))+SUMPRODUCT((Inputs!$E$5:$E$110=$B44)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4" s="3" t="e">
        <f>AF44</f>
        <v>#N/A</v>
      </c>
      <c r="AH44" s="6">
        <f>IF(ISNA(MATCH(AH$2,Inputs!$K$4:$AJ$4,0)),NA(),IF(SUMPRODUCT((Inputs!$A$5:$A$110=$B44)*ISNUMBER(INDEX(Inputs!$K$5:$AJ$110,0,MATCH(AH$2,Inputs!$K$4:$AJ$4,0))))+SUMPRODUCT((Inputs!$C$5:$C$110=$B44)*ISNUMBER(INDEX(Inputs!$K$5:$AJ$110,0,MATCH(AH$2,Inputs!$K$4:$AJ$4,0))))+SUMPRODUCT((Inputs!$E$5:$E$110=$B44)*ISNUMBER(INDEX(Inputs!$K$5:$AJ$110,0,MATCH(AH$2,Inputs!$K$4:$AJ$4,0))))=0,NA(),SUMPRODUCT((Inputs!$A$5:$A$110=$B44)*Inputs!$B$5:$B$110*(((Inputs!$G$5:$G$110="moeda")+(Inputs!$G$5:$G$110="acoes"))*Inputs!$B$1+((Inputs!$G$5:$G$110&lt;&gt;"moeda")*(Inputs!$G$5:$G$110&lt;&gt;"acoes")))*INDEX(Inputs!$K$5:$AJ$110,0,MATCH(AH$2,Inputs!$K$4:$AJ$4,0)))+SUMPRODUCT((Inputs!$C$5:$C$110=$B44)*Inputs!$D$5:$D$110*(((Inputs!$G$5:$G$110="moeda")+(Inputs!$G$5:$G$110="acoes"))*Inputs!$B$1+((Inputs!$G$5:$G$110&lt;&gt;"moeda")*(Inputs!$G$5:$G$110&lt;&gt;"acoes")))*INDEX(Inputs!$K$5:$AJ$110,0,MATCH(AH$2,Inputs!$K$4:$AJ$4,0)))+SUMPRODUCT((Inputs!$E$5:$E$110=$B44)*Inputs!$F$5:$F$110*(((Inputs!$G$5:$G$110="moeda")+(Inputs!$G$5:$G$110="acoes"))*Inputs!$B$1+((Inputs!$G$5:$G$110&lt;&gt;"moeda")*(Inputs!$G$5:$G$110&lt;&gt;"acoes")))*INDEX(Inputs!$K$5:$AJ$110,0,MATCH(AH$2,Inputs!$K$4:$AJ$4,0)))))</f>
        <v>0</v>
      </c>
      <c r="AI44" s="6">
        <f>IF(ISNA(MATCH(AI$2,Inputs!$K$4:$AJ$4,0)),NA(),IF(SUMPRODUCT((Inputs!$A$5:$A$110=$B44)*ISNUMBER(INDEX(Inputs!$K$5:$AJ$110,0,MATCH(AI$2,Inputs!$K$4:$AJ$4,0))))+SUMPRODUCT((Inputs!$C$5:$C$110=$B44)*ISNUMBER(INDEX(Inputs!$K$5:$AJ$110,0,MATCH(AI$2,Inputs!$K$4:$AJ$4,0))))+SUMPRODUCT((Inputs!$E$5:$E$110=$B44)*ISNUMBER(INDEX(Inputs!$K$5:$AJ$110,0,MATCH(AI$2,Inputs!$K$4:$AJ$4,0))))=0,NA(),SUMPRODUCT((Inputs!$A$5:$A$110=$B44)*Inputs!$B$5:$B$110*(((Inputs!$G$5:$G$110="moeda")+(Inputs!$G$5:$G$110="acoes"))*Inputs!$B$1+((Inputs!$G$5:$G$110&lt;&gt;"moeda")*(Inputs!$G$5:$G$110&lt;&gt;"acoes")))*INDEX(Inputs!$K$5:$AJ$110,0,MATCH(AI$2,Inputs!$K$4:$AJ$4,0)))+SUMPRODUCT((Inputs!$C$5:$C$110=$B44)*Inputs!$D$5:$D$110*(((Inputs!$G$5:$G$110="moeda")+(Inputs!$G$5:$G$110="acoes"))*Inputs!$B$1+((Inputs!$G$5:$G$110&lt;&gt;"moeda")*(Inputs!$G$5:$G$110&lt;&gt;"acoes")))*INDEX(Inputs!$K$5:$AJ$110,0,MATCH(AI$2,Inputs!$K$4:$AJ$4,0)))+SUMPRODUCT((Inputs!$E$5:$E$110=$B44)*Inputs!$F$5:$F$110*(((Inputs!$G$5:$G$110="moeda")+(Inputs!$G$5:$G$110="acoes"))*Inputs!$B$1+((Inputs!$G$5:$G$110&lt;&gt;"moeda")*(Inputs!$G$5:$G$110&lt;&gt;"acoes")))*INDEX(Inputs!$K$5:$AJ$110,0,MATCH(AI$2,Inputs!$K$4:$AJ$4,0)))))</f>
        <v>0</v>
      </c>
      <c r="AJ44" s="6">
        <f>IF(ISNA(MATCH(AJ$2,Inputs!$K$4:$AJ$4,0)),NA(),IF(SUMPRODUCT((Inputs!$A$5:$A$110=$B44)*ISNUMBER(INDEX(Inputs!$K$5:$AJ$110,0,MATCH(AJ$2,Inputs!$K$4:$AJ$4,0))))+SUMPRODUCT((Inputs!$C$5:$C$110=$B44)*ISNUMBER(INDEX(Inputs!$K$5:$AJ$110,0,MATCH(AJ$2,Inputs!$K$4:$AJ$4,0))))+SUMPRODUCT((Inputs!$E$5:$E$110=$B44)*ISNUMBER(INDEX(Inputs!$K$5:$AJ$110,0,MATCH(AJ$2,Inputs!$K$4:$AJ$4,0))))=0,NA(),SUMPRODUCT((Inputs!$A$5:$A$110=$B44)*Inputs!$B$5:$B$110*(((Inputs!$G$5:$G$110="moeda")+(Inputs!$G$5:$G$110="acoes"))*Inputs!$B$1+((Inputs!$G$5:$G$110&lt;&gt;"moeda")*(Inputs!$G$5:$G$110&lt;&gt;"acoes")))*INDEX(Inputs!$K$5:$AJ$110,0,MATCH(AJ$2,Inputs!$K$4:$AJ$4,0)))+SUMPRODUCT((Inputs!$C$5:$C$110=$B44)*Inputs!$D$5:$D$110*(((Inputs!$G$5:$G$110="moeda")+(Inputs!$G$5:$G$110="acoes"))*Inputs!$B$1+((Inputs!$G$5:$G$110&lt;&gt;"moeda")*(Inputs!$G$5:$G$110&lt;&gt;"acoes")))*INDEX(Inputs!$K$5:$AJ$110,0,MATCH(AJ$2,Inputs!$K$4:$AJ$4,0)))+SUMPRODUCT((Inputs!$E$5:$E$110=$B44)*Inputs!$F$5:$F$110*(((Inputs!$G$5:$G$110="moeda")+(Inputs!$G$5:$G$110="acoes"))*Inputs!$B$1+((Inputs!$G$5:$G$110&lt;&gt;"moeda")*(Inputs!$G$5:$G$110&lt;&gt;"acoes")))*INDEX(Inputs!$K$5:$AJ$110,0,MATCH(AJ$2,Inputs!$K$4:$AJ$4,0)))))</f>
        <v>0</v>
      </c>
      <c r="AK44" s="6">
        <f>IF(ISNA(MATCH(AK$2,Inputs!$K$4:$AJ$4,0)),NA(),IF(SUMPRODUCT((Inputs!$A$5:$A$110=$B44)*ISNUMBER(INDEX(Inputs!$K$5:$AJ$110,0,MATCH(AK$2,Inputs!$K$4:$AJ$4,0))))+SUMPRODUCT((Inputs!$C$5:$C$110=$B44)*ISNUMBER(INDEX(Inputs!$K$5:$AJ$110,0,MATCH(AK$2,Inputs!$K$4:$AJ$4,0))))+SUMPRODUCT((Inputs!$E$5:$E$110=$B44)*ISNUMBER(INDEX(Inputs!$K$5:$AJ$110,0,MATCH(AK$2,Inputs!$K$4:$AJ$4,0))))=0,NA(),SUMPRODUCT((Inputs!$A$5:$A$110=$B44)*Inputs!$B$5:$B$110*(((Inputs!$G$5:$G$110="moeda")+(Inputs!$G$5:$G$110="acoes"))*Inputs!$B$1+((Inputs!$G$5:$G$110&lt;&gt;"moeda")*(Inputs!$G$5:$G$110&lt;&gt;"acoes")))*INDEX(Inputs!$K$5:$AJ$110,0,MATCH(AK$2,Inputs!$K$4:$AJ$4,0)))+SUMPRODUCT((Inputs!$C$5:$C$110=$B44)*Inputs!$D$5:$D$110*(((Inputs!$G$5:$G$110="moeda")+(Inputs!$G$5:$G$110="acoes"))*Inputs!$B$1+((Inputs!$G$5:$G$110&lt;&gt;"moeda")*(Inputs!$G$5:$G$110&lt;&gt;"acoes")))*INDEX(Inputs!$K$5:$AJ$110,0,MATCH(AK$2,Inputs!$K$4:$AJ$4,0)))+SUMPRODUCT((Inputs!$E$5:$E$110=$B44)*Inputs!$F$5:$F$110*(((Inputs!$G$5:$G$110="moeda")+(Inputs!$G$5:$G$110="acoes"))*Inputs!$B$1+((Inputs!$G$5:$G$110&lt;&gt;"moeda")*(Inputs!$G$5:$G$110&lt;&gt;"acoes")))*INDEX(Inputs!$K$5:$AJ$110,0,MATCH(AK$2,Inputs!$K$4:$AJ$4,0)))))</f>
        <v>0</v>
      </c>
      <c r="AL44" s="3">
        <f>AK44</f>
        <v>0</v>
      </c>
    </row>
    <row r="45">
      <c r="B45" s="46" t="n">
        <v>39</v>
      </c>
      <c r="C45" s="26" t="inlineStr">
        <is>
          <t>Comprehensive (accumulated) loss</t>
        </is>
      </c>
      <c r="D45" s="6">
        <f>IF(ISNA(MATCH(D$2,Inputs!$K$4:$AJ$4,0)),NA(),IF(SUMPRODUCT((Inputs!$A$5:$A$110=$B45)*ISNUMBER(INDEX(Inputs!$K$5:$AJ$110,0,MATCH(D$2,Inputs!$K$4:$AJ$4,0))))+SUMPRODUCT((Inputs!$C$5:$C$110=$B45)*ISNUMBER(INDEX(Inputs!$K$5:$AJ$110,0,MATCH(D$2,Inputs!$K$4:$AJ$4,0))))+SUMPRODUCT((Inputs!$E$5:$E$110=$B45)*ISNUMBER(INDEX(Inputs!$K$5:$AJ$110,0,MATCH(D$2,Inputs!$K$4:$AJ$4,0))))=0,NA(),SUMPRODUCT((Inputs!$A$5:$A$110=$B45)*Inputs!$B$5:$B$110*(((Inputs!$G$5:$G$110="moeda")+(Inputs!$G$5:$G$110="acoes"))*Inputs!$B$1+((Inputs!$G$5:$G$110&lt;&gt;"moeda")*(Inputs!$G$5:$G$110&lt;&gt;"acoes")))*INDEX(Inputs!$K$5:$AJ$110,0,MATCH(D$2,Inputs!$K$4:$AJ$4,0)))+SUMPRODUCT((Inputs!$C$5:$C$110=$B45)*Inputs!$D$5:$D$110*(((Inputs!$G$5:$G$110="moeda")+(Inputs!$G$5:$G$110="acoes"))*Inputs!$B$1+((Inputs!$G$5:$G$110&lt;&gt;"moeda")*(Inputs!$G$5:$G$110&lt;&gt;"acoes")))*INDEX(Inputs!$K$5:$AJ$110,0,MATCH(D$2,Inputs!$K$4:$AJ$4,0)))+SUMPRODUCT((Inputs!$E$5:$E$110=$B45)*Inputs!$F$5:$F$110*(((Inputs!$G$5:$G$110="moeda")+(Inputs!$G$5:$G$110="acoes"))*Inputs!$B$1+((Inputs!$G$5:$G$110&lt;&gt;"moeda")*(Inputs!$G$5:$G$110&lt;&gt;"acoes")))*INDEX(Inputs!$K$5:$AJ$110,0,MATCH(D$2,Inputs!$K$4:$AJ$4,0)))))</f>
        <v>-106</v>
      </c>
      <c r="E45" s="6">
        <f>IF(ISNA(MATCH(E$2,Inputs!$K$4:$AJ$4,0)),NA(),IF(SUMPRODUCT((Inputs!$A$5:$A$110=$B45)*ISNUMBER(INDEX(Inputs!$K$5:$AJ$110,0,MATCH(E$2,Inputs!$K$4:$AJ$4,0))))+SUMPRODUCT((Inputs!$C$5:$C$110=$B45)*ISNUMBER(INDEX(Inputs!$K$5:$AJ$110,0,MATCH(E$2,Inputs!$K$4:$AJ$4,0))))+SUMPRODUCT((Inputs!$E$5:$E$110=$B45)*ISNUMBER(INDEX(Inputs!$K$5:$AJ$110,0,MATCH(E$2,Inputs!$K$4:$AJ$4,0))))=0,NA(),SUMPRODUCT((Inputs!$A$5:$A$110=$B45)*Inputs!$B$5:$B$110*(((Inputs!$G$5:$G$110="moeda")+(Inputs!$G$5:$G$110="acoes"))*Inputs!$B$1+((Inputs!$G$5:$G$110&lt;&gt;"moeda")*(Inputs!$G$5:$G$110&lt;&gt;"acoes")))*INDEX(Inputs!$K$5:$AJ$110,0,MATCH(E$2,Inputs!$K$4:$AJ$4,0)))+SUMPRODUCT((Inputs!$C$5:$C$110=$B45)*Inputs!$D$5:$D$110*(((Inputs!$G$5:$G$110="moeda")+(Inputs!$G$5:$G$110="acoes"))*Inputs!$B$1+((Inputs!$G$5:$G$110&lt;&gt;"moeda")*(Inputs!$G$5:$G$110&lt;&gt;"acoes")))*INDEX(Inputs!$K$5:$AJ$110,0,MATCH(E$2,Inputs!$K$4:$AJ$4,0)))+SUMPRODUCT((Inputs!$E$5:$E$110=$B45)*Inputs!$F$5:$F$110*(((Inputs!$G$5:$G$110="moeda")+(Inputs!$G$5:$G$110="acoes"))*Inputs!$B$1+((Inputs!$G$5:$G$110&lt;&gt;"moeda")*(Inputs!$G$5:$G$110&lt;&gt;"acoes")))*INDEX(Inputs!$K$5:$AJ$110,0,MATCH(E$2,Inputs!$K$4:$AJ$4,0)))))</f>
        <v>-106</v>
      </c>
      <c r="F45" s="6">
        <f>IF(ISNA(MATCH(F$2,Inputs!$K$4:$AJ$4,0)),NA(),IF(SUMPRODUCT((Inputs!$A$5:$A$110=$B45)*ISNUMBER(INDEX(Inputs!$K$5:$AJ$110,0,MATCH(F$2,Inputs!$K$4:$AJ$4,0))))+SUMPRODUCT((Inputs!$C$5:$C$110=$B45)*ISNUMBER(INDEX(Inputs!$K$5:$AJ$110,0,MATCH(F$2,Inputs!$K$4:$AJ$4,0))))+SUMPRODUCT((Inputs!$E$5:$E$110=$B45)*ISNUMBER(INDEX(Inputs!$K$5:$AJ$110,0,MATCH(F$2,Inputs!$K$4:$AJ$4,0))))=0,NA(),SUMPRODUCT((Inputs!$A$5:$A$110=$B45)*Inputs!$B$5:$B$110*(((Inputs!$G$5:$G$110="moeda")+(Inputs!$G$5:$G$110="acoes"))*Inputs!$B$1+((Inputs!$G$5:$G$110&lt;&gt;"moeda")*(Inputs!$G$5:$G$110&lt;&gt;"acoes")))*INDEX(Inputs!$K$5:$AJ$110,0,MATCH(F$2,Inputs!$K$4:$AJ$4,0)))+SUMPRODUCT((Inputs!$C$5:$C$110=$B45)*Inputs!$D$5:$D$110*(((Inputs!$G$5:$G$110="moeda")+(Inputs!$G$5:$G$110="acoes"))*Inputs!$B$1+((Inputs!$G$5:$G$110&lt;&gt;"moeda")*(Inputs!$G$5:$G$110&lt;&gt;"acoes")))*INDEX(Inputs!$K$5:$AJ$110,0,MATCH(F$2,Inputs!$K$4:$AJ$4,0)))+SUMPRODUCT((Inputs!$E$5:$E$110=$B45)*Inputs!$F$5:$F$110*(((Inputs!$G$5:$G$110="moeda")+(Inputs!$G$5:$G$110="acoes"))*Inputs!$B$1+((Inputs!$G$5:$G$110&lt;&gt;"moeda")*(Inputs!$G$5:$G$110&lt;&gt;"acoes")))*INDEX(Inputs!$K$5:$AJ$110,0,MATCH(F$2,Inputs!$K$4:$AJ$4,0)))))</f>
        <v>-116</v>
      </c>
      <c r="G45" s="6">
        <f>IF(ISNA(MATCH(G$2,Inputs!$K$4:$AJ$4,0)),NA(),IF(SUMPRODUCT((Inputs!$A$5:$A$110=$B45)*ISNUMBER(INDEX(Inputs!$K$5:$AJ$110,0,MATCH(G$2,Inputs!$K$4:$AJ$4,0))))+SUMPRODUCT((Inputs!$C$5:$C$110=$B45)*ISNUMBER(INDEX(Inputs!$K$5:$AJ$110,0,MATCH(G$2,Inputs!$K$4:$AJ$4,0))))+SUMPRODUCT((Inputs!$E$5:$E$110=$B45)*ISNUMBER(INDEX(Inputs!$K$5:$AJ$110,0,MATCH(G$2,Inputs!$K$4:$AJ$4,0))))=0,NA(),SUMPRODUCT((Inputs!$A$5:$A$110=$B45)*Inputs!$B$5:$B$110*(((Inputs!$G$5:$G$110="moeda")+(Inputs!$G$5:$G$110="acoes"))*Inputs!$B$1+((Inputs!$G$5:$G$110&lt;&gt;"moeda")*(Inputs!$G$5:$G$110&lt;&gt;"acoes")))*INDEX(Inputs!$K$5:$AJ$110,0,MATCH(G$2,Inputs!$K$4:$AJ$4,0)))+SUMPRODUCT((Inputs!$C$5:$C$110=$B45)*Inputs!$D$5:$D$110*(((Inputs!$G$5:$G$110="moeda")+(Inputs!$G$5:$G$110="acoes"))*Inputs!$B$1+((Inputs!$G$5:$G$110&lt;&gt;"moeda")*(Inputs!$G$5:$G$110&lt;&gt;"acoes")))*INDEX(Inputs!$K$5:$AJ$110,0,MATCH(G$2,Inputs!$K$4:$AJ$4,0)))+SUMPRODUCT((Inputs!$E$5:$E$110=$B45)*Inputs!$F$5:$F$110*(((Inputs!$G$5:$G$110="moeda")+(Inputs!$G$5:$G$110="acoes"))*Inputs!$B$1+((Inputs!$G$5:$G$110&lt;&gt;"moeda")*(Inputs!$G$5:$G$110&lt;&gt;"acoes")))*INDEX(Inputs!$K$5:$AJ$110,0,MATCH(G$2,Inputs!$K$4:$AJ$4,0)))))</f>
        <v>-115</v>
      </c>
      <c r="H45" s="3">
        <f>G45</f>
        <v>-115</v>
      </c>
      <c r="I45" s="6">
        <f>IF(ISNA(MATCH(I$2,Inputs!$K$4:$AJ$4,0)),NA(),IF(SUMPRODUCT((Inputs!$A$5:$A$110=$B45)*ISNUMBER(INDEX(Inputs!$K$5:$AJ$110,0,MATCH(I$2,Inputs!$K$4:$AJ$4,0))))+SUMPRODUCT((Inputs!$C$5:$C$110=$B45)*ISNUMBER(INDEX(Inputs!$K$5:$AJ$110,0,MATCH(I$2,Inputs!$K$4:$AJ$4,0))))+SUMPRODUCT((Inputs!$E$5:$E$110=$B45)*ISNUMBER(INDEX(Inputs!$K$5:$AJ$110,0,MATCH(I$2,Inputs!$K$4:$AJ$4,0))))=0,NA(),SUMPRODUCT((Inputs!$A$5:$A$110=$B45)*Inputs!$B$5:$B$110*(((Inputs!$G$5:$G$110="moeda")+(Inputs!$G$5:$G$110="acoes"))*Inputs!$B$1+((Inputs!$G$5:$G$110&lt;&gt;"moeda")*(Inputs!$G$5:$G$110&lt;&gt;"acoes")))*INDEX(Inputs!$K$5:$AJ$110,0,MATCH(I$2,Inputs!$K$4:$AJ$4,0)))+SUMPRODUCT((Inputs!$C$5:$C$110=$B45)*Inputs!$D$5:$D$110*(((Inputs!$G$5:$G$110="moeda")+(Inputs!$G$5:$G$110="acoes"))*Inputs!$B$1+((Inputs!$G$5:$G$110&lt;&gt;"moeda")*(Inputs!$G$5:$G$110&lt;&gt;"acoes")))*INDEX(Inputs!$K$5:$AJ$110,0,MATCH(I$2,Inputs!$K$4:$AJ$4,0)))+SUMPRODUCT((Inputs!$E$5:$E$110=$B45)*Inputs!$F$5:$F$110*(((Inputs!$G$5:$G$110="moeda")+(Inputs!$G$5:$G$110="acoes"))*Inputs!$B$1+((Inputs!$G$5:$G$110&lt;&gt;"moeda")*(Inputs!$G$5:$G$110&lt;&gt;"acoes")))*INDEX(Inputs!$K$5:$AJ$110,0,MATCH(I$2,Inputs!$K$4:$AJ$4,0)))))</f>
        <v>-115</v>
      </c>
      <c r="J45" s="6">
        <f>IF(ISNA(MATCH(J$2,Inputs!$K$4:$AJ$4,0)),NA(),IF(SUMPRODUCT((Inputs!$A$5:$A$110=$B45)*ISNUMBER(INDEX(Inputs!$K$5:$AJ$110,0,MATCH(J$2,Inputs!$K$4:$AJ$4,0))))+SUMPRODUCT((Inputs!$C$5:$C$110=$B45)*ISNUMBER(INDEX(Inputs!$K$5:$AJ$110,0,MATCH(J$2,Inputs!$K$4:$AJ$4,0))))+SUMPRODUCT((Inputs!$E$5:$E$110=$B45)*ISNUMBER(INDEX(Inputs!$K$5:$AJ$110,0,MATCH(J$2,Inputs!$K$4:$AJ$4,0))))=0,NA(),SUMPRODUCT((Inputs!$A$5:$A$110=$B45)*Inputs!$B$5:$B$110*(((Inputs!$G$5:$G$110="moeda")+(Inputs!$G$5:$G$110="acoes"))*Inputs!$B$1+((Inputs!$G$5:$G$110&lt;&gt;"moeda")*(Inputs!$G$5:$G$110&lt;&gt;"acoes")))*INDEX(Inputs!$K$5:$AJ$110,0,MATCH(J$2,Inputs!$K$4:$AJ$4,0)))+SUMPRODUCT((Inputs!$C$5:$C$110=$B45)*Inputs!$D$5:$D$110*(((Inputs!$G$5:$G$110="moeda")+(Inputs!$G$5:$G$110="acoes"))*Inputs!$B$1+((Inputs!$G$5:$G$110&lt;&gt;"moeda")*(Inputs!$G$5:$G$110&lt;&gt;"acoes")))*INDEX(Inputs!$K$5:$AJ$110,0,MATCH(J$2,Inputs!$K$4:$AJ$4,0)))+SUMPRODUCT((Inputs!$E$5:$E$110=$B45)*Inputs!$F$5:$F$110*(((Inputs!$G$5:$G$110="moeda")+(Inputs!$G$5:$G$110="acoes"))*Inputs!$B$1+((Inputs!$G$5:$G$110&lt;&gt;"moeda")*(Inputs!$G$5:$G$110&lt;&gt;"acoes")))*INDEX(Inputs!$K$5:$AJ$110,0,MATCH(J$2,Inputs!$K$4:$AJ$4,0)))))</f>
        <v>-114</v>
      </c>
      <c r="K45" s="6">
        <f>IF(ISNA(MATCH(K$2,Inputs!$K$4:$AJ$4,0)),NA(),IF(SUMPRODUCT((Inputs!$A$5:$A$110=$B45)*ISNUMBER(INDEX(Inputs!$K$5:$AJ$110,0,MATCH(K$2,Inputs!$K$4:$AJ$4,0))))+SUMPRODUCT((Inputs!$C$5:$C$110=$B45)*ISNUMBER(INDEX(Inputs!$K$5:$AJ$110,0,MATCH(K$2,Inputs!$K$4:$AJ$4,0))))+SUMPRODUCT((Inputs!$E$5:$E$110=$B45)*ISNUMBER(INDEX(Inputs!$K$5:$AJ$110,0,MATCH(K$2,Inputs!$K$4:$AJ$4,0))))=0,NA(),SUMPRODUCT((Inputs!$A$5:$A$110=$B45)*Inputs!$B$5:$B$110*(((Inputs!$G$5:$G$110="moeda")+(Inputs!$G$5:$G$110="acoes"))*Inputs!$B$1+((Inputs!$G$5:$G$110&lt;&gt;"moeda")*(Inputs!$G$5:$G$110&lt;&gt;"acoes")))*INDEX(Inputs!$K$5:$AJ$110,0,MATCH(K$2,Inputs!$K$4:$AJ$4,0)))+SUMPRODUCT((Inputs!$C$5:$C$110=$B45)*Inputs!$D$5:$D$110*(((Inputs!$G$5:$G$110="moeda")+(Inputs!$G$5:$G$110="acoes"))*Inputs!$B$1+((Inputs!$G$5:$G$110&lt;&gt;"moeda")*(Inputs!$G$5:$G$110&lt;&gt;"acoes")))*INDEX(Inputs!$K$5:$AJ$110,0,MATCH(K$2,Inputs!$K$4:$AJ$4,0)))+SUMPRODUCT((Inputs!$E$5:$E$110=$B45)*Inputs!$F$5:$F$110*(((Inputs!$G$5:$G$110="moeda")+(Inputs!$G$5:$G$110="acoes"))*Inputs!$B$1+((Inputs!$G$5:$G$110&lt;&gt;"moeda")*(Inputs!$G$5:$G$110&lt;&gt;"acoes")))*INDEX(Inputs!$K$5:$AJ$110,0,MATCH(K$2,Inputs!$K$4:$AJ$4,0)))))</f>
        <v>-54</v>
      </c>
      <c r="L45" s="6">
        <f>IF(ISNA(MATCH(L$2,Inputs!$K$4:$AJ$4,0)),NA(),IF(SUMPRODUCT((Inputs!$A$5:$A$110=$B45)*ISNUMBER(INDEX(Inputs!$K$5:$AJ$110,0,MATCH(L$2,Inputs!$K$4:$AJ$4,0))))+SUMPRODUCT((Inputs!$C$5:$C$110=$B45)*ISNUMBER(INDEX(Inputs!$K$5:$AJ$110,0,MATCH(L$2,Inputs!$K$4:$AJ$4,0))))+SUMPRODUCT((Inputs!$E$5:$E$110=$B45)*ISNUMBER(INDEX(Inputs!$K$5:$AJ$110,0,MATCH(L$2,Inputs!$K$4:$AJ$4,0))))=0,NA(),SUMPRODUCT((Inputs!$A$5:$A$110=$B45)*Inputs!$B$5:$B$110*(((Inputs!$G$5:$G$110="moeda")+(Inputs!$G$5:$G$110="acoes"))*Inputs!$B$1+((Inputs!$G$5:$G$110&lt;&gt;"moeda")*(Inputs!$G$5:$G$110&lt;&gt;"acoes")))*INDEX(Inputs!$K$5:$AJ$110,0,MATCH(L$2,Inputs!$K$4:$AJ$4,0)))+SUMPRODUCT((Inputs!$C$5:$C$110=$B45)*Inputs!$D$5:$D$110*(((Inputs!$G$5:$G$110="moeda")+(Inputs!$G$5:$G$110="acoes"))*Inputs!$B$1+((Inputs!$G$5:$G$110&lt;&gt;"moeda")*(Inputs!$G$5:$G$110&lt;&gt;"acoes")))*INDEX(Inputs!$K$5:$AJ$110,0,MATCH(L$2,Inputs!$K$4:$AJ$4,0)))+SUMPRODUCT((Inputs!$E$5:$E$110=$B45)*Inputs!$F$5:$F$110*(((Inputs!$G$5:$G$110="moeda")+(Inputs!$G$5:$G$110="acoes"))*Inputs!$B$1+((Inputs!$G$5:$G$110&lt;&gt;"moeda")*(Inputs!$G$5:$G$110&lt;&gt;"acoes")))*INDEX(Inputs!$K$5:$AJ$110,0,MATCH(L$2,Inputs!$K$4:$AJ$4,0)))))</f>
        <v>-180</v>
      </c>
      <c r="M45" s="3">
        <f>L45</f>
        <v>-180</v>
      </c>
      <c r="N45" s="6">
        <f>IF(ISNA(MATCH(N$2,Inputs!$K$4:$AJ$4,0)),NA(),IF(SUMPRODUCT((Inputs!$A$5:$A$110=$B45)*ISNUMBER(INDEX(Inputs!$K$5:$AJ$110,0,MATCH(N$2,Inputs!$K$4:$AJ$4,0))))+SUMPRODUCT((Inputs!$C$5:$C$110=$B45)*ISNUMBER(INDEX(Inputs!$K$5:$AJ$110,0,MATCH(N$2,Inputs!$K$4:$AJ$4,0))))+SUMPRODUCT((Inputs!$E$5:$E$110=$B45)*ISNUMBER(INDEX(Inputs!$K$5:$AJ$110,0,MATCH(N$2,Inputs!$K$4:$AJ$4,0))))=0,NA(),SUMPRODUCT((Inputs!$A$5:$A$110=$B45)*Inputs!$B$5:$B$110*(((Inputs!$G$5:$G$110="moeda")+(Inputs!$G$5:$G$110="acoes"))*Inputs!$B$1+((Inputs!$G$5:$G$110&lt;&gt;"moeda")*(Inputs!$G$5:$G$110&lt;&gt;"acoes")))*INDEX(Inputs!$K$5:$AJ$110,0,MATCH(N$2,Inputs!$K$4:$AJ$4,0)))+SUMPRODUCT((Inputs!$C$5:$C$110=$B45)*Inputs!$D$5:$D$110*(((Inputs!$G$5:$G$110="moeda")+(Inputs!$G$5:$G$110="acoes"))*Inputs!$B$1+((Inputs!$G$5:$G$110&lt;&gt;"moeda")*(Inputs!$G$5:$G$110&lt;&gt;"acoes")))*INDEX(Inputs!$K$5:$AJ$110,0,MATCH(N$2,Inputs!$K$4:$AJ$4,0)))+SUMPRODUCT((Inputs!$E$5:$E$110=$B45)*Inputs!$F$5:$F$110*(((Inputs!$G$5:$G$110="moeda")+(Inputs!$G$5:$G$110="acoes"))*Inputs!$B$1+((Inputs!$G$5:$G$110&lt;&gt;"moeda")*(Inputs!$G$5:$G$110&lt;&gt;"acoes")))*INDEX(Inputs!$K$5:$AJ$110,0,MATCH(N$2,Inputs!$K$4:$AJ$4,0)))))</f>
        <v>-182</v>
      </c>
      <c r="O45" s="6">
        <f>IF(ISNA(MATCH(O$2,Inputs!$K$4:$AJ$4,0)),NA(),IF(SUMPRODUCT((Inputs!$A$5:$A$110=$B45)*ISNUMBER(INDEX(Inputs!$K$5:$AJ$110,0,MATCH(O$2,Inputs!$K$4:$AJ$4,0))))+SUMPRODUCT((Inputs!$C$5:$C$110=$B45)*ISNUMBER(INDEX(Inputs!$K$5:$AJ$110,0,MATCH(O$2,Inputs!$K$4:$AJ$4,0))))+SUMPRODUCT((Inputs!$E$5:$E$110=$B45)*ISNUMBER(INDEX(Inputs!$K$5:$AJ$110,0,MATCH(O$2,Inputs!$K$4:$AJ$4,0))))=0,NA(),SUMPRODUCT((Inputs!$A$5:$A$110=$B45)*Inputs!$B$5:$B$110*(((Inputs!$G$5:$G$110="moeda")+(Inputs!$G$5:$G$110="acoes"))*Inputs!$B$1+((Inputs!$G$5:$G$110&lt;&gt;"moeda")*(Inputs!$G$5:$G$110&lt;&gt;"acoes")))*INDEX(Inputs!$K$5:$AJ$110,0,MATCH(O$2,Inputs!$K$4:$AJ$4,0)))+SUMPRODUCT((Inputs!$C$5:$C$110=$B45)*Inputs!$D$5:$D$110*(((Inputs!$G$5:$G$110="moeda")+(Inputs!$G$5:$G$110="acoes"))*Inputs!$B$1+((Inputs!$G$5:$G$110&lt;&gt;"moeda")*(Inputs!$G$5:$G$110&lt;&gt;"acoes")))*INDEX(Inputs!$K$5:$AJ$110,0,MATCH(O$2,Inputs!$K$4:$AJ$4,0)))+SUMPRODUCT((Inputs!$E$5:$E$110=$B45)*Inputs!$F$5:$F$110*(((Inputs!$G$5:$G$110="moeda")+(Inputs!$G$5:$G$110="acoes"))*Inputs!$B$1+((Inputs!$G$5:$G$110&lt;&gt;"moeda")*(Inputs!$G$5:$G$110&lt;&gt;"acoes")))*INDEX(Inputs!$K$5:$AJ$110,0,MATCH(O$2,Inputs!$K$4:$AJ$4,0)))))</f>
        <v>46</v>
      </c>
      <c r="P45" s="6">
        <f>IF(ISNA(MATCH(P$2,Inputs!$K$4:$AJ$4,0)),NA(),IF(SUMPRODUCT((Inputs!$A$5:$A$110=$B45)*ISNUMBER(INDEX(Inputs!$K$5:$AJ$110,0,MATCH(P$2,Inputs!$K$4:$AJ$4,0))))+SUMPRODUCT((Inputs!$C$5:$C$110=$B45)*ISNUMBER(INDEX(Inputs!$K$5:$AJ$110,0,MATCH(P$2,Inputs!$K$4:$AJ$4,0))))+SUMPRODUCT((Inputs!$E$5:$E$110=$B45)*ISNUMBER(INDEX(Inputs!$K$5:$AJ$110,0,MATCH(P$2,Inputs!$K$4:$AJ$4,0))))=0,NA(),SUMPRODUCT((Inputs!$A$5:$A$110=$B45)*Inputs!$B$5:$B$110*(((Inputs!$G$5:$G$110="moeda")+(Inputs!$G$5:$G$110="acoes"))*Inputs!$B$1+((Inputs!$G$5:$G$110&lt;&gt;"moeda")*(Inputs!$G$5:$G$110&lt;&gt;"acoes")))*INDEX(Inputs!$K$5:$AJ$110,0,MATCH(P$2,Inputs!$K$4:$AJ$4,0)))+SUMPRODUCT((Inputs!$C$5:$C$110=$B45)*Inputs!$D$5:$D$110*(((Inputs!$G$5:$G$110="moeda")+(Inputs!$G$5:$G$110="acoes"))*Inputs!$B$1+((Inputs!$G$5:$G$110&lt;&gt;"moeda")*(Inputs!$G$5:$G$110&lt;&gt;"acoes")))*INDEX(Inputs!$K$5:$AJ$110,0,MATCH(P$2,Inputs!$K$4:$AJ$4,0)))+SUMPRODUCT((Inputs!$E$5:$E$110=$B45)*Inputs!$F$5:$F$110*(((Inputs!$G$5:$G$110="moeda")+(Inputs!$G$5:$G$110="acoes"))*Inputs!$B$1+((Inputs!$G$5:$G$110&lt;&gt;"moeda")*(Inputs!$G$5:$G$110&lt;&gt;"acoes")))*INDEX(Inputs!$K$5:$AJ$110,0,MATCH(P$2,Inputs!$K$4:$AJ$4,0)))))</f>
        <v>207</v>
      </c>
      <c r="Q45" s="6">
        <f>IF(ISNA(MATCH(Q$2,Inputs!$K$4:$AJ$4,0)),NA(),IF(SUMPRODUCT((Inputs!$A$5:$A$110=$B45)*ISNUMBER(INDEX(Inputs!$K$5:$AJ$110,0,MATCH(Q$2,Inputs!$K$4:$AJ$4,0))))+SUMPRODUCT((Inputs!$C$5:$C$110=$B45)*ISNUMBER(INDEX(Inputs!$K$5:$AJ$110,0,MATCH(Q$2,Inputs!$K$4:$AJ$4,0))))+SUMPRODUCT((Inputs!$E$5:$E$110=$B45)*ISNUMBER(INDEX(Inputs!$K$5:$AJ$110,0,MATCH(Q$2,Inputs!$K$4:$AJ$4,0))))=0,NA(),SUMPRODUCT((Inputs!$A$5:$A$110=$B45)*Inputs!$B$5:$B$110*(((Inputs!$G$5:$G$110="moeda")+(Inputs!$G$5:$G$110="acoes"))*Inputs!$B$1+((Inputs!$G$5:$G$110&lt;&gt;"moeda")*(Inputs!$G$5:$G$110&lt;&gt;"acoes")))*INDEX(Inputs!$K$5:$AJ$110,0,MATCH(Q$2,Inputs!$K$4:$AJ$4,0)))+SUMPRODUCT((Inputs!$C$5:$C$110=$B45)*Inputs!$D$5:$D$110*(((Inputs!$G$5:$G$110="moeda")+(Inputs!$G$5:$G$110="acoes"))*Inputs!$B$1+((Inputs!$G$5:$G$110&lt;&gt;"moeda")*(Inputs!$G$5:$G$110&lt;&gt;"acoes")))*INDEX(Inputs!$K$5:$AJ$110,0,MATCH(Q$2,Inputs!$K$4:$AJ$4,0)))+SUMPRODUCT((Inputs!$E$5:$E$110=$B45)*Inputs!$F$5:$F$110*(((Inputs!$G$5:$G$110="moeda")+(Inputs!$G$5:$G$110="acoes"))*Inputs!$B$1+((Inputs!$G$5:$G$110&lt;&gt;"moeda")*(Inputs!$G$5:$G$110&lt;&gt;"acoes")))*INDEX(Inputs!$K$5:$AJ$110,0,MATCH(Q$2,Inputs!$K$4:$AJ$4,0)))))</f>
        <v>207</v>
      </c>
      <c r="R45" s="3">
        <f>Q45</f>
        <v>207</v>
      </c>
      <c r="S45" s="6">
        <f>IF(ISNA(MATCH(S$2,Inputs!$K$4:$AJ$4,0)),NA(),IF(SUMPRODUCT((Inputs!$A$5:$A$110=$B45)*ISNUMBER(INDEX(Inputs!$K$5:$AJ$110,0,MATCH(S$2,Inputs!$K$4:$AJ$4,0))))+SUMPRODUCT((Inputs!$C$5:$C$110=$B45)*ISNUMBER(INDEX(Inputs!$K$5:$AJ$110,0,MATCH(S$2,Inputs!$K$4:$AJ$4,0))))+SUMPRODUCT((Inputs!$E$5:$E$110=$B45)*ISNUMBER(INDEX(Inputs!$K$5:$AJ$110,0,MATCH(S$2,Inputs!$K$4:$AJ$4,0))))=0,NA(),SUMPRODUCT((Inputs!$A$5:$A$110=$B45)*Inputs!$B$5:$B$110*(((Inputs!$G$5:$G$110="moeda")+(Inputs!$G$5:$G$110="acoes"))*Inputs!$B$1+((Inputs!$G$5:$G$110&lt;&gt;"moeda")*(Inputs!$G$5:$G$110&lt;&gt;"acoes")))*INDEX(Inputs!$K$5:$AJ$110,0,MATCH(S$2,Inputs!$K$4:$AJ$4,0)))+SUMPRODUCT((Inputs!$C$5:$C$110=$B45)*Inputs!$D$5:$D$110*(((Inputs!$G$5:$G$110="moeda")+(Inputs!$G$5:$G$110="acoes"))*Inputs!$B$1+((Inputs!$G$5:$G$110&lt;&gt;"moeda")*(Inputs!$G$5:$G$110&lt;&gt;"acoes")))*INDEX(Inputs!$K$5:$AJ$110,0,MATCH(S$2,Inputs!$K$4:$AJ$4,0)))+SUMPRODUCT((Inputs!$E$5:$E$110=$B45)*Inputs!$F$5:$F$110*(((Inputs!$G$5:$G$110="moeda")+(Inputs!$G$5:$G$110="acoes"))*Inputs!$B$1+((Inputs!$G$5:$G$110&lt;&gt;"moeda")*(Inputs!$G$5:$G$110&lt;&gt;"acoes")))*INDEX(Inputs!$K$5:$AJ$110,0,MATCH(S$2,Inputs!$K$4:$AJ$4,0)))))</f>
        <v>207</v>
      </c>
      <c r="T45" s="6">
        <f>IF(ISNA(MATCH(T$2,Inputs!$K$4:$AJ$4,0)),NA(),IF(SUMPRODUCT((Inputs!$A$5:$A$110=$B45)*ISNUMBER(INDEX(Inputs!$K$5:$AJ$110,0,MATCH(T$2,Inputs!$K$4:$AJ$4,0))))+SUMPRODUCT((Inputs!$C$5:$C$110=$B45)*ISNUMBER(INDEX(Inputs!$K$5:$AJ$110,0,MATCH(T$2,Inputs!$K$4:$AJ$4,0))))+SUMPRODUCT((Inputs!$E$5:$E$110=$B45)*ISNUMBER(INDEX(Inputs!$K$5:$AJ$110,0,MATCH(T$2,Inputs!$K$4:$AJ$4,0))))=0,NA(),SUMPRODUCT((Inputs!$A$5:$A$110=$B45)*Inputs!$B$5:$B$110*(((Inputs!$G$5:$G$110="moeda")+(Inputs!$G$5:$G$110="acoes"))*Inputs!$B$1+((Inputs!$G$5:$G$110&lt;&gt;"moeda")*(Inputs!$G$5:$G$110&lt;&gt;"acoes")))*INDEX(Inputs!$K$5:$AJ$110,0,MATCH(T$2,Inputs!$K$4:$AJ$4,0)))+SUMPRODUCT((Inputs!$C$5:$C$110=$B45)*Inputs!$D$5:$D$110*(((Inputs!$G$5:$G$110="moeda")+(Inputs!$G$5:$G$110="acoes"))*Inputs!$B$1+((Inputs!$G$5:$G$110&lt;&gt;"moeda")*(Inputs!$G$5:$G$110&lt;&gt;"acoes")))*INDEX(Inputs!$K$5:$AJ$110,0,MATCH(T$2,Inputs!$K$4:$AJ$4,0)))+SUMPRODUCT((Inputs!$E$5:$E$110=$B45)*Inputs!$F$5:$F$110*(((Inputs!$G$5:$G$110="moeda")+(Inputs!$G$5:$G$110="acoes"))*Inputs!$B$1+((Inputs!$G$5:$G$110&lt;&gt;"moeda")*(Inputs!$G$5:$G$110&lt;&gt;"acoes")))*INDEX(Inputs!$K$5:$AJ$110,0,MATCH(T$2,Inputs!$K$4:$AJ$4,0)))))</f>
        <v>208</v>
      </c>
      <c r="U45" s="6">
        <f>IF(ISNA(MATCH(U$2,Inputs!$K$4:$AJ$4,0)),NA(),IF(SUMPRODUCT((Inputs!$A$5:$A$110=$B45)*ISNUMBER(INDEX(Inputs!$K$5:$AJ$110,0,MATCH(U$2,Inputs!$K$4:$AJ$4,0))))+SUMPRODUCT((Inputs!$C$5:$C$110=$B45)*ISNUMBER(INDEX(Inputs!$K$5:$AJ$110,0,MATCH(U$2,Inputs!$K$4:$AJ$4,0))))+SUMPRODUCT((Inputs!$E$5:$E$110=$B45)*ISNUMBER(INDEX(Inputs!$K$5:$AJ$110,0,MATCH(U$2,Inputs!$K$4:$AJ$4,0))))=0,NA(),SUMPRODUCT((Inputs!$A$5:$A$110=$B45)*Inputs!$B$5:$B$110*(((Inputs!$G$5:$G$110="moeda")+(Inputs!$G$5:$G$110="acoes"))*Inputs!$B$1+((Inputs!$G$5:$G$110&lt;&gt;"moeda")*(Inputs!$G$5:$G$110&lt;&gt;"acoes")))*INDEX(Inputs!$K$5:$AJ$110,0,MATCH(U$2,Inputs!$K$4:$AJ$4,0)))+SUMPRODUCT((Inputs!$C$5:$C$110=$B45)*Inputs!$D$5:$D$110*(((Inputs!$G$5:$G$110="moeda")+(Inputs!$G$5:$G$110="acoes"))*Inputs!$B$1+((Inputs!$G$5:$G$110&lt;&gt;"moeda")*(Inputs!$G$5:$G$110&lt;&gt;"acoes")))*INDEX(Inputs!$K$5:$AJ$110,0,MATCH(U$2,Inputs!$K$4:$AJ$4,0)))+SUMPRODUCT((Inputs!$E$5:$E$110=$B45)*Inputs!$F$5:$F$110*(((Inputs!$G$5:$G$110="moeda")+(Inputs!$G$5:$G$110="acoes"))*Inputs!$B$1+((Inputs!$G$5:$G$110&lt;&gt;"moeda")*(Inputs!$G$5:$G$110&lt;&gt;"acoes")))*INDEX(Inputs!$K$5:$AJ$110,0,MATCH(U$2,Inputs!$K$4:$AJ$4,0)))))</f>
        <v>207</v>
      </c>
      <c r="V45" s="6">
        <f>IF(ISNA(MATCH(V$2,Inputs!$K$4:$AJ$4,0)),NA(),IF(SUMPRODUCT((Inputs!$A$5:$A$110=$B45)*ISNUMBER(INDEX(Inputs!$K$5:$AJ$110,0,MATCH(V$2,Inputs!$K$4:$AJ$4,0))))+SUMPRODUCT((Inputs!$C$5:$C$110=$B45)*ISNUMBER(INDEX(Inputs!$K$5:$AJ$110,0,MATCH(V$2,Inputs!$K$4:$AJ$4,0))))+SUMPRODUCT((Inputs!$E$5:$E$110=$B45)*ISNUMBER(INDEX(Inputs!$K$5:$AJ$110,0,MATCH(V$2,Inputs!$K$4:$AJ$4,0))))=0,NA(),SUMPRODUCT((Inputs!$A$5:$A$110=$B45)*Inputs!$B$5:$B$110*(((Inputs!$G$5:$G$110="moeda")+(Inputs!$G$5:$G$110="acoes"))*Inputs!$B$1+((Inputs!$G$5:$G$110&lt;&gt;"moeda")*(Inputs!$G$5:$G$110&lt;&gt;"acoes")))*INDEX(Inputs!$K$5:$AJ$110,0,MATCH(V$2,Inputs!$K$4:$AJ$4,0)))+SUMPRODUCT((Inputs!$C$5:$C$110=$B45)*Inputs!$D$5:$D$110*(((Inputs!$G$5:$G$110="moeda")+(Inputs!$G$5:$G$110="acoes"))*Inputs!$B$1+((Inputs!$G$5:$G$110&lt;&gt;"moeda")*(Inputs!$G$5:$G$110&lt;&gt;"acoes")))*INDEX(Inputs!$K$5:$AJ$110,0,MATCH(V$2,Inputs!$K$4:$AJ$4,0)))+SUMPRODUCT((Inputs!$E$5:$E$110=$B45)*Inputs!$F$5:$F$110*(((Inputs!$G$5:$G$110="moeda")+(Inputs!$G$5:$G$110="acoes"))*Inputs!$B$1+((Inputs!$G$5:$G$110&lt;&gt;"moeda")*(Inputs!$G$5:$G$110&lt;&gt;"acoes")))*INDEX(Inputs!$K$5:$AJ$110,0,MATCH(V$2,Inputs!$K$4:$AJ$4,0)))))</f>
        <v>207</v>
      </c>
      <c r="W45" s="3">
        <f>V45</f>
        <v>207</v>
      </c>
      <c r="X45" s="6">
        <f>IF(ISNA(MATCH(X$2,Inputs!$K$4:$AJ$4,0)),NA(),IF(SUMPRODUCT((Inputs!$A$5:$A$110=$B45)*ISNUMBER(INDEX(Inputs!$K$5:$AJ$110,0,MATCH(X$2,Inputs!$K$4:$AJ$4,0))))+SUMPRODUCT((Inputs!$C$5:$C$110=$B45)*ISNUMBER(INDEX(Inputs!$K$5:$AJ$110,0,MATCH(X$2,Inputs!$K$4:$AJ$4,0))))+SUMPRODUCT((Inputs!$E$5:$E$110=$B45)*ISNUMBER(INDEX(Inputs!$K$5:$AJ$110,0,MATCH(X$2,Inputs!$K$4:$AJ$4,0))))=0,NA(),SUMPRODUCT((Inputs!$A$5:$A$110=$B45)*Inputs!$B$5:$B$110*(((Inputs!$G$5:$G$110="moeda")+(Inputs!$G$5:$G$110="acoes"))*Inputs!$B$1+((Inputs!$G$5:$G$110&lt;&gt;"moeda")*(Inputs!$G$5:$G$110&lt;&gt;"acoes")))*INDEX(Inputs!$K$5:$AJ$110,0,MATCH(X$2,Inputs!$K$4:$AJ$4,0)))+SUMPRODUCT((Inputs!$C$5:$C$110=$B45)*Inputs!$D$5:$D$110*(((Inputs!$G$5:$G$110="moeda")+(Inputs!$G$5:$G$110="acoes"))*Inputs!$B$1+((Inputs!$G$5:$G$110&lt;&gt;"moeda")*(Inputs!$G$5:$G$110&lt;&gt;"acoes")))*INDEX(Inputs!$K$5:$AJ$110,0,MATCH(X$2,Inputs!$K$4:$AJ$4,0)))+SUMPRODUCT((Inputs!$E$5:$E$110=$B45)*Inputs!$F$5:$F$110*(((Inputs!$G$5:$G$110="moeda")+(Inputs!$G$5:$G$110="acoes"))*Inputs!$B$1+((Inputs!$G$5:$G$110&lt;&gt;"moeda")*(Inputs!$G$5:$G$110&lt;&gt;"acoes")))*INDEX(Inputs!$K$5:$AJ$110,0,MATCH(X$2,Inputs!$K$4:$AJ$4,0)))))</f>
        <v>206</v>
      </c>
      <c r="Y45" s="6">
        <f>IF(ISNA(MATCH(Y$2,Inputs!$K$4:$AJ$4,0)),NA(),IF(SUMPRODUCT((Inputs!$A$5:$A$110=$B45)*ISNUMBER(INDEX(Inputs!$K$5:$AJ$110,0,MATCH(Y$2,Inputs!$K$4:$AJ$4,0))))+SUMPRODUCT((Inputs!$C$5:$C$110=$B45)*ISNUMBER(INDEX(Inputs!$K$5:$AJ$110,0,MATCH(Y$2,Inputs!$K$4:$AJ$4,0))))+SUMPRODUCT((Inputs!$E$5:$E$110=$B45)*ISNUMBER(INDEX(Inputs!$K$5:$AJ$110,0,MATCH(Y$2,Inputs!$K$4:$AJ$4,0))))=0,NA(),SUMPRODUCT((Inputs!$A$5:$A$110=$B45)*Inputs!$B$5:$B$110*(((Inputs!$G$5:$G$110="moeda")+(Inputs!$G$5:$G$110="acoes"))*Inputs!$B$1+((Inputs!$G$5:$G$110&lt;&gt;"moeda")*(Inputs!$G$5:$G$110&lt;&gt;"acoes")))*INDEX(Inputs!$K$5:$AJ$110,0,MATCH(Y$2,Inputs!$K$4:$AJ$4,0)))+SUMPRODUCT((Inputs!$C$5:$C$110=$B45)*Inputs!$D$5:$D$110*(((Inputs!$G$5:$G$110="moeda")+(Inputs!$G$5:$G$110="acoes"))*Inputs!$B$1+((Inputs!$G$5:$G$110&lt;&gt;"moeda")*(Inputs!$G$5:$G$110&lt;&gt;"acoes")))*INDEX(Inputs!$K$5:$AJ$110,0,MATCH(Y$2,Inputs!$K$4:$AJ$4,0)))+SUMPRODUCT((Inputs!$E$5:$E$110=$B45)*Inputs!$F$5:$F$110*(((Inputs!$G$5:$G$110="moeda")+(Inputs!$G$5:$G$110="acoes"))*Inputs!$B$1+((Inputs!$G$5:$G$110&lt;&gt;"moeda")*(Inputs!$G$5:$G$110&lt;&gt;"acoes")))*INDEX(Inputs!$K$5:$AJ$110,0,MATCH(Y$2,Inputs!$K$4:$AJ$4,0)))))</f>
        <v>221</v>
      </c>
      <c r="Z45" s="6">
        <f>IF(ISNA(MATCH(Z$2,Inputs!$K$4:$AJ$4,0)),NA(),IF(SUMPRODUCT((Inputs!$A$5:$A$110=$B45)*ISNUMBER(INDEX(Inputs!$K$5:$AJ$110,0,MATCH(Z$2,Inputs!$K$4:$AJ$4,0))))+SUMPRODUCT((Inputs!$C$5:$C$110=$B45)*ISNUMBER(INDEX(Inputs!$K$5:$AJ$110,0,MATCH(Z$2,Inputs!$K$4:$AJ$4,0))))+SUMPRODUCT((Inputs!$E$5:$E$110=$B45)*ISNUMBER(INDEX(Inputs!$K$5:$AJ$110,0,MATCH(Z$2,Inputs!$K$4:$AJ$4,0))))=0,NA(),SUMPRODUCT((Inputs!$A$5:$A$110=$B45)*Inputs!$B$5:$B$110*(((Inputs!$G$5:$G$110="moeda")+(Inputs!$G$5:$G$110="acoes"))*Inputs!$B$1+((Inputs!$G$5:$G$110&lt;&gt;"moeda")*(Inputs!$G$5:$G$110&lt;&gt;"acoes")))*INDEX(Inputs!$K$5:$AJ$110,0,MATCH(Z$2,Inputs!$K$4:$AJ$4,0)))+SUMPRODUCT((Inputs!$C$5:$C$110=$B45)*Inputs!$D$5:$D$110*(((Inputs!$G$5:$G$110="moeda")+(Inputs!$G$5:$G$110="acoes"))*Inputs!$B$1+((Inputs!$G$5:$G$110&lt;&gt;"moeda")*(Inputs!$G$5:$G$110&lt;&gt;"acoes")))*INDEX(Inputs!$K$5:$AJ$110,0,MATCH(Z$2,Inputs!$K$4:$AJ$4,0)))+SUMPRODUCT((Inputs!$E$5:$E$110=$B45)*Inputs!$F$5:$F$110*(((Inputs!$G$5:$G$110="moeda")+(Inputs!$G$5:$G$110="acoes"))*Inputs!$B$1+((Inputs!$G$5:$G$110&lt;&gt;"moeda")*(Inputs!$G$5:$G$110&lt;&gt;"acoes")))*INDEX(Inputs!$K$5:$AJ$110,0,MATCH(Z$2,Inputs!$K$4:$AJ$4,0)))))</f>
        <v>218</v>
      </c>
      <c r="AA45" s="6">
        <f>IF(ISNA(MATCH(AA$2,Inputs!$K$4:$AJ$4,0)),NA(),IF(SUMPRODUCT((Inputs!$A$5:$A$110=$B45)*ISNUMBER(INDEX(Inputs!$K$5:$AJ$110,0,MATCH(AA$2,Inputs!$K$4:$AJ$4,0))))+SUMPRODUCT((Inputs!$C$5:$C$110=$B45)*ISNUMBER(INDEX(Inputs!$K$5:$AJ$110,0,MATCH(AA$2,Inputs!$K$4:$AJ$4,0))))+SUMPRODUCT((Inputs!$E$5:$E$110=$B45)*ISNUMBER(INDEX(Inputs!$K$5:$AJ$110,0,MATCH(AA$2,Inputs!$K$4:$AJ$4,0))))=0,NA(),SUMPRODUCT((Inputs!$A$5:$A$110=$B45)*Inputs!$B$5:$B$110*(((Inputs!$G$5:$G$110="moeda")+(Inputs!$G$5:$G$110="acoes"))*Inputs!$B$1+((Inputs!$G$5:$G$110&lt;&gt;"moeda")*(Inputs!$G$5:$G$110&lt;&gt;"acoes")))*INDEX(Inputs!$K$5:$AJ$110,0,MATCH(AA$2,Inputs!$K$4:$AJ$4,0)))+SUMPRODUCT((Inputs!$C$5:$C$110=$B45)*Inputs!$D$5:$D$110*(((Inputs!$G$5:$G$110="moeda")+(Inputs!$G$5:$G$110="acoes"))*Inputs!$B$1+((Inputs!$G$5:$G$110&lt;&gt;"moeda")*(Inputs!$G$5:$G$110&lt;&gt;"acoes")))*INDEX(Inputs!$K$5:$AJ$110,0,MATCH(AA$2,Inputs!$K$4:$AJ$4,0)))+SUMPRODUCT((Inputs!$E$5:$E$110=$B45)*Inputs!$F$5:$F$110*(((Inputs!$G$5:$G$110="moeda")+(Inputs!$G$5:$G$110="acoes"))*Inputs!$B$1+((Inputs!$G$5:$G$110&lt;&gt;"moeda")*(Inputs!$G$5:$G$110&lt;&gt;"acoes")))*INDEX(Inputs!$K$5:$AJ$110,0,MATCH(AA$2,Inputs!$K$4:$AJ$4,0)))))</f>
        <v>212</v>
      </c>
      <c r="AB45" s="3">
        <f>AA45</f>
        <v>212</v>
      </c>
      <c r="AC45" s="6">
        <f>IF(ISNA(MATCH(AC$2,Inputs!$K$4:$AJ$4,0)),NA(),IF(SUMPRODUCT((Inputs!$A$5:$A$110=$B45)*ISNUMBER(INDEX(Inputs!$K$5:$AJ$110,0,MATCH(AC$2,Inputs!$K$4:$AJ$4,0))))+SUMPRODUCT((Inputs!$C$5:$C$110=$B45)*ISNUMBER(INDEX(Inputs!$K$5:$AJ$110,0,MATCH(AC$2,Inputs!$K$4:$AJ$4,0))))+SUMPRODUCT((Inputs!$E$5:$E$110=$B45)*ISNUMBER(INDEX(Inputs!$K$5:$AJ$110,0,MATCH(AC$2,Inputs!$K$4:$AJ$4,0))))=0,NA(),SUMPRODUCT((Inputs!$A$5:$A$110=$B45)*Inputs!$B$5:$B$110*(((Inputs!$G$5:$G$110="moeda")+(Inputs!$G$5:$G$110="acoes"))*Inputs!$B$1+((Inputs!$G$5:$G$110&lt;&gt;"moeda")*(Inputs!$G$5:$G$110&lt;&gt;"acoes")))*INDEX(Inputs!$K$5:$AJ$110,0,MATCH(AC$2,Inputs!$K$4:$AJ$4,0)))+SUMPRODUCT((Inputs!$C$5:$C$110=$B45)*Inputs!$D$5:$D$110*(((Inputs!$G$5:$G$110="moeda")+(Inputs!$G$5:$G$110="acoes"))*Inputs!$B$1+((Inputs!$G$5:$G$110&lt;&gt;"moeda")*(Inputs!$G$5:$G$110&lt;&gt;"acoes")))*INDEX(Inputs!$K$5:$AJ$110,0,MATCH(AC$2,Inputs!$K$4:$AJ$4,0)))+SUMPRODUCT((Inputs!$E$5:$E$110=$B45)*Inputs!$F$5:$F$110*(((Inputs!$G$5:$G$110="moeda")+(Inputs!$G$5:$G$110="acoes"))*Inputs!$B$1+((Inputs!$G$5:$G$110&lt;&gt;"moeda")*(Inputs!$G$5:$G$110&lt;&gt;"acoes")))*INDEX(Inputs!$K$5:$AJ$110,0,MATCH(AC$2,Inputs!$K$4:$AJ$4,0)))))</f>
        <v>208</v>
      </c>
      <c r="AD45" s="6">
        <f>IF(ISNA(MATCH(AD$2,Inputs!$K$4:$AJ$4,0)),NA(),IF(SUMPRODUCT((Inputs!$A$5:$A$110=$B45)*ISNUMBER(INDEX(Inputs!$K$5:$AJ$110,0,MATCH(AD$2,Inputs!$K$4:$AJ$4,0))))+SUMPRODUCT((Inputs!$C$5:$C$110=$B45)*ISNUMBER(INDEX(Inputs!$K$5:$AJ$110,0,MATCH(AD$2,Inputs!$K$4:$AJ$4,0))))+SUMPRODUCT((Inputs!$E$5:$E$110=$B45)*ISNUMBER(INDEX(Inputs!$K$5:$AJ$110,0,MATCH(AD$2,Inputs!$K$4:$AJ$4,0))))=0,NA(),SUMPRODUCT((Inputs!$A$5:$A$110=$B45)*Inputs!$B$5:$B$110*(((Inputs!$G$5:$G$110="moeda")+(Inputs!$G$5:$G$110="acoes"))*Inputs!$B$1+((Inputs!$G$5:$G$110&lt;&gt;"moeda")*(Inputs!$G$5:$G$110&lt;&gt;"acoes")))*INDEX(Inputs!$K$5:$AJ$110,0,MATCH(AD$2,Inputs!$K$4:$AJ$4,0)))+SUMPRODUCT((Inputs!$C$5:$C$110=$B45)*Inputs!$D$5:$D$110*(((Inputs!$G$5:$G$110="moeda")+(Inputs!$G$5:$G$110="acoes"))*Inputs!$B$1+((Inputs!$G$5:$G$110&lt;&gt;"moeda")*(Inputs!$G$5:$G$110&lt;&gt;"acoes")))*INDEX(Inputs!$K$5:$AJ$110,0,MATCH(AD$2,Inputs!$K$4:$AJ$4,0)))+SUMPRODUCT((Inputs!$E$5:$E$110=$B45)*Inputs!$F$5:$F$110*(((Inputs!$G$5:$G$110="moeda")+(Inputs!$G$5:$G$110="acoes"))*Inputs!$B$1+((Inputs!$G$5:$G$110&lt;&gt;"moeda")*(Inputs!$G$5:$G$110&lt;&gt;"acoes")))*INDEX(Inputs!$K$5:$AJ$110,0,MATCH(AD$2,Inputs!$K$4:$AJ$4,0)))))</f>
        <v>204</v>
      </c>
      <c r="AE45" s="6" t="e">
        <f>IF(ISNA(MATCH(AE$2,Inputs!$K$4:$AJ$4,0)),NA(),IF(SUMPRODUCT((Inputs!$A$5:$A$110=$B45)*ISNUMBER(INDEX(Inputs!$K$5:$AJ$110,0,MATCH(AE$2,Inputs!$K$4:$AJ$4,0))))+SUMPRODUCT((Inputs!$C$5:$C$110=$B45)*ISNUMBER(INDEX(Inputs!$K$5:$AJ$110,0,MATCH(AE$2,Inputs!$K$4:$AJ$4,0))))+SUMPRODUCT((Inputs!$E$5:$E$110=$B45)*ISNUMBER(INDEX(Inputs!$K$5:$AJ$110,0,MATCH(AE$2,Inputs!$K$4:$AJ$4,0))))=0,NA(),SUMPRODUCT((Inputs!$A$5:$A$110=$B45)*Inputs!$B$5:$B$110*(((Inputs!$G$5:$G$110="moeda")+(Inputs!$G$5:$G$110="acoes"))*Inputs!$B$1+((Inputs!$G$5:$G$110&lt;&gt;"moeda")*(Inputs!$G$5:$G$110&lt;&gt;"acoes")))*INDEX(Inputs!$K$5:$AJ$110,0,MATCH(AE$2,Inputs!$K$4:$AJ$4,0)))+SUMPRODUCT((Inputs!$C$5:$C$110=$B45)*Inputs!$D$5:$D$110*(((Inputs!$G$5:$G$110="moeda")+(Inputs!$G$5:$G$110="acoes"))*Inputs!$B$1+((Inputs!$G$5:$G$110&lt;&gt;"moeda")*(Inputs!$G$5:$G$110&lt;&gt;"acoes")))*INDEX(Inputs!$K$5:$AJ$110,0,MATCH(AE$2,Inputs!$K$4:$AJ$4,0)))+SUMPRODUCT((Inputs!$E$5:$E$110=$B45)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5" s="6" t="e">
        <f>IF(ISNA(MATCH(AF$2,Inputs!$K$4:$AJ$4,0)),NA(),IF(SUMPRODUCT((Inputs!$A$5:$A$110=$B45)*ISNUMBER(INDEX(Inputs!$K$5:$AJ$110,0,MATCH(AF$2,Inputs!$K$4:$AJ$4,0))))+SUMPRODUCT((Inputs!$C$5:$C$110=$B45)*ISNUMBER(INDEX(Inputs!$K$5:$AJ$110,0,MATCH(AF$2,Inputs!$K$4:$AJ$4,0))))+SUMPRODUCT((Inputs!$E$5:$E$110=$B45)*ISNUMBER(INDEX(Inputs!$K$5:$AJ$110,0,MATCH(AF$2,Inputs!$K$4:$AJ$4,0))))=0,NA(),SUMPRODUCT((Inputs!$A$5:$A$110=$B45)*Inputs!$B$5:$B$110*(((Inputs!$G$5:$G$110="moeda")+(Inputs!$G$5:$G$110="acoes"))*Inputs!$B$1+((Inputs!$G$5:$G$110&lt;&gt;"moeda")*(Inputs!$G$5:$G$110&lt;&gt;"acoes")))*INDEX(Inputs!$K$5:$AJ$110,0,MATCH(AF$2,Inputs!$K$4:$AJ$4,0)))+SUMPRODUCT((Inputs!$C$5:$C$110=$B45)*Inputs!$D$5:$D$110*(((Inputs!$G$5:$G$110="moeda")+(Inputs!$G$5:$G$110="acoes"))*Inputs!$B$1+((Inputs!$G$5:$G$110&lt;&gt;"moeda")*(Inputs!$G$5:$G$110&lt;&gt;"acoes")))*INDEX(Inputs!$K$5:$AJ$110,0,MATCH(AF$2,Inputs!$K$4:$AJ$4,0)))+SUMPRODUCT((Inputs!$E$5:$E$110=$B45)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5" s="3" t="e">
        <f>AF45</f>
        <v>#N/A</v>
      </c>
      <c r="AH45" s="6">
        <f>IF(ISNA(MATCH(AH$2,Inputs!$K$4:$AJ$4,0)),NA(),IF(SUMPRODUCT((Inputs!$A$5:$A$110=$B45)*ISNUMBER(INDEX(Inputs!$K$5:$AJ$110,0,MATCH(AH$2,Inputs!$K$4:$AJ$4,0))))+SUMPRODUCT((Inputs!$C$5:$C$110=$B45)*ISNUMBER(INDEX(Inputs!$K$5:$AJ$110,0,MATCH(AH$2,Inputs!$K$4:$AJ$4,0))))+SUMPRODUCT((Inputs!$E$5:$E$110=$B45)*ISNUMBER(INDEX(Inputs!$K$5:$AJ$110,0,MATCH(AH$2,Inputs!$K$4:$AJ$4,0))))=0,NA(),SUMPRODUCT((Inputs!$A$5:$A$110=$B45)*Inputs!$B$5:$B$110*(((Inputs!$G$5:$G$110="moeda")+(Inputs!$G$5:$G$110="acoes"))*Inputs!$B$1+((Inputs!$G$5:$G$110&lt;&gt;"moeda")*(Inputs!$G$5:$G$110&lt;&gt;"acoes")))*INDEX(Inputs!$K$5:$AJ$110,0,MATCH(AH$2,Inputs!$K$4:$AJ$4,0)))+SUMPRODUCT((Inputs!$C$5:$C$110=$B45)*Inputs!$D$5:$D$110*(((Inputs!$G$5:$G$110="moeda")+(Inputs!$G$5:$G$110="acoes"))*Inputs!$B$1+((Inputs!$G$5:$G$110&lt;&gt;"moeda")*(Inputs!$G$5:$G$110&lt;&gt;"acoes")))*INDEX(Inputs!$K$5:$AJ$110,0,MATCH(AH$2,Inputs!$K$4:$AJ$4,0)))+SUMPRODUCT((Inputs!$E$5:$E$110=$B45)*Inputs!$F$5:$F$110*(((Inputs!$G$5:$G$110="moeda")+(Inputs!$G$5:$G$110="acoes"))*Inputs!$B$1+((Inputs!$G$5:$G$110&lt;&gt;"moeda")*(Inputs!$G$5:$G$110&lt;&gt;"acoes")))*INDEX(Inputs!$K$5:$AJ$110,0,MATCH(AH$2,Inputs!$K$4:$AJ$4,0)))))</f>
        <v>-131</v>
      </c>
      <c r="AI45" s="6">
        <f>IF(ISNA(MATCH(AI$2,Inputs!$K$4:$AJ$4,0)),NA(),IF(SUMPRODUCT((Inputs!$A$5:$A$110=$B45)*ISNUMBER(INDEX(Inputs!$K$5:$AJ$110,0,MATCH(AI$2,Inputs!$K$4:$AJ$4,0))))+SUMPRODUCT((Inputs!$C$5:$C$110=$B45)*ISNUMBER(INDEX(Inputs!$K$5:$AJ$110,0,MATCH(AI$2,Inputs!$K$4:$AJ$4,0))))+SUMPRODUCT((Inputs!$E$5:$E$110=$B45)*ISNUMBER(INDEX(Inputs!$K$5:$AJ$110,0,MATCH(AI$2,Inputs!$K$4:$AJ$4,0))))=0,NA(),SUMPRODUCT((Inputs!$A$5:$A$110=$B45)*Inputs!$B$5:$B$110*(((Inputs!$G$5:$G$110="moeda")+(Inputs!$G$5:$G$110="acoes"))*Inputs!$B$1+((Inputs!$G$5:$G$110&lt;&gt;"moeda")*(Inputs!$G$5:$G$110&lt;&gt;"acoes")))*INDEX(Inputs!$K$5:$AJ$110,0,MATCH(AI$2,Inputs!$K$4:$AJ$4,0)))+SUMPRODUCT((Inputs!$C$5:$C$110=$B45)*Inputs!$D$5:$D$110*(((Inputs!$G$5:$G$110="moeda")+(Inputs!$G$5:$G$110="acoes"))*Inputs!$B$1+((Inputs!$G$5:$G$110&lt;&gt;"moeda")*(Inputs!$G$5:$G$110&lt;&gt;"acoes")))*INDEX(Inputs!$K$5:$AJ$110,0,MATCH(AI$2,Inputs!$K$4:$AJ$4,0)))+SUMPRODUCT((Inputs!$E$5:$E$110=$B45)*Inputs!$F$5:$F$110*(((Inputs!$G$5:$G$110="moeda")+(Inputs!$G$5:$G$110="acoes"))*Inputs!$B$1+((Inputs!$G$5:$G$110&lt;&gt;"moeda")*(Inputs!$G$5:$G$110&lt;&gt;"acoes")))*INDEX(Inputs!$K$5:$AJ$110,0,MATCH(AI$2,Inputs!$K$4:$AJ$4,0)))))</f>
        <v>-131</v>
      </c>
      <c r="AJ45" s="6">
        <f>IF(ISNA(MATCH(AJ$2,Inputs!$K$4:$AJ$4,0)),NA(),IF(SUMPRODUCT((Inputs!$A$5:$A$110=$B45)*ISNUMBER(INDEX(Inputs!$K$5:$AJ$110,0,MATCH(AJ$2,Inputs!$K$4:$AJ$4,0))))+SUMPRODUCT((Inputs!$C$5:$C$110=$B45)*ISNUMBER(INDEX(Inputs!$K$5:$AJ$110,0,MATCH(AJ$2,Inputs!$K$4:$AJ$4,0))))+SUMPRODUCT((Inputs!$E$5:$E$110=$B45)*ISNUMBER(INDEX(Inputs!$K$5:$AJ$110,0,MATCH(AJ$2,Inputs!$K$4:$AJ$4,0))))=0,NA(),SUMPRODUCT((Inputs!$A$5:$A$110=$B45)*Inputs!$B$5:$B$110*(((Inputs!$G$5:$G$110="moeda")+(Inputs!$G$5:$G$110="acoes"))*Inputs!$B$1+((Inputs!$G$5:$G$110&lt;&gt;"moeda")*(Inputs!$G$5:$G$110&lt;&gt;"acoes")))*INDEX(Inputs!$K$5:$AJ$110,0,MATCH(AJ$2,Inputs!$K$4:$AJ$4,0)))+SUMPRODUCT((Inputs!$C$5:$C$110=$B45)*Inputs!$D$5:$D$110*(((Inputs!$G$5:$G$110="moeda")+(Inputs!$G$5:$G$110="acoes"))*Inputs!$B$1+((Inputs!$G$5:$G$110&lt;&gt;"moeda")*(Inputs!$G$5:$G$110&lt;&gt;"acoes")))*INDEX(Inputs!$K$5:$AJ$110,0,MATCH(AJ$2,Inputs!$K$4:$AJ$4,0)))+SUMPRODUCT((Inputs!$E$5:$E$110=$B45)*Inputs!$F$5:$F$110*(((Inputs!$G$5:$G$110="moeda")+(Inputs!$G$5:$G$110="acoes"))*Inputs!$B$1+((Inputs!$G$5:$G$110&lt;&gt;"moeda")*(Inputs!$G$5:$G$110&lt;&gt;"acoes")))*INDEX(Inputs!$K$5:$AJ$110,0,MATCH(AJ$2,Inputs!$K$4:$AJ$4,0)))))</f>
        <v>-108</v>
      </c>
      <c r="AK45" s="6">
        <f>IF(ISNA(MATCH(AK$2,Inputs!$K$4:$AJ$4,0)),NA(),IF(SUMPRODUCT((Inputs!$A$5:$A$110=$B45)*ISNUMBER(INDEX(Inputs!$K$5:$AJ$110,0,MATCH(AK$2,Inputs!$K$4:$AJ$4,0))))+SUMPRODUCT((Inputs!$C$5:$C$110=$B45)*ISNUMBER(INDEX(Inputs!$K$5:$AJ$110,0,MATCH(AK$2,Inputs!$K$4:$AJ$4,0))))+SUMPRODUCT((Inputs!$E$5:$E$110=$B45)*ISNUMBER(INDEX(Inputs!$K$5:$AJ$110,0,MATCH(AK$2,Inputs!$K$4:$AJ$4,0))))=0,NA(),SUMPRODUCT((Inputs!$A$5:$A$110=$B45)*Inputs!$B$5:$B$110*(((Inputs!$G$5:$G$110="moeda")+(Inputs!$G$5:$G$110="acoes"))*Inputs!$B$1+((Inputs!$G$5:$G$110&lt;&gt;"moeda")*(Inputs!$G$5:$G$110&lt;&gt;"acoes")))*INDEX(Inputs!$K$5:$AJ$110,0,MATCH(AK$2,Inputs!$K$4:$AJ$4,0)))+SUMPRODUCT((Inputs!$C$5:$C$110=$B45)*Inputs!$D$5:$D$110*(((Inputs!$G$5:$G$110="moeda")+(Inputs!$G$5:$G$110="acoes"))*Inputs!$B$1+((Inputs!$G$5:$G$110&lt;&gt;"moeda")*(Inputs!$G$5:$G$110&lt;&gt;"acoes")))*INDEX(Inputs!$K$5:$AJ$110,0,MATCH(AK$2,Inputs!$K$4:$AJ$4,0)))+SUMPRODUCT((Inputs!$E$5:$E$110=$B45)*Inputs!$F$5:$F$110*(((Inputs!$G$5:$G$110="moeda")+(Inputs!$G$5:$G$110="acoes"))*Inputs!$B$1+((Inputs!$G$5:$G$110&lt;&gt;"moeda")*(Inputs!$G$5:$G$110&lt;&gt;"acoes")))*INDEX(Inputs!$K$5:$AJ$110,0,MATCH(AK$2,Inputs!$K$4:$AJ$4,0)))))</f>
        <v>-107</v>
      </c>
      <c r="AL45" s="3">
        <f>AK45</f>
        <v>-107</v>
      </c>
    </row>
    <row r="46">
      <c r="B46" s="46" t="n">
        <v>40</v>
      </c>
      <c r="C46" s="26" t="inlineStr">
        <is>
          <t>Other equity account</t>
        </is>
      </c>
      <c r="D46" s="6">
        <f>IF(ISNA(MATCH(D$2,Inputs!$K$4:$AJ$4,0)),NA(),IF(SUMPRODUCT((Inputs!$A$5:$A$110=$B46)*ISNUMBER(INDEX(Inputs!$K$5:$AJ$110,0,MATCH(D$2,Inputs!$K$4:$AJ$4,0))))+SUMPRODUCT((Inputs!$C$5:$C$110=$B46)*ISNUMBER(INDEX(Inputs!$K$5:$AJ$110,0,MATCH(D$2,Inputs!$K$4:$AJ$4,0))))+SUMPRODUCT((Inputs!$E$5:$E$110=$B46)*ISNUMBER(INDEX(Inputs!$K$5:$AJ$110,0,MATCH(D$2,Inputs!$K$4:$AJ$4,0))))=0,NA(),SUMPRODUCT((Inputs!$A$5:$A$110=$B46)*Inputs!$B$5:$B$110*(((Inputs!$G$5:$G$110="moeda")+(Inputs!$G$5:$G$110="acoes"))*Inputs!$B$1+((Inputs!$G$5:$G$110&lt;&gt;"moeda")*(Inputs!$G$5:$G$110&lt;&gt;"acoes")))*INDEX(Inputs!$K$5:$AJ$110,0,MATCH(D$2,Inputs!$K$4:$AJ$4,0)))+SUMPRODUCT((Inputs!$C$5:$C$110=$B46)*Inputs!$D$5:$D$110*(((Inputs!$G$5:$G$110="moeda")+(Inputs!$G$5:$G$110="acoes"))*Inputs!$B$1+((Inputs!$G$5:$G$110&lt;&gt;"moeda")*(Inputs!$G$5:$G$110&lt;&gt;"acoes")))*INDEX(Inputs!$K$5:$AJ$110,0,MATCH(D$2,Inputs!$K$4:$AJ$4,0)))+SUMPRODUCT((Inputs!$E$5:$E$110=$B46)*Inputs!$F$5:$F$110*(((Inputs!$G$5:$G$110="moeda")+(Inputs!$G$5:$G$110="acoes"))*Inputs!$B$1+((Inputs!$G$5:$G$110&lt;&gt;"moeda")*(Inputs!$G$5:$G$110&lt;&gt;"acoes")))*INDEX(Inputs!$K$5:$AJ$110,0,MATCH(D$2,Inputs!$K$4:$AJ$4,0)))))</f>
        <v>27</v>
      </c>
      <c r="E46" s="6">
        <f>IF(ISNA(MATCH(E$2,Inputs!$K$4:$AJ$4,0)),NA(),IF(SUMPRODUCT((Inputs!$A$5:$A$110=$B46)*ISNUMBER(INDEX(Inputs!$K$5:$AJ$110,0,MATCH(E$2,Inputs!$K$4:$AJ$4,0))))+SUMPRODUCT((Inputs!$C$5:$C$110=$B46)*ISNUMBER(INDEX(Inputs!$K$5:$AJ$110,0,MATCH(E$2,Inputs!$K$4:$AJ$4,0))))+SUMPRODUCT((Inputs!$E$5:$E$110=$B46)*ISNUMBER(INDEX(Inputs!$K$5:$AJ$110,0,MATCH(E$2,Inputs!$K$4:$AJ$4,0))))=0,NA(),SUMPRODUCT((Inputs!$A$5:$A$110=$B46)*Inputs!$B$5:$B$110*(((Inputs!$G$5:$G$110="moeda")+(Inputs!$G$5:$G$110="acoes"))*Inputs!$B$1+((Inputs!$G$5:$G$110&lt;&gt;"moeda")*(Inputs!$G$5:$G$110&lt;&gt;"acoes")))*INDEX(Inputs!$K$5:$AJ$110,0,MATCH(E$2,Inputs!$K$4:$AJ$4,0)))+SUMPRODUCT((Inputs!$C$5:$C$110=$B46)*Inputs!$D$5:$D$110*(((Inputs!$G$5:$G$110="moeda")+(Inputs!$G$5:$G$110="acoes"))*Inputs!$B$1+((Inputs!$G$5:$G$110&lt;&gt;"moeda")*(Inputs!$G$5:$G$110&lt;&gt;"acoes")))*INDEX(Inputs!$K$5:$AJ$110,0,MATCH(E$2,Inputs!$K$4:$AJ$4,0)))+SUMPRODUCT((Inputs!$E$5:$E$110=$B46)*Inputs!$F$5:$F$110*(((Inputs!$G$5:$G$110="moeda")+(Inputs!$G$5:$G$110="acoes"))*Inputs!$B$1+((Inputs!$G$5:$G$110&lt;&gt;"moeda")*(Inputs!$G$5:$G$110&lt;&gt;"acoes")))*INDEX(Inputs!$K$5:$AJ$110,0,MATCH(E$2,Inputs!$K$4:$AJ$4,0)))))</f>
        <v>27</v>
      </c>
      <c r="F46" s="6">
        <f>IF(ISNA(MATCH(F$2,Inputs!$K$4:$AJ$4,0)),NA(),IF(SUMPRODUCT((Inputs!$A$5:$A$110=$B46)*ISNUMBER(INDEX(Inputs!$K$5:$AJ$110,0,MATCH(F$2,Inputs!$K$4:$AJ$4,0))))+SUMPRODUCT((Inputs!$C$5:$C$110=$B46)*ISNUMBER(INDEX(Inputs!$K$5:$AJ$110,0,MATCH(F$2,Inputs!$K$4:$AJ$4,0))))+SUMPRODUCT((Inputs!$E$5:$E$110=$B46)*ISNUMBER(INDEX(Inputs!$K$5:$AJ$110,0,MATCH(F$2,Inputs!$K$4:$AJ$4,0))))=0,NA(),SUMPRODUCT((Inputs!$A$5:$A$110=$B46)*Inputs!$B$5:$B$110*(((Inputs!$G$5:$G$110="moeda")+(Inputs!$G$5:$G$110="acoes"))*Inputs!$B$1+((Inputs!$G$5:$G$110&lt;&gt;"moeda")*(Inputs!$G$5:$G$110&lt;&gt;"acoes")))*INDEX(Inputs!$K$5:$AJ$110,0,MATCH(F$2,Inputs!$K$4:$AJ$4,0)))+SUMPRODUCT((Inputs!$C$5:$C$110=$B46)*Inputs!$D$5:$D$110*(((Inputs!$G$5:$G$110="moeda")+(Inputs!$G$5:$G$110="acoes"))*Inputs!$B$1+((Inputs!$G$5:$G$110&lt;&gt;"moeda")*(Inputs!$G$5:$G$110&lt;&gt;"acoes")))*INDEX(Inputs!$K$5:$AJ$110,0,MATCH(F$2,Inputs!$K$4:$AJ$4,0)))+SUMPRODUCT((Inputs!$E$5:$E$110=$B46)*Inputs!$F$5:$F$110*(((Inputs!$G$5:$G$110="moeda")+(Inputs!$G$5:$G$110="acoes"))*Inputs!$B$1+((Inputs!$G$5:$G$110&lt;&gt;"moeda")*(Inputs!$G$5:$G$110&lt;&gt;"acoes")))*INDEX(Inputs!$K$5:$AJ$110,0,MATCH(F$2,Inputs!$K$4:$AJ$4,0)))))</f>
        <v>27</v>
      </c>
      <c r="G46" s="6">
        <f>IF(ISNA(MATCH(G$2,Inputs!$K$4:$AJ$4,0)),NA(),IF(SUMPRODUCT((Inputs!$A$5:$A$110=$B46)*ISNUMBER(INDEX(Inputs!$K$5:$AJ$110,0,MATCH(G$2,Inputs!$K$4:$AJ$4,0))))+SUMPRODUCT((Inputs!$C$5:$C$110=$B46)*ISNUMBER(INDEX(Inputs!$K$5:$AJ$110,0,MATCH(G$2,Inputs!$K$4:$AJ$4,0))))+SUMPRODUCT((Inputs!$E$5:$E$110=$B46)*ISNUMBER(INDEX(Inputs!$K$5:$AJ$110,0,MATCH(G$2,Inputs!$K$4:$AJ$4,0))))=0,NA(),SUMPRODUCT((Inputs!$A$5:$A$110=$B46)*Inputs!$B$5:$B$110*(((Inputs!$G$5:$G$110="moeda")+(Inputs!$G$5:$G$110="acoes"))*Inputs!$B$1+((Inputs!$G$5:$G$110&lt;&gt;"moeda")*(Inputs!$G$5:$G$110&lt;&gt;"acoes")))*INDEX(Inputs!$K$5:$AJ$110,0,MATCH(G$2,Inputs!$K$4:$AJ$4,0)))+SUMPRODUCT((Inputs!$C$5:$C$110=$B46)*Inputs!$D$5:$D$110*(((Inputs!$G$5:$G$110="moeda")+(Inputs!$G$5:$G$110="acoes"))*Inputs!$B$1+((Inputs!$G$5:$G$110&lt;&gt;"moeda")*(Inputs!$G$5:$G$110&lt;&gt;"acoes")))*INDEX(Inputs!$K$5:$AJ$110,0,MATCH(G$2,Inputs!$K$4:$AJ$4,0)))+SUMPRODUCT((Inputs!$E$5:$E$110=$B46)*Inputs!$F$5:$F$110*(((Inputs!$G$5:$G$110="moeda")+(Inputs!$G$5:$G$110="acoes"))*Inputs!$B$1+((Inputs!$G$5:$G$110&lt;&gt;"moeda")*(Inputs!$G$5:$G$110&lt;&gt;"acoes")))*INDEX(Inputs!$K$5:$AJ$110,0,MATCH(G$2,Inputs!$K$4:$AJ$4,0)))))</f>
        <v>26</v>
      </c>
      <c r="H46" s="3">
        <f>G46</f>
        <v>26</v>
      </c>
      <c r="I46" s="6">
        <f>IF(ISNA(MATCH(I$2,Inputs!$K$4:$AJ$4,0)),NA(),IF(SUMPRODUCT((Inputs!$A$5:$A$110=$B46)*ISNUMBER(INDEX(Inputs!$K$5:$AJ$110,0,MATCH(I$2,Inputs!$K$4:$AJ$4,0))))+SUMPRODUCT((Inputs!$C$5:$C$110=$B46)*ISNUMBER(INDEX(Inputs!$K$5:$AJ$110,0,MATCH(I$2,Inputs!$K$4:$AJ$4,0))))+SUMPRODUCT((Inputs!$E$5:$E$110=$B46)*ISNUMBER(INDEX(Inputs!$K$5:$AJ$110,0,MATCH(I$2,Inputs!$K$4:$AJ$4,0))))=0,NA(),SUMPRODUCT((Inputs!$A$5:$A$110=$B46)*Inputs!$B$5:$B$110*(((Inputs!$G$5:$G$110="moeda")+(Inputs!$G$5:$G$110="acoes"))*Inputs!$B$1+((Inputs!$G$5:$G$110&lt;&gt;"moeda")*(Inputs!$G$5:$G$110&lt;&gt;"acoes")))*INDEX(Inputs!$K$5:$AJ$110,0,MATCH(I$2,Inputs!$K$4:$AJ$4,0)))+SUMPRODUCT((Inputs!$C$5:$C$110=$B46)*Inputs!$D$5:$D$110*(((Inputs!$G$5:$G$110="moeda")+(Inputs!$G$5:$G$110="acoes"))*Inputs!$B$1+((Inputs!$G$5:$G$110&lt;&gt;"moeda")*(Inputs!$G$5:$G$110&lt;&gt;"acoes")))*INDEX(Inputs!$K$5:$AJ$110,0,MATCH(I$2,Inputs!$K$4:$AJ$4,0)))+SUMPRODUCT((Inputs!$E$5:$E$110=$B46)*Inputs!$F$5:$F$110*(((Inputs!$G$5:$G$110="moeda")+(Inputs!$G$5:$G$110="acoes"))*Inputs!$B$1+((Inputs!$G$5:$G$110&lt;&gt;"moeda")*(Inputs!$G$5:$G$110&lt;&gt;"acoes")))*INDEX(Inputs!$K$5:$AJ$110,0,MATCH(I$2,Inputs!$K$4:$AJ$4,0)))))</f>
        <v>27</v>
      </c>
      <c r="J46" s="6">
        <f>IF(ISNA(MATCH(J$2,Inputs!$K$4:$AJ$4,0)),NA(),IF(SUMPRODUCT((Inputs!$A$5:$A$110=$B46)*ISNUMBER(INDEX(Inputs!$K$5:$AJ$110,0,MATCH(J$2,Inputs!$K$4:$AJ$4,0))))+SUMPRODUCT((Inputs!$C$5:$C$110=$B46)*ISNUMBER(INDEX(Inputs!$K$5:$AJ$110,0,MATCH(J$2,Inputs!$K$4:$AJ$4,0))))+SUMPRODUCT((Inputs!$E$5:$E$110=$B46)*ISNUMBER(INDEX(Inputs!$K$5:$AJ$110,0,MATCH(J$2,Inputs!$K$4:$AJ$4,0))))=0,NA(),SUMPRODUCT((Inputs!$A$5:$A$110=$B46)*Inputs!$B$5:$B$110*(((Inputs!$G$5:$G$110="moeda")+(Inputs!$G$5:$G$110="acoes"))*Inputs!$B$1+((Inputs!$G$5:$G$110&lt;&gt;"moeda")*(Inputs!$G$5:$G$110&lt;&gt;"acoes")))*INDEX(Inputs!$K$5:$AJ$110,0,MATCH(J$2,Inputs!$K$4:$AJ$4,0)))+SUMPRODUCT((Inputs!$C$5:$C$110=$B46)*Inputs!$D$5:$D$110*(((Inputs!$G$5:$G$110="moeda")+(Inputs!$G$5:$G$110="acoes"))*Inputs!$B$1+((Inputs!$G$5:$G$110&lt;&gt;"moeda")*(Inputs!$G$5:$G$110&lt;&gt;"acoes")))*INDEX(Inputs!$K$5:$AJ$110,0,MATCH(J$2,Inputs!$K$4:$AJ$4,0)))+SUMPRODUCT((Inputs!$E$5:$E$110=$B46)*Inputs!$F$5:$F$110*(((Inputs!$G$5:$G$110="moeda")+(Inputs!$G$5:$G$110="acoes"))*Inputs!$B$1+((Inputs!$G$5:$G$110&lt;&gt;"moeda")*(Inputs!$G$5:$G$110&lt;&gt;"acoes")))*INDEX(Inputs!$K$5:$AJ$110,0,MATCH(J$2,Inputs!$K$4:$AJ$4,0)))))</f>
        <v>27</v>
      </c>
      <c r="K46" s="6">
        <f>IF(ISNA(MATCH(K$2,Inputs!$K$4:$AJ$4,0)),NA(),IF(SUMPRODUCT((Inputs!$A$5:$A$110=$B46)*ISNUMBER(INDEX(Inputs!$K$5:$AJ$110,0,MATCH(K$2,Inputs!$K$4:$AJ$4,0))))+SUMPRODUCT((Inputs!$C$5:$C$110=$B46)*ISNUMBER(INDEX(Inputs!$K$5:$AJ$110,0,MATCH(K$2,Inputs!$K$4:$AJ$4,0))))+SUMPRODUCT((Inputs!$E$5:$E$110=$B46)*ISNUMBER(INDEX(Inputs!$K$5:$AJ$110,0,MATCH(K$2,Inputs!$K$4:$AJ$4,0))))=0,NA(),SUMPRODUCT((Inputs!$A$5:$A$110=$B46)*Inputs!$B$5:$B$110*(((Inputs!$G$5:$G$110="moeda")+(Inputs!$G$5:$G$110="acoes"))*Inputs!$B$1+((Inputs!$G$5:$G$110&lt;&gt;"moeda")*(Inputs!$G$5:$G$110&lt;&gt;"acoes")))*INDEX(Inputs!$K$5:$AJ$110,0,MATCH(K$2,Inputs!$K$4:$AJ$4,0)))+SUMPRODUCT((Inputs!$C$5:$C$110=$B46)*Inputs!$D$5:$D$110*(((Inputs!$G$5:$G$110="moeda")+(Inputs!$G$5:$G$110="acoes"))*Inputs!$B$1+((Inputs!$G$5:$G$110&lt;&gt;"moeda")*(Inputs!$G$5:$G$110&lt;&gt;"acoes")))*INDEX(Inputs!$K$5:$AJ$110,0,MATCH(K$2,Inputs!$K$4:$AJ$4,0)))+SUMPRODUCT((Inputs!$E$5:$E$110=$B46)*Inputs!$F$5:$F$110*(((Inputs!$G$5:$G$110="moeda")+(Inputs!$G$5:$G$110="acoes"))*Inputs!$B$1+((Inputs!$G$5:$G$110&lt;&gt;"moeda")*(Inputs!$G$5:$G$110&lt;&gt;"acoes")))*INDEX(Inputs!$K$5:$AJ$110,0,MATCH(K$2,Inputs!$K$4:$AJ$4,0)))))</f>
        <v>0</v>
      </c>
      <c r="L46" s="6">
        <f>IF(ISNA(MATCH(L$2,Inputs!$K$4:$AJ$4,0)),NA(),IF(SUMPRODUCT((Inputs!$A$5:$A$110=$B46)*ISNUMBER(INDEX(Inputs!$K$5:$AJ$110,0,MATCH(L$2,Inputs!$K$4:$AJ$4,0))))+SUMPRODUCT((Inputs!$C$5:$C$110=$B46)*ISNUMBER(INDEX(Inputs!$K$5:$AJ$110,0,MATCH(L$2,Inputs!$K$4:$AJ$4,0))))+SUMPRODUCT((Inputs!$E$5:$E$110=$B46)*ISNUMBER(INDEX(Inputs!$K$5:$AJ$110,0,MATCH(L$2,Inputs!$K$4:$AJ$4,0))))=0,NA(),SUMPRODUCT((Inputs!$A$5:$A$110=$B46)*Inputs!$B$5:$B$110*(((Inputs!$G$5:$G$110="moeda")+(Inputs!$G$5:$G$110="acoes"))*Inputs!$B$1+((Inputs!$G$5:$G$110&lt;&gt;"moeda")*(Inputs!$G$5:$G$110&lt;&gt;"acoes")))*INDEX(Inputs!$K$5:$AJ$110,0,MATCH(L$2,Inputs!$K$4:$AJ$4,0)))+SUMPRODUCT((Inputs!$C$5:$C$110=$B46)*Inputs!$D$5:$D$110*(((Inputs!$G$5:$G$110="moeda")+(Inputs!$G$5:$G$110="acoes"))*Inputs!$B$1+((Inputs!$G$5:$G$110&lt;&gt;"moeda")*(Inputs!$G$5:$G$110&lt;&gt;"acoes")))*INDEX(Inputs!$K$5:$AJ$110,0,MATCH(L$2,Inputs!$K$4:$AJ$4,0)))+SUMPRODUCT((Inputs!$E$5:$E$110=$B46)*Inputs!$F$5:$F$110*(((Inputs!$G$5:$G$110="moeda")+(Inputs!$G$5:$G$110="acoes"))*Inputs!$B$1+((Inputs!$G$5:$G$110&lt;&gt;"moeda")*(Inputs!$G$5:$G$110&lt;&gt;"acoes")))*INDEX(Inputs!$K$5:$AJ$110,0,MATCH(L$2,Inputs!$K$4:$AJ$4,0)))))</f>
        <v>0</v>
      </c>
      <c r="M46" s="3">
        <f>L46</f>
        <v>0</v>
      </c>
      <c r="N46" s="6">
        <f>IF(ISNA(MATCH(N$2,Inputs!$K$4:$AJ$4,0)),NA(),IF(SUMPRODUCT((Inputs!$A$5:$A$110=$B46)*ISNUMBER(INDEX(Inputs!$K$5:$AJ$110,0,MATCH(N$2,Inputs!$K$4:$AJ$4,0))))+SUMPRODUCT((Inputs!$C$5:$C$110=$B46)*ISNUMBER(INDEX(Inputs!$K$5:$AJ$110,0,MATCH(N$2,Inputs!$K$4:$AJ$4,0))))+SUMPRODUCT((Inputs!$E$5:$E$110=$B46)*ISNUMBER(INDEX(Inputs!$K$5:$AJ$110,0,MATCH(N$2,Inputs!$K$4:$AJ$4,0))))=0,NA(),SUMPRODUCT((Inputs!$A$5:$A$110=$B46)*Inputs!$B$5:$B$110*(((Inputs!$G$5:$G$110="moeda")+(Inputs!$G$5:$G$110="acoes"))*Inputs!$B$1+((Inputs!$G$5:$G$110&lt;&gt;"moeda")*(Inputs!$G$5:$G$110&lt;&gt;"acoes")))*INDEX(Inputs!$K$5:$AJ$110,0,MATCH(N$2,Inputs!$K$4:$AJ$4,0)))+SUMPRODUCT((Inputs!$C$5:$C$110=$B46)*Inputs!$D$5:$D$110*(((Inputs!$G$5:$G$110="moeda")+(Inputs!$G$5:$G$110="acoes"))*Inputs!$B$1+((Inputs!$G$5:$G$110&lt;&gt;"moeda")*(Inputs!$G$5:$G$110&lt;&gt;"acoes")))*INDEX(Inputs!$K$5:$AJ$110,0,MATCH(N$2,Inputs!$K$4:$AJ$4,0)))+SUMPRODUCT((Inputs!$E$5:$E$110=$B46)*Inputs!$F$5:$F$110*(((Inputs!$G$5:$G$110="moeda")+(Inputs!$G$5:$G$110="acoes"))*Inputs!$B$1+((Inputs!$G$5:$G$110&lt;&gt;"moeda")*(Inputs!$G$5:$G$110&lt;&gt;"acoes")))*INDEX(Inputs!$K$5:$AJ$110,0,MATCH(N$2,Inputs!$K$4:$AJ$4,0)))))</f>
        <v>0</v>
      </c>
      <c r="O46" s="6">
        <f>IF(ISNA(MATCH(O$2,Inputs!$K$4:$AJ$4,0)),NA(),IF(SUMPRODUCT((Inputs!$A$5:$A$110=$B46)*ISNUMBER(INDEX(Inputs!$K$5:$AJ$110,0,MATCH(O$2,Inputs!$K$4:$AJ$4,0))))+SUMPRODUCT((Inputs!$C$5:$C$110=$B46)*ISNUMBER(INDEX(Inputs!$K$5:$AJ$110,0,MATCH(O$2,Inputs!$K$4:$AJ$4,0))))+SUMPRODUCT((Inputs!$E$5:$E$110=$B46)*ISNUMBER(INDEX(Inputs!$K$5:$AJ$110,0,MATCH(O$2,Inputs!$K$4:$AJ$4,0))))=0,NA(),SUMPRODUCT((Inputs!$A$5:$A$110=$B46)*Inputs!$B$5:$B$110*(((Inputs!$G$5:$G$110="moeda")+(Inputs!$G$5:$G$110="acoes"))*Inputs!$B$1+((Inputs!$G$5:$G$110&lt;&gt;"moeda")*(Inputs!$G$5:$G$110&lt;&gt;"acoes")))*INDEX(Inputs!$K$5:$AJ$110,0,MATCH(O$2,Inputs!$K$4:$AJ$4,0)))+SUMPRODUCT((Inputs!$C$5:$C$110=$B46)*Inputs!$D$5:$D$110*(((Inputs!$G$5:$G$110="moeda")+(Inputs!$G$5:$G$110="acoes"))*Inputs!$B$1+((Inputs!$G$5:$G$110&lt;&gt;"moeda")*(Inputs!$G$5:$G$110&lt;&gt;"acoes")))*INDEX(Inputs!$K$5:$AJ$110,0,MATCH(O$2,Inputs!$K$4:$AJ$4,0)))+SUMPRODUCT((Inputs!$E$5:$E$110=$B46)*Inputs!$F$5:$F$110*(((Inputs!$G$5:$G$110="moeda")+(Inputs!$G$5:$G$110="acoes"))*Inputs!$B$1+((Inputs!$G$5:$G$110&lt;&gt;"moeda")*(Inputs!$G$5:$G$110&lt;&gt;"acoes")))*INDEX(Inputs!$K$5:$AJ$110,0,MATCH(O$2,Inputs!$K$4:$AJ$4,0)))))</f>
        <v>0</v>
      </c>
      <c r="P46" s="6">
        <f>IF(ISNA(MATCH(P$2,Inputs!$K$4:$AJ$4,0)),NA(),IF(SUMPRODUCT((Inputs!$A$5:$A$110=$B46)*ISNUMBER(INDEX(Inputs!$K$5:$AJ$110,0,MATCH(P$2,Inputs!$K$4:$AJ$4,0))))+SUMPRODUCT((Inputs!$C$5:$C$110=$B46)*ISNUMBER(INDEX(Inputs!$K$5:$AJ$110,0,MATCH(P$2,Inputs!$K$4:$AJ$4,0))))+SUMPRODUCT((Inputs!$E$5:$E$110=$B46)*ISNUMBER(INDEX(Inputs!$K$5:$AJ$110,0,MATCH(P$2,Inputs!$K$4:$AJ$4,0))))=0,NA(),SUMPRODUCT((Inputs!$A$5:$A$110=$B46)*Inputs!$B$5:$B$110*(((Inputs!$G$5:$G$110="moeda")+(Inputs!$G$5:$G$110="acoes"))*Inputs!$B$1+((Inputs!$G$5:$G$110&lt;&gt;"moeda")*(Inputs!$G$5:$G$110&lt;&gt;"acoes")))*INDEX(Inputs!$K$5:$AJ$110,0,MATCH(P$2,Inputs!$K$4:$AJ$4,0)))+SUMPRODUCT((Inputs!$C$5:$C$110=$B46)*Inputs!$D$5:$D$110*(((Inputs!$G$5:$G$110="moeda")+(Inputs!$G$5:$G$110="acoes"))*Inputs!$B$1+((Inputs!$G$5:$G$110&lt;&gt;"moeda")*(Inputs!$G$5:$G$110&lt;&gt;"acoes")))*INDEX(Inputs!$K$5:$AJ$110,0,MATCH(P$2,Inputs!$K$4:$AJ$4,0)))+SUMPRODUCT((Inputs!$E$5:$E$110=$B46)*Inputs!$F$5:$F$110*(((Inputs!$G$5:$G$110="moeda")+(Inputs!$G$5:$G$110="acoes"))*Inputs!$B$1+((Inputs!$G$5:$G$110&lt;&gt;"moeda")*(Inputs!$G$5:$G$110&lt;&gt;"acoes")))*INDEX(Inputs!$K$5:$AJ$110,0,MATCH(P$2,Inputs!$K$4:$AJ$4,0)))))</f>
        <v>0</v>
      </c>
      <c r="Q46" s="6">
        <f>IF(ISNA(MATCH(Q$2,Inputs!$K$4:$AJ$4,0)),NA(),IF(SUMPRODUCT((Inputs!$A$5:$A$110=$B46)*ISNUMBER(INDEX(Inputs!$K$5:$AJ$110,0,MATCH(Q$2,Inputs!$K$4:$AJ$4,0))))+SUMPRODUCT((Inputs!$C$5:$C$110=$B46)*ISNUMBER(INDEX(Inputs!$K$5:$AJ$110,0,MATCH(Q$2,Inputs!$K$4:$AJ$4,0))))+SUMPRODUCT((Inputs!$E$5:$E$110=$B46)*ISNUMBER(INDEX(Inputs!$K$5:$AJ$110,0,MATCH(Q$2,Inputs!$K$4:$AJ$4,0))))=0,NA(),SUMPRODUCT((Inputs!$A$5:$A$110=$B46)*Inputs!$B$5:$B$110*(((Inputs!$G$5:$G$110="moeda")+(Inputs!$G$5:$G$110="acoes"))*Inputs!$B$1+((Inputs!$G$5:$G$110&lt;&gt;"moeda")*(Inputs!$G$5:$G$110&lt;&gt;"acoes")))*INDEX(Inputs!$K$5:$AJ$110,0,MATCH(Q$2,Inputs!$K$4:$AJ$4,0)))+SUMPRODUCT((Inputs!$C$5:$C$110=$B46)*Inputs!$D$5:$D$110*(((Inputs!$G$5:$G$110="moeda")+(Inputs!$G$5:$G$110="acoes"))*Inputs!$B$1+((Inputs!$G$5:$G$110&lt;&gt;"moeda")*(Inputs!$G$5:$G$110&lt;&gt;"acoes")))*INDEX(Inputs!$K$5:$AJ$110,0,MATCH(Q$2,Inputs!$K$4:$AJ$4,0)))+SUMPRODUCT((Inputs!$E$5:$E$110=$B46)*Inputs!$F$5:$F$110*(((Inputs!$G$5:$G$110="moeda")+(Inputs!$G$5:$G$110="acoes"))*Inputs!$B$1+((Inputs!$G$5:$G$110&lt;&gt;"moeda")*(Inputs!$G$5:$G$110&lt;&gt;"acoes")))*INDEX(Inputs!$K$5:$AJ$110,0,MATCH(Q$2,Inputs!$K$4:$AJ$4,0)))))</f>
        <v>0</v>
      </c>
      <c r="R46" s="3">
        <f>Q46</f>
        <v>0</v>
      </c>
      <c r="S46" s="6">
        <f>IF(ISNA(MATCH(S$2,Inputs!$K$4:$AJ$4,0)),NA(),IF(SUMPRODUCT((Inputs!$A$5:$A$110=$B46)*ISNUMBER(INDEX(Inputs!$K$5:$AJ$110,0,MATCH(S$2,Inputs!$K$4:$AJ$4,0))))+SUMPRODUCT((Inputs!$C$5:$C$110=$B46)*ISNUMBER(INDEX(Inputs!$K$5:$AJ$110,0,MATCH(S$2,Inputs!$K$4:$AJ$4,0))))+SUMPRODUCT((Inputs!$E$5:$E$110=$B46)*ISNUMBER(INDEX(Inputs!$K$5:$AJ$110,0,MATCH(S$2,Inputs!$K$4:$AJ$4,0))))=0,NA(),SUMPRODUCT((Inputs!$A$5:$A$110=$B46)*Inputs!$B$5:$B$110*(((Inputs!$G$5:$G$110="moeda")+(Inputs!$G$5:$G$110="acoes"))*Inputs!$B$1+((Inputs!$G$5:$G$110&lt;&gt;"moeda")*(Inputs!$G$5:$G$110&lt;&gt;"acoes")))*INDEX(Inputs!$K$5:$AJ$110,0,MATCH(S$2,Inputs!$K$4:$AJ$4,0)))+SUMPRODUCT((Inputs!$C$5:$C$110=$B46)*Inputs!$D$5:$D$110*(((Inputs!$G$5:$G$110="moeda")+(Inputs!$G$5:$G$110="acoes"))*Inputs!$B$1+((Inputs!$G$5:$G$110&lt;&gt;"moeda")*(Inputs!$G$5:$G$110&lt;&gt;"acoes")))*INDEX(Inputs!$K$5:$AJ$110,0,MATCH(S$2,Inputs!$K$4:$AJ$4,0)))+SUMPRODUCT((Inputs!$E$5:$E$110=$B46)*Inputs!$F$5:$F$110*(((Inputs!$G$5:$G$110="moeda")+(Inputs!$G$5:$G$110="acoes"))*Inputs!$B$1+((Inputs!$G$5:$G$110&lt;&gt;"moeda")*(Inputs!$G$5:$G$110&lt;&gt;"acoes")))*INDEX(Inputs!$K$5:$AJ$110,0,MATCH(S$2,Inputs!$K$4:$AJ$4,0)))))</f>
        <v>0</v>
      </c>
      <c r="T46" s="6">
        <f>IF(ISNA(MATCH(T$2,Inputs!$K$4:$AJ$4,0)),NA(),IF(SUMPRODUCT((Inputs!$A$5:$A$110=$B46)*ISNUMBER(INDEX(Inputs!$K$5:$AJ$110,0,MATCH(T$2,Inputs!$K$4:$AJ$4,0))))+SUMPRODUCT((Inputs!$C$5:$C$110=$B46)*ISNUMBER(INDEX(Inputs!$K$5:$AJ$110,0,MATCH(T$2,Inputs!$K$4:$AJ$4,0))))+SUMPRODUCT((Inputs!$E$5:$E$110=$B46)*ISNUMBER(INDEX(Inputs!$K$5:$AJ$110,0,MATCH(T$2,Inputs!$K$4:$AJ$4,0))))=0,NA(),SUMPRODUCT((Inputs!$A$5:$A$110=$B46)*Inputs!$B$5:$B$110*(((Inputs!$G$5:$G$110="moeda")+(Inputs!$G$5:$G$110="acoes"))*Inputs!$B$1+((Inputs!$G$5:$G$110&lt;&gt;"moeda")*(Inputs!$G$5:$G$110&lt;&gt;"acoes")))*INDEX(Inputs!$K$5:$AJ$110,0,MATCH(T$2,Inputs!$K$4:$AJ$4,0)))+SUMPRODUCT((Inputs!$C$5:$C$110=$B46)*Inputs!$D$5:$D$110*(((Inputs!$G$5:$G$110="moeda")+(Inputs!$G$5:$G$110="acoes"))*Inputs!$B$1+((Inputs!$G$5:$G$110&lt;&gt;"moeda")*(Inputs!$G$5:$G$110&lt;&gt;"acoes")))*INDEX(Inputs!$K$5:$AJ$110,0,MATCH(T$2,Inputs!$K$4:$AJ$4,0)))+SUMPRODUCT((Inputs!$E$5:$E$110=$B46)*Inputs!$F$5:$F$110*(((Inputs!$G$5:$G$110="moeda")+(Inputs!$G$5:$G$110="acoes"))*Inputs!$B$1+((Inputs!$G$5:$G$110&lt;&gt;"moeda")*(Inputs!$G$5:$G$110&lt;&gt;"acoes")))*INDEX(Inputs!$K$5:$AJ$110,0,MATCH(T$2,Inputs!$K$4:$AJ$4,0)))))</f>
        <v>0</v>
      </c>
      <c r="U46" s="6">
        <f>IF(ISNA(MATCH(U$2,Inputs!$K$4:$AJ$4,0)),NA(),IF(SUMPRODUCT((Inputs!$A$5:$A$110=$B46)*ISNUMBER(INDEX(Inputs!$K$5:$AJ$110,0,MATCH(U$2,Inputs!$K$4:$AJ$4,0))))+SUMPRODUCT((Inputs!$C$5:$C$110=$B46)*ISNUMBER(INDEX(Inputs!$K$5:$AJ$110,0,MATCH(U$2,Inputs!$K$4:$AJ$4,0))))+SUMPRODUCT((Inputs!$E$5:$E$110=$B46)*ISNUMBER(INDEX(Inputs!$K$5:$AJ$110,0,MATCH(U$2,Inputs!$K$4:$AJ$4,0))))=0,NA(),SUMPRODUCT((Inputs!$A$5:$A$110=$B46)*Inputs!$B$5:$B$110*(((Inputs!$G$5:$G$110="moeda")+(Inputs!$G$5:$G$110="acoes"))*Inputs!$B$1+((Inputs!$G$5:$G$110&lt;&gt;"moeda")*(Inputs!$G$5:$G$110&lt;&gt;"acoes")))*INDEX(Inputs!$K$5:$AJ$110,0,MATCH(U$2,Inputs!$K$4:$AJ$4,0)))+SUMPRODUCT((Inputs!$C$5:$C$110=$B46)*Inputs!$D$5:$D$110*(((Inputs!$G$5:$G$110="moeda")+(Inputs!$G$5:$G$110="acoes"))*Inputs!$B$1+((Inputs!$G$5:$G$110&lt;&gt;"moeda")*(Inputs!$G$5:$G$110&lt;&gt;"acoes")))*INDEX(Inputs!$K$5:$AJ$110,0,MATCH(U$2,Inputs!$K$4:$AJ$4,0)))+SUMPRODUCT((Inputs!$E$5:$E$110=$B46)*Inputs!$F$5:$F$110*(((Inputs!$G$5:$G$110="moeda")+(Inputs!$G$5:$G$110="acoes"))*Inputs!$B$1+((Inputs!$G$5:$G$110&lt;&gt;"moeda")*(Inputs!$G$5:$G$110&lt;&gt;"acoes")))*INDEX(Inputs!$K$5:$AJ$110,0,MATCH(U$2,Inputs!$K$4:$AJ$4,0)))))</f>
        <v>0</v>
      </c>
      <c r="V46" s="6">
        <f>IF(ISNA(MATCH(V$2,Inputs!$K$4:$AJ$4,0)),NA(),IF(SUMPRODUCT((Inputs!$A$5:$A$110=$B46)*ISNUMBER(INDEX(Inputs!$K$5:$AJ$110,0,MATCH(V$2,Inputs!$K$4:$AJ$4,0))))+SUMPRODUCT((Inputs!$C$5:$C$110=$B46)*ISNUMBER(INDEX(Inputs!$K$5:$AJ$110,0,MATCH(V$2,Inputs!$K$4:$AJ$4,0))))+SUMPRODUCT((Inputs!$E$5:$E$110=$B46)*ISNUMBER(INDEX(Inputs!$K$5:$AJ$110,0,MATCH(V$2,Inputs!$K$4:$AJ$4,0))))=0,NA(),SUMPRODUCT((Inputs!$A$5:$A$110=$B46)*Inputs!$B$5:$B$110*(((Inputs!$G$5:$G$110="moeda")+(Inputs!$G$5:$G$110="acoes"))*Inputs!$B$1+((Inputs!$G$5:$G$110&lt;&gt;"moeda")*(Inputs!$G$5:$G$110&lt;&gt;"acoes")))*INDEX(Inputs!$K$5:$AJ$110,0,MATCH(V$2,Inputs!$K$4:$AJ$4,0)))+SUMPRODUCT((Inputs!$C$5:$C$110=$B46)*Inputs!$D$5:$D$110*(((Inputs!$G$5:$G$110="moeda")+(Inputs!$G$5:$G$110="acoes"))*Inputs!$B$1+((Inputs!$G$5:$G$110&lt;&gt;"moeda")*(Inputs!$G$5:$G$110&lt;&gt;"acoes")))*INDEX(Inputs!$K$5:$AJ$110,0,MATCH(V$2,Inputs!$K$4:$AJ$4,0)))+SUMPRODUCT((Inputs!$E$5:$E$110=$B46)*Inputs!$F$5:$F$110*(((Inputs!$G$5:$G$110="moeda")+(Inputs!$G$5:$G$110="acoes"))*Inputs!$B$1+((Inputs!$G$5:$G$110&lt;&gt;"moeda")*(Inputs!$G$5:$G$110&lt;&gt;"acoes")))*INDEX(Inputs!$K$5:$AJ$110,0,MATCH(V$2,Inputs!$K$4:$AJ$4,0)))))</f>
        <v>0</v>
      </c>
      <c r="W46" s="3">
        <f>V46</f>
        <v>0</v>
      </c>
      <c r="X46" s="6">
        <f>IF(ISNA(MATCH(X$2,Inputs!$K$4:$AJ$4,0)),NA(),IF(SUMPRODUCT((Inputs!$A$5:$A$110=$B46)*ISNUMBER(INDEX(Inputs!$K$5:$AJ$110,0,MATCH(X$2,Inputs!$K$4:$AJ$4,0))))+SUMPRODUCT((Inputs!$C$5:$C$110=$B46)*ISNUMBER(INDEX(Inputs!$K$5:$AJ$110,0,MATCH(X$2,Inputs!$K$4:$AJ$4,0))))+SUMPRODUCT((Inputs!$E$5:$E$110=$B46)*ISNUMBER(INDEX(Inputs!$K$5:$AJ$110,0,MATCH(X$2,Inputs!$K$4:$AJ$4,0))))=0,NA(),SUMPRODUCT((Inputs!$A$5:$A$110=$B46)*Inputs!$B$5:$B$110*(((Inputs!$G$5:$G$110="moeda")+(Inputs!$G$5:$G$110="acoes"))*Inputs!$B$1+((Inputs!$G$5:$G$110&lt;&gt;"moeda")*(Inputs!$G$5:$G$110&lt;&gt;"acoes")))*INDEX(Inputs!$K$5:$AJ$110,0,MATCH(X$2,Inputs!$K$4:$AJ$4,0)))+SUMPRODUCT((Inputs!$C$5:$C$110=$B46)*Inputs!$D$5:$D$110*(((Inputs!$G$5:$G$110="moeda")+(Inputs!$G$5:$G$110="acoes"))*Inputs!$B$1+((Inputs!$G$5:$G$110&lt;&gt;"moeda")*(Inputs!$G$5:$G$110&lt;&gt;"acoes")))*INDEX(Inputs!$K$5:$AJ$110,0,MATCH(X$2,Inputs!$K$4:$AJ$4,0)))+SUMPRODUCT((Inputs!$E$5:$E$110=$B46)*Inputs!$F$5:$F$110*(((Inputs!$G$5:$G$110="moeda")+(Inputs!$G$5:$G$110="acoes"))*Inputs!$B$1+((Inputs!$G$5:$G$110&lt;&gt;"moeda")*(Inputs!$G$5:$G$110&lt;&gt;"acoes")))*INDEX(Inputs!$K$5:$AJ$110,0,MATCH(X$2,Inputs!$K$4:$AJ$4,0)))))</f>
        <v>0</v>
      </c>
      <c r="Y46" s="6">
        <f>IF(ISNA(MATCH(Y$2,Inputs!$K$4:$AJ$4,0)),NA(),IF(SUMPRODUCT((Inputs!$A$5:$A$110=$B46)*ISNUMBER(INDEX(Inputs!$K$5:$AJ$110,0,MATCH(Y$2,Inputs!$K$4:$AJ$4,0))))+SUMPRODUCT((Inputs!$C$5:$C$110=$B46)*ISNUMBER(INDEX(Inputs!$K$5:$AJ$110,0,MATCH(Y$2,Inputs!$K$4:$AJ$4,0))))+SUMPRODUCT((Inputs!$E$5:$E$110=$B46)*ISNUMBER(INDEX(Inputs!$K$5:$AJ$110,0,MATCH(Y$2,Inputs!$K$4:$AJ$4,0))))=0,NA(),SUMPRODUCT((Inputs!$A$5:$A$110=$B46)*Inputs!$B$5:$B$110*(((Inputs!$G$5:$G$110="moeda")+(Inputs!$G$5:$G$110="acoes"))*Inputs!$B$1+((Inputs!$G$5:$G$110&lt;&gt;"moeda")*(Inputs!$G$5:$G$110&lt;&gt;"acoes")))*INDEX(Inputs!$K$5:$AJ$110,0,MATCH(Y$2,Inputs!$K$4:$AJ$4,0)))+SUMPRODUCT((Inputs!$C$5:$C$110=$B46)*Inputs!$D$5:$D$110*(((Inputs!$G$5:$G$110="moeda")+(Inputs!$G$5:$G$110="acoes"))*Inputs!$B$1+((Inputs!$G$5:$G$110&lt;&gt;"moeda")*(Inputs!$G$5:$G$110&lt;&gt;"acoes")))*INDEX(Inputs!$K$5:$AJ$110,0,MATCH(Y$2,Inputs!$K$4:$AJ$4,0)))+SUMPRODUCT((Inputs!$E$5:$E$110=$B46)*Inputs!$F$5:$F$110*(((Inputs!$G$5:$G$110="moeda")+(Inputs!$G$5:$G$110="acoes"))*Inputs!$B$1+((Inputs!$G$5:$G$110&lt;&gt;"moeda")*(Inputs!$G$5:$G$110&lt;&gt;"acoes")))*INDEX(Inputs!$K$5:$AJ$110,0,MATCH(Y$2,Inputs!$K$4:$AJ$4,0)))))</f>
        <v>0</v>
      </c>
      <c r="Z46" s="6">
        <f>IF(ISNA(MATCH(Z$2,Inputs!$K$4:$AJ$4,0)),NA(),IF(SUMPRODUCT((Inputs!$A$5:$A$110=$B46)*ISNUMBER(INDEX(Inputs!$K$5:$AJ$110,0,MATCH(Z$2,Inputs!$K$4:$AJ$4,0))))+SUMPRODUCT((Inputs!$C$5:$C$110=$B46)*ISNUMBER(INDEX(Inputs!$K$5:$AJ$110,0,MATCH(Z$2,Inputs!$K$4:$AJ$4,0))))+SUMPRODUCT((Inputs!$E$5:$E$110=$B46)*ISNUMBER(INDEX(Inputs!$K$5:$AJ$110,0,MATCH(Z$2,Inputs!$K$4:$AJ$4,0))))=0,NA(),SUMPRODUCT((Inputs!$A$5:$A$110=$B46)*Inputs!$B$5:$B$110*(((Inputs!$G$5:$G$110="moeda")+(Inputs!$G$5:$G$110="acoes"))*Inputs!$B$1+((Inputs!$G$5:$G$110&lt;&gt;"moeda")*(Inputs!$G$5:$G$110&lt;&gt;"acoes")))*INDEX(Inputs!$K$5:$AJ$110,0,MATCH(Z$2,Inputs!$K$4:$AJ$4,0)))+SUMPRODUCT((Inputs!$C$5:$C$110=$B46)*Inputs!$D$5:$D$110*(((Inputs!$G$5:$G$110="moeda")+(Inputs!$G$5:$G$110="acoes"))*Inputs!$B$1+((Inputs!$G$5:$G$110&lt;&gt;"moeda")*(Inputs!$G$5:$G$110&lt;&gt;"acoes")))*INDEX(Inputs!$K$5:$AJ$110,0,MATCH(Z$2,Inputs!$K$4:$AJ$4,0)))+SUMPRODUCT((Inputs!$E$5:$E$110=$B46)*Inputs!$F$5:$F$110*(((Inputs!$G$5:$G$110="moeda")+(Inputs!$G$5:$G$110="acoes"))*Inputs!$B$1+((Inputs!$G$5:$G$110&lt;&gt;"moeda")*(Inputs!$G$5:$G$110&lt;&gt;"acoes")))*INDEX(Inputs!$K$5:$AJ$110,0,MATCH(Z$2,Inputs!$K$4:$AJ$4,0)))))</f>
        <v>0</v>
      </c>
      <c r="AA46" s="6">
        <f>IF(ISNA(MATCH(AA$2,Inputs!$K$4:$AJ$4,0)),NA(),IF(SUMPRODUCT((Inputs!$A$5:$A$110=$B46)*ISNUMBER(INDEX(Inputs!$K$5:$AJ$110,0,MATCH(AA$2,Inputs!$K$4:$AJ$4,0))))+SUMPRODUCT((Inputs!$C$5:$C$110=$B46)*ISNUMBER(INDEX(Inputs!$K$5:$AJ$110,0,MATCH(AA$2,Inputs!$K$4:$AJ$4,0))))+SUMPRODUCT((Inputs!$E$5:$E$110=$B46)*ISNUMBER(INDEX(Inputs!$K$5:$AJ$110,0,MATCH(AA$2,Inputs!$K$4:$AJ$4,0))))=0,NA(),SUMPRODUCT((Inputs!$A$5:$A$110=$B46)*Inputs!$B$5:$B$110*(((Inputs!$G$5:$G$110="moeda")+(Inputs!$G$5:$G$110="acoes"))*Inputs!$B$1+((Inputs!$G$5:$G$110&lt;&gt;"moeda")*(Inputs!$G$5:$G$110&lt;&gt;"acoes")))*INDEX(Inputs!$K$5:$AJ$110,0,MATCH(AA$2,Inputs!$K$4:$AJ$4,0)))+SUMPRODUCT((Inputs!$C$5:$C$110=$B46)*Inputs!$D$5:$D$110*(((Inputs!$G$5:$G$110="moeda")+(Inputs!$G$5:$G$110="acoes"))*Inputs!$B$1+((Inputs!$G$5:$G$110&lt;&gt;"moeda")*(Inputs!$G$5:$G$110&lt;&gt;"acoes")))*INDEX(Inputs!$K$5:$AJ$110,0,MATCH(AA$2,Inputs!$K$4:$AJ$4,0)))+SUMPRODUCT((Inputs!$E$5:$E$110=$B46)*Inputs!$F$5:$F$110*(((Inputs!$G$5:$G$110="moeda")+(Inputs!$G$5:$G$110="acoes"))*Inputs!$B$1+((Inputs!$G$5:$G$110&lt;&gt;"moeda")*(Inputs!$G$5:$G$110&lt;&gt;"acoes")))*INDEX(Inputs!$K$5:$AJ$110,0,MATCH(AA$2,Inputs!$K$4:$AJ$4,0)))))</f>
        <v>0</v>
      </c>
      <c r="AB46" s="3">
        <f>AA46</f>
        <v>0</v>
      </c>
      <c r="AC46" s="6">
        <f>IF(ISNA(MATCH(AC$2,Inputs!$K$4:$AJ$4,0)),NA(),IF(SUMPRODUCT((Inputs!$A$5:$A$110=$B46)*ISNUMBER(INDEX(Inputs!$K$5:$AJ$110,0,MATCH(AC$2,Inputs!$K$4:$AJ$4,0))))+SUMPRODUCT((Inputs!$C$5:$C$110=$B46)*ISNUMBER(INDEX(Inputs!$K$5:$AJ$110,0,MATCH(AC$2,Inputs!$K$4:$AJ$4,0))))+SUMPRODUCT((Inputs!$E$5:$E$110=$B46)*ISNUMBER(INDEX(Inputs!$K$5:$AJ$110,0,MATCH(AC$2,Inputs!$K$4:$AJ$4,0))))=0,NA(),SUMPRODUCT((Inputs!$A$5:$A$110=$B46)*Inputs!$B$5:$B$110*(((Inputs!$G$5:$G$110="moeda")+(Inputs!$G$5:$G$110="acoes"))*Inputs!$B$1+((Inputs!$G$5:$G$110&lt;&gt;"moeda")*(Inputs!$G$5:$G$110&lt;&gt;"acoes")))*INDEX(Inputs!$K$5:$AJ$110,0,MATCH(AC$2,Inputs!$K$4:$AJ$4,0)))+SUMPRODUCT((Inputs!$C$5:$C$110=$B46)*Inputs!$D$5:$D$110*(((Inputs!$G$5:$G$110="moeda")+(Inputs!$G$5:$G$110="acoes"))*Inputs!$B$1+((Inputs!$G$5:$G$110&lt;&gt;"moeda")*(Inputs!$G$5:$G$110&lt;&gt;"acoes")))*INDEX(Inputs!$K$5:$AJ$110,0,MATCH(AC$2,Inputs!$K$4:$AJ$4,0)))+SUMPRODUCT((Inputs!$E$5:$E$110=$B46)*Inputs!$F$5:$F$110*(((Inputs!$G$5:$G$110="moeda")+(Inputs!$G$5:$G$110="acoes"))*Inputs!$B$1+((Inputs!$G$5:$G$110&lt;&gt;"moeda")*(Inputs!$G$5:$G$110&lt;&gt;"acoes")))*INDEX(Inputs!$K$5:$AJ$110,0,MATCH(AC$2,Inputs!$K$4:$AJ$4,0)))))</f>
        <v>0</v>
      </c>
      <c r="AD46" s="6">
        <f>IF(ISNA(MATCH(AD$2,Inputs!$K$4:$AJ$4,0)),NA(),IF(SUMPRODUCT((Inputs!$A$5:$A$110=$B46)*ISNUMBER(INDEX(Inputs!$K$5:$AJ$110,0,MATCH(AD$2,Inputs!$K$4:$AJ$4,0))))+SUMPRODUCT((Inputs!$C$5:$C$110=$B46)*ISNUMBER(INDEX(Inputs!$K$5:$AJ$110,0,MATCH(AD$2,Inputs!$K$4:$AJ$4,0))))+SUMPRODUCT((Inputs!$E$5:$E$110=$B46)*ISNUMBER(INDEX(Inputs!$K$5:$AJ$110,0,MATCH(AD$2,Inputs!$K$4:$AJ$4,0))))=0,NA(),SUMPRODUCT((Inputs!$A$5:$A$110=$B46)*Inputs!$B$5:$B$110*(((Inputs!$G$5:$G$110="moeda")+(Inputs!$G$5:$G$110="acoes"))*Inputs!$B$1+((Inputs!$G$5:$G$110&lt;&gt;"moeda")*(Inputs!$G$5:$G$110&lt;&gt;"acoes")))*INDEX(Inputs!$K$5:$AJ$110,0,MATCH(AD$2,Inputs!$K$4:$AJ$4,0)))+SUMPRODUCT((Inputs!$C$5:$C$110=$B46)*Inputs!$D$5:$D$110*(((Inputs!$G$5:$G$110="moeda")+(Inputs!$G$5:$G$110="acoes"))*Inputs!$B$1+((Inputs!$G$5:$G$110&lt;&gt;"moeda")*(Inputs!$G$5:$G$110&lt;&gt;"acoes")))*INDEX(Inputs!$K$5:$AJ$110,0,MATCH(AD$2,Inputs!$K$4:$AJ$4,0)))+SUMPRODUCT((Inputs!$E$5:$E$110=$B46)*Inputs!$F$5:$F$110*(((Inputs!$G$5:$G$110="moeda")+(Inputs!$G$5:$G$110="acoes"))*Inputs!$B$1+((Inputs!$G$5:$G$110&lt;&gt;"moeda")*(Inputs!$G$5:$G$110&lt;&gt;"acoes")))*INDEX(Inputs!$K$5:$AJ$110,0,MATCH(AD$2,Inputs!$K$4:$AJ$4,0)))))</f>
        <v>0</v>
      </c>
      <c r="AE46" s="6" t="e">
        <f>IF(ISNA(MATCH(AE$2,Inputs!$K$4:$AJ$4,0)),NA(),IF(SUMPRODUCT((Inputs!$A$5:$A$110=$B46)*ISNUMBER(INDEX(Inputs!$K$5:$AJ$110,0,MATCH(AE$2,Inputs!$K$4:$AJ$4,0))))+SUMPRODUCT((Inputs!$C$5:$C$110=$B46)*ISNUMBER(INDEX(Inputs!$K$5:$AJ$110,0,MATCH(AE$2,Inputs!$K$4:$AJ$4,0))))+SUMPRODUCT((Inputs!$E$5:$E$110=$B46)*ISNUMBER(INDEX(Inputs!$K$5:$AJ$110,0,MATCH(AE$2,Inputs!$K$4:$AJ$4,0))))=0,NA(),SUMPRODUCT((Inputs!$A$5:$A$110=$B46)*Inputs!$B$5:$B$110*(((Inputs!$G$5:$G$110="moeda")+(Inputs!$G$5:$G$110="acoes"))*Inputs!$B$1+((Inputs!$G$5:$G$110&lt;&gt;"moeda")*(Inputs!$G$5:$G$110&lt;&gt;"acoes")))*INDEX(Inputs!$K$5:$AJ$110,0,MATCH(AE$2,Inputs!$K$4:$AJ$4,0)))+SUMPRODUCT((Inputs!$C$5:$C$110=$B46)*Inputs!$D$5:$D$110*(((Inputs!$G$5:$G$110="moeda")+(Inputs!$G$5:$G$110="acoes"))*Inputs!$B$1+((Inputs!$G$5:$G$110&lt;&gt;"moeda")*(Inputs!$G$5:$G$110&lt;&gt;"acoes")))*INDEX(Inputs!$K$5:$AJ$110,0,MATCH(AE$2,Inputs!$K$4:$AJ$4,0)))+SUMPRODUCT((Inputs!$E$5:$E$110=$B46)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6" s="6" t="e">
        <f>IF(ISNA(MATCH(AF$2,Inputs!$K$4:$AJ$4,0)),NA(),IF(SUMPRODUCT((Inputs!$A$5:$A$110=$B46)*ISNUMBER(INDEX(Inputs!$K$5:$AJ$110,0,MATCH(AF$2,Inputs!$K$4:$AJ$4,0))))+SUMPRODUCT((Inputs!$C$5:$C$110=$B46)*ISNUMBER(INDEX(Inputs!$K$5:$AJ$110,0,MATCH(AF$2,Inputs!$K$4:$AJ$4,0))))+SUMPRODUCT((Inputs!$E$5:$E$110=$B46)*ISNUMBER(INDEX(Inputs!$K$5:$AJ$110,0,MATCH(AF$2,Inputs!$K$4:$AJ$4,0))))=0,NA(),SUMPRODUCT((Inputs!$A$5:$A$110=$B46)*Inputs!$B$5:$B$110*(((Inputs!$G$5:$G$110="moeda")+(Inputs!$G$5:$G$110="acoes"))*Inputs!$B$1+((Inputs!$G$5:$G$110&lt;&gt;"moeda")*(Inputs!$G$5:$G$110&lt;&gt;"acoes")))*INDEX(Inputs!$K$5:$AJ$110,0,MATCH(AF$2,Inputs!$K$4:$AJ$4,0)))+SUMPRODUCT((Inputs!$C$5:$C$110=$B46)*Inputs!$D$5:$D$110*(((Inputs!$G$5:$G$110="moeda")+(Inputs!$G$5:$G$110="acoes"))*Inputs!$B$1+((Inputs!$G$5:$G$110&lt;&gt;"moeda")*(Inputs!$G$5:$G$110&lt;&gt;"acoes")))*INDEX(Inputs!$K$5:$AJ$110,0,MATCH(AF$2,Inputs!$K$4:$AJ$4,0)))+SUMPRODUCT((Inputs!$E$5:$E$110=$B46)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6" s="3" t="e">
        <f>AF46</f>
        <v>#N/A</v>
      </c>
      <c r="AH46" s="6">
        <f>IF(ISNA(MATCH(AH$2,Inputs!$K$4:$AJ$4,0)),NA(),IF(SUMPRODUCT((Inputs!$A$5:$A$110=$B46)*ISNUMBER(INDEX(Inputs!$K$5:$AJ$110,0,MATCH(AH$2,Inputs!$K$4:$AJ$4,0))))+SUMPRODUCT((Inputs!$C$5:$C$110=$B46)*ISNUMBER(INDEX(Inputs!$K$5:$AJ$110,0,MATCH(AH$2,Inputs!$K$4:$AJ$4,0))))+SUMPRODUCT((Inputs!$E$5:$E$110=$B46)*ISNUMBER(INDEX(Inputs!$K$5:$AJ$110,0,MATCH(AH$2,Inputs!$K$4:$AJ$4,0))))=0,NA(),SUMPRODUCT((Inputs!$A$5:$A$110=$B46)*Inputs!$B$5:$B$110*(((Inputs!$G$5:$G$110="moeda")+(Inputs!$G$5:$G$110="acoes"))*Inputs!$B$1+((Inputs!$G$5:$G$110&lt;&gt;"moeda")*(Inputs!$G$5:$G$110&lt;&gt;"acoes")))*INDEX(Inputs!$K$5:$AJ$110,0,MATCH(AH$2,Inputs!$K$4:$AJ$4,0)))+SUMPRODUCT((Inputs!$C$5:$C$110=$B46)*Inputs!$D$5:$D$110*(((Inputs!$G$5:$G$110="moeda")+(Inputs!$G$5:$G$110="acoes"))*Inputs!$B$1+((Inputs!$G$5:$G$110&lt;&gt;"moeda")*(Inputs!$G$5:$G$110&lt;&gt;"acoes")))*INDEX(Inputs!$K$5:$AJ$110,0,MATCH(AH$2,Inputs!$K$4:$AJ$4,0)))+SUMPRODUCT((Inputs!$E$5:$E$110=$B46)*Inputs!$F$5:$F$110*(((Inputs!$G$5:$G$110="moeda")+(Inputs!$G$5:$G$110="acoes"))*Inputs!$B$1+((Inputs!$G$5:$G$110&lt;&gt;"moeda")*(Inputs!$G$5:$G$110&lt;&gt;"acoes")))*INDEX(Inputs!$K$5:$AJ$110,0,MATCH(AH$2,Inputs!$K$4:$AJ$4,0)))))</f>
        <v>28</v>
      </c>
      <c r="AI46" s="6">
        <f>IF(ISNA(MATCH(AI$2,Inputs!$K$4:$AJ$4,0)),NA(),IF(SUMPRODUCT((Inputs!$A$5:$A$110=$B46)*ISNUMBER(INDEX(Inputs!$K$5:$AJ$110,0,MATCH(AI$2,Inputs!$K$4:$AJ$4,0))))+SUMPRODUCT((Inputs!$C$5:$C$110=$B46)*ISNUMBER(INDEX(Inputs!$K$5:$AJ$110,0,MATCH(AI$2,Inputs!$K$4:$AJ$4,0))))+SUMPRODUCT((Inputs!$E$5:$E$110=$B46)*ISNUMBER(INDEX(Inputs!$K$5:$AJ$110,0,MATCH(AI$2,Inputs!$K$4:$AJ$4,0))))=0,NA(),SUMPRODUCT((Inputs!$A$5:$A$110=$B46)*Inputs!$B$5:$B$110*(((Inputs!$G$5:$G$110="moeda")+(Inputs!$G$5:$G$110="acoes"))*Inputs!$B$1+((Inputs!$G$5:$G$110&lt;&gt;"moeda")*(Inputs!$G$5:$G$110&lt;&gt;"acoes")))*INDEX(Inputs!$K$5:$AJ$110,0,MATCH(AI$2,Inputs!$K$4:$AJ$4,0)))+SUMPRODUCT((Inputs!$C$5:$C$110=$B46)*Inputs!$D$5:$D$110*(((Inputs!$G$5:$G$110="moeda")+(Inputs!$G$5:$G$110="acoes"))*Inputs!$B$1+((Inputs!$G$5:$G$110&lt;&gt;"moeda")*(Inputs!$G$5:$G$110&lt;&gt;"acoes")))*INDEX(Inputs!$K$5:$AJ$110,0,MATCH(AI$2,Inputs!$K$4:$AJ$4,0)))+SUMPRODUCT((Inputs!$E$5:$E$110=$B46)*Inputs!$F$5:$F$110*(((Inputs!$G$5:$G$110="moeda")+(Inputs!$G$5:$G$110="acoes"))*Inputs!$B$1+((Inputs!$G$5:$G$110&lt;&gt;"moeda")*(Inputs!$G$5:$G$110&lt;&gt;"acoes")))*INDEX(Inputs!$K$5:$AJ$110,0,MATCH(AI$2,Inputs!$K$4:$AJ$4,0)))))</f>
        <v>28</v>
      </c>
      <c r="AJ46" s="6">
        <f>IF(ISNA(MATCH(AJ$2,Inputs!$K$4:$AJ$4,0)),NA(),IF(SUMPRODUCT((Inputs!$A$5:$A$110=$B46)*ISNUMBER(INDEX(Inputs!$K$5:$AJ$110,0,MATCH(AJ$2,Inputs!$K$4:$AJ$4,0))))+SUMPRODUCT((Inputs!$C$5:$C$110=$B46)*ISNUMBER(INDEX(Inputs!$K$5:$AJ$110,0,MATCH(AJ$2,Inputs!$K$4:$AJ$4,0))))+SUMPRODUCT((Inputs!$E$5:$E$110=$B46)*ISNUMBER(INDEX(Inputs!$K$5:$AJ$110,0,MATCH(AJ$2,Inputs!$K$4:$AJ$4,0))))=0,NA(),SUMPRODUCT((Inputs!$A$5:$A$110=$B46)*Inputs!$B$5:$B$110*(((Inputs!$G$5:$G$110="moeda")+(Inputs!$G$5:$G$110="acoes"))*Inputs!$B$1+((Inputs!$G$5:$G$110&lt;&gt;"moeda")*(Inputs!$G$5:$G$110&lt;&gt;"acoes")))*INDEX(Inputs!$K$5:$AJ$110,0,MATCH(AJ$2,Inputs!$K$4:$AJ$4,0)))+SUMPRODUCT((Inputs!$C$5:$C$110=$B46)*Inputs!$D$5:$D$110*(((Inputs!$G$5:$G$110="moeda")+(Inputs!$G$5:$G$110="acoes"))*Inputs!$B$1+((Inputs!$G$5:$G$110&lt;&gt;"moeda")*(Inputs!$G$5:$G$110&lt;&gt;"acoes")))*INDEX(Inputs!$K$5:$AJ$110,0,MATCH(AJ$2,Inputs!$K$4:$AJ$4,0)))+SUMPRODUCT((Inputs!$E$5:$E$110=$B46)*Inputs!$F$5:$F$110*(((Inputs!$G$5:$G$110="moeda")+(Inputs!$G$5:$G$110="acoes"))*Inputs!$B$1+((Inputs!$G$5:$G$110&lt;&gt;"moeda")*(Inputs!$G$5:$G$110&lt;&gt;"acoes")))*INDEX(Inputs!$K$5:$AJ$110,0,MATCH(AJ$2,Inputs!$K$4:$AJ$4,0)))))</f>
        <v>27</v>
      </c>
      <c r="AK46" s="6">
        <f>IF(ISNA(MATCH(AK$2,Inputs!$K$4:$AJ$4,0)),NA(),IF(SUMPRODUCT((Inputs!$A$5:$A$110=$B46)*ISNUMBER(INDEX(Inputs!$K$5:$AJ$110,0,MATCH(AK$2,Inputs!$K$4:$AJ$4,0))))+SUMPRODUCT((Inputs!$C$5:$C$110=$B46)*ISNUMBER(INDEX(Inputs!$K$5:$AJ$110,0,MATCH(AK$2,Inputs!$K$4:$AJ$4,0))))+SUMPRODUCT((Inputs!$E$5:$E$110=$B46)*ISNUMBER(INDEX(Inputs!$K$5:$AJ$110,0,MATCH(AK$2,Inputs!$K$4:$AJ$4,0))))=0,NA(),SUMPRODUCT((Inputs!$A$5:$A$110=$B46)*Inputs!$B$5:$B$110*(((Inputs!$G$5:$G$110="moeda")+(Inputs!$G$5:$G$110="acoes"))*Inputs!$B$1+((Inputs!$G$5:$G$110&lt;&gt;"moeda")*(Inputs!$G$5:$G$110&lt;&gt;"acoes")))*INDEX(Inputs!$K$5:$AJ$110,0,MATCH(AK$2,Inputs!$K$4:$AJ$4,0)))+SUMPRODUCT((Inputs!$C$5:$C$110=$B46)*Inputs!$D$5:$D$110*(((Inputs!$G$5:$G$110="moeda")+(Inputs!$G$5:$G$110="acoes"))*Inputs!$B$1+((Inputs!$G$5:$G$110&lt;&gt;"moeda")*(Inputs!$G$5:$G$110&lt;&gt;"acoes")))*INDEX(Inputs!$K$5:$AJ$110,0,MATCH(AK$2,Inputs!$K$4:$AJ$4,0)))+SUMPRODUCT((Inputs!$E$5:$E$110=$B46)*Inputs!$F$5:$F$110*(((Inputs!$G$5:$G$110="moeda")+(Inputs!$G$5:$G$110="acoes"))*Inputs!$B$1+((Inputs!$G$5:$G$110&lt;&gt;"moeda")*(Inputs!$G$5:$G$110&lt;&gt;"acoes")))*INDEX(Inputs!$K$5:$AJ$110,0,MATCH(AK$2,Inputs!$K$4:$AJ$4,0)))))</f>
        <v>26</v>
      </c>
      <c r="AL46" s="3">
        <f>AK46</f>
        <v>26</v>
      </c>
    </row>
    <row r="47">
      <c r="B47" s="46" t="n">
        <v>41</v>
      </c>
      <c r="C47" s="28" t="inlineStr">
        <is>
          <t>Retained earnings</t>
        </is>
      </c>
      <c r="D47" s="6">
        <f>IF(ISNA(MATCH(D$2,Inputs!$K$4:$AJ$4,0)),NA(),IF(SUMPRODUCT((Inputs!$A$5:$A$110=$B47)*ISNUMBER(INDEX(Inputs!$K$5:$AJ$110,0,MATCH(D$2,Inputs!$K$4:$AJ$4,0))))+SUMPRODUCT((Inputs!$C$5:$C$110=$B47)*ISNUMBER(INDEX(Inputs!$K$5:$AJ$110,0,MATCH(D$2,Inputs!$K$4:$AJ$4,0))))+SUMPRODUCT((Inputs!$E$5:$E$110=$B47)*ISNUMBER(INDEX(Inputs!$K$5:$AJ$110,0,MATCH(D$2,Inputs!$K$4:$AJ$4,0))))=0,NA(),SUMPRODUCT((Inputs!$A$5:$A$110=$B47)*Inputs!$B$5:$B$110*(((Inputs!$G$5:$G$110="moeda")+(Inputs!$G$5:$G$110="acoes"))*Inputs!$B$1+((Inputs!$G$5:$G$110&lt;&gt;"moeda")*(Inputs!$G$5:$G$110&lt;&gt;"acoes")))*INDEX(Inputs!$K$5:$AJ$110,0,MATCH(D$2,Inputs!$K$4:$AJ$4,0)))+SUMPRODUCT((Inputs!$C$5:$C$110=$B47)*Inputs!$D$5:$D$110*(((Inputs!$G$5:$G$110="moeda")+(Inputs!$G$5:$G$110="acoes"))*Inputs!$B$1+((Inputs!$G$5:$G$110&lt;&gt;"moeda")*(Inputs!$G$5:$G$110&lt;&gt;"acoes")))*INDEX(Inputs!$K$5:$AJ$110,0,MATCH(D$2,Inputs!$K$4:$AJ$4,0)))+SUMPRODUCT((Inputs!$E$5:$E$110=$B47)*Inputs!$F$5:$F$110*(((Inputs!$G$5:$G$110="moeda")+(Inputs!$G$5:$G$110="acoes"))*Inputs!$B$1+((Inputs!$G$5:$G$110&lt;&gt;"moeda")*(Inputs!$G$5:$G$110&lt;&gt;"acoes")))*INDEX(Inputs!$K$5:$AJ$110,0,MATCH(D$2,Inputs!$K$4:$AJ$4,0)))))</f>
        <v>0</v>
      </c>
      <c r="E47" s="6">
        <f>IF(ISNA(MATCH(E$2,Inputs!$K$4:$AJ$4,0)),NA(),IF(SUMPRODUCT((Inputs!$A$5:$A$110=$B47)*ISNUMBER(INDEX(Inputs!$K$5:$AJ$110,0,MATCH(E$2,Inputs!$K$4:$AJ$4,0))))+SUMPRODUCT((Inputs!$C$5:$C$110=$B47)*ISNUMBER(INDEX(Inputs!$K$5:$AJ$110,0,MATCH(E$2,Inputs!$K$4:$AJ$4,0))))+SUMPRODUCT((Inputs!$E$5:$E$110=$B47)*ISNUMBER(INDEX(Inputs!$K$5:$AJ$110,0,MATCH(E$2,Inputs!$K$4:$AJ$4,0))))=0,NA(),SUMPRODUCT((Inputs!$A$5:$A$110=$B47)*Inputs!$B$5:$B$110*(((Inputs!$G$5:$G$110="moeda")+(Inputs!$G$5:$G$110="acoes"))*Inputs!$B$1+((Inputs!$G$5:$G$110&lt;&gt;"moeda")*(Inputs!$G$5:$G$110&lt;&gt;"acoes")))*INDEX(Inputs!$K$5:$AJ$110,0,MATCH(E$2,Inputs!$K$4:$AJ$4,0)))+SUMPRODUCT((Inputs!$C$5:$C$110=$B47)*Inputs!$D$5:$D$110*(((Inputs!$G$5:$G$110="moeda")+(Inputs!$G$5:$G$110="acoes"))*Inputs!$B$1+((Inputs!$G$5:$G$110&lt;&gt;"moeda")*(Inputs!$G$5:$G$110&lt;&gt;"acoes")))*INDEX(Inputs!$K$5:$AJ$110,0,MATCH(E$2,Inputs!$K$4:$AJ$4,0)))+SUMPRODUCT((Inputs!$E$5:$E$110=$B47)*Inputs!$F$5:$F$110*(((Inputs!$G$5:$G$110="moeda")+(Inputs!$G$5:$G$110="acoes"))*Inputs!$B$1+((Inputs!$G$5:$G$110&lt;&gt;"moeda")*(Inputs!$G$5:$G$110&lt;&gt;"acoes")))*INDEX(Inputs!$K$5:$AJ$110,0,MATCH(E$2,Inputs!$K$4:$AJ$4,0)))))</f>
        <v>320</v>
      </c>
      <c r="F47" s="6">
        <f>IF(ISNA(MATCH(F$2,Inputs!$K$4:$AJ$4,0)),NA(),IF(SUMPRODUCT((Inputs!$A$5:$A$110=$B47)*ISNUMBER(INDEX(Inputs!$K$5:$AJ$110,0,MATCH(F$2,Inputs!$K$4:$AJ$4,0))))+SUMPRODUCT((Inputs!$C$5:$C$110=$B47)*ISNUMBER(INDEX(Inputs!$K$5:$AJ$110,0,MATCH(F$2,Inputs!$K$4:$AJ$4,0))))+SUMPRODUCT((Inputs!$E$5:$E$110=$B47)*ISNUMBER(INDEX(Inputs!$K$5:$AJ$110,0,MATCH(F$2,Inputs!$K$4:$AJ$4,0))))=0,NA(),SUMPRODUCT((Inputs!$A$5:$A$110=$B47)*Inputs!$B$5:$B$110*(((Inputs!$G$5:$G$110="moeda")+(Inputs!$G$5:$G$110="acoes"))*Inputs!$B$1+((Inputs!$G$5:$G$110&lt;&gt;"moeda")*(Inputs!$G$5:$G$110&lt;&gt;"acoes")))*INDEX(Inputs!$K$5:$AJ$110,0,MATCH(F$2,Inputs!$K$4:$AJ$4,0)))+SUMPRODUCT((Inputs!$C$5:$C$110=$B47)*Inputs!$D$5:$D$110*(((Inputs!$G$5:$G$110="moeda")+(Inputs!$G$5:$G$110="acoes"))*Inputs!$B$1+((Inputs!$G$5:$G$110&lt;&gt;"moeda")*(Inputs!$G$5:$G$110&lt;&gt;"acoes")))*INDEX(Inputs!$K$5:$AJ$110,0,MATCH(F$2,Inputs!$K$4:$AJ$4,0)))+SUMPRODUCT((Inputs!$E$5:$E$110=$B47)*Inputs!$F$5:$F$110*(((Inputs!$G$5:$G$110="moeda")+(Inputs!$G$5:$G$110="acoes"))*Inputs!$B$1+((Inputs!$G$5:$G$110&lt;&gt;"moeda")*(Inputs!$G$5:$G$110&lt;&gt;"acoes")))*INDEX(Inputs!$K$5:$AJ$110,0,MATCH(F$2,Inputs!$K$4:$AJ$4,0)))))</f>
        <v>748</v>
      </c>
      <c r="G47" s="6">
        <f>IF(ISNA(MATCH(G$2,Inputs!$K$4:$AJ$4,0)),NA(),IF(SUMPRODUCT((Inputs!$A$5:$A$110=$B47)*ISNUMBER(INDEX(Inputs!$K$5:$AJ$110,0,MATCH(G$2,Inputs!$K$4:$AJ$4,0))))+SUMPRODUCT((Inputs!$C$5:$C$110=$B47)*ISNUMBER(INDEX(Inputs!$K$5:$AJ$110,0,MATCH(G$2,Inputs!$K$4:$AJ$4,0))))+SUMPRODUCT((Inputs!$E$5:$E$110=$B47)*ISNUMBER(INDEX(Inputs!$K$5:$AJ$110,0,MATCH(G$2,Inputs!$K$4:$AJ$4,0))))=0,NA(),SUMPRODUCT((Inputs!$A$5:$A$110=$B47)*Inputs!$B$5:$B$110*(((Inputs!$G$5:$G$110="moeda")+(Inputs!$G$5:$G$110="acoes"))*Inputs!$B$1+((Inputs!$G$5:$G$110&lt;&gt;"moeda")*(Inputs!$G$5:$G$110&lt;&gt;"acoes")))*INDEX(Inputs!$K$5:$AJ$110,0,MATCH(G$2,Inputs!$K$4:$AJ$4,0)))+SUMPRODUCT((Inputs!$C$5:$C$110=$B47)*Inputs!$D$5:$D$110*(((Inputs!$G$5:$G$110="moeda")+(Inputs!$G$5:$G$110="acoes"))*Inputs!$B$1+((Inputs!$G$5:$G$110&lt;&gt;"moeda")*(Inputs!$G$5:$G$110&lt;&gt;"acoes")))*INDEX(Inputs!$K$5:$AJ$110,0,MATCH(G$2,Inputs!$K$4:$AJ$4,0)))+SUMPRODUCT((Inputs!$E$5:$E$110=$B47)*Inputs!$F$5:$F$110*(((Inputs!$G$5:$G$110="moeda")+(Inputs!$G$5:$G$110="acoes"))*Inputs!$B$1+((Inputs!$G$5:$G$110&lt;&gt;"moeda")*(Inputs!$G$5:$G$110&lt;&gt;"acoes")))*INDEX(Inputs!$K$5:$AJ$110,0,MATCH(G$2,Inputs!$K$4:$AJ$4,0)))))</f>
        <v>0</v>
      </c>
      <c r="H47" s="3">
        <f>G47</f>
        <v>0</v>
      </c>
      <c r="I47" s="6">
        <f>IF(ISNA(MATCH(I$2,Inputs!$K$4:$AJ$4,0)),NA(),IF(SUMPRODUCT((Inputs!$A$5:$A$110=$B47)*ISNUMBER(INDEX(Inputs!$K$5:$AJ$110,0,MATCH(I$2,Inputs!$K$4:$AJ$4,0))))+SUMPRODUCT((Inputs!$C$5:$C$110=$B47)*ISNUMBER(INDEX(Inputs!$K$5:$AJ$110,0,MATCH(I$2,Inputs!$K$4:$AJ$4,0))))+SUMPRODUCT((Inputs!$E$5:$E$110=$B47)*ISNUMBER(INDEX(Inputs!$K$5:$AJ$110,0,MATCH(I$2,Inputs!$K$4:$AJ$4,0))))=0,NA(),SUMPRODUCT((Inputs!$A$5:$A$110=$B47)*Inputs!$B$5:$B$110*(((Inputs!$G$5:$G$110="moeda")+(Inputs!$G$5:$G$110="acoes"))*Inputs!$B$1+((Inputs!$G$5:$G$110&lt;&gt;"moeda")*(Inputs!$G$5:$G$110&lt;&gt;"acoes")))*INDEX(Inputs!$K$5:$AJ$110,0,MATCH(I$2,Inputs!$K$4:$AJ$4,0)))+SUMPRODUCT((Inputs!$C$5:$C$110=$B47)*Inputs!$D$5:$D$110*(((Inputs!$G$5:$G$110="moeda")+(Inputs!$G$5:$G$110="acoes"))*Inputs!$B$1+((Inputs!$G$5:$G$110&lt;&gt;"moeda")*(Inputs!$G$5:$G$110&lt;&gt;"acoes")))*INDEX(Inputs!$K$5:$AJ$110,0,MATCH(I$2,Inputs!$K$4:$AJ$4,0)))+SUMPRODUCT((Inputs!$E$5:$E$110=$B47)*Inputs!$F$5:$F$110*(((Inputs!$G$5:$G$110="moeda")+(Inputs!$G$5:$G$110="acoes"))*Inputs!$B$1+((Inputs!$G$5:$G$110&lt;&gt;"moeda")*(Inputs!$G$5:$G$110&lt;&gt;"acoes")))*INDEX(Inputs!$K$5:$AJ$110,0,MATCH(I$2,Inputs!$K$4:$AJ$4,0)))))</f>
        <v>0</v>
      </c>
      <c r="J47" s="6">
        <f>IF(ISNA(MATCH(J$2,Inputs!$K$4:$AJ$4,0)),NA(),IF(SUMPRODUCT((Inputs!$A$5:$A$110=$B47)*ISNUMBER(INDEX(Inputs!$K$5:$AJ$110,0,MATCH(J$2,Inputs!$K$4:$AJ$4,0))))+SUMPRODUCT((Inputs!$C$5:$C$110=$B47)*ISNUMBER(INDEX(Inputs!$K$5:$AJ$110,0,MATCH(J$2,Inputs!$K$4:$AJ$4,0))))+SUMPRODUCT((Inputs!$E$5:$E$110=$B47)*ISNUMBER(INDEX(Inputs!$K$5:$AJ$110,0,MATCH(J$2,Inputs!$K$4:$AJ$4,0))))=0,NA(),SUMPRODUCT((Inputs!$A$5:$A$110=$B47)*Inputs!$B$5:$B$110*(((Inputs!$G$5:$G$110="moeda")+(Inputs!$G$5:$G$110="acoes"))*Inputs!$B$1+((Inputs!$G$5:$G$110&lt;&gt;"moeda")*(Inputs!$G$5:$G$110&lt;&gt;"acoes")))*INDEX(Inputs!$K$5:$AJ$110,0,MATCH(J$2,Inputs!$K$4:$AJ$4,0)))+SUMPRODUCT((Inputs!$C$5:$C$110=$B47)*Inputs!$D$5:$D$110*(((Inputs!$G$5:$G$110="moeda")+(Inputs!$G$5:$G$110="acoes"))*Inputs!$B$1+((Inputs!$G$5:$G$110&lt;&gt;"moeda")*(Inputs!$G$5:$G$110&lt;&gt;"acoes")))*INDEX(Inputs!$K$5:$AJ$110,0,MATCH(J$2,Inputs!$K$4:$AJ$4,0)))+SUMPRODUCT((Inputs!$E$5:$E$110=$B47)*Inputs!$F$5:$F$110*(((Inputs!$G$5:$G$110="moeda")+(Inputs!$G$5:$G$110="acoes"))*Inputs!$B$1+((Inputs!$G$5:$G$110&lt;&gt;"moeda")*(Inputs!$G$5:$G$110&lt;&gt;"acoes")))*INDEX(Inputs!$K$5:$AJ$110,0,MATCH(J$2,Inputs!$K$4:$AJ$4,0)))))</f>
        <v>0</v>
      </c>
      <c r="K47" s="6">
        <f>IF(ISNA(MATCH(K$2,Inputs!$K$4:$AJ$4,0)),NA(),IF(SUMPRODUCT((Inputs!$A$5:$A$110=$B47)*ISNUMBER(INDEX(Inputs!$K$5:$AJ$110,0,MATCH(K$2,Inputs!$K$4:$AJ$4,0))))+SUMPRODUCT((Inputs!$C$5:$C$110=$B47)*ISNUMBER(INDEX(Inputs!$K$5:$AJ$110,0,MATCH(K$2,Inputs!$K$4:$AJ$4,0))))+SUMPRODUCT((Inputs!$E$5:$E$110=$B47)*ISNUMBER(INDEX(Inputs!$K$5:$AJ$110,0,MATCH(K$2,Inputs!$K$4:$AJ$4,0))))=0,NA(),SUMPRODUCT((Inputs!$A$5:$A$110=$B47)*Inputs!$B$5:$B$110*(((Inputs!$G$5:$G$110="moeda")+(Inputs!$G$5:$G$110="acoes"))*Inputs!$B$1+((Inputs!$G$5:$G$110&lt;&gt;"moeda")*(Inputs!$G$5:$G$110&lt;&gt;"acoes")))*INDEX(Inputs!$K$5:$AJ$110,0,MATCH(K$2,Inputs!$K$4:$AJ$4,0)))+SUMPRODUCT((Inputs!$C$5:$C$110=$B47)*Inputs!$D$5:$D$110*(((Inputs!$G$5:$G$110="moeda")+(Inputs!$G$5:$G$110="acoes"))*Inputs!$B$1+((Inputs!$G$5:$G$110&lt;&gt;"moeda")*(Inputs!$G$5:$G$110&lt;&gt;"acoes")))*INDEX(Inputs!$K$5:$AJ$110,0,MATCH(K$2,Inputs!$K$4:$AJ$4,0)))+SUMPRODUCT((Inputs!$E$5:$E$110=$B47)*Inputs!$F$5:$F$110*(((Inputs!$G$5:$G$110="moeda")+(Inputs!$G$5:$G$110="acoes"))*Inputs!$B$1+((Inputs!$G$5:$G$110&lt;&gt;"moeda")*(Inputs!$G$5:$G$110&lt;&gt;"acoes")))*INDEX(Inputs!$K$5:$AJ$110,0,MATCH(K$2,Inputs!$K$4:$AJ$4,0)))))</f>
        <v>1604</v>
      </c>
      <c r="L47" s="6">
        <f>IF(ISNA(MATCH(L$2,Inputs!$K$4:$AJ$4,0)),NA(),IF(SUMPRODUCT((Inputs!$A$5:$A$110=$B47)*ISNUMBER(INDEX(Inputs!$K$5:$AJ$110,0,MATCH(L$2,Inputs!$K$4:$AJ$4,0))))+SUMPRODUCT((Inputs!$C$5:$C$110=$B47)*ISNUMBER(INDEX(Inputs!$K$5:$AJ$110,0,MATCH(L$2,Inputs!$K$4:$AJ$4,0))))+SUMPRODUCT((Inputs!$E$5:$E$110=$B47)*ISNUMBER(INDEX(Inputs!$K$5:$AJ$110,0,MATCH(L$2,Inputs!$K$4:$AJ$4,0))))=0,NA(),SUMPRODUCT((Inputs!$A$5:$A$110=$B47)*Inputs!$B$5:$B$110*(((Inputs!$G$5:$G$110="moeda")+(Inputs!$G$5:$G$110="acoes"))*Inputs!$B$1+((Inputs!$G$5:$G$110&lt;&gt;"moeda")*(Inputs!$G$5:$G$110&lt;&gt;"acoes")))*INDEX(Inputs!$K$5:$AJ$110,0,MATCH(L$2,Inputs!$K$4:$AJ$4,0)))+SUMPRODUCT((Inputs!$C$5:$C$110=$B47)*Inputs!$D$5:$D$110*(((Inputs!$G$5:$G$110="moeda")+(Inputs!$G$5:$G$110="acoes"))*Inputs!$B$1+((Inputs!$G$5:$G$110&lt;&gt;"moeda")*(Inputs!$G$5:$G$110&lt;&gt;"acoes")))*INDEX(Inputs!$K$5:$AJ$110,0,MATCH(L$2,Inputs!$K$4:$AJ$4,0)))+SUMPRODUCT((Inputs!$E$5:$E$110=$B47)*Inputs!$F$5:$F$110*(((Inputs!$G$5:$G$110="moeda")+(Inputs!$G$5:$G$110="acoes"))*Inputs!$B$1+((Inputs!$G$5:$G$110&lt;&gt;"moeda")*(Inputs!$G$5:$G$110&lt;&gt;"acoes")))*INDEX(Inputs!$K$5:$AJ$110,0,MATCH(L$2,Inputs!$K$4:$AJ$4,0)))))</f>
        <v>2371</v>
      </c>
      <c r="M47" s="3">
        <f>L47</f>
        <v>2371</v>
      </c>
      <c r="N47" s="6">
        <f>IF(ISNA(MATCH(N$2,Inputs!$K$4:$AJ$4,0)),NA(),IF(SUMPRODUCT((Inputs!$A$5:$A$110=$B47)*ISNUMBER(INDEX(Inputs!$K$5:$AJ$110,0,MATCH(N$2,Inputs!$K$4:$AJ$4,0))))+SUMPRODUCT((Inputs!$C$5:$C$110=$B47)*ISNUMBER(INDEX(Inputs!$K$5:$AJ$110,0,MATCH(N$2,Inputs!$K$4:$AJ$4,0))))+SUMPRODUCT((Inputs!$E$5:$E$110=$B47)*ISNUMBER(INDEX(Inputs!$K$5:$AJ$110,0,MATCH(N$2,Inputs!$K$4:$AJ$4,0))))=0,NA(),SUMPRODUCT((Inputs!$A$5:$A$110=$B47)*Inputs!$B$5:$B$110*(((Inputs!$G$5:$G$110="moeda")+(Inputs!$G$5:$G$110="acoes"))*Inputs!$B$1+((Inputs!$G$5:$G$110&lt;&gt;"moeda")*(Inputs!$G$5:$G$110&lt;&gt;"acoes")))*INDEX(Inputs!$K$5:$AJ$110,0,MATCH(N$2,Inputs!$K$4:$AJ$4,0)))+SUMPRODUCT((Inputs!$C$5:$C$110=$B47)*Inputs!$D$5:$D$110*(((Inputs!$G$5:$G$110="moeda")+(Inputs!$G$5:$G$110="acoes"))*Inputs!$B$1+((Inputs!$G$5:$G$110&lt;&gt;"moeda")*(Inputs!$G$5:$G$110&lt;&gt;"acoes")))*INDEX(Inputs!$K$5:$AJ$110,0,MATCH(N$2,Inputs!$K$4:$AJ$4,0)))+SUMPRODUCT((Inputs!$E$5:$E$110=$B47)*Inputs!$F$5:$F$110*(((Inputs!$G$5:$G$110="moeda")+(Inputs!$G$5:$G$110="acoes"))*Inputs!$B$1+((Inputs!$G$5:$G$110&lt;&gt;"moeda")*(Inputs!$G$5:$G$110&lt;&gt;"acoes")))*INDEX(Inputs!$K$5:$AJ$110,0,MATCH(N$2,Inputs!$K$4:$AJ$4,0)))))</f>
        <v>1363</v>
      </c>
      <c r="O47" s="6">
        <f>IF(ISNA(MATCH(O$2,Inputs!$K$4:$AJ$4,0)),NA(),IF(SUMPRODUCT((Inputs!$A$5:$A$110=$B47)*ISNUMBER(INDEX(Inputs!$K$5:$AJ$110,0,MATCH(O$2,Inputs!$K$4:$AJ$4,0))))+SUMPRODUCT((Inputs!$C$5:$C$110=$B47)*ISNUMBER(INDEX(Inputs!$K$5:$AJ$110,0,MATCH(O$2,Inputs!$K$4:$AJ$4,0))))+SUMPRODUCT((Inputs!$E$5:$E$110=$B47)*ISNUMBER(INDEX(Inputs!$K$5:$AJ$110,0,MATCH(O$2,Inputs!$K$4:$AJ$4,0))))=0,NA(),SUMPRODUCT((Inputs!$A$5:$A$110=$B47)*Inputs!$B$5:$B$110*(((Inputs!$G$5:$G$110="moeda")+(Inputs!$G$5:$G$110="acoes"))*Inputs!$B$1+((Inputs!$G$5:$G$110&lt;&gt;"moeda")*(Inputs!$G$5:$G$110&lt;&gt;"acoes")))*INDEX(Inputs!$K$5:$AJ$110,0,MATCH(O$2,Inputs!$K$4:$AJ$4,0)))+SUMPRODUCT((Inputs!$C$5:$C$110=$B47)*Inputs!$D$5:$D$110*(((Inputs!$G$5:$G$110="moeda")+(Inputs!$G$5:$G$110="acoes"))*Inputs!$B$1+((Inputs!$G$5:$G$110&lt;&gt;"moeda")*(Inputs!$G$5:$G$110&lt;&gt;"acoes")))*INDEX(Inputs!$K$5:$AJ$110,0,MATCH(O$2,Inputs!$K$4:$AJ$4,0)))+SUMPRODUCT((Inputs!$E$5:$E$110=$B47)*Inputs!$F$5:$F$110*(((Inputs!$G$5:$G$110="moeda")+(Inputs!$G$5:$G$110="acoes"))*Inputs!$B$1+((Inputs!$G$5:$G$110&lt;&gt;"moeda")*(Inputs!$G$5:$G$110&lt;&gt;"acoes")))*INDEX(Inputs!$K$5:$AJ$110,0,MATCH(O$2,Inputs!$K$4:$AJ$4,0)))))</f>
        <v>1178</v>
      </c>
      <c r="P47" s="6">
        <f>IF(ISNA(MATCH(P$2,Inputs!$K$4:$AJ$4,0)),NA(),IF(SUMPRODUCT((Inputs!$A$5:$A$110=$B47)*ISNUMBER(INDEX(Inputs!$K$5:$AJ$110,0,MATCH(P$2,Inputs!$K$4:$AJ$4,0))))+SUMPRODUCT((Inputs!$C$5:$C$110=$B47)*ISNUMBER(INDEX(Inputs!$K$5:$AJ$110,0,MATCH(P$2,Inputs!$K$4:$AJ$4,0))))+SUMPRODUCT((Inputs!$E$5:$E$110=$B47)*ISNUMBER(INDEX(Inputs!$K$5:$AJ$110,0,MATCH(P$2,Inputs!$K$4:$AJ$4,0))))=0,NA(),SUMPRODUCT((Inputs!$A$5:$A$110=$B47)*Inputs!$B$5:$B$110*(((Inputs!$G$5:$G$110="moeda")+(Inputs!$G$5:$G$110="acoes"))*Inputs!$B$1+((Inputs!$G$5:$G$110&lt;&gt;"moeda")*(Inputs!$G$5:$G$110&lt;&gt;"acoes")))*INDEX(Inputs!$K$5:$AJ$110,0,MATCH(P$2,Inputs!$K$4:$AJ$4,0)))+SUMPRODUCT((Inputs!$C$5:$C$110=$B47)*Inputs!$D$5:$D$110*(((Inputs!$G$5:$G$110="moeda")+(Inputs!$G$5:$G$110="acoes"))*Inputs!$B$1+((Inputs!$G$5:$G$110&lt;&gt;"moeda")*(Inputs!$G$5:$G$110&lt;&gt;"acoes")))*INDEX(Inputs!$K$5:$AJ$110,0,MATCH(P$2,Inputs!$K$4:$AJ$4,0)))+SUMPRODUCT((Inputs!$E$5:$E$110=$B47)*Inputs!$F$5:$F$110*(((Inputs!$G$5:$G$110="moeda")+(Inputs!$G$5:$G$110="acoes"))*Inputs!$B$1+((Inputs!$G$5:$G$110&lt;&gt;"moeda")*(Inputs!$G$5:$G$110&lt;&gt;"acoes")))*INDEX(Inputs!$K$5:$AJ$110,0,MATCH(P$2,Inputs!$K$4:$AJ$4,0)))))</f>
        <v>2682</v>
      </c>
      <c r="Q47" s="6">
        <f>IF(ISNA(MATCH(Q$2,Inputs!$K$4:$AJ$4,0)),NA(),IF(SUMPRODUCT((Inputs!$A$5:$A$110=$B47)*ISNUMBER(INDEX(Inputs!$K$5:$AJ$110,0,MATCH(Q$2,Inputs!$K$4:$AJ$4,0))))+SUMPRODUCT((Inputs!$C$5:$C$110=$B47)*ISNUMBER(INDEX(Inputs!$K$5:$AJ$110,0,MATCH(Q$2,Inputs!$K$4:$AJ$4,0))))+SUMPRODUCT((Inputs!$E$5:$E$110=$B47)*ISNUMBER(INDEX(Inputs!$K$5:$AJ$110,0,MATCH(Q$2,Inputs!$K$4:$AJ$4,0))))=0,NA(),SUMPRODUCT((Inputs!$A$5:$A$110=$B47)*Inputs!$B$5:$B$110*(((Inputs!$G$5:$G$110="moeda")+(Inputs!$G$5:$G$110="acoes"))*Inputs!$B$1+((Inputs!$G$5:$G$110&lt;&gt;"moeda")*(Inputs!$G$5:$G$110&lt;&gt;"acoes")))*INDEX(Inputs!$K$5:$AJ$110,0,MATCH(Q$2,Inputs!$K$4:$AJ$4,0)))+SUMPRODUCT((Inputs!$C$5:$C$110=$B47)*Inputs!$D$5:$D$110*(((Inputs!$G$5:$G$110="moeda")+(Inputs!$G$5:$G$110="acoes"))*Inputs!$B$1+((Inputs!$G$5:$G$110&lt;&gt;"moeda")*(Inputs!$G$5:$G$110&lt;&gt;"acoes")))*INDEX(Inputs!$K$5:$AJ$110,0,MATCH(Q$2,Inputs!$K$4:$AJ$4,0)))+SUMPRODUCT((Inputs!$E$5:$E$110=$B47)*Inputs!$F$5:$F$110*(((Inputs!$G$5:$G$110="moeda")+(Inputs!$G$5:$G$110="acoes"))*Inputs!$B$1+((Inputs!$G$5:$G$110&lt;&gt;"moeda")*(Inputs!$G$5:$G$110&lt;&gt;"acoes")))*INDEX(Inputs!$K$5:$AJ$110,0,MATCH(Q$2,Inputs!$K$4:$AJ$4,0)))))</f>
        <v>0</v>
      </c>
      <c r="R47" s="3">
        <f>Q47</f>
        <v>0</v>
      </c>
      <c r="S47" s="6">
        <f>IF(ISNA(MATCH(S$2,Inputs!$K$4:$AJ$4,0)),NA(),IF(SUMPRODUCT((Inputs!$A$5:$A$110=$B47)*ISNUMBER(INDEX(Inputs!$K$5:$AJ$110,0,MATCH(S$2,Inputs!$K$4:$AJ$4,0))))+SUMPRODUCT((Inputs!$C$5:$C$110=$B47)*ISNUMBER(INDEX(Inputs!$K$5:$AJ$110,0,MATCH(S$2,Inputs!$K$4:$AJ$4,0))))+SUMPRODUCT((Inputs!$E$5:$E$110=$B47)*ISNUMBER(INDEX(Inputs!$K$5:$AJ$110,0,MATCH(S$2,Inputs!$K$4:$AJ$4,0))))=0,NA(),SUMPRODUCT((Inputs!$A$5:$A$110=$B47)*Inputs!$B$5:$B$110*(((Inputs!$G$5:$G$110="moeda")+(Inputs!$G$5:$G$110="acoes"))*Inputs!$B$1+((Inputs!$G$5:$G$110&lt;&gt;"moeda")*(Inputs!$G$5:$G$110&lt;&gt;"acoes")))*INDEX(Inputs!$K$5:$AJ$110,0,MATCH(S$2,Inputs!$K$4:$AJ$4,0)))+SUMPRODUCT((Inputs!$C$5:$C$110=$B47)*Inputs!$D$5:$D$110*(((Inputs!$G$5:$G$110="moeda")+(Inputs!$G$5:$G$110="acoes"))*Inputs!$B$1+((Inputs!$G$5:$G$110&lt;&gt;"moeda")*(Inputs!$G$5:$G$110&lt;&gt;"acoes")))*INDEX(Inputs!$K$5:$AJ$110,0,MATCH(S$2,Inputs!$K$4:$AJ$4,0)))+SUMPRODUCT((Inputs!$E$5:$E$110=$B47)*Inputs!$F$5:$F$110*(((Inputs!$G$5:$G$110="moeda")+(Inputs!$G$5:$G$110="acoes"))*Inputs!$B$1+((Inputs!$G$5:$G$110&lt;&gt;"moeda")*(Inputs!$G$5:$G$110&lt;&gt;"acoes")))*INDEX(Inputs!$K$5:$AJ$110,0,MATCH(S$2,Inputs!$K$4:$AJ$4,0)))))</f>
        <v>0</v>
      </c>
      <c r="T47" s="6">
        <f>IF(ISNA(MATCH(T$2,Inputs!$K$4:$AJ$4,0)),NA(),IF(SUMPRODUCT((Inputs!$A$5:$A$110=$B47)*ISNUMBER(INDEX(Inputs!$K$5:$AJ$110,0,MATCH(T$2,Inputs!$K$4:$AJ$4,0))))+SUMPRODUCT((Inputs!$C$5:$C$110=$B47)*ISNUMBER(INDEX(Inputs!$K$5:$AJ$110,0,MATCH(T$2,Inputs!$K$4:$AJ$4,0))))+SUMPRODUCT((Inputs!$E$5:$E$110=$B47)*ISNUMBER(INDEX(Inputs!$K$5:$AJ$110,0,MATCH(T$2,Inputs!$K$4:$AJ$4,0))))=0,NA(),SUMPRODUCT((Inputs!$A$5:$A$110=$B47)*Inputs!$B$5:$B$110*(((Inputs!$G$5:$G$110="moeda")+(Inputs!$G$5:$G$110="acoes"))*Inputs!$B$1+((Inputs!$G$5:$G$110&lt;&gt;"moeda")*(Inputs!$G$5:$G$110&lt;&gt;"acoes")))*INDEX(Inputs!$K$5:$AJ$110,0,MATCH(T$2,Inputs!$K$4:$AJ$4,0)))+SUMPRODUCT((Inputs!$C$5:$C$110=$B47)*Inputs!$D$5:$D$110*(((Inputs!$G$5:$G$110="moeda")+(Inputs!$G$5:$G$110="acoes"))*Inputs!$B$1+((Inputs!$G$5:$G$110&lt;&gt;"moeda")*(Inputs!$G$5:$G$110&lt;&gt;"acoes")))*INDEX(Inputs!$K$5:$AJ$110,0,MATCH(T$2,Inputs!$K$4:$AJ$4,0)))+SUMPRODUCT((Inputs!$E$5:$E$110=$B47)*Inputs!$F$5:$F$110*(((Inputs!$G$5:$G$110="moeda")+(Inputs!$G$5:$G$110="acoes"))*Inputs!$B$1+((Inputs!$G$5:$G$110&lt;&gt;"moeda")*(Inputs!$G$5:$G$110&lt;&gt;"acoes")))*INDEX(Inputs!$K$5:$AJ$110,0,MATCH(T$2,Inputs!$K$4:$AJ$4,0)))))</f>
        <v>-1875</v>
      </c>
      <c r="U47" s="6">
        <f>IF(ISNA(MATCH(U$2,Inputs!$K$4:$AJ$4,0)),NA(),IF(SUMPRODUCT((Inputs!$A$5:$A$110=$B47)*ISNUMBER(INDEX(Inputs!$K$5:$AJ$110,0,MATCH(U$2,Inputs!$K$4:$AJ$4,0))))+SUMPRODUCT((Inputs!$C$5:$C$110=$B47)*ISNUMBER(INDEX(Inputs!$K$5:$AJ$110,0,MATCH(U$2,Inputs!$K$4:$AJ$4,0))))+SUMPRODUCT((Inputs!$E$5:$E$110=$B47)*ISNUMBER(INDEX(Inputs!$K$5:$AJ$110,0,MATCH(U$2,Inputs!$K$4:$AJ$4,0))))=0,NA(),SUMPRODUCT((Inputs!$A$5:$A$110=$B47)*Inputs!$B$5:$B$110*(((Inputs!$G$5:$G$110="moeda")+(Inputs!$G$5:$G$110="acoes"))*Inputs!$B$1+((Inputs!$G$5:$G$110&lt;&gt;"moeda")*(Inputs!$G$5:$G$110&lt;&gt;"acoes")))*INDEX(Inputs!$K$5:$AJ$110,0,MATCH(U$2,Inputs!$K$4:$AJ$4,0)))+SUMPRODUCT((Inputs!$C$5:$C$110=$B47)*Inputs!$D$5:$D$110*(((Inputs!$G$5:$G$110="moeda")+(Inputs!$G$5:$G$110="acoes"))*Inputs!$B$1+((Inputs!$G$5:$G$110&lt;&gt;"moeda")*(Inputs!$G$5:$G$110&lt;&gt;"acoes")))*INDEX(Inputs!$K$5:$AJ$110,0,MATCH(U$2,Inputs!$K$4:$AJ$4,0)))+SUMPRODUCT((Inputs!$E$5:$E$110=$B47)*Inputs!$F$5:$F$110*(((Inputs!$G$5:$G$110="moeda")+(Inputs!$G$5:$G$110="acoes"))*Inputs!$B$1+((Inputs!$G$5:$G$110&lt;&gt;"moeda")*(Inputs!$G$5:$G$110&lt;&gt;"acoes")))*INDEX(Inputs!$K$5:$AJ$110,0,MATCH(U$2,Inputs!$K$4:$AJ$4,0)))))</f>
        <v>0</v>
      </c>
      <c r="V47" s="6">
        <f>IF(ISNA(MATCH(V$2,Inputs!$K$4:$AJ$4,0)),NA(),IF(SUMPRODUCT((Inputs!$A$5:$A$110=$B47)*ISNUMBER(INDEX(Inputs!$K$5:$AJ$110,0,MATCH(V$2,Inputs!$K$4:$AJ$4,0))))+SUMPRODUCT((Inputs!$C$5:$C$110=$B47)*ISNUMBER(INDEX(Inputs!$K$5:$AJ$110,0,MATCH(V$2,Inputs!$K$4:$AJ$4,0))))+SUMPRODUCT((Inputs!$E$5:$E$110=$B47)*ISNUMBER(INDEX(Inputs!$K$5:$AJ$110,0,MATCH(V$2,Inputs!$K$4:$AJ$4,0))))=0,NA(),SUMPRODUCT((Inputs!$A$5:$A$110=$B47)*Inputs!$B$5:$B$110*(((Inputs!$G$5:$G$110="moeda")+(Inputs!$G$5:$G$110="acoes"))*Inputs!$B$1+((Inputs!$G$5:$G$110&lt;&gt;"moeda")*(Inputs!$G$5:$G$110&lt;&gt;"acoes")))*INDEX(Inputs!$K$5:$AJ$110,0,MATCH(V$2,Inputs!$K$4:$AJ$4,0)))+SUMPRODUCT((Inputs!$C$5:$C$110=$B47)*Inputs!$D$5:$D$110*(((Inputs!$G$5:$G$110="moeda")+(Inputs!$G$5:$G$110="acoes"))*Inputs!$B$1+((Inputs!$G$5:$G$110&lt;&gt;"moeda")*(Inputs!$G$5:$G$110&lt;&gt;"acoes")))*INDEX(Inputs!$K$5:$AJ$110,0,MATCH(V$2,Inputs!$K$4:$AJ$4,0)))+SUMPRODUCT((Inputs!$E$5:$E$110=$B47)*Inputs!$F$5:$F$110*(((Inputs!$G$5:$G$110="moeda")+(Inputs!$G$5:$G$110="acoes"))*Inputs!$B$1+((Inputs!$G$5:$G$110&lt;&gt;"moeda")*(Inputs!$G$5:$G$110&lt;&gt;"acoes")))*INDEX(Inputs!$K$5:$AJ$110,0,MATCH(V$2,Inputs!$K$4:$AJ$4,0)))))</f>
        <v>2729</v>
      </c>
      <c r="W47" s="3">
        <f>V47</f>
        <v>2729</v>
      </c>
      <c r="X47" s="6">
        <f>IF(ISNA(MATCH(X$2,Inputs!$K$4:$AJ$4,0)),NA(),IF(SUMPRODUCT((Inputs!$A$5:$A$110=$B47)*ISNUMBER(INDEX(Inputs!$K$5:$AJ$110,0,MATCH(X$2,Inputs!$K$4:$AJ$4,0))))+SUMPRODUCT((Inputs!$C$5:$C$110=$B47)*ISNUMBER(INDEX(Inputs!$K$5:$AJ$110,0,MATCH(X$2,Inputs!$K$4:$AJ$4,0))))+SUMPRODUCT((Inputs!$E$5:$E$110=$B47)*ISNUMBER(INDEX(Inputs!$K$5:$AJ$110,0,MATCH(X$2,Inputs!$K$4:$AJ$4,0))))=0,NA(),SUMPRODUCT((Inputs!$A$5:$A$110=$B47)*Inputs!$B$5:$B$110*(((Inputs!$G$5:$G$110="moeda")+(Inputs!$G$5:$G$110="acoes"))*Inputs!$B$1+((Inputs!$G$5:$G$110&lt;&gt;"moeda")*(Inputs!$G$5:$G$110&lt;&gt;"acoes")))*INDEX(Inputs!$K$5:$AJ$110,0,MATCH(X$2,Inputs!$K$4:$AJ$4,0)))+SUMPRODUCT((Inputs!$C$5:$C$110=$B47)*Inputs!$D$5:$D$110*(((Inputs!$G$5:$G$110="moeda")+(Inputs!$G$5:$G$110="acoes"))*Inputs!$B$1+((Inputs!$G$5:$G$110&lt;&gt;"moeda")*(Inputs!$G$5:$G$110&lt;&gt;"acoes")))*INDEX(Inputs!$K$5:$AJ$110,0,MATCH(X$2,Inputs!$K$4:$AJ$4,0)))+SUMPRODUCT((Inputs!$E$5:$E$110=$B47)*Inputs!$F$5:$F$110*(((Inputs!$G$5:$G$110="moeda")+(Inputs!$G$5:$G$110="acoes"))*Inputs!$B$1+((Inputs!$G$5:$G$110&lt;&gt;"moeda")*(Inputs!$G$5:$G$110&lt;&gt;"acoes")))*INDEX(Inputs!$K$5:$AJ$110,0,MATCH(X$2,Inputs!$K$4:$AJ$4,0)))))</f>
        <v>2686</v>
      </c>
      <c r="Y47" s="6">
        <f>IF(ISNA(MATCH(Y$2,Inputs!$K$4:$AJ$4,0)),NA(),IF(SUMPRODUCT((Inputs!$A$5:$A$110=$B47)*ISNUMBER(INDEX(Inputs!$K$5:$AJ$110,0,MATCH(Y$2,Inputs!$K$4:$AJ$4,0))))+SUMPRODUCT((Inputs!$C$5:$C$110=$B47)*ISNUMBER(INDEX(Inputs!$K$5:$AJ$110,0,MATCH(Y$2,Inputs!$K$4:$AJ$4,0))))+SUMPRODUCT((Inputs!$E$5:$E$110=$B47)*ISNUMBER(INDEX(Inputs!$K$5:$AJ$110,0,MATCH(Y$2,Inputs!$K$4:$AJ$4,0))))=0,NA(),SUMPRODUCT((Inputs!$A$5:$A$110=$B47)*Inputs!$B$5:$B$110*(((Inputs!$G$5:$G$110="moeda")+(Inputs!$G$5:$G$110="acoes"))*Inputs!$B$1+((Inputs!$G$5:$G$110&lt;&gt;"moeda")*(Inputs!$G$5:$G$110&lt;&gt;"acoes")))*INDEX(Inputs!$K$5:$AJ$110,0,MATCH(Y$2,Inputs!$K$4:$AJ$4,0)))+SUMPRODUCT((Inputs!$C$5:$C$110=$B47)*Inputs!$D$5:$D$110*(((Inputs!$G$5:$G$110="moeda")+(Inputs!$G$5:$G$110="acoes"))*Inputs!$B$1+((Inputs!$G$5:$G$110&lt;&gt;"moeda")*(Inputs!$G$5:$G$110&lt;&gt;"acoes")))*INDEX(Inputs!$K$5:$AJ$110,0,MATCH(Y$2,Inputs!$K$4:$AJ$4,0)))+SUMPRODUCT((Inputs!$E$5:$E$110=$B47)*Inputs!$F$5:$F$110*(((Inputs!$G$5:$G$110="moeda")+(Inputs!$G$5:$G$110="acoes"))*Inputs!$B$1+((Inputs!$G$5:$G$110&lt;&gt;"moeda")*(Inputs!$G$5:$G$110&lt;&gt;"acoes")))*INDEX(Inputs!$K$5:$AJ$110,0,MATCH(Y$2,Inputs!$K$4:$AJ$4,0)))))</f>
        <v>4040</v>
      </c>
      <c r="Z47" s="6">
        <f>IF(ISNA(MATCH(Z$2,Inputs!$K$4:$AJ$4,0)),NA(),IF(SUMPRODUCT((Inputs!$A$5:$A$110=$B47)*ISNUMBER(INDEX(Inputs!$K$5:$AJ$110,0,MATCH(Z$2,Inputs!$K$4:$AJ$4,0))))+SUMPRODUCT((Inputs!$C$5:$C$110=$B47)*ISNUMBER(INDEX(Inputs!$K$5:$AJ$110,0,MATCH(Z$2,Inputs!$K$4:$AJ$4,0))))+SUMPRODUCT((Inputs!$E$5:$E$110=$B47)*ISNUMBER(INDEX(Inputs!$K$5:$AJ$110,0,MATCH(Z$2,Inputs!$K$4:$AJ$4,0))))=0,NA(),SUMPRODUCT((Inputs!$A$5:$A$110=$B47)*Inputs!$B$5:$B$110*(((Inputs!$G$5:$G$110="moeda")+(Inputs!$G$5:$G$110="acoes"))*Inputs!$B$1+((Inputs!$G$5:$G$110&lt;&gt;"moeda")*(Inputs!$G$5:$G$110&lt;&gt;"acoes")))*INDEX(Inputs!$K$5:$AJ$110,0,MATCH(Z$2,Inputs!$K$4:$AJ$4,0)))+SUMPRODUCT((Inputs!$C$5:$C$110=$B47)*Inputs!$D$5:$D$110*(((Inputs!$G$5:$G$110="moeda")+(Inputs!$G$5:$G$110="acoes"))*Inputs!$B$1+((Inputs!$G$5:$G$110&lt;&gt;"moeda")*(Inputs!$G$5:$G$110&lt;&gt;"acoes")))*INDEX(Inputs!$K$5:$AJ$110,0,MATCH(Z$2,Inputs!$K$4:$AJ$4,0)))+SUMPRODUCT((Inputs!$E$5:$E$110=$B47)*Inputs!$F$5:$F$110*(((Inputs!$G$5:$G$110="moeda")+(Inputs!$G$5:$G$110="acoes"))*Inputs!$B$1+((Inputs!$G$5:$G$110&lt;&gt;"moeda")*(Inputs!$G$5:$G$110&lt;&gt;"acoes")))*INDEX(Inputs!$K$5:$AJ$110,0,MATCH(Z$2,Inputs!$K$4:$AJ$4,0)))))</f>
        <v>9761</v>
      </c>
      <c r="AA47" s="6">
        <f>IF(ISNA(MATCH(AA$2,Inputs!$K$4:$AJ$4,0)),NA(),IF(SUMPRODUCT((Inputs!$A$5:$A$110=$B47)*ISNUMBER(INDEX(Inputs!$K$5:$AJ$110,0,MATCH(AA$2,Inputs!$K$4:$AJ$4,0))))+SUMPRODUCT((Inputs!$C$5:$C$110=$B47)*ISNUMBER(INDEX(Inputs!$K$5:$AJ$110,0,MATCH(AA$2,Inputs!$K$4:$AJ$4,0))))+SUMPRODUCT((Inputs!$E$5:$E$110=$B47)*ISNUMBER(INDEX(Inputs!$K$5:$AJ$110,0,MATCH(AA$2,Inputs!$K$4:$AJ$4,0))))=0,NA(),SUMPRODUCT((Inputs!$A$5:$A$110=$B47)*Inputs!$B$5:$B$110*(((Inputs!$G$5:$G$110="moeda")+(Inputs!$G$5:$G$110="acoes"))*Inputs!$B$1+((Inputs!$G$5:$G$110&lt;&gt;"moeda")*(Inputs!$G$5:$G$110&lt;&gt;"acoes")))*INDEX(Inputs!$K$5:$AJ$110,0,MATCH(AA$2,Inputs!$K$4:$AJ$4,0)))+SUMPRODUCT((Inputs!$C$5:$C$110=$B47)*Inputs!$D$5:$D$110*(((Inputs!$G$5:$G$110="moeda")+(Inputs!$G$5:$G$110="acoes"))*Inputs!$B$1+((Inputs!$G$5:$G$110&lt;&gt;"moeda")*(Inputs!$G$5:$G$110&lt;&gt;"acoes")))*INDEX(Inputs!$K$5:$AJ$110,0,MATCH(AA$2,Inputs!$K$4:$AJ$4,0)))+SUMPRODUCT((Inputs!$E$5:$E$110=$B47)*Inputs!$F$5:$F$110*(((Inputs!$G$5:$G$110="moeda")+(Inputs!$G$5:$G$110="acoes"))*Inputs!$B$1+((Inputs!$G$5:$G$110&lt;&gt;"moeda")*(Inputs!$G$5:$G$110&lt;&gt;"acoes")))*INDEX(Inputs!$K$5:$AJ$110,0,MATCH(AA$2,Inputs!$K$4:$AJ$4,0)))))</f>
        <v>6520</v>
      </c>
      <c r="AB47" s="3">
        <f>AA47</f>
        <v>6520</v>
      </c>
      <c r="AC47" s="6">
        <f>IF(ISNA(MATCH(AC$2,Inputs!$K$4:$AJ$4,0)),NA(),IF(SUMPRODUCT((Inputs!$A$5:$A$110=$B47)*ISNUMBER(INDEX(Inputs!$K$5:$AJ$110,0,MATCH(AC$2,Inputs!$K$4:$AJ$4,0))))+SUMPRODUCT((Inputs!$C$5:$C$110=$B47)*ISNUMBER(INDEX(Inputs!$K$5:$AJ$110,0,MATCH(AC$2,Inputs!$K$4:$AJ$4,0))))+SUMPRODUCT((Inputs!$E$5:$E$110=$B47)*ISNUMBER(INDEX(Inputs!$K$5:$AJ$110,0,MATCH(AC$2,Inputs!$K$4:$AJ$4,0))))=0,NA(),SUMPRODUCT((Inputs!$A$5:$A$110=$B47)*Inputs!$B$5:$B$110*(((Inputs!$G$5:$G$110="moeda")+(Inputs!$G$5:$G$110="acoes"))*Inputs!$B$1+((Inputs!$G$5:$G$110&lt;&gt;"moeda")*(Inputs!$G$5:$G$110&lt;&gt;"acoes")))*INDEX(Inputs!$K$5:$AJ$110,0,MATCH(AC$2,Inputs!$K$4:$AJ$4,0)))+SUMPRODUCT((Inputs!$C$5:$C$110=$B47)*Inputs!$D$5:$D$110*(((Inputs!$G$5:$G$110="moeda")+(Inputs!$G$5:$G$110="acoes"))*Inputs!$B$1+((Inputs!$G$5:$G$110&lt;&gt;"moeda")*(Inputs!$G$5:$G$110&lt;&gt;"acoes")))*INDEX(Inputs!$K$5:$AJ$110,0,MATCH(AC$2,Inputs!$K$4:$AJ$4,0)))+SUMPRODUCT((Inputs!$E$5:$E$110=$B47)*Inputs!$F$5:$F$110*(((Inputs!$G$5:$G$110="moeda")+(Inputs!$G$5:$G$110="acoes"))*Inputs!$B$1+((Inputs!$G$5:$G$110&lt;&gt;"moeda")*(Inputs!$G$5:$G$110&lt;&gt;"acoes")))*INDEX(Inputs!$K$5:$AJ$110,0,MATCH(AC$2,Inputs!$K$4:$AJ$4,0)))))</f>
        <v>12166</v>
      </c>
      <c r="AD47" s="6">
        <f>IF(ISNA(MATCH(AD$2,Inputs!$K$4:$AJ$4,0)),NA(),IF(SUMPRODUCT((Inputs!$A$5:$A$110=$B47)*ISNUMBER(INDEX(Inputs!$K$5:$AJ$110,0,MATCH(AD$2,Inputs!$K$4:$AJ$4,0))))+SUMPRODUCT((Inputs!$C$5:$C$110=$B47)*ISNUMBER(INDEX(Inputs!$K$5:$AJ$110,0,MATCH(AD$2,Inputs!$K$4:$AJ$4,0))))+SUMPRODUCT((Inputs!$E$5:$E$110=$B47)*ISNUMBER(INDEX(Inputs!$K$5:$AJ$110,0,MATCH(AD$2,Inputs!$K$4:$AJ$4,0))))=0,NA(),SUMPRODUCT((Inputs!$A$5:$A$110=$B47)*Inputs!$B$5:$B$110*(((Inputs!$G$5:$G$110="moeda")+(Inputs!$G$5:$G$110="acoes"))*Inputs!$B$1+((Inputs!$G$5:$G$110&lt;&gt;"moeda")*(Inputs!$G$5:$G$110&lt;&gt;"acoes")))*INDEX(Inputs!$K$5:$AJ$110,0,MATCH(AD$2,Inputs!$K$4:$AJ$4,0)))+SUMPRODUCT((Inputs!$C$5:$C$110=$B47)*Inputs!$D$5:$D$110*(((Inputs!$G$5:$G$110="moeda")+(Inputs!$G$5:$G$110="acoes"))*Inputs!$B$1+((Inputs!$G$5:$G$110&lt;&gt;"moeda")*(Inputs!$G$5:$G$110&lt;&gt;"acoes")))*INDEX(Inputs!$K$5:$AJ$110,0,MATCH(AD$2,Inputs!$K$4:$AJ$4,0)))+SUMPRODUCT((Inputs!$E$5:$E$110=$B47)*Inputs!$F$5:$F$110*(((Inputs!$G$5:$G$110="moeda")+(Inputs!$G$5:$G$110="acoes"))*Inputs!$B$1+((Inputs!$G$5:$G$110&lt;&gt;"moeda")*(Inputs!$G$5:$G$110&lt;&gt;"acoes")))*INDEX(Inputs!$K$5:$AJ$110,0,MATCH(AD$2,Inputs!$K$4:$AJ$4,0)))))</f>
        <v>22151</v>
      </c>
      <c r="AE47" s="6" t="e">
        <f>IF(ISNA(MATCH(AE$2,Inputs!$K$4:$AJ$4,0)),NA(),IF(SUMPRODUCT((Inputs!$A$5:$A$110=$B47)*ISNUMBER(INDEX(Inputs!$K$5:$AJ$110,0,MATCH(AE$2,Inputs!$K$4:$AJ$4,0))))+SUMPRODUCT((Inputs!$C$5:$C$110=$B47)*ISNUMBER(INDEX(Inputs!$K$5:$AJ$110,0,MATCH(AE$2,Inputs!$K$4:$AJ$4,0))))+SUMPRODUCT((Inputs!$E$5:$E$110=$B47)*ISNUMBER(INDEX(Inputs!$K$5:$AJ$110,0,MATCH(AE$2,Inputs!$K$4:$AJ$4,0))))=0,NA(),SUMPRODUCT((Inputs!$A$5:$A$110=$B47)*Inputs!$B$5:$B$110*(((Inputs!$G$5:$G$110="moeda")+(Inputs!$G$5:$G$110="acoes"))*Inputs!$B$1+((Inputs!$G$5:$G$110&lt;&gt;"moeda")*(Inputs!$G$5:$G$110&lt;&gt;"acoes")))*INDEX(Inputs!$K$5:$AJ$110,0,MATCH(AE$2,Inputs!$K$4:$AJ$4,0)))+SUMPRODUCT((Inputs!$C$5:$C$110=$B47)*Inputs!$D$5:$D$110*(((Inputs!$G$5:$G$110="moeda")+(Inputs!$G$5:$G$110="acoes"))*Inputs!$B$1+((Inputs!$G$5:$G$110&lt;&gt;"moeda")*(Inputs!$G$5:$G$110&lt;&gt;"acoes")))*INDEX(Inputs!$K$5:$AJ$110,0,MATCH(AE$2,Inputs!$K$4:$AJ$4,0)))+SUMPRODUCT((Inputs!$E$5:$E$110=$B47)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7" s="6" t="e">
        <f>IF(ISNA(MATCH(AF$2,Inputs!$K$4:$AJ$4,0)),NA(),IF(SUMPRODUCT((Inputs!$A$5:$A$110=$B47)*ISNUMBER(INDEX(Inputs!$K$5:$AJ$110,0,MATCH(AF$2,Inputs!$K$4:$AJ$4,0))))+SUMPRODUCT((Inputs!$C$5:$C$110=$B47)*ISNUMBER(INDEX(Inputs!$K$5:$AJ$110,0,MATCH(AF$2,Inputs!$K$4:$AJ$4,0))))+SUMPRODUCT((Inputs!$E$5:$E$110=$B47)*ISNUMBER(INDEX(Inputs!$K$5:$AJ$110,0,MATCH(AF$2,Inputs!$K$4:$AJ$4,0))))=0,NA(),SUMPRODUCT((Inputs!$A$5:$A$110=$B47)*Inputs!$B$5:$B$110*(((Inputs!$G$5:$G$110="moeda")+(Inputs!$G$5:$G$110="acoes"))*Inputs!$B$1+((Inputs!$G$5:$G$110&lt;&gt;"moeda")*(Inputs!$G$5:$G$110&lt;&gt;"acoes")))*INDEX(Inputs!$K$5:$AJ$110,0,MATCH(AF$2,Inputs!$K$4:$AJ$4,0)))+SUMPRODUCT((Inputs!$C$5:$C$110=$B47)*Inputs!$D$5:$D$110*(((Inputs!$G$5:$G$110="moeda")+(Inputs!$G$5:$G$110="acoes"))*Inputs!$B$1+((Inputs!$G$5:$G$110&lt;&gt;"moeda")*(Inputs!$G$5:$G$110&lt;&gt;"acoes")))*INDEX(Inputs!$K$5:$AJ$110,0,MATCH(AF$2,Inputs!$K$4:$AJ$4,0)))+SUMPRODUCT((Inputs!$E$5:$E$110=$B47)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7" s="3" t="e">
        <f>AF47</f>
        <v>#N/A</v>
      </c>
      <c r="AH47" s="6">
        <f>IF(ISNA(MATCH(AH$2,Inputs!$K$4:$AJ$4,0)),NA(),IF(SUMPRODUCT((Inputs!$A$5:$A$110=$B47)*ISNUMBER(INDEX(Inputs!$K$5:$AJ$110,0,MATCH(AH$2,Inputs!$K$4:$AJ$4,0))))+SUMPRODUCT((Inputs!$C$5:$C$110=$B47)*ISNUMBER(INDEX(Inputs!$K$5:$AJ$110,0,MATCH(AH$2,Inputs!$K$4:$AJ$4,0))))+SUMPRODUCT((Inputs!$E$5:$E$110=$B47)*ISNUMBER(INDEX(Inputs!$K$5:$AJ$110,0,MATCH(AH$2,Inputs!$K$4:$AJ$4,0))))=0,NA(),SUMPRODUCT((Inputs!$A$5:$A$110=$B47)*Inputs!$B$5:$B$110*(((Inputs!$G$5:$G$110="moeda")+(Inputs!$G$5:$G$110="acoes"))*Inputs!$B$1+((Inputs!$G$5:$G$110&lt;&gt;"moeda")*(Inputs!$G$5:$G$110&lt;&gt;"acoes")))*INDEX(Inputs!$K$5:$AJ$110,0,MATCH(AH$2,Inputs!$K$4:$AJ$4,0)))+SUMPRODUCT((Inputs!$C$5:$C$110=$B47)*Inputs!$D$5:$D$110*(((Inputs!$G$5:$G$110="moeda")+(Inputs!$G$5:$G$110="acoes"))*Inputs!$B$1+((Inputs!$G$5:$G$110&lt;&gt;"moeda")*(Inputs!$G$5:$G$110&lt;&gt;"acoes")))*INDEX(Inputs!$K$5:$AJ$110,0,MATCH(AH$2,Inputs!$K$4:$AJ$4,0)))+SUMPRODUCT((Inputs!$E$5:$E$110=$B47)*Inputs!$F$5:$F$110*(((Inputs!$G$5:$G$110="moeda")+(Inputs!$G$5:$G$110="acoes"))*Inputs!$B$1+((Inputs!$G$5:$G$110&lt;&gt;"moeda")*(Inputs!$G$5:$G$110&lt;&gt;"acoes")))*INDEX(Inputs!$K$5:$AJ$110,0,MATCH(AH$2,Inputs!$K$4:$AJ$4,0)))))</f>
        <v>0</v>
      </c>
      <c r="AI47" s="6">
        <f>IF(ISNA(MATCH(AI$2,Inputs!$K$4:$AJ$4,0)),NA(),IF(SUMPRODUCT((Inputs!$A$5:$A$110=$B47)*ISNUMBER(INDEX(Inputs!$K$5:$AJ$110,0,MATCH(AI$2,Inputs!$K$4:$AJ$4,0))))+SUMPRODUCT((Inputs!$C$5:$C$110=$B47)*ISNUMBER(INDEX(Inputs!$K$5:$AJ$110,0,MATCH(AI$2,Inputs!$K$4:$AJ$4,0))))+SUMPRODUCT((Inputs!$E$5:$E$110=$B47)*ISNUMBER(INDEX(Inputs!$K$5:$AJ$110,0,MATCH(AI$2,Inputs!$K$4:$AJ$4,0))))=0,NA(),SUMPRODUCT((Inputs!$A$5:$A$110=$B47)*Inputs!$B$5:$B$110*(((Inputs!$G$5:$G$110="moeda")+(Inputs!$G$5:$G$110="acoes"))*Inputs!$B$1+((Inputs!$G$5:$G$110&lt;&gt;"moeda")*(Inputs!$G$5:$G$110&lt;&gt;"acoes")))*INDEX(Inputs!$K$5:$AJ$110,0,MATCH(AI$2,Inputs!$K$4:$AJ$4,0)))+SUMPRODUCT((Inputs!$C$5:$C$110=$B47)*Inputs!$D$5:$D$110*(((Inputs!$G$5:$G$110="moeda")+(Inputs!$G$5:$G$110="acoes"))*Inputs!$B$1+((Inputs!$G$5:$G$110&lt;&gt;"moeda")*(Inputs!$G$5:$G$110&lt;&gt;"acoes")))*INDEX(Inputs!$K$5:$AJ$110,0,MATCH(AI$2,Inputs!$K$4:$AJ$4,0)))+SUMPRODUCT((Inputs!$E$5:$E$110=$B47)*Inputs!$F$5:$F$110*(((Inputs!$G$5:$G$110="moeda")+(Inputs!$G$5:$G$110="acoes"))*Inputs!$B$1+((Inputs!$G$5:$G$110&lt;&gt;"moeda")*(Inputs!$G$5:$G$110&lt;&gt;"acoes")))*INDEX(Inputs!$K$5:$AJ$110,0,MATCH(AI$2,Inputs!$K$4:$AJ$4,0)))))</f>
        <v>0</v>
      </c>
      <c r="AJ47" s="6">
        <f>IF(ISNA(MATCH(AJ$2,Inputs!$K$4:$AJ$4,0)),NA(),IF(SUMPRODUCT((Inputs!$A$5:$A$110=$B47)*ISNUMBER(INDEX(Inputs!$K$5:$AJ$110,0,MATCH(AJ$2,Inputs!$K$4:$AJ$4,0))))+SUMPRODUCT((Inputs!$C$5:$C$110=$B47)*ISNUMBER(INDEX(Inputs!$K$5:$AJ$110,0,MATCH(AJ$2,Inputs!$K$4:$AJ$4,0))))+SUMPRODUCT((Inputs!$E$5:$E$110=$B47)*ISNUMBER(INDEX(Inputs!$K$5:$AJ$110,0,MATCH(AJ$2,Inputs!$K$4:$AJ$4,0))))=0,NA(),SUMPRODUCT((Inputs!$A$5:$A$110=$B47)*Inputs!$B$5:$B$110*(((Inputs!$G$5:$G$110="moeda")+(Inputs!$G$5:$G$110="acoes"))*Inputs!$B$1+((Inputs!$G$5:$G$110&lt;&gt;"moeda")*(Inputs!$G$5:$G$110&lt;&gt;"acoes")))*INDEX(Inputs!$K$5:$AJ$110,0,MATCH(AJ$2,Inputs!$K$4:$AJ$4,0)))+SUMPRODUCT((Inputs!$C$5:$C$110=$B47)*Inputs!$D$5:$D$110*(((Inputs!$G$5:$G$110="moeda")+(Inputs!$G$5:$G$110="acoes"))*Inputs!$B$1+((Inputs!$G$5:$G$110&lt;&gt;"moeda")*(Inputs!$G$5:$G$110&lt;&gt;"acoes")))*INDEX(Inputs!$K$5:$AJ$110,0,MATCH(AJ$2,Inputs!$K$4:$AJ$4,0)))+SUMPRODUCT((Inputs!$E$5:$E$110=$B47)*Inputs!$F$5:$F$110*(((Inputs!$G$5:$G$110="moeda")+(Inputs!$G$5:$G$110="acoes"))*Inputs!$B$1+((Inputs!$G$5:$G$110&lt;&gt;"moeda")*(Inputs!$G$5:$G$110&lt;&gt;"acoes")))*INDEX(Inputs!$K$5:$AJ$110,0,MATCH(AJ$2,Inputs!$K$4:$AJ$4,0)))))</f>
        <v>0</v>
      </c>
      <c r="AK47" s="6">
        <f>IF(ISNA(MATCH(AK$2,Inputs!$K$4:$AJ$4,0)),NA(),IF(SUMPRODUCT((Inputs!$A$5:$A$110=$B47)*ISNUMBER(INDEX(Inputs!$K$5:$AJ$110,0,MATCH(AK$2,Inputs!$K$4:$AJ$4,0))))+SUMPRODUCT((Inputs!$C$5:$C$110=$B47)*ISNUMBER(INDEX(Inputs!$K$5:$AJ$110,0,MATCH(AK$2,Inputs!$K$4:$AJ$4,0))))+SUMPRODUCT((Inputs!$E$5:$E$110=$B47)*ISNUMBER(INDEX(Inputs!$K$5:$AJ$110,0,MATCH(AK$2,Inputs!$K$4:$AJ$4,0))))=0,NA(),SUMPRODUCT((Inputs!$A$5:$A$110=$B47)*Inputs!$B$5:$B$110*(((Inputs!$G$5:$G$110="moeda")+(Inputs!$G$5:$G$110="acoes"))*Inputs!$B$1+((Inputs!$G$5:$G$110&lt;&gt;"moeda")*(Inputs!$G$5:$G$110&lt;&gt;"acoes")))*INDEX(Inputs!$K$5:$AJ$110,0,MATCH(AK$2,Inputs!$K$4:$AJ$4,0)))+SUMPRODUCT((Inputs!$C$5:$C$110=$B47)*Inputs!$D$5:$D$110*(((Inputs!$G$5:$G$110="moeda")+(Inputs!$G$5:$G$110="acoes"))*Inputs!$B$1+((Inputs!$G$5:$G$110&lt;&gt;"moeda")*(Inputs!$G$5:$G$110&lt;&gt;"acoes")))*INDEX(Inputs!$K$5:$AJ$110,0,MATCH(AK$2,Inputs!$K$4:$AJ$4,0)))+SUMPRODUCT((Inputs!$E$5:$E$110=$B47)*Inputs!$F$5:$F$110*(((Inputs!$G$5:$G$110="moeda")+(Inputs!$G$5:$G$110="acoes"))*Inputs!$B$1+((Inputs!$G$5:$G$110&lt;&gt;"moeda")*(Inputs!$G$5:$G$110&lt;&gt;"acoes")))*INDEX(Inputs!$K$5:$AJ$110,0,MATCH(AK$2,Inputs!$K$4:$AJ$4,0)))))</f>
        <v>0</v>
      </c>
      <c r="AL47" s="3">
        <f>AK47</f>
        <v>0</v>
      </c>
    </row>
    <row r="48"/>
    <row r="49" customFormat="1" s="1">
      <c r="C49" s="4" t="n"/>
      <c r="D49" s="245" t="n"/>
      <c r="E49" s="245" t="n"/>
      <c r="F49" s="245" t="n"/>
      <c r="G49" s="245" t="n"/>
      <c r="H49" s="3" t="n"/>
      <c r="I49" s="245" t="n"/>
      <c r="J49" s="245" t="n"/>
      <c r="K49" s="245" t="n"/>
      <c r="L49" s="245" t="n"/>
      <c r="M49" s="3" t="n"/>
      <c r="N49" s="245" t="n"/>
      <c r="O49" s="245" t="n"/>
      <c r="P49" s="245" t="n"/>
      <c r="Q49" s="245" t="n"/>
      <c r="R49" s="3" t="n"/>
      <c r="S49" s="245" t="n"/>
      <c r="T49" s="245" t="n"/>
      <c r="U49" s="245" t="n"/>
      <c r="V49" s="245" t="n"/>
      <c r="W49" s="3" t="n"/>
      <c r="X49" s="245" t="n"/>
      <c r="Y49" s="245" t="n"/>
      <c r="Z49" s="245" t="n"/>
      <c r="AA49" s="245" t="n"/>
      <c r="AC49" s="245" t="n"/>
      <c r="AD49" s="245" t="n"/>
      <c r="AE49" s="245" t="n"/>
      <c r="AF49" s="245" t="n"/>
    </row>
    <row r="50">
      <c r="B50" s="46" t="n">
        <v>44</v>
      </c>
      <c r="C50" s="24" t="inlineStr">
        <is>
          <t>Net income reported (lucro liquido) - memo p/ check IS [Model linha 4]</t>
        </is>
      </c>
      <c r="D50" s="6">
        <f>IF(ISNA(MATCH(D$2,Inputs!$K$4:$AJ$4,0)),NA(),IF(SUMPRODUCT((Inputs!$A$5:$A$110=$B50)*ISNUMBER(INDEX(Inputs!$K$5:$AJ$110,0,MATCH(D$2,Inputs!$K$4:$AJ$4,0))))+SUMPRODUCT((Inputs!$C$5:$C$110=$B50)*ISNUMBER(INDEX(Inputs!$K$5:$AJ$110,0,MATCH(D$2,Inputs!$K$4:$AJ$4,0))))+SUMPRODUCT((Inputs!$E$5:$E$110=$B50)*ISNUMBER(INDEX(Inputs!$K$5:$AJ$110,0,MATCH(D$2,Inputs!$K$4:$AJ$4,0))))=0,NA(),SUMPRODUCT((Inputs!$A$5:$A$110=$B50)*Inputs!$B$5:$B$110*(((Inputs!$G$5:$G$110="moeda")+(Inputs!$G$5:$G$110="acoes"))*Inputs!$B$1+((Inputs!$G$5:$G$110&lt;&gt;"moeda")*(Inputs!$G$5:$G$110&lt;&gt;"acoes")))*INDEX(Inputs!$K$5:$AJ$110,0,MATCH(D$2,Inputs!$K$4:$AJ$4,0)))+SUMPRODUCT((Inputs!$C$5:$C$110=$B50)*Inputs!$D$5:$D$110*(((Inputs!$G$5:$G$110="moeda")+(Inputs!$G$5:$G$110="acoes"))*Inputs!$B$1+((Inputs!$G$5:$G$110&lt;&gt;"moeda")*(Inputs!$G$5:$G$110&lt;&gt;"acoes")))*INDEX(Inputs!$K$5:$AJ$110,0,MATCH(D$2,Inputs!$K$4:$AJ$4,0)))+SUMPRODUCT((Inputs!$E$5:$E$110=$B50)*Inputs!$F$5:$F$110*(((Inputs!$G$5:$G$110="moeda")+(Inputs!$G$5:$G$110="acoes"))*Inputs!$B$1+((Inputs!$G$5:$G$110&lt;&gt;"moeda")*(Inputs!$G$5:$G$110&lt;&gt;"acoes")))*INDEX(Inputs!$K$5:$AJ$110,0,MATCH(D$2,Inputs!$K$4:$AJ$4,0)))))</f>
        <v>1417</v>
      </c>
      <c r="E50" s="6">
        <f>IF(ISNA(MATCH(E$2,Inputs!$K$4:$AJ$4,0)),NA(),IF(SUMPRODUCT((Inputs!$A$5:$A$110=$B50)*ISNUMBER(INDEX(Inputs!$K$5:$AJ$110,0,MATCH(E$2,Inputs!$K$4:$AJ$4,0))))+SUMPRODUCT((Inputs!$C$5:$C$110=$B50)*ISNUMBER(INDEX(Inputs!$K$5:$AJ$110,0,MATCH(E$2,Inputs!$K$4:$AJ$4,0))))+SUMPRODUCT((Inputs!$E$5:$E$110=$B50)*ISNUMBER(INDEX(Inputs!$K$5:$AJ$110,0,MATCH(E$2,Inputs!$K$4:$AJ$4,0))))=0,NA(),SUMPRODUCT((Inputs!$A$5:$A$110=$B50)*Inputs!$B$5:$B$110*(((Inputs!$G$5:$G$110="moeda")+(Inputs!$G$5:$G$110="acoes"))*Inputs!$B$1+((Inputs!$G$5:$G$110&lt;&gt;"moeda")*(Inputs!$G$5:$G$110&lt;&gt;"acoes")))*INDEX(Inputs!$K$5:$AJ$110,0,MATCH(E$2,Inputs!$K$4:$AJ$4,0)))+SUMPRODUCT((Inputs!$C$5:$C$110=$B50)*Inputs!$D$5:$D$110*(((Inputs!$G$5:$G$110="moeda")+(Inputs!$G$5:$G$110="acoes"))*Inputs!$B$1+((Inputs!$G$5:$G$110&lt;&gt;"moeda")*(Inputs!$G$5:$G$110&lt;&gt;"acoes")))*INDEX(Inputs!$K$5:$AJ$110,0,MATCH(E$2,Inputs!$K$4:$AJ$4,0)))+SUMPRODUCT((Inputs!$E$5:$E$110=$B50)*Inputs!$F$5:$F$110*(((Inputs!$G$5:$G$110="moeda")+(Inputs!$G$5:$G$110="acoes"))*Inputs!$B$1+((Inputs!$G$5:$G$110&lt;&gt;"moeda")*(Inputs!$G$5:$G$110&lt;&gt;"acoes")))*INDEX(Inputs!$K$5:$AJ$110,0,MATCH(E$2,Inputs!$K$4:$AJ$4,0)))))</f>
        <v>1802</v>
      </c>
      <c r="F50" s="6">
        <f>IF(ISNA(MATCH(F$2,Inputs!$K$4:$AJ$4,0)),NA(),IF(SUMPRODUCT((Inputs!$A$5:$A$110=$B50)*ISNUMBER(INDEX(Inputs!$K$5:$AJ$110,0,MATCH(F$2,Inputs!$K$4:$AJ$4,0))))+SUMPRODUCT((Inputs!$C$5:$C$110=$B50)*ISNUMBER(INDEX(Inputs!$K$5:$AJ$110,0,MATCH(F$2,Inputs!$K$4:$AJ$4,0))))+SUMPRODUCT((Inputs!$E$5:$E$110=$B50)*ISNUMBER(INDEX(Inputs!$K$5:$AJ$110,0,MATCH(F$2,Inputs!$K$4:$AJ$4,0))))=0,NA(),SUMPRODUCT((Inputs!$A$5:$A$110=$B50)*Inputs!$B$5:$B$110*(((Inputs!$G$5:$G$110="moeda")+(Inputs!$G$5:$G$110="acoes"))*Inputs!$B$1+((Inputs!$G$5:$G$110&lt;&gt;"moeda")*(Inputs!$G$5:$G$110&lt;&gt;"acoes")))*INDEX(Inputs!$K$5:$AJ$110,0,MATCH(F$2,Inputs!$K$4:$AJ$4,0)))+SUMPRODUCT((Inputs!$C$5:$C$110=$B50)*Inputs!$D$5:$D$110*(((Inputs!$G$5:$G$110="moeda")+(Inputs!$G$5:$G$110="acoes"))*Inputs!$B$1+((Inputs!$G$5:$G$110&lt;&gt;"moeda")*(Inputs!$G$5:$G$110&lt;&gt;"acoes")))*INDEX(Inputs!$K$5:$AJ$110,0,MATCH(F$2,Inputs!$K$4:$AJ$4,0)))+SUMPRODUCT((Inputs!$E$5:$E$110=$B50)*Inputs!$F$5:$F$110*(((Inputs!$G$5:$G$110="moeda")+(Inputs!$G$5:$G$110="acoes"))*Inputs!$B$1+((Inputs!$G$5:$G$110&lt;&gt;"moeda")*(Inputs!$G$5:$G$110&lt;&gt;"acoes")))*INDEX(Inputs!$K$5:$AJ$110,0,MATCH(F$2,Inputs!$K$4:$AJ$4,0)))))</f>
        <v>1914</v>
      </c>
      <c r="G50" s="6">
        <f>IF(ISNA(MATCH(G$2,Inputs!$K$4:$AJ$4,0)),NA(),IF(SUMPRODUCT((Inputs!$A$5:$A$110=$B50)*ISNUMBER(INDEX(Inputs!$K$5:$AJ$110,0,MATCH(G$2,Inputs!$K$4:$AJ$4,0))))+SUMPRODUCT((Inputs!$C$5:$C$110=$B50)*ISNUMBER(INDEX(Inputs!$K$5:$AJ$110,0,MATCH(G$2,Inputs!$K$4:$AJ$4,0))))+SUMPRODUCT((Inputs!$E$5:$E$110=$B50)*ISNUMBER(INDEX(Inputs!$K$5:$AJ$110,0,MATCH(G$2,Inputs!$K$4:$AJ$4,0))))=0,NA(),SUMPRODUCT((Inputs!$A$5:$A$110=$B50)*Inputs!$B$5:$B$110*(((Inputs!$G$5:$G$110="moeda")+(Inputs!$G$5:$G$110="acoes"))*Inputs!$B$1+((Inputs!$G$5:$G$110&lt;&gt;"moeda")*(Inputs!$G$5:$G$110&lt;&gt;"acoes")))*INDEX(Inputs!$K$5:$AJ$110,0,MATCH(G$2,Inputs!$K$4:$AJ$4,0)))+SUMPRODUCT((Inputs!$C$5:$C$110=$B50)*Inputs!$D$5:$D$110*(((Inputs!$G$5:$G$110="moeda")+(Inputs!$G$5:$G$110="acoes"))*Inputs!$B$1+((Inputs!$G$5:$G$110&lt;&gt;"moeda")*(Inputs!$G$5:$G$110&lt;&gt;"acoes")))*INDEX(Inputs!$K$5:$AJ$110,0,MATCH(G$2,Inputs!$K$4:$AJ$4,0)))+SUMPRODUCT((Inputs!$E$5:$E$110=$B50)*Inputs!$F$5:$F$110*(((Inputs!$G$5:$G$110="moeda")+(Inputs!$G$5:$G$110="acoes"))*Inputs!$B$1+((Inputs!$G$5:$G$110&lt;&gt;"moeda")*(Inputs!$G$5:$G$110&lt;&gt;"acoes")))*INDEX(Inputs!$K$5:$AJ$110,0,MATCH(G$2,Inputs!$K$4:$AJ$4,0)))))</f>
        <v>2398</v>
      </c>
      <c r="H50" s="3">
        <f>SUM(D50:G50)</f>
        <v>7531</v>
      </c>
      <c r="I50" s="6">
        <f>IF(ISNA(MATCH(I$2,Inputs!$K$4:$AJ$4,0)),NA(),IF(SUMPRODUCT((Inputs!$A$5:$A$110=$B50)*ISNUMBER(INDEX(Inputs!$K$5:$AJ$110,0,MATCH(I$2,Inputs!$K$4:$AJ$4,0))))+SUMPRODUCT((Inputs!$C$5:$C$110=$B50)*ISNUMBER(INDEX(Inputs!$K$5:$AJ$110,0,MATCH(I$2,Inputs!$K$4:$AJ$4,0))))+SUMPRODUCT((Inputs!$E$5:$E$110=$B50)*ISNUMBER(INDEX(Inputs!$K$5:$AJ$110,0,MATCH(I$2,Inputs!$K$4:$AJ$4,0))))=0,NA(),SUMPRODUCT((Inputs!$A$5:$A$110=$B50)*Inputs!$B$5:$B$110*(((Inputs!$G$5:$G$110="moeda")+(Inputs!$G$5:$G$110="acoes"))*Inputs!$B$1+((Inputs!$G$5:$G$110&lt;&gt;"moeda")*(Inputs!$G$5:$G$110&lt;&gt;"acoes")))*INDEX(Inputs!$K$5:$AJ$110,0,MATCH(I$2,Inputs!$K$4:$AJ$4,0)))+SUMPRODUCT((Inputs!$C$5:$C$110=$B50)*Inputs!$D$5:$D$110*(((Inputs!$G$5:$G$110="moeda")+(Inputs!$G$5:$G$110="acoes"))*Inputs!$B$1+((Inputs!$G$5:$G$110&lt;&gt;"moeda")*(Inputs!$G$5:$G$110&lt;&gt;"acoes")))*INDEX(Inputs!$K$5:$AJ$110,0,MATCH(I$2,Inputs!$K$4:$AJ$4,0)))+SUMPRODUCT((Inputs!$E$5:$E$110=$B50)*Inputs!$F$5:$F$110*(((Inputs!$G$5:$G$110="moeda")+(Inputs!$G$5:$G$110="acoes"))*Inputs!$B$1+((Inputs!$G$5:$G$110&lt;&gt;"moeda")*(Inputs!$G$5:$G$110&lt;&gt;"acoes")))*INDEX(Inputs!$K$5:$AJ$110,0,MATCH(I$2,Inputs!$K$4:$AJ$4,0)))))</f>
        <v>2515</v>
      </c>
      <c r="J50" s="6">
        <f>IF(ISNA(MATCH(J$2,Inputs!$K$4:$AJ$4,0)),NA(),IF(SUMPRODUCT((Inputs!$A$5:$A$110=$B50)*ISNUMBER(INDEX(Inputs!$K$5:$AJ$110,0,MATCH(J$2,Inputs!$K$4:$AJ$4,0))))+SUMPRODUCT((Inputs!$C$5:$C$110=$B50)*ISNUMBER(INDEX(Inputs!$K$5:$AJ$110,0,MATCH(J$2,Inputs!$K$4:$AJ$4,0))))+SUMPRODUCT((Inputs!$E$5:$E$110=$B50)*ISNUMBER(INDEX(Inputs!$K$5:$AJ$110,0,MATCH(J$2,Inputs!$K$4:$AJ$4,0))))=0,NA(),SUMPRODUCT((Inputs!$A$5:$A$110=$B50)*Inputs!$B$5:$B$110*(((Inputs!$G$5:$G$110="moeda")+(Inputs!$G$5:$G$110="acoes"))*Inputs!$B$1+((Inputs!$G$5:$G$110&lt;&gt;"moeda")*(Inputs!$G$5:$G$110&lt;&gt;"acoes")))*INDEX(Inputs!$K$5:$AJ$110,0,MATCH(J$2,Inputs!$K$4:$AJ$4,0)))+SUMPRODUCT((Inputs!$C$5:$C$110=$B50)*Inputs!$D$5:$D$110*(((Inputs!$G$5:$G$110="moeda")+(Inputs!$G$5:$G$110="acoes"))*Inputs!$B$1+((Inputs!$G$5:$G$110&lt;&gt;"moeda")*(Inputs!$G$5:$G$110&lt;&gt;"acoes")))*INDEX(Inputs!$K$5:$AJ$110,0,MATCH(J$2,Inputs!$K$4:$AJ$4,0)))+SUMPRODUCT((Inputs!$E$5:$E$110=$B50)*Inputs!$F$5:$F$110*(((Inputs!$G$5:$G$110="moeda")+(Inputs!$G$5:$G$110="acoes"))*Inputs!$B$1+((Inputs!$G$5:$G$110&lt;&gt;"moeda")*(Inputs!$G$5:$G$110&lt;&gt;"acoes")))*INDEX(Inputs!$K$5:$AJ$110,0,MATCH(J$2,Inputs!$K$4:$AJ$4,0)))))</f>
        <v>2999</v>
      </c>
      <c r="K50" s="6">
        <f>IF(ISNA(MATCH(K$2,Inputs!$K$4:$AJ$4,0)),NA(),IF(SUMPRODUCT((Inputs!$A$5:$A$110=$B50)*ISNUMBER(INDEX(Inputs!$K$5:$AJ$110,0,MATCH(K$2,Inputs!$K$4:$AJ$4,0))))+SUMPRODUCT((Inputs!$C$5:$C$110=$B50)*ISNUMBER(INDEX(Inputs!$K$5:$AJ$110,0,MATCH(K$2,Inputs!$K$4:$AJ$4,0))))+SUMPRODUCT((Inputs!$E$5:$E$110=$B50)*ISNUMBER(INDEX(Inputs!$K$5:$AJ$110,0,MATCH(K$2,Inputs!$K$4:$AJ$4,0))))=0,NA(),SUMPRODUCT((Inputs!$A$5:$A$110=$B50)*Inputs!$B$5:$B$110*(((Inputs!$G$5:$G$110="moeda")+(Inputs!$G$5:$G$110="acoes"))*Inputs!$B$1+((Inputs!$G$5:$G$110&lt;&gt;"moeda")*(Inputs!$G$5:$G$110&lt;&gt;"acoes")))*INDEX(Inputs!$K$5:$AJ$110,0,MATCH(K$2,Inputs!$K$4:$AJ$4,0)))+SUMPRODUCT((Inputs!$C$5:$C$110=$B50)*Inputs!$D$5:$D$110*(((Inputs!$G$5:$G$110="moeda")+(Inputs!$G$5:$G$110="acoes"))*Inputs!$B$1+((Inputs!$G$5:$G$110&lt;&gt;"moeda")*(Inputs!$G$5:$G$110&lt;&gt;"acoes")))*INDEX(Inputs!$K$5:$AJ$110,0,MATCH(K$2,Inputs!$K$4:$AJ$4,0)))+SUMPRODUCT((Inputs!$E$5:$E$110=$B50)*Inputs!$F$5:$F$110*(((Inputs!$G$5:$G$110="moeda")+(Inputs!$G$5:$G$110="acoes"))*Inputs!$B$1+((Inputs!$G$5:$G$110&lt;&gt;"moeda")*(Inputs!$G$5:$G$110&lt;&gt;"acoes")))*INDEX(Inputs!$K$5:$AJ$110,0,MATCH(K$2,Inputs!$K$4:$AJ$4,0)))))</f>
        <v>3583</v>
      </c>
      <c r="L50" s="6">
        <f>IF(ISNA(MATCH(L$2,Inputs!$K$4:$AJ$4,0)),NA(),IF(SUMPRODUCT((Inputs!$A$5:$A$110=$B50)*ISNUMBER(INDEX(Inputs!$K$5:$AJ$110,0,MATCH(L$2,Inputs!$K$4:$AJ$4,0))))+SUMPRODUCT((Inputs!$C$5:$C$110=$B50)*ISNUMBER(INDEX(Inputs!$K$5:$AJ$110,0,MATCH(L$2,Inputs!$K$4:$AJ$4,0))))+SUMPRODUCT((Inputs!$E$5:$E$110=$B50)*ISNUMBER(INDEX(Inputs!$K$5:$AJ$110,0,MATCH(L$2,Inputs!$K$4:$AJ$4,0))))=0,NA(),SUMPRODUCT((Inputs!$A$5:$A$110=$B50)*Inputs!$B$5:$B$110*(((Inputs!$G$5:$G$110="moeda")+(Inputs!$G$5:$G$110="acoes"))*Inputs!$B$1+((Inputs!$G$5:$G$110&lt;&gt;"moeda")*(Inputs!$G$5:$G$110&lt;&gt;"acoes")))*INDEX(Inputs!$K$5:$AJ$110,0,MATCH(L$2,Inputs!$K$4:$AJ$4,0)))+SUMPRODUCT((Inputs!$C$5:$C$110=$B50)*Inputs!$D$5:$D$110*(((Inputs!$G$5:$G$110="moeda")+(Inputs!$G$5:$G$110="acoes"))*Inputs!$B$1+((Inputs!$G$5:$G$110&lt;&gt;"moeda")*(Inputs!$G$5:$G$110&lt;&gt;"acoes")))*INDEX(Inputs!$K$5:$AJ$110,0,MATCH(L$2,Inputs!$K$4:$AJ$4,0)))+SUMPRODUCT((Inputs!$E$5:$E$110=$B50)*Inputs!$F$5:$F$110*(((Inputs!$G$5:$G$110="moeda")+(Inputs!$G$5:$G$110="acoes"))*Inputs!$B$1+((Inputs!$G$5:$G$110&lt;&gt;"moeda")*(Inputs!$G$5:$G$110&lt;&gt;"acoes")))*INDEX(Inputs!$K$5:$AJ$110,0,MATCH(L$2,Inputs!$K$4:$AJ$4,0)))))</f>
        <v>3774</v>
      </c>
      <c r="M50" s="3">
        <f>SUM(I50:L50)</f>
        <v>12871</v>
      </c>
      <c r="N50" s="6">
        <f>IF(ISNA(MATCH(N$2,Inputs!$K$4:$AJ$4,0)),NA(),IF(SUMPRODUCT((Inputs!$A$5:$A$110=$B50)*ISNUMBER(INDEX(Inputs!$K$5:$AJ$110,0,MATCH(N$2,Inputs!$K$4:$AJ$4,0))))+SUMPRODUCT((Inputs!$C$5:$C$110=$B50)*ISNUMBER(INDEX(Inputs!$K$5:$AJ$110,0,MATCH(N$2,Inputs!$K$4:$AJ$4,0))))+SUMPRODUCT((Inputs!$E$5:$E$110=$B50)*ISNUMBER(INDEX(Inputs!$K$5:$AJ$110,0,MATCH(N$2,Inputs!$K$4:$AJ$4,0))))=0,NA(),SUMPRODUCT((Inputs!$A$5:$A$110=$B50)*Inputs!$B$5:$B$110*(((Inputs!$G$5:$G$110="moeda")+(Inputs!$G$5:$G$110="acoes"))*Inputs!$B$1+((Inputs!$G$5:$G$110&lt;&gt;"moeda")*(Inputs!$G$5:$G$110&lt;&gt;"acoes")))*INDEX(Inputs!$K$5:$AJ$110,0,MATCH(N$2,Inputs!$K$4:$AJ$4,0)))+SUMPRODUCT((Inputs!$C$5:$C$110=$B50)*Inputs!$D$5:$D$110*(((Inputs!$G$5:$G$110="moeda")+(Inputs!$G$5:$G$110="acoes"))*Inputs!$B$1+((Inputs!$G$5:$G$110&lt;&gt;"moeda")*(Inputs!$G$5:$G$110&lt;&gt;"acoes")))*INDEX(Inputs!$K$5:$AJ$110,0,MATCH(N$2,Inputs!$K$4:$AJ$4,0)))+SUMPRODUCT((Inputs!$E$5:$E$110=$B50)*Inputs!$F$5:$F$110*(((Inputs!$G$5:$G$110="moeda")+(Inputs!$G$5:$G$110="acoes"))*Inputs!$B$1+((Inputs!$G$5:$G$110&lt;&gt;"moeda")*(Inputs!$G$5:$G$110&lt;&gt;"acoes")))*INDEX(Inputs!$K$5:$AJ$110,0,MATCH(N$2,Inputs!$K$4:$AJ$4,0)))))</f>
        <v>3481</v>
      </c>
      <c r="O50" s="6">
        <f>IF(ISNA(MATCH(O$2,Inputs!$K$4:$AJ$4,0)),NA(),IF(SUMPRODUCT((Inputs!$A$5:$A$110=$B50)*ISNUMBER(INDEX(Inputs!$K$5:$AJ$110,0,MATCH(O$2,Inputs!$K$4:$AJ$4,0))))+SUMPRODUCT((Inputs!$C$5:$C$110=$B50)*ISNUMBER(INDEX(Inputs!$K$5:$AJ$110,0,MATCH(O$2,Inputs!$K$4:$AJ$4,0))))+SUMPRODUCT((Inputs!$E$5:$E$110=$B50)*ISNUMBER(INDEX(Inputs!$K$5:$AJ$110,0,MATCH(O$2,Inputs!$K$4:$AJ$4,0))))=0,NA(),SUMPRODUCT((Inputs!$A$5:$A$110=$B50)*Inputs!$B$5:$B$110*(((Inputs!$G$5:$G$110="moeda")+(Inputs!$G$5:$G$110="acoes"))*Inputs!$B$1+((Inputs!$G$5:$G$110&lt;&gt;"moeda")*(Inputs!$G$5:$G$110&lt;&gt;"acoes")))*INDEX(Inputs!$K$5:$AJ$110,0,MATCH(O$2,Inputs!$K$4:$AJ$4,0)))+SUMPRODUCT((Inputs!$C$5:$C$110=$B50)*Inputs!$D$5:$D$110*(((Inputs!$G$5:$G$110="moeda")+(Inputs!$G$5:$G$110="acoes"))*Inputs!$B$1+((Inputs!$G$5:$G$110&lt;&gt;"moeda")*(Inputs!$G$5:$G$110&lt;&gt;"acoes")))*INDEX(Inputs!$K$5:$AJ$110,0,MATCH(O$2,Inputs!$K$4:$AJ$4,0)))+SUMPRODUCT((Inputs!$E$5:$E$110=$B50)*Inputs!$F$5:$F$110*(((Inputs!$G$5:$G$110="moeda")+(Inputs!$G$5:$G$110="acoes"))*Inputs!$B$1+((Inputs!$G$5:$G$110&lt;&gt;"moeda")*(Inputs!$G$5:$G$110&lt;&gt;"acoes")))*INDEX(Inputs!$K$5:$AJ$110,0,MATCH(O$2,Inputs!$K$4:$AJ$4,0)))))</f>
        <v>3303</v>
      </c>
      <c r="P50" s="6">
        <f>IF(ISNA(MATCH(P$2,Inputs!$K$4:$AJ$4,0)),NA(),IF(SUMPRODUCT((Inputs!$A$5:$A$110=$B50)*ISNUMBER(INDEX(Inputs!$K$5:$AJ$110,0,MATCH(P$2,Inputs!$K$4:$AJ$4,0))))+SUMPRODUCT((Inputs!$C$5:$C$110=$B50)*ISNUMBER(INDEX(Inputs!$K$5:$AJ$110,0,MATCH(P$2,Inputs!$K$4:$AJ$4,0))))+SUMPRODUCT((Inputs!$E$5:$E$110=$B50)*ISNUMBER(INDEX(Inputs!$K$5:$AJ$110,0,MATCH(P$2,Inputs!$K$4:$AJ$4,0))))=0,NA(),SUMPRODUCT((Inputs!$A$5:$A$110=$B50)*Inputs!$B$5:$B$110*(((Inputs!$G$5:$G$110="moeda")+(Inputs!$G$5:$G$110="acoes"))*Inputs!$B$1+((Inputs!$G$5:$G$110&lt;&gt;"moeda")*(Inputs!$G$5:$G$110&lt;&gt;"acoes")))*INDEX(Inputs!$K$5:$AJ$110,0,MATCH(P$2,Inputs!$K$4:$AJ$4,0)))+SUMPRODUCT((Inputs!$C$5:$C$110=$B50)*Inputs!$D$5:$D$110*(((Inputs!$G$5:$G$110="moeda")+(Inputs!$G$5:$G$110="acoes"))*Inputs!$B$1+((Inputs!$G$5:$G$110&lt;&gt;"moeda")*(Inputs!$G$5:$G$110&lt;&gt;"acoes")))*INDEX(Inputs!$K$5:$AJ$110,0,MATCH(P$2,Inputs!$K$4:$AJ$4,0)))+SUMPRODUCT((Inputs!$E$5:$E$110=$B50)*Inputs!$F$5:$F$110*(((Inputs!$G$5:$G$110="moeda")+(Inputs!$G$5:$G$110="acoes"))*Inputs!$B$1+((Inputs!$G$5:$G$110&lt;&gt;"moeda")*(Inputs!$G$5:$G$110&lt;&gt;"acoes")))*INDEX(Inputs!$K$5:$AJ$110,0,MATCH(P$2,Inputs!$K$4:$AJ$4,0)))))</f>
        <v>3524</v>
      </c>
      <c r="Q50" s="6">
        <f>IF(ISNA(MATCH(Q$2,Inputs!$K$4:$AJ$4,0)),NA(),IF(SUMPRODUCT((Inputs!$A$5:$A$110=$B50)*ISNUMBER(INDEX(Inputs!$K$5:$AJ$110,0,MATCH(Q$2,Inputs!$K$4:$AJ$4,0))))+SUMPRODUCT((Inputs!$C$5:$C$110=$B50)*ISNUMBER(INDEX(Inputs!$K$5:$AJ$110,0,MATCH(Q$2,Inputs!$K$4:$AJ$4,0))))+SUMPRODUCT((Inputs!$E$5:$E$110=$B50)*ISNUMBER(INDEX(Inputs!$K$5:$AJ$110,0,MATCH(Q$2,Inputs!$K$4:$AJ$4,0))))=0,NA(),SUMPRODUCT((Inputs!$A$5:$A$110=$B50)*Inputs!$B$5:$B$110*(((Inputs!$G$5:$G$110="moeda")+(Inputs!$G$5:$G$110="acoes"))*Inputs!$B$1+((Inputs!$G$5:$G$110&lt;&gt;"moeda")*(Inputs!$G$5:$G$110&lt;&gt;"acoes")))*INDEX(Inputs!$K$5:$AJ$110,0,MATCH(Q$2,Inputs!$K$4:$AJ$4,0)))+SUMPRODUCT((Inputs!$C$5:$C$110=$B50)*Inputs!$D$5:$D$110*(((Inputs!$G$5:$G$110="moeda")+(Inputs!$G$5:$G$110="acoes"))*Inputs!$B$1+((Inputs!$G$5:$G$110&lt;&gt;"moeda")*(Inputs!$G$5:$G$110&lt;&gt;"acoes")))*INDEX(Inputs!$K$5:$AJ$110,0,MATCH(Q$2,Inputs!$K$4:$AJ$4,0)))+SUMPRODUCT((Inputs!$E$5:$E$110=$B50)*Inputs!$F$5:$F$110*(((Inputs!$G$5:$G$110="moeda")+(Inputs!$G$5:$G$110="acoes"))*Inputs!$B$1+((Inputs!$G$5:$G$110&lt;&gt;"moeda")*(Inputs!$G$5:$G$110&lt;&gt;"acoes")))*INDEX(Inputs!$K$5:$AJ$110,0,MATCH(Q$2,Inputs!$K$4:$AJ$4,0)))))</f>
        <v>1325</v>
      </c>
      <c r="R50" s="3">
        <f>SUM(N50:Q50)</f>
        <v>11633</v>
      </c>
      <c r="S50" s="6">
        <f>IF(ISNA(MATCH(S$2,Inputs!$K$4:$AJ$4,0)),NA(),IF(SUMPRODUCT((Inputs!$A$5:$A$110=$B50)*ISNUMBER(INDEX(Inputs!$K$5:$AJ$110,0,MATCH(S$2,Inputs!$K$4:$AJ$4,0))))+SUMPRODUCT((Inputs!$C$5:$C$110=$B50)*ISNUMBER(INDEX(Inputs!$K$5:$AJ$110,0,MATCH(S$2,Inputs!$K$4:$AJ$4,0))))+SUMPRODUCT((Inputs!$E$5:$E$110=$B50)*ISNUMBER(INDEX(Inputs!$K$5:$AJ$110,0,MATCH(S$2,Inputs!$K$4:$AJ$4,0))))=0,NA(),SUMPRODUCT((Inputs!$A$5:$A$110=$B50)*Inputs!$B$5:$B$110*(((Inputs!$G$5:$G$110="moeda")+(Inputs!$G$5:$G$110="acoes"))*Inputs!$B$1+((Inputs!$G$5:$G$110&lt;&gt;"moeda")*(Inputs!$G$5:$G$110&lt;&gt;"acoes")))*INDEX(Inputs!$K$5:$AJ$110,0,MATCH(S$2,Inputs!$K$4:$AJ$4,0)))+SUMPRODUCT((Inputs!$C$5:$C$110=$B50)*Inputs!$D$5:$D$110*(((Inputs!$G$5:$G$110="moeda")+(Inputs!$G$5:$G$110="acoes"))*Inputs!$B$1+((Inputs!$G$5:$G$110&lt;&gt;"moeda")*(Inputs!$G$5:$G$110&lt;&gt;"acoes")))*INDEX(Inputs!$K$5:$AJ$110,0,MATCH(S$2,Inputs!$K$4:$AJ$4,0)))+SUMPRODUCT((Inputs!$E$5:$E$110=$B50)*Inputs!$F$5:$F$110*(((Inputs!$G$5:$G$110="moeda")+(Inputs!$G$5:$G$110="acoes"))*Inputs!$B$1+((Inputs!$G$5:$G$110&lt;&gt;"moeda")*(Inputs!$G$5:$G$110&lt;&gt;"acoes")))*INDEX(Inputs!$K$5:$AJ$110,0,MATCH(S$2,Inputs!$K$4:$AJ$4,0)))))</f>
        <v>2121</v>
      </c>
      <c r="T50" s="6">
        <f>IF(ISNA(MATCH(T$2,Inputs!$K$4:$AJ$4,0)),NA(),IF(SUMPRODUCT((Inputs!$A$5:$A$110=$B50)*ISNUMBER(INDEX(Inputs!$K$5:$AJ$110,0,MATCH(T$2,Inputs!$K$4:$AJ$4,0))))+SUMPRODUCT((Inputs!$C$5:$C$110=$B50)*ISNUMBER(INDEX(Inputs!$K$5:$AJ$110,0,MATCH(T$2,Inputs!$K$4:$AJ$4,0))))+SUMPRODUCT((Inputs!$E$5:$E$110=$B50)*ISNUMBER(INDEX(Inputs!$K$5:$AJ$110,0,MATCH(T$2,Inputs!$K$4:$AJ$4,0))))=0,NA(),SUMPRODUCT((Inputs!$A$5:$A$110=$B50)*Inputs!$B$5:$B$110*(((Inputs!$G$5:$G$110="moeda")+(Inputs!$G$5:$G$110="acoes"))*Inputs!$B$1+((Inputs!$G$5:$G$110&lt;&gt;"moeda")*(Inputs!$G$5:$G$110&lt;&gt;"acoes")))*INDEX(Inputs!$K$5:$AJ$110,0,MATCH(T$2,Inputs!$K$4:$AJ$4,0)))+SUMPRODUCT((Inputs!$C$5:$C$110=$B50)*Inputs!$D$5:$D$110*(((Inputs!$G$5:$G$110="moeda")+(Inputs!$G$5:$G$110="acoes"))*Inputs!$B$1+((Inputs!$G$5:$G$110&lt;&gt;"moeda")*(Inputs!$G$5:$G$110&lt;&gt;"acoes")))*INDEX(Inputs!$K$5:$AJ$110,0,MATCH(T$2,Inputs!$K$4:$AJ$4,0)))+SUMPRODUCT((Inputs!$E$5:$E$110=$B50)*Inputs!$F$5:$F$110*(((Inputs!$G$5:$G$110="moeda")+(Inputs!$G$5:$G$110="acoes"))*Inputs!$B$1+((Inputs!$G$5:$G$110&lt;&gt;"moeda")*(Inputs!$G$5:$G$110&lt;&gt;"acoes")))*INDEX(Inputs!$K$5:$AJ$110,0,MATCH(T$2,Inputs!$K$4:$AJ$4,0)))))</f>
        <v>-1875</v>
      </c>
      <c r="U50" s="6">
        <f>IF(ISNA(MATCH(U$2,Inputs!$K$4:$AJ$4,0)),NA(),IF(SUMPRODUCT((Inputs!$A$5:$A$110=$B50)*ISNUMBER(INDEX(Inputs!$K$5:$AJ$110,0,MATCH(U$2,Inputs!$K$4:$AJ$4,0))))+SUMPRODUCT((Inputs!$C$5:$C$110=$B50)*ISNUMBER(INDEX(Inputs!$K$5:$AJ$110,0,MATCH(U$2,Inputs!$K$4:$AJ$4,0))))+SUMPRODUCT((Inputs!$E$5:$E$110=$B50)*ISNUMBER(INDEX(Inputs!$K$5:$AJ$110,0,MATCH(U$2,Inputs!$K$4:$AJ$4,0))))=0,NA(),SUMPRODUCT((Inputs!$A$5:$A$110=$B50)*Inputs!$B$5:$B$110*(((Inputs!$G$5:$G$110="moeda")+(Inputs!$G$5:$G$110="acoes"))*Inputs!$B$1+((Inputs!$G$5:$G$110&lt;&gt;"moeda")*(Inputs!$G$5:$G$110&lt;&gt;"acoes")))*INDEX(Inputs!$K$5:$AJ$110,0,MATCH(U$2,Inputs!$K$4:$AJ$4,0)))+SUMPRODUCT((Inputs!$C$5:$C$110=$B50)*Inputs!$D$5:$D$110*(((Inputs!$G$5:$G$110="moeda")+(Inputs!$G$5:$G$110="acoes"))*Inputs!$B$1+((Inputs!$G$5:$G$110&lt;&gt;"moeda")*(Inputs!$G$5:$G$110&lt;&gt;"acoes")))*INDEX(Inputs!$K$5:$AJ$110,0,MATCH(U$2,Inputs!$K$4:$AJ$4,0)))+SUMPRODUCT((Inputs!$E$5:$E$110=$B50)*Inputs!$F$5:$F$110*(((Inputs!$G$5:$G$110="moeda")+(Inputs!$G$5:$G$110="acoes"))*Inputs!$B$1+((Inputs!$G$5:$G$110&lt;&gt;"moeda")*(Inputs!$G$5:$G$110&lt;&gt;"acoes")))*INDEX(Inputs!$K$5:$AJ$110,0,MATCH(U$2,Inputs!$K$4:$AJ$4,0)))))</f>
        <v>4324</v>
      </c>
      <c r="V50" s="6">
        <f>IF(ISNA(MATCH(V$2,Inputs!$K$4:$AJ$4,0)),NA(),IF(SUMPRODUCT((Inputs!$A$5:$A$110=$B50)*ISNUMBER(INDEX(Inputs!$K$5:$AJ$110,0,MATCH(V$2,Inputs!$K$4:$AJ$4,0))))+SUMPRODUCT((Inputs!$C$5:$C$110=$B50)*ISNUMBER(INDEX(Inputs!$K$5:$AJ$110,0,MATCH(V$2,Inputs!$K$4:$AJ$4,0))))+SUMPRODUCT((Inputs!$E$5:$E$110=$B50)*ISNUMBER(INDEX(Inputs!$K$5:$AJ$110,0,MATCH(V$2,Inputs!$K$4:$AJ$4,0))))=0,NA(),SUMPRODUCT((Inputs!$A$5:$A$110=$B50)*Inputs!$B$5:$B$110*(((Inputs!$G$5:$G$110="moeda")+(Inputs!$G$5:$G$110="acoes"))*Inputs!$B$1+((Inputs!$G$5:$G$110&lt;&gt;"moeda")*(Inputs!$G$5:$G$110&lt;&gt;"acoes")))*INDEX(Inputs!$K$5:$AJ$110,0,MATCH(V$2,Inputs!$K$4:$AJ$4,0)))+SUMPRODUCT((Inputs!$C$5:$C$110=$B50)*Inputs!$D$5:$D$110*(((Inputs!$G$5:$G$110="moeda")+(Inputs!$G$5:$G$110="acoes"))*Inputs!$B$1+((Inputs!$G$5:$G$110&lt;&gt;"moeda")*(Inputs!$G$5:$G$110&lt;&gt;"acoes")))*INDEX(Inputs!$K$5:$AJ$110,0,MATCH(V$2,Inputs!$K$4:$AJ$4,0)))+SUMPRODUCT((Inputs!$E$5:$E$110=$B50)*Inputs!$F$5:$F$110*(((Inputs!$G$5:$G$110="moeda")+(Inputs!$G$5:$G$110="acoes"))*Inputs!$B$1+((Inputs!$G$5:$G$110&lt;&gt;"moeda")*(Inputs!$G$5:$G$110&lt;&gt;"acoes")))*INDEX(Inputs!$K$5:$AJ$110,0,MATCH(V$2,Inputs!$K$4:$AJ$4,0)))))</f>
        <v>5503</v>
      </c>
      <c r="W50" s="3">
        <f>SUM(S50:V50)</f>
        <v>10073</v>
      </c>
      <c r="X50" s="6">
        <f>IF(ISNA(MATCH(X$2,Inputs!$K$4:$AJ$4,0)),NA(),IF(SUMPRODUCT((Inputs!$A$5:$A$110=$B50)*ISNUMBER(INDEX(Inputs!$K$5:$AJ$110,0,MATCH(X$2,Inputs!$K$4:$AJ$4,0))))+SUMPRODUCT((Inputs!$C$5:$C$110=$B50)*ISNUMBER(INDEX(Inputs!$K$5:$AJ$110,0,MATCH(X$2,Inputs!$K$4:$AJ$4,0))))+SUMPRODUCT((Inputs!$E$5:$E$110=$B50)*ISNUMBER(INDEX(Inputs!$K$5:$AJ$110,0,MATCH(X$2,Inputs!$K$4:$AJ$4,0))))=0,NA(),SUMPRODUCT((Inputs!$A$5:$A$110=$B50)*Inputs!$B$5:$B$110*(((Inputs!$G$5:$G$110="moeda")+(Inputs!$G$5:$G$110="acoes"))*Inputs!$B$1+((Inputs!$G$5:$G$110&lt;&gt;"moeda")*(Inputs!$G$5:$G$110&lt;&gt;"acoes")))*INDEX(Inputs!$K$5:$AJ$110,0,MATCH(X$2,Inputs!$K$4:$AJ$4,0)))+SUMPRODUCT((Inputs!$C$5:$C$110=$B50)*Inputs!$D$5:$D$110*(((Inputs!$G$5:$G$110="moeda")+(Inputs!$G$5:$G$110="acoes"))*Inputs!$B$1+((Inputs!$G$5:$G$110&lt;&gt;"moeda")*(Inputs!$G$5:$G$110&lt;&gt;"acoes")))*INDEX(Inputs!$K$5:$AJ$110,0,MATCH(X$2,Inputs!$K$4:$AJ$4,0)))+SUMPRODUCT((Inputs!$E$5:$E$110=$B50)*Inputs!$F$5:$F$110*(((Inputs!$G$5:$G$110="moeda")+(Inputs!$G$5:$G$110="acoes"))*Inputs!$B$1+((Inputs!$G$5:$G$110&lt;&gt;"moeda")*(Inputs!$G$5:$G$110&lt;&gt;"acoes")))*INDEX(Inputs!$K$5:$AJ$110,0,MATCH(X$2,Inputs!$K$4:$AJ$4,0)))))</f>
        <v>4965</v>
      </c>
      <c r="Y50" s="6">
        <f>IF(ISNA(MATCH(Y$2,Inputs!$K$4:$AJ$4,0)),NA(),IF(SUMPRODUCT((Inputs!$A$5:$A$110=$B50)*ISNUMBER(INDEX(Inputs!$K$5:$AJ$110,0,MATCH(Y$2,Inputs!$K$4:$AJ$4,0))))+SUMPRODUCT((Inputs!$C$5:$C$110=$B50)*ISNUMBER(INDEX(Inputs!$K$5:$AJ$110,0,MATCH(Y$2,Inputs!$K$4:$AJ$4,0))))+SUMPRODUCT((Inputs!$E$5:$E$110=$B50)*ISNUMBER(INDEX(Inputs!$K$5:$AJ$110,0,MATCH(Y$2,Inputs!$K$4:$AJ$4,0))))=0,NA(),SUMPRODUCT((Inputs!$A$5:$A$110=$B50)*Inputs!$B$5:$B$110*(((Inputs!$G$5:$G$110="moeda")+(Inputs!$G$5:$G$110="acoes"))*Inputs!$B$1+((Inputs!$G$5:$G$110&lt;&gt;"moeda")*(Inputs!$G$5:$G$110&lt;&gt;"acoes")))*INDEX(Inputs!$K$5:$AJ$110,0,MATCH(Y$2,Inputs!$K$4:$AJ$4,0)))+SUMPRODUCT((Inputs!$C$5:$C$110=$B50)*Inputs!$D$5:$D$110*(((Inputs!$G$5:$G$110="moeda")+(Inputs!$G$5:$G$110="acoes"))*Inputs!$B$1+((Inputs!$G$5:$G$110&lt;&gt;"moeda")*(Inputs!$G$5:$G$110&lt;&gt;"acoes")))*INDEX(Inputs!$K$5:$AJ$110,0,MATCH(Y$2,Inputs!$K$4:$AJ$4,0)))+SUMPRODUCT((Inputs!$E$5:$E$110=$B50)*Inputs!$F$5:$F$110*(((Inputs!$G$5:$G$110="moeda")+(Inputs!$G$5:$G$110="acoes"))*Inputs!$B$1+((Inputs!$G$5:$G$110&lt;&gt;"moeda")*(Inputs!$G$5:$G$110&lt;&gt;"acoes")))*INDEX(Inputs!$K$5:$AJ$110,0,MATCH(Y$2,Inputs!$K$4:$AJ$4,0)))))</f>
        <v>4140</v>
      </c>
      <c r="Z50" s="6">
        <f>IF(ISNA(MATCH(Z$2,Inputs!$K$4:$AJ$4,0)),NA(),IF(SUMPRODUCT((Inputs!$A$5:$A$110=$B50)*ISNUMBER(INDEX(Inputs!$K$5:$AJ$110,0,MATCH(Z$2,Inputs!$K$4:$AJ$4,0))))+SUMPRODUCT((Inputs!$C$5:$C$110=$B50)*ISNUMBER(INDEX(Inputs!$K$5:$AJ$110,0,MATCH(Z$2,Inputs!$K$4:$AJ$4,0))))+SUMPRODUCT((Inputs!$E$5:$E$110=$B50)*ISNUMBER(INDEX(Inputs!$K$5:$AJ$110,0,MATCH(Z$2,Inputs!$K$4:$AJ$4,0))))=0,NA(),SUMPRODUCT((Inputs!$A$5:$A$110=$B50)*Inputs!$B$5:$B$110*(((Inputs!$G$5:$G$110="moeda")+(Inputs!$G$5:$G$110="acoes"))*Inputs!$B$1+((Inputs!$G$5:$G$110&lt;&gt;"moeda")*(Inputs!$G$5:$G$110&lt;&gt;"acoes")))*INDEX(Inputs!$K$5:$AJ$110,0,MATCH(Z$2,Inputs!$K$4:$AJ$4,0)))+SUMPRODUCT((Inputs!$C$5:$C$110=$B50)*Inputs!$D$5:$D$110*(((Inputs!$G$5:$G$110="moeda")+(Inputs!$G$5:$G$110="acoes"))*Inputs!$B$1+((Inputs!$G$5:$G$110&lt;&gt;"moeda")*(Inputs!$G$5:$G$110&lt;&gt;"acoes")))*INDEX(Inputs!$K$5:$AJ$110,0,MATCH(Z$2,Inputs!$K$4:$AJ$4,0)))+SUMPRODUCT((Inputs!$E$5:$E$110=$B50)*Inputs!$F$5:$F$110*(((Inputs!$G$5:$G$110="moeda")+(Inputs!$G$5:$G$110="acoes"))*Inputs!$B$1+((Inputs!$G$5:$G$110&lt;&gt;"moeda")*(Inputs!$G$5:$G$110&lt;&gt;"acoes")))*INDEX(Inputs!$K$5:$AJ$110,0,MATCH(Z$2,Inputs!$K$4:$AJ$4,0)))))</f>
        <v>8518</v>
      </c>
      <c r="AA50" s="6">
        <f>IF(ISNA(MATCH(AA$2,Inputs!$K$4:$AJ$4,0)),NA(),IF(SUMPRODUCT((Inputs!$A$5:$A$110=$B50)*ISNUMBER(INDEX(Inputs!$K$5:$AJ$110,0,MATCH(AA$2,Inputs!$K$4:$AJ$4,0))))+SUMPRODUCT((Inputs!$C$5:$C$110=$B50)*ISNUMBER(INDEX(Inputs!$K$5:$AJ$110,0,MATCH(AA$2,Inputs!$K$4:$AJ$4,0))))+SUMPRODUCT((Inputs!$E$5:$E$110=$B50)*ISNUMBER(INDEX(Inputs!$K$5:$AJ$110,0,MATCH(AA$2,Inputs!$K$4:$AJ$4,0))))=0,NA(),SUMPRODUCT((Inputs!$A$5:$A$110=$B50)*Inputs!$B$5:$B$110*(((Inputs!$G$5:$G$110="moeda")+(Inputs!$G$5:$G$110="acoes"))*Inputs!$B$1+((Inputs!$G$5:$G$110&lt;&gt;"moeda")*(Inputs!$G$5:$G$110&lt;&gt;"acoes")))*INDEX(Inputs!$K$5:$AJ$110,0,MATCH(AA$2,Inputs!$K$4:$AJ$4,0)))+SUMPRODUCT((Inputs!$C$5:$C$110=$B50)*Inputs!$D$5:$D$110*(((Inputs!$G$5:$G$110="moeda")+(Inputs!$G$5:$G$110="acoes"))*Inputs!$B$1+((Inputs!$G$5:$G$110&lt;&gt;"moeda")*(Inputs!$G$5:$G$110&lt;&gt;"acoes")))*INDEX(Inputs!$K$5:$AJ$110,0,MATCH(AA$2,Inputs!$K$4:$AJ$4,0)))+SUMPRODUCT((Inputs!$E$5:$E$110=$B50)*Inputs!$F$5:$F$110*(((Inputs!$G$5:$G$110="moeda")+(Inputs!$G$5:$G$110="acoes"))*Inputs!$B$1+((Inputs!$G$5:$G$110&lt;&gt;"moeda")*(Inputs!$G$5:$G$110&lt;&gt;"acoes")))*INDEX(Inputs!$K$5:$AJ$110,0,MATCH(AA$2,Inputs!$K$4:$AJ$4,0)))))</f>
        <v>7349</v>
      </c>
      <c r="AB50" s="3">
        <f>SUM(X50:AA50)</f>
        <v>24972</v>
      </c>
      <c r="AC50" s="6">
        <f>IF(ISNA(MATCH(AC$2,Inputs!$K$4:$AJ$4,0)),NA(),IF(SUMPRODUCT((Inputs!$A$5:$A$110=$B50)*ISNUMBER(INDEX(Inputs!$K$5:$AJ$110,0,MATCH(AC$2,Inputs!$K$4:$AJ$4,0))))+SUMPRODUCT((Inputs!$C$5:$C$110=$B50)*ISNUMBER(INDEX(Inputs!$K$5:$AJ$110,0,MATCH(AC$2,Inputs!$K$4:$AJ$4,0))))+SUMPRODUCT((Inputs!$E$5:$E$110=$B50)*ISNUMBER(INDEX(Inputs!$K$5:$AJ$110,0,MATCH(AC$2,Inputs!$K$4:$AJ$4,0))))=0,NA(),SUMPRODUCT((Inputs!$A$5:$A$110=$B50)*Inputs!$B$5:$B$110*(((Inputs!$G$5:$G$110="moeda")+(Inputs!$G$5:$G$110="acoes"))*Inputs!$B$1+((Inputs!$G$5:$G$110&lt;&gt;"moeda")*(Inputs!$G$5:$G$110&lt;&gt;"acoes")))*INDEX(Inputs!$K$5:$AJ$110,0,MATCH(AC$2,Inputs!$K$4:$AJ$4,0)))+SUMPRODUCT((Inputs!$C$5:$C$110=$B50)*Inputs!$D$5:$D$110*(((Inputs!$G$5:$G$110="moeda")+(Inputs!$G$5:$G$110="acoes"))*Inputs!$B$1+((Inputs!$G$5:$G$110&lt;&gt;"moeda")*(Inputs!$G$5:$G$110&lt;&gt;"acoes")))*INDEX(Inputs!$K$5:$AJ$110,0,MATCH(AC$2,Inputs!$K$4:$AJ$4,0)))+SUMPRODUCT((Inputs!$E$5:$E$110=$B50)*Inputs!$F$5:$F$110*(((Inputs!$G$5:$G$110="moeda")+(Inputs!$G$5:$G$110="acoes"))*Inputs!$B$1+((Inputs!$G$5:$G$110&lt;&gt;"moeda")*(Inputs!$G$5:$G$110&lt;&gt;"acoes")))*INDEX(Inputs!$K$5:$AJ$110,0,MATCH(AC$2,Inputs!$K$4:$AJ$4,0)))))</f>
        <v>9310</v>
      </c>
      <c r="AD50" s="6">
        <f>IF(ISNA(MATCH(AD$2,Inputs!$K$4:$AJ$4,0)),NA(),IF(SUMPRODUCT((Inputs!$A$5:$A$110=$B50)*ISNUMBER(INDEX(Inputs!$K$5:$AJ$110,0,MATCH(AD$2,Inputs!$K$4:$AJ$4,0))))+SUMPRODUCT((Inputs!$C$5:$C$110=$B50)*ISNUMBER(INDEX(Inputs!$K$5:$AJ$110,0,MATCH(AD$2,Inputs!$K$4:$AJ$4,0))))+SUMPRODUCT((Inputs!$E$5:$E$110=$B50)*ISNUMBER(INDEX(Inputs!$K$5:$AJ$110,0,MATCH(AD$2,Inputs!$K$4:$AJ$4,0))))=0,NA(),SUMPRODUCT((Inputs!$A$5:$A$110=$B50)*Inputs!$B$5:$B$110*(((Inputs!$G$5:$G$110="moeda")+(Inputs!$G$5:$G$110="acoes"))*Inputs!$B$1+((Inputs!$G$5:$G$110&lt;&gt;"moeda")*(Inputs!$G$5:$G$110&lt;&gt;"acoes")))*INDEX(Inputs!$K$5:$AJ$110,0,MATCH(AD$2,Inputs!$K$4:$AJ$4,0)))+SUMPRODUCT((Inputs!$C$5:$C$110=$B50)*Inputs!$D$5:$D$110*(((Inputs!$G$5:$G$110="moeda")+(Inputs!$G$5:$G$110="acoes"))*Inputs!$B$1+((Inputs!$G$5:$G$110&lt;&gt;"moeda")*(Inputs!$G$5:$G$110&lt;&gt;"acoes")))*INDEX(Inputs!$K$5:$AJ$110,0,MATCH(AD$2,Inputs!$K$4:$AJ$4,0)))+SUMPRODUCT((Inputs!$E$5:$E$110=$B50)*Inputs!$F$5:$F$110*(((Inputs!$G$5:$G$110="moeda")+(Inputs!$G$5:$G$110="acoes"))*Inputs!$B$1+((Inputs!$G$5:$G$110&lt;&gt;"moeda")*(Inputs!$G$5:$G$110&lt;&gt;"acoes")))*INDEX(Inputs!$K$5:$AJ$110,0,MATCH(AD$2,Inputs!$K$4:$AJ$4,0)))))</f>
        <v>13088</v>
      </c>
      <c r="AE50" s="6" t="e">
        <f>IF(ISNA(MATCH(AE$2,Inputs!$K$4:$AJ$4,0)),NA(),IF(SUMPRODUCT((Inputs!$A$5:$A$110=$B50)*ISNUMBER(INDEX(Inputs!$K$5:$AJ$110,0,MATCH(AE$2,Inputs!$K$4:$AJ$4,0))))+SUMPRODUCT((Inputs!$C$5:$C$110=$B50)*ISNUMBER(INDEX(Inputs!$K$5:$AJ$110,0,MATCH(AE$2,Inputs!$K$4:$AJ$4,0))))+SUMPRODUCT((Inputs!$E$5:$E$110=$B50)*ISNUMBER(INDEX(Inputs!$K$5:$AJ$110,0,MATCH(AE$2,Inputs!$K$4:$AJ$4,0))))=0,NA(),SUMPRODUCT((Inputs!$A$5:$A$110=$B50)*Inputs!$B$5:$B$110*(((Inputs!$G$5:$G$110="moeda")+(Inputs!$G$5:$G$110="acoes"))*Inputs!$B$1+((Inputs!$G$5:$G$110&lt;&gt;"moeda")*(Inputs!$G$5:$G$110&lt;&gt;"acoes")))*INDEX(Inputs!$K$5:$AJ$110,0,MATCH(AE$2,Inputs!$K$4:$AJ$4,0)))+SUMPRODUCT((Inputs!$C$5:$C$110=$B50)*Inputs!$D$5:$D$110*(((Inputs!$G$5:$G$110="moeda")+(Inputs!$G$5:$G$110="acoes"))*Inputs!$B$1+((Inputs!$G$5:$G$110&lt;&gt;"moeda")*(Inputs!$G$5:$G$110&lt;&gt;"acoes")))*INDEX(Inputs!$K$5:$AJ$110,0,MATCH(AE$2,Inputs!$K$4:$AJ$4,0)))+SUMPRODUCT((Inputs!$E$5:$E$110=$B50)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0" s="6" t="e">
        <f>IF(ISNA(MATCH(AF$2,Inputs!$K$4:$AJ$4,0)),NA(),IF(SUMPRODUCT((Inputs!$A$5:$A$110=$B50)*ISNUMBER(INDEX(Inputs!$K$5:$AJ$110,0,MATCH(AF$2,Inputs!$K$4:$AJ$4,0))))+SUMPRODUCT((Inputs!$C$5:$C$110=$B50)*ISNUMBER(INDEX(Inputs!$K$5:$AJ$110,0,MATCH(AF$2,Inputs!$K$4:$AJ$4,0))))+SUMPRODUCT((Inputs!$E$5:$E$110=$B50)*ISNUMBER(INDEX(Inputs!$K$5:$AJ$110,0,MATCH(AF$2,Inputs!$K$4:$AJ$4,0))))=0,NA(),SUMPRODUCT((Inputs!$A$5:$A$110=$B50)*Inputs!$B$5:$B$110*(((Inputs!$G$5:$G$110="moeda")+(Inputs!$G$5:$G$110="acoes"))*Inputs!$B$1+((Inputs!$G$5:$G$110&lt;&gt;"moeda")*(Inputs!$G$5:$G$110&lt;&gt;"acoes")))*INDEX(Inputs!$K$5:$AJ$110,0,MATCH(AF$2,Inputs!$K$4:$AJ$4,0)))+SUMPRODUCT((Inputs!$C$5:$C$110=$B50)*Inputs!$D$5:$D$110*(((Inputs!$G$5:$G$110="moeda")+(Inputs!$G$5:$G$110="acoes"))*Inputs!$B$1+((Inputs!$G$5:$G$110&lt;&gt;"moeda")*(Inputs!$G$5:$G$110&lt;&gt;"acoes")))*INDEX(Inputs!$K$5:$AJ$110,0,MATCH(AF$2,Inputs!$K$4:$AJ$4,0)))+SUMPRODUCT((Inputs!$E$5:$E$110=$B50)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0" s="3" t="e">
        <f>SUM(AC50:AF50)</f>
        <v>#N/A</v>
      </c>
      <c r="AH50">
        <f>IF(ISNA(MATCH(AH$2,Inputs!$K$4:$AJ$4,0)),NA(),IF(SUMPRODUCT((Inputs!$A$5:$A$110=$B50)*ISNUMBER(INDEX(Inputs!$K$5:$AJ$110,0,MATCH(AH$2,Inputs!$K$4:$AJ$4,0))))+SUMPRODUCT((Inputs!$C$5:$C$110=$B50)*ISNUMBER(INDEX(Inputs!$K$5:$AJ$110,0,MATCH(AH$2,Inputs!$K$4:$AJ$4,0))))+SUMPRODUCT((Inputs!$E$5:$E$110=$B50)*ISNUMBER(INDEX(Inputs!$K$5:$AJ$110,0,MATCH(AH$2,Inputs!$K$4:$AJ$4,0))))=0,NA(),SUMPRODUCT((Inputs!$A$5:$A$110=$B50)*Inputs!$B$5:$B$110*(((Inputs!$G$5:$G$110="moeda")+(Inputs!$G$5:$G$110="acoes"))*Inputs!$B$1+((Inputs!$G$5:$G$110&lt;&gt;"moeda")*(Inputs!$G$5:$G$110&lt;&gt;"acoes")))*INDEX(Inputs!$K$5:$AJ$110,0,MATCH(AH$2,Inputs!$K$4:$AJ$4,0)))+SUMPRODUCT((Inputs!$C$5:$C$110=$B50)*Inputs!$D$5:$D$110*(((Inputs!$G$5:$G$110="moeda")+(Inputs!$G$5:$G$110="acoes"))*Inputs!$B$1+((Inputs!$G$5:$G$110&lt;&gt;"moeda")*(Inputs!$G$5:$G$110&lt;&gt;"acoes")))*INDEX(Inputs!$K$5:$AJ$110,0,MATCH(AH$2,Inputs!$K$4:$AJ$4,0)))+SUMPRODUCT((Inputs!$E$5:$E$110=$B50)*Inputs!$F$5:$F$110*(((Inputs!$G$5:$G$110="moeda")+(Inputs!$G$5:$G$110="acoes"))*Inputs!$B$1+((Inputs!$G$5:$G$110&lt;&gt;"moeda")*(Inputs!$G$5:$G$110&lt;&gt;"acoes")))*INDEX(Inputs!$K$5:$AJ$110,0,MATCH(AH$2,Inputs!$K$4:$AJ$4,0)))))</f>
        <v>488</v>
      </c>
      <c r="AI50">
        <f>IF(ISNA(MATCH(AI$2,Inputs!$K$4:$AJ$4,0)),NA(),IF(SUMPRODUCT((Inputs!$A$5:$A$110=$B50)*ISNUMBER(INDEX(Inputs!$K$5:$AJ$110,0,MATCH(AI$2,Inputs!$K$4:$AJ$4,0))))+SUMPRODUCT((Inputs!$C$5:$C$110=$B50)*ISNUMBER(INDEX(Inputs!$K$5:$AJ$110,0,MATCH(AI$2,Inputs!$K$4:$AJ$4,0))))+SUMPRODUCT((Inputs!$E$5:$E$110=$B50)*ISNUMBER(INDEX(Inputs!$K$5:$AJ$110,0,MATCH(AI$2,Inputs!$K$4:$AJ$4,0))))=0,NA(),SUMPRODUCT((Inputs!$A$5:$A$110=$B50)*Inputs!$B$5:$B$110*(((Inputs!$G$5:$G$110="moeda")+(Inputs!$G$5:$G$110="acoes"))*Inputs!$B$1+((Inputs!$G$5:$G$110&lt;&gt;"moeda")*(Inputs!$G$5:$G$110&lt;&gt;"acoes")))*INDEX(Inputs!$K$5:$AJ$110,0,MATCH(AI$2,Inputs!$K$4:$AJ$4,0)))+SUMPRODUCT((Inputs!$C$5:$C$110=$B50)*Inputs!$D$5:$D$110*(((Inputs!$G$5:$G$110="moeda")+(Inputs!$G$5:$G$110="acoes"))*Inputs!$B$1+((Inputs!$G$5:$G$110&lt;&gt;"moeda")*(Inputs!$G$5:$G$110&lt;&gt;"acoes")))*INDEX(Inputs!$K$5:$AJ$110,0,MATCH(AI$2,Inputs!$K$4:$AJ$4,0)))+SUMPRODUCT((Inputs!$E$5:$E$110=$B50)*Inputs!$F$5:$F$110*(((Inputs!$G$5:$G$110="moeda")+(Inputs!$G$5:$G$110="acoes"))*Inputs!$B$1+((Inputs!$G$5:$G$110&lt;&gt;"moeda")*(Inputs!$G$5:$G$110&lt;&gt;"acoes")))*INDEX(Inputs!$K$5:$AJ$110,0,MATCH(AI$2,Inputs!$K$4:$AJ$4,0)))))</f>
        <v>614</v>
      </c>
      <c r="AJ50">
        <f>IF(ISNA(MATCH(AJ$2,Inputs!$K$4:$AJ$4,0)),NA(),IF(SUMPRODUCT((Inputs!$A$5:$A$110=$B50)*ISNUMBER(INDEX(Inputs!$K$5:$AJ$110,0,MATCH(AJ$2,Inputs!$K$4:$AJ$4,0))))+SUMPRODUCT((Inputs!$C$5:$C$110=$B50)*ISNUMBER(INDEX(Inputs!$K$5:$AJ$110,0,MATCH(AJ$2,Inputs!$K$4:$AJ$4,0))))+SUMPRODUCT((Inputs!$E$5:$E$110=$B50)*ISNUMBER(INDEX(Inputs!$K$5:$AJ$110,0,MATCH(AJ$2,Inputs!$K$4:$AJ$4,0))))=0,NA(),SUMPRODUCT((Inputs!$A$5:$A$110=$B50)*Inputs!$B$5:$B$110*(((Inputs!$G$5:$G$110="moeda")+(Inputs!$G$5:$G$110="acoes"))*Inputs!$B$1+((Inputs!$G$5:$G$110&lt;&gt;"moeda")*(Inputs!$G$5:$G$110&lt;&gt;"acoes")))*INDEX(Inputs!$K$5:$AJ$110,0,MATCH(AJ$2,Inputs!$K$4:$AJ$4,0)))+SUMPRODUCT((Inputs!$C$5:$C$110=$B50)*Inputs!$D$5:$D$110*(((Inputs!$G$5:$G$110="moeda")+(Inputs!$G$5:$G$110="acoes"))*Inputs!$B$1+((Inputs!$G$5:$G$110&lt;&gt;"moeda")*(Inputs!$G$5:$G$110&lt;&gt;"acoes")))*INDEX(Inputs!$K$5:$AJ$110,0,MATCH(AJ$2,Inputs!$K$4:$AJ$4,0)))+SUMPRODUCT((Inputs!$E$5:$E$110=$B50)*Inputs!$F$5:$F$110*(((Inputs!$G$5:$G$110="moeda")+(Inputs!$G$5:$G$110="acoes"))*Inputs!$B$1+((Inputs!$G$5:$G$110&lt;&gt;"moeda")*(Inputs!$G$5:$G$110&lt;&gt;"acoes")))*INDEX(Inputs!$K$5:$AJ$110,0,MATCH(AJ$2,Inputs!$K$4:$AJ$4,0)))))</f>
        <v>1250</v>
      </c>
      <c r="AK50">
        <f>IF(ISNA(MATCH(AK$2,Inputs!$K$4:$AJ$4,0)),NA(),IF(SUMPRODUCT((Inputs!$A$5:$A$110=$B50)*ISNUMBER(INDEX(Inputs!$K$5:$AJ$110,0,MATCH(AK$2,Inputs!$K$4:$AJ$4,0))))+SUMPRODUCT((Inputs!$C$5:$C$110=$B50)*ISNUMBER(INDEX(Inputs!$K$5:$AJ$110,0,MATCH(AK$2,Inputs!$K$4:$AJ$4,0))))+SUMPRODUCT((Inputs!$E$5:$E$110=$B50)*ISNUMBER(INDEX(Inputs!$K$5:$AJ$110,0,MATCH(AK$2,Inputs!$K$4:$AJ$4,0))))=0,NA(),SUMPRODUCT((Inputs!$A$5:$A$110=$B50)*Inputs!$B$5:$B$110*(((Inputs!$G$5:$G$110="moeda")+(Inputs!$G$5:$G$110="acoes"))*Inputs!$B$1+((Inputs!$G$5:$G$110&lt;&gt;"moeda")*(Inputs!$G$5:$G$110&lt;&gt;"acoes")))*INDEX(Inputs!$K$5:$AJ$110,0,MATCH(AK$2,Inputs!$K$4:$AJ$4,0)))+SUMPRODUCT((Inputs!$C$5:$C$110=$B50)*Inputs!$D$5:$D$110*(((Inputs!$G$5:$G$110="moeda")+(Inputs!$G$5:$G$110="acoes"))*Inputs!$B$1+((Inputs!$G$5:$G$110&lt;&gt;"moeda")*(Inputs!$G$5:$G$110&lt;&gt;"acoes")))*INDEX(Inputs!$K$5:$AJ$110,0,MATCH(AK$2,Inputs!$K$4:$AJ$4,0)))+SUMPRODUCT((Inputs!$E$5:$E$110=$B50)*Inputs!$F$5:$F$110*(((Inputs!$G$5:$G$110="moeda")+(Inputs!$G$5:$G$110="acoes"))*Inputs!$B$1+((Inputs!$G$5:$G$110&lt;&gt;"moeda")*(Inputs!$G$5:$G$110&lt;&gt;"acoes")))*INDEX(Inputs!$K$5:$AJ$110,0,MATCH(AK$2,Inputs!$K$4:$AJ$4,0)))))</f>
        <v>1304</v>
      </c>
      <c r="AL50">
        <f>SUM(AH50:AK50)</f>
        <v>3656</v>
      </c>
    </row>
    <row r="52">
      <c r="C52" s="254" t="inlineStr">
        <is>
          <t>Drivers de receita (memo) - codigos 45+ [Model, bloco abaixo da receita liquida]</t>
        </is>
      </c>
    </row>
    <row r="53">
      <c r="B53" s="46" t="n">
        <v>45</v>
      </c>
      <c r="C53" s="29" t="inlineStr">
        <is>
          <t>Semiconductor Solutions - receita (USD)</t>
        </is>
      </c>
      <c r="D53" s="263">
        <f>IF(ISNA(MATCH(D$2,Inputs!$K$4:$AJ$4,0)),NA(),IF(SUMPRODUCT((Inputs!$A$5:$A$110=$B53)*ISNUMBER(INDEX(Inputs!$K$5:$AJ$110,0,MATCH(D$2,Inputs!$K$4:$AJ$4,0))))+SUMPRODUCT((Inputs!$C$5:$C$110=$B53)*ISNUMBER(INDEX(Inputs!$K$5:$AJ$110,0,MATCH(D$2,Inputs!$K$4:$AJ$4,0))))+SUMPRODUCT((Inputs!$E$5:$E$110=$B53)*ISNUMBER(INDEX(Inputs!$K$5:$AJ$110,0,MATCH(D$2,Inputs!$K$4:$AJ$4,0))))=0,NA(),SUMPRODUCT((Inputs!$A$5:$A$110=$B53)*Inputs!$B$5:$B$110*(((Inputs!$G$5:$G$110="moeda")+(Inputs!$G$5:$G$110="acoes"))*Inputs!$B$1+((Inputs!$G$5:$G$110&lt;&gt;"moeda")*(Inputs!$G$5:$G$110&lt;&gt;"acoes")))*INDEX(Inputs!$K$5:$AJ$110,0,MATCH(D$2,Inputs!$K$4:$AJ$4,0)))+SUMPRODUCT((Inputs!$C$5:$C$110=$B53)*Inputs!$D$5:$D$110*(((Inputs!$G$5:$G$110="moeda")+(Inputs!$G$5:$G$110="acoes"))*Inputs!$B$1+((Inputs!$G$5:$G$110&lt;&gt;"moeda")*(Inputs!$G$5:$G$110&lt;&gt;"acoes")))*INDEX(Inputs!$K$5:$AJ$110,0,MATCH(D$2,Inputs!$K$4:$AJ$4,0)))+SUMPRODUCT((Inputs!$E$5:$E$110=$B53)*Inputs!$F$5:$F$110*(((Inputs!$G$5:$G$110="moeda")+(Inputs!$G$5:$G$110="acoes"))*Inputs!$B$1+((Inputs!$G$5:$G$110&lt;&gt;"moeda")*(Inputs!$G$5:$G$110&lt;&gt;"acoes")))*INDEX(Inputs!$K$5:$AJ$110,0,MATCH(D$2,Inputs!$K$4:$AJ$4,0)))))</f>
        <v>4820</v>
      </c>
      <c r="E53" s="263">
        <f>IF(ISNA(MATCH(E$2,Inputs!$K$4:$AJ$4,0)),NA(),IF(SUMPRODUCT((Inputs!$A$5:$A$110=$B53)*ISNUMBER(INDEX(Inputs!$K$5:$AJ$110,0,MATCH(E$2,Inputs!$K$4:$AJ$4,0))))+SUMPRODUCT((Inputs!$C$5:$C$110=$B53)*ISNUMBER(INDEX(Inputs!$K$5:$AJ$110,0,MATCH(E$2,Inputs!$K$4:$AJ$4,0))))+SUMPRODUCT((Inputs!$E$5:$E$110=$B53)*ISNUMBER(INDEX(Inputs!$K$5:$AJ$110,0,MATCH(E$2,Inputs!$K$4:$AJ$4,0))))=0,NA(),SUMPRODUCT((Inputs!$A$5:$A$110=$B53)*Inputs!$B$5:$B$110*(((Inputs!$G$5:$G$110="moeda")+(Inputs!$G$5:$G$110="acoes"))*Inputs!$B$1+((Inputs!$G$5:$G$110&lt;&gt;"moeda")*(Inputs!$G$5:$G$110&lt;&gt;"acoes")))*INDEX(Inputs!$K$5:$AJ$110,0,MATCH(E$2,Inputs!$K$4:$AJ$4,0)))+SUMPRODUCT((Inputs!$C$5:$C$110=$B53)*Inputs!$D$5:$D$110*(((Inputs!$G$5:$G$110="moeda")+(Inputs!$G$5:$G$110="acoes"))*Inputs!$B$1+((Inputs!$G$5:$G$110&lt;&gt;"moeda")*(Inputs!$G$5:$G$110&lt;&gt;"acoes")))*INDEX(Inputs!$K$5:$AJ$110,0,MATCH(E$2,Inputs!$K$4:$AJ$4,0)))+SUMPRODUCT((Inputs!$E$5:$E$110=$B53)*Inputs!$F$5:$F$110*(((Inputs!$G$5:$G$110="moeda")+(Inputs!$G$5:$G$110="acoes"))*Inputs!$B$1+((Inputs!$G$5:$G$110&lt;&gt;"moeda")*(Inputs!$G$5:$G$110&lt;&gt;"acoes")))*INDEX(Inputs!$K$5:$AJ$110,0,MATCH(E$2,Inputs!$K$4:$AJ$4,0)))))</f>
        <v>5021</v>
      </c>
      <c r="F53" s="263">
        <f>IF(ISNA(MATCH(F$2,Inputs!$K$4:$AJ$4,0)),NA(),IF(SUMPRODUCT((Inputs!$A$5:$A$110=$B53)*ISNUMBER(INDEX(Inputs!$K$5:$AJ$110,0,MATCH(F$2,Inputs!$K$4:$AJ$4,0))))+SUMPRODUCT((Inputs!$C$5:$C$110=$B53)*ISNUMBER(INDEX(Inputs!$K$5:$AJ$110,0,MATCH(F$2,Inputs!$K$4:$AJ$4,0))))+SUMPRODUCT((Inputs!$E$5:$E$110=$B53)*ISNUMBER(INDEX(Inputs!$K$5:$AJ$110,0,MATCH(F$2,Inputs!$K$4:$AJ$4,0))))=0,NA(),SUMPRODUCT((Inputs!$A$5:$A$110=$B53)*Inputs!$B$5:$B$110*(((Inputs!$G$5:$G$110="moeda")+(Inputs!$G$5:$G$110="acoes"))*Inputs!$B$1+((Inputs!$G$5:$G$110&lt;&gt;"moeda")*(Inputs!$G$5:$G$110&lt;&gt;"acoes")))*INDEX(Inputs!$K$5:$AJ$110,0,MATCH(F$2,Inputs!$K$4:$AJ$4,0)))+SUMPRODUCT((Inputs!$C$5:$C$110=$B53)*Inputs!$D$5:$D$110*(((Inputs!$G$5:$G$110="moeda")+(Inputs!$G$5:$G$110="acoes"))*Inputs!$B$1+((Inputs!$G$5:$G$110&lt;&gt;"moeda")*(Inputs!$G$5:$G$110&lt;&gt;"acoes")))*INDEX(Inputs!$K$5:$AJ$110,0,MATCH(F$2,Inputs!$K$4:$AJ$4,0)))+SUMPRODUCT((Inputs!$E$5:$E$110=$B53)*Inputs!$F$5:$F$110*(((Inputs!$G$5:$G$110="moeda")+(Inputs!$G$5:$G$110="acoes"))*Inputs!$B$1+((Inputs!$G$5:$G$110&lt;&gt;"moeda")*(Inputs!$G$5:$G$110&lt;&gt;"acoes")))*INDEX(Inputs!$K$5:$AJ$110,0,MATCH(F$2,Inputs!$K$4:$AJ$4,0)))))</f>
        <v>5634</v>
      </c>
      <c r="G53" s="263">
        <f>IF(ISNA(MATCH(G$2,Inputs!$K$4:$AJ$4,0)),NA(),IF(SUMPRODUCT((Inputs!$A$5:$A$110=$B53)*ISNUMBER(INDEX(Inputs!$K$5:$AJ$110,0,MATCH(G$2,Inputs!$K$4:$AJ$4,0))))+SUMPRODUCT((Inputs!$C$5:$C$110=$B53)*ISNUMBER(INDEX(Inputs!$K$5:$AJ$110,0,MATCH(G$2,Inputs!$K$4:$AJ$4,0))))+SUMPRODUCT((Inputs!$E$5:$E$110=$B53)*ISNUMBER(INDEX(Inputs!$K$5:$AJ$110,0,MATCH(G$2,Inputs!$K$4:$AJ$4,0))))=0,NA(),SUMPRODUCT((Inputs!$A$5:$A$110=$B53)*Inputs!$B$5:$B$110*(((Inputs!$G$5:$G$110="moeda")+(Inputs!$G$5:$G$110="acoes"))*Inputs!$B$1+((Inputs!$G$5:$G$110&lt;&gt;"moeda")*(Inputs!$G$5:$G$110&lt;&gt;"acoes")))*INDEX(Inputs!$K$5:$AJ$110,0,MATCH(G$2,Inputs!$K$4:$AJ$4,0)))+SUMPRODUCT((Inputs!$C$5:$C$110=$B53)*Inputs!$D$5:$D$110*(((Inputs!$G$5:$G$110="moeda")+(Inputs!$G$5:$G$110="acoes"))*Inputs!$B$1+((Inputs!$G$5:$G$110&lt;&gt;"moeda")*(Inputs!$G$5:$G$110&lt;&gt;"acoes")))*INDEX(Inputs!$K$5:$AJ$110,0,MATCH(G$2,Inputs!$K$4:$AJ$4,0)))+SUMPRODUCT((Inputs!$E$5:$E$110=$B53)*Inputs!$F$5:$F$110*(((Inputs!$G$5:$G$110="moeda")+(Inputs!$G$5:$G$110="acoes"))*Inputs!$B$1+((Inputs!$G$5:$G$110&lt;&gt;"moeda")*(Inputs!$G$5:$G$110&lt;&gt;"acoes")))*INDEX(Inputs!$K$5:$AJ$110,0,MATCH(G$2,Inputs!$K$4:$AJ$4,0)))))</f>
        <v>5873</v>
      </c>
      <c r="H53" s="264">
        <f>SUM(D53:G53)</f>
        <v>21348</v>
      </c>
      <c r="I53" s="263">
        <f>IF(ISNA(MATCH(I$2,Inputs!$K$4:$AJ$4,0)),NA(),IF(SUMPRODUCT((Inputs!$A$5:$A$110=$B53)*ISNUMBER(INDEX(Inputs!$K$5:$AJ$110,0,MATCH(I$2,Inputs!$K$4:$AJ$4,0))))+SUMPRODUCT((Inputs!$C$5:$C$110=$B53)*ISNUMBER(INDEX(Inputs!$K$5:$AJ$110,0,MATCH(I$2,Inputs!$K$4:$AJ$4,0))))+SUMPRODUCT((Inputs!$E$5:$E$110=$B53)*ISNUMBER(INDEX(Inputs!$K$5:$AJ$110,0,MATCH(I$2,Inputs!$K$4:$AJ$4,0))))=0,NA(),SUMPRODUCT((Inputs!$A$5:$A$110=$B53)*Inputs!$B$5:$B$110*(((Inputs!$G$5:$G$110="moeda")+(Inputs!$G$5:$G$110="acoes"))*Inputs!$B$1+((Inputs!$G$5:$G$110&lt;&gt;"moeda")*(Inputs!$G$5:$G$110&lt;&gt;"acoes")))*INDEX(Inputs!$K$5:$AJ$110,0,MATCH(I$2,Inputs!$K$4:$AJ$4,0)))+SUMPRODUCT((Inputs!$C$5:$C$110=$B53)*Inputs!$D$5:$D$110*(((Inputs!$G$5:$G$110="moeda")+(Inputs!$G$5:$G$110="acoes"))*Inputs!$B$1+((Inputs!$G$5:$G$110&lt;&gt;"moeda")*(Inputs!$G$5:$G$110&lt;&gt;"acoes")))*INDEX(Inputs!$K$5:$AJ$110,0,MATCH(I$2,Inputs!$K$4:$AJ$4,0)))+SUMPRODUCT((Inputs!$E$5:$E$110=$B53)*Inputs!$F$5:$F$110*(((Inputs!$G$5:$G$110="moeda")+(Inputs!$G$5:$G$110="acoes"))*Inputs!$B$1+((Inputs!$G$5:$G$110&lt;&gt;"moeda")*(Inputs!$G$5:$G$110&lt;&gt;"acoes")))*INDEX(Inputs!$K$5:$AJ$110,0,MATCH(I$2,Inputs!$K$4:$AJ$4,0)))))</f>
        <v>6229</v>
      </c>
      <c r="J53" s="263">
        <f>IF(ISNA(MATCH(J$2,Inputs!$K$4:$AJ$4,0)),NA(),IF(SUMPRODUCT((Inputs!$A$5:$A$110=$B53)*ISNUMBER(INDEX(Inputs!$K$5:$AJ$110,0,MATCH(J$2,Inputs!$K$4:$AJ$4,0))))+SUMPRODUCT((Inputs!$C$5:$C$110=$B53)*ISNUMBER(INDEX(Inputs!$K$5:$AJ$110,0,MATCH(J$2,Inputs!$K$4:$AJ$4,0))))+SUMPRODUCT((Inputs!$E$5:$E$110=$B53)*ISNUMBER(INDEX(Inputs!$K$5:$AJ$110,0,MATCH(J$2,Inputs!$K$4:$AJ$4,0))))=0,NA(),SUMPRODUCT((Inputs!$A$5:$A$110=$B53)*Inputs!$B$5:$B$110*(((Inputs!$G$5:$G$110="moeda")+(Inputs!$G$5:$G$110="acoes"))*Inputs!$B$1+((Inputs!$G$5:$G$110&lt;&gt;"moeda")*(Inputs!$G$5:$G$110&lt;&gt;"acoes")))*INDEX(Inputs!$K$5:$AJ$110,0,MATCH(J$2,Inputs!$K$4:$AJ$4,0)))+SUMPRODUCT((Inputs!$C$5:$C$110=$B53)*Inputs!$D$5:$D$110*(((Inputs!$G$5:$G$110="moeda")+(Inputs!$G$5:$G$110="acoes"))*Inputs!$B$1+((Inputs!$G$5:$G$110&lt;&gt;"moeda")*(Inputs!$G$5:$G$110&lt;&gt;"acoes")))*INDEX(Inputs!$K$5:$AJ$110,0,MATCH(J$2,Inputs!$K$4:$AJ$4,0)))+SUMPRODUCT((Inputs!$E$5:$E$110=$B53)*Inputs!$F$5:$F$110*(((Inputs!$G$5:$G$110="moeda")+(Inputs!$G$5:$G$110="acoes"))*Inputs!$B$1+((Inputs!$G$5:$G$110&lt;&gt;"moeda")*(Inputs!$G$5:$G$110&lt;&gt;"acoes")))*INDEX(Inputs!$K$5:$AJ$110,0,MATCH(J$2,Inputs!$K$4:$AJ$4,0)))))</f>
        <v>6624</v>
      </c>
      <c r="K53" s="263">
        <f>IF(ISNA(MATCH(K$2,Inputs!$K$4:$AJ$4,0)),NA(),IF(SUMPRODUCT((Inputs!$A$5:$A$110=$B53)*ISNUMBER(INDEX(Inputs!$K$5:$AJ$110,0,MATCH(K$2,Inputs!$K$4:$AJ$4,0))))+SUMPRODUCT((Inputs!$C$5:$C$110=$B53)*ISNUMBER(INDEX(Inputs!$K$5:$AJ$110,0,MATCH(K$2,Inputs!$K$4:$AJ$4,0))))+SUMPRODUCT((Inputs!$E$5:$E$110=$B53)*ISNUMBER(INDEX(Inputs!$K$5:$AJ$110,0,MATCH(K$2,Inputs!$K$4:$AJ$4,0))))=0,NA(),SUMPRODUCT((Inputs!$A$5:$A$110=$B53)*Inputs!$B$5:$B$110*(((Inputs!$G$5:$G$110="moeda")+(Inputs!$G$5:$G$110="acoes"))*Inputs!$B$1+((Inputs!$G$5:$G$110&lt;&gt;"moeda")*(Inputs!$G$5:$G$110&lt;&gt;"acoes")))*INDEX(Inputs!$K$5:$AJ$110,0,MATCH(K$2,Inputs!$K$4:$AJ$4,0)))+SUMPRODUCT((Inputs!$C$5:$C$110=$B53)*Inputs!$D$5:$D$110*(((Inputs!$G$5:$G$110="moeda")+(Inputs!$G$5:$G$110="acoes"))*Inputs!$B$1+((Inputs!$G$5:$G$110&lt;&gt;"moeda")*(Inputs!$G$5:$G$110&lt;&gt;"acoes")))*INDEX(Inputs!$K$5:$AJ$110,0,MATCH(K$2,Inputs!$K$4:$AJ$4,0)))+SUMPRODUCT((Inputs!$E$5:$E$110=$B53)*Inputs!$F$5:$F$110*(((Inputs!$G$5:$G$110="moeda")+(Inputs!$G$5:$G$110="acoes"))*Inputs!$B$1+((Inputs!$G$5:$G$110&lt;&gt;"moeda")*(Inputs!$G$5:$G$110&lt;&gt;"acoes")))*INDEX(Inputs!$K$5:$AJ$110,0,MATCH(K$2,Inputs!$K$4:$AJ$4,0)))))</f>
        <v>7092</v>
      </c>
      <c r="L53" s="263">
        <f>IF(ISNA(MATCH(L$2,Inputs!$K$4:$AJ$4,0)),NA(),IF(SUMPRODUCT((Inputs!$A$5:$A$110=$B53)*ISNUMBER(INDEX(Inputs!$K$5:$AJ$110,0,MATCH(L$2,Inputs!$K$4:$AJ$4,0))))+SUMPRODUCT((Inputs!$C$5:$C$110=$B53)*ISNUMBER(INDEX(Inputs!$K$5:$AJ$110,0,MATCH(L$2,Inputs!$K$4:$AJ$4,0))))+SUMPRODUCT((Inputs!$E$5:$E$110=$B53)*ISNUMBER(INDEX(Inputs!$K$5:$AJ$110,0,MATCH(L$2,Inputs!$K$4:$AJ$4,0))))=0,NA(),SUMPRODUCT((Inputs!$A$5:$A$110=$B53)*Inputs!$B$5:$B$110*(((Inputs!$G$5:$G$110="moeda")+(Inputs!$G$5:$G$110="acoes"))*Inputs!$B$1+((Inputs!$G$5:$G$110&lt;&gt;"moeda")*(Inputs!$G$5:$G$110&lt;&gt;"acoes")))*INDEX(Inputs!$K$5:$AJ$110,0,MATCH(L$2,Inputs!$K$4:$AJ$4,0)))+SUMPRODUCT((Inputs!$C$5:$C$110=$B53)*Inputs!$D$5:$D$110*(((Inputs!$G$5:$G$110="moeda")+(Inputs!$G$5:$G$110="acoes"))*Inputs!$B$1+((Inputs!$G$5:$G$110&lt;&gt;"moeda")*(Inputs!$G$5:$G$110&lt;&gt;"acoes")))*INDEX(Inputs!$K$5:$AJ$110,0,MATCH(L$2,Inputs!$K$4:$AJ$4,0)))+SUMPRODUCT((Inputs!$E$5:$E$110=$B53)*Inputs!$F$5:$F$110*(((Inputs!$G$5:$G$110="moeda")+(Inputs!$G$5:$G$110="acoes"))*Inputs!$B$1+((Inputs!$G$5:$G$110&lt;&gt;"moeda")*(Inputs!$G$5:$G$110&lt;&gt;"acoes")))*INDEX(Inputs!$K$5:$AJ$110,0,MATCH(L$2,Inputs!$K$4:$AJ$4,0)))))</f>
        <v>7107</v>
      </c>
      <c r="M53" s="264">
        <f>SUM(I53:L53)</f>
        <v>27052</v>
      </c>
      <c r="N53" s="263">
        <f>IF(ISNA(MATCH(N$2,Inputs!$K$4:$AJ$4,0)),NA(),IF(SUMPRODUCT((Inputs!$A$5:$A$110=$B53)*ISNUMBER(INDEX(Inputs!$K$5:$AJ$110,0,MATCH(N$2,Inputs!$K$4:$AJ$4,0))))+SUMPRODUCT((Inputs!$C$5:$C$110=$B53)*ISNUMBER(INDEX(Inputs!$K$5:$AJ$110,0,MATCH(N$2,Inputs!$K$4:$AJ$4,0))))+SUMPRODUCT((Inputs!$E$5:$E$110=$B53)*ISNUMBER(INDEX(Inputs!$K$5:$AJ$110,0,MATCH(N$2,Inputs!$K$4:$AJ$4,0))))=0,NA(),SUMPRODUCT((Inputs!$A$5:$A$110=$B53)*Inputs!$B$5:$B$110*(((Inputs!$G$5:$G$110="moeda")+(Inputs!$G$5:$G$110="acoes"))*Inputs!$B$1+((Inputs!$G$5:$G$110&lt;&gt;"moeda")*(Inputs!$G$5:$G$110&lt;&gt;"acoes")))*INDEX(Inputs!$K$5:$AJ$110,0,MATCH(N$2,Inputs!$K$4:$AJ$4,0)))+SUMPRODUCT((Inputs!$C$5:$C$110=$B53)*Inputs!$D$5:$D$110*(((Inputs!$G$5:$G$110="moeda")+(Inputs!$G$5:$G$110="acoes"))*Inputs!$B$1+((Inputs!$G$5:$G$110&lt;&gt;"moeda")*(Inputs!$G$5:$G$110&lt;&gt;"acoes")))*INDEX(Inputs!$K$5:$AJ$110,0,MATCH(N$2,Inputs!$K$4:$AJ$4,0)))+SUMPRODUCT((Inputs!$E$5:$E$110=$B53)*Inputs!$F$5:$F$110*(((Inputs!$G$5:$G$110="moeda")+(Inputs!$G$5:$G$110="acoes"))*Inputs!$B$1+((Inputs!$G$5:$G$110&lt;&gt;"moeda")*(Inputs!$G$5:$G$110&lt;&gt;"acoes")))*INDEX(Inputs!$K$5:$AJ$110,0,MATCH(N$2,Inputs!$K$4:$AJ$4,0)))))</f>
        <v>6808</v>
      </c>
      <c r="O53" s="263">
        <f>IF(ISNA(MATCH(O$2,Inputs!$K$4:$AJ$4,0)),NA(),IF(SUMPRODUCT((Inputs!$A$5:$A$110=$B53)*ISNUMBER(INDEX(Inputs!$K$5:$AJ$110,0,MATCH(O$2,Inputs!$K$4:$AJ$4,0))))+SUMPRODUCT((Inputs!$C$5:$C$110=$B53)*ISNUMBER(INDEX(Inputs!$K$5:$AJ$110,0,MATCH(O$2,Inputs!$K$4:$AJ$4,0))))+SUMPRODUCT((Inputs!$E$5:$E$110=$B53)*ISNUMBER(INDEX(Inputs!$K$5:$AJ$110,0,MATCH(O$2,Inputs!$K$4:$AJ$4,0))))=0,NA(),SUMPRODUCT((Inputs!$A$5:$A$110=$B53)*Inputs!$B$5:$B$110*(((Inputs!$G$5:$G$110="moeda")+(Inputs!$G$5:$G$110="acoes"))*Inputs!$B$1+((Inputs!$G$5:$G$110&lt;&gt;"moeda")*(Inputs!$G$5:$G$110&lt;&gt;"acoes")))*INDEX(Inputs!$K$5:$AJ$110,0,MATCH(O$2,Inputs!$K$4:$AJ$4,0)))+SUMPRODUCT((Inputs!$C$5:$C$110=$B53)*Inputs!$D$5:$D$110*(((Inputs!$G$5:$G$110="moeda")+(Inputs!$G$5:$G$110="acoes"))*Inputs!$B$1+((Inputs!$G$5:$G$110&lt;&gt;"moeda")*(Inputs!$G$5:$G$110&lt;&gt;"acoes")))*INDEX(Inputs!$K$5:$AJ$110,0,MATCH(O$2,Inputs!$K$4:$AJ$4,0)))+SUMPRODUCT((Inputs!$E$5:$E$110=$B53)*Inputs!$F$5:$F$110*(((Inputs!$G$5:$G$110="moeda")+(Inputs!$G$5:$G$110="acoes"))*Inputs!$B$1+((Inputs!$G$5:$G$110&lt;&gt;"moeda")*(Inputs!$G$5:$G$110&lt;&gt;"acoes")))*INDEX(Inputs!$K$5:$AJ$110,0,MATCH(O$2,Inputs!$K$4:$AJ$4,0)))))</f>
        <v>6941</v>
      </c>
      <c r="P53" s="263">
        <f>IF(ISNA(MATCH(P$2,Inputs!$K$4:$AJ$4,0)),NA(),IF(SUMPRODUCT((Inputs!$A$5:$A$110=$B53)*ISNUMBER(INDEX(Inputs!$K$5:$AJ$110,0,MATCH(P$2,Inputs!$K$4:$AJ$4,0))))+SUMPRODUCT((Inputs!$C$5:$C$110=$B53)*ISNUMBER(INDEX(Inputs!$K$5:$AJ$110,0,MATCH(P$2,Inputs!$K$4:$AJ$4,0))))+SUMPRODUCT((Inputs!$E$5:$E$110=$B53)*ISNUMBER(INDEX(Inputs!$K$5:$AJ$110,0,MATCH(P$2,Inputs!$K$4:$AJ$4,0))))=0,NA(),SUMPRODUCT((Inputs!$A$5:$A$110=$B53)*Inputs!$B$5:$B$110*(((Inputs!$G$5:$G$110="moeda")+(Inputs!$G$5:$G$110="acoes"))*Inputs!$B$1+((Inputs!$G$5:$G$110&lt;&gt;"moeda")*(Inputs!$G$5:$G$110&lt;&gt;"acoes")))*INDEX(Inputs!$K$5:$AJ$110,0,MATCH(P$2,Inputs!$K$4:$AJ$4,0)))+SUMPRODUCT((Inputs!$C$5:$C$110=$B53)*Inputs!$D$5:$D$110*(((Inputs!$G$5:$G$110="moeda")+(Inputs!$G$5:$G$110="acoes"))*Inputs!$B$1+((Inputs!$G$5:$G$110&lt;&gt;"moeda")*(Inputs!$G$5:$G$110&lt;&gt;"acoes")))*INDEX(Inputs!$K$5:$AJ$110,0,MATCH(P$2,Inputs!$K$4:$AJ$4,0)))+SUMPRODUCT((Inputs!$E$5:$E$110=$B53)*Inputs!$F$5:$F$110*(((Inputs!$G$5:$G$110="moeda")+(Inputs!$G$5:$G$110="acoes"))*Inputs!$B$1+((Inputs!$G$5:$G$110&lt;&gt;"moeda")*(Inputs!$G$5:$G$110&lt;&gt;"acoes")))*INDEX(Inputs!$K$5:$AJ$110,0,MATCH(P$2,Inputs!$K$4:$AJ$4,0)))))</f>
        <v>7326</v>
      </c>
      <c r="Q53" s="263">
        <f>IF(ISNA(MATCH(Q$2,Inputs!$K$4:$AJ$4,0)),NA(),IF(SUMPRODUCT((Inputs!$A$5:$A$110=$B53)*ISNUMBER(INDEX(Inputs!$K$5:$AJ$110,0,MATCH(Q$2,Inputs!$K$4:$AJ$4,0))))+SUMPRODUCT((Inputs!$C$5:$C$110=$B53)*ISNUMBER(INDEX(Inputs!$K$5:$AJ$110,0,MATCH(Q$2,Inputs!$K$4:$AJ$4,0))))+SUMPRODUCT((Inputs!$E$5:$E$110=$B53)*ISNUMBER(INDEX(Inputs!$K$5:$AJ$110,0,MATCH(Q$2,Inputs!$K$4:$AJ$4,0))))=0,NA(),SUMPRODUCT((Inputs!$A$5:$A$110=$B53)*Inputs!$B$5:$B$110*(((Inputs!$G$5:$G$110="moeda")+(Inputs!$G$5:$G$110="acoes"))*Inputs!$B$1+((Inputs!$G$5:$G$110&lt;&gt;"moeda")*(Inputs!$G$5:$G$110&lt;&gt;"acoes")))*INDEX(Inputs!$K$5:$AJ$110,0,MATCH(Q$2,Inputs!$K$4:$AJ$4,0)))+SUMPRODUCT((Inputs!$C$5:$C$110=$B53)*Inputs!$D$5:$D$110*(((Inputs!$G$5:$G$110="moeda")+(Inputs!$G$5:$G$110="acoes"))*Inputs!$B$1+((Inputs!$G$5:$G$110&lt;&gt;"moeda")*(Inputs!$G$5:$G$110&lt;&gt;"acoes")))*INDEX(Inputs!$K$5:$AJ$110,0,MATCH(Q$2,Inputs!$K$4:$AJ$4,0)))+SUMPRODUCT((Inputs!$E$5:$E$110=$B53)*Inputs!$F$5:$F$110*(((Inputs!$G$5:$G$110="moeda")+(Inputs!$G$5:$G$110="acoes"))*Inputs!$B$1+((Inputs!$G$5:$G$110&lt;&gt;"moeda")*(Inputs!$G$5:$G$110&lt;&gt;"acoes")))*INDEX(Inputs!$K$5:$AJ$110,0,MATCH(Q$2,Inputs!$K$4:$AJ$4,0)))))</f>
        <v>7390</v>
      </c>
      <c r="R53" s="264">
        <f>SUM(N53:Q53)</f>
        <v>28465</v>
      </c>
      <c r="S53" s="263">
        <f>IF(ISNA(MATCH(S$2,Inputs!$K$4:$AJ$4,0)),NA(),IF(SUMPRODUCT((Inputs!$A$5:$A$110=$B53)*ISNUMBER(INDEX(Inputs!$K$5:$AJ$110,0,MATCH(S$2,Inputs!$K$4:$AJ$4,0))))+SUMPRODUCT((Inputs!$C$5:$C$110=$B53)*ISNUMBER(INDEX(Inputs!$K$5:$AJ$110,0,MATCH(S$2,Inputs!$K$4:$AJ$4,0))))+SUMPRODUCT((Inputs!$E$5:$E$110=$B53)*ISNUMBER(INDEX(Inputs!$K$5:$AJ$110,0,MATCH(S$2,Inputs!$K$4:$AJ$4,0))))=0,NA(),SUMPRODUCT((Inputs!$A$5:$A$110=$B53)*Inputs!$B$5:$B$110*(((Inputs!$G$5:$G$110="moeda")+(Inputs!$G$5:$G$110="acoes"))*Inputs!$B$1+((Inputs!$G$5:$G$110&lt;&gt;"moeda")*(Inputs!$G$5:$G$110&lt;&gt;"acoes")))*INDEX(Inputs!$K$5:$AJ$110,0,MATCH(S$2,Inputs!$K$4:$AJ$4,0)))+SUMPRODUCT((Inputs!$C$5:$C$110=$B53)*Inputs!$D$5:$D$110*(((Inputs!$G$5:$G$110="moeda")+(Inputs!$G$5:$G$110="acoes"))*Inputs!$B$1+((Inputs!$G$5:$G$110&lt;&gt;"moeda")*(Inputs!$G$5:$G$110&lt;&gt;"acoes")))*INDEX(Inputs!$K$5:$AJ$110,0,MATCH(S$2,Inputs!$K$4:$AJ$4,0)))+SUMPRODUCT((Inputs!$E$5:$E$110=$B53)*Inputs!$F$5:$F$110*(((Inputs!$G$5:$G$110="moeda")+(Inputs!$G$5:$G$110="acoes"))*Inputs!$B$1+((Inputs!$G$5:$G$110&lt;&gt;"moeda")*(Inputs!$G$5:$G$110&lt;&gt;"acoes")))*INDEX(Inputs!$K$5:$AJ$110,0,MATCH(S$2,Inputs!$K$4:$AJ$4,0)))))</f>
        <v>7202</v>
      </c>
      <c r="T53" s="263">
        <f>IF(ISNA(MATCH(T$2,Inputs!$K$4:$AJ$4,0)),NA(),IF(SUMPRODUCT((Inputs!$A$5:$A$110=$B53)*ISNUMBER(INDEX(Inputs!$K$5:$AJ$110,0,MATCH(T$2,Inputs!$K$4:$AJ$4,0))))+SUMPRODUCT((Inputs!$C$5:$C$110=$B53)*ISNUMBER(INDEX(Inputs!$K$5:$AJ$110,0,MATCH(T$2,Inputs!$K$4:$AJ$4,0))))+SUMPRODUCT((Inputs!$E$5:$E$110=$B53)*ISNUMBER(INDEX(Inputs!$K$5:$AJ$110,0,MATCH(T$2,Inputs!$K$4:$AJ$4,0))))=0,NA(),SUMPRODUCT((Inputs!$A$5:$A$110=$B53)*Inputs!$B$5:$B$110*(((Inputs!$G$5:$G$110="moeda")+(Inputs!$G$5:$G$110="acoes"))*Inputs!$B$1+((Inputs!$G$5:$G$110&lt;&gt;"moeda")*(Inputs!$G$5:$G$110&lt;&gt;"acoes")))*INDEX(Inputs!$K$5:$AJ$110,0,MATCH(T$2,Inputs!$K$4:$AJ$4,0)))+SUMPRODUCT((Inputs!$C$5:$C$110=$B53)*Inputs!$D$5:$D$110*(((Inputs!$G$5:$G$110="moeda")+(Inputs!$G$5:$G$110="acoes"))*Inputs!$B$1+((Inputs!$G$5:$G$110&lt;&gt;"moeda")*(Inputs!$G$5:$G$110&lt;&gt;"acoes")))*INDEX(Inputs!$K$5:$AJ$110,0,MATCH(T$2,Inputs!$K$4:$AJ$4,0)))+SUMPRODUCT((Inputs!$E$5:$E$110=$B53)*Inputs!$F$5:$F$110*(((Inputs!$G$5:$G$110="moeda")+(Inputs!$G$5:$G$110="acoes"))*Inputs!$B$1+((Inputs!$G$5:$G$110&lt;&gt;"moeda")*(Inputs!$G$5:$G$110&lt;&gt;"acoes")))*INDEX(Inputs!$K$5:$AJ$110,0,MATCH(T$2,Inputs!$K$4:$AJ$4,0)))))</f>
        <v>7274</v>
      </c>
      <c r="U53" s="263">
        <f>IF(ISNA(MATCH(U$2,Inputs!$K$4:$AJ$4,0)),NA(),IF(SUMPRODUCT((Inputs!$A$5:$A$110=$B53)*ISNUMBER(INDEX(Inputs!$K$5:$AJ$110,0,MATCH(U$2,Inputs!$K$4:$AJ$4,0))))+SUMPRODUCT((Inputs!$C$5:$C$110=$B53)*ISNUMBER(INDEX(Inputs!$K$5:$AJ$110,0,MATCH(U$2,Inputs!$K$4:$AJ$4,0))))+SUMPRODUCT((Inputs!$E$5:$E$110=$B53)*ISNUMBER(INDEX(Inputs!$K$5:$AJ$110,0,MATCH(U$2,Inputs!$K$4:$AJ$4,0))))=0,NA(),SUMPRODUCT((Inputs!$A$5:$A$110=$B53)*Inputs!$B$5:$B$110*(((Inputs!$G$5:$G$110="moeda")+(Inputs!$G$5:$G$110="acoes"))*Inputs!$B$1+((Inputs!$G$5:$G$110&lt;&gt;"moeda")*(Inputs!$G$5:$G$110&lt;&gt;"acoes")))*INDEX(Inputs!$K$5:$AJ$110,0,MATCH(U$2,Inputs!$K$4:$AJ$4,0)))+SUMPRODUCT((Inputs!$C$5:$C$110=$B53)*Inputs!$D$5:$D$110*(((Inputs!$G$5:$G$110="moeda")+(Inputs!$G$5:$G$110="acoes"))*Inputs!$B$1+((Inputs!$G$5:$G$110&lt;&gt;"moeda")*(Inputs!$G$5:$G$110&lt;&gt;"acoes")))*INDEX(Inputs!$K$5:$AJ$110,0,MATCH(U$2,Inputs!$K$4:$AJ$4,0)))+SUMPRODUCT((Inputs!$E$5:$E$110=$B53)*Inputs!$F$5:$F$110*(((Inputs!$G$5:$G$110="moeda")+(Inputs!$G$5:$G$110="acoes"))*Inputs!$B$1+((Inputs!$G$5:$G$110&lt;&gt;"moeda")*(Inputs!$G$5:$G$110&lt;&gt;"acoes")))*INDEX(Inputs!$K$5:$AJ$110,0,MATCH(U$2,Inputs!$K$4:$AJ$4,0)))))</f>
        <v>8230</v>
      </c>
      <c r="V53" s="263">
        <f>IF(ISNA(MATCH(V$2,Inputs!$K$4:$AJ$4,0)),NA(),IF(SUMPRODUCT((Inputs!$A$5:$A$110=$B53)*ISNUMBER(INDEX(Inputs!$K$5:$AJ$110,0,MATCH(V$2,Inputs!$K$4:$AJ$4,0))))+SUMPRODUCT((Inputs!$C$5:$C$110=$B53)*ISNUMBER(INDEX(Inputs!$K$5:$AJ$110,0,MATCH(V$2,Inputs!$K$4:$AJ$4,0))))+SUMPRODUCT((Inputs!$E$5:$E$110=$B53)*ISNUMBER(INDEX(Inputs!$K$5:$AJ$110,0,MATCH(V$2,Inputs!$K$4:$AJ$4,0))))=0,NA(),SUMPRODUCT((Inputs!$A$5:$A$110=$B53)*Inputs!$B$5:$B$110*(((Inputs!$G$5:$G$110="moeda")+(Inputs!$G$5:$G$110="acoes"))*Inputs!$B$1+((Inputs!$G$5:$G$110&lt;&gt;"moeda")*(Inputs!$G$5:$G$110&lt;&gt;"acoes")))*INDEX(Inputs!$K$5:$AJ$110,0,MATCH(V$2,Inputs!$K$4:$AJ$4,0)))+SUMPRODUCT((Inputs!$C$5:$C$110=$B53)*Inputs!$D$5:$D$110*(((Inputs!$G$5:$G$110="moeda")+(Inputs!$G$5:$G$110="acoes"))*Inputs!$B$1+((Inputs!$G$5:$G$110&lt;&gt;"moeda")*(Inputs!$G$5:$G$110&lt;&gt;"acoes")))*INDEX(Inputs!$K$5:$AJ$110,0,MATCH(V$2,Inputs!$K$4:$AJ$4,0)))+SUMPRODUCT((Inputs!$E$5:$E$110=$B53)*Inputs!$F$5:$F$110*(((Inputs!$G$5:$G$110="moeda")+(Inputs!$G$5:$G$110="acoes"))*Inputs!$B$1+((Inputs!$G$5:$G$110&lt;&gt;"moeda")*(Inputs!$G$5:$G$110&lt;&gt;"acoes")))*INDEX(Inputs!$K$5:$AJ$110,0,MATCH(V$2,Inputs!$K$4:$AJ$4,0)))))</f>
        <v>8212</v>
      </c>
      <c r="W53" s="264">
        <f>SUM(S53:V53)</f>
        <v>30918</v>
      </c>
      <c r="X53" s="263">
        <f>IF(ISNA(MATCH(X$2,Inputs!$K$4:$AJ$4,0)),NA(),IF(SUMPRODUCT((Inputs!$A$5:$A$110=$B53)*ISNUMBER(INDEX(Inputs!$K$5:$AJ$110,0,MATCH(X$2,Inputs!$K$4:$AJ$4,0))))+SUMPRODUCT((Inputs!$C$5:$C$110=$B53)*ISNUMBER(INDEX(Inputs!$K$5:$AJ$110,0,MATCH(X$2,Inputs!$K$4:$AJ$4,0))))+SUMPRODUCT((Inputs!$E$5:$E$110=$B53)*ISNUMBER(INDEX(Inputs!$K$5:$AJ$110,0,MATCH(X$2,Inputs!$K$4:$AJ$4,0))))=0,NA(),SUMPRODUCT((Inputs!$A$5:$A$110=$B53)*Inputs!$B$5:$B$110*(((Inputs!$G$5:$G$110="moeda")+(Inputs!$G$5:$G$110="acoes"))*Inputs!$B$1+((Inputs!$G$5:$G$110&lt;&gt;"moeda")*(Inputs!$G$5:$G$110&lt;&gt;"acoes")))*INDEX(Inputs!$K$5:$AJ$110,0,MATCH(X$2,Inputs!$K$4:$AJ$4,0)))+SUMPRODUCT((Inputs!$C$5:$C$110=$B53)*Inputs!$D$5:$D$110*(((Inputs!$G$5:$G$110="moeda")+(Inputs!$G$5:$G$110="acoes"))*Inputs!$B$1+((Inputs!$G$5:$G$110&lt;&gt;"moeda")*(Inputs!$G$5:$G$110&lt;&gt;"acoes")))*INDEX(Inputs!$K$5:$AJ$110,0,MATCH(X$2,Inputs!$K$4:$AJ$4,0)))+SUMPRODUCT((Inputs!$E$5:$E$110=$B53)*Inputs!$F$5:$F$110*(((Inputs!$G$5:$G$110="moeda")+(Inputs!$G$5:$G$110="acoes"))*Inputs!$B$1+((Inputs!$G$5:$G$110&lt;&gt;"moeda")*(Inputs!$G$5:$G$110&lt;&gt;"acoes")))*INDEX(Inputs!$K$5:$AJ$110,0,MATCH(X$2,Inputs!$K$4:$AJ$4,0)))))</f>
        <v>8408</v>
      </c>
      <c r="Y53" s="263">
        <f>IF(ISNA(MATCH(Y$2,Inputs!$K$4:$AJ$4,0)),NA(),IF(SUMPRODUCT((Inputs!$A$5:$A$110=$B53)*ISNUMBER(INDEX(Inputs!$K$5:$AJ$110,0,MATCH(Y$2,Inputs!$K$4:$AJ$4,0))))+SUMPRODUCT((Inputs!$C$5:$C$110=$B53)*ISNUMBER(INDEX(Inputs!$K$5:$AJ$110,0,MATCH(Y$2,Inputs!$K$4:$AJ$4,0))))+SUMPRODUCT((Inputs!$E$5:$E$110=$B53)*ISNUMBER(INDEX(Inputs!$K$5:$AJ$110,0,MATCH(Y$2,Inputs!$K$4:$AJ$4,0))))=0,NA(),SUMPRODUCT((Inputs!$A$5:$A$110=$B53)*Inputs!$B$5:$B$110*(((Inputs!$G$5:$G$110="moeda")+(Inputs!$G$5:$G$110="acoes"))*Inputs!$B$1+((Inputs!$G$5:$G$110&lt;&gt;"moeda")*(Inputs!$G$5:$G$110&lt;&gt;"acoes")))*INDEX(Inputs!$K$5:$AJ$110,0,MATCH(Y$2,Inputs!$K$4:$AJ$4,0)))+SUMPRODUCT((Inputs!$C$5:$C$110=$B53)*Inputs!$D$5:$D$110*(((Inputs!$G$5:$G$110="moeda")+(Inputs!$G$5:$G$110="acoes"))*Inputs!$B$1+((Inputs!$G$5:$G$110&lt;&gt;"moeda")*(Inputs!$G$5:$G$110&lt;&gt;"acoes")))*INDEX(Inputs!$K$5:$AJ$110,0,MATCH(Y$2,Inputs!$K$4:$AJ$4,0)))+SUMPRODUCT((Inputs!$E$5:$E$110=$B53)*Inputs!$F$5:$F$110*(((Inputs!$G$5:$G$110="moeda")+(Inputs!$G$5:$G$110="acoes"))*Inputs!$B$1+((Inputs!$G$5:$G$110&lt;&gt;"moeda")*(Inputs!$G$5:$G$110&lt;&gt;"acoes")))*INDEX(Inputs!$K$5:$AJ$110,0,MATCH(Y$2,Inputs!$K$4:$AJ$4,0)))))</f>
        <v>9166</v>
      </c>
      <c r="Z53" s="263">
        <f>IF(ISNA(MATCH(Z$2,Inputs!$K$4:$AJ$4,0)),NA(),IF(SUMPRODUCT((Inputs!$A$5:$A$110=$B53)*ISNUMBER(INDEX(Inputs!$K$5:$AJ$110,0,MATCH(Z$2,Inputs!$K$4:$AJ$4,0))))+SUMPRODUCT((Inputs!$C$5:$C$110=$B53)*ISNUMBER(INDEX(Inputs!$K$5:$AJ$110,0,MATCH(Z$2,Inputs!$K$4:$AJ$4,0))))+SUMPRODUCT((Inputs!$E$5:$E$110=$B53)*ISNUMBER(INDEX(Inputs!$K$5:$AJ$110,0,MATCH(Z$2,Inputs!$K$4:$AJ$4,0))))=0,NA(),SUMPRODUCT((Inputs!$A$5:$A$110=$B53)*Inputs!$B$5:$B$110*(((Inputs!$G$5:$G$110="moeda")+(Inputs!$G$5:$G$110="acoes"))*Inputs!$B$1+((Inputs!$G$5:$G$110&lt;&gt;"moeda")*(Inputs!$G$5:$G$110&lt;&gt;"acoes")))*INDEX(Inputs!$K$5:$AJ$110,0,MATCH(Z$2,Inputs!$K$4:$AJ$4,0)))+SUMPRODUCT((Inputs!$C$5:$C$110=$B53)*Inputs!$D$5:$D$110*(((Inputs!$G$5:$G$110="moeda")+(Inputs!$G$5:$G$110="acoes"))*Inputs!$B$1+((Inputs!$G$5:$G$110&lt;&gt;"moeda")*(Inputs!$G$5:$G$110&lt;&gt;"acoes")))*INDEX(Inputs!$K$5:$AJ$110,0,MATCH(Z$2,Inputs!$K$4:$AJ$4,0)))+SUMPRODUCT((Inputs!$E$5:$E$110=$B53)*Inputs!$F$5:$F$110*(((Inputs!$G$5:$G$110="moeda")+(Inputs!$G$5:$G$110="acoes"))*Inputs!$B$1+((Inputs!$G$5:$G$110&lt;&gt;"moeda")*(Inputs!$G$5:$G$110&lt;&gt;"acoes")))*INDEX(Inputs!$K$5:$AJ$110,0,MATCH(Z$2,Inputs!$K$4:$AJ$4,0)))))</f>
        <v>11072</v>
      </c>
      <c r="AA53" s="263">
        <f>IF(ISNA(MATCH(AA$2,Inputs!$K$4:$AJ$4,0)),NA(),IF(SUMPRODUCT((Inputs!$A$5:$A$110=$B53)*ISNUMBER(INDEX(Inputs!$K$5:$AJ$110,0,MATCH(AA$2,Inputs!$K$4:$AJ$4,0))))+SUMPRODUCT((Inputs!$C$5:$C$110=$B53)*ISNUMBER(INDEX(Inputs!$K$5:$AJ$110,0,MATCH(AA$2,Inputs!$K$4:$AJ$4,0))))+SUMPRODUCT((Inputs!$E$5:$E$110=$B53)*ISNUMBER(INDEX(Inputs!$K$5:$AJ$110,0,MATCH(AA$2,Inputs!$K$4:$AJ$4,0))))=0,NA(),SUMPRODUCT((Inputs!$A$5:$A$110=$B53)*Inputs!$B$5:$B$110*(((Inputs!$G$5:$G$110="moeda")+(Inputs!$G$5:$G$110="acoes"))*Inputs!$B$1+((Inputs!$G$5:$G$110&lt;&gt;"moeda")*(Inputs!$G$5:$G$110&lt;&gt;"acoes")))*INDEX(Inputs!$K$5:$AJ$110,0,MATCH(AA$2,Inputs!$K$4:$AJ$4,0)))+SUMPRODUCT((Inputs!$C$5:$C$110=$B53)*Inputs!$D$5:$D$110*(((Inputs!$G$5:$G$110="moeda")+(Inputs!$G$5:$G$110="acoes"))*Inputs!$B$1+((Inputs!$G$5:$G$110&lt;&gt;"moeda")*(Inputs!$G$5:$G$110&lt;&gt;"acoes")))*INDEX(Inputs!$K$5:$AJ$110,0,MATCH(AA$2,Inputs!$K$4:$AJ$4,0)))+SUMPRODUCT((Inputs!$E$5:$E$110=$B53)*Inputs!$F$5:$F$110*(((Inputs!$G$5:$G$110="moeda")+(Inputs!$G$5:$G$110="acoes"))*Inputs!$B$1+((Inputs!$G$5:$G$110&lt;&gt;"moeda")*(Inputs!$G$5:$G$110&lt;&gt;"acoes")))*INDEX(Inputs!$K$5:$AJ$110,0,MATCH(AA$2,Inputs!$K$4:$AJ$4,0)))))</f>
        <v>12515</v>
      </c>
      <c r="AB53" s="264">
        <f>SUM(X53:AA53)</f>
        <v>41161</v>
      </c>
      <c r="AC53" s="263">
        <f>IF(ISNA(MATCH(AC$2,Inputs!$K$4:$AJ$4,0)),NA(),IF(SUMPRODUCT((Inputs!$A$5:$A$110=$B53)*ISNUMBER(INDEX(Inputs!$K$5:$AJ$110,0,MATCH(AC$2,Inputs!$K$4:$AJ$4,0))))+SUMPRODUCT((Inputs!$C$5:$C$110=$B53)*ISNUMBER(INDEX(Inputs!$K$5:$AJ$110,0,MATCH(AC$2,Inputs!$K$4:$AJ$4,0))))+SUMPRODUCT((Inputs!$E$5:$E$110=$B53)*ISNUMBER(INDEX(Inputs!$K$5:$AJ$110,0,MATCH(AC$2,Inputs!$K$4:$AJ$4,0))))=0,NA(),SUMPRODUCT((Inputs!$A$5:$A$110=$B53)*Inputs!$B$5:$B$110*(((Inputs!$G$5:$G$110="moeda")+(Inputs!$G$5:$G$110="acoes"))*Inputs!$B$1+((Inputs!$G$5:$G$110&lt;&gt;"moeda")*(Inputs!$G$5:$G$110&lt;&gt;"acoes")))*INDEX(Inputs!$K$5:$AJ$110,0,MATCH(AC$2,Inputs!$K$4:$AJ$4,0)))+SUMPRODUCT((Inputs!$C$5:$C$110=$B53)*Inputs!$D$5:$D$110*(((Inputs!$G$5:$G$110="moeda")+(Inputs!$G$5:$G$110="acoes"))*Inputs!$B$1+((Inputs!$G$5:$G$110&lt;&gt;"moeda")*(Inputs!$G$5:$G$110&lt;&gt;"acoes")))*INDEX(Inputs!$K$5:$AJ$110,0,MATCH(AC$2,Inputs!$K$4:$AJ$4,0)))+SUMPRODUCT((Inputs!$E$5:$E$110=$B53)*Inputs!$F$5:$F$110*(((Inputs!$G$5:$G$110="moeda")+(Inputs!$G$5:$G$110="acoes"))*Inputs!$B$1+((Inputs!$G$5:$G$110&lt;&gt;"moeda")*(Inputs!$G$5:$G$110&lt;&gt;"acoes")))*INDEX(Inputs!$K$5:$AJ$110,0,MATCH(AC$2,Inputs!$K$4:$AJ$4,0)))))</f>
        <v>15009</v>
      </c>
      <c r="AD53" s="263">
        <f>IF(ISNA(MATCH(AD$2,Inputs!$K$4:$AJ$4,0)),NA(),IF(SUMPRODUCT((Inputs!$A$5:$A$110=$B53)*ISNUMBER(INDEX(Inputs!$K$5:$AJ$110,0,MATCH(AD$2,Inputs!$K$4:$AJ$4,0))))+SUMPRODUCT((Inputs!$C$5:$C$110=$B53)*ISNUMBER(INDEX(Inputs!$K$5:$AJ$110,0,MATCH(AD$2,Inputs!$K$4:$AJ$4,0))))+SUMPRODUCT((Inputs!$E$5:$E$110=$B53)*ISNUMBER(INDEX(Inputs!$K$5:$AJ$110,0,MATCH(AD$2,Inputs!$K$4:$AJ$4,0))))=0,NA(),SUMPRODUCT((Inputs!$A$5:$A$110=$B53)*Inputs!$B$5:$B$110*(((Inputs!$G$5:$G$110="moeda")+(Inputs!$G$5:$G$110="acoes"))*Inputs!$B$1+((Inputs!$G$5:$G$110&lt;&gt;"moeda")*(Inputs!$G$5:$G$110&lt;&gt;"acoes")))*INDEX(Inputs!$K$5:$AJ$110,0,MATCH(AD$2,Inputs!$K$4:$AJ$4,0)))+SUMPRODUCT((Inputs!$C$5:$C$110=$B53)*Inputs!$D$5:$D$110*(((Inputs!$G$5:$G$110="moeda")+(Inputs!$G$5:$G$110="acoes"))*Inputs!$B$1+((Inputs!$G$5:$G$110&lt;&gt;"moeda")*(Inputs!$G$5:$G$110&lt;&gt;"acoes")))*INDEX(Inputs!$K$5:$AJ$110,0,MATCH(AD$2,Inputs!$K$4:$AJ$4,0)))+SUMPRODUCT((Inputs!$E$5:$E$110=$B53)*Inputs!$F$5:$F$110*(((Inputs!$G$5:$G$110="moeda")+(Inputs!$G$5:$G$110="acoes"))*Inputs!$B$1+((Inputs!$G$5:$G$110&lt;&gt;"moeda")*(Inputs!$G$5:$G$110&lt;&gt;"acoes")))*INDEX(Inputs!$K$5:$AJ$110,0,MATCH(AD$2,Inputs!$K$4:$AJ$4,0)))))</f>
        <v>20839</v>
      </c>
      <c r="AE53" s="263" t="e">
        <f>IF(ISNA(MATCH(AE$2,Inputs!$K$4:$AJ$4,0)),NA(),IF(SUMPRODUCT((Inputs!$A$5:$A$110=$B53)*ISNUMBER(INDEX(Inputs!$K$5:$AJ$110,0,MATCH(AE$2,Inputs!$K$4:$AJ$4,0))))+SUMPRODUCT((Inputs!$C$5:$C$110=$B53)*ISNUMBER(INDEX(Inputs!$K$5:$AJ$110,0,MATCH(AE$2,Inputs!$K$4:$AJ$4,0))))+SUMPRODUCT((Inputs!$E$5:$E$110=$B53)*ISNUMBER(INDEX(Inputs!$K$5:$AJ$110,0,MATCH(AE$2,Inputs!$K$4:$AJ$4,0))))=0,NA(),SUMPRODUCT((Inputs!$A$5:$A$110=$B53)*Inputs!$B$5:$B$110*(((Inputs!$G$5:$G$110="moeda")+(Inputs!$G$5:$G$110="acoes"))*Inputs!$B$1+((Inputs!$G$5:$G$110&lt;&gt;"moeda")*(Inputs!$G$5:$G$110&lt;&gt;"acoes")))*INDEX(Inputs!$K$5:$AJ$110,0,MATCH(AE$2,Inputs!$K$4:$AJ$4,0)))+SUMPRODUCT((Inputs!$C$5:$C$110=$B53)*Inputs!$D$5:$D$110*(((Inputs!$G$5:$G$110="moeda")+(Inputs!$G$5:$G$110="acoes"))*Inputs!$B$1+((Inputs!$G$5:$G$110&lt;&gt;"moeda")*(Inputs!$G$5:$G$110&lt;&gt;"acoes")))*INDEX(Inputs!$K$5:$AJ$110,0,MATCH(AE$2,Inputs!$K$4:$AJ$4,0)))+SUMPRODUCT((Inputs!$E$5:$E$110=$B53)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3" s="263" t="e">
        <f>IF(ISNA(MATCH(AF$2,Inputs!$K$4:$AJ$4,0)),NA(),IF(SUMPRODUCT((Inputs!$A$5:$A$110=$B53)*ISNUMBER(INDEX(Inputs!$K$5:$AJ$110,0,MATCH(AF$2,Inputs!$K$4:$AJ$4,0))))+SUMPRODUCT((Inputs!$C$5:$C$110=$B53)*ISNUMBER(INDEX(Inputs!$K$5:$AJ$110,0,MATCH(AF$2,Inputs!$K$4:$AJ$4,0))))+SUMPRODUCT((Inputs!$E$5:$E$110=$B53)*ISNUMBER(INDEX(Inputs!$K$5:$AJ$110,0,MATCH(AF$2,Inputs!$K$4:$AJ$4,0))))=0,NA(),SUMPRODUCT((Inputs!$A$5:$A$110=$B53)*Inputs!$B$5:$B$110*(((Inputs!$G$5:$G$110="moeda")+(Inputs!$G$5:$G$110="acoes"))*Inputs!$B$1+((Inputs!$G$5:$G$110&lt;&gt;"moeda")*(Inputs!$G$5:$G$110&lt;&gt;"acoes")))*INDEX(Inputs!$K$5:$AJ$110,0,MATCH(AF$2,Inputs!$K$4:$AJ$4,0)))+SUMPRODUCT((Inputs!$C$5:$C$110=$B53)*Inputs!$D$5:$D$110*(((Inputs!$G$5:$G$110="moeda")+(Inputs!$G$5:$G$110="acoes"))*Inputs!$B$1+((Inputs!$G$5:$G$110&lt;&gt;"moeda")*(Inputs!$G$5:$G$110&lt;&gt;"acoes")))*INDEX(Inputs!$K$5:$AJ$110,0,MATCH(AF$2,Inputs!$K$4:$AJ$4,0)))+SUMPRODUCT((Inputs!$E$5:$E$110=$B53)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3" s="264" t="e">
        <f>SUM(AC53:AF53)</f>
        <v>#N/A</v>
      </c>
      <c r="AH53" s="263">
        <f>IF(ISNA(MATCH(AH$2,Inputs!$K$4:$AJ$4,0)),NA(),IF(SUMPRODUCT((Inputs!$A$5:$A$110=$B53)*ISNUMBER(INDEX(Inputs!$K$5:$AJ$110,0,MATCH(AH$2,Inputs!$K$4:$AJ$4,0))))+SUMPRODUCT((Inputs!$C$5:$C$110=$B53)*ISNUMBER(INDEX(Inputs!$K$5:$AJ$110,0,MATCH(AH$2,Inputs!$K$4:$AJ$4,0))))+SUMPRODUCT((Inputs!$E$5:$E$110=$B53)*ISNUMBER(INDEX(Inputs!$K$5:$AJ$110,0,MATCH(AH$2,Inputs!$K$4:$AJ$4,0))))=0,NA(),SUMPRODUCT((Inputs!$A$5:$A$110=$B53)*Inputs!$B$5:$B$110*(((Inputs!$G$5:$G$110="moeda")+(Inputs!$G$5:$G$110="acoes"))*Inputs!$B$1+((Inputs!$G$5:$G$110&lt;&gt;"moeda")*(Inputs!$G$5:$G$110&lt;&gt;"acoes")))*INDEX(Inputs!$K$5:$AJ$110,0,MATCH(AH$2,Inputs!$K$4:$AJ$4,0)))+SUMPRODUCT((Inputs!$C$5:$C$110=$B53)*Inputs!$D$5:$D$110*(((Inputs!$G$5:$G$110="moeda")+(Inputs!$G$5:$G$110="acoes"))*Inputs!$B$1+((Inputs!$G$5:$G$110&lt;&gt;"moeda")*(Inputs!$G$5:$G$110&lt;&gt;"acoes")))*INDEX(Inputs!$K$5:$AJ$110,0,MATCH(AH$2,Inputs!$K$4:$AJ$4,0)))+SUMPRODUCT((Inputs!$E$5:$E$110=$B53)*Inputs!$F$5:$F$110*(((Inputs!$G$5:$G$110="moeda")+(Inputs!$G$5:$G$110="acoes"))*Inputs!$B$1+((Inputs!$G$5:$G$110&lt;&gt;"moeda")*(Inputs!$G$5:$G$110&lt;&gt;"acoes")))*INDEX(Inputs!$K$5:$AJ$110,0,MATCH(AH$2,Inputs!$K$4:$AJ$4,0)))))</f>
        <v>4027</v>
      </c>
      <c r="AI53" s="263">
        <f>IF(ISNA(MATCH(AI$2,Inputs!$K$4:$AJ$4,0)),NA(),IF(SUMPRODUCT((Inputs!$A$5:$A$110=$B53)*ISNUMBER(INDEX(Inputs!$K$5:$AJ$110,0,MATCH(AI$2,Inputs!$K$4:$AJ$4,0))))+SUMPRODUCT((Inputs!$C$5:$C$110=$B53)*ISNUMBER(INDEX(Inputs!$K$5:$AJ$110,0,MATCH(AI$2,Inputs!$K$4:$AJ$4,0))))+SUMPRODUCT((Inputs!$E$5:$E$110=$B53)*ISNUMBER(INDEX(Inputs!$K$5:$AJ$110,0,MATCH(AI$2,Inputs!$K$4:$AJ$4,0))))=0,NA(),SUMPRODUCT((Inputs!$A$5:$A$110=$B53)*Inputs!$B$5:$B$110*(((Inputs!$G$5:$G$110="moeda")+(Inputs!$G$5:$G$110="acoes"))*Inputs!$B$1+((Inputs!$G$5:$G$110&lt;&gt;"moeda")*(Inputs!$G$5:$G$110&lt;&gt;"acoes")))*INDEX(Inputs!$K$5:$AJ$110,0,MATCH(AI$2,Inputs!$K$4:$AJ$4,0)))+SUMPRODUCT((Inputs!$C$5:$C$110=$B53)*Inputs!$D$5:$D$110*(((Inputs!$G$5:$G$110="moeda")+(Inputs!$G$5:$G$110="acoes"))*Inputs!$B$1+((Inputs!$G$5:$G$110&lt;&gt;"moeda")*(Inputs!$G$5:$G$110&lt;&gt;"acoes")))*INDEX(Inputs!$K$5:$AJ$110,0,MATCH(AI$2,Inputs!$K$4:$AJ$4,0)))+SUMPRODUCT((Inputs!$E$5:$E$110=$B53)*Inputs!$F$5:$F$110*(((Inputs!$G$5:$G$110="moeda")+(Inputs!$G$5:$G$110="acoes"))*Inputs!$B$1+((Inputs!$G$5:$G$110&lt;&gt;"moeda")*(Inputs!$G$5:$G$110&lt;&gt;"acoes")))*INDEX(Inputs!$K$5:$AJ$110,0,MATCH(AI$2,Inputs!$K$4:$AJ$4,0)))))</f>
        <v>4219</v>
      </c>
      <c r="AJ53" s="263">
        <f>IF(ISNA(MATCH(AJ$2,Inputs!$K$4:$AJ$4,0)),NA(),IF(SUMPRODUCT((Inputs!$A$5:$A$110=$B53)*ISNUMBER(INDEX(Inputs!$K$5:$AJ$110,0,MATCH(AJ$2,Inputs!$K$4:$AJ$4,0))))+SUMPRODUCT((Inputs!$C$5:$C$110=$B53)*ISNUMBER(INDEX(Inputs!$K$5:$AJ$110,0,MATCH(AJ$2,Inputs!$K$4:$AJ$4,0))))+SUMPRODUCT((Inputs!$E$5:$E$110=$B53)*ISNUMBER(INDEX(Inputs!$K$5:$AJ$110,0,MATCH(AJ$2,Inputs!$K$4:$AJ$4,0))))=0,NA(),SUMPRODUCT((Inputs!$A$5:$A$110=$B53)*Inputs!$B$5:$B$110*(((Inputs!$G$5:$G$110="moeda")+(Inputs!$G$5:$G$110="acoes"))*Inputs!$B$1+((Inputs!$G$5:$G$110&lt;&gt;"moeda")*(Inputs!$G$5:$G$110&lt;&gt;"acoes")))*INDEX(Inputs!$K$5:$AJ$110,0,MATCH(AJ$2,Inputs!$K$4:$AJ$4,0)))+SUMPRODUCT((Inputs!$C$5:$C$110=$B53)*Inputs!$D$5:$D$110*(((Inputs!$G$5:$G$110="moeda")+(Inputs!$G$5:$G$110="acoes"))*Inputs!$B$1+((Inputs!$G$5:$G$110&lt;&gt;"moeda")*(Inputs!$G$5:$G$110&lt;&gt;"acoes")))*INDEX(Inputs!$K$5:$AJ$110,0,MATCH(AJ$2,Inputs!$K$4:$AJ$4,0)))+SUMPRODUCT((Inputs!$E$5:$E$110=$B53)*Inputs!$F$5:$F$110*(((Inputs!$G$5:$G$110="moeda")+(Inputs!$G$5:$G$110="acoes"))*Inputs!$B$1+((Inputs!$G$5:$G$110&lt;&gt;"moeda")*(Inputs!$G$5:$G$110&lt;&gt;"acoes")))*INDEX(Inputs!$K$5:$AJ$110,0,MATCH(AJ$2,Inputs!$K$4:$AJ$4,0)))))</f>
        <v>4830</v>
      </c>
      <c r="AK53" s="263">
        <f>IF(ISNA(MATCH(AK$2,Inputs!$K$4:$AJ$4,0)),NA(),IF(SUMPRODUCT((Inputs!$A$5:$A$110=$B53)*ISNUMBER(INDEX(Inputs!$K$5:$AJ$110,0,MATCH(AK$2,Inputs!$K$4:$AJ$4,0))))+SUMPRODUCT((Inputs!$C$5:$C$110=$B53)*ISNUMBER(INDEX(Inputs!$K$5:$AJ$110,0,MATCH(AK$2,Inputs!$K$4:$AJ$4,0))))+SUMPRODUCT((Inputs!$E$5:$E$110=$B53)*ISNUMBER(INDEX(Inputs!$K$5:$AJ$110,0,MATCH(AK$2,Inputs!$K$4:$AJ$4,0))))=0,NA(),SUMPRODUCT((Inputs!$A$5:$A$110=$B53)*Inputs!$B$5:$B$110*(((Inputs!$G$5:$G$110="moeda")+(Inputs!$G$5:$G$110="acoes"))*Inputs!$B$1+((Inputs!$G$5:$G$110&lt;&gt;"moeda")*(Inputs!$G$5:$G$110&lt;&gt;"acoes")))*INDEX(Inputs!$K$5:$AJ$110,0,MATCH(AK$2,Inputs!$K$4:$AJ$4,0)))+SUMPRODUCT((Inputs!$C$5:$C$110=$B53)*Inputs!$D$5:$D$110*(((Inputs!$G$5:$G$110="moeda")+(Inputs!$G$5:$G$110="acoes"))*Inputs!$B$1+((Inputs!$G$5:$G$110&lt;&gt;"moeda")*(Inputs!$G$5:$G$110&lt;&gt;"acoes")))*INDEX(Inputs!$K$5:$AJ$110,0,MATCH(AK$2,Inputs!$K$4:$AJ$4,0)))+SUMPRODUCT((Inputs!$E$5:$E$110=$B53)*Inputs!$F$5:$F$110*(((Inputs!$G$5:$G$110="moeda")+(Inputs!$G$5:$G$110="acoes"))*Inputs!$B$1+((Inputs!$G$5:$G$110&lt;&gt;"moeda")*(Inputs!$G$5:$G$110&lt;&gt;"acoes")))*INDEX(Inputs!$K$5:$AJ$110,0,MATCH(AK$2,Inputs!$K$4:$AJ$4,0)))))</f>
        <v>4908</v>
      </c>
      <c r="AL53" s="264">
        <f>SUM(AH53:AK53)</f>
        <v>17984</v>
      </c>
    </row>
    <row r="54">
      <c r="B54" s="46" t="n">
        <v>46</v>
      </c>
      <c r="C54" s="29" t="inlineStr">
        <is>
          <t>Infrastructure Software - receita (USD)</t>
        </is>
      </c>
      <c r="D54" s="263">
        <f>IF(ISNA(MATCH(D$2,Inputs!$K$4:$AJ$4,0)),NA(),IF(SUMPRODUCT((Inputs!$A$5:$A$110=$B54)*ISNUMBER(INDEX(Inputs!$K$5:$AJ$110,0,MATCH(D$2,Inputs!$K$4:$AJ$4,0))))+SUMPRODUCT((Inputs!$C$5:$C$110=$B54)*ISNUMBER(INDEX(Inputs!$K$5:$AJ$110,0,MATCH(D$2,Inputs!$K$4:$AJ$4,0))))+SUMPRODUCT((Inputs!$E$5:$E$110=$B54)*ISNUMBER(INDEX(Inputs!$K$5:$AJ$110,0,MATCH(D$2,Inputs!$K$4:$AJ$4,0))))=0,NA(),SUMPRODUCT((Inputs!$A$5:$A$110=$B54)*Inputs!$B$5:$B$110*(((Inputs!$G$5:$G$110="moeda")+(Inputs!$G$5:$G$110="acoes"))*Inputs!$B$1+((Inputs!$G$5:$G$110&lt;&gt;"moeda")*(Inputs!$G$5:$G$110&lt;&gt;"acoes")))*INDEX(Inputs!$K$5:$AJ$110,0,MATCH(D$2,Inputs!$K$4:$AJ$4,0)))+SUMPRODUCT((Inputs!$C$5:$C$110=$B54)*Inputs!$D$5:$D$110*(((Inputs!$G$5:$G$110="moeda")+(Inputs!$G$5:$G$110="acoes"))*Inputs!$B$1+((Inputs!$G$5:$G$110&lt;&gt;"moeda")*(Inputs!$G$5:$G$110&lt;&gt;"acoes")))*INDEX(Inputs!$K$5:$AJ$110,0,MATCH(D$2,Inputs!$K$4:$AJ$4,0)))+SUMPRODUCT((Inputs!$E$5:$E$110=$B54)*Inputs!$F$5:$F$110*(((Inputs!$G$5:$G$110="moeda")+(Inputs!$G$5:$G$110="acoes"))*Inputs!$B$1+((Inputs!$G$5:$G$110&lt;&gt;"moeda")*(Inputs!$G$5:$G$110&lt;&gt;"acoes")))*INDEX(Inputs!$K$5:$AJ$110,0,MATCH(D$2,Inputs!$K$4:$AJ$4,0)))))</f>
        <v>1790</v>
      </c>
      <c r="E54" s="263">
        <f>IF(ISNA(MATCH(E$2,Inputs!$K$4:$AJ$4,0)),NA(),IF(SUMPRODUCT((Inputs!$A$5:$A$110=$B54)*ISNUMBER(INDEX(Inputs!$K$5:$AJ$110,0,MATCH(E$2,Inputs!$K$4:$AJ$4,0))))+SUMPRODUCT((Inputs!$C$5:$C$110=$B54)*ISNUMBER(INDEX(Inputs!$K$5:$AJ$110,0,MATCH(E$2,Inputs!$K$4:$AJ$4,0))))+SUMPRODUCT((Inputs!$E$5:$E$110=$B54)*ISNUMBER(INDEX(Inputs!$K$5:$AJ$110,0,MATCH(E$2,Inputs!$K$4:$AJ$4,0))))=0,NA(),SUMPRODUCT((Inputs!$A$5:$A$110=$B54)*Inputs!$B$5:$B$110*(((Inputs!$G$5:$G$110="moeda")+(Inputs!$G$5:$G$110="acoes"))*Inputs!$B$1+((Inputs!$G$5:$G$110&lt;&gt;"moeda")*(Inputs!$G$5:$G$110&lt;&gt;"acoes")))*INDEX(Inputs!$K$5:$AJ$110,0,MATCH(E$2,Inputs!$K$4:$AJ$4,0)))+SUMPRODUCT((Inputs!$C$5:$C$110=$B54)*Inputs!$D$5:$D$110*(((Inputs!$G$5:$G$110="moeda")+(Inputs!$G$5:$G$110="acoes"))*Inputs!$B$1+((Inputs!$G$5:$G$110&lt;&gt;"moeda")*(Inputs!$G$5:$G$110&lt;&gt;"acoes")))*INDEX(Inputs!$K$5:$AJ$110,0,MATCH(E$2,Inputs!$K$4:$AJ$4,0)))+SUMPRODUCT((Inputs!$E$5:$E$110=$B54)*Inputs!$F$5:$F$110*(((Inputs!$G$5:$G$110="moeda")+(Inputs!$G$5:$G$110="acoes"))*Inputs!$B$1+((Inputs!$G$5:$G$110&lt;&gt;"moeda")*(Inputs!$G$5:$G$110&lt;&gt;"acoes")))*INDEX(Inputs!$K$5:$AJ$110,0,MATCH(E$2,Inputs!$K$4:$AJ$4,0)))))</f>
        <v>1757</v>
      </c>
      <c r="F54" s="263">
        <f>IF(ISNA(MATCH(F$2,Inputs!$K$4:$AJ$4,0)),NA(),IF(SUMPRODUCT((Inputs!$A$5:$A$110=$B54)*ISNUMBER(INDEX(Inputs!$K$5:$AJ$110,0,MATCH(F$2,Inputs!$K$4:$AJ$4,0))))+SUMPRODUCT((Inputs!$C$5:$C$110=$B54)*ISNUMBER(INDEX(Inputs!$K$5:$AJ$110,0,MATCH(F$2,Inputs!$K$4:$AJ$4,0))))+SUMPRODUCT((Inputs!$E$5:$E$110=$B54)*ISNUMBER(INDEX(Inputs!$K$5:$AJ$110,0,MATCH(F$2,Inputs!$K$4:$AJ$4,0))))=0,NA(),SUMPRODUCT((Inputs!$A$5:$A$110=$B54)*Inputs!$B$5:$B$110*(((Inputs!$G$5:$G$110="moeda")+(Inputs!$G$5:$G$110="acoes"))*Inputs!$B$1+((Inputs!$G$5:$G$110&lt;&gt;"moeda")*(Inputs!$G$5:$G$110&lt;&gt;"acoes")))*INDEX(Inputs!$K$5:$AJ$110,0,MATCH(F$2,Inputs!$K$4:$AJ$4,0)))+SUMPRODUCT((Inputs!$C$5:$C$110=$B54)*Inputs!$D$5:$D$110*(((Inputs!$G$5:$G$110="moeda")+(Inputs!$G$5:$G$110="acoes"))*Inputs!$B$1+((Inputs!$G$5:$G$110&lt;&gt;"moeda")*(Inputs!$G$5:$G$110&lt;&gt;"acoes")))*INDEX(Inputs!$K$5:$AJ$110,0,MATCH(F$2,Inputs!$K$4:$AJ$4,0)))+SUMPRODUCT((Inputs!$E$5:$E$110=$B54)*Inputs!$F$5:$F$110*(((Inputs!$G$5:$G$110="moeda")+(Inputs!$G$5:$G$110="acoes"))*Inputs!$B$1+((Inputs!$G$5:$G$110&lt;&gt;"moeda")*(Inputs!$G$5:$G$110&lt;&gt;"acoes")))*INDEX(Inputs!$K$5:$AJ$110,0,MATCH(F$2,Inputs!$K$4:$AJ$4,0)))))</f>
        <v>1773</v>
      </c>
      <c r="G54" s="263">
        <f>IF(ISNA(MATCH(G$2,Inputs!$K$4:$AJ$4,0)),NA(),IF(SUMPRODUCT((Inputs!$A$5:$A$110=$B54)*ISNUMBER(INDEX(Inputs!$K$5:$AJ$110,0,MATCH(G$2,Inputs!$K$4:$AJ$4,0))))+SUMPRODUCT((Inputs!$C$5:$C$110=$B54)*ISNUMBER(INDEX(Inputs!$K$5:$AJ$110,0,MATCH(G$2,Inputs!$K$4:$AJ$4,0))))+SUMPRODUCT((Inputs!$E$5:$E$110=$B54)*ISNUMBER(INDEX(Inputs!$K$5:$AJ$110,0,MATCH(G$2,Inputs!$K$4:$AJ$4,0))))=0,NA(),SUMPRODUCT((Inputs!$A$5:$A$110=$B54)*Inputs!$B$5:$B$110*(((Inputs!$G$5:$G$110="moeda")+(Inputs!$G$5:$G$110="acoes"))*Inputs!$B$1+((Inputs!$G$5:$G$110&lt;&gt;"moeda")*(Inputs!$G$5:$G$110&lt;&gt;"acoes")))*INDEX(Inputs!$K$5:$AJ$110,0,MATCH(G$2,Inputs!$K$4:$AJ$4,0)))+SUMPRODUCT((Inputs!$C$5:$C$110=$B54)*Inputs!$D$5:$D$110*(((Inputs!$G$5:$G$110="moeda")+(Inputs!$G$5:$G$110="acoes"))*Inputs!$B$1+((Inputs!$G$5:$G$110&lt;&gt;"moeda")*(Inputs!$G$5:$G$110&lt;&gt;"acoes")))*INDEX(Inputs!$K$5:$AJ$110,0,MATCH(G$2,Inputs!$K$4:$AJ$4,0)))+SUMPRODUCT((Inputs!$E$5:$E$110=$B54)*Inputs!$F$5:$F$110*(((Inputs!$G$5:$G$110="moeda")+(Inputs!$G$5:$G$110="acoes"))*Inputs!$B$1+((Inputs!$G$5:$G$110&lt;&gt;"moeda")*(Inputs!$G$5:$G$110&lt;&gt;"acoes")))*INDEX(Inputs!$K$5:$AJ$110,0,MATCH(G$2,Inputs!$K$4:$AJ$4,0)))))</f>
        <v>1833</v>
      </c>
      <c r="H54" s="264">
        <f>SUM(D54:G54)</f>
        <v>7153</v>
      </c>
      <c r="I54" s="263">
        <f>IF(ISNA(MATCH(I$2,Inputs!$K$4:$AJ$4,0)),NA(),IF(SUMPRODUCT((Inputs!$A$5:$A$110=$B54)*ISNUMBER(INDEX(Inputs!$K$5:$AJ$110,0,MATCH(I$2,Inputs!$K$4:$AJ$4,0))))+SUMPRODUCT((Inputs!$C$5:$C$110=$B54)*ISNUMBER(INDEX(Inputs!$K$5:$AJ$110,0,MATCH(I$2,Inputs!$K$4:$AJ$4,0))))+SUMPRODUCT((Inputs!$E$5:$E$110=$B54)*ISNUMBER(INDEX(Inputs!$K$5:$AJ$110,0,MATCH(I$2,Inputs!$K$4:$AJ$4,0))))=0,NA(),SUMPRODUCT((Inputs!$A$5:$A$110=$B54)*Inputs!$B$5:$B$110*(((Inputs!$G$5:$G$110="moeda")+(Inputs!$G$5:$G$110="acoes"))*Inputs!$B$1+((Inputs!$G$5:$G$110&lt;&gt;"moeda")*(Inputs!$G$5:$G$110&lt;&gt;"acoes")))*INDEX(Inputs!$K$5:$AJ$110,0,MATCH(I$2,Inputs!$K$4:$AJ$4,0)))+SUMPRODUCT((Inputs!$C$5:$C$110=$B54)*Inputs!$D$5:$D$110*(((Inputs!$G$5:$G$110="moeda")+(Inputs!$G$5:$G$110="acoes"))*Inputs!$B$1+((Inputs!$G$5:$G$110&lt;&gt;"moeda")*(Inputs!$G$5:$G$110&lt;&gt;"acoes")))*INDEX(Inputs!$K$5:$AJ$110,0,MATCH(I$2,Inputs!$K$4:$AJ$4,0)))+SUMPRODUCT((Inputs!$E$5:$E$110=$B54)*Inputs!$F$5:$F$110*(((Inputs!$G$5:$G$110="moeda")+(Inputs!$G$5:$G$110="acoes"))*Inputs!$B$1+((Inputs!$G$5:$G$110&lt;&gt;"moeda")*(Inputs!$G$5:$G$110&lt;&gt;"acoes")))*INDEX(Inputs!$K$5:$AJ$110,0,MATCH(I$2,Inputs!$K$4:$AJ$4,0)))))</f>
        <v>1874</v>
      </c>
      <c r="J54" s="263">
        <f>IF(ISNA(MATCH(J$2,Inputs!$K$4:$AJ$4,0)),NA(),IF(SUMPRODUCT((Inputs!$A$5:$A$110=$B54)*ISNUMBER(INDEX(Inputs!$K$5:$AJ$110,0,MATCH(J$2,Inputs!$K$4:$AJ$4,0))))+SUMPRODUCT((Inputs!$C$5:$C$110=$B54)*ISNUMBER(INDEX(Inputs!$K$5:$AJ$110,0,MATCH(J$2,Inputs!$K$4:$AJ$4,0))))+SUMPRODUCT((Inputs!$E$5:$E$110=$B54)*ISNUMBER(INDEX(Inputs!$K$5:$AJ$110,0,MATCH(J$2,Inputs!$K$4:$AJ$4,0))))=0,NA(),SUMPRODUCT((Inputs!$A$5:$A$110=$B54)*Inputs!$B$5:$B$110*(((Inputs!$G$5:$G$110="moeda")+(Inputs!$G$5:$G$110="acoes"))*Inputs!$B$1+((Inputs!$G$5:$G$110&lt;&gt;"moeda")*(Inputs!$G$5:$G$110&lt;&gt;"acoes")))*INDEX(Inputs!$K$5:$AJ$110,0,MATCH(J$2,Inputs!$K$4:$AJ$4,0)))+SUMPRODUCT((Inputs!$C$5:$C$110=$B54)*Inputs!$D$5:$D$110*(((Inputs!$G$5:$G$110="moeda")+(Inputs!$G$5:$G$110="acoes"))*Inputs!$B$1+((Inputs!$G$5:$G$110&lt;&gt;"moeda")*(Inputs!$G$5:$G$110&lt;&gt;"acoes")))*INDEX(Inputs!$K$5:$AJ$110,0,MATCH(J$2,Inputs!$K$4:$AJ$4,0)))+SUMPRODUCT((Inputs!$E$5:$E$110=$B54)*Inputs!$F$5:$F$110*(((Inputs!$G$5:$G$110="moeda")+(Inputs!$G$5:$G$110="acoes"))*Inputs!$B$1+((Inputs!$G$5:$G$110&lt;&gt;"moeda")*(Inputs!$G$5:$G$110&lt;&gt;"acoes")))*INDEX(Inputs!$K$5:$AJ$110,0,MATCH(J$2,Inputs!$K$4:$AJ$4,0)))))</f>
        <v>1840</v>
      </c>
      <c r="K54" s="263">
        <f>IF(ISNA(MATCH(K$2,Inputs!$K$4:$AJ$4,0)),NA(),IF(SUMPRODUCT((Inputs!$A$5:$A$110=$B54)*ISNUMBER(INDEX(Inputs!$K$5:$AJ$110,0,MATCH(K$2,Inputs!$K$4:$AJ$4,0))))+SUMPRODUCT((Inputs!$C$5:$C$110=$B54)*ISNUMBER(INDEX(Inputs!$K$5:$AJ$110,0,MATCH(K$2,Inputs!$K$4:$AJ$4,0))))+SUMPRODUCT((Inputs!$E$5:$E$110=$B54)*ISNUMBER(INDEX(Inputs!$K$5:$AJ$110,0,MATCH(K$2,Inputs!$K$4:$AJ$4,0))))=0,NA(),SUMPRODUCT((Inputs!$A$5:$A$110=$B54)*Inputs!$B$5:$B$110*(((Inputs!$G$5:$G$110="moeda")+(Inputs!$G$5:$G$110="acoes"))*Inputs!$B$1+((Inputs!$G$5:$G$110&lt;&gt;"moeda")*(Inputs!$G$5:$G$110&lt;&gt;"acoes")))*INDEX(Inputs!$K$5:$AJ$110,0,MATCH(K$2,Inputs!$K$4:$AJ$4,0)))+SUMPRODUCT((Inputs!$C$5:$C$110=$B54)*Inputs!$D$5:$D$110*(((Inputs!$G$5:$G$110="moeda")+(Inputs!$G$5:$G$110="acoes"))*Inputs!$B$1+((Inputs!$G$5:$G$110&lt;&gt;"moeda")*(Inputs!$G$5:$G$110&lt;&gt;"acoes")))*INDEX(Inputs!$K$5:$AJ$110,0,MATCH(K$2,Inputs!$K$4:$AJ$4,0)))+SUMPRODUCT((Inputs!$E$5:$E$110=$B54)*Inputs!$F$5:$F$110*(((Inputs!$G$5:$G$110="moeda")+(Inputs!$G$5:$G$110="acoes"))*Inputs!$B$1+((Inputs!$G$5:$G$110&lt;&gt;"moeda")*(Inputs!$G$5:$G$110&lt;&gt;"acoes")))*INDEX(Inputs!$K$5:$AJ$110,0,MATCH(K$2,Inputs!$K$4:$AJ$4,0)))))</f>
        <v>1838</v>
      </c>
      <c r="L54" s="263">
        <f>IF(ISNA(MATCH(L$2,Inputs!$K$4:$AJ$4,0)),NA(),IF(SUMPRODUCT((Inputs!$A$5:$A$110=$B54)*ISNUMBER(INDEX(Inputs!$K$5:$AJ$110,0,MATCH(L$2,Inputs!$K$4:$AJ$4,0))))+SUMPRODUCT((Inputs!$C$5:$C$110=$B54)*ISNUMBER(INDEX(Inputs!$K$5:$AJ$110,0,MATCH(L$2,Inputs!$K$4:$AJ$4,0))))+SUMPRODUCT((Inputs!$E$5:$E$110=$B54)*ISNUMBER(INDEX(Inputs!$K$5:$AJ$110,0,MATCH(L$2,Inputs!$K$4:$AJ$4,0))))=0,NA(),SUMPRODUCT((Inputs!$A$5:$A$110=$B54)*Inputs!$B$5:$B$110*(((Inputs!$G$5:$G$110="moeda")+(Inputs!$G$5:$G$110="acoes"))*Inputs!$B$1+((Inputs!$G$5:$G$110&lt;&gt;"moeda")*(Inputs!$G$5:$G$110&lt;&gt;"acoes")))*INDEX(Inputs!$K$5:$AJ$110,0,MATCH(L$2,Inputs!$K$4:$AJ$4,0)))+SUMPRODUCT((Inputs!$C$5:$C$110=$B54)*Inputs!$D$5:$D$110*(((Inputs!$G$5:$G$110="moeda")+(Inputs!$G$5:$G$110="acoes"))*Inputs!$B$1+((Inputs!$G$5:$G$110&lt;&gt;"moeda")*(Inputs!$G$5:$G$110&lt;&gt;"acoes")))*INDEX(Inputs!$K$5:$AJ$110,0,MATCH(L$2,Inputs!$K$4:$AJ$4,0)))+SUMPRODUCT((Inputs!$E$5:$E$110=$B54)*Inputs!$F$5:$F$110*(((Inputs!$G$5:$G$110="moeda")+(Inputs!$G$5:$G$110="acoes"))*Inputs!$B$1+((Inputs!$G$5:$G$110&lt;&gt;"moeda")*(Inputs!$G$5:$G$110&lt;&gt;"acoes")))*INDEX(Inputs!$K$5:$AJ$110,0,MATCH(L$2,Inputs!$K$4:$AJ$4,0)))))</f>
        <v>1808</v>
      </c>
      <c r="M54" s="264">
        <f>SUM(I54:L54)</f>
        <v>7360</v>
      </c>
      <c r="N54" s="263">
        <f>IF(ISNA(MATCH(N$2,Inputs!$K$4:$AJ$4,0)),NA(),IF(SUMPRODUCT((Inputs!$A$5:$A$110=$B54)*ISNUMBER(INDEX(Inputs!$K$5:$AJ$110,0,MATCH(N$2,Inputs!$K$4:$AJ$4,0))))+SUMPRODUCT((Inputs!$C$5:$C$110=$B54)*ISNUMBER(INDEX(Inputs!$K$5:$AJ$110,0,MATCH(N$2,Inputs!$K$4:$AJ$4,0))))+SUMPRODUCT((Inputs!$E$5:$E$110=$B54)*ISNUMBER(INDEX(Inputs!$K$5:$AJ$110,0,MATCH(N$2,Inputs!$K$4:$AJ$4,0))))=0,NA(),SUMPRODUCT((Inputs!$A$5:$A$110=$B54)*Inputs!$B$5:$B$110*(((Inputs!$G$5:$G$110="moeda")+(Inputs!$G$5:$G$110="acoes"))*Inputs!$B$1+((Inputs!$G$5:$G$110&lt;&gt;"moeda")*(Inputs!$G$5:$G$110&lt;&gt;"acoes")))*INDEX(Inputs!$K$5:$AJ$110,0,MATCH(N$2,Inputs!$K$4:$AJ$4,0)))+SUMPRODUCT((Inputs!$C$5:$C$110=$B54)*Inputs!$D$5:$D$110*(((Inputs!$G$5:$G$110="moeda")+(Inputs!$G$5:$G$110="acoes"))*Inputs!$B$1+((Inputs!$G$5:$G$110&lt;&gt;"moeda")*(Inputs!$G$5:$G$110&lt;&gt;"acoes")))*INDEX(Inputs!$K$5:$AJ$110,0,MATCH(N$2,Inputs!$K$4:$AJ$4,0)))+SUMPRODUCT((Inputs!$E$5:$E$110=$B54)*Inputs!$F$5:$F$110*(((Inputs!$G$5:$G$110="moeda")+(Inputs!$G$5:$G$110="acoes"))*Inputs!$B$1+((Inputs!$G$5:$G$110&lt;&gt;"moeda")*(Inputs!$G$5:$G$110&lt;&gt;"acoes")))*INDEX(Inputs!$K$5:$AJ$110,0,MATCH(N$2,Inputs!$K$4:$AJ$4,0)))))</f>
        <v>1925</v>
      </c>
      <c r="O54" s="263">
        <f>IF(ISNA(MATCH(O$2,Inputs!$K$4:$AJ$4,0)),NA(),IF(SUMPRODUCT((Inputs!$A$5:$A$110=$B54)*ISNUMBER(INDEX(Inputs!$K$5:$AJ$110,0,MATCH(O$2,Inputs!$K$4:$AJ$4,0))))+SUMPRODUCT((Inputs!$C$5:$C$110=$B54)*ISNUMBER(INDEX(Inputs!$K$5:$AJ$110,0,MATCH(O$2,Inputs!$K$4:$AJ$4,0))))+SUMPRODUCT((Inputs!$E$5:$E$110=$B54)*ISNUMBER(INDEX(Inputs!$K$5:$AJ$110,0,MATCH(O$2,Inputs!$K$4:$AJ$4,0))))=0,NA(),SUMPRODUCT((Inputs!$A$5:$A$110=$B54)*Inputs!$B$5:$B$110*(((Inputs!$G$5:$G$110="moeda")+(Inputs!$G$5:$G$110="acoes"))*Inputs!$B$1+((Inputs!$G$5:$G$110&lt;&gt;"moeda")*(Inputs!$G$5:$G$110&lt;&gt;"acoes")))*INDEX(Inputs!$K$5:$AJ$110,0,MATCH(O$2,Inputs!$K$4:$AJ$4,0)))+SUMPRODUCT((Inputs!$C$5:$C$110=$B54)*Inputs!$D$5:$D$110*(((Inputs!$G$5:$G$110="moeda")+(Inputs!$G$5:$G$110="acoes"))*Inputs!$B$1+((Inputs!$G$5:$G$110&lt;&gt;"moeda")*(Inputs!$G$5:$G$110&lt;&gt;"acoes")))*INDEX(Inputs!$K$5:$AJ$110,0,MATCH(O$2,Inputs!$K$4:$AJ$4,0)))+SUMPRODUCT((Inputs!$E$5:$E$110=$B54)*Inputs!$F$5:$F$110*(((Inputs!$G$5:$G$110="moeda")+(Inputs!$G$5:$G$110="acoes"))*Inputs!$B$1+((Inputs!$G$5:$G$110&lt;&gt;"moeda")*(Inputs!$G$5:$G$110&lt;&gt;"acoes")))*INDEX(Inputs!$K$5:$AJ$110,0,MATCH(O$2,Inputs!$K$4:$AJ$4,0)))))</f>
        <v>1935</v>
      </c>
      <c r="P54" s="263">
        <f>IF(ISNA(MATCH(P$2,Inputs!$K$4:$AJ$4,0)),NA(),IF(SUMPRODUCT((Inputs!$A$5:$A$110=$B54)*ISNUMBER(INDEX(Inputs!$K$5:$AJ$110,0,MATCH(P$2,Inputs!$K$4:$AJ$4,0))))+SUMPRODUCT((Inputs!$C$5:$C$110=$B54)*ISNUMBER(INDEX(Inputs!$K$5:$AJ$110,0,MATCH(P$2,Inputs!$K$4:$AJ$4,0))))+SUMPRODUCT((Inputs!$E$5:$E$110=$B54)*ISNUMBER(INDEX(Inputs!$K$5:$AJ$110,0,MATCH(P$2,Inputs!$K$4:$AJ$4,0))))=0,NA(),SUMPRODUCT((Inputs!$A$5:$A$110=$B54)*Inputs!$B$5:$B$110*(((Inputs!$G$5:$G$110="moeda")+(Inputs!$G$5:$G$110="acoes"))*Inputs!$B$1+((Inputs!$G$5:$G$110&lt;&gt;"moeda")*(Inputs!$G$5:$G$110&lt;&gt;"acoes")))*INDEX(Inputs!$K$5:$AJ$110,0,MATCH(P$2,Inputs!$K$4:$AJ$4,0)))+SUMPRODUCT((Inputs!$C$5:$C$110=$B54)*Inputs!$D$5:$D$110*(((Inputs!$G$5:$G$110="moeda")+(Inputs!$G$5:$G$110="acoes"))*Inputs!$B$1+((Inputs!$G$5:$G$110&lt;&gt;"moeda")*(Inputs!$G$5:$G$110&lt;&gt;"acoes")))*INDEX(Inputs!$K$5:$AJ$110,0,MATCH(P$2,Inputs!$K$4:$AJ$4,0)))+SUMPRODUCT((Inputs!$E$5:$E$110=$B54)*Inputs!$F$5:$F$110*(((Inputs!$G$5:$G$110="moeda")+(Inputs!$G$5:$G$110="acoes"))*Inputs!$B$1+((Inputs!$G$5:$G$110&lt;&gt;"moeda")*(Inputs!$G$5:$G$110&lt;&gt;"acoes")))*INDEX(Inputs!$K$5:$AJ$110,0,MATCH(P$2,Inputs!$K$4:$AJ$4,0)))))</f>
        <v>1969</v>
      </c>
      <c r="Q54" s="263">
        <f>IF(ISNA(MATCH(Q$2,Inputs!$K$4:$AJ$4,0)),NA(),IF(SUMPRODUCT((Inputs!$A$5:$A$110=$B54)*ISNUMBER(INDEX(Inputs!$K$5:$AJ$110,0,MATCH(Q$2,Inputs!$K$4:$AJ$4,0))))+SUMPRODUCT((Inputs!$C$5:$C$110=$B54)*ISNUMBER(INDEX(Inputs!$K$5:$AJ$110,0,MATCH(Q$2,Inputs!$K$4:$AJ$4,0))))+SUMPRODUCT((Inputs!$E$5:$E$110=$B54)*ISNUMBER(INDEX(Inputs!$K$5:$AJ$110,0,MATCH(Q$2,Inputs!$K$4:$AJ$4,0))))=0,NA(),SUMPRODUCT((Inputs!$A$5:$A$110=$B54)*Inputs!$B$5:$B$110*(((Inputs!$G$5:$G$110="moeda")+(Inputs!$G$5:$G$110="acoes"))*Inputs!$B$1+((Inputs!$G$5:$G$110&lt;&gt;"moeda")*(Inputs!$G$5:$G$110&lt;&gt;"acoes")))*INDEX(Inputs!$K$5:$AJ$110,0,MATCH(Q$2,Inputs!$K$4:$AJ$4,0)))+SUMPRODUCT((Inputs!$C$5:$C$110=$B54)*Inputs!$D$5:$D$110*(((Inputs!$G$5:$G$110="moeda")+(Inputs!$G$5:$G$110="acoes"))*Inputs!$B$1+((Inputs!$G$5:$G$110&lt;&gt;"moeda")*(Inputs!$G$5:$G$110&lt;&gt;"acoes")))*INDEX(Inputs!$K$5:$AJ$110,0,MATCH(Q$2,Inputs!$K$4:$AJ$4,0)))+SUMPRODUCT((Inputs!$E$5:$E$110=$B54)*Inputs!$F$5:$F$110*(((Inputs!$G$5:$G$110="moeda")+(Inputs!$G$5:$G$110="acoes"))*Inputs!$B$1+((Inputs!$G$5:$G$110&lt;&gt;"moeda")*(Inputs!$G$5:$G$110&lt;&gt;"acoes")))*INDEX(Inputs!$K$5:$AJ$110,0,MATCH(Q$2,Inputs!$K$4:$AJ$4,0)))))</f>
        <v>4571</v>
      </c>
      <c r="R54" s="264">
        <f>SUM(N54:Q54)</f>
        <v>10400</v>
      </c>
      <c r="S54" s="263">
        <f>IF(ISNA(MATCH(S$2,Inputs!$K$4:$AJ$4,0)),NA(),IF(SUMPRODUCT((Inputs!$A$5:$A$110=$B54)*ISNUMBER(INDEX(Inputs!$K$5:$AJ$110,0,MATCH(S$2,Inputs!$K$4:$AJ$4,0))))+SUMPRODUCT((Inputs!$C$5:$C$110=$B54)*ISNUMBER(INDEX(Inputs!$K$5:$AJ$110,0,MATCH(S$2,Inputs!$K$4:$AJ$4,0))))+SUMPRODUCT((Inputs!$E$5:$E$110=$B54)*ISNUMBER(INDEX(Inputs!$K$5:$AJ$110,0,MATCH(S$2,Inputs!$K$4:$AJ$4,0))))=0,NA(),SUMPRODUCT((Inputs!$A$5:$A$110=$B54)*Inputs!$B$5:$B$110*(((Inputs!$G$5:$G$110="moeda")+(Inputs!$G$5:$G$110="acoes"))*Inputs!$B$1+((Inputs!$G$5:$G$110&lt;&gt;"moeda")*(Inputs!$G$5:$G$110&lt;&gt;"acoes")))*INDEX(Inputs!$K$5:$AJ$110,0,MATCH(S$2,Inputs!$K$4:$AJ$4,0)))+SUMPRODUCT((Inputs!$C$5:$C$110=$B54)*Inputs!$D$5:$D$110*(((Inputs!$G$5:$G$110="moeda")+(Inputs!$G$5:$G$110="acoes"))*Inputs!$B$1+((Inputs!$G$5:$G$110&lt;&gt;"moeda")*(Inputs!$G$5:$G$110&lt;&gt;"acoes")))*INDEX(Inputs!$K$5:$AJ$110,0,MATCH(S$2,Inputs!$K$4:$AJ$4,0)))+SUMPRODUCT((Inputs!$E$5:$E$110=$B54)*Inputs!$F$5:$F$110*(((Inputs!$G$5:$G$110="moeda")+(Inputs!$G$5:$G$110="acoes"))*Inputs!$B$1+((Inputs!$G$5:$G$110&lt;&gt;"moeda")*(Inputs!$G$5:$G$110&lt;&gt;"acoes")))*INDEX(Inputs!$K$5:$AJ$110,0,MATCH(S$2,Inputs!$K$4:$AJ$4,0)))))</f>
        <v>5285</v>
      </c>
      <c r="T54" s="263">
        <f>IF(ISNA(MATCH(T$2,Inputs!$K$4:$AJ$4,0)),NA(),IF(SUMPRODUCT((Inputs!$A$5:$A$110=$B54)*ISNUMBER(INDEX(Inputs!$K$5:$AJ$110,0,MATCH(T$2,Inputs!$K$4:$AJ$4,0))))+SUMPRODUCT((Inputs!$C$5:$C$110=$B54)*ISNUMBER(INDEX(Inputs!$K$5:$AJ$110,0,MATCH(T$2,Inputs!$K$4:$AJ$4,0))))+SUMPRODUCT((Inputs!$E$5:$E$110=$B54)*ISNUMBER(INDEX(Inputs!$K$5:$AJ$110,0,MATCH(T$2,Inputs!$K$4:$AJ$4,0))))=0,NA(),SUMPRODUCT((Inputs!$A$5:$A$110=$B54)*Inputs!$B$5:$B$110*(((Inputs!$G$5:$G$110="moeda")+(Inputs!$G$5:$G$110="acoes"))*Inputs!$B$1+((Inputs!$G$5:$G$110&lt;&gt;"moeda")*(Inputs!$G$5:$G$110&lt;&gt;"acoes")))*INDEX(Inputs!$K$5:$AJ$110,0,MATCH(T$2,Inputs!$K$4:$AJ$4,0)))+SUMPRODUCT((Inputs!$C$5:$C$110=$B54)*Inputs!$D$5:$D$110*(((Inputs!$G$5:$G$110="moeda")+(Inputs!$G$5:$G$110="acoes"))*Inputs!$B$1+((Inputs!$G$5:$G$110&lt;&gt;"moeda")*(Inputs!$G$5:$G$110&lt;&gt;"acoes")))*INDEX(Inputs!$K$5:$AJ$110,0,MATCH(T$2,Inputs!$K$4:$AJ$4,0)))+SUMPRODUCT((Inputs!$E$5:$E$110=$B54)*Inputs!$F$5:$F$110*(((Inputs!$G$5:$G$110="moeda")+(Inputs!$G$5:$G$110="acoes"))*Inputs!$B$1+((Inputs!$G$5:$G$110&lt;&gt;"moeda")*(Inputs!$G$5:$G$110&lt;&gt;"acoes")))*INDEX(Inputs!$K$5:$AJ$110,0,MATCH(T$2,Inputs!$K$4:$AJ$4,0)))))</f>
        <v>5798</v>
      </c>
      <c r="U54" s="263">
        <f>IF(ISNA(MATCH(U$2,Inputs!$K$4:$AJ$4,0)),NA(),IF(SUMPRODUCT((Inputs!$A$5:$A$110=$B54)*ISNUMBER(INDEX(Inputs!$K$5:$AJ$110,0,MATCH(U$2,Inputs!$K$4:$AJ$4,0))))+SUMPRODUCT((Inputs!$C$5:$C$110=$B54)*ISNUMBER(INDEX(Inputs!$K$5:$AJ$110,0,MATCH(U$2,Inputs!$K$4:$AJ$4,0))))+SUMPRODUCT((Inputs!$E$5:$E$110=$B54)*ISNUMBER(INDEX(Inputs!$K$5:$AJ$110,0,MATCH(U$2,Inputs!$K$4:$AJ$4,0))))=0,NA(),SUMPRODUCT((Inputs!$A$5:$A$110=$B54)*Inputs!$B$5:$B$110*(((Inputs!$G$5:$G$110="moeda")+(Inputs!$G$5:$G$110="acoes"))*Inputs!$B$1+((Inputs!$G$5:$G$110&lt;&gt;"moeda")*(Inputs!$G$5:$G$110&lt;&gt;"acoes")))*INDEX(Inputs!$K$5:$AJ$110,0,MATCH(U$2,Inputs!$K$4:$AJ$4,0)))+SUMPRODUCT((Inputs!$C$5:$C$110=$B54)*Inputs!$D$5:$D$110*(((Inputs!$G$5:$G$110="moeda")+(Inputs!$G$5:$G$110="acoes"))*Inputs!$B$1+((Inputs!$G$5:$G$110&lt;&gt;"moeda")*(Inputs!$G$5:$G$110&lt;&gt;"acoes")))*INDEX(Inputs!$K$5:$AJ$110,0,MATCH(U$2,Inputs!$K$4:$AJ$4,0)))+SUMPRODUCT((Inputs!$E$5:$E$110=$B54)*Inputs!$F$5:$F$110*(((Inputs!$G$5:$G$110="moeda")+(Inputs!$G$5:$G$110="acoes"))*Inputs!$B$1+((Inputs!$G$5:$G$110&lt;&gt;"moeda")*(Inputs!$G$5:$G$110&lt;&gt;"acoes")))*INDEX(Inputs!$K$5:$AJ$110,0,MATCH(U$2,Inputs!$K$4:$AJ$4,0)))))</f>
        <v>5824</v>
      </c>
      <c r="V54" s="263">
        <f>IF(ISNA(MATCH(V$2,Inputs!$K$4:$AJ$4,0)),NA(),IF(SUMPRODUCT((Inputs!$A$5:$A$110=$B54)*ISNUMBER(INDEX(Inputs!$K$5:$AJ$110,0,MATCH(V$2,Inputs!$K$4:$AJ$4,0))))+SUMPRODUCT((Inputs!$C$5:$C$110=$B54)*ISNUMBER(INDEX(Inputs!$K$5:$AJ$110,0,MATCH(V$2,Inputs!$K$4:$AJ$4,0))))+SUMPRODUCT((Inputs!$E$5:$E$110=$B54)*ISNUMBER(INDEX(Inputs!$K$5:$AJ$110,0,MATCH(V$2,Inputs!$K$4:$AJ$4,0))))=0,NA(),SUMPRODUCT((Inputs!$A$5:$A$110=$B54)*Inputs!$B$5:$B$110*(((Inputs!$G$5:$G$110="moeda")+(Inputs!$G$5:$G$110="acoes"))*Inputs!$B$1+((Inputs!$G$5:$G$110&lt;&gt;"moeda")*(Inputs!$G$5:$G$110&lt;&gt;"acoes")))*INDEX(Inputs!$K$5:$AJ$110,0,MATCH(V$2,Inputs!$K$4:$AJ$4,0)))+SUMPRODUCT((Inputs!$C$5:$C$110=$B54)*Inputs!$D$5:$D$110*(((Inputs!$G$5:$G$110="moeda")+(Inputs!$G$5:$G$110="acoes"))*Inputs!$B$1+((Inputs!$G$5:$G$110&lt;&gt;"moeda")*(Inputs!$G$5:$G$110&lt;&gt;"acoes")))*INDEX(Inputs!$K$5:$AJ$110,0,MATCH(V$2,Inputs!$K$4:$AJ$4,0)))+SUMPRODUCT((Inputs!$E$5:$E$110=$B54)*Inputs!$F$5:$F$110*(((Inputs!$G$5:$G$110="moeda")+(Inputs!$G$5:$G$110="acoes"))*Inputs!$B$1+((Inputs!$G$5:$G$110&lt;&gt;"moeda")*(Inputs!$G$5:$G$110&lt;&gt;"acoes")))*INDEX(Inputs!$K$5:$AJ$110,0,MATCH(V$2,Inputs!$K$4:$AJ$4,0)))))</f>
        <v>6704</v>
      </c>
      <c r="W54" s="264">
        <f>SUM(S54:V54)</f>
        <v>23611</v>
      </c>
      <c r="X54" s="263">
        <f>IF(ISNA(MATCH(X$2,Inputs!$K$4:$AJ$4,0)),NA(),IF(SUMPRODUCT((Inputs!$A$5:$A$110=$B54)*ISNUMBER(INDEX(Inputs!$K$5:$AJ$110,0,MATCH(X$2,Inputs!$K$4:$AJ$4,0))))+SUMPRODUCT((Inputs!$C$5:$C$110=$B54)*ISNUMBER(INDEX(Inputs!$K$5:$AJ$110,0,MATCH(X$2,Inputs!$K$4:$AJ$4,0))))+SUMPRODUCT((Inputs!$E$5:$E$110=$B54)*ISNUMBER(INDEX(Inputs!$K$5:$AJ$110,0,MATCH(X$2,Inputs!$K$4:$AJ$4,0))))=0,NA(),SUMPRODUCT((Inputs!$A$5:$A$110=$B54)*Inputs!$B$5:$B$110*(((Inputs!$G$5:$G$110="moeda")+(Inputs!$G$5:$G$110="acoes"))*Inputs!$B$1+((Inputs!$G$5:$G$110&lt;&gt;"moeda")*(Inputs!$G$5:$G$110&lt;&gt;"acoes")))*INDEX(Inputs!$K$5:$AJ$110,0,MATCH(X$2,Inputs!$K$4:$AJ$4,0)))+SUMPRODUCT((Inputs!$C$5:$C$110=$B54)*Inputs!$D$5:$D$110*(((Inputs!$G$5:$G$110="moeda")+(Inputs!$G$5:$G$110="acoes"))*Inputs!$B$1+((Inputs!$G$5:$G$110&lt;&gt;"moeda")*(Inputs!$G$5:$G$110&lt;&gt;"acoes")))*INDEX(Inputs!$K$5:$AJ$110,0,MATCH(X$2,Inputs!$K$4:$AJ$4,0)))+SUMPRODUCT((Inputs!$E$5:$E$110=$B54)*Inputs!$F$5:$F$110*(((Inputs!$G$5:$G$110="moeda")+(Inputs!$G$5:$G$110="acoes"))*Inputs!$B$1+((Inputs!$G$5:$G$110&lt;&gt;"moeda")*(Inputs!$G$5:$G$110&lt;&gt;"acoes")))*INDEX(Inputs!$K$5:$AJ$110,0,MATCH(X$2,Inputs!$K$4:$AJ$4,0)))))</f>
        <v>6596</v>
      </c>
      <c r="Y54" s="263">
        <f>IF(ISNA(MATCH(Y$2,Inputs!$K$4:$AJ$4,0)),NA(),IF(SUMPRODUCT((Inputs!$A$5:$A$110=$B54)*ISNUMBER(INDEX(Inputs!$K$5:$AJ$110,0,MATCH(Y$2,Inputs!$K$4:$AJ$4,0))))+SUMPRODUCT((Inputs!$C$5:$C$110=$B54)*ISNUMBER(INDEX(Inputs!$K$5:$AJ$110,0,MATCH(Y$2,Inputs!$K$4:$AJ$4,0))))+SUMPRODUCT((Inputs!$E$5:$E$110=$B54)*ISNUMBER(INDEX(Inputs!$K$5:$AJ$110,0,MATCH(Y$2,Inputs!$K$4:$AJ$4,0))))=0,NA(),SUMPRODUCT((Inputs!$A$5:$A$110=$B54)*Inputs!$B$5:$B$110*(((Inputs!$G$5:$G$110="moeda")+(Inputs!$G$5:$G$110="acoes"))*Inputs!$B$1+((Inputs!$G$5:$G$110&lt;&gt;"moeda")*(Inputs!$G$5:$G$110&lt;&gt;"acoes")))*INDEX(Inputs!$K$5:$AJ$110,0,MATCH(Y$2,Inputs!$K$4:$AJ$4,0)))+SUMPRODUCT((Inputs!$C$5:$C$110=$B54)*Inputs!$D$5:$D$110*(((Inputs!$G$5:$G$110="moeda")+(Inputs!$G$5:$G$110="acoes"))*Inputs!$B$1+((Inputs!$G$5:$G$110&lt;&gt;"moeda")*(Inputs!$G$5:$G$110&lt;&gt;"acoes")))*INDEX(Inputs!$K$5:$AJ$110,0,MATCH(Y$2,Inputs!$K$4:$AJ$4,0)))+SUMPRODUCT((Inputs!$E$5:$E$110=$B54)*Inputs!$F$5:$F$110*(((Inputs!$G$5:$G$110="moeda")+(Inputs!$G$5:$G$110="acoes"))*Inputs!$B$1+((Inputs!$G$5:$G$110&lt;&gt;"moeda")*(Inputs!$G$5:$G$110&lt;&gt;"acoes")))*INDEX(Inputs!$K$5:$AJ$110,0,MATCH(Y$2,Inputs!$K$4:$AJ$4,0)))))</f>
        <v>6786</v>
      </c>
      <c r="Z54" s="263">
        <f>IF(ISNA(MATCH(Z$2,Inputs!$K$4:$AJ$4,0)),NA(),IF(SUMPRODUCT((Inputs!$A$5:$A$110=$B54)*ISNUMBER(INDEX(Inputs!$K$5:$AJ$110,0,MATCH(Z$2,Inputs!$K$4:$AJ$4,0))))+SUMPRODUCT((Inputs!$C$5:$C$110=$B54)*ISNUMBER(INDEX(Inputs!$K$5:$AJ$110,0,MATCH(Z$2,Inputs!$K$4:$AJ$4,0))))+SUMPRODUCT((Inputs!$E$5:$E$110=$B54)*ISNUMBER(INDEX(Inputs!$K$5:$AJ$110,0,MATCH(Z$2,Inputs!$K$4:$AJ$4,0))))=0,NA(),SUMPRODUCT((Inputs!$A$5:$A$110=$B54)*Inputs!$B$5:$B$110*(((Inputs!$G$5:$G$110="moeda")+(Inputs!$G$5:$G$110="acoes"))*Inputs!$B$1+((Inputs!$G$5:$G$110&lt;&gt;"moeda")*(Inputs!$G$5:$G$110&lt;&gt;"acoes")))*INDEX(Inputs!$K$5:$AJ$110,0,MATCH(Z$2,Inputs!$K$4:$AJ$4,0)))+SUMPRODUCT((Inputs!$C$5:$C$110=$B54)*Inputs!$D$5:$D$110*(((Inputs!$G$5:$G$110="moeda")+(Inputs!$G$5:$G$110="acoes"))*Inputs!$B$1+((Inputs!$G$5:$G$110&lt;&gt;"moeda")*(Inputs!$G$5:$G$110&lt;&gt;"acoes")))*INDEX(Inputs!$K$5:$AJ$110,0,MATCH(Z$2,Inputs!$K$4:$AJ$4,0)))+SUMPRODUCT((Inputs!$E$5:$E$110=$B54)*Inputs!$F$5:$F$110*(((Inputs!$G$5:$G$110="moeda")+(Inputs!$G$5:$G$110="acoes"))*Inputs!$B$1+((Inputs!$G$5:$G$110&lt;&gt;"moeda")*(Inputs!$G$5:$G$110&lt;&gt;"acoes")))*INDEX(Inputs!$K$5:$AJ$110,0,MATCH(Z$2,Inputs!$K$4:$AJ$4,0)))))</f>
        <v>6943</v>
      </c>
      <c r="AA54" s="263">
        <f>IF(ISNA(MATCH(AA$2,Inputs!$K$4:$AJ$4,0)),NA(),IF(SUMPRODUCT((Inputs!$A$5:$A$110=$B54)*ISNUMBER(INDEX(Inputs!$K$5:$AJ$110,0,MATCH(AA$2,Inputs!$K$4:$AJ$4,0))))+SUMPRODUCT((Inputs!$C$5:$C$110=$B54)*ISNUMBER(INDEX(Inputs!$K$5:$AJ$110,0,MATCH(AA$2,Inputs!$K$4:$AJ$4,0))))+SUMPRODUCT((Inputs!$E$5:$E$110=$B54)*ISNUMBER(INDEX(Inputs!$K$5:$AJ$110,0,MATCH(AA$2,Inputs!$K$4:$AJ$4,0))))=0,NA(),SUMPRODUCT((Inputs!$A$5:$A$110=$B54)*Inputs!$B$5:$B$110*(((Inputs!$G$5:$G$110="moeda")+(Inputs!$G$5:$G$110="acoes"))*Inputs!$B$1+((Inputs!$G$5:$G$110&lt;&gt;"moeda")*(Inputs!$G$5:$G$110&lt;&gt;"acoes")))*INDEX(Inputs!$K$5:$AJ$110,0,MATCH(AA$2,Inputs!$K$4:$AJ$4,0)))+SUMPRODUCT((Inputs!$C$5:$C$110=$B54)*Inputs!$D$5:$D$110*(((Inputs!$G$5:$G$110="moeda")+(Inputs!$G$5:$G$110="acoes"))*Inputs!$B$1+((Inputs!$G$5:$G$110&lt;&gt;"moeda")*(Inputs!$G$5:$G$110&lt;&gt;"acoes")))*INDEX(Inputs!$K$5:$AJ$110,0,MATCH(AA$2,Inputs!$K$4:$AJ$4,0)))+SUMPRODUCT((Inputs!$E$5:$E$110=$B54)*Inputs!$F$5:$F$110*(((Inputs!$G$5:$G$110="moeda")+(Inputs!$G$5:$G$110="acoes"))*Inputs!$B$1+((Inputs!$G$5:$G$110&lt;&gt;"moeda")*(Inputs!$G$5:$G$110&lt;&gt;"acoes")))*INDEX(Inputs!$K$5:$AJ$110,0,MATCH(AA$2,Inputs!$K$4:$AJ$4,0)))))</f>
        <v>6796</v>
      </c>
      <c r="AB54" s="264">
        <f>SUM(X54:AA54)</f>
        <v>27121</v>
      </c>
      <c r="AC54" s="263">
        <f>IF(ISNA(MATCH(AC$2,Inputs!$K$4:$AJ$4,0)),NA(),IF(SUMPRODUCT((Inputs!$A$5:$A$110=$B54)*ISNUMBER(INDEX(Inputs!$K$5:$AJ$110,0,MATCH(AC$2,Inputs!$K$4:$AJ$4,0))))+SUMPRODUCT((Inputs!$C$5:$C$110=$B54)*ISNUMBER(INDEX(Inputs!$K$5:$AJ$110,0,MATCH(AC$2,Inputs!$K$4:$AJ$4,0))))+SUMPRODUCT((Inputs!$E$5:$E$110=$B54)*ISNUMBER(INDEX(Inputs!$K$5:$AJ$110,0,MATCH(AC$2,Inputs!$K$4:$AJ$4,0))))=0,NA(),SUMPRODUCT((Inputs!$A$5:$A$110=$B54)*Inputs!$B$5:$B$110*(((Inputs!$G$5:$G$110="moeda")+(Inputs!$G$5:$G$110="acoes"))*Inputs!$B$1+((Inputs!$G$5:$G$110&lt;&gt;"moeda")*(Inputs!$G$5:$G$110&lt;&gt;"acoes")))*INDEX(Inputs!$K$5:$AJ$110,0,MATCH(AC$2,Inputs!$K$4:$AJ$4,0)))+SUMPRODUCT((Inputs!$C$5:$C$110=$B54)*Inputs!$D$5:$D$110*(((Inputs!$G$5:$G$110="moeda")+(Inputs!$G$5:$G$110="acoes"))*Inputs!$B$1+((Inputs!$G$5:$G$110&lt;&gt;"moeda")*(Inputs!$G$5:$G$110&lt;&gt;"acoes")))*INDEX(Inputs!$K$5:$AJ$110,0,MATCH(AC$2,Inputs!$K$4:$AJ$4,0)))+SUMPRODUCT((Inputs!$E$5:$E$110=$B54)*Inputs!$F$5:$F$110*(((Inputs!$G$5:$G$110="moeda")+(Inputs!$G$5:$G$110="acoes"))*Inputs!$B$1+((Inputs!$G$5:$G$110&lt;&gt;"moeda")*(Inputs!$G$5:$G$110&lt;&gt;"acoes")))*INDEX(Inputs!$K$5:$AJ$110,0,MATCH(AC$2,Inputs!$K$4:$AJ$4,0)))))</f>
        <v>7178</v>
      </c>
      <c r="AD54" s="263">
        <f>IF(ISNA(MATCH(AD$2,Inputs!$K$4:$AJ$4,0)),NA(),IF(SUMPRODUCT((Inputs!$A$5:$A$110=$B54)*ISNUMBER(INDEX(Inputs!$K$5:$AJ$110,0,MATCH(AD$2,Inputs!$K$4:$AJ$4,0))))+SUMPRODUCT((Inputs!$C$5:$C$110=$B54)*ISNUMBER(INDEX(Inputs!$K$5:$AJ$110,0,MATCH(AD$2,Inputs!$K$4:$AJ$4,0))))+SUMPRODUCT((Inputs!$E$5:$E$110=$B54)*ISNUMBER(INDEX(Inputs!$K$5:$AJ$110,0,MATCH(AD$2,Inputs!$K$4:$AJ$4,0))))=0,NA(),SUMPRODUCT((Inputs!$A$5:$A$110=$B54)*Inputs!$B$5:$B$110*(((Inputs!$G$5:$G$110="moeda")+(Inputs!$G$5:$G$110="acoes"))*Inputs!$B$1+((Inputs!$G$5:$G$110&lt;&gt;"moeda")*(Inputs!$G$5:$G$110&lt;&gt;"acoes")))*INDEX(Inputs!$K$5:$AJ$110,0,MATCH(AD$2,Inputs!$K$4:$AJ$4,0)))+SUMPRODUCT((Inputs!$C$5:$C$110=$B54)*Inputs!$D$5:$D$110*(((Inputs!$G$5:$G$110="moeda")+(Inputs!$G$5:$G$110="acoes"))*Inputs!$B$1+((Inputs!$G$5:$G$110&lt;&gt;"moeda")*(Inputs!$G$5:$G$110&lt;&gt;"acoes")))*INDEX(Inputs!$K$5:$AJ$110,0,MATCH(AD$2,Inputs!$K$4:$AJ$4,0)))+SUMPRODUCT((Inputs!$E$5:$E$110=$B54)*Inputs!$F$5:$F$110*(((Inputs!$G$5:$G$110="moeda")+(Inputs!$G$5:$G$110="acoes"))*Inputs!$B$1+((Inputs!$G$5:$G$110&lt;&gt;"moeda")*(Inputs!$G$5:$G$110&lt;&gt;"acoes")))*INDEX(Inputs!$K$5:$AJ$110,0,MATCH(AD$2,Inputs!$K$4:$AJ$4,0)))))</f>
        <v>8752</v>
      </c>
      <c r="AE54" s="263" t="e">
        <f>IF(ISNA(MATCH(AE$2,Inputs!$K$4:$AJ$4,0)),NA(),IF(SUMPRODUCT((Inputs!$A$5:$A$110=$B54)*ISNUMBER(INDEX(Inputs!$K$5:$AJ$110,0,MATCH(AE$2,Inputs!$K$4:$AJ$4,0))))+SUMPRODUCT((Inputs!$C$5:$C$110=$B54)*ISNUMBER(INDEX(Inputs!$K$5:$AJ$110,0,MATCH(AE$2,Inputs!$K$4:$AJ$4,0))))+SUMPRODUCT((Inputs!$E$5:$E$110=$B54)*ISNUMBER(INDEX(Inputs!$K$5:$AJ$110,0,MATCH(AE$2,Inputs!$K$4:$AJ$4,0))))=0,NA(),SUMPRODUCT((Inputs!$A$5:$A$110=$B54)*Inputs!$B$5:$B$110*(((Inputs!$G$5:$G$110="moeda")+(Inputs!$G$5:$G$110="acoes"))*Inputs!$B$1+((Inputs!$G$5:$G$110&lt;&gt;"moeda")*(Inputs!$G$5:$G$110&lt;&gt;"acoes")))*INDEX(Inputs!$K$5:$AJ$110,0,MATCH(AE$2,Inputs!$K$4:$AJ$4,0)))+SUMPRODUCT((Inputs!$C$5:$C$110=$B54)*Inputs!$D$5:$D$110*(((Inputs!$G$5:$G$110="moeda")+(Inputs!$G$5:$G$110="acoes"))*Inputs!$B$1+((Inputs!$G$5:$G$110&lt;&gt;"moeda")*(Inputs!$G$5:$G$110&lt;&gt;"acoes")))*INDEX(Inputs!$K$5:$AJ$110,0,MATCH(AE$2,Inputs!$K$4:$AJ$4,0)))+SUMPRODUCT((Inputs!$E$5:$E$110=$B54)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4" s="263" t="e">
        <f>IF(ISNA(MATCH(AF$2,Inputs!$K$4:$AJ$4,0)),NA(),IF(SUMPRODUCT((Inputs!$A$5:$A$110=$B54)*ISNUMBER(INDEX(Inputs!$K$5:$AJ$110,0,MATCH(AF$2,Inputs!$K$4:$AJ$4,0))))+SUMPRODUCT((Inputs!$C$5:$C$110=$B54)*ISNUMBER(INDEX(Inputs!$K$5:$AJ$110,0,MATCH(AF$2,Inputs!$K$4:$AJ$4,0))))+SUMPRODUCT((Inputs!$E$5:$E$110=$B54)*ISNUMBER(INDEX(Inputs!$K$5:$AJ$110,0,MATCH(AF$2,Inputs!$K$4:$AJ$4,0))))=0,NA(),SUMPRODUCT((Inputs!$A$5:$A$110=$B54)*Inputs!$B$5:$B$110*(((Inputs!$G$5:$G$110="moeda")+(Inputs!$G$5:$G$110="acoes"))*Inputs!$B$1+((Inputs!$G$5:$G$110&lt;&gt;"moeda")*(Inputs!$G$5:$G$110&lt;&gt;"acoes")))*INDEX(Inputs!$K$5:$AJ$110,0,MATCH(AF$2,Inputs!$K$4:$AJ$4,0)))+SUMPRODUCT((Inputs!$C$5:$C$110=$B54)*Inputs!$D$5:$D$110*(((Inputs!$G$5:$G$110="moeda")+(Inputs!$G$5:$G$110="acoes"))*Inputs!$B$1+((Inputs!$G$5:$G$110&lt;&gt;"moeda")*(Inputs!$G$5:$G$110&lt;&gt;"acoes")))*INDEX(Inputs!$K$5:$AJ$110,0,MATCH(AF$2,Inputs!$K$4:$AJ$4,0)))+SUMPRODUCT((Inputs!$E$5:$E$110=$B54)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4" s="264" t="e">
        <f>SUM(AC54:AF54)</f>
        <v>#N/A</v>
      </c>
      <c r="AH54" s="263">
        <f>IF(ISNA(MATCH(AH$2,Inputs!$K$4:$AJ$4,0)),NA(),IF(SUMPRODUCT((Inputs!$A$5:$A$110=$B54)*ISNUMBER(INDEX(Inputs!$K$5:$AJ$110,0,MATCH(AH$2,Inputs!$K$4:$AJ$4,0))))+SUMPRODUCT((Inputs!$C$5:$C$110=$B54)*ISNUMBER(INDEX(Inputs!$K$5:$AJ$110,0,MATCH(AH$2,Inputs!$K$4:$AJ$4,0))))+SUMPRODUCT((Inputs!$E$5:$E$110=$B54)*ISNUMBER(INDEX(Inputs!$K$5:$AJ$110,0,MATCH(AH$2,Inputs!$K$4:$AJ$4,0))))=0,NA(),SUMPRODUCT((Inputs!$A$5:$A$110=$B54)*Inputs!$B$5:$B$110*(((Inputs!$G$5:$G$110="moeda")+(Inputs!$G$5:$G$110="acoes"))*Inputs!$B$1+((Inputs!$G$5:$G$110&lt;&gt;"moeda")*(Inputs!$G$5:$G$110&lt;&gt;"acoes")))*INDEX(Inputs!$K$5:$AJ$110,0,MATCH(AH$2,Inputs!$K$4:$AJ$4,0)))+SUMPRODUCT((Inputs!$C$5:$C$110=$B54)*Inputs!$D$5:$D$110*(((Inputs!$G$5:$G$110="moeda")+(Inputs!$G$5:$G$110="acoes"))*Inputs!$B$1+((Inputs!$G$5:$G$110&lt;&gt;"moeda")*(Inputs!$G$5:$G$110&lt;&gt;"acoes")))*INDEX(Inputs!$K$5:$AJ$110,0,MATCH(AH$2,Inputs!$K$4:$AJ$4,0)))+SUMPRODUCT((Inputs!$E$5:$E$110=$B54)*Inputs!$F$5:$F$110*(((Inputs!$G$5:$G$110="moeda")+(Inputs!$G$5:$G$110="acoes"))*Inputs!$B$1+((Inputs!$G$5:$G$110&lt;&gt;"moeda")*(Inputs!$G$5:$G$110&lt;&gt;"acoes")))*INDEX(Inputs!$K$5:$AJ$110,0,MATCH(AH$2,Inputs!$K$4:$AJ$4,0)))))</f>
        <v>1715</v>
      </c>
      <c r="AI54" s="263">
        <f>IF(ISNA(MATCH(AI$2,Inputs!$K$4:$AJ$4,0)),NA(),IF(SUMPRODUCT((Inputs!$A$5:$A$110=$B54)*ISNUMBER(INDEX(Inputs!$K$5:$AJ$110,0,MATCH(AI$2,Inputs!$K$4:$AJ$4,0))))+SUMPRODUCT((Inputs!$C$5:$C$110=$B54)*ISNUMBER(INDEX(Inputs!$K$5:$AJ$110,0,MATCH(AI$2,Inputs!$K$4:$AJ$4,0))))+SUMPRODUCT((Inputs!$E$5:$E$110=$B54)*ISNUMBER(INDEX(Inputs!$K$5:$AJ$110,0,MATCH(AI$2,Inputs!$K$4:$AJ$4,0))))=0,NA(),SUMPRODUCT((Inputs!$A$5:$A$110=$B54)*Inputs!$B$5:$B$110*(((Inputs!$G$5:$G$110="moeda")+(Inputs!$G$5:$G$110="acoes"))*Inputs!$B$1+((Inputs!$G$5:$G$110&lt;&gt;"moeda")*(Inputs!$G$5:$G$110&lt;&gt;"acoes")))*INDEX(Inputs!$K$5:$AJ$110,0,MATCH(AI$2,Inputs!$K$4:$AJ$4,0)))+SUMPRODUCT((Inputs!$C$5:$C$110=$B54)*Inputs!$D$5:$D$110*(((Inputs!$G$5:$G$110="moeda")+(Inputs!$G$5:$G$110="acoes"))*Inputs!$B$1+((Inputs!$G$5:$G$110&lt;&gt;"moeda")*(Inputs!$G$5:$G$110&lt;&gt;"acoes")))*INDEX(Inputs!$K$5:$AJ$110,0,MATCH(AI$2,Inputs!$K$4:$AJ$4,0)))+SUMPRODUCT((Inputs!$E$5:$E$110=$B54)*Inputs!$F$5:$F$110*(((Inputs!$G$5:$G$110="moeda")+(Inputs!$G$5:$G$110="acoes"))*Inputs!$B$1+((Inputs!$G$5:$G$110&lt;&gt;"moeda")*(Inputs!$G$5:$G$110&lt;&gt;"acoes")))*INDEX(Inputs!$K$5:$AJ$110,0,MATCH(AI$2,Inputs!$K$4:$AJ$4,0)))))</f>
        <v>1602</v>
      </c>
      <c r="AJ54" s="263">
        <f>IF(ISNA(MATCH(AJ$2,Inputs!$K$4:$AJ$4,0)),NA(),IF(SUMPRODUCT((Inputs!$A$5:$A$110=$B54)*ISNUMBER(INDEX(Inputs!$K$5:$AJ$110,0,MATCH(AJ$2,Inputs!$K$4:$AJ$4,0))))+SUMPRODUCT((Inputs!$C$5:$C$110=$B54)*ISNUMBER(INDEX(Inputs!$K$5:$AJ$110,0,MATCH(AJ$2,Inputs!$K$4:$AJ$4,0))))+SUMPRODUCT((Inputs!$E$5:$E$110=$B54)*ISNUMBER(INDEX(Inputs!$K$5:$AJ$110,0,MATCH(AJ$2,Inputs!$K$4:$AJ$4,0))))=0,NA(),SUMPRODUCT((Inputs!$A$5:$A$110=$B54)*Inputs!$B$5:$B$110*(((Inputs!$G$5:$G$110="moeda")+(Inputs!$G$5:$G$110="acoes"))*Inputs!$B$1+((Inputs!$G$5:$G$110&lt;&gt;"moeda")*(Inputs!$G$5:$G$110&lt;&gt;"acoes")))*INDEX(Inputs!$K$5:$AJ$110,0,MATCH(AJ$2,Inputs!$K$4:$AJ$4,0)))+SUMPRODUCT((Inputs!$C$5:$C$110=$B54)*Inputs!$D$5:$D$110*(((Inputs!$G$5:$G$110="moeda")+(Inputs!$G$5:$G$110="acoes"))*Inputs!$B$1+((Inputs!$G$5:$G$110&lt;&gt;"moeda")*(Inputs!$G$5:$G$110&lt;&gt;"acoes")))*INDEX(Inputs!$K$5:$AJ$110,0,MATCH(AJ$2,Inputs!$K$4:$AJ$4,0)))+SUMPRODUCT((Inputs!$E$5:$E$110=$B54)*Inputs!$F$5:$F$110*(((Inputs!$G$5:$G$110="moeda")+(Inputs!$G$5:$G$110="acoes"))*Inputs!$B$1+((Inputs!$G$5:$G$110&lt;&gt;"moeda")*(Inputs!$G$5:$G$110&lt;&gt;"acoes")))*INDEX(Inputs!$K$5:$AJ$110,0,MATCH(AJ$2,Inputs!$K$4:$AJ$4,0)))))</f>
        <v>1637</v>
      </c>
      <c r="AK54" s="263">
        <f>IF(ISNA(MATCH(AK$2,Inputs!$K$4:$AJ$4,0)),NA(),IF(SUMPRODUCT((Inputs!$A$5:$A$110=$B54)*ISNUMBER(INDEX(Inputs!$K$5:$AJ$110,0,MATCH(AK$2,Inputs!$K$4:$AJ$4,0))))+SUMPRODUCT((Inputs!$C$5:$C$110=$B54)*ISNUMBER(INDEX(Inputs!$K$5:$AJ$110,0,MATCH(AK$2,Inputs!$K$4:$AJ$4,0))))+SUMPRODUCT((Inputs!$E$5:$E$110=$B54)*ISNUMBER(INDEX(Inputs!$K$5:$AJ$110,0,MATCH(AK$2,Inputs!$K$4:$AJ$4,0))))=0,NA(),SUMPRODUCT((Inputs!$A$5:$A$110=$B54)*Inputs!$B$5:$B$110*(((Inputs!$G$5:$G$110="moeda")+(Inputs!$G$5:$G$110="acoes"))*Inputs!$B$1+((Inputs!$G$5:$G$110&lt;&gt;"moeda")*(Inputs!$G$5:$G$110&lt;&gt;"acoes")))*INDEX(Inputs!$K$5:$AJ$110,0,MATCH(AK$2,Inputs!$K$4:$AJ$4,0)))+SUMPRODUCT((Inputs!$C$5:$C$110=$B54)*Inputs!$D$5:$D$110*(((Inputs!$G$5:$G$110="moeda")+(Inputs!$G$5:$G$110="acoes"))*Inputs!$B$1+((Inputs!$G$5:$G$110&lt;&gt;"moeda")*(Inputs!$G$5:$G$110&lt;&gt;"acoes")))*INDEX(Inputs!$K$5:$AJ$110,0,MATCH(AK$2,Inputs!$K$4:$AJ$4,0)))+SUMPRODUCT((Inputs!$E$5:$E$110=$B54)*Inputs!$F$5:$F$110*(((Inputs!$G$5:$G$110="moeda")+(Inputs!$G$5:$G$110="acoes"))*Inputs!$B$1+((Inputs!$G$5:$G$110&lt;&gt;"moeda")*(Inputs!$G$5:$G$110&lt;&gt;"acoes")))*INDEX(Inputs!$K$5:$AJ$110,0,MATCH(AK$2,Inputs!$K$4:$AJ$4,0)))))</f>
        <v>1747</v>
      </c>
      <c r="AL54" s="264">
        <f>SUM(AH54:AK54)</f>
        <v>6701</v>
      </c>
    </row>
    <row r="55">
      <c r="B55" s="46" t="n">
        <v>47</v>
      </c>
      <c r="C55" s="29" t="inlineStr">
        <is>
          <t>Semiconductor Solutions - lucro operacional (USD)</t>
        </is>
      </c>
      <c r="D55" s="263">
        <f>IF(ISNA(MATCH(D$2,Inputs!$K$4:$AJ$4,0)),NA(),IF(SUMPRODUCT((Inputs!$A$5:$A$110=$B55)*ISNUMBER(INDEX(Inputs!$K$5:$AJ$110,0,MATCH(D$2,Inputs!$K$4:$AJ$4,0))))+SUMPRODUCT((Inputs!$C$5:$C$110=$B55)*ISNUMBER(INDEX(Inputs!$K$5:$AJ$110,0,MATCH(D$2,Inputs!$K$4:$AJ$4,0))))+SUMPRODUCT((Inputs!$E$5:$E$110=$B55)*ISNUMBER(INDEX(Inputs!$K$5:$AJ$110,0,MATCH(D$2,Inputs!$K$4:$AJ$4,0))))=0,NA(),SUMPRODUCT((Inputs!$A$5:$A$110=$B55)*Inputs!$B$5:$B$110*(((Inputs!$G$5:$G$110="moeda")+(Inputs!$G$5:$G$110="acoes"))*Inputs!$B$1+((Inputs!$G$5:$G$110&lt;&gt;"moeda")*(Inputs!$G$5:$G$110&lt;&gt;"acoes")))*INDEX(Inputs!$K$5:$AJ$110,0,MATCH(D$2,Inputs!$K$4:$AJ$4,0)))+SUMPRODUCT((Inputs!$C$5:$C$110=$B55)*Inputs!$D$5:$D$110*(((Inputs!$G$5:$G$110="moeda")+(Inputs!$G$5:$G$110="acoes"))*Inputs!$B$1+((Inputs!$G$5:$G$110&lt;&gt;"moeda")*(Inputs!$G$5:$G$110&lt;&gt;"acoes")))*INDEX(Inputs!$K$5:$AJ$110,0,MATCH(D$2,Inputs!$K$4:$AJ$4,0)))+SUMPRODUCT((Inputs!$E$5:$E$110=$B55)*Inputs!$F$5:$F$110*(((Inputs!$G$5:$G$110="moeda")+(Inputs!$G$5:$G$110="acoes"))*Inputs!$B$1+((Inputs!$G$5:$G$110&lt;&gt;"moeda")*(Inputs!$G$5:$G$110&lt;&gt;"acoes")))*INDEX(Inputs!$K$5:$AJ$110,0,MATCH(D$2,Inputs!$K$4:$AJ$4,0)))))</f>
        <v>2547</v>
      </c>
      <c r="E55" s="263">
        <f>IF(ISNA(MATCH(E$2,Inputs!$K$4:$AJ$4,0)),NA(),IF(SUMPRODUCT((Inputs!$A$5:$A$110=$B55)*ISNUMBER(INDEX(Inputs!$K$5:$AJ$110,0,MATCH(E$2,Inputs!$K$4:$AJ$4,0))))+SUMPRODUCT((Inputs!$C$5:$C$110=$B55)*ISNUMBER(INDEX(Inputs!$K$5:$AJ$110,0,MATCH(E$2,Inputs!$K$4:$AJ$4,0))))+SUMPRODUCT((Inputs!$E$5:$E$110=$B55)*ISNUMBER(INDEX(Inputs!$K$5:$AJ$110,0,MATCH(E$2,Inputs!$K$4:$AJ$4,0))))=0,NA(),SUMPRODUCT((Inputs!$A$5:$A$110=$B55)*Inputs!$B$5:$B$110*(((Inputs!$G$5:$G$110="moeda")+(Inputs!$G$5:$G$110="acoes"))*Inputs!$B$1+((Inputs!$G$5:$G$110&lt;&gt;"moeda")*(Inputs!$G$5:$G$110&lt;&gt;"acoes")))*INDEX(Inputs!$K$5:$AJ$110,0,MATCH(E$2,Inputs!$K$4:$AJ$4,0)))+SUMPRODUCT((Inputs!$C$5:$C$110=$B55)*Inputs!$D$5:$D$110*(((Inputs!$G$5:$G$110="moeda")+(Inputs!$G$5:$G$110="acoes"))*Inputs!$B$1+((Inputs!$G$5:$G$110&lt;&gt;"moeda")*(Inputs!$G$5:$G$110&lt;&gt;"acoes")))*INDEX(Inputs!$K$5:$AJ$110,0,MATCH(E$2,Inputs!$K$4:$AJ$4,0)))+SUMPRODUCT((Inputs!$E$5:$E$110=$B55)*Inputs!$F$5:$F$110*(((Inputs!$G$5:$G$110="moeda")+(Inputs!$G$5:$G$110="acoes"))*Inputs!$B$1+((Inputs!$G$5:$G$110&lt;&gt;"moeda")*(Inputs!$G$5:$G$110&lt;&gt;"acoes")))*INDEX(Inputs!$K$5:$AJ$110,0,MATCH(E$2,Inputs!$K$4:$AJ$4,0)))))</f>
        <v>2720</v>
      </c>
      <c r="F55" s="263">
        <f>IF(ISNA(MATCH(F$2,Inputs!$K$4:$AJ$4,0)),NA(),IF(SUMPRODUCT((Inputs!$A$5:$A$110=$B55)*ISNUMBER(INDEX(Inputs!$K$5:$AJ$110,0,MATCH(F$2,Inputs!$K$4:$AJ$4,0))))+SUMPRODUCT((Inputs!$C$5:$C$110=$B55)*ISNUMBER(INDEX(Inputs!$K$5:$AJ$110,0,MATCH(F$2,Inputs!$K$4:$AJ$4,0))))+SUMPRODUCT((Inputs!$E$5:$E$110=$B55)*ISNUMBER(INDEX(Inputs!$K$5:$AJ$110,0,MATCH(F$2,Inputs!$K$4:$AJ$4,0))))=0,NA(),SUMPRODUCT((Inputs!$A$5:$A$110=$B55)*Inputs!$B$5:$B$110*(((Inputs!$G$5:$G$110="moeda")+(Inputs!$G$5:$G$110="acoes"))*Inputs!$B$1+((Inputs!$G$5:$G$110&lt;&gt;"moeda")*(Inputs!$G$5:$G$110&lt;&gt;"acoes")))*INDEX(Inputs!$K$5:$AJ$110,0,MATCH(F$2,Inputs!$K$4:$AJ$4,0)))+SUMPRODUCT((Inputs!$C$5:$C$110=$B55)*Inputs!$D$5:$D$110*(((Inputs!$G$5:$G$110="moeda")+(Inputs!$G$5:$G$110="acoes"))*Inputs!$B$1+((Inputs!$G$5:$G$110&lt;&gt;"moeda")*(Inputs!$G$5:$G$110&lt;&gt;"acoes")))*INDEX(Inputs!$K$5:$AJ$110,0,MATCH(F$2,Inputs!$K$4:$AJ$4,0)))+SUMPRODUCT((Inputs!$E$5:$E$110=$B55)*Inputs!$F$5:$F$110*(((Inputs!$G$5:$G$110="moeda")+(Inputs!$G$5:$G$110="acoes"))*Inputs!$B$1+((Inputs!$G$5:$G$110&lt;&gt;"moeda")*(Inputs!$G$5:$G$110&lt;&gt;"acoes")))*INDEX(Inputs!$K$5:$AJ$110,0,MATCH(F$2,Inputs!$K$4:$AJ$4,0)))))</f>
        <v>3148</v>
      </c>
      <c r="G55" s="263">
        <f>IF(ISNA(MATCH(G$2,Inputs!$K$4:$AJ$4,0)),NA(),IF(SUMPRODUCT((Inputs!$A$5:$A$110=$B55)*ISNUMBER(INDEX(Inputs!$K$5:$AJ$110,0,MATCH(G$2,Inputs!$K$4:$AJ$4,0))))+SUMPRODUCT((Inputs!$C$5:$C$110=$B55)*ISNUMBER(INDEX(Inputs!$K$5:$AJ$110,0,MATCH(G$2,Inputs!$K$4:$AJ$4,0))))+SUMPRODUCT((Inputs!$E$5:$E$110=$B55)*ISNUMBER(INDEX(Inputs!$K$5:$AJ$110,0,MATCH(G$2,Inputs!$K$4:$AJ$4,0))))=0,NA(),SUMPRODUCT((Inputs!$A$5:$A$110=$B55)*Inputs!$B$5:$B$110*(((Inputs!$G$5:$G$110="moeda")+(Inputs!$G$5:$G$110="acoes"))*Inputs!$B$1+((Inputs!$G$5:$G$110&lt;&gt;"moeda")*(Inputs!$G$5:$G$110&lt;&gt;"acoes")))*INDEX(Inputs!$K$5:$AJ$110,0,MATCH(G$2,Inputs!$K$4:$AJ$4,0)))+SUMPRODUCT((Inputs!$C$5:$C$110=$B55)*Inputs!$D$5:$D$110*(((Inputs!$G$5:$G$110="moeda")+(Inputs!$G$5:$G$110="acoes"))*Inputs!$B$1+((Inputs!$G$5:$G$110&lt;&gt;"moeda")*(Inputs!$G$5:$G$110&lt;&gt;"acoes")))*INDEX(Inputs!$K$5:$AJ$110,0,MATCH(G$2,Inputs!$K$4:$AJ$4,0)))+SUMPRODUCT((Inputs!$E$5:$E$110=$B55)*Inputs!$F$5:$F$110*(((Inputs!$G$5:$G$110="moeda")+(Inputs!$G$5:$G$110="acoes"))*Inputs!$B$1+((Inputs!$G$5:$G$110&lt;&gt;"moeda")*(Inputs!$G$5:$G$110&lt;&gt;"acoes")))*INDEX(Inputs!$K$5:$AJ$110,0,MATCH(G$2,Inputs!$K$4:$AJ$4,0)))))</f>
        <v>3349</v>
      </c>
      <c r="H55" s="264">
        <f>SUM(D55:G55)</f>
        <v>11764</v>
      </c>
      <c r="I55" s="263">
        <f>IF(ISNA(MATCH(I$2,Inputs!$K$4:$AJ$4,0)),NA(),IF(SUMPRODUCT((Inputs!$A$5:$A$110=$B55)*ISNUMBER(INDEX(Inputs!$K$5:$AJ$110,0,MATCH(I$2,Inputs!$K$4:$AJ$4,0))))+SUMPRODUCT((Inputs!$C$5:$C$110=$B55)*ISNUMBER(INDEX(Inputs!$K$5:$AJ$110,0,MATCH(I$2,Inputs!$K$4:$AJ$4,0))))+SUMPRODUCT((Inputs!$E$5:$E$110=$B55)*ISNUMBER(INDEX(Inputs!$K$5:$AJ$110,0,MATCH(I$2,Inputs!$K$4:$AJ$4,0))))=0,NA(),SUMPRODUCT((Inputs!$A$5:$A$110=$B55)*Inputs!$B$5:$B$110*(((Inputs!$G$5:$G$110="moeda")+(Inputs!$G$5:$G$110="acoes"))*Inputs!$B$1+((Inputs!$G$5:$G$110&lt;&gt;"moeda")*(Inputs!$G$5:$G$110&lt;&gt;"acoes")))*INDEX(Inputs!$K$5:$AJ$110,0,MATCH(I$2,Inputs!$K$4:$AJ$4,0)))+SUMPRODUCT((Inputs!$C$5:$C$110=$B55)*Inputs!$D$5:$D$110*(((Inputs!$G$5:$G$110="moeda")+(Inputs!$G$5:$G$110="acoes"))*Inputs!$B$1+((Inputs!$G$5:$G$110&lt;&gt;"moeda")*(Inputs!$G$5:$G$110&lt;&gt;"acoes")))*INDEX(Inputs!$K$5:$AJ$110,0,MATCH(I$2,Inputs!$K$4:$AJ$4,0)))+SUMPRODUCT((Inputs!$E$5:$E$110=$B55)*Inputs!$F$5:$F$110*(((Inputs!$G$5:$G$110="moeda")+(Inputs!$G$5:$G$110="acoes"))*Inputs!$B$1+((Inputs!$G$5:$G$110&lt;&gt;"moeda")*(Inputs!$G$5:$G$110&lt;&gt;"acoes")))*INDEX(Inputs!$K$5:$AJ$110,0,MATCH(I$2,Inputs!$K$4:$AJ$4,0)))))</f>
        <v>3626</v>
      </c>
      <c r="J55" s="263">
        <f>IF(ISNA(MATCH(J$2,Inputs!$K$4:$AJ$4,0)),NA(),IF(SUMPRODUCT((Inputs!$A$5:$A$110=$B55)*ISNUMBER(INDEX(Inputs!$K$5:$AJ$110,0,MATCH(J$2,Inputs!$K$4:$AJ$4,0))))+SUMPRODUCT((Inputs!$C$5:$C$110=$B55)*ISNUMBER(INDEX(Inputs!$K$5:$AJ$110,0,MATCH(J$2,Inputs!$K$4:$AJ$4,0))))+SUMPRODUCT((Inputs!$E$5:$E$110=$B55)*ISNUMBER(INDEX(Inputs!$K$5:$AJ$110,0,MATCH(J$2,Inputs!$K$4:$AJ$4,0))))=0,NA(),SUMPRODUCT((Inputs!$A$5:$A$110=$B55)*Inputs!$B$5:$B$110*(((Inputs!$G$5:$G$110="moeda")+(Inputs!$G$5:$G$110="acoes"))*Inputs!$B$1+((Inputs!$G$5:$G$110&lt;&gt;"moeda")*(Inputs!$G$5:$G$110&lt;&gt;"acoes")))*INDEX(Inputs!$K$5:$AJ$110,0,MATCH(J$2,Inputs!$K$4:$AJ$4,0)))+SUMPRODUCT((Inputs!$C$5:$C$110=$B55)*Inputs!$D$5:$D$110*(((Inputs!$G$5:$G$110="moeda")+(Inputs!$G$5:$G$110="acoes"))*Inputs!$B$1+((Inputs!$G$5:$G$110&lt;&gt;"moeda")*(Inputs!$G$5:$G$110&lt;&gt;"acoes")))*INDEX(Inputs!$K$5:$AJ$110,0,MATCH(J$2,Inputs!$K$4:$AJ$4,0)))+SUMPRODUCT((Inputs!$E$5:$E$110=$B55)*Inputs!$F$5:$F$110*(((Inputs!$G$5:$G$110="moeda")+(Inputs!$G$5:$G$110="acoes"))*Inputs!$B$1+((Inputs!$G$5:$G$110&lt;&gt;"moeda")*(Inputs!$G$5:$G$110&lt;&gt;"acoes")))*INDEX(Inputs!$K$5:$AJ$110,0,MATCH(J$2,Inputs!$K$4:$AJ$4,0)))))</f>
        <v>3916</v>
      </c>
      <c r="K55" s="263">
        <f>IF(ISNA(MATCH(K$2,Inputs!$K$4:$AJ$4,0)),NA(),IF(SUMPRODUCT((Inputs!$A$5:$A$110=$B55)*ISNUMBER(INDEX(Inputs!$K$5:$AJ$110,0,MATCH(K$2,Inputs!$K$4:$AJ$4,0))))+SUMPRODUCT((Inputs!$C$5:$C$110=$B55)*ISNUMBER(INDEX(Inputs!$K$5:$AJ$110,0,MATCH(K$2,Inputs!$K$4:$AJ$4,0))))+SUMPRODUCT((Inputs!$E$5:$E$110=$B55)*ISNUMBER(INDEX(Inputs!$K$5:$AJ$110,0,MATCH(K$2,Inputs!$K$4:$AJ$4,0))))=0,NA(),SUMPRODUCT((Inputs!$A$5:$A$110=$B55)*Inputs!$B$5:$B$110*(((Inputs!$G$5:$G$110="moeda")+(Inputs!$G$5:$G$110="acoes"))*Inputs!$B$1+((Inputs!$G$5:$G$110&lt;&gt;"moeda")*(Inputs!$G$5:$G$110&lt;&gt;"acoes")))*INDEX(Inputs!$K$5:$AJ$110,0,MATCH(K$2,Inputs!$K$4:$AJ$4,0)))+SUMPRODUCT((Inputs!$C$5:$C$110=$B55)*Inputs!$D$5:$D$110*(((Inputs!$G$5:$G$110="moeda")+(Inputs!$G$5:$G$110="acoes"))*Inputs!$B$1+((Inputs!$G$5:$G$110&lt;&gt;"moeda")*(Inputs!$G$5:$G$110&lt;&gt;"acoes")))*INDEX(Inputs!$K$5:$AJ$110,0,MATCH(K$2,Inputs!$K$4:$AJ$4,0)))+SUMPRODUCT((Inputs!$E$5:$E$110=$B55)*Inputs!$F$5:$F$110*(((Inputs!$G$5:$G$110="moeda")+(Inputs!$G$5:$G$110="acoes"))*Inputs!$B$1+((Inputs!$G$5:$G$110&lt;&gt;"moeda")*(Inputs!$G$5:$G$110&lt;&gt;"acoes")))*INDEX(Inputs!$K$5:$AJ$110,0,MATCH(K$2,Inputs!$K$4:$AJ$4,0)))))</f>
        <v>4184</v>
      </c>
      <c r="L55" s="263">
        <f>IF(ISNA(MATCH(L$2,Inputs!$K$4:$AJ$4,0)),NA(),IF(SUMPRODUCT((Inputs!$A$5:$A$110=$B55)*ISNUMBER(INDEX(Inputs!$K$5:$AJ$110,0,MATCH(L$2,Inputs!$K$4:$AJ$4,0))))+SUMPRODUCT((Inputs!$C$5:$C$110=$B55)*ISNUMBER(INDEX(Inputs!$K$5:$AJ$110,0,MATCH(L$2,Inputs!$K$4:$AJ$4,0))))+SUMPRODUCT((Inputs!$E$5:$E$110=$B55)*ISNUMBER(INDEX(Inputs!$K$5:$AJ$110,0,MATCH(L$2,Inputs!$K$4:$AJ$4,0))))=0,NA(),SUMPRODUCT((Inputs!$A$5:$A$110=$B55)*Inputs!$B$5:$B$110*(((Inputs!$G$5:$G$110="moeda")+(Inputs!$G$5:$G$110="acoes"))*Inputs!$B$1+((Inputs!$G$5:$G$110&lt;&gt;"moeda")*(Inputs!$G$5:$G$110&lt;&gt;"acoes")))*INDEX(Inputs!$K$5:$AJ$110,0,MATCH(L$2,Inputs!$K$4:$AJ$4,0)))+SUMPRODUCT((Inputs!$C$5:$C$110=$B55)*Inputs!$D$5:$D$110*(((Inputs!$G$5:$G$110="moeda")+(Inputs!$G$5:$G$110="acoes"))*Inputs!$B$1+((Inputs!$G$5:$G$110&lt;&gt;"moeda")*(Inputs!$G$5:$G$110&lt;&gt;"acoes")))*INDEX(Inputs!$K$5:$AJ$110,0,MATCH(L$2,Inputs!$K$4:$AJ$4,0)))+SUMPRODUCT((Inputs!$E$5:$E$110=$B55)*Inputs!$F$5:$F$110*(((Inputs!$G$5:$G$110="moeda")+(Inputs!$G$5:$G$110="acoes"))*Inputs!$B$1+((Inputs!$G$5:$G$110&lt;&gt;"moeda")*(Inputs!$G$5:$G$110&lt;&gt;"acoes")))*INDEX(Inputs!$K$5:$AJ$110,0,MATCH(L$2,Inputs!$K$4:$AJ$4,0)))))</f>
        <v>4123</v>
      </c>
      <c r="M55" s="264">
        <f>SUM(I55:L55)</f>
        <v>15849</v>
      </c>
      <c r="N55" s="263">
        <f>IF(ISNA(MATCH(N$2,Inputs!$K$4:$AJ$4,0)),NA(),IF(SUMPRODUCT((Inputs!$A$5:$A$110=$B55)*ISNUMBER(INDEX(Inputs!$K$5:$AJ$110,0,MATCH(N$2,Inputs!$K$4:$AJ$4,0))))+SUMPRODUCT((Inputs!$C$5:$C$110=$B55)*ISNUMBER(INDEX(Inputs!$K$5:$AJ$110,0,MATCH(N$2,Inputs!$K$4:$AJ$4,0))))+SUMPRODUCT((Inputs!$E$5:$E$110=$B55)*ISNUMBER(INDEX(Inputs!$K$5:$AJ$110,0,MATCH(N$2,Inputs!$K$4:$AJ$4,0))))=0,NA(),SUMPRODUCT((Inputs!$A$5:$A$110=$B55)*Inputs!$B$5:$B$110*(((Inputs!$G$5:$G$110="moeda")+(Inputs!$G$5:$G$110="acoes"))*Inputs!$B$1+((Inputs!$G$5:$G$110&lt;&gt;"moeda")*(Inputs!$G$5:$G$110&lt;&gt;"acoes")))*INDEX(Inputs!$K$5:$AJ$110,0,MATCH(N$2,Inputs!$K$4:$AJ$4,0)))+SUMPRODUCT((Inputs!$C$5:$C$110=$B55)*Inputs!$D$5:$D$110*(((Inputs!$G$5:$G$110="moeda")+(Inputs!$G$5:$G$110="acoes"))*Inputs!$B$1+((Inputs!$G$5:$G$110&lt;&gt;"moeda")*(Inputs!$G$5:$G$110&lt;&gt;"acoes")))*INDEX(Inputs!$K$5:$AJ$110,0,MATCH(N$2,Inputs!$K$4:$AJ$4,0)))+SUMPRODUCT((Inputs!$E$5:$E$110=$B55)*Inputs!$F$5:$F$110*(((Inputs!$G$5:$G$110="moeda")+(Inputs!$G$5:$G$110="acoes"))*Inputs!$B$1+((Inputs!$G$5:$G$110&lt;&gt;"moeda")*(Inputs!$G$5:$G$110&lt;&gt;"acoes")))*INDEX(Inputs!$K$5:$AJ$110,0,MATCH(N$2,Inputs!$K$4:$AJ$4,0)))))</f>
        <v>4000</v>
      </c>
      <c r="O55" s="263">
        <f>IF(ISNA(MATCH(O$2,Inputs!$K$4:$AJ$4,0)),NA(),IF(SUMPRODUCT((Inputs!$A$5:$A$110=$B55)*ISNUMBER(INDEX(Inputs!$K$5:$AJ$110,0,MATCH(O$2,Inputs!$K$4:$AJ$4,0))))+SUMPRODUCT((Inputs!$C$5:$C$110=$B55)*ISNUMBER(INDEX(Inputs!$K$5:$AJ$110,0,MATCH(O$2,Inputs!$K$4:$AJ$4,0))))+SUMPRODUCT((Inputs!$E$5:$E$110=$B55)*ISNUMBER(INDEX(Inputs!$K$5:$AJ$110,0,MATCH(O$2,Inputs!$K$4:$AJ$4,0))))=0,NA(),SUMPRODUCT((Inputs!$A$5:$A$110=$B55)*Inputs!$B$5:$B$110*(((Inputs!$G$5:$G$110="moeda")+(Inputs!$G$5:$G$110="acoes"))*Inputs!$B$1+((Inputs!$G$5:$G$110&lt;&gt;"moeda")*(Inputs!$G$5:$G$110&lt;&gt;"acoes")))*INDEX(Inputs!$K$5:$AJ$110,0,MATCH(O$2,Inputs!$K$4:$AJ$4,0)))+SUMPRODUCT((Inputs!$C$5:$C$110=$B55)*Inputs!$D$5:$D$110*(((Inputs!$G$5:$G$110="moeda")+(Inputs!$G$5:$G$110="acoes"))*Inputs!$B$1+((Inputs!$G$5:$G$110&lt;&gt;"moeda")*(Inputs!$G$5:$G$110&lt;&gt;"acoes")))*INDEX(Inputs!$K$5:$AJ$110,0,MATCH(O$2,Inputs!$K$4:$AJ$4,0)))+SUMPRODUCT((Inputs!$E$5:$E$110=$B55)*Inputs!$F$5:$F$110*(((Inputs!$G$5:$G$110="moeda")+(Inputs!$G$5:$G$110="acoes"))*Inputs!$B$1+((Inputs!$G$5:$G$110&lt;&gt;"moeda")*(Inputs!$G$5:$G$110&lt;&gt;"acoes")))*INDEX(Inputs!$K$5:$AJ$110,0,MATCH(O$2,Inputs!$K$4:$AJ$4,0)))))</f>
        <v>4092</v>
      </c>
      <c r="P55" s="263">
        <f>IF(ISNA(MATCH(P$2,Inputs!$K$4:$AJ$4,0)),NA(),IF(SUMPRODUCT((Inputs!$A$5:$A$110=$B55)*ISNUMBER(INDEX(Inputs!$K$5:$AJ$110,0,MATCH(P$2,Inputs!$K$4:$AJ$4,0))))+SUMPRODUCT((Inputs!$C$5:$C$110=$B55)*ISNUMBER(INDEX(Inputs!$K$5:$AJ$110,0,MATCH(P$2,Inputs!$K$4:$AJ$4,0))))+SUMPRODUCT((Inputs!$E$5:$E$110=$B55)*ISNUMBER(INDEX(Inputs!$K$5:$AJ$110,0,MATCH(P$2,Inputs!$K$4:$AJ$4,0))))=0,NA(),SUMPRODUCT((Inputs!$A$5:$A$110=$B55)*Inputs!$B$5:$B$110*(((Inputs!$G$5:$G$110="moeda")+(Inputs!$G$5:$G$110="acoes"))*Inputs!$B$1+((Inputs!$G$5:$G$110&lt;&gt;"moeda")*(Inputs!$G$5:$G$110&lt;&gt;"acoes")))*INDEX(Inputs!$K$5:$AJ$110,0,MATCH(P$2,Inputs!$K$4:$AJ$4,0)))+SUMPRODUCT((Inputs!$C$5:$C$110=$B55)*Inputs!$D$5:$D$110*(((Inputs!$G$5:$G$110="moeda")+(Inputs!$G$5:$G$110="acoes"))*Inputs!$B$1+((Inputs!$G$5:$G$110&lt;&gt;"moeda")*(Inputs!$G$5:$G$110&lt;&gt;"acoes")))*INDEX(Inputs!$K$5:$AJ$110,0,MATCH(P$2,Inputs!$K$4:$AJ$4,0)))+SUMPRODUCT((Inputs!$E$5:$E$110=$B55)*Inputs!$F$5:$F$110*(((Inputs!$G$5:$G$110="moeda")+(Inputs!$G$5:$G$110="acoes"))*Inputs!$B$1+((Inputs!$G$5:$G$110&lt;&gt;"moeda")*(Inputs!$G$5:$G$110&lt;&gt;"acoes")))*INDEX(Inputs!$K$5:$AJ$110,0,MATCH(P$2,Inputs!$K$4:$AJ$4,0)))))</f>
        <v>4271</v>
      </c>
      <c r="Q55" s="263">
        <f>IF(ISNA(MATCH(Q$2,Inputs!$K$4:$AJ$4,0)),NA(),IF(SUMPRODUCT((Inputs!$A$5:$A$110=$B55)*ISNUMBER(INDEX(Inputs!$K$5:$AJ$110,0,MATCH(Q$2,Inputs!$K$4:$AJ$4,0))))+SUMPRODUCT((Inputs!$C$5:$C$110=$B55)*ISNUMBER(INDEX(Inputs!$K$5:$AJ$110,0,MATCH(Q$2,Inputs!$K$4:$AJ$4,0))))+SUMPRODUCT((Inputs!$E$5:$E$110=$B55)*ISNUMBER(INDEX(Inputs!$K$5:$AJ$110,0,MATCH(Q$2,Inputs!$K$4:$AJ$4,0))))=0,NA(),SUMPRODUCT((Inputs!$A$5:$A$110=$B55)*Inputs!$B$5:$B$110*(((Inputs!$G$5:$G$110="moeda")+(Inputs!$G$5:$G$110="acoes"))*Inputs!$B$1+((Inputs!$G$5:$G$110&lt;&gt;"moeda")*(Inputs!$G$5:$G$110&lt;&gt;"acoes")))*INDEX(Inputs!$K$5:$AJ$110,0,MATCH(Q$2,Inputs!$K$4:$AJ$4,0)))+SUMPRODUCT((Inputs!$C$5:$C$110=$B55)*Inputs!$D$5:$D$110*(((Inputs!$G$5:$G$110="moeda")+(Inputs!$G$5:$G$110="acoes"))*Inputs!$B$1+((Inputs!$G$5:$G$110&lt;&gt;"moeda")*(Inputs!$G$5:$G$110&lt;&gt;"acoes")))*INDEX(Inputs!$K$5:$AJ$110,0,MATCH(Q$2,Inputs!$K$4:$AJ$4,0)))+SUMPRODUCT((Inputs!$E$5:$E$110=$B55)*Inputs!$F$5:$F$110*(((Inputs!$G$5:$G$110="moeda")+(Inputs!$G$5:$G$110="acoes"))*Inputs!$B$1+((Inputs!$G$5:$G$110&lt;&gt;"moeda")*(Inputs!$G$5:$G$110&lt;&gt;"acoes")))*INDEX(Inputs!$K$5:$AJ$110,0,MATCH(Q$2,Inputs!$K$4:$AJ$4,0)))))</f>
        <v>4116</v>
      </c>
      <c r="R55" s="264">
        <f>SUM(N55:Q55)</f>
        <v>16479</v>
      </c>
      <c r="S55" s="263">
        <f>IF(ISNA(MATCH(S$2,Inputs!$K$4:$AJ$4,0)),NA(),IF(SUMPRODUCT((Inputs!$A$5:$A$110=$B55)*ISNUMBER(INDEX(Inputs!$K$5:$AJ$110,0,MATCH(S$2,Inputs!$K$4:$AJ$4,0))))+SUMPRODUCT((Inputs!$C$5:$C$110=$B55)*ISNUMBER(INDEX(Inputs!$K$5:$AJ$110,0,MATCH(S$2,Inputs!$K$4:$AJ$4,0))))+SUMPRODUCT((Inputs!$E$5:$E$110=$B55)*ISNUMBER(INDEX(Inputs!$K$5:$AJ$110,0,MATCH(S$2,Inputs!$K$4:$AJ$4,0))))=0,NA(),SUMPRODUCT((Inputs!$A$5:$A$110=$B55)*Inputs!$B$5:$B$110*(((Inputs!$G$5:$G$110="moeda")+(Inputs!$G$5:$G$110="acoes"))*Inputs!$B$1+((Inputs!$G$5:$G$110&lt;&gt;"moeda")*(Inputs!$G$5:$G$110&lt;&gt;"acoes")))*INDEX(Inputs!$K$5:$AJ$110,0,MATCH(S$2,Inputs!$K$4:$AJ$4,0)))+SUMPRODUCT((Inputs!$C$5:$C$110=$B55)*Inputs!$D$5:$D$110*(((Inputs!$G$5:$G$110="moeda")+(Inputs!$G$5:$G$110="acoes"))*Inputs!$B$1+((Inputs!$G$5:$G$110&lt;&gt;"moeda")*(Inputs!$G$5:$G$110&lt;&gt;"acoes")))*INDEX(Inputs!$K$5:$AJ$110,0,MATCH(S$2,Inputs!$K$4:$AJ$4,0)))+SUMPRODUCT((Inputs!$E$5:$E$110=$B55)*Inputs!$F$5:$F$110*(((Inputs!$G$5:$G$110="moeda")+(Inputs!$G$5:$G$110="acoes"))*Inputs!$B$1+((Inputs!$G$5:$G$110&lt;&gt;"moeda")*(Inputs!$G$5:$G$110&lt;&gt;"acoes")))*INDEX(Inputs!$K$5:$AJ$110,0,MATCH(S$2,Inputs!$K$4:$AJ$4,0)))))</f>
        <v>3978</v>
      </c>
      <c r="T55" s="263">
        <f>IF(ISNA(MATCH(T$2,Inputs!$K$4:$AJ$4,0)),NA(),IF(SUMPRODUCT((Inputs!$A$5:$A$110=$B55)*ISNUMBER(INDEX(Inputs!$K$5:$AJ$110,0,MATCH(T$2,Inputs!$K$4:$AJ$4,0))))+SUMPRODUCT((Inputs!$C$5:$C$110=$B55)*ISNUMBER(INDEX(Inputs!$K$5:$AJ$110,0,MATCH(T$2,Inputs!$K$4:$AJ$4,0))))+SUMPRODUCT((Inputs!$E$5:$E$110=$B55)*ISNUMBER(INDEX(Inputs!$K$5:$AJ$110,0,MATCH(T$2,Inputs!$K$4:$AJ$4,0))))=0,NA(),SUMPRODUCT((Inputs!$A$5:$A$110=$B55)*Inputs!$B$5:$B$110*(((Inputs!$G$5:$G$110="moeda")+(Inputs!$G$5:$G$110="acoes"))*Inputs!$B$1+((Inputs!$G$5:$G$110&lt;&gt;"moeda")*(Inputs!$G$5:$G$110&lt;&gt;"acoes")))*INDEX(Inputs!$K$5:$AJ$110,0,MATCH(T$2,Inputs!$K$4:$AJ$4,0)))+SUMPRODUCT((Inputs!$C$5:$C$110=$B55)*Inputs!$D$5:$D$110*(((Inputs!$G$5:$G$110="moeda")+(Inputs!$G$5:$G$110="acoes"))*Inputs!$B$1+((Inputs!$G$5:$G$110&lt;&gt;"moeda")*(Inputs!$G$5:$G$110&lt;&gt;"acoes")))*INDEX(Inputs!$K$5:$AJ$110,0,MATCH(T$2,Inputs!$K$4:$AJ$4,0)))+SUMPRODUCT((Inputs!$E$5:$E$110=$B55)*Inputs!$F$5:$F$110*(((Inputs!$G$5:$G$110="moeda")+(Inputs!$G$5:$G$110="acoes"))*Inputs!$B$1+((Inputs!$G$5:$G$110&lt;&gt;"moeda")*(Inputs!$G$5:$G$110&lt;&gt;"acoes")))*INDEX(Inputs!$K$5:$AJ$110,0,MATCH(T$2,Inputs!$K$4:$AJ$4,0)))))</f>
        <v>4042</v>
      </c>
      <c r="U55" s="263">
        <f>IF(ISNA(MATCH(U$2,Inputs!$K$4:$AJ$4,0)),NA(),IF(SUMPRODUCT((Inputs!$A$5:$A$110=$B55)*ISNUMBER(INDEX(Inputs!$K$5:$AJ$110,0,MATCH(U$2,Inputs!$K$4:$AJ$4,0))))+SUMPRODUCT((Inputs!$C$5:$C$110=$B55)*ISNUMBER(INDEX(Inputs!$K$5:$AJ$110,0,MATCH(U$2,Inputs!$K$4:$AJ$4,0))))+SUMPRODUCT((Inputs!$E$5:$E$110=$B55)*ISNUMBER(INDEX(Inputs!$K$5:$AJ$110,0,MATCH(U$2,Inputs!$K$4:$AJ$4,0))))=0,NA(),SUMPRODUCT((Inputs!$A$5:$A$110=$B55)*Inputs!$B$5:$B$110*(((Inputs!$G$5:$G$110="moeda")+(Inputs!$G$5:$G$110="acoes"))*Inputs!$B$1+((Inputs!$G$5:$G$110&lt;&gt;"moeda")*(Inputs!$G$5:$G$110&lt;&gt;"acoes")))*INDEX(Inputs!$K$5:$AJ$110,0,MATCH(U$2,Inputs!$K$4:$AJ$4,0)))+SUMPRODUCT((Inputs!$C$5:$C$110=$B55)*Inputs!$D$5:$D$110*(((Inputs!$G$5:$G$110="moeda")+(Inputs!$G$5:$G$110="acoes"))*Inputs!$B$1+((Inputs!$G$5:$G$110&lt;&gt;"moeda")*(Inputs!$G$5:$G$110&lt;&gt;"acoes")))*INDEX(Inputs!$K$5:$AJ$110,0,MATCH(U$2,Inputs!$K$4:$AJ$4,0)))+SUMPRODUCT((Inputs!$E$5:$E$110=$B55)*Inputs!$F$5:$F$110*(((Inputs!$G$5:$G$110="moeda")+(Inputs!$G$5:$G$110="acoes"))*Inputs!$B$1+((Inputs!$G$5:$G$110&lt;&gt;"moeda")*(Inputs!$G$5:$G$110&lt;&gt;"acoes")))*INDEX(Inputs!$K$5:$AJ$110,0,MATCH(U$2,Inputs!$K$4:$AJ$4,0)))))</f>
        <v>4623</v>
      </c>
      <c r="V55" s="263">
        <f>IF(ISNA(MATCH(V$2,Inputs!$K$4:$AJ$4,0)),NA(),IF(SUMPRODUCT((Inputs!$A$5:$A$110=$B55)*ISNUMBER(INDEX(Inputs!$K$5:$AJ$110,0,MATCH(V$2,Inputs!$K$4:$AJ$4,0))))+SUMPRODUCT((Inputs!$C$5:$C$110=$B55)*ISNUMBER(INDEX(Inputs!$K$5:$AJ$110,0,MATCH(V$2,Inputs!$K$4:$AJ$4,0))))+SUMPRODUCT((Inputs!$E$5:$E$110=$B55)*ISNUMBER(INDEX(Inputs!$K$5:$AJ$110,0,MATCH(V$2,Inputs!$K$4:$AJ$4,0))))=0,NA(),SUMPRODUCT((Inputs!$A$5:$A$110=$B55)*Inputs!$B$5:$B$110*(((Inputs!$G$5:$G$110="moeda")+(Inputs!$G$5:$G$110="acoes"))*Inputs!$B$1+((Inputs!$G$5:$G$110&lt;&gt;"moeda")*(Inputs!$G$5:$G$110&lt;&gt;"acoes")))*INDEX(Inputs!$K$5:$AJ$110,0,MATCH(V$2,Inputs!$K$4:$AJ$4,0)))+SUMPRODUCT((Inputs!$C$5:$C$110=$B55)*Inputs!$D$5:$D$110*(((Inputs!$G$5:$G$110="moeda")+(Inputs!$G$5:$G$110="acoes"))*Inputs!$B$1+((Inputs!$G$5:$G$110&lt;&gt;"moeda")*(Inputs!$G$5:$G$110&lt;&gt;"acoes")))*INDEX(Inputs!$K$5:$AJ$110,0,MATCH(V$2,Inputs!$K$4:$AJ$4,0)))+SUMPRODUCT((Inputs!$E$5:$E$110=$B55)*Inputs!$F$5:$F$110*(((Inputs!$G$5:$G$110="moeda")+(Inputs!$G$5:$G$110="acoes"))*Inputs!$B$1+((Inputs!$G$5:$G$110&lt;&gt;"moeda")*(Inputs!$G$5:$G$110&lt;&gt;"acoes")))*INDEX(Inputs!$K$5:$AJ$110,0,MATCH(V$2,Inputs!$K$4:$AJ$4,0)))))</f>
        <v>4706</v>
      </c>
      <c r="W55" s="264">
        <f>SUM(S55:V55)</f>
        <v>17349</v>
      </c>
      <c r="X55" s="263">
        <f>IF(ISNA(MATCH(X$2,Inputs!$K$4:$AJ$4,0)),NA(),IF(SUMPRODUCT((Inputs!$A$5:$A$110=$B55)*ISNUMBER(INDEX(Inputs!$K$5:$AJ$110,0,MATCH(X$2,Inputs!$K$4:$AJ$4,0))))+SUMPRODUCT((Inputs!$C$5:$C$110=$B55)*ISNUMBER(INDEX(Inputs!$K$5:$AJ$110,0,MATCH(X$2,Inputs!$K$4:$AJ$4,0))))+SUMPRODUCT((Inputs!$E$5:$E$110=$B55)*ISNUMBER(INDEX(Inputs!$K$5:$AJ$110,0,MATCH(X$2,Inputs!$K$4:$AJ$4,0))))=0,NA(),SUMPRODUCT((Inputs!$A$5:$A$110=$B55)*Inputs!$B$5:$B$110*(((Inputs!$G$5:$G$110="moeda")+(Inputs!$G$5:$G$110="acoes"))*Inputs!$B$1+((Inputs!$G$5:$G$110&lt;&gt;"moeda")*(Inputs!$G$5:$G$110&lt;&gt;"acoes")))*INDEX(Inputs!$K$5:$AJ$110,0,MATCH(X$2,Inputs!$K$4:$AJ$4,0)))+SUMPRODUCT((Inputs!$C$5:$C$110=$B55)*Inputs!$D$5:$D$110*(((Inputs!$G$5:$G$110="moeda")+(Inputs!$G$5:$G$110="acoes"))*Inputs!$B$1+((Inputs!$G$5:$G$110&lt;&gt;"moeda")*(Inputs!$G$5:$G$110&lt;&gt;"acoes")))*INDEX(Inputs!$K$5:$AJ$110,0,MATCH(X$2,Inputs!$K$4:$AJ$4,0)))+SUMPRODUCT((Inputs!$E$5:$E$110=$B55)*Inputs!$F$5:$F$110*(((Inputs!$G$5:$G$110="moeda")+(Inputs!$G$5:$G$110="acoes"))*Inputs!$B$1+((Inputs!$G$5:$G$110&lt;&gt;"moeda")*(Inputs!$G$5:$G$110&lt;&gt;"acoes")))*INDEX(Inputs!$K$5:$AJ$110,0,MATCH(X$2,Inputs!$K$4:$AJ$4,0)))))</f>
        <v>4806</v>
      </c>
      <c r="Y55" s="263">
        <f>IF(ISNA(MATCH(Y$2,Inputs!$K$4:$AJ$4,0)),NA(),IF(SUMPRODUCT((Inputs!$A$5:$A$110=$B55)*ISNUMBER(INDEX(Inputs!$K$5:$AJ$110,0,MATCH(Y$2,Inputs!$K$4:$AJ$4,0))))+SUMPRODUCT((Inputs!$C$5:$C$110=$B55)*ISNUMBER(INDEX(Inputs!$K$5:$AJ$110,0,MATCH(Y$2,Inputs!$K$4:$AJ$4,0))))+SUMPRODUCT((Inputs!$E$5:$E$110=$B55)*ISNUMBER(INDEX(Inputs!$K$5:$AJ$110,0,MATCH(Y$2,Inputs!$K$4:$AJ$4,0))))=0,NA(),SUMPRODUCT((Inputs!$A$5:$A$110=$B55)*Inputs!$B$5:$B$110*(((Inputs!$G$5:$G$110="moeda")+(Inputs!$G$5:$G$110="acoes"))*Inputs!$B$1+((Inputs!$G$5:$G$110&lt;&gt;"moeda")*(Inputs!$G$5:$G$110&lt;&gt;"acoes")))*INDEX(Inputs!$K$5:$AJ$110,0,MATCH(Y$2,Inputs!$K$4:$AJ$4,0)))+SUMPRODUCT((Inputs!$C$5:$C$110=$B55)*Inputs!$D$5:$D$110*(((Inputs!$G$5:$G$110="moeda")+(Inputs!$G$5:$G$110="acoes"))*Inputs!$B$1+((Inputs!$G$5:$G$110&lt;&gt;"moeda")*(Inputs!$G$5:$G$110&lt;&gt;"acoes")))*INDEX(Inputs!$K$5:$AJ$110,0,MATCH(Y$2,Inputs!$K$4:$AJ$4,0)))+SUMPRODUCT((Inputs!$E$5:$E$110=$B55)*Inputs!$F$5:$F$110*(((Inputs!$G$5:$G$110="moeda")+(Inputs!$G$5:$G$110="acoes"))*Inputs!$B$1+((Inputs!$G$5:$G$110&lt;&gt;"moeda")*(Inputs!$G$5:$G$110&lt;&gt;"acoes")))*INDEX(Inputs!$K$5:$AJ$110,0,MATCH(Y$2,Inputs!$K$4:$AJ$4,0)))))</f>
        <v>5217</v>
      </c>
      <c r="Z55" s="263">
        <f>IF(ISNA(MATCH(Z$2,Inputs!$K$4:$AJ$4,0)),NA(),IF(SUMPRODUCT((Inputs!$A$5:$A$110=$B55)*ISNUMBER(INDEX(Inputs!$K$5:$AJ$110,0,MATCH(Z$2,Inputs!$K$4:$AJ$4,0))))+SUMPRODUCT((Inputs!$C$5:$C$110=$B55)*ISNUMBER(INDEX(Inputs!$K$5:$AJ$110,0,MATCH(Z$2,Inputs!$K$4:$AJ$4,0))))+SUMPRODUCT((Inputs!$E$5:$E$110=$B55)*ISNUMBER(INDEX(Inputs!$K$5:$AJ$110,0,MATCH(Z$2,Inputs!$K$4:$AJ$4,0))))=0,NA(),SUMPRODUCT((Inputs!$A$5:$A$110=$B55)*Inputs!$B$5:$B$110*(((Inputs!$G$5:$G$110="moeda")+(Inputs!$G$5:$G$110="acoes"))*Inputs!$B$1+((Inputs!$G$5:$G$110&lt;&gt;"moeda")*(Inputs!$G$5:$G$110&lt;&gt;"acoes")))*INDEX(Inputs!$K$5:$AJ$110,0,MATCH(Z$2,Inputs!$K$4:$AJ$4,0)))+SUMPRODUCT((Inputs!$C$5:$C$110=$B55)*Inputs!$D$5:$D$110*(((Inputs!$G$5:$G$110="moeda")+(Inputs!$G$5:$G$110="acoes"))*Inputs!$B$1+((Inputs!$G$5:$G$110&lt;&gt;"moeda")*(Inputs!$G$5:$G$110&lt;&gt;"acoes")))*INDEX(Inputs!$K$5:$AJ$110,0,MATCH(Z$2,Inputs!$K$4:$AJ$4,0)))+SUMPRODUCT((Inputs!$E$5:$E$110=$B55)*Inputs!$F$5:$F$110*(((Inputs!$G$5:$G$110="moeda")+(Inputs!$G$5:$G$110="acoes"))*Inputs!$B$1+((Inputs!$G$5:$G$110&lt;&gt;"moeda")*(Inputs!$G$5:$G$110&lt;&gt;"acoes")))*INDEX(Inputs!$K$5:$AJ$110,0,MATCH(Z$2,Inputs!$K$4:$AJ$4,0)))))</f>
        <v>6503</v>
      </c>
      <c r="AA55" s="263">
        <f>IF(ISNA(MATCH(AA$2,Inputs!$K$4:$AJ$4,0)),NA(),IF(SUMPRODUCT((Inputs!$A$5:$A$110=$B55)*ISNUMBER(INDEX(Inputs!$K$5:$AJ$110,0,MATCH(AA$2,Inputs!$K$4:$AJ$4,0))))+SUMPRODUCT((Inputs!$C$5:$C$110=$B55)*ISNUMBER(INDEX(Inputs!$K$5:$AJ$110,0,MATCH(AA$2,Inputs!$K$4:$AJ$4,0))))+SUMPRODUCT((Inputs!$E$5:$E$110=$B55)*ISNUMBER(INDEX(Inputs!$K$5:$AJ$110,0,MATCH(AA$2,Inputs!$K$4:$AJ$4,0))))=0,NA(),SUMPRODUCT((Inputs!$A$5:$A$110=$B55)*Inputs!$B$5:$B$110*(((Inputs!$G$5:$G$110="moeda")+(Inputs!$G$5:$G$110="acoes"))*Inputs!$B$1+((Inputs!$G$5:$G$110&lt;&gt;"moeda")*(Inputs!$G$5:$G$110&lt;&gt;"acoes")))*INDEX(Inputs!$K$5:$AJ$110,0,MATCH(AA$2,Inputs!$K$4:$AJ$4,0)))+SUMPRODUCT((Inputs!$C$5:$C$110=$B55)*Inputs!$D$5:$D$110*(((Inputs!$G$5:$G$110="moeda")+(Inputs!$G$5:$G$110="acoes"))*Inputs!$B$1+((Inputs!$G$5:$G$110&lt;&gt;"moeda")*(Inputs!$G$5:$G$110&lt;&gt;"acoes")))*INDEX(Inputs!$K$5:$AJ$110,0,MATCH(AA$2,Inputs!$K$4:$AJ$4,0)))+SUMPRODUCT((Inputs!$E$5:$E$110=$B55)*Inputs!$F$5:$F$110*(((Inputs!$G$5:$G$110="moeda")+(Inputs!$G$5:$G$110="acoes"))*Inputs!$B$1+((Inputs!$G$5:$G$110&lt;&gt;"moeda")*(Inputs!$G$5:$G$110&lt;&gt;"acoes")))*INDEX(Inputs!$K$5:$AJ$110,0,MATCH(AA$2,Inputs!$K$4:$AJ$4,0)))))</f>
        <v>7503</v>
      </c>
      <c r="AB55" s="264">
        <f>SUM(X55:AA55)</f>
        <v>24029</v>
      </c>
      <c r="AC55" s="263">
        <f>IF(ISNA(MATCH(AC$2,Inputs!$K$4:$AJ$4,0)),NA(),IF(SUMPRODUCT((Inputs!$A$5:$A$110=$B55)*ISNUMBER(INDEX(Inputs!$K$5:$AJ$110,0,MATCH(AC$2,Inputs!$K$4:$AJ$4,0))))+SUMPRODUCT((Inputs!$C$5:$C$110=$B55)*ISNUMBER(INDEX(Inputs!$K$5:$AJ$110,0,MATCH(AC$2,Inputs!$K$4:$AJ$4,0))))+SUMPRODUCT((Inputs!$E$5:$E$110=$B55)*ISNUMBER(INDEX(Inputs!$K$5:$AJ$110,0,MATCH(AC$2,Inputs!$K$4:$AJ$4,0))))=0,NA(),SUMPRODUCT((Inputs!$A$5:$A$110=$B55)*Inputs!$B$5:$B$110*(((Inputs!$G$5:$G$110="moeda")+(Inputs!$G$5:$G$110="acoes"))*Inputs!$B$1+((Inputs!$G$5:$G$110&lt;&gt;"moeda")*(Inputs!$G$5:$G$110&lt;&gt;"acoes")))*INDEX(Inputs!$K$5:$AJ$110,0,MATCH(AC$2,Inputs!$K$4:$AJ$4,0)))+SUMPRODUCT((Inputs!$C$5:$C$110=$B55)*Inputs!$D$5:$D$110*(((Inputs!$G$5:$G$110="moeda")+(Inputs!$G$5:$G$110="acoes"))*Inputs!$B$1+((Inputs!$G$5:$G$110&lt;&gt;"moeda")*(Inputs!$G$5:$G$110&lt;&gt;"acoes")))*INDEX(Inputs!$K$5:$AJ$110,0,MATCH(AC$2,Inputs!$K$4:$AJ$4,0)))+SUMPRODUCT((Inputs!$E$5:$E$110=$B55)*Inputs!$F$5:$F$110*(((Inputs!$G$5:$G$110="moeda")+(Inputs!$G$5:$G$110="acoes"))*Inputs!$B$1+((Inputs!$G$5:$G$110&lt;&gt;"moeda")*(Inputs!$G$5:$G$110&lt;&gt;"acoes")))*INDEX(Inputs!$K$5:$AJ$110,0,MATCH(AC$2,Inputs!$K$4:$AJ$4,0)))))</f>
        <v>9281</v>
      </c>
      <c r="AD55" s="263">
        <f>IF(ISNA(MATCH(AD$2,Inputs!$K$4:$AJ$4,0)),NA(),IF(SUMPRODUCT((Inputs!$A$5:$A$110=$B55)*ISNUMBER(INDEX(Inputs!$K$5:$AJ$110,0,MATCH(AD$2,Inputs!$K$4:$AJ$4,0))))+SUMPRODUCT((Inputs!$C$5:$C$110=$B55)*ISNUMBER(INDEX(Inputs!$K$5:$AJ$110,0,MATCH(AD$2,Inputs!$K$4:$AJ$4,0))))+SUMPRODUCT((Inputs!$E$5:$E$110=$B55)*ISNUMBER(INDEX(Inputs!$K$5:$AJ$110,0,MATCH(AD$2,Inputs!$K$4:$AJ$4,0))))=0,NA(),SUMPRODUCT((Inputs!$A$5:$A$110=$B55)*Inputs!$B$5:$B$110*(((Inputs!$G$5:$G$110="moeda")+(Inputs!$G$5:$G$110="acoes"))*Inputs!$B$1+((Inputs!$G$5:$G$110&lt;&gt;"moeda")*(Inputs!$G$5:$G$110&lt;&gt;"acoes")))*INDEX(Inputs!$K$5:$AJ$110,0,MATCH(AD$2,Inputs!$K$4:$AJ$4,0)))+SUMPRODUCT((Inputs!$C$5:$C$110=$B55)*Inputs!$D$5:$D$110*(((Inputs!$G$5:$G$110="moeda")+(Inputs!$G$5:$G$110="acoes"))*Inputs!$B$1+((Inputs!$G$5:$G$110&lt;&gt;"moeda")*(Inputs!$G$5:$G$110&lt;&gt;"acoes")))*INDEX(Inputs!$K$5:$AJ$110,0,MATCH(AD$2,Inputs!$K$4:$AJ$4,0)))+SUMPRODUCT((Inputs!$E$5:$E$110=$B55)*Inputs!$F$5:$F$110*(((Inputs!$G$5:$G$110="moeda")+(Inputs!$G$5:$G$110="acoes"))*Inputs!$B$1+((Inputs!$G$5:$G$110&lt;&gt;"moeda")*(Inputs!$G$5:$G$110&lt;&gt;"acoes")))*INDEX(Inputs!$K$5:$AJ$110,0,MATCH(AD$2,Inputs!$K$4:$AJ$4,0)))))</f>
        <v>12770</v>
      </c>
      <c r="AE55" s="263" t="e">
        <f>IF(ISNA(MATCH(AE$2,Inputs!$K$4:$AJ$4,0)),NA(),IF(SUMPRODUCT((Inputs!$A$5:$A$110=$B55)*ISNUMBER(INDEX(Inputs!$K$5:$AJ$110,0,MATCH(AE$2,Inputs!$K$4:$AJ$4,0))))+SUMPRODUCT((Inputs!$C$5:$C$110=$B55)*ISNUMBER(INDEX(Inputs!$K$5:$AJ$110,0,MATCH(AE$2,Inputs!$K$4:$AJ$4,0))))+SUMPRODUCT((Inputs!$E$5:$E$110=$B55)*ISNUMBER(INDEX(Inputs!$K$5:$AJ$110,0,MATCH(AE$2,Inputs!$K$4:$AJ$4,0))))=0,NA(),SUMPRODUCT((Inputs!$A$5:$A$110=$B55)*Inputs!$B$5:$B$110*(((Inputs!$G$5:$G$110="moeda")+(Inputs!$G$5:$G$110="acoes"))*Inputs!$B$1+((Inputs!$G$5:$G$110&lt;&gt;"moeda")*(Inputs!$G$5:$G$110&lt;&gt;"acoes")))*INDEX(Inputs!$K$5:$AJ$110,0,MATCH(AE$2,Inputs!$K$4:$AJ$4,0)))+SUMPRODUCT((Inputs!$C$5:$C$110=$B55)*Inputs!$D$5:$D$110*(((Inputs!$G$5:$G$110="moeda")+(Inputs!$G$5:$G$110="acoes"))*Inputs!$B$1+((Inputs!$G$5:$G$110&lt;&gt;"moeda")*(Inputs!$G$5:$G$110&lt;&gt;"acoes")))*INDEX(Inputs!$K$5:$AJ$110,0,MATCH(AE$2,Inputs!$K$4:$AJ$4,0)))+SUMPRODUCT((Inputs!$E$5:$E$110=$B55)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5" s="263" t="e">
        <f>IF(ISNA(MATCH(AF$2,Inputs!$K$4:$AJ$4,0)),NA(),IF(SUMPRODUCT((Inputs!$A$5:$A$110=$B55)*ISNUMBER(INDEX(Inputs!$K$5:$AJ$110,0,MATCH(AF$2,Inputs!$K$4:$AJ$4,0))))+SUMPRODUCT((Inputs!$C$5:$C$110=$B55)*ISNUMBER(INDEX(Inputs!$K$5:$AJ$110,0,MATCH(AF$2,Inputs!$K$4:$AJ$4,0))))+SUMPRODUCT((Inputs!$E$5:$E$110=$B55)*ISNUMBER(INDEX(Inputs!$K$5:$AJ$110,0,MATCH(AF$2,Inputs!$K$4:$AJ$4,0))))=0,NA(),SUMPRODUCT((Inputs!$A$5:$A$110=$B55)*Inputs!$B$5:$B$110*(((Inputs!$G$5:$G$110="moeda")+(Inputs!$G$5:$G$110="acoes"))*Inputs!$B$1+((Inputs!$G$5:$G$110&lt;&gt;"moeda")*(Inputs!$G$5:$G$110&lt;&gt;"acoes")))*INDEX(Inputs!$K$5:$AJ$110,0,MATCH(AF$2,Inputs!$K$4:$AJ$4,0)))+SUMPRODUCT((Inputs!$C$5:$C$110=$B55)*Inputs!$D$5:$D$110*(((Inputs!$G$5:$G$110="moeda")+(Inputs!$G$5:$G$110="acoes"))*Inputs!$B$1+((Inputs!$G$5:$G$110&lt;&gt;"moeda")*(Inputs!$G$5:$G$110&lt;&gt;"acoes")))*INDEX(Inputs!$K$5:$AJ$110,0,MATCH(AF$2,Inputs!$K$4:$AJ$4,0)))+SUMPRODUCT((Inputs!$E$5:$E$110=$B55)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5" s="264" t="e">
        <f>SUM(AC55:AF55)</f>
        <v>#N/A</v>
      </c>
      <c r="AH55" s="263">
        <f>IF(ISNA(MATCH(AH$2,Inputs!$K$4:$AJ$4,0)),NA(),IF(SUMPRODUCT((Inputs!$A$5:$A$110=$B55)*ISNUMBER(INDEX(Inputs!$K$5:$AJ$110,0,MATCH(AH$2,Inputs!$K$4:$AJ$4,0))))+SUMPRODUCT((Inputs!$C$5:$C$110=$B55)*ISNUMBER(INDEX(Inputs!$K$5:$AJ$110,0,MATCH(AH$2,Inputs!$K$4:$AJ$4,0))))+SUMPRODUCT((Inputs!$E$5:$E$110=$B55)*ISNUMBER(INDEX(Inputs!$K$5:$AJ$110,0,MATCH(AH$2,Inputs!$K$4:$AJ$4,0))))=0,NA(),SUMPRODUCT((Inputs!$A$5:$A$110=$B55)*Inputs!$B$5:$B$110*(((Inputs!$G$5:$G$110="moeda")+(Inputs!$G$5:$G$110="acoes"))*Inputs!$B$1+((Inputs!$G$5:$G$110&lt;&gt;"moeda")*(Inputs!$G$5:$G$110&lt;&gt;"acoes")))*INDEX(Inputs!$K$5:$AJ$110,0,MATCH(AH$2,Inputs!$K$4:$AJ$4,0)))+SUMPRODUCT((Inputs!$C$5:$C$110=$B55)*Inputs!$D$5:$D$110*(((Inputs!$G$5:$G$110="moeda")+(Inputs!$G$5:$G$110="acoes"))*Inputs!$B$1+((Inputs!$G$5:$G$110&lt;&gt;"moeda")*(Inputs!$G$5:$G$110&lt;&gt;"acoes")))*INDEX(Inputs!$K$5:$AJ$110,0,MATCH(AH$2,Inputs!$K$4:$AJ$4,0)))+SUMPRODUCT((Inputs!$E$5:$E$110=$B55)*Inputs!$F$5:$F$110*(((Inputs!$G$5:$G$110="moeda")+(Inputs!$G$5:$G$110="acoes"))*Inputs!$B$1+((Inputs!$G$5:$G$110&lt;&gt;"moeda")*(Inputs!$G$5:$G$110&lt;&gt;"acoes")))*INDEX(Inputs!$K$5:$AJ$110,0,MATCH(AH$2,Inputs!$K$4:$AJ$4,0)))))</f>
        <v>1891</v>
      </c>
      <c r="AI55" s="263">
        <f>IF(ISNA(MATCH(AI$2,Inputs!$K$4:$AJ$4,0)),NA(),IF(SUMPRODUCT((Inputs!$A$5:$A$110=$B55)*ISNUMBER(INDEX(Inputs!$K$5:$AJ$110,0,MATCH(AI$2,Inputs!$K$4:$AJ$4,0))))+SUMPRODUCT((Inputs!$C$5:$C$110=$B55)*ISNUMBER(INDEX(Inputs!$K$5:$AJ$110,0,MATCH(AI$2,Inputs!$K$4:$AJ$4,0))))+SUMPRODUCT((Inputs!$E$5:$E$110=$B55)*ISNUMBER(INDEX(Inputs!$K$5:$AJ$110,0,MATCH(AI$2,Inputs!$K$4:$AJ$4,0))))=0,NA(),SUMPRODUCT((Inputs!$A$5:$A$110=$B55)*Inputs!$B$5:$B$110*(((Inputs!$G$5:$G$110="moeda")+(Inputs!$G$5:$G$110="acoes"))*Inputs!$B$1+((Inputs!$G$5:$G$110&lt;&gt;"moeda")*(Inputs!$G$5:$G$110&lt;&gt;"acoes")))*INDEX(Inputs!$K$5:$AJ$110,0,MATCH(AI$2,Inputs!$K$4:$AJ$4,0)))+SUMPRODUCT((Inputs!$C$5:$C$110=$B55)*Inputs!$D$5:$D$110*(((Inputs!$G$5:$G$110="moeda")+(Inputs!$G$5:$G$110="acoes"))*Inputs!$B$1+((Inputs!$G$5:$G$110&lt;&gt;"moeda")*(Inputs!$G$5:$G$110&lt;&gt;"acoes")))*INDEX(Inputs!$K$5:$AJ$110,0,MATCH(AI$2,Inputs!$K$4:$AJ$4,0)))+SUMPRODUCT((Inputs!$E$5:$E$110=$B55)*Inputs!$F$5:$F$110*(((Inputs!$G$5:$G$110="moeda")+(Inputs!$G$5:$G$110="acoes"))*Inputs!$B$1+((Inputs!$G$5:$G$110&lt;&gt;"moeda")*(Inputs!$G$5:$G$110&lt;&gt;"acoes")))*INDEX(Inputs!$K$5:$AJ$110,0,MATCH(AI$2,Inputs!$K$4:$AJ$4,0)))))</f>
        <v>2112</v>
      </c>
      <c r="AJ55" s="263">
        <f>IF(ISNA(MATCH(AJ$2,Inputs!$K$4:$AJ$4,0)),NA(),IF(SUMPRODUCT((Inputs!$A$5:$A$110=$B55)*ISNUMBER(INDEX(Inputs!$K$5:$AJ$110,0,MATCH(AJ$2,Inputs!$K$4:$AJ$4,0))))+SUMPRODUCT((Inputs!$C$5:$C$110=$B55)*ISNUMBER(INDEX(Inputs!$K$5:$AJ$110,0,MATCH(AJ$2,Inputs!$K$4:$AJ$4,0))))+SUMPRODUCT((Inputs!$E$5:$E$110=$B55)*ISNUMBER(INDEX(Inputs!$K$5:$AJ$110,0,MATCH(AJ$2,Inputs!$K$4:$AJ$4,0))))=0,NA(),SUMPRODUCT((Inputs!$A$5:$A$110=$B55)*Inputs!$B$5:$B$110*(((Inputs!$G$5:$G$110="moeda")+(Inputs!$G$5:$G$110="acoes"))*Inputs!$B$1+((Inputs!$G$5:$G$110&lt;&gt;"moeda")*(Inputs!$G$5:$G$110&lt;&gt;"acoes")))*INDEX(Inputs!$K$5:$AJ$110,0,MATCH(AJ$2,Inputs!$K$4:$AJ$4,0)))+SUMPRODUCT((Inputs!$C$5:$C$110=$B55)*Inputs!$D$5:$D$110*(((Inputs!$G$5:$G$110="moeda")+(Inputs!$G$5:$G$110="acoes"))*Inputs!$B$1+((Inputs!$G$5:$G$110&lt;&gt;"moeda")*(Inputs!$G$5:$G$110&lt;&gt;"acoes")))*INDEX(Inputs!$K$5:$AJ$110,0,MATCH(AJ$2,Inputs!$K$4:$AJ$4,0)))+SUMPRODUCT((Inputs!$E$5:$E$110=$B55)*Inputs!$F$5:$F$110*(((Inputs!$G$5:$G$110="moeda")+(Inputs!$G$5:$G$110="acoes"))*Inputs!$B$1+((Inputs!$G$5:$G$110&lt;&gt;"moeda")*(Inputs!$G$5:$G$110&lt;&gt;"acoes")))*INDEX(Inputs!$K$5:$AJ$110,0,MATCH(AJ$2,Inputs!$K$4:$AJ$4,0)))))</f>
        <v>2530</v>
      </c>
      <c r="AK55" s="263">
        <f>IF(ISNA(MATCH(AK$2,Inputs!$K$4:$AJ$4,0)),NA(),IF(SUMPRODUCT((Inputs!$A$5:$A$110=$B55)*ISNUMBER(INDEX(Inputs!$K$5:$AJ$110,0,MATCH(AK$2,Inputs!$K$4:$AJ$4,0))))+SUMPRODUCT((Inputs!$C$5:$C$110=$B55)*ISNUMBER(INDEX(Inputs!$K$5:$AJ$110,0,MATCH(AK$2,Inputs!$K$4:$AJ$4,0))))+SUMPRODUCT((Inputs!$E$5:$E$110=$B55)*ISNUMBER(INDEX(Inputs!$K$5:$AJ$110,0,MATCH(AK$2,Inputs!$K$4:$AJ$4,0))))=0,NA(),SUMPRODUCT((Inputs!$A$5:$A$110=$B55)*Inputs!$B$5:$B$110*(((Inputs!$G$5:$G$110="moeda")+(Inputs!$G$5:$G$110="acoes"))*Inputs!$B$1+((Inputs!$G$5:$G$110&lt;&gt;"moeda")*(Inputs!$G$5:$G$110&lt;&gt;"acoes")))*INDEX(Inputs!$K$5:$AJ$110,0,MATCH(AK$2,Inputs!$K$4:$AJ$4,0)))+SUMPRODUCT((Inputs!$C$5:$C$110=$B55)*Inputs!$D$5:$D$110*(((Inputs!$G$5:$G$110="moeda")+(Inputs!$G$5:$G$110="acoes"))*Inputs!$B$1+((Inputs!$G$5:$G$110&lt;&gt;"moeda")*(Inputs!$G$5:$G$110&lt;&gt;"acoes")))*INDEX(Inputs!$K$5:$AJ$110,0,MATCH(AK$2,Inputs!$K$4:$AJ$4,0)))+SUMPRODUCT((Inputs!$E$5:$E$110=$B55)*Inputs!$F$5:$F$110*(((Inputs!$G$5:$G$110="moeda")+(Inputs!$G$5:$G$110="acoes"))*Inputs!$B$1+((Inputs!$G$5:$G$110&lt;&gt;"moeda")*(Inputs!$G$5:$G$110&lt;&gt;"acoes")))*INDEX(Inputs!$K$5:$AJ$110,0,MATCH(AK$2,Inputs!$K$4:$AJ$4,0)))))</f>
        <v>2561</v>
      </c>
      <c r="AL55" s="264">
        <f>SUM(AH55:AK55)</f>
        <v>9094</v>
      </c>
    </row>
    <row r="56">
      <c r="B56" s="46" t="n">
        <v>48</v>
      </c>
      <c r="C56" s="29" t="inlineStr">
        <is>
          <t>Infrastructure Software - lucro operacional (USD)</t>
        </is>
      </c>
      <c r="D56" s="263">
        <f>IF(ISNA(MATCH(D$2,Inputs!$K$4:$AJ$4,0)),NA(),IF(SUMPRODUCT((Inputs!$A$5:$A$110=$B56)*ISNUMBER(INDEX(Inputs!$K$5:$AJ$110,0,MATCH(D$2,Inputs!$K$4:$AJ$4,0))))+SUMPRODUCT((Inputs!$C$5:$C$110=$B56)*ISNUMBER(INDEX(Inputs!$K$5:$AJ$110,0,MATCH(D$2,Inputs!$K$4:$AJ$4,0))))+SUMPRODUCT((Inputs!$E$5:$E$110=$B56)*ISNUMBER(INDEX(Inputs!$K$5:$AJ$110,0,MATCH(D$2,Inputs!$K$4:$AJ$4,0))))=0,NA(),SUMPRODUCT((Inputs!$A$5:$A$110=$B56)*Inputs!$B$5:$B$110*(((Inputs!$G$5:$G$110="moeda")+(Inputs!$G$5:$G$110="acoes"))*Inputs!$B$1+((Inputs!$G$5:$G$110&lt;&gt;"moeda")*(Inputs!$G$5:$G$110&lt;&gt;"acoes")))*INDEX(Inputs!$K$5:$AJ$110,0,MATCH(D$2,Inputs!$K$4:$AJ$4,0)))+SUMPRODUCT((Inputs!$C$5:$C$110=$B56)*Inputs!$D$5:$D$110*(((Inputs!$G$5:$G$110="moeda")+(Inputs!$G$5:$G$110="acoes"))*Inputs!$B$1+((Inputs!$G$5:$G$110&lt;&gt;"moeda")*(Inputs!$G$5:$G$110&lt;&gt;"acoes")))*INDEX(Inputs!$K$5:$AJ$110,0,MATCH(D$2,Inputs!$K$4:$AJ$4,0)))+SUMPRODUCT((Inputs!$E$5:$E$110=$B56)*Inputs!$F$5:$F$110*(((Inputs!$G$5:$G$110="moeda")+(Inputs!$G$5:$G$110="acoes"))*Inputs!$B$1+((Inputs!$G$5:$G$110&lt;&gt;"moeda")*(Inputs!$G$5:$G$110&lt;&gt;"acoes")))*INDEX(Inputs!$K$5:$AJ$110,0,MATCH(D$2,Inputs!$K$4:$AJ$4,0)))))</f>
        <v>1255</v>
      </c>
      <c r="E56" s="263">
        <f>IF(ISNA(MATCH(E$2,Inputs!$K$4:$AJ$4,0)),NA(),IF(SUMPRODUCT((Inputs!$A$5:$A$110=$B56)*ISNUMBER(INDEX(Inputs!$K$5:$AJ$110,0,MATCH(E$2,Inputs!$K$4:$AJ$4,0))))+SUMPRODUCT((Inputs!$C$5:$C$110=$B56)*ISNUMBER(INDEX(Inputs!$K$5:$AJ$110,0,MATCH(E$2,Inputs!$K$4:$AJ$4,0))))+SUMPRODUCT((Inputs!$E$5:$E$110=$B56)*ISNUMBER(INDEX(Inputs!$K$5:$AJ$110,0,MATCH(E$2,Inputs!$K$4:$AJ$4,0))))=0,NA(),SUMPRODUCT((Inputs!$A$5:$A$110=$B56)*Inputs!$B$5:$B$110*(((Inputs!$G$5:$G$110="moeda")+(Inputs!$G$5:$G$110="acoes"))*Inputs!$B$1+((Inputs!$G$5:$G$110&lt;&gt;"moeda")*(Inputs!$G$5:$G$110&lt;&gt;"acoes")))*INDEX(Inputs!$K$5:$AJ$110,0,MATCH(E$2,Inputs!$K$4:$AJ$4,0)))+SUMPRODUCT((Inputs!$C$5:$C$110=$B56)*Inputs!$D$5:$D$110*(((Inputs!$G$5:$G$110="moeda")+(Inputs!$G$5:$G$110="acoes"))*Inputs!$B$1+((Inputs!$G$5:$G$110&lt;&gt;"moeda")*(Inputs!$G$5:$G$110&lt;&gt;"acoes")))*INDEX(Inputs!$K$5:$AJ$110,0,MATCH(E$2,Inputs!$K$4:$AJ$4,0)))+SUMPRODUCT((Inputs!$E$5:$E$110=$B56)*Inputs!$F$5:$F$110*(((Inputs!$G$5:$G$110="moeda")+(Inputs!$G$5:$G$110="acoes"))*Inputs!$B$1+((Inputs!$G$5:$G$110&lt;&gt;"moeda")*(Inputs!$G$5:$G$110&lt;&gt;"acoes")))*INDEX(Inputs!$K$5:$AJ$110,0,MATCH(E$2,Inputs!$K$4:$AJ$4,0)))))</f>
        <v>1226</v>
      </c>
      <c r="F56" s="263">
        <f>IF(ISNA(MATCH(F$2,Inputs!$K$4:$AJ$4,0)),NA(),IF(SUMPRODUCT((Inputs!$A$5:$A$110=$B56)*ISNUMBER(INDEX(Inputs!$K$5:$AJ$110,0,MATCH(F$2,Inputs!$K$4:$AJ$4,0))))+SUMPRODUCT((Inputs!$C$5:$C$110=$B56)*ISNUMBER(INDEX(Inputs!$K$5:$AJ$110,0,MATCH(F$2,Inputs!$K$4:$AJ$4,0))))+SUMPRODUCT((Inputs!$E$5:$E$110=$B56)*ISNUMBER(INDEX(Inputs!$K$5:$AJ$110,0,MATCH(F$2,Inputs!$K$4:$AJ$4,0))))=0,NA(),SUMPRODUCT((Inputs!$A$5:$A$110=$B56)*Inputs!$B$5:$B$110*(((Inputs!$G$5:$G$110="moeda")+(Inputs!$G$5:$G$110="acoes"))*Inputs!$B$1+((Inputs!$G$5:$G$110&lt;&gt;"moeda")*(Inputs!$G$5:$G$110&lt;&gt;"acoes")))*INDEX(Inputs!$K$5:$AJ$110,0,MATCH(F$2,Inputs!$K$4:$AJ$4,0)))+SUMPRODUCT((Inputs!$C$5:$C$110=$B56)*Inputs!$D$5:$D$110*(((Inputs!$G$5:$G$110="moeda")+(Inputs!$G$5:$G$110="acoes"))*Inputs!$B$1+((Inputs!$G$5:$G$110&lt;&gt;"moeda")*(Inputs!$G$5:$G$110&lt;&gt;"acoes")))*INDEX(Inputs!$K$5:$AJ$110,0,MATCH(F$2,Inputs!$K$4:$AJ$4,0)))+SUMPRODUCT((Inputs!$E$5:$E$110=$B56)*Inputs!$F$5:$F$110*(((Inputs!$G$5:$G$110="moeda")+(Inputs!$G$5:$G$110="acoes"))*Inputs!$B$1+((Inputs!$G$5:$G$110&lt;&gt;"moeda")*(Inputs!$G$5:$G$110&lt;&gt;"acoes")))*INDEX(Inputs!$K$5:$AJ$110,0,MATCH(F$2,Inputs!$K$4:$AJ$4,0)))))</f>
        <v>1236</v>
      </c>
      <c r="G56" s="263">
        <f>IF(ISNA(MATCH(G$2,Inputs!$K$4:$AJ$4,0)),NA(),IF(SUMPRODUCT((Inputs!$A$5:$A$110=$B56)*ISNUMBER(INDEX(Inputs!$K$5:$AJ$110,0,MATCH(G$2,Inputs!$K$4:$AJ$4,0))))+SUMPRODUCT((Inputs!$C$5:$C$110=$B56)*ISNUMBER(INDEX(Inputs!$K$5:$AJ$110,0,MATCH(G$2,Inputs!$K$4:$AJ$4,0))))+SUMPRODUCT((Inputs!$E$5:$E$110=$B56)*ISNUMBER(INDEX(Inputs!$K$5:$AJ$110,0,MATCH(G$2,Inputs!$K$4:$AJ$4,0))))=0,NA(),SUMPRODUCT((Inputs!$A$5:$A$110=$B56)*Inputs!$B$5:$B$110*(((Inputs!$G$5:$G$110="moeda")+(Inputs!$G$5:$G$110="acoes"))*Inputs!$B$1+((Inputs!$G$5:$G$110&lt;&gt;"moeda")*(Inputs!$G$5:$G$110&lt;&gt;"acoes")))*INDEX(Inputs!$K$5:$AJ$110,0,MATCH(G$2,Inputs!$K$4:$AJ$4,0)))+SUMPRODUCT((Inputs!$C$5:$C$110=$B56)*Inputs!$D$5:$D$110*(((Inputs!$G$5:$G$110="moeda")+(Inputs!$G$5:$G$110="acoes"))*Inputs!$B$1+((Inputs!$G$5:$G$110&lt;&gt;"moeda")*(Inputs!$G$5:$G$110&lt;&gt;"acoes")))*INDEX(Inputs!$K$5:$AJ$110,0,MATCH(G$2,Inputs!$K$4:$AJ$4,0)))+SUMPRODUCT((Inputs!$E$5:$E$110=$B56)*Inputs!$F$5:$F$110*(((Inputs!$G$5:$G$110="moeda")+(Inputs!$G$5:$G$110="acoes"))*Inputs!$B$1+((Inputs!$G$5:$G$110&lt;&gt;"moeda")*(Inputs!$G$5:$G$110&lt;&gt;"acoes")))*INDEX(Inputs!$K$5:$AJ$110,0,MATCH(G$2,Inputs!$K$4:$AJ$4,0)))))</f>
        <v>1307</v>
      </c>
      <c r="H56" s="264">
        <f>SUM(D56:G56)</f>
        <v>5024</v>
      </c>
      <c r="I56" s="263">
        <f>IF(ISNA(MATCH(I$2,Inputs!$K$4:$AJ$4,0)),NA(),IF(SUMPRODUCT((Inputs!$A$5:$A$110=$B56)*ISNUMBER(INDEX(Inputs!$K$5:$AJ$110,0,MATCH(I$2,Inputs!$K$4:$AJ$4,0))))+SUMPRODUCT((Inputs!$C$5:$C$110=$B56)*ISNUMBER(INDEX(Inputs!$K$5:$AJ$110,0,MATCH(I$2,Inputs!$K$4:$AJ$4,0))))+SUMPRODUCT((Inputs!$E$5:$E$110=$B56)*ISNUMBER(INDEX(Inputs!$K$5:$AJ$110,0,MATCH(I$2,Inputs!$K$4:$AJ$4,0))))=0,NA(),SUMPRODUCT((Inputs!$A$5:$A$110=$B56)*Inputs!$B$5:$B$110*(((Inputs!$G$5:$G$110="moeda")+(Inputs!$G$5:$G$110="acoes"))*Inputs!$B$1+((Inputs!$G$5:$G$110&lt;&gt;"moeda")*(Inputs!$G$5:$G$110&lt;&gt;"acoes")))*INDEX(Inputs!$K$5:$AJ$110,0,MATCH(I$2,Inputs!$K$4:$AJ$4,0)))+SUMPRODUCT((Inputs!$C$5:$C$110=$B56)*Inputs!$D$5:$D$110*(((Inputs!$G$5:$G$110="moeda")+(Inputs!$G$5:$G$110="acoes"))*Inputs!$B$1+((Inputs!$G$5:$G$110&lt;&gt;"moeda")*(Inputs!$G$5:$G$110&lt;&gt;"acoes")))*INDEX(Inputs!$K$5:$AJ$110,0,MATCH(I$2,Inputs!$K$4:$AJ$4,0)))+SUMPRODUCT((Inputs!$E$5:$E$110=$B56)*Inputs!$F$5:$F$110*(((Inputs!$G$5:$G$110="moeda")+(Inputs!$G$5:$G$110="acoes"))*Inputs!$B$1+((Inputs!$G$5:$G$110&lt;&gt;"moeda")*(Inputs!$G$5:$G$110&lt;&gt;"acoes")))*INDEX(Inputs!$K$5:$AJ$110,0,MATCH(I$2,Inputs!$K$4:$AJ$4,0)))))</f>
        <v>1313</v>
      </c>
      <c r="J56" s="263">
        <f>IF(ISNA(MATCH(J$2,Inputs!$K$4:$AJ$4,0)),NA(),IF(SUMPRODUCT((Inputs!$A$5:$A$110=$B56)*ISNUMBER(INDEX(Inputs!$K$5:$AJ$110,0,MATCH(J$2,Inputs!$K$4:$AJ$4,0))))+SUMPRODUCT((Inputs!$C$5:$C$110=$B56)*ISNUMBER(INDEX(Inputs!$K$5:$AJ$110,0,MATCH(J$2,Inputs!$K$4:$AJ$4,0))))+SUMPRODUCT((Inputs!$E$5:$E$110=$B56)*ISNUMBER(INDEX(Inputs!$K$5:$AJ$110,0,MATCH(J$2,Inputs!$K$4:$AJ$4,0))))=0,NA(),SUMPRODUCT((Inputs!$A$5:$A$110=$B56)*Inputs!$B$5:$B$110*(((Inputs!$G$5:$G$110="moeda")+(Inputs!$G$5:$G$110="acoes"))*Inputs!$B$1+((Inputs!$G$5:$G$110&lt;&gt;"moeda")*(Inputs!$G$5:$G$110&lt;&gt;"acoes")))*INDEX(Inputs!$K$5:$AJ$110,0,MATCH(J$2,Inputs!$K$4:$AJ$4,0)))+SUMPRODUCT((Inputs!$C$5:$C$110=$B56)*Inputs!$D$5:$D$110*(((Inputs!$G$5:$G$110="moeda")+(Inputs!$G$5:$G$110="acoes"))*Inputs!$B$1+((Inputs!$G$5:$G$110&lt;&gt;"moeda")*(Inputs!$G$5:$G$110&lt;&gt;"acoes")))*INDEX(Inputs!$K$5:$AJ$110,0,MATCH(J$2,Inputs!$K$4:$AJ$4,0)))+SUMPRODUCT((Inputs!$E$5:$E$110=$B56)*Inputs!$F$5:$F$110*(((Inputs!$G$5:$G$110="moeda")+(Inputs!$G$5:$G$110="acoes"))*Inputs!$B$1+((Inputs!$G$5:$G$110&lt;&gt;"moeda")*(Inputs!$G$5:$G$110&lt;&gt;"acoes")))*INDEX(Inputs!$K$5:$AJ$110,0,MATCH(J$2,Inputs!$K$4:$AJ$4,0)))))</f>
        <v>1283</v>
      </c>
      <c r="K56" s="263">
        <f>IF(ISNA(MATCH(K$2,Inputs!$K$4:$AJ$4,0)),NA(),IF(SUMPRODUCT((Inputs!$A$5:$A$110=$B56)*ISNUMBER(INDEX(Inputs!$K$5:$AJ$110,0,MATCH(K$2,Inputs!$K$4:$AJ$4,0))))+SUMPRODUCT((Inputs!$C$5:$C$110=$B56)*ISNUMBER(INDEX(Inputs!$K$5:$AJ$110,0,MATCH(K$2,Inputs!$K$4:$AJ$4,0))))+SUMPRODUCT((Inputs!$E$5:$E$110=$B56)*ISNUMBER(INDEX(Inputs!$K$5:$AJ$110,0,MATCH(K$2,Inputs!$K$4:$AJ$4,0))))=0,NA(),SUMPRODUCT((Inputs!$A$5:$A$110=$B56)*Inputs!$B$5:$B$110*(((Inputs!$G$5:$G$110="moeda")+(Inputs!$G$5:$G$110="acoes"))*Inputs!$B$1+((Inputs!$G$5:$G$110&lt;&gt;"moeda")*(Inputs!$G$5:$G$110&lt;&gt;"acoes")))*INDEX(Inputs!$K$5:$AJ$110,0,MATCH(K$2,Inputs!$K$4:$AJ$4,0)))+SUMPRODUCT((Inputs!$C$5:$C$110=$B56)*Inputs!$D$5:$D$110*(((Inputs!$G$5:$G$110="moeda")+(Inputs!$G$5:$G$110="acoes"))*Inputs!$B$1+((Inputs!$G$5:$G$110&lt;&gt;"moeda")*(Inputs!$G$5:$G$110&lt;&gt;"acoes")))*INDEX(Inputs!$K$5:$AJ$110,0,MATCH(K$2,Inputs!$K$4:$AJ$4,0)))+SUMPRODUCT((Inputs!$E$5:$E$110=$B56)*Inputs!$F$5:$F$110*(((Inputs!$G$5:$G$110="moeda")+(Inputs!$G$5:$G$110="acoes"))*Inputs!$B$1+((Inputs!$G$5:$G$110&lt;&gt;"moeda")*(Inputs!$G$5:$G$110&lt;&gt;"acoes")))*INDEX(Inputs!$K$5:$AJ$110,0,MATCH(K$2,Inputs!$K$4:$AJ$4,0)))))</f>
        <v>1316</v>
      </c>
      <c r="L56" s="263">
        <f>IF(ISNA(MATCH(L$2,Inputs!$K$4:$AJ$4,0)),NA(),IF(SUMPRODUCT((Inputs!$A$5:$A$110=$B56)*ISNUMBER(INDEX(Inputs!$K$5:$AJ$110,0,MATCH(L$2,Inputs!$K$4:$AJ$4,0))))+SUMPRODUCT((Inputs!$C$5:$C$110=$B56)*ISNUMBER(INDEX(Inputs!$K$5:$AJ$110,0,MATCH(L$2,Inputs!$K$4:$AJ$4,0))))+SUMPRODUCT((Inputs!$E$5:$E$110=$B56)*ISNUMBER(INDEX(Inputs!$K$5:$AJ$110,0,MATCH(L$2,Inputs!$K$4:$AJ$4,0))))=0,NA(),SUMPRODUCT((Inputs!$A$5:$A$110=$B56)*Inputs!$B$5:$B$110*(((Inputs!$G$5:$G$110="moeda")+(Inputs!$G$5:$G$110="acoes"))*Inputs!$B$1+((Inputs!$G$5:$G$110&lt;&gt;"moeda")*(Inputs!$G$5:$G$110&lt;&gt;"acoes")))*INDEX(Inputs!$K$5:$AJ$110,0,MATCH(L$2,Inputs!$K$4:$AJ$4,0)))+SUMPRODUCT((Inputs!$C$5:$C$110=$B56)*Inputs!$D$5:$D$110*(((Inputs!$G$5:$G$110="moeda")+(Inputs!$G$5:$G$110="acoes"))*Inputs!$B$1+((Inputs!$G$5:$G$110&lt;&gt;"moeda")*(Inputs!$G$5:$G$110&lt;&gt;"acoes")))*INDEX(Inputs!$K$5:$AJ$110,0,MATCH(L$2,Inputs!$K$4:$AJ$4,0)))+SUMPRODUCT((Inputs!$E$5:$E$110=$B56)*Inputs!$F$5:$F$110*(((Inputs!$G$5:$G$110="moeda")+(Inputs!$G$5:$G$110="acoes"))*Inputs!$B$1+((Inputs!$G$5:$G$110&lt;&gt;"moeda")*(Inputs!$G$5:$G$110&lt;&gt;"acoes")))*INDEX(Inputs!$K$5:$AJ$110,0,MATCH(L$2,Inputs!$K$4:$AJ$4,0)))))</f>
        <v>1307</v>
      </c>
      <c r="M56" s="264">
        <f>SUM(I56:L56)</f>
        <v>5219</v>
      </c>
      <c r="N56" s="263">
        <f>IF(ISNA(MATCH(N$2,Inputs!$K$4:$AJ$4,0)),NA(),IF(SUMPRODUCT((Inputs!$A$5:$A$110=$B56)*ISNUMBER(INDEX(Inputs!$K$5:$AJ$110,0,MATCH(N$2,Inputs!$K$4:$AJ$4,0))))+SUMPRODUCT((Inputs!$C$5:$C$110=$B56)*ISNUMBER(INDEX(Inputs!$K$5:$AJ$110,0,MATCH(N$2,Inputs!$K$4:$AJ$4,0))))+SUMPRODUCT((Inputs!$E$5:$E$110=$B56)*ISNUMBER(INDEX(Inputs!$K$5:$AJ$110,0,MATCH(N$2,Inputs!$K$4:$AJ$4,0))))=0,NA(),SUMPRODUCT((Inputs!$A$5:$A$110=$B56)*Inputs!$B$5:$B$110*(((Inputs!$G$5:$G$110="moeda")+(Inputs!$G$5:$G$110="acoes"))*Inputs!$B$1+((Inputs!$G$5:$G$110&lt;&gt;"moeda")*(Inputs!$G$5:$G$110&lt;&gt;"acoes")))*INDEX(Inputs!$K$5:$AJ$110,0,MATCH(N$2,Inputs!$K$4:$AJ$4,0)))+SUMPRODUCT((Inputs!$C$5:$C$110=$B56)*Inputs!$D$5:$D$110*(((Inputs!$G$5:$G$110="moeda")+(Inputs!$G$5:$G$110="acoes"))*Inputs!$B$1+((Inputs!$G$5:$G$110&lt;&gt;"moeda")*(Inputs!$G$5:$G$110&lt;&gt;"acoes")))*INDEX(Inputs!$K$5:$AJ$110,0,MATCH(N$2,Inputs!$K$4:$AJ$4,0)))+SUMPRODUCT((Inputs!$E$5:$E$110=$B56)*Inputs!$F$5:$F$110*(((Inputs!$G$5:$G$110="moeda")+(Inputs!$G$5:$G$110="acoes"))*Inputs!$B$1+((Inputs!$G$5:$G$110&lt;&gt;"moeda")*(Inputs!$G$5:$G$110&lt;&gt;"acoes")))*INDEX(Inputs!$K$5:$AJ$110,0,MATCH(N$2,Inputs!$K$4:$AJ$4,0)))))</f>
        <v>1412</v>
      </c>
      <c r="O56" s="263">
        <f>IF(ISNA(MATCH(O$2,Inputs!$K$4:$AJ$4,0)),NA(),IF(SUMPRODUCT((Inputs!$A$5:$A$110=$B56)*ISNUMBER(INDEX(Inputs!$K$5:$AJ$110,0,MATCH(O$2,Inputs!$K$4:$AJ$4,0))))+SUMPRODUCT((Inputs!$C$5:$C$110=$B56)*ISNUMBER(INDEX(Inputs!$K$5:$AJ$110,0,MATCH(O$2,Inputs!$K$4:$AJ$4,0))))+SUMPRODUCT((Inputs!$E$5:$E$110=$B56)*ISNUMBER(INDEX(Inputs!$K$5:$AJ$110,0,MATCH(O$2,Inputs!$K$4:$AJ$4,0))))=0,NA(),SUMPRODUCT((Inputs!$A$5:$A$110=$B56)*Inputs!$B$5:$B$110*(((Inputs!$G$5:$G$110="moeda")+(Inputs!$G$5:$G$110="acoes"))*Inputs!$B$1+((Inputs!$G$5:$G$110&lt;&gt;"moeda")*(Inputs!$G$5:$G$110&lt;&gt;"acoes")))*INDEX(Inputs!$K$5:$AJ$110,0,MATCH(O$2,Inputs!$K$4:$AJ$4,0)))+SUMPRODUCT((Inputs!$C$5:$C$110=$B56)*Inputs!$D$5:$D$110*(((Inputs!$G$5:$G$110="moeda")+(Inputs!$G$5:$G$110="acoes"))*Inputs!$B$1+((Inputs!$G$5:$G$110&lt;&gt;"moeda")*(Inputs!$G$5:$G$110&lt;&gt;"acoes")))*INDEX(Inputs!$K$5:$AJ$110,0,MATCH(O$2,Inputs!$K$4:$AJ$4,0)))+SUMPRODUCT((Inputs!$E$5:$E$110=$B56)*Inputs!$F$5:$F$110*(((Inputs!$G$5:$G$110="moeda")+(Inputs!$G$5:$G$110="acoes"))*Inputs!$B$1+((Inputs!$G$5:$G$110&lt;&gt;"moeda")*(Inputs!$G$5:$G$110&lt;&gt;"acoes")))*INDEX(Inputs!$K$5:$AJ$110,0,MATCH(O$2,Inputs!$K$4:$AJ$4,0)))))</f>
        <v>1444</v>
      </c>
      <c r="P56" s="263">
        <f>IF(ISNA(MATCH(P$2,Inputs!$K$4:$AJ$4,0)),NA(),IF(SUMPRODUCT((Inputs!$A$5:$A$110=$B56)*ISNUMBER(INDEX(Inputs!$K$5:$AJ$110,0,MATCH(P$2,Inputs!$K$4:$AJ$4,0))))+SUMPRODUCT((Inputs!$C$5:$C$110=$B56)*ISNUMBER(INDEX(Inputs!$K$5:$AJ$110,0,MATCH(P$2,Inputs!$K$4:$AJ$4,0))))+SUMPRODUCT((Inputs!$E$5:$E$110=$B56)*ISNUMBER(INDEX(Inputs!$K$5:$AJ$110,0,MATCH(P$2,Inputs!$K$4:$AJ$4,0))))=0,NA(),SUMPRODUCT((Inputs!$A$5:$A$110=$B56)*Inputs!$B$5:$B$110*(((Inputs!$G$5:$G$110="moeda")+(Inputs!$G$5:$G$110="acoes"))*Inputs!$B$1+((Inputs!$G$5:$G$110&lt;&gt;"moeda")*(Inputs!$G$5:$G$110&lt;&gt;"acoes")))*INDEX(Inputs!$K$5:$AJ$110,0,MATCH(P$2,Inputs!$K$4:$AJ$4,0)))+SUMPRODUCT((Inputs!$C$5:$C$110=$B56)*Inputs!$D$5:$D$110*(((Inputs!$G$5:$G$110="moeda")+(Inputs!$G$5:$G$110="acoes"))*Inputs!$B$1+((Inputs!$G$5:$G$110&lt;&gt;"moeda")*(Inputs!$G$5:$G$110&lt;&gt;"acoes")))*INDEX(Inputs!$K$5:$AJ$110,0,MATCH(P$2,Inputs!$K$4:$AJ$4,0)))+SUMPRODUCT((Inputs!$E$5:$E$110=$B56)*Inputs!$F$5:$F$110*(((Inputs!$G$5:$G$110="moeda")+(Inputs!$G$5:$G$110="acoes"))*Inputs!$B$1+((Inputs!$G$5:$G$110&lt;&gt;"moeda")*(Inputs!$G$5:$G$110&lt;&gt;"acoes")))*INDEX(Inputs!$K$5:$AJ$110,0,MATCH(P$2,Inputs!$K$4:$AJ$4,0)))))</f>
        <v>1476</v>
      </c>
      <c r="Q56" s="263">
        <f>IF(ISNA(MATCH(Q$2,Inputs!$K$4:$AJ$4,0)),NA(),IF(SUMPRODUCT((Inputs!$A$5:$A$110=$B56)*ISNUMBER(INDEX(Inputs!$K$5:$AJ$110,0,MATCH(Q$2,Inputs!$K$4:$AJ$4,0))))+SUMPRODUCT((Inputs!$C$5:$C$110=$B56)*ISNUMBER(INDEX(Inputs!$K$5:$AJ$110,0,MATCH(Q$2,Inputs!$K$4:$AJ$4,0))))+SUMPRODUCT((Inputs!$E$5:$E$110=$B56)*ISNUMBER(INDEX(Inputs!$K$5:$AJ$110,0,MATCH(Q$2,Inputs!$K$4:$AJ$4,0))))=0,NA(),SUMPRODUCT((Inputs!$A$5:$A$110=$B56)*Inputs!$B$5:$B$110*(((Inputs!$G$5:$G$110="moeda")+(Inputs!$G$5:$G$110="acoes"))*Inputs!$B$1+((Inputs!$G$5:$G$110&lt;&gt;"moeda")*(Inputs!$G$5:$G$110&lt;&gt;"acoes")))*INDEX(Inputs!$K$5:$AJ$110,0,MATCH(Q$2,Inputs!$K$4:$AJ$4,0)))+SUMPRODUCT((Inputs!$C$5:$C$110=$B56)*Inputs!$D$5:$D$110*(((Inputs!$G$5:$G$110="moeda")+(Inputs!$G$5:$G$110="acoes"))*Inputs!$B$1+((Inputs!$G$5:$G$110&lt;&gt;"moeda")*(Inputs!$G$5:$G$110&lt;&gt;"acoes")))*INDEX(Inputs!$K$5:$AJ$110,0,MATCH(Q$2,Inputs!$K$4:$AJ$4,0)))+SUMPRODUCT((Inputs!$E$5:$E$110=$B56)*Inputs!$F$5:$F$110*(((Inputs!$G$5:$G$110="moeda")+(Inputs!$G$5:$G$110="acoes"))*Inputs!$B$1+((Inputs!$G$5:$G$110&lt;&gt;"moeda")*(Inputs!$G$5:$G$110&lt;&gt;"acoes")))*INDEX(Inputs!$K$5:$AJ$110,0,MATCH(Q$2,Inputs!$K$4:$AJ$4,0)))))</f>
        <v>2715</v>
      </c>
      <c r="R56" s="264">
        <f>SUM(N56:Q56)</f>
        <v>7047</v>
      </c>
      <c r="S56" s="263">
        <f>IF(ISNA(MATCH(S$2,Inputs!$K$4:$AJ$4,0)),NA(),IF(SUMPRODUCT((Inputs!$A$5:$A$110=$B56)*ISNUMBER(INDEX(Inputs!$K$5:$AJ$110,0,MATCH(S$2,Inputs!$K$4:$AJ$4,0))))+SUMPRODUCT((Inputs!$C$5:$C$110=$B56)*ISNUMBER(INDEX(Inputs!$K$5:$AJ$110,0,MATCH(S$2,Inputs!$K$4:$AJ$4,0))))+SUMPRODUCT((Inputs!$E$5:$E$110=$B56)*ISNUMBER(INDEX(Inputs!$K$5:$AJ$110,0,MATCH(S$2,Inputs!$K$4:$AJ$4,0))))=0,NA(),SUMPRODUCT((Inputs!$A$5:$A$110=$B56)*Inputs!$B$5:$B$110*(((Inputs!$G$5:$G$110="moeda")+(Inputs!$G$5:$G$110="acoes"))*Inputs!$B$1+((Inputs!$G$5:$G$110&lt;&gt;"moeda")*(Inputs!$G$5:$G$110&lt;&gt;"acoes")))*INDEX(Inputs!$K$5:$AJ$110,0,MATCH(S$2,Inputs!$K$4:$AJ$4,0)))+SUMPRODUCT((Inputs!$C$5:$C$110=$B56)*Inputs!$D$5:$D$110*(((Inputs!$G$5:$G$110="moeda")+(Inputs!$G$5:$G$110="acoes"))*Inputs!$B$1+((Inputs!$G$5:$G$110&lt;&gt;"moeda")*(Inputs!$G$5:$G$110&lt;&gt;"acoes")))*INDEX(Inputs!$K$5:$AJ$110,0,MATCH(S$2,Inputs!$K$4:$AJ$4,0)))+SUMPRODUCT((Inputs!$E$5:$E$110=$B56)*Inputs!$F$5:$F$110*(((Inputs!$G$5:$G$110="moeda")+(Inputs!$G$5:$G$110="acoes"))*Inputs!$B$1+((Inputs!$G$5:$G$110&lt;&gt;"moeda")*(Inputs!$G$5:$G$110&lt;&gt;"acoes")))*INDEX(Inputs!$K$5:$AJ$110,0,MATCH(S$2,Inputs!$K$4:$AJ$4,0)))))</f>
        <v>3168</v>
      </c>
      <c r="T56" s="263">
        <f>IF(ISNA(MATCH(T$2,Inputs!$K$4:$AJ$4,0)),NA(),IF(SUMPRODUCT((Inputs!$A$5:$A$110=$B56)*ISNUMBER(INDEX(Inputs!$K$5:$AJ$110,0,MATCH(T$2,Inputs!$K$4:$AJ$4,0))))+SUMPRODUCT((Inputs!$C$5:$C$110=$B56)*ISNUMBER(INDEX(Inputs!$K$5:$AJ$110,0,MATCH(T$2,Inputs!$K$4:$AJ$4,0))))+SUMPRODUCT((Inputs!$E$5:$E$110=$B56)*ISNUMBER(INDEX(Inputs!$K$5:$AJ$110,0,MATCH(T$2,Inputs!$K$4:$AJ$4,0))))=0,NA(),SUMPRODUCT((Inputs!$A$5:$A$110=$B56)*Inputs!$B$5:$B$110*(((Inputs!$G$5:$G$110="moeda")+(Inputs!$G$5:$G$110="acoes"))*Inputs!$B$1+((Inputs!$G$5:$G$110&lt;&gt;"moeda")*(Inputs!$G$5:$G$110&lt;&gt;"acoes")))*INDEX(Inputs!$K$5:$AJ$110,0,MATCH(T$2,Inputs!$K$4:$AJ$4,0)))+SUMPRODUCT((Inputs!$C$5:$C$110=$B56)*Inputs!$D$5:$D$110*(((Inputs!$G$5:$G$110="moeda")+(Inputs!$G$5:$G$110="acoes"))*Inputs!$B$1+((Inputs!$G$5:$G$110&lt;&gt;"moeda")*(Inputs!$G$5:$G$110&lt;&gt;"acoes")))*INDEX(Inputs!$K$5:$AJ$110,0,MATCH(T$2,Inputs!$K$4:$AJ$4,0)))+SUMPRODUCT((Inputs!$E$5:$E$110=$B56)*Inputs!$F$5:$F$110*(((Inputs!$G$5:$G$110="moeda")+(Inputs!$G$5:$G$110="acoes"))*Inputs!$B$1+((Inputs!$G$5:$G$110&lt;&gt;"moeda")*(Inputs!$G$5:$G$110&lt;&gt;"acoes")))*INDEX(Inputs!$K$5:$AJ$110,0,MATCH(T$2,Inputs!$K$4:$AJ$4,0)))))</f>
        <v>3906</v>
      </c>
      <c r="U56" s="263">
        <f>IF(ISNA(MATCH(U$2,Inputs!$K$4:$AJ$4,0)),NA(),IF(SUMPRODUCT((Inputs!$A$5:$A$110=$B56)*ISNUMBER(INDEX(Inputs!$K$5:$AJ$110,0,MATCH(U$2,Inputs!$K$4:$AJ$4,0))))+SUMPRODUCT((Inputs!$C$5:$C$110=$B56)*ISNUMBER(INDEX(Inputs!$K$5:$AJ$110,0,MATCH(U$2,Inputs!$K$4:$AJ$4,0))))+SUMPRODUCT((Inputs!$E$5:$E$110=$B56)*ISNUMBER(INDEX(Inputs!$K$5:$AJ$110,0,MATCH(U$2,Inputs!$K$4:$AJ$4,0))))=0,NA(),SUMPRODUCT((Inputs!$A$5:$A$110=$B56)*Inputs!$B$5:$B$110*(((Inputs!$G$5:$G$110="moeda")+(Inputs!$G$5:$G$110="acoes"))*Inputs!$B$1+((Inputs!$G$5:$G$110&lt;&gt;"moeda")*(Inputs!$G$5:$G$110&lt;&gt;"acoes")))*INDEX(Inputs!$K$5:$AJ$110,0,MATCH(U$2,Inputs!$K$4:$AJ$4,0)))+SUMPRODUCT((Inputs!$C$5:$C$110=$B56)*Inputs!$D$5:$D$110*(((Inputs!$G$5:$G$110="moeda")+(Inputs!$G$5:$G$110="acoes"))*Inputs!$B$1+((Inputs!$G$5:$G$110&lt;&gt;"moeda")*(Inputs!$G$5:$G$110&lt;&gt;"acoes")))*INDEX(Inputs!$K$5:$AJ$110,0,MATCH(U$2,Inputs!$K$4:$AJ$4,0)))+SUMPRODUCT((Inputs!$E$5:$E$110=$B56)*Inputs!$F$5:$F$110*(((Inputs!$G$5:$G$110="moeda")+(Inputs!$G$5:$G$110="acoes"))*Inputs!$B$1+((Inputs!$G$5:$G$110&lt;&gt;"moeda")*(Inputs!$G$5:$G$110&lt;&gt;"acoes")))*INDEX(Inputs!$K$5:$AJ$110,0,MATCH(U$2,Inputs!$K$4:$AJ$4,0)))))</f>
        <v>4188</v>
      </c>
      <c r="V56" s="263">
        <f>IF(ISNA(MATCH(V$2,Inputs!$K$4:$AJ$4,0)),NA(),IF(SUMPRODUCT((Inputs!$A$5:$A$110=$B56)*ISNUMBER(INDEX(Inputs!$K$5:$AJ$110,0,MATCH(V$2,Inputs!$K$4:$AJ$4,0))))+SUMPRODUCT((Inputs!$C$5:$C$110=$B56)*ISNUMBER(INDEX(Inputs!$K$5:$AJ$110,0,MATCH(V$2,Inputs!$K$4:$AJ$4,0))))+SUMPRODUCT((Inputs!$E$5:$E$110=$B56)*ISNUMBER(INDEX(Inputs!$K$5:$AJ$110,0,MATCH(V$2,Inputs!$K$4:$AJ$4,0))))=0,NA(),SUMPRODUCT((Inputs!$A$5:$A$110=$B56)*Inputs!$B$5:$B$110*(((Inputs!$G$5:$G$110="moeda")+(Inputs!$G$5:$G$110="acoes"))*Inputs!$B$1+((Inputs!$G$5:$G$110&lt;&gt;"moeda")*(Inputs!$G$5:$G$110&lt;&gt;"acoes")))*INDEX(Inputs!$K$5:$AJ$110,0,MATCH(V$2,Inputs!$K$4:$AJ$4,0)))+SUMPRODUCT((Inputs!$C$5:$C$110=$B56)*Inputs!$D$5:$D$110*(((Inputs!$G$5:$G$110="moeda")+(Inputs!$G$5:$G$110="acoes"))*Inputs!$B$1+((Inputs!$G$5:$G$110&lt;&gt;"moeda")*(Inputs!$G$5:$G$110&lt;&gt;"acoes")))*INDEX(Inputs!$K$5:$AJ$110,0,MATCH(V$2,Inputs!$K$4:$AJ$4,0)))+SUMPRODUCT((Inputs!$E$5:$E$110=$B56)*Inputs!$F$5:$F$110*(((Inputs!$G$5:$G$110="moeda")+(Inputs!$G$5:$G$110="acoes"))*Inputs!$B$1+((Inputs!$G$5:$G$110&lt;&gt;"moeda")*(Inputs!$G$5:$G$110&lt;&gt;"acoes")))*INDEX(Inputs!$K$5:$AJ$110,0,MATCH(V$2,Inputs!$K$4:$AJ$4,0)))))</f>
        <v>5122</v>
      </c>
      <c r="W56" s="264">
        <f>SUM(S56:V56)</f>
        <v>16384</v>
      </c>
      <c r="X56" s="263">
        <f>IF(ISNA(MATCH(X$2,Inputs!$K$4:$AJ$4,0)),NA(),IF(SUMPRODUCT((Inputs!$A$5:$A$110=$B56)*ISNUMBER(INDEX(Inputs!$K$5:$AJ$110,0,MATCH(X$2,Inputs!$K$4:$AJ$4,0))))+SUMPRODUCT((Inputs!$C$5:$C$110=$B56)*ISNUMBER(INDEX(Inputs!$K$5:$AJ$110,0,MATCH(X$2,Inputs!$K$4:$AJ$4,0))))+SUMPRODUCT((Inputs!$E$5:$E$110=$B56)*ISNUMBER(INDEX(Inputs!$K$5:$AJ$110,0,MATCH(X$2,Inputs!$K$4:$AJ$4,0))))=0,NA(),SUMPRODUCT((Inputs!$A$5:$A$110=$B56)*Inputs!$B$5:$B$110*(((Inputs!$G$5:$G$110="moeda")+(Inputs!$G$5:$G$110="acoes"))*Inputs!$B$1+((Inputs!$G$5:$G$110&lt;&gt;"moeda")*(Inputs!$G$5:$G$110&lt;&gt;"acoes")))*INDEX(Inputs!$K$5:$AJ$110,0,MATCH(X$2,Inputs!$K$4:$AJ$4,0)))+SUMPRODUCT((Inputs!$C$5:$C$110=$B56)*Inputs!$D$5:$D$110*(((Inputs!$G$5:$G$110="moeda")+(Inputs!$G$5:$G$110="acoes"))*Inputs!$B$1+((Inputs!$G$5:$G$110&lt;&gt;"moeda")*(Inputs!$G$5:$G$110&lt;&gt;"acoes")))*INDEX(Inputs!$K$5:$AJ$110,0,MATCH(X$2,Inputs!$K$4:$AJ$4,0)))+SUMPRODUCT((Inputs!$E$5:$E$110=$B56)*Inputs!$F$5:$F$110*(((Inputs!$G$5:$G$110="moeda")+(Inputs!$G$5:$G$110="acoes"))*Inputs!$B$1+((Inputs!$G$5:$G$110&lt;&gt;"moeda")*(Inputs!$G$5:$G$110&lt;&gt;"acoes")))*INDEX(Inputs!$K$5:$AJ$110,0,MATCH(X$2,Inputs!$K$4:$AJ$4,0)))))</f>
        <v>4987</v>
      </c>
      <c r="Y56" s="263">
        <f>IF(ISNA(MATCH(Y$2,Inputs!$K$4:$AJ$4,0)),NA(),IF(SUMPRODUCT((Inputs!$A$5:$A$110=$B56)*ISNUMBER(INDEX(Inputs!$K$5:$AJ$110,0,MATCH(Y$2,Inputs!$K$4:$AJ$4,0))))+SUMPRODUCT((Inputs!$C$5:$C$110=$B56)*ISNUMBER(INDEX(Inputs!$K$5:$AJ$110,0,MATCH(Y$2,Inputs!$K$4:$AJ$4,0))))+SUMPRODUCT((Inputs!$E$5:$E$110=$B56)*ISNUMBER(INDEX(Inputs!$K$5:$AJ$110,0,MATCH(Y$2,Inputs!$K$4:$AJ$4,0))))=0,NA(),SUMPRODUCT((Inputs!$A$5:$A$110=$B56)*Inputs!$B$5:$B$110*(((Inputs!$G$5:$G$110="moeda")+(Inputs!$G$5:$G$110="acoes"))*Inputs!$B$1+((Inputs!$G$5:$G$110&lt;&gt;"moeda")*(Inputs!$G$5:$G$110&lt;&gt;"acoes")))*INDEX(Inputs!$K$5:$AJ$110,0,MATCH(Y$2,Inputs!$K$4:$AJ$4,0)))+SUMPRODUCT((Inputs!$C$5:$C$110=$B56)*Inputs!$D$5:$D$110*(((Inputs!$G$5:$G$110="moeda")+(Inputs!$G$5:$G$110="acoes"))*Inputs!$B$1+((Inputs!$G$5:$G$110&lt;&gt;"moeda")*(Inputs!$G$5:$G$110&lt;&gt;"acoes")))*INDEX(Inputs!$K$5:$AJ$110,0,MATCH(Y$2,Inputs!$K$4:$AJ$4,0)))+SUMPRODUCT((Inputs!$E$5:$E$110=$B56)*Inputs!$F$5:$F$110*(((Inputs!$G$5:$G$110="moeda")+(Inputs!$G$5:$G$110="acoes"))*Inputs!$B$1+((Inputs!$G$5:$G$110&lt;&gt;"moeda")*(Inputs!$G$5:$G$110&lt;&gt;"acoes")))*INDEX(Inputs!$K$5:$AJ$110,0,MATCH(Y$2,Inputs!$K$4:$AJ$4,0)))))</f>
        <v>5238</v>
      </c>
      <c r="Z56" s="263">
        <f>IF(ISNA(MATCH(Z$2,Inputs!$K$4:$AJ$4,0)),NA(),IF(SUMPRODUCT((Inputs!$A$5:$A$110=$B56)*ISNUMBER(INDEX(Inputs!$K$5:$AJ$110,0,MATCH(Z$2,Inputs!$K$4:$AJ$4,0))))+SUMPRODUCT((Inputs!$C$5:$C$110=$B56)*ISNUMBER(INDEX(Inputs!$K$5:$AJ$110,0,MATCH(Z$2,Inputs!$K$4:$AJ$4,0))))+SUMPRODUCT((Inputs!$E$5:$E$110=$B56)*ISNUMBER(INDEX(Inputs!$K$5:$AJ$110,0,MATCH(Z$2,Inputs!$K$4:$AJ$4,0))))=0,NA(),SUMPRODUCT((Inputs!$A$5:$A$110=$B56)*Inputs!$B$5:$B$110*(((Inputs!$G$5:$G$110="moeda")+(Inputs!$G$5:$G$110="acoes"))*Inputs!$B$1+((Inputs!$G$5:$G$110&lt;&gt;"moeda")*(Inputs!$G$5:$G$110&lt;&gt;"acoes")))*INDEX(Inputs!$K$5:$AJ$110,0,MATCH(Z$2,Inputs!$K$4:$AJ$4,0)))+SUMPRODUCT((Inputs!$C$5:$C$110=$B56)*Inputs!$D$5:$D$110*(((Inputs!$G$5:$G$110="moeda")+(Inputs!$G$5:$G$110="acoes"))*Inputs!$B$1+((Inputs!$G$5:$G$110&lt;&gt;"moeda")*(Inputs!$G$5:$G$110&lt;&gt;"acoes")))*INDEX(Inputs!$K$5:$AJ$110,0,MATCH(Z$2,Inputs!$K$4:$AJ$4,0)))+SUMPRODUCT((Inputs!$E$5:$E$110=$B56)*Inputs!$F$5:$F$110*(((Inputs!$G$5:$G$110="moeda")+(Inputs!$G$5:$G$110="acoes"))*Inputs!$B$1+((Inputs!$G$5:$G$110&lt;&gt;"moeda")*(Inputs!$G$5:$G$110&lt;&gt;"acoes")))*INDEX(Inputs!$K$5:$AJ$110,0,MATCH(Z$2,Inputs!$K$4:$AJ$4,0)))))</f>
        <v>5418</v>
      </c>
      <c r="AA56" s="263">
        <f>IF(ISNA(MATCH(AA$2,Inputs!$K$4:$AJ$4,0)),NA(),IF(SUMPRODUCT((Inputs!$A$5:$A$110=$B56)*ISNUMBER(INDEX(Inputs!$K$5:$AJ$110,0,MATCH(AA$2,Inputs!$K$4:$AJ$4,0))))+SUMPRODUCT((Inputs!$C$5:$C$110=$B56)*ISNUMBER(INDEX(Inputs!$K$5:$AJ$110,0,MATCH(AA$2,Inputs!$K$4:$AJ$4,0))))+SUMPRODUCT((Inputs!$E$5:$E$110=$B56)*ISNUMBER(INDEX(Inputs!$K$5:$AJ$110,0,MATCH(AA$2,Inputs!$K$4:$AJ$4,0))))=0,NA(),SUMPRODUCT((Inputs!$A$5:$A$110=$B56)*Inputs!$B$5:$B$110*(((Inputs!$G$5:$G$110="moeda")+(Inputs!$G$5:$G$110="acoes"))*Inputs!$B$1+((Inputs!$G$5:$G$110&lt;&gt;"moeda")*(Inputs!$G$5:$G$110&lt;&gt;"acoes")))*INDEX(Inputs!$K$5:$AJ$110,0,MATCH(AA$2,Inputs!$K$4:$AJ$4,0)))+SUMPRODUCT((Inputs!$C$5:$C$110=$B56)*Inputs!$D$5:$D$110*(((Inputs!$G$5:$G$110="moeda")+(Inputs!$G$5:$G$110="acoes"))*Inputs!$B$1+((Inputs!$G$5:$G$110&lt;&gt;"moeda")*(Inputs!$G$5:$G$110&lt;&gt;"acoes")))*INDEX(Inputs!$K$5:$AJ$110,0,MATCH(AA$2,Inputs!$K$4:$AJ$4,0)))+SUMPRODUCT((Inputs!$E$5:$E$110=$B56)*Inputs!$F$5:$F$110*(((Inputs!$G$5:$G$110="moeda")+(Inputs!$G$5:$G$110="acoes"))*Inputs!$B$1+((Inputs!$G$5:$G$110&lt;&gt;"moeda")*(Inputs!$G$5:$G$110&lt;&gt;"acoes")))*INDEX(Inputs!$K$5:$AJ$110,0,MATCH(AA$2,Inputs!$K$4:$AJ$4,0)))))</f>
        <v>5323</v>
      </c>
      <c r="AB56" s="264">
        <f>SUM(X56:AA56)</f>
        <v>20966</v>
      </c>
      <c r="AC56" s="263">
        <f>IF(ISNA(MATCH(AC$2,Inputs!$K$4:$AJ$4,0)),NA(),IF(SUMPRODUCT((Inputs!$A$5:$A$110=$B56)*ISNUMBER(INDEX(Inputs!$K$5:$AJ$110,0,MATCH(AC$2,Inputs!$K$4:$AJ$4,0))))+SUMPRODUCT((Inputs!$C$5:$C$110=$B56)*ISNUMBER(INDEX(Inputs!$K$5:$AJ$110,0,MATCH(AC$2,Inputs!$K$4:$AJ$4,0))))+SUMPRODUCT((Inputs!$E$5:$E$110=$B56)*ISNUMBER(INDEX(Inputs!$K$5:$AJ$110,0,MATCH(AC$2,Inputs!$K$4:$AJ$4,0))))=0,NA(),SUMPRODUCT((Inputs!$A$5:$A$110=$B56)*Inputs!$B$5:$B$110*(((Inputs!$G$5:$G$110="moeda")+(Inputs!$G$5:$G$110="acoes"))*Inputs!$B$1+((Inputs!$G$5:$G$110&lt;&gt;"moeda")*(Inputs!$G$5:$G$110&lt;&gt;"acoes")))*INDEX(Inputs!$K$5:$AJ$110,0,MATCH(AC$2,Inputs!$K$4:$AJ$4,0)))+SUMPRODUCT((Inputs!$C$5:$C$110=$B56)*Inputs!$D$5:$D$110*(((Inputs!$G$5:$G$110="moeda")+(Inputs!$G$5:$G$110="acoes"))*Inputs!$B$1+((Inputs!$G$5:$G$110&lt;&gt;"moeda")*(Inputs!$G$5:$G$110&lt;&gt;"acoes")))*INDEX(Inputs!$K$5:$AJ$110,0,MATCH(AC$2,Inputs!$K$4:$AJ$4,0)))+SUMPRODUCT((Inputs!$E$5:$E$110=$B56)*Inputs!$F$5:$F$110*(((Inputs!$G$5:$G$110="moeda")+(Inputs!$G$5:$G$110="acoes"))*Inputs!$B$1+((Inputs!$G$5:$G$110&lt;&gt;"moeda")*(Inputs!$G$5:$G$110&lt;&gt;"acoes")))*INDEX(Inputs!$K$5:$AJ$110,0,MATCH(AC$2,Inputs!$K$4:$AJ$4,0)))))</f>
        <v>5647</v>
      </c>
      <c r="AD56" s="263">
        <f>IF(ISNA(MATCH(AD$2,Inputs!$K$4:$AJ$4,0)),NA(),IF(SUMPRODUCT((Inputs!$A$5:$A$110=$B56)*ISNUMBER(INDEX(Inputs!$K$5:$AJ$110,0,MATCH(AD$2,Inputs!$K$4:$AJ$4,0))))+SUMPRODUCT((Inputs!$C$5:$C$110=$B56)*ISNUMBER(INDEX(Inputs!$K$5:$AJ$110,0,MATCH(AD$2,Inputs!$K$4:$AJ$4,0))))+SUMPRODUCT((Inputs!$E$5:$E$110=$B56)*ISNUMBER(INDEX(Inputs!$K$5:$AJ$110,0,MATCH(AD$2,Inputs!$K$4:$AJ$4,0))))=0,NA(),SUMPRODUCT((Inputs!$A$5:$A$110=$B56)*Inputs!$B$5:$B$110*(((Inputs!$G$5:$G$110="moeda")+(Inputs!$G$5:$G$110="acoes"))*Inputs!$B$1+((Inputs!$G$5:$G$110&lt;&gt;"moeda")*(Inputs!$G$5:$G$110&lt;&gt;"acoes")))*INDEX(Inputs!$K$5:$AJ$110,0,MATCH(AD$2,Inputs!$K$4:$AJ$4,0)))+SUMPRODUCT((Inputs!$C$5:$C$110=$B56)*Inputs!$D$5:$D$110*(((Inputs!$G$5:$G$110="moeda")+(Inputs!$G$5:$G$110="acoes"))*Inputs!$B$1+((Inputs!$G$5:$G$110&lt;&gt;"moeda")*(Inputs!$G$5:$G$110&lt;&gt;"acoes")))*INDEX(Inputs!$K$5:$AJ$110,0,MATCH(AD$2,Inputs!$K$4:$AJ$4,0)))+SUMPRODUCT((Inputs!$E$5:$E$110=$B56)*Inputs!$F$5:$F$110*(((Inputs!$G$5:$G$110="moeda")+(Inputs!$G$5:$G$110="acoes"))*Inputs!$B$1+((Inputs!$G$5:$G$110&lt;&gt;"moeda")*(Inputs!$G$5:$G$110&lt;&gt;"acoes")))*INDEX(Inputs!$K$5:$AJ$110,0,MATCH(AD$2,Inputs!$K$4:$AJ$4,0)))))</f>
        <v>7325</v>
      </c>
      <c r="AE56" s="263" t="e">
        <f>IF(ISNA(MATCH(AE$2,Inputs!$K$4:$AJ$4,0)),NA(),IF(SUMPRODUCT((Inputs!$A$5:$A$110=$B56)*ISNUMBER(INDEX(Inputs!$K$5:$AJ$110,0,MATCH(AE$2,Inputs!$K$4:$AJ$4,0))))+SUMPRODUCT((Inputs!$C$5:$C$110=$B56)*ISNUMBER(INDEX(Inputs!$K$5:$AJ$110,0,MATCH(AE$2,Inputs!$K$4:$AJ$4,0))))+SUMPRODUCT((Inputs!$E$5:$E$110=$B56)*ISNUMBER(INDEX(Inputs!$K$5:$AJ$110,0,MATCH(AE$2,Inputs!$K$4:$AJ$4,0))))=0,NA(),SUMPRODUCT((Inputs!$A$5:$A$110=$B56)*Inputs!$B$5:$B$110*(((Inputs!$G$5:$G$110="moeda")+(Inputs!$G$5:$G$110="acoes"))*Inputs!$B$1+((Inputs!$G$5:$G$110&lt;&gt;"moeda")*(Inputs!$G$5:$G$110&lt;&gt;"acoes")))*INDEX(Inputs!$K$5:$AJ$110,0,MATCH(AE$2,Inputs!$K$4:$AJ$4,0)))+SUMPRODUCT((Inputs!$C$5:$C$110=$B56)*Inputs!$D$5:$D$110*(((Inputs!$G$5:$G$110="moeda")+(Inputs!$G$5:$G$110="acoes"))*Inputs!$B$1+((Inputs!$G$5:$G$110&lt;&gt;"moeda")*(Inputs!$G$5:$G$110&lt;&gt;"acoes")))*INDEX(Inputs!$K$5:$AJ$110,0,MATCH(AE$2,Inputs!$K$4:$AJ$4,0)))+SUMPRODUCT((Inputs!$E$5:$E$110=$B56)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6" s="263" t="e">
        <f>IF(ISNA(MATCH(AF$2,Inputs!$K$4:$AJ$4,0)),NA(),IF(SUMPRODUCT((Inputs!$A$5:$A$110=$B56)*ISNUMBER(INDEX(Inputs!$K$5:$AJ$110,0,MATCH(AF$2,Inputs!$K$4:$AJ$4,0))))+SUMPRODUCT((Inputs!$C$5:$C$110=$B56)*ISNUMBER(INDEX(Inputs!$K$5:$AJ$110,0,MATCH(AF$2,Inputs!$K$4:$AJ$4,0))))+SUMPRODUCT((Inputs!$E$5:$E$110=$B56)*ISNUMBER(INDEX(Inputs!$K$5:$AJ$110,0,MATCH(AF$2,Inputs!$K$4:$AJ$4,0))))=0,NA(),SUMPRODUCT((Inputs!$A$5:$A$110=$B56)*Inputs!$B$5:$B$110*(((Inputs!$G$5:$G$110="moeda")+(Inputs!$G$5:$G$110="acoes"))*Inputs!$B$1+((Inputs!$G$5:$G$110&lt;&gt;"moeda")*(Inputs!$G$5:$G$110&lt;&gt;"acoes")))*INDEX(Inputs!$K$5:$AJ$110,0,MATCH(AF$2,Inputs!$K$4:$AJ$4,0)))+SUMPRODUCT((Inputs!$C$5:$C$110=$B56)*Inputs!$D$5:$D$110*(((Inputs!$G$5:$G$110="moeda")+(Inputs!$G$5:$G$110="acoes"))*Inputs!$B$1+((Inputs!$G$5:$G$110&lt;&gt;"moeda")*(Inputs!$G$5:$G$110&lt;&gt;"acoes")))*INDEX(Inputs!$K$5:$AJ$110,0,MATCH(AF$2,Inputs!$K$4:$AJ$4,0)))+SUMPRODUCT((Inputs!$E$5:$E$110=$B56)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6" s="264" t="e">
        <f>SUM(AC56:AF56)</f>
        <v>#N/A</v>
      </c>
      <c r="AH56" s="263">
        <f>IF(ISNA(MATCH(AH$2,Inputs!$K$4:$AJ$4,0)),NA(),IF(SUMPRODUCT((Inputs!$A$5:$A$110=$B56)*ISNUMBER(INDEX(Inputs!$K$5:$AJ$110,0,MATCH(AH$2,Inputs!$K$4:$AJ$4,0))))+SUMPRODUCT((Inputs!$C$5:$C$110=$B56)*ISNUMBER(INDEX(Inputs!$K$5:$AJ$110,0,MATCH(AH$2,Inputs!$K$4:$AJ$4,0))))+SUMPRODUCT((Inputs!$E$5:$E$110=$B56)*ISNUMBER(INDEX(Inputs!$K$5:$AJ$110,0,MATCH(AH$2,Inputs!$K$4:$AJ$4,0))))=0,NA(),SUMPRODUCT((Inputs!$A$5:$A$110=$B56)*Inputs!$B$5:$B$110*(((Inputs!$G$5:$G$110="moeda")+(Inputs!$G$5:$G$110="acoes"))*Inputs!$B$1+((Inputs!$G$5:$G$110&lt;&gt;"moeda")*(Inputs!$G$5:$G$110&lt;&gt;"acoes")))*INDEX(Inputs!$K$5:$AJ$110,0,MATCH(AH$2,Inputs!$K$4:$AJ$4,0)))+SUMPRODUCT((Inputs!$C$5:$C$110=$B56)*Inputs!$D$5:$D$110*(((Inputs!$G$5:$G$110="moeda")+(Inputs!$G$5:$G$110="acoes"))*Inputs!$B$1+((Inputs!$G$5:$G$110&lt;&gt;"moeda")*(Inputs!$G$5:$G$110&lt;&gt;"acoes")))*INDEX(Inputs!$K$5:$AJ$110,0,MATCH(AH$2,Inputs!$K$4:$AJ$4,0)))+SUMPRODUCT((Inputs!$E$5:$E$110=$B56)*Inputs!$F$5:$F$110*(((Inputs!$G$5:$G$110="moeda")+(Inputs!$G$5:$G$110="acoes"))*Inputs!$B$1+((Inputs!$G$5:$G$110&lt;&gt;"moeda")*(Inputs!$G$5:$G$110&lt;&gt;"acoes")))*INDEX(Inputs!$K$5:$AJ$110,0,MATCH(AH$2,Inputs!$K$4:$AJ$4,0)))))</f>
        <v>1140</v>
      </c>
      <c r="AI56" s="263">
        <f>IF(ISNA(MATCH(AI$2,Inputs!$K$4:$AJ$4,0)),NA(),IF(SUMPRODUCT((Inputs!$A$5:$A$110=$B56)*ISNUMBER(INDEX(Inputs!$K$5:$AJ$110,0,MATCH(AI$2,Inputs!$K$4:$AJ$4,0))))+SUMPRODUCT((Inputs!$C$5:$C$110=$B56)*ISNUMBER(INDEX(Inputs!$K$5:$AJ$110,0,MATCH(AI$2,Inputs!$K$4:$AJ$4,0))))+SUMPRODUCT((Inputs!$E$5:$E$110=$B56)*ISNUMBER(INDEX(Inputs!$K$5:$AJ$110,0,MATCH(AI$2,Inputs!$K$4:$AJ$4,0))))=0,NA(),SUMPRODUCT((Inputs!$A$5:$A$110=$B56)*Inputs!$B$5:$B$110*(((Inputs!$G$5:$G$110="moeda")+(Inputs!$G$5:$G$110="acoes"))*Inputs!$B$1+((Inputs!$G$5:$G$110&lt;&gt;"moeda")*(Inputs!$G$5:$G$110&lt;&gt;"acoes")))*INDEX(Inputs!$K$5:$AJ$110,0,MATCH(AI$2,Inputs!$K$4:$AJ$4,0)))+SUMPRODUCT((Inputs!$C$5:$C$110=$B56)*Inputs!$D$5:$D$110*(((Inputs!$G$5:$G$110="moeda")+(Inputs!$G$5:$G$110="acoes"))*Inputs!$B$1+((Inputs!$G$5:$G$110&lt;&gt;"moeda")*(Inputs!$G$5:$G$110&lt;&gt;"acoes")))*INDEX(Inputs!$K$5:$AJ$110,0,MATCH(AI$2,Inputs!$K$4:$AJ$4,0)))+SUMPRODUCT((Inputs!$E$5:$E$110=$B56)*Inputs!$F$5:$F$110*(((Inputs!$G$5:$G$110="moeda")+(Inputs!$G$5:$G$110="acoes"))*Inputs!$B$1+((Inputs!$G$5:$G$110&lt;&gt;"moeda")*(Inputs!$G$5:$G$110&lt;&gt;"acoes")))*INDEX(Inputs!$K$5:$AJ$110,0,MATCH(AI$2,Inputs!$K$4:$AJ$4,0)))))</f>
        <v>1069</v>
      </c>
      <c r="AJ56" s="263">
        <f>IF(ISNA(MATCH(AJ$2,Inputs!$K$4:$AJ$4,0)),NA(),IF(SUMPRODUCT((Inputs!$A$5:$A$110=$B56)*ISNUMBER(INDEX(Inputs!$K$5:$AJ$110,0,MATCH(AJ$2,Inputs!$K$4:$AJ$4,0))))+SUMPRODUCT((Inputs!$C$5:$C$110=$B56)*ISNUMBER(INDEX(Inputs!$K$5:$AJ$110,0,MATCH(AJ$2,Inputs!$K$4:$AJ$4,0))))+SUMPRODUCT((Inputs!$E$5:$E$110=$B56)*ISNUMBER(INDEX(Inputs!$K$5:$AJ$110,0,MATCH(AJ$2,Inputs!$K$4:$AJ$4,0))))=0,NA(),SUMPRODUCT((Inputs!$A$5:$A$110=$B56)*Inputs!$B$5:$B$110*(((Inputs!$G$5:$G$110="moeda")+(Inputs!$G$5:$G$110="acoes"))*Inputs!$B$1+((Inputs!$G$5:$G$110&lt;&gt;"moeda")*(Inputs!$G$5:$G$110&lt;&gt;"acoes")))*INDEX(Inputs!$K$5:$AJ$110,0,MATCH(AJ$2,Inputs!$K$4:$AJ$4,0)))+SUMPRODUCT((Inputs!$C$5:$C$110=$B56)*Inputs!$D$5:$D$110*(((Inputs!$G$5:$G$110="moeda")+(Inputs!$G$5:$G$110="acoes"))*Inputs!$B$1+((Inputs!$G$5:$G$110&lt;&gt;"moeda")*(Inputs!$G$5:$G$110&lt;&gt;"acoes")))*INDEX(Inputs!$K$5:$AJ$110,0,MATCH(AJ$2,Inputs!$K$4:$AJ$4,0)))+SUMPRODUCT((Inputs!$E$5:$E$110=$B56)*Inputs!$F$5:$F$110*(((Inputs!$G$5:$G$110="moeda")+(Inputs!$G$5:$G$110="acoes"))*Inputs!$B$1+((Inputs!$G$5:$G$110&lt;&gt;"moeda")*(Inputs!$G$5:$G$110&lt;&gt;"acoes")))*INDEX(Inputs!$K$5:$AJ$110,0,MATCH(AJ$2,Inputs!$K$4:$AJ$4,0)))))</f>
        <v>1113</v>
      </c>
      <c r="AK56" s="263">
        <f>IF(ISNA(MATCH(AK$2,Inputs!$K$4:$AJ$4,0)),NA(),IF(SUMPRODUCT((Inputs!$A$5:$A$110=$B56)*ISNUMBER(INDEX(Inputs!$K$5:$AJ$110,0,MATCH(AK$2,Inputs!$K$4:$AJ$4,0))))+SUMPRODUCT((Inputs!$C$5:$C$110=$B56)*ISNUMBER(INDEX(Inputs!$K$5:$AJ$110,0,MATCH(AK$2,Inputs!$K$4:$AJ$4,0))))+SUMPRODUCT((Inputs!$E$5:$E$110=$B56)*ISNUMBER(INDEX(Inputs!$K$5:$AJ$110,0,MATCH(AK$2,Inputs!$K$4:$AJ$4,0))))=0,NA(),SUMPRODUCT((Inputs!$A$5:$A$110=$B56)*Inputs!$B$5:$B$110*(((Inputs!$G$5:$G$110="moeda")+(Inputs!$G$5:$G$110="acoes"))*Inputs!$B$1+((Inputs!$G$5:$G$110&lt;&gt;"moeda")*(Inputs!$G$5:$G$110&lt;&gt;"acoes")))*INDEX(Inputs!$K$5:$AJ$110,0,MATCH(AK$2,Inputs!$K$4:$AJ$4,0)))+SUMPRODUCT((Inputs!$C$5:$C$110=$B56)*Inputs!$D$5:$D$110*(((Inputs!$G$5:$G$110="moeda")+(Inputs!$G$5:$G$110="acoes"))*Inputs!$B$1+((Inputs!$G$5:$G$110&lt;&gt;"moeda")*(Inputs!$G$5:$G$110&lt;&gt;"acoes")))*INDEX(Inputs!$K$5:$AJ$110,0,MATCH(AK$2,Inputs!$K$4:$AJ$4,0)))+SUMPRODUCT((Inputs!$E$5:$E$110=$B56)*Inputs!$F$5:$F$110*(((Inputs!$G$5:$G$110="moeda")+(Inputs!$G$5:$G$110="acoes"))*Inputs!$B$1+((Inputs!$G$5:$G$110&lt;&gt;"moeda")*(Inputs!$G$5:$G$110&lt;&gt;"acoes")))*INDEX(Inputs!$K$5:$AJ$110,0,MATCH(AK$2,Inputs!$K$4:$AJ$4,0)))))</f>
        <v>1219</v>
      </c>
      <c r="AL56" s="264">
        <f>SUM(AH56:AK56)</f>
        <v>4541</v>
      </c>
    </row>
    <row r="57">
      <c r="B57" s="46" t="n">
        <v>49</v>
      </c>
      <c r="C57" s="29" t="inlineStr">
        <is>
          <t>Receita de produtos (USD)</t>
        </is>
      </c>
      <c r="D57" s="263">
        <f>IF(ISNA(MATCH(D$2,Inputs!$K$4:$AJ$4,0)),NA(),IF(SUMPRODUCT((Inputs!$A$5:$A$110=$B57)*ISNUMBER(INDEX(Inputs!$K$5:$AJ$110,0,MATCH(D$2,Inputs!$K$4:$AJ$4,0))))+SUMPRODUCT((Inputs!$C$5:$C$110=$B57)*ISNUMBER(INDEX(Inputs!$K$5:$AJ$110,0,MATCH(D$2,Inputs!$K$4:$AJ$4,0))))+SUMPRODUCT((Inputs!$E$5:$E$110=$B57)*ISNUMBER(INDEX(Inputs!$K$5:$AJ$110,0,MATCH(D$2,Inputs!$K$4:$AJ$4,0))))=0,NA(),SUMPRODUCT((Inputs!$A$5:$A$110=$B57)*Inputs!$B$5:$B$110*(((Inputs!$G$5:$G$110="moeda")+(Inputs!$G$5:$G$110="acoes"))*Inputs!$B$1+((Inputs!$G$5:$G$110&lt;&gt;"moeda")*(Inputs!$G$5:$G$110&lt;&gt;"acoes")))*INDEX(Inputs!$K$5:$AJ$110,0,MATCH(D$2,Inputs!$K$4:$AJ$4,0)))+SUMPRODUCT((Inputs!$C$5:$C$110=$B57)*Inputs!$D$5:$D$110*(((Inputs!$G$5:$G$110="moeda")+(Inputs!$G$5:$G$110="acoes"))*Inputs!$B$1+((Inputs!$G$5:$G$110&lt;&gt;"moeda")*(Inputs!$G$5:$G$110&lt;&gt;"acoes")))*INDEX(Inputs!$K$5:$AJ$110,0,MATCH(D$2,Inputs!$K$4:$AJ$4,0)))+SUMPRODUCT((Inputs!$E$5:$E$110=$B57)*Inputs!$F$5:$F$110*(((Inputs!$G$5:$G$110="moeda")+(Inputs!$G$5:$G$110="acoes"))*Inputs!$B$1+((Inputs!$G$5:$G$110&lt;&gt;"moeda")*(Inputs!$G$5:$G$110&lt;&gt;"acoes")))*INDEX(Inputs!$K$5:$AJ$110,0,MATCH(D$2,Inputs!$K$4:$AJ$4,0)))))</f>
        <v>4983</v>
      </c>
      <c r="E57" s="263">
        <f>IF(ISNA(MATCH(E$2,Inputs!$K$4:$AJ$4,0)),NA(),IF(SUMPRODUCT((Inputs!$A$5:$A$110=$B57)*ISNUMBER(INDEX(Inputs!$K$5:$AJ$110,0,MATCH(E$2,Inputs!$K$4:$AJ$4,0))))+SUMPRODUCT((Inputs!$C$5:$C$110=$B57)*ISNUMBER(INDEX(Inputs!$K$5:$AJ$110,0,MATCH(E$2,Inputs!$K$4:$AJ$4,0))))+SUMPRODUCT((Inputs!$E$5:$E$110=$B57)*ISNUMBER(INDEX(Inputs!$K$5:$AJ$110,0,MATCH(E$2,Inputs!$K$4:$AJ$4,0))))=0,NA(),SUMPRODUCT((Inputs!$A$5:$A$110=$B57)*Inputs!$B$5:$B$110*(((Inputs!$G$5:$G$110="moeda")+(Inputs!$G$5:$G$110="acoes"))*Inputs!$B$1+((Inputs!$G$5:$G$110&lt;&gt;"moeda")*(Inputs!$G$5:$G$110&lt;&gt;"acoes")))*INDEX(Inputs!$K$5:$AJ$110,0,MATCH(E$2,Inputs!$K$4:$AJ$4,0)))+SUMPRODUCT((Inputs!$C$5:$C$110=$B57)*Inputs!$D$5:$D$110*(((Inputs!$G$5:$G$110="moeda")+(Inputs!$G$5:$G$110="acoes"))*Inputs!$B$1+((Inputs!$G$5:$G$110&lt;&gt;"moeda")*(Inputs!$G$5:$G$110&lt;&gt;"acoes")))*INDEX(Inputs!$K$5:$AJ$110,0,MATCH(E$2,Inputs!$K$4:$AJ$4,0)))+SUMPRODUCT((Inputs!$E$5:$E$110=$B57)*Inputs!$F$5:$F$110*(((Inputs!$G$5:$G$110="moeda")+(Inputs!$G$5:$G$110="acoes"))*Inputs!$B$1+((Inputs!$G$5:$G$110&lt;&gt;"moeda")*(Inputs!$G$5:$G$110&lt;&gt;"acoes")))*INDEX(Inputs!$K$5:$AJ$110,0,MATCH(E$2,Inputs!$K$4:$AJ$4,0)))))</f>
        <v>5064</v>
      </c>
      <c r="F57" s="263">
        <f>IF(ISNA(MATCH(F$2,Inputs!$K$4:$AJ$4,0)),NA(),IF(SUMPRODUCT((Inputs!$A$5:$A$110=$B57)*ISNUMBER(INDEX(Inputs!$K$5:$AJ$110,0,MATCH(F$2,Inputs!$K$4:$AJ$4,0))))+SUMPRODUCT((Inputs!$C$5:$C$110=$B57)*ISNUMBER(INDEX(Inputs!$K$5:$AJ$110,0,MATCH(F$2,Inputs!$K$4:$AJ$4,0))))+SUMPRODUCT((Inputs!$E$5:$E$110=$B57)*ISNUMBER(INDEX(Inputs!$K$5:$AJ$110,0,MATCH(F$2,Inputs!$K$4:$AJ$4,0))))=0,NA(),SUMPRODUCT((Inputs!$A$5:$A$110=$B57)*Inputs!$B$5:$B$110*(((Inputs!$G$5:$G$110="moeda")+(Inputs!$G$5:$G$110="acoes"))*Inputs!$B$1+((Inputs!$G$5:$G$110&lt;&gt;"moeda")*(Inputs!$G$5:$G$110&lt;&gt;"acoes")))*INDEX(Inputs!$K$5:$AJ$110,0,MATCH(F$2,Inputs!$K$4:$AJ$4,0)))+SUMPRODUCT((Inputs!$C$5:$C$110=$B57)*Inputs!$D$5:$D$110*(((Inputs!$G$5:$G$110="moeda")+(Inputs!$G$5:$G$110="acoes"))*Inputs!$B$1+((Inputs!$G$5:$G$110&lt;&gt;"moeda")*(Inputs!$G$5:$G$110&lt;&gt;"acoes")))*INDEX(Inputs!$K$5:$AJ$110,0,MATCH(F$2,Inputs!$K$4:$AJ$4,0)))+SUMPRODUCT((Inputs!$E$5:$E$110=$B57)*Inputs!$F$5:$F$110*(((Inputs!$G$5:$G$110="moeda")+(Inputs!$G$5:$G$110="acoes"))*Inputs!$B$1+((Inputs!$G$5:$G$110&lt;&gt;"moeda")*(Inputs!$G$5:$G$110&lt;&gt;"acoes")))*INDEX(Inputs!$K$5:$AJ$110,0,MATCH(F$2,Inputs!$K$4:$AJ$4,0)))))</f>
        <v>5758</v>
      </c>
      <c r="G57" s="263">
        <f>IF(ISNA(MATCH(G$2,Inputs!$K$4:$AJ$4,0)),NA(),IF(SUMPRODUCT((Inputs!$A$5:$A$110=$B57)*ISNUMBER(INDEX(Inputs!$K$5:$AJ$110,0,MATCH(G$2,Inputs!$K$4:$AJ$4,0))))+SUMPRODUCT((Inputs!$C$5:$C$110=$B57)*ISNUMBER(INDEX(Inputs!$K$5:$AJ$110,0,MATCH(G$2,Inputs!$K$4:$AJ$4,0))))+SUMPRODUCT((Inputs!$E$5:$E$110=$B57)*ISNUMBER(INDEX(Inputs!$K$5:$AJ$110,0,MATCH(G$2,Inputs!$K$4:$AJ$4,0))))=0,NA(),SUMPRODUCT((Inputs!$A$5:$A$110=$B57)*Inputs!$B$5:$B$110*(((Inputs!$G$5:$G$110="moeda")+(Inputs!$G$5:$G$110="acoes"))*Inputs!$B$1+((Inputs!$G$5:$G$110&lt;&gt;"moeda")*(Inputs!$G$5:$G$110&lt;&gt;"acoes")))*INDEX(Inputs!$K$5:$AJ$110,0,MATCH(G$2,Inputs!$K$4:$AJ$4,0)))+SUMPRODUCT((Inputs!$C$5:$C$110=$B57)*Inputs!$D$5:$D$110*(((Inputs!$G$5:$G$110="moeda")+(Inputs!$G$5:$G$110="acoes"))*Inputs!$B$1+((Inputs!$G$5:$G$110&lt;&gt;"moeda")*(Inputs!$G$5:$G$110&lt;&gt;"acoes")))*INDEX(Inputs!$K$5:$AJ$110,0,MATCH(G$2,Inputs!$K$4:$AJ$4,0)))+SUMPRODUCT((Inputs!$E$5:$E$110=$B57)*Inputs!$F$5:$F$110*(((Inputs!$G$5:$G$110="moeda")+(Inputs!$G$5:$G$110="acoes"))*Inputs!$B$1+((Inputs!$G$5:$G$110&lt;&gt;"moeda")*(Inputs!$G$5:$G$110&lt;&gt;"acoes")))*INDEX(Inputs!$K$5:$AJ$110,0,MATCH(G$2,Inputs!$K$4:$AJ$4,0)))))</f>
        <v>6053</v>
      </c>
      <c r="H57" s="264">
        <f>SUM(D57:G57)</f>
        <v>21858</v>
      </c>
      <c r="I57" s="263">
        <f>IF(ISNA(MATCH(I$2,Inputs!$K$4:$AJ$4,0)),NA(),IF(SUMPRODUCT((Inputs!$A$5:$A$110=$B57)*ISNUMBER(INDEX(Inputs!$K$5:$AJ$110,0,MATCH(I$2,Inputs!$K$4:$AJ$4,0))))+SUMPRODUCT((Inputs!$C$5:$C$110=$B57)*ISNUMBER(INDEX(Inputs!$K$5:$AJ$110,0,MATCH(I$2,Inputs!$K$4:$AJ$4,0))))+SUMPRODUCT((Inputs!$E$5:$E$110=$B57)*ISNUMBER(INDEX(Inputs!$K$5:$AJ$110,0,MATCH(I$2,Inputs!$K$4:$AJ$4,0))))=0,NA(),SUMPRODUCT((Inputs!$A$5:$A$110=$B57)*Inputs!$B$5:$B$110*(((Inputs!$G$5:$G$110="moeda")+(Inputs!$G$5:$G$110="acoes"))*Inputs!$B$1+((Inputs!$G$5:$G$110&lt;&gt;"moeda")*(Inputs!$G$5:$G$110&lt;&gt;"acoes")))*INDEX(Inputs!$K$5:$AJ$110,0,MATCH(I$2,Inputs!$K$4:$AJ$4,0)))+SUMPRODUCT((Inputs!$C$5:$C$110=$B57)*Inputs!$D$5:$D$110*(((Inputs!$G$5:$G$110="moeda")+(Inputs!$G$5:$G$110="acoes"))*Inputs!$B$1+((Inputs!$G$5:$G$110&lt;&gt;"moeda")*(Inputs!$G$5:$G$110&lt;&gt;"acoes")))*INDEX(Inputs!$K$5:$AJ$110,0,MATCH(I$2,Inputs!$K$4:$AJ$4,0)))+SUMPRODUCT((Inputs!$E$5:$E$110=$B57)*Inputs!$F$5:$F$110*(((Inputs!$G$5:$G$110="moeda")+(Inputs!$G$5:$G$110="acoes"))*Inputs!$B$1+((Inputs!$G$5:$G$110&lt;&gt;"moeda")*(Inputs!$G$5:$G$110&lt;&gt;"acoes")))*INDEX(Inputs!$K$5:$AJ$110,0,MATCH(I$2,Inputs!$K$4:$AJ$4,0)))))</f>
        <v>6417</v>
      </c>
      <c r="J57" s="263">
        <f>IF(ISNA(MATCH(J$2,Inputs!$K$4:$AJ$4,0)),NA(),IF(SUMPRODUCT((Inputs!$A$5:$A$110=$B57)*ISNUMBER(INDEX(Inputs!$K$5:$AJ$110,0,MATCH(J$2,Inputs!$K$4:$AJ$4,0))))+SUMPRODUCT((Inputs!$C$5:$C$110=$B57)*ISNUMBER(INDEX(Inputs!$K$5:$AJ$110,0,MATCH(J$2,Inputs!$K$4:$AJ$4,0))))+SUMPRODUCT((Inputs!$E$5:$E$110=$B57)*ISNUMBER(INDEX(Inputs!$K$5:$AJ$110,0,MATCH(J$2,Inputs!$K$4:$AJ$4,0))))=0,NA(),SUMPRODUCT((Inputs!$A$5:$A$110=$B57)*Inputs!$B$5:$B$110*(((Inputs!$G$5:$G$110="moeda")+(Inputs!$G$5:$G$110="acoes"))*Inputs!$B$1+((Inputs!$G$5:$G$110&lt;&gt;"moeda")*(Inputs!$G$5:$G$110&lt;&gt;"acoes")))*INDEX(Inputs!$K$5:$AJ$110,0,MATCH(J$2,Inputs!$K$4:$AJ$4,0)))+SUMPRODUCT((Inputs!$C$5:$C$110=$B57)*Inputs!$D$5:$D$110*(((Inputs!$G$5:$G$110="moeda")+(Inputs!$G$5:$G$110="acoes"))*Inputs!$B$1+((Inputs!$G$5:$G$110&lt;&gt;"moeda")*(Inputs!$G$5:$G$110&lt;&gt;"acoes")))*INDEX(Inputs!$K$5:$AJ$110,0,MATCH(J$2,Inputs!$K$4:$AJ$4,0)))+SUMPRODUCT((Inputs!$E$5:$E$110=$B57)*Inputs!$F$5:$F$110*(((Inputs!$G$5:$G$110="moeda")+(Inputs!$G$5:$G$110="acoes"))*Inputs!$B$1+((Inputs!$G$5:$G$110&lt;&gt;"moeda")*(Inputs!$G$5:$G$110&lt;&gt;"acoes")))*INDEX(Inputs!$K$5:$AJ$110,0,MATCH(J$2,Inputs!$K$4:$AJ$4,0)))))</f>
        <v>6627</v>
      </c>
      <c r="K57" s="263">
        <f>IF(ISNA(MATCH(K$2,Inputs!$K$4:$AJ$4,0)),NA(),IF(SUMPRODUCT((Inputs!$A$5:$A$110=$B57)*ISNUMBER(INDEX(Inputs!$K$5:$AJ$110,0,MATCH(K$2,Inputs!$K$4:$AJ$4,0))))+SUMPRODUCT((Inputs!$C$5:$C$110=$B57)*ISNUMBER(INDEX(Inputs!$K$5:$AJ$110,0,MATCH(K$2,Inputs!$K$4:$AJ$4,0))))+SUMPRODUCT((Inputs!$E$5:$E$110=$B57)*ISNUMBER(INDEX(Inputs!$K$5:$AJ$110,0,MATCH(K$2,Inputs!$K$4:$AJ$4,0))))=0,NA(),SUMPRODUCT((Inputs!$A$5:$A$110=$B57)*Inputs!$B$5:$B$110*(((Inputs!$G$5:$G$110="moeda")+(Inputs!$G$5:$G$110="acoes"))*Inputs!$B$1+((Inputs!$G$5:$G$110&lt;&gt;"moeda")*(Inputs!$G$5:$G$110&lt;&gt;"acoes")))*INDEX(Inputs!$K$5:$AJ$110,0,MATCH(K$2,Inputs!$K$4:$AJ$4,0)))+SUMPRODUCT((Inputs!$C$5:$C$110=$B57)*Inputs!$D$5:$D$110*(((Inputs!$G$5:$G$110="moeda")+(Inputs!$G$5:$G$110="acoes"))*Inputs!$B$1+((Inputs!$G$5:$G$110&lt;&gt;"moeda")*(Inputs!$G$5:$G$110&lt;&gt;"acoes")))*INDEX(Inputs!$K$5:$AJ$110,0,MATCH(K$2,Inputs!$K$4:$AJ$4,0)))+SUMPRODUCT((Inputs!$E$5:$E$110=$B57)*Inputs!$F$5:$F$110*(((Inputs!$G$5:$G$110="moeda")+(Inputs!$G$5:$G$110="acoes"))*Inputs!$B$1+((Inputs!$G$5:$G$110&lt;&gt;"moeda")*(Inputs!$G$5:$G$110&lt;&gt;"acoes")))*INDEX(Inputs!$K$5:$AJ$110,0,MATCH(K$2,Inputs!$K$4:$AJ$4,0)))))</f>
        <v>7180</v>
      </c>
      <c r="L57" s="263">
        <f>IF(ISNA(MATCH(L$2,Inputs!$K$4:$AJ$4,0)),NA(),IF(SUMPRODUCT((Inputs!$A$5:$A$110=$B57)*ISNUMBER(INDEX(Inputs!$K$5:$AJ$110,0,MATCH(L$2,Inputs!$K$4:$AJ$4,0))))+SUMPRODUCT((Inputs!$C$5:$C$110=$B57)*ISNUMBER(INDEX(Inputs!$K$5:$AJ$110,0,MATCH(L$2,Inputs!$K$4:$AJ$4,0))))+SUMPRODUCT((Inputs!$E$5:$E$110=$B57)*ISNUMBER(INDEX(Inputs!$K$5:$AJ$110,0,MATCH(L$2,Inputs!$K$4:$AJ$4,0))))=0,NA(),SUMPRODUCT((Inputs!$A$5:$A$110=$B57)*Inputs!$B$5:$B$110*(((Inputs!$G$5:$G$110="moeda")+(Inputs!$G$5:$G$110="acoes"))*Inputs!$B$1+((Inputs!$G$5:$G$110&lt;&gt;"moeda")*(Inputs!$G$5:$G$110&lt;&gt;"acoes")))*INDEX(Inputs!$K$5:$AJ$110,0,MATCH(L$2,Inputs!$K$4:$AJ$4,0)))+SUMPRODUCT((Inputs!$C$5:$C$110=$B57)*Inputs!$D$5:$D$110*(((Inputs!$G$5:$G$110="moeda")+(Inputs!$G$5:$G$110="acoes"))*Inputs!$B$1+((Inputs!$G$5:$G$110&lt;&gt;"moeda")*(Inputs!$G$5:$G$110&lt;&gt;"acoes")))*INDEX(Inputs!$K$5:$AJ$110,0,MATCH(L$2,Inputs!$K$4:$AJ$4,0)))+SUMPRODUCT((Inputs!$E$5:$E$110=$B57)*Inputs!$F$5:$F$110*(((Inputs!$G$5:$G$110="moeda")+(Inputs!$G$5:$G$110="acoes"))*Inputs!$B$1+((Inputs!$G$5:$G$110&lt;&gt;"moeda")*(Inputs!$G$5:$G$110&lt;&gt;"acoes")))*INDEX(Inputs!$K$5:$AJ$110,0,MATCH(L$2,Inputs!$K$4:$AJ$4,0)))))</f>
        <v>7082</v>
      </c>
      <c r="M57" s="264">
        <f>SUM(I57:L57)</f>
        <v>27306</v>
      </c>
      <c r="N57" s="263">
        <f>IF(ISNA(MATCH(N$2,Inputs!$K$4:$AJ$4,0)),NA(),IF(SUMPRODUCT((Inputs!$A$5:$A$110=$B57)*ISNUMBER(INDEX(Inputs!$K$5:$AJ$110,0,MATCH(N$2,Inputs!$K$4:$AJ$4,0))))+SUMPRODUCT((Inputs!$C$5:$C$110=$B57)*ISNUMBER(INDEX(Inputs!$K$5:$AJ$110,0,MATCH(N$2,Inputs!$K$4:$AJ$4,0))))+SUMPRODUCT((Inputs!$E$5:$E$110=$B57)*ISNUMBER(INDEX(Inputs!$K$5:$AJ$110,0,MATCH(N$2,Inputs!$K$4:$AJ$4,0))))=0,NA(),SUMPRODUCT((Inputs!$A$5:$A$110=$B57)*Inputs!$B$5:$B$110*(((Inputs!$G$5:$G$110="moeda")+(Inputs!$G$5:$G$110="acoes"))*Inputs!$B$1+((Inputs!$G$5:$G$110&lt;&gt;"moeda")*(Inputs!$G$5:$G$110&lt;&gt;"acoes")))*INDEX(Inputs!$K$5:$AJ$110,0,MATCH(N$2,Inputs!$K$4:$AJ$4,0)))+SUMPRODUCT((Inputs!$C$5:$C$110=$B57)*Inputs!$D$5:$D$110*(((Inputs!$G$5:$G$110="moeda")+(Inputs!$G$5:$G$110="acoes"))*Inputs!$B$1+((Inputs!$G$5:$G$110&lt;&gt;"moeda")*(Inputs!$G$5:$G$110&lt;&gt;"acoes")))*INDEX(Inputs!$K$5:$AJ$110,0,MATCH(N$2,Inputs!$K$4:$AJ$4,0)))+SUMPRODUCT((Inputs!$E$5:$E$110=$B57)*Inputs!$F$5:$F$110*(((Inputs!$G$5:$G$110="moeda")+(Inputs!$G$5:$G$110="acoes"))*Inputs!$B$1+((Inputs!$G$5:$G$110&lt;&gt;"moeda")*(Inputs!$G$5:$G$110&lt;&gt;"acoes")))*INDEX(Inputs!$K$5:$AJ$110,0,MATCH(N$2,Inputs!$K$4:$AJ$4,0)))))</f>
        <v>6741</v>
      </c>
      <c r="O57" s="263">
        <f>IF(ISNA(MATCH(O$2,Inputs!$K$4:$AJ$4,0)),NA(),IF(SUMPRODUCT((Inputs!$A$5:$A$110=$B57)*ISNUMBER(INDEX(Inputs!$K$5:$AJ$110,0,MATCH(O$2,Inputs!$K$4:$AJ$4,0))))+SUMPRODUCT((Inputs!$C$5:$C$110=$B57)*ISNUMBER(INDEX(Inputs!$K$5:$AJ$110,0,MATCH(O$2,Inputs!$K$4:$AJ$4,0))))+SUMPRODUCT((Inputs!$E$5:$E$110=$B57)*ISNUMBER(INDEX(Inputs!$K$5:$AJ$110,0,MATCH(O$2,Inputs!$K$4:$AJ$4,0))))=0,NA(),SUMPRODUCT((Inputs!$A$5:$A$110=$B57)*Inputs!$B$5:$B$110*(((Inputs!$G$5:$G$110="moeda")+(Inputs!$G$5:$G$110="acoes"))*Inputs!$B$1+((Inputs!$G$5:$G$110&lt;&gt;"moeda")*(Inputs!$G$5:$G$110&lt;&gt;"acoes")))*INDEX(Inputs!$K$5:$AJ$110,0,MATCH(O$2,Inputs!$K$4:$AJ$4,0)))+SUMPRODUCT((Inputs!$C$5:$C$110=$B57)*Inputs!$D$5:$D$110*(((Inputs!$G$5:$G$110="moeda")+(Inputs!$G$5:$G$110="acoes"))*Inputs!$B$1+((Inputs!$G$5:$G$110&lt;&gt;"moeda")*(Inputs!$G$5:$G$110&lt;&gt;"acoes")))*INDEX(Inputs!$K$5:$AJ$110,0,MATCH(O$2,Inputs!$K$4:$AJ$4,0)))+SUMPRODUCT((Inputs!$E$5:$E$110=$B57)*Inputs!$F$5:$F$110*(((Inputs!$G$5:$G$110="moeda")+(Inputs!$G$5:$G$110="acoes"))*Inputs!$B$1+((Inputs!$G$5:$G$110&lt;&gt;"moeda")*(Inputs!$G$5:$G$110&lt;&gt;"acoes")))*INDEX(Inputs!$K$5:$AJ$110,0,MATCH(O$2,Inputs!$K$4:$AJ$4,0)))))</f>
        <v>6917</v>
      </c>
      <c r="P57" s="263">
        <f>IF(ISNA(MATCH(P$2,Inputs!$K$4:$AJ$4,0)),NA(),IF(SUMPRODUCT((Inputs!$A$5:$A$110=$B57)*ISNUMBER(INDEX(Inputs!$K$5:$AJ$110,0,MATCH(P$2,Inputs!$K$4:$AJ$4,0))))+SUMPRODUCT((Inputs!$C$5:$C$110=$B57)*ISNUMBER(INDEX(Inputs!$K$5:$AJ$110,0,MATCH(P$2,Inputs!$K$4:$AJ$4,0))))+SUMPRODUCT((Inputs!$E$5:$E$110=$B57)*ISNUMBER(INDEX(Inputs!$K$5:$AJ$110,0,MATCH(P$2,Inputs!$K$4:$AJ$4,0))))=0,NA(),SUMPRODUCT((Inputs!$A$5:$A$110=$B57)*Inputs!$B$5:$B$110*(((Inputs!$G$5:$G$110="moeda")+(Inputs!$G$5:$G$110="acoes"))*Inputs!$B$1+((Inputs!$G$5:$G$110&lt;&gt;"moeda")*(Inputs!$G$5:$G$110&lt;&gt;"acoes")))*INDEX(Inputs!$K$5:$AJ$110,0,MATCH(P$2,Inputs!$K$4:$AJ$4,0)))+SUMPRODUCT((Inputs!$C$5:$C$110=$B57)*Inputs!$D$5:$D$110*(((Inputs!$G$5:$G$110="moeda")+(Inputs!$G$5:$G$110="acoes"))*Inputs!$B$1+((Inputs!$G$5:$G$110&lt;&gt;"moeda")*(Inputs!$G$5:$G$110&lt;&gt;"acoes")))*INDEX(Inputs!$K$5:$AJ$110,0,MATCH(P$2,Inputs!$K$4:$AJ$4,0)))+SUMPRODUCT((Inputs!$E$5:$E$110=$B57)*Inputs!$F$5:$F$110*(((Inputs!$G$5:$G$110="moeda")+(Inputs!$G$5:$G$110="acoes"))*Inputs!$B$1+((Inputs!$G$5:$G$110&lt;&gt;"moeda")*(Inputs!$G$5:$G$110&lt;&gt;"acoes")))*INDEX(Inputs!$K$5:$AJ$110,0,MATCH(P$2,Inputs!$K$4:$AJ$4,0)))))</f>
        <v>7151</v>
      </c>
      <c r="Q57" s="263">
        <f>IF(ISNA(MATCH(Q$2,Inputs!$K$4:$AJ$4,0)),NA(),IF(SUMPRODUCT((Inputs!$A$5:$A$110=$B57)*ISNUMBER(INDEX(Inputs!$K$5:$AJ$110,0,MATCH(Q$2,Inputs!$K$4:$AJ$4,0))))+SUMPRODUCT((Inputs!$C$5:$C$110=$B57)*ISNUMBER(INDEX(Inputs!$K$5:$AJ$110,0,MATCH(Q$2,Inputs!$K$4:$AJ$4,0))))+SUMPRODUCT((Inputs!$E$5:$E$110=$B57)*ISNUMBER(INDEX(Inputs!$K$5:$AJ$110,0,MATCH(Q$2,Inputs!$K$4:$AJ$4,0))))=0,NA(),SUMPRODUCT((Inputs!$A$5:$A$110=$B57)*Inputs!$B$5:$B$110*(((Inputs!$G$5:$G$110="moeda")+(Inputs!$G$5:$G$110="acoes"))*Inputs!$B$1+((Inputs!$G$5:$G$110&lt;&gt;"moeda")*(Inputs!$G$5:$G$110&lt;&gt;"acoes")))*INDEX(Inputs!$K$5:$AJ$110,0,MATCH(Q$2,Inputs!$K$4:$AJ$4,0)))+SUMPRODUCT((Inputs!$C$5:$C$110=$B57)*Inputs!$D$5:$D$110*(((Inputs!$G$5:$G$110="moeda")+(Inputs!$G$5:$G$110="acoes"))*Inputs!$B$1+((Inputs!$G$5:$G$110&lt;&gt;"moeda")*(Inputs!$G$5:$G$110&lt;&gt;"acoes")))*INDEX(Inputs!$K$5:$AJ$110,0,MATCH(Q$2,Inputs!$K$4:$AJ$4,0)))+SUMPRODUCT((Inputs!$E$5:$E$110=$B57)*Inputs!$F$5:$F$110*(((Inputs!$G$5:$G$110="moeda")+(Inputs!$G$5:$G$110="acoes"))*Inputs!$B$1+((Inputs!$G$5:$G$110&lt;&gt;"moeda")*(Inputs!$G$5:$G$110&lt;&gt;"acoes")))*INDEX(Inputs!$K$5:$AJ$110,0,MATCH(Q$2,Inputs!$K$4:$AJ$4,0)))))</f>
        <v>7412</v>
      </c>
      <c r="R57" s="264">
        <f>SUM(N57:Q57)</f>
        <v>28221</v>
      </c>
      <c r="S57" s="263">
        <f>IF(ISNA(MATCH(S$2,Inputs!$K$4:$AJ$4,0)),NA(),IF(SUMPRODUCT((Inputs!$A$5:$A$110=$B57)*ISNUMBER(INDEX(Inputs!$K$5:$AJ$110,0,MATCH(S$2,Inputs!$K$4:$AJ$4,0))))+SUMPRODUCT((Inputs!$C$5:$C$110=$B57)*ISNUMBER(INDEX(Inputs!$K$5:$AJ$110,0,MATCH(S$2,Inputs!$K$4:$AJ$4,0))))+SUMPRODUCT((Inputs!$E$5:$E$110=$B57)*ISNUMBER(INDEX(Inputs!$K$5:$AJ$110,0,MATCH(S$2,Inputs!$K$4:$AJ$4,0))))=0,NA(),SUMPRODUCT((Inputs!$A$5:$A$110=$B57)*Inputs!$B$5:$B$110*(((Inputs!$G$5:$G$110="moeda")+(Inputs!$G$5:$G$110="acoes"))*Inputs!$B$1+((Inputs!$G$5:$G$110&lt;&gt;"moeda")*(Inputs!$G$5:$G$110&lt;&gt;"acoes")))*INDEX(Inputs!$K$5:$AJ$110,0,MATCH(S$2,Inputs!$K$4:$AJ$4,0)))+SUMPRODUCT((Inputs!$C$5:$C$110=$B57)*Inputs!$D$5:$D$110*(((Inputs!$G$5:$G$110="moeda")+(Inputs!$G$5:$G$110="acoes"))*Inputs!$B$1+((Inputs!$G$5:$G$110&lt;&gt;"moeda")*(Inputs!$G$5:$G$110&lt;&gt;"acoes")))*INDEX(Inputs!$K$5:$AJ$110,0,MATCH(S$2,Inputs!$K$4:$AJ$4,0)))+SUMPRODUCT((Inputs!$E$5:$E$110=$B57)*Inputs!$F$5:$F$110*(((Inputs!$G$5:$G$110="moeda")+(Inputs!$G$5:$G$110="acoes"))*Inputs!$B$1+((Inputs!$G$5:$G$110&lt;&gt;"moeda")*(Inputs!$G$5:$G$110&lt;&gt;"acoes")))*INDEX(Inputs!$K$5:$AJ$110,0,MATCH(S$2,Inputs!$K$4:$AJ$4,0)))))</f>
        <v>7192</v>
      </c>
      <c r="T57" s="263">
        <f>IF(ISNA(MATCH(T$2,Inputs!$K$4:$AJ$4,0)),NA(),IF(SUMPRODUCT((Inputs!$A$5:$A$110=$B57)*ISNUMBER(INDEX(Inputs!$K$5:$AJ$110,0,MATCH(T$2,Inputs!$K$4:$AJ$4,0))))+SUMPRODUCT((Inputs!$C$5:$C$110=$B57)*ISNUMBER(INDEX(Inputs!$K$5:$AJ$110,0,MATCH(T$2,Inputs!$K$4:$AJ$4,0))))+SUMPRODUCT((Inputs!$E$5:$E$110=$B57)*ISNUMBER(INDEX(Inputs!$K$5:$AJ$110,0,MATCH(T$2,Inputs!$K$4:$AJ$4,0))))=0,NA(),SUMPRODUCT((Inputs!$A$5:$A$110=$B57)*Inputs!$B$5:$B$110*(((Inputs!$G$5:$G$110="moeda")+(Inputs!$G$5:$G$110="acoes"))*Inputs!$B$1+((Inputs!$G$5:$G$110&lt;&gt;"moeda")*(Inputs!$G$5:$G$110&lt;&gt;"acoes")))*INDEX(Inputs!$K$5:$AJ$110,0,MATCH(T$2,Inputs!$K$4:$AJ$4,0)))+SUMPRODUCT((Inputs!$C$5:$C$110=$B57)*Inputs!$D$5:$D$110*(((Inputs!$G$5:$G$110="moeda")+(Inputs!$G$5:$G$110="acoes"))*Inputs!$B$1+((Inputs!$G$5:$G$110&lt;&gt;"moeda")*(Inputs!$G$5:$G$110&lt;&gt;"acoes")))*INDEX(Inputs!$K$5:$AJ$110,0,MATCH(T$2,Inputs!$K$4:$AJ$4,0)))+SUMPRODUCT((Inputs!$E$5:$E$110=$B57)*Inputs!$F$5:$F$110*(((Inputs!$G$5:$G$110="moeda")+(Inputs!$G$5:$G$110="acoes"))*Inputs!$B$1+((Inputs!$G$5:$G$110&lt;&gt;"moeda")*(Inputs!$G$5:$G$110&lt;&gt;"acoes")))*INDEX(Inputs!$K$5:$AJ$110,0,MATCH(T$2,Inputs!$K$4:$AJ$4,0)))))</f>
        <v>7439</v>
      </c>
      <c r="U57" s="263">
        <f>IF(ISNA(MATCH(U$2,Inputs!$K$4:$AJ$4,0)),NA(),IF(SUMPRODUCT((Inputs!$A$5:$A$110=$B57)*ISNUMBER(INDEX(Inputs!$K$5:$AJ$110,0,MATCH(U$2,Inputs!$K$4:$AJ$4,0))))+SUMPRODUCT((Inputs!$C$5:$C$110=$B57)*ISNUMBER(INDEX(Inputs!$K$5:$AJ$110,0,MATCH(U$2,Inputs!$K$4:$AJ$4,0))))+SUMPRODUCT((Inputs!$E$5:$E$110=$B57)*ISNUMBER(INDEX(Inputs!$K$5:$AJ$110,0,MATCH(U$2,Inputs!$K$4:$AJ$4,0))))=0,NA(),SUMPRODUCT((Inputs!$A$5:$A$110=$B57)*Inputs!$B$5:$B$110*(((Inputs!$G$5:$G$110="moeda")+(Inputs!$G$5:$G$110="acoes"))*Inputs!$B$1+((Inputs!$G$5:$G$110&lt;&gt;"moeda")*(Inputs!$G$5:$G$110&lt;&gt;"acoes")))*INDEX(Inputs!$K$5:$AJ$110,0,MATCH(U$2,Inputs!$K$4:$AJ$4,0)))+SUMPRODUCT((Inputs!$C$5:$C$110=$B57)*Inputs!$D$5:$D$110*(((Inputs!$G$5:$G$110="moeda")+(Inputs!$G$5:$G$110="acoes"))*Inputs!$B$1+((Inputs!$G$5:$G$110&lt;&gt;"moeda")*(Inputs!$G$5:$G$110&lt;&gt;"acoes")))*INDEX(Inputs!$K$5:$AJ$110,0,MATCH(U$2,Inputs!$K$4:$AJ$4,0)))+SUMPRODUCT((Inputs!$E$5:$E$110=$B57)*Inputs!$F$5:$F$110*(((Inputs!$G$5:$G$110="moeda")+(Inputs!$G$5:$G$110="acoes"))*Inputs!$B$1+((Inputs!$G$5:$G$110&lt;&gt;"moeda")*(Inputs!$G$5:$G$110&lt;&gt;"acoes")))*INDEX(Inputs!$K$5:$AJ$110,0,MATCH(U$2,Inputs!$K$4:$AJ$4,0)))))</f>
        <v>8316</v>
      </c>
      <c r="V57" s="263">
        <f>IF(ISNA(MATCH(V$2,Inputs!$K$4:$AJ$4,0)),NA(),IF(SUMPRODUCT((Inputs!$A$5:$A$110=$B57)*ISNUMBER(INDEX(Inputs!$K$5:$AJ$110,0,MATCH(V$2,Inputs!$K$4:$AJ$4,0))))+SUMPRODUCT((Inputs!$C$5:$C$110=$B57)*ISNUMBER(INDEX(Inputs!$K$5:$AJ$110,0,MATCH(V$2,Inputs!$K$4:$AJ$4,0))))+SUMPRODUCT((Inputs!$E$5:$E$110=$B57)*ISNUMBER(INDEX(Inputs!$K$5:$AJ$110,0,MATCH(V$2,Inputs!$K$4:$AJ$4,0))))=0,NA(),SUMPRODUCT((Inputs!$A$5:$A$110=$B57)*Inputs!$B$5:$B$110*(((Inputs!$G$5:$G$110="moeda")+(Inputs!$G$5:$G$110="acoes"))*Inputs!$B$1+((Inputs!$G$5:$G$110&lt;&gt;"moeda")*(Inputs!$G$5:$G$110&lt;&gt;"acoes")))*INDEX(Inputs!$K$5:$AJ$110,0,MATCH(V$2,Inputs!$K$4:$AJ$4,0)))+SUMPRODUCT((Inputs!$C$5:$C$110=$B57)*Inputs!$D$5:$D$110*(((Inputs!$G$5:$G$110="moeda")+(Inputs!$G$5:$G$110="acoes"))*Inputs!$B$1+((Inputs!$G$5:$G$110&lt;&gt;"moeda")*(Inputs!$G$5:$G$110&lt;&gt;"acoes")))*INDEX(Inputs!$K$5:$AJ$110,0,MATCH(V$2,Inputs!$K$4:$AJ$4,0)))+SUMPRODUCT((Inputs!$E$5:$E$110=$B57)*Inputs!$F$5:$F$110*(((Inputs!$G$5:$G$110="moeda")+(Inputs!$G$5:$G$110="acoes"))*Inputs!$B$1+((Inputs!$G$5:$G$110&lt;&gt;"moeda")*(Inputs!$G$5:$G$110&lt;&gt;"acoes")))*INDEX(Inputs!$K$5:$AJ$110,0,MATCH(V$2,Inputs!$K$4:$AJ$4,0)))))</f>
        <v>10143</v>
      </c>
      <c r="W57" s="264">
        <f>SUM(S57:V57)</f>
        <v>33090</v>
      </c>
      <c r="X57" s="263">
        <f>IF(ISNA(MATCH(X$2,Inputs!$K$4:$AJ$4,0)),NA(),IF(SUMPRODUCT((Inputs!$A$5:$A$110=$B57)*ISNUMBER(INDEX(Inputs!$K$5:$AJ$110,0,MATCH(X$2,Inputs!$K$4:$AJ$4,0))))+SUMPRODUCT((Inputs!$C$5:$C$110=$B57)*ISNUMBER(INDEX(Inputs!$K$5:$AJ$110,0,MATCH(X$2,Inputs!$K$4:$AJ$4,0))))+SUMPRODUCT((Inputs!$E$5:$E$110=$B57)*ISNUMBER(INDEX(Inputs!$K$5:$AJ$110,0,MATCH(X$2,Inputs!$K$4:$AJ$4,0))))=0,NA(),SUMPRODUCT((Inputs!$A$5:$A$110=$B57)*Inputs!$B$5:$B$110*(((Inputs!$G$5:$G$110="moeda")+(Inputs!$G$5:$G$110="acoes"))*Inputs!$B$1+((Inputs!$G$5:$G$110&lt;&gt;"moeda")*(Inputs!$G$5:$G$110&lt;&gt;"acoes")))*INDEX(Inputs!$K$5:$AJ$110,0,MATCH(X$2,Inputs!$K$4:$AJ$4,0)))+SUMPRODUCT((Inputs!$C$5:$C$110=$B57)*Inputs!$D$5:$D$110*(((Inputs!$G$5:$G$110="moeda")+(Inputs!$G$5:$G$110="acoes"))*Inputs!$B$1+((Inputs!$G$5:$G$110&lt;&gt;"moeda")*(Inputs!$G$5:$G$110&lt;&gt;"acoes")))*INDEX(Inputs!$K$5:$AJ$110,0,MATCH(X$2,Inputs!$K$4:$AJ$4,0)))+SUMPRODUCT((Inputs!$E$5:$E$110=$B57)*Inputs!$F$5:$F$110*(((Inputs!$G$5:$G$110="moeda")+(Inputs!$G$5:$G$110="acoes"))*Inputs!$B$1+((Inputs!$G$5:$G$110&lt;&gt;"moeda")*(Inputs!$G$5:$G$110&lt;&gt;"acoes")))*INDEX(Inputs!$K$5:$AJ$110,0,MATCH(X$2,Inputs!$K$4:$AJ$4,0)))))</f>
        <v>10309</v>
      </c>
      <c r="Y57" s="263">
        <f>IF(ISNA(MATCH(Y$2,Inputs!$K$4:$AJ$4,0)),NA(),IF(SUMPRODUCT((Inputs!$A$5:$A$110=$B57)*ISNUMBER(INDEX(Inputs!$K$5:$AJ$110,0,MATCH(Y$2,Inputs!$K$4:$AJ$4,0))))+SUMPRODUCT((Inputs!$C$5:$C$110=$B57)*ISNUMBER(INDEX(Inputs!$K$5:$AJ$110,0,MATCH(Y$2,Inputs!$K$4:$AJ$4,0))))+SUMPRODUCT((Inputs!$E$5:$E$110=$B57)*ISNUMBER(INDEX(Inputs!$K$5:$AJ$110,0,MATCH(Y$2,Inputs!$K$4:$AJ$4,0))))=0,NA(),SUMPRODUCT((Inputs!$A$5:$A$110=$B57)*Inputs!$B$5:$B$110*(((Inputs!$G$5:$G$110="moeda")+(Inputs!$G$5:$G$110="acoes"))*Inputs!$B$1+((Inputs!$G$5:$G$110&lt;&gt;"moeda")*(Inputs!$G$5:$G$110&lt;&gt;"acoes")))*INDEX(Inputs!$K$5:$AJ$110,0,MATCH(Y$2,Inputs!$K$4:$AJ$4,0)))+SUMPRODUCT((Inputs!$C$5:$C$110=$B57)*Inputs!$D$5:$D$110*(((Inputs!$G$5:$G$110="moeda")+(Inputs!$G$5:$G$110="acoes"))*Inputs!$B$1+((Inputs!$G$5:$G$110&lt;&gt;"moeda")*(Inputs!$G$5:$G$110&lt;&gt;"acoes")))*INDEX(Inputs!$K$5:$AJ$110,0,MATCH(Y$2,Inputs!$K$4:$AJ$4,0)))+SUMPRODUCT((Inputs!$E$5:$E$110=$B57)*Inputs!$F$5:$F$110*(((Inputs!$G$5:$G$110="moeda")+(Inputs!$G$5:$G$110="acoes"))*Inputs!$B$1+((Inputs!$G$5:$G$110&lt;&gt;"moeda")*(Inputs!$G$5:$G$110&lt;&gt;"acoes")))*INDEX(Inputs!$K$5:$AJ$110,0,MATCH(Y$2,Inputs!$K$4:$AJ$4,0)))))</f>
        <v>11173</v>
      </c>
      <c r="Z57" s="263">
        <f>IF(ISNA(MATCH(Z$2,Inputs!$K$4:$AJ$4,0)),NA(),IF(SUMPRODUCT((Inputs!$A$5:$A$110=$B57)*ISNUMBER(INDEX(Inputs!$K$5:$AJ$110,0,MATCH(Z$2,Inputs!$K$4:$AJ$4,0))))+SUMPRODUCT((Inputs!$C$5:$C$110=$B57)*ISNUMBER(INDEX(Inputs!$K$5:$AJ$110,0,MATCH(Z$2,Inputs!$K$4:$AJ$4,0))))+SUMPRODUCT((Inputs!$E$5:$E$110=$B57)*ISNUMBER(INDEX(Inputs!$K$5:$AJ$110,0,MATCH(Z$2,Inputs!$K$4:$AJ$4,0))))=0,NA(),SUMPRODUCT((Inputs!$A$5:$A$110=$B57)*Inputs!$B$5:$B$110*(((Inputs!$G$5:$G$110="moeda")+(Inputs!$G$5:$G$110="acoes"))*Inputs!$B$1+((Inputs!$G$5:$G$110&lt;&gt;"moeda")*(Inputs!$G$5:$G$110&lt;&gt;"acoes")))*INDEX(Inputs!$K$5:$AJ$110,0,MATCH(Z$2,Inputs!$K$4:$AJ$4,0)))+SUMPRODUCT((Inputs!$C$5:$C$110=$B57)*Inputs!$D$5:$D$110*(((Inputs!$G$5:$G$110="moeda")+(Inputs!$G$5:$G$110="acoes"))*Inputs!$B$1+((Inputs!$G$5:$G$110&lt;&gt;"moeda")*(Inputs!$G$5:$G$110&lt;&gt;"acoes")))*INDEX(Inputs!$K$5:$AJ$110,0,MATCH(Z$2,Inputs!$K$4:$AJ$4,0)))+SUMPRODUCT((Inputs!$E$5:$E$110=$B57)*Inputs!$F$5:$F$110*(((Inputs!$G$5:$G$110="moeda")+(Inputs!$G$5:$G$110="acoes"))*Inputs!$B$1+((Inputs!$G$5:$G$110&lt;&gt;"moeda")*(Inputs!$G$5:$G$110&lt;&gt;"acoes")))*INDEX(Inputs!$K$5:$AJ$110,0,MATCH(Z$2,Inputs!$K$4:$AJ$4,0)))))</f>
        <v>13222</v>
      </c>
      <c r="AA57" s="263">
        <f>IF(ISNA(MATCH(AA$2,Inputs!$K$4:$AJ$4,0)),NA(),IF(SUMPRODUCT((Inputs!$A$5:$A$110=$B57)*ISNUMBER(INDEX(Inputs!$K$5:$AJ$110,0,MATCH(AA$2,Inputs!$K$4:$AJ$4,0))))+SUMPRODUCT((Inputs!$C$5:$C$110=$B57)*ISNUMBER(INDEX(Inputs!$K$5:$AJ$110,0,MATCH(AA$2,Inputs!$K$4:$AJ$4,0))))+SUMPRODUCT((Inputs!$E$5:$E$110=$B57)*ISNUMBER(INDEX(Inputs!$K$5:$AJ$110,0,MATCH(AA$2,Inputs!$K$4:$AJ$4,0))))=0,NA(),SUMPRODUCT((Inputs!$A$5:$A$110=$B57)*Inputs!$B$5:$B$110*(((Inputs!$G$5:$G$110="moeda")+(Inputs!$G$5:$G$110="acoes"))*Inputs!$B$1+((Inputs!$G$5:$G$110&lt;&gt;"moeda")*(Inputs!$G$5:$G$110&lt;&gt;"acoes")))*INDEX(Inputs!$K$5:$AJ$110,0,MATCH(AA$2,Inputs!$K$4:$AJ$4,0)))+SUMPRODUCT((Inputs!$C$5:$C$110=$B57)*Inputs!$D$5:$D$110*(((Inputs!$G$5:$G$110="moeda")+(Inputs!$G$5:$G$110="acoes"))*Inputs!$B$1+((Inputs!$G$5:$G$110&lt;&gt;"moeda")*(Inputs!$G$5:$G$110&lt;&gt;"acoes")))*INDEX(Inputs!$K$5:$AJ$110,0,MATCH(AA$2,Inputs!$K$4:$AJ$4,0)))+SUMPRODUCT((Inputs!$E$5:$E$110=$B57)*Inputs!$F$5:$F$110*(((Inputs!$G$5:$G$110="moeda")+(Inputs!$G$5:$G$110="acoes"))*Inputs!$B$1+((Inputs!$G$5:$G$110&lt;&gt;"moeda")*(Inputs!$G$5:$G$110&lt;&gt;"acoes")))*INDEX(Inputs!$K$5:$AJ$110,0,MATCH(AA$2,Inputs!$K$4:$AJ$4,0)))))</f>
        <v>14130</v>
      </c>
      <c r="AB57" s="264">
        <f>SUM(X57:AA57)</f>
        <v>48834</v>
      </c>
      <c r="AC57" s="263">
        <f>IF(ISNA(MATCH(AC$2,Inputs!$K$4:$AJ$4,0)),NA(),IF(SUMPRODUCT((Inputs!$A$5:$A$110=$B57)*ISNUMBER(INDEX(Inputs!$K$5:$AJ$110,0,MATCH(AC$2,Inputs!$K$4:$AJ$4,0))))+SUMPRODUCT((Inputs!$C$5:$C$110=$B57)*ISNUMBER(INDEX(Inputs!$K$5:$AJ$110,0,MATCH(AC$2,Inputs!$K$4:$AJ$4,0))))+SUMPRODUCT((Inputs!$E$5:$E$110=$B57)*ISNUMBER(INDEX(Inputs!$K$5:$AJ$110,0,MATCH(AC$2,Inputs!$K$4:$AJ$4,0))))=0,NA(),SUMPRODUCT((Inputs!$A$5:$A$110=$B57)*Inputs!$B$5:$B$110*(((Inputs!$G$5:$G$110="moeda")+(Inputs!$G$5:$G$110="acoes"))*Inputs!$B$1+((Inputs!$G$5:$G$110&lt;&gt;"moeda")*(Inputs!$G$5:$G$110&lt;&gt;"acoes")))*INDEX(Inputs!$K$5:$AJ$110,0,MATCH(AC$2,Inputs!$K$4:$AJ$4,0)))+SUMPRODUCT((Inputs!$C$5:$C$110=$B57)*Inputs!$D$5:$D$110*(((Inputs!$G$5:$G$110="moeda")+(Inputs!$G$5:$G$110="acoes"))*Inputs!$B$1+((Inputs!$G$5:$G$110&lt;&gt;"moeda")*(Inputs!$G$5:$G$110&lt;&gt;"acoes")))*INDEX(Inputs!$K$5:$AJ$110,0,MATCH(AC$2,Inputs!$K$4:$AJ$4,0)))+SUMPRODUCT((Inputs!$E$5:$E$110=$B57)*Inputs!$F$5:$F$110*(((Inputs!$G$5:$G$110="moeda")+(Inputs!$G$5:$G$110="acoes"))*Inputs!$B$1+((Inputs!$G$5:$G$110&lt;&gt;"moeda")*(Inputs!$G$5:$G$110&lt;&gt;"acoes")))*INDEX(Inputs!$K$5:$AJ$110,0,MATCH(AC$2,Inputs!$K$4:$AJ$4,0)))))</f>
        <v>16892</v>
      </c>
      <c r="AD57" s="263">
        <f>IF(ISNA(MATCH(AD$2,Inputs!$K$4:$AJ$4,0)),NA(),IF(SUMPRODUCT((Inputs!$A$5:$A$110=$B57)*ISNUMBER(INDEX(Inputs!$K$5:$AJ$110,0,MATCH(AD$2,Inputs!$K$4:$AJ$4,0))))+SUMPRODUCT((Inputs!$C$5:$C$110=$B57)*ISNUMBER(INDEX(Inputs!$K$5:$AJ$110,0,MATCH(AD$2,Inputs!$K$4:$AJ$4,0))))+SUMPRODUCT((Inputs!$E$5:$E$110=$B57)*ISNUMBER(INDEX(Inputs!$K$5:$AJ$110,0,MATCH(AD$2,Inputs!$K$4:$AJ$4,0))))=0,NA(),SUMPRODUCT((Inputs!$A$5:$A$110=$B57)*Inputs!$B$5:$B$110*(((Inputs!$G$5:$G$110="moeda")+(Inputs!$G$5:$G$110="acoes"))*Inputs!$B$1+((Inputs!$G$5:$G$110&lt;&gt;"moeda")*(Inputs!$G$5:$G$110&lt;&gt;"acoes")))*INDEX(Inputs!$K$5:$AJ$110,0,MATCH(AD$2,Inputs!$K$4:$AJ$4,0)))+SUMPRODUCT((Inputs!$C$5:$C$110=$B57)*Inputs!$D$5:$D$110*(((Inputs!$G$5:$G$110="moeda")+(Inputs!$G$5:$G$110="acoes"))*Inputs!$B$1+((Inputs!$G$5:$G$110&lt;&gt;"moeda")*(Inputs!$G$5:$G$110&lt;&gt;"acoes")))*INDEX(Inputs!$K$5:$AJ$110,0,MATCH(AD$2,Inputs!$K$4:$AJ$4,0)))+SUMPRODUCT((Inputs!$E$5:$E$110=$B57)*Inputs!$F$5:$F$110*(((Inputs!$G$5:$G$110="moeda")+(Inputs!$G$5:$G$110="acoes"))*Inputs!$B$1+((Inputs!$G$5:$G$110&lt;&gt;"moeda")*(Inputs!$G$5:$G$110&lt;&gt;"acoes")))*INDEX(Inputs!$K$5:$AJ$110,0,MATCH(AD$2,Inputs!$K$4:$AJ$4,0)))))</f>
        <v>24279</v>
      </c>
      <c r="AE57" s="263" t="e">
        <f>IF(ISNA(MATCH(AE$2,Inputs!$K$4:$AJ$4,0)),NA(),IF(SUMPRODUCT((Inputs!$A$5:$A$110=$B57)*ISNUMBER(INDEX(Inputs!$K$5:$AJ$110,0,MATCH(AE$2,Inputs!$K$4:$AJ$4,0))))+SUMPRODUCT((Inputs!$C$5:$C$110=$B57)*ISNUMBER(INDEX(Inputs!$K$5:$AJ$110,0,MATCH(AE$2,Inputs!$K$4:$AJ$4,0))))+SUMPRODUCT((Inputs!$E$5:$E$110=$B57)*ISNUMBER(INDEX(Inputs!$K$5:$AJ$110,0,MATCH(AE$2,Inputs!$K$4:$AJ$4,0))))=0,NA(),SUMPRODUCT((Inputs!$A$5:$A$110=$B57)*Inputs!$B$5:$B$110*(((Inputs!$G$5:$G$110="moeda")+(Inputs!$G$5:$G$110="acoes"))*Inputs!$B$1+((Inputs!$G$5:$G$110&lt;&gt;"moeda")*(Inputs!$G$5:$G$110&lt;&gt;"acoes")))*INDEX(Inputs!$K$5:$AJ$110,0,MATCH(AE$2,Inputs!$K$4:$AJ$4,0)))+SUMPRODUCT((Inputs!$C$5:$C$110=$B57)*Inputs!$D$5:$D$110*(((Inputs!$G$5:$G$110="moeda")+(Inputs!$G$5:$G$110="acoes"))*Inputs!$B$1+((Inputs!$G$5:$G$110&lt;&gt;"moeda")*(Inputs!$G$5:$G$110&lt;&gt;"acoes")))*INDEX(Inputs!$K$5:$AJ$110,0,MATCH(AE$2,Inputs!$K$4:$AJ$4,0)))+SUMPRODUCT((Inputs!$E$5:$E$110=$B57)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7" s="263" t="e">
        <f>IF(ISNA(MATCH(AF$2,Inputs!$K$4:$AJ$4,0)),NA(),IF(SUMPRODUCT((Inputs!$A$5:$A$110=$B57)*ISNUMBER(INDEX(Inputs!$K$5:$AJ$110,0,MATCH(AF$2,Inputs!$K$4:$AJ$4,0))))+SUMPRODUCT((Inputs!$C$5:$C$110=$B57)*ISNUMBER(INDEX(Inputs!$K$5:$AJ$110,0,MATCH(AF$2,Inputs!$K$4:$AJ$4,0))))+SUMPRODUCT((Inputs!$E$5:$E$110=$B57)*ISNUMBER(INDEX(Inputs!$K$5:$AJ$110,0,MATCH(AF$2,Inputs!$K$4:$AJ$4,0))))=0,NA(),SUMPRODUCT((Inputs!$A$5:$A$110=$B57)*Inputs!$B$5:$B$110*(((Inputs!$G$5:$G$110="moeda")+(Inputs!$G$5:$G$110="acoes"))*Inputs!$B$1+((Inputs!$G$5:$G$110&lt;&gt;"moeda")*(Inputs!$G$5:$G$110&lt;&gt;"acoes")))*INDEX(Inputs!$K$5:$AJ$110,0,MATCH(AF$2,Inputs!$K$4:$AJ$4,0)))+SUMPRODUCT((Inputs!$C$5:$C$110=$B57)*Inputs!$D$5:$D$110*(((Inputs!$G$5:$G$110="moeda")+(Inputs!$G$5:$G$110="acoes"))*Inputs!$B$1+((Inputs!$G$5:$G$110&lt;&gt;"moeda")*(Inputs!$G$5:$G$110&lt;&gt;"acoes")))*INDEX(Inputs!$K$5:$AJ$110,0,MATCH(AF$2,Inputs!$K$4:$AJ$4,0)))+SUMPRODUCT((Inputs!$E$5:$E$110=$B57)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7" s="264" t="e">
        <f>SUM(AC57:AF57)</f>
        <v>#N/A</v>
      </c>
      <c r="AH57" s="263">
        <f>IF(ISNA(MATCH(AH$2,Inputs!$K$4:$AJ$4,0)),NA(),IF(SUMPRODUCT((Inputs!$A$5:$A$110=$B57)*ISNUMBER(INDEX(Inputs!$K$5:$AJ$110,0,MATCH(AH$2,Inputs!$K$4:$AJ$4,0))))+SUMPRODUCT((Inputs!$C$5:$C$110=$B57)*ISNUMBER(INDEX(Inputs!$K$5:$AJ$110,0,MATCH(AH$2,Inputs!$K$4:$AJ$4,0))))+SUMPRODUCT((Inputs!$E$5:$E$110=$B57)*ISNUMBER(INDEX(Inputs!$K$5:$AJ$110,0,MATCH(AH$2,Inputs!$K$4:$AJ$4,0))))=0,NA(),SUMPRODUCT((Inputs!$A$5:$A$110=$B57)*Inputs!$B$5:$B$110*(((Inputs!$G$5:$G$110="moeda")+(Inputs!$G$5:$G$110="acoes"))*Inputs!$B$1+((Inputs!$G$5:$G$110&lt;&gt;"moeda")*(Inputs!$G$5:$G$110&lt;&gt;"acoes")))*INDEX(Inputs!$K$5:$AJ$110,0,MATCH(AH$2,Inputs!$K$4:$AJ$4,0)))+SUMPRODUCT((Inputs!$C$5:$C$110=$B57)*Inputs!$D$5:$D$110*(((Inputs!$G$5:$G$110="moeda")+(Inputs!$G$5:$G$110="acoes"))*Inputs!$B$1+((Inputs!$G$5:$G$110&lt;&gt;"moeda")*(Inputs!$G$5:$G$110&lt;&gt;"acoes")))*INDEX(Inputs!$K$5:$AJ$110,0,MATCH(AH$2,Inputs!$K$4:$AJ$4,0)))+SUMPRODUCT((Inputs!$E$5:$E$110=$B57)*Inputs!$F$5:$F$110*(((Inputs!$G$5:$G$110="moeda")+(Inputs!$G$5:$G$110="acoes"))*Inputs!$B$1+((Inputs!$G$5:$G$110&lt;&gt;"moeda")*(Inputs!$G$5:$G$110&lt;&gt;"acoes")))*INDEX(Inputs!$K$5:$AJ$110,0,MATCH(AH$2,Inputs!$K$4:$AJ$4,0)))))</f>
        <v>4253</v>
      </c>
      <c r="AI57" s="263">
        <f>IF(ISNA(MATCH(AI$2,Inputs!$K$4:$AJ$4,0)),NA(),IF(SUMPRODUCT((Inputs!$A$5:$A$110=$B57)*ISNUMBER(INDEX(Inputs!$K$5:$AJ$110,0,MATCH(AI$2,Inputs!$K$4:$AJ$4,0))))+SUMPRODUCT((Inputs!$C$5:$C$110=$B57)*ISNUMBER(INDEX(Inputs!$K$5:$AJ$110,0,MATCH(AI$2,Inputs!$K$4:$AJ$4,0))))+SUMPRODUCT((Inputs!$E$5:$E$110=$B57)*ISNUMBER(INDEX(Inputs!$K$5:$AJ$110,0,MATCH(AI$2,Inputs!$K$4:$AJ$4,0))))=0,NA(),SUMPRODUCT((Inputs!$A$5:$A$110=$B57)*Inputs!$B$5:$B$110*(((Inputs!$G$5:$G$110="moeda")+(Inputs!$G$5:$G$110="acoes"))*Inputs!$B$1+((Inputs!$G$5:$G$110&lt;&gt;"moeda")*(Inputs!$G$5:$G$110&lt;&gt;"acoes")))*INDEX(Inputs!$K$5:$AJ$110,0,MATCH(AI$2,Inputs!$K$4:$AJ$4,0)))+SUMPRODUCT((Inputs!$C$5:$C$110=$B57)*Inputs!$D$5:$D$110*(((Inputs!$G$5:$G$110="moeda")+(Inputs!$G$5:$G$110="acoes"))*Inputs!$B$1+((Inputs!$G$5:$G$110&lt;&gt;"moeda")*(Inputs!$G$5:$G$110&lt;&gt;"acoes")))*INDEX(Inputs!$K$5:$AJ$110,0,MATCH(AI$2,Inputs!$K$4:$AJ$4,0)))+SUMPRODUCT((Inputs!$E$5:$E$110=$B57)*Inputs!$F$5:$F$110*(((Inputs!$G$5:$G$110="moeda")+(Inputs!$G$5:$G$110="acoes"))*Inputs!$B$1+((Inputs!$G$5:$G$110&lt;&gt;"moeda")*(Inputs!$G$5:$G$110&lt;&gt;"acoes")))*INDEX(Inputs!$K$5:$AJ$110,0,MATCH(AI$2,Inputs!$K$4:$AJ$4,0)))))</f>
        <v>4125</v>
      </c>
      <c r="AJ57" s="263">
        <f>IF(ISNA(MATCH(AJ$2,Inputs!$K$4:$AJ$4,0)),NA(),IF(SUMPRODUCT((Inputs!$A$5:$A$110=$B57)*ISNUMBER(INDEX(Inputs!$K$5:$AJ$110,0,MATCH(AJ$2,Inputs!$K$4:$AJ$4,0))))+SUMPRODUCT((Inputs!$C$5:$C$110=$B57)*ISNUMBER(INDEX(Inputs!$K$5:$AJ$110,0,MATCH(AJ$2,Inputs!$K$4:$AJ$4,0))))+SUMPRODUCT((Inputs!$E$5:$E$110=$B57)*ISNUMBER(INDEX(Inputs!$K$5:$AJ$110,0,MATCH(AJ$2,Inputs!$K$4:$AJ$4,0))))=0,NA(),SUMPRODUCT((Inputs!$A$5:$A$110=$B57)*Inputs!$B$5:$B$110*(((Inputs!$G$5:$G$110="moeda")+(Inputs!$G$5:$G$110="acoes"))*Inputs!$B$1+((Inputs!$G$5:$G$110&lt;&gt;"moeda")*(Inputs!$G$5:$G$110&lt;&gt;"acoes")))*INDEX(Inputs!$K$5:$AJ$110,0,MATCH(AJ$2,Inputs!$K$4:$AJ$4,0)))+SUMPRODUCT((Inputs!$C$5:$C$110=$B57)*Inputs!$D$5:$D$110*(((Inputs!$G$5:$G$110="moeda")+(Inputs!$G$5:$G$110="acoes"))*Inputs!$B$1+((Inputs!$G$5:$G$110&lt;&gt;"moeda")*(Inputs!$G$5:$G$110&lt;&gt;"acoes")))*INDEX(Inputs!$K$5:$AJ$110,0,MATCH(AJ$2,Inputs!$K$4:$AJ$4,0)))+SUMPRODUCT((Inputs!$E$5:$E$110=$B57)*Inputs!$F$5:$F$110*(((Inputs!$G$5:$G$110="moeda")+(Inputs!$G$5:$G$110="acoes"))*Inputs!$B$1+((Inputs!$G$5:$G$110&lt;&gt;"moeda")*(Inputs!$G$5:$G$110&lt;&gt;"acoes")))*INDEX(Inputs!$K$5:$AJ$110,0,MATCH(AJ$2,Inputs!$K$4:$AJ$4,0)))))</f>
        <v>4853</v>
      </c>
      <c r="AK57" s="263">
        <f>IF(ISNA(MATCH(AK$2,Inputs!$K$4:$AJ$4,0)),NA(),IF(SUMPRODUCT((Inputs!$A$5:$A$110=$B57)*ISNUMBER(INDEX(Inputs!$K$5:$AJ$110,0,MATCH(AK$2,Inputs!$K$4:$AJ$4,0))))+SUMPRODUCT((Inputs!$C$5:$C$110=$B57)*ISNUMBER(INDEX(Inputs!$K$5:$AJ$110,0,MATCH(AK$2,Inputs!$K$4:$AJ$4,0))))+SUMPRODUCT((Inputs!$E$5:$E$110=$B57)*ISNUMBER(INDEX(Inputs!$K$5:$AJ$110,0,MATCH(AK$2,Inputs!$K$4:$AJ$4,0))))=0,NA(),SUMPRODUCT((Inputs!$A$5:$A$110=$B57)*Inputs!$B$5:$B$110*(((Inputs!$G$5:$G$110="moeda")+(Inputs!$G$5:$G$110="acoes"))*Inputs!$B$1+((Inputs!$G$5:$G$110&lt;&gt;"moeda")*(Inputs!$G$5:$G$110&lt;&gt;"acoes")))*INDEX(Inputs!$K$5:$AJ$110,0,MATCH(AK$2,Inputs!$K$4:$AJ$4,0)))+SUMPRODUCT((Inputs!$C$5:$C$110=$B57)*Inputs!$D$5:$D$110*(((Inputs!$G$5:$G$110="moeda")+(Inputs!$G$5:$G$110="acoes"))*Inputs!$B$1+((Inputs!$G$5:$G$110&lt;&gt;"moeda")*(Inputs!$G$5:$G$110&lt;&gt;"acoes")))*INDEX(Inputs!$K$5:$AJ$110,0,MATCH(AK$2,Inputs!$K$4:$AJ$4,0)))+SUMPRODUCT((Inputs!$E$5:$E$110=$B57)*Inputs!$F$5:$F$110*(((Inputs!$G$5:$G$110="moeda")+(Inputs!$G$5:$G$110="acoes"))*Inputs!$B$1+((Inputs!$G$5:$G$110&lt;&gt;"moeda")*(Inputs!$G$5:$G$110&lt;&gt;"acoes")))*INDEX(Inputs!$K$5:$AJ$110,0,MATCH(AK$2,Inputs!$K$4:$AJ$4,0)))))</f>
        <v>5081</v>
      </c>
      <c r="AL57" s="264">
        <f>SUM(AH57:AK57)</f>
        <v>18312</v>
      </c>
    </row>
    <row r="58">
      <c r="B58" s="46" t="n">
        <v>50</v>
      </c>
      <c r="C58" s="29" t="inlineStr">
        <is>
          <t>Receita de assinaturas e serviços (USD)</t>
        </is>
      </c>
      <c r="D58" s="263">
        <f>IF(ISNA(MATCH(D$2,Inputs!$K$4:$AJ$4,0)),NA(),IF(SUMPRODUCT((Inputs!$A$5:$A$110=$B58)*ISNUMBER(INDEX(Inputs!$K$5:$AJ$110,0,MATCH(D$2,Inputs!$K$4:$AJ$4,0))))+SUMPRODUCT((Inputs!$C$5:$C$110=$B58)*ISNUMBER(INDEX(Inputs!$K$5:$AJ$110,0,MATCH(D$2,Inputs!$K$4:$AJ$4,0))))+SUMPRODUCT((Inputs!$E$5:$E$110=$B58)*ISNUMBER(INDEX(Inputs!$K$5:$AJ$110,0,MATCH(D$2,Inputs!$K$4:$AJ$4,0))))=0,NA(),SUMPRODUCT((Inputs!$A$5:$A$110=$B58)*Inputs!$B$5:$B$110*(((Inputs!$G$5:$G$110="moeda")+(Inputs!$G$5:$G$110="acoes"))*Inputs!$B$1+((Inputs!$G$5:$G$110&lt;&gt;"moeda")*(Inputs!$G$5:$G$110&lt;&gt;"acoes")))*INDEX(Inputs!$K$5:$AJ$110,0,MATCH(D$2,Inputs!$K$4:$AJ$4,0)))+SUMPRODUCT((Inputs!$C$5:$C$110=$B58)*Inputs!$D$5:$D$110*(((Inputs!$G$5:$G$110="moeda")+(Inputs!$G$5:$G$110="acoes"))*Inputs!$B$1+((Inputs!$G$5:$G$110&lt;&gt;"moeda")*(Inputs!$G$5:$G$110&lt;&gt;"acoes")))*INDEX(Inputs!$K$5:$AJ$110,0,MATCH(D$2,Inputs!$K$4:$AJ$4,0)))+SUMPRODUCT((Inputs!$E$5:$E$110=$B58)*Inputs!$F$5:$F$110*(((Inputs!$G$5:$G$110="moeda")+(Inputs!$G$5:$G$110="acoes"))*Inputs!$B$1+((Inputs!$G$5:$G$110&lt;&gt;"moeda")*(Inputs!$G$5:$G$110&lt;&gt;"acoes")))*INDEX(Inputs!$K$5:$AJ$110,0,MATCH(D$2,Inputs!$K$4:$AJ$4,0)))))</f>
        <v>1627</v>
      </c>
      <c r="E58" s="263">
        <f>IF(ISNA(MATCH(E$2,Inputs!$K$4:$AJ$4,0)),NA(),IF(SUMPRODUCT((Inputs!$A$5:$A$110=$B58)*ISNUMBER(INDEX(Inputs!$K$5:$AJ$110,0,MATCH(E$2,Inputs!$K$4:$AJ$4,0))))+SUMPRODUCT((Inputs!$C$5:$C$110=$B58)*ISNUMBER(INDEX(Inputs!$K$5:$AJ$110,0,MATCH(E$2,Inputs!$K$4:$AJ$4,0))))+SUMPRODUCT((Inputs!$E$5:$E$110=$B58)*ISNUMBER(INDEX(Inputs!$K$5:$AJ$110,0,MATCH(E$2,Inputs!$K$4:$AJ$4,0))))=0,NA(),SUMPRODUCT((Inputs!$A$5:$A$110=$B58)*Inputs!$B$5:$B$110*(((Inputs!$G$5:$G$110="moeda")+(Inputs!$G$5:$G$110="acoes"))*Inputs!$B$1+((Inputs!$G$5:$G$110&lt;&gt;"moeda")*(Inputs!$G$5:$G$110&lt;&gt;"acoes")))*INDEX(Inputs!$K$5:$AJ$110,0,MATCH(E$2,Inputs!$K$4:$AJ$4,0)))+SUMPRODUCT((Inputs!$C$5:$C$110=$B58)*Inputs!$D$5:$D$110*(((Inputs!$G$5:$G$110="moeda")+(Inputs!$G$5:$G$110="acoes"))*Inputs!$B$1+((Inputs!$G$5:$G$110&lt;&gt;"moeda")*(Inputs!$G$5:$G$110&lt;&gt;"acoes")))*INDEX(Inputs!$K$5:$AJ$110,0,MATCH(E$2,Inputs!$K$4:$AJ$4,0)))+SUMPRODUCT((Inputs!$E$5:$E$110=$B58)*Inputs!$F$5:$F$110*(((Inputs!$G$5:$G$110="moeda")+(Inputs!$G$5:$G$110="acoes"))*Inputs!$B$1+((Inputs!$G$5:$G$110&lt;&gt;"moeda")*(Inputs!$G$5:$G$110&lt;&gt;"acoes")))*INDEX(Inputs!$K$5:$AJ$110,0,MATCH(E$2,Inputs!$K$4:$AJ$4,0)))))</f>
        <v>1714</v>
      </c>
      <c r="F58" s="263">
        <f>IF(ISNA(MATCH(F$2,Inputs!$K$4:$AJ$4,0)),NA(),IF(SUMPRODUCT((Inputs!$A$5:$A$110=$B58)*ISNUMBER(INDEX(Inputs!$K$5:$AJ$110,0,MATCH(F$2,Inputs!$K$4:$AJ$4,0))))+SUMPRODUCT((Inputs!$C$5:$C$110=$B58)*ISNUMBER(INDEX(Inputs!$K$5:$AJ$110,0,MATCH(F$2,Inputs!$K$4:$AJ$4,0))))+SUMPRODUCT((Inputs!$E$5:$E$110=$B58)*ISNUMBER(INDEX(Inputs!$K$5:$AJ$110,0,MATCH(F$2,Inputs!$K$4:$AJ$4,0))))=0,NA(),SUMPRODUCT((Inputs!$A$5:$A$110=$B58)*Inputs!$B$5:$B$110*(((Inputs!$G$5:$G$110="moeda")+(Inputs!$G$5:$G$110="acoes"))*Inputs!$B$1+((Inputs!$G$5:$G$110&lt;&gt;"moeda")*(Inputs!$G$5:$G$110&lt;&gt;"acoes")))*INDEX(Inputs!$K$5:$AJ$110,0,MATCH(F$2,Inputs!$K$4:$AJ$4,0)))+SUMPRODUCT((Inputs!$C$5:$C$110=$B58)*Inputs!$D$5:$D$110*(((Inputs!$G$5:$G$110="moeda")+(Inputs!$G$5:$G$110="acoes"))*Inputs!$B$1+((Inputs!$G$5:$G$110&lt;&gt;"moeda")*(Inputs!$G$5:$G$110&lt;&gt;"acoes")))*INDEX(Inputs!$K$5:$AJ$110,0,MATCH(F$2,Inputs!$K$4:$AJ$4,0)))+SUMPRODUCT((Inputs!$E$5:$E$110=$B58)*Inputs!$F$5:$F$110*(((Inputs!$G$5:$G$110="moeda")+(Inputs!$G$5:$G$110="acoes"))*Inputs!$B$1+((Inputs!$G$5:$G$110&lt;&gt;"moeda")*(Inputs!$G$5:$G$110&lt;&gt;"acoes")))*INDEX(Inputs!$K$5:$AJ$110,0,MATCH(F$2,Inputs!$K$4:$AJ$4,0)))))</f>
        <v>1649</v>
      </c>
      <c r="G58" s="263">
        <f>IF(ISNA(MATCH(G$2,Inputs!$K$4:$AJ$4,0)),NA(),IF(SUMPRODUCT((Inputs!$A$5:$A$110=$B58)*ISNUMBER(INDEX(Inputs!$K$5:$AJ$110,0,MATCH(G$2,Inputs!$K$4:$AJ$4,0))))+SUMPRODUCT((Inputs!$C$5:$C$110=$B58)*ISNUMBER(INDEX(Inputs!$K$5:$AJ$110,0,MATCH(G$2,Inputs!$K$4:$AJ$4,0))))+SUMPRODUCT((Inputs!$E$5:$E$110=$B58)*ISNUMBER(INDEX(Inputs!$K$5:$AJ$110,0,MATCH(G$2,Inputs!$K$4:$AJ$4,0))))=0,NA(),SUMPRODUCT((Inputs!$A$5:$A$110=$B58)*Inputs!$B$5:$B$110*(((Inputs!$G$5:$G$110="moeda")+(Inputs!$G$5:$G$110="acoes"))*Inputs!$B$1+((Inputs!$G$5:$G$110&lt;&gt;"moeda")*(Inputs!$G$5:$G$110&lt;&gt;"acoes")))*INDEX(Inputs!$K$5:$AJ$110,0,MATCH(G$2,Inputs!$K$4:$AJ$4,0)))+SUMPRODUCT((Inputs!$C$5:$C$110=$B58)*Inputs!$D$5:$D$110*(((Inputs!$G$5:$G$110="moeda")+(Inputs!$G$5:$G$110="acoes"))*Inputs!$B$1+((Inputs!$G$5:$G$110&lt;&gt;"moeda")*(Inputs!$G$5:$G$110&lt;&gt;"acoes")))*INDEX(Inputs!$K$5:$AJ$110,0,MATCH(G$2,Inputs!$K$4:$AJ$4,0)))+SUMPRODUCT((Inputs!$E$5:$E$110=$B58)*Inputs!$F$5:$F$110*(((Inputs!$G$5:$G$110="moeda")+(Inputs!$G$5:$G$110="acoes"))*Inputs!$B$1+((Inputs!$G$5:$G$110&lt;&gt;"moeda")*(Inputs!$G$5:$G$110&lt;&gt;"acoes")))*INDEX(Inputs!$K$5:$AJ$110,0,MATCH(G$2,Inputs!$K$4:$AJ$4,0)))))</f>
        <v>1653</v>
      </c>
      <c r="H58" s="264">
        <f>SUM(D58:G58)</f>
        <v>6643</v>
      </c>
      <c r="I58" s="263">
        <f>IF(ISNA(MATCH(I$2,Inputs!$K$4:$AJ$4,0)),NA(),IF(SUMPRODUCT((Inputs!$A$5:$A$110=$B58)*ISNUMBER(INDEX(Inputs!$K$5:$AJ$110,0,MATCH(I$2,Inputs!$K$4:$AJ$4,0))))+SUMPRODUCT((Inputs!$C$5:$C$110=$B58)*ISNUMBER(INDEX(Inputs!$K$5:$AJ$110,0,MATCH(I$2,Inputs!$K$4:$AJ$4,0))))+SUMPRODUCT((Inputs!$E$5:$E$110=$B58)*ISNUMBER(INDEX(Inputs!$K$5:$AJ$110,0,MATCH(I$2,Inputs!$K$4:$AJ$4,0))))=0,NA(),SUMPRODUCT((Inputs!$A$5:$A$110=$B58)*Inputs!$B$5:$B$110*(((Inputs!$G$5:$G$110="moeda")+(Inputs!$G$5:$G$110="acoes"))*Inputs!$B$1+((Inputs!$G$5:$G$110&lt;&gt;"moeda")*(Inputs!$G$5:$G$110&lt;&gt;"acoes")))*INDEX(Inputs!$K$5:$AJ$110,0,MATCH(I$2,Inputs!$K$4:$AJ$4,0)))+SUMPRODUCT((Inputs!$C$5:$C$110=$B58)*Inputs!$D$5:$D$110*(((Inputs!$G$5:$G$110="moeda")+(Inputs!$G$5:$G$110="acoes"))*Inputs!$B$1+((Inputs!$G$5:$G$110&lt;&gt;"moeda")*(Inputs!$G$5:$G$110&lt;&gt;"acoes")))*INDEX(Inputs!$K$5:$AJ$110,0,MATCH(I$2,Inputs!$K$4:$AJ$4,0)))+SUMPRODUCT((Inputs!$E$5:$E$110=$B58)*Inputs!$F$5:$F$110*(((Inputs!$G$5:$G$110="moeda")+(Inputs!$G$5:$G$110="acoes"))*Inputs!$B$1+((Inputs!$G$5:$G$110&lt;&gt;"moeda")*(Inputs!$G$5:$G$110&lt;&gt;"acoes")))*INDEX(Inputs!$K$5:$AJ$110,0,MATCH(I$2,Inputs!$K$4:$AJ$4,0)))))</f>
        <v>1686</v>
      </c>
      <c r="J58" s="263">
        <f>IF(ISNA(MATCH(J$2,Inputs!$K$4:$AJ$4,0)),NA(),IF(SUMPRODUCT((Inputs!$A$5:$A$110=$B58)*ISNUMBER(INDEX(Inputs!$K$5:$AJ$110,0,MATCH(J$2,Inputs!$K$4:$AJ$4,0))))+SUMPRODUCT((Inputs!$C$5:$C$110=$B58)*ISNUMBER(INDEX(Inputs!$K$5:$AJ$110,0,MATCH(J$2,Inputs!$K$4:$AJ$4,0))))+SUMPRODUCT((Inputs!$E$5:$E$110=$B58)*ISNUMBER(INDEX(Inputs!$K$5:$AJ$110,0,MATCH(J$2,Inputs!$K$4:$AJ$4,0))))=0,NA(),SUMPRODUCT((Inputs!$A$5:$A$110=$B58)*Inputs!$B$5:$B$110*(((Inputs!$G$5:$G$110="moeda")+(Inputs!$G$5:$G$110="acoes"))*Inputs!$B$1+((Inputs!$G$5:$G$110&lt;&gt;"moeda")*(Inputs!$G$5:$G$110&lt;&gt;"acoes")))*INDEX(Inputs!$K$5:$AJ$110,0,MATCH(J$2,Inputs!$K$4:$AJ$4,0)))+SUMPRODUCT((Inputs!$C$5:$C$110=$B58)*Inputs!$D$5:$D$110*(((Inputs!$G$5:$G$110="moeda")+(Inputs!$G$5:$G$110="acoes"))*Inputs!$B$1+((Inputs!$G$5:$G$110&lt;&gt;"moeda")*(Inputs!$G$5:$G$110&lt;&gt;"acoes")))*INDEX(Inputs!$K$5:$AJ$110,0,MATCH(J$2,Inputs!$K$4:$AJ$4,0)))+SUMPRODUCT((Inputs!$E$5:$E$110=$B58)*Inputs!$F$5:$F$110*(((Inputs!$G$5:$G$110="moeda")+(Inputs!$G$5:$G$110="acoes"))*Inputs!$B$1+((Inputs!$G$5:$G$110&lt;&gt;"moeda")*(Inputs!$G$5:$G$110&lt;&gt;"acoes")))*INDEX(Inputs!$K$5:$AJ$110,0,MATCH(J$2,Inputs!$K$4:$AJ$4,0)))))</f>
        <v>1837</v>
      </c>
      <c r="K58" s="263">
        <f>IF(ISNA(MATCH(K$2,Inputs!$K$4:$AJ$4,0)),NA(),IF(SUMPRODUCT((Inputs!$A$5:$A$110=$B58)*ISNUMBER(INDEX(Inputs!$K$5:$AJ$110,0,MATCH(K$2,Inputs!$K$4:$AJ$4,0))))+SUMPRODUCT((Inputs!$C$5:$C$110=$B58)*ISNUMBER(INDEX(Inputs!$K$5:$AJ$110,0,MATCH(K$2,Inputs!$K$4:$AJ$4,0))))+SUMPRODUCT((Inputs!$E$5:$E$110=$B58)*ISNUMBER(INDEX(Inputs!$K$5:$AJ$110,0,MATCH(K$2,Inputs!$K$4:$AJ$4,0))))=0,NA(),SUMPRODUCT((Inputs!$A$5:$A$110=$B58)*Inputs!$B$5:$B$110*(((Inputs!$G$5:$G$110="moeda")+(Inputs!$G$5:$G$110="acoes"))*Inputs!$B$1+((Inputs!$G$5:$G$110&lt;&gt;"moeda")*(Inputs!$G$5:$G$110&lt;&gt;"acoes")))*INDEX(Inputs!$K$5:$AJ$110,0,MATCH(K$2,Inputs!$K$4:$AJ$4,0)))+SUMPRODUCT((Inputs!$C$5:$C$110=$B58)*Inputs!$D$5:$D$110*(((Inputs!$G$5:$G$110="moeda")+(Inputs!$G$5:$G$110="acoes"))*Inputs!$B$1+((Inputs!$G$5:$G$110&lt;&gt;"moeda")*(Inputs!$G$5:$G$110&lt;&gt;"acoes")))*INDEX(Inputs!$K$5:$AJ$110,0,MATCH(K$2,Inputs!$K$4:$AJ$4,0)))+SUMPRODUCT((Inputs!$E$5:$E$110=$B58)*Inputs!$F$5:$F$110*(((Inputs!$G$5:$G$110="moeda")+(Inputs!$G$5:$G$110="acoes"))*Inputs!$B$1+((Inputs!$G$5:$G$110&lt;&gt;"moeda")*(Inputs!$G$5:$G$110&lt;&gt;"acoes")))*INDEX(Inputs!$K$5:$AJ$110,0,MATCH(K$2,Inputs!$K$4:$AJ$4,0)))))</f>
        <v>1750</v>
      </c>
      <c r="L58" s="263">
        <f>IF(ISNA(MATCH(L$2,Inputs!$K$4:$AJ$4,0)),NA(),IF(SUMPRODUCT((Inputs!$A$5:$A$110=$B58)*ISNUMBER(INDEX(Inputs!$K$5:$AJ$110,0,MATCH(L$2,Inputs!$K$4:$AJ$4,0))))+SUMPRODUCT((Inputs!$C$5:$C$110=$B58)*ISNUMBER(INDEX(Inputs!$K$5:$AJ$110,0,MATCH(L$2,Inputs!$K$4:$AJ$4,0))))+SUMPRODUCT((Inputs!$E$5:$E$110=$B58)*ISNUMBER(INDEX(Inputs!$K$5:$AJ$110,0,MATCH(L$2,Inputs!$K$4:$AJ$4,0))))=0,NA(),SUMPRODUCT((Inputs!$A$5:$A$110=$B58)*Inputs!$B$5:$B$110*(((Inputs!$G$5:$G$110="moeda")+(Inputs!$G$5:$G$110="acoes"))*Inputs!$B$1+((Inputs!$G$5:$G$110&lt;&gt;"moeda")*(Inputs!$G$5:$G$110&lt;&gt;"acoes")))*INDEX(Inputs!$K$5:$AJ$110,0,MATCH(L$2,Inputs!$K$4:$AJ$4,0)))+SUMPRODUCT((Inputs!$C$5:$C$110=$B58)*Inputs!$D$5:$D$110*(((Inputs!$G$5:$G$110="moeda")+(Inputs!$G$5:$G$110="acoes"))*Inputs!$B$1+((Inputs!$G$5:$G$110&lt;&gt;"moeda")*(Inputs!$G$5:$G$110&lt;&gt;"acoes")))*INDEX(Inputs!$K$5:$AJ$110,0,MATCH(L$2,Inputs!$K$4:$AJ$4,0)))+SUMPRODUCT((Inputs!$E$5:$E$110=$B58)*Inputs!$F$5:$F$110*(((Inputs!$G$5:$G$110="moeda")+(Inputs!$G$5:$G$110="acoes"))*Inputs!$B$1+((Inputs!$G$5:$G$110&lt;&gt;"moeda")*(Inputs!$G$5:$G$110&lt;&gt;"acoes")))*INDEX(Inputs!$K$5:$AJ$110,0,MATCH(L$2,Inputs!$K$4:$AJ$4,0)))))</f>
        <v>1833</v>
      </c>
      <c r="M58" s="264">
        <f>SUM(I58:L58)</f>
        <v>7106</v>
      </c>
      <c r="N58" s="263">
        <f>IF(ISNA(MATCH(N$2,Inputs!$K$4:$AJ$4,0)),NA(),IF(SUMPRODUCT((Inputs!$A$5:$A$110=$B58)*ISNUMBER(INDEX(Inputs!$K$5:$AJ$110,0,MATCH(N$2,Inputs!$K$4:$AJ$4,0))))+SUMPRODUCT((Inputs!$C$5:$C$110=$B58)*ISNUMBER(INDEX(Inputs!$K$5:$AJ$110,0,MATCH(N$2,Inputs!$K$4:$AJ$4,0))))+SUMPRODUCT((Inputs!$E$5:$E$110=$B58)*ISNUMBER(INDEX(Inputs!$K$5:$AJ$110,0,MATCH(N$2,Inputs!$K$4:$AJ$4,0))))=0,NA(),SUMPRODUCT((Inputs!$A$5:$A$110=$B58)*Inputs!$B$5:$B$110*(((Inputs!$G$5:$G$110="moeda")+(Inputs!$G$5:$G$110="acoes"))*Inputs!$B$1+((Inputs!$G$5:$G$110&lt;&gt;"moeda")*(Inputs!$G$5:$G$110&lt;&gt;"acoes")))*INDEX(Inputs!$K$5:$AJ$110,0,MATCH(N$2,Inputs!$K$4:$AJ$4,0)))+SUMPRODUCT((Inputs!$C$5:$C$110=$B58)*Inputs!$D$5:$D$110*(((Inputs!$G$5:$G$110="moeda")+(Inputs!$G$5:$G$110="acoes"))*Inputs!$B$1+((Inputs!$G$5:$G$110&lt;&gt;"moeda")*(Inputs!$G$5:$G$110&lt;&gt;"acoes")))*INDEX(Inputs!$K$5:$AJ$110,0,MATCH(N$2,Inputs!$K$4:$AJ$4,0)))+SUMPRODUCT((Inputs!$E$5:$E$110=$B58)*Inputs!$F$5:$F$110*(((Inputs!$G$5:$G$110="moeda")+(Inputs!$G$5:$G$110="acoes"))*Inputs!$B$1+((Inputs!$G$5:$G$110&lt;&gt;"moeda")*(Inputs!$G$5:$G$110&lt;&gt;"acoes")))*INDEX(Inputs!$K$5:$AJ$110,0,MATCH(N$2,Inputs!$K$4:$AJ$4,0)))))</f>
        <v>1992</v>
      </c>
      <c r="O58" s="263">
        <f>IF(ISNA(MATCH(O$2,Inputs!$K$4:$AJ$4,0)),NA(),IF(SUMPRODUCT((Inputs!$A$5:$A$110=$B58)*ISNUMBER(INDEX(Inputs!$K$5:$AJ$110,0,MATCH(O$2,Inputs!$K$4:$AJ$4,0))))+SUMPRODUCT((Inputs!$C$5:$C$110=$B58)*ISNUMBER(INDEX(Inputs!$K$5:$AJ$110,0,MATCH(O$2,Inputs!$K$4:$AJ$4,0))))+SUMPRODUCT((Inputs!$E$5:$E$110=$B58)*ISNUMBER(INDEX(Inputs!$K$5:$AJ$110,0,MATCH(O$2,Inputs!$K$4:$AJ$4,0))))=0,NA(),SUMPRODUCT((Inputs!$A$5:$A$110=$B58)*Inputs!$B$5:$B$110*(((Inputs!$G$5:$G$110="moeda")+(Inputs!$G$5:$G$110="acoes"))*Inputs!$B$1+((Inputs!$G$5:$G$110&lt;&gt;"moeda")*(Inputs!$G$5:$G$110&lt;&gt;"acoes")))*INDEX(Inputs!$K$5:$AJ$110,0,MATCH(O$2,Inputs!$K$4:$AJ$4,0)))+SUMPRODUCT((Inputs!$C$5:$C$110=$B58)*Inputs!$D$5:$D$110*(((Inputs!$G$5:$G$110="moeda")+(Inputs!$G$5:$G$110="acoes"))*Inputs!$B$1+((Inputs!$G$5:$G$110&lt;&gt;"moeda")*(Inputs!$G$5:$G$110&lt;&gt;"acoes")))*INDEX(Inputs!$K$5:$AJ$110,0,MATCH(O$2,Inputs!$K$4:$AJ$4,0)))+SUMPRODUCT((Inputs!$E$5:$E$110=$B58)*Inputs!$F$5:$F$110*(((Inputs!$G$5:$G$110="moeda")+(Inputs!$G$5:$G$110="acoes"))*Inputs!$B$1+((Inputs!$G$5:$G$110&lt;&gt;"moeda")*(Inputs!$G$5:$G$110&lt;&gt;"acoes")))*INDEX(Inputs!$K$5:$AJ$110,0,MATCH(O$2,Inputs!$K$4:$AJ$4,0)))))</f>
        <v>1959</v>
      </c>
      <c r="P58" s="263">
        <f>IF(ISNA(MATCH(P$2,Inputs!$K$4:$AJ$4,0)),NA(),IF(SUMPRODUCT((Inputs!$A$5:$A$110=$B58)*ISNUMBER(INDEX(Inputs!$K$5:$AJ$110,0,MATCH(P$2,Inputs!$K$4:$AJ$4,0))))+SUMPRODUCT((Inputs!$C$5:$C$110=$B58)*ISNUMBER(INDEX(Inputs!$K$5:$AJ$110,0,MATCH(P$2,Inputs!$K$4:$AJ$4,0))))+SUMPRODUCT((Inputs!$E$5:$E$110=$B58)*ISNUMBER(INDEX(Inputs!$K$5:$AJ$110,0,MATCH(P$2,Inputs!$K$4:$AJ$4,0))))=0,NA(),SUMPRODUCT((Inputs!$A$5:$A$110=$B58)*Inputs!$B$5:$B$110*(((Inputs!$G$5:$G$110="moeda")+(Inputs!$G$5:$G$110="acoes"))*Inputs!$B$1+((Inputs!$G$5:$G$110&lt;&gt;"moeda")*(Inputs!$G$5:$G$110&lt;&gt;"acoes")))*INDEX(Inputs!$K$5:$AJ$110,0,MATCH(P$2,Inputs!$K$4:$AJ$4,0)))+SUMPRODUCT((Inputs!$C$5:$C$110=$B58)*Inputs!$D$5:$D$110*(((Inputs!$G$5:$G$110="moeda")+(Inputs!$G$5:$G$110="acoes"))*Inputs!$B$1+((Inputs!$G$5:$G$110&lt;&gt;"moeda")*(Inputs!$G$5:$G$110&lt;&gt;"acoes")))*INDEX(Inputs!$K$5:$AJ$110,0,MATCH(P$2,Inputs!$K$4:$AJ$4,0)))+SUMPRODUCT((Inputs!$E$5:$E$110=$B58)*Inputs!$F$5:$F$110*(((Inputs!$G$5:$G$110="moeda")+(Inputs!$G$5:$G$110="acoes"))*Inputs!$B$1+((Inputs!$G$5:$G$110&lt;&gt;"moeda")*(Inputs!$G$5:$G$110&lt;&gt;"acoes")))*INDEX(Inputs!$K$5:$AJ$110,0,MATCH(P$2,Inputs!$K$4:$AJ$4,0)))))</f>
        <v>2144</v>
      </c>
      <c r="Q58" s="263">
        <f>IF(ISNA(MATCH(Q$2,Inputs!$K$4:$AJ$4,0)),NA(),IF(SUMPRODUCT((Inputs!$A$5:$A$110=$B58)*ISNUMBER(INDEX(Inputs!$K$5:$AJ$110,0,MATCH(Q$2,Inputs!$K$4:$AJ$4,0))))+SUMPRODUCT((Inputs!$C$5:$C$110=$B58)*ISNUMBER(INDEX(Inputs!$K$5:$AJ$110,0,MATCH(Q$2,Inputs!$K$4:$AJ$4,0))))+SUMPRODUCT((Inputs!$E$5:$E$110=$B58)*ISNUMBER(INDEX(Inputs!$K$5:$AJ$110,0,MATCH(Q$2,Inputs!$K$4:$AJ$4,0))))=0,NA(),SUMPRODUCT((Inputs!$A$5:$A$110=$B58)*Inputs!$B$5:$B$110*(((Inputs!$G$5:$G$110="moeda")+(Inputs!$G$5:$G$110="acoes"))*Inputs!$B$1+((Inputs!$G$5:$G$110&lt;&gt;"moeda")*(Inputs!$G$5:$G$110&lt;&gt;"acoes")))*INDEX(Inputs!$K$5:$AJ$110,0,MATCH(Q$2,Inputs!$K$4:$AJ$4,0)))+SUMPRODUCT((Inputs!$C$5:$C$110=$B58)*Inputs!$D$5:$D$110*(((Inputs!$G$5:$G$110="moeda")+(Inputs!$G$5:$G$110="acoes"))*Inputs!$B$1+((Inputs!$G$5:$G$110&lt;&gt;"moeda")*(Inputs!$G$5:$G$110&lt;&gt;"acoes")))*INDEX(Inputs!$K$5:$AJ$110,0,MATCH(Q$2,Inputs!$K$4:$AJ$4,0)))+SUMPRODUCT((Inputs!$E$5:$E$110=$B58)*Inputs!$F$5:$F$110*(((Inputs!$G$5:$G$110="moeda")+(Inputs!$G$5:$G$110="acoes"))*Inputs!$B$1+((Inputs!$G$5:$G$110&lt;&gt;"moeda")*(Inputs!$G$5:$G$110&lt;&gt;"acoes")))*INDEX(Inputs!$K$5:$AJ$110,0,MATCH(Q$2,Inputs!$K$4:$AJ$4,0)))))</f>
        <v>4549</v>
      </c>
      <c r="R58" s="264">
        <f>SUM(N58:Q58)</f>
        <v>10644</v>
      </c>
      <c r="S58" s="263">
        <f>IF(ISNA(MATCH(S$2,Inputs!$K$4:$AJ$4,0)),NA(),IF(SUMPRODUCT((Inputs!$A$5:$A$110=$B58)*ISNUMBER(INDEX(Inputs!$K$5:$AJ$110,0,MATCH(S$2,Inputs!$K$4:$AJ$4,0))))+SUMPRODUCT((Inputs!$C$5:$C$110=$B58)*ISNUMBER(INDEX(Inputs!$K$5:$AJ$110,0,MATCH(S$2,Inputs!$K$4:$AJ$4,0))))+SUMPRODUCT((Inputs!$E$5:$E$110=$B58)*ISNUMBER(INDEX(Inputs!$K$5:$AJ$110,0,MATCH(S$2,Inputs!$K$4:$AJ$4,0))))=0,NA(),SUMPRODUCT((Inputs!$A$5:$A$110=$B58)*Inputs!$B$5:$B$110*(((Inputs!$G$5:$G$110="moeda")+(Inputs!$G$5:$G$110="acoes"))*Inputs!$B$1+((Inputs!$G$5:$G$110&lt;&gt;"moeda")*(Inputs!$G$5:$G$110&lt;&gt;"acoes")))*INDEX(Inputs!$K$5:$AJ$110,0,MATCH(S$2,Inputs!$K$4:$AJ$4,0)))+SUMPRODUCT((Inputs!$C$5:$C$110=$B58)*Inputs!$D$5:$D$110*(((Inputs!$G$5:$G$110="moeda")+(Inputs!$G$5:$G$110="acoes"))*Inputs!$B$1+((Inputs!$G$5:$G$110&lt;&gt;"moeda")*(Inputs!$G$5:$G$110&lt;&gt;"acoes")))*INDEX(Inputs!$K$5:$AJ$110,0,MATCH(S$2,Inputs!$K$4:$AJ$4,0)))+SUMPRODUCT((Inputs!$E$5:$E$110=$B58)*Inputs!$F$5:$F$110*(((Inputs!$G$5:$G$110="moeda")+(Inputs!$G$5:$G$110="acoes"))*Inputs!$B$1+((Inputs!$G$5:$G$110&lt;&gt;"moeda")*(Inputs!$G$5:$G$110&lt;&gt;"acoes")))*INDEX(Inputs!$K$5:$AJ$110,0,MATCH(S$2,Inputs!$K$4:$AJ$4,0)))))</f>
        <v>5295</v>
      </c>
      <c r="T58" s="263">
        <f>IF(ISNA(MATCH(T$2,Inputs!$K$4:$AJ$4,0)),NA(),IF(SUMPRODUCT((Inputs!$A$5:$A$110=$B58)*ISNUMBER(INDEX(Inputs!$K$5:$AJ$110,0,MATCH(T$2,Inputs!$K$4:$AJ$4,0))))+SUMPRODUCT((Inputs!$C$5:$C$110=$B58)*ISNUMBER(INDEX(Inputs!$K$5:$AJ$110,0,MATCH(T$2,Inputs!$K$4:$AJ$4,0))))+SUMPRODUCT((Inputs!$E$5:$E$110=$B58)*ISNUMBER(INDEX(Inputs!$K$5:$AJ$110,0,MATCH(T$2,Inputs!$K$4:$AJ$4,0))))=0,NA(),SUMPRODUCT((Inputs!$A$5:$A$110=$B58)*Inputs!$B$5:$B$110*(((Inputs!$G$5:$G$110="moeda")+(Inputs!$G$5:$G$110="acoes"))*Inputs!$B$1+((Inputs!$G$5:$G$110&lt;&gt;"moeda")*(Inputs!$G$5:$G$110&lt;&gt;"acoes")))*INDEX(Inputs!$K$5:$AJ$110,0,MATCH(T$2,Inputs!$K$4:$AJ$4,0)))+SUMPRODUCT((Inputs!$C$5:$C$110=$B58)*Inputs!$D$5:$D$110*(((Inputs!$G$5:$G$110="moeda")+(Inputs!$G$5:$G$110="acoes"))*Inputs!$B$1+((Inputs!$G$5:$G$110&lt;&gt;"moeda")*(Inputs!$G$5:$G$110&lt;&gt;"acoes")))*INDEX(Inputs!$K$5:$AJ$110,0,MATCH(T$2,Inputs!$K$4:$AJ$4,0)))+SUMPRODUCT((Inputs!$E$5:$E$110=$B58)*Inputs!$F$5:$F$110*(((Inputs!$G$5:$G$110="moeda")+(Inputs!$G$5:$G$110="acoes"))*Inputs!$B$1+((Inputs!$G$5:$G$110&lt;&gt;"moeda")*(Inputs!$G$5:$G$110&lt;&gt;"acoes")))*INDEX(Inputs!$K$5:$AJ$110,0,MATCH(T$2,Inputs!$K$4:$AJ$4,0)))))</f>
        <v>5633</v>
      </c>
      <c r="U58" s="263">
        <f>IF(ISNA(MATCH(U$2,Inputs!$K$4:$AJ$4,0)),NA(),IF(SUMPRODUCT((Inputs!$A$5:$A$110=$B58)*ISNUMBER(INDEX(Inputs!$K$5:$AJ$110,0,MATCH(U$2,Inputs!$K$4:$AJ$4,0))))+SUMPRODUCT((Inputs!$C$5:$C$110=$B58)*ISNUMBER(INDEX(Inputs!$K$5:$AJ$110,0,MATCH(U$2,Inputs!$K$4:$AJ$4,0))))+SUMPRODUCT((Inputs!$E$5:$E$110=$B58)*ISNUMBER(INDEX(Inputs!$K$5:$AJ$110,0,MATCH(U$2,Inputs!$K$4:$AJ$4,0))))=0,NA(),SUMPRODUCT((Inputs!$A$5:$A$110=$B58)*Inputs!$B$5:$B$110*(((Inputs!$G$5:$G$110="moeda")+(Inputs!$G$5:$G$110="acoes"))*Inputs!$B$1+((Inputs!$G$5:$G$110&lt;&gt;"moeda")*(Inputs!$G$5:$G$110&lt;&gt;"acoes")))*INDEX(Inputs!$K$5:$AJ$110,0,MATCH(U$2,Inputs!$K$4:$AJ$4,0)))+SUMPRODUCT((Inputs!$C$5:$C$110=$B58)*Inputs!$D$5:$D$110*(((Inputs!$G$5:$G$110="moeda")+(Inputs!$G$5:$G$110="acoes"))*Inputs!$B$1+((Inputs!$G$5:$G$110&lt;&gt;"moeda")*(Inputs!$G$5:$G$110&lt;&gt;"acoes")))*INDEX(Inputs!$K$5:$AJ$110,0,MATCH(U$2,Inputs!$K$4:$AJ$4,0)))+SUMPRODUCT((Inputs!$E$5:$E$110=$B58)*Inputs!$F$5:$F$110*(((Inputs!$G$5:$G$110="moeda")+(Inputs!$G$5:$G$110="acoes"))*Inputs!$B$1+((Inputs!$G$5:$G$110&lt;&gt;"moeda")*(Inputs!$G$5:$G$110&lt;&gt;"acoes")))*INDEX(Inputs!$K$5:$AJ$110,0,MATCH(U$2,Inputs!$K$4:$AJ$4,0)))))</f>
        <v>5738</v>
      </c>
      <c r="V58" s="263">
        <f>IF(ISNA(MATCH(V$2,Inputs!$K$4:$AJ$4,0)),NA(),IF(SUMPRODUCT((Inputs!$A$5:$A$110=$B58)*ISNUMBER(INDEX(Inputs!$K$5:$AJ$110,0,MATCH(V$2,Inputs!$K$4:$AJ$4,0))))+SUMPRODUCT((Inputs!$C$5:$C$110=$B58)*ISNUMBER(INDEX(Inputs!$K$5:$AJ$110,0,MATCH(V$2,Inputs!$K$4:$AJ$4,0))))+SUMPRODUCT((Inputs!$E$5:$E$110=$B58)*ISNUMBER(INDEX(Inputs!$K$5:$AJ$110,0,MATCH(V$2,Inputs!$K$4:$AJ$4,0))))=0,NA(),SUMPRODUCT((Inputs!$A$5:$A$110=$B58)*Inputs!$B$5:$B$110*(((Inputs!$G$5:$G$110="moeda")+(Inputs!$G$5:$G$110="acoes"))*Inputs!$B$1+((Inputs!$G$5:$G$110&lt;&gt;"moeda")*(Inputs!$G$5:$G$110&lt;&gt;"acoes")))*INDEX(Inputs!$K$5:$AJ$110,0,MATCH(V$2,Inputs!$K$4:$AJ$4,0)))+SUMPRODUCT((Inputs!$C$5:$C$110=$B58)*Inputs!$D$5:$D$110*(((Inputs!$G$5:$G$110="moeda")+(Inputs!$G$5:$G$110="acoes"))*Inputs!$B$1+((Inputs!$G$5:$G$110&lt;&gt;"moeda")*(Inputs!$G$5:$G$110&lt;&gt;"acoes")))*INDEX(Inputs!$K$5:$AJ$110,0,MATCH(V$2,Inputs!$K$4:$AJ$4,0)))+SUMPRODUCT((Inputs!$E$5:$E$110=$B58)*Inputs!$F$5:$F$110*(((Inputs!$G$5:$G$110="moeda")+(Inputs!$G$5:$G$110="acoes"))*Inputs!$B$1+((Inputs!$G$5:$G$110&lt;&gt;"moeda")*(Inputs!$G$5:$G$110&lt;&gt;"acoes")))*INDEX(Inputs!$K$5:$AJ$110,0,MATCH(V$2,Inputs!$K$4:$AJ$4,0)))))</f>
        <v>4773</v>
      </c>
      <c r="W58" s="264">
        <f>SUM(S58:V58)</f>
        <v>21439</v>
      </c>
      <c r="X58" s="263">
        <f>IF(ISNA(MATCH(X$2,Inputs!$K$4:$AJ$4,0)),NA(),IF(SUMPRODUCT((Inputs!$A$5:$A$110=$B58)*ISNUMBER(INDEX(Inputs!$K$5:$AJ$110,0,MATCH(X$2,Inputs!$K$4:$AJ$4,0))))+SUMPRODUCT((Inputs!$C$5:$C$110=$B58)*ISNUMBER(INDEX(Inputs!$K$5:$AJ$110,0,MATCH(X$2,Inputs!$K$4:$AJ$4,0))))+SUMPRODUCT((Inputs!$E$5:$E$110=$B58)*ISNUMBER(INDEX(Inputs!$K$5:$AJ$110,0,MATCH(X$2,Inputs!$K$4:$AJ$4,0))))=0,NA(),SUMPRODUCT((Inputs!$A$5:$A$110=$B58)*Inputs!$B$5:$B$110*(((Inputs!$G$5:$G$110="moeda")+(Inputs!$G$5:$G$110="acoes"))*Inputs!$B$1+((Inputs!$G$5:$G$110&lt;&gt;"moeda")*(Inputs!$G$5:$G$110&lt;&gt;"acoes")))*INDEX(Inputs!$K$5:$AJ$110,0,MATCH(X$2,Inputs!$K$4:$AJ$4,0)))+SUMPRODUCT((Inputs!$C$5:$C$110=$B58)*Inputs!$D$5:$D$110*(((Inputs!$G$5:$G$110="moeda")+(Inputs!$G$5:$G$110="acoes"))*Inputs!$B$1+((Inputs!$G$5:$G$110&lt;&gt;"moeda")*(Inputs!$G$5:$G$110&lt;&gt;"acoes")))*INDEX(Inputs!$K$5:$AJ$110,0,MATCH(X$2,Inputs!$K$4:$AJ$4,0)))+SUMPRODUCT((Inputs!$E$5:$E$110=$B58)*Inputs!$F$5:$F$110*(((Inputs!$G$5:$G$110="moeda")+(Inputs!$G$5:$G$110="acoes"))*Inputs!$B$1+((Inputs!$G$5:$G$110&lt;&gt;"moeda")*(Inputs!$G$5:$G$110&lt;&gt;"acoes")))*INDEX(Inputs!$K$5:$AJ$110,0,MATCH(X$2,Inputs!$K$4:$AJ$4,0)))))</f>
        <v>4695</v>
      </c>
      <c r="Y58" s="263">
        <f>IF(ISNA(MATCH(Y$2,Inputs!$K$4:$AJ$4,0)),NA(),IF(SUMPRODUCT((Inputs!$A$5:$A$110=$B58)*ISNUMBER(INDEX(Inputs!$K$5:$AJ$110,0,MATCH(Y$2,Inputs!$K$4:$AJ$4,0))))+SUMPRODUCT((Inputs!$C$5:$C$110=$B58)*ISNUMBER(INDEX(Inputs!$K$5:$AJ$110,0,MATCH(Y$2,Inputs!$K$4:$AJ$4,0))))+SUMPRODUCT((Inputs!$E$5:$E$110=$B58)*ISNUMBER(INDEX(Inputs!$K$5:$AJ$110,0,MATCH(Y$2,Inputs!$K$4:$AJ$4,0))))=0,NA(),SUMPRODUCT((Inputs!$A$5:$A$110=$B58)*Inputs!$B$5:$B$110*(((Inputs!$G$5:$G$110="moeda")+(Inputs!$G$5:$G$110="acoes"))*Inputs!$B$1+((Inputs!$G$5:$G$110&lt;&gt;"moeda")*(Inputs!$G$5:$G$110&lt;&gt;"acoes")))*INDEX(Inputs!$K$5:$AJ$110,0,MATCH(Y$2,Inputs!$K$4:$AJ$4,0)))+SUMPRODUCT((Inputs!$C$5:$C$110=$B58)*Inputs!$D$5:$D$110*(((Inputs!$G$5:$G$110="moeda")+(Inputs!$G$5:$G$110="acoes"))*Inputs!$B$1+((Inputs!$G$5:$G$110&lt;&gt;"moeda")*(Inputs!$G$5:$G$110&lt;&gt;"acoes")))*INDEX(Inputs!$K$5:$AJ$110,0,MATCH(Y$2,Inputs!$K$4:$AJ$4,0)))+SUMPRODUCT((Inputs!$E$5:$E$110=$B58)*Inputs!$F$5:$F$110*(((Inputs!$G$5:$G$110="moeda")+(Inputs!$G$5:$G$110="acoes"))*Inputs!$B$1+((Inputs!$G$5:$G$110&lt;&gt;"moeda")*(Inputs!$G$5:$G$110&lt;&gt;"acoes")))*INDEX(Inputs!$K$5:$AJ$110,0,MATCH(Y$2,Inputs!$K$4:$AJ$4,0)))))</f>
        <v>4779</v>
      </c>
      <c r="Z58" s="263">
        <f>IF(ISNA(MATCH(Z$2,Inputs!$K$4:$AJ$4,0)),NA(),IF(SUMPRODUCT((Inputs!$A$5:$A$110=$B58)*ISNUMBER(INDEX(Inputs!$K$5:$AJ$110,0,MATCH(Z$2,Inputs!$K$4:$AJ$4,0))))+SUMPRODUCT((Inputs!$C$5:$C$110=$B58)*ISNUMBER(INDEX(Inputs!$K$5:$AJ$110,0,MATCH(Z$2,Inputs!$K$4:$AJ$4,0))))+SUMPRODUCT((Inputs!$E$5:$E$110=$B58)*ISNUMBER(INDEX(Inputs!$K$5:$AJ$110,0,MATCH(Z$2,Inputs!$K$4:$AJ$4,0))))=0,NA(),SUMPRODUCT((Inputs!$A$5:$A$110=$B58)*Inputs!$B$5:$B$110*(((Inputs!$G$5:$G$110="moeda")+(Inputs!$G$5:$G$110="acoes"))*Inputs!$B$1+((Inputs!$G$5:$G$110&lt;&gt;"moeda")*(Inputs!$G$5:$G$110&lt;&gt;"acoes")))*INDEX(Inputs!$K$5:$AJ$110,0,MATCH(Z$2,Inputs!$K$4:$AJ$4,0)))+SUMPRODUCT((Inputs!$C$5:$C$110=$B58)*Inputs!$D$5:$D$110*(((Inputs!$G$5:$G$110="moeda")+(Inputs!$G$5:$G$110="acoes"))*Inputs!$B$1+((Inputs!$G$5:$G$110&lt;&gt;"moeda")*(Inputs!$G$5:$G$110&lt;&gt;"acoes")))*INDEX(Inputs!$K$5:$AJ$110,0,MATCH(Z$2,Inputs!$K$4:$AJ$4,0)))+SUMPRODUCT((Inputs!$E$5:$E$110=$B58)*Inputs!$F$5:$F$110*(((Inputs!$G$5:$G$110="moeda")+(Inputs!$G$5:$G$110="acoes"))*Inputs!$B$1+((Inputs!$G$5:$G$110&lt;&gt;"moeda")*(Inputs!$G$5:$G$110&lt;&gt;"acoes")))*INDEX(Inputs!$K$5:$AJ$110,0,MATCH(Z$2,Inputs!$K$4:$AJ$4,0)))))</f>
        <v>4793</v>
      </c>
      <c r="AA58" s="263">
        <f>IF(ISNA(MATCH(AA$2,Inputs!$K$4:$AJ$4,0)),NA(),IF(SUMPRODUCT((Inputs!$A$5:$A$110=$B58)*ISNUMBER(INDEX(Inputs!$K$5:$AJ$110,0,MATCH(AA$2,Inputs!$K$4:$AJ$4,0))))+SUMPRODUCT((Inputs!$C$5:$C$110=$B58)*ISNUMBER(INDEX(Inputs!$K$5:$AJ$110,0,MATCH(AA$2,Inputs!$K$4:$AJ$4,0))))+SUMPRODUCT((Inputs!$E$5:$E$110=$B58)*ISNUMBER(INDEX(Inputs!$K$5:$AJ$110,0,MATCH(AA$2,Inputs!$K$4:$AJ$4,0))))=0,NA(),SUMPRODUCT((Inputs!$A$5:$A$110=$B58)*Inputs!$B$5:$B$110*(((Inputs!$G$5:$G$110="moeda")+(Inputs!$G$5:$G$110="acoes"))*Inputs!$B$1+((Inputs!$G$5:$G$110&lt;&gt;"moeda")*(Inputs!$G$5:$G$110&lt;&gt;"acoes")))*INDEX(Inputs!$K$5:$AJ$110,0,MATCH(AA$2,Inputs!$K$4:$AJ$4,0)))+SUMPRODUCT((Inputs!$C$5:$C$110=$B58)*Inputs!$D$5:$D$110*(((Inputs!$G$5:$G$110="moeda")+(Inputs!$G$5:$G$110="acoes"))*Inputs!$B$1+((Inputs!$G$5:$G$110&lt;&gt;"moeda")*(Inputs!$G$5:$G$110&lt;&gt;"acoes")))*INDEX(Inputs!$K$5:$AJ$110,0,MATCH(AA$2,Inputs!$K$4:$AJ$4,0)))+SUMPRODUCT((Inputs!$E$5:$E$110=$B58)*Inputs!$F$5:$F$110*(((Inputs!$G$5:$G$110="moeda")+(Inputs!$G$5:$G$110="acoes"))*Inputs!$B$1+((Inputs!$G$5:$G$110&lt;&gt;"moeda")*(Inputs!$G$5:$G$110&lt;&gt;"acoes")))*INDEX(Inputs!$K$5:$AJ$110,0,MATCH(AA$2,Inputs!$K$4:$AJ$4,0)))))</f>
        <v>5181</v>
      </c>
      <c r="AB58" s="264">
        <f>SUM(X58:AA58)</f>
        <v>19448</v>
      </c>
      <c r="AC58" s="263">
        <f>IF(ISNA(MATCH(AC$2,Inputs!$K$4:$AJ$4,0)),NA(),IF(SUMPRODUCT((Inputs!$A$5:$A$110=$B58)*ISNUMBER(INDEX(Inputs!$K$5:$AJ$110,0,MATCH(AC$2,Inputs!$K$4:$AJ$4,0))))+SUMPRODUCT((Inputs!$C$5:$C$110=$B58)*ISNUMBER(INDEX(Inputs!$K$5:$AJ$110,0,MATCH(AC$2,Inputs!$K$4:$AJ$4,0))))+SUMPRODUCT((Inputs!$E$5:$E$110=$B58)*ISNUMBER(INDEX(Inputs!$K$5:$AJ$110,0,MATCH(AC$2,Inputs!$K$4:$AJ$4,0))))=0,NA(),SUMPRODUCT((Inputs!$A$5:$A$110=$B58)*Inputs!$B$5:$B$110*(((Inputs!$G$5:$G$110="moeda")+(Inputs!$G$5:$G$110="acoes"))*Inputs!$B$1+((Inputs!$G$5:$G$110&lt;&gt;"moeda")*(Inputs!$G$5:$G$110&lt;&gt;"acoes")))*INDEX(Inputs!$K$5:$AJ$110,0,MATCH(AC$2,Inputs!$K$4:$AJ$4,0)))+SUMPRODUCT((Inputs!$C$5:$C$110=$B58)*Inputs!$D$5:$D$110*(((Inputs!$G$5:$G$110="moeda")+(Inputs!$G$5:$G$110="acoes"))*Inputs!$B$1+((Inputs!$G$5:$G$110&lt;&gt;"moeda")*(Inputs!$G$5:$G$110&lt;&gt;"acoes")))*INDEX(Inputs!$K$5:$AJ$110,0,MATCH(AC$2,Inputs!$K$4:$AJ$4,0)))+SUMPRODUCT((Inputs!$E$5:$E$110=$B58)*Inputs!$F$5:$F$110*(((Inputs!$G$5:$G$110="moeda")+(Inputs!$G$5:$G$110="acoes"))*Inputs!$B$1+((Inputs!$G$5:$G$110&lt;&gt;"moeda")*(Inputs!$G$5:$G$110&lt;&gt;"acoes")))*INDEX(Inputs!$K$5:$AJ$110,0,MATCH(AC$2,Inputs!$K$4:$AJ$4,0)))))</f>
        <v>5295</v>
      </c>
      <c r="AD58" s="263">
        <f>IF(ISNA(MATCH(AD$2,Inputs!$K$4:$AJ$4,0)),NA(),IF(SUMPRODUCT((Inputs!$A$5:$A$110=$B58)*ISNUMBER(INDEX(Inputs!$K$5:$AJ$110,0,MATCH(AD$2,Inputs!$K$4:$AJ$4,0))))+SUMPRODUCT((Inputs!$C$5:$C$110=$B58)*ISNUMBER(INDEX(Inputs!$K$5:$AJ$110,0,MATCH(AD$2,Inputs!$K$4:$AJ$4,0))))+SUMPRODUCT((Inputs!$E$5:$E$110=$B58)*ISNUMBER(INDEX(Inputs!$K$5:$AJ$110,0,MATCH(AD$2,Inputs!$K$4:$AJ$4,0))))=0,NA(),SUMPRODUCT((Inputs!$A$5:$A$110=$B58)*Inputs!$B$5:$B$110*(((Inputs!$G$5:$G$110="moeda")+(Inputs!$G$5:$G$110="acoes"))*Inputs!$B$1+((Inputs!$G$5:$G$110&lt;&gt;"moeda")*(Inputs!$G$5:$G$110&lt;&gt;"acoes")))*INDEX(Inputs!$K$5:$AJ$110,0,MATCH(AD$2,Inputs!$K$4:$AJ$4,0)))+SUMPRODUCT((Inputs!$C$5:$C$110=$B58)*Inputs!$D$5:$D$110*(((Inputs!$G$5:$G$110="moeda")+(Inputs!$G$5:$G$110="acoes"))*Inputs!$B$1+((Inputs!$G$5:$G$110&lt;&gt;"moeda")*(Inputs!$G$5:$G$110&lt;&gt;"acoes")))*INDEX(Inputs!$K$5:$AJ$110,0,MATCH(AD$2,Inputs!$K$4:$AJ$4,0)))+SUMPRODUCT((Inputs!$E$5:$E$110=$B58)*Inputs!$F$5:$F$110*(((Inputs!$G$5:$G$110="moeda")+(Inputs!$G$5:$G$110="acoes"))*Inputs!$B$1+((Inputs!$G$5:$G$110&lt;&gt;"moeda")*(Inputs!$G$5:$G$110&lt;&gt;"acoes")))*INDEX(Inputs!$K$5:$AJ$110,0,MATCH(AD$2,Inputs!$K$4:$AJ$4,0)))))</f>
        <v>5312</v>
      </c>
      <c r="AE58" s="263" t="e">
        <f>IF(ISNA(MATCH(AE$2,Inputs!$K$4:$AJ$4,0)),NA(),IF(SUMPRODUCT((Inputs!$A$5:$A$110=$B58)*ISNUMBER(INDEX(Inputs!$K$5:$AJ$110,0,MATCH(AE$2,Inputs!$K$4:$AJ$4,0))))+SUMPRODUCT((Inputs!$C$5:$C$110=$B58)*ISNUMBER(INDEX(Inputs!$K$5:$AJ$110,0,MATCH(AE$2,Inputs!$K$4:$AJ$4,0))))+SUMPRODUCT((Inputs!$E$5:$E$110=$B58)*ISNUMBER(INDEX(Inputs!$K$5:$AJ$110,0,MATCH(AE$2,Inputs!$K$4:$AJ$4,0))))=0,NA(),SUMPRODUCT((Inputs!$A$5:$A$110=$B58)*Inputs!$B$5:$B$110*(((Inputs!$G$5:$G$110="moeda")+(Inputs!$G$5:$G$110="acoes"))*Inputs!$B$1+((Inputs!$G$5:$G$110&lt;&gt;"moeda")*(Inputs!$G$5:$G$110&lt;&gt;"acoes")))*INDEX(Inputs!$K$5:$AJ$110,0,MATCH(AE$2,Inputs!$K$4:$AJ$4,0)))+SUMPRODUCT((Inputs!$C$5:$C$110=$B58)*Inputs!$D$5:$D$110*(((Inputs!$G$5:$G$110="moeda")+(Inputs!$G$5:$G$110="acoes"))*Inputs!$B$1+((Inputs!$G$5:$G$110&lt;&gt;"moeda")*(Inputs!$G$5:$G$110&lt;&gt;"acoes")))*INDEX(Inputs!$K$5:$AJ$110,0,MATCH(AE$2,Inputs!$K$4:$AJ$4,0)))+SUMPRODUCT((Inputs!$E$5:$E$110=$B58)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8" s="263" t="e">
        <f>IF(ISNA(MATCH(AF$2,Inputs!$K$4:$AJ$4,0)),NA(),IF(SUMPRODUCT((Inputs!$A$5:$A$110=$B58)*ISNUMBER(INDEX(Inputs!$K$5:$AJ$110,0,MATCH(AF$2,Inputs!$K$4:$AJ$4,0))))+SUMPRODUCT((Inputs!$C$5:$C$110=$B58)*ISNUMBER(INDEX(Inputs!$K$5:$AJ$110,0,MATCH(AF$2,Inputs!$K$4:$AJ$4,0))))+SUMPRODUCT((Inputs!$E$5:$E$110=$B58)*ISNUMBER(INDEX(Inputs!$K$5:$AJ$110,0,MATCH(AF$2,Inputs!$K$4:$AJ$4,0))))=0,NA(),SUMPRODUCT((Inputs!$A$5:$A$110=$B58)*Inputs!$B$5:$B$110*(((Inputs!$G$5:$G$110="moeda")+(Inputs!$G$5:$G$110="acoes"))*Inputs!$B$1+((Inputs!$G$5:$G$110&lt;&gt;"moeda")*(Inputs!$G$5:$G$110&lt;&gt;"acoes")))*INDEX(Inputs!$K$5:$AJ$110,0,MATCH(AF$2,Inputs!$K$4:$AJ$4,0)))+SUMPRODUCT((Inputs!$C$5:$C$110=$B58)*Inputs!$D$5:$D$110*(((Inputs!$G$5:$G$110="moeda")+(Inputs!$G$5:$G$110="acoes"))*Inputs!$B$1+((Inputs!$G$5:$G$110&lt;&gt;"moeda")*(Inputs!$G$5:$G$110&lt;&gt;"acoes")))*INDEX(Inputs!$K$5:$AJ$110,0,MATCH(AF$2,Inputs!$K$4:$AJ$4,0)))+SUMPRODUCT((Inputs!$E$5:$E$110=$B58)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8" s="264" t="e">
        <f>SUM(AC58:AF58)</f>
        <v>#N/A</v>
      </c>
      <c r="AH58" s="263">
        <f>IF(ISNA(MATCH(AH$2,Inputs!$K$4:$AJ$4,0)),NA(),IF(SUMPRODUCT((Inputs!$A$5:$A$110=$B58)*ISNUMBER(INDEX(Inputs!$K$5:$AJ$110,0,MATCH(AH$2,Inputs!$K$4:$AJ$4,0))))+SUMPRODUCT((Inputs!$C$5:$C$110=$B58)*ISNUMBER(INDEX(Inputs!$K$5:$AJ$110,0,MATCH(AH$2,Inputs!$K$4:$AJ$4,0))))+SUMPRODUCT((Inputs!$E$5:$E$110=$B58)*ISNUMBER(INDEX(Inputs!$K$5:$AJ$110,0,MATCH(AH$2,Inputs!$K$4:$AJ$4,0))))=0,NA(),SUMPRODUCT((Inputs!$A$5:$A$110=$B58)*Inputs!$B$5:$B$110*(((Inputs!$G$5:$G$110="moeda")+(Inputs!$G$5:$G$110="acoes"))*Inputs!$B$1+((Inputs!$G$5:$G$110&lt;&gt;"moeda")*(Inputs!$G$5:$G$110&lt;&gt;"acoes")))*INDEX(Inputs!$K$5:$AJ$110,0,MATCH(AH$2,Inputs!$K$4:$AJ$4,0)))+SUMPRODUCT((Inputs!$C$5:$C$110=$B58)*Inputs!$D$5:$D$110*(((Inputs!$G$5:$G$110="moeda")+(Inputs!$G$5:$G$110="acoes"))*Inputs!$B$1+((Inputs!$G$5:$G$110&lt;&gt;"moeda")*(Inputs!$G$5:$G$110&lt;&gt;"acoes")))*INDEX(Inputs!$K$5:$AJ$110,0,MATCH(AH$2,Inputs!$K$4:$AJ$4,0)))+SUMPRODUCT((Inputs!$E$5:$E$110=$B58)*Inputs!$F$5:$F$110*(((Inputs!$G$5:$G$110="moeda")+(Inputs!$G$5:$G$110="acoes"))*Inputs!$B$1+((Inputs!$G$5:$G$110&lt;&gt;"moeda")*(Inputs!$G$5:$G$110&lt;&gt;"acoes")))*INDEX(Inputs!$K$5:$AJ$110,0,MATCH(AH$2,Inputs!$K$4:$AJ$4,0)))))</f>
        <v>1489</v>
      </c>
      <c r="AI58" s="263">
        <f>IF(ISNA(MATCH(AI$2,Inputs!$K$4:$AJ$4,0)),NA(),IF(SUMPRODUCT((Inputs!$A$5:$A$110=$B58)*ISNUMBER(INDEX(Inputs!$K$5:$AJ$110,0,MATCH(AI$2,Inputs!$K$4:$AJ$4,0))))+SUMPRODUCT((Inputs!$C$5:$C$110=$B58)*ISNUMBER(INDEX(Inputs!$K$5:$AJ$110,0,MATCH(AI$2,Inputs!$K$4:$AJ$4,0))))+SUMPRODUCT((Inputs!$E$5:$E$110=$B58)*ISNUMBER(INDEX(Inputs!$K$5:$AJ$110,0,MATCH(AI$2,Inputs!$K$4:$AJ$4,0))))=0,NA(),SUMPRODUCT((Inputs!$A$5:$A$110=$B58)*Inputs!$B$5:$B$110*(((Inputs!$G$5:$G$110="moeda")+(Inputs!$G$5:$G$110="acoes"))*Inputs!$B$1+((Inputs!$G$5:$G$110&lt;&gt;"moeda")*(Inputs!$G$5:$G$110&lt;&gt;"acoes")))*INDEX(Inputs!$K$5:$AJ$110,0,MATCH(AI$2,Inputs!$K$4:$AJ$4,0)))+SUMPRODUCT((Inputs!$C$5:$C$110=$B58)*Inputs!$D$5:$D$110*(((Inputs!$G$5:$G$110="moeda")+(Inputs!$G$5:$G$110="acoes"))*Inputs!$B$1+((Inputs!$G$5:$G$110&lt;&gt;"moeda")*(Inputs!$G$5:$G$110&lt;&gt;"acoes")))*INDEX(Inputs!$K$5:$AJ$110,0,MATCH(AI$2,Inputs!$K$4:$AJ$4,0)))+SUMPRODUCT((Inputs!$E$5:$E$110=$B58)*Inputs!$F$5:$F$110*(((Inputs!$G$5:$G$110="moeda")+(Inputs!$G$5:$G$110="acoes"))*Inputs!$B$1+((Inputs!$G$5:$G$110&lt;&gt;"moeda")*(Inputs!$G$5:$G$110&lt;&gt;"acoes")))*INDEX(Inputs!$K$5:$AJ$110,0,MATCH(AI$2,Inputs!$K$4:$AJ$4,0)))))</f>
        <v>1696</v>
      </c>
      <c r="AJ58" s="263">
        <f>IF(ISNA(MATCH(AJ$2,Inputs!$K$4:$AJ$4,0)),NA(),IF(SUMPRODUCT((Inputs!$A$5:$A$110=$B58)*ISNUMBER(INDEX(Inputs!$K$5:$AJ$110,0,MATCH(AJ$2,Inputs!$K$4:$AJ$4,0))))+SUMPRODUCT((Inputs!$C$5:$C$110=$B58)*ISNUMBER(INDEX(Inputs!$K$5:$AJ$110,0,MATCH(AJ$2,Inputs!$K$4:$AJ$4,0))))+SUMPRODUCT((Inputs!$E$5:$E$110=$B58)*ISNUMBER(INDEX(Inputs!$K$5:$AJ$110,0,MATCH(AJ$2,Inputs!$K$4:$AJ$4,0))))=0,NA(),SUMPRODUCT((Inputs!$A$5:$A$110=$B58)*Inputs!$B$5:$B$110*(((Inputs!$G$5:$G$110="moeda")+(Inputs!$G$5:$G$110="acoes"))*Inputs!$B$1+((Inputs!$G$5:$G$110&lt;&gt;"moeda")*(Inputs!$G$5:$G$110&lt;&gt;"acoes")))*INDEX(Inputs!$K$5:$AJ$110,0,MATCH(AJ$2,Inputs!$K$4:$AJ$4,0)))+SUMPRODUCT((Inputs!$C$5:$C$110=$B58)*Inputs!$D$5:$D$110*(((Inputs!$G$5:$G$110="moeda")+(Inputs!$G$5:$G$110="acoes"))*Inputs!$B$1+((Inputs!$G$5:$G$110&lt;&gt;"moeda")*(Inputs!$G$5:$G$110&lt;&gt;"acoes")))*INDEX(Inputs!$K$5:$AJ$110,0,MATCH(AJ$2,Inputs!$K$4:$AJ$4,0)))+SUMPRODUCT((Inputs!$E$5:$E$110=$B58)*Inputs!$F$5:$F$110*(((Inputs!$G$5:$G$110="moeda")+(Inputs!$G$5:$G$110="acoes"))*Inputs!$B$1+((Inputs!$G$5:$G$110&lt;&gt;"moeda")*(Inputs!$G$5:$G$110&lt;&gt;"acoes")))*INDEX(Inputs!$K$5:$AJ$110,0,MATCH(AJ$2,Inputs!$K$4:$AJ$4,0)))))</f>
        <v>1614</v>
      </c>
      <c r="AK58" s="263">
        <f>IF(ISNA(MATCH(AK$2,Inputs!$K$4:$AJ$4,0)),NA(),IF(SUMPRODUCT((Inputs!$A$5:$A$110=$B58)*ISNUMBER(INDEX(Inputs!$K$5:$AJ$110,0,MATCH(AK$2,Inputs!$K$4:$AJ$4,0))))+SUMPRODUCT((Inputs!$C$5:$C$110=$B58)*ISNUMBER(INDEX(Inputs!$K$5:$AJ$110,0,MATCH(AK$2,Inputs!$K$4:$AJ$4,0))))+SUMPRODUCT((Inputs!$E$5:$E$110=$B58)*ISNUMBER(INDEX(Inputs!$K$5:$AJ$110,0,MATCH(AK$2,Inputs!$K$4:$AJ$4,0))))=0,NA(),SUMPRODUCT((Inputs!$A$5:$A$110=$B58)*Inputs!$B$5:$B$110*(((Inputs!$G$5:$G$110="moeda")+(Inputs!$G$5:$G$110="acoes"))*Inputs!$B$1+((Inputs!$G$5:$G$110&lt;&gt;"moeda")*(Inputs!$G$5:$G$110&lt;&gt;"acoes")))*INDEX(Inputs!$K$5:$AJ$110,0,MATCH(AK$2,Inputs!$K$4:$AJ$4,0)))+SUMPRODUCT((Inputs!$C$5:$C$110=$B58)*Inputs!$D$5:$D$110*(((Inputs!$G$5:$G$110="moeda")+(Inputs!$G$5:$G$110="acoes"))*Inputs!$B$1+((Inputs!$G$5:$G$110&lt;&gt;"moeda")*(Inputs!$G$5:$G$110&lt;&gt;"acoes")))*INDEX(Inputs!$K$5:$AJ$110,0,MATCH(AK$2,Inputs!$K$4:$AJ$4,0)))+SUMPRODUCT((Inputs!$E$5:$E$110=$B58)*Inputs!$F$5:$F$110*(((Inputs!$G$5:$G$110="moeda")+(Inputs!$G$5:$G$110="acoes"))*Inputs!$B$1+((Inputs!$G$5:$G$110&lt;&gt;"moeda")*(Inputs!$G$5:$G$110&lt;&gt;"acoes")))*INDEX(Inputs!$K$5:$AJ$110,0,MATCH(AK$2,Inputs!$K$4:$AJ$4,0)))))</f>
        <v>1574</v>
      </c>
      <c r="AL58" s="264">
        <f>SUM(AH58:AK58)</f>
        <v>6373</v>
      </c>
    </row>
    <row r="59">
      <c r="B59" s="46" t="n">
        <v>51</v>
      </c>
      <c r="C59" s="29" t="inlineStr">
        <is>
          <t>Receita Américas (USD)</t>
        </is>
      </c>
      <c r="D59" s="263">
        <f>IF(ISNA(MATCH(D$2,Inputs!$K$4:$AJ$4,0)),NA(),IF(SUMPRODUCT((Inputs!$A$5:$A$110=$B59)*ISNUMBER(INDEX(Inputs!$K$5:$AJ$110,0,MATCH(D$2,Inputs!$K$4:$AJ$4,0))))+SUMPRODUCT((Inputs!$C$5:$C$110=$B59)*ISNUMBER(INDEX(Inputs!$K$5:$AJ$110,0,MATCH(D$2,Inputs!$K$4:$AJ$4,0))))+SUMPRODUCT((Inputs!$E$5:$E$110=$B59)*ISNUMBER(INDEX(Inputs!$K$5:$AJ$110,0,MATCH(D$2,Inputs!$K$4:$AJ$4,0))))=0,NA(),SUMPRODUCT((Inputs!$A$5:$A$110=$B59)*Inputs!$B$5:$B$110*(((Inputs!$G$5:$G$110="moeda")+(Inputs!$G$5:$G$110="acoes"))*Inputs!$B$1+((Inputs!$G$5:$G$110&lt;&gt;"moeda")*(Inputs!$G$5:$G$110&lt;&gt;"acoes")))*INDEX(Inputs!$K$5:$AJ$110,0,MATCH(D$2,Inputs!$K$4:$AJ$4,0)))+SUMPRODUCT((Inputs!$C$5:$C$110=$B59)*Inputs!$D$5:$D$110*(((Inputs!$G$5:$G$110="moeda")+(Inputs!$G$5:$G$110="acoes"))*Inputs!$B$1+((Inputs!$G$5:$G$110&lt;&gt;"moeda")*(Inputs!$G$5:$G$110&lt;&gt;"acoes")))*INDEX(Inputs!$K$5:$AJ$110,0,MATCH(D$2,Inputs!$K$4:$AJ$4,0)))+SUMPRODUCT((Inputs!$E$5:$E$110=$B59)*Inputs!$F$5:$F$110*(((Inputs!$G$5:$G$110="moeda")+(Inputs!$G$5:$G$110="acoes"))*Inputs!$B$1+((Inputs!$G$5:$G$110&lt;&gt;"moeda")*(Inputs!$G$5:$G$110&lt;&gt;"acoes")))*INDEX(Inputs!$K$5:$AJ$110,0,MATCH(D$2,Inputs!$K$4:$AJ$4,0)))))</f>
        <v>1521</v>
      </c>
      <c r="E59" s="263">
        <f>IF(ISNA(MATCH(E$2,Inputs!$K$4:$AJ$4,0)),NA(),IF(SUMPRODUCT((Inputs!$A$5:$A$110=$B59)*ISNUMBER(INDEX(Inputs!$K$5:$AJ$110,0,MATCH(E$2,Inputs!$K$4:$AJ$4,0))))+SUMPRODUCT((Inputs!$C$5:$C$110=$B59)*ISNUMBER(INDEX(Inputs!$K$5:$AJ$110,0,MATCH(E$2,Inputs!$K$4:$AJ$4,0))))+SUMPRODUCT((Inputs!$E$5:$E$110=$B59)*ISNUMBER(INDEX(Inputs!$K$5:$AJ$110,0,MATCH(E$2,Inputs!$K$4:$AJ$4,0))))=0,NA(),SUMPRODUCT((Inputs!$A$5:$A$110=$B59)*Inputs!$B$5:$B$110*(((Inputs!$G$5:$G$110="moeda")+(Inputs!$G$5:$G$110="acoes"))*Inputs!$B$1+((Inputs!$G$5:$G$110&lt;&gt;"moeda")*(Inputs!$G$5:$G$110&lt;&gt;"acoes")))*INDEX(Inputs!$K$5:$AJ$110,0,MATCH(E$2,Inputs!$K$4:$AJ$4,0)))+SUMPRODUCT((Inputs!$C$5:$C$110=$B59)*Inputs!$D$5:$D$110*(((Inputs!$G$5:$G$110="moeda")+(Inputs!$G$5:$G$110="acoes"))*Inputs!$B$1+((Inputs!$G$5:$G$110&lt;&gt;"moeda")*(Inputs!$G$5:$G$110&lt;&gt;"acoes")))*INDEX(Inputs!$K$5:$AJ$110,0,MATCH(E$2,Inputs!$K$4:$AJ$4,0)))+SUMPRODUCT((Inputs!$E$5:$E$110=$B59)*Inputs!$F$5:$F$110*(((Inputs!$G$5:$G$110="moeda")+(Inputs!$G$5:$G$110="acoes"))*Inputs!$B$1+((Inputs!$G$5:$G$110&lt;&gt;"moeda")*(Inputs!$G$5:$G$110&lt;&gt;"acoes")))*INDEX(Inputs!$K$5:$AJ$110,0,MATCH(E$2,Inputs!$K$4:$AJ$4,0)))))</f>
        <v>1588</v>
      </c>
      <c r="F59" s="263">
        <f>IF(ISNA(MATCH(F$2,Inputs!$K$4:$AJ$4,0)),NA(),IF(SUMPRODUCT((Inputs!$A$5:$A$110=$B59)*ISNUMBER(INDEX(Inputs!$K$5:$AJ$110,0,MATCH(F$2,Inputs!$K$4:$AJ$4,0))))+SUMPRODUCT((Inputs!$C$5:$C$110=$B59)*ISNUMBER(INDEX(Inputs!$K$5:$AJ$110,0,MATCH(F$2,Inputs!$K$4:$AJ$4,0))))+SUMPRODUCT((Inputs!$E$5:$E$110=$B59)*ISNUMBER(INDEX(Inputs!$K$5:$AJ$110,0,MATCH(F$2,Inputs!$K$4:$AJ$4,0))))=0,NA(),SUMPRODUCT((Inputs!$A$5:$A$110=$B59)*Inputs!$B$5:$B$110*(((Inputs!$G$5:$G$110="moeda")+(Inputs!$G$5:$G$110="acoes"))*Inputs!$B$1+((Inputs!$G$5:$G$110&lt;&gt;"moeda")*(Inputs!$G$5:$G$110&lt;&gt;"acoes")))*INDEX(Inputs!$K$5:$AJ$110,0,MATCH(F$2,Inputs!$K$4:$AJ$4,0)))+SUMPRODUCT((Inputs!$C$5:$C$110=$B59)*Inputs!$D$5:$D$110*(((Inputs!$G$5:$G$110="moeda")+(Inputs!$G$5:$G$110="acoes"))*Inputs!$B$1+((Inputs!$G$5:$G$110&lt;&gt;"moeda")*(Inputs!$G$5:$G$110&lt;&gt;"acoes")))*INDEX(Inputs!$K$5:$AJ$110,0,MATCH(F$2,Inputs!$K$4:$AJ$4,0)))+SUMPRODUCT((Inputs!$E$5:$E$110=$B59)*Inputs!$F$5:$F$110*(((Inputs!$G$5:$G$110="moeda")+(Inputs!$G$5:$G$110="acoes"))*Inputs!$B$1+((Inputs!$G$5:$G$110&lt;&gt;"moeda")*(Inputs!$G$5:$G$110&lt;&gt;"acoes")))*INDEX(Inputs!$K$5:$AJ$110,0,MATCH(F$2,Inputs!$K$4:$AJ$4,0)))))</f>
        <v>1596</v>
      </c>
      <c r="G59" s="263">
        <f>IF(ISNA(MATCH(G$2,Inputs!$K$4:$AJ$4,0)),NA(),IF(SUMPRODUCT((Inputs!$A$5:$A$110=$B59)*ISNUMBER(INDEX(Inputs!$K$5:$AJ$110,0,MATCH(G$2,Inputs!$K$4:$AJ$4,0))))+SUMPRODUCT((Inputs!$C$5:$C$110=$B59)*ISNUMBER(INDEX(Inputs!$K$5:$AJ$110,0,MATCH(G$2,Inputs!$K$4:$AJ$4,0))))+SUMPRODUCT((Inputs!$E$5:$E$110=$B59)*ISNUMBER(INDEX(Inputs!$K$5:$AJ$110,0,MATCH(G$2,Inputs!$K$4:$AJ$4,0))))=0,NA(),SUMPRODUCT((Inputs!$A$5:$A$110=$B59)*Inputs!$B$5:$B$110*(((Inputs!$G$5:$G$110="moeda")+(Inputs!$G$5:$G$110="acoes"))*Inputs!$B$1+((Inputs!$G$5:$G$110&lt;&gt;"moeda")*(Inputs!$G$5:$G$110&lt;&gt;"acoes")))*INDEX(Inputs!$K$5:$AJ$110,0,MATCH(G$2,Inputs!$K$4:$AJ$4,0)))+SUMPRODUCT((Inputs!$C$5:$C$110=$B59)*Inputs!$D$5:$D$110*(((Inputs!$G$5:$G$110="moeda")+(Inputs!$G$5:$G$110="acoes"))*Inputs!$B$1+((Inputs!$G$5:$G$110&lt;&gt;"moeda")*(Inputs!$G$5:$G$110&lt;&gt;"acoes")))*INDEX(Inputs!$K$5:$AJ$110,0,MATCH(G$2,Inputs!$K$4:$AJ$4,0)))+SUMPRODUCT((Inputs!$E$5:$E$110=$B59)*Inputs!$F$5:$F$110*(((Inputs!$G$5:$G$110="moeda")+(Inputs!$G$5:$G$110="acoes"))*Inputs!$B$1+((Inputs!$G$5:$G$110&lt;&gt;"moeda")*(Inputs!$G$5:$G$110&lt;&gt;"acoes")))*INDEX(Inputs!$K$5:$AJ$110,0,MATCH(G$2,Inputs!$K$4:$AJ$4,0)))))</f>
        <v>1657</v>
      </c>
      <c r="H59" s="264">
        <f>SUM(D59:G59)</f>
        <v>6362</v>
      </c>
      <c r="I59" s="263">
        <f>IF(ISNA(MATCH(I$2,Inputs!$K$4:$AJ$4,0)),NA(),IF(SUMPRODUCT((Inputs!$A$5:$A$110=$B59)*ISNUMBER(INDEX(Inputs!$K$5:$AJ$110,0,MATCH(I$2,Inputs!$K$4:$AJ$4,0))))+SUMPRODUCT((Inputs!$C$5:$C$110=$B59)*ISNUMBER(INDEX(Inputs!$K$5:$AJ$110,0,MATCH(I$2,Inputs!$K$4:$AJ$4,0))))+SUMPRODUCT((Inputs!$E$5:$E$110=$B59)*ISNUMBER(INDEX(Inputs!$K$5:$AJ$110,0,MATCH(I$2,Inputs!$K$4:$AJ$4,0))))=0,NA(),SUMPRODUCT((Inputs!$A$5:$A$110=$B59)*Inputs!$B$5:$B$110*(((Inputs!$G$5:$G$110="moeda")+(Inputs!$G$5:$G$110="acoes"))*Inputs!$B$1+((Inputs!$G$5:$G$110&lt;&gt;"moeda")*(Inputs!$G$5:$G$110&lt;&gt;"acoes")))*INDEX(Inputs!$K$5:$AJ$110,0,MATCH(I$2,Inputs!$K$4:$AJ$4,0)))+SUMPRODUCT((Inputs!$C$5:$C$110=$B59)*Inputs!$D$5:$D$110*(((Inputs!$G$5:$G$110="moeda")+(Inputs!$G$5:$G$110="acoes"))*Inputs!$B$1+((Inputs!$G$5:$G$110&lt;&gt;"moeda")*(Inputs!$G$5:$G$110&lt;&gt;"acoes")))*INDEX(Inputs!$K$5:$AJ$110,0,MATCH(I$2,Inputs!$K$4:$AJ$4,0)))+SUMPRODUCT((Inputs!$E$5:$E$110=$B59)*Inputs!$F$5:$F$110*(((Inputs!$G$5:$G$110="moeda")+(Inputs!$G$5:$G$110="acoes"))*Inputs!$B$1+((Inputs!$G$5:$G$110&lt;&gt;"moeda")*(Inputs!$G$5:$G$110&lt;&gt;"acoes")))*INDEX(Inputs!$K$5:$AJ$110,0,MATCH(I$2,Inputs!$K$4:$AJ$4,0)))))</f>
        <v>1812</v>
      </c>
      <c r="J59" s="263">
        <f>IF(ISNA(MATCH(J$2,Inputs!$K$4:$AJ$4,0)),NA(),IF(SUMPRODUCT((Inputs!$A$5:$A$110=$B59)*ISNUMBER(INDEX(Inputs!$K$5:$AJ$110,0,MATCH(J$2,Inputs!$K$4:$AJ$4,0))))+SUMPRODUCT((Inputs!$C$5:$C$110=$B59)*ISNUMBER(INDEX(Inputs!$K$5:$AJ$110,0,MATCH(J$2,Inputs!$K$4:$AJ$4,0))))+SUMPRODUCT((Inputs!$E$5:$E$110=$B59)*ISNUMBER(INDEX(Inputs!$K$5:$AJ$110,0,MATCH(J$2,Inputs!$K$4:$AJ$4,0))))=0,NA(),SUMPRODUCT((Inputs!$A$5:$A$110=$B59)*Inputs!$B$5:$B$110*(((Inputs!$G$5:$G$110="moeda")+(Inputs!$G$5:$G$110="acoes"))*Inputs!$B$1+((Inputs!$G$5:$G$110&lt;&gt;"moeda")*(Inputs!$G$5:$G$110&lt;&gt;"acoes")))*INDEX(Inputs!$K$5:$AJ$110,0,MATCH(J$2,Inputs!$K$4:$AJ$4,0)))+SUMPRODUCT((Inputs!$C$5:$C$110=$B59)*Inputs!$D$5:$D$110*(((Inputs!$G$5:$G$110="moeda")+(Inputs!$G$5:$G$110="acoes"))*Inputs!$B$1+((Inputs!$G$5:$G$110&lt;&gt;"moeda")*(Inputs!$G$5:$G$110&lt;&gt;"acoes")))*INDEX(Inputs!$K$5:$AJ$110,0,MATCH(J$2,Inputs!$K$4:$AJ$4,0)))+SUMPRODUCT((Inputs!$E$5:$E$110=$B59)*Inputs!$F$5:$F$110*(((Inputs!$G$5:$G$110="moeda")+(Inputs!$G$5:$G$110="acoes"))*Inputs!$B$1+((Inputs!$G$5:$G$110&lt;&gt;"moeda")*(Inputs!$G$5:$G$110&lt;&gt;"acoes")))*INDEX(Inputs!$K$5:$AJ$110,0,MATCH(J$2,Inputs!$K$4:$AJ$4,0)))))</f>
        <v>1762</v>
      </c>
      <c r="K59" s="263">
        <f>IF(ISNA(MATCH(K$2,Inputs!$K$4:$AJ$4,0)),NA(),IF(SUMPRODUCT((Inputs!$A$5:$A$110=$B59)*ISNUMBER(INDEX(Inputs!$K$5:$AJ$110,0,MATCH(K$2,Inputs!$K$4:$AJ$4,0))))+SUMPRODUCT((Inputs!$C$5:$C$110=$B59)*ISNUMBER(INDEX(Inputs!$K$5:$AJ$110,0,MATCH(K$2,Inputs!$K$4:$AJ$4,0))))+SUMPRODUCT((Inputs!$E$5:$E$110=$B59)*ISNUMBER(INDEX(Inputs!$K$5:$AJ$110,0,MATCH(K$2,Inputs!$K$4:$AJ$4,0))))=0,NA(),SUMPRODUCT((Inputs!$A$5:$A$110=$B59)*Inputs!$B$5:$B$110*(((Inputs!$G$5:$G$110="moeda")+(Inputs!$G$5:$G$110="acoes"))*Inputs!$B$1+((Inputs!$G$5:$G$110&lt;&gt;"moeda")*(Inputs!$G$5:$G$110&lt;&gt;"acoes")))*INDEX(Inputs!$K$5:$AJ$110,0,MATCH(K$2,Inputs!$K$4:$AJ$4,0)))+SUMPRODUCT((Inputs!$C$5:$C$110=$B59)*Inputs!$D$5:$D$110*(((Inputs!$G$5:$G$110="moeda")+(Inputs!$G$5:$G$110="acoes"))*Inputs!$B$1+((Inputs!$G$5:$G$110&lt;&gt;"moeda")*(Inputs!$G$5:$G$110&lt;&gt;"acoes")))*INDEX(Inputs!$K$5:$AJ$110,0,MATCH(K$2,Inputs!$K$4:$AJ$4,0)))+SUMPRODUCT((Inputs!$E$5:$E$110=$B59)*Inputs!$F$5:$F$110*(((Inputs!$G$5:$G$110="moeda")+(Inputs!$G$5:$G$110="acoes"))*Inputs!$B$1+((Inputs!$G$5:$G$110&lt;&gt;"moeda")*(Inputs!$G$5:$G$110&lt;&gt;"acoes")))*INDEX(Inputs!$K$5:$AJ$110,0,MATCH(K$2,Inputs!$K$4:$AJ$4,0)))))</f>
        <v>1713</v>
      </c>
      <c r="L59" s="263">
        <f>IF(ISNA(MATCH(L$2,Inputs!$K$4:$AJ$4,0)),NA(),IF(SUMPRODUCT((Inputs!$A$5:$A$110=$B59)*ISNUMBER(INDEX(Inputs!$K$5:$AJ$110,0,MATCH(L$2,Inputs!$K$4:$AJ$4,0))))+SUMPRODUCT((Inputs!$C$5:$C$110=$B59)*ISNUMBER(INDEX(Inputs!$K$5:$AJ$110,0,MATCH(L$2,Inputs!$K$4:$AJ$4,0))))+SUMPRODUCT((Inputs!$E$5:$E$110=$B59)*ISNUMBER(INDEX(Inputs!$K$5:$AJ$110,0,MATCH(L$2,Inputs!$K$4:$AJ$4,0))))=0,NA(),SUMPRODUCT((Inputs!$A$5:$A$110=$B59)*Inputs!$B$5:$B$110*(((Inputs!$G$5:$G$110="moeda")+(Inputs!$G$5:$G$110="acoes"))*Inputs!$B$1+((Inputs!$G$5:$G$110&lt;&gt;"moeda")*(Inputs!$G$5:$G$110&lt;&gt;"acoes")))*INDEX(Inputs!$K$5:$AJ$110,0,MATCH(L$2,Inputs!$K$4:$AJ$4,0)))+SUMPRODUCT((Inputs!$C$5:$C$110=$B59)*Inputs!$D$5:$D$110*(((Inputs!$G$5:$G$110="moeda")+(Inputs!$G$5:$G$110="acoes"))*Inputs!$B$1+((Inputs!$G$5:$G$110&lt;&gt;"moeda")*(Inputs!$G$5:$G$110&lt;&gt;"acoes")))*INDEX(Inputs!$K$5:$AJ$110,0,MATCH(L$2,Inputs!$K$4:$AJ$4,0)))+SUMPRODUCT((Inputs!$E$5:$E$110=$B59)*Inputs!$F$5:$F$110*(((Inputs!$G$5:$G$110="moeda")+(Inputs!$G$5:$G$110="acoes"))*Inputs!$B$1+((Inputs!$G$5:$G$110&lt;&gt;"moeda")*(Inputs!$G$5:$G$110&lt;&gt;"acoes")))*INDEX(Inputs!$K$5:$AJ$110,0,MATCH(L$2,Inputs!$K$4:$AJ$4,0)))))</f>
        <v>1839</v>
      </c>
      <c r="M59" s="264">
        <f>SUM(I59:L59)</f>
        <v>7126</v>
      </c>
      <c r="N59" s="263">
        <f>IF(ISNA(MATCH(N$2,Inputs!$K$4:$AJ$4,0)),NA(),IF(SUMPRODUCT((Inputs!$A$5:$A$110=$B59)*ISNUMBER(INDEX(Inputs!$K$5:$AJ$110,0,MATCH(N$2,Inputs!$K$4:$AJ$4,0))))+SUMPRODUCT((Inputs!$C$5:$C$110=$B59)*ISNUMBER(INDEX(Inputs!$K$5:$AJ$110,0,MATCH(N$2,Inputs!$K$4:$AJ$4,0))))+SUMPRODUCT((Inputs!$E$5:$E$110=$B59)*ISNUMBER(INDEX(Inputs!$K$5:$AJ$110,0,MATCH(N$2,Inputs!$K$4:$AJ$4,0))))=0,NA(),SUMPRODUCT((Inputs!$A$5:$A$110=$B59)*Inputs!$B$5:$B$110*(((Inputs!$G$5:$G$110="moeda")+(Inputs!$G$5:$G$110="acoes"))*Inputs!$B$1+((Inputs!$G$5:$G$110&lt;&gt;"moeda")*(Inputs!$G$5:$G$110&lt;&gt;"acoes")))*INDEX(Inputs!$K$5:$AJ$110,0,MATCH(N$2,Inputs!$K$4:$AJ$4,0)))+SUMPRODUCT((Inputs!$C$5:$C$110=$B59)*Inputs!$D$5:$D$110*(((Inputs!$G$5:$G$110="moeda")+(Inputs!$G$5:$G$110="acoes"))*Inputs!$B$1+((Inputs!$G$5:$G$110&lt;&gt;"moeda")*(Inputs!$G$5:$G$110&lt;&gt;"acoes")))*INDEX(Inputs!$K$5:$AJ$110,0,MATCH(N$2,Inputs!$K$4:$AJ$4,0)))+SUMPRODUCT((Inputs!$E$5:$E$110=$B59)*Inputs!$F$5:$F$110*(((Inputs!$G$5:$G$110="moeda")+(Inputs!$G$5:$G$110="acoes"))*Inputs!$B$1+((Inputs!$G$5:$G$110&lt;&gt;"moeda")*(Inputs!$G$5:$G$110&lt;&gt;"acoes")))*INDEX(Inputs!$K$5:$AJ$110,0,MATCH(N$2,Inputs!$K$4:$AJ$4,0)))))</f>
        <v>2234</v>
      </c>
      <c r="O59" s="263">
        <f>IF(ISNA(MATCH(O$2,Inputs!$K$4:$AJ$4,0)),NA(),IF(SUMPRODUCT((Inputs!$A$5:$A$110=$B59)*ISNUMBER(INDEX(Inputs!$K$5:$AJ$110,0,MATCH(O$2,Inputs!$K$4:$AJ$4,0))))+SUMPRODUCT((Inputs!$C$5:$C$110=$B59)*ISNUMBER(INDEX(Inputs!$K$5:$AJ$110,0,MATCH(O$2,Inputs!$K$4:$AJ$4,0))))+SUMPRODUCT((Inputs!$E$5:$E$110=$B59)*ISNUMBER(INDEX(Inputs!$K$5:$AJ$110,0,MATCH(O$2,Inputs!$K$4:$AJ$4,0))))=0,NA(),SUMPRODUCT((Inputs!$A$5:$A$110=$B59)*Inputs!$B$5:$B$110*(((Inputs!$G$5:$G$110="moeda")+(Inputs!$G$5:$G$110="acoes"))*Inputs!$B$1+((Inputs!$G$5:$G$110&lt;&gt;"moeda")*(Inputs!$G$5:$G$110&lt;&gt;"acoes")))*INDEX(Inputs!$K$5:$AJ$110,0,MATCH(O$2,Inputs!$K$4:$AJ$4,0)))+SUMPRODUCT((Inputs!$C$5:$C$110=$B59)*Inputs!$D$5:$D$110*(((Inputs!$G$5:$G$110="moeda")+(Inputs!$G$5:$G$110="acoes"))*Inputs!$B$1+((Inputs!$G$5:$G$110&lt;&gt;"moeda")*(Inputs!$G$5:$G$110&lt;&gt;"acoes")))*INDEX(Inputs!$K$5:$AJ$110,0,MATCH(O$2,Inputs!$K$4:$AJ$4,0)))+SUMPRODUCT((Inputs!$E$5:$E$110=$B59)*Inputs!$F$5:$F$110*(((Inputs!$G$5:$G$110="moeda")+(Inputs!$G$5:$G$110="acoes"))*Inputs!$B$1+((Inputs!$G$5:$G$110&lt;&gt;"moeda")*(Inputs!$G$5:$G$110&lt;&gt;"acoes")))*INDEX(Inputs!$K$5:$AJ$110,0,MATCH(O$2,Inputs!$K$4:$AJ$4,0)))))</f>
        <v>2089</v>
      </c>
      <c r="P59" s="263">
        <f>IF(ISNA(MATCH(P$2,Inputs!$K$4:$AJ$4,0)),NA(),IF(SUMPRODUCT((Inputs!$A$5:$A$110=$B59)*ISNUMBER(INDEX(Inputs!$K$5:$AJ$110,0,MATCH(P$2,Inputs!$K$4:$AJ$4,0))))+SUMPRODUCT((Inputs!$C$5:$C$110=$B59)*ISNUMBER(INDEX(Inputs!$K$5:$AJ$110,0,MATCH(P$2,Inputs!$K$4:$AJ$4,0))))+SUMPRODUCT((Inputs!$E$5:$E$110=$B59)*ISNUMBER(INDEX(Inputs!$K$5:$AJ$110,0,MATCH(P$2,Inputs!$K$4:$AJ$4,0))))=0,NA(),SUMPRODUCT((Inputs!$A$5:$A$110=$B59)*Inputs!$B$5:$B$110*(((Inputs!$G$5:$G$110="moeda")+(Inputs!$G$5:$G$110="acoes"))*Inputs!$B$1+((Inputs!$G$5:$G$110&lt;&gt;"moeda")*(Inputs!$G$5:$G$110&lt;&gt;"acoes")))*INDEX(Inputs!$K$5:$AJ$110,0,MATCH(P$2,Inputs!$K$4:$AJ$4,0)))+SUMPRODUCT((Inputs!$C$5:$C$110=$B59)*Inputs!$D$5:$D$110*(((Inputs!$G$5:$G$110="moeda")+(Inputs!$G$5:$G$110="acoes"))*Inputs!$B$1+((Inputs!$G$5:$G$110&lt;&gt;"moeda")*(Inputs!$G$5:$G$110&lt;&gt;"acoes")))*INDEX(Inputs!$K$5:$AJ$110,0,MATCH(P$2,Inputs!$K$4:$AJ$4,0)))+SUMPRODUCT((Inputs!$E$5:$E$110=$B59)*Inputs!$F$5:$F$110*(((Inputs!$G$5:$G$110="moeda")+(Inputs!$G$5:$G$110="acoes"))*Inputs!$B$1+((Inputs!$G$5:$G$110&lt;&gt;"moeda")*(Inputs!$G$5:$G$110&lt;&gt;"acoes")))*INDEX(Inputs!$K$5:$AJ$110,0,MATCH(P$2,Inputs!$K$4:$AJ$4,0)))))</f>
        <v>2117</v>
      </c>
      <c r="Q59" s="263">
        <f>IF(ISNA(MATCH(Q$2,Inputs!$K$4:$AJ$4,0)),NA(),IF(SUMPRODUCT((Inputs!$A$5:$A$110=$B59)*ISNUMBER(INDEX(Inputs!$K$5:$AJ$110,0,MATCH(Q$2,Inputs!$K$4:$AJ$4,0))))+SUMPRODUCT((Inputs!$C$5:$C$110=$B59)*ISNUMBER(INDEX(Inputs!$K$5:$AJ$110,0,MATCH(Q$2,Inputs!$K$4:$AJ$4,0))))+SUMPRODUCT((Inputs!$E$5:$E$110=$B59)*ISNUMBER(INDEX(Inputs!$K$5:$AJ$110,0,MATCH(Q$2,Inputs!$K$4:$AJ$4,0))))=0,NA(),SUMPRODUCT((Inputs!$A$5:$A$110=$B59)*Inputs!$B$5:$B$110*(((Inputs!$G$5:$G$110="moeda")+(Inputs!$G$5:$G$110="acoes"))*Inputs!$B$1+((Inputs!$G$5:$G$110&lt;&gt;"moeda")*(Inputs!$G$5:$G$110&lt;&gt;"acoes")))*INDEX(Inputs!$K$5:$AJ$110,0,MATCH(Q$2,Inputs!$K$4:$AJ$4,0)))+SUMPRODUCT((Inputs!$C$5:$C$110=$B59)*Inputs!$D$5:$D$110*(((Inputs!$G$5:$G$110="moeda")+(Inputs!$G$5:$G$110="acoes"))*Inputs!$B$1+((Inputs!$G$5:$G$110&lt;&gt;"moeda")*(Inputs!$G$5:$G$110&lt;&gt;"acoes")))*INDEX(Inputs!$K$5:$AJ$110,0,MATCH(Q$2,Inputs!$K$4:$AJ$4,0)))+SUMPRODUCT((Inputs!$E$5:$E$110=$B59)*Inputs!$F$5:$F$110*(((Inputs!$G$5:$G$110="moeda")+(Inputs!$G$5:$G$110="acoes"))*Inputs!$B$1+((Inputs!$G$5:$G$110&lt;&gt;"moeda")*(Inputs!$G$5:$G$110&lt;&gt;"acoes")))*INDEX(Inputs!$K$5:$AJ$110,0,MATCH(Q$2,Inputs!$K$4:$AJ$4,0)))))</f>
        <v>3085</v>
      </c>
      <c r="R59" s="264">
        <f>SUM(N59:Q59)</f>
        <v>9525</v>
      </c>
      <c r="S59" s="263">
        <f>IF(ISNA(MATCH(S$2,Inputs!$K$4:$AJ$4,0)),NA(),IF(SUMPRODUCT((Inputs!$A$5:$A$110=$B59)*ISNUMBER(INDEX(Inputs!$K$5:$AJ$110,0,MATCH(S$2,Inputs!$K$4:$AJ$4,0))))+SUMPRODUCT((Inputs!$C$5:$C$110=$B59)*ISNUMBER(INDEX(Inputs!$K$5:$AJ$110,0,MATCH(S$2,Inputs!$K$4:$AJ$4,0))))+SUMPRODUCT((Inputs!$E$5:$E$110=$B59)*ISNUMBER(INDEX(Inputs!$K$5:$AJ$110,0,MATCH(S$2,Inputs!$K$4:$AJ$4,0))))=0,NA(),SUMPRODUCT((Inputs!$A$5:$A$110=$B59)*Inputs!$B$5:$B$110*(((Inputs!$G$5:$G$110="moeda")+(Inputs!$G$5:$G$110="acoes"))*Inputs!$B$1+((Inputs!$G$5:$G$110&lt;&gt;"moeda")*(Inputs!$G$5:$G$110&lt;&gt;"acoes")))*INDEX(Inputs!$K$5:$AJ$110,0,MATCH(S$2,Inputs!$K$4:$AJ$4,0)))+SUMPRODUCT((Inputs!$C$5:$C$110=$B59)*Inputs!$D$5:$D$110*(((Inputs!$G$5:$G$110="moeda")+(Inputs!$G$5:$G$110="acoes"))*Inputs!$B$1+((Inputs!$G$5:$G$110&lt;&gt;"moeda")*(Inputs!$G$5:$G$110&lt;&gt;"acoes")))*INDEX(Inputs!$K$5:$AJ$110,0,MATCH(S$2,Inputs!$K$4:$AJ$4,0)))+SUMPRODUCT((Inputs!$E$5:$E$110=$B59)*Inputs!$F$5:$F$110*(((Inputs!$G$5:$G$110="moeda")+(Inputs!$G$5:$G$110="acoes"))*Inputs!$B$1+((Inputs!$G$5:$G$110&lt;&gt;"moeda")*(Inputs!$G$5:$G$110&lt;&gt;"acoes")))*INDEX(Inputs!$K$5:$AJ$110,0,MATCH(S$2,Inputs!$K$4:$AJ$4,0)))))</f>
        <v>3874</v>
      </c>
      <c r="T59" s="263">
        <f>IF(ISNA(MATCH(T$2,Inputs!$K$4:$AJ$4,0)),NA(),IF(SUMPRODUCT((Inputs!$A$5:$A$110=$B59)*ISNUMBER(INDEX(Inputs!$K$5:$AJ$110,0,MATCH(T$2,Inputs!$K$4:$AJ$4,0))))+SUMPRODUCT((Inputs!$C$5:$C$110=$B59)*ISNUMBER(INDEX(Inputs!$K$5:$AJ$110,0,MATCH(T$2,Inputs!$K$4:$AJ$4,0))))+SUMPRODUCT((Inputs!$E$5:$E$110=$B59)*ISNUMBER(INDEX(Inputs!$K$5:$AJ$110,0,MATCH(T$2,Inputs!$K$4:$AJ$4,0))))=0,NA(),SUMPRODUCT((Inputs!$A$5:$A$110=$B59)*Inputs!$B$5:$B$110*(((Inputs!$G$5:$G$110="moeda")+(Inputs!$G$5:$G$110="acoes"))*Inputs!$B$1+((Inputs!$G$5:$G$110&lt;&gt;"moeda")*(Inputs!$G$5:$G$110&lt;&gt;"acoes")))*INDEX(Inputs!$K$5:$AJ$110,0,MATCH(T$2,Inputs!$K$4:$AJ$4,0)))+SUMPRODUCT((Inputs!$C$5:$C$110=$B59)*Inputs!$D$5:$D$110*(((Inputs!$G$5:$G$110="moeda")+(Inputs!$G$5:$G$110="acoes"))*Inputs!$B$1+((Inputs!$G$5:$G$110&lt;&gt;"moeda")*(Inputs!$G$5:$G$110&lt;&gt;"acoes")))*INDEX(Inputs!$K$5:$AJ$110,0,MATCH(T$2,Inputs!$K$4:$AJ$4,0)))+SUMPRODUCT((Inputs!$E$5:$E$110=$B59)*Inputs!$F$5:$F$110*(((Inputs!$G$5:$G$110="moeda")+(Inputs!$G$5:$G$110="acoes"))*Inputs!$B$1+((Inputs!$G$5:$G$110&lt;&gt;"moeda")*(Inputs!$G$5:$G$110&lt;&gt;"acoes")))*INDEX(Inputs!$K$5:$AJ$110,0,MATCH(T$2,Inputs!$K$4:$AJ$4,0)))))</f>
        <v>3991</v>
      </c>
      <c r="U59" s="263">
        <f>IF(ISNA(MATCH(U$2,Inputs!$K$4:$AJ$4,0)),NA(),IF(SUMPRODUCT((Inputs!$A$5:$A$110=$B59)*ISNUMBER(INDEX(Inputs!$K$5:$AJ$110,0,MATCH(U$2,Inputs!$K$4:$AJ$4,0))))+SUMPRODUCT((Inputs!$C$5:$C$110=$B59)*ISNUMBER(INDEX(Inputs!$K$5:$AJ$110,0,MATCH(U$2,Inputs!$K$4:$AJ$4,0))))+SUMPRODUCT((Inputs!$E$5:$E$110=$B59)*ISNUMBER(INDEX(Inputs!$K$5:$AJ$110,0,MATCH(U$2,Inputs!$K$4:$AJ$4,0))))=0,NA(),SUMPRODUCT((Inputs!$A$5:$A$110=$B59)*Inputs!$B$5:$B$110*(((Inputs!$G$5:$G$110="moeda")+(Inputs!$G$5:$G$110="acoes"))*Inputs!$B$1+((Inputs!$G$5:$G$110&lt;&gt;"moeda")*(Inputs!$G$5:$G$110&lt;&gt;"acoes")))*INDEX(Inputs!$K$5:$AJ$110,0,MATCH(U$2,Inputs!$K$4:$AJ$4,0)))+SUMPRODUCT((Inputs!$C$5:$C$110=$B59)*Inputs!$D$5:$D$110*(((Inputs!$G$5:$G$110="moeda")+(Inputs!$G$5:$G$110="acoes"))*Inputs!$B$1+((Inputs!$G$5:$G$110&lt;&gt;"moeda")*(Inputs!$G$5:$G$110&lt;&gt;"acoes")))*INDEX(Inputs!$K$5:$AJ$110,0,MATCH(U$2,Inputs!$K$4:$AJ$4,0)))+SUMPRODUCT((Inputs!$E$5:$E$110=$B59)*Inputs!$F$5:$F$110*(((Inputs!$G$5:$G$110="moeda")+(Inputs!$G$5:$G$110="acoes"))*Inputs!$B$1+((Inputs!$G$5:$G$110&lt;&gt;"moeda")*(Inputs!$G$5:$G$110&lt;&gt;"acoes")))*INDEX(Inputs!$K$5:$AJ$110,0,MATCH(U$2,Inputs!$K$4:$AJ$4,0)))))</f>
        <v>4020</v>
      </c>
      <c r="V59" s="263">
        <f>IF(ISNA(MATCH(V$2,Inputs!$K$4:$AJ$4,0)),NA(),IF(SUMPRODUCT((Inputs!$A$5:$A$110=$B59)*ISNUMBER(INDEX(Inputs!$K$5:$AJ$110,0,MATCH(V$2,Inputs!$K$4:$AJ$4,0))))+SUMPRODUCT((Inputs!$C$5:$C$110=$B59)*ISNUMBER(INDEX(Inputs!$K$5:$AJ$110,0,MATCH(V$2,Inputs!$K$4:$AJ$4,0))))+SUMPRODUCT((Inputs!$E$5:$E$110=$B59)*ISNUMBER(INDEX(Inputs!$K$5:$AJ$110,0,MATCH(V$2,Inputs!$K$4:$AJ$4,0))))=0,NA(),SUMPRODUCT((Inputs!$A$5:$A$110=$B59)*Inputs!$B$5:$B$110*(((Inputs!$G$5:$G$110="moeda")+(Inputs!$G$5:$G$110="acoes"))*Inputs!$B$1+((Inputs!$G$5:$G$110&lt;&gt;"moeda")*(Inputs!$G$5:$G$110&lt;&gt;"acoes")))*INDEX(Inputs!$K$5:$AJ$110,0,MATCH(V$2,Inputs!$K$4:$AJ$4,0)))+SUMPRODUCT((Inputs!$C$5:$C$110=$B59)*Inputs!$D$5:$D$110*(((Inputs!$G$5:$G$110="moeda")+(Inputs!$G$5:$G$110="acoes"))*Inputs!$B$1+((Inputs!$G$5:$G$110&lt;&gt;"moeda")*(Inputs!$G$5:$G$110&lt;&gt;"acoes")))*INDEX(Inputs!$K$5:$AJ$110,0,MATCH(V$2,Inputs!$K$4:$AJ$4,0)))+SUMPRODUCT((Inputs!$E$5:$E$110=$B59)*Inputs!$F$5:$F$110*(((Inputs!$G$5:$G$110="moeda")+(Inputs!$G$5:$G$110="acoes"))*Inputs!$B$1+((Inputs!$G$5:$G$110&lt;&gt;"moeda")*(Inputs!$G$5:$G$110&lt;&gt;"acoes")))*INDEX(Inputs!$K$5:$AJ$110,0,MATCH(V$2,Inputs!$K$4:$AJ$4,0)))))</f>
        <v>4632</v>
      </c>
      <c r="W59" s="264">
        <f>SUM(S59:V59)</f>
        <v>16517</v>
      </c>
      <c r="X59" s="263">
        <f>IF(ISNA(MATCH(X$2,Inputs!$K$4:$AJ$4,0)),NA(),IF(SUMPRODUCT((Inputs!$A$5:$A$110=$B59)*ISNUMBER(INDEX(Inputs!$K$5:$AJ$110,0,MATCH(X$2,Inputs!$K$4:$AJ$4,0))))+SUMPRODUCT((Inputs!$C$5:$C$110=$B59)*ISNUMBER(INDEX(Inputs!$K$5:$AJ$110,0,MATCH(X$2,Inputs!$K$4:$AJ$4,0))))+SUMPRODUCT((Inputs!$E$5:$E$110=$B59)*ISNUMBER(INDEX(Inputs!$K$5:$AJ$110,0,MATCH(X$2,Inputs!$K$4:$AJ$4,0))))=0,NA(),SUMPRODUCT((Inputs!$A$5:$A$110=$B59)*Inputs!$B$5:$B$110*(((Inputs!$G$5:$G$110="moeda")+(Inputs!$G$5:$G$110="acoes"))*Inputs!$B$1+((Inputs!$G$5:$G$110&lt;&gt;"moeda")*(Inputs!$G$5:$G$110&lt;&gt;"acoes")))*INDEX(Inputs!$K$5:$AJ$110,0,MATCH(X$2,Inputs!$K$4:$AJ$4,0)))+SUMPRODUCT((Inputs!$C$5:$C$110=$B59)*Inputs!$D$5:$D$110*(((Inputs!$G$5:$G$110="moeda")+(Inputs!$G$5:$G$110="acoes"))*Inputs!$B$1+((Inputs!$G$5:$G$110&lt;&gt;"moeda")*(Inputs!$G$5:$G$110&lt;&gt;"acoes")))*INDEX(Inputs!$K$5:$AJ$110,0,MATCH(X$2,Inputs!$K$4:$AJ$4,0)))+SUMPRODUCT((Inputs!$E$5:$E$110=$B59)*Inputs!$F$5:$F$110*(((Inputs!$G$5:$G$110="moeda")+(Inputs!$G$5:$G$110="acoes"))*Inputs!$B$1+((Inputs!$G$5:$G$110&lt;&gt;"moeda")*(Inputs!$G$5:$G$110&lt;&gt;"acoes")))*INDEX(Inputs!$K$5:$AJ$110,0,MATCH(X$2,Inputs!$K$4:$AJ$4,0)))))</f>
        <v>4706</v>
      </c>
      <c r="Y59" s="263">
        <f>IF(ISNA(MATCH(Y$2,Inputs!$K$4:$AJ$4,0)),NA(),IF(SUMPRODUCT((Inputs!$A$5:$A$110=$B59)*ISNUMBER(INDEX(Inputs!$K$5:$AJ$110,0,MATCH(Y$2,Inputs!$K$4:$AJ$4,0))))+SUMPRODUCT((Inputs!$C$5:$C$110=$B59)*ISNUMBER(INDEX(Inputs!$K$5:$AJ$110,0,MATCH(Y$2,Inputs!$K$4:$AJ$4,0))))+SUMPRODUCT((Inputs!$E$5:$E$110=$B59)*ISNUMBER(INDEX(Inputs!$K$5:$AJ$110,0,MATCH(Y$2,Inputs!$K$4:$AJ$4,0))))=0,NA(),SUMPRODUCT((Inputs!$A$5:$A$110=$B59)*Inputs!$B$5:$B$110*(((Inputs!$G$5:$G$110="moeda")+(Inputs!$G$5:$G$110="acoes"))*Inputs!$B$1+((Inputs!$G$5:$G$110&lt;&gt;"moeda")*(Inputs!$G$5:$G$110&lt;&gt;"acoes")))*INDEX(Inputs!$K$5:$AJ$110,0,MATCH(Y$2,Inputs!$K$4:$AJ$4,0)))+SUMPRODUCT((Inputs!$C$5:$C$110=$B59)*Inputs!$D$5:$D$110*(((Inputs!$G$5:$G$110="moeda")+(Inputs!$G$5:$G$110="acoes"))*Inputs!$B$1+((Inputs!$G$5:$G$110&lt;&gt;"moeda")*(Inputs!$G$5:$G$110&lt;&gt;"acoes")))*INDEX(Inputs!$K$5:$AJ$110,0,MATCH(Y$2,Inputs!$K$4:$AJ$4,0)))+SUMPRODUCT((Inputs!$E$5:$E$110=$B59)*Inputs!$F$5:$F$110*(((Inputs!$G$5:$G$110="moeda")+(Inputs!$G$5:$G$110="acoes"))*Inputs!$B$1+((Inputs!$G$5:$G$110&lt;&gt;"moeda")*(Inputs!$G$5:$G$110&lt;&gt;"acoes")))*INDEX(Inputs!$K$5:$AJ$110,0,MATCH(Y$2,Inputs!$K$4:$AJ$4,0)))))</f>
        <v>4724</v>
      </c>
      <c r="Z59" s="263">
        <f>IF(ISNA(MATCH(Z$2,Inputs!$K$4:$AJ$4,0)),NA(),IF(SUMPRODUCT((Inputs!$A$5:$A$110=$B59)*ISNUMBER(INDEX(Inputs!$K$5:$AJ$110,0,MATCH(Z$2,Inputs!$K$4:$AJ$4,0))))+SUMPRODUCT((Inputs!$C$5:$C$110=$B59)*ISNUMBER(INDEX(Inputs!$K$5:$AJ$110,0,MATCH(Z$2,Inputs!$K$4:$AJ$4,0))))+SUMPRODUCT((Inputs!$E$5:$E$110=$B59)*ISNUMBER(INDEX(Inputs!$K$5:$AJ$110,0,MATCH(Z$2,Inputs!$K$4:$AJ$4,0))))=0,NA(),SUMPRODUCT((Inputs!$A$5:$A$110=$B59)*Inputs!$B$5:$B$110*(((Inputs!$G$5:$G$110="moeda")+(Inputs!$G$5:$G$110="acoes"))*Inputs!$B$1+((Inputs!$G$5:$G$110&lt;&gt;"moeda")*(Inputs!$G$5:$G$110&lt;&gt;"acoes")))*INDEX(Inputs!$K$5:$AJ$110,0,MATCH(Z$2,Inputs!$K$4:$AJ$4,0)))+SUMPRODUCT((Inputs!$C$5:$C$110=$B59)*Inputs!$D$5:$D$110*(((Inputs!$G$5:$G$110="moeda")+(Inputs!$G$5:$G$110="acoes"))*Inputs!$B$1+((Inputs!$G$5:$G$110&lt;&gt;"moeda")*(Inputs!$G$5:$G$110&lt;&gt;"acoes")))*INDEX(Inputs!$K$5:$AJ$110,0,MATCH(Z$2,Inputs!$K$4:$AJ$4,0)))+SUMPRODUCT((Inputs!$E$5:$E$110=$B59)*Inputs!$F$5:$F$110*(((Inputs!$G$5:$G$110="moeda")+(Inputs!$G$5:$G$110="acoes"))*Inputs!$B$1+((Inputs!$G$5:$G$110&lt;&gt;"moeda")*(Inputs!$G$5:$G$110&lt;&gt;"acoes")))*INDEX(Inputs!$K$5:$AJ$110,0,MATCH(Z$2,Inputs!$K$4:$AJ$4,0)))))</f>
        <v>4877</v>
      </c>
      <c r="AA59" s="263">
        <f>IF(ISNA(MATCH(AA$2,Inputs!$K$4:$AJ$4,0)),NA(),IF(SUMPRODUCT((Inputs!$A$5:$A$110=$B59)*ISNUMBER(INDEX(Inputs!$K$5:$AJ$110,0,MATCH(AA$2,Inputs!$K$4:$AJ$4,0))))+SUMPRODUCT((Inputs!$C$5:$C$110=$B59)*ISNUMBER(INDEX(Inputs!$K$5:$AJ$110,0,MATCH(AA$2,Inputs!$K$4:$AJ$4,0))))+SUMPRODUCT((Inputs!$E$5:$E$110=$B59)*ISNUMBER(INDEX(Inputs!$K$5:$AJ$110,0,MATCH(AA$2,Inputs!$K$4:$AJ$4,0))))=0,NA(),SUMPRODUCT((Inputs!$A$5:$A$110=$B59)*Inputs!$B$5:$B$110*(((Inputs!$G$5:$G$110="moeda")+(Inputs!$G$5:$G$110="acoes"))*Inputs!$B$1+((Inputs!$G$5:$G$110&lt;&gt;"moeda")*(Inputs!$G$5:$G$110&lt;&gt;"acoes")))*INDEX(Inputs!$K$5:$AJ$110,0,MATCH(AA$2,Inputs!$K$4:$AJ$4,0)))+SUMPRODUCT((Inputs!$C$5:$C$110=$B59)*Inputs!$D$5:$D$110*(((Inputs!$G$5:$G$110="moeda")+(Inputs!$G$5:$G$110="acoes"))*Inputs!$B$1+((Inputs!$G$5:$G$110&lt;&gt;"moeda")*(Inputs!$G$5:$G$110&lt;&gt;"acoes")))*INDEX(Inputs!$K$5:$AJ$110,0,MATCH(AA$2,Inputs!$K$4:$AJ$4,0)))+SUMPRODUCT((Inputs!$E$5:$E$110=$B59)*Inputs!$F$5:$F$110*(((Inputs!$G$5:$G$110="moeda")+(Inputs!$G$5:$G$110="acoes"))*Inputs!$B$1+((Inputs!$G$5:$G$110&lt;&gt;"moeda")*(Inputs!$G$5:$G$110&lt;&gt;"acoes")))*INDEX(Inputs!$K$5:$AJ$110,0,MATCH(AA$2,Inputs!$K$4:$AJ$4,0)))))</f>
        <v>5081</v>
      </c>
      <c r="AB59" s="264">
        <f>SUM(X59:AA59)</f>
        <v>19388</v>
      </c>
      <c r="AC59" s="263">
        <f>IF(ISNA(MATCH(AC$2,Inputs!$K$4:$AJ$4,0)),NA(),IF(SUMPRODUCT((Inputs!$A$5:$A$110=$B59)*ISNUMBER(INDEX(Inputs!$K$5:$AJ$110,0,MATCH(AC$2,Inputs!$K$4:$AJ$4,0))))+SUMPRODUCT((Inputs!$C$5:$C$110=$B59)*ISNUMBER(INDEX(Inputs!$K$5:$AJ$110,0,MATCH(AC$2,Inputs!$K$4:$AJ$4,0))))+SUMPRODUCT((Inputs!$E$5:$E$110=$B59)*ISNUMBER(INDEX(Inputs!$K$5:$AJ$110,0,MATCH(AC$2,Inputs!$K$4:$AJ$4,0))))=0,NA(),SUMPRODUCT((Inputs!$A$5:$A$110=$B59)*Inputs!$B$5:$B$110*(((Inputs!$G$5:$G$110="moeda")+(Inputs!$G$5:$G$110="acoes"))*Inputs!$B$1+((Inputs!$G$5:$G$110&lt;&gt;"moeda")*(Inputs!$G$5:$G$110&lt;&gt;"acoes")))*INDEX(Inputs!$K$5:$AJ$110,0,MATCH(AC$2,Inputs!$K$4:$AJ$4,0)))+SUMPRODUCT((Inputs!$C$5:$C$110=$B59)*Inputs!$D$5:$D$110*(((Inputs!$G$5:$G$110="moeda")+(Inputs!$G$5:$G$110="acoes"))*Inputs!$B$1+((Inputs!$G$5:$G$110&lt;&gt;"moeda")*(Inputs!$G$5:$G$110&lt;&gt;"acoes")))*INDEX(Inputs!$K$5:$AJ$110,0,MATCH(AC$2,Inputs!$K$4:$AJ$4,0)))+SUMPRODUCT((Inputs!$E$5:$E$110=$B59)*Inputs!$F$5:$F$110*(((Inputs!$G$5:$G$110="moeda")+(Inputs!$G$5:$G$110="acoes"))*Inputs!$B$1+((Inputs!$G$5:$G$110&lt;&gt;"moeda")*(Inputs!$G$5:$G$110&lt;&gt;"acoes")))*INDEX(Inputs!$K$5:$AJ$110,0,MATCH(AC$2,Inputs!$K$4:$AJ$4,0)))))</f>
        <v>5202</v>
      </c>
      <c r="AD59" s="263">
        <f>IF(ISNA(MATCH(AD$2,Inputs!$K$4:$AJ$4,0)),NA(),IF(SUMPRODUCT((Inputs!$A$5:$A$110=$B59)*ISNUMBER(INDEX(Inputs!$K$5:$AJ$110,0,MATCH(AD$2,Inputs!$K$4:$AJ$4,0))))+SUMPRODUCT((Inputs!$C$5:$C$110=$B59)*ISNUMBER(INDEX(Inputs!$K$5:$AJ$110,0,MATCH(AD$2,Inputs!$K$4:$AJ$4,0))))+SUMPRODUCT((Inputs!$E$5:$E$110=$B59)*ISNUMBER(INDEX(Inputs!$K$5:$AJ$110,0,MATCH(AD$2,Inputs!$K$4:$AJ$4,0))))=0,NA(),SUMPRODUCT((Inputs!$A$5:$A$110=$B59)*Inputs!$B$5:$B$110*(((Inputs!$G$5:$G$110="moeda")+(Inputs!$G$5:$G$110="acoes"))*Inputs!$B$1+((Inputs!$G$5:$G$110&lt;&gt;"moeda")*(Inputs!$G$5:$G$110&lt;&gt;"acoes")))*INDEX(Inputs!$K$5:$AJ$110,0,MATCH(AD$2,Inputs!$K$4:$AJ$4,0)))+SUMPRODUCT((Inputs!$C$5:$C$110=$B59)*Inputs!$D$5:$D$110*(((Inputs!$G$5:$G$110="moeda")+(Inputs!$G$5:$G$110="acoes"))*Inputs!$B$1+((Inputs!$G$5:$G$110&lt;&gt;"moeda")*(Inputs!$G$5:$G$110&lt;&gt;"acoes")))*INDEX(Inputs!$K$5:$AJ$110,0,MATCH(AD$2,Inputs!$K$4:$AJ$4,0)))+SUMPRODUCT((Inputs!$E$5:$E$110=$B59)*Inputs!$F$5:$F$110*(((Inputs!$G$5:$G$110="moeda")+(Inputs!$G$5:$G$110="acoes"))*Inputs!$B$1+((Inputs!$G$5:$G$110&lt;&gt;"moeda")*(Inputs!$G$5:$G$110&lt;&gt;"acoes")))*INDEX(Inputs!$K$5:$AJ$110,0,MATCH(AD$2,Inputs!$K$4:$AJ$4,0)))))</f>
        <v>5513</v>
      </c>
      <c r="AE59" s="263" t="e">
        <f>IF(ISNA(MATCH(AE$2,Inputs!$K$4:$AJ$4,0)),NA(),IF(SUMPRODUCT((Inputs!$A$5:$A$110=$B59)*ISNUMBER(INDEX(Inputs!$K$5:$AJ$110,0,MATCH(AE$2,Inputs!$K$4:$AJ$4,0))))+SUMPRODUCT((Inputs!$C$5:$C$110=$B59)*ISNUMBER(INDEX(Inputs!$K$5:$AJ$110,0,MATCH(AE$2,Inputs!$K$4:$AJ$4,0))))+SUMPRODUCT((Inputs!$E$5:$E$110=$B59)*ISNUMBER(INDEX(Inputs!$K$5:$AJ$110,0,MATCH(AE$2,Inputs!$K$4:$AJ$4,0))))=0,NA(),SUMPRODUCT((Inputs!$A$5:$A$110=$B59)*Inputs!$B$5:$B$110*(((Inputs!$G$5:$G$110="moeda")+(Inputs!$G$5:$G$110="acoes"))*Inputs!$B$1+((Inputs!$G$5:$G$110&lt;&gt;"moeda")*(Inputs!$G$5:$G$110&lt;&gt;"acoes")))*INDEX(Inputs!$K$5:$AJ$110,0,MATCH(AE$2,Inputs!$K$4:$AJ$4,0)))+SUMPRODUCT((Inputs!$C$5:$C$110=$B59)*Inputs!$D$5:$D$110*(((Inputs!$G$5:$G$110="moeda")+(Inputs!$G$5:$G$110="acoes"))*Inputs!$B$1+((Inputs!$G$5:$G$110&lt;&gt;"moeda")*(Inputs!$G$5:$G$110&lt;&gt;"acoes")))*INDEX(Inputs!$K$5:$AJ$110,0,MATCH(AE$2,Inputs!$K$4:$AJ$4,0)))+SUMPRODUCT((Inputs!$E$5:$E$110=$B59)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9" s="263" t="e">
        <f>IF(ISNA(MATCH(AF$2,Inputs!$K$4:$AJ$4,0)),NA(),IF(SUMPRODUCT((Inputs!$A$5:$A$110=$B59)*ISNUMBER(INDEX(Inputs!$K$5:$AJ$110,0,MATCH(AF$2,Inputs!$K$4:$AJ$4,0))))+SUMPRODUCT((Inputs!$C$5:$C$110=$B59)*ISNUMBER(INDEX(Inputs!$K$5:$AJ$110,0,MATCH(AF$2,Inputs!$K$4:$AJ$4,0))))+SUMPRODUCT((Inputs!$E$5:$E$110=$B59)*ISNUMBER(INDEX(Inputs!$K$5:$AJ$110,0,MATCH(AF$2,Inputs!$K$4:$AJ$4,0))))=0,NA(),SUMPRODUCT((Inputs!$A$5:$A$110=$B59)*Inputs!$B$5:$B$110*(((Inputs!$G$5:$G$110="moeda")+(Inputs!$G$5:$G$110="acoes"))*Inputs!$B$1+((Inputs!$G$5:$G$110&lt;&gt;"moeda")*(Inputs!$G$5:$G$110&lt;&gt;"acoes")))*INDEX(Inputs!$K$5:$AJ$110,0,MATCH(AF$2,Inputs!$K$4:$AJ$4,0)))+SUMPRODUCT((Inputs!$C$5:$C$110=$B59)*Inputs!$D$5:$D$110*(((Inputs!$G$5:$G$110="moeda")+(Inputs!$G$5:$G$110="acoes"))*Inputs!$B$1+((Inputs!$G$5:$G$110&lt;&gt;"moeda")*(Inputs!$G$5:$G$110&lt;&gt;"acoes")))*INDEX(Inputs!$K$5:$AJ$110,0,MATCH(AF$2,Inputs!$K$4:$AJ$4,0)))+SUMPRODUCT((Inputs!$E$5:$E$110=$B59)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9" s="264" t="e">
        <f>SUM(AC59:AF59)</f>
        <v>#N/A</v>
      </c>
      <c r="AH59" s="263">
        <f>IF(ISNA(MATCH(AH$2,Inputs!$K$4:$AJ$4,0)),NA(),IF(SUMPRODUCT((Inputs!$A$5:$A$110=$B59)*ISNUMBER(INDEX(Inputs!$K$5:$AJ$110,0,MATCH(AH$2,Inputs!$K$4:$AJ$4,0))))+SUMPRODUCT((Inputs!$C$5:$C$110=$B59)*ISNUMBER(INDEX(Inputs!$K$5:$AJ$110,0,MATCH(AH$2,Inputs!$K$4:$AJ$4,0))))+SUMPRODUCT((Inputs!$E$5:$E$110=$B59)*ISNUMBER(INDEX(Inputs!$K$5:$AJ$110,0,MATCH(AH$2,Inputs!$K$4:$AJ$4,0))))=0,NA(),SUMPRODUCT((Inputs!$A$5:$A$110=$B59)*Inputs!$B$5:$B$110*(((Inputs!$G$5:$G$110="moeda")+(Inputs!$G$5:$G$110="acoes"))*Inputs!$B$1+((Inputs!$G$5:$G$110&lt;&gt;"moeda")*(Inputs!$G$5:$G$110&lt;&gt;"acoes")))*INDEX(Inputs!$K$5:$AJ$110,0,MATCH(AH$2,Inputs!$K$4:$AJ$4,0)))+SUMPRODUCT((Inputs!$C$5:$C$110=$B59)*Inputs!$D$5:$D$110*(((Inputs!$G$5:$G$110="moeda")+(Inputs!$G$5:$G$110="acoes"))*Inputs!$B$1+((Inputs!$G$5:$G$110&lt;&gt;"moeda")*(Inputs!$G$5:$G$110&lt;&gt;"acoes")))*INDEX(Inputs!$K$5:$AJ$110,0,MATCH(AH$2,Inputs!$K$4:$AJ$4,0)))+SUMPRODUCT((Inputs!$E$5:$E$110=$B59)*Inputs!$F$5:$F$110*(((Inputs!$G$5:$G$110="moeda")+(Inputs!$G$5:$G$110="acoes"))*Inputs!$B$1+((Inputs!$G$5:$G$110&lt;&gt;"moeda")*(Inputs!$G$5:$G$110&lt;&gt;"acoes")))*INDEX(Inputs!$K$5:$AJ$110,0,MATCH(AH$2,Inputs!$K$4:$AJ$4,0)))))</f>
        <v>1466</v>
      </c>
      <c r="AI59" s="263">
        <f>IF(ISNA(MATCH(AI$2,Inputs!$K$4:$AJ$4,0)),NA(),IF(SUMPRODUCT((Inputs!$A$5:$A$110=$B59)*ISNUMBER(INDEX(Inputs!$K$5:$AJ$110,0,MATCH(AI$2,Inputs!$K$4:$AJ$4,0))))+SUMPRODUCT((Inputs!$C$5:$C$110=$B59)*ISNUMBER(INDEX(Inputs!$K$5:$AJ$110,0,MATCH(AI$2,Inputs!$K$4:$AJ$4,0))))+SUMPRODUCT((Inputs!$E$5:$E$110=$B59)*ISNUMBER(INDEX(Inputs!$K$5:$AJ$110,0,MATCH(AI$2,Inputs!$K$4:$AJ$4,0))))=0,NA(),SUMPRODUCT((Inputs!$A$5:$A$110=$B59)*Inputs!$B$5:$B$110*(((Inputs!$G$5:$G$110="moeda")+(Inputs!$G$5:$G$110="acoes"))*Inputs!$B$1+((Inputs!$G$5:$G$110&lt;&gt;"moeda")*(Inputs!$G$5:$G$110&lt;&gt;"acoes")))*INDEX(Inputs!$K$5:$AJ$110,0,MATCH(AI$2,Inputs!$K$4:$AJ$4,0)))+SUMPRODUCT((Inputs!$C$5:$C$110=$B59)*Inputs!$D$5:$D$110*(((Inputs!$G$5:$G$110="moeda")+(Inputs!$G$5:$G$110="acoes"))*Inputs!$B$1+((Inputs!$G$5:$G$110&lt;&gt;"moeda")*(Inputs!$G$5:$G$110&lt;&gt;"acoes")))*INDEX(Inputs!$K$5:$AJ$110,0,MATCH(AI$2,Inputs!$K$4:$AJ$4,0)))+SUMPRODUCT((Inputs!$E$5:$E$110=$B59)*Inputs!$F$5:$F$110*(((Inputs!$G$5:$G$110="moeda")+(Inputs!$G$5:$G$110="acoes"))*Inputs!$B$1+((Inputs!$G$5:$G$110&lt;&gt;"moeda")*(Inputs!$G$5:$G$110&lt;&gt;"acoes")))*INDEX(Inputs!$K$5:$AJ$110,0,MATCH(AI$2,Inputs!$K$4:$AJ$4,0)))))</f>
        <v>1410</v>
      </c>
      <c r="AJ59" s="263">
        <f>IF(ISNA(MATCH(AJ$2,Inputs!$K$4:$AJ$4,0)),NA(),IF(SUMPRODUCT((Inputs!$A$5:$A$110=$B59)*ISNUMBER(INDEX(Inputs!$K$5:$AJ$110,0,MATCH(AJ$2,Inputs!$K$4:$AJ$4,0))))+SUMPRODUCT((Inputs!$C$5:$C$110=$B59)*ISNUMBER(INDEX(Inputs!$K$5:$AJ$110,0,MATCH(AJ$2,Inputs!$K$4:$AJ$4,0))))+SUMPRODUCT((Inputs!$E$5:$E$110=$B59)*ISNUMBER(INDEX(Inputs!$K$5:$AJ$110,0,MATCH(AJ$2,Inputs!$K$4:$AJ$4,0))))=0,NA(),SUMPRODUCT((Inputs!$A$5:$A$110=$B59)*Inputs!$B$5:$B$110*(((Inputs!$G$5:$G$110="moeda")+(Inputs!$G$5:$G$110="acoes"))*Inputs!$B$1+((Inputs!$G$5:$G$110&lt;&gt;"moeda")*(Inputs!$G$5:$G$110&lt;&gt;"acoes")))*INDEX(Inputs!$K$5:$AJ$110,0,MATCH(AJ$2,Inputs!$K$4:$AJ$4,0)))+SUMPRODUCT((Inputs!$C$5:$C$110=$B59)*Inputs!$D$5:$D$110*(((Inputs!$G$5:$G$110="moeda")+(Inputs!$G$5:$G$110="acoes"))*Inputs!$B$1+((Inputs!$G$5:$G$110&lt;&gt;"moeda")*(Inputs!$G$5:$G$110&lt;&gt;"acoes")))*INDEX(Inputs!$K$5:$AJ$110,0,MATCH(AJ$2,Inputs!$K$4:$AJ$4,0)))+SUMPRODUCT((Inputs!$E$5:$E$110=$B59)*Inputs!$F$5:$F$110*(((Inputs!$G$5:$G$110="moeda")+(Inputs!$G$5:$G$110="acoes"))*Inputs!$B$1+((Inputs!$G$5:$G$110&lt;&gt;"moeda")*(Inputs!$G$5:$G$110&lt;&gt;"acoes")))*INDEX(Inputs!$K$5:$AJ$110,0,MATCH(AJ$2,Inputs!$K$4:$AJ$4,0)))))</f>
        <v>1419</v>
      </c>
      <c r="AK59" s="263">
        <f>IF(ISNA(MATCH(AK$2,Inputs!$K$4:$AJ$4,0)),NA(),IF(SUMPRODUCT((Inputs!$A$5:$A$110=$B59)*ISNUMBER(INDEX(Inputs!$K$5:$AJ$110,0,MATCH(AK$2,Inputs!$K$4:$AJ$4,0))))+SUMPRODUCT((Inputs!$C$5:$C$110=$B59)*ISNUMBER(INDEX(Inputs!$K$5:$AJ$110,0,MATCH(AK$2,Inputs!$K$4:$AJ$4,0))))+SUMPRODUCT((Inputs!$E$5:$E$110=$B59)*ISNUMBER(INDEX(Inputs!$K$5:$AJ$110,0,MATCH(AK$2,Inputs!$K$4:$AJ$4,0))))=0,NA(),SUMPRODUCT((Inputs!$A$5:$A$110=$B59)*Inputs!$B$5:$B$110*(((Inputs!$G$5:$G$110="moeda")+(Inputs!$G$5:$G$110="acoes"))*Inputs!$B$1+((Inputs!$G$5:$G$110&lt;&gt;"moeda")*(Inputs!$G$5:$G$110&lt;&gt;"acoes")))*INDEX(Inputs!$K$5:$AJ$110,0,MATCH(AK$2,Inputs!$K$4:$AJ$4,0)))+SUMPRODUCT((Inputs!$C$5:$C$110=$B59)*Inputs!$D$5:$D$110*(((Inputs!$G$5:$G$110="moeda")+(Inputs!$G$5:$G$110="acoes"))*Inputs!$B$1+((Inputs!$G$5:$G$110&lt;&gt;"moeda")*(Inputs!$G$5:$G$110&lt;&gt;"acoes")))*INDEX(Inputs!$K$5:$AJ$110,0,MATCH(AK$2,Inputs!$K$4:$AJ$4,0)))+SUMPRODUCT((Inputs!$E$5:$E$110=$B59)*Inputs!$F$5:$F$110*(((Inputs!$G$5:$G$110="moeda")+(Inputs!$G$5:$G$110="acoes"))*Inputs!$B$1+((Inputs!$G$5:$G$110&lt;&gt;"moeda")*(Inputs!$G$5:$G$110&lt;&gt;"acoes")))*INDEX(Inputs!$K$5:$AJ$110,0,MATCH(AK$2,Inputs!$K$4:$AJ$4,0)))))</f>
        <v>1394</v>
      </c>
      <c r="AL59" s="264">
        <f>SUM(AH59:AK59)</f>
        <v>5689</v>
      </c>
    </row>
    <row r="60">
      <c r="B60" s="46" t="n">
        <v>52</v>
      </c>
      <c r="C60" s="29" t="inlineStr">
        <is>
          <t>Receita Ásia-Pacífico (USD)</t>
        </is>
      </c>
      <c r="D60" s="263">
        <f>IF(ISNA(MATCH(D$2,Inputs!$K$4:$AJ$4,0)),NA(),IF(SUMPRODUCT((Inputs!$A$5:$A$110=$B60)*ISNUMBER(INDEX(Inputs!$K$5:$AJ$110,0,MATCH(D$2,Inputs!$K$4:$AJ$4,0))))+SUMPRODUCT((Inputs!$C$5:$C$110=$B60)*ISNUMBER(INDEX(Inputs!$K$5:$AJ$110,0,MATCH(D$2,Inputs!$K$4:$AJ$4,0))))+SUMPRODUCT((Inputs!$E$5:$E$110=$B60)*ISNUMBER(INDEX(Inputs!$K$5:$AJ$110,0,MATCH(D$2,Inputs!$K$4:$AJ$4,0))))=0,NA(),SUMPRODUCT((Inputs!$A$5:$A$110=$B60)*Inputs!$B$5:$B$110*(((Inputs!$G$5:$G$110="moeda")+(Inputs!$G$5:$G$110="acoes"))*Inputs!$B$1+((Inputs!$G$5:$G$110&lt;&gt;"moeda")*(Inputs!$G$5:$G$110&lt;&gt;"acoes")))*INDEX(Inputs!$K$5:$AJ$110,0,MATCH(D$2,Inputs!$K$4:$AJ$4,0)))+SUMPRODUCT((Inputs!$C$5:$C$110=$B60)*Inputs!$D$5:$D$110*(((Inputs!$G$5:$G$110="moeda")+(Inputs!$G$5:$G$110="acoes"))*Inputs!$B$1+((Inputs!$G$5:$G$110&lt;&gt;"moeda")*(Inputs!$G$5:$G$110&lt;&gt;"acoes")))*INDEX(Inputs!$K$5:$AJ$110,0,MATCH(D$2,Inputs!$K$4:$AJ$4,0)))+SUMPRODUCT((Inputs!$E$5:$E$110=$B60)*Inputs!$F$5:$F$110*(((Inputs!$G$5:$G$110="moeda")+(Inputs!$G$5:$G$110="acoes"))*Inputs!$B$1+((Inputs!$G$5:$G$110&lt;&gt;"moeda")*(Inputs!$G$5:$G$110&lt;&gt;"acoes")))*INDEX(Inputs!$K$5:$AJ$110,0,MATCH(D$2,Inputs!$K$4:$AJ$4,0)))))</f>
        <v>4228</v>
      </c>
      <c r="E60" s="263">
        <f>IF(ISNA(MATCH(E$2,Inputs!$K$4:$AJ$4,0)),NA(),IF(SUMPRODUCT((Inputs!$A$5:$A$110=$B60)*ISNUMBER(INDEX(Inputs!$K$5:$AJ$110,0,MATCH(E$2,Inputs!$K$4:$AJ$4,0))))+SUMPRODUCT((Inputs!$C$5:$C$110=$B60)*ISNUMBER(INDEX(Inputs!$K$5:$AJ$110,0,MATCH(E$2,Inputs!$K$4:$AJ$4,0))))+SUMPRODUCT((Inputs!$E$5:$E$110=$B60)*ISNUMBER(INDEX(Inputs!$K$5:$AJ$110,0,MATCH(E$2,Inputs!$K$4:$AJ$4,0))))=0,NA(),SUMPRODUCT((Inputs!$A$5:$A$110=$B60)*Inputs!$B$5:$B$110*(((Inputs!$G$5:$G$110="moeda")+(Inputs!$G$5:$G$110="acoes"))*Inputs!$B$1+((Inputs!$G$5:$G$110&lt;&gt;"moeda")*(Inputs!$G$5:$G$110&lt;&gt;"acoes")))*INDEX(Inputs!$K$5:$AJ$110,0,MATCH(E$2,Inputs!$K$4:$AJ$4,0)))+SUMPRODUCT((Inputs!$C$5:$C$110=$B60)*Inputs!$D$5:$D$110*(((Inputs!$G$5:$G$110="moeda")+(Inputs!$G$5:$G$110="acoes"))*Inputs!$B$1+((Inputs!$G$5:$G$110&lt;&gt;"moeda")*(Inputs!$G$5:$G$110&lt;&gt;"acoes")))*INDEX(Inputs!$K$5:$AJ$110,0,MATCH(E$2,Inputs!$K$4:$AJ$4,0)))+SUMPRODUCT((Inputs!$E$5:$E$110=$B60)*Inputs!$F$5:$F$110*(((Inputs!$G$5:$G$110="moeda")+(Inputs!$G$5:$G$110="acoes"))*Inputs!$B$1+((Inputs!$G$5:$G$110&lt;&gt;"moeda")*(Inputs!$G$5:$G$110&lt;&gt;"acoes")))*INDEX(Inputs!$K$5:$AJ$110,0,MATCH(E$2,Inputs!$K$4:$AJ$4,0)))))</f>
        <v>4321</v>
      </c>
      <c r="F60" s="263">
        <f>IF(ISNA(MATCH(F$2,Inputs!$K$4:$AJ$4,0)),NA(),IF(SUMPRODUCT((Inputs!$A$5:$A$110=$B60)*ISNUMBER(INDEX(Inputs!$K$5:$AJ$110,0,MATCH(F$2,Inputs!$K$4:$AJ$4,0))))+SUMPRODUCT((Inputs!$C$5:$C$110=$B60)*ISNUMBER(INDEX(Inputs!$K$5:$AJ$110,0,MATCH(F$2,Inputs!$K$4:$AJ$4,0))))+SUMPRODUCT((Inputs!$E$5:$E$110=$B60)*ISNUMBER(INDEX(Inputs!$K$5:$AJ$110,0,MATCH(F$2,Inputs!$K$4:$AJ$4,0))))=0,NA(),SUMPRODUCT((Inputs!$A$5:$A$110=$B60)*Inputs!$B$5:$B$110*(((Inputs!$G$5:$G$110="moeda")+(Inputs!$G$5:$G$110="acoes"))*Inputs!$B$1+((Inputs!$G$5:$G$110&lt;&gt;"moeda")*(Inputs!$G$5:$G$110&lt;&gt;"acoes")))*INDEX(Inputs!$K$5:$AJ$110,0,MATCH(F$2,Inputs!$K$4:$AJ$4,0)))+SUMPRODUCT((Inputs!$C$5:$C$110=$B60)*Inputs!$D$5:$D$110*(((Inputs!$G$5:$G$110="moeda")+(Inputs!$G$5:$G$110="acoes"))*Inputs!$B$1+((Inputs!$G$5:$G$110&lt;&gt;"moeda")*(Inputs!$G$5:$G$110&lt;&gt;"acoes")))*INDEX(Inputs!$K$5:$AJ$110,0,MATCH(F$2,Inputs!$K$4:$AJ$4,0)))+SUMPRODUCT((Inputs!$E$5:$E$110=$B60)*Inputs!$F$5:$F$110*(((Inputs!$G$5:$G$110="moeda")+(Inputs!$G$5:$G$110="acoes"))*Inputs!$B$1+((Inputs!$G$5:$G$110&lt;&gt;"moeda")*(Inputs!$G$5:$G$110&lt;&gt;"acoes")))*INDEX(Inputs!$K$5:$AJ$110,0,MATCH(F$2,Inputs!$K$4:$AJ$4,0)))))</f>
        <v>4918</v>
      </c>
      <c r="G60" s="263">
        <f>IF(ISNA(MATCH(G$2,Inputs!$K$4:$AJ$4,0)),NA(),IF(SUMPRODUCT((Inputs!$A$5:$A$110=$B60)*ISNUMBER(INDEX(Inputs!$K$5:$AJ$110,0,MATCH(G$2,Inputs!$K$4:$AJ$4,0))))+SUMPRODUCT((Inputs!$C$5:$C$110=$B60)*ISNUMBER(INDEX(Inputs!$K$5:$AJ$110,0,MATCH(G$2,Inputs!$K$4:$AJ$4,0))))+SUMPRODUCT((Inputs!$E$5:$E$110=$B60)*ISNUMBER(INDEX(Inputs!$K$5:$AJ$110,0,MATCH(G$2,Inputs!$K$4:$AJ$4,0))))=0,NA(),SUMPRODUCT((Inputs!$A$5:$A$110=$B60)*Inputs!$B$5:$B$110*(((Inputs!$G$5:$G$110="moeda")+(Inputs!$G$5:$G$110="acoes"))*Inputs!$B$1+((Inputs!$G$5:$G$110&lt;&gt;"moeda")*(Inputs!$G$5:$G$110&lt;&gt;"acoes")))*INDEX(Inputs!$K$5:$AJ$110,0,MATCH(G$2,Inputs!$K$4:$AJ$4,0)))+SUMPRODUCT((Inputs!$C$5:$C$110=$B60)*Inputs!$D$5:$D$110*(((Inputs!$G$5:$G$110="moeda")+(Inputs!$G$5:$G$110="acoes"))*Inputs!$B$1+((Inputs!$G$5:$G$110&lt;&gt;"moeda")*(Inputs!$G$5:$G$110&lt;&gt;"acoes")))*INDEX(Inputs!$K$5:$AJ$110,0,MATCH(G$2,Inputs!$K$4:$AJ$4,0)))+SUMPRODUCT((Inputs!$E$5:$E$110=$B60)*Inputs!$F$5:$F$110*(((Inputs!$G$5:$G$110="moeda")+(Inputs!$G$5:$G$110="acoes"))*Inputs!$B$1+((Inputs!$G$5:$G$110&lt;&gt;"moeda")*(Inputs!$G$5:$G$110&lt;&gt;"acoes")))*INDEX(Inputs!$K$5:$AJ$110,0,MATCH(G$2,Inputs!$K$4:$AJ$4,0)))))</f>
        <v>5112</v>
      </c>
      <c r="H60" s="264">
        <f>SUM(D60:G60)</f>
        <v>18579</v>
      </c>
      <c r="I60" s="263">
        <f>IF(ISNA(MATCH(I$2,Inputs!$K$4:$AJ$4,0)),NA(),IF(SUMPRODUCT((Inputs!$A$5:$A$110=$B60)*ISNUMBER(INDEX(Inputs!$K$5:$AJ$110,0,MATCH(I$2,Inputs!$K$4:$AJ$4,0))))+SUMPRODUCT((Inputs!$C$5:$C$110=$B60)*ISNUMBER(INDEX(Inputs!$K$5:$AJ$110,0,MATCH(I$2,Inputs!$K$4:$AJ$4,0))))+SUMPRODUCT((Inputs!$E$5:$E$110=$B60)*ISNUMBER(INDEX(Inputs!$K$5:$AJ$110,0,MATCH(I$2,Inputs!$K$4:$AJ$4,0))))=0,NA(),SUMPRODUCT((Inputs!$A$5:$A$110=$B60)*Inputs!$B$5:$B$110*(((Inputs!$G$5:$G$110="moeda")+(Inputs!$G$5:$G$110="acoes"))*Inputs!$B$1+((Inputs!$G$5:$G$110&lt;&gt;"moeda")*(Inputs!$G$5:$G$110&lt;&gt;"acoes")))*INDEX(Inputs!$K$5:$AJ$110,0,MATCH(I$2,Inputs!$K$4:$AJ$4,0)))+SUMPRODUCT((Inputs!$C$5:$C$110=$B60)*Inputs!$D$5:$D$110*(((Inputs!$G$5:$G$110="moeda")+(Inputs!$G$5:$G$110="acoes"))*Inputs!$B$1+((Inputs!$G$5:$G$110&lt;&gt;"moeda")*(Inputs!$G$5:$G$110&lt;&gt;"acoes")))*INDEX(Inputs!$K$5:$AJ$110,0,MATCH(I$2,Inputs!$K$4:$AJ$4,0)))+SUMPRODUCT((Inputs!$E$5:$E$110=$B60)*Inputs!$F$5:$F$110*(((Inputs!$G$5:$G$110="moeda")+(Inputs!$G$5:$G$110="acoes"))*Inputs!$B$1+((Inputs!$G$5:$G$110&lt;&gt;"moeda")*(Inputs!$G$5:$G$110&lt;&gt;"acoes")))*INDEX(Inputs!$K$5:$AJ$110,0,MATCH(I$2,Inputs!$K$4:$AJ$4,0)))))</f>
        <v>5385</v>
      </c>
      <c r="J60" s="263">
        <f>IF(ISNA(MATCH(J$2,Inputs!$K$4:$AJ$4,0)),NA(),IF(SUMPRODUCT((Inputs!$A$5:$A$110=$B60)*ISNUMBER(INDEX(Inputs!$K$5:$AJ$110,0,MATCH(J$2,Inputs!$K$4:$AJ$4,0))))+SUMPRODUCT((Inputs!$C$5:$C$110=$B60)*ISNUMBER(INDEX(Inputs!$K$5:$AJ$110,0,MATCH(J$2,Inputs!$K$4:$AJ$4,0))))+SUMPRODUCT((Inputs!$E$5:$E$110=$B60)*ISNUMBER(INDEX(Inputs!$K$5:$AJ$110,0,MATCH(J$2,Inputs!$K$4:$AJ$4,0))))=0,NA(),SUMPRODUCT((Inputs!$A$5:$A$110=$B60)*Inputs!$B$5:$B$110*(((Inputs!$G$5:$G$110="moeda")+(Inputs!$G$5:$G$110="acoes"))*Inputs!$B$1+((Inputs!$G$5:$G$110&lt;&gt;"moeda")*(Inputs!$G$5:$G$110&lt;&gt;"acoes")))*INDEX(Inputs!$K$5:$AJ$110,0,MATCH(J$2,Inputs!$K$4:$AJ$4,0)))+SUMPRODUCT((Inputs!$C$5:$C$110=$B60)*Inputs!$D$5:$D$110*(((Inputs!$G$5:$G$110="moeda")+(Inputs!$G$5:$G$110="acoes"))*Inputs!$B$1+((Inputs!$G$5:$G$110&lt;&gt;"moeda")*(Inputs!$G$5:$G$110&lt;&gt;"acoes")))*INDEX(Inputs!$K$5:$AJ$110,0,MATCH(J$2,Inputs!$K$4:$AJ$4,0)))+SUMPRODUCT((Inputs!$E$5:$E$110=$B60)*Inputs!$F$5:$F$110*(((Inputs!$G$5:$G$110="moeda")+(Inputs!$G$5:$G$110="acoes"))*Inputs!$B$1+((Inputs!$G$5:$G$110&lt;&gt;"moeda")*(Inputs!$G$5:$G$110&lt;&gt;"acoes")))*INDEX(Inputs!$K$5:$AJ$110,0,MATCH(J$2,Inputs!$K$4:$AJ$4,0)))))</f>
        <v>5845</v>
      </c>
      <c r="K60" s="263">
        <f>IF(ISNA(MATCH(K$2,Inputs!$K$4:$AJ$4,0)),NA(),IF(SUMPRODUCT((Inputs!$A$5:$A$110=$B60)*ISNUMBER(INDEX(Inputs!$K$5:$AJ$110,0,MATCH(K$2,Inputs!$K$4:$AJ$4,0))))+SUMPRODUCT((Inputs!$C$5:$C$110=$B60)*ISNUMBER(INDEX(Inputs!$K$5:$AJ$110,0,MATCH(K$2,Inputs!$K$4:$AJ$4,0))))+SUMPRODUCT((Inputs!$E$5:$E$110=$B60)*ISNUMBER(INDEX(Inputs!$K$5:$AJ$110,0,MATCH(K$2,Inputs!$K$4:$AJ$4,0))))=0,NA(),SUMPRODUCT((Inputs!$A$5:$A$110=$B60)*Inputs!$B$5:$B$110*(((Inputs!$G$5:$G$110="moeda")+(Inputs!$G$5:$G$110="acoes"))*Inputs!$B$1+((Inputs!$G$5:$G$110&lt;&gt;"moeda")*(Inputs!$G$5:$G$110&lt;&gt;"acoes")))*INDEX(Inputs!$K$5:$AJ$110,0,MATCH(K$2,Inputs!$K$4:$AJ$4,0)))+SUMPRODUCT((Inputs!$C$5:$C$110=$B60)*Inputs!$D$5:$D$110*(((Inputs!$G$5:$G$110="moeda")+(Inputs!$G$5:$G$110="acoes"))*Inputs!$B$1+((Inputs!$G$5:$G$110&lt;&gt;"moeda")*(Inputs!$G$5:$G$110&lt;&gt;"acoes")))*INDEX(Inputs!$K$5:$AJ$110,0,MATCH(K$2,Inputs!$K$4:$AJ$4,0)))+SUMPRODUCT((Inputs!$E$5:$E$110=$B60)*Inputs!$F$5:$F$110*(((Inputs!$G$5:$G$110="moeda")+(Inputs!$G$5:$G$110="acoes"))*Inputs!$B$1+((Inputs!$G$5:$G$110&lt;&gt;"moeda")*(Inputs!$G$5:$G$110&lt;&gt;"acoes")))*INDEX(Inputs!$K$5:$AJ$110,0,MATCH(K$2,Inputs!$K$4:$AJ$4,0)))))</f>
        <v>6163</v>
      </c>
      <c r="L60" s="263">
        <f>IF(ISNA(MATCH(L$2,Inputs!$K$4:$AJ$4,0)),NA(),IF(SUMPRODUCT((Inputs!$A$5:$A$110=$B60)*ISNUMBER(INDEX(Inputs!$K$5:$AJ$110,0,MATCH(L$2,Inputs!$K$4:$AJ$4,0))))+SUMPRODUCT((Inputs!$C$5:$C$110=$B60)*ISNUMBER(INDEX(Inputs!$K$5:$AJ$110,0,MATCH(L$2,Inputs!$K$4:$AJ$4,0))))+SUMPRODUCT((Inputs!$E$5:$E$110=$B60)*ISNUMBER(INDEX(Inputs!$K$5:$AJ$110,0,MATCH(L$2,Inputs!$K$4:$AJ$4,0))))=0,NA(),SUMPRODUCT((Inputs!$A$5:$A$110=$B60)*Inputs!$B$5:$B$110*(((Inputs!$G$5:$G$110="moeda")+(Inputs!$G$5:$G$110="acoes"))*Inputs!$B$1+((Inputs!$G$5:$G$110&lt;&gt;"moeda")*(Inputs!$G$5:$G$110&lt;&gt;"acoes")))*INDEX(Inputs!$K$5:$AJ$110,0,MATCH(L$2,Inputs!$K$4:$AJ$4,0)))+SUMPRODUCT((Inputs!$C$5:$C$110=$B60)*Inputs!$D$5:$D$110*(((Inputs!$G$5:$G$110="moeda")+(Inputs!$G$5:$G$110="acoes"))*Inputs!$B$1+((Inputs!$G$5:$G$110&lt;&gt;"moeda")*(Inputs!$G$5:$G$110&lt;&gt;"acoes")))*INDEX(Inputs!$K$5:$AJ$110,0,MATCH(L$2,Inputs!$K$4:$AJ$4,0)))+SUMPRODUCT((Inputs!$E$5:$E$110=$B60)*Inputs!$F$5:$F$110*(((Inputs!$G$5:$G$110="moeda")+(Inputs!$G$5:$G$110="acoes"))*Inputs!$B$1+((Inputs!$G$5:$G$110&lt;&gt;"moeda")*(Inputs!$G$5:$G$110&lt;&gt;"acoes")))*INDEX(Inputs!$K$5:$AJ$110,0,MATCH(L$2,Inputs!$K$4:$AJ$4,0)))))</f>
        <v>6137</v>
      </c>
      <c r="M60" s="264">
        <f>SUM(I60:L60)</f>
        <v>23530</v>
      </c>
      <c r="N60" s="263">
        <f>IF(ISNA(MATCH(N$2,Inputs!$K$4:$AJ$4,0)),NA(),IF(SUMPRODUCT((Inputs!$A$5:$A$110=$B60)*ISNUMBER(INDEX(Inputs!$K$5:$AJ$110,0,MATCH(N$2,Inputs!$K$4:$AJ$4,0))))+SUMPRODUCT((Inputs!$C$5:$C$110=$B60)*ISNUMBER(INDEX(Inputs!$K$5:$AJ$110,0,MATCH(N$2,Inputs!$K$4:$AJ$4,0))))+SUMPRODUCT((Inputs!$E$5:$E$110=$B60)*ISNUMBER(INDEX(Inputs!$K$5:$AJ$110,0,MATCH(N$2,Inputs!$K$4:$AJ$4,0))))=0,NA(),SUMPRODUCT((Inputs!$A$5:$A$110=$B60)*Inputs!$B$5:$B$110*(((Inputs!$G$5:$G$110="moeda")+(Inputs!$G$5:$G$110="acoes"))*Inputs!$B$1+((Inputs!$G$5:$G$110&lt;&gt;"moeda")*(Inputs!$G$5:$G$110&lt;&gt;"acoes")))*INDEX(Inputs!$K$5:$AJ$110,0,MATCH(N$2,Inputs!$K$4:$AJ$4,0)))+SUMPRODUCT((Inputs!$C$5:$C$110=$B60)*Inputs!$D$5:$D$110*(((Inputs!$G$5:$G$110="moeda")+(Inputs!$G$5:$G$110="acoes"))*Inputs!$B$1+((Inputs!$G$5:$G$110&lt;&gt;"moeda")*(Inputs!$G$5:$G$110&lt;&gt;"acoes")))*INDEX(Inputs!$K$5:$AJ$110,0,MATCH(N$2,Inputs!$K$4:$AJ$4,0)))+SUMPRODUCT((Inputs!$E$5:$E$110=$B60)*Inputs!$F$5:$F$110*(((Inputs!$G$5:$G$110="moeda")+(Inputs!$G$5:$G$110="acoes"))*Inputs!$B$1+((Inputs!$G$5:$G$110&lt;&gt;"moeda")*(Inputs!$G$5:$G$110&lt;&gt;"acoes")))*INDEX(Inputs!$K$5:$AJ$110,0,MATCH(N$2,Inputs!$K$4:$AJ$4,0)))))</f>
        <v>5584</v>
      </c>
      <c r="O60" s="263">
        <f>IF(ISNA(MATCH(O$2,Inputs!$K$4:$AJ$4,0)),NA(),IF(SUMPRODUCT((Inputs!$A$5:$A$110=$B60)*ISNUMBER(INDEX(Inputs!$K$5:$AJ$110,0,MATCH(O$2,Inputs!$K$4:$AJ$4,0))))+SUMPRODUCT((Inputs!$C$5:$C$110=$B60)*ISNUMBER(INDEX(Inputs!$K$5:$AJ$110,0,MATCH(O$2,Inputs!$K$4:$AJ$4,0))))+SUMPRODUCT((Inputs!$E$5:$E$110=$B60)*ISNUMBER(INDEX(Inputs!$K$5:$AJ$110,0,MATCH(O$2,Inputs!$K$4:$AJ$4,0))))=0,NA(),SUMPRODUCT((Inputs!$A$5:$A$110=$B60)*Inputs!$B$5:$B$110*(((Inputs!$G$5:$G$110="moeda")+(Inputs!$G$5:$G$110="acoes"))*Inputs!$B$1+((Inputs!$G$5:$G$110&lt;&gt;"moeda")*(Inputs!$G$5:$G$110&lt;&gt;"acoes")))*INDEX(Inputs!$K$5:$AJ$110,0,MATCH(O$2,Inputs!$K$4:$AJ$4,0)))+SUMPRODUCT((Inputs!$C$5:$C$110=$B60)*Inputs!$D$5:$D$110*(((Inputs!$G$5:$G$110="moeda")+(Inputs!$G$5:$G$110="acoes"))*Inputs!$B$1+((Inputs!$G$5:$G$110&lt;&gt;"moeda")*(Inputs!$G$5:$G$110&lt;&gt;"acoes")))*INDEX(Inputs!$K$5:$AJ$110,0,MATCH(O$2,Inputs!$K$4:$AJ$4,0)))+SUMPRODUCT((Inputs!$E$5:$E$110=$B60)*Inputs!$F$5:$F$110*(((Inputs!$G$5:$G$110="moeda")+(Inputs!$G$5:$G$110="acoes"))*Inputs!$B$1+((Inputs!$G$5:$G$110&lt;&gt;"moeda")*(Inputs!$G$5:$G$110&lt;&gt;"acoes")))*INDEX(Inputs!$K$5:$AJ$110,0,MATCH(O$2,Inputs!$K$4:$AJ$4,0)))))</f>
        <v>5947</v>
      </c>
      <c r="P60" s="263">
        <f>IF(ISNA(MATCH(P$2,Inputs!$K$4:$AJ$4,0)),NA(),IF(SUMPRODUCT((Inputs!$A$5:$A$110=$B60)*ISNUMBER(INDEX(Inputs!$K$5:$AJ$110,0,MATCH(P$2,Inputs!$K$4:$AJ$4,0))))+SUMPRODUCT((Inputs!$C$5:$C$110=$B60)*ISNUMBER(INDEX(Inputs!$K$5:$AJ$110,0,MATCH(P$2,Inputs!$K$4:$AJ$4,0))))+SUMPRODUCT((Inputs!$E$5:$E$110=$B60)*ISNUMBER(INDEX(Inputs!$K$5:$AJ$110,0,MATCH(P$2,Inputs!$K$4:$AJ$4,0))))=0,NA(),SUMPRODUCT((Inputs!$A$5:$A$110=$B60)*Inputs!$B$5:$B$110*(((Inputs!$G$5:$G$110="moeda")+(Inputs!$G$5:$G$110="acoes"))*Inputs!$B$1+((Inputs!$G$5:$G$110&lt;&gt;"moeda")*(Inputs!$G$5:$G$110&lt;&gt;"acoes")))*INDEX(Inputs!$K$5:$AJ$110,0,MATCH(P$2,Inputs!$K$4:$AJ$4,0)))+SUMPRODUCT((Inputs!$C$5:$C$110=$B60)*Inputs!$D$5:$D$110*(((Inputs!$G$5:$G$110="moeda")+(Inputs!$G$5:$G$110="acoes"))*Inputs!$B$1+((Inputs!$G$5:$G$110&lt;&gt;"moeda")*(Inputs!$G$5:$G$110&lt;&gt;"acoes")))*INDEX(Inputs!$K$5:$AJ$110,0,MATCH(P$2,Inputs!$K$4:$AJ$4,0)))+SUMPRODUCT((Inputs!$E$5:$E$110=$B60)*Inputs!$F$5:$F$110*(((Inputs!$G$5:$G$110="moeda")+(Inputs!$G$5:$G$110="acoes"))*Inputs!$B$1+((Inputs!$G$5:$G$110&lt;&gt;"moeda")*(Inputs!$G$5:$G$110&lt;&gt;"acoes")))*INDEX(Inputs!$K$5:$AJ$110,0,MATCH(P$2,Inputs!$K$4:$AJ$4,0)))))</f>
        <v>6252</v>
      </c>
      <c r="Q60" s="263">
        <f>IF(ISNA(MATCH(Q$2,Inputs!$K$4:$AJ$4,0)),NA(),IF(SUMPRODUCT((Inputs!$A$5:$A$110=$B60)*ISNUMBER(INDEX(Inputs!$K$5:$AJ$110,0,MATCH(Q$2,Inputs!$K$4:$AJ$4,0))))+SUMPRODUCT((Inputs!$C$5:$C$110=$B60)*ISNUMBER(INDEX(Inputs!$K$5:$AJ$110,0,MATCH(Q$2,Inputs!$K$4:$AJ$4,0))))+SUMPRODUCT((Inputs!$E$5:$E$110=$B60)*ISNUMBER(INDEX(Inputs!$K$5:$AJ$110,0,MATCH(Q$2,Inputs!$K$4:$AJ$4,0))))=0,NA(),SUMPRODUCT((Inputs!$A$5:$A$110=$B60)*Inputs!$B$5:$B$110*(((Inputs!$G$5:$G$110="moeda")+(Inputs!$G$5:$G$110="acoes"))*Inputs!$B$1+((Inputs!$G$5:$G$110&lt;&gt;"moeda")*(Inputs!$G$5:$G$110&lt;&gt;"acoes")))*INDEX(Inputs!$K$5:$AJ$110,0,MATCH(Q$2,Inputs!$K$4:$AJ$4,0)))+SUMPRODUCT((Inputs!$C$5:$C$110=$B60)*Inputs!$D$5:$D$110*(((Inputs!$G$5:$G$110="moeda")+(Inputs!$G$5:$G$110="acoes"))*Inputs!$B$1+((Inputs!$G$5:$G$110&lt;&gt;"moeda")*(Inputs!$G$5:$G$110&lt;&gt;"acoes")))*INDEX(Inputs!$K$5:$AJ$110,0,MATCH(Q$2,Inputs!$K$4:$AJ$4,0)))+SUMPRODUCT((Inputs!$E$5:$E$110=$B60)*Inputs!$F$5:$F$110*(((Inputs!$G$5:$G$110="moeda")+(Inputs!$G$5:$G$110="acoes"))*Inputs!$B$1+((Inputs!$G$5:$G$110&lt;&gt;"moeda")*(Inputs!$G$5:$G$110&lt;&gt;"acoes")))*INDEX(Inputs!$K$5:$AJ$110,0,MATCH(Q$2,Inputs!$K$4:$AJ$4,0)))))</f>
        <v>6697</v>
      </c>
      <c r="R60" s="264">
        <f>SUM(N60:Q60)</f>
        <v>24480</v>
      </c>
      <c r="S60" s="263">
        <f>IF(ISNA(MATCH(S$2,Inputs!$K$4:$AJ$4,0)),NA(),IF(SUMPRODUCT((Inputs!$A$5:$A$110=$B60)*ISNUMBER(INDEX(Inputs!$K$5:$AJ$110,0,MATCH(S$2,Inputs!$K$4:$AJ$4,0))))+SUMPRODUCT((Inputs!$C$5:$C$110=$B60)*ISNUMBER(INDEX(Inputs!$K$5:$AJ$110,0,MATCH(S$2,Inputs!$K$4:$AJ$4,0))))+SUMPRODUCT((Inputs!$E$5:$E$110=$B60)*ISNUMBER(INDEX(Inputs!$K$5:$AJ$110,0,MATCH(S$2,Inputs!$K$4:$AJ$4,0))))=0,NA(),SUMPRODUCT((Inputs!$A$5:$A$110=$B60)*Inputs!$B$5:$B$110*(((Inputs!$G$5:$G$110="moeda")+(Inputs!$G$5:$G$110="acoes"))*Inputs!$B$1+((Inputs!$G$5:$G$110&lt;&gt;"moeda")*(Inputs!$G$5:$G$110&lt;&gt;"acoes")))*INDEX(Inputs!$K$5:$AJ$110,0,MATCH(S$2,Inputs!$K$4:$AJ$4,0)))+SUMPRODUCT((Inputs!$C$5:$C$110=$B60)*Inputs!$D$5:$D$110*(((Inputs!$G$5:$G$110="moeda")+(Inputs!$G$5:$G$110="acoes"))*Inputs!$B$1+((Inputs!$G$5:$G$110&lt;&gt;"moeda")*(Inputs!$G$5:$G$110&lt;&gt;"acoes")))*INDEX(Inputs!$K$5:$AJ$110,0,MATCH(S$2,Inputs!$K$4:$AJ$4,0)))+SUMPRODUCT((Inputs!$E$5:$E$110=$B60)*Inputs!$F$5:$F$110*(((Inputs!$G$5:$G$110="moeda")+(Inputs!$G$5:$G$110="acoes"))*Inputs!$B$1+((Inputs!$G$5:$G$110&lt;&gt;"moeda")*(Inputs!$G$5:$G$110&lt;&gt;"acoes")))*INDEX(Inputs!$K$5:$AJ$110,0,MATCH(S$2,Inputs!$K$4:$AJ$4,0)))))</f>
        <v>6754</v>
      </c>
      <c r="T60" s="263">
        <f>IF(ISNA(MATCH(T$2,Inputs!$K$4:$AJ$4,0)),NA(),IF(SUMPRODUCT((Inputs!$A$5:$A$110=$B60)*ISNUMBER(INDEX(Inputs!$K$5:$AJ$110,0,MATCH(T$2,Inputs!$K$4:$AJ$4,0))))+SUMPRODUCT((Inputs!$C$5:$C$110=$B60)*ISNUMBER(INDEX(Inputs!$K$5:$AJ$110,0,MATCH(T$2,Inputs!$K$4:$AJ$4,0))))+SUMPRODUCT((Inputs!$E$5:$E$110=$B60)*ISNUMBER(INDEX(Inputs!$K$5:$AJ$110,0,MATCH(T$2,Inputs!$K$4:$AJ$4,0))))=0,NA(),SUMPRODUCT((Inputs!$A$5:$A$110=$B60)*Inputs!$B$5:$B$110*(((Inputs!$G$5:$G$110="moeda")+(Inputs!$G$5:$G$110="acoes"))*Inputs!$B$1+((Inputs!$G$5:$G$110&lt;&gt;"moeda")*(Inputs!$G$5:$G$110&lt;&gt;"acoes")))*INDEX(Inputs!$K$5:$AJ$110,0,MATCH(T$2,Inputs!$K$4:$AJ$4,0)))+SUMPRODUCT((Inputs!$C$5:$C$110=$B60)*Inputs!$D$5:$D$110*(((Inputs!$G$5:$G$110="moeda")+(Inputs!$G$5:$G$110="acoes"))*Inputs!$B$1+((Inputs!$G$5:$G$110&lt;&gt;"moeda")*(Inputs!$G$5:$G$110&lt;&gt;"acoes")))*INDEX(Inputs!$K$5:$AJ$110,0,MATCH(T$2,Inputs!$K$4:$AJ$4,0)))+SUMPRODUCT((Inputs!$E$5:$E$110=$B60)*Inputs!$F$5:$F$110*(((Inputs!$G$5:$G$110="moeda")+(Inputs!$G$5:$G$110="acoes"))*Inputs!$B$1+((Inputs!$G$5:$G$110&lt;&gt;"moeda")*(Inputs!$G$5:$G$110&lt;&gt;"acoes")))*INDEX(Inputs!$K$5:$AJ$110,0,MATCH(T$2,Inputs!$K$4:$AJ$4,0)))))</f>
        <v>7041</v>
      </c>
      <c r="U60" s="263">
        <f>IF(ISNA(MATCH(U$2,Inputs!$K$4:$AJ$4,0)),NA(),IF(SUMPRODUCT((Inputs!$A$5:$A$110=$B60)*ISNUMBER(INDEX(Inputs!$K$5:$AJ$110,0,MATCH(U$2,Inputs!$K$4:$AJ$4,0))))+SUMPRODUCT((Inputs!$C$5:$C$110=$B60)*ISNUMBER(INDEX(Inputs!$K$5:$AJ$110,0,MATCH(U$2,Inputs!$K$4:$AJ$4,0))))+SUMPRODUCT((Inputs!$E$5:$E$110=$B60)*ISNUMBER(INDEX(Inputs!$K$5:$AJ$110,0,MATCH(U$2,Inputs!$K$4:$AJ$4,0))))=0,NA(),SUMPRODUCT((Inputs!$A$5:$A$110=$B60)*Inputs!$B$5:$B$110*(((Inputs!$G$5:$G$110="moeda")+(Inputs!$G$5:$G$110="acoes"))*Inputs!$B$1+((Inputs!$G$5:$G$110&lt;&gt;"moeda")*(Inputs!$G$5:$G$110&lt;&gt;"acoes")))*INDEX(Inputs!$K$5:$AJ$110,0,MATCH(U$2,Inputs!$K$4:$AJ$4,0)))+SUMPRODUCT((Inputs!$C$5:$C$110=$B60)*Inputs!$D$5:$D$110*(((Inputs!$G$5:$G$110="moeda")+(Inputs!$G$5:$G$110="acoes"))*Inputs!$B$1+((Inputs!$G$5:$G$110&lt;&gt;"moeda")*(Inputs!$G$5:$G$110&lt;&gt;"acoes")))*INDEX(Inputs!$K$5:$AJ$110,0,MATCH(U$2,Inputs!$K$4:$AJ$4,0)))+SUMPRODUCT((Inputs!$E$5:$E$110=$B60)*Inputs!$F$5:$F$110*(((Inputs!$G$5:$G$110="moeda")+(Inputs!$G$5:$G$110="acoes"))*Inputs!$B$1+((Inputs!$G$5:$G$110&lt;&gt;"moeda")*(Inputs!$G$5:$G$110&lt;&gt;"acoes")))*INDEX(Inputs!$K$5:$AJ$110,0,MATCH(U$2,Inputs!$K$4:$AJ$4,0)))))</f>
        <v>7930</v>
      </c>
      <c r="V60" s="263">
        <f>IF(ISNA(MATCH(V$2,Inputs!$K$4:$AJ$4,0)),NA(),IF(SUMPRODUCT((Inputs!$A$5:$A$110=$B60)*ISNUMBER(INDEX(Inputs!$K$5:$AJ$110,0,MATCH(V$2,Inputs!$K$4:$AJ$4,0))))+SUMPRODUCT((Inputs!$C$5:$C$110=$B60)*ISNUMBER(INDEX(Inputs!$K$5:$AJ$110,0,MATCH(V$2,Inputs!$K$4:$AJ$4,0))))+SUMPRODUCT((Inputs!$E$5:$E$110=$B60)*ISNUMBER(INDEX(Inputs!$K$5:$AJ$110,0,MATCH(V$2,Inputs!$K$4:$AJ$4,0))))=0,NA(),SUMPRODUCT((Inputs!$A$5:$A$110=$B60)*Inputs!$B$5:$B$110*(((Inputs!$G$5:$G$110="moeda")+(Inputs!$G$5:$G$110="acoes"))*Inputs!$B$1+((Inputs!$G$5:$G$110&lt;&gt;"moeda")*(Inputs!$G$5:$G$110&lt;&gt;"acoes")))*INDEX(Inputs!$K$5:$AJ$110,0,MATCH(V$2,Inputs!$K$4:$AJ$4,0)))+SUMPRODUCT((Inputs!$C$5:$C$110=$B60)*Inputs!$D$5:$D$110*(((Inputs!$G$5:$G$110="moeda")+(Inputs!$G$5:$G$110="acoes"))*Inputs!$B$1+((Inputs!$G$5:$G$110&lt;&gt;"moeda")*(Inputs!$G$5:$G$110&lt;&gt;"acoes")))*INDEX(Inputs!$K$5:$AJ$110,0,MATCH(V$2,Inputs!$K$4:$AJ$4,0)))+SUMPRODUCT((Inputs!$E$5:$E$110=$B60)*Inputs!$F$5:$F$110*(((Inputs!$G$5:$G$110="moeda")+(Inputs!$G$5:$G$110="acoes"))*Inputs!$B$1+((Inputs!$G$5:$G$110&lt;&gt;"moeda")*(Inputs!$G$5:$G$110&lt;&gt;"acoes")))*INDEX(Inputs!$K$5:$AJ$110,0,MATCH(V$2,Inputs!$K$4:$AJ$4,0)))))</f>
        <v>8032</v>
      </c>
      <c r="W60" s="264">
        <f>SUM(S60:V60)</f>
        <v>29757</v>
      </c>
      <c r="X60" s="263">
        <f>IF(ISNA(MATCH(X$2,Inputs!$K$4:$AJ$4,0)),NA(),IF(SUMPRODUCT((Inputs!$A$5:$A$110=$B60)*ISNUMBER(INDEX(Inputs!$K$5:$AJ$110,0,MATCH(X$2,Inputs!$K$4:$AJ$4,0))))+SUMPRODUCT((Inputs!$C$5:$C$110=$B60)*ISNUMBER(INDEX(Inputs!$K$5:$AJ$110,0,MATCH(X$2,Inputs!$K$4:$AJ$4,0))))+SUMPRODUCT((Inputs!$E$5:$E$110=$B60)*ISNUMBER(INDEX(Inputs!$K$5:$AJ$110,0,MATCH(X$2,Inputs!$K$4:$AJ$4,0))))=0,NA(),SUMPRODUCT((Inputs!$A$5:$A$110=$B60)*Inputs!$B$5:$B$110*(((Inputs!$G$5:$G$110="moeda")+(Inputs!$G$5:$G$110="acoes"))*Inputs!$B$1+((Inputs!$G$5:$G$110&lt;&gt;"moeda")*(Inputs!$G$5:$G$110&lt;&gt;"acoes")))*INDEX(Inputs!$K$5:$AJ$110,0,MATCH(X$2,Inputs!$K$4:$AJ$4,0)))+SUMPRODUCT((Inputs!$C$5:$C$110=$B60)*Inputs!$D$5:$D$110*(((Inputs!$G$5:$G$110="moeda")+(Inputs!$G$5:$G$110="acoes"))*Inputs!$B$1+((Inputs!$G$5:$G$110&lt;&gt;"moeda")*(Inputs!$G$5:$G$110&lt;&gt;"acoes")))*INDEX(Inputs!$K$5:$AJ$110,0,MATCH(X$2,Inputs!$K$4:$AJ$4,0)))+SUMPRODUCT((Inputs!$E$5:$E$110=$B60)*Inputs!$F$5:$F$110*(((Inputs!$G$5:$G$110="moeda")+(Inputs!$G$5:$G$110="acoes"))*Inputs!$B$1+((Inputs!$G$5:$G$110&lt;&gt;"moeda")*(Inputs!$G$5:$G$110&lt;&gt;"acoes")))*INDEX(Inputs!$K$5:$AJ$110,0,MATCH(X$2,Inputs!$K$4:$AJ$4,0)))))</f>
        <v>8100</v>
      </c>
      <c r="Y60" s="263">
        <f>IF(ISNA(MATCH(Y$2,Inputs!$K$4:$AJ$4,0)),NA(),IF(SUMPRODUCT((Inputs!$A$5:$A$110=$B60)*ISNUMBER(INDEX(Inputs!$K$5:$AJ$110,0,MATCH(Y$2,Inputs!$K$4:$AJ$4,0))))+SUMPRODUCT((Inputs!$C$5:$C$110=$B60)*ISNUMBER(INDEX(Inputs!$K$5:$AJ$110,0,MATCH(Y$2,Inputs!$K$4:$AJ$4,0))))+SUMPRODUCT((Inputs!$E$5:$E$110=$B60)*ISNUMBER(INDEX(Inputs!$K$5:$AJ$110,0,MATCH(Y$2,Inputs!$K$4:$AJ$4,0))))=0,NA(),SUMPRODUCT((Inputs!$A$5:$A$110=$B60)*Inputs!$B$5:$B$110*(((Inputs!$G$5:$G$110="moeda")+(Inputs!$G$5:$G$110="acoes"))*Inputs!$B$1+((Inputs!$G$5:$G$110&lt;&gt;"moeda")*(Inputs!$G$5:$G$110&lt;&gt;"acoes")))*INDEX(Inputs!$K$5:$AJ$110,0,MATCH(Y$2,Inputs!$K$4:$AJ$4,0)))+SUMPRODUCT((Inputs!$C$5:$C$110=$B60)*Inputs!$D$5:$D$110*(((Inputs!$G$5:$G$110="moeda")+(Inputs!$G$5:$G$110="acoes"))*Inputs!$B$1+((Inputs!$G$5:$G$110&lt;&gt;"moeda")*(Inputs!$G$5:$G$110&lt;&gt;"acoes")))*INDEX(Inputs!$K$5:$AJ$110,0,MATCH(Y$2,Inputs!$K$4:$AJ$4,0)))+SUMPRODUCT((Inputs!$E$5:$E$110=$B60)*Inputs!$F$5:$F$110*(((Inputs!$G$5:$G$110="moeda")+(Inputs!$G$5:$G$110="acoes"))*Inputs!$B$1+((Inputs!$G$5:$G$110&lt;&gt;"moeda")*(Inputs!$G$5:$G$110&lt;&gt;"acoes")))*INDEX(Inputs!$K$5:$AJ$110,0,MATCH(Y$2,Inputs!$K$4:$AJ$4,0)))))</f>
        <v>8960</v>
      </c>
      <c r="Z60" s="263">
        <f>IF(ISNA(MATCH(Z$2,Inputs!$K$4:$AJ$4,0)),NA(),IF(SUMPRODUCT((Inputs!$A$5:$A$110=$B60)*ISNUMBER(INDEX(Inputs!$K$5:$AJ$110,0,MATCH(Z$2,Inputs!$K$4:$AJ$4,0))))+SUMPRODUCT((Inputs!$C$5:$C$110=$B60)*ISNUMBER(INDEX(Inputs!$K$5:$AJ$110,0,MATCH(Z$2,Inputs!$K$4:$AJ$4,0))))+SUMPRODUCT((Inputs!$E$5:$E$110=$B60)*ISNUMBER(INDEX(Inputs!$K$5:$AJ$110,0,MATCH(Z$2,Inputs!$K$4:$AJ$4,0))))=0,NA(),SUMPRODUCT((Inputs!$A$5:$A$110=$B60)*Inputs!$B$5:$B$110*(((Inputs!$G$5:$G$110="moeda")+(Inputs!$G$5:$G$110="acoes"))*Inputs!$B$1+((Inputs!$G$5:$G$110&lt;&gt;"moeda")*(Inputs!$G$5:$G$110&lt;&gt;"acoes")))*INDEX(Inputs!$K$5:$AJ$110,0,MATCH(Z$2,Inputs!$K$4:$AJ$4,0)))+SUMPRODUCT((Inputs!$C$5:$C$110=$B60)*Inputs!$D$5:$D$110*(((Inputs!$G$5:$G$110="moeda")+(Inputs!$G$5:$G$110="acoes"))*Inputs!$B$1+((Inputs!$G$5:$G$110&lt;&gt;"moeda")*(Inputs!$G$5:$G$110&lt;&gt;"acoes")))*INDEX(Inputs!$K$5:$AJ$110,0,MATCH(Z$2,Inputs!$K$4:$AJ$4,0)))+SUMPRODUCT((Inputs!$E$5:$E$110=$B60)*Inputs!$F$5:$F$110*(((Inputs!$G$5:$G$110="moeda")+(Inputs!$G$5:$G$110="acoes"))*Inputs!$B$1+((Inputs!$G$5:$G$110&lt;&gt;"moeda")*(Inputs!$G$5:$G$110&lt;&gt;"acoes")))*INDEX(Inputs!$K$5:$AJ$110,0,MATCH(Z$2,Inputs!$K$4:$AJ$4,0)))))</f>
        <v>10804</v>
      </c>
      <c r="AA60" s="263">
        <f>IF(ISNA(MATCH(AA$2,Inputs!$K$4:$AJ$4,0)),NA(),IF(SUMPRODUCT((Inputs!$A$5:$A$110=$B60)*ISNUMBER(INDEX(Inputs!$K$5:$AJ$110,0,MATCH(AA$2,Inputs!$K$4:$AJ$4,0))))+SUMPRODUCT((Inputs!$C$5:$C$110=$B60)*ISNUMBER(INDEX(Inputs!$K$5:$AJ$110,0,MATCH(AA$2,Inputs!$K$4:$AJ$4,0))))+SUMPRODUCT((Inputs!$E$5:$E$110=$B60)*ISNUMBER(INDEX(Inputs!$K$5:$AJ$110,0,MATCH(AA$2,Inputs!$K$4:$AJ$4,0))))=0,NA(),SUMPRODUCT((Inputs!$A$5:$A$110=$B60)*Inputs!$B$5:$B$110*(((Inputs!$G$5:$G$110="moeda")+(Inputs!$G$5:$G$110="acoes"))*Inputs!$B$1+((Inputs!$G$5:$G$110&lt;&gt;"moeda")*(Inputs!$G$5:$G$110&lt;&gt;"acoes")))*INDEX(Inputs!$K$5:$AJ$110,0,MATCH(AA$2,Inputs!$K$4:$AJ$4,0)))+SUMPRODUCT((Inputs!$C$5:$C$110=$B60)*Inputs!$D$5:$D$110*(((Inputs!$G$5:$G$110="moeda")+(Inputs!$G$5:$G$110="acoes"))*Inputs!$B$1+((Inputs!$G$5:$G$110&lt;&gt;"moeda")*(Inputs!$G$5:$G$110&lt;&gt;"acoes")))*INDEX(Inputs!$K$5:$AJ$110,0,MATCH(AA$2,Inputs!$K$4:$AJ$4,0)))+SUMPRODUCT((Inputs!$E$5:$E$110=$B60)*Inputs!$F$5:$F$110*(((Inputs!$G$5:$G$110="moeda")+(Inputs!$G$5:$G$110="acoes"))*Inputs!$B$1+((Inputs!$G$5:$G$110&lt;&gt;"moeda")*(Inputs!$G$5:$G$110&lt;&gt;"acoes")))*INDEX(Inputs!$K$5:$AJ$110,0,MATCH(AA$2,Inputs!$K$4:$AJ$4,0)))))</f>
        <v>11615</v>
      </c>
      <c r="AB60" s="264">
        <f>SUM(X60:AA60)</f>
        <v>39479</v>
      </c>
      <c r="AC60" s="263">
        <f>IF(ISNA(MATCH(AC$2,Inputs!$K$4:$AJ$4,0)),NA(),IF(SUMPRODUCT((Inputs!$A$5:$A$110=$B60)*ISNUMBER(INDEX(Inputs!$K$5:$AJ$110,0,MATCH(AC$2,Inputs!$K$4:$AJ$4,0))))+SUMPRODUCT((Inputs!$C$5:$C$110=$B60)*ISNUMBER(INDEX(Inputs!$K$5:$AJ$110,0,MATCH(AC$2,Inputs!$K$4:$AJ$4,0))))+SUMPRODUCT((Inputs!$E$5:$E$110=$B60)*ISNUMBER(INDEX(Inputs!$K$5:$AJ$110,0,MATCH(AC$2,Inputs!$K$4:$AJ$4,0))))=0,NA(),SUMPRODUCT((Inputs!$A$5:$A$110=$B60)*Inputs!$B$5:$B$110*(((Inputs!$G$5:$G$110="moeda")+(Inputs!$G$5:$G$110="acoes"))*Inputs!$B$1+((Inputs!$G$5:$G$110&lt;&gt;"moeda")*(Inputs!$G$5:$G$110&lt;&gt;"acoes")))*INDEX(Inputs!$K$5:$AJ$110,0,MATCH(AC$2,Inputs!$K$4:$AJ$4,0)))+SUMPRODUCT((Inputs!$C$5:$C$110=$B60)*Inputs!$D$5:$D$110*(((Inputs!$G$5:$G$110="moeda")+(Inputs!$G$5:$G$110="acoes"))*Inputs!$B$1+((Inputs!$G$5:$G$110&lt;&gt;"moeda")*(Inputs!$G$5:$G$110&lt;&gt;"acoes")))*INDEX(Inputs!$K$5:$AJ$110,0,MATCH(AC$2,Inputs!$K$4:$AJ$4,0)))+SUMPRODUCT((Inputs!$E$5:$E$110=$B60)*Inputs!$F$5:$F$110*(((Inputs!$G$5:$G$110="moeda")+(Inputs!$G$5:$G$110="acoes"))*Inputs!$B$1+((Inputs!$G$5:$G$110&lt;&gt;"moeda")*(Inputs!$G$5:$G$110&lt;&gt;"acoes")))*INDEX(Inputs!$K$5:$AJ$110,0,MATCH(AC$2,Inputs!$K$4:$AJ$4,0)))))</f>
        <v>14535</v>
      </c>
      <c r="AD60" s="263">
        <f>IF(ISNA(MATCH(AD$2,Inputs!$K$4:$AJ$4,0)),NA(),IF(SUMPRODUCT((Inputs!$A$5:$A$110=$B60)*ISNUMBER(INDEX(Inputs!$K$5:$AJ$110,0,MATCH(AD$2,Inputs!$K$4:$AJ$4,0))))+SUMPRODUCT((Inputs!$C$5:$C$110=$B60)*ISNUMBER(INDEX(Inputs!$K$5:$AJ$110,0,MATCH(AD$2,Inputs!$K$4:$AJ$4,0))))+SUMPRODUCT((Inputs!$E$5:$E$110=$B60)*ISNUMBER(INDEX(Inputs!$K$5:$AJ$110,0,MATCH(AD$2,Inputs!$K$4:$AJ$4,0))))=0,NA(),SUMPRODUCT((Inputs!$A$5:$A$110=$B60)*Inputs!$B$5:$B$110*(((Inputs!$G$5:$G$110="moeda")+(Inputs!$G$5:$G$110="acoes"))*Inputs!$B$1+((Inputs!$G$5:$G$110&lt;&gt;"moeda")*(Inputs!$G$5:$G$110&lt;&gt;"acoes")))*INDEX(Inputs!$K$5:$AJ$110,0,MATCH(AD$2,Inputs!$K$4:$AJ$4,0)))+SUMPRODUCT((Inputs!$C$5:$C$110=$B60)*Inputs!$D$5:$D$110*(((Inputs!$G$5:$G$110="moeda")+(Inputs!$G$5:$G$110="acoes"))*Inputs!$B$1+((Inputs!$G$5:$G$110&lt;&gt;"moeda")*(Inputs!$G$5:$G$110&lt;&gt;"acoes")))*INDEX(Inputs!$K$5:$AJ$110,0,MATCH(AD$2,Inputs!$K$4:$AJ$4,0)))+SUMPRODUCT((Inputs!$E$5:$E$110=$B60)*Inputs!$F$5:$F$110*(((Inputs!$G$5:$G$110="moeda")+(Inputs!$G$5:$G$110="acoes"))*Inputs!$B$1+((Inputs!$G$5:$G$110&lt;&gt;"moeda")*(Inputs!$G$5:$G$110&lt;&gt;"acoes")))*INDEX(Inputs!$K$5:$AJ$110,0,MATCH(AD$2,Inputs!$K$4:$AJ$4,0)))))</f>
        <v>20944</v>
      </c>
      <c r="AE60" s="263" t="e">
        <f>IF(ISNA(MATCH(AE$2,Inputs!$K$4:$AJ$4,0)),NA(),IF(SUMPRODUCT((Inputs!$A$5:$A$110=$B60)*ISNUMBER(INDEX(Inputs!$K$5:$AJ$110,0,MATCH(AE$2,Inputs!$K$4:$AJ$4,0))))+SUMPRODUCT((Inputs!$C$5:$C$110=$B60)*ISNUMBER(INDEX(Inputs!$K$5:$AJ$110,0,MATCH(AE$2,Inputs!$K$4:$AJ$4,0))))+SUMPRODUCT((Inputs!$E$5:$E$110=$B60)*ISNUMBER(INDEX(Inputs!$K$5:$AJ$110,0,MATCH(AE$2,Inputs!$K$4:$AJ$4,0))))=0,NA(),SUMPRODUCT((Inputs!$A$5:$A$110=$B60)*Inputs!$B$5:$B$110*(((Inputs!$G$5:$G$110="moeda")+(Inputs!$G$5:$G$110="acoes"))*Inputs!$B$1+((Inputs!$G$5:$G$110&lt;&gt;"moeda")*(Inputs!$G$5:$G$110&lt;&gt;"acoes")))*INDEX(Inputs!$K$5:$AJ$110,0,MATCH(AE$2,Inputs!$K$4:$AJ$4,0)))+SUMPRODUCT((Inputs!$C$5:$C$110=$B60)*Inputs!$D$5:$D$110*(((Inputs!$G$5:$G$110="moeda")+(Inputs!$G$5:$G$110="acoes"))*Inputs!$B$1+((Inputs!$G$5:$G$110&lt;&gt;"moeda")*(Inputs!$G$5:$G$110&lt;&gt;"acoes")))*INDEX(Inputs!$K$5:$AJ$110,0,MATCH(AE$2,Inputs!$K$4:$AJ$4,0)))+SUMPRODUCT((Inputs!$E$5:$E$110=$B60)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60" s="263" t="e">
        <f>IF(ISNA(MATCH(AF$2,Inputs!$K$4:$AJ$4,0)),NA(),IF(SUMPRODUCT((Inputs!$A$5:$A$110=$B60)*ISNUMBER(INDEX(Inputs!$K$5:$AJ$110,0,MATCH(AF$2,Inputs!$K$4:$AJ$4,0))))+SUMPRODUCT((Inputs!$C$5:$C$110=$B60)*ISNUMBER(INDEX(Inputs!$K$5:$AJ$110,0,MATCH(AF$2,Inputs!$K$4:$AJ$4,0))))+SUMPRODUCT((Inputs!$E$5:$E$110=$B60)*ISNUMBER(INDEX(Inputs!$K$5:$AJ$110,0,MATCH(AF$2,Inputs!$K$4:$AJ$4,0))))=0,NA(),SUMPRODUCT((Inputs!$A$5:$A$110=$B60)*Inputs!$B$5:$B$110*(((Inputs!$G$5:$G$110="moeda")+(Inputs!$G$5:$G$110="acoes"))*Inputs!$B$1+((Inputs!$G$5:$G$110&lt;&gt;"moeda")*(Inputs!$G$5:$G$110&lt;&gt;"acoes")))*INDEX(Inputs!$K$5:$AJ$110,0,MATCH(AF$2,Inputs!$K$4:$AJ$4,0)))+SUMPRODUCT((Inputs!$C$5:$C$110=$B60)*Inputs!$D$5:$D$110*(((Inputs!$G$5:$G$110="moeda")+(Inputs!$G$5:$G$110="acoes"))*Inputs!$B$1+((Inputs!$G$5:$G$110&lt;&gt;"moeda")*(Inputs!$G$5:$G$110&lt;&gt;"acoes")))*INDEX(Inputs!$K$5:$AJ$110,0,MATCH(AF$2,Inputs!$K$4:$AJ$4,0)))+SUMPRODUCT((Inputs!$E$5:$E$110=$B60)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60" s="264" t="e">
        <f>SUM(AC60:AF60)</f>
        <v>#N/A</v>
      </c>
      <c r="AH60" s="263">
        <f>IF(ISNA(MATCH(AH$2,Inputs!$K$4:$AJ$4,0)),NA(),IF(SUMPRODUCT((Inputs!$A$5:$A$110=$B60)*ISNUMBER(INDEX(Inputs!$K$5:$AJ$110,0,MATCH(AH$2,Inputs!$K$4:$AJ$4,0))))+SUMPRODUCT((Inputs!$C$5:$C$110=$B60)*ISNUMBER(INDEX(Inputs!$K$5:$AJ$110,0,MATCH(AH$2,Inputs!$K$4:$AJ$4,0))))+SUMPRODUCT((Inputs!$E$5:$E$110=$B60)*ISNUMBER(INDEX(Inputs!$K$5:$AJ$110,0,MATCH(AH$2,Inputs!$K$4:$AJ$4,0))))=0,NA(),SUMPRODUCT((Inputs!$A$5:$A$110=$B60)*Inputs!$B$5:$B$110*(((Inputs!$G$5:$G$110="moeda")+(Inputs!$G$5:$G$110="acoes"))*Inputs!$B$1+((Inputs!$G$5:$G$110&lt;&gt;"moeda")*(Inputs!$G$5:$G$110&lt;&gt;"acoes")))*INDEX(Inputs!$K$5:$AJ$110,0,MATCH(AH$2,Inputs!$K$4:$AJ$4,0)))+SUMPRODUCT((Inputs!$C$5:$C$110=$B60)*Inputs!$D$5:$D$110*(((Inputs!$G$5:$G$110="moeda")+(Inputs!$G$5:$G$110="acoes"))*Inputs!$B$1+((Inputs!$G$5:$G$110&lt;&gt;"moeda")*(Inputs!$G$5:$G$110&lt;&gt;"acoes")))*INDEX(Inputs!$K$5:$AJ$110,0,MATCH(AH$2,Inputs!$K$4:$AJ$4,0)))+SUMPRODUCT((Inputs!$E$5:$E$110=$B60)*Inputs!$F$5:$F$110*(((Inputs!$G$5:$G$110="moeda")+(Inputs!$G$5:$G$110="acoes"))*Inputs!$B$1+((Inputs!$G$5:$G$110&lt;&gt;"moeda")*(Inputs!$G$5:$G$110&lt;&gt;"acoes")))*INDEX(Inputs!$K$5:$AJ$110,0,MATCH(AH$2,Inputs!$K$4:$AJ$4,0)))))</f>
        <v>3600</v>
      </c>
      <c r="AI60" s="263">
        <f>IF(ISNA(MATCH(AI$2,Inputs!$K$4:$AJ$4,0)),NA(),IF(SUMPRODUCT((Inputs!$A$5:$A$110=$B60)*ISNUMBER(INDEX(Inputs!$K$5:$AJ$110,0,MATCH(AI$2,Inputs!$K$4:$AJ$4,0))))+SUMPRODUCT((Inputs!$C$5:$C$110=$B60)*ISNUMBER(INDEX(Inputs!$K$5:$AJ$110,0,MATCH(AI$2,Inputs!$K$4:$AJ$4,0))))+SUMPRODUCT((Inputs!$E$5:$E$110=$B60)*ISNUMBER(INDEX(Inputs!$K$5:$AJ$110,0,MATCH(AI$2,Inputs!$K$4:$AJ$4,0))))=0,NA(),SUMPRODUCT((Inputs!$A$5:$A$110=$B60)*Inputs!$B$5:$B$110*(((Inputs!$G$5:$G$110="moeda")+(Inputs!$G$5:$G$110="acoes"))*Inputs!$B$1+((Inputs!$G$5:$G$110&lt;&gt;"moeda")*(Inputs!$G$5:$G$110&lt;&gt;"acoes")))*INDEX(Inputs!$K$5:$AJ$110,0,MATCH(AI$2,Inputs!$K$4:$AJ$4,0)))+SUMPRODUCT((Inputs!$C$5:$C$110=$B60)*Inputs!$D$5:$D$110*(((Inputs!$G$5:$G$110="moeda")+(Inputs!$G$5:$G$110="acoes"))*Inputs!$B$1+((Inputs!$G$5:$G$110&lt;&gt;"moeda")*(Inputs!$G$5:$G$110&lt;&gt;"acoes")))*INDEX(Inputs!$K$5:$AJ$110,0,MATCH(AI$2,Inputs!$K$4:$AJ$4,0)))+SUMPRODUCT((Inputs!$E$5:$E$110=$B60)*Inputs!$F$5:$F$110*(((Inputs!$G$5:$G$110="moeda")+(Inputs!$G$5:$G$110="acoes"))*Inputs!$B$1+((Inputs!$G$5:$G$110&lt;&gt;"moeda")*(Inputs!$G$5:$G$110&lt;&gt;"acoes")))*INDEX(Inputs!$K$5:$AJ$110,0,MATCH(AI$2,Inputs!$K$4:$AJ$4,0)))))</f>
        <v>3742</v>
      </c>
      <c r="AJ60" s="263">
        <f>IF(ISNA(MATCH(AJ$2,Inputs!$K$4:$AJ$4,0)),NA(),IF(SUMPRODUCT((Inputs!$A$5:$A$110=$B60)*ISNUMBER(INDEX(Inputs!$K$5:$AJ$110,0,MATCH(AJ$2,Inputs!$K$4:$AJ$4,0))))+SUMPRODUCT((Inputs!$C$5:$C$110=$B60)*ISNUMBER(INDEX(Inputs!$K$5:$AJ$110,0,MATCH(AJ$2,Inputs!$K$4:$AJ$4,0))))+SUMPRODUCT((Inputs!$E$5:$E$110=$B60)*ISNUMBER(INDEX(Inputs!$K$5:$AJ$110,0,MATCH(AJ$2,Inputs!$K$4:$AJ$4,0))))=0,NA(),SUMPRODUCT((Inputs!$A$5:$A$110=$B60)*Inputs!$B$5:$B$110*(((Inputs!$G$5:$G$110="moeda")+(Inputs!$G$5:$G$110="acoes"))*Inputs!$B$1+((Inputs!$G$5:$G$110&lt;&gt;"moeda")*(Inputs!$G$5:$G$110&lt;&gt;"acoes")))*INDEX(Inputs!$K$5:$AJ$110,0,MATCH(AJ$2,Inputs!$K$4:$AJ$4,0)))+SUMPRODUCT((Inputs!$C$5:$C$110=$B60)*Inputs!$D$5:$D$110*(((Inputs!$G$5:$G$110="moeda")+(Inputs!$G$5:$G$110="acoes"))*Inputs!$B$1+((Inputs!$G$5:$G$110&lt;&gt;"moeda")*(Inputs!$G$5:$G$110&lt;&gt;"acoes")))*INDEX(Inputs!$K$5:$AJ$110,0,MATCH(AJ$2,Inputs!$K$4:$AJ$4,0)))+SUMPRODUCT((Inputs!$E$5:$E$110=$B60)*Inputs!$F$5:$F$110*(((Inputs!$G$5:$G$110="moeda")+(Inputs!$G$5:$G$110="acoes"))*Inputs!$B$1+((Inputs!$G$5:$G$110&lt;&gt;"moeda")*(Inputs!$G$5:$G$110&lt;&gt;"acoes")))*INDEX(Inputs!$K$5:$AJ$110,0,MATCH(AJ$2,Inputs!$K$4:$AJ$4,0)))))</f>
        <v>4361</v>
      </c>
      <c r="AK60" s="263">
        <f>IF(ISNA(MATCH(AK$2,Inputs!$K$4:$AJ$4,0)),NA(),IF(SUMPRODUCT((Inputs!$A$5:$A$110=$B60)*ISNUMBER(INDEX(Inputs!$K$5:$AJ$110,0,MATCH(AK$2,Inputs!$K$4:$AJ$4,0))))+SUMPRODUCT((Inputs!$C$5:$C$110=$B60)*ISNUMBER(INDEX(Inputs!$K$5:$AJ$110,0,MATCH(AK$2,Inputs!$K$4:$AJ$4,0))))+SUMPRODUCT((Inputs!$E$5:$E$110=$B60)*ISNUMBER(INDEX(Inputs!$K$5:$AJ$110,0,MATCH(AK$2,Inputs!$K$4:$AJ$4,0))))=0,NA(),SUMPRODUCT((Inputs!$A$5:$A$110=$B60)*Inputs!$B$5:$B$110*(((Inputs!$G$5:$G$110="moeda")+(Inputs!$G$5:$G$110="acoes"))*Inputs!$B$1+((Inputs!$G$5:$G$110&lt;&gt;"moeda")*(Inputs!$G$5:$G$110&lt;&gt;"acoes")))*INDEX(Inputs!$K$5:$AJ$110,0,MATCH(AK$2,Inputs!$K$4:$AJ$4,0)))+SUMPRODUCT((Inputs!$C$5:$C$110=$B60)*Inputs!$D$5:$D$110*(((Inputs!$G$5:$G$110="moeda")+(Inputs!$G$5:$G$110="acoes"))*Inputs!$B$1+((Inputs!$G$5:$G$110&lt;&gt;"moeda")*(Inputs!$G$5:$G$110&lt;&gt;"acoes")))*INDEX(Inputs!$K$5:$AJ$110,0,MATCH(AK$2,Inputs!$K$4:$AJ$4,0)))+SUMPRODUCT((Inputs!$E$5:$E$110=$B60)*Inputs!$F$5:$F$110*(((Inputs!$G$5:$G$110="moeda")+(Inputs!$G$5:$G$110="acoes"))*Inputs!$B$1+((Inputs!$G$5:$G$110&lt;&gt;"moeda")*(Inputs!$G$5:$G$110&lt;&gt;"acoes")))*INDEX(Inputs!$K$5:$AJ$110,0,MATCH(AK$2,Inputs!$K$4:$AJ$4,0)))))</f>
        <v>4511</v>
      </c>
      <c r="AL60" s="264">
        <f>SUM(AH60:AK60)</f>
        <v>16214</v>
      </c>
    </row>
    <row r="61">
      <c r="B61" s="46" t="n">
        <v>53</v>
      </c>
      <c r="C61" s="29" t="inlineStr">
        <is>
          <t>Receita EMEA (USD)</t>
        </is>
      </c>
      <c r="D61" s="263">
        <f>IF(ISNA(MATCH(D$2,Inputs!$K$4:$AJ$4,0)),NA(),IF(SUMPRODUCT((Inputs!$A$5:$A$110=$B61)*ISNUMBER(INDEX(Inputs!$K$5:$AJ$110,0,MATCH(D$2,Inputs!$K$4:$AJ$4,0))))+SUMPRODUCT((Inputs!$C$5:$C$110=$B61)*ISNUMBER(INDEX(Inputs!$K$5:$AJ$110,0,MATCH(D$2,Inputs!$K$4:$AJ$4,0))))+SUMPRODUCT((Inputs!$E$5:$E$110=$B61)*ISNUMBER(INDEX(Inputs!$K$5:$AJ$110,0,MATCH(D$2,Inputs!$K$4:$AJ$4,0))))=0,NA(),SUMPRODUCT((Inputs!$A$5:$A$110=$B61)*Inputs!$B$5:$B$110*(((Inputs!$G$5:$G$110="moeda")+(Inputs!$G$5:$G$110="acoes"))*Inputs!$B$1+((Inputs!$G$5:$G$110&lt;&gt;"moeda")*(Inputs!$G$5:$G$110&lt;&gt;"acoes")))*INDEX(Inputs!$K$5:$AJ$110,0,MATCH(D$2,Inputs!$K$4:$AJ$4,0)))+SUMPRODUCT((Inputs!$C$5:$C$110=$B61)*Inputs!$D$5:$D$110*(((Inputs!$G$5:$G$110="moeda")+(Inputs!$G$5:$G$110="acoes"))*Inputs!$B$1+((Inputs!$G$5:$G$110&lt;&gt;"moeda")*(Inputs!$G$5:$G$110&lt;&gt;"acoes")))*INDEX(Inputs!$K$5:$AJ$110,0,MATCH(D$2,Inputs!$K$4:$AJ$4,0)))+SUMPRODUCT((Inputs!$E$5:$E$110=$B61)*Inputs!$F$5:$F$110*(((Inputs!$G$5:$G$110="moeda")+(Inputs!$G$5:$G$110="acoes"))*Inputs!$B$1+((Inputs!$G$5:$G$110&lt;&gt;"moeda")*(Inputs!$G$5:$G$110&lt;&gt;"acoes")))*INDEX(Inputs!$K$5:$AJ$110,0,MATCH(D$2,Inputs!$K$4:$AJ$4,0)))))</f>
        <v>861</v>
      </c>
      <c r="E61" s="263">
        <f>IF(ISNA(MATCH(E$2,Inputs!$K$4:$AJ$4,0)),NA(),IF(SUMPRODUCT((Inputs!$A$5:$A$110=$B61)*ISNUMBER(INDEX(Inputs!$K$5:$AJ$110,0,MATCH(E$2,Inputs!$K$4:$AJ$4,0))))+SUMPRODUCT((Inputs!$C$5:$C$110=$B61)*ISNUMBER(INDEX(Inputs!$K$5:$AJ$110,0,MATCH(E$2,Inputs!$K$4:$AJ$4,0))))+SUMPRODUCT((Inputs!$E$5:$E$110=$B61)*ISNUMBER(INDEX(Inputs!$K$5:$AJ$110,0,MATCH(E$2,Inputs!$K$4:$AJ$4,0))))=0,NA(),SUMPRODUCT((Inputs!$A$5:$A$110=$B61)*Inputs!$B$5:$B$110*(((Inputs!$G$5:$G$110="moeda")+(Inputs!$G$5:$G$110="acoes"))*Inputs!$B$1+((Inputs!$G$5:$G$110&lt;&gt;"moeda")*(Inputs!$G$5:$G$110&lt;&gt;"acoes")))*INDEX(Inputs!$K$5:$AJ$110,0,MATCH(E$2,Inputs!$K$4:$AJ$4,0)))+SUMPRODUCT((Inputs!$C$5:$C$110=$B61)*Inputs!$D$5:$D$110*(((Inputs!$G$5:$G$110="moeda")+(Inputs!$G$5:$G$110="acoes"))*Inputs!$B$1+((Inputs!$G$5:$G$110&lt;&gt;"moeda")*(Inputs!$G$5:$G$110&lt;&gt;"acoes")))*INDEX(Inputs!$K$5:$AJ$110,0,MATCH(E$2,Inputs!$K$4:$AJ$4,0)))+SUMPRODUCT((Inputs!$E$5:$E$110=$B61)*Inputs!$F$5:$F$110*(((Inputs!$G$5:$G$110="moeda")+(Inputs!$G$5:$G$110="acoes"))*Inputs!$B$1+((Inputs!$G$5:$G$110&lt;&gt;"moeda")*(Inputs!$G$5:$G$110&lt;&gt;"acoes")))*INDEX(Inputs!$K$5:$AJ$110,0,MATCH(E$2,Inputs!$K$4:$AJ$4,0)))))</f>
        <v>869</v>
      </c>
      <c r="F61" s="263">
        <f>IF(ISNA(MATCH(F$2,Inputs!$K$4:$AJ$4,0)),NA(),IF(SUMPRODUCT((Inputs!$A$5:$A$110=$B61)*ISNUMBER(INDEX(Inputs!$K$5:$AJ$110,0,MATCH(F$2,Inputs!$K$4:$AJ$4,0))))+SUMPRODUCT((Inputs!$C$5:$C$110=$B61)*ISNUMBER(INDEX(Inputs!$K$5:$AJ$110,0,MATCH(F$2,Inputs!$K$4:$AJ$4,0))))+SUMPRODUCT((Inputs!$E$5:$E$110=$B61)*ISNUMBER(INDEX(Inputs!$K$5:$AJ$110,0,MATCH(F$2,Inputs!$K$4:$AJ$4,0))))=0,NA(),SUMPRODUCT((Inputs!$A$5:$A$110=$B61)*Inputs!$B$5:$B$110*(((Inputs!$G$5:$G$110="moeda")+(Inputs!$G$5:$G$110="acoes"))*Inputs!$B$1+((Inputs!$G$5:$G$110&lt;&gt;"moeda")*(Inputs!$G$5:$G$110&lt;&gt;"acoes")))*INDEX(Inputs!$K$5:$AJ$110,0,MATCH(F$2,Inputs!$K$4:$AJ$4,0)))+SUMPRODUCT((Inputs!$C$5:$C$110=$B61)*Inputs!$D$5:$D$110*(((Inputs!$G$5:$G$110="moeda")+(Inputs!$G$5:$G$110="acoes"))*Inputs!$B$1+((Inputs!$G$5:$G$110&lt;&gt;"moeda")*(Inputs!$G$5:$G$110&lt;&gt;"acoes")))*INDEX(Inputs!$K$5:$AJ$110,0,MATCH(F$2,Inputs!$K$4:$AJ$4,0)))+SUMPRODUCT((Inputs!$E$5:$E$110=$B61)*Inputs!$F$5:$F$110*(((Inputs!$G$5:$G$110="moeda")+(Inputs!$G$5:$G$110="acoes"))*Inputs!$B$1+((Inputs!$G$5:$G$110&lt;&gt;"moeda")*(Inputs!$G$5:$G$110&lt;&gt;"acoes")))*INDEX(Inputs!$K$5:$AJ$110,0,MATCH(F$2,Inputs!$K$4:$AJ$4,0)))))</f>
        <v>893</v>
      </c>
      <c r="G61" s="263">
        <f>IF(ISNA(MATCH(G$2,Inputs!$K$4:$AJ$4,0)),NA(),IF(SUMPRODUCT((Inputs!$A$5:$A$110=$B61)*ISNUMBER(INDEX(Inputs!$K$5:$AJ$110,0,MATCH(G$2,Inputs!$K$4:$AJ$4,0))))+SUMPRODUCT((Inputs!$C$5:$C$110=$B61)*ISNUMBER(INDEX(Inputs!$K$5:$AJ$110,0,MATCH(G$2,Inputs!$K$4:$AJ$4,0))))+SUMPRODUCT((Inputs!$E$5:$E$110=$B61)*ISNUMBER(INDEX(Inputs!$K$5:$AJ$110,0,MATCH(G$2,Inputs!$K$4:$AJ$4,0))))=0,NA(),SUMPRODUCT((Inputs!$A$5:$A$110=$B61)*Inputs!$B$5:$B$110*(((Inputs!$G$5:$G$110="moeda")+(Inputs!$G$5:$G$110="acoes"))*Inputs!$B$1+((Inputs!$G$5:$G$110&lt;&gt;"moeda")*(Inputs!$G$5:$G$110&lt;&gt;"acoes")))*INDEX(Inputs!$K$5:$AJ$110,0,MATCH(G$2,Inputs!$K$4:$AJ$4,0)))+SUMPRODUCT((Inputs!$C$5:$C$110=$B61)*Inputs!$D$5:$D$110*(((Inputs!$G$5:$G$110="moeda")+(Inputs!$G$5:$G$110="acoes"))*Inputs!$B$1+((Inputs!$G$5:$G$110&lt;&gt;"moeda")*(Inputs!$G$5:$G$110&lt;&gt;"acoes")))*INDEX(Inputs!$K$5:$AJ$110,0,MATCH(G$2,Inputs!$K$4:$AJ$4,0)))+SUMPRODUCT((Inputs!$E$5:$E$110=$B61)*Inputs!$F$5:$F$110*(((Inputs!$G$5:$G$110="moeda")+(Inputs!$G$5:$G$110="acoes"))*Inputs!$B$1+((Inputs!$G$5:$G$110&lt;&gt;"moeda")*(Inputs!$G$5:$G$110&lt;&gt;"acoes")))*INDEX(Inputs!$K$5:$AJ$110,0,MATCH(G$2,Inputs!$K$4:$AJ$4,0)))))</f>
        <v>937</v>
      </c>
      <c r="H61" s="264">
        <f>SUM(D61:G61)</f>
        <v>3560</v>
      </c>
      <c r="I61" s="263">
        <f>IF(ISNA(MATCH(I$2,Inputs!$K$4:$AJ$4,0)),NA(),IF(SUMPRODUCT((Inputs!$A$5:$A$110=$B61)*ISNUMBER(INDEX(Inputs!$K$5:$AJ$110,0,MATCH(I$2,Inputs!$K$4:$AJ$4,0))))+SUMPRODUCT((Inputs!$C$5:$C$110=$B61)*ISNUMBER(INDEX(Inputs!$K$5:$AJ$110,0,MATCH(I$2,Inputs!$K$4:$AJ$4,0))))+SUMPRODUCT((Inputs!$E$5:$E$110=$B61)*ISNUMBER(INDEX(Inputs!$K$5:$AJ$110,0,MATCH(I$2,Inputs!$K$4:$AJ$4,0))))=0,NA(),SUMPRODUCT((Inputs!$A$5:$A$110=$B61)*Inputs!$B$5:$B$110*(((Inputs!$G$5:$G$110="moeda")+(Inputs!$G$5:$G$110="acoes"))*Inputs!$B$1+((Inputs!$G$5:$G$110&lt;&gt;"moeda")*(Inputs!$G$5:$G$110&lt;&gt;"acoes")))*INDEX(Inputs!$K$5:$AJ$110,0,MATCH(I$2,Inputs!$K$4:$AJ$4,0)))+SUMPRODUCT((Inputs!$C$5:$C$110=$B61)*Inputs!$D$5:$D$110*(((Inputs!$G$5:$G$110="moeda")+(Inputs!$G$5:$G$110="acoes"))*Inputs!$B$1+((Inputs!$G$5:$G$110&lt;&gt;"moeda")*(Inputs!$G$5:$G$110&lt;&gt;"acoes")))*INDEX(Inputs!$K$5:$AJ$110,0,MATCH(I$2,Inputs!$K$4:$AJ$4,0)))+SUMPRODUCT((Inputs!$E$5:$E$110=$B61)*Inputs!$F$5:$F$110*(((Inputs!$G$5:$G$110="moeda")+(Inputs!$G$5:$G$110="acoes"))*Inputs!$B$1+((Inputs!$G$5:$G$110&lt;&gt;"moeda")*(Inputs!$G$5:$G$110&lt;&gt;"acoes")))*INDEX(Inputs!$K$5:$AJ$110,0,MATCH(I$2,Inputs!$K$4:$AJ$4,0)))))</f>
        <v>906</v>
      </c>
      <c r="J61" s="263">
        <f>IF(ISNA(MATCH(J$2,Inputs!$K$4:$AJ$4,0)),NA(),IF(SUMPRODUCT((Inputs!$A$5:$A$110=$B61)*ISNUMBER(INDEX(Inputs!$K$5:$AJ$110,0,MATCH(J$2,Inputs!$K$4:$AJ$4,0))))+SUMPRODUCT((Inputs!$C$5:$C$110=$B61)*ISNUMBER(INDEX(Inputs!$K$5:$AJ$110,0,MATCH(J$2,Inputs!$K$4:$AJ$4,0))))+SUMPRODUCT((Inputs!$E$5:$E$110=$B61)*ISNUMBER(INDEX(Inputs!$K$5:$AJ$110,0,MATCH(J$2,Inputs!$K$4:$AJ$4,0))))=0,NA(),SUMPRODUCT((Inputs!$A$5:$A$110=$B61)*Inputs!$B$5:$B$110*(((Inputs!$G$5:$G$110="moeda")+(Inputs!$G$5:$G$110="acoes"))*Inputs!$B$1+((Inputs!$G$5:$G$110&lt;&gt;"moeda")*(Inputs!$G$5:$G$110&lt;&gt;"acoes")))*INDEX(Inputs!$K$5:$AJ$110,0,MATCH(J$2,Inputs!$K$4:$AJ$4,0)))+SUMPRODUCT((Inputs!$C$5:$C$110=$B61)*Inputs!$D$5:$D$110*(((Inputs!$G$5:$G$110="moeda")+(Inputs!$G$5:$G$110="acoes"))*Inputs!$B$1+((Inputs!$G$5:$G$110&lt;&gt;"moeda")*(Inputs!$G$5:$G$110&lt;&gt;"acoes")))*INDEX(Inputs!$K$5:$AJ$110,0,MATCH(J$2,Inputs!$K$4:$AJ$4,0)))+SUMPRODUCT((Inputs!$E$5:$E$110=$B61)*Inputs!$F$5:$F$110*(((Inputs!$G$5:$G$110="moeda")+(Inputs!$G$5:$G$110="acoes"))*Inputs!$B$1+((Inputs!$G$5:$G$110&lt;&gt;"moeda")*(Inputs!$G$5:$G$110&lt;&gt;"acoes")))*INDEX(Inputs!$K$5:$AJ$110,0,MATCH(J$2,Inputs!$K$4:$AJ$4,0)))))</f>
        <v>857</v>
      </c>
      <c r="K61" s="263">
        <f>IF(ISNA(MATCH(K$2,Inputs!$K$4:$AJ$4,0)),NA(),IF(SUMPRODUCT((Inputs!$A$5:$A$110=$B61)*ISNUMBER(INDEX(Inputs!$K$5:$AJ$110,0,MATCH(K$2,Inputs!$K$4:$AJ$4,0))))+SUMPRODUCT((Inputs!$C$5:$C$110=$B61)*ISNUMBER(INDEX(Inputs!$K$5:$AJ$110,0,MATCH(K$2,Inputs!$K$4:$AJ$4,0))))+SUMPRODUCT((Inputs!$E$5:$E$110=$B61)*ISNUMBER(INDEX(Inputs!$K$5:$AJ$110,0,MATCH(K$2,Inputs!$K$4:$AJ$4,0))))=0,NA(),SUMPRODUCT((Inputs!$A$5:$A$110=$B61)*Inputs!$B$5:$B$110*(((Inputs!$G$5:$G$110="moeda")+(Inputs!$G$5:$G$110="acoes"))*Inputs!$B$1+((Inputs!$G$5:$G$110&lt;&gt;"moeda")*(Inputs!$G$5:$G$110&lt;&gt;"acoes")))*INDEX(Inputs!$K$5:$AJ$110,0,MATCH(K$2,Inputs!$K$4:$AJ$4,0)))+SUMPRODUCT((Inputs!$C$5:$C$110=$B61)*Inputs!$D$5:$D$110*(((Inputs!$G$5:$G$110="moeda")+(Inputs!$G$5:$G$110="acoes"))*Inputs!$B$1+((Inputs!$G$5:$G$110&lt;&gt;"moeda")*(Inputs!$G$5:$G$110&lt;&gt;"acoes")))*INDEX(Inputs!$K$5:$AJ$110,0,MATCH(K$2,Inputs!$K$4:$AJ$4,0)))+SUMPRODUCT((Inputs!$E$5:$E$110=$B61)*Inputs!$F$5:$F$110*(((Inputs!$G$5:$G$110="moeda")+(Inputs!$G$5:$G$110="acoes"))*Inputs!$B$1+((Inputs!$G$5:$G$110&lt;&gt;"moeda")*(Inputs!$G$5:$G$110&lt;&gt;"acoes")))*INDEX(Inputs!$K$5:$AJ$110,0,MATCH(K$2,Inputs!$K$4:$AJ$4,0)))))</f>
        <v>1054</v>
      </c>
      <c r="L61" s="263">
        <f>IF(ISNA(MATCH(L$2,Inputs!$K$4:$AJ$4,0)),NA(),IF(SUMPRODUCT((Inputs!$A$5:$A$110=$B61)*ISNUMBER(INDEX(Inputs!$K$5:$AJ$110,0,MATCH(L$2,Inputs!$K$4:$AJ$4,0))))+SUMPRODUCT((Inputs!$C$5:$C$110=$B61)*ISNUMBER(INDEX(Inputs!$K$5:$AJ$110,0,MATCH(L$2,Inputs!$K$4:$AJ$4,0))))+SUMPRODUCT((Inputs!$E$5:$E$110=$B61)*ISNUMBER(INDEX(Inputs!$K$5:$AJ$110,0,MATCH(L$2,Inputs!$K$4:$AJ$4,0))))=0,NA(),SUMPRODUCT((Inputs!$A$5:$A$110=$B61)*Inputs!$B$5:$B$110*(((Inputs!$G$5:$G$110="moeda")+(Inputs!$G$5:$G$110="acoes"))*Inputs!$B$1+((Inputs!$G$5:$G$110&lt;&gt;"moeda")*(Inputs!$G$5:$G$110&lt;&gt;"acoes")))*INDEX(Inputs!$K$5:$AJ$110,0,MATCH(L$2,Inputs!$K$4:$AJ$4,0)))+SUMPRODUCT((Inputs!$C$5:$C$110=$B61)*Inputs!$D$5:$D$110*(((Inputs!$G$5:$G$110="moeda")+(Inputs!$G$5:$G$110="acoes"))*Inputs!$B$1+((Inputs!$G$5:$G$110&lt;&gt;"moeda")*(Inputs!$G$5:$G$110&lt;&gt;"acoes")))*INDEX(Inputs!$K$5:$AJ$110,0,MATCH(L$2,Inputs!$K$4:$AJ$4,0)))+SUMPRODUCT((Inputs!$E$5:$E$110=$B61)*Inputs!$F$5:$F$110*(((Inputs!$G$5:$G$110="moeda")+(Inputs!$G$5:$G$110="acoes"))*Inputs!$B$1+((Inputs!$G$5:$G$110&lt;&gt;"moeda")*(Inputs!$G$5:$G$110&lt;&gt;"acoes")))*INDEX(Inputs!$K$5:$AJ$110,0,MATCH(L$2,Inputs!$K$4:$AJ$4,0)))))</f>
        <v>939</v>
      </c>
      <c r="M61" s="264">
        <f>SUM(I61:L61)</f>
        <v>3756</v>
      </c>
      <c r="N61" s="263">
        <f>IF(ISNA(MATCH(N$2,Inputs!$K$4:$AJ$4,0)),NA(),IF(SUMPRODUCT((Inputs!$A$5:$A$110=$B61)*ISNUMBER(INDEX(Inputs!$K$5:$AJ$110,0,MATCH(N$2,Inputs!$K$4:$AJ$4,0))))+SUMPRODUCT((Inputs!$C$5:$C$110=$B61)*ISNUMBER(INDEX(Inputs!$K$5:$AJ$110,0,MATCH(N$2,Inputs!$K$4:$AJ$4,0))))+SUMPRODUCT((Inputs!$E$5:$E$110=$B61)*ISNUMBER(INDEX(Inputs!$K$5:$AJ$110,0,MATCH(N$2,Inputs!$K$4:$AJ$4,0))))=0,NA(),SUMPRODUCT((Inputs!$A$5:$A$110=$B61)*Inputs!$B$5:$B$110*(((Inputs!$G$5:$G$110="moeda")+(Inputs!$G$5:$G$110="acoes"))*Inputs!$B$1+((Inputs!$G$5:$G$110&lt;&gt;"moeda")*(Inputs!$G$5:$G$110&lt;&gt;"acoes")))*INDEX(Inputs!$K$5:$AJ$110,0,MATCH(N$2,Inputs!$K$4:$AJ$4,0)))+SUMPRODUCT((Inputs!$C$5:$C$110=$B61)*Inputs!$D$5:$D$110*(((Inputs!$G$5:$G$110="moeda")+(Inputs!$G$5:$G$110="acoes"))*Inputs!$B$1+((Inputs!$G$5:$G$110&lt;&gt;"moeda")*(Inputs!$G$5:$G$110&lt;&gt;"acoes")))*INDEX(Inputs!$K$5:$AJ$110,0,MATCH(N$2,Inputs!$K$4:$AJ$4,0)))+SUMPRODUCT((Inputs!$E$5:$E$110=$B61)*Inputs!$F$5:$F$110*(((Inputs!$G$5:$G$110="moeda")+(Inputs!$G$5:$G$110="acoes"))*Inputs!$B$1+((Inputs!$G$5:$G$110&lt;&gt;"moeda")*(Inputs!$G$5:$G$110&lt;&gt;"acoes")))*INDEX(Inputs!$K$5:$AJ$110,0,MATCH(N$2,Inputs!$K$4:$AJ$4,0)))))</f>
        <v>915</v>
      </c>
      <c r="O61" s="263">
        <f>IF(ISNA(MATCH(O$2,Inputs!$K$4:$AJ$4,0)),NA(),IF(SUMPRODUCT((Inputs!$A$5:$A$110=$B61)*ISNUMBER(INDEX(Inputs!$K$5:$AJ$110,0,MATCH(O$2,Inputs!$K$4:$AJ$4,0))))+SUMPRODUCT((Inputs!$C$5:$C$110=$B61)*ISNUMBER(INDEX(Inputs!$K$5:$AJ$110,0,MATCH(O$2,Inputs!$K$4:$AJ$4,0))))+SUMPRODUCT((Inputs!$E$5:$E$110=$B61)*ISNUMBER(INDEX(Inputs!$K$5:$AJ$110,0,MATCH(O$2,Inputs!$K$4:$AJ$4,0))))=0,NA(),SUMPRODUCT((Inputs!$A$5:$A$110=$B61)*Inputs!$B$5:$B$110*(((Inputs!$G$5:$G$110="moeda")+(Inputs!$G$5:$G$110="acoes"))*Inputs!$B$1+((Inputs!$G$5:$G$110&lt;&gt;"moeda")*(Inputs!$G$5:$G$110&lt;&gt;"acoes")))*INDEX(Inputs!$K$5:$AJ$110,0,MATCH(O$2,Inputs!$K$4:$AJ$4,0)))+SUMPRODUCT((Inputs!$C$5:$C$110=$B61)*Inputs!$D$5:$D$110*(((Inputs!$G$5:$G$110="moeda")+(Inputs!$G$5:$G$110="acoes"))*Inputs!$B$1+((Inputs!$G$5:$G$110&lt;&gt;"moeda")*(Inputs!$G$5:$G$110&lt;&gt;"acoes")))*INDEX(Inputs!$K$5:$AJ$110,0,MATCH(O$2,Inputs!$K$4:$AJ$4,0)))+SUMPRODUCT((Inputs!$E$5:$E$110=$B61)*Inputs!$F$5:$F$110*(((Inputs!$G$5:$G$110="moeda")+(Inputs!$G$5:$G$110="acoes"))*Inputs!$B$1+((Inputs!$G$5:$G$110&lt;&gt;"moeda")*(Inputs!$G$5:$G$110&lt;&gt;"acoes")))*INDEX(Inputs!$K$5:$AJ$110,0,MATCH(O$2,Inputs!$K$4:$AJ$4,0)))))</f>
        <v>840</v>
      </c>
      <c r="P61" s="263">
        <f>IF(ISNA(MATCH(P$2,Inputs!$K$4:$AJ$4,0)),NA(),IF(SUMPRODUCT((Inputs!$A$5:$A$110=$B61)*ISNUMBER(INDEX(Inputs!$K$5:$AJ$110,0,MATCH(P$2,Inputs!$K$4:$AJ$4,0))))+SUMPRODUCT((Inputs!$C$5:$C$110=$B61)*ISNUMBER(INDEX(Inputs!$K$5:$AJ$110,0,MATCH(P$2,Inputs!$K$4:$AJ$4,0))))+SUMPRODUCT((Inputs!$E$5:$E$110=$B61)*ISNUMBER(INDEX(Inputs!$K$5:$AJ$110,0,MATCH(P$2,Inputs!$K$4:$AJ$4,0))))=0,NA(),SUMPRODUCT((Inputs!$A$5:$A$110=$B61)*Inputs!$B$5:$B$110*(((Inputs!$G$5:$G$110="moeda")+(Inputs!$G$5:$G$110="acoes"))*Inputs!$B$1+((Inputs!$G$5:$G$110&lt;&gt;"moeda")*(Inputs!$G$5:$G$110&lt;&gt;"acoes")))*INDEX(Inputs!$K$5:$AJ$110,0,MATCH(P$2,Inputs!$K$4:$AJ$4,0)))+SUMPRODUCT((Inputs!$C$5:$C$110=$B61)*Inputs!$D$5:$D$110*(((Inputs!$G$5:$G$110="moeda")+(Inputs!$G$5:$G$110="acoes"))*Inputs!$B$1+((Inputs!$G$5:$G$110&lt;&gt;"moeda")*(Inputs!$G$5:$G$110&lt;&gt;"acoes")))*INDEX(Inputs!$K$5:$AJ$110,0,MATCH(P$2,Inputs!$K$4:$AJ$4,0)))+SUMPRODUCT((Inputs!$E$5:$E$110=$B61)*Inputs!$F$5:$F$110*(((Inputs!$G$5:$G$110="moeda")+(Inputs!$G$5:$G$110="acoes"))*Inputs!$B$1+((Inputs!$G$5:$G$110&lt;&gt;"moeda")*(Inputs!$G$5:$G$110&lt;&gt;"acoes")))*INDEX(Inputs!$K$5:$AJ$110,0,MATCH(P$2,Inputs!$K$4:$AJ$4,0)))))</f>
        <v>926</v>
      </c>
      <c r="Q61" s="263">
        <f>IF(ISNA(MATCH(Q$2,Inputs!$K$4:$AJ$4,0)),NA(),IF(SUMPRODUCT((Inputs!$A$5:$A$110=$B61)*ISNUMBER(INDEX(Inputs!$K$5:$AJ$110,0,MATCH(Q$2,Inputs!$K$4:$AJ$4,0))))+SUMPRODUCT((Inputs!$C$5:$C$110=$B61)*ISNUMBER(INDEX(Inputs!$K$5:$AJ$110,0,MATCH(Q$2,Inputs!$K$4:$AJ$4,0))))+SUMPRODUCT((Inputs!$E$5:$E$110=$B61)*ISNUMBER(INDEX(Inputs!$K$5:$AJ$110,0,MATCH(Q$2,Inputs!$K$4:$AJ$4,0))))=0,NA(),SUMPRODUCT((Inputs!$A$5:$A$110=$B61)*Inputs!$B$5:$B$110*(((Inputs!$G$5:$G$110="moeda")+(Inputs!$G$5:$G$110="acoes"))*Inputs!$B$1+((Inputs!$G$5:$G$110&lt;&gt;"moeda")*(Inputs!$G$5:$G$110&lt;&gt;"acoes")))*INDEX(Inputs!$K$5:$AJ$110,0,MATCH(Q$2,Inputs!$K$4:$AJ$4,0)))+SUMPRODUCT((Inputs!$C$5:$C$110=$B61)*Inputs!$D$5:$D$110*(((Inputs!$G$5:$G$110="moeda")+(Inputs!$G$5:$G$110="acoes"))*Inputs!$B$1+((Inputs!$G$5:$G$110&lt;&gt;"moeda")*(Inputs!$G$5:$G$110&lt;&gt;"acoes")))*INDEX(Inputs!$K$5:$AJ$110,0,MATCH(Q$2,Inputs!$K$4:$AJ$4,0)))+SUMPRODUCT((Inputs!$E$5:$E$110=$B61)*Inputs!$F$5:$F$110*(((Inputs!$G$5:$G$110="moeda")+(Inputs!$G$5:$G$110="acoes"))*Inputs!$B$1+((Inputs!$G$5:$G$110&lt;&gt;"moeda")*(Inputs!$G$5:$G$110&lt;&gt;"acoes")))*INDEX(Inputs!$K$5:$AJ$110,0,MATCH(Q$2,Inputs!$K$4:$AJ$4,0)))))</f>
        <v>2179</v>
      </c>
      <c r="R61" s="264">
        <f>SUM(N61:Q61)</f>
        <v>4860</v>
      </c>
      <c r="S61" s="263">
        <f>IF(ISNA(MATCH(S$2,Inputs!$K$4:$AJ$4,0)),NA(),IF(SUMPRODUCT((Inputs!$A$5:$A$110=$B61)*ISNUMBER(INDEX(Inputs!$K$5:$AJ$110,0,MATCH(S$2,Inputs!$K$4:$AJ$4,0))))+SUMPRODUCT((Inputs!$C$5:$C$110=$B61)*ISNUMBER(INDEX(Inputs!$K$5:$AJ$110,0,MATCH(S$2,Inputs!$K$4:$AJ$4,0))))+SUMPRODUCT((Inputs!$E$5:$E$110=$B61)*ISNUMBER(INDEX(Inputs!$K$5:$AJ$110,0,MATCH(S$2,Inputs!$K$4:$AJ$4,0))))=0,NA(),SUMPRODUCT((Inputs!$A$5:$A$110=$B61)*Inputs!$B$5:$B$110*(((Inputs!$G$5:$G$110="moeda")+(Inputs!$G$5:$G$110="acoes"))*Inputs!$B$1+((Inputs!$G$5:$G$110&lt;&gt;"moeda")*(Inputs!$G$5:$G$110&lt;&gt;"acoes")))*INDEX(Inputs!$K$5:$AJ$110,0,MATCH(S$2,Inputs!$K$4:$AJ$4,0)))+SUMPRODUCT((Inputs!$C$5:$C$110=$B61)*Inputs!$D$5:$D$110*(((Inputs!$G$5:$G$110="moeda")+(Inputs!$G$5:$G$110="acoes"))*Inputs!$B$1+((Inputs!$G$5:$G$110&lt;&gt;"moeda")*(Inputs!$G$5:$G$110&lt;&gt;"acoes")))*INDEX(Inputs!$K$5:$AJ$110,0,MATCH(S$2,Inputs!$K$4:$AJ$4,0)))+SUMPRODUCT((Inputs!$E$5:$E$110=$B61)*Inputs!$F$5:$F$110*(((Inputs!$G$5:$G$110="moeda")+(Inputs!$G$5:$G$110="acoes"))*Inputs!$B$1+((Inputs!$G$5:$G$110&lt;&gt;"moeda")*(Inputs!$G$5:$G$110&lt;&gt;"acoes")))*INDEX(Inputs!$K$5:$AJ$110,0,MATCH(S$2,Inputs!$K$4:$AJ$4,0)))))</f>
        <v>1859</v>
      </c>
      <c r="T61" s="263">
        <f>IF(ISNA(MATCH(T$2,Inputs!$K$4:$AJ$4,0)),NA(),IF(SUMPRODUCT((Inputs!$A$5:$A$110=$B61)*ISNUMBER(INDEX(Inputs!$K$5:$AJ$110,0,MATCH(T$2,Inputs!$K$4:$AJ$4,0))))+SUMPRODUCT((Inputs!$C$5:$C$110=$B61)*ISNUMBER(INDEX(Inputs!$K$5:$AJ$110,0,MATCH(T$2,Inputs!$K$4:$AJ$4,0))))+SUMPRODUCT((Inputs!$E$5:$E$110=$B61)*ISNUMBER(INDEX(Inputs!$K$5:$AJ$110,0,MATCH(T$2,Inputs!$K$4:$AJ$4,0))))=0,NA(),SUMPRODUCT((Inputs!$A$5:$A$110=$B61)*Inputs!$B$5:$B$110*(((Inputs!$G$5:$G$110="moeda")+(Inputs!$G$5:$G$110="acoes"))*Inputs!$B$1+((Inputs!$G$5:$G$110&lt;&gt;"moeda")*(Inputs!$G$5:$G$110&lt;&gt;"acoes")))*INDEX(Inputs!$K$5:$AJ$110,0,MATCH(T$2,Inputs!$K$4:$AJ$4,0)))+SUMPRODUCT((Inputs!$C$5:$C$110=$B61)*Inputs!$D$5:$D$110*(((Inputs!$G$5:$G$110="moeda")+(Inputs!$G$5:$G$110="acoes"))*Inputs!$B$1+((Inputs!$G$5:$G$110&lt;&gt;"moeda")*(Inputs!$G$5:$G$110&lt;&gt;"acoes")))*INDEX(Inputs!$K$5:$AJ$110,0,MATCH(T$2,Inputs!$K$4:$AJ$4,0)))+SUMPRODUCT((Inputs!$E$5:$E$110=$B61)*Inputs!$F$5:$F$110*(((Inputs!$G$5:$G$110="moeda")+(Inputs!$G$5:$G$110="acoes"))*Inputs!$B$1+((Inputs!$G$5:$G$110&lt;&gt;"moeda")*(Inputs!$G$5:$G$110&lt;&gt;"acoes")))*INDEX(Inputs!$K$5:$AJ$110,0,MATCH(T$2,Inputs!$K$4:$AJ$4,0)))))</f>
        <v>2040</v>
      </c>
      <c r="U61" s="263">
        <f>IF(ISNA(MATCH(U$2,Inputs!$K$4:$AJ$4,0)),NA(),IF(SUMPRODUCT((Inputs!$A$5:$A$110=$B61)*ISNUMBER(INDEX(Inputs!$K$5:$AJ$110,0,MATCH(U$2,Inputs!$K$4:$AJ$4,0))))+SUMPRODUCT((Inputs!$C$5:$C$110=$B61)*ISNUMBER(INDEX(Inputs!$K$5:$AJ$110,0,MATCH(U$2,Inputs!$K$4:$AJ$4,0))))+SUMPRODUCT((Inputs!$E$5:$E$110=$B61)*ISNUMBER(INDEX(Inputs!$K$5:$AJ$110,0,MATCH(U$2,Inputs!$K$4:$AJ$4,0))))=0,NA(),SUMPRODUCT((Inputs!$A$5:$A$110=$B61)*Inputs!$B$5:$B$110*(((Inputs!$G$5:$G$110="moeda")+(Inputs!$G$5:$G$110="acoes"))*Inputs!$B$1+((Inputs!$G$5:$G$110&lt;&gt;"moeda")*(Inputs!$G$5:$G$110&lt;&gt;"acoes")))*INDEX(Inputs!$K$5:$AJ$110,0,MATCH(U$2,Inputs!$K$4:$AJ$4,0)))+SUMPRODUCT((Inputs!$C$5:$C$110=$B61)*Inputs!$D$5:$D$110*(((Inputs!$G$5:$G$110="moeda")+(Inputs!$G$5:$G$110="acoes"))*Inputs!$B$1+((Inputs!$G$5:$G$110&lt;&gt;"moeda")*(Inputs!$G$5:$G$110&lt;&gt;"acoes")))*INDEX(Inputs!$K$5:$AJ$110,0,MATCH(U$2,Inputs!$K$4:$AJ$4,0)))+SUMPRODUCT((Inputs!$E$5:$E$110=$B61)*Inputs!$F$5:$F$110*(((Inputs!$G$5:$G$110="moeda")+(Inputs!$G$5:$G$110="acoes"))*Inputs!$B$1+((Inputs!$G$5:$G$110&lt;&gt;"moeda")*(Inputs!$G$5:$G$110&lt;&gt;"acoes")))*INDEX(Inputs!$K$5:$AJ$110,0,MATCH(U$2,Inputs!$K$4:$AJ$4,0)))))</f>
        <v>2104</v>
      </c>
      <c r="V61" s="263">
        <f>IF(ISNA(MATCH(V$2,Inputs!$K$4:$AJ$4,0)),NA(),IF(SUMPRODUCT((Inputs!$A$5:$A$110=$B61)*ISNUMBER(INDEX(Inputs!$K$5:$AJ$110,0,MATCH(V$2,Inputs!$K$4:$AJ$4,0))))+SUMPRODUCT((Inputs!$C$5:$C$110=$B61)*ISNUMBER(INDEX(Inputs!$K$5:$AJ$110,0,MATCH(V$2,Inputs!$K$4:$AJ$4,0))))+SUMPRODUCT((Inputs!$E$5:$E$110=$B61)*ISNUMBER(INDEX(Inputs!$K$5:$AJ$110,0,MATCH(V$2,Inputs!$K$4:$AJ$4,0))))=0,NA(),SUMPRODUCT((Inputs!$A$5:$A$110=$B61)*Inputs!$B$5:$B$110*(((Inputs!$G$5:$G$110="moeda")+(Inputs!$G$5:$G$110="acoes"))*Inputs!$B$1+((Inputs!$G$5:$G$110&lt;&gt;"moeda")*(Inputs!$G$5:$G$110&lt;&gt;"acoes")))*INDEX(Inputs!$K$5:$AJ$110,0,MATCH(V$2,Inputs!$K$4:$AJ$4,0)))+SUMPRODUCT((Inputs!$C$5:$C$110=$B61)*Inputs!$D$5:$D$110*(((Inputs!$G$5:$G$110="moeda")+(Inputs!$G$5:$G$110="acoes"))*Inputs!$B$1+((Inputs!$G$5:$G$110&lt;&gt;"moeda")*(Inputs!$G$5:$G$110&lt;&gt;"acoes")))*INDEX(Inputs!$K$5:$AJ$110,0,MATCH(V$2,Inputs!$K$4:$AJ$4,0)))+SUMPRODUCT((Inputs!$E$5:$E$110=$B61)*Inputs!$F$5:$F$110*(((Inputs!$G$5:$G$110="moeda")+(Inputs!$G$5:$G$110="acoes"))*Inputs!$B$1+((Inputs!$G$5:$G$110&lt;&gt;"moeda")*(Inputs!$G$5:$G$110&lt;&gt;"acoes")))*INDEX(Inputs!$K$5:$AJ$110,0,MATCH(V$2,Inputs!$K$4:$AJ$4,0)))))</f>
        <v>2252</v>
      </c>
      <c r="W61" s="264">
        <f>SUM(S61:V61)</f>
        <v>8255</v>
      </c>
      <c r="X61" s="263">
        <f>IF(ISNA(MATCH(X$2,Inputs!$K$4:$AJ$4,0)),NA(),IF(SUMPRODUCT((Inputs!$A$5:$A$110=$B61)*ISNUMBER(INDEX(Inputs!$K$5:$AJ$110,0,MATCH(X$2,Inputs!$K$4:$AJ$4,0))))+SUMPRODUCT((Inputs!$C$5:$C$110=$B61)*ISNUMBER(INDEX(Inputs!$K$5:$AJ$110,0,MATCH(X$2,Inputs!$K$4:$AJ$4,0))))+SUMPRODUCT((Inputs!$E$5:$E$110=$B61)*ISNUMBER(INDEX(Inputs!$K$5:$AJ$110,0,MATCH(X$2,Inputs!$K$4:$AJ$4,0))))=0,NA(),SUMPRODUCT((Inputs!$A$5:$A$110=$B61)*Inputs!$B$5:$B$110*(((Inputs!$G$5:$G$110="moeda")+(Inputs!$G$5:$G$110="acoes"))*Inputs!$B$1+((Inputs!$G$5:$G$110&lt;&gt;"moeda")*(Inputs!$G$5:$G$110&lt;&gt;"acoes")))*INDEX(Inputs!$K$5:$AJ$110,0,MATCH(X$2,Inputs!$K$4:$AJ$4,0)))+SUMPRODUCT((Inputs!$C$5:$C$110=$B61)*Inputs!$D$5:$D$110*(((Inputs!$G$5:$G$110="moeda")+(Inputs!$G$5:$G$110="acoes"))*Inputs!$B$1+((Inputs!$G$5:$G$110&lt;&gt;"moeda")*(Inputs!$G$5:$G$110&lt;&gt;"acoes")))*INDEX(Inputs!$K$5:$AJ$110,0,MATCH(X$2,Inputs!$K$4:$AJ$4,0)))+SUMPRODUCT((Inputs!$E$5:$E$110=$B61)*Inputs!$F$5:$F$110*(((Inputs!$G$5:$G$110="moeda")+(Inputs!$G$5:$G$110="acoes"))*Inputs!$B$1+((Inputs!$G$5:$G$110&lt;&gt;"moeda")*(Inputs!$G$5:$G$110&lt;&gt;"acoes")))*INDEX(Inputs!$K$5:$AJ$110,0,MATCH(X$2,Inputs!$K$4:$AJ$4,0)))))</f>
        <v>2198</v>
      </c>
      <c r="Y61" s="263">
        <f>IF(ISNA(MATCH(Y$2,Inputs!$K$4:$AJ$4,0)),NA(),IF(SUMPRODUCT((Inputs!$A$5:$A$110=$B61)*ISNUMBER(INDEX(Inputs!$K$5:$AJ$110,0,MATCH(Y$2,Inputs!$K$4:$AJ$4,0))))+SUMPRODUCT((Inputs!$C$5:$C$110=$B61)*ISNUMBER(INDEX(Inputs!$K$5:$AJ$110,0,MATCH(Y$2,Inputs!$K$4:$AJ$4,0))))+SUMPRODUCT((Inputs!$E$5:$E$110=$B61)*ISNUMBER(INDEX(Inputs!$K$5:$AJ$110,0,MATCH(Y$2,Inputs!$K$4:$AJ$4,0))))=0,NA(),SUMPRODUCT((Inputs!$A$5:$A$110=$B61)*Inputs!$B$5:$B$110*(((Inputs!$G$5:$G$110="moeda")+(Inputs!$G$5:$G$110="acoes"))*Inputs!$B$1+((Inputs!$G$5:$G$110&lt;&gt;"moeda")*(Inputs!$G$5:$G$110&lt;&gt;"acoes")))*INDEX(Inputs!$K$5:$AJ$110,0,MATCH(Y$2,Inputs!$K$4:$AJ$4,0)))+SUMPRODUCT((Inputs!$C$5:$C$110=$B61)*Inputs!$D$5:$D$110*(((Inputs!$G$5:$G$110="moeda")+(Inputs!$G$5:$G$110="acoes"))*Inputs!$B$1+((Inputs!$G$5:$G$110&lt;&gt;"moeda")*(Inputs!$G$5:$G$110&lt;&gt;"acoes")))*INDEX(Inputs!$K$5:$AJ$110,0,MATCH(Y$2,Inputs!$K$4:$AJ$4,0)))+SUMPRODUCT((Inputs!$E$5:$E$110=$B61)*Inputs!$F$5:$F$110*(((Inputs!$G$5:$G$110="moeda")+(Inputs!$G$5:$G$110="acoes"))*Inputs!$B$1+((Inputs!$G$5:$G$110&lt;&gt;"moeda")*(Inputs!$G$5:$G$110&lt;&gt;"acoes")))*INDEX(Inputs!$K$5:$AJ$110,0,MATCH(Y$2,Inputs!$K$4:$AJ$4,0)))))</f>
        <v>2268</v>
      </c>
      <c r="Z61" s="263">
        <f>IF(ISNA(MATCH(Z$2,Inputs!$K$4:$AJ$4,0)),NA(),IF(SUMPRODUCT((Inputs!$A$5:$A$110=$B61)*ISNUMBER(INDEX(Inputs!$K$5:$AJ$110,0,MATCH(Z$2,Inputs!$K$4:$AJ$4,0))))+SUMPRODUCT((Inputs!$C$5:$C$110=$B61)*ISNUMBER(INDEX(Inputs!$K$5:$AJ$110,0,MATCH(Z$2,Inputs!$K$4:$AJ$4,0))))+SUMPRODUCT((Inputs!$E$5:$E$110=$B61)*ISNUMBER(INDEX(Inputs!$K$5:$AJ$110,0,MATCH(Z$2,Inputs!$K$4:$AJ$4,0))))=0,NA(),SUMPRODUCT((Inputs!$A$5:$A$110=$B61)*Inputs!$B$5:$B$110*(((Inputs!$G$5:$G$110="moeda")+(Inputs!$G$5:$G$110="acoes"))*Inputs!$B$1+((Inputs!$G$5:$G$110&lt;&gt;"moeda")*(Inputs!$G$5:$G$110&lt;&gt;"acoes")))*INDEX(Inputs!$K$5:$AJ$110,0,MATCH(Z$2,Inputs!$K$4:$AJ$4,0)))+SUMPRODUCT((Inputs!$C$5:$C$110=$B61)*Inputs!$D$5:$D$110*(((Inputs!$G$5:$G$110="moeda")+(Inputs!$G$5:$G$110="acoes"))*Inputs!$B$1+((Inputs!$G$5:$G$110&lt;&gt;"moeda")*(Inputs!$G$5:$G$110&lt;&gt;"acoes")))*INDEX(Inputs!$K$5:$AJ$110,0,MATCH(Z$2,Inputs!$K$4:$AJ$4,0)))+SUMPRODUCT((Inputs!$E$5:$E$110=$B61)*Inputs!$F$5:$F$110*(((Inputs!$G$5:$G$110="moeda")+(Inputs!$G$5:$G$110="acoes"))*Inputs!$B$1+((Inputs!$G$5:$G$110&lt;&gt;"moeda")*(Inputs!$G$5:$G$110&lt;&gt;"acoes")))*INDEX(Inputs!$K$5:$AJ$110,0,MATCH(Z$2,Inputs!$K$4:$AJ$4,0)))))</f>
        <v>2334</v>
      </c>
      <c r="AA61" s="263">
        <f>IF(ISNA(MATCH(AA$2,Inputs!$K$4:$AJ$4,0)),NA(),IF(SUMPRODUCT((Inputs!$A$5:$A$110=$B61)*ISNUMBER(INDEX(Inputs!$K$5:$AJ$110,0,MATCH(AA$2,Inputs!$K$4:$AJ$4,0))))+SUMPRODUCT((Inputs!$C$5:$C$110=$B61)*ISNUMBER(INDEX(Inputs!$K$5:$AJ$110,0,MATCH(AA$2,Inputs!$K$4:$AJ$4,0))))+SUMPRODUCT((Inputs!$E$5:$E$110=$B61)*ISNUMBER(INDEX(Inputs!$K$5:$AJ$110,0,MATCH(AA$2,Inputs!$K$4:$AJ$4,0))))=0,NA(),SUMPRODUCT((Inputs!$A$5:$A$110=$B61)*Inputs!$B$5:$B$110*(((Inputs!$G$5:$G$110="moeda")+(Inputs!$G$5:$G$110="acoes"))*Inputs!$B$1+((Inputs!$G$5:$G$110&lt;&gt;"moeda")*(Inputs!$G$5:$G$110&lt;&gt;"acoes")))*INDEX(Inputs!$K$5:$AJ$110,0,MATCH(AA$2,Inputs!$K$4:$AJ$4,0)))+SUMPRODUCT((Inputs!$C$5:$C$110=$B61)*Inputs!$D$5:$D$110*(((Inputs!$G$5:$G$110="moeda")+(Inputs!$G$5:$G$110="acoes"))*Inputs!$B$1+((Inputs!$G$5:$G$110&lt;&gt;"moeda")*(Inputs!$G$5:$G$110&lt;&gt;"acoes")))*INDEX(Inputs!$K$5:$AJ$110,0,MATCH(AA$2,Inputs!$K$4:$AJ$4,0)))+SUMPRODUCT((Inputs!$E$5:$E$110=$B61)*Inputs!$F$5:$F$110*(((Inputs!$G$5:$G$110="moeda")+(Inputs!$G$5:$G$110="acoes"))*Inputs!$B$1+((Inputs!$G$5:$G$110&lt;&gt;"moeda")*(Inputs!$G$5:$G$110&lt;&gt;"acoes")))*INDEX(Inputs!$K$5:$AJ$110,0,MATCH(AA$2,Inputs!$K$4:$AJ$4,0)))))</f>
        <v>2615</v>
      </c>
      <c r="AB61" s="264">
        <f>SUM(X61:AA61)</f>
        <v>9415</v>
      </c>
      <c r="AC61" s="263">
        <f>IF(ISNA(MATCH(AC$2,Inputs!$K$4:$AJ$4,0)),NA(),IF(SUMPRODUCT((Inputs!$A$5:$A$110=$B61)*ISNUMBER(INDEX(Inputs!$K$5:$AJ$110,0,MATCH(AC$2,Inputs!$K$4:$AJ$4,0))))+SUMPRODUCT((Inputs!$C$5:$C$110=$B61)*ISNUMBER(INDEX(Inputs!$K$5:$AJ$110,0,MATCH(AC$2,Inputs!$K$4:$AJ$4,0))))+SUMPRODUCT((Inputs!$E$5:$E$110=$B61)*ISNUMBER(INDEX(Inputs!$K$5:$AJ$110,0,MATCH(AC$2,Inputs!$K$4:$AJ$4,0))))=0,NA(),SUMPRODUCT((Inputs!$A$5:$A$110=$B61)*Inputs!$B$5:$B$110*(((Inputs!$G$5:$G$110="moeda")+(Inputs!$G$5:$G$110="acoes"))*Inputs!$B$1+((Inputs!$G$5:$G$110&lt;&gt;"moeda")*(Inputs!$G$5:$G$110&lt;&gt;"acoes")))*INDEX(Inputs!$K$5:$AJ$110,0,MATCH(AC$2,Inputs!$K$4:$AJ$4,0)))+SUMPRODUCT((Inputs!$C$5:$C$110=$B61)*Inputs!$D$5:$D$110*(((Inputs!$G$5:$G$110="moeda")+(Inputs!$G$5:$G$110="acoes"))*Inputs!$B$1+((Inputs!$G$5:$G$110&lt;&gt;"moeda")*(Inputs!$G$5:$G$110&lt;&gt;"acoes")))*INDEX(Inputs!$K$5:$AJ$110,0,MATCH(AC$2,Inputs!$K$4:$AJ$4,0)))+SUMPRODUCT((Inputs!$E$5:$E$110=$B61)*Inputs!$F$5:$F$110*(((Inputs!$G$5:$G$110="moeda")+(Inputs!$G$5:$G$110="acoes"))*Inputs!$B$1+((Inputs!$G$5:$G$110&lt;&gt;"moeda")*(Inputs!$G$5:$G$110&lt;&gt;"acoes")))*INDEX(Inputs!$K$5:$AJ$110,0,MATCH(AC$2,Inputs!$K$4:$AJ$4,0)))))</f>
        <v>2450</v>
      </c>
      <c r="AD61" s="263">
        <f>IF(ISNA(MATCH(AD$2,Inputs!$K$4:$AJ$4,0)),NA(),IF(SUMPRODUCT((Inputs!$A$5:$A$110=$B61)*ISNUMBER(INDEX(Inputs!$K$5:$AJ$110,0,MATCH(AD$2,Inputs!$K$4:$AJ$4,0))))+SUMPRODUCT((Inputs!$C$5:$C$110=$B61)*ISNUMBER(INDEX(Inputs!$K$5:$AJ$110,0,MATCH(AD$2,Inputs!$K$4:$AJ$4,0))))+SUMPRODUCT((Inputs!$E$5:$E$110=$B61)*ISNUMBER(INDEX(Inputs!$K$5:$AJ$110,0,MATCH(AD$2,Inputs!$K$4:$AJ$4,0))))=0,NA(),SUMPRODUCT((Inputs!$A$5:$A$110=$B61)*Inputs!$B$5:$B$110*(((Inputs!$G$5:$G$110="moeda")+(Inputs!$G$5:$G$110="acoes"))*Inputs!$B$1+((Inputs!$G$5:$G$110&lt;&gt;"moeda")*(Inputs!$G$5:$G$110&lt;&gt;"acoes")))*INDEX(Inputs!$K$5:$AJ$110,0,MATCH(AD$2,Inputs!$K$4:$AJ$4,0)))+SUMPRODUCT((Inputs!$C$5:$C$110=$B61)*Inputs!$D$5:$D$110*(((Inputs!$G$5:$G$110="moeda")+(Inputs!$G$5:$G$110="acoes"))*Inputs!$B$1+((Inputs!$G$5:$G$110&lt;&gt;"moeda")*(Inputs!$G$5:$G$110&lt;&gt;"acoes")))*INDEX(Inputs!$K$5:$AJ$110,0,MATCH(AD$2,Inputs!$K$4:$AJ$4,0)))+SUMPRODUCT((Inputs!$E$5:$E$110=$B61)*Inputs!$F$5:$F$110*(((Inputs!$G$5:$G$110="moeda")+(Inputs!$G$5:$G$110="acoes"))*Inputs!$B$1+((Inputs!$G$5:$G$110&lt;&gt;"moeda")*(Inputs!$G$5:$G$110&lt;&gt;"acoes")))*INDEX(Inputs!$K$5:$AJ$110,0,MATCH(AD$2,Inputs!$K$4:$AJ$4,0)))))</f>
        <v>3134</v>
      </c>
      <c r="AE61" s="263" t="e">
        <f>IF(ISNA(MATCH(AE$2,Inputs!$K$4:$AJ$4,0)),NA(),IF(SUMPRODUCT((Inputs!$A$5:$A$110=$B61)*ISNUMBER(INDEX(Inputs!$K$5:$AJ$110,0,MATCH(AE$2,Inputs!$K$4:$AJ$4,0))))+SUMPRODUCT((Inputs!$C$5:$C$110=$B61)*ISNUMBER(INDEX(Inputs!$K$5:$AJ$110,0,MATCH(AE$2,Inputs!$K$4:$AJ$4,0))))+SUMPRODUCT((Inputs!$E$5:$E$110=$B61)*ISNUMBER(INDEX(Inputs!$K$5:$AJ$110,0,MATCH(AE$2,Inputs!$K$4:$AJ$4,0))))=0,NA(),SUMPRODUCT((Inputs!$A$5:$A$110=$B61)*Inputs!$B$5:$B$110*(((Inputs!$G$5:$G$110="moeda")+(Inputs!$G$5:$G$110="acoes"))*Inputs!$B$1+((Inputs!$G$5:$G$110&lt;&gt;"moeda")*(Inputs!$G$5:$G$110&lt;&gt;"acoes")))*INDEX(Inputs!$K$5:$AJ$110,0,MATCH(AE$2,Inputs!$K$4:$AJ$4,0)))+SUMPRODUCT((Inputs!$C$5:$C$110=$B61)*Inputs!$D$5:$D$110*(((Inputs!$G$5:$G$110="moeda")+(Inputs!$G$5:$G$110="acoes"))*Inputs!$B$1+((Inputs!$G$5:$G$110&lt;&gt;"moeda")*(Inputs!$G$5:$G$110&lt;&gt;"acoes")))*INDEX(Inputs!$K$5:$AJ$110,0,MATCH(AE$2,Inputs!$K$4:$AJ$4,0)))+SUMPRODUCT((Inputs!$E$5:$E$110=$B61)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61" s="263" t="e">
        <f>IF(ISNA(MATCH(AF$2,Inputs!$K$4:$AJ$4,0)),NA(),IF(SUMPRODUCT((Inputs!$A$5:$A$110=$B61)*ISNUMBER(INDEX(Inputs!$K$5:$AJ$110,0,MATCH(AF$2,Inputs!$K$4:$AJ$4,0))))+SUMPRODUCT((Inputs!$C$5:$C$110=$B61)*ISNUMBER(INDEX(Inputs!$K$5:$AJ$110,0,MATCH(AF$2,Inputs!$K$4:$AJ$4,0))))+SUMPRODUCT((Inputs!$E$5:$E$110=$B61)*ISNUMBER(INDEX(Inputs!$K$5:$AJ$110,0,MATCH(AF$2,Inputs!$K$4:$AJ$4,0))))=0,NA(),SUMPRODUCT((Inputs!$A$5:$A$110=$B61)*Inputs!$B$5:$B$110*(((Inputs!$G$5:$G$110="moeda")+(Inputs!$G$5:$G$110="acoes"))*Inputs!$B$1+((Inputs!$G$5:$G$110&lt;&gt;"moeda")*(Inputs!$G$5:$G$110&lt;&gt;"acoes")))*INDEX(Inputs!$K$5:$AJ$110,0,MATCH(AF$2,Inputs!$K$4:$AJ$4,0)))+SUMPRODUCT((Inputs!$C$5:$C$110=$B61)*Inputs!$D$5:$D$110*(((Inputs!$G$5:$G$110="moeda")+(Inputs!$G$5:$G$110="acoes"))*Inputs!$B$1+((Inputs!$G$5:$G$110&lt;&gt;"moeda")*(Inputs!$G$5:$G$110&lt;&gt;"acoes")))*INDEX(Inputs!$K$5:$AJ$110,0,MATCH(AF$2,Inputs!$K$4:$AJ$4,0)))+SUMPRODUCT((Inputs!$E$5:$E$110=$B61)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61" s="264" t="e">
        <f>SUM(AC61:AF61)</f>
        <v>#N/A</v>
      </c>
      <c r="AH61" s="263">
        <f>IF(ISNA(MATCH(AH$2,Inputs!$K$4:$AJ$4,0)),NA(),IF(SUMPRODUCT((Inputs!$A$5:$A$110=$B61)*ISNUMBER(INDEX(Inputs!$K$5:$AJ$110,0,MATCH(AH$2,Inputs!$K$4:$AJ$4,0))))+SUMPRODUCT((Inputs!$C$5:$C$110=$B61)*ISNUMBER(INDEX(Inputs!$K$5:$AJ$110,0,MATCH(AH$2,Inputs!$K$4:$AJ$4,0))))+SUMPRODUCT((Inputs!$E$5:$E$110=$B61)*ISNUMBER(INDEX(Inputs!$K$5:$AJ$110,0,MATCH(AH$2,Inputs!$K$4:$AJ$4,0))))=0,NA(),SUMPRODUCT((Inputs!$A$5:$A$110=$B61)*Inputs!$B$5:$B$110*(((Inputs!$G$5:$G$110="moeda")+(Inputs!$G$5:$G$110="acoes"))*Inputs!$B$1+((Inputs!$G$5:$G$110&lt;&gt;"moeda")*(Inputs!$G$5:$G$110&lt;&gt;"acoes")))*INDEX(Inputs!$K$5:$AJ$110,0,MATCH(AH$2,Inputs!$K$4:$AJ$4,0)))+SUMPRODUCT((Inputs!$C$5:$C$110=$B61)*Inputs!$D$5:$D$110*(((Inputs!$G$5:$G$110="moeda")+(Inputs!$G$5:$G$110="acoes"))*Inputs!$B$1+((Inputs!$G$5:$G$110&lt;&gt;"moeda")*(Inputs!$G$5:$G$110&lt;&gt;"acoes")))*INDEX(Inputs!$K$5:$AJ$110,0,MATCH(AH$2,Inputs!$K$4:$AJ$4,0)))+SUMPRODUCT((Inputs!$E$5:$E$110=$B61)*Inputs!$F$5:$F$110*(((Inputs!$G$5:$G$110="moeda")+(Inputs!$G$5:$G$110="acoes"))*Inputs!$B$1+((Inputs!$G$5:$G$110&lt;&gt;"moeda")*(Inputs!$G$5:$G$110&lt;&gt;"acoes")))*INDEX(Inputs!$K$5:$AJ$110,0,MATCH(AH$2,Inputs!$K$4:$AJ$4,0)))))</f>
        <v>676</v>
      </c>
      <c r="AI61" s="263">
        <f>IF(ISNA(MATCH(AI$2,Inputs!$K$4:$AJ$4,0)),NA(),IF(SUMPRODUCT((Inputs!$A$5:$A$110=$B61)*ISNUMBER(INDEX(Inputs!$K$5:$AJ$110,0,MATCH(AI$2,Inputs!$K$4:$AJ$4,0))))+SUMPRODUCT((Inputs!$C$5:$C$110=$B61)*ISNUMBER(INDEX(Inputs!$K$5:$AJ$110,0,MATCH(AI$2,Inputs!$K$4:$AJ$4,0))))+SUMPRODUCT((Inputs!$E$5:$E$110=$B61)*ISNUMBER(INDEX(Inputs!$K$5:$AJ$110,0,MATCH(AI$2,Inputs!$K$4:$AJ$4,0))))=0,NA(),SUMPRODUCT((Inputs!$A$5:$A$110=$B61)*Inputs!$B$5:$B$110*(((Inputs!$G$5:$G$110="moeda")+(Inputs!$G$5:$G$110="acoes"))*Inputs!$B$1+((Inputs!$G$5:$G$110&lt;&gt;"moeda")*(Inputs!$G$5:$G$110&lt;&gt;"acoes")))*INDEX(Inputs!$K$5:$AJ$110,0,MATCH(AI$2,Inputs!$K$4:$AJ$4,0)))+SUMPRODUCT((Inputs!$C$5:$C$110=$B61)*Inputs!$D$5:$D$110*(((Inputs!$G$5:$G$110="moeda")+(Inputs!$G$5:$G$110="acoes"))*Inputs!$B$1+((Inputs!$G$5:$G$110&lt;&gt;"moeda")*(Inputs!$G$5:$G$110&lt;&gt;"acoes")))*INDEX(Inputs!$K$5:$AJ$110,0,MATCH(AI$2,Inputs!$K$4:$AJ$4,0)))+SUMPRODUCT((Inputs!$E$5:$E$110=$B61)*Inputs!$F$5:$F$110*(((Inputs!$G$5:$G$110="moeda")+(Inputs!$G$5:$G$110="acoes"))*Inputs!$B$1+((Inputs!$G$5:$G$110&lt;&gt;"moeda")*(Inputs!$G$5:$G$110&lt;&gt;"acoes")))*INDEX(Inputs!$K$5:$AJ$110,0,MATCH(AI$2,Inputs!$K$4:$AJ$4,0)))))</f>
        <v>669</v>
      </c>
      <c r="AJ61" s="263">
        <f>IF(ISNA(MATCH(AJ$2,Inputs!$K$4:$AJ$4,0)),NA(),IF(SUMPRODUCT((Inputs!$A$5:$A$110=$B61)*ISNUMBER(INDEX(Inputs!$K$5:$AJ$110,0,MATCH(AJ$2,Inputs!$K$4:$AJ$4,0))))+SUMPRODUCT((Inputs!$C$5:$C$110=$B61)*ISNUMBER(INDEX(Inputs!$K$5:$AJ$110,0,MATCH(AJ$2,Inputs!$K$4:$AJ$4,0))))+SUMPRODUCT((Inputs!$E$5:$E$110=$B61)*ISNUMBER(INDEX(Inputs!$K$5:$AJ$110,0,MATCH(AJ$2,Inputs!$K$4:$AJ$4,0))))=0,NA(),SUMPRODUCT((Inputs!$A$5:$A$110=$B61)*Inputs!$B$5:$B$110*(((Inputs!$G$5:$G$110="moeda")+(Inputs!$G$5:$G$110="acoes"))*Inputs!$B$1+((Inputs!$G$5:$G$110&lt;&gt;"moeda")*(Inputs!$G$5:$G$110&lt;&gt;"acoes")))*INDEX(Inputs!$K$5:$AJ$110,0,MATCH(AJ$2,Inputs!$K$4:$AJ$4,0)))+SUMPRODUCT((Inputs!$C$5:$C$110=$B61)*Inputs!$D$5:$D$110*(((Inputs!$G$5:$G$110="moeda")+(Inputs!$G$5:$G$110="acoes"))*Inputs!$B$1+((Inputs!$G$5:$G$110&lt;&gt;"moeda")*(Inputs!$G$5:$G$110&lt;&gt;"acoes")))*INDEX(Inputs!$K$5:$AJ$110,0,MATCH(AJ$2,Inputs!$K$4:$AJ$4,0)))+SUMPRODUCT((Inputs!$E$5:$E$110=$B61)*Inputs!$F$5:$F$110*(((Inputs!$G$5:$G$110="moeda")+(Inputs!$G$5:$G$110="acoes"))*Inputs!$B$1+((Inputs!$G$5:$G$110&lt;&gt;"moeda")*(Inputs!$G$5:$G$110&lt;&gt;"acoes")))*INDEX(Inputs!$K$5:$AJ$110,0,MATCH(AJ$2,Inputs!$K$4:$AJ$4,0)))))</f>
        <v>687</v>
      </c>
      <c r="AK61" s="263">
        <f>IF(ISNA(MATCH(AK$2,Inputs!$K$4:$AJ$4,0)),NA(),IF(SUMPRODUCT((Inputs!$A$5:$A$110=$B61)*ISNUMBER(INDEX(Inputs!$K$5:$AJ$110,0,MATCH(AK$2,Inputs!$K$4:$AJ$4,0))))+SUMPRODUCT((Inputs!$C$5:$C$110=$B61)*ISNUMBER(INDEX(Inputs!$K$5:$AJ$110,0,MATCH(AK$2,Inputs!$K$4:$AJ$4,0))))+SUMPRODUCT((Inputs!$E$5:$E$110=$B61)*ISNUMBER(INDEX(Inputs!$K$5:$AJ$110,0,MATCH(AK$2,Inputs!$K$4:$AJ$4,0))))=0,NA(),SUMPRODUCT((Inputs!$A$5:$A$110=$B61)*Inputs!$B$5:$B$110*(((Inputs!$G$5:$G$110="moeda")+(Inputs!$G$5:$G$110="acoes"))*Inputs!$B$1+((Inputs!$G$5:$G$110&lt;&gt;"moeda")*(Inputs!$G$5:$G$110&lt;&gt;"acoes")))*INDEX(Inputs!$K$5:$AJ$110,0,MATCH(AK$2,Inputs!$K$4:$AJ$4,0)))+SUMPRODUCT((Inputs!$C$5:$C$110=$B61)*Inputs!$D$5:$D$110*(((Inputs!$G$5:$G$110="moeda")+(Inputs!$G$5:$G$110="acoes"))*Inputs!$B$1+((Inputs!$G$5:$G$110&lt;&gt;"moeda")*(Inputs!$G$5:$G$110&lt;&gt;"acoes")))*INDEX(Inputs!$K$5:$AJ$110,0,MATCH(AK$2,Inputs!$K$4:$AJ$4,0)))+SUMPRODUCT((Inputs!$E$5:$E$110=$B61)*Inputs!$F$5:$F$110*(((Inputs!$G$5:$G$110="moeda")+(Inputs!$G$5:$G$110="acoes"))*Inputs!$B$1+((Inputs!$G$5:$G$110&lt;&gt;"moeda")*(Inputs!$G$5:$G$110&lt;&gt;"acoes")))*INDEX(Inputs!$K$5:$AJ$110,0,MATCH(AK$2,Inputs!$K$4:$AJ$4,0)))))</f>
        <v>750</v>
      </c>
      <c r="AL61" s="264">
        <f>SUM(AH61:AK61)</f>
        <v>2782</v>
      </c>
    </row>
  </sheetData>
  <pageMargins left="0.511811024" right="0.511811024" top="0.787401575" bottom="0.787401575" header="0.31496062" footer="0.31496062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C380"/>
  <sheetViews>
    <sheetView showGridLines="0" tabSelected="1" zoomScale="85" zoomScaleNormal="85" workbookViewId="0">
      <pane xSplit="3" ySplit="357" topLeftCell="D358" activePane="bottomRight" state="frozen"/>
      <selection pane="topRight" activeCell="A1" sqref="A1"/>
      <selection pane="bottomLeft" activeCell="A1" sqref="A1"/>
      <selection pane="bottomRight" activeCell="D1" sqref="D1"/>
      <selection pane="bottomLeft" activeCell="A10" sqref="A10"/>
      <selection pane="bottomRight" activeCell="D298" sqref="D298"/>
    </sheetView>
  </sheetViews>
  <sheetFormatPr baseColWidth="8" defaultRowHeight="12.75" outlineLevelRow="1"/>
  <cols>
    <col width="1.7109375" bestFit="1" customWidth="1" style="1" min="1" max="1"/>
    <col outlineLevel="1" width="7.85546875" customWidth="1" style="1" min="2" max="2"/>
    <col width="84.7109375" customWidth="1" style="4" min="3" max="3"/>
    <col outlineLevel="1" width="11.42578125" customWidth="1" style="4" min="4" max="7"/>
    <col width="11.42578125" bestFit="1" customWidth="1" style="4" min="8" max="8"/>
    <col outlineLevel="1" width="11.42578125" customWidth="1" style="4" min="9" max="12"/>
    <col width="11.42578125" bestFit="1" customWidth="1" style="4" min="13" max="13"/>
    <col outlineLevel="1" width="11.42578125" customWidth="1" style="4" min="14" max="17"/>
    <col width="11.42578125" bestFit="1" customWidth="1" style="4" min="18" max="18"/>
    <col outlineLevel="1" width="11.42578125" customWidth="1" style="4" min="19" max="22"/>
    <col width="11.42578125" bestFit="1" customWidth="1" style="4" min="23" max="23"/>
    <col outlineLevel="1" width="11.42578125" customWidth="1" style="4" min="24" max="24"/>
    <col outlineLevel="1" width="11.140625" customWidth="1" style="4" min="25" max="25"/>
    <col outlineLevel="1" width="11.42578125" customWidth="1" style="4" min="26" max="27"/>
    <col width="11.140625" bestFit="1" customWidth="1" style="4" min="28" max="28"/>
    <col outlineLevel="1" width="12.28515625" customWidth="1" style="4" min="29" max="29"/>
    <col outlineLevel="1" width="13.28515625" customWidth="1" style="4" min="30" max="30"/>
    <col outlineLevel="1" width="11" customWidth="1" style="4" min="31" max="31"/>
    <col outlineLevel="1" width="10.140625" customWidth="1" style="4" min="32" max="32"/>
    <col width="11" bestFit="1" customWidth="1" style="4" min="33" max="33"/>
    <col outlineLevel="1" width="10.140625" customWidth="1" style="4" min="34" max="34"/>
    <col outlineLevel="1" width="11.140625" customWidth="1" style="4" min="35" max="35"/>
    <col outlineLevel="1" width="10.140625" customWidth="1" style="4" min="36" max="37"/>
    <col width="10" bestFit="1" customWidth="1" style="4" min="38" max="38"/>
    <col outlineLevel="1" width="10.140625" customWidth="1" style="4" min="39" max="39"/>
    <col outlineLevel="1" width="11.140625" customWidth="1" style="4" min="40" max="40"/>
    <col outlineLevel="1" width="10.140625" customWidth="1" style="4" min="41" max="42"/>
    <col width="10" bestFit="1" customWidth="1" style="4" min="43" max="43"/>
    <col outlineLevel="1" width="10.140625" customWidth="1" style="4" min="44" max="44"/>
    <col outlineLevel="1" width="11.140625" customWidth="1" style="4" min="45" max="45"/>
    <col outlineLevel="1" width="10.140625" customWidth="1" style="4" min="46" max="47"/>
    <col width="10" bestFit="1" customWidth="1" style="4" min="48" max="48"/>
    <col outlineLevel="1" width="10.140625" customWidth="1" style="4" min="49" max="49"/>
    <col outlineLevel="1" width="11.140625" customWidth="1" style="4" min="50" max="50"/>
    <col outlineLevel="1" width="10.140625" customWidth="1" style="4" min="51" max="52"/>
    <col width="10" bestFit="1" customWidth="1" style="4" min="53" max="53"/>
    <col outlineLevel="1" width="10.140625" customWidth="1" style="4" min="54" max="54"/>
    <col outlineLevel="1" width="11.140625" customWidth="1" style="4" min="55" max="55"/>
    <col outlineLevel="1" width="10.140625" customWidth="1" style="4" min="56" max="57"/>
    <col width="10" bestFit="1" customWidth="1" style="4" min="58" max="58"/>
    <col outlineLevel="1" width="10.140625" customWidth="1" style="4" min="59" max="59"/>
    <col outlineLevel="1" width="11.140625" customWidth="1" style="4" min="60" max="60"/>
    <col outlineLevel="1" width="10.140625" customWidth="1" style="4" min="61" max="62"/>
    <col width="10" bestFit="1" customWidth="1" style="4" min="63" max="63"/>
    <col outlineLevel="1" width="10.140625" customWidth="1" style="4" min="64" max="64"/>
    <col outlineLevel="1" width="11.140625" customWidth="1" style="4" min="65" max="65"/>
    <col outlineLevel="1" width="10.140625" customWidth="1" style="4" min="66" max="67"/>
    <col width="10" bestFit="1" customWidth="1" style="4" min="68" max="68"/>
    <col outlineLevel="1" width="10.140625" customWidth="1" style="4" min="69" max="69"/>
    <col outlineLevel="1" width="11.140625" customWidth="1" style="4" min="70" max="70"/>
    <col outlineLevel="1" width="10.140625" customWidth="1" style="4" min="71" max="72"/>
    <col width="10" bestFit="1" customWidth="1" style="4" min="73" max="73"/>
    <col outlineLevel="1" width="10.140625" customWidth="1" style="4" min="74" max="74"/>
    <col outlineLevel="1" width="11.140625" customWidth="1" style="4" min="75" max="75"/>
    <col outlineLevel="1" width="10.140625" customWidth="1" style="4" min="76" max="77"/>
    <col width="10" bestFit="1" customWidth="1" style="4" min="78" max="78"/>
    <col outlineLevel="1" width="10.140625" customWidth="1" style="4" min="79" max="79"/>
    <col outlineLevel="1" width="11.140625" customWidth="1" style="4" min="80" max="80"/>
    <col outlineLevel="1" width="10.140625" customWidth="1" style="4" min="81" max="82"/>
    <col width="10" bestFit="1" customWidth="1" style="4" min="83" max="83"/>
    <col outlineLevel="1" width="10.140625" customWidth="1" style="4" min="84" max="84"/>
    <col outlineLevel="1" width="11.140625" customWidth="1" style="4" min="85" max="85"/>
    <col outlineLevel="1" width="10.140625" customWidth="1" style="4" min="86" max="87"/>
    <col width="10" bestFit="1" customWidth="1" style="4" min="88" max="88"/>
    <col outlineLevel="1" width="10.140625" customWidth="1" style="4" min="89" max="89"/>
    <col outlineLevel="1" width="11.140625" customWidth="1" style="4" min="90" max="90"/>
    <col outlineLevel="1" width="10.140625" customWidth="1" style="4" min="91" max="92"/>
    <col width="10" bestFit="1" customWidth="1" style="4" min="93" max="93"/>
    <col outlineLevel="1" width="10.140625" customWidth="1" style="4" min="94" max="94"/>
    <col outlineLevel="1" width="11.140625" customWidth="1" style="4" min="95" max="95"/>
    <col outlineLevel="1" width="10.140625" customWidth="1" style="4" min="96" max="97"/>
    <col width="10" bestFit="1" customWidth="1" style="4" min="98" max="98"/>
    <col outlineLevel="1" width="10.140625" customWidth="1" style="4" min="99" max="99"/>
    <col outlineLevel="1" width="11.140625" customWidth="1" style="4" min="100" max="100"/>
    <col outlineLevel="1" width="10.140625" customWidth="1" style="4" min="101" max="102"/>
    <col width="10" bestFit="1" customWidth="1" style="4" min="103" max="103"/>
    <col width="9.140625" customWidth="1" style="4" min="104" max="104"/>
    <col width="9.140625" customWidth="1" style="4" min="105" max="16384"/>
  </cols>
  <sheetData>
    <row r="1">
      <c r="A1" s="243" t="n"/>
      <c r="C1" s="2" t="inlineStr">
        <is>
          <t>CHECKS</t>
        </is>
      </c>
      <c r="D1" s="3">
        <f>SUM(D2,D3)</f>
        <v>0</v>
      </c>
      <c r="E1" s="3">
        <f>SUM(E2,E3)</f>
        <v>0</v>
      </c>
      <c r="F1" s="3">
        <f>SUM(F2,F3)</f>
        <v>0</v>
      </c>
      <c r="G1" s="3">
        <f>SUM(G2,G3)</f>
        <v>0</v>
      </c>
      <c r="H1" s="3">
        <f>SUM(H2,H3)</f>
        <v>0</v>
      </c>
      <c r="I1" s="3">
        <f>SUM(I2,I3)</f>
        <v>0</v>
      </c>
      <c r="J1" s="3">
        <f>SUM(J2,J3)</f>
        <v>0</v>
      </c>
      <c r="K1" s="3">
        <f>SUM(K2,K3)</f>
        <v>0</v>
      </c>
      <c r="L1" s="3">
        <f>SUM(L2,L3)</f>
        <v>0</v>
      </c>
      <c r="M1" s="3">
        <f>SUM(M2,M3)</f>
        <v>0</v>
      </c>
      <c r="N1" s="3">
        <f>SUM(N2,N3)</f>
        <v>0</v>
      </c>
      <c r="O1" s="3">
        <f>SUM(O2,O3)</f>
        <v>0</v>
      </c>
      <c r="P1" s="3">
        <f>SUM(P2,P3)</f>
        <v>0</v>
      </c>
      <c r="Q1" s="3">
        <f>SUM(Q2,Q3)</f>
        <v>0</v>
      </c>
      <c r="R1" s="3">
        <f>SUM(R2,R3)</f>
        <v>0</v>
      </c>
      <c r="S1" s="3">
        <f>SUM(S2,S3)</f>
        <v>0</v>
      </c>
      <c r="T1" s="3">
        <f>SUM(T2,T3)</f>
        <v>0</v>
      </c>
      <c r="U1" s="3">
        <f>SUM(U2,U3)</f>
        <v>0</v>
      </c>
      <c r="V1" s="3">
        <f>SUM(V2,V3)</f>
        <v>0</v>
      </c>
      <c r="W1" s="3">
        <f>SUM(W2,W3)</f>
        <v>0</v>
      </c>
      <c r="X1" s="3">
        <f>SUM(X2,X3)</f>
        <v>0</v>
      </c>
      <c r="Y1" s="3">
        <f>SUM(Y2,Y3)</f>
        <v>0</v>
      </c>
      <c r="Z1" s="3">
        <f>SUM(Z2,Z3)</f>
        <v>0</v>
      </c>
      <c r="AA1" s="3">
        <f>SUM(AA2,AA3)</f>
        <v>0</v>
      </c>
      <c r="AB1" s="3">
        <f>SUM(AB2,AB3)</f>
        <v>0</v>
      </c>
      <c r="AC1" s="3">
        <f>SUM(AC2,AC3)</f>
        <v>0</v>
      </c>
      <c r="AD1" s="3">
        <f>SUM(AD2,AD3)</f>
        <v>0</v>
      </c>
      <c r="AE1" s="3">
        <f>SUM(AE2,AE3)</f>
        <v>0</v>
      </c>
      <c r="AF1" s="3">
        <f>SUM(AF2,AF3)</f>
        <v>0</v>
      </c>
      <c r="AG1" s="3">
        <f>SUM(AG2,AG3)</f>
        <v>0</v>
      </c>
      <c r="AH1" s="3">
        <f>SUM(AH2,AH3)</f>
        <v>0</v>
      </c>
      <c r="AI1" s="3">
        <f>SUM(AI2,AI3)</f>
        <v>0</v>
      </c>
      <c r="AJ1" s="3">
        <f>SUM(AJ2,AJ3)</f>
        <v>0</v>
      </c>
      <c r="AK1" s="3">
        <f>SUM(AK2,AK3)</f>
        <v>0</v>
      </c>
      <c r="AL1" s="3">
        <f>SUM(AL2,AL3)</f>
        <v>0</v>
      </c>
      <c r="AM1" s="3" t="e">
        <f>SUM(AM2,AM3)</f>
        <v>#DIV/0!</v>
      </c>
      <c r="AN1" s="3" t="e">
        <f>SUM(AN2,AN3)</f>
        <v>#DIV/0!</v>
      </c>
      <c r="AO1" s="3" t="e">
        <f>SUM(AO2,AO3)</f>
        <v>#DIV/0!</v>
      </c>
      <c r="AP1" s="3" t="e">
        <f>SUM(AP2,AP3)</f>
        <v>#DIV/0!</v>
      </c>
      <c r="AQ1" s="3" t="e">
        <f>SUM(AQ2,AQ3)</f>
        <v>#DIV/0!</v>
      </c>
      <c r="AR1" s="3" t="e">
        <f>SUM(AR2,AR3)</f>
        <v>#DIV/0!</v>
      </c>
      <c r="AS1" s="3" t="e">
        <f>SUM(AS2,AS3)</f>
        <v>#DIV/0!</v>
      </c>
      <c r="AT1" s="3" t="e">
        <f>SUM(AT2,AT3)</f>
        <v>#DIV/0!</v>
      </c>
      <c r="AU1" s="3" t="e">
        <f>SUM(AU2,AU3)</f>
        <v>#DIV/0!</v>
      </c>
      <c r="AV1" s="3" t="e">
        <f>SUM(AV2,AV3)</f>
        <v>#DIV/0!</v>
      </c>
      <c r="AW1" s="3" t="e">
        <f>SUM(AW2,AW3)</f>
        <v>#DIV/0!</v>
      </c>
      <c r="AX1" s="3" t="e">
        <f>SUM(AX2,AX3)</f>
        <v>#DIV/0!</v>
      </c>
      <c r="AY1" s="3" t="e">
        <f>SUM(AY2,AY3)</f>
        <v>#DIV/0!</v>
      </c>
      <c r="AZ1" s="3" t="e">
        <f>SUM(AZ2,AZ3)</f>
        <v>#DIV/0!</v>
      </c>
      <c r="BA1" s="3" t="e">
        <f>SUM(BA2,BA3)</f>
        <v>#DIV/0!</v>
      </c>
      <c r="BB1" s="3" t="e">
        <f>SUM(BB2,BB3)</f>
        <v>#DIV/0!</v>
      </c>
      <c r="BC1" s="3" t="e">
        <f>SUM(BC2,BC3)</f>
        <v>#DIV/0!</v>
      </c>
      <c r="BD1" s="3" t="e">
        <f>SUM(BD2,BD3)</f>
        <v>#DIV/0!</v>
      </c>
      <c r="BE1" s="3" t="e">
        <f>SUM(BE2,BE3)</f>
        <v>#DIV/0!</v>
      </c>
      <c r="BF1" s="3" t="e">
        <f>SUM(BF2,BF3)</f>
        <v>#DIV/0!</v>
      </c>
      <c r="BG1" s="3" t="e">
        <f>SUM(BG2,BG3)</f>
        <v>#DIV/0!</v>
      </c>
      <c r="BH1" s="3" t="e">
        <f>SUM(BH2,BH3)</f>
        <v>#DIV/0!</v>
      </c>
      <c r="BI1" s="3" t="e">
        <f>SUM(BI2,BI3)</f>
        <v>#DIV/0!</v>
      </c>
      <c r="BJ1" s="3" t="e">
        <f>SUM(BJ2,BJ3)</f>
        <v>#DIV/0!</v>
      </c>
      <c r="BK1" s="3" t="e">
        <f>SUM(BK2,BK3)</f>
        <v>#DIV/0!</v>
      </c>
      <c r="BL1" s="3" t="e">
        <f>SUM(BL2,BL3)</f>
        <v>#DIV/0!</v>
      </c>
      <c r="BM1" s="3" t="e">
        <f>SUM(BM2,BM3)</f>
        <v>#DIV/0!</v>
      </c>
      <c r="BN1" s="3" t="e">
        <f>SUM(BN2,BN3)</f>
        <v>#DIV/0!</v>
      </c>
      <c r="BO1" s="3" t="e">
        <f>SUM(BO2,BO3)</f>
        <v>#DIV/0!</v>
      </c>
      <c r="BP1" s="3" t="e">
        <f>SUM(BP2,BP3)</f>
        <v>#DIV/0!</v>
      </c>
      <c r="BQ1" s="3" t="e">
        <f>SUM(BQ2,BQ3)</f>
        <v>#DIV/0!</v>
      </c>
      <c r="BR1" s="3" t="e">
        <f>SUM(BR2,BR3)</f>
        <v>#DIV/0!</v>
      </c>
      <c r="BS1" s="3" t="e">
        <f>SUM(BS2,BS3)</f>
        <v>#DIV/0!</v>
      </c>
      <c r="BT1" s="3" t="e">
        <f>SUM(BT2,BT3)</f>
        <v>#DIV/0!</v>
      </c>
      <c r="BU1" s="3" t="e">
        <f>SUM(BU2,BU3)</f>
        <v>#DIV/0!</v>
      </c>
      <c r="BV1" s="3" t="e">
        <f>SUM(BV2,BV3)</f>
        <v>#DIV/0!</v>
      </c>
      <c r="BW1" s="3" t="e">
        <f>SUM(BW2,BW3)</f>
        <v>#DIV/0!</v>
      </c>
      <c r="BX1" s="3" t="e">
        <f>SUM(BX2,BX3)</f>
        <v>#DIV/0!</v>
      </c>
      <c r="BY1" s="3" t="e">
        <f>SUM(BY2,BY3)</f>
        <v>#DIV/0!</v>
      </c>
      <c r="BZ1" s="3" t="e">
        <f>SUM(BZ2,BZ3)</f>
        <v>#DIV/0!</v>
      </c>
      <c r="CA1" s="3" t="e">
        <f>SUM(CA2,CA3)</f>
        <v>#DIV/0!</v>
      </c>
      <c r="CB1" s="3" t="e">
        <f>SUM(CB2,CB3)</f>
        <v>#DIV/0!</v>
      </c>
      <c r="CC1" s="3" t="e">
        <f>SUM(CC2,CC3)</f>
        <v>#DIV/0!</v>
      </c>
      <c r="CD1" s="3" t="e">
        <f>SUM(CD2,CD3)</f>
        <v>#DIV/0!</v>
      </c>
      <c r="CE1" s="3" t="e">
        <f>SUM(CE2,CE3)</f>
        <v>#DIV/0!</v>
      </c>
      <c r="CF1" s="3" t="e">
        <f>SUM(CF2,CF3)</f>
        <v>#DIV/0!</v>
      </c>
      <c r="CG1" s="3" t="e">
        <f>SUM(CG2,CG3)</f>
        <v>#DIV/0!</v>
      </c>
      <c r="CH1" s="3" t="e">
        <f>SUM(CH2,CH3)</f>
        <v>#DIV/0!</v>
      </c>
      <c r="CI1" s="3" t="e">
        <f>SUM(CI2,CI3)</f>
        <v>#DIV/0!</v>
      </c>
      <c r="CJ1" s="3" t="e">
        <f>SUM(CJ2,CJ3)</f>
        <v>#DIV/0!</v>
      </c>
      <c r="CK1" s="3" t="e">
        <f>SUM(CK2,CK3)</f>
        <v>#DIV/0!</v>
      </c>
      <c r="CL1" s="3" t="e">
        <f>SUM(CL2,CL3)</f>
        <v>#DIV/0!</v>
      </c>
      <c r="CM1" s="3" t="e">
        <f>SUM(CM2,CM3)</f>
        <v>#DIV/0!</v>
      </c>
      <c r="CN1" s="3" t="e">
        <f>SUM(CN2,CN3)</f>
        <v>#DIV/0!</v>
      </c>
      <c r="CO1" s="3" t="e">
        <f>SUM(CO2,CO3)</f>
        <v>#DIV/0!</v>
      </c>
      <c r="CP1" s="3" t="e">
        <f>SUM(CP2,CP3)</f>
        <v>#DIV/0!</v>
      </c>
      <c r="CQ1" s="3" t="e">
        <f>SUM(CQ2,CQ3)</f>
        <v>#DIV/0!</v>
      </c>
      <c r="CR1" s="3" t="e">
        <f>SUM(CR2,CR3)</f>
        <v>#DIV/0!</v>
      </c>
      <c r="CS1" s="3" t="e">
        <f>SUM(CS2,CS3)</f>
        <v>#DIV/0!</v>
      </c>
      <c r="CT1" s="3" t="e">
        <f>SUM(CT2,CT3)</f>
        <v>#DIV/0!</v>
      </c>
      <c r="CU1" s="3" t="e">
        <f>SUM(CU2,CU3)</f>
        <v>#DIV/0!</v>
      </c>
      <c r="CV1" s="3" t="e">
        <f>SUM(CV2,CV3)</f>
        <v>#DIV/0!</v>
      </c>
      <c r="CW1" s="3" t="e">
        <f>SUM(CW2,CW3)</f>
        <v>#DIV/0!</v>
      </c>
      <c r="CX1" s="3" t="e">
        <f>SUM(CX2,CX3)</f>
        <v>#DIV/0!</v>
      </c>
      <c r="CY1" s="3" t="e">
        <f>SUM(CY2,CY3)</f>
        <v>#DIV/0!</v>
      </c>
    </row>
    <row r="2" outlineLevel="1">
      <c r="C2" s="5" t="inlineStr">
        <is>
          <t>BS</t>
        </is>
      </c>
      <c r="D2" s="3">
        <f>ABS(D185-D261)</f>
        <v>0</v>
      </c>
      <c r="E2" s="3">
        <f>ABS(E185-E261)</f>
        <v>0</v>
      </c>
      <c r="F2" s="3">
        <f>ABS(F185-F261)</f>
        <v>0</v>
      </c>
      <c r="G2" s="3">
        <f>ABS(G185-G261)</f>
        <v>0</v>
      </c>
      <c r="H2" s="3">
        <f>ABS(H185-H261)</f>
        <v>0</v>
      </c>
      <c r="I2" s="3">
        <f>ABS(I185-I261)</f>
        <v>0</v>
      </c>
      <c r="J2" s="3">
        <f>ABS(J185-J261)</f>
        <v>0</v>
      </c>
      <c r="K2" s="3">
        <f>ABS(K185-K261)</f>
        <v>0</v>
      </c>
      <c r="L2" s="3">
        <f>ABS(L185-L261)</f>
        <v>0</v>
      </c>
      <c r="M2" s="3">
        <f>ABS(M185-M261)</f>
        <v>0</v>
      </c>
      <c r="N2" s="3">
        <f>ABS(N185-N261)</f>
        <v>0</v>
      </c>
      <c r="O2" s="3">
        <f>ABS(O185-O261)</f>
        <v>0</v>
      </c>
      <c r="P2" s="3">
        <f>ABS(P185-P261)</f>
        <v>0</v>
      </c>
      <c r="Q2" s="3">
        <f>ABS(Q185-Q261)</f>
        <v>0</v>
      </c>
      <c r="R2" s="3">
        <f>ABS(R185-R261)</f>
        <v>0</v>
      </c>
      <c r="S2" s="3">
        <f>ABS(S185-S261)</f>
        <v>0</v>
      </c>
      <c r="T2" s="3">
        <f>ABS(T185-T261)</f>
        <v>0</v>
      </c>
      <c r="U2" s="3">
        <f>ABS(U185-U261)</f>
        <v>0</v>
      </c>
      <c r="V2" s="3">
        <f>ABS(V185-V261)</f>
        <v>0</v>
      </c>
      <c r="W2" s="3">
        <f>ABS(W185-W261)</f>
        <v>0</v>
      </c>
      <c r="X2" s="3">
        <f>ABS(X185-X261)</f>
        <v>0</v>
      </c>
      <c r="Y2" s="3">
        <f>ABS(Y185-Y261)</f>
        <v>0</v>
      </c>
      <c r="Z2" s="3">
        <f>ABS(Z185-Z261)</f>
        <v>0</v>
      </c>
      <c r="AA2" s="3">
        <f>ABS(AA185-AA261)</f>
        <v>0</v>
      </c>
      <c r="AB2" s="3">
        <f>ABS(AB185-AB261)</f>
        <v>0</v>
      </c>
      <c r="AC2" s="3">
        <f>ABS(AC185-AC261)</f>
        <v>0</v>
      </c>
      <c r="AD2" s="3">
        <f>ABS(AD185-AD261)</f>
        <v>0</v>
      </c>
      <c r="AE2" s="3">
        <f>ABS(AE185-AE261)</f>
        <v>0</v>
      </c>
      <c r="AF2" s="3">
        <f>ABS(AF185-AF261)</f>
        <v>0</v>
      </c>
      <c r="AG2" s="3">
        <f>ABS(AG185-AG261)</f>
        <v>0</v>
      </c>
      <c r="AH2" s="3">
        <f>ABS(AH185-AH261)</f>
        <v>0</v>
      </c>
      <c r="AI2" s="3">
        <f>ABS(AI185-AI261)</f>
        <v>0</v>
      </c>
      <c r="AJ2" s="3">
        <f>ABS(AJ185-AJ261)</f>
        <v>0</v>
      </c>
      <c r="AK2" s="3">
        <f>ABS(AK185-AK261)</f>
        <v>0</v>
      </c>
      <c r="AL2" s="3">
        <f>ABS(AL185-AL261)</f>
        <v>0</v>
      </c>
      <c r="AM2" s="3" t="e">
        <f>ABS(AM185-AM261)</f>
        <v>#DIV/0!</v>
      </c>
      <c r="AN2" s="3" t="e">
        <f>ABS(AN185-AN261)</f>
        <v>#DIV/0!</v>
      </c>
      <c r="AO2" s="3" t="e">
        <f>ABS(AO185-AO261)</f>
        <v>#DIV/0!</v>
      </c>
      <c r="AP2" s="3" t="e">
        <f>ABS(AP185-AP261)</f>
        <v>#DIV/0!</v>
      </c>
      <c r="AQ2" s="3" t="e">
        <f>ABS(AQ185-AQ261)</f>
        <v>#DIV/0!</v>
      </c>
      <c r="AR2" s="3" t="e">
        <f>ABS(AR185-AR261)</f>
        <v>#DIV/0!</v>
      </c>
      <c r="AS2" s="3" t="e">
        <f>ABS(AS185-AS261)</f>
        <v>#DIV/0!</v>
      </c>
      <c r="AT2" s="3" t="e">
        <f>ABS(AT185-AT261)</f>
        <v>#DIV/0!</v>
      </c>
      <c r="AU2" s="3" t="e">
        <f>ABS(AU185-AU261)</f>
        <v>#DIV/0!</v>
      </c>
      <c r="AV2" s="3" t="e">
        <f>ABS(AV185-AV261)</f>
        <v>#DIV/0!</v>
      </c>
      <c r="AW2" s="3" t="e">
        <f>ABS(AW185-AW261)</f>
        <v>#DIV/0!</v>
      </c>
      <c r="AX2" s="3" t="e">
        <f>ABS(AX185-AX261)</f>
        <v>#DIV/0!</v>
      </c>
      <c r="AY2" s="3" t="e">
        <f>ABS(AY185-AY261)</f>
        <v>#DIV/0!</v>
      </c>
      <c r="AZ2" s="3" t="e">
        <f>ABS(AZ185-AZ261)</f>
        <v>#DIV/0!</v>
      </c>
      <c r="BA2" s="3" t="e">
        <f>ABS(BA185-BA261)</f>
        <v>#DIV/0!</v>
      </c>
      <c r="BB2" s="3" t="e">
        <f>ABS(BB185-BB261)</f>
        <v>#DIV/0!</v>
      </c>
      <c r="BC2" s="3" t="e">
        <f>ABS(BC185-BC261)</f>
        <v>#DIV/0!</v>
      </c>
      <c r="BD2" s="3" t="e">
        <f>ABS(BD185-BD261)</f>
        <v>#DIV/0!</v>
      </c>
      <c r="BE2" s="3" t="e">
        <f>ABS(BE185-BE261)</f>
        <v>#DIV/0!</v>
      </c>
      <c r="BF2" s="3" t="e">
        <f>ABS(BF185-BF261)</f>
        <v>#DIV/0!</v>
      </c>
      <c r="BG2" s="3" t="e">
        <f>ABS(BG185-BG261)</f>
        <v>#DIV/0!</v>
      </c>
      <c r="BH2" s="3" t="e">
        <f>ABS(BH185-BH261)</f>
        <v>#DIV/0!</v>
      </c>
      <c r="BI2" s="3" t="e">
        <f>ABS(BI185-BI261)</f>
        <v>#DIV/0!</v>
      </c>
      <c r="BJ2" s="3" t="e">
        <f>ABS(BJ185-BJ261)</f>
        <v>#DIV/0!</v>
      </c>
      <c r="BK2" s="3" t="e">
        <f>ABS(BK185-BK261)</f>
        <v>#DIV/0!</v>
      </c>
      <c r="BL2" s="3" t="e">
        <f>ABS(BL185-BL261)</f>
        <v>#DIV/0!</v>
      </c>
      <c r="BM2" s="3" t="e">
        <f>ABS(BM185-BM261)</f>
        <v>#DIV/0!</v>
      </c>
      <c r="BN2" s="3" t="e">
        <f>ABS(BN185-BN261)</f>
        <v>#DIV/0!</v>
      </c>
      <c r="BO2" s="3" t="e">
        <f>ABS(BO185-BO261)</f>
        <v>#DIV/0!</v>
      </c>
      <c r="BP2" s="3" t="e">
        <f>ABS(BP185-BP261)</f>
        <v>#DIV/0!</v>
      </c>
      <c r="BQ2" s="3" t="e">
        <f>ABS(BQ185-BQ261)</f>
        <v>#DIV/0!</v>
      </c>
      <c r="BR2" s="3" t="e">
        <f>ABS(BR185-BR261)</f>
        <v>#DIV/0!</v>
      </c>
      <c r="BS2" s="3" t="e">
        <f>ABS(BS185-BS261)</f>
        <v>#DIV/0!</v>
      </c>
      <c r="BT2" s="3" t="e">
        <f>ABS(BT185-BT261)</f>
        <v>#DIV/0!</v>
      </c>
      <c r="BU2" s="3" t="e">
        <f>ABS(BU185-BU261)</f>
        <v>#DIV/0!</v>
      </c>
      <c r="BV2" s="3" t="e">
        <f>ABS(BV185-BV261)</f>
        <v>#DIV/0!</v>
      </c>
      <c r="BW2" s="3" t="e">
        <f>ABS(BW185-BW261)</f>
        <v>#DIV/0!</v>
      </c>
      <c r="BX2" s="3" t="e">
        <f>ABS(BX185-BX261)</f>
        <v>#DIV/0!</v>
      </c>
      <c r="BY2" s="3" t="e">
        <f>ABS(BY185-BY261)</f>
        <v>#DIV/0!</v>
      </c>
      <c r="BZ2" s="3" t="e">
        <f>ABS(BZ185-BZ261)</f>
        <v>#DIV/0!</v>
      </c>
      <c r="CA2" s="3" t="e">
        <f>ABS(CA185-CA261)</f>
        <v>#DIV/0!</v>
      </c>
      <c r="CB2" s="3" t="e">
        <f>ABS(CB185-CB261)</f>
        <v>#DIV/0!</v>
      </c>
      <c r="CC2" s="3" t="e">
        <f>ABS(CC185-CC261)</f>
        <v>#DIV/0!</v>
      </c>
      <c r="CD2" s="3" t="e">
        <f>ABS(CD185-CD261)</f>
        <v>#DIV/0!</v>
      </c>
      <c r="CE2" s="3" t="e">
        <f>ABS(CE185-CE261)</f>
        <v>#DIV/0!</v>
      </c>
      <c r="CF2" s="3" t="e">
        <f>ABS(CF185-CF261)</f>
        <v>#DIV/0!</v>
      </c>
      <c r="CG2" s="3" t="e">
        <f>ABS(CG185-CG261)</f>
        <v>#DIV/0!</v>
      </c>
      <c r="CH2" s="3" t="e">
        <f>ABS(CH185-CH261)</f>
        <v>#DIV/0!</v>
      </c>
      <c r="CI2" s="3" t="e">
        <f>ABS(CI185-CI261)</f>
        <v>#DIV/0!</v>
      </c>
      <c r="CJ2" s="3" t="e">
        <f>ABS(CJ185-CJ261)</f>
        <v>#DIV/0!</v>
      </c>
      <c r="CK2" s="3" t="e">
        <f>ABS(CK185-CK261)</f>
        <v>#DIV/0!</v>
      </c>
      <c r="CL2" s="3" t="e">
        <f>ABS(CL185-CL261)</f>
        <v>#DIV/0!</v>
      </c>
      <c r="CM2" s="3" t="e">
        <f>ABS(CM185-CM261)</f>
        <v>#DIV/0!</v>
      </c>
      <c r="CN2" s="3" t="e">
        <f>ABS(CN185-CN261)</f>
        <v>#DIV/0!</v>
      </c>
      <c r="CO2" s="3" t="e">
        <f>ABS(CO185-CO261)</f>
        <v>#DIV/0!</v>
      </c>
      <c r="CP2" s="3" t="e">
        <f>ABS(CP185-CP261)</f>
        <v>#DIV/0!</v>
      </c>
      <c r="CQ2" s="3" t="e">
        <f>ABS(CQ185-CQ261)</f>
        <v>#DIV/0!</v>
      </c>
      <c r="CR2" s="3" t="e">
        <f>ABS(CR185-CR261)</f>
        <v>#DIV/0!</v>
      </c>
      <c r="CS2" s="3" t="e">
        <f>ABS(CS185-CS261)</f>
        <v>#DIV/0!</v>
      </c>
      <c r="CT2" s="3" t="e">
        <f>ABS(CT185-CT261)</f>
        <v>#DIV/0!</v>
      </c>
      <c r="CU2" s="3" t="e">
        <f>ABS(CU185-CU261)</f>
        <v>#DIV/0!</v>
      </c>
      <c r="CV2" s="3" t="e">
        <f>ABS(CV185-CV261)</f>
        <v>#DIV/0!</v>
      </c>
      <c r="CW2" s="3" t="e">
        <f>ABS(CW185-CW261)</f>
        <v>#DIV/0!</v>
      </c>
      <c r="CX2" s="3" t="e">
        <f>ABS(CX185-CX261)</f>
        <v>#DIV/0!</v>
      </c>
      <c r="CY2" s="3" t="e">
        <f>ABS(CY185-CY261)</f>
        <v>#DIV/0!</v>
      </c>
    </row>
    <row r="3" outlineLevel="1">
      <c r="C3" s="5" t="inlineStr">
        <is>
          <t>IS</t>
        </is>
      </c>
      <c r="D3" s="3">
        <f>IF(COUNT(D4)=0,"",ABS(D125-D4))</f>
        <v>0</v>
      </c>
      <c r="E3" s="3">
        <f>IF(COUNT(E4)=0,"",ABS(E125-E4))</f>
        <v>0</v>
      </c>
      <c r="F3" s="3">
        <f>IF(COUNT(F4)=0,"",ABS(F125-F4))</f>
        <v>0</v>
      </c>
      <c r="G3" s="3">
        <f>IF(COUNT(G4)=0,"",ABS(G125-G4))</f>
        <v>0</v>
      </c>
      <c r="H3" s="3">
        <f>IF(COUNT(H4)=0,"",ABS(H125-H4))</f>
        <v>0</v>
      </c>
      <c r="I3" s="3">
        <f>IF(COUNT(I4)=0,"",ABS(I125-I4))</f>
        <v>0</v>
      </c>
      <c r="J3" s="3">
        <f>IF(COUNT(J4)=0,"",ABS(J125-J4))</f>
        <v>0</v>
      </c>
      <c r="K3" s="3">
        <f>IF(COUNT(K4)=0,"",ABS(K125-K4))</f>
        <v>0</v>
      </c>
      <c r="L3" s="3">
        <f>IF(COUNT(L4)=0,"",ABS(L125-L4))</f>
        <v>0</v>
      </c>
      <c r="M3" s="3">
        <f>IF(COUNT(M4)=0,"",ABS(M125-M4))</f>
        <v>0</v>
      </c>
      <c r="N3" s="3">
        <f>IF(COUNT(N4)=0,"",ABS(N125-N4))</f>
        <v>0</v>
      </c>
      <c r="O3" s="3">
        <f>IF(COUNT(O4)=0,"",ABS(O125-O4))</f>
        <v>0</v>
      </c>
      <c r="P3" s="3">
        <f>IF(COUNT(P4)=0,"",ABS(P125-P4))</f>
        <v>0</v>
      </c>
      <c r="Q3" s="3">
        <f>IF(COUNT(Q4)=0,"",ABS(Q125-Q4))</f>
        <v>0</v>
      </c>
      <c r="R3" s="3">
        <f>IF(COUNT(R4)=0,"",ABS(R125-R4))</f>
        <v>0</v>
      </c>
      <c r="S3" s="3">
        <f>IF(COUNT(S4)=0,"",ABS(S125-S4))</f>
        <v>0</v>
      </c>
      <c r="T3" s="3">
        <f>IF(COUNT(T4)=0,"",ABS(T125-T4))</f>
        <v>0</v>
      </c>
      <c r="U3" s="3">
        <f>IF(COUNT(U4)=0,"",ABS(U125-U4))</f>
        <v>0</v>
      </c>
      <c r="V3" s="3">
        <f>IF(COUNT(V4)=0,"",ABS(V125-V4))</f>
        <v>0</v>
      </c>
      <c r="W3" s="3">
        <f>IF(COUNT(W4)=0,"",ABS(W125-W4))</f>
        <v>0</v>
      </c>
      <c r="X3" s="3">
        <f>IF(COUNT(X4)=0,"",ABS(X125-X4))</f>
        <v>0</v>
      </c>
      <c r="Y3" s="3">
        <f>IF(COUNT(Y4)=0,"",ABS(Y125-Y4))</f>
        <v>0</v>
      </c>
      <c r="Z3" s="3">
        <f>IF(COUNT(Z4)=0,"",ABS(Z125-Z4))</f>
        <v>0</v>
      </c>
      <c r="AA3" s="3">
        <f>IF(COUNT(AA4)=0,"",ABS(AA125-AA4))</f>
        <v>0</v>
      </c>
      <c r="AB3" s="3">
        <f>IF(COUNT(AB4)=0,"",ABS(AB125-AB4))</f>
        <v>0</v>
      </c>
      <c r="AC3" s="3">
        <f>IF(COUNT(AC4)=0,"",ABS(AC125-AC4))</f>
        <v>0</v>
      </c>
      <c r="AD3" s="3">
        <f>IF(COUNT(AD4)=0,"",ABS(AD125-AD4))</f>
        <v>0</v>
      </c>
      <c r="AE3" s="3">
        <f>IF(COUNT(AE4)=0,"",ABS(AE125-AE4))</f>
        <v>0</v>
      </c>
      <c r="AF3" s="3">
        <f>IF(COUNT(AF4)=0,"",ABS(AF125-AF4))</f>
        <v>0</v>
      </c>
      <c r="AG3" s="3">
        <f>IF(COUNT(AG4)=0,"",ABS(AG125-AG4))</f>
        <v>0</v>
      </c>
      <c r="AH3" s="3">
        <f>IF(COUNT(AH4)=0,"",ABS(AH125-AH4))</f>
        <v>0</v>
      </c>
      <c r="AI3" s="3">
        <f>IF(COUNT(AI4)=0,"",ABS(AI125-AI4))</f>
        <v>0</v>
      </c>
      <c r="AJ3" s="3" t="str">
        <f>IF(COUNT(AJ4)=0,"",ABS(AJ125-AJ4))</f>
        <v/>
      </c>
      <c r="AK3" s="3" t="str">
        <f>IF(COUNT(AK4)=0,"",ABS(AK125-AK4))</f>
        <v/>
      </c>
      <c r="AL3" s="3" t="str">
        <f>IF(COUNT(AL4)=0,"",ABS(AL125-AL4))</f>
        <v/>
      </c>
      <c r="AM3" s="3" t="str">
        <f>IF(COUNT(AM4)=0,"",ABS(AM125-AM4))</f>
        <v/>
      </c>
      <c r="AN3" s="3" t="str">
        <f>IF(COUNT(AN4)=0,"",ABS(AN125-AN4))</f>
        <v/>
      </c>
      <c r="AO3" s="3" t="str">
        <f>IF(COUNT(AO4)=0,"",ABS(AO125-AO4))</f>
        <v/>
      </c>
      <c r="AP3" s="3" t="str">
        <f>IF(COUNT(AP4)=0,"",ABS(AP125-AP4))</f>
        <v/>
      </c>
      <c r="AQ3" s="3" t="str">
        <f>IF(COUNT(AQ4)=0,"",ABS(AQ125-AQ4))</f>
        <v/>
      </c>
      <c r="AR3" s="3" t="str">
        <f>IF(COUNT(AR4)=0,"",ABS(AR125-AR4))</f>
        <v/>
      </c>
      <c r="AS3" s="3" t="str">
        <f>IF(COUNT(AS4)=0,"",ABS(AS125-AS4))</f>
        <v/>
      </c>
      <c r="AT3" s="3" t="str">
        <f>IF(COUNT(AT4)=0,"",ABS(AT125-AT4))</f>
        <v/>
      </c>
      <c r="AU3" s="3" t="str">
        <f>IF(COUNT(AU4)=0,"",ABS(AU125-AU4))</f>
        <v/>
      </c>
      <c r="AV3" s="3" t="str">
        <f>IF(COUNT(AV4)=0,"",ABS(AV125-AV4))</f>
        <v/>
      </c>
      <c r="AW3" s="3" t="str">
        <f>IF(COUNT(AW4)=0,"",ABS(AW125-AW4))</f>
        <v/>
      </c>
      <c r="AX3" s="3" t="str">
        <f>IF(COUNT(AX4)=0,"",ABS(AX125-AX4))</f>
        <v/>
      </c>
      <c r="AY3" s="3" t="str">
        <f>IF(COUNT(AY4)=0,"",ABS(AY125-AY4))</f>
        <v/>
      </c>
      <c r="AZ3" s="3" t="str">
        <f>IF(COUNT(AZ4)=0,"",ABS(AZ125-AZ4))</f>
        <v/>
      </c>
      <c r="BA3" s="3" t="str">
        <f>IF(COUNT(BA4)=0,"",ABS(BA125-BA4))</f>
        <v/>
      </c>
      <c r="BB3" s="3" t="str">
        <f>IF(COUNT(BB4)=0,"",ABS(BB125-BB4))</f>
        <v/>
      </c>
      <c r="BC3" s="3" t="str">
        <f>IF(COUNT(BC4)=0,"",ABS(BC125-BC4))</f>
        <v/>
      </c>
      <c r="BD3" s="3" t="str">
        <f>IF(COUNT(BD4)=0,"",ABS(BD125-BD4))</f>
        <v/>
      </c>
      <c r="BE3" s="3" t="str">
        <f>IF(COUNT(BE4)=0,"",ABS(BE125-BE4))</f>
        <v/>
      </c>
      <c r="BF3" s="3" t="str">
        <f>IF(COUNT(BF4)=0,"",ABS(BF125-BF4))</f>
        <v/>
      </c>
      <c r="BG3" s="3" t="str">
        <f>IF(COUNT(BG4)=0,"",ABS(BG125-BG4))</f>
        <v/>
      </c>
      <c r="BH3" s="3" t="str">
        <f>IF(COUNT(BH4)=0,"",ABS(BH125-BH4))</f>
        <v/>
      </c>
      <c r="BI3" s="3" t="str">
        <f>IF(COUNT(BI4)=0,"",ABS(BI125-BI4))</f>
        <v/>
      </c>
      <c r="BJ3" s="3" t="str">
        <f>IF(COUNT(BJ4)=0,"",ABS(BJ125-BJ4))</f>
        <v/>
      </c>
      <c r="BK3" s="3" t="str">
        <f>IF(COUNT(BK4)=0,"",ABS(BK125-BK4))</f>
        <v/>
      </c>
      <c r="BL3" s="3" t="str">
        <f>IF(COUNT(BL4)=0,"",ABS(BL125-BL4))</f>
        <v/>
      </c>
      <c r="BM3" s="3" t="str">
        <f>IF(COUNT(BM4)=0,"",ABS(BM125-BM4))</f>
        <v/>
      </c>
      <c r="BN3" s="3" t="str">
        <f>IF(COUNT(BN4)=0,"",ABS(BN125-BN4))</f>
        <v/>
      </c>
      <c r="BO3" s="3" t="str">
        <f>IF(COUNT(BO4)=0,"",ABS(BO125-BO4))</f>
        <v/>
      </c>
      <c r="BP3" s="3" t="str">
        <f>IF(COUNT(BP4)=0,"",ABS(BP125-BP4))</f>
        <v/>
      </c>
      <c r="BQ3" s="3" t="str">
        <f>IF(COUNT(BQ4)=0,"",ABS(BQ125-BQ4))</f>
        <v/>
      </c>
      <c r="BR3" s="3" t="str">
        <f>IF(COUNT(BR4)=0,"",ABS(BR125-BR4))</f>
        <v/>
      </c>
      <c r="BS3" s="3" t="str">
        <f>IF(COUNT(BS4)=0,"",ABS(BS125-BS4))</f>
        <v/>
      </c>
      <c r="BT3" s="3" t="str">
        <f>IF(COUNT(BT4)=0,"",ABS(BT125-BT4))</f>
        <v/>
      </c>
      <c r="BU3" s="3" t="str">
        <f>IF(COUNT(BU4)=0,"",ABS(BU125-BU4))</f>
        <v/>
      </c>
      <c r="BV3" s="3" t="str">
        <f>IF(COUNT(BV4)=0,"",ABS(BV125-BV4))</f>
        <v/>
      </c>
      <c r="BW3" s="3" t="str">
        <f>IF(COUNT(BW4)=0,"",ABS(BW125-BW4))</f>
        <v/>
      </c>
      <c r="BX3" s="3" t="str">
        <f>IF(COUNT(BX4)=0,"",ABS(BX125-BX4))</f>
        <v/>
      </c>
      <c r="BY3" s="3" t="str">
        <f>IF(COUNT(BY4)=0,"",ABS(BY125-BY4))</f>
        <v/>
      </c>
      <c r="BZ3" s="3" t="str">
        <f>IF(COUNT(BZ4)=0,"",ABS(BZ125-BZ4))</f>
        <v/>
      </c>
      <c r="CA3" s="3" t="str">
        <f>IF(COUNT(CA4)=0,"",ABS(CA125-CA4))</f>
        <v/>
      </c>
      <c r="CB3" s="3" t="str">
        <f>IF(COUNT(CB4)=0,"",ABS(CB125-CB4))</f>
        <v/>
      </c>
      <c r="CC3" s="3" t="str">
        <f>IF(COUNT(CC4)=0,"",ABS(CC125-CC4))</f>
        <v/>
      </c>
      <c r="CD3" s="3" t="str">
        <f>IF(COUNT(CD4)=0,"",ABS(CD125-CD4))</f>
        <v/>
      </c>
      <c r="CE3" s="3" t="str">
        <f>IF(COUNT(CE4)=0,"",ABS(CE125-CE4))</f>
        <v/>
      </c>
      <c r="CF3" s="3" t="str">
        <f>IF(COUNT(CF4)=0,"",ABS(CF125-CF4))</f>
        <v/>
      </c>
      <c r="CG3" s="3" t="str">
        <f>IF(COUNT(CG4)=0,"",ABS(CG125-CG4))</f>
        <v/>
      </c>
      <c r="CH3" s="3" t="str">
        <f>IF(COUNT(CH4)=0,"",ABS(CH125-CH4))</f>
        <v/>
      </c>
      <c r="CI3" s="3" t="str">
        <f>IF(COUNT(CI4)=0,"",ABS(CI125-CI4))</f>
        <v/>
      </c>
      <c r="CJ3" s="3" t="str">
        <f>IF(COUNT(CJ4)=0,"",ABS(CJ125-CJ4))</f>
        <v/>
      </c>
      <c r="CK3" s="3" t="str">
        <f>IF(COUNT(CK4)=0,"",ABS(CK125-CK4))</f>
        <v/>
      </c>
      <c r="CL3" s="3" t="str">
        <f>IF(COUNT(CL4)=0,"",ABS(CL125-CL4))</f>
        <v/>
      </c>
      <c r="CM3" s="3" t="str">
        <f>IF(COUNT(CM4)=0,"",ABS(CM125-CM4))</f>
        <v/>
      </c>
      <c r="CN3" s="3" t="str">
        <f>IF(COUNT(CN4)=0,"",ABS(CN125-CN4))</f>
        <v/>
      </c>
      <c r="CO3" s="3" t="str">
        <f>IF(COUNT(CO4)=0,"",ABS(CO125-CO4))</f>
        <v/>
      </c>
      <c r="CP3" s="3" t="str">
        <f>IF(COUNT(CP4)=0,"",ABS(CP125-CP4))</f>
        <v/>
      </c>
      <c r="CQ3" s="3" t="str">
        <f>IF(COUNT(CQ4)=0,"",ABS(CQ125-CQ4))</f>
        <v/>
      </c>
      <c r="CR3" s="3" t="str">
        <f>IF(COUNT(CR4)=0,"",ABS(CR125-CR4))</f>
        <v/>
      </c>
      <c r="CS3" s="3" t="str">
        <f>IF(COUNT(CS4)=0,"",ABS(CS125-CS4))</f>
        <v/>
      </c>
      <c r="CT3" s="3" t="str">
        <f>IF(COUNT(CT4)=0,"",ABS(CT125-CT4))</f>
        <v/>
      </c>
      <c r="CU3" s="3" t="str">
        <f>IF(COUNT(CU4)=0,"",ABS(CU125-CU4))</f>
        <v/>
      </c>
      <c r="CV3" s="3" t="str">
        <f>IF(COUNT(CV4)=0,"",ABS(CV125-CV4))</f>
        <v/>
      </c>
      <c r="CW3" s="3" t="str">
        <f>IF(COUNT(CW4)=0,"",ABS(CW125-CW4))</f>
        <v/>
      </c>
      <c r="CX3" s="3" t="str">
        <f>IF(COUNT(CX4)=0,"",ABS(CX125-CX4))</f>
        <v/>
      </c>
      <c r="CY3" s="3" t="str">
        <f>IF(COUNT(CY4)=0,"",ABS(CY125-CY4))</f>
        <v/>
      </c>
    </row>
    <row r="4" outlineLevel="1">
      <c r="C4" s="14" t="inlineStr">
        <is>
          <t>Net Income reportado (lucro liquido) - base do check IS</t>
        </is>
      </c>
      <c r="D4" s="16">
        <f>INDEX('Inputs (2)'!$D$50:$AL$50,MATCH(D$7,'Inputs (2)'!$D$2:$AL$2,0))</f>
        <v>488</v>
      </c>
      <c r="E4" s="16">
        <f>INDEX('Inputs (2)'!$D$50:$AL$50,MATCH(E$7,'Inputs (2)'!$D$2:$AL$2,0))</f>
        <v>614</v>
      </c>
      <c r="F4" s="16">
        <f>INDEX('Inputs (2)'!$D$50:$AL$50,MATCH(F$7,'Inputs (2)'!$D$2:$AL$2,0))</f>
        <v>1250</v>
      </c>
      <c r="G4" s="16">
        <f>INDEX('Inputs (2)'!$D$50:$AL$50,MATCH(G$7,'Inputs (2)'!$D$2:$AL$2,0))</f>
        <v>1304</v>
      </c>
      <c r="H4" s="16">
        <f>IF(COUNT(D4:G4)=4,SUM(D4:G4),"")</f>
        <v>3656</v>
      </c>
      <c r="I4" s="16">
        <f>INDEX('Inputs (2)'!$D$50:$AL$50,MATCH(I$7,'Inputs (2)'!$D$2:$AL$2,0))</f>
        <v>1417</v>
      </c>
      <c r="J4" s="16">
        <f>INDEX('Inputs (2)'!$D$50:$AL$50,MATCH(J$7,'Inputs (2)'!$D$2:$AL$2,0))</f>
        <v>1802</v>
      </c>
      <c r="K4" s="16">
        <f>INDEX('Inputs (2)'!$D$50:$AL$50,MATCH(K$7,'Inputs (2)'!$D$2:$AL$2,0))</f>
        <v>1914</v>
      </c>
      <c r="L4" s="16">
        <f>INDEX('Inputs (2)'!$D$50:$AL$50,MATCH(L$7,'Inputs (2)'!$D$2:$AL$2,0))</f>
        <v>2398</v>
      </c>
      <c r="M4" s="16">
        <f>IF(COUNT(I4:L4)=4,SUM(I4:L4),"")</f>
        <v>7531</v>
      </c>
      <c r="N4" s="16">
        <f>INDEX('Inputs (2)'!$D$50:$AL$50,MATCH(N$7,'Inputs (2)'!$D$2:$AL$2,0))</f>
        <v>2515</v>
      </c>
      <c r="O4" s="16">
        <f>INDEX('Inputs (2)'!$D$50:$AL$50,MATCH(O$7,'Inputs (2)'!$D$2:$AL$2,0))</f>
        <v>2999</v>
      </c>
      <c r="P4" s="16">
        <f>INDEX('Inputs (2)'!$D$50:$AL$50,MATCH(P$7,'Inputs (2)'!$D$2:$AL$2,0))</f>
        <v>3583</v>
      </c>
      <c r="Q4" s="16">
        <f>INDEX('Inputs (2)'!$D$50:$AL$50,MATCH(Q$7,'Inputs (2)'!$D$2:$AL$2,0))</f>
        <v>3774</v>
      </c>
      <c r="R4" s="16">
        <f>IF(COUNT(N4:Q4)=4,SUM(N4:Q4),"")</f>
        <v>12871</v>
      </c>
      <c r="S4" s="16">
        <f>INDEX('Inputs (2)'!$D$50:$AL$50,MATCH(S$7,'Inputs (2)'!$D$2:$AL$2,0))</f>
        <v>3481</v>
      </c>
      <c r="T4" s="16">
        <f>INDEX('Inputs (2)'!$D$50:$AL$50,MATCH(T$7,'Inputs (2)'!$D$2:$AL$2,0))</f>
        <v>3303</v>
      </c>
      <c r="U4" s="16">
        <f>INDEX('Inputs (2)'!$D$50:$AL$50,MATCH(U$7,'Inputs (2)'!$D$2:$AL$2,0))</f>
        <v>3524</v>
      </c>
      <c r="V4" s="16">
        <f>INDEX('Inputs (2)'!$D$50:$AL$50,MATCH(V$7,'Inputs (2)'!$D$2:$AL$2,0))</f>
        <v>1325</v>
      </c>
      <c r="W4" s="16">
        <f>IF(COUNT(S4:V4)=4,SUM(S4:V4),"")</f>
        <v>11633</v>
      </c>
      <c r="X4" s="16">
        <f>INDEX('Inputs (2)'!$D$50:$AL$50,MATCH(X$7,'Inputs (2)'!$D$2:$AL$2,0))</f>
        <v>2121</v>
      </c>
      <c r="Y4" s="16">
        <f>INDEX('Inputs (2)'!$D$50:$AL$50,MATCH(Y$7,'Inputs (2)'!$D$2:$AL$2,0))</f>
        <v>-1875</v>
      </c>
      <c r="Z4" s="16">
        <f>INDEX('Inputs (2)'!$D$50:$AL$50,MATCH(Z$7,'Inputs (2)'!$D$2:$AL$2,0))</f>
        <v>4324</v>
      </c>
      <c r="AA4" s="16">
        <f>INDEX('Inputs (2)'!$D$50:$AL$50,MATCH(AA$7,'Inputs (2)'!$D$2:$AL$2,0))</f>
        <v>5503</v>
      </c>
      <c r="AB4" s="16">
        <f>IF(COUNT(X4:AA4)=4,SUM(X4:AA4),"")</f>
        <v>10073</v>
      </c>
      <c r="AC4" s="16">
        <f>INDEX('Inputs (2)'!$D$50:$AL$50,MATCH(AC$7,'Inputs (2)'!$D$2:$AL$2,0))</f>
        <v>4965</v>
      </c>
      <c r="AD4" s="16">
        <f>INDEX('Inputs (2)'!$D$50:$AL$50,MATCH(AD$7,'Inputs (2)'!$D$2:$AL$2,0))</f>
        <v>4140</v>
      </c>
      <c r="AE4" s="16">
        <f>INDEX('Inputs (2)'!$D$50:$AL$50,MATCH(AE$7,'Inputs (2)'!$D$2:$AL$2,0))</f>
        <v>8518</v>
      </c>
      <c r="AF4" s="16">
        <f>INDEX('Inputs (2)'!$D$50:$AL$50,MATCH(AF$7,'Inputs (2)'!$D$2:$AL$2,0))</f>
        <v>7349</v>
      </c>
      <c r="AG4" s="16">
        <f>IF(COUNT(AC4:AF4)=4,SUM(AC4:AF4),"")</f>
        <v>24972</v>
      </c>
      <c r="AH4" s="6">
        <f>INDEX('Inputs (2)'!$D$50:$AL$50,MATCH(AH$7,'Inputs (2)'!$D$2:$AL$2,0))</f>
        <v>9310</v>
      </c>
      <c r="AI4" s="6">
        <f>INDEX('Inputs (2)'!$D$50:$AL$50,MATCH(AI$7,'Inputs (2)'!$D$2:$AL$2,0))</f>
        <v>13088</v>
      </c>
      <c r="AJ4" s="6" t="n"/>
      <c r="AK4" s="6" t="n"/>
      <c r="AL4" s="6" t="n"/>
      <c r="AM4" s="6" t="n"/>
      <c r="AN4" s="6" t="n"/>
      <c r="AO4" s="6" t="n"/>
      <c r="AP4" s="6" t="n"/>
      <c r="AQ4" s="6" t="n"/>
      <c r="AR4" s="6" t="n"/>
      <c r="AS4" s="6" t="n"/>
      <c r="AT4" s="6" t="n"/>
      <c r="AU4" s="6" t="n"/>
      <c r="AV4" s="6" t="n"/>
      <c r="AW4" s="6" t="n"/>
      <c r="AX4" s="6" t="n"/>
      <c r="AY4" s="6" t="n"/>
      <c r="AZ4" s="6" t="n"/>
      <c r="BA4" s="6" t="n"/>
      <c r="BB4" s="6" t="n"/>
      <c r="BC4" s="6" t="n"/>
      <c r="BD4" s="6" t="n"/>
      <c r="BE4" s="6" t="n"/>
      <c r="BF4" s="6" t="n"/>
      <c r="BG4" s="6" t="n"/>
      <c r="BH4" s="6" t="n"/>
      <c r="BI4" s="6" t="n"/>
      <c r="BJ4" s="6" t="n"/>
      <c r="BK4" s="6" t="n"/>
      <c r="BL4" s="6" t="n"/>
      <c r="BM4" s="6" t="n"/>
      <c r="BN4" s="6" t="n"/>
      <c r="BO4" s="6" t="n"/>
      <c r="BP4" s="6" t="n"/>
      <c r="BQ4" s="6" t="n"/>
      <c r="BR4" s="6" t="n"/>
      <c r="BS4" s="6" t="n"/>
      <c r="BT4" s="6" t="n"/>
      <c r="BU4" s="6" t="n"/>
      <c r="BV4" s="6" t="n"/>
      <c r="BW4" s="6" t="n"/>
      <c r="BX4" s="6" t="n"/>
      <c r="BY4" s="6" t="n"/>
      <c r="BZ4" s="6" t="n"/>
      <c r="CA4" s="6" t="n"/>
      <c r="CB4" s="6" t="n"/>
      <c r="CC4" s="6" t="n"/>
      <c r="CD4" s="6" t="n"/>
      <c r="CE4" s="6" t="n"/>
      <c r="CF4" s="6" t="n"/>
      <c r="CG4" s="6" t="n"/>
      <c r="CH4" s="6" t="n"/>
      <c r="CI4" s="6" t="n"/>
      <c r="CJ4" s="6" t="n"/>
      <c r="CK4" s="6" t="n"/>
      <c r="CL4" s="6" t="n"/>
      <c r="CM4" s="6" t="n"/>
      <c r="CN4" s="6" t="n"/>
      <c r="CO4" s="6" t="n"/>
      <c r="CP4" s="6" t="n"/>
      <c r="CQ4" s="6" t="n"/>
      <c r="CR4" s="6" t="n"/>
      <c r="CS4" s="6" t="n"/>
      <c r="CT4" s="6" t="n"/>
      <c r="CU4" s="6" t="n"/>
      <c r="CV4" s="6" t="n"/>
      <c r="CW4" s="6" t="n"/>
      <c r="CX4" s="6" t="n"/>
      <c r="CY4" s="6" t="n"/>
    </row>
    <row r="5">
      <c r="B5" s="7" t="n">
        <v>45930</v>
      </c>
      <c r="D5" s="9" t="n">
        <v>43921</v>
      </c>
      <c r="E5" s="10">
        <f>DATE(YEAR(D5),MONTH(D5)+3,DAY(D5)-1)</f>
        <v>44012.0</v>
      </c>
      <c r="F5" s="10">
        <f>DATE(YEAR(E5),MONTH(E5)+3,DAY(E5))</f>
        <v>44104.0</v>
      </c>
      <c r="G5" s="10">
        <f>DATE(YEAR(F5),MONTH(F5)+3,DAY(F5)+1)</f>
        <v>44196.0</v>
      </c>
      <c r="H5" s="8">
        <f>G5</f>
        <v>44196.0</v>
      </c>
      <c r="I5" s="9" t="n">
        <v>44286</v>
      </c>
      <c r="J5" s="10">
        <f>DATE(YEAR(I5),MONTH(I5)+3,DAY(I5)-1)</f>
        <v>44377.0</v>
      </c>
      <c r="K5" s="10">
        <f>DATE(YEAR(J5),MONTH(J5)+3,DAY(J5))</f>
        <v>44469.0</v>
      </c>
      <c r="L5" s="10">
        <f>DATE(YEAR(K5),MONTH(K5)+3,DAY(K5)+1)</f>
        <v>44561.0</v>
      </c>
      <c r="M5" s="8">
        <f>L5</f>
        <v>44561.0</v>
      </c>
      <c r="N5" s="10">
        <f>DATE(YEAR(M5),MONTH(M5)+3,DAY(M5))</f>
        <v>44651.0</v>
      </c>
      <c r="O5" s="10">
        <f>DATE(YEAR(N5),MONTH(N5)+3,DAY(N5)-1)</f>
        <v>44742.0</v>
      </c>
      <c r="P5" s="10">
        <f>DATE(YEAR(O5),MONTH(O5)+3,DAY(O5))</f>
        <v>44834.0</v>
      </c>
      <c r="Q5" s="10">
        <f>DATE(YEAR(P5),MONTH(P5)+3,DAY(P5)+1)</f>
        <v>44926.0</v>
      </c>
      <c r="R5" s="8">
        <f>Q5</f>
        <v>44926.0</v>
      </c>
      <c r="S5" s="10">
        <f>DATE(YEAR(R5),MONTH(R5)+3,DAY(R5))</f>
        <v>45016.0</v>
      </c>
      <c r="T5" s="10">
        <f>DATE(YEAR(S5),MONTH(S5)+3,DAY(S5))-1</f>
        <v>45107.0</v>
      </c>
      <c r="U5" s="10">
        <f>DATE(YEAR(T5),MONTH(T5)+3,DAY(T5))</f>
        <v>45199.0</v>
      </c>
      <c r="V5" s="10">
        <f>DATE(YEAR(U5),MONTH(U5)+3,DAY(U5))+1</f>
        <v>45291.0</v>
      </c>
      <c r="W5" s="8">
        <f>V5</f>
        <v>45291.0</v>
      </c>
      <c r="X5" s="10">
        <f>DATE(YEAR(W5),MONTH(W5)+3,DAY(W5))</f>
        <v>45382.0</v>
      </c>
      <c r="Y5" s="10">
        <f>DATE(YEAR(X5),MONTH(X5)+3,DAY(X5))-1</f>
        <v>45473.0</v>
      </c>
      <c r="Z5" s="10">
        <f>DATE(YEAR(Y5),MONTH(Y5)+3,DAY(Y5))</f>
        <v>45565.0</v>
      </c>
      <c r="AA5" s="10">
        <f>DATE(YEAR(Z5),MONTH(Z5)+3,DAY(Z5))+1</f>
        <v>45657.0</v>
      </c>
      <c r="AB5" s="8">
        <f>AA5</f>
        <v>45657.0</v>
      </c>
      <c r="AC5" s="10">
        <f>DATE(YEAR(AB5),MONTH(AB5)+3,DAY(AB5))</f>
        <v>45747.0</v>
      </c>
      <c r="AD5" s="10">
        <f>DATE(YEAR(AC5),MONTH(AC5)+3,DAY(AC5))-1</f>
        <v>45838.0</v>
      </c>
      <c r="AE5" s="10">
        <f>DATE(YEAR(AD5),MONTH(AD5)+3,DAY(AD5))</f>
        <v>45930.0</v>
      </c>
      <c r="AF5" s="10">
        <f>DATE(YEAR(AE5),MONTH(AE5)+3,DAY(AE5))+1</f>
        <v>46022.0</v>
      </c>
      <c r="AG5" s="8">
        <f>AF5</f>
        <v>46022.0</v>
      </c>
      <c r="AH5" s="10">
        <f>DATE(YEAR(AG5),MONTH(AG5)+3,DAY(AG5))</f>
        <v>46112.0</v>
      </c>
      <c r="AI5" s="10">
        <f>DATE(YEAR(AH5),MONTH(AH5)+3,DAY(AH5))-1</f>
        <v>46203.0</v>
      </c>
      <c r="AJ5" s="10">
        <f>DATE(YEAR(AI5),MONTH(AI5)+3,DAY(AI5))</f>
        <v>46295.0</v>
      </c>
      <c r="AK5" s="10">
        <f>DATE(YEAR(AJ5),MONTH(AJ5)+3,DAY(AJ5))+1</f>
        <v>46387.0</v>
      </c>
      <c r="AL5" s="8">
        <f>AK5</f>
        <v>46387.0</v>
      </c>
      <c r="AM5" s="10">
        <f>DATE(YEAR(AL5),MONTH(AL5)+3,DAY(AL5))</f>
        <v>46477.0</v>
      </c>
      <c r="AN5" s="10">
        <f>DATE(YEAR(AM5),MONTH(AM5)+3,DAY(AM5))-1</f>
        <v>46568.0</v>
      </c>
      <c r="AO5" s="10">
        <f>DATE(YEAR(AN5),MONTH(AN5)+3,DAY(AN5))</f>
        <v>46660.0</v>
      </c>
      <c r="AP5" s="10">
        <f>DATE(YEAR(AO5),MONTH(AO5)+3,DAY(AO5))+1</f>
        <v>46752.0</v>
      </c>
      <c r="AQ5" s="8">
        <f>AP5</f>
        <v>46752.0</v>
      </c>
      <c r="AR5" s="10">
        <f>DATE(YEAR(AQ5),MONTH(AQ5)+3,DAY(AQ5))</f>
        <v>46843.0</v>
      </c>
      <c r="AS5" s="10">
        <f>DATE(YEAR(AR5),MONTH(AR5)+3,DAY(AR5))-1</f>
        <v>46934.0</v>
      </c>
      <c r="AT5" s="10">
        <f>DATE(YEAR(AS5),MONTH(AS5)+3,DAY(AS5))</f>
        <v>47026.0</v>
      </c>
      <c r="AU5" s="10">
        <f>DATE(YEAR(AT5),MONTH(AT5)+3,DAY(AT5))+1</f>
        <v>47118.0</v>
      </c>
      <c r="AV5" s="8">
        <f>AU5</f>
        <v>47118.0</v>
      </c>
      <c r="AW5" s="10">
        <f>DATE(YEAR(AV5),MONTH(AV5)+3,DAY(AV5))</f>
        <v>47208.0</v>
      </c>
      <c r="AX5" s="10">
        <f>DATE(YEAR(AW5),MONTH(AW5)+3,DAY(AW5))-1</f>
        <v>47299.0</v>
      </c>
      <c r="AY5" s="10">
        <f>DATE(YEAR(AX5),MONTH(AX5)+3,DAY(AX5))</f>
        <v>47391.0</v>
      </c>
      <c r="AZ5" s="10">
        <f>DATE(YEAR(AY5),MONTH(AY5)+3,DAY(AY5))+1</f>
        <v>47483.0</v>
      </c>
      <c r="BA5" s="8">
        <f>AZ5</f>
        <v>47483.0</v>
      </c>
      <c r="BB5" s="10">
        <f>DATE(YEAR(BA5),MONTH(BA5)+3,DAY(BA5))</f>
        <v>47573.0</v>
      </c>
      <c r="BC5" s="10">
        <f>DATE(YEAR(BB5),MONTH(BB5)+3,DAY(BB5))-1</f>
        <v>47664.0</v>
      </c>
      <c r="BD5" s="10">
        <f>DATE(YEAR(BC5),MONTH(BC5)+3,DAY(BC5))</f>
        <v>47756.0</v>
      </c>
      <c r="BE5" s="10">
        <f>DATE(YEAR(BD5),MONTH(BD5)+3,DAY(BD5))+1</f>
        <v>47848.0</v>
      </c>
      <c r="BF5" s="8">
        <f>BE5</f>
        <v>47848.0</v>
      </c>
      <c r="BG5" s="10">
        <f>DATE(YEAR(BF5),MONTH(BF5)+3,DAY(BF5))</f>
        <v>47938.0</v>
      </c>
      <c r="BH5" s="10">
        <f>DATE(YEAR(BG5),MONTH(BG5)+3,DAY(BG5))-1</f>
        <v>48029.0</v>
      </c>
      <c r="BI5" s="10">
        <f>DATE(YEAR(BH5),MONTH(BH5)+3,DAY(BH5))</f>
        <v>48121.0</v>
      </c>
      <c r="BJ5" s="10">
        <f>DATE(YEAR(BI5),MONTH(BI5)+3,DAY(BI5))+1</f>
        <v>48213.0</v>
      </c>
      <c r="BK5" s="8">
        <f>BJ5</f>
        <v>48213.0</v>
      </c>
      <c r="BL5" s="10">
        <f>DATE(YEAR(BK5),MONTH(BK5)+3,DAY(BK5))</f>
        <v>48304.0</v>
      </c>
      <c r="BM5" s="10">
        <f>DATE(YEAR(BL5),MONTH(BL5)+3,DAY(BL5))-1</f>
        <v>48395.0</v>
      </c>
      <c r="BN5" s="10">
        <f>DATE(YEAR(BM5),MONTH(BM5)+3,DAY(BM5))</f>
        <v>48487.0</v>
      </c>
      <c r="BO5" s="10">
        <f>DATE(YEAR(BN5),MONTH(BN5)+3,DAY(BN5))+1</f>
        <v>48579.0</v>
      </c>
      <c r="BP5" s="8">
        <f>BO5</f>
        <v>48579.0</v>
      </c>
      <c r="BQ5" s="10">
        <f>DATE(YEAR(BP5),MONTH(BP5)+3,DAY(BP5))</f>
        <v>48669.0</v>
      </c>
      <c r="BR5" s="10">
        <f>DATE(YEAR(BQ5),MONTH(BQ5)+3,DAY(BQ5))-1</f>
        <v>48760.0</v>
      </c>
      <c r="BS5" s="10">
        <f>DATE(YEAR(BR5),MONTH(BR5)+3,DAY(BR5))</f>
        <v>48852.0</v>
      </c>
      <c r="BT5" s="10">
        <f>DATE(YEAR(BS5),MONTH(BS5)+3,DAY(BS5))+1</f>
        <v>48944.0</v>
      </c>
      <c r="BU5" s="8">
        <f>BT5</f>
        <v>48944.0</v>
      </c>
      <c r="BV5" s="10">
        <f>DATE(YEAR(BU5),MONTH(BU5)+3,DAY(BU5))</f>
        <v>49034.0</v>
      </c>
      <c r="BW5" s="10">
        <f>DATE(YEAR(BV5),MONTH(BV5)+3,DAY(BV5))-1</f>
        <v>49125.0</v>
      </c>
      <c r="BX5" s="10">
        <f>DATE(YEAR(BW5),MONTH(BW5)+3,DAY(BW5))</f>
        <v>49217.0</v>
      </c>
      <c r="BY5" s="10">
        <f>DATE(YEAR(BX5),MONTH(BX5)+3,DAY(BX5))+1</f>
        <v>49309.0</v>
      </c>
      <c r="BZ5" s="8">
        <f>BY5</f>
        <v>49309.0</v>
      </c>
      <c r="CA5" s="10">
        <f>DATE(YEAR(BZ5),MONTH(BZ5)+3,DAY(BZ5))</f>
        <v>49399.0</v>
      </c>
      <c r="CB5" s="10">
        <f>DATE(YEAR(CA5),MONTH(CA5)+3,DAY(CA5))-1</f>
        <v>49490.0</v>
      </c>
      <c r="CC5" s="10">
        <f>DATE(YEAR(CB5),MONTH(CB5)+3,DAY(CB5))</f>
        <v>49582.0</v>
      </c>
      <c r="CD5" s="10">
        <f>DATE(YEAR(CC5),MONTH(CC5)+3,DAY(CC5))+1</f>
        <v>49674.0</v>
      </c>
      <c r="CE5" s="8">
        <f>CD5</f>
        <v>49674.0</v>
      </c>
      <c r="CF5" s="10">
        <f>DATE(YEAR(CE5),MONTH(CE5)+3,DAY(CE5))</f>
        <v>49765.0</v>
      </c>
      <c r="CG5" s="10">
        <f>DATE(YEAR(CF5),MONTH(CF5)+3,DAY(CF5))-1</f>
        <v>49856.0</v>
      </c>
      <c r="CH5" s="10">
        <f>DATE(YEAR(CG5),MONTH(CG5)+3,DAY(CG5))</f>
        <v>49948.0</v>
      </c>
      <c r="CI5" s="10">
        <f>DATE(YEAR(CH5),MONTH(CH5)+3,DAY(CH5))+1</f>
        <v>50040.0</v>
      </c>
      <c r="CJ5" s="8">
        <f>CI5</f>
        <v>50040.0</v>
      </c>
      <c r="CK5" s="10">
        <f>DATE(YEAR(CJ5),MONTH(CJ5)+3,DAY(CJ5))</f>
        <v>50130.0</v>
      </c>
      <c r="CL5" s="10">
        <f>DATE(YEAR(CK5),MONTH(CK5)+3,DAY(CK5))-1</f>
        <v>50221.0</v>
      </c>
      <c r="CM5" s="10">
        <f>DATE(YEAR(CL5),MONTH(CL5)+3,DAY(CL5))</f>
        <v>50313.0</v>
      </c>
      <c r="CN5" s="10">
        <f>DATE(YEAR(CM5),MONTH(CM5)+3,DAY(CM5))+1</f>
        <v>50405.0</v>
      </c>
      <c r="CO5" s="8">
        <f>CN5</f>
        <v>50405.0</v>
      </c>
      <c r="CP5" s="10">
        <f>DATE(YEAR(CO5),MONTH(CO5)+3,DAY(CO5))</f>
        <v>50495.0</v>
      </c>
      <c r="CQ5" s="10">
        <f>DATE(YEAR(CP5),MONTH(CP5)+3,DAY(CP5))-1</f>
        <v>50586.0</v>
      </c>
      <c r="CR5" s="10">
        <f>DATE(YEAR(CQ5),MONTH(CQ5)+3,DAY(CQ5))</f>
        <v>50678.0</v>
      </c>
      <c r="CS5" s="10">
        <f>DATE(YEAR(CR5),MONTH(CR5)+3,DAY(CR5))+1</f>
        <v>50770.0</v>
      </c>
      <c r="CT5" s="8">
        <f>CS5</f>
        <v>50770.0</v>
      </c>
      <c r="CU5" s="10">
        <f>DATE(YEAR(CT5),MONTH(CT5)+3,DAY(CT5))</f>
        <v>50860.0</v>
      </c>
      <c r="CV5" s="10">
        <f>DATE(YEAR(CU5),MONTH(CU5)+3,DAY(CU5))-1</f>
        <v>50951.0</v>
      </c>
      <c r="CW5" s="10">
        <f>DATE(YEAR(CV5),MONTH(CV5)+3,DAY(CV5))</f>
        <v>51043.0</v>
      </c>
      <c r="CX5" s="10">
        <f>DATE(YEAR(CW5),MONTH(CW5)+3,DAY(CW5))+1</f>
        <v>51135.0</v>
      </c>
      <c r="CY5" s="8">
        <f>CX5</f>
        <v>51135.0</v>
      </c>
    </row>
    <row r="6">
      <c r="B6" s="49" t="n"/>
      <c r="D6" s="11">
        <f>YEAR(D5)</f>
        <v>2020</v>
      </c>
      <c r="E6" s="11">
        <f>YEAR(E5)</f>
        <v>2020</v>
      </c>
      <c r="F6" s="11">
        <f>YEAR(F5)</f>
        <v>2020</v>
      </c>
      <c r="G6" s="11">
        <f>YEAR(G5)</f>
        <v>2020</v>
      </c>
      <c r="H6" s="11">
        <f>YEAR(H5)</f>
        <v>2020</v>
      </c>
      <c r="I6" s="11">
        <f>YEAR(I5)</f>
        <v>2021</v>
      </c>
      <c r="J6" s="11">
        <f>YEAR(J5)</f>
        <v>2021</v>
      </c>
      <c r="K6" s="11">
        <f>YEAR(K5)</f>
        <v>2021</v>
      </c>
      <c r="L6" s="11">
        <f>YEAR(L5)</f>
        <v>2021</v>
      </c>
      <c r="M6" s="11">
        <f>YEAR(M5)</f>
        <v>2021</v>
      </c>
      <c r="N6" s="11">
        <f>YEAR(N5)</f>
        <v>2022</v>
      </c>
      <c r="O6" s="11">
        <f>YEAR(O5)</f>
        <v>2022</v>
      </c>
      <c r="P6" s="11">
        <f>YEAR(P5)</f>
        <v>2022</v>
      </c>
      <c r="Q6" s="11">
        <f>YEAR(Q5)</f>
        <v>2022</v>
      </c>
      <c r="R6" s="11">
        <f>YEAR(R5)</f>
        <v>2022</v>
      </c>
      <c r="S6" s="11">
        <f>YEAR(S5)</f>
        <v>2023</v>
      </c>
      <c r="T6" s="11">
        <f>YEAR(T5)</f>
        <v>2023</v>
      </c>
      <c r="U6" s="11">
        <f>YEAR(U5)</f>
        <v>2023</v>
      </c>
      <c r="V6" s="11">
        <f>YEAR(V5)</f>
        <v>2023</v>
      </c>
      <c r="W6" s="11">
        <f>YEAR(W5)</f>
        <v>2023</v>
      </c>
      <c r="X6" s="11">
        <f>YEAR(X5)</f>
        <v>2024</v>
      </c>
      <c r="Y6" s="11">
        <f>YEAR(Y5)</f>
        <v>2024</v>
      </c>
      <c r="Z6" s="11">
        <f>YEAR(Z5)</f>
        <v>2024</v>
      </c>
      <c r="AA6" s="11">
        <f>YEAR(AA5)</f>
        <v>2024</v>
      </c>
      <c r="AB6" s="11">
        <f>YEAR(AB5)</f>
        <v>2024</v>
      </c>
      <c r="AC6" s="11">
        <f>YEAR(AC5)</f>
        <v>2025</v>
      </c>
      <c r="AD6" s="11">
        <f>YEAR(AD5)</f>
        <v>2025</v>
      </c>
      <c r="AE6" s="11">
        <f>YEAR(AE5)</f>
        <v>2025</v>
      </c>
      <c r="AF6" s="11">
        <f>YEAR(AF5)</f>
        <v>2025</v>
      </c>
      <c r="AG6" s="11">
        <f>YEAR(AG5)</f>
        <v>2025</v>
      </c>
      <c r="AH6" s="11">
        <f>YEAR(AH5)</f>
        <v>2026</v>
      </c>
      <c r="AI6" s="11">
        <f>YEAR(AI5)</f>
        <v>2026</v>
      </c>
      <c r="AJ6" s="11">
        <f>YEAR(AJ5)</f>
        <v>2026</v>
      </c>
      <c r="AK6" s="11">
        <f>YEAR(AK5)</f>
        <v>2026</v>
      </c>
      <c r="AL6" s="11">
        <f>YEAR(AL5)</f>
        <v>2026</v>
      </c>
      <c r="AM6" s="11">
        <f>YEAR(AM5)</f>
        <v>2027</v>
      </c>
      <c r="AN6" s="11">
        <f>YEAR(AN5)</f>
        <v>2027</v>
      </c>
      <c r="AO6" s="11">
        <f>YEAR(AO5)</f>
        <v>2027</v>
      </c>
      <c r="AP6" s="11">
        <f>YEAR(AP5)</f>
        <v>2027</v>
      </c>
      <c r="AQ6" s="11">
        <f>YEAR(AQ5)</f>
        <v>2027</v>
      </c>
      <c r="AR6" s="11">
        <f>YEAR(AR5)</f>
        <v>2028</v>
      </c>
      <c r="AS6" s="11">
        <f>YEAR(AS5)</f>
        <v>2028</v>
      </c>
      <c r="AT6" s="11">
        <f>YEAR(AT5)</f>
        <v>2028</v>
      </c>
      <c r="AU6" s="11">
        <f>YEAR(AU5)</f>
        <v>2028</v>
      </c>
      <c r="AV6" s="11">
        <f>YEAR(AV5)</f>
        <v>2028</v>
      </c>
      <c r="AW6" s="11">
        <f>YEAR(AW5)</f>
        <v>2029</v>
      </c>
      <c r="AX6" s="11">
        <f>YEAR(AX5)</f>
        <v>2029</v>
      </c>
      <c r="AY6" s="11">
        <f>YEAR(AY5)</f>
        <v>2029</v>
      </c>
      <c r="AZ6" s="11">
        <f>YEAR(AZ5)</f>
        <v>2029</v>
      </c>
      <c r="BA6" s="11">
        <f>YEAR(BA5)</f>
        <v>2029</v>
      </c>
      <c r="BB6" s="11">
        <f>YEAR(BB5)</f>
        <v>2030</v>
      </c>
      <c r="BC6" s="11">
        <f>YEAR(BC5)</f>
        <v>2030</v>
      </c>
      <c r="BD6" s="11">
        <f>YEAR(BD5)</f>
        <v>2030</v>
      </c>
      <c r="BE6" s="11">
        <f>YEAR(BE5)</f>
        <v>2030</v>
      </c>
      <c r="BF6" s="11">
        <f>YEAR(BF5)</f>
        <v>2030</v>
      </c>
      <c r="BG6" s="11">
        <f>YEAR(BG5)</f>
        <v>2031</v>
      </c>
      <c r="BH6" s="11">
        <f>YEAR(BH5)</f>
        <v>2031</v>
      </c>
      <c r="BI6" s="11">
        <f>YEAR(BI5)</f>
        <v>2031</v>
      </c>
      <c r="BJ6" s="11">
        <f>YEAR(BJ5)</f>
        <v>2031</v>
      </c>
      <c r="BK6" s="11">
        <f>YEAR(BK5)</f>
        <v>2031</v>
      </c>
      <c r="BL6" s="11">
        <f>YEAR(BL5)</f>
        <v>2032</v>
      </c>
      <c r="BM6" s="11">
        <f>YEAR(BM5)</f>
        <v>2032</v>
      </c>
      <c r="BN6" s="11">
        <f>YEAR(BN5)</f>
        <v>2032</v>
      </c>
      <c r="BO6" s="11">
        <f>YEAR(BO5)</f>
        <v>2032</v>
      </c>
      <c r="BP6" s="11">
        <f>YEAR(BP5)</f>
        <v>2032</v>
      </c>
      <c r="BQ6" s="11">
        <f>YEAR(BQ5)</f>
        <v>2033</v>
      </c>
      <c r="BR6" s="11">
        <f>YEAR(BR5)</f>
        <v>2033</v>
      </c>
      <c r="BS6" s="11">
        <f>YEAR(BS5)</f>
        <v>2033</v>
      </c>
      <c r="BT6" s="11">
        <f>YEAR(BT5)</f>
        <v>2033</v>
      </c>
      <c r="BU6" s="11">
        <f>YEAR(BU5)</f>
        <v>2033</v>
      </c>
      <c r="BV6" s="11">
        <f>YEAR(BV5)</f>
        <v>2034</v>
      </c>
      <c r="BW6" s="11">
        <f>YEAR(BW5)</f>
        <v>2034</v>
      </c>
      <c r="BX6" s="11">
        <f>YEAR(BX5)</f>
        <v>2034</v>
      </c>
      <c r="BY6" s="11">
        <f>YEAR(BY5)</f>
        <v>2034</v>
      </c>
      <c r="BZ6" s="11">
        <f>YEAR(BZ5)</f>
        <v>2034</v>
      </c>
      <c r="CA6" s="11">
        <f>YEAR(CA5)</f>
        <v>2035</v>
      </c>
      <c r="CB6" s="11">
        <f>YEAR(CB5)</f>
        <v>2035</v>
      </c>
      <c r="CC6" s="11">
        <f>YEAR(CC5)</f>
        <v>2035</v>
      </c>
      <c r="CD6" s="11">
        <f>YEAR(CD5)</f>
        <v>2035</v>
      </c>
      <c r="CE6" s="11">
        <f>YEAR(CE5)</f>
        <v>2035</v>
      </c>
      <c r="CF6" s="11">
        <f>YEAR(CF5)</f>
        <v>2036</v>
      </c>
      <c r="CG6" s="11">
        <f>YEAR(CG5)</f>
        <v>2036</v>
      </c>
      <c r="CH6" s="11">
        <f>YEAR(CH5)</f>
        <v>2036</v>
      </c>
      <c r="CI6" s="11">
        <f>YEAR(CI5)</f>
        <v>2036</v>
      </c>
      <c r="CJ6" s="11">
        <f>YEAR(CJ5)</f>
        <v>2036</v>
      </c>
      <c r="CK6" s="11">
        <f>YEAR(CK5)</f>
        <v>2037</v>
      </c>
      <c r="CL6" s="11">
        <f>YEAR(CL5)</f>
        <v>2037</v>
      </c>
      <c r="CM6" s="11">
        <f>YEAR(CM5)</f>
        <v>2037</v>
      </c>
      <c r="CN6" s="11">
        <f>YEAR(CN5)</f>
        <v>2037</v>
      </c>
      <c r="CO6" s="11">
        <f>YEAR(CO5)</f>
        <v>2037</v>
      </c>
      <c r="CP6" s="11">
        <f>YEAR(CP5)</f>
        <v>2038</v>
      </c>
      <c r="CQ6" s="11">
        <f>YEAR(CQ5)</f>
        <v>2038</v>
      </c>
      <c r="CR6" s="11">
        <f>YEAR(CR5)</f>
        <v>2038</v>
      </c>
      <c r="CS6" s="11">
        <f>YEAR(CS5)</f>
        <v>2038</v>
      </c>
      <c r="CT6" s="11">
        <f>YEAR(CT5)</f>
        <v>2038</v>
      </c>
      <c r="CU6" s="11">
        <f>YEAR(CU5)</f>
        <v>2039</v>
      </c>
      <c r="CV6" s="11">
        <f>YEAR(CV5)</f>
        <v>2039</v>
      </c>
      <c r="CW6" s="11">
        <f>YEAR(CW5)</f>
        <v>2039</v>
      </c>
      <c r="CX6" s="11">
        <f>YEAR(CX5)</f>
        <v>2039</v>
      </c>
      <c r="CY6" s="11">
        <f>YEAR(CY5)</f>
        <v>2039</v>
      </c>
    </row>
    <row r="7">
      <c r="B7" s="4" t="n"/>
      <c r="D7" s="50" t="str">
        <f>"1Q"&amp;RIGHT(D6,2)</f>
        <v>1Q20</v>
      </c>
      <c r="E7" s="50" t="str">
        <f>"2Q"&amp;RIGHT(E6,2)</f>
        <v>2Q20</v>
      </c>
      <c r="F7" s="50" t="str">
        <f>"3Q"&amp;RIGHT(F6,2)</f>
        <v>3Q20</v>
      </c>
      <c r="G7" s="50" t="str">
        <f>"4Q"&amp;RIGHT(G6,2)</f>
        <v>4Q20</v>
      </c>
      <c r="H7" s="31" t="n">
        <v>2020</v>
      </c>
      <c r="I7" s="50" t="str">
        <f>"1Q"&amp;RIGHT(I6,2)</f>
        <v>1Q21</v>
      </c>
      <c r="J7" s="50" t="str">
        <f>"2Q"&amp;RIGHT(J6,2)</f>
        <v>2Q21</v>
      </c>
      <c r="K7" s="50" t="str">
        <f>"3Q"&amp;RIGHT(K6,2)</f>
        <v>3Q21</v>
      </c>
      <c r="L7" s="50" t="str">
        <f>"4Q"&amp;RIGHT(L6,2)</f>
        <v>4Q21</v>
      </c>
      <c r="M7" s="31">
        <f>H7+1</f>
        <v>2021</v>
      </c>
      <c r="N7" s="50" t="str">
        <f>"1Q"&amp;RIGHT(N6,2)</f>
        <v>1Q22</v>
      </c>
      <c r="O7" s="50" t="str">
        <f>"2Q"&amp;RIGHT(O6,2)</f>
        <v>2Q22</v>
      </c>
      <c r="P7" s="50" t="str">
        <f>"3Q"&amp;RIGHT(P6,2)</f>
        <v>3Q22</v>
      </c>
      <c r="Q7" s="50" t="str">
        <f>"4Q"&amp;RIGHT(Q6,2)</f>
        <v>4Q22</v>
      </c>
      <c r="R7" s="31">
        <f>M7+1</f>
        <v>2022</v>
      </c>
      <c r="S7" s="50" t="str">
        <f>"1Q"&amp;RIGHT(S6,2)</f>
        <v>1Q23</v>
      </c>
      <c r="T7" s="50" t="str">
        <f>"2Q"&amp;RIGHT(T6,2)</f>
        <v>2Q23</v>
      </c>
      <c r="U7" s="50" t="str">
        <f>"3Q"&amp;RIGHT(U6,2)</f>
        <v>3Q23</v>
      </c>
      <c r="V7" s="50" t="str">
        <f>"4Q"&amp;RIGHT(V6,2)</f>
        <v>4Q23</v>
      </c>
      <c r="W7" s="31">
        <f>R7+1</f>
        <v>2023</v>
      </c>
      <c r="X7" s="50" t="str">
        <f>"1Q"&amp;RIGHT(X6,2)</f>
        <v>1Q24</v>
      </c>
      <c r="Y7" s="50" t="str">
        <f>"2Q"&amp;RIGHT(Y6,2)</f>
        <v>2Q24</v>
      </c>
      <c r="Z7" s="50" t="str">
        <f>"3Q"&amp;RIGHT(Z6,2)</f>
        <v>3Q24</v>
      </c>
      <c r="AA7" s="50" t="str">
        <f>"4Q"&amp;RIGHT(AA6,2)</f>
        <v>4Q24</v>
      </c>
      <c r="AB7" s="31">
        <f>W7+1</f>
        <v>2024</v>
      </c>
      <c r="AC7" s="50" t="str">
        <f>"1Q"&amp;RIGHT(AC6,2)</f>
        <v>1Q25</v>
      </c>
      <c r="AD7" s="50" t="str">
        <f>"2Q"&amp;RIGHT(AD6,2)</f>
        <v>2Q25</v>
      </c>
      <c r="AE7" s="50" t="str">
        <f>"3Q"&amp;RIGHT(AE6,2)</f>
        <v>3Q25</v>
      </c>
      <c r="AF7" s="50" t="str">
        <f>"4Q"&amp;RIGHT(AF6,2)</f>
        <v>4Q25</v>
      </c>
      <c r="AG7" s="31">
        <f>AB7+1</f>
        <v>2025</v>
      </c>
      <c r="AH7" s="50" t="str">
        <f>"1Q"&amp;RIGHT(AH6,2)</f>
        <v>1Q26</v>
      </c>
      <c r="AI7" s="50" t="str">
        <f>"2Q"&amp;RIGHT(AI6,2)</f>
        <v>2Q26</v>
      </c>
      <c r="AJ7" s="50" t="str">
        <f>"3Q"&amp;RIGHT(AJ6,2)</f>
        <v>3Q26</v>
      </c>
      <c r="AK7" s="50" t="str">
        <f>"4Q"&amp;RIGHT(AK6,2)</f>
        <v>4Q26</v>
      </c>
      <c r="AL7" s="31">
        <f>AG7+1</f>
        <v>2026</v>
      </c>
      <c r="AM7" s="50" t="str">
        <f>"1Q"&amp;RIGHT(AM6,2)</f>
        <v>1Q27</v>
      </c>
      <c r="AN7" s="50" t="str">
        <f>"2Q"&amp;RIGHT(AN6,2)</f>
        <v>2Q27</v>
      </c>
      <c r="AO7" s="50" t="str">
        <f>"3Q"&amp;RIGHT(AO6,2)</f>
        <v>3Q27</v>
      </c>
      <c r="AP7" s="50" t="str">
        <f>"4Q"&amp;RIGHT(AP6,2)</f>
        <v>4Q27</v>
      </c>
      <c r="AQ7" s="31">
        <f>AL7+1</f>
        <v>2027</v>
      </c>
      <c r="AR7" s="50" t="str">
        <f>"1Q"&amp;RIGHT(AR6,2)</f>
        <v>1Q28</v>
      </c>
      <c r="AS7" s="50" t="str">
        <f>"2Q"&amp;RIGHT(AS6,2)</f>
        <v>2Q28</v>
      </c>
      <c r="AT7" s="50" t="str">
        <f>"3Q"&amp;RIGHT(AT6,2)</f>
        <v>3Q28</v>
      </c>
      <c r="AU7" s="50" t="str">
        <f>"4Q"&amp;RIGHT(AU6,2)</f>
        <v>4Q28</v>
      </c>
      <c r="AV7" s="31">
        <f>AQ7+1</f>
        <v>2028</v>
      </c>
      <c r="AW7" s="50" t="str">
        <f>"1Q"&amp;RIGHT(AW6,2)</f>
        <v>1Q29</v>
      </c>
      <c r="AX7" s="50" t="str">
        <f>"2Q"&amp;RIGHT(AX6,2)</f>
        <v>2Q29</v>
      </c>
      <c r="AY7" s="50" t="str">
        <f>"3Q"&amp;RIGHT(AY6,2)</f>
        <v>3Q29</v>
      </c>
      <c r="AZ7" s="50" t="str">
        <f>"4Q"&amp;RIGHT(AZ6,2)</f>
        <v>4Q29</v>
      </c>
      <c r="BA7" s="31">
        <f>AV7+1</f>
        <v>2029</v>
      </c>
      <c r="BB7" s="50" t="str">
        <f>"1Q"&amp;RIGHT(BB6,2)</f>
        <v>1Q30</v>
      </c>
      <c r="BC7" s="50" t="str">
        <f>"2Q"&amp;RIGHT(BC6,2)</f>
        <v>2Q30</v>
      </c>
      <c r="BD7" s="50" t="str">
        <f>"3Q"&amp;RIGHT(BD6,2)</f>
        <v>3Q30</v>
      </c>
      <c r="BE7" s="50" t="str">
        <f>"4Q"&amp;RIGHT(BE6,2)</f>
        <v>4Q30</v>
      </c>
      <c r="BF7" s="31">
        <f>BA7+1</f>
        <v>2030</v>
      </c>
      <c r="BG7" s="50" t="str">
        <f>"1Q"&amp;RIGHT(BG6,2)</f>
        <v>1Q31</v>
      </c>
      <c r="BH7" s="50" t="str">
        <f>"2Q"&amp;RIGHT(BH6,2)</f>
        <v>2Q31</v>
      </c>
      <c r="BI7" s="50" t="str">
        <f>"3Q"&amp;RIGHT(BI6,2)</f>
        <v>3Q31</v>
      </c>
      <c r="BJ7" s="50" t="str">
        <f>"4Q"&amp;RIGHT(BJ6,2)</f>
        <v>4Q31</v>
      </c>
      <c r="BK7" s="31">
        <f>BF7+1</f>
        <v>2031</v>
      </c>
      <c r="BL7" s="50" t="str">
        <f>"1Q"&amp;RIGHT(BL6,2)</f>
        <v>1Q32</v>
      </c>
      <c r="BM7" s="50" t="str">
        <f>"2Q"&amp;RIGHT(BM6,2)</f>
        <v>2Q32</v>
      </c>
      <c r="BN7" s="50" t="str">
        <f>"3Q"&amp;RIGHT(BN6,2)</f>
        <v>3Q32</v>
      </c>
      <c r="BO7" s="50" t="str">
        <f>"4Q"&amp;RIGHT(BO6,2)</f>
        <v>4Q32</v>
      </c>
      <c r="BP7" s="31">
        <f>BK7+1</f>
        <v>2032</v>
      </c>
      <c r="BQ7" s="50" t="str">
        <f>"1Q"&amp;RIGHT(BQ6,2)</f>
        <v>1Q33</v>
      </c>
      <c r="BR7" s="50" t="str">
        <f>"2Q"&amp;RIGHT(BR6,2)</f>
        <v>2Q33</v>
      </c>
      <c r="BS7" s="50" t="str">
        <f>"3Q"&amp;RIGHT(BS6,2)</f>
        <v>3Q33</v>
      </c>
      <c r="BT7" s="50" t="str">
        <f>"4Q"&amp;RIGHT(BT6,2)</f>
        <v>4Q33</v>
      </c>
      <c r="BU7" s="31">
        <f>BP7+1</f>
        <v>2033</v>
      </c>
      <c r="BV7" s="50" t="str">
        <f>"1Q"&amp;RIGHT(BV6,2)</f>
        <v>1Q34</v>
      </c>
      <c r="BW7" s="50" t="str">
        <f>"2Q"&amp;RIGHT(BW6,2)</f>
        <v>2Q34</v>
      </c>
      <c r="BX7" s="50" t="str">
        <f>"3Q"&amp;RIGHT(BX6,2)</f>
        <v>3Q34</v>
      </c>
      <c r="BY7" s="50" t="str">
        <f>"4Q"&amp;RIGHT(BY6,2)</f>
        <v>4Q34</v>
      </c>
      <c r="BZ7" s="31">
        <f>BU7+1</f>
        <v>2034</v>
      </c>
      <c r="CA7" s="50" t="str">
        <f>"1Q"&amp;RIGHT(CA6,2)</f>
        <v>1Q35</v>
      </c>
      <c r="CB7" s="50" t="str">
        <f>"2Q"&amp;RIGHT(CB6,2)</f>
        <v>2Q35</v>
      </c>
      <c r="CC7" s="50" t="str">
        <f>"3Q"&amp;RIGHT(CC6,2)</f>
        <v>3Q35</v>
      </c>
      <c r="CD7" s="50" t="str">
        <f>"4Q"&amp;RIGHT(CD6,2)</f>
        <v>4Q35</v>
      </c>
      <c r="CE7" s="31">
        <f>BZ7+1</f>
        <v>2035</v>
      </c>
      <c r="CF7" s="50" t="str">
        <f>"1Q"&amp;RIGHT(CF6,2)</f>
        <v>1Q36</v>
      </c>
      <c r="CG7" s="50" t="str">
        <f>"2Q"&amp;RIGHT(CG6,2)</f>
        <v>2Q36</v>
      </c>
      <c r="CH7" s="50" t="str">
        <f>"3Q"&amp;RIGHT(CH6,2)</f>
        <v>3Q36</v>
      </c>
      <c r="CI7" s="50" t="str">
        <f>"4Q"&amp;RIGHT(CI6,2)</f>
        <v>4Q36</v>
      </c>
      <c r="CJ7" s="31">
        <f>CE7+1</f>
        <v>2036</v>
      </c>
      <c r="CK7" s="50" t="str">
        <f>"1Q"&amp;RIGHT(CK6,2)</f>
        <v>1Q37</v>
      </c>
      <c r="CL7" s="50" t="str">
        <f>"2Q"&amp;RIGHT(CL6,2)</f>
        <v>2Q37</v>
      </c>
      <c r="CM7" s="50" t="str">
        <f>"3Q"&amp;RIGHT(CM6,2)</f>
        <v>3Q37</v>
      </c>
      <c r="CN7" s="50" t="str">
        <f>"4Q"&amp;RIGHT(CN6,2)</f>
        <v>4Q37</v>
      </c>
      <c r="CO7" s="31">
        <f>CJ7+1</f>
        <v>2037</v>
      </c>
      <c r="CP7" s="50" t="str">
        <f>"1Q"&amp;RIGHT(CP6,2)</f>
        <v>1Q38</v>
      </c>
      <c r="CQ7" s="50" t="str">
        <f>"2Q"&amp;RIGHT(CQ6,2)</f>
        <v>2Q38</v>
      </c>
      <c r="CR7" s="50" t="str">
        <f>"3Q"&amp;RIGHT(CR6,2)</f>
        <v>3Q38</v>
      </c>
      <c r="CS7" s="50" t="str">
        <f>"4Q"&amp;RIGHT(CS6,2)</f>
        <v>4Q38</v>
      </c>
      <c r="CT7" s="31">
        <f>CO7+1</f>
        <v>2038</v>
      </c>
      <c r="CU7" s="50" t="str">
        <f>"1Q"&amp;RIGHT(CU6,2)</f>
        <v>1Q39</v>
      </c>
      <c r="CV7" s="50" t="str">
        <f>"2Q"&amp;RIGHT(CV6,2)</f>
        <v>2Q39</v>
      </c>
      <c r="CW7" s="50" t="str">
        <f>"3Q"&amp;RIGHT(CW6,2)</f>
        <v>3Q39</v>
      </c>
      <c r="CX7" s="50" t="str">
        <f>"4Q"&amp;RIGHT(CX6,2)</f>
        <v>4Q39</v>
      </c>
      <c r="CY7" s="31">
        <f>CT7+1</f>
        <v>2039</v>
      </c>
    </row>
    <row r="8">
      <c r="B8" s="4" t="n"/>
      <c r="C8" s="4" t="inlineStr">
        <is>
          <t>IPCA</t>
        </is>
      </c>
      <c r="D8" s="50" t="n"/>
      <c r="E8" s="50" t="n"/>
      <c r="F8" s="50" t="n"/>
      <c r="G8" s="50" t="n"/>
      <c r="H8" s="227" t="n">
        <v>0.0485</v>
      </c>
      <c r="I8" s="50" t="n"/>
      <c r="J8" s="50" t="n"/>
      <c r="K8" s="50" t="n"/>
      <c r="L8" s="50" t="n"/>
      <c r="M8" s="227" t="n">
        <v>0.1006</v>
      </c>
      <c r="N8" s="50" t="n"/>
      <c r="O8" s="50" t="n"/>
      <c r="P8" s="50" t="n"/>
      <c r="Q8" s="50" t="n"/>
      <c r="R8" s="227" t="n">
        <v>0.0579</v>
      </c>
      <c r="S8" s="50" t="n"/>
      <c r="T8" s="50" t="n"/>
      <c r="U8" s="50" t="n"/>
      <c r="V8" s="50" t="n"/>
      <c r="W8" s="227" t="n">
        <v>0.0468</v>
      </c>
      <c r="X8" s="50" t="n"/>
      <c r="Y8" s="50" t="n"/>
      <c r="Z8" s="50" t="n"/>
      <c r="AA8" s="50" t="n"/>
      <c r="AB8" s="227" t="n">
        <v>0.0483</v>
      </c>
      <c r="AC8" s="50" t="n"/>
      <c r="AD8" s="50" t="n"/>
      <c r="AE8" s="50" t="n"/>
      <c r="AF8" s="50" t="n"/>
      <c r="AG8" s="227" t="n">
        <v>0.0468</v>
      </c>
      <c r="AH8" s="50" t="n"/>
      <c r="AI8" s="50" t="n"/>
      <c r="AJ8" s="50" t="n"/>
      <c r="AK8" s="50" t="n"/>
      <c r="AL8" s="217" t="n"/>
      <c r="AM8" s="50" t="n"/>
      <c r="AN8" s="50" t="n"/>
      <c r="AO8" s="50" t="n"/>
      <c r="AP8" s="50" t="n"/>
      <c r="AQ8" s="217" t="n"/>
      <c r="AR8" s="50" t="n"/>
      <c r="AS8" s="50" t="n"/>
      <c r="AT8" s="50" t="n"/>
      <c r="AU8" s="50" t="n"/>
      <c r="AV8" s="217" t="n"/>
      <c r="AW8" s="50" t="n"/>
      <c r="AX8" s="50" t="n"/>
      <c r="AY8" s="50" t="n"/>
      <c r="AZ8" s="50" t="n"/>
      <c r="BA8" s="217" t="n"/>
      <c r="BB8" s="50" t="n"/>
      <c r="BC8" s="50" t="n"/>
      <c r="BD8" s="50" t="n"/>
      <c r="BE8" s="50" t="n"/>
      <c r="BF8" s="217" t="n"/>
      <c r="BG8" s="50" t="n"/>
      <c r="BH8" s="50" t="n"/>
      <c r="BI8" s="50" t="n"/>
      <c r="BJ8" s="50" t="n"/>
      <c r="BK8" s="217" t="n"/>
      <c r="BL8" s="50" t="n"/>
      <c r="BM8" s="50" t="n"/>
      <c r="BN8" s="50" t="n"/>
      <c r="BO8" s="50" t="n"/>
      <c r="BP8" s="217" t="n"/>
      <c r="BQ8" s="50" t="n"/>
      <c r="BR8" s="50" t="n"/>
      <c r="BS8" s="50" t="n"/>
      <c r="BT8" s="50" t="n"/>
      <c r="BU8" s="217" t="n"/>
      <c r="BV8" s="50" t="n"/>
      <c r="BW8" s="50" t="n"/>
      <c r="BX8" s="50" t="n"/>
      <c r="BY8" s="50" t="n"/>
      <c r="BZ8" s="217" t="n"/>
      <c r="CA8" s="50" t="n"/>
      <c r="CB8" s="50" t="n"/>
      <c r="CC8" s="50" t="n"/>
      <c r="CD8" s="50" t="n"/>
      <c r="CE8" s="217" t="n"/>
      <c r="CF8" s="50" t="n"/>
      <c r="CG8" s="50" t="n"/>
      <c r="CH8" s="50" t="n"/>
      <c r="CI8" s="50" t="n"/>
      <c r="CJ8" s="217" t="n"/>
      <c r="CK8" s="50" t="n"/>
      <c r="CL8" s="50" t="n"/>
      <c r="CM8" s="50" t="n"/>
      <c r="CN8" s="50" t="n"/>
      <c r="CO8" s="217" t="n"/>
      <c r="CP8" s="50" t="n"/>
      <c r="CQ8" s="50" t="n"/>
      <c r="CR8" s="50" t="n"/>
      <c r="CS8" s="50" t="n"/>
      <c r="CT8" s="217" t="n"/>
      <c r="CU8" s="50" t="n"/>
      <c r="CV8" s="50" t="n"/>
      <c r="CW8" s="50" t="n"/>
      <c r="CX8" s="50" t="n"/>
      <c r="CY8" s="217" t="n"/>
    </row>
    <row r="9">
      <c r="B9" s="4" t="n"/>
      <c r="C9" s="4" t="inlineStr">
        <is>
          <t>GDP BRAZIL</t>
        </is>
      </c>
      <c r="D9" s="50" t="n"/>
      <c r="E9" s="50" t="n"/>
      <c r="F9" s="50" t="n"/>
      <c r="G9" s="50" t="n"/>
      <c r="H9" s="228" t="n">
        <v>-0.046</v>
      </c>
      <c r="I9" s="50" t="n"/>
      <c r="J9" s="50" t="n"/>
      <c r="K9" s="50" t="n"/>
      <c r="L9" s="50" t="n"/>
      <c r="M9" s="228" t="n">
        <v>0.046</v>
      </c>
      <c r="N9" s="50" t="n"/>
      <c r="O9" s="50" t="n"/>
      <c r="P9" s="50" t="n"/>
      <c r="Q9" s="50" t="n"/>
      <c r="R9" s="228" t="n"/>
      <c r="S9" s="50" t="n"/>
      <c r="T9" s="50" t="n"/>
      <c r="U9" s="50" t="n"/>
      <c r="V9" s="50" t="n"/>
      <c r="W9" s="228" t="n"/>
      <c r="X9" s="50" t="n"/>
      <c r="Y9" s="50" t="n"/>
      <c r="Z9" s="50" t="n"/>
      <c r="AA9" s="50" t="n"/>
      <c r="AB9" s="228" t="n"/>
      <c r="AC9" s="50" t="n"/>
      <c r="AD9" s="50" t="n"/>
      <c r="AE9" s="50" t="n"/>
      <c r="AF9" s="50" t="n"/>
      <c r="AG9" s="228" t="n"/>
      <c r="AH9" s="50" t="n"/>
      <c r="AI9" s="50" t="n"/>
      <c r="AJ9" s="50" t="n"/>
      <c r="AK9" s="50" t="n"/>
      <c r="AL9" s="217" t="n"/>
      <c r="AM9" s="50" t="n"/>
      <c r="AN9" s="50" t="n"/>
      <c r="AO9" s="50" t="n"/>
      <c r="AP9" s="50" t="n"/>
      <c r="AQ9" s="217" t="n"/>
      <c r="AR9" s="50" t="n"/>
      <c r="AS9" s="50" t="n"/>
      <c r="AT9" s="50" t="n"/>
      <c r="AU9" s="50" t="n"/>
      <c r="AV9" s="217" t="n"/>
      <c r="AW9" s="50" t="n"/>
      <c r="AX9" s="50" t="n"/>
      <c r="AY9" s="50" t="n"/>
      <c r="AZ9" s="50" t="n"/>
      <c r="BA9" s="217" t="n"/>
      <c r="BB9" s="50" t="n"/>
      <c r="BC9" s="50" t="n"/>
      <c r="BD9" s="50" t="n"/>
      <c r="BE9" s="50" t="n"/>
      <c r="BF9" s="217" t="n"/>
      <c r="BG9" s="50" t="n"/>
      <c r="BH9" s="50" t="n"/>
      <c r="BI9" s="50" t="n"/>
      <c r="BJ9" s="50" t="n"/>
      <c r="BK9" s="217" t="n"/>
      <c r="BL9" s="50" t="n"/>
      <c r="BM9" s="50" t="n"/>
      <c r="BN9" s="50" t="n"/>
      <c r="BO9" s="50" t="n"/>
      <c r="BP9" s="217" t="n"/>
      <c r="BQ9" s="50" t="n"/>
      <c r="BR9" s="50" t="n"/>
      <c r="BS9" s="50" t="n"/>
      <c r="BT9" s="50" t="n"/>
      <c r="BU9" s="217" t="n"/>
      <c r="BV9" s="50" t="n"/>
      <c r="BW9" s="50" t="n"/>
      <c r="BX9" s="50" t="n"/>
      <c r="BY9" s="50" t="n"/>
      <c r="BZ9" s="217" t="n"/>
      <c r="CA9" s="50" t="n"/>
      <c r="CB9" s="50" t="n"/>
      <c r="CC9" s="50" t="n"/>
      <c r="CD9" s="50" t="n"/>
      <c r="CE9" s="217" t="n"/>
      <c r="CF9" s="50" t="n"/>
      <c r="CG9" s="50" t="n"/>
      <c r="CH9" s="50" t="n"/>
      <c r="CI9" s="50" t="n"/>
      <c r="CJ9" s="217" t="n"/>
      <c r="CK9" s="50" t="n"/>
      <c r="CL9" s="50" t="n"/>
      <c r="CM9" s="50" t="n"/>
      <c r="CN9" s="50" t="n"/>
      <c r="CO9" s="217" t="n"/>
      <c r="CP9" s="50" t="n"/>
      <c r="CQ9" s="50" t="n"/>
      <c r="CR9" s="50" t="n"/>
      <c r="CS9" s="50" t="n"/>
      <c r="CT9" s="217" t="n"/>
      <c r="CU9" s="50" t="n"/>
      <c r="CV9" s="50" t="n"/>
      <c r="CW9" s="50" t="n"/>
      <c r="CX9" s="50" t="n"/>
      <c r="CY9" s="217" t="n"/>
    </row>
    <row r="10">
      <c r="C10" s="4" t="inlineStr">
        <is>
          <t>CDI</t>
        </is>
      </c>
      <c r="H10" s="228" t="n">
        <v>0.0275</v>
      </c>
      <c r="M10" s="228" t="n">
        <v>0.0442</v>
      </c>
      <c r="R10" s="228" t="n">
        <v>0.1239</v>
      </c>
      <c r="W10" s="228" t="n">
        <v>0.1304</v>
      </c>
      <c r="AB10" s="228" t="n">
        <v>0.1064</v>
      </c>
      <c r="AG10" s="228" t="n">
        <v>0.1464</v>
      </c>
    </row>
    <row r="13" customFormat="1" s="17">
      <c r="A13" s="13" t="n"/>
      <c r="B13" s="13" t="n"/>
      <c r="C13" s="12" t="inlineStr">
        <is>
          <t>Income Statement</t>
        </is>
      </c>
      <c r="D13" s="12" t="str">
        <f>D7</f>
        <v>1Q20</v>
      </c>
      <c r="E13" s="12" t="str">
        <f>E7</f>
        <v>2Q20</v>
      </c>
      <c r="F13" s="12" t="str">
        <f>F7</f>
        <v>3Q20</v>
      </c>
      <c r="G13" s="12" t="str">
        <f>G7</f>
        <v>4Q20</v>
      </c>
      <c r="H13" s="12">
        <f>H7</f>
        <v>2020</v>
      </c>
      <c r="I13" s="12" t="str">
        <f>I7</f>
        <v>1Q21</v>
      </c>
      <c r="J13" s="12" t="str">
        <f>J7</f>
        <v>2Q21</v>
      </c>
      <c r="K13" s="12" t="str">
        <f>K7</f>
        <v>3Q21</v>
      </c>
      <c r="L13" s="12" t="str">
        <f>L7</f>
        <v>4Q21</v>
      </c>
      <c r="M13" s="12">
        <f>M7</f>
        <v>2021</v>
      </c>
      <c r="N13" s="12" t="str">
        <f>N7</f>
        <v>1Q22</v>
      </c>
      <c r="O13" s="12" t="str">
        <f>O7</f>
        <v>2Q22</v>
      </c>
      <c r="P13" s="12" t="str">
        <f>P7</f>
        <v>3Q22</v>
      </c>
      <c r="Q13" s="12" t="str">
        <f>Q7</f>
        <v>4Q22</v>
      </c>
      <c r="R13" s="12">
        <f>R7</f>
        <v>2022</v>
      </c>
      <c r="S13" s="12" t="str">
        <f>S7</f>
        <v>1Q23</v>
      </c>
      <c r="T13" s="12" t="str">
        <f>T7</f>
        <v>2Q23</v>
      </c>
      <c r="U13" s="12" t="str">
        <f>U7</f>
        <v>3Q23</v>
      </c>
      <c r="V13" s="12" t="str">
        <f>V7</f>
        <v>4Q23</v>
      </c>
      <c r="W13" s="12">
        <f>W7</f>
        <v>2023</v>
      </c>
      <c r="X13" s="12" t="str">
        <f>X7</f>
        <v>1Q24</v>
      </c>
      <c r="Y13" s="12" t="str">
        <f>Y7</f>
        <v>2Q24</v>
      </c>
      <c r="Z13" s="12" t="str">
        <f>Z7</f>
        <v>3Q24</v>
      </c>
      <c r="AA13" s="12" t="str">
        <f>AA7</f>
        <v>4Q24</v>
      </c>
      <c r="AB13" s="12">
        <f>AB7</f>
        <v>2024</v>
      </c>
      <c r="AC13" s="12" t="str">
        <f>AC7</f>
        <v>1Q25</v>
      </c>
      <c r="AD13" s="12" t="str">
        <f>AD7</f>
        <v>2Q25</v>
      </c>
      <c r="AE13" s="12" t="str">
        <f>AE7</f>
        <v>3Q25</v>
      </c>
      <c r="AF13" s="12" t="str">
        <f>AF7</f>
        <v>4Q25</v>
      </c>
      <c r="AG13" s="12">
        <f>AG7</f>
        <v>2025</v>
      </c>
      <c r="AH13" s="12" t="str">
        <f>AH7</f>
        <v>1Q26</v>
      </c>
      <c r="AI13" s="12" t="str">
        <f>AI7</f>
        <v>2Q26</v>
      </c>
      <c r="AJ13" s="12" t="str">
        <f>AJ7</f>
        <v>3Q26</v>
      </c>
      <c r="AK13" s="12" t="str">
        <f>AK7</f>
        <v>4Q26</v>
      </c>
      <c r="AL13" s="12">
        <f>AL7</f>
        <v>2026</v>
      </c>
      <c r="AM13" s="12" t="str">
        <f>AM7</f>
        <v>1Q27</v>
      </c>
      <c r="AN13" s="12" t="str">
        <f>AN7</f>
        <v>2Q27</v>
      </c>
      <c r="AO13" s="12" t="str">
        <f>AO7</f>
        <v>3Q27</v>
      </c>
      <c r="AP13" s="12" t="str">
        <f>AP7</f>
        <v>4Q27</v>
      </c>
      <c r="AQ13" s="12">
        <f>AQ7</f>
        <v>2027</v>
      </c>
      <c r="AR13" s="12" t="str">
        <f>AR7</f>
        <v>1Q28</v>
      </c>
      <c r="AS13" s="12" t="str">
        <f>AS7</f>
        <v>2Q28</v>
      </c>
      <c r="AT13" s="12" t="str">
        <f>AT7</f>
        <v>3Q28</v>
      </c>
      <c r="AU13" s="12" t="str">
        <f>AU7</f>
        <v>4Q28</v>
      </c>
      <c r="AV13" s="12">
        <f>AV7</f>
        <v>2028</v>
      </c>
      <c r="AW13" s="12" t="str">
        <f>AW7</f>
        <v>1Q29</v>
      </c>
      <c r="AX13" s="12" t="str">
        <f>AX7</f>
        <v>2Q29</v>
      </c>
      <c r="AY13" s="12" t="str">
        <f>AY7</f>
        <v>3Q29</v>
      </c>
      <c r="AZ13" s="12" t="str">
        <f>AZ7</f>
        <v>4Q29</v>
      </c>
      <c r="BA13" s="12">
        <f>BA7</f>
        <v>2029</v>
      </c>
      <c r="BB13" s="12" t="str">
        <f>BB7</f>
        <v>1Q30</v>
      </c>
      <c r="BC13" s="12" t="str">
        <f>BC7</f>
        <v>2Q30</v>
      </c>
      <c r="BD13" s="12" t="str">
        <f>BD7</f>
        <v>3Q30</v>
      </c>
      <c r="BE13" s="12" t="str">
        <f>BE7</f>
        <v>4Q30</v>
      </c>
      <c r="BF13" s="12">
        <f>BF7</f>
        <v>2030</v>
      </c>
      <c r="BG13" s="12" t="str">
        <f>BG7</f>
        <v>1Q31</v>
      </c>
      <c r="BH13" s="12" t="str">
        <f>BH7</f>
        <v>2Q31</v>
      </c>
      <c r="BI13" s="12" t="str">
        <f>BI7</f>
        <v>3Q31</v>
      </c>
      <c r="BJ13" s="12" t="str">
        <f>BJ7</f>
        <v>4Q31</v>
      </c>
      <c r="BK13" s="12">
        <f>BK7</f>
        <v>2031</v>
      </c>
      <c r="BL13" s="12" t="str">
        <f>BL7</f>
        <v>1Q32</v>
      </c>
      <c r="BM13" s="12" t="str">
        <f>BM7</f>
        <v>2Q32</v>
      </c>
      <c r="BN13" s="12" t="str">
        <f>BN7</f>
        <v>3Q32</v>
      </c>
      <c r="BO13" s="12" t="str">
        <f>BO7</f>
        <v>4Q32</v>
      </c>
      <c r="BP13" s="12">
        <f>BP7</f>
        <v>2032</v>
      </c>
      <c r="BQ13" s="12" t="str">
        <f>BQ7</f>
        <v>1Q33</v>
      </c>
      <c r="BR13" s="12" t="str">
        <f>BR7</f>
        <v>2Q33</v>
      </c>
      <c r="BS13" s="12" t="str">
        <f>BS7</f>
        <v>3Q33</v>
      </c>
      <c r="BT13" s="12" t="str">
        <f>BT7</f>
        <v>4Q33</v>
      </c>
      <c r="BU13" s="12">
        <f>BU7</f>
        <v>2033</v>
      </c>
      <c r="BV13" s="12" t="str">
        <f>BV7</f>
        <v>1Q34</v>
      </c>
      <c r="BW13" s="12" t="str">
        <f>BW7</f>
        <v>2Q34</v>
      </c>
      <c r="BX13" s="12" t="str">
        <f>BX7</f>
        <v>3Q34</v>
      </c>
      <c r="BY13" s="12" t="str">
        <f>BY7</f>
        <v>4Q34</v>
      </c>
      <c r="BZ13" s="12">
        <f>BZ7</f>
        <v>2034</v>
      </c>
      <c r="CA13" s="12" t="str">
        <f>CA7</f>
        <v>1Q35</v>
      </c>
      <c r="CB13" s="12" t="str">
        <f>CB7</f>
        <v>2Q35</v>
      </c>
      <c r="CC13" s="12" t="str">
        <f>CC7</f>
        <v>3Q35</v>
      </c>
      <c r="CD13" s="12" t="str">
        <f>CD7</f>
        <v>4Q35</v>
      </c>
      <c r="CE13" s="12">
        <f>CE7</f>
        <v>2035</v>
      </c>
      <c r="CF13" s="12" t="str">
        <f>CF7</f>
        <v>1Q36</v>
      </c>
      <c r="CG13" s="12" t="str">
        <f>CG7</f>
        <v>2Q36</v>
      </c>
      <c r="CH13" s="12" t="str">
        <f>CH7</f>
        <v>3Q36</v>
      </c>
      <c r="CI13" s="12" t="str">
        <f>CI7</f>
        <v>4Q36</v>
      </c>
      <c r="CJ13" s="12">
        <f>CJ7</f>
        <v>2036</v>
      </c>
      <c r="CK13" s="12" t="str">
        <f>CK7</f>
        <v>1Q37</v>
      </c>
      <c r="CL13" s="12" t="str">
        <f>CL7</f>
        <v>2Q37</v>
      </c>
      <c r="CM13" s="12" t="str">
        <f>CM7</f>
        <v>3Q37</v>
      </c>
      <c r="CN13" s="12" t="str">
        <f>CN7</f>
        <v>4Q37</v>
      </c>
      <c r="CO13" s="12">
        <f>CO7</f>
        <v>2037</v>
      </c>
      <c r="CP13" s="12" t="str">
        <f>CP7</f>
        <v>1Q38</v>
      </c>
      <c r="CQ13" s="12" t="str">
        <f>CQ7</f>
        <v>2Q38</v>
      </c>
      <c r="CR13" s="12" t="str">
        <f>CR7</f>
        <v>3Q38</v>
      </c>
      <c r="CS13" s="12" t="str">
        <f>CS7</f>
        <v>4Q38</v>
      </c>
      <c r="CT13" s="12">
        <f>CT7</f>
        <v>2038</v>
      </c>
      <c r="CU13" s="12" t="str">
        <f>CU7</f>
        <v>1Q39</v>
      </c>
      <c r="CV13" s="12" t="str">
        <f>CV7</f>
        <v>2Q39</v>
      </c>
      <c r="CW13" s="12" t="str">
        <f>CW7</f>
        <v>3Q39</v>
      </c>
      <c r="CX13" s="12" t="str">
        <f>CX7</f>
        <v>4Q39</v>
      </c>
      <c r="CY13" s="12">
        <f>CY7</f>
        <v>2039</v>
      </c>
    </row>
    <row r="14">
      <c r="C14" s="2" t="n"/>
    </row>
    <row r="15" customFormat="1" s="17">
      <c r="A15" s="13" t="n"/>
      <c r="B15" s="1" t="n"/>
      <c r="C15" s="14" t="inlineStr">
        <is>
          <t>Net Revenues</t>
        </is>
      </c>
      <c r="D15" s="15">
        <f>INDEX('Inputs (2)'!$D$4:$AL$4,MATCH(D$7,'Inputs (2)'!$D$2:$AL$2,0))</f>
        <v>5742</v>
      </c>
      <c r="E15" s="15">
        <f>INDEX('Inputs (2)'!$D$4:$AL$4,MATCH(E$7,'Inputs (2)'!$D$2:$AL$2,0))</f>
        <v>5821</v>
      </c>
      <c r="F15" s="15">
        <f>INDEX('Inputs (2)'!$D$4:$AL$4,MATCH(F$7,'Inputs (2)'!$D$2:$AL$2,0))</f>
        <v>6467</v>
      </c>
      <c r="G15" s="15">
        <f>INDEX('Inputs (2)'!$D$4:$AL$4,MATCH(G$7,'Inputs (2)'!$D$2:$AL$2,0))</f>
        <v>6655</v>
      </c>
      <c r="H15" s="16">
        <f>SUM(D15:G15)</f>
        <v>24685</v>
      </c>
      <c r="I15" s="15">
        <f>INDEX('Inputs (2)'!$D$4:$AL$4,MATCH(I$7,'Inputs (2)'!$D$2:$AL$2,0))</f>
        <v>6610</v>
      </c>
      <c r="J15" s="15">
        <f>INDEX('Inputs (2)'!$D$4:$AL$4,MATCH(J$7,'Inputs (2)'!$D$2:$AL$2,0))</f>
        <v>6778</v>
      </c>
      <c r="K15" s="15">
        <f>INDEX('Inputs (2)'!$D$4:$AL$4,MATCH(K$7,'Inputs (2)'!$D$2:$AL$2,0))</f>
        <v>7407</v>
      </c>
      <c r="L15" s="15">
        <f>INDEX('Inputs (2)'!$D$4:$AL$4,MATCH(L$7,'Inputs (2)'!$D$2:$AL$2,0))</f>
        <v>7706</v>
      </c>
      <c r="M15" s="16">
        <f>SUM(I15:L15)</f>
        <v>28501</v>
      </c>
      <c r="N15" s="15">
        <f>INDEX('Inputs (2)'!$D$4:$AL$4,MATCH(N$7,'Inputs (2)'!$D$2:$AL$2,0))</f>
        <v>8103</v>
      </c>
      <c r="O15" s="15">
        <f>INDEX('Inputs (2)'!$D$4:$AL$4,MATCH(O$7,'Inputs (2)'!$D$2:$AL$2,0))</f>
        <v>8464</v>
      </c>
      <c r="P15" s="15">
        <f>INDEX('Inputs (2)'!$D$4:$AL$4,MATCH(P$7,'Inputs (2)'!$D$2:$AL$2,0))</f>
        <v>8930</v>
      </c>
      <c r="Q15" s="15">
        <f>INDEX('Inputs (2)'!$D$4:$AL$4,MATCH(Q$7,'Inputs (2)'!$D$2:$AL$2,0))</f>
        <v>8915</v>
      </c>
      <c r="R15" s="16">
        <f>SUM(N15:Q15)</f>
        <v>34412</v>
      </c>
      <c r="S15" s="15">
        <f>INDEX('Inputs (2)'!$D$4:$AL$4,MATCH(S$7,'Inputs (2)'!$D$2:$AL$2,0))</f>
        <v>8733</v>
      </c>
      <c r="T15" s="15">
        <f>INDEX('Inputs (2)'!$D$4:$AL$4,MATCH(T$7,'Inputs (2)'!$D$2:$AL$2,0))</f>
        <v>8876</v>
      </c>
      <c r="U15" s="15">
        <f>INDEX('Inputs (2)'!$D$4:$AL$4,MATCH(U$7,'Inputs (2)'!$D$2:$AL$2,0))</f>
        <v>9295</v>
      </c>
      <c r="V15" s="15">
        <f>INDEX('Inputs (2)'!$D$4:$AL$4,MATCH(V$7,'Inputs (2)'!$D$2:$AL$2,0))</f>
        <v>11961</v>
      </c>
      <c r="W15" s="16">
        <f>SUM(S15:V15)</f>
        <v>38865</v>
      </c>
      <c r="X15" s="15">
        <f>INDEX('Inputs (2)'!$D$4:$AL$4,MATCH(X$7,'Inputs (2)'!$D$2:$AL$2,0))</f>
        <v>12487</v>
      </c>
      <c r="Y15" s="15">
        <f>INDEX('Inputs (2)'!$D$4:$AL$4,MATCH(Y$7,'Inputs (2)'!$D$2:$AL$2,0))</f>
        <v>13072</v>
      </c>
      <c r="Z15" s="15">
        <f>INDEX('Inputs (2)'!$D$4:$AL$4,MATCH(Z$7,'Inputs (2)'!$D$2:$AL$2,0))</f>
        <v>14054</v>
      </c>
      <c r="AA15" s="15">
        <f>INDEX('Inputs (2)'!$D$4:$AL$4,MATCH(AA$7,'Inputs (2)'!$D$2:$AL$2,0))</f>
        <v>14916</v>
      </c>
      <c r="AB15" s="16">
        <f>SUM(X15:AA15)</f>
        <v>54529</v>
      </c>
      <c r="AC15" s="15">
        <f>INDEX('Inputs (2)'!$D$4:$AL$4,MATCH(AC$7,'Inputs (2)'!$D$2:$AL$2,0))</f>
        <v>15004</v>
      </c>
      <c r="AD15" s="15">
        <f>INDEX('Inputs (2)'!$D$4:$AL$4,MATCH(AD$7,'Inputs (2)'!$D$2:$AL$2,0))</f>
        <v>15952</v>
      </c>
      <c r="AE15" s="15">
        <f>INDEX('Inputs (2)'!$D$4:$AL$4,MATCH(AE$7,'Inputs (2)'!$D$2:$AL$2,0))</f>
        <v>18015</v>
      </c>
      <c r="AF15" s="15">
        <f>INDEX('Inputs (2)'!$D$4:$AL$4,MATCH(AF$7,'Inputs (2)'!$D$2:$AL$2,0))</f>
        <v>19311</v>
      </c>
      <c r="AG15" s="16">
        <f>SUM(AC15:AF15)</f>
        <v>68282</v>
      </c>
      <c r="AH15" s="16">
        <f>INDEX('Inputs (2)'!$D$4:$AL$4,MATCH(AH$7,'Inputs (2)'!$D$2:$AL$2,0))</f>
        <v>22187</v>
      </c>
      <c r="AI15" s="16">
        <f>INDEX('Inputs (2)'!$D$4:$AL$4,MATCH(AI$7,'Inputs (2)'!$D$2:$AL$2,0))</f>
        <v>29591</v>
      </c>
      <c r="AJ15" s="16">
        <f>AE15*(1+AJ16)</f>
        <v>18015</v>
      </c>
      <c r="AK15" s="16">
        <f>AF15*(1+AK16)</f>
        <v>19311</v>
      </c>
      <c r="AL15" s="16">
        <f>SUM(AH15:AK15)</f>
        <v>89104</v>
      </c>
      <c r="AM15" s="16">
        <f>AH15*(1+AM16)</f>
        <v>22187</v>
      </c>
      <c r="AN15" s="16">
        <f>AI15*(1+AN16)</f>
        <v>29591</v>
      </c>
      <c r="AO15" s="16">
        <f>AJ15*(1+AO16)</f>
        <v>18015</v>
      </c>
      <c r="AP15" s="16">
        <f>AK15*(1+AP16)</f>
        <v>19311</v>
      </c>
      <c r="AQ15" s="16">
        <f>SUM(AM15:AP15)</f>
        <v>89104</v>
      </c>
      <c r="AR15" s="16">
        <f>AM15*(1+AR16)</f>
        <v>22187</v>
      </c>
      <c r="AS15" s="16">
        <f>AN15*(1+AS16)</f>
        <v>29591</v>
      </c>
      <c r="AT15" s="16">
        <f>AO15*(1+AT16)</f>
        <v>18015</v>
      </c>
      <c r="AU15" s="16">
        <f>AP15*(1+AU16)</f>
        <v>19311</v>
      </c>
      <c r="AV15" s="16">
        <f>SUM(AR15:AU15)</f>
        <v>89104</v>
      </c>
      <c r="AW15" s="16">
        <f>AR15*(1+AW16)</f>
        <v>22187</v>
      </c>
      <c r="AX15" s="16">
        <f>AS15*(1+AX16)</f>
        <v>29591</v>
      </c>
      <c r="AY15" s="16">
        <f>AT15*(1+AY16)</f>
        <v>18015</v>
      </c>
      <c r="AZ15" s="16">
        <f>AU15*(1+AZ16)</f>
        <v>19311</v>
      </c>
      <c r="BA15" s="16">
        <f>SUM(AW15:AZ15)</f>
        <v>89104</v>
      </c>
      <c r="BB15" s="16">
        <f>AW15*(1+BB16)</f>
        <v>22187</v>
      </c>
      <c r="BC15" s="16">
        <f>AX15*(1+BC16)</f>
        <v>29591</v>
      </c>
      <c r="BD15" s="16">
        <f>AY15*(1+BD16)</f>
        <v>18015</v>
      </c>
      <c r="BE15" s="16">
        <f>AZ15*(1+BE16)</f>
        <v>19311</v>
      </c>
      <c r="BF15" s="16">
        <f>SUM(BB15:BE15)</f>
        <v>89104</v>
      </c>
      <c r="BG15" s="16">
        <f>BB15*(1+BG16)</f>
        <v>22187</v>
      </c>
      <c r="BH15" s="16">
        <f>BC15*(1+BH16)</f>
        <v>29591</v>
      </c>
      <c r="BI15" s="16">
        <f>BD15*(1+BI16)</f>
        <v>18015</v>
      </c>
      <c r="BJ15" s="16">
        <f>BE15*(1+BJ16)</f>
        <v>19311</v>
      </c>
      <c r="BK15" s="16">
        <f>SUM(BG15:BJ15)</f>
        <v>89104</v>
      </c>
      <c r="BL15" s="16">
        <f>BG15*(1+BL16)</f>
        <v>22187</v>
      </c>
      <c r="BM15" s="16">
        <f>BH15*(1+BM16)</f>
        <v>29591</v>
      </c>
      <c r="BN15" s="16">
        <f>BI15*(1+BN16)</f>
        <v>18015</v>
      </c>
      <c r="BO15" s="16">
        <f>BJ15*(1+BO16)</f>
        <v>19311</v>
      </c>
      <c r="BP15" s="16">
        <f>SUM(BL15:BO15)</f>
        <v>89104</v>
      </c>
      <c r="BQ15" s="16">
        <f>BL15*(1+BQ16)</f>
        <v>22187</v>
      </c>
      <c r="BR15" s="16">
        <f>BM15*(1+BR16)</f>
        <v>29591</v>
      </c>
      <c r="BS15" s="16">
        <f>BN15*(1+BS16)</f>
        <v>18015</v>
      </c>
      <c r="BT15" s="16">
        <f>BO15*(1+BT16)</f>
        <v>19311</v>
      </c>
      <c r="BU15" s="16">
        <f>SUM(BQ15:BT15)</f>
        <v>89104</v>
      </c>
      <c r="BV15" s="16">
        <f>BQ15*(1+BV16)</f>
        <v>22187</v>
      </c>
      <c r="BW15" s="16">
        <f>BR15*(1+BW16)</f>
        <v>29591</v>
      </c>
      <c r="BX15" s="16">
        <f>BS15*(1+BX16)</f>
        <v>18015</v>
      </c>
      <c r="BY15" s="16">
        <f>BT15*(1+BY16)</f>
        <v>19311</v>
      </c>
      <c r="BZ15" s="16">
        <f>SUM(BV15:BY15)</f>
        <v>89104</v>
      </c>
      <c r="CA15" s="16">
        <f>BV15*(1+CA16)</f>
        <v>22187</v>
      </c>
      <c r="CB15" s="16">
        <f>BW15*(1+CB16)</f>
        <v>29591</v>
      </c>
      <c r="CC15" s="16">
        <f>BX15*(1+CC16)</f>
        <v>18015</v>
      </c>
      <c r="CD15" s="16">
        <f>BY15*(1+CD16)</f>
        <v>19311</v>
      </c>
      <c r="CE15" s="16">
        <f>SUM(CA15:CD15)</f>
        <v>89104</v>
      </c>
      <c r="CF15" s="16">
        <f>CA15*(1+CF16)</f>
        <v>22187</v>
      </c>
      <c r="CG15" s="16">
        <f>CB15*(1+CG16)</f>
        <v>29591</v>
      </c>
      <c r="CH15" s="16">
        <f>CC15*(1+CH16)</f>
        <v>18015</v>
      </c>
      <c r="CI15" s="16">
        <f>CD15*(1+CI16)</f>
        <v>19311</v>
      </c>
      <c r="CJ15" s="16">
        <f>SUM(CF15:CI15)</f>
        <v>89104</v>
      </c>
      <c r="CK15" s="16">
        <f>CF15*(1+CK16)</f>
        <v>22187</v>
      </c>
      <c r="CL15" s="16">
        <f>CG15*(1+CL16)</f>
        <v>29591</v>
      </c>
      <c r="CM15" s="16">
        <f>CH15*(1+CM16)</f>
        <v>18015</v>
      </c>
      <c r="CN15" s="16">
        <f>CI15*(1+CN16)</f>
        <v>19311</v>
      </c>
      <c r="CO15" s="16">
        <f>SUM(CK15:CN15)</f>
        <v>89104</v>
      </c>
      <c r="CP15" s="16">
        <f>CK15*(1+CP16)</f>
        <v>22187</v>
      </c>
      <c r="CQ15" s="16">
        <f>CL15*(1+CQ16)</f>
        <v>29591</v>
      </c>
      <c r="CR15" s="16">
        <f>CM15*(1+CR16)</f>
        <v>18015</v>
      </c>
      <c r="CS15" s="16">
        <f>CN15*(1+CS16)</f>
        <v>19311</v>
      </c>
      <c r="CT15" s="16">
        <f>SUM(CP15:CS15)</f>
        <v>89104</v>
      </c>
      <c r="CU15" s="16">
        <f>CP15*(1+CU16)</f>
        <v>22187</v>
      </c>
      <c r="CV15" s="16">
        <f>CQ15*(1+CV16)</f>
        <v>29591</v>
      </c>
      <c r="CW15" s="16">
        <f>CR15*(1+CW16)</f>
        <v>18015</v>
      </c>
      <c r="CX15" s="16">
        <f>CS15*(1+CX16)</f>
        <v>19311</v>
      </c>
      <c r="CY15" s="16">
        <f>SUM(CU15:CX15)</f>
        <v>89104</v>
      </c>
    </row>
    <row r="16" hidden="1" outlineLevel="1" customFormat="1" s="23">
      <c r="A16" s="18" t="n"/>
      <c r="B16" s="19" t="n"/>
      <c r="C16" s="33" t="inlineStr">
        <is>
          <t>% YoY</t>
        </is>
      </c>
      <c r="D16" s="21" t="n"/>
      <c r="E16" s="47" t="n"/>
      <c r="F16" s="47" t="n"/>
      <c r="G16" s="47" t="n"/>
      <c r="H16" s="21" t="n"/>
      <c r="I16" s="21" t="n"/>
      <c r="J16" s="47" t="n"/>
      <c r="K16" s="47" t="n"/>
      <c r="L16" s="47" t="n"/>
      <c r="M16" s="21" t="n"/>
      <c r="N16" s="47">
        <f>N15/I15-1</f>
        <v>0.225869894099849</v>
      </c>
      <c r="O16" s="47">
        <f>O15/J15-1</f>
        <v>0.248745942755975</v>
      </c>
      <c r="P16" s="47">
        <f>P15/K15-1</f>
        <v>0.205616308896989</v>
      </c>
      <c r="Q16" s="47">
        <f>Q15/L15-1</f>
        <v>0.156890734492603</v>
      </c>
      <c r="R16" s="47">
        <f>R15/M15-1</f>
        <v>0.207396231711168</v>
      </c>
      <c r="S16" s="47">
        <f>S15/N15-1</f>
        <v>0.0777489818585708</v>
      </c>
      <c r="T16" s="47">
        <f>T15/O15-1</f>
        <v>0.0486767485822306</v>
      </c>
      <c r="U16" s="47">
        <f>U15/P15-1</f>
        <v>0.0408734602463605</v>
      </c>
      <c r="V16" s="47">
        <f>V15/Q15-1</f>
        <v>0.341671340437465</v>
      </c>
      <c r="W16" s="47">
        <f>W15/R15-1</f>
        <v>0.129402533999768</v>
      </c>
      <c r="X16" s="47">
        <f>X15/S15-1</f>
        <v>0.429863735257071</v>
      </c>
      <c r="Y16" s="47">
        <f>Y15/T15-1</f>
        <v>0.472735466426318</v>
      </c>
      <c r="Z16" s="47">
        <f>Z15/U15-1</f>
        <v>0.511995696611081</v>
      </c>
      <c r="AA16" s="47">
        <f>AA15/V15-1</f>
        <v>0.247052921996489</v>
      </c>
      <c r="AB16" s="47">
        <f>AB15/W15-1</f>
        <v>0.403036150778335</v>
      </c>
      <c r="AC16" s="47">
        <f>AC15/X15-1</f>
        <v>0.201569632417715</v>
      </c>
      <c r="AD16" s="47">
        <f>AD15/Y15-1</f>
        <v>0.2203182374541</v>
      </c>
      <c r="AE16" s="47">
        <f>AE15/Z15-1</f>
        <v>0.281841468621033</v>
      </c>
      <c r="AF16" s="44">
        <f>AF15/AA15-1</f>
        <v>0.294650040225261</v>
      </c>
      <c r="AG16" s="47">
        <f>AG15/AB15-1</f>
        <v>0.252214418016101</v>
      </c>
      <c r="AH16" s="44">
        <f>AH15/AC15-1</f>
        <v>0.478739002932551</v>
      </c>
      <c r="AI16" s="44">
        <f>AI15/AD15-1</f>
        <v>0.855002507522568</v>
      </c>
      <c r="AJ16" s="44" t="n"/>
      <c r="AK16" s="44" t="n"/>
      <c r="AL16" s="22">
        <f>AL15/AG15-1</f>
        <v>0.30494127295627</v>
      </c>
      <c r="AM16" s="44" t="n"/>
      <c r="AN16" s="44" t="n"/>
      <c r="AO16" s="44" t="n"/>
      <c r="AP16" s="44" t="n"/>
      <c r="AQ16" s="22">
        <f>AQ15/AL15-1</f>
        <v>0</v>
      </c>
      <c r="AR16" s="44" t="n"/>
      <c r="AS16" s="44" t="n"/>
      <c r="AT16" s="44" t="n"/>
      <c r="AU16" s="44" t="n"/>
      <c r="AV16" s="22">
        <f>AV15/AQ15-1</f>
        <v>0</v>
      </c>
      <c r="AW16" s="44" t="n"/>
      <c r="AX16" s="44" t="n"/>
      <c r="AY16" s="44" t="n"/>
      <c r="AZ16" s="44" t="n"/>
      <c r="BA16" s="22">
        <f>BA15/AV15-1</f>
        <v>0</v>
      </c>
      <c r="BB16" s="44" t="n"/>
      <c r="BC16" s="44" t="n"/>
      <c r="BD16" s="44" t="n"/>
      <c r="BE16" s="44" t="n"/>
      <c r="BF16" s="22">
        <f>BF15/BA15-1</f>
        <v>0</v>
      </c>
      <c r="BG16" s="44" t="n"/>
      <c r="BH16" s="44" t="n"/>
      <c r="BI16" s="44" t="n"/>
      <c r="BJ16" s="44" t="n"/>
      <c r="BK16" s="22">
        <f>BK15/BF15-1</f>
        <v>0</v>
      </c>
      <c r="BL16" s="44" t="n"/>
      <c r="BM16" s="44" t="n"/>
      <c r="BN16" s="44" t="n"/>
      <c r="BO16" s="44" t="n"/>
      <c r="BP16" s="22">
        <f>BP15/BK15-1</f>
        <v>0</v>
      </c>
      <c r="BQ16" s="44" t="n"/>
      <c r="BR16" s="44" t="n"/>
      <c r="BS16" s="44" t="n"/>
      <c r="BT16" s="44" t="n"/>
      <c r="BU16" s="22">
        <f>BU15/BP15-1</f>
        <v>0</v>
      </c>
      <c r="BV16" s="44" t="n"/>
      <c r="BW16" s="44" t="n"/>
      <c r="BX16" s="44" t="n"/>
      <c r="BY16" s="44" t="n"/>
      <c r="BZ16" s="22">
        <f>BZ15/BU15-1</f>
        <v>0</v>
      </c>
      <c r="CA16" s="44" t="n"/>
      <c r="CB16" s="44" t="n"/>
      <c r="CC16" s="44" t="n"/>
      <c r="CD16" s="44" t="n"/>
      <c r="CE16" s="22">
        <f>CE15/BZ15-1</f>
        <v>0</v>
      </c>
      <c r="CF16" s="44" t="n"/>
      <c r="CG16" s="44" t="n"/>
      <c r="CH16" s="44" t="n"/>
      <c r="CI16" s="44" t="n"/>
      <c r="CJ16" s="22">
        <f>CJ15/CE15-1</f>
        <v>0</v>
      </c>
      <c r="CK16" s="44" t="n"/>
      <c r="CL16" s="44" t="n"/>
      <c r="CM16" s="44" t="n"/>
      <c r="CN16" s="44" t="n"/>
      <c r="CO16" s="22">
        <f>CO15/CJ15-1</f>
        <v>0</v>
      </c>
      <c r="CP16" s="44" t="n"/>
      <c r="CQ16" s="44" t="n"/>
      <c r="CR16" s="44" t="n"/>
      <c r="CS16" s="44" t="n"/>
      <c r="CT16" s="22">
        <f>CT15/CO15-1</f>
        <v>0</v>
      </c>
      <c r="CU16" s="44" t="n"/>
      <c r="CV16" s="44" t="n"/>
      <c r="CW16" s="44" t="n"/>
      <c r="CX16" s="44" t="n"/>
      <c r="CY16" s="22">
        <f>CY15/CT15-1</f>
        <v>0</v>
      </c>
    </row>
    <row r="17" hidden="1" outlineLevel="1" customFormat="1" s="23">
      <c r="A17" s="18" t="n"/>
      <c r="B17" s="19" t="n"/>
      <c r="C17" s="229" t="inlineStr">
        <is>
          <t>Check Receita (linha 15 - semicondutores + software)</t>
        </is>
      </c>
      <c r="D17" s="15">
        <f>IF(COUNT(D22)=0,"",D22)</f>
        <v>0</v>
      </c>
      <c r="E17" s="15">
        <f>IF(COUNT(E22)=0,"",E22)</f>
        <v>0</v>
      </c>
      <c r="F17" s="15">
        <f>IF(COUNT(F22)=0,"",F22)</f>
        <v>0</v>
      </c>
      <c r="G17" s="15">
        <f>IF(COUNT(G22)=0,"",G22)</f>
        <v>0</v>
      </c>
      <c r="H17" s="16">
        <f>IF(COUNT(H22)=0,"",H22)</f>
        <v>0</v>
      </c>
      <c r="I17" s="15">
        <f>IF(COUNT(I22)=0,"",I22)</f>
        <v>0</v>
      </c>
      <c r="J17" s="15">
        <f>IF(COUNT(J22)=0,"",J22)</f>
        <v>0</v>
      </c>
      <c r="K17" s="15">
        <f>IF(COUNT(K22)=0,"",K22)</f>
        <v>0</v>
      </c>
      <c r="L17" s="15">
        <f>IF(COUNT(L22)=0,"",L22)</f>
        <v>0</v>
      </c>
      <c r="M17" s="16">
        <f>IF(COUNT(M22)=0,"",M22)</f>
        <v>0</v>
      </c>
      <c r="N17" s="15">
        <f>IF(COUNT(N22)=0,"",N22)</f>
        <v>0</v>
      </c>
      <c r="O17" s="15">
        <f>IF(COUNT(O22)=0,"",O22)</f>
        <v>0</v>
      </c>
      <c r="P17" s="15">
        <f>IF(COUNT(P22)=0,"",P22)</f>
        <v>0</v>
      </c>
      <c r="Q17" s="15">
        <f>IF(COUNT(Q22)=0,"",Q22)</f>
        <v>0</v>
      </c>
      <c r="R17" s="16">
        <f>IF(COUNT(R22)=0,"",R22)</f>
        <v>0</v>
      </c>
      <c r="S17" s="15">
        <f>IF(COUNT(S22)=0,"",S22)</f>
        <v>0</v>
      </c>
      <c r="T17" s="15">
        <f>IF(COUNT(T22)=0,"",T22)</f>
        <v>0</v>
      </c>
      <c r="U17" s="15">
        <f>IF(COUNT(U22)=0,"",U22)</f>
        <v>0</v>
      </c>
      <c r="V17" s="15">
        <f>IF(COUNT(V22)=0,"",V22)</f>
        <v>0</v>
      </c>
      <c r="W17" s="16">
        <f>IF(COUNT(W22)=0,"",W22)</f>
        <v>0</v>
      </c>
      <c r="X17" s="15">
        <f>IF(COUNT(X22)=0,"",X22)</f>
        <v>0</v>
      </c>
      <c r="Y17" s="15">
        <f>IF(COUNT(Y22)=0,"",Y22)</f>
        <v>0</v>
      </c>
      <c r="Z17" s="15">
        <f>IF(COUNT(Z22)=0,"",Z22)</f>
        <v>0</v>
      </c>
      <c r="AA17" s="15">
        <f>IF(COUNT(AA22)=0,"",AA22)</f>
        <v>0</v>
      </c>
      <c r="AB17" s="16">
        <f>IF(COUNT(AB22)=0,"",AB22)</f>
        <v>0</v>
      </c>
      <c r="AC17" s="15">
        <f>IF(COUNT(AC22)=0,"",AC22)</f>
        <v>0</v>
      </c>
      <c r="AD17" s="15">
        <f>IF(COUNT(AD22)=0,"",AD22)</f>
        <v>0</v>
      </c>
      <c r="AE17" s="15">
        <f>IF(COUNT(AE22)=0,"",AE22)</f>
        <v>0</v>
      </c>
      <c r="AF17" s="15">
        <f>IF(COUNT(AF22)=0,"",AF22)</f>
        <v>0</v>
      </c>
      <c r="AG17" s="16">
        <f>IF(COUNT(AG22)=0,"",AG22)</f>
        <v>0</v>
      </c>
      <c r="AH17" s="16">
        <f>IF(COUNT(AH22)=0,"",AH22)</f>
        <v>0</v>
      </c>
      <c r="AI17" s="16">
        <f>IF(COUNT(AI22)=0,"",AI22)</f>
        <v>0</v>
      </c>
      <c r="AJ17" s="44" t="n"/>
      <c r="AK17" s="44" t="n"/>
      <c r="AL17" s="22" t="n"/>
      <c r="AM17" s="44" t="n"/>
      <c r="AN17" s="44" t="n"/>
      <c r="AO17" s="44" t="n"/>
      <c r="AP17" s="44" t="n"/>
      <c r="AQ17" s="22" t="n"/>
      <c r="AR17" s="44" t="n"/>
      <c r="AS17" s="44" t="n"/>
      <c r="AT17" s="44" t="n"/>
      <c r="AU17" s="44" t="n"/>
      <c r="AV17" s="22" t="n"/>
      <c r="AW17" s="44" t="n"/>
      <c r="AX17" s="44" t="n"/>
      <c r="AY17" s="44" t="n"/>
      <c r="AZ17" s="44" t="n"/>
      <c r="BA17" s="22" t="n"/>
      <c r="BB17" s="44" t="n"/>
      <c r="BC17" s="44" t="n"/>
      <c r="BD17" s="44" t="n"/>
      <c r="BE17" s="44" t="n"/>
      <c r="BF17" s="22" t="n"/>
      <c r="BG17" s="44" t="n"/>
      <c r="BH17" s="44" t="n"/>
      <c r="BI17" s="44" t="n"/>
      <c r="BJ17" s="44" t="n"/>
      <c r="BK17" s="22" t="n"/>
      <c r="BL17" s="44" t="n"/>
      <c r="BM17" s="44" t="n"/>
      <c r="BN17" s="44" t="n"/>
      <c r="BO17" s="44" t="n"/>
      <c r="BP17" s="22" t="n"/>
      <c r="BQ17" s="44" t="n"/>
      <c r="BR17" s="44" t="n"/>
      <c r="BS17" s="44" t="n"/>
      <c r="BT17" s="44" t="n"/>
      <c r="BU17" s="22" t="n"/>
      <c r="BV17" s="44" t="n"/>
      <c r="BW17" s="44" t="n"/>
      <c r="BX17" s="44" t="n"/>
      <c r="BY17" s="44" t="n"/>
      <c r="BZ17" s="22" t="n"/>
      <c r="CA17" s="44" t="n"/>
      <c r="CB17" s="44" t="n"/>
      <c r="CC17" s="44" t="n"/>
      <c r="CD17" s="44" t="n"/>
      <c r="CE17" s="22" t="n"/>
      <c r="CF17" s="44" t="n"/>
      <c r="CG17" s="44" t="n"/>
      <c r="CH17" s="44" t="n"/>
      <c r="CI17" s="44" t="n"/>
      <c r="CJ17" s="22" t="n"/>
      <c r="CK17" s="44" t="n"/>
      <c r="CL17" s="44" t="n"/>
      <c r="CM17" s="44" t="n"/>
      <c r="CN17" s="44" t="n"/>
      <c r="CO17" s="22" t="n"/>
      <c r="CP17" s="44" t="n"/>
      <c r="CQ17" s="44" t="n"/>
      <c r="CR17" s="44" t="n"/>
      <c r="CS17" s="44" t="n"/>
      <c r="CT17" s="22" t="n"/>
      <c r="CU17" s="44" t="n"/>
      <c r="CV17" s="44" t="n"/>
      <c r="CW17" s="44" t="n"/>
      <c r="CX17" s="44" t="n"/>
      <c r="CY17" s="22" t="n"/>
    </row>
    <row r="18">
      <c r="C18" s="12" t="inlineStr">
        <is>
          <t>Segmentos (USD milhões)</t>
        </is>
      </c>
      <c r="D18" s="12" t="str">
        <f>D7</f>
        <v>1Q20</v>
      </c>
      <c r="E18" s="12" t="str">
        <f>E7</f>
        <v>2Q20</v>
      </c>
      <c r="F18" s="12" t="str">
        <f>F7</f>
        <v>3Q20</v>
      </c>
      <c r="G18" s="12" t="str">
        <f>G7</f>
        <v>4Q20</v>
      </c>
      <c r="H18" s="12">
        <f>H7</f>
        <v>2020</v>
      </c>
      <c r="I18" s="12" t="str">
        <f>I7</f>
        <v>1Q21</v>
      </c>
      <c r="J18" s="12" t="str">
        <f>J7</f>
        <v>2Q21</v>
      </c>
      <c r="K18" s="12" t="str">
        <f>K7</f>
        <v>3Q21</v>
      </c>
      <c r="L18" s="12" t="str">
        <f>L7</f>
        <v>4Q21</v>
      </c>
      <c r="M18" s="12">
        <f>M7</f>
        <v>2021</v>
      </c>
      <c r="N18" s="12" t="str">
        <f>N7</f>
        <v>1Q22</v>
      </c>
      <c r="O18" s="12" t="str">
        <f>O7</f>
        <v>2Q22</v>
      </c>
      <c r="P18" s="12" t="str">
        <f>P7</f>
        <v>3Q22</v>
      </c>
      <c r="Q18" s="12" t="str">
        <f>Q7</f>
        <v>4Q22</v>
      </c>
      <c r="R18" s="12">
        <f>R7</f>
        <v>2022</v>
      </c>
      <c r="S18" s="12" t="str">
        <f>S7</f>
        <v>1Q23</v>
      </c>
      <c r="T18" s="12" t="str">
        <f>T7</f>
        <v>2Q23</v>
      </c>
      <c r="U18" s="12" t="str">
        <f>U7</f>
        <v>3Q23</v>
      </c>
      <c r="V18" s="12" t="str">
        <f>V7</f>
        <v>4Q23</v>
      </c>
      <c r="W18" s="12">
        <f>W7</f>
        <v>2023</v>
      </c>
      <c r="X18" s="12" t="str">
        <f>X7</f>
        <v>1Q24</v>
      </c>
      <c r="Y18" s="12" t="str">
        <f>Y7</f>
        <v>2Q24</v>
      </c>
      <c r="Z18" s="12" t="str">
        <f>Z7</f>
        <v>3Q24</v>
      </c>
      <c r="AA18" s="12" t="str">
        <f>AA7</f>
        <v>4Q24</v>
      </c>
      <c r="AB18" s="12">
        <f>AB7</f>
        <v>2024</v>
      </c>
      <c r="AC18" s="12" t="str">
        <f>AC7</f>
        <v>1Q25</v>
      </c>
      <c r="AD18" s="12" t="str">
        <f>AD7</f>
        <v>2Q25</v>
      </c>
      <c r="AE18" s="12" t="str">
        <f>AE7</f>
        <v>3Q25</v>
      </c>
      <c r="AF18" s="12" t="str">
        <f>AF7</f>
        <v>4Q25</v>
      </c>
      <c r="AG18" s="12">
        <f>AG7</f>
        <v>2025</v>
      </c>
      <c r="AH18" s="12" t="str">
        <f>AH7</f>
        <v>1Q26</v>
      </c>
      <c r="AI18" s="12" t="str">
        <f>AI7</f>
        <v>2Q26</v>
      </c>
    </row>
    <row r="19">
      <c r="C19" s="14" t="inlineStr">
        <is>
          <t xml:space="preserve">   Semiconductor Solutions</t>
        </is>
      </c>
      <c r="D19" s="265">
        <f>IFERROR(INDEX('Inputs (2)'!$D$53:$AL$53,MATCH(D$7,'Inputs (2)'!$D$2:$AL$2,0)),"")</f>
        <v>4027</v>
      </c>
      <c r="E19" s="265">
        <f>IFERROR(INDEX('Inputs (2)'!$D$53:$AL$53,MATCH(E$7,'Inputs (2)'!$D$2:$AL$2,0)),"")</f>
        <v>4219</v>
      </c>
      <c r="F19" s="265">
        <f>IFERROR(INDEX('Inputs (2)'!$D$53:$AL$53,MATCH(F$7,'Inputs (2)'!$D$2:$AL$2,0)),"")</f>
        <v>4830</v>
      </c>
      <c r="G19" s="265">
        <f>IFERROR(INDEX('Inputs (2)'!$D$53:$AL$53,MATCH(G$7,'Inputs (2)'!$D$2:$AL$2,0)),"")</f>
        <v>4908</v>
      </c>
      <c r="H19" s="266">
        <f>IF(COUNT(D19:G19)=4,SUM(D19:G19),"")</f>
        <v>17984</v>
      </c>
      <c r="I19" s="265">
        <f>IFERROR(INDEX('Inputs (2)'!$D$53:$AL$53,MATCH(I$7,'Inputs (2)'!$D$2:$AL$2,0)),"")</f>
        <v>4820</v>
      </c>
      <c r="J19" s="265">
        <f>IFERROR(INDEX('Inputs (2)'!$D$53:$AL$53,MATCH(J$7,'Inputs (2)'!$D$2:$AL$2,0)),"")</f>
        <v>5021</v>
      </c>
      <c r="K19" s="265">
        <f>IFERROR(INDEX('Inputs (2)'!$D$53:$AL$53,MATCH(K$7,'Inputs (2)'!$D$2:$AL$2,0)),"")</f>
        <v>5634</v>
      </c>
      <c r="L19" s="265">
        <f>IFERROR(INDEX('Inputs (2)'!$D$53:$AL$53,MATCH(L$7,'Inputs (2)'!$D$2:$AL$2,0)),"")</f>
        <v>5873</v>
      </c>
      <c r="M19" s="266">
        <f>IF(COUNT(I19:L19)=4,SUM(I19:L19),"")</f>
        <v>21348</v>
      </c>
      <c r="N19" s="265">
        <f>IFERROR(INDEX('Inputs (2)'!$D$53:$AL$53,MATCH(N$7,'Inputs (2)'!$D$2:$AL$2,0)),"")</f>
        <v>6229</v>
      </c>
      <c r="O19" s="265">
        <f>IFERROR(INDEX('Inputs (2)'!$D$53:$AL$53,MATCH(O$7,'Inputs (2)'!$D$2:$AL$2,0)),"")</f>
        <v>6624</v>
      </c>
      <c r="P19" s="265">
        <f>IFERROR(INDEX('Inputs (2)'!$D$53:$AL$53,MATCH(P$7,'Inputs (2)'!$D$2:$AL$2,0)),"")</f>
        <v>7092</v>
      </c>
      <c r="Q19" s="265">
        <f>IFERROR(INDEX('Inputs (2)'!$D$53:$AL$53,MATCH(Q$7,'Inputs (2)'!$D$2:$AL$2,0)),"")</f>
        <v>7107</v>
      </c>
      <c r="R19" s="266">
        <f>IF(COUNT(N19:Q19)=4,SUM(N19:Q19),"")</f>
        <v>27052</v>
      </c>
      <c r="S19" s="265">
        <f>IFERROR(INDEX('Inputs (2)'!$D$53:$AL$53,MATCH(S$7,'Inputs (2)'!$D$2:$AL$2,0)),"")</f>
        <v>6808</v>
      </c>
      <c r="T19" s="265">
        <f>IFERROR(INDEX('Inputs (2)'!$D$53:$AL$53,MATCH(T$7,'Inputs (2)'!$D$2:$AL$2,0)),"")</f>
        <v>6941</v>
      </c>
      <c r="U19" s="265">
        <f>IFERROR(INDEX('Inputs (2)'!$D$53:$AL$53,MATCH(U$7,'Inputs (2)'!$D$2:$AL$2,0)),"")</f>
        <v>7326</v>
      </c>
      <c r="V19" s="265">
        <f>IFERROR(INDEX('Inputs (2)'!$D$53:$AL$53,MATCH(V$7,'Inputs (2)'!$D$2:$AL$2,0)),"")</f>
        <v>7390</v>
      </c>
      <c r="W19" s="266">
        <f>IF(COUNT(S19:V19)=4,SUM(S19:V19),"")</f>
        <v>28465</v>
      </c>
      <c r="X19" s="265">
        <f>IFERROR(INDEX('Inputs (2)'!$D$53:$AL$53,MATCH(X$7,'Inputs (2)'!$D$2:$AL$2,0)),"")</f>
        <v>7202</v>
      </c>
      <c r="Y19" s="265">
        <f>IFERROR(INDEX('Inputs (2)'!$D$53:$AL$53,MATCH(Y$7,'Inputs (2)'!$D$2:$AL$2,0)),"")</f>
        <v>7274</v>
      </c>
      <c r="Z19" s="265">
        <f>IFERROR(INDEX('Inputs (2)'!$D$53:$AL$53,MATCH(Z$7,'Inputs (2)'!$D$2:$AL$2,0)),"")</f>
        <v>8230</v>
      </c>
      <c r="AA19" s="265">
        <f>IFERROR(INDEX('Inputs (2)'!$D$53:$AL$53,MATCH(AA$7,'Inputs (2)'!$D$2:$AL$2,0)),"")</f>
        <v>8212</v>
      </c>
      <c r="AB19" s="266">
        <f>IF(COUNT(X19:AA19)=4,SUM(X19:AA19),"")</f>
        <v>30918</v>
      </c>
      <c r="AC19" s="265">
        <f>IFERROR(INDEX('Inputs (2)'!$D$53:$AL$53,MATCH(AC$7,'Inputs (2)'!$D$2:$AL$2,0)),"")</f>
        <v>8408</v>
      </c>
      <c r="AD19" s="265">
        <f>IFERROR(INDEX('Inputs (2)'!$D$53:$AL$53,MATCH(AD$7,'Inputs (2)'!$D$2:$AL$2,0)),"")</f>
        <v>9166</v>
      </c>
      <c r="AE19" s="265">
        <f>IFERROR(INDEX('Inputs (2)'!$D$53:$AL$53,MATCH(AE$7,'Inputs (2)'!$D$2:$AL$2,0)),"")</f>
        <v>11072</v>
      </c>
      <c r="AF19" s="265">
        <f>IFERROR(INDEX('Inputs (2)'!$D$53:$AL$53,MATCH(AF$7,'Inputs (2)'!$D$2:$AL$2,0)),"")</f>
        <v>12515</v>
      </c>
      <c r="AG19" s="266">
        <f>IF(COUNT(AC19:AF19)=4,SUM(AC19:AF19),"")</f>
        <v>41161</v>
      </c>
      <c r="AH19" s="266">
        <f>IFERROR(INDEX('Inputs (2)'!$D$53:$AL$53,MATCH(AH$7,'Inputs (2)'!$D$2:$AL$2,0)),"")</f>
        <v>15009</v>
      </c>
      <c r="AI19" s="266">
        <f>IFERROR(INDEX('Inputs (2)'!$D$53:$AL$53,MATCH(AI$7,'Inputs (2)'!$D$2:$AL$2,0)),"")</f>
        <v>20839</v>
      </c>
    </row>
    <row r="20">
      <c r="C20" s="14" t="inlineStr">
        <is>
          <t xml:space="preserve">   Infrastructure Software</t>
        </is>
      </c>
      <c r="D20" s="265">
        <f>IFERROR(INDEX('Inputs (2)'!$D$54:$AL$54,MATCH(D$7,'Inputs (2)'!$D$2:$AL$2,0)),"")</f>
        <v>1715</v>
      </c>
      <c r="E20" s="265">
        <f>IFERROR(INDEX('Inputs (2)'!$D$54:$AL$54,MATCH(E$7,'Inputs (2)'!$D$2:$AL$2,0)),"")</f>
        <v>1602</v>
      </c>
      <c r="F20" s="265">
        <f>IFERROR(INDEX('Inputs (2)'!$D$54:$AL$54,MATCH(F$7,'Inputs (2)'!$D$2:$AL$2,0)),"")</f>
        <v>1637</v>
      </c>
      <c r="G20" s="265">
        <f>IFERROR(INDEX('Inputs (2)'!$D$54:$AL$54,MATCH(G$7,'Inputs (2)'!$D$2:$AL$2,0)),"")</f>
        <v>1747</v>
      </c>
      <c r="H20" s="266">
        <f>IF(COUNT(D20:G20)=4,SUM(D20:G20),"")</f>
        <v>6701</v>
      </c>
      <c r="I20" s="265">
        <f>IFERROR(INDEX('Inputs (2)'!$D$54:$AL$54,MATCH(I$7,'Inputs (2)'!$D$2:$AL$2,0)),"")</f>
        <v>1790</v>
      </c>
      <c r="J20" s="265">
        <f>IFERROR(INDEX('Inputs (2)'!$D$54:$AL$54,MATCH(J$7,'Inputs (2)'!$D$2:$AL$2,0)),"")</f>
        <v>1757</v>
      </c>
      <c r="K20" s="265">
        <f>IFERROR(INDEX('Inputs (2)'!$D$54:$AL$54,MATCH(K$7,'Inputs (2)'!$D$2:$AL$2,0)),"")</f>
        <v>1773</v>
      </c>
      <c r="L20" s="265">
        <f>IFERROR(INDEX('Inputs (2)'!$D$54:$AL$54,MATCH(L$7,'Inputs (2)'!$D$2:$AL$2,0)),"")</f>
        <v>1833</v>
      </c>
      <c r="M20" s="266">
        <f>IF(COUNT(I20:L20)=4,SUM(I20:L20),"")</f>
        <v>7153</v>
      </c>
      <c r="N20" s="265">
        <f>IFERROR(INDEX('Inputs (2)'!$D$54:$AL$54,MATCH(N$7,'Inputs (2)'!$D$2:$AL$2,0)),"")</f>
        <v>1874</v>
      </c>
      <c r="O20" s="265">
        <f>IFERROR(INDEX('Inputs (2)'!$D$54:$AL$54,MATCH(O$7,'Inputs (2)'!$D$2:$AL$2,0)),"")</f>
        <v>1840</v>
      </c>
      <c r="P20" s="265">
        <f>IFERROR(INDEX('Inputs (2)'!$D$54:$AL$54,MATCH(P$7,'Inputs (2)'!$D$2:$AL$2,0)),"")</f>
        <v>1838</v>
      </c>
      <c r="Q20" s="265">
        <f>IFERROR(INDEX('Inputs (2)'!$D$54:$AL$54,MATCH(Q$7,'Inputs (2)'!$D$2:$AL$2,0)),"")</f>
        <v>1808</v>
      </c>
      <c r="R20" s="266">
        <f>IF(COUNT(N20:Q20)=4,SUM(N20:Q20),"")</f>
        <v>7360</v>
      </c>
      <c r="S20" s="265">
        <f>IFERROR(INDEX('Inputs (2)'!$D$54:$AL$54,MATCH(S$7,'Inputs (2)'!$D$2:$AL$2,0)),"")</f>
        <v>1925</v>
      </c>
      <c r="T20" s="265">
        <f>IFERROR(INDEX('Inputs (2)'!$D$54:$AL$54,MATCH(T$7,'Inputs (2)'!$D$2:$AL$2,0)),"")</f>
        <v>1935</v>
      </c>
      <c r="U20" s="265">
        <f>IFERROR(INDEX('Inputs (2)'!$D$54:$AL$54,MATCH(U$7,'Inputs (2)'!$D$2:$AL$2,0)),"")</f>
        <v>1969</v>
      </c>
      <c r="V20" s="265">
        <f>IFERROR(INDEX('Inputs (2)'!$D$54:$AL$54,MATCH(V$7,'Inputs (2)'!$D$2:$AL$2,0)),"")</f>
        <v>4571</v>
      </c>
      <c r="W20" s="266">
        <f>IF(COUNT(S20:V20)=4,SUM(S20:V20),"")</f>
        <v>10400</v>
      </c>
      <c r="X20" s="265">
        <f>IFERROR(INDEX('Inputs (2)'!$D$54:$AL$54,MATCH(X$7,'Inputs (2)'!$D$2:$AL$2,0)),"")</f>
        <v>5285</v>
      </c>
      <c r="Y20" s="265">
        <f>IFERROR(INDEX('Inputs (2)'!$D$54:$AL$54,MATCH(Y$7,'Inputs (2)'!$D$2:$AL$2,0)),"")</f>
        <v>5798</v>
      </c>
      <c r="Z20" s="265">
        <f>IFERROR(INDEX('Inputs (2)'!$D$54:$AL$54,MATCH(Z$7,'Inputs (2)'!$D$2:$AL$2,0)),"")</f>
        <v>5824</v>
      </c>
      <c r="AA20" s="265">
        <f>IFERROR(INDEX('Inputs (2)'!$D$54:$AL$54,MATCH(AA$7,'Inputs (2)'!$D$2:$AL$2,0)),"")</f>
        <v>6704</v>
      </c>
      <c r="AB20" s="266">
        <f>IF(COUNT(X20:AA20)=4,SUM(X20:AA20),"")</f>
        <v>23611</v>
      </c>
      <c r="AC20" s="265">
        <f>IFERROR(INDEX('Inputs (2)'!$D$54:$AL$54,MATCH(AC$7,'Inputs (2)'!$D$2:$AL$2,0)),"")</f>
        <v>6596</v>
      </c>
      <c r="AD20" s="265">
        <f>IFERROR(INDEX('Inputs (2)'!$D$54:$AL$54,MATCH(AD$7,'Inputs (2)'!$D$2:$AL$2,0)),"")</f>
        <v>6786</v>
      </c>
      <c r="AE20" s="265">
        <f>IFERROR(INDEX('Inputs (2)'!$D$54:$AL$54,MATCH(AE$7,'Inputs (2)'!$D$2:$AL$2,0)),"")</f>
        <v>6943</v>
      </c>
      <c r="AF20" s="265">
        <f>IFERROR(INDEX('Inputs (2)'!$D$54:$AL$54,MATCH(AF$7,'Inputs (2)'!$D$2:$AL$2,0)),"")</f>
        <v>6796</v>
      </c>
      <c r="AG20" s="266">
        <f>IF(COUNT(AC20:AF20)=4,SUM(AC20:AF20),"")</f>
        <v>27121</v>
      </c>
      <c r="AH20" s="266">
        <f>IFERROR(INDEX('Inputs (2)'!$D$54:$AL$54,MATCH(AH$7,'Inputs (2)'!$D$2:$AL$2,0)),"")</f>
        <v>7178</v>
      </c>
      <c r="AI20" s="266">
        <f>IFERROR(INDEX('Inputs (2)'!$D$54:$AL$54,MATCH(AI$7,'Inputs (2)'!$D$2:$AL$2,0)),"")</f>
        <v>8752</v>
      </c>
    </row>
    <row r="21">
      <c r="C21" s="267" t="inlineStr">
        <is>
          <t>Receita (soma)</t>
        </is>
      </c>
      <c r="D21" s="265">
        <f>IF(COUNT(D19,D20)=0,"",N(D19)+N(D20))</f>
        <v>5742</v>
      </c>
      <c r="E21" s="265">
        <f>IF(COUNT(E19,E20)=0,"",N(E19)+N(E20))</f>
        <v>5821</v>
      </c>
      <c r="F21" s="265">
        <f>IF(COUNT(F19,F20)=0,"",N(F19)+N(F20))</f>
        <v>6467</v>
      </c>
      <c r="G21" s="265">
        <f>IF(COUNT(G19,G20)=0,"",N(G19)+N(G20))</f>
        <v>6655</v>
      </c>
      <c r="H21" s="266">
        <f>IF(COUNT(H19,H20)=0,"",N(H19)+N(H20))</f>
        <v>24685</v>
      </c>
      <c r="I21" s="265">
        <f>IF(COUNT(I19,I20)=0,"",N(I19)+N(I20))</f>
        <v>6610</v>
      </c>
      <c r="J21" s="265">
        <f>IF(COUNT(J19,J20)=0,"",N(J19)+N(J20))</f>
        <v>6778</v>
      </c>
      <c r="K21" s="265">
        <f>IF(COUNT(K19,K20)=0,"",N(K19)+N(K20))</f>
        <v>7407</v>
      </c>
      <c r="L21" s="265">
        <f>IF(COUNT(L19,L20)=0,"",N(L19)+N(L20))</f>
        <v>7706</v>
      </c>
      <c r="M21" s="266">
        <f>IF(COUNT(M19,M20)=0,"",N(M19)+N(M20))</f>
        <v>28501</v>
      </c>
      <c r="N21" s="265">
        <f>IF(COUNT(N19,N20)=0,"",N(N19)+N(N20))</f>
        <v>8103</v>
      </c>
      <c r="O21" s="265">
        <f>IF(COUNT(O19,O20)=0,"",N(O19)+N(O20))</f>
        <v>8464</v>
      </c>
      <c r="P21" s="265">
        <f>IF(COUNT(P19,P20)=0,"",N(P19)+N(P20))</f>
        <v>8930</v>
      </c>
      <c r="Q21" s="265">
        <f>IF(COUNT(Q19,Q20)=0,"",N(Q19)+N(Q20))</f>
        <v>8915</v>
      </c>
      <c r="R21" s="266">
        <f>IF(COUNT(R19,R20)=0,"",N(R19)+N(R20))</f>
        <v>34412</v>
      </c>
      <c r="S21" s="265">
        <f>IF(COUNT(S19,S20)=0,"",N(S19)+N(S20))</f>
        <v>8733</v>
      </c>
      <c r="T21" s="265">
        <f>IF(COUNT(T19,T20)=0,"",N(T19)+N(T20))</f>
        <v>8876</v>
      </c>
      <c r="U21" s="265">
        <f>IF(COUNT(U19,U20)=0,"",N(U19)+N(U20))</f>
        <v>9295</v>
      </c>
      <c r="V21" s="265">
        <f>IF(COUNT(V19,V20)=0,"",N(V19)+N(V20))</f>
        <v>11961</v>
      </c>
      <c r="W21" s="266">
        <f>IF(COUNT(W19,W20)=0,"",N(W19)+N(W20))</f>
        <v>38865</v>
      </c>
      <c r="X21" s="265">
        <f>IF(COUNT(X19,X20)=0,"",N(X19)+N(X20))</f>
        <v>12487</v>
      </c>
      <c r="Y21" s="265">
        <f>IF(COUNT(Y19,Y20)=0,"",N(Y19)+N(Y20))</f>
        <v>13072</v>
      </c>
      <c r="Z21" s="265">
        <f>IF(COUNT(Z19,Z20)=0,"",N(Z19)+N(Z20))</f>
        <v>14054</v>
      </c>
      <c r="AA21" s="265">
        <f>IF(COUNT(AA19,AA20)=0,"",N(AA19)+N(AA20))</f>
        <v>14916</v>
      </c>
      <c r="AB21" s="266">
        <f>IF(COUNT(AB19,AB20)=0,"",N(AB19)+N(AB20))</f>
        <v>54529</v>
      </c>
      <c r="AC21" s="265">
        <f>IF(COUNT(AC19,AC20)=0,"",N(AC19)+N(AC20))</f>
        <v>15004</v>
      </c>
      <c r="AD21" s="265">
        <f>IF(COUNT(AD19,AD20)=0,"",N(AD19)+N(AD20))</f>
        <v>15952</v>
      </c>
      <c r="AE21" s="265">
        <f>IF(COUNT(AE19,AE20)=0,"",N(AE19)+N(AE20))</f>
        <v>18015</v>
      </c>
      <c r="AF21" s="265">
        <f>IF(COUNT(AF19,AF20)=0,"",N(AF19)+N(AF20))</f>
        <v>19311</v>
      </c>
      <c r="AG21" s="266">
        <f>IF(COUNT(AG19,AG20)=0,"",N(AG19)+N(AG20))</f>
        <v>68282</v>
      </c>
      <c r="AH21" s="266">
        <f>IF(COUNT(AH19,AH20)=0,"",N(AH19)+N(AH20))</f>
        <v>22187</v>
      </c>
      <c r="AI21" s="266">
        <f>IF(COUNT(AI19,AI20)=0,"",N(AI19)+N(AI20))</f>
        <v>29591</v>
      </c>
    </row>
    <row r="22">
      <c r="C22" s="14" t="inlineStr">
        <is>
          <t>Check vs Net Revenues (linha 15)</t>
        </is>
      </c>
      <c r="D22" s="265">
        <f>IF(COUNT(D21)=0,"",ROUND(D15-D21,1))</f>
        <v>0</v>
      </c>
      <c r="E22" s="265">
        <f>IF(COUNT(E21)=0,"",ROUND(E15-E21,1))</f>
        <v>0</v>
      </c>
      <c r="F22" s="265">
        <f>IF(COUNT(F21)=0,"",ROUND(F15-F21,1))</f>
        <v>0</v>
      </c>
      <c r="G22" s="265">
        <f>IF(COUNT(G21)=0,"",ROUND(G15-G21,1))</f>
        <v>0</v>
      </c>
      <c r="H22" s="266">
        <f>IF(COUNT(H21)=0,"",ROUND(H15-H21,1))</f>
        <v>0</v>
      </c>
      <c r="I22" s="265">
        <f>IF(COUNT(I21)=0,"",ROUND(I15-I21,1))</f>
        <v>0</v>
      </c>
      <c r="J22" s="265">
        <f>IF(COUNT(J21)=0,"",ROUND(J15-J21,1))</f>
        <v>0</v>
      </c>
      <c r="K22" s="265">
        <f>IF(COUNT(K21)=0,"",ROUND(K15-K21,1))</f>
        <v>0</v>
      </c>
      <c r="L22" s="265">
        <f>IF(COUNT(L21)=0,"",ROUND(L15-L21,1))</f>
        <v>0</v>
      </c>
      <c r="M22" s="266">
        <f>IF(COUNT(M21)=0,"",ROUND(M15-M21,1))</f>
        <v>0</v>
      </c>
      <c r="N22" s="265">
        <f>IF(COUNT(N21)=0,"",ROUND(N15-N21,1))</f>
        <v>0</v>
      </c>
      <c r="O22" s="265">
        <f>IF(COUNT(O21)=0,"",ROUND(O15-O21,1))</f>
        <v>0</v>
      </c>
      <c r="P22" s="265">
        <f>IF(COUNT(P21)=0,"",ROUND(P15-P21,1))</f>
        <v>0</v>
      </c>
      <c r="Q22" s="265">
        <f>IF(COUNT(Q21)=0,"",ROUND(Q15-Q21,1))</f>
        <v>0</v>
      </c>
      <c r="R22" s="266">
        <f>IF(COUNT(R21)=0,"",ROUND(R15-R21,1))</f>
        <v>0</v>
      </c>
      <c r="S22" s="265">
        <f>IF(COUNT(S21)=0,"",ROUND(S15-S21,1))</f>
        <v>0</v>
      </c>
      <c r="T22" s="265">
        <f>IF(COUNT(T21)=0,"",ROUND(T15-T21,1))</f>
        <v>0</v>
      </c>
      <c r="U22" s="265">
        <f>IF(COUNT(U21)=0,"",ROUND(U15-U21,1))</f>
        <v>0</v>
      </c>
      <c r="V22" s="265">
        <f>IF(COUNT(V21)=0,"",ROUND(V15-V21,1))</f>
        <v>0</v>
      </c>
      <c r="W22" s="266">
        <f>IF(COUNT(W21)=0,"",ROUND(W15-W21,1))</f>
        <v>0</v>
      </c>
      <c r="X22" s="265">
        <f>IF(COUNT(X21)=0,"",ROUND(X15-X21,1))</f>
        <v>0</v>
      </c>
      <c r="Y22" s="265">
        <f>IF(COUNT(Y21)=0,"",ROUND(Y15-Y21,1))</f>
        <v>0</v>
      </c>
      <c r="Z22" s="265">
        <f>IF(COUNT(Z21)=0,"",ROUND(Z15-Z21,1))</f>
        <v>0</v>
      </c>
      <c r="AA22" s="265">
        <f>IF(COUNT(AA21)=0,"",ROUND(AA15-AA21,1))</f>
        <v>0</v>
      </c>
      <c r="AB22" s="266">
        <f>IF(COUNT(AB21)=0,"",ROUND(AB15-AB21,1))</f>
        <v>0</v>
      </c>
      <c r="AC22" s="265">
        <f>IF(COUNT(AC21)=0,"",ROUND(AC15-AC21,1))</f>
        <v>0</v>
      </c>
      <c r="AD22" s="265">
        <f>IF(COUNT(AD21)=0,"",ROUND(AD15-AD21,1))</f>
        <v>0</v>
      </c>
      <c r="AE22" s="265">
        <f>IF(COUNT(AE21)=0,"",ROUND(AE15-AE21,1))</f>
        <v>0</v>
      </c>
      <c r="AF22" s="265">
        <f>IF(COUNT(AF21)=0,"",ROUND(AF15-AF21,1))</f>
        <v>0</v>
      </c>
      <c r="AG22" s="266">
        <f>IF(COUNT(AG21)=0,"",ROUND(AG15-AG21,1))</f>
        <v>0</v>
      </c>
      <c r="AH22" s="266">
        <f>IF(COUNT(AH21)=0,"",ROUND(AH15-AH21,1))</f>
        <v>0</v>
      </c>
      <c r="AI22" s="266">
        <f>IF(COUNT(AI21)=0,"",ROUND(AI15-AI21,1))</f>
        <v>0</v>
      </c>
    </row>
    <row r="23">
      <c r="C23" s="14" t="inlineStr">
        <is>
          <t xml:space="preserve">   % YoY semicondutores</t>
        </is>
      </c>
      <c r="D23" s="268" t="str">
        <f>""</f>
        <v/>
      </c>
      <c r="E23" s="268" t="str">
        <f>""</f>
        <v/>
      </c>
      <c r="F23" s="268" t="str">
        <f>""</f>
        <v/>
      </c>
      <c r="G23" s="268" t="str">
        <f>""</f>
        <v/>
      </c>
      <c r="H23" s="269" t="str">
        <f>""</f>
        <v/>
      </c>
      <c r="I23" s="268">
        <f>IFERROR(I19/D19-1,"")</f>
        <v>0.196920784703253</v>
      </c>
      <c r="J23" s="268">
        <f>IFERROR(J19/E19-1,"")</f>
        <v>0.19009243896658</v>
      </c>
      <c r="K23" s="268">
        <f>IFERROR(K19/F19-1,"")</f>
        <v>0.166459627329193</v>
      </c>
      <c r="L23" s="268">
        <f>IFERROR(L19/G19-1,"")</f>
        <v>0.196617766911166</v>
      </c>
      <c r="M23" s="269">
        <f>IFERROR(M19/H19-1,"")</f>
        <v>0.187055160142349</v>
      </c>
      <c r="N23" s="268">
        <f>IFERROR(N19/I19-1,"")</f>
        <v>0.292323651452282</v>
      </c>
      <c r="O23" s="268">
        <f>IFERROR(O19/J19-1,"")</f>
        <v>0.319259111730731</v>
      </c>
      <c r="P23" s="268">
        <f>IFERROR(P19/K19-1,"")</f>
        <v>0.258785942492013</v>
      </c>
      <c r="Q23" s="268">
        <f>IFERROR(Q19/L19-1,"")</f>
        <v>0.210114081389409</v>
      </c>
      <c r="R23" s="269">
        <f>IFERROR(R19/M19-1,"")</f>
        <v>0.267191305977141</v>
      </c>
      <c r="S23" s="268">
        <f>IFERROR(S19/N19-1,"")</f>
        <v>0.0929523197945095</v>
      </c>
      <c r="T23" s="268">
        <f>IFERROR(T19/O19-1,"")</f>
        <v>0.0478562801932367</v>
      </c>
      <c r="U23" s="268">
        <f>IFERROR(U19/P19-1,"")</f>
        <v>0.032994923857868</v>
      </c>
      <c r="V23" s="268">
        <f>IFERROR(V19/Q19-1,"")</f>
        <v>0.0398198958773042</v>
      </c>
      <c r="W23" s="269">
        <f>IFERROR(W19/R19-1,"")</f>
        <v>0.0522327369510571</v>
      </c>
      <c r="X23" s="268">
        <f>IFERROR(X19/S19-1,"")</f>
        <v>0.0578730904817861</v>
      </c>
      <c r="Y23" s="268">
        <f>IFERROR(Y19/T19-1,"")</f>
        <v>0.0479757959948135</v>
      </c>
      <c r="Z23" s="268">
        <f>IFERROR(Z19/U19-1,"")</f>
        <v>0.123396123396123</v>
      </c>
      <c r="AA23" s="268">
        <f>IFERROR(AA19/V19-1,"")</f>
        <v>0.111231393775372</v>
      </c>
      <c r="AB23" s="269">
        <f>IFERROR(AB19/W19-1,"")</f>
        <v>0.086176005620938</v>
      </c>
      <c r="AC23" s="268">
        <f>IFERROR(AC19/X19-1,"")</f>
        <v>0.167453485143016</v>
      </c>
      <c r="AD23" s="268">
        <f>IFERROR(AD19/Y19-1,"")</f>
        <v>0.2601044817157</v>
      </c>
      <c r="AE23" s="268">
        <f>IFERROR(AE19/Z19-1,"")</f>
        <v>0.345321992709599</v>
      </c>
      <c r="AF23" s="268">
        <f>IFERROR(AF19/AA19-1,"")</f>
        <v>0.523989283974671</v>
      </c>
      <c r="AG23" s="269">
        <f>IFERROR(AG19/AB19-1,"")</f>
        <v>0.331295685361278</v>
      </c>
      <c r="AH23" s="269">
        <f>IFERROR(AH19/AC19-1,"")</f>
        <v>0.785085632730733</v>
      </c>
      <c r="AI23" s="269">
        <f>IFERROR(AI19/AD19-1,"")</f>
        <v>1.27351080078551</v>
      </c>
    </row>
    <row r="24">
      <c r="C24" s="14" t="inlineStr">
        <is>
          <t xml:space="preserve">   % YoY software</t>
        </is>
      </c>
      <c r="D24" s="268" t="str">
        <f>""</f>
        <v/>
      </c>
      <c r="E24" s="268" t="str">
        <f>""</f>
        <v/>
      </c>
      <c r="F24" s="268" t="str">
        <f>""</f>
        <v/>
      </c>
      <c r="G24" s="268" t="str">
        <f>""</f>
        <v/>
      </c>
      <c r="H24" s="269" t="str">
        <f>""</f>
        <v/>
      </c>
      <c r="I24" s="268">
        <f>IFERROR(I20/D20-1,"")</f>
        <v>0.0437317784256559</v>
      </c>
      <c r="J24" s="268">
        <f>IFERROR(J20/E20-1,"")</f>
        <v>0.0967540574282146</v>
      </c>
      <c r="K24" s="268">
        <f>IFERROR(K20/F20-1,"")</f>
        <v>0.0830788026878435</v>
      </c>
      <c r="L24" s="268">
        <f>IFERROR(L20/G20-1,"")</f>
        <v>0.0492272467086434</v>
      </c>
      <c r="M24" s="269">
        <f>IFERROR(M20/H20-1,"")</f>
        <v>0.0674526190120877</v>
      </c>
      <c r="N24" s="268">
        <f>IFERROR(N20/I20-1,"")</f>
        <v>0.046927374301676</v>
      </c>
      <c r="O24" s="268">
        <f>IFERROR(O20/J20-1,"")</f>
        <v>0.0472396129766648</v>
      </c>
      <c r="P24" s="268">
        <f>IFERROR(P20/K20-1,"")</f>
        <v>0.0366610265087421</v>
      </c>
      <c r="Q24" s="268">
        <f>IFERROR(Q20/L20-1,"")</f>
        <v>-0.0136388434260775</v>
      </c>
      <c r="R24" s="269">
        <f>IFERROR(R20/M20-1,"")</f>
        <v>0.0289389067524115</v>
      </c>
      <c r="S24" s="268">
        <f>IFERROR(S20/N20-1,"")</f>
        <v>0.0272145144076841</v>
      </c>
      <c r="T24" s="268">
        <f>IFERROR(T20/O20-1,"")</f>
        <v>0.0516304347826087</v>
      </c>
      <c r="U24" s="268">
        <f>IFERROR(U20/P20-1,"")</f>
        <v>0.0712731229597388</v>
      </c>
      <c r="V24" s="268">
        <f>IFERROR(V20/Q20-1,"")</f>
        <v>1.52820796460177</v>
      </c>
      <c r="W24" s="269">
        <f>IFERROR(W20/R20-1,"")</f>
        <v>0.41304347826087</v>
      </c>
      <c r="X24" s="268">
        <f>IFERROR(X20/S20-1,"")</f>
        <v>1.74545454545455</v>
      </c>
      <c r="Y24" s="268">
        <f>IFERROR(Y20/T20-1,"")</f>
        <v>1.99638242894057</v>
      </c>
      <c r="Z24" s="268">
        <f>IFERROR(Z20/U20-1,"")</f>
        <v>1.95784662265109</v>
      </c>
      <c r="AA24" s="268">
        <f>IFERROR(AA20/V20-1,"")</f>
        <v>0.466637497265369</v>
      </c>
      <c r="AB24" s="269">
        <f>IFERROR(AB20/W20-1,"")</f>
        <v>1.27028846153846</v>
      </c>
      <c r="AC24" s="268">
        <f>IFERROR(AC20/X20-1,"")</f>
        <v>0.2480605487228</v>
      </c>
      <c r="AD24" s="268">
        <f>IFERROR(AD20/Y20-1,"")</f>
        <v>0.170403587443946</v>
      </c>
      <c r="AE24" s="268">
        <f>IFERROR(AE20/Z20-1,"")</f>
        <v>0.192135989010989</v>
      </c>
      <c r="AF24" s="268">
        <f>IFERROR(AF20/AA20-1,"")</f>
        <v>0.0137231503579953</v>
      </c>
      <c r="AG24" s="269">
        <f>IFERROR(AG20/AB20-1,"")</f>
        <v>0.148659523103638</v>
      </c>
      <c r="AH24" s="269">
        <f>IFERROR(AH20/AC20-1,"")</f>
        <v>0.088235294117647</v>
      </c>
      <c r="AI24" s="269">
        <f>IFERROR(AI20/AD20-1,"")</f>
        <v>0.289714117300324</v>
      </c>
    </row>
    <row r="25">
      <c r="C25" s="14" t="inlineStr">
        <is>
          <t xml:space="preserve">   Lucro operacional semicondutores</t>
        </is>
      </c>
      <c r="D25" s="265">
        <f>IFERROR(INDEX('Inputs (2)'!$D$55:$AL$55,MATCH(D$7,'Inputs (2)'!$D$2:$AL$2,0)),"")</f>
        <v>1891</v>
      </c>
      <c r="E25" s="265">
        <f>IFERROR(INDEX('Inputs (2)'!$D$55:$AL$55,MATCH(E$7,'Inputs (2)'!$D$2:$AL$2,0)),"")</f>
        <v>2112</v>
      </c>
      <c r="F25" s="265">
        <f>IFERROR(INDEX('Inputs (2)'!$D$55:$AL$55,MATCH(F$7,'Inputs (2)'!$D$2:$AL$2,0)),"")</f>
        <v>2530</v>
      </c>
      <c r="G25" s="265">
        <f>IFERROR(INDEX('Inputs (2)'!$D$55:$AL$55,MATCH(G$7,'Inputs (2)'!$D$2:$AL$2,0)),"")</f>
        <v>2561</v>
      </c>
      <c r="H25" s="266">
        <f>IF(COUNT(D25:G25)=4,SUM(D25:G25),"")</f>
        <v>9094</v>
      </c>
      <c r="I25" s="265">
        <f>IFERROR(INDEX('Inputs (2)'!$D$55:$AL$55,MATCH(I$7,'Inputs (2)'!$D$2:$AL$2,0)),"")</f>
        <v>2547</v>
      </c>
      <c r="J25" s="265">
        <f>IFERROR(INDEX('Inputs (2)'!$D$55:$AL$55,MATCH(J$7,'Inputs (2)'!$D$2:$AL$2,0)),"")</f>
        <v>2720</v>
      </c>
      <c r="K25" s="265">
        <f>IFERROR(INDEX('Inputs (2)'!$D$55:$AL$55,MATCH(K$7,'Inputs (2)'!$D$2:$AL$2,0)),"")</f>
        <v>3148</v>
      </c>
      <c r="L25" s="265">
        <f>IFERROR(INDEX('Inputs (2)'!$D$55:$AL$55,MATCH(L$7,'Inputs (2)'!$D$2:$AL$2,0)),"")</f>
        <v>3349</v>
      </c>
      <c r="M25" s="266">
        <f>IF(COUNT(I25:L25)=4,SUM(I25:L25),"")</f>
        <v>11764</v>
      </c>
      <c r="N25" s="265">
        <f>IFERROR(INDEX('Inputs (2)'!$D$55:$AL$55,MATCH(N$7,'Inputs (2)'!$D$2:$AL$2,0)),"")</f>
        <v>3626</v>
      </c>
      <c r="O25" s="265">
        <f>IFERROR(INDEX('Inputs (2)'!$D$55:$AL$55,MATCH(O$7,'Inputs (2)'!$D$2:$AL$2,0)),"")</f>
        <v>3916</v>
      </c>
      <c r="P25" s="265">
        <f>IFERROR(INDEX('Inputs (2)'!$D$55:$AL$55,MATCH(P$7,'Inputs (2)'!$D$2:$AL$2,0)),"")</f>
        <v>4184</v>
      </c>
      <c r="Q25" s="265">
        <f>IFERROR(INDEX('Inputs (2)'!$D$55:$AL$55,MATCH(Q$7,'Inputs (2)'!$D$2:$AL$2,0)),"")</f>
        <v>4123</v>
      </c>
      <c r="R25" s="266">
        <f>IF(COUNT(N25:Q25)=4,SUM(N25:Q25),"")</f>
        <v>15849</v>
      </c>
      <c r="S25" s="265">
        <f>IFERROR(INDEX('Inputs (2)'!$D$55:$AL$55,MATCH(S$7,'Inputs (2)'!$D$2:$AL$2,0)),"")</f>
        <v>4000</v>
      </c>
      <c r="T25" s="265">
        <f>IFERROR(INDEX('Inputs (2)'!$D$55:$AL$55,MATCH(T$7,'Inputs (2)'!$D$2:$AL$2,0)),"")</f>
        <v>4092</v>
      </c>
      <c r="U25" s="265">
        <f>IFERROR(INDEX('Inputs (2)'!$D$55:$AL$55,MATCH(U$7,'Inputs (2)'!$D$2:$AL$2,0)),"")</f>
        <v>4271</v>
      </c>
      <c r="V25" s="265">
        <f>IFERROR(INDEX('Inputs (2)'!$D$55:$AL$55,MATCH(V$7,'Inputs (2)'!$D$2:$AL$2,0)),"")</f>
        <v>4116</v>
      </c>
      <c r="W25" s="266">
        <f>IF(COUNT(S25:V25)=4,SUM(S25:V25),"")</f>
        <v>16479</v>
      </c>
      <c r="X25" s="265">
        <f>IFERROR(INDEX('Inputs (2)'!$D$55:$AL$55,MATCH(X$7,'Inputs (2)'!$D$2:$AL$2,0)),"")</f>
        <v>3978</v>
      </c>
      <c r="Y25" s="265">
        <f>IFERROR(INDEX('Inputs (2)'!$D$55:$AL$55,MATCH(Y$7,'Inputs (2)'!$D$2:$AL$2,0)),"")</f>
        <v>4042</v>
      </c>
      <c r="Z25" s="265">
        <f>IFERROR(INDEX('Inputs (2)'!$D$55:$AL$55,MATCH(Z$7,'Inputs (2)'!$D$2:$AL$2,0)),"")</f>
        <v>4623</v>
      </c>
      <c r="AA25" s="265">
        <f>IFERROR(INDEX('Inputs (2)'!$D$55:$AL$55,MATCH(AA$7,'Inputs (2)'!$D$2:$AL$2,0)),"")</f>
        <v>4706</v>
      </c>
      <c r="AB25" s="266">
        <f>IF(COUNT(X25:AA25)=4,SUM(X25:AA25),"")</f>
        <v>17349</v>
      </c>
      <c r="AC25" s="265">
        <f>IFERROR(INDEX('Inputs (2)'!$D$55:$AL$55,MATCH(AC$7,'Inputs (2)'!$D$2:$AL$2,0)),"")</f>
        <v>4806</v>
      </c>
      <c r="AD25" s="265">
        <f>IFERROR(INDEX('Inputs (2)'!$D$55:$AL$55,MATCH(AD$7,'Inputs (2)'!$D$2:$AL$2,0)),"")</f>
        <v>5217</v>
      </c>
      <c r="AE25" s="265">
        <f>IFERROR(INDEX('Inputs (2)'!$D$55:$AL$55,MATCH(AE$7,'Inputs (2)'!$D$2:$AL$2,0)),"")</f>
        <v>6503</v>
      </c>
      <c r="AF25" s="265">
        <f>IFERROR(INDEX('Inputs (2)'!$D$55:$AL$55,MATCH(AF$7,'Inputs (2)'!$D$2:$AL$2,0)),"")</f>
        <v>7503</v>
      </c>
      <c r="AG25" s="266">
        <f>IF(COUNT(AC25:AF25)=4,SUM(AC25:AF25),"")</f>
        <v>24029</v>
      </c>
      <c r="AH25" s="266">
        <f>IFERROR(INDEX('Inputs (2)'!$D$55:$AL$55,MATCH(AH$7,'Inputs (2)'!$D$2:$AL$2,0)),"")</f>
        <v>9281</v>
      </c>
      <c r="AI25" s="266">
        <f>IFERROR(INDEX('Inputs (2)'!$D$55:$AL$55,MATCH(AI$7,'Inputs (2)'!$D$2:$AL$2,0)),"")</f>
        <v>12770</v>
      </c>
    </row>
    <row r="26">
      <c r="C26" s="14" t="inlineStr">
        <is>
          <t xml:space="preserve">   Lucro operacional software</t>
        </is>
      </c>
      <c r="D26" s="265">
        <f>IFERROR(INDEX('Inputs (2)'!$D$56:$AL$56,MATCH(D$7,'Inputs (2)'!$D$2:$AL$2,0)),"")</f>
        <v>1140</v>
      </c>
      <c r="E26" s="265">
        <f>IFERROR(INDEX('Inputs (2)'!$D$56:$AL$56,MATCH(E$7,'Inputs (2)'!$D$2:$AL$2,0)),"")</f>
        <v>1069</v>
      </c>
      <c r="F26" s="265">
        <f>IFERROR(INDEX('Inputs (2)'!$D$56:$AL$56,MATCH(F$7,'Inputs (2)'!$D$2:$AL$2,0)),"")</f>
        <v>1113</v>
      </c>
      <c r="G26" s="265">
        <f>IFERROR(INDEX('Inputs (2)'!$D$56:$AL$56,MATCH(G$7,'Inputs (2)'!$D$2:$AL$2,0)),"")</f>
        <v>1219</v>
      </c>
      <c r="H26" s="266">
        <f>IF(COUNT(D26:G26)=4,SUM(D26:G26),"")</f>
        <v>4541</v>
      </c>
      <c r="I26" s="265">
        <f>IFERROR(INDEX('Inputs (2)'!$D$56:$AL$56,MATCH(I$7,'Inputs (2)'!$D$2:$AL$2,0)),"")</f>
        <v>1255</v>
      </c>
      <c r="J26" s="265">
        <f>IFERROR(INDEX('Inputs (2)'!$D$56:$AL$56,MATCH(J$7,'Inputs (2)'!$D$2:$AL$2,0)),"")</f>
        <v>1226</v>
      </c>
      <c r="K26" s="265">
        <f>IFERROR(INDEX('Inputs (2)'!$D$56:$AL$56,MATCH(K$7,'Inputs (2)'!$D$2:$AL$2,0)),"")</f>
        <v>1236</v>
      </c>
      <c r="L26" s="265">
        <f>IFERROR(INDEX('Inputs (2)'!$D$56:$AL$56,MATCH(L$7,'Inputs (2)'!$D$2:$AL$2,0)),"")</f>
        <v>1307</v>
      </c>
      <c r="M26" s="266">
        <f>IF(COUNT(I26:L26)=4,SUM(I26:L26),"")</f>
        <v>5024</v>
      </c>
      <c r="N26" s="265">
        <f>IFERROR(INDEX('Inputs (2)'!$D$56:$AL$56,MATCH(N$7,'Inputs (2)'!$D$2:$AL$2,0)),"")</f>
        <v>1313</v>
      </c>
      <c r="O26" s="265">
        <f>IFERROR(INDEX('Inputs (2)'!$D$56:$AL$56,MATCH(O$7,'Inputs (2)'!$D$2:$AL$2,0)),"")</f>
        <v>1283</v>
      </c>
      <c r="P26" s="265">
        <f>IFERROR(INDEX('Inputs (2)'!$D$56:$AL$56,MATCH(P$7,'Inputs (2)'!$D$2:$AL$2,0)),"")</f>
        <v>1316</v>
      </c>
      <c r="Q26" s="265">
        <f>IFERROR(INDEX('Inputs (2)'!$D$56:$AL$56,MATCH(Q$7,'Inputs (2)'!$D$2:$AL$2,0)),"")</f>
        <v>1307</v>
      </c>
      <c r="R26" s="266">
        <f>IF(COUNT(N26:Q26)=4,SUM(N26:Q26),"")</f>
        <v>5219</v>
      </c>
      <c r="S26" s="265">
        <f>IFERROR(INDEX('Inputs (2)'!$D$56:$AL$56,MATCH(S$7,'Inputs (2)'!$D$2:$AL$2,0)),"")</f>
        <v>1412</v>
      </c>
      <c r="T26" s="265">
        <f>IFERROR(INDEX('Inputs (2)'!$D$56:$AL$56,MATCH(T$7,'Inputs (2)'!$D$2:$AL$2,0)),"")</f>
        <v>1444</v>
      </c>
      <c r="U26" s="265">
        <f>IFERROR(INDEX('Inputs (2)'!$D$56:$AL$56,MATCH(U$7,'Inputs (2)'!$D$2:$AL$2,0)),"")</f>
        <v>1476</v>
      </c>
      <c r="V26" s="265">
        <f>IFERROR(INDEX('Inputs (2)'!$D$56:$AL$56,MATCH(V$7,'Inputs (2)'!$D$2:$AL$2,0)),"")</f>
        <v>2715</v>
      </c>
      <c r="W26" s="266">
        <f>IF(COUNT(S26:V26)=4,SUM(S26:V26),"")</f>
        <v>7047</v>
      </c>
      <c r="X26" s="265">
        <f>IFERROR(INDEX('Inputs (2)'!$D$56:$AL$56,MATCH(X$7,'Inputs (2)'!$D$2:$AL$2,0)),"")</f>
        <v>3168</v>
      </c>
      <c r="Y26" s="265">
        <f>IFERROR(INDEX('Inputs (2)'!$D$56:$AL$56,MATCH(Y$7,'Inputs (2)'!$D$2:$AL$2,0)),"")</f>
        <v>3906</v>
      </c>
      <c r="Z26" s="265">
        <f>IFERROR(INDEX('Inputs (2)'!$D$56:$AL$56,MATCH(Z$7,'Inputs (2)'!$D$2:$AL$2,0)),"")</f>
        <v>4188</v>
      </c>
      <c r="AA26" s="265">
        <f>IFERROR(INDEX('Inputs (2)'!$D$56:$AL$56,MATCH(AA$7,'Inputs (2)'!$D$2:$AL$2,0)),"")</f>
        <v>5122</v>
      </c>
      <c r="AB26" s="266">
        <f>IF(COUNT(X26:AA26)=4,SUM(X26:AA26),"")</f>
        <v>16384</v>
      </c>
      <c r="AC26" s="265">
        <f>IFERROR(INDEX('Inputs (2)'!$D$56:$AL$56,MATCH(AC$7,'Inputs (2)'!$D$2:$AL$2,0)),"")</f>
        <v>4987</v>
      </c>
      <c r="AD26" s="265">
        <f>IFERROR(INDEX('Inputs (2)'!$D$56:$AL$56,MATCH(AD$7,'Inputs (2)'!$D$2:$AL$2,0)),"")</f>
        <v>5238</v>
      </c>
      <c r="AE26" s="265">
        <f>IFERROR(INDEX('Inputs (2)'!$D$56:$AL$56,MATCH(AE$7,'Inputs (2)'!$D$2:$AL$2,0)),"")</f>
        <v>5418</v>
      </c>
      <c r="AF26" s="265">
        <f>IFERROR(INDEX('Inputs (2)'!$D$56:$AL$56,MATCH(AF$7,'Inputs (2)'!$D$2:$AL$2,0)),"")</f>
        <v>5323</v>
      </c>
      <c r="AG26" s="266">
        <f>IF(COUNT(AC26:AF26)=4,SUM(AC26:AF26),"")</f>
        <v>20966</v>
      </c>
      <c r="AH26" s="266">
        <f>IFERROR(INDEX('Inputs (2)'!$D$56:$AL$56,MATCH(AH$7,'Inputs (2)'!$D$2:$AL$2,0)),"")</f>
        <v>5647</v>
      </c>
      <c r="AI26" s="266">
        <f>IFERROR(INDEX('Inputs (2)'!$D$56:$AL$56,MATCH(AI$7,'Inputs (2)'!$D$2:$AL$2,0)),"")</f>
        <v>7325</v>
      </c>
    </row>
    <row r="27">
      <c r="C27" s="14" t="inlineStr">
        <is>
          <t xml:space="preserve">   Margem operacional semicondutores</t>
        </is>
      </c>
      <c r="D27" s="268">
        <f>IFERROR(D25/D19,"")</f>
        <v>0.469580332753911</v>
      </c>
      <c r="E27" s="268">
        <f>IFERROR(E25/E19,"")</f>
        <v>0.500592557478075</v>
      </c>
      <c r="F27" s="268">
        <f>IFERROR(F25/F19,"")</f>
        <v>0.523809523809524</v>
      </c>
      <c r="G27" s="268">
        <f>IFERROR(G25/G19,"")</f>
        <v>0.521801140994295</v>
      </c>
      <c r="H27" s="269">
        <f>IFERROR(H25/H19,"")</f>
        <v>0.505671708185053</v>
      </c>
      <c r="I27" s="268">
        <f>IFERROR(I25/I19,"")</f>
        <v>0.528423236514523</v>
      </c>
      <c r="J27" s="268">
        <f>IFERROR(J25/J19,"")</f>
        <v>0.541724756024696</v>
      </c>
      <c r="K27" s="268">
        <f>IFERROR(K25/K19,"")</f>
        <v>0.558750443734469</v>
      </c>
      <c r="L27" s="268">
        <f>IFERROR(L25/L19,"")</f>
        <v>0.570236676315341</v>
      </c>
      <c r="M27" s="269">
        <f>IFERROR(M25/M19,"")</f>
        <v>0.551058647180064</v>
      </c>
      <c r="N27" s="268">
        <f>IFERROR(N25/N19,"")</f>
        <v>0.582115909455771</v>
      </c>
      <c r="O27" s="268">
        <f>IFERROR(O25/O19,"")</f>
        <v>0.591183574879227</v>
      </c>
      <c r="P27" s="268">
        <f>IFERROR(P25/P19,"")</f>
        <v>0.589960518894529</v>
      </c>
      <c r="Q27" s="268">
        <f>IFERROR(Q25/Q19,"")</f>
        <v>0.580132263965105</v>
      </c>
      <c r="R27" s="269">
        <f>IFERROR(R25/R19,"")</f>
        <v>0.585871654591158</v>
      </c>
      <c r="S27" s="268">
        <f>IFERROR(S25/S19,"")</f>
        <v>0.587544065804935</v>
      </c>
      <c r="T27" s="268">
        <f>IFERROR(T25/T19,"")</f>
        <v>0.589540412044374</v>
      </c>
      <c r="U27" s="268">
        <f>IFERROR(U25/U19,"")</f>
        <v>0.582992082992083</v>
      </c>
      <c r="V27" s="268">
        <f>IFERROR(V25/V19,"")</f>
        <v>0.556968876860623</v>
      </c>
      <c r="W27" s="269">
        <f>IFERROR(W25/W19,"")</f>
        <v>0.578921482522396</v>
      </c>
      <c r="X27" s="268">
        <f>IFERROR(X25/X19,"")</f>
        <v>0.552346570397112</v>
      </c>
      <c r="Y27" s="268">
        <f>IFERROR(Y25/Y19,"")</f>
        <v>0.555677756392631</v>
      </c>
      <c r="Z27" s="268">
        <f>IFERROR(Z25/Z19,"")</f>
        <v>0.561725394896719</v>
      </c>
      <c r="AA27" s="268">
        <f>IFERROR(AA25/AA19,"")</f>
        <v>0.573063809059912</v>
      </c>
      <c r="AB27" s="269">
        <f>IFERROR(AB25/AB19,"")</f>
        <v>0.561129439161653</v>
      </c>
      <c r="AC27" s="268">
        <f>IFERROR(AC25/AC19,"")</f>
        <v>0.571598477640343</v>
      </c>
      <c r="AD27" s="268">
        <f>IFERROR(AD25/AD19,"")</f>
        <v>0.569168666812132</v>
      </c>
      <c r="AE27" s="268">
        <f>IFERROR(AE25/AE19,"")</f>
        <v>0.587337427745665</v>
      </c>
      <c r="AF27" s="268">
        <f>IFERROR(AF25/AF19,"")</f>
        <v>0.599520575309628</v>
      </c>
      <c r="AG27" s="269">
        <f>IFERROR(AG25/AG19,"")</f>
        <v>0.583780763343942</v>
      </c>
      <c r="AH27" s="269">
        <f>IFERROR(AH25/AH19,"")</f>
        <v>0.618362315943767</v>
      </c>
      <c r="AI27" s="269">
        <f>IFERROR(AI25/AI19,"")</f>
        <v>0.612793320216901</v>
      </c>
    </row>
    <row r="28">
      <c r="C28" s="14" t="inlineStr">
        <is>
          <t xml:space="preserve">   Margem operacional software</t>
        </is>
      </c>
      <c r="D28" s="268">
        <f>IFERROR(D26/D20,"")</f>
        <v>0.664723032069971</v>
      </c>
      <c r="E28" s="268">
        <f>IFERROR(E26/E20,"")</f>
        <v>0.66729088639201</v>
      </c>
      <c r="F28" s="268">
        <f>IFERROR(F26/F20,"")</f>
        <v>0.679902260232132</v>
      </c>
      <c r="G28" s="268">
        <f>IFERROR(G26/G20,"")</f>
        <v>0.697767601602748</v>
      </c>
      <c r="H28" s="269">
        <f>IFERROR(H26/H20,"")</f>
        <v>0.677660050738696</v>
      </c>
      <c r="I28" s="268">
        <f>IFERROR(I26/I20,"")</f>
        <v>0.701117318435754</v>
      </c>
      <c r="J28" s="268">
        <f>IFERROR(J26/J20,"")</f>
        <v>0.69778030734206</v>
      </c>
      <c r="K28" s="268">
        <f>IFERROR(K26/K20,"")</f>
        <v>0.697123519458545</v>
      </c>
      <c r="L28" s="268">
        <f>IFERROR(L26/L20,"")</f>
        <v>0.71303873431533</v>
      </c>
      <c r="M28" s="269">
        <f>IFERROR(M26/M20,"")</f>
        <v>0.702362645044037</v>
      </c>
      <c r="N28" s="268">
        <f>IFERROR(N26/N20,"")</f>
        <v>0.700640341515475</v>
      </c>
      <c r="O28" s="268">
        <f>IFERROR(O26/O20,"")</f>
        <v>0.697282608695652</v>
      </c>
      <c r="P28" s="268">
        <f>IFERROR(P26/P20,"")</f>
        <v>0.715995647442873</v>
      </c>
      <c r="Q28" s="268">
        <f>IFERROR(Q26/Q20,"")</f>
        <v>0.722898230088496</v>
      </c>
      <c r="R28" s="269">
        <f>IFERROR(R26/R20,"")</f>
        <v>0.709103260869565</v>
      </c>
      <c r="S28" s="268">
        <f>IFERROR(S26/S20,"")</f>
        <v>0.733506493506494</v>
      </c>
      <c r="T28" s="268">
        <f>IFERROR(T26/T20,"")</f>
        <v>0.74625322997416</v>
      </c>
      <c r="U28" s="268">
        <f>IFERROR(U26/U20,"")</f>
        <v>0.749619095987811</v>
      </c>
      <c r="V28" s="268">
        <f>IFERROR(V26/V20,"")</f>
        <v>0.593961933931306</v>
      </c>
      <c r="W28" s="269">
        <f>IFERROR(W26/W20,"")</f>
        <v>0.677596153846154</v>
      </c>
      <c r="X28" s="268">
        <f>IFERROR(X26/X20,"")</f>
        <v>0.599432355723746</v>
      </c>
      <c r="Y28" s="268">
        <f>IFERROR(Y26/Y20,"")</f>
        <v>0.673680579510176</v>
      </c>
      <c r="Z28" s="268">
        <f>IFERROR(Z26/Z20,"")</f>
        <v>0.719093406593407</v>
      </c>
      <c r="AA28" s="268">
        <f>IFERROR(AA26/AA20,"")</f>
        <v>0.764021479713604</v>
      </c>
      <c r="AB28" s="269">
        <f>IFERROR(AB26/AB20,"")</f>
        <v>0.693913853712253</v>
      </c>
      <c r="AC28" s="268">
        <f>IFERROR(AC26/AC20,"")</f>
        <v>0.756064281382656</v>
      </c>
      <c r="AD28" s="268">
        <f>IFERROR(AD26/AD20,"")</f>
        <v>0.771883289124668</v>
      </c>
      <c r="AE28" s="268">
        <f>IFERROR(AE26/AE20,"")</f>
        <v>0.780354313697249</v>
      </c>
      <c r="AF28" s="268">
        <f>IFERROR(AF26/AF20,"")</f>
        <v>0.783254855797528</v>
      </c>
      <c r="AG28" s="269">
        <f>IFERROR(AG26/AG20,"")</f>
        <v>0.773054090925851</v>
      </c>
      <c r="AH28" s="269">
        <f>IFERROR(AH26/AH20,"")</f>
        <v>0.786709389802173</v>
      </c>
      <c r="AI28" s="269">
        <f>IFERROR(AI26/AI20,"")</f>
        <v>0.83695155393053</v>
      </c>
    </row>
    <row r="29"/>
    <row r="30">
      <c r="C30" s="12" t="inlineStr">
        <is>
          <t>Tipo e região (USD milhões)</t>
        </is>
      </c>
      <c r="D30" s="12" t="str">
        <f>D7</f>
        <v>1Q20</v>
      </c>
      <c r="E30" s="12" t="str">
        <f>E7</f>
        <v>2Q20</v>
      </c>
      <c r="F30" s="12" t="str">
        <f>F7</f>
        <v>3Q20</v>
      </c>
      <c r="G30" s="12" t="str">
        <f>G7</f>
        <v>4Q20</v>
      </c>
      <c r="H30" s="12">
        <f>H7</f>
        <v>2020</v>
      </c>
      <c r="I30" s="12" t="str">
        <f>I7</f>
        <v>1Q21</v>
      </c>
      <c r="J30" s="12" t="str">
        <f>J7</f>
        <v>2Q21</v>
      </c>
      <c r="K30" s="12" t="str">
        <f>K7</f>
        <v>3Q21</v>
      </c>
      <c r="L30" s="12" t="str">
        <f>L7</f>
        <v>4Q21</v>
      </c>
      <c r="M30" s="12">
        <f>M7</f>
        <v>2021</v>
      </c>
      <c r="N30" s="12" t="str">
        <f>N7</f>
        <v>1Q22</v>
      </c>
      <c r="O30" s="12" t="str">
        <f>O7</f>
        <v>2Q22</v>
      </c>
      <c r="P30" s="12" t="str">
        <f>P7</f>
        <v>3Q22</v>
      </c>
      <c r="Q30" s="12" t="str">
        <f>Q7</f>
        <v>4Q22</v>
      </c>
      <c r="R30" s="12">
        <f>R7</f>
        <v>2022</v>
      </c>
      <c r="S30" s="12" t="str">
        <f>S7</f>
        <v>1Q23</v>
      </c>
      <c r="T30" s="12" t="str">
        <f>T7</f>
        <v>2Q23</v>
      </c>
      <c r="U30" s="12" t="str">
        <f>U7</f>
        <v>3Q23</v>
      </c>
      <c r="V30" s="12" t="str">
        <f>V7</f>
        <v>4Q23</v>
      </c>
      <c r="W30" s="12">
        <f>W7</f>
        <v>2023</v>
      </c>
      <c r="X30" s="12" t="str">
        <f>X7</f>
        <v>1Q24</v>
      </c>
      <c r="Y30" s="12" t="str">
        <f>Y7</f>
        <v>2Q24</v>
      </c>
      <c r="Z30" s="12" t="str">
        <f>Z7</f>
        <v>3Q24</v>
      </c>
      <c r="AA30" s="12" t="str">
        <f>AA7</f>
        <v>4Q24</v>
      </c>
      <c r="AB30" s="12">
        <f>AB7</f>
        <v>2024</v>
      </c>
      <c r="AC30" s="12" t="str">
        <f>AC7</f>
        <v>1Q25</v>
      </c>
      <c r="AD30" s="12" t="str">
        <f>AD7</f>
        <v>2Q25</v>
      </c>
      <c r="AE30" s="12" t="str">
        <f>AE7</f>
        <v>3Q25</v>
      </c>
      <c r="AF30" s="12" t="str">
        <f>AF7</f>
        <v>4Q25</v>
      </c>
      <c r="AG30" s="12">
        <f>AG7</f>
        <v>2025</v>
      </c>
      <c r="AH30" s="12" t="str">
        <f>AH7</f>
        <v>1Q26</v>
      </c>
      <c r="AI30" s="12" t="str">
        <f>AI7</f>
        <v>2Q26</v>
      </c>
    </row>
    <row r="31">
      <c r="C31" s="14" t="inlineStr">
        <is>
          <t xml:space="preserve">   Produtos</t>
        </is>
      </c>
      <c r="D31" s="265">
        <f>IFERROR(INDEX('Inputs (2)'!$D$57:$AL$57,MATCH(D$7,'Inputs (2)'!$D$2:$AL$2,0)),"")</f>
        <v>4253</v>
      </c>
      <c r="E31" s="265">
        <f>IFERROR(INDEX('Inputs (2)'!$D$57:$AL$57,MATCH(E$7,'Inputs (2)'!$D$2:$AL$2,0)),"")</f>
        <v>4125</v>
      </c>
      <c r="F31" s="265">
        <f>IFERROR(INDEX('Inputs (2)'!$D$57:$AL$57,MATCH(F$7,'Inputs (2)'!$D$2:$AL$2,0)),"")</f>
        <v>4853</v>
      </c>
      <c r="G31" s="265">
        <f>IFERROR(INDEX('Inputs (2)'!$D$57:$AL$57,MATCH(G$7,'Inputs (2)'!$D$2:$AL$2,0)),"")</f>
        <v>5081</v>
      </c>
      <c r="H31" s="266">
        <f>IF(COUNT(D31:G31)=4,SUM(D31:G31),"")</f>
        <v>18312</v>
      </c>
      <c r="I31" s="265">
        <f>IFERROR(INDEX('Inputs (2)'!$D$57:$AL$57,MATCH(I$7,'Inputs (2)'!$D$2:$AL$2,0)),"")</f>
        <v>4983</v>
      </c>
      <c r="J31" s="265">
        <f>IFERROR(INDEX('Inputs (2)'!$D$57:$AL$57,MATCH(J$7,'Inputs (2)'!$D$2:$AL$2,0)),"")</f>
        <v>5064</v>
      </c>
      <c r="K31" s="265">
        <f>IFERROR(INDEX('Inputs (2)'!$D$57:$AL$57,MATCH(K$7,'Inputs (2)'!$D$2:$AL$2,0)),"")</f>
        <v>5758</v>
      </c>
      <c r="L31" s="265">
        <f>IFERROR(INDEX('Inputs (2)'!$D$57:$AL$57,MATCH(L$7,'Inputs (2)'!$D$2:$AL$2,0)),"")</f>
        <v>6053</v>
      </c>
      <c r="M31" s="266">
        <f>IF(COUNT(I31:L31)=4,SUM(I31:L31),"")</f>
        <v>21858</v>
      </c>
      <c r="N31" s="265">
        <f>IFERROR(INDEX('Inputs (2)'!$D$57:$AL$57,MATCH(N$7,'Inputs (2)'!$D$2:$AL$2,0)),"")</f>
        <v>6417</v>
      </c>
      <c r="O31" s="265">
        <f>IFERROR(INDEX('Inputs (2)'!$D$57:$AL$57,MATCH(O$7,'Inputs (2)'!$D$2:$AL$2,0)),"")</f>
        <v>6627</v>
      </c>
      <c r="P31" s="265">
        <f>IFERROR(INDEX('Inputs (2)'!$D$57:$AL$57,MATCH(P$7,'Inputs (2)'!$D$2:$AL$2,0)),"")</f>
        <v>7180</v>
      </c>
      <c r="Q31" s="265">
        <f>IFERROR(INDEX('Inputs (2)'!$D$57:$AL$57,MATCH(Q$7,'Inputs (2)'!$D$2:$AL$2,0)),"")</f>
        <v>7082</v>
      </c>
      <c r="R31" s="266">
        <f>IF(COUNT(N31:Q31)=4,SUM(N31:Q31),"")</f>
        <v>27306</v>
      </c>
      <c r="S31" s="265">
        <f>IFERROR(INDEX('Inputs (2)'!$D$57:$AL$57,MATCH(S$7,'Inputs (2)'!$D$2:$AL$2,0)),"")</f>
        <v>6741</v>
      </c>
      <c r="T31" s="265">
        <f>IFERROR(INDEX('Inputs (2)'!$D$57:$AL$57,MATCH(T$7,'Inputs (2)'!$D$2:$AL$2,0)),"")</f>
        <v>6917</v>
      </c>
      <c r="U31" s="265">
        <f>IFERROR(INDEX('Inputs (2)'!$D$57:$AL$57,MATCH(U$7,'Inputs (2)'!$D$2:$AL$2,0)),"")</f>
        <v>7151</v>
      </c>
      <c r="V31" s="265">
        <f>IFERROR(INDEX('Inputs (2)'!$D$57:$AL$57,MATCH(V$7,'Inputs (2)'!$D$2:$AL$2,0)),"")</f>
        <v>7412</v>
      </c>
      <c r="W31" s="266">
        <f>IF(COUNT(S31:V31)=4,SUM(S31:V31),"")</f>
        <v>28221</v>
      </c>
      <c r="X31" s="265">
        <f>IFERROR(INDEX('Inputs (2)'!$D$57:$AL$57,MATCH(X$7,'Inputs (2)'!$D$2:$AL$2,0)),"")</f>
        <v>7192</v>
      </c>
      <c r="Y31" s="265">
        <f>IFERROR(INDEX('Inputs (2)'!$D$57:$AL$57,MATCH(Y$7,'Inputs (2)'!$D$2:$AL$2,0)),"")</f>
        <v>7439</v>
      </c>
      <c r="Z31" s="265">
        <f>IFERROR(INDEX('Inputs (2)'!$D$57:$AL$57,MATCH(Z$7,'Inputs (2)'!$D$2:$AL$2,0)),"")</f>
        <v>8316</v>
      </c>
      <c r="AA31" s="265">
        <f>IFERROR(INDEX('Inputs (2)'!$D$57:$AL$57,MATCH(AA$7,'Inputs (2)'!$D$2:$AL$2,0)),"")</f>
        <v>10143</v>
      </c>
      <c r="AB31" s="266">
        <f>IF(COUNT(X31:AA31)=4,SUM(X31:AA31),"")</f>
        <v>33090</v>
      </c>
      <c r="AC31" s="265">
        <f>IFERROR(INDEX('Inputs (2)'!$D$57:$AL$57,MATCH(AC$7,'Inputs (2)'!$D$2:$AL$2,0)),"")</f>
        <v>10309</v>
      </c>
      <c r="AD31" s="265">
        <f>IFERROR(INDEX('Inputs (2)'!$D$57:$AL$57,MATCH(AD$7,'Inputs (2)'!$D$2:$AL$2,0)),"")</f>
        <v>11173</v>
      </c>
      <c r="AE31" s="265">
        <f>IFERROR(INDEX('Inputs (2)'!$D$57:$AL$57,MATCH(AE$7,'Inputs (2)'!$D$2:$AL$2,0)),"")</f>
        <v>13222</v>
      </c>
      <c r="AF31" s="265">
        <f>IFERROR(INDEX('Inputs (2)'!$D$57:$AL$57,MATCH(AF$7,'Inputs (2)'!$D$2:$AL$2,0)),"")</f>
        <v>14130</v>
      </c>
      <c r="AG31" s="266">
        <f>IF(COUNT(AC31:AF31)=4,SUM(AC31:AF31),"")</f>
        <v>48834</v>
      </c>
      <c r="AH31" s="266">
        <f>IFERROR(INDEX('Inputs (2)'!$D$57:$AL$57,MATCH(AH$7,'Inputs (2)'!$D$2:$AL$2,0)),"")</f>
        <v>16892</v>
      </c>
      <c r="AI31" s="266">
        <f>IFERROR(INDEX('Inputs (2)'!$D$57:$AL$57,MATCH(AI$7,'Inputs (2)'!$D$2:$AL$2,0)),"")</f>
        <v>24279</v>
      </c>
    </row>
    <row r="32">
      <c r="C32" s="14" t="inlineStr">
        <is>
          <t xml:space="preserve">   Assinaturas e serviços</t>
        </is>
      </c>
      <c r="D32" s="265">
        <f>IFERROR(INDEX('Inputs (2)'!$D$58:$AL$58,MATCH(D$7,'Inputs (2)'!$D$2:$AL$2,0)),"")</f>
        <v>1489</v>
      </c>
      <c r="E32" s="265">
        <f>IFERROR(INDEX('Inputs (2)'!$D$58:$AL$58,MATCH(E$7,'Inputs (2)'!$D$2:$AL$2,0)),"")</f>
        <v>1696</v>
      </c>
      <c r="F32" s="265">
        <f>IFERROR(INDEX('Inputs (2)'!$D$58:$AL$58,MATCH(F$7,'Inputs (2)'!$D$2:$AL$2,0)),"")</f>
        <v>1614</v>
      </c>
      <c r="G32" s="265">
        <f>IFERROR(INDEX('Inputs (2)'!$D$58:$AL$58,MATCH(G$7,'Inputs (2)'!$D$2:$AL$2,0)),"")</f>
        <v>1574</v>
      </c>
      <c r="H32" s="266">
        <f>IF(COUNT(D32:G32)=4,SUM(D32:G32),"")</f>
        <v>6373</v>
      </c>
      <c r="I32" s="265">
        <f>IFERROR(INDEX('Inputs (2)'!$D$58:$AL$58,MATCH(I$7,'Inputs (2)'!$D$2:$AL$2,0)),"")</f>
        <v>1627</v>
      </c>
      <c r="J32" s="265">
        <f>IFERROR(INDEX('Inputs (2)'!$D$58:$AL$58,MATCH(J$7,'Inputs (2)'!$D$2:$AL$2,0)),"")</f>
        <v>1714</v>
      </c>
      <c r="K32" s="265">
        <f>IFERROR(INDEX('Inputs (2)'!$D$58:$AL$58,MATCH(K$7,'Inputs (2)'!$D$2:$AL$2,0)),"")</f>
        <v>1649</v>
      </c>
      <c r="L32" s="265">
        <f>IFERROR(INDEX('Inputs (2)'!$D$58:$AL$58,MATCH(L$7,'Inputs (2)'!$D$2:$AL$2,0)),"")</f>
        <v>1653</v>
      </c>
      <c r="M32" s="266">
        <f>IF(COUNT(I32:L32)=4,SUM(I32:L32),"")</f>
        <v>6643</v>
      </c>
      <c r="N32" s="265">
        <f>IFERROR(INDEX('Inputs (2)'!$D$58:$AL$58,MATCH(N$7,'Inputs (2)'!$D$2:$AL$2,0)),"")</f>
        <v>1686</v>
      </c>
      <c r="O32" s="265">
        <f>IFERROR(INDEX('Inputs (2)'!$D$58:$AL$58,MATCH(O$7,'Inputs (2)'!$D$2:$AL$2,0)),"")</f>
        <v>1837</v>
      </c>
      <c r="P32" s="265">
        <f>IFERROR(INDEX('Inputs (2)'!$D$58:$AL$58,MATCH(P$7,'Inputs (2)'!$D$2:$AL$2,0)),"")</f>
        <v>1750</v>
      </c>
      <c r="Q32" s="265">
        <f>IFERROR(INDEX('Inputs (2)'!$D$58:$AL$58,MATCH(Q$7,'Inputs (2)'!$D$2:$AL$2,0)),"")</f>
        <v>1833</v>
      </c>
      <c r="R32" s="266">
        <f>IF(COUNT(N32:Q32)=4,SUM(N32:Q32),"")</f>
        <v>7106</v>
      </c>
      <c r="S32" s="265">
        <f>IFERROR(INDEX('Inputs (2)'!$D$58:$AL$58,MATCH(S$7,'Inputs (2)'!$D$2:$AL$2,0)),"")</f>
        <v>1992</v>
      </c>
      <c r="T32" s="265">
        <f>IFERROR(INDEX('Inputs (2)'!$D$58:$AL$58,MATCH(T$7,'Inputs (2)'!$D$2:$AL$2,0)),"")</f>
        <v>1959</v>
      </c>
      <c r="U32" s="265">
        <f>IFERROR(INDEX('Inputs (2)'!$D$58:$AL$58,MATCH(U$7,'Inputs (2)'!$D$2:$AL$2,0)),"")</f>
        <v>2144</v>
      </c>
      <c r="V32" s="265">
        <f>IFERROR(INDEX('Inputs (2)'!$D$58:$AL$58,MATCH(V$7,'Inputs (2)'!$D$2:$AL$2,0)),"")</f>
        <v>4549</v>
      </c>
      <c r="W32" s="266">
        <f>IF(COUNT(S32:V32)=4,SUM(S32:V32),"")</f>
        <v>10644</v>
      </c>
      <c r="X32" s="265">
        <f>IFERROR(INDEX('Inputs (2)'!$D$58:$AL$58,MATCH(X$7,'Inputs (2)'!$D$2:$AL$2,0)),"")</f>
        <v>5295</v>
      </c>
      <c r="Y32" s="265">
        <f>IFERROR(INDEX('Inputs (2)'!$D$58:$AL$58,MATCH(Y$7,'Inputs (2)'!$D$2:$AL$2,0)),"")</f>
        <v>5633</v>
      </c>
      <c r="Z32" s="265">
        <f>IFERROR(INDEX('Inputs (2)'!$D$58:$AL$58,MATCH(Z$7,'Inputs (2)'!$D$2:$AL$2,0)),"")</f>
        <v>5738</v>
      </c>
      <c r="AA32" s="265">
        <f>IFERROR(INDEX('Inputs (2)'!$D$58:$AL$58,MATCH(AA$7,'Inputs (2)'!$D$2:$AL$2,0)),"")</f>
        <v>4773</v>
      </c>
      <c r="AB32" s="266">
        <f>IF(COUNT(X32:AA32)=4,SUM(X32:AA32),"")</f>
        <v>21439</v>
      </c>
      <c r="AC32" s="265">
        <f>IFERROR(INDEX('Inputs (2)'!$D$58:$AL$58,MATCH(AC$7,'Inputs (2)'!$D$2:$AL$2,0)),"")</f>
        <v>4695</v>
      </c>
      <c r="AD32" s="265">
        <f>IFERROR(INDEX('Inputs (2)'!$D$58:$AL$58,MATCH(AD$7,'Inputs (2)'!$D$2:$AL$2,0)),"")</f>
        <v>4779</v>
      </c>
      <c r="AE32" s="265">
        <f>IFERROR(INDEX('Inputs (2)'!$D$58:$AL$58,MATCH(AE$7,'Inputs (2)'!$D$2:$AL$2,0)),"")</f>
        <v>4793</v>
      </c>
      <c r="AF32" s="265">
        <f>IFERROR(INDEX('Inputs (2)'!$D$58:$AL$58,MATCH(AF$7,'Inputs (2)'!$D$2:$AL$2,0)),"")</f>
        <v>5181</v>
      </c>
      <c r="AG32" s="266">
        <f>IF(COUNT(AC32:AF32)=4,SUM(AC32:AF32),"")</f>
        <v>19448</v>
      </c>
      <c r="AH32" s="266">
        <f>IFERROR(INDEX('Inputs (2)'!$D$58:$AL$58,MATCH(AH$7,'Inputs (2)'!$D$2:$AL$2,0)),"")</f>
        <v>5295</v>
      </c>
      <c r="AI32" s="266">
        <f>IFERROR(INDEX('Inputs (2)'!$D$58:$AL$58,MATCH(AI$7,'Inputs (2)'!$D$2:$AL$2,0)),"")</f>
        <v>5312</v>
      </c>
    </row>
    <row r="33">
      <c r="C33" s="14" t="inlineStr">
        <is>
          <t xml:space="preserve">   Américas</t>
        </is>
      </c>
      <c r="D33" s="265">
        <f>IFERROR(INDEX('Inputs (2)'!$D$59:$AL$59,MATCH(D$7,'Inputs (2)'!$D$2:$AL$2,0)),"")</f>
        <v>1466</v>
      </c>
      <c r="E33" s="265">
        <f>IFERROR(INDEX('Inputs (2)'!$D$59:$AL$59,MATCH(E$7,'Inputs (2)'!$D$2:$AL$2,0)),"")</f>
        <v>1410</v>
      </c>
      <c r="F33" s="265">
        <f>IFERROR(INDEX('Inputs (2)'!$D$59:$AL$59,MATCH(F$7,'Inputs (2)'!$D$2:$AL$2,0)),"")</f>
        <v>1419</v>
      </c>
      <c r="G33" s="265">
        <f>IFERROR(INDEX('Inputs (2)'!$D$59:$AL$59,MATCH(G$7,'Inputs (2)'!$D$2:$AL$2,0)),"")</f>
        <v>1394</v>
      </c>
      <c r="H33" s="266">
        <f>IF(COUNT(D33:G33)=4,SUM(D33:G33),"")</f>
        <v>5689</v>
      </c>
      <c r="I33" s="265">
        <f>IFERROR(INDEX('Inputs (2)'!$D$59:$AL$59,MATCH(I$7,'Inputs (2)'!$D$2:$AL$2,0)),"")</f>
        <v>1521</v>
      </c>
      <c r="J33" s="265">
        <f>IFERROR(INDEX('Inputs (2)'!$D$59:$AL$59,MATCH(J$7,'Inputs (2)'!$D$2:$AL$2,0)),"")</f>
        <v>1588</v>
      </c>
      <c r="K33" s="265">
        <f>IFERROR(INDEX('Inputs (2)'!$D$59:$AL$59,MATCH(K$7,'Inputs (2)'!$D$2:$AL$2,0)),"")</f>
        <v>1596</v>
      </c>
      <c r="L33" s="265">
        <f>IFERROR(INDEX('Inputs (2)'!$D$59:$AL$59,MATCH(L$7,'Inputs (2)'!$D$2:$AL$2,0)),"")</f>
        <v>1657</v>
      </c>
      <c r="M33" s="266">
        <f>IF(COUNT(I33:L33)=4,SUM(I33:L33),"")</f>
        <v>6362</v>
      </c>
      <c r="N33" s="265">
        <f>IFERROR(INDEX('Inputs (2)'!$D$59:$AL$59,MATCH(N$7,'Inputs (2)'!$D$2:$AL$2,0)),"")</f>
        <v>1812</v>
      </c>
      <c r="O33" s="265">
        <f>IFERROR(INDEX('Inputs (2)'!$D$59:$AL$59,MATCH(O$7,'Inputs (2)'!$D$2:$AL$2,0)),"")</f>
        <v>1762</v>
      </c>
      <c r="P33" s="265">
        <f>IFERROR(INDEX('Inputs (2)'!$D$59:$AL$59,MATCH(P$7,'Inputs (2)'!$D$2:$AL$2,0)),"")</f>
        <v>1713</v>
      </c>
      <c r="Q33" s="265">
        <f>IFERROR(INDEX('Inputs (2)'!$D$59:$AL$59,MATCH(Q$7,'Inputs (2)'!$D$2:$AL$2,0)),"")</f>
        <v>1839</v>
      </c>
      <c r="R33" s="266">
        <f>IF(COUNT(N33:Q33)=4,SUM(N33:Q33),"")</f>
        <v>7126</v>
      </c>
      <c r="S33" s="265">
        <f>IFERROR(INDEX('Inputs (2)'!$D$59:$AL$59,MATCH(S$7,'Inputs (2)'!$D$2:$AL$2,0)),"")</f>
        <v>2234</v>
      </c>
      <c r="T33" s="265">
        <f>IFERROR(INDEX('Inputs (2)'!$D$59:$AL$59,MATCH(T$7,'Inputs (2)'!$D$2:$AL$2,0)),"")</f>
        <v>2089</v>
      </c>
      <c r="U33" s="265">
        <f>IFERROR(INDEX('Inputs (2)'!$D$59:$AL$59,MATCH(U$7,'Inputs (2)'!$D$2:$AL$2,0)),"")</f>
        <v>2117</v>
      </c>
      <c r="V33" s="265">
        <f>IFERROR(INDEX('Inputs (2)'!$D$59:$AL$59,MATCH(V$7,'Inputs (2)'!$D$2:$AL$2,0)),"")</f>
        <v>3085</v>
      </c>
      <c r="W33" s="266">
        <f>IF(COUNT(S33:V33)=4,SUM(S33:V33),"")</f>
        <v>9525</v>
      </c>
      <c r="X33" s="265">
        <f>IFERROR(INDEX('Inputs (2)'!$D$59:$AL$59,MATCH(X$7,'Inputs (2)'!$D$2:$AL$2,0)),"")</f>
        <v>3874</v>
      </c>
      <c r="Y33" s="265">
        <f>IFERROR(INDEX('Inputs (2)'!$D$59:$AL$59,MATCH(Y$7,'Inputs (2)'!$D$2:$AL$2,0)),"")</f>
        <v>3991</v>
      </c>
      <c r="Z33" s="265">
        <f>IFERROR(INDEX('Inputs (2)'!$D$59:$AL$59,MATCH(Z$7,'Inputs (2)'!$D$2:$AL$2,0)),"")</f>
        <v>4020</v>
      </c>
      <c r="AA33" s="265">
        <f>IFERROR(INDEX('Inputs (2)'!$D$59:$AL$59,MATCH(AA$7,'Inputs (2)'!$D$2:$AL$2,0)),"")</f>
        <v>4632</v>
      </c>
      <c r="AB33" s="266">
        <f>IF(COUNT(X33:AA33)=4,SUM(X33:AA33),"")</f>
        <v>16517</v>
      </c>
      <c r="AC33" s="265">
        <f>IFERROR(INDEX('Inputs (2)'!$D$59:$AL$59,MATCH(AC$7,'Inputs (2)'!$D$2:$AL$2,0)),"")</f>
        <v>4706</v>
      </c>
      <c r="AD33" s="265">
        <f>IFERROR(INDEX('Inputs (2)'!$D$59:$AL$59,MATCH(AD$7,'Inputs (2)'!$D$2:$AL$2,0)),"")</f>
        <v>4724</v>
      </c>
      <c r="AE33" s="265">
        <f>IFERROR(INDEX('Inputs (2)'!$D$59:$AL$59,MATCH(AE$7,'Inputs (2)'!$D$2:$AL$2,0)),"")</f>
        <v>4877</v>
      </c>
      <c r="AF33" s="265">
        <f>IFERROR(INDEX('Inputs (2)'!$D$59:$AL$59,MATCH(AF$7,'Inputs (2)'!$D$2:$AL$2,0)),"")</f>
        <v>5081</v>
      </c>
      <c r="AG33" s="266">
        <f>IF(COUNT(AC33:AF33)=4,SUM(AC33:AF33),"")</f>
        <v>19388</v>
      </c>
      <c r="AH33" s="266">
        <f>IFERROR(INDEX('Inputs (2)'!$D$59:$AL$59,MATCH(AH$7,'Inputs (2)'!$D$2:$AL$2,0)),"")</f>
        <v>5202</v>
      </c>
      <c r="AI33" s="266">
        <f>IFERROR(INDEX('Inputs (2)'!$D$59:$AL$59,MATCH(AI$7,'Inputs (2)'!$D$2:$AL$2,0)),"")</f>
        <v>5513</v>
      </c>
    </row>
    <row r="34">
      <c r="C34" s="14" t="inlineStr">
        <is>
          <t xml:space="preserve">   Ásia-Pacífico</t>
        </is>
      </c>
      <c r="D34" s="265">
        <f>IFERROR(INDEX('Inputs (2)'!$D$60:$AL$60,MATCH(D$7,'Inputs (2)'!$D$2:$AL$2,0)),"")</f>
        <v>3600</v>
      </c>
      <c r="E34" s="265">
        <f>IFERROR(INDEX('Inputs (2)'!$D$60:$AL$60,MATCH(E$7,'Inputs (2)'!$D$2:$AL$2,0)),"")</f>
        <v>3742</v>
      </c>
      <c r="F34" s="265">
        <f>IFERROR(INDEX('Inputs (2)'!$D$60:$AL$60,MATCH(F$7,'Inputs (2)'!$D$2:$AL$2,0)),"")</f>
        <v>4361</v>
      </c>
      <c r="G34" s="265">
        <f>IFERROR(INDEX('Inputs (2)'!$D$60:$AL$60,MATCH(G$7,'Inputs (2)'!$D$2:$AL$2,0)),"")</f>
        <v>4511</v>
      </c>
      <c r="H34" s="266">
        <f>IF(COUNT(D34:G34)=4,SUM(D34:G34),"")</f>
        <v>16214</v>
      </c>
      <c r="I34" s="265">
        <f>IFERROR(INDEX('Inputs (2)'!$D$60:$AL$60,MATCH(I$7,'Inputs (2)'!$D$2:$AL$2,0)),"")</f>
        <v>4228</v>
      </c>
      <c r="J34" s="265">
        <f>IFERROR(INDEX('Inputs (2)'!$D$60:$AL$60,MATCH(J$7,'Inputs (2)'!$D$2:$AL$2,0)),"")</f>
        <v>4321</v>
      </c>
      <c r="K34" s="265">
        <f>IFERROR(INDEX('Inputs (2)'!$D$60:$AL$60,MATCH(K$7,'Inputs (2)'!$D$2:$AL$2,0)),"")</f>
        <v>4918</v>
      </c>
      <c r="L34" s="265">
        <f>IFERROR(INDEX('Inputs (2)'!$D$60:$AL$60,MATCH(L$7,'Inputs (2)'!$D$2:$AL$2,0)),"")</f>
        <v>5112</v>
      </c>
      <c r="M34" s="266">
        <f>IF(COUNT(I34:L34)=4,SUM(I34:L34),"")</f>
        <v>18579</v>
      </c>
      <c r="N34" s="265">
        <f>IFERROR(INDEX('Inputs (2)'!$D$60:$AL$60,MATCH(N$7,'Inputs (2)'!$D$2:$AL$2,0)),"")</f>
        <v>5385</v>
      </c>
      <c r="O34" s="265">
        <f>IFERROR(INDEX('Inputs (2)'!$D$60:$AL$60,MATCH(O$7,'Inputs (2)'!$D$2:$AL$2,0)),"")</f>
        <v>5845</v>
      </c>
      <c r="P34" s="265">
        <f>IFERROR(INDEX('Inputs (2)'!$D$60:$AL$60,MATCH(P$7,'Inputs (2)'!$D$2:$AL$2,0)),"")</f>
        <v>6163</v>
      </c>
      <c r="Q34" s="265">
        <f>IFERROR(INDEX('Inputs (2)'!$D$60:$AL$60,MATCH(Q$7,'Inputs (2)'!$D$2:$AL$2,0)),"")</f>
        <v>6137</v>
      </c>
      <c r="R34" s="266">
        <f>IF(COUNT(N34:Q34)=4,SUM(N34:Q34),"")</f>
        <v>23530</v>
      </c>
      <c r="S34" s="265">
        <f>IFERROR(INDEX('Inputs (2)'!$D$60:$AL$60,MATCH(S$7,'Inputs (2)'!$D$2:$AL$2,0)),"")</f>
        <v>5584</v>
      </c>
      <c r="T34" s="265">
        <f>IFERROR(INDEX('Inputs (2)'!$D$60:$AL$60,MATCH(T$7,'Inputs (2)'!$D$2:$AL$2,0)),"")</f>
        <v>5947</v>
      </c>
      <c r="U34" s="265">
        <f>IFERROR(INDEX('Inputs (2)'!$D$60:$AL$60,MATCH(U$7,'Inputs (2)'!$D$2:$AL$2,0)),"")</f>
        <v>6252</v>
      </c>
      <c r="V34" s="265">
        <f>IFERROR(INDEX('Inputs (2)'!$D$60:$AL$60,MATCH(V$7,'Inputs (2)'!$D$2:$AL$2,0)),"")</f>
        <v>6697</v>
      </c>
      <c r="W34" s="266">
        <f>IF(COUNT(S34:V34)=4,SUM(S34:V34),"")</f>
        <v>24480</v>
      </c>
      <c r="X34" s="265">
        <f>IFERROR(INDEX('Inputs (2)'!$D$60:$AL$60,MATCH(X$7,'Inputs (2)'!$D$2:$AL$2,0)),"")</f>
        <v>6754</v>
      </c>
      <c r="Y34" s="265">
        <f>IFERROR(INDEX('Inputs (2)'!$D$60:$AL$60,MATCH(Y$7,'Inputs (2)'!$D$2:$AL$2,0)),"")</f>
        <v>7041</v>
      </c>
      <c r="Z34" s="265">
        <f>IFERROR(INDEX('Inputs (2)'!$D$60:$AL$60,MATCH(Z$7,'Inputs (2)'!$D$2:$AL$2,0)),"")</f>
        <v>7930</v>
      </c>
      <c r="AA34" s="265">
        <f>IFERROR(INDEX('Inputs (2)'!$D$60:$AL$60,MATCH(AA$7,'Inputs (2)'!$D$2:$AL$2,0)),"")</f>
        <v>8032</v>
      </c>
      <c r="AB34" s="266">
        <f>IF(COUNT(X34:AA34)=4,SUM(X34:AA34),"")</f>
        <v>29757</v>
      </c>
      <c r="AC34" s="265">
        <f>IFERROR(INDEX('Inputs (2)'!$D$60:$AL$60,MATCH(AC$7,'Inputs (2)'!$D$2:$AL$2,0)),"")</f>
        <v>8100</v>
      </c>
      <c r="AD34" s="265">
        <f>IFERROR(INDEX('Inputs (2)'!$D$60:$AL$60,MATCH(AD$7,'Inputs (2)'!$D$2:$AL$2,0)),"")</f>
        <v>8960</v>
      </c>
      <c r="AE34" s="265">
        <f>IFERROR(INDEX('Inputs (2)'!$D$60:$AL$60,MATCH(AE$7,'Inputs (2)'!$D$2:$AL$2,0)),"")</f>
        <v>10804</v>
      </c>
      <c r="AF34" s="265">
        <f>IFERROR(INDEX('Inputs (2)'!$D$60:$AL$60,MATCH(AF$7,'Inputs (2)'!$D$2:$AL$2,0)),"")</f>
        <v>11615</v>
      </c>
      <c r="AG34" s="266">
        <f>IF(COUNT(AC34:AF34)=4,SUM(AC34:AF34),"")</f>
        <v>39479</v>
      </c>
      <c r="AH34" s="266">
        <f>IFERROR(INDEX('Inputs (2)'!$D$60:$AL$60,MATCH(AH$7,'Inputs (2)'!$D$2:$AL$2,0)),"")</f>
        <v>14535</v>
      </c>
      <c r="AI34" s="266">
        <f>IFERROR(INDEX('Inputs (2)'!$D$60:$AL$60,MATCH(AI$7,'Inputs (2)'!$D$2:$AL$2,0)),"")</f>
        <v>20944</v>
      </c>
    </row>
    <row r="35">
      <c r="C35" s="14" t="inlineStr">
        <is>
          <t xml:space="preserve">   EMEA</t>
        </is>
      </c>
      <c r="D35" s="265">
        <f>IFERROR(INDEX('Inputs (2)'!$D$61:$AL$61,MATCH(D$7,'Inputs (2)'!$D$2:$AL$2,0)),"")</f>
        <v>676</v>
      </c>
      <c r="E35" s="265">
        <f>IFERROR(INDEX('Inputs (2)'!$D$61:$AL$61,MATCH(E$7,'Inputs (2)'!$D$2:$AL$2,0)),"")</f>
        <v>669</v>
      </c>
      <c r="F35" s="265">
        <f>IFERROR(INDEX('Inputs (2)'!$D$61:$AL$61,MATCH(F$7,'Inputs (2)'!$D$2:$AL$2,0)),"")</f>
        <v>687</v>
      </c>
      <c r="G35" s="265">
        <f>IFERROR(INDEX('Inputs (2)'!$D$61:$AL$61,MATCH(G$7,'Inputs (2)'!$D$2:$AL$2,0)),"")</f>
        <v>750</v>
      </c>
      <c r="H35" s="266">
        <f>IF(COUNT(D35:G35)=4,SUM(D35:G35),"")</f>
        <v>2782</v>
      </c>
      <c r="I35" s="265">
        <f>IFERROR(INDEX('Inputs (2)'!$D$61:$AL$61,MATCH(I$7,'Inputs (2)'!$D$2:$AL$2,0)),"")</f>
        <v>861</v>
      </c>
      <c r="J35" s="265">
        <f>IFERROR(INDEX('Inputs (2)'!$D$61:$AL$61,MATCH(J$7,'Inputs (2)'!$D$2:$AL$2,0)),"")</f>
        <v>869</v>
      </c>
      <c r="K35" s="265">
        <f>IFERROR(INDEX('Inputs (2)'!$D$61:$AL$61,MATCH(K$7,'Inputs (2)'!$D$2:$AL$2,0)),"")</f>
        <v>893</v>
      </c>
      <c r="L35" s="265">
        <f>IFERROR(INDEX('Inputs (2)'!$D$61:$AL$61,MATCH(L$7,'Inputs (2)'!$D$2:$AL$2,0)),"")</f>
        <v>937</v>
      </c>
      <c r="M35" s="266">
        <f>IF(COUNT(I35:L35)=4,SUM(I35:L35),"")</f>
        <v>3560</v>
      </c>
      <c r="N35" s="265">
        <f>IFERROR(INDEX('Inputs (2)'!$D$61:$AL$61,MATCH(N$7,'Inputs (2)'!$D$2:$AL$2,0)),"")</f>
        <v>906</v>
      </c>
      <c r="O35" s="265">
        <f>IFERROR(INDEX('Inputs (2)'!$D$61:$AL$61,MATCH(O$7,'Inputs (2)'!$D$2:$AL$2,0)),"")</f>
        <v>857</v>
      </c>
      <c r="P35" s="265">
        <f>IFERROR(INDEX('Inputs (2)'!$D$61:$AL$61,MATCH(P$7,'Inputs (2)'!$D$2:$AL$2,0)),"")</f>
        <v>1054</v>
      </c>
      <c r="Q35" s="265">
        <f>IFERROR(INDEX('Inputs (2)'!$D$61:$AL$61,MATCH(Q$7,'Inputs (2)'!$D$2:$AL$2,0)),"")</f>
        <v>939</v>
      </c>
      <c r="R35" s="266">
        <f>IF(COUNT(N35:Q35)=4,SUM(N35:Q35),"")</f>
        <v>3756</v>
      </c>
      <c r="S35" s="265">
        <f>IFERROR(INDEX('Inputs (2)'!$D$61:$AL$61,MATCH(S$7,'Inputs (2)'!$D$2:$AL$2,0)),"")</f>
        <v>915</v>
      </c>
      <c r="T35" s="265">
        <f>IFERROR(INDEX('Inputs (2)'!$D$61:$AL$61,MATCH(T$7,'Inputs (2)'!$D$2:$AL$2,0)),"")</f>
        <v>840</v>
      </c>
      <c r="U35" s="265">
        <f>IFERROR(INDEX('Inputs (2)'!$D$61:$AL$61,MATCH(U$7,'Inputs (2)'!$D$2:$AL$2,0)),"")</f>
        <v>926</v>
      </c>
      <c r="V35" s="265">
        <f>IFERROR(INDEX('Inputs (2)'!$D$61:$AL$61,MATCH(V$7,'Inputs (2)'!$D$2:$AL$2,0)),"")</f>
        <v>2179</v>
      </c>
      <c r="W35" s="266">
        <f>IF(COUNT(S35:V35)=4,SUM(S35:V35),"")</f>
        <v>4860</v>
      </c>
      <c r="X35" s="265">
        <f>IFERROR(INDEX('Inputs (2)'!$D$61:$AL$61,MATCH(X$7,'Inputs (2)'!$D$2:$AL$2,0)),"")</f>
        <v>1859</v>
      </c>
      <c r="Y35" s="265">
        <f>IFERROR(INDEX('Inputs (2)'!$D$61:$AL$61,MATCH(Y$7,'Inputs (2)'!$D$2:$AL$2,0)),"")</f>
        <v>2040</v>
      </c>
      <c r="Z35" s="265">
        <f>IFERROR(INDEX('Inputs (2)'!$D$61:$AL$61,MATCH(Z$7,'Inputs (2)'!$D$2:$AL$2,0)),"")</f>
        <v>2104</v>
      </c>
      <c r="AA35" s="265">
        <f>IFERROR(INDEX('Inputs (2)'!$D$61:$AL$61,MATCH(AA$7,'Inputs (2)'!$D$2:$AL$2,0)),"")</f>
        <v>2252</v>
      </c>
      <c r="AB35" s="266">
        <f>IF(COUNT(X35:AA35)=4,SUM(X35:AA35),"")</f>
        <v>8255</v>
      </c>
      <c r="AC35" s="265">
        <f>IFERROR(INDEX('Inputs (2)'!$D$61:$AL$61,MATCH(AC$7,'Inputs (2)'!$D$2:$AL$2,0)),"")</f>
        <v>2198</v>
      </c>
      <c r="AD35" s="265">
        <f>IFERROR(INDEX('Inputs (2)'!$D$61:$AL$61,MATCH(AD$7,'Inputs (2)'!$D$2:$AL$2,0)),"")</f>
        <v>2268</v>
      </c>
      <c r="AE35" s="265">
        <f>IFERROR(INDEX('Inputs (2)'!$D$61:$AL$61,MATCH(AE$7,'Inputs (2)'!$D$2:$AL$2,0)),"")</f>
        <v>2334</v>
      </c>
      <c r="AF35" s="265">
        <f>IFERROR(INDEX('Inputs (2)'!$D$61:$AL$61,MATCH(AF$7,'Inputs (2)'!$D$2:$AL$2,0)),"")</f>
        <v>2615</v>
      </c>
      <c r="AG35" s="266">
        <f>IF(COUNT(AC35:AF35)=4,SUM(AC35:AF35),"")</f>
        <v>9415</v>
      </c>
      <c r="AH35" s="266">
        <f>IFERROR(INDEX('Inputs (2)'!$D$61:$AL$61,MATCH(AH$7,'Inputs (2)'!$D$2:$AL$2,0)),"")</f>
        <v>2450</v>
      </c>
      <c r="AI35" s="266">
        <f>IFERROR(INDEX('Inputs (2)'!$D$61:$AL$61,MATCH(AI$7,'Inputs (2)'!$D$2:$AL$2,0)),"")</f>
        <v>3134</v>
      </c>
    </row>
    <row r="36"/>
    <row r="37"/>
    <row r="38"/>
    <row r="39"/>
    <row r="40" hidden="1" outlineLevel="1" customFormat="1" s="23">
      <c r="A40" s="18" t="n"/>
      <c r="B40" s="19" t="n"/>
      <c r="C40" s="20" t="n"/>
      <c r="D40" s="21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1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1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1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</row>
    <row r="41" hidden="1" outlineLevel="1" customFormat="1" s="23">
      <c r="A41" s="18" t="n"/>
      <c r="B41" s="19" t="n"/>
      <c r="C41" s="20" t="n"/>
      <c r="D41" s="21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1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1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1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1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</row>
    <row r="42" collapsed="1">
      <c r="C42" s="24" t="inlineStr">
        <is>
          <t>COGS (cash)</t>
        </is>
      </c>
      <c r="D42" s="25">
        <f>INDEX('Inputs (2)'!$D$5:$AL$5,MATCH(D$7,'Inputs (2)'!$D$2:$AL$2,0))</f>
        <v>-2553</v>
      </c>
      <c r="E42" s="25">
        <f>INDEX('Inputs (2)'!$D$5:$AL$5,MATCH(E$7,'Inputs (2)'!$D$2:$AL$2,0))</f>
        <v>-2505</v>
      </c>
      <c r="F42" s="25">
        <f>INDEX('Inputs (2)'!$D$5:$AL$5,MATCH(F$7,'Inputs (2)'!$D$2:$AL$2,0))</f>
        <v>-2720</v>
      </c>
      <c r="G42" s="25">
        <f>INDEX('Inputs (2)'!$D$5:$AL$5,MATCH(G$7,'Inputs (2)'!$D$2:$AL$2,0))</f>
        <v>-2703</v>
      </c>
      <c r="H42" s="3">
        <f>SUM(D42:G42)</f>
        <v>-10481</v>
      </c>
      <c r="I42" s="25">
        <f>INDEX('Inputs (2)'!$D$5:$AL$5,MATCH(I$7,'Inputs (2)'!$D$2:$AL$2,0))</f>
        <v>-2553</v>
      </c>
      <c r="J42" s="25">
        <f>INDEX('Inputs (2)'!$D$5:$AL$5,MATCH(J$7,'Inputs (2)'!$D$2:$AL$2,0))</f>
        <v>-2581</v>
      </c>
      <c r="K42" s="25">
        <f>INDEX('Inputs (2)'!$D$5:$AL$5,MATCH(K$7,'Inputs (2)'!$D$2:$AL$2,0))</f>
        <v>-2769</v>
      </c>
      <c r="L42" s="25">
        <f>INDEX('Inputs (2)'!$D$5:$AL$5,MATCH(L$7,'Inputs (2)'!$D$2:$AL$2,0))</f>
        <v>-2657</v>
      </c>
      <c r="M42" s="3">
        <f>SUM(I42:L42)</f>
        <v>-10560</v>
      </c>
      <c r="N42" s="25">
        <f>INDEX('Inputs (2)'!$D$5:$AL$5,MATCH(N$7,'Inputs (2)'!$D$2:$AL$2,0))</f>
        <v>-2664</v>
      </c>
      <c r="O42" s="25">
        <f>INDEX('Inputs (2)'!$D$5:$AL$5,MATCH(O$7,'Inputs (2)'!$D$2:$AL$2,0))</f>
        <v>-2783</v>
      </c>
      <c r="P42" s="25">
        <f>INDEX('Inputs (2)'!$D$5:$AL$5,MATCH(P$7,'Inputs (2)'!$D$2:$AL$2,0))</f>
        <v>-3004</v>
      </c>
      <c r="Q42" s="25">
        <f>INDEX('Inputs (2)'!$D$5:$AL$5,MATCH(Q$7,'Inputs (2)'!$D$2:$AL$2,0))</f>
        <v>-2911</v>
      </c>
      <c r="R42" s="3">
        <f>SUM(N42:Q42)</f>
        <v>-11362</v>
      </c>
      <c r="S42" s="25">
        <f>INDEX('Inputs (2)'!$D$5:$AL$5,MATCH(S$7,'Inputs (2)'!$D$2:$AL$2,0))</f>
        <v>-2618</v>
      </c>
      <c r="T42" s="25">
        <f>INDEX('Inputs (2)'!$D$5:$AL$5,MATCH(T$7,'Inputs (2)'!$D$2:$AL$2,0))</f>
        <v>-2712</v>
      </c>
      <c r="U42" s="25">
        <f>INDEX('Inputs (2)'!$D$5:$AL$5,MATCH(U$7,'Inputs (2)'!$D$2:$AL$2,0))</f>
        <v>-2888</v>
      </c>
      <c r="V42" s="25">
        <f>INDEX('Inputs (2)'!$D$5:$AL$5,MATCH(V$7,'Inputs (2)'!$D$2:$AL$2,0))</f>
        <v>-4586</v>
      </c>
      <c r="W42" s="3">
        <f>SUM(S42:V42)</f>
        <v>-12804</v>
      </c>
      <c r="X42" s="25">
        <f>INDEX('Inputs (2)'!$D$5:$AL$5,MATCH(X$7,'Inputs (2)'!$D$2:$AL$2,0))</f>
        <v>-4711</v>
      </c>
      <c r="Y42" s="25">
        <f>INDEX('Inputs (2)'!$D$5:$AL$5,MATCH(Y$7,'Inputs (2)'!$D$2:$AL$2,0))</f>
        <v>-4716</v>
      </c>
      <c r="Z42" s="25">
        <f>INDEX('Inputs (2)'!$D$5:$AL$5,MATCH(Z$7,'Inputs (2)'!$D$2:$AL$2,0))</f>
        <v>-5052</v>
      </c>
      <c r="AA42" s="25">
        <f>INDEX('Inputs (2)'!$D$5:$AL$5,MATCH(AA$7,'Inputs (2)'!$D$2:$AL$2,0))</f>
        <v>-4771</v>
      </c>
      <c r="AB42" s="3">
        <f>SUM(X42:AA42)</f>
        <v>-19250</v>
      </c>
      <c r="AC42" s="25">
        <f>INDEX('Inputs (2)'!$D$5:$AL$5,MATCH(AC$7,'Inputs (2)'!$D$2:$AL$2,0))</f>
        <v>-4807</v>
      </c>
      <c r="AD42" s="25">
        <f>INDEX('Inputs (2)'!$D$5:$AL$5,MATCH(AD$7,'Inputs (2)'!$D$2:$AL$2,0))</f>
        <v>-5249</v>
      </c>
      <c r="AE42" s="25">
        <f>INDEX('Inputs (2)'!$D$5:$AL$5,MATCH(AE$7,'Inputs (2)'!$D$2:$AL$2,0))</f>
        <v>-5766</v>
      </c>
      <c r="AF42" s="25">
        <f>INDEX('Inputs (2)'!$D$5:$AL$5,MATCH(AF$7,'Inputs (2)'!$D$2:$AL$2,0))</f>
        <v>-6154</v>
      </c>
      <c r="AG42" s="3">
        <f>SUM(AC42:AF42)</f>
        <v>-21976</v>
      </c>
      <c r="AH42" s="3">
        <f>INDEX('Inputs (2)'!$D$5:$AL$5,MATCH(AH$7,'Inputs (2)'!$D$2:$AL$2,0))</f>
        <v>-6772</v>
      </c>
      <c r="AI42" s="3">
        <f>INDEX('Inputs (2)'!$D$5:$AL$5,MATCH(AI$7,'Inputs (2)'!$D$2:$AL$2,0))</f>
        <v>-9135</v>
      </c>
      <c r="AJ42" s="3">
        <f>(100%-AJ43)*-AJ15</f>
        <v>-18015</v>
      </c>
      <c r="AK42" s="3">
        <f>(100%-AK43)*-AK15</f>
        <v>-19311</v>
      </c>
      <c r="AL42" s="3">
        <f>SUM(AH42:AK42)</f>
        <v>-53233</v>
      </c>
      <c r="AM42" s="3">
        <f>(100%-AM43)*-AM15</f>
        <v>-22187</v>
      </c>
      <c r="AN42" s="3">
        <f>(100%-AN43)*-AN15</f>
        <v>-29591</v>
      </c>
      <c r="AO42" s="3">
        <f>(100%-AO43)*-AO15</f>
        <v>-18015</v>
      </c>
      <c r="AP42" s="3">
        <f>(100%-AP43)*-AP15</f>
        <v>-19311</v>
      </c>
      <c r="AQ42" s="3">
        <f>SUM(AM42:AP42)</f>
        <v>-89104</v>
      </c>
      <c r="AR42" s="3">
        <f>(100%-AR43)*-AR15</f>
        <v>-22187</v>
      </c>
      <c r="AS42" s="3">
        <f>(100%-AS43)*-AS15</f>
        <v>-29591</v>
      </c>
      <c r="AT42" s="3">
        <f>(100%-AT43)*-AT15</f>
        <v>-18015</v>
      </c>
      <c r="AU42" s="3">
        <f>(100%-AU43)*-AU15</f>
        <v>-19311</v>
      </c>
      <c r="AV42" s="3">
        <f>SUM(AR42:AU42)</f>
        <v>-89104</v>
      </c>
      <c r="AW42" s="3">
        <f>(100%-AW43)*-AW15</f>
        <v>-22187</v>
      </c>
      <c r="AX42" s="3">
        <f>(100%-AX43)*-AX15</f>
        <v>-29591</v>
      </c>
      <c r="AY42" s="3">
        <f>(100%-AY43)*-AY15</f>
        <v>-18015</v>
      </c>
      <c r="AZ42" s="3">
        <f>(100%-AZ43)*-AZ15</f>
        <v>-19311</v>
      </c>
      <c r="BA42" s="3">
        <f>SUM(AW42:AZ42)</f>
        <v>-89104</v>
      </c>
      <c r="BB42" s="3">
        <f>(100%-BB43)*-BB15</f>
        <v>-22187</v>
      </c>
      <c r="BC42" s="3">
        <f>(100%-BC43)*-BC15</f>
        <v>-29591</v>
      </c>
      <c r="BD42" s="3">
        <f>(100%-BD43)*-BD15</f>
        <v>-18015</v>
      </c>
      <c r="BE42" s="3">
        <f>(100%-BE43)*-BE15</f>
        <v>-19311</v>
      </c>
      <c r="BF42" s="3">
        <f>SUM(BB42:BE42)</f>
        <v>-89104</v>
      </c>
      <c r="BG42" s="3">
        <f>(100%-BG43)*-BG15</f>
        <v>-22187</v>
      </c>
      <c r="BH42" s="3">
        <f>(100%-BH43)*-BH15</f>
        <v>-29591</v>
      </c>
      <c r="BI42" s="3">
        <f>(100%-BI43)*-BI15</f>
        <v>-18015</v>
      </c>
      <c r="BJ42" s="3">
        <f>(100%-BJ43)*-BJ15</f>
        <v>-19311</v>
      </c>
      <c r="BK42" s="3">
        <f>SUM(BG42:BJ42)</f>
        <v>-89104</v>
      </c>
      <c r="BL42" s="3">
        <f>(100%-BL43)*-BL15</f>
        <v>-22187</v>
      </c>
      <c r="BM42" s="3">
        <f>(100%-BM43)*-BM15</f>
        <v>-29591</v>
      </c>
      <c r="BN42" s="3">
        <f>(100%-BN43)*-BN15</f>
        <v>-18015</v>
      </c>
      <c r="BO42" s="3">
        <f>(100%-BO43)*-BO15</f>
        <v>-19311</v>
      </c>
      <c r="BP42" s="3">
        <f>SUM(BL42:BO42)</f>
        <v>-89104</v>
      </c>
      <c r="BQ42" s="3">
        <f>(100%-BQ43)*-BQ15</f>
        <v>-22187</v>
      </c>
      <c r="BR42" s="3">
        <f>(100%-BR43)*-BR15</f>
        <v>-29591</v>
      </c>
      <c r="BS42" s="3">
        <f>(100%-BS43)*-BS15</f>
        <v>-18015</v>
      </c>
      <c r="BT42" s="3">
        <f>(100%-BT43)*-BT15</f>
        <v>-19311</v>
      </c>
      <c r="BU42" s="3">
        <f>SUM(BQ42:BT42)</f>
        <v>-89104</v>
      </c>
      <c r="BV42" s="3">
        <f>(100%-BV43)*-BV15</f>
        <v>-22187</v>
      </c>
      <c r="BW42" s="3">
        <f>(100%-BW43)*-BW15</f>
        <v>-29591</v>
      </c>
      <c r="BX42" s="3">
        <f>(100%-BX43)*-BX15</f>
        <v>-18015</v>
      </c>
      <c r="BY42" s="3">
        <f>(100%-BY43)*-BY15</f>
        <v>-19311</v>
      </c>
      <c r="BZ42" s="3">
        <f>SUM(BV42:BY42)</f>
        <v>-89104</v>
      </c>
      <c r="CA42" s="3">
        <f>(100%-CA43)*-CA15</f>
        <v>-22187</v>
      </c>
      <c r="CB42" s="3">
        <f>(100%-CB43)*-CB15</f>
        <v>-29591</v>
      </c>
      <c r="CC42" s="3">
        <f>(100%-CC43)*-CC15</f>
        <v>-18015</v>
      </c>
      <c r="CD42" s="3">
        <f>(100%-CD43)*-CD15</f>
        <v>-19311</v>
      </c>
      <c r="CE42" s="3">
        <f>SUM(CA42:CD42)</f>
        <v>-89104</v>
      </c>
      <c r="CF42" s="3">
        <f>(100%-CF43)*-CF15</f>
        <v>-22187</v>
      </c>
      <c r="CG42" s="3">
        <f>(100%-CG43)*-CG15</f>
        <v>-29591</v>
      </c>
      <c r="CH42" s="3">
        <f>(100%-CH43)*-CH15</f>
        <v>-18015</v>
      </c>
      <c r="CI42" s="3">
        <f>(100%-CI43)*-CI15</f>
        <v>-19311</v>
      </c>
      <c r="CJ42" s="3">
        <f>SUM(CF42:CI42)</f>
        <v>-89104</v>
      </c>
      <c r="CK42" s="3">
        <f>(100%-CK43)*-CK15</f>
        <v>-22187</v>
      </c>
      <c r="CL42" s="3">
        <f>(100%-CL43)*-CL15</f>
        <v>-29591</v>
      </c>
      <c r="CM42" s="3">
        <f>(100%-CM43)*-CM15</f>
        <v>-18015</v>
      </c>
      <c r="CN42" s="3">
        <f>(100%-CN43)*-CN15</f>
        <v>-19311</v>
      </c>
      <c r="CO42" s="3">
        <f>SUM(CK42:CN42)</f>
        <v>-89104</v>
      </c>
      <c r="CP42" s="3">
        <f>(100%-CP43)*-CP15</f>
        <v>-22187</v>
      </c>
      <c r="CQ42" s="3">
        <f>(100%-CQ43)*-CQ15</f>
        <v>-29591</v>
      </c>
      <c r="CR42" s="3">
        <f>(100%-CR43)*-CR15</f>
        <v>-18015</v>
      </c>
      <c r="CS42" s="3">
        <f>(100%-CS43)*-CS15</f>
        <v>-19311</v>
      </c>
      <c r="CT42" s="3">
        <f>SUM(CP42:CS42)</f>
        <v>-89104</v>
      </c>
      <c r="CU42" s="3">
        <f>(100%-CU43)*-CU15</f>
        <v>-22187</v>
      </c>
      <c r="CV42" s="3">
        <f>(100%-CV43)*-CV15</f>
        <v>-29591</v>
      </c>
      <c r="CW42" s="3">
        <f>(100%-CW43)*-CW15</f>
        <v>-18015</v>
      </c>
      <c r="CX42" s="3">
        <f>(100%-CX43)*-CX15</f>
        <v>-19311</v>
      </c>
      <c r="CY42" s="3">
        <f>SUM(CU42:CX42)</f>
        <v>-89104</v>
      </c>
    </row>
    <row r="43" hidden="1" outlineLevel="1" customFormat="1" s="1">
      <c r="C43" s="57" t="inlineStr">
        <is>
          <t>% Gross Margin</t>
        </is>
      </c>
      <c r="D43" s="54">
        <f>(D15+D42)/D$15</f>
        <v>0.555381400208986</v>
      </c>
      <c r="E43" s="54">
        <f>(E15+E42)/E$15</f>
        <v>0.569661570176946</v>
      </c>
      <c r="F43" s="54">
        <f>(F15+F42)/F$15</f>
        <v>0.579403123550332</v>
      </c>
      <c r="G43" s="54">
        <f>(G15+G42)/G$15</f>
        <v>0.593839218632607</v>
      </c>
      <c r="H43" s="54">
        <f>(H15+H42)/H$15</f>
        <v>0.575410168118291</v>
      </c>
      <c r="I43" s="54">
        <f>(I15+I42)/I$15</f>
        <v>0.613767019667171</v>
      </c>
      <c r="J43" s="54">
        <f>(J15+J42)/J$15</f>
        <v>0.619209206255533</v>
      </c>
      <c r="K43" s="54">
        <f>(K15+K42)/K$15</f>
        <v>0.626164439044147</v>
      </c>
      <c r="L43" s="54">
        <f>(L15+L42)/L$15</f>
        <v>0.655203737347522</v>
      </c>
      <c r="M43" s="54">
        <f>(M15+M42)/M$15</f>
        <v>0.629486684677731</v>
      </c>
      <c r="N43" s="54">
        <f>(N15+N42)/N$15</f>
        <v>0.671232876712329</v>
      </c>
      <c r="O43" s="54">
        <f>(O15+O42)/O$15</f>
        <v>0.671195652173913</v>
      </c>
      <c r="P43" s="54">
        <f>(P15+P42)/P$15</f>
        <v>0.663605823068309</v>
      </c>
      <c r="Q43" s="54">
        <f>(Q15+Q42)/Q$15</f>
        <v>0.673471676948962</v>
      </c>
      <c r="R43" s="54">
        <f>(R15+R42)/R$15</f>
        <v>0.669824479832617</v>
      </c>
      <c r="S43" s="54">
        <f>(S15+S42)/S$15</f>
        <v>0.700217565555937</v>
      </c>
      <c r="T43" s="54">
        <f>(T15+T42)/T$15</f>
        <v>0.694456962595764</v>
      </c>
      <c r="U43" s="54">
        <f>(U15+U42)/U$15</f>
        <v>0.689295320064551</v>
      </c>
      <c r="V43" s="54">
        <f>(V15+V42)/V$15</f>
        <v>0.616587241869409</v>
      </c>
      <c r="W43" s="54">
        <f>(W15+W42)/W$15</f>
        <v>0.670551910459282</v>
      </c>
      <c r="X43" s="54">
        <f>(X15+X42)/X$15</f>
        <v>0.622727636742212</v>
      </c>
      <c r="Y43" s="54">
        <f>(Y15+Y42)/Y$15</f>
        <v>0.639228886168911</v>
      </c>
      <c r="Z43" s="54">
        <f>(Z15+Z42)/Z$15</f>
        <v>0.640529386651487</v>
      </c>
      <c r="AA43" s="54">
        <f>(AA15+AA42)/AA$15</f>
        <v>0.680142129257174</v>
      </c>
      <c r="AB43" s="54">
        <f>(AB15+AB42)/AB$15</f>
        <v>0.646976838012801</v>
      </c>
      <c r="AC43" s="54">
        <f>(AC15+AC42)/AC$15</f>
        <v>0.679618768328446</v>
      </c>
      <c r="AD43" s="54">
        <f>(AD15+AD42)/AD$15</f>
        <v>0.67095035105316</v>
      </c>
      <c r="AE43" s="54">
        <f>(AE15+AE42)/AE$15</f>
        <v>0.679933388842631</v>
      </c>
      <c r="AF43" s="44">
        <f>(AF15+AF42)/AF$15</f>
        <v>0.681321526591062</v>
      </c>
      <c r="AG43" s="54">
        <f>(AG15+AG42)/AG$15</f>
        <v>0.678158226179667</v>
      </c>
      <c r="AH43" s="55">
        <f>(AH15+AH42)/AH$15</f>
        <v>0.69477622030919</v>
      </c>
      <c r="AI43" s="55">
        <f>(AI15+AI42)/AI$15</f>
        <v>0.691291270994559</v>
      </c>
      <c r="AJ43" s="55" t="n"/>
      <c r="AK43" s="55" t="n"/>
      <c r="AL43" s="54">
        <f>(AL15+AL42)/AL$15</f>
        <v>0.402574519662417</v>
      </c>
      <c r="AM43" s="55" t="n"/>
      <c r="AN43" s="55" t="n"/>
      <c r="AO43" s="55" t="n"/>
      <c r="AP43" s="55" t="n"/>
      <c r="AQ43" s="54">
        <f>(AQ15+AQ42)/AQ$15</f>
        <v>0</v>
      </c>
      <c r="AR43" s="55" t="n"/>
      <c r="AS43" s="55" t="n"/>
      <c r="AT43" s="55" t="n"/>
      <c r="AU43" s="55" t="n"/>
      <c r="AV43" s="54">
        <f>(AV15+AV42)/AV$15</f>
        <v>0</v>
      </c>
      <c r="AW43" s="55" t="n"/>
      <c r="AX43" s="55" t="n"/>
      <c r="AY43" s="55" t="n"/>
      <c r="AZ43" s="55" t="n"/>
      <c r="BA43" s="54">
        <f>(BA15+BA42)/BA$15</f>
        <v>0</v>
      </c>
      <c r="BB43" s="55" t="n"/>
      <c r="BC43" s="55" t="n"/>
      <c r="BD43" s="55" t="n"/>
      <c r="BE43" s="55" t="n"/>
      <c r="BF43" s="54">
        <f>(BF15+BF42)/BF$15</f>
        <v>0</v>
      </c>
      <c r="BG43" s="55" t="n"/>
      <c r="BH43" s="55" t="n"/>
      <c r="BI43" s="55" t="n"/>
      <c r="BJ43" s="55" t="n"/>
      <c r="BK43" s="54">
        <f>(BK15+BK42)/BK$15</f>
        <v>0</v>
      </c>
      <c r="BL43" s="55" t="n"/>
      <c r="BM43" s="55" t="n"/>
      <c r="BN43" s="55" t="n"/>
      <c r="BO43" s="55" t="n"/>
      <c r="BP43" s="54">
        <f>(BP15+BP42)/BP$15</f>
        <v>0</v>
      </c>
      <c r="BQ43" s="55" t="n"/>
      <c r="BR43" s="55" t="n"/>
      <c r="BS43" s="55" t="n"/>
      <c r="BT43" s="55" t="n"/>
      <c r="BU43" s="54">
        <f>(BU15+BU42)/BU$15</f>
        <v>0</v>
      </c>
      <c r="BV43" s="55" t="n"/>
      <c r="BW43" s="55" t="n"/>
      <c r="BX43" s="55" t="n"/>
      <c r="BY43" s="55" t="n"/>
      <c r="BZ43" s="54">
        <f>(BZ15+BZ42)/BZ$15</f>
        <v>0</v>
      </c>
      <c r="CA43" s="55" t="n"/>
      <c r="CB43" s="55" t="n"/>
      <c r="CC43" s="55" t="n"/>
      <c r="CD43" s="55" t="n"/>
      <c r="CE43" s="54">
        <f>(CE15+CE42)/CE$15</f>
        <v>0</v>
      </c>
      <c r="CF43" s="55" t="n"/>
      <c r="CG43" s="55" t="n"/>
      <c r="CH43" s="55" t="n"/>
      <c r="CI43" s="55" t="n"/>
      <c r="CJ43" s="54">
        <f>(CJ15+CJ42)/CJ$15</f>
        <v>0</v>
      </c>
      <c r="CK43" s="55" t="n"/>
      <c r="CL43" s="55" t="n"/>
      <c r="CM43" s="55" t="n"/>
      <c r="CN43" s="55" t="n"/>
      <c r="CO43" s="54">
        <f>(CO15+CO42)/CO$15</f>
        <v>0</v>
      </c>
      <c r="CP43" s="55" t="n"/>
      <c r="CQ43" s="55" t="n"/>
      <c r="CR43" s="55" t="n"/>
      <c r="CS43" s="55" t="n"/>
      <c r="CT43" s="54">
        <f>(CT15+CT42)/CT$15</f>
        <v>0</v>
      </c>
      <c r="CU43" s="55" t="n"/>
      <c r="CV43" s="55" t="n"/>
      <c r="CW43" s="55" t="n"/>
      <c r="CX43" s="55" t="n"/>
      <c r="CY43" s="54">
        <f>(CY15+CY42)/CY$15</f>
        <v>0</v>
      </c>
    </row>
    <row r="44" hidden="1" outlineLevel="1"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2" t="n"/>
      <c r="S44" s="32" t="n"/>
      <c r="T44" s="32" t="n"/>
      <c r="U44" s="32" t="n"/>
      <c r="V44" s="32" t="n"/>
      <c r="W44" s="32" t="n"/>
      <c r="X44" s="32" t="n"/>
      <c r="Y44" s="32" t="n"/>
      <c r="Z44" s="32" t="n"/>
      <c r="AA44" s="32" t="n"/>
      <c r="AB44" s="32" t="n"/>
      <c r="AC44" s="32" t="n"/>
      <c r="AD44" s="32" t="n"/>
      <c r="AE44" s="32" t="n"/>
      <c r="AF44" s="32" t="n"/>
      <c r="AG44" s="32" t="n"/>
      <c r="AH44" s="32" t="n"/>
      <c r="AI44" s="32" t="n"/>
      <c r="AJ44" s="32" t="n"/>
      <c r="AK44" s="32" t="n"/>
      <c r="AL44" s="32" t="n"/>
      <c r="AM44" s="32" t="n"/>
      <c r="AN44" s="32" t="n"/>
      <c r="AO44" s="32" t="n"/>
      <c r="AP44" s="32" t="n"/>
      <c r="AQ44" s="32" t="n"/>
      <c r="AR44" s="32" t="n"/>
      <c r="AS44" s="32" t="n"/>
      <c r="AT44" s="32" t="n"/>
      <c r="AU44" s="32" t="n"/>
      <c r="AV44" s="32" t="n"/>
      <c r="AW44" s="32" t="n"/>
      <c r="AX44" s="32" t="n"/>
      <c r="AY44" s="32" t="n"/>
      <c r="AZ44" s="32" t="n"/>
      <c r="BA44" s="32" t="n"/>
      <c r="BB44" s="32" t="n"/>
      <c r="BC44" s="32" t="n"/>
      <c r="BD44" s="32" t="n"/>
      <c r="BE44" s="32" t="n"/>
      <c r="BF44" s="32" t="n"/>
      <c r="BG44" s="32" t="n"/>
      <c r="BH44" s="32" t="n"/>
      <c r="BI44" s="32" t="n"/>
      <c r="BJ44" s="32" t="n"/>
      <c r="BK44" s="32" t="n"/>
      <c r="BL44" s="32" t="n"/>
      <c r="BM44" s="32" t="n"/>
      <c r="BN44" s="32" t="n"/>
      <c r="BO44" s="32" t="n"/>
      <c r="BP44" s="32" t="n"/>
      <c r="BQ44" s="32" t="n"/>
      <c r="BR44" s="32" t="n"/>
      <c r="BS44" s="32" t="n"/>
      <c r="BT44" s="32" t="n"/>
      <c r="BU44" s="32" t="n"/>
      <c r="BV44" s="32" t="n"/>
      <c r="BW44" s="32" t="n"/>
      <c r="BX44" s="32" t="n"/>
      <c r="BY44" s="32" t="n"/>
      <c r="BZ44" s="32" t="n"/>
      <c r="CA44" s="32" t="n"/>
      <c r="CB44" s="32" t="n"/>
      <c r="CC44" s="32" t="n"/>
      <c r="CD44" s="32" t="n"/>
      <c r="CE44" s="32" t="n"/>
      <c r="CF44" s="32" t="n"/>
      <c r="CG44" s="32" t="n"/>
      <c r="CH44" s="32" t="n"/>
      <c r="CI44" s="32" t="n"/>
      <c r="CJ44" s="32" t="n"/>
      <c r="CK44" s="32" t="n"/>
      <c r="CL44" s="32" t="n"/>
      <c r="CM44" s="32" t="n"/>
      <c r="CN44" s="32" t="n"/>
      <c r="CO44" s="32" t="n"/>
      <c r="CP44" s="32" t="n"/>
      <c r="CQ44" s="32" t="n"/>
      <c r="CR44" s="32" t="n"/>
      <c r="CS44" s="32" t="n"/>
      <c r="CT44" s="32" t="n"/>
      <c r="CU44" s="32" t="n"/>
      <c r="CV44" s="32" t="n"/>
      <c r="CW44" s="32" t="n"/>
      <c r="CX44" s="32" t="n"/>
      <c r="CY44" s="32" t="n"/>
    </row>
    <row r="45" hidden="1" outlineLevel="1">
      <c r="C45" s="32" t="n"/>
      <c r="D45" s="32" t="n"/>
      <c r="E45" s="32" t="n"/>
      <c r="F45" s="32" t="n"/>
      <c r="G45" s="32" t="n"/>
      <c r="H45" s="32" t="n"/>
      <c r="I45" s="32" t="n"/>
      <c r="J45" s="32" t="n"/>
      <c r="K45" s="32" t="n"/>
      <c r="L45" s="32" t="n"/>
      <c r="M45" s="32" t="n"/>
      <c r="N45" s="32" t="n"/>
      <c r="O45" s="32" t="n"/>
      <c r="P45" s="32" t="n"/>
      <c r="Q45" s="32" t="n"/>
      <c r="R45" s="32" t="n"/>
      <c r="S45" s="32" t="n"/>
      <c r="T45" s="32" t="n"/>
      <c r="U45" s="32" t="n"/>
      <c r="V45" s="32" t="n"/>
      <c r="W45" s="32" t="n"/>
      <c r="X45" s="32" t="n"/>
      <c r="Y45" s="32" t="n"/>
      <c r="Z45" s="32" t="n"/>
      <c r="AA45" s="32" t="n"/>
      <c r="AB45" s="32" t="n"/>
      <c r="AC45" s="32" t="n"/>
      <c r="AD45" s="32" t="n"/>
      <c r="AE45" s="32" t="n"/>
      <c r="AF45" s="32" t="n"/>
      <c r="AG45" s="32" t="n"/>
      <c r="AH45" s="32" t="n"/>
      <c r="AI45" s="32" t="n"/>
      <c r="AJ45" s="32" t="n"/>
      <c r="AK45" s="32" t="n"/>
      <c r="AL45" s="32" t="n"/>
      <c r="AM45" s="32" t="n"/>
      <c r="AN45" s="32" t="n"/>
      <c r="AO45" s="32" t="n"/>
      <c r="AP45" s="32" t="n"/>
      <c r="AQ45" s="32" t="n"/>
      <c r="AR45" s="32" t="n"/>
      <c r="AS45" s="32" t="n"/>
      <c r="AT45" s="32" t="n"/>
      <c r="AU45" s="32" t="n"/>
      <c r="AV45" s="32" t="n"/>
      <c r="AW45" s="32" t="n"/>
      <c r="AX45" s="32" t="n"/>
      <c r="AY45" s="32" t="n"/>
      <c r="AZ45" s="32" t="n"/>
      <c r="BA45" s="32" t="n"/>
      <c r="BB45" s="32" t="n"/>
      <c r="BC45" s="32" t="n"/>
      <c r="BD45" s="32" t="n"/>
      <c r="BE45" s="32" t="n"/>
      <c r="BF45" s="32" t="n"/>
      <c r="BG45" s="32" t="n"/>
      <c r="BH45" s="32" t="n"/>
      <c r="BI45" s="32" t="n"/>
      <c r="BJ45" s="32" t="n"/>
      <c r="BK45" s="32" t="n"/>
      <c r="BL45" s="32" t="n"/>
      <c r="BM45" s="32" t="n"/>
      <c r="BN45" s="32" t="n"/>
      <c r="BO45" s="32" t="n"/>
      <c r="BP45" s="32" t="n"/>
      <c r="BQ45" s="32" t="n"/>
      <c r="BR45" s="32" t="n"/>
      <c r="BS45" s="32" t="n"/>
      <c r="BT45" s="32" t="n"/>
      <c r="BU45" s="32" t="n"/>
      <c r="BV45" s="32" t="n"/>
      <c r="BW45" s="32" t="n"/>
      <c r="BX45" s="32" t="n"/>
      <c r="BY45" s="32" t="n"/>
      <c r="BZ45" s="32" t="n"/>
      <c r="CA45" s="32" t="n"/>
      <c r="CB45" s="32" t="n"/>
      <c r="CC45" s="32" t="n"/>
      <c r="CD45" s="32" t="n"/>
      <c r="CE45" s="32" t="n"/>
      <c r="CF45" s="32" t="n"/>
      <c r="CG45" s="32" t="n"/>
      <c r="CH45" s="32" t="n"/>
      <c r="CI45" s="32" t="n"/>
      <c r="CJ45" s="32" t="n"/>
      <c r="CK45" s="32" t="n"/>
      <c r="CL45" s="32" t="n"/>
      <c r="CM45" s="32" t="n"/>
      <c r="CN45" s="32" t="n"/>
      <c r="CO45" s="32" t="n"/>
      <c r="CP45" s="32" t="n"/>
      <c r="CQ45" s="32" t="n"/>
      <c r="CR45" s="32" t="n"/>
      <c r="CS45" s="32" t="n"/>
      <c r="CT45" s="32" t="n"/>
      <c r="CU45" s="32" t="n"/>
      <c r="CV45" s="32" t="n"/>
      <c r="CW45" s="32" t="n"/>
      <c r="CX45" s="32" t="n"/>
      <c r="CY45" s="32" t="n"/>
    </row>
    <row r="46" collapsed="1">
      <c r="C46" s="24" t="inlineStr">
        <is>
          <t>SG&amp;A and Other (cash)</t>
        </is>
      </c>
      <c r="D46" s="25">
        <f>INDEX('Inputs (2)'!$D$6:$AL$6,MATCH(D$7,'Inputs (2)'!$D$2:$AL$2,0))</f>
        <v>-693</v>
      </c>
      <c r="E46" s="25">
        <f>INDEX('Inputs (2)'!$D$6:$AL$6,MATCH(E$7,'Inputs (2)'!$D$2:$AL$2,0))</f>
        <v>-589</v>
      </c>
      <c r="F46" s="25">
        <f>INDEX('Inputs (2)'!$D$6:$AL$6,MATCH(F$7,'Inputs (2)'!$D$2:$AL$2,0))</f>
        <v>-493</v>
      </c>
      <c r="G46" s="25">
        <f>INDEX('Inputs (2)'!$D$6:$AL$6,MATCH(G$7,'Inputs (2)'!$D$2:$AL$2,0))</f>
        <v>-582</v>
      </c>
      <c r="H46" s="3">
        <f>SUM(D46:G46)</f>
        <v>-2357</v>
      </c>
      <c r="I46" s="25">
        <f>INDEX('Inputs (2)'!$D$6:$AL$6,MATCH(I$7,'Inputs (2)'!$D$2:$AL$2,0))</f>
        <v>-578</v>
      </c>
      <c r="J46" s="25">
        <f>INDEX('Inputs (2)'!$D$6:$AL$6,MATCH(J$7,'Inputs (2)'!$D$2:$AL$2,0))</f>
        <v>-568</v>
      </c>
      <c r="K46" s="25">
        <f>INDEX('Inputs (2)'!$D$6:$AL$6,MATCH(K$7,'Inputs (2)'!$D$2:$AL$2,0))</f>
        <v>-556</v>
      </c>
      <c r="L46" s="25">
        <f>INDEX('Inputs (2)'!$D$6:$AL$6,MATCH(L$7,'Inputs (2)'!$D$2:$AL$2,0))</f>
        <v>-654</v>
      </c>
      <c r="M46" s="3">
        <f>SUM(I46:L46)</f>
        <v>-2356</v>
      </c>
      <c r="N46" s="25">
        <f>INDEX('Inputs (2)'!$D$6:$AL$6,MATCH(N$7,'Inputs (2)'!$D$2:$AL$2,0))</f>
        <v>-781</v>
      </c>
      <c r="O46" s="25">
        <f>INDEX('Inputs (2)'!$D$6:$AL$6,MATCH(O$7,'Inputs (2)'!$D$2:$AL$2,0))</f>
        <v>-727</v>
      </c>
      <c r="P46" s="25">
        <f>INDEX('Inputs (2)'!$D$6:$AL$6,MATCH(P$7,'Inputs (2)'!$D$2:$AL$2,0))</f>
        <v>-724</v>
      </c>
      <c r="Q46" s="25">
        <f>INDEX('Inputs (2)'!$D$6:$AL$6,MATCH(Q$7,'Inputs (2)'!$D$2:$AL$2,0))</f>
        <v>-869</v>
      </c>
      <c r="R46" s="3">
        <f>SUM(N46:Q46)</f>
        <v>-3101</v>
      </c>
      <c r="S46" s="25">
        <f>INDEX('Inputs (2)'!$D$6:$AL$6,MATCH(S$7,'Inputs (2)'!$D$2:$AL$2,0))</f>
        <v>-1168</v>
      </c>
      <c r="T46" s="25">
        <f>INDEX('Inputs (2)'!$D$6:$AL$6,MATCH(T$7,'Inputs (2)'!$D$2:$AL$2,0))</f>
        <v>-1376</v>
      </c>
      <c r="U46" s="25">
        <f>INDEX('Inputs (2)'!$D$6:$AL$6,MATCH(U$7,'Inputs (2)'!$D$2:$AL$2,0))</f>
        <v>-1235</v>
      </c>
      <c r="V46" s="25">
        <f>INDEX('Inputs (2)'!$D$6:$AL$6,MATCH(V$7,'Inputs (2)'!$D$2:$AL$2,0))</f>
        <v>-2947</v>
      </c>
      <c r="W46" s="3">
        <f>SUM(S46:V46)</f>
        <v>-6726</v>
      </c>
      <c r="X46" s="25">
        <f>INDEX('Inputs (2)'!$D$6:$AL$6,MATCH(X$7,'Inputs (2)'!$D$2:$AL$2,0))</f>
        <v>-2281</v>
      </c>
      <c r="Y46" s="25">
        <f>INDEX('Inputs (2)'!$D$6:$AL$6,MATCH(Y$7,'Inputs (2)'!$D$2:$AL$2,0))</f>
        <v>-2044</v>
      </c>
      <c r="Z46" s="25">
        <f>INDEX('Inputs (2)'!$D$6:$AL$6,MATCH(Z$7,'Inputs (2)'!$D$2:$AL$2,0))</f>
        <v>-1764</v>
      </c>
      <c r="AA46" s="25">
        <f>INDEX('Inputs (2)'!$D$6:$AL$6,MATCH(AA$7,'Inputs (2)'!$D$2:$AL$2,0))</f>
        <v>-1711</v>
      </c>
      <c r="AB46" s="3">
        <f>SUM(X46:AA46)</f>
        <v>-7800</v>
      </c>
      <c r="AC46" s="25">
        <f>INDEX('Inputs (2)'!$D$6:$AL$6,MATCH(AC$7,'Inputs (2)'!$D$2:$AL$2,0))</f>
        <v>-2237</v>
      </c>
      <c r="AD46" s="25">
        <f>INDEX('Inputs (2)'!$D$6:$AL$6,MATCH(AD$7,'Inputs (2)'!$D$2:$AL$2,0))</f>
        <v>-2648</v>
      </c>
      <c r="AE46" s="25">
        <f>INDEX('Inputs (2)'!$D$6:$AL$6,MATCH(AE$7,'Inputs (2)'!$D$2:$AL$2,0))</f>
        <v>-2508</v>
      </c>
      <c r="AF46" s="25">
        <f>INDEX('Inputs (2)'!$D$6:$AL$6,MATCH(AF$7,'Inputs (2)'!$D$2:$AL$2,0))</f>
        <v>-2441</v>
      </c>
      <c r="AG46" s="3">
        <f>SUM(AC46:AF46)</f>
        <v>-9834</v>
      </c>
      <c r="AH46" s="3">
        <f>INDEX('Inputs (2)'!$D$6:$AL$6,MATCH(AH$7,'Inputs (2)'!$D$2:$AL$2,0))</f>
        <v>-2497</v>
      </c>
      <c r="AI46" s="3">
        <f>INDEX('Inputs (2)'!$D$6:$AL$6,MATCH(AI$7,'Inputs (2)'!$D$2:$AL$2,0))</f>
        <v>-2324</v>
      </c>
      <c r="AJ46" s="3">
        <f>-AJ15*AJ47</f>
        <v>0</v>
      </c>
      <c r="AK46" s="3">
        <f>-AK15*AK47</f>
        <v>0</v>
      </c>
      <c r="AL46" s="3">
        <f>SUM(AH46:AK46)</f>
        <v>-4821</v>
      </c>
      <c r="AM46" s="3">
        <f>-AM15*AM47</f>
        <v>0</v>
      </c>
      <c r="AN46" s="3">
        <f>-AN15*AN47</f>
        <v>0</v>
      </c>
      <c r="AO46" s="3">
        <f>-AO15*AO47</f>
        <v>0</v>
      </c>
      <c r="AP46" s="3">
        <f>-AP15*AP47</f>
        <v>0</v>
      </c>
      <c r="AQ46" s="3">
        <f>SUM(AM46:AP46)</f>
        <v>0</v>
      </c>
      <c r="AR46" s="3">
        <f>-AR15*AR47</f>
        <v>0</v>
      </c>
      <c r="AS46" s="3">
        <f>-AS15*AS47</f>
        <v>0</v>
      </c>
      <c r="AT46" s="3">
        <f>-AT15*AT47</f>
        <v>0</v>
      </c>
      <c r="AU46" s="3">
        <f>-AU15*AU47</f>
        <v>0</v>
      </c>
      <c r="AV46" s="3">
        <f>SUM(AR46:AU46)</f>
        <v>0</v>
      </c>
      <c r="AW46" s="3">
        <f>-AW15*AW47</f>
        <v>0</v>
      </c>
      <c r="AX46" s="3">
        <f>-AX15*AX47</f>
        <v>0</v>
      </c>
      <c r="AY46" s="3">
        <f>-AY15*AY47</f>
        <v>0</v>
      </c>
      <c r="AZ46" s="3">
        <f>-AZ15*AZ47</f>
        <v>0</v>
      </c>
      <c r="BA46" s="3">
        <f>SUM(AW46:AZ46)</f>
        <v>0</v>
      </c>
      <c r="BB46" s="3">
        <f>-BB15*BB47</f>
        <v>0</v>
      </c>
      <c r="BC46" s="3">
        <f>-BC15*BC47</f>
        <v>0</v>
      </c>
      <c r="BD46" s="3">
        <f>-BD15*BD47</f>
        <v>0</v>
      </c>
      <c r="BE46" s="3">
        <f>-BE15*BE47</f>
        <v>0</v>
      </c>
      <c r="BF46" s="3">
        <f>SUM(BB46:BE46)</f>
        <v>0</v>
      </c>
      <c r="BG46" s="3">
        <f>-BG15*BG47</f>
        <v>0</v>
      </c>
      <c r="BH46" s="3">
        <f>-BH15*BH47</f>
        <v>0</v>
      </c>
      <c r="BI46" s="3">
        <f>-BI15*BI47</f>
        <v>0</v>
      </c>
      <c r="BJ46" s="3">
        <f>-BJ15*BJ47</f>
        <v>0</v>
      </c>
      <c r="BK46" s="3">
        <f>SUM(BG46:BJ46)</f>
        <v>0</v>
      </c>
      <c r="BL46" s="3">
        <f>-BL15*BL47</f>
        <v>0</v>
      </c>
      <c r="BM46" s="3">
        <f>-BM15*BM47</f>
        <v>0</v>
      </c>
      <c r="BN46" s="3">
        <f>-BN15*BN47</f>
        <v>0</v>
      </c>
      <c r="BO46" s="3">
        <f>-BO15*BO47</f>
        <v>0</v>
      </c>
      <c r="BP46" s="3">
        <f>SUM(BL46:BO46)</f>
        <v>0</v>
      </c>
      <c r="BQ46" s="3">
        <f>-BQ15*BQ47</f>
        <v>0</v>
      </c>
      <c r="BR46" s="3">
        <f>-BR15*BR47</f>
        <v>0</v>
      </c>
      <c r="BS46" s="3">
        <f>-BS15*BS47</f>
        <v>0</v>
      </c>
      <c r="BT46" s="3">
        <f>-BT15*BT47</f>
        <v>0</v>
      </c>
      <c r="BU46" s="3">
        <f>SUM(BQ46:BT46)</f>
        <v>0</v>
      </c>
      <c r="BV46" s="3">
        <f>-BV15*BV47</f>
        <v>0</v>
      </c>
      <c r="BW46" s="3">
        <f>-BW15*BW47</f>
        <v>0</v>
      </c>
      <c r="BX46" s="3">
        <f>-BX15*BX47</f>
        <v>0</v>
      </c>
      <c r="BY46" s="3">
        <f>-BY15*BY47</f>
        <v>0</v>
      </c>
      <c r="BZ46" s="3">
        <f>SUM(BV46:BY46)</f>
        <v>0</v>
      </c>
      <c r="CA46" s="3">
        <f>-CA15*CA47</f>
        <v>0</v>
      </c>
      <c r="CB46" s="3">
        <f>-CB15*CB47</f>
        <v>0</v>
      </c>
      <c r="CC46" s="3">
        <f>-CC15*CC47</f>
        <v>0</v>
      </c>
      <c r="CD46" s="3">
        <f>-CD15*CD47</f>
        <v>0</v>
      </c>
      <c r="CE46" s="3">
        <f>SUM(CA46:CD46)</f>
        <v>0</v>
      </c>
      <c r="CF46" s="3">
        <f>-CF15*CF47</f>
        <v>0</v>
      </c>
      <c r="CG46" s="3">
        <f>-CG15*CG47</f>
        <v>0</v>
      </c>
      <c r="CH46" s="3">
        <f>-CH15*CH47</f>
        <v>0</v>
      </c>
      <c r="CI46" s="3">
        <f>-CI15*CI47</f>
        <v>0</v>
      </c>
      <c r="CJ46" s="3">
        <f>SUM(CF46:CI46)</f>
        <v>0</v>
      </c>
      <c r="CK46" s="3">
        <f>-CK15*CK47</f>
        <v>0</v>
      </c>
      <c r="CL46" s="3">
        <f>-CL15*CL47</f>
        <v>0</v>
      </c>
      <c r="CM46" s="3">
        <f>-CM15*CM47</f>
        <v>0</v>
      </c>
      <c r="CN46" s="3">
        <f>-CN15*CN47</f>
        <v>0</v>
      </c>
      <c r="CO46" s="3">
        <f>SUM(CK46:CN46)</f>
        <v>0</v>
      </c>
      <c r="CP46" s="3">
        <f>-CP15*CP47</f>
        <v>0</v>
      </c>
      <c r="CQ46" s="3">
        <f>-CQ15*CQ47</f>
        <v>0</v>
      </c>
      <c r="CR46" s="3">
        <f>-CR15*CR47</f>
        <v>0</v>
      </c>
      <c r="CS46" s="3">
        <f>-CS15*CS47</f>
        <v>0</v>
      </c>
      <c r="CT46" s="3">
        <f>SUM(CP46:CS46)</f>
        <v>0</v>
      </c>
      <c r="CU46" s="3">
        <f>-CU15*CU47</f>
        <v>0</v>
      </c>
      <c r="CV46" s="3">
        <f>-CV15*CV47</f>
        <v>0</v>
      </c>
      <c r="CW46" s="3">
        <f>-CW15*CW47</f>
        <v>0</v>
      </c>
      <c r="CX46" s="3">
        <f>-CX15*CX47</f>
        <v>0</v>
      </c>
      <c r="CY46" s="3">
        <f>SUM(CU46:CX46)</f>
        <v>0</v>
      </c>
    </row>
    <row r="47" hidden="1" outlineLevel="1">
      <c r="C47" s="33" t="inlineStr">
        <is>
          <t>% SG&amp;A and Other Margin</t>
        </is>
      </c>
      <c r="D47" s="56">
        <f>-(D46/D$15)</f>
        <v>0.120689655172414</v>
      </c>
      <c r="E47" s="56">
        <f>-(E46/E$15)</f>
        <v>0.101185363339632</v>
      </c>
      <c r="F47" s="56">
        <f>-(F46/F$15)</f>
        <v>0.0762331838565022</v>
      </c>
      <c r="G47" s="56">
        <f>-(G46/G$15)</f>
        <v>0.0874530428249437</v>
      </c>
      <c r="H47" s="56">
        <f>-(H46/H$15)</f>
        <v>0.0954830868948754</v>
      </c>
      <c r="I47" s="56">
        <f>-(I46/I$15)</f>
        <v>0.0874432677760968</v>
      </c>
      <c r="J47" s="56">
        <f>-(J46/J$15)</f>
        <v>0.0838005311301269</v>
      </c>
      <c r="K47" s="56">
        <f>-(K46/K$15)</f>
        <v>0.075064128527069</v>
      </c>
      <c r="L47" s="56">
        <f>-(L46/L$15)</f>
        <v>0.0848689332987283</v>
      </c>
      <c r="M47" s="56">
        <f>-(M46/M$15)</f>
        <v>0.0826637661836427</v>
      </c>
      <c r="N47" s="56">
        <f>-(N46/N$15)</f>
        <v>0.0963840552881649</v>
      </c>
      <c r="O47" s="56">
        <f>-(O46/O$15)</f>
        <v>0.0858931947069943</v>
      </c>
      <c r="P47" s="56">
        <f>-(P46/P$15)</f>
        <v>0.0810750279955207</v>
      </c>
      <c r="Q47" s="56">
        <f>-(Q46/Q$15)</f>
        <v>0.0974761637689288</v>
      </c>
      <c r="R47" s="56">
        <f>-(R46/R$15)</f>
        <v>0.0901139137510171</v>
      </c>
      <c r="S47" s="56">
        <f>-(S46/S$15)</f>
        <v>0.133745562807741</v>
      </c>
      <c r="T47" s="56">
        <f>-(T46/T$15)</f>
        <v>0.155024785939612</v>
      </c>
      <c r="U47" s="56">
        <f>-(U46/U$15)</f>
        <v>0.132867132867133</v>
      </c>
      <c r="V47" s="56">
        <f>-(V46/V$15)</f>
        <v>0.246384081598529</v>
      </c>
      <c r="W47" s="56">
        <f>-(W46/W$15)</f>
        <v>0.17306059436511</v>
      </c>
      <c r="X47" s="56">
        <f>-(X46/X$15)</f>
        <v>0.182669976775847</v>
      </c>
      <c r="Y47" s="56">
        <f>-(Y46/Y$15)</f>
        <v>0.156364749082007</v>
      </c>
      <c r="Z47" s="56">
        <f>-(Z46/Z$15)</f>
        <v>0.125515867368721</v>
      </c>
      <c r="AA47" s="56">
        <f>-(AA46/AA$15)</f>
        <v>0.114709037275409</v>
      </c>
      <c r="AB47" s="56">
        <f>-(AB46/AB$15)</f>
        <v>0.143043151350657</v>
      </c>
      <c r="AC47" s="56">
        <f>-(AC46/AC$15)</f>
        <v>0.149093575046654</v>
      </c>
      <c r="AD47" s="56">
        <f>-(AD46/AD$15)</f>
        <v>0.165997993981946</v>
      </c>
      <c r="AE47" s="56">
        <f>-(AE46/AE$15)</f>
        <v>0.139217318900916</v>
      </c>
      <c r="AF47" s="44">
        <f>-(AF46/AF$15)</f>
        <v>0.126404639842577</v>
      </c>
      <c r="AG47" s="56">
        <f>-(AG46/AG$15)</f>
        <v>0.144020386046103</v>
      </c>
      <c r="AH47" s="45">
        <f>-(AH46/AH$15)</f>
        <v>0.112543381259296</v>
      </c>
      <c r="AI47" s="45">
        <f>-(AI46/AI$15)</f>
        <v>0.0785373931262884</v>
      </c>
      <c r="AJ47" s="45" t="n"/>
      <c r="AK47" s="45" t="n"/>
      <c r="AL47" s="56">
        <f>-(AL46/AL$15)</f>
        <v>0.0541053151373676</v>
      </c>
      <c r="AM47" s="45" t="n"/>
      <c r="AN47" s="45" t="n"/>
      <c r="AO47" s="45" t="n"/>
      <c r="AP47" s="45" t="n"/>
      <c r="AQ47" s="56">
        <f>-(AQ46/AQ$15)</f>
        <v>0</v>
      </c>
      <c r="AR47" s="45" t="n"/>
      <c r="AS47" s="45" t="n"/>
      <c r="AT47" s="45" t="n"/>
      <c r="AU47" s="45" t="n"/>
      <c r="AV47" s="56">
        <f>-(AV46/AV$15)</f>
        <v>0</v>
      </c>
      <c r="AW47" s="45" t="n"/>
      <c r="AX47" s="45" t="n"/>
      <c r="AY47" s="45" t="n"/>
      <c r="AZ47" s="45" t="n"/>
      <c r="BA47" s="56">
        <f>-(BA46/BA$15)</f>
        <v>0</v>
      </c>
      <c r="BB47" s="45" t="n"/>
      <c r="BC47" s="45" t="n"/>
      <c r="BD47" s="45" t="n"/>
      <c r="BE47" s="45" t="n"/>
      <c r="BF47" s="56">
        <f>-(BF46/BF$15)</f>
        <v>0</v>
      </c>
      <c r="BG47" s="45" t="n"/>
      <c r="BH47" s="45" t="n"/>
      <c r="BI47" s="45" t="n"/>
      <c r="BJ47" s="45" t="n"/>
      <c r="BK47" s="56">
        <f>-(BK46/BK$15)</f>
        <v>0</v>
      </c>
      <c r="BL47" s="45" t="n"/>
      <c r="BM47" s="45" t="n"/>
      <c r="BN47" s="45" t="n"/>
      <c r="BO47" s="45" t="n"/>
      <c r="BP47" s="56">
        <f>-(BP46/BP$15)</f>
        <v>0</v>
      </c>
      <c r="BQ47" s="45" t="n"/>
      <c r="BR47" s="45" t="n"/>
      <c r="BS47" s="45" t="n"/>
      <c r="BT47" s="45" t="n"/>
      <c r="BU47" s="56">
        <f>-(BU46/BU$15)</f>
        <v>0</v>
      </c>
      <c r="BV47" s="45" t="n"/>
      <c r="BW47" s="45" t="n"/>
      <c r="BX47" s="45" t="n"/>
      <c r="BY47" s="45" t="n"/>
      <c r="BZ47" s="56">
        <f>-(BZ46/BZ$15)</f>
        <v>0</v>
      </c>
      <c r="CA47" s="45" t="n"/>
      <c r="CB47" s="45" t="n"/>
      <c r="CC47" s="45" t="n"/>
      <c r="CD47" s="45" t="n"/>
      <c r="CE47" s="56">
        <f>-(CE46/CE$15)</f>
        <v>0</v>
      </c>
      <c r="CF47" s="45" t="n"/>
      <c r="CG47" s="45" t="n"/>
      <c r="CH47" s="45" t="n"/>
      <c r="CI47" s="45" t="n"/>
      <c r="CJ47" s="56">
        <f>-(CJ46/CJ$15)</f>
        <v>0</v>
      </c>
      <c r="CK47" s="45" t="n"/>
      <c r="CL47" s="45" t="n"/>
      <c r="CM47" s="45" t="n"/>
      <c r="CN47" s="45" t="n"/>
      <c r="CO47" s="56">
        <f>-(CO46/CO$15)</f>
        <v>0</v>
      </c>
      <c r="CP47" s="45" t="n"/>
      <c r="CQ47" s="45" t="n"/>
      <c r="CR47" s="45" t="n"/>
      <c r="CS47" s="45" t="n"/>
      <c r="CT47" s="56">
        <f>-(CT46/CT$15)</f>
        <v>0</v>
      </c>
      <c r="CU47" s="45" t="n"/>
      <c r="CV47" s="45" t="n"/>
      <c r="CW47" s="45" t="n"/>
      <c r="CX47" s="45" t="n"/>
      <c r="CY47" s="56">
        <f>-(CY46/CY$15)</f>
        <v>0</v>
      </c>
    </row>
    <row r="48" hidden="1" outlineLevel="1">
      <c r="C48" s="32" t="n"/>
      <c r="D48" s="32" t="n"/>
      <c r="E48" s="32" t="n"/>
      <c r="F48" s="32" t="n"/>
      <c r="G48" s="32" t="n"/>
      <c r="H48" s="32" t="n"/>
      <c r="I48" s="32" t="n"/>
      <c r="J48" s="32" t="n"/>
      <c r="K48" s="32" t="n"/>
      <c r="L48" s="32" t="n"/>
      <c r="M48" s="32" t="n"/>
      <c r="N48" s="32" t="n"/>
      <c r="O48" s="32" t="n"/>
      <c r="P48" s="32" t="n"/>
      <c r="Q48" s="32" t="n"/>
      <c r="R48" s="32" t="n"/>
      <c r="S48" s="32" t="n"/>
      <c r="T48" s="32" t="n"/>
      <c r="U48" s="32" t="n"/>
      <c r="V48" s="32" t="n"/>
      <c r="W48" s="32" t="n"/>
      <c r="X48" s="32" t="n"/>
      <c r="Y48" s="32" t="n"/>
      <c r="Z48" s="32" t="n"/>
      <c r="AA48" s="32" t="n"/>
      <c r="AB48" s="32" t="n"/>
      <c r="AC48" s="32" t="n"/>
      <c r="AD48" s="32" t="n"/>
      <c r="AE48" s="32" t="n"/>
      <c r="AF48" s="32" t="n"/>
      <c r="AG48" s="32" t="n"/>
      <c r="AH48" s="32" t="n"/>
      <c r="AI48" s="32" t="n"/>
      <c r="AJ48" s="32" t="n"/>
      <c r="AK48" s="32" t="n"/>
      <c r="AL48" s="32" t="n"/>
      <c r="AM48" s="32" t="n"/>
      <c r="AN48" s="32" t="n"/>
      <c r="AO48" s="32" t="n"/>
      <c r="AP48" s="32" t="n"/>
      <c r="AQ48" s="32" t="n"/>
      <c r="AR48" s="32" t="n"/>
      <c r="AS48" s="32" t="n"/>
      <c r="AT48" s="32" t="n"/>
      <c r="AU48" s="32" t="n"/>
      <c r="AV48" s="32" t="n"/>
      <c r="AW48" s="32" t="n"/>
      <c r="AX48" s="32" t="n"/>
      <c r="AY48" s="32" t="n"/>
      <c r="AZ48" s="32" t="n"/>
      <c r="BA48" s="32" t="n"/>
      <c r="BB48" s="32" t="n"/>
      <c r="BC48" s="32" t="n"/>
      <c r="BD48" s="32" t="n"/>
      <c r="BE48" s="32" t="n"/>
      <c r="BF48" s="32" t="n"/>
      <c r="BG48" s="32" t="n"/>
      <c r="BH48" s="32" t="n"/>
      <c r="BI48" s="32" t="n"/>
      <c r="BJ48" s="32" t="n"/>
      <c r="BK48" s="32" t="n"/>
      <c r="BL48" s="32" t="n"/>
      <c r="BM48" s="32" t="n"/>
      <c r="BN48" s="32" t="n"/>
      <c r="BO48" s="32" t="n"/>
      <c r="BP48" s="32" t="n"/>
      <c r="BQ48" s="32" t="n"/>
      <c r="BR48" s="32" t="n"/>
      <c r="BS48" s="32" t="n"/>
      <c r="BT48" s="32" t="n"/>
      <c r="BU48" s="32" t="n"/>
      <c r="BV48" s="32" t="n"/>
      <c r="BW48" s="32" t="n"/>
      <c r="BX48" s="32" t="n"/>
      <c r="BY48" s="32" t="n"/>
      <c r="BZ48" s="32" t="n"/>
      <c r="CA48" s="32" t="n"/>
      <c r="CB48" s="32" t="n"/>
      <c r="CC48" s="32" t="n"/>
      <c r="CD48" s="32" t="n"/>
      <c r="CE48" s="32" t="n"/>
      <c r="CF48" s="32" t="n"/>
      <c r="CG48" s="32" t="n"/>
      <c r="CH48" s="32" t="n"/>
      <c r="CI48" s="32" t="n"/>
      <c r="CJ48" s="32" t="n"/>
      <c r="CK48" s="32" t="n"/>
      <c r="CL48" s="32" t="n"/>
      <c r="CM48" s="32" t="n"/>
      <c r="CN48" s="32" t="n"/>
      <c r="CO48" s="32" t="n"/>
      <c r="CP48" s="32" t="n"/>
      <c r="CQ48" s="32" t="n"/>
      <c r="CR48" s="32" t="n"/>
      <c r="CS48" s="32" t="n"/>
      <c r="CT48" s="32" t="n"/>
      <c r="CU48" s="32" t="n"/>
      <c r="CV48" s="32" t="n"/>
      <c r="CW48" s="32" t="n"/>
      <c r="CX48" s="32" t="n"/>
      <c r="CY48" s="32" t="n"/>
    </row>
    <row r="49" hidden="1" outlineLevel="1">
      <c r="C49" s="32" t="inlineStr">
        <is>
          <t>Com Vendas</t>
        </is>
      </c>
      <c r="D49" s="6" t="n"/>
      <c r="E49" s="6" t="n"/>
      <c r="F49" s="6" t="n"/>
      <c r="G49" s="6" t="n"/>
      <c r="H49" s="32" t="n"/>
      <c r="I49" s="6" t="n"/>
      <c r="J49" s="6" t="n"/>
      <c r="K49" s="6" t="n"/>
      <c r="L49" s="6" t="n"/>
      <c r="M49" s="32" t="n"/>
      <c r="N49" s="6" t="n"/>
      <c r="O49" s="6" t="n"/>
      <c r="P49" s="6" t="n"/>
      <c r="Q49" s="6" t="n"/>
      <c r="R49" s="32" t="n"/>
      <c r="S49" s="6" t="n"/>
      <c r="T49" s="6" t="n"/>
      <c r="U49" s="6" t="n"/>
      <c r="V49" s="6" t="n"/>
      <c r="W49" s="32" t="n"/>
      <c r="X49" s="6" t="n"/>
      <c r="Y49" s="6" t="n"/>
      <c r="Z49" s="6" t="n"/>
      <c r="AA49" s="6" t="n"/>
      <c r="AB49" s="32" t="n"/>
      <c r="AC49" s="6" t="n"/>
      <c r="AD49" s="6" t="n"/>
      <c r="AE49" s="6" t="n"/>
      <c r="AF49" s="6" t="n"/>
      <c r="AG49" s="32" t="n"/>
      <c r="AH49" s="32" t="n"/>
      <c r="AI49" s="32" t="n"/>
      <c r="AJ49" s="32" t="n"/>
      <c r="AK49" s="32" t="n"/>
      <c r="AL49" s="32" t="n"/>
      <c r="AM49" s="32" t="n"/>
      <c r="AN49" s="32" t="n"/>
      <c r="AO49" s="32" t="n"/>
      <c r="AP49" s="32" t="n"/>
      <c r="AQ49" s="32" t="n"/>
      <c r="AR49" s="32" t="n"/>
      <c r="AS49" s="32" t="n"/>
      <c r="AT49" s="32" t="n"/>
      <c r="AU49" s="32" t="n"/>
      <c r="AV49" s="32" t="n"/>
      <c r="AW49" s="32" t="n"/>
      <c r="AX49" s="32" t="n"/>
      <c r="AY49" s="32" t="n"/>
      <c r="AZ49" s="32" t="n"/>
      <c r="BA49" s="32" t="n"/>
      <c r="BB49" s="32" t="n"/>
      <c r="BC49" s="32" t="n"/>
      <c r="BD49" s="32" t="n"/>
      <c r="BE49" s="32" t="n"/>
      <c r="BF49" s="32" t="n"/>
      <c r="BG49" s="32" t="n"/>
      <c r="BH49" s="32" t="n"/>
      <c r="BI49" s="32" t="n"/>
      <c r="BJ49" s="32" t="n"/>
      <c r="BK49" s="32" t="n"/>
      <c r="BL49" s="32" t="n"/>
      <c r="BM49" s="32" t="n"/>
      <c r="BN49" s="32" t="n"/>
      <c r="BO49" s="32" t="n"/>
      <c r="BP49" s="32" t="n"/>
      <c r="BQ49" s="32" t="n"/>
      <c r="BR49" s="32" t="n"/>
      <c r="BS49" s="32" t="n"/>
      <c r="BT49" s="32" t="n"/>
      <c r="BU49" s="32" t="n"/>
      <c r="BV49" s="32" t="n"/>
      <c r="BW49" s="32" t="n"/>
      <c r="BX49" s="32" t="n"/>
      <c r="BY49" s="32" t="n"/>
      <c r="BZ49" s="32" t="n"/>
      <c r="CA49" s="32" t="n"/>
      <c r="CB49" s="32" t="n"/>
      <c r="CC49" s="32" t="n"/>
      <c r="CD49" s="32" t="n"/>
      <c r="CE49" s="32" t="n"/>
      <c r="CF49" s="32" t="n"/>
      <c r="CG49" s="32" t="n"/>
      <c r="CH49" s="32" t="n"/>
      <c r="CI49" s="32" t="n"/>
      <c r="CJ49" s="32" t="n"/>
      <c r="CK49" s="32" t="n"/>
      <c r="CL49" s="32" t="n"/>
      <c r="CM49" s="32" t="n"/>
      <c r="CN49" s="32" t="n"/>
      <c r="CO49" s="32" t="n"/>
      <c r="CP49" s="32" t="n"/>
      <c r="CQ49" s="32" t="n"/>
      <c r="CR49" s="32" t="n"/>
      <c r="CS49" s="32" t="n"/>
      <c r="CT49" s="32" t="n"/>
      <c r="CU49" s="32" t="n"/>
      <c r="CV49" s="32" t="n"/>
      <c r="CW49" s="32" t="n"/>
      <c r="CX49" s="32" t="n"/>
      <c r="CY49" s="32" t="n"/>
    </row>
    <row r="50" hidden="1" outlineLevel="1">
      <c r="C50" s="32" t="inlineStr">
        <is>
          <t>Gerais &amp; Administrativas</t>
        </is>
      </c>
      <c r="D50" s="6" t="n"/>
      <c r="E50" s="6" t="n"/>
      <c r="F50" s="6" t="n"/>
      <c r="G50" s="6" t="n"/>
      <c r="H50" s="32" t="n"/>
      <c r="I50" s="6" t="n"/>
      <c r="J50" s="6" t="n"/>
      <c r="K50" s="6" t="n"/>
      <c r="L50" s="6" t="n"/>
      <c r="M50" s="32" t="n"/>
      <c r="N50" s="6" t="n"/>
      <c r="O50" s="6" t="n"/>
      <c r="P50" s="6" t="n"/>
      <c r="Q50" s="6" t="n"/>
      <c r="R50" s="32" t="n"/>
      <c r="S50" s="6" t="n"/>
      <c r="T50" s="6" t="n"/>
      <c r="U50" s="6" t="n"/>
      <c r="V50" s="6" t="n"/>
      <c r="W50" s="32" t="n"/>
      <c r="X50" s="6" t="n"/>
      <c r="Y50" s="6" t="n"/>
      <c r="Z50" s="6" t="n"/>
      <c r="AA50" s="6" t="n"/>
      <c r="AB50" s="32" t="n"/>
      <c r="AC50" s="6" t="n"/>
      <c r="AD50" s="6" t="n"/>
      <c r="AE50" s="6" t="n"/>
      <c r="AF50" s="6" t="n"/>
      <c r="AG50" s="32" t="n"/>
      <c r="AH50" s="32" t="n"/>
      <c r="AI50" s="32" t="n"/>
      <c r="AJ50" s="32" t="n"/>
      <c r="AK50" s="32" t="n"/>
      <c r="AL50" s="32" t="n"/>
      <c r="AM50" s="32" t="n"/>
      <c r="AN50" s="32" t="n"/>
      <c r="AO50" s="32" t="n"/>
      <c r="AP50" s="32" t="n"/>
      <c r="AQ50" s="32" t="n"/>
      <c r="AR50" s="32" t="n"/>
      <c r="AS50" s="32" t="n"/>
      <c r="AT50" s="32" t="n"/>
      <c r="AU50" s="32" t="n"/>
      <c r="AV50" s="32" t="n"/>
      <c r="AW50" s="32" t="n"/>
      <c r="AX50" s="32" t="n"/>
      <c r="AY50" s="32" t="n"/>
      <c r="AZ50" s="32" t="n"/>
      <c r="BA50" s="32" t="n"/>
      <c r="BB50" s="32" t="n"/>
      <c r="BC50" s="32" t="n"/>
      <c r="BD50" s="32" t="n"/>
      <c r="BE50" s="32" t="n"/>
      <c r="BF50" s="32" t="n"/>
      <c r="BG50" s="32" t="n"/>
      <c r="BH50" s="32" t="n"/>
      <c r="BI50" s="32" t="n"/>
      <c r="BJ50" s="32" t="n"/>
      <c r="BK50" s="32" t="n"/>
      <c r="BL50" s="32" t="n"/>
      <c r="BM50" s="32" t="n"/>
      <c r="BN50" s="32" t="n"/>
      <c r="BO50" s="32" t="n"/>
      <c r="BP50" s="32" t="n"/>
      <c r="BQ50" s="32" t="n"/>
      <c r="BR50" s="32" t="n"/>
      <c r="BS50" s="32" t="n"/>
      <c r="BT50" s="32" t="n"/>
      <c r="BU50" s="32" t="n"/>
      <c r="BV50" s="32" t="n"/>
      <c r="BW50" s="32" t="n"/>
      <c r="BX50" s="32" t="n"/>
      <c r="BY50" s="32" t="n"/>
      <c r="BZ50" s="32" t="n"/>
      <c r="CA50" s="32" t="n"/>
      <c r="CB50" s="32" t="n"/>
      <c r="CC50" s="32" t="n"/>
      <c r="CD50" s="32" t="n"/>
      <c r="CE50" s="32" t="n"/>
      <c r="CF50" s="32" t="n"/>
      <c r="CG50" s="32" t="n"/>
      <c r="CH50" s="32" t="n"/>
      <c r="CI50" s="32" t="n"/>
      <c r="CJ50" s="32" t="n"/>
      <c r="CK50" s="32" t="n"/>
      <c r="CL50" s="32" t="n"/>
      <c r="CM50" s="32" t="n"/>
      <c r="CN50" s="32" t="n"/>
      <c r="CO50" s="32" t="n"/>
      <c r="CP50" s="32" t="n"/>
      <c r="CQ50" s="32" t="n"/>
      <c r="CR50" s="32" t="n"/>
      <c r="CS50" s="32" t="n"/>
      <c r="CT50" s="32" t="n"/>
      <c r="CU50" s="32" t="n"/>
      <c r="CV50" s="32" t="n"/>
      <c r="CW50" s="32" t="n"/>
      <c r="CX50" s="32" t="n"/>
      <c r="CY50" s="32" t="n"/>
    </row>
    <row r="51" hidden="1" outlineLevel="1">
      <c r="C51" s="32" t="inlineStr">
        <is>
          <t>Outras Receitas (Despesas) Operacionais, Líquidas</t>
        </is>
      </c>
      <c r="D51" s="6" t="n"/>
      <c r="E51" s="6" t="n"/>
      <c r="F51" s="6" t="n"/>
      <c r="G51" s="6" t="n"/>
      <c r="H51" s="32" t="n"/>
      <c r="I51" s="6" t="n"/>
      <c r="J51" s="6" t="n"/>
      <c r="K51" s="6" t="n"/>
      <c r="L51" s="6" t="n"/>
      <c r="M51" s="32" t="n"/>
      <c r="N51" s="6" t="n"/>
      <c r="O51" s="6" t="n"/>
      <c r="P51" s="6" t="n"/>
      <c r="Q51" s="6" t="n"/>
      <c r="R51" s="32" t="n"/>
      <c r="S51" s="6" t="n"/>
      <c r="T51" s="6" t="n"/>
      <c r="U51" s="6" t="n"/>
      <c r="V51" s="6" t="n"/>
      <c r="W51" s="32" t="n"/>
      <c r="X51" s="6" t="n"/>
      <c r="Y51" s="6" t="n"/>
      <c r="Z51" s="6" t="n"/>
      <c r="AA51" s="6" t="n"/>
      <c r="AB51" s="32" t="n"/>
      <c r="AC51" s="6" t="n"/>
      <c r="AD51" s="6" t="n"/>
      <c r="AE51" s="6" t="n"/>
      <c r="AF51" s="6" t="n"/>
      <c r="AG51" s="32" t="n"/>
      <c r="AH51" s="32" t="n"/>
      <c r="AI51" s="32" t="n"/>
      <c r="AJ51" s="32" t="n"/>
      <c r="AK51" s="32" t="n"/>
      <c r="AL51" s="32" t="n"/>
      <c r="AM51" s="32" t="n"/>
      <c r="AN51" s="32" t="n"/>
      <c r="AO51" s="32" t="n"/>
      <c r="AP51" s="32" t="n"/>
      <c r="AQ51" s="32" t="n"/>
      <c r="AR51" s="32" t="n"/>
      <c r="AS51" s="32" t="n"/>
      <c r="AT51" s="32" t="n"/>
      <c r="AU51" s="32" t="n"/>
      <c r="AV51" s="32" t="n"/>
      <c r="AW51" s="32" t="n"/>
      <c r="AX51" s="32" t="n"/>
      <c r="AY51" s="32" t="n"/>
      <c r="AZ51" s="32" t="n"/>
      <c r="BA51" s="32" t="n"/>
      <c r="BB51" s="32" t="n"/>
      <c r="BC51" s="32" t="n"/>
      <c r="BD51" s="32" t="n"/>
      <c r="BE51" s="32" t="n"/>
      <c r="BF51" s="32" t="n"/>
      <c r="BG51" s="32" t="n"/>
      <c r="BH51" s="32" t="n"/>
      <c r="BI51" s="32" t="n"/>
      <c r="BJ51" s="32" t="n"/>
      <c r="BK51" s="32" t="n"/>
      <c r="BL51" s="32" t="n"/>
      <c r="BM51" s="32" t="n"/>
      <c r="BN51" s="32" t="n"/>
      <c r="BO51" s="32" t="n"/>
      <c r="BP51" s="32" t="n"/>
      <c r="BQ51" s="32" t="n"/>
      <c r="BR51" s="32" t="n"/>
      <c r="BS51" s="32" t="n"/>
      <c r="BT51" s="32" t="n"/>
      <c r="BU51" s="32" t="n"/>
      <c r="BV51" s="32" t="n"/>
      <c r="BW51" s="32" t="n"/>
      <c r="BX51" s="32" t="n"/>
      <c r="BY51" s="32" t="n"/>
      <c r="BZ51" s="32" t="n"/>
      <c r="CA51" s="32" t="n"/>
      <c r="CB51" s="32" t="n"/>
      <c r="CC51" s="32" t="n"/>
      <c r="CD51" s="32" t="n"/>
      <c r="CE51" s="32" t="n"/>
      <c r="CF51" s="32" t="n"/>
      <c r="CG51" s="32" t="n"/>
      <c r="CH51" s="32" t="n"/>
      <c r="CI51" s="32" t="n"/>
      <c r="CJ51" s="32" t="n"/>
      <c r="CK51" s="32" t="n"/>
      <c r="CL51" s="32" t="n"/>
      <c r="CM51" s="32" t="n"/>
      <c r="CN51" s="32" t="n"/>
      <c r="CO51" s="32" t="n"/>
      <c r="CP51" s="32" t="n"/>
      <c r="CQ51" s="32" t="n"/>
      <c r="CR51" s="32" t="n"/>
      <c r="CS51" s="32" t="n"/>
      <c r="CT51" s="32" t="n"/>
      <c r="CU51" s="32" t="n"/>
      <c r="CV51" s="32" t="n"/>
      <c r="CW51" s="32" t="n"/>
      <c r="CX51" s="32" t="n"/>
      <c r="CY51" s="32" t="n"/>
    </row>
    <row r="52" hidden="1" outlineLevel="1">
      <c r="C52" s="32" t="n"/>
      <c r="D52" s="32" t="n"/>
      <c r="E52" s="32" t="n"/>
      <c r="F52" s="32" t="n"/>
      <c r="G52" s="32" t="n"/>
      <c r="H52" s="32" t="n"/>
      <c r="I52" s="32" t="n"/>
      <c r="J52" s="32" t="n"/>
      <c r="K52" s="32" t="n"/>
      <c r="L52" s="32" t="n"/>
      <c r="M52" s="32" t="n"/>
      <c r="N52" s="32" t="n"/>
      <c r="O52" s="32" t="n"/>
      <c r="P52" s="32" t="n"/>
      <c r="Q52" s="32" t="n"/>
      <c r="R52" s="32" t="n"/>
      <c r="S52" s="32" t="n"/>
      <c r="T52" s="32" t="n"/>
      <c r="U52" s="32" t="n"/>
      <c r="V52" s="32" t="n"/>
      <c r="W52" s="32" t="n"/>
      <c r="X52" s="32" t="n"/>
      <c r="Y52" s="32" t="n"/>
      <c r="Z52" s="32" t="n"/>
      <c r="AA52" s="32" t="n"/>
      <c r="AB52" s="32" t="n"/>
      <c r="AC52" s="32" t="n"/>
      <c r="AD52" s="32" t="n"/>
      <c r="AE52" s="32" t="n"/>
      <c r="AF52" s="32" t="n"/>
      <c r="AG52" s="32" t="n"/>
      <c r="AH52" s="32" t="n"/>
      <c r="AI52" s="32" t="n"/>
      <c r="AJ52" s="32" t="n"/>
      <c r="AK52" s="32" t="n"/>
      <c r="AL52" s="32" t="n"/>
      <c r="AM52" s="32" t="n"/>
      <c r="AN52" s="32" t="n"/>
      <c r="AO52" s="32" t="n"/>
      <c r="AP52" s="32" t="n"/>
      <c r="AQ52" s="32" t="n"/>
      <c r="AR52" s="32" t="n"/>
      <c r="AS52" s="32" t="n"/>
      <c r="AT52" s="32" t="n"/>
      <c r="AU52" s="32" t="n"/>
      <c r="AV52" s="32" t="n"/>
      <c r="AW52" s="32" t="n"/>
      <c r="AX52" s="32" t="n"/>
      <c r="AY52" s="32" t="n"/>
      <c r="AZ52" s="32" t="n"/>
      <c r="BA52" s="32" t="n"/>
      <c r="BB52" s="32" t="n"/>
      <c r="BC52" s="32" t="n"/>
      <c r="BD52" s="32" t="n"/>
      <c r="BE52" s="32" t="n"/>
      <c r="BF52" s="32" t="n"/>
      <c r="BG52" s="32" t="n"/>
      <c r="BH52" s="32" t="n"/>
      <c r="BI52" s="32" t="n"/>
      <c r="BJ52" s="32" t="n"/>
      <c r="BK52" s="32" t="n"/>
      <c r="BL52" s="32" t="n"/>
      <c r="BM52" s="32" t="n"/>
      <c r="BN52" s="32" t="n"/>
      <c r="BO52" s="32" t="n"/>
      <c r="BP52" s="32" t="n"/>
      <c r="BQ52" s="32" t="n"/>
      <c r="BR52" s="32" t="n"/>
      <c r="BS52" s="32" t="n"/>
      <c r="BT52" s="32" t="n"/>
      <c r="BU52" s="32" t="n"/>
      <c r="BV52" s="32" t="n"/>
      <c r="BW52" s="32" t="n"/>
      <c r="BX52" s="32" t="n"/>
      <c r="BY52" s="32" t="n"/>
      <c r="BZ52" s="32" t="n"/>
      <c r="CA52" s="32" t="n"/>
      <c r="CB52" s="32" t="n"/>
      <c r="CC52" s="32" t="n"/>
      <c r="CD52" s="32" t="n"/>
      <c r="CE52" s="32" t="n"/>
      <c r="CF52" s="32" t="n"/>
      <c r="CG52" s="32" t="n"/>
      <c r="CH52" s="32" t="n"/>
      <c r="CI52" s="32" t="n"/>
      <c r="CJ52" s="32" t="n"/>
      <c r="CK52" s="32" t="n"/>
      <c r="CL52" s="32" t="n"/>
      <c r="CM52" s="32" t="n"/>
      <c r="CN52" s="32" t="n"/>
      <c r="CO52" s="32" t="n"/>
      <c r="CP52" s="32" t="n"/>
      <c r="CQ52" s="32" t="n"/>
      <c r="CR52" s="32" t="n"/>
      <c r="CS52" s="32" t="n"/>
      <c r="CT52" s="32" t="n"/>
      <c r="CU52" s="32" t="n"/>
      <c r="CV52" s="32" t="n"/>
      <c r="CW52" s="32" t="n"/>
      <c r="CX52" s="32" t="n"/>
      <c r="CY52" s="32" t="n"/>
    </row>
    <row r="53" hidden="1" outlineLevel="1">
      <c r="C53" s="32" t="inlineStr">
        <is>
          <t>Com Vendas (%)</t>
        </is>
      </c>
      <c r="D53" s="32" t="n"/>
      <c r="E53" s="32" t="n"/>
      <c r="F53" s="32" t="n"/>
      <c r="G53" s="32" t="n"/>
      <c r="H53" s="32" t="n"/>
      <c r="I53" s="32" t="n"/>
      <c r="J53" s="32" t="n"/>
      <c r="K53" s="32" t="n"/>
      <c r="L53" s="32" t="n"/>
      <c r="M53" s="32" t="n"/>
      <c r="N53" s="32" t="n"/>
      <c r="O53" s="32" t="n"/>
      <c r="P53" s="32" t="n"/>
      <c r="Q53" s="32" t="n"/>
      <c r="R53" s="32" t="n"/>
      <c r="S53" s="32" t="n"/>
      <c r="T53" s="32" t="n"/>
      <c r="U53" s="32" t="n"/>
      <c r="V53" s="32" t="n"/>
      <c r="W53" s="32" t="n"/>
      <c r="X53" s="32" t="n"/>
      <c r="Y53" s="32" t="n"/>
      <c r="Z53" s="32" t="n"/>
      <c r="AA53" s="32" t="n"/>
      <c r="AB53" s="32" t="n"/>
      <c r="AC53" s="32" t="n"/>
      <c r="AD53" s="32" t="n"/>
      <c r="AE53" s="32" t="n"/>
      <c r="AF53" s="32" t="n"/>
      <c r="AG53" s="32" t="n"/>
      <c r="AH53" s="32" t="n"/>
      <c r="AI53" s="32" t="n"/>
      <c r="AJ53" s="32" t="n"/>
      <c r="AK53" s="32" t="n"/>
      <c r="AL53" s="32" t="n"/>
      <c r="AM53" s="32" t="n"/>
      <c r="AN53" s="32" t="n"/>
      <c r="AO53" s="32" t="n"/>
      <c r="AP53" s="32" t="n"/>
      <c r="AQ53" s="32" t="n"/>
      <c r="AR53" s="32" t="n"/>
      <c r="AS53" s="32" t="n"/>
      <c r="AT53" s="32" t="n"/>
      <c r="AU53" s="32" t="n"/>
      <c r="AV53" s="32" t="n"/>
      <c r="AW53" s="32" t="n"/>
      <c r="AX53" s="32" t="n"/>
      <c r="AY53" s="32" t="n"/>
      <c r="AZ53" s="32" t="n"/>
      <c r="BA53" s="32" t="n"/>
      <c r="BB53" s="32" t="n"/>
      <c r="BC53" s="32" t="n"/>
      <c r="BD53" s="32" t="n"/>
      <c r="BE53" s="32" t="n"/>
      <c r="BF53" s="32" t="n"/>
      <c r="BG53" s="32" t="n"/>
      <c r="BH53" s="32" t="n"/>
      <c r="BI53" s="32" t="n"/>
      <c r="BJ53" s="32" t="n"/>
      <c r="BK53" s="32" t="n"/>
      <c r="BL53" s="32" t="n"/>
      <c r="BM53" s="32" t="n"/>
      <c r="BN53" s="32" t="n"/>
      <c r="BO53" s="32" t="n"/>
      <c r="BP53" s="32" t="n"/>
      <c r="BQ53" s="32" t="n"/>
      <c r="BR53" s="32" t="n"/>
      <c r="BS53" s="32" t="n"/>
      <c r="BT53" s="32" t="n"/>
      <c r="BU53" s="32" t="n"/>
      <c r="BV53" s="32" t="n"/>
      <c r="BW53" s="32" t="n"/>
      <c r="BX53" s="32" t="n"/>
      <c r="BY53" s="32" t="n"/>
      <c r="BZ53" s="32" t="n"/>
      <c r="CA53" s="32" t="n"/>
      <c r="CB53" s="32" t="n"/>
      <c r="CC53" s="32" t="n"/>
      <c r="CD53" s="32" t="n"/>
      <c r="CE53" s="32" t="n"/>
      <c r="CF53" s="32" t="n"/>
      <c r="CG53" s="32" t="n"/>
      <c r="CH53" s="32" t="n"/>
      <c r="CI53" s="32" t="n"/>
      <c r="CJ53" s="32" t="n"/>
      <c r="CK53" s="32" t="n"/>
      <c r="CL53" s="32" t="n"/>
      <c r="CM53" s="32" t="n"/>
      <c r="CN53" s="32" t="n"/>
      <c r="CO53" s="32" t="n"/>
      <c r="CP53" s="32" t="n"/>
      <c r="CQ53" s="32" t="n"/>
      <c r="CR53" s="32" t="n"/>
      <c r="CS53" s="32" t="n"/>
      <c r="CT53" s="32" t="n"/>
      <c r="CU53" s="32" t="n"/>
      <c r="CV53" s="32" t="n"/>
      <c r="CW53" s="32" t="n"/>
      <c r="CX53" s="32" t="n"/>
      <c r="CY53" s="32" t="n"/>
    </row>
    <row r="54" hidden="1" outlineLevel="1">
      <c r="C54" s="32" t="inlineStr">
        <is>
          <t>Gerais &amp; Administrativas (%)</t>
        </is>
      </c>
      <c r="D54" s="32" t="n"/>
      <c r="E54" s="32" t="n"/>
      <c r="F54" s="32" t="n"/>
      <c r="G54" s="32" t="n"/>
      <c r="H54" s="32" t="n"/>
      <c r="I54" s="32" t="n"/>
      <c r="J54" s="32" t="n"/>
      <c r="K54" s="32" t="n"/>
      <c r="L54" s="32" t="n"/>
      <c r="M54" s="32" t="n"/>
      <c r="N54" s="32" t="n"/>
      <c r="O54" s="32" t="n"/>
      <c r="P54" s="32" t="n"/>
      <c r="Q54" s="32" t="n"/>
      <c r="R54" s="32" t="n"/>
      <c r="S54" s="32" t="n"/>
      <c r="T54" s="32" t="n"/>
      <c r="U54" s="32" t="n"/>
      <c r="V54" s="32" t="n"/>
      <c r="W54" s="32" t="n"/>
      <c r="X54" s="32" t="n"/>
      <c r="Y54" s="32" t="n"/>
      <c r="Z54" s="32" t="n"/>
      <c r="AA54" s="32" t="n"/>
      <c r="AB54" s="32" t="n"/>
      <c r="AC54" s="32" t="n"/>
      <c r="AD54" s="32" t="n"/>
      <c r="AE54" s="32" t="n"/>
      <c r="AF54" s="32" t="n"/>
      <c r="AG54" s="32" t="n"/>
      <c r="AH54" s="32" t="n"/>
      <c r="AI54" s="32" t="n"/>
      <c r="AJ54" s="32" t="n"/>
      <c r="AK54" s="32" t="n"/>
      <c r="AL54" s="32" t="n"/>
      <c r="AM54" s="32" t="n"/>
      <c r="AN54" s="32" t="n"/>
      <c r="AO54" s="32" t="n"/>
      <c r="AP54" s="32" t="n"/>
      <c r="AQ54" s="32" t="n"/>
      <c r="AR54" s="32" t="n"/>
      <c r="AS54" s="32" t="n"/>
      <c r="AT54" s="32" t="n"/>
      <c r="AU54" s="32" t="n"/>
      <c r="AV54" s="32" t="n"/>
      <c r="AW54" s="32" t="n"/>
      <c r="AX54" s="32" t="n"/>
      <c r="AY54" s="32" t="n"/>
      <c r="AZ54" s="32" t="n"/>
      <c r="BA54" s="32" t="n"/>
      <c r="BB54" s="32" t="n"/>
      <c r="BC54" s="32" t="n"/>
      <c r="BD54" s="32" t="n"/>
      <c r="BE54" s="32" t="n"/>
      <c r="BF54" s="32" t="n"/>
      <c r="BG54" s="32" t="n"/>
      <c r="BH54" s="32" t="n"/>
      <c r="BI54" s="32" t="n"/>
      <c r="BJ54" s="32" t="n"/>
      <c r="BK54" s="32" t="n"/>
      <c r="BL54" s="32" t="n"/>
      <c r="BM54" s="32" t="n"/>
      <c r="BN54" s="32" t="n"/>
      <c r="BO54" s="32" t="n"/>
      <c r="BP54" s="32" t="n"/>
      <c r="BQ54" s="32" t="n"/>
      <c r="BR54" s="32" t="n"/>
      <c r="BS54" s="32" t="n"/>
      <c r="BT54" s="32" t="n"/>
      <c r="BU54" s="32" t="n"/>
      <c r="BV54" s="32" t="n"/>
      <c r="BW54" s="32" t="n"/>
      <c r="BX54" s="32" t="n"/>
      <c r="BY54" s="32" t="n"/>
      <c r="BZ54" s="32" t="n"/>
      <c r="CA54" s="32" t="n"/>
      <c r="CB54" s="32" t="n"/>
      <c r="CC54" s="32" t="n"/>
      <c r="CD54" s="32" t="n"/>
      <c r="CE54" s="32" t="n"/>
      <c r="CF54" s="32" t="n"/>
      <c r="CG54" s="32" t="n"/>
      <c r="CH54" s="32" t="n"/>
      <c r="CI54" s="32" t="n"/>
      <c r="CJ54" s="32" t="n"/>
      <c r="CK54" s="32" t="n"/>
      <c r="CL54" s="32" t="n"/>
      <c r="CM54" s="32" t="n"/>
      <c r="CN54" s="32" t="n"/>
      <c r="CO54" s="32" t="n"/>
      <c r="CP54" s="32" t="n"/>
      <c r="CQ54" s="32" t="n"/>
      <c r="CR54" s="32" t="n"/>
      <c r="CS54" s="32" t="n"/>
      <c r="CT54" s="32" t="n"/>
      <c r="CU54" s="32" t="n"/>
      <c r="CV54" s="32" t="n"/>
      <c r="CW54" s="32" t="n"/>
      <c r="CX54" s="32" t="n"/>
      <c r="CY54" s="32" t="n"/>
    </row>
    <row r="55" hidden="1" outlineLevel="1">
      <c r="C55" s="32" t="inlineStr">
        <is>
          <t>Outras Receitas (Despesas) Operacionais, Líquidas (%)</t>
        </is>
      </c>
      <c r="D55" s="32" t="n"/>
      <c r="E55" s="32" t="n"/>
      <c r="F55" s="32" t="n"/>
      <c r="G55" s="32" t="n"/>
      <c r="H55" s="32" t="n"/>
      <c r="I55" s="32" t="n"/>
      <c r="J55" s="32" t="n"/>
      <c r="K55" s="32" t="n"/>
      <c r="L55" s="32" t="n"/>
      <c r="M55" s="32" t="n"/>
      <c r="N55" s="32" t="n"/>
      <c r="O55" s="32" t="n"/>
      <c r="P55" s="32" t="n"/>
      <c r="Q55" s="32" t="n"/>
      <c r="R55" s="32" t="n"/>
      <c r="S55" s="32" t="n"/>
      <c r="T55" s="32" t="n"/>
      <c r="U55" s="32" t="n"/>
      <c r="V55" s="32" t="n"/>
      <c r="W55" s="32" t="n"/>
      <c r="X55" s="32" t="n"/>
      <c r="Y55" s="32" t="n"/>
      <c r="Z55" s="32" t="n"/>
      <c r="AA55" s="32" t="n"/>
      <c r="AB55" s="32" t="n"/>
      <c r="AC55" s="32" t="n"/>
      <c r="AD55" s="32" t="n"/>
      <c r="AE55" s="32" t="n"/>
      <c r="AF55" s="32" t="n"/>
      <c r="AG55" s="32" t="n"/>
      <c r="AH55" s="32" t="n"/>
      <c r="AI55" s="32" t="n"/>
      <c r="AJ55" s="32" t="n"/>
      <c r="AK55" s="32" t="n"/>
      <c r="AL55" s="32" t="n"/>
      <c r="AM55" s="32" t="n"/>
      <c r="AN55" s="32" t="n"/>
      <c r="AO55" s="32" t="n"/>
      <c r="AP55" s="32" t="n"/>
      <c r="AQ55" s="32" t="n"/>
      <c r="AR55" s="32" t="n"/>
      <c r="AS55" s="32" t="n"/>
      <c r="AT55" s="32" t="n"/>
      <c r="AU55" s="32" t="n"/>
      <c r="AV55" s="32" t="n"/>
      <c r="AW55" s="32" t="n"/>
      <c r="AX55" s="32" t="n"/>
      <c r="AY55" s="32" t="n"/>
      <c r="AZ55" s="32" t="n"/>
      <c r="BA55" s="32" t="n"/>
      <c r="BB55" s="32" t="n"/>
      <c r="BC55" s="32" t="n"/>
      <c r="BD55" s="32" t="n"/>
      <c r="BE55" s="32" t="n"/>
      <c r="BF55" s="32" t="n"/>
      <c r="BG55" s="32" t="n"/>
      <c r="BH55" s="32" t="n"/>
      <c r="BI55" s="32" t="n"/>
      <c r="BJ55" s="32" t="n"/>
      <c r="BK55" s="32" t="n"/>
      <c r="BL55" s="32" t="n"/>
      <c r="BM55" s="32" t="n"/>
      <c r="BN55" s="32" t="n"/>
      <c r="BO55" s="32" t="n"/>
      <c r="BP55" s="32" t="n"/>
      <c r="BQ55" s="32" t="n"/>
      <c r="BR55" s="32" t="n"/>
      <c r="BS55" s="32" t="n"/>
      <c r="BT55" s="32" t="n"/>
      <c r="BU55" s="32" t="n"/>
      <c r="BV55" s="32" t="n"/>
      <c r="BW55" s="32" t="n"/>
      <c r="BX55" s="32" t="n"/>
      <c r="BY55" s="32" t="n"/>
      <c r="BZ55" s="32" t="n"/>
      <c r="CA55" s="32" t="n"/>
      <c r="CB55" s="32" t="n"/>
      <c r="CC55" s="32" t="n"/>
      <c r="CD55" s="32" t="n"/>
      <c r="CE55" s="32" t="n"/>
      <c r="CF55" s="32" t="n"/>
      <c r="CG55" s="32" t="n"/>
      <c r="CH55" s="32" t="n"/>
      <c r="CI55" s="32" t="n"/>
      <c r="CJ55" s="32" t="n"/>
      <c r="CK55" s="32" t="n"/>
      <c r="CL55" s="32" t="n"/>
      <c r="CM55" s="32" t="n"/>
      <c r="CN55" s="32" t="n"/>
      <c r="CO55" s="32" t="n"/>
      <c r="CP55" s="32" t="n"/>
      <c r="CQ55" s="32" t="n"/>
      <c r="CR55" s="32" t="n"/>
      <c r="CS55" s="32" t="n"/>
      <c r="CT55" s="32" t="n"/>
      <c r="CU55" s="32" t="n"/>
      <c r="CV55" s="32" t="n"/>
      <c r="CW55" s="32" t="n"/>
      <c r="CX55" s="32" t="n"/>
      <c r="CY55" s="32" t="n"/>
    </row>
    <row r="56" hidden="1" outlineLevel="1">
      <c r="C56" s="32" t="n"/>
      <c r="D56" s="32" t="n"/>
      <c r="E56" s="32" t="n"/>
      <c r="F56" s="32" t="n"/>
      <c r="G56" s="32" t="n"/>
      <c r="H56" s="32" t="n"/>
      <c r="I56" s="32" t="n"/>
      <c r="J56" s="32" t="n"/>
      <c r="K56" s="32" t="n"/>
      <c r="L56" s="32" t="n"/>
      <c r="M56" s="32" t="n"/>
      <c r="N56" s="32" t="n"/>
      <c r="O56" s="32" t="n"/>
      <c r="P56" s="32" t="n"/>
      <c r="Q56" s="32" t="n"/>
      <c r="R56" s="32" t="n"/>
      <c r="S56" s="32" t="n"/>
      <c r="T56" s="32" t="n"/>
      <c r="U56" s="32" t="n"/>
      <c r="V56" s="32" t="n"/>
      <c r="W56" s="32" t="n"/>
      <c r="X56" s="32" t="n"/>
      <c r="Y56" s="32" t="n"/>
      <c r="Z56" s="32" t="n"/>
      <c r="AA56" s="32" t="n"/>
      <c r="AB56" s="32" t="n"/>
      <c r="AC56" s="32" t="n"/>
      <c r="AD56" s="32" t="n"/>
      <c r="AE56" s="32" t="n"/>
      <c r="AF56" s="32" t="n"/>
      <c r="AG56" s="32" t="n"/>
      <c r="AH56" s="32" t="n"/>
      <c r="AI56" s="32" t="n"/>
      <c r="AJ56" s="32" t="n"/>
      <c r="AK56" s="32" t="n"/>
      <c r="AL56" s="32" t="n"/>
      <c r="AM56" s="32" t="n"/>
      <c r="AN56" s="32" t="n"/>
      <c r="AO56" s="32" t="n"/>
      <c r="AP56" s="32" t="n"/>
      <c r="AQ56" s="32" t="n"/>
      <c r="AR56" s="32" t="n"/>
      <c r="AS56" s="32" t="n"/>
      <c r="AT56" s="32" t="n"/>
      <c r="AU56" s="32" t="n"/>
      <c r="AV56" s="32" t="n"/>
      <c r="AW56" s="32" t="n"/>
      <c r="AX56" s="32" t="n"/>
      <c r="AY56" s="32" t="n"/>
      <c r="AZ56" s="32" t="n"/>
      <c r="BA56" s="32" t="n"/>
      <c r="BB56" s="32" t="n"/>
      <c r="BC56" s="32" t="n"/>
      <c r="BD56" s="32" t="n"/>
      <c r="BE56" s="32" t="n"/>
      <c r="BF56" s="32" t="n"/>
      <c r="BG56" s="32" t="n"/>
      <c r="BH56" s="32" t="n"/>
      <c r="BI56" s="32" t="n"/>
      <c r="BJ56" s="32" t="n"/>
      <c r="BK56" s="32" t="n"/>
      <c r="BL56" s="32" t="n"/>
      <c r="BM56" s="32" t="n"/>
      <c r="BN56" s="32" t="n"/>
      <c r="BO56" s="32" t="n"/>
      <c r="BP56" s="32" t="n"/>
      <c r="BQ56" s="32" t="n"/>
      <c r="BR56" s="32" t="n"/>
      <c r="BS56" s="32" t="n"/>
      <c r="BT56" s="32" t="n"/>
      <c r="BU56" s="32" t="n"/>
      <c r="BV56" s="32" t="n"/>
      <c r="BW56" s="32" t="n"/>
      <c r="BX56" s="32" t="n"/>
      <c r="BY56" s="32" t="n"/>
      <c r="BZ56" s="32" t="n"/>
      <c r="CA56" s="32" t="n"/>
      <c r="CB56" s="32" t="n"/>
      <c r="CC56" s="32" t="n"/>
      <c r="CD56" s="32" t="n"/>
      <c r="CE56" s="32" t="n"/>
      <c r="CF56" s="32" t="n"/>
      <c r="CG56" s="32" t="n"/>
      <c r="CH56" s="32" t="n"/>
      <c r="CI56" s="32" t="n"/>
      <c r="CJ56" s="32" t="n"/>
      <c r="CK56" s="32" t="n"/>
      <c r="CL56" s="32" t="n"/>
      <c r="CM56" s="32" t="n"/>
      <c r="CN56" s="32" t="n"/>
      <c r="CO56" s="32" t="n"/>
      <c r="CP56" s="32" t="n"/>
      <c r="CQ56" s="32" t="n"/>
      <c r="CR56" s="32" t="n"/>
      <c r="CS56" s="32" t="n"/>
      <c r="CT56" s="32" t="n"/>
      <c r="CU56" s="32" t="n"/>
      <c r="CV56" s="32" t="n"/>
      <c r="CW56" s="32" t="n"/>
      <c r="CX56" s="32" t="n"/>
      <c r="CY56" s="32" t="n"/>
    </row>
    <row r="57" collapsed="1" customFormat="1" s="17">
      <c r="A57" s="13" t="n"/>
      <c r="B57" s="1" t="n"/>
      <c r="C57" s="14" t="inlineStr">
        <is>
          <t>EBITDA</t>
        </is>
      </c>
      <c r="D57" s="16">
        <f>SUM(D15,D42,D46)</f>
        <v>2496</v>
      </c>
      <c r="E57" s="16">
        <f>SUM(E15,E42,E46)</f>
        <v>2727</v>
      </c>
      <c r="F57" s="16">
        <f>SUM(F15,F42,F46)</f>
        <v>3254</v>
      </c>
      <c r="G57" s="16">
        <f>SUM(G15,G42,G46)</f>
        <v>3370</v>
      </c>
      <c r="H57" s="16">
        <f>SUM(D57:G57)</f>
        <v>11847</v>
      </c>
      <c r="I57" s="16">
        <f>SUM(I15,I42,I46)</f>
        <v>3479</v>
      </c>
      <c r="J57" s="16">
        <f>SUM(J15,J42,J46)</f>
        <v>3629</v>
      </c>
      <c r="K57" s="16">
        <f>SUM(K15,K42,K46)</f>
        <v>4082</v>
      </c>
      <c r="L57" s="16">
        <f>SUM(L15,L42,L46)</f>
        <v>4395</v>
      </c>
      <c r="M57" s="16">
        <f>SUM(I57:L57)</f>
        <v>15585</v>
      </c>
      <c r="N57" s="16">
        <f>SUM(N15,N42,N46)</f>
        <v>4658</v>
      </c>
      <c r="O57" s="16">
        <f>SUM(O15,O42,O46)</f>
        <v>4954</v>
      </c>
      <c r="P57" s="16">
        <f>SUM(P15,P42,P46)</f>
        <v>5202</v>
      </c>
      <c r="Q57" s="16">
        <f>SUM(Q15,Q42,Q46)</f>
        <v>5135</v>
      </c>
      <c r="R57" s="16">
        <f>SUM(N57:Q57)</f>
        <v>19949</v>
      </c>
      <c r="S57" s="16">
        <f>SUM(S15,S42,S46)</f>
        <v>4947</v>
      </c>
      <c r="T57" s="16">
        <f>SUM(T15,T42,T46)</f>
        <v>4788</v>
      </c>
      <c r="U57" s="16">
        <f>SUM(U15,U42,U46)</f>
        <v>5172</v>
      </c>
      <c r="V57" s="16">
        <f>SUM(V15,V42,V46)</f>
        <v>4428</v>
      </c>
      <c r="W57" s="16">
        <f>SUM(S57:V57)</f>
        <v>19335</v>
      </c>
      <c r="X57" s="16">
        <f>SUM(X15,X42,X46)</f>
        <v>5495</v>
      </c>
      <c r="Y57" s="16">
        <f>SUM(Y15,Y42,Y46)</f>
        <v>6312</v>
      </c>
      <c r="Z57" s="16">
        <f>SUM(Z15,Z42,Z46)</f>
        <v>7238</v>
      </c>
      <c r="AA57" s="16">
        <f>SUM(AA15,AA42,AA46)</f>
        <v>8434</v>
      </c>
      <c r="AB57" s="16">
        <f>SUM(X57:AA57)</f>
        <v>27479</v>
      </c>
      <c r="AC57" s="16">
        <f>SUM(AC15,AC42,AC46)</f>
        <v>7960</v>
      </c>
      <c r="AD57" s="16">
        <f>SUM(AD15,AD42,AD46)</f>
        <v>8055</v>
      </c>
      <c r="AE57" s="16">
        <f>SUM(AE15,AE42,AE46)</f>
        <v>9741</v>
      </c>
      <c r="AF57" s="16">
        <f>SUM(AF15,AF42,AF46)</f>
        <v>10716</v>
      </c>
      <c r="AG57" s="16">
        <f>SUM(AC57:AF57)</f>
        <v>36472</v>
      </c>
      <c r="AH57" s="16">
        <f>SUM(AH15,AH42,AH46)</f>
        <v>12918</v>
      </c>
      <c r="AI57" s="16">
        <f>SUM(AI15,AI42,AI46)</f>
        <v>18132</v>
      </c>
      <c r="AJ57" s="16">
        <f>SUM(AJ15,AJ42,AJ46)</f>
        <v>0</v>
      </c>
      <c r="AK57" s="16">
        <f>SUM(AK15,AK42,AK46)</f>
        <v>0</v>
      </c>
      <c r="AL57" s="16">
        <f>SUM(AH57:AK57)</f>
        <v>31050</v>
      </c>
      <c r="AM57" s="16">
        <f>SUM(AM15,AM42,AM46)</f>
        <v>0</v>
      </c>
      <c r="AN57" s="16">
        <f>SUM(AN15,AN42,AN46)</f>
        <v>0</v>
      </c>
      <c r="AO57" s="16">
        <f>SUM(AO15,AO42,AO46)</f>
        <v>0</v>
      </c>
      <c r="AP57" s="16">
        <f>SUM(AP15,AP42,AP46)</f>
        <v>0</v>
      </c>
      <c r="AQ57" s="16">
        <f>SUM(AM57:AP57)</f>
        <v>0</v>
      </c>
      <c r="AR57" s="16">
        <f>SUM(AR15,AR42,AR46)</f>
        <v>0</v>
      </c>
      <c r="AS57" s="16">
        <f>SUM(AS15,AS42,AS46)</f>
        <v>0</v>
      </c>
      <c r="AT57" s="16">
        <f>SUM(AT15,AT42,AT46)</f>
        <v>0</v>
      </c>
      <c r="AU57" s="16">
        <f>SUM(AU15,AU42,AU46)</f>
        <v>0</v>
      </c>
      <c r="AV57" s="16">
        <f>SUM(AR57:AU57)</f>
        <v>0</v>
      </c>
      <c r="AW57" s="16">
        <f>SUM(AW15,AW42,AW46)</f>
        <v>0</v>
      </c>
      <c r="AX57" s="16">
        <f>SUM(AX15,AX42,AX46)</f>
        <v>0</v>
      </c>
      <c r="AY57" s="16">
        <f>SUM(AY15,AY42,AY46)</f>
        <v>0</v>
      </c>
      <c r="AZ57" s="16">
        <f>SUM(AZ15,AZ42,AZ46)</f>
        <v>0</v>
      </c>
      <c r="BA57" s="16">
        <f>SUM(AW57:AZ57)</f>
        <v>0</v>
      </c>
      <c r="BB57" s="16">
        <f>SUM(BB15,BB42,BB46)</f>
        <v>0</v>
      </c>
      <c r="BC57" s="16">
        <f>SUM(BC15,BC42,BC46)</f>
        <v>0</v>
      </c>
      <c r="BD57" s="16">
        <f>SUM(BD15,BD42,BD46)</f>
        <v>0</v>
      </c>
      <c r="BE57" s="16">
        <f>SUM(BE15,BE42,BE46)</f>
        <v>0</v>
      </c>
      <c r="BF57" s="16">
        <f>SUM(BB57:BE57)</f>
        <v>0</v>
      </c>
      <c r="BG57" s="16">
        <f>SUM(BG15,BG42,BG46)</f>
        <v>0</v>
      </c>
      <c r="BH57" s="16">
        <f>SUM(BH15,BH42,BH46)</f>
        <v>0</v>
      </c>
      <c r="BI57" s="16">
        <f>SUM(BI15,BI42,BI46)</f>
        <v>0</v>
      </c>
      <c r="BJ57" s="16">
        <f>SUM(BJ15,BJ42,BJ46)</f>
        <v>0</v>
      </c>
      <c r="BK57" s="16">
        <f>SUM(BG57:BJ57)</f>
        <v>0</v>
      </c>
      <c r="BL57" s="16">
        <f>SUM(BL15,BL42,BL46)</f>
        <v>0</v>
      </c>
      <c r="BM57" s="16">
        <f>SUM(BM15,BM42,BM46)</f>
        <v>0</v>
      </c>
      <c r="BN57" s="16">
        <f>SUM(BN15,BN42,BN46)</f>
        <v>0</v>
      </c>
      <c r="BO57" s="16">
        <f>SUM(BO15,BO42,BO46)</f>
        <v>0</v>
      </c>
      <c r="BP57" s="16">
        <f>SUM(BL57:BO57)</f>
        <v>0</v>
      </c>
      <c r="BQ57" s="16">
        <f>SUM(BQ15,BQ42,BQ46)</f>
        <v>0</v>
      </c>
      <c r="BR57" s="16">
        <f>SUM(BR15,BR42,BR46)</f>
        <v>0</v>
      </c>
      <c r="BS57" s="16">
        <f>SUM(BS15,BS42,BS46)</f>
        <v>0</v>
      </c>
      <c r="BT57" s="16">
        <f>SUM(BT15,BT42,BT46)</f>
        <v>0</v>
      </c>
      <c r="BU57" s="16">
        <f>SUM(BQ57:BT57)</f>
        <v>0</v>
      </c>
      <c r="BV57" s="16">
        <f>SUM(BV15,BV42,BV46)</f>
        <v>0</v>
      </c>
      <c r="BW57" s="16">
        <f>SUM(BW15,BW42,BW46)</f>
        <v>0</v>
      </c>
      <c r="BX57" s="16">
        <f>SUM(BX15,BX42,BX46)</f>
        <v>0</v>
      </c>
      <c r="BY57" s="16">
        <f>SUM(BY15,BY42,BY46)</f>
        <v>0</v>
      </c>
      <c r="BZ57" s="16">
        <f>SUM(BV57:BY57)</f>
        <v>0</v>
      </c>
      <c r="CA57" s="16">
        <f>SUM(CA15,CA42,CA46)</f>
        <v>0</v>
      </c>
      <c r="CB57" s="16">
        <f>SUM(CB15,CB42,CB46)</f>
        <v>0</v>
      </c>
      <c r="CC57" s="16">
        <f>SUM(CC15,CC42,CC46)</f>
        <v>0</v>
      </c>
      <c r="CD57" s="16">
        <f>SUM(CD15,CD42,CD46)</f>
        <v>0</v>
      </c>
      <c r="CE57" s="16">
        <f>SUM(CA57:CD57)</f>
        <v>0</v>
      </c>
      <c r="CF57" s="16">
        <f>SUM(CF15,CF42,CF46)</f>
        <v>0</v>
      </c>
      <c r="CG57" s="16">
        <f>SUM(CG15,CG42,CG46)</f>
        <v>0</v>
      </c>
      <c r="CH57" s="16">
        <f>SUM(CH15,CH42,CH46)</f>
        <v>0</v>
      </c>
      <c r="CI57" s="16">
        <f>SUM(CI15,CI42,CI46)</f>
        <v>0</v>
      </c>
      <c r="CJ57" s="16">
        <f>SUM(CF57:CI57)</f>
        <v>0</v>
      </c>
      <c r="CK57" s="16">
        <f>SUM(CK15,CK42,CK46)</f>
        <v>0</v>
      </c>
      <c r="CL57" s="16">
        <f>SUM(CL15,CL42,CL46)</f>
        <v>0</v>
      </c>
      <c r="CM57" s="16">
        <f>SUM(CM15,CM42,CM46)</f>
        <v>0</v>
      </c>
      <c r="CN57" s="16">
        <f>SUM(CN15,CN42,CN46)</f>
        <v>0</v>
      </c>
      <c r="CO57" s="16">
        <f>SUM(CK57:CN57)</f>
        <v>0</v>
      </c>
      <c r="CP57" s="16">
        <f>SUM(CP15,CP42,CP46)</f>
        <v>0</v>
      </c>
      <c r="CQ57" s="16">
        <f>SUM(CQ15,CQ42,CQ46)</f>
        <v>0</v>
      </c>
      <c r="CR57" s="16">
        <f>SUM(CR15,CR42,CR46)</f>
        <v>0</v>
      </c>
      <c r="CS57" s="16">
        <f>SUM(CS15,CS42,CS46)</f>
        <v>0</v>
      </c>
      <c r="CT57" s="16">
        <f>SUM(CP57:CS57)</f>
        <v>0</v>
      </c>
      <c r="CU57" s="16">
        <f>SUM(CU15,CU42,CU46)</f>
        <v>0</v>
      </c>
      <c r="CV57" s="16">
        <f>SUM(CV15,CV42,CV46)</f>
        <v>0</v>
      </c>
      <c r="CW57" s="16">
        <f>SUM(CW15,CW42,CW46)</f>
        <v>0</v>
      </c>
      <c r="CX57" s="16">
        <f>SUM(CX15,CX42,CX46)</f>
        <v>0</v>
      </c>
      <c r="CY57" s="16">
        <f>SUM(CU57:CX57)</f>
        <v>0</v>
      </c>
    </row>
    <row r="58" ht="13.5" customHeight="1">
      <c r="C58" s="24" t="inlineStr">
        <is>
          <t>D&amp;A</t>
        </is>
      </c>
      <c r="D58" s="25">
        <f>INDEX('Inputs (2)'!$D$7:$AL$7,MATCH(D$7,'Inputs (2)'!$D$2:$AL$2,0))</f>
        <v>-1730</v>
      </c>
      <c r="E58" s="25">
        <f>INDEX('Inputs (2)'!$D$7:$AL$7,MATCH(E$7,'Inputs (2)'!$D$2:$AL$2,0))</f>
        <v>-1719</v>
      </c>
      <c r="F58" s="25">
        <f>INDEX('Inputs (2)'!$D$7:$AL$7,MATCH(F$7,'Inputs (2)'!$D$2:$AL$2,0))</f>
        <v>-1728</v>
      </c>
      <c r="G58" s="25">
        <f>INDEX('Inputs (2)'!$D$7:$AL$7,MATCH(G$7,'Inputs (2)'!$D$2:$AL$2,0))</f>
        <v>-1533</v>
      </c>
      <c r="H58" s="3">
        <f>SUM(D58:G58)</f>
        <v>-6710</v>
      </c>
      <c r="I58" s="25">
        <f>INDEX('Inputs (2)'!$D$7:$AL$7,MATCH(I$7,'Inputs (2)'!$D$2:$AL$2,0))</f>
        <v>-1504</v>
      </c>
      <c r="J58" s="25">
        <f>INDEX('Inputs (2)'!$D$7:$AL$7,MATCH(J$7,'Inputs (2)'!$D$2:$AL$2,0))</f>
        <v>-1503</v>
      </c>
      <c r="K58" s="25">
        <f>INDEX('Inputs (2)'!$D$7:$AL$7,MATCH(K$7,'Inputs (2)'!$D$2:$AL$2,0))</f>
        <v>-1501</v>
      </c>
      <c r="L58" s="25">
        <f>INDEX('Inputs (2)'!$D$7:$AL$7,MATCH(L$7,'Inputs (2)'!$D$2:$AL$2,0))</f>
        <v>-1287</v>
      </c>
      <c r="M58" s="3">
        <f>SUM(I58:L58)</f>
        <v>-5795</v>
      </c>
      <c r="N58" s="25">
        <f>INDEX('Inputs (2)'!$D$7:$AL$7,MATCH(N$7,'Inputs (2)'!$D$2:$AL$2,0))</f>
        <v>-1264</v>
      </c>
      <c r="O58" s="25">
        <f>INDEX('Inputs (2)'!$D$7:$AL$7,MATCH(O$7,'Inputs (2)'!$D$2:$AL$2,0))</f>
        <v>-1217</v>
      </c>
      <c r="P58" s="25">
        <f>INDEX('Inputs (2)'!$D$7:$AL$7,MATCH(P$7,'Inputs (2)'!$D$2:$AL$2,0))</f>
        <v>-1216</v>
      </c>
      <c r="Q58" s="25">
        <f>INDEX('Inputs (2)'!$D$7:$AL$7,MATCH(Q$7,'Inputs (2)'!$D$2:$AL$2,0))</f>
        <v>-1032</v>
      </c>
      <c r="R58" s="3">
        <f>SUM(N58:Q58)</f>
        <v>-4729</v>
      </c>
      <c r="S58" s="25">
        <f>INDEX('Inputs (2)'!$D$7:$AL$7,MATCH(S$7,'Inputs (2)'!$D$2:$AL$2,0))</f>
        <v>-939</v>
      </c>
      <c r="T58" s="25">
        <f>INDEX('Inputs (2)'!$D$7:$AL$7,MATCH(T$7,'Inputs (2)'!$D$2:$AL$2,0))</f>
        <v>-932</v>
      </c>
      <c r="U58" s="25">
        <f>INDEX('Inputs (2)'!$D$7:$AL$7,MATCH(U$7,'Inputs (2)'!$D$2:$AL$2,0))</f>
        <v>-932</v>
      </c>
      <c r="V58" s="25">
        <f>INDEX('Inputs (2)'!$D$7:$AL$7,MATCH(V$7,'Inputs (2)'!$D$2:$AL$2,0))</f>
        <v>-2345</v>
      </c>
      <c r="W58" s="3">
        <f>SUM(S58:V58)</f>
        <v>-5148</v>
      </c>
      <c r="X58" s="25">
        <f>INDEX('Inputs (2)'!$D$7:$AL$7,MATCH(X$7,'Inputs (2)'!$D$2:$AL$2,0))</f>
        <v>-2530</v>
      </c>
      <c r="Y58" s="25">
        <f>INDEX('Inputs (2)'!$D$7:$AL$7,MATCH(Y$7,'Inputs (2)'!$D$2:$AL$2,0))</f>
        <v>-2524</v>
      </c>
      <c r="Z58" s="25">
        <f>INDEX('Inputs (2)'!$D$7:$AL$7,MATCH(Z$7,'Inputs (2)'!$D$2:$AL$2,0))</f>
        <v>-2611</v>
      </c>
      <c r="AA58" s="25">
        <f>INDEX('Inputs (2)'!$D$7:$AL$7,MATCH(AA$7,'Inputs (2)'!$D$2:$AL$2,0))</f>
        <v>-2174</v>
      </c>
      <c r="AB58" s="3">
        <f>SUM(X58:AA58)</f>
        <v>-9839</v>
      </c>
      <c r="AC58" s="25">
        <f>INDEX('Inputs (2)'!$D$7:$AL$7,MATCH(AC$7,'Inputs (2)'!$D$2:$AL$2,0))</f>
        <v>-2131</v>
      </c>
      <c r="AD58" s="25">
        <f>INDEX('Inputs (2)'!$D$7:$AL$7,MATCH(AD$7,'Inputs (2)'!$D$2:$AL$2,0))</f>
        <v>-2168</v>
      </c>
      <c r="AE58" s="25">
        <f>INDEX('Inputs (2)'!$D$7:$AL$7,MATCH(AE$7,'Inputs (2)'!$D$2:$AL$2,0))</f>
        <v>-2233</v>
      </c>
      <c r="AF58" s="25">
        <f>INDEX('Inputs (2)'!$D$7:$AL$7,MATCH(AF$7,'Inputs (2)'!$D$2:$AL$2,0))</f>
        <v>-2153</v>
      </c>
      <c r="AG58" s="3">
        <f>SUM(AC58:AF58)</f>
        <v>-8685</v>
      </c>
      <c r="AH58" s="3">
        <f>INDEX('Inputs (2)'!$D$7:$AL$7,MATCH(AH$7,'Inputs (2)'!$D$2:$AL$2,0))</f>
        <v>-2130</v>
      </c>
      <c r="AI58" s="3">
        <f>INDEX('Inputs (2)'!$D$7:$AL$7,MATCH(AI$7,'Inputs (2)'!$D$2:$AL$2,0))</f>
        <v>-2177</v>
      </c>
      <c r="AJ58" s="3">
        <f>-AJ59*AJ15</f>
        <v>0</v>
      </c>
      <c r="AK58" s="3">
        <f>-AK59*AK15</f>
        <v>0</v>
      </c>
      <c r="AL58" s="3">
        <f>SUM(AH58:AK58)</f>
        <v>-4307</v>
      </c>
      <c r="AM58" s="3">
        <f>-AM59*AM15</f>
        <v>0</v>
      </c>
      <c r="AN58" s="3">
        <f>-AN59*AN15</f>
        <v>0</v>
      </c>
      <c r="AO58" s="3">
        <f>-AO59*AO15</f>
        <v>0</v>
      </c>
      <c r="AP58" s="3">
        <f>-AP59*AP15</f>
        <v>0</v>
      </c>
      <c r="AQ58" s="3">
        <f>SUM(AM58:AP58)</f>
        <v>0</v>
      </c>
      <c r="AR58" s="3">
        <f>-AR59*AR15</f>
        <v>0</v>
      </c>
      <c r="AS58" s="3">
        <f>-AS59*AS15</f>
        <v>0</v>
      </c>
      <c r="AT58" s="3">
        <f>-AT59*AT15</f>
        <v>0</v>
      </c>
      <c r="AU58" s="3">
        <f>-AU59*AU15</f>
        <v>0</v>
      </c>
      <c r="AV58" s="3">
        <f>SUM(AR58:AU58)</f>
        <v>0</v>
      </c>
      <c r="AW58" s="3">
        <f>-AW59*AW15</f>
        <v>0</v>
      </c>
      <c r="AX58" s="3">
        <f>-AX59*AX15</f>
        <v>0</v>
      </c>
      <c r="AY58" s="3">
        <f>-AY59*AY15</f>
        <v>0</v>
      </c>
      <c r="AZ58" s="3">
        <f>-AZ59*AZ15</f>
        <v>0</v>
      </c>
      <c r="BA58" s="3">
        <f>SUM(AW58:AZ58)</f>
        <v>0</v>
      </c>
      <c r="BB58" s="3">
        <f>-BB59*BB15</f>
        <v>0</v>
      </c>
      <c r="BC58" s="3">
        <f>-BC59*BC15</f>
        <v>0</v>
      </c>
      <c r="BD58" s="3">
        <f>-BD59*BD15</f>
        <v>0</v>
      </c>
      <c r="BE58" s="3">
        <f>-BE59*BE15</f>
        <v>0</v>
      </c>
      <c r="BF58" s="3">
        <f>SUM(BB58:BE58)</f>
        <v>0</v>
      </c>
      <c r="BG58" s="3">
        <f>-BG59*BG15</f>
        <v>0</v>
      </c>
      <c r="BH58" s="3">
        <f>-BH59*BH15</f>
        <v>0</v>
      </c>
      <c r="BI58" s="3">
        <f>-BI59*BI15</f>
        <v>0</v>
      </c>
      <c r="BJ58" s="3">
        <f>-BJ59*BJ15</f>
        <v>0</v>
      </c>
      <c r="BK58" s="3">
        <f>SUM(BG58:BJ58)</f>
        <v>0</v>
      </c>
      <c r="BL58" s="3">
        <f>-BL59*BL15</f>
        <v>0</v>
      </c>
      <c r="BM58" s="3">
        <f>-BM59*BM15</f>
        <v>0</v>
      </c>
      <c r="BN58" s="3">
        <f>-BN59*BN15</f>
        <v>0</v>
      </c>
      <c r="BO58" s="3">
        <f>-BO59*BO15</f>
        <v>0</v>
      </c>
      <c r="BP58" s="3">
        <f>SUM(BL58:BO58)</f>
        <v>0</v>
      </c>
      <c r="BQ58" s="3">
        <f>-BQ59*BQ15</f>
        <v>0</v>
      </c>
      <c r="BR58" s="3">
        <f>-BR59*BR15</f>
        <v>0</v>
      </c>
      <c r="BS58" s="3">
        <f>-BS59*BS15</f>
        <v>0</v>
      </c>
      <c r="BT58" s="3">
        <f>-BT59*BT15</f>
        <v>0</v>
      </c>
      <c r="BU58" s="3">
        <f>SUM(BQ58:BT58)</f>
        <v>0</v>
      </c>
      <c r="BV58" s="3">
        <f>-BV59*BV15</f>
        <v>0</v>
      </c>
      <c r="BW58" s="3">
        <f>-BW59*BW15</f>
        <v>0</v>
      </c>
      <c r="BX58" s="3">
        <f>-BX59*BX15</f>
        <v>0</v>
      </c>
      <c r="BY58" s="3">
        <f>-BY59*BY15</f>
        <v>0</v>
      </c>
      <c r="BZ58" s="3">
        <f>SUM(BV58:BY58)</f>
        <v>0</v>
      </c>
      <c r="CA58" s="3">
        <f>-CA59*CA15</f>
        <v>0</v>
      </c>
      <c r="CB58" s="3">
        <f>-CB59*CB15</f>
        <v>0</v>
      </c>
      <c r="CC58" s="3">
        <f>-CC59*CC15</f>
        <v>0</v>
      </c>
      <c r="CD58" s="3">
        <f>-CD59*CD15</f>
        <v>0</v>
      </c>
      <c r="CE58" s="3">
        <f>SUM(CA58:CD58)</f>
        <v>0</v>
      </c>
      <c r="CF58" s="3">
        <f>-CF59*CF15</f>
        <v>0</v>
      </c>
      <c r="CG58" s="3">
        <f>-CG59*CG15</f>
        <v>0</v>
      </c>
      <c r="CH58" s="3">
        <f>-CH59*CH15</f>
        <v>0</v>
      </c>
      <c r="CI58" s="3">
        <f>-CI59*CI15</f>
        <v>0</v>
      </c>
      <c r="CJ58" s="3">
        <f>SUM(CF58:CI58)</f>
        <v>0</v>
      </c>
      <c r="CK58" s="3">
        <f>-CK59*CK15</f>
        <v>0</v>
      </c>
      <c r="CL58" s="3">
        <f>-CL59*CL15</f>
        <v>0</v>
      </c>
      <c r="CM58" s="3">
        <f>-CM59*CM15</f>
        <v>0</v>
      </c>
      <c r="CN58" s="3">
        <f>-CN59*CN15</f>
        <v>0</v>
      </c>
      <c r="CO58" s="3">
        <f>SUM(CK58:CN58)</f>
        <v>0</v>
      </c>
      <c r="CP58" s="3">
        <f>-CP59*CP15</f>
        <v>0</v>
      </c>
      <c r="CQ58" s="3">
        <f>-CQ59*CQ15</f>
        <v>0</v>
      </c>
      <c r="CR58" s="3">
        <f>-CR59*CR15</f>
        <v>0</v>
      </c>
      <c r="CS58" s="3">
        <f>-CS59*CS15</f>
        <v>0</v>
      </c>
      <c r="CT58" s="3">
        <f>SUM(CP58:CS58)</f>
        <v>0</v>
      </c>
      <c r="CU58" s="3">
        <f>-CU59*CU15</f>
        <v>0</v>
      </c>
      <c r="CV58" s="3">
        <f>-CV59*CV15</f>
        <v>0</v>
      </c>
      <c r="CW58" s="3">
        <f>-CW59*CW15</f>
        <v>0</v>
      </c>
      <c r="CX58" s="3">
        <f>-CX59*CX15</f>
        <v>0</v>
      </c>
      <c r="CY58" s="3">
        <f>SUM(CU58:CX58)</f>
        <v>0</v>
      </c>
    </row>
    <row r="59" hidden="1" outlineLevel="1" customFormat="1" s="247">
      <c r="A59" s="48" t="n"/>
      <c r="B59" s="48" t="n"/>
      <c r="C59" s="246" t="inlineStr">
        <is>
          <t>% of Revenue</t>
        </is>
      </c>
      <c r="D59" s="48">
        <f>-D58/D15</f>
        <v>0.301288749564612</v>
      </c>
      <c r="E59" s="48">
        <f>-E58/E15</f>
        <v>0.295310084177976</v>
      </c>
      <c r="F59" s="48">
        <f>-F58/F15</f>
        <v>0.267202721509201</v>
      </c>
      <c r="G59" s="48">
        <f>-G58/G15</f>
        <v>0.230353117956424</v>
      </c>
      <c r="H59" s="48" t="n"/>
      <c r="I59" s="48">
        <f>-I58/I15</f>
        <v>0.227534039334342</v>
      </c>
      <c r="J59" s="48">
        <f>-J58/J15</f>
        <v>0.221746827972853</v>
      </c>
      <c r="K59" s="48">
        <f>-K58/K15</f>
        <v>0.202646145538005</v>
      </c>
      <c r="L59" s="48">
        <f>-L58/L15</f>
        <v>0.167012717363094</v>
      </c>
      <c r="M59" s="48" t="n"/>
      <c r="N59" s="48">
        <f>-N58/N15</f>
        <v>0.155991608046403</v>
      </c>
      <c r="O59" s="48">
        <f>-O58/O15</f>
        <v>0.143785444234405</v>
      </c>
      <c r="P59" s="48">
        <f>-P58/P15</f>
        <v>0.136170212765957</v>
      </c>
      <c r="Q59" s="48">
        <f>-Q58/Q15</f>
        <v>0.1157599551318</v>
      </c>
      <c r="R59" s="48" t="n"/>
      <c r="S59" s="48">
        <f>-S58/S15</f>
        <v>0.107523187907935</v>
      </c>
      <c r="T59" s="48">
        <f>-T58/T15</f>
        <v>0.105002253267238</v>
      </c>
      <c r="U59" s="48">
        <f>-U58/U15</f>
        <v>0.100268961807423</v>
      </c>
      <c r="V59" s="48">
        <f>-V58/V15</f>
        <v>0.196053841652036</v>
      </c>
      <c r="W59" s="48" t="n"/>
      <c r="X59" s="48">
        <f>-X58/X15</f>
        <v>0.20261071514375</v>
      </c>
      <c r="Y59" s="48">
        <f>-Y58/Y15</f>
        <v>0.193084455324357</v>
      </c>
      <c r="Z59" s="48">
        <f>-Z58/Z15</f>
        <v>0.185783406859257</v>
      </c>
      <c r="AA59" s="48">
        <f>-AA58/AA15</f>
        <v>0.145749530705283</v>
      </c>
      <c r="AB59" s="48" t="n"/>
      <c r="AC59" s="48">
        <f>-AC58/AC15</f>
        <v>0.142028792322047</v>
      </c>
      <c r="AD59" s="48">
        <f>-AD58/AD15</f>
        <v>0.135907723169509</v>
      </c>
      <c r="AE59" s="48">
        <f>-AE58/AE15</f>
        <v>0.123952262003886</v>
      </c>
      <c r="AF59" s="218">
        <f>-AF58/AF15</f>
        <v>0.111490860131531</v>
      </c>
      <c r="AG59" s="48" t="n"/>
      <c r="AH59" s="218">
        <f>-AH58/AH15</f>
        <v>0.096002163429035</v>
      </c>
      <c r="AI59" s="218">
        <f>-AI58/AI15</f>
        <v>0.0735696664526376</v>
      </c>
      <c r="AJ59" s="218" t="n"/>
      <c r="AK59" s="218" t="n"/>
      <c r="AL59" s="48" t="n"/>
      <c r="AM59" s="218" t="n"/>
      <c r="AN59" s="218" t="n"/>
      <c r="AO59" s="218" t="n"/>
      <c r="AP59" s="218" t="n"/>
      <c r="AQ59" s="48" t="n"/>
      <c r="AR59" s="218" t="n"/>
      <c r="AS59" s="218" t="n"/>
      <c r="AT59" s="218" t="n"/>
      <c r="AU59" s="218" t="n"/>
      <c r="AV59" s="48" t="n"/>
      <c r="AW59" s="218" t="n"/>
      <c r="AX59" s="218" t="n"/>
      <c r="AY59" s="218" t="n"/>
      <c r="AZ59" s="218" t="n"/>
      <c r="BA59" s="48" t="n"/>
      <c r="BB59" s="218" t="n"/>
      <c r="BC59" s="218" t="n"/>
      <c r="BD59" s="218" t="n"/>
      <c r="BE59" s="218" t="n"/>
      <c r="BF59" s="48" t="n"/>
      <c r="BG59" s="218" t="n"/>
      <c r="BH59" s="218" t="n"/>
      <c r="BI59" s="218" t="n"/>
      <c r="BJ59" s="218" t="n"/>
      <c r="BK59" s="48" t="n"/>
      <c r="BL59" s="218" t="n"/>
      <c r="BM59" s="218" t="n"/>
      <c r="BN59" s="218" t="n"/>
      <c r="BO59" s="218" t="n"/>
      <c r="BP59" s="48" t="n"/>
      <c r="BQ59" s="218" t="n"/>
      <c r="BR59" s="218" t="n"/>
      <c r="BS59" s="218" t="n"/>
      <c r="BT59" s="218" t="n"/>
      <c r="BU59" s="48" t="n"/>
      <c r="BV59" s="218" t="n"/>
      <c r="BW59" s="218" t="n"/>
      <c r="BX59" s="218" t="n"/>
      <c r="BY59" s="218" t="n"/>
      <c r="BZ59" s="48" t="n"/>
      <c r="CA59" s="218" t="n"/>
      <c r="CB59" s="218" t="n"/>
      <c r="CC59" s="218" t="n"/>
      <c r="CD59" s="218" t="n"/>
      <c r="CE59" s="48" t="n"/>
      <c r="CF59" s="218" t="n"/>
      <c r="CG59" s="218" t="n"/>
      <c r="CH59" s="218" t="n"/>
      <c r="CI59" s="218" t="n"/>
      <c r="CJ59" s="48" t="n"/>
      <c r="CK59" s="218" t="n"/>
      <c r="CL59" s="218" t="n"/>
      <c r="CM59" s="218" t="n"/>
      <c r="CN59" s="218" t="n"/>
      <c r="CO59" s="48" t="n"/>
      <c r="CP59" s="218" t="n"/>
      <c r="CQ59" s="218" t="n"/>
      <c r="CR59" s="218" t="n"/>
      <c r="CS59" s="218" t="n"/>
      <c r="CT59" s="48" t="n"/>
      <c r="CU59" s="218" t="n"/>
      <c r="CV59" s="218" t="n"/>
      <c r="CW59" s="218" t="n"/>
      <c r="CX59" s="218" t="n"/>
      <c r="CY59" s="48" t="n"/>
    </row>
    <row r="60" hidden="1" outlineLevel="1">
      <c r="C60" s="32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  <c r="AA60" s="3" t="n"/>
      <c r="AB60" s="3" t="n"/>
      <c r="AC60" s="3" t="n"/>
      <c r="AD60" s="3" t="n"/>
      <c r="AE60" s="3" t="n"/>
      <c r="AF60" s="3" t="n"/>
      <c r="AG60" s="3" t="n"/>
      <c r="AH60" s="3" t="n"/>
      <c r="AI60" s="3" t="n"/>
      <c r="AJ60" s="3" t="n"/>
      <c r="AK60" s="3" t="n"/>
      <c r="AL60" s="3" t="n"/>
      <c r="AM60" s="3" t="n"/>
      <c r="AN60" s="3" t="n"/>
      <c r="AO60" s="3" t="n"/>
      <c r="AP60" s="3" t="n"/>
      <c r="AQ60" s="3" t="n"/>
      <c r="AR60" s="3" t="n"/>
      <c r="AS60" s="3" t="n"/>
      <c r="AT60" s="3" t="n"/>
      <c r="AU60" s="3" t="n"/>
      <c r="AV60" s="3" t="n"/>
      <c r="AW60" s="3" t="n"/>
      <c r="AX60" s="3" t="n"/>
      <c r="AY60" s="3" t="n"/>
      <c r="AZ60" s="3" t="n"/>
      <c r="BA60" s="3" t="n"/>
      <c r="BB60" s="3" t="n"/>
      <c r="BC60" s="3" t="n"/>
      <c r="BD60" s="3" t="n"/>
      <c r="BE60" s="3" t="n"/>
      <c r="BF60" s="3" t="n"/>
      <c r="BG60" s="3" t="n"/>
      <c r="BH60" s="3" t="n"/>
      <c r="BI60" s="3" t="n"/>
      <c r="BJ60" s="3" t="n"/>
      <c r="BK60" s="3" t="n"/>
      <c r="BL60" s="3" t="n"/>
      <c r="BM60" s="3" t="n"/>
      <c r="BN60" s="3" t="n"/>
      <c r="BO60" s="3" t="n"/>
      <c r="BP60" s="3" t="n"/>
      <c r="BQ60" s="3" t="n"/>
      <c r="BR60" s="3" t="n"/>
      <c r="BS60" s="3" t="n"/>
      <c r="BT60" s="3" t="n"/>
      <c r="BU60" s="3" t="n"/>
      <c r="BV60" s="3" t="n"/>
      <c r="BW60" s="3" t="n"/>
      <c r="BX60" s="3" t="n"/>
      <c r="BY60" s="3" t="n"/>
      <c r="BZ60" s="3" t="n"/>
      <c r="CA60" s="3" t="n"/>
      <c r="CB60" s="3" t="n"/>
      <c r="CC60" s="3" t="n"/>
      <c r="CD60" s="3" t="n"/>
      <c r="CE60" s="3" t="n"/>
      <c r="CF60" s="3" t="n"/>
      <c r="CG60" s="3" t="n"/>
      <c r="CH60" s="3" t="n"/>
      <c r="CI60" s="3" t="n"/>
      <c r="CJ60" s="3" t="n"/>
      <c r="CK60" s="3" t="n"/>
      <c r="CL60" s="3" t="n"/>
      <c r="CM60" s="3" t="n"/>
      <c r="CN60" s="3" t="n"/>
      <c r="CO60" s="3" t="n"/>
      <c r="CP60" s="3" t="n"/>
      <c r="CQ60" s="3" t="n"/>
      <c r="CR60" s="3" t="n"/>
      <c r="CS60" s="3" t="n"/>
      <c r="CT60" s="3" t="n"/>
      <c r="CU60" s="3" t="n"/>
      <c r="CV60" s="3" t="n"/>
      <c r="CW60" s="3" t="n"/>
      <c r="CX60" s="3" t="n"/>
      <c r="CY60" s="3" t="n"/>
    </row>
    <row r="61" collapsed="1" customFormat="1" s="17">
      <c r="A61" s="13" t="n"/>
      <c r="B61" s="1" t="n"/>
      <c r="C61" s="14" t="inlineStr">
        <is>
          <t>Operating Profit - EBIT</t>
        </is>
      </c>
      <c r="D61" s="16">
        <f>SUM(D57,D58)</f>
        <v>766</v>
      </c>
      <c r="E61" s="16">
        <f>SUM(E57,E58)</f>
        <v>1008</v>
      </c>
      <c r="F61" s="16">
        <f>SUM(F57,F58)</f>
        <v>1526</v>
      </c>
      <c r="G61" s="16">
        <f>SUM(G57,G58)</f>
        <v>1837</v>
      </c>
      <c r="H61" s="16">
        <f>SUM(D61:G61)</f>
        <v>5137</v>
      </c>
      <c r="I61" s="16">
        <f>SUM(I57,I58)</f>
        <v>1975</v>
      </c>
      <c r="J61" s="16">
        <f>SUM(J57,J58)</f>
        <v>2126</v>
      </c>
      <c r="K61" s="16">
        <f>SUM(K57,K58)</f>
        <v>2581</v>
      </c>
      <c r="L61" s="16">
        <f>SUM(L57,L58)</f>
        <v>3108</v>
      </c>
      <c r="M61" s="16">
        <f>SUM(I61:L61)</f>
        <v>9790</v>
      </c>
      <c r="N61" s="16">
        <f>SUM(N57,N58)</f>
        <v>3394</v>
      </c>
      <c r="O61" s="16">
        <f>SUM(O57,O58)</f>
        <v>3737</v>
      </c>
      <c r="P61" s="16">
        <f>SUM(P57,P58)</f>
        <v>3986</v>
      </c>
      <c r="Q61" s="16">
        <f>SUM(Q57,Q58)</f>
        <v>4103</v>
      </c>
      <c r="R61" s="16">
        <f>SUM(N61:Q61)</f>
        <v>15220</v>
      </c>
      <c r="S61" s="16">
        <f>SUM(S57,S58)</f>
        <v>4008</v>
      </c>
      <c r="T61" s="16">
        <f>SUM(T57,T58)</f>
        <v>3856</v>
      </c>
      <c r="U61" s="16">
        <f>SUM(U57,U58)</f>
        <v>4240</v>
      </c>
      <c r="V61" s="16">
        <f>SUM(V57,V58)</f>
        <v>2083</v>
      </c>
      <c r="W61" s="16">
        <f>SUM(S61:V61)</f>
        <v>14187</v>
      </c>
      <c r="X61" s="16">
        <f>SUM(X57,X58)</f>
        <v>2965</v>
      </c>
      <c r="Y61" s="16">
        <f>SUM(Y57,Y58)</f>
        <v>3788</v>
      </c>
      <c r="Z61" s="16">
        <f>SUM(Z57,Z58)</f>
        <v>4627</v>
      </c>
      <c r="AA61" s="16">
        <f>SUM(AA57,AA58)</f>
        <v>6260</v>
      </c>
      <c r="AB61" s="16">
        <f>SUM(X61:AA61)</f>
        <v>17640</v>
      </c>
      <c r="AC61" s="16">
        <f>SUM(AC57,AC58)</f>
        <v>5829</v>
      </c>
      <c r="AD61" s="16">
        <f>SUM(AD57,AD58)</f>
        <v>5887</v>
      </c>
      <c r="AE61" s="16">
        <f>SUM(AE57,AE58)</f>
        <v>7508</v>
      </c>
      <c r="AF61" s="16">
        <f>SUM(AF57,AF58)</f>
        <v>8563</v>
      </c>
      <c r="AG61" s="16">
        <f>SUM(AC61:AF61)</f>
        <v>27787</v>
      </c>
      <c r="AH61" s="16">
        <f>SUM(AH57,AH58)</f>
        <v>10788</v>
      </c>
      <c r="AI61" s="16">
        <f>SUM(AI57,AI58)</f>
        <v>15955</v>
      </c>
      <c r="AJ61" s="16">
        <f>SUM(AJ57,AJ58)</f>
        <v>0</v>
      </c>
      <c r="AK61" s="16">
        <f>SUM(AK57,AK58)</f>
        <v>0</v>
      </c>
      <c r="AL61" s="16">
        <f>SUM(AL57,AL58)</f>
        <v>26743</v>
      </c>
      <c r="AM61" s="16">
        <f>SUM(AM57,AM58)</f>
        <v>0</v>
      </c>
      <c r="AN61" s="16">
        <f>SUM(AN57,AN58)</f>
        <v>0</v>
      </c>
      <c r="AO61" s="16">
        <f>SUM(AO57,AO58)</f>
        <v>0</v>
      </c>
      <c r="AP61" s="16">
        <f>SUM(AP57,AP58)</f>
        <v>0</v>
      </c>
      <c r="AQ61" s="16">
        <f>SUM(AQ57,AQ58)</f>
        <v>0</v>
      </c>
      <c r="AR61" s="16">
        <f>SUM(AR57,AR58)</f>
        <v>0</v>
      </c>
      <c r="AS61" s="16">
        <f>SUM(AS57,AS58)</f>
        <v>0</v>
      </c>
      <c r="AT61" s="16">
        <f>SUM(AT57,AT58)</f>
        <v>0</v>
      </c>
      <c r="AU61" s="16">
        <f>SUM(AU57,AU58)</f>
        <v>0</v>
      </c>
      <c r="AV61" s="16">
        <f>SUM(AV57,AV58)</f>
        <v>0</v>
      </c>
      <c r="AW61" s="16">
        <f>SUM(AW57,AW58)</f>
        <v>0</v>
      </c>
      <c r="AX61" s="16">
        <f>SUM(AX57,AX58)</f>
        <v>0</v>
      </c>
      <c r="AY61" s="16">
        <f>SUM(AY57,AY58)</f>
        <v>0</v>
      </c>
      <c r="AZ61" s="16">
        <f>SUM(AZ57,AZ58)</f>
        <v>0</v>
      </c>
      <c r="BA61" s="16">
        <f>SUM(BA57,BA58)</f>
        <v>0</v>
      </c>
      <c r="BB61" s="16">
        <f>SUM(BB57,BB58)</f>
        <v>0</v>
      </c>
      <c r="BC61" s="16">
        <f>SUM(BC57,BC58)</f>
        <v>0</v>
      </c>
      <c r="BD61" s="16">
        <f>SUM(BD57,BD58)</f>
        <v>0</v>
      </c>
      <c r="BE61" s="16">
        <f>SUM(BE57,BE58)</f>
        <v>0</v>
      </c>
      <c r="BF61" s="16">
        <f>SUM(BF57,BF58)</f>
        <v>0</v>
      </c>
      <c r="BG61" s="16">
        <f>SUM(BG57,BG58)</f>
        <v>0</v>
      </c>
      <c r="BH61" s="16">
        <f>SUM(BH57,BH58)</f>
        <v>0</v>
      </c>
      <c r="BI61" s="16">
        <f>SUM(BI57,BI58)</f>
        <v>0</v>
      </c>
      <c r="BJ61" s="16">
        <f>SUM(BJ57,BJ58)</f>
        <v>0</v>
      </c>
      <c r="BK61" s="16">
        <f>SUM(BK57,BK58)</f>
        <v>0</v>
      </c>
      <c r="BL61" s="16">
        <f>SUM(BL57,BL58)</f>
        <v>0</v>
      </c>
      <c r="BM61" s="16">
        <f>SUM(BM57,BM58)</f>
        <v>0</v>
      </c>
      <c r="BN61" s="16">
        <f>SUM(BN57,BN58)</f>
        <v>0</v>
      </c>
      <c r="BO61" s="16">
        <f>SUM(BO57,BO58)</f>
        <v>0</v>
      </c>
      <c r="BP61" s="16">
        <f>SUM(BP57,BP58)</f>
        <v>0</v>
      </c>
      <c r="BQ61" s="16">
        <f>SUM(BQ57,BQ58)</f>
        <v>0</v>
      </c>
      <c r="BR61" s="16">
        <f>SUM(BR57,BR58)</f>
        <v>0</v>
      </c>
      <c r="BS61" s="16">
        <f>SUM(BS57,BS58)</f>
        <v>0</v>
      </c>
      <c r="BT61" s="16">
        <f>SUM(BT57,BT58)</f>
        <v>0</v>
      </c>
      <c r="BU61" s="16">
        <f>SUM(BU57,BU58)</f>
        <v>0</v>
      </c>
      <c r="BV61" s="16">
        <f>SUM(BV57,BV58)</f>
        <v>0</v>
      </c>
      <c r="BW61" s="16">
        <f>SUM(BW57,BW58)</f>
        <v>0</v>
      </c>
      <c r="BX61" s="16">
        <f>SUM(BX57,BX58)</f>
        <v>0</v>
      </c>
      <c r="BY61" s="16">
        <f>SUM(BY57,BY58)</f>
        <v>0</v>
      </c>
      <c r="BZ61" s="16">
        <f>SUM(BZ57,BZ58)</f>
        <v>0</v>
      </c>
      <c r="CA61" s="16">
        <f>SUM(CA57,CA58)</f>
        <v>0</v>
      </c>
      <c r="CB61" s="16">
        <f>SUM(CB57,CB58)</f>
        <v>0</v>
      </c>
      <c r="CC61" s="16">
        <f>SUM(CC57,CC58)</f>
        <v>0</v>
      </c>
      <c r="CD61" s="16">
        <f>SUM(CD57,CD58)</f>
        <v>0</v>
      </c>
      <c r="CE61" s="16">
        <f>SUM(CE57,CE58)</f>
        <v>0</v>
      </c>
      <c r="CF61" s="16">
        <f>SUM(CF57,CF58)</f>
        <v>0</v>
      </c>
      <c r="CG61" s="16">
        <f>SUM(CG57,CG58)</f>
        <v>0</v>
      </c>
      <c r="CH61" s="16">
        <f>SUM(CH57,CH58)</f>
        <v>0</v>
      </c>
      <c r="CI61" s="16">
        <f>SUM(CI57,CI58)</f>
        <v>0</v>
      </c>
      <c r="CJ61" s="16">
        <f>SUM(CJ57,CJ58)</f>
        <v>0</v>
      </c>
      <c r="CK61" s="16">
        <f>SUM(CK57,CK58)</f>
        <v>0</v>
      </c>
      <c r="CL61" s="16">
        <f>SUM(CL57,CL58)</f>
        <v>0</v>
      </c>
      <c r="CM61" s="16">
        <f>SUM(CM57,CM58)</f>
        <v>0</v>
      </c>
      <c r="CN61" s="16">
        <f>SUM(CN57,CN58)</f>
        <v>0</v>
      </c>
      <c r="CO61" s="16">
        <f>SUM(CO57,CO58)</f>
        <v>0</v>
      </c>
      <c r="CP61" s="16">
        <f>SUM(CP57,CP58)</f>
        <v>0</v>
      </c>
      <c r="CQ61" s="16">
        <f>SUM(CQ57,CQ58)</f>
        <v>0</v>
      </c>
      <c r="CR61" s="16">
        <f>SUM(CR57,CR58)</f>
        <v>0</v>
      </c>
      <c r="CS61" s="16">
        <f>SUM(CS57,CS58)</f>
        <v>0</v>
      </c>
      <c r="CT61" s="16">
        <f>SUM(CT57,CT58)</f>
        <v>0</v>
      </c>
      <c r="CU61" s="16">
        <f>SUM(CU57,CU58)</f>
        <v>0</v>
      </c>
      <c r="CV61" s="16">
        <f>SUM(CV57,CV58)</f>
        <v>0</v>
      </c>
      <c r="CW61" s="16">
        <f>SUM(CW57,CW58)</f>
        <v>0</v>
      </c>
      <c r="CX61" s="16">
        <f>SUM(CX57,CX58)</f>
        <v>0</v>
      </c>
      <c r="CY61" s="16">
        <f>SUM(CY57,CY58)</f>
        <v>0</v>
      </c>
    </row>
    <row r="62">
      <c r="C62" s="26" t="inlineStr">
        <is>
          <t>Interest Expense</t>
        </is>
      </c>
      <c r="D62" s="25">
        <f>INDEX('Inputs (2)'!$D$8:$AL$8,MATCH(D$7,'Inputs (2)'!$D$2:$AL$2,0))</f>
        <v>-487</v>
      </c>
      <c r="E62" s="25">
        <f>INDEX('Inputs (2)'!$D$8:$AL$8,MATCH(E$7,'Inputs (2)'!$D$2:$AL$2,0))</f>
        <v>-464</v>
      </c>
      <c r="F62" s="25">
        <f>INDEX('Inputs (2)'!$D$8:$AL$8,MATCH(F$7,'Inputs (2)'!$D$2:$AL$2,0))</f>
        <v>-420</v>
      </c>
      <c r="G62" s="25">
        <f>INDEX('Inputs (2)'!$D$8:$AL$8,MATCH(G$7,'Inputs (2)'!$D$2:$AL$2,0))</f>
        <v>-570</v>
      </c>
      <c r="H62" s="3">
        <f>SUM(D62:G62)</f>
        <v>-1941</v>
      </c>
      <c r="I62" s="25">
        <f>INDEX('Inputs (2)'!$D$8:$AL$8,MATCH(I$7,'Inputs (2)'!$D$2:$AL$2,0))</f>
        <v>-466</v>
      </c>
      <c r="J62" s="25">
        <f>INDEX('Inputs (2)'!$D$8:$AL$8,MATCH(J$7,'Inputs (2)'!$D$2:$AL$2,0))</f>
        <v>-415</v>
      </c>
      <c r="K62" s="25">
        <f>INDEX('Inputs (2)'!$D$8:$AL$8,MATCH(K$7,'Inputs (2)'!$D$2:$AL$2,0))</f>
        <v>-434</v>
      </c>
      <c r="L62" s="25">
        <f>INDEX('Inputs (2)'!$D$8:$AL$8,MATCH(L$7,'Inputs (2)'!$D$2:$AL$2,0))</f>
        <v>-407</v>
      </c>
      <c r="M62" s="3">
        <f>SUM(I62:L62)</f>
        <v>-1722</v>
      </c>
      <c r="N62" s="25">
        <f>INDEX('Inputs (2)'!$D$8:$AL$8,MATCH(N$7,'Inputs (2)'!$D$2:$AL$2,0))</f>
        <v>-518</v>
      </c>
      <c r="O62" s="25">
        <f>INDEX('Inputs (2)'!$D$8:$AL$8,MATCH(O$7,'Inputs (2)'!$D$2:$AL$2,0))</f>
        <v>-406</v>
      </c>
      <c r="P62" s="25">
        <f>INDEX('Inputs (2)'!$D$8:$AL$8,MATCH(P$7,'Inputs (2)'!$D$2:$AL$2,0))</f>
        <v>-406</v>
      </c>
      <c r="Q62" s="25">
        <f>INDEX('Inputs (2)'!$D$8:$AL$8,MATCH(Q$7,'Inputs (2)'!$D$2:$AL$2,0))</f>
        <v>-406</v>
      </c>
      <c r="R62" s="3">
        <f>SUM(N62:Q62)</f>
        <v>-1736</v>
      </c>
      <c r="S62" s="25">
        <f>INDEX('Inputs (2)'!$D$8:$AL$8,MATCH(S$7,'Inputs (2)'!$D$2:$AL$2,0))</f>
        <v>-405</v>
      </c>
      <c r="T62" s="25">
        <f>INDEX('Inputs (2)'!$D$8:$AL$8,MATCH(T$7,'Inputs (2)'!$D$2:$AL$2,0))</f>
        <v>-406</v>
      </c>
      <c r="U62" s="25">
        <f>INDEX('Inputs (2)'!$D$8:$AL$8,MATCH(U$7,'Inputs (2)'!$D$2:$AL$2,0))</f>
        <v>-405</v>
      </c>
      <c r="V62" s="25">
        <f>INDEX('Inputs (2)'!$D$8:$AL$8,MATCH(V$7,'Inputs (2)'!$D$2:$AL$2,0))</f>
        <v>-926</v>
      </c>
      <c r="W62" s="3">
        <f>SUM(S62:V62)</f>
        <v>-2142</v>
      </c>
      <c r="X62" s="25">
        <f>INDEX('Inputs (2)'!$D$8:$AL$8,MATCH(X$7,'Inputs (2)'!$D$2:$AL$2,0))</f>
        <v>-1047</v>
      </c>
      <c r="Y62" s="25">
        <f>INDEX('Inputs (2)'!$D$8:$AL$8,MATCH(Y$7,'Inputs (2)'!$D$2:$AL$2,0))</f>
        <v>-1064</v>
      </c>
      <c r="Z62" s="25">
        <f>INDEX('Inputs (2)'!$D$8:$AL$8,MATCH(Z$7,'Inputs (2)'!$D$2:$AL$2,0))</f>
        <v>-916</v>
      </c>
      <c r="AA62" s="25">
        <f>INDEX('Inputs (2)'!$D$8:$AL$8,MATCH(AA$7,'Inputs (2)'!$D$2:$AL$2,0))</f>
        <v>-873</v>
      </c>
      <c r="AB62" s="3">
        <f>SUM(X62:AA62)</f>
        <v>-3900</v>
      </c>
      <c r="AC62" s="25">
        <f>INDEX('Inputs (2)'!$D$8:$AL$8,MATCH(AC$7,'Inputs (2)'!$D$2:$AL$2,0))</f>
        <v>-769</v>
      </c>
      <c r="AD62" s="25">
        <f>INDEX('Inputs (2)'!$D$8:$AL$8,MATCH(AD$7,'Inputs (2)'!$D$2:$AL$2,0))</f>
        <v>-807</v>
      </c>
      <c r="AE62" s="25">
        <f>INDEX('Inputs (2)'!$D$8:$AL$8,MATCH(AE$7,'Inputs (2)'!$D$2:$AL$2,0))</f>
        <v>-761</v>
      </c>
      <c r="AF62" s="25">
        <f>INDEX('Inputs (2)'!$D$8:$AL$8,MATCH(AF$7,'Inputs (2)'!$D$2:$AL$2,0))</f>
        <v>-801</v>
      </c>
      <c r="AG62" s="3">
        <f>SUM(AC62:AF62)</f>
        <v>-3138</v>
      </c>
      <c r="AH62" s="3">
        <f>INDEX('Inputs (2)'!$D$8:$AL$8,MATCH(AH$7,'Inputs (2)'!$D$2:$AL$2,0))</f>
        <v>-776</v>
      </c>
      <c r="AI62" s="3">
        <f>INDEX('Inputs (2)'!$D$8:$AL$8,MATCH(AI$7,'Inputs (2)'!$D$2:$AL$2,0))</f>
        <v>-778</v>
      </c>
      <c r="AJ62" s="3" t="n"/>
      <c r="AK62" s="3" t="n"/>
      <c r="AL62" s="3">
        <f>SUM(AH62:AK62)</f>
        <v>-1554</v>
      </c>
      <c r="AM62" s="3" t="n"/>
      <c r="AN62" s="3" t="n"/>
      <c r="AO62" s="3" t="n"/>
      <c r="AP62" s="3" t="n"/>
      <c r="AQ62" s="3">
        <f>SUM(AM62:AP62)</f>
        <v>0</v>
      </c>
      <c r="AR62" s="3" t="n"/>
      <c r="AS62" s="3" t="n"/>
      <c r="AT62" s="3" t="n"/>
      <c r="AU62" s="3" t="n"/>
      <c r="AV62" s="3">
        <f>SUM(AR62:AU62)</f>
        <v>0</v>
      </c>
      <c r="AW62" s="3" t="n"/>
      <c r="AX62" s="3" t="n"/>
      <c r="AY62" s="3" t="n"/>
      <c r="AZ62" s="3" t="n"/>
      <c r="BA62" s="3">
        <f>SUM(AW62:AZ62)</f>
        <v>0</v>
      </c>
      <c r="BB62" s="3" t="n"/>
      <c r="BC62" s="3" t="n"/>
      <c r="BD62" s="3" t="n"/>
      <c r="BE62" s="3" t="n"/>
      <c r="BF62" s="3">
        <f>SUM(BB62:BE62)</f>
        <v>0</v>
      </c>
      <c r="BG62" s="3" t="n"/>
      <c r="BH62" s="3" t="n"/>
      <c r="BI62" s="3" t="n"/>
      <c r="BJ62" s="3" t="n"/>
      <c r="BK62" s="3">
        <f>SUM(BG62:BJ62)</f>
        <v>0</v>
      </c>
      <c r="BL62" s="3" t="n"/>
      <c r="BM62" s="3" t="n"/>
      <c r="BN62" s="3" t="n"/>
      <c r="BO62" s="3" t="n"/>
      <c r="BP62" s="3">
        <f>SUM(BL62:BO62)</f>
        <v>0</v>
      </c>
      <c r="BQ62" s="3" t="n"/>
      <c r="BR62" s="3" t="n"/>
      <c r="BS62" s="3" t="n"/>
      <c r="BT62" s="3" t="n"/>
      <c r="BU62" s="3">
        <f>SUM(BQ62:BT62)</f>
        <v>0</v>
      </c>
      <c r="BV62" s="3" t="n"/>
      <c r="BW62" s="3" t="n"/>
      <c r="BX62" s="3" t="n"/>
      <c r="BY62" s="3" t="n"/>
      <c r="BZ62" s="3">
        <f>SUM(BV62:BY62)</f>
        <v>0</v>
      </c>
      <c r="CA62" s="3" t="n"/>
      <c r="CB62" s="3" t="n"/>
      <c r="CC62" s="3" t="n"/>
      <c r="CD62" s="3" t="n"/>
      <c r="CE62" s="3">
        <f>SUM(CA62:CD62)</f>
        <v>0</v>
      </c>
      <c r="CF62" s="3" t="n"/>
      <c r="CG62" s="3" t="n"/>
      <c r="CH62" s="3" t="n"/>
      <c r="CI62" s="3" t="n"/>
      <c r="CJ62" s="3">
        <f>SUM(CF62:CI62)</f>
        <v>0</v>
      </c>
      <c r="CK62" s="3" t="n"/>
      <c r="CL62" s="3" t="n"/>
      <c r="CM62" s="3" t="n"/>
      <c r="CN62" s="3" t="n"/>
      <c r="CO62" s="3">
        <f>SUM(CK62:CN62)</f>
        <v>0</v>
      </c>
      <c r="CP62" s="3" t="n"/>
      <c r="CQ62" s="3" t="n"/>
      <c r="CR62" s="3" t="n"/>
      <c r="CS62" s="3" t="n"/>
      <c r="CT62" s="3">
        <f>SUM(CP62:CS62)</f>
        <v>0</v>
      </c>
      <c r="CU62" s="3" t="n"/>
      <c r="CV62" s="3" t="n"/>
      <c r="CW62" s="3" t="n"/>
      <c r="CX62" s="3" t="n"/>
      <c r="CY62" s="3">
        <f>SUM(CU62:CX62)</f>
        <v>0</v>
      </c>
    </row>
    <row r="63" hidden="1" outlineLevel="1">
      <c r="C63" s="32" t="inlineStr">
        <is>
          <t>% of Debt</t>
        </is>
      </c>
      <c r="D63" s="48">
        <f>IFERROR(-D62/SUM(D200+D205),0)</f>
        <v>0.0106185814272943</v>
      </c>
      <c r="E63" s="48">
        <f>IFERROR(-E62/SUM(E200+E205),0)</f>
        <v>0.010539945028735</v>
      </c>
      <c r="F63" s="48">
        <f>IFERROR(-F62/SUM(F200+F205),0)</f>
        <v>0.0102284350494374</v>
      </c>
      <c r="G63" s="48">
        <f>IFERROR(-G62/SUM(G200+G205),0)</f>
        <v>0.0135934369932271</v>
      </c>
      <c r="H63" s="3" t="n"/>
      <c r="I63" s="48">
        <f>IFERROR(-I62/SUM(I200+I205),0)</f>
        <v>0.0115238142341362</v>
      </c>
      <c r="J63" s="48">
        <f>IFERROR(-J62/SUM(J200+J205),0)</f>
        <v>0.0102578045826433</v>
      </c>
      <c r="K63" s="48">
        <f>IFERROR(-K62/SUM(K200+K205),0)</f>
        <v>0.0109237352126856</v>
      </c>
      <c r="L63" s="48">
        <f>IFERROR(-L62/SUM(L200+L205),0)</f>
        <v>0.0103024933552715</v>
      </c>
      <c r="M63" s="3" t="n"/>
      <c r="N63" s="48">
        <f>IFERROR(-N62/SUM(N200+N205),0)</f>
        <v>0.0131252217098262</v>
      </c>
      <c r="O63" s="48">
        <f>IFERROR(-O62/SUM(O200+O205),0)</f>
        <v>0.0102797822509178</v>
      </c>
      <c r="P63" s="48">
        <f>IFERROR(-P62/SUM(P200+P205),0)</f>
        <v>0.0102745792736935</v>
      </c>
      <c r="Q63" s="48">
        <f>IFERROR(-Q62/SUM(Q200+Q205),0)</f>
        <v>0.0103355226312306</v>
      </c>
      <c r="R63" s="3" t="n"/>
      <c r="S63" s="48">
        <f>IFERROR(-S62/SUM(S200+S205),0)</f>
        <v>0.0103024598712828</v>
      </c>
      <c r="T63" s="48">
        <f>IFERROR(-T62/SUM(T200+T205),0)</f>
        <v>0.0103200223685214</v>
      </c>
      <c r="U63" s="48">
        <f>IFERROR(-U62/SUM(U200+U205),0)</f>
        <v>0.0103239950036962</v>
      </c>
      <c r="V63" s="48">
        <f>IFERROR(-V62/SUM(V200+V205),0)</f>
        <v>0.0122001027654445</v>
      </c>
      <c r="W63" s="3" t="n"/>
      <c r="X63" s="48">
        <f>IFERROR(-X62/SUM(X200+X205),0)</f>
        <v>0.0141455901426719</v>
      </c>
      <c r="Y63" s="48">
        <f>IFERROR(-Y62/SUM(Y200+Y205),0)</f>
        <v>0.0152089080747295</v>
      </c>
      <c r="Z63" s="48">
        <f>IFERROR(-Z62/SUM(Z200+Z205),0)</f>
        <v>0.013557114525057</v>
      </c>
      <c r="AA63" s="48">
        <f>IFERROR(-AA62/SUM(AA200+AA205),0)</f>
        <v>0.0131122425990177</v>
      </c>
      <c r="AB63" s="3" t="n"/>
      <c r="AC63" s="48">
        <f>IFERROR(-AC62/SUM(AC200+AC205),0)</f>
        <v>0.011429505662733</v>
      </c>
      <c r="AD63" s="48">
        <f>IFERROR(-AD62/SUM(AD200+AD205),0)</f>
        <v>0.0125644179420511</v>
      </c>
      <c r="AE63" s="48">
        <f>IFERROR(-AE62/SUM(AE200+AE205),0)</f>
        <v>0.0116832473593712</v>
      </c>
      <c r="AF63" s="231">
        <f>IFERROR(-AF62/SUM(AF200+AF205),0)</f>
        <v>0.0121258912757164</v>
      </c>
      <c r="AG63" s="3" t="n"/>
      <c r="AH63" s="6">
        <f>IFERROR(-AH62/SUM(AH200+AH205),0)</f>
        <v>0.0119555671961422</v>
      </c>
      <c r="AI63" s="6">
        <f>IFERROR(-AI62/SUM(AI200+AI205),0)</f>
        <v>0.0130934549554856</v>
      </c>
      <c r="AJ63" s="6" t="n"/>
      <c r="AK63" s="6" t="n"/>
      <c r="AL63" s="3" t="n"/>
      <c r="AM63" s="6" t="n"/>
      <c r="AN63" s="6" t="n"/>
      <c r="AO63" s="6" t="n"/>
      <c r="AP63" s="6" t="n"/>
      <c r="AQ63" s="3" t="n"/>
      <c r="AR63" s="6" t="n"/>
      <c r="AS63" s="6" t="n"/>
      <c r="AT63" s="6" t="n"/>
      <c r="AU63" s="6" t="n"/>
      <c r="AV63" s="3" t="n"/>
      <c r="AW63" s="6" t="n"/>
      <c r="AX63" s="6" t="n"/>
      <c r="AY63" s="6" t="n"/>
      <c r="AZ63" s="6" t="n"/>
      <c r="BA63" s="3" t="n"/>
      <c r="BB63" s="6" t="n"/>
      <c r="BC63" s="6" t="n"/>
      <c r="BD63" s="6" t="n"/>
      <c r="BE63" s="6" t="n"/>
      <c r="BF63" s="3" t="n"/>
      <c r="BG63" s="6" t="n"/>
      <c r="BH63" s="6" t="n"/>
      <c r="BI63" s="6" t="n"/>
      <c r="BJ63" s="6" t="n"/>
      <c r="BK63" s="3" t="n"/>
      <c r="BL63" s="6" t="n"/>
      <c r="BM63" s="6" t="n"/>
      <c r="BN63" s="6" t="n"/>
      <c r="BO63" s="6" t="n"/>
      <c r="BP63" s="3" t="n"/>
      <c r="BQ63" s="6" t="n"/>
      <c r="BR63" s="6" t="n"/>
      <c r="BS63" s="6" t="n"/>
      <c r="BT63" s="6" t="n"/>
      <c r="BU63" s="3" t="n"/>
      <c r="BV63" s="6" t="n"/>
      <c r="BW63" s="6" t="n"/>
      <c r="BX63" s="6" t="n"/>
      <c r="BY63" s="6" t="n"/>
      <c r="BZ63" s="3" t="n"/>
      <c r="CA63" s="6" t="n"/>
      <c r="CB63" s="6" t="n"/>
      <c r="CC63" s="6" t="n"/>
      <c r="CD63" s="6" t="n"/>
      <c r="CE63" s="3" t="n"/>
      <c r="CF63" s="6" t="n"/>
      <c r="CG63" s="6" t="n"/>
      <c r="CH63" s="6" t="n"/>
      <c r="CI63" s="6" t="n"/>
      <c r="CJ63" s="3" t="n"/>
      <c r="CK63" s="6" t="n"/>
      <c r="CL63" s="6" t="n"/>
      <c r="CM63" s="6" t="n"/>
      <c r="CN63" s="6" t="n"/>
      <c r="CO63" s="3" t="n"/>
      <c r="CP63" s="6" t="n"/>
      <c r="CQ63" s="6" t="n"/>
      <c r="CR63" s="6" t="n"/>
      <c r="CS63" s="6" t="n"/>
      <c r="CT63" s="3" t="n"/>
      <c r="CU63" s="6" t="n"/>
      <c r="CV63" s="6" t="n"/>
      <c r="CW63" s="6" t="n"/>
      <c r="CX63" s="6" t="n"/>
      <c r="CY63" s="3" t="n"/>
    </row>
    <row r="64" hidden="1" outlineLevel="1">
      <c r="C64" s="32" t="inlineStr">
        <is>
          <t>%CDI</t>
        </is>
      </c>
      <c r="D64" s="6" t="n"/>
      <c r="E64" s="6" t="n"/>
      <c r="F64" s="6" t="n"/>
      <c r="G64" s="6" t="n"/>
      <c r="H64" s="3" t="n"/>
      <c r="I64" s="6" t="n"/>
      <c r="J64" s="6" t="n"/>
      <c r="K64" s="6" t="n"/>
      <c r="L64" s="6" t="n"/>
      <c r="M64" s="3" t="n"/>
      <c r="N64" s="6" t="n"/>
      <c r="O64" s="6" t="n"/>
      <c r="P64" s="6" t="n"/>
      <c r="Q64" s="6" t="n"/>
      <c r="R64" s="3" t="n"/>
      <c r="S64" s="6" t="n"/>
      <c r="T64" s="6" t="n"/>
      <c r="U64" s="6" t="n"/>
      <c r="V64" s="6" t="n"/>
      <c r="W64" s="3" t="n"/>
      <c r="X64" s="6" t="n"/>
      <c r="Y64" s="6" t="n"/>
      <c r="Z64" s="6" t="n"/>
      <c r="AA64" s="6" t="n"/>
      <c r="AB64" s="3" t="n"/>
      <c r="AC64" s="6" t="n"/>
      <c r="AD64" s="6" t="n"/>
      <c r="AE64" s="6" t="n"/>
      <c r="AF64" s="6" t="n"/>
      <c r="AG64" s="3" t="n"/>
      <c r="AH64" s="6" t="n"/>
      <c r="AI64" s="6" t="n"/>
      <c r="AJ64" s="6" t="n"/>
      <c r="AK64" s="6" t="n"/>
      <c r="AL64" s="3" t="n"/>
      <c r="AM64" s="6" t="n"/>
      <c r="AN64" s="6" t="n"/>
      <c r="AO64" s="6" t="n"/>
      <c r="AP64" s="6" t="n"/>
      <c r="AQ64" s="3" t="n"/>
      <c r="AR64" s="6" t="n"/>
      <c r="AS64" s="6" t="n"/>
      <c r="AT64" s="6" t="n"/>
      <c r="AU64" s="6" t="n"/>
      <c r="AV64" s="3" t="n"/>
      <c r="AW64" s="6" t="n"/>
      <c r="AX64" s="6" t="n"/>
      <c r="AY64" s="6" t="n"/>
      <c r="AZ64" s="6" t="n"/>
      <c r="BA64" s="3" t="n"/>
      <c r="BB64" s="6" t="n"/>
      <c r="BC64" s="6" t="n"/>
      <c r="BD64" s="6" t="n"/>
      <c r="BE64" s="6" t="n"/>
      <c r="BF64" s="3" t="n"/>
      <c r="BG64" s="6" t="n"/>
      <c r="BH64" s="6" t="n"/>
      <c r="BI64" s="6" t="n"/>
      <c r="BJ64" s="6" t="n"/>
      <c r="BK64" s="3" t="n"/>
      <c r="BL64" s="6" t="n"/>
      <c r="BM64" s="6" t="n"/>
      <c r="BN64" s="6" t="n"/>
      <c r="BO64" s="6" t="n"/>
      <c r="BP64" s="3" t="n"/>
      <c r="BQ64" s="6" t="n"/>
      <c r="BR64" s="6" t="n"/>
      <c r="BS64" s="6" t="n"/>
      <c r="BT64" s="6" t="n"/>
      <c r="BU64" s="3" t="n"/>
      <c r="BV64" s="6" t="n"/>
      <c r="BW64" s="6" t="n"/>
      <c r="BX64" s="6" t="n"/>
      <c r="BY64" s="6" t="n"/>
      <c r="BZ64" s="3" t="n"/>
      <c r="CA64" s="6" t="n"/>
      <c r="CB64" s="6" t="n"/>
      <c r="CC64" s="6" t="n"/>
      <c r="CD64" s="6" t="n"/>
      <c r="CE64" s="3" t="n"/>
      <c r="CF64" s="6" t="n"/>
      <c r="CG64" s="6" t="n"/>
      <c r="CH64" s="6" t="n"/>
      <c r="CI64" s="6" t="n"/>
      <c r="CJ64" s="3" t="n"/>
      <c r="CK64" s="6" t="n"/>
      <c r="CL64" s="6" t="n"/>
      <c r="CM64" s="6" t="n"/>
      <c r="CN64" s="6" t="n"/>
      <c r="CO64" s="3" t="n"/>
      <c r="CP64" s="6" t="n"/>
      <c r="CQ64" s="6" t="n"/>
      <c r="CR64" s="6" t="n"/>
      <c r="CS64" s="6" t="n"/>
      <c r="CT64" s="3" t="n"/>
      <c r="CU64" s="6" t="n"/>
      <c r="CV64" s="6" t="n"/>
      <c r="CW64" s="6" t="n"/>
      <c r="CX64" s="6" t="n"/>
      <c r="CY64" s="3" t="n"/>
    </row>
    <row r="65" hidden="1" outlineLevel="1">
      <c r="C65" s="34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  <c r="AA65" s="3" t="n"/>
      <c r="AB65" s="3" t="n"/>
      <c r="AC65" s="3" t="n"/>
      <c r="AD65" s="3" t="n"/>
      <c r="AE65" s="3" t="n"/>
      <c r="AF65" s="3" t="n"/>
      <c r="AG65" s="3" t="n"/>
      <c r="AH65" s="3" t="n"/>
      <c r="AI65" s="3" t="n"/>
      <c r="AJ65" s="3" t="n"/>
      <c r="AK65" s="3" t="n"/>
      <c r="AL65" s="3" t="n"/>
      <c r="AM65" s="3" t="n"/>
      <c r="AN65" s="3" t="n"/>
      <c r="AO65" s="3" t="n"/>
      <c r="AP65" s="3" t="n"/>
      <c r="AQ65" s="3" t="n"/>
      <c r="AR65" s="3" t="n"/>
      <c r="AS65" s="3" t="n"/>
      <c r="AT65" s="3" t="n"/>
      <c r="AU65" s="3" t="n"/>
      <c r="AV65" s="3" t="n"/>
      <c r="AW65" s="3" t="n"/>
      <c r="AX65" s="3" t="n"/>
      <c r="AY65" s="3" t="n"/>
      <c r="AZ65" s="3" t="n"/>
      <c r="BA65" s="3" t="n"/>
      <c r="BB65" s="3" t="n"/>
      <c r="BC65" s="3" t="n"/>
      <c r="BD65" s="3" t="n"/>
      <c r="BE65" s="3" t="n"/>
      <c r="BF65" s="3" t="n"/>
      <c r="BG65" s="3" t="n"/>
      <c r="BH65" s="3" t="n"/>
      <c r="BI65" s="3" t="n"/>
      <c r="BJ65" s="3" t="n"/>
      <c r="BK65" s="3" t="n"/>
      <c r="BL65" s="3" t="n"/>
      <c r="BM65" s="3" t="n"/>
      <c r="BN65" s="3" t="n"/>
      <c r="BO65" s="3" t="n"/>
      <c r="BP65" s="3" t="n"/>
      <c r="BQ65" s="3" t="n"/>
      <c r="BR65" s="3" t="n"/>
      <c r="BS65" s="3" t="n"/>
      <c r="BT65" s="3" t="n"/>
      <c r="BU65" s="3" t="n"/>
      <c r="BV65" s="3" t="n"/>
      <c r="BW65" s="3" t="n"/>
      <c r="BX65" s="3" t="n"/>
      <c r="BY65" s="3" t="n"/>
      <c r="BZ65" s="3" t="n"/>
      <c r="CA65" s="3" t="n"/>
      <c r="CB65" s="3" t="n"/>
      <c r="CC65" s="3" t="n"/>
      <c r="CD65" s="3" t="n"/>
      <c r="CE65" s="3" t="n"/>
      <c r="CF65" s="3" t="n"/>
      <c r="CG65" s="3" t="n"/>
      <c r="CH65" s="3" t="n"/>
      <c r="CI65" s="3" t="n"/>
      <c r="CJ65" s="3" t="n"/>
      <c r="CK65" s="3" t="n"/>
      <c r="CL65" s="3" t="n"/>
      <c r="CM65" s="3" t="n"/>
      <c r="CN65" s="3" t="n"/>
      <c r="CO65" s="3" t="n"/>
      <c r="CP65" s="3" t="n"/>
      <c r="CQ65" s="3" t="n"/>
      <c r="CR65" s="3" t="n"/>
      <c r="CS65" s="3" t="n"/>
      <c r="CT65" s="3" t="n"/>
      <c r="CU65" s="3" t="n"/>
      <c r="CV65" s="3" t="n"/>
      <c r="CW65" s="3" t="n"/>
      <c r="CX65" s="3" t="n"/>
      <c r="CY65" s="3" t="n"/>
    </row>
    <row r="66" hidden="1" outlineLevel="1">
      <c r="C66" s="34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  <c r="AA66" s="3" t="n"/>
      <c r="AB66" s="3" t="n"/>
      <c r="AC66" s="3" t="n"/>
      <c r="AD66" s="3" t="n"/>
      <c r="AE66" s="3" t="n"/>
      <c r="AF66" s="3" t="n"/>
      <c r="AG66" s="3" t="n"/>
      <c r="AH66" s="3" t="n"/>
      <c r="AI66" s="3" t="n"/>
      <c r="AJ66" s="3" t="n"/>
      <c r="AK66" s="3" t="n"/>
      <c r="AL66" s="3" t="n"/>
      <c r="AM66" s="3" t="n"/>
      <c r="AN66" s="3" t="n"/>
      <c r="AO66" s="3" t="n"/>
      <c r="AP66" s="3" t="n"/>
      <c r="AQ66" s="3" t="n"/>
      <c r="AR66" s="3" t="n"/>
      <c r="AS66" s="3" t="n"/>
      <c r="AT66" s="3" t="n"/>
      <c r="AU66" s="3" t="n"/>
      <c r="AV66" s="3" t="n"/>
      <c r="AW66" s="3" t="n"/>
      <c r="AX66" s="3" t="n"/>
      <c r="AY66" s="3" t="n"/>
      <c r="AZ66" s="3" t="n"/>
      <c r="BA66" s="3" t="n"/>
      <c r="BB66" s="3" t="n"/>
      <c r="BC66" s="3" t="n"/>
      <c r="BD66" s="3" t="n"/>
      <c r="BE66" s="3" t="n"/>
      <c r="BF66" s="3" t="n"/>
      <c r="BG66" s="3" t="n"/>
      <c r="BH66" s="3" t="n"/>
      <c r="BI66" s="3" t="n"/>
      <c r="BJ66" s="3" t="n"/>
      <c r="BK66" s="3" t="n"/>
      <c r="BL66" s="3" t="n"/>
      <c r="BM66" s="3" t="n"/>
      <c r="BN66" s="3" t="n"/>
      <c r="BO66" s="3" t="n"/>
      <c r="BP66" s="3" t="n"/>
      <c r="BQ66" s="3" t="n"/>
      <c r="BR66" s="3" t="n"/>
      <c r="BS66" s="3" t="n"/>
      <c r="BT66" s="3" t="n"/>
      <c r="BU66" s="3" t="n"/>
      <c r="BV66" s="3" t="n"/>
      <c r="BW66" s="3" t="n"/>
      <c r="BX66" s="3" t="n"/>
      <c r="BY66" s="3" t="n"/>
      <c r="BZ66" s="3" t="n"/>
      <c r="CA66" s="3" t="n"/>
      <c r="CB66" s="3" t="n"/>
      <c r="CC66" s="3" t="n"/>
      <c r="CD66" s="3" t="n"/>
      <c r="CE66" s="3" t="n"/>
      <c r="CF66" s="3" t="n"/>
      <c r="CG66" s="3" t="n"/>
      <c r="CH66" s="3" t="n"/>
      <c r="CI66" s="3" t="n"/>
      <c r="CJ66" s="3" t="n"/>
      <c r="CK66" s="3" t="n"/>
      <c r="CL66" s="3" t="n"/>
      <c r="CM66" s="3" t="n"/>
      <c r="CN66" s="3" t="n"/>
      <c r="CO66" s="3" t="n"/>
      <c r="CP66" s="3" t="n"/>
      <c r="CQ66" s="3" t="n"/>
      <c r="CR66" s="3" t="n"/>
      <c r="CS66" s="3" t="n"/>
      <c r="CT66" s="3" t="n"/>
      <c r="CU66" s="3" t="n"/>
      <c r="CV66" s="3" t="n"/>
      <c r="CW66" s="3" t="n"/>
      <c r="CX66" s="3" t="n"/>
      <c r="CY66" s="3" t="n"/>
    </row>
    <row r="67" hidden="1" outlineLevel="1">
      <c r="C67" s="34" t="inlineStr">
        <is>
          <t>RECEITA FINANCEIRA</t>
        </is>
      </c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  <c r="AA67" s="3" t="n"/>
      <c r="AB67" s="3" t="n"/>
      <c r="AC67" s="3" t="n"/>
      <c r="AD67" s="3" t="n"/>
      <c r="AE67" s="3" t="n"/>
      <c r="AF67" s="3" t="n"/>
      <c r="AG67" s="3" t="n"/>
      <c r="AH67" s="3" t="n"/>
      <c r="AI67" s="3" t="n"/>
      <c r="AJ67" s="3" t="n"/>
      <c r="AK67" s="3" t="n"/>
      <c r="AL67" s="3" t="n"/>
      <c r="AM67" s="3" t="n"/>
      <c r="AN67" s="3" t="n"/>
      <c r="AO67" s="3" t="n"/>
      <c r="AP67" s="3" t="n"/>
      <c r="AQ67" s="3" t="n"/>
      <c r="AR67" s="3" t="n"/>
      <c r="AS67" s="3" t="n"/>
      <c r="AT67" s="3" t="n"/>
      <c r="AU67" s="3" t="n"/>
      <c r="AV67" s="3" t="n"/>
      <c r="AW67" s="3" t="n"/>
      <c r="AX67" s="3" t="n"/>
      <c r="AY67" s="3" t="n"/>
      <c r="AZ67" s="3" t="n"/>
      <c r="BA67" s="3" t="n"/>
      <c r="BB67" s="3" t="n"/>
      <c r="BC67" s="3" t="n"/>
      <c r="BD67" s="3" t="n"/>
      <c r="BE67" s="3" t="n"/>
      <c r="BF67" s="3" t="n"/>
      <c r="BG67" s="3" t="n"/>
      <c r="BH67" s="3" t="n"/>
      <c r="BI67" s="3" t="n"/>
      <c r="BJ67" s="3" t="n"/>
      <c r="BK67" s="3" t="n"/>
      <c r="BL67" s="3" t="n"/>
      <c r="BM67" s="3" t="n"/>
      <c r="BN67" s="3" t="n"/>
      <c r="BO67" s="3" t="n"/>
      <c r="BP67" s="3" t="n"/>
      <c r="BQ67" s="3" t="n"/>
      <c r="BR67" s="3" t="n"/>
      <c r="BS67" s="3" t="n"/>
      <c r="BT67" s="3" t="n"/>
      <c r="BU67" s="3" t="n"/>
      <c r="BV67" s="3" t="n"/>
      <c r="BW67" s="3" t="n"/>
      <c r="BX67" s="3" t="n"/>
      <c r="BY67" s="3" t="n"/>
      <c r="BZ67" s="3" t="n"/>
      <c r="CA67" s="3" t="n"/>
      <c r="CB67" s="3" t="n"/>
      <c r="CC67" s="3" t="n"/>
      <c r="CD67" s="3" t="n"/>
      <c r="CE67" s="3" t="n"/>
      <c r="CF67" s="3" t="n"/>
      <c r="CG67" s="3" t="n"/>
      <c r="CH67" s="3" t="n"/>
      <c r="CI67" s="3" t="n"/>
      <c r="CJ67" s="3" t="n"/>
      <c r="CK67" s="3" t="n"/>
      <c r="CL67" s="3" t="n"/>
      <c r="CM67" s="3" t="n"/>
      <c r="CN67" s="3" t="n"/>
      <c r="CO67" s="3" t="n"/>
      <c r="CP67" s="3" t="n"/>
      <c r="CQ67" s="3" t="n"/>
      <c r="CR67" s="3" t="n"/>
      <c r="CS67" s="3" t="n"/>
      <c r="CT67" s="3" t="n"/>
      <c r="CU67" s="3" t="n"/>
      <c r="CV67" s="3" t="n"/>
      <c r="CW67" s="3" t="n"/>
      <c r="CX67" s="3" t="n"/>
      <c r="CY67" s="3" t="n"/>
    </row>
    <row r="68" hidden="1" outlineLevel="1">
      <c r="C68" s="34" t="inlineStr">
        <is>
          <t>DESPESA FINANCEIRA</t>
        </is>
      </c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  <c r="AA68" s="3" t="n"/>
      <c r="AB68" s="3" t="n"/>
      <c r="AC68" s="3" t="n"/>
      <c r="AD68" s="3" t="n"/>
      <c r="AE68" s="3" t="n"/>
      <c r="AF68" s="3" t="n"/>
      <c r="AG68" s="3" t="n"/>
      <c r="AH68" s="3" t="n"/>
      <c r="AI68" s="3" t="n"/>
      <c r="AJ68" s="3" t="n"/>
      <c r="AK68" s="3" t="n"/>
      <c r="AL68" s="3" t="n"/>
      <c r="AM68" s="3" t="n"/>
      <c r="AN68" s="3" t="n"/>
      <c r="AO68" s="3" t="n"/>
      <c r="AP68" s="3" t="n"/>
      <c r="AQ68" s="3" t="n"/>
      <c r="AR68" s="3" t="n"/>
      <c r="AS68" s="3" t="n"/>
      <c r="AT68" s="3" t="n"/>
      <c r="AU68" s="3" t="n"/>
      <c r="AV68" s="3" t="n"/>
      <c r="AW68" s="3" t="n"/>
      <c r="AX68" s="3" t="n"/>
      <c r="AY68" s="3" t="n"/>
      <c r="AZ68" s="3" t="n"/>
      <c r="BA68" s="3" t="n"/>
      <c r="BB68" s="3" t="n"/>
      <c r="BC68" s="3" t="n"/>
      <c r="BD68" s="3" t="n"/>
      <c r="BE68" s="3" t="n"/>
      <c r="BF68" s="3" t="n"/>
      <c r="BG68" s="3" t="n"/>
      <c r="BH68" s="3" t="n"/>
      <c r="BI68" s="3" t="n"/>
      <c r="BJ68" s="3" t="n"/>
      <c r="BK68" s="3" t="n"/>
      <c r="BL68" s="3" t="n"/>
      <c r="BM68" s="3" t="n"/>
      <c r="BN68" s="3" t="n"/>
      <c r="BO68" s="3" t="n"/>
      <c r="BP68" s="3" t="n"/>
      <c r="BQ68" s="3" t="n"/>
      <c r="BR68" s="3" t="n"/>
      <c r="BS68" s="3" t="n"/>
      <c r="BT68" s="3" t="n"/>
      <c r="BU68" s="3" t="n"/>
      <c r="BV68" s="3" t="n"/>
      <c r="BW68" s="3" t="n"/>
      <c r="BX68" s="3" t="n"/>
      <c r="BY68" s="3" t="n"/>
      <c r="BZ68" s="3" t="n"/>
      <c r="CA68" s="3" t="n"/>
      <c r="CB68" s="3" t="n"/>
      <c r="CC68" s="3" t="n"/>
      <c r="CD68" s="3" t="n"/>
      <c r="CE68" s="3" t="n"/>
      <c r="CF68" s="3" t="n"/>
      <c r="CG68" s="3" t="n"/>
      <c r="CH68" s="3" t="n"/>
      <c r="CI68" s="3" t="n"/>
      <c r="CJ68" s="3" t="n"/>
      <c r="CK68" s="3" t="n"/>
      <c r="CL68" s="3" t="n"/>
      <c r="CM68" s="3" t="n"/>
      <c r="CN68" s="3" t="n"/>
      <c r="CO68" s="3" t="n"/>
      <c r="CP68" s="3" t="n"/>
      <c r="CQ68" s="3" t="n"/>
      <c r="CR68" s="3" t="n"/>
      <c r="CS68" s="3" t="n"/>
      <c r="CT68" s="3" t="n"/>
      <c r="CU68" s="3" t="n"/>
      <c r="CV68" s="3" t="n"/>
      <c r="CW68" s="3" t="n"/>
      <c r="CX68" s="3" t="n"/>
      <c r="CY68" s="3" t="n"/>
    </row>
    <row r="69" hidden="1" outlineLevel="1">
      <c r="C69" s="34" t="inlineStr">
        <is>
          <t>OUTROS</t>
        </is>
      </c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  <c r="AA69" s="3" t="n"/>
      <c r="AB69" s="3" t="n"/>
      <c r="AC69" s="3" t="n"/>
      <c r="AD69" s="3" t="n"/>
      <c r="AE69" s="3" t="n"/>
      <c r="AF69" s="3" t="n"/>
      <c r="AG69" s="3" t="n"/>
      <c r="AH69" s="3" t="n"/>
      <c r="AI69" s="3" t="n"/>
      <c r="AJ69" s="3" t="n"/>
      <c r="AK69" s="3" t="n"/>
      <c r="AL69" s="3" t="n"/>
      <c r="AM69" s="3" t="n"/>
      <c r="AN69" s="3" t="n"/>
      <c r="AO69" s="3" t="n"/>
      <c r="AP69" s="3" t="n"/>
      <c r="AQ69" s="3" t="n"/>
      <c r="AR69" s="3" t="n"/>
      <c r="AS69" s="3" t="n"/>
      <c r="AT69" s="3" t="n"/>
      <c r="AU69" s="3" t="n"/>
      <c r="AV69" s="3" t="n"/>
      <c r="AW69" s="3" t="n"/>
      <c r="AX69" s="3" t="n"/>
      <c r="AY69" s="3" t="n"/>
      <c r="AZ69" s="3" t="n"/>
      <c r="BA69" s="3" t="n"/>
      <c r="BB69" s="3" t="n"/>
      <c r="BC69" s="3" t="n"/>
      <c r="BD69" s="3" t="n"/>
      <c r="BE69" s="3" t="n"/>
      <c r="BF69" s="3" t="n"/>
      <c r="BG69" s="3" t="n"/>
      <c r="BH69" s="3" t="n"/>
      <c r="BI69" s="3" t="n"/>
      <c r="BJ69" s="3" t="n"/>
      <c r="BK69" s="3" t="n"/>
      <c r="BL69" s="3" t="n"/>
      <c r="BM69" s="3" t="n"/>
      <c r="BN69" s="3" t="n"/>
      <c r="BO69" s="3" t="n"/>
      <c r="BP69" s="3" t="n"/>
      <c r="BQ69" s="3" t="n"/>
      <c r="BR69" s="3" t="n"/>
      <c r="BS69" s="3" t="n"/>
      <c r="BT69" s="3" t="n"/>
      <c r="BU69" s="3" t="n"/>
      <c r="BV69" s="3" t="n"/>
      <c r="BW69" s="3" t="n"/>
      <c r="BX69" s="3" t="n"/>
      <c r="BY69" s="3" t="n"/>
      <c r="BZ69" s="3" t="n"/>
      <c r="CA69" s="3" t="n"/>
      <c r="CB69" s="3" t="n"/>
      <c r="CC69" s="3" t="n"/>
      <c r="CD69" s="3" t="n"/>
      <c r="CE69" s="3" t="n"/>
      <c r="CF69" s="3" t="n"/>
      <c r="CG69" s="3" t="n"/>
      <c r="CH69" s="3" t="n"/>
      <c r="CI69" s="3" t="n"/>
      <c r="CJ69" s="3" t="n"/>
      <c r="CK69" s="3" t="n"/>
      <c r="CL69" s="3" t="n"/>
      <c r="CM69" s="3" t="n"/>
      <c r="CN69" s="3" t="n"/>
      <c r="CO69" s="3" t="n"/>
      <c r="CP69" s="3" t="n"/>
      <c r="CQ69" s="3" t="n"/>
      <c r="CR69" s="3" t="n"/>
      <c r="CS69" s="3" t="n"/>
      <c r="CT69" s="3" t="n"/>
      <c r="CU69" s="3" t="n"/>
      <c r="CV69" s="3" t="n"/>
      <c r="CW69" s="3" t="n"/>
      <c r="CX69" s="3" t="n"/>
      <c r="CY69" s="3" t="n"/>
    </row>
    <row r="70" hidden="1" outlineLevel="1">
      <c r="C70" s="34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  <c r="AA70" s="3" t="n"/>
      <c r="AB70" s="3" t="n"/>
      <c r="AC70" s="3" t="n"/>
      <c r="AD70" s="3" t="n"/>
      <c r="AE70" s="3" t="n"/>
      <c r="AF70" s="3" t="n"/>
      <c r="AG70" s="3" t="n"/>
      <c r="AH70" s="3" t="n"/>
      <c r="AI70" s="3" t="n"/>
      <c r="AJ70" s="3" t="n"/>
      <c r="AK70" s="3" t="n"/>
      <c r="AL70" s="3" t="n"/>
      <c r="AM70" s="3" t="n"/>
      <c r="AN70" s="3" t="n"/>
      <c r="AO70" s="3" t="n"/>
      <c r="AP70" s="3" t="n"/>
      <c r="AQ70" s="3" t="n"/>
      <c r="AR70" s="3" t="n"/>
      <c r="AS70" s="3" t="n"/>
      <c r="AT70" s="3" t="n"/>
      <c r="AU70" s="3" t="n"/>
      <c r="AV70" s="3" t="n"/>
      <c r="AW70" s="3" t="n"/>
      <c r="AX70" s="3" t="n"/>
      <c r="AY70" s="3" t="n"/>
      <c r="AZ70" s="3" t="n"/>
      <c r="BA70" s="3" t="n"/>
      <c r="BB70" s="3" t="n"/>
      <c r="BC70" s="3" t="n"/>
      <c r="BD70" s="3" t="n"/>
      <c r="BE70" s="3" t="n"/>
      <c r="BF70" s="3" t="n"/>
      <c r="BG70" s="3" t="n"/>
      <c r="BH70" s="3" t="n"/>
      <c r="BI70" s="3" t="n"/>
      <c r="BJ70" s="3" t="n"/>
      <c r="BK70" s="3" t="n"/>
      <c r="BL70" s="3" t="n"/>
      <c r="BM70" s="3" t="n"/>
      <c r="BN70" s="3" t="n"/>
      <c r="BO70" s="3" t="n"/>
      <c r="BP70" s="3" t="n"/>
      <c r="BQ70" s="3" t="n"/>
      <c r="BR70" s="3" t="n"/>
      <c r="BS70" s="3" t="n"/>
      <c r="BT70" s="3" t="n"/>
      <c r="BU70" s="3" t="n"/>
      <c r="BV70" s="3" t="n"/>
      <c r="BW70" s="3" t="n"/>
      <c r="BX70" s="3" t="n"/>
      <c r="BY70" s="3" t="n"/>
      <c r="BZ70" s="3" t="n"/>
      <c r="CA70" s="3" t="n"/>
      <c r="CB70" s="3" t="n"/>
      <c r="CC70" s="3" t="n"/>
      <c r="CD70" s="3" t="n"/>
      <c r="CE70" s="3" t="n"/>
      <c r="CF70" s="3" t="n"/>
      <c r="CG70" s="3" t="n"/>
      <c r="CH70" s="3" t="n"/>
      <c r="CI70" s="3" t="n"/>
      <c r="CJ70" s="3" t="n"/>
      <c r="CK70" s="3" t="n"/>
      <c r="CL70" s="3" t="n"/>
      <c r="CM70" s="3" t="n"/>
      <c r="CN70" s="3" t="n"/>
      <c r="CO70" s="3" t="n"/>
      <c r="CP70" s="3" t="n"/>
      <c r="CQ70" s="3" t="n"/>
      <c r="CR70" s="3" t="n"/>
      <c r="CS70" s="3" t="n"/>
      <c r="CT70" s="3" t="n"/>
      <c r="CU70" s="3" t="n"/>
      <c r="CV70" s="3" t="n"/>
      <c r="CW70" s="3" t="n"/>
      <c r="CX70" s="3" t="n"/>
      <c r="CY70" s="3" t="n"/>
    </row>
    <row r="71" hidden="1" outlineLevel="1">
      <c r="C71" s="34" t="inlineStr">
        <is>
          <t>Cash and equivalents (inc. investment securities)</t>
        </is>
      </c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  <c r="AA71" s="3" t="n"/>
      <c r="AB71" s="3" t="n"/>
      <c r="AC71" s="3" t="n"/>
      <c r="AD71" s="3" t="n"/>
      <c r="AE71" s="3" t="n"/>
      <c r="AF71" s="3" t="n"/>
      <c r="AG71" s="3" t="n"/>
      <c r="AH71" s="3" t="n"/>
      <c r="AI71" s="3" t="n"/>
      <c r="AJ71" s="3" t="n"/>
      <c r="AK71" s="3" t="n"/>
      <c r="AL71" s="3" t="n"/>
      <c r="AM71" s="3" t="n"/>
      <c r="AN71" s="3" t="n"/>
      <c r="AO71" s="3" t="n"/>
      <c r="AP71" s="3" t="n"/>
      <c r="AQ71" s="3" t="n"/>
      <c r="AR71" s="3" t="n"/>
      <c r="AS71" s="3" t="n"/>
      <c r="AT71" s="3" t="n"/>
      <c r="AU71" s="3" t="n"/>
      <c r="AV71" s="3" t="n"/>
      <c r="AW71" s="3" t="n"/>
      <c r="AX71" s="3" t="n"/>
      <c r="AY71" s="3" t="n"/>
      <c r="AZ71" s="3" t="n"/>
      <c r="BA71" s="3" t="n"/>
      <c r="BB71" s="3" t="n"/>
      <c r="BC71" s="3" t="n"/>
      <c r="BD71" s="3" t="n"/>
      <c r="BE71" s="3" t="n"/>
      <c r="BF71" s="3" t="n"/>
      <c r="BG71" s="3" t="n"/>
      <c r="BH71" s="3" t="n"/>
      <c r="BI71" s="3" t="n"/>
      <c r="BJ71" s="3" t="n"/>
      <c r="BK71" s="3" t="n"/>
      <c r="BL71" s="3" t="n"/>
      <c r="BM71" s="3" t="n"/>
      <c r="BN71" s="3" t="n"/>
      <c r="BO71" s="3" t="n"/>
      <c r="BP71" s="3" t="n"/>
      <c r="BQ71" s="3" t="n"/>
      <c r="BR71" s="3" t="n"/>
      <c r="BS71" s="3" t="n"/>
      <c r="BT71" s="3" t="n"/>
      <c r="BU71" s="3" t="n"/>
      <c r="BV71" s="3" t="n"/>
      <c r="BW71" s="3" t="n"/>
      <c r="BX71" s="3" t="n"/>
      <c r="BY71" s="3" t="n"/>
      <c r="BZ71" s="3" t="n"/>
      <c r="CA71" s="3" t="n"/>
      <c r="CB71" s="3" t="n"/>
      <c r="CC71" s="3" t="n"/>
      <c r="CD71" s="3" t="n"/>
      <c r="CE71" s="3" t="n"/>
      <c r="CF71" s="3" t="n"/>
      <c r="CG71" s="3" t="n"/>
      <c r="CH71" s="3" t="n"/>
      <c r="CI71" s="3" t="n"/>
      <c r="CJ71" s="3" t="n"/>
      <c r="CK71" s="3" t="n"/>
      <c r="CL71" s="3" t="n"/>
      <c r="CM71" s="3" t="n"/>
      <c r="CN71" s="3" t="n"/>
      <c r="CO71" s="3" t="n"/>
      <c r="CP71" s="3" t="n"/>
      <c r="CQ71" s="3" t="n"/>
      <c r="CR71" s="3" t="n"/>
      <c r="CS71" s="3" t="n"/>
      <c r="CT71" s="3" t="n"/>
      <c r="CU71" s="3" t="n"/>
      <c r="CV71" s="3" t="n"/>
      <c r="CW71" s="3" t="n"/>
      <c r="CX71" s="3" t="n"/>
      <c r="CY71" s="3" t="n"/>
    </row>
    <row r="72" hidden="1" outlineLevel="1">
      <c r="C72" s="34" t="inlineStr">
        <is>
          <t>Interest on cash</t>
        </is>
      </c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  <c r="AA72" s="3" t="n"/>
      <c r="AB72" s="3" t="n"/>
      <c r="AC72" s="3" t="n"/>
      <c r="AD72" s="3" t="n"/>
      <c r="AE72" s="3" t="n"/>
      <c r="AF72" s="3" t="n"/>
      <c r="AG72" s="3" t="n"/>
      <c r="AH72" s="3" t="n"/>
      <c r="AI72" s="3" t="n"/>
      <c r="AJ72" s="3" t="n"/>
      <c r="AK72" s="3" t="n"/>
      <c r="AL72" s="3" t="n"/>
      <c r="AM72" s="3" t="n"/>
      <c r="AN72" s="3" t="n"/>
      <c r="AO72" s="3" t="n"/>
      <c r="AP72" s="3" t="n"/>
      <c r="AQ72" s="3" t="n"/>
      <c r="AR72" s="3" t="n"/>
      <c r="AS72" s="3" t="n"/>
      <c r="AT72" s="3" t="n"/>
      <c r="AU72" s="3" t="n"/>
      <c r="AV72" s="3" t="n"/>
      <c r="AW72" s="3" t="n"/>
      <c r="AX72" s="3" t="n"/>
      <c r="AY72" s="3" t="n"/>
      <c r="AZ72" s="3" t="n"/>
      <c r="BA72" s="3" t="n"/>
      <c r="BB72" s="3" t="n"/>
      <c r="BC72" s="3" t="n"/>
      <c r="BD72" s="3" t="n"/>
      <c r="BE72" s="3" t="n"/>
      <c r="BF72" s="3" t="n"/>
      <c r="BG72" s="3" t="n"/>
      <c r="BH72" s="3" t="n"/>
      <c r="BI72" s="3" t="n"/>
      <c r="BJ72" s="3" t="n"/>
      <c r="BK72" s="3" t="n"/>
      <c r="BL72" s="3" t="n"/>
      <c r="BM72" s="3" t="n"/>
      <c r="BN72" s="3" t="n"/>
      <c r="BO72" s="3" t="n"/>
      <c r="BP72" s="3" t="n"/>
      <c r="BQ72" s="3" t="n"/>
      <c r="BR72" s="3" t="n"/>
      <c r="BS72" s="3" t="n"/>
      <c r="BT72" s="3" t="n"/>
      <c r="BU72" s="3" t="n"/>
      <c r="BV72" s="3" t="n"/>
      <c r="BW72" s="3" t="n"/>
      <c r="BX72" s="3" t="n"/>
      <c r="BY72" s="3" t="n"/>
      <c r="BZ72" s="3" t="n"/>
      <c r="CA72" s="3" t="n"/>
      <c r="CB72" s="3" t="n"/>
      <c r="CC72" s="3" t="n"/>
      <c r="CD72" s="3" t="n"/>
      <c r="CE72" s="3" t="n"/>
      <c r="CF72" s="3" t="n"/>
      <c r="CG72" s="3" t="n"/>
      <c r="CH72" s="3" t="n"/>
      <c r="CI72" s="3" t="n"/>
      <c r="CJ72" s="3" t="n"/>
      <c r="CK72" s="3" t="n"/>
      <c r="CL72" s="3" t="n"/>
      <c r="CM72" s="3" t="n"/>
      <c r="CN72" s="3" t="n"/>
      <c r="CO72" s="3" t="n"/>
      <c r="CP72" s="3" t="n"/>
      <c r="CQ72" s="3" t="n"/>
      <c r="CR72" s="3" t="n"/>
      <c r="CS72" s="3" t="n"/>
      <c r="CT72" s="3" t="n"/>
      <c r="CU72" s="3" t="n"/>
      <c r="CV72" s="3" t="n"/>
      <c r="CW72" s="3" t="n"/>
      <c r="CX72" s="3" t="n"/>
      <c r="CY72" s="3" t="n"/>
    </row>
    <row r="73" hidden="1" outlineLevel="1">
      <c r="C73" s="34" t="inlineStr">
        <is>
          <t>Average interest rate</t>
        </is>
      </c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  <c r="AA73" s="3" t="n"/>
      <c r="AB73" s="3" t="n"/>
      <c r="AC73" s="3" t="n"/>
      <c r="AD73" s="3" t="n"/>
      <c r="AE73" s="3" t="n"/>
      <c r="AF73" s="3" t="n"/>
      <c r="AG73" s="3" t="n"/>
      <c r="AH73" s="3" t="n"/>
      <c r="AI73" s="3" t="n"/>
      <c r="AJ73" s="3" t="n"/>
      <c r="AK73" s="3" t="n"/>
      <c r="AL73" s="3" t="n"/>
      <c r="AM73" s="3" t="n"/>
      <c r="AN73" s="3" t="n"/>
      <c r="AO73" s="3" t="n"/>
      <c r="AP73" s="3" t="n"/>
      <c r="AQ73" s="3" t="n"/>
      <c r="AR73" s="3" t="n"/>
      <c r="AS73" s="3" t="n"/>
      <c r="AT73" s="3" t="n"/>
      <c r="AU73" s="3" t="n"/>
      <c r="AV73" s="3" t="n"/>
      <c r="AW73" s="3" t="n"/>
      <c r="AX73" s="3" t="n"/>
      <c r="AY73" s="3" t="n"/>
      <c r="AZ73" s="3" t="n"/>
      <c r="BA73" s="3" t="n"/>
      <c r="BB73" s="3" t="n"/>
      <c r="BC73" s="3" t="n"/>
      <c r="BD73" s="3" t="n"/>
      <c r="BE73" s="3" t="n"/>
      <c r="BF73" s="3" t="n"/>
      <c r="BG73" s="3" t="n"/>
      <c r="BH73" s="3" t="n"/>
      <c r="BI73" s="3" t="n"/>
      <c r="BJ73" s="3" t="n"/>
      <c r="BK73" s="3" t="n"/>
      <c r="BL73" s="3" t="n"/>
      <c r="BM73" s="3" t="n"/>
      <c r="BN73" s="3" t="n"/>
      <c r="BO73" s="3" t="n"/>
      <c r="BP73" s="3" t="n"/>
      <c r="BQ73" s="3" t="n"/>
      <c r="BR73" s="3" t="n"/>
      <c r="BS73" s="3" t="n"/>
      <c r="BT73" s="3" t="n"/>
      <c r="BU73" s="3" t="n"/>
      <c r="BV73" s="3" t="n"/>
      <c r="BW73" s="3" t="n"/>
      <c r="BX73" s="3" t="n"/>
      <c r="BY73" s="3" t="n"/>
      <c r="BZ73" s="3" t="n"/>
      <c r="CA73" s="3" t="n"/>
      <c r="CB73" s="3" t="n"/>
      <c r="CC73" s="3" t="n"/>
      <c r="CD73" s="3" t="n"/>
      <c r="CE73" s="3" t="n"/>
      <c r="CF73" s="3" t="n"/>
      <c r="CG73" s="3" t="n"/>
      <c r="CH73" s="3" t="n"/>
      <c r="CI73" s="3" t="n"/>
      <c r="CJ73" s="3" t="n"/>
      <c r="CK73" s="3" t="n"/>
      <c r="CL73" s="3" t="n"/>
      <c r="CM73" s="3" t="n"/>
      <c r="CN73" s="3" t="n"/>
      <c r="CO73" s="3" t="n"/>
      <c r="CP73" s="3" t="n"/>
      <c r="CQ73" s="3" t="n"/>
      <c r="CR73" s="3" t="n"/>
      <c r="CS73" s="3" t="n"/>
      <c r="CT73" s="3" t="n"/>
      <c r="CU73" s="3" t="n"/>
      <c r="CV73" s="3" t="n"/>
      <c r="CW73" s="3" t="n"/>
      <c r="CX73" s="3" t="n"/>
      <c r="CY73" s="3" t="n"/>
    </row>
    <row r="74" hidden="1" outlineLevel="1">
      <c r="C74" s="34" t="inlineStr">
        <is>
          <t>% CDI</t>
        </is>
      </c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  <c r="AA74" s="3" t="n"/>
      <c r="AB74" s="3" t="n"/>
      <c r="AC74" s="3" t="n"/>
      <c r="AD74" s="3" t="n"/>
      <c r="AE74" s="3" t="n"/>
      <c r="AF74" s="3" t="n"/>
      <c r="AG74" s="3" t="n"/>
      <c r="AH74" s="3" t="n"/>
      <c r="AI74" s="3" t="n"/>
      <c r="AJ74" s="3" t="n"/>
      <c r="AK74" s="3" t="n"/>
      <c r="AL74" s="3" t="n"/>
      <c r="AM74" s="3" t="n"/>
      <c r="AN74" s="3" t="n"/>
      <c r="AO74" s="3" t="n"/>
      <c r="AP74" s="3" t="n"/>
      <c r="AQ74" s="3" t="n"/>
      <c r="AR74" s="3" t="n"/>
      <c r="AS74" s="3" t="n"/>
      <c r="AT74" s="3" t="n"/>
      <c r="AU74" s="3" t="n"/>
      <c r="AV74" s="3" t="n"/>
      <c r="AW74" s="3" t="n"/>
      <c r="AX74" s="3" t="n"/>
      <c r="AY74" s="3" t="n"/>
      <c r="AZ74" s="3" t="n"/>
      <c r="BA74" s="3" t="n"/>
      <c r="BB74" s="3" t="n"/>
      <c r="BC74" s="3" t="n"/>
      <c r="BD74" s="3" t="n"/>
      <c r="BE74" s="3" t="n"/>
      <c r="BF74" s="3" t="n"/>
      <c r="BG74" s="3" t="n"/>
      <c r="BH74" s="3" t="n"/>
      <c r="BI74" s="3" t="n"/>
      <c r="BJ74" s="3" t="n"/>
      <c r="BK74" s="3" t="n"/>
      <c r="BL74" s="3" t="n"/>
      <c r="BM74" s="3" t="n"/>
      <c r="BN74" s="3" t="n"/>
      <c r="BO74" s="3" t="n"/>
      <c r="BP74" s="3" t="n"/>
      <c r="BQ74" s="3" t="n"/>
      <c r="BR74" s="3" t="n"/>
      <c r="BS74" s="3" t="n"/>
      <c r="BT74" s="3" t="n"/>
      <c r="BU74" s="3" t="n"/>
      <c r="BV74" s="3" t="n"/>
      <c r="BW74" s="3" t="n"/>
      <c r="BX74" s="3" t="n"/>
      <c r="BY74" s="3" t="n"/>
      <c r="BZ74" s="3" t="n"/>
      <c r="CA74" s="3" t="n"/>
      <c r="CB74" s="3" t="n"/>
      <c r="CC74" s="3" t="n"/>
      <c r="CD74" s="3" t="n"/>
      <c r="CE74" s="3" t="n"/>
      <c r="CF74" s="3" t="n"/>
      <c r="CG74" s="3" t="n"/>
      <c r="CH74" s="3" t="n"/>
      <c r="CI74" s="3" t="n"/>
      <c r="CJ74" s="3" t="n"/>
      <c r="CK74" s="3" t="n"/>
      <c r="CL74" s="3" t="n"/>
      <c r="CM74" s="3" t="n"/>
      <c r="CN74" s="3" t="n"/>
      <c r="CO74" s="3" t="n"/>
      <c r="CP74" s="3" t="n"/>
      <c r="CQ74" s="3" t="n"/>
      <c r="CR74" s="3" t="n"/>
      <c r="CS74" s="3" t="n"/>
      <c r="CT74" s="3" t="n"/>
      <c r="CU74" s="3" t="n"/>
      <c r="CV74" s="3" t="n"/>
      <c r="CW74" s="3" t="n"/>
      <c r="CX74" s="3" t="n"/>
      <c r="CY74" s="3" t="n"/>
    </row>
    <row r="75" hidden="1" outlineLevel="1">
      <c r="C75" s="34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  <c r="AA75" s="3" t="n"/>
      <c r="AB75" s="3" t="n"/>
      <c r="AC75" s="3" t="n"/>
      <c r="AD75" s="3" t="n"/>
      <c r="AE75" s="3" t="n"/>
      <c r="AF75" s="3" t="n"/>
      <c r="AG75" s="3" t="n"/>
      <c r="AH75" s="3" t="n"/>
      <c r="AI75" s="3" t="n"/>
      <c r="AJ75" s="3" t="n"/>
      <c r="AK75" s="3" t="n"/>
      <c r="AL75" s="3" t="n"/>
      <c r="AM75" s="3" t="n"/>
      <c r="AN75" s="3" t="n"/>
      <c r="AO75" s="3" t="n"/>
      <c r="AP75" s="3" t="n"/>
      <c r="AQ75" s="3" t="n"/>
      <c r="AR75" s="3" t="n"/>
      <c r="AS75" s="3" t="n"/>
      <c r="AT75" s="3" t="n"/>
      <c r="AU75" s="3" t="n"/>
      <c r="AV75" s="3" t="n"/>
      <c r="AW75" s="3" t="n"/>
      <c r="AX75" s="3" t="n"/>
      <c r="AY75" s="3" t="n"/>
      <c r="AZ75" s="3" t="n"/>
      <c r="BA75" s="3" t="n"/>
      <c r="BB75" s="3" t="n"/>
      <c r="BC75" s="3" t="n"/>
      <c r="BD75" s="3" t="n"/>
      <c r="BE75" s="3" t="n"/>
      <c r="BF75" s="3" t="n"/>
      <c r="BG75" s="3" t="n"/>
      <c r="BH75" s="3" t="n"/>
      <c r="BI75" s="3" t="n"/>
      <c r="BJ75" s="3" t="n"/>
      <c r="BK75" s="3" t="n"/>
      <c r="BL75" s="3" t="n"/>
      <c r="BM75" s="3" t="n"/>
      <c r="BN75" s="3" t="n"/>
      <c r="BO75" s="3" t="n"/>
      <c r="BP75" s="3" t="n"/>
      <c r="BQ75" s="3" t="n"/>
      <c r="BR75" s="3" t="n"/>
      <c r="BS75" s="3" t="n"/>
      <c r="BT75" s="3" t="n"/>
      <c r="BU75" s="3" t="n"/>
      <c r="BV75" s="3" t="n"/>
      <c r="BW75" s="3" t="n"/>
      <c r="BX75" s="3" t="n"/>
      <c r="BY75" s="3" t="n"/>
      <c r="BZ75" s="3" t="n"/>
      <c r="CA75" s="3" t="n"/>
      <c r="CB75" s="3" t="n"/>
      <c r="CC75" s="3" t="n"/>
      <c r="CD75" s="3" t="n"/>
      <c r="CE75" s="3" t="n"/>
      <c r="CF75" s="3" t="n"/>
      <c r="CG75" s="3" t="n"/>
      <c r="CH75" s="3" t="n"/>
      <c r="CI75" s="3" t="n"/>
      <c r="CJ75" s="3" t="n"/>
      <c r="CK75" s="3" t="n"/>
      <c r="CL75" s="3" t="n"/>
      <c r="CM75" s="3" t="n"/>
      <c r="CN75" s="3" t="n"/>
      <c r="CO75" s="3" t="n"/>
      <c r="CP75" s="3" t="n"/>
      <c r="CQ75" s="3" t="n"/>
      <c r="CR75" s="3" t="n"/>
      <c r="CS75" s="3" t="n"/>
      <c r="CT75" s="3" t="n"/>
      <c r="CU75" s="3" t="n"/>
      <c r="CV75" s="3" t="n"/>
      <c r="CW75" s="3" t="n"/>
      <c r="CX75" s="3" t="n"/>
      <c r="CY75" s="3" t="n"/>
    </row>
    <row r="76" hidden="1" outlineLevel="1">
      <c r="C76" s="34" t="inlineStr">
        <is>
          <t>Current portion of long-term debt</t>
        </is>
      </c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  <c r="AA76" s="3" t="n"/>
      <c r="AB76" s="3" t="n"/>
      <c r="AC76" s="3" t="n"/>
      <c r="AD76" s="3" t="n"/>
      <c r="AE76" s="3" t="n"/>
      <c r="AF76" s="3" t="n"/>
      <c r="AG76" s="3" t="n"/>
      <c r="AH76" s="3" t="n"/>
      <c r="AI76" s="3" t="n"/>
      <c r="AJ76" s="3" t="n"/>
      <c r="AK76" s="3" t="n"/>
      <c r="AL76" s="3" t="n"/>
      <c r="AM76" s="3" t="n"/>
      <c r="AN76" s="3" t="n"/>
      <c r="AO76" s="3" t="n"/>
      <c r="AP76" s="3" t="n"/>
      <c r="AQ76" s="3" t="n"/>
      <c r="AR76" s="3" t="n"/>
      <c r="AS76" s="3" t="n"/>
      <c r="AT76" s="3" t="n"/>
      <c r="AU76" s="3" t="n"/>
      <c r="AV76" s="3" t="n"/>
      <c r="AW76" s="3" t="n"/>
      <c r="AX76" s="3" t="n"/>
      <c r="AY76" s="3" t="n"/>
      <c r="AZ76" s="3" t="n"/>
      <c r="BA76" s="3" t="n"/>
      <c r="BB76" s="3" t="n"/>
      <c r="BC76" s="3" t="n"/>
      <c r="BD76" s="3" t="n"/>
      <c r="BE76" s="3" t="n"/>
      <c r="BF76" s="3" t="n"/>
      <c r="BG76" s="3" t="n"/>
      <c r="BH76" s="3" t="n"/>
      <c r="BI76" s="3" t="n"/>
      <c r="BJ76" s="3" t="n"/>
      <c r="BK76" s="3" t="n"/>
      <c r="BL76" s="3" t="n"/>
      <c r="BM76" s="3" t="n"/>
      <c r="BN76" s="3" t="n"/>
      <c r="BO76" s="3" t="n"/>
      <c r="BP76" s="3" t="n"/>
      <c r="BQ76" s="3" t="n"/>
      <c r="BR76" s="3" t="n"/>
      <c r="BS76" s="3" t="n"/>
      <c r="BT76" s="3" t="n"/>
      <c r="BU76" s="3" t="n"/>
      <c r="BV76" s="3" t="n"/>
      <c r="BW76" s="3" t="n"/>
      <c r="BX76" s="3" t="n"/>
      <c r="BY76" s="3" t="n"/>
      <c r="BZ76" s="3" t="n"/>
      <c r="CA76" s="3" t="n"/>
      <c r="CB76" s="3" t="n"/>
      <c r="CC76" s="3" t="n"/>
      <c r="CD76" s="3" t="n"/>
      <c r="CE76" s="3" t="n"/>
      <c r="CF76" s="3" t="n"/>
      <c r="CG76" s="3" t="n"/>
      <c r="CH76" s="3" t="n"/>
      <c r="CI76" s="3" t="n"/>
      <c r="CJ76" s="3" t="n"/>
      <c r="CK76" s="3" t="n"/>
      <c r="CL76" s="3" t="n"/>
      <c r="CM76" s="3" t="n"/>
      <c r="CN76" s="3" t="n"/>
      <c r="CO76" s="3" t="n"/>
      <c r="CP76" s="3" t="n"/>
      <c r="CQ76" s="3" t="n"/>
      <c r="CR76" s="3" t="n"/>
      <c r="CS76" s="3" t="n"/>
      <c r="CT76" s="3" t="n"/>
      <c r="CU76" s="3" t="n"/>
      <c r="CV76" s="3" t="n"/>
      <c r="CW76" s="3" t="n"/>
      <c r="CX76" s="3" t="n"/>
      <c r="CY76" s="3" t="n"/>
    </row>
    <row r="77" hidden="1" outlineLevel="1">
      <c r="C77" s="34" t="inlineStr">
        <is>
          <t>Short term debt (Revolving credit facility)</t>
        </is>
      </c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  <c r="AA77" s="3" t="n"/>
      <c r="AB77" s="3" t="n"/>
      <c r="AC77" s="3" t="n"/>
      <c r="AD77" s="3" t="n"/>
      <c r="AE77" s="3" t="n"/>
      <c r="AF77" s="3" t="n"/>
      <c r="AG77" s="3" t="n"/>
      <c r="AH77" s="3" t="n"/>
      <c r="AI77" s="3" t="n"/>
      <c r="AJ77" s="3" t="n"/>
      <c r="AK77" s="3" t="n"/>
      <c r="AL77" s="3" t="n"/>
      <c r="AM77" s="3" t="n"/>
      <c r="AN77" s="3" t="n"/>
      <c r="AO77" s="3" t="n"/>
      <c r="AP77" s="3" t="n"/>
      <c r="AQ77" s="3" t="n"/>
      <c r="AR77" s="3" t="n"/>
      <c r="AS77" s="3" t="n"/>
      <c r="AT77" s="3" t="n"/>
      <c r="AU77" s="3" t="n"/>
      <c r="AV77" s="3" t="n"/>
      <c r="AW77" s="3" t="n"/>
      <c r="AX77" s="3" t="n"/>
      <c r="AY77" s="3" t="n"/>
      <c r="AZ77" s="3" t="n"/>
      <c r="BA77" s="3" t="n"/>
      <c r="BB77" s="3" t="n"/>
      <c r="BC77" s="3" t="n"/>
      <c r="BD77" s="3" t="n"/>
      <c r="BE77" s="3" t="n"/>
      <c r="BF77" s="3" t="n"/>
      <c r="BG77" s="3" t="n"/>
      <c r="BH77" s="3" t="n"/>
      <c r="BI77" s="3" t="n"/>
      <c r="BJ77" s="3" t="n"/>
      <c r="BK77" s="3" t="n"/>
      <c r="BL77" s="3" t="n"/>
      <c r="BM77" s="3" t="n"/>
      <c r="BN77" s="3" t="n"/>
      <c r="BO77" s="3" t="n"/>
      <c r="BP77" s="3" t="n"/>
      <c r="BQ77" s="3" t="n"/>
      <c r="BR77" s="3" t="n"/>
      <c r="BS77" s="3" t="n"/>
      <c r="BT77" s="3" t="n"/>
      <c r="BU77" s="3" t="n"/>
      <c r="BV77" s="3" t="n"/>
      <c r="BW77" s="3" t="n"/>
      <c r="BX77" s="3" t="n"/>
      <c r="BY77" s="3" t="n"/>
      <c r="BZ77" s="3" t="n"/>
      <c r="CA77" s="3" t="n"/>
      <c r="CB77" s="3" t="n"/>
      <c r="CC77" s="3" t="n"/>
      <c r="CD77" s="3" t="n"/>
      <c r="CE77" s="3" t="n"/>
      <c r="CF77" s="3" t="n"/>
      <c r="CG77" s="3" t="n"/>
      <c r="CH77" s="3" t="n"/>
      <c r="CI77" s="3" t="n"/>
      <c r="CJ77" s="3" t="n"/>
      <c r="CK77" s="3" t="n"/>
      <c r="CL77" s="3" t="n"/>
      <c r="CM77" s="3" t="n"/>
      <c r="CN77" s="3" t="n"/>
      <c r="CO77" s="3" t="n"/>
      <c r="CP77" s="3" t="n"/>
      <c r="CQ77" s="3" t="n"/>
      <c r="CR77" s="3" t="n"/>
      <c r="CS77" s="3" t="n"/>
      <c r="CT77" s="3" t="n"/>
      <c r="CU77" s="3" t="n"/>
      <c r="CV77" s="3" t="n"/>
      <c r="CW77" s="3" t="n"/>
      <c r="CX77" s="3" t="n"/>
      <c r="CY77" s="3" t="n"/>
    </row>
    <row r="78" hidden="1" outlineLevel="1">
      <c r="C78" s="34" t="inlineStr">
        <is>
          <t>Long term debt</t>
        </is>
      </c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  <c r="AA78" s="3" t="n"/>
      <c r="AB78" s="3" t="n"/>
      <c r="AC78" s="3" t="n"/>
      <c r="AD78" s="3" t="n"/>
      <c r="AE78" s="3" t="n"/>
      <c r="AF78" s="3" t="n"/>
      <c r="AG78" s="3" t="n"/>
      <c r="AH78" s="3" t="n"/>
      <c r="AI78" s="3" t="n"/>
      <c r="AJ78" s="3" t="n"/>
      <c r="AK78" s="3" t="n"/>
      <c r="AL78" s="3" t="n"/>
      <c r="AM78" s="3" t="n"/>
      <c r="AN78" s="3" t="n"/>
      <c r="AO78" s="3" t="n"/>
      <c r="AP78" s="3" t="n"/>
      <c r="AQ78" s="3" t="n"/>
      <c r="AR78" s="3" t="n"/>
      <c r="AS78" s="3" t="n"/>
      <c r="AT78" s="3" t="n"/>
      <c r="AU78" s="3" t="n"/>
      <c r="AV78" s="3" t="n"/>
      <c r="AW78" s="3" t="n"/>
      <c r="AX78" s="3" t="n"/>
      <c r="AY78" s="3" t="n"/>
      <c r="AZ78" s="3" t="n"/>
      <c r="BA78" s="3" t="n"/>
      <c r="BB78" s="3" t="n"/>
      <c r="BC78" s="3" t="n"/>
      <c r="BD78" s="3" t="n"/>
      <c r="BE78" s="3" t="n"/>
      <c r="BF78" s="3" t="n"/>
      <c r="BG78" s="3" t="n"/>
      <c r="BH78" s="3" t="n"/>
      <c r="BI78" s="3" t="n"/>
      <c r="BJ78" s="3" t="n"/>
      <c r="BK78" s="3" t="n"/>
      <c r="BL78" s="3" t="n"/>
      <c r="BM78" s="3" t="n"/>
      <c r="BN78" s="3" t="n"/>
      <c r="BO78" s="3" t="n"/>
      <c r="BP78" s="3" t="n"/>
      <c r="BQ78" s="3" t="n"/>
      <c r="BR78" s="3" t="n"/>
      <c r="BS78" s="3" t="n"/>
      <c r="BT78" s="3" t="n"/>
      <c r="BU78" s="3" t="n"/>
      <c r="BV78" s="3" t="n"/>
      <c r="BW78" s="3" t="n"/>
      <c r="BX78" s="3" t="n"/>
      <c r="BY78" s="3" t="n"/>
      <c r="BZ78" s="3" t="n"/>
      <c r="CA78" s="3" t="n"/>
      <c r="CB78" s="3" t="n"/>
      <c r="CC78" s="3" t="n"/>
      <c r="CD78" s="3" t="n"/>
      <c r="CE78" s="3" t="n"/>
      <c r="CF78" s="3" t="n"/>
      <c r="CG78" s="3" t="n"/>
      <c r="CH78" s="3" t="n"/>
      <c r="CI78" s="3" t="n"/>
      <c r="CJ78" s="3" t="n"/>
      <c r="CK78" s="3" t="n"/>
      <c r="CL78" s="3" t="n"/>
      <c r="CM78" s="3" t="n"/>
      <c r="CN78" s="3" t="n"/>
      <c r="CO78" s="3" t="n"/>
      <c r="CP78" s="3" t="n"/>
      <c r="CQ78" s="3" t="n"/>
      <c r="CR78" s="3" t="n"/>
      <c r="CS78" s="3" t="n"/>
      <c r="CT78" s="3" t="n"/>
      <c r="CU78" s="3" t="n"/>
      <c r="CV78" s="3" t="n"/>
      <c r="CW78" s="3" t="n"/>
      <c r="CX78" s="3" t="n"/>
      <c r="CY78" s="3" t="n"/>
    </row>
    <row r="79" hidden="1" outlineLevel="1">
      <c r="C79" s="34" t="inlineStr">
        <is>
          <t>Convertible debt</t>
        </is>
      </c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  <c r="AA79" s="3" t="n"/>
      <c r="AB79" s="3" t="n"/>
      <c r="AC79" s="3" t="n"/>
      <c r="AD79" s="3" t="n"/>
      <c r="AE79" s="3" t="n"/>
      <c r="AF79" s="3" t="n"/>
      <c r="AG79" s="3" t="n"/>
      <c r="AH79" s="3" t="n"/>
      <c r="AI79" s="3" t="n"/>
      <c r="AJ79" s="3" t="n"/>
      <c r="AK79" s="3" t="n"/>
      <c r="AL79" s="3" t="n"/>
      <c r="AM79" s="3" t="n"/>
      <c r="AN79" s="3" t="n"/>
      <c r="AO79" s="3" t="n"/>
      <c r="AP79" s="3" t="n"/>
      <c r="AQ79" s="3" t="n"/>
      <c r="AR79" s="3" t="n"/>
      <c r="AS79" s="3" t="n"/>
      <c r="AT79" s="3" t="n"/>
      <c r="AU79" s="3" t="n"/>
      <c r="AV79" s="3" t="n"/>
      <c r="AW79" s="3" t="n"/>
      <c r="AX79" s="3" t="n"/>
      <c r="AY79" s="3" t="n"/>
      <c r="AZ79" s="3" t="n"/>
      <c r="BA79" s="3" t="n"/>
      <c r="BB79" s="3" t="n"/>
      <c r="BC79" s="3" t="n"/>
      <c r="BD79" s="3" t="n"/>
      <c r="BE79" s="3" t="n"/>
      <c r="BF79" s="3" t="n"/>
      <c r="BG79" s="3" t="n"/>
      <c r="BH79" s="3" t="n"/>
      <c r="BI79" s="3" t="n"/>
      <c r="BJ79" s="3" t="n"/>
      <c r="BK79" s="3" t="n"/>
      <c r="BL79" s="3" t="n"/>
      <c r="BM79" s="3" t="n"/>
      <c r="BN79" s="3" t="n"/>
      <c r="BO79" s="3" t="n"/>
      <c r="BP79" s="3" t="n"/>
      <c r="BQ79" s="3" t="n"/>
      <c r="BR79" s="3" t="n"/>
      <c r="BS79" s="3" t="n"/>
      <c r="BT79" s="3" t="n"/>
      <c r="BU79" s="3" t="n"/>
      <c r="BV79" s="3" t="n"/>
      <c r="BW79" s="3" t="n"/>
      <c r="BX79" s="3" t="n"/>
      <c r="BY79" s="3" t="n"/>
      <c r="BZ79" s="3" t="n"/>
      <c r="CA79" s="3" t="n"/>
      <c r="CB79" s="3" t="n"/>
      <c r="CC79" s="3" t="n"/>
      <c r="CD79" s="3" t="n"/>
      <c r="CE79" s="3" t="n"/>
      <c r="CF79" s="3" t="n"/>
      <c r="CG79" s="3" t="n"/>
      <c r="CH79" s="3" t="n"/>
      <c r="CI79" s="3" t="n"/>
      <c r="CJ79" s="3" t="n"/>
      <c r="CK79" s="3" t="n"/>
      <c r="CL79" s="3" t="n"/>
      <c r="CM79" s="3" t="n"/>
      <c r="CN79" s="3" t="n"/>
      <c r="CO79" s="3" t="n"/>
      <c r="CP79" s="3" t="n"/>
      <c r="CQ79" s="3" t="n"/>
      <c r="CR79" s="3" t="n"/>
      <c r="CS79" s="3" t="n"/>
      <c r="CT79" s="3" t="n"/>
      <c r="CU79" s="3" t="n"/>
      <c r="CV79" s="3" t="n"/>
      <c r="CW79" s="3" t="n"/>
      <c r="CX79" s="3" t="n"/>
      <c r="CY79" s="3" t="n"/>
    </row>
    <row r="80" hidden="1" outlineLevel="1">
      <c r="C80" s="34" t="inlineStr">
        <is>
          <t>Total debt</t>
        </is>
      </c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  <c r="AA80" s="3" t="n"/>
      <c r="AB80" s="3" t="n"/>
      <c r="AC80" s="3" t="n"/>
      <c r="AD80" s="3" t="n"/>
      <c r="AE80" s="3" t="n"/>
      <c r="AF80" s="3" t="n"/>
      <c r="AG80" s="3" t="n"/>
      <c r="AH80" s="3" t="n"/>
      <c r="AI80" s="3" t="n"/>
      <c r="AJ80" s="3" t="n"/>
      <c r="AK80" s="3" t="n"/>
      <c r="AL80" s="3" t="n"/>
      <c r="AM80" s="3" t="n"/>
      <c r="AN80" s="3" t="n"/>
      <c r="AO80" s="3" t="n"/>
      <c r="AP80" s="3" t="n"/>
      <c r="AQ80" s="3" t="n"/>
      <c r="AR80" s="3" t="n"/>
      <c r="AS80" s="3" t="n"/>
      <c r="AT80" s="3" t="n"/>
      <c r="AU80" s="3" t="n"/>
      <c r="AV80" s="3" t="n"/>
      <c r="AW80" s="3" t="n"/>
      <c r="AX80" s="3" t="n"/>
      <c r="AY80" s="3" t="n"/>
      <c r="AZ80" s="3" t="n"/>
      <c r="BA80" s="3" t="n"/>
      <c r="BB80" s="3" t="n"/>
      <c r="BC80" s="3" t="n"/>
      <c r="BD80" s="3" t="n"/>
      <c r="BE80" s="3" t="n"/>
      <c r="BF80" s="3" t="n"/>
      <c r="BG80" s="3" t="n"/>
      <c r="BH80" s="3" t="n"/>
      <c r="BI80" s="3" t="n"/>
      <c r="BJ80" s="3" t="n"/>
      <c r="BK80" s="3" t="n"/>
      <c r="BL80" s="3" t="n"/>
      <c r="BM80" s="3" t="n"/>
      <c r="BN80" s="3" t="n"/>
      <c r="BO80" s="3" t="n"/>
      <c r="BP80" s="3" t="n"/>
      <c r="BQ80" s="3" t="n"/>
      <c r="BR80" s="3" t="n"/>
      <c r="BS80" s="3" t="n"/>
      <c r="BT80" s="3" t="n"/>
      <c r="BU80" s="3" t="n"/>
      <c r="BV80" s="3" t="n"/>
      <c r="BW80" s="3" t="n"/>
      <c r="BX80" s="3" t="n"/>
      <c r="BY80" s="3" t="n"/>
      <c r="BZ80" s="3" t="n"/>
      <c r="CA80" s="3" t="n"/>
      <c r="CB80" s="3" t="n"/>
      <c r="CC80" s="3" t="n"/>
      <c r="CD80" s="3" t="n"/>
      <c r="CE80" s="3" t="n"/>
      <c r="CF80" s="3" t="n"/>
      <c r="CG80" s="3" t="n"/>
      <c r="CH80" s="3" t="n"/>
      <c r="CI80" s="3" t="n"/>
      <c r="CJ80" s="3" t="n"/>
      <c r="CK80" s="3" t="n"/>
      <c r="CL80" s="3" t="n"/>
      <c r="CM80" s="3" t="n"/>
      <c r="CN80" s="3" t="n"/>
      <c r="CO80" s="3" t="n"/>
      <c r="CP80" s="3" t="n"/>
      <c r="CQ80" s="3" t="n"/>
      <c r="CR80" s="3" t="n"/>
      <c r="CS80" s="3" t="n"/>
      <c r="CT80" s="3" t="n"/>
      <c r="CU80" s="3" t="n"/>
      <c r="CV80" s="3" t="n"/>
      <c r="CW80" s="3" t="n"/>
      <c r="CX80" s="3" t="n"/>
      <c r="CY80" s="3" t="n"/>
    </row>
    <row r="81" hidden="1" outlineLevel="1">
      <c r="C81" s="34" t="inlineStr">
        <is>
          <t>Interest expense</t>
        </is>
      </c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  <c r="AA81" s="3" t="n"/>
      <c r="AB81" s="3" t="n"/>
      <c r="AC81" s="3" t="n"/>
      <c r="AD81" s="3" t="n"/>
      <c r="AE81" s="3" t="n"/>
      <c r="AF81" s="3" t="n"/>
      <c r="AG81" s="3" t="n"/>
      <c r="AH81" s="3" t="n"/>
      <c r="AI81" s="3" t="n"/>
      <c r="AJ81" s="3" t="n"/>
      <c r="AK81" s="3" t="n"/>
      <c r="AL81" s="3" t="n"/>
      <c r="AM81" s="3" t="n"/>
      <c r="AN81" s="3" t="n"/>
      <c r="AO81" s="3" t="n"/>
      <c r="AP81" s="3" t="n"/>
      <c r="AQ81" s="3" t="n"/>
      <c r="AR81" s="3" t="n"/>
      <c r="AS81" s="3" t="n"/>
      <c r="AT81" s="3" t="n"/>
      <c r="AU81" s="3" t="n"/>
      <c r="AV81" s="3" t="n"/>
      <c r="AW81" s="3" t="n"/>
      <c r="AX81" s="3" t="n"/>
      <c r="AY81" s="3" t="n"/>
      <c r="AZ81" s="3" t="n"/>
      <c r="BA81" s="3" t="n"/>
      <c r="BB81" s="3" t="n"/>
      <c r="BC81" s="3" t="n"/>
      <c r="BD81" s="3" t="n"/>
      <c r="BE81" s="3" t="n"/>
      <c r="BF81" s="3" t="n"/>
      <c r="BG81" s="3" t="n"/>
      <c r="BH81" s="3" t="n"/>
      <c r="BI81" s="3" t="n"/>
      <c r="BJ81" s="3" t="n"/>
      <c r="BK81" s="3" t="n"/>
      <c r="BL81" s="3" t="n"/>
      <c r="BM81" s="3" t="n"/>
      <c r="BN81" s="3" t="n"/>
      <c r="BO81" s="3" t="n"/>
      <c r="BP81" s="3" t="n"/>
      <c r="BQ81" s="3" t="n"/>
      <c r="BR81" s="3" t="n"/>
      <c r="BS81" s="3" t="n"/>
      <c r="BT81" s="3" t="n"/>
      <c r="BU81" s="3" t="n"/>
      <c r="BV81" s="3" t="n"/>
      <c r="BW81" s="3" t="n"/>
      <c r="BX81" s="3" t="n"/>
      <c r="BY81" s="3" t="n"/>
      <c r="BZ81" s="3" t="n"/>
      <c r="CA81" s="3" t="n"/>
      <c r="CB81" s="3" t="n"/>
      <c r="CC81" s="3" t="n"/>
      <c r="CD81" s="3" t="n"/>
      <c r="CE81" s="3" t="n"/>
      <c r="CF81" s="3" t="n"/>
      <c r="CG81" s="3" t="n"/>
      <c r="CH81" s="3" t="n"/>
      <c r="CI81" s="3" t="n"/>
      <c r="CJ81" s="3" t="n"/>
      <c r="CK81" s="3" t="n"/>
      <c r="CL81" s="3" t="n"/>
      <c r="CM81" s="3" t="n"/>
      <c r="CN81" s="3" t="n"/>
      <c r="CO81" s="3" t="n"/>
      <c r="CP81" s="3" t="n"/>
      <c r="CQ81" s="3" t="n"/>
      <c r="CR81" s="3" t="n"/>
      <c r="CS81" s="3" t="n"/>
      <c r="CT81" s="3" t="n"/>
      <c r="CU81" s="3" t="n"/>
      <c r="CV81" s="3" t="n"/>
      <c r="CW81" s="3" t="n"/>
      <c r="CX81" s="3" t="n"/>
      <c r="CY81" s="3" t="n"/>
    </row>
    <row r="82" hidden="1" outlineLevel="1">
      <c r="C82" s="34" t="inlineStr">
        <is>
          <t>Average interest rate</t>
        </is>
      </c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  <c r="AA82" s="3" t="n"/>
      <c r="AB82" s="3" t="n"/>
      <c r="AC82" s="3" t="n"/>
      <c r="AD82" s="3" t="n"/>
      <c r="AE82" s="3" t="n"/>
      <c r="AF82" s="3" t="n"/>
      <c r="AG82" s="3" t="n"/>
      <c r="AH82" s="3" t="n"/>
      <c r="AI82" s="3" t="n"/>
      <c r="AJ82" s="3" t="n"/>
      <c r="AK82" s="3" t="n"/>
      <c r="AL82" s="3" t="n"/>
      <c r="AM82" s="3" t="n"/>
      <c r="AN82" s="3" t="n"/>
      <c r="AO82" s="3" t="n"/>
      <c r="AP82" s="3" t="n"/>
      <c r="AQ82" s="3" t="n"/>
      <c r="AR82" s="3" t="n"/>
      <c r="AS82" s="3" t="n"/>
      <c r="AT82" s="3" t="n"/>
      <c r="AU82" s="3" t="n"/>
      <c r="AV82" s="3" t="n"/>
      <c r="AW82" s="3" t="n"/>
      <c r="AX82" s="3" t="n"/>
      <c r="AY82" s="3" t="n"/>
      <c r="AZ82" s="3" t="n"/>
      <c r="BA82" s="3" t="n"/>
      <c r="BB82" s="3" t="n"/>
      <c r="BC82" s="3" t="n"/>
      <c r="BD82" s="3" t="n"/>
      <c r="BE82" s="3" t="n"/>
      <c r="BF82" s="3" t="n"/>
      <c r="BG82" s="3" t="n"/>
      <c r="BH82" s="3" t="n"/>
      <c r="BI82" s="3" t="n"/>
      <c r="BJ82" s="3" t="n"/>
      <c r="BK82" s="3" t="n"/>
      <c r="BL82" s="3" t="n"/>
      <c r="BM82" s="3" t="n"/>
      <c r="BN82" s="3" t="n"/>
      <c r="BO82" s="3" t="n"/>
      <c r="BP82" s="3" t="n"/>
      <c r="BQ82" s="3" t="n"/>
      <c r="BR82" s="3" t="n"/>
      <c r="BS82" s="3" t="n"/>
      <c r="BT82" s="3" t="n"/>
      <c r="BU82" s="3" t="n"/>
      <c r="BV82" s="3" t="n"/>
      <c r="BW82" s="3" t="n"/>
      <c r="BX82" s="3" t="n"/>
      <c r="BY82" s="3" t="n"/>
      <c r="BZ82" s="3" t="n"/>
      <c r="CA82" s="3" t="n"/>
      <c r="CB82" s="3" t="n"/>
      <c r="CC82" s="3" t="n"/>
      <c r="CD82" s="3" t="n"/>
      <c r="CE82" s="3" t="n"/>
      <c r="CF82" s="3" t="n"/>
      <c r="CG82" s="3" t="n"/>
      <c r="CH82" s="3" t="n"/>
      <c r="CI82" s="3" t="n"/>
      <c r="CJ82" s="3" t="n"/>
      <c r="CK82" s="3" t="n"/>
      <c r="CL82" s="3" t="n"/>
      <c r="CM82" s="3" t="n"/>
      <c r="CN82" s="3" t="n"/>
      <c r="CO82" s="3" t="n"/>
      <c r="CP82" s="3" t="n"/>
      <c r="CQ82" s="3" t="n"/>
      <c r="CR82" s="3" t="n"/>
      <c r="CS82" s="3" t="n"/>
      <c r="CT82" s="3" t="n"/>
      <c r="CU82" s="3" t="n"/>
      <c r="CV82" s="3" t="n"/>
      <c r="CW82" s="3" t="n"/>
      <c r="CX82" s="3" t="n"/>
      <c r="CY82" s="3" t="n"/>
    </row>
    <row r="83" hidden="1" outlineLevel="1">
      <c r="C83" s="34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  <c r="AA83" s="3" t="n"/>
      <c r="AB83" s="3" t="n"/>
      <c r="AC83" s="3" t="n"/>
      <c r="AD83" s="3" t="n"/>
      <c r="AE83" s="3" t="n"/>
      <c r="AF83" s="3" t="n"/>
      <c r="AG83" s="3" t="n"/>
      <c r="AH83" s="3" t="n"/>
      <c r="AI83" s="3" t="n"/>
      <c r="AJ83" s="3" t="n"/>
      <c r="AK83" s="3" t="n"/>
      <c r="AL83" s="3" t="n"/>
      <c r="AM83" s="3" t="n"/>
      <c r="AN83" s="3" t="n"/>
      <c r="AO83" s="3" t="n"/>
      <c r="AP83" s="3" t="n"/>
      <c r="AQ83" s="3" t="n"/>
      <c r="AR83" s="3" t="n"/>
      <c r="AS83" s="3" t="n"/>
      <c r="AT83" s="3" t="n"/>
      <c r="AU83" s="3" t="n"/>
      <c r="AV83" s="3" t="n"/>
      <c r="AW83" s="3" t="n"/>
      <c r="AX83" s="3" t="n"/>
      <c r="AY83" s="3" t="n"/>
      <c r="AZ83" s="3" t="n"/>
      <c r="BA83" s="3" t="n"/>
      <c r="BB83" s="3" t="n"/>
      <c r="BC83" s="3" t="n"/>
      <c r="BD83" s="3" t="n"/>
      <c r="BE83" s="3" t="n"/>
      <c r="BF83" s="3" t="n"/>
      <c r="BG83" s="3" t="n"/>
      <c r="BH83" s="3" t="n"/>
      <c r="BI83" s="3" t="n"/>
      <c r="BJ83" s="3" t="n"/>
      <c r="BK83" s="3" t="n"/>
      <c r="BL83" s="3" t="n"/>
      <c r="BM83" s="3" t="n"/>
      <c r="BN83" s="3" t="n"/>
      <c r="BO83" s="3" t="n"/>
      <c r="BP83" s="3" t="n"/>
      <c r="BQ83" s="3" t="n"/>
      <c r="BR83" s="3" t="n"/>
      <c r="BS83" s="3" t="n"/>
      <c r="BT83" s="3" t="n"/>
      <c r="BU83" s="3" t="n"/>
      <c r="BV83" s="3" t="n"/>
      <c r="BW83" s="3" t="n"/>
      <c r="BX83" s="3" t="n"/>
      <c r="BY83" s="3" t="n"/>
      <c r="BZ83" s="3" t="n"/>
      <c r="CA83" s="3" t="n"/>
      <c r="CB83" s="3" t="n"/>
      <c r="CC83" s="3" t="n"/>
      <c r="CD83" s="3" t="n"/>
      <c r="CE83" s="3" t="n"/>
      <c r="CF83" s="3" t="n"/>
      <c r="CG83" s="3" t="n"/>
      <c r="CH83" s="3" t="n"/>
      <c r="CI83" s="3" t="n"/>
      <c r="CJ83" s="3" t="n"/>
      <c r="CK83" s="3" t="n"/>
      <c r="CL83" s="3" t="n"/>
      <c r="CM83" s="3" t="n"/>
      <c r="CN83" s="3" t="n"/>
      <c r="CO83" s="3" t="n"/>
      <c r="CP83" s="3" t="n"/>
      <c r="CQ83" s="3" t="n"/>
      <c r="CR83" s="3" t="n"/>
      <c r="CS83" s="3" t="n"/>
      <c r="CT83" s="3" t="n"/>
      <c r="CU83" s="3" t="n"/>
      <c r="CV83" s="3" t="n"/>
      <c r="CW83" s="3" t="n"/>
      <c r="CX83" s="3" t="n"/>
      <c r="CY83" s="3" t="n"/>
    </row>
    <row r="84" hidden="1" outlineLevel="1">
      <c r="C84" s="34" t="inlineStr">
        <is>
          <t>Stake</t>
        </is>
      </c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  <c r="AA84" s="3" t="n"/>
      <c r="AB84" s="3" t="n"/>
      <c r="AC84" s="3" t="n"/>
      <c r="AD84" s="3" t="n"/>
      <c r="AE84" s="3" t="n"/>
      <c r="AF84" s="3" t="n"/>
      <c r="AG84" s="3" t="n"/>
      <c r="AH84" s="3" t="n"/>
      <c r="AI84" s="3" t="n"/>
      <c r="AJ84" s="3" t="n"/>
      <c r="AK84" s="3" t="n"/>
      <c r="AL84" s="3" t="n"/>
      <c r="AM84" s="3" t="n"/>
      <c r="AN84" s="3" t="n"/>
      <c r="AO84" s="3" t="n"/>
      <c r="AP84" s="3" t="n"/>
      <c r="AQ84" s="3" t="n"/>
      <c r="AR84" s="3" t="n"/>
      <c r="AS84" s="3" t="n"/>
      <c r="AT84" s="3" t="n"/>
      <c r="AU84" s="3" t="n"/>
      <c r="AV84" s="3" t="n"/>
      <c r="AW84" s="3" t="n"/>
      <c r="AX84" s="3" t="n"/>
      <c r="AY84" s="3" t="n"/>
      <c r="AZ84" s="3" t="n"/>
      <c r="BA84" s="3" t="n"/>
      <c r="BB84" s="3" t="n"/>
      <c r="BC84" s="3" t="n"/>
      <c r="BD84" s="3" t="n"/>
      <c r="BE84" s="3" t="n"/>
      <c r="BF84" s="3" t="n"/>
      <c r="BG84" s="3" t="n"/>
      <c r="BH84" s="3" t="n"/>
      <c r="BI84" s="3" t="n"/>
      <c r="BJ84" s="3" t="n"/>
      <c r="BK84" s="3" t="n"/>
      <c r="BL84" s="3" t="n"/>
      <c r="BM84" s="3" t="n"/>
      <c r="BN84" s="3" t="n"/>
      <c r="BO84" s="3" t="n"/>
      <c r="BP84" s="3" t="n"/>
      <c r="BQ84" s="3" t="n"/>
      <c r="BR84" s="3" t="n"/>
      <c r="BS84" s="3" t="n"/>
      <c r="BT84" s="3" t="n"/>
      <c r="BU84" s="3" t="n"/>
      <c r="BV84" s="3" t="n"/>
      <c r="BW84" s="3" t="n"/>
      <c r="BX84" s="3" t="n"/>
      <c r="BY84" s="3" t="n"/>
      <c r="BZ84" s="3" t="n"/>
      <c r="CA84" s="3" t="n"/>
      <c r="CB84" s="3" t="n"/>
      <c r="CC84" s="3" t="n"/>
      <c r="CD84" s="3" t="n"/>
      <c r="CE84" s="3" t="n"/>
      <c r="CF84" s="3" t="n"/>
      <c r="CG84" s="3" t="n"/>
      <c r="CH84" s="3" t="n"/>
      <c r="CI84" s="3" t="n"/>
      <c r="CJ84" s="3" t="n"/>
      <c r="CK84" s="3" t="n"/>
      <c r="CL84" s="3" t="n"/>
      <c r="CM84" s="3" t="n"/>
      <c r="CN84" s="3" t="n"/>
      <c r="CO84" s="3" t="n"/>
      <c r="CP84" s="3" t="n"/>
      <c r="CQ84" s="3" t="n"/>
      <c r="CR84" s="3" t="n"/>
      <c r="CS84" s="3" t="n"/>
      <c r="CT84" s="3" t="n"/>
      <c r="CU84" s="3" t="n"/>
      <c r="CV84" s="3" t="n"/>
      <c r="CW84" s="3" t="n"/>
      <c r="CX84" s="3" t="n"/>
      <c r="CY84" s="3" t="n"/>
    </row>
    <row r="85" hidden="1" outlineLevel="1">
      <c r="C85" s="34" t="inlineStr">
        <is>
          <t>PRE</t>
        </is>
      </c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  <c r="AA85" s="3" t="n"/>
      <c r="AB85" s="3" t="n"/>
      <c r="AC85" s="3" t="n"/>
      <c r="AD85" s="3" t="n"/>
      <c r="AE85" s="3" t="n"/>
      <c r="AF85" s="3" t="n"/>
      <c r="AG85" s="3" t="n"/>
      <c r="AH85" s="3" t="n"/>
      <c r="AI85" s="3" t="n"/>
      <c r="AJ85" s="3" t="n"/>
      <c r="AK85" s="3" t="n"/>
      <c r="AL85" s="3" t="n"/>
      <c r="AM85" s="3" t="n"/>
      <c r="AN85" s="3" t="n"/>
      <c r="AO85" s="3" t="n"/>
      <c r="AP85" s="3" t="n"/>
      <c r="AQ85" s="3" t="n"/>
      <c r="AR85" s="3" t="n"/>
      <c r="AS85" s="3" t="n"/>
      <c r="AT85" s="3" t="n"/>
      <c r="AU85" s="3" t="n"/>
      <c r="AV85" s="3" t="n"/>
      <c r="AW85" s="3" t="n"/>
      <c r="AX85" s="3" t="n"/>
      <c r="AY85" s="3" t="n"/>
      <c r="AZ85" s="3" t="n"/>
      <c r="BA85" s="3" t="n"/>
      <c r="BB85" s="3" t="n"/>
      <c r="BC85" s="3" t="n"/>
      <c r="BD85" s="3" t="n"/>
      <c r="BE85" s="3" t="n"/>
      <c r="BF85" s="3" t="n"/>
      <c r="BG85" s="3" t="n"/>
      <c r="BH85" s="3" t="n"/>
      <c r="BI85" s="3" t="n"/>
      <c r="BJ85" s="3" t="n"/>
      <c r="BK85" s="3" t="n"/>
      <c r="BL85" s="3" t="n"/>
      <c r="BM85" s="3" t="n"/>
      <c r="BN85" s="3" t="n"/>
      <c r="BO85" s="3" t="n"/>
      <c r="BP85" s="3" t="n"/>
      <c r="BQ85" s="3" t="n"/>
      <c r="BR85" s="3" t="n"/>
      <c r="BS85" s="3" t="n"/>
      <c r="BT85" s="3" t="n"/>
      <c r="BU85" s="3" t="n"/>
      <c r="BV85" s="3" t="n"/>
      <c r="BW85" s="3" t="n"/>
      <c r="BX85" s="3" t="n"/>
      <c r="BY85" s="3" t="n"/>
      <c r="BZ85" s="3" t="n"/>
      <c r="CA85" s="3" t="n"/>
      <c r="CB85" s="3" t="n"/>
      <c r="CC85" s="3" t="n"/>
      <c r="CD85" s="3" t="n"/>
      <c r="CE85" s="3" t="n"/>
      <c r="CF85" s="3" t="n"/>
      <c r="CG85" s="3" t="n"/>
      <c r="CH85" s="3" t="n"/>
      <c r="CI85" s="3" t="n"/>
      <c r="CJ85" s="3" t="n"/>
      <c r="CK85" s="3" t="n"/>
      <c r="CL85" s="3" t="n"/>
      <c r="CM85" s="3" t="n"/>
      <c r="CN85" s="3" t="n"/>
      <c r="CO85" s="3" t="n"/>
      <c r="CP85" s="3" t="n"/>
      <c r="CQ85" s="3" t="n"/>
      <c r="CR85" s="3" t="n"/>
      <c r="CS85" s="3" t="n"/>
      <c r="CT85" s="3" t="n"/>
      <c r="CU85" s="3" t="n"/>
      <c r="CV85" s="3" t="n"/>
      <c r="CW85" s="3" t="n"/>
      <c r="CX85" s="3" t="n"/>
      <c r="CY85" s="3" t="n"/>
    </row>
    <row r="86" hidden="1" outlineLevel="1">
      <c r="C86" s="34" t="inlineStr">
        <is>
          <t>CDI+</t>
        </is>
      </c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  <c r="AA86" s="3" t="n"/>
      <c r="AB86" s="3" t="n"/>
      <c r="AC86" s="3" t="n"/>
      <c r="AD86" s="3" t="n"/>
      <c r="AE86" s="3" t="n"/>
      <c r="AF86" s="3" t="n"/>
      <c r="AG86" s="3" t="n"/>
      <c r="AH86" s="3" t="n"/>
      <c r="AI86" s="3" t="n"/>
      <c r="AJ86" s="3" t="n"/>
      <c r="AK86" s="3" t="n"/>
      <c r="AL86" s="3" t="n"/>
      <c r="AM86" s="3" t="n"/>
      <c r="AN86" s="3" t="n"/>
      <c r="AO86" s="3" t="n"/>
      <c r="AP86" s="3" t="n"/>
      <c r="AQ86" s="3" t="n"/>
      <c r="AR86" s="3" t="n"/>
      <c r="AS86" s="3" t="n"/>
      <c r="AT86" s="3" t="n"/>
      <c r="AU86" s="3" t="n"/>
      <c r="AV86" s="3" t="n"/>
      <c r="AW86" s="3" t="n"/>
      <c r="AX86" s="3" t="n"/>
      <c r="AY86" s="3" t="n"/>
      <c r="AZ86" s="3" t="n"/>
      <c r="BA86" s="3" t="n"/>
      <c r="BB86" s="3" t="n"/>
      <c r="BC86" s="3" t="n"/>
      <c r="BD86" s="3" t="n"/>
      <c r="BE86" s="3" t="n"/>
      <c r="BF86" s="3" t="n"/>
      <c r="BG86" s="3" t="n"/>
      <c r="BH86" s="3" t="n"/>
      <c r="BI86" s="3" t="n"/>
      <c r="BJ86" s="3" t="n"/>
      <c r="BK86" s="3" t="n"/>
      <c r="BL86" s="3" t="n"/>
      <c r="BM86" s="3" t="n"/>
      <c r="BN86" s="3" t="n"/>
      <c r="BO86" s="3" t="n"/>
      <c r="BP86" s="3" t="n"/>
      <c r="BQ86" s="3" t="n"/>
      <c r="BR86" s="3" t="n"/>
      <c r="BS86" s="3" t="n"/>
      <c r="BT86" s="3" t="n"/>
      <c r="BU86" s="3" t="n"/>
      <c r="BV86" s="3" t="n"/>
      <c r="BW86" s="3" t="n"/>
      <c r="BX86" s="3" t="n"/>
      <c r="BY86" s="3" t="n"/>
      <c r="BZ86" s="3" t="n"/>
      <c r="CA86" s="3" t="n"/>
      <c r="CB86" s="3" t="n"/>
      <c r="CC86" s="3" t="n"/>
      <c r="CD86" s="3" t="n"/>
      <c r="CE86" s="3" t="n"/>
      <c r="CF86" s="3" t="n"/>
      <c r="CG86" s="3" t="n"/>
      <c r="CH86" s="3" t="n"/>
      <c r="CI86" s="3" t="n"/>
      <c r="CJ86" s="3" t="n"/>
      <c r="CK86" s="3" t="n"/>
      <c r="CL86" s="3" t="n"/>
      <c r="CM86" s="3" t="n"/>
      <c r="CN86" s="3" t="n"/>
      <c r="CO86" s="3" t="n"/>
      <c r="CP86" s="3" t="n"/>
      <c r="CQ86" s="3" t="n"/>
      <c r="CR86" s="3" t="n"/>
      <c r="CS86" s="3" t="n"/>
      <c r="CT86" s="3" t="n"/>
      <c r="CU86" s="3" t="n"/>
      <c r="CV86" s="3" t="n"/>
      <c r="CW86" s="3" t="n"/>
      <c r="CX86" s="3" t="n"/>
      <c r="CY86" s="3" t="n"/>
    </row>
    <row r="87" hidden="1" outlineLevel="1">
      <c r="C87" s="34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  <c r="AA87" s="3" t="n"/>
      <c r="AB87" s="3" t="n"/>
      <c r="AC87" s="3" t="n"/>
      <c r="AD87" s="3" t="n"/>
      <c r="AE87" s="3" t="n"/>
      <c r="AF87" s="3" t="n"/>
      <c r="AG87" s="3" t="n"/>
      <c r="AH87" s="3" t="n"/>
      <c r="AI87" s="3" t="n"/>
      <c r="AJ87" s="3" t="n"/>
      <c r="AK87" s="3" t="n"/>
      <c r="AL87" s="3" t="n"/>
      <c r="AM87" s="3" t="n"/>
      <c r="AN87" s="3" t="n"/>
      <c r="AO87" s="3" t="n"/>
      <c r="AP87" s="3" t="n"/>
      <c r="AQ87" s="3" t="n"/>
      <c r="AR87" s="3" t="n"/>
      <c r="AS87" s="3" t="n"/>
      <c r="AT87" s="3" t="n"/>
      <c r="AU87" s="3" t="n"/>
      <c r="AV87" s="3" t="n"/>
      <c r="AW87" s="3" t="n"/>
      <c r="AX87" s="3" t="n"/>
      <c r="AY87" s="3" t="n"/>
      <c r="AZ87" s="3" t="n"/>
      <c r="BA87" s="3" t="n"/>
      <c r="BB87" s="3" t="n"/>
      <c r="BC87" s="3" t="n"/>
      <c r="BD87" s="3" t="n"/>
      <c r="BE87" s="3" t="n"/>
      <c r="BF87" s="3" t="n"/>
      <c r="BG87" s="3" t="n"/>
      <c r="BH87" s="3" t="n"/>
      <c r="BI87" s="3" t="n"/>
      <c r="BJ87" s="3" t="n"/>
      <c r="BK87" s="3" t="n"/>
      <c r="BL87" s="3" t="n"/>
      <c r="BM87" s="3" t="n"/>
      <c r="BN87" s="3" t="n"/>
      <c r="BO87" s="3" t="n"/>
      <c r="BP87" s="3" t="n"/>
      <c r="BQ87" s="3" t="n"/>
      <c r="BR87" s="3" t="n"/>
      <c r="BS87" s="3" t="n"/>
      <c r="BT87" s="3" t="n"/>
      <c r="BU87" s="3" t="n"/>
      <c r="BV87" s="3" t="n"/>
      <c r="BW87" s="3" t="n"/>
      <c r="BX87" s="3" t="n"/>
      <c r="BY87" s="3" t="n"/>
      <c r="BZ87" s="3" t="n"/>
      <c r="CA87" s="3" t="n"/>
      <c r="CB87" s="3" t="n"/>
      <c r="CC87" s="3" t="n"/>
      <c r="CD87" s="3" t="n"/>
      <c r="CE87" s="3" t="n"/>
      <c r="CF87" s="3" t="n"/>
      <c r="CG87" s="3" t="n"/>
      <c r="CH87" s="3" t="n"/>
      <c r="CI87" s="3" t="n"/>
      <c r="CJ87" s="3" t="n"/>
      <c r="CK87" s="3" t="n"/>
      <c r="CL87" s="3" t="n"/>
      <c r="CM87" s="3" t="n"/>
      <c r="CN87" s="3" t="n"/>
      <c r="CO87" s="3" t="n"/>
      <c r="CP87" s="3" t="n"/>
      <c r="CQ87" s="3" t="n"/>
      <c r="CR87" s="3" t="n"/>
      <c r="CS87" s="3" t="n"/>
      <c r="CT87" s="3" t="n"/>
      <c r="CU87" s="3" t="n"/>
      <c r="CV87" s="3" t="n"/>
      <c r="CW87" s="3" t="n"/>
      <c r="CX87" s="3" t="n"/>
      <c r="CY87" s="3" t="n"/>
    </row>
    <row r="88" hidden="1" outlineLevel="1">
      <c r="C88" s="34" t="inlineStr">
        <is>
          <t>Spread</t>
        </is>
      </c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  <c r="AA88" s="3" t="n"/>
      <c r="AB88" s="3" t="n"/>
      <c r="AC88" s="3" t="n"/>
      <c r="AD88" s="3" t="n"/>
      <c r="AE88" s="3" t="n"/>
      <c r="AF88" s="3" t="n"/>
      <c r="AG88" s="3" t="n"/>
      <c r="AH88" s="3" t="n"/>
      <c r="AI88" s="3" t="n"/>
      <c r="AJ88" s="3" t="n"/>
      <c r="AK88" s="3" t="n"/>
      <c r="AL88" s="3" t="n"/>
      <c r="AM88" s="3" t="n"/>
      <c r="AN88" s="3" t="n"/>
      <c r="AO88" s="3" t="n"/>
      <c r="AP88" s="3" t="n"/>
      <c r="AQ88" s="3" t="n"/>
      <c r="AR88" s="3" t="n"/>
      <c r="AS88" s="3" t="n"/>
      <c r="AT88" s="3" t="n"/>
      <c r="AU88" s="3" t="n"/>
      <c r="AV88" s="3" t="n"/>
      <c r="AW88" s="3" t="n"/>
      <c r="AX88" s="3" t="n"/>
      <c r="AY88" s="3" t="n"/>
      <c r="AZ88" s="3" t="n"/>
      <c r="BA88" s="3" t="n"/>
      <c r="BB88" s="3" t="n"/>
      <c r="BC88" s="3" t="n"/>
      <c r="BD88" s="3" t="n"/>
      <c r="BE88" s="3" t="n"/>
      <c r="BF88" s="3" t="n"/>
      <c r="BG88" s="3" t="n"/>
      <c r="BH88" s="3" t="n"/>
      <c r="BI88" s="3" t="n"/>
      <c r="BJ88" s="3" t="n"/>
      <c r="BK88" s="3" t="n"/>
      <c r="BL88" s="3" t="n"/>
      <c r="BM88" s="3" t="n"/>
      <c r="BN88" s="3" t="n"/>
      <c r="BO88" s="3" t="n"/>
      <c r="BP88" s="3" t="n"/>
      <c r="BQ88" s="3" t="n"/>
      <c r="BR88" s="3" t="n"/>
      <c r="BS88" s="3" t="n"/>
      <c r="BT88" s="3" t="n"/>
      <c r="BU88" s="3" t="n"/>
      <c r="BV88" s="3" t="n"/>
      <c r="BW88" s="3" t="n"/>
      <c r="BX88" s="3" t="n"/>
      <c r="BY88" s="3" t="n"/>
      <c r="BZ88" s="3" t="n"/>
      <c r="CA88" s="3" t="n"/>
      <c r="CB88" s="3" t="n"/>
      <c r="CC88" s="3" t="n"/>
      <c r="CD88" s="3" t="n"/>
      <c r="CE88" s="3" t="n"/>
      <c r="CF88" s="3" t="n"/>
      <c r="CG88" s="3" t="n"/>
      <c r="CH88" s="3" t="n"/>
      <c r="CI88" s="3" t="n"/>
      <c r="CJ88" s="3" t="n"/>
      <c r="CK88" s="3" t="n"/>
      <c r="CL88" s="3" t="n"/>
      <c r="CM88" s="3" t="n"/>
      <c r="CN88" s="3" t="n"/>
      <c r="CO88" s="3" t="n"/>
      <c r="CP88" s="3" t="n"/>
      <c r="CQ88" s="3" t="n"/>
      <c r="CR88" s="3" t="n"/>
      <c r="CS88" s="3" t="n"/>
      <c r="CT88" s="3" t="n"/>
      <c r="CU88" s="3" t="n"/>
      <c r="CV88" s="3" t="n"/>
      <c r="CW88" s="3" t="n"/>
      <c r="CX88" s="3" t="n"/>
      <c r="CY88" s="3" t="n"/>
    </row>
    <row r="89" hidden="1" outlineLevel="1">
      <c r="C89" s="34" t="inlineStr">
        <is>
          <t>PRE</t>
        </is>
      </c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  <c r="AA89" s="3" t="n"/>
      <c r="AB89" s="3" t="n"/>
      <c r="AC89" s="3" t="n"/>
      <c r="AD89" s="3" t="n"/>
      <c r="AE89" s="3" t="n"/>
      <c r="AF89" s="3" t="n"/>
      <c r="AG89" s="3" t="n"/>
      <c r="AH89" s="3" t="n"/>
      <c r="AI89" s="3" t="n"/>
      <c r="AJ89" s="3" t="n"/>
      <c r="AK89" s="3" t="n"/>
      <c r="AL89" s="3" t="n"/>
      <c r="AM89" s="3" t="n"/>
      <c r="AN89" s="3" t="n"/>
      <c r="AO89" s="3" t="n"/>
      <c r="AP89" s="3" t="n"/>
      <c r="AQ89" s="3" t="n"/>
      <c r="AR89" s="3" t="n"/>
      <c r="AS89" s="3" t="n"/>
      <c r="AT89" s="3" t="n"/>
      <c r="AU89" s="3" t="n"/>
      <c r="AV89" s="3" t="n"/>
      <c r="AW89" s="3" t="n"/>
      <c r="AX89" s="3" t="n"/>
      <c r="AY89" s="3" t="n"/>
      <c r="AZ89" s="3" t="n"/>
      <c r="BA89" s="3" t="n"/>
      <c r="BB89" s="3" t="n"/>
      <c r="BC89" s="3" t="n"/>
      <c r="BD89" s="3" t="n"/>
      <c r="BE89" s="3" t="n"/>
      <c r="BF89" s="3" t="n"/>
      <c r="BG89" s="3" t="n"/>
      <c r="BH89" s="3" t="n"/>
      <c r="BI89" s="3" t="n"/>
      <c r="BJ89" s="3" t="n"/>
      <c r="BK89" s="3" t="n"/>
      <c r="BL89" s="3" t="n"/>
      <c r="BM89" s="3" t="n"/>
      <c r="BN89" s="3" t="n"/>
      <c r="BO89" s="3" t="n"/>
      <c r="BP89" s="3" t="n"/>
      <c r="BQ89" s="3" t="n"/>
      <c r="BR89" s="3" t="n"/>
      <c r="BS89" s="3" t="n"/>
      <c r="BT89" s="3" t="n"/>
      <c r="BU89" s="3" t="n"/>
      <c r="BV89" s="3" t="n"/>
      <c r="BW89" s="3" t="n"/>
      <c r="BX89" s="3" t="n"/>
      <c r="BY89" s="3" t="n"/>
      <c r="BZ89" s="3" t="n"/>
      <c r="CA89" s="3" t="n"/>
      <c r="CB89" s="3" t="n"/>
      <c r="CC89" s="3" t="n"/>
      <c r="CD89" s="3" t="n"/>
      <c r="CE89" s="3" t="n"/>
      <c r="CF89" s="3" t="n"/>
      <c r="CG89" s="3" t="n"/>
      <c r="CH89" s="3" t="n"/>
      <c r="CI89" s="3" t="n"/>
      <c r="CJ89" s="3" t="n"/>
      <c r="CK89" s="3" t="n"/>
      <c r="CL89" s="3" t="n"/>
      <c r="CM89" s="3" t="n"/>
      <c r="CN89" s="3" t="n"/>
      <c r="CO89" s="3" t="n"/>
      <c r="CP89" s="3" t="n"/>
      <c r="CQ89" s="3" t="n"/>
      <c r="CR89" s="3" t="n"/>
      <c r="CS89" s="3" t="n"/>
      <c r="CT89" s="3" t="n"/>
      <c r="CU89" s="3" t="n"/>
      <c r="CV89" s="3" t="n"/>
      <c r="CW89" s="3" t="n"/>
      <c r="CX89" s="3" t="n"/>
      <c r="CY89" s="3" t="n"/>
    </row>
    <row r="90" hidden="1" outlineLevel="1">
      <c r="C90" s="34" t="inlineStr">
        <is>
          <t>CDI+</t>
        </is>
      </c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  <c r="AA90" s="3" t="n"/>
      <c r="AB90" s="3" t="n"/>
      <c r="AC90" s="3" t="n"/>
      <c r="AD90" s="3" t="n"/>
      <c r="AE90" s="3" t="n"/>
      <c r="AF90" s="3" t="n"/>
      <c r="AG90" s="3" t="n"/>
      <c r="AH90" s="3" t="n"/>
      <c r="AI90" s="3" t="n"/>
      <c r="AJ90" s="3" t="n"/>
      <c r="AK90" s="3" t="n"/>
      <c r="AL90" s="3" t="n"/>
      <c r="AM90" s="3" t="n"/>
      <c r="AN90" s="3" t="n"/>
      <c r="AO90" s="3" t="n"/>
      <c r="AP90" s="3" t="n"/>
      <c r="AQ90" s="3" t="n"/>
      <c r="AR90" s="3" t="n"/>
      <c r="AS90" s="3" t="n"/>
      <c r="AT90" s="3" t="n"/>
      <c r="AU90" s="3" t="n"/>
      <c r="AV90" s="3" t="n"/>
      <c r="AW90" s="3" t="n"/>
      <c r="AX90" s="3" t="n"/>
      <c r="AY90" s="3" t="n"/>
      <c r="AZ90" s="3" t="n"/>
      <c r="BA90" s="3" t="n"/>
      <c r="BB90" s="3" t="n"/>
      <c r="BC90" s="3" t="n"/>
      <c r="BD90" s="3" t="n"/>
      <c r="BE90" s="3" t="n"/>
      <c r="BF90" s="3" t="n"/>
      <c r="BG90" s="3" t="n"/>
      <c r="BH90" s="3" t="n"/>
      <c r="BI90" s="3" t="n"/>
      <c r="BJ90" s="3" t="n"/>
      <c r="BK90" s="3" t="n"/>
      <c r="BL90" s="3" t="n"/>
      <c r="BM90" s="3" t="n"/>
      <c r="BN90" s="3" t="n"/>
      <c r="BO90" s="3" t="n"/>
      <c r="BP90" s="3" t="n"/>
      <c r="BQ90" s="3" t="n"/>
      <c r="BR90" s="3" t="n"/>
      <c r="BS90" s="3" t="n"/>
      <c r="BT90" s="3" t="n"/>
      <c r="BU90" s="3" t="n"/>
      <c r="BV90" s="3" t="n"/>
      <c r="BW90" s="3" t="n"/>
      <c r="BX90" s="3" t="n"/>
      <c r="BY90" s="3" t="n"/>
      <c r="BZ90" s="3" t="n"/>
      <c r="CA90" s="3" t="n"/>
      <c r="CB90" s="3" t="n"/>
      <c r="CC90" s="3" t="n"/>
      <c r="CD90" s="3" t="n"/>
      <c r="CE90" s="3" t="n"/>
      <c r="CF90" s="3" t="n"/>
      <c r="CG90" s="3" t="n"/>
      <c r="CH90" s="3" t="n"/>
      <c r="CI90" s="3" t="n"/>
      <c r="CJ90" s="3" t="n"/>
      <c r="CK90" s="3" t="n"/>
      <c r="CL90" s="3" t="n"/>
      <c r="CM90" s="3" t="n"/>
      <c r="CN90" s="3" t="n"/>
      <c r="CO90" s="3" t="n"/>
      <c r="CP90" s="3" t="n"/>
      <c r="CQ90" s="3" t="n"/>
      <c r="CR90" s="3" t="n"/>
      <c r="CS90" s="3" t="n"/>
      <c r="CT90" s="3" t="n"/>
      <c r="CU90" s="3" t="n"/>
      <c r="CV90" s="3" t="n"/>
      <c r="CW90" s="3" t="n"/>
      <c r="CX90" s="3" t="n"/>
      <c r="CY90" s="3" t="n"/>
    </row>
    <row r="91" hidden="1" outlineLevel="1">
      <c r="C91" s="34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  <c r="AA91" s="3" t="n"/>
      <c r="AB91" s="3" t="n"/>
      <c r="AC91" s="3" t="n"/>
      <c r="AD91" s="3" t="n"/>
      <c r="AE91" s="3" t="n"/>
      <c r="AF91" s="3" t="n"/>
      <c r="AG91" s="3" t="n"/>
      <c r="AH91" s="3" t="n"/>
      <c r="AI91" s="3" t="n"/>
      <c r="AJ91" s="3" t="n"/>
      <c r="AK91" s="3" t="n"/>
      <c r="AL91" s="3" t="n"/>
      <c r="AM91" s="3" t="n"/>
      <c r="AN91" s="3" t="n"/>
      <c r="AO91" s="3" t="n"/>
      <c r="AP91" s="3" t="n"/>
      <c r="AQ91" s="3" t="n"/>
      <c r="AR91" s="3" t="n"/>
      <c r="AS91" s="3" t="n"/>
      <c r="AT91" s="3" t="n"/>
      <c r="AU91" s="3" t="n"/>
      <c r="AV91" s="3" t="n"/>
      <c r="AW91" s="3" t="n"/>
      <c r="AX91" s="3" t="n"/>
      <c r="AY91" s="3" t="n"/>
      <c r="AZ91" s="3" t="n"/>
      <c r="BA91" s="3" t="n"/>
      <c r="BB91" s="3" t="n"/>
      <c r="BC91" s="3" t="n"/>
      <c r="BD91" s="3" t="n"/>
      <c r="BE91" s="3" t="n"/>
      <c r="BF91" s="3" t="n"/>
      <c r="BG91" s="3" t="n"/>
      <c r="BH91" s="3" t="n"/>
      <c r="BI91" s="3" t="n"/>
      <c r="BJ91" s="3" t="n"/>
      <c r="BK91" s="3" t="n"/>
      <c r="BL91" s="3" t="n"/>
      <c r="BM91" s="3" t="n"/>
      <c r="BN91" s="3" t="n"/>
      <c r="BO91" s="3" t="n"/>
      <c r="BP91" s="3" t="n"/>
      <c r="BQ91" s="3" t="n"/>
      <c r="BR91" s="3" t="n"/>
      <c r="BS91" s="3" t="n"/>
      <c r="BT91" s="3" t="n"/>
      <c r="BU91" s="3" t="n"/>
      <c r="BV91" s="3" t="n"/>
      <c r="BW91" s="3" t="n"/>
      <c r="BX91" s="3" t="n"/>
      <c r="BY91" s="3" t="n"/>
      <c r="BZ91" s="3" t="n"/>
      <c r="CA91" s="3" t="n"/>
      <c r="CB91" s="3" t="n"/>
      <c r="CC91" s="3" t="n"/>
      <c r="CD91" s="3" t="n"/>
      <c r="CE91" s="3" t="n"/>
      <c r="CF91" s="3" t="n"/>
      <c r="CG91" s="3" t="n"/>
      <c r="CH91" s="3" t="n"/>
      <c r="CI91" s="3" t="n"/>
      <c r="CJ91" s="3" t="n"/>
      <c r="CK91" s="3" t="n"/>
      <c r="CL91" s="3" t="n"/>
      <c r="CM91" s="3" t="n"/>
      <c r="CN91" s="3" t="n"/>
      <c r="CO91" s="3" t="n"/>
      <c r="CP91" s="3" t="n"/>
      <c r="CQ91" s="3" t="n"/>
      <c r="CR91" s="3" t="n"/>
      <c r="CS91" s="3" t="n"/>
      <c r="CT91" s="3" t="n"/>
      <c r="CU91" s="3" t="n"/>
      <c r="CV91" s="3" t="n"/>
      <c r="CW91" s="3" t="n"/>
      <c r="CX91" s="3" t="n"/>
      <c r="CY91" s="3" t="n"/>
    </row>
    <row r="92" hidden="1" outlineLevel="1">
      <c r="C92" s="34" t="inlineStr">
        <is>
          <t>RECEITAS FINANCEIRAS - Rendimentos de aplicações financeiras</t>
        </is>
      </c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  <c r="AA92" s="3" t="n"/>
      <c r="AB92" s="3" t="n"/>
      <c r="AC92" s="3" t="n"/>
      <c r="AD92" s="3" t="n"/>
      <c r="AE92" s="3" t="n"/>
      <c r="AF92" s="3" t="n"/>
      <c r="AG92" s="3" t="n"/>
      <c r="AH92" s="3" t="n"/>
      <c r="AI92" s="3" t="n"/>
      <c r="AJ92" s="3" t="n"/>
      <c r="AK92" s="3" t="n"/>
      <c r="AL92" s="3" t="n"/>
      <c r="AM92" s="3" t="n"/>
      <c r="AN92" s="3" t="n"/>
      <c r="AO92" s="3" t="n"/>
      <c r="AP92" s="3" t="n"/>
      <c r="AQ92" s="3" t="n"/>
      <c r="AR92" s="3" t="n"/>
      <c r="AS92" s="3" t="n"/>
      <c r="AT92" s="3" t="n"/>
      <c r="AU92" s="3" t="n"/>
      <c r="AV92" s="3" t="n"/>
      <c r="AW92" s="3" t="n"/>
      <c r="AX92" s="3" t="n"/>
      <c r="AY92" s="3" t="n"/>
      <c r="AZ92" s="3" t="n"/>
      <c r="BA92" s="3" t="n"/>
      <c r="BB92" s="3" t="n"/>
      <c r="BC92" s="3" t="n"/>
      <c r="BD92" s="3" t="n"/>
      <c r="BE92" s="3" t="n"/>
      <c r="BF92" s="3" t="n"/>
      <c r="BG92" s="3" t="n"/>
      <c r="BH92" s="3" t="n"/>
      <c r="BI92" s="3" t="n"/>
      <c r="BJ92" s="3" t="n"/>
      <c r="BK92" s="3" t="n"/>
      <c r="BL92" s="3" t="n"/>
      <c r="BM92" s="3" t="n"/>
      <c r="BN92" s="3" t="n"/>
      <c r="BO92" s="3" t="n"/>
      <c r="BP92" s="3" t="n"/>
      <c r="BQ92" s="3" t="n"/>
      <c r="BR92" s="3" t="n"/>
      <c r="BS92" s="3" t="n"/>
      <c r="BT92" s="3" t="n"/>
      <c r="BU92" s="3" t="n"/>
      <c r="BV92" s="3" t="n"/>
      <c r="BW92" s="3" t="n"/>
      <c r="BX92" s="3" t="n"/>
      <c r="BY92" s="3" t="n"/>
      <c r="BZ92" s="3" t="n"/>
      <c r="CA92" s="3" t="n"/>
      <c r="CB92" s="3" t="n"/>
      <c r="CC92" s="3" t="n"/>
      <c r="CD92" s="3" t="n"/>
      <c r="CE92" s="3" t="n"/>
      <c r="CF92" s="3" t="n"/>
      <c r="CG92" s="3" t="n"/>
      <c r="CH92" s="3" t="n"/>
      <c r="CI92" s="3" t="n"/>
      <c r="CJ92" s="3" t="n"/>
      <c r="CK92" s="3" t="n"/>
      <c r="CL92" s="3" t="n"/>
      <c r="CM92" s="3" t="n"/>
      <c r="CN92" s="3" t="n"/>
      <c r="CO92" s="3" t="n"/>
      <c r="CP92" s="3" t="n"/>
      <c r="CQ92" s="3" t="n"/>
      <c r="CR92" s="3" t="n"/>
      <c r="CS92" s="3" t="n"/>
      <c r="CT92" s="3" t="n"/>
      <c r="CU92" s="3" t="n"/>
      <c r="CV92" s="3" t="n"/>
      <c r="CW92" s="3" t="n"/>
      <c r="CX92" s="3" t="n"/>
      <c r="CY92" s="3" t="n"/>
    </row>
    <row r="93" hidden="1" outlineLevel="1">
      <c r="C93" s="34" t="inlineStr">
        <is>
          <t>RECEITAS FINANCEIRAS - Variação cambial ativa</t>
        </is>
      </c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  <c r="AA93" s="3" t="n"/>
      <c r="AB93" s="3" t="n"/>
      <c r="AC93" s="3" t="n"/>
      <c r="AD93" s="3" t="n"/>
      <c r="AE93" s="3" t="n"/>
      <c r="AF93" s="3" t="n"/>
      <c r="AG93" s="3" t="n"/>
      <c r="AH93" s="3" t="n"/>
      <c r="AI93" s="3" t="n"/>
      <c r="AJ93" s="3" t="n"/>
      <c r="AK93" s="3" t="n"/>
      <c r="AL93" s="3" t="n"/>
      <c r="AM93" s="3" t="n"/>
      <c r="AN93" s="3" t="n"/>
      <c r="AO93" s="3" t="n"/>
      <c r="AP93" s="3" t="n"/>
      <c r="AQ93" s="3" t="n"/>
      <c r="AR93" s="3" t="n"/>
      <c r="AS93" s="3" t="n"/>
      <c r="AT93" s="3" t="n"/>
      <c r="AU93" s="3" t="n"/>
      <c r="AV93" s="3" t="n"/>
      <c r="AW93" s="3" t="n"/>
      <c r="AX93" s="3" t="n"/>
      <c r="AY93" s="3" t="n"/>
      <c r="AZ93" s="3" t="n"/>
      <c r="BA93" s="3" t="n"/>
      <c r="BB93" s="3" t="n"/>
      <c r="BC93" s="3" t="n"/>
      <c r="BD93" s="3" t="n"/>
      <c r="BE93" s="3" t="n"/>
      <c r="BF93" s="3" t="n"/>
      <c r="BG93" s="3" t="n"/>
      <c r="BH93" s="3" t="n"/>
      <c r="BI93" s="3" t="n"/>
      <c r="BJ93" s="3" t="n"/>
      <c r="BK93" s="3" t="n"/>
      <c r="BL93" s="3" t="n"/>
      <c r="BM93" s="3" t="n"/>
      <c r="BN93" s="3" t="n"/>
      <c r="BO93" s="3" t="n"/>
      <c r="BP93" s="3" t="n"/>
      <c r="BQ93" s="3" t="n"/>
      <c r="BR93" s="3" t="n"/>
      <c r="BS93" s="3" t="n"/>
      <c r="BT93" s="3" t="n"/>
      <c r="BU93" s="3" t="n"/>
      <c r="BV93" s="3" t="n"/>
      <c r="BW93" s="3" t="n"/>
      <c r="BX93" s="3" t="n"/>
      <c r="BY93" s="3" t="n"/>
      <c r="BZ93" s="3" t="n"/>
      <c r="CA93" s="3" t="n"/>
      <c r="CB93" s="3" t="n"/>
      <c r="CC93" s="3" t="n"/>
      <c r="CD93" s="3" t="n"/>
      <c r="CE93" s="3" t="n"/>
      <c r="CF93" s="3" t="n"/>
      <c r="CG93" s="3" t="n"/>
      <c r="CH93" s="3" t="n"/>
      <c r="CI93" s="3" t="n"/>
      <c r="CJ93" s="3" t="n"/>
      <c r="CK93" s="3" t="n"/>
      <c r="CL93" s="3" t="n"/>
      <c r="CM93" s="3" t="n"/>
      <c r="CN93" s="3" t="n"/>
      <c r="CO93" s="3" t="n"/>
      <c r="CP93" s="3" t="n"/>
      <c r="CQ93" s="3" t="n"/>
      <c r="CR93" s="3" t="n"/>
      <c r="CS93" s="3" t="n"/>
      <c r="CT93" s="3" t="n"/>
      <c r="CU93" s="3" t="n"/>
      <c r="CV93" s="3" t="n"/>
      <c r="CW93" s="3" t="n"/>
      <c r="CX93" s="3" t="n"/>
      <c r="CY93" s="3" t="n"/>
    </row>
    <row r="94" hidden="1" outlineLevel="1">
      <c r="C94" s="34" t="inlineStr">
        <is>
          <t>RECEITAS FINANCEIRAS - Atualização de contas a pagar por aquisição de empresas</t>
        </is>
      </c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  <c r="AA94" s="3" t="n"/>
      <c r="AB94" s="3" t="n"/>
      <c r="AC94" s="3" t="n"/>
      <c r="AD94" s="3" t="n"/>
      <c r="AE94" s="3" t="n"/>
      <c r="AF94" s="3" t="n"/>
      <c r="AG94" s="3" t="n"/>
      <c r="AH94" s="3" t="n"/>
      <c r="AI94" s="3" t="n"/>
      <c r="AJ94" s="3" t="n"/>
      <c r="AK94" s="3" t="n"/>
      <c r="AL94" s="3" t="n"/>
      <c r="AM94" s="3" t="n"/>
      <c r="AN94" s="3" t="n"/>
      <c r="AO94" s="3" t="n"/>
      <c r="AP94" s="3" t="n"/>
      <c r="AQ94" s="3" t="n"/>
      <c r="AR94" s="3" t="n"/>
      <c r="AS94" s="3" t="n"/>
      <c r="AT94" s="3" t="n"/>
      <c r="AU94" s="3" t="n"/>
      <c r="AV94" s="3" t="n"/>
      <c r="AW94" s="3" t="n"/>
      <c r="AX94" s="3" t="n"/>
      <c r="AY94" s="3" t="n"/>
      <c r="AZ94" s="3" t="n"/>
      <c r="BA94" s="3" t="n"/>
      <c r="BB94" s="3" t="n"/>
      <c r="BC94" s="3" t="n"/>
      <c r="BD94" s="3" t="n"/>
      <c r="BE94" s="3" t="n"/>
      <c r="BF94" s="3" t="n"/>
      <c r="BG94" s="3" t="n"/>
      <c r="BH94" s="3" t="n"/>
      <c r="BI94" s="3" t="n"/>
      <c r="BJ94" s="3" t="n"/>
      <c r="BK94" s="3" t="n"/>
      <c r="BL94" s="3" t="n"/>
      <c r="BM94" s="3" t="n"/>
      <c r="BN94" s="3" t="n"/>
      <c r="BO94" s="3" t="n"/>
      <c r="BP94" s="3" t="n"/>
      <c r="BQ94" s="3" t="n"/>
      <c r="BR94" s="3" t="n"/>
      <c r="BS94" s="3" t="n"/>
      <c r="BT94" s="3" t="n"/>
      <c r="BU94" s="3" t="n"/>
      <c r="BV94" s="3" t="n"/>
      <c r="BW94" s="3" t="n"/>
      <c r="BX94" s="3" t="n"/>
      <c r="BY94" s="3" t="n"/>
      <c r="BZ94" s="3" t="n"/>
      <c r="CA94" s="3" t="n"/>
      <c r="CB94" s="3" t="n"/>
      <c r="CC94" s="3" t="n"/>
      <c r="CD94" s="3" t="n"/>
      <c r="CE94" s="3" t="n"/>
      <c r="CF94" s="3" t="n"/>
      <c r="CG94" s="3" t="n"/>
      <c r="CH94" s="3" t="n"/>
      <c r="CI94" s="3" t="n"/>
      <c r="CJ94" s="3" t="n"/>
      <c r="CK94" s="3" t="n"/>
      <c r="CL94" s="3" t="n"/>
      <c r="CM94" s="3" t="n"/>
      <c r="CN94" s="3" t="n"/>
      <c r="CO94" s="3" t="n"/>
      <c r="CP94" s="3" t="n"/>
      <c r="CQ94" s="3" t="n"/>
      <c r="CR94" s="3" t="n"/>
      <c r="CS94" s="3" t="n"/>
      <c r="CT94" s="3" t="n"/>
      <c r="CU94" s="3" t="n"/>
      <c r="CV94" s="3" t="n"/>
      <c r="CW94" s="3" t="n"/>
      <c r="CX94" s="3" t="n"/>
      <c r="CY94" s="3" t="n"/>
    </row>
    <row r="95" hidden="1" outlineLevel="1">
      <c r="C95" s="34" t="inlineStr">
        <is>
          <t>RECEITAS FINANCEIRAS - Resultado positivo com instrumentos derivativos</t>
        </is>
      </c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  <c r="AA95" s="3" t="n"/>
      <c r="AB95" s="3" t="n"/>
      <c r="AC95" s="3" t="n"/>
      <c r="AD95" s="3" t="n"/>
      <c r="AE95" s="3" t="n"/>
      <c r="AF95" s="3" t="n"/>
      <c r="AG95" s="3" t="n"/>
      <c r="AH95" s="3" t="n"/>
      <c r="AI95" s="3" t="n"/>
      <c r="AJ95" s="3" t="n"/>
      <c r="AK95" s="3" t="n"/>
      <c r="AL95" s="3" t="n"/>
      <c r="AM95" s="3" t="n"/>
      <c r="AN95" s="3" t="n"/>
      <c r="AO95" s="3" t="n"/>
      <c r="AP95" s="3" t="n"/>
      <c r="AQ95" s="3" t="n"/>
      <c r="AR95" s="3" t="n"/>
      <c r="AS95" s="3" t="n"/>
      <c r="AT95" s="3" t="n"/>
      <c r="AU95" s="3" t="n"/>
      <c r="AV95" s="3" t="n"/>
      <c r="AW95" s="3" t="n"/>
      <c r="AX95" s="3" t="n"/>
      <c r="AY95" s="3" t="n"/>
      <c r="AZ95" s="3" t="n"/>
      <c r="BA95" s="3" t="n"/>
      <c r="BB95" s="3" t="n"/>
      <c r="BC95" s="3" t="n"/>
      <c r="BD95" s="3" t="n"/>
      <c r="BE95" s="3" t="n"/>
      <c r="BF95" s="3" t="n"/>
      <c r="BG95" s="3" t="n"/>
      <c r="BH95" s="3" t="n"/>
      <c r="BI95" s="3" t="n"/>
      <c r="BJ95" s="3" t="n"/>
      <c r="BK95" s="3" t="n"/>
      <c r="BL95" s="3" t="n"/>
      <c r="BM95" s="3" t="n"/>
      <c r="BN95" s="3" t="n"/>
      <c r="BO95" s="3" t="n"/>
      <c r="BP95" s="3" t="n"/>
      <c r="BQ95" s="3" t="n"/>
      <c r="BR95" s="3" t="n"/>
      <c r="BS95" s="3" t="n"/>
      <c r="BT95" s="3" t="n"/>
      <c r="BU95" s="3" t="n"/>
      <c r="BV95" s="3" t="n"/>
      <c r="BW95" s="3" t="n"/>
      <c r="BX95" s="3" t="n"/>
      <c r="BY95" s="3" t="n"/>
      <c r="BZ95" s="3" t="n"/>
      <c r="CA95" s="3" t="n"/>
      <c r="CB95" s="3" t="n"/>
      <c r="CC95" s="3" t="n"/>
      <c r="CD95" s="3" t="n"/>
      <c r="CE95" s="3" t="n"/>
      <c r="CF95" s="3" t="n"/>
      <c r="CG95" s="3" t="n"/>
      <c r="CH95" s="3" t="n"/>
      <c r="CI95" s="3" t="n"/>
      <c r="CJ95" s="3" t="n"/>
      <c r="CK95" s="3" t="n"/>
      <c r="CL95" s="3" t="n"/>
      <c r="CM95" s="3" t="n"/>
      <c r="CN95" s="3" t="n"/>
      <c r="CO95" s="3" t="n"/>
      <c r="CP95" s="3" t="n"/>
      <c r="CQ95" s="3" t="n"/>
      <c r="CR95" s="3" t="n"/>
      <c r="CS95" s="3" t="n"/>
      <c r="CT95" s="3" t="n"/>
      <c r="CU95" s="3" t="n"/>
      <c r="CV95" s="3" t="n"/>
      <c r="CW95" s="3" t="n"/>
      <c r="CX95" s="3" t="n"/>
      <c r="CY95" s="3" t="n"/>
    </row>
    <row r="96" hidden="1" outlineLevel="1">
      <c r="C96" s="34" t="inlineStr">
        <is>
          <t>RECEITAS FINANCEIRAS - Descontos obtidos de fornecedores por antecipação</t>
        </is>
      </c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  <c r="AA96" s="3" t="n"/>
      <c r="AB96" s="3" t="n"/>
      <c r="AC96" s="3" t="n"/>
      <c r="AD96" s="3" t="n"/>
      <c r="AE96" s="3" t="n"/>
      <c r="AF96" s="3" t="n"/>
      <c r="AG96" s="3" t="n"/>
      <c r="AH96" s="3" t="n"/>
      <c r="AI96" s="3" t="n"/>
      <c r="AJ96" s="3" t="n"/>
      <c r="AK96" s="3" t="n"/>
      <c r="AL96" s="3" t="n"/>
      <c r="AM96" s="3" t="n"/>
      <c r="AN96" s="3" t="n"/>
      <c r="AO96" s="3" t="n"/>
      <c r="AP96" s="3" t="n"/>
      <c r="AQ96" s="3" t="n"/>
      <c r="AR96" s="3" t="n"/>
      <c r="AS96" s="3" t="n"/>
      <c r="AT96" s="3" t="n"/>
      <c r="AU96" s="3" t="n"/>
      <c r="AV96" s="3" t="n"/>
      <c r="AW96" s="3" t="n"/>
      <c r="AX96" s="3" t="n"/>
      <c r="AY96" s="3" t="n"/>
      <c r="AZ96" s="3" t="n"/>
      <c r="BA96" s="3" t="n"/>
      <c r="BB96" s="3" t="n"/>
      <c r="BC96" s="3" t="n"/>
      <c r="BD96" s="3" t="n"/>
      <c r="BE96" s="3" t="n"/>
      <c r="BF96" s="3" t="n"/>
      <c r="BG96" s="3" t="n"/>
      <c r="BH96" s="3" t="n"/>
      <c r="BI96" s="3" t="n"/>
      <c r="BJ96" s="3" t="n"/>
      <c r="BK96" s="3" t="n"/>
      <c r="BL96" s="3" t="n"/>
      <c r="BM96" s="3" t="n"/>
      <c r="BN96" s="3" t="n"/>
      <c r="BO96" s="3" t="n"/>
      <c r="BP96" s="3" t="n"/>
      <c r="BQ96" s="3" t="n"/>
      <c r="BR96" s="3" t="n"/>
      <c r="BS96" s="3" t="n"/>
      <c r="BT96" s="3" t="n"/>
      <c r="BU96" s="3" t="n"/>
      <c r="BV96" s="3" t="n"/>
      <c r="BW96" s="3" t="n"/>
      <c r="BX96" s="3" t="n"/>
      <c r="BY96" s="3" t="n"/>
      <c r="BZ96" s="3" t="n"/>
      <c r="CA96" s="3" t="n"/>
      <c r="CB96" s="3" t="n"/>
      <c r="CC96" s="3" t="n"/>
      <c r="CD96" s="3" t="n"/>
      <c r="CE96" s="3" t="n"/>
      <c r="CF96" s="3" t="n"/>
      <c r="CG96" s="3" t="n"/>
      <c r="CH96" s="3" t="n"/>
      <c r="CI96" s="3" t="n"/>
      <c r="CJ96" s="3" t="n"/>
      <c r="CK96" s="3" t="n"/>
      <c r="CL96" s="3" t="n"/>
      <c r="CM96" s="3" t="n"/>
      <c r="CN96" s="3" t="n"/>
      <c r="CO96" s="3" t="n"/>
      <c r="CP96" s="3" t="n"/>
      <c r="CQ96" s="3" t="n"/>
      <c r="CR96" s="3" t="n"/>
      <c r="CS96" s="3" t="n"/>
      <c r="CT96" s="3" t="n"/>
      <c r="CU96" s="3" t="n"/>
      <c r="CV96" s="3" t="n"/>
      <c r="CW96" s="3" t="n"/>
      <c r="CX96" s="3" t="n"/>
      <c r="CY96" s="3" t="n"/>
    </row>
    <row r="97" hidden="1" outlineLevel="1">
      <c r="C97" s="34" t="inlineStr">
        <is>
          <t>RECEITAS FINANCEIRAS - Atualização monetária sobre Exclusão ICMS da base de PIS/COFINS (nota explicativa nº 7)</t>
        </is>
      </c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  <c r="AA97" s="3" t="n"/>
      <c r="AB97" s="3" t="n"/>
      <c r="AC97" s="3" t="n"/>
      <c r="AD97" s="3" t="n"/>
      <c r="AE97" s="3" t="n"/>
      <c r="AF97" s="3" t="n"/>
      <c r="AG97" s="3" t="n"/>
      <c r="AH97" s="3" t="n"/>
      <c r="AI97" s="3" t="n"/>
      <c r="AJ97" s="3" t="n"/>
      <c r="AK97" s="3" t="n"/>
      <c r="AL97" s="3" t="n"/>
      <c r="AM97" s="3" t="n"/>
      <c r="AN97" s="3" t="n"/>
      <c r="AO97" s="3" t="n"/>
      <c r="AP97" s="3" t="n"/>
      <c r="AQ97" s="3" t="n"/>
      <c r="AR97" s="3" t="n"/>
      <c r="AS97" s="3" t="n"/>
      <c r="AT97" s="3" t="n"/>
      <c r="AU97" s="3" t="n"/>
      <c r="AV97" s="3" t="n"/>
      <c r="AW97" s="3" t="n"/>
      <c r="AX97" s="3" t="n"/>
      <c r="AY97" s="3" t="n"/>
      <c r="AZ97" s="3" t="n"/>
      <c r="BA97" s="3" t="n"/>
      <c r="BB97" s="3" t="n"/>
      <c r="BC97" s="3" t="n"/>
      <c r="BD97" s="3" t="n"/>
      <c r="BE97" s="3" t="n"/>
      <c r="BF97" s="3" t="n"/>
      <c r="BG97" s="3" t="n"/>
      <c r="BH97" s="3" t="n"/>
      <c r="BI97" s="3" t="n"/>
      <c r="BJ97" s="3" t="n"/>
      <c r="BK97" s="3" t="n"/>
      <c r="BL97" s="3" t="n"/>
      <c r="BM97" s="3" t="n"/>
      <c r="BN97" s="3" t="n"/>
      <c r="BO97" s="3" t="n"/>
      <c r="BP97" s="3" t="n"/>
      <c r="BQ97" s="3" t="n"/>
      <c r="BR97" s="3" t="n"/>
      <c r="BS97" s="3" t="n"/>
      <c r="BT97" s="3" t="n"/>
      <c r="BU97" s="3" t="n"/>
      <c r="BV97" s="3" t="n"/>
      <c r="BW97" s="3" t="n"/>
      <c r="BX97" s="3" t="n"/>
      <c r="BY97" s="3" t="n"/>
      <c r="BZ97" s="3" t="n"/>
      <c r="CA97" s="3" t="n"/>
      <c r="CB97" s="3" t="n"/>
      <c r="CC97" s="3" t="n"/>
      <c r="CD97" s="3" t="n"/>
      <c r="CE97" s="3" t="n"/>
      <c r="CF97" s="3" t="n"/>
      <c r="CG97" s="3" t="n"/>
      <c r="CH97" s="3" t="n"/>
      <c r="CI97" s="3" t="n"/>
      <c r="CJ97" s="3" t="n"/>
      <c r="CK97" s="3" t="n"/>
      <c r="CL97" s="3" t="n"/>
      <c r="CM97" s="3" t="n"/>
      <c r="CN97" s="3" t="n"/>
      <c r="CO97" s="3" t="n"/>
      <c r="CP97" s="3" t="n"/>
      <c r="CQ97" s="3" t="n"/>
      <c r="CR97" s="3" t="n"/>
      <c r="CS97" s="3" t="n"/>
      <c r="CT97" s="3" t="n"/>
      <c r="CU97" s="3" t="n"/>
      <c r="CV97" s="3" t="n"/>
      <c r="CW97" s="3" t="n"/>
      <c r="CX97" s="3" t="n"/>
      <c r="CY97" s="3" t="n"/>
    </row>
    <row r="98" hidden="1" outlineLevel="1">
      <c r="C98" s="34" t="inlineStr">
        <is>
          <t>RECEITAS FINANCEIRAS - Outras</t>
        </is>
      </c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  <c r="AA98" s="3" t="n"/>
      <c r="AB98" s="3" t="n"/>
      <c r="AC98" s="3" t="n"/>
      <c r="AD98" s="3" t="n"/>
      <c r="AE98" s="3" t="n"/>
      <c r="AF98" s="3" t="n"/>
      <c r="AG98" s="3" t="n"/>
      <c r="AH98" s="3" t="n"/>
      <c r="AI98" s="3" t="n"/>
      <c r="AJ98" s="3" t="n"/>
      <c r="AK98" s="3" t="n"/>
      <c r="AL98" s="3" t="n"/>
      <c r="AM98" s="3" t="n"/>
      <c r="AN98" s="3" t="n"/>
      <c r="AO98" s="3" t="n"/>
      <c r="AP98" s="3" t="n"/>
      <c r="AQ98" s="3" t="n"/>
      <c r="AR98" s="3" t="n"/>
      <c r="AS98" s="3" t="n"/>
      <c r="AT98" s="3" t="n"/>
      <c r="AU98" s="3" t="n"/>
      <c r="AV98" s="3" t="n"/>
      <c r="AW98" s="3" t="n"/>
      <c r="AX98" s="3" t="n"/>
      <c r="AY98" s="3" t="n"/>
      <c r="AZ98" s="3" t="n"/>
      <c r="BA98" s="3" t="n"/>
      <c r="BB98" s="3" t="n"/>
      <c r="BC98" s="3" t="n"/>
      <c r="BD98" s="3" t="n"/>
      <c r="BE98" s="3" t="n"/>
      <c r="BF98" s="3" t="n"/>
      <c r="BG98" s="3" t="n"/>
      <c r="BH98" s="3" t="n"/>
      <c r="BI98" s="3" t="n"/>
      <c r="BJ98" s="3" t="n"/>
      <c r="BK98" s="3" t="n"/>
      <c r="BL98" s="3" t="n"/>
      <c r="BM98" s="3" t="n"/>
      <c r="BN98" s="3" t="n"/>
      <c r="BO98" s="3" t="n"/>
      <c r="BP98" s="3" t="n"/>
      <c r="BQ98" s="3" t="n"/>
      <c r="BR98" s="3" t="n"/>
      <c r="BS98" s="3" t="n"/>
      <c r="BT98" s="3" t="n"/>
      <c r="BU98" s="3" t="n"/>
      <c r="BV98" s="3" t="n"/>
      <c r="BW98" s="3" t="n"/>
      <c r="BX98" s="3" t="n"/>
      <c r="BY98" s="3" t="n"/>
      <c r="BZ98" s="3" t="n"/>
      <c r="CA98" s="3" t="n"/>
      <c r="CB98" s="3" t="n"/>
      <c r="CC98" s="3" t="n"/>
      <c r="CD98" s="3" t="n"/>
      <c r="CE98" s="3" t="n"/>
      <c r="CF98" s="3" t="n"/>
      <c r="CG98" s="3" t="n"/>
      <c r="CH98" s="3" t="n"/>
      <c r="CI98" s="3" t="n"/>
      <c r="CJ98" s="3" t="n"/>
      <c r="CK98" s="3" t="n"/>
      <c r="CL98" s="3" t="n"/>
      <c r="CM98" s="3" t="n"/>
      <c r="CN98" s="3" t="n"/>
      <c r="CO98" s="3" t="n"/>
      <c r="CP98" s="3" t="n"/>
      <c r="CQ98" s="3" t="n"/>
      <c r="CR98" s="3" t="n"/>
      <c r="CS98" s="3" t="n"/>
      <c r="CT98" s="3" t="n"/>
      <c r="CU98" s="3" t="n"/>
      <c r="CV98" s="3" t="n"/>
      <c r="CW98" s="3" t="n"/>
      <c r="CX98" s="3" t="n"/>
      <c r="CY98" s="3" t="n"/>
    </row>
    <row r="99" hidden="1" outlineLevel="1">
      <c r="C99" s="34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  <c r="AA99" s="3" t="n"/>
      <c r="AB99" s="3" t="n"/>
      <c r="AC99" s="3" t="n"/>
      <c r="AD99" s="3" t="n"/>
      <c r="AE99" s="3" t="n"/>
      <c r="AF99" s="3" t="n"/>
      <c r="AG99" s="3" t="n"/>
      <c r="AH99" s="3" t="n"/>
      <c r="AI99" s="3" t="n"/>
      <c r="AJ99" s="3" t="n"/>
      <c r="AK99" s="3" t="n"/>
      <c r="AL99" s="3" t="n"/>
      <c r="AM99" s="3" t="n"/>
      <c r="AN99" s="3" t="n"/>
      <c r="AO99" s="3" t="n"/>
      <c r="AP99" s="3" t="n"/>
      <c r="AQ99" s="3" t="n"/>
      <c r="AR99" s="3" t="n"/>
      <c r="AS99" s="3" t="n"/>
      <c r="AT99" s="3" t="n"/>
      <c r="AU99" s="3" t="n"/>
      <c r="AV99" s="3" t="n"/>
      <c r="AW99" s="3" t="n"/>
      <c r="AX99" s="3" t="n"/>
      <c r="AY99" s="3" t="n"/>
      <c r="AZ99" s="3" t="n"/>
      <c r="BA99" s="3" t="n"/>
      <c r="BB99" s="3" t="n"/>
      <c r="BC99" s="3" t="n"/>
      <c r="BD99" s="3" t="n"/>
      <c r="BE99" s="3" t="n"/>
      <c r="BF99" s="3" t="n"/>
      <c r="BG99" s="3" t="n"/>
      <c r="BH99" s="3" t="n"/>
      <c r="BI99" s="3" t="n"/>
      <c r="BJ99" s="3" t="n"/>
      <c r="BK99" s="3" t="n"/>
      <c r="BL99" s="3" t="n"/>
      <c r="BM99" s="3" t="n"/>
      <c r="BN99" s="3" t="n"/>
      <c r="BO99" s="3" t="n"/>
      <c r="BP99" s="3" t="n"/>
      <c r="BQ99" s="3" t="n"/>
      <c r="BR99" s="3" t="n"/>
      <c r="BS99" s="3" t="n"/>
      <c r="BT99" s="3" t="n"/>
      <c r="BU99" s="3" t="n"/>
      <c r="BV99" s="3" t="n"/>
      <c r="BW99" s="3" t="n"/>
      <c r="BX99" s="3" t="n"/>
      <c r="BY99" s="3" t="n"/>
      <c r="BZ99" s="3" t="n"/>
      <c r="CA99" s="3" t="n"/>
      <c r="CB99" s="3" t="n"/>
      <c r="CC99" s="3" t="n"/>
      <c r="CD99" s="3" t="n"/>
      <c r="CE99" s="3" t="n"/>
      <c r="CF99" s="3" t="n"/>
      <c r="CG99" s="3" t="n"/>
      <c r="CH99" s="3" t="n"/>
      <c r="CI99" s="3" t="n"/>
      <c r="CJ99" s="3" t="n"/>
      <c r="CK99" s="3" t="n"/>
      <c r="CL99" s="3" t="n"/>
      <c r="CM99" s="3" t="n"/>
      <c r="CN99" s="3" t="n"/>
      <c r="CO99" s="3" t="n"/>
      <c r="CP99" s="3" t="n"/>
      <c r="CQ99" s="3" t="n"/>
      <c r="CR99" s="3" t="n"/>
      <c r="CS99" s="3" t="n"/>
      <c r="CT99" s="3" t="n"/>
      <c r="CU99" s="3" t="n"/>
      <c r="CV99" s="3" t="n"/>
      <c r="CW99" s="3" t="n"/>
      <c r="CX99" s="3" t="n"/>
      <c r="CY99" s="3" t="n"/>
    </row>
    <row r="100" hidden="1" outlineLevel="1">
      <c r="C100" s="34" t="inlineStr">
        <is>
          <t>DESPESAS FINANCEIRAS - Encargos sobre empréstimos, financiamentos e debêntures</t>
        </is>
      </c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  <c r="AA100" s="3" t="n"/>
      <c r="AB100" s="3" t="n"/>
      <c r="AC100" s="3" t="n"/>
      <c r="AD100" s="3" t="n"/>
      <c r="AE100" s="3" t="n"/>
      <c r="AF100" s="3" t="n"/>
      <c r="AG100" s="3" t="n"/>
      <c r="AH100" s="3" t="n"/>
      <c r="AI100" s="3" t="n"/>
      <c r="AJ100" s="3" t="n"/>
      <c r="AK100" s="3" t="n"/>
      <c r="AL100" s="3" t="n"/>
      <c r="AM100" s="3" t="n"/>
      <c r="AN100" s="3" t="n"/>
      <c r="AO100" s="3" t="n"/>
      <c r="AP100" s="3" t="n"/>
      <c r="AQ100" s="3" t="n"/>
      <c r="AR100" s="3" t="n"/>
      <c r="AS100" s="3" t="n"/>
      <c r="AT100" s="3" t="n"/>
      <c r="AU100" s="3" t="n"/>
      <c r="AV100" s="3" t="n"/>
      <c r="AW100" s="3" t="n"/>
      <c r="AX100" s="3" t="n"/>
      <c r="AY100" s="3" t="n"/>
      <c r="AZ100" s="3" t="n"/>
      <c r="BA100" s="3" t="n"/>
      <c r="BB100" s="3" t="n"/>
      <c r="BC100" s="3" t="n"/>
      <c r="BD100" s="3" t="n"/>
      <c r="BE100" s="3" t="n"/>
      <c r="BF100" s="3" t="n"/>
      <c r="BG100" s="3" t="n"/>
      <c r="BH100" s="3" t="n"/>
      <c r="BI100" s="3" t="n"/>
      <c r="BJ100" s="3" t="n"/>
      <c r="BK100" s="3" t="n"/>
      <c r="BL100" s="3" t="n"/>
      <c r="BM100" s="3" t="n"/>
      <c r="BN100" s="3" t="n"/>
      <c r="BO100" s="3" t="n"/>
      <c r="BP100" s="3" t="n"/>
      <c r="BQ100" s="3" t="n"/>
      <c r="BR100" s="3" t="n"/>
      <c r="BS100" s="3" t="n"/>
      <c r="BT100" s="3" t="n"/>
      <c r="BU100" s="3" t="n"/>
      <c r="BV100" s="3" t="n"/>
      <c r="BW100" s="3" t="n"/>
      <c r="BX100" s="3" t="n"/>
      <c r="BY100" s="3" t="n"/>
      <c r="BZ100" s="3" t="n"/>
      <c r="CA100" s="3" t="n"/>
      <c r="CB100" s="3" t="n"/>
      <c r="CC100" s="3" t="n"/>
      <c r="CD100" s="3" t="n"/>
      <c r="CE100" s="3" t="n"/>
      <c r="CF100" s="3" t="n"/>
      <c r="CG100" s="3" t="n"/>
      <c r="CH100" s="3" t="n"/>
      <c r="CI100" s="3" t="n"/>
      <c r="CJ100" s="3" t="n"/>
      <c r="CK100" s="3" t="n"/>
      <c r="CL100" s="3" t="n"/>
      <c r="CM100" s="3" t="n"/>
      <c r="CN100" s="3" t="n"/>
      <c r="CO100" s="3" t="n"/>
      <c r="CP100" s="3" t="n"/>
      <c r="CQ100" s="3" t="n"/>
      <c r="CR100" s="3" t="n"/>
      <c r="CS100" s="3" t="n"/>
      <c r="CT100" s="3" t="n"/>
      <c r="CU100" s="3" t="n"/>
      <c r="CV100" s="3" t="n"/>
      <c r="CW100" s="3" t="n"/>
      <c r="CX100" s="3" t="n"/>
      <c r="CY100" s="3" t="n"/>
    </row>
    <row r="101" hidden="1" outlineLevel="1">
      <c r="C101" s="34" t="inlineStr">
        <is>
          <t>DESPESAS FINANCEIRAS - Variação cambial passiva</t>
        </is>
      </c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  <c r="AA101" s="3" t="n"/>
      <c r="AB101" s="3" t="n"/>
      <c r="AC101" s="3" t="n"/>
      <c r="AD101" s="3" t="n"/>
      <c r="AE101" s="3" t="n"/>
      <c r="AF101" s="3" t="n"/>
      <c r="AG101" s="3" t="n"/>
      <c r="AH101" s="3" t="n"/>
      <c r="AI101" s="3" t="n"/>
      <c r="AJ101" s="3" t="n"/>
      <c r="AK101" s="3" t="n"/>
      <c r="AL101" s="3" t="n"/>
      <c r="AM101" s="3" t="n"/>
      <c r="AN101" s="3" t="n"/>
      <c r="AO101" s="3" t="n"/>
      <c r="AP101" s="3" t="n"/>
      <c r="AQ101" s="3" t="n"/>
      <c r="AR101" s="3" t="n"/>
      <c r="AS101" s="3" t="n"/>
      <c r="AT101" s="3" t="n"/>
      <c r="AU101" s="3" t="n"/>
      <c r="AV101" s="3" t="n"/>
      <c r="AW101" s="3" t="n"/>
      <c r="AX101" s="3" t="n"/>
      <c r="AY101" s="3" t="n"/>
      <c r="AZ101" s="3" t="n"/>
      <c r="BA101" s="3" t="n"/>
      <c r="BB101" s="3" t="n"/>
      <c r="BC101" s="3" t="n"/>
      <c r="BD101" s="3" t="n"/>
      <c r="BE101" s="3" t="n"/>
      <c r="BF101" s="3" t="n"/>
      <c r="BG101" s="3" t="n"/>
      <c r="BH101" s="3" t="n"/>
      <c r="BI101" s="3" t="n"/>
      <c r="BJ101" s="3" t="n"/>
      <c r="BK101" s="3" t="n"/>
      <c r="BL101" s="3" t="n"/>
      <c r="BM101" s="3" t="n"/>
      <c r="BN101" s="3" t="n"/>
      <c r="BO101" s="3" t="n"/>
      <c r="BP101" s="3" t="n"/>
      <c r="BQ101" s="3" t="n"/>
      <c r="BR101" s="3" t="n"/>
      <c r="BS101" s="3" t="n"/>
      <c r="BT101" s="3" t="n"/>
      <c r="BU101" s="3" t="n"/>
      <c r="BV101" s="3" t="n"/>
      <c r="BW101" s="3" t="n"/>
      <c r="BX101" s="3" t="n"/>
      <c r="BY101" s="3" t="n"/>
      <c r="BZ101" s="3" t="n"/>
      <c r="CA101" s="3" t="n"/>
      <c r="CB101" s="3" t="n"/>
      <c r="CC101" s="3" t="n"/>
      <c r="CD101" s="3" t="n"/>
      <c r="CE101" s="3" t="n"/>
      <c r="CF101" s="3" t="n"/>
      <c r="CG101" s="3" t="n"/>
      <c r="CH101" s="3" t="n"/>
      <c r="CI101" s="3" t="n"/>
      <c r="CJ101" s="3" t="n"/>
      <c r="CK101" s="3" t="n"/>
      <c r="CL101" s="3" t="n"/>
      <c r="CM101" s="3" t="n"/>
      <c r="CN101" s="3" t="n"/>
      <c r="CO101" s="3" t="n"/>
      <c r="CP101" s="3" t="n"/>
      <c r="CQ101" s="3" t="n"/>
      <c r="CR101" s="3" t="n"/>
      <c r="CS101" s="3" t="n"/>
      <c r="CT101" s="3" t="n"/>
      <c r="CU101" s="3" t="n"/>
      <c r="CV101" s="3" t="n"/>
      <c r="CW101" s="3" t="n"/>
      <c r="CX101" s="3" t="n"/>
      <c r="CY101" s="3" t="n"/>
    </row>
    <row r="102" hidden="1" outlineLevel="1">
      <c r="C102" s="34" t="inlineStr">
        <is>
          <t>DESPESAS FINANCEIRAS - Resultado negativo com instrumentos derivativos</t>
        </is>
      </c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  <c r="AA102" s="3" t="n"/>
      <c r="AB102" s="3" t="n"/>
      <c r="AC102" s="3" t="n"/>
      <c r="AD102" s="3" t="n"/>
      <c r="AE102" s="3" t="n"/>
      <c r="AF102" s="3" t="n"/>
      <c r="AG102" s="3" t="n"/>
      <c r="AH102" s="3" t="n"/>
      <c r="AI102" s="3" t="n"/>
      <c r="AJ102" s="3" t="n"/>
      <c r="AK102" s="3" t="n"/>
      <c r="AL102" s="3" t="n"/>
      <c r="AM102" s="3" t="n"/>
      <c r="AN102" s="3" t="n"/>
      <c r="AO102" s="3" t="n"/>
      <c r="AP102" s="3" t="n"/>
      <c r="AQ102" s="3" t="n"/>
      <c r="AR102" s="3" t="n"/>
      <c r="AS102" s="3" t="n"/>
      <c r="AT102" s="3" t="n"/>
      <c r="AU102" s="3" t="n"/>
      <c r="AV102" s="3" t="n"/>
      <c r="AW102" s="3" t="n"/>
      <c r="AX102" s="3" t="n"/>
      <c r="AY102" s="3" t="n"/>
      <c r="AZ102" s="3" t="n"/>
      <c r="BA102" s="3" t="n"/>
      <c r="BB102" s="3" t="n"/>
      <c r="BC102" s="3" t="n"/>
      <c r="BD102" s="3" t="n"/>
      <c r="BE102" s="3" t="n"/>
      <c r="BF102" s="3" t="n"/>
      <c r="BG102" s="3" t="n"/>
      <c r="BH102" s="3" t="n"/>
      <c r="BI102" s="3" t="n"/>
      <c r="BJ102" s="3" t="n"/>
      <c r="BK102" s="3" t="n"/>
      <c r="BL102" s="3" t="n"/>
      <c r="BM102" s="3" t="n"/>
      <c r="BN102" s="3" t="n"/>
      <c r="BO102" s="3" t="n"/>
      <c r="BP102" s="3" t="n"/>
      <c r="BQ102" s="3" t="n"/>
      <c r="BR102" s="3" t="n"/>
      <c r="BS102" s="3" t="n"/>
      <c r="BT102" s="3" t="n"/>
      <c r="BU102" s="3" t="n"/>
      <c r="BV102" s="3" t="n"/>
      <c r="BW102" s="3" t="n"/>
      <c r="BX102" s="3" t="n"/>
      <c r="BY102" s="3" t="n"/>
      <c r="BZ102" s="3" t="n"/>
      <c r="CA102" s="3" t="n"/>
      <c r="CB102" s="3" t="n"/>
      <c r="CC102" s="3" t="n"/>
      <c r="CD102" s="3" t="n"/>
      <c r="CE102" s="3" t="n"/>
      <c r="CF102" s="3" t="n"/>
      <c r="CG102" s="3" t="n"/>
      <c r="CH102" s="3" t="n"/>
      <c r="CI102" s="3" t="n"/>
      <c r="CJ102" s="3" t="n"/>
      <c r="CK102" s="3" t="n"/>
      <c r="CL102" s="3" t="n"/>
      <c r="CM102" s="3" t="n"/>
      <c r="CN102" s="3" t="n"/>
      <c r="CO102" s="3" t="n"/>
      <c r="CP102" s="3" t="n"/>
      <c r="CQ102" s="3" t="n"/>
      <c r="CR102" s="3" t="n"/>
      <c r="CS102" s="3" t="n"/>
      <c r="CT102" s="3" t="n"/>
      <c r="CU102" s="3" t="n"/>
      <c r="CV102" s="3" t="n"/>
      <c r="CW102" s="3" t="n"/>
      <c r="CX102" s="3" t="n"/>
      <c r="CY102" s="3" t="n"/>
    </row>
    <row r="103" hidden="1" outlineLevel="1">
      <c r="C103" s="34" t="inlineStr">
        <is>
          <t>DESPESAS FINANCEIRAS - Juros sobre arrendamento - IFRS16</t>
        </is>
      </c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  <c r="AA103" s="3" t="n"/>
      <c r="AB103" s="3" t="n"/>
      <c r="AC103" s="3" t="n"/>
      <c r="AD103" s="3" t="n"/>
      <c r="AE103" s="3" t="n"/>
      <c r="AF103" s="3" t="n"/>
      <c r="AG103" s="3" t="n"/>
      <c r="AH103" s="3" t="n"/>
      <c r="AI103" s="3" t="n"/>
      <c r="AJ103" s="3" t="n"/>
      <c r="AK103" s="3" t="n"/>
      <c r="AL103" s="3" t="n"/>
      <c r="AM103" s="3" t="n"/>
      <c r="AN103" s="3" t="n"/>
      <c r="AO103" s="3" t="n"/>
      <c r="AP103" s="3" t="n"/>
      <c r="AQ103" s="3" t="n"/>
      <c r="AR103" s="3" t="n"/>
      <c r="AS103" s="3" t="n"/>
      <c r="AT103" s="3" t="n"/>
      <c r="AU103" s="3" t="n"/>
      <c r="AV103" s="3" t="n"/>
      <c r="AW103" s="3" t="n"/>
      <c r="AX103" s="3" t="n"/>
      <c r="AY103" s="3" t="n"/>
      <c r="AZ103" s="3" t="n"/>
      <c r="BA103" s="3" t="n"/>
      <c r="BB103" s="3" t="n"/>
      <c r="BC103" s="3" t="n"/>
      <c r="BD103" s="3" t="n"/>
      <c r="BE103" s="3" t="n"/>
      <c r="BF103" s="3" t="n"/>
      <c r="BG103" s="3" t="n"/>
      <c r="BH103" s="3" t="n"/>
      <c r="BI103" s="3" t="n"/>
      <c r="BJ103" s="3" t="n"/>
      <c r="BK103" s="3" t="n"/>
      <c r="BL103" s="3" t="n"/>
      <c r="BM103" s="3" t="n"/>
      <c r="BN103" s="3" t="n"/>
      <c r="BO103" s="3" t="n"/>
      <c r="BP103" s="3" t="n"/>
      <c r="BQ103" s="3" t="n"/>
      <c r="BR103" s="3" t="n"/>
      <c r="BS103" s="3" t="n"/>
      <c r="BT103" s="3" t="n"/>
      <c r="BU103" s="3" t="n"/>
      <c r="BV103" s="3" t="n"/>
      <c r="BW103" s="3" t="n"/>
      <c r="BX103" s="3" t="n"/>
      <c r="BY103" s="3" t="n"/>
      <c r="BZ103" s="3" t="n"/>
      <c r="CA103" s="3" t="n"/>
      <c r="CB103" s="3" t="n"/>
      <c r="CC103" s="3" t="n"/>
      <c r="CD103" s="3" t="n"/>
      <c r="CE103" s="3" t="n"/>
      <c r="CF103" s="3" t="n"/>
      <c r="CG103" s="3" t="n"/>
      <c r="CH103" s="3" t="n"/>
      <c r="CI103" s="3" t="n"/>
      <c r="CJ103" s="3" t="n"/>
      <c r="CK103" s="3" t="n"/>
      <c r="CL103" s="3" t="n"/>
      <c r="CM103" s="3" t="n"/>
      <c r="CN103" s="3" t="n"/>
      <c r="CO103" s="3" t="n"/>
      <c r="CP103" s="3" t="n"/>
      <c r="CQ103" s="3" t="n"/>
      <c r="CR103" s="3" t="n"/>
      <c r="CS103" s="3" t="n"/>
      <c r="CT103" s="3" t="n"/>
      <c r="CU103" s="3" t="n"/>
      <c r="CV103" s="3" t="n"/>
      <c r="CW103" s="3" t="n"/>
      <c r="CX103" s="3" t="n"/>
      <c r="CY103" s="3" t="n"/>
    </row>
    <row r="104" hidden="1" outlineLevel="1">
      <c r="C104" s="34" t="inlineStr">
        <is>
          <t>DESPESAS FINANCEIRAS - Despesas bancárias</t>
        </is>
      </c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  <c r="AA104" s="3" t="n"/>
      <c r="AB104" s="3" t="n"/>
      <c r="AC104" s="3" t="n"/>
      <c r="AD104" s="3" t="n"/>
      <c r="AE104" s="3" t="n"/>
      <c r="AF104" s="3" t="n"/>
      <c r="AG104" s="3" t="n"/>
      <c r="AH104" s="3" t="n"/>
      <c r="AI104" s="3" t="n"/>
      <c r="AJ104" s="3" t="n"/>
      <c r="AK104" s="3" t="n"/>
      <c r="AL104" s="3" t="n"/>
      <c r="AM104" s="3" t="n"/>
      <c r="AN104" s="3" t="n"/>
      <c r="AO104" s="3" t="n"/>
      <c r="AP104" s="3" t="n"/>
      <c r="AQ104" s="3" t="n"/>
      <c r="AR104" s="3" t="n"/>
      <c r="AS104" s="3" t="n"/>
      <c r="AT104" s="3" t="n"/>
      <c r="AU104" s="3" t="n"/>
      <c r="AV104" s="3" t="n"/>
      <c r="AW104" s="3" t="n"/>
      <c r="AX104" s="3" t="n"/>
      <c r="AY104" s="3" t="n"/>
      <c r="AZ104" s="3" t="n"/>
      <c r="BA104" s="3" t="n"/>
      <c r="BB104" s="3" t="n"/>
      <c r="BC104" s="3" t="n"/>
      <c r="BD104" s="3" t="n"/>
      <c r="BE104" s="3" t="n"/>
      <c r="BF104" s="3" t="n"/>
      <c r="BG104" s="3" t="n"/>
      <c r="BH104" s="3" t="n"/>
      <c r="BI104" s="3" t="n"/>
      <c r="BJ104" s="3" t="n"/>
      <c r="BK104" s="3" t="n"/>
      <c r="BL104" s="3" t="n"/>
      <c r="BM104" s="3" t="n"/>
      <c r="BN104" s="3" t="n"/>
      <c r="BO104" s="3" t="n"/>
      <c r="BP104" s="3" t="n"/>
      <c r="BQ104" s="3" t="n"/>
      <c r="BR104" s="3" t="n"/>
      <c r="BS104" s="3" t="n"/>
      <c r="BT104" s="3" t="n"/>
      <c r="BU104" s="3" t="n"/>
      <c r="BV104" s="3" t="n"/>
      <c r="BW104" s="3" t="n"/>
      <c r="BX104" s="3" t="n"/>
      <c r="BY104" s="3" t="n"/>
      <c r="BZ104" s="3" t="n"/>
      <c r="CA104" s="3" t="n"/>
      <c r="CB104" s="3" t="n"/>
      <c r="CC104" s="3" t="n"/>
      <c r="CD104" s="3" t="n"/>
      <c r="CE104" s="3" t="n"/>
      <c r="CF104" s="3" t="n"/>
      <c r="CG104" s="3" t="n"/>
      <c r="CH104" s="3" t="n"/>
      <c r="CI104" s="3" t="n"/>
      <c r="CJ104" s="3" t="n"/>
      <c r="CK104" s="3" t="n"/>
      <c r="CL104" s="3" t="n"/>
      <c r="CM104" s="3" t="n"/>
      <c r="CN104" s="3" t="n"/>
      <c r="CO104" s="3" t="n"/>
      <c r="CP104" s="3" t="n"/>
      <c r="CQ104" s="3" t="n"/>
      <c r="CR104" s="3" t="n"/>
      <c r="CS104" s="3" t="n"/>
      <c r="CT104" s="3" t="n"/>
      <c r="CU104" s="3" t="n"/>
      <c r="CV104" s="3" t="n"/>
      <c r="CW104" s="3" t="n"/>
      <c r="CX104" s="3" t="n"/>
      <c r="CY104" s="3" t="n"/>
    </row>
    <row r="105" hidden="1" outlineLevel="1">
      <c r="C105" s="34" t="inlineStr">
        <is>
          <t>DESPESAS FINANCEIRAS - Despesas com obtenção de empréstimos e financiamentos</t>
        </is>
      </c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  <c r="AA105" s="3" t="n"/>
      <c r="AB105" s="3" t="n"/>
      <c r="AC105" s="3" t="n"/>
      <c r="AD105" s="3" t="n"/>
      <c r="AE105" s="3" t="n"/>
      <c r="AF105" s="3" t="n"/>
      <c r="AG105" s="3" t="n"/>
      <c r="AH105" s="3" t="n"/>
      <c r="AI105" s="3" t="n"/>
      <c r="AJ105" s="3" t="n"/>
      <c r="AK105" s="3" t="n"/>
      <c r="AL105" s="3" t="n"/>
      <c r="AM105" s="3" t="n"/>
      <c r="AN105" s="3" t="n"/>
      <c r="AO105" s="3" t="n"/>
      <c r="AP105" s="3" t="n"/>
      <c r="AQ105" s="3" t="n"/>
      <c r="AR105" s="3" t="n"/>
      <c r="AS105" s="3" t="n"/>
      <c r="AT105" s="3" t="n"/>
      <c r="AU105" s="3" t="n"/>
      <c r="AV105" s="3" t="n"/>
      <c r="AW105" s="3" t="n"/>
      <c r="AX105" s="3" t="n"/>
      <c r="AY105" s="3" t="n"/>
      <c r="AZ105" s="3" t="n"/>
      <c r="BA105" s="3" t="n"/>
      <c r="BB105" s="3" t="n"/>
      <c r="BC105" s="3" t="n"/>
      <c r="BD105" s="3" t="n"/>
      <c r="BE105" s="3" t="n"/>
      <c r="BF105" s="3" t="n"/>
      <c r="BG105" s="3" t="n"/>
      <c r="BH105" s="3" t="n"/>
      <c r="BI105" s="3" t="n"/>
      <c r="BJ105" s="3" t="n"/>
      <c r="BK105" s="3" t="n"/>
      <c r="BL105" s="3" t="n"/>
      <c r="BM105" s="3" t="n"/>
      <c r="BN105" s="3" t="n"/>
      <c r="BO105" s="3" t="n"/>
      <c r="BP105" s="3" t="n"/>
      <c r="BQ105" s="3" t="n"/>
      <c r="BR105" s="3" t="n"/>
      <c r="BS105" s="3" t="n"/>
      <c r="BT105" s="3" t="n"/>
      <c r="BU105" s="3" t="n"/>
      <c r="BV105" s="3" t="n"/>
      <c r="BW105" s="3" t="n"/>
      <c r="BX105" s="3" t="n"/>
      <c r="BY105" s="3" t="n"/>
      <c r="BZ105" s="3" t="n"/>
      <c r="CA105" s="3" t="n"/>
      <c r="CB105" s="3" t="n"/>
      <c r="CC105" s="3" t="n"/>
      <c r="CD105" s="3" t="n"/>
      <c r="CE105" s="3" t="n"/>
      <c r="CF105" s="3" t="n"/>
      <c r="CG105" s="3" t="n"/>
      <c r="CH105" s="3" t="n"/>
      <c r="CI105" s="3" t="n"/>
      <c r="CJ105" s="3" t="n"/>
      <c r="CK105" s="3" t="n"/>
      <c r="CL105" s="3" t="n"/>
      <c r="CM105" s="3" t="n"/>
      <c r="CN105" s="3" t="n"/>
      <c r="CO105" s="3" t="n"/>
      <c r="CP105" s="3" t="n"/>
      <c r="CQ105" s="3" t="n"/>
      <c r="CR105" s="3" t="n"/>
      <c r="CS105" s="3" t="n"/>
      <c r="CT105" s="3" t="n"/>
      <c r="CU105" s="3" t="n"/>
      <c r="CV105" s="3" t="n"/>
      <c r="CW105" s="3" t="n"/>
      <c r="CX105" s="3" t="n"/>
      <c r="CY105" s="3" t="n"/>
    </row>
    <row r="106" hidden="1" outlineLevel="1">
      <c r="C106" s="34" t="inlineStr">
        <is>
          <t>DESPESAS FINANCEIRAS - Atualização de contas a pagar por aquisição de empresas</t>
        </is>
      </c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  <c r="AA106" s="3" t="n"/>
      <c r="AB106" s="3" t="n"/>
      <c r="AC106" s="3" t="n"/>
      <c r="AD106" s="3" t="n"/>
      <c r="AE106" s="3" t="n"/>
      <c r="AF106" s="3" t="n"/>
      <c r="AG106" s="3" t="n"/>
      <c r="AH106" s="3" t="n"/>
      <c r="AI106" s="3" t="n"/>
      <c r="AJ106" s="3" t="n"/>
      <c r="AK106" s="3" t="n"/>
      <c r="AL106" s="3" t="n"/>
      <c r="AM106" s="3" t="n"/>
      <c r="AN106" s="3" t="n"/>
      <c r="AO106" s="3" t="n"/>
      <c r="AP106" s="3" t="n"/>
      <c r="AQ106" s="3" t="n"/>
      <c r="AR106" s="3" t="n"/>
      <c r="AS106" s="3" t="n"/>
      <c r="AT106" s="3" t="n"/>
      <c r="AU106" s="3" t="n"/>
      <c r="AV106" s="3" t="n"/>
      <c r="AW106" s="3" t="n"/>
      <c r="AX106" s="3" t="n"/>
      <c r="AY106" s="3" t="n"/>
      <c r="AZ106" s="3" t="n"/>
      <c r="BA106" s="3" t="n"/>
      <c r="BB106" s="3" t="n"/>
      <c r="BC106" s="3" t="n"/>
      <c r="BD106" s="3" t="n"/>
      <c r="BE106" s="3" t="n"/>
      <c r="BF106" s="3" t="n"/>
      <c r="BG106" s="3" t="n"/>
      <c r="BH106" s="3" t="n"/>
      <c r="BI106" s="3" t="n"/>
      <c r="BJ106" s="3" t="n"/>
      <c r="BK106" s="3" t="n"/>
      <c r="BL106" s="3" t="n"/>
      <c r="BM106" s="3" t="n"/>
      <c r="BN106" s="3" t="n"/>
      <c r="BO106" s="3" t="n"/>
      <c r="BP106" s="3" t="n"/>
      <c r="BQ106" s="3" t="n"/>
      <c r="BR106" s="3" t="n"/>
      <c r="BS106" s="3" t="n"/>
      <c r="BT106" s="3" t="n"/>
      <c r="BU106" s="3" t="n"/>
      <c r="BV106" s="3" t="n"/>
      <c r="BW106" s="3" t="n"/>
      <c r="BX106" s="3" t="n"/>
      <c r="BY106" s="3" t="n"/>
      <c r="BZ106" s="3" t="n"/>
      <c r="CA106" s="3" t="n"/>
      <c r="CB106" s="3" t="n"/>
      <c r="CC106" s="3" t="n"/>
      <c r="CD106" s="3" t="n"/>
      <c r="CE106" s="3" t="n"/>
      <c r="CF106" s="3" t="n"/>
      <c r="CG106" s="3" t="n"/>
      <c r="CH106" s="3" t="n"/>
      <c r="CI106" s="3" t="n"/>
      <c r="CJ106" s="3" t="n"/>
      <c r="CK106" s="3" t="n"/>
      <c r="CL106" s="3" t="n"/>
      <c r="CM106" s="3" t="n"/>
      <c r="CN106" s="3" t="n"/>
      <c r="CO106" s="3" t="n"/>
      <c r="CP106" s="3" t="n"/>
      <c r="CQ106" s="3" t="n"/>
      <c r="CR106" s="3" t="n"/>
      <c r="CS106" s="3" t="n"/>
      <c r="CT106" s="3" t="n"/>
      <c r="CU106" s="3" t="n"/>
      <c r="CV106" s="3" t="n"/>
      <c r="CW106" s="3" t="n"/>
      <c r="CX106" s="3" t="n"/>
      <c r="CY106" s="3" t="n"/>
    </row>
    <row r="107" hidden="1" outlineLevel="1">
      <c r="C107" s="34" t="inlineStr">
        <is>
          <t>DESPESAS FINANCEIRAS - Outras</t>
        </is>
      </c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  <c r="AA107" s="3" t="n"/>
      <c r="AB107" s="3" t="n"/>
      <c r="AC107" s="3" t="n"/>
      <c r="AD107" s="3" t="n"/>
      <c r="AE107" s="3" t="n"/>
      <c r="AF107" s="3" t="n"/>
      <c r="AG107" s="3" t="n"/>
      <c r="AH107" s="3" t="n"/>
      <c r="AI107" s="3" t="n"/>
      <c r="AJ107" s="3" t="n"/>
      <c r="AK107" s="3" t="n"/>
      <c r="AL107" s="3" t="n"/>
      <c r="AM107" s="3" t="n"/>
      <c r="AN107" s="3" t="n"/>
      <c r="AO107" s="3" t="n"/>
      <c r="AP107" s="3" t="n"/>
      <c r="AQ107" s="3" t="n"/>
      <c r="AR107" s="3" t="n"/>
      <c r="AS107" s="3" t="n"/>
      <c r="AT107" s="3" t="n"/>
      <c r="AU107" s="3" t="n"/>
      <c r="AV107" s="3" t="n"/>
      <c r="AW107" s="3" t="n"/>
      <c r="AX107" s="3" t="n"/>
      <c r="AY107" s="3" t="n"/>
      <c r="AZ107" s="3" t="n"/>
      <c r="BA107" s="3" t="n"/>
      <c r="BB107" s="3" t="n"/>
      <c r="BC107" s="3" t="n"/>
      <c r="BD107" s="3" t="n"/>
      <c r="BE107" s="3" t="n"/>
      <c r="BF107" s="3" t="n"/>
      <c r="BG107" s="3" t="n"/>
      <c r="BH107" s="3" t="n"/>
      <c r="BI107" s="3" t="n"/>
      <c r="BJ107" s="3" t="n"/>
      <c r="BK107" s="3" t="n"/>
      <c r="BL107" s="3" t="n"/>
      <c r="BM107" s="3" t="n"/>
      <c r="BN107" s="3" t="n"/>
      <c r="BO107" s="3" t="n"/>
      <c r="BP107" s="3" t="n"/>
      <c r="BQ107" s="3" t="n"/>
      <c r="BR107" s="3" t="n"/>
      <c r="BS107" s="3" t="n"/>
      <c r="BT107" s="3" t="n"/>
      <c r="BU107" s="3" t="n"/>
      <c r="BV107" s="3" t="n"/>
      <c r="BW107" s="3" t="n"/>
      <c r="BX107" s="3" t="n"/>
      <c r="BY107" s="3" t="n"/>
      <c r="BZ107" s="3" t="n"/>
      <c r="CA107" s="3" t="n"/>
      <c r="CB107" s="3" t="n"/>
      <c r="CC107" s="3" t="n"/>
      <c r="CD107" s="3" t="n"/>
      <c r="CE107" s="3" t="n"/>
      <c r="CF107" s="3" t="n"/>
      <c r="CG107" s="3" t="n"/>
      <c r="CH107" s="3" t="n"/>
      <c r="CI107" s="3" t="n"/>
      <c r="CJ107" s="3" t="n"/>
      <c r="CK107" s="3" t="n"/>
      <c r="CL107" s="3" t="n"/>
      <c r="CM107" s="3" t="n"/>
      <c r="CN107" s="3" t="n"/>
      <c r="CO107" s="3" t="n"/>
      <c r="CP107" s="3" t="n"/>
      <c r="CQ107" s="3" t="n"/>
      <c r="CR107" s="3" t="n"/>
      <c r="CS107" s="3" t="n"/>
      <c r="CT107" s="3" t="n"/>
      <c r="CU107" s="3" t="n"/>
      <c r="CV107" s="3" t="n"/>
      <c r="CW107" s="3" t="n"/>
      <c r="CX107" s="3" t="n"/>
      <c r="CY107" s="3" t="n"/>
    </row>
    <row r="108" hidden="1" outlineLevel="1">
      <c r="C108" s="34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  <c r="AA108" s="3" t="n"/>
      <c r="AB108" s="3" t="n"/>
      <c r="AC108" s="3" t="n"/>
      <c r="AD108" s="3" t="n"/>
      <c r="AE108" s="3" t="n"/>
      <c r="AF108" s="3" t="n"/>
      <c r="AG108" s="3" t="n"/>
      <c r="AH108" s="3" t="n"/>
      <c r="AI108" s="3" t="n"/>
      <c r="AJ108" s="3" t="n"/>
      <c r="AK108" s="3" t="n"/>
      <c r="AL108" s="3" t="n"/>
      <c r="AM108" s="3" t="n"/>
      <c r="AN108" s="3" t="n"/>
      <c r="AO108" s="3" t="n"/>
      <c r="AP108" s="3" t="n"/>
      <c r="AQ108" s="3" t="n"/>
      <c r="AR108" s="3" t="n"/>
      <c r="AS108" s="3" t="n"/>
      <c r="AT108" s="3" t="n"/>
      <c r="AU108" s="3" t="n"/>
      <c r="AV108" s="3" t="n"/>
      <c r="AW108" s="3" t="n"/>
      <c r="AX108" s="3" t="n"/>
      <c r="AY108" s="3" t="n"/>
      <c r="AZ108" s="3" t="n"/>
      <c r="BA108" s="3" t="n"/>
      <c r="BB108" s="3" t="n"/>
      <c r="BC108" s="3" t="n"/>
      <c r="BD108" s="3" t="n"/>
      <c r="BE108" s="3" t="n"/>
      <c r="BF108" s="3" t="n"/>
      <c r="BG108" s="3" t="n"/>
      <c r="BH108" s="3" t="n"/>
      <c r="BI108" s="3" t="n"/>
      <c r="BJ108" s="3" t="n"/>
      <c r="BK108" s="3" t="n"/>
      <c r="BL108" s="3" t="n"/>
      <c r="BM108" s="3" t="n"/>
      <c r="BN108" s="3" t="n"/>
      <c r="BO108" s="3" t="n"/>
      <c r="BP108" s="3" t="n"/>
      <c r="BQ108" s="3" t="n"/>
      <c r="BR108" s="3" t="n"/>
      <c r="BS108" s="3" t="n"/>
      <c r="BT108" s="3" t="n"/>
      <c r="BU108" s="3" t="n"/>
      <c r="BV108" s="3" t="n"/>
      <c r="BW108" s="3" t="n"/>
      <c r="BX108" s="3" t="n"/>
      <c r="BY108" s="3" t="n"/>
      <c r="BZ108" s="3" t="n"/>
      <c r="CA108" s="3" t="n"/>
      <c r="CB108" s="3" t="n"/>
      <c r="CC108" s="3" t="n"/>
      <c r="CD108" s="3" t="n"/>
      <c r="CE108" s="3" t="n"/>
      <c r="CF108" s="3" t="n"/>
      <c r="CG108" s="3" t="n"/>
      <c r="CH108" s="3" t="n"/>
      <c r="CI108" s="3" t="n"/>
      <c r="CJ108" s="3" t="n"/>
      <c r="CK108" s="3" t="n"/>
      <c r="CL108" s="3" t="n"/>
      <c r="CM108" s="3" t="n"/>
      <c r="CN108" s="3" t="n"/>
      <c r="CO108" s="3" t="n"/>
      <c r="CP108" s="3" t="n"/>
      <c r="CQ108" s="3" t="n"/>
      <c r="CR108" s="3" t="n"/>
      <c r="CS108" s="3" t="n"/>
      <c r="CT108" s="3" t="n"/>
      <c r="CU108" s="3" t="n"/>
      <c r="CV108" s="3" t="n"/>
      <c r="CW108" s="3" t="n"/>
      <c r="CX108" s="3" t="n"/>
      <c r="CY108" s="3" t="n"/>
    </row>
    <row r="109" hidden="1" outlineLevel="1">
      <c r="C109" s="34" t="inlineStr">
        <is>
          <t>CHECK [EX IFRS-16]</t>
        </is>
      </c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  <c r="AA109" s="3" t="n"/>
      <c r="AB109" s="3" t="n"/>
      <c r="AC109" s="3" t="n"/>
      <c r="AD109" s="3" t="n"/>
      <c r="AE109" s="3" t="n"/>
      <c r="AF109" s="3" t="n"/>
      <c r="AG109" s="3" t="n"/>
      <c r="AH109" s="3" t="n"/>
      <c r="AI109" s="3" t="n"/>
      <c r="AJ109" s="3" t="n"/>
      <c r="AK109" s="3" t="n"/>
      <c r="AL109" s="3" t="n"/>
      <c r="AM109" s="3" t="n"/>
      <c r="AN109" s="3" t="n"/>
      <c r="AO109" s="3" t="n"/>
      <c r="AP109" s="3" t="n"/>
      <c r="AQ109" s="3" t="n"/>
      <c r="AR109" s="3" t="n"/>
      <c r="AS109" s="3" t="n"/>
      <c r="AT109" s="3" t="n"/>
      <c r="AU109" s="3" t="n"/>
      <c r="AV109" s="3" t="n"/>
      <c r="AW109" s="3" t="n"/>
      <c r="AX109" s="3" t="n"/>
      <c r="AY109" s="3" t="n"/>
      <c r="AZ109" s="3" t="n"/>
      <c r="BA109" s="3" t="n"/>
      <c r="BB109" s="3" t="n"/>
      <c r="BC109" s="3" t="n"/>
      <c r="BD109" s="3" t="n"/>
      <c r="BE109" s="3" t="n"/>
      <c r="BF109" s="3" t="n"/>
      <c r="BG109" s="3" t="n"/>
      <c r="BH109" s="3" t="n"/>
      <c r="BI109" s="3" t="n"/>
      <c r="BJ109" s="3" t="n"/>
      <c r="BK109" s="3" t="n"/>
      <c r="BL109" s="3" t="n"/>
      <c r="BM109" s="3" t="n"/>
      <c r="BN109" s="3" t="n"/>
      <c r="BO109" s="3" t="n"/>
      <c r="BP109" s="3" t="n"/>
      <c r="BQ109" s="3" t="n"/>
      <c r="BR109" s="3" t="n"/>
      <c r="BS109" s="3" t="n"/>
      <c r="BT109" s="3" t="n"/>
      <c r="BU109" s="3" t="n"/>
      <c r="BV109" s="3" t="n"/>
      <c r="BW109" s="3" t="n"/>
      <c r="BX109" s="3" t="n"/>
      <c r="BY109" s="3" t="n"/>
      <c r="BZ109" s="3" t="n"/>
      <c r="CA109" s="3" t="n"/>
      <c r="CB109" s="3" t="n"/>
      <c r="CC109" s="3" t="n"/>
      <c r="CD109" s="3" t="n"/>
      <c r="CE109" s="3" t="n"/>
      <c r="CF109" s="3" t="n"/>
      <c r="CG109" s="3" t="n"/>
      <c r="CH109" s="3" t="n"/>
      <c r="CI109" s="3" t="n"/>
      <c r="CJ109" s="3" t="n"/>
      <c r="CK109" s="3" t="n"/>
      <c r="CL109" s="3" t="n"/>
      <c r="CM109" s="3" t="n"/>
      <c r="CN109" s="3" t="n"/>
      <c r="CO109" s="3" t="n"/>
      <c r="CP109" s="3" t="n"/>
      <c r="CQ109" s="3" t="n"/>
      <c r="CR109" s="3" t="n"/>
      <c r="CS109" s="3" t="n"/>
      <c r="CT109" s="3" t="n"/>
      <c r="CU109" s="3" t="n"/>
      <c r="CV109" s="3" t="n"/>
      <c r="CW109" s="3" t="n"/>
      <c r="CX109" s="3" t="n"/>
      <c r="CY109" s="3" t="n"/>
    </row>
    <row r="110" hidden="1" outlineLevel="1">
      <c r="C110" s="34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  <c r="AA110" s="3" t="n"/>
      <c r="AB110" s="3" t="n"/>
      <c r="AC110" s="3" t="n"/>
      <c r="AD110" s="3" t="n"/>
      <c r="AE110" s="3" t="n"/>
      <c r="AF110" s="3" t="n"/>
      <c r="AG110" s="3" t="n"/>
      <c r="AH110" s="3" t="n"/>
      <c r="AI110" s="3" t="n"/>
      <c r="AJ110" s="3" t="n"/>
      <c r="AK110" s="3" t="n"/>
      <c r="AL110" s="3" t="n"/>
      <c r="AM110" s="3" t="n"/>
      <c r="AN110" s="3" t="n"/>
      <c r="AO110" s="3" t="n"/>
      <c r="AP110" s="3" t="n"/>
      <c r="AQ110" s="3" t="n"/>
      <c r="AR110" s="3" t="n"/>
      <c r="AS110" s="3" t="n"/>
      <c r="AT110" s="3" t="n"/>
      <c r="AU110" s="3" t="n"/>
      <c r="AV110" s="3" t="n"/>
      <c r="AW110" s="3" t="n"/>
      <c r="AX110" s="3" t="n"/>
      <c r="AY110" s="3" t="n"/>
      <c r="AZ110" s="3" t="n"/>
      <c r="BA110" s="3" t="n"/>
      <c r="BB110" s="3" t="n"/>
      <c r="BC110" s="3" t="n"/>
      <c r="BD110" s="3" t="n"/>
      <c r="BE110" s="3" t="n"/>
      <c r="BF110" s="3" t="n"/>
      <c r="BG110" s="3" t="n"/>
      <c r="BH110" s="3" t="n"/>
      <c r="BI110" s="3" t="n"/>
      <c r="BJ110" s="3" t="n"/>
      <c r="BK110" s="3" t="n"/>
      <c r="BL110" s="3" t="n"/>
      <c r="BM110" s="3" t="n"/>
      <c r="BN110" s="3" t="n"/>
      <c r="BO110" s="3" t="n"/>
      <c r="BP110" s="3" t="n"/>
      <c r="BQ110" s="3" t="n"/>
      <c r="BR110" s="3" t="n"/>
      <c r="BS110" s="3" t="n"/>
      <c r="BT110" s="3" t="n"/>
      <c r="BU110" s="3" t="n"/>
      <c r="BV110" s="3" t="n"/>
      <c r="BW110" s="3" t="n"/>
      <c r="BX110" s="3" t="n"/>
      <c r="BY110" s="3" t="n"/>
      <c r="BZ110" s="3" t="n"/>
      <c r="CA110" s="3" t="n"/>
      <c r="CB110" s="3" t="n"/>
      <c r="CC110" s="3" t="n"/>
      <c r="CD110" s="3" t="n"/>
      <c r="CE110" s="3" t="n"/>
      <c r="CF110" s="3" t="n"/>
      <c r="CG110" s="3" t="n"/>
      <c r="CH110" s="3" t="n"/>
      <c r="CI110" s="3" t="n"/>
      <c r="CJ110" s="3" t="n"/>
      <c r="CK110" s="3" t="n"/>
      <c r="CL110" s="3" t="n"/>
      <c r="CM110" s="3" t="n"/>
      <c r="CN110" s="3" t="n"/>
      <c r="CO110" s="3" t="n"/>
      <c r="CP110" s="3" t="n"/>
      <c r="CQ110" s="3" t="n"/>
      <c r="CR110" s="3" t="n"/>
      <c r="CS110" s="3" t="n"/>
      <c r="CT110" s="3" t="n"/>
      <c r="CU110" s="3" t="n"/>
      <c r="CV110" s="3" t="n"/>
      <c r="CW110" s="3" t="n"/>
      <c r="CX110" s="3" t="n"/>
      <c r="CY110" s="3" t="n"/>
    </row>
    <row r="111" collapsed="1">
      <c r="C111" s="26" t="inlineStr">
        <is>
          <t>Nonoperating Income / (Loss)</t>
        </is>
      </c>
      <c r="D111" s="25">
        <f>INDEX('Inputs (2)'!$D$9:$AL$9,MATCH(D$7,'Inputs (2)'!$D$2:$AL$2,0))</f>
        <v>130</v>
      </c>
      <c r="E111" s="25">
        <f>INDEX('Inputs (2)'!$D$9:$AL$9,MATCH(E$7,'Inputs (2)'!$D$2:$AL$2,0))</f>
        <v>49</v>
      </c>
      <c r="F111" s="25">
        <f>INDEX('Inputs (2)'!$D$9:$AL$9,MATCH(F$7,'Inputs (2)'!$D$2:$AL$2,0))</f>
        <v>31</v>
      </c>
      <c r="G111" s="25">
        <f>INDEX('Inputs (2)'!$D$9:$AL$9,MATCH(G$7,'Inputs (2)'!$D$2:$AL$2,0))</f>
        <v>117</v>
      </c>
      <c r="H111" s="3">
        <f>SUM(D111:G111)</f>
        <v>327</v>
      </c>
      <c r="I111" s="25">
        <f>INDEX('Inputs (2)'!$D$9:$AL$9,MATCH(I$7,'Inputs (2)'!$D$2:$AL$2,0))</f>
        <v>-23</v>
      </c>
      <c r="J111" s="25">
        <f>INDEX('Inputs (2)'!$D$9:$AL$9,MATCH(J$7,'Inputs (2)'!$D$2:$AL$2,0))</f>
        <v>15</v>
      </c>
      <c r="K111" s="25">
        <f>INDEX('Inputs (2)'!$D$9:$AL$9,MATCH(K$7,'Inputs (2)'!$D$2:$AL$2,0))</f>
        <v>22</v>
      </c>
      <c r="L111" s="25">
        <f>INDEX('Inputs (2)'!$D$9:$AL$9,MATCH(L$7,'Inputs (2)'!$D$2:$AL$2,0))</f>
        <v>-14</v>
      </c>
      <c r="M111" s="3">
        <f>SUM(I111:L111)</f>
        <v>0</v>
      </c>
      <c r="N111" s="25">
        <f>INDEX('Inputs (2)'!$D$9:$AL$9,MATCH(N$7,'Inputs (2)'!$D$2:$AL$2,0))</f>
        <v>-86</v>
      </c>
      <c r="O111" s="25">
        <f>INDEX('Inputs (2)'!$D$9:$AL$9,MATCH(O$7,'Inputs (2)'!$D$2:$AL$2,0))</f>
        <v>6</v>
      </c>
      <c r="P111" s="25">
        <f>INDEX('Inputs (2)'!$D$9:$AL$9,MATCH(P$7,'Inputs (2)'!$D$2:$AL$2,0))</f>
        <v>40</v>
      </c>
      <c r="Q111" s="25">
        <f>INDEX('Inputs (2)'!$D$9:$AL$9,MATCH(Q$7,'Inputs (2)'!$D$2:$AL$2,0))</f>
        <v>143</v>
      </c>
      <c r="R111" s="3">
        <f>SUM(N111:Q111)</f>
        <v>103</v>
      </c>
      <c r="S111" s="25">
        <f>INDEX('Inputs (2)'!$D$9:$AL$9,MATCH(S$7,'Inputs (2)'!$D$2:$AL$2,0))</f>
        <v>113</v>
      </c>
      <c r="T111" s="25">
        <f>INDEX('Inputs (2)'!$D$9:$AL$9,MATCH(T$7,'Inputs (2)'!$D$2:$AL$2,0))</f>
        <v>124</v>
      </c>
      <c r="U111" s="25">
        <f>INDEX('Inputs (2)'!$D$9:$AL$9,MATCH(U$7,'Inputs (2)'!$D$2:$AL$2,0))</f>
        <v>132</v>
      </c>
      <c r="V111" s="25">
        <f>INDEX('Inputs (2)'!$D$9:$AL$9,MATCH(V$7,'Inputs (2)'!$D$2:$AL$2,0))</f>
        <v>185</v>
      </c>
      <c r="W111" s="3">
        <f>SUM(S111:V111)</f>
        <v>554</v>
      </c>
      <c r="X111" s="25">
        <f>INDEX('Inputs (2)'!$D$9:$AL$9,MATCH(X$7,'Inputs (2)'!$D$2:$AL$2,0))</f>
        <v>87</v>
      </c>
      <c r="Y111" s="25">
        <f>INDEX('Inputs (2)'!$D$9:$AL$9,MATCH(Y$7,'Inputs (2)'!$D$2:$AL$2,0))</f>
        <v>82</v>
      </c>
      <c r="Z111" s="25">
        <f>INDEX('Inputs (2)'!$D$9:$AL$9,MATCH(Z$7,'Inputs (2)'!$D$2:$AL$2,0))</f>
        <v>52</v>
      </c>
      <c r="AA111" s="25">
        <f>INDEX('Inputs (2)'!$D$9:$AL$9,MATCH(AA$7,'Inputs (2)'!$D$2:$AL$2,0))</f>
        <v>103</v>
      </c>
      <c r="AB111" s="3">
        <f>SUM(X111:AA111)</f>
        <v>324</v>
      </c>
      <c r="AC111" s="25">
        <f>INDEX('Inputs (2)'!$D$9:$AL$9,MATCH(AC$7,'Inputs (2)'!$D$2:$AL$2,0))</f>
        <v>25</v>
      </c>
      <c r="AD111" s="25">
        <f>INDEX('Inputs (2)'!$D$9:$AL$9,MATCH(AD$7,'Inputs (2)'!$D$2:$AL$2,0))</f>
        <v>205</v>
      </c>
      <c r="AE111" s="25">
        <f>INDEX('Inputs (2)'!$D$9:$AL$9,MATCH(AE$7,'Inputs (2)'!$D$2:$AL$2,0))</f>
        <v>122</v>
      </c>
      <c r="AF111" s="25">
        <f>INDEX('Inputs (2)'!$D$9:$AL$9,MATCH(AF$7,'Inputs (2)'!$D$2:$AL$2,0))</f>
        <v>433</v>
      </c>
      <c r="AG111" s="3">
        <f>SUM(AC111:AF111)</f>
        <v>785</v>
      </c>
      <c r="AH111" s="3">
        <f>INDEX('Inputs (2)'!$D$9:$AL$9,MATCH(AH$7,'Inputs (2)'!$D$2:$AL$2,0))</f>
        <v>118</v>
      </c>
      <c r="AI111" s="3">
        <f>INDEX('Inputs (2)'!$D$9:$AL$9,MATCH(AI$7,'Inputs (2)'!$D$2:$AL$2,0))</f>
        <v>98</v>
      </c>
      <c r="AJ111" s="3">
        <f>AH111</f>
        <v>118</v>
      </c>
      <c r="AK111" s="3">
        <f>AI111</f>
        <v>98</v>
      </c>
      <c r="AL111" s="3">
        <f>SUM(AH111:AK111)</f>
        <v>432</v>
      </c>
      <c r="AM111" s="3">
        <f>AK111</f>
        <v>98</v>
      </c>
      <c r="AN111" s="3">
        <f>AL111</f>
        <v>432</v>
      </c>
      <c r="AO111" s="3">
        <f>AM111</f>
        <v>98</v>
      </c>
      <c r="AP111" s="3">
        <f>AN111</f>
        <v>432</v>
      </c>
      <c r="AQ111" s="3">
        <f>SUM(AM111:AP111)</f>
        <v>1060</v>
      </c>
      <c r="AR111" s="3">
        <f>AP111</f>
        <v>432</v>
      </c>
      <c r="AS111" s="3">
        <f>AQ111</f>
        <v>1060</v>
      </c>
      <c r="AT111" s="3">
        <f>AR111</f>
        <v>432</v>
      </c>
      <c r="AU111" s="3">
        <f>AS111</f>
        <v>1060</v>
      </c>
      <c r="AV111" s="3">
        <f>SUM(AR111:AU111)</f>
        <v>2984</v>
      </c>
      <c r="AW111" s="3">
        <f>AU111</f>
        <v>1060</v>
      </c>
      <c r="AX111" s="3">
        <f>AV111</f>
        <v>2984</v>
      </c>
      <c r="AY111" s="3">
        <f>AW111</f>
        <v>1060</v>
      </c>
      <c r="AZ111" s="3">
        <f>AX111</f>
        <v>2984</v>
      </c>
      <c r="BA111" s="3">
        <f>SUM(AW111:AZ111)</f>
        <v>8088</v>
      </c>
      <c r="BB111" s="3">
        <f>AZ111</f>
        <v>2984</v>
      </c>
      <c r="BC111" s="3">
        <f>BA111</f>
        <v>8088</v>
      </c>
      <c r="BD111" s="3">
        <f>BB111</f>
        <v>2984</v>
      </c>
      <c r="BE111" s="3">
        <f>BC111</f>
        <v>8088</v>
      </c>
      <c r="BF111" s="3">
        <f>SUM(BB111:BE111)</f>
        <v>22144</v>
      </c>
      <c r="BG111" s="3">
        <f>BE111</f>
        <v>8088</v>
      </c>
      <c r="BH111" s="3">
        <f>BF111</f>
        <v>22144</v>
      </c>
      <c r="BI111" s="3">
        <f>BG111</f>
        <v>8088</v>
      </c>
      <c r="BJ111" s="3">
        <f>BH111</f>
        <v>22144</v>
      </c>
      <c r="BK111" s="3">
        <f>SUM(BG111:BJ111)</f>
        <v>60464</v>
      </c>
      <c r="BL111" s="3">
        <f>BJ111</f>
        <v>22144</v>
      </c>
      <c r="BM111" s="3">
        <f>BK111</f>
        <v>60464</v>
      </c>
      <c r="BN111" s="3">
        <f>BL111</f>
        <v>22144</v>
      </c>
      <c r="BO111" s="3">
        <f>BM111</f>
        <v>60464</v>
      </c>
      <c r="BP111" s="3">
        <f>SUM(BL111:BO111)</f>
        <v>165216</v>
      </c>
      <c r="BQ111" s="3">
        <f>BO111</f>
        <v>60464</v>
      </c>
      <c r="BR111" s="3">
        <f>BP111</f>
        <v>165216</v>
      </c>
      <c r="BS111" s="3">
        <f>BQ111</f>
        <v>60464</v>
      </c>
      <c r="BT111" s="3">
        <f>BR111</f>
        <v>165216</v>
      </c>
      <c r="BU111" s="3">
        <f>SUM(BQ111:BT111)</f>
        <v>451360</v>
      </c>
      <c r="BV111" s="3">
        <f>BT111</f>
        <v>165216</v>
      </c>
      <c r="BW111" s="3">
        <f>BU111</f>
        <v>451360</v>
      </c>
      <c r="BX111" s="3">
        <f>BV111</f>
        <v>165216</v>
      </c>
      <c r="BY111" s="3">
        <f>BW111</f>
        <v>451360</v>
      </c>
      <c r="BZ111" s="3">
        <f>SUM(BV111:BY111)</f>
        <v>1233152</v>
      </c>
      <c r="CA111" s="3">
        <f>BY111</f>
        <v>451360</v>
      </c>
      <c r="CB111" s="3">
        <f>BZ111</f>
        <v>1233152</v>
      </c>
      <c r="CC111" s="3">
        <f>CA111</f>
        <v>451360</v>
      </c>
      <c r="CD111" s="3">
        <f>CB111</f>
        <v>1233152</v>
      </c>
      <c r="CE111" s="3">
        <f>SUM(CA111:CD111)</f>
        <v>3369024</v>
      </c>
      <c r="CF111" s="3">
        <f>CD111</f>
        <v>1233152</v>
      </c>
      <c r="CG111" s="3">
        <f>CE111</f>
        <v>3369024</v>
      </c>
      <c r="CH111" s="3">
        <f>CF111</f>
        <v>1233152</v>
      </c>
      <c r="CI111" s="3">
        <f>CG111</f>
        <v>3369024</v>
      </c>
      <c r="CJ111" s="3">
        <f>SUM(CF111:CI111)</f>
        <v>9204352</v>
      </c>
      <c r="CK111" s="3">
        <f>CI111</f>
        <v>3369024</v>
      </c>
      <c r="CL111" s="3">
        <f>CJ111</f>
        <v>9204352</v>
      </c>
      <c r="CM111" s="3">
        <f>CK111</f>
        <v>3369024</v>
      </c>
      <c r="CN111" s="3">
        <f>CL111</f>
        <v>9204352</v>
      </c>
      <c r="CO111" s="3">
        <f>SUM(CK111:CN111)</f>
        <v>25146752</v>
      </c>
      <c r="CP111" s="3">
        <f>CN111</f>
        <v>9204352</v>
      </c>
      <c r="CQ111" s="3">
        <f>CO111</f>
        <v>25146752</v>
      </c>
      <c r="CR111" s="3">
        <f>CP111</f>
        <v>9204352</v>
      </c>
      <c r="CS111" s="3">
        <f>CQ111</f>
        <v>25146752</v>
      </c>
      <c r="CT111" s="3">
        <f>SUM(CP111:CS111)</f>
        <v>68702208</v>
      </c>
      <c r="CU111" s="3">
        <f>CS111</f>
        <v>25146752</v>
      </c>
      <c r="CV111" s="3">
        <f>CT111</f>
        <v>68702208</v>
      </c>
      <c r="CW111" s="3">
        <f>CU111</f>
        <v>25146752</v>
      </c>
      <c r="CX111" s="3">
        <f>CV111</f>
        <v>68702208</v>
      </c>
      <c r="CY111" s="3">
        <f>SUM(CU111:CX111)</f>
        <v>187697920</v>
      </c>
    </row>
    <row r="112" hidden="1" outlineLevel="1">
      <c r="C112" s="34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  <c r="AA112" s="3" t="n"/>
      <c r="AB112" s="3" t="n"/>
      <c r="AC112" s="3" t="n"/>
      <c r="AD112" s="3" t="n"/>
      <c r="AE112" s="3" t="n"/>
      <c r="AF112" s="3" t="n"/>
      <c r="AG112" s="3" t="n"/>
      <c r="AH112" s="3" t="n"/>
      <c r="AI112" s="3" t="n"/>
      <c r="AJ112" s="3" t="n"/>
      <c r="AK112" s="3" t="n"/>
      <c r="AL112" s="3" t="n"/>
      <c r="AM112" s="3" t="n"/>
      <c r="AN112" s="3" t="n"/>
      <c r="AO112" s="3" t="n"/>
      <c r="AP112" s="3" t="n"/>
      <c r="AQ112" s="3" t="n"/>
      <c r="AR112" s="3" t="n"/>
      <c r="AS112" s="3" t="n"/>
      <c r="AT112" s="3" t="n"/>
      <c r="AU112" s="3" t="n"/>
      <c r="AV112" s="3" t="n"/>
      <c r="AW112" s="3" t="n"/>
      <c r="AX112" s="3" t="n"/>
      <c r="AY112" s="3" t="n"/>
      <c r="AZ112" s="3" t="n"/>
      <c r="BA112" s="3" t="n"/>
      <c r="BB112" s="3" t="n"/>
      <c r="BC112" s="3" t="n"/>
      <c r="BD112" s="3" t="n"/>
      <c r="BE112" s="3" t="n"/>
      <c r="BF112" s="3" t="n"/>
      <c r="BG112" s="3" t="n"/>
      <c r="BH112" s="3" t="n"/>
      <c r="BI112" s="3" t="n"/>
      <c r="BJ112" s="3" t="n"/>
      <c r="BK112" s="3" t="n"/>
      <c r="BL112" s="3" t="n"/>
      <c r="BM112" s="3" t="n"/>
      <c r="BN112" s="3" t="n"/>
      <c r="BO112" s="3" t="n"/>
      <c r="BP112" s="3" t="n"/>
      <c r="BQ112" s="3" t="n"/>
      <c r="BR112" s="3" t="n"/>
      <c r="BS112" s="3" t="n"/>
      <c r="BT112" s="3" t="n"/>
      <c r="BU112" s="3" t="n"/>
      <c r="BV112" s="3" t="n"/>
      <c r="BW112" s="3" t="n"/>
      <c r="BX112" s="3" t="n"/>
      <c r="BY112" s="3" t="n"/>
      <c r="BZ112" s="3" t="n"/>
      <c r="CA112" s="3" t="n"/>
      <c r="CB112" s="3" t="n"/>
      <c r="CC112" s="3" t="n"/>
      <c r="CD112" s="3" t="n"/>
      <c r="CE112" s="3" t="n"/>
      <c r="CF112" s="3" t="n"/>
      <c r="CG112" s="3" t="n"/>
      <c r="CH112" s="3" t="n"/>
      <c r="CI112" s="3" t="n"/>
      <c r="CJ112" s="3" t="n"/>
      <c r="CK112" s="3" t="n"/>
      <c r="CL112" s="3" t="n"/>
      <c r="CM112" s="3" t="n"/>
      <c r="CN112" s="3" t="n"/>
      <c r="CO112" s="3" t="n"/>
      <c r="CP112" s="3" t="n"/>
      <c r="CQ112" s="3" t="n"/>
      <c r="CR112" s="3" t="n"/>
      <c r="CS112" s="3" t="n"/>
      <c r="CT112" s="3" t="n"/>
      <c r="CU112" s="3" t="n"/>
      <c r="CV112" s="3" t="n"/>
      <c r="CW112" s="3" t="n"/>
      <c r="CX112" s="3" t="n"/>
      <c r="CY112" s="3" t="n"/>
    </row>
    <row r="113" hidden="1" outlineLevel="1">
      <c r="C113" s="32" t="inlineStr">
        <is>
          <t>Resultado Não Recorrente</t>
        </is>
      </c>
      <c r="D113" s="6" t="n"/>
      <c r="E113" s="6" t="n"/>
      <c r="F113" s="6" t="n"/>
      <c r="G113" s="6" t="n"/>
      <c r="H113" s="3" t="n"/>
      <c r="I113" s="6" t="n"/>
      <c r="J113" s="6" t="n"/>
      <c r="K113" s="6" t="n"/>
      <c r="L113" s="6" t="n"/>
      <c r="M113" s="3" t="n"/>
      <c r="N113" s="6" t="n"/>
      <c r="O113" s="6" t="n"/>
      <c r="P113" s="6" t="n"/>
      <c r="Q113" s="6" t="n"/>
      <c r="R113" s="3" t="n"/>
      <c r="S113" s="6" t="n"/>
      <c r="T113" s="6" t="n"/>
      <c r="U113" s="6" t="n"/>
      <c r="V113" s="6" t="n"/>
      <c r="W113" s="3" t="n"/>
      <c r="X113" s="6" t="n"/>
      <c r="Y113" s="6" t="n"/>
      <c r="Z113" s="6" t="n"/>
      <c r="AA113" s="6" t="n"/>
      <c r="AB113" s="3" t="n"/>
      <c r="AC113" s="6" t="n"/>
      <c r="AD113" s="6" t="n"/>
      <c r="AE113" s="6" t="n"/>
      <c r="AF113" s="6" t="n"/>
      <c r="AG113" s="3" t="n"/>
      <c r="AH113" s="3" t="n"/>
      <c r="AI113" s="3" t="n"/>
      <c r="AJ113" s="3" t="n"/>
      <c r="AK113" s="3" t="n"/>
      <c r="AL113" s="3" t="n"/>
      <c r="AM113" s="3" t="n"/>
      <c r="AN113" s="3" t="n"/>
      <c r="AO113" s="3" t="n"/>
      <c r="AP113" s="3" t="n"/>
      <c r="AQ113" s="3" t="n"/>
      <c r="AR113" s="3" t="n"/>
      <c r="AS113" s="3" t="n"/>
      <c r="AT113" s="3" t="n"/>
      <c r="AU113" s="3" t="n"/>
      <c r="AV113" s="3" t="n"/>
      <c r="AW113" s="3" t="n"/>
      <c r="AX113" s="3" t="n"/>
      <c r="AY113" s="3" t="n"/>
      <c r="AZ113" s="3" t="n"/>
      <c r="BA113" s="3" t="n"/>
      <c r="BB113" s="3" t="n"/>
      <c r="BC113" s="3" t="n"/>
      <c r="BD113" s="3" t="n"/>
      <c r="BE113" s="3" t="n"/>
      <c r="BF113" s="3" t="n"/>
      <c r="BG113" s="3" t="n"/>
      <c r="BH113" s="3" t="n"/>
      <c r="BI113" s="3" t="n"/>
      <c r="BJ113" s="3" t="n"/>
      <c r="BK113" s="3" t="n"/>
      <c r="BL113" s="3" t="n"/>
      <c r="BM113" s="3" t="n"/>
      <c r="BN113" s="3" t="n"/>
      <c r="BO113" s="3" t="n"/>
      <c r="BP113" s="3" t="n"/>
      <c r="BQ113" s="3" t="n"/>
      <c r="BR113" s="3" t="n"/>
      <c r="BS113" s="3" t="n"/>
      <c r="BT113" s="3" t="n"/>
      <c r="BU113" s="3" t="n"/>
      <c r="BV113" s="3" t="n"/>
      <c r="BW113" s="3" t="n"/>
      <c r="BX113" s="3" t="n"/>
      <c r="BY113" s="3" t="n"/>
      <c r="BZ113" s="3" t="n"/>
      <c r="CA113" s="3" t="n"/>
      <c r="CB113" s="3" t="n"/>
      <c r="CC113" s="3" t="n"/>
      <c r="CD113" s="3" t="n"/>
      <c r="CE113" s="3" t="n"/>
      <c r="CF113" s="3" t="n"/>
      <c r="CG113" s="3" t="n"/>
      <c r="CH113" s="3" t="n"/>
      <c r="CI113" s="3" t="n"/>
      <c r="CJ113" s="3" t="n"/>
      <c r="CK113" s="3" t="n"/>
      <c r="CL113" s="3" t="n"/>
      <c r="CM113" s="3" t="n"/>
      <c r="CN113" s="3" t="n"/>
      <c r="CO113" s="3" t="n"/>
      <c r="CP113" s="3" t="n"/>
      <c r="CQ113" s="3" t="n"/>
      <c r="CR113" s="3" t="n"/>
      <c r="CS113" s="3" t="n"/>
      <c r="CT113" s="3" t="n"/>
      <c r="CU113" s="3" t="n"/>
      <c r="CV113" s="3" t="n"/>
      <c r="CW113" s="3" t="n"/>
      <c r="CX113" s="3" t="n"/>
      <c r="CY113" s="3" t="n"/>
    </row>
    <row r="114" hidden="1" outlineLevel="1">
      <c r="C114" s="32" t="inlineStr">
        <is>
          <t>Plano de Opção de Compra de Ações</t>
        </is>
      </c>
      <c r="D114" s="6" t="n"/>
      <c r="E114" s="6" t="n"/>
      <c r="F114" s="6" t="n"/>
      <c r="G114" s="6" t="n"/>
      <c r="H114" s="3" t="n"/>
      <c r="I114" s="6" t="n"/>
      <c r="J114" s="6" t="n"/>
      <c r="K114" s="6" t="n"/>
      <c r="L114" s="6" t="n"/>
      <c r="M114" s="3" t="n"/>
      <c r="N114" s="6" t="n"/>
      <c r="O114" s="6" t="n"/>
      <c r="P114" s="6" t="n"/>
      <c r="Q114" s="6" t="n"/>
      <c r="R114" s="3" t="n"/>
      <c r="S114" s="6" t="n"/>
      <c r="T114" s="6" t="n"/>
      <c r="U114" s="6" t="n"/>
      <c r="V114" s="6" t="n"/>
      <c r="W114" s="3" t="n"/>
      <c r="X114" s="6" t="n"/>
      <c r="Y114" s="6" t="n"/>
      <c r="Z114" s="6" t="n"/>
      <c r="AA114" s="6" t="n"/>
      <c r="AB114" s="3" t="n"/>
      <c r="AC114" s="6" t="n"/>
      <c r="AD114" s="6" t="n"/>
      <c r="AE114" s="6" t="n"/>
      <c r="AF114" s="6" t="n"/>
      <c r="AG114" s="3" t="n"/>
      <c r="AH114" s="3" t="n"/>
      <c r="AI114" s="3" t="n"/>
      <c r="AJ114" s="3" t="n"/>
      <c r="AK114" s="3" t="n"/>
      <c r="AL114" s="3" t="n"/>
      <c r="AM114" s="3" t="n"/>
      <c r="AN114" s="3" t="n"/>
      <c r="AO114" s="3" t="n"/>
      <c r="AP114" s="3" t="n"/>
      <c r="AQ114" s="3" t="n"/>
      <c r="AR114" s="3" t="n"/>
      <c r="AS114" s="3" t="n"/>
      <c r="AT114" s="3" t="n"/>
      <c r="AU114" s="3" t="n"/>
      <c r="AV114" s="3" t="n"/>
      <c r="AW114" s="3" t="n"/>
      <c r="AX114" s="3" t="n"/>
      <c r="AY114" s="3" t="n"/>
      <c r="AZ114" s="3" t="n"/>
      <c r="BA114" s="3" t="n"/>
      <c r="BB114" s="3" t="n"/>
      <c r="BC114" s="3" t="n"/>
      <c r="BD114" s="3" t="n"/>
      <c r="BE114" s="3" t="n"/>
      <c r="BF114" s="3" t="n"/>
      <c r="BG114" s="3" t="n"/>
      <c r="BH114" s="3" t="n"/>
      <c r="BI114" s="3" t="n"/>
      <c r="BJ114" s="3" t="n"/>
      <c r="BK114" s="3" t="n"/>
      <c r="BL114" s="3" t="n"/>
      <c r="BM114" s="3" t="n"/>
      <c r="BN114" s="3" t="n"/>
      <c r="BO114" s="3" t="n"/>
      <c r="BP114" s="3" t="n"/>
      <c r="BQ114" s="3" t="n"/>
      <c r="BR114" s="3" t="n"/>
      <c r="BS114" s="3" t="n"/>
      <c r="BT114" s="3" t="n"/>
      <c r="BU114" s="3" t="n"/>
      <c r="BV114" s="3" t="n"/>
      <c r="BW114" s="3" t="n"/>
      <c r="BX114" s="3" t="n"/>
      <c r="BY114" s="3" t="n"/>
      <c r="BZ114" s="3" t="n"/>
      <c r="CA114" s="3" t="n"/>
      <c r="CB114" s="3" t="n"/>
      <c r="CC114" s="3" t="n"/>
      <c r="CD114" s="3" t="n"/>
      <c r="CE114" s="3" t="n"/>
      <c r="CF114" s="3" t="n"/>
      <c r="CG114" s="3" t="n"/>
      <c r="CH114" s="3" t="n"/>
      <c r="CI114" s="3" t="n"/>
      <c r="CJ114" s="3" t="n"/>
      <c r="CK114" s="3" t="n"/>
      <c r="CL114" s="3" t="n"/>
      <c r="CM114" s="3" t="n"/>
      <c r="CN114" s="3" t="n"/>
      <c r="CO114" s="3" t="n"/>
      <c r="CP114" s="3" t="n"/>
      <c r="CQ114" s="3" t="n"/>
      <c r="CR114" s="3" t="n"/>
      <c r="CS114" s="3" t="n"/>
      <c r="CT114" s="3" t="n"/>
      <c r="CU114" s="3" t="n"/>
      <c r="CV114" s="3" t="n"/>
      <c r="CW114" s="3" t="n"/>
      <c r="CX114" s="3" t="n"/>
      <c r="CY114" s="3" t="n"/>
    </row>
    <row r="115" hidden="1" outlineLevel="1">
      <c r="C115" s="32" t="inlineStr">
        <is>
          <t>Baixa Imobilizado</t>
        </is>
      </c>
      <c r="D115" s="6" t="n"/>
      <c r="E115" s="6" t="n"/>
      <c r="F115" s="6" t="n"/>
      <c r="G115" s="6" t="n"/>
      <c r="H115" s="3" t="n"/>
      <c r="I115" s="6" t="n"/>
      <c r="J115" s="6" t="n"/>
      <c r="K115" s="6" t="n"/>
      <c r="L115" s="6" t="n"/>
      <c r="M115" s="3" t="n"/>
      <c r="N115" s="6" t="n"/>
      <c r="O115" s="6" t="n"/>
      <c r="P115" s="6" t="n"/>
      <c r="Q115" s="6" t="n"/>
      <c r="R115" s="3" t="n"/>
      <c r="S115" s="6" t="n"/>
      <c r="T115" s="6" t="n"/>
      <c r="U115" s="6" t="n"/>
      <c r="V115" s="6" t="n"/>
      <c r="W115" s="3" t="n"/>
      <c r="X115" s="6" t="n"/>
      <c r="Y115" s="6" t="n"/>
      <c r="Z115" s="6" t="n"/>
      <c r="AA115" s="6" t="n"/>
      <c r="AB115" s="3" t="n"/>
      <c r="AC115" s="6" t="n"/>
      <c r="AD115" s="6" t="n"/>
      <c r="AE115" s="6" t="n"/>
      <c r="AF115" s="6" t="n"/>
      <c r="AG115" s="3" t="n"/>
      <c r="AH115" s="3" t="n"/>
      <c r="AI115" s="3" t="n"/>
      <c r="AJ115" s="3" t="n"/>
      <c r="AK115" s="3" t="n"/>
      <c r="AL115" s="3" t="n"/>
      <c r="AM115" s="3" t="n"/>
      <c r="AN115" s="3" t="n"/>
      <c r="AO115" s="3" t="n"/>
      <c r="AP115" s="3" t="n"/>
      <c r="AQ115" s="3" t="n"/>
      <c r="AR115" s="3" t="n"/>
      <c r="AS115" s="3" t="n"/>
      <c r="AT115" s="3" t="n"/>
      <c r="AU115" s="3" t="n"/>
      <c r="AV115" s="3" t="n"/>
      <c r="AW115" s="3" t="n"/>
      <c r="AX115" s="3" t="n"/>
      <c r="AY115" s="3" t="n"/>
      <c r="AZ115" s="3" t="n"/>
      <c r="BA115" s="3" t="n"/>
      <c r="BB115" s="3" t="n"/>
      <c r="BC115" s="3" t="n"/>
      <c r="BD115" s="3" t="n"/>
      <c r="BE115" s="3" t="n"/>
      <c r="BF115" s="3" t="n"/>
      <c r="BG115" s="3" t="n"/>
      <c r="BH115" s="3" t="n"/>
      <c r="BI115" s="3" t="n"/>
      <c r="BJ115" s="3" t="n"/>
      <c r="BK115" s="3" t="n"/>
      <c r="BL115" s="3" t="n"/>
      <c r="BM115" s="3" t="n"/>
      <c r="BN115" s="3" t="n"/>
      <c r="BO115" s="3" t="n"/>
      <c r="BP115" s="3" t="n"/>
      <c r="BQ115" s="3" t="n"/>
      <c r="BR115" s="3" t="n"/>
      <c r="BS115" s="3" t="n"/>
      <c r="BT115" s="3" t="n"/>
      <c r="BU115" s="3" t="n"/>
      <c r="BV115" s="3" t="n"/>
      <c r="BW115" s="3" t="n"/>
      <c r="BX115" s="3" t="n"/>
      <c r="BY115" s="3" t="n"/>
      <c r="BZ115" s="3" t="n"/>
      <c r="CA115" s="3" t="n"/>
      <c r="CB115" s="3" t="n"/>
      <c r="CC115" s="3" t="n"/>
      <c r="CD115" s="3" t="n"/>
      <c r="CE115" s="3" t="n"/>
      <c r="CF115" s="3" t="n"/>
      <c r="CG115" s="3" t="n"/>
      <c r="CH115" s="3" t="n"/>
      <c r="CI115" s="3" t="n"/>
      <c r="CJ115" s="3" t="n"/>
      <c r="CK115" s="3" t="n"/>
      <c r="CL115" s="3" t="n"/>
      <c r="CM115" s="3" t="n"/>
      <c r="CN115" s="3" t="n"/>
      <c r="CO115" s="3" t="n"/>
      <c r="CP115" s="3" t="n"/>
      <c r="CQ115" s="3" t="n"/>
      <c r="CR115" s="3" t="n"/>
      <c r="CS115" s="3" t="n"/>
      <c r="CT115" s="3" t="n"/>
      <c r="CU115" s="3" t="n"/>
      <c r="CV115" s="3" t="n"/>
      <c r="CW115" s="3" t="n"/>
      <c r="CX115" s="3" t="n"/>
      <c r="CY115" s="3" t="n"/>
    </row>
    <row r="116" hidden="1" outlineLevel="1">
      <c r="C116" s="34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  <c r="AA116" s="3" t="n"/>
      <c r="AB116" s="3" t="n"/>
      <c r="AC116" s="3" t="n"/>
      <c r="AD116" s="3" t="n"/>
      <c r="AE116" s="3" t="n"/>
      <c r="AF116" s="3" t="n"/>
      <c r="AG116" s="3" t="n"/>
      <c r="AH116" s="3" t="n"/>
      <c r="AI116" s="3" t="n"/>
      <c r="AJ116" s="3" t="n"/>
      <c r="AK116" s="3" t="n"/>
      <c r="AL116" s="3" t="n"/>
      <c r="AM116" s="3" t="n"/>
      <c r="AN116" s="3" t="n"/>
      <c r="AO116" s="3" t="n"/>
      <c r="AP116" s="3" t="n"/>
      <c r="AQ116" s="3" t="n"/>
      <c r="AR116" s="3" t="n"/>
      <c r="AS116" s="3" t="n"/>
      <c r="AT116" s="3" t="n"/>
      <c r="AU116" s="3" t="n"/>
      <c r="AV116" s="3" t="n"/>
      <c r="AW116" s="3" t="n"/>
      <c r="AX116" s="3" t="n"/>
      <c r="AY116" s="3" t="n"/>
      <c r="AZ116" s="3" t="n"/>
      <c r="BA116" s="3" t="n"/>
      <c r="BB116" s="3" t="n"/>
      <c r="BC116" s="3" t="n"/>
      <c r="BD116" s="3" t="n"/>
      <c r="BE116" s="3" t="n"/>
      <c r="BF116" s="3" t="n"/>
      <c r="BG116" s="3" t="n"/>
      <c r="BH116" s="3" t="n"/>
      <c r="BI116" s="3" t="n"/>
      <c r="BJ116" s="3" t="n"/>
      <c r="BK116" s="3" t="n"/>
      <c r="BL116" s="3" t="n"/>
      <c r="BM116" s="3" t="n"/>
      <c r="BN116" s="3" t="n"/>
      <c r="BO116" s="3" t="n"/>
      <c r="BP116" s="3" t="n"/>
      <c r="BQ116" s="3" t="n"/>
      <c r="BR116" s="3" t="n"/>
      <c r="BS116" s="3" t="n"/>
      <c r="BT116" s="3" t="n"/>
      <c r="BU116" s="3" t="n"/>
      <c r="BV116" s="3" t="n"/>
      <c r="BW116" s="3" t="n"/>
      <c r="BX116" s="3" t="n"/>
      <c r="BY116" s="3" t="n"/>
      <c r="BZ116" s="3" t="n"/>
      <c r="CA116" s="3" t="n"/>
      <c r="CB116" s="3" t="n"/>
      <c r="CC116" s="3" t="n"/>
      <c r="CD116" s="3" t="n"/>
      <c r="CE116" s="3" t="n"/>
      <c r="CF116" s="3" t="n"/>
      <c r="CG116" s="3" t="n"/>
      <c r="CH116" s="3" t="n"/>
      <c r="CI116" s="3" t="n"/>
      <c r="CJ116" s="3" t="n"/>
      <c r="CK116" s="3" t="n"/>
      <c r="CL116" s="3" t="n"/>
      <c r="CM116" s="3" t="n"/>
      <c r="CN116" s="3" t="n"/>
      <c r="CO116" s="3" t="n"/>
      <c r="CP116" s="3" t="n"/>
      <c r="CQ116" s="3" t="n"/>
      <c r="CR116" s="3" t="n"/>
      <c r="CS116" s="3" t="n"/>
      <c r="CT116" s="3" t="n"/>
      <c r="CU116" s="3" t="n"/>
      <c r="CV116" s="3" t="n"/>
      <c r="CW116" s="3" t="n"/>
      <c r="CX116" s="3" t="n"/>
      <c r="CY116" s="3" t="n"/>
    </row>
    <row r="117" hidden="1" outlineLevel="1">
      <c r="C117" s="34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  <c r="AA117" s="3" t="n"/>
      <c r="AB117" s="3" t="n"/>
      <c r="AC117" s="3" t="n"/>
      <c r="AD117" s="3" t="n"/>
      <c r="AE117" s="3" t="n"/>
      <c r="AF117" s="3" t="n"/>
      <c r="AG117" s="3" t="n"/>
      <c r="AH117" s="3" t="n"/>
      <c r="AI117" s="3" t="n"/>
      <c r="AJ117" s="3" t="n"/>
      <c r="AK117" s="3" t="n"/>
      <c r="AL117" s="3" t="n"/>
      <c r="AM117" s="3" t="n"/>
      <c r="AN117" s="3" t="n"/>
      <c r="AO117" s="3" t="n"/>
      <c r="AP117" s="3" t="n"/>
      <c r="AQ117" s="3" t="n"/>
      <c r="AR117" s="3" t="n"/>
      <c r="AS117" s="3" t="n"/>
      <c r="AT117" s="3" t="n"/>
      <c r="AU117" s="3" t="n"/>
      <c r="AV117" s="3" t="n"/>
      <c r="AW117" s="3" t="n"/>
      <c r="AX117" s="3" t="n"/>
      <c r="AY117" s="3" t="n"/>
      <c r="AZ117" s="3" t="n"/>
      <c r="BA117" s="3" t="n"/>
      <c r="BB117" s="3" t="n"/>
      <c r="BC117" s="3" t="n"/>
      <c r="BD117" s="3" t="n"/>
      <c r="BE117" s="3" t="n"/>
      <c r="BF117" s="3" t="n"/>
      <c r="BG117" s="3" t="n"/>
      <c r="BH117" s="3" t="n"/>
      <c r="BI117" s="3" t="n"/>
      <c r="BJ117" s="3" t="n"/>
      <c r="BK117" s="3" t="n"/>
      <c r="BL117" s="3" t="n"/>
      <c r="BM117" s="3" t="n"/>
      <c r="BN117" s="3" t="n"/>
      <c r="BO117" s="3" t="n"/>
      <c r="BP117" s="3" t="n"/>
      <c r="BQ117" s="3" t="n"/>
      <c r="BR117" s="3" t="n"/>
      <c r="BS117" s="3" t="n"/>
      <c r="BT117" s="3" t="n"/>
      <c r="BU117" s="3" t="n"/>
      <c r="BV117" s="3" t="n"/>
      <c r="BW117" s="3" t="n"/>
      <c r="BX117" s="3" t="n"/>
      <c r="BY117" s="3" t="n"/>
      <c r="BZ117" s="3" t="n"/>
      <c r="CA117" s="3" t="n"/>
      <c r="CB117" s="3" t="n"/>
      <c r="CC117" s="3" t="n"/>
      <c r="CD117" s="3" t="n"/>
      <c r="CE117" s="3" t="n"/>
      <c r="CF117" s="3" t="n"/>
      <c r="CG117" s="3" t="n"/>
      <c r="CH117" s="3" t="n"/>
      <c r="CI117" s="3" t="n"/>
      <c r="CJ117" s="3" t="n"/>
      <c r="CK117" s="3" t="n"/>
      <c r="CL117" s="3" t="n"/>
      <c r="CM117" s="3" t="n"/>
      <c r="CN117" s="3" t="n"/>
      <c r="CO117" s="3" t="n"/>
      <c r="CP117" s="3" t="n"/>
      <c r="CQ117" s="3" t="n"/>
      <c r="CR117" s="3" t="n"/>
      <c r="CS117" s="3" t="n"/>
      <c r="CT117" s="3" t="n"/>
      <c r="CU117" s="3" t="n"/>
      <c r="CV117" s="3" t="n"/>
      <c r="CW117" s="3" t="n"/>
      <c r="CX117" s="3" t="n"/>
      <c r="CY117" s="3" t="n"/>
    </row>
    <row r="118" collapsed="1" customFormat="1" s="17">
      <c r="A118" s="13" t="n"/>
      <c r="B118" s="1" t="n"/>
      <c r="C118" s="14" t="inlineStr">
        <is>
          <t>Pretax Income - EBT</t>
        </is>
      </c>
      <c r="D118" s="16">
        <f>SUM(D61,D62,D111)</f>
        <v>409</v>
      </c>
      <c r="E118" s="16">
        <f>SUM(E61,E62,E111)</f>
        <v>593</v>
      </c>
      <c r="F118" s="16">
        <f>SUM(F61,F62,F111)</f>
        <v>1137</v>
      </c>
      <c r="G118" s="16">
        <f>SUM(G61,G62,G111)</f>
        <v>1384</v>
      </c>
      <c r="H118" s="16">
        <f>SUM(D118:G118)</f>
        <v>3523</v>
      </c>
      <c r="I118" s="16">
        <f>SUM(I61,I62,I111)</f>
        <v>1486</v>
      </c>
      <c r="J118" s="16">
        <f>SUM(J61,J62,J111)</f>
        <v>1726</v>
      </c>
      <c r="K118" s="16">
        <f>SUM(K61,K62,K111)</f>
        <v>2169</v>
      </c>
      <c r="L118" s="16">
        <f>SUM(L61,L62,L111)</f>
        <v>2687</v>
      </c>
      <c r="M118" s="16">
        <f>SUM(I118:L118)</f>
        <v>8068</v>
      </c>
      <c r="N118" s="16">
        <f>SUM(N61,N62,N111)</f>
        <v>2790</v>
      </c>
      <c r="O118" s="16">
        <f>SUM(O61,O62,O111)</f>
        <v>3337</v>
      </c>
      <c r="P118" s="16">
        <f>SUM(P61,P62,P111)</f>
        <v>3620</v>
      </c>
      <c r="Q118" s="16">
        <f>SUM(Q61,Q62,Q111)</f>
        <v>3840</v>
      </c>
      <c r="R118" s="16">
        <f>SUM(N118:Q118)</f>
        <v>13587</v>
      </c>
      <c r="S118" s="16">
        <f>SUM(S61,S62,S111)</f>
        <v>3716</v>
      </c>
      <c r="T118" s="16">
        <f>SUM(T61,T62,T111)</f>
        <v>3574</v>
      </c>
      <c r="U118" s="16">
        <f>SUM(U61,U62,U111)</f>
        <v>3967</v>
      </c>
      <c r="V118" s="16">
        <f>SUM(V61,V62,V111)</f>
        <v>1342</v>
      </c>
      <c r="W118" s="16">
        <f>SUM(S118:V118)</f>
        <v>12599</v>
      </c>
      <c r="X118" s="16">
        <f>SUM(X61,X62,X111)</f>
        <v>2005</v>
      </c>
      <c r="Y118" s="16">
        <f>SUM(Y61,Y62,Y111)</f>
        <v>2806</v>
      </c>
      <c r="Z118" s="16">
        <f>SUM(Z61,Z62,Z111)</f>
        <v>3763</v>
      </c>
      <c r="AA118" s="16">
        <f>SUM(AA61,AA62,AA111)</f>
        <v>5490</v>
      </c>
      <c r="AB118" s="16">
        <f>SUM(X118:AA118)</f>
        <v>14064</v>
      </c>
      <c r="AC118" s="16">
        <f>SUM(AC61,AC62,AC111)</f>
        <v>5085</v>
      </c>
      <c r="AD118" s="16">
        <f>SUM(AD61,AD62,AD111)</f>
        <v>5285</v>
      </c>
      <c r="AE118" s="16">
        <f>SUM(AE61,AE62,AE111)</f>
        <v>6869</v>
      </c>
      <c r="AF118" s="16">
        <f>SUM(AF61,AF62,AF111)</f>
        <v>8195</v>
      </c>
      <c r="AG118" s="16">
        <f>SUM(AC118:AF118)</f>
        <v>25434</v>
      </c>
      <c r="AH118" s="16">
        <f>SUM(AH61,AH62,AH111)</f>
        <v>10130</v>
      </c>
      <c r="AI118" s="16">
        <f>SUM(AI61,AI62,AI111)</f>
        <v>15275</v>
      </c>
      <c r="AJ118" s="16">
        <f>SUM(AJ61,AJ62,AJ111)</f>
        <v>118</v>
      </c>
      <c r="AK118" s="16">
        <f>SUM(AK61,AK62,AK111)</f>
        <v>98</v>
      </c>
      <c r="AL118" s="16">
        <f>SUM(AH118:AK118)</f>
        <v>25621</v>
      </c>
      <c r="AM118" s="16">
        <f>SUM(AM61,AM62,AM111)</f>
        <v>98</v>
      </c>
      <c r="AN118" s="16">
        <f>SUM(AN61,AN62,AN111)</f>
        <v>432</v>
      </c>
      <c r="AO118" s="16">
        <f>SUM(AO61,AO62,AO111)</f>
        <v>98</v>
      </c>
      <c r="AP118" s="16">
        <f>SUM(AP61,AP62,AP111)</f>
        <v>432</v>
      </c>
      <c r="AQ118" s="16">
        <f>SUM(AM118:AP118)</f>
        <v>1060</v>
      </c>
      <c r="AR118" s="16">
        <f>SUM(AR61,AR62,AR111)</f>
        <v>432</v>
      </c>
      <c r="AS118" s="16">
        <f>SUM(AS61,AS62,AS111)</f>
        <v>1060</v>
      </c>
      <c r="AT118" s="16">
        <f>SUM(AT61,AT62,AT111)</f>
        <v>432</v>
      </c>
      <c r="AU118" s="16">
        <f>SUM(AU61,AU62,AU111)</f>
        <v>1060</v>
      </c>
      <c r="AV118" s="16">
        <f>SUM(AR118:AU118)</f>
        <v>2984</v>
      </c>
      <c r="AW118" s="16">
        <f>SUM(AW61,AW62,AW111)</f>
        <v>1060</v>
      </c>
      <c r="AX118" s="16">
        <f>SUM(AX61,AX62,AX111)</f>
        <v>2984</v>
      </c>
      <c r="AY118" s="16">
        <f>SUM(AY61,AY62,AY111)</f>
        <v>1060</v>
      </c>
      <c r="AZ118" s="16">
        <f>SUM(AZ61,AZ62,AZ111)</f>
        <v>2984</v>
      </c>
      <c r="BA118" s="16">
        <f>SUM(AW118:AZ118)</f>
        <v>8088</v>
      </c>
      <c r="BB118" s="16">
        <f>SUM(BB61,BB62,BB111)</f>
        <v>2984</v>
      </c>
      <c r="BC118" s="16">
        <f>SUM(BC61,BC62,BC111)</f>
        <v>8088</v>
      </c>
      <c r="BD118" s="16">
        <f>SUM(BD61,BD62,BD111)</f>
        <v>2984</v>
      </c>
      <c r="BE118" s="16">
        <f>SUM(BE61,BE62,BE111)</f>
        <v>8088</v>
      </c>
      <c r="BF118" s="16">
        <f>SUM(BB118:BE118)</f>
        <v>22144</v>
      </c>
      <c r="BG118" s="16">
        <f>SUM(BG61,BG62,BG111)</f>
        <v>8088</v>
      </c>
      <c r="BH118" s="16">
        <f>SUM(BH61,BH62,BH111)</f>
        <v>22144</v>
      </c>
      <c r="BI118" s="16">
        <f>SUM(BI61,BI62,BI111)</f>
        <v>8088</v>
      </c>
      <c r="BJ118" s="16">
        <f>SUM(BJ61,BJ62,BJ111)</f>
        <v>22144</v>
      </c>
      <c r="BK118" s="16">
        <f>SUM(BG118:BJ118)</f>
        <v>60464</v>
      </c>
      <c r="BL118" s="16">
        <f>SUM(BL61,BL62,BL111)</f>
        <v>22144</v>
      </c>
      <c r="BM118" s="16">
        <f>SUM(BM61,BM62,BM111)</f>
        <v>60464</v>
      </c>
      <c r="BN118" s="16">
        <f>SUM(BN61,BN62,BN111)</f>
        <v>22144</v>
      </c>
      <c r="BO118" s="16">
        <f>SUM(BO61,BO62,BO111)</f>
        <v>60464</v>
      </c>
      <c r="BP118" s="16">
        <f>SUM(BL118:BO118)</f>
        <v>165216</v>
      </c>
      <c r="BQ118" s="16">
        <f>SUM(BQ61,BQ62,BQ111)</f>
        <v>60464</v>
      </c>
      <c r="BR118" s="16">
        <f>SUM(BR61,BR62,BR111)</f>
        <v>165216</v>
      </c>
      <c r="BS118" s="16">
        <f>SUM(BS61,BS62,BS111)</f>
        <v>60464</v>
      </c>
      <c r="BT118" s="16">
        <f>SUM(BT61,BT62,BT111)</f>
        <v>165216</v>
      </c>
      <c r="BU118" s="16">
        <f>SUM(BQ118:BT118)</f>
        <v>451360</v>
      </c>
      <c r="BV118" s="16">
        <f>SUM(BV61,BV62,BV111)</f>
        <v>165216</v>
      </c>
      <c r="BW118" s="16">
        <f>SUM(BW61,BW62,BW111)</f>
        <v>451360</v>
      </c>
      <c r="BX118" s="16">
        <f>SUM(BX61,BX62,BX111)</f>
        <v>165216</v>
      </c>
      <c r="BY118" s="16">
        <f>SUM(BY61,BY62,BY111)</f>
        <v>451360</v>
      </c>
      <c r="BZ118" s="16">
        <f>SUM(BV118:BY118)</f>
        <v>1233152</v>
      </c>
      <c r="CA118" s="16">
        <f>SUM(CA61,CA62,CA111)</f>
        <v>451360</v>
      </c>
      <c r="CB118" s="16">
        <f>SUM(CB61,CB62,CB111)</f>
        <v>1233152</v>
      </c>
      <c r="CC118" s="16">
        <f>SUM(CC61,CC62,CC111)</f>
        <v>451360</v>
      </c>
      <c r="CD118" s="16">
        <f>SUM(CD61,CD62,CD111)</f>
        <v>1233152</v>
      </c>
      <c r="CE118" s="16">
        <f>SUM(CA118:CD118)</f>
        <v>3369024</v>
      </c>
      <c r="CF118" s="16">
        <f>SUM(CF61,CF62,CF111)</f>
        <v>1233152</v>
      </c>
      <c r="CG118" s="16">
        <f>SUM(CG61,CG62,CG111)</f>
        <v>3369024</v>
      </c>
      <c r="CH118" s="16">
        <f>SUM(CH61,CH62,CH111)</f>
        <v>1233152</v>
      </c>
      <c r="CI118" s="16">
        <f>SUM(CI61,CI62,CI111)</f>
        <v>3369024</v>
      </c>
      <c r="CJ118" s="16">
        <f>SUM(CF118:CI118)</f>
        <v>9204352</v>
      </c>
      <c r="CK118" s="16">
        <f>SUM(CK61,CK62,CK111)</f>
        <v>3369024</v>
      </c>
      <c r="CL118" s="16">
        <f>SUM(CL61,CL62,CL111)</f>
        <v>9204352</v>
      </c>
      <c r="CM118" s="16">
        <f>SUM(CM61,CM62,CM111)</f>
        <v>3369024</v>
      </c>
      <c r="CN118" s="16">
        <f>SUM(CN61,CN62,CN111)</f>
        <v>9204352</v>
      </c>
      <c r="CO118" s="16">
        <f>SUM(CK118:CN118)</f>
        <v>25146752</v>
      </c>
      <c r="CP118" s="16">
        <f>SUM(CP61,CP62,CP111)</f>
        <v>9204352</v>
      </c>
      <c r="CQ118" s="16">
        <f>SUM(CQ61,CQ62,CQ111)</f>
        <v>25146752</v>
      </c>
      <c r="CR118" s="16">
        <f>SUM(CR61,CR62,CR111)</f>
        <v>9204352</v>
      </c>
      <c r="CS118" s="16">
        <f>SUM(CS61,CS62,CS111)</f>
        <v>25146752</v>
      </c>
      <c r="CT118" s="16">
        <f>SUM(CP118:CS118)</f>
        <v>68702208</v>
      </c>
      <c r="CU118" s="16">
        <f>SUM(CU61,CU62,CU111)</f>
        <v>25146752</v>
      </c>
      <c r="CV118" s="16">
        <f>SUM(CV61,CV62,CV111)</f>
        <v>68702208</v>
      </c>
      <c r="CW118" s="16">
        <f>SUM(CW61,CW62,CW111)</f>
        <v>25146752</v>
      </c>
      <c r="CX118" s="16">
        <f>SUM(CX61,CX62,CX111)</f>
        <v>68702208</v>
      </c>
      <c r="CY118" s="16">
        <f>SUM(CU118:CX118)</f>
        <v>187697920</v>
      </c>
    </row>
    <row r="119">
      <c r="C119" s="26" t="inlineStr">
        <is>
          <t>Taxes</t>
        </is>
      </c>
      <c r="D119" s="25">
        <f>INDEX('Inputs (2)'!$D$10:$AL$10,MATCH(D$7,'Inputs (2)'!$D$2:$AL$2,0))</f>
        <v>159</v>
      </c>
      <c r="E119" s="25">
        <f>INDEX('Inputs (2)'!$D$10:$AL$10,MATCH(E$7,'Inputs (2)'!$D$2:$AL$2,0))</f>
        <v>96</v>
      </c>
      <c r="F119" s="25">
        <f>INDEX('Inputs (2)'!$D$10:$AL$10,MATCH(F$7,'Inputs (2)'!$D$2:$AL$2,0))</f>
        <v>187</v>
      </c>
      <c r="G119" s="25">
        <f>INDEX('Inputs (2)'!$D$10:$AL$10,MATCH(G$7,'Inputs (2)'!$D$2:$AL$2,0))</f>
        <v>-6</v>
      </c>
      <c r="H119" s="3">
        <f>SUM(D119:G119)</f>
        <v>436</v>
      </c>
      <c r="I119" s="25">
        <f>INDEX('Inputs (2)'!$D$10:$AL$10,MATCH(I$7,'Inputs (2)'!$D$2:$AL$2,0))</f>
        <v>7</v>
      </c>
      <c r="J119" s="25">
        <f>INDEX('Inputs (2)'!$D$10:$AL$10,MATCH(J$7,'Inputs (2)'!$D$2:$AL$2,0))</f>
        <v>150</v>
      </c>
      <c r="K119" s="25">
        <f>INDEX('Inputs (2)'!$D$10:$AL$10,MATCH(K$7,'Inputs (2)'!$D$2:$AL$2,0))</f>
        <v>-180</v>
      </c>
      <c r="L119" s="25">
        <f>INDEX('Inputs (2)'!$D$10:$AL$10,MATCH(L$7,'Inputs (2)'!$D$2:$AL$2,0))</f>
        <v>-215</v>
      </c>
      <c r="M119" s="3">
        <f>SUM(I119:L119)</f>
        <v>-238</v>
      </c>
      <c r="N119" s="25">
        <f>INDEX('Inputs (2)'!$D$10:$AL$10,MATCH(N$7,'Inputs (2)'!$D$2:$AL$2,0))</f>
        <v>-200</v>
      </c>
      <c r="O119" s="25">
        <f>INDEX('Inputs (2)'!$D$10:$AL$10,MATCH(O$7,'Inputs (2)'!$D$2:$AL$2,0))</f>
        <v>-263</v>
      </c>
      <c r="P119" s="25">
        <f>INDEX('Inputs (2)'!$D$10:$AL$10,MATCH(P$7,'Inputs (2)'!$D$2:$AL$2,0))</f>
        <v>-261</v>
      </c>
      <c r="Q119" s="25">
        <f>INDEX('Inputs (2)'!$D$10:$AL$10,MATCH(Q$7,'Inputs (2)'!$D$2:$AL$2,0))</f>
        <v>-66</v>
      </c>
      <c r="R119" s="3">
        <f>SUM(N119:Q119)</f>
        <v>-790</v>
      </c>
      <c r="S119" s="25">
        <f>INDEX('Inputs (2)'!$D$10:$AL$10,MATCH(S$7,'Inputs (2)'!$D$2:$AL$2,0))</f>
        <v>-235</v>
      </c>
      <c r="T119" s="25">
        <f>INDEX('Inputs (2)'!$D$10:$AL$10,MATCH(T$7,'Inputs (2)'!$D$2:$AL$2,0))</f>
        <v>-271</v>
      </c>
      <c r="U119" s="25">
        <f>INDEX('Inputs (2)'!$D$10:$AL$10,MATCH(U$7,'Inputs (2)'!$D$2:$AL$2,0))</f>
        <v>-443</v>
      </c>
      <c r="V119" s="25">
        <f>INDEX('Inputs (2)'!$D$10:$AL$10,MATCH(V$7,'Inputs (2)'!$D$2:$AL$2,0))</f>
        <v>-68</v>
      </c>
      <c r="W119" s="3">
        <f>SUM(S119:V119)</f>
        <v>-1017</v>
      </c>
      <c r="X119" s="25">
        <f>INDEX('Inputs (2)'!$D$10:$AL$10,MATCH(X$7,'Inputs (2)'!$D$2:$AL$2,0))</f>
        <v>116</v>
      </c>
      <c r="Y119" s="25">
        <f>INDEX('Inputs (2)'!$D$10:$AL$10,MATCH(Y$7,'Inputs (2)'!$D$2:$AL$2,0))</f>
        <v>-4238</v>
      </c>
      <c r="Z119" s="25">
        <f>INDEX('Inputs (2)'!$D$10:$AL$10,MATCH(Z$7,'Inputs (2)'!$D$2:$AL$2,0))</f>
        <v>442</v>
      </c>
      <c r="AA119" s="25">
        <f>INDEX('Inputs (2)'!$D$10:$AL$10,MATCH(AA$7,'Inputs (2)'!$D$2:$AL$2,0))</f>
        <v>13</v>
      </c>
      <c r="AB119" s="3">
        <f>SUM(X119:AA119)</f>
        <v>-3667</v>
      </c>
      <c r="AC119" s="25">
        <f>INDEX('Inputs (2)'!$D$10:$AL$10,MATCH(AC$7,'Inputs (2)'!$D$2:$AL$2,0))</f>
        <v>-120</v>
      </c>
      <c r="AD119" s="25">
        <f>INDEX('Inputs (2)'!$D$10:$AL$10,MATCH(AD$7,'Inputs (2)'!$D$2:$AL$2,0))</f>
        <v>-1145</v>
      </c>
      <c r="AE119" s="25">
        <f>INDEX('Inputs (2)'!$D$10:$AL$10,MATCH(AE$7,'Inputs (2)'!$D$2:$AL$2,0))</f>
        <v>1649</v>
      </c>
      <c r="AF119" s="25">
        <f>INDEX('Inputs (2)'!$D$10:$AL$10,MATCH(AF$7,'Inputs (2)'!$D$2:$AL$2,0))</f>
        <v>-846</v>
      </c>
      <c r="AG119" s="3">
        <f>SUM(AC119:AF119)</f>
        <v>-462</v>
      </c>
      <c r="AH119" s="3">
        <f>INDEX('Inputs (2)'!$D$10:$AL$10,MATCH(AH$7,'Inputs (2)'!$D$2:$AL$2,0))</f>
        <v>-820</v>
      </c>
      <c r="AI119" s="3">
        <f>INDEX('Inputs (2)'!$D$10:$AL$10,MATCH(AI$7,'Inputs (2)'!$D$2:$AL$2,0))</f>
        <v>-2187</v>
      </c>
      <c r="AJ119" s="3">
        <f>AJ120*-AJ118</f>
        <v>0</v>
      </c>
      <c r="AK119" s="3">
        <f>AK120*-AK118</f>
        <v>0</v>
      </c>
      <c r="AL119" s="3">
        <f>SUM(AH119:AK119)</f>
        <v>-3007</v>
      </c>
      <c r="AM119" s="3">
        <f>AM120*-AM118</f>
        <v>0</v>
      </c>
      <c r="AN119" s="3">
        <f>AN120*-AN118</f>
        <v>0</v>
      </c>
      <c r="AO119" s="3">
        <f>AO120*-AO118</f>
        <v>0</v>
      </c>
      <c r="AP119" s="3">
        <f>AP120*-AP118</f>
        <v>0</v>
      </c>
      <c r="AQ119" s="3">
        <f>SUM(AM119:AP119)</f>
        <v>0</v>
      </c>
      <c r="AR119" s="3">
        <f>AR120*-AR118</f>
        <v>0</v>
      </c>
      <c r="AS119" s="3">
        <f>AS120*-AS118</f>
        <v>0</v>
      </c>
      <c r="AT119" s="3">
        <f>AT120*-AT118</f>
        <v>0</v>
      </c>
      <c r="AU119" s="3">
        <f>AU120*-AU118</f>
        <v>0</v>
      </c>
      <c r="AV119" s="3">
        <f>SUM(AR119:AU119)</f>
        <v>0</v>
      </c>
      <c r="AW119" s="3">
        <f>AW120*-AW118</f>
        <v>0</v>
      </c>
      <c r="AX119" s="3">
        <f>AX120*-AX118</f>
        <v>0</v>
      </c>
      <c r="AY119" s="3">
        <f>AY120*-AY118</f>
        <v>0</v>
      </c>
      <c r="AZ119" s="3">
        <f>AZ120*-AZ118</f>
        <v>0</v>
      </c>
      <c r="BA119" s="3">
        <f>SUM(AW119:AZ119)</f>
        <v>0</v>
      </c>
      <c r="BB119" s="3">
        <f>BB120*-BB118</f>
        <v>0</v>
      </c>
      <c r="BC119" s="3">
        <f>BC120*-BC118</f>
        <v>0</v>
      </c>
      <c r="BD119" s="3">
        <f>BD120*-BD118</f>
        <v>0</v>
      </c>
      <c r="BE119" s="3">
        <f>BE120*-BE118</f>
        <v>0</v>
      </c>
      <c r="BF119" s="3">
        <f>SUM(BB119:BE119)</f>
        <v>0</v>
      </c>
      <c r="BG119" s="3">
        <f>BG120*-BG118</f>
        <v>0</v>
      </c>
      <c r="BH119" s="3">
        <f>BH120*-BH118</f>
        <v>0</v>
      </c>
      <c r="BI119" s="3">
        <f>BI120*-BI118</f>
        <v>0</v>
      </c>
      <c r="BJ119" s="3">
        <f>BJ120*-BJ118</f>
        <v>0</v>
      </c>
      <c r="BK119" s="3">
        <f>SUM(BG119:BJ119)</f>
        <v>0</v>
      </c>
      <c r="BL119" s="3">
        <f>BL120*-BL118</f>
        <v>0</v>
      </c>
      <c r="BM119" s="3">
        <f>BM120*-BM118</f>
        <v>0</v>
      </c>
      <c r="BN119" s="3">
        <f>BN120*-BN118</f>
        <v>0</v>
      </c>
      <c r="BO119" s="3">
        <f>BO120*-BO118</f>
        <v>0</v>
      </c>
      <c r="BP119" s="3">
        <f>SUM(BL119:BO119)</f>
        <v>0</v>
      </c>
      <c r="BQ119" s="3">
        <f>BQ120*-BQ118</f>
        <v>0</v>
      </c>
      <c r="BR119" s="3">
        <f>BR120*-BR118</f>
        <v>0</v>
      </c>
      <c r="BS119" s="3">
        <f>BS120*-BS118</f>
        <v>0</v>
      </c>
      <c r="BT119" s="3">
        <f>BT120*-BT118</f>
        <v>0</v>
      </c>
      <c r="BU119" s="3">
        <f>SUM(BQ119:BT119)</f>
        <v>0</v>
      </c>
      <c r="BV119" s="3">
        <f>BV120*-BV118</f>
        <v>0</v>
      </c>
      <c r="BW119" s="3">
        <f>BW120*-BW118</f>
        <v>0</v>
      </c>
      <c r="BX119" s="3">
        <f>BX120*-BX118</f>
        <v>0</v>
      </c>
      <c r="BY119" s="3">
        <f>BY120*-BY118</f>
        <v>0</v>
      </c>
      <c r="BZ119" s="3">
        <f>SUM(BV119:BY119)</f>
        <v>0</v>
      </c>
      <c r="CA119" s="3">
        <f>CA120*-CA118</f>
        <v>0</v>
      </c>
      <c r="CB119" s="3">
        <f>CB120*-CB118</f>
        <v>0</v>
      </c>
      <c r="CC119" s="3">
        <f>CC120*-CC118</f>
        <v>0</v>
      </c>
      <c r="CD119" s="3">
        <f>CD120*-CD118</f>
        <v>0</v>
      </c>
      <c r="CE119" s="3">
        <f>SUM(CA119:CD119)</f>
        <v>0</v>
      </c>
      <c r="CF119" s="3">
        <f>CF120*-CF118</f>
        <v>0</v>
      </c>
      <c r="CG119" s="3">
        <f>CG120*-CG118</f>
        <v>0</v>
      </c>
      <c r="CH119" s="3">
        <f>CH120*-CH118</f>
        <v>0</v>
      </c>
      <c r="CI119" s="3">
        <f>CI120*-CI118</f>
        <v>0</v>
      </c>
      <c r="CJ119" s="3">
        <f>SUM(CF119:CI119)</f>
        <v>0</v>
      </c>
      <c r="CK119" s="3">
        <f>CK120*-CK118</f>
        <v>0</v>
      </c>
      <c r="CL119" s="3">
        <f>CL120*-CL118</f>
        <v>0</v>
      </c>
      <c r="CM119" s="3">
        <f>CM120*-CM118</f>
        <v>0</v>
      </c>
      <c r="CN119" s="3">
        <f>CN120*-CN118</f>
        <v>0</v>
      </c>
      <c r="CO119" s="3">
        <f>SUM(CK119:CN119)</f>
        <v>0</v>
      </c>
      <c r="CP119" s="3">
        <f>CP120*-CP118</f>
        <v>0</v>
      </c>
      <c r="CQ119" s="3">
        <f>CQ120*-CQ118</f>
        <v>0</v>
      </c>
      <c r="CR119" s="3">
        <f>CR120*-CR118</f>
        <v>0</v>
      </c>
      <c r="CS119" s="3">
        <f>CS120*-CS118</f>
        <v>0</v>
      </c>
      <c r="CT119" s="3">
        <f>SUM(CP119:CS119)</f>
        <v>0</v>
      </c>
      <c r="CU119" s="3">
        <f>CU120*-CU118</f>
        <v>0</v>
      </c>
      <c r="CV119" s="3">
        <f>CV120*-CV118</f>
        <v>0</v>
      </c>
      <c r="CW119" s="3">
        <f>CW120*-CW118</f>
        <v>0</v>
      </c>
      <c r="CX119" s="3">
        <f>CX120*-CX118</f>
        <v>0</v>
      </c>
      <c r="CY119" s="3">
        <f>SUM(CU119:CX119)</f>
        <v>0</v>
      </c>
    </row>
    <row r="120" hidden="1" outlineLevel="1">
      <c r="C120" s="34" t="inlineStr">
        <is>
          <t>% ETR</t>
        </is>
      </c>
      <c r="D120" s="48">
        <f>-D119/D118</f>
        <v>-0.388753056234719</v>
      </c>
      <c r="E120" s="48">
        <f>-E119/E118</f>
        <v>-0.161888701517707</v>
      </c>
      <c r="F120" s="48">
        <f>-F119/F118</f>
        <v>-0.164467897977133</v>
      </c>
      <c r="G120" s="48">
        <f>-G119/G118</f>
        <v>0.00433526011560694</v>
      </c>
      <c r="H120" s="48">
        <f>-H119/H118</f>
        <v>-0.12375816065853</v>
      </c>
      <c r="I120" s="48">
        <f>-I119/I118</f>
        <v>-0.00471063257065949</v>
      </c>
      <c r="J120" s="48">
        <f>-J119/J118</f>
        <v>-0.0869061413673233</v>
      </c>
      <c r="K120" s="48">
        <f>-K119/K118</f>
        <v>0.0829875518672199</v>
      </c>
      <c r="L120" s="48">
        <f>-L119/L118</f>
        <v>0.0800148864905099</v>
      </c>
      <c r="M120" s="48">
        <f>-M119/M118</f>
        <v>0.0294992563212692</v>
      </c>
      <c r="N120" s="48">
        <f>-N119/N118</f>
        <v>0.0716845878136201</v>
      </c>
      <c r="O120" s="48">
        <f>-O119/O118</f>
        <v>0.0788133053640995</v>
      </c>
      <c r="P120" s="48">
        <f>-P119/P118</f>
        <v>0.0720994475138122</v>
      </c>
      <c r="Q120" s="48">
        <f>-Q119/Q118</f>
        <v>0.0171875</v>
      </c>
      <c r="R120" s="48">
        <f>-R119/R118</f>
        <v>0.0581438139397954</v>
      </c>
      <c r="S120" s="48">
        <f>-S119/S118</f>
        <v>0.0632400430570506</v>
      </c>
      <c r="T120" s="48">
        <f>-T119/T118</f>
        <v>0.0758254057078903</v>
      </c>
      <c r="U120" s="48">
        <f>-U119/U118</f>
        <v>0.111671288127048</v>
      </c>
      <c r="V120" s="48">
        <f>-V119/V118</f>
        <v>0.0506706408345753</v>
      </c>
      <c r="W120" s="48">
        <f>-W119/W118</f>
        <v>0.0807206921184221</v>
      </c>
      <c r="X120" s="48">
        <f>-X119/X118</f>
        <v>-0.05785536159601</v>
      </c>
      <c r="Y120" s="48">
        <f>-Y119/Y118</f>
        <v>1.51033499643621</v>
      </c>
      <c r="Z120" s="48">
        <f>-Z119/Z118</f>
        <v>-0.117459473824077</v>
      </c>
      <c r="AA120" s="48">
        <f>-AA119/AA118</f>
        <v>-0.00236794171220401</v>
      </c>
      <c r="AB120" s="48">
        <f>-AB119/AB118</f>
        <v>0.260736632536974</v>
      </c>
      <c r="AC120" s="48">
        <f>-AC119/AC118</f>
        <v>0.0235988200589971</v>
      </c>
      <c r="AD120" s="48">
        <f>-AD119/AD118</f>
        <v>0.216650898770104</v>
      </c>
      <c r="AE120" s="48">
        <f>-AE119/AE118</f>
        <v>-0.240064055903334</v>
      </c>
      <c r="AF120" s="44">
        <f>-AF119/AF118</f>
        <v>0.103233679072605</v>
      </c>
      <c r="AG120" s="48">
        <f>-AG119/AG118</f>
        <v>0.0181646614767634</v>
      </c>
      <c r="AH120" s="44">
        <f>-AH119/AH118</f>
        <v>0.0809476801579467</v>
      </c>
      <c r="AI120" s="44">
        <f>-AI119/AI118</f>
        <v>0.143175122749591</v>
      </c>
      <c r="AJ120" s="44" t="n"/>
      <c r="AK120" s="44" t="n"/>
      <c r="AL120" s="48">
        <f>-AL119/AL118</f>
        <v>0.117364661800866</v>
      </c>
      <c r="AM120" s="44" t="n"/>
      <c r="AN120" s="44" t="n"/>
      <c r="AO120" s="44" t="n"/>
      <c r="AP120" s="44" t="n"/>
      <c r="AQ120" s="48">
        <f>-AQ119/AQ118</f>
        <v>0</v>
      </c>
      <c r="AR120" s="44" t="n"/>
      <c r="AS120" s="44" t="n"/>
      <c r="AT120" s="44" t="n"/>
      <c r="AU120" s="44" t="n"/>
      <c r="AV120" s="48">
        <f>-AV119/AV118</f>
        <v>0</v>
      </c>
      <c r="AW120" s="44" t="n"/>
      <c r="AX120" s="44" t="n"/>
      <c r="AY120" s="44" t="n"/>
      <c r="AZ120" s="44" t="n"/>
      <c r="BA120" s="48">
        <f>-BA119/BA118</f>
        <v>0</v>
      </c>
      <c r="BB120" s="44" t="n"/>
      <c r="BC120" s="44" t="n"/>
      <c r="BD120" s="44" t="n"/>
      <c r="BE120" s="44" t="n"/>
      <c r="BF120" s="48">
        <f>-BF119/BF118</f>
        <v>0</v>
      </c>
      <c r="BG120" s="44" t="n"/>
      <c r="BH120" s="44" t="n"/>
      <c r="BI120" s="44" t="n"/>
      <c r="BJ120" s="44" t="n"/>
      <c r="BK120" s="48">
        <f>-BK119/BK118</f>
        <v>0</v>
      </c>
      <c r="BL120" s="44" t="n"/>
      <c r="BM120" s="44" t="n"/>
      <c r="BN120" s="44" t="n"/>
      <c r="BO120" s="44" t="n"/>
      <c r="BP120" s="48">
        <f>-BP119/BP118</f>
        <v>0</v>
      </c>
      <c r="BQ120" s="44" t="n"/>
      <c r="BR120" s="44" t="n"/>
      <c r="BS120" s="44" t="n"/>
      <c r="BT120" s="44" t="n"/>
      <c r="BU120" s="48">
        <f>-BU119/BU118</f>
        <v>0</v>
      </c>
      <c r="BV120" s="44" t="n"/>
      <c r="BW120" s="44" t="n"/>
      <c r="BX120" s="44" t="n"/>
      <c r="BY120" s="44" t="n"/>
      <c r="BZ120" s="48">
        <f>-BZ119/BZ118</f>
        <v>0</v>
      </c>
      <c r="CA120" s="44" t="n"/>
      <c r="CB120" s="44" t="n"/>
      <c r="CC120" s="44" t="n"/>
      <c r="CD120" s="44" t="n"/>
      <c r="CE120" s="48">
        <f>-CE119/CE118</f>
        <v>0</v>
      </c>
      <c r="CF120" s="44" t="n"/>
      <c r="CG120" s="44" t="n"/>
      <c r="CH120" s="44" t="n"/>
      <c r="CI120" s="44" t="n"/>
      <c r="CJ120" s="48">
        <f>-CJ119/CJ118</f>
        <v>0</v>
      </c>
      <c r="CK120" s="44" t="n"/>
      <c r="CL120" s="44" t="n"/>
      <c r="CM120" s="44" t="n"/>
      <c r="CN120" s="44" t="n"/>
      <c r="CO120" s="48">
        <f>-CO119/CO118</f>
        <v>0</v>
      </c>
      <c r="CP120" s="44" t="n"/>
      <c r="CQ120" s="44" t="n"/>
      <c r="CR120" s="44" t="n"/>
      <c r="CS120" s="44" t="n"/>
      <c r="CT120" s="48">
        <f>-CT119/CT118</f>
        <v>0</v>
      </c>
      <c r="CU120" s="44" t="n"/>
      <c r="CV120" s="44" t="n"/>
      <c r="CW120" s="44" t="n"/>
      <c r="CX120" s="44" t="n"/>
      <c r="CY120" s="48">
        <f>-CY119/CY118</f>
        <v>0</v>
      </c>
    </row>
    <row r="121" hidden="1" outlineLevel="1">
      <c r="C121" s="34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  <c r="AA121" s="3" t="n"/>
      <c r="AB121" s="3" t="n"/>
      <c r="AC121" s="3" t="n"/>
      <c r="AD121" s="3" t="n"/>
      <c r="AE121" s="3" t="n"/>
      <c r="AF121" s="3" t="n"/>
      <c r="AG121" s="3" t="n"/>
      <c r="AH121" s="3" t="n"/>
      <c r="AI121" s="3" t="n"/>
      <c r="AJ121" s="3" t="n"/>
      <c r="AK121" s="3" t="n"/>
      <c r="AL121" s="3" t="n"/>
      <c r="AM121" s="3" t="n"/>
      <c r="AN121" s="3" t="n"/>
      <c r="AO121" s="3" t="n"/>
      <c r="AP121" s="3" t="n"/>
      <c r="AQ121" s="3" t="n"/>
      <c r="AR121" s="3" t="n"/>
      <c r="AS121" s="3" t="n"/>
      <c r="AT121" s="3" t="n"/>
      <c r="AU121" s="3" t="n"/>
      <c r="AV121" s="3" t="n"/>
      <c r="AW121" s="3" t="n"/>
      <c r="AX121" s="3" t="n"/>
      <c r="AY121" s="3" t="n"/>
      <c r="AZ121" s="3" t="n"/>
      <c r="BA121" s="3" t="n"/>
      <c r="BB121" s="3" t="n"/>
      <c r="BC121" s="3" t="n"/>
      <c r="BD121" s="3" t="n"/>
      <c r="BE121" s="3" t="n"/>
      <c r="BF121" s="3" t="n"/>
      <c r="BG121" s="3" t="n"/>
      <c r="BH121" s="3" t="n"/>
      <c r="BI121" s="3" t="n"/>
      <c r="BJ121" s="3" t="n"/>
      <c r="BK121" s="3" t="n"/>
      <c r="BL121" s="3" t="n"/>
      <c r="BM121" s="3" t="n"/>
      <c r="BN121" s="3" t="n"/>
      <c r="BO121" s="3" t="n"/>
      <c r="BP121" s="3" t="n"/>
      <c r="BQ121" s="3" t="n"/>
      <c r="BR121" s="3" t="n"/>
      <c r="BS121" s="3" t="n"/>
      <c r="BT121" s="3" t="n"/>
      <c r="BU121" s="3" t="n"/>
      <c r="BV121" s="3" t="n"/>
      <c r="BW121" s="3" t="n"/>
      <c r="BX121" s="3" t="n"/>
      <c r="BY121" s="3" t="n"/>
      <c r="BZ121" s="3" t="n"/>
      <c r="CA121" s="3" t="n"/>
      <c r="CB121" s="3" t="n"/>
      <c r="CC121" s="3" t="n"/>
      <c r="CD121" s="3" t="n"/>
      <c r="CE121" s="3" t="n"/>
      <c r="CF121" s="3" t="n"/>
      <c r="CG121" s="3" t="n"/>
      <c r="CH121" s="3" t="n"/>
      <c r="CI121" s="3" t="n"/>
      <c r="CJ121" s="3" t="n"/>
      <c r="CK121" s="3" t="n"/>
      <c r="CL121" s="3" t="n"/>
      <c r="CM121" s="3" t="n"/>
      <c r="CN121" s="3" t="n"/>
      <c r="CO121" s="3" t="n"/>
      <c r="CP121" s="3" t="n"/>
      <c r="CQ121" s="3" t="n"/>
      <c r="CR121" s="3" t="n"/>
      <c r="CS121" s="3" t="n"/>
      <c r="CT121" s="3" t="n"/>
      <c r="CU121" s="3" t="n"/>
      <c r="CV121" s="3" t="n"/>
      <c r="CW121" s="3" t="n"/>
      <c r="CX121" s="3" t="n"/>
      <c r="CY121" s="3" t="n"/>
    </row>
    <row r="122" hidden="1" outlineLevel="1">
      <c r="C122" s="34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  <c r="AA122" s="3" t="n"/>
      <c r="AB122" s="3" t="n"/>
      <c r="AC122" s="3" t="n"/>
      <c r="AD122" s="3" t="n"/>
      <c r="AE122" s="3" t="n"/>
      <c r="AF122" s="3" t="n"/>
      <c r="AG122" s="3" t="n"/>
      <c r="AH122" s="3" t="n"/>
      <c r="AI122" s="3" t="n"/>
      <c r="AJ122" s="3" t="n"/>
      <c r="AK122" s="3" t="n"/>
      <c r="AL122" s="3" t="n"/>
      <c r="AM122" s="3" t="n"/>
      <c r="AN122" s="3" t="n"/>
      <c r="AO122" s="3" t="n"/>
      <c r="AP122" s="3" t="n"/>
      <c r="AQ122" s="3" t="n"/>
      <c r="AR122" s="3" t="n"/>
      <c r="AS122" s="3" t="n"/>
      <c r="AT122" s="3" t="n"/>
      <c r="AU122" s="3" t="n"/>
      <c r="AV122" s="3" t="n"/>
      <c r="AW122" s="3" t="n"/>
      <c r="AX122" s="3" t="n"/>
      <c r="AY122" s="3" t="n"/>
      <c r="AZ122" s="3" t="n"/>
      <c r="BA122" s="3" t="n"/>
      <c r="BB122" s="3" t="n"/>
      <c r="BC122" s="3" t="n"/>
      <c r="BD122" s="3" t="n"/>
      <c r="BE122" s="3" t="n"/>
      <c r="BF122" s="3" t="n"/>
      <c r="BG122" s="3" t="n"/>
      <c r="BH122" s="3" t="n"/>
      <c r="BI122" s="3" t="n"/>
      <c r="BJ122" s="3" t="n"/>
      <c r="BK122" s="3" t="n"/>
      <c r="BL122" s="3" t="n"/>
      <c r="BM122" s="3" t="n"/>
      <c r="BN122" s="3" t="n"/>
      <c r="BO122" s="3" t="n"/>
      <c r="BP122" s="3" t="n"/>
      <c r="BQ122" s="3" t="n"/>
      <c r="BR122" s="3" t="n"/>
      <c r="BS122" s="3" t="n"/>
      <c r="BT122" s="3" t="n"/>
      <c r="BU122" s="3" t="n"/>
      <c r="BV122" s="3" t="n"/>
      <c r="BW122" s="3" t="n"/>
      <c r="BX122" s="3" t="n"/>
      <c r="BY122" s="3" t="n"/>
      <c r="BZ122" s="3" t="n"/>
      <c r="CA122" s="3" t="n"/>
      <c r="CB122" s="3" t="n"/>
      <c r="CC122" s="3" t="n"/>
      <c r="CD122" s="3" t="n"/>
      <c r="CE122" s="3" t="n"/>
      <c r="CF122" s="3" t="n"/>
      <c r="CG122" s="3" t="n"/>
      <c r="CH122" s="3" t="n"/>
      <c r="CI122" s="3" t="n"/>
      <c r="CJ122" s="3" t="n"/>
      <c r="CK122" s="3" t="n"/>
      <c r="CL122" s="3" t="n"/>
      <c r="CM122" s="3" t="n"/>
      <c r="CN122" s="3" t="n"/>
      <c r="CO122" s="3" t="n"/>
      <c r="CP122" s="3" t="n"/>
      <c r="CQ122" s="3" t="n"/>
      <c r="CR122" s="3" t="n"/>
      <c r="CS122" s="3" t="n"/>
      <c r="CT122" s="3" t="n"/>
      <c r="CU122" s="3" t="n"/>
      <c r="CV122" s="3" t="n"/>
      <c r="CW122" s="3" t="n"/>
      <c r="CX122" s="3" t="n"/>
      <c r="CY122" s="3" t="n"/>
    </row>
    <row r="123" collapsed="1">
      <c r="C123" s="26" t="inlineStr">
        <is>
          <t>Equity in Income of Affiliates, after tax (enter as +)</t>
        </is>
      </c>
      <c r="D123" s="25">
        <f>INDEX('Inputs (2)'!$D$11:$AL$11,MATCH(D$7,'Inputs (2)'!$D$2:$AL$2,0))</f>
        <v>-80</v>
      </c>
      <c r="E123" s="25">
        <f>INDEX('Inputs (2)'!$D$11:$AL$11,MATCH(E$7,'Inputs (2)'!$D$2:$AL$2,0))</f>
        <v>-75</v>
      </c>
      <c r="F123" s="25">
        <f>INDEX('Inputs (2)'!$D$11:$AL$11,MATCH(F$7,'Inputs (2)'!$D$2:$AL$2,0))</f>
        <v>-74</v>
      </c>
      <c r="G123" s="25">
        <f>INDEX('Inputs (2)'!$D$11:$AL$11,MATCH(G$7,'Inputs (2)'!$D$2:$AL$2,0))</f>
        <v>-74</v>
      </c>
      <c r="H123" s="3">
        <f>SUM(D123:G123)</f>
        <v>-303</v>
      </c>
      <c r="I123" s="25">
        <f>INDEX('Inputs (2)'!$D$11:$AL$11,MATCH(I$7,'Inputs (2)'!$D$2:$AL$2,0))</f>
        <v>-76</v>
      </c>
      <c r="J123" s="25">
        <f>INDEX('Inputs (2)'!$D$11:$AL$11,MATCH(J$7,'Inputs (2)'!$D$2:$AL$2,0))</f>
        <v>-74</v>
      </c>
      <c r="K123" s="25">
        <f>INDEX('Inputs (2)'!$D$11:$AL$11,MATCH(K$7,'Inputs (2)'!$D$2:$AL$2,0))</f>
        <v>-75</v>
      </c>
      <c r="L123" s="25">
        <f>INDEX('Inputs (2)'!$D$11:$AL$11,MATCH(L$7,'Inputs (2)'!$D$2:$AL$2,0))</f>
        <v>-74</v>
      </c>
      <c r="M123" s="3">
        <f>SUM(I123:L123)</f>
        <v>-299</v>
      </c>
      <c r="N123" s="25">
        <f>INDEX('Inputs (2)'!$D$11:$AL$11,MATCH(N$7,'Inputs (2)'!$D$2:$AL$2,0))</f>
        <v>-75</v>
      </c>
      <c r="O123" s="25">
        <f>INDEX('Inputs (2)'!$D$11:$AL$11,MATCH(O$7,'Inputs (2)'!$D$2:$AL$2,0))</f>
        <v>-75</v>
      </c>
      <c r="P123" s="25">
        <f>INDEX('Inputs (2)'!$D$11:$AL$11,MATCH(P$7,'Inputs (2)'!$D$2:$AL$2,0))</f>
        <v>224</v>
      </c>
      <c r="Q123" s="25">
        <f>INDEX('Inputs (2)'!$D$11:$AL$11,MATCH(Q$7,'Inputs (2)'!$D$2:$AL$2,0))</f>
        <v>0</v>
      </c>
      <c r="R123" s="3">
        <f>SUM(N123:Q123)</f>
        <v>74</v>
      </c>
      <c r="S123" s="25">
        <f>INDEX('Inputs (2)'!$D$11:$AL$11,MATCH(S$7,'Inputs (2)'!$D$2:$AL$2,0))</f>
        <v>0</v>
      </c>
      <c r="T123" s="25">
        <f>INDEX('Inputs (2)'!$D$11:$AL$11,MATCH(T$7,'Inputs (2)'!$D$2:$AL$2,0))</f>
        <v>0</v>
      </c>
      <c r="U123" s="25">
        <f>INDEX('Inputs (2)'!$D$11:$AL$11,MATCH(U$7,'Inputs (2)'!$D$2:$AL$2,0))</f>
        <v>0</v>
      </c>
      <c r="V123" s="25">
        <f>INDEX('Inputs (2)'!$D$11:$AL$11,MATCH(V$7,'Inputs (2)'!$D$2:$AL$2,0))</f>
        <v>51</v>
      </c>
      <c r="W123" s="3">
        <f>SUM(S123:V123)</f>
        <v>51</v>
      </c>
      <c r="X123" s="25">
        <f>INDEX('Inputs (2)'!$D$11:$AL$11,MATCH(X$7,'Inputs (2)'!$D$2:$AL$2,0))</f>
        <v>0</v>
      </c>
      <c r="Y123" s="25">
        <f>INDEX('Inputs (2)'!$D$11:$AL$11,MATCH(Y$7,'Inputs (2)'!$D$2:$AL$2,0))</f>
        <v>-443</v>
      </c>
      <c r="Z123" s="25">
        <f>INDEX('Inputs (2)'!$D$11:$AL$11,MATCH(Z$7,'Inputs (2)'!$D$2:$AL$2,0))</f>
        <v>119</v>
      </c>
      <c r="AA123" s="25">
        <f>INDEX('Inputs (2)'!$D$11:$AL$11,MATCH(AA$7,'Inputs (2)'!$D$2:$AL$2,0))</f>
        <v>0</v>
      </c>
      <c r="AB123" s="3">
        <f>SUM(X123:AA123)</f>
        <v>-324</v>
      </c>
      <c r="AC123" s="25">
        <f>INDEX('Inputs (2)'!$D$11:$AL$11,MATCH(AC$7,'Inputs (2)'!$D$2:$AL$2,0))</f>
        <v>0</v>
      </c>
      <c r="AD123" s="25">
        <f>INDEX('Inputs (2)'!$D$11:$AL$11,MATCH(AD$7,'Inputs (2)'!$D$2:$AL$2,0))</f>
        <v>0</v>
      </c>
      <c r="AE123" s="25">
        <f>INDEX('Inputs (2)'!$D$11:$AL$11,MATCH(AE$7,'Inputs (2)'!$D$2:$AL$2,0))</f>
        <v>0</v>
      </c>
      <c r="AF123" s="25">
        <f>INDEX('Inputs (2)'!$D$11:$AL$11,MATCH(AF$7,'Inputs (2)'!$D$2:$AL$2,0))</f>
        <v>0</v>
      </c>
      <c r="AG123" s="3">
        <f>SUM(AC123:AF123)</f>
        <v>0</v>
      </c>
      <c r="AH123" s="3">
        <f>INDEX('Inputs (2)'!$D$11:$AL$11,MATCH(AH$7,'Inputs (2)'!$D$2:$AL$2,0))</f>
        <v>0</v>
      </c>
      <c r="AI123" s="3">
        <f>INDEX('Inputs (2)'!$D$11:$AL$11,MATCH(AI$7,'Inputs (2)'!$D$2:$AL$2,0))</f>
        <v>0</v>
      </c>
      <c r="AJ123" s="3">
        <f>AE123*(1+AJ151)</f>
        <v>0</v>
      </c>
      <c r="AK123" s="3">
        <f>AF123*(1+AK151)</f>
        <v>0</v>
      </c>
      <c r="AL123" s="3">
        <f>SUM(AH123:AK123)</f>
        <v>0</v>
      </c>
      <c r="AM123" s="3">
        <f>AH123*(1+AM151)</f>
        <v>0</v>
      </c>
      <c r="AN123" s="3">
        <f>AI123*(1+AN151)</f>
        <v>0</v>
      </c>
      <c r="AO123" s="3">
        <f>AJ123*(1+AO151)</f>
        <v>0</v>
      </c>
      <c r="AP123" s="3">
        <f>AK123*(1+AP151)</f>
        <v>0</v>
      </c>
      <c r="AQ123" s="3">
        <f>SUM(AM123:AP123)</f>
        <v>0</v>
      </c>
      <c r="AR123" s="3">
        <f>AM123*(1+AR151)</f>
        <v>0</v>
      </c>
      <c r="AS123" s="3">
        <f>AN123*(1+AS151)</f>
        <v>0</v>
      </c>
      <c r="AT123" s="3">
        <f>AO123*(1+AT151)</f>
        <v>0</v>
      </c>
      <c r="AU123" s="3">
        <f>AP123*(1+AU151)</f>
        <v>0</v>
      </c>
      <c r="AV123" s="3">
        <f>SUM(AR123:AU123)</f>
        <v>0</v>
      </c>
      <c r="AW123" s="3">
        <f>AR123*(1+AW151)</f>
        <v>0</v>
      </c>
      <c r="AX123" s="3">
        <f>AS123*(1+AX151)</f>
        <v>0</v>
      </c>
      <c r="AY123" s="3">
        <f>AT123*(1+AY151)</f>
        <v>0</v>
      </c>
      <c r="AZ123" s="3">
        <f>AU123*(1+AZ151)</f>
        <v>0</v>
      </c>
      <c r="BA123" s="3">
        <f>SUM(AW123:AZ123)</f>
        <v>0</v>
      </c>
      <c r="BB123" s="3">
        <f>AW123*(1+BB151)</f>
        <v>0</v>
      </c>
      <c r="BC123" s="3">
        <f>AX123*(1+BC151)</f>
        <v>0</v>
      </c>
      <c r="BD123" s="3">
        <f>AY123*(1+BD151)</f>
        <v>0</v>
      </c>
      <c r="BE123" s="3">
        <f>AZ123*(1+BE151)</f>
        <v>0</v>
      </c>
      <c r="BF123" s="3">
        <f>SUM(BB123:BE123)</f>
        <v>0</v>
      </c>
      <c r="BG123" s="3">
        <f>BB123*(1+BG151)</f>
        <v>0</v>
      </c>
      <c r="BH123" s="3">
        <f>BC123*(1+BH151)</f>
        <v>0</v>
      </c>
      <c r="BI123" s="3">
        <f>BD123*(1+BI151)</f>
        <v>0</v>
      </c>
      <c r="BJ123" s="3">
        <f>BE123*(1+BJ151)</f>
        <v>0</v>
      </c>
      <c r="BK123" s="3">
        <f>SUM(BG123:BJ123)</f>
        <v>0</v>
      </c>
      <c r="BL123" s="3">
        <f>BG123*(1+BL151)</f>
        <v>0</v>
      </c>
      <c r="BM123" s="3">
        <f>BH123*(1+BM151)</f>
        <v>0</v>
      </c>
      <c r="BN123" s="3">
        <f>BI123*(1+BN151)</f>
        <v>0</v>
      </c>
      <c r="BO123" s="3">
        <f>BJ123*(1+BO151)</f>
        <v>0</v>
      </c>
      <c r="BP123" s="3">
        <f>SUM(BL123:BO123)</f>
        <v>0</v>
      </c>
      <c r="BQ123" s="3">
        <f>BL123*(1+BQ151)</f>
        <v>0</v>
      </c>
      <c r="BR123" s="3">
        <f>BM123*(1+BR151)</f>
        <v>0</v>
      </c>
      <c r="BS123" s="3">
        <f>BN123*(1+BS151)</f>
        <v>0</v>
      </c>
      <c r="BT123" s="3">
        <f>BO123*(1+BT151)</f>
        <v>0</v>
      </c>
      <c r="BU123" s="3">
        <f>SUM(BQ123:BT123)</f>
        <v>0</v>
      </c>
      <c r="BV123" s="3">
        <f>BQ123*(1+BV151)</f>
        <v>0</v>
      </c>
      <c r="BW123" s="3">
        <f>BR123*(1+BW151)</f>
        <v>0</v>
      </c>
      <c r="BX123" s="3">
        <f>BS123*(1+BX151)</f>
        <v>0</v>
      </c>
      <c r="BY123" s="3">
        <f>BT123*(1+BY151)</f>
        <v>0</v>
      </c>
      <c r="BZ123" s="3">
        <f>SUM(BV123:BY123)</f>
        <v>0</v>
      </c>
      <c r="CA123" s="3">
        <f>BV123*(1+CA151)</f>
        <v>0</v>
      </c>
      <c r="CB123" s="3">
        <f>BW123*(1+CB151)</f>
        <v>0</v>
      </c>
      <c r="CC123" s="3">
        <f>BX123*(1+CC151)</f>
        <v>0</v>
      </c>
      <c r="CD123" s="3">
        <f>BY123*(1+CD151)</f>
        <v>0</v>
      </c>
      <c r="CE123" s="3">
        <f>SUM(CA123:CD123)</f>
        <v>0</v>
      </c>
      <c r="CF123" s="3">
        <f>CA123*(1+CF151)</f>
        <v>0</v>
      </c>
      <c r="CG123" s="3">
        <f>CB123*(1+CG151)</f>
        <v>0</v>
      </c>
      <c r="CH123" s="3">
        <f>CC123*(1+CH151)</f>
        <v>0</v>
      </c>
      <c r="CI123" s="3">
        <f>CD123*(1+CI151)</f>
        <v>0</v>
      </c>
      <c r="CJ123" s="3">
        <f>SUM(CF123:CI123)</f>
        <v>0</v>
      </c>
      <c r="CK123" s="3">
        <f>CF123*(1+CK151)</f>
        <v>0</v>
      </c>
      <c r="CL123" s="3">
        <f>CG123*(1+CL151)</f>
        <v>0</v>
      </c>
      <c r="CM123" s="3">
        <f>CH123*(1+CM151)</f>
        <v>0</v>
      </c>
      <c r="CN123" s="3">
        <f>CI123*(1+CN151)</f>
        <v>0</v>
      </c>
      <c r="CO123" s="3">
        <f>SUM(CK123:CN123)</f>
        <v>0</v>
      </c>
      <c r="CP123" s="3">
        <f>CK123*(1+CP151)</f>
        <v>0</v>
      </c>
      <c r="CQ123" s="3">
        <f>CL123*(1+CQ151)</f>
        <v>0</v>
      </c>
      <c r="CR123" s="3">
        <f>CM123*(1+CR151)</f>
        <v>0</v>
      </c>
      <c r="CS123" s="3">
        <f>CN123*(1+CS151)</f>
        <v>0</v>
      </c>
      <c r="CT123" s="3">
        <f>SUM(CP123:CS123)</f>
        <v>0</v>
      </c>
      <c r="CU123" s="3">
        <f>CP123*(1+CU151)</f>
        <v>0</v>
      </c>
      <c r="CV123" s="3">
        <f>CQ123*(1+CV151)</f>
        <v>0</v>
      </c>
      <c r="CW123" s="3">
        <f>CR123*(1+CW151)</f>
        <v>0</v>
      </c>
      <c r="CX123" s="3">
        <f>CS123*(1+CX151)</f>
        <v>0</v>
      </c>
      <c r="CY123" s="3">
        <f>SUM(CU123:CX123)</f>
        <v>0</v>
      </c>
    </row>
    <row r="124">
      <c r="C124" s="26" t="inlineStr">
        <is>
          <t>Minority Interest Expense, after tax (enter as - )</t>
        </is>
      </c>
      <c r="D124" s="25">
        <f>INDEX('Inputs (2)'!$D$12:$AL$12,MATCH(D$7,'Inputs (2)'!$D$2:$AL$2,0))</f>
        <v>0</v>
      </c>
      <c r="E124" s="25">
        <f>INDEX('Inputs (2)'!$D$12:$AL$12,MATCH(E$7,'Inputs (2)'!$D$2:$AL$2,0))</f>
        <v>0</v>
      </c>
      <c r="F124" s="25">
        <f>INDEX('Inputs (2)'!$D$12:$AL$12,MATCH(F$7,'Inputs (2)'!$D$2:$AL$2,0))</f>
        <v>0</v>
      </c>
      <c r="G124" s="25">
        <f>INDEX('Inputs (2)'!$D$12:$AL$12,MATCH(G$7,'Inputs (2)'!$D$2:$AL$2,0))</f>
        <v>0</v>
      </c>
      <c r="H124" s="3">
        <f>SUM(D124:G124)</f>
        <v>0</v>
      </c>
      <c r="I124" s="25">
        <f>INDEX('Inputs (2)'!$D$12:$AL$12,MATCH(I$7,'Inputs (2)'!$D$2:$AL$2,0))</f>
        <v>0</v>
      </c>
      <c r="J124" s="25">
        <f>INDEX('Inputs (2)'!$D$12:$AL$12,MATCH(J$7,'Inputs (2)'!$D$2:$AL$2,0))</f>
        <v>0</v>
      </c>
      <c r="K124" s="25">
        <f>INDEX('Inputs (2)'!$D$12:$AL$12,MATCH(K$7,'Inputs (2)'!$D$2:$AL$2,0))</f>
        <v>0</v>
      </c>
      <c r="L124" s="25">
        <f>INDEX('Inputs (2)'!$D$12:$AL$12,MATCH(L$7,'Inputs (2)'!$D$2:$AL$2,0))</f>
        <v>0</v>
      </c>
      <c r="M124" s="3">
        <f>SUM(I124:L124)</f>
        <v>0</v>
      </c>
      <c r="N124" s="25">
        <f>INDEX('Inputs (2)'!$D$12:$AL$12,MATCH(N$7,'Inputs (2)'!$D$2:$AL$2,0))</f>
        <v>0</v>
      </c>
      <c r="O124" s="25">
        <f>INDEX('Inputs (2)'!$D$12:$AL$12,MATCH(O$7,'Inputs (2)'!$D$2:$AL$2,0))</f>
        <v>0</v>
      </c>
      <c r="P124" s="25">
        <f>INDEX('Inputs (2)'!$D$12:$AL$12,MATCH(P$7,'Inputs (2)'!$D$2:$AL$2,0))</f>
        <v>0</v>
      </c>
      <c r="Q124" s="25">
        <f>INDEX('Inputs (2)'!$D$12:$AL$12,MATCH(Q$7,'Inputs (2)'!$D$2:$AL$2,0))</f>
        <v>0</v>
      </c>
      <c r="R124" s="3">
        <f>SUM(N124:Q124)</f>
        <v>0</v>
      </c>
      <c r="S124" s="25">
        <f>INDEX('Inputs (2)'!$D$12:$AL$12,MATCH(S$7,'Inputs (2)'!$D$2:$AL$2,0))</f>
        <v>0</v>
      </c>
      <c r="T124" s="25">
        <f>INDEX('Inputs (2)'!$D$12:$AL$12,MATCH(T$7,'Inputs (2)'!$D$2:$AL$2,0))</f>
        <v>0</v>
      </c>
      <c r="U124" s="25">
        <f>INDEX('Inputs (2)'!$D$12:$AL$12,MATCH(U$7,'Inputs (2)'!$D$2:$AL$2,0))</f>
        <v>0</v>
      </c>
      <c r="V124" s="25">
        <f>INDEX('Inputs (2)'!$D$12:$AL$12,MATCH(V$7,'Inputs (2)'!$D$2:$AL$2,0))</f>
        <v>0</v>
      </c>
      <c r="W124" s="3">
        <f>SUM(S124:V124)</f>
        <v>0</v>
      </c>
      <c r="X124" s="25">
        <f>INDEX('Inputs (2)'!$D$12:$AL$12,MATCH(X$7,'Inputs (2)'!$D$2:$AL$2,0))</f>
        <v>0</v>
      </c>
      <c r="Y124" s="25">
        <f>INDEX('Inputs (2)'!$D$12:$AL$12,MATCH(Y$7,'Inputs (2)'!$D$2:$AL$2,0))</f>
        <v>0</v>
      </c>
      <c r="Z124" s="25">
        <f>INDEX('Inputs (2)'!$D$12:$AL$12,MATCH(Z$7,'Inputs (2)'!$D$2:$AL$2,0))</f>
        <v>0</v>
      </c>
      <c r="AA124" s="25">
        <f>INDEX('Inputs (2)'!$D$12:$AL$12,MATCH(AA$7,'Inputs (2)'!$D$2:$AL$2,0))</f>
        <v>0</v>
      </c>
      <c r="AB124" s="3">
        <f>SUM(X124:AA124)</f>
        <v>0</v>
      </c>
      <c r="AC124" s="25">
        <f>INDEX('Inputs (2)'!$D$12:$AL$12,MATCH(AC$7,'Inputs (2)'!$D$2:$AL$2,0))</f>
        <v>0</v>
      </c>
      <c r="AD124" s="25">
        <f>INDEX('Inputs (2)'!$D$12:$AL$12,MATCH(AD$7,'Inputs (2)'!$D$2:$AL$2,0))</f>
        <v>0</v>
      </c>
      <c r="AE124" s="25">
        <f>INDEX('Inputs (2)'!$D$12:$AL$12,MATCH(AE$7,'Inputs (2)'!$D$2:$AL$2,0))</f>
        <v>0</v>
      </c>
      <c r="AF124" s="25">
        <f>INDEX('Inputs (2)'!$D$12:$AL$12,MATCH(AF$7,'Inputs (2)'!$D$2:$AL$2,0))</f>
        <v>0</v>
      </c>
      <c r="AG124" s="3">
        <f>SUM(AC124:AF124)</f>
        <v>0</v>
      </c>
      <c r="AH124" s="3">
        <f>INDEX('Inputs (2)'!$D$12:$AL$12,MATCH(AH$7,'Inputs (2)'!$D$2:$AL$2,0))</f>
        <v>0</v>
      </c>
      <c r="AI124" s="3">
        <f>INDEX('Inputs (2)'!$D$12:$AL$12,MATCH(AI$7,'Inputs (2)'!$D$2:$AL$2,0))</f>
        <v>0</v>
      </c>
      <c r="AJ124" s="3">
        <f>AE124*(1+AJ238)</f>
        <v>0</v>
      </c>
      <c r="AK124" s="3">
        <f>AF124*(1+AK238)</f>
        <v>0</v>
      </c>
      <c r="AL124" s="3">
        <f>SUM(AH124:AK124)</f>
        <v>0</v>
      </c>
      <c r="AM124" s="3">
        <f>AH124*(1+AM238)</f>
        <v>0</v>
      </c>
      <c r="AN124" s="3">
        <f>AI124*(1+AN238)</f>
        <v>0</v>
      </c>
      <c r="AO124" s="3">
        <f>AJ124*(1+AO238)</f>
        <v>0</v>
      </c>
      <c r="AP124" s="3">
        <f>AK124*(1+AP238)</f>
        <v>0</v>
      </c>
      <c r="AQ124" s="3">
        <f>SUM(AM124:AP124)</f>
        <v>0</v>
      </c>
      <c r="AR124" s="3">
        <f>AM124*(1+AR238)</f>
        <v>0</v>
      </c>
      <c r="AS124" s="3">
        <f>AN124*(1+AS238)</f>
        <v>0</v>
      </c>
      <c r="AT124" s="3">
        <f>AO124*(1+AT238)</f>
        <v>0</v>
      </c>
      <c r="AU124" s="3">
        <f>AP124*(1+AU238)</f>
        <v>0</v>
      </c>
      <c r="AV124" s="3">
        <f>SUM(AR124:AU124)</f>
        <v>0</v>
      </c>
      <c r="AW124" s="3">
        <f>AR124*(1+AW238)</f>
        <v>0</v>
      </c>
      <c r="AX124" s="3">
        <f>AS124*(1+AX238)</f>
        <v>0</v>
      </c>
      <c r="AY124" s="3">
        <f>AT124*(1+AY238)</f>
        <v>0</v>
      </c>
      <c r="AZ124" s="3">
        <f>AU124*(1+AZ238)</f>
        <v>0</v>
      </c>
      <c r="BA124" s="3">
        <f>SUM(AW124:AZ124)</f>
        <v>0</v>
      </c>
      <c r="BB124" s="3">
        <f>AW124*(1+BB238)</f>
        <v>0</v>
      </c>
      <c r="BC124" s="3">
        <f>AX124*(1+BC238)</f>
        <v>0</v>
      </c>
      <c r="BD124" s="3">
        <f>AY124*(1+BD238)</f>
        <v>0</v>
      </c>
      <c r="BE124" s="3">
        <f>AZ124*(1+BE238)</f>
        <v>0</v>
      </c>
      <c r="BF124" s="3">
        <f>SUM(BB124:BE124)</f>
        <v>0</v>
      </c>
      <c r="BG124" s="3">
        <f>BB124*(1+BG238)</f>
        <v>0</v>
      </c>
      <c r="BH124" s="3">
        <f>BC124*(1+BH238)</f>
        <v>0</v>
      </c>
      <c r="BI124" s="3">
        <f>BD124*(1+BI238)</f>
        <v>0</v>
      </c>
      <c r="BJ124" s="3">
        <f>BE124*(1+BJ238)</f>
        <v>0</v>
      </c>
      <c r="BK124" s="3">
        <f>SUM(BG124:BJ124)</f>
        <v>0</v>
      </c>
      <c r="BL124" s="3">
        <f>BG124*(1+BL238)</f>
        <v>0</v>
      </c>
      <c r="BM124" s="3">
        <f>BH124*(1+BM238)</f>
        <v>0</v>
      </c>
      <c r="BN124" s="3">
        <f>BI124*(1+BN238)</f>
        <v>0</v>
      </c>
      <c r="BO124" s="3">
        <f>BJ124*(1+BO238)</f>
        <v>0</v>
      </c>
      <c r="BP124" s="3">
        <f>SUM(BL124:BO124)</f>
        <v>0</v>
      </c>
      <c r="BQ124" s="3">
        <f>BL124*(1+BQ238)</f>
        <v>0</v>
      </c>
      <c r="BR124" s="3">
        <f>BM124*(1+BR238)</f>
        <v>0</v>
      </c>
      <c r="BS124" s="3">
        <f>BN124*(1+BS238)</f>
        <v>0</v>
      </c>
      <c r="BT124" s="3">
        <f>BO124*(1+BT238)</f>
        <v>0</v>
      </c>
      <c r="BU124" s="3">
        <f>SUM(BQ124:BT124)</f>
        <v>0</v>
      </c>
      <c r="BV124" s="3">
        <f>BQ124*(1+BV238)</f>
        <v>0</v>
      </c>
      <c r="BW124" s="3">
        <f>BR124*(1+BW238)</f>
        <v>0</v>
      </c>
      <c r="BX124" s="3">
        <f>BS124*(1+BX238)</f>
        <v>0</v>
      </c>
      <c r="BY124" s="3">
        <f>BT124*(1+BY238)</f>
        <v>0</v>
      </c>
      <c r="BZ124" s="3">
        <f>SUM(BV124:BY124)</f>
        <v>0</v>
      </c>
      <c r="CA124" s="3">
        <f>BV124*(1+CA238)</f>
        <v>0</v>
      </c>
      <c r="CB124" s="3">
        <f>BW124*(1+CB238)</f>
        <v>0</v>
      </c>
      <c r="CC124" s="3">
        <f>BX124*(1+CC238)</f>
        <v>0</v>
      </c>
      <c r="CD124" s="3">
        <f>BY124*(1+CD238)</f>
        <v>0</v>
      </c>
      <c r="CE124" s="3">
        <f>SUM(CA124:CD124)</f>
        <v>0</v>
      </c>
      <c r="CF124" s="3">
        <f>CA124*(1+CF238)</f>
        <v>0</v>
      </c>
      <c r="CG124" s="3">
        <f>CB124*(1+CG238)</f>
        <v>0</v>
      </c>
      <c r="CH124" s="3">
        <f>CC124*(1+CH238)</f>
        <v>0</v>
      </c>
      <c r="CI124" s="3">
        <f>CD124*(1+CI238)</f>
        <v>0</v>
      </c>
      <c r="CJ124" s="3">
        <f>SUM(CF124:CI124)</f>
        <v>0</v>
      </c>
      <c r="CK124" s="3">
        <f>CF124*(1+CK238)</f>
        <v>0</v>
      </c>
      <c r="CL124" s="3">
        <f>CG124*(1+CL238)</f>
        <v>0</v>
      </c>
      <c r="CM124" s="3">
        <f>CH124*(1+CM238)</f>
        <v>0</v>
      </c>
      <c r="CN124" s="3">
        <f>CI124*(1+CN238)</f>
        <v>0</v>
      </c>
      <c r="CO124" s="3">
        <f>SUM(CK124:CN124)</f>
        <v>0</v>
      </c>
      <c r="CP124" s="3">
        <f>CK124*(1+CP238)</f>
        <v>0</v>
      </c>
      <c r="CQ124" s="3">
        <f>CL124*(1+CQ238)</f>
        <v>0</v>
      </c>
      <c r="CR124" s="3">
        <f>CM124*(1+CR238)</f>
        <v>0</v>
      </c>
      <c r="CS124" s="3">
        <f>CN124*(1+CS238)</f>
        <v>0</v>
      </c>
      <c r="CT124" s="3">
        <f>SUM(CP124:CS124)</f>
        <v>0</v>
      </c>
      <c r="CU124" s="3">
        <f>CP124*(1+CU238)</f>
        <v>0</v>
      </c>
      <c r="CV124" s="3">
        <f>CQ124*(1+CV238)</f>
        <v>0</v>
      </c>
      <c r="CW124" s="3">
        <f>CR124*(1+CW238)</f>
        <v>0</v>
      </c>
      <c r="CX124" s="3">
        <f>CS124*(1+CX238)</f>
        <v>0</v>
      </c>
      <c r="CY124" s="3">
        <f>SUM(CU124:CX124)</f>
        <v>0</v>
      </c>
    </row>
    <row r="125" customFormat="1" s="17">
      <c r="A125" s="13" t="n"/>
      <c r="B125" s="1" t="n"/>
      <c r="C125" s="14" t="inlineStr">
        <is>
          <t>Net Income</t>
        </is>
      </c>
      <c r="D125" s="16">
        <f>SUM(D118,D119,D123,D124)</f>
        <v>488</v>
      </c>
      <c r="E125" s="16">
        <f>SUM(E118,E119,E123,E124)</f>
        <v>614</v>
      </c>
      <c r="F125" s="16">
        <f>SUM(F118,F119,F123,F124)</f>
        <v>1250</v>
      </c>
      <c r="G125" s="16">
        <f>SUM(G118,G119,G123,G124)</f>
        <v>1304</v>
      </c>
      <c r="H125" s="16">
        <f>SUM(D125:G125)</f>
        <v>3656</v>
      </c>
      <c r="I125" s="16">
        <f>SUM(I118,I119,I123,I124)</f>
        <v>1417</v>
      </c>
      <c r="J125" s="16">
        <f>SUM(J118,J119,J123,J124)</f>
        <v>1802</v>
      </c>
      <c r="K125" s="16">
        <f>SUM(K118,K119,K123,K124)</f>
        <v>1914</v>
      </c>
      <c r="L125" s="16">
        <f>SUM(L118,L119,L123,L124)</f>
        <v>2398</v>
      </c>
      <c r="M125" s="16">
        <f>SUM(I125:L125)</f>
        <v>7531</v>
      </c>
      <c r="N125" s="16">
        <f>SUM(N118,N119,N123,N124)</f>
        <v>2515</v>
      </c>
      <c r="O125" s="16">
        <f>SUM(O118,O119,O123,O124)</f>
        <v>2999</v>
      </c>
      <c r="P125" s="16">
        <f>SUM(P118,P119,P123,P124)</f>
        <v>3583</v>
      </c>
      <c r="Q125" s="16">
        <f>SUM(Q118,Q119,Q123,Q124)</f>
        <v>3774</v>
      </c>
      <c r="R125" s="16">
        <f>SUM(N125:Q125)</f>
        <v>12871</v>
      </c>
      <c r="S125" s="16">
        <f>SUM(S118,S119,S123,S124)</f>
        <v>3481</v>
      </c>
      <c r="T125" s="16">
        <f>SUM(T118,T119,T123,T124)</f>
        <v>3303</v>
      </c>
      <c r="U125" s="16">
        <f>SUM(U118,U119,U123,U124)</f>
        <v>3524</v>
      </c>
      <c r="V125" s="16">
        <f>SUM(V118,V119,V123,V124)</f>
        <v>1325</v>
      </c>
      <c r="W125" s="16">
        <f>SUM(S125:V125)</f>
        <v>11633</v>
      </c>
      <c r="X125" s="16">
        <f>SUM(X118,X119,X123,X124)</f>
        <v>2121</v>
      </c>
      <c r="Y125" s="16">
        <f>SUM(Y118,Y119,Y123,Y124)</f>
        <v>-1875</v>
      </c>
      <c r="Z125" s="16">
        <f>SUM(Z118,Z119,Z123,Z124)</f>
        <v>4324</v>
      </c>
      <c r="AA125" s="16">
        <f>SUM(AA118,AA119,AA123,AA124)</f>
        <v>5503</v>
      </c>
      <c r="AB125" s="16">
        <f>SUM(X125:AA125)</f>
        <v>10073</v>
      </c>
      <c r="AC125" s="16">
        <f>SUM(AC118,AC119,AC123,AC124)</f>
        <v>4965</v>
      </c>
      <c r="AD125" s="16">
        <f>SUM(AD118,AD119,AD123,AD124)</f>
        <v>4140</v>
      </c>
      <c r="AE125" s="16">
        <f>SUM(AE118,AE119,AE123,AE124)</f>
        <v>8518</v>
      </c>
      <c r="AF125" s="16">
        <f>SUM(AF118,AF119,AF123,AF124)</f>
        <v>7349</v>
      </c>
      <c r="AG125" s="16">
        <f>SUM(AC125:AF125)</f>
        <v>24972</v>
      </c>
      <c r="AH125" s="16">
        <f>SUM(AH118,AH119,AH123,AH124)</f>
        <v>9310</v>
      </c>
      <c r="AI125" s="16">
        <f>SUM(AI118,AI119,AI123,AI124)</f>
        <v>13088</v>
      </c>
      <c r="AJ125" s="16">
        <f>SUM(AJ118,AJ119,AJ123,AJ124)</f>
        <v>118</v>
      </c>
      <c r="AK125" s="16">
        <f>SUM(AK118,AK119,AK123,AK124)</f>
        <v>98</v>
      </c>
      <c r="AL125" s="16">
        <f>SUM(AH125:AK125)</f>
        <v>22614</v>
      </c>
      <c r="AM125" s="16">
        <f>SUM(AM118,AM119,AM123,AM124)</f>
        <v>98</v>
      </c>
      <c r="AN125" s="16">
        <f>SUM(AN118,AN119,AN123,AN124)</f>
        <v>432</v>
      </c>
      <c r="AO125" s="16">
        <f>SUM(AO118,AO119,AO123,AO124)</f>
        <v>98</v>
      </c>
      <c r="AP125" s="16">
        <f>SUM(AP118,AP119,AP123,AP124)</f>
        <v>432</v>
      </c>
      <c r="AQ125" s="16">
        <f>SUM(AM125:AP125)</f>
        <v>1060</v>
      </c>
      <c r="AR125" s="16">
        <f>SUM(AR118,AR119,AR123,AR124)</f>
        <v>432</v>
      </c>
      <c r="AS125" s="16">
        <f>SUM(AS118,AS119,AS123,AS124)</f>
        <v>1060</v>
      </c>
      <c r="AT125" s="16">
        <f>SUM(AT118,AT119,AT123,AT124)</f>
        <v>432</v>
      </c>
      <c r="AU125" s="16">
        <f>SUM(AU118,AU119,AU123,AU124)</f>
        <v>1060</v>
      </c>
      <c r="AV125" s="16">
        <f>SUM(AR125:AU125)</f>
        <v>2984</v>
      </c>
      <c r="AW125" s="16">
        <f>SUM(AW118,AW119,AW123,AW124)</f>
        <v>1060</v>
      </c>
      <c r="AX125" s="16">
        <f>SUM(AX118,AX119,AX123,AX124)</f>
        <v>2984</v>
      </c>
      <c r="AY125" s="16">
        <f>SUM(AY118,AY119,AY123,AY124)</f>
        <v>1060</v>
      </c>
      <c r="AZ125" s="16">
        <f>SUM(AZ118,AZ119,AZ123,AZ124)</f>
        <v>2984</v>
      </c>
      <c r="BA125" s="16">
        <f>SUM(AW125:AZ125)</f>
        <v>8088</v>
      </c>
      <c r="BB125" s="16">
        <f>SUM(BB118,BB119,BB123,BB124)</f>
        <v>2984</v>
      </c>
      <c r="BC125" s="16">
        <f>SUM(BC118,BC119,BC123,BC124)</f>
        <v>8088</v>
      </c>
      <c r="BD125" s="16">
        <f>SUM(BD118,BD119,BD123,BD124)</f>
        <v>2984</v>
      </c>
      <c r="BE125" s="16">
        <f>SUM(BE118,BE119,BE123,BE124)</f>
        <v>8088</v>
      </c>
      <c r="BF125" s="16">
        <f>SUM(BB125:BE125)</f>
        <v>22144</v>
      </c>
      <c r="BG125" s="16">
        <f>SUM(BG118,BG119,BG123,BG124)</f>
        <v>8088</v>
      </c>
      <c r="BH125" s="16">
        <f>SUM(BH118,BH119,BH123,BH124)</f>
        <v>22144</v>
      </c>
      <c r="BI125" s="16">
        <f>SUM(BI118,BI119,BI123,BI124)</f>
        <v>8088</v>
      </c>
      <c r="BJ125" s="16">
        <f>SUM(BJ118,BJ119,BJ123,BJ124)</f>
        <v>22144</v>
      </c>
      <c r="BK125" s="16">
        <f>SUM(BG125:BJ125)</f>
        <v>60464</v>
      </c>
      <c r="BL125" s="16">
        <f>SUM(BL118,BL119,BL123,BL124)</f>
        <v>22144</v>
      </c>
      <c r="BM125" s="16">
        <f>SUM(BM118,BM119,BM123,BM124)</f>
        <v>60464</v>
      </c>
      <c r="BN125" s="16">
        <f>SUM(BN118,BN119,BN123,BN124)</f>
        <v>22144</v>
      </c>
      <c r="BO125" s="16">
        <f>SUM(BO118,BO119,BO123,BO124)</f>
        <v>60464</v>
      </c>
      <c r="BP125" s="16">
        <f>SUM(BL125:BO125)</f>
        <v>165216</v>
      </c>
      <c r="BQ125" s="16">
        <f>SUM(BQ118,BQ119,BQ123,BQ124)</f>
        <v>60464</v>
      </c>
      <c r="BR125" s="16">
        <f>SUM(BR118,BR119,BR123,BR124)</f>
        <v>165216</v>
      </c>
      <c r="BS125" s="16">
        <f>SUM(BS118,BS119,BS123,BS124)</f>
        <v>60464</v>
      </c>
      <c r="BT125" s="16">
        <f>SUM(BT118,BT119,BT123,BT124)</f>
        <v>165216</v>
      </c>
      <c r="BU125" s="16">
        <f>SUM(BQ125:BT125)</f>
        <v>451360</v>
      </c>
      <c r="BV125" s="16">
        <f>SUM(BV118,BV119,BV123,BV124)</f>
        <v>165216</v>
      </c>
      <c r="BW125" s="16">
        <f>SUM(BW118,BW119,BW123,BW124)</f>
        <v>451360</v>
      </c>
      <c r="BX125" s="16">
        <f>SUM(BX118,BX119,BX123,BX124)</f>
        <v>165216</v>
      </c>
      <c r="BY125" s="16">
        <f>SUM(BY118,BY119,BY123,BY124)</f>
        <v>451360</v>
      </c>
      <c r="BZ125" s="16">
        <f>SUM(BV125:BY125)</f>
        <v>1233152</v>
      </c>
      <c r="CA125" s="16">
        <f>SUM(CA118,CA119,CA123,CA124)</f>
        <v>451360</v>
      </c>
      <c r="CB125" s="16">
        <f>SUM(CB118,CB119,CB123,CB124)</f>
        <v>1233152</v>
      </c>
      <c r="CC125" s="16">
        <f>SUM(CC118,CC119,CC123,CC124)</f>
        <v>451360</v>
      </c>
      <c r="CD125" s="16">
        <f>SUM(CD118,CD119,CD123,CD124)</f>
        <v>1233152</v>
      </c>
      <c r="CE125" s="16">
        <f>SUM(CA125:CD125)</f>
        <v>3369024</v>
      </c>
      <c r="CF125" s="16">
        <f>SUM(CF118,CF119,CF123,CF124)</f>
        <v>1233152</v>
      </c>
      <c r="CG125" s="16">
        <f>SUM(CG118,CG119,CG123,CG124)</f>
        <v>3369024</v>
      </c>
      <c r="CH125" s="16">
        <f>SUM(CH118,CH119,CH123,CH124)</f>
        <v>1233152</v>
      </c>
      <c r="CI125" s="16">
        <f>SUM(CI118,CI119,CI123,CI124)</f>
        <v>3369024</v>
      </c>
      <c r="CJ125" s="16">
        <f>SUM(CF125:CI125)</f>
        <v>9204352</v>
      </c>
      <c r="CK125" s="16">
        <f>SUM(CK118,CK119,CK123,CK124)</f>
        <v>3369024</v>
      </c>
      <c r="CL125" s="16">
        <f>SUM(CL118,CL119,CL123,CL124)</f>
        <v>9204352</v>
      </c>
      <c r="CM125" s="16">
        <f>SUM(CM118,CM119,CM123,CM124)</f>
        <v>3369024</v>
      </c>
      <c r="CN125" s="16">
        <f>SUM(CN118,CN119,CN123,CN124)</f>
        <v>9204352</v>
      </c>
      <c r="CO125" s="16">
        <f>SUM(CK125:CN125)</f>
        <v>25146752</v>
      </c>
      <c r="CP125" s="16">
        <f>SUM(CP118,CP119,CP123,CP124)</f>
        <v>9204352</v>
      </c>
      <c r="CQ125" s="16">
        <f>SUM(CQ118,CQ119,CQ123,CQ124)</f>
        <v>25146752</v>
      </c>
      <c r="CR125" s="16">
        <f>SUM(CR118,CR119,CR123,CR124)</f>
        <v>9204352</v>
      </c>
      <c r="CS125" s="16">
        <f>SUM(CS118,CS119,CS123,CS124)</f>
        <v>25146752</v>
      </c>
      <c r="CT125" s="16">
        <f>SUM(CP125:CS125)</f>
        <v>68702208</v>
      </c>
      <c r="CU125" s="16">
        <f>SUM(CU118,CU119,CU123,CU124)</f>
        <v>25146752</v>
      </c>
      <c r="CV125" s="16">
        <f>SUM(CV118,CV119,CV123,CV124)</f>
        <v>68702208</v>
      </c>
      <c r="CW125" s="16">
        <f>SUM(CW118,CW119,CW123,CW124)</f>
        <v>25146752</v>
      </c>
      <c r="CX125" s="16">
        <f>SUM(CX118,CX119,CX123,CX124)</f>
        <v>68702208</v>
      </c>
      <c r="CY125" s="16">
        <f>SUM(CU125:CX125)</f>
        <v>187697920</v>
      </c>
    </row>
    <row r="126">
      <c r="C126" s="24" t="inlineStr">
        <is>
          <t>Common Dividends</t>
        </is>
      </c>
      <c r="D126" s="25">
        <f>INDEX('Inputs (2)'!$D$13:$AL$13,MATCH(D$7,'Inputs (2)'!$D$2:$AL$2,0))</f>
        <v>-1306</v>
      </c>
      <c r="E126" s="25">
        <f>INDEX('Inputs (2)'!$D$13:$AL$13,MATCH(E$7,'Inputs (2)'!$D$2:$AL$2,0))</f>
        <v>-1312</v>
      </c>
      <c r="F126" s="25">
        <f>INDEX('Inputs (2)'!$D$13:$AL$13,MATCH(F$7,'Inputs (2)'!$D$2:$AL$2,0))</f>
        <v>-1395</v>
      </c>
      <c r="G126" s="25">
        <f>INDEX('Inputs (2)'!$D$13:$AL$13,MATCH(G$7,'Inputs (2)'!$D$2:$AL$2,0))</f>
        <v>-1543</v>
      </c>
      <c r="H126" s="3">
        <f>SUM(D126:G126)</f>
        <v>-5556</v>
      </c>
      <c r="I126" s="25">
        <f>INDEX('Inputs (2)'!$D$13:$AL$13,MATCH(I$7,'Inputs (2)'!$D$2:$AL$2,0))</f>
        <v>-1477</v>
      </c>
      <c r="J126" s="25">
        <f>INDEX('Inputs (2)'!$D$13:$AL$13,MATCH(J$7,'Inputs (2)'!$D$2:$AL$2,0))</f>
        <v>-1482</v>
      </c>
      <c r="K126" s="25">
        <f>INDEX('Inputs (2)'!$D$13:$AL$13,MATCH(K$7,'Inputs (2)'!$D$2:$AL$2,0))</f>
        <v>-1561</v>
      </c>
      <c r="L126" s="25">
        <f>INDEX('Inputs (2)'!$D$13:$AL$13,MATCH(L$7,'Inputs (2)'!$D$2:$AL$2,0))</f>
        <v>-1764</v>
      </c>
      <c r="M126" s="3">
        <f>SUM(I126:L126)</f>
        <v>-6284</v>
      </c>
      <c r="N126" s="25">
        <f>INDEX('Inputs (2)'!$D$13:$AL$13,MATCH(N$7,'Inputs (2)'!$D$2:$AL$2,0))</f>
        <v>-1676</v>
      </c>
      <c r="O126" s="25">
        <f>INDEX('Inputs (2)'!$D$13:$AL$13,MATCH(O$7,'Inputs (2)'!$D$2:$AL$2,0))</f>
        <v>-1661</v>
      </c>
      <c r="P126" s="25">
        <f>INDEX('Inputs (2)'!$D$13:$AL$13,MATCH(P$7,'Inputs (2)'!$D$2:$AL$2,0))</f>
        <v>-1782</v>
      </c>
      <c r="Q126" s="25">
        <f>INDEX('Inputs (2)'!$D$13:$AL$13,MATCH(Q$7,'Inputs (2)'!$D$2:$AL$2,0))</f>
        <v>-1926</v>
      </c>
      <c r="R126" s="3">
        <f>SUM(N126:Q126)</f>
        <v>-7045</v>
      </c>
      <c r="S126" s="25">
        <f>INDEX('Inputs (2)'!$D$13:$AL$13,MATCH(S$7,'Inputs (2)'!$D$2:$AL$2,0))</f>
        <v>-1914</v>
      </c>
      <c r="T126" s="25">
        <f>INDEX('Inputs (2)'!$D$13:$AL$13,MATCH(T$7,'Inputs (2)'!$D$2:$AL$2,0))</f>
        <v>-1901</v>
      </c>
      <c r="U126" s="25">
        <f>INDEX('Inputs (2)'!$D$13:$AL$13,MATCH(U$7,'Inputs (2)'!$D$2:$AL$2,0))</f>
        <v>-1904</v>
      </c>
      <c r="V126" s="25">
        <f>INDEX('Inputs (2)'!$D$13:$AL$13,MATCH(V$7,'Inputs (2)'!$D$2:$AL$2,0))</f>
        <v>-2435</v>
      </c>
      <c r="W126" s="3">
        <f>SUM(S126:V126)</f>
        <v>-8154</v>
      </c>
      <c r="X126" s="25">
        <f>INDEX('Inputs (2)'!$D$13:$AL$13,MATCH(X$7,'Inputs (2)'!$D$2:$AL$2,0))</f>
        <v>-2443</v>
      </c>
      <c r="Y126" s="25">
        <f>INDEX('Inputs (2)'!$D$13:$AL$13,MATCH(Y$7,'Inputs (2)'!$D$2:$AL$2,0))</f>
        <v>-2452</v>
      </c>
      <c r="Z126" s="25">
        <f>INDEX('Inputs (2)'!$D$13:$AL$13,MATCH(Z$7,'Inputs (2)'!$D$2:$AL$2,0))</f>
        <v>-2484</v>
      </c>
      <c r="AA126" s="25">
        <f>INDEX('Inputs (2)'!$D$13:$AL$13,MATCH(AA$7,'Inputs (2)'!$D$2:$AL$2,0))</f>
        <v>-2774</v>
      </c>
      <c r="AB126" s="3">
        <f>SUM(X126:AA126)</f>
        <v>-10153</v>
      </c>
      <c r="AC126" s="25">
        <f>INDEX('Inputs (2)'!$D$13:$AL$13,MATCH(AC$7,'Inputs (2)'!$D$2:$AL$2,0))</f>
        <v>-2785</v>
      </c>
      <c r="AD126" s="25">
        <f>INDEX('Inputs (2)'!$D$13:$AL$13,MATCH(AD$7,'Inputs (2)'!$D$2:$AL$2,0))</f>
        <v>-2786</v>
      </c>
      <c r="AE126" s="25">
        <f>INDEX('Inputs (2)'!$D$13:$AL$13,MATCH(AE$7,'Inputs (2)'!$D$2:$AL$2,0))</f>
        <v>-2797</v>
      </c>
      <c r="AF126" s="25">
        <f>INDEX('Inputs (2)'!$D$13:$AL$13,MATCH(AF$7,'Inputs (2)'!$D$2:$AL$2,0))</f>
        <v>-3086</v>
      </c>
      <c r="AG126" s="3">
        <f>SUM(AC126:AF126)</f>
        <v>-11454</v>
      </c>
      <c r="AH126" s="3">
        <f>INDEX('Inputs (2)'!$D$13:$AL$13,MATCH(AH$7,'Inputs (2)'!$D$2:$AL$2,0))</f>
        <v>-3092</v>
      </c>
      <c r="AI126" s="3">
        <f>INDEX('Inputs (2)'!$D$13:$AL$13,MATCH(AI$7,'Inputs (2)'!$D$2:$AL$2,0))</f>
        <v>-3103</v>
      </c>
      <c r="AJ126" s="3" t="n"/>
      <c r="AK126" s="3" t="n"/>
      <c r="AL126" s="3">
        <f>SUM(AH126:AK126)</f>
        <v>-6195</v>
      </c>
      <c r="AM126" s="3" t="n"/>
      <c r="AN126" s="3" t="n"/>
      <c r="AO126" s="3" t="n"/>
      <c r="AP126" s="3" t="n"/>
      <c r="AQ126" s="3">
        <f>SUM(AM126:AP126)</f>
        <v>0</v>
      </c>
      <c r="AR126" s="3" t="n"/>
      <c r="AS126" s="3" t="n"/>
      <c r="AT126" s="3" t="n"/>
      <c r="AU126" s="3" t="n"/>
      <c r="AV126" s="3">
        <f>SUM(AR126:AU126)</f>
        <v>0</v>
      </c>
      <c r="AW126" s="3" t="n"/>
      <c r="AX126" s="3" t="n"/>
      <c r="AY126" s="3" t="n"/>
      <c r="AZ126" s="3" t="n"/>
      <c r="BA126" s="3">
        <f>SUM(AW126:AZ126)</f>
        <v>0</v>
      </c>
      <c r="BB126" s="3" t="n"/>
      <c r="BC126" s="3" t="n"/>
      <c r="BD126" s="3" t="n"/>
      <c r="BE126" s="3" t="n"/>
      <c r="BF126" s="3">
        <f>SUM(BB126:BE126)</f>
        <v>0</v>
      </c>
      <c r="BG126" s="3" t="n"/>
      <c r="BH126" s="3" t="n"/>
      <c r="BI126" s="3" t="n"/>
      <c r="BJ126" s="3" t="n"/>
      <c r="BK126" s="3">
        <f>SUM(BG126:BJ126)</f>
        <v>0</v>
      </c>
      <c r="BL126" s="3" t="n"/>
      <c r="BM126" s="3" t="n"/>
      <c r="BN126" s="3" t="n"/>
      <c r="BO126" s="3" t="n"/>
      <c r="BP126" s="3">
        <f>SUM(BL126:BO126)</f>
        <v>0</v>
      </c>
      <c r="BQ126" s="3" t="n"/>
      <c r="BR126" s="3" t="n"/>
      <c r="BS126" s="3" t="n"/>
      <c r="BT126" s="3" t="n"/>
      <c r="BU126" s="3">
        <f>SUM(BQ126:BT126)</f>
        <v>0</v>
      </c>
      <c r="BV126" s="3" t="n"/>
      <c r="BW126" s="3" t="n"/>
      <c r="BX126" s="3" t="n"/>
      <c r="BY126" s="3" t="n"/>
      <c r="BZ126" s="3">
        <f>SUM(BV126:BY126)</f>
        <v>0</v>
      </c>
      <c r="CA126" s="3" t="n"/>
      <c r="CB126" s="3" t="n"/>
      <c r="CC126" s="3" t="n"/>
      <c r="CD126" s="3" t="n"/>
      <c r="CE126" s="3">
        <f>SUM(CA126:CD126)</f>
        <v>0</v>
      </c>
      <c r="CF126" s="3" t="n"/>
      <c r="CG126" s="3" t="n"/>
      <c r="CH126" s="3" t="n"/>
      <c r="CI126" s="3" t="n"/>
      <c r="CJ126" s="3">
        <f>SUM(CF126:CI126)</f>
        <v>0</v>
      </c>
      <c r="CK126" s="3" t="n"/>
      <c r="CL126" s="3" t="n"/>
      <c r="CM126" s="3" t="n"/>
      <c r="CN126" s="3" t="n"/>
      <c r="CO126" s="3">
        <f>SUM(CK126:CN126)</f>
        <v>0</v>
      </c>
      <c r="CP126" s="3" t="n"/>
      <c r="CQ126" s="3" t="n"/>
      <c r="CR126" s="3" t="n"/>
      <c r="CS126" s="3" t="n"/>
      <c r="CT126" s="3">
        <f>SUM(CP126:CS126)</f>
        <v>0</v>
      </c>
      <c r="CU126" s="3" t="n"/>
      <c r="CV126" s="3" t="n"/>
      <c r="CW126" s="3" t="n"/>
      <c r="CX126" s="3" t="n"/>
      <c r="CY126" s="3">
        <f>SUM(CU126:CX126)</f>
        <v>0</v>
      </c>
    </row>
    <row r="127" hidden="1" outlineLevel="1">
      <c r="C127" s="32" t="inlineStr">
        <is>
          <t>% DVD Payout</t>
        </is>
      </c>
      <c r="D127" s="40">
        <f>-D126/D125</f>
        <v>2.67622950819672</v>
      </c>
      <c r="E127" s="40">
        <f>-E126/E125</f>
        <v>2.13680781758958</v>
      </c>
      <c r="F127" s="40">
        <f>-F126/F125</f>
        <v>1.116</v>
      </c>
      <c r="G127" s="40">
        <f>-G126/G125</f>
        <v>1.18328220858896</v>
      </c>
      <c r="H127" s="40">
        <f>-H126/H125</f>
        <v>1.51969365426696</v>
      </c>
      <c r="I127" s="40">
        <f>-I126/I125</f>
        <v>1.04234297812279</v>
      </c>
      <c r="J127" s="40">
        <f>-J126/J125</f>
        <v>0.822419533851276</v>
      </c>
      <c r="K127" s="40">
        <f>-K126/K125</f>
        <v>0.815569487983281</v>
      </c>
      <c r="L127" s="40">
        <f>-L126/L125</f>
        <v>0.735613010842369</v>
      </c>
      <c r="M127" s="40">
        <f>-M126/M125</f>
        <v>0.834417740007967</v>
      </c>
      <c r="N127" s="40">
        <f>-N126/N125</f>
        <v>0.666401590457256</v>
      </c>
      <c r="O127" s="40">
        <f>-O126/O125</f>
        <v>0.553851283761254</v>
      </c>
      <c r="P127" s="40">
        <f>-P126/P125</f>
        <v>0.497348590566564</v>
      </c>
      <c r="Q127" s="40">
        <f>-Q126/Q125</f>
        <v>0.51033386327504</v>
      </c>
      <c r="R127" s="40">
        <f>-R126/R125</f>
        <v>0.547354517908476</v>
      </c>
      <c r="S127" s="40">
        <f>-S126/S125</f>
        <v>0.549841999425452</v>
      </c>
      <c r="T127" s="40">
        <f>-T126/T125</f>
        <v>0.575537390251287</v>
      </c>
      <c r="U127" s="40">
        <f>-U126/U125</f>
        <v>0.540295119182747</v>
      </c>
      <c r="V127" s="40">
        <f>-V126/V125</f>
        <v>1.8377358490566</v>
      </c>
      <c r="W127" s="40">
        <f>-W126/W125</f>
        <v>0.700936989598556</v>
      </c>
      <c r="X127" s="40">
        <f>-X126/X125</f>
        <v>1.15181518151815</v>
      </c>
      <c r="Y127" s="40">
        <f>-Y126/Y125</f>
        <v>-1.30773333333333</v>
      </c>
      <c r="Z127" s="40">
        <f>-Z126/Z125</f>
        <v>0.574468085106383</v>
      </c>
      <c r="AA127" s="40">
        <f>-AA126/AA125</f>
        <v>0.504088678902417</v>
      </c>
      <c r="AB127" s="40">
        <f>-AB126/AB125</f>
        <v>1.00794202323042</v>
      </c>
      <c r="AC127" s="40">
        <f>-AC126/AC125</f>
        <v>0.560926485397784</v>
      </c>
      <c r="AD127" s="40">
        <f>-AD126/AD125</f>
        <v>0.672946859903382</v>
      </c>
      <c r="AE127" s="40">
        <f>-AE126/AE125</f>
        <v>0.328363465602254</v>
      </c>
      <c r="AF127" s="44">
        <f>-AF126/AF125</f>
        <v>0.419921077697646</v>
      </c>
      <c r="AG127" s="3" t="n"/>
      <c r="AH127" s="44">
        <f>-AH126/AH125</f>
        <v>0.332116004296455</v>
      </c>
      <c r="AI127" s="44">
        <f>-AI126/AI125</f>
        <v>0.237087408312958</v>
      </c>
      <c r="AJ127" s="44" t="n"/>
      <c r="AK127" s="44" t="n"/>
      <c r="AL127" s="3">
        <f>-AL126/AL125</f>
        <v>0.273945343592465</v>
      </c>
      <c r="AM127" s="44" t="n"/>
      <c r="AN127" s="44" t="n"/>
      <c r="AO127" s="44" t="n"/>
      <c r="AP127" s="44" t="n"/>
      <c r="AQ127" s="3">
        <f>-AQ126/AQ125</f>
        <v>0</v>
      </c>
      <c r="AR127" s="44" t="n"/>
      <c r="AS127" s="44" t="n"/>
      <c r="AT127" s="44" t="n"/>
      <c r="AU127" s="44" t="n"/>
      <c r="AV127" s="3">
        <f>-AV126/AV125</f>
        <v>0</v>
      </c>
      <c r="AW127" s="44" t="n"/>
      <c r="AX127" s="44" t="n"/>
      <c r="AY127" s="44" t="n"/>
      <c r="AZ127" s="44" t="n"/>
      <c r="BA127" s="3">
        <f>-BA126/BA125</f>
        <v>0</v>
      </c>
      <c r="BB127" s="44" t="n"/>
      <c r="BC127" s="44" t="n"/>
      <c r="BD127" s="44" t="n"/>
      <c r="BE127" s="44" t="n"/>
      <c r="BF127" s="3">
        <f>-BF126/BF125</f>
        <v>0</v>
      </c>
      <c r="BG127" s="44" t="n"/>
      <c r="BH127" s="44" t="n"/>
      <c r="BI127" s="44" t="n"/>
      <c r="BJ127" s="44" t="n"/>
      <c r="BK127" s="3">
        <f>-BK126/BK125</f>
        <v>0</v>
      </c>
      <c r="BL127" s="44" t="n"/>
      <c r="BM127" s="44" t="n"/>
      <c r="BN127" s="44" t="n"/>
      <c r="BO127" s="44" t="n"/>
      <c r="BP127" s="3">
        <f>-BP126/BP125</f>
        <v>0</v>
      </c>
      <c r="BQ127" s="44" t="n"/>
      <c r="BR127" s="44" t="n"/>
      <c r="BS127" s="44" t="n"/>
      <c r="BT127" s="44" t="n"/>
      <c r="BU127" s="3">
        <f>-BU126/BU125</f>
        <v>0</v>
      </c>
      <c r="BV127" s="44" t="n"/>
      <c r="BW127" s="44" t="n"/>
      <c r="BX127" s="44" t="n"/>
      <c r="BY127" s="44" t="n"/>
      <c r="BZ127" s="3">
        <f>-BZ126/BZ125</f>
        <v>0</v>
      </c>
      <c r="CA127" s="44" t="n"/>
      <c r="CB127" s="44" t="n"/>
      <c r="CC127" s="44" t="n"/>
      <c r="CD127" s="44" t="n"/>
      <c r="CE127" s="3">
        <f>-CE126/CE125</f>
        <v>0</v>
      </c>
      <c r="CF127" s="44" t="n"/>
      <c r="CG127" s="44" t="n"/>
      <c r="CH127" s="44" t="n"/>
      <c r="CI127" s="44" t="n"/>
      <c r="CJ127" s="3">
        <f>-CJ126/CJ125</f>
        <v>0</v>
      </c>
      <c r="CK127" s="44" t="n"/>
      <c r="CL127" s="44" t="n"/>
      <c r="CM127" s="44" t="n"/>
      <c r="CN127" s="44" t="n"/>
      <c r="CO127" s="3">
        <f>-CO126/CO125</f>
        <v>0</v>
      </c>
      <c r="CP127" s="44" t="n"/>
      <c r="CQ127" s="44" t="n"/>
      <c r="CR127" s="44" t="n"/>
      <c r="CS127" s="44" t="n"/>
      <c r="CT127" s="3">
        <f>-CT126/CT125</f>
        <v>0</v>
      </c>
      <c r="CU127" s="44" t="n"/>
      <c r="CV127" s="44" t="n"/>
      <c r="CW127" s="44" t="n"/>
      <c r="CX127" s="44" t="n"/>
      <c r="CY127" s="3">
        <f>-CY126/CY125</f>
        <v>0</v>
      </c>
    </row>
    <row r="128" hidden="1" outlineLevel="1">
      <c r="C128" s="5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AS128" s="1" t="n"/>
      <c r="AT128" s="1" t="n"/>
      <c r="AU128" s="1" t="n"/>
      <c r="AV128" s="1" t="n"/>
      <c r="AW128" s="1" t="n"/>
      <c r="AX128" s="1" t="n"/>
      <c r="AY128" s="1" t="n"/>
      <c r="AZ128" s="1" t="n"/>
      <c r="BA128" s="1" t="n"/>
      <c r="BB128" s="1" t="n"/>
      <c r="BC128" s="1" t="n"/>
      <c r="BD128" s="1" t="n"/>
      <c r="BE128" s="1" t="n"/>
      <c r="BF128" s="1" t="n"/>
      <c r="BG128" s="1" t="n"/>
      <c r="BH128" s="1" t="n"/>
      <c r="BI128" s="1" t="n"/>
      <c r="BJ128" s="1" t="n"/>
      <c r="BK128" s="1" t="n"/>
      <c r="BL128" s="1" t="n"/>
      <c r="BM128" s="1" t="n"/>
      <c r="BN128" s="1" t="n"/>
      <c r="BO128" s="1" t="n"/>
      <c r="BP128" s="1" t="n"/>
      <c r="BQ128" s="1" t="n"/>
      <c r="BR128" s="1" t="n"/>
      <c r="BS128" s="1" t="n"/>
      <c r="BT128" s="1" t="n"/>
      <c r="BU128" s="1" t="n"/>
      <c r="BV128" s="1" t="n"/>
      <c r="BW128" s="1" t="n"/>
      <c r="BX128" s="1" t="n"/>
      <c r="BY128" s="1" t="n"/>
      <c r="BZ128" s="1" t="n"/>
      <c r="CA128" s="1" t="n"/>
      <c r="CB128" s="1" t="n"/>
      <c r="CC128" s="1" t="n"/>
      <c r="CD128" s="1" t="n"/>
      <c r="CE128" s="1" t="n"/>
      <c r="CF128" s="1" t="n"/>
      <c r="CG128" s="1" t="n"/>
      <c r="CH128" s="1" t="n"/>
      <c r="CI128" s="1" t="n"/>
      <c r="CJ128" s="1" t="n"/>
      <c r="CK128" s="1" t="n"/>
      <c r="CL128" s="1" t="n"/>
      <c r="CM128" s="1" t="n"/>
      <c r="CN128" s="1" t="n"/>
      <c r="CO128" s="1" t="n"/>
      <c r="CP128" s="1" t="n"/>
      <c r="CQ128" s="1" t="n"/>
      <c r="CR128" s="1" t="n"/>
      <c r="CS128" s="1" t="n"/>
      <c r="CT128" s="1" t="n"/>
      <c r="CU128" s="1" t="n"/>
      <c r="CV128" s="1" t="n"/>
      <c r="CW128" s="1" t="n"/>
      <c r="CX128" s="1" t="n"/>
      <c r="CY128" s="1" t="n"/>
    </row>
    <row r="129" hidden="1" outlineLevel="1">
      <c r="C129" s="5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AS129" s="1" t="n"/>
      <c r="AT129" s="1" t="n"/>
      <c r="AU129" s="1" t="n"/>
      <c r="AV129" s="1" t="n"/>
      <c r="AW129" s="1" t="n"/>
      <c r="AX129" s="1" t="n"/>
      <c r="AY129" s="1" t="n"/>
      <c r="AZ129" s="1" t="n"/>
      <c r="BA129" s="1" t="n"/>
      <c r="BB129" s="1" t="n"/>
      <c r="BC129" s="1" t="n"/>
      <c r="BD129" s="1" t="n"/>
      <c r="BE129" s="1" t="n"/>
      <c r="BF129" s="1" t="n"/>
      <c r="BG129" s="1" t="n"/>
      <c r="BH129" s="1" t="n"/>
      <c r="BI129" s="1" t="n"/>
      <c r="BJ129" s="1" t="n"/>
      <c r="BK129" s="1" t="n"/>
      <c r="BL129" s="1" t="n"/>
      <c r="BM129" s="1" t="n"/>
      <c r="BN129" s="1" t="n"/>
      <c r="BO129" s="1" t="n"/>
      <c r="BP129" s="1" t="n"/>
      <c r="BQ129" s="1" t="n"/>
      <c r="BR129" s="1" t="n"/>
      <c r="BS129" s="1" t="n"/>
      <c r="BT129" s="1" t="n"/>
      <c r="BU129" s="1" t="n"/>
      <c r="BV129" s="1" t="n"/>
      <c r="BW129" s="1" t="n"/>
      <c r="BX129" s="1" t="n"/>
      <c r="BY129" s="1" t="n"/>
      <c r="BZ129" s="1" t="n"/>
      <c r="CA129" s="1" t="n"/>
      <c r="CB129" s="1" t="n"/>
      <c r="CC129" s="1" t="n"/>
      <c r="CD129" s="1" t="n"/>
      <c r="CE129" s="1" t="n"/>
      <c r="CF129" s="1" t="n"/>
      <c r="CG129" s="1" t="n"/>
      <c r="CH129" s="1" t="n"/>
      <c r="CI129" s="1" t="n"/>
      <c r="CJ129" s="1" t="n"/>
      <c r="CK129" s="1" t="n"/>
      <c r="CL129" s="1" t="n"/>
      <c r="CM129" s="1" t="n"/>
      <c r="CN129" s="1" t="n"/>
      <c r="CO129" s="1" t="n"/>
      <c r="CP129" s="1" t="n"/>
      <c r="CQ129" s="1" t="n"/>
      <c r="CR129" s="1" t="n"/>
      <c r="CS129" s="1" t="n"/>
      <c r="CT129" s="1" t="n"/>
      <c r="CU129" s="1" t="n"/>
      <c r="CV129" s="1" t="n"/>
      <c r="CW129" s="1" t="n"/>
      <c r="CX129" s="1" t="n"/>
      <c r="CY129" s="1" t="n"/>
    </row>
    <row r="130" collapsed="1" ht="11.25" customHeight="1">
      <c r="C130" s="12" t="inlineStr">
        <is>
          <t>Balance Sheet</t>
        </is>
      </c>
      <c r="D130" s="12" t="str">
        <f>D13</f>
        <v>1Q20</v>
      </c>
      <c r="E130" s="12" t="str">
        <f>E13</f>
        <v>2Q20</v>
      </c>
      <c r="F130" s="12" t="str">
        <f>F13</f>
        <v>3Q20</v>
      </c>
      <c r="G130" s="12" t="str">
        <f>G13</f>
        <v>4Q20</v>
      </c>
      <c r="H130" s="12">
        <f>H13</f>
        <v>2020</v>
      </c>
      <c r="I130" s="12" t="str">
        <f>I13</f>
        <v>1Q21</v>
      </c>
      <c r="J130" s="12" t="str">
        <f>J13</f>
        <v>2Q21</v>
      </c>
      <c r="K130" s="12" t="str">
        <f>K13</f>
        <v>3Q21</v>
      </c>
      <c r="L130" s="12" t="str">
        <f>L13</f>
        <v>4Q21</v>
      </c>
      <c r="M130" s="12">
        <f>M13</f>
        <v>2021</v>
      </c>
      <c r="N130" s="12" t="str">
        <f>N13</f>
        <v>1Q22</v>
      </c>
      <c r="O130" s="12" t="str">
        <f>O13</f>
        <v>2Q22</v>
      </c>
      <c r="P130" s="12" t="str">
        <f>P13</f>
        <v>3Q22</v>
      </c>
      <c r="Q130" s="12" t="str">
        <f>Q13</f>
        <v>4Q22</v>
      </c>
      <c r="R130" s="12">
        <f>R13</f>
        <v>2022</v>
      </c>
      <c r="S130" s="12" t="str">
        <f>S13</f>
        <v>1Q23</v>
      </c>
      <c r="T130" s="12" t="str">
        <f>T13</f>
        <v>2Q23</v>
      </c>
      <c r="U130" s="12" t="str">
        <f>U13</f>
        <v>3Q23</v>
      </c>
      <c r="V130" s="12" t="str">
        <f>V13</f>
        <v>4Q23</v>
      </c>
      <c r="W130" s="12">
        <f>W13</f>
        <v>2023</v>
      </c>
      <c r="X130" s="12" t="str">
        <f>X13</f>
        <v>1Q24</v>
      </c>
      <c r="Y130" s="12" t="str">
        <f>Y13</f>
        <v>2Q24</v>
      </c>
      <c r="Z130" s="12" t="str">
        <f>Z13</f>
        <v>3Q24</v>
      </c>
      <c r="AA130" s="12" t="str">
        <f>AA13</f>
        <v>4Q24</v>
      </c>
      <c r="AB130" s="12">
        <f>AB13</f>
        <v>2024</v>
      </c>
      <c r="AC130" s="12" t="str">
        <f>AC13</f>
        <v>1Q25</v>
      </c>
      <c r="AD130" s="12" t="str">
        <f>AD13</f>
        <v>2Q25</v>
      </c>
      <c r="AE130" s="12" t="str">
        <f>AE13</f>
        <v>3Q25</v>
      </c>
      <c r="AF130" s="12" t="str">
        <f>AF13</f>
        <v>4Q25</v>
      </c>
      <c r="AG130" s="12">
        <f>AG13</f>
        <v>2025</v>
      </c>
      <c r="AH130" s="12" t="str">
        <f>AH13</f>
        <v>1Q26</v>
      </c>
      <c r="AI130" s="12" t="str">
        <f>AI13</f>
        <v>2Q26</v>
      </c>
      <c r="AJ130" s="12" t="str">
        <f>AJ13</f>
        <v>3Q26</v>
      </c>
      <c r="AK130" s="12" t="str">
        <f>AK13</f>
        <v>4Q26</v>
      </c>
      <c r="AL130" s="12">
        <f>AL13</f>
        <v>2026</v>
      </c>
      <c r="AM130" s="12" t="str">
        <f>AM13</f>
        <v>1Q27</v>
      </c>
      <c r="AN130" s="12" t="str">
        <f>AN13</f>
        <v>2Q27</v>
      </c>
      <c r="AO130" s="12" t="str">
        <f>AO13</f>
        <v>3Q27</v>
      </c>
      <c r="AP130" s="12" t="str">
        <f>AP13</f>
        <v>4Q27</v>
      </c>
      <c r="AQ130" s="12">
        <f>AQ13</f>
        <v>2027</v>
      </c>
      <c r="AR130" s="12" t="str">
        <f>AR13</f>
        <v>1Q28</v>
      </c>
      <c r="AS130" s="12" t="str">
        <f>AS13</f>
        <v>2Q28</v>
      </c>
      <c r="AT130" s="12" t="str">
        <f>AT13</f>
        <v>3Q28</v>
      </c>
      <c r="AU130" s="12" t="str">
        <f>AU13</f>
        <v>4Q28</v>
      </c>
      <c r="AV130" s="12">
        <f>AV13</f>
        <v>2028</v>
      </c>
      <c r="AW130" s="12" t="str">
        <f>AW13</f>
        <v>1Q29</v>
      </c>
      <c r="AX130" s="12" t="str">
        <f>AX13</f>
        <v>2Q29</v>
      </c>
      <c r="AY130" s="12" t="str">
        <f>AY13</f>
        <v>3Q29</v>
      </c>
      <c r="AZ130" s="12" t="str">
        <f>AZ13</f>
        <v>4Q29</v>
      </c>
      <c r="BA130" s="12">
        <f>BA13</f>
        <v>2029</v>
      </c>
      <c r="BB130" s="12" t="str">
        <f>BB13</f>
        <v>1Q30</v>
      </c>
      <c r="BC130" s="12" t="str">
        <f>BC13</f>
        <v>2Q30</v>
      </c>
      <c r="BD130" s="12" t="str">
        <f>BD13</f>
        <v>3Q30</v>
      </c>
      <c r="BE130" s="12" t="str">
        <f>BE13</f>
        <v>4Q30</v>
      </c>
      <c r="BF130" s="12">
        <f>BF13</f>
        <v>2030</v>
      </c>
      <c r="BG130" s="12" t="str">
        <f>BG13</f>
        <v>1Q31</v>
      </c>
      <c r="BH130" s="12" t="str">
        <f>BH13</f>
        <v>2Q31</v>
      </c>
      <c r="BI130" s="12" t="str">
        <f>BI13</f>
        <v>3Q31</v>
      </c>
      <c r="BJ130" s="12" t="str">
        <f>BJ13</f>
        <v>4Q31</v>
      </c>
      <c r="BK130" s="12">
        <f>BK13</f>
        <v>2031</v>
      </c>
      <c r="BL130" s="12" t="str">
        <f>BL13</f>
        <v>1Q32</v>
      </c>
      <c r="BM130" s="12" t="str">
        <f>BM13</f>
        <v>2Q32</v>
      </c>
      <c r="BN130" s="12" t="str">
        <f>BN13</f>
        <v>3Q32</v>
      </c>
      <c r="BO130" s="12" t="str">
        <f>BO13</f>
        <v>4Q32</v>
      </c>
      <c r="BP130" s="12">
        <f>BP13</f>
        <v>2032</v>
      </c>
      <c r="BQ130" s="12" t="str">
        <f>BQ13</f>
        <v>1Q33</v>
      </c>
      <c r="BR130" s="12" t="str">
        <f>BR13</f>
        <v>2Q33</v>
      </c>
      <c r="BS130" s="12" t="str">
        <f>BS13</f>
        <v>3Q33</v>
      </c>
      <c r="BT130" s="12" t="str">
        <f>BT13</f>
        <v>4Q33</v>
      </c>
      <c r="BU130" s="12">
        <f>BU13</f>
        <v>2033</v>
      </c>
      <c r="BV130" s="12" t="str">
        <f>BV13</f>
        <v>1Q34</v>
      </c>
      <c r="BW130" s="12" t="str">
        <f>BW13</f>
        <v>2Q34</v>
      </c>
      <c r="BX130" s="12" t="str">
        <f>BX13</f>
        <v>3Q34</v>
      </c>
      <c r="BY130" s="12" t="str">
        <f>BY13</f>
        <v>4Q34</v>
      </c>
      <c r="BZ130" s="12">
        <f>BZ13</f>
        <v>2034</v>
      </c>
      <c r="CA130" s="12" t="str">
        <f>CA13</f>
        <v>1Q35</v>
      </c>
      <c r="CB130" s="12" t="str">
        <f>CB13</f>
        <v>2Q35</v>
      </c>
      <c r="CC130" s="12" t="str">
        <f>CC13</f>
        <v>3Q35</v>
      </c>
      <c r="CD130" s="12" t="str">
        <f>CD13</f>
        <v>4Q35</v>
      </c>
      <c r="CE130" s="12">
        <f>CE13</f>
        <v>2035</v>
      </c>
      <c r="CF130" s="12" t="str">
        <f>CF13</f>
        <v>1Q36</v>
      </c>
      <c r="CG130" s="12" t="str">
        <f>CG13</f>
        <v>2Q36</v>
      </c>
      <c r="CH130" s="12" t="str">
        <f>CH13</f>
        <v>3Q36</v>
      </c>
      <c r="CI130" s="12" t="str">
        <f>CI13</f>
        <v>4Q36</v>
      </c>
      <c r="CJ130" s="12">
        <f>CJ13</f>
        <v>2036</v>
      </c>
      <c r="CK130" s="12" t="str">
        <f>CK13</f>
        <v>1Q37</v>
      </c>
      <c r="CL130" s="12" t="str">
        <f>CL13</f>
        <v>2Q37</v>
      </c>
      <c r="CM130" s="12" t="str">
        <f>CM13</f>
        <v>3Q37</v>
      </c>
      <c r="CN130" s="12" t="str">
        <f>CN13</f>
        <v>4Q37</v>
      </c>
      <c r="CO130" s="12">
        <f>CO13</f>
        <v>2037</v>
      </c>
      <c r="CP130" s="12" t="str">
        <f>CP13</f>
        <v>1Q38</v>
      </c>
      <c r="CQ130" s="12" t="str">
        <f>CQ13</f>
        <v>2Q38</v>
      </c>
      <c r="CR130" s="12" t="str">
        <f>CR13</f>
        <v>3Q38</v>
      </c>
      <c r="CS130" s="12" t="str">
        <f>CS13</f>
        <v>4Q38</v>
      </c>
      <c r="CT130" s="12">
        <f>CT13</f>
        <v>2038</v>
      </c>
      <c r="CU130" s="12" t="str">
        <f>CU13</f>
        <v>1Q39</v>
      </c>
      <c r="CV130" s="12" t="str">
        <f>CV13</f>
        <v>2Q39</v>
      </c>
      <c r="CW130" s="12" t="str">
        <f>CW13</f>
        <v>3Q39</v>
      </c>
      <c r="CX130" s="12" t="str">
        <f>CX13</f>
        <v>4Q39</v>
      </c>
      <c r="CY130" s="12">
        <f>CY13</f>
        <v>2039</v>
      </c>
    </row>
    <row r="131">
      <c r="C131" s="5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AS131" s="1" t="n"/>
      <c r="AT131" s="1" t="n"/>
      <c r="AU131" s="1" t="n"/>
      <c r="AV131" s="1" t="n"/>
      <c r="AW131" s="1" t="n"/>
      <c r="AX131" s="1" t="n"/>
      <c r="AY131" s="1" t="n"/>
      <c r="AZ131" s="1" t="n"/>
      <c r="BA131" s="1" t="n"/>
      <c r="BB131" s="1" t="n"/>
      <c r="BC131" s="1" t="n"/>
      <c r="BD131" s="1" t="n"/>
      <c r="BE131" s="1" t="n"/>
      <c r="BF131" s="1" t="n"/>
      <c r="BG131" s="1" t="n"/>
      <c r="BH131" s="1" t="n"/>
      <c r="BI131" s="1" t="n"/>
      <c r="BJ131" s="1" t="n"/>
      <c r="BK131" s="1" t="n"/>
      <c r="BL131" s="1" t="n"/>
      <c r="BM131" s="1" t="n"/>
      <c r="BN131" s="1" t="n"/>
      <c r="BO131" s="1" t="n"/>
      <c r="BP131" s="1" t="n"/>
      <c r="BQ131" s="1" t="n"/>
      <c r="BR131" s="1" t="n"/>
      <c r="BS131" s="1" t="n"/>
      <c r="BT131" s="1" t="n"/>
      <c r="BU131" s="1" t="n"/>
      <c r="BV131" s="1" t="n"/>
      <c r="BW131" s="1" t="n"/>
      <c r="BX131" s="1" t="n"/>
      <c r="BY131" s="1" t="n"/>
      <c r="BZ131" s="1" t="n"/>
      <c r="CA131" s="1" t="n"/>
      <c r="CB131" s="1" t="n"/>
      <c r="CC131" s="1" t="n"/>
      <c r="CD131" s="1" t="n"/>
      <c r="CE131" s="1" t="n"/>
      <c r="CF131" s="1" t="n"/>
      <c r="CG131" s="1" t="n"/>
      <c r="CH131" s="1" t="n"/>
      <c r="CI131" s="1" t="n"/>
      <c r="CJ131" s="1" t="n"/>
      <c r="CK131" s="1" t="n"/>
      <c r="CL131" s="1" t="n"/>
      <c r="CM131" s="1" t="n"/>
      <c r="CN131" s="1" t="n"/>
      <c r="CO131" s="1" t="n"/>
      <c r="CP131" s="1" t="n"/>
      <c r="CQ131" s="1" t="n"/>
      <c r="CR131" s="1" t="n"/>
      <c r="CS131" s="1" t="n"/>
      <c r="CT131" s="1" t="n"/>
      <c r="CU131" s="1" t="n"/>
      <c r="CV131" s="1" t="n"/>
      <c r="CW131" s="1" t="n"/>
      <c r="CX131" s="1" t="n"/>
      <c r="CY131" s="1" t="n"/>
    </row>
    <row r="132">
      <c r="C132" s="24" t="inlineStr">
        <is>
          <t>Cash and equivalents (inc. investment securities)</t>
        </is>
      </c>
      <c r="D132" s="25">
        <f>INDEX('Inputs (2)'!$D$15:$AL$15,MATCH(D$7,'Inputs (2)'!$D$2:$AL$2,0))</f>
        <v>9207</v>
      </c>
      <c r="E132" s="25">
        <f>INDEX('Inputs (2)'!$D$15:$AL$15,MATCH(E$7,'Inputs (2)'!$D$2:$AL$2,0))</f>
        <v>8857</v>
      </c>
      <c r="F132" s="25">
        <f>INDEX('Inputs (2)'!$D$15:$AL$15,MATCH(F$7,'Inputs (2)'!$D$2:$AL$2,0))</f>
        <v>7618</v>
      </c>
      <c r="G132" s="25">
        <f>INDEX('Inputs (2)'!$D$15:$AL$15,MATCH(G$7,'Inputs (2)'!$D$2:$AL$2,0))</f>
        <v>9552</v>
      </c>
      <c r="H132" s="3">
        <f>G132</f>
        <v>9552</v>
      </c>
      <c r="I132" s="25">
        <f>INDEX('Inputs (2)'!$D$15:$AL$15,MATCH(I$7,'Inputs (2)'!$D$2:$AL$2,0))</f>
        <v>9518</v>
      </c>
      <c r="J132" s="25">
        <f>INDEX('Inputs (2)'!$D$15:$AL$15,MATCH(J$7,'Inputs (2)'!$D$2:$AL$2,0))</f>
        <v>11105</v>
      </c>
      <c r="K132" s="25">
        <f>INDEX('Inputs (2)'!$D$15:$AL$15,MATCH(K$7,'Inputs (2)'!$D$2:$AL$2,0))</f>
        <v>12163</v>
      </c>
      <c r="L132" s="25">
        <f>INDEX('Inputs (2)'!$D$15:$AL$15,MATCH(L$7,'Inputs (2)'!$D$2:$AL$2,0))</f>
        <v>10219</v>
      </c>
      <c r="M132" s="3">
        <f>L132</f>
        <v>10219</v>
      </c>
      <c r="N132" s="25">
        <f>INDEX('Inputs (2)'!$D$15:$AL$15,MATCH(N$7,'Inputs (2)'!$D$2:$AL$2,0))</f>
        <v>9005</v>
      </c>
      <c r="O132" s="25">
        <f>INDEX('Inputs (2)'!$D$15:$AL$15,MATCH(O$7,'Inputs (2)'!$D$2:$AL$2,0))</f>
        <v>9977</v>
      </c>
      <c r="P132" s="25">
        <f>INDEX('Inputs (2)'!$D$15:$AL$15,MATCH(P$7,'Inputs (2)'!$D$2:$AL$2,0))</f>
        <v>12416</v>
      </c>
      <c r="Q132" s="25">
        <f>INDEX('Inputs (2)'!$D$15:$AL$15,MATCH(Q$7,'Inputs (2)'!$D$2:$AL$2,0))</f>
        <v>12647</v>
      </c>
      <c r="R132" s="3">
        <f>Q132</f>
        <v>12647</v>
      </c>
      <c r="S132" s="25">
        <f>INDEX('Inputs (2)'!$D$15:$AL$15,MATCH(S$7,'Inputs (2)'!$D$2:$AL$2,0))</f>
        <v>11553</v>
      </c>
      <c r="T132" s="25">
        <f>INDEX('Inputs (2)'!$D$15:$AL$15,MATCH(T$7,'Inputs (2)'!$D$2:$AL$2,0))</f>
        <v>12055</v>
      </c>
      <c r="U132" s="25">
        <f>INDEX('Inputs (2)'!$D$15:$AL$15,MATCH(U$7,'Inputs (2)'!$D$2:$AL$2,0))</f>
        <v>14189</v>
      </c>
      <c r="V132" s="25">
        <f>INDEX('Inputs (2)'!$D$15:$AL$15,MATCH(V$7,'Inputs (2)'!$D$2:$AL$2,0))</f>
        <v>11864</v>
      </c>
      <c r="W132" s="3">
        <f>V132</f>
        <v>11864</v>
      </c>
      <c r="X132" s="25">
        <f>INDEX('Inputs (2)'!$D$15:$AL$15,MATCH(X$7,'Inputs (2)'!$D$2:$AL$2,0))</f>
        <v>9809</v>
      </c>
      <c r="Y132" s="25">
        <f>INDEX('Inputs (2)'!$D$15:$AL$15,MATCH(Y$7,'Inputs (2)'!$D$2:$AL$2,0))</f>
        <v>9952</v>
      </c>
      <c r="Z132" s="25">
        <f>INDEX('Inputs (2)'!$D$15:$AL$15,MATCH(Z$7,'Inputs (2)'!$D$2:$AL$2,0))</f>
        <v>9348</v>
      </c>
      <c r="AA132" s="25">
        <f>INDEX('Inputs (2)'!$D$15:$AL$15,MATCH(AA$7,'Inputs (2)'!$D$2:$AL$2,0))</f>
        <v>9307</v>
      </c>
      <c r="AB132" s="3">
        <f>AA132</f>
        <v>9307</v>
      </c>
      <c r="AC132" s="25">
        <f>INDEX('Inputs (2)'!$D$15:$AL$15,MATCH(AC$7,'Inputs (2)'!$D$2:$AL$2,0))</f>
        <v>9472</v>
      </c>
      <c r="AD132" s="25">
        <f>INDEX('Inputs (2)'!$D$15:$AL$15,MATCH(AD$7,'Inputs (2)'!$D$2:$AL$2,0))</f>
        <v>10718</v>
      </c>
      <c r="AE132" s="25">
        <f>INDEX('Inputs (2)'!$D$15:$AL$15,MATCH(AE$7,'Inputs (2)'!$D$2:$AL$2,0))</f>
        <v>16178</v>
      </c>
      <c r="AF132" s="25">
        <f>INDEX('Inputs (2)'!$D$15:$AL$15,MATCH(AF$7,'Inputs (2)'!$D$2:$AL$2,0))</f>
        <v>14174</v>
      </c>
      <c r="AG132" s="3">
        <f>AF132</f>
        <v>14174</v>
      </c>
      <c r="AH132" s="3">
        <f>INDEX('Inputs (2)'!$D$15:$AL$15,MATCH(AH$7,'Inputs (2)'!$D$2:$AL$2,0))</f>
        <v>19628</v>
      </c>
      <c r="AI132" s="3">
        <f>INDEX('Inputs (2)'!$D$15:$AL$15,MATCH(AI$7,'Inputs (2)'!$D$2:$AL$2,0))</f>
        <v>23975</v>
      </c>
      <c r="AJ132" s="3">
        <f>AI132+AJ302</f>
        <v>63142</v>
      </c>
      <c r="AK132" s="3">
        <f>AJ132+AK302</f>
        <v>63240</v>
      </c>
      <c r="AL132" s="3">
        <f>AK132</f>
        <v>63240</v>
      </c>
      <c r="AM132" s="3" t="e">
        <f>AL132+AM302</f>
        <v>#DIV/0!</v>
      </c>
      <c r="AN132" s="3" t="e">
        <f>AM132+AN302</f>
        <v>#DIV/0!</v>
      </c>
      <c r="AO132" s="3" t="e">
        <f>AN132+AO302</f>
        <v>#DIV/0!</v>
      </c>
      <c r="AP132" s="3" t="e">
        <f>AO132+AP302</f>
        <v>#DIV/0!</v>
      </c>
      <c r="AQ132" s="3" t="e">
        <f>AP132</f>
        <v>#DIV/0!</v>
      </c>
      <c r="AR132" s="3" t="e">
        <f>AQ132+AR302</f>
        <v>#DIV/0!</v>
      </c>
      <c r="AS132" s="3" t="e">
        <f>AR132+AS302</f>
        <v>#DIV/0!</v>
      </c>
      <c r="AT132" s="3" t="e">
        <f>AS132+AT302</f>
        <v>#DIV/0!</v>
      </c>
      <c r="AU132" s="3" t="e">
        <f>AT132+AU302</f>
        <v>#DIV/0!</v>
      </c>
      <c r="AV132" s="3" t="e">
        <f>AU132</f>
        <v>#DIV/0!</v>
      </c>
      <c r="AW132" s="3" t="e">
        <f>AV132+AW302</f>
        <v>#DIV/0!</v>
      </c>
      <c r="AX132" s="3" t="e">
        <f>AW132+AX302</f>
        <v>#DIV/0!</v>
      </c>
      <c r="AY132" s="3" t="e">
        <f>AX132+AY302</f>
        <v>#DIV/0!</v>
      </c>
      <c r="AZ132" s="3" t="e">
        <f>AY132+AZ302</f>
        <v>#DIV/0!</v>
      </c>
      <c r="BA132" s="3" t="e">
        <f>AZ132</f>
        <v>#DIV/0!</v>
      </c>
      <c r="BB132" s="3" t="e">
        <f>BA132+BB302</f>
        <v>#DIV/0!</v>
      </c>
      <c r="BC132" s="3" t="e">
        <f>BB132+BC302</f>
        <v>#DIV/0!</v>
      </c>
      <c r="BD132" s="3" t="e">
        <f>BC132+BD302</f>
        <v>#DIV/0!</v>
      </c>
      <c r="BE132" s="3" t="e">
        <f>BD132+BE302</f>
        <v>#DIV/0!</v>
      </c>
      <c r="BF132" s="3" t="e">
        <f>BE132</f>
        <v>#DIV/0!</v>
      </c>
      <c r="BG132" s="3" t="e">
        <f>BF132+BG302</f>
        <v>#DIV/0!</v>
      </c>
      <c r="BH132" s="3" t="e">
        <f>BG132+BH302</f>
        <v>#DIV/0!</v>
      </c>
      <c r="BI132" s="3" t="e">
        <f>BH132+BI302</f>
        <v>#DIV/0!</v>
      </c>
      <c r="BJ132" s="3" t="e">
        <f>BI132+BJ302</f>
        <v>#DIV/0!</v>
      </c>
      <c r="BK132" s="3" t="e">
        <f>BJ132</f>
        <v>#DIV/0!</v>
      </c>
      <c r="BL132" s="3" t="e">
        <f>BK132+BL302</f>
        <v>#DIV/0!</v>
      </c>
      <c r="BM132" s="3" t="e">
        <f>BL132+BM302</f>
        <v>#DIV/0!</v>
      </c>
      <c r="BN132" s="3" t="e">
        <f>BM132+BN302</f>
        <v>#DIV/0!</v>
      </c>
      <c r="BO132" s="3" t="e">
        <f>BN132+BO302</f>
        <v>#DIV/0!</v>
      </c>
      <c r="BP132" s="3" t="e">
        <f>BO132</f>
        <v>#DIV/0!</v>
      </c>
      <c r="BQ132" s="3" t="e">
        <f>BP132+BQ302</f>
        <v>#DIV/0!</v>
      </c>
      <c r="BR132" s="3" t="e">
        <f>BQ132+BR302</f>
        <v>#DIV/0!</v>
      </c>
      <c r="BS132" s="3" t="e">
        <f>BR132+BS302</f>
        <v>#DIV/0!</v>
      </c>
      <c r="BT132" s="3" t="e">
        <f>BS132+BT302</f>
        <v>#DIV/0!</v>
      </c>
      <c r="BU132" s="3" t="e">
        <f>BT132</f>
        <v>#DIV/0!</v>
      </c>
      <c r="BV132" s="3" t="e">
        <f>BU132+BV302</f>
        <v>#DIV/0!</v>
      </c>
      <c r="BW132" s="3" t="e">
        <f>BV132+BW302</f>
        <v>#DIV/0!</v>
      </c>
      <c r="BX132" s="3" t="e">
        <f>BW132+BX302</f>
        <v>#DIV/0!</v>
      </c>
      <c r="BY132" s="3" t="e">
        <f>BX132+BY302</f>
        <v>#DIV/0!</v>
      </c>
      <c r="BZ132" s="3" t="e">
        <f>BY132</f>
        <v>#DIV/0!</v>
      </c>
      <c r="CA132" s="3" t="e">
        <f>BZ132+CA302</f>
        <v>#DIV/0!</v>
      </c>
      <c r="CB132" s="3" t="e">
        <f>CA132+CB302</f>
        <v>#DIV/0!</v>
      </c>
      <c r="CC132" s="3" t="e">
        <f>CB132+CC302</f>
        <v>#DIV/0!</v>
      </c>
      <c r="CD132" s="3" t="e">
        <f>CC132+CD302</f>
        <v>#DIV/0!</v>
      </c>
      <c r="CE132" s="3" t="e">
        <f>CD132</f>
        <v>#DIV/0!</v>
      </c>
      <c r="CF132" s="3" t="e">
        <f>CE132+CF302</f>
        <v>#DIV/0!</v>
      </c>
      <c r="CG132" s="3" t="e">
        <f>CF132+CG302</f>
        <v>#DIV/0!</v>
      </c>
      <c r="CH132" s="3" t="e">
        <f>CG132+CH302</f>
        <v>#DIV/0!</v>
      </c>
      <c r="CI132" s="3" t="e">
        <f>CH132+CI302</f>
        <v>#DIV/0!</v>
      </c>
      <c r="CJ132" s="3" t="e">
        <f>CI132</f>
        <v>#DIV/0!</v>
      </c>
      <c r="CK132" s="3" t="e">
        <f>CJ132+CK302</f>
        <v>#DIV/0!</v>
      </c>
      <c r="CL132" s="3" t="e">
        <f>CK132+CL302</f>
        <v>#DIV/0!</v>
      </c>
      <c r="CM132" s="3" t="e">
        <f>CL132+CM302</f>
        <v>#DIV/0!</v>
      </c>
      <c r="CN132" s="3" t="e">
        <f>CM132+CN302</f>
        <v>#DIV/0!</v>
      </c>
      <c r="CO132" s="3" t="e">
        <f>CN132</f>
        <v>#DIV/0!</v>
      </c>
      <c r="CP132" s="3" t="e">
        <f>CO132+CP302</f>
        <v>#DIV/0!</v>
      </c>
      <c r="CQ132" s="3" t="e">
        <f>CP132+CQ302</f>
        <v>#DIV/0!</v>
      </c>
      <c r="CR132" s="3" t="e">
        <f>CQ132+CR302</f>
        <v>#DIV/0!</v>
      </c>
      <c r="CS132" s="3" t="e">
        <f>CR132+CS302</f>
        <v>#DIV/0!</v>
      </c>
      <c r="CT132" s="3" t="e">
        <f>CS132</f>
        <v>#DIV/0!</v>
      </c>
      <c r="CU132" s="3" t="e">
        <f>CT132+CU302</f>
        <v>#DIV/0!</v>
      </c>
      <c r="CV132" s="3" t="e">
        <f>CU132+CV302</f>
        <v>#DIV/0!</v>
      </c>
      <c r="CW132" s="3" t="e">
        <f>CV132+CW302</f>
        <v>#DIV/0!</v>
      </c>
      <c r="CX132" s="3" t="e">
        <f>CW132+CX302</f>
        <v>#DIV/0!</v>
      </c>
      <c r="CY132" s="3" t="e">
        <f>CX132</f>
        <v>#DIV/0!</v>
      </c>
    </row>
    <row r="133">
      <c r="C133" s="26" t="inlineStr">
        <is>
          <t>Accounts receivable</t>
        </is>
      </c>
      <c r="D133" s="25">
        <f>INDEX('Inputs (2)'!$D$16:$AL$16,MATCH(D$7,'Inputs (2)'!$D$2:$AL$2,0))</f>
        <v>3211</v>
      </c>
      <c r="E133" s="25">
        <f>INDEX('Inputs (2)'!$D$16:$AL$16,MATCH(E$7,'Inputs (2)'!$D$2:$AL$2,0))</f>
        <v>2684</v>
      </c>
      <c r="F133" s="25">
        <f>INDEX('Inputs (2)'!$D$16:$AL$16,MATCH(F$7,'Inputs (2)'!$D$2:$AL$2,0))</f>
        <v>2297</v>
      </c>
      <c r="G133" s="25">
        <f>INDEX('Inputs (2)'!$D$16:$AL$16,MATCH(G$7,'Inputs (2)'!$D$2:$AL$2,0))</f>
        <v>2524</v>
      </c>
      <c r="H133" s="3">
        <f>G133</f>
        <v>2524</v>
      </c>
      <c r="I133" s="25">
        <f>INDEX('Inputs (2)'!$D$16:$AL$16,MATCH(I$7,'Inputs (2)'!$D$2:$AL$2,0))</f>
        <v>2425</v>
      </c>
      <c r="J133" s="25">
        <f>INDEX('Inputs (2)'!$D$16:$AL$16,MATCH(J$7,'Inputs (2)'!$D$2:$AL$2,0))</f>
        <v>2234</v>
      </c>
      <c r="K133" s="25">
        <f>INDEX('Inputs (2)'!$D$16:$AL$16,MATCH(K$7,'Inputs (2)'!$D$2:$AL$2,0))</f>
        <v>2071</v>
      </c>
      <c r="L133" s="25">
        <f>INDEX('Inputs (2)'!$D$16:$AL$16,MATCH(L$7,'Inputs (2)'!$D$2:$AL$2,0))</f>
        <v>2539</v>
      </c>
      <c r="M133" s="3">
        <f>L133</f>
        <v>2539</v>
      </c>
      <c r="N133" s="25">
        <f>INDEX('Inputs (2)'!$D$16:$AL$16,MATCH(N$7,'Inputs (2)'!$D$2:$AL$2,0))</f>
        <v>3083</v>
      </c>
      <c r="O133" s="25">
        <f>INDEX('Inputs (2)'!$D$16:$AL$16,MATCH(O$7,'Inputs (2)'!$D$2:$AL$2,0))</f>
        <v>2708</v>
      </c>
      <c r="P133" s="25">
        <f>INDEX('Inputs (2)'!$D$16:$AL$16,MATCH(P$7,'Inputs (2)'!$D$2:$AL$2,0))</f>
        <v>2958</v>
      </c>
      <c r="Q133" s="25">
        <f>INDEX('Inputs (2)'!$D$16:$AL$16,MATCH(Q$7,'Inputs (2)'!$D$2:$AL$2,0))</f>
        <v>3234</v>
      </c>
      <c r="R133" s="3">
        <f>Q133</f>
        <v>3234</v>
      </c>
      <c r="S133" s="25">
        <f>INDEX('Inputs (2)'!$D$16:$AL$16,MATCH(S$7,'Inputs (2)'!$D$2:$AL$2,0))</f>
        <v>3031</v>
      </c>
      <c r="T133" s="25">
        <f>INDEX('Inputs (2)'!$D$16:$AL$16,MATCH(T$7,'Inputs (2)'!$D$2:$AL$2,0))</f>
        <v>2914</v>
      </c>
      <c r="U133" s="25">
        <f>INDEX('Inputs (2)'!$D$16:$AL$16,MATCH(U$7,'Inputs (2)'!$D$2:$AL$2,0))</f>
        <v>3154</v>
      </c>
      <c r="V133" s="25">
        <f>INDEX('Inputs (2)'!$D$16:$AL$16,MATCH(V$7,'Inputs (2)'!$D$2:$AL$2,0))</f>
        <v>4969</v>
      </c>
      <c r="W133" s="3">
        <f>V133</f>
        <v>4969</v>
      </c>
      <c r="X133" s="25">
        <f>INDEX('Inputs (2)'!$D$16:$AL$16,MATCH(X$7,'Inputs (2)'!$D$2:$AL$2,0))</f>
        <v>5500</v>
      </c>
      <c r="Y133" s="25">
        <f>INDEX('Inputs (2)'!$D$16:$AL$16,MATCH(Y$7,'Inputs (2)'!$D$2:$AL$2,0))</f>
        <v>4665</v>
      </c>
      <c r="Z133" s="25">
        <f>INDEX('Inputs (2)'!$D$16:$AL$16,MATCH(Z$7,'Inputs (2)'!$D$2:$AL$2,0))</f>
        <v>4416</v>
      </c>
      <c r="AA133" s="25">
        <f>INDEX('Inputs (2)'!$D$16:$AL$16,MATCH(AA$7,'Inputs (2)'!$D$2:$AL$2,0))</f>
        <v>4955</v>
      </c>
      <c r="AB133" s="3">
        <f>AA133</f>
        <v>4955</v>
      </c>
      <c r="AC133" s="25">
        <f>INDEX('Inputs (2)'!$D$16:$AL$16,MATCH(AC$7,'Inputs (2)'!$D$2:$AL$2,0))</f>
        <v>5563</v>
      </c>
      <c r="AD133" s="25">
        <f>INDEX('Inputs (2)'!$D$16:$AL$16,MATCH(AD$7,'Inputs (2)'!$D$2:$AL$2,0))</f>
        <v>6494</v>
      </c>
      <c r="AE133" s="25">
        <f>INDEX('Inputs (2)'!$D$16:$AL$16,MATCH(AE$7,'Inputs (2)'!$D$2:$AL$2,0))</f>
        <v>7145</v>
      </c>
      <c r="AF133" s="25">
        <f>INDEX('Inputs (2)'!$D$16:$AL$16,MATCH(AF$7,'Inputs (2)'!$D$2:$AL$2,0))</f>
        <v>8460</v>
      </c>
      <c r="AG133" s="3">
        <f>AF133</f>
        <v>8460</v>
      </c>
      <c r="AH133" s="3">
        <f>INDEX('Inputs (2)'!$D$16:$AL$16,MATCH(AH$7,'Inputs (2)'!$D$2:$AL$2,0))</f>
        <v>10830</v>
      </c>
      <c r="AI133" s="3">
        <f>INDEX('Inputs (2)'!$D$16:$AL$16,MATCH(AI$7,'Inputs (2)'!$D$2:$AL$2,0))</f>
        <v>13707</v>
      </c>
      <c r="AJ133" s="3">
        <f>(AJ134/(AJ$5-AI$5))*AJ$15</f>
        <v>0</v>
      </c>
      <c r="AK133" s="3">
        <f>(AK134/(AK$5-AJ$5))*AK$15</f>
        <v>0</v>
      </c>
      <c r="AL133" s="3">
        <f>AK133</f>
        <v>0</v>
      </c>
      <c r="AM133" s="3">
        <f>(AM134/(AM$5-AL$5))*AM$15</f>
        <v>0</v>
      </c>
      <c r="AN133" s="3">
        <f>(AN134/(AN$5-AM$5))*AN$15</f>
        <v>0</v>
      </c>
      <c r="AO133" s="3">
        <f>(AO134/(AO$5-AN$5))*AO$15</f>
        <v>0</v>
      </c>
      <c r="AP133" s="3">
        <f>(AP134/(AP$5-AO$5))*AP$15</f>
        <v>0</v>
      </c>
      <c r="AQ133" s="3">
        <f>AP133</f>
        <v>0</v>
      </c>
      <c r="AR133" s="3">
        <f>(AR134/(AR$5-AQ$5))*AR$15</f>
        <v>0</v>
      </c>
      <c r="AS133" s="3">
        <f>(AS134/(AS$5-AR$5))*AS$15</f>
        <v>0</v>
      </c>
      <c r="AT133" s="3">
        <f>(AT134/(AT$5-AS$5))*AT$15</f>
        <v>0</v>
      </c>
      <c r="AU133" s="3">
        <f>(AU134/(AU$5-AT$5))*AU$15</f>
        <v>0</v>
      </c>
      <c r="AV133" s="3">
        <f>AU133</f>
        <v>0</v>
      </c>
      <c r="AW133" s="3">
        <f>(AW134/(AW$5-AV$5))*AW$15</f>
        <v>0</v>
      </c>
      <c r="AX133" s="3">
        <f>(AX134/(AX$5-AW$5))*AX$15</f>
        <v>0</v>
      </c>
      <c r="AY133" s="3">
        <f>(AY134/(AY$5-AX$5))*AY$15</f>
        <v>0</v>
      </c>
      <c r="AZ133" s="3">
        <f>(AZ134/(AZ$5-AY$5))*AZ$15</f>
        <v>0</v>
      </c>
      <c r="BA133" s="3">
        <f>AZ133</f>
        <v>0</v>
      </c>
      <c r="BB133" s="3">
        <f>(BB134/(BB$5-BA$5))*BB$15</f>
        <v>0</v>
      </c>
      <c r="BC133" s="3">
        <f>(BC134/(BC$5-BB$5))*BC$15</f>
        <v>0</v>
      </c>
      <c r="BD133" s="3">
        <f>(BD134/(BD$5-BC$5))*BD$15</f>
        <v>0</v>
      </c>
      <c r="BE133" s="3">
        <f>(BE134/(BE$5-BD$5))*BE$15</f>
        <v>0</v>
      </c>
      <c r="BF133" s="3">
        <f>BE133</f>
        <v>0</v>
      </c>
      <c r="BG133" s="3">
        <f>(BG134/(BG$5-BF$5))*BG$15</f>
        <v>0</v>
      </c>
      <c r="BH133" s="3">
        <f>(BH134/(BH$5-BG$5))*BH$15</f>
        <v>0</v>
      </c>
      <c r="BI133" s="3">
        <f>(BI134/(BI$5-BH$5))*BI$15</f>
        <v>0</v>
      </c>
      <c r="BJ133" s="3">
        <f>(BJ134/(BJ$5-BI$5))*BJ$15</f>
        <v>0</v>
      </c>
      <c r="BK133" s="3">
        <f>BJ133</f>
        <v>0</v>
      </c>
      <c r="BL133" s="3">
        <f>(BL134/(BL$5-BK$5))*BL$15</f>
        <v>0</v>
      </c>
      <c r="BM133" s="3">
        <f>(BM134/(BM$5-BL$5))*BM$15</f>
        <v>0</v>
      </c>
      <c r="BN133" s="3">
        <f>(BN134/(BN$5-BM$5))*BN$15</f>
        <v>0</v>
      </c>
      <c r="BO133" s="3">
        <f>(BO134/(BO$5-BN$5))*BO$15</f>
        <v>0</v>
      </c>
      <c r="BP133" s="3">
        <f>BO133</f>
        <v>0</v>
      </c>
      <c r="BQ133" s="3">
        <f>(BQ134/(BQ$5-BP$5))*BQ$15</f>
        <v>0</v>
      </c>
      <c r="BR133" s="3">
        <f>(BR134/(BR$5-BQ$5))*BR$15</f>
        <v>0</v>
      </c>
      <c r="BS133" s="3">
        <f>(BS134/(BS$5-BR$5))*BS$15</f>
        <v>0</v>
      </c>
      <c r="BT133" s="3">
        <f>(BT134/(BT$5-BS$5))*BT$15</f>
        <v>0</v>
      </c>
      <c r="BU133" s="3">
        <f>BT133</f>
        <v>0</v>
      </c>
      <c r="BV133" s="3">
        <f>(BV134/(BV$5-BU$5))*BV$15</f>
        <v>0</v>
      </c>
      <c r="BW133" s="3">
        <f>(BW134/(BW$5-BV$5))*BW$15</f>
        <v>0</v>
      </c>
      <c r="BX133" s="3">
        <f>(BX134/(BX$5-BW$5))*BX$15</f>
        <v>0</v>
      </c>
      <c r="BY133" s="3">
        <f>(BY134/(BY$5-BX$5))*BY$15</f>
        <v>0</v>
      </c>
      <c r="BZ133" s="3">
        <f>BY133</f>
        <v>0</v>
      </c>
      <c r="CA133" s="3">
        <f>(CA134/(CA$5-BZ$5))*CA$15</f>
        <v>0</v>
      </c>
      <c r="CB133" s="3">
        <f>(CB134/(CB$5-CA$5))*CB$15</f>
        <v>0</v>
      </c>
      <c r="CC133" s="3">
        <f>(CC134/(CC$5-CB$5))*CC$15</f>
        <v>0</v>
      </c>
      <c r="CD133" s="3">
        <f>(CD134/(CD$5-CC$5))*CD$15</f>
        <v>0</v>
      </c>
      <c r="CE133" s="3">
        <f>CD133</f>
        <v>0</v>
      </c>
      <c r="CF133" s="3">
        <f>(CF134/(CF$5-CE$5))*CF$15</f>
        <v>0</v>
      </c>
      <c r="CG133" s="3">
        <f>(CG134/(CG$5-CF$5))*CG$15</f>
        <v>0</v>
      </c>
      <c r="CH133" s="3">
        <f>(CH134/(CH$5-CG$5))*CH$15</f>
        <v>0</v>
      </c>
      <c r="CI133" s="3">
        <f>(CI134/(CI$5-CH$5))*CI$15</f>
        <v>0</v>
      </c>
      <c r="CJ133" s="3">
        <f>CI133</f>
        <v>0</v>
      </c>
      <c r="CK133" s="3">
        <f>(CK134/(CK$5-CJ$5))*CK$15</f>
        <v>0</v>
      </c>
      <c r="CL133" s="3">
        <f>(CL134/(CL$5-CK$5))*CL$15</f>
        <v>0</v>
      </c>
      <c r="CM133" s="3">
        <f>(CM134/(CM$5-CL$5))*CM$15</f>
        <v>0</v>
      </c>
      <c r="CN133" s="3">
        <f>(CN134/(CN$5-CM$5))*CN$15</f>
        <v>0</v>
      </c>
      <c r="CO133" s="3">
        <f>CN133</f>
        <v>0</v>
      </c>
      <c r="CP133" s="3">
        <f>(CP134/(CP$5-CO$5))*CP$15</f>
        <v>0</v>
      </c>
      <c r="CQ133" s="3">
        <f>(CQ134/(CQ$5-CP$5))*CQ$15</f>
        <v>0</v>
      </c>
      <c r="CR133" s="3">
        <f>(CR134/(CR$5-CQ$5))*CR$15</f>
        <v>0</v>
      </c>
      <c r="CS133" s="3">
        <f>(CS134/(CS$5-CR$5))*CS$15</f>
        <v>0</v>
      </c>
      <c r="CT133" s="3">
        <f>CS133</f>
        <v>0</v>
      </c>
      <c r="CU133" s="3">
        <f>(CU134/(CU$5-CT$5))*CU$15</f>
        <v>0</v>
      </c>
      <c r="CV133" s="3">
        <f>(CV134/(CV$5-CU$5))*CV$15</f>
        <v>0</v>
      </c>
      <c r="CW133" s="3">
        <f>(CW134/(CW$5-CV$5))*CW$15</f>
        <v>0</v>
      </c>
      <c r="CX133" s="3">
        <f>(CX134/(CX$5-CW$5))*CX$15</f>
        <v>0</v>
      </c>
      <c r="CY133" s="3">
        <f>CX133</f>
        <v>0</v>
      </c>
    </row>
    <row r="134" hidden="1" outlineLevel="1">
      <c r="C134" s="34" t="inlineStr">
        <is>
          <t>DSO</t>
        </is>
      </c>
      <c r="D134" s="3" t="n"/>
      <c r="E134" s="3">
        <f>(E133/E$15)*(E$5-D$5)</f>
        <v>41.9591135543721</v>
      </c>
      <c r="F134" s="3">
        <f>(F133/F$15)*(F$5-E$5)</f>
        <v>32.6772846760476</v>
      </c>
      <c r="G134" s="3">
        <f>(G133/G$15)*(G$5-F$5)</f>
        <v>34.8922614575507</v>
      </c>
      <c r="H134" s="3" t="n"/>
      <c r="I134" s="3">
        <f>(I133/I$15)*(I$5-H$5)</f>
        <v>33.018154311649</v>
      </c>
      <c r="J134" s="3">
        <f>(J133/J$15)*(J$5-I$5)</f>
        <v>29.9932133372676</v>
      </c>
      <c r="K134" s="3">
        <f>(K133/K$15)*(K$5-J$5)</f>
        <v>25.7232347779128</v>
      </c>
      <c r="L134" s="3">
        <f>(L133/L$15)*(L$5-K$5)</f>
        <v>30.3124837788736</v>
      </c>
      <c r="M134" s="3" t="n"/>
      <c r="N134" s="3">
        <f>(N133/N$15)*(N$5-M$5)</f>
        <v>34.2428730099963</v>
      </c>
      <c r="O134" s="3">
        <f>(O133/O$15)*(O$5-N$5)</f>
        <v>29.1148393194707</v>
      </c>
      <c r="P134" s="3">
        <f>(P133/P$15)*(P$5-O$5)</f>
        <v>30.4743561030235</v>
      </c>
      <c r="Q134" s="3">
        <f>(Q133/Q$15)*(Q$5-P$5)</f>
        <v>33.373864273696</v>
      </c>
      <c r="R134" s="3" t="n"/>
      <c r="S134" s="3">
        <f>(S133/S$15)*(S$5-R$5)</f>
        <v>31.2366884232223</v>
      </c>
      <c r="T134" s="3">
        <f>(T133/T$15)*(T$5-S$5)</f>
        <v>29.8753943217666</v>
      </c>
      <c r="U134" s="3">
        <f>(U133/U$15)*(U$5-T$5)</f>
        <v>31.217643894567</v>
      </c>
      <c r="V134" s="3">
        <f>(V133/V$15)*(V$5-U$5)</f>
        <v>38.2198812808294</v>
      </c>
      <c r="W134" s="3" t="n"/>
      <c r="X134" s="3">
        <f>(X133/X$15)*(X$5-W$5)</f>
        <v>40.0816849523504</v>
      </c>
      <c r="Y134" s="3">
        <f>(Y133/Y$15)*(Y$5-X$5)</f>
        <v>32.4751376988984</v>
      </c>
      <c r="Z134" s="3">
        <f>(Z133/Z$15)*(Z$5-Y$5)</f>
        <v>28.9079265689483</v>
      </c>
      <c r="AA134" s="3">
        <f>(AA133/AA$15)*(AA$5-Z$5)</f>
        <v>30.56181281845</v>
      </c>
      <c r="AB134" s="3" t="n"/>
      <c r="AC134" s="3">
        <f>(AC133/AC$15)*(AC$5-AB$5)</f>
        <v>33.3691015729139</v>
      </c>
      <c r="AD134" s="3">
        <f>(AD133/AD$15)*(AD$5-AC$5)</f>
        <v>37.0457622868606</v>
      </c>
      <c r="AE134" s="3">
        <f>(AE133/AE$15)*(AE$5-AD$5)</f>
        <v>36.488481820705</v>
      </c>
      <c r="AF134" s="6">
        <f>(AF133/AF$15)*(AF$5-AE$5)</f>
        <v>40.3044896691005</v>
      </c>
      <c r="AG134" s="3" t="n"/>
      <c r="AH134" s="6">
        <f>(AH133/AH$15)*(AH$5-AG$5)</f>
        <v>43.9311308423852</v>
      </c>
      <c r="AI134" s="6">
        <f>(AI133/AI$15)*(AI$5-AH$5)</f>
        <v>42.152580176405</v>
      </c>
      <c r="AJ134" s="6" t="n"/>
      <c r="AK134" s="6" t="n"/>
      <c r="AL134" s="3" t="n"/>
      <c r="AM134" s="6" t="n"/>
      <c r="AN134" s="6" t="n"/>
      <c r="AO134" s="6" t="n"/>
      <c r="AP134" s="6" t="n"/>
      <c r="AQ134" s="3" t="n"/>
      <c r="AR134" s="6" t="n"/>
      <c r="AS134" s="6" t="n"/>
      <c r="AT134" s="6" t="n"/>
      <c r="AU134" s="6" t="n"/>
      <c r="AV134" s="3" t="n"/>
      <c r="AW134" s="6" t="n"/>
      <c r="AX134" s="6" t="n"/>
      <c r="AY134" s="6" t="n"/>
      <c r="AZ134" s="6" t="n"/>
      <c r="BA134" s="3" t="n"/>
      <c r="BB134" s="6" t="n"/>
      <c r="BC134" s="6" t="n"/>
      <c r="BD134" s="6" t="n"/>
      <c r="BE134" s="6" t="n"/>
      <c r="BF134" s="3" t="n"/>
      <c r="BG134" s="6" t="n"/>
      <c r="BH134" s="6" t="n"/>
      <c r="BI134" s="6" t="n"/>
      <c r="BJ134" s="6" t="n"/>
      <c r="BK134" s="3" t="n"/>
      <c r="BL134" s="6" t="n"/>
      <c r="BM134" s="6" t="n"/>
      <c r="BN134" s="6" t="n"/>
      <c r="BO134" s="6" t="n"/>
      <c r="BP134" s="3" t="n"/>
      <c r="BQ134" s="6" t="n"/>
      <c r="BR134" s="6" t="n"/>
      <c r="BS134" s="6" t="n"/>
      <c r="BT134" s="6" t="n"/>
      <c r="BU134" s="3" t="n"/>
      <c r="BV134" s="6" t="n"/>
      <c r="BW134" s="6" t="n"/>
      <c r="BX134" s="6" t="n"/>
      <c r="BY134" s="6" t="n"/>
      <c r="BZ134" s="3" t="n"/>
      <c r="CA134" s="6" t="n"/>
      <c r="CB134" s="6" t="n"/>
      <c r="CC134" s="6" t="n"/>
      <c r="CD134" s="6" t="n"/>
      <c r="CE134" s="3" t="n"/>
      <c r="CF134" s="6" t="n"/>
      <c r="CG134" s="6" t="n"/>
      <c r="CH134" s="6" t="n"/>
      <c r="CI134" s="6" t="n"/>
      <c r="CJ134" s="3" t="n"/>
      <c r="CK134" s="6" t="n"/>
      <c r="CL134" s="6" t="n"/>
      <c r="CM134" s="6" t="n"/>
      <c r="CN134" s="6" t="n"/>
      <c r="CO134" s="3" t="n"/>
      <c r="CP134" s="6" t="n"/>
      <c r="CQ134" s="6" t="n"/>
      <c r="CR134" s="6" t="n"/>
      <c r="CS134" s="6" t="n"/>
      <c r="CT134" s="3" t="n"/>
      <c r="CU134" s="6" t="n"/>
      <c r="CV134" s="6" t="n"/>
      <c r="CW134" s="6" t="n"/>
      <c r="CX134" s="6" t="n"/>
      <c r="CY134" s="3" t="n"/>
    </row>
    <row r="135" hidden="1" outlineLevel="1">
      <c r="C135" s="34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  <c r="AA135" s="3" t="n"/>
      <c r="AB135" s="3" t="n"/>
      <c r="AC135" s="3" t="n"/>
      <c r="AD135" s="3" t="n"/>
      <c r="AE135" s="3" t="n"/>
      <c r="AF135" s="3" t="n"/>
      <c r="AG135" s="3" t="n"/>
      <c r="AH135" s="3" t="n"/>
      <c r="AI135" s="3" t="n"/>
      <c r="AJ135" s="3" t="n"/>
      <c r="AK135" s="3" t="n"/>
      <c r="AL135" s="3" t="n"/>
      <c r="AM135" s="3" t="n"/>
      <c r="AN135" s="3" t="n"/>
      <c r="AO135" s="3" t="n"/>
      <c r="AP135" s="3" t="n"/>
      <c r="AQ135" s="3" t="n"/>
      <c r="AR135" s="3" t="n"/>
      <c r="AS135" s="3" t="n"/>
      <c r="AT135" s="3" t="n"/>
      <c r="AU135" s="3" t="n"/>
      <c r="AV135" s="3" t="n"/>
      <c r="AW135" s="3" t="n"/>
      <c r="AX135" s="3" t="n"/>
      <c r="AY135" s="3" t="n"/>
      <c r="AZ135" s="3" t="n"/>
      <c r="BA135" s="3" t="n"/>
      <c r="BB135" s="3" t="n"/>
      <c r="BC135" s="3" t="n"/>
      <c r="BD135" s="3" t="n"/>
      <c r="BE135" s="3" t="n"/>
      <c r="BF135" s="3" t="n"/>
      <c r="BG135" s="3" t="n"/>
      <c r="BH135" s="3" t="n"/>
      <c r="BI135" s="3" t="n"/>
      <c r="BJ135" s="3" t="n"/>
      <c r="BK135" s="3" t="n"/>
      <c r="BL135" s="3" t="n"/>
      <c r="BM135" s="3" t="n"/>
      <c r="BN135" s="3" t="n"/>
      <c r="BO135" s="3" t="n"/>
      <c r="BP135" s="3" t="n"/>
      <c r="BQ135" s="3" t="n"/>
      <c r="BR135" s="3" t="n"/>
      <c r="BS135" s="3" t="n"/>
      <c r="BT135" s="3" t="n"/>
      <c r="BU135" s="3" t="n"/>
      <c r="BV135" s="3" t="n"/>
      <c r="BW135" s="3" t="n"/>
      <c r="BX135" s="3" t="n"/>
      <c r="BY135" s="3" t="n"/>
      <c r="BZ135" s="3" t="n"/>
      <c r="CA135" s="3" t="n"/>
      <c r="CB135" s="3" t="n"/>
      <c r="CC135" s="3" t="n"/>
      <c r="CD135" s="3" t="n"/>
      <c r="CE135" s="3" t="n"/>
      <c r="CF135" s="3" t="n"/>
      <c r="CG135" s="3" t="n"/>
      <c r="CH135" s="3" t="n"/>
      <c r="CI135" s="3" t="n"/>
      <c r="CJ135" s="3" t="n"/>
      <c r="CK135" s="3" t="n"/>
      <c r="CL135" s="3" t="n"/>
      <c r="CM135" s="3" t="n"/>
      <c r="CN135" s="3" t="n"/>
      <c r="CO135" s="3" t="n"/>
      <c r="CP135" s="3" t="n"/>
      <c r="CQ135" s="3" t="n"/>
      <c r="CR135" s="3" t="n"/>
      <c r="CS135" s="3" t="n"/>
      <c r="CT135" s="3" t="n"/>
      <c r="CU135" s="3" t="n"/>
      <c r="CV135" s="3" t="n"/>
      <c r="CW135" s="3" t="n"/>
      <c r="CX135" s="3" t="n"/>
      <c r="CY135" s="3" t="n"/>
    </row>
    <row r="136" hidden="1" outlineLevel="1">
      <c r="C136" s="34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  <c r="AA136" s="3" t="n"/>
      <c r="AB136" s="3" t="n"/>
      <c r="AC136" s="3" t="n"/>
      <c r="AD136" s="3" t="n"/>
      <c r="AE136" s="3" t="n"/>
      <c r="AF136" s="3" t="n"/>
      <c r="AG136" s="3" t="n"/>
      <c r="AH136" s="3" t="n"/>
      <c r="AI136" s="3" t="n"/>
      <c r="AJ136" s="3" t="n"/>
      <c r="AK136" s="3" t="n"/>
      <c r="AL136" s="3" t="n"/>
      <c r="AM136" s="3" t="n"/>
      <c r="AN136" s="3" t="n"/>
      <c r="AO136" s="3" t="n"/>
      <c r="AP136" s="3" t="n"/>
      <c r="AQ136" s="3" t="n"/>
      <c r="AR136" s="3" t="n"/>
      <c r="AS136" s="3" t="n"/>
      <c r="AT136" s="3" t="n"/>
      <c r="AU136" s="3" t="n"/>
      <c r="AV136" s="3" t="n"/>
      <c r="AW136" s="3" t="n"/>
      <c r="AX136" s="3" t="n"/>
      <c r="AY136" s="3" t="n"/>
      <c r="AZ136" s="3" t="n"/>
      <c r="BA136" s="3" t="n"/>
      <c r="BB136" s="3" t="n"/>
      <c r="BC136" s="3" t="n"/>
      <c r="BD136" s="3" t="n"/>
      <c r="BE136" s="3" t="n"/>
      <c r="BF136" s="3" t="n"/>
      <c r="BG136" s="3" t="n"/>
      <c r="BH136" s="3" t="n"/>
      <c r="BI136" s="3" t="n"/>
      <c r="BJ136" s="3" t="n"/>
      <c r="BK136" s="3" t="n"/>
      <c r="BL136" s="3" t="n"/>
      <c r="BM136" s="3" t="n"/>
      <c r="BN136" s="3" t="n"/>
      <c r="BO136" s="3" t="n"/>
      <c r="BP136" s="3" t="n"/>
      <c r="BQ136" s="3" t="n"/>
      <c r="BR136" s="3" t="n"/>
      <c r="BS136" s="3" t="n"/>
      <c r="BT136" s="3" t="n"/>
      <c r="BU136" s="3" t="n"/>
      <c r="BV136" s="3" t="n"/>
      <c r="BW136" s="3" t="n"/>
      <c r="BX136" s="3" t="n"/>
      <c r="BY136" s="3" t="n"/>
      <c r="BZ136" s="3" t="n"/>
      <c r="CA136" s="3" t="n"/>
      <c r="CB136" s="3" t="n"/>
      <c r="CC136" s="3" t="n"/>
      <c r="CD136" s="3" t="n"/>
      <c r="CE136" s="3" t="n"/>
      <c r="CF136" s="3" t="n"/>
      <c r="CG136" s="3" t="n"/>
      <c r="CH136" s="3" t="n"/>
      <c r="CI136" s="3" t="n"/>
      <c r="CJ136" s="3" t="n"/>
      <c r="CK136" s="3" t="n"/>
      <c r="CL136" s="3" t="n"/>
      <c r="CM136" s="3" t="n"/>
      <c r="CN136" s="3" t="n"/>
      <c r="CO136" s="3" t="n"/>
      <c r="CP136" s="3" t="n"/>
      <c r="CQ136" s="3" t="n"/>
      <c r="CR136" s="3" t="n"/>
      <c r="CS136" s="3" t="n"/>
      <c r="CT136" s="3" t="n"/>
      <c r="CU136" s="3" t="n"/>
      <c r="CV136" s="3" t="n"/>
      <c r="CW136" s="3" t="n"/>
      <c r="CX136" s="3" t="n"/>
      <c r="CY136" s="3" t="n"/>
    </row>
    <row r="137" collapsed="1">
      <c r="C137" s="26" t="inlineStr">
        <is>
          <t>Inventories</t>
        </is>
      </c>
      <c r="D137" s="25">
        <f>INDEX('Inputs (2)'!$D$17:$AL$17,MATCH(D$7,'Inputs (2)'!$D$2:$AL$2,0))</f>
        <v>953</v>
      </c>
      <c r="E137" s="25">
        <f>INDEX('Inputs (2)'!$D$17:$AL$17,MATCH(E$7,'Inputs (2)'!$D$2:$AL$2,0))</f>
        <v>1081</v>
      </c>
      <c r="F137" s="25">
        <f>INDEX('Inputs (2)'!$D$17:$AL$17,MATCH(F$7,'Inputs (2)'!$D$2:$AL$2,0))</f>
        <v>1003</v>
      </c>
      <c r="G137" s="25">
        <f>INDEX('Inputs (2)'!$D$17:$AL$17,MATCH(G$7,'Inputs (2)'!$D$2:$AL$2,0))</f>
        <v>952</v>
      </c>
      <c r="H137" s="3">
        <f>G137</f>
        <v>952</v>
      </c>
      <c r="I137" s="25">
        <f>INDEX('Inputs (2)'!$D$17:$AL$17,MATCH(I$7,'Inputs (2)'!$D$2:$AL$2,0))</f>
        <v>1004</v>
      </c>
      <c r="J137" s="25">
        <f>INDEX('Inputs (2)'!$D$17:$AL$17,MATCH(J$7,'Inputs (2)'!$D$2:$AL$2,0))</f>
        <v>1160</v>
      </c>
      <c r="K137" s="25">
        <f>INDEX('Inputs (2)'!$D$17:$AL$17,MATCH(K$7,'Inputs (2)'!$D$2:$AL$2,0))</f>
        <v>1297</v>
      </c>
      <c r="L137" s="25">
        <f>INDEX('Inputs (2)'!$D$17:$AL$17,MATCH(L$7,'Inputs (2)'!$D$2:$AL$2,0))</f>
        <v>1520</v>
      </c>
      <c r="M137" s="3">
        <f>L137</f>
        <v>1520</v>
      </c>
      <c r="N137" s="25">
        <f>INDEX('Inputs (2)'!$D$17:$AL$17,MATCH(N$7,'Inputs (2)'!$D$2:$AL$2,0))</f>
        <v>1668</v>
      </c>
      <c r="O137" s="25">
        <f>INDEX('Inputs (2)'!$D$17:$AL$17,MATCH(O$7,'Inputs (2)'!$D$2:$AL$2,0))</f>
        <v>1838</v>
      </c>
      <c r="P137" s="25">
        <f>INDEX('Inputs (2)'!$D$17:$AL$17,MATCH(P$7,'Inputs (2)'!$D$2:$AL$2,0))</f>
        <v>1925</v>
      </c>
      <c r="Q137" s="25">
        <f>INDEX('Inputs (2)'!$D$17:$AL$17,MATCH(Q$7,'Inputs (2)'!$D$2:$AL$2,0))</f>
        <v>1899</v>
      </c>
      <c r="R137" s="3">
        <f>Q137</f>
        <v>1899</v>
      </c>
      <c r="S137" s="25">
        <f>INDEX('Inputs (2)'!$D$17:$AL$17,MATCH(S$7,'Inputs (2)'!$D$2:$AL$2,0))</f>
        <v>1886</v>
      </c>
      <c r="T137" s="25">
        <f>INDEX('Inputs (2)'!$D$17:$AL$17,MATCH(T$7,'Inputs (2)'!$D$2:$AL$2,0))</f>
        <v>1842</v>
      </c>
      <c r="U137" s="25">
        <f>INDEX('Inputs (2)'!$D$17:$AL$17,MATCH(U$7,'Inputs (2)'!$D$2:$AL$2,0))</f>
        <v>1898</v>
      </c>
      <c r="V137" s="25">
        <f>INDEX('Inputs (2)'!$D$17:$AL$17,MATCH(V$7,'Inputs (2)'!$D$2:$AL$2,0))</f>
        <v>1920</v>
      </c>
      <c r="W137" s="3">
        <f>V137</f>
        <v>1920</v>
      </c>
      <c r="X137" s="25">
        <f>INDEX('Inputs (2)'!$D$17:$AL$17,MATCH(X$7,'Inputs (2)'!$D$2:$AL$2,0))</f>
        <v>1842</v>
      </c>
      <c r="Y137" s="25">
        <f>INDEX('Inputs (2)'!$D$17:$AL$17,MATCH(Y$7,'Inputs (2)'!$D$2:$AL$2,0))</f>
        <v>1894</v>
      </c>
      <c r="Z137" s="25">
        <f>INDEX('Inputs (2)'!$D$17:$AL$17,MATCH(Z$7,'Inputs (2)'!$D$2:$AL$2,0))</f>
        <v>1760</v>
      </c>
      <c r="AA137" s="25">
        <f>INDEX('Inputs (2)'!$D$17:$AL$17,MATCH(AA$7,'Inputs (2)'!$D$2:$AL$2,0))</f>
        <v>1908</v>
      </c>
      <c r="AB137" s="3">
        <f>AA137</f>
        <v>1908</v>
      </c>
      <c r="AC137" s="25">
        <f>INDEX('Inputs (2)'!$D$17:$AL$17,MATCH(AC$7,'Inputs (2)'!$D$2:$AL$2,0))</f>
        <v>2017</v>
      </c>
      <c r="AD137" s="25">
        <f>INDEX('Inputs (2)'!$D$17:$AL$17,MATCH(AD$7,'Inputs (2)'!$D$2:$AL$2,0))</f>
        <v>2180</v>
      </c>
      <c r="AE137" s="25">
        <f>INDEX('Inputs (2)'!$D$17:$AL$17,MATCH(AE$7,'Inputs (2)'!$D$2:$AL$2,0))</f>
        <v>2270</v>
      </c>
      <c r="AF137" s="25">
        <f>INDEX('Inputs (2)'!$D$17:$AL$17,MATCH(AF$7,'Inputs (2)'!$D$2:$AL$2,0))</f>
        <v>2962</v>
      </c>
      <c r="AG137" s="3">
        <f>AF137</f>
        <v>2962</v>
      </c>
      <c r="AH137" s="3">
        <f>INDEX('Inputs (2)'!$D$17:$AL$17,MATCH(AH$7,'Inputs (2)'!$D$2:$AL$2,0))</f>
        <v>4328</v>
      </c>
      <c r="AI137" s="3">
        <f>INDEX('Inputs (2)'!$D$17:$AL$17,MATCH(AI$7,'Inputs (2)'!$D$2:$AL$2,0))</f>
        <v>4523</v>
      </c>
      <c r="AJ137" s="3">
        <f>(AJ138/(AJ$5-AI$5))*-AJ$42</f>
        <v>0</v>
      </c>
      <c r="AK137" s="3">
        <f>(AK138/(AK$5-AJ$5))*-AK$42</f>
        <v>0</v>
      </c>
      <c r="AL137" s="3">
        <f>AK137</f>
        <v>0</v>
      </c>
      <c r="AM137" s="3">
        <f>(AM138/(AM$5-AL$5))*-AM$42</f>
        <v>0</v>
      </c>
      <c r="AN137" s="3">
        <f>(AN138/(AN$5-AM$5))*-AN$42</f>
        <v>0</v>
      </c>
      <c r="AO137" s="3">
        <f>(AO138/(AO$5-AN$5))*-AO$42</f>
        <v>0</v>
      </c>
      <c r="AP137" s="3">
        <f>(AP138/(AP$5-AO$5))*-AP$42</f>
        <v>0</v>
      </c>
      <c r="AQ137" s="3">
        <f>AP137</f>
        <v>0</v>
      </c>
      <c r="AR137" s="3">
        <f>(AR138/(AR$5-AQ$5))*-AR$42</f>
        <v>0</v>
      </c>
      <c r="AS137" s="3">
        <f>(AS138/(AS$5-AR$5))*-AS$42</f>
        <v>0</v>
      </c>
      <c r="AT137" s="3">
        <f>(AT138/(AT$5-AS$5))*-AT$42</f>
        <v>0</v>
      </c>
      <c r="AU137" s="3">
        <f>(AU138/(AU$5-AT$5))*-AU$42</f>
        <v>0</v>
      </c>
      <c r="AV137" s="3">
        <f>AU137</f>
        <v>0</v>
      </c>
      <c r="AW137" s="3">
        <f>(AW138/(AW$5-AV$5))*-AW$42</f>
        <v>0</v>
      </c>
      <c r="AX137" s="3">
        <f>(AX138/(AX$5-AW$5))*-AX$42</f>
        <v>0</v>
      </c>
      <c r="AY137" s="3">
        <f>(AY138/(AY$5-AX$5))*-AY$42</f>
        <v>0</v>
      </c>
      <c r="AZ137" s="3">
        <f>(AZ138/(AZ$5-AY$5))*-AZ$42</f>
        <v>0</v>
      </c>
      <c r="BA137" s="3">
        <f>AZ137</f>
        <v>0</v>
      </c>
      <c r="BB137" s="3">
        <f>(BB138/(BB$5-BA$5))*-BB$42</f>
        <v>0</v>
      </c>
      <c r="BC137" s="3">
        <f>(BC138/(BC$5-BB$5))*-BC$42</f>
        <v>0</v>
      </c>
      <c r="BD137" s="3">
        <f>(BD138/(BD$5-BC$5))*-BD$42</f>
        <v>0</v>
      </c>
      <c r="BE137" s="3">
        <f>(BE138/(BE$5-BD$5))*-BE$42</f>
        <v>0</v>
      </c>
      <c r="BF137" s="3">
        <f>BE137</f>
        <v>0</v>
      </c>
      <c r="BG137" s="3">
        <f>(BG138/(BG$5-BF$5))*-BG$42</f>
        <v>0</v>
      </c>
      <c r="BH137" s="3">
        <f>(BH138/(BH$5-BG$5))*-BH$42</f>
        <v>0</v>
      </c>
      <c r="BI137" s="3">
        <f>(BI138/(BI$5-BH$5))*-BI$42</f>
        <v>0</v>
      </c>
      <c r="BJ137" s="3">
        <f>(BJ138/(BJ$5-BI$5))*-BJ$42</f>
        <v>0</v>
      </c>
      <c r="BK137" s="3">
        <f>BJ137</f>
        <v>0</v>
      </c>
      <c r="BL137" s="3">
        <f>(BL138/(BL$5-BK$5))*-BL$42</f>
        <v>0</v>
      </c>
      <c r="BM137" s="3">
        <f>(BM138/(BM$5-BL$5))*-BM$42</f>
        <v>0</v>
      </c>
      <c r="BN137" s="3">
        <f>(BN138/(BN$5-BM$5))*-BN$42</f>
        <v>0</v>
      </c>
      <c r="BO137" s="3">
        <f>(BO138/(BO$5-BN$5))*-BO$42</f>
        <v>0</v>
      </c>
      <c r="BP137" s="3">
        <f>BO137</f>
        <v>0</v>
      </c>
      <c r="BQ137" s="3">
        <f>(BQ138/(BQ$5-BP$5))*-BQ$42</f>
        <v>0</v>
      </c>
      <c r="BR137" s="3">
        <f>(BR138/(BR$5-BQ$5))*-BR$42</f>
        <v>0</v>
      </c>
      <c r="BS137" s="3">
        <f>(BS138/(BS$5-BR$5))*-BS$42</f>
        <v>0</v>
      </c>
      <c r="BT137" s="3">
        <f>(BT138/(BT$5-BS$5))*-BT$42</f>
        <v>0</v>
      </c>
      <c r="BU137" s="3">
        <f>BT137</f>
        <v>0</v>
      </c>
      <c r="BV137" s="3">
        <f>(BV138/(BV$5-BU$5))*-BV$42</f>
        <v>0</v>
      </c>
      <c r="BW137" s="3">
        <f>(BW138/(BW$5-BV$5))*-BW$42</f>
        <v>0</v>
      </c>
      <c r="BX137" s="3">
        <f>(BX138/(BX$5-BW$5))*-BX$42</f>
        <v>0</v>
      </c>
      <c r="BY137" s="3">
        <f>(BY138/(BY$5-BX$5))*-BY$42</f>
        <v>0</v>
      </c>
      <c r="BZ137" s="3">
        <f>BY137</f>
        <v>0</v>
      </c>
      <c r="CA137" s="3">
        <f>(CA138/(CA$5-BZ$5))*-CA$42</f>
        <v>0</v>
      </c>
      <c r="CB137" s="3">
        <f>(CB138/(CB$5-CA$5))*-CB$42</f>
        <v>0</v>
      </c>
      <c r="CC137" s="3">
        <f>(CC138/(CC$5-CB$5))*-CC$42</f>
        <v>0</v>
      </c>
      <c r="CD137" s="3">
        <f>(CD138/(CD$5-CC$5))*-CD$42</f>
        <v>0</v>
      </c>
      <c r="CE137" s="3">
        <f>CD137</f>
        <v>0</v>
      </c>
      <c r="CF137" s="3">
        <f>(CF138/(CF$5-CE$5))*-CF$42</f>
        <v>0</v>
      </c>
      <c r="CG137" s="3">
        <f>(CG138/(CG$5-CF$5))*-CG$42</f>
        <v>0</v>
      </c>
      <c r="CH137" s="3">
        <f>(CH138/(CH$5-CG$5))*-CH$42</f>
        <v>0</v>
      </c>
      <c r="CI137" s="3">
        <f>(CI138/(CI$5-CH$5))*-CI$42</f>
        <v>0</v>
      </c>
      <c r="CJ137" s="3">
        <f>CI137</f>
        <v>0</v>
      </c>
      <c r="CK137" s="3">
        <f>(CK138/(CK$5-CJ$5))*-CK$42</f>
        <v>0</v>
      </c>
      <c r="CL137" s="3">
        <f>(CL138/(CL$5-CK$5))*-CL$42</f>
        <v>0</v>
      </c>
      <c r="CM137" s="3">
        <f>(CM138/(CM$5-CL$5))*-CM$42</f>
        <v>0</v>
      </c>
      <c r="CN137" s="3">
        <f>(CN138/(CN$5-CM$5))*-CN$42</f>
        <v>0</v>
      </c>
      <c r="CO137" s="3">
        <f>CN137</f>
        <v>0</v>
      </c>
      <c r="CP137" s="3">
        <f>(CP138/(CP$5-CO$5))*-CP$42</f>
        <v>0</v>
      </c>
      <c r="CQ137" s="3">
        <f>(CQ138/(CQ$5-CP$5))*-CQ$42</f>
        <v>0</v>
      </c>
      <c r="CR137" s="3">
        <f>(CR138/(CR$5-CQ$5))*-CR$42</f>
        <v>0</v>
      </c>
      <c r="CS137" s="3">
        <f>(CS138/(CS$5-CR$5))*-CS$42</f>
        <v>0</v>
      </c>
      <c r="CT137" s="3">
        <f>CS137</f>
        <v>0</v>
      </c>
      <c r="CU137" s="3">
        <f>(CU138/(CU$5-CT$5))*-CU$42</f>
        <v>0</v>
      </c>
      <c r="CV137" s="3">
        <f>(CV138/(CV$5-CU$5))*-CV$42</f>
        <v>0</v>
      </c>
      <c r="CW137" s="3">
        <f>(CW138/(CW$5-CV$5))*-CW$42</f>
        <v>0</v>
      </c>
      <c r="CX137" s="3">
        <f>(CX138/(CX$5-CW$5))*-CX$42</f>
        <v>0</v>
      </c>
      <c r="CY137" s="3">
        <f>CX137</f>
        <v>0</v>
      </c>
    </row>
    <row r="138" hidden="1" outlineLevel="1">
      <c r="C138" s="34" t="inlineStr">
        <is>
          <t>DIO</t>
        </is>
      </c>
      <c r="D138" s="3" t="n"/>
      <c r="E138" s="3">
        <f>((E137/E$42)*(E$5-D$5))*-1</f>
        <v>39.2698602794411</v>
      </c>
      <c r="F138" s="3">
        <f>((F137/F$42)*(F$5-E$5))*-1</f>
        <v>33.925</v>
      </c>
      <c r="G138" s="3">
        <f>((G137/G$42)*(G$5-F$5))*-1</f>
        <v>32.4025157232704</v>
      </c>
      <c r="H138" s="3" t="n"/>
      <c r="I138" s="3">
        <f>((I137/I$42)*(I$5-H$5))*-1</f>
        <v>35.3936545240893</v>
      </c>
      <c r="J138" s="3">
        <f>((J137/J$42)*(J$5-I$5))*-1</f>
        <v>40.8988764044944</v>
      </c>
      <c r="K138" s="3">
        <f>((K137/K$42)*(K$5-J$5))*-1</f>
        <v>43.0928132899964</v>
      </c>
      <c r="L138" s="3">
        <f>((L137/L$42)*(L$5-K$5))*-1</f>
        <v>52.6307866014302</v>
      </c>
      <c r="M138" s="3" t="n"/>
      <c r="N138" s="3">
        <f>((N137/N$42)*(N$5-M$5))*-1</f>
        <v>56.3513513513514</v>
      </c>
      <c r="O138" s="3">
        <f>((O137/O$42)*(O$5-N$5))*-1</f>
        <v>60.099892202659</v>
      </c>
      <c r="P138" s="3">
        <f>((P137/P$42)*(P$5-O$5))*-1</f>
        <v>58.9547270306258</v>
      </c>
      <c r="Q138" s="3">
        <f>((Q137/Q$42)*(Q$5-P$5))*-1</f>
        <v>60.0164891789763</v>
      </c>
      <c r="R138" s="3" t="n"/>
      <c r="S138" s="3">
        <f>((S137/S$42)*(S$5-R$5))*-1</f>
        <v>64.8357524828113</v>
      </c>
      <c r="T138" s="3">
        <f>((T137/T$42)*(T$5-S$5))*-1</f>
        <v>61.8075221238938</v>
      </c>
      <c r="U138" s="3">
        <f>((U137/U$42)*(U$5-T$5))*-1</f>
        <v>60.4626038781163</v>
      </c>
      <c r="V138" s="3">
        <f>((V137/V$42)*(V$5-U$5))*-1</f>
        <v>38.517226341038</v>
      </c>
      <c r="W138" s="3" t="n"/>
      <c r="X138" s="3">
        <f>((X137/X$42)*(X$5-W$5))*-1</f>
        <v>35.5809806835067</v>
      </c>
      <c r="Y138" s="3">
        <f>((Y137/Y$42)*(Y$5-X$5))*-1</f>
        <v>36.5466497031383</v>
      </c>
      <c r="Z138" s="3">
        <f>((Z137/Z$42)*(Z$5-Y$5))*-1</f>
        <v>32.0506730007918</v>
      </c>
      <c r="AA138" s="3">
        <f>((AA137/AA$42)*(AA$5-Z$5))*-1</f>
        <v>36.7922867323412</v>
      </c>
      <c r="AB138" s="3" t="n"/>
      <c r="AC138" s="3">
        <f>((AC137/AC$42)*(AC$5-AB$5))*-1</f>
        <v>37.7636779696276</v>
      </c>
      <c r="AD138" s="3">
        <f>((AD137/AD$42)*(AD$5-AC$5))*-1</f>
        <v>37.7938654981901</v>
      </c>
      <c r="AE138" s="3">
        <f>((AE137/AE$42)*(AE$5-AD$5))*-1</f>
        <v>36.2192160943462</v>
      </c>
      <c r="AF138" s="6">
        <f>((AF137/AF$42)*(AF$5-AE$5))*-1</f>
        <v>44.2807929801755</v>
      </c>
      <c r="AG138" s="3" t="n"/>
      <c r="AH138" s="6">
        <f>((AH137/AH$42)*(AH$5-AG$5))*-1</f>
        <v>57.5191966922623</v>
      </c>
      <c r="AI138" s="6">
        <f>((AI137/AI$42)*(AI$5-AH$5))*-1</f>
        <v>45.0567049808429</v>
      </c>
      <c r="AJ138" s="6" t="n"/>
      <c r="AK138" s="6" t="n"/>
      <c r="AL138" s="3" t="n"/>
      <c r="AM138" s="6" t="n"/>
      <c r="AN138" s="6" t="n"/>
      <c r="AO138" s="6" t="n"/>
      <c r="AP138" s="6" t="n"/>
      <c r="AQ138" s="3" t="n"/>
      <c r="AR138" s="6" t="n"/>
      <c r="AS138" s="6" t="n"/>
      <c r="AT138" s="6" t="n"/>
      <c r="AU138" s="6" t="n"/>
      <c r="AV138" s="3" t="n"/>
      <c r="AW138" s="6" t="n"/>
      <c r="AX138" s="6" t="n"/>
      <c r="AY138" s="6" t="n"/>
      <c r="AZ138" s="6" t="n"/>
      <c r="BA138" s="3" t="n"/>
      <c r="BB138" s="6" t="n"/>
      <c r="BC138" s="6" t="n"/>
      <c r="BD138" s="6" t="n"/>
      <c r="BE138" s="6" t="n"/>
      <c r="BF138" s="3" t="n"/>
      <c r="BG138" s="6" t="n"/>
      <c r="BH138" s="6" t="n"/>
      <c r="BI138" s="6" t="n"/>
      <c r="BJ138" s="6" t="n"/>
      <c r="BK138" s="3" t="n"/>
      <c r="BL138" s="6" t="n"/>
      <c r="BM138" s="6" t="n"/>
      <c r="BN138" s="6" t="n"/>
      <c r="BO138" s="6" t="n"/>
      <c r="BP138" s="3" t="n"/>
      <c r="BQ138" s="6" t="n"/>
      <c r="BR138" s="6" t="n"/>
      <c r="BS138" s="6" t="n"/>
      <c r="BT138" s="6" t="n"/>
      <c r="BU138" s="3" t="n"/>
      <c r="BV138" s="6" t="n"/>
      <c r="BW138" s="6" t="n"/>
      <c r="BX138" s="6" t="n"/>
      <c r="BY138" s="6" t="n"/>
      <c r="BZ138" s="3" t="n"/>
      <c r="CA138" s="6" t="n"/>
      <c r="CB138" s="6" t="n"/>
      <c r="CC138" s="6" t="n"/>
      <c r="CD138" s="6" t="n"/>
      <c r="CE138" s="3" t="n"/>
      <c r="CF138" s="6" t="n"/>
      <c r="CG138" s="6" t="n"/>
      <c r="CH138" s="6" t="n"/>
      <c r="CI138" s="6" t="n"/>
      <c r="CJ138" s="3" t="n"/>
      <c r="CK138" s="6" t="n"/>
      <c r="CL138" s="6" t="n"/>
      <c r="CM138" s="6" t="n"/>
      <c r="CN138" s="6" t="n"/>
      <c r="CO138" s="3" t="n"/>
      <c r="CP138" s="6" t="n"/>
      <c r="CQ138" s="6" t="n"/>
      <c r="CR138" s="6" t="n"/>
      <c r="CS138" s="6" t="n"/>
      <c r="CT138" s="3" t="n"/>
      <c r="CU138" s="6" t="n"/>
      <c r="CV138" s="6" t="n"/>
      <c r="CW138" s="6" t="n"/>
      <c r="CX138" s="6" t="n"/>
      <c r="CY138" s="3" t="n"/>
    </row>
    <row r="139" hidden="1" outlineLevel="1">
      <c r="C139" s="34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  <c r="AA139" s="3" t="n"/>
      <c r="AB139" s="3" t="n"/>
      <c r="AC139" s="3" t="n"/>
      <c r="AD139" s="3" t="n"/>
      <c r="AE139" s="3" t="n"/>
      <c r="AF139" s="3" t="n"/>
      <c r="AG139" s="3" t="n"/>
      <c r="AH139" s="3" t="n"/>
      <c r="AI139" s="3" t="n"/>
      <c r="AJ139" s="3" t="n"/>
      <c r="AK139" s="3" t="n"/>
      <c r="AL139" s="3" t="n"/>
      <c r="AM139" s="3" t="n"/>
      <c r="AN139" s="3" t="n"/>
      <c r="AO139" s="3" t="n"/>
      <c r="AP139" s="3" t="n"/>
      <c r="AQ139" s="3" t="n"/>
      <c r="AR139" s="3" t="n"/>
      <c r="AS139" s="3" t="n"/>
      <c r="AT139" s="3" t="n"/>
      <c r="AU139" s="3" t="n"/>
      <c r="AV139" s="3" t="n"/>
      <c r="AW139" s="3" t="n"/>
      <c r="AX139" s="3" t="n"/>
      <c r="AY139" s="3" t="n"/>
      <c r="AZ139" s="3" t="n"/>
      <c r="BA139" s="3" t="n"/>
      <c r="BB139" s="3" t="n"/>
      <c r="BC139" s="3" t="n"/>
      <c r="BD139" s="3" t="n"/>
      <c r="BE139" s="3" t="n"/>
      <c r="BF139" s="3" t="n"/>
      <c r="BG139" s="3" t="n"/>
      <c r="BH139" s="3" t="n"/>
      <c r="BI139" s="3" t="n"/>
      <c r="BJ139" s="3" t="n"/>
      <c r="BK139" s="3" t="n"/>
      <c r="BL139" s="3" t="n"/>
      <c r="BM139" s="3" t="n"/>
      <c r="BN139" s="3" t="n"/>
      <c r="BO139" s="3" t="n"/>
      <c r="BP139" s="3" t="n"/>
      <c r="BQ139" s="3" t="n"/>
      <c r="BR139" s="3" t="n"/>
      <c r="BS139" s="3" t="n"/>
      <c r="BT139" s="3" t="n"/>
      <c r="BU139" s="3" t="n"/>
      <c r="BV139" s="3" t="n"/>
      <c r="BW139" s="3" t="n"/>
      <c r="BX139" s="3" t="n"/>
      <c r="BY139" s="3" t="n"/>
      <c r="BZ139" s="3" t="n"/>
      <c r="CA139" s="3" t="n"/>
      <c r="CB139" s="3" t="n"/>
      <c r="CC139" s="3" t="n"/>
      <c r="CD139" s="3" t="n"/>
      <c r="CE139" s="3" t="n"/>
      <c r="CF139" s="3" t="n"/>
      <c r="CG139" s="3" t="n"/>
      <c r="CH139" s="3" t="n"/>
      <c r="CI139" s="3" t="n"/>
      <c r="CJ139" s="3" t="n"/>
      <c r="CK139" s="3" t="n"/>
      <c r="CL139" s="3" t="n"/>
      <c r="CM139" s="3" t="n"/>
      <c r="CN139" s="3" t="n"/>
      <c r="CO139" s="3" t="n"/>
      <c r="CP139" s="3" t="n"/>
      <c r="CQ139" s="3" t="n"/>
      <c r="CR139" s="3" t="n"/>
      <c r="CS139" s="3" t="n"/>
      <c r="CT139" s="3" t="n"/>
      <c r="CU139" s="3" t="n"/>
      <c r="CV139" s="3" t="n"/>
      <c r="CW139" s="3" t="n"/>
      <c r="CX139" s="3" t="n"/>
      <c r="CY139" s="3" t="n"/>
    </row>
    <row r="140" hidden="1" outlineLevel="1">
      <c r="C140" s="34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  <c r="AA140" s="3" t="n"/>
      <c r="AB140" s="3" t="n"/>
      <c r="AC140" s="3" t="n"/>
      <c r="AD140" s="3" t="n"/>
      <c r="AE140" s="3" t="n"/>
      <c r="AF140" s="3" t="n"/>
      <c r="AG140" s="3" t="n"/>
      <c r="AH140" s="3" t="n"/>
      <c r="AI140" s="3" t="n"/>
      <c r="AJ140" s="3" t="n"/>
      <c r="AK140" s="3" t="n"/>
      <c r="AL140" s="3" t="n"/>
      <c r="AM140" s="3" t="n"/>
      <c r="AN140" s="3" t="n"/>
      <c r="AO140" s="3" t="n"/>
      <c r="AP140" s="3" t="n"/>
      <c r="AQ140" s="3" t="n"/>
      <c r="AR140" s="3" t="n"/>
      <c r="AS140" s="3" t="n"/>
      <c r="AT140" s="3" t="n"/>
      <c r="AU140" s="3" t="n"/>
      <c r="AV140" s="3" t="n"/>
      <c r="AW140" s="3" t="n"/>
      <c r="AX140" s="3" t="n"/>
      <c r="AY140" s="3" t="n"/>
      <c r="AZ140" s="3" t="n"/>
      <c r="BA140" s="3" t="n"/>
      <c r="BB140" s="3" t="n"/>
      <c r="BC140" s="3" t="n"/>
      <c r="BD140" s="3" t="n"/>
      <c r="BE140" s="3" t="n"/>
      <c r="BF140" s="3" t="n"/>
      <c r="BG140" s="3" t="n"/>
      <c r="BH140" s="3" t="n"/>
      <c r="BI140" s="3" t="n"/>
      <c r="BJ140" s="3" t="n"/>
      <c r="BK140" s="3" t="n"/>
      <c r="BL140" s="3" t="n"/>
      <c r="BM140" s="3" t="n"/>
      <c r="BN140" s="3" t="n"/>
      <c r="BO140" s="3" t="n"/>
      <c r="BP140" s="3" t="n"/>
      <c r="BQ140" s="3" t="n"/>
      <c r="BR140" s="3" t="n"/>
      <c r="BS140" s="3" t="n"/>
      <c r="BT140" s="3" t="n"/>
      <c r="BU140" s="3" t="n"/>
      <c r="BV140" s="3" t="n"/>
      <c r="BW140" s="3" t="n"/>
      <c r="BX140" s="3" t="n"/>
      <c r="BY140" s="3" t="n"/>
      <c r="BZ140" s="3" t="n"/>
      <c r="CA140" s="3" t="n"/>
      <c r="CB140" s="3" t="n"/>
      <c r="CC140" s="3" t="n"/>
      <c r="CD140" s="3" t="n"/>
      <c r="CE140" s="3" t="n"/>
      <c r="CF140" s="3" t="n"/>
      <c r="CG140" s="3" t="n"/>
      <c r="CH140" s="3" t="n"/>
      <c r="CI140" s="3" t="n"/>
      <c r="CJ140" s="3" t="n"/>
      <c r="CK140" s="3" t="n"/>
      <c r="CL140" s="3" t="n"/>
      <c r="CM140" s="3" t="n"/>
      <c r="CN140" s="3" t="n"/>
      <c r="CO140" s="3" t="n"/>
      <c r="CP140" s="3" t="n"/>
      <c r="CQ140" s="3" t="n"/>
      <c r="CR140" s="3" t="n"/>
      <c r="CS140" s="3" t="n"/>
      <c r="CT140" s="3" t="n"/>
      <c r="CU140" s="3" t="n"/>
      <c r="CV140" s="3" t="n"/>
      <c r="CW140" s="3" t="n"/>
      <c r="CX140" s="3" t="n"/>
      <c r="CY140" s="3" t="n"/>
    </row>
    <row r="141" collapsed="1">
      <c r="C141" s="26" t="inlineStr">
        <is>
          <t>Deferred income taxes</t>
        </is>
      </c>
      <c r="D141" s="25">
        <f>INDEX('Inputs (2)'!$D$18:$AL$18,MATCH(D$7,'Inputs (2)'!$D$2:$AL$2,0))</f>
        <v>0</v>
      </c>
      <c r="E141" s="25">
        <f>INDEX('Inputs (2)'!$D$18:$AL$18,MATCH(E$7,'Inputs (2)'!$D$2:$AL$2,0))</f>
        <v>0</v>
      </c>
      <c r="F141" s="25">
        <f>INDEX('Inputs (2)'!$D$18:$AL$18,MATCH(F$7,'Inputs (2)'!$D$2:$AL$2,0))</f>
        <v>0</v>
      </c>
      <c r="G141" s="25">
        <f>INDEX('Inputs (2)'!$D$18:$AL$18,MATCH(G$7,'Inputs (2)'!$D$2:$AL$2,0))</f>
        <v>0</v>
      </c>
      <c r="H141" s="3">
        <f>G141</f>
        <v>0</v>
      </c>
      <c r="I141" s="25">
        <f>INDEX('Inputs (2)'!$D$18:$AL$18,MATCH(I$7,'Inputs (2)'!$D$2:$AL$2,0))</f>
        <v>0</v>
      </c>
      <c r="J141" s="25">
        <f>INDEX('Inputs (2)'!$D$18:$AL$18,MATCH(J$7,'Inputs (2)'!$D$2:$AL$2,0))</f>
        <v>0</v>
      </c>
      <c r="K141" s="25">
        <f>INDEX('Inputs (2)'!$D$18:$AL$18,MATCH(K$7,'Inputs (2)'!$D$2:$AL$2,0))</f>
        <v>0</v>
      </c>
      <c r="L141" s="25">
        <f>INDEX('Inputs (2)'!$D$18:$AL$18,MATCH(L$7,'Inputs (2)'!$D$2:$AL$2,0))</f>
        <v>0</v>
      </c>
      <c r="M141" s="3">
        <f>L141</f>
        <v>0</v>
      </c>
      <c r="N141" s="25">
        <f>INDEX('Inputs (2)'!$D$18:$AL$18,MATCH(N$7,'Inputs (2)'!$D$2:$AL$2,0))</f>
        <v>0</v>
      </c>
      <c r="O141" s="25">
        <f>INDEX('Inputs (2)'!$D$18:$AL$18,MATCH(O$7,'Inputs (2)'!$D$2:$AL$2,0))</f>
        <v>0</v>
      </c>
      <c r="P141" s="25">
        <f>INDEX('Inputs (2)'!$D$18:$AL$18,MATCH(P$7,'Inputs (2)'!$D$2:$AL$2,0))</f>
        <v>0</v>
      </c>
      <c r="Q141" s="25">
        <f>INDEX('Inputs (2)'!$D$18:$AL$18,MATCH(Q$7,'Inputs (2)'!$D$2:$AL$2,0))</f>
        <v>0</v>
      </c>
      <c r="R141" s="3">
        <f>Q141</f>
        <v>0</v>
      </c>
      <c r="S141" s="25">
        <f>INDEX('Inputs (2)'!$D$18:$AL$18,MATCH(S$7,'Inputs (2)'!$D$2:$AL$2,0))</f>
        <v>0</v>
      </c>
      <c r="T141" s="25">
        <f>INDEX('Inputs (2)'!$D$18:$AL$18,MATCH(T$7,'Inputs (2)'!$D$2:$AL$2,0))</f>
        <v>0</v>
      </c>
      <c r="U141" s="25">
        <f>INDEX('Inputs (2)'!$D$18:$AL$18,MATCH(U$7,'Inputs (2)'!$D$2:$AL$2,0))</f>
        <v>0</v>
      </c>
      <c r="V141" s="25">
        <f>INDEX('Inputs (2)'!$D$18:$AL$18,MATCH(V$7,'Inputs (2)'!$D$2:$AL$2,0))</f>
        <v>0</v>
      </c>
      <c r="W141" s="3">
        <f>V141</f>
        <v>0</v>
      </c>
      <c r="X141" s="25">
        <f>INDEX('Inputs (2)'!$D$18:$AL$18,MATCH(X$7,'Inputs (2)'!$D$2:$AL$2,0))</f>
        <v>0</v>
      </c>
      <c r="Y141" s="25">
        <f>INDEX('Inputs (2)'!$D$18:$AL$18,MATCH(Y$7,'Inputs (2)'!$D$2:$AL$2,0))</f>
        <v>0</v>
      </c>
      <c r="Z141" s="25">
        <f>INDEX('Inputs (2)'!$D$18:$AL$18,MATCH(Z$7,'Inputs (2)'!$D$2:$AL$2,0))</f>
        <v>0</v>
      </c>
      <c r="AA141" s="25">
        <f>INDEX('Inputs (2)'!$D$18:$AL$18,MATCH(AA$7,'Inputs (2)'!$D$2:$AL$2,0))</f>
        <v>0</v>
      </c>
      <c r="AB141" s="3">
        <f>AA141</f>
        <v>0</v>
      </c>
      <c r="AC141" s="25">
        <f>INDEX('Inputs (2)'!$D$18:$AL$18,MATCH(AC$7,'Inputs (2)'!$D$2:$AL$2,0))</f>
        <v>0</v>
      </c>
      <c r="AD141" s="25">
        <f>INDEX('Inputs (2)'!$D$18:$AL$18,MATCH(AD$7,'Inputs (2)'!$D$2:$AL$2,0))</f>
        <v>0</v>
      </c>
      <c r="AE141" s="25">
        <f>INDEX('Inputs (2)'!$D$18:$AL$18,MATCH(AE$7,'Inputs (2)'!$D$2:$AL$2,0))</f>
        <v>0</v>
      </c>
      <c r="AF141" s="25">
        <f>INDEX('Inputs (2)'!$D$18:$AL$18,MATCH(AF$7,'Inputs (2)'!$D$2:$AL$2,0))</f>
        <v>0</v>
      </c>
      <c r="AG141" s="3">
        <f>AF141</f>
        <v>0</v>
      </c>
      <c r="AH141" s="3">
        <f>INDEX('Inputs (2)'!$D$18:$AL$18,MATCH(AH$7,'Inputs (2)'!$D$2:$AL$2,0))</f>
        <v>0</v>
      </c>
      <c r="AI141" s="3">
        <f>INDEX('Inputs (2)'!$D$18:$AL$18,MATCH(AI$7,'Inputs (2)'!$D$2:$AL$2,0))</f>
        <v>0</v>
      </c>
      <c r="AJ141" s="3">
        <f>AI141</f>
        <v>0</v>
      </c>
      <c r="AK141" s="3">
        <f>AJ141</f>
        <v>0</v>
      </c>
      <c r="AL141" s="3">
        <f>AK141</f>
        <v>0</v>
      </c>
      <c r="AM141" s="3">
        <f>AL141</f>
        <v>0</v>
      </c>
      <c r="AN141" s="3">
        <f>AM141</f>
        <v>0</v>
      </c>
      <c r="AO141" s="3">
        <f>AN141</f>
        <v>0</v>
      </c>
      <c r="AP141" s="3">
        <f>AO141</f>
        <v>0</v>
      </c>
      <c r="AQ141" s="3">
        <f>AP141</f>
        <v>0</v>
      </c>
      <c r="AR141" s="3">
        <f>AQ141</f>
        <v>0</v>
      </c>
      <c r="AS141" s="3">
        <f>AR141</f>
        <v>0</v>
      </c>
      <c r="AT141" s="3">
        <f>AS141</f>
        <v>0</v>
      </c>
      <c r="AU141" s="3">
        <f>AT141</f>
        <v>0</v>
      </c>
      <c r="AV141" s="3">
        <f>AU141</f>
        <v>0</v>
      </c>
      <c r="AW141" s="3">
        <f>AV141</f>
        <v>0</v>
      </c>
      <c r="AX141" s="3">
        <f>AW141</f>
        <v>0</v>
      </c>
      <c r="AY141" s="3">
        <f>AX141</f>
        <v>0</v>
      </c>
      <c r="AZ141" s="3">
        <f>AY141</f>
        <v>0</v>
      </c>
      <c r="BA141" s="3">
        <f>AZ141</f>
        <v>0</v>
      </c>
      <c r="BB141" s="3">
        <f>BA141</f>
        <v>0</v>
      </c>
      <c r="BC141" s="3">
        <f>BB141</f>
        <v>0</v>
      </c>
      <c r="BD141" s="3">
        <f>BC141</f>
        <v>0</v>
      </c>
      <c r="BE141" s="3">
        <f>BD141</f>
        <v>0</v>
      </c>
      <c r="BF141" s="3">
        <f>BE141</f>
        <v>0</v>
      </c>
      <c r="BG141" s="3">
        <f>BF141</f>
        <v>0</v>
      </c>
      <c r="BH141" s="3">
        <f>BG141</f>
        <v>0</v>
      </c>
      <c r="BI141" s="3">
        <f>BH141</f>
        <v>0</v>
      </c>
      <c r="BJ141" s="3">
        <f>BI141</f>
        <v>0</v>
      </c>
      <c r="BK141" s="3">
        <f>BJ141</f>
        <v>0</v>
      </c>
      <c r="BL141" s="3">
        <f>BK141</f>
        <v>0</v>
      </c>
      <c r="BM141" s="3">
        <f>BL141</f>
        <v>0</v>
      </c>
      <c r="BN141" s="3">
        <f>BM141</f>
        <v>0</v>
      </c>
      <c r="BO141" s="3">
        <f>BN141</f>
        <v>0</v>
      </c>
      <c r="BP141" s="3">
        <f>BO141</f>
        <v>0</v>
      </c>
      <c r="BQ141" s="3">
        <f>BP141</f>
        <v>0</v>
      </c>
      <c r="BR141" s="3">
        <f>BQ141</f>
        <v>0</v>
      </c>
      <c r="BS141" s="3">
        <f>BR141</f>
        <v>0</v>
      </c>
      <c r="BT141" s="3">
        <f>BS141</f>
        <v>0</v>
      </c>
      <c r="BU141" s="3">
        <f>BT141</f>
        <v>0</v>
      </c>
      <c r="BV141" s="3">
        <f>BU141</f>
        <v>0</v>
      </c>
      <c r="BW141" s="3">
        <f>BV141</f>
        <v>0</v>
      </c>
      <c r="BX141" s="3">
        <f>BW141</f>
        <v>0</v>
      </c>
      <c r="BY141" s="3">
        <f>BX141</f>
        <v>0</v>
      </c>
      <c r="BZ141" s="3">
        <f>BY141</f>
        <v>0</v>
      </c>
      <c r="CA141" s="3">
        <f>BZ141</f>
        <v>0</v>
      </c>
      <c r="CB141" s="3">
        <f>CA141</f>
        <v>0</v>
      </c>
      <c r="CC141" s="3">
        <f>CB141</f>
        <v>0</v>
      </c>
      <c r="CD141" s="3">
        <f>CC141</f>
        <v>0</v>
      </c>
      <c r="CE141" s="3">
        <f>CD141</f>
        <v>0</v>
      </c>
      <c r="CF141" s="3">
        <f>CE141</f>
        <v>0</v>
      </c>
      <c r="CG141" s="3">
        <f>CF141</f>
        <v>0</v>
      </c>
      <c r="CH141" s="3">
        <f>CG141</f>
        <v>0</v>
      </c>
      <c r="CI141" s="3">
        <f>CH141</f>
        <v>0</v>
      </c>
      <c r="CJ141" s="3">
        <f>CI141</f>
        <v>0</v>
      </c>
      <c r="CK141" s="3">
        <f>CJ141</f>
        <v>0</v>
      </c>
      <c r="CL141" s="3">
        <f>CK141</f>
        <v>0</v>
      </c>
      <c r="CM141" s="3">
        <f>CL141</f>
        <v>0</v>
      </c>
      <c r="CN141" s="3">
        <f>CM141</f>
        <v>0</v>
      </c>
      <c r="CO141" s="3">
        <f>CN141</f>
        <v>0</v>
      </c>
      <c r="CP141" s="3">
        <f>CO141</f>
        <v>0</v>
      </c>
      <c r="CQ141" s="3">
        <f>CP141</f>
        <v>0</v>
      </c>
      <c r="CR141" s="3">
        <f>CQ141</f>
        <v>0</v>
      </c>
      <c r="CS141" s="3">
        <f>CR141</f>
        <v>0</v>
      </c>
      <c r="CT141" s="3">
        <f>CS141</f>
        <v>0</v>
      </c>
      <c r="CU141" s="3">
        <f>CT141</f>
        <v>0</v>
      </c>
      <c r="CV141" s="3">
        <f>CU141</f>
        <v>0</v>
      </c>
      <c r="CW141" s="3">
        <f>CV141</f>
        <v>0</v>
      </c>
      <c r="CX141" s="3">
        <f>CW141</f>
        <v>0</v>
      </c>
      <c r="CY141" s="3">
        <f>CX141</f>
        <v>0</v>
      </c>
    </row>
    <row r="142">
      <c r="C142" s="26" t="inlineStr">
        <is>
          <t>Prepaid expenses</t>
        </is>
      </c>
      <c r="D142" s="25">
        <f>INDEX('Inputs (2)'!$D$19:$AL$19,MATCH(D$7,'Inputs (2)'!$D$2:$AL$2,0))</f>
        <v>0</v>
      </c>
      <c r="E142" s="25">
        <f>INDEX('Inputs (2)'!$D$19:$AL$19,MATCH(E$7,'Inputs (2)'!$D$2:$AL$2,0))</f>
        <v>0</v>
      </c>
      <c r="F142" s="25">
        <f>INDEX('Inputs (2)'!$D$19:$AL$19,MATCH(F$7,'Inputs (2)'!$D$2:$AL$2,0))</f>
        <v>0</v>
      </c>
      <c r="G142" s="25">
        <f>INDEX('Inputs (2)'!$D$19:$AL$19,MATCH(G$7,'Inputs (2)'!$D$2:$AL$2,0))</f>
        <v>0</v>
      </c>
      <c r="H142" s="3">
        <f>G142</f>
        <v>0</v>
      </c>
      <c r="I142" s="25">
        <f>INDEX('Inputs (2)'!$D$19:$AL$19,MATCH(I$7,'Inputs (2)'!$D$2:$AL$2,0))</f>
        <v>0</v>
      </c>
      <c r="J142" s="25">
        <f>INDEX('Inputs (2)'!$D$19:$AL$19,MATCH(J$7,'Inputs (2)'!$D$2:$AL$2,0))</f>
        <v>0</v>
      </c>
      <c r="K142" s="25">
        <f>INDEX('Inputs (2)'!$D$19:$AL$19,MATCH(K$7,'Inputs (2)'!$D$2:$AL$2,0))</f>
        <v>0</v>
      </c>
      <c r="L142" s="25">
        <f>INDEX('Inputs (2)'!$D$19:$AL$19,MATCH(L$7,'Inputs (2)'!$D$2:$AL$2,0))</f>
        <v>0</v>
      </c>
      <c r="M142" s="3">
        <f>L142</f>
        <v>0</v>
      </c>
      <c r="N142" s="25">
        <f>INDEX('Inputs (2)'!$D$19:$AL$19,MATCH(N$7,'Inputs (2)'!$D$2:$AL$2,0))</f>
        <v>0</v>
      </c>
      <c r="O142" s="25">
        <f>INDEX('Inputs (2)'!$D$19:$AL$19,MATCH(O$7,'Inputs (2)'!$D$2:$AL$2,0))</f>
        <v>0</v>
      </c>
      <c r="P142" s="25">
        <f>INDEX('Inputs (2)'!$D$19:$AL$19,MATCH(P$7,'Inputs (2)'!$D$2:$AL$2,0))</f>
        <v>0</v>
      </c>
      <c r="Q142" s="25">
        <f>INDEX('Inputs (2)'!$D$19:$AL$19,MATCH(Q$7,'Inputs (2)'!$D$2:$AL$2,0))</f>
        <v>0</v>
      </c>
      <c r="R142" s="3">
        <f>Q142</f>
        <v>0</v>
      </c>
      <c r="S142" s="25">
        <f>INDEX('Inputs (2)'!$D$19:$AL$19,MATCH(S$7,'Inputs (2)'!$D$2:$AL$2,0))</f>
        <v>0</v>
      </c>
      <c r="T142" s="25">
        <f>INDEX('Inputs (2)'!$D$19:$AL$19,MATCH(T$7,'Inputs (2)'!$D$2:$AL$2,0))</f>
        <v>0</v>
      </c>
      <c r="U142" s="25">
        <f>INDEX('Inputs (2)'!$D$19:$AL$19,MATCH(U$7,'Inputs (2)'!$D$2:$AL$2,0))</f>
        <v>0</v>
      </c>
      <c r="V142" s="25">
        <f>INDEX('Inputs (2)'!$D$19:$AL$19,MATCH(V$7,'Inputs (2)'!$D$2:$AL$2,0))</f>
        <v>0</v>
      </c>
      <c r="W142" s="3">
        <f>V142</f>
        <v>0</v>
      </c>
      <c r="X142" s="25">
        <f>INDEX('Inputs (2)'!$D$19:$AL$19,MATCH(X$7,'Inputs (2)'!$D$2:$AL$2,0))</f>
        <v>0</v>
      </c>
      <c r="Y142" s="25">
        <f>INDEX('Inputs (2)'!$D$19:$AL$19,MATCH(Y$7,'Inputs (2)'!$D$2:$AL$2,0))</f>
        <v>0</v>
      </c>
      <c r="Z142" s="25">
        <f>INDEX('Inputs (2)'!$D$19:$AL$19,MATCH(Z$7,'Inputs (2)'!$D$2:$AL$2,0))</f>
        <v>0</v>
      </c>
      <c r="AA142" s="25">
        <f>INDEX('Inputs (2)'!$D$19:$AL$19,MATCH(AA$7,'Inputs (2)'!$D$2:$AL$2,0))</f>
        <v>0</v>
      </c>
      <c r="AB142" s="3">
        <f>AA142</f>
        <v>0</v>
      </c>
      <c r="AC142" s="25">
        <f>INDEX('Inputs (2)'!$D$19:$AL$19,MATCH(AC$7,'Inputs (2)'!$D$2:$AL$2,0))</f>
        <v>0</v>
      </c>
      <c r="AD142" s="25">
        <f>INDEX('Inputs (2)'!$D$19:$AL$19,MATCH(AD$7,'Inputs (2)'!$D$2:$AL$2,0))</f>
        <v>0</v>
      </c>
      <c r="AE142" s="25">
        <f>INDEX('Inputs (2)'!$D$19:$AL$19,MATCH(AE$7,'Inputs (2)'!$D$2:$AL$2,0))</f>
        <v>0</v>
      </c>
      <c r="AF142" s="25">
        <f>INDEX('Inputs (2)'!$D$19:$AL$19,MATCH(AF$7,'Inputs (2)'!$D$2:$AL$2,0))</f>
        <v>0</v>
      </c>
      <c r="AG142" s="3">
        <f>AF142</f>
        <v>0</v>
      </c>
      <c r="AH142" s="3">
        <f>INDEX('Inputs (2)'!$D$19:$AL$19,MATCH(AH$7,'Inputs (2)'!$D$2:$AL$2,0))</f>
        <v>0</v>
      </c>
      <c r="AI142" s="3">
        <f>INDEX('Inputs (2)'!$D$19:$AL$19,MATCH(AI$7,'Inputs (2)'!$D$2:$AL$2,0))</f>
        <v>0</v>
      </c>
      <c r="AJ142" s="3">
        <f>AI142</f>
        <v>0</v>
      </c>
      <c r="AK142" s="3">
        <f>AJ142</f>
        <v>0</v>
      </c>
      <c r="AL142" s="3">
        <f>AK142</f>
        <v>0</v>
      </c>
      <c r="AM142" s="3">
        <f>AL142</f>
        <v>0</v>
      </c>
      <c r="AN142" s="3">
        <f>AM142</f>
        <v>0</v>
      </c>
      <c r="AO142" s="3">
        <f>AN142</f>
        <v>0</v>
      </c>
      <c r="AP142" s="3">
        <f>AO142</f>
        <v>0</v>
      </c>
      <c r="AQ142" s="3">
        <f>AP142</f>
        <v>0</v>
      </c>
      <c r="AR142" s="3">
        <f>AQ142</f>
        <v>0</v>
      </c>
      <c r="AS142" s="3">
        <f>AR142</f>
        <v>0</v>
      </c>
      <c r="AT142" s="3">
        <f>AS142</f>
        <v>0</v>
      </c>
      <c r="AU142" s="3">
        <f>AT142</f>
        <v>0</v>
      </c>
      <c r="AV142" s="3">
        <f>AU142</f>
        <v>0</v>
      </c>
      <c r="AW142" s="3">
        <f>AV142</f>
        <v>0</v>
      </c>
      <c r="AX142" s="3">
        <f>AW142</f>
        <v>0</v>
      </c>
      <c r="AY142" s="3">
        <f>AX142</f>
        <v>0</v>
      </c>
      <c r="AZ142" s="3">
        <f>AY142</f>
        <v>0</v>
      </c>
      <c r="BA142" s="3">
        <f>AZ142</f>
        <v>0</v>
      </c>
      <c r="BB142" s="3">
        <f>BA142</f>
        <v>0</v>
      </c>
      <c r="BC142" s="3">
        <f>BB142</f>
        <v>0</v>
      </c>
      <c r="BD142" s="3">
        <f>BC142</f>
        <v>0</v>
      </c>
      <c r="BE142" s="3">
        <f>BD142</f>
        <v>0</v>
      </c>
      <c r="BF142" s="3">
        <f>BE142</f>
        <v>0</v>
      </c>
      <c r="BG142" s="3">
        <f>BF142</f>
        <v>0</v>
      </c>
      <c r="BH142" s="3">
        <f>BG142</f>
        <v>0</v>
      </c>
      <c r="BI142" s="3">
        <f>BH142</f>
        <v>0</v>
      </c>
      <c r="BJ142" s="3">
        <f>BI142</f>
        <v>0</v>
      </c>
      <c r="BK142" s="3">
        <f>BJ142</f>
        <v>0</v>
      </c>
      <c r="BL142" s="3">
        <f>BK142</f>
        <v>0</v>
      </c>
      <c r="BM142" s="3">
        <f>BL142</f>
        <v>0</v>
      </c>
      <c r="BN142" s="3">
        <f>BM142</f>
        <v>0</v>
      </c>
      <c r="BO142" s="3">
        <f>BN142</f>
        <v>0</v>
      </c>
      <c r="BP142" s="3">
        <f>BO142</f>
        <v>0</v>
      </c>
      <c r="BQ142" s="3">
        <f>BP142</f>
        <v>0</v>
      </c>
      <c r="BR142" s="3">
        <f>BQ142</f>
        <v>0</v>
      </c>
      <c r="BS142" s="3">
        <f>BR142</f>
        <v>0</v>
      </c>
      <c r="BT142" s="3">
        <f>BS142</f>
        <v>0</v>
      </c>
      <c r="BU142" s="3">
        <f>BT142</f>
        <v>0</v>
      </c>
      <c r="BV142" s="3">
        <f>BU142</f>
        <v>0</v>
      </c>
      <c r="BW142" s="3">
        <f>BV142</f>
        <v>0</v>
      </c>
      <c r="BX142" s="3">
        <f>BW142</f>
        <v>0</v>
      </c>
      <c r="BY142" s="3">
        <f>BX142</f>
        <v>0</v>
      </c>
      <c r="BZ142" s="3">
        <f>BY142</f>
        <v>0</v>
      </c>
      <c r="CA142" s="3">
        <f>BZ142</f>
        <v>0</v>
      </c>
      <c r="CB142" s="3">
        <f>CA142</f>
        <v>0</v>
      </c>
      <c r="CC142" s="3">
        <f>CB142</f>
        <v>0</v>
      </c>
      <c r="CD142" s="3">
        <f>CC142</f>
        <v>0</v>
      </c>
      <c r="CE142" s="3">
        <f>CD142</f>
        <v>0</v>
      </c>
      <c r="CF142" s="3">
        <f>CE142</f>
        <v>0</v>
      </c>
      <c r="CG142" s="3">
        <f>CF142</f>
        <v>0</v>
      </c>
      <c r="CH142" s="3">
        <f>CG142</f>
        <v>0</v>
      </c>
      <c r="CI142" s="3">
        <f>CH142</f>
        <v>0</v>
      </c>
      <c r="CJ142" s="3">
        <f>CI142</f>
        <v>0</v>
      </c>
      <c r="CK142" s="3">
        <f>CJ142</f>
        <v>0</v>
      </c>
      <c r="CL142" s="3">
        <f>CK142</f>
        <v>0</v>
      </c>
      <c r="CM142" s="3">
        <f>CL142</f>
        <v>0</v>
      </c>
      <c r="CN142" s="3">
        <f>CM142</f>
        <v>0</v>
      </c>
      <c r="CO142" s="3">
        <f>CN142</f>
        <v>0</v>
      </c>
      <c r="CP142" s="3">
        <f>CO142</f>
        <v>0</v>
      </c>
      <c r="CQ142" s="3">
        <f>CP142</f>
        <v>0</v>
      </c>
      <c r="CR142" s="3">
        <f>CQ142</f>
        <v>0</v>
      </c>
      <c r="CS142" s="3">
        <f>CR142</f>
        <v>0</v>
      </c>
      <c r="CT142" s="3">
        <f>CS142</f>
        <v>0</v>
      </c>
      <c r="CU142" s="3">
        <f>CT142</f>
        <v>0</v>
      </c>
      <c r="CV142" s="3">
        <f>CU142</f>
        <v>0</v>
      </c>
      <c r="CW142" s="3">
        <f>CV142</f>
        <v>0</v>
      </c>
      <c r="CX142" s="3">
        <f>CW142</f>
        <v>0</v>
      </c>
      <c r="CY142" s="3">
        <f>CX142</f>
        <v>0</v>
      </c>
    </row>
    <row r="143">
      <c r="C143" s="26" t="inlineStr">
        <is>
          <t>Other current assets</t>
        </is>
      </c>
      <c r="D143" s="25">
        <f>INDEX('Inputs (2)'!$D$20:$AL$20,MATCH(D$7,'Inputs (2)'!$D$2:$AL$2,0))</f>
        <v>851</v>
      </c>
      <c r="E143" s="25">
        <f>INDEX('Inputs (2)'!$D$20:$AL$20,MATCH(E$7,'Inputs (2)'!$D$2:$AL$2,0))</f>
        <v>1059</v>
      </c>
      <c r="F143" s="25">
        <f>INDEX('Inputs (2)'!$D$20:$AL$20,MATCH(F$7,'Inputs (2)'!$D$2:$AL$2,0))</f>
        <v>977</v>
      </c>
      <c r="G143" s="25">
        <f>INDEX('Inputs (2)'!$D$20:$AL$20,MATCH(G$7,'Inputs (2)'!$D$2:$AL$2,0))</f>
        <v>1272</v>
      </c>
      <c r="H143" s="3">
        <f>G143</f>
        <v>1272</v>
      </c>
      <c r="I143" s="25">
        <f>INDEX('Inputs (2)'!$D$20:$AL$20,MATCH(I$7,'Inputs (2)'!$D$2:$AL$2,0))</f>
        <v>1298</v>
      </c>
      <c r="J143" s="25">
        <f>INDEX('Inputs (2)'!$D$20:$AL$20,MATCH(J$7,'Inputs (2)'!$D$2:$AL$2,0))</f>
        <v>1137</v>
      </c>
      <c r="K143" s="25">
        <f>INDEX('Inputs (2)'!$D$20:$AL$20,MATCH(K$7,'Inputs (2)'!$D$2:$AL$2,0))</f>
        <v>1055</v>
      </c>
      <c r="L143" s="25">
        <f>INDEX('Inputs (2)'!$D$20:$AL$20,MATCH(L$7,'Inputs (2)'!$D$2:$AL$2,0))</f>
        <v>1063</v>
      </c>
      <c r="M143" s="3">
        <f>L143</f>
        <v>1063</v>
      </c>
      <c r="N143" s="25">
        <f>INDEX('Inputs (2)'!$D$20:$AL$20,MATCH(N$7,'Inputs (2)'!$D$2:$AL$2,0))</f>
        <v>1054</v>
      </c>
      <c r="O143" s="25">
        <f>INDEX('Inputs (2)'!$D$20:$AL$20,MATCH(O$7,'Inputs (2)'!$D$2:$AL$2,0))</f>
        <v>1038</v>
      </c>
      <c r="P143" s="25">
        <f>INDEX('Inputs (2)'!$D$20:$AL$20,MATCH(P$7,'Inputs (2)'!$D$2:$AL$2,0))</f>
        <v>1205</v>
      </c>
      <c r="Q143" s="25">
        <f>INDEX('Inputs (2)'!$D$20:$AL$20,MATCH(Q$7,'Inputs (2)'!$D$2:$AL$2,0))</f>
        <v>1056</v>
      </c>
      <c r="R143" s="3">
        <f>Q143</f>
        <v>1056</v>
      </c>
      <c r="S143" s="25">
        <f>INDEX('Inputs (2)'!$D$20:$AL$20,MATCH(S$7,'Inputs (2)'!$D$2:$AL$2,0))</f>
        <v>1401</v>
      </c>
      <c r="T143" s="25">
        <f>INDEX('Inputs (2)'!$D$20:$AL$20,MATCH(T$7,'Inputs (2)'!$D$2:$AL$2,0))</f>
        <v>1522</v>
      </c>
      <c r="U143" s="25">
        <f>INDEX('Inputs (2)'!$D$20:$AL$20,MATCH(U$7,'Inputs (2)'!$D$2:$AL$2,0))</f>
        <v>1606</v>
      </c>
      <c r="V143" s="25">
        <f>INDEX('Inputs (2)'!$D$20:$AL$20,MATCH(V$7,'Inputs (2)'!$D$2:$AL$2,0))</f>
        <v>8439</v>
      </c>
      <c r="W143" s="3">
        <f>V143</f>
        <v>8439</v>
      </c>
      <c r="X143" s="25">
        <f>INDEX('Inputs (2)'!$D$20:$AL$20,MATCH(X$7,'Inputs (2)'!$D$2:$AL$2,0))</f>
        <v>8151</v>
      </c>
      <c r="Y143" s="25">
        <f>INDEX('Inputs (2)'!$D$20:$AL$20,MATCH(Y$7,'Inputs (2)'!$D$2:$AL$2,0))</f>
        <v>3436</v>
      </c>
      <c r="Z143" s="25">
        <f>INDEX('Inputs (2)'!$D$20:$AL$20,MATCH(Z$7,'Inputs (2)'!$D$2:$AL$2,0))</f>
        <v>4071</v>
      </c>
      <c r="AA143" s="25">
        <f>INDEX('Inputs (2)'!$D$20:$AL$20,MATCH(AA$7,'Inputs (2)'!$D$2:$AL$2,0))</f>
        <v>4820</v>
      </c>
      <c r="AB143" s="3">
        <f>AA143</f>
        <v>4820</v>
      </c>
      <c r="AC143" s="25">
        <f>INDEX('Inputs (2)'!$D$20:$AL$20,MATCH(AC$7,'Inputs (2)'!$D$2:$AL$2,0))</f>
        <v>5129</v>
      </c>
      <c r="AD143" s="25">
        <f>INDEX('Inputs (2)'!$D$20:$AL$20,MATCH(AD$7,'Inputs (2)'!$D$2:$AL$2,0))</f>
        <v>5606</v>
      </c>
      <c r="AE143" s="25">
        <f>INDEX('Inputs (2)'!$D$20:$AL$20,MATCH(AE$7,'Inputs (2)'!$D$2:$AL$2,0))</f>
        <v>5980</v>
      </c>
      <c r="AF143" s="25">
        <f>INDEX('Inputs (2)'!$D$20:$AL$20,MATCH(AF$7,'Inputs (2)'!$D$2:$AL$2,0))</f>
        <v>6466</v>
      </c>
      <c r="AG143" s="3">
        <f>AF143</f>
        <v>6466</v>
      </c>
      <c r="AH143" s="3">
        <f>INDEX('Inputs (2)'!$D$20:$AL$20,MATCH(AH$7,'Inputs (2)'!$D$2:$AL$2,0))</f>
        <v>7427</v>
      </c>
      <c r="AI143" s="3">
        <f>INDEX('Inputs (2)'!$D$20:$AL$20,MATCH(AI$7,'Inputs (2)'!$D$2:$AL$2,0))</f>
        <v>9968</v>
      </c>
      <c r="AJ143" s="3">
        <f>AI143</f>
        <v>9968</v>
      </c>
      <c r="AK143" s="3">
        <f>AJ143</f>
        <v>9968</v>
      </c>
      <c r="AL143" s="3">
        <f>AK143</f>
        <v>9968</v>
      </c>
      <c r="AM143" s="3">
        <f>AL143</f>
        <v>9968</v>
      </c>
      <c r="AN143" s="3">
        <f>AM143</f>
        <v>9968</v>
      </c>
      <c r="AO143" s="3">
        <f>AN143</f>
        <v>9968</v>
      </c>
      <c r="AP143" s="3">
        <f>AO143</f>
        <v>9968</v>
      </c>
      <c r="AQ143" s="3">
        <f>AP143</f>
        <v>9968</v>
      </c>
      <c r="AR143" s="3">
        <f>AQ143</f>
        <v>9968</v>
      </c>
      <c r="AS143" s="3">
        <f>AR143</f>
        <v>9968</v>
      </c>
      <c r="AT143" s="3">
        <f>AS143</f>
        <v>9968</v>
      </c>
      <c r="AU143" s="3">
        <f>AT143</f>
        <v>9968</v>
      </c>
      <c r="AV143" s="3">
        <f>AU143</f>
        <v>9968</v>
      </c>
      <c r="AW143" s="3">
        <f>AV143</f>
        <v>9968</v>
      </c>
      <c r="AX143" s="3">
        <f>AW143</f>
        <v>9968</v>
      </c>
      <c r="AY143" s="3">
        <f>AX143</f>
        <v>9968</v>
      </c>
      <c r="AZ143" s="3">
        <f>AY143</f>
        <v>9968</v>
      </c>
      <c r="BA143" s="3">
        <f>AZ143</f>
        <v>9968</v>
      </c>
      <c r="BB143" s="3">
        <f>BA143</f>
        <v>9968</v>
      </c>
      <c r="BC143" s="3">
        <f>BB143</f>
        <v>9968</v>
      </c>
      <c r="BD143" s="3">
        <f>BC143</f>
        <v>9968</v>
      </c>
      <c r="BE143" s="3">
        <f>BD143</f>
        <v>9968</v>
      </c>
      <c r="BF143" s="3">
        <f>BE143</f>
        <v>9968</v>
      </c>
      <c r="BG143" s="3">
        <f>BF143</f>
        <v>9968</v>
      </c>
      <c r="BH143" s="3">
        <f>BG143</f>
        <v>9968</v>
      </c>
      <c r="BI143" s="3">
        <f>BH143</f>
        <v>9968</v>
      </c>
      <c r="BJ143" s="3">
        <f>BI143</f>
        <v>9968</v>
      </c>
      <c r="BK143" s="3">
        <f>BJ143</f>
        <v>9968</v>
      </c>
      <c r="BL143" s="3">
        <f>BK143</f>
        <v>9968</v>
      </c>
      <c r="BM143" s="3">
        <f>BL143</f>
        <v>9968</v>
      </c>
      <c r="BN143" s="3">
        <f>BM143</f>
        <v>9968</v>
      </c>
      <c r="BO143" s="3">
        <f>BN143</f>
        <v>9968</v>
      </c>
      <c r="BP143" s="3">
        <f>BO143</f>
        <v>9968</v>
      </c>
      <c r="BQ143" s="3">
        <f>BP143</f>
        <v>9968</v>
      </c>
      <c r="BR143" s="3">
        <f>BQ143</f>
        <v>9968</v>
      </c>
      <c r="BS143" s="3">
        <f>BR143</f>
        <v>9968</v>
      </c>
      <c r="BT143" s="3">
        <f>BS143</f>
        <v>9968</v>
      </c>
      <c r="BU143" s="3">
        <f>BT143</f>
        <v>9968</v>
      </c>
      <c r="BV143" s="3">
        <f>BU143</f>
        <v>9968</v>
      </c>
      <c r="BW143" s="3">
        <f>BV143</f>
        <v>9968</v>
      </c>
      <c r="BX143" s="3">
        <f>BW143</f>
        <v>9968</v>
      </c>
      <c r="BY143" s="3">
        <f>BX143</f>
        <v>9968</v>
      </c>
      <c r="BZ143" s="3">
        <f>BY143</f>
        <v>9968</v>
      </c>
      <c r="CA143" s="3">
        <f>BZ143</f>
        <v>9968</v>
      </c>
      <c r="CB143" s="3">
        <f>CA143</f>
        <v>9968</v>
      </c>
      <c r="CC143" s="3">
        <f>CB143</f>
        <v>9968</v>
      </c>
      <c r="CD143" s="3">
        <f>CC143</f>
        <v>9968</v>
      </c>
      <c r="CE143" s="3">
        <f>CD143</f>
        <v>9968</v>
      </c>
      <c r="CF143" s="3">
        <f>CE143</f>
        <v>9968</v>
      </c>
      <c r="CG143" s="3">
        <f>CF143</f>
        <v>9968</v>
      </c>
      <c r="CH143" s="3">
        <f>CG143</f>
        <v>9968</v>
      </c>
      <c r="CI143" s="3">
        <f>CH143</f>
        <v>9968</v>
      </c>
      <c r="CJ143" s="3">
        <f>CI143</f>
        <v>9968</v>
      </c>
      <c r="CK143" s="3">
        <f>CJ143</f>
        <v>9968</v>
      </c>
      <c r="CL143" s="3">
        <f>CK143</f>
        <v>9968</v>
      </c>
      <c r="CM143" s="3">
        <f>CL143</f>
        <v>9968</v>
      </c>
      <c r="CN143" s="3">
        <f>CM143</f>
        <v>9968</v>
      </c>
      <c r="CO143" s="3">
        <f>CN143</f>
        <v>9968</v>
      </c>
      <c r="CP143" s="3">
        <f>CO143</f>
        <v>9968</v>
      </c>
      <c r="CQ143" s="3">
        <f>CP143</f>
        <v>9968</v>
      </c>
      <c r="CR143" s="3">
        <f>CQ143</f>
        <v>9968</v>
      </c>
      <c r="CS143" s="3">
        <f>CR143</f>
        <v>9968</v>
      </c>
      <c r="CT143" s="3">
        <f>CS143</f>
        <v>9968</v>
      </c>
      <c r="CU143" s="3">
        <f>CT143</f>
        <v>9968</v>
      </c>
      <c r="CV143" s="3">
        <f>CU143</f>
        <v>9968</v>
      </c>
      <c r="CW143" s="3">
        <f>CV143</f>
        <v>9968</v>
      </c>
      <c r="CX143" s="3">
        <f>CW143</f>
        <v>9968</v>
      </c>
      <c r="CY143" s="3">
        <f>CX143</f>
        <v>9968</v>
      </c>
    </row>
    <row r="144" hidden="1" outlineLevel="1">
      <c r="C144" s="38" t="inlineStr">
        <is>
          <t>%(Var.)</t>
        </is>
      </c>
      <c r="D144" s="3" t="n"/>
      <c r="E144" s="47">
        <f>(E143-D143)/D143</f>
        <v>0.244418331374853</v>
      </c>
      <c r="F144" s="47">
        <f>(F143-E143)/E143</f>
        <v>-0.0774315391879131</v>
      </c>
      <c r="G144" s="47">
        <f>(G143-F143)/F143</f>
        <v>0.301944728761515</v>
      </c>
      <c r="H144" s="3" t="n"/>
      <c r="I144" s="47">
        <f>(I143-H143)/H143</f>
        <v>0.020440251572327</v>
      </c>
      <c r="J144" s="47">
        <f>(J143-I143)/I143</f>
        <v>-0.124036979969183</v>
      </c>
      <c r="K144" s="47">
        <f>(K143-J143)/J143</f>
        <v>-0.0721196130167107</v>
      </c>
      <c r="L144" s="47">
        <f>(L143-K143)/K143</f>
        <v>0.00758293838862559</v>
      </c>
      <c r="M144" s="3" t="n"/>
      <c r="N144" s="47">
        <f>(N143-M143)/M143</f>
        <v>-0.00846660395108184</v>
      </c>
      <c r="O144" s="47">
        <f>(O143-N143)/N143</f>
        <v>-0.015180265654649</v>
      </c>
      <c r="P144" s="47">
        <f>(P143-O143)/O143</f>
        <v>0.160886319845857</v>
      </c>
      <c r="Q144" s="47">
        <f>(Q143-P143)/P143</f>
        <v>-0.123651452282158</v>
      </c>
      <c r="R144" s="3" t="n"/>
      <c r="S144" s="47">
        <f>(S143-R143)/R143</f>
        <v>0.326704545454545</v>
      </c>
      <c r="T144" s="47">
        <f>(T143-S143)/S143</f>
        <v>0.086366880799429</v>
      </c>
      <c r="U144" s="47">
        <f>(U143-T143)/T143</f>
        <v>0.0551905387647832</v>
      </c>
      <c r="V144" s="47">
        <f>(V143-U143)/U143</f>
        <v>4.2546699875467</v>
      </c>
      <c r="W144" s="3" t="n"/>
      <c r="X144" s="47">
        <f>(X143-W143)/W143</f>
        <v>-0.0341272662637753</v>
      </c>
      <c r="Y144" s="47">
        <f>(Y143-X143)/X143</f>
        <v>-0.57845663108821</v>
      </c>
      <c r="Z144" s="47">
        <f>(Z143-Y143)/Y143</f>
        <v>0.184807916181607</v>
      </c>
      <c r="AA144" s="47">
        <f>(AA143-Z143)/Z143</f>
        <v>0.183984279046917</v>
      </c>
      <c r="AB144" s="3" t="n"/>
      <c r="AC144" s="47">
        <f>(AC143-AB143)/AB143</f>
        <v>0.0641078838174274</v>
      </c>
      <c r="AD144" s="47">
        <f>(AD143-AC143)/AC143</f>
        <v>0.0930005849093391</v>
      </c>
      <c r="AE144" s="47">
        <f>(AE143-AD143)/AD143</f>
        <v>0.0667142347484838</v>
      </c>
      <c r="AF144" s="218">
        <f>(AF143-AE143)/AE143</f>
        <v>0.0812709030100335</v>
      </c>
      <c r="AG144" s="3" t="n"/>
      <c r="AH144" s="3">
        <f>(AH143-AG143)/AG143</f>
        <v>0.148623569440148</v>
      </c>
      <c r="AI144" s="3">
        <f>(AI143-AH143)/AH143</f>
        <v>0.342130065975495</v>
      </c>
      <c r="AJ144" s="3" t="n"/>
      <c r="AK144" s="3" t="n"/>
      <c r="AL144" s="3" t="n"/>
      <c r="AM144" s="3" t="n"/>
      <c r="AN144" s="3" t="n"/>
      <c r="AO144" s="3" t="n"/>
      <c r="AP144" s="3" t="n"/>
      <c r="AQ144" s="3" t="n"/>
      <c r="AR144" s="3" t="n"/>
      <c r="AS144" s="3" t="n"/>
      <c r="AT144" s="3" t="n"/>
      <c r="AU144" s="3" t="n"/>
      <c r="AV144" s="3" t="n"/>
      <c r="AW144" s="3" t="n"/>
      <c r="AX144" s="3" t="n"/>
      <c r="AY144" s="3" t="n"/>
      <c r="AZ144" s="3" t="n"/>
      <c r="BA144" s="3" t="n"/>
      <c r="BB144" s="3" t="n"/>
      <c r="BC144" s="3" t="n"/>
      <c r="BD144" s="3" t="n"/>
      <c r="BE144" s="3" t="n"/>
      <c r="BF144" s="3" t="n"/>
      <c r="BG144" s="3" t="n"/>
      <c r="BH144" s="3" t="n"/>
      <c r="BI144" s="3" t="n"/>
      <c r="BJ144" s="3" t="n"/>
      <c r="BK144" s="3" t="n"/>
      <c r="BL144" s="3" t="n"/>
      <c r="BM144" s="3" t="n"/>
      <c r="BN144" s="3" t="n"/>
      <c r="BO144" s="3" t="n"/>
      <c r="BP144" s="3" t="n"/>
      <c r="BQ144" s="3" t="n"/>
      <c r="BR144" s="3" t="n"/>
      <c r="BS144" s="3" t="n"/>
      <c r="BT144" s="3" t="n"/>
      <c r="BU144" s="3" t="n"/>
      <c r="BV144" s="3" t="n"/>
      <c r="BW144" s="3" t="n"/>
      <c r="BX144" s="3" t="n"/>
      <c r="BY144" s="3" t="n"/>
      <c r="BZ144" s="3" t="n"/>
      <c r="CA144" s="3" t="n"/>
      <c r="CB144" s="3" t="n"/>
      <c r="CC144" s="3" t="n"/>
      <c r="CD144" s="3" t="n"/>
      <c r="CE144" s="3" t="n"/>
      <c r="CF144" s="3" t="n"/>
      <c r="CG144" s="3" t="n"/>
      <c r="CH144" s="3" t="n"/>
      <c r="CI144" s="3" t="n"/>
      <c r="CJ144" s="3" t="n"/>
      <c r="CK144" s="3" t="n"/>
      <c r="CL144" s="3" t="n"/>
      <c r="CM144" s="3" t="n"/>
      <c r="CN144" s="3" t="n"/>
      <c r="CO144" s="3" t="n"/>
      <c r="CP144" s="3" t="n"/>
      <c r="CQ144" s="3" t="n"/>
      <c r="CR144" s="3" t="n"/>
      <c r="CS144" s="3" t="n"/>
      <c r="CT144" s="3" t="n"/>
      <c r="CU144" s="3" t="n"/>
      <c r="CV144" s="3" t="n"/>
      <c r="CW144" s="3" t="n"/>
      <c r="CX144" s="3" t="n"/>
      <c r="CY144" s="3" t="n"/>
    </row>
    <row r="145" hidden="1" outlineLevel="1">
      <c r="C145" s="34" t="n"/>
      <c r="D145" s="3" t="n"/>
      <c r="E145" s="47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  <c r="AA145" s="3" t="n"/>
      <c r="AB145" s="3" t="n"/>
      <c r="AC145" s="3" t="n"/>
      <c r="AD145" s="3" t="n"/>
      <c r="AE145" s="3" t="n"/>
      <c r="AF145" s="3" t="n"/>
      <c r="AG145" s="3" t="n"/>
      <c r="AH145" s="3" t="n"/>
      <c r="AI145" s="3" t="n"/>
      <c r="AJ145" s="3" t="n"/>
      <c r="AK145" s="3" t="n"/>
      <c r="AL145" s="3" t="n"/>
      <c r="AM145" s="3" t="n"/>
      <c r="AN145" s="3" t="n"/>
      <c r="AO145" s="3" t="n"/>
      <c r="AP145" s="3" t="n"/>
      <c r="AQ145" s="3" t="n"/>
      <c r="AR145" s="3" t="n"/>
      <c r="AS145" s="3" t="n"/>
      <c r="AT145" s="3" t="n"/>
      <c r="AU145" s="3" t="n"/>
      <c r="AV145" s="3" t="n"/>
      <c r="AW145" s="3" t="n"/>
      <c r="AX145" s="3" t="n"/>
      <c r="AY145" s="3" t="n"/>
      <c r="AZ145" s="3" t="n"/>
      <c r="BA145" s="3" t="n"/>
      <c r="BB145" s="3" t="n"/>
      <c r="BC145" s="3" t="n"/>
      <c r="BD145" s="3" t="n"/>
      <c r="BE145" s="3" t="n"/>
      <c r="BF145" s="3" t="n"/>
      <c r="BG145" s="3" t="n"/>
      <c r="BH145" s="3" t="n"/>
      <c r="BI145" s="3" t="n"/>
      <c r="BJ145" s="3" t="n"/>
      <c r="BK145" s="3" t="n"/>
      <c r="BL145" s="3" t="n"/>
      <c r="BM145" s="3" t="n"/>
      <c r="BN145" s="3" t="n"/>
      <c r="BO145" s="3" t="n"/>
      <c r="BP145" s="3" t="n"/>
      <c r="BQ145" s="3" t="n"/>
      <c r="BR145" s="3" t="n"/>
      <c r="BS145" s="3" t="n"/>
      <c r="BT145" s="3" t="n"/>
      <c r="BU145" s="3" t="n"/>
      <c r="BV145" s="3" t="n"/>
      <c r="BW145" s="3" t="n"/>
      <c r="BX145" s="3" t="n"/>
      <c r="BY145" s="3" t="n"/>
      <c r="BZ145" s="3" t="n"/>
      <c r="CA145" s="3" t="n"/>
      <c r="CB145" s="3" t="n"/>
      <c r="CC145" s="3" t="n"/>
      <c r="CD145" s="3" t="n"/>
      <c r="CE145" s="3" t="n"/>
      <c r="CF145" s="3" t="n"/>
      <c r="CG145" s="3" t="n"/>
      <c r="CH145" s="3" t="n"/>
      <c r="CI145" s="3" t="n"/>
      <c r="CJ145" s="3" t="n"/>
      <c r="CK145" s="3" t="n"/>
      <c r="CL145" s="3" t="n"/>
      <c r="CM145" s="3" t="n"/>
      <c r="CN145" s="3" t="n"/>
      <c r="CO145" s="3" t="n"/>
      <c r="CP145" s="3" t="n"/>
      <c r="CQ145" s="3" t="n"/>
      <c r="CR145" s="3" t="n"/>
      <c r="CS145" s="3" t="n"/>
      <c r="CT145" s="3" t="n"/>
      <c r="CU145" s="3" t="n"/>
      <c r="CV145" s="3" t="n"/>
      <c r="CW145" s="3" t="n"/>
      <c r="CX145" s="3" t="n"/>
      <c r="CY145" s="3" t="n"/>
    </row>
    <row r="146" hidden="1" outlineLevel="1">
      <c r="C146" s="52" t="inlineStr">
        <is>
          <t xml:space="preserve">Impostos e Contribuições a Recuperar </t>
        </is>
      </c>
      <c r="D146" s="6" t="n"/>
      <c r="E146" s="6" t="n"/>
      <c r="F146" s="6" t="n"/>
      <c r="G146" s="6" t="n"/>
      <c r="H146" s="3" t="n"/>
      <c r="I146" s="6" t="n"/>
      <c r="J146" s="6" t="n"/>
      <c r="K146" s="6" t="n"/>
      <c r="L146" s="6" t="n"/>
      <c r="M146" s="3" t="n"/>
      <c r="N146" s="6" t="n"/>
      <c r="O146" s="6" t="n"/>
      <c r="P146" s="6" t="n"/>
      <c r="Q146" s="6" t="n"/>
      <c r="R146" s="3" t="n"/>
      <c r="S146" s="6" t="n"/>
      <c r="T146" s="6" t="n"/>
      <c r="U146" s="6" t="n"/>
      <c r="V146" s="6" t="n"/>
      <c r="W146" s="3" t="n"/>
      <c r="X146" s="6" t="n"/>
      <c r="Y146" s="6" t="n"/>
      <c r="Z146" s="6" t="n"/>
      <c r="AA146" s="6" t="n"/>
      <c r="AB146" s="3" t="n"/>
      <c r="AC146" s="6" t="n"/>
      <c r="AD146" s="6" t="n"/>
      <c r="AE146" s="6" t="n"/>
      <c r="AF146" s="6" t="n"/>
      <c r="AG146" s="3">
        <f>AF146</f>
        <v>0</v>
      </c>
      <c r="AH146" s="216">
        <f>AG146*AH15/AG15</f>
        <v>0</v>
      </c>
      <c r="AI146" s="216">
        <f>AH146*AI15/AH15</f>
        <v>0</v>
      </c>
      <c r="AJ146" s="216">
        <f>AI146*AJ15/AI15</f>
        <v>0</v>
      </c>
      <c r="AK146" s="216">
        <f>AJ146*AK15/AJ15</f>
        <v>0</v>
      </c>
      <c r="AL146" s="3">
        <f>AK146</f>
        <v>0</v>
      </c>
      <c r="AM146" s="3" t="n"/>
      <c r="AN146" s="3" t="n"/>
      <c r="AO146" s="3" t="n"/>
      <c r="AP146" s="3" t="n"/>
      <c r="AQ146" s="3" t="n"/>
      <c r="AR146" s="3" t="n"/>
      <c r="AS146" s="3" t="n"/>
      <c r="AT146" s="3" t="n"/>
      <c r="AU146" s="3" t="n"/>
      <c r="AV146" s="3" t="n"/>
      <c r="AW146" s="3" t="n"/>
      <c r="AX146" s="3" t="n"/>
      <c r="AY146" s="3" t="n"/>
      <c r="AZ146" s="3" t="n"/>
      <c r="BA146" s="3" t="n"/>
      <c r="BB146" s="3" t="n"/>
      <c r="BC146" s="3" t="n"/>
      <c r="BD146" s="3" t="n"/>
      <c r="BE146" s="3" t="n"/>
      <c r="BF146" s="3" t="n"/>
      <c r="BG146" s="3" t="n"/>
      <c r="BH146" s="3" t="n"/>
      <c r="BI146" s="3" t="n"/>
      <c r="BJ146" s="3" t="n"/>
      <c r="BK146" s="3" t="n"/>
      <c r="BL146" s="3" t="n"/>
      <c r="BM146" s="3" t="n"/>
      <c r="BN146" s="3" t="n"/>
      <c r="BO146" s="3" t="n"/>
      <c r="BP146" s="3" t="n"/>
      <c r="BQ146" s="3" t="n"/>
      <c r="BR146" s="3" t="n"/>
      <c r="BS146" s="3" t="n"/>
      <c r="BT146" s="3" t="n"/>
      <c r="BU146" s="3" t="n"/>
      <c r="BV146" s="3" t="n"/>
      <c r="BW146" s="3" t="n"/>
      <c r="BX146" s="3" t="n"/>
      <c r="BY146" s="3" t="n"/>
      <c r="BZ146" s="3" t="n"/>
      <c r="CA146" s="3" t="n"/>
      <c r="CB146" s="3" t="n"/>
      <c r="CC146" s="3" t="n"/>
      <c r="CD146" s="3" t="n"/>
      <c r="CE146" s="3" t="n"/>
      <c r="CF146" s="3" t="n"/>
      <c r="CG146" s="3" t="n"/>
      <c r="CH146" s="3" t="n"/>
      <c r="CI146" s="3" t="n"/>
      <c r="CJ146" s="3" t="n"/>
      <c r="CK146" s="3" t="n"/>
      <c r="CL146" s="3" t="n"/>
      <c r="CM146" s="3" t="n"/>
      <c r="CN146" s="3" t="n"/>
      <c r="CO146" s="3" t="n"/>
      <c r="CP146" s="3" t="n"/>
      <c r="CQ146" s="3" t="n"/>
      <c r="CR146" s="3" t="n"/>
      <c r="CS146" s="3" t="n"/>
      <c r="CT146" s="3" t="n"/>
      <c r="CU146" s="3" t="n"/>
      <c r="CV146" s="3" t="n"/>
      <c r="CW146" s="3" t="n"/>
      <c r="CX146" s="3" t="n"/>
      <c r="CY146" s="3" t="n"/>
    </row>
    <row r="147" hidden="1" outlineLevel="1">
      <c r="C147" s="52" t="inlineStr">
        <is>
          <t>Outros Créditos</t>
        </is>
      </c>
      <c r="D147" s="6" t="n"/>
      <c r="E147" s="6" t="n"/>
      <c r="F147" s="6" t="n"/>
      <c r="G147" s="6" t="n"/>
      <c r="H147" s="3" t="n"/>
      <c r="I147" s="6" t="n"/>
      <c r="J147" s="6" t="n"/>
      <c r="K147" s="6" t="n"/>
      <c r="L147" s="6" t="n"/>
      <c r="M147" s="3" t="n"/>
      <c r="N147" s="6" t="n"/>
      <c r="O147" s="6" t="n"/>
      <c r="P147" s="6" t="n"/>
      <c r="Q147" s="6" t="n"/>
      <c r="R147" s="3" t="n"/>
      <c r="S147" s="6" t="n"/>
      <c r="T147" s="6" t="n"/>
      <c r="U147" s="6" t="n"/>
      <c r="V147" s="6" t="n"/>
      <c r="W147" s="3" t="n"/>
      <c r="X147" s="6" t="n"/>
      <c r="Y147" s="6" t="n"/>
      <c r="Z147" s="6" t="n"/>
      <c r="AA147" s="6" t="n"/>
      <c r="AB147" s="3" t="n"/>
      <c r="AC147" s="6" t="n"/>
      <c r="AD147" s="6" t="n"/>
      <c r="AE147" s="6" t="n"/>
      <c r="AF147" s="6" t="n"/>
      <c r="AG147" s="3">
        <f>AF147</f>
        <v>0</v>
      </c>
      <c r="AH147" s="3">
        <f>AG147</f>
        <v>0</v>
      </c>
      <c r="AI147" s="3">
        <f>AH147</f>
        <v>0</v>
      </c>
      <c r="AJ147" s="3">
        <f>AI147</f>
        <v>0</v>
      </c>
      <c r="AK147" s="3">
        <f>AJ147</f>
        <v>0</v>
      </c>
      <c r="AL147" s="3">
        <f>AK147</f>
        <v>0</v>
      </c>
      <c r="AM147" s="3" t="n"/>
      <c r="AN147" s="3" t="n"/>
      <c r="AO147" s="3" t="n"/>
      <c r="AP147" s="3" t="n"/>
      <c r="AQ147" s="3" t="n"/>
      <c r="AR147" s="3" t="n"/>
      <c r="AS147" s="3" t="n"/>
      <c r="AT147" s="3" t="n"/>
      <c r="AU147" s="3" t="n"/>
      <c r="AV147" s="3" t="n"/>
      <c r="AW147" s="3" t="n"/>
      <c r="AX147" s="3" t="n"/>
      <c r="AY147" s="3" t="n"/>
      <c r="AZ147" s="3" t="n"/>
      <c r="BA147" s="3" t="n"/>
      <c r="BB147" s="3" t="n"/>
      <c r="BC147" s="3" t="n"/>
      <c r="BD147" s="3" t="n"/>
      <c r="BE147" s="3" t="n"/>
      <c r="BF147" s="3" t="n"/>
      <c r="BG147" s="3" t="n"/>
      <c r="BH147" s="3" t="n"/>
      <c r="BI147" s="3" t="n"/>
      <c r="BJ147" s="3" t="n"/>
      <c r="BK147" s="3" t="n"/>
      <c r="BL147" s="3" t="n"/>
      <c r="BM147" s="3" t="n"/>
      <c r="BN147" s="3" t="n"/>
      <c r="BO147" s="3" t="n"/>
      <c r="BP147" s="3" t="n"/>
      <c r="BQ147" s="3" t="n"/>
      <c r="BR147" s="3" t="n"/>
      <c r="BS147" s="3" t="n"/>
      <c r="BT147" s="3" t="n"/>
      <c r="BU147" s="3" t="n"/>
      <c r="BV147" s="3" t="n"/>
      <c r="BW147" s="3" t="n"/>
      <c r="BX147" s="3" t="n"/>
      <c r="BY147" s="3" t="n"/>
      <c r="BZ147" s="3" t="n"/>
      <c r="CA147" s="3" t="n"/>
      <c r="CB147" s="3" t="n"/>
      <c r="CC147" s="3" t="n"/>
      <c r="CD147" s="3" t="n"/>
      <c r="CE147" s="3" t="n"/>
      <c r="CF147" s="3" t="n"/>
      <c r="CG147" s="3" t="n"/>
      <c r="CH147" s="3" t="n"/>
      <c r="CI147" s="3" t="n"/>
      <c r="CJ147" s="3" t="n"/>
      <c r="CK147" s="3" t="n"/>
      <c r="CL147" s="3" t="n"/>
      <c r="CM147" s="3" t="n"/>
      <c r="CN147" s="3" t="n"/>
      <c r="CO147" s="3" t="n"/>
      <c r="CP147" s="3" t="n"/>
      <c r="CQ147" s="3" t="n"/>
      <c r="CR147" s="3" t="n"/>
      <c r="CS147" s="3" t="n"/>
      <c r="CT147" s="3" t="n"/>
      <c r="CU147" s="3" t="n"/>
      <c r="CV147" s="3" t="n"/>
      <c r="CW147" s="3" t="n"/>
      <c r="CX147" s="3" t="n"/>
      <c r="CY147" s="3" t="n"/>
    </row>
    <row r="148" hidden="1" outlineLevel="1">
      <c r="C148" s="34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  <c r="AA148" s="3" t="n"/>
      <c r="AB148" s="3" t="n"/>
      <c r="AC148" s="3" t="n"/>
      <c r="AD148" s="3" t="n"/>
      <c r="AE148" s="3" t="n"/>
      <c r="AF148" s="3" t="n"/>
      <c r="AG148" s="3" t="n"/>
      <c r="AH148" s="3" t="n"/>
      <c r="AI148" s="3" t="n"/>
      <c r="AJ148" s="3" t="n"/>
      <c r="AK148" s="3" t="n"/>
      <c r="AL148" s="3" t="n"/>
      <c r="AM148" s="3" t="n"/>
      <c r="AN148" s="3" t="n"/>
      <c r="AO148" s="3" t="n"/>
      <c r="AP148" s="3" t="n"/>
      <c r="AQ148" s="3" t="n"/>
      <c r="AR148" s="3" t="n"/>
      <c r="AS148" s="3" t="n"/>
      <c r="AT148" s="3" t="n"/>
      <c r="AU148" s="3" t="n"/>
      <c r="AV148" s="3" t="n"/>
      <c r="AW148" s="3" t="n"/>
      <c r="AX148" s="3" t="n"/>
      <c r="AY148" s="3" t="n"/>
      <c r="AZ148" s="3" t="n"/>
      <c r="BA148" s="3" t="n"/>
      <c r="BB148" s="3" t="n"/>
      <c r="BC148" s="3" t="n"/>
      <c r="BD148" s="3" t="n"/>
      <c r="BE148" s="3" t="n"/>
      <c r="BF148" s="3" t="n"/>
      <c r="BG148" s="3" t="n"/>
      <c r="BH148" s="3" t="n"/>
      <c r="BI148" s="3" t="n"/>
      <c r="BJ148" s="3" t="n"/>
      <c r="BK148" s="3" t="n"/>
      <c r="BL148" s="3" t="n"/>
      <c r="BM148" s="3" t="n"/>
      <c r="BN148" s="3" t="n"/>
      <c r="BO148" s="3" t="n"/>
      <c r="BP148" s="3" t="n"/>
      <c r="BQ148" s="3" t="n"/>
      <c r="BR148" s="3" t="n"/>
      <c r="BS148" s="3" t="n"/>
      <c r="BT148" s="3" t="n"/>
      <c r="BU148" s="3" t="n"/>
      <c r="BV148" s="3" t="n"/>
      <c r="BW148" s="3" t="n"/>
      <c r="BX148" s="3" t="n"/>
      <c r="BY148" s="3" t="n"/>
      <c r="BZ148" s="3" t="n"/>
      <c r="CA148" s="3" t="n"/>
      <c r="CB148" s="3" t="n"/>
      <c r="CC148" s="3" t="n"/>
      <c r="CD148" s="3" t="n"/>
      <c r="CE148" s="3" t="n"/>
      <c r="CF148" s="3" t="n"/>
      <c r="CG148" s="3" t="n"/>
      <c r="CH148" s="3" t="n"/>
      <c r="CI148" s="3" t="n"/>
      <c r="CJ148" s="3" t="n"/>
      <c r="CK148" s="3" t="n"/>
      <c r="CL148" s="3" t="n"/>
      <c r="CM148" s="3" t="n"/>
      <c r="CN148" s="3" t="n"/>
      <c r="CO148" s="3" t="n"/>
      <c r="CP148" s="3" t="n"/>
      <c r="CQ148" s="3" t="n"/>
      <c r="CR148" s="3" t="n"/>
      <c r="CS148" s="3" t="n"/>
      <c r="CT148" s="3" t="n"/>
      <c r="CU148" s="3" t="n"/>
      <c r="CV148" s="3" t="n"/>
      <c r="CW148" s="3" t="n"/>
      <c r="CX148" s="3" t="n"/>
      <c r="CY148" s="3" t="n"/>
    </row>
    <row r="149" collapsed="1">
      <c r="C149" s="26" t="inlineStr">
        <is>
          <t>Equity in affiliates</t>
        </is>
      </c>
      <c r="D149" s="25">
        <f>INDEX('Inputs (2)'!$D$21:$AL$21,MATCH(D$7,'Inputs (2)'!$D$2:$AL$2,0))</f>
        <v>0</v>
      </c>
      <c r="E149" s="25">
        <f>INDEX('Inputs (2)'!$D$21:$AL$21,MATCH(E$7,'Inputs (2)'!$D$2:$AL$2,0))</f>
        <v>0</v>
      </c>
      <c r="F149" s="25">
        <f>INDEX('Inputs (2)'!$D$21:$AL$21,MATCH(F$7,'Inputs (2)'!$D$2:$AL$2,0))</f>
        <v>0</v>
      </c>
      <c r="G149" s="25">
        <f>INDEX('Inputs (2)'!$D$21:$AL$21,MATCH(G$7,'Inputs (2)'!$D$2:$AL$2,0))</f>
        <v>0</v>
      </c>
      <c r="H149" s="3">
        <f>G149</f>
        <v>0</v>
      </c>
      <c r="I149" s="25">
        <f>INDEX('Inputs (2)'!$D$21:$AL$21,MATCH(I$7,'Inputs (2)'!$D$2:$AL$2,0))</f>
        <v>0</v>
      </c>
      <c r="J149" s="25">
        <f>INDEX('Inputs (2)'!$D$21:$AL$21,MATCH(J$7,'Inputs (2)'!$D$2:$AL$2,0))</f>
        <v>0</v>
      </c>
      <c r="K149" s="25">
        <f>INDEX('Inputs (2)'!$D$21:$AL$21,MATCH(K$7,'Inputs (2)'!$D$2:$AL$2,0))</f>
        <v>0</v>
      </c>
      <c r="L149" s="25">
        <f>INDEX('Inputs (2)'!$D$21:$AL$21,MATCH(L$7,'Inputs (2)'!$D$2:$AL$2,0))</f>
        <v>0</v>
      </c>
      <c r="M149" s="3">
        <f>L149</f>
        <v>0</v>
      </c>
      <c r="N149" s="25">
        <f>INDEX('Inputs (2)'!$D$21:$AL$21,MATCH(N$7,'Inputs (2)'!$D$2:$AL$2,0))</f>
        <v>0</v>
      </c>
      <c r="O149" s="25">
        <f>INDEX('Inputs (2)'!$D$21:$AL$21,MATCH(O$7,'Inputs (2)'!$D$2:$AL$2,0))</f>
        <v>0</v>
      </c>
      <c r="P149" s="25">
        <f>INDEX('Inputs (2)'!$D$21:$AL$21,MATCH(P$7,'Inputs (2)'!$D$2:$AL$2,0))</f>
        <v>0</v>
      </c>
      <c r="Q149" s="25">
        <f>INDEX('Inputs (2)'!$D$21:$AL$21,MATCH(Q$7,'Inputs (2)'!$D$2:$AL$2,0))</f>
        <v>0</v>
      </c>
      <c r="R149" s="3">
        <f>Q149</f>
        <v>0</v>
      </c>
      <c r="S149" s="25">
        <f>INDEX('Inputs (2)'!$D$21:$AL$21,MATCH(S$7,'Inputs (2)'!$D$2:$AL$2,0))</f>
        <v>0</v>
      </c>
      <c r="T149" s="25">
        <f>INDEX('Inputs (2)'!$D$21:$AL$21,MATCH(T$7,'Inputs (2)'!$D$2:$AL$2,0))</f>
        <v>0</v>
      </c>
      <c r="U149" s="25">
        <f>INDEX('Inputs (2)'!$D$21:$AL$21,MATCH(U$7,'Inputs (2)'!$D$2:$AL$2,0))</f>
        <v>0</v>
      </c>
      <c r="V149" s="25">
        <f>INDEX('Inputs (2)'!$D$21:$AL$21,MATCH(V$7,'Inputs (2)'!$D$2:$AL$2,0))</f>
        <v>0</v>
      </c>
      <c r="W149" s="3">
        <f>V149</f>
        <v>0</v>
      </c>
      <c r="X149" s="25">
        <f>INDEX('Inputs (2)'!$D$21:$AL$21,MATCH(X$7,'Inputs (2)'!$D$2:$AL$2,0))</f>
        <v>0</v>
      </c>
      <c r="Y149" s="25">
        <f>INDEX('Inputs (2)'!$D$21:$AL$21,MATCH(Y$7,'Inputs (2)'!$D$2:$AL$2,0))</f>
        <v>0</v>
      </c>
      <c r="Z149" s="25">
        <f>INDEX('Inputs (2)'!$D$21:$AL$21,MATCH(Z$7,'Inputs (2)'!$D$2:$AL$2,0))</f>
        <v>0</v>
      </c>
      <c r="AA149" s="25">
        <f>INDEX('Inputs (2)'!$D$21:$AL$21,MATCH(AA$7,'Inputs (2)'!$D$2:$AL$2,0))</f>
        <v>0</v>
      </c>
      <c r="AB149" s="3">
        <f>AA149</f>
        <v>0</v>
      </c>
      <c r="AC149" s="25">
        <f>INDEX('Inputs (2)'!$D$21:$AL$21,MATCH(AC$7,'Inputs (2)'!$D$2:$AL$2,0))</f>
        <v>0</v>
      </c>
      <c r="AD149" s="25">
        <f>INDEX('Inputs (2)'!$D$21:$AL$21,MATCH(AD$7,'Inputs (2)'!$D$2:$AL$2,0))</f>
        <v>0</v>
      </c>
      <c r="AE149" s="25">
        <f>INDEX('Inputs (2)'!$D$21:$AL$21,MATCH(AE$7,'Inputs (2)'!$D$2:$AL$2,0))</f>
        <v>0</v>
      </c>
      <c r="AF149" s="25">
        <f>INDEX('Inputs (2)'!$D$21:$AL$21,MATCH(AF$7,'Inputs (2)'!$D$2:$AL$2,0))</f>
        <v>0</v>
      </c>
      <c r="AG149" s="3">
        <f>AF149</f>
        <v>0</v>
      </c>
      <c r="AH149" s="3">
        <f>INDEX('Inputs (2)'!$D$21:$AL$21,MATCH(AH$7,'Inputs (2)'!$D$2:$AL$2,0))</f>
        <v>0</v>
      </c>
      <c r="AI149" s="3">
        <f>INDEX('Inputs (2)'!$D$21:$AL$21,MATCH(AI$7,'Inputs (2)'!$D$2:$AL$2,0))</f>
        <v>0</v>
      </c>
      <c r="AJ149" s="3">
        <f>AI149+AJ123+AJ152</f>
        <v>0</v>
      </c>
      <c r="AK149" s="3">
        <f>AJ149+AK123+AK152</f>
        <v>0</v>
      </c>
      <c r="AL149" s="3">
        <f>AK149</f>
        <v>0</v>
      </c>
      <c r="AM149" s="3">
        <f>AL149+AM123+AM152</f>
        <v>0</v>
      </c>
      <c r="AN149" s="3">
        <f>AM149+AN123+AN152</f>
        <v>0</v>
      </c>
      <c r="AO149" s="3">
        <f>AN149+AO123+AO152</f>
        <v>0</v>
      </c>
      <c r="AP149" s="3">
        <f>AO149+AP123+AP152</f>
        <v>0</v>
      </c>
      <c r="AQ149" s="3">
        <f>AP149</f>
        <v>0</v>
      </c>
      <c r="AR149" s="3">
        <f>AQ149+AR123+AR152</f>
        <v>0</v>
      </c>
      <c r="AS149" s="3">
        <f>AR149+AS123+AS152</f>
        <v>0</v>
      </c>
      <c r="AT149" s="3">
        <f>AS149+AT123+AT152</f>
        <v>0</v>
      </c>
      <c r="AU149" s="3">
        <f>AT149+AU123+AU152</f>
        <v>0</v>
      </c>
      <c r="AV149" s="3">
        <f>AU149</f>
        <v>0</v>
      </c>
      <c r="AW149" s="3">
        <f>AV149+AW123+AW152</f>
        <v>0</v>
      </c>
      <c r="AX149" s="3">
        <f>AW149+AX123+AX152</f>
        <v>0</v>
      </c>
      <c r="AY149" s="3">
        <f>AX149+AY123+AY152</f>
        <v>0</v>
      </c>
      <c r="AZ149" s="3">
        <f>AY149+AZ123+AZ152</f>
        <v>0</v>
      </c>
      <c r="BA149" s="3">
        <f>AZ149</f>
        <v>0</v>
      </c>
      <c r="BB149" s="3">
        <f>BA149+BB123+BB152</f>
        <v>0</v>
      </c>
      <c r="BC149" s="3">
        <f>BB149+BC123+BC152</f>
        <v>0</v>
      </c>
      <c r="BD149" s="3">
        <f>BC149+BD123+BD152</f>
        <v>0</v>
      </c>
      <c r="BE149" s="3">
        <f>BD149+BE123+BE152</f>
        <v>0</v>
      </c>
      <c r="BF149" s="3">
        <f>BE149</f>
        <v>0</v>
      </c>
      <c r="BG149" s="3">
        <f>BF149+BG123+BG152</f>
        <v>0</v>
      </c>
      <c r="BH149" s="3">
        <f>BG149+BH123+BH152</f>
        <v>0</v>
      </c>
      <c r="BI149" s="3">
        <f>BH149+BI123+BI152</f>
        <v>0</v>
      </c>
      <c r="BJ149" s="3">
        <f>BI149+BJ123+BJ152</f>
        <v>0</v>
      </c>
      <c r="BK149" s="3">
        <f>BJ149</f>
        <v>0</v>
      </c>
      <c r="BL149" s="3">
        <f>BK149+BL123+BL152</f>
        <v>0</v>
      </c>
      <c r="BM149" s="3">
        <f>BL149+BM123+BM152</f>
        <v>0</v>
      </c>
      <c r="BN149" s="3">
        <f>BM149+BN123+BN152</f>
        <v>0</v>
      </c>
      <c r="BO149" s="3">
        <f>BN149+BO123+BO152</f>
        <v>0</v>
      </c>
      <c r="BP149" s="3">
        <f>BO149</f>
        <v>0</v>
      </c>
      <c r="BQ149" s="3">
        <f>BP149+BQ123+BQ152</f>
        <v>0</v>
      </c>
      <c r="BR149" s="3">
        <f>BQ149+BR123+BR152</f>
        <v>0</v>
      </c>
      <c r="BS149" s="3">
        <f>BR149+BS123+BS152</f>
        <v>0</v>
      </c>
      <c r="BT149" s="3">
        <f>BS149+BT123+BT152</f>
        <v>0</v>
      </c>
      <c r="BU149" s="3">
        <f>BT149</f>
        <v>0</v>
      </c>
      <c r="BV149" s="3">
        <f>BU149+BV123+BV152</f>
        <v>0</v>
      </c>
      <c r="BW149" s="3">
        <f>BV149+BW123+BW152</f>
        <v>0</v>
      </c>
      <c r="BX149" s="3">
        <f>BW149+BX123+BX152</f>
        <v>0</v>
      </c>
      <c r="BY149" s="3">
        <f>BX149+BY123+BY152</f>
        <v>0</v>
      </c>
      <c r="BZ149" s="3">
        <f>BY149</f>
        <v>0</v>
      </c>
      <c r="CA149" s="3">
        <f>BZ149+CA123+CA152</f>
        <v>0</v>
      </c>
      <c r="CB149" s="3">
        <f>CA149+CB123+CB152</f>
        <v>0</v>
      </c>
      <c r="CC149" s="3">
        <f>CB149+CC123+CC152</f>
        <v>0</v>
      </c>
      <c r="CD149" s="3">
        <f>CC149+CD123+CD152</f>
        <v>0</v>
      </c>
      <c r="CE149" s="3">
        <f>CD149</f>
        <v>0</v>
      </c>
      <c r="CF149" s="3">
        <f>CE149+CF123+CF152</f>
        <v>0</v>
      </c>
      <c r="CG149" s="3">
        <f>CF149+CG123+CG152</f>
        <v>0</v>
      </c>
      <c r="CH149" s="3">
        <f>CG149+CH123+CH152</f>
        <v>0</v>
      </c>
      <c r="CI149" s="3">
        <f>CH149+CI123+CI152</f>
        <v>0</v>
      </c>
      <c r="CJ149" s="3">
        <f>CI149</f>
        <v>0</v>
      </c>
      <c r="CK149" s="3">
        <f>CJ149+CK123+CK152</f>
        <v>0</v>
      </c>
      <c r="CL149" s="3">
        <f>CK149+CL123+CL152</f>
        <v>0</v>
      </c>
      <c r="CM149" s="3">
        <f>CL149+CM123+CM152</f>
        <v>0</v>
      </c>
      <c r="CN149" s="3">
        <f>CM149+CN123+CN152</f>
        <v>0</v>
      </c>
      <c r="CO149" s="3">
        <f>CN149</f>
        <v>0</v>
      </c>
      <c r="CP149" s="3">
        <f>CO149+CP123+CP152</f>
        <v>0</v>
      </c>
      <c r="CQ149" s="3">
        <f>CP149+CQ123+CQ152</f>
        <v>0</v>
      </c>
      <c r="CR149" s="3">
        <f>CQ149+CR123+CR152</f>
        <v>0</v>
      </c>
      <c r="CS149" s="3">
        <f>CR149+CS123+CS152</f>
        <v>0</v>
      </c>
      <c r="CT149" s="3">
        <f>CS149</f>
        <v>0</v>
      </c>
      <c r="CU149" s="3">
        <f>CT149+CU123+CU152</f>
        <v>0</v>
      </c>
      <c r="CV149" s="3">
        <f>CU149+CV123+CV152</f>
        <v>0</v>
      </c>
      <c r="CW149" s="3">
        <f>CV149+CW123+CW152</f>
        <v>0</v>
      </c>
      <c r="CX149" s="3">
        <f>CW149+CX123+CX152</f>
        <v>0</v>
      </c>
      <c r="CY149" s="3">
        <f>CX149</f>
        <v>0</v>
      </c>
    </row>
    <row r="150" hidden="1" outlineLevel="1">
      <c r="C150" s="34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  <c r="AA150" s="3" t="n"/>
      <c r="AB150" s="3" t="n"/>
      <c r="AC150" s="3" t="n"/>
      <c r="AD150" s="3" t="n"/>
      <c r="AE150" s="3" t="n"/>
      <c r="AF150" s="3" t="n"/>
      <c r="AG150" s="3" t="n"/>
      <c r="AH150" s="3" t="n"/>
      <c r="AI150" s="3" t="n"/>
      <c r="AJ150" s="3" t="n"/>
      <c r="AK150" s="3" t="n"/>
      <c r="AL150" s="3" t="n"/>
      <c r="AM150" s="3" t="n"/>
      <c r="AN150" s="3" t="n"/>
      <c r="AO150" s="3" t="n"/>
      <c r="AP150" s="3" t="n"/>
      <c r="AQ150" s="3" t="n"/>
      <c r="AR150" s="3" t="n"/>
      <c r="AS150" s="3" t="n"/>
      <c r="AT150" s="3" t="n"/>
      <c r="AU150" s="3" t="n"/>
      <c r="AV150" s="3" t="n"/>
      <c r="AW150" s="3" t="n"/>
      <c r="AX150" s="3" t="n"/>
      <c r="AY150" s="3" t="n"/>
      <c r="AZ150" s="3" t="n"/>
      <c r="BA150" s="3" t="n"/>
      <c r="BB150" s="3" t="n"/>
      <c r="BC150" s="3" t="n"/>
      <c r="BD150" s="3" t="n"/>
      <c r="BE150" s="3" t="n"/>
      <c r="BF150" s="3" t="n"/>
      <c r="BG150" s="3" t="n"/>
      <c r="BH150" s="3" t="n"/>
      <c r="BI150" s="3" t="n"/>
      <c r="BJ150" s="3" t="n"/>
      <c r="BK150" s="3" t="n"/>
      <c r="BL150" s="3" t="n"/>
      <c r="BM150" s="3" t="n"/>
      <c r="BN150" s="3" t="n"/>
      <c r="BO150" s="3" t="n"/>
      <c r="BP150" s="3" t="n"/>
      <c r="BQ150" s="3" t="n"/>
      <c r="BR150" s="3" t="n"/>
      <c r="BS150" s="3" t="n"/>
      <c r="BT150" s="3" t="n"/>
      <c r="BU150" s="3" t="n"/>
      <c r="BV150" s="3" t="n"/>
      <c r="BW150" s="3" t="n"/>
      <c r="BX150" s="3" t="n"/>
      <c r="BY150" s="3" t="n"/>
      <c r="BZ150" s="3" t="n"/>
      <c r="CA150" s="3" t="n"/>
      <c r="CB150" s="3" t="n"/>
      <c r="CC150" s="3" t="n"/>
      <c r="CD150" s="3" t="n"/>
      <c r="CE150" s="3" t="n"/>
      <c r="CF150" s="3" t="n"/>
      <c r="CG150" s="3" t="n"/>
      <c r="CH150" s="3" t="n"/>
      <c r="CI150" s="3" t="n"/>
      <c r="CJ150" s="3" t="n"/>
      <c r="CK150" s="3" t="n"/>
      <c r="CL150" s="3" t="n"/>
      <c r="CM150" s="3" t="n"/>
      <c r="CN150" s="3" t="n"/>
      <c r="CO150" s="3" t="n"/>
      <c r="CP150" s="3" t="n"/>
      <c r="CQ150" s="3" t="n"/>
      <c r="CR150" s="3" t="n"/>
      <c r="CS150" s="3" t="n"/>
      <c r="CT150" s="3" t="n"/>
      <c r="CU150" s="3" t="n"/>
      <c r="CV150" s="3" t="n"/>
      <c r="CW150" s="3" t="n"/>
      <c r="CX150" s="3" t="n"/>
      <c r="CY150" s="3" t="n"/>
    </row>
    <row r="151" hidden="1" outlineLevel="1">
      <c r="C151" s="34" t="inlineStr">
        <is>
          <t>Equity in Income - % YoY</t>
        </is>
      </c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>
        <f>IF(I123=0,0,N123/I123-1)</f>
        <v>-0.0131578947368421</v>
      </c>
      <c r="O151" s="3">
        <f>IF(J123=0,0,O123/J123-1)</f>
        <v>0.0135135135135136</v>
      </c>
      <c r="P151" s="3">
        <f>IF(K123=0,0,P123/K123-1)</f>
        <v>-3.98666666666667</v>
      </c>
      <c r="Q151" s="3">
        <f>IF(L123=0,0,Q123/L123-1)</f>
        <v>-1</v>
      </c>
      <c r="R151" s="3" t="n"/>
      <c r="S151" s="3">
        <f>IF(N123=0,0,S123/N123-1)</f>
        <v>-1</v>
      </c>
      <c r="T151" s="3">
        <f>IF(O123=0,0,T123/O123-1)</f>
        <v>-1</v>
      </c>
      <c r="U151" s="3">
        <f>IF(P123=0,0,U123/P123-1)</f>
        <v>-1</v>
      </c>
      <c r="V151" s="3">
        <f>IF(Q123=0,0,V123/Q123-1)</f>
        <v>0</v>
      </c>
      <c r="W151" s="3" t="n"/>
      <c r="X151" s="3">
        <f>IF(S123=0,0,X123/S123-1)</f>
        <v>0</v>
      </c>
      <c r="Y151" s="3">
        <f>IF(T123=0,0,Y123/T123-1)</f>
        <v>0</v>
      </c>
      <c r="Z151" s="3">
        <f>IF(U123=0,0,Z123/U123-1)</f>
        <v>0</v>
      </c>
      <c r="AA151" s="3">
        <f>IF(V123=0,0,AA123/V123-1)</f>
        <v>-1</v>
      </c>
      <c r="AB151" s="3" t="n"/>
      <c r="AC151" s="3">
        <f>IF(X123=0,0,AC123/X123-1)</f>
        <v>0</v>
      </c>
      <c r="AD151" s="3">
        <f>IF(Y123=0,0,AD123/Y123-1)</f>
        <v>-1</v>
      </c>
      <c r="AE151" s="3">
        <f>IF(Z123=0,0,AE123/Z123-1)</f>
        <v>-1</v>
      </c>
      <c r="AF151" s="3">
        <f>IF(AA123=0,0,AF123/AA123-1)</f>
        <v>0</v>
      </c>
      <c r="AG151" s="3" t="n"/>
      <c r="AH151" s="6">
        <f>IF(AC123=0,0,AH123/AC123-1)</f>
        <v>0</v>
      </c>
      <c r="AI151" s="6">
        <f>IF(AD123=0,0,AI123/AD123-1)</f>
        <v>0</v>
      </c>
      <c r="AJ151" s="6" t="n"/>
      <c r="AK151" s="6" t="n"/>
      <c r="AL151" s="3" t="n"/>
      <c r="AM151" s="6" t="n"/>
      <c r="AN151" s="6" t="n"/>
      <c r="AO151" s="6" t="n"/>
      <c r="AP151" s="6" t="n"/>
      <c r="AQ151" s="3" t="n"/>
      <c r="AR151" s="6" t="n"/>
      <c r="AS151" s="6" t="n"/>
      <c r="AT151" s="6" t="n"/>
      <c r="AU151" s="6" t="n"/>
      <c r="AV151" s="3" t="n"/>
      <c r="AW151" s="6" t="n"/>
      <c r="AX151" s="6" t="n"/>
      <c r="AY151" s="6" t="n"/>
      <c r="AZ151" s="6" t="n"/>
      <c r="BA151" s="3" t="n"/>
      <c r="BB151" s="6" t="n"/>
      <c r="BC151" s="6" t="n"/>
      <c r="BD151" s="6" t="n"/>
      <c r="BE151" s="6" t="n"/>
      <c r="BF151" s="3" t="n"/>
      <c r="BG151" s="6" t="n"/>
      <c r="BH151" s="6" t="n"/>
      <c r="BI151" s="6" t="n"/>
      <c r="BJ151" s="6" t="n"/>
      <c r="BK151" s="3" t="n"/>
      <c r="BL151" s="6" t="n"/>
      <c r="BM151" s="6" t="n"/>
      <c r="BN151" s="6" t="n"/>
      <c r="BO151" s="6" t="n"/>
      <c r="BP151" s="3" t="n"/>
      <c r="BQ151" s="6" t="n"/>
      <c r="BR151" s="6" t="n"/>
      <c r="BS151" s="6" t="n"/>
      <c r="BT151" s="6" t="n"/>
      <c r="BU151" s="3" t="n"/>
      <c r="BV151" s="6" t="n"/>
      <c r="BW151" s="6" t="n"/>
      <c r="BX151" s="6" t="n"/>
      <c r="BY151" s="6" t="n"/>
      <c r="BZ151" s="3" t="n"/>
      <c r="CA151" s="6" t="n"/>
      <c r="CB151" s="6" t="n"/>
      <c r="CC151" s="6" t="n"/>
      <c r="CD151" s="6" t="n"/>
      <c r="CE151" s="3" t="n"/>
      <c r="CF151" s="6" t="n"/>
      <c r="CG151" s="6" t="n"/>
      <c r="CH151" s="6" t="n"/>
      <c r="CI151" s="6" t="n"/>
      <c r="CJ151" s="3" t="n"/>
      <c r="CK151" s="6" t="n"/>
      <c r="CL151" s="6" t="n"/>
      <c r="CM151" s="6" t="n"/>
      <c r="CN151" s="6" t="n"/>
      <c r="CO151" s="3" t="n"/>
      <c r="CP151" s="6" t="n"/>
      <c r="CQ151" s="6" t="n"/>
      <c r="CR151" s="6" t="n"/>
      <c r="CS151" s="6" t="n"/>
      <c r="CT151" s="3" t="n"/>
      <c r="CU151" s="6" t="n"/>
      <c r="CV151" s="6" t="n"/>
      <c r="CW151" s="6" t="n"/>
      <c r="CX151" s="6" t="n"/>
      <c r="CY151" s="3" t="n"/>
    </row>
    <row r="152" hidden="1" outlineLevel="1">
      <c r="C152" s="34" t="inlineStr">
        <is>
          <t>Dividends (enter as -)</t>
        </is>
      </c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  <c r="AA152" s="3" t="n"/>
      <c r="AB152" s="3" t="n"/>
      <c r="AC152" s="3" t="n"/>
      <c r="AD152" s="3" t="n"/>
      <c r="AE152" s="3" t="n"/>
      <c r="AF152" s="3" t="n"/>
      <c r="AG152" s="3" t="n"/>
      <c r="AH152" s="6" t="n"/>
      <c r="AI152" s="6" t="n"/>
      <c r="AJ152" s="6" t="n"/>
      <c r="AK152" s="6" t="n"/>
      <c r="AL152" s="3" t="n"/>
      <c r="AM152" s="6" t="n"/>
      <c r="AN152" s="6" t="n"/>
      <c r="AO152" s="6" t="n"/>
      <c r="AP152" s="6" t="n"/>
      <c r="AQ152" s="3" t="n"/>
      <c r="AR152" s="6" t="n"/>
      <c r="AS152" s="6" t="n"/>
      <c r="AT152" s="6" t="n"/>
      <c r="AU152" s="6" t="n"/>
      <c r="AV152" s="3" t="n"/>
      <c r="AW152" s="6" t="n"/>
      <c r="AX152" s="6" t="n"/>
      <c r="AY152" s="6" t="n"/>
      <c r="AZ152" s="6" t="n"/>
      <c r="BA152" s="3" t="n"/>
      <c r="BB152" s="6" t="n"/>
      <c r="BC152" s="6" t="n"/>
      <c r="BD152" s="6" t="n"/>
      <c r="BE152" s="6" t="n"/>
      <c r="BF152" s="3" t="n"/>
      <c r="BG152" s="6" t="n"/>
      <c r="BH152" s="6" t="n"/>
      <c r="BI152" s="6" t="n"/>
      <c r="BJ152" s="6" t="n"/>
      <c r="BK152" s="3" t="n"/>
      <c r="BL152" s="6" t="n"/>
      <c r="BM152" s="6" t="n"/>
      <c r="BN152" s="6" t="n"/>
      <c r="BO152" s="6" t="n"/>
      <c r="BP152" s="3" t="n"/>
      <c r="BQ152" s="6" t="n"/>
      <c r="BR152" s="6" t="n"/>
      <c r="BS152" s="6" t="n"/>
      <c r="BT152" s="6" t="n"/>
      <c r="BU152" s="3" t="n"/>
      <c r="BV152" s="6" t="n"/>
      <c r="BW152" s="6" t="n"/>
      <c r="BX152" s="6" t="n"/>
      <c r="BY152" s="6" t="n"/>
      <c r="BZ152" s="3" t="n"/>
      <c r="CA152" s="6" t="n"/>
      <c r="CB152" s="6" t="n"/>
      <c r="CC152" s="6" t="n"/>
      <c r="CD152" s="6" t="n"/>
      <c r="CE152" s="3" t="n"/>
      <c r="CF152" s="6" t="n"/>
      <c r="CG152" s="6" t="n"/>
      <c r="CH152" s="6" t="n"/>
      <c r="CI152" s="6" t="n"/>
      <c r="CJ152" s="3" t="n"/>
      <c r="CK152" s="6" t="n"/>
      <c r="CL152" s="6" t="n"/>
      <c r="CM152" s="6" t="n"/>
      <c r="CN152" s="6" t="n"/>
      <c r="CO152" s="3" t="n"/>
      <c r="CP152" s="6" t="n"/>
      <c r="CQ152" s="6" t="n"/>
      <c r="CR152" s="6" t="n"/>
      <c r="CS152" s="6" t="n"/>
      <c r="CT152" s="3" t="n"/>
      <c r="CU152" s="6" t="n"/>
      <c r="CV152" s="6" t="n"/>
      <c r="CW152" s="6" t="n"/>
      <c r="CX152" s="6" t="n"/>
      <c r="CY152" s="3" t="n"/>
    </row>
    <row r="153" hidden="1" outlineLevel="1">
      <c r="C153" s="34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  <c r="AA153" s="3" t="n"/>
      <c r="AB153" s="3" t="n"/>
      <c r="AC153" s="3" t="n"/>
      <c r="AD153" s="3" t="n"/>
      <c r="AE153" s="3" t="n"/>
      <c r="AF153" s="3" t="n"/>
      <c r="AG153" s="3" t="n"/>
      <c r="AH153" s="3" t="n"/>
      <c r="AI153" s="3" t="n"/>
      <c r="AJ153" s="3" t="n"/>
      <c r="AK153" s="3" t="n"/>
      <c r="AL153" s="3" t="n"/>
      <c r="AM153" s="3" t="n"/>
      <c r="AN153" s="3" t="n"/>
      <c r="AO153" s="3" t="n"/>
      <c r="AP153" s="3" t="n"/>
      <c r="AQ153" s="3" t="n"/>
      <c r="AR153" s="3" t="n"/>
      <c r="AS153" s="3" t="n"/>
      <c r="AT153" s="3" t="n"/>
      <c r="AU153" s="3" t="n"/>
      <c r="AV153" s="3" t="n"/>
      <c r="AW153" s="3" t="n"/>
      <c r="AX153" s="3" t="n"/>
      <c r="AY153" s="3" t="n"/>
      <c r="AZ153" s="3" t="n"/>
      <c r="BA153" s="3" t="n"/>
      <c r="BB153" s="3" t="n"/>
      <c r="BC153" s="3" t="n"/>
      <c r="BD153" s="3" t="n"/>
      <c r="BE153" s="3" t="n"/>
      <c r="BF153" s="3" t="n"/>
      <c r="BG153" s="3" t="n"/>
      <c r="BH153" s="3" t="n"/>
      <c r="BI153" s="3" t="n"/>
      <c r="BJ153" s="3" t="n"/>
      <c r="BK153" s="3" t="n"/>
      <c r="BL153" s="3" t="n"/>
      <c r="BM153" s="3" t="n"/>
      <c r="BN153" s="3" t="n"/>
      <c r="BO153" s="3" t="n"/>
      <c r="BP153" s="3" t="n"/>
      <c r="BQ153" s="3" t="n"/>
      <c r="BR153" s="3" t="n"/>
      <c r="BS153" s="3" t="n"/>
      <c r="BT153" s="3" t="n"/>
      <c r="BU153" s="3" t="n"/>
      <c r="BV153" s="3" t="n"/>
      <c r="BW153" s="3" t="n"/>
      <c r="BX153" s="3" t="n"/>
      <c r="BY153" s="3" t="n"/>
      <c r="BZ153" s="3" t="n"/>
      <c r="CA153" s="3" t="n"/>
      <c r="CB153" s="3" t="n"/>
      <c r="CC153" s="3" t="n"/>
      <c r="CD153" s="3" t="n"/>
      <c r="CE153" s="3" t="n"/>
      <c r="CF153" s="3" t="n"/>
      <c r="CG153" s="3" t="n"/>
      <c r="CH153" s="3" t="n"/>
      <c r="CI153" s="3" t="n"/>
      <c r="CJ153" s="3" t="n"/>
      <c r="CK153" s="3" t="n"/>
      <c r="CL153" s="3" t="n"/>
      <c r="CM153" s="3" t="n"/>
      <c r="CN153" s="3" t="n"/>
      <c r="CO153" s="3" t="n"/>
      <c r="CP153" s="3" t="n"/>
      <c r="CQ153" s="3" t="n"/>
      <c r="CR153" s="3" t="n"/>
      <c r="CS153" s="3" t="n"/>
      <c r="CT153" s="3" t="n"/>
      <c r="CU153" s="3" t="n"/>
      <c r="CV153" s="3" t="n"/>
      <c r="CW153" s="3" t="n"/>
      <c r="CX153" s="3" t="n"/>
      <c r="CY153" s="3" t="n"/>
    </row>
    <row r="154" collapsed="1">
      <c r="C154" s="26" t="inlineStr">
        <is>
          <t>PP&amp;E</t>
        </is>
      </c>
      <c r="D154" s="25">
        <f>INDEX('Inputs (2)'!$D$22:$AL$22,MATCH(D$7,'Inputs (2)'!$D$2:$AL$2,0))</f>
        <v>2618</v>
      </c>
      <c r="E154" s="25">
        <f>INDEX('Inputs (2)'!$D$22:$AL$22,MATCH(E$7,'Inputs (2)'!$D$2:$AL$2,0))</f>
        <v>2567</v>
      </c>
      <c r="F154" s="25">
        <f>INDEX('Inputs (2)'!$D$22:$AL$22,MATCH(F$7,'Inputs (2)'!$D$2:$AL$2,0))</f>
        <v>2509</v>
      </c>
      <c r="G154" s="25">
        <f>INDEX('Inputs (2)'!$D$22:$AL$22,MATCH(G$7,'Inputs (2)'!$D$2:$AL$2,0))</f>
        <v>2496</v>
      </c>
      <c r="H154" s="3">
        <f>G154</f>
        <v>2496</v>
      </c>
      <c r="I154" s="25">
        <f>INDEX('Inputs (2)'!$D$22:$AL$22,MATCH(I$7,'Inputs (2)'!$D$2:$AL$2,0))</f>
        <v>2416</v>
      </c>
      <c r="J154" s="25">
        <f>INDEX('Inputs (2)'!$D$22:$AL$22,MATCH(J$7,'Inputs (2)'!$D$2:$AL$2,0))</f>
        <v>2370</v>
      </c>
      <c r="K154" s="25">
        <f>INDEX('Inputs (2)'!$D$22:$AL$22,MATCH(K$7,'Inputs (2)'!$D$2:$AL$2,0))</f>
        <v>2348</v>
      </c>
      <c r="L154" s="25">
        <f>INDEX('Inputs (2)'!$D$22:$AL$22,MATCH(L$7,'Inputs (2)'!$D$2:$AL$2,0))</f>
        <v>2303</v>
      </c>
      <c r="M154" s="3">
        <f>L154</f>
        <v>2303</v>
      </c>
      <c r="N154" s="25">
        <f>INDEX('Inputs (2)'!$D$22:$AL$22,MATCH(N$7,'Inputs (2)'!$D$2:$AL$2,0))</f>
        <v>2262</v>
      </c>
      <c r="O154" s="25">
        <f>INDEX('Inputs (2)'!$D$22:$AL$22,MATCH(O$7,'Inputs (2)'!$D$2:$AL$2,0))</f>
        <v>2250</v>
      </c>
      <c r="P154" s="25">
        <f>INDEX('Inputs (2)'!$D$22:$AL$22,MATCH(P$7,'Inputs (2)'!$D$2:$AL$2,0))</f>
        <v>2223</v>
      </c>
      <c r="Q154" s="25">
        <f>INDEX('Inputs (2)'!$D$22:$AL$22,MATCH(Q$7,'Inputs (2)'!$D$2:$AL$2,0))</f>
        <v>2201</v>
      </c>
      <c r="R154" s="3">
        <f>Q154</f>
        <v>2201</v>
      </c>
      <c r="S154" s="25">
        <f>INDEX('Inputs (2)'!$D$22:$AL$22,MATCH(S$7,'Inputs (2)'!$D$2:$AL$2,0))</f>
        <v>2209</v>
      </c>
      <c r="T154" s="25">
        <f>INDEX('Inputs (2)'!$D$22:$AL$22,MATCH(T$7,'Inputs (2)'!$D$2:$AL$2,0))</f>
        <v>2180</v>
      </c>
      <c r="U154" s="25">
        <f>INDEX('Inputs (2)'!$D$22:$AL$22,MATCH(U$7,'Inputs (2)'!$D$2:$AL$2,0))</f>
        <v>2154</v>
      </c>
      <c r="V154" s="25">
        <f>INDEX('Inputs (2)'!$D$22:$AL$22,MATCH(V$7,'Inputs (2)'!$D$2:$AL$2,0))</f>
        <v>2662</v>
      </c>
      <c r="W154" s="3">
        <f>V154</f>
        <v>2662</v>
      </c>
      <c r="X154" s="25">
        <f>INDEX('Inputs (2)'!$D$22:$AL$22,MATCH(X$7,'Inputs (2)'!$D$2:$AL$2,0))</f>
        <v>2668</v>
      </c>
      <c r="Y154" s="25">
        <f>INDEX('Inputs (2)'!$D$22:$AL$22,MATCH(Y$7,'Inputs (2)'!$D$2:$AL$2,0))</f>
        <v>2602</v>
      </c>
      <c r="Z154" s="25">
        <f>INDEX('Inputs (2)'!$D$22:$AL$22,MATCH(Z$7,'Inputs (2)'!$D$2:$AL$2,0))</f>
        <v>2521</v>
      </c>
      <c r="AA154" s="25">
        <f>INDEX('Inputs (2)'!$D$22:$AL$22,MATCH(AA$7,'Inputs (2)'!$D$2:$AL$2,0))</f>
        <v>2465</v>
      </c>
      <c r="AB154" s="3">
        <f>AA154</f>
        <v>2465</v>
      </c>
      <c r="AC154" s="25">
        <f>INDEX('Inputs (2)'!$D$22:$AL$22,MATCH(AC$7,'Inputs (2)'!$D$2:$AL$2,0))</f>
        <v>2462</v>
      </c>
      <c r="AD154" s="25">
        <f>INDEX('Inputs (2)'!$D$22:$AL$22,MATCH(AD$7,'Inputs (2)'!$D$2:$AL$2,0))</f>
        <v>2451</v>
      </c>
      <c r="AE154" s="25">
        <f>INDEX('Inputs (2)'!$D$22:$AL$22,MATCH(AE$7,'Inputs (2)'!$D$2:$AL$2,0))</f>
        <v>2530</v>
      </c>
      <c r="AF154" s="25">
        <f>INDEX('Inputs (2)'!$D$22:$AL$22,MATCH(AF$7,'Inputs (2)'!$D$2:$AL$2,0))</f>
        <v>2599</v>
      </c>
      <c r="AG154" s="3">
        <f>AF154</f>
        <v>2599</v>
      </c>
      <c r="AH154" s="3">
        <f>INDEX('Inputs (2)'!$D$22:$AL$22,MATCH(AH$7,'Inputs (2)'!$D$2:$AL$2,0))</f>
        <v>2788</v>
      </c>
      <c r="AI154" s="3">
        <f>INDEX('Inputs (2)'!$D$22:$AL$22,MATCH(AI$7,'Inputs (2)'!$D$2:$AL$2,0))</f>
        <v>3144</v>
      </c>
      <c r="AJ154" s="3">
        <f>AJ159</f>
        <v>3144</v>
      </c>
      <c r="AK154" s="3">
        <f>AK159</f>
        <v>3144</v>
      </c>
      <c r="AL154" s="3">
        <f>AK154</f>
        <v>3144</v>
      </c>
      <c r="AM154" s="3">
        <f>AM159</f>
        <v>3144</v>
      </c>
      <c r="AN154" s="3">
        <f>AN159</f>
        <v>3144</v>
      </c>
      <c r="AO154" s="3">
        <f>AO159</f>
        <v>3144</v>
      </c>
      <c r="AP154" s="3">
        <f>AP159</f>
        <v>3144</v>
      </c>
      <c r="AQ154" s="3">
        <f>AP154</f>
        <v>3144</v>
      </c>
      <c r="AR154" s="3">
        <f>AR159</f>
        <v>3144</v>
      </c>
      <c r="AS154" s="3">
        <f>AS159</f>
        <v>3144</v>
      </c>
      <c r="AT154" s="3">
        <f>AT159</f>
        <v>3144</v>
      </c>
      <c r="AU154" s="3">
        <f>AU159</f>
        <v>3144</v>
      </c>
      <c r="AV154" s="3">
        <f>AU154</f>
        <v>3144</v>
      </c>
      <c r="AW154" s="3">
        <f>AW159</f>
        <v>3144</v>
      </c>
      <c r="AX154" s="3">
        <f>AX159</f>
        <v>3144</v>
      </c>
      <c r="AY154" s="3">
        <f>AY159</f>
        <v>3144</v>
      </c>
      <c r="AZ154" s="3">
        <f>AZ159</f>
        <v>3144</v>
      </c>
      <c r="BA154" s="3">
        <f>AZ154</f>
        <v>3144</v>
      </c>
      <c r="BB154" s="3">
        <f>BB159</f>
        <v>3144</v>
      </c>
      <c r="BC154" s="3">
        <f>BC159</f>
        <v>3144</v>
      </c>
      <c r="BD154" s="3">
        <f>BD159</f>
        <v>3144</v>
      </c>
      <c r="BE154" s="3">
        <f>BE159</f>
        <v>3144</v>
      </c>
      <c r="BF154" s="3">
        <f>BE154</f>
        <v>3144</v>
      </c>
      <c r="BG154" s="3">
        <f>BG159</f>
        <v>3144</v>
      </c>
      <c r="BH154" s="3">
        <f>BH159</f>
        <v>3144</v>
      </c>
      <c r="BI154" s="3">
        <f>BI159</f>
        <v>3144</v>
      </c>
      <c r="BJ154" s="3">
        <f>BJ159</f>
        <v>3144</v>
      </c>
      <c r="BK154" s="3">
        <f>BJ154</f>
        <v>3144</v>
      </c>
      <c r="BL154" s="3">
        <f>BL159</f>
        <v>3144</v>
      </c>
      <c r="BM154" s="3">
        <f>BM159</f>
        <v>3144</v>
      </c>
      <c r="BN154" s="3">
        <f>BN159</f>
        <v>3144</v>
      </c>
      <c r="BO154" s="3">
        <f>BO159</f>
        <v>3144</v>
      </c>
      <c r="BP154" s="3">
        <f>BO154</f>
        <v>3144</v>
      </c>
      <c r="BQ154" s="3">
        <f>BQ159</f>
        <v>3144</v>
      </c>
      <c r="BR154" s="3">
        <f>BR159</f>
        <v>3144</v>
      </c>
      <c r="BS154" s="3">
        <f>BS159</f>
        <v>3144</v>
      </c>
      <c r="BT154" s="3">
        <f>BT159</f>
        <v>3144</v>
      </c>
      <c r="BU154" s="3">
        <f>BT154</f>
        <v>3144</v>
      </c>
      <c r="BV154" s="3">
        <f>BV159</f>
        <v>3144</v>
      </c>
      <c r="BW154" s="3">
        <f>BW159</f>
        <v>3144</v>
      </c>
      <c r="BX154" s="3">
        <f>BX159</f>
        <v>3144</v>
      </c>
      <c r="BY154" s="3">
        <f>BY159</f>
        <v>3144</v>
      </c>
      <c r="BZ154" s="3">
        <f>BY154</f>
        <v>3144</v>
      </c>
      <c r="CA154" s="3">
        <f>CA159</f>
        <v>3144</v>
      </c>
      <c r="CB154" s="3">
        <f>CB159</f>
        <v>3144</v>
      </c>
      <c r="CC154" s="3">
        <f>CC159</f>
        <v>3144</v>
      </c>
      <c r="CD154" s="3">
        <f>CD159</f>
        <v>3144</v>
      </c>
      <c r="CE154" s="3">
        <f>CD154</f>
        <v>3144</v>
      </c>
      <c r="CF154" s="3">
        <f>CF159</f>
        <v>3144</v>
      </c>
      <c r="CG154" s="3">
        <f>CG159</f>
        <v>3144</v>
      </c>
      <c r="CH154" s="3">
        <f>CH159</f>
        <v>3144</v>
      </c>
      <c r="CI154" s="3">
        <f>CI159</f>
        <v>3144</v>
      </c>
      <c r="CJ154" s="3">
        <f>CI154</f>
        <v>3144</v>
      </c>
      <c r="CK154" s="3">
        <f>CK159</f>
        <v>3144</v>
      </c>
      <c r="CL154" s="3">
        <f>CL159</f>
        <v>3144</v>
      </c>
      <c r="CM154" s="3">
        <f>CM159</f>
        <v>3144</v>
      </c>
      <c r="CN154" s="3">
        <f>CN159</f>
        <v>3144</v>
      </c>
      <c r="CO154" s="3">
        <f>CN154</f>
        <v>3144</v>
      </c>
      <c r="CP154" s="3">
        <f>CP159</f>
        <v>3144</v>
      </c>
      <c r="CQ154" s="3">
        <f>CQ159</f>
        <v>3144</v>
      </c>
      <c r="CR154" s="3">
        <f>CR159</f>
        <v>3144</v>
      </c>
      <c r="CS154" s="3">
        <f>CS159</f>
        <v>3144</v>
      </c>
      <c r="CT154" s="3">
        <f>CS154</f>
        <v>3144</v>
      </c>
      <c r="CU154" s="3">
        <f>CU159</f>
        <v>3144</v>
      </c>
      <c r="CV154" s="3">
        <f>CV159</f>
        <v>3144</v>
      </c>
      <c r="CW154" s="3">
        <f>CW159</f>
        <v>3144</v>
      </c>
      <c r="CX154" s="3">
        <f>CX159</f>
        <v>3144</v>
      </c>
      <c r="CY154" s="3">
        <f>CX154</f>
        <v>3144</v>
      </c>
    </row>
    <row r="155" hidden="1" outlineLevel="1">
      <c r="C155" s="34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  <c r="AA155" s="3" t="n"/>
      <c r="AB155" s="3" t="n"/>
      <c r="AC155" s="3" t="n"/>
      <c r="AD155" s="3" t="n"/>
      <c r="AE155" s="3" t="n"/>
      <c r="AF155" s="3" t="n"/>
      <c r="AG155" s="3" t="n"/>
      <c r="AH155" s="3" t="n"/>
      <c r="AI155" s="3" t="n"/>
      <c r="AJ155" s="3" t="n"/>
      <c r="AK155" s="3" t="n"/>
      <c r="AL155" s="3" t="n"/>
      <c r="AM155" s="3" t="n"/>
      <c r="AN155" s="3" t="n"/>
      <c r="AO155" s="3" t="n"/>
      <c r="AP155" s="3" t="n"/>
      <c r="AQ155" s="3" t="n"/>
      <c r="AR155" s="3" t="n"/>
      <c r="AS155" s="3" t="n"/>
      <c r="AT155" s="3" t="n"/>
      <c r="AU155" s="3" t="n"/>
      <c r="AV155" s="3" t="n"/>
      <c r="AW155" s="3" t="n"/>
      <c r="AX155" s="3" t="n"/>
      <c r="AY155" s="3" t="n"/>
      <c r="AZ155" s="3" t="n"/>
      <c r="BA155" s="3" t="n"/>
      <c r="BB155" s="3" t="n"/>
      <c r="BC155" s="3" t="n"/>
      <c r="BD155" s="3" t="n"/>
      <c r="BE155" s="3" t="n"/>
      <c r="BF155" s="3" t="n"/>
      <c r="BG155" s="3" t="n"/>
      <c r="BH155" s="3" t="n"/>
      <c r="BI155" s="3" t="n"/>
      <c r="BJ155" s="3" t="n"/>
      <c r="BK155" s="3" t="n"/>
      <c r="BL155" s="3" t="n"/>
      <c r="BM155" s="3" t="n"/>
      <c r="BN155" s="3" t="n"/>
      <c r="BO155" s="3" t="n"/>
      <c r="BP155" s="3" t="n"/>
      <c r="BQ155" s="3" t="n"/>
      <c r="BR155" s="3" t="n"/>
      <c r="BS155" s="3" t="n"/>
      <c r="BT155" s="3" t="n"/>
      <c r="BU155" s="3" t="n"/>
      <c r="BV155" s="3" t="n"/>
      <c r="BW155" s="3" t="n"/>
      <c r="BX155" s="3" t="n"/>
      <c r="BY155" s="3" t="n"/>
      <c r="BZ155" s="3" t="n"/>
      <c r="CA155" s="3" t="n"/>
      <c r="CB155" s="3" t="n"/>
      <c r="CC155" s="3" t="n"/>
      <c r="CD155" s="3" t="n"/>
      <c r="CE155" s="3" t="n"/>
      <c r="CF155" s="3" t="n"/>
      <c r="CG155" s="3" t="n"/>
      <c r="CH155" s="3" t="n"/>
      <c r="CI155" s="3" t="n"/>
      <c r="CJ155" s="3" t="n"/>
      <c r="CK155" s="3" t="n"/>
      <c r="CL155" s="3" t="n"/>
      <c r="CM155" s="3" t="n"/>
      <c r="CN155" s="3" t="n"/>
      <c r="CO155" s="3" t="n"/>
      <c r="CP155" s="3" t="n"/>
      <c r="CQ155" s="3" t="n"/>
      <c r="CR155" s="3" t="n"/>
      <c r="CS155" s="3" t="n"/>
      <c r="CT155" s="3" t="n"/>
      <c r="CU155" s="3" t="n"/>
      <c r="CV155" s="3" t="n"/>
      <c r="CW155" s="3" t="n"/>
      <c r="CX155" s="3" t="n"/>
      <c r="CY155" s="3" t="n"/>
    </row>
    <row r="156" hidden="1" outlineLevel="1">
      <c r="C156" s="34" t="inlineStr">
        <is>
          <t>Capital expenditures</t>
        </is>
      </c>
      <c r="D156" s="3" t="n"/>
      <c r="E156" s="3">
        <f>E154-D154-E58</f>
        <v>1668</v>
      </c>
      <c r="F156" s="3">
        <f>F154-E154-F58</f>
        <v>1670</v>
      </c>
      <c r="G156" s="3">
        <f>G154-F154-G58</f>
        <v>1520</v>
      </c>
      <c r="H156" s="3" t="n"/>
      <c r="I156" s="3">
        <f>I154-H154-I58</f>
        <v>1424</v>
      </c>
      <c r="J156" s="3">
        <f>J154-I154-J58</f>
        <v>1457</v>
      </c>
      <c r="K156" s="3">
        <f>K154-J154-K58</f>
        <v>1479</v>
      </c>
      <c r="L156" s="3">
        <f>L154-K154-L58</f>
        <v>1242</v>
      </c>
      <c r="M156" s="3" t="n"/>
      <c r="N156" s="3">
        <f>N154-M154-N58</f>
        <v>1223</v>
      </c>
      <c r="O156" s="3">
        <f>O154-N154-O58</f>
        <v>1205</v>
      </c>
      <c r="P156" s="3">
        <f>P154-O154-P58</f>
        <v>1189</v>
      </c>
      <c r="Q156" s="3">
        <f>Q154-P154-Q58</f>
        <v>1010</v>
      </c>
      <c r="R156" s="3" t="n"/>
      <c r="S156" s="3">
        <f>S154-R154-S58</f>
        <v>947</v>
      </c>
      <c r="T156" s="3">
        <f>T154-S154-T58</f>
        <v>903</v>
      </c>
      <c r="U156" s="3">
        <f>U154-T154-U58</f>
        <v>906</v>
      </c>
      <c r="V156" s="3">
        <f>V154-U154-V58</f>
        <v>2853</v>
      </c>
      <c r="W156" s="3" t="n"/>
      <c r="X156" s="3">
        <f>X154-W154-X58</f>
        <v>2536</v>
      </c>
      <c r="Y156" s="3">
        <f>Y154-X154-Y58</f>
        <v>2458</v>
      </c>
      <c r="Z156" s="3">
        <f>Z154-Y154-Z58</f>
        <v>2530</v>
      </c>
      <c r="AA156" s="3">
        <f>AA154-Z154-AA58</f>
        <v>2118</v>
      </c>
      <c r="AB156" s="3" t="n"/>
      <c r="AC156" s="3">
        <f>AC154-AB154-AC58</f>
        <v>2128</v>
      </c>
      <c r="AD156" s="3">
        <f>AD154-AC154-AD58</f>
        <v>2157</v>
      </c>
      <c r="AE156" s="3">
        <f>AE154-AD154-AE58</f>
        <v>2312</v>
      </c>
      <c r="AF156" s="6">
        <f>AF154-AE154-AF58</f>
        <v>2222</v>
      </c>
      <c r="AG156" s="3">
        <f>SUM(AC156:AF156)</f>
        <v>8819</v>
      </c>
      <c r="AH156" s="6">
        <f>AH154-AG154-AH58</f>
        <v>2319</v>
      </c>
      <c r="AI156" s="6">
        <f>AI154-AH154-AI58</f>
        <v>2533</v>
      </c>
      <c r="AJ156" s="6" t="n"/>
      <c r="AK156" s="6" t="n"/>
      <c r="AL156" s="3" t="n"/>
      <c r="AM156" s="6" t="n"/>
      <c r="AN156" s="6" t="n"/>
      <c r="AO156" s="6" t="n"/>
      <c r="AP156" s="6" t="n"/>
      <c r="AQ156" s="3" t="n"/>
      <c r="AR156" s="6" t="n"/>
      <c r="AS156" s="6" t="n"/>
      <c r="AT156" s="6" t="n"/>
      <c r="AU156" s="6" t="n"/>
      <c r="AV156" s="3" t="n"/>
      <c r="AW156" s="6" t="n"/>
      <c r="AX156" s="6" t="n"/>
      <c r="AY156" s="6" t="n"/>
      <c r="AZ156" s="6" t="n"/>
      <c r="BA156" s="3" t="n"/>
      <c r="BB156" s="6" t="n"/>
      <c r="BC156" s="6" t="n"/>
      <c r="BD156" s="6" t="n"/>
      <c r="BE156" s="6" t="n"/>
      <c r="BF156" s="3" t="n"/>
      <c r="BG156" s="6" t="n"/>
      <c r="BH156" s="6" t="n"/>
      <c r="BI156" s="6" t="n"/>
      <c r="BJ156" s="6" t="n"/>
      <c r="BK156" s="3" t="n"/>
      <c r="BL156" s="6" t="n"/>
      <c r="BM156" s="6" t="n"/>
      <c r="BN156" s="6" t="n"/>
      <c r="BO156" s="6" t="n"/>
      <c r="BP156" s="3" t="n"/>
      <c r="BQ156" s="6" t="n"/>
      <c r="BR156" s="6" t="n"/>
      <c r="BS156" s="6" t="n"/>
      <c r="BT156" s="6" t="n"/>
      <c r="BU156" s="3" t="n"/>
      <c r="BV156" s="6" t="n"/>
      <c r="BW156" s="6" t="n"/>
      <c r="BX156" s="6" t="n"/>
      <c r="BY156" s="6" t="n"/>
      <c r="BZ156" s="3" t="n"/>
      <c r="CA156" s="6" t="n"/>
      <c r="CB156" s="6" t="n"/>
      <c r="CC156" s="6" t="n"/>
      <c r="CD156" s="6" t="n"/>
      <c r="CE156" s="3" t="n"/>
      <c r="CF156" s="6" t="n"/>
      <c r="CG156" s="6" t="n"/>
      <c r="CH156" s="6" t="n"/>
      <c r="CI156" s="6" t="n"/>
      <c r="CJ156" s="3" t="n"/>
      <c r="CK156" s="6" t="n"/>
      <c r="CL156" s="6" t="n"/>
      <c r="CM156" s="6" t="n"/>
      <c r="CN156" s="6" t="n"/>
      <c r="CO156" s="3" t="n"/>
      <c r="CP156" s="6" t="n"/>
      <c r="CQ156" s="6" t="n"/>
      <c r="CR156" s="6" t="n"/>
      <c r="CS156" s="6" t="n"/>
      <c r="CT156" s="3" t="n"/>
      <c r="CU156" s="6" t="n"/>
      <c r="CV156" s="6" t="n"/>
      <c r="CW156" s="6" t="n"/>
      <c r="CX156" s="6" t="n"/>
      <c r="CY156" s="3" t="n"/>
    </row>
    <row r="157" hidden="1" outlineLevel="1">
      <c r="C157" s="34" t="inlineStr">
        <is>
          <t>Recurring asset sales (enter as -)</t>
        </is>
      </c>
      <c r="D157" s="3" t="n"/>
      <c r="E157" s="3" t="n"/>
      <c r="F157" s="3" t="n"/>
      <c r="G157" s="3" t="n"/>
      <c r="H157" s="3">
        <f>SUM(D157:G157)</f>
        <v>0</v>
      </c>
      <c r="I157" s="3" t="n"/>
      <c r="J157" s="3" t="n"/>
      <c r="K157" s="3" t="n"/>
      <c r="L157" s="3" t="n"/>
      <c r="M157" s="3">
        <f>SUM(I157:L157)</f>
        <v>0</v>
      </c>
      <c r="N157" s="3" t="n"/>
      <c r="O157" s="3" t="n"/>
      <c r="P157" s="3" t="n"/>
      <c r="Q157" s="3" t="n"/>
      <c r="R157" s="3">
        <f>SUM(N157:Q157)</f>
        <v>0</v>
      </c>
      <c r="S157" s="3" t="n"/>
      <c r="T157" s="3" t="n"/>
      <c r="U157" s="3" t="n"/>
      <c r="V157" s="3" t="n"/>
      <c r="W157" s="3">
        <f>SUM(S157:V157)</f>
        <v>0</v>
      </c>
      <c r="X157" s="3" t="n"/>
      <c r="Y157" s="3" t="n"/>
      <c r="Z157" s="3" t="n"/>
      <c r="AA157" s="3" t="n"/>
      <c r="AB157" s="3">
        <f>SUM(X157:AA157)</f>
        <v>0</v>
      </c>
      <c r="AC157" s="3" t="n"/>
      <c r="AD157" s="3" t="n"/>
      <c r="AE157" s="3" t="n"/>
      <c r="AF157" s="6" t="n"/>
      <c r="AG157" s="3" t="n"/>
      <c r="AH157" s="6" t="n"/>
      <c r="AI157" s="6" t="n"/>
      <c r="AJ157" s="6" t="n"/>
      <c r="AK157" s="6" t="n"/>
      <c r="AL157" s="3" t="n"/>
      <c r="AM157" s="6" t="n"/>
      <c r="AN157" s="6" t="n"/>
      <c r="AO157" s="6" t="n"/>
      <c r="AP157" s="6" t="n"/>
      <c r="AQ157" s="3" t="n"/>
      <c r="AR157" s="6" t="n"/>
      <c r="AS157" s="6" t="n"/>
      <c r="AT157" s="6" t="n"/>
      <c r="AU157" s="6" t="n"/>
      <c r="AV157" s="3" t="n"/>
      <c r="AW157" s="6" t="n"/>
      <c r="AX157" s="6" t="n"/>
      <c r="AY157" s="6" t="n"/>
      <c r="AZ157" s="6" t="n"/>
      <c r="BA157" s="3" t="n"/>
      <c r="BB157" s="6" t="n"/>
      <c r="BC157" s="6" t="n"/>
      <c r="BD157" s="6" t="n"/>
      <c r="BE157" s="6" t="n"/>
      <c r="BF157" s="3" t="n"/>
      <c r="BG157" s="6" t="n"/>
      <c r="BH157" s="6" t="n"/>
      <c r="BI157" s="6" t="n"/>
      <c r="BJ157" s="6" t="n"/>
      <c r="BK157" s="3" t="n"/>
      <c r="BL157" s="6" t="n"/>
      <c r="BM157" s="6" t="n"/>
      <c r="BN157" s="6" t="n"/>
      <c r="BO157" s="6" t="n"/>
      <c r="BP157" s="3" t="n"/>
      <c r="BQ157" s="6" t="n"/>
      <c r="BR157" s="6" t="n"/>
      <c r="BS157" s="6" t="n"/>
      <c r="BT157" s="6" t="n"/>
      <c r="BU157" s="3" t="n"/>
      <c r="BV157" s="6" t="n"/>
      <c r="BW157" s="6" t="n"/>
      <c r="BX157" s="6" t="n"/>
      <c r="BY157" s="6" t="n"/>
      <c r="BZ157" s="3" t="n"/>
      <c r="CA157" s="6" t="n"/>
      <c r="CB157" s="6" t="n"/>
      <c r="CC157" s="6" t="n"/>
      <c r="CD157" s="6" t="n"/>
      <c r="CE157" s="3" t="n"/>
      <c r="CF157" s="6" t="n"/>
      <c r="CG157" s="6" t="n"/>
      <c r="CH157" s="6" t="n"/>
      <c r="CI157" s="6" t="n"/>
      <c r="CJ157" s="3" t="n"/>
      <c r="CK157" s="6" t="n"/>
      <c r="CL157" s="6" t="n"/>
      <c r="CM157" s="6" t="n"/>
      <c r="CN157" s="6" t="n"/>
      <c r="CO157" s="3" t="n"/>
      <c r="CP157" s="6" t="n"/>
      <c r="CQ157" s="6" t="n"/>
      <c r="CR157" s="6" t="n"/>
      <c r="CS157" s="6" t="n"/>
      <c r="CT157" s="3" t="n"/>
      <c r="CU157" s="6" t="n"/>
      <c r="CV157" s="6" t="n"/>
      <c r="CW157" s="6" t="n"/>
      <c r="CX157" s="6" t="n"/>
      <c r="CY157" s="3" t="n"/>
    </row>
    <row r="158" hidden="1" outlineLevel="1">
      <c r="C158" s="34" t="inlineStr">
        <is>
          <t>Depreciation</t>
        </is>
      </c>
      <c r="D158" s="3">
        <f>D58</f>
        <v>-1730</v>
      </c>
      <c r="E158" s="3">
        <f>E58</f>
        <v>-1719</v>
      </c>
      <c r="F158" s="3">
        <f>F58</f>
        <v>-1728</v>
      </c>
      <c r="G158" s="3">
        <f>G58</f>
        <v>-1533</v>
      </c>
      <c r="H158" s="3" t="n"/>
      <c r="I158" s="3">
        <f>I58</f>
        <v>-1504</v>
      </c>
      <c r="J158" s="3">
        <f>J58</f>
        <v>-1503</v>
      </c>
      <c r="K158" s="3">
        <f>K58</f>
        <v>-1501</v>
      </c>
      <c r="L158" s="3">
        <f>L58</f>
        <v>-1287</v>
      </c>
      <c r="M158" s="3" t="n"/>
      <c r="N158" s="3">
        <f>N58</f>
        <v>-1264</v>
      </c>
      <c r="O158" s="3">
        <f>O58</f>
        <v>-1217</v>
      </c>
      <c r="P158" s="3">
        <f>P58</f>
        <v>-1216</v>
      </c>
      <c r="Q158" s="3">
        <f>Q58</f>
        <v>-1032</v>
      </c>
      <c r="R158" s="3" t="n"/>
      <c r="S158" s="3">
        <f>S58</f>
        <v>-939</v>
      </c>
      <c r="T158" s="3">
        <f>T58</f>
        <v>-932</v>
      </c>
      <c r="U158" s="3">
        <f>U58</f>
        <v>-932</v>
      </c>
      <c r="V158" s="3">
        <f>V58</f>
        <v>-2345</v>
      </c>
      <c r="W158" s="3" t="n"/>
      <c r="X158" s="3">
        <f>X58</f>
        <v>-2530</v>
      </c>
      <c r="Y158" s="3">
        <f>Y58</f>
        <v>-2524</v>
      </c>
      <c r="Z158" s="3">
        <f>Z58</f>
        <v>-2611</v>
      </c>
      <c r="AA158" s="3">
        <f>AA58</f>
        <v>-2174</v>
      </c>
      <c r="AB158" s="3" t="n"/>
      <c r="AC158" s="3">
        <f>AC58</f>
        <v>-2131</v>
      </c>
      <c r="AD158" s="3">
        <f>AD58</f>
        <v>-2168</v>
      </c>
      <c r="AE158" s="3">
        <f>AE58</f>
        <v>-2233</v>
      </c>
      <c r="AF158" s="3">
        <f>AF58</f>
        <v>-2153</v>
      </c>
      <c r="AG158" s="3" t="n"/>
      <c r="AH158" s="3">
        <f>AH58</f>
        <v>-2130</v>
      </c>
      <c r="AI158" s="3">
        <f>AI58</f>
        <v>-2177</v>
      </c>
      <c r="AJ158" s="3">
        <f>AJ58</f>
        <v>0</v>
      </c>
      <c r="AK158" s="3">
        <f>AK58</f>
        <v>0</v>
      </c>
      <c r="AL158" s="3" t="n"/>
      <c r="AM158" s="3">
        <f>AM58</f>
        <v>0</v>
      </c>
      <c r="AN158" s="3">
        <f>AN58</f>
        <v>0</v>
      </c>
      <c r="AO158" s="3">
        <f>AO58</f>
        <v>0</v>
      </c>
      <c r="AP158" s="3">
        <f>AP58</f>
        <v>0</v>
      </c>
      <c r="AQ158" s="3" t="n"/>
      <c r="AR158" s="3">
        <f>AR58</f>
        <v>0</v>
      </c>
      <c r="AS158" s="3">
        <f>AS58</f>
        <v>0</v>
      </c>
      <c r="AT158" s="3">
        <f>AT58</f>
        <v>0</v>
      </c>
      <c r="AU158" s="3">
        <f>AU58</f>
        <v>0</v>
      </c>
      <c r="AV158" s="3" t="n"/>
      <c r="AW158" s="3">
        <f>AW58</f>
        <v>0</v>
      </c>
      <c r="AX158" s="3">
        <f>AX58</f>
        <v>0</v>
      </c>
      <c r="AY158" s="3">
        <f>AY58</f>
        <v>0</v>
      </c>
      <c r="AZ158" s="3">
        <f>AZ58</f>
        <v>0</v>
      </c>
      <c r="BA158" s="3" t="n"/>
      <c r="BB158" s="3">
        <f>BB58</f>
        <v>0</v>
      </c>
      <c r="BC158" s="3">
        <f>BC58</f>
        <v>0</v>
      </c>
      <c r="BD158" s="3">
        <f>BD58</f>
        <v>0</v>
      </c>
      <c r="BE158" s="3">
        <f>BE58</f>
        <v>0</v>
      </c>
      <c r="BF158" s="3" t="n"/>
      <c r="BG158" s="3">
        <f>BG58</f>
        <v>0</v>
      </c>
      <c r="BH158" s="3">
        <f>BH58</f>
        <v>0</v>
      </c>
      <c r="BI158" s="3">
        <f>BI58</f>
        <v>0</v>
      </c>
      <c r="BJ158" s="3">
        <f>BJ58</f>
        <v>0</v>
      </c>
      <c r="BK158" s="3" t="n"/>
      <c r="BL158" s="3">
        <f>BL58</f>
        <v>0</v>
      </c>
      <c r="BM158" s="3">
        <f>BM58</f>
        <v>0</v>
      </c>
      <c r="BN158" s="3">
        <f>BN58</f>
        <v>0</v>
      </c>
      <c r="BO158" s="3">
        <f>BO58</f>
        <v>0</v>
      </c>
      <c r="BP158" s="3" t="n"/>
      <c r="BQ158" s="3">
        <f>BQ58</f>
        <v>0</v>
      </c>
      <c r="BR158" s="3">
        <f>BR58</f>
        <v>0</v>
      </c>
      <c r="BS158" s="3">
        <f>BS58</f>
        <v>0</v>
      </c>
      <c r="BT158" s="3">
        <f>BT58</f>
        <v>0</v>
      </c>
      <c r="BU158" s="3" t="n"/>
      <c r="BV158" s="3">
        <f>BV58</f>
        <v>0</v>
      </c>
      <c r="BW158" s="3">
        <f>BW58</f>
        <v>0</v>
      </c>
      <c r="BX158" s="3">
        <f>BX58</f>
        <v>0</v>
      </c>
      <c r="BY158" s="3">
        <f>BY58</f>
        <v>0</v>
      </c>
      <c r="BZ158" s="3" t="n"/>
      <c r="CA158" s="3">
        <f>CA58</f>
        <v>0</v>
      </c>
      <c r="CB158" s="3">
        <f>CB58</f>
        <v>0</v>
      </c>
      <c r="CC158" s="3">
        <f>CC58</f>
        <v>0</v>
      </c>
      <c r="CD158" s="3">
        <f>CD58</f>
        <v>0</v>
      </c>
      <c r="CE158" s="3" t="n"/>
      <c r="CF158" s="3">
        <f>CF58</f>
        <v>0</v>
      </c>
      <c r="CG158" s="3">
        <f>CG58</f>
        <v>0</v>
      </c>
      <c r="CH158" s="3">
        <f>CH58</f>
        <v>0</v>
      </c>
      <c r="CI158" s="3">
        <f>CI58</f>
        <v>0</v>
      </c>
      <c r="CJ158" s="3" t="n"/>
      <c r="CK158" s="3">
        <f>CK58</f>
        <v>0</v>
      </c>
      <c r="CL158" s="3">
        <f>CL58</f>
        <v>0</v>
      </c>
      <c r="CM158" s="3">
        <f>CM58</f>
        <v>0</v>
      </c>
      <c r="CN158" s="3">
        <f>CN58</f>
        <v>0</v>
      </c>
      <c r="CO158" s="3" t="n"/>
      <c r="CP158" s="3">
        <f>CP58</f>
        <v>0</v>
      </c>
      <c r="CQ158" s="3">
        <f>CQ58</f>
        <v>0</v>
      </c>
      <c r="CR158" s="3">
        <f>CR58</f>
        <v>0</v>
      </c>
      <c r="CS158" s="3">
        <f>CS58</f>
        <v>0</v>
      </c>
      <c r="CT158" s="3" t="n"/>
      <c r="CU158" s="3">
        <f>CU58</f>
        <v>0</v>
      </c>
      <c r="CV158" s="3">
        <f>CV58</f>
        <v>0</v>
      </c>
      <c r="CW158" s="3">
        <f>CW58</f>
        <v>0</v>
      </c>
      <c r="CX158" s="3">
        <f>CX58</f>
        <v>0</v>
      </c>
      <c r="CY158" s="3" t="n"/>
    </row>
    <row r="159" hidden="1" outlineLevel="1">
      <c r="C159" s="34" t="inlineStr">
        <is>
          <t>PP&amp;E</t>
        </is>
      </c>
      <c r="D159" s="3">
        <f>D154</f>
        <v>2618</v>
      </c>
      <c r="E159" s="3">
        <f>E154</f>
        <v>2567</v>
      </c>
      <c r="F159" s="3">
        <f>F154</f>
        <v>2509</v>
      </c>
      <c r="G159" s="3">
        <f>G154</f>
        <v>2496</v>
      </c>
      <c r="H159" s="3" t="n"/>
      <c r="I159" s="3">
        <f>I154</f>
        <v>2416</v>
      </c>
      <c r="J159" s="3">
        <f>J154</f>
        <v>2370</v>
      </c>
      <c r="K159" s="3">
        <f>K154</f>
        <v>2348</v>
      </c>
      <c r="L159" s="3">
        <f>L154</f>
        <v>2303</v>
      </c>
      <c r="M159" s="3" t="n"/>
      <c r="N159" s="3">
        <f>N154</f>
        <v>2262</v>
      </c>
      <c r="O159" s="3">
        <f>O154</f>
        <v>2250</v>
      </c>
      <c r="P159" s="3">
        <f>P154</f>
        <v>2223</v>
      </c>
      <c r="Q159" s="3">
        <f>Q154</f>
        <v>2201</v>
      </c>
      <c r="R159" s="3" t="n"/>
      <c r="S159" s="3">
        <f>S154</f>
        <v>2209</v>
      </c>
      <c r="T159" s="3">
        <f>T154</f>
        <v>2180</v>
      </c>
      <c r="U159" s="3">
        <f>U154</f>
        <v>2154</v>
      </c>
      <c r="V159" s="3">
        <f>V154</f>
        <v>2662</v>
      </c>
      <c r="W159" s="3" t="n"/>
      <c r="X159" s="3">
        <f>X154</f>
        <v>2668</v>
      </c>
      <c r="Y159" s="3">
        <f>Y154</f>
        <v>2602</v>
      </c>
      <c r="Z159" s="3">
        <f>Z154</f>
        <v>2521</v>
      </c>
      <c r="AA159" s="3">
        <f>Y159+SUM(AA156:AA158)</f>
        <v>2546</v>
      </c>
      <c r="AB159" s="3" t="n"/>
      <c r="AC159" s="3">
        <f>AC154</f>
        <v>2462</v>
      </c>
      <c r="AD159" s="3">
        <f>AD154</f>
        <v>2451</v>
      </c>
      <c r="AE159" s="3">
        <f>AE154</f>
        <v>2530</v>
      </c>
      <c r="AF159" s="3">
        <f>AE159+SUM(AF156:AF158)</f>
        <v>2599</v>
      </c>
      <c r="AG159" s="3" t="n"/>
      <c r="AH159" s="3">
        <f>AH154</f>
        <v>2788</v>
      </c>
      <c r="AI159" s="3">
        <f>AI154</f>
        <v>3144</v>
      </c>
      <c r="AJ159" s="3">
        <f>AI159+SUM(AJ156:AJ158)</f>
        <v>3144</v>
      </c>
      <c r="AK159" s="3">
        <f>AJ159+SUM(AK156:AK158)</f>
        <v>3144</v>
      </c>
      <c r="AL159" s="3" t="n"/>
      <c r="AM159" s="3">
        <f>AK159+SUM(AM156:AM158)</f>
        <v>3144</v>
      </c>
      <c r="AN159" s="3">
        <f>AM159+SUM(AN156:AN158)</f>
        <v>3144</v>
      </c>
      <c r="AO159" s="3">
        <f>AN159+SUM(AO156:AO158)</f>
        <v>3144</v>
      </c>
      <c r="AP159" s="3">
        <f>AO159+SUM(AP156:AP158)</f>
        <v>3144</v>
      </c>
      <c r="AQ159" s="3" t="n"/>
      <c r="AR159" s="3">
        <f>AP159+SUM(AR156:AR158)</f>
        <v>3144</v>
      </c>
      <c r="AS159" s="3">
        <f>AR159+SUM(AS156:AS158)</f>
        <v>3144</v>
      </c>
      <c r="AT159" s="3">
        <f>AS159+SUM(AT156:AT158)</f>
        <v>3144</v>
      </c>
      <c r="AU159" s="3">
        <f>AT159+SUM(AU156:AU158)</f>
        <v>3144</v>
      </c>
      <c r="AV159" s="3" t="n"/>
      <c r="AW159" s="3">
        <f>AU159+SUM(AW156:AW158)</f>
        <v>3144</v>
      </c>
      <c r="AX159" s="3">
        <f>AW159+SUM(AX156:AX158)</f>
        <v>3144</v>
      </c>
      <c r="AY159" s="3">
        <f>AX159+SUM(AY156:AY158)</f>
        <v>3144</v>
      </c>
      <c r="AZ159" s="3">
        <f>AY159+SUM(AZ156:AZ158)</f>
        <v>3144</v>
      </c>
      <c r="BA159" s="3" t="n"/>
      <c r="BB159" s="3">
        <f>AZ159+SUM(BB156:BB158)</f>
        <v>3144</v>
      </c>
      <c r="BC159" s="3">
        <f>BB159+SUM(BC156:BC158)</f>
        <v>3144</v>
      </c>
      <c r="BD159" s="3">
        <f>BC159+SUM(BD156:BD158)</f>
        <v>3144</v>
      </c>
      <c r="BE159" s="3">
        <f>BD159+SUM(BE156:BE158)</f>
        <v>3144</v>
      </c>
      <c r="BF159" s="3" t="n"/>
      <c r="BG159" s="3">
        <f>BE159+SUM(BG156:BG158)</f>
        <v>3144</v>
      </c>
      <c r="BH159" s="3">
        <f>BG159+SUM(BH156:BH158)</f>
        <v>3144</v>
      </c>
      <c r="BI159" s="3">
        <f>BH159+SUM(BI156:BI158)</f>
        <v>3144</v>
      </c>
      <c r="BJ159" s="3">
        <f>BI159+SUM(BJ156:BJ158)</f>
        <v>3144</v>
      </c>
      <c r="BK159" s="3" t="n"/>
      <c r="BL159" s="3">
        <f>BJ159+SUM(BL156:BL158)</f>
        <v>3144</v>
      </c>
      <c r="BM159" s="3">
        <f>BL159+SUM(BM156:BM158)</f>
        <v>3144</v>
      </c>
      <c r="BN159" s="3">
        <f>BM159+SUM(BN156:BN158)</f>
        <v>3144</v>
      </c>
      <c r="BO159" s="3">
        <f>BN159+SUM(BO156:BO158)</f>
        <v>3144</v>
      </c>
      <c r="BP159" s="3" t="n"/>
      <c r="BQ159" s="3">
        <f>BO159+SUM(BQ156:BQ158)</f>
        <v>3144</v>
      </c>
      <c r="BR159" s="3">
        <f>BQ159+SUM(BR156:BR158)</f>
        <v>3144</v>
      </c>
      <c r="BS159" s="3">
        <f>BR159+SUM(BS156:BS158)</f>
        <v>3144</v>
      </c>
      <c r="BT159" s="3">
        <f>BS159+SUM(BT156:BT158)</f>
        <v>3144</v>
      </c>
      <c r="BU159" s="3" t="n"/>
      <c r="BV159" s="3">
        <f>BT159+SUM(BV156:BV158)</f>
        <v>3144</v>
      </c>
      <c r="BW159" s="3">
        <f>BV159+SUM(BW156:BW158)</f>
        <v>3144</v>
      </c>
      <c r="BX159" s="3">
        <f>BW159+SUM(BX156:BX158)</f>
        <v>3144</v>
      </c>
      <c r="BY159" s="3">
        <f>BX159+SUM(BY156:BY158)</f>
        <v>3144</v>
      </c>
      <c r="BZ159" s="3" t="n"/>
      <c r="CA159" s="3">
        <f>BY159+SUM(CA156:CA158)</f>
        <v>3144</v>
      </c>
      <c r="CB159" s="3">
        <f>CA159+SUM(CB156:CB158)</f>
        <v>3144</v>
      </c>
      <c r="CC159" s="3">
        <f>CB159+SUM(CC156:CC158)</f>
        <v>3144</v>
      </c>
      <c r="CD159" s="3">
        <f>CC159+SUM(CD156:CD158)</f>
        <v>3144</v>
      </c>
      <c r="CE159" s="3" t="n"/>
      <c r="CF159" s="3">
        <f>CD159+SUM(CF156:CF158)</f>
        <v>3144</v>
      </c>
      <c r="CG159" s="3">
        <f>CF159+SUM(CG156:CG158)</f>
        <v>3144</v>
      </c>
      <c r="CH159" s="3">
        <f>CG159+SUM(CH156:CH158)</f>
        <v>3144</v>
      </c>
      <c r="CI159" s="3">
        <f>CH159+SUM(CI156:CI158)</f>
        <v>3144</v>
      </c>
      <c r="CJ159" s="3" t="n"/>
      <c r="CK159" s="3">
        <f>CI159+SUM(CK156:CK158)</f>
        <v>3144</v>
      </c>
      <c r="CL159" s="3">
        <f>CK159+SUM(CL156:CL158)</f>
        <v>3144</v>
      </c>
      <c r="CM159" s="3">
        <f>CL159+SUM(CM156:CM158)</f>
        <v>3144</v>
      </c>
      <c r="CN159" s="3">
        <f>CM159+SUM(CN156:CN158)</f>
        <v>3144</v>
      </c>
      <c r="CO159" s="3" t="n"/>
      <c r="CP159" s="3">
        <f>CN159+SUM(CP156:CP158)</f>
        <v>3144</v>
      </c>
      <c r="CQ159" s="3">
        <f>CP159+SUM(CQ156:CQ158)</f>
        <v>3144</v>
      </c>
      <c r="CR159" s="3">
        <f>CQ159+SUM(CR156:CR158)</f>
        <v>3144</v>
      </c>
      <c r="CS159" s="3">
        <f>CR159+SUM(CS156:CS158)</f>
        <v>3144</v>
      </c>
      <c r="CT159" s="3" t="n"/>
      <c r="CU159" s="3">
        <f>CS159+SUM(CU156:CU158)</f>
        <v>3144</v>
      </c>
      <c r="CV159" s="3">
        <f>CU159+SUM(CV156:CV158)</f>
        <v>3144</v>
      </c>
      <c r="CW159" s="3">
        <f>CV159+SUM(CW156:CW158)</f>
        <v>3144</v>
      </c>
      <c r="CX159" s="3">
        <f>CW159+SUM(CX156:CX158)</f>
        <v>3144</v>
      </c>
      <c r="CY159" s="3" t="n"/>
      <c r="CZ159">
        <f>CX159+SUM(CZ156:CZ158)</f>
        <v>3144</v>
      </c>
      <c r="DA159">
        <f>CZ159+SUM(DA156:DA158)</f>
        <v>3144</v>
      </c>
      <c r="DB159">
        <f>DA159+SUM(DB156:DB158)</f>
        <v>3144</v>
      </c>
      <c r="DC159">
        <f>DB159+SUM(DC156:DC158)</f>
        <v>3144</v>
      </c>
    </row>
    <row r="160" hidden="1" outlineLevel="1">
      <c r="C160" s="34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  <c r="AA160" s="3" t="n"/>
      <c r="AB160" s="3" t="n"/>
      <c r="AC160" s="3" t="n"/>
      <c r="AD160" s="3" t="n"/>
      <c r="AE160" s="3" t="n"/>
      <c r="AF160" s="3" t="n"/>
      <c r="AG160" s="3" t="n"/>
      <c r="AH160" s="3" t="n"/>
      <c r="AI160" s="3" t="n"/>
      <c r="AJ160" s="3" t="n"/>
      <c r="AK160" s="3" t="n"/>
      <c r="AL160" s="3" t="n"/>
      <c r="AM160" s="3" t="n"/>
      <c r="AN160" s="3" t="n"/>
      <c r="AO160" s="3" t="n"/>
      <c r="AP160" s="3" t="n"/>
      <c r="AQ160" s="3" t="n"/>
      <c r="AR160" s="3" t="n"/>
      <c r="AS160" s="3" t="n"/>
      <c r="AT160" s="3" t="n"/>
      <c r="AU160" s="3" t="n"/>
      <c r="AV160" s="3" t="n"/>
      <c r="AW160" s="3" t="n"/>
      <c r="AX160" s="3" t="n"/>
      <c r="AY160" s="3" t="n"/>
      <c r="AZ160" s="3" t="n"/>
      <c r="BA160" s="3" t="n"/>
      <c r="BB160" s="3" t="n"/>
      <c r="BC160" s="3" t="n"/>
      <c r="BD160" s="3" t="n"/>
      <c r="BE160" s="3" t="n"/>
      <c r="BF160" s="3" t="n"/>
      <c r="BG160" s="3" t="n"/>
      <c r="BH160" s="3" t="n"/>
      <c r="BI160" s="3" t="n"/>
      <c r="BJ160" s="3" t="n"/>
      <c r="BK160" s="3" t="n"/>
      <c r="BL160" s="3" t="n"/>
      <c r="BM160" s="3" t="n"/>
      <c r="BN160" s="3" t="n"/>
      <c r="BO160" s="3" t="n"/>
      <c r="BP160" s="3" t="n"/>
      <c r="BQ160" s="3" t="n"/>
      <c r="BR160" s="3" t="n"/>
      <c r="BS160" s="3" t="n"/>
      <c r="BT160" s="3" t="n"/>
      <c r="BU160" s="3" t="n"/>
      <c r="BV160" s="3" t="n"/>
      <c r="BW160" s="3" t="n"/>
      <c r="BX160" s="3" t="n"/>
      <c r="BY160" s="3" t="n"/>
      <c r="BZ160" s="3" t="n"/>
      <c r="CA160" s="3" t="n"/>
      <c r="CB160" s="3" t="n"/>
      <c r="CC160" s="3" t="n"/>
      <c r="CD160" s="3" t="n"/>
      <c r="CE160" s="3" t="n"/>
      <c r="CF160" s="3" t="n"/>
      <c r="CG160" s="3" t="n"/>
      <c r="CH160" s="3" t="n"/>
      <c r="CI160" s="3" t="n"/>
      <c r="CJ160" s="3" t="n"/>
      <c r="CK160" s="3" t="n"/>
      <c r="CL160" s="3" t="n"/>
      <c r="CM160" s="3" t="n"/>
      <c r="CN160" s="3" t="n"/>
      <c r="CO160" s="3" t="n"/>
      <c r="CP160" s="3" t="n"/>
      <c r="CQ160" s="3" t="n"/>
      <c r="CR160" s="3" t="n"/>
      <c r="CS160" s="3" t="n"/>
      <c r="CT160" s="3" t="n"/>
      <c r="CU160" s="3" t="n"/>
      <c r="CV160" s="3" t="n"/>
      <c r="CW160" s="3" t="n"/>
      <c r="CX160" s="3" t="n"/>
      <c r="CY160" s="3" t="n"/>
    </row>
    <row r="161" hidden="1" outlineLevel="1">
      <c r="C161" s="34" t="inlineStr">
        <is>
          <t>Capital expenditures (% Net Revenues)</t>
        </is>
      </c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  <c r="AA161" s="3" t="n"/>
      <c r="AB161" s="3" t="n"/>
      <c r="AC161" s="3" t="n"/>
      <c r="AD161" s="3" t="n"/>
      <c r="AE161" s="3" t="n"/>
      <c r="AF161" s="40">
        <f>AF156/AF15</f>
        <v>0.115063953187303</v>
      </c>
      <c r="AG161" s="40">
        <f>AG156/AG15</f>
        <v>0.129155560762719</v>
      </c>
      <c r="AH161" s="40">
        <f>AH156/AH15</f>
        <v>0.104520665254428</v>
      </c>
      <c r="AI161" s="40">
        <f>AI156/AI15</f>
        <v>0.0856003514582137</v>
      </c>
      <c r="AJ161" s="40">
        <f>AJ156/AJ15</f>
        <v>0</v>
      </c>
      <c r="AK161" s="40">
        <f>AK156/AK15</f>
        <v>0</v>
      </c>
      <c r="AL161" s="40">
        <f>AL156/AL15</f>
        <v>0</v>
      </c>
      <c r="AM161" s="40">
        <f>AM156/AM15</f>
        <v>0</v>
      </c>
      <c r="AN161" s="40">
        <f>AN156/AN15</f>
        <v>0</v>
      </c>
      <c r="AO161" s="40">
        <f>AO156/AO15</f>
        <v>0</v>
      </c>
      <c r="AP161" s="40">
        <f>AP156/AP15</f>
        <v>0</v>
      </c>
      <c r="AQ161" s="40">
        <f>AQ156/AQ15</f>
        <v>0</v>
      </c>
      <c r="AR161" s="40">
        <f>AR156/AR15</f>
        <v>0</v>
      </c>
      <c r="AS161" s="40">
        <f>AS156/AS15</f>
        <v>0</v>
      </c>
      <c r="AT161" s="40">
        <f>AT156/AT15</f>
        <v>0</v>
      </c>
      <c r="AU161" s="40">
        <f>AU156/AU15</f>
        <v>0</v>
      </c>
      <c r="AV161" s="40">
        <f>AV156/AV15</f>
        <v>0</v>
      </c>
      <c r="AW161" s="40">
        <f>AW156/AW15</f>
        <v>0</v>
      </c>
      <c r="AX161" s="40">
        <f>AX156/AX15</f>
        <v>0</v>
      </c>
      <c r="AY161" s="40">
        <f>AY156/AY15</f>
        <v>0</v>
      </c>
      <c r="AZ161" s="40">
        <f>AZ156/AZ15</f>
        <v>0</v>
      </c>
      <c r="BA161" s="40">
        <f>BA156/BA15</f>
        <v>0</v>
      </c>
      <c r="BB161" s="40">
        <f>BB156/BB15</f>
        <v>0</v>
      </c>
      <c r="BC161" s="40">
        <f>BC156/BC15</f>
        <v>0</v>
      </c>
      <c r="BD161" s="40">
        <f>BD156/BD15</f>
        <v>0</v>
      </c>
      <c r="BE161" s="40">
        <f>BE156/BE15</f>
        <v>0</v>
      </c>
      <c r="BF161" s="40">
        <f>BF156/BF15</f>
        <v>0</v>
      </c>
      <c r="BG161" s="40">
        <f>BG156/BG15</f>
        <v>0</v>
      </c>
      <c r="BH161" s="40">
        <f>BH156/BH15</f>
        <v>0</v>
      </c>
      <c r="BI161" s="40">
        <f>BI156/BI15</f>
        <v>0</v>
      </c>
      <c r="BJ161" s="40">
        <f>BJ156/BJ15</f>
        <v>0</v>
      </c>
      <c r="BK161" s="40">
        <f>BK156/BK15</f>
        <v>0</v>
      </c>
      <c r="BL161" s="40">
        <f>BL156/BL15</f>
        <v>0</v>
      </c>
      <c r="BM161" s="40">
        <f>BM156/BM15</f>
        <v>0</v>
      </c>
      <c r="BN161" s="40">
        <f>BN156/BN15</f>
        <v>0</v>
      </c>
      <c r="BO161" s="40">
        <f>BO156/BO15</f>
        <v>0</v>
      </c>
      <c r="BP161" s="40">
        <f>BP156/BP15</f>
        <v>0</v>
      </c>
      <c r="BQ161" s="40">
        <f>BQ156/BQ15</f>
        <v>0</v>
      </c>
      <c r="BR161" s="40">
        <f>BR156/BR15</f>
        <v>0</v>
      </c>
      <c r="BS161" s="40">
        <f>BS156/BS15</f>
        <v>0</v>
      </c>
      <c r="BT161" s="40">
        <f>BT156/BT15</f>
        <v>0</v>
      </c>
      <c r="BU161" s="40">
        <f>BU156/BU15</f>
        <v>0</v>
      </c>
      <c r="BV161" s="40">
        <f>BV156/BV15</f>
        <v>0</v>
      </c>
      <c r="BW161" s="40">
        <f>BW156/BW15</f>
        <v>0</v>
      </c>
      <c r="BX161" s="40">
        <f>BX156/BX15</f>
        <v>0</v>
      </c>
      <c r="BY161" s="40">
        <f>BY156/BY15</f>
        <v>0</v>
      </c>
      <c r="BZ161" s="40">
        <f>BZ156/BZ15</f>
        <v>0</v>
      </c>
      <c r="CA161" s="40">
        <f>CA156/CA15</f>
        <v>0</v>
      </c>
      <c r="CB161" s="40">
        <f>CB156/CB15</f>
        <v>0</v>
      </c>
      <c r="CC161" s="40">
        <f>CC156/CC15</f>
        <v>0</v>
      </c>
      <c r="CD161" s="40">
        <f>CD156/CD15</f>
        <v>0</v>
      </c>
      <c r="CE161" s="40">
        <f>CE156/CE15</f>
        <v>0</v>
      </c>
      <c r="CF161" s="40">
        <f>CF156/CF15</f>
        <v>0</v>
      </c>
      <c r="CG161" s="40">
        <f>CG156/CG15</f>
        <v>0</v>
      </c>
      <c r="CH161" s="40">
        <f>CH156/CH15</f>
        <v>0</v>
      </c>
      <c r="CI161" s="40">
        <f>CI156/CI15</f>
        <v>0</v>
      </c>
      <c r="CJ161" s="40">
        <f>CJ156/CJ15</f>
        <v>0</v>
      </c>
      <c r="CK161" s="40">
        <f>CK156/CK15</f>
        <v>0</v>
      </c>
      <c r="CL161" s="40">
        <f>CL156/CL15</f>
        <v>0</v>
      </c>
      <c r="CM161" s="40">
        <f>CM156/CM15</f>
        <v>0</v>
      </c>
      <c r="CN161" s="40">
        <f>CN156/CN15</f>
        <v>0</v>
      </c>
      <c r="CO161" s="40">
        <f>CO156/CO15</f>
        <v>0</v>
      </c>
      <c r="CP161" s="40">
        <f>CP156/CP15</f>
        <v>0</v>
      </c>
      <c r="CQ161" s="40">
        <f>CQ156/CQ15</f>
        <v>0</v>
      </c>
      <c r="CR161" s="40">
        <f>CR156/CR15</f>
        <v>0</v>
      </c>
      <c r="CS161" s="40">
        <f>CS156/CS15</f>
        <v>0</v>
      </c>
      <c r="CT161" s="40">
        <f>CT156/CT15</f>
        <v>0</v>
      </c>
      <c r="CU161" s="40">
        <f>CU156/CU15</f>
        <v>0</v>
      </c>
      <c r="CV161" s="40">
        <f>CV156/CV15</f>
        <v>0</v>
      </c>
      <c r="CW161" s="40">
        <f>CW156/CW15</f>
        <v>0</v>
      </c>
      <c r="CX161" s="40">
        <f>CX156/CX15</f>
        <v>0</v>
      </c>
      <c r="CY161" s="40">
        <f>CY156/CY15</f>
        <v>0</v>
      </c>
    </row>
    <row r="162" hidden="1" outlineLevel="1">
      <c r="C162" s="34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  <c r="AA162" s="3" t="n"/>
      <c r="AB162" s="3" t="n"/>
      <c r="AC162" s="3" t="n"/>
      <c r="AD162" s="3" t="n"/>
      <c r="AE162" s="3" t="n"/>
      <c r="AF162" s="3" t="n"/>
      <c r="AG162" s="3" t="n"/>
      <c r="AH162" s="3" t="n"/>
      <c r="AI162" s="3" t="n"/>
      <c r="AJ162" s="3" t="n"/>
      <c r="AK162" s="3" t="n"/>
      <c r="AL162" s="3" t="n"/>
      <c r="AM162" s="3" t="n"/>
      <c r="AN162" s="3" t="n"/>
      <c r="AO162" s="3" t="n"/>
      <c r="AP162" s="3" t="n"/>
      <c r="AQ162" s="3" t="n"/>
      <c r="AR162" s="3" t="n"/>
      <c r="AS162" s="3" t="n"/>
      <c r="AT162" s="3" t="n"/>
      <c r="AU162" s="3" t="n"/>
      <c r="AV162" s="3" t="n"/>
      <c r="AW162" s="3" t="n"/>
      <c r="AX162" s="3" t="n"/>
      <c r="AY162" s="3" t="n"/>
      <c r="AZ162" s="3" t="n"/>
      <c r="BA162" s="3" t="n"/>
      <c r="BB162" s="3" t="n"/>
      <c r="BC162" s="3" t="n"/>
      <c r="BD162" s="3" t="n"/>
      <c r="BE162" s="3" t="n"/>
      <c r="BF162" s="3" t="n"/>
      <c r="BG162" s="3" t="n"/>
      <c r="BH162" s="3" t="n"/>
      <c r="BI162" s="3" t="n"/>
      <c r="BJ162" s="3" t="n"/>
      <c r="BK162" s="3" t="n"/>
      <c r="BL162" s="3" t="n"/>
      <c r="BM162" s="3" t="n"/>
      <c r="BN162" s="3" t="n"/>
      <c r="BO162" s="3" t="n"/>
      <c r="BP162" s="3" t="n"/>
      <c r="BQ162" s="3" t="n"/>
      <c r="BR162" s="3" t="n"/>
      <c r="BS162" s="3" t="n"/>
      <c r="BT162" s="3" t="n"/>
      <c r="BU162" s="3" t="n"/>
      <c r="BV162" s="3" t="n"/>
      <c r="BW162" s="3" t="n"/>
      <c r="BX162" s="3" t="n"/>
      <c r="BY162" s="3" t="n"/>
      <c r="BZ162" s="3" t="n"/>
      <c r="CA162" s="3" t="n"/>
      <c r="CB162" s="3" t="n"/>
      <c r="CC162" s="3" t="n"/>
      <c r="CD162" s="3" t="n"/>
      <c r="CE162" s="3" t="n"/>
      <c r="CF162" s="3" t="n"/>
      <c r="CG162" s="3" t="n"/>
      <c r="CH162" s="3" t="n"/>
      <c r="CI162" s="3" t="n"/>
      <c r="CJ162" s="3" t="n"/>
      <c r="CK162" s="3" t="n"/>
      <c r="CL162" s="3" t="n"/>
      <c r="CM162" s="3" t="n"/>
      <c r="CN162" s="3" t="n"/>
      <c r="CO162" s="3" t="n"/>
      <c r="CP162" s="3" t="n"/>
      <c r="CQ162" s="3" t="n"/>
      <c r="CR162" s="3" t="n"/>
      <c r="CS162" s="3" t="n"/>
      <c r="CT162" s="3" t="n"/>
      <c r="CU162" s="3" t="n"/>
      <c r="CV162" s="3" t="n"/>
      <c r="CW162" s="3" t="n"/>
      <c r="CX162" s="3" t="n"/>
      <c r="CY162" s="3" t="n"/>
    </row>
    <row r="163" hidden="1" outlineLevel="1">
      <c r="C163" s="34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  <c r="AA163" s="3" t="n"/>
      <c r="AB163" s="3" t="n"/>
      <c r="AC163" s="3" t="n"/>
      <c r="AD163" s="3" t="n"/>
      <c r="AE163" s="3" t="n"/>
      <c r="AF163" s="3" t="n"/>
      <c r="AG163" s="3" t="n"/>
      <c r="AH163" s="3" t="n"/>
      <c r="AI163" s="3" t="n"/>
      <c r="AJ163" s="3" t="n"/>
      <c r="AK163" s="3" t="n"/>
      <c r="AL163" s="3" t="n"/>
      <c r="AM163" s="3" t="n"/>
      <c r="AN163" s="3" t="n"/>
      <c r="AO163" s="3" t="n"/>
      <c r="AP163" s="3" t="n"/>
      <c r="AQ163" s="3" t="n"/>
      <c r="AR163" s="3" t="n"/>
      <c r="AS163" s="3" t="n"/>
      <c r="AT163" s="3" t="n"/>
      <c r="AU163" s="3" t="n"/>
      <c r="AV163" s="3" t="n"/>
      <c r="AW163" s="3" t="n"/>
      <c r="AX163" s="3" t="n"/>
      <c r="AY163" s="3" t="n"/>
      <c r="AZ163" s="3" t="n"/>
      <c r="BA163" s="3" t="n"/>
      <c r="BB163" s="3" t="n"/>
      <c r="BC163" s="3" t="n"/>
      <c r="BD163" s="3" t="n"/>
      <c r="BE163" s="3" t="n"/>
      <c r="BF163" s="3" t="n"/>
      <c r="BG163" s="3" t="n"/>
      <c r="BH163" s="3" t="n"/>
      <c r="BI163" s="3" t="n"/>
      <c r="BJ163" s="3" t="n"/>
      <c r="BK163" s="3" t="n"/>
      <c r="BL163" s="3" t="n"/>
      <c r="BM163" s="3" t="n"/>
      <c r="BN163" s="3" t="n"/>
      <c r="BO163" s="3" t="n"/>
      <c r="BP163" s="3" t="n"/>
      <c r="BQ163" s="3" t="n"/>
      <c r="BR163" s="3" t="n"/>
      <c r="BS163" s="3" t="n"/>
      <c r="BT163" s="3" t="n"/>
      <c r="BU163" s="3" t="n"/>
      <c r="BV163" s="3" t="n"/>
      <c r="BW163" s="3" t="n"/>
      <c r="BX163" s="3" t="n"/>
      <c r="BY163" s="3" t="n"/>
      <c r="BZ163" s="3" t="n"/>
      <c r="CA163" s="3" t="n"/>
      <c r="CB163" s="3" t="n"/>
      <c r="CC163" s="3" t="n"/>
      <c r="CD163" s="3" t="n"/>
      <c r="CE163" s="3" t="n"/>
      <c r="CF163" s="3" t="n"/>
      <c r="CG163" s="3" t="n"/>
      <c r="CH163" s="3" t="n"/>
      <c r="CI163" s="3" t="n"/>
      <c r="CJ163" s="3" t="n"/>
      <c r="CK163" s="3" t="n"/>
      <c r="CL163" s="3" t="n"/>
      <c r="CM163" s="3" t="n"/>
      <c r="CN163" s="3" t="n"/>
      <c r="CO163" s="3" t="n"/>
      <c r="CP163" s="3" t="n"/>
      <c r="CQ163" s="3" t="n"/>
      <c r="CR163" s="3" t="n"/>
      <c r="CS163" s="3" t="n"/>
      <c r="CT163" s="3" t="n"/>
      <c r="CU163" s="3" t="n"/>
      <c r="CV163" s="3" t="n"/>
      <c r="CW163" s="3" t="n"/>
      <c r="CX163" s="3" t="n"/>
      <c r="CY163" s="3" t="n"/>
    </row>
    <row r="164" collapsed="1">
      <c r="C164" s="26" t="inlineStr">
        <is>
          <t>Right-of-use-assets</t>
        </is>
      </c>
      <c r="D164" s="25">
        <f>INDEX('Inputs (2)'!$D$23:$AL$23,MATCH(D$7,'Inputs (2)'!$D$2:$AL$2,0))</f>
        <v>0</v>
      </c>
      <c r="E164" s="25">
        <f>INDEX('Inputs (2)'!$D$23:$AL$23,MATCH(E$7,'Inputs (2)'!$D$2:$AL$2,0))</f>
        <v>0</v>
      </c>
      <c r="F164" s="25">
        <f>INDEX('Inputs (2)'!$D$23:$AL$23,MATCH(F$7,'Inputs (2)'!$D$2:$AL$2,0))</f>
        <v>0</v>
      </c>
      <c r="G164" s="25">
        <f>INDEX('Inputs (2)'!$D$23:$AL$23,MATCH(G$7,'Inputs (2)'!$D$2:$AL$2,0))</f>
        <v>0</v>
      </c>
      <c r="H164" s="3">
        <f>G164</f>
        <v>0</v>
      </c>
      <c r="I164" s="25">
        <f>INDEX('Inputs (2)'!$D$23:$AL$23,MATCH(I$7,'Inputs (2)'!$D$2:$AL$2,0))</f>
        <v>0</v>
      </c>
      <c r="J164" s="25">
        <f>INDEX('Inputs (2)'!$D$23:$AL$23,MATCH(J$7,'Inputs (2)'!$D$2:$AL$2,0))</f>
        <v>0</v>
      </c>
      <c r="K164" s="25">
        <f>INDEX('Inputs (2)'!$D$23:$AL$23,MATCH(K$7,'Inputs (2)'!$D$2:$AL$2,0))</f>
        <v>0</v>
      </c>
      <c r="L164" s="25">
        <f>INDEX('Inputs (2)'!$D$23:$AL$23,MATCH(L$7,'Inputs (2)'!$D$2:$AL$2,0))</f>
        <v>0</v>
      </c>
      <c r="M164" s="3">
        <f>L164</f>
        <v>0</v>
      </c>
      <c r="N164" s="25">
        <f>INDEX('Inputs (2)'!$D$23:$AL$23,MATCH(N$7,'Inputs (2)'!$D$2:$AL$2,0))</f>
        <v>0</v>
      </c>
      <c r="O164" s="25">
        <f>INDEX('Inputs (2)'!$D$23:$AL$23,MATCH(O$7,'Inputs (2)'!$D$2:$AL$2,0))</f>
        <v>0</v>
      </c>
      <c r="P164" s="25">
        <f>INDEX('Inputs (2)'!$D$23:$AL$23,MATCH(P$7,'Inputs (2)'!$D$2:$AL$2,0))</f>
        <v>0</v>
      </c>
      <c r="Q164" s="25">
        <f>INDEX('Inputs (2)'!$D$23:$AL$23,MATCH(Q$7,'Inputs (2)'!$D$2:$AL$2,0))</f>
        <v>0</v>
      </c>
      <c r="R164" s="3">
        <f>Q164</f>
        <v>0</v>
      </c>
      <c r="S164" s="25">
        <f>INDEX('Inputs (2)'!$D$23:$AL$23,MATCH(S$7,'Inputs (2)'!$D$2:$AL$2,0))</f>
        <v>0</v>
      </c>
      <c r="T164" s="25">
        <f>INDEX('Inputs (2)'!$D$23:$AL$23,MATCH(T$7,'Inputs (2)'!$D$2:$AL$2,0))</f>
        <v>0</v>
      </c>
      <c r="U164" s="25">
        <f>INDEX('Inputs (2)'!$D$23:$AL$23,MATCH(U$7,'Inputs (2)'!$D$2:$AL$2,0))</f>
        <v>0</v>
      </c>
      <c r="V164" s="25">
        <f>INDEX('Inputs (2)'!$D$23:$AL$23,MATCH(V$7,'Inputs (2)'!$D$2:$AL$2,0))</f>
        <v>0</v>
      </c>
      <c r="W164" s="3">
        <f>V164</f>
        <v>0</v>
      </c>
      <c r="X164" s="25">
        <f>INDEX('Inputs (2)'!$D$23:$AL$23,MATCH(X$7,'Inputs (2)'!$D$2:$AL$2,0))</f>
        <v>0</v>
      </c>
      <c r="Y164" s="25">
        <f>INDEX('Inputs (2)'!$D$23:$AL$23,MATCH(Y$7,'Inputs (2)'!$D$2:$AL$2,0))</f>
        <v>0</v>
      </c>
      <c r="Z164" s="25">
        <f>INDEX('Inputs (2)'!$D$23:$AL$23,MATCH(Z$7,'Inputs (2)'!$D$2:$AL$2,0))</f>
        <v>0</v>
      </c>
      <c r="AA164" s="25">
        <f>INDEX('Inputs (2)'!$D$23:$AL$23,MATCH(AA$7,'Inputs (2)'!$D$2:$AL$2,0))</f>
        <v>0</v>
      </c>
      <c r="AB164" s="3">
        <f>AA164</f>
        <v>0</v>
      </c>
      <c r="AC164" s="25">
        <f>INDEX('Inputs (2)'!$D$23:$AL$23,MATCH(AC$7,'Inputs (2)'!$D$2:$AL$2,0))</f>
        <v>0</v>
      </c>
      <c r="AD164" s="25">
        <f>INDEX('Inputs (2)'!$D$23:$AL$23,MATCH(AD$7,'Inputs (2)'!$D$2:$AL$2,0))</f>
        <v>0</v>
      </c>
      <c r="AE164" s="25">
        <f>INDEX('Inputs (2)'!$D$23:$AL$23,MATCH(AE$7,'Inputs (2)'!$D$2:$AL$2,0))</f>
        <v>0</v>
      </c>
      <c r="AF164" s="25">
        <f>INDEX('Inputs (2)'!$D$23:$AL$23,MATCH(AF$7,'Inputs (2)'!$D$2:$AL$2,0))</f>
        <v>0</v>
      </c>
      <c r="AG164" s="3">
        <f>AF164</f>
        <v>0</v>
      </c>
      <c r="AH164" s="3">
        <f>INDEX('Inputs (2)'!$D$23:$AL$23,MATCH(AH$7,'Inputs (2)'!$D$2:$AL$2,0))</f>
        <v>0</v>
      </c>
      <c r="AI164" s="3">
        <f>INDEX('Inputs (2)'!$D$23:$AL$23,MATCH(AI$7,'Inputs (2)'!$D$2:$AL$2,0))</f>
        <v>0</v>
      </c>
      <c r="AJ164" s="3">
        <f>AI164</f>
        <v>0</v>
      </c>
      <c r="AK164" s="3">
        <f>AJ164</f>
        <v>0</v>
      </c>
      <c r="AL164" s="3">
        <f>AK164</f>
        <v>0</v>
      </c>
      <c r="AM164" s="3">
        <f>AL164</f>
        <v>0</v>
      </c>
      <c r="AN164" s="3">
        <f>AM164</f>
        <v>0</v>
      </c>
      <c r="AO164" s="3">
        <f>AN164</f>
        <v>0</v>
      </c>
      <c r="AP164" s="3">
        <f>AO164</f>
        <v>0</v>
      </c>
      <c r="AQ164" s="3">
        <f>AP164</f>
        <v>0</v>
      </c>
      <c r="AR164" s="3">
        <f>AQ164</f>
        <v>0</v>
      </c>
      <c r="AS164" s="3">
        <f>AR164</f>
        <v>0</v>
      </c>
      <c r="AT164" s="3">
        <f>AS164</f>
        <v>0</v>
      </c>
      <c r="AU164" s="3">
        <f>AT164</f>
        <v>0</v>
      </c>
      <c r="AV164" s="3">
        <f>AU164</f>
        <v>0</v>
      </c>
      <c r="AW164" s="3">
        <f>AV164</f>
        <v>0</v>
      </c>
      <c r="AX164" s="3">
        <f>AW164</f>
        <v>0</v>
      </c>
      <c r="AY164" s="3">
        <f>AX164</f>
        <v>0</v>
      </c>
      <c r="AZ164" s="3">
        <f>AY164</f>
        <v>0</v>
      </c>
      <c r="BA164" s="3">
        <f>AZ164</f>
        <v>0</v>
      </c>
      <c r="BB164" s="3">
        <f>BA164</f>
        <v>0</v>
      </c>
      <c r="BC164" s="3">
        <f>BB164</f>
        <v>0</v>
      </c>
      <c r="BD164" s="3">
        <f>BC164</f>
        <v>0</v>
      </c>
      <c r="BE164" s="3">
        <f>BD164</f>
        <v>0</v>
      </c>
      <c r="BF164" s="3">
        <f>BE164</f>
        <v>0</v>
      </c>
      <c r="BG164" s="3">
        <f>BF164</f>
        <v>0</v>
      </c>
      <c r="BH164" s="3">
        <f>BG164</f>
        <v>0</v>
      </c>
      <c r="BI164" s="3">
        <f>BH164</f>
        <v>0</v>
      </c>
      <c r="BJ164" s="3">
        <f>BI164</f>
        <v>0</v>
      </c>
      <c r="BK164" s="3">
        <f>BJ164</f>
        <v>0</v>
      </c>
      <c r="BL164" s="3">
        <f>BK164</f>
        <v>0</v>
      </c>
      <c r="BM164" s="3">
        <f>BL164</f>
        <v>0</v>
      </c>
      <c r="BN164" s="3">
        <f>BM164</f>
        <v>0</v>
      </c>
      <c r="BO164" s="3">
        <f>BN164</f>
        <v>0</v>
      </c>
      <c r="BP164" s="3">
        <f>BO164</f>
        <v>0</v>
      </c>
      <c r="BQ164" s="3">
        <f>BP164</f>
        <v>0</v>
      </c>
      <c r="BR164" s="3">
        <f>BQ164</f>
        <v>0</v>
      </c>
      <c r="BS164" s="3">
        <f>BR164</f>
        <v>0</v>
      </c>
      <c r="BT164" s="3">
        <f>BS164</f>
        <v>0</v>
      </c>
      <c r="BU164" s="3">
        <f>BT164</f>
        <v>0</v>
      </c>
      <c r="BV164" s="3">
        <f>BU164</f>
        <v>0</v>
      </c>
      <c r="BW164" s="3">
        <f>BV164</f>
        <v>0</v>
      </c>
      <c r="BX164" s="3">
        <f>BW164</f>
        <v>0</v>
      </c>
      <c r="BY164" s="3">
        <f>BX164</f>
        <v>0</v>
      </c>
      <c r="BZ164" s="3">
        <f>BY164</f>
        <v>0</v>
      </c>
      <c r="CA164" s="3">
        <f>BZ164</f>
        <v>0</v>
      </c>
      <c r="CB164" s="3">
        <f>CA164</f>
        <v>0</v>
      </c>
      <c r="CC164" s="3">
        <f>CB164</f>
        <v>0</v>
      </c>
      <c r="CD164" s="3">
        <f>CC164</f>
        <v>0</v>
      </c>
      <c r="CE164" s="3">
        <f>CD164</f>
        <v>0</v>
      </c>
      <c r="CF164" s="3">
        <f>CE164</f>
        <v>0</v>
      </c>
      <c r="CG164" s="3">
        <f>CF164</f>
        <v>0</v>
      </c>
      <c r="CH164" s="3">
        <f>CG164</f>
        <v>0</v>
      </c>
      <c r="CI164" s="3">
        <f>CH164</f>
        <v>0</v>
      </c>
      <c r="CJ164" s="3">
        <f>CI164</f>
        <v>0</v>
      </c>
      <c r="CK164" s="3">
        <f>CJ164</f>
        <v>0</v>
      </c>
      <c r="CL164" s="3">
        <f>CK164</f>
        <v>0</v>
      </c>
      <c r="CM164" s="3">
        <f>CL164</f>
        <v>0</v>
      </c>
      <c r="CN164" s="3">
        <f>CM164</f>
        <v>0</v>
      </c>
      <c r="CO164" s="3">
        <f>CN164</f>
        <v>0</v>
      </c>
      <c r="CP164" s="3">
        <f>CO164</f>
        <v>0</v>
      </c>
      <c r="CQ164" s="3">
        <f>CP164</f>
        <v>0</v>
      </c>
      <c r="CR164" s="3">
        <f>CQ164</f>
        <v>0</v>
      </c>
      <c r="CS164" s="3">
        <f>CR164</f>
        <v>0</v>
      </c>
      <c r="CT164" s="3">
        <f>CS164</f>
        <v>0</v>
      </c>
      <c r="CU164" s="3">
        <f>CT164</f>
        <v>0</v>
      </c>
      <c r="CV164" s="3">
        <f>CU164</f>
        <v>0</v>
      </c>
      <c r="CW164" s="3">
        <f>CV164</f>
        <v>0</v>
      </c>
      <c r="CX164" s="3">
        <f>CW164</f>
        <v>0</v>
      </c>
      <c r="CY164" s="3">
        <f>CX164</f>
        <v>0</v>
      </c>
    </row>
    <row r="165" hidden="1" outlineLevel="1">
      <c r="C165" s="38" t="inlineStr">
        <is>
          <t>%(Var.)</t>
        </is>
      </c>
      <c r="D165" s="3" t="n"/>
      <c r="E165" s="47">
        <f>IFERROR((E164-D164)/D164,0)</f>
        <v>0</v>
      </c>
      <c r="F165" s="47">
        <f>IFERROR((F164-E164)/E164,0)</f>
        <v>0</v>
      </c>
      <c r="G165" s="47">
        <f>IFERROR((G164-F164)/F164,0)</f>
        <v>0</v>
      </c>
      <c r="H165" s="3" t="n"/>
      <c r="I165" s="47">
        <f>IFERROR((I164-H164)/H164,0)</f>
        <v>0</v>
      </c>
      <c r="J165" s="47">
        <f>IFERROR((J164-I164)/I164,0)</f>
        <v>0</v>
      </c>
      <c r="K165" s="47">
        <f>IFERROR((K164-J164)/J164,0)</f>
        <v>0</v>
      </c>
      <c r="L165" s="47">
        <f>IFERROR((L164-K164)/K164,0)</f>
        <v>0</v>
      </c>
      <c r="M165" s="3" t="n"/>
      <c r="N165" s="47">
        <f>IFERROR((N164-M164)/M164,0)</f>
        <v>0</v>
      </c>
      <c r="O165" s="47">
        <f>IFERROR((O164-N164)/N164,0)</f>
        <v>0</v>
      </c>
      <c r="P165" s="47">
        <f>IFERROR((P164-O164)/O164,0)</f>
        <v>0</v>
      </c>
      <c r="Q165" s="47">
        <f>IFERROR((Q164-P164)/P164,0)</f>
        <v>0</v>
      </c>
      <c r="R165" s="3" t="n"/>
      <c r="S165" s="47">
        <f>IFERROR((S164-R164)/R164,0)</f>
        <v>0</v>
      </c>
      <c r="T165" s="47">
        <f>IFERROR((T164-S164)/S164,0)</f>
        <v>0</v>
      </c>
      <c r="U165" s="47">
        <f>IFERROR((U164-T164)/T164,0)</f>
        <v>0</v>
      </c>
      <c r="V165" s="47">
        <f>IFERROR((V164-U164)/U164,0)</f>
        <v>0</v>
      </c>
      <c r="W165" s="3" t="n"/>
      <c r="X165" s="47">
        <f>IFERROR((X164-W164)/W164,0)</f>
        <v>0</v>
      </c>
      <c r="Y165" s="47">
        <f>IFERROR((Y164-X164)/X164,0)</f>
        <v>0</v>
      </c>
      <c r="Z165" s="47">
        <f>IFERROR((Z164-Y164)/Y164,0)</f>
        <v>0</v>
      </c>
      <c r="AA165" s="47">
        <f>IFERROR((AA164-Z164)/Z164,0)</f>
        <v>0</v>
      </c>
      <c r="AB165" s="3" t="n"/>
      <c r="AC165" s="47">
        <f>IFERROR((AC164-AB164)/AB164,0)</f>
        <v>0</v>
      </c>
      <c r="AD165" s="47">
        <f>IFERROR((AD164-AC164)/AC164,0)</f>
        <v>0</v>
      </c>
      <c r="AE165" s="47">
        <f>IFERROR((AE164-AD164)/AD164,0)</f>
        <v>0</v>
      </c>
      <c r="AF165" s="218">
        <f>IFERROR((AF164-AE164)/AE164,0)</f>
        <v>0</v>
      </c>
      <c r="AG165" s="3" t="n"/>
      <c r="AH165" s="218">
        <f>IFERROR((AH164-AG164)/AG164,0)</f>
        <v>0</v>
      </c>
      <c r="AI165" s="218">
        <f>IFERROR((AI164-AH164)/AH164,0)</f>
        <v>0</v>
      </c>
      <c r="AJ165" s="218" t="n"/>
      <c r="AK165" s="218" t="n"/>
      <c r="AL165" s="3" t="n"/>
      <c r="AM165" s="218" t="n"/>
      <c r="AN165" s="218" t="n"/>
      <c r="AO165" s="218" t="n"/>
      <c r="AP165" s="218" t="n"/>
      <c r="AQ165" s="3" t="n"/>
      <c r="AR165" s="218" t="n"/>
      <c r="AS165" s="218" t="n"/>
      <c r="AT165" s="218" t="n"/>
      <c r="AU165" s="218" t="n"/>
      <c r="AV165" s="3" t="n"/>
      <c r="AW165" s="218" t="n"/>
      <c r="AX165" s="218" t="n"/>
      <c r="AY165" s="218" t="n"/>
      <c r="AZ165" s="218" t="n"/>
      <c r="BA165" s="3" t="n"/>
      <c r="BB165" s="218" t="n"/>
      <c r="BC165" s="218" t="n"/>
      <c r="BD165" s="218" t="n"/>
      <c r="BE165" s="218" t="n"/>
      <c r="BF165" s="3" t="n"/>
      <c r="BG165" s="218" t="n"/>
      <c r="BH165" s="218" t="n"/>
      <c r="BI165" s="218" t="n"/>
      <c r="BJ165" s="218" t="n"/>
      <c r="BK165" s="3" t="n"/>
      <c r="BL165" s="218" t="n"/>
      <c r="BM165" s="218" t="n"/>
      <c r="BN165" s="218" t="n"/>
      <c r="BO165" s="218" t="n"/>
      <c r="BP165" s="3" t="n"/>
      <c r="BQ165" s="218" t="n"/>
      <c r="BR165" s="218" t="n"/>
      <c r="BS165" s="218" t="n"/>
      <c r="BT165" s="218" t="n"/>
      <c r="BU165" s="3" t="n"/>
      <c r="BV165" s="218" t="n"/>
      <c r="BW165" s="218" t="n"/>
      <c r="BX165" s="218" t="n"/>
      <c r="BY165" s="218" t="n"/>
      <c r="BZ165" s="3" t="n"/>
      <c r="CA165" s="218" t="n"/>
      <c r="CB165" s="218" t="n"/>
      <c r="CC165" s="218" t="n"/>
      <c r="CD165" s="218" t="n"/>
      <c r="CE165" s="3" t="n"/>
      <c r="CF165" s="218" t="n"/>
      <c r="CG165" s="218" t="n"/>
      <c r="CH165" s="218" t="n"/>
      <c r="CI165" s="218" t="n"/>
      <c r="CJ165" s="3" t="n"/>
      <c r="CK165" s="218" t="n"/>
      <c r="CL165" s="218" t="n"/>
      <c r="CM165" s="218" t="n"/>
      <c r="CN165" s="218" t="n"/>
      <c r="CO165" s="3" t="n"/>
      <c r="CP165" s="218" t="n"/>
      <c r="CQ165" s="218" t="n"/>
      <c r="CR165" s="218" t="n"/>
      <c r="CS165" s="218" t="n"/>
      <c r="CT165" s="3" t="n"/>
      <c r="CU165" s="218" t="n"/>
      <c r="CV165" s="218" t="n"/>
      <c r="CW165" s="218" t="n"/>
      <c r="CX165" s="218" t="n"/>
      <c r="CY165" s="3" t="n"/>
    </row>
    <row r="166" hidden="1" outlineLevel="1">
      <c r="C166" s="34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  <c r="AA166" s="3" t="n"/>
      <c r="AB166" s="3" t="n"/>
      <c r="AC166" s="3" t="n"/>
      <c r="AD166" s="3" t="n"/>
      <c r="AE166" s="3" t="n"/>
      <c r="AF166" s="3" t="n"/>
      <c r="AG166" s="3" t="n"/>
      <c r="AH166" s="3" t="n"/>
      <c r="AI166" s="3" t="n"/>
      <c r="AJ166" s="3" t="n"/>
      <c r="AK166" s="3" t="n"/>
      <c r="AL166" s="3" t="n"/>
      <c r="AM166" s="3" t="n"/>
      <c r="AN166" s="3" t="n"/>
      <c r="AO166" s="3" t="n"/>
      <c r="AP166" s="3" t="n"/>
      <c r="AQ166" s="3" t="n"/>
      <c r="AR166" s="3" t="n"/>
      <c r="AS166" s="3" t="n"/>
      <c r="AT166" s="3" t="n"/>
      <c r="AU166" s="3" t="n"/>
      <c r="AV166" s="3" t="n"/>
      <c r="AW166" s="3" t="n"/>
      <c r="AX166" s="3" t="n"/>
      <c r="AY166" s="3" t="n"/>
      <c r="AZ166" s="3" t="n"/>
      <c r="BA166" s="3" t="n"/>
      <c r="BB166" s="3" t="n"/>
      <c r="BC166" s="3" t="n"/>
      <c r="BD166" s="3" t="n"/>
      <c r="BE166" s="3" t="n"/>
      <c r="BF166" s="3" t="n"/>
      <c r="BG166" s="3" t="n"/>
      <c r="BH166" s="3" t="n"/>
      <c r="BI166" s="3" t="n"/>
      <c r="BJ166" s="3" t="n"/>
      <c r="BK166" s="3" t="n"/>
      <c r="BL166" s="3" t="n"/>
      <c r="BM166" s="3" t="n"/>
      <c r="BN166" s="3" t="n"/>
      <c r="BO166" s="3" t="n"/>
      <c r="BP166" s="3" t="n"/>
      <c r="BQ166" s="3" t="n"/>
      <c r="BR166" s="3" t="n"/>
      <c r="BS166" s="3" t="n"/>
      <c r="BT166" s="3" t="n"/>
      <c r="BU166" s="3" t="n"/>
      <c r="BV166" s="3" t="n"/>
      <c r="BW166" s="3" t="n"/>
      <c r="BX166" s="3" t="n"/>
      <c r="BY166" s="3" t="n"/>
      <c r="BZ166" s="3" t="n"/>
      <c r="CA166" s="3" t="n"/>
      <c r="CB166" s="3" t="n"/>
      <c r="CC166" s="3" t="n"/>
      <c r="CD166" s="3" t="n"/>
      <c r="CE166" s="3" t="n"/>
      <c r="CF166" s="3" t="n"/>
      <c r="CG166" s="3" t="n"/>
      <c r="CH166" s="3" t="n"/>
      <c r="CI166" s="3" t="n"/>
      <c r="CJ166" s="3" t="n"/>
      <c r="CK166" s="3" t="n"/>
      <c r="CL166" s="3" t="n"/>
      <c r="CM166" s="3" t="n"/>
      <c r="CN166" s="3" t="n"/>
      <c r="CO166" s="3" t="n"/>
      <c r="CP166" s="3" t="n"/>
      <c r="CQ166" s="3" t="n"/>
      <c r="CR166" s="3" t="n"/>
      <c r="CS166" s="3" t="n"/>
      <c r="CT166" s="3" t="n"/>
      <c r="CU166" s="3" t="n"/>
      <c r="CV166" s="3" t="n"/>
      <c r="CW166" s="3" t="n"/>
      <c r="CX166" s="3" t="n"/>
      <c r="CY166" s="3" t="n"/>
    </row>
    <row r="167" collapsed="1">
      <c r="C167" s="26" t="inlineStr">
        <is>
          <t>Goodwill</t>
        </is>
      </c>
      <c r="D167" s="25">
        <f>INDEX('Inputs (2)'!$D$24:$AL$24,MATCH(D$7,'Inputs (2)'!$D$2:$AL$2,0))</f>
        <v>43457</v>
      </c>
      <c r="E167" s="25">
        <f>INDEX('Inputs (2)'!$D$24:$AL$24,MATCH(E$7,'Inputs (2)'!$D$2:$AL$2,0))</f>
        <v>43447</v>
      </c>
      <c r="F167" s="25">
        <f>INDEX('Inputs (2)'!$D$24:$AL$24,MATCH(F$7,'Inputs (2)'!$D$2:$AL$2,0))</f>
        <v>43447</v>
      </c>
      <c r="G167" s="25">
        <f>INDEX('Inputs (2)'!$D$24:$AL$24,MATCH(G$7,'Inputs (2)'!$D$2:$AL$2,0))</f>
        <v>43457</v>
      </c>
      <c r="H167" s="3">
        <f>G167</f>
        <v>43457</v>
      </c>
      <c r="I167" s="25">
        <f>INDEX('Inputs (2)'!$D$24:$AL$24,MATCH(I$7,'Inputs (2)'!$D$2:$AL$2,0))</f>
        <v>43457</v>
      </c>
      <c r="J167" s="25">
        <f>INDEX('Inputs (2)'!$D$24:$AL$24,MATCH(J$7,'Inputs (2)'!$D$2:$AL$2,0))</f>
        <v>43457</v>
      </c>
      <c r="K167" s="25">
        <f>INDEX('Inputs (2)'!$D$24:$AL$24,MATCH(K$7,'Inputs (2)'!$D$2:$AL$2,0))</f>
        <v>43450</v>
      </c>
      <c r="L167" s="25">
        <f>INDEX('Inputs (2)'!$D$24:$AL$24,MATCH(L$7,'Inputs (2)'!$D$2:$AL$2,0))</f>
        <v>43450</v>
      </c>
      <c r="M167" s="3">
        <f>L167</f>
        <v>43450</v>
      </c>
      <c r="N167" s="25">
        <f>INDEX('Inputs (2)'!$D$24:$AL$24,MATCH(N$7,'Inputs (2)'!$D$2:$AL$2,0))</f>
        <v>43603</v>
      </c>
      <c r="O167" s="25">
        <f>INDEX('Inputs (2)'!$D$24:$AL$24,MATCH(O$7,'Inputs (2)'!$D$2:$AL$2,0))</f>
        <v>43608</v>
      </c>
      <c r="P167" s="25">
        <f>INDEX('Inputs (2)'!$D$24:$AL$24,MATCH(P$7,'Inputs (2)'!$D$2:$AL$2,0))</f>
        <v>43614</v>
      </c>
      <c r="Q167" s="25">
        <f>INDEX('Inputs (2)'!$D$24:$AL$24,MATCH(Q$7,'Inputs (2)'!$D$2:$AL$2,0))</f>
        <v>43614</v>
      </c>
      <c r="R167" s="3">
        <f>Q167</f>
        <v>43614</v>
      </c>
      <c r="S167" s="25">
        <f>INDEX('Inputs (2)'!$D$24:$AL$24,MATCH(S$7,'Inputs (2)'!$D$2:$AL$2,0))</f>
        <v>43614</v>
      </c>
      <c r="T167" s="25">
        <f>INDEX('Inputs (2)'!$D$24:$AL$24,MATCH(T$7,'Inputs (2)'!$D$2:$AL$2,0))</f>
        <v>43619</v>
      </c>
      <c r="U167" s="25">
        <f>INDEX('Inputs (2)'!$D$24:$AL$24,MATCH(U$7,'Inputs (2)'!$D$2:$AL$2,0))</f>
        <v>43653</v>
      </c>
      <c r="V167" s="25">
        <f>INDEX('Inputs (2)'!$D$24:$AL$24,MATCH(V$7,'Inputs (2)'!$D$2:$AL$2,0))</f>
        <v>97586</v>
      </c>
      <c r="W167" s="3">
        <f>V167</f>
        <v>97586</v>
      </c>
      <c r="X167" s="25">
        <f>INDEX('Inputs (2)'!$D$24:$AL$24,MATCH(X$7,'Inputs (2)'!$D$2:$AL$2,0))</f>
        <v>97873</v>
      </c>
      <c r="Y167" s="25">
        <f>INDEX('Inputs (2)'!$D$24:$AL$24,MATCH(Y$7,'Inputs (2)'!$D$2:$AL$2,0))</f>
        <v>97873</v>
      </c>
      <c r="Z167" s="25">
        <f>INDEX('Inputs (2)'!$D$24:$AL$24,MATCH(Z$7,'Inputs (2)'!$D$2:$AL$2,0))</f>
        <v>97873</v>
      </c>
      <c r="AA167" s="25">
        <f>INDEX('Inputs (2)'!$D$24:$AL$24,MATCH(AA$7,'Inputs (2)'!$D$2:$AL$2,0))</f>
        <v>97871</v>
      </c>
      <c r="AB167" s="3">
        <f>AA167</f>
        <v>97871</v>
      </c>
      <c r="AC167" s="25">
        <f>INDEX('Inputs (2)'!$D$24:$AL$24,MATCH(AC$7,'Inputs (2)'!$D$2:$AL$2,0))</f>
        <v>97801</v>
      </c>
      <c r="AD167" s="25">
        <f>INDEX('Inputs (2)'!$D$24:$AL$24,MATCH(AD$7,'Inputs (2)'!$D$2:$AL$2,0))</f>
        <v>97801</v>
      </c>
      <c r="AE167" s="25">
        <f>INDEX('Inputs (2)'!$D$24:$AL$24,MATCH(AE$7,'Inputs (2)'!$D$2:$AL$2,0))</f>
        <v>97801</v>
      </c>
      <c r="AF167" s="25">
        <f>INDEX('Inputs (2)'!$D$24:$AL$24,MATCH(AF$7,'Inputs (2)'!$D$2:$AL$2,0))</f>
        <v>97801</v>
      </c>
      <c r="AG167" s="3">
        <f>AF167</f>
        <v>97801</v>
      </c>
      <c r="AH167" s="3">
        <f>INDEX('Inputs (2)'!$D$24:$AL$24,MATCH(AH$7,'Inputs (2)'!$D$2:$AL$2,0))</f>
        <v>97801</v>
      </c>
      <c r="AI167" s="3">
        <f>INDEX('Inputs (2)'!$D$24:$AL$24,MATCH(AI$7,'Inputs (2)'!$D$2:$AL$2,0))</f>
        <v>97801</v>
      </c>
      <c r="AJ167" s="3">
        <f>AI167</f>
        <v>97801</v>
      </c>
      <c r="AK167" s="3">
        <f>AJ167</f>
        <v>97801</v>
      </c>
      <c r="AL167" s="3">
        <f>AK167</f>
        <v>97801</v>
      </c>
      <c r="AM167" s="3">
        <f>AL167</f>
        <v>97801</v>
      </c>
      <c r="AN167" s="3">
        <f>AM167</f>
        <v>97801</v>
      </c>
      <c r="AO167" s="3">
        <f>AN167</f>
        <v>97801</v>
      </c>
      <c r="AP167" s="3">
        <f>AO167</f>
        <v>97801</v>
      </c>
      <c r="AQ167" s="3">
        <f>AP167</f>
        <v>97801</v>
      </c>
      <c r="AR167" s="3">
        <f>AQ167</f>
        <v>97801</v>
      </c>
      <c r="AS167" s="3">
        <f>AR167</f>
        <v>97801</v>
      </c>
      <c r="AT167" s="3">
        <f>AS167</f>
        <v>97801</v>
      </c>
      <c r="AU167" s="3">
        <f>AT167</f>
        <v>97801</v>
      </c>
      <c r="AV167" s="3">
        <f>AU167</f>
        <v>97801</v>
      </c>
      <c r="AW167" s="3">
        <f>AV167</f>
        <v>97801</v>
      </c>
      <c r="AX167" s="3">
        <f>AW167</f>
        <v>97801</v>
      </c>
      <c r="AY167" s="3">
        <f>AX167</f>
        <v>97801</v>
      </c>
      <c r="AZ167" s="3">
        <f>AY167</f>
        <v>97801</v>
      </c>
      <c r="BA167" s="3">
        <f>AZ167</f>
        <v>97801</v>
      </c>
      <c r="BB167" s="3">
        <f>BA167</f>
        <v>97801</v>
      </c>
      <c r="BC167" s="3">
        <f>BB167</f>
        <v>97801</v>
      </c>
      <c r="BD167" s="3">
        <f>BC167</f>
        <v>97801</v>
      </c>
      <c r="BE167" s="3">
        <f>BD167</f>
        <v>97801</v>
      </c>
      <c r="BF167" s="3">
        <f>BE167</f>
        <v>97801</v>
      </c>
      <c r="BG167" s="3">
        <f>BF167</f>
        <v>97801</v>
      </c>
      <c r="BH167" s="3">
        <f>BG167</f>
        <v>97801</v>
      </c>
      <c r="BI167" s="3">
        <f>BH167</f>
        <v>97801</v>
      </c>
      <c r="BJ167" s="3">
        <f>BI167</f>
        <v>97801</v>
      </c>
      <c r="BK167" s="3">
        <f>BJ167</f>
        <v>97801</v>
      </c>
      <c r="BL167" s="3">
        <f>BK167</f>
        <v>97801</v>
      </c>
      <c r="BM167" s="3">
        <f>BL167</f>
        <v>97801</v>
      </c>
      <c r="BN167" s="3">
        <f>BM167</f>
        <v>97801</v>
      </c>
      <c r="BO167" s="3">
        <f>BN167</f>
        <v>97801</v>
      </c>
      <c r="BP167" s="3">
        <f>BO167</f>
        <v>97801</v>
      </c>
      <c r="BQ167" s="3">
        <f>BP167</f>
        <v>97801</v>
      </c>
      <c r="BR167" s="3">
        <f>BQ167</f>
        <v>97801</v>
      </c>
      <c r="BS167" s="3">
        <f>BR167</f>
        <v>97801</v>
      </c>
      <c r="BT167" s="3">
        <f>BS167</f>
        <v>97801</v>
      </c>
      <c r="BU167" s="3">
        <f>BT167</f>
        <v>97801</v>
      </c>
      <c r="BV167" s="3">
        <f>BU167</f>
        <v>97801</v>
      </c>
      <c r="BW167" s="3">
        <f>BV167</f>
        <v>97801</v>
      </c>
      <c r="BX167" s="3">
        <f>BW167</f>
        <v>97801</v>
      </c>
      <c r="BY167" s="3">
        <f>BX167</f>
        <v>97801</v>
      </c>
      <c r="BZ167" s="3">
        <f>BY167</f>
        <v>97801</v>
      </c>
      <c r="CA167" s="3">
        <f>BZ167</f>
        <v>97801</v>
      </c>
      <c r="CB167" s="3">
        <f>CA167</f>
        <v>97801</v>
      </c>
      <c r="CC167" s="3">
        <f>CB167</f>
        <v>97801</v>
      </c>
      <c r="CD167" s="3">
        <f>CC167</f>
        <v>97801</v>
      </c>
      <c r="CE167" s="3">
        <f>CD167</f>
        <v>97801</v>
      </c>
      <c r="CF167" s="3">
        <f>CE167</f>
        <v>97801</v>
      </c>
      <c r="CG167" s="3">
        <f>CF167</f>
        <v>97801</v>
      </c>
      <c r="CH167" s="3">
        <f>CG167</f>
        <v>97801</v>
      </c>
      <c r="CI167" s="3">
        <f>CH167</f>
        <v>97801</v>
      </c>
      <c r="CJ167" s="3">
        <f>CI167</f>
        <v>97801</v>
      </c>
      <c r="CK167" s="3">
        <f>CJ167</f>
        <v>97801</v>
      </c>
      <c r="CL167" s="3">
        <f>CK167</f>
        <v>97801</v>
      </c>
      <c r="CM167" s="3">
        <f>CL167</f>
        <v>97801</v>
      </c>
      <c r="CN167" s="3">
        <f>CM167</f>
        <v>97801</v>
      </c>
      <c r="CO167" s="3">
        <f>CN167</f>
        <v>97801</v>
      </c>
      <c r="CP167" s="3">
        <f>CO167</f>
        <v>97801</v>
      </c>
      <c r="CQ167" s="3">
        <f>CP167</f>
        <v>97801</v>
      </c>
      <c r="CR167" s="3">
        <f>CQ167</f>
        <v>97801</v>
      </c>
      <c r="CS167" s="3">
        <f>CR167</f>
        <v>97801</v>
      </c>
      <c r="CT167" s="3">
        <f>CS167</f>
        <v>97801</v>
      </c>
      <c r="CU167" s="3">
        <f>CT167</f>
        <v>97801</v>
      </c>
      <c r="CV167" s="3">
        <f>CU167</f>
        <v>97801</v>
      </c>
      <c r="CW167" s="3">
        <f>CV167</f>
        <v>97801</v>
      </c>
      <c r="CX167" s="3">
        <f>CW167</f>
        <v>97801</v>
      </c>
      <c r="CY167" s="3">
        <f>CX167</f>
        <v>97801</v>
      </c>
    </row>
    <row r="168">
      <c r="C168" s="26" t="inlineStr">
        <is>
          <t>Intangibles</t>
        </is>
      </c>
      <c r="D168" s="25">
        <f>INDEX('Inputs (2)'!$D$25:$AL$25,MATCH(D$7,'Inputs (2)'!$D$2:$AL$2,0))</f>
        <v>19909</v>
      </c>
      <c r="E168" s="25">
        <f>INDEX('Inputs (2)'!$D$25:$AL$25,MATCH(E$7,'Inputs (2)'!$D$2:$AL$2,0))</f>
        <v>18357</v>
      </c>
      <c r="F168" s="25">
        <f>INDEX('Inputs (2)'!$D$25:$AL$25,MATCH(F$7,'Inputs (2)'!$D$2:$AL$2,0))</f>
        <v>16782</v>
      </c>
      <c r="G168" s="25">
        <f>INDEX('Inputs (2)'!$D$25:$AL$25,MATCH(G$7,'Inputs (2)'!$D$2:$AL$2,0))</f>
        <v>15419</v>
      </c>
      <c r="H168" s="3">
        <f>G168</f>
        <v>15419</v>
      </c>
      <c r="I168" s="25">
        <f>INDEX('Inputs (2)'!$D$25:$AL$25,MATCH(I$7,'Inputs (2)'!$D$2:$AL$2,0))</f>
        <v>14068</v>
      </c>
      <c r="J168" s="25">
        <f>INDEX('Inputs (2)'!$D$25:$AL$25,MATCH(J$7,'Inputs (2)'!$D$2:$AL$2,0))</f>
        <v>12719</v>
      </c>
      <c r="K168" s="25">
        <f>INDEX('Inputs (2)'!$D$25:$AL$25,MATCH(K$7,'Inputs (2)'!$D$2:$AL$2,0))</f>
        <v>11374</v>
      </c>
      <c r="L168" s="25">
        <f>INDEX('Inputs (2)'!$D$25:$AL$25,MATCH(L$7,'Inputs (2)'!$D$2:$AL$2,0))</f>
        <v>10244</v>
      </c>
      <c r="M168" s="3">
        <f>L168</f>
        <v>10244</v>
      </c>
      <c r="N168" s="25">
        <f>INDEX('Inputs (2)'!$D$25:$AL$25,MATCH(N$7,'Inputs (2)'!$D$2:$AL$2,0))</f>
        <v>9241</v>
      </c>
      <c r="O168" s="25">
        <f>INDEX('Inputs (2)'!$D$25:$AL$25,MATCH(O$7,'Inputs (2)'!$D$2:$AL$2,0))</f>
        <v>8174</v>
      </c>
      <c r="P168" s="25">
        <f>INDEX('Inputs (2)'!$D$25:$AL$25,MATCH(P$7,'Inputs (2)'!$D$2:$AL$2,0))</f>
        <v>7111</v>
      </c>
      <c r="Q168" s="25">
        <f>INDEX('Inputs (2)'!$D$25:$AL$25,MATCH(Q$7,'Inputs (2)'!$D$2:$AL$2,0))</f>
        <v>6225</v>
      </c>
      <c r="R168" s="3">
        <f>Q168</f>
        <v>6225</v>
      </c>
      <c r="S168" s="25">
        <f>INDEX('Inputs (2)'!$D$25:$AL$25,MATCH(S$7,'Inputs (2)'!$D$2:$AL$2,0))</f>
        <v>5434</v>
      </c>
      <c r="T168" s="25">
        <f>INDEX('Inputs (2)'!$D$25:$AL$25,MATCH(T$7,'Inputs (2)'!$D$2:$AL$2,0))</f>
        <v>4654</v>
      </c>
      <c r="U168" s="25">
        <f>INDEX('Inputs (2)'!$D$25:$AL$25,MATCH(U$7,'Inputs (2)'!$D$2:$AL$2,0))</f>
        <v>3867</v>
      </c>
      <c r="V168" s="25">
        <f>INDEX('Inputs (2)'!$D$25:$AL$25,MATCH(V$7,'Inputs (2)'!$D$2:$AL$2,0))</f>
        <v>47185</v>
      </c>
      <c r="W168" s="3">
        <f>V168</f>
        <v>47185</v>
      </c>
      <c r="X168" s="25">
        <f>INDEX('Inputs (2)'!$D$25:$AL$25,MATCH(X$7,'Inputs (2)'!$D$2:$AL$2,0))</f>
        <v>45407</v>
      </c>
      <c r="Y168" s="25">
        <f>INDEX('Inputs (2)'!$D$25:$AL$25,MATCH(Y$7,'Inputs (2)'!$D$2:$AL$2,0))</f>
        <v>43034</v>
      </c>
      <c r="Z168" s="25">
        <f>INDEX('Inputs (2)'!$D$25:$AL$25,MATCH(Z$7,'Inputs (2)'!$D$2:$AL$2,0))</f>
        <v>40583</v>
      </c>
      <c r="AA168" s="25">
        <f>INDEX('Inputs (2)'!$D$25:$AL$25,MATCH(AA$7,'Inputs (2)'!$D$2:$AL$2,0))</f>
        <v>38583</v>
      </c>
      <c r="AB168" s="3">
        <f>AA168</f>
        <v>38583</v>
      </c>
      <c r="AC168" s="25">
        <f>INDEX('Inputs (2)'!$D$25:$AL$25,MATCH(AC$7,'Inputs (2)'!$D$2:$AL$2,0))</f>
        <v>36393</v>
      </c>
      <c r="AD168" s="25">
        <f>INDEX('Inputs (2)'!$D$25:$AL$25,MATCH(AD$7,'Inputs (2)'!$D$2:$AL$2,0))</f>
        <v>34344</v>
      </c>
      <c r="AE168" s="25">
        <f>INDEX('Inputs (2)'!$D$25:$AL$25,MATCH(AE$7,'Inputs (2)'!$D$2:$AL$2,0))</f>
        <v>32273</v>
      </c>
      <c r="AF168" s="25">
        <f>INDEX('Inputs (2)'!$D$25:$AL$25,MATCH(AF$7,'Inputs (2)'!$D$2:$AL$2,0))</f>
        <v>30302</v>
      </c>
      <c r="AG168" s="3">
        <f>AF168</f>
        <v>30302</v>
      </c>
      <c r="AH168" s="3">
        <f>INDEX('Inputs (2)'!$D$25:$AL$25,MATCH(AH$7,'Inputs (2)'!$D$2:$AL$2,0))</f>
        <v>28333</v>
      </c>
      <c r="AI168" s="3">
        <f>INDEX('Inputs (2)'!$D$25:$AL$25,MATCH(AI$7,'Inputs (2)'!$D$2:$AL$2,0))</f>
        <v>26325</v>
      </c>
      <c r="AJ168" s="3" t="n"/>
      <c r="AK168" s="3" t="n"/>
      <c r="AL168" s="3">
        <f>AK168</f>
        <v>0</v>
      </c>
      <c r="AN168" s="3" t="n"/>
      <c r="AO168" s="3" t="n"/>
      <c r="AP168" s="3" t="n"/>
      <c r="AQ168" s="3">
        <f>AP168</f>
        <v>0</v>
      </c>
      <c r="AS168" s="3" t="n"/>
      <c r="AT168" s="3" t="n"/>
      <c r="AU168" s="3" t="n"/>
      <c r="AV168" s="3">
        <f>AU168</f>
        <v>0</v>
      </c>
      <c r="AX168" s="3" t="n"/>
      <c r="AY168" s="3" t="n"/>
      <c r="AZ168" s="3" t="n"/>
      <c r="BA168" s="3">
        <f>AZ168</f>
        <v>0</v>
      </c>
      <c r="BC168" s="3" t="n"/>
      <c r="BD168" s="3" t="n"/>
      <c r="BE168" s="3" t="n"/>
      <c r="BF168" s="3">
        <f>BE168</f>
        <v>0</v>
      </c>
      <c r="BH168" s="3" t="n"/>
      <c r="BI168" s="3" t="n"/>
      <c r="BJ168" s="3" t="n"/>
      <c r="BK168" s="3">
        <f>BJ168</f>
        <v>0</v>
      </c>
      <c r="BM168" s="3" t="n"/>
      <c r="BN168" s="3" t="n"/>
      <c r="BO168" s="3" t="n"/>
      <c r="BP168" s="3">
        <f>BO168</f>
        <v>0</v>
      </c>
      <c r="BR168" s="3" t="n"/>
      <c r="BS168" s="3" t="n"/>
      <c r="BT168" s="3" t="n"/>
      <c r="BU168" s="3">
        <f>BT168</f>
        <v>0</v>
      </c>
      <c r="BW168" s="3" t="n"/>
      <c r="BX168" s="3" t="n"/>
      <c r="BY168" s="3" t="n"/>
      <c r="BZ168" s="3">
        <f>BY168</f>
        <v>0</v>
      </c>
      <c r="CB168" s="3" t="n"/>
      <c r="CC168" s="3" t="n"/>
      <c r="CD168" s="3" t="n"/>
      <c r="CE168" s="3">
        <f>CD168</f>
        <v>0</v>
      </c>
      <c r="CG168" s="3" t="n"/>
      <c r="CH168" s="3" t="n"/>
      <c r="CI168" s="3" t="n"/>
      <c r="CJ168" s="3">
        <f>CI168</f>
        <v>0</v>
      </c>
      <c r="CL168" s="3" t="n"/>
      <c r="CM168" s="3" t="n"/>
      <c r="CN168" s="3" t="n"/>
      <c r="CO168" s="3">
        <f>CN168</f>
        <v>0</v>
      </c>
      <c r="CQ168" s="3" t="n"/>
      <c r="CR168" s="3" t="n"/>
      <c r="CS168" s="3" t="n"/>
      <c r="CT168" s="3">
        <f>CS168</f>
        <v>0</v>
      </c>
      <c r="CV168" s="3" t="n"/>
      <c r="CW168" s="3" t="n"/>
      <c r="CX168" s="3" t="n"/>
      <c r="CY168" s="3">
        <f>CX168</f>
        <v>0</v>
      </c>
    </row>
    <row r="169" hidden="1" outlineLevel="1">
      <c r="C169" s="34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  <c r="AA169" s="3" t="n"/>
      <c r="AB169" s="3" t="n"/>
      <c r="AC169" s="3" t="n"/>
      <c r="AD169" s="3" t="n"/>
      <c r="AE169" s="3" t="n"/>
      <c r="AF169" s="3" t="n"/>
      <c r="AG169" s="3" t="n"/>
      <c r="AH169" s="3" t="n"/>
      <c r="AI169" s="3" t="n"/>
      <c r="AJ169" s="3" t="n"/>
      <c r="AK169" s="3" t="n"/>
      <c r="AL169" s="3" t="n"/>
      <c r="AM169" s="3" t="n"/>
      <c r="AN169" s="3" t="n"/>
      <c r="AO169" s="3" t="n"/>
      <c r="AP169" s="3" t="n"/>
      <c r="AQ169" s="3" t="n"/>
      <c r="AR169" s="3" t="n"/>
      <c r="AS169" s="3" t="n"/>
      <c r="AT169" s="3" t="n"/>
      <c r="AU169" s="3" t="n"/>
      <c r="AV169" s="3" t="n"/>
      <c r="AW169" s="3" t="n"/>
      <c r="AX169" s="3" t="n"/>
      <c r="AY169" s="3" t="n"/>
      <c r="AZ169" s="3" t="n"/>
      <c r="BA169" s="3" t="n"/>
      <c r="BB169" s="3" t="n"/>
      <c r="BC169" s="3" t="n"/>
      <c r="BD169" s="3" t="n"/>
      <c r="BE169" s="3" t="n"/>
      <c r="BF169" s="3" t="n"/>
      <c r="BG169" s="3" t="n"/>
      <c r="BH169" s="3" t="n"/>
      <c r="BI169" s="3" t="n"/>
      <c r="BJ169" s="3" t="n"/>
      <c r="BK169" s="3" t="n"/>
      <c r="BL169" s="3" t="n"/>
      <c r="BM169" s="3" t="n"/>
      <c r="BN169" s="3" t="n"/>
      <c r="BO169" s="3" t="n"/>
      <c r="BP169" s="3" t="n"/>
      <c r="BQ169" s="3" t="n"/>
      <c r="BR169" s="3" t="n"/>
      <c r="BS169" s="3" t="n"/>
      <c r="BT169" s="3" t="n"/>
      <c r="BU169" s="3" t="n"/>
      <c r="BV169" s="3" t="n"/>
      <c r="BW169" s="3" t="n"/>
      <c r="BX169" s="3" t="n"/>
      <c r="BY169" s="3" t="n"/>
      <c r="BZ169" s="3" t="n"/>
      <c r="CA169" s="3" t="n"/>
      <c r="CB169" s="3" t="n"/>
      <c r="CC169" s="3" t="n"/>
      <c r="CD169" s="3" t="n"/>
      <c r="CE169" s="3" t="n"/>
      <c r="CF169" s="3" t="n"/>
      <c r="CG169" s="3" t="n"/>
      <c r="CH169" s="3" t="n"/>
      <c r="CI169" s="3" t="n"/>
      <c r="CJ169" s="3" t="n"/>
      <c r="CK169" s="3" t="n"/>
      <c r="CL169" s="3" t="n"/>
      <c r="CM169" s="3" t="n"/>
      <c r="CN169" s="3" t="n"/>
      <c r="CO169" s="3" t="n"/>
      <c r="CP169" s="3" t="n"/>
      <c r="CQ169" s="3" t="n"/>
      <c r="CR169" s="3" t="n"/>
      <c r="CS169" s="3" t="n"/>
      <c r="CT169" s="3" t="n"/>
      <c r="CU169" s="3" t="n"/>
      <c r="CV169" s="3" t="n"/>
      <c r="CW169" s="3" t="n"/>
      <c r="CX169" s="3" t="n"/>
      <c r="CY169" s="3" t="n"/>
    </row>
    <row r="170" hidden="1" outlineLevel="1">
      <c r="C170" s="34" t="inlineStr">
        <is>
          <t>Purchase of intangible assets</t>
        </is>
      </c>
      <c r="D170" s="3" t="n"/>
      <c r="E170" s="3">
        <f>E168-D168-E72</f>
        <v>-1552</v>
      </c>
      <c r="F170" s="3">
        <f>F168-E168-F72</f>
        <v>-1575</v>
      </c>
      <c r="G170" s="3">
        <f>G168-F168-G72</f>
        <v>-1363</v>
      </c>
      <c r="H170" s="3" t="n"/>
      <c r="I170" s="3">
        <f>I168-H168-I72</f>
        <v>-1351</v>
      </c>
      <c r="J170" s="3">
        <f>J168-I168-J72</f>
        <v>-1349</v>
      </c>
      <c r="K170" s="3">
        <f>K168-J168-K72</f>
        <v>-1345</v>
      </c>
      <c r="L170" s="3">
        <f>L168-K168-L72</f>
        <v>-1130</v>
      </c>
      <c r="M170" s="3" t="n"/>
      <c r="N170" s="3">
        <f>N168-M168-N72</f>
        <v>-1003</v>
      </c>
      <c r="O170" s="3">
        <f>O168-N168-O72</f>
        <v>-1067</v>
      </c>
      <c r="P170" s="3">
        <f>P168-O168-P72</f>
        <v>-1063</v>
      </c>
      <c r="Q170" s="3">
        <f>Q168-P168-Q72</f>
        <v>-886</v>
      </c>
      <c r="R170" s="3" t="n"/>
      <c r="S170" s="3">
        <f>S168-R168-S72</f>
        <v>-791</v>
      </c>
      <c r="T170" s="3">
        <f>T168-S168-T72</f>
        <v>-780</v>
      </c>
      <c r="U170" s="3">
        <f>U168-T168-U72</f>
        <v>-787</v>
      </c>
      <c r="V170" s="3">
        <f>V168-U168-V72</f>
        <v>43318</v>
      </c>
      <c r="W170" s="3" t="n"/>
      <c r="X170" s="3">
        <f>X168-W168-X72</f>
        <v>-1778</v>
      </c>
      <c r="Y170" s="3">
        <f>Y168-X168-Y72</f>
        <v>-2373</v>
      </c>
      <c r="Z170" s="3">
        <f>Z168-Y168-Z72</f>
        <v>-2451</v>
      </c>
      <c r="AA170" s="3">
        <f>AA168-Z168-AA72</f>
        <v>-2000</v>
      </c>
      <c r="AB170" s="3" t="n"/>
      <c r="AC170" s="3">
        <f>AC168-AB168-AC72</f>
        <v>-2190</v>
      </c>
      <c r="AD170" s="3">
        <f>AD168-AC168-AD72</f>
        <v>-2049</v>
      </c>
      <c r="AE170" s="3">
        <f>AE168-AD168-AE72</f>
        <v>-2071</v>
      </c>
      <c r="AF170" s="3" t="n"/>
      <c r="AG170" s="3" t="n"/>
      <c r="AH170" s="6">
        <f>AH168-AG168-AH72</f>
        <v>-1969</v>
      </c>
      <c r="AI170" s="6">
        <f>AI168-AH168-AI72</f>
        <v>-2008</v>
      </c>
      <c r="AJ170" s="6" t="n"/>
      <c r="AK170" s="6" t="n"/>
      <c r="AL170" s="3" t="n"/>
      <c r="AM170" s="6" t="n"/>
      <c r="AN170" s="6" t="n"/>
      <c r="AO170" s="6" t="n"/>
      <c r="AP170" s="6" t="n"/>
      <c r="AQ170" s="3" t="n"/>
      <c r="AR170" s="6" t="n"/>
      <c r="AS170" s="6" t="n"/>
      <c r="AT170" s="6" t="n"/>
      <c r="AU170" s="6" t="n"/>
      <c r="AV170" s="3" t="n"/>
      <c r="AW170" s="6" t="n"/>
      <c r="AX170" s="6" t="n"/>
      <c r="AY170" s="6" t="n"/>
      <c r="AZ170" s="6" t="n"/>
      <c r="BA170" s="3" t="n"/>
      <c r="BB170" s="6" t="n"/>
      <c r="BC170" s="6" t="n"/>
      <c r="BD170" s="6" t="n"/>
      <c r="BE170" s="6" t="n"/>
      <c r="BF170" s="3" t="n"/>
      <c r="BG170" s="6" t="n"/>
      <c r="BH170" s="6" t="n"/>
      <c r="BI170" s="6" t="n"/>
      <c r="BJ170" s="6" t="n"/>
      <c r="BK170" s="3" t="n"/>
      <c r="BL170" s="6" t="n"/>
      <c r="BM170" s="6" t="n"/>
      <c r="BN170" s="6" t="n"/>
      <c r="BO170" s="6" t="n"/>
      <c r="BP170" s="3" t="n"/>
      <c r="BQ170" s="6" t="n"/>
      <c r="BR170" s="6" t="n"/>
      <c r="BS170" s="6" t="n"/>
      <c r="BT170" s="6" t="n"/>
      <c r="BU170" s="3" t="n"/>
      <c r="BV170" s="6" t="n"/>
      <c r="BW170" s="6" t="n"/>
      <c r="BX170" s="6" t="n"/>
      <c r="BY170" s="6" t="n"/>
      <c r="BZ170" s="3" t="n"/>
      <c r="CA170" s="6" t="n"/>
      <c r="CB170" s="6" t="n"/>
      <c r="CC170" s="6" t="n"/>
      <c r="CD170" s="6" t="n"/>
      <c r="CE170" s="3" t="n"/>
      <c r="CF170" s="6" t="n"/>
      <c r="CG170" s="6" t="n"/>
      <c r="CH170" s="6" t="n"/>
      <c r="CI170" s="6" t="n"/>
      <c r="CJ170" s="3" t="n"/>
      <c r="CK170" s="6" t="n"/>
      <c r="CL170" s="6" t="n"/>
      <c r="CM170" s="6" t="n"/>
      <c r="CN170" s="6" t="n"/>
      <c r="CO170" s="3" t="n"/>
      <c r="CP170" s="6" t="n"/>
      <c r="CQ170" s="6" t="n"/>
      <c r="CR170" s="6" t="n"/>
      <c r="CS170" s="6" t="n"/>
      <c r="CT170" s="3" t="n"/>
      <c r="CU170" s="6" t="n"/>
      <c r="CV170" s="6" t="n"/>
      <c r="CW170" s="6" t="n"/>
      <c r="CX170" s="6" t="n"/>
      <c r="CY170" s="3" t="n"/>
    </row>
    <row r="171" hidden="1" outlineLevel="1">
      <c r="C171" s="34" t="inlineStr">
        <is>
          <t>Amortization (enter as -)</t>
        </is>
      </c>
      <c r="D171" s="3" t="n"/>
      <c r="E171" s="3">
        <f>E71</f>
        <v>0</v>
      </c>
      <c r="F171" s="3">
        <f>F71</f>
        <v>0</v>
      </c>
      <c r="G171" s="3">
        <f>G71</f>
        <v>0</v>
      </c>
      <c r="H171" s="3" t="n"/>
      <c r="I171" s="3">
        <f>I71</f>
        <v>0</v>
      </c>
      <c r="J171" s="3">
        <f>J71</f>
        <v>0</v>
      </c>
      <c r="K171" s="3">
        <f>K71</f>
        <v>0</v>
      </c>
      <c r="L171" s="3">
        <f>L71</f>
        <v>0</v>
      </c>
      <c r="M171" s="3" t="n"/>
      <c r="N171" s="3">
        <f>N71</f>
        <v>0</v>
      </c>
      <c r="O171" s="3">
        <f>O71</f>
        <v>0</v>
      </c>
      <c r="P171" s="3">
        <f>P71</f>
        <v>0</v>
      </c>
      <c r="Q171" s="3">
        <f>Q71</f>
        <v>0</v>
      </c>
      <c r="R171" s="3" t="n"/>
      <c r="S171" s="3">
        <f>S71</f>
        <v>0</v>
      </c>
      <c r="T171" s="3">
        <f>T71</f>
        <v>0</v>
      </c>
      <c r="U171" s="3">
        <f>U71</f>
        <v>0</v>
      </c>
      <c r="V171" s="3">
        <f>V71</f>
        <v>0</v>
      </c>
      <c r="W171" s="3" t="n"/>
      <c r="X171" s="3">
        <f>X71</f>
        <v>0</v>
      </c>
      <c r="Y171" s="3">
        <f>Y71</f>
        <v>0</v>
      </c>
      <c r="Z171" s="3">
        <f>Z71</f>
        <v>0</v>
      </c>
      <c r="AA171" s="3">
        <f>AA71</f>
        <v>0</v>
      </c>
      <c r="AB171" s="3" t="n"/>
      <c r="AC171" s="3">
        <f>AC71</f>
        <v>0</v>
      </c>
      <c r="AD171" s="3">
        <f>AD71</f>
        <v>0</v>
      </c>
      <c r="AE171" s="3">
        <f>AE71</f>
        <v>0</v>
      </c>
      <c r="AF171" s="3" t="n"/>
      <c r="AG171" s="3" t="n"/>
      <c r="AH171" s="3">
        <f>AH71</f>
        <v>0</v>
      </c>
      <c r="AI171" s="6">
        <f>AI71</f>
        <v>0</v>
      </c>
      <c r="AJ171" s="6" t="n"/>
      <c r="AK171" s="6" t="n"/>
      <c r="AL171" s="3" t="n"/>
      <c r="AM171" s="6" t="n"/>
      <c r="AN171" s="6" t="n"/>
      <c r="AO171" s="6" t="n"/>
      <c r="AP171" s="6" t="n"/>
      <c r="AQ171" s="3" t="n"/>
      <c r="AR171" s="6" t="n"/>
      <c r="AS171" s="6" t="n"/>
      <c r="AT171" s="6" t="n"/>
      <c r="AU171" s="6" t="n"/>
      <c r="AV171" s="3" t="n"/>
      <c r="AW171" s="6" t="n"/>
      <c r="AX171" s="6" t="n"/>
      <c r="AY171" s="6" t="n"/>
      <c r="AZ171" s="6" t="n"/>
      <c r="BA171" s="3" t="n"/>
      <c r="BB171" s="6" t="n"/>
      <c r="BC171" s="6" t="n"/>
      <c r="BD171" s="6" t="n"/>
      <c r="BE171" s="6" t="n"/>
      <c r="BF171" s="3" t="n"/>
      <c r="BG171" s="6" t="n"/>
      <c r="BH171" s="6" t="n"/>
      <c r="BI171" s="6" t="n"/>
      <c r="BJ171" s="6" t="n"/>
      <c r="BK171" s="3" t="n"/>
      <c r="BL171" s="6" t="n"/>
      <c r="BM171" s="6" t="n"/>
      <c r="BN171" s="6" t="n"/>
      <c r="BO171" s="6" t="n"/>
      <c r="BP171" s="3" t="n"/>
      <c r="BQ171" s="6" t="n"/>
      <c r="BR171" s="6" t="n"/>
      <c r="BS171" s="6" t="n"/>
      <c r="BT171" s="6" t="n"/>
      <c r="BU171" s="3" t="n"/>
      <c r="BV171" s="6" t="n"/>
      <c r="BW171" s="6" t="n"/>
      <c r="BX171" s="6" t="n"/>
      <c r="BY171" s="6" t="n"/>
      <c r="BZ171" s="3" t="n"/>
      <c r="CA171" s="6" t="n"/>
      <c r="CB171" s="6" t="n"/>
      <c r="CC171" s="6" t="n"/>
      <c r="CD171" s="6" t="n"/>
      <c r="CE171" s="3" t="n"/>
      <c r="CF171" s="6" t="n"/>
      <c r="CG171" s="6" t="n"/>
      <c r="CH171" s="6" t="n"/>
      <c r="CI171" s="6" t="n"/>
      <c r="CJ171" s="3" t="n"/>
      <c r="CK171" s="6" t="n"/>
      <c r="CL171" s="6" t="n"/>
      <c r="CM171" s="6" t="n"/>
      <c r="CN171" s="6" t="n"/>
      <c r="CO171" s="3" t="n"/>
      <c r="CP171" s="6" t="n"/>
      <c r="CQ171" s="6" t="n"/>
      <c r="CR171" s="6" t="n"/>
      <c r="CS171" s="6" t="n"/>
      <c r="CT171" s="3" t="n"/>
      <c r="CU171" s="6" t="n"/>
      <c r="CV171" s="6" t="n"/>
      <c r="CW171" s="6" t="n"/>
      <c r="CX171" s="6" t="n"/>
      <c r="CY171" s="3" t="n"/>
    </row>
    <row r="172" hidden="1" outlineLevel="1">
      <c r="C172" s="34" t="inlineStr">
        <is>
          <t>Intangibles</t>
        </is>
      </c>
      <c r="D172" s="3" t="n"/>
      <c r="E172" s="3">
        <f>E168</f>
        <v>18357</v>
      </c>
      <c r="F172" s="3">
        <f>F168</f>
        <v>16782</v>
      </c>
      <c r="G172" s="3">
        <f>G168</f>
        <v>15419</v>
      </c>
      <c r="H172" s="3" t="n"/>
      <c r="I172" s="3">
        <f>I168</f>
        <v>14068</v>
      </c>
      <c r="J172" s="3">
        <f>J168</f>
        <v>12719</v>
      </c>
      <c r="K172" s="3">
        <f>K168</f>
        <v>11374</v>
      </c>
      <c r="L172" s="3">
        <f>L168</f>
        <v>10244</v>
      </c>
      <c r="M172" s="3" t="n"/>
      <c r="N172" s="3">
        <f>N168</f>
        <v>9241</v>
      </c>
      <c r="O172" s="3">
        <f>O168</f>
        <v>8174</v>
      </c>
      <c r="P172" s="3">
        <f>P168</f>
        <v>7111</v>
      </c>
      <c r="Q172" s="3">
        <f>Q168</f>
        <v>6225</v>
      </c>
      <c r="R172" s="3" t="n"/>
      <c r="S172" s="3">
        <f>S168</f>
        <v>5434</v>
      </c>
      <c r="T172" s="3">
        <f>T168</f>
        <v>4654</v>
      </c>
      <c r="U172" s="3">
        <f>U168</f>
        <v>3867</v>
      </c>
      <c r="V172" s="3">
        <f>V168</f>
        <v>47185</v>
      </c>
      <c r="W172" s="3" t="n"/>
      <c r="X172" s="3">
        <f>X168</f>
        <v>45407</v>
      </c>
      <c r="Y172" s="3">
        <f>Y168</f>
        <v>43034</v>
      </c>
      <c r="Z172" s="3">
        <f>Z168</f>
        <v>40583</v>
      </c>
      <c r="AA172" s="3">
        <f>AA168</f>
        <v>38583</v>
      </c>
      <c r="AB172" s="3" t="n"/>
      <c r="AC172" s="3">
        <f>AC168</f>
        <v>36393</v>
      </c>
      <c r="AD172" s="3">
        <f>AD168</f>
        <v>34344</v>
      </c>
      <c r="AE172" s="3">
        <f>AE168</f>
        <v>32273</v>
      </c>
      <c r="AF172" s="3">
        <f>AF168</f>
        <v>30302</v>
      </c>
      <c r="AG172" s="3" t="n"/>
      <c r="AH172" s="3">
        <f>AH168</f>
        <v>28333</v>
      </c>
      <c r="AI172" s="3">
        <f>AI168</f>
        <v>26325</v>
      </c>
      <c r="AJ172" s="3">
        <f>AI172+SUM(AJ170:AJ171)</f>
        <v>26325</v>
      </c>
      <c r="AK172" s="3">
        <f>AJ172+SUM(AK170:AK171)</f>
        <v>26325</v>
      </c>
      <c r="AL172" s="3" t="n"/>
      <c r="AM172" s="3">
        <f>AK172+SUM(AM170:AM171)</f>
        <v>26325</v>
      </c>
      <c r="AN172" s="3">
        <f>AM172+SUM(AN170:AN171)</f>
        <v>26325</v>
      </c>
      <c r="AO172" s="3">
        <f>AN172+SUM(AO170:AO171)</f>
        <v>26325</v>
      </c>
      <c r="AP172" s="3">
        <f>AO172+SUM(AP170:AP171)</f>
        <v>26325</v>
      </c>
      <c r="AQ172" s="3" t="n"/>
      <c r="AR172" s="3">
        <f>AP172+SUM(AR170:AR171)</f>
        <v>26325</v>
      </c>
      <c r="AS172" s="3">
        <f>AR172+SUM(AS170:AS171)</f>
        <v>26325</v>
      </c>
      <c r="AT172" s="3">
        <f>AS172+SUM(AT170:AT171)</f>
        <v>26325</v>
      </c>
      <c r="AU172" s="3">
        <f>AT172+SUM(AU170:AU171)</f>
        <v>26325</v>
      </c>
      <c r="AV172" s="3" t="n"/>
      <c r="AW172" s="3">
        <f>AU172+SUM(AW170:AW171)</f>
        <v>26325</v>
      </c>
      <c r="AX172" s="3">
        <f>AW172+SUM(AX170:AX171)</f>
        <v>26325</v>
      </c>
      <c r="AY172" s="3">
        <f>AX172+SUM(AY170:AY171)</f>
        <v>26325</v>
      </c>
      <c r="AZ172" s="3">
        <f>AY172+SUM(AZ170:AZ171)</f>
        <v>26325</v>
      </c>
      <c r="BA172" s="3" t="n"/>
      <c r="BB172" s="3">
        <f>AZ172+SUM(BB170:BB171)</f>
        <v>26325</v>
      </c>
      <c r="BC172" s="3">
        <f>BB172+SUM(BC170:BC171)</f>
        <v>26325</v>
      </c>
      <c r="BD172" s="3">
        <f>BC172+SUM(BD170:BD171)</f>
        <v>26325</v>
      </c>
      <c r="BE172" s="3">
        <f>BD172+SUM(BE170:BE171)</f>
        <v>26325</v>
      </c>
      <c r="BF172" s="3" t="n"/>
      <c r="BG172" s="3">
        <f>BE172+SUM(BG170:BG171)</f>
        <v>26325</v>
      </c>
      <c r="BH172" s="3">
        <f>BG172+SUM(BH170:BH171)</f>
        <v>26325</v>
      </c>
      <c r="BI172" s="3">
        <f>BH172+SUM(BI170:BI171)</f>
        <v>26325</v>
      </c>
      <c r="BJ172" s="3">
        <f>BI172+SUM(BJ170:BJ171)</f>
        <v>26325</v>
      </c>
      <c r="BK172" s="3" t="n"/>
      <c r="BL172" s="3">
        <f>BJ172+SUM(BL170:BL171)</f>
        <v>26325</v>
      </c>
      <c r="BM172" s="3">
        <f>BL172+SUM(BM170:BM171)</f>
        <v>26325</v>
      </c>
      <c r="BN172" s="3">
        <f>BM172+SUM(BN170:BN171)</f>
        <v>26325</v>
      </c>
      <c r="BO172" s="3">
        <f>BN172+SUM(BO170:BO171)</f>
        <v>26325</v>
      </c>
      <c r="BP172" s="3" t="n"/>
      <c r="BQ172" s="3">
        <f>BO172+SUM(BQ170:BQ171)</f>
        <v>26325</v>
      </c>
      <c r="BR172" s="3">
        <f>BQ172+SUM(BR170:BR171)</f>
        <v>26325</v>
      </c>
      <c r="BS172" s="3">
        <f>BR172+SUM(BS170:BS171)</f>
        <v>26325</v>
      </c>
      <c r="BT172" s="3">
        <f>BS172+SUM(BT170:BT171)</f>
        <v>26325</v>
      </c>
      <c r="BU172" s="3" t="n"/>
      <c r="BV172" s="3">
        <f>BT172+SUM(BV170:BV171)</f>
        <v>26325</v>
      </c>
      <c r="BW172" s="3">
        <f>BV172+SUM(BW170:BW171)</f>
        <v>26325</v>
      </c>
      <c r="BX172" s="3">
        <f>BW172+SUM(BX170:BX171)</f>
        <v>26325</v>
      </c>
      <c r="BY172" s="3">
        <f>BX172+SUM(BY170:BY171)</f>
        <v>26325</v>
      </c>
      <c r="BZ172" s="3" t="n"/>
      <c r="CA172" s="3">
        <f>BY172+SUM(CA170:CA171)</f>
        <v>26325</v>
      </c>
      <c r="CB172" s="3">
        <f>CA172+SUM(CB170:CB171)</f>
        <v>26325</v>
      </c>
      <c r="CC172" s="3">
        <f>CB172+SUM(CC170:CC171)</f>
        <v>26325</v>
      </c>
      <c r="CD172" s="3">
        <f>CC172+SUM(CD170:CD171)</f>
        <v>26325</v>
      </c>
      <c r="CE172" s="3" t="n"/>
      <c r="CF172" s="3">
        <f>CD172+SUM(CF170:CF171)</f>
        <v>26325</v>
      </c>
      <c r="CG172" s="3">
        <f>CF172+SUM(CG170:CG171)</f>
        <v>26325</v>
      </c>
      <c r="CH172" s="3">
        <f>CG172+SUM(CH170:CH171)</f>
        <v>26325</v>
      </c>
      <c r="CI172" s="3">
        <f>CH172+SUM(CI170:CI171)</f>
        <v>26325</v>
      </c>
      <c r="CJ172" s="3" t="n"/>
      <c r="CK172" s="3">
        <f>CI172+SUM(CK170:CK171)</f>
        <v>26325</v>
      </c>
      <c r="CL172" s="3">
        <f>CK172+SUM(CL170:CL171)</f>
        <v>26325</v>
      </c>
      <c r="CM172" s="3">
        <f>CL172+SUM(CM170:CM171)</f>
        <v>26325</v>
      </c>
      <c r="CN172" s="3">
        <f>CM172+SUM(CN170:CN171)</f>
        <v>26325</v>
      </c>
      <c r="CO172" s="3" t="n"/>
      <c r="CP172" s="3">
        <f>CN172+SUM(CP170:CP171)</f>
        <v>26325</v>
      </c>
      <c r="CQ172" s="3">
        <f>CP172+SUM(CQ170:CQ171)</f>
        <v>26325</v>
      </c>
      <c r="CR172" s="3">
        <f>CQ172+SUM(CR170:CR171)</f>
        <v>26325</v>
      </c>
      <c r="CS172" s="3">
        <f>CR172+SUM(CS170:CS171)</f>
        <v>26325</v>
      </c>
      <c r="CT172" s="3" t="n"/>
      <c r="CU172" s="3">
        <f>CS172+SUM(CU170:CU171)</f>
        <v>26325</v>
      </c>
      <c r="CV172" s="3">
        <f>CU172+SUM(CV170:CV171)</f>
        <v>26325</v>
      </c>
      <c r="CW172" s="3">
        <f>CV172+SUM(CW170:CW171)</f>
        <v>26325</v>
      </c>
      <c r="CX172" s="3">
        <f>CW172+SUM(CX170:CX171)</f>
        <v>26325</v>
      </c>
      <c r="CY172" s="3" t="n"/>
      <c r="CZ172">
        <f>CX172+SUM(CZ170:CZ171)</f>
        <v>26325</v>
      </c>
      <c r="DA172">
        <f>CZ172+SUM(DA170:DA171)</f>
        <v>26325</v>
      </c>
      <c r="DB172">
        <f>DA172+SUM(DB170:DB171)</f>
        <v>26325</v>
      </c>
      <c r="DC172">
        <f>DB172+SUM(DC170:DC171)</f>
        <v>26325</v>
      </c>
    </row>
    <row r="173" hidden="1" outlineLevel="1">
      <c r="C173" s="34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  <c r="AA173" s="3" t="n"/>
      <c r="AB173" s="3" t="n"/>
      <c r="AC173" s="3" t="n"/>
      <c r="AD173" s="3" t="n"/>
      <c r="AE173" s="3" t="n"/>
      <c r="AF173" s="3" t="n"/>
      <c r="AG173" s="3" t="n"/>
      <c r="AH173" s="3" t="n"/>
      <c r="AI173" s="3" t="n"/>
      <c r="AJ173" s="3" t="n"/>
      <c r="AK173" s="3" t="n"/>
      <c r="AL173" s="3" t="n"/>
      <c r="AM173" s="3" t="n"/>
      <c r="AN173" s="3" t="n"/>
      <c r="AO173" s="3" t="n"/>
      <c r="AP173" s="3" t="n"/>
      <c r="AQ173" s="3" t="n"/>
      <c r="AR173" s="3" t="n"/>
      <c r="AS173" s="3" t="n"/>
      <c r="AT173" s="3" t="n"/>
      <c r="AU173" s="3" t="n"/>
      <c r="AV173" s="3" t="n"/>
      <c r="AW173" s="3" t="n"/>
      <c r="AX173" s="3" t="n"/>
      <c r="AY173" s="3" t="n"/>
      <c r="AZ173" s="3" t="n"/>
      <c r="BA173" s="3" t="n"/>
      <c r="BB173" s="3" t="n"/>
      <c r="BC173" s="3" t="n"/>
      <c r="BD173" s="3" t="n"/>
      <c r="BE173" s="3" t="n"/>
      <c r="BF173" s="3" t="n"/>
      <c r="BG173" s="3" t="n"/>
      <c r="BH173" s="3" t="n"/>
      <c r="BI173" s="3" t="n"/>
      <c r="BJ173" s="3" t="n"/>
      <c r="BK173" s="3" t="n"/>
      <c r="BL173" s="3" t="n"/>
      <c r="BM173" s="3" t="n"/>
      <c r="BN173" s="3" t="n"/>
      <c r="BO173" s="3" t="n"/>
      <c r="BP173" s="3" t="n"/>
      <c r="BQ173" s="3" t="n"/>
      <c r="BR173" s="3" t="n"/>
      <c r="BS173" s="3" t="n"/>
      <c r="BT173" s="3" t="n"/>
      <c r="BU173" s="3" t="n"/>
      <c r="BV173" s="3" t="n"/>
      <c r="BW173" s="3" t="n"/>
      <c r="BX173" s="3" t="n"/>
      <c r="BY173" s="3" t="n"/>
      <c r="BZ173" s="3" t="n"/>
      <c r="CA173" s="3" t="n"/>
      <c r="CB173" s="3" t="n"/>
      <c r="CC173" s="3" t="n"/>
      <c r="CD173" s="3" t="n"/>
      <c r="CE173" s="3" t="n"/>
      <c r="CF173" s="3" t="n"/>
      <c r="CG173" s="3" t="n"/>
      <c r="CH173" s="3" t="n"/>
      <c r="CI173" s="3" t="n"/>
      <c r="CJ173" s="3" t="n"/>
      <c r="CK173" s="3" t="n"/>
      <c r="CL173" s="3" t="n"/>
      <c r="CM173" s="3" t="n"/>
      <c r="CN173" s="3" t="n"/>
      <c r="CO173" s="3" t="n"/>
      <c r="CP173" s="3" t="n"/>
      <c r="CQ173" s="3" t="n"/>
      <c r="CR173" s="3" t="n"/>
      <c r="CS173" s="3" t="n"/>
      <c r="CT173" s="3" t="n"/>
      <c r="CU173" s="3" t="n"/>
      <c r="CV173" s="3" t="n"/>
      <c r="CW173" s="3" t="n"/>
      <c r="CX173" s="3" t="n"/>
      <c r="CY173" s="3" t="n"/>
    </row>
    <row r="174" hidden="1" outlineLevel="1">
      <c r="C174" s="34" t="inlineStr">
        <is>
          <t>Definir % do D&amp;A No PPE and Intagibles</t>
        </is>
      </c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  <c r="AA174" s="3" t="n"/>
      <c r="AB174" s="3" t="n"/>
      <c r="AC174" s="3" t="n"/>
      <c r="AD174" s="3" t="n"/>
      <c r="AE174" s="3" t="n"/>
      <c r="AF174" s="3" t="n"/>
      <c r="AG174" s="3" t="n"/>
      <c r="AH174" s="3" t="n"/>
      <c r="AI174" s="3" t="n"/>
      <c r="AJ174" s="3" t="n"/>
      <c r="AK174" s="3" t="n"/>
      <c r="AL174" s="3" t="n"/>
      <c r="AM174" s="3" t="n"/>
      <c r="AN174" s="3" t="n"/>
      <c r="AO174" s="3" t="n"/>
      <c r="AP174" s="3" t="n"/>
      <c r="AQ174" s="3" t="n"/>
      <c r="AR174" s="3" t="n"/>
      <c r="AS174" s="3" t="n"/>
      <c r="AT174" s="3" t="n"/>
      <c r="AU174" s="3" t="n"/>
      <c r="AV174" s="3" t="n"/>
      <c r="AW174" s="3" t="n"/>
      <c r="AX174" s="3" t="n"/>
      <c r="AY174" s="3" t="n"/>
      <c r="AZ174" s="3" t="n"/>
      <c r="BA174" s="3" t="n"/>
      <c r="BB174" s="3" t="n"/>
      <c r="BC174" s="3" t="n"/>
      <c r="BD174" s="3" t="n"/>
      <c r="BE174" s="3" t="n"/>
      <c r="BF174" s="3" t="n"/>
      <c r="BG174" s="3" t="n"/>
      <c r="BH174" s="3" t="n"/>
      <c r="BI174" s="3" t="n"/>
      <c r="BJ174" s="3" t="n"/>
      <c r="BK174" s="3" t="n"/>
      <c r="BL174" s="3" t="n"/>
      <c r="BM174" s="3" t="n"/>
      <c r="BN174" s="3" t="n"/>
      <c r="BO174" s="3" t="n"/>
      <c r="BP174" s="3" t="n"/>
      <c r="BQ174" s="3" t="n"/>
      <c r="BR174" s="3" t="n"/>
      <c r="BS174" s="3" t="n"/>
      <c r="BT174" s="3" t="n"/>
      <c r="BU174" s="3" t="n"/>
      <c r="BV174" s="3" t="n"/>
      <c r="BW174" s="3" t="n"/>
      <c r="BX174" s="3" t="n"/>
      <c r="BY174" s="3" t="n"/>
      <c r="BZ174" s="3" t="n"/>
      <c r="CA174" s="3" t="n"/>
      <c r="CB174" s="3" t="n"/>
      <c r="CC174" s="3" t="n"/>
      <c r="CD174" s="3" t="n"/>
      <c r="CE174" s="3" t="n"/>
      <c r="CF174" s="3" t="n"/>
      <c r="CG174" s="3" t="n"/>
      <c r="CH174" s="3" t="n"/>
      <c r="CI174" s="3" t="n"/>
      <c r="CJ174" s="3" t="n"/>
      <c r="CK174" s="3" t="n"/>
      <c r="CL174" s="3" t="n"/>
      <c r="CM174" s="3" t="n"/>
      <c r="CN174" s="3" t="n"/>
      <c r="CO174" s="3" t="n"/>
      <c r="CP174" s="3" t="n"/>
      <c r="CQ174" s="3" t="n"/>
      <c r="CR174" s="3" t="n"/>
      <c r="CS174" s="3" t="n"/>
      <c r="CT174" s="3" t="n"/>
      <c r="CU174" s="3" t="n"/>
      <c r="CV174" s="3" t="n"/>
      <c r="CW174" s="3" t="n"/>
      <c r="CX174" s="3" t="n"/>
      <c r="CY174" s="3" t="n"/>
    </row>
    <row r="175" hidden="1" outlineLevel="1">
      <c r="C175" s="34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  <c r="AA175" s="3" t="n"/>
      <c r="AB175" s="3" t="n"/>
      <c r="AC175" s="3" t="n"/>
      <c r="AD175" s="3" t="n"/>
      <c r="AE175" s="3" t="n"/>
      <c r="AF175" s="3" t="n"/>
      <c r="AG175" s="3" t="n"/>
      <c r="AH175" s="3" t="n"/>
      <c r="AI175" s="3" t="n"/>
      <c r="AJ175" s="3" t="n"/>
      <c r="AK175" s="3" t="n"/>
      <c r="AL175" s="3" t="n"/>
      <c r="AM175" s="3" t="n"/>
      <c r="AN175" s="3" t="n"/>
      <c r="AO175" s="3" t="n"/>
      <c r="AP175" s="3" t="n"/>
      <c r="AQ175" s="3" t="n"/>
      <c r="AR175" s="3" t="n"/>
      <c r="AS175" s="3" t="n"/>
      <c r="AT175" s="3" t="n"/>
      <c r="AU175" s="3" t="n"/>
      <c r="AV175" s="3" t="n"/>
      <c r="AW175" s="3" t="n"/>
      <c r="AX175" s="3" t="n"/>
      <c r="AY175" s="3" t="n"/>
      <c r="AZ175" s="3" t="n"/>
      <c r="BA175" s="3" t="n"/>
      <c r="BB175" s="3" t="n"/>
      <c r="BC175" s="3" t="n"/>
      <c r="BD175" s="3" t="n"/>
      <c r="BE175" s="3" t="n"/>
      <c r="BF175" s="3" t="n"/>
      <c r="BG175" s="3" t="n"/>
      <c r="BH175" s="3" t="n"/>
      <c r="BI175" s="3" t="n"/>
      <c r="BJ175" s="3" t="n"/>
      <c r="BK175" s="3" t="n"/>
      <c r="BL175" s="3" t="n"/>
      <c r="BM175" s="3" t="n"/>
      <c r="BN175" s="3" t="n"/>
      <c r="BO175" s="3" t="n"/>
      <c r="BP175" s="3" t="n"/>
      <c r="BQ175" s="3" t="n"/>
      <c r="BR175" s="3" t="n"/>
      <c r="BS175" s="3" t="n"/>
      <c r="BT175" s="3" t="n"/>
      <c r="BU175" s="3" t="n"/>
      <c r="BV175" s="3" t="n"/>
      <c r="BW175" s="3" t="n"/>
      <c r="BX175" s="3" t="n"/>
      <c r="BY175" s="3" t="n"/>
      <c r="BZ175" s="3" t="n"/>
      <c r="CA175" s="3" t="n"/>
      <c r="CB175" s="3" t="n"/>
      <c r="CC175" s="3" t="n"/>
      <c r="CD175" s="3" t="n"/>
      <c r="CE175" s="3" t="n"/>
      <c r="CF175" s="3" t="n"/>
      <c r="CG175" s="3" t="n"/>
      <c r="CH175" s="3" t="n"/>
      <c r="CI175" s="3" t="n"/>
      <c r="CJ175" s="3" t="n"/>
      <c r="CK175" s="3" t="n"/>
      <c r="CL175" s="3" t="n"/>
      <c r="CM175" s="3" t="n"/>
      <c r="CN175" s="3" t="n"/>
      <c r="CO175" s="3" t="n"/>
      <c r="CP175" s="3" t="n"/>
      <c r="CQ175" s="3" t="n"/>
      <c r="CR175" s="3" t="n"/>
      <c r="CS175" s="3" t="n"/>
      <c r="CT175" s="3" t="n"/>
      <c r="CU175" s="3" t="n"/>
      <c r="CV175" s="3" t="n"/>
      <c r="CW175" s="3" t="n"/>
      <c r="CX175" s="3" t="n"/>
      <c r="CY175" s="3" t="n"/>
    </row>
    <row r="176" hidden="1" outlineLevel="1">
      <c r="C176" s="34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  <c r="AA176" s="3" t="n"/>
      <c r="AB176" s="3" t="n"/>
      <c r="AC176" s="3" t="n"/>
      <c r="AD176" s="3" t="n"/>
      <c r="AE176" s="3" t="n"/>
      <c r="AF176" s="3" t="n"/>
      <c r="AG176" s="3" t="n"/>
      <c r="AH176" s="3" t="n"/>
      <c r="AI176" s="3" t="n"/>
      <c r="AJ176" s="3" t="n"/>
      <c r="AK176" s="3" t="n"/>
      <c r="AL176" s="3" t="n"/>
      <c r="AM176" s="3" t="n"/>
      <c r="AN176" s="3" t="n"/>
      <c r="AO176" s="3" t="n"/>
      <c r="AP176" s="3" t="n"/>
      <c r="AQ176" s="3" t="n"/>
      <c r="AR176" s="3" t="n"/>
      <c r="AS176" s="3" t="n"/>
      <c r="AT176" s="3" t="n"/>
      <c r="AU176" s="3" t="n"/>
      <c r="AV176" s="3" t="n"/>
      <c r="AW176" s="3" t="n"/>
      <c r="AX176" s="3" t="n"/>
      <c r="AY176" s="3" t="n"/>
      <c r="AZ176" s="3" t="n"/>
      <c r="BA176" s="3" t="n"/>
      <c r="BB176" s="3" t="n"/>
      <c r="BC176" s="3" t="n"/>
      <c r="BD176" s="3" t="n"/>
      <c r="BE176" s="3" t="n"/>
      <c r="BF176" s="3" t="n"/>
      <c r="BG176" s="3" t="n"/>
      <c r="BH176" s="3" t="n"/>
      <c r="BI176" s="3" t="n"/>
      <c r="BJ176" s="3" t="n"/>
      <c r="BK176" s="3" t="n"/>
      <c r="BL176" s="3" t="n"/>
      <c r="BM176" s="3" t="n"/>
      <c r="BN176" s="3" t="n"/>
      <c r="BO176" s="3" t="n"/>
      <c r="BP176" s="3" t="n"/>
      <c r="BQ176" s="3" t="n"/>
      <c r="BR176" s="3" t="n"/>
      <c r="BS176" s="3" t="n"/>
      <c r="BT176" s="3" t="n"/>
      <c r="BU176" s="3" t="n"/>
      <c r="BV176" s="3" t="n"/>
      <c r="BW176" s="3" t="n"/>
      <c r="BX176" s="3" t="n"/>
      <c r="BY176" s="3" t="n"/>
      <c r="BZ176" s="3" t="n"/>
      <c r="CA176" s="3" t="n"/>
      <c r="CB176" s="3" t="n"/>
      <c r="CC176" s="3" t="n"/>
      <c r="CD176" s="3" t="n"/>
      <c r="CE176" s="3" t="n"/>
      <c r="CF176" s="3" t="n"/>
      <c r="CG176" s="3" t="n"/>
      <c r="CH176" s="3" t="n"/>
      <c r="CI176" s="3" t="n"/>
      <c r="CJ176" s="3" t="n"/>
      <c r="CK176" s="3" t="n"/>
      <c r="CL176" s="3" t="n"/>
      <c r="CM176" s="3" t="n"/>
      <c r="CN176" s="3" t="n"/>
      <c r="CO176" s="3" t="n"/>
      <c r="CP176" s="3" t="n"/>
      <c r="CQ176" s="3" t="n"/>
      <c r="CR176" s="3" t="n"/>
      <c r="CS176" s="3" t="n"/>
      <c r="CT176" s="3" t="n"/>
      <c r="CU176" s="3" t="n"/>
      <c r="CV176" s="3" t="n"/>
      <c r="CW176" s="3" t="n"/>
      <c r="CX176" s="3" t="n"/>
      <c r="CY176" s="3" t="n"/>
    </row>
    <row r="177" collapsed="1">
      <c r="C177" s="26" t="inlineStr">
        <is>
          <t>Other non-current assets</t>
        </is>
      </c>
      <c r="D177" s="25">
        <f>INDEX('Inputs (2)'!$D$26:$AL$26,MATCH(D$7,'Inputs (2)'!$D$2:$AL$2,0))</f>
        <v>1342</v>
      </c>
      <c r="E177" s="25">
        <f>INDEX('Inputs (2)'!$D$26:$AL$26,MATCH(E$7,'Inputs (2)'!$D$2:$AL$2,0))</f>
        <v>1246</v>
      </c>
      <c r="F177" s="25">
        <f>INDEX('Inputs (2)'!$D$26:$AL$26,MATCH(F$7,'Inputs (2)'!$D$2:$AL$2,0))</f>
        <v>1300</v>
      </c>
      <c r="G177" s="25">
        <f>INDEX('Inputs (2)'!$D$26:$AL$26,MATCH(G$7,'Inputs (2)'!$D$2:$AL$2,0))</f>
        <v>1300</v>
      </c>
      <c r="H177" s="3">
        <f>G177</f>
        <v>1300</v>
      </c>
      <c r="I177" s="25">
        <f>INDEX('Inputs (2)'!$D$26:$AL$26,MATCH(I$7,'Inputs (2)'!$D$2:$AL$2,0))</f>
        <v>1338</v>
      </c>
      <c r="J177" s="25">
        <f>INDEX('Inputs (2)'!$D$26:$AL$26,MATCH(J$7,'Inputs (2)'!$D$2:$AL$2,0))</f>
        <v>1698</v>
      </c>
      <c r="K177" s="25">
        <f>INDEX('Inputs (2)'!$D$26:$AL$26,MATCH(K$7,'Inputs (2)'!$D$2:$AL$2,0))</f>
        <v>1812</v>
      </c>
      <c r="L177" s="25">
        <f>INDEX('Inputs (2)'!$D$26:$AL$26,MATCH(L$7,'Inputs (2)'!$D$2:$AL$2,0))</f>
        <v>1886</v>
      </c>
      <c r="M177" s="3">
        <f>L177</f>
        <v>1886</v>
      </c>
      <c r="N177" s="25">
        <f>INDEX('Inputs (2)'!$D$26:$AL$26,MATCH(N$7,'Inputs (2)'!$D$2:$AL$2,0))</f>
        <v>1803</v>
      </c>
      <c r="O177" s="25">
        <f>INDEX('Inputs (2)'!$D$26:$AL$26,MATCH(O$7,'Inputs (2)'!$D$2:$AL$2,0))</f>
        <v>1733</v>
      </c>
      <c r="P177" s="25">
        <f>INDEX('Inputs (2)'!$D$26:$AL$26,MATCH(P$7,'Inputs (2)'!$D$2:$AL$2,0))</f>
        <v>1797</v>
      </c>
      <c r="Q177" s="25">
        <f>INDEX('Inputs (2)'!$D$26:$AL$26,MATCH(Q$7,'Inputs (2)'!$D$2:$AL$2,0))</f>
        <v>2100</v>
      </c>
      <c r="R177" s="3">
        <f>Q177</f>
        <v>2100</v>
      </c>
      <c r="S177" s="25">
        <f>INDEX('Inputs (2)'!$D$26:$AL$26,MATCH(S$7,'Inputs (2)'!$D$2:$AL$2,0))</f>
        <v>2539</v>
      </c>
      <c r="T177" s="25">
        <f>INDEX('Inputs (2)'!$D$26:$AL$26,MATCH(T$7,'Inputs (2)'!$D$2:$AL$2,0))</f>
        <v>2809</v>
      </c>
      <c r="U177" s="25">
        <f>INDEX('Inputs (2)'!$D$26:$AL$26,MATCH(U$7,'Inputs (2)'!$D$2:$AL$2,0))</f>
        <v>2340</v>
      </c>
      <c r="V177" s="25">
        <f>INDEX('Inputs (2)'!$D$26:$AL$26,MATCH(V$7,'Inputs (2)'!$D$2:$AL$2,0))</f>
        <v>3245</v>
      </c>
      <c r="W177" s="3">
        <f>V177</f>
        <v>3245</v>
      </c>
      <c r="X177" s="25">
        <f>INDEX('Inputs (2)'!$D$26:$AL$26,MATCH(X$7,'Inputs (2)'!$D$2:$AL$2,0))</f>
        <v>3961</v>
      </c>
      <c r="Y177" s="25">
        <f>INDEX('Inputs (2)'!$D$26:$AL$26,MATCH(Y$7,'Inputs (2)'!$D$2:$AL$2,0))</f>
        <v>4510</v>
      </c>
      <c r="Z177" s="25">
        <f>INDEX('Inputs (2)'!$D$26:$AL$26,MATCH(Z$7,'Inputs (2)'!$D$2:$AL$2,0))</f>
        <v>5073</v>
      </c>
      <c r="AA177" s="25">
        <f>INDEX('Inputs (2)'!$D$26:$AL$26,MATCH(AA$7,'Inputs (2)'!$D$2:$AL$2,0))</f>
        <v>5449</v>
      </c>
      <c r="AB177" s="3">
        <f>AA177</f>
        <v>5449</v>
      </c>
      <c r="AC177" s="25">
        <f>INDEX('Inputs (2)'!$D$26:$AL$26,MATCH(AC$7,'Inputs (2)'!$D$2:$AL$2,0))</f>
        <v>5793</v>
      </c>
      <c r="AD177" s="25">
        <f>INDEX('Inputs (2)'!$D$26:$AL$26,MATCH(AD$7,'Inputs (2)'!$D$2:$AL$2,0))</f>
        <v>6027</v>
      </c>
      <c r="AE177" s="25">
        <f>INDEX('Inputs (2)'!$D$26:$AL$26,MATCH(AE$7,'Inputs (2)'!$D$2:$AL$2,0))</f>
        <v>6915</v>
      </c>
      <c r="AF177" s="25">
        <f>INDEX('Inputs (2)'!$D$26:$AL$26,MATCH(AF$7,'Inputs (2)'!$D$2:$AL$2,0))</f>
        <v>7139</v>
      </c>
      <c r="AG177" s="3">
        <f>AF177</f>
        <v>7139</v>
      </c>
      <c r="AH177" s="3">
        <f>INDEX('Inputs (2)'!$D$26:$AL$26,MATCH(AH$7,'Inputs (2)'!$D$2:$AL$2,0))</f>
        <v>8023</v>
      </c>
      <c r="AI177" s="3">
        <f>INDEX('Inputs (2)'!$D$26:$AL$26,MATCH(AI$7,'Inputs (2)'!$D$2:$AL$2,0))</f>
        <v>8705</v>
      </c>
      <c r="AJ177" s="3">
        <f>AI177</f>
        <v>8705</v>
      </c>
      <c r="AK177" s="3">
        <f>AJ177</f>
        <v>8705</v>
      </c>
      <c r="AL177" s="3">
        <f>AK177</f>
        <v>8705</v>
      </c>
      <c r="AM177" s="3">
        <f>AL177</f>
        <v>8705</v>
      </c>
      <c r="AN177" s="3">
        <f>AM177</f>
        <v>8705</v>
      </c>
      <c r="AO177" s="3">
        <f>AN177</f>
        <v>8705</v>
      </c>
      <c r="AP177" s="3">
        <f>AO177</f>
        <v>8705</v>
      </c>
      <c r="AQ177" s="3">
        <f>AP177</f>
        <v>8705</v>
      </c>
      <c r="AR177" s="3">
        <f>AQ177</f>
        <v>8705</v>
      </c>
      <c r="AS177" s="3">
        <f>AR177</f>
        <v>8705</v>
      </c>
      <c r="AT177" s="3">
        <f>AS177</f>
        <v>8705</v>
      </c>
      <c r="AU177" s="3">
        <f>AT177</f>
        <v>8705</v>
      </c>
      <c r="AV177" s="3">
        <f>AU177</f>
        <v>8705</v>
      </c>
      <c r="AW177" s="3">
        <f>AV177</f>
        <v>8705</v>
      </c>
      <c r="AX177" s="3">
        <f>AW177</f>
        <v>8705</v>
      </c>
      <c r="AY177" s="3">
        <f>AX177</f>
        <v>8705</v>
      </c>
      <c r="AZ177" s="3">
        <f>AY177</f>
        <v>8705</v>
      </c>
      <c r="BA177" s="3">
        <f>AZ177</f>
        <v>8705</v>
      </c>
      <c r="BB177" s="3">
        <f>BA177</f>
        <v>8705</v>
      </c>
      <c r="BC177" s="3">
        <f>BB177</f>
        <v>8705</v>
      </c>
      <c r="BD177" s="3">
        <f>BC177</f>
        <v>8705</v>
      </c>
      <c r="BE177" s="3">
        <f>BD177</f>
        <v>8705</v>
      </c>
      <c r="BF177" s="3">
        <f>BE177</f>
        <v>8705</v>
      </c>
      <c r="BG177" s="3">
        <f>BF177</f>
        <v>8705</v>
      </c>
      <c r="BH177" s="3">
        <f>BG177</f>
        <v>8705</v>
      </c>
      <c r="BI177" s="3">
        <f>BH177</f>
        <v>8705</v>
      </c>
      <c r="BJ177" s="3">
        <f>BI177</f>
        <v>8705</v>
      </c>
      <c r="BK177" s="3">
        <f>BJ177</f>
        <v>8705</v>
      </c>
      <c r="BL177" s="3">
        <f>BK177</f>
        <v>8705</v>
      </c>
      <c r="BM177" s="3">
        <f>BL177</f>
        <v>8705</v>
      </c>
      <c r="BN177" s="3">
        <f>BM177</f>
        <v>8705</v>
      </c>
      <c r="BO177" s="3">
        <f>BN177</f>
        <v>8705</v>
      </c>
      <c r="BP177" s="3">
        <f>BO177</f>
        <v>8705</v>
      </c>
      <c r="BQ177" s="3">
        <f>BP177</f>
        <v>8705</v>
      </c>
      <c r="BR177" s="3">
        <f>BQ177</f>
        <v>8705</v>
      </c>
      <c r="BS177" s="3">
        <f>BR177</f>
        <v>8705</v>
      </c>
      <c r="BT177" s="3">
        <f>BS177</f>
        <v>8705</v>
      </c>
      <c r="BU177" s="3">
        <f>BT177</f>
        <v>8705</v>
      </c>
      <c r="BV177" s="3">
        <f>BU177</f>
        <v>8705</v>
      </c>
      <c r="BW177" s="3">
        <f>BV177</f>
        <v>8705</v>
      </c>
      <c r="BX177" s="3">
        <f>BW177</f>
        <v>8705</v>
      </c>
      <c r="BY177" s="3">
        <f>BX177</f>
        <v>8705</v>
      </c>
      <c r="BZ177" s="3">
        <f>BY177</f>
        <v>8705</v>
      </c>
      <c r="CA177" s="3">
        <f>BZ177</f>
        <v>8705</v>
      </c>
      <c r="CB177" s="3">
        <f>CA177</f>
        <v>8705</v>
      </c>
      <c r="CC177" s="3">
        <f>CB177</f>
        <v>8705</v>
      </c>
      <c r="CD177" s="3">
        <f>CC177</f>
        <v>8705</v>
      </c>
      <c r="CE177" s="3">
        <f>CD177</f>
        <v>8705</v>
      </c>
      <c r="CF177" s="3">
        <f>CE177</f>
        <v>8705</v>
      </c>
      <c r="CG177" s="3">
        <f>CF177</f>
        <v>8705</v>
      </c>
      <c r="CH177" s="3">
        <f>CG177</f>
        <v>8705</v>
      </c>
      <c r="CI177" s="3">
        <f>CH177</f>
        <v>8705</v>
      </c>
      <c r="CJ177" s="3">
        <f>CI177</f>
        <v>8705</v>
      </c>
      <c r="CK177" s="3">
        <f>CJ177</f>
        <v>8705</v>
      </c>
      <c r="CL177" s="3">
        <f>CK177</f>
        <v>8705</v>
      </c>
      <c r="CM177" s="3">
        <f>CL177</f>
        <v>8705</v>
      </c>
      <c r="CN177" s="3">
        <f>CM177</f>
        <v>8705</v>
      </c>
      <c r="CO177" s="3">
        <f>CN177</f>
        <v>8705</v>
      </c>
      <c r="CP177" s="3">
        <f>CO177</f>
        <v>8705</v>
      </c>
      <c r="CQ177" s="3">
        <f>CP177</f>
        <v>8705</v>
      </c>
      <c r="CR177" s="3">
        <f>CQ177</f>
        <v>8705</v>
      </c>
      <c r="CS177" s="3">
        <f>CR177</f>
        <v>8705</v>
      </c>
      <c r="CT177" s="3">
        <f>CS177</f>
        <v>8705</v>
      </c>
      <c r="CU177" s="3">
        <f>CT177</f>
        <v>8705</v>
      </c>
      <c r="CV177" s="3">
        <f>CU177</f>
        <v>8705</v>
      </c>
      <c r="CW177" s="3">
        <f>CV177</f>
        <v>8705</v>
      </c>
      <c r="CX177" s="3">
        <f>CW177</f>
        <v>8705</v>
      </c>
      <c r="CY177" s="3">
        <f>CX177</f>
        <v>8705</v>
      </c>
    </row>
    <row r="178" hidden="1" outlineLevel="1">
      <c r="C178" s="38" t="inlineStr">
        <is>
          <t>%(Var.)</t>
        </is>
      </c>
      <c r="D178" s="3" t="n"/>
      <c r="E178" s="47">
        <f>(E177-D177)/D177</f>
        <v>-0.0715350223546945</v>
      </c>
      <c r="F178" s="47">
        <f>(F177-E177)/E177</f>
        <v>0.043338683788122</v>
      </c>
      <c r="G178" s="47">
        <f>(G177-F177)/F177</f>
        <v>0</v>
      </c>
      <c r="H178" s="3" t="n"/>
      <c r="I178" s="47">
        <f>(I177-H177)/H177</f>
        <v>0.0292307692307692</v>
      </c>
      <c r="J178" s="47">
        <f>(J177-I177)/I177</f>
        <v>0.269058295964126</v>
      </c>
      <c r="K178" s="47">
        <f>(K177-J177)/J177</f>
        <v>0.0671378091872792</v>
      </c>
      <c r="L178" s="47">
        <f>(L177-K177)/K177</f>
        <v>0.0408388520971302</v>
      </c>
      <c r="M178" s="3" t="n"/>
      <c r="N178" s="47">
        <f>(N177-M177)/M177</f>
        <v>-0.0440084835630965</v>
      </c>
      <c r="O178" s="47">
        <f>(O177-N177)/N177</f>
        <v>-0.0388241819190239</v>
      </c>
      <c r="P178" s="47">
        <f>(P177-O177)/O177</f>
        <v>0.036930178880554</v>
      </c>
      <c r="Q178" s="47">
        <f>(Q177-P177)/P177</f>
        <v>0.168614357262104</v>
      </c>
      <c r="R178" s="3" t="n"/>
      <c r="S178" s="47">
        <f>(S177-R177)/R177</f>
        <v>0.209047619047619</v>
      </c>
      <c r="T178" s="47">
        <f>(T177-S177)/S177</f>
        <v>0.106341079165026</v>
      </c>
      <c r="U178" s="47">
        <f>(U177-T177)/T177</f>
        <v>-0.166963332146671</v>
      </c>
      <c r="V178" s="47">
        <f>(V177-U177)/U177</f>
        <v>0.386752136752137</v>
      </c>
      <c r="W178" s="3" t="n"/>
      <c r="X178" s="47">
        <f>(X177-W177)/W177</f>
        <v>0.220647149460709</v>
      </c>
      <c r="Y178" s="47">
        <f>(Y177-X177)/X177</f>
        <v>0.138601363292098</v>
      </c>
      <c r="Z178" s="47">
        <f>(Z177-Y177)/Y177</f>
        <v>0.124833702882483</v>
      </c>
      <c r="AA178" s="47">
        <f>(AA177-Z177)/Z177</f>
        <v>0.0741178789670806</v>
      </c>
      <c r="AB178" s="3" t="n"/>
      <c r="AC178" s="47">
        <f>(AC177-AB177)/AB177</f>
        <v>0.0631308496971921</v>
      </c>
      <c r="AD178" s="47">
        <f>(AD177-AC177)/AC177</f>
        <v>0.0403935784567582</v>
      </c>
      <c r="AE178" s="47">
        <f>(AE177-AD177)/AD177</f>
        <v>0.147336983573917</v>
      </c>
      <c r="AF178" s="218">
        <f>(AF177-AE177)/AE177</f>
        <v>0.0323933477946493</v>
      </c>
      <c r="AG178" s="3" t="n"/>
      <c r="AH178" s="218">
        <f>(AH177-AG177)/AG177</f>
        <v>0.123826866507914</v>
      </c>
      <c r="AI178" s="218">
        <f>(AI177-AH177)/AH177</f>
        <v>0.0850056088744859</v>
      </c>
      <c r="AJ178" s="218" t="n"/>
      <c r="AK178" s="218" t="n"/>
      <c r="AL178" s="3" t="n"/>
      <c r="AM178" s="218" t="n"/>
      <c r="AN178" s="218" t="n"/>
      <c r="AO178" s="218" t="n"/>
      <c r="AP178" s="218" t="n"/>
      <c r="AQ178" s="3" t="n"/>
      <c r="AR178" s="218" t="n"/>
      <c r="AS178" s="218" t="n"/>
      <c r="AT178" s="218" t="n"/>
      <c r="AU178" s="218" t="n"/>
      <c r="AV178" s="3" t="n"/>
      <c r="AW178" s="218" t="n"/>
      <c r="AX178" s="218" t="n"/>
      <c r="AY178" s="218" t="n"/>
      <c r="AZ178" s="218" t="n"/>
      <c r="BA178" s="3" t="n"/>
      <c r="BB178" s="218" t="n"/>
      <c r="BC178" s="218" t="n"/>
      <c r="BD178" s="218" t="n"/>
      <c r="BE178" s="218" t="n"/>
      <c r="BF178" s="3" t="n"/>
      <c r="BG178" s="218" t="n"/>
      <c r="BH178" s="218" t="n"/>
      <c r="BI178" s="218" t="n"/>
      <c r="BJ178" s="218" t="n"/>
      <c r="BK178" s="3" t="n"/>
      <c r="BL178" s="218" t="n"/>
      <c r="BM178" s="218" t="n"/>
      <c r="BN178" s="218" t="n"/>
      <c r="BO178" s="218" t="n"/>
      <c r="BP178" s="3" t="n"/>
      <c r="BQ178" s="218" t="n"/>
      <c r="BR178" s="218" t="n"/>
      <c r="BS178" s="218" t="n"/>
      <c r="BT178" s="218" t="n"/>
      <c r="BU178" s="3" t="n"/>
      <c r="BV178" s="218" t="n"/>
      <c r="BW178" s="218" t="n"/>
      <c r="BX178" s="218" t="n"/>
      <c r="BY178" s="218" t="n"/>
      <c r="BZ178" s="3" t="n"/>
      <c r="CA178" s="218" t="n"/>
      <c r="CB178" s="218" t="n"/>
      <c r="CC178" s="218" t="n"/>
      <c r="CD178" s="218" t="n"/>
      <c r="CE178" s="3" t="n"/>
      <c r="CF178" s="218" t="n"/>
      <c r="CG178" s="218" t="n"/>
      <c r="CH178" s="218" t="n"/>
      <c r="CI178" s="218" t="n"/>
      <c r="CJ178" s="3" t="n"/>
      <c r="CK178" s="218" t="n"/>
      <c r="CL178" s="218" t="n"/>
      <c r="CM178" s="218" t="n"/>
      <c r="CN178" s="218" t="n"/>
      <c r="CO178" s="3" t="n"/>
      <c r="CP178" s="218" t="n"/>
      <c r="CQ178" s="218" t="n"/>
      <c r="CR178" s="218" t="n"/>
      <c r="CS178" s="218" t="n"/>
      <c r="CT178" s="3" t="n"/>
      <c r="CU178" s="218" t="n"/>
      <c r="CV178" s="218" t="n"/>
      <c r="CW178" s="218" t="n"/>
      <c r="CX178" s="218" t="n"/>
      <c r="CY178" s="3" t="n"/>
    </row>
    <row r="179" hidden="1" outlineLevel="1">
      <c r="C179" s="34" t="n"/>
      <c r="D179" s="3" t="n"/>
      <c r="E179" s="47" t="n"/>
      <c r="F179" s="47" t="n"/>
      <c r="G179" s="47" t="n"/>
      <c r="H179" s="3" t="n"/>
      <c r="I179" s="47" t="n"/>
      <c r="J179" s="47" t="n"/>
      <c r="K179" s="47" t="n"/>
      <c r="L179" s="47" t="n"/>
      <c r="M179" s="3" t="n"/>
      <c r="N179" s="47" t="n"/>
      <c r="O179" s="47" t="n"/>
      <c r="P179" s="47" t="n"/>
      <c r="Q179" s="47" t="n"/>
      <c r="R179" s="3" t="n"/>
      <c r="S179" s="47" t="n"/>
      <c r="T179" s="47" t="n"/>
      <c r="U179" s="47" t="n"/>
      <c r="V179" s="47" t="n"/>
      <c r="W179" s="3" t="n"/>
      <c r="X179" s="47" t="n"/>
      <c r="Y179" s="47" t="n"/>
      <c r="Z179" s="47" t="n"/>
      <c r="AA179" s="47" t="n"/>
      <c r="AB179" s="3" t="n"/>
      <c r="AC179" s="47" t="n"/>
      <c r="AD179" s="47" t="n"/>
      <c r="AE179" s="47" t="n"/>
      <c r="AF179" s="218" t="n"/>
      <c r="AG179" s="3" t="n"/>
      <c r="AH179" s="218" t="n"/>
      <c r="AI179" s="218" t="n"/>
      <c r="AJ179" s="218" t="n"/>
      <c r="AK179" s="218" t="n"/>
      <c r="AL179" s="3" t="n"/>
      <c r="AM179" s="218" t="n"/>
      <c r="AN179" s="218" t="n"/>
      <c r="AO179" s="218" t="n"/>
      <c r="AP179" s="218" t="n"/>
      <c r="AQ179" s="3" t="n"/>
      <c r="AR179" s="218" t="n"/>
      <c r="AS179" s="218" t="n"/>
      <c r="AT179" s="218" t="n"/>
      <c r="AU179" s="218" t="n"/>
      <c r="AV179" s="3" t="n"/>
      <c r="AW179" s="218" t="n"/>
      <c r="AX179" s="218" t="n"/>
      <c r="AY179" s="218" t="n"/>
      <c r="AZ179" s="218" t="n"/>
      <c r="BA179" s="3" t="n"/>
      <c r="BB179" s="218" t="n"/>
      <c r="BC179" s="218" t="n"/>
      <c r="BD179" s="218" t="n"/>
      <c r="BE179" s="218" t="n"/>
      <c r="BF179" s="3" t="n"/>
      <c r="BG179" s="218" t="n"/>
      <c r="BH179" s="218" t="n"/>
      <c r="BI179" s="218" t="n"/>
      <c r="BJ179" s="218" t="n"/>
      <c r="BK179" s="3" t="n"/>
      <c r="BL179" s="218" t="n"/>
      <c r="BM179" s="218" t="n"/>
      <c r="BN179" s="218" t="n"/>
      <c r="BO179" s="218" t="n"/>
      <c r="BP179" s="3" t="n"/>
      <c r="BQ179" s="218" t="n"/>
      <c r="BR179" s="218" t="n"/>
      <c r="BS179" s="218" t="n"/>
      <c r="BT179" s="218" t="n"/>
      <c r="BU179" s="3" t="n"/>
      <c r="BV179" s="218" t="n"/>
      <c r="BW179" s="218" t="n"/>
      <c r="BX179" s="218" t="n"/>
      <c r="BY179" s="218" t="n"/>
      <c r="BZ179" s="3" t="n"/>
      <c r="CA179" s="218" t="n"/>
      <c r="CB179" s="218" t="n"/>
      <c r="CC179" s="218" t="n"/>
      <c r="CD179" s="218" t="n"/>
      <c r="CE179" s="3" t="n"/>
      <c r="CF179" s="218" t="n"/>
      <c r="CG179" s="218" t="n"/>
      <c r="CH179" s="218" t="n"/>
      <c r="CI179" s="218" t="n"/>
      <c r="CJ179" s="3" t="n"/>
      <c r="CK179" s="218" t="n"/>
      <c r="CL179" s="218" t="n"/>
      <c r="CM179" s="218" t="n"/>
      <c r="CN179" s="218" t="n"/>
      <c r="CO179" s="3" t="n"/>
      <c r="CP179" s="218" t="n"/>
      <c r="CQ179" s="218" t="n"/>
      <c r="CR179" s="218" t="n"/>
      <c r="CS179" s="218" t="n"/>
      <c r="CT179" s="3" t="n"/>
      <c r="CU179" s="218" t="n"/>
      <c r="CV179" s="218" t="n"/>
      <c r="CW179" s="218" t="n"/>
      <c r="CX179" s="218" t="n"/>
      <c r="CY179" s="3" t="n"/>
    </row>
    <row r="180" hidden="1" outlineLevel="1">
      <c r="C180" s="52" t="inlineStr">
        <is>
          <t>Outros Créditos - LP</t>
        </is>
      </c>
      <c r="D180" s="6" t="n"/>
      <c r="E180" s="6" t="n"/>
      <c r="F180" s="6" t="n"/>
      <c r="G180" s="6" t="n"/>
      <c r="H180" s="3" t="n"/>
      <c r="I180" s="6" t="n"/>
      <c r="J180" s="6" t="n"/>
      <c r="K180" s="6" t="n"/>
      <c r="L180" s="6" t="n"/>
      <c r="M180" s="3" t="n"/>
      <c r="N180" s="6" t="n"/>
      <c r="O180" s="6" t="n"/>
      <c r="P180" s="6" t="n"/>
      <c r="Q180" s="6" t="n"/>
      <c r="R180" s="3" t="n"/>
      <c r="S180" s="6" t="n"/>
      <c r="T180" s="6" t="n"/>
      <c r="U180" s="6" t="n"/>
      <c r="V180" s="6" t="n"/>
      <c r="W180" s="3" t="n"/>
      <c r="X180" s="6" t="n"/>
      <c r="Y180" s="6" t="n"/>
      <c r="Z180" s="6" t="n"/>
      <c r="AA180" s="6" t="n"/>
      <c r="AB180" s="3" t="n"/>
      <c r="AC180" s="6" t="n"/>
      <c r="AD180" s="6" t="n"/>
      <c r="AE180" s="6" t="n"/>
      <c r="AF180" s="6" t="n"/>
      <c r="AG180" s="3" t="n"/>
      <c r="AH180" s="3" t="n"/>
      <c r="AI180" s="3" t="n"/>
      <c r="AJ180" s="3" t="n"/>
      <c r="AK180" s="3" t="n"/>
      <c r="AL180" s="3" t="n"/>
      <c r="AM180" s="3" t="n"/>
      <c r="AN180" s="3" t="n"/>
      <c r="AO180" s="3" t="n"/>
      <c r="AP180" s="3" t="n"/>
      <c r="AQ180" s="3" t="n"/>
      <c r="AR180" s="3" t="n"/>
      <c r="AS180" s="3" t="n"/>
      <c r="AT180" s="3" t="n"/>
      <c r="AU180" s="3" t="n"/>
      <c r="AV180" s="3" t="n"/>
      <c r="AW180" s="3" t="n"/>
      <c r="AX180" s="3" t="n"/>
      <c r="AY180" s="3" t="n"/>
      <c r="AZ180" s="3" t="n"/>
      <c r="BA180" s="3" t="n"/>
      <c r="BB180" s="3" t="n"/>
      <c r="BC180" s="3" t="n"/>
      <c r="BD180" s="3" t="n"/>
      <c r="BE180" s="3" t="n"/>
      <c r="BF180" s="3" t="n"/>
      <c r="BG180" s="3" t="n"/>
      <c r="BH180" s="3" t="n"/>
      <c r="BI180" s="3" t="n"/>
      <c r="BJ180" s="3" t="n"/>
      <c r="BK180" s="3" t="n"/>
      <c r="BL180" s="3" t="n"/>
      <c r="BM180" s="3" t="n"/>
      <c r="BN180" s="3" t="n"/>
      <c r="BO180" s="3" t="n"/>
      <c r="BP180" s="3" t="n"/>
      <c r="BQ180" s="3" t="n"/>
      <c r="BR180" s="3" t="n"/>
      <c r="BS180" s="3" t="n"/>
      <c r="BT180" s="3" t="n"/>
      <c r="BU180" s="3" t="n"/>
      <c r="BV180" s="3" t="n"/>
      <c r="BW180" s="3" t="n"/>
      <c r="BX180" s="3" t="n"/>
      <c r="BY180" s="3" t="n"/>
      <c r="BZ180" s="3" t="n"/>
      <c r="CA180" s="3" t="n"/>
      <c r="CB180" s="3" t="n"/>
      <c r="CC180" s="3" t="n"/>
      <c r="CD180" s="3" t="n"/>
      <c r="CE180" s="3" t="n"/>
      <c r="CF180" s="3" t="n"/>
      <c r="CG180" s="3" t="n"/>
      <c r="CH180" s="3" t="n"/>
      <c r="CI180" s="3" t="n"/>
      <c r="CJ180" s="3" t="n"/>
      <c r="CK180" s="3" t="n"/>
      <c r="CL180" s="3" t="n"/>
      <c r="CM180" s="3" t="n"/>
      <c r="CN180" s="3" t="n"/>
      <c r="CO180" s="3" t="n"/>
      <c r="CP180" s="3" t="n"/>
      <c r="CQ180" s="3" t="n"/>
      <c r="CR180" s="3" t="n"/>
      <c r="CS180" s="3" t="n"/>
      <c r="CT180" s="3" t="n"/>
      <c r="CU180" s="3" t="n"/>
      <c r="CV180" s="3" t="n"/>
      <c r="CW180" s="3" t="n"/>
      <c r="CX180" s="3" t="n"/>
      <c r="CY180" s="3" t="n"/>
    </row>
    <row r="181" hidden="1" outlineLevel="1">
      <c r="C181" s="52" t="inlineStr">
        <is>
          <t xml:space="preserve">Impostos e Contribuições a Recuperar </t>
        </is>
      </c>
      <c r="D181" s="6" t="n"/>
      <c r="E181" s="6" t="n"/>
      <c r="F181" s="6" t="n"/>
      <c r="G181" s="6" t="n"/>
      <c r="H181" s="3" t="n"/>
      <c r="I181" s="6" t="n"/>
      <c r="J181" s="6" t="n"/>
      <c r="K181" s="6" t="n"/>
      <c r="L181" s="6" t="n"/>
      <c r="M181" s="3" t="n"/>
      <c r="N181" s="6" t="n"/>
      <c r="O181" s="6" t="n"/>
      <c r="P181" s="6" t="n"/>
      <c r="Q181" s="6" t="n"/>
      <c r="R181" s="3" t="n"/>
      <c r="S181" s="6" t="n"/>
      <c r="T181" s="6" t="n"/>
      <c r="U181" s="6" t="n"/>
      <c r="V181" s="6" t="n"/>
      <c r="W181" s="3" t="n"/>
      <c r="X181" s="6" t="n"/>
      <c r="Y181" s="6" t="n"/>
      <c r="Z181" s="6" t="n"/>
      <c r="AA181" s="6" t="n"/>
      <c r="AB181" s="3" t="n"/>
      <c r="AC181" s="6" t="n"/>
      <c r="AD181" s="6" t="n"/>
      <c r="AE181" s="6" t="n"/>
      <c r="AF181" s="6" t="n"/>
      <c r="AG181" s="3" t="n"/>
      <c r="AH181" s="3" t="n"/>
      <c r="AI181" s="3" t="n"/>
      <c r="AJ181" s="3" t="n"/>
      <c r="AK181" s="3" t="n"/>
      <c r="AL181" s="3" t="n"/>
      <c r="AM181" s="3" t="n"/>
      <c r="AN181" s="3" t="n"/>
      <c r="AO181" s="3" t="n"/>
      <c r="AP181" s="3" t="n"/>
      <c r="AQ181" s="3" t="n"/>
      <c r="AR181" s="3" t="n"/>
      <c r="AS181" s="3" t="n"/>
      <c r="AT181" s="3" t="n"/>
      <c r="AU181" s="3" t="n"/>
      <c r="AV181" s="3" t="n"/>
      <c r="AW181" s="3" t="n"/>
      <c r="AX181" s="3" t="n"/>
      <c r="AY181" s="3" t="n"/>
      <c r="AZ181" s="3" t="n"/>
      <c r="BA181" s="3" t="n"/>
      <c r="BB181" s="3" t="n"/>
      <c r="BC181" s="3" t="n"/>
      <c r="BD181" s="3" t="n"/>
      <c r="BE181" s="3" t="n"/>
      <c r="BF181" s="3" t="n"/>
      <c r="BG181" s="3" t="n"/>
      <c r="BH181" s="3" t="n"/>
      <c r="BI181" s="3" t="n"/>
      <c r="BJ181" s="3" t="n"/>
      <c r="BK181" s="3" t="n"/>
      <c r="BL181" s="3" t="n"/>
      <c r="BM181" s="3" t="n"/>
      <c r="BN181" s="3" t="n"/>
      <c r="BO181" s="3" t="n"/>
      <c r="BP181" s="3" t="n"/>
      <c r="BQ181" s="3" t="n"/>
      <c r="BR181" s="3" t="n"/>
      <c r="BS181" s="3" t="n"/>
      <c r="BT181" s="3" t="n"/>
      <c r="BU181" s="3" t="n"/>
      <c r="BV181" s="3" t="n"/>
      <c r="BW181" s="3" t="n"/>
      <c r="BX181" s="3" t="n"/>
      <c r="BY181" s="3" t="n"/>
      <c r="BZ181" s="3" t="n"/>
      <c r="CA181" s="3" t="n"/>
      <c r="CB181" s="3" t="n"/>
      <c r="CC181" s="3" t="n"/>
      <c r="CD181" s="3" t="n"/>
      <c r="CE181" s="3" t="n"/>
      <c r="CF181" s="3" t="n"/>
      <c r="CG181" s="3" t="n"/>
      <c r="CH181" s="3" t="n"/>
      <c r="CI181" s="3" t="n"/>
      <c r="CJ181" s="3" t="n"/>
      <c r="CK181" s="3" t="n"/>
      <c r="CL181" s="3" t="n"/>
      <c r="CM181" s="3" t="n"/>
      <c r="CN181" s="3" t="n"/>
      <c r="CO181" s="3" t="n"/>
      <c r="CP181" s="3" t="n"/>
      <c r="CQ181" s="3" t="n"/>
      <c r="CR181" s="3" t="n"/>
      <c r="CS181" s="3" t="n"/>
      <c r="CT181" s="3" t="n"/>
      <c r="CU181" s="3" t="n"/>
      <c r="CV181" s="3" t="n"/>
      <c r="CW181" s="3" t="n"/>
      <c r="CX181" s="3" t="n"/>
      <c r="CY181" s="3" t="n"/>
    </row>
    <row r="182" hidden="1" outlineLevel="1">
      <c r="C182" s="52" t="inlineStr">
        <is>
          <t xml:space="preserve">Imposto de Renda e Contribuição Social Diferidos </t>
        </is>
      </c>
      <c r="D182" s="6" t="n"/>
      <c r="E182" s="6" t="n"/>
      <c r="F182" s="6" t="n"/>
      <c r="G182" s="6" t="n"/>
      <c r="H182" s="3" t="n"/>
      <c r="I182" s="6" t="n"/>
      <c r="J182" s="6" t="n"/>
      <c r="K182" s="6" t="n"/>
      <c r="L182" s="6" t="n"/>
      <c r="M182" s="3" t="n"/>
      <c r="N182" s="6" t="n"/>
      <c r="O182" s="6" t="n"/>
      <c r="P182" s="6" t="n"/>
      <c r="Q182" s="6" t="n"/>
      <c r="R182" s="3" t="n"/>
      <c r="S182" s="6" t="n"/>
      <c r="T182" s="6" t="n"/>
      <c r="U182" s="6" t="n"/>
      <c r="V182" s="6" t="n"/>
      <c r="W182" s="3" t="n"/>
      <c r="X182" s="6" t="n"/>
      <c r="Y182" s="6" t="n"/>
      <c r="Z182" s="6" t="n"/>
      <c r="AA182" s="6" t="n"/>
      <c r="AB182" s="3" t="n"/>
      <c r="AC182" s="6" t="n"/>
      <c r="AD182" s="6" t="n"/>
      <c r="AE182" s="6" t="n"/>
      <c r="AF182" s="6" t="n"/>
      <c r="AG182" s="3" t="n"/>
      <c r="AH182" s="3" t="n"/>
      <c r="AI182" s="3" t="n"/>
      <c r="AJ182" s="3" t="n"/>
      <c r="AK182" s="3" t="n"/>
      <c r="AL182" s="3" t="n"/>
      <c r="AM182" s="3" t="n"/>
      <c r="AN182" s="3" t="n"/>
      <c r="AO182" s="3" t="n"/>
      <c r="AP182" s="3" t="n"/>
      <c r="AQ182" s="3" t="n"/>
      <c r="AR182" s="3" t="n"/>
      <c r="AS182" s="3" t="n"/>
      <c r="AT182" s="3" t="n"/>
      <c r="AU182" s="3" t="n"/>
      <c r="AV182" s="3" t="n"/>
      <c r="AW182" s="3" t="n"/>
      <c r="AX182" s="3" t="n"/>
      <c r="AY182" s="3" t="n"/>
      <c r="AZ182" s="3" t="n"/>
      <c r="BA182" s="3" t="n"/>
      <c r="BB182" s="3" t="n"/>
      <c r="BC182" s="3" t="n"/>
      <c r="BD182" s="3" t="n"/>
      <c r="BE182" s="3" t="n"/>
      <c r="BF182" s="3" t="n"/>
      <c r="BG182" s="3" t="n"/>
      <c r="BH182" s="3" t="n"/>
      <c r="BI182" s="3" t="n"/>
      <c r="BJ182" s="3" t="n"/>
      <c r="BK182" s="3" t="n"/>
      <c r="BL182" s="3" t="n"/>
      <c r="BM182" s="3" t="n"/>
      <c r="BN182" s="3" t="n"/>
      <c r="BO182" s="3" t="n"/>
      <c r="BP182" s="3" t="n"/>
      <c r="BQ182" s="3" t="n"/>
      <c r="BR182" s="3" t="n"/>
      <c r="BS182" s="3" t="n"/>
      <c r="BT182" s="3" t="n"/>
      <c r="BU182" s="3" t="n"/>
      <c r="BV182" s="3" t="n"/>
      <c r="BW182" s="3" t="n"/>
      <c r="BX182" s="3" t="n"/>
      <c r="BY182" s="3" t="n"/>
      <c r="BZ182" s="3" t="n"/>
      <c r="CA182" s="3" t="n"/>
      <c r="CB182" s="3" t="n"/>
      <c r="CC182" s="3" t="n"/>
      <c r="CD182" s="3" t="n"/>
      <c r="CE182" s="3" t="n"/>
      <c r="CF182" s="3" t="n"/>
      <c r="CG182" s="3" t="n"/>
      <c r="CH182" s="3" t="n"/>
      <c r="CI182" s="3" t="n"/>
      <c r="CJ182" s="3" t="n"/>
      <c r="CK182" s="3" t="n"/>
      <c r="CL182" s="3" t="n"/>
      <c r="CM182" s="3" t="n"/>
      <c r="CN182" s="3" t="n"/>
      <c r="CO182" s="3" t="n"/>
      <c r="CP182" s="3" t="n"/>
      <c r="CQ182" s="3" t="n"/>
      <c r="CR182" s="3" t="n"/>
      <c r="CS182" s="3" t="n"/>
      <c r="CT182" s="3" t="n"/>
      <c r="CU182" s="3" t="n"/>
      <c r="CV182" s="3" t="n"/>
      <c r="CW182" s="3" t="n"/>
      <c r="CX182" s="3" t="n"/>
      <c r="CY182" s="3" t="n"/>
    </row>
    <row r="183" hidden="1" outlineLevel="1">
      <c r="C183" s="52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  <c r="AA183" s="3" t="n"/>
      <c r="AB183" s="3" t="n"/>
      <c r="AC183" s="3" t="n"/>
      <c r="AD183" s="3" t="n"/>
      <c r="AE183" s="3" t="n"/>
      <c r="AF183" s="3" t="n"/>
      <c r="AG183" s="3" t="n"/>
      <c r="AH183" s="3" t="n"/>
      <c r="AI183" s="3" t="n"/>
      <c r="AJ183" s="3" t="n"/>
      <c r="AK183" s="3" t="n"/>
      <c r="AL183" s="3" t="n"/>
      <c r="AM183" s="3" t="n"/>
      <c r="AN183" s="3" t="n"/>
      <c r="AO183" s="3" t="n"/>
      <c r="AP183" s="3" t="n"/>
      <c r="AQ183" s="3" t="n"/>
      <c r="AR183" s="3" t="n"/>
      <c r="AS183" s="3" t="n"/>
      <c r="AT183" s="3" t="n"/>
      <c r="AU183" s="3" t="n"/>
      <c r="AV183" s="3" t="n"/>
      <c r="AW183" s="3" t="n"/>
      <c r="AX183" s="3" t="n"/>
      <c r="AY183" s="3" t="n"/>
      <c r="AZ183" s="3" t="n"/>
      <c r="BA183" s="3" t="n"/>
      <c r="BB183" s="3" t="n"/>
      <c r="BC183" s="3" t="n"/>
      <c r="BD183" s="3" t="n"/>
      <c r="BE183" s="3" t="n"/>
      <c r="BF183" s="3" t="n"/>
      <c r="BG183" s="3" t="n"/>
      <c r="BH183" s="3" t="n"/>
      <c r="BI183" s="3" t="n"/>
      <c r="BJ183" s="3" t="n"/>
      <c r="BK183" s="3" t="n"/>
      <c r="BL183" s="3" t="n"/>
      <c r="BM183" s="3" t="n"/>
      <c r="BN183" s="3" t="n"/>
      <c r="BO183" s="3" t="n"/>
      <c r="BP183" s="3" t="n"/>
      <c r="BQ183" s="3" t="n"/>
      <c r="BR183" s="3" t="n"/>
      <c r="BS183" s="3" t="n"/>
      <c r="BT183" s="3" t="n"/>
      <c r="BU183" s="3" t="n"/>
      <c r="BV183" s="3" t="n"/>
      <c r="BW183" s="3" t="n"/>
      <c r="BX183" s="3" t="n"/>
      <c r="BY183" s="3" t="n"/>
      <c r="BZ183" s="3" t="n"/>
      <c r="CA183" s="3" t="n"/>
      <c r="CB183" s="3" t="n"/>
      <c r="CC183" s="3" t="n"/>
      <c r="CD183" s="3" t="n"/>
      <c r="CE183" s="3" t="n"/>
      <c r="CF183" s="3" t="n"/>
      <c r="CG183" s="3" t="n"/>
      <c r="CH183" s="3" t="n"/>
      <c r="CI183" s="3" t="n"/>
      <c r="CJ183" s="3" t="n"/>
      <c r="CK183" s="3" t="n"/>
      <c r="CL183" s="3" t="n"/>
      <c r="CM183" s="3" t="n"/>
      <c r="CN183" s="3" t="n"/>
      <c r="CO183" s="3" t="n"/>
      <c r="CP183" s="3" t="n"/>
      <c r="CQ183" s="3" t="n"/>
      <c r="CR183" s="3" t="n"/>
      <c r="CS183" s="3" t="n"/>
      <c r="CT183" s="3" t="n"/>
      <c r="CU183" s="3" t="n"/>
      <c r="CV183" s="3" t="n"/>
      <c r="CW183" s="3" t="n"/>
      <c r="CX183" s="3" t="n"/>
      <c r="CY183" s="3" t="n"/>
    </row>
    <row r="184" hidden="1" outlineLevel="1">
      <c r="C184" s="34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  <c r="AA184" s="3" t="n"/>
      <c r="AB184" s="3" t="n"/>
      <c r="AC184" s="3" t="n"/>
      <c r="AD184" s="3" t="n"/>
      <c r="AE184" s="3" t="n"/>
      <c r="AF184" s="3" t="n"/>
      <c r="AG184" s="3" t="n"/>
      <c r="AH184" s="3" t="n"/>
      <c r="AI184" s="3" t="n"/>
      <c r="AJ184" s="3" t="n"/>
      <c r="AK184" s="3" t="n"/>
      <c r="AL184" s="3" t="n"/>
      <c r="AM184" s="3" t="n"/>
      <c r="AN184" s="3" t="n"/>
      <c r="AO184" s="3" t="n"/>
      <c r="AP184" s="3" t="n"/>
      <c r="AQ184" s="3" t="n"/>
      <c r="AR184" s="3" t="n"/>
      <c r="AS184" s="3" t="n"/>
      <c r="AT184" s="3" t="n"/>
      <c r="AU184" s="3" t="n"/>
      <c r="AV184" s="3" t="n"/>
      <c r="AW184" s="3" t="n"/>
      <c r="AX184" s="3" t="n"/>
      <c r="AY184" s="3" t="n"/>
      <c r="AZ184" s="3" t="n"/>
      <c r="BA184" s="3" t="n"/>
      <c r="BB184" s="3" t="n"/>
      <c r="BC184" s="3" t="n"/>
      <c r="BD184" s="3" t="n"/>
      <c r="BE184" s="3" t="n"/>
      <c r="BF184" s="3" t="n"/>
      <c r="BG184" s="3" t="n"/>
      <c r="BH184" s="3" t="n"/>
      <c r="BI184" s="3" t="n"/>
      <c r="BJ184" s="3" t="n"/>
      <c r="BK184" s="3" t="n"/>
      <c r="BL184" s="3" t="n"/>
      <c r="BM184" s="3" t="n"/>
      <c r="BN184" s="3" t="n"/>
      <c r="BO184" s="3" t="n"/>
      <c r="BP184" s="3" t="n"/>
      <c r="BQ184" s="3" t="n"/>
      <c r="BR184" s="3" t="n"/>
      <c r="BS184" s="3" t="n"/>
      <c r="BT184" s="3" t="n"/>
      <c r="BU184" s="3" t="n"/>
      <c r="BV184" s="3" t="n"/>
      <c r="BW184" s="3" t="n"/>
      <c r="BX184" s="3" t="n"/>
      <c r="BY184" s="3" t="n"/>
      <c r="BZ184" s="3" t="n"/>
      <c r="CA184" s="3" t="n"/>
      <c r="CB184" s="3" t="n"/>
      <c r="CC184" s="3" t="n"/>
      <c r="CD184" s="3" t="n"/>
      <c r="CE184" s="3" t="n"/>
      <c r="CF184" s="3" t="n"/>
      <c r="CG184" s="3" t="n"/>
      <c r="CH184" s="3" t="n"/>
      <c r="CI184" s="3" t="n"/>
      <c r="CJ184" s="3" t="n"/>
      <c r="CK184" s="3" t="n"/>
      <c r="CL184" s="3" t="n"/>
      <c r="CM184" s="3" t="n"/>
      <c r="CN184" s="3" t="n"/>
      <c r="CO184" s="3" t="n"/>
      <c r="CP184" s="3" t="n"/>
      <c r="CQ184" s="3" t="n"/>
      <c r="CR184" s="3" t="n"/>
      <c r="CS184" s="3" t="n"/>
      <c r="CT184" s="3" t="n"/>
      <c r="CU184" s="3" t="n"/>
      <c r="CV184" s="3" t="n"/>
      <c r="CW184" s="3" t="n"/>
      <c r="CX184" s="3" t="n"/>
      <c r="CY184" s="3" t="n"/>
    </row>
    <row r="185" collapsed="1" customFormat="1" s="17">
      <c r="A185" s="13" t="n"/>
      <c r="B185" s="1" t="n"/>
      <c r="C185" s="14" t="inlineStr">
        <is>
          <t>Total Assets</t>
        </is>
      </c>
      <c r="D185" s="16">
        <f>(D132+D133+D137+D141+D142+D143+D149+D154+D164+D167+D168+D177)</f>
        <v>81548</v>
      </c>
      <c r="E185" s="16">
        <f>(E132+E133+E137+E141+E142+E143+E149+E154+E164+E167+E168+E177)</f>
        <v>79298</v>
      </c>
      <c r="F185" s="16">
        <f>(F132+F133+F137+F141+F142+F143+F149+F154+F164+F167+F168+F177)</f>
        <v>75933</v>
      </c>
      <c r="G185" s="16">
        <f>(G132+G133+G137+G141+G142+G143+G149+G154+G164+G167+G168+G177)</f>
        <v>76972</v>
      </c>
      <c r="H185" s="16">
        <f>SUM(H132,H133,H137,H141,H142,H143,H149,H164,H167,H168,H177,H154)</f>
        <v>76972</v>
      </c>
      <c r="I185" s="16">
        <f>(I132+I133+I137+I141+I142+I143+I149+I154+I164+I167+I168+I177)</f>
        <v>75524</v>
      </c>
      <c r="J185" s="16">
        <f>(J132+J133+J137+J141+J142+J143+J149+J154+J164+J167+J168+J177)</f>
        <v>75880</v>
      </c>
      <c r="K185" s="16">
        <f>(K132+K133+K137+K141+K142+K143+K149+K154+K164+K167+K168+K177)</f>
        <v>75570</v>
      </c>
      <c r="L185" s="16">
        <f>(L132+L133+L137+L141+L142+L143+L149+L154+L164+L167+L168+L177)</f>
        <v>73224</v>
      </c>
      <c r="M185" s="16">
        <f>SUM(M132,M133,M137,M141,M142,M143,M149,M164,M167,M168,M177,M154)</f>
        <v>73224</v>
      </c>
      <c r="N185" s="16">
        <f>(N132+N133+N137+N141+N142+N143+N149+N154+N164+N167+N168+N177)</f>
        <v>71719</v>
      </c>
      <c r="O185" s="16">
        <f>(O132+O133+O137+O141+O142+O143+O149+O154+O164+O167+O168+O177)</f>
        <v>71326</v>
      </c>
      <c r="P185" s="16">
        <f>(P132+P133+P137+P141+P142+P143+P149+P154+P164+P167+P168+P177)</f>
        <v>73249</v>
      </c>
      <c r="Q185" s="16">
        <f>(Q132+Q133+Q137+Q141+Q142+Q143+Q149+Q154+Q164+Q167+Q168+Q177)</f>
        <v>72976</v>
      </c>
      <c r="R185" s="16">
        <f>SUM(R132,R133,R137,R141,R142,R143,R149,R164,R167,R168,R177,R154)</f>
        <v>72976</v>
      </c>
      <c r="S185" s="16">
        <f>(S132+S133+S137+S141+S142+S143+S149+S154+S164+S167+S168+S177)</f>
        <v>71667</v>
      </c>
      <c r="T185" s="16">
        <f>(T132+T133+T137+T141+T142+T143+T149+T154+T164+T167+T168+T177)</f>
        <v>71595</v>
      </c>
      <c r="U185" s="16">
        <f>(U132+U133+U137+U141+U142+U143+U149+U154+U164+U167+U168+U177)</f>
        <v>72861</v>
      </c>
      <c r="V185" s="16">
        <f>(V132+V133+V137+V141+V142+V143+V149+V154+V164+V167+V168+V177)</f>
        <v>177870</v>
      </c>
      <c r="W185" s="16">
        <f>SUM(W132,W133,W137,W141,W142,W143,W149,W164,W167,W168,W177,W154)</f>
        <v>177870</v>
      </c>
      <c r="X185" s="16">
        <f>(X132+X133+X137+X141+X142+X143+X149+X154+X164+X167+X168+X177)</f>
        <v>175211</v>
      </c>
      <c r="Y185" s="16">
        <f>(Y132+Y133+Y137+Y141+Y142+Y143+Y149+Y154+Y164+Y167+Y168+Y177)</f>
        <v>167966</v>
      </c>
      <c r="Z185" s="16">
        <f>(Z132+Z133+Z137+Z141+Z142+Z143+Z149+Z154+Z164+Z167+Z168+Z177)</f>
        <v>165645</v>
      </c>
      <c r="AA185" s="16">
        <f>(AA132+AA133+AA137+AA141+AA142+AA143+AA149+AA154+AA164+AA167+AA168+AA177)</f>
        <v>165358</v>
      </c>
      <c r="AB185" s="16">
        <f>SUM(AB132,AB133,AB137,AB141,AB142,AB143,AB149,AB164,AB167,AB168,AB177,AB154)</f>
        <v>165358</v>
      </c>
      <c r="AC185" s="16">
        <f>(AC132+AC133+AC137+AC141+AC142+AC143+AC149+AC154+AC164+AC167+AC168+AC177)</f>
        <v>164630</v>
      </c>
      <c r="AD185" s="16">
        <f>(AD132+AD133+AD137+AD141+AD142+AD143+AD149+AD154+AD164+AD167+AD168+AD177)</f>
        <v>165621</v>
      </c>
      <c r="AE185" s="16">
        <f>(AE132+AE133+AE137+AE141+AE142+AE143+AE149+AE154+AE164+AE167+AE168+AE177)</f>
        <v>171092</v>
      </c>
      <c r="AF185" s="16">
        <f>(AF132+AF133+AF137+AF141+AF142+AF143+AF149+AF154+AF164+AF167+AF168+AF177)</f>
        <v>169903</v>
      </c>
      <c r="AG185" s="16">
        <f>SUM(AG132,AG133,AG137,AG141,AG142,AG143,AG149,AG164,AG167,AG168,AG177,AG154)</f>
        <v>169903</v>
      </c>
      <c r="AH185" s="16">
        <f>(AH132+AH133+AH137+AH141+AH142+AH143+AH149+AH154+AH164+AH167+AH168+AH177)</f>
        <v>179158</v>
      </c>
      <c r="AI185" s="16">
        <f>(AI132+AI133+AI137+AI141+AI142+AI143+AI149+AI154+AI164+AI167+AI168+AI177)</f>
        <v>188148</v>
      </c>
      <c r="AJ185" s="16">
        <f>(AJ132+AJ133+AJ137+AJ141+AJ142+AJ143+AJ149+AJ154+AJ164+AJ167+AJ168+AJ177)</f>
        <v>182760</v>
      </c>
      <c r="AK185" s="16">
        <f>(AK132+AK133+AK137+AK141+AK142+AK143+AK149+AK154+AK164+AK167+AK168+AK177)</f>
        <v>182858</v>
      </c>
      <c r="AL185" s="16">
        <f>SUM(AL132,AL133,AL137,AL141,AL142,AL143,AL149,AL164,AL167,AL168,AL177,AL154)</f>
        <v>182858</v>
      </c>
      <c r="AM185" s="16" t="e">
        <f>(AM132+AM133+AM137+AM141+AM142+AM143+AM149+AM154+AM164+AM167+AM168+AM177)</f>
        <v>#DIV/0!</v>
      </c>
      <c r="AN185" s="16" t="e">
        <f>(AN132+AN133+AN137+AN141+AN142+AN143+AN149+AN154+AN164+AN167+AN168+AN177)</f>
        <v>#DIV/0!</v>
      </c>
      <c r="AO185" s="16" t="e">
        <f>(AO132+AO133+AO137+AO141+AO142+AO143+AO149+AO154+AO164+AO167+AO168+AO177)</f>
        <v>#DIV/0!</v>
      </c>
      <c r="AP185" s="16" t="e">
        <f>(AP132+AP133+AP137+AP141+AP142+AP143+AP149+AP154+AP164+AP167+AP168+AP177)</f>
        <v>#DIV/0!</v>
      </c>
      <c r="AQ185" s="16" t="e">
        <f>SUM(AQ132,AQ133,AQ137,AQ141,AQ142,AQ143,AQ149,AQ164,AQ167,AQ168,AQ177,AQ154)</f>
        <v>#DIV/0!</v>
      </c>
      <c r="AR185" s="16" t="e">
        <f>(AR132+AR133+AR137+AR141+AR142+AR143+AR149+AR154+AR164+AR167+AR168+AR177)</f>
        <v>#DIV/0!</v>
      </c>
      <c r="AS185" s="16" t="e">
        <f>(AS132+AS133+AS137+AS141+AS142+AS143+AS149+AS154+AS164+AS167+AS168+AS177)</f>
        <v>#DIV/0!</v>
      </c>
      <c r="AT185" s="16" t="e">
        <f>(AT132+AT133+AT137+AT141+AT142+AT143+AT149+AT154+AT164+AT167+AT168+AT177)</f>
        <v>#DIV/0!</v>
      </c>
      <c r="AU185" s="16" t="e">
        <f>(AU132+AU133+AU137+AU141+AU142+AU143+AU149+AU154+AU164+AU167+AU168+AU177)</f>
        <v>#DIV/0!</v>
      </c>
      <c r="AV185" s="16" t="e">
        <f>SUM(AV132,AV133,AV137,AV141,AV142,AV143,AV149,AV164,AV167,AV168,AV177,AV154)</f>
        <v>#DIV/0!</v>
      </c>
      <c r="AW185" s="16" t="e">
        <f>(AW132+AW133+AW137+AW141+AW142+AW143+AW149+AW154+AW164+AW167+AW168+AW177)</f>
        <v>#DIV/0!</v>
      </c>
      <c r="AX185" s="16" t="e">
        <f>(AX132+AX133+AX137+AX141+AX142+AX143+AX149+AX154+AX164+AX167+AX168+AX177)</f>
        <v>#DIV/0!</v>
      </c>
      <c r="AY185" s="16" t="e">
        <f>(AY132+AY133+AY137+AY141+AY142+AY143+AY149+AY154+AY164+AY167+AY168+AY177)</f>
        <v>#DIV/0!</v>
      </c>
      <c r="AZ185" s="16" t="e">
        <f>(AZ132+AZ133+AZ137+AZ141+AZ142+AZ143+AZ149+AZ154+AZ164+AZ167+AZ168+AZ177)</f>
        <v>#DIV/0!</v>
      </c>
      <c r="BA185" s="16" t="e">
        <f>SUM(BA132,BA133,BA137,BA141,BA142,BA143,BA149,BA164,BA167,BA168,BA177,BA154)</f>
        <v>#DIV/0!</v>
      </c>
      <c r="BB185" s="16" t="e">
        <f>(BB132+BB133+BB137+BB141+BB142+BB143+BB149+BB154+BB164+BB167+BB168+BB177)</f>
        <v>#DIV/0!</v>
      </c>
      <c r="BC185" s="16" t="e">
        <f>(BC132+BC133+BC137+BC141+BC142+BC143+BC149+BC154+BC164+BC167+BC168+BC177)</f>
        <v>#DIV/0!</v>
      </c>
      <c r="BD185" s="16" t="e">
        <f>(BD132+BD133+BD137+BD141+BD142+BD143+BD149+BD154+BD164+BD167+BD168+BD177)</f>
        <v>#DIV/0!</v>
      </c>
      <c r="BE185" s="16" t="e">
        <f>(BE132+BE133+BE137+BE141+BE142+BE143+BE149+BE154+BE164+BE167+BE168+BE177)</f>
        <v>#DIV/0!</v>
      </c>
      <c r="BF185" s="16" t="e">
        <f>SUM(BF132,BF133,BF137,BF141,BF142,BF143,BF149,BF164,BF167,BF168,BF177,BF154)</f>
        <v>#DIV/0!</v>
      </c>
      <c r="BG185" s="16" t="e">
        <f>(BG132+BG133+BG137+BG141+BG142+BG143+BG149+BG154+BG164+BG167+BG168+BG177)</f>
        <v>#DIV/0!</v>
      </c>
      <c r="BH185" s="16" t="e">
        <f>(BH132+BH133+BH137+BH141+BH142+BH143+BH149+BH154+BH164+BH167+BH168+BH177)</f>
        <v>#DIV/0!</v>
      </c>
      <c r="BI185" s="16" t="e">
        <f>(BI132+BI133+BI137+BI141+BI142+BI143+BI149+BI154+BI164+BI167+BI168+BI177)</f>
        <v>#DIV/0!</v>
      </c>
      <c r="BJ185" s="16" t="e">
        <f>(BJ132+BJ133+BJ137+BJ141+BJ142+BJ143+BJ149+BJ154+BJ164+BJ167+BJ168+BJ177)</f>
        <v>#DIV/0!</v>
      </c>
      <c r="BK185" s="16" t="e">
        <f>SUM(BK132,BK133,BK137,BK141,BK142,BK143,BK149,BK164,BK167,BK168,BK177,BK154)</f>
        <v>#DIV/0!</v>
      </c>
      <c r="BL185" s="16" t="e">
        <f>(BL132+BL133+BL137+BL141+BL142+BL143+BL149+BL154+BL164+BL167+BL168+BL177)</f>
        <v>#DIV/0!</v>
      </c>
      <c r="BM185" s="16" t="e">
        <f>(BM132+BM133+BM137+BM141+BM142+BM143+BM149+BM154+BM164+BM167+BM168+BM177)</f>
        <v>#DIV/0!</v>
      </c>
      <c r="BN185" s="16" t="e">
        <f>(BN132+BN133+BN137+BN141+BN142+BN143+BN149+BN154+BN164+BN167+BN168+BN177)</f>
        <v>#DIV/0!</v>
      </c>
      <c r="BO185" s="16" t="e">
        <f>(BO132+BO133+BO137+BO141+BO142+BO143+BO149+BO154+BO164+BO167+BO168+BO177)</f>
        <v>#DIV/0!</v>
      </c>
      <c r="BP185" s="16" t="e">
        <f>SUM(BP132,BP133,BP137,BP141,BP142,BP143,BP149,BP164,BP167,BP168,BP177,BP154)</f>
        <v>#DIV/0!</v>
      </c>
      <c r="BQ185" s="16" t="e">
        <f>(BQ132+BQ133+BQ137+BQ141+BQ142+BQ143+BQ149+BQ154+BQ164+BQ167+BQ168+BQ177)</f>
        <v>#DIV/0!</v>
      </c>
      <c r="BR185" s="16" t="e">
        <f>(BR132+BR133+BR137+BR141+BR142+BR143+BR149+BR154+BR164+BR167+BR168+BR177)</f>
        <v>#DIV/0!</v>
      </c>
      <c r="BS185" s="16" t="e">
        <f>(BS132+BS133+BS137+BS141+BS142+BS143+BS149+BS154+BS164+BS167+BS168+BS177)</f>
        <v>#DIV/0!</v>
      </c>
      <c r="BT185" s="16" t="e">
        <f>(BT132+BT133+BT137+BT141+BT142+BT143+BT149+BT154+BT164+BT167+BT168+BT177)</f>
        <v>#DIV/0!</v>
      </c>
      <c r="BU185" s="16" t="e">
        <f>SUM(BU132,BU133,BU137,BU141,BU142,BU143,BU149,BU164,BU167,BU168,BU177,BU154)</f>
        <v>#DIV/0!</v>
      </c>
      <c r="BV185" s="16" t="e">
        <f>(BV132+BV133+BV137+BV141+BV142+BV143+BV149+BV154+BV164+BV167+BV168+BV177)</f>
        <v>#DIV/0!</v>
      </c>
      <c r="BW185" s="16" t="e">
        <f>(BW132+BW133+BW137+BW141+BW142+BW143+BW149+BW154+BW164+BW167+BW168+BW177)</f>
        <v>#DIV/0!</v>
      </c>
      <c r="BX185" s="16" t="e">
        <f>(BX132+BX133+BX137+BX141+BX142+BX143+BX149+BX154+BX164+BX167+BX168+BX177)</f>
        <v>#DIV/0!</v>
      </c>
      <c r="BY185" s="16" t="e">
        <f>(BY132+BY133+BY137+BY141+BY142+BY143+BY149+BY154+BY164+BY167+BY168+BY177)</f>
        <v>#DIV/0!</v>
      </c>
      <c r="BZ185" s="16" t="e">
        <f>SUM(BZ132,BZ133,BZ137,BZ141,BZ142,BZ143,BZ149,BZ164,BZ167,BZ168,BZ177,BZ154)</f>
        <v>#DIV/0!</v>
      </c>
      <c r="CA185" s="16" t="e">
        <f>(CA132+CA133+CA137+CA141+CA142+CA143+CA149+CA154+CA164+CA167+CA168+CA177)</f>
        <v>#DIV/0!</v>
      </c>
      <c r="CB185" s="16" t="e">
        <f>(CB132+CB133+CB137+CB141+CB142+CB143+CB149+CB154+CB164+CB167+CB168+CB177)</f>
        <v>#DIV/0!</v>
      </c>
      <c r="CC185" s="16" t="e">
        <f>(CC132+CC133+CC137+CC141+CC142+CC143+CC149+CC154+CC164+CC167+CC168+CC177)</f>
        <v>#DIV/0!</v>
      </c>
      <c r="CD185" s="16" t="e">
        <f>(CD132+CD133+CD137+CD141+CD142+CD143+CD149+CD154+CD164+CD167+CD168+CD177)</f>
        <v>#DIV/0!</v>
      </c>
      <c r="CE185" s="16" t="e">
        <f>SUM(CE132,CE133,CE137,CE141,CE142,CE143,CE149,CE164,CE167,CE168,CE177,CE154)</f>
        <v>#DIV/0!</v>
      </c>
      <c r="CF185" s="16" t="e">
        <f>(CF132+CF133+CF137+CF141+CF142+CF143+CF149+CF154+CF164+CF167+CF168+CF177)</f>
        <v>#DIV/0!</v>
      </c>
      <c r="CG185" s="16" t="e">
        <f>(CG132+CG133+CG137+CG141+CG142+CG143+CG149+CG154+CG164+CG167+CG168+CG177)</f>
        <v>#DIV/0!</v>
      </c>
      <c r="CH185" s="16" t="e">
        <f>(CH132+CH133+CH137+CH141+CH142+CH143+CH149+CH154+CH164+CH167+CH168+CH177)</f>
        <v>#DIV/0!</v>
      </c>
      <c r="CI185" s="16" t="e">
        <f>(CI132+CI133+CI137+CI141+CI142+CI143+CI149+CI154+CI164+CI167+CI168+CI177)</f>
        <v>#DIV/0!</v>
      </c>
      <c r="CJ185" s="16" t="e">
        <f>SUM(CJ132,CJ133,CJ137,CJ141,CJ142,CJ143,CJ149,CJ164,CJ167,CJ168,CJ177,CJ154)</f>
        <v>#DIV/0!</v>
      </c>
      <c r="CK185" s="16" t="e">
        <f>(CK132+CK133+CK137+CK141+CK142+CK143+CK149+CK154+CK164+CK167+CK168+CK177)</f>
        <v>#DIV/0!</v>
      </c>
      <c r="CL185" s="16" t="e">
        <f>(CL132+CL133+CL137+CL141+CL142+CL143+CL149+CL154+CL164+CL167+CL168+CL177)</f>
        <v>#DIV/0!</v>
      </c>
      <c r="CM185" s="16" t="e">
        <f>(CM132+CM133+CM137+CM141+CM142+CM143+CM149+CM154+CM164+CM167+CM168+CM177)</f>
        <v>#DIV/0!</v>
      </c>
      <c r="CN185" s="16" t="e">
        <f>(CN132+CN133+CN137+CN141+CN142+CN143+CN149+CN154+CN164+CN167+CN168+CN177)</f>
        <v>#DIV/0!</v>
      </c>
      <c r="CO185" s="16" t="e">
        <f>SUM(CO132,CO133,CO137,CO141,CO142,CO143,CO149,CO164,CO167,CO168,CO177,CO154)</f>
        <v>#DIV/0!</v>
      </c>
      <c r="CP185" s="16" t="e">
        <f>(CP132+CP133+CP137+CP141+CP142+CP143+CP149+CP154+CP164+CP167+CP168+CP177)</f>
        <v>#DIV/0!</v>
      </c>
      <c r="CQ185" s="16" t="e">
        <f>(CQ132+CQ133+CQ137+CQ141+CQ142+CQ143+CQ149+CQ154+CQ164+CQ167+CQ168+CQ177)</f>
        <v>#DIV/0!</v>
      </c>
      <c r="CR185" s="16" t="e">
        <f>(CR132+CR133+CR137+CR141+CR142+CR143+CR149+CR154+CR164+CR167+CR168+CR177)</f>
        <v>#DIV/0!</v>
      </c>
      <c r="CS185" s="16" t="e">
        <f>(CS132+CS133+CS137+CS141+CS142+CS143+CS149+CS154+CS164+CS167+CS168+CS177)</f>
        <v>#DIV/0!</v>
      </c>
      <c r="CT185" s="16" t="e">
        <f>SUM(CT132,CT133,CT137,CT141,CT142,CT143,CT149,CT164,CT167,CT168,CT177,CT154)</f>
        <v>#DIV/0!</v>
      </c>
      <c r="CU185" s="16" t="e">
        <f>(CU132+CU133+CU137+CU141+CU142+CU143+CU149+CU154+CU164+CU167+CU168+CU177)</f>
        <v>#DIV/0!</v>
      </c>
      <c r="CV185" s="16" t="e">
        <f>(CV132+CV133+CV137+CV141+CV142+CV143+CV149+CV154+CV164+CV167+CV168+CV177)</f>
        <v>#DIV/0!</v>
      </c>
      <c r="CW185" s="16" t="e">
        <f>(CW132+CW133+CW137+CW141+CW142+CW143+CW149+CW154+CW164+CW167+CW168+CW177)</f>
        <v>#DIV/0!</v>
      </c>
      <c r="CX185" s="16" t="e">
        <f>(CX132+CX133+CX137+CX141+CX142+CX143+CX149+CX154+CX164+CX167+CX168+CX177)</f>
        <v>#DIV/0!</v>
      </c>
      <c r="CY185" s="16" t="e">
        <f>SUM(CY132,CY133,CY137,CY141,CY142,CY143,CY149,CY164,CY167,CY168,CY177,CY154)</f>
        <v>#DIV/0!</v>
      </c>
    </row>
    <row r="186">
      <c r="C186" s="26" t="inlineStr">
        <is>
          <t>Accounts payable</t>
        </is>
      </c>
      <c r="D186" s="25">
        <f>INDEX('Inputs (2)'!$D$28:$AL$28,MATCH(D$7,'Inputs (2)'!$D$2:$AL$2,0))</f>
        <v>1230</v>
      </c>
      <c r="E186" s="25">
        <f>INDEX('Inputs (2)'!$D$28:$AL$28,MATCH(E$7,'Inputs (2)'!$D$2:$AL$2,0))</f>
        <v>1092</v>
      </c>
      <c r="F186" s="25">
        <f>INDEX('Inputs (2)'!$D$28:$AL$28,MATCH(F$7,'Inputs (2)'!$D$2:$AL$2,0))</f>
        <v>836</v>
      </c>
      <c r="G186" s="25">
        <f>INDEX('Inputs (2)'!$D$28:$AL$28,MATCH(G$7,'Inputs (2)'!$D$2:$AL$2,0))</f>
        <v>898</v>
      </c>
      <c r="H186" s="3">
        <f>G186</f>
        <v>898</v>
      </c>
      <c r="I186" s="25">
        <f>INDEX('Inputs (2)'!$D$28:$AL$28,MATCH(I$7,'Inputs (2)'!$D$2:$AL$2,0))</f>
        <v>830</v>
      </c>
      <c r="J186" s="25">
        <f>INDEX('Inputs (2)'!$D$28:$AL$28,MATCH(J$7,'Inputs (2)'!$D$2:$AL$2,0))</f>
        <v>968</v>
      </c>
      <c r="K186" s="25">
        <f>INDEX('Inputs (2)'!$D$28:$AL$28,MATCH(K$7,'Inputs (2)'!$D$2:$AL$2,0))</f>
        <v>1086</v>
      </c>
      <c r="L186" s="25">
        <f>INDEX('Inputs (2)'!$D$28:$AL$28,MATCH(L$7,'Inputs (2)'!$D$2:$AL$2,0))</f>
        <v>1078</v>
      </c>
      <c r="M186" s="3">
        <f>L186</f>
        <v>1078</v>
      </c>
      <c r="N186" s="25">
        <f>INDEX('Inputs (2)'!$D$28:$AL$28,MATCH(N$7,'Inputs (2)'!$D$2:$AL$2,0))</f>
        <v>1069</v>
      </c>
      <c r="O186" s="25">
        <f>INDEX('Inputs (2)'!$D$28:$AL$28,MATCH(O$7,'Inputs (2)'!$D$2:$AL$2,0))</f>
        <v>712</v>
      </c>
      <c r="P186" s="25">
        <f>INDEX('Inputs (2)'!$D$28:$AL$28,MATCH(P$7,'Inputs (2)'!$D$2:$AL$2,0))</f>
        <v>998</v>
      </c>
      <c r="Q186" s="25">
        <f>INDEX('Inputs (2)'!$D$28:$AL$28,MATCH(Q$7,'Inputs (2)'!$D$2:$AL$2,0))</f>
        <v>923</v>
      </c>
      <c r="R186" s="3">
        <f>Q186</f>
        <v>923</v>
      </c>
      <c r="S186" s="25">
        <f>INDEX('Inputs (2)'!$D$28:$AL$28,MATCH(S$7,'Inputs (2)'!$D$2:$AL$2,0))</f>
        <v>831</v>
      </c>
      <c r="T186" s="25">
        <f>INDEX('Inputs (2)'!$D$28:$AL$28,MATCH(T$7,'Inputs (2)'!$D$2:$AL$2,0))</f>
        <v>992</v>
      </c>
      <c r="U186" s="25">
        <f>INDEX('Inputs (2)'!$D$28:$AL$28,MATCH(U$7,'Inputs (2)'!$D$2:$AL$2,0))</f>
        <v>1210</v>
      </c>
      <c r="V186" s="25">
        <f>INDEX('Inputs (2)'!$D$28:$AL$28,MATCH(V$7,'Inputs (2)'!$D$2:$AL$2,0))</f>
        <v>1496</v>
      </c>
      <c r="W186" s="3">
        <f>V186</f>
        <v>1496</v>
      </c>
      <c r="X186" s="25">
        <f>INDEX('Inputs (2)'!$D$28:$AL$28,MATCH(X$7,'Inputs (2)'!$D$2:$AL$2,0))</f>
        <v>1441</v>
      </c>
      <c r="Y186" s="25">
        <f>INDEX('Inputs (2)'!$D$28:$AL$28,MATCH(Y$7,'Inputs (2)'!$D$2:$AL$2,0))</f>
        <v>1757</v>
      </c>
      <c r="Z186" s="25">
        <f>INDEX('Inputs (2)'!$D$28:$AL$28,MATCH(Z$7,'Inputs (2)'!$D$2:$AL$2,0))</f>
        <v>1662</v>
      </c>
      <c r="AA186" s="25">
        <f>INDEX('Inputs (2)'!$D$28:$AL$28,MATCH(AA$7,'Inputs (2)'!$D$2:$AL$2,0))</f>
        <v>1905</v>
      </c>
      <c r="AB186" s="3">
        <f>AA186</f>
        <v>1905</v>
      </c>
      <c r="AC186" s="25">
        <f>INDEX('Inputs (2)'!$D$28:$AL$28,MATCH(AC$7,'Inputs (2)'!$D$2:$AL$2,0))</f>
        <v>1297</v>
      </c>
      <c r="AD186" s="25">
        <f>INDEX('Inputs (2)'!$D$28:$AL$28,MATCH(AD$7,'Inputs (2)'!$D$2:$AL$2,0))</f>
        <v>1432</v>
      </c>
      <c r="AE186" s="25">
        <f>INDEX('Inputs (2)'!$D$28:$AL$28,MATCH(AE$7,'Inputs (2)'!$D$2:$AL$2,0))</f>
        <v>1560</v>
      </c>
      <c r="AF186" s="25">
        <f>INDEX('Inputs (2)'!$D$28:$AL$28,MATCH(AF$7,'Inputs (2)'!$D$2:$AL$2,0))</f>
        <v>2112</v>
      </c>
      <c r="AG186" s="3">
        <f>AF186</f>
        <v>2112</v>
      </c>
      <c r="AH186" s="3">
        <f>INDEX('Inputs (2)'!$D$28:$AL$28,MATCH(AH$7,'Inputs (2)'!$D$2:$AL$2,0))</f>
        <v>2337</v>
      </c>
      <c r="AI186" s="3">
        <f>INDEX('Inputs (2)'!$D$28:$AL$28,MATCH(AI$7,'Inputs (2)'!$D$2:$AL$2,0))</f>
        <v>4000</v>
      </c>
      <c r="AJ186" s="3">
        <f>(AJ187/(AJ$5-AI$5))*-AJ42</f>
        <v>0</v>
      </c>
      <c r="AK186" s="3">
        <f>(AK187/(AK$5-AJ$5))*-AK42</f>
        <v>0</v>
      </c>
      <c r="AL186" s="3">
        <f>AK186</f>
        <v>0</v>
      </c>
      <c r="AM186" s="3">
        <f>(AM187/(AM$5-AL$5))*-AM42</f>
        <v>0</v>
      </c>
      <c r="AN186" s="3">
        <f>(AN187/(AN$5-AM$5))*-AN42</f>
        <v>0</v>
      </c>
      <c r="AO186" s="3">
        <f>(AO187/(AO$5-AN$5))*-AO42</f>
        <v>0</v>
      </c>
      <c r="AP186" s="3">
        <f>(AP187/(AP$5-AO$5))*-AP42</f>
        <v>0</v>
      </c>
      <c r="AQ186" s="3">
        <f>AP186</f>
        <v>0</v>
      </c>
      <c r="AR186" s="3">
        <f>(AR187/(AR$5-AQ$5))*-AR42</f>
        <v>0</v>
      </c>
      <c r="AS186" s="3">
        <f>(AS187/(AS$5-AR$5))*-AS42</f>
        <v>0</v>
      </c>
      <c r="AT186" s="3">
        <f>(AT187/(AT$5-AS$5))*-AT42</f>
        <v>0</v>
      </c>
      <c r="AU186" s="3">
        <f>(AU187/(AU$5-AT$5))*-AU42</f>
        <v>0</v>
      </c>
      <c r="AV186" s="3">
        <f>AU186</f>
        <v>0</v>
      </c>
      <c r="AW186" s="3">
        <f>(AW187/(AW$5-AV$5))*-AW42</f>
        <v>0</v>
      </c>
      <c r="AX186" s="3">
        <f>(AX187/(AX$5-AW$5))*-AX42</f>
        <v>0</v>
      </c>
      <c r="AY186" s="3">
        <f>(AY187/(AY$5-AX$5))*-AY42</f>
        <v>0</v>
      </c>
      <c r="AZ186" s="3">
        <f>(AZ187/(AZ$5-AY$5))*-AZ42</f>
        <v>0</v>
      </c>
      <c r="BA186" s="3">
        <f>AZ186</f>
        <v>0</v>
      </c>
      <c r="BB186" s="3">
        <f>(BB187/(BB$5-BA$5))*-BB42</f>
        <v>0</v>
      </c>
      <c r="BC186" s="3">
        <f>(BC187/(BC$5-BB$5))*-BC42</f>
        <v>0</v>
      </c>
      <c r="BD186" s="3">
        <f>(BD187/(BD$5-BC$5))*-BD42</f>
        <v>0</v>
      </c>
      <c r="BE186" s="3">
        <f>(BE187/(BE$5-BD$5))*-BE42</f>
        <v>0</v>
      </c>
      <c r="BF186" s="3">
        <f>BE186</f>
        <v>0</v>
      </c>
      <c r="BG186" s="3">
        <f>(BG187/(BG$5-BF$5))*-BG42</f>
        <v>0</v>
      </c>
      <c r="BH186" s="3">
        <f>(BH187/(BH$5-BG$5))*-BH42</f>
        <v>0</v>
      </c>
      <c r="BI186" s="3">
        <f>(BI187/(BI$5-BH$5))*-BI42</f>
        <v>0</v>
      </c>
      <c r="BJ186" s="3">
        <f>(BJ187/(BJ$5-BI$5))*-BJ42</f>
        <v>0</v>
      </c>
      <c r="BK186" s="3">
        <f>BJ186</f>
        <v>0</v>
      </c>
      <c r="BL186" s="3">
        <f>(BL187/(BL$5-BK$5))*-BL42</f>
        <v>0</v>
      </c>
      <c r="BM186" s="3">
        <f>(BM187/(BM$5-BL$5))*-BM42</f>
        <v>0</v>
      </c>
      <c r="BN186" s="3">
        <f>(BN187/(BN$5-BM$5))*-BN42</f>
        <v>0</v>
      </c>
      <c r="BO186" s="3">
        <f>(BO187/(BO$5-BN$5))*-BO42</f>
        <v>0</v>
      </c>
      <c r="BP186" s="3">
        <f>BO186</f>
        <v>0</v>
      </c>
      <c r="BQ186" s="3">
        <f>(BQ187/(BQ$5-BP$5))*-BQ42</f>
        <v>0</v>
      </c>
      <c r="BR186" s="3">
        <f>(BR187/(BR$5-BQ$5))*-BR42</f>
        <v>0</v>
      </c>
      <c r="BS186" s="3">
        <f>(BS187/(BS$5-BR$5))*-BS42</f>
        <v>0</v>
      </c>
      <c r="BT186" s="3">
        <f>(BT187/(BT$5-BS$5))*-BT42</f>
        <v>0</v>
      </c>
      <c r="BU186" s="3">
        <f>BT186</f>
        <v>0</v>
      </c>
      <c r="BV186" s="3">
        <f>(BV187/(BV$5-BU$5))*-BV42</f>
        <v>0</v>
      </c>
      <c r="BW186" s="3">
        <f>(BW187/(BW$5-BV$5))*-BW42</f>
        <v>0</v>
      </c>
      <c r="BX186" s="3">
        <f>(BX187/(BX$5-BW$5))*-BX42</f>
        <v>0</v>
      </c>
      <c r="BY186" s="3">
        <f>(BY187/(BY$5-BX$5))*-BY42</f>
        <v>0</v>
      </c>
      <c r="BZ186" s="3">
        <f>BY186</f>
        <v>0</v>
      </c>
      <c r="CA186" s="3">
        <f>(CA187/(CA$5-BZ$5))*-CA42</f>
        <v>0</v>
      </c>
      <c r="CB186" s="3">
        <f>(CB187/(CB$5-CA$5))*-CB42</f>
        <v>0</v>
      </c>
      <c r="CC186" s="3">
        <f>(CC187/(CC$5-CB$5))*-CC42</f>
        <v>0</v>
      </c>
      <c r="CD186" s="3">
        <f>(CD187/(CD$5-CC$5))*-CD42</f>
        <v>0</v>
      </c>
      <c r="CE186" s="3">
        <f>CD186</f>
        <v>0</v>
      </c>
      <c r="CF186" s="3">
        <f>(CF187/(CF$5-CE$5))*-CF42</f>
        <v>0</v>
      </c>
      <c r="CG186" s="3">
        <f>(CG187/(CG$5-CF$5))*-CG42</f>
        <v>0</v>
      </c>
      <c r="CH186" s="3">
        <f>(CH187/(CH$5-CG$5))*-CH42</f>
        <v>0</v>
      </c>
      <c r="CI186" s="3">
        <f>(CI187/(CI$5-CH$5))*-CI42</f>
        <v>0</v>
      </c>
      <c r="CJ186" s="3">
        <f>CI186</f>
        <v>0</v>
      </c>
      <c r="CK186" s="3">
        <f>(CK187/(CK$5-CJ$5))*-CK42</f>
        <v>0</v>
      </c>
      <c r="CL186" s="3">
        <f>(CL187/(CL$5-CK$5))*-CL42</f>
        <v>0</v>
      </c>
      <c r="CM186" s="3">
        <f>(CM187/(CM$5-CL$5))*-CM42</f>
        <v>0</v>
      </c>
      <c r="CN186" s="3">
        <f>(CN187/(CN$5-CM$5))*-CN42</f>
        <v>0</v>
      </c>
      <c r="CO186" s="3">
        <f>CN186</f>
        <v>0</v>
      </c>
      <c r="CP186" s="3">
        <f>(CP187/(CP$5-CO$5))*-CP42</f>
        <v>0</v>
      </c>
      <c r="CQ186" s="3">
        <f>(CQ187/(CQ$5-CP$5))*-CQ42</f>
        <v>0</v>
      </c>
      <c r="CR186" s="3">
        <f>(CR187/(CR$5-CQ$5))*-CR42</f>
        <v>0</v>
      </c>
      <c r="CS186" s="3">
        <f>(CS187/(CS$5-CR$5))*-CS42</f>
        <v>0</v>
      </c>
      <c r="CT186" s="3">
        <f>CS186</f>
        <v>0</v>
      </c>
      <c r="CU186" s="3">
        <f>(CU187/(CU$5-CT$5))*-CU42</f>
        <v>0</v>
      </c>
      <c r="CV186" s="3">
        <f>(CV187/(CV$5-CU$5))*-CV42</f>
        <v>0</v>
      </c>
      <c r="CW186" s="3">
        <f>(CW187/(CW$5-CV$5))*-CW42</f>
        <v>0</v>
      </c>
      <c r="CX186" s="3">
        <f>(CX187/(CX$5-CW$5))*-CX42</f>
        <v>0</v>
      </c>
      <c r="CY186" s="3">
        <f>CX186</f>
        <v>0</v>
      </c>
    </row>
    <row r="187" hidden="1" outlineLevel="1">
      <c r="C187" s="34" t="inlineStr">
        <is>
          <t>DPO</t>
        </is>
      </c>
      <c r="D187" s="3" t="n"/>
      <c r="E187" s="3">
        <f>-(E186/E$42)*(E$5-D$5)</f>
        <v>39.6694610778443</v>
      </c>
      <c r="F187" s="3">
        <f>-(F186/F$42)*(F$5-E$5)</f>
        <v>28.2764705882353</v>
      </c>
      <c r="G187" s="3">
        <f>-(G186/G$42)*(G$5-F$5)</f>
        <v>30.5645578986312</v>
      </c>
      <c r="H187" s="3" t="n"/>
      <c r="I187" s="3">
        <f>-(I186/I$42)*(I$5-H$5)</f>
        <v>29.2596944770858</v>
      </c>
      <c r="J187" s="3">
        <f>-(J186/J$42)*(J$5-I$5)</f>
        <v>34.1294072065091</v>
      </c>
      <c r="K187" s="3">
        <f>-(K186/K$42)*(K$5-J$5)</f>
        <v>36.0823401950163</v>
      </c>
      <c r="L187" s="3">
        <f>-(L186/L$42)*(L$5-K$5)</f>
        <v>37.3263078660143</v>
      </c>
      <c r="M187" s="3" t="n"/>
      <c r="N187" s="3">
        <f>-(N186/N$42)*(N$5-M$5)</f>
        <v>36.1148648648649</v>
      </c>
      <c r="O187" s="3">
        <f>-(O186/O$42)*(O$5-N$5)</f>
        <v>23.2813510600072</v>
      </c>
      <c r="P187" s="3">
        <f>-(P186/P$42)*(P$5-O$5)</f>
        <v>30.5645805592543</v>
      </c>
      <c r="Q187" s="3">
        <f>-(Q186/Q$42)*(Q$5-P$5)</f>
        <v>29.1707317073171</v>
      </c>
      <c r="R187" s="3" t="n"/>
      <c r="S187" s="3">
        <f>-(S186/S$42)*(S$5-R$5)</f>
        <v>28.5676088617265</v>
      </c>
      <c r="T187" s="3">
        <f>-(T186/T$42)*(T$5-S$5)</f>
        <v>33.2861356932153</v>
      </c>
      <c r="U187" s="3">
        <f>-(U186/U$42)*(U$5-T$5)</f>
        <v>38.5457063711911</v>
      </c>
      <c r="V187" s="3">
        <f>-(V186/V$42)*(V$5-U$5)</f>
        <v>30.0113388573921</v>
      </c>
      <c r="W187" s="3" t="n"/>
      <c r="X187" s="3">
        <f>-(X186/X$42)*(X$5-W$5)</f>
        <v>27.8350668647845</v>
      </c>
      <c r="Y187" s="3">
        <f>-(Y186/Y$42)*(Y$5-X$5)</f>
        <v>33.9030958439355</v>
      </c>
      <c r="Z187" s="3">
        <f>-(Z186/Z$42)*(Z$5-Y$5)</f>
        <v>30.2660332541568</v>
      </c>
      <c r="AA187" s="3">
        <f>-(AA186/AA$42)*(AA$5-Z$5)</f>
        <v>36.7344372249004</v>
      </c>
      <c r="AB187" s="3" t="n"/>
      <c r="AC187" s="3">
        <f>-(AC186/AC$42)*(AC$5-AB$5)</f>
        <v>24.2833368004993</v>
      </c>
      <c r="AD187" s="3">
        <f>-(AD186/AD$42)*(AD$5-AC$5)</f>
        <v>24.826062107068</v>
      </c>
      <c r="AE187" s="3">
        <f>-(AE186/AE$42)*(AE$5-AD$5)</f>
        <v>24.8907388137357</v>
      </c>
      <c r="AF187" s="6">
        <f>-(AF186/AF$42)*(AF$5-AE$5)</f>
        <v>31.5736106597335</v>
      </c>
      <c r="AG187" s="3" t="n"/>
      <c r="AH187" s="6">
        <f>-(AH186/AH$42)*(AH$5-AG$5)</f>
        <v>31.0587714116952</v>
      </c>
      <c r="AI187" s="6">
        <f>-(AI186/AI$42)*(AI$5-AH$5)</f>
        <v>39.8467432950192</v>
      </c>
      <c r="AJ187" s="6" t="n"/>
      <c r="AK187" s="6" t="n"/>
      <c r="AL187" s="3" t="n"/>
      <c r="AM187" s="6" t="n"/>
      <c r="AN187" s="6" t="n"/>
      <c r="AO187" s="6" t="n"/>
      <c r="AP187" s="6" t="n"/>
      <c r="AQ187" s="3" t="n"/>
      <c r="AR187" s="6" t="n"/>
      <c r="AS187" s="6" t="n"/>
      <c r="AT187" s="6" t="n"/>
      <c r="AU187" s="6" t="n"/>
      <c r="AV187" s="3" t="n"/>
      <c r="AW187" s="6" t="n"/>
      <c r="AX187" s="6" t="n"/>
      <c r="AY187" s="6" t="n"/>
      <c r="AZ187" s="6" t="n"/>
      <c r="BA187" s="3" t="n"/>
      <c r="BB187" s="6" t="n"/>
      <c r="BC187" s="6" t="n"/>
      <c r="BD187" s="6" t="n"/>
      <c r="BE187" s="6" t="n"/>
      <c r="BF187" s="3" t="n"/>
      <c r="BG187" s="6" t="n"/>
      <c r="BH187" s="6" t="n"/>
      <c r="BI187" s="6" t="n"/>
      <c r="BJ187" s="6" t="n"/>
      <c r="BK187" s="3" t="n"/>
      <c r="BL187" s="6" t="n"/>
      <c r="BM187" s="6" t="n"/>
      <c r="BN187" s="6" t="n"/>
      <c r="BO187" s="6" t="n"/>
      <c r="BP187" s="3" t="n"/>
      <c r="BQ187" s="6" t="n"/>
      <c r="BR187" s="6" t="n"/>
      <c r="BS187" s="6" t="n"/>
      <c r="BT187" s="6" t="n"/>
      <c r="BU187" s="3" t="n"/>
      <c r="BV187" s="6" t="n"/>
      <c r="BW187" s="6" t="n"/>
      <c r="BX187" s="6" t="n"/>
      <c r="BY187" s="6" t="n"/>
      <c r="BZ187" s="3" t="n"/>
      <c r="CA187" s="6" t="n"/>
      <c r="CB187" s="6" t="n"/>
      <c r="CC187" s="6" t="n"/>
      <c r="CD187" s="6" t="n"/>
      <c r="CE187" s="3" t="n"/>
      <c r="CF187" s="6" t="n"/>
      <c r="CG187" s="6" t="n"/>
      <c r="CH187" s="6" t="n"/>
      <c r="CI187" s="6" t="n"/>
      <c r="CJ187" s="3" t="n"/>
      <c r="CK187" s="6" t="n"/>
      <c r="CL187" s="6" t="n"/>
      <c r="CM187" s="6" t="n"/>
      <c r="CN187" s="6" t="n"/>
      <c r="CO187" s="3" t="n"/>
      <c r="CP187" s="6" t="n"/>
      <c r="CQ187" s="6" t="n"/>
      <c r="CR187" s="6" t="n"/>
      <c r="CS187" s="6" t="n"/>
      <c r="CT187" s="3" t="n"/>
      <c r="CU187" s="6" t="n"/>
      <c r="CV187" s="6" t="n"/>
      <c r="CW187" s="6" t="n"/>
      <c r="CX187" s="6" t="n"/>
      <c r="CY187" s="3" t="n"/>
    </row>
    <row r="188" hidden="1" outlineLevel="1">
      <c r="C188" s="34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  <c r="AA188" s="3" t="n"/>
      <c r="AB188" s="3" t="n"/>
      <c r="AC188" s="3" t="n"/>
      <c r="AD188" s="3" t="n"/>
      <c r="AE188" s="3" t="n"/>
      <c r="AF188" s="3" t="n"/>
      <c r="AG188" s="3" t="n"/>
      <c r="AH188" s="3" t="n"/>
      <c r="AI188" s="3" t="n"/>
      <c r="AJ188" s="3" t="n"/>
      <c r="AK188" s="3" t="n"/>
      <c r="AL188" s="3" t="n"/>
      <c r="AM188" s="3" t="n"/>
      <c r="AN188" s="3" t="n"/>
      <c r="AO188" s="3" t="n"/>
      <c r="AP188" s="3" t="n"/>
      <c r="AQ188" s="3" t="n"/>
      <c r="AR188" s="3" t="n"/>
      <c r="AS188" s="3" t="n"/>
      <c r="AT188" s="3" t="n"/>
      <c r="AU188" s="3" t="n"/>
      <c r="AV188" s="3" t="n"/>
      <c r="AW188" s="3" t="n"/>
      <c r="AX188" s="3" t="n"/>
      <c r="AY188" s="3" t="n"/>
      <c r="AZ188" s="3" t="n"/>
      <c r="BA188" s="3" t="n"/>
      <c r="BB188" s="3" t="n"/>
      <c r="BC188" s="3" t="n"/>
      <c r="BD188" s="3" t="n"/>
      <c r="BE188" s="3" t="n"/>
      <c r="BF188" s="3" t="n"/>
      <c r="BG188" s="3" t="n"/>
      <c r="BH188" s="3" t="n"/>
      <c r="BI188" s="3" t="n"/>
      <c r="BJ188" s="3" t="n"/>
      <c r="BK188" s="3" t="n"/>
      <c r="BL188" s="3" t="n"/>
      <c r="BM188" s="3" t="n"/>
      <c r="BN188" s="3" t="n"/>
      <c r="BO188" s="3" t="n"/>
      <c r="BP188" s="3" t="n"/>
      <c r="BQ188" s="3" t="n"/>
      <c r="BR188" s="3" t="n"/>
      <c r="BS188" s="3" t="n"/>
      <c r="BT188" s="3" t="n"/>
      <c r="BU188" s="3" t="n"/>
      <c r="BV188" s="3" t="n"/>
      <c r="BW188" s="3" t="n"/>
      <c r="BX188" s="3" t="n"/>
      <c r="BY188" s="3" t="n"/>
      <c r="BZ188" s="3" t="n"/>
      <c r="CA188" s="3" t="n"/>
      <c r="CB188" s="3" t="n"/>
      <c r="CC188" s="3" t="n"/>
      <c r="CD188" s="3" t="n"/>
      <c r="CE188" s="3" t="n"/>
      <c r="CF188" s="3" t="n"/>
      <c r="CG188" s="3" t="n"/>
      <c r="CH188" s="3" t="n"/>
      <c r="CI188" s="3" t="n"/>
      <c r="CJ188" s="3" t="n"/>
      <c r="CK188" s="3" t="n"/>
      <c r="CL188" s="3" t="n"/>
      <c r="CM188" s="3" t="n"/>
      <c r="CN188" s="3" t="n"/>
      <c r="CO188" s="3" t="n"/>
      <c r="CP188" s="3" t="n"/>
      <c r="CQ188" s="3" t="n"/>
      <c r="CR188" s="3" t="n"/>
      <c r="CS188" s="3" t="n"/>
      <c r="CT188" s="3" t="n"/>
      <c r="CU188" s="3" t="n"/>
      <c r="CV188" s="3" t="n"/>
      <c r="CW188" s="3" t="n"/>
      <c r="CX188" s="3" t="n"/>
      <c r="CY188" s="3" t="n"/>
    </row>
    <row r="189" hidden="1" outlineLevel="1">
      <c r="C189" s="34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  <c r="AA189" s="3" t="n"/>
      <c r="AB189" s="3" t="n"/>
      <c r="AC189" s="3" t="n"/>
      <c r="AD189" s="3" t="n"/>
      <c r="AE189" s="3" t="n"/>
      <c r="AF189" s="3" t="n"/>
      <c r="AG189" s="3" t="n"/>
      <c r="AH189" s="3" t="n"/>
      <c r="AI189" s="3" t="n"/>
      <c r="AJ189" s="3" t="n"/>
      <c r="AK189" s="3" t="n"/>
      <c r="AL189" s="3" t="n"/>
      <c r="AM189" s="3" t="n"/>
      <c r="AN189" s="3" t="n"/>
      <c r="AO189" s="3" t="n"/>
      <c r="AP189" s="3" t="n"/>
      <c r="AQ189" s="3" t="n"/>
      <c r="AR189" s="3" t="n"/>
      <c r="AS189" s="3" t="n"/>
      <c r="AT189" s="3" t="n"/>
      <c r="AU189" s="3" t="n"/>
      <c r="AV189" s="3" t="n"/>
      <c r="AW189" s="3" t="n"/>
      <c r="AX189" s="3" t="n"/>
      <c r="AY189" s="3" t="n"/>
      <c r="AZ189" s="3" t="n"/>
      <c r="BA189" s="3" t="n"/>
      <c r="BB189" s="3" t="n"/>
      <c r="BC189" s="3" t="n"/>
      <c r="BD189" s="3" t="n"/>
      <c r="BE189" s="3" t="n"/>
      <c r="BF189" s="3" t="n"/>
      <c r="BG189" s="3" t="n"/>
      <c r="BH189" s="3" t="n"/>
      <c r="BI189" s="3" t="n"/>
      <c r="BJ189" s="3" t="n"/>
      <c r="BK189" s="3" t="n"/>
      <c r="BL189" s="3" t="n"/>
      <c r="BM189" s="3" t="n"/>
      <c r="BN189" s="3" t="n"/>
      <c r="BO189" s="3" t="n"/>
      <c r="BP189" s="3" t="n"/>
      <c r="BQ189" s="3" t="n"/>
      <c r="BR189" s="3" t="n"/>
      <c r="BS189" s="3" t="n"/>
      <c r="BT189" s="3" t="n"/>
      <c r="BU189" s="3" t="n"/>
      <c r="BV189" s="3" t="n"/>
      <c r="BW189" s="3" t="n"/>
      <c r="BX189" s="3" t="n"/>
      <c r="BY189" s="3" t="n"/>
      <c r="BZ189" s="3" t="n"/>
      <c r="CA189" s="3" t="n"/>
      <c r="CB189" s="3" t="n"/>
      <c r="CC189" s="3" t="n"/>
      <c r="CD189" s="3" t="n"/>
      <c r="CE189" s="3" t="n"/>
      <c r="CF189" s="3" t="n"/>
      <c r="CG189" s="3" t="n"/>
      <c r="CH189" s="3" t="n"/>
      <c r="CI189" s="3" t="n"/>
      <c r="CJ189" s="3" t="n"/>
      <c r="CK189" s="3" t="n"/>
      <c r="CL189" s="3" t="n"/>
      <c r="CM189" s="3" t="n"/>
      <c r="CN189" s="3" t="n"/>
      <c r="CO189" s="3" t="n"/>
      <c r="CP189" s="3" t="n"/>
      <c r="CQ189" s="3" t="n"/>
      <c r="CR189" s="3" t="n"/>
      <c r="CS189" s="3" t="n"/>
      <c r="CT189" s="3" t="n"/>
      <c r="CU189" s="3" t="n"/>
      <c r="CV189" s="3" t="n"/>
      <c r="CW189" s="3" t="n"/>
      <c r="CX189" s="3" t="n"/>
      <c r="CY189" s="3" t="n"/>
    </row>
    <row r="190" collapsed="1">
      <c r="C190" s="26" t="inlineStr">
        <is>
          <t>Accrued expenses</t>
        </is>
      </c>
      <c r="D190" s="25">
        <f>INDEX('Inputs (2)'!$D$29:$AL$29,MATCH(D$7,'Inputs (2)'!$D$2:$AL$2,0))</f>
        <v>494</v>
      </c>
      <c r="E190" s="25">
        <f>INDEX('Inputs (2)'!$D$29:$AL$29,MATCH(E$7,'Inputs (2)'!$D$2:$AL$2,0))</f>
        <v>732</v>
      </c>
      <c r="F190" s="25">
        <f>INDEX('Inputs (2)'!$D$29:$AL$29,MATCH(F$7,'Inputs (2)'!$D$2:$AL$2,0))</f>
        <v>877</v>
      </c>
      <c r="G190" s="25">
        <f>INDEX('Inputs (2)'!$D$29:$AL$29,MATCH(G$7,'Inputs (2)'!$D$2:$AL$2,0))</f>
        <v>494</v>
      </c>
      <c r="H190" s="3">
        <f>G190</f>
        <v>494</v>
      </c>
      <c r="I190" s="25">
        <f>INDEX('Inputs (2)'!$D$29:$AL$29,MATCH(I$7,'Inputs (2)'!$D$2:$AL$2,0))</f>
        <v>639</v>
      </c>
      <c r="J190" s="25">
        <f>INDEX('Inputs (2)'!$D$29:$AL$29,MATCH(J$7,'Inputs (2)'!$D$2:$AL$2,0))</f>
        <v>893</v>
      </c>
      <c r="K190" s="25">
        <f>INDEX('Inputs (2)'!$D$29:$AL$29,MATCH(K$7,'Inputs (2)'!$D$2:$AL$2,0))</f>
        <v>1066</v>
      </c>
      <c r="L190" s="25">
        <f>INDEX('Inputs (2)'!$D$29:$AL$29,MATCH(L$7,'Inputs (2)'!$D$2:$AL$2,0))</f>
        <v>531</v>
      </c>
      <c r="M190" s="3">
        <f>L190</f>
        <v>531</v>
      </c>
      <c r="N190" s="25">
        <f>INDEX('Inputs (2)'!$D$29:$AL$29,MATCH(N$7,'Inputs (2)'!$D$2:$AL$2,0))</f>
        <v>751</v>
      </c>
      <c r="O190" s="25">
        <f>INDEX('Inputs (2)'!$D$29:$AL$29,MATCH(O$7,'Inputs (2)'!$D$2:$AL$2,0))</f>
        <v>1079</v>
      </c>
      <c r="P190" s="25">
        <f>INDEX('Inputs (2)'!$D$29:$AL$29,MATCH(P$7,'Inputs (2)'!$D$2:$AL$2,0))</f>
        <v>1202</v>
      </c>
      <c r="Q190" s="25">
        <f>INDEX('Inputs (2)'!$D$29:$AL$29,MATCH(Q$7,'Inputs (2)'!$D$2:$AL$2,0))</f>
        <v>536</v>
      </c>
      <c r="R190" s="3">
        <f>Q190</f>
        <v>536</v>
      </c>
      <c r="S190" s="25">
        <f>INDEX('Inputs (2)'!$D$29:$AL$29,MATCH(S$7,'Inputs (2)'!$D$2:$AL$2,0))</f>
        <v>634</v>
      </c>
      <c r="T190" s="25">
        <f>INDEX('Inputs (2)'!$D$29:$AL$29,MATCH(T$7,'Inputs (2)'!$D$2:$AL$2,0))</f>
        <v>831</v>
      </c>
      <c r="U190" s="25">
        <f>INDEX('Inputs (2)'!$D$29:$AL$29,MATCH(U$7,'Inputs (2)'!$D$2:$AL$2,0))</f>
        <v>935</v>
      </c>
      <c r="V190" s="25">
        <f>INDEX('Inputs (2)'!$D$29:$AL$29,MATCH(V$7,'Inputs (2)'!$D$2:$AL$2,0))</f>
        <v>1128</v>
      </c>
      <c r="W190" s="3">
        <f>V190</f>
        <v>1128</v>
      </c>
      <c r="X190" s="25">
        <f>INDEX('Inputs (2)'!$D$29:$AL$29,MATCH(X$7,'Inputs (2)'!$D$2:$AL$2,0))</f>
        <v>1385</v>
      </c>
      <c r="Y190" s="25">
        <f>INDEX('Inputs (2)'!$D$29:$AL$29,MATCH(Y$7,'Inputs (2)'!$D$2:$AL$2,0))</f>
        <v>1725</v>
      </c>
      <c r="Z190" s="25">
        <f>INDEX('Inputs (2)'!$D$29:$AL$29,MATCH(Z$7,'Inputs (2)'!$D$2:$AL$2,0))</f>
        <v>1971</v>
      </c>
      <c r="AA190" s="25">
        <f>INDEX('Inputs (2)'!$D$29:$AL$29,MATCH(AA$7,'Inputs (2)'!$D$2:$AL$2,0))</f>
        <v>922</v>
      </c>
      <c r="AB190" s="3">
        <f>AA190</f>
        <v>922</v>
      </c>
      <c r="AC190" s="25">
        <f>INDEX('Inputs (2)'!$D$29:$AL$29,MATCH(AC$7,'Inputs (2)'!$D$2:$AL$2,0))</f>
        <v>1266</v>
      </c>
      <c r="AD190" s="25">
        <f>INDEX('Inputs (2)'!$D$29:$AL$29,MATCH(AD$7,'Inputs (2)'!$D$2:$AL$2,0))</f>
        <v>1719</v>
      </c>
      <c r="AE190" s="25">
        <f>INDEX('Inputs (2)'!$D$29:$AL$29,MATCH(AE$7,'Inputs (2)'!$D$2:$AL$2,0))</f>
        <v>2129</v>
      </c>
      <c r="AF190" s="25">
        <f>INDEX('Inputs (2)'!$D$29:$AL$29,MATCH(AF$7,'Inputs (2)'!$D$2:$AL$2,0))</f>
        <v>864</v>
      </c>
      <c r="AG190" s="3">
        <f>AF190</f>
        <v>864</v>
      </c>
      <c r="AH190" s="3">
        <f>INDEX('Inputs (2)'!$D$29:$AL$29,MATCH(AH$7,'Inputs (2)'!$D$2:$AL$2,0))</f>
        <v>1134</v>
      </c>
      <c r="AI190" s="3">
        <f>INDEX('Inputs (2)'!$D$29:$AL$29,MATCH(AI$7,'Inputs (2)'!$D$2:$AL$2,0))</f>
        <v>1506</v>
      </c>
      <c r="AJ190" s="3">
        <f>AH190*AJ46/AH46</f>
        <v>0</v>
      </c>
      <c r="AK190" s="3">
        <f>AI190*AK46/AI46</f>
        <v>0</v>
      </c>
      <c r="AL190" s="3">
        <f>AK190</f>
        <v>0</v>
      </c>
      <c r="AM190" s="3" t="e">
        <f>AK190*AM46/AK46</f>
        <v>#DIV/0!</v>
      </c>
      <c r="AN190" s="3">
        <f>AL190*AN46/AL46</f>
        <v>0</v>
      </c>
      <c r="AO190" s="3" t="e">
        <f>AM190*AO46/AM46</f>
        <v>#DIV/0!</v>
      </c>
      <c r="AP190" s="3" t="e">
        <f>AN190*AP46/AN46</f>
        <v>#DIV/0!</v>
      </c>
      <c r="AQ190" s="3" t="e">
        <f>AP190</f>
        <v>#DIV/0!</v>
      </c>
      <c r="AR190" s="3" t="e">
        <f>AP190*AR46/AP46</f>
        <v>#DIV/0!</v>
      </c>
      <c r="AS190" s="3" t="e">
        <f>AQ190*AS46/AQ46</f>
        <v>#DIV/0!</v>
      </c>
      <c r="AT190" s="3" t="e">
        <f>AR190*AT46/AR46</f>
        <v>#DIV/0!</v>
      </c>
      <c r="AU190" s="3" t="e">
        <f>AS190*AU46/AS46</f>
        <v>#DIV/0!</v>
      </c>
      <c r="AV190" s="3" t="e">
        <f>AU190</f>
        <v>#DIV/0!</v>
      </c>
      <c r="AW190" s="3" t="e">
        <f>AU190*AW46/AU46</f>
        <v>#DIV/0!</v>
      </c>
      <c r="AX190" s="3" t="e">
        <f>AV190*AX46/AV46</f>
        <v>#DIV/0!</v>
      </c>
      <c r="AY190" s="3" t="e">
        <f>AW190*AY46/AW46</f>
        <v>#DIV/0!</v>
      </c>
      <c r="AZ190" s="3" t="e">
        <f>AX190*AZ46/AX46</f>
        <v>#DIV/0!</v>
      </c>
      <c r="BA190" s="3" t="e">
        <f>AZ190</f>
        <v>#DIV/0!</v>
      </c>
      <c r="BB190" s="3" t="e">
        <f>AZ190*BB46/AZ46</f>
        <v>#DIV/0!</v>
      </c>
      <c r="BC190" s="3" t="e">
        <f>BA190*BC46/BA46</f>
        <v>#DIV/0!</v>
      </c>
      <c r="BD190" s="3" t="e">
        <f>BB190*BD46/BB46</f>
        <v>#DIV/0!</v>
      </c>
      <c r="BE190" s="3" t="e">
        <f>BC190*BE46/BC46</f>
        <v>#DIV/0!</v>
      </c>
      <c r="BF190" s="3" t="e">
        <f>BE190</f>
        <v>#DIV/0!</v>
      </c>
      <c r="BG190" s="3" t="e">
        <f>BE190*BG46/BE46</f>
        <v>#DIV/0!</v>
      </c>
      <c r="BH190" s="3" t="e">
        <f>BF190*BH46/BF46</f>
        <v>#DIV/0!</v>
      </c>
      <c r="BI190" s="3" t="e">
        <f>BG190*BI46/BG46</f>
        <v>#DIV/0!</v>
      </c>
      <c r="BJ190" s="3" t="e">
        <f>BH190*BJ46/BH46</f>
        <v>#DIV/0!</v>
      </c>
      <c r="BK190" s="3" t="e">
        <f>BJ190</f>
        <v>#DIV/0!</v>
      </c>
      <c r="BL190" s="3" t="e">
        <f>BJ190*BL46/BJ46</f>
        <v>#DIV/0!</v>
      </c>
      <c r="BM190" s="3" t="e">
        <f>BK190*BM46/BK46</f>
        <v>#DIV/0!</v>
      </c>
      <c r="BN190" s="3" t="e">
        <f>BL190*BN46/BL46</f>
        <v>#DIV/0!</v>
      </c>
      <c r="BO190" s="3" t="e">
        <f>BM190*BO46/BM46</f>
        <v>#DIV/0!</v>
      </c>
      <c r="BP190" s="3" t="e">
        <f>BO190</f>
        <v>#DIV/0!</v>
      </c>
      <c r="BQ190" s="3" t="e">
        <f>BO190*BQ46/BO46</f>
        <v>#DIV/0!</v>
      </c>
      <c r="BR190" s="3" t="e">
        <f>BP190*BR46/BP46</f>
        <v>#DIV/0!</v>
      </c>
      <c r="BS190" s="3" t="e">
        <f>BQ190*BS46/BQ46</f>
        <v>#DIV/0!</v>
      </c>
      <c r="BT190" s="3" t="e">
        <f>BR190*BT46/BR46</f>
        <v>#DIV/0!</v>
      </c>
      <c r="BU190" s="3" t="e">
        <f>BT190</f>
        <v>#DIV/0!</v>
      </c>
      <c r="BV190" s="3" t="e">
        <f>BT190*BV46/BT46</f>
        <v>#DIV/0!</v>
      </c>
      <c r="BW190" s="3" t="e">
        <f>BU190*BW46/BU46</f>
        <v>#DIV/0!</v>
      </c>
      <c r="BX190" s="3" t="e">
        <f>BV190*BX46/BV46</f>
        <v>#DIV/0!</v>
      </c>
      <c r="BY190" s="3" t="e">
        <f>BW190*BY46/BW46</f>
        <v>#DIV/0!</v>
      </c>
      <c r="BZ190" s="3" t="e">
        <f>BY190</f>
        <v>#DIV/0!</v>
      </c>
      <c r="CA190" s="3" t="e">
        <f>BY190*CA46/BY46</f>
        <v>#DIV/0!</v>
      </c>
      <c r="CB190" s="3" t="e">
        <f>BZ190*CB46/BZ46</f>
        <v>#DIV/0!</v>
      </c>
      <c r="CC190" s="3" t="e">
        <f>CA190*CC46/CA46</f>
        <v>#DIV/0!</v>
      </c>
      <c r="CD190" s="3" t="e">
        <f>CB190*CD46/CB46</f>
        <v>#DIV/0!</v>
      </c>
      <c r="CE190" s="3" t="e">
        <f>CD190</f>
        <v>#DIV/0!</v>
      </c>
      <c r="CF190" s="3" t="e">
        <f>CD190*CF46/CD46</f>
        <v>#DIV/0!</v>
      </c>
      <c r="CG190" s="3" t="e">
        <f>CE190*CG46/CE46</f>
        <v>#DIV/0!</v>
      </c>
      <c r="CH190" s="3" t="e">
        <f>CF190*CH46/CF46</f>
        <v>#DIV/0!</v>
      </c>
      <c r="CI190" s="3" t="e">
        <f>CG190*CI46/CG46</f>
        <v>#DIV/0!</v>
      </c>
      <c r="CJ190" s="3" t="e">
        <f>CI190</f>
        <v>#DIV/0!</v>
      </c>
      <c r="CK190" s="3" t="e">
        <f>CI190*CK46/CI46</f>
        <v>#DIV/0!</v>
      </c>
      <c r="CL190" s="3" t="e">
        <f>CJ190*CL46/CJ46</f>
        <v>#DIV/0!</v>
      </c>
      <c r="CM190" s="3" t="e">
        <f>CK190*CM46/CK46</f>
        <v>#DIV/0!</v>
      </c>
      <c r="CN190" s="3" t="e">
        <f>CL190*CN46/CL46</f>
        <v>#DIV/0!</v>
      </c>
      <c r="CO190" s="3" t="e">
        <f>CN190</f>
        <v>#DIV/0!</v>
      </c>
      <c r="CP190" s="3" t="e">
        <f>CN190*CP46/CN46</f>
        <v>#DIV/0!</v>
      </c>
      <c r="CQ190" s="3" t="e">
        <f>CO190*CQ46/CO46</f>
        <v>#DIV/0!</v>
      </c>
      <c r="CR190" s="3" t="e">
        <f>CP190*CR46/CP46</f>
        <v>#DIV/0!</v>
      </c>
      <c r="CS190" s="3" t="e">
        <f>CQ190*CS46/CQ46</f>
        <v>#DIV/0!</v>
      </c>
      <c r="CT190" s="3" t="e">
        <f>CS190</f>
        <v>#DIV/0!</v>
      </c>
      <c r="CU190" s="3" t="e">
        <f>CS190*CU46/CS46</f>
        <v>#DIV/0!</v>
      </c>
      <c r="CV190" s="3" t="e">
        <f>CT190*CV46/CT46</f>
        <v>#DIV/0!</v>
      </c>
      <c r="CW190" s="3" t="e">
        <f>CU190*CW46/CU46</f>
        <v>#DIV/0!</v>
      </c>
      <c r="CX190" s="3" t="e">
        <f>CV190*CX46/CV46</f>
        <v>#DIV/0!</v>
      </c>
      <c r="CY190" s="3" t="e">
        <f>CX190</f>
        <v>#DIV/0!</v>
      </c>
    </row>
    <row r="191" hidden="1" outlineLevel="1">
      <c r="C191" s="38" t="inlineStr">
        <is>
          <t>%(Var.)</t>
        </is>
      </c>
      <c r="D191" s="3" t="n"/>
      <c r="E191" s="47">
        <f>(E190-D190)/D190</f>
        <v>0.481781376518219</v>
      </c>
      <c r="F191" s="47">
        <f>(F190-E190)/E190</f>
        <v>0.198087431693989</v>
      </c>
      <c r="G191" s="47">
        <f>(G190-F190)/F190</f>
        <v>-0.436716077537058</v>
      </c>
      <c r="H191" s="3" t="n"/>
      <c r="I191" s="47">
        <f>(I190-H190)/H190</f>
        <v>0.293522267206478</v>
      </c>
      <c r="J191" s="47">
        <f>(J190-I190)/I190</f>
        <v>0.397496087636933</v>
      </c>
      <c r="K191" s="47">
        <f>(K190-J190)/J190</f>
        <v>0.193729003359463</v>
      </c>
      <c r="L191" s="47">
        <f>(L190-K190)/K190</f>
        <v>-0.50187617260788</v>
      </c>
      <c r="M191" s="3" t="n"/>
      <c r="N191" s="47">
        <f>(N190-M190)/M190</f>
        <v>0.414312617702448</v>
      </c>
      <c r="O191" s="47">
        <f>(O190-N190)/N190</f>
        <v>0.436750998668442</v>
      </c>
      <c r="P191" s="47">
        <f>(P190-O190)/O190</f>
        <v>0.113994439295644</v>
      </c>
      <c r="Q191" s="47">
        <f>(Q190-P190)/P190</f>
        <v>-0.554076539101498</v>
      </c>
      <c r="R191" s="3" t="n"/>
      <c r="S191" s="47">
        <f>(S190-R190)/R190</f>
        <v>0.182835820895522</v>
      </c>
      <c r="T191" s="47">
        <f>(T190-S190)/S190</f>
        <v>0.310725552050473</v>
      </c>
      <c r="U191" s="47">
        <f>(U190-T190)/T190</f>
        <v>0.125150421179302</v>
      </c>
      <c r="V191" s="47">
        <f>(V190-U190)/U190</f>
        <v>0.206417112299465</v>
      </c>
      <c r="W191" s="3" t="n"/>
      <c r="X191" s="47">
        <f>(X190-W190)/W190</f>
        <v>0.227836879432624</v>
      </c>
      <c r="Y191" s="47">
        <f>(Y190-X190)/X190</f>
        <v>0.245487364620939</v>
      </c>
      <c r="Z191" s="47">
        <f>(Z190-Y190)/Y190</f>
        <v>0.142608695652174</v>
      </c>
      <c r="AA191" s="47">
        <f>(AA190-Z190)/Z190</f>
        <v>-0.532217148655505</v>
      </c>
      <c r="AB191" s="3" t="n"/>
      <c r="AC191" s="47">
        <f>(AC190-AB190)/AB190</f>
        <v>0.373101952277657</v>
      </c>
      <c r="AD191" s="47">
        <f>(AD190-AC190)/AC190</f>
        <v>0.35781990521327</v>
      </c>
      <c r="AE191" s="47">
        <f>(AE190-AD190)/AD190</f>
        <v>0.238510762070972</v>
      </c>
      <c r="AF191" s="218">
        <f>(AF190-AE190)/AE190</f>
        <v>-0.594175669328323</v>
      </c>
      <c r="AG191" s="3" t="n"/>
      <c r="AH191" s="218">
        <f>(AH190-AG190)/AG190</f>
        <v>0.3125</v>
      </c>
      <c r="AI191" s="218">
        <f>(AI190-AH190)/AH190</f>
        <v>0.328042328042328</v>
      </c>
      <c r="AJ191" s="218" t="n"/>
      <c r="AK191" s="218" t="n"/>
      <c r="AL191" s="3" t="n"/>
      <c r="AM191" s="218" t="n"/>
      <c r="AN191" s="218" t="n"/>
      <c r="AO191" s="218" t="n"/>
      <c r="AP191" s="218" t="n"/>
      <c r="AQ191" s="3" t="n"/>
      <c r="AR191" s="218" t="n"/>
      <c r="AS191" s="218" t="n"/>
      <c r="AT191" s="218" t="n"/>
      <c r="AU191" s="218" t="n"/>
      <c r="AV191" s="3" t="n"/>
      <c r="AW191" s="218" t="n"/>
      <c r="AX191" s="218" t="n"/>
      <c r="AY191" s="218" t="n"/>
      <c r="AZ191" s="218" t="n"/>
      <c r="BA191" s="3" t="n"/>
      <c r="BB191" s="218" t="n"/>
      <c r="BC191" s="218" t="n"/>
      <c r="BD191" s="218" t="n"/>
      <c r="BE191" s="218" t="n"/>
      <c r="BF191" s="3" t="n"/>
      <c r="BG191" s="218" t="n"/>
      <c r="BH191" s="218" t="n"/>
      <c r="BI191" s="218" t="n"/>
      <c r="BJ191" s="218" t="n"/>
      <c r="BK191" s="3" t="n"/>
      <c r="BL191" s="218" t="n"/>
      <c r="BM191" s="218" t="n"/>
      <c r="BN191" s="218" t="n"/>
      <c r="BO191" s="218" t="n"/>
      <c r="BP191" s="3" t="n"/>
      <c r="BQ191" s="218" t="n"/>
      <c r="BR191" s="218" t="n"/>
      <c r="BS191" s="218" t="n"/>
      <c r="BT191" s="218" t="n"/>
      <c r="BU191" s="3" t="n"/>
      <c r="BV191" s="218" t="n"/>
      <c r="BW191" s="218" t="n"/>
      <c r="BX191" s="218" t="n"/>
      <c r="BY191" s="218" t="n"/>
      <c r="BZ191" s="3" t="n"/>
      <c r="CA191" s="218" t="n"/>
      <c r="CB191" s="218" t="n"/>
      <c r="CC191" s="218" t="n"/>
      <c r="CD191" s="218" t="n"/>
      <c r="CE191" s="3" t="n"/>
      <c r="CF191" s="218" t="n"/>
      <c r="CG191" s="218" t="n"/>
      <c r="CH191" s="218" t="n"/>
      <c r="CI191" s="218" t="n"/>
      <c r="CJ191" s="3" t="n"/>
      <c r="CK191" s="218" t="n"/>
      <c r="CL191" s="218" t="n"/>
      <c r="CM191" s="218" t="n"/>
      <c r="CN191" s="218" t="n"/>
      <c r="CO191" s="3" t="n"/>
      <c r="CP191" s="218" t="n"/>
      <c r="CQ191" s="218" t="n"/>
      <c r="CR191" s="218" t="n"/>
      <c r="CS191" s="218" t="n"/>
      <c r="CT191" s="3" t="n"/>
      <c r="CU191" s="218" t="n"/>
      <c r="CV191" s="218" t="n"/>
      <c r="CW191" s="218" t="n"/>
      <c r="CX191" s="218" t="n"/>
      <c r="CY191" s="3" t="n"/>
    </row>
    <row r="192" collapsed="1">
      <c r="C192" s="26" t="inlineStr">
        <is>
          <t>Taxes payable</t>
        </is>
      </c>
      <c r="D192" s="25">
        <f>INDEX('Inputs (2)'!$D$30:$AL$30,MATCH(D$7,'Inputs (2)'!$D$2:$AL$2,0))</f>
        <v>0</v>
      </c>
      <c r="E192" s="25">
        <f>INDEX('Inputs (2)'!$D$30:$AL$30,MATCH(E$7,'Inputs (2)'!$D$2:$AL$2,0))</f>
        <v>0</v>
      </c>
      <c r="F192" s="25">
        <f>INDEX('Inputs (2)'!$D$30:$AL$30,MATCH(F$7,'Inputs (2)'!$D$2:$AL$2,0))</f>
        <v>0</v>
      </c>
      <c r="G192" s="25">
        <f>INDEX('Inputs (2)'!$D$30:$AL$30,MATCH(G$7,'Inputs (2)'!$D$2:$AL$2,0))</f>
        <v>0</v>
      </c>
      <c r="H192" s="3">
        <f>G192</f>
        <v>0</v>
      </c>
      <c r="I192" s="25">
        <f>INDEX('Inputs (2)'!$D$30:$AL$30,MATCH(I$7,'Inputs (2)'!$D$2:$AL$2,0))</f>
        <v>0</v>
      </c>
      <c r="J192" s="25">
        <f>INDEX('Inputs (2)'!$D$30:$AL$30,MATCH(J$7,'Inputs (2)'!$D$2:$AL$2,0))</f>
        <v>0</v>
      </c>
      <c r="K192" s="25">
        <f>INDEX('Inputs (2)'!$D$30:$AL$30,MATCH(K$7,'Inputs (2)'!$D$2:$AL$2,0))</f>
        <v>0</v>
      </c>
      <c r="L192" s="25">
        <f>INDEX('Inputs (2)'!$D$30:$AL$30,MATCH(L$7,'Inputs (2)'!$D$2:$AL$2,0))</f>
        <v>0</v>
      </c>
      <c r="M192" s="3">
        <f>L192</f>
        <v>0</v>
      </c>
      <c r="N192" s="25">
        <f>INDEX('Inputs (2)'!$D$30:$AL$30,MATCH(N$7,'Inputs (2)'!$D$2:$AL$2,0))</f>
        <v>0</v>
      </c>
      <c r="O192" s="25">
        <f>INDEX('Inputs (2)'!$D$30:$AL$30,MATCH(O$7,'Inputs (2)'!$D$2:$AL$2,0))</f>
        <v>0</v>
      </c>
      <c r="P192" s="25">
        <f>INDEX('Inputs (2)'!$D$30:$AL$30,MATCH(P$7,'Inputs (2)'!$D$2:$AL$2,0))</f>
        <v>0</v>
      </c>
      <c r="Q192" s="25">
        <f>INDEX('Inputs (2)'!$D$30:$AL$30,MATCH(Q$7,'Inputs (2)'!$D$2:$AL$2,0))</f>
        <v>0</v>
      </c>
      <c r="R192" s="3">
        <f>Q192</f>
        <v>0</v>
      </c>
      <c r="S192" s="25">
        <f>INDEX('Inputs (2)'!$D$30:$AL$30,MATCH(S$7,'Inputs (2)'!$D$2:$AL$2,0))</f>
        <v>0</v>
      </c>
      <c r="T192" s="25">
        <f>INDEX('Inputs (2)'!$D$30:$AL$30,MATCH(T$7,'Inputs (2)'!$D$2:$AL$2,0))</f>
        <v>0</v>
      </c>
      <c r="U192" s="25">
        <f>INDEX('Inputs (2)'!$D$30:$AL$30,MATCH(U$7,'Inputs (2)'!$D$2:$AL$2,0))</f>
        <v>0</v>
      </c>
      <c r="V192" s="25">
        <f>INDEX('Inputs (2)'!$D$30:$AL$30,MATCH(V$7,'Inputs (2)'!$D$2:$AL$2,0))</f>
        <v>0</v>
      </c>
      <c r="W192" s="3">
        <f>V192</f>
        <v>0</v>
      </c>
      <c r="X192" s="25">
        <f>INDEX('Inputs (2)'!$D$30:$AL$30,MATCH(X$7,'Inputs (2)'!$D$2:$AL$2,0))</f>
        <v>0</v>
      </c>
      <c r="Y192" s="25">
        <f>INDEX('Inputs (2)'!$D$30:$AL$30,MATCH(Y$7,'Inputs (2)'!$D$2:$AL$2,0))</f>
        <v>0</v>
      </c>
      <c r="Z192" s="25">
        <f>INDEX('Inputs (2)'!$D$30:$AL$30,MATCH(Z$7,'Inputs (2)'!$D$2:$AL$2,0))</f>
        <v>0</v>
      </c>
      <c r="AA192" s="25">
        <f>INDEX('Inputs (2)'!$D$30:$AL$30,MATCH(AA$7,'Inputs (2)'!$D$2:$AL$2,0))</f>
        <v>0</v>
      </c>
      <c r="AB192" s="3">
        <f>AA192</f>
        <v>0</v>
      </c>
      <c r="AC192" s="25">
        <f>INDEX('Inputs (2)'!$D$30:$AL$30,MATCH(AC$7,'Inputs (2)'!$D$2:$AL$2,0))</f>
        <v>0</v>
      </c>
      <c r="AD192" s="25">
        <f>INDEX('Inputs (2)'!$D$30:$AL$30,MATCH(AD$7,'Inputs (2)'!$D$2:$AL$2,0))</f>
        <v>0</v>
      </c>
      <c r="AE192" s="25">
        <f>INDEX('Inputs (2)'!$D$30:$AL$30,MATCH(AE$7,'Inputs (2)'!$D$2:$AL$2,0))</f>
        <v>0</v>
      </c>
      <c r="AF192" s="25">
        <f>INDEX('Inputs (2)'!$D$30:$AL$30,MATCH(AF$7,'Inputs (2)'!$D$2:$AL$2,0))</f>
        <v>0</v>
      </c>
      <c r="AG192" s="3">
        <f>AF192</f>
        <v>0</v>
      </c>
      <c r="AH192" s="3">
        <f>INDEX('Inputs (2)'!$D$30:$AL$30,MATCH(AH$7,'Inputs (2)'!$D$2:$AL$2,0))</f>
        <v>0</v>
      </c>
      <c r="AI192" s="3">
        <f>INDEX('Inputs (2)'!$D$30:$AL$30,MATCH(AI$7,'Inputs (2)'!$D$2:$AL$2,0))</f>
        <v>0</v>
      </c>
      <c r="AJ192" s="3">
        <f>AH192*AJ119/AH119</f>
        <v>0</v>
      </c>
      <c r="AK192" s="3">
        <f>AI192*AK119/AI119</f>
        <v>0</v>
      </c>
      <c r="AL192" s="3">
        <f>AK192</f>
        <v>0</v>
      </c>
      <c r="AM192" s="3" t="e">
        <f>AK192*AM119/AK119</f>
        <v>#DIV/0!</v>
      </c>
      <c r="AN192" s="3">
        <f>AL192*AN119/AL119</f>
        <v>0</v>
      </c>
      <c r="AO192" s="3" t="e">
        <f>AM192*AO119/AM119</f>
        <v>#DIV/0!</v>
      </c>
      <c r="AP192" s="3" t="e">
        <f>AN192*AP119/AN119</f>
        <v>#DIV/0!</v>
      </c>
      <c r="AQ192" s="3" t="e">
        <f>AP192</f>
        <v>#DIV/0!</v>
      </c>
      <c r="AR192" s="3" t="e">
        <f>AP192*AR119/AP119</f>
        <v>#DIV/0!</v>
      </c>
      <c r="AS192" s="3" t="e">
        <f>AQ192*AS119/AQ119</f>
        <v>#DIV/0!</v>
      </c>
      <c r="AT192" s="3" t="e">
        <f>AR192*AT119/AR119</f>
        <v>#DIV/0!</v>
      </c>
      <c r="AU192" s="3" t="e">
        <f>AS192*AU119/AS119</f>
        <v>#DIV/0!</v>
      </c>
      <c r="AV192" s="3" t="e">
        <f>AU192</f>
        <v>#DIV/0!</v>
      </c>
      <c r="AW192" s="3" t="e">
        <f>AU192*AW119/AU119</f>
        <v>#DIV/0!</v>
      </c>
      <c r="AX192" s="3" t="e">
        <f>AV192*AX119/AV119</f>
        <v>#DIV/0!</v>
      </c>
      <c r="AY192" s="3" t="e">
        <f>AW192*AY119/AW119</f>
        <v>#DIV/0!</v>
      </c>
      <c r="AZ192" s="3" t="e">
        <f>AX192*AZ119/AX119</f>
        <v>#DIV/0!</v>
      </c>
      <c r="BA192" s="3" t="e">
        <f>AZ192</f>
        <v>#DIV/0!</v>
      </c>
      <c r="BB192" s="3" t="e">
        <f>AZ192*BB119/AZ119</f>
        <v>#DIV/0!</v>
      </c>
      <c r="BC192" s="3" t="e">
        <f>BA192*BC119/BA119</f>
        <v>#DIV/0!</v>
      </c>
      <c r="BD192" s="3" t="e">
        <f>BB192*BD119/BB119</f>
        <v>#DIV/0!</v>
      </c>
      <c r="BE192" s="3" t="e">
        <f>BC192*BE119/BC119</f>
        <v>#DIV/0!</v>
      </c>
      <c r="BF192" s="3" t="e">
        <f>BE192</f>
        <v>#DIV/0!</v>
      </c>
      <c r="BG192" s="3" t="e">
        <f>BE192*BG119/BE119</f>
        <v>#DIV/0!</v>
      </c>
      <c r="BH192" s="3" t="e">
        <f>BF192*BH119/BF119</f>
        <v>#DIV/0!</v>
      </c>
      <c r="BI192" s="3" t="e">
        <f>BG192*BI119/BG119</f>
        <v>#DIV/0!</v>
      </c>
      <c r="BJ192" s="3" t="e">
        <f>BH192*BJ119/BH119</f>
        <v>#DIV/0!</v>
      </c>
      <c r="BK192" s="3" t="e">
        <f>BJ192</f>
        <v>#DIV/0!</v>
      </c>
      <c r="BL192" s="3" t="e">
        <f>BJ192*BL119/BJ119</f>
        <v>#DIV/0!</v>
      </c>
      <c r="BM192" s="3" t="e">
        <f>BK192*BM119/BK119</f>
        <v>#DIV/0!</v>
      </c>
      <c r="BN192" s="3" t="e">
        <f>BL192*BN119/BL119</f>
        <v>#DIV/0!</v>
      </c>
      <c r="BO192" s="3" t="e">
        <f>BM192*BO119/BM119</f>
        <v>#DIV/0!</v>
      </c>
      <c r="BP192" s="3" t="e">
        <f>BO192</f>
        <v>#DIV/0!</v>
      </c>
      <c r="BQ192" s="3" t="e">
        <f>BO192*BQ119/BO119</f>
        <v>#DIV/0!</v>
      </c>
      <c r="BR192" s="3" t="e">
        <f>BP192*BR119/BP119</f>
        <v>#DIV/0!</v>
      </c>
      <c r="BS192" s="3" t="e">
        <f>BQ192*BS119/BQ119</f>
        <v>#DIV/0!</v>
      </c>
      <c r="BT192" s="3" t="e">
        <f>BR192*BT119/BR119</f>
        <v>#DIV/0!</v>
      </c>
      <c r="BU192" s="3" t="e">
        <f>BT192</f>
        <v>#DIV/0!</v>
      </c>
      <c r="BV192" s="3" t="e">
        <f>BT192*BV119/BT119</f>
        <v>#DIV/0!</v>
      </c>
      <c r="BW192" s="3" t="e">
        <f>BU192*BW119/BU119</f>
        <v>#DIV/0!</v>
      </c>
      <c r="BX192" s="3" t="e">
        <f>BV192*BX119/BV119</f>
        <v>#DIV/0!</v>
      </c>
      <c r="BY192" s="3" t="e">
        <f>BW192*BY119/BW119</f>
        <v>#DIV/0!</v>
      </c>
      <c r="BZ192" s="3" t="e">
        <f>BY192</f>
        <v>#DIV/0!</v>
      </c>
      <c r="CA192" s="3" t="e">
        <f>BY192*CA119/BY119</f>
        <v>#DIV/0!</v>
      </c>
      <c r="CB192" s="3" t="e">
        <f>BZ192*CB119/BZ119</f>
        <v>#DIV/0!</v>
      </c>
      <c r="CC192" s="3" t="e">
        <f>CA192*CC119/CA119</f>
        <v>#DIV/0!</v>
      </c>
      <c r="CD192" s="3" t="e">
        <f>CB192*CD119/CB119</f>
        <v>#DIV/0!</v>
      </c>
      <c r="CE192" s="3" t="e">
        <f>CD192</f>
        <v>#DIV/0!</v>
      </c>
      <c r="CF192" s="3" t="e">
        <f>CD192*CF119/CD119</f>
        <v>#DIV/0!</v>
      </c>
      <c r="CG192" s="3" t="e">
        <f>CE192*CG119/CE119</f>
        <v>#DIV/0!</v>
      </c>
      <c r="CH192" s="3" t="e">
        <f>CF192*CH119/CF119</f>
        <v>#DIV/0!</v>
      </c>
      <c r="CI192" s="3" t="e">
        <f>CG192*CI119/CG119</f>
        <v>#DIV/0!</v>
      </c>
      <c r="CJ192" s="3" t="e">
        <f>CI192</f>
        <v>#DIV/0!</v>
      </c>
      <c r="CK192" s="3" t="e">
        <f>CI192*CK119/CI119</f>
        <v>#DIV/0!</v>
      </c>
      <c r="CL192" s="3" t="e">
        <f>CJ192*CL119/CJ119</f>
        <v>#DIV/0!</v>
      </c>
      <c r="CM192" s="3" t="e">
        <f>CK192*CM119/CK119</f>
        <v>#DIV/0!</v>
      </c>
      <c r="CN192" s="3" t="e">
        <f>CL192*CN119/CL119</f>
        <v>#DIV/0!</v>
      </c>
      <c r="CO192" s="3" t="e">
        <f>CN192</f>
        <v>#DIV/0!</v>
      </c>
      <c r="CP192" s="3" t="e">
        <f>CN192*CP119/CN119</f>
        <v>#DIV/0!</v>
      </c>
      <c r="CQ192" s="3" t="e">
        <f>CO192*CQ119/CO119</f>
        <v>#DIV/0!</v>
      </c>
      <c r="CR192" s="3" t="e">
        <f>CP192*CR119/CP119</f>
        <v>#DIV/0!</v>
      </c>
      <c r="CS192" s="3" t="e">
        <f>CQ192*CS119/CQ119</f>
        <v>#DIV/0!</v>
      </c>
      <c r="CT192" s="3" t="e">
        <f>CS192</f>
        <v>#DIV/0!</v>
      </c>
      <c r="CU192" s="3" t="e">
        <f>CS192*CU119/CS119</f>
        <v>#DIV/0!</v>
      </c>
      <c r="CV192" s="3" t="e">
        <f>CT192*CV119/CT119</f>
        <v>#DIV/0!</v>
      </c>
      <c r="CW192" s="3" t="e">
        <f>CU192*CW119/CU119</f>
        <v>#DIV/0!</v>
      </c>
      <c r="CX192" s="3" t="e">
        <f>CV192*CX119/CV119</f>
        <v>#DIV/0!</v>
      </c>
      <c r="CY192" s="3" t="e">
        <f>CX192</f>
        <v>#DIV/0!</v>
      </c>
    </row>
    <row r="193">
      <c r="C193" s="26" t="inlineStr">
        <is>
          <t>Other current liabilities (non-debt)</t>
        </is>
      </c>
      <c r="D193" s="25">
        <f>INDEX('Inputs (2)'!$D$31:$AL$31,MATCH(D$7,'Inputs (2)'!$D$2:$AL$2,0))</f>
        <v>4058</v>
      </c>
      <c r="E193" s="25">
        <f>INDEX('Inputs (2)'!$D$31:$AL$31,MATCH(E$7,'Inputs (2)'!$D$2:$AL$2,0))</f>
        <v>4056</v>
      </c>
      <c r="F193" s="25">
        <f>INDEX('Inputs (2)'!$D$31:$AL$31,MATCH(F$7,'Inputs (2)'!$D$2:$AL$2,0))</f>
        <v>3831</v>
      </c>
      <c r="G193" s="25">
        <f>INDEX('Inputs (2)'!$D$31:$AL$31,MATCH(G$7,'Inputs (2)'!$D$2:$AL$2,0))</f>
        <v>4438</v>
      </c>
      <c r="H193" s="3">
        <f>G193</f>
        <v>4438</v>
      </c>
      <c r="I193" s="25">
        <f>INDEX('Inputs (2)'!$D$31:$AL$31,MATCH(I$7,'Inputs (2)'!$D$2:$AL$2,0))</f>
        <v>4689</v>
      </c>
      <c r="J193" s="25">
        <f>INDEX('Inputs (2)'!$D$31:$AL$31,MATCH(J$7,'Inputs (2)'!$D$2:$AL$2,0))</f>
        <v>4361</v>
      </c>
      <c r="K193" s="25">
        <f>INDEX('Inputs (2)'!$D$31:$AL$31,MATCH(K$7,'Inputs (2)'!$D$2:$AL$2,0))</f>
        <v>3839</v>
      </c>
      <c r="L193" s="25">
        <f>INDEX('Inputs (2)'!$D$31:$AL$31,MATCH(L$7,'Inputs (2)'!$D$2:$AL$2,0))</f>
        <v>4378</v>
      </c>
      <c r="M193" s="3">
        <f>L193</f>
        <v>4378</v>
      </c>
      <c r="N193" s="25">
        <f>INDEX('Inputs (2)'!$D$31:$AL$31,MATCH(N$7,'Inputs (2)'!$D$2:$AL$2,0))</f>
        <v>4788</v>
      </c>
      <c r="O193" s="25">
        <f>INDEX('Inputs (2)'!$D$31:$AL$31,MATCH(O$7,'Inputs (2)'!$D$2:$AL$2,0))</f>
        <v>4607</v>
      </c>
      <c r="P193" s="25">
        <f>INDEX('Inputs (2)'!$D$31:$AL$31,MATCH(P$7,'Inputs (2)'!$D$2:$AL$2,0))</f>
        <v>4412</v>
      </c>
      <c r="Q193" s="25">
        <f>INDEX('Inputs (2)'!$D$31:$AL$31,MATCH(Q$7,'Inputs (2)'!$D$2:$AL$2,0))</f>
        <v>4909</v>
      </c>
      <c r="R193" s="3">
        <f>Q193</f>
        <v>4909</v>
      </c>
      <c r="S193" s="25">
        <f>INDEX('Inputs (2)'!$D$31:$AL$31,MATCH(S$7,'Inputs (2)'!$D$2:$AL$2,0))</f>
        <v>4929</v>
      </c>
      <c r="T193" s="25">
        <f>INDEX('Inputs (2)'!$D$31:$AL$31,MATCH(T$7,'Inputs (2)'!$D$2:$AL$2,0))</f>
        <v>4403</v>
      </c>
      <c r="U193" s="25">
        <f>INDEX('Inputs (2)'!$D$31:$AL$31,MATCH(U$7,'Inputs (2)'!$D$2:$AL$2,0))</f>
        <v>3652</v>
      </c>
      <c r="V193" s="25">
        <f>INDEX('Inputs (2)'!$D$31:$AL$31,MATCH(V$7,'Inputs (2)'!$D$2:$AL$2,0))</f>
        <v>15312</v>
      </c>
      <c r="W193" s="3">
        <f>V193</f>
        <v>15312</v>
      </c>
      <c r="X193" s="25">
        <f>INDEX('Inputs (2)'!$D$31:$AL$31,MATCH(X$7,'Inputs (2)'!$D$2:$AL$2,0))</f>
        <v>14919</v>
      </c>
      <c r="Y193" s="25">
        <f>INDEX('Inputs (2)'!$D$31:$AL$31,MATCH(Y$7,'Inputs (2)'!$D$2:$AL$2,0))</f>
        <v>12578</v>
      </c>
      <c r="Z193" s="25">
        <f>INDEX('Inputs (2)'!$D$31:$AL$31,MATCH(Z$7,'Inputs (2)'!$D$2:$AL$2,0))</f>
        <v>11793</v>
      </c>
      <c r="AA193" s="25">
        <f>INDEX('Inputs (2)'!$D$31:$AL$31,MATCH(AA$7,'Inputs (2)'!$D$2:$AL$2,0))</f>
        <v>12430</v>
      </c>
      <c r="AB193" s="3">
        <f>AA193</f>
        <v>12430</v>
      </c>
      <c r="AC193" s="25">
        <f>INDEX('Inputs (2)'!$D$31:$AL$31,MATCH(AC$7,'Inputs (2)'!$D$2:$AL$2,0))</f>
        <v>12503</v>
      </c>
      <c r="AD193" s="25">
        <f>INDEX('Inputs (2)'!$D$31:$AL$31,MATCH(AD$7,'Inputs (2)'!$D$2:$AL$2,0))</f>
        <v>12154</v>
      </c>
      <c r="AE193" s="25">
        <f>INDEX('Inputs (2)'!$D$31:$AL$31,MATCH(AE$7,'Inputs (2)'!$D$2:$AL$2,0))</f>
        <v>11673</v>
      </c>
      <c r="AF193" s="25">
        <f>INDEX('Inputs (2)'!$D$31:$AL$31,MATCH(AF$7,'Inputs (2)'!$D$2:$AL$2,0))</f>
        <v>11631</v>
      </c>
      <c r="AG193" s="3">
        <f>AF193</f>
        <v>11631</v>
      </c>
      <c r="AH193" s="3">
        <f>INDEX('Inputs (2)'!$D$31:$AL$31,MATCH(AH$7,'Inputs (2)'!$D$2:$AL$2,0))</f>
        <v>13139</v>
      </c>
      <c r="AI193" s="3">
        <f>INDEX('Inputs (2)'!$D$31:$AL$31,MATCH(AI$7,'Inputs (2)'!$D$2:$AL$2,0))</f>
        <v>13080</v>
      </c>
      <c r="AJ193" s="3">
        <f>AI193</f>
        <v>13080</v>
      </c>
      <c r="AK193" s="3">
        <f>AJ193</f>
        <v>13080</v>
      </c>
      <c r="AL193" s="3">
        <f>AK193</f>
        <v>13080</v>
      </c>
      <c r="AM193" s="3">
        <f>AL193</f>
        <v>13080</v>
      </c>
      <c r="AN193" s="3">
        <f>AM193</f>
        <v>13080</v>
      </c>
      <c r="AO193" s="3">
        <f>AN193</f>
        <v>13080</v>
      </c>
      <c r="AP193" s="3">
        <f>AO193</f>
        <v>13080</v>
      </c>
      <c r="AQ193" s="3">
        <f>AP193</f>
        <v>13080</v>
      </c>
      <c r="AR193" s="3">
        <f>AQ193</f>
        <v>13080</v>
      </c>
      <c r="AS193" s="3">
        <f>AR193</f>
        <v>13080</v>
      </c>
      <c r="AT193" s="3">
        <f>AS193</f>
        <v>13080</v>
      </c>
      <c r="AU193" s="3">
        <f>AT193</f>
        <v>13080</v>
      </c>
      <c r="AV193" s="3">
        <f>AU193</f>
        <v>13080</v>
      </c>
      <c r="AW193" s="3">
        <f>AV193</f>
        <v>13080</v>
      </c>
      <c r="AX193" s="3">
        <f>AW193</f>
        <v>13080</v>
      </c>
      <c r="AY193" s="3">
        <f>AX193</f>
        <v>13080</v>
      </c>
      <c r="AZ193" s="3">
        <f>AY193</f>
        <v>13080</v>
      </c>
      <c r="BA193" s="3">
        <f>AZ193</f>
        <v>13080</v>
      </c>
      <c r="BB193" s="3">
        <f>BA193</f>
        <v>13080</v>
      </c>
      <c r="BC193" s="3">
        <f>BB193</f>
        <v>13080</v>
      </c>
      <c r="BD193" s="3">
        <f>BC193</f>
        <v>13080</v>
      </c>
      <c r="BE193" s="3">
        <f>BD193</f>
        <v>13080</v>
      </c>
      <c r="BF193" s="3">
        <f>BE193</f>
        <v>13080</v>
      </c>
      <c r="BG193" s="3">
        <f>BF193</f>
        <v>13080</v>
      </c>
      <c r="BH193" s="3">
        <f>BG193</f>
        <v>13080</v>
      </c>
      <c r="BI193" s="3">
        <f>BH193</f>
        <v>13080</v>
      </c>
      <c r="BJ193" s="3">
        <f>BI193</f>
        <v>13080</v>
      </c>
      <c r="BK193" s="3">
        <f>BJ193</f>
        <v>13080</v>
      </c>
      <c r="BL193" s="3">
        <f>BK193</f>
        <v>13080</v>
      </c>
      <c r="BM193" s="3">
        <f>BL193</f>
        <v>13080</v>
      </c>
      <c r="BN193" s="3">
        <f>BM193</f>
        <v>13080</v>
      </c>
      <c r="BO193" s="3">
        <f>BN193</f>
        <v>13080</v>
      </c>
      <c r="BP193" s="3">
        <f>BO193</f>
        <v>13080</v>
      </c>
      <c r="BQ193" s="3">
        <f>BP193</f>
        <v>13080</v>
      </c>
      <c r="BR193" s="3">
        <f>BQ193</f>
        <v>13080</v>
      </c>
      <c r="BS193" s="3">
        <f>BR193</f>
        <v>13080</v>
      </c>
      <c r="BT193" s="3">
        <f>BS193</f>
        <v>13080</v>
      </c>
      <c r="BU193" s="3">
        <f>BT193</f>
        <v>13080</v>
      </c>
      <c r="BV193" s="3">
        <f>BU193</f>
        <v>13080</v>
      </c>
      <c r="BW193" s="3">
        <f>BV193</f>
        <v>13080</v>
      </c>
      <c r="BX193" s="3">
        <f>BW193</f>
        <v>13080</v>
      </c>
      <c r="BY193" s="3">
        <f>BX193</f>
        <v>13080</v>
      </c>
      <c r="BZ193" s="3">
        <f>BY193</f>
        <v>13080</v>
      </c>
      <c r="CA193" s="3">
        <f>BZ193</f>
        <v>13080</v>
      </c>
      <c r="CB193" s="3">
        <f>CA193</f>
        <v>13080</v>
      </c>
      <c r="CC193" s="3">
        <f>CB193</f>
        <v>13080</v>
      </c>
      <c r="CD193" s="3">
        <f>CC193</f>
        <v>13080</v>
      </c>
      <c r="CE193" s="3">
        <f>CD193</f>
        <v>13080</v>
      </c>
      <c r="CF193" s="3">
        <f>CE193</f>
        <v>13080</v>
      </c>
      <c r="CG193" s="3">
        <f>CF193</f>
        <v>13080</v>
      </c>
      <c r="CH193" s="3">
        <f>CG193</f>
        <v>13080</v>
      </c>
      <c r="CI193" s="3">
        <f>CH193</f>
        <v>13080</v>
      </c>
      <c r="CJ193" s="3">
        <f>CI193</f>
        <v>13080</v>
      </c>
      <c r="CK193" s="3">
        <f>CJ193</f>
        <v>13080</v>
      </c>
      <c r="CL193" s="3">
        <f>CK193</f>
        <v>13080</v>
      </c>
      <c r="CM193" s="3">
        <f>CL193</f>
        <v>13080</v>
      </c>
      <c r="CN193" s="3">
        <f>CM193</f>
        <v>13080</v>
      </c>
      <c r="CO193" s="3">
        <f>CN193</f>
        <v>13080</v>
      </c>
      <c r="CP193" s="3">
        <f>CO193</f>
        <v>13080</v>
      </c>
      <c r="CQ193" s="3">
        <f>CP193</f>
        <v>13080</v>
      </c>
      <c r="CR193" s="3">
        <f>CQ193</f>
        <v>13080</v>
      </c>
      <c r="CS193" s="3">
        <f>CR193</f>
        <v>13080</v>
      </c>
      <c r="CT193" s="3">
        <f>CS193</f>
        <v>13080</v>
      </c>
      <c r="CU193" s="3">
        <f>CT193</f>
        <v>13080</v>
      </c>
      <c r="CV193" s="3">
        <f>CU193</f>
        <v>13080</v>
      </c>
      <c r="CW193" s="3">
        <f>CV193</f>
        <v>13080</v>
      </c>
      <c r="CX193" s="3">
        <f>CW193</f>
        <v>13080</v>
      </c>
      <c r="CY193" s="3">
        <f>CX193</f>
        <v>13080</v>
      </c>
    </row>
    <row r="194" hidden="1" outlineLevel="1">
      <c r="C194" s="38" t="inlineStr">
        <is>
          <t>%(Var.)</t>
        </is>
      </c>
      <c r="D194" s="3" t="n"/>
      <c r="E194" s="47">
        <f>(E193-D193)/D193</f>
        <v>-0.000492853622474125</v>
      </c>
      <c r="F194" s="47">
        <f>(F193-E193)/E193</f>
        <v>-0.0554733727810651</v>
      </c>
      <c r="G194" s="47">
        <f>(G193-F193)/F193</f>
        <v>0.158444270425476</v>
      </c>
      <c r="H194" s="3" t="n"/>
      <c r="I194" s="47">
        <f>(I193-H193)/H193</f>
        <v>0.0565570076611086</v>
      </c>
      <c r="J194" s="47">
        <f>(J193-I193)/I193</f>
        <v>-0.0699509490296438</v>
      </c>
      <c r="K194" s="47">
        <f>(K193-J193)/J193</f>
        <v>-0.119697317129099</v>
      </c>
      <c r="L194" s="47">
        <f>(L193-K193)/K193</f>
        <v>0.140401146131805</v>
      </c>
      <c r="M194" s="3" t="n"/>
      <c r="N194" s="47">
        <f>(N193-M193)/M193</f>
        <v>0.0936500685244404</v>
      </c>
      <c r="O194" s="47">
        <f>(O193-N193)/N193</f>
        <v>-0.0378028404344194</v>
      </c>
      <c r="P194" s="47">
        <f>(P193-O193)/O193</f>
        <v>-0.0423268938571739</v>
      </c>
      <c r="Q194" s="47">
        <f>(Q193-P193)/P193</f>
        <v>0.112647325475975</v>
      </c>
      <c r="R194" s="3" t="n"/>
      <c r="S194" s="47">
        <f>(S193-R193)/R193</f>
        <v>0.00407414952128743</v>
      </c>
      <c r="T194" s="47">
        <f>(T193-S193)/S193</f>
        <v>-0.106715358084804</v>
      </c>
      <c r="U194" s="47">
        <f>(U193-T193)/T193</f>
        <v>-0.1705655235067</v>
      </c>
      <c r="V194" s="47">
        <f>(V193-U193)/U193</f>
        <v>3.19277108433735</v>
      </c>
      <c r="W194" s="3" t="n"/>
      <c r="X194" s="47">
        <f>(X193-W193)/W193</f>
        <v>-0.025666144200627</v>
      </c>
      <c r="Y194" s="47">
        <f>(Y193-X193)/X193</f>
        <v>-0.156914002278973</v>
      </c>
      <c r="Z194" s="47">
        <f>(Z193-Y193)/Y193</f>
        <v>-0.0624105581173478</v>
      </c>
      <c r="AA194" s="47">
        <f>(AA193-Z193)/Z193</f>
        <v>0.0540150936996523</v>
      </c>
      <c r="AB194" s="3" t="n"/>
      <c r="AC194" s="47">
        <f>(AC193-AB193)/AB193</f>
        <v>0.00587288817377313</v>
      </c>
      <c r="AD194" s="47">
        <f>(AD193-AC193)/AC193</f>
        <v>-0.0279133008078061</v>
      </c>
      <c r="AE194" s="47">
        <f>(AE193-AD193)/AD193</f>
        <v>-0.0395754484120454</v>
      </c>
      <c r="AF194" s="218">
        <f>(AF193-AE193)/AE193</f>
        <v>-0.00359804677460807</v>
      </c>
      <c r="AG194" s="3" t="n"/>
      <c r="AH194" s="218">
        <f>(AH193-AG193)/AG193</f>
        <v>0.129653512165764</v>
      </c>
      <c r="AI194" s="218">
        <f>(AI193-AH193)/AH193</f>
        <v>-0.00449044828373544</v>
      </c>
      <c r="AJ194" s="218" t="n"/>
      <c r="AK194" s="218" t="n"/>
      <c r="AL194" s="3" t="n"/>
      <c r="AM194" s="218" t="n"/>
      <c r="AN194" s="218" t="n"/>
      <c r="AO194" s="218" t="n"/>
      <c r="AP194" s="218" t="n"/>
      <c r="AQ194" s="3" t="n"/>
      <c r="AR194" s="218" t="n"/>
      <c r="AS194" s="218" t="n"/>
      <c r="AT194" s="218" t="n"/>
      <c r="AU194" s="218" t="n"/>
      <c r="AV194" s="3" t="n"/>
      <c r="AW194" s="218" t="n"/>
      <c r="AX194" s="218" t="n"/>
      <c r="AY194" s="218" t="n"/>
      <c r="AZ194" s="218" t="n"/>
      <c r="BA194" s="3" t="n"/>
      <c r="BB194" s="218" t="n"/>
      <c r="BC194" s="218" t="n"/>
      <c r="BD194" s="218" t="n"/>
      <c r="BE194" s="218" t="n"/>
      <c r="BF194" s="3" t="n"/>
      <c r="BG194" s="218" t="n"/>
      <c r="BH194" s="218" t="n"/>
      <c r="BI194" s="218" t="n"/>
      <c r="BJ194" s="218" t="n"/>
      <c r="BK194" s="3" t="n"/>
      <c r="BL194" s="218" t="n"/>
      <c r="BM194" s="218" t="n"/>
      <c r="BN194" s="218" t="n"/>
      <c r="BO194" s="218" t="n"/>
      <c r="BP194" s="3" t="n"/>
      <c r="BQ194" s="218" t="n"/>
      <c r="BR194" s="218" t="n"/>
      <c r="BS194" s="218" t="n"/>
      <c r="BT194" s="218" t="n"/>
      <c r="BU194" s="3" t="n"/>
      <c r="BV194" s="218" t="n"/>
      <c r="BW194" s="218" t="n"/>
      <c r="BX194" s="218" t="n"/>
      <c r="BY194" s="218" t="n"/>
      <c r="BZ194" s="3" t="n"/>
      <c r="CA194" s="218" t="n"/>
      <c r="CB194" s="218" t="n"/>
      <c r="CC194" s="218" t="n"/>
      <c r="CD194" s="218" t="n"/>
      <c r="CE194" s="3" t="n"/>
      <c r="CF194" s="218" t="n"/>
      <c r="CG194" s="218" t="n"/>
      <c r="CH194" s="218" t="n"/>
      <c r="CI194" s="218" t="n"/>
      <c r="CJ194" s="3" t="n"/>
      <c r="CK194" s="218" t="n"/>
      <c r="CL194" s="218" t="n"/>
      <c r="CM194" s="218" t="n"/>
      <c r="CN194" s="218" t="n"/>
      <c r="CO194" s="3" t="n"/>
      <c r="CP194" s="218" t="n"/>
      <c r="CQ194" s="218" t="n"/>
      <c r="CR194" s="218" t="n"/>
      <c r="CS194" s="218" t="n"/>
      <c r="CT194" s="3" t="n"/>
      <c r="CU194" s="218" t="n"/>
      <c r="CV194" s="218" t="n"/>
      <c r="CW194" s="218" t="n"/>
      <c r="CX194" s="218" t="n"/>
      <c r="CY194" s="3" t="n"/>
    </row>
    <row r="195" hidden="1" outlineLevel="1">
      <c r="C195" s="34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  <c r="AA195" s="3" t="n"/>
      <c r="AB195" s="3" t="n"/>
      <c r="AC195" s="3" t="n"/>
      <c r="AD195" s="3" t="n"/>
      <c r="AE195" s="3" t="n"/>
      <c r="AF195" s="3" t="n"/>
      <c r="AG195" s="3" t="n"/>
      <c r="AH195" s="3" t="n"/>
      <c r="AI195" s="3" t="n"/>
      <c r="AJ195" s="3" t="n"/>
      <c r="AK195" s="3" t="n"/>
      <c r="AL195" s="3" t="n"/>
      <c r="AM195" s="3" t="n"/>
      <c r="AN195" s="3" t="n"/>
      <c r="AO195" s="3" t="n"/>
      <c r="AP195" s="3" t="n"/>
      <c r="AQ195" s="3" t="n"/>
      <c r="AR195" s="3" t="n"/>
      <c r="AS195" s="3" t="n"/>
      <c r="AT195" s="3" t="n"/>
      <c r="AU195" s="3" t="n"/>
      <c r="AV195" s="3" t="n"/>
      <c r="AW195" s="3" t="n"/>
      <c r="AX195" s="3" t="n"/>
      <c r="AY195" s="3" t="n"/>
      <c r="AZ195" s="3" t="n"/>
      <c r="BA195" s="3" t="n"/>
      <c r="BB195" s="3" t="n"/>
      <c r="BC195" s="3" t="n"/>
      <c r="BD195" s="3" t="n"/>
      <c r="BE195" s="3" t="n"/>
      <c r="BF195" s="3" t="n"/>
      <c r="BG195" s="3" t="n"/>
      <c r="BH195" s="3" t="n"/>
      <c r="BI195" s="3" t="n"/>
      <c r="BJ195" s="3" t="n"/>
      <c r="BK195" s="3" t="n"/>
      <c r="BL195" s="3" t="n"/>
      <c r="BM195" s="3" t="n"/>
      <c r="BN195" s="3" t="n"/>
      <c r="BO195" s="3" t="n"/>
      <c r="BP195" s="3" t="n"/>
      <c r="BQ195" s="3" t="n"/>
      <c r="BR195" s="3" t="n"/>
      <c r="BS195" s="3" t="n"/>
      <c r="BT195" s="3" t="n"/>
      <c r="BU195" s="3" t="n"/>
      <c r="BV195" s="3" t="n"/>
      <c r="BW195" s="3" t="n"/>
      <c r="BX195" s="3" t="n"/>
      <c r="BY195" s="3" t="n"/>
      <c r="BZ195" s="3" t="n"/>
      <c r="CA195" s="3" t="n"/>
      <c r="CB195" s="3" t="n"/>
      <c r="CC195" s="3" t="n"/>
      <c r="CD195" s="3" t="n"/>
      <c r="CE195" s="3" t="n"/>
      <c r="CF195" s="3" t="n"/>
      <c r="CG195" s="3" t="n"/>
      <c r="CH195" s="3" t="n"/>
      <c r="CI195" s="3" t="n"/>
      <c r="CJ195" s="3" t="n"/>
      <c r="CK195" s="3" t="n"/>
      <c r="CL195" s="3" t="n"/>
      <c r="CM195" s="3" t="n"/>
      <c r="CN195" s="3" t="n"/>
      <c r="CO195" s="3" t="n"/>
      <c r="CP195" s="3" t="n"/>
      <c r="CQ195" s="3" t="n"/>
      <c r="CR195" s="3" t="n"/>
      <c r="CS195" s="3" t="n"/>
      <c r="CT195" s="3" t="n"/>
      <c r="CU195" s="3" t="n"/>
      <c r="CV195" s="3" t="n"/>
      <c r="CW195" s="3" t="n"/>
      <c r="CX195" s="3" t="n"/>
      <c r="CY195" s="3" t="n"/>
    </row>
    <row r="196" hidden="1" outlineLevel="1">
      <c r="C196" s="34" t="inlineStr">
        <is>
          <t xml:space="preserve">Dividendos a Pagar </t>
        </is>
      </c>
      <c r="D196" s="6" t="n"/>
      <c r="E196" s="6" t="n"/>
      <c r="F196" s="6" t="n"/>
      <c r="G196" s="6" t="n"/>
      <c r="H196" s="3" t="n"/>
      <c r="I196" s="6" t="n"/>
      <c r="J196" s="6" t="n"/>
      <c r="K196" s="6" t="n"/>
      <c r="L196" s="6" t="n"/>
      <c r="M196" s="3" t="n"/>
      <c r="N196" s="6" t="n"/>
      <c r="O196" s="6" t="n"/>
      <c r="P196" s="6" t="n"/>
      <c r="Q196" s="6" t="n"/>
      <c r="R196" s="3" t="n"/>
      <c r="S196" s="6" t="n"/>
      <c r="T196" s="6" t="n"/>
      <c r="U196" s="6" t="n"/>
      <c r="V196" s="6" t="n"/>
      <c r="W196" s="3" t="n"/>
      <c r="X196" s="6" t="n"/>
      <c r="Y196" s="6" t="n"/>
      <c r="Z196" s="6" t="n"/>
      <c r="AA196" s="6" t="n"/>
      <c r="AB196" s="3" t="n"/>
      <c r="AC196" s="6" t="n"/>
      <c r="AD196" s="6" t="n"/>
      <c r="AE196" s="6" t="n"/>
      <c r="AF196" s="6" t="n"/>
      <c r="AG196" s="3" t="n"/>
      <c r="AH196" s="6" t="n"/>
      <c r="AI196" s="6" t="n"/>
      <c r="AJ196" s="6" t="n"/>
      <c r="AK196" s="6" t="n"/>
      <c r="AL196" s="3" t="n"/>
      <c r="AM196" s="6" t="n"/>
      <c r="AN196" s="6" t="n"/>
      <c r="AO196" s="6" t="n"/>
      <c r="AP196" s="6" t="n"/>
      <c r="AQ196" s="3" t="n"/>
      <c r="AR196" s="6" t="n"/>
      <c r="AS196" s="6" t="n"/>
      <c r="AT196" s="6" t="n"/>
      <c r="AU196" s="6" t="n"/>
      <c r="AV196" s="3" t="n"/>
      <c r="AW196" s="6" t="n"/>
      <c r="AX196" s="6" t="n"/>
      <c r="AY196" s="6" t="n"/>
      <c r="AZ196" s="6" t="n"/>
      <c r="BA196" s="3" t="n"/>
      <c r="BB196" s="6" t="n"/>
      <c r="BC196" s="6" t="n"/>
      <c r="BD196" s="6" t="n"/>
      <c r="BE196" s="6" t="n"/>
      <c r="BF196" s="3" t="n"/>
      <c r="BG196" s="6" t="n"/>
      <c r="BH196" s="6" t="n"/>
      <c r="BI196" s="6" t="n"/>
      <c r="BJ196" s="6" t="n"/>
      <c r="BK196" s="3" t="n"/>
      <c r="BL196" s="6" t="n"/>
      <c r="BM196" s="6" t="n"/>
      <c r="BN196" s="6" t="n"/>
      <c r="BO196" s="6" t="n"/>
      <c r="BP196" s="3" t="n"/>
      <c r="BQ196" s="6" t="n"/>
      <c r="BR196" s="6" t="n"/>
      <c r="BS196" s="6" t="n"/>
      <c r="BT196" s="6" t="n"/>
      <c r="BU196" s="3" t="n"/>
      <c r="BV196" s="6" t="n"/>
      <c r="BW196" s="6" t="n"/>
      <c r="BX196" s="6" t="n"/>
      <c r="BY196" s="6" t="n"/>
      <c r="BZ196" s="3" t="n"/>
      <c r="CA196" s="6" t="n"/>
      <c r="CB196" s="6" t="n"/>
      <c r="CC196" s="6" t="n"/>
      <c r="CD196" s="6" t="n"/>
      <c r="CE196" s="3" t="n"/>
      <c r="CF196" s="6" t="n"/>
      <c r="CG196" s="6" t="n"/>
      <c r="CH196" s="6" t="n"/>
      <c r="CI196" s="6" t="n"/>
      <c r="CJ196" s="3" t="n"/>
      <c r="CK196" s="6" t="n"/>
      <c r="CL196" s="6" t="n"/>
      <c r="CM196" s="6" t="n"/>
      <c r="CN196" s="6" t="n"/>
      <c r="CO196" s="3" t="n"/>
      <c r="CP196" s="6" t="n"/>
      <c r="CQ196" s="6" t="n"/>
      <c r="CR196" s="6" t="n"/>
      <c r="CS196" s="6" t="n"/>
      <c r="CT196" s="3" t="n"/>
      <c r="CU196" s="6" t="n"/>
      <c r="CV196" s="6" t="n"/>
      <c r="CW196" s="6" t="n"/>
      <c r="CX196" s="6" t="n"/>
      <c r="CY196" s="3" t="n"/>
    </row>
    <row r="197" hidden="1" outlineLevel="1">
      <c r="C197" s="34" t="inlineStr">
        <is>
          <t>Contas a pagar pela aquisição de controladas</t>
        </is>
      </c>
      <c r="D197" s="6" t="n"/>
      <c r="E197" s="6" t="n"/>
      <c r="F197" s="6" t="n"/>
      <c r="G197" s="6" t="n"/>
      <c r="H197" s="3" t="n"/>
      <c r="I197" s="6" t="n"/>
      <c r="J197" s="6" t="n"/>
      <c r="K197" s="6" t="n"/>
      <c r="L197" s="6" t="n"/>
      <c r="M197" s="3" t="n"/>
      <c r="N197" s="6" t="n"/>
      <c r="O197" s="6" t="n"/>
      <c r="P197" s="6" t="n"/>
      <c r="Q197" s="6" t="n"/>
      <c r="R197" s="3" t="n"/>
      <c r="S197" s="6" t="n"/>
      <c r="T197" s="6" t="n"/>
      <c r="U197" s="6" t="n"/>
      <c r="V197" s="6" t="n"/>
      <c r="W197" s="3" t="n"/>
      <c r="X197" s="6" t="n"/>
      <c r="Y197" s="6" t="n"/>
      <c r="Z197" s="6" t="n"/>
      <c r="AA197" s="6" t="n"/>
      <c r="AB197" s="3" t="n"/>
      <c r="AC197" s="6" t="n"/>
      <c r="AD197" s="6" t="n"/>
      <c r="AE197" s="6" t="n"/>
      <c r="AF197" s="6" t="n"/>
      <c r="AG197" s="3" t="n"/>
      <c r="AH197" s="6" t="n"/>
      <c r="AI197" s="6" t="n"/>
      <c r="AJ197" s="6" t="n"/>
      <c r="AK197" s="6" t="n"/>
      <c r="AL197" s="3" t="n"/>
      <c r="AM197" s="6" t="n"/>
      <c r="AN197" s="6" t="n"/>
      <c r="AO197" s="6" t="n"/>
      <c r="AP197" s="6" t="n"/>
      <c r="AQ197" s="3" t="n"/>
      <c r="AR197" s="6" t="n"/>
      <c r="AS197" s="6" t="n"/>
      <c r="AT197" s="6" t="n"/>
      <c r="AU197" s="6" t="n"/>
      <c r="AV197" s="3" t="n"/>
      <c r="AW197" s="6" t="n"/>
      <c r="AX197" s="6" t="n"/>
      <c r="AY197" s="6" t="n"/>
      <c r="AZ197" s="6" t="n"/>
      <c r="BA197" s="3" t="n"/>
      <c r="BB197" s="6" t="n"/>
      <c r="BC197" s="6" t="n"/>
      <c r="BD197" s="6" t="n"/>
      <c r="BE197" s="6" t="n"/>
      <c r="BF197" s="3" t="n"/>
      <c r="BG197" s="6" t="n"/>
      <c r="BH197" s="6" t="n"/>
      <c r="BI197" s="6" t="n"/>
      <c r="BJ197" s="6" t="n"/>
      <c r="BK197" s="3" t="n"/>
      <c r="BL197" s="6" t="n"/>
      <c r="BM197" s="6" t="n"/>
      <c r="BN197" s="6" t="n"/>
      <c r="BO197" s="6" t="n"/>
      <c r="BP197" s="3" t="n"/>
      <c r="BQ197" s="6" t="n"/>
      <c r="BR197" s="6" t="n"/>
      <c r="BS197" s="6" t="n"/>
      <c r="BT197" s="6" t="n"/>
      <c r="BU197" s="3" t="n"/>
      <c r="BV197" s="6" t="n"/>
      <c r="BW197" s="6" t="n"/>
      <c r="BX197" s="6" t="n"/>
      <c r="BY197" s="6" t="n"/>
      <c r="BZ197" s="3" t="n"/>
      <c r="CA197" s="6" t="n"/>
      <c r="CB197" s="6" t="n"/>
      <c r="CC197" s="6" t="n"/>
      <c r="CD197" s="6" t="n"/>
      <c r="CE197" s="3" t="n"/>
      <c r="CF197" s="6" t="n"/>
      <c r="CG197" s="6" t="n"/>
      <c r="CH197" s="6" t="n"/>
      <c r="CI197" s="6" t="n"/>
      <c r="CJ197" s="3" t="n"/>
      <c r="CK197" s="6" t="n"/>
      <c r="CL197" s="6" t="n"/>
      <c r="CM197" s="6" t="n"/>
      <c r="CN197" s="6" t="n"/>
      <c r="CO197" s="3" t="n"/>
      <c r="CP197" s="6" t="n"/>
      <c r="CQ197" s="6" t="n"/>
      <c r="CR197" s="6" t="n"/>
      <c r="CS197" s="6" t="n"/>
      <c r="CT197" s="3" t="n"/>
      <c r="CU197" s="6" t="n"/>
      <c r="CV197" s="6" t="n"/>
      <c r="CW197" s="6" t="n"/>
      <c r="CX197" s="6" t="n"/>
      <c r="CY197" s="3" t="n"/>
    </row>
    <row r="198" hidden="1" outlineLevel="1">
      <c r="C198" s="34" t="inlineStr">
        <is>
          <t>Outros</t>
        </is>
      </c>
      <c r="D198" s="6" t="n"/>
      <c r="E198" s="6" t="n"/>
      <c r="F198" s="6" t="n"/>
      <c r="G198" s="6" t="n"/>
      <c r="H198" s="3" t="n"/>
      <c r="I198" s="6" t="n"/>
      <c r="J198" s="6" t="n"/>
      <c r="K198" s="6" t="n"/>
      <c r="L198" s="6" t="n"/>
      <c r="M198" s="3" t="n"/>
      <c r="N198" s="6" t="n"/>
      <c r="O198" s="6" t="n"/>
      <c r="P198" s="6" t="n"/>
      <c r="Q198" s="6" t="n"/>
      <c r="R198" s="3" t="n"/>
      <c r="S198" s="6" t="n"/>
      <c r="T198" s="6" t="n"/>
      <c r="U198" s="6" t="n"/>
      <c r="V198" s="6" t="n"/>
      <c r="W198" s="3" t="n"/>
      <c r="X198" s="6" t="n"/>
      <c r="Y198" s="6" t="n"/>
      <c r="Z198" s="6" t="n"/>
      <c r="AA198" s="6" t="n"/>
      <c r="AB198" s="3" t="n"/>
      <c r="AC198" s="6" t="n"/>
      <c r="AD198" s="6" t="n"/>
      <c r="AE198" s="6" t="n"/>
      <c r="AF198" s="6" t="n"/>
      <c r="AG198" s="3" t="n"/>
      <c r="AH198" s="6" t="n"/>
      <c r="AI198" s="6" t="n"/>
      <c r="AJ198" s="6" t="n"/>
      <c r="AK198" s="6" t="n"/>
      <c r="AL198" s="3" t="n"/>
      <c r="AM198" s="6" t="n"/>
      <c r="AN198" s="6" t="n"/>
      <c r="AO198" s="6" t="n"/>
      <c r="AP198" s="6" t="n"/>
      <c r="AQ198" s="3" t="n"/>
      <c r="AR198" s="6" t="n"/>
      <c r="AS198" s="6" t="n"/>
      <c r="AT198" s="6" t="n"/>
      <c r="AU198" s="6" t="n"/>
      <c r="AV198" s="3" t="n"/>
      <c r="AW198" s="6" t="n"/>
      <c r="AX198" s="6" t="n"/>
      <c r="AY198" s="6" t="n"/>
      <c r="AZ198" s="6" t="n"/>
      <c r="BA198" s="3" t="n"/>
      <c r="BB198" s="6" t="n"/>
      <c r="BC198" s="6" t="n"/>
      <c r="BD198" s="6" t="n"/>
      <c r="BE198" s="6" t="n"/>
      <c r="BF198" s="3" t="n"/>
      <c r="BG198" s="6" t="n"/>
      <c r="BH198" s="6" t="n"/>
      <c r="BI198" s="6" t="n"/>
      <c r="BJ198" s="6" t="n"/>
      <c r="BK198" s="3" t="n"/>
      <c r="BL198" s="6" t="n"/>
      <c r="BM198" s="6" t="n"/>
      <c r="BN198" s="6" t="n"/>
      <c r="BO198" s="6" t="n"/>
      <c r="BP198" s="3" t="n"/>
      <c r="BQ198" s="6" t="n"/>
      <c r="BR198" s="6" t="n"/>
      <c r="BS198" s="6" t="n"/>
      <c r="BT198" s="6" t="n"/>
      <c r="BU198" s="3" t="n"/>
      <c r="BV198" s="6" t="n"/>
      <c r="BW198" s="6" t="n"/>
      <c r="BX198" s="6" t="n"/>
      <c r="BY198" s="6" t="n"/>
      <c r="BZ198" s="3" t="n"/>
      <c r="CA198" s="6" t="n"/>
      <c r="CB198" s="6" t="n"/>
      <c r="CC198" s="6" t="n"/>
      <c r="CD198" s="6" t="n"/>
      <c r="CE198" s="3" t="n"/>
      <c r="CF198" s="6" t="n"/>
      <c r="CG198" s="6" t="n"/>
      <c r="CH198" s="6" t="n"/>
      <c r="CI198" s="6" t="n"/>
      <c r="CJ198" s="3" t="n"/>
      <c r="CK198" s="6" t="n"/>
      <c r="CL198" s="6" t="n"/>
      <c r="CM198" s="6" t="n"/>
      <c r="CN198" s="6" t="n"/>
      <c r="CO198" s="3" t="n"/>
      <c r="CP198" s="6" t="n"/>
      <c r="CQ198" s="6" t="n"/>
      <c r="CR198" s="6" t="n"/>
      <c r="CS198" s="6" t="n"/>
      <c r="CT198" s="3" t="n"/>
      <c r="CU198" s="6" t="n"/>
      <c r="CV198" s="6" t="n"/>
      <c r="CW198" s="6" t="n"/>
      <c r="CX198" s="6" t="n"/>
      <c r="CY198" s="3" t="n"/>
    </row>
    <row r="199" hidden="1" outlineLevel="1">
      <c r="C199" s="34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  <c r="AA199" s="3" t="n"/>
      <c r="AB199" s="3" t="n"/>
      <c r="AC199" s="3" t="n"/>
      <c r="AD199" s="3" t="n"/>
      <c r="AE199" s="3" t="n"/>
      <c r="AF199" s="3" t="n"/>
      <c r="AG199" s="3" t="n"/>
      <c r="AH199" s="3" t="n"/>
      <c r="AI199" s="3" t="n"/>
      <c r="AJ199" s="3" t="n"/>
      <c r="AK199" s="3" t="n"/>
      <c r="AL199" s="3" t="n"/>
      <c r="AM199" s="3" t="n"/>
      <c r="AN199" s="3" t="n"/>
      <c r="AO199" s="3" t="n"/>
      <c r="AP199" s="3" t="n"/>
      <c r="AQ199" s="3" t="n"/>
      <c r="AR199" s="3" t="n"/>
      <c r="AS199" s="3" t="n"/>
      <c r="AT199" s="3" t="n"/>
      <c r="AU199" s="3" t="n"/>
      <c r="AV199" s="3" t="n"/>
      <c r="AW199" s="3" t="n"/>
      <c r="AX199" s="3" t="n"/>
      <c r="AY199" s="3" t="n"/>
      <c r="AZ199" s="3" t="n"/>
      <c r="BA199" s="3" t="n"/>
      <c r="BB199" s="3" t="n"/>
      <c r="BC199" s="3" t="n"/>
      <c r="BD199" s="3" t="n"/>
      <c r="BE199" s="3" t="n"/>
      <c r="BF199" s="3" t="n"/>
      <c r="BG199" s="3" t="n"/>
      <c r="BH199" s="3" t="n"/>
      <c r="BI199" s="3" t="n"/>
      <c r="BJ199" s="3" t="n"/>
      <c r="BK199" s="3" t="n"/>
      <c r="BL199" s="3" t="n"/>
      <c r="BM199" s="3" t="n"/>
      <c r="BN199" s="3" t="n"/>
      <c r="BO199" s="3" t="n"/>
      <c r="BP199" s="3" t="n"/>
      <c r="BQ199" s="3" t="n"/>
      <c r="BR199" s="3" t="n"/>
      <c r="BS199" s="3" t="n"/>
      <c r="BT199" s="3" t="n"/>
      <c r="BU199" s="3" t="n"/>
      <c r="BV199" s="3" t="n"/>
      <c r="BW199" s="3" t="n"/>
      <c r="BX199" s="3" t="n"/>
      <c r="BY199" s="3" t="n"/>
      <c r="BZ199" s="3" t="n"/>
      <c r="CA199" s="3" t="n"/>
      <c r="CB199" s="3" t="n"/>
      <c r="CC199" s="3" t="n"/>
      <c r="CD199" s="3" t="n"/>
      <c r="CE199" s="3" t="n"/>
      <c r="CF199" s="3" t="n"/>
      <c r="CG199" s="3" t="n"/>
      <c r="CH199" s="3" t="n"/>
      <c r="CI199" s="3" t="n"/>
      <c r="CJ199" s="3" t="n"/>
      <c r="CK199" s="3" t="n"/>
      <c r="CL199" s="3" t="n"/>
      <c r="CM199" s="3" t="n"/>
      <c r="CN199" s="3" t="n"/>
      <c r="CO199" s="3" t="n"/>
      <c r="CP199" s="3" t="n"/>
      <c r="CQ199" s="3" t="n"/>
      <c r="CR199" s="3" t="n"/>
      <c r="CS199" s="3" t="n"/>
      <c r="CT199" s="3" t="n"/>
      <c r="CU199" s="3" t="n"/>
      <c r="CV199" s="3" t="n"/>
      <c r="CW199" s="3" t="n"/>
      <c r="CX199" s="3" t="n"/>
      <c r="CY199" s="3" t="n"/>
    </row>
    <row r="200" collapsed="1">
      <c r="C200" s="26" t="inlineStr">
        <is>
          <t>Current portion of long-term debt</t>
        </is>
      </c>
      <c r="D200" s="25">
        <f>INDEX('Inputs (2)'!$D$32:$AL$32,MATCH(D$7,'Inputs (2)'!$D$2:$AL$2,0))</f>
        <v>819</v>
      </c>
      <c r="E200" s="25">
        <f>INDEX('Inputs (2)'!$D$32:$AL$32,MATCH(E$7,'Inputs (2)'!$D$2:$AL$2,0))</f>
        <v>822</v>
      </c>
      <c r="F200" s="25">
        <f>INDEX('Inputs (2)'!$D$32:$AL$32,MATCH(F$7,'Inputs (2)'!$D$2:$AL$2,0))</f>
        <v>827</v>
      </c>
      <c r="G200" s="25">
        <f>INDEX('Inputs (2)'!$D$32:$AL$32,MATCH(G$7,'Inputs (2)'!$D$2:$AL$2,0))</f>
        <v>864</v>
      </c>
      <c r="H200" s="3">
        <f>G200</f>
        <v>864</v>
      </c>
      <c r="I200" s="25">
        <f>INDEX('Inputs (2)'!$D$32:$AL$32,MATCH(I$7,'Inputs (2)'!$D$2:$AL$2,0))</f>
        <v>278</v>
      </c>
      <c r="J200" s="25">
        <f>INDEX('Inputs (2)'!$D$32:$AL$32,MATCH(J$7,'Inputs (2)'!$D$2:$AL$2,0))</f>
        <v>279</v>
      </c>
      <c r="K200" s="25">
        <f>INDEX('Inputs (2)'!$D$32:$AL$32,MATCH(K$7,'Inputs (2)'!$D$2:$AL$2,0))</f>
        <v>290</v>
      </c>
      <c r="L200" s="25">
        <f>INDEX('Inputs (2)'!$D$32:$AL$32,MATCH(L$7,'Inputs (2)'!$D$2:$AL$2,0))</f>
        <v>300</v>
      </c>
      <c r="M200" s="3">
        <f>L200</f>
        <v>300</v>
      </c>
      <c r="N200" s="25">
        <f>INDEX('Inputs (2)'!$D$32:$AL$32,MATCH(N$7,'Inputs (2)'!$D$2:$AL$2,0))</f>
        <v>302</v>
      </c>
      <c r="O200" s="25">
        <f>INDEX('Inputs (2)'!$D$32:$AL$32,MATCH(O$7,'Inputs (2)'!$D$2:$AL$2,0))</f>
        <v>304</v>
      </c>
      <c r="P200" s="25">
        <f>INDEX('Inputs (2)'!$D$32:$AL$32,MATCH(P$7,'Inputs (2)'!$D$2:$AL$2,0))</f>
        <v>440</v>
      </c>
      <c r="Q200" s="25">
        <f>INDEX('Inputs (2)'!$D$32:$AL$32,MATCH(Q$7,'Inputs (2)'!$D$2:$AL$2,0))</f>
        <v>1115</v>
      </c>
      <c r="R200" s="3">
        <f>Q200</f>
        <v>1115</v>
      </c>
      <c r="S200" s="25">
        <f>INDEX('Inputs (2)'!$D$32:$AL$32,MATCH(S$7,'Inputs (2)'!$D$2:$AL$2,0))</f>
        <v>1117</v>
      </c>
      <c r="T200" s="25">
        <f>INDEX('Inputs (2)'!$D$32:$AL$32,MATCH(T$7,'Inputs (2)'!$D$2:$AL$2,0))</f>
        <v>1119</v>
      </c>
      <c r="U200" s="25">
        <f>INDEX('Inputs (2)'!$D$32:$AL$32,MATCH(U$7,'Inputs (2)'!$D$2:$AL$2,0))</f>
        <v>1608</v>
      </c>
      <c r="V200" s="25">
        <f>INDEX('Inputs (2)'!$D$32:$AL$32,MATCH(V$7,'Inputs (2)'!$D$2:$AL$2,0))</f>
        <v>2433</v>
      </c>
      <c r="W200" s="3">
        <f>V200</f>
        <v>2433</v>
      </c>
      <c r="X200" s="25">
        <f>INDEX('Inputs (2)'!$D$32:$AL$32,MATCH(X$7,'Inputs (2)'!$D$2:$AL$2,0))</f>
        <v>2426</v>
      </c>
      <c r="Y200" s="25">
        <f>INDEX('Inputs (2)'!$D$32:$AL$32,MATCH(Y$7,'Inputs (2)'!$D$2:$AL$2,0))</f>
        <v>3161</v>
      </c>
      <c r="Z200" s="25">
        <f>INDEX('Inputs (2)'!$D$32:$AL$32,MATCH(Z$7,'Inputs (2)'!$D$2:$AL$2,0))</f>
        <v>1271</v>
      </c>
      <c r="AA200" s="25">
        <f>INDEX('Inputs (2)'!$D$32:$AL$32,MATCH(AA$7,'Inputs (2)'!$D$2:$AL$2,0))</f>
        <v>5653</v>
      </c>
      <c r="AB200" s="3">
        <f>AA200</f>
        <v>5653</v>
      </c>
      <c r="AC200" s="25">
        <f>INDEX('Inputs (2)'!$D$32:$AL$32,MATCH(AC$7,'Inputs (2)'!$D$2:$AL$2,0))</f>
        <v>5531</v>
      </c>
      <c r="AD200" s="25">
        <f>INDEX('Inputs (2)'!$D$32:$AL$32,MATCH(AD$7,'Inputs (2)'!$D$2:$AL$2,0))</f>
        <v>1399</v>
      </c>
      <c r="AE200" s="25">
        <f>INDEX('Inputs (2)'!$D$32:$AL$32,MATCH(AE$7,'Inputs (2)'!$D$2:$AL$2,0))</f>
        <v>3152</v>
      </c>
      <c r="AF200" s="25">
        <f>INDEX('Inputs (2)'!$D$32:$AL$32,MATCH(AF$7,'Inputs (2)'!$D$2:$AL$2,0))</f>
        <v>2252</v>
      </c>
      <c r="AG200" s="3">
        <f>AF200</f>
        <v>2252</v>
      </c>
      <c r="AH200" s="3">
        <f>INDEX('Inputs (2)'!$D$32:$AL$32,MATCH(AH$7,'Inputs (2)'!$D$2:$AL$2,0))</f>
        <v>2252</v>
      </c>
      <c r="AI200" s="3">
        <f>INDEX('Inputs (2)'!$D$32:$AL$32,MATCH(AI$7,'Inputs (2)'!$D$2:$AL$2,0))</f>
        <v>2252</v>
      </c>
      <c r="AJ200" s="3">
        <f>AI200</f>
        <v>2252</v>
      </c>
      <c r="AK200" s="3">
        <f>AJ200</f>
        <v>2252</v>
      </c>
      <c r="AL200" s="3">
        <f>AK200</f>
        <v>2252</v>
      </c>
      <c r="AM200" s="3">
        <f>AL200</f>
        <v>2252</v>
      </c>
      <c r="AN200" s="3">
        <f>AM200</f>
        <v>2252</v>
      </c>
      <c r="AO200" s="3">
        <f>AN200</f>
        <v>2252</v>
      </c>
      <c r="AP200" s="3">
        <f>AO200</f>
        <v>2252</v>
      </c>
      <c r="AQ200" s="3">
        <f>AP200</f>
        <v>2252</v>
      </c>
      <c r="AR200" s="3">
        <f>AQ200</f>
        <v>2252</v>
      </c>
      <c r="AS200" s="3">
        <f>AR200</f>
        <v>2252</v>
      </c>
      <c r="AT200" s="3">
        <f>AS200</f>
        <v>2252</v>
      </c>
      <c r="AU200" s="3">
        <f>AT200</f>
        <v>2252</v>
      </c>
      <c r="AV200" s="3">
        <f>AU200</f>
        <v>2252</v>
      </c>
      <c r="AW200" s="3">
        <f>AV200</f>
        <v>2252</v>
      </c>
      <c r="AX200" s="3">
        <f>AW200</f>
        <v>2252</v>
      </c>
      <c r="AY200" s="3">
        <f>AX200</f>
        <v>2252</v>
      </c>
      <c r="AZ200" s="3">
        <f>AY200</f>
        <v>2252</v>
      </c>
      <c r="BA200" s="3">
        <f>AZ200</f>
        <v>2252</v>
      </c>
      <c r="BB200" s="3">
        <f>BA200</f>
        <v>2252</v>
      </c>
      <c r="BC200" s="3">
        <f>BB200</f>
        <v>2252</v>
      </c>
      <c r="BD200" s="3">
        <f>BC200</f>
        <v>2252</v>
      </c>
      <c r="BE200" s="3">
        <f>BD200</f>
        <v>2252</v>
      </c>
      <c r="BF200" s="3">
        <f>BE200</f>
        <v>2252</v>
      </c>
      <c r="BG200" s="3">
        <f>BF200</f>
        <v>2252</v>
      </c>
      <c r="BH200" s="3">
        <f>BG200</f>
        <v>2252</v>
      </c>
      <c r="BI200" s="3">
        <f>BH200</f>
        <v>2252</v>
      </c>
      <c r="BJ200" s="3">
        <f>BI200</f>
        <v>2252</v>
      </c>
      <c r="BK200" s="3">
        <f>BJ200</f>
        <v>2252</v>
      </c>
      <c r="BL200" s="3">
        <f>BK200</f>
        <v>2252</v>
      </c>
      <c r="BM200" s="3">
        <f>BL200</f>
        <v>2252</v>
      </c>
      <c r="BN200" s="3">
        <f>BM200</f>
        <v>2252</v>
      </c>
      <c r="BO200" s="3">
        <f>BN200</f>
        <v>2252</v>
      </c>
      <c r="BP200" s="3">
        <f>BO200</f>
        <v>2252</v>
      </c>
      <c r="BQ200" s="3">
        <f>BP200</f>
        <v>2252</v>
      </c>
      <c r="BR200" s="3">
        <f>BQ200</f>
        <v>2252</v>
      </c>
      <c r="BS200" s="3">
        <f>BR200</f>
        <v>2252</v>
      </c>
      <c r="BT200" s="3">
        <f>BS200</f>
        <v>2252</v>
      </c>
      <c r="BU200" s="3">
        <f>BT200</f>
        <v>2252</v>
      </c>
      <c r="BV200" s="3">
        <f>BU200</f>
        <v>2252</v>
      </c>
      <c r="BW200" s="3">
        <f>BV200</f>
        <v>2252</v>
      </c>
      <c r="BX200" s="3">
        <f>BW200</f>
        <v>2252</v>
      </c>
      <c r="BY200" s="3">
        <f>BX200</f>
        <v>2252</v>
      </c>
      <c r="BZ200" s="3">
        <f>BY200</f>
        <v>2252</v>
      </c>
      <c r="CA200" s="3">
        <f>BZ200</f>
        <v>2252</v>
      </c>
      <c r="CB200" s="3">
        <f>CA200</f>
        <v>2252</v>
      </c>
      <c r="CC200" s="3">
        <f>CB200</f>
        <v>2252</v>
      </c>
      <c r="CD200" s="3">
        <f>CC200</f>
        <v>2252</v>
      </c>
      <c r="CE200" s="3">
        <f>CD200</f>
        <v>2252</v>
      </c>
      <c r="CF200" s="3">
        <f>CE200</f>
        <v>2252</v>
      </c>
      <c r="CG200" s="3">
        <f>CF200</f>
        <v>2252</v>
      </c>
      <c r="CH200" s="3">
        <f>CG200</f>
        <v>2252</v>
      </c>
      <c r="CI200" s="3">
        <f>CH200</f>
        <v>2252</v>
      </c>
      <c r="CJ200" s="3">
        <f>CI200</f>
        <v>2252</v>
      </c>
      <c r="CK200" s="3">
        <f>CJ200</f>
        <v>2252</v>
      </c>
      <c r="CL200" s="3">
        <f>CK200</f>
        <v>2252</v>
      </c>
      <c r="CM200" s="3">
        <f>CL200</f>
        <v>2252</v>
      </c>
      <c r="CN200" s="3">
        <f>CM200</f>
        <v>2252</v>
      </c>
      <c r="CO200" s="3">
        <f>CN200</f>
        <v>2252</v>
      </c>
      <c r="CP200" s="3">
        <f>CO200</f>
        <v>2252</v>
      </c>
      <c r="CQ200" s="3">
        <f>CP200</f>
        <v>2252</v>
      </c>
      <c r="CR200" s="3">
        <f>CQ200</f>
        <v>2252</v>
      </c>
      <c r="CS200" s="3">
        <f>CR200</f>
        <v>2252</v>
      </c>
      <c r="CT200" s="3">
        <f>CS200</f>
        <v>2252</v>
      </c>
      <c r="CU200" s="3">
        <f>CT200</f>
        <v>2252</v>
      </c>
      <c r="CV200" s="3">
        <f>CU200</f>
        <v>2252</v>
      </c>
      <c r="CW200" s="3">
        <f>CV200</f>
        <v>2252</v>
      </c>
      <c r="CX200" s="3">
        <f>CW200</f>
        <v>2252</v>
      </c>
      <c r="CY200" s="3">
        <f>CX200</f>
        <v>2252</v>
      </c>
    </row>
    <row r="201">
      <c r="C201" s="26" t="inlineStr">
        <is>
          <t>Short term debt (Revolving credit facility)</t>
        </is>
      </c>
      <c r="D201" s="25">
        <f>INDEX('Inputs (2)'!$D$33:$AL$33,MATCH(D$7,'Inputs (2)'!$D$2:$AL$2,0))</f>
        <v>0</v>
      </c>
      <c r="E201" s="25">
        <f>INDEX('Inputs (2)'!$D$33:$AL$33,MATCH(E$7,'Inputs (2)'!$D$2:$AL$2,0))</f>
        <v>0</v>
      </c>
      <c r="F201" s="25">
        <f>INDEX('Inputs (2)'!$D$33:$AL$33,MATCH(F$7,'Inputs (2)'!$D$2:$AL$2,0))</f>
        <v>0</v>
      </c>
      <c r="G201" s="25">
        <f>INDEX('Inputs (2)'!$D$33:$AL$33,MATCH(G$7,'Inputs (2)'!$D$2:$AL$2,0))</f>
        <v>0</v>
      </c>
      <c r="H201" s="3">
        <f>G201</f>
        <v>0</v>
      </c>
      <c r="I201" s="25">
        <f>INDEX('Inputs (2)'!$D$33:$AL$33,MATCH(I$7,'Inputs (2)'!$D$2:$AL$2,0))</f>
        <v>0</v>
      </c>
      <c r="J201" s="25">
        <f>INDEX('Inputs (2)'!$D$33:$AL$33,MATCH(J$7,'Inputs (2)'!$D$2:$AL$2,0))</f>
        <v>0</v>
      </c>
      <c r="K201" s="25">
        <f>INDEX('Inputs (2)'!$D$33:$AL$33,MATCH(K$7,'Inputs (2)'!$D$2:$AL$2,0))</f>
        <v>0</v>
      </c>
      <c r="L201" s="25">
        <f>INDEX('Inputs (2)'!$D$33:$AL$33,MATCH(L$7,'Inputs (2)'!$D$2:$AL$2,0))</f>
        <v>0</v>
      </c>
      <c r="M201" s="3">
        <f>L201</f>
        <v>0</v>
      </c>
      <c r="N201" s="25">
        <f>INDEX('Inputs (2)'!$D$33:$AL$33,MATCH(N$7,'Inputs (2)'!$D$2:$AL$2,0))</f>
        <v>0</v>
      </c>
      <c r="O201" s="25">
        <f>INDEX('Inputs (2)'!$D$33:$AL$33,MATCH(O$7,'Inputs (2)'!$D$2:$AL$2,0))</f>
        <v>0</v>
      </c>
      <c r="P201" s="25">
        <f>INDEX('Inputs (2)'!$D$33:$AL$33,MATCH(P$7,'Inputs (2)'!$D$2:$AL$2,0))</f>
        <v>0</v>
      </c>
      <c r="Q201" s="25">
        <f>INDEX('Inputs (2)'!$D$33:$AL$33,MATCH(Q$7,'Inputs (2)'!$D$2:$AL$2,0))</f>
        <v>0</v>
      </c>
      <c r="R201" s="3">
        <f>Q201</f>
        <v>0</v>
      </c>
      <c r="S201" s="25">
        <f>INDEX('Inputs (2)'!$D$33:$AL$33,MATCH(S$7,'Inputs (2)'!$D$2:$AL$2,0))</f>
        <v>0</v>
      </c>
      <c r="T201" s="25">
        <f>INDEX('Inputs (2)'!$D$33:$AL$33,MATCH(T$7,'Inputs (2)'!$D$2:$AL$2,0))</f>
        <v>0</v>
      </c>
      <c r="U201" s="25">
        <f>INDEX('Inputs (2)'!$D$33:$AL$33,MATCH(U$7,'Inputs (2)'!$D$2:$AL$2,0))</f>
        <v>0</v>
      </c>
      <c r="V201" s="25">
        <f>INDEX('Inputs (2)'!$D$33:$AL$33,MATCH(V$7,'Inputs (2)'!$D$2:$AL$2,0))</f>
        <v>0</v>
      </c>
      <c r="W201" s="3">
        <f>V201</f>
        <v>0</v>
      </c>
      <c r="X201" s="25">
        <f>INDEX('Inputs (2)'!$D$33:$AL$33,MATCH(X$7,'Inputs (2)'!$D$2:$AL$2,0))</f>
        <v>0</v>
      </c>
      <c r="Y201" s="25">
        <f>INDEX('Inputs (2)'!$D$33:$AL$33,MATCH(Y$7,'Inputs (2)'!$D$2:$AL$2,0))</f>
        <v>0</v>
      </c>
      <c r="Z201" s="25">
        <f>INDEX('Inputs (2)'!$D$33:$AL$33,MATCH(Z$7,'Inputs (2)'!$D$2:$AL$2,0))</f>
        <v>0</v>
      </c>
      <c r="AA201" s="25">
        <f>INDEX('Inputs (2)'!$D$33:$AL$33,MATCH(AA$7,'Inputs (2)'!$D$2:$AL$2,0))</f>
        <v>0</v>
      </c>
      <c r="AB201" s="3">
        <f>AA201</f>
        <v>0</v>
      </c>
      <c r="AC201" s="25">
        <f>INDEX('Inputs (2)'!$D$33:$AL$33,MATCH(AC$7,'Inputs (2)'!$D$2:$AL$2,0))</f>
        <v>0</v>
      </c>
      <c r="AD201" s="25">
        <f>INDEX('Inputs (2)'!$D$33:$AL$33,MATCH(AD$7,'Inputs (2)'!$D$2:$AL$2,0))</f>
        <v>0</v>
      </c>
      <c r="AE201" s="25">
        <f>INDEX('Inputs (2)'!$D$33:$AL$33,MATCH(AE$7,'Inputs (2)'!$D$2:$AL$2,0))</f>
        <v>0</v>
      </c>
      <c r="AF201" s="25">
        <f>INDEX('Inputs (2)'!$D$33:$AL$33,MATCH(AF$7,'Inputs (2)'!$D$2:$AL$2,0))</f>
        <v>0</v>
      </c>
      <c r="AG201" s="3">
        <f>AF201</f>
        <v>0</v>
      </c>
      <c r="AH201" s="3">
        <f>INDEX('Inputs (2)'!$D$33:$AL$33,MATCH(AH$7,'Inputs (2)'!$D$2:$AL$2,0))</f>
        <v>0</v>
      </c>
      <c r="AI201" s="3">
        <f>INDEX('Inputs (2)'!$D$33:$AL$33,MATCH(AI$7,'Inputs (2)'!$D$2:$AL$2,0))</f>
        <v>0</v>
      </c>
      <c r="AJ201" s="3">
        <f>AI201</f>
        <v>0</v>
      </c>
      <c r="AK201" s="3">
        <f>AJ201</f>
        <v>0</v>
      </c>
      <c r="AL201" s="3">
        <f>AK201</f>
        <v>0</v>
      </c>
      <c r="AM201" s="3">
        <f>AL201</f>
        <v>0</v>
      </c>
      <c r="AN201" s="3">
        <f>AM201</f>
        <v>0</v>
      </c>
      <c r="AO201" s="3">
        <f>AN201</f>
        <v>0</v>
      </c>
      <c r="AP201" s="3">
        <f>AO201</f>
        <v>0</v>
      </c>
      <c r="AQ201" s="3">
        <f>AP201</f>
        <v>0</v>
      </c>
      <c r="AR201" s="3">
        <f>AQ201</f>
        <v>0</v>
      </c>
      <c r="AS201" s="3">
        <f>AR201</f>
        <v>0</v>
      </c>
      <c r="AT201" s="3">
        <f>AS201</f>
        <v>0</v>
      </c>
      <c r="AU201" s="3">
        <f>AT201</f>
        <v>0</v>
      </c>
      <c r="AV201" s="3">
        <f>AU201</f>
        <v>0</v>
      </c>
      <c r="AW201" s="3">
        <f>AV201</f>
        <v>0</v>
      </c>
      <c r="AX201" s="3">
        <f>AW201</f>
        <v>0</v>
      </c>
      <c r="AY201" s="3">
        <f>AX201</f>
        <v>0</v>
      </c>
      <c r="AZ201" s="3">
        <f>AY201</f>
        <v>0</v>
      </c>
      <c r="BA201" s="3">
        <f>AZ201</f>
        <v>0</v>
      </c>
      <c r="BB201" s="3">
        <f>BA201</f>
        <v>0</v>
      </c>
      <c r="BC201" s="3">
        <f>BB201</f>
        <v>0</v>
      </c>
      <c r="BD201" s="3">
        <f>BC201</f>
        <v>0</v>
      </c>
      <c r="BE201" s="3">
        <f>BD201</f>
        <v>0</v>
      </c>
      <c r="BF201" s="3">
        <f>BE201</f>
        <v>0</v>
      </c>
      <c r="BG201" s="3">
        <f>BF201</f>
        <v>0</v>
      </c>
      <c r="BH201" s="3">
        <f>BG201</f>
        <v>0</v>
      </c>
      <c r="BI201" s="3">
        <f>BH201</f>
        <v>0</v>
      </c>
      <c r="BJ201" s="3">
        <f>BI201</f>
        <v>0</v>
      </c>
      <c r="BK201" s="3">
        <f>BJ201</f>
        <v>0</v>
      </c>
      <c r="BL201" s="3">
        <f>BK201</f>
        <v>0</v>
      </c>
      <c r="BM201" s="3">
        <f>BL201</f>
        <v>0</v>
      </c>
      <c r="BN201" s="3">
        <f>BM201</f>
        <v>0</v>
      </c>
      <c r="BO201" s="3">
        <f>BN201</f>
        <v>0</v>
      </c>
      <c r="BP201" s="3">
        <f>BO201</f>
        <v>0</v>
      </c>
      <c r="BQ201" s="3">
        <f>BP201</f>
        <v>0</v>
      </c>
      <c r="BR201" s="3">
        <f>BQ201</f>
        <v>0</v>
      </c>
      <c r="BS201" s="3">
        <f>BR201</f>
        <v>0</v>
      </c>
      <c r="BT201" s="3">
        <f>BS201</f>
        <v>0</v>
      </c>
      <c r="BU201" s="3">
        <f>BT201</f>
        <v>0</v>
      </c>
      <c r="BV201" s="3">
        <f>BU201</f>
        <v>0</v>
      </c>
      <c r="BW201" s="3">
        <f>BV201</f>
        <v>0</v>
      </c>
      <c r="BX201" s="3">
        <f>BW201</f>
        <v>0</v>
      </c>
      <c r="BY201" s="3">
        <f>BX201</f>
        <v>0</v>
      </c>
      <c r="BZ201" s="3">
        <f>BY201</f>
        <v>0</v>
      </c>
      <c r="CA201" s="3">
        <f>BZ201</f>
        <v>0</v>
      </c>
      <c r="CB201" s="3">
        <f>CA201</f>
        <v>0</v>
      </c>
      <c r="CC201" s="3">
        <f>CB201</f>
        <v>0</v>
      </c>
      <c r="CD201" s="3">
        <f>CC201</f>
        <v>0</v>
      </c>
      <c r="CE201" s="3">
        <f>CD201</f>
        <v>0</v>
      </c>
      <c r="CF201" s="3">
        <f>CE201</f>
        <v>0</v>
      </c>
      <c r="CG201" s="3">
        <f>CF201</f>
        <v>0</v>
      </c>
      <c r="CH201" s="3">
        <f>CG201</f>
        <v>0</v>
      </c>
      <c r="CI201" s="3">
        <f>CH201</f>
        <v>0</v>
      </c>
      <c r="CJ201" s="3">
        <f>CI201</f>
        <v>0</v>
      </c>
      <c r="CK201" s="3">
        <f>CJ201</f>
        <v>0</v>
      </c>
      <c r="CL201" s="3">
        <f>CK201</f>
        <v>0</v>
      </c>
      <c r="CM201" s="3">
        <f>CL201</f>
        <v>0</v>
      </c>
      <c r="CN201" s="3">
        <f>CM201</f>
        <v>0</v>
      </c>
      <c r="CO201" s="3">
        <f>CN201</f>
        <v>0</v>
      </c>
      <c r="CP201" s="3">
        <f>CO201</f>
        <v>0</v>
      </c>
      <c r="CQ201" s="3">
        <f>CP201</f>
        <v>0</v>
      </c>
      <c r="CR201" s="3">
        <f>CQ201</f>
        <v>0</v>
      </c>
      <c r="CS201" s="3">
        <f>CR201</f>
        <v>0</v>
      </c>
      <c r="CT201" s="3">
        <f>CS201</f>
        <v>0</v>
      </c>
      <c r="CU201" s="3">
        <f>CT201</f>
        <v>0</v>
      </c>
      <c r="CV201" s="3">
        <f>CU201</f>
        <v>0</v>
      </c>
      <c r="CW201" s="3">
        <f>CV201</f>
        <v>0</v>
      </c>
      <c r="CX201" s="3">
        <f>CW201</f>
        <v>0</v>
      </c>
      <c r="CY201" s="3">
        <f>CX201</f>
        <v>0</v>
      </c>
    </row>
    <row r="202">
      <c r="C202" s="26" t="inlineStr">
        <is>
          <t>Short term operating leases</t>
        </is>
      </c>
      <c r="D202" s="25">
        <f>INDEX('Inputs (2)'!$D$34:$AL$34,MATCH(D$7,'Inputs (2)'!$D$2:$AL$2,0))</f>
        <v>0</v>
      </c>
      <c r="E202" s="25">
        <f>INDEX('Inputs (2)'!$D$34:$AL$34,MATCH(E$7,'Inputs (2)'!$D$2:$AL$2,0))</f>
        <v>0</v>
      </c>
      <c r="F202" s="25">
        <f>INDEX('Inputs (2)'!$D$34:$AL$34,MATCH(F$7,'Inputs (2)'!$D$2:$AL$2,0))</f>
        <v>0</v>
      </c>
      <c r="G202" s="25">
        <f>INDEX('Inputs (2)'!$D$34:$AL$34,MATCH(G$7,'Inputs (2)'!$D$2:$AL$2,0))</f>
        <v>0</v>
      </c>
      <c r="H202" s="3">
        <f>G202</f>
        <v>0</v>
      </c>
      <c r="I202" s="25">
        <f>INDEX('Inputs (2)'!$D$34:$AL$34,MATCH(I$7,'Inputs (2)'!$D$2:$AL$2,0))</f>
        <v>0</v>
      </c>
      <c r="J202" s="25">
        <f>INDEX('Inputs (2)'!$D$34:$AL$34,MATCH(J$7,'Inputs (2)'!$D$2:$AL$2,0))</f>
        <v>0</v>
      </c>
      <c r="K202" s="25">
        <f>INDEX('Inputs (2)'!$D$34:$AL$34,MATCH(K$7,'Inputs (2)'!$D$2:$AL$2,0))</f>
        <v>0</v>
      </c>
      <c r="L202" s="25">
        <f>INDEX('Inputs (2)'!$D$34:$AL$34,MATCH(L$7,'Inputs (2)'!$D$2:$AL$2,0))</f>
        <v>0</v>
      </c>
      <c r="M202" s="3">
        <f>L202</f>
        <v>0</v>
      </c>
      <c r="N202" s="25">
        <f>INDEX('Inputs (2)'!$D$34:$AL$34,MATCH(N$7,'Inputs (2)'!$D$2:$AL$2,0))</f>
        <v>0</v>
      </c>
      <c r="O202" s="25">
        <f>INDEX('Inputs (2)'!$D$34:$AL$34,MATCH(O$7,'Inputs (2)'!$D$2:$AL$2,0))</f>
        <v>0</v>
      </c>
      <c r="P202" s="25">
        <f>INDEX('Inputs (2)'!$D$34:$AL$34,MATCH(P$7,'Inputs (2)'!$D$2:$AL$2,0))</f>
        <v>0</v>
      </c>
      <c r="Q202" s="25">
        <f>INDEX('Inputs (2)'!$D$34:$AL$34,MATCH(Q$7,'Inputs (2)'!$D$2:$AL$2,0))</f>
        <v>0</v>
      </c>
      <c r="R202" s="3">
        <f>Q202</f>
        <v>0</v>
      </c>
      <c r="S202" s="25">
        <f>INDEX('Inputs (2)'!$D$34:$AL$34,MATCH(S$7,'Inputs (2)'!$D$2:$AL$2,0))</f>
        <v>0</v>
      </c>
      <c r="T202" s="25">
        <f>INDEX('Inputs (2)'!$D$34:$AL$34,MATCH(T$7,'Inputs (2)'!$D$2:$AL$2,0))</f>
        <v>0</v>
      </c>
      <c r="U202" s="25">
        <f>INDEX('Inputs (2)'!$D$34:$AL$34,MATCH(U$7,'Inputs (2)'!$D$2:$AL$2,0))</f>
        <v>0</v>
      </c>
      <c r="V202" s="25">
        <f>INDEX('Inputs (2)'!$D$34:$AL$34,MATCH(V$7,'Inputs (2)'!$D$2:$AL$2,0))</f>
        <v>0</v>
      </c>
      <c r="W202" s="3">
        <f>V202</f>
        <v>0</v>
      </c>
      <c r="X202" s="25">
        <f>INDEX('Inputs (2)'!$D$34:$AL$34,MATCH(X$7,'Inputs (2)'!$D$2:$AL$2,0))</f>
        <v>0</v>
      </c>
      <c r="Y202" s="25">
        <f>INDEX('Inputs (2)'!$D$34:$AL$34,MATCH(Y$7,'Inputs (2)'!$D$2:$AL$2,0))</f>
        <v>0</v>
      </c>
      <c r="Z202" s="25">
        <f>INDEX('Inputs (2)'!$D$34:$AL$34,MATCH(Z$7,'Inputs (2)'!$D$2:$AL$2,0))</f>
        <v>0</v>
      </c>
      <c r="AA202" s="25">
        <f>INDEX('Inputs (2)'!$D$34:$AL$34,MATCH(AA$7,'Inputs (2)'!$D$2:$AL$2,0))</f>
        <v>0</v>
      </c>
      <c r="AB202" s="3">
        <f>AA202</f>
        <v>0</v>
      </c>
      <c r="AC202" s="25">
        <f>INDEX('Inputs (2)'!$D$34:$AL$34,MATCH(AC$7,'Inputs (2)'!$D$2:$AL$2,0))</f>
        <v>0</v>
      </c>
      <c r="AD202" s="25">
        <f>INDEX('Inputs (2)'!$D$34:$AL$34,MATCH(AD$7,'Inputs (2)'!$D$2:$AL$2,0))</f>
        <v>0</v>
      </c>
      <c r="AE202" s="25">
        <f>INDEX('Inputs (2)'!$D$34:$AL$34,MATCH(AE$7,'Inputs (2)'!$D$2:$AL$2,0))</f>
        <v>0</v>
      </c>
      <c r="AF202" s="25">
        <f>INDEX('Inputs (2)'!$D$34:$AL$34,MATCH(AF$7,'Inputs (2)'!$D$2:$AL$2,0))</f>
        <v>0</v>
      </c>
      <c r="AG202" s="3">
        <f>AF202</f>
        <v>0</v>
      </c>
      <c r="AH202" s="3">
        <f>INDEX('Inputs (2)'!$D$34:$AL$34,MATCH(AH$7,'Inputs (2)'!$D$2:$AL$2,0))</f>
        <v>0</v>
      </c>
      <c r="AI202" s="3">
        <f>INDEX('Inputs (2)'!$D$34:$AL$34,MATCH(AI$7,'Inputs (2)'!$D$2:$AL$2,0))</f>
        <v>0</v>
      </c>
      <c r="AJ202" s="3">
        <f>AI202</f>
        <v>0</v>
      </c>
      <c r="AK202" s="3">
        <f>AJ202</f>
        <v>0</v>
      </c>
      <c r="AL202" s="3">
        <f>AK202</f>
        <v>0</v>
      </c>
      <c r="AM202" s="3">
        <f>AL202</f>
        <v>0</v>
      </c>
      <c r="AN202" s="3">
        <f>AM202</f>
        <v>0</v>
      </c>
      <c r="AO202" s="3">
        <f>AN202</f>
        <v>0</v>
      </c>
      <c r="AP202" s="3">
        <f>AO202</f>
        <v>0</v>
      </c>
      <c r="AQ202" s="3">
        <f>AP202</f>
        <v>0</v>
      </c>
      <c r="AR202" s="3">
        <f>AQ202</f>
        <v>0</v>
      </c>
      <c r="AS202" s="3">
        <f>AR202</f>
        <v>0</v>
      </c>
      <c r="AT202" s="3">
        <f>AS202</f>
        <v>0</v>
      </c>
      <c r="AU202" s="3">
        <f>AT202</f>
        <v>0</v>
      </c>
      <c r="AV202" s="3">
        <f>AU202</f>
        <v>0</v>
      </c>
      <c r="AW202" s="3">
        <f>AV202</f>
        <v>0</v>
      </c>
      <c r="AX202" s="3">
        <f>AW202</f>
        <v>0</v>
      </c>
      <c r="AY202" s="3">
        <f>AX202</f>
        <v>0</v>
      </c>
      <c r="AZ202" s="3">
        <f>AY202</f>
        <v>0</v>
      </c>
      <c r="BA202" s="3">
        <f>AZ202</f>
        <v>0</v>
      </c>
      <c r="BB202" s="3">
        <f>BA202</f>
        <v>0</v>
      </c>
      <c r="BC202" s="3">
        <f>BB202</f>
        <v>0</v>
      </c>
      <c r="BD202" s="3">
        <f>BC202</f>
        <v>0</v>
      </c>
      <c r="BE202" s="3">
        <f>BD202</f>
        <v>0</v>
      </c>
      <c r="BF202" s="3">
        <f>BE202</f>
        <v>0</v>
      </c>
      <c r="BG202" s="3">
        <f>BF202</f>
        <v>0</v>
      </c>
      <c r="BH202" s="3">
        <f>BG202</f>
        <v>0</v>
      </c>
      <c r="BI202" s="3">
        <f>BH202</f>
        <v>0</v>
      </c>
      <c r="BJ202" s="3">
        <f>BI202</f>
        <v>0</v>
      </c>
      <c r="BK202" s="3">
        <f>BJ202</f>
        <v>0</v>
      </c>
      <c r="BL202" s="3">
        <f>BK202</f>
        <v>0</v>
      </c>
      <c r="BM202" s="3">
        <f>BL202</f>
        <v>0</v>
      </c>
      <c r="BN202" s="3">
        <f>BM202</f>
        <v>0</v>
      </c>
      <c r="BO202" s="3">
        <f>BN202</f>
        <v>0</v>
      </c>
      <c r="BP202" s="3">
        <f>BO202</f>
        <v>0</v>
      </c>
      <c r="BQ202" s="3">
        <f>BP202</f>
        <v>0</v>
      </c>
      <c r="BR202" s="3">
        <f>BQ202</f>
        <v>0</v>
      </c>
      <c r="BS202" s="3">
        <f>BR202</f>
        <v>0</v>
      </c>
      <c r="BT202" s="3">
        <f>BS202</f>
        <v>0</v>
      </c>
      <c r="BU202" s="3">
        <f>BT202</f>
        <v>0</v>
      </c>
      <c r="BV202" s="3">
        <f>BU202</f>
        <v>0</v>
      </c>
      <c r="BW202" s="3">
        <f>BV202</f>
        <v>0</v>
      </c>
      <c r="BX202" s="3">
        <f>BW202</f>
        <v>0</v>
      </c>
      <c r="BY202" s="3">
        <f>BX202</f>
        <v>0</v>
      </c>
      <c r="BZ202" s="3">
        <f>BY202</f>
        <v>0</v>
      </c>
      <c r="CA202" s="3">
        <f>BZ202</f>
        <v>0</v>
      </c>
      <c r="CB202" s="3">
        <f>CA202</f>
        <v>0</v>
      </c>
      <c r="CC202" s="3">
        <f>CB202</f>
        <v>0</v>
      </c>
      <c r="CD202" s="3">
        <f>CC202</f>
        <v>0</v>
      </c>
      <c r="CE202" s="3">
        <f>CD202</f>
        <v>0</v>
      </c>
      <c r="CF202" s="3">
        <f>CE202</f>
        <v>0</v>
      </c>
      <c r="CG202" s="3">
        <f>CF202</f>
        <v>0</v>
      </c>
      <c r="CH202" s="3">
        <f>CG202</f>
        <v>0</v>
      </c>
      <c r="CI202" s="3">
        <f>CH202</f>
        <v>0</v>
      </c>
      <c r="CJ202" s="3">
        <f>CI202</f>
        <v>0</v>
      </c>
      <c r="CK202" s="3">
        <f>CJ202</f>
        <v>0</v>
      </c>
      <c r="CL202" s="3">
        <f>CK202</f>
        <v>0</v>
      </c>
      <c r="CM202" s="3">
        <f>CL202</f>
        <v>0</v>
      </c>
      <c r="CN202" s="3">
        <f>CM202</f>
        <v>0</v>
      </c>
      <c r="CO202" s="3">
        <f>CN202</f>
        <v>0</v>
      </c>
      <c r="CP202" s="3">
        <f>CO202</f>
        <v>0</v>
      </c>
      <c r="CQ202" s="3">
        <f>CP202</f>
        <v>0</v>
      </c>
      <c r="CR202" s="3">
        <f>CQ202</f>
        <v>0</v>
      </c>
      <c r="CS202" s="3">
        <f>CR202</f>
        <v>0</v>
      </c>
      <c r="CT202" s="3">
        <f>CS202</f>
        <v>0</v>
      </c>
      <c r="CU202" s="3">
        <f>CT202</f>
        <v>0</v>
      </c>
      <c r="CV202" s="3">
        <f>CU202</f>
        <v>0</v>
      </c>
      <c r="CW202" s="3">
        <f>CV202</f>
        <v>0</v>
      </c>
      <c r="CX202" s="3">
        <f>CW202</f>
        <v>0</v>
      </c>
      <c r="CY202" s="3">
        <f>CX202</f>
        <v>0</v>
      </c>
    </row>
    <row r="203" hidden="1" outlineLevel="1">
      <c r="C203" s="38" t="inlineStr">
        <is>
          <t>%(Var.)</t>
        </is>
      </c>
      <c r="D203" s="3" t="n"/>
      <c r="E203" s="47">
        <f>IFERROR((E202-D202)/D202,0)</f>
        <v>0</v>
      </c>
      <c r="F203" s="47">
        <f>IFERROR((F202-E202)/E202,0)</f>
        <v>0</v>
      </c>
      <c r="G203" s="47">
        <f>IFERROR((G202-F202)/F202,0)</f>
        <v>0</v>
      </c>
      <c r="H203" s="3" t="n"/>
      <c r="I203" s="47">
        <f>IFERROR((I202-H202)/H202,0)</f>
        <v>0</v>
      </c>
      <c r="J203" s="47">
        <f>IFERROR((J202-I202)/I202,0)</f>
        <v>0</v>
      </c>
      <c r="K203" s="47">
        <f>IFERROR((K202-J202)/J202,0)</f>
        <v>0</v>
      </c>
      <c r="L203" s="47">
        <f>IFERROR((L202-K202)/K202,0)</f>
        <v>0</v>
      </c>
      <c r="M203" s="3" t="n"/>
      <c r="N203" s="47">
        <f>IFERROR((N202-M202)/M202,0)</f>
        <v>0</v>
      </c>
      <c r="O203" s="47">
        <f>IFERROR((O202-N202)/N202,0)</f>
        <v>0</v>
      </c>
      <c r="P203" s="47">
        <f>IFERROR((P202-O202)/O202,0)</f>
        <v>0</v>
      </c>
      <c r="Q203" s="47">
        <f>IFERROR((Q202-P202)/P202,0)</f>
        <v>0</v>
      </c>
      <c r="R203" s="3" t="n"/>
      <c r="S203" s="47">
        <f>IFERROR((S202-R202)/R202,0)</f>
        <v>0</v>
      </c>
      <c r="T203" s="47">
        <f>IFERROR((T202-S202)/S202,0)</f>
        <v>0</v>
      </c>
      <c r="U203" s="47">
        <f>IFERROR((U202-T202)/T202,0)</f>
        <v>0</v>
      </c>
      <c r="V203" s="47">
        <f>IFERROR((V202-U202)/U202,0)</f>
        <v>0</v>
      </c>
      <c r="W203" s="3" t="n"/>
      <c r="X203" s="47">
        <f>IFERROR((X202-W202)/W202,0)</f>
        <v>0</v>
      </c>
      <c r="Y203" s="47">
        <f>IFERROR((Y202-X202)/X202,0)</f>
        <v>0</v>
      </c>
      <c r="Z203" s="47">
        <f>IFERROR((Z202-Y202)/Y202,0)</f>
        <v>0</v>
      </c>
      <c r="AA203" s="47">
        <f>IFERROR((AA202-Z202)/Z202,0)</f>
        <v>0</v>
      </c>
      <c r="AB203" s="3" t="n"/>
      <c r="AC203" s="47">
        <f>IFERROR((AC202-AB202)/AB202,0)</f>
        <v>0</v>
      </c>
      <c r="AD203" s="47">
        <f>IFERROR((AD202-AC202)/AC202,0)</f>
        <v>0</v>
      </c>
      <c r="AE203" s="47">
        <f>IFERROR((AE202-AD202)/AD202,0)</f>
        <v>0</v>
      </c>
      <c r="AF203" s="6">
        <f>IFERROR((AF202-AE202)/AE202,0)</f>
        <v>0</v>
      </c>
      <c r="AG203" s="3" t="n"/>
      <c r="AH203" s="6">
        <f>IFERROR((AH202-AG202)/AG202,0)</f>
        <v>0</v>
      </c>
      <c r="AI203" s="6">
        <f>IFERROR((AI202-AH202)/AH202,0)</f>
        <v>0</v>
      </c>
      <c r="AJ203" s="6" t="n"/>
      <c r="AK203" s="6" t="n"/>
      <c r="AL203" s="3" t="n"/>
      <c r="AM203" s="6" t="n"/>
      <c r="AN203" s="6" t="n"/>
      <c r="AO203" s="6" t="n"/>
      <c r="AP203" s="6" t="n"/>
      <c r="AQ203" s="3" t="n"/>
      <c r="AR203" s="6" t="n"/>
      <c r="AS203" s="6" t="n"/>
      <c r="AT203" s="6" t="n"/>
      <c r="AU203" s="6" t="n"/>
      <c r="AV203" s="3" t="n"/>
      <c r="AW203" s="6" t="n"/>
      <c r="AX203" s="6" t="n"/>
      <c r="AY203" s="6" t="n"/>
      <c r="AZ203" s="6" t="n"/>
      <c r="BA203" s="3" t="n"/>
      <c r="BB203" s="6" t="n"/>
      <c r="BC203" s="6" t="n"/>
      <c r="BD203" s="6" t="n"/>
      <c r="BE203" s="6" t="n"/>
      <c r="BF203" s="3" t="n"/>
      <c r="BG203" s="6" t="n"/>
      <c r="BH203" s="6" t="n"/>
      <c r="BI203" s="6" t="n"/>
      <c r="BJ203" s="6" t="n"/>
      <c r="BK203" s="3" t="n"/>
      <c r="BL203" s="6" t="n"/>
      <c r="BM203" s="6" t="n"/>
      <c r="BN203" s="6" t="n"/>
      <c r="BO203" s="6" t="n"/>
      <c r="BP203" s="3" t="n"/>
      <c r="BQ203" s="6" t="n"/>
      <c r="BR203" s="6" t="n"/>
      <c r="BS203" s="6" t="n"/>
      <c r="BT203" s="6" t="n"/>
      <c r="BU203" s="3" t="n"/>
      <c r="BV203" s="6" t="n"/>
      <c r="BW203" s="6" t="n"/>
      <c r="BX203" s="6" t="n"/>
      <c r="BY203" s="6" t="n"/>
      <c r="BZ203" s="3" t="n"/>
      <c r="CA203" s="6" t="n"/>
      <c r="CB203" s="6" t="n"/>
      <c r="CC203" s="6" t="n"/>
      <c r="CD203" s="6" t="n"/>
      <c r="CE203" s="3" t="n"/>
      <c r="CF203" s="6" t="n"/>
      <c r="CG203" s="6" t="n"/>
      <c r="CH203" s="6" t="n"/>
      <c r="CI203" s="6" t="n"/>
      <c r="CJ203" s="3" t="n"/>
      <c r="CK203" s="6" t="n"/>
      <c r="CL203" s="6" t="n"/>
      <c r="CM203" s="6" t="n"/>
      <c r="CN203" s="6" t="n"/>
      <c r="CO203" s="3" t="n"/>
      <c r="CP203" s="6" t="n"/>
      <c r="CQ203" s="6" t="n"/>
      <c r="CR203" s="6" t="n"/>
      <c r="CS203" s="6" t="n"/>
      <c r="CT203" s="3" t="n"/>
      <c r="CU203" s="6" t="n"/>
      <c r="CV203" s="6" t="n"/>
      <c r="CW203" s="6" t="n"/>
      <c r="CX203" s="6" t="n"/>
      <c r="CY203" s="3" t="n"/>
    </row>
    <row r="204" hidden="1" outlineLevel="1">
      <c r="C204" s="34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  <c r="AA204" s="3" t="n"/>
      <c r="AB204" s="3" t="n"/>
      <c r="AC204" s="3" t="n"/>
      <c r="AD204" s="3" t="n"/>
      <c r="AE204" s="3" t="n"/>
      <c r="AF204" s="3" t="n"/>
      <c r="AG204" s="3" t="n"/>
      <c r="AH204" s="3" t="n"/>
      <c r="AI204" s="3" t="n"/>
      <c r="AJ204" s="3" t="n"/>
      <c r="AK204" s="3" t="n"/>
      <c r="AL204" s="3" t="n"/>
      <c r="AM204" s="3" t="n"/>
      <c r="AN204" s="3" t="n"/>
      <c r="AO204" s="3" t="n"/>
      <c r="AP204" s="3" t="n"/>
      <c r="AQ204" s="3" t="n"/>
      <c r="AR204" s="3" t="n"/>
      <c r="AS204" s="3" t="n"/>
      <c r="AT204" s="3" t="n"/>
      <c r="AU204" s="3" t="n"/>
      <c r="AV204" s="3" t="n"/>
      <c r="AW204" s="3" t="n"/>
      <c r="AX204" s="3" t="n"/>
      <c r="AY204" s="3" t="n"/>
      <c r="AZ204" s="3" t="n"/>
      <c r="BA204" s="3" t="n"/>
      <c r="BB204" s="3" t="n"/>
      <c r="BC204" s="3" t="n"/>
      <c r="BD204" s="3" t="n"/>
      <c r="BE204" s="3" t="n"/>
      <c r="BF204" s="3" t="n"/>
      <c r="BG204" s="3" t="n"/>
      <c r="BH204" s="3" t="n"/>
      <c r="BI204" s="3" t="n"/>
      <c r="BJ204" s="3" t="n"/>
      <c r="BK204" s="3" t="n"/>
      <c r="BL204" s="3" t="n"/>
      <c r="BM204" s="3" t="n"/>
      <c r="BN204" s="3" t="n"/>
      <c r="BO204" s="3" t="n"/>
      <c r="BP204" s="3" t="n"/>
      <c r="BQ204" s="3" t="n"/>
      <c r="BR204" s="3" t="n"/>
      <c r="BS204" s="3" t="n"/>
      <c r="BT204" s="3" t="n"/>
      <c r="BU204" s="3" t="n"/>
      <c r="BV204" s="3" t="n"/>
      <c r="BW204" s="3" t="n"/>
      <c r="BX204" s="3" t="n"/>
      <c r="BY204" s="3" t="n"/>
      <c r="BZ204" s="3" t="n"/>
      <c r="CA204" s="3" t="n"/>
      <c r="CB204" s="3" t="n"/>
      <c r="CC204" s="3" t="n"/>
      <c r="CD204" s="3" t="n"/>
      <c r="CE204" s="3" t="n"/>
      <c r="CF204" s="3" t="n"/>
      <c r="CG204" s="3" t="n"/>
      <c r="CH204" s="3" t="n"/>
      <c r="CI204" s="3" t="n"/>
      <c r="CJ204" s="3" t="n"/>
      <c r="CK204" s="3" t="n"/>
      <c r="CL204" s="3" t="n"/>
      <c r="CM204" s="3" t="n"/>
      <c r="CN204" s="3" t="n"/>
      <c r="CO204" s="3" t="n"/>
      <c r="CP204" s="3" t="n"/>
      <c r="CQ204" s="3" t="n"/>
      <c r="CR204" s="3" t="n"/>
      <c r="CS204" s="3" t="n"/>
      <c r="CT204" s="3" t="n"/>
      <c r="CU204" s="3" t="n"/>
      <c r="CV204" s="3" t="n"/>
      <c r="CW204" s="3" t="n"/>
      <c r="CX204" s="3" t="n"/>
      <c r="CY204" s="3" t="n"/>
    </row>
    <row r="205" collapsed="1">
      <c r="C205" s="26" t="inlineStr">
        <is>
          <t>Long term debt</t>
        </is>
      </c>
      <c r="D205" s="25">
        <f>INDEX('Inputs (2)'!$D$35:$AL$35,MATCH(D$7,'Inputs (2)'!$D$2:$AL$2,0))</f>
        <v>45044</v>
      </c>
      <c r="E205" s="25">
        <f>INDEX('Inputs (2)'!$D$35:$AL$35,MATCH(E$7,'Inputs (2)'!$D$2:$AL$2,0))</f>
        <v>43201</v>
      </c>
      <c r="F205" s="25">
        <f>INDEX('Inputs (2)'!$D$35:$AL$35,MATCH(F$7,'Inputs (2)'!$D$2:$AL$2,0))</f>
        <v>40235</v>
      </c>
      <c r="G205" s="25">
        <f>INDEX('Inputs (2)'!$D$35:$AL$35,MATCH(G$7,'Inputs (2)'!$D$2:$AL$2,0))</f>
        <v>41068</v>
      </c>
      <c r="H205" s="3">
        <f>G205</f>
        <v>41068</v>
      </c>
      <c r="I205" s="25">
        <f>INDEX('Inputs (2)'!$D$35:$AL$35,MATCH(I$7,'Inputs (2)'!$D$2:$AL$2,0))</f>
        <v>40160</v>
      </c>
      <c r="J205" s="25">
        <f>INDEX('Inputs (2)'!$D$35:$AL$35,MATCH(J$7,'Inputs (2)'!$D$2:$AL$2,0))</f>
        <v>40178</v>
      </c>
      <c r="K205" s="25">
        <f>INDEX('Inputs (2)'!$D$35:$AL$35,MATCH(K$7,'Inputs (2)'!$D$2:$AL$2,0))</f>
        <v>39440</v>
      </c>
      <c r="L205" s="25">
        <f>INDEX('Inputs (2)'!$D$35:$AL$35,MATCH(L$7,'Inputs (2)'!$D$2:$AL$2,0))</f>
        <v>39205</v>
      </c>
      <c r="M205" s="3">
        <f>L205</f>
        <v>39205</v>
      </c>
      <c r="N205" s="25">
        <f>INDEX('Inputs (2)'!$D$35:$AL$35,MATCH(N$7,'Inputs (2)'!$D$2:$AL$2,0))</f>
        <v>39164</v>
      </c>
      <c r="O205" s="25">
        <f>INDEX('Inputs (2)'!$D$35:$AL$35,MATCH(O$7,'Inputs (2)'!$D$2:$AL$2,0))</f>
        <v>39191</v>
      </c>
      <c r="P205" s="25">
        <f>INDEX('Inputs (2)'!$D$35:$AL$35,MATCH(P$7,'Inputs (2)'!$D$2:$AL$2,0))</f>
        <v>39075</v>
      </c>
      <c r="Q205" s="25">
        <f>INDEX('Inputs (2)'!$D$35:$AL$35,MATCH(Q$7,'Inputs (2)'!$D$2:$AL$2,0))</f>
        <v>38167</v>
      </c>
      <c r="R205" s="3">
        <f>Q205</f>
        <v>38167</v>
      </c>
      <c r="S205" s="25">
        <f>INDEX('Inputs (2)'!$D$35:$AL$35,MATCH(S$7,'Inputs (2)'!$D$2:$AL$2,0))</f>
        <v>38194</v>
      </c>
      <c r="T205" s="25">
        <f>INDEX('Inputs (2)'!$D$35:$AL$35,MATCH(T$7,'Inputs (2)'!$D$2:$AL$2,0))</f>
        <v>38222</v>
      </c>
      <c r="U205" s="25">
        <f>INDEX('Inputs (2)'!$D$35:$AL$35,MATCH(U$7,'Inputs (2)'!$D$2:$AL$2,0))</f>
        <v>37621</v>
      </c>
      <c r="V205" s="25">
        <f>INDEX('Inputs (2)'!$D$35:$AL$35,MATCH(V$7,'Inputs (2)'!$D$2:$AL$2,0))</f>
        <v>73468</v>
      </c>
      <c r="W205" s="3">
        <f>V205</f>
        <v>73468</v>
      </c>
      <c r="X205" s="25">
        <f>INDEX('Inputs (2)'!$D$35:$AL$35,MATCH(X$7,'Inputs (2)'!$D$2:$AL$2,0))</f>
        <v>71590</v>
      </c>
      <c r="Y205" s="25">
        <f>INDEX('Inputs (2)'!$D$35:$AL$35,MATCH(Y$7,'Inputs (2)'!$D$2:$AL$2,0))</f>
        <v>66798</v>
      </c>
      <c r="Z205" s="25">
        <f>INDEX('Inputs (2)'!$D$35:$AL$35,MATCH(Z$7,'Inputs (2)'!$D$2:$AL$2,0))</f>
        <v>66295</v>
      </c>
      <c r="AA205" s="25">
        <f>INDEX('Inputs (2)'!$D$35:$AL$35,MATCH(AA$7,'Inputs (2)'!$D$2:$AL$2,0))</f>
        <v>60926</v>
      </c>
      <c r="AB205" s="3">
        <f>AA205</f>
        <v>60926</v>
      </c>
      <c r="AC205" s="25">
        <f>INDEX('Inputs (2)'!$D$35:$AL$35,MATCH(AC$7,'Inputs (2)'!$D$2:$AL$2,0))</f>
        <v>61751</v>
      </c>
      <c r="AD205" s="25">
        <f>INDEX('Inputs (2)'!$D$35:$AL$35,MATCH(AD$7,'Inputs (2)'!$D$2:$AL$2,0))</f>
        <v>62830</v>
      </c>
      <c r="AE205" s="25">
        <f>INDEX('Inputs (2)'!$D$35:$AL$35,MATCH(AE$7,'Inputs (2)'!$D$2:$AL$2,0))</f>
        <v>61984</v>
      </c>
      <c r="AF205" s="25">
        <f>INDEX('Inputs (2)'!$D$35:$AL$35,MATCH(AF$7,'Inputs (2)'!$D$2:$AL$2,0))</f>
        <v>63805</v>
      </c>
      <c r="AG205" s="3">
        <f>AF205</f>
        <v>63805</v>
      </c>
      <c r="AH205" s="3">
        <f>INDEX('Inputs (2)'!$D$35:$AL$35,MATCH(AH$7,'Inputs (2)'!$D$2:$AL$2,0))</f>
        <v>62655</v>
      </c>
      <c r="AI205" s="3">
        <f>INDEX('Inputs (2)'!$D$35:$AL$35,MATCH(AI$7,'Inputs (2)'!$D$2:$AL$2,0))</f>
        <v>57167</v>
      </c>
      <c r="AJ205" s="3">
        <f>AJ211</f>
        <v>57167</v>
      </c>
      <c r="AK205" s="3">
        <f>AK211</f>
        <v>57167</v>
      </c>
      <c r="AL205" s="3">
        <f>AK205</f>
        <v>57167</v>
      </c>
      <c r="AM205" s="3">
        <f>AM211</f>
        <v>57167</v>
      </c>
      <c r="AN205" s="3">
        <f>AN211</f>
        <v>57167</v>
      </c>
      <c r="AO205" s="3">
        <f>AO211</f>
        <v>57167</v>
      </c>
      <c r="AP205" s="3">
        <f>AP211</f>
        <v>57167</v>
      </c>
      <c r="AQ205" s="3">
        <f>AP205</f>
        <v>57167</v>
      </c>
      <c r="AR205" s="3">
        <f>AR211</f>
        <v>57167</v>
      </c>
      <c r="AS205" s="3">
        <f>AS211</f>
        <v>57167</v>
      </c>
      <c r="AT205" s="3">
        <f>AT211</f>
        <v>57167</v>
      </c>
      <c r="AU205" s="3">
        <f>AU211</f>
        <v>57167</v>
      </c>
      <c r="AV205" s="3">
        <f>AU205</f>
        <v>57167</v>
      </c>
      <c r="AW205" s="3">
        <f>AW211</f>
        <v>57167</v>
      </c>
      <c r="AX205" s="3">
        <f>AX211</f>
        <v>57167</v>
      </c>
      <c r="AY205" s="3">
        <f>AY211</f>
        <v>57167</v>
      </c>
      <c r="AZ205" s="3">
        <f>AZ211</f>
        <v>57167</v>
      </c>
      <c r="BA205" s="3">
        <f>AZ205</f>
        <v>57167</v>
      </c>
      <c r="BB205" s="3">
        <f>BB211</f>
        <v>57167</v>
      </c>
      <c r="BC205" s="3">
        <f>BC211</f>
        <v>57167</v>
      </c>
      <c r="BD205" s="3">
        <f>BD211</f>
        <v>57167</v>
      </c>
      <c r="BE205" s="3">
        <f>BE211</f>
        <v>57167</v>
      </c>
      <c r="BF205" s="3">
        <f>BE205</f>
        <v>57167</v>
      </c>
      <c r="BG205" s="3">
        <f>BG211</f>
        <v>57167</v>
      </c>
      <c r="BH205" s="3">
        <f>BH211</f>
        <v>57167</v>
      </c>
      <c r="BI205" s="3">
        <f>BI211</f>
        <v>57167</v>
      </c>
      <c r="BJ205" s="3">
        <f>BJ211</f>
        <v>57167</v>
      </c>
      <c r="BK205" s="3">
        <f>BJ205</f>
        <v>57167</v>
      </c>
      <c r="BL205" s="3">
        <f>BL211</f>
        <v>57167</v>
      </c>
      <c r="BM205" s="3">
        <f>BM211</f>
        <v>57167</v>
      </c>
      <c r="BN205" s="3">
        <f>BN211</f>
        <v>57167</v>
      </c>
      <c r="BO205" s="3">
        <f>BO211</f>
        <v>57167</v>
      </c>
      <c r="BP205" s="3">
        <f>BO205</f>
        <v>57167</v>
      </c>
      <c r="BQ205" s="3">
        <f>BQ211</f>
        <v>57167</v>
      </c>
      <c r="BR205" s="3">
        <f>BR211</f>
        <v>57167</v>
      </c>
      <c r="BS205" s="3">
        <f>BS211</f>
        <v>57167</v>
      </c>
      <c r="BT205" s="3">
        <f>BT211</f>
        <v>57167</v>
      </c>
      <c r="BU205" s="3">
        <f>BT205</f>
        <v>57167</v>
      </c>
      <c r="BV205" s="3">
        <f>BV211</f>
        <v>57167</v>
      </c>
      <c r="BW205" s="3">
        <f>BW211</f>
        <v>57167</v>
      </c>
      <c r="BX205" s="3">
        <f>BX211</f>
        <v>57167</v>
      </c>
      <c r="BY205" s="3">
        <f>BY211</f>
        <v>57167</v>
      </c>
      <c r="BZ205" s="3">
        <f>BY205</f>
        <v>57167</v>
      </c>
      <c r="CA205" s="3">
        <f>CA211</f>
        <v>57167</v>
      </c>
      <c r="CB205" s="3">
        <f>CB211</f>
        <v>57167</v>
      </c>
      <c r="CC205" s="3">
        <f>CC211</f>
        <v>57167</v>
      </c>
      <c r="CD205" s="3">
        <f>CD211</f>
        <v>57167</v>
      </c>
      <c r="CE205" s="3">
        <f>CD205</f>
        <v>57167</v>
      </c>
      <c r="CF205" s="3">
        <f>CF211</f>
        <v>57167</v>
      </c>
      <c r="CG205" s="3">
        <f>CG211</f>
        <v>57167</v>
      </c>
      <c r="CH205" s="3">
        <f>CH211</f>
        <v>57167</v>
      </c>
      <c r="CI205" s="3">
        <f>CI211</f>
        <v>57167</v>
      </c>
      <c r="CJ205" s="3">
        <f>CI205</f>
        <v>57167</v>
      </c>
      <c r="CK205" s="3">
        <f>CK211</f>
        <v>57167</v>
      </c>
      <c r="CL205" s="3">
        <f>CL211</f>
        <v>57167</v>
      </c>
      <c r="CM205" s="3">
        <f>CM211</f>
        <v>57167</v>
      </c>
      <c r="CN205" s="3">
        <f>CN211</f>
        <v>57167</v>
      </c>
      <c r="CO205" s="3">
        <f>CN205</f>
        <v>57167</v>
      </c>
      <c r="CP205" s="3">
        <f>CP211</f>
        <v>57167</v>
      </c>
      <c r="CQ205" s="3">
        <f>CQ211</f>
        <v>57167</v>
      </c>
      <c r="CR205" s="3">
        <f>CR211</f>
        <v>57167</v>
      </c>
      <c r="CS205" s="3">
        <f>CS211</f>
        <v>57167</v>
      </c>
      <c r="CT205" s="3">
        <f>CS205</f>
        <v>57167</v>
      </c>
      <c r="CU205" s="3">
        <f>CU211</f>
        <v>57167</v>
      </c>
      <c r="CV205" s="3">
        <f>CV211</f>
        <v>57167</v>
      </c>
      <c r="CW205" s="3">
        <f>CW211</f>
        <v>57167</v>
      </c>
      <c r="CX205" s="3">
        <f>CX211</f>
        <v>57167</v>
      </c>
      <c r="CY205" s="3">
        <f>CX205</f>
        <v>57167</v>
      </c>
    </row>
    <row r="206" hidden="1" outlineLevel="1">
      <c r="C206" s="34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  <c r="AA206" s="3" t="n"/>
      <c r="AB206" s="3" t="n"/>
      <c r="AC206" s="3" t="n"/>
      <c r="AD206" s="3" t="n"/>
      <c r="AE206" s="3" t="n"/>
      <c r="AF206" s="3" t="n"/>
      <c r="AG206" s="3" t="n"/>
      <c r="AH206" s="3" t="n"/>
      <c r="AI206" s="3" t="n"/>
      <c r="AJ206" s="3" t="n"/>
      <c r="AK206" s="3" t="n"/>
      <c r="AL206" s="3" t="n"/>
      <c r="AM206" s="3" t="n"/>
      <c r="AN206" s="3" t="n"/>
      <c r="AO206" s="3" t="n"/>
      <c r="AP206" s="3" t="n"/>
      <c r="AQ206" s="3" t="n"/>
      <c r="AR206" s="3" t="n"/>
      <c r="AS206" s="3" t="n"/>
      <c r="AT206" s="3" t="n"/>
      <c r="AU206" s="3" t="n"/>
      <c r="AV206" s="3" t="n"/>
      <c r="AW206" s="3" t="n"/>
      <c r="AX206" s="3" t="n"/>
      <c r="AY206" s="3" t="n"/>
      <c r="AZ206" s="3" t="n"/>
      <c r="BA206" s="3" t="n"/>
      <c r="BB206" s="3" t="n"/>
      <c r="BC206" s="3" t="n"/>
      <c r="BD206" s="3" t="n"/>
      <c r="BE206" s="3" t="n"/>
      <c r="BF206" s="3" t="n"/>
      <c r="BG206" s="3" t="n"/>
      <c r="BH206" s="3" t="n"/>
      <c r="BI206" s="3" t="n"/>
      <c r="BJ206" s="3" t="n"/>
      <c r="BK206" s="3" t="n"/>
      <c r="BL206" s="3" t="n"/>
      <c r="BM206" s="3" t="n"/>
      <c r="BN206" s="3" t="n"/>
      <c r="BO206" s="3" t="n"/>
      <c r="BP206" s="3" t="n"/>
      <c r="BQ206" s="3" t="n"/>
      <c r="BR206" s="3" t="n"/>
      <c r="BS206" s="3" t="n"/>
      <c r="BT206" s="3" t="n"/>
      <c r="BU206" s="3" t="n"/>
      <c r="BV206" s="3" t="n"/>
      <c r="BW206" s="3" t="n"/>
      <c r="BX206" s="3" t="n"/>
      <c r="BY206" s="3" t="n"/>
      <c r="BZ206" s="3" t="n"/>
      <c r="CA206" s="3" t="n"/>
      <c r="CB206" s="3" t="n"/>
      <c r="CC206" s="3" t="n"/>
      <c r="CD206" s="3" t="n"/>
      <c r="CE206" s="3" t="n"/>
      <c r="CF206" s="3" t="n"/>
      <c r="CG206" s="3" t="n"/>
      <c r="CH206" s="3" t="n"/>
      <c r="CI206" s="3" t="n"/>
      <c r="CJ206" s="3" t="n"/>
      <c r="CK206" s="3" t="n"/>
      <c r="CL206" s="3" t="n"/>
      <c r="CM206" s="3" t="n"/>
      <c r="CN206" s="3" t="n"/>
      <c r="CO206" s="3" t="n"/>
      <c r="CP206" s="3" t="n"/>
      <c r="CQ206" s="3" t="n"/>
      <c r="CR206" s="3" t="n"/>
      <c r="CS206" s="3" t="n"/>
      <c r="CT206" s="3" t="n"/>
      <c r="CU206" s="3" t="n"/>
      <c r="CV206" s="3" t="n"/>
      <c r="CW206" s="3" t="n"/>
      <c r="CX206" s="3" t="n"/>
      <c r="CY206" s="3" t="n"/>
    </row>
    <row r="207" hidden="1" outlineLevel="1">
      <c r="C207" s="34" t="inlineStr">
        <is>
          <t>Current portion of LTD</t>
        </is>
      </c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  <c r="AA207" s="3" t="n"/>
      <c r="AB207" s="3" t="n"/>
      <c r="AC207" s="3" t="n"/>
      <c r="AD207" s="3" t="n"/>
      <c r="AE207" s="3" t="n"/>
      <c r="AF207" s="3" t="n"/>
      <c r="AG207" s="3" t="n"/>
      <c r="AH207" s="3">
        <f>AF200</f>
        <v>2252</v>
      </c>
      <c r="AI207" s="35" t="n"/>
      <c r="AJ207" s="35" t="n"/>
      <c r="AK207" s="35" t="n"/>
      <c r="AL207" s="3" t="n"/>
      <c r="AM207" s="3">
        <f>AK200</f>
        <v>2252</v>
      </c>
      <c r="AN207" s="35" t="n"/>
      <c r="AO207" s="35" t="n"/>
      <c r="AP207" s="35" t="n"/>
      <c r="AQ207" s="3" t="n"/>
      <c r="AR207" s="3">
        <f>AP200</f>
        <v>2252</v>
      </c>
      <c r="AS207" s="35" t="n"/>
      <c r="AT207" s="35" t="n"/>
      <c r="AU207" s="35" t="n"/>
      <c r="AV207" s="3" t="n"/>
      <c r="AW207" s="3">
        <f>AU200</f>
        <v>2252</v>
      </c>
      <c r="AX207" s="35" t="n"/>
      <c r="AY207" s="35" t="n"/>
      <c r="AZ207" s="35" t="n"/>
      <c r="BA207" s="3" t="n"/>
      <c r="BB207" s="3">
        <f>AZ200</f>
        <v>2252</v>
      </c>
      <c r="BC207" s="35" t="n"/>
      <c r="BD207" s="35" t="n"/>
      <c r="BE207" s="35" t="n"/>
      <c r="BF207" s="3" t="n"/>
      <c r="BG207" s="3">
        <f>BE200</f>
        <v>2252</v>
      </c>
      <c r="BH207" s="35" t="n"/>
      <c r="BI207" s="35" t="n"/>
      <c r="BJ207" s="35" t="n"/>
      <c r="BK207" s="3" t="n"/>
      <c r="BL207" s="3">
        <f>BJ200</f>
        <v>2252</v>
      </c>
      <c r="BM207" s="35" t="n"/>
      <c r="BN207" s="35" t="n"/>
      <c r="BO207" s="35" t="n"/>
      <c r="BP207" s="3" t="n"/>
      <c r="BQ207" s="3">
        <f>BO200</f>
        <v>2252</v>
      </c>
      <c r="BR207" s="35" t="n"/>
      <c r="BS207" s="35" t="n"/>
      <c r="BT207" s="35" t="n"/>
      <c r="BU207" s="3" t="n"/>
      <c r="BV207" s="3">
        <f>BT200</f>
        <v>2252</v>
      </c>
      <c r="BW207" s="35" t="n"/>
      <c r="BX207" s="35" t="n"/>
      <c r="BY207" s="35" t="n"/>
      <c r="BZ207" s="3" t="n"/>
      <c r="CA207" s="3">
        <f>BY200</f>
        <v>2252</v>
      </c>
      <c r="CB207" s="35" t="n"/>
      <c r="CC207" s="35" t="n"/>
      <c r="CD207" s="35" t="n"/>
      <c r="CE207" s="3" t="n"/>
      <c r="CF207" s="3">
        <f>CD200</f>
        <v>2252</v>
      </c>
      <c r="CG207" s="35" t="n"/>
      <c r="CH207" s="35" t="n"/>
      <c r="CI207" s="35" t="n"/>
      <c r="CJ207" s="3" t="n"/>
      <c r="CK207" s="3">
        <f>CI200</f>
        <v>2252</v>
      </c>
      <c r="CL207" s="35" t="n"/>
      <c r="CM207" s="35" t="n"/>
      <c r="CN207" s="35" t="n"/>
      <c r="CO207" s="3" t="n"/>
      <c r="CP207" s="3">
        <f>CN200</f>
        <v>2252</v>
      </c>
      <c r="CQ207" s="35" t="n"/>
      <c r="CR207" s="35" t="n"/>
      <c r="CS207" s="35" t="n"/>
      <c r="CT207" s="3" t="n"/>
      <c r="CU207" s="3">
        <f>CS200</f>
        <v>2252</v>
      </c>
      <c r="CV207" s="35" t="n"/>
      <c r="CW207" s="35" t="n"/>
      <c r="CX207" s="35" t="n"/>
      <c r="CY207" s="3" t="n"/>
    </row>
    <row r="208" hidden="1" outlineLevel="1">
      <c r="C208" s="34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  <c r="AA208" s="3" t="n"/>
      <c r="AB208" s="3" t="n"/>
      <c r="AC208" s="3" t="n"/>
      <c r="AD208" s="3" t="n"/>
      <c r="AE208" s="3" t="n"/>
      <c r="AF208" s="3" t="n"/>
      <c r="AG208" s="3" t="n"/>
      <c r="AH208" s="3" t="n"/>
      <c r="AI208" s="3" t="n"/>
      <c r="AJ208" s="3" t="n"/>
      <c r="AK208" s="3" t="n"/>
      <c r="AL208" s="3" t="n"/>
      <c r="AM208" s="3" t="n"/>
      <c r="AN208" s="3" t="n"/>
      <c r="AO208" s="3" t="n"/>
      <c r="AP208" s="3" t="n"/>
      <c r="AQ208" s="3" t="n"/>
      <c r="AR208" s="3" t="n"/>
      <c r="AS208" s="3" t="n"/>
      <c r="AT208" s="3" t="n"/>
      <c r="AU208" s="3" t="n"/>
      <c r="AV208" s="3" t="n"/>
      <c r="AW208" s="3" t="n"/>
      <c r="AX208" s="3" t="n"/>
      <c r="AY208" s="3" t="n"/>
      <c r="AZ208" s="3" t="n"/>
      <c r="BA208" s="3" t="n"/>
      <c r="BB208" s="3" t="n"/>
      <c r="BC208" s="3" t="n"/>
      <c r="BD208" s="3" t="n"/>
      <c r="BE208" s="3" t="n"/>
      <c r="BF208" s="3" t="n"/>
      <c r="BG208" s="3" t="n"/>
      <c r="BH208" s="3" t="n"/>
      <c r="BI208" s="3" t="n"/>
      <c r="BJ208" s="3" t="n"/>
      <c r="BK208" s="3" t="n"/>
      <c r="BL208" s="3" t="n"/>
      <c r="BM208" s="3" t="n"/>
      <c r="BN208" s="3" t="n"/>
      <c r="BO208" s="3" t="n"/>
      <c r="BP208" s="3" t="n"/>
      <c r="BQ208" s="3" t="n"/>
      <c r="BR208" s="3" t="n"/>
      <c r="BS208" s="3" t="n"/>
      <c r="BT208" s="3" t="n"/>
      <c r="BU208" s="3" t="n"/>
      <c r="BV208" s="3" t="n"/>
      <c r="BW208" s="3" t="n"/>
      <c r="BX208" s="3" t="n"/>
      <c r="BY208" s="3" t="n"/>
      <c r="BZ208" s="3" t="n"/>
      <c r="CA208" s="3" t="n"/>
      <c r="CB208" s="3" t="n"/>
      <c r="CC208" s="3" t="n"/>
      <c r="CD208" s="3" t="n"/>
      <c r="CE208" s="3" t="n"/>
      <c r="CF208" s="3" t="n"/>
      <c r="CG208" s="3" t="n"/>
      <c r="CH208" s="3" t="n"/>
      <c r="CI208" s="3" t="n"/>
      <c r="CJ208" s="3" t="n"/>
      <c r="CK208" s="3" t="n"/>
      <c r="CL208" s="3" t="n"/>
      <c r="CM208" s="3" t="n"/>
      <c r="CN208" s="3" t="n"/>
      <c r="CO208" s="3" t="n"/>
      <c r="CP208" s="3" t="n"/>
      <c r="CQ208" s="3" t="n"/>
      <c r="CR208" s="3" t="n"/>
      <c r="CS208" s="3" t="n"/>
      <c r="CT208" s="3" t="n"/>
      <c r="CU208" s="3" t="n"/>
      <c r="CV208" s="3" t="n"/>
      <c r="CW208" s="3" t="n"/>
      <c r="CX208" s="3" t="n"/>
      <c r="CY208" s="3" t="n"/>
    </row>
    <row r="209" hidden="1" outlineLevel="1">
      <c r="C209" s="34" t="inlineStr">
        <is>
          <t>Reclassification of LTD to CP of LTD</t>
        </is>
      </c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  <c r="AA209" s="3" t="n"/>
      <c r="AB209" s="3" t="n"/>
      <c r="AC209" s="3" t="n"/>
      <c r="AD209" s="3" t="n"/>
      <c r="AE209" s="3" t="n"/>
      <c r="AF209" s="3" t="n"/>
      <c r="AG209" s="3" t="n"/>
      <c r="AH209" s="3" t="n"/>
      <c r="AI209" s="3">
        <f>-AI207</f>
        <v>0</v>
      </c>
      <c r="AJ209" s="3">
        <f>-AJ207</f>
        <v>0</v>
      </c>
      <c r="AK209" s="3">
        <f>-AK207</f>
        <v>0</v>
      </c>
      <c r="AL209" s="3" t="n"/>
      <c r="AM209" s="3" t="n"/>
      <c r="AN209" s="3">
        <f>-AN207</f>
        <v>0</v>
      </c>
      <c r="AO209" s="3">
        <f>-AO207</f>
        <v>0</v>
      </c>
      <c r="AP209" s="3">
        <f>-AP207</f>
        <v>0</v>
      </c>
      <c r="AQ209" s="3" t="n"/>
      <c r="AR209" s="3" t="n"/>
      <c r="AS209" s="3">
        <f>-AS207</f>
        <v>0</v>
      </c>
      <c r="AT209" s="3">
        <f>-AT207</f>
        <v>0</v>
      </c>
      <c r="AU209" s="3">
        <f>-AU207</f>
        <v>0</v>
      </c>
      <c r="AV209" s="3" t="n"/>
      <c r="AW209" s="3" t="n"/>
      <c r="AX209" s="3">
        <f>-AX207</f>
        <v>0</v>
      </c>
      <c r="AY209" s="3">
        <f>-AY207</f>
        <v>0</v>
      </c>
      <c r="AZ209" s="3">
        <f>-AZ207</f>
        <v>0</v>
      </c>
      <c r="BA209" s="3" t="n"/>
      <c r="BB209" s="3" t="n"/>
      <c r="BC209" s="3">
        <f>-BC207</f>
        <v>0</v>
      </c>
      <c r="BD209" s="3">
        <f>-BD207</f>
        <v>0</v>
      </c>
      <c r="BE209" s="3">
        <f>-BE207</f>
        <v>0</v>
      </c>
      <c r="BF209" s="3" t="n"/>
      <c r="BG209" s="3" t="n"/>
      <c r="BH209" s="3">
        <f>-BH207</f>
        <v>0</v>
      </c>
      <c r="BI209" s="3">
        <f>-BI207</f>
        <v>0</v>
      </c>
      <c r="BJ209" s="3">
        <f>-BJ207</f>
        <v>0</v>
      </c>
      <c r="BK209" s="3" t="n"/>
      <c r="BL209" s="3" t="n"/>
      <c r="BM209" s="3">
        <f>-BM207</f>
        <v>0</v>
      </c>
      <c r="BN209" s="3">
        <f>-BN207</f>
        <v>0</v>
      </c>
      <c r="BO209" s="3">
        <f>-BO207</f>
        <v>0</v>
      </c>
      <c r="BP209" s="3" t="n"/>
      <c r="BQ209" s="3" t="n"/>
      <c r="BR209" s="3">
        <f>-BR207</f>
        <v>0</v>
      </c>
      <c r="BS209" s="3">
        <f>-BS207</f>
        <v>0</v>
      </c>
      <c r="BT209" s="3">
        <f>-BT207</f>
        <v>0</v>
      </c>
      <c r="BU209" s="3" t="n"/>
      <c r="BV209" s="3" t="n"/>
      <c r="BW209" s="3">
        <f>-BW207</f>
        <v>0</v>
      </c>
      <c r="BX209" s="3">
        <f>-BX207</f>
        <v>0</v>
      </c>
      <c r="BY209" s="3">
        <f>-BY207</f>
        <v>0</v>
      </c>
      <c r="BZ209" s="3" t="n"/>
      <c r="CA209" s="3" t="n"/>
      <c r="CB209" s="3">
        <f>-CB207</f>
        <v>0</v>
      </c>
      <c r="CC209" s="3">
        <f>-CC207</f>
        <v>0</v>
      </c>
      <c r="CD209" s="3">
        <f>-CD207</f>
        <v>0</v>
      </c>
      <c r="CE209" s="3" t="n"/>
      <c r="CF209" s="3" t="n"/>
      <c r="CG209" s="3">
        <f>-CG207</f>
        <v>0</v>
      </c>
      <c r="CH209" s="3">
        <f>-CH207</f>
        <v>0</v>
      </c>
      <c r="CI209" s="3">
        <f>-CI207</f>
        <v>0</v>
      </c>
      <c r="CJ209" s="3" t="n"/>
      <c r="CK209" s="3" t="n"/>
      <c r="CL209" s="3">
        <f>-CL207</f>
        <v>0</v>
      </c>
      <c r="CM209" s="3">
        <f>-CM207</f>
        <v>0</v>
      </c>
      <c r="CN209" s="3">
        <f>-CN207</f>
        <v>0</v>
      </c>
      <c r="CO209" s="3" t="n"/>
      <c r="CP209" s="3" t="n"/>
      <c r="CQ209" s="3">
        <f>-CQ207</f>
        <v>0</v>
      </c>
      <c r="CR209" s="3">
        <f>-CR207</f>
        <v>0</v>
      </c>
      <c r="CS209" s="3">
        <f>-CS207</f>
        <v>0</v>
      </c>
      <c r="CT209" s="3" t="n"/>
      <c r="CU209" s="3" t="n"/>
      <c r="CV209" s="3">
        <f>-CV207</f>
        <v>0</v>
      </c>
      <c r="CW209" s="3">
        <f>-CW207</f>
        <v>0</v>
      </c>
      <c r="CX209" s="3">
        <f>-CX207</f>
        <v>0</v>
      </c>
      <c r="CY209" s="3" t="n"/>
    </row>
    <row r="210" hidden="1" outlineLevel="1">
      <c r="C210" s="34" t="inlineStr">
        <is>
          <t>Discretionary (paydown)/borrowing of long term debt</t>
        </is>
      </c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  <c r="AA210" s="3" t="n"/>
      <c r="AB210" s="3" t="n"/>
      <c r="AC210" s="3" t="n"/>
      <c r="AD210" s="3" t="n"/>
      <c r="AE210" s="3" t="n"/>
      <c r="AF210" s="3" t="n"/>
      <c r="AG210" s="3" t="n"/>
      <c r="AH210" s="35" t="n"/>
      <c r="AI210" s="35" t="n"/>
      <c r="AJ210" s="35" t="n"/>
      <c r="AK210" s="35" t="n"/>
      <c r="AL210" s="3" t="n"/>
      <c r="AM210" s="35" t="n"/>
      <c r="AN210" s="35" t="n"/>
      <c r="AO210" s="35" t="n"/>
      <c r="AP210" s="35" t="n"/>
      <c r="AQ210" s="3" t="n"/>
      <c r="AR210" s="35" t="n"/>
      <c r="AS210" s="35" t="n"/>
      <c r="AT210" s="35" t="n"/>
      <c r="AU210" s="35" t="n"/>
      <c r="AV210" s="3" t="n"/>
      <c r="AW210" s="35" t="n"/>
      <c r="AX210" s="35" t="n"/>
      <c r="AY210" s="35" t="n"/>
      <c r="AZ210" s="35" t="n"/>
      <c r="BA210" s="3" t="n"/>
      <c r="BB210" s="35" t="n"/>
      <c r="BC210" s="35" t="n"/>
      <c r="BD210" s="35" t="n"/>
      <c r="BE210" s="35" t="n"/>
      <c r="BF210" s="3" t="n"/>
      <c r="BG210" s="35" t="n"/>
      <c r="BH210" s="35" t="n"/>
      <c r="BI210" s="35" t="n"/>
      <c r="BJ210" s="35" t="n"/>
      <c r="BK210" s="3" t="n"/>
      <c r="BL210" s="35" t="n"/>
      <c r="BM210" s="35" t="n"/>
      <c r="BN210" s="35" t="n"/>
      <c r="BO210" s="35" t="n"/>
      <c r="BP210" s="3" t="n"/>
      <c r="BQ210" s="35" t="n"/>
      <c r="BR210" s="35" t="n"/>
      <c r="BS210" s="35" t="n"/>
      <c r="BT210" s="35" t="n"/>
      <c r="BU210" s="3" t="n"/>
      <c r="BV210" s="35" t="n"/>
      <c r="BW210" s="35" t="n"/>
      <c r="BX210" s="35" t="n"/>
      <c r="BY210" s="35" t="n"/>
      <c r="BZ210" s="3" t="n"/>
      <c r="CA210" s="35" t="n"/>
      <c r="CB210" s="35" t="n"/>
      <c r="CC210" s="35" t="n"/>
      <c r="CD210" s="35" t="n"/>
      <c r="CE210" s="3" t="n"/>
      <c r="CF210" s="35" t="n"/>
      <c r="CG210" s="35" t="n"/>
      <c r="CH210" s="35" t="n"/>
      <c r="CI210" s="35" t="n"/>
      <c r="CJ210" s="3" t="n"/>
      <c r="CK210" s="35" t="n"/>
      <c r="CL210" s="35" t="n"/>
      <c r="CM210" s="35" t="n"/>
      <c r="CN210" s="35" t="n"/>
      <c r="CO210" s="3" t="n"/>
      <c r="CP210" s="35" t="n"/>
      <c r="CQ210" s="35" t="n"/>
      <c r="CR210" s="35" t="n"/>
      <c r="CS210" s="35" t="n"/>
      <c r="CT210" s="3" t="n"/>
      <c r="CU210" s="35" t="n"/>
      <c r="CV210" s="35" t="n"/>
      <c r="CW210" s="35" t="n"/>
      <c r="CX210" s="35" t="n"/>
      <c r="CY210" s="3" t="n"/>
    </row>
    <row r="211" hidden="1" outlineLevel="1">
      <c r="C211" s="34" t="inlineStr">
        <is>
          <t>Long term debt</t>
        </is>
      </c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  <c r="AA211" s="3" t="n"/>
      <c r="AB211" s="3" t="n"/>
      <c r="AC211" s="3" t="n"/>
      <c r="AD211" s="3" t="n"/>
      <c r="AE211" s="3" t="n"/>
      <c r="AF211" s="3" t="n"/>
      <c r="AG211" s="3" t="n"/>
      <c r="AH211" s="3">
        <f>AF205+SUM(AH209:AH210)</f>
        <v>63805</v>
      </c>
      <c r="AI211" s="3">
        <f>AH211+SUM(AI209:AI210)</f>
        <v>63805</v>
      </c>
      <c r="AJ211" s="3">
        <f>AI205+SUM(AJ209:AJ210)</f>
        <v>57167</v>
      </c>
      <c r="AK211" s="3">
        <f>AJ211+SUM(AK209:AK210)</f>
        <v>57167</v>
      </c>
      <c r="AL211" s="3" t="n"/>
      <c r="AM211" s="3">
        <f>AK211+SUM(AM209:AM210)</f>
        <v>57167</v>
      </c>
      <c r="AN211" s="3">
        <f>AM211+SUM(AN209:AN210)</f>
        <v>57167</v>
      </c>
      <c r="AO211" s="3">
        <f>AN211+SUM(AO209:AO210)</f>
        <v>57167</v>
      </c>
      <c r="AP211" s="3">
        <f>AO211+SUM(AP209:AP210)</f>
        <v>57167</v>
      </c>
      <c r="AQ211" s="3" t="n"/>
      <c r="AR211" s="3">
        <f>AP211+SUM(AR209:AR210)</f>
        <v>57167</v>
      </c>
      <c r="AS211" s="3">
        <f>AR211+SUM(AS209:AS210)</f>
        <v>57167</v>
      </c>
      <c r="AT211" s="3">
        <f>AS211+SUM(AT209:AT210)</f>
        <v>57167</v>
      </c>
      <c r="AU211" s="3">
        <f>AT211+SUM(AU209:AU210)</f>
        <v>57167</v>
      </c>
      <c r="AV211" s="3" t="n"/>
      <c r="AW211" s="3">
        <f>AU211+SUM(AW209:AW210)</f>
        <v>57167</v>
      </c>
      <c r="AX211" s="3">
        <f>AW211+SUM(AX209:AX210)</f>
        <v>57167</v>
      </c>
      <c r="AY211" s="3">
        <f>AX211+SUM(AY209:AY210)</f>
        <v>57167</v>
      </c>
      <c r="AZ211" s="3">
        <f>AY211+SUM(AZ209:AZ210)</f>
        <v>57167</v>
      </c>
      <c r="BA211" s="3" t="n"/>
      <c r="BB211" s="3">
        <f>AZ211+SUM(BB209:BB210)</f>
        <v>57167</v>
      </c>
      <c r="BC211" s="3">
        <f>BB211+SUM(BC209:BC210)</f>
        <v>57167</v>
      </c>
      <c r="BD211" s="3">
        <f>BC211+SUM(BD209:BD210)</f>
        <v>57167</v>
      </c>
      <c r="BE211" s="3">
        <f>BD211+SUM(BE209:BE210)</f>
        <v>57167</v>
      </c>
      <c r="BF211" s="3" t="n"/>
      <c r="BG211" s="3">
        <f>BE211+SUM(BG209:BG210)</f>
        <v>57167</v>
      </c>
      <c r="BH211" s="3">
        <f>BG211+SUM(BH209:BH210)</f>
        <v>57167</v>
      </c>
      <c r="BI211" s="3">
        <f>BH211+SUM(BI209:BI210)</f>
        <v>57167</v>
      </c>
      <c r="BJ211" s="3">
        <f>BI211+SUM(BJ209:BJ210)</f>
        <v>57167</v>
      </c>
      <c r="BK211" s="3" t="n"/>
      <c r="BL211" s="3">
        <f>BJ211+SUM(BL209:BL210)</f>
        <v>57167</v>
      </c>
      <c r="BM211" s="3">
        <f>BL211+SUM(BM209:BM210)</f>
        <v>57167</v>
      </c>
      <c r="BN211" s="3">
        <f>BM211+SUM(BN209:BN210)</f>
        <v>57167</v>
      </c>
      <c r="BO211" s="3">
        <f>BN211+SUM(BO209:BO210)</f>
        <v>57167</v>
      </c>
      <c r="BP211" s="3" t="n"/>
      <c r="BQ211" s="3">
        <f>BO211+SUM(BQ209:BQ210)</f>
        <v>57167</v>
      </c>
      <c r="BR211" s="3">
        <f>BQ211+SUM(BR209:BR210)</f>
        <v>57167</v>
      </c>
      <c r="BS211" s="3">
        <f>BR211+SUM(BS209:BS210)</f>
        <v>57167</v>
      </c>
      <c r="BT211" s="3">
        <f>BS211+SUM(BT209:BT210)</f>
        <v>57167</v>
      </c>
      <c r="BU211" s="3" t="n"/>
      <c r="BV211" s="3">
        <f>BT211+SUM(BV209:BV210)</f>
        <v>57167</v>
      </c>
      <c r="BW211" s="3">
        <f>BV211+SUM(BW209:BW210)</f>
        <v>57167</v>
      </c>
      <c r="BX211" s="3">
        <f>BW211+SUM(BX209:BX210)</f>
        <v>57167</v>
      </c>
      <c r="BY211" s="3">
        <f>BX211+SUM(BY209:BY210)</f>
        <v>57167</v>
      </c>
      <c r="BZ211" s="3" t="n"/>
      <c r="CA211" s="3">
        <f>BY211+SUM(CA209:CA210)</f>
        <v>57167</v>
      </c>
      <c r="CB211" s="3">
        <f>CA211+SUM(CB209:CB210)</f>
        <v>57167</v>
      </c>
      <c r="CC211" s="3">
        <f>CB211+SUM(CC209:CC210)</f>
        <v>57167</v>
      </c>
      <c r="CD211" s="3">
        <f>CC211+SUM(CD209:CD210)</f>
        <v>57167</v>
      </c>
      <c r="CE211" s="3" t="n"/>
      <c r="CF211" s="3">
        <f>CD211+SUM(CF209:CF210)</f>
        <v>57167</v>
      </c>
      <c r="CG211" s="3">
        <f>CF211+SUM(CG209:CG210)</f>
        <v>57167</v>
      </c>
      <c r="CH211" s="3">
        <f>CG211+SUM(CH209:CH210)</f>
        <v>57167</v>
      </c>
      <c r="CI211" s="3">
        <f>CH211+SUM(CI209:CI210)</f>
        <v>57167</v>
      </c>
      <c r="CJ211" s="3" t="n"/>
      <c r="CK211" s="3">
        <f>CI211+SUM(CK209:CK210)</f>
        <v>57167</v>
      </c>
      <c r="CL211" s="3">
        <f>CK211+SUM(CL209:CL210)</f>
        <v>57167</v>
      </c>
      <c r="CM211" s="3">
        <f>CL211+SUM(CM209:CM210)</f>
        <v>57167</v>
      </c>
      <c r="CN211" s="3">
        <f>CM211+SUM(CN209:CN210)</f>
        <v>57167</v>
      </c>
      <c r="CO211" s="3" t="n"/>
      <c r="CP211" s="3">
        <f>CN211+SUM(CP209:CP210)</f>
        <v>57167</v>
      </c>
      <c r="CQ211" s="3">
        <f>CP211+SUM(CQ209:CQ210)</f>
        <v>57167</v>
      </c>
      <c r="CR211" s="3">
        <f>CQ211+SUM(CR209:CR210)</f>
        <v>57167</v>
      </c>
      <c r="CS211" s="3">
        <f>CR211+SUM(CS209:CS210)</f>
        <v>57167</v>
      </c>
      <c r="CT211" s="3" t="n"/>
      <c r="CU211" s="3">
        <f>CS211+SUM(CU209:CU210)</f>
        <v>57167</v>
      </c>
      <c r="CV211" s="3">
        <f>CU211+SUM(CV209:CV210)</f>
        <v>57167</v>
      </c>
      <c r="CW211" s="3">
        <f>CV211+SUM(CW209:CW210)</f>
        <v>57167</v>
      </c>
      <c r="CX211" s="3">
        <f>CW211+SUM(CX209:CX210)</f>
        <v>57167</v>
      </c>
      <c r="CY211" s="3" t="n"/>
      <c r="CZ211">
        <f>CX211+SUM(CZ209:CZ210)</f>
        <v>57167</v>
      </c>
      <c r="DA211">
        <f>CZ211+SUM(DA209:DA210)</f>
        <v>57167</v>
      </c>
      <c r="DB211">
        <f>DA211+SUM(DB209:DB210)</f>
        <v>57167</v>
      </c>
      <c r="DC211">
        <f>DB211+SUM(DC209:DC210)</f>
        <v>57167</v>
      </c>
    </row>
    <row r="212" hidden="1" outlineLevel="1">
      <c r="C212" s="34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  <c r="AA212" s="3" t="n"/>
      <c r="AB212" s="3" t="n"/>
      <c r="AC212" s="3" t="n"/>
      <c r="AD212" s="3" t="n"/>
      <c r="AE212" s="3" t="n"/>
      <c r="AF212" s="3" t="n"/>
      <c r="AG212" s="3" t="n"/>
      <c r="AH212" s="3" t="n"/>
      <c r="AI212" s="3" t="n"/>
      <c r="AJ212" s="3" t="n"/>
      <c r="AK212" s="3" t="n"/>
      <c r="AL212" s="3" t="n"/>
      <c r="AM212" s="3" t="n"/>
      <c r="AN212" s="3" t="n"/>
      <c r="AO212" s="3" t="n"/>
      <c r="AP212" s="3" t="n"/>
      <c r="AQ212" s="3" t="n"/>
      <c r="AR212" s="3" t="n"/>
      <c r="AS212" s="3" t="n"/>
      <c r="AT212" s="3" t="n"/>
      <c r="AU212" s="3" t="n"/>
      <c r="AV212" s="3" t="n"/>
      <c r="AW212" s="3" t="n"/>
      <c r="AX212" s="3" t="n"/>
      <c r="AY212" s="3" t="n"/>
      <c r="AZ212" s="3" t="n"/>
      <c r="BA212" s="3" t="n"/>
      <c r="BB212" s="3" t="n"/>
      <c r="BC212" s="3" t="n"/>
      <c r="BD212" s="3" t="n"/>
      <c r="BE212" s="3" t="n"/>
      <c r="BF212" s="3" t="n"/>
      <c r="BG212" s="3" t="n"/>
      <c r="BH212" s="3" t="n"/>
      <c r="BI212" s="3" t="n"/>
      <c r="BJ212" s="3" t="n"/>
      <c r="BK212" s="3" t="n"/>
      <c r="BL212" s="3" t="n"/>
      <c r="BM212" s="3" t="n"/>
      <c r="BN212" s="3" t="n"/>
      <c r="BO212" s="3" t="n"/>
      <c r="BP212" s="3" t="n"/>
      <c r="BQ212" s="3" t="n"/>
      <c r="BR212" s="3" t="n"/>
      <c r="BS212" s="3" t="n"/>
      <c r="BT212" s="3" t="n"/>
      <c r="BU212" s="3" t="n"/>
      <c r="BV212" s="3" t="n"/>
      <c r="BW212" s="3" t="n"/>
      <c r="BX212" s="3" t="n"/>
      <c r="BY212" s="3" t="n"/>
      <c r="BZ212" s="3" t="n"/>
      <c r="CA212" s="3" t="n"/>
      <c r="CB212" s="3" t="n"/>
      <c r="CC212" s="3" t="n"/>
      <c r="CD212" s="3" t="n"/>
      <c r="CE212" s="3" t="n"/>
      <c r="CF212" s="3" t="n"/>
      <c r="CG212" s="3" t="n"/>
      <c r="CH212" s="3" t="n"/>
      <c r="CI212" s="3" t="n"/>
      <c r="CJ212" s="3" t="n"/>
      <c r="CK212" s="3" t="n"/>
      <c r="CL212" s="3" t="n"/>
      <c r="CM212" s="3" t="n"/>
      <c r="CN212" s="3" t="n"/>
      <c r="CO212" s="3" t="n"/>
      <c r="CP212" s="3" t="n"/>
      <c r="CQ212" s="3" t="n"/>
      <c r="CR212" s="3" t="n"/>
      <c r="CS212" s="3" t="n"/>
      <c r="CT212" s="3" t="n"/>
      <c r="CU212" s="3" t="n"/>
      <c r="CV212" s="3" t="n"/>
      <c r="CW212" s="3" t="n"/>
      <c r="CX212" s="3" t="n"/>
      <c r="CY212" s="3" t="n"/>
    </row>
    <row r="213" hidden="1" outlineLevel="1">
      <c r="C213" s="34" t="inlineStr">
        <is>
          <t>Discretionary (paydown)/borrowing of convertible debt</t>
        </is>
      </c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  <c r="AA213" s="3" t="n"/>
      <c r="AB213" s="3" t="n"/>
      <c r="AC213" s="3" t="n"/>
      <c r="AD213" s="3" t="n"/>
      <c r="AE213" s="3" t="n"/>
      <c r="AF213" s="3" t="n"/>
      <c r="AG213" s="3" t="n"/>
      <c r="AH213" s="35" t="n"/>
      <c r="AI213" s="35" t="n"/>
      <c r="AJ213" s="35" t="n"/>
      <c r="AK213" s="35" t="n"/>
      <c r="AL213" s="3" t="n"/>
      <c r="AM213" s="35" t="n"/>
      <c r="AN213" s="35" t="n"/>
      <c r="AO213" s="35" t="n"/>
      <c r="AP213" s="35" t="n"/>
      <c r="AQ213" s="3" t="n"/>
      <c r="AR213" s="35" t="n"/>
      <c r="AS213" s="35" t="n"/>
      <c r="AT213" s="35" t="n"/>
      <c r="AU213" s="35" t="n"/>
      <c r="AV213" s="3" t="n"/>
      <c r="AW213" s="35" t="n"/>
      <c r="AX213" s="35" t="n"/>
      <c r="AY213" s="35" t="n"/>
      <c r="AZ213" s="35" t="n"/>
      <c r="BA213" s="3" t="n"/>
      <c r="BB213" s="35" t="n"/>
      <c r="BC213" s="35" t="n"/>
      <c r="BD213" s="35" t="n"/>
      <c r="BE213" s="35" t="n"/>
      <c r="BF213" s="3" t="n"/>
      <c r="BG213" s="35" t="n"/>
      <c r="BH213" s="35" t="n"/>
      <c r="BI213" s="35" t="n"/>
      <c r="BJ213" s="35" t="n"/>
      <c r="BK213" s="3" t="n"/>
      <c r="BL213" s="35" t="n"/>
      <c r="BM213" s="35" t="n"/>
      <c r="BN213" s="35" t="n"/>
      <c r="BO213" s="35" t="n"/>
      <c r="BP213" s="3" t="n"/>
      <c r="BQ213" s="35" t="n"/>
      <c r="BR213" s="35" t="n"/>
      <c r="BS213" s="35" t="n"/>
      <c r="BT213" s="35" t="n"/>
      <c r="BU213" s="3" t="n"/>
      <c r="BV213" s="35" t="n"/>
      <c r="BW213" s="35" t="n"/>
      <c r="BX213" s="35" t="n"/>
      <c r="BY213" s="35" t="n"/>
      <c r="BZ213" s="3" t="n"/>
      <c r="CA213" s="35" t="n"/>
      <c r="CB213" s="35" t="n"/>
      <c r="CC213" s="35" t="n"/>
      <c r="CD213" s="35" t="n"/>
      <c r="CE213" s="3" t="n"/>
      <c r="CF213" s="35" t="n"/>
      <c r="CG213" s="35" t="n"/>
      <c r="CH213" s="35" t="n"/>
      <c r="CI213" s="35" t="n"/>
      <c r="CJ213" s="3" t="n"/>
      <c r="CK213" s="35" t="n"/>
      <c r="CL213" s="35" t="n"/>
      <c r="CM213" s="35" t="n"/>
      <c r="CN213" s="35" t="n"/>
      <c r="CO213" s="3" t="n"/>
      <c r="CP213" s="35" t="n"/>
      <c r="CQ213" s="35" t="n"/>
      <c r="CR213" s="35" t="n"/>
      <c r="CS213" s="35" t="n"/>
      <c r="CT213" s="3" t="n"/>
      <c r="CU213" s="35" t="n"/>
      <c r="CV213" s="35" t="n"/>
      <c r="CW213" s="35" t="n"/>
      <c r="CX213" s="35" t="n"/>
      <c r="CY213" s="3" t="n"/>
    </row>
    <row r="214" hidden="1" outlineLevel="1">
      <c r="C214" s="34" t="inlineStr">
        <is>
          <t>Convertible debt</t>
        </is>
      </c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  <c r="AA214" s="3" t="n"/>
      <c r="AB214" s="3" t="n"/>
      <c r="AC214" s="3" t="n"/>
      <c r="AD214" s="3" t="n"/>
      <c r="AE214" s="3" t="n"/>
      <c r="AF214" s="3" t="n"/>
      <c r="AG214" s="3" t="n"/>
      <c r="AH214" s="3">
        <f>AH226</f>
        <v>0</v>
      </c>
      <c r="AI214" s="3">
        <f>AH214+SUM(AI213)</f>
        <v>0</v>
      </c>
      <c r="AJ214" s="3">
        <f>AI214+SUM(AJ213)</f>
        <v>0</v>
      </c>
      <c r="AK214" s="3">
        <f>AJ214+SUM(AK213)</f>
        <v>0</v>
      </c>
      <c r="AL214" s="3" t="n"/>
      <c r="AM214" s="3">
        <f>AM226</f>
        <v>0</v>
      </c>
      <c r="AN214" s="3">
        <f>AM214+SUM(AN213)</f>
        <v>0</v>
      </c>
      <c r="AO214" s="3">
        <f>AN214+SUM(AO213)</f>
        <v>0</v>
      </c>
      <c r="AP214" s="3">
        <f>AO214+SUM(AP213)</f>
        <v>0</v>
      </c>
      <c r="AQ214" s="3" t="n"/>
      <c r="AR214" s="3">
        <f>AR226</f>
        <v>0</v>
      </c>
      <c r="AS214" s="3">
        <f>AR214+SUM(AS213)</f>
        <v>0</v>
      </c>
      <c r="AT214" s="3">
        <f>AS214+SUM(AT213)</f>
        <v>0</v>
      </c>
      <c r="AU214" s="3">
        <f>AT214+SUM(AU213)</f>
        <v>0</v>
      </c>
      <c r="AV214" s="3" t="n"/>
      <c r="AW214" s="3">
        <f>AW226</f>
        <v>0</v>
      </c>
      <c r="AX214" s="3">
        <f>AW214+SUM(AX213)</f>
        <v>0</v>
      </c>
      <c r="AY214" s="3">
        <f>AX214+SUM(AY213)</f>
        <v>0</v>
      </c>
      <c r="AZ214" s="3">
        <f>AY214+SUM(AZ213)</f>
        <v>0</v>
      </c>
      <c r="BA214" s="3" t="n"/>
      <c r="BB214" s="3">
        <f>BB226</f>
        <v>0</v>
      </c>
      <c r="BC214" s="3">
        <f>BB214+SUM(BC213)</f>
        <v>0</v>
      </c>
      <c r="BD214" s="3">
        <f>BC214+SUM(BD213)</f>
        <v>0</v>
      </c>
      <c r="BE214" s="3">
        <f>BD214+SUM(BE213)</f>
        <v>0</v>
      </c>
      <c r="BF214" s="3" t="n"/>
      <c r="BG214" s="3">
        <f>BG226</f>
        <v>0</v>
      </c>
      <c r="BH214" s="3">
        <f>BG214+SUM(BH213)</f>
        <v>0</v>
      </c>
      <c r="BI214" s="3">
        <f>BH214+SUM(BI213)</f>
        <v>0</v>
      </c>
      <c r="BJ214" s="3">
        <f>BI214+SUM(BJ213)</f>
        <v>0</v>
      </c>
      <c r="BK214" s="3" t="n"/>
      <c r="BL214" s="3">
        <f>BL226</f>
        <v>0</v>
      </c>
      <c r="BM214" s="3">
        <f>BL214+SUM(BM213)</f>
        <v>0</v>
      </c>
      <c r="BN214" s="3">
        <f>BM214+SUM(BN213)</f>
        <v>0</v>
      </c>
      <c r="BO214" s="3">
        <f>BN214+SUM(BO213)</f>
        <v>0</v>
      </c>
      <c r="BP214" s="3" t="n"/>
      <c r="BQ214" s="3">
        <f>BQ226</f>
        <v>0</v>
      </c>
      <c r="BR214" s="3">
        <f>BQ214+SUM(BR213)</f>
        <v>0</v>
      </c>
      <c r="BS214" s="3">
        <f>BR214+SUM(BS213)</f>
        <v>0</v>
      </c>
      <c r="BT214" s="3">
        <f>BS214+SUM(BT213)</f>
        <v>0</v>
      </c>
      <c r="BU214" s="3" t="n"/>
      <c r="BV214" s="3">
        <f>BV226</f>
        <v>0</v>
      </c>
      <c r="BW214" s="3">
        <f>BV214+SUM(BW213)</f>
        <v>0</v>
      </c>
      <c r="BX214" s="3">
        <f>BW214+SUM(BX213)</f>
        <v>0</v>
      </c>
      <c r="BY214" s="3">
        <f>BX214+SUM(BY213)</f>
        <v>0</v>
      </c>
      <c r="BZ214" s="3" t="n"/>
      <c r="CA214" s="3">
        <f>CA226</f>
        <v>0</v>
      </c>
      <c r="CB214" s="3">
        <f>CA214+SUM(CB213)</f>
        <v>0</v>
      </c>
      <c r="CC214" s="3">
        <f>CB214+SUM(CC213)</f>
        <v>0</v>
      </c>
      <c r="CD214" s="3">
        <f>CC214+SUM(CD213)</f>
        <v>0</v>
      </c>
      <c r="CE214" s="3" t="n"/>
      <c r="CF214" s="3">
        <f>CF226</f>
        <v>0</v>
      </c>
      <c r="CG214" s="3">
        <f>CF214+SUM(CG213)</f>
        <v>0</v>
      </c>
      <c r="CH214" s="3">
        <f>CG214+SUM(CH213)</f>
        <v>0</v>
      </c>
      <c r="CI214" s="3">
        <f>CH214+SUM(CI213)</f>
        <v>0</v>
      </c>
      <c r="CJ214" s="3" t="n"/>
      <c r="CK214" s="3">
        <f>CK226</f>
        <v>0</v>
      </c>
      <c r="CL214" s="3">
        <f>CK214+SUM(CL213)</f>
        <v>0</v>
      </c>
      <c r="CM214" s="3">
        <f>CL214+SUM(CM213)</f>
        <v>0</v>
      </c>
      <c r="CN214" s="3">
        <f>CM214+SUM(CN213)</f>
        <v>0</v>
      </c>
      <c r="CO214" s="3" t="n"/>
      <c r="CP214" s="3">
        <f>CP226</f>
        <v>0</v>
      </c>
      <c r="CQ214" s="3">
        <f>CP214+SUM(CQ213)</f>
        <v>0</v>
      </c>
      <c r="CR214" s="3">
        <f>CQ214+SUM(CR213)</f>
        <v>0</v>
      </c>
      <c r="CS214" s="3">
        <f>CR214+SUM(CS213)</f>
        <v>0</v>
      </c>
      <c r="CT214" s="3" t="n"/>
      <c r="CU214" s="3">
        <f>CU226</f>
        <v>0</v>
      </c>
      <c r="CV214" s="3">
        <f>CU214+SUM(CV213)</f>
        <v>0</v>
      </c>
      <c r="CW214" s="3">
        <f>CV214+SUM(CW213)</f>
        <v>0</v>
      </c>
      <c r="CX214" s="3">
        <f>CW214+SUM(CX213)</f>
        <v>0</v>
      </c>
      <c r="CY214" s="3" t="n"/>
    </row>
    <row r="215" hidden="1" outlineLevel="1">
      <c r="C215" s="34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  <c r="AA215" s="3" t="n"/>
      <c r="AB215" s="3" t="n"/>
      <c r="AC215" s="3" t="n"/>
      <c r="AD215" s="3" t="n"/>
      <c r="AE215" s="3" t="n"/>
      <c r="AF215" s="3" t="n"/>
      <c r="AG215" s="3" t="n"/>
      <c r="AI215" s="3" t="n"/>
      <c r="AJ215" s="3" t="n"/>
      <c r="AK215" s="3" t="n"/>
      <c r="AL215" s="3" t="n"/>
      <c r="AN215" s="3" t="n"/>
      <c r="AO215" s="3" t="n"/>
      <c r="AP215" s="3" t="n"/>
      <c r="AQ215" s="3" t="n"/>
      <c r="AS215" s="3" t="n"/>
      <c r="AT215" s="3" t="n"/>
      <c r="AU215" s="3" t="n"/>
      <c r="AV215" s="3" t="n"/>
      <c r="AX215" s="3" t="n"/>
      <c r="AY215" s="3" t="n"/>
      <c r="AZ215" s="3" t="n"/>
      <c r="BA215" s="3" t="n"/>
      <c r="BC215" s="3" t="n"/>
      <c r="BD215" s="3" t="n"/>
      <c r="BE215" s="3" t="n"/>
      <c r="BF215" s="3" t="n"/>
      <c r="BH215" s="3" t="n"/>
      <c r="BI215" s="3" t="n"/>
      <c r="BJ215" s="3" t="n"/>
      <c r="BK215" s="3" t="n"/>
      <c r="BM215" s="3" t="n"/>
      <c r="BN215" s="3" t="n"/>
      <c r="BO215" s="3" t="n"/>
      <c r="BP215" s="3" t="n"/>
      <c r="BR215" s="3" t="n"/>
      <c r="BS215" s="3" t="n"/>
      <c r="BT215" s="3" t="n"/>
      <c r="BU215" s="3" t="n"/>
      <c r="BW215" s="3" t="n"/>
      <c r="BX215" s="3" t="n"/>
      <c r="BY215" s="3" t="n"/>
      <c r="BZ215" s="3" t="n"/>
      <c r="CB215" s="3" t="n"/>
      <c r="CC215" s="3" t="n"/>
      <c r="CD215" s="3" t="n"/>
      <c r="CE215" s="3" t="n"/>
      <c r="CG215" s="3" t="n"/>
      <c r="CH215" s="3" t="n"/>
      <c r="CI215" s="3" t="n"/>
      <c r="CJ215" s="3" t="n"/>
      <c r="CL215" s="3" t="n"/>
      <c r="CM215" s="3" t="n"/>
      <c r="CN215" s="3" t="n"/>
      <c r="CO215" s="3" t="n"/>
      <c r="CQ215" s="3" t="n"/>
      <c r="CR215" s="3" t="n"/>
      <c r="CS215" s="3" t="n"/>
      <c r="CT215" s="3" t="n"/>
      <c r="CV215" s="3" t="n"/>
      <c r="CW215" s="3" t="n"/>
      <c r="CX215" s="3" t="n"/>
      <c r="CY215" s="3" t="n"/>
    </row>
    <row r="216" hidden="1" outlineLevel="1">
      <c r="C216" s="34" t="inlineStr">
        <is>
          <t>Calculation of short term debt</t>
        </is>
      </c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  <c r="AA216" s="3" t="n"/>
      <c r="AB216" s="3" t="n"/>
      <c r="AC216" s="3" t="n"/>
      <c r="AD216" s="3" t="n"/>
      <c r="AE216" s="3" t="n"/>
      <c r="AF216" s="3" t="n"/>
      <c r="AG216" s="3" t="n"/>
      <c r="AH216" s="3" t="n"/>
      <c r="AI216" s="3" t="n"/>
      <c r="AJ216" s="3" t="n"/>
      <c r="AK216" s="3" t="n"/>
      <c r="AL216" s="3" t="n"/>
      <c r="AM216" s="3" t="n"/>
      <c r="AN216" s="3" t="n"/>
      <c r="AO216" s="3" t="n"/>
      <c r="AP216" s="3" t="n"/>
      <c r="AQ216" s="3" t="n"/>
      <c r="AR216" s="3" t="n"/>
      <c r="AS216" s="3" t="n"/>
      <c r="AT216" s="3" t="n"/>
      <c r="AU216" s="3" t="n"/>
      <c r="AV216" s="3" t="n"/>
      <c r="AW216" s="3" t="n"/>
      <c r="AX216" s="3" t="n"/>
      <c r="AY216" s="3" t="n"/>
      <c r="AZ216" s="3" t="n"/>
      <c r="BA216" s="3" t="n"/>
      <c r="BB216" s="3" t="n"/>
      <c r="BC216" s="3" t="n"/>
      <c r="BD216" s="3" t="n"/>
      <c r="BE216" s="3" t="n"/>
      <c r="BF216" s="3" t="n"/>
      <c r="BG216" s="3" t="n"/>
      <c r="BH216" s="3" t="n"/>
      <c r="BI216" s="3" t="n"/>
      <c r="BJ216" s="3" t="n"/>
      <c r="BK216" s="3" t="n"/>
      <c r="BL216" s="3" t="n"/>
      <c r="BM216" s="3" t="n"/>
      <c r="BN216" s="3" t="n"/>
      <c r="BO216" s="3" t="n"/>
      <c r="BP216" s="3" t="n"/>
      <c r="BQ216" s="3" t="n"/>
      <c r="BR216" s="3" t="n"/>
      <c r="BS216" s="3" t="n"/>
      <c r="BT216" s="3" t="n"/>
      <c r="BU216" s="3" t="n"/>
      <c r="BV216" s="3" t="n"/>
      <c r="BW216" s="3" t="n"/>
      <c r="BX216" s="3" t="n"/>
      <c r="BY216" s="3" t="n"/>
      <c r="BZ216" s="3" t="n"/>
      <c r="CA216" s="3" t="n"/>
      <c r="CB216" s="3" t="n"/>
      <c r="CC216" s="3" t="n"/>
      <c r="CD216" s="3" t="n"/>
      <c r="CE216" s="3" t="n"/>
      <c r="CF216" s="3" t="n"/>
      <c r="CG216" s="3" t="n"/>
      <c r="CH216" s="3" t="n"/>
      <c r="CI216" s="3" t="n"/>
      <c r="CJ216" s="3" t="n"/>
      <c r="CK216" s="3" t="n"/>
      <c r="CL216" s="3" t="n"/>
      <c r="CM216" s="3" t="n"/>
      <c r="CN216" s="3" t="n"/>
      <c r="CO216" s="3" t="n"/>
      <c r="CP216" s="3" t="n"/>
      <c r="CQ216" s="3" t="n"/>
      <c r="CR216" s="3" t="n"/>
      <c r="CS216" s="3" t="n"/>
      <c r="CT216" s="3" t="n"/>
      <c r="CU216" s="3" t="n"/>
      <c r="CV216" s="3" t="n"/>
      <c r="CW216" s="3" t="n"/>
      <c r="CX216" s="3" t="n"/>
      <c r="CY216" s="3" t="n"/>
    </row>
    <row r="217" hidden="1" outlineLevel="1">
      <c r="C217" s="34" t="inlineStr">
        <is>
          <t>Cash @ beginning of the period (end of last period)</t>
        </is>
      </c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  <c r="AA217" s="3" t="n"/>
      <c r="AB217" s="3" t="n"/>
      <c r="AC217" s="3" t="n"/>
      <c r="AD217" s="3" t="n"/>
      <c r="AE217" s="3" t="n"/>
      <c r="AF217" s="3" t="n"/>
      <c r="AG217" s="3" t="n"/>
      <c r="AH217" s="36">
        <f>AG132</f>
        <v>14174</v>
      </c>
      <c r="AI217" s="3" t="n"/>
      <c r="AJ217" s="3" t="n"/>
      <c r="AK217" s="3" t="n"/>
      <c r="AL217" s="3" t="n"/>
      <c r="AM217" s="36">
        <f>AL132</f>
        <v>63240</v>
      </c>
      <c r="AN217" s="3" t="n"/>
      <c r="AO217" s="3" t="n"/>
      <c r="AP217" s="3" t="n"/>
      <c r="AQ217" s="3" t="n"/>
      <c r="AR217" s="36" t="e">
        <f>AQ132</f>
        <v>#DIV/0!</v>
      </c>
      <c r="AS217" s="3" t="n"/>
      <c r="AT217" s="3" t="n"/>
      <c r="AU217" s="3" t="n"/>
      <c r="AV217" s="3" t="n"/>
      <c r="AW217" s="36" t="e">
        <f>AV132</f>
        <v>#DIV/0!</v>
      </c>
      <c r="AX217" s="3" t="n"/>
      <c r="AY217" s="3" t="n"/>
      <c r="AZ217" s="3" t="n"/>
      <c r="BA217" s="3" t="n"/>
      <c r="BB217" s="36" t="e">
        <f>BA132</f>
        <v>#DIV/0!</v>
      </c>
      <c r="BC217" s="3" t="n"/>
      <c r="BD217" s="3" t="n"/>
      <c r="BE217" s="3" t="n"/>
      <c r="BF217" s="3" t="n"/>
      <c r="BG217" s="36" t="e">
        <f>BF132</f>
        <v>#DIV/0!</v>
      </c>
      <c r="BH217" s="3" t="n"/>
      <c r="BI217" s="3" t="n"/>
      <c r="BJ217" s="3" t="n"/>
      <c r="BK217" s="3" t="n"/>
      <c r="BL217" s="36" t="e">
        <f>BK132</f>
        <v>#DIV/0!</v>
      </c>
      <c r="BM217" s="3" t="n"/>
      <c r="BN217" s="3" t="n"/>
      <c r="BO217" s="3" t="n"/>
      <c r="BP217" s="3" t="n"/>
      <c r="BQ217" s="36" t="e">
        <f>BP132</f>
        <v>#DIV/0!</v>
      </c>
      <c r="BR217" s="3" t="n"/>
      <c r="BS217" s="3" t="n"/>
      <c r="BT217" s="3" t="n"/>
      <c r="BU217" s="3" t="n"/>
      <c r="BV217" s="36" t="e">
        <f>BU132</f>
        <v>#DIV/0!</v>
      </c>
      <c r="BW217" s="3" t="n"/>
      <c r="BX217" s="3" t="n"/>
      <c r="BY217" s="3" t="n"/>
      <c r="BZ217" s="3" t="n"/>
      <c r="CA217" s="36" t="e">
        <f>BZ132</f>
        <v>#DIV/0!</v>
      </c>
      <c r="CB217" s="3" t="n"/>
      <c r="CC217" s="3" t="n"/>
      <c r="CD217" s="3" t="n"/>
      <c r="CE217" s="3" t="n"/>
      <c r="CF217" s="36" t="e">
        <f>CE132</f>
        <v>#DIV/0!</v>
      </c>
      <c r="CG217" s="3" t="n"/>
      <c r="CH217" s="3" t="n"/>
      <c r="CI217" s="3" t="n"/>
      <c r="CJ217" s="3" t="n"/>
      <c r="CK217" s="36" t="e">
        <f>CJ132</f>
        <v>#DIV/0!</v>
      </c>
      <c r="CL217" s="3" t="n"/>
      <c r="CM217" s="3" t="n"/>
      <c r="CN217" s="3" t="n"/>
      <c r="CO217" s="3" t="n"/>
      <c r="CP217" s="36" t="e">
        <f>CO132</f>
        <v>#DIV/0!</v>
      </c>
      <c r="CQ217" s="3" t="n"/>
      <c r="CR217" s="3" t="n"/>
      <c r="CS217" s="3" t="n"/>
      <c r="CT217" s="3" t="n"/>
      <c r="CU217" s="36" t="e">
        <f>CT132</f>
        <v>#DIV/0!</v>
      </c>
      <c r="CV217" s="3" t="n"/>
      <c r="CW217" s="3" t="n"/>
      <c r="CX217" s="3" t="n"/>
      <c r="CY217" s="3" t="n"/>
    </row>
    <row r="218" hidden="1" outlineLevel="1">
      <c r="C218" s="34" t="inlineStr">
        <is>
          <t>Plus: Free cash flows prior to debt during period</t>
        </is>
      </c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  <c r="AA218" s="3" t="n"/>
      <c r="AB218" s="3" t="n"/>
      <c r="AC218" s="3" t="n"/>
      <c r="AD218" s="3" t="n"/>
      <c r="AE218" s="3" t="n"/>
      <c r="AF218" s="3" t="n"/>
      <c r="AG218" s="3" t="inlineStr">
        <is>
          <t>% of sales</t>
        </is>
      </c>
      <c r="AH218" s="37">
        <f>SUM(AH281,AH288)+SUM(AH290:AH296)</f>
        <v>6604</v>
      </c>
      <c r="AI218" s="37">
        <f>SUM(AI281,AI288)+SUM(AI290:AI296)</f>
        <v>9835</v>
      </c>
      <c r="AJ218" s="37">
        <f>SUM(AJ281,AJ288)+SUM(AJ290:AJ296)</f>
        <v>39167</v>
      </c>
      <c r="AK218" s="37">
        <f>SUM(AK281,AK288)+SUM(AK290:AK296)</f>
        <v>98</v>
      </c>
      <c r="AL218" s="3" t="n"/>
      <c r="AM218" s="37" t="e">
        <f>SUM(AM281,AM288)+SUM(AM290:AM296)</f>
        <v>#DIV/0!</v>
      </c>
      <c r="AN218" s="37" t="e">
        <f>SUM(AN281,AN288)+SUM(AN290:AN296)</f>
        <v>#DIV/0!</v>
      </c>
      <c r="AO218" s="37" t="e">
        <f>SUM(AO281,AO288)+SUM(AO290:AO296)</f>
        <v>#DIV/0!</v>
      </c>
      <c r="AP218" s="37" t="e">
        <f>SUM(AP281,AP288)+SUM(AP290:AP296)</f>
        <v>#DIV/0!</v>
      </c>
      <c r="AQ218" s="3" t="n"/>
      <c r="AR218" s="37" t="e">
        <f>SUM(AR281,AR288)+SUM(AR290:AR296)</f>
        <v>#DIV/0!</v>
      </c>
      <c r="AS218" s="37" t="e">
        <f>SUM(AS281,AS288)+SUM(AS290:AS296)</f>
        <v>#DIV/0!</v>
      </c>
      <c r="AT218" s="37" t="e">
        <f>SUM(AT281,AT288)+SUM(AT290:AT296)</f>
        <v>#DIV/0!</v>
      </c>
      <c r="AU218" s="37" t="e">
        <f>SUM(AU281,AU288)+SUM(AU290:AU296)</f>
        <v>#DIV/0!</v>
      </c>
      <c r="AV218" s="3" t="n"/>
      <c r="AW218" s="37" t="e">
        <f>SUM(AW281,AW288)+SUM(AW290:AW296)</f>
        <v>#DIV/0!</v>
      </c>
      <c r="AX218" s="37" t="e">
        <f>SUM(AX281,AX288)+SUM(AX290:AX296)</f>
        <v>#DIV/0!</v>
      </c>
      <c r="AY218" s="37" t="e">
        <f>SUM(AY281,AY288)+SUM(AY290:AY296)</f>
        <v>#DIV/0!</v>
      </c>
      <c r="AZ218" s="37" t="e">
        <f>SUM(AZ281,AZ288)+SUM(AZ290:AZ296)</f>
        <v>#DIV/0!</v>
      </c>
      <c r="BA218" s="3" t="n"/>
      <c r="BB218" s="37" t="e">
        <f>SUM(BB281,BB288)+SUM(BB290:BB296)</f>
        <v>#DIV/0!</v>
      </c>
      <c r="BC218" s="37" t="e">
        <f>SUM(BC281,BC288)+SUM(BC290:BC296)</f>
        <v>#DIV/0!</v>
      </c>
      <c r="BD218" s="37" t="e">
        <f>SUM(BD281,BD288)+SUM(BD290:BD296)</f>
        <v>#DIV/0!</v>
      </c>
      <c r="BE218" s="37" t="e">
        <f>SUM(BE281,BE288)+SUM(BE290:BE296)</f>
        <v>#DIV/0!</v>
      </c>
      <c r="BF218" s="3" t="n"/>
      <c r="BG218" s="37" t="e">
        <f>SUM(BG281,BG288)+SUM(BG290:BG296)</f>
        <v>#DIV/0!</v>
      </c>
      <c r="BH218" s="37" t="e">
        <f>SUM(BH281,BH288)+SUM(BH290:BH296)</f>
        <v>#DIV/0!</v>
      </c>
      <c r="BI218" s="37" t="e">
        <f>SUM(BI281,BI288)+SUM(BI290:BI296)</f>
        <v>#DIV/0!</v>
      </c>
      <c r="BJ218" s="37" t="e">
        <f>SUM(BJ281,BJ288)+SUM(BJ290:BJ296)</f>
        <v>#DIV/0!</v>
      </c>
      <c r="BK218" s="3" t="n"/>
      <c r="BL218" s="37" t="e">
        <f>SUM(BL281,BL288)+SUM(BL290:BL296)</f>
        <v>#DIV/0!</v>
      </c>
      <c r="BM218" s="37" t="e">
        <f>SUM(BM281,BM288)+SUM(BM290:BM296)</f>
        <v>#DIV/0!</v>
      </c>
      <c r="BN218" s="37" t="e">
        <f>SUM(BN281,BN288)+SUM(BN290:BN296)</f>
        <v>#DIV/0!</v>
      </c>
      <c r="BO218" s="37" t="e">
        <f>SUM(BO281,BO288)+SUM(BO290:BO296)</f>
        <v>#DIV/0!</v>
      </c>
      <c r="BP218" s="3" t="n"/>
      <c r="BQ218" s="37" t="e">
        <f>SUM(BQ281,BQ288)+SUM(BQ290:BQ296)</f>
        <v>#DIV/0!</v>
      </c>
      <c r="BR218" s="37" t="e">
        <f>SUM(BR281,BR288)+SUM(BR290:BR296)</f>
        <v>#DIV/0!</v>
      </c>
      <c r="BS218" s="37" t="e">
        <f>SUM(BS281,BS288)+SUM(BS290:BS296)</f>
        <v>#DIV/0!</v>
      </c>
      <c r="BT218" s="37" t="e">
        <f>SUM(BT281,BT288)+SUM(BT290:BT296)</f>
        <v>#DIV/0!</v>
      </c>
      <c r="BU218" s="3" t="n"/>
      <c r="BV218" s="37" t="e">
        <f>SUM(BV281,BV288)+SUM(BV290:BV296)</f>
        <v>#DIV/0!</v>
      </c>
      <c r="BW218" s="37" t="e">
        <f>SUM(BW281,BW288)+SUM(BW290:BW296)</f>
        <v>#DIV/0!</v>
      </c>
      <c r="BX218" s="37" t="e">
        <f>SUM(BX281,BX288)+SUM(BX290:BX296)</f>
        <v>#DIV/0!</v>
      </c>
      <c r="BY218" s="37" t="e">
        <f>SUM(BY281,BY288)+SUM(BY290:BY296)</f>
        <v>#DIV/0!</v>
      </c>
      <c r="BZ218" s="3" t="n"/>
      <c r="CA218" s="37" t="e">
        <f>SUM(CA281,CA288)+SUM(CA290:CA296)</f>
        <v>#DIV/0!</v>
      </c>
      <c r="CB218" s="37" t="e">
        <f>SUM(CB281,CB288)+SUM(CB290:CB296)</f>
        <v>#DIV/0!</v>
      </c>
      <c r="CC218" s="37" t="e">
        <f>SUM(CC281,CC288)+SUM(CC290:CC296)</f>
        <v>#DIV/0!</v>
      </c>
      <c r="CD218" s="37" t="e">
        <f>SUM(CD281,CD288)+SUM(CD290:CD296)</f>
        <v>#DIV/0!</v>
      </c>
      <c r="CE218" s="3" t="n"/>
      <c r="CF218" s="37" t="e">
        <f>SUM(CF281,CF288)+SUM(CF290:CF296)</f>
        <v>#DIV/0!</v>
      </c>
      <c r="CG218" s="37" t="e">
        <f>SUM(CG281,CG288)+SUM(CG290:CG296)</f>
        <v>#DIV/0!</v>
      </c>
      <c r="CH218" s="37" t="e">
        <f>SUM(CH281,CH288)+SUM(CH290:CH296)</f>
        <v>#DIV/0!</v>
      </c>
      <c r="CI218" s="37" t="e">
        <f>SUM(CI281,CI288)+SUM(CI290:CI296)</f>
        <v>#DIV/0!</v>
      </c>
      <c r="CJ218" s="3" t="n"/>
      <c r="CK218" s="37" t="e">
        <f>SUM(CK281,CK288)+SUM(CK290:CK296)</f>
        <v>#DIV/0!</v>
      </c>
      <c r="CL218" s="37" t="e">
        <f>SUM(CL281,CL288)+SUM(CL290:CL296)</f>
        <v>#DIV/0!</v>
      </c>
      <c r="CM218" s="37" t="e">
        <f>SUM(CM281,CM288)+SUM(CM290:CM296)</f>
        <v>#DIV/0!</v>
      </c>
      <c r="CN218" s="37" t="e">
        <f>SUM(CN281,CN288)+SUM(CN290:CN296)</f>
        <v>#DIV/0!</v>
      </c>
      <c r="CO218" s="3" t="n"/>
      <c r="CP218" s="37" t="e">
        <f>SUM(CP281,CP288)+SUM(CP290:CP296)</f>
        <v>#DIV/0!</v>
      </c>
      <c r="CQ218" s="37" t="e">
        <f>SUM(CQ281,CQ288)+SUM(CQ290:CQ296)</f>
        <v>#DIV/0!</v>
      </c>
      <c r="CR218" s="37" t="e">
        <f>SUM(CR281,CR288)+SUM(CR290:CR296)</f>
        <v>#DIV/0!</v>
      </c>
      <c r="CS218" s="37" t="e">
        <f>SUM(CS281,CS288)+SUM(CS290:CS296)</f>
        <v>#DIV/0!</v>
      </c>
      <c r="CT218" s="3" t="n"/>
      <c r="CU218" s="37" t="e">
        <f>SUM(CU281,CU288)+SUM(CU290:CU296)</f>
        <v>#DIV/0!</v>
      </c>
      <c r="CV218" s="37" t="e">
        <f>SUM(CV281,CV288)+SUM(CV290:CV296)</f>
        <v>#DIV/0!</v>
      </c>
      <c r="CW218" s="37" t="e">
        <f>SUM(CW281,CW288)+SUM(CW290:CW296)</f>
        <v>#DIV/0!</v>
      </c>
      <c r="CX218" s="37" t="e">
        <f>SUM(CX281,CX288)+SUM(CX290:CX296)</f>
        <v>#DIV/0!</v>
      </c>
      <c r="CY218" s="3" t="n"/>
    </row>
    <row r="219" hidden="1" outlineLevel="1">
      <c r="C219" s="34" t="inlineStr">
        <is>
          <t>Less: Minimum cash balance</t>
        </is>
      </c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  <c r="AA219" s="3" t="n"/>
      <c r="AB219" s="3" t="n"/>
      <c r="AC219" s="3" t="n"/>
      <c r="AD219" s="3" t="n"/>
      <c r="AE219" s="3" t="n"/>
      <c r="AF219" s="3" t="n"/>
      <c r="AG219" s="250" t="n"/>
      <c r="AH219" s="3">
        <f>($AG$219*AH15)</f>
        <v>0</v>
      </c>
      <c r="AI219" s="3">
        <f>($AG$219*AI15)</f>
        <v>0</v>
      </c>
      <c r="AJ219" s="3">
        <f>($AG$219*AJ15)</f>
        <v>0</v>
      </c>
      <c r="AK219" s="3">
        <f>($AG$219*AK15)</f>
        <v>0</v>
      </c>
      <c r="AL219" s="3" t="n"/>
      <c r="AM219" s="3">
        <f>($AG$219*AM15)</f>
        <v>0</v>
      </c>
      <c r="AN219" s="3">
        <f>($AG$219*AN15)</f>
        <v>0</v>
      </c>
      <c r="AO219" s="3">
        <f>($AG$219*AO15)</f>
        <v>0</v>
      </c>
      <c r="AP219" s="3">
        <f>($AG$219*AP15)</f>
        <v>0</v>
      </c>
      <c r="AQ219" s="3" t="n"/>
      <c r="AR219" s="3">
        <f>($AG$219*AR15)</f>
        <v>0</v>
      </c>
      <c r="AS219" s="3">
        <f>($AG$219*AS15)</f>
        <v>0</v>
      </c>
      <c r="AT219" s="3">
        <f>($AG$219*AT15)</f>
        <v>0</v>
      </c>
      <c r="AU219" s="3">
        <f>($AG$219*AU15)</f>
        <v>0</v>
      </c>
      <c r="AV219" s="3" t="n"/>
      <c r="AW219" s="3">
        <f>($AG$219*AW15)</f>
        <v>0</v>
      </c>
      <c r="AX219" s="3">
        <f>($AG$219*AX15)</f>
        <v>0</v>
      </c>
      <c r="AY219" s="3">
        <f>($AG$219*AY15)</f>
        <v>0</v>
      </c>
      <c r="AZ219" s="3">
        <f>($AG$219*AZ15)</f>
        <v>0</v>
      </c>
      <c r="BA219" s="3" t="n"/>
      <c r="BB219" s="3">
        <f>($AG$219*BB15)</f>
        <v>0</v>
      </c>
      <c r="BC219" s="3">
        <f>($AG$219*BC15)</f>
        <v>0</v>
      </c>
      <c r="BD219" s="3">
        <f>($AG$219*BD15)</f>
        <v>0</v>
      </c>
      <c r="BE219" s="3">
        <f>($AG$219*BE15)</f>
        <v>0</v>
      </c>
      <c r="BF219" s="3" t="n"/>
      <c r="BG219" s="3">
        <f>($AG$219*BG15)</f>
        <v>0</v>
      </c>
      <c r="BH219" s="3">
        <f>($AG$219*BH15)</f>
        <v>0</v>
      </c>
      <c r="BI219" s="3">
        <f>($AG$219*BI15)</f>
        <v>0</v>
      </c>
      <c r="BJ219" s="3">
        <f>($AG$219*BJ15)</f>
        <v>0</v>
      </c>
      <c r="BK219" s="3" t="n"/>
      <c r="BL219" s="3">
        <f>($AG$219*BL15)</f>
        <v>0</v>
      </c>
      <c r="BM219" s="3">
        <f>($AG$219*BM15)</f>
        <v>0</v>
      </c>
      <c r="BN219" s="3">
        <f>($AG$219*BN15)</f>
        <v>0</v>
      </c>
      <c r="BO219" s="3">
        <f>($AG$219*BO15)</f>
        <v>0</v>
      </c>
      <c r="BP219" s="3" t="n"/>
      <c r="BQ219" s="3">
        <f>($AG$219*BQ15)</f>
        <v>0</v>
      </c>
      <c r="BR219" s="3">
        <f>($AG$219*BR15)</f>
        <v>0</v>
      </c>
      <c r="BS219" s="3">
        <f>($AG$219*BS15)</f>
        <v>0</v>
      </c>
      <c r="BT219" s="3">
        <f>($AG$219*BT15)</f>
        <v>0</v>
      </c>
      <c r="BU219" s="3" t="n"/>
      <c r="BV219" s="3">
        <f>($AG$219*BV15)</f>
        <v>0</v>
      </c>
      <c r="BW219" s="3">
        <f>($AG$219*BW15)</f>
        <v>0</v>
      </c>
      <c r="BX219" s="3">
        <f>($AG$219*BX15)</f>
        <v>0</v>
      </c>
      <c r="BY219" s="3">
        <f>($AG$219*BY15)</f>
        <v>0</v>
      </c>
      <c r="BZ219" s="3" t="n"/>
      <c r="CA219" s="3">
        <f>($AG$219*CA15)</f>
        <v>0</v>
      </c>
      <c r="CB219" s="3">
        <f>($AG$219*CB15)</f>
        <v>0</v>
      </c>
      <c r="CC219" s="3">
        <f>($AG$219*CC15)</f>
        <v>0</v>
      </c>
      <c r="CD219" s="3">
        <f>($AG$219*CD15)</f>
        <v>0</v>
      </c>
      <c r="CE219" s="3" t="n"/>
      <c r="CF219" s="3">
        <f>($AG$219*CF15)</f>
        <v>0</v>
      </c>
      <c r="CG219" s="3">
        <f>($AG$219*CG15)</f>
        <v>0</v>
      </c>
      <c r="CH219" s="3">
        <f>($AG$219*CH15)</f>
        <v>0</v>
      </c>
      <c r="CI219" s="3">
        <f>($AG$219*CI15)</f>
        <v>0</v>
      </c>
      <c r="CJ219" s="3" t="n"/>
      <c r="CK219" s="3">
        <f>($AG$219*CK15)</f>
        <v>0</v>
      </c>
      <c r="CL219" s="3">
        <f>($AG$219*CL15)</f>
        <v>0</v>
      </c>
      <c r="CM219" s="3">
        <f>($AG$219*CM15)</f>
        <v>0</v>
      </c>
      <c r="CN219" s="3">
        <f>($AG$219*CN15)</f>
        <v>0</v>
      </c>
      <c r="CO219" s="3" t="n"/>
      <c r="CP219" s="3">
        <f>($AG$219*CP15)</f>
        <v>0</v>
      </c>
      <c r="CQ219" s="3">
        <f>($AG$219*CQ15)</f>
        <v>0</v>
      </c>
      <c r="CR219" s="3">
        <f>($AG$219*CR15)</f>
        <v>0</v>
      </c>
      <c r="CS219" s="3">
        <f>($AG$219*CS15)</f>
        <v>0</v>
      </c>
      <c r="CT219" s="3" t="n"/>
      <c r="CU219" s="3">
        <f>($AG$219*CU15)</f>
        <v>0</v>
      </c>
      <c r="CV219" s="3">
        <f>($AG$219*CV15)</f>
        <v>0</v>
      </c>
      <c r="CW219" s="3">
        <f>($AG$219*CW15)</f>
        <v>0</v>
      </c>
      <c r="CX219" s="3">
        <f>($AG$219*CX15)</f>
        <v>0</v>
      </c>
      <c r="CY219" s="3" t="n"/>
    </row>
    <row r="220" hidden="1" outlineLevel="1">
      <c r="C220" s="34" t="inlineStr">
        <is>
          <t>Total cash available / (debt required) for short term debt paydown</t>
        </is>
      </c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  <c r="AA220" s="3" t="n"/>
      <c r="AB220" s="3" t="n"/>
      <c r="AC220" s="3" t="n"/>
      <c r="AD220" s="3" t="n"/>
      <c r="AE220" s="3" t="n"/>
      <c r="AF220" s="3" t="n"/>
      <c r="AG220" s="3" t="n"/>
      <c r="AH220" s="1">
        <f>AH217+AH218-AH219-AF207+AH209+AH213</f>
        <v>20778</v>
      </c>
      <c r="AI220" s="1">
        <f>AI217+AI218-AI219-AG207+AI209+AI213</f>
        <v>9835</v>
      </c>
      <c r="AJ220" s="1">
        <f>AJ217+AJ218-AJ219-AH207+AJ209+AJ213</f>
        <v>36915</v>
      </c>
      <c r="AK220" s="1">
        <f>AK217+AK218-AK219-AI207+AK209+AK213</f>
        <v>98</v>
      </c>
      <c r="AL220" s="3" t="n"/>
      <c r="AM220" s="1" t="e">
        <f>AM217+AM218-AM219-AK207+AM209+AM213</f>
        <v>#DIV/0!</v>
      </c>
      <c r="AN220" s="1" t="e">
        <f>AN217+AN218-AN219-AL207+AN209+AN213</f>
        <v>#DIV/0!</v>
      </c>
      <c r="AO220" s="1" t="e">
        <f>AO217+AO218-AO219-AM207+AO209+AO213</f>
        <v>#DIV/0!</v>
      </c>
      <c r="AP220" s="1" t="e">
        <f>AP217+AP218-AP219-AN207+AP209+AP213</f>
        <v>#DIV/0!</v>
      </c>
      <c r="AQ220" s="3" t="n"/>
      <c r="AR220" s="1" t="e">
        <f>AR217+AR218-AR219-AP207+AR209+AR213</f>
        <v>#DIV/0!</v>
      </c>
      <c r="AS220" s="1" t="e">
        <f>AS217+AS218-AS219-AQ207+AS209+AS213</f>
        <v>#DIV/0!</v>
      </c>
      <c r="AT220" s="1" t="e">
        <f>AT217+AT218-AT219-AR207+AT209+AT213</f>
        <v>#DIV/0!</v>
      </c>
      <c r="AU220" s="1" t="e">
        <f>AU217+AU218-AU219-AS207+AU209+AU213</f>
        <v>#DIV/0!</v>
      </c>
      <c r="AV220" s="3" t="n"/>
      <c r="AW220" s="1" t="e">
        <f>AW217+AW218-AW219-AU207+AW209+AW213</f>
        <v>#DIV/0!</v>
      </c>
      <c r="AX220" s="1" t="e">
        <f>AX217+AX218-AX219-AV207+AX209+AX213</f>
        <v>#DIV/0!</v>
      </c>
      <c r="AY220" s="1" t="e">
        <f>AY217+AY218-AY219-AW207+AY209+AY213</f>
        <v>#DIV/0!</v>
      </c>
      <c r="AZ220" s="1" t="e">
        <f>AZ217+AZ218-AZ219-AX207+AZ209+AZ213</f>
        <v>#DIV/0!</v>
      </c>
      <c r="BA220" s="3" t="n"/>
      <c r="BB220" s="1" t="e">
        <f>BB217+BB218-BB219-AZ207+BB209+BB213</f>
        <v>#DIV/0!</v>
      </c>
      <c r="BC220" s="1" t="e">
        <f>BC217+BC218-BC219-BA207+BC209+BC213</f>
        <v>#DIV/0!</v>
      </c>
      <c r="BD220" s="1" t="e">
        <f>BD217+BD218-BD219-BB207+BD209+BD213</f>
        <v>#DIV/0!</v>
      </c>
      <c r="BE220" s="1" t="e">
        <f>BE217+BE218-BE219-BC207+BE209+BE213</f>
        <v>#DIV/0!</v>
      </c>
      <c r="BF220" s="3" t="n"/>
      <c r="BG220" s="1" t="e">
        <f>BG217+BG218-BG219-BE207+BG209+BG213</f>
        <v>#DIV/0!</v>
      </c>
      <c r="BH220" s="1" t="e">
        <f>BH217+BH218-BH219-BF207+BH209+BH213</f>
        <v>#DIV/0!</v>
      </c>
      <c r="BI220" s="1" t="e">
        <f>BI217+BI218-BI219-BG207+BI209+BI213</f>
        <v>#DIV/0!</v>
      </c>
      <c r="BJ220" s="1" t="e">
        <f>BJ217+BJ218-BJ219-BH207+BJ209+BJ213</f>
        <v>#DIV/0!</v>
      </c>
      <c r="BK220" s="3" t="n"/>
      <c r="BL220" s="1" t="e">
        <f>BL217+BL218-BL219-BJ207+BL209+BL213</f>
        <v>#DIV/0!</v>
      </c>
      <c r="BM220" s="1" t="e">
        <f>BM217+BM218-BM219-BK207+BM209+BM213</f>
        <v>#DIV/0!</v>
      </c>
      <c r="BN220" s="1" t="e">
        <f>BN217+BN218-BN219-BL207+BN209+BN213</f>
        <v>#DIV/0!</v>
      </c>
      <c r="BO220" s="1" t="e">
        <f>BO217+BO218-BO219-BM207+BO209+BO213</f>
        <v>#DIV/0!</v>
      </c>
      <c r="BP220" s="3" t="n"/>
      <c r="BQ220" s="1" t="e">
        <f>BQ217+BQ218-BQ219-BO207+BQ209+BQ213</f>
        <v>#DIV/0!</v>
      </c>
      <c r="BR220" s="1" t="e">
        <f>BR217+BR218-BR219-BP207+BR209+BR213</f>
        <v>#DIV/0!</v>
      </c>
      <c r="BS220" s="1" t="e">
        <f>BS217+BS218-BS219-BQ207+BS209+BS213</f>
        <v>#DIV/0!</v>
      </c>
      <c r="BT220" s="1" t="e">
        <f>BT217+BT218-BT219-BR207+BT209+BT213</f>
        <v>#DIV/0!</v>
      </c>
      <c r="BU220" s="3" t="n"/>
      <c r="BV220" s="1" t="e">
        <f>BV217+BV218-BV219-BT207+BV209+BV213</f>
        <v>#DIV/0!</v>
      </c>
      <c r="BW220" s="1" t="e">
        <f>BW217+BW218-BW219-BU207+BW209+BW213</f>
        <v>#DIV/0!</v>
      </c>
      <c r="BX220" s="1" t="e">
        <f>BX217+BX218-BX219-BV207+BX209+BX213</f>
        <v>#DIV/0!</v>
      </c>
      <c r="BY220" s="1" t="e">
        <f>BY217+BY218-BY219-BW207+BY209+BY213</f>
        <v>#DIV/0!</v>
      </c>
      <c r="BZ220" s="3" t="n"/>
      <c r="CA220" s="1" t="e">
        <f>CA217+CA218-CA219-BY207+CA209+CA213</f>
        <v>#DIV/0!</v>
      </c>
      <c r="CB220" s="1" t="e">
        <f>CB217+CB218-CB219-BZ207+CB209+CB213</f>
        <v>#DIV/0!</v>
      </c>
      <c r="CC220" s="1" t="e">
        <f>CC217+CC218-CC219-CA207+CC209+CC213</f>
        <v>#DIV/0!</v>
      </c>
      <c r="CD220" s="1" t="e">
        <f>CD217+CD218-CD219-CB207+CD209+CD213</f>
        <v>#DIV/0!</v>
      </c>
      <c r="CE220" s="3" t="n"/>
      <c r="CF220" s="1" t="e">
        <f>CF217+CF218-CF219-CD207+CF209+CF213</f>
        <v>#DIV/0!</v>
      </c>
      <c r="CG220" s="1" t="e">
        <f>CG217+CG218-CG219-CE207+CG209+CG213</f>
        <v>#DIV/0!</v>
      </c>
      <c r="CH220" s="1" t="e">
        <f>CH217+CH218-CH219-CF207+CH209+CH213</f>
        <v>#DIV/0!</v>
      </c>
      <c r="CI220" s="1" t="e">
        <f>CI217+CI218-CI219-CG207+CI209+CI213</f>
        <v>#DIV/0!</v>
      </c>
      <c r="CJ220" s="3" t="n"/>
      <c r="CK220" s="1" t="e">
        <f>CK217+CK218-CK219-CI207+CK209+CK213</f>
        <v>#DIV/0!</v>
      </c>
      <c r="CL220" s="1" t="e">
        <f>CL217+CL218-CL219-CJ207+CL209+CL213</f>
        <v>#DIV/0!</v>
      </c>
      <c r="CM220" s="1" t="e">
        <f>CM217+CM218-CM219-CK207+CM209+CM213</f>
        <v>#DIV/0!</v>
      </c>
      <c r="CN220" s="1" t="e">
        <f>CN217+CN218-CN219-CL207+CN209+CN213</f>
        <v>#DIV/0!</v>
      </c>
      <c r="CO220" s="3" t="n"/>
      <c r="CP220" s="1" t="e">
        <f>CP217+CP218-CP219-CN207+CP209+CP213</f>
        <v>#DIV/0!</v>
      </c>
      <c r="CQ220" s="1" t="e">
        <f>CQ217+CQ218-CQ219-CO207+CQ209+CQ213</f>
        <v>#DIV/0!</v>
      </c>
      <c r="CR220" s="1" t="e">
        <f>CR217+CR218-CR219-CP207+CR209+CR213</f>
        <v>#DIV/0!</v>
      </c>
      <c r="CS220" s="1" t="e">
        <f>CS217+CS218-CS219-CQ207+CS209+CS213</f>
        <v>#DIV/0!</v>
      </c>
      <c r="CT220" s="3" t="n"/>
      <c r="CU220" s="1" t="e">
        <f>CU217+CU218-CU219-CS207+CU209+CU213</f>
        <v>#DIV/0!</v>
      </c>
      <c r="CV220" s="1" t="e">
        <f>CV217+CV218-CV219-CT207+CV209+CV213</f>
        <v>#DIV/0!</v>
      </c>
      <c r="CW220" s="1" t="e">
        <f>CW217+CW218-CW219-CU207+CW209+CW213</f>
        <v>#DIV/0!</v>
      </c>
      <c r="CX220" s="1" t="e">
        <f>CX217+CX218-CX219-CV207+CX209+CX213</f>
        <v>#DIV/0!</v>
      </c>
      <c r="CY220" s="3" t="n"/>
    </row>
    <row r="221" hidden="1" outlineLevel="1">
      <c r="C221" s="34" t="inlineStr">
        <is>
          <t>Short term debt</t>
        </is>
      </c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  <c r="AA221" s="3" t="n"/>
      <c r="AB221" s="3" t="n"/>
      <c r="AC221" s="3" t="n"/>
      <c r="AD221" s="3" t="n"/>
      <c r="AE221" s="3" t="n"/>
      <c r="AF221" s="3" t="n"/>
      <c r="AG221" s="3" t="n"/>
      <c r="AH221" s="3">
        <f>AH201</f>
        <v>0</v>
      </c>
      <c r="AI221" s="3">
        <f>MAX(0,AH221-AI220)</f>
        <v>0</v>
      </c>
      <c r="AJ221" s="3">
        <f>MAX(0,AI221-AJ220)</f>
        <v>0</v>
      </c>
      <c r="AK221" s="3">
        <f>MAX(0,AJ221-AK220)</f>
        <v>0</v>
      </c>
      <c r="AL221" s="3" t="n"/>
      <c r="AM221" s="3">
        <f>AM201</f>
        <v>0</v>
      </c>
      <c r="AN221" s="3" t="e">
        <f>MAX(0,AM221-AN220)</f>
        <v>#DIV/0!</v>
      </c>
      <c r="AO221" s="3" t="e">
        <f>MAX(0,AN221-AO220)</f>
        <v>#DIV/0!</v>
      </c>
      <c r="AP221" s="3" t="e">
        <f>MAX(0,AO221-AP220)</f>
        <v>#DIV/0!</v>
      </c>
      <c r="AQ221" s="3" t="n"/>
      <c r="AR221" s="3">
        <f>AR201</f>
        <v>0</v>
      </c>
      <c r="AS221" s="3" t="e">
        <f>MAX(0,AR221-AS220)</f>
        <v>#DIV/0!</v>
      </c>
      <c r="AT221" s="3" t="e">
        <f>MAX(0,AS221-AT220)</f>
        <v>#DIV/0!</v>
      </c>
      <c r="AU221" s="3" t="e">
        <f>MAX(0,AT221-AU220)</f>
        <v>#DIV/0!</v>
      </c>
      <c r="AV221" s="3" t="n"/>
      <c r="AW221" s="3">
        <f>AW201</f>
        <v>0</v>
      </c>
      <c r="AX221" s="3" t="e">
        <f>MAX(0,AW221-AX220)</f>
        <v>#DIV/0!</v>
      </c>
      <c r="AY221" s="3" t="e">
        <f>MAX(0,AX221-AY220)</f>
        <v>#DIV/0!</v>
      </c>
      <c r="AZ221" s="3" t="e">
        <f>MAX(0,AY221-AZ220)</f>
        <v>#DIV/0!</v>
      </c>
      <c r="BA221" s="3" t="n"/>
      <c r="BB221" s="3">
        <f>BB201</f>
        <v>0</v>
      </c>
      <c r="BC221" s="3" t="e">
        <f>MAX(0,BB221-BC220)</f>
        <v>#DIV/0!</v>
      </c>
      <c r="BD221" s="3" t="e">
        <f>MAX(0,BC221-BD220)</f>
        <v>#DIV/0!</v>
      </c>
      <c r="BE221" s="3" t="e">
        <f>MAX(0,BD221-BE220)</f>
        <v>#DIV/0!</v>
      </c>
      <c r="BF221" s="3" t="n"/>
      <c r="BG221" s="3">
        <f>BG201</f>
        <v>0</v>
      </c>
      <c r="BH221" s="3" t="e">
        <f>MAX(0,BG221-BH220)</f>
        <v>#DIV/0!</v>
      </c>
      <c r="BI221" s="3" t="e">
        <f>MAX(0,BH221-BI220)</f>
        <v>#DIV/0!</v>
      </c>
      <c r="BJ221" s="3" t="e">
        <f>MAX(0,BI221-BJ220)</f>
        <v>#DIV/0!</v>
      </c>
      <c r="BK221" s="3" t="n"/>
      <c r="BL221" s="3">
        <f>BL201</f>
        <v>0</v>
      </c>
      <c r="BM221" s="3" t="e">
        <f>MAX(0,BL221-BM220)</f>
        <v>#DIV/0!</v>
      </c>
      <c r="BN221" s="3" t="e">
        <f>MAX(0,BM221-BN220)</f>
        <v>#DIV/0!</v>
      </c>
      <c r="BO221" s="3" t="e">
        <f>MAX(0,BN221-BO220)</f>
        <v>#DIV/0!</v>
      </c>
      <c r="BP221" s="3" t="n"/>
      <c r="BQ221" s="3">
        <f>BQ201</f>
        <v>0</v>
      </c>
      <c r="BR221" s="3" t="e">
        <f>MAX(0,BQ221-BR220)</f>
        <v>#DIV/0!</v>
      </c>
      <c r="BS221" s="3" t="e">
        <f>MAX(0,BR221-BS220)</f>
        <v>#DIV/0!</v>
      </c>
      <c r="BT221" s="3" t="e">
        <f>MAX(0,BS221-BT220)</f>
        <v>#DIV/0!</v>
      </c>
      <c r="BU221" s="3" t="n"/>
      <c r="BV221" s="3">
        <f>BV201</f>
        <v>0</v>
      </c>
      <c r="BW221" s="3" t="e">
        <f>MAX(0,BV221-BW220)</f>
        <v>#DIV/0!</v>
      </c>
      <c r="BX221" s="3" t="e">
        <f>MAX(0,BW221-BX220)</f>
        <v>#DIV/0!</v>
      </c>
      <c r="BY221" s="3" t="e">
        <f>MAX(0,BX221-BY220)</f>
        <v>#DIV/0!</v>
      </c>
      <c r="BZ221" s="3" t="n"/>
      <c r="CA221" s="3">
        <f>CA201</f>
        <v>0</v>
      </c>
      <c r="CB221" s="3" t="e">
        <f>MAX(0,CA221-CB220)</f>
        <v>#DIV/0!</v>
      </c>
      <c r="CC221" s="3" t="e">
        <f>MAX(0,CB221-CC220)</f>
        <v>#DIV/0!</v>
      </c>
      <c r="CD221" s="3" t="e">
        <f>MAX(0,CC221-CD220)</f>
        <v>#DIV/0!</v>
      </c>
      <c r="CE221" s="3" t="n"/>
      <c r="CF221" s="3">
        <f>CF201</f>
        <v>0</v>
      </c>
      <c r="CG221" s="3" t="e">
        <f>MAX(0,CF221-CG220)</f>
        <v>#DIV/0!</v>
      </c>
      <c r="CH221" s="3" t="e">
        <f>MAX(0,CG221-CH220)</f>
        <v>#DIV/0!</v>
      </c>
      <c r="CI221" s="3" t="e">
        <f>MAX(0,CH221-CI220)</f>
        <v>#DIV/0!</v>
      </c>
      <c r="CJ221" s="3" t="n"/>
      <c r="CK221" s="3">
        <f>CK201</f>
        <v>0</v>
      </c>
      <c r="CL221" s="3" t="e">
        <f>MAX(0,CK221-CL220)</f>
        <v>#DIV/0!</v>
      </c>
      <c r="CM221" s="3" t="e">
        <f>MAX(0,CL221-CM220)</f>
        <v>#DIV/0!</v>
      </c>
      <c r="CN221" s="3" t="e">
        <f>MAX(0,CM221-CN220)</f>
        <v>#DIV/0!</v>
      </c>
      <c r="CO221" s="3" t="n"/>
      <c r="CP221" s="3">
        <f>CP201</f>
        <v>0</v>
      </c>
      <c r="CQ221" s="3" t="e">
        <f>MAX(0,CP221-CQ220)</f>
        <v>#DIV/0!</v>
      </c>
      <c r="CR221" s="3" t="e">
        <f>MAX(0,CQ221-CR220)</f>
        <v>#DIV/0!</v>
      </c>
      <c r="CS221" s="3" t="e">
        <f>MAX(0,CR221-CS220)</f>
        <v>#DIV/0!</v>
      </c>
      <c r="CT221" s="3" t="n"/>
      <c r="CU221" s="3">
        <f>CU201</f>
        <v>0</v>
      </c>
      <c r="CV221" s="3" t="e">
        <f>MAX(0,CU221-CV220)</f>
        <v>#DIV/0!</v>
      </c>
      <c r="CW221" s="3" t="e">
        <f>MAX(0,CV221-CW220)</f>
        <v>#DIV/0!</v>
      </c>
      <c r="CX221" s="3" t="e">
        <f>MAX(0,CW221-CX220)</f>
        <v>#DIV/0!</v>
      </c>
      <c r="CY221" s="3" t="n"/>
    </row>
    <row r="222" hidden="1" outlineLevel="1">
      <c r="C222" s="34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  <c r="AA222" s="3" t="n"/>
      <c r="AB222" s="3" t="n"/>
      <c r="AC222" s="3" t="n"/>
      <c r="AD222" s="3" t="n"/>
      <c r="AE222" s="3" t="n"/>
      <c r="AF222" s="3" t="n"/>
      <c r="AG222" s="3" t="n"/>
      <c r="AH222" s="3" t="n"/>
      <c r="AI222" s="3" t="n"/>
      <c r="AJ222" s="3" t="n"/>
      <c r="AK222" s="3" t="n"/>
      <c r="AL222" s="3" t="n"/>
      <c r="AM222" s="3" t="n"/>
      <c r="AN222" s="3" t="n"/>
      <c r="AO222" s="3" t="n"/>
      <c r="AP222" s="3" t="n"/>
      <c r="AQ222" s="3" t="n"/>
      <c r="AR222" s="3" t="n"/>
      <c r="AS222" s="3" t="n"/>
      <c r="AT222" s="3" t="n"/>
      <c r="AU222" s="3" t="n"/>
      <c r="AV222" s="3" t="n"/>
      <c r="AW222" s="3" t="n"/>
      <c r="AX222" s="3" t="n"/>
      <c r="AY222" s="3" t="n"/>
      <c r="AZ222" s="3" t="n"/>
      <c r="BA222" s="3" t="n"/>
      <c r="BB222" s="3" t="n"/>
      <c r="BC222" s="3" t="n"/>
      <c r="BD222" s="3" t="n"/>
      <c r="BE222" s="3" t="n"/>
      <c r="BF222" s="3" t="n"/>
      <c r="BG222" s="3" t="n"/>
      <c r="BH222" s="3" t="n"/>
      <c r="BI222" s="3" t="n"/>
      <c r="BJ222" s="3" t="n"/>
      <c r="BK222" s="3" t="n"/>
      <c r="BL222" s="3" t="n"/>
      <c r="BM222" s="3" t="n"/>
      <c r="BN222" s="3" t="n"/>
      <c r="BO222" s="3" t="n"/>
      <c r="BP222" s="3" t="n"/>
      <c r="BQ222" s="3" t="n"/>
      <c r="BR222" s="3" t="n"/>
      <c r="BS222" s="3" t="n"/>
      <c r="BT222" s="3" t="n"/>
      <c r="BU222" s="3" t="n"/>
      <c r="BV222" s="3" t="n"/>
      <c r="BW222" s="3" t="n"/>
      <c r="BX222" s="3" t="n"/>
      <c r="BY222" s="3" t="n"/>
      <c r="BZ222" s="3" t="n"/>
      <c r="CA222" s="3" t="n"/>
      <c r="CB222" s="3" t="n"/>
      <c r="CC222" s="3" t="n"/>
      <c r="CD222" s="3" t="n"/>
      <c r="CE222" s="3" t="n"/>
      <c r="CF222" s="3" t="n"/>
      <c r="CG222" s="3" t="n"/>
      <c r="CH222" s="3" t="n"/>
      <c r="CI222" s="3" t="n"/>
      <c r="CJ222" s="3" t="n"/>
      <c r="CK222" s="3" t="n"/>
      <c r="CL222" s="3" t="n"/>
      <c r="CM222" s="3" t="n"/>
      <c r="CN222" s="3" t="n"/>
      <c r="CO222" s="3" t="n"/>
      <c r="CP222" s="3" t="n"/>
      <c r="CQ222" s="3" t="n"/>
      <c r="CR222" s="3" t="n"/>
      <c r="CS222" s="3" t="n"/>
      <c r="CT222" s="3" t="n"/>
      <c r="CU222" s="3" t="n"/>
      <c r="CV222" s="3" t="n"/>
      <c r="CW222" s="3" t="n"/>
      <c r="CX222" s="3" t="n"/>
      <c r="CY222" s="3" t="n"/>
    </row>
    <row r="223" collapsed="1">
      <c r="C223" s="26" t="inlineStr">
        <is>
          <t>Long term operating leases</t>
        </is>
      </c>
      <c r="D223" s="25">
        <f>INDEX('Inputs (2)'!$D$36:$AL$36,MATCH(D$7,'Inputs (2)'!$D$2:$AL$2,0))</f>
        <v>0</v>
      </c>
      <c r="E223" s="25">
        <f>INDEX('Inputs (2)'!$D$36:$AL$36,MATCH(E$7,'Inputs (2)'!$D$2:$AL$2,0))</f>
        <v>0</v>
      </c>
      <c r="F223" s="25">
        <f>INDEX('Inputs (2)'!$D$36:$AL$36,MATCH(F$7,'Inputs (2)'!$D$2:$AL$2,0))</f>
        <v>0</v>
      </c>
      <c r="G223" s="25">
        <f>INDEX('Inputs (2)'!$D$36:$AL$36,MATCH(G$7,'Inputs (2)'!$D$2:$AL$2,0))</f>
        <v>0</v>
      </c>
      <c r="H223" s="3">
        <f>G223</f>
        <v>0</v>
      </c>
      <c r="I223" s="25">
        <f>INDEX('Inputs (2)'!$D$36:$AL$36,MATCH(I$7,'Inputs (2)'!$D$2:$AL$2,0))</f>
        <v>0</v>
      </c>
      <c r="J223" s="25">
        <f>INDEX('Inputs (2)'!$D$36:$AL$36,MATCH(J$7,'Inputs (2)'!$D$2:$AL$2,0))</f>
        <v>0</v>
      </c>
      <c r="K223" s="25">
        <f>INDEX('Inputs (2)'!$D$36:$AL$36,MATCH(K$7,'Inputs (2)'!$D$2:$AL$2,0))</f>
        <v>0</v>
      </c>
      <c r="L223" s="25">
        <f>INDEX('Inputs (2)'!$D$36:$AL$36,MATCH(L$7,'Inputs (2)'!$D$2:$AL$2,0))</f>
        <v>0</v>
      </c>
      <c r="M223" s="3">
        <f>L223</f>
        <v>0</v>
      </c>
      <c r="N223" s="25">
        <f>INDEX('Inputs (2)'!$D$36:$AL$36,MATCH(N$7,'Inputs (2)'!$D$2:$AL$2,0))</f>
        <v>0</v>
      </c>
      <c r="O223" s="25">
        <f>INDEX('Inputs (2)'!$D$36:$AL$36,MATCH(O$7,'Inputs (2)'!$D$2:$AL$2,0))</f>
        <v>0</v>
      </c>
      <c r="P223" s="25">
        <f>INDEX('Inputs (2)'!$D$36:$AL$36,MATCH(P$7,'Inputs (2)'!$D$2:$AL$2,0))</f>
        <v>0</v>
      </c>
      <c r="Q223" s="25">
        <f>INDEX('Inputs (2)'!$D$36:$AL$36,MATCH(Q$7,'Inputs (2)'!$D$2:$AL$2,0))</f>
        <v>0</v>
      </c>
      <c r="R223" s="3">
        <f>Q223</f>
        <v>0</v>
      </c>
      <c r="S223" s="25">
        <f>INDEX('Inputs (2)'!$D$36:$AL$36,MATCH(S$7,'Inputs (2)'!$D$2:$AL$2,0))</f>
        <v>0</v>
      </c>
      <c r="T223" s="25">
        <f>INDEX('Inputs (2)'!$D$36:$AL$36,MATCH(T$7,'Inputs (2)'!$D$2:$AL$2,0))</f>
        <v>0</v>
      </c>
      <c r="U223" s="25">
        <f>INDEX('Inputs (2)'!$D$36:$AL$36,MATCH(U$7,'Inputs (2)'!$D$2:$AL$2,0))</f>
        <v>0</v>
      </c>
      <c r="V223" s="25">
        <f>INDEX('Inputs (2)'!$D$36:$AL$36,MATCH(V$7,'Inputs (2)'!$D$2:$AL$2,0))</f>
        <v>0</v>
      </c>
      <c r="W223" s="3">
        <f>V223</f>
        <v>0</v>
      </c>
      <c r="X223" s="25">
        <f>INDEX('Inputs (2)'!$D$36:$AL$36,MATCH(X$7,'Inputs (2)'!$D$2:$AL$2,0))</f>
        <v>0</v>
      </c>
      <c r="Y223" s="25">
        <f>INDEX('Inputs (2)'!$D$36:$AL$36,MATCH(Y$7,'Inputs (2)'!$D$2:$AL$2,0))</f>
        <v>0</v>
      </c>
      <c r="Z223" s="25">
        <f>INDEX('Inputs (2)'!$D$36:$AL$36,MATCH(Z$7,'Inputs (2)'!$D$2:$AL$2,0))</f>
        <v>0</v>
      </c>
      <c r="AA223" s="25">
        <f>INDEX('Inputs (2)'!$D$36:$AL$36,MATCH(AA$7,'Inputs (2)'!$D$2:$AL$2,0))</f>
        <v>0</v>
      </c>
      <c r="AB223" s="3">
        <f>AA223</f>
        <v>0</v>
      </c>
      <c r="AC223" s="25">
        <f>INDEX('Inputs (2)'!$D$36:$AL$36,MATCH(AC$7,'Inputs (2)'!$D$2:$AL$2,0))</f>
        <v>0</v>
      </c>
      <c r="AD223" s="25">
        <f>INDEX('Inputs (2)'!$D$36:$AL$36,MATCH(AD$7,'Inputs (2)'!$D$2:$AL$2,0))</f>
        <v>0</v>
      </c>
      <c r="AE223" s="25">
        <f>INDEX('Inputs (2)'!$D$36:$AL$36,MATCH(AE$7,'Inputs (2)'!$D$2:$AL$2,0))</f>
        <v>0</v>
      </c>
      <c r="AF223" s="25">
        <f>INDEX('Inputs (2)'!$D$36:$AL$36,MATCH(AF$7,'Inputs (2)'!$D$2:$AL$2,0))</f>
        <v>0</v>
      </c>
      <c r="AG223" s="3">
        <f>AF223</f>
        <v>0</v>
      </c>
      <c r="AH223" s="3">
        <f>INDEX('Inputs (2)'!$D$36:$AL$36,MATCH(AH$7,'Inputs (2)'!$D$2:$AL$2,0))</f>
        <v>0</v>
      </c>
      <c r="AI223" s="3">
        <f>INDEX('Inputs (2)'!$D$36:$AL$36,MATCH(AI$7,'Inputs (2)'!$D$2:$AL$2,0))</f>
        <v>0</v>
      </c>
      <c r="AJ223" s="3">
        <f>AI223</f>
        <v>0</v>
      </c>
      <c r="AK223" s="3">
        <f>AJ223</f>
        <v>0</v>
      </c>
      <c r="AL223" s="3">
        <f>AK223</f>
        <v>0</v>
      </c>
      <c r="AM223" s="3">
        <f>AL223</f>
        <v>0</v>
      </c>
      <c r="AN223" s="3">
        <f>AM223</f>
        <v>0</v>
      </c>
      <c r="AO223" s="3">
        <f>AN223</f>
        <v>0</v>
      </c>
      <c r="AP223" s="3">
        <f>AO223</f>
        <v>0</v>
      </c>
      <c r="AQ223" s="3">
        <f>AP223</f>
        <v>0</v>
      </c>
      <c r="AR223" s="3">
        <f>AQ223</f>
        <v>0</v>
      </c>
      <c r="AS223" s="3">
        <f>AR223</f>
        <v>0</v>
      </c>
      <c r="AT223" s="3">
        <f>AS223</f>
        <v>0</v>
      </c>
      <c r="AU223" s="3">
        <f>AT223</f>
        <v>0</v>
      </c>
      <c r="AV223" s="3">
        <f>AU223</f>
        <v>0</v>
      </c>
      <c r="AW223" s="3">
        <f>AV223</f>
        <v>0</v>
      </c>
      <c r="AX223" s="3">
        <f>AW223</f>
        <v>0</v>
      </c>
      <c r="AY223" s="3">
        <f>AX223</f>
        <v>0</v>
      </c>
      <c r="AZ223" s="3">
        <f>AY223</f>
        <v>0</v>
      </c>
      <c r="BA223" s="3">
        <f>AZ223</f>
        <v>0</v>
      </c>
      <c r="BB223" s="3">
        <f>BA223</f>
        <v>0</v>
      </c>
      <c r="BC223" s="3">
        <f>BB223</f>
        <v>0</v>
      </c>
      <c r="BD223" s="3">
        <f>BC223</f>
        <v>0</v>
      </c>
      <c r="BE223" s="3">
        <f>BD223</f>
        <v>0</v>
      </c>
      <c r="BF223" s="3">
        <f>BE223</f>
        <v>0</v>
      </c>
      <c r="BG223" s="3">
        <f>BF223</f>
        <v>0</v>
      </c>
      <c r="BH223" s="3">
        <f>BG223</f>
        <v>0</v>
      </c>
      <c r="BI223" s="3">
        <f>BH223</f>
        <v>0</v>
      </c>
      <c r="BJ223" s="3">
        <f>BI223</f>
        <v>0</v>
      </c>
      <c r="BK223" s="3">
        <f>BJ223</f>
        <v>0</v>
      </c>
      <c r="BL223" s="3">
        <f>BK223</f>
        <v>0</v>
      </c>
      <c r="BM223" s="3">
        <f>BL223</f>
        <v>0</v>
      </c>
      <c r="BN223" s="3">
        <f>BM223</f>
        <v>0</v>
      </c>
      <c r="BO223" s="3">
        <f>BN223</f>
        <v>0</v>
      </c>
      <c r="BP223" s="3">
        <f>BO223</f>
        <v>0</v>
      </c>
      <c r="BQ223" s="3">
        <f>BP223</f>
        <v>0</v>
      </c>
      <c r="BR223" s="3">
        <f>BQ223</f>
        <v>0</v>
      </c>
      <c r="BS223" s="3">
        <f>BR223</f>
        <v>0</v>
      </c>
      <c r="BT223" s="3">
        <f>BS223</f>
        <v>0</v>
      </c>
      <c r="BU223" s="3">
        <f>BT223</f>
        <v>0</v>
      </c>
      <c r="BV223" s="3">
        <f>BU223</f>
        <v>0</v>
      </c>
      <c r="BW223" s="3">
        <f>BV223</f>
        <v>0</v>
      </c>
      <c r="BX223" s="3">
        <f>BW223</f>
        <v>0</v>
      </c>
      <c r="BY223" s="3">
        <f>BX223</f>
        <v>0</v>
      </c>
      <c r="BZ223" s="3">
        <f>BY223</f>
        <v>0</v>
      </c>
      <c r="CA223" s="3">
        <f>BZ223</f>
        <v>0</v>
      </c>
      <c r="CB223" s="3">
        <f>CA223</f>
        <v>0</v>
      </c>
      <c r="CC223" s="3">
        <f>CB223</f>
        <v>0</v>
      </c>
      <c r="CD223" s="3">
        <f>CC223</f>
        <v>0</v>
      </c>
      <c r="CE223" s="3">
        <f>CD223</f>
        <v>0</v>
      </c>
      <c r="CF223" s="3">
        <f>CE223</f>
        <v>0</v>
      </c>
      <c r="CG223" s="3">
        <f>CF223</f>
        <v>0</v>
      </c>
      <c r="CH223" s="3">
        <f>CG223</f>
        <v>0</v>
      </c>
      <c r="CI223" s="3">
        <f>CH223</f>
        <v>0</v>
      </c>
      <c r="CJ223" s="3">
        <f>CI223</f>
        <v>0</v>
      </c>
      <c r="CK223" s="3">
        <f>CJ223</f>
        <v>0</v>
      </c>
      <c r="CL223" s="3">
        <f>CK223</f>
        <v>0</v>
      </c>
      <c r="CM223" s="3">
        <f>CL223</f>
        <v>0</v>
      </c>
      <c r="CN223" s="3">
        <f>CM223</f>
        <v>0</v>
      </c>
      <c r="CO223" s="3">
        <f>CN223</f>
        <v>0</v>
      </c>
      <c r="CP223" s="3">
        <f>CO223</f>
        <v>0</v>
      </c>
      <c r="CQ223" s="3">
        <f>CP223</f>
        <v>0</v>
      </c>
      <c r="CR223" s="3">
        <f>CQ223</f>
        <v>0</v>
      </c>
      <c r="CS223" s="3">
        <f>CR223</f>
        <v>0</v>
      </c>
      <c r="CT223" s="3">
        <f>CS223</f>
        <v>0</v>
      </c>
      <c r="CU223" s="3">
        <f>CT223</f>
        <v>0</v>
      </c>
      <c r="CV223" s="3">
        <f>CU223</f>
        <v>0</v>
      </c>
      <c r="CW223" s="3">
        <f>CV223</f>
        <v>0</v>
      </c>
      <c r="CX223" s="3">
        <f>CW223</f>
        <v>0</v>
      </c>
      <c r="CY223" s="3">
        <f>CX223</f>
        <v>0</v>
      </c>
    </row>
    <row r="224" hidden="1" outlineLevel="1">
      <c r="C224" s="38" t="inlineStr">
        <is>
          <t>%(Var.)</t>
        </is>
      </c>
      <c r="D224" s="3" t="n"/>
      <c r="E224" s="47">
        <f>IFERROR((E223-D223)/D223,0)</f>
        <v>0</v>
      </c>
      <c r="F224" s="47">
        <f>IFERROR((F223-E223)/E223,0)</f>
        <v>0</v>
      </c>
      <c r="G224" s="47">
        <f>IFERROR((G223-F223)/F223,0)</f>
        <v>0</v>
      </c>
      <c r="H224" s="3" t="n"/>
      <c r="I224" s="47">
        <f>IFERROR((I223-H223)/H223,0)</f>
        <v>0</v>
      </c>
      <c r="J224" s="47">
        <f>IFERROR((J223-I223)/I223,0)</f>
        <v>0</v>
      </c>
      <c r="K224" s="47">
        <f>IFERROR((K223-J223)/J223,0)</f>
        <v>0</v>
      </c>
      <c r="L224" s="47">
        <f>IFERROR((L223-K223)/K223,0)</f>
        <v>0</v>
      </c>
      <c r="M224" s="3" t="n"/>
      <c r="N224" s="47">
        <f>IFERROR((N223-M223)/M223,0)</f>
        <v>0</v>
      </c>
      <c r="O224" s="47">
        <f>IFERROR((O223-N223)/N223,0)</f>
        <v>0</v>
      </c>
      <c r="P224" s="47">
        <f>IFERROR((P223-O223)/O223,0)</f>
        <v>0</v>
      </c>
      <c r="Q224" s="47">
        <f>IFERROR((Q223-P223)/P223,0)</f>
        <v>0</v>
      </c>
      <c r="R224" s="3" t="n"/>
      <c r="S224" s="47">
        <f>IFERROR((S223-R223)/R223,0)</f>
        <v>0</v>
      </c>
      <c r="T224" s="47">
        <f>IFERROR((T223-S223)/S223,0)</f>
        <v>0</v>
      </c>
      <c r="U224" s="47">
        <f>IFERROR((U223-T223)/T223,0)</f>
        <v>0</v>
      </c>
      <c r="V224" s="47">
        <f>IFERROR((V223-U223)/U223,0)</f>
        <v>0</v>
      </c>
      <c r="W224" s="3" t="n"/>
      <c r="X224" s="47">
        <f>IFERROR((X223-W223)/W223,0)</f>
        <v>0</v>
      </c>
      <c r="Y224" s="47">
        <f>IFERROR((Y223-X223)/X223,0)</f>
        <v>0</v>
      </c>
      <c r="Z224" s="47">
        <f>IFERROR((Z223-Y223)/Y223,0)</f>
        <v>0</v>
      </c>
      <c r="AA224" s="47">
        <f>IFERROR((AA223-Z223)/Z223,0)</f>
        <v>0</v>
      </c>
      <c r="AB224" s="3" t="n"/>
      <c r="AC224" s="47">
        <f>IFERROR((AC223-AB223)/AB223,0)</f>
        <v>0</v>
      </c>
      <c r="AD224" s="47">
        <f>IFERROR((AD223-AC223)/AC223,0)</f>
        <v>0</v>
      </c>
      <c r="AE224" s="47">
        <f>IFERROR((AE223-AD223)/AD223,0)</f>
        <v>0</v>
      </c>
      <c r="AF224" s="230">
        <f>IFERROR((AF223-AE223)/AE223,0)</f>
        <v>0</v>
      </c>
      <c r="AG224" s="3" t="n"/>
      <c r="AH224" s="6">
        <f>IFERROR((AH223-AG223)/AG223,0)</f>
        <v>0</v>
      </c>
      <c r="AI224" s="6">
        <f>IFERROR((AI223-AH223)/AH223,0)</f>
        <v>0</v>
      </c>
      <c r="AJ224" s="6" t="n"/>
      <c r="AK224" s="6" t="n"/>
      <c r="AL224" s="3" t="n"/>
      <c r="AM224" s="6" t="n"/>
      <c r="AN224" s="6" t="n"/>
      <c r="AO224" s="6" t="n"/>
      <c r="AP224" s="6" t="n"/>
      <c r="AQ224" s="3" t="n"/>
      <c r="AR224" s="6" t="n"/>
      <c r="AS224" s="6" t="n"/>
      <c r="AT224" s="6" t="n"/>
      <c r="AU224" s="6" t="n"/>
      <c r="AV224" s="3" t="n"/>
      <c r="AW224" s="6" t="n"/>
      <c r="AX224" s="6" t="n"/>
      <c r="AY224" s="6" t="n"/>
      <c r="AZ224" s="6" t="n"/>
      <c r="BA224" s="3" t="n"/>
      <c r="BB224" s="6" t="n"/>
      <c r="BC224" s="6" t="n"/>
      <c r="BD224" s="6" t="n"/>
      <c r="BE224" s="6" t="n"/>
      <c r="BF224" s="3" t="n"/>
      <c r="BG224" s="6" t="n"/>
      <c r="BH224" s="6" t="n"/>
      <c r="BI224" s="6" t="n"/>
      <c r="BJ224" s="6" t="n"/>
      <c r="BK224" s="3" t="n"/>
      <c r="BL224" s="6" t="n"/>
      <c r="BM224" s="6" t="n"/>
      <c r="BN224" s="6" t="n"/>
      <c r="BO224" s="6" t="n"/>
      <c r="BP224" s="3" t="n"/>
      <c r="BQ224" s="6" t="n"/>
      <c r="BR224" s="6" t="n"/>
      <c r="BS224" s="6" t="n"/>
      <c r="BT224" s="6" t="n"/>
      <c r="BU224" s="3" t="n"/>
      <c r="BV224" s="6" t="n"/>
      <c r="BW224" s="6" t="n"/>
      <c r="BX224" s="6" t="n"/>
      <c r="BY224" s="6" t="n"/>
      <c r="BZ224" s="3" t="n"/>
      <c r="CA224" s="6" t="n"/>
      <c r="CB224" s="6" t="n"/>
      <c r="CC224" s="6" t="n"/>
      <c r="CD224" s="6" t="n"/>
      <c r="CE224" s="3" t="n"/>
      <c r="CF224" s="6" t="n"/>
      <c r="CG224" s="6" t="n"/>
      <c r="CH224" s="6" t="n"/>
      <c r="CI224" s="6" t="n"/>
      <c r="CJ224" s="3" t="n"/>
      <c r="CK224" s="6" t="n"/>
      <c r="CL224" s="6" t="n"/>
      <c r="CM224" s="6" t="n"/>
      <c r="CN224" s="6" t="n"/>
      <c r="CO224" s="3" t="n"/>
      <c r="CP224" s="6" t="n"/>
      <c r="CQ224" s="6" t="n"/>
      <c r="CR224" s="6" t="n"/>
      <c r="CS224" s="6" t="n"/>
      <c r="CT224" s="3" t="n"/>
      <c r="CU224" s="6" t="n"/>
      <c r="CV224" s="6" t="n"/>
      <c r="CW224" s="6" t="n"/>
      <c r="CX224" s="6" t="n"/>
      <c r="CY224" s="3" t="n"/>
    </row>
    <row r="225" hidden="1" outlineLevel="1">
      <c r="C225" s="34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  <c r="AA225" s="3" t="n"/>
      <c r="AB225" s="3" t="n"/>
      <c r="AC225" s="3" t="n"/>
      <c r="AD225" s="3" t="n"/>
      <c r="AE225" s="3" t="n"/>
      <c r="AF225" s="3" t="n"/>
      <c r="AG225" s="3" t="n"/>
      <c r="AH225" s="3" t="n"/>
      <c r="AI225" s="3" t="n"/>
      <c r="AJ225" s="3" t="n"/>
      <c r="AK225" s="3" t="n"/>
      <c r="AL225" s="3" t="n"/>
      <c r="AM225" s="3" t="n"/>
      <c r="AN225" s="3" t="n"/>
      <c r="AO225" s="3" t="n"/>
      <c r="AP225" s="3" t="n"/>
      <c r="AQ225" s="3" t="n"/>
      <c r="AR225" s="3" t="n"/>
      <c r="AS225" s="3" t="n"/>
      <c r="AT225" s="3" t="n"/>
      <c r="AU225" s="3" t="n"/>
      <c r="AV225" s="3" t="n"/>
      <c r="AW225" s="3" t="n"/>
      <c r="AX225" s="3" t="n"/>
      <c r="AY225" s="3" t="n"/>
      <c r="AZ225" s="3" t="n"/>
      <c r="BA225" s="3" t="n"/>
      <c r="BB225" s="3" t="n"/>
      <c r="BC225" s="3" t="n"/>
      <c r="BD225" s="3" t="n"/>
      <c r="BE225" s="3" t="n"/>
      <c r="BF225" s="3" t="n"/>
      <c r="BG225" s="3" t="n"/>
      <c r="BH225" s="3" t="n"/>
      <c r="BI225" s="3" t="n"/>
      <c r="BJ225" s="3" t="n"/>
      <c r="BK225" s="3" t="n"/>
      <c r="BL225" s="3" t="n"/>
      <c r="BM225" s="3" t="n"/>
      <c r="BN225" s="3" t="n"/>
      <c r="BO225" s="3" t="n"/>
      <c r="BP225" s="3" t="n"/>
      <c r="BQ225" s="3" t="n"/>
      <c r="BR225" s="3" t="n"/>
      <c r="BS225" s="3" t="n"/>
      <c r="BT225" s="3" t="n"/>
      <c r="BU225" s="3" t="n"/>
      <c r="BV225" s="3" t="n"/>
      <c r="BW225" s="3" t="n"/>
      <c r="BX225" s="3" t="n"/>
      <c r="BY225" s="3" t="n"/>
      <c r="BZ225" s="3" t="n"/>
      <c r="CA225" s="3" t="n"/>
      <c r="CB225" s="3" t="n"/>
      <c r="CC225" s="3" t="n"/>
      <c r="CD225" s="3" t="n"/>
      <c r="CE225" s="3" t="n"/>
      <c r="CF225" s="3" t="n"/>
      <c r="CG225" s="3" t="n"/>
      <c r="CH225" s="3" t="n"/>
      <c r="CI225" s="3" t="n"/>
      <c r="CJ225" s="3" t="n"/>
      <c r="CK225" s="3" t="n"/>
      <c r="CL225" s="3" t="n"/>
      <c r="CM225" s="3" t="n"/>
      <c r="CN225" s="3" t="n"/>
      <c r="CO225" s="3" t="n"/>
      <c r="CP225" s="3" t="n"/>
      <c r="CQ225" s="3" t="n"/>
      <c r="CR225" s="3" t="n"/>
      <c r="CS225" s="3" t="n"/>
      <c r="CT225" s="3" t="n"/>
      <c r="CU225" s="3" t="n"/>
      <c r="CV225" s="3" t="n"/>
      <c r="CW225" s="3" t="n"/>
      <c r="CX225" s="3" t="n"/>
      <c r="CY225" s="3" t="n"/>
    </row>
    <row r="226" collapsed="1">
      <c r="C226" s="26" t="inlineStr">
        <is>
          <t>Convertible debt</t>
        </is>
      </c>
      <c r="D226" s="25">
        <f>INDEX('Inputs (2)'!$D$37:$AL$37,MATCH(D$7,'Inputs (2)'!$D$2:$AL$2,0))</f>
        <v>0</v>
      </c>
      <c r="E226" s="25">
        <f>INDEX('Inputs (2)'!$D$37:$AL$37,MATCH(E$7,'Inputs (2)'!$D$2:$AL$2,0))</f>
        <v>0</v>
      </c>
      <c r="F226" s="25">
        <f>INDEX('Inputs (2)'!$D$37:$AL$37,MATCH(F$7,'Inputs (2)'!$D$2:$AL$2,0))</f>
        <v>0</v>
      </c>
      <c r="G226" s="25">
        <f>INDEX('Inputs (2)'!$D$37:$AL$37,MATCH(G$7,'Inputs (2)'!$D$2:$AL$2,0))</f>
        <v>0</v>
      </c>
      <c r="H226" s="3">
        <f>G226</f>
        <v>0</v>
      </c>
      <c r="I226" s="25">
        <f>INDEX('Inputs (2)'!$D$37:$AL$37,MATCH(I$7,'Inputs (2)'!$D$2:$AL$2,0))</f>
        <v>0</v>
      </c>
      <c r="J226" s="25">
        <f>INDEX('Inputs (2)'!$D$37:$AL$37,MATCH(J$7,'Inputs (2)'!$D$2:$AL$2,0))</f>
        <v>0</v>
      </c>
      <c r="K226" s="25">
        <f>INDEX('Inputs (2)'!$D$37:$AL$37,MATCH(K$7,'Inputs (2)'!$D$2:$AL$2,0))</f>
        <v>0</v>
      </c>
      <c r="L226" s="25">
        <f>INDEX('Inputs (2)'!$D$37:$AL$37,MATCH(L$7,'Inputs (2)'!$D$2:$AL$2,0))</f>
        <v>0</v>
      </c>
      <c r="M226" s="3">
        <f>L226</f>
        <v>0</v>
      </c>
      <c r="N226" s="25">
        <f>INDEX('Inputs (2)'!$D$37:$AL$37,MATCH(N$7,'Inputs (2)'!$D$2:$AL$2,0))</f>
        <v>0</v>
      </c>
      <c r="O226" s="25">
        <f>INDEX('Inputs (2)'!$D$37:$AL$37,MATCH(O$7,'Inputs (2)'!$D$2:$AL$2,0))</f>
        <v>0</v>
      </c>
      <c r="P226" s="25">
        <f>INDEX('Inputs (2)'!$D$37:$AL$37,MATCH(P$7,'Inputs (2)'!$D$2:$AL$2,0))</f>
        <v>0</v>
      </c>
      <c r="Q226" s="25">
        <f>INDEX('Inputs (2)'!$D$37:$AL$37,MATCH(Q$7,'Inputs (2)'!$D$2:$AL$2,0))</f>
        <v>0</v>
      </c>
      <c r="R226" s="3">
        <f>Q226</f>
        <v>0</v>
      </c>
      <c r="S226" s="25">
        <f>INDEX('Inputs (2)'!$D$37:$AL$37,MATCH(S$7,'Inputs (2)'!$D$2:$AL$2,0))</f>
        <v>0</v>
      </c>
      <c r="T226" s="25">
        <f>INDEX('Inputs (2)'!$D$37:$AL$37,MATCH(T$7,'Inputs (2)'!$D$2:$AL$2,0))</f>
        <v>0</v>
      </c>
      <c r="U226" s="25">
        <f>INDEX('Inputs (2)'!$D$37:$AL$37,MATCH(U$7,'Inputs (2)'!$D$2:$AL$2,0))</f>
        <v>0</v>
      </c>
      <c r="V226" s="25">
        <f>INDEX('Inputs (2)'!$D$37:$AL$37,MATCH(V$7,'Inputs (2)'!$D$2:$AL$2,0))</f>
        <v>0</v>
      </c>
      <c r="W226" s="3">
        <f>V226</f>
        <v>0</v>
      </c>
      <c r="X226" s="25">
        <f>INDEX('Inputs (2)'!$D$37:$AL$37,MATCH(X$7,'Inputs (2)'!$D$2:$AL$2,0))</f>
        <v>0</v>
      </c>
      <c r="Y226" s="25">
        <f>INDEX('Inputs (2)'!$D$37:$AL$37,MATCH(Y$7,'Inputs (2)'!$D$2:$AL$2,0))</f>
        <v>0</v>
      </c>
      <c r="Z226" s="25">
        <f>INDEX('Inputs (2)'!$D$37:$AL$37,MATCH(Z$7,'Inputs (2)'!$D$2:$AL$2,0))</f>
        <v>0</v>
      </c>
      <c r="AA226" s="25">
        <f>INDEX('Inputs (2)'!$D$37:$AL$37,MATCH(AA$7,'Inputs (2)'!$D$2:$AL$2,0))</f>
        <v>0</v>
      </c>
      <c r="AB226" s="3">
        <f>AA226</f>
        <v>0</v>
      </c>
      <c r="AC226" s="25">
        <f>INDEX('Inputs (2)'!$D$37:$AL$37,MATCH(AC$7,'Inputs (2)'!$D$2:$AL$2,0))</f>
        <v>0</v>
      </c>
      <c r="AD226" s="25">
        <f>INDEX('Inputs (2)'!$D$37:$AL$37,MATCH(AD$7,'Inputs (2)'!$D$2:$AL$2,0))</f>
        <v>0</v>
      </c>
      <c r="AE226" s="25">
        <f>INDEX('Inputs (2)'!$D$37:$AL$37,MATCH(AE$7,'Inputs (2)'!$D$2:$AL$2,0))</f>
        <v>0</v>
      </c>
      <c r="AF226" s="25">
        <f>INDEX('Inputs (2)'!$D$37:$AL$37,MATCH(AF$7,'Inputs (2)'!$D$2:$AL$2,0))</f>
        <v>0</v>
      </c>
      <c r="AG226" s="3">
        <f>AF226</f>
        <v>0</v>
      </c>
      <c r="AH226" s="3">
        <f>INDEX('Inputs (2)'!$D$37:$AL$37,MATCH(AH$7,'Inputs (2)'!$D$2:$AL$2,0))</f>
        <v>0</v>
      </c>
      <c r="AI226" s="3">
        <f>INDEX('Inputs (2)'!$D$37:$AL$37,MATCH(AI$7,'Inputs (2)'!$D$2:$AL$2,0))</f>
        <v>0</v>
      </c>
      <c r="AJ226" s="3">
        <f>AI226</f>
        <v>0</v>
      </c>
      <c r="AK226" s="3">
        <f>AJ226</f>
        <v>0</v>
      </c>
      <c r="AL226" s="3">
        <f>AK226</f>
        <v>0</v>
      </c>
      <c r="AM226" s="3">
        <f>AL226</f>
        <v>0</v>
      </c>
      <c r="AN226" s="3">
        <f>AM226</f>
        <v>0</v>
      </c>
      <c r="AO226" s="3">
        <f>AN226</f>
        <v>0</v>
      </c>
      <c r="AP226" s="3">
        <f>AO226</f>
        <v>0</v>
      </c>
      <c r="AQ226" s="3">
        <f>AP226</f>
        <v>0</v>
      </c>
      <c r="AR226" s="3">
        <f>AQ226</f>
        <v>0</v>
      </c>
      <c r="AS226" s="3">
        <f>AR226</f>
        <v>0</v>
      </c>
      <c r="AT226" s="3">
        <f>AS226</f>
        <v>0</v>
      </c>
      <c r="AU226" s="3">
        <f>AT226</f>
        <v>0</v>
      </c>
      <c r="AV226" s="3">
        <f>AU226</f>
        <v>0</v>
      </c>
      <c r="AW226" s="3">
        <f>AV226</f>
        <v>0</v>
      </c>
      <c r="AX226" s="3">
        <f>AW226</f>
        <v>0</v>
      </c>
      <c r="AY226" s="3">
        <f>AX226</f>
        <v>0</v>
      </c>
      <c r="AZ226" s="3">
        <f>AY226</f>
        <v>0</v>
      </c>
      <c r="BA226" s="3">
        <f>AZ226</f>
        <v>0</v>
      </c>
      <c r="BB226" s="3">
        <f>BA226</f>
        <v>0</v>
      </c>
      <c r="BC226" s="3">
        <f>BB226</f>
        <v>0</v>
      </c>
      <c r="BD226" s="3">
        <f>BC226</f>
        <v>0</v>
      </c>
      <c r="BE226" s="3">
        <f>BD226</f>
        <v>0</v>
      </c>
      <c r="BF226" s="3">
        <f>BE226</f>
        <v>0</v>
      </c>
      <c r="BG226" s="3">
        <f>BF226</f>
        <v>0</v>
      </c>
      <c r="BH226" s="3">
        <f>BG226</f>
        <v>0</v>
      </c>
      <c r="BI226" s="3">
        <f>BH226</f>
        <v>0</v>
      </c>
      <c r="BJ226" s="3">
        <f>BI226</f>
        <v>0</v>
      </c>
      <c r="BK226" s="3">
        <f>BJ226</f>
        <v>0</v>
      </c>
      <c r="BL226" s="3">
        <f>BK226</f>
        <v>0</v>
      </c>
      <c r="BM226" s="3">
        <f>BL226</f>
        <v>0</v>
      </c>
      <c r="BN226" s="3">
        <f>BM226</f>
        <v>0</v>
      </c>
      <c r="BO226" s="3">
        <f>BN226</f>
        <v>0</v>
      </c>
      <c r="BP226" s="3">
        <f>BO226</f>
        <v>0</v>
      </c>
      <c r="BQ226" s="3">
        <f>BP226</f>
        <v>0</v>
      </c>
      <c r="BR226" s="3">
        <f>BQ226</f>
        <v>0</v>
      </c>
      <c r="BS226" s="3">
        <f>BR226</f>
        <v>0</v>
      </c>
      <c r="BT226" s="3">
        <f>BS226</f>
        <v>0</v>
      </c>
      <c r="BU226" s="3">
        <f>BT226</f>
        <v>0</v>
      </c>
      <c r="BV226" s="3">
        <f>BU226</f>
        <v>0</v>
      </c>
      <c r="BW226" s="3">
        <f>BV226</f>
        <v>0</v>
      </c>
      <c r="BX226" s="3">
        <f>BW226</f>
        <v>0</v>
      </c>
      <c r="BY226" s="3">
        <f>BX226</f>
        <v>0</v>
      </c>
      <c r="BZ226" s="3">
        <f>BY226</f>
        <v>0</v>
      </c>
      <c r="CA226" s="3">
        <f>BZ226</f>
        <v>0</v>
      </c>
      <c r="CB226" s="3">
        <f>CA226</f>
        <v>0</v>
      </c>
      <c r="CC226" s="3">
        <f>CB226</f>
        <v>0</v>
      </c>
      <c r="CD226" s="3">
        <f>CC226</f>
        <v>0</v>
      </c>
      <c r="CE226" s="3">
        <f>CD226</f>
        <v>0</v>
      </c>
      <c r="CF226" s="3">
        <f>CE226</f>
        <v>0</v>
      </c>
      <c r="CG226" s="3">
        <f>CF226</f>
        <v>0</v>
      </c>
      <c r="CH226" s="3">
        <f>CG226</f>
        <v>0</v>
      </c>
      <c r="CI226" s="3">
        <f>CH226</f>
        <v>0</v>
      </c>
      <c r="CJ226" s="3">
        <f>CI226</f>
        <v>0</v>
      </c>
      <c r="CK226" s="3">
        <f>CJ226</f>
        <v>0</v>
      </c>
      <c r="CL226" s="3">
        <f>CK226</f>
        <v>0</v>
      </c>
      <c r="CM226" s="3">
        <f>CL226</f>
        <v>0</v>
      </c>
      <c r="CN226" s="3">
        <f>CM226</f>
        <v>0</v>
      </c>
      <c r="CO226" s="3">
        <f>CN226</f>
        <v>0</v>
      </c>
      <c r="CP226" s="3">
        <f>CO226</f>
        <v>0</v>
      </c>
      <c r="CQ226" s="3">
        <f>CP226</f>
        <v>0</v>
      </c>
      <c r="CR226" s="3">
        <f>CQ226</f>
        <v>0</v>
      </c>
      <c r="CS226" s="3">
        <f>CR226</f>
        <v>0</v>
      </c>
      <c r="CT226" s="3">
        <f>CS226</f>
        <v>0</v>
      </c>
      <c r="CU226" s="3">
        <f>CT226</f>
        <v>0</v>
      </c>
      <c r="CV226" s="3">
        <f>CU226</f>
        <v>0</v>
      </c>
      <c r="CW226" s="3">
        <f>CV226</f>
        <v>0</v>
      </c>
      <c r="CX226" s="3">
        <f>CW226</f>
        <v>0</v>
      </c>
      <c r="CY226" s="3">
        <f>CX226</f>
        <v>0</v>
      </c>
    </row>
    <row r="227">
      <c r="C227" s="26" t="inlineStr">
        <is>
          <t>Deferred income taxes</t>
        </is>
      </c>
      <c r="D227" s="25">
        <f>INDEX('Inputs (2)'!$D$38:$AL$38,MATCH(D$7,'Inputs (2)'!$D$2:$AL$2,0))</f>
        <v>0</v>
      </c>
      <c r="E227" s="25">
        <f>INDEX('Inputs (2)'!$D$38:$AL$38,MATCH(E$7,'Inputs (2)'!$D$2:$AL$2,0))</f>
        <v>0</v>
      </c>
      <c r="F227" s="25">
        <f>INDEX('Inputs (2)'!$D$38:$AL$38,MATCH(F$7,'Inputs (2)'!$D$2:$AL$2,0))</f>
        <v>0</v>
      </c>
      <c r="G227" s="25">
        <f>INDEX('Inputs (2)'!$D$38:$AL$38,MATCH(G$7,'Inputs (2)'!$D$2:$AL$2,0))</f>
        <v>0</v>
      </c>
      <c r="H227" s="3">
        <f>G227</f>
        <v>0</v>
      </c>
      <c r="I227" s="25">
        <f>INDEX('Inputs (2)'!$D$38:$AL$38,MATCH(I$7,'Inputs (2)'!$D$2:$AL$2,0))</f>
        <v>0</v>
      </c>
      <c r="J227" s="25">
        <f>INDEX('Inputs (2)'!$D$38:$AL$38,MATCH(J$7,'Inputs (2)'!$D$2:$AL$2,0))</f>
        <v>0</v>
      </c>
      <c r="K227" s="25">
        <f>INDEX('Inputs (2)'!$D$38:$AL$38,MATCH(K$7,'Inputs (2)'!$D$2:$AL$2,0))</f>
        <v>0</v>
      </c>
      <c r="L227" s="25">
        <f>INDEX('Inputs (2)'!$D$38:$AL$38,MATCH(L$7,'Inputs (2)'!$D$2:$AL$2,0))</f>
        <v>0</v>
      </c>
      <c r="M227" s="3">
        <f>L227</f>
        <v>0</v>
      </c>
      <c r="N227" s="25">
        <f>INDEX('Inputs (2)'!$D$38:$AL$38,MATCH(N$7,'Inputs (2)'!$D$2:$AL$2,0))</f>
        <v>0</v>
      </c>
      <c r="O227" s="25">
        <f>INDEX('Inputs (2)'!$D$38:$AL$38,MATCH(O$7,'Inputs (2)'!$D$2:$AL$2,0))</f>
        <v>0</v>
      </c>
      <c r="P227" s="25">
        <f>INDEX('Inputs (2)'!$D$38:$AL$38,MATCH(P$7,'Inputs (2)'!$D$2:$AL$2,0))</f>
        <v>0</v>
      </c>
      <c r="Q227" s="25">
        <f>INDEX('Inputs (2)'!$D$38:$AL$38,MATCH(Q$7,'Inputs (2)'!$D$2:$AL$2,0))</f>
        <v>0</v>
      </c>
      <c r="R227" s="3">
        <f>Q227</f>
        <v>0</v>
      </c>
      <c r="S227" s="25">
        <f>INDEX('Inputs (2)'!$D$38:$AL$38,MATCH(S$7,'Inputs (2)'!$D$2:$AL$2,0))</f>
        <v>0</v>
      </c>
      <c r="T227" s="25">
        <f>INDEX('Inputs (2)'!$D$38:$AL$38,MATCH(T$7,'Inputs (2)'!$D$2:$AL$2,0))</f>
        <v>0</v>
      </c>
      <c r="U227" s="25">
        <f>INDEX('Inputs (2)'!$D$38:$AL$38,MATCH(U$7,'Inputs (2)'!$D$2:$AL$2,0))</f>
        <v>0</v>
      </c>
      <c r="V227" s="25">
        <f>INDEX('Inputs (2)'!$D$38:$AL$38,MATCH(V$7,'Inputs (2)'!$D$2:$AL$2,0))</f>
        <v>0</v>
      </c>
      <c r="W227" s="3">
        <f>V227</f>
        <v>0</v>
      </c>
      <c r="X227" s="25">
        <f>INDEX('Inputs (2)'!$D$38:$AL$38,MATCH(X$7,'Inputs (2)'!$D$2:$AL$2,0))</f>
        <v>0</v>
      </c>
      <c r="Y227" s="25">
        <f>INDEX('Inputs (2)'!$D$38:$AL$38,MATCH(Y$7,'Inputs (2)'!$D$2:$AL$2,0))</f>
        <v>0</v>
      </c>
      <c r="Z227" s="25">
        <f>INDEX('Inputs (2)'!$D$38:$AL$38,MATCH(Z$7,'Inputs (2)'!$D$2:$AL$2,0))</f>
        <v>0</v>
      </c>
      <c r="AA227" s="25">
        <f>INDEX('Inputs (2)'!$D$38:$AL$38,MATCH(AA$7,'Inputs (2)'!$D$2:$AL$2,0))</f>
        <v>0</v>
      </c>
      <c r="AB227" s="3">
        <f>AA227</f>
        <v>0</v>
      </c>
      <c r="AC227" s="25">
        <f>INDEX('Inputs (2)'!$D$38:$AL$38,MATCH(AC$7,'Inputs (2)'!$D$2:$AL$2,0))</f>
        <v>0</v>
      </c>
      <c r="AD227" s="25">
        <f>INDEX('Inputs (2)'!$D$38:$AL$38,MATCH(AD$7,'Inputs (2)'!$D$2:$AL$2,0))</f>
        <v>0</v>
      </c>
      <c r="AE227" s="25">
        <f>INDEX('Inputs (2)'!$D$38:$AL$38,MATCH(AE$7,'Inputs (2)'!$D$2:$AL$2,0))</f>
        <v>0</v>
      </c>
      <c r="AF227" s="25">
        <f>INDEX('Inputs (2)'!$D$38:$AL$38,MATCH(AF$7,'Inputs (2)'!$D$2:$AL$2,0))</f>
        <v>0</v>
      </c>
      <c r="AG227" s="3">
        <f>AF227</f>
        <v>0</v>
      </c>
      <c r="AH227" s="3">
        <f>INDEX('Inputs (2)'!$D$38:$AL$38,MATCH(AH$7,'Inputs (2)'!$D$2:$AL$2,0))</f>
        <v>0</v>
      </c>
      <c r="AI227" s="3">
        <f>INDEX('Inputs (2)'!$D$38:$AL$38,MATCH(AI$7,'Inputs (2)'!$D$2:$AL$2,0))</f>
        <v>0</v>
      </c>
      <c r="AJ227" s="3">
        <f>AI227</f>
        <v>0</v>
      </c>
      <c r="AK227" s="3">
        <f>AJ227</f>
        <v>0</v>
      </c>
      <c r="AL227" s="3">
        <f>AK227</f>
        <v>0</v>
      </c>
      <c r="AM227" s="3">
        <f>AL227</f>
        <v>0</v>
      </c>
      <c r="AN227" s="3">
        <f>AM227</f>
        <v>0</v>
      </c>
      <c r="AO227" s="3">
        <f>AN227</f>
        <v>0</v>
      </c>
      <c r="AP227" s="3">
        <f>AO227</f>
        <v>0</v>
      </c>
      <c r="AQ227" s="3">
        <f>AP227</f>
        <v>0</v>
      </c>
      <c r="AR227" s="3">
        <f>AQ227</f>
        <v>0</v>
      </c>
      <c r="AS227" s="3">
        <f>AR227</f>
        <v>0</v>
      </c>
      <c r="AT227" s="3">
        <f>AS227</f>
        <v>0</v>
      </c>
      <c r="AU227" s="3">
        <f>AT227</f>
        <v>0</v>
      </c>
      <c r="AV227" s="3">
        <f>AU227</f>
        <v>0</v>
      </c>
      <c r="AW227" s="3">
        <f>AV227</f>
        <v>0</v>
      </c>
      <c r="AX227" s="3">
        <f>AW227</f>
        <v>0</v>
      </c>
      <c r="AY227" s="3">
        <f>AX227</f>
        <v>0</v>
      </c>
      <c r="AZ227" s="3">
        <f>AY227</f>
        <v>0</v>
      </c>
      <c r="BA227" s="3">
        <f>AZ227</f>
        <v>0</v>
      </c>
      <c r="BB227" s="3">
        <f>BA227</f>
        <v>0</v>
      </c>
      <c r="BC227" s="3">
        <f>BB227</f>
        <v>0</v>
      </c>
      <c r="BD227" s="3">
        <f>BC227</f>
        <v>0</v>
      </c>
      <c r="BE227" s="3">
        <f>BD227</f>
        <v>0</v>
      </c>
      <c r="BF227" s="3">
        <f>BE227</f>
        <v>0</v>
      </c>
      <c r="BG227" s="3">
        <f>BF227</f>
        <v>0</v>
      </c>
      <c r="BH227" s="3">
        <f>BG227</f>
        <v>0</v>
      </c>
      <c r="BI227" s="3">
        <f>BH227</f>
        <v>0</v>
      </c>
      <c r="BJ227" s="3">
        <f>BI227</f>
        <v>0</v>
      </c>
      <c r="BK227" s="3">
        <f>BJ227</f>
        <v>0</v>
      </c>
      <c r="BL227" s="3">
        <f>BK227</f>
        <v>0</v>
      </c>
      <c r="BM227" s="3">
        <f>BL227</f>
        <v>0</v>
      </c>
      <c r="BN227" s="3">
        <f>BM227</f>
        <v>0</v>
      </c>
      <c r="BO227" s="3">
        <f>BN227</f>
        <v>0</v>
      </c>
      <c r="BP227" s="3">
        <f>BO227</f>
        <v>0</v>
      </c>
      <c r="BQ227" s="3">
        <f>BP227</f>
        <v>0</v>
      </c>
      <c r="BR227" s="3">
        <f>BQ227</f>
        <v>0</v>
      </c>
      <c r="BS227" s="3">
        <f>BR227</f>
        <v>0</v>
      </c>
      <c r="BT227" s="3">
        <f>BS227</f>
        <v>0</v>
      </c>
      <c r="BU227" s="3">
        <f>BT227</f>
        <v>0</v>
      </c>
      <c r="BV227" s="3">
        <f>BU227</f>
        <v>0</v>
      </c>
      <c r="BW227" s="3">
        <f>BV227</f>
        <v>0</v>
      </c>
      <c r="BX227" s="3">
        <f>BW227</f>
        <v>0</v>
      </c>
      <c r="BY227" s="3">
        <f>BX227</f>
        <v>0</v>
      </c>
      <c r="BZ227" s="3">
        <f>BY227</f>
        <v>0</v>
      </c>
      <c r="CA227" s="3">
        <f>BZ227</f>
        <v>0</v>
      </c>
      <c r="CB227" s="3">
        <f>CA227</f>
        <v>0</v>
      </c>
      <c r="CC227" s="3">
        <f>CB227</f>
        <v>0</v>
      </c>
      <c r="CD227" s="3">
        <f>CC227</f>
        <v>0</v>
      </c>
      <c r="CE227" s="3">
        <f>CD227</f>
        <v>0</v>
      </c>
      <c r="CF227" s="3">
        <f>CE227</f>
        <v>0</v>
      </c>
      <c r="CG227" s="3">
        <f>CF227</f>
        <v>0</v>
      </c>
      <c r="CH227" s="3">
        <f>CG227</f>
        <v>0</v>
      </c>
      <c r="CI227" s="3">
        <f>CH227</f>
        <v>0</v>
      </c>
      <c r="CJ227" s="3">
        <f>CI227</f>
        <v>0</v>
      </c>
      <c r="CK227" s="3">
        <f>CJ227</f>
        <v>0</v>
      </c>
      <c r="CL227" s="3">
        <f>CK227</f>
        <v>0</v>
      </c>
      <c r="CM227" s="3">
        <f>CL227</f>
        <v>0</v>
      </c>
      <c r="CN227" s="3">
        <f>CM227</f>
        <v>0</v>
      </c>
      <c r="CO227" s="3">
        <f>CN227</f>
        <v>0</v>
      </c>
      <c r="CP227" s="3">
        <f>CO227</f>
        <v>0</v>
      </c>
      <c r="CQ227" s="3">
        <f>CP227</f>
        <v>0</v>
      </c>
      <c r="CR227" s="3">
        <f>CQ227</f>
        <v>0</v>
      </c>
      <c r="CS227" s="3">
        <f>CR227</f>
        <v>0</v>
      </c>
      <c r="CT227" s="3">
        <f>CS227</f>
        <v>0</v>
      </c>
      <c r="CU227" s="3">
        <f>CT227</f>
        <v>0</v>
      </c>
      <c r="CV227" s="3">
        <f>CU227</f>
        <v>0</v>
      </c>
      <c r="CW227" s="3">
        <f>CV227</f>
        <v>0</v>
      </c>
      <c r="CX227" s="3">
        <f>CW227</f>
        <v>0</v>
      </c>
      <c r="CY227" s="3">
        <f>CX227</f>
        <v>0</v>
      </c>
    </row>
    <row r="228">
      <c r="C228" s="26" t="inlineStr">
        <is>
          <t>Other non-current liabilities</t>
        </is>
      </c>
      <c r="D228" s="25">
        <f>INDEX('Inputs (2)'!$D$39:$AL$39,MATCH(D$7,'Inputs (2)'!$D$2:$AL$2,0))</f>
        <v>5933</v>
      </c>
      <c r="E228" s="25">
        <f>INDEX('Inputs (2)'!$D$39:$AL$39,MATCH(E$7,'Inputs (2)'!$D$2:$AL$2,0))</f>
        <v>5810</v>
      </c>
      <c r="F228" s="25">
        <f>INDEX('Inputs (2)'!$D$39:$AL$39,MATCH(F$7,'Inputs (2)'!$D$2:$AL$2,0))</f>
        <v>5426</v>
      </c>
      <c r="G228" s="25">
        <f>INDEX('Inputs (2)'!$D$39:$AL$39,MATCH(G$7,'Inputs (2)'!$D$2:$AL$2,0))</f>
        <v>5211</v>
      </c>
      <c r="H228" s="3">
        <f>G228</f>
        <v>5211</v>
      </c>
      <c r="I228" s="25">
        <f>INDEX('Inputs (2)'!$D$39:$AL$39,MATCH(I$7,'Inputs (2)'!$D$2:$AL$2,0))</f>
        <v>4962</v>
      </c>
      <c r="J228" s="25">
        <f>INDEX('Inputs (2)'!$D$39:$AL$39,MATCH(J$7,'Inputs (2)'!$D$2:$AL$2,0))</f>
        <v>4834</v>
      </c>
      <c r="K228" s="25">
        <f>INDEX('Inputs (2)'!$D$39:$AL$39,MATCH(K$7,'Inputs (2)'!$D$2:$AL$2,0))</f>
        <v>4860</v>
      </c>
      <c r="L228" s="25">
        <f>INDEX('Inputs (2)'!$D$39:$AL$39,MATCH(L$7,'Inputs (2)'!$D$2:$AL$2,0))</f>
        <v>4738</v>
      </c>
      <c r="M228" s="3">
        <f>L228</f>
        <v>4738</v>
      </c>
      <c r="N228" s="25">
        <f>INDEX('Inputs (2)'!$D$39:$AL$39,MATCH(N$7,'Inputs (2)'!$D$2:$AL$2,0))</f>
        <v>4655</v>
      </c>
      <c r="O228" s="25">
        <f>INDEX('Inputs (2)'!$D$39:$AL$39,MATCH(O$7,'Inputs (2)'!$D$2:$AL$2,0))</f>
        <v>4530</v>
      </c>
      <c r="P228" s="25">
        <f>INDEX('Inputs (2)'!$D$39:$AL$39,MATCH(P$7,'Inputs (2)'!$D$2:$AL$2,0))</f>
        <v>4413</v>
      </c>
      <c r="Q228" s="25">
        <f>INDEX('Inputs (2)'!$D$39:$AL$39,MATCH(Q$7,'Inputs (2)'!$D$2:$AL$2,0))</f>
        <v>4016</v>
      </c>
      <c r="R228" s="3">
        <f>Q228</f>
        <v>4016</v>
      </c>
      <c r="S228" s="25">
        <f>INDEX('Inputs (2)'!$D$39:$AL$39,MATCH(S$7,'Inputs (2)'!$D$2:$AL$2,0))</f>
        <v>3955</v>
      </c>
      <c r="T228" s="25">
        <f>INDEX('Inputs (2)'!$D$39:$AL$39,MATCH(T$7,'Inputs (2)'!$D$2:$AL$2,0))</f>
        <v>3949</v>
      </c>
      <c r="U228" s="25">
        <f>INDEX('Inputs (2)'!$D$39:$AL$39,MATCH(U$7,'Inputs (2)'!$D$2:$AL$2,0))</f>
        <v>3847</v>
      </c>
      <c r="V228" s="25">
        <f>INDEX('Inputs (2)'!$D$39:$AL$39,MATCH(V$7,'Inputs (2)'!$D$2:$AL$2,0))</f>
        <v>13749</v>
      </c>
      <c r="W228" s="3">
        <f>V228</f>
        <v>13749</v>
      </c>
      <c r="X228" s="25">
        <f>INDEX('Inputs (2)'!$D$39:$AL$39,MATCH(X$7,'Inputs (2)'!$D$2:$AL$2,0))</f>
        <v>13489</v>
      </c>
      <c r="Y228" s="25">
        <f>INDEX('Inputs (2)'!$D$39:$AL$39,MATCH(Y$7,'Inputs (2)'!$D$2:$AL$2,0))</f>
        <v>16296</v>
      </c>
      <c r="Z228" s="25">
        <f>INDEX('Inputs (2)'!$D$39:$AL$39,MATCH(Z$7,'Inputs (2)'!$D$2:$AL$2,0))</f>
        <v>14975</v>
      </c>
      <c r="AA228" s="25">
        <f>INDEX('Inputs (2)'!$D$39:$AL$39,MATCH(AA$7,'Inputs (2)'!$D$2:$AL$2,0))</f>
        <v>13733</v>
      </c>
      <c r="AB228" s="3">
        <f>AA228</f>
        <v>13733</v>
      </c>
      <c r="AC228" s="25">
        <f>INDEX('Inputs (2)'!$D$39:$AL$39,MATCH(AC$7,'Inputs (2)'!$D$2:$AL$2,0))</f>
        <v>12696</v>
      </c>
      <c r="AD228" s="25">
        <f>INDEX('Inputs (2)'!$D$39:$AL$39,MATCH(AD$7,'Inputs (2)'!$D$2:$AL$2,0))</f>
        <v>12810</v>
      </c>
      <c r="AE228" s="25">
        <f>INDEX('Inputs (2)'!$D$39:$AL$39,MATCH(AE$7,'Inputs (2)'!$D$2:$AL$2,0))</f>
        <v>9302</v>
      </c>
      <c r="AF228" s="25">
        <f>INDEX('Inputs (2)'!$D$39:$AL$39,MATCH(AF$7,'Inputs (2)'!$D$2:$AL$2,0))</f>
        <v>9367</v>
      </c>
      <c r="AG228" s="3">
        <f>AF228</f>
        <v>9367</v>
      </c>
      <c r="AH228" s="3">
        <f>INDEX('Inputs (2)'!$D$39:$AL$39,MATCH(AH$7,'Inputs (2)'!$D$2:$AL$2,0))</f>
        <v>9950</v>
      </c>
      <c r="AI228" s="3">
        <f>INDEX('Inputs (2)'!$D$39:$AL$39,MATCH(AI$7,'Inputs (2)'!$D$2:$AL$2,0))</f>
        <v>10453</v>
      </c>
      <c r="AJ228" s="3">
        <f>AI228</f>
        <v>10453</v>
      </c>
      <c r="AK228" s="3">
        <f>AJ228</f>
        <v>10453</v>
      </c>
      <c r="AL228" s="3">
        <f>AK228</f>
        <v>10453</v>
      </c>
      <c r="AM228" s="3">
        <f>AL228</f>
        <v>10453</v>
      </c>
      <c r="AN228" s="3">
        <f>AM228</f>
        <v>10453</v>
      </c>
      <c r="AO228" s="3">
        <f>AN228</f>
        <v>10453</v>
      </c>
      <c r="AP228" s="3">
        <f>AO228</f>
        <v>10453</v>
      </c>
      <c r="AQ228" s="3">
        <f>AP228</f>
        <v>10453</v>
      </c>
      <c r="AR228" s="3">
        <f>AQ228</f>
        <v>10453</v>
      </c>
      <c r="AS228" s="3">
        <f>AR228</f>
        <v>10453</v>
      </c>
      <c r="AT228" s="3">
        <f>AS228</f>
        <v>10453</v>
      </c>
      <c r="AU228" s="3">
        <f>AT228</f>
        <v>10453</v>
      </c>
      <c r="AV228" s="3">
        <f>AU228</f>
        <v>10453</v>
      </c>
      <c r="AW228" s="3">
        <f>AV228</f>
        <v>10453</v>
      </c>
      <c r="AX228" s="3">
        <f>AW228</f>
        <v>10453</v>
      </c>
      <c r="AY228" s="3">
        <f>AX228</f>
        <v>10453</v>
      </c>
      <c r="AZ228" s="3">
        <f>AY228</f>
        <v>10453</v>
      </c>
      <c r="BA228" s="3">
        <f>AZ228</f>
        <v>10453</v>
      </c>
      <c r="BB228" s="3">
        <f>BA228</f>
        <v>10453</v>
      </c>
      <c r="BC228" s="3">
        <f>BB228</f>
        <v>10453</v>
      </c>
      <c r="BD228" s="3">
        <f>BC228</f>
        <v>10453</v>
      </c>
      <c r="BE228" s="3">
        <f>BD228</f>
        <v>10453</v>
      </c>
      <c r="BF228" s="3">
        <f>BE228</f>
        <v>10453</v>
      </c>
      <c r="BG228" s="3">
        <f>BF228</f>
        <v>10453</v>
      </c>
      <c r="BH228" s="3">
        <f>BG228</f>
        <v>10453</v>
      </c>
      <c r="BI228" s="3">
        <f>BH228</f>
        <v>10453</v>
      </c>
      <c r="BJ228" s="3">
        <f>BI228</f>
        <v>10453</v>
      </c>
      <c r="BK228" s="3">
        <f>BJ228</f>
        <v>10453</v>
      </c>
      <c r="BL228" s="3">
        <f>BK228</f>
        <v>10453</v>
      </c>
      <c r="BM228" s="3">
        <f>BL228</f>
        <v>10453</v>
      </c>
      <c r="BN228" s="3">
        <f>BM228</f>
        <v>10453</v>
      </c>
      <c r="BO228" s="3">
        <f>BN228</f>
        <v>10453</v>
      </c>
      <c r="BP228" s="3">
        <f>BO228</f>
        <v>10453</v>
      </c>
      <c r="BQ228" s="3">
        <f>BP228</f>
        <v>10453</v>
      </c>
      <c r="BR228" s="3">
        <f>BQ228</f>
        <v>10453</v>
      </c>
      <c r="BS228" s="3">
        <f>BR228</f>
        <v>10453</v>
      </c>
      <c r="BT228" s="3">
        <f>BS228</f>
        <v>10453</v>
      </c>
      <c r="BU228" s="3">
        <f>BT228</f>
        <v>10453</v>
      </c>
      <c r="BV228" s="3">
        <f>BU228</f>
        <v>10453</v>
      </c>
      <c r="BW228" s="3">
        <f>BV228</f>
        <v>10453</v>
      </c>
      <c r="BX228" s="3">
        <f>BW228</f>
        <v>10453</v>
      </c>
      <c r="BY228" s="3">
        <f>BX228</f>
        <v>10453</v>
      </c>
      <c r="BZ228" s="3">
        <f>BY228</f>
        <v>10453</v>
      </c>
      <c r="CA228" s="3">
        <f>BZ228</f>
        <v>10453</v>
      </c>
      <c r="CB228" s="3">
        <f>CA228</f>
        <v>10453</v>
      </c>
      <c r="CC228" s="3">
        <f>CB228</f>
        <v>10453</v>
      </c>
      <c r="CD228" s="3">
        <f>CC228</f>
        <v>10453</v>
      </c>
      <c r="CE228" s="3">
        <f>CD228</f>
        <v>10453</v>
      </c>
      <c r="CF228" s="3">
        <f>CE228</f>
        <v>10453</v>
      </c>
      <c r="CG228" s="3">
        <f>CF228</f>
        <v>10453</v>
      </c>
      <c r="CH228" s="3">
        <f>CG228</f>
        <v>10453</v>
      </c>
      <c r="CI228" s="3">
        <f>CH228</f>
        <v>10453</v>
      </c>
      <c r="CJ228" s="3">
        <f>CI228</f>
        <v>10453</v>
      </c>
      <c r="CK228" s="3">
        <f>CJ228</f>
        <v>10453</v>
      </c>
      <c r="CL228" s="3">
        <f>CK228</f>
        <v>10453</v>
      </c>
      <c r="CM228" s="3">
        <f>CL228</f>
        <v>10453</v>
      </c>
      <c r="CN228" s="3">
        <f>CM228</f>
        <v>10453</v>
      </c>
      <c r="CO228" s="3">
        <f>CN228</f>
        <v>10453</v>
      </c>
      <c r="CP228" s="3">
        <f>CO228</f>
        <v>10453</v>
      </c>
      <c r="CQ228" s="3">
        <f>CP228</f>
        <v>10453</v>
      </c>
      <c r="CR228" s="3">
        <f>CQ228</f>
        <v>10453</v>
      </c>
      <c r="CS228" s="3">
        <f>CR228</f>
        <v>10453</v>
      </c>
      <c r="CT228" s="3">
        <f>CS228</f>
        <v>10453</v>
      </c>
      <c r="CU228" s="3">
        <f>CT228</f>
        <v>10453</v>
      </c>
      <c r="CV228" s="3">
        <f>CU228</f>
        <v>10453</v>
      </c>
      <c r="CW228" s="3">
        <f>CV228</f>
        <v>10453</v>
      </c>
      <c r="CX228" s="3">
        <f>CW228</f>
        <v>10453</v>
      </c>
      <c r="CY228" s="3">
        <f>CX228</f>
        <v>10453</v>
      </c>
    </row>
    <row r="229" hidden="1" outlineLevel="1" ht="12" customHeight="1">
      <c r="C229" s="38" t="inlineStr">
        <is>
          <t>%(Var.)</t>
        </is>
      </c>
      <c r="D229" s="3" t="n"/>
      <c r="E229" s="47">
        <f>(E228-D228)/D228</f>
        <v>-0.0207315017697623</v>
      </c>
      <c r="F229" s="47">
        <f>(F228-E228)/E228</f>
        <v>-0.0660929432013769</v>
      </c>
      <c r="G229" s="47">
        <f>(G228-F228)/F228</f>
        <v>-0.0396240324364173</v>
      </c>
      <c r="H229" s="3" t="n"/>
      <c r="I229" s="47">
        <f>(I228-H228)/H228</f>
        <v>-0.047783534830167</v>
      </c>
      <c r="J229" s="47">
        <f>(J228-I228)/I228</f>
        <v>-0.0257960499798468</v>
      </c>
      <c r="K229" s="47">
        <f>(K228-J228)/J228</f>
        <v>0.00537856847331403</v>
      </c>
      <c r="L229" s="47">
        <f>(L228-K228)/K228</f>
        <v>-0.0251028806584362</v>
      </c>
      <c r="M229" s="3" t="n"/>
      <c r="N229" s="47">
        <f>(N228-M228)/M228</f>
        <v>-0.0175179400590967</v>
      </c>
      <c r="O229" s="47">
        <f>(O228-N228)/N228</f>
        <v>-0.0268528464017186</v>
      </c>
      <c r="P229" s="47">
        <f>(P228-O228)/O228</f>
        <v>-0.0258278145695364</v>
      </c>
      <c r="Q229" s="47">
        <f>(Q228-P228)/P228</f>
        <v>-0.0899614774529798</v>
      </c>
      <c r="R229" s="3" t="n"/>
      <c r="S229" s="47">
        <f>(S228-R228)/R228</f>
        <v>-0.0151892430278884</v>
      </c>
      <c r="T229" s="47">
        <f>(T228-S228)/S228</f>
        <v>-0.00151706700379267</v>
      </c>
      <c r="U229" s="47">
        <f>(U228-T228)/T228</f>
        <v>-0.0258293238794632</v>
      </c>
      <c r="V229" s="47">
        <f>(V228-U228)/U228</f>
        <v>2.57395373017936</v>
      </c>
      <c r="W229" s="3" t="n"/>
      <c r="X229" s="47">
        <f>(X228-W228)/W228</f>
        <v>-0.0189104662157248</v>
      </c>
      <c r="Y229" s="47">
        <f>(Y228-X228)/X228</f>
        <v>0.208095485210171</v>
      </c>
      <c r="Z229" s="47">
        <f>(Z228-Y228)/Y228</f>
        <v>-0.0810628375061365</v>
      </c>
      <c r="AA229" s="47">
        <f>(AA228-Z228)/Z228</f>
        <v>-0.0829382303839733</v>
      </c>
      <c r="AB229" s="3" t="n"/>
      <c r="AC229" s="47">
        <f>(AC228-AB228)/AB228</f>
        <v>-0.0755115415422704</v>
      </c>
      <c r="AD229" s="47">
        <f>(AD228-AC228)/AC228</f>
        <v>0.00897920604914934</v>
      </c>
      <c r="AE229" s="47">
        <f>(AE228-AD228)/AD228</f>
        <v>-0.273848555815769</v>
      </c>
      <c r="AF229" s="230">
        <f>(AF228-AE228)/AE228</f>
        <v>0.00698774457105999</v>
      </c>
      <c r="AG229" s="3" t="n"/>
      <c r="AH229" s="230">
        <f>(AH228-AG228)/AG228</f>
        <v>0.0622397779438454</v>
      </c>
      <c r="AI229" s="230">
        <f>(AI228-AH228)/AH228</f>
        <v>0.0505527638190955</v>
      </c>
      <c r="AJ229" s="230" t="n"/>
      <c r="AK229" s="230" t="n"/>
      <c r="AL229" s="3" t="n"/>
      <c r="AM229" s="230" t="n"/>
      <c r="AN229" s="230" t="n"/>
      <c r="AO229" s="230" t="n"/>
      <c r="AP229" s="230" t="n"/>
      <c r="AQ229" s="3" t="n"/>
      <c r="AR229" s="230" t="n"/>
      <c r="AS229" s="230" t="n"/>
      <c r="AT229" s="230" t="n"/>
      <c r="AU229" s="230" t="n"/>
      <c r="AV229" s="3" t="n"/>
      <c r="AW229" s="230" t="n"/>
      <c r="AX229" s="230" t="n"/>
      <c r="AY229" s="230" t="n"/>
      <c r="AZ229" s="230" t="n"/>
      <c r="BA229" s="3" t="n"/>
      <c r="BB229" s="230" t="n"/>
      <c r="BC229" s="230" t="n"/>
      <c r="BD229" s="230" t="n"/>
      <c r="BE229" s="230" t="n"/>
      <c r="BF229" s="3" t="n"/>
      <c r="BG229" s="230" t="n"/>
      <c r="BH229" s="230" t="n"/>
      <c r="BI229" s="230" t="n"/>
      <c r="BJ229" s="230" t="n"/>
      <c r="BK229" s="3" t="n"/>
      <c r="BL229" s="230" t="n"/>
      <c r="BM229" s="230" t="n"/>
      <c r="BN229" s="230" t="n"/>
      <c r="BO229" s="230" t="n"/>
      <c r="BP229" s="3" t="n"/>
      <c r="BQ229" s="230" t="n"/>
      <c r="BR229" s="230" t="n"/>
      <c r="BS229" s="230" t="n"/>
      <c r="BT229" s="230" t="n"/>
      <c r="BU229" s="3" t="n"/>
      <c r="BV229" s="230" t="n"/>
      <c r="BW229" s="230" t="n"/>
      <c r="BX229" s="230" t="n"/>
      <c r="BY229" s="230" t="n"/>
      <c r="BZ229" s="3" t="n"/>
      <c r="CA229" s="230" t="n"/>
      <c r="CB229" s="230" t="n"/>
      <c r="CC229" s="230" t="n"/>
      <c r="CD229" s="230" t="n"/>
      <c r="CE229" s="3" t="n"/>
      <c r="CF229" s="230" t="n"/>
      <c r="CG229" s="230" t="n"/>
      <c r="CH229" s="230" t="n"/>
      <c r="CI229" s="230" t="n"/>
      <c r="CJ229" s="3" t="n"/>
      <c r="CK229" s="230" t="n"/>
      <c r="CL229" s="230" t="n"/>
      <c r="CM229" s="230" t="n"/>
      <c r="CN229" s="230" t="n"/>
      <c r="CO229" s="3" t="n"/>
      <c r="CP229" s="230" t="n"/>
      <c r="CQ229" s="230" t="n"/>
      <c r="CR229" s="230" t="n"/>
      <c r="CS229" s="230" t="n"/>
      <c r="CT229" s="3" t="n"/>
      <c r="CU229" s="230" t="n"/>
      <c r="CV229" s="230" t="n"/>
      <c r="CW229" s="230" t="n"/>
      <c r="CX229" s="230" t="n"/>
      <c r="CY229" s="3" t="n"/>
    </row>
    <row r="230" hidden="1" outlineLevel="1" ht="12" customHeight="1">
      <c r="C230" s="38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  <c r="AA230" s="3" t="n"/>
      <c r="AB230" s="3" t="n"/>
      <c r="AC230" s="3" t="n"/>
      <c r="AD230" s="3" t="n"/>
      <c r="AE230" s="3" t="n"/>
      <c r="AF230" s="3" t="n"/>
      <c r="AG230" s="3" t="n"/>
      <c r="AH230" s="3" t="n"/>
      <c r="AI230" s="3" t="n"/>
      <c r="AJ230" s="3" t="n"/>
      <c r="AK230" s="3" t="n"/>
      <c r="AL230" s="3" t="n"/>
      <c r="AM230" s="3" t="n"/>
      <c r="AN230" s="3" t="n"/>
      <c r="AO230" s="3" t="n"/>
      <c r="AP230" s="3" t="n"/>
      <c r="AQ230" s="3" t="n"/>
      <c r="AR230" s="3" t="n"/>
      <c r="AS230" s="3" t="n"/>
      <c r="AT230" s="3" t="n"/>
      <c r="AU230" s="3" t="n"/>
      <c r="AV230" s="3" t="n"/>
      <c r="AW230" s="3" t="n"/>
      <c r="AX230" s="3" t="n"/>
      <c r="AY230" s="3" t="n"/>
      <c r="AZ230" s="3" t="n"/>
      <c r="BA230" s="3" t="n"/>
      <c r="BB230" s="3" t="n"/>
      <c r="BC230" s="3" t="n"/>
      <c r="BD230" s="3" t="n"/>
      <c r="BE230" s="3" t="n"/>
      <c r="BF230" s="3" t="n"/>
      <c r="BG230" s="3" t="n"/>
      <c r="BH230" s="3" t="n"/>
      <c r="BI230" s="3" t="n"/>
      <c r="BJ230" s="3" t="n"/>
      <c r="BK230" s="3" t="n"/>
      <c r="BL230" s="3" t="n"/>
      <c r="BM230" s="3" t="n"/>
      <c r="BN230" s="3" t="n"/>
      <c r="BO230" s="3" t="n"/>
      <c r="BP230" s="3" t="n"/>
      <c r="BQ230" s="3" t="n"/>
      <c r="BR230" s="3" t="n"/>
      <c r="BS230" s="3" t="n"/>
      <c r="BT230" s="3" t="n"/>
      <c r="BU230" s="3" t="n"/>
      <c r="BV230" s="3" t="n"/>
      <c r="BW230" s="3" t="n"/>
      <c r="BX230" s="3" t="n"/>
      <c r="BY230" s="3" t="n"/>
      <c r="BZ230" s="3" t="n"/>
      <c r="CA230" s="3" t="n"/>
      <c r="CB230" s="3" t="n"/>
      <c r="CC230" s="3" t="n"/>
      <c r="CD230" s="3" t="n"/>
      <c r="CE230" s="3" t="n"/>
      <c r="CF230" s="3" t="n"/>
      <c r="CG230" s="3" t="n"/>
      <c r="CH230" s="3" t="n"/>
      <c r="CI230" s="3" t="n"/>
      <c r="CJ230" s="3" t="n"/>
      <c r="CK230" s="3" t="n"/>
      <c r="CL230" s="3" t="n"/>
      <c r="CM230" s="3" t="n"/>
      <c r="CN230" s="3" t="n"/>
      <c r="CO230" s="3" t="n"/>
      <c r="CP230" s="3" t="n"/>
      <c r="CQ230" s="3" t="n"/>
      <c r="CR230" s="3" t="n"/>
      <c r="CS230" s="3" t="n"/>
      <c r="CT230" s="3" t="n"/>
      <c r="CU230" s="3" t="n"/>
      <c r="CV230" s="3" t="n"/>
      <c r="CW230" s="3" t="n"/>
      <c r="CX230" s="3" t="n"/>
      <c r="CY230" s="3" t="n"/>
    </row>
    <row r="231" hidden="1" outlineLevel="1">
      <c r="C231" s="34" t="inlineStr">
        <is>
          <t>Contas a pagar pela aquisição de controladas</t>
        </is>
      </c>
      <c r="D231" s="6" t="n"/>
      <c r="E231" s="6" t="n"/>
      <c r="F231" s="6" t="n"/>
      <c r="G231" s="6" t="n"/>
      <c r="H231" s="3" t="n"/>
      <c r="I231" s="6" t="n"/>
      <c r="J231" s="6" t="n"/>
      <c r="K231" s="6" t="n"/>
      <c r="L231" s="6" t="n"/>
      <c r="M231" s="3" t="n"/>
      <c r="N231" s="6" t="n"/>
      <c r="O231" s="6" t="n"/>
      <c r="P231" s="6" t="n"/>
      <c r="Q231" s="6" t="n"/>
      <c r="R231" s="3" t="n"/>
      <c r="S231" s="6" t="n"/>
      <c r="T231" s="6" t="n"/>
      <c r="U231" s="6" t="n"/>
      <c r="V231" s="6" t="n"/>
      <c r="W231" s="3" t="n"/>
      <c r="X231" s="6" t="n"/>
      <c r="Y231" s="6" t="n"/>
      <c r="Z231" s="6" t="n"/>
      <c r="AA231" s="6" t="n"/>
      <c r="AB231" s="3" t="n"/>
      <c r="AC231" s="6" t="n"/>
      <c r="AD231" s="6" t="n"/>
      <c r="AE231" s="6" t="n"/>
      <c r="AF231" s="6" t="n"/>
      <c r="AG231" s="3" t="n"/>
      <c r="AH231" s="3" t="n"/>
      <c r="AI231" s="3" t="n"/>
      <c r="AJ231" s="3" t="n"/>
      <c r="AK231" s="3" t="n"/>
      <c r="AL231" s="3" t="n"/>
      <c r="AM231" s="3" t="n"/>
      <c r="AN231" s="3" t="n"/>
      <c r="AO231" s="3" t="n"/>
      <c r="AP231" s="3" t="n"/>
      <c r="AQ231" s="3" t="n"/>
      <c r="AR231" s="3" t="n"/>
      <c r="AS231" s="3" t="n"/>
      <c r="AT231" s="3" t="n"/>
      <c r="AU231" s="3" t="n"/>
      <c r="AV231" s="3" t="n"/>
      <c r="AW231" s="3" t="n"/>
      <c r="AX231" s="3" t="n"/>
      <c r="AY231" s="3" t="n"/>
      <c r="AZ231" s="3" t="n"/>
      <c r="BA231" s="3" t="n"/>
      <c r="BB231" s="3" t="n"/>
      <c r="BC231" s="3" t="n"/>
      <c r="BD231" s="3" t="n"/>
      <c r="BE231" s="3" t="n"/>
      <c r="BF231" s="3" t="n"/>
      <c r="BG231" s="3" t="n"/>
      <c r="BH231" s="3" t="n"/>
      <c r="BI231" s="3" t="n"/>
      <c r="BJ231" s="3" t="n"/>
      <c r="BK231" s="3" t="n"/>
      <c r="BL231" s="3" t="n"/>
      <c r="BM231" s="3" t="n"/>
      <c r="BN231" s="3" t="n"/>
      <c r="BO231" s="3" t="n"/>
      <c r="BP231" s="3" t="n"/>
      <c r="BQ231" s="3" t="n"/>
      <c r="BR231" s="3" t="n"/>
      <c r="BS231" s="3" t="n"/>
      <c r="BT231" s="3" t="n"/>
      <c r="BU231" s="3" t="n"/>
      <c r="BV231" s="3" t="n"/>
      <c r="BW231" s="3" t="n"/>
      <c r="BX231" s="3" t="n"/>
      <c r="BY231" s="3" t="n"/>
      <c r="BZ231" s="3" t="n"/>
      <c r="CA231" s="3" t="n"/>
      <c r="CB231" s="3" t="n"/>
      <c r="CC231" s="3" t="n"/>
      <c r="CD231" s="3" t="n"/>
      <c r="CE231" s="3" t="n"/>
      <c r="CF231" s="3" t="n"/>
      <c r="CG231" s="3" t="n"/>
      <c r="CH231" s="3" t="n"/>
      <c r="CI231" s="3" t="n"/>
      <c r="CJ231" s="3" t="n"/>
      <c r="CK231" s="3" t="n"/>
      <c r="CL231" s="3" t="n"/>
      <c r="CM231" s="3" t="n"/>
      <c r="CN231" s="3" t="n"/>
      <c r="CO231" s="3" t="n"/>
      <c r="CP231" s="3" t="n"/>
      <c r="CQ231" s="3" t="n"/>
      <c r="CR231" s="3" t="n"/>
      <c r="CS231" s="3" t="n"/>
      <c r="CT231" s="3" t="n"/>
      <c r="CU231" s="3" t="n"/>
      <c r="CV231" s="3" t="n"/>
      <c r="CW231" s="3" t="n"/>
      <c r="CX231" s="3" t="n"/>
      <c r="CY231" s="3" t="n"/>
    </row>
    <row r="232" hidden="1" outlineLevel="1">
      <c r="C232" s="34" t="inlineStr">
        <is>
          <t xml:space="preserve">Outras Obrigações </t>
        </is>
      </c>
      <c r="D232" s="6" t="n"/>
      <c r="E232" s="6" t="n"/>
      <c r="F232" s="6" t="n"/>
      <c r="G232" s="6" t="n"/>
      <c r="H232" s="3" t="n"/>
      <c r="I232" s="6" t="n"/>
      <c r="J232" s="6" t="n"/>
      <c r="K232" s="6" t="n"/>
      <c r="L232" s="6" t="n"/>
      <c r="M232" s="3" t="n"/>
      <c r="N232" s="6" t="n"/>
      <c r="O232" s="6" t="n"/>
      <c r="P232" s="6" t="n"/>
      <c r="Q232" s="6" t="n"/>
      <c r="R232" s="3" t="n"/>
      <c r="S232" s="6" t="n"/>
      <c r="T232" s="6" t="n"/>
      <c r="U232" s="6" t="n"/>
      <c r="V232" s="6" t="n"/>
      <c r="W232" s="3" t="n"/>
      <c r="X232" s="6" t="n"/>
      <c r="Y232" s="6" t="n"/>
      <c r="Z232" s="6" t="n"/>
      <c r="AA232" s="6" t="n"/>
      <c r="AB232" s="3" t="n"/>
      <c r="AC232" s="6" t="n"/>
      <c r="AD232" s="6" t="n"/>
      <c r="AE232" s="6" t="n"/>
      <c r="AF232" s="6" t="n"/>
      <c r="AG232" s="3" t="n"/>
      <c r="AH232" s="3" t="n"/>
      <c r="AI232" s="3" t="n"/>
      <c r="AJ232" s="3" t="n"/>
      <c r="AK232" s="3" t="n"/>
      <c r="AL232" s="3" t="n"/>
      <c r="AM232" s="3" t="n"/>
      <c r="AN232" s="3" t="n"/>
      <c r="AO232" s="3" t="n"/>
      <c r="AP232" s="3" t="n"/>
      <c r="AQ232" s="3" t="n"/>
      <c r="AR232" s="3" t="n"/>
      <c r="AS232" s="3" t="n"/>
      <c r="AT232" s="3" t="n"/>
      <c r="AU232" s="3" t="n"/>
      <c r="AV232" s="3" t="n"/>
      <c r="AW232" s="3" t="n"/>
      <c r="AX232" s="3" t="n"/>
      <c r="AY232" s="3" t="n"/>
      <c r="AZ232" s="3" t="n"/>
      <c r="BA232" s="3" t="n"/>
      <c r="BB232" s="3" t="n"/>
      <c r="BC232" s="3" t="n"/>
      <c r="BD232" s="3" t="n"/>
      <c r="BE232" s="3" t="n"/>
      <c r="BF232" s="3" t="n"/>
      <c r="BG232" s="3" t="n"/>
      <c r="BH232" s="3" t="n"/>
      <c r="BI232" s="3" t="n"/>
      <c r="BJ232" s="3" t="n"/>
      <c r="BK232" s="3" t="n"/>
      <c r="BL232" s="3" t="n"/>
      <c r="BM232" s="3" t="n"/>
      <c r="BN232" s="3" t="n"/>
      <c r="BO232" s="3" t="n"/>
      <c r="BP232" s="3" t="n"/>
      <c r="BQ232" s="3" t="n"/>
      <c r="BR232" s="3" t="n"/>
      <c r="BS232" s="3" t="n"/>
      <c r="BT232" s="3" t="n"/>
      <c r="BU232" s="3" t="n"/>
      <c r="BV232" s="3" t="n"/>
      <c r="BW232" s="3" t="n"/>
      <c r="BX232" s="3" t="n"/>
      <c r="BY232" s="3" t="n"/>
      <c r="BZ232" s="3" t="n"/>
      <c r="CA232" s="3" t="n"/>
      <c r="CB232" s="3" t="n"/>
      <c r="CC232" s="3" t="n"/>
      <c r="CD232" s="3" t="n"/>
      <c r="CE232" s="3" t="n"/>
      <c r="CF232" s="3" t="n"/>
      <c r="CG232" s="3" t="n"/>
      <c r="CH232" s="3" t="n"/>
      <c r="CI232" s="3" t="n"/>
      <c r="CJ232" s="3" t="n"/>
      <c r="CK232" s="3" t="n"/>
      <c r="CL232" s="3" t="n"/>
      <c r="CM232" s="3" t="n"/>
      <c r="CN232" s="3" t="n"/>
      <c r="CO232" s="3" t="n"/>
      <c r="CP232" s="3" t="n"/>
      <c r="CQ232" s="3" t="n"/>
      <c r="CR232" s="3" t="n"/>
      <c r="CS232" s="3" t="n"/>
      <c r="CT232" s="3" t="n"/>
      <c r="CU232" s="3" t="n"/>
      <c r="CV232" s="3" t="n"/>
      <c r="CW232" s="3" t="n"/>
      <c r="CX232" s="3" t="n"/>
      <c r="CY232" s="3" t="n"/>
    </row>
    <row r="233" hidden="1" outlineLevel="1">
      <c r="C233" s="34" t="inlineStr">
        <is>
          <t xml:space="preserve">Provisão de Risco Cíveis, Trabalhistas e Tributários </t>
        </is>
      </c>
      <c r="D233" s="6" t="n"/>
      <c r="E233" s="6" t="n"/>
      <c r="F233" s="6" t="n"/>
      <c r="G233" s="6" t="n"/>
      <c r="H233" s="3" t="n"/>
      <c r="I233" s="6" t="n"/>
      <c r="J233" s="6" t="n"/>
      <c r="K233" s="6" t="n"/>
      <c r="L233" s="6" t="n"/>
      <c r="M233" s="3" t="n"/>
      <c r="N233" s="6" t="n"/>
      <c r="O233" s="6" t="n"/>
      <c r="P233" s="6" t="n"/>
      <c r="Q233" s="6" t="n"/>
      <c r="R233" s="3" t="n"/>
      <c r="S233" s="6" t="n"/>
      <c r="T233" s="6" t="n"/>
      <c r="U233" s="6" t="n"/>
      <c r="V233" s="6" t="n"/>
      <c r="W233" s="3" t="n"/>
      <c r="X233" s="6" t="n"/>
      <c r="Y233" s="6" t="n"/>
      <c r="Z233" s="6" t="n"/>
      <c r="AA233" s="6" t="n"/>
      <c r="AB233" s="3" t="n"/>
      <c r="AC233" s="6" t="n"/>
      <c r="AD233" s="6" t="n"/>
      <c r="AE233" s="6" t="n"/>
      <c r="AF233" s="6" t="n"/>
      <c r="AG233" s="3" t="n"/>
      <c r="AH233" s="3" t="n"/>
      <c r="AI233" s="3" t="n"/>
      <c r="AJ233" s="3" t="n"/>
      <c r="AK233" s="3" t="n"/>
      <c r="AL233" s="3" t="n"/>
      <c r="AM233" s="3" t="n"/>
      <c r="AN233" s="3" t="n"/>
      <c r="AO233" s="3" t="n"/>
      <c r="AP233" s="3" t="n"/>
      <c r="AQ233" s="3" t="n"/>
      <c r="AR233" s="3" t="n"/>
      <c r="AS233" s="3" t="n"/>
      <c r="AT233" s="3" t="n"/>
      <c r="AU233" s="3" t="n"/>
      <c r="AV233" s="3" t="n"/>
      <c r="AW233" s="3" t="n"/>
      <c r="AX233" s="3" t="n"/>
      <c r="AY233" s="3" t="n"/>
      <c r="AZ233" s="3" t="n"/>
      <c r="BA233" s="3" t="n"/>
      <c r="BB233" s="3" t="n"/>
      <c r="BC233" s="3" t="n"/>
      <c r="BD233" s="3" t="n"/>
      <c r="BE233" s="3" t="n"/>
      <c r="BF233" s="3" t="n"/>
      <c r="BG233" s="3" t="n"/>
      <c r="BH233" s="3" t="n"/>
      <c r="BI233" s="3" t="n"/>
      <c r="BJ233" s="3" t="n"/>
      <c r="BK233" s="3" t="n"/>
      <c r="BL233" s="3" t="n"/>
      <c r="BM233" s="3" t="n"/>
      <c r="BN233" s="3" t="n"/>
      <c r="BO233" s="3" t="n"/>
      <c r="BP233" s="3" t="n"/>
      <c r="BQ233" s="3" t="n"/>
      <c r="BR233" s="3" t="n"/>
      <c r="BS233" s="3" t="n"/>
      <c r="BT233" s="3" t="n"/>
      <c r="BU233" s="3" t="n"/>
      <c r="BV233" s="3" t="n"/>
      <c r="BW233" s="3" t="n"/>
      <c r="BX233" s="3" t="n"/>
      <c r="BY233" s="3" t="n"/>
      <c r="BZ233" s="3" t="n"/>
      <c r="CA233" s="3" t="n"/>
      <c r="CB233" s="3" t="n"/>
      <c r="CC233" s="3" t="n"/>
      <c r="CD233" s="3" t="n"/>
      <c r="CE233" s="3" t="n"/>
      <c r="CF233" s="3" t="n"/>
      <c r="CG233" s="3" t="n"/>
      <c r="CH233" s="3" t="n"/>
      <c r="CI233" s="3" t="n"/>
      <c r="CJ233" s="3" t="n"/>
      <c r="CK233" s="3" t="n"/>
      <c r="CL233" s="3" t="n"/>
      <c r="CM233" s="3" t="n"/>
      <c r="CN233" s="3" t="n"/>
      <c r="CO233" s="3" t="n"/>
      <c r="CP233" s="3" t="n"/>
      <c r="CQ233" s="3" t="n"/>
      <c r="CR233" s="3" t="n"/>
      <c r="CS233" s="3" t="n"/>
      <c r="CT233" s="3" t="n"/>
      <c r="CU233" s="3" t="n"/>
      <c r="CV233" s="3" t="n"/>
      <c r="CW233" s="3" t="n"/>
      <c r="CX233" s="3" t="n"/>
      <c r="CY233" s="3" t="n"/>
    </row>
    <row r="234" hidden="1" outlineLevel="1">
      <c r="C234" s="34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  <c r="AA234" s="3" t="n"/>
      <c r="AB234" s="3" t="n"/>
      <c r="AC234" s="3" t="n"/>
      <c r="AD234" s="3" t="n"/>
      <c r="AE234" s="3" t="n"/>
      <c r="AF234" s="3" t="n"/>
      <c r="AG234" s="3" t="n"/>
      <c r="AH234" s="3" t="n"/>
      <c r="AI234" s="3" t="n"/>
      <c r="AJ234" s="3" t="n"/>
      <c r="AK234" s="3" t="n"/>
      <c r="AL234" s="3" t="n"/>
      <c r="AM234" s="3" t="n"/>
      <c r="AN234" s="3" t="n"/>
      <c r="AO234" s="3" t="n"/>
      <c r="AP234" s="3" t="n"/>
      <c r="AQ234" s="3" t="n"/>
      <c r="AR234" s="3" t="n"/>
      <c r="AS234" s="3" t="n"/>
      <c r="AT234" s="3" t="n"/>
      <c r="AU234" s="3" t="n"/>
      <c r="AV234" s="3" t="n"/>
      <c r="AW234" s="3" t="n"/>
      <c r="AX234" s="3" t="n"/>
      <c r="AY234" s="3" t="n"/>
      <c r="AZ234" s="3" t="n"/>
      <c r="BA234" s="3" t="n"/>
      <c r="BB234" s="3" t="n"/>
      <c r="BC234" s="3" t="n"/>
      <c r="BD234" s="3" t="n"/>
      <c r="BE234" s="3" t="n"/>
      <c r="BF234" s="3" t="n"/>
      <c r="BG234" s="3" t="n"/>
      <c r="BH234" s="3" t="n"/>
      <c r="BI234" s="3" t="n"/>
      <c r="BJ234" s="3" t="n"/>
      <c r="BK234" s="3" t="n"/>
      <c r="BL234" s="3" t="n"/>
      <c r="BM234" s="3" t="n"/>
      <c r="BN234" s="3" t="n"/>
      <c r="BO234" s="3" t="n"/>
      <c r="BP234" s="3" t="n"/>
      <c r="BQ234" s="3" t="n"/>
      <c r="BR234" s="3" t="n"/>
      <c r="BS234" s="3" t="n"/>
      <c r="BT234" s="3" t="n"/>
      <c r="BU234" s="3" t="n"/>
      <c r="BV234" s="3" t="n"/>
      <c r="BW234" s="3" t="n"/>
      <c r="BX234" s="3" t="n"/>
      <c r="BY234" s="3" t="n"/>
      <c r="BZ234" s="3" t="n"/>
      <c r="CA234" s="3" t="n"/>
      <c r="CB234" s="3" t="n"/>
      <c r="CC234" s="3" t="n"/>
      <c r="CD234" s="3" t="n"/>
      <c r="CE234" s="3" t="n"/>
      <c r="CF234" s="3" t="n"/>
      <c r="CG234" s="3" t="n"/>
      <c r="CH234" s="3" t="n"/>
      <c r="CI234" s="3" t="n"/>
      <c r="CJ234" s="3" t="n"/>
      <c r="CK234" s="3" t="n"/>
      <c r="CL234" s="3" t="n"/>
      <c r="CM234" s="3" t="n"/>
      <c r="CN234" s="3" t="n"/>
      <c r="CO234" s="3" t="n"/>
      <c r="CP234" s="3" t="n"/>
      <c r="CQ234" s="3" t="n"/>
      <c r="CR234" s="3" t="n"/>
      <c r="CS234" s="3" t="n"/>
      <c r="CT234" s="3" t="n"/>
      <c r="CU234" s="3" t="n"/>
      <c r="CV234" s="3" t="n"/>
      <c r="CW234" s="3" t="n"/>
      <c r="CX234" s="3" t="n"/>
      <c r="CY234" s="3" t="n"/>
    </row>
    <row r="235" collapsed="1" customFormat="1" s="17">
      <c r="A235" s="13" t="n"/>
      <c r="B235" s="13" t="n"/>
      <c r="C235" s="27" t="inlineStr">
        <is>
          <t>Total Liabilities</t>
        </is>
      </c>
      <c r="D235" s="16">
        <f>SUM(D186+D190+D192+D193+D200+D201+D202+D205+D223+D226+D227+D228)</f>
        <v>57578</v>
      </c>
      <c r="E235" s="16">
        <f>SUM(E186+E190+E192+E193+E200+E201+E202+E205+E223+E226+E227+E228)</f>
        <v>55713</v>
      </c>
      <c r="F235" s="16">
        <f>SUM(F186+F190+F192+F193+F200+F201+F202+F205+F223+F226+F227+F228)</f>
        <v>52032</v>
      </c>
      <c r="G235" s="16">
        <f>SUM(G186+G190+G192+G193+G200+G201+G202+G205+G223+G226+G227+G228)</f>
        <v>52973</v>
      </c>
      <c r="H235" s="16">
        <f>SUM(H186,H190,H192,H193,H200,H201,H205,H202,H223,H226,H227,H228)</f>
        <v>52973</v>
      </c>
      <c r="I235" s="16">
        <f>SUM(I186+I190+I192+I193+I200+I201+I202+I205+I223+I226+I227+I228)</f>
        <v>51558</v>
      </c>
      <c r="J235" s="16">
        <f>SUM(J186+J190+J192+J193+J200+J201+J202+J205+J223+J226+J227+J228)</f>
        <v>51513</v>
      </c>
      <c r="K235" s="16">
        <f>SUM(K186+K190+K192+K193+K200+K201+K202+K205+K223+K226+K227+K228)</f>
        <v>50581</v>
      </c>
      <c r="L235" s="16">
        <f>SUM(L186+L190+L192+L193+L200+L201+L202+L205+L223+L226+L227+L228)</f>
        <v>50230</v>
      </c>
      <c r="M235" s="16">
        <f>SUM(M186,M190,M192,M193,M200,M201,M205,M202,M223,M226,M227,M228)</f>
        <v>50230</v>
      </c>
      <c r="N235" s="16">
        <f>SUM(N186+N190+N192+N193+N200+N201+N202+N205+N223+N226+N227+N228)</f>
        <v>50729</v>
      </c>
      <c r="O235" s="16">
        <f>SUM(O186+O190+O192+O193+O200+O201+O202+O205+O223+O226+O227+O228)</f>
        <v>50423</v>
      </c>
      <c r="P235" s="16">
        <f>SUM(P186+P190+P192+P193+P200+P201+P202+P205+P223+P226+P227+P228)</f>
        <v>50540</v>
      </c>
      <c r="Q235" s="16">
        <f>SUM(Q186+Q190+Q192+Q193+Q200+Q201+Q202+Q205+Q223+Q226+Q227+Q228)</f>
        <v>49666</v>
      </c>
      <c r="R235" s="16">
        <f>SUM(R186,R190,R192,R193,R200,R201,R205,R202,R223,R226,R227,R228)</f>
        <v>49666</v>
      </c>
      <c r="S235" s="16">
        <f>SUM(S186+S190+S192+S193+S200+S201+S202+S205+S223+S226+S227+S228)</f>
        <v>49660</v>
      </c>
      <c r="T235" s="16">
        <f>SUM(T186+T190+T192+T193+T200+T201+T202+T205+T223+T226+T227+T228)</f>
        <v>49516</v>
      </c>
      <c r="U235" s="16">
        <f>SUM(U186+U190+U192+U193+U200+U201+U202+U205+U223+U226+U227+U228)</f>
        <v>48873</v>
      </c>
      <c r="V235" s="16">
        <f>SUM(V186+V190+V192+V193+V200+V201+V202+V205+V223+V226+V227+V228)</f>
        <v>107586</v>
      </c>
      <c r="W235" s="16">
        <f>SUM(W186,W190,W192,W193,W200,W201,W205,W202,W223,W226,W227,W228)</f>
        <v>107586</v>
      </c>
      <c r="X235" s="16">
        <f>SUM(X186+X190+X192+X193+X200+X201+X202+X205+X223+X226+X227+X228)</f>
        <v>105250</v>
      </c>
      <c r="Y235" s="16">
        <f>SUM(Y186+Y190+Y192+Y193+Y200+Y201+Y202+Y205+Y223+Y226+Y227+Y228)</f>
        <v>102315</v>
      </c>
      <c r="Z235" s="16">
        <f>SUM(Z186+Z190+Z192+Z193+Z200+Z201+Z202+Z205+Z223+Z226+Z227+Z228)</f>
        <v>97967</v>
      </c>
      <c r="AA235" s="16">
        <f>SUM(AA186+AA190+AA192+AA193+AA200+AA201+AA202+AA205+AA223+AA226+AA227+AA228)</f>
        <v>95569</v>
      </c>
      <c r="AB235" s="16">
        <f>SUM(AB186,AB190,AB192,AB193,AB200,AB201,AB205,AB202,AB223,AB226,AB227,AB228)</f>
        <v>95569</v>
      </c>
      <c r="AC235" s="16">
        <f>SUM(AC186+AC190+AC192+AC193+AC200+AC201+AC202+AC205+AC223+AC226+AC227+AC228)</f>
        <v>95044</v>
      </c>
      <c r="AD235" s="16">
        <f>SUM(AD186+AD190+AD192+AD193+AD200+AD201+AD202+AD205+AD223+AD226+AD227+AD228)</f>
        <v>92344</v>
      </c>
      <c r="AE235" s="16">
        <f>SUM(AE186+AE190+AE192+AE193+AE200+AE201+AE202+AE205+AE223+AE226+AE227+AE228)</f>
        <v>89800</v>
      </c>
      <c r="AF235" s="16">
        <f>SUM(AF186+AF190+AF192+AF193+AF200+AF201+AF202+AF205+AF223+AF226+AF227+AF228)</f>
        <v>90031</v>
      </c>
      <c r="AG235" s="16">
        <f>SUM(AG186,AG190,AG192,AG193,AG200,AG201,AG205,AG202,AG223,AG226,AG227,AG228)</f>
        <v>90031</v>
      </c>
      <c r="AH235" s="16">
        <f>SUM(AH186+AH190+AH192+AH193+AH200+AH201+AH202+AH205+AH223+AH226+AH227+AH228)</f>
        <v>91467</v>
      </c>
      <c r="AI235" s="16">
        <f>SUM(AI186+AI190+AI192+AI193+AI200+AI201+AI202+AI205+AI223+AI226+AI227+AI228)</f>
        <v>88458</v>
      </c>
      <c r="AJ235" s="16">
        <f>SUM(AJ186+AJ190+AJ192+AJ193+AJ200+AJ201+AJ202+AJ205+AJ223+AJ226+AJ227+AJ228)</f>
        <v>82952</v>
      </c>
      <c r="AK235" s="16">
        <f>SUM(AK186+AK190+AK192+AK193+AK200+AK201+AK202+AK205+AK223+AK226+AK227+AK228)</f>
        <v>82952</v>
      </c>
      <c r="AL235" s="16">
        <f>SUM(AL186,AL190,AL192,AL193,AL200,AL201,AL205,AL202,AL223,AL226,AL227,AL228)</f>
        <v>82952</v>
      </c>
      <c r="AM235" s="16" t="e">
        <f>SUM(AM186+AM190+AM192+AM193+AM200+AM201+AM202+AM205+AM223+AM226+AM227+AM228)</f>
        <v>#DIV/0!</v>
      </c>
      <c r="AN235" s="16">
        <f>SUM(AN186+AN190+AN192+AN193+AN200+AN201+AN202+AN205+AN223+AN226+AN227+AN228)</f>
        <v>82952</v>
      </c>
      <c r="AO235" s="16" t="e">
        <f>SUM(AO186+AO190+AO192+AO193+AO200+AO201+AO202+AO205+AO223+AO226+AO227+AO228)</f>
        <v>#DIV/0!</v>
      </c>
      <c r="AP235" s="16" t="e">
        <f>SUM(AP186+AP190+AP192+AP193+AP200+AP201+AP202+AP205+AP223+AP226+AP227+AP228)</f>
        <v>#DIV/0!</v>
      </c>
      <c r="AQ235" s="16" t="e">
        <f>SUM(AQ186,AQ190,AQ192,AQ193,AQ200,AQ201,AQ205,AQ202,AQ223,AQ226,AQ227,AQ228)</f>
        <v>#DIV/0!</v>
      </c>
      <c r="AR235" s="16" t="e">
        <f>SUM(AR186+AR190+AR192+AR193+AR200+AR201+AR202+AR205+AR223+AR226+AR227+AR228)</f>
        <v>#DIV/0!</v>
      </c>
      <c r="AS235" s="16" t="e">
        <f>SUM(AS186+AS190+AS192+AS193+AS200+AS201+AS202+AS205+AS223+AS226+AS227+AS228)</f>
        <v>#DIV/0!</v>
      </c>
      <c r="AT235" s="16" t="e">
        <f>SUM(AT186+AT190+AT192+AT193+AT200+AT201+AT202+AT205+AT223+AT226+AT227+AT228)</f>
        <v>#DIV/0!</v>
      </c>
      <c r="AU235" s="16" t="e">
        <f>SUM(AU186+AU190+AU192+AU193+AU200+AU201+AU202+AU205+AU223+AU226+AU227+AU228)</f>
        <v>#DIV/0!</v>
      </c>
      <c r="AV235" s="16" t="e">
        <f>SUM(AV186,AV190,AV192,AV193,AV200,AV201,AV205,AV202,AV223,AV226,AV227,AV228)</f>
        <v>#DIV/0!</v>
      </c>
      <c r="AW235" s="16" t="e">
        <f>SUM(AW186+AW190+AW192+AW193+AW200+AW201+AW202+AW205+AW223+AW226+AW227+AW228)</f>
        <v>#DIV/0!</v>
      </c>
      <c r="AX235" s="16" t="e">
        <f>SUM(AX186+AX190+AX192+AX193+AX200+AX201+AX202+AX205+AX223+AX226+AX227+AX228)</f>
        <v>#DIV/0!</v>
      </c>
      <c r="AY235" s="16" t="e">
        <f>SUM(AY186+AY190+AY192+AY193+AY200+AY201+AY202+AY205+AY223+AY226+AY227+AY228)</f>
        <v>#DIV/0!</v>
      </c>
      <c r="AZ235" s="16" t="e">
        <f>SUM(AZ186+AZ190+AZ192+AZ193+AZ200+AZ201+AZ202+AZ205+AZ223+AZ226+AZ227+AZ228)</f>
        <v>#DIV/0!</v>
      </c>
      <c r="BA235" s="16" t="e">
        <f>SUM(BA186,BA190,BA192,BA193,BA200,BA201,BA205,BA202,BA223,BA226,BA227,BA228)</f>
        <v>#DIV/0!</v>
      </c>
      <c r="BB235" s="16" t="e">
        <f>SUM(BB186+BB190+BB192+BB193+BB200+BB201+BB202+BB205+BB223+BB226+BB227+BB228)</f>
        <v>#DIV/0!</v>
      </c>
      <c r="BC235" s="16" t="e">
        <f>SUM(BC186+BC190+BC192+BC193+BC200+BC201+BC202+BC205+BC223+BC226+BC227+BC228)</f>
        <v>#DIV/0!</v>
      </c>
      <c r="BD235" s="16" t="e">
        <f>SUM(BD186+BD190+BD192+BD193+BD200+BD201+BD202+BD205+BD223+BD226+BD227+BD228)</f>
        <v>#DIV/0!</v>
      </c>
      <c r="BE235" s="16" t="e">
        <f>SUM(BE186+BE190+BE192+BE193+BE200+BE201+BE202+BE205+BE223+BE226+BE227+BE228)</f>
        <v>#DIV/0!</v>
      </c>
      <c r="BF235" s="16" t="e">
        <f>SUM(BF186,BF190,BF192,BF193,BF200,BF201,BF205,BF202,BF223,BF226,BF227,BF228)</f>
        <v>#DIV/0!</v>
      </c>
      <c r="BG235" s="16" t="e">
        <f>SUM(BG186+BG190+BG192+BG193+BG200+BG201+BG202+BG205+BG223+BG226+BG227+BG228)</f>
        <v>#DIV/0!</v>
      </c>
      <c r="BH235" s="16" t="e">
        <f>SUM(BH186+BH190+BH192+BH193+BH200+BH201+BH202+BH205+BH223+BH226+BH227+BH228)</f>
        <v>#DIV/0!</v>
      </c>
      <c r="BI235" s="16" t="e">
        <f>SUM(BI186+BI190+BI192+BI193+BI200+BI201+BI202+BI205+BI223+BI226+BI227+BI228)</f>
        <v>#DIV/0!</v>
      </c>
      <c r="BJ235" s="16" t="e">
        <f>SUM(BJ186+BJ190+BJ192+BJ193+BJ200+BJ201+BJ202+BJ205+BJ223+BJ226+BJ227+BJ228)</f>
        <v>#DIV/0!</v>
      </c>
      <c r="BK235" s="16" t="e">
        <f>SUM(BK186,BK190,BK192,BK193,BK200,BK201,BK205,BK202,BK223,BK226,BK227,BK228)</f>
        <v>#DIV/0!</v>
      </c>
      <c r="BL235" s="16" t="e">
        <f>SUM(BL186+BL190+BL192+BL193+BL200+BL201+BL202+BL205+BL223+BL226+BL227+BL228)</f>
        <v>#DIV/0!</v>
      </c>
      <c r="BM235" s="16" t="e">
        <f>SUM(BM186+BM190+BM192+BM193+BM200+BM201+BM202+BM205+BM223+BM226+BM227+BM228)</f>
        <v>#DIV/0!</v>
      </c>
      <c r="BN235" s="16" t="e">
        <f>SUM(BN186+BN190+BN192+BN193+BN200+BN201+BN202+BN205+BN223+BN226+BN227+BN228)</f>
        <v>#DIV/0!</v>
      </c>
      <c r="BO235" s="16" t="e">
        <f>SUM(BO186+BO190+BO192+BO193+BO200+BO201+BO202+BO205+BO223+BO226+BO227+BO228)</f>
        <v>#DIV/0!</v>
      </c>
      <c r="BP235" s="16" t="e">
        <f>SUM(BP186,BP190,BP192,BP193,BP200,BP201,BP205,BP202,BP223,BP226,BP227,BP228)</f>
        <v>#DIV/0!</v>
      </c>
      <c r="BQ235" s="16" t="e">
        <f>SUM(BQ186+BQ190+BQ192+BQ193+BQ200+BQ201+BQ202+BQ205+BQ223+BQ226+BQ227+BQ228)</f>
        <v>#DIV/0!</v>
      </c>
      <c r="BR235" s="16" t="e">
        <f>SUM(BR186+BR190+BR192+BR193+BR200+BR201+BR202+BR205+BR223+BR226+BR227+BR228)</f>
        <v>#DIV/0!</v>
      </c>
      <c r="BS235" s="16" t="e">
        <f>SUM(BS186+BS190+BS192+BS193+BS200+BS201+BS202+BS205+BS223+BS226+BS227+BS228)</f>
        <v>#DIV/0!</v>
      </c>
      <c r="BT235" s="16" t="e">
        <f>SUM(BT186+BT190+BT192+BT193+BT200+BT201+BT202+BT205+BT223+BT226+BT227+BT228)</f>
        <v>#DIV/0!</v>
      </c>
      <c r="BU235" s="16" t="e">
        <f>SUM(BU186,BU190,BU192,BU193,BU200,BU201,BU205,BU202,BU223,BU226,BU227,BU228)</f>
        <v>#DIV/0!</v>
      </c>
      <c r="BV235" s="16" t="e">
        <f>SUM(BV186+BV190+BV192+BV193+BV200+BV201+BV202+BV205+BV223+BV226+BV227+BV228)</f>
        <v>#DIV/0!</v>
      </c>
      <c r="BW235" s="16" t="e">
        <f>SUM(BW186+BW190+BW192+BW193+BW200+BW201+BW202+BW205+BW223+BW226+BW227+BW228)</f>
        <v>#DIV/0!</v>
      </c>
      <c r="BX235" s="16" t="e">
        <f>SUM(BX186+BX190+BX192+BX193+BX200+BX201+BX202+BX205+BX223+BX226+BX227+BX228)</f>
        <v>#DIV/0!</v>
      </c>
      <c r="BY235" s="16" t="e">
        <f>SUM(BY186+BY190+BY192+BY193+BY200+BY201+BY202+BY205+BY223+BY226+BY227+BY228)</f>
        <v>#DIV/0!</v>
      </c>
      <c r="BZ235" s="16" t="e">
        <f>SUM(BZ186,BZ190,BZ192,BZ193,BZ200,BZ201,BZ205,BZ202,BZ223,BZ226,BZ227,BZ228)</f>
        <v>#DIV/0!</v>
      </c>
      <c r="CA235" s="16" t="e">
        <f>SUM(CA186+CA190+CA192+CA193+CA200+CA201+CA202+CA205+CA223+CA226+CA227+CA228)</f>
        <v>#DIV/0!</v>
      </c>
      <c r="CB235" s="16" t="e">
        <f>SUM(CB186+CB190+CB192+CB193+CB200+CB201+CB202+CB205+CB223+CB226+CB227+CB228)</f>
        <v>#DIV/0!</v>
      </c>
      <c r="CC235" s="16" t="e">
        <f>SUM(CC186+CC190+CC192+CC193+CC200+CC201+CC202+CC205+CC223+CC226+CC227+CC228)</f>
        <v>#DIV/0!</v>
      </c>
      <c r="CD235" s="16" t="e">
        <f>SUM(CD186+CD190+CD192+CD193+CD200+CD201+CD202+CD205+CD223+CD226+CD227+CD228)</f>
        <v>#DIV/0!</v>
      </c>
      <c r="CE235" s="16" t="e">
        <f>SUM(CE186,CE190,CE192,CE193,CE200,CE201,CE205,CE202,CE223,CE226,CE227,CE228)</f>
        <v>#DIV/0!</v>
      </c>
      <c r="CF235" s="16" t="e">
        <f>SUM(CF186+CF190+CF192+CF193+CF200+CF201+CF202+CF205+CF223+CF226+CF227+CF228)</f>
        <v>#DIV/0!</v>
      </c>
      <c r="CG235" s="16" t="e">
        <f>SUM(CG186+CG190+CG192+CG193+CG200+CG201+CG202+CG205+CG223+CG226+CG227+CG228)</f>
        <v>#DIV/0!</v>
      </c>
      <c r="CH235" s="16" t="e">
        <f>SUM(CH186+CH190+CH192+CH193+CH200+CH201+CH202+CH205+CH223+CH226+CH227+CH228)</f>
        <v>#DIV/0!</v>
      </c>
      <c r="CI235" s="16" t="e">
        <f>SUM(CI186+CI190+CI192+CI193+CI200+CI201+CI202+CI205+CI223+CI226+CI227+CI228)</f>
        <v>#DIV/0!</v>
      </c>
      <c r="CJ235" s="16" t="e">
        <f>SUM(CJ186,CJ190,CJ192,CJ193,CJ200,CJ201,CJ205,CJ202,CJ223,CJ226,CJ227,CJ228)</f>
        <v>#DIV/0!</v>
      </c>
      <c r="CK235" s="16" t="e">
        <f>SUM(CK186+CK190+CK192+CK193+CK200+CK201+CK202+CK205+CK223+CK226+CK227+CK228)</f>
        <v>#DIV/0!</v>
      </c>
      <c r="CL235" s="16" t="e">
        <f>SUM(CL186+CL190+CL192+CL193+CL200+CL201+CL202+CL205+CL223+CL226+CL227+CL228)</f>
        <v>#DIV/0!</v>
      </c>
      <c r="CM235" s="16" t="e">
        <f>SUM(CM186+CM190+CM192+CM193+CM200+CM201+CM202+CM205+CM223+CM226+CM227+CM228)</f>
        <v>#DIV/0!</v>
      </c>
      <c r="CN235" s="16" t="e">
        <f>SUM(CN186+CN190+CN192+CN193+CN200+CN201+CN202+CN205+CN223+CN226+CN227+CN228)</f>
        <v>#DIV/0!</v>
      </c>
      <c r="CO235" s="16" t="e">
        <f>SUM(CO186,CO190,CO192,CO193,CO200,CO201,CO205,CO202,CO223,CO226,CO227,CO228)</f>
        <v>#DIV/0!</v>
      </c>
      <c r="CP235" s="16" t="e">
        <f>SUM(CP186+CP190+CP192+CP193+CP200+CP201+CP202+CP205+CP223+CP226+CP227+CP228)</f>
        <v>#DIV/0!</v>
      </c>
      <c r="CQ235" s="16" t="e">
        <f>SUM(CQ186+CQ190+CQ192+CQ193+CQ200+CQ201+CQ202+CQ205+CQ223+CQ226+CQ227+CQ228)</f>
        <v>#DIV/0!</v>
      </c>
      <c r="CR235" s="16" t="e">
        <f>SUM(CR186+CR190+CR192+CR193+CR200+CR201+CR202+CR205+CR223+CR226+CR227+CR228)</f>
        <v>#DIV/0!</v>
      </c>
      <c r="CS235" s="16" t="e">
        <f>SUM(CS186+CS190+CS192+CS193+CS200+CS201+CS202+CS205+CS223+CS226+CS227+CS228)</f>
        <v>#DIV/0!</v>
      </c>
      <c r="CT235" s="16" t="e">
        <f>SUM(CT186,CT190,CT192,CT193,CT200,CT201,CT205,CT202,CT223,CT226,CT227,CT228)</f>
        <v>#DIV/0!</v>
      </c>
      <c r="CU235" s="16" t="e">
        <f>SUM(CU186+CU190+CU192+CU193+CU200+CU201+CU202+CU205+CU223+CU226+CU227+CU228)</f>
        <v>#DIV/0!</v>
      </c>
      <c r="CV235" s="16" t="e">
        <f>SUM(CV186+CV190+CV192+CV193+CV200+CV201+CV202+CV205+CV223+CV226+CV227+CV228)</f>
        <v>#DIV/0!</v>
      </c>
      <c r="CW235" s="16" t="e">
        <f>SUM(CW186+CW190+CW192+CW193+CW200+CW201+CW202+CW205+CW223+CW226+CW227+CW228)</f>
        <v>#DIV/0!</v>
      </c>
      <c r="CX235" s="16" t="e">
        <f>SUM(CX186+CX190+CX192+CX193+CX200+CX201+CX202+CX205+CX223+CX226+CX227+CX228)</f>
        <v>#DIV/0!</v>
      </c>
      <c r="CY235" s="16" t="e">
        <f>SUM(CY186,CY190,CY192,CY193,CY200,CY201,CY205,CY202,CY223,CY226,CY227,CY228)</f>
        <v>#DIV/0!</v>
      </c>
    </row>
    <row r="236">
      <c r="C236" s="26" t="inlineStr">
        <is>
          <t>Minority interest</t>
        </is>
      </c>
      <c r="D236" s="25">
        <f>INDEX('Inputs (2)'!$D$41:$AL$41,MATCH(D$7,'Inputs (2)'!$D$2:$AL$2,0))</f>
        <v>0</v>
      </c>
      <c r="E236" s="25">
        <f>INDEX('Inputs (2)'!$D$41:$AL$41,MATCH(E$7,'Inputs (2)'!$D$2:$AL$2,0))</f>
        <v>0</v>
      </c>
      <c r="F236" s="25">
        <f>INDEX('Inputs (2)'!$D$41:$AL$41,MATCH(F$7,'Inputs (2)'!$D$2:$AL$2,0))</f>
        <v>0</v>
      </c>
      <c r="G236" s="25">
        <f>INDEX('Inputs (2)'!$D$41:$AL$41,MATCH(G$7,'Inputs (2)'!$D$2:$AL$2,0))</f>
        <v>0</v>
      </c>
      <c r="H236" s="3">
        <f>G236</f>
        <v>0</v>
      </c>
      <c r="I236" s="25">
        <f>INDEX('Inputs (2)'!$D$41:$AL$41,MATCH(I$7,'Inputs (2)'!$D$2:$AL$2,0))</f>
        <v>0</v>
      </c>
      <c r="J236" s="25">
        <f>INDEX('Inputs (2)'!$D$41:$AL$41,MATCH(J$7,'Inputs (2)'!$D$2:$AL$2,0))</f>
        <v>0</v>
      </c>
      <c r="K236" s="25">
        <f>INDEX('Inputs (2)'!$D$41:$AL$41,MATCH(K$7,'Inputs (2)'!$D$2:$AL$2,0))</f>
        <v>0</v>
      </c>
      <c r="L236" s="25">
        <f>INDEX('Inputs (2)'!$D$41:$AL$41,MATCH(L$7,'Inputs (2)'!$D$2:$AL$2,0))</f>
        <v>0</v>
      </c>
      <c r="M236" s="3">
        <f>L236</f>
        <v>0</v>
      </c>
      <c r="N236" s="25">
        <f>INDEX('Inputs (2)'!$D$41:$AL$41,MATCH(N$7,'Inputs (2)'!$D$2:$AL$2,0))</f>
        <v>0</v>
      </c>
      <c r="O236" s="25">
        <f>INDEX('Inputs (2)'!$D$41:$AL$41,MATCH(O$7,'Inputs (2)'!$D$2:$AL$2,0))</f>
        <v>0</v>
      </c>
      <c r="P236" s="25">
        <f>INDEX('Inputs (2)'!$D$41:$AL$41,MATCH(P$7,'Inputs (2)'!$D$2:$AL$2,0))</f>
        <v>0</v>
      </c>
      <c r="Q236" s="25">
        <f>INDEX('Inputs (2)'!$D$41:$AL$41,MATCH(Q$7,'Inputs (2)'!$D$2:$AL$2,0))</f>
        <v>0</v>
      </c>
      <c r="R236" s="3">
        <f>Q236</f>
        <v>0</v>
      </c>
      <c r="S236" s="25">
        <f>INDEX('Inputs (2)'!$D$41:$AL$41,MATCH(S$7,'Inputs (2)'!$D$2:$AL$2,0))</f>
        <v>0</v>
      </c>
      <c r="T236" s="25">
        <f>INDEX('Inputs (2)'!$D$41:$AL$41,MATCH(T$7,'Inputs (2)'!$D$2:$AL$2,0))</f>
        <v>0</v>
      </c>
      <c r="U236" s="25">
        <f>INDEX('Inputs (2)'!$D$41:$AL$41,MATCH(U$7,'Inputs (2)'!$D$2:$AL$2,0))</f>
        <v>0</v>
      </c>
      <c r="V236" s="25">
        <f>INDEX('Inputs (2)'!$D$41:$AL$41,MATCH(V$7,'Inputs (2)'!$D$2:$AL$2,0))</f>
        <v>0</v>
      </c>
      <c r="W236" s="3">
        <f>V236</f>
        <v>0</v>
      </c>
      <c r="X236" s="25">
        <f>INDEX('Inputs (2)'!$D$41:$AL$41,MATCH(X$7,'Inputs (2)'!$D$2:$AL$2,0))</f>
        <v>0</v>
      </c>
      <c r="Y236" s="25">
        <f>INDEX('Inputs (2)'!$D$41:$AL$41,MATCH(Y$7,'Inputs (2)'!$D$2:$AL$2,0))</f>
        <v>0</v>
      </c>
      <c r="Z236" s="25">
        <f>INDEX('Inputs (2)'!$D$41:$AL$41,MATCH(Z$7,'Inputs (2)'!$D$2:$AL$2,0))</f>
        <v>0</v>
      </c>
      <c r="AA236" s="25">
        <f>INDEX('Inputs (2)'!$D$41:$AL$41,MATCH(AA$7,'Inputs (2)'!$D$2:$AL$2,0))</f>
        <v>0</v>
      </c>
      <c r="AB236" s="3">
        <f>AA236</f>
        <v>0</v>
      </c>
      <c r="AC236" s="25">
        <f>INDEX('Inputs (2)'!$D$41:$AL$41,MATCH(AC$7,'Inputs (2)'!$D$2:$AL$2,0))</f>
        <v>0</v>
      </c>
      <c r="AD236" s="25">
        <f>INDEX('Inputs (2)'!$D$41:$AL$41,MATCH(AD$7,'Inputs (2)'!$D$2:$AL$2,0))</f>
        <v>0</v>
      </c>
      <c r="AE236" s="25">
        <f>INDEX('Inputs (2)'!$D$41:$AL$41,MATCH(AE$7,'Inputs (2)'!$D$2:$AL$2,0))</f>
        <v>0</v>
      </c>
      <c r="AF236" s="25">
        <f>INDEX('Inputs (2)'!$D$41:$AL$41,MATCH(AF$7,'Inputs (2)'!$D$2:$AL$2,0))</f>
        <v>0</v>
      </c>
      <c r="AG236" s="3">
        <f>AF236</f>
        <v>0</v>
      </c>
      <c r="AH236" s="3">
        <f>INDEX('Inputs (2)'!$D$41:$AL$41,MATCH(AH$7,'Inputs (2)'!$D$2:$AL$2,0))</f>
        <v>0</v>
      </c>
      <c r="AI236" s="3">
        <f>INDEX('Inputs (2)'!$D$41:$AL$41,MATCH(AI$7,'Inputs (2)'!$D$2:$AL$2,0))</f>
        <v>0</v>
      </c>
      <c r="AJ236" s="3">
        <f>AI236-AJ124+AJ239</f>
        <v>0</v>
      </c>
      <c r="AK236" s="3">
        <f>AJ236-AK124+AK239</f>
        <v>0</v>
      </c>
      <c r="AL236" s="3">
        <f>AK236</f>
        <v>0</v>
      </c>
      <c r="AM236" s="3">
        <f>AL236-AM124+AM239</f>
        <v>0</v>
      </c>
      <c r="AN236" s="3">
        <f>AM236-AN124+AN239</f>
        <v>0</v>
      </c>
      <c r="AO236" s="3">
        <f>AN236-AO124+AO239</f>
        <v>0</v>
      </c>
      <c r="AP236" s="3">
        <f>AO236-AP124+AP239</f>
        <v>0</v>
      </c>
      <c r="AQ236" s="3">
        <f>AP236</f>
        <v>0</v>
      </c>
      <c r="AR236" s="3">
        <f>AQ236-AR124+AR239</f>
        <v>0</v>
      </c>
      <c r="AS236" s="3">
        <f>AR236-AS124+AS239</f>
        <v>0</v>
      </c>
      <c r="AT236" s="3">
        <f>AS236-AT124+AT239</f>
        <v>0</v>
      </c>
      <c r="AU236" s="3">
        <f>AT236-AU124+AU239</f>
        <v>0</v>
      </c>
      <c r="AV236" s="3">
        <f>AU236</f>
        <v>0</v>
      </c>
      <c r="AW236" s="3">
        <f>AV236-AW124+AW239</f>
        <v>0</v>
      </c>
      <c r="AX236" s="3">
        <f>AW236-AX124+AX239</f>
        <v>0</v>
      </c>
      <c r="AY236" s="3">
        <f>AX236-AY124+AY239</f>
        <v>0</v>
      </c>
      <c r="AZ236" s="3">
        <f>AY236-AZ124+AZ239</f>
        <v>0</v>
      </c>
      <c r="BA236" s="3">
        <f>AZ236</f>
        <v>0</v>
      </c>
      <c r="BB236" s="3">
        <f>BA236-BB124+BB239</f>
        <v>0</v>
      </c>
      <c r="BC236" s="3">
        <f>BB236-BC124+BC239</f>
        <v>0</v>
      </c>
      <c r="BD236" s="3">
        <f>BC236-BD124+BD239</f>
        <v>0</v>
      </c>
      <c r="BE236" s="3">
        <f>BD236-BE124+BE239</f>
        <v>0</v>
      </c>
      <c r="BF236" s="3">
        <f>BE236</f>
        <v>0</v>
      </c>
      <c r="BG236" s="3">
        <f>BF236-BG124+BG239</f>
        <v>0</v>
      </c>
      <c r="BH236" s="3">
        <f>BG236-BH124+BH239</f>
        <v>0</v>
      </c>
      <c r="BI236" s="3">
        <f>BH236-BI124+BI239</f>
        <v>0</v>
      </c>
      <c r="BJ236" s="3">
        <f>BI236-BJ124+BJ239</f>
        <v>0</v>
      </c>
      <c r="BK236" s="3">
        <f>BJ236</f>
        <v>0</v>
      </c>
      <c r="BL236" s="3">
        <f>BK236-BL124+BL239</f>
        <v>0</v>
      </c>
      <c r="BM236" s="3">
        <f>BL236-BM124+BM239</f>
        <v>0</v>
      </c>
      <c r="BN236" s="3">
        <f>BM236-BN124+BN239</f>
        <v>0</v>
      </c>
      <c r="BO236" s="3">
        <f>BN236-BO124+BO239</f>
        <v>0</v>
      </c>
      <c r="BP236" s="3">
        <f>BO236</f>
        <v>0</v>
      </c>
      <c r="BQ236" s="3">
        <f>BP236-BQ124+BQ239</f>
        <v>0</v>
      </c>
      <c r="BR236" s="3">
        <f>BQ236-BR124+BR239</f>
        <v>0</v>
      </c>
      <c r="BS236" s="3">
        <f>BR236-BS124+BS239</f>
        <v>0</v>
      </c>
      <c r="BT236" s="3">
        <f>BS236-BT124+BT239</f>
        <v>0</v>
      </c>
      <c r="BU236" s="3">
        <f>BT236</f>
        <v>0</v>
      </c>
      <c r="BV236" s="3">
        <f>BU236-BV124+BV239</f>
        <v>0</v>
      </c>
      <c r="BW236" s="3">
        <f>BV236-BW124+BW239</f>
        <v>0</v>
      </c>
      <c r="BX236" s="3">
        <f>BW236-BX124+BX239</f>
        <v>0</v>
      </c>
      <c r="BY236" s="3">
        <f>BX236-BY124+BY239</f>
        <v>0</v>
      </c>
      <c r="BZ236" s="3">
        <f>BY236</f>
        <v>0</v>
      </c>
      <c r="CA236" s="3">
        <f>BZ236-CA124+CA239</f>
        <v>0</v>
      </c>
      <c r="CB236" s="3">
        <f>CA236-CB124+CB239</f>
        <v>0</v>
      </c>
      <c r="CC236" s="3">
        <f>CB236-CC124+CC239</f>
        <v>0</v>
      </c>
      <c r="CD236" s="3">
        <f>CC236-CD124+CD239</f>
        <v>0</v>
      </c>
      <c r="CE236" s="3">
        <f>CD236</f>
        <v>0</v>
      </c>
      <c r="CF236" s="3">
        <f>CE236-CF124+CF239</f>
        <v>0</v>
      </c>
      <c r="CG236" s="3">
        <f>CF236-CG124+CG239</f>
        <v>0</v>
      </c>
      <c r="CH236" s="3">
        <f>CG236-CH124+CH239</f>
        <v>0</v>
      </c>
      <c r="CI236" s="3">
        <f>CH236-CI124+CI239</f>
        <v>0</v>
      </c>
      <c r="CJ236" s="3">
        <f>CI236</f>
        <v>0</v>
      </c>
      <c r="CK236" s="3">
        <f>CJ236-CK124+CK239</f>
        <v>0</v>
      </c>
      <c r="CL236" s="3">
        <f>CK236-CL124+CL239</f>
        <v>0</v>
      </c>
      <c r="CM236" s="3">
        <f>CL236-CM124+CM239</f>
        <v>0</v>
      </c>
      <c r="CN236" s="3">
        <f>CM236-CN124+CN239</f>
        <v>0</v>
      </c>
      <c r="CO236" s="3">
        <f>CN236</f>
        <v>0</v>
      </c>
      <c r="CP236" s="3">
        <f>CO236-CP124+CP239</f>
        <v>0</v>
      </c>
      <c r="CQ236" s="3">
        <f>CP236-CQ124+CQ239</f>
        <v>0</v>
      </c>
      <c r="CR236" s="3">
        <f>CQ236-CR124+CR239</f>
        <v>0</v>
      </c>
      <c r="CS236" s="3">
        <f>CR236-CS124+CS239</f>
        <v>0</v>
      </c>
      <c r="CT236" s="3">
        <f>CS236</f>
        <v>0</v>
      </c>
      <c r="CU236" s="3">
        <f>CT236-CU124+CU239</f>
        <v>0</v>
      </c>
      <c r="CV236" s="3">
        <f>CU236-CV124+CV239</f>
        <v>0</v>
      </c>
      <c r="CW236" s="3">
        <f>CV236-CW124+CW239</f>
        <v>0</v>
      </c>
      <c r="CX236" s="3">
        <f>CW236-CX124+CX239</f>
        <v>0</v>
      </c>
      <c r="CY236" s="3">
        <f>CX236</f>
        <v>0</v>
      </c>
    </row>
    <row r="237" hidden="1" outlineLevel="1" customFormat="1" s="39">
      <c r="A237" s="19" t="n"/>
      <c r="B237" s="19" t="n"/>
      <c r="C237" s="38" t="n"/>
      <c r="D237" s="22" t="n"/>
      <c r="E237" s="22" t="n"/>
      <c r="F237" s="22" t="n"/>
      <c r="G237" s="22" t="n"/>
      <c r="H237" s="22" t="n"/>
      <c r="I237" s="22" t="n"/>
      <c r="J237" s="22" t="n"/>
      <c r="K237" s="22" t="n"/>
      <c r="L237" s="22" t="n"/>
      <c r="M237" s="22" t="n"/>
      <c r="N237" s="22" t="n"/>
      <c r="O237" s="22" t="n"/>
      <c r="P237" s="22" t="n"/>
      <c r="Q237" s="22" t="n"/>
      <c r="R237" s="22" t="n"/>
      <c r="S237" s="22" t="n"/>
      <c r="T237" s="22" t="n"/>
      <c r="U237" s="22" t="n"/>
      <c r="V237" s="22" t="n"/>
      <c r="W237" s="22" t="n"/>
      <c r="X237" s="22" t="n"/>
      <c r="Y237" s="22" t="n"/>
      <c r="Z237" s="22" t="n"/>
      <c r="AA237" s="22" t="n"/>
      <c r="AB237" s="22" t="n"/>
      <c r="AC237" s="22" t="n"/>
      <c r="AD237" s="22" t="n"/>
      <c r="AE237" s="22" t="n"/>
      <c r="AF237" s="22" t="n"/>
      <c r="AG237" s="22" t="n"/>
      <c r="AH237" s="22" t="n"/>
      <c r="AI237" s="22" t="n"/>
      <c r="AJ237" s="22" t="n"/>
      <c r="AK237" s="22" t="n"/>
      <c r="AL237" s="22" t="n"/>
      <c r="AM237" s="22" t="n"/>
      <c r="AN237" s="22" t="n"/>
      <c r="AO237" s="22" t="n"/>
      <c r="AP237" s="22" t="n"/>
      <c r="AQ237" s="22" t="n"/>
      <c r="AR237" s="22" t="n"/>
      <c r="AS237" s="22" t="n"/>
      <c r="AT237" s="22" t="n"/>
      <c r="AU237" s="22" t="n"/>
      <c r="AV237" s="22" t="n"/>
      <c r="AW237" s="22" t="n"/>
      <c r="AX237" s="22" t="n"/>
      <c r="AY237" s="22" t="n"/>
      <c r="AZ237" s="22" t="n"/>
      <c r="BA237" s="22" t="n"/>
      <c r="BB237" s="22" t="n"/>
      <c r="BC237" s="22" t="n"/>
      <c r="BD237" s="22" t="n"/>
      <c r="BE237" s="22" t="n"/>
      <c r="BF237" s="22" t="n"/>
      <c r="BG237" s="22" t="n"/>
      <c r="BH237" s="22" t="n"/>
      <c r="BI237" s="22" t="n"/>
      <c r="BJ237" s="22" t="n"/>
      <c r="BK237" s="22" t="n"/>
      <c r="BL237" s="22" t="n"/>
      <c r="BM237" s="22" t="n"/>
      <c r="BN237" s="22" t="n"/>
      <c r="BO237" s="22" t="n"/>
      <c r="BP237" s="22" t="n"/>
      <c r="BQ237" s="22" t="n"/>
      <c r="BR237" s="22" t="n"/>
      <c r="BS237" s="22" t="n"/>
      <c r="BT237" s="22" t="n"/>
      <c r="BU237" s="22" t="n"/>
      <c r="BV237" s="22" t="n"/>
      <c r="BW237" s="22" t="n"/>
      <c r="BX237" s="22" t="n"/>
      <c r="BY237" s="22" t="n"/>
      <c r="BZ237" s="22" t="n"/>
      <c r="CA237" s="22" t="n"/>
      <c r="CB237" s="22" t="n"/>
      <c r="CC237" s="22" t="n"/>
      <c r="CD237" s="22" t="n"/>
      <c r="CE237" s="22" t="n"/>
      <c r="CF237" s="22" t="n"/>
      <c r="CG237" s="22" t="n"/>
      <c r="CH237" s="22" t="n"/>
      <c r="CI237" s="22" t="n"/>
      <c r="CJ237" s="22" t="n"/>
      <c r="CK237" s="22" t="n"/>
      <c r="CL237" s="22" t="n"/>
      <c r="CM237" s="22" t="n"/>
      <c r="CN237" s="22" t="n"/>
      <c r="CO237" s="22" t="n"/>
      <c r="CP237" s="22" t="n"/>
      <c r="CQ237" s="22" t="n"/>
      <c r="CR237" s="22" t="n"/>
      <c r="CS237" s="22" t="n"/>
      <c r="CT237" s="22" t="n"/>
      <c r="CU237" s="22" t="n"/>
      <c r="CV237" s="22" t="n"/>
      <c r="CW237" s="22" t="n"/>
      <c r="CX237" s="22" t="n"/>
      <c r="CY237" s="22" t="n"/>
    </row>
    <row r="238" hidden="1" outlineLevel="1" customFormat="1" s="39">
      <c r="A238" s="19" t="n"/>
      <c r="B238" s="19" t="n"/>
      <c r="C238" s="34" t="inlineStr">
        <is>
          <t>Minority Interest Expense - % YoY</t>
        </is>
      </c>
      <c r="D238" s="22" t="n"/>
      <c r="E238" s="40">
        <f>IF(D123=0,0,E123/D123-1)</f>
        <v>-0.0625</v>
      </c>
      <c r="F238" s="22" t="n"/>
      <c r="G238" s="22" t="n"/>
      <c r="H238" s="40" t="n"/>
      <c r="I238" s="22" t="n"/>
      <c r="J238" s="40">
        <f>IF(I123=0,0,J123/I123-1)</f>
        <v>-0.0263157894736842</v>
      </c>
      <c r="K238" s="22" t="n"/>
      <c r="L238" s="22" t="n"/>
      <c r="M238" s="40" t="n"/>
      <c r="N238" s="40">
        <f>IF(I123=0,0,N123/I123-1)</f>
        <v>-0.0131578947368421</v>
      </c>
      <c r="O238" s="40">
        <f>IF(J123=0,0,O123/J123-1)</f>
        <v>0.0135135135135136</v>
      </c>
      <c r="P238" s="40">
        <f>IF(K123=0,0,P123/K123-1)</f>
        <v>-3.98666666666667</v>
      </c>
      <c r="Q238" s="40">
        <f>IF(L123=0,0,Q123/L123-1)</f>
        <v>-1</v>
      </c>
      <c r="R238" s="40" t="n"/>
      <c r="S238" s="40">
        <f>IF(N123=0,0,S123/N123-1)</f>
        <v>-1</v>
      </c>
      <c r="T238" s="40">
        <f>IF(O123=0,0,T123/O123-1)</f>
        <v>-1</v>
      </c>
      <c r="U238" s="40">
        <f>IF(P123=0,0,U123/P123-1)</f>
        <v>-1</v>
      </c>
      <c r="V238" s="40">
        <f>IF(Q123=0,0,V123/Q123-1)</f>
        <v>0</v>
      </c>
      <c r="W238" s="40">
        <f>IF(R124=0,0,W124/R124-1)</f>
        <v>0</v>
      </c>
      <c r="X238" s="40">
        <f>IF(S123=0,0,X123/S123-1)</f>
        <v>0</v>
      </c>
      <c r="Y238" s="40">
        <f>IF(T123=0,0,Y123/T123-1)</f>
        <v>0</v>
      </c>
      <c r="Z238" s="40">
        <f>IF(U123=0,0,Z123/U123-1)</f>
        <v>0</v>
      </c>
      <c r="AA238" s="40">
        <f>IF(V123=0,0,AA123/V123-1)</f>
        <v>-1</v>
      </c>
      <c r="AB238" s="40">
        <f>IF(W124=0,0,AB124/W124-1)</f>
        <v>0</v>
      </c>
      <c r="AC238" s="40">
        <f>IF(X123=0,0,AC123/X123-1)</f>
        <v>0</v>
      </c>
      <c r="AD238" s="40">
        <f>IF(Y123=0,0,AD123/Y123-1)</f>
        <v>-1</v>
      </c>
      <c r="AE238" s="40">
        <f>IF(Z123=0,0,AE123/Z123-1)</f>
        <v>-1</v>
      </c>
      <c r="AF238" s="40">
        <f>IF(AA123=0,0,AF123/AA123-1)</f>
        <v>0</v>
      </c>
      <c r="AG238" s="40">
        <f>IF(AB124=0,0,AG124/AB124-1)</f>
        <v>0</v>
      </c>
      <c r="AH238" s="35">
        <f>IF(AC123=0,0,AH123/AC123-1)</f>
        <v>0</v>
      </c>
      <c r="AI238" s="35">
        <f>IF(AD123=0,0,AI123/AD123-1)</f>
        <v>0</v>
      </c>
      <c r="AJ238" s="35" t="n"/>
      <c r="AK238" s="35" t="n"/>
      <c r="AL238" s="40">
        <f>IF(AG124=0,0,AL124/AG124-1)</f>
        <v>0</v>
      </c>
      <c r="AM238" s="35" t="n"/>
      <c r="AN238" s="35" t="n"/>
      <c r="AO238" s="35" t="n"/>
      <c r="AP238" s="35" t="n"/>
      <c r="AQ238" s="40">
        <f>IF(AL124=0,0,AQ124/AL124-1)</f>
        <v>0</v>
      </c>
      <c r="AR238" s="35" t="n"/>
      <c r="AS238" s="35" t="n"/>
      <c r="AT238" s="35" t="n"/>
      <c r="AU238" s="35" t="n"/>
      <c r="AV238" s="40">
        <f>IF(AQ124=0,0,AV124/AQ124-1)</f>
        <v>0</v>
      </c>
      <c r="AW238" s="35" t="n"/>
      <c r="AX238" s="35" t="n"/>
      <c r="AY238" s="35" t="n"/>
      <c r="AZ238" s="35" t="n"/>
      <c r="BA238" s="40">
        <f>IF(AV124=0,0,BA124/AV124-1)</f>
        <v>0</v>
      </c>
      <c r="BB238" s="35" t="n"/>
      <c r="BC238" s="35" t="n"/>
      <c r="BD238" s="35" t="n"/>
      <c r="BE238" s="35" t="n"/>
      <c r="BF238" s="40">
        <f>IF(BA124=0,0,BF124/BA124-1)</f>
        <v>0</v>
      </c>
      <c r="BG238" s="35" t="n"/>
      <c r="BH238" s="35" t="n"/>
      <c r="BI238" s="35" t="n"/>
      <c r="BJ238" s="35" t="n"/>
      <c r="BK238" s="40">
        <f>IF(BF124=0,0,BK124/BF124-1)</f>
        <v>0</v>
      </c>
      <c r="BL238" s="35" t="n"/>
      <c r="BM238" s="35" t="n"/>
      <c r="BN238" s="35" t="n"/>
      <c r="BO238" s="35" t="n"/>
      <c r="BP238" s="40">
        <f>IF(BK124=0,0,BP124/BK124-1)</f>
        <v>0</v>
      </c>
      <c r="BQ238" s="35" t="n"/>
      <c r="BR238" s="35" t="n"/>
      <c r="BS238" s="35" t="n"/>
      <c r="BT238" s="35" t="n"/>
      <c r="BU238" s="40">
        <f>IF(BP124=0,0,BU124/BP124-1)</f>
        <v>0</v>
      </c>
      <c r="BV238" s="35" t="n"/>
      <c r="BW238" s="35" t="n"/>
      <c r="BX238" s="35" t="n"/>
      <c r="BY238" s="35" t="n"/>
      <c r="BZ238" s="40">
        <f>IF(BU124=0,0,BZ124/BU124-1)</f>
        <v>0</v>
      </c>
      <c r="CA238" s="35" t="n"/>
      <c r="CB238" s="35" t="n"/>
      <c r="CC238" s="35" t="n"/>
      <c r="CD238" s="35" t="n"/>
      <c r="CE238" s="40">
        <f>IF(BZ124=0,0,CE124/BZ124-1)</f>
        <v>0</v>
      </c>
      <c r="CF238" s="35" t="n"/>
      <c r="CG238" s="35" t="n"/>
      <c r="CH238" s="35" t="n"/>
      <c r="CI238" s="35" t="n"/>
      <c r="CJ238" s="40">
        <f>IF(CE124=0,0,CJ124/CE124-1)</f>
        <v>0</v>
      </c>
      <c r="CK238" s="35" t="n"/>
      <c r="CL238" s="35" t="n"/>
      <c r="CM238" s="35" t="n"/>
      <c r="CN238" s="35" t="n"/>
      <c r="CO238" s="40">
        <f>IF(CJ124=0,0,CO124/CJ124-1)</f>
        <v>0</v>
      </c>
      <c r="CP238" s="35" t="n"/>
      <c r="CQ238" s="35" t="n"/>
      <c r="CR238" s="35" t="n"/>
      <c r="CS238" s="35" t="n"/>
      <c r="CT238" s="40">
        <f>IF(CO124=0,0,CT124/CO124-1)</f>
        <v>0</v>
      </c>
      <c r="CU238" s="35" t="n"/>
      <c r="CV238" s="35" t="n"/>
      <c r="CW238" s="35" t="n"/>
      <c r="CX238" s="35" t="n"/>
      <c r="CY238" s="40">
        <f>IF(CT124=0,0,CY124/CT124-1)</f>
        <v>0</v>
      </c>
    </row>
    <row r="239" hidden="1" outlineLevel="1" customFormat="1" s="39">
      <c r="A239" s="19" t="n"/>
      <c r="B239" s="19" t="n"/>
      <c r="C239" s="34" t="inlineStr">
        <is>
          <t>Dividends (enter as -)</t>
        </is>
      </c>
      <c r="D239" s="22" t="n"/>
      <c r="E239" s="22" t="n"/>
      <c r="F239" s="22" t="n"/>
      <c r="G239" s="22" t="n"/>
      <c r="H239" s="22" t="n"/>
      <c r="I239" s="22" t="n"/>
      <c r="J239" s="22" t="n"/>
      <c r="K239" s="22" t="n"/>
      <c r="L239" s="22" t="n"/>
      <c r="M239" s="22" t="n"/>
      <c r="N239" s="22" t="n"/>
      <c r="O239" s="22" t="n"/>
      <c r="P239" s="22" t="n"/>
      <c r="Q239" s="22" t="n"/>
      <c r="R239" s="22" t="n"/>
      <c r="S239" s="22" t="n"/>
      <c r="T239" s="22" t="n"/>
      <c r="U239" s="22" t="n"/>
      <c r="V239" s="22" t="n"/>
      <c r="W239" s="22" t="n"/>
      <c r="X239" s="22" t="n"/>
      <c r="Y239" s="22" t="n"/>
      <c r="Z239" s="22" t="n"/>
      <c r="AA239" s="22" t="n"/>
      <c r="AB239" s="22" t="n"/>
      <c r="AC239" s="22" t="n"/>
      <c r="AD239" s="22" t="n"/>
      <c r="AE239" s="22" t="n"/>
      <c r="AF239" s="22" t="n"/>
      <c r="AG239" s="22" t="n"/>
      <c r="AH239" s="35" t="n"/>
      <c r="AI239" s="35" t="n"/>
      <c r="AJ239" s="35" t="n"/>
      <c r="AK239" s="35" t="n"/>
      <c r="AL239" s="22" t="n"/>
      <c r="AM239" s="35" t="n"/>
      <c r="AN239" s="35" t="n"/>
      <c r="AO239" s="35" t="n"/>
      <c r="AP239" s="35" t="n"/>
      <c r="AQ239" s="22" t="n"/>
      <c r="AR239" s="35" t="n"/>
      <c r="AS239" s="35" t="n"/>
      <c r="AT239" s="35" t="n"/>
      <c r="AU239" s="35" t="n"/>
      <c r="AV239" s="22" t="n"/>
      <c r="AW239" s="35" t="n"/>
      <c r="AX239" s="35" t="n"/>
      <c r="AY239" s="35" t="n"/>
      <c r="AZ239" s="35" t="n"/>
      <c r="BA239" s="22" t="n"/>
      <c r="BB239" s="35" t="n"/>
      <c r="BC239" s="35" t="n"/>
      <c r="BD239" s="35" t="n"/>
      <c r="BE239" s="35" t="n"/>
      <c r="BF239" s="22" t="n"/>
      <c r="BG239" s="35" t="n"/>
      <c r="BH239" s="35" t="n"/>
      <c r="BI239" s="35" t="n"/>
      <c r="BJ239" s="35" t="n"/>
      <c r="BK239" s="22" t="n"/>
      <c r="BL239" s="35" t="n"/>
      <c r="BM239" s="35" t="n"/>
      <c r="BN239" s="35" t="n"/>
      <c r="BO239" s="35" t="n"/>
      <c r="BP239" s="22" t="n"/>
      <c r="BQ239" s="35" t="n"/>
      <c r="BR239" s="35" t="n"/>
      <c r="BS239" s="35" t="n"/>
      <c r="BT239" s="35" t="n"/>
      <c r="BU239" s="22" t="n"/>
      <c r="BV239" s="35" t="n"/>
      <c r="BW239" s="35" t="n"/>
      <c r="BX239" s="35" t="n"/>
      <c r="BY239" s="35" t="n"/>
      <c r="BZ239" s="22" t="n"/>
      <c r="CA239" s="35" t="n"/>
      <c r="CB239" s="35" t="n"/>
      <c r="CC239" s="35" t="n"/>
      <c r="CD239" s="35" t="n"/>
      <c r="CE239" s="22" t="n"/>
      <c r="CF239" s="35" t="n"/>
      <c r="CG239" s="35" t="n"/>
      <c r="CH239" s="35" t="n"/>
      <c r="CI239" s="35" t="n"/>
      <c r="CJ239" s="22" t="n"/>
      <c r="CK239" s="35" t="n"/>
      <c r="CL239" s="35" t="n"/>
      <c r="CM239" s="35" t="n"/>
      <c r="CN239" s="35" t="n"/>
      <c r="CO239" s="22" t="n"/>
      <c r="CP239" s="35" t="n"/>
      <c r="CQ239" s="35" t="n"/>
      <c r="CR239" s="35" t="n"/>
      <c r="CS239" s="35" t="n"/>
      <c r="CT239" s="22" t="n"/>
      <c r="CU239" s="35" t="n"/>
      <c r="CV239" s="35" t="n"/>
      <c r="CW239" s="35" t="n"/>
      <c r="CX239" s="35" t="n"/>
      <c r="CY239" s="22" t="n"/>
    </row>
    <row r="240" hidden="1" outlineLevel="1" customFormat="1" s="39">
      <c r="A240" s="19" t="n"/>
      <c r="B240" s="19" t="n"/>
      <c r="C240" s="38" t="n"/>
      <c r="D240" s="22" t="n"/>
      <c r="E240" s="22" t="n"/>
      <c r="F240" s="22" t="n"/>
      <c r="G240" s="22" t="n"/>
      <c r="H240" s="22" t="n"/>
      <c r="I240" s="22" t="n"/>
      <c r="J240" s="22" t="n"/>
      <c r="K240" s="22" t="n"/>
      <c r="L240" s="22" t="n"/>
      <c r="M240" s="22" t="n"/>
      <c r="N240" s="22" t="n"/>
      <c r="O240" s="22" t="n"/>
      <c r="P240" s="22" t="n"/>
      <c r="Q240" s="22" t="n"/>
      <c r="R240" s="22" t="n"/>
      <c r="S240" s="22" t="n"/>
      <c r="T240" s="22" t="n"/>
      <c r="U240" s="22" t="n"/>
      <c r="V240" s="22" t="n"/>
      <c r="W240" s="22" t="n"/>
      <c r="X240" s="22" t="n"/>
      <c r="Y240" s="22" t="n"/>
      <c r="Z240" s="22" t="n"/>
      <c r="AA240" s="22" t="n"/>
      <c r="AB240" s="22" t="n"/>
      <c r="AC240" s="22" t="n"/>
      <c r="AD240" s="22" t="n"/>
      <c r="AE240" s="22" t="n"/>
      <c r="AF240" s="22" t="n"/>
      <c r="AG240" s="22" t="n"/>
      <c r="AH240" s="22" t="n"/>
      <c r="AI240" s="22" t="n"/>
      <c r="AJ240" s="22" t="n"/>
      <c r="AK240" s="22" t="n"/>
      <c r="AL240" s="22" t="n"/>
      <c r="AM240" s="22" t="n"/>
      <c r="AN240" s="22" t="n"/>
      <c r="AO240" s="22" t="n"/>
      <c r="AP240" s="22" t="n"/>
      <c r="AQ240" s="22" t="n"/>
      <c r="AR240" s="22" t="n"/>
      <c r="AS240" s="22" t="n"/>
      <c r="AT240" s="22" t="n"/>
      <c r="AU240" s="22" t="n"/>
      <c r="AV240" s="22" t="n"/>
      <c r="AW240" s="22" t="n"/>
      <c r="AX240" s="22" t="n"/>
      <c r="AY240" s="22" t="n"/>
      <c r="AZ240" s="22" t="n"/>
      <c r="BA240" s="22" t="n"/>
      <c r="BB240" s="22" t="n"/>
      <c r="BC240" s="22" t="n"/>
      <c r="BD240" s="22" t="n"/>
      <c r="BE240" s="22" t="n"/>
      <c r="BF240" s="22" t="n"/>
      <c r="BG240" s="22" t="n"/>
      <c r="BH240" s="22" t="n"/>
      <c r="BI240" s="22" t="n"/>
      <c r="BJ240" s="22" t="n"/>
      <c r="BK240" s="22" t="n"/>
      <c r="BL240" s="22" t="n"/>
      <c r="BM240" s="22" t="n"/>
      <c r="BN240" s="22" t="n"/>
      <c r="BO240" s="22" t="n"/>
      <c r="BP240" s="22" t="n"/>
      <c r="BQ240" s="22" t="n"/>
      <c r="BR240" s="22" t="n"/>
      <c r="BS240" s="22" t="n"/>
      <c r="BT240" s="22" t="n"/>
      <c r="BU240" s="22" t="n"/>
      <c r="BV240" s="22" t="n"/>
      <c r="BW240" s="22" t="n"/>
      <c r="BX240" s="22" t="n"/>
      <c r="BY240" s="22" t="n"/>
      <c r="BZ240" s="22" t="n"/>
      <c r="CA240" s="22" t="n"/>
      <c r="CB240" s="22" t="n"/>
      <c r="CC240" s="22" t="n"/>
      <c r="CD240" s="22" t="n"/>
      <c r="CE240" s="22" t="n"/>
      <c r="CF240" s="22" t="n"/>
      <c r="CG240" s="22" t="n"/>
      <c r="CH240" s="22" t="n"/>
      <c r="CI240" s="22" t="n"/>
      <c r="CJ240" s="22" t="n"/>
      <c r="CK240" s="22" t="n"/>
      <c r="CL240" s="22" t="n"/>
      <c r="CM240" s="22" t="n"/>
      <c r="CN240" s="22" t="n"/>
      <c r="CO240" s="22" t="n"/>
      <c r="CP240" s="22" t="n"/>
      <c r="CQ240" s="22" t="n"/>
      <c r="CR240" s="22" t="n"/>
      <c r="CS240" s="22" t="n"/>
      <c r="CT240" s="22" t="n"/>
      <c r="CU240" s="22" t="n"/>
      <c r="CV240" s="22" t="n"/>
      <c r="CW240" s="22" t="n"/>
      <c r="CX240" s="22" t="n"/>
      <c r="CY240" s="22" t="n"/>
    </row>
    <row r="241" collapsed="1">
      <c r="C241" s="26" t="inlineStr">
        <is>
          <t>Convertible Preferred Stock</t>
        </is>
      </c>
      <c r="D241" s="25" t="n"/>
      <c r="E241" s="25" t="n"/>
      <c r="F241" s="25" t="n"/>
      <c r="G241" s="25" t="n"/>
      <c r="H241" s="3">
        <f>G241</f>
        <v>0</v>
      </c>
      <c r="I241" s="25" t="n"/>
      <c r="J241" s="25" t="n"/>
      <c r="K241" s="25" t="n"/>
      <c r="L241" s="25" t="n"/>
      <c r="M241" s="3">
        <f>L241</f>
        <v>0</v>
      </c>
      <c r="N241" s="25" t="n"/>
      <c r="O241" s="25" t="n"/>
      <c r="P241" s="25" t="n"/>
      <c r="Q241" s="25" t="n"/>
      <c r="R241" s="3">
        <f>Q241</f>
        <v>0</v>
      </c>
      <c r="S241" s="25" t="n"/>
      <c r="T241" s="25" t="n"/>
      <c r="U241" s="25" t="n"/>
      <c r="V241" s="25" t="n"/>
      <c r="W241" s="3">
        <f>V241</f>
        <v>0</v>
      </c>
      <c r="X241" s="25" t="n"/>
      <c r="Y241" s="25" t="n"/>
      <c r="Z241" s="25" t="n"/>
      <c r="AA241" s="25" t="n"/>
      <c r="AB241" s="3">
        <f>AA241</f>
        <v>0</v>
      </c>
      <c r="AC241" s="25" t="n"/>
      <c r="AD241" s="25" t="n"/>
      <c r="AE241" s="25" t="n"/>
      <c r="AF241" s="25" t="n"/>
      <c r="AG241" s="3">
        <f>AF241</f>
        <v>0</v>
      </c>
      <c r="AH241" s="3">
        <f>AG241</f>
        <v>0</v>
      </c>
      <c r="AI241" s="3">
        <f>AH241</f>
        <v>0</v>
      </c>
      <c r="AJ241" s="3">
        <f>AI241</f>
        <v>0</v>
      </c>
      <c r="AK241" s="3">
        <f>AJ241</f>
        <v>0</v>
      </c>
      <c r="AL241" s="3">
        <f>AK241</f>
        <v>0</v>
      </c>
      <c r="AM241" s="3">
        <f>AL241</f>
        <v>0</v>
      </c>
      <c r="AN241" s="3">
        <f>AM241</f>
        <v>0</v>
      </c>
      <c r="AO241" s="3">
        <f>AN241</f>
        <v>0</v>
      </c>
      <c r="AP241" s="3">
        <f>AO241</f>
        <v>0</v>
      </c>
      <c r="AQ241" s="3">
        <f>AP241</f>
        <v>0</v>
      </c>
      <c r="AR241" s="3">
        <f>AQ241</f>
        <v>0</v>
      </c>
      <c r="AS241" s="3">
        <f>AR241</f>
        <v>0</v>
      </c>
      <c r="AT241" s="3">
        <f>AS241</f>
        <v>0</v>
      </c>
      <c r="AU241" s="3">
        <f>AT241</f>
        <v>0</v>
      </c>
      <c r="AV241" s="3">
        <f>AU241</f>
        <v>0</v>
      </c>
      <c r="AW241" s="3">
        <f>AV241</f>
        <v>0</v>
      </c>
      <c r="AX241" s="3">
        <f>AW241</f>
        <v>0</v>
      </c>
      <c r="AY241" s="3">
        <f>AX241</f>
        <v>0</v>
      </c>
      <c r="AZ241" s="3">
        <f>AY241</f>
        <v>0</v>
      </c>
      <c r="BA241" s="3">
        <f>AZ241</f>
        <v>0</v>
      </c>
      <c r="BB241" s="3">
        <f>BA241</f>
        <v>0</v>
      </c>
      <c r="BC241" s="3">
        <f>BB241</f>
        <v>0</v>
      </c>
      <c r="BD241" s="3">
        <f>BC241</f>
        <v>0</v>
      </c>
      <c r="BE241" s="3">
        <f>BD241</f>
        <v>0</v>
      </c>
      <c r="BF241" s="3">
        <f>BE241</f>
        <v>0</v>
      </c>
      <c r="BG241" s="3">
        <f>BF241</f>
        <v>0</v>
      </c>
      <c r="BH241" s="3">
        <f>BG241</f>
        <v>0</v>
      </c>
      <c r="BI241" s="3">
        <f>BH241</f>
        <v>0</v>
      </c>
      <c r="BJ241" s="3">
        <f>BI241</f>
        <v>0</v>
      </c>
      <c r="BK241" s="3">
        <f>BJ241</f>
        <v>0</v>
      </c>
      <c r="BL241" s="3">
        <f>BK241</f>
        <v>0</v>
      </c>
      <c r="BM241" s="3">
        <f>BL241</f>
        <v>0</v>
      </c>
      <c r="BN241" s="3">
        <f>BM241</f>
        <v>0</v>
      </c>
      <c r="BO241" s="3">
        <f>BN241</f>
        <v>0</v>
      </c>
      <c r="BP241" s="3">
        <f>BO241</f>
        <v>0</v>
      </c>
      <c r="BQ241" s="3">
        <f>BP241</f>
        <v>0</v>
      </c>
      <c r="BR241" s="3">
        <f>BQ241</f>
        <v>0</v>
      </c>
      <c r="BS241" s="3">
        <f>BR241</f>
        <v>0</v>
      </c>
      <c r="BT241" s="3">
        <f>BS241</f>
        <v>0</v>
      </c>
      <c r="BU241" s="3">
        <f>BT241</f>
        <v>0</v>
      </c>
      <c r="BV241" s="3">
        <f>BU241</f>
        <v>0</v>
      </c>
      <c r="BW241" s="3">
        <f>BV241</f>
        <v>0</v>
      </c>
      <c r="BX241" s="3">
        <f>BW241</f>
        <v>0</v>
      </c>
      <c r="BY241" s="3">
        <f>BX241</f>
        <v>0</v>
      </c>
      <c r="BZ241" s="3">
        <f>BY241</f>
        <v>0</v>
      </c>
      <c r="CA241" s="3">
        <f>BZ241</f>
        <v>0</v>
      </c>
      <c r="CB241" s="3">
        <f>CA241</f>
        <v>0</v>
      </c>
      <c r="CC241" s="3">
        <f>CB241</f>
        <v>0</v>
      </c>
      <c r="CD241" s="3">
        <f>CC241</f>
        <v>0</v>
      </c>
      <c r="CE241" s="3">
        <f>CD241</f>
        <v>0</v>
      </c>
      <c r="CF241" s="3">
        <f>CE241</f>
        <v>0</v>
      </c>
      <c r="CG241" s="3">
        <f>CF241</f>
        <v>0</v>
      </c>
      <c r="CH241" s="3">
        <f>CG241</f>
        <v>0</v>
      </c>
      <c r="CI241" s="3">
        <f>CH241</f>
        <v>0</v>
      </c>
      <c r="CJ241" s="3">
        <f>CI241</f>
        <v>0</v>
      </c>
      <c r="CK241" s="3">
        <f>CJ241</f>
        <v>0</v>
      </c>
      <c r="CL241" s="3">
        <f>CK241</f>
        <v>0</v>
      </c>
      <c r="CM241" s="3">
        <f>CL241</f>
        <v>0</v>
      </c>
      <c r="CN241" s="3">
        <f>CM241</f>
        <v>0</v>
      </c>
      <c r="CO241" s="3">
        <f>CN241</f>
        <v>0</v>
      </c>
      <c r="CP241" s="3">
        <f>CO241</f>
        <v>0</v>
      </c>
      <c r="CQ241" s="3">
        <f>CP241</f>
        <v>0</v>
      </c>
      <c r="CR241" s="3">
        <f>CQ241</f>
        <v>0</v>
      </c>
      <c r="CS241" s="3">
        <f>CR241</f>
        <v>0</v>
      </c>
      <c r="CT241" s="3">
        <f>CS241</f>
        <v>0</v>
      </c>
      <c r="CU241" s="3">
        <f>CT241</f>
        <v>0</v>
      </c>
      <c r="CV241" s="3">
        <f>CU241</f>
        <v>0</v>
      </c>
      <c r="CW241" s="3">
        <f>CV241</f>
        <v>0</v>
      </c>
      <c r="CX241" s="3">
        <f>CW241</f>
        <v>0</v>
      </c>
      <c r="CY241" s="3">
        <f>CX241</f>
        <v>0</v>
      </c>
    </row>
    <row r="242">
      <c r="C242" s="24" t="inlineStr">
        <is>
          <t>Common Stock and APIC</t>
        </is>
      </c>
      <c r="D242" s="25">
        <f>INDEX('Inputs (2)'!$D$43:$AL$43,MATCH(D$7,'Inputs (2)'!$D$2:$AL$2,0))</f>
        <v>24073</v>
      </c>
      <c r="E242" s="25">
        <f>INDEX('Inputs (2)'!$D$43:$AL$43,MATCH(E$7,'Inputs (2)'!$D$2:$AL$2,0))</f>
        <v>23688</v>
      </c>
      <c r="F242" s="25">
        <f>INDEX('Inputs (2)'!$D$43:$AL$43,MATCH(F$7,'Inputs (2)'!$D$2:$AL$2,0))</f>
        <v>23982</v>
      </c>
      <c r="G242" s="25">
        <f>INDEX('Inputs (2)'!$D$43:$AL$43,MATCH(G$7,'Inputs (2)'!$D$2:$AL$2,0))</f>
        <v>24080</v>
      </c>
      <c r="H242" s="3">
        <f>G242</f>
        <v>24080</v>
      </c>
      <c r="I242" s="25">
        <f>INDEX('Inputs (2)'!$D$43:$AL$43,MATCH(I$7,'Inputs (2)'!$D$2:$AL$2,0))</f>
        <v>24045</v>
      </c>
      <c r="J242" s="25">
        <f>INDEX('Inputs (2)'!$D$43:$AL$43,MATCH(J$7,'Inputs (2)'!$D$2:$AL$2,0))</f>
        <v>24126</v>
      </c>
      <c r="K242" s="25">
        <f>INDEX('Inputs (2)'!$D$43:$AL$43,MATCH(K$7,'Inputs (2)'!$D$2:$AL$2,0))</f>
        <v>24330</v>
      </c>
      <c r="L242" s="25">
        <f>INDEX('Inputs (2)'!$D$43:$AL$43,MATCH(L$7,'Inputs (2)'!$D$2:$AL$2,0))</f>
        <v>23083</v>
      </c>
      <c r="M242" s="3">
        <f>L242</f>
        <v>23083</v>
      </c>
      <c r="N242" s="25">
        <f>INDEX('Inputs (2)'!$D$43:$AL$43,MATCH(N$7,'Inputs (2)'!$D$2:$AL$2,0))</f>
        <v>21078</v>
      </c>
      <c r="O242" s="25">
        <f>INDEX('Inputs (2)'!$D$43:$AL$43,MATCH(O$7,'Inputs (2)'!$D$2:$AL$2,0))</f>
        <v>20990</v>
      </c>
      <c r="P242" s="25">
        <f>INDEX('Inputs (2)'!$D$43:$AL$43,MATCH(P$7,'Inputs (2)'!$D$2:$AL$2,0))</f>
        <v>21159</v>
      </c>
      <c r="Q242" s="25">
        <f>INDEX('Inputs (2)'!$D$43:$AL$43,MATCH(Q$7,'Inputs (2)'!$D$2:$AL$2,0))</f>
        <v>21119</v>
      </c>
      <c r="R242" s="3">
        <f>Q242</f>
        <v>21119</v>
      </c>
      <c r="S242" s="25">
        <f>INDEX('Inputs (2)'!$D$43:$AL$43,MATCH(S$7,'Inputs (2)'!$D$2:$AL$2,0))</f>
        <v>20826</v>
      </c>
      <c r="T242" s="25">
        <f>INDEX('Inputs (2)'!$D$43:$AL$43,MATCH(T$7,'Inputs (2)'!$D$2:$AL$2,0))</f>
        <v>20855</v>
      </c>
      <c r="U242" s="25">
        <f>INDEX('Inputs (2)'!$D$43:$AL$43,MATCH(U$7,'Inputs (2)'!$D$2:$AL$2,0))</f>
        <v>21099</v>
      </c>
      <c r="V242" s="25">
        <f>INDEX('Inputs (2)'!$D$43:$AL$43,MATCH(V$7,'Inputs (2)'!$D$2:$AL$2,0))</f>
        <v>70077</v>
      </c>
      <c r="W242" s="3">
        <f>V242</f>
        <v>70077</v>
      </c>
      <c r="X242" s="25">
        <f>INDEX('Inputs (2)'!$D$43:$AL$43,MATCH(X$7,'Inputs (2)'!$D$2:$AL$2,0))</f>
        <v>69754</v>
      </c>
      <c r="Y242" s="25">
        <f>INDEX('Inputs (2)'!$D$43:$AL$43,MATCH(Y$7,'Inputs (2)'!$D$2:$AL$2,0))</f>
        <v>67318</v>
      </c>
      <c r="Z242" s="25">
        <f>INDEX('Inputs (2)'!$D$43:$AL$43,MATCH(Z$7,'Inputs (2)'!$D$2:$AL$2,0))</f>
        <v>67471</v>
      </c>
      <c r="AA242" s="25">
        <f>INDEX('Inputs (2)'!$D$43:$AL$43,MATCH(AA$7,'Inputs (2)'!$D$2:$AL$2,0))</f>
        <v>66853</v>
      </c>
      <c r="AB242" s="3">
        <f>AA242</f>
        <v>66853</v>
      </c>
      <c r="AC242" s="25">
        <f>INDEX('Inputs (2)'!$D$43:$AL$43,MATCH(AC$7,'Inputs (2)'!$D$2:$AL$2,0))</f>
        <v>66694</v>
      </c>
      <c r="AD242" s="25">
        <f>INDEX('Inputs (2)'!$D$43:$AL$43,MATCH(AD$7,'Inputs (2)'!$D$2:$AL$2,0))</f>
        <v>69016</v>
      </c>
      <c r="AE242" s="25">
        <f>INDEX('Inputs (2)'!$D$43:$AL$43,MATCH(AE$7,'Inputs (2)'!$D$2:$AL$2,0))</f>
        <v>71313</v>
      </c>
      <c r="AF242" s="25">
        <f>INDEX('Inputs (2)'!$D$43:$AL$43,MATCH(AF$7,'Inputs (2)'!$D$2:$AL$2,0))</f>
        <v>73140</v>
      </c>
      <c r="AG242" s="3">
        <f>AF242</f>
        <v>73140</v>
      </c>
      <c r="AH242" s="3">
        <f>INDEX('Inputs (2)'!$D$43:$AL$43,MATCH(AH$7,'Inputs (2)'!$D$2:$AL$2,0))</f>
        <v>75317</v>
      </c>
      <c r="AI242" s="3">
        <f>INDEX('Inputs (2)'!$D$43:$AL$43,MATCH(AI$7,'Inputs (2)'!$D$2:$AL$2,0))</f>
        <v>77335</v>
      </c>
      <c r="AJ242" s="3">
        <f>AI242+AJ246</f>
        <v>77335</v>
      </c>
      <c r="AK242" s="3">
        <f>AJ242+AK246</f>
        <v>77335</v>
      </c>
      <c r="AL242" s="3">
        <f>AK242</f>
        <v>77335</v>
      </c>
      <c r="AM242" s="3">
        <f>AL242+AM246</f>
        <v>77335</v>
      </c>
      <c r="AN242" s="3">
        <f>AM242+AN246</f>
        <v>77335</v>
      </c>
      <c r="AO242" s="3">
        <f>AN242+AO246</f>
        <v>77335</v>
      </c>
      <c r="AP242" s="3">
        <f>AO242+AP246</f>
        <v>77335</v>
      </c>
      <c r="AQ242" s="3">
        <f>AP242</f>
        <v>77335</v>
      </c>
      <c r="AR242" s="3">
        <f>AQ242+AR246</f>
        <v>77335</v>
      </c>
      <c r="AS242" s="3">
        <f>AR242+AS246</f>
        <v>77335</v>
      </c>
      <c r="AT242" s="3">
        <f>AS242+AT246</f>
        <v>77335</v>
      </c>
      <c r="AU242" s="3">
        <f>AT242+AU246</f>
        <v>77335</v>
      </c>
      <c r="AV242" s="3">
        <f>AU242</f>
        <v>77335</v>
      </c>
      <c r="AW242" s="3">
        <f>AV242+AW246</f>
        <v>77335</v>
      </c>
      <c r="AX242" s="3">
        <f>AW242+AX246</f>
        <v>77335</v>
      </c>
      <c r="AY242" s="3">
        <f>AX242+AY246</f>
        <v>77335</v>
      </c>
      <c r="AZ242" s="3">
        <f>AY242+AZ246</f>
        <v>77335</v>
      </c>
      <c r="BA242" s="3">
        <f>AZ242</f>
        <v>77335</v>
      </c>
      <c r="BB242" s="3">
        <f>BA242+BB246</f>
        <v>77335</v>
      </c>
      <c r="BC242" s="3">
        <f>BB242+BC246</f>
        <v>77335</v>
      </c>
      <c r="BD242" s="3">
        <f>BC242+BD246</f>
        <v>77335</v>
      </c>
      <c r="BE242" s="3">
        <f>BD242+BE246</f>
        <v>77335</v>
      </c>
      <c r="BF242" s="3">
        <f>BE242</f>
        <v>77335</v>
      </c>
      <c r="BG242" s="3">
        <f>BF242+BG246</f>
        <v>77335</v>
      </c>
      <c r="BH242" s="3">
        <f>BG242+BH246</f>
        <v>77335</v>
      </c>
      <c r="BI242" s="3">
        <f>BH242+BI246</f>
        <v>77335</v>
      </c>
      <c r="BJ242" s="3">
        <f>BI242+BJ246</f>
        <v>77335</v>
      </c>
      <c r="BK242" s="3">
        <f>BJ242</f>
        <v>77335</v>
      </c>
      <c r="BL242" s="3">
        <f>BK242+BL246</f>
        <v>77335</v>
      </c>
      <c r="BM242" s="3">
        <f>BL242+BM246</f>
        <v>77335</v>
      </c>
      <c r="BN242" s="3">
        <f>BM242+BN246</f>
        <v>77335</v>
      </c>
      <c r="BO242" s="3">
        <f>BN242+BO246</f>
        <v>77335</v>
      </c>
      <c r="BP242" s="3">
        <f>BO242</f>
        <v>77335</v>
      </c>
      <c r="BQ242" s="3">
        <f>BP242+BQ246</f>
        <v>77335</v>
      </c>
      <c r="BR242" s="3">
        <f>BQ242+BR246</f>
        <v>77335</v>
      </c>
      <c r="BS242" s="3">
        <f>BR242+BS246</f>
        <v>77335</v>
      </c>
      <c r="BT242" s="3">
        <f>BS242+BT246</f>
        <v>77335</v>
      </c>
      <c r="BU242" s="3">
        <f>BT242</f>
        <v>77335</v>
      </c>
      <c r="BV242" s="3">
        <f>BU242+BV246</f>
        <v>77335</v>
      </c>
      <c r="BW242" s="3">
        <f>BV242+BW246</f>
        <v>77335</v>
      </c>
      <c r="BX242" s="3">
        <f>BW242+BX246</f>
        <v>77335</v>
      </c>
      <c r="BY242" s="3">
        <f>BX242+BY246</f>
        <v>77335</v>
      </c>
      <c r="BZ242" s="3">
        <f>BY242</f>
        <v>77335</v>
      </c>
      <c r="CA242" s="3">
        <f>BZ242+CA246</f>
        <v>77335</v>
      </c>
      <c r="CB242" s="3">
        <f>CA242+CB246</f>
        <v>77335</v>
      </c>
      <c r="CC242" s="3">
        <f>CB242+CC246</f>
        <v>77335</v>
      </c>
      <c r="CD242" s="3">
        <f>CC242+CD246</f>
        <v>77335</v>
      </c>
      <c r="CE242" s="3">
        <f>CD242</f>
        <v>77335</v>
      </c>
      <c r="CF242" s="3">
        <f>CE242+CF246</f>
        <v>77335</v>
      </c>
      <c r="CG242" s="3">
        <f>CF242+CG246</f>
        <v>77335</v>
      </c>
      <c r="CH242" s="3">
        <f>CG242+CH246</f>
        <v>77335</v>
      </c>
      <c r="CI242" s="3">
        <f>CH242+CI246</f>
        <v>77335</v>
      </c>
      <c r="CJ242" s="3">
        <f>CI242</f>
        <v>77335</v>
      </c>
      <c r="CK242" s="3">
        <f>CJ242+CK246</f>
        <v>77335</v>
      </c>
      <c r="CL242" s="3">
        <f>CK242+CL246</f>
        <v>77335</v>
      </c>
      <c r="CM242" s="3">
        <f>CL242+CM246</f>
        <v>77335</v>
      </c>
      <c r="CN242" s="3">
        <f>CM242+CN246</f>
        <v>77335</v>
      </c>
      <c r="CO242" s="3">
        <f>CN242</f>
        <v>77335</v>
      </c>
      <c r="CP242" s="3">
        <f>CO242+CP246</f>
        <v>77335</v>
      </c>
      <c r="CQ242" s="3">
        <f>CP242+CQ246</f>
        <v>77335</v>
      </c>
      <c r="CR242" s="3">
        <f>CQ242+CR246</f>
        <v>77335</v>
      </c>
      <c r="CS242" s="3">
        <f>CR242+CS246</f>
        <v>77335</v>
      </c>
      <c r="CT242" s="3">
        <f>CS242</f>
        <v>77335</v>
      </c>
      <c r="CU242" s="3">
        <f>CT242+CU246</f>
        <v>77335</v>
      </c>
      <c r="CV242" s="3">
        <f>CU242+CV246</f>
        <v>77335</v>
      </c>
      <c r="CW242" s="3">
        <f>CV242+CW246</f>
        <v>77335</v>
      </c>
      <c r="CX242" s="3">
        <f>CW242+CX246</f>
        <v>77335</v>
      </c>
      <c r="CY242" s="3">
        <f>CX242</f>
        <v>77335</v>
      </c>
    </row>
    <row r="243" hidden="1" outlineLevel="1" customFormat="1" s="39">
      <c r="A243" s="19" t="n"/>
      <c r="B243" s="19" t="n"/>
      <c r="C243" s="41" t="n"/>
      <c r="D243" s="22" t="n"/>
      <c r="E243" s="22" t="n"/>
      <c r="F243" s="22" t="n"/>
      <c r="G243" s="22" t="n"/>
      <c r="H243" s="22" t="n"/>
      <c r="I243" s="22" t="n"/>
      <c r="J243" s="22" t="n"/>
      <c r="K243" s="22" t="n"/>
      <c r="L243" s="22" t="n"/>
      <c r="M243" s="22" t="n"/>
      <c r="N243" s="22" t="n"/>
      <c r="O243" s="22" t="n"/>
      <c r="P243" s="22" t="n"/>
      <c r="Q243" s="22" t="n"/>
      <c r="R243" s="22" t="n"/>
      <c r="S243" s="22" t="n"/>
      <c r="T243" s="22" t="n"/>
      <c r="U243" s="22" t="n"/>
      <c r="V243" s="22" t="n"/>
      <c r="W243" s="22" t="n"/>
      <c r="X243" s="22" t="n"/>
      <c r="Y243" s="22" t="n"/>
      <c r="Z243" s="22" t="n"/>
      <c r="AA243" s="22" t="n"/>
      <c r="AB243" s="22" t="n"/>
      <c r="AC243" s="22" t="n"/>
      <c r="AD243" s="22" t="n"/>
      <c r="AE243" s="22" t="n"/>
      <c r="AF243" s="22" t="n"/>
      <c r="AG243" s="22" t="n"/>
      <c r="AH243" s="22" t="n"/>
      <c r="AI243" s="22" t="n"/>
      <c r="AJ243" s="22" t="n"/>
      <c r="AK243" s="22" t="n"/>
      <c r="AL243" s="22" t="n"/>
      <c r="AM243" s="22" t="n"/>
      <c r="AN243" s="22" t="n"/>
      <c r="AO243" s="22" t="n"/>
      <c r="AP243" s="22" t="n"/>
      <c r="AQ243" s="22" t="n"/>
      <c r="AR243" s="22" t="n"/>
      <c r="AS243" s="22" t="n"/>
      <c r="AT243" s="22" t="n"/>
      <c r="AU243" s="22" t="n"/>
      <c r="AV243" s="22" t="n"/>
      <c r="AW243" s="22" t="n"/>
      <c r="AX243" s="22" t="n"/>
      <c r="AY243" s="22" t="n"/>
      <c r="AZ243" s="22" t="n"/>
      <c r="BA243" s="22" t="n"/>
      <c r="BB243" s="22" t="n"/>
      <c r="BC243" s="22" t="n"/>
      <c r="BD243" s="22" t="n"/>
      <c r="BE243" s="22" t="n"/>
      <c r="BF243" s="22" t="n"/>
      <c r="BG243" s="22" t="n"/>
      <c r="BH243" s="22" t="n"/>
      <c r="BI243" s="22" t="n"/>
      <c r="BJ243" s="22" t="n"/>
      <c r="BK243" s="22" t="n"/>
      <c r="BL243" s="22" t="n"/>
      <c r="BM243" s="22" t="n"/>
      <c r="BN243" s="22" t="n"/>
      <c r="BO243" s="22" t="n"/>
      <c r="BP243" s="22" t="n"/>
      <c r="BQ243" s="22" t="n"/>
      <c r="BR243" s="22" t="n"/>
      <c r="BS243" s="22" t="n"/>
      <c r="BT243" s="22" t="n"/>
      <c r="BU243" s="22" t="n"/>
      <c r="BV243" s="22" t="n"/>
      <c r="BW243" s="22" t="n"/>
      <c r="BX243" s="22" t="n"/>
      <c r="BY243" s="22" t="n"/>
      <c r="BZ243" s="22" t="n"/>
      <c r="CA243" s="22" t="n"/>
      <c r="CB243" s="22" t="n"/>
      <c r="CC243" s="22" t="n"/>
      <c r="CD243" s="22" t="n"/>
      <c r="CE243" s="22" t="n"/>
      <c r="CF243" s="22" t="n"/>
      <c r="CG243" s="22" t="n"/>
      <c r="CH243" s="22" t="n"/>
      <c r="CI243" s="22" t="n"/>
      <c r="CJ243" s="22" t="n"/>
      <c r="CK243" s="22" t="n"/>
      <c r="CL243" s="22" t="n"/>
      <c r="CM243" s="22" t="n"/>
      <c r="CN243" s="22" t="n"/>
      <c r="CO243" s="22" t="n"/>
      <c r="CP243" s="22" t="n"/>
      <c r="CQ243" s="22" t="n"/>
      <c r="CR243" s="22" t="n"/>
      <c r="CS243" s="22" t="n"/>
      <c r="CT243" s="22" t="n"/>
      <c r="CU243" s="22" t="n"/>
      <c r="CV243" s="22" t="n"/>
      <c r="CW243" s="22" t="n"/>
      <c r="CX243" s="22" t="n"/>
      <c r="CY243" s="22" t="n"/>
    </row>
    <row r="244" hidden="1" outlineLevel="1" customFormat="1" s="39">
      <c r="A244" s="19" t="n"/>
      <c r="B244" s="19" t="n"/>
      <c r="C244" s="41" t="inlineStr">
        <is>
          <t>Diluted Shares outstanding</t>
        </is>
      </c>
      <c r="D244" s="22" t="n"/>
      <c r="E244" s="22" t="n"/>
      <c r="F244" s="22" t="n"/>
      <c r="G244" s="22" t="n"/>
      <c r="H244" s="22" t="n"/>
      <c r="I244" s="22" t="n"/>
      <c r="J244" s="22" t="n"/>
      <c r="K244" s="22" t="n"/>
      <c r="L244" s="22" t="n"/>
      <c r="M244" s="22" t="n"/>
      <c r="N244" s="22" t="n"/>
      <c r="O244" s="22" t="n"/>
      <c r="P244" s="22" t="n"/>
      <c r="Q244" s="22" t="n"/>
      <c r="R244" s="22" t="n"/>
      <c r="S244" s="22" t="n"/>
      <c r="T244" s="22" t="n"/>
      <c r="U244" s="22" t="n"/>
      <c r="V244" s="22" t="n"/>
      <c r="W244" s="22" t="n"/>
      <c r="X244" s="22" t="n"/>
      <c r="Y244" s="22" t="n"/>
      <c r="Z244" s="22" t="n"/>
      <c r="AA244" s="22" t="n"/>
      <c r="AB244" s="22" t="n"/>
      <c r="AC244" s="22" t="n"/>
      <c r="AD244" s="22" t="n"/>
      <c r="AE244" s="22" t="n"/>
      <c r="AF244" s="22" t="n"/>
      <c r="AG244" s="22" t="n"/>
      <c r="AH244" s="22" t="n"/>
      <c r="AI244" s="22" t="n"/>
      <c r="AJ244" s="22" t="n"/>
      <c r="AK244" s="22" t="n"/>
      <c r="AL244" s="22" t="n"/>
      <c r="AM244" s="22" t="n"/>
      <c r="AN244" s="22" t="n"/>
      <c r="AO244" s="22" t="n"/>
      <c r="AP244" s="22" t="n"/>
      <c r="AQ244" s="22" t="n"/>
      <c r="AR244" s="22" t="n"/>
      <c r="AS244" s="22" t="n"/>
      <c r="AT244" s="22" t="n"/>
      <c r="AU244" s="22" t="n"/>
      <c r="AV244" s="22" t="n"/>
      <c r="AW244" s="22" t="n"/>
      <c r="AX244" s="22" t="n"/>
      <c r="AY244" s="22" t="n"/>
      <c r="AZ244" s="22" t="n"/>
      <c r="BA244" s="22" t="n"/>
      <c r="BB244" s="22" t="n"/>
      <c r="BC244" s="22" t="n"/>
      <c r="BD244" s="22" t="n"/>
      <c r="BE244" s="22" t="n"/>
      <c r="BF244" s="22" t="n"/>
      <c r="BG244" s="22" t="n"/>
      <c r="BH244" s="22" t="n"/>
      <c r="BI244" s="22" t="n"/>
      <c r="BJ244" s="22" t="n"/>
      <c r="BK244" s="22" t="n"/>
      <c r="BL244" s="22" t="n"/>
      <c r="BM244" s="22" t="n"/>
      <c r="BN244" s="22" t="n"/>
      <c r="BO244" s="22" t="n"/>
      <c r="BP244" s="22" t="n"/>
      <c r="BQ244" s="22" t="n"/>
      <c r="BR244" s="22" t="n"/>
      <c r="BS244" s="22" t="n"/>
      <c r="BT244" s="22" t="n"/>
      <c r="BU244" s="22" t="n"/>
      <c r="BV244" s="22" t="n"/>
      <c r="BW244" s="22" t="n"/>
      <c r="BX244" s="22" t="n"/>
      <c r="BY244" s="22" t="n"/>
      <c r="BZ244" s="22" t="n"/>
      <c r="CA244" s="22" t="n"/>
      <c r="CB244" s="22" t="n"/>
      <c r="CC244" s="22" t="n"/>
      <c r="CD244" s="22" t="n"/>
      <c r="CE244" s="22" t="n"/>
      <c r="CF244" s="22" t="n"/>
      <c r="CG244" s="22" t="n"/>
      <c r="CH244" s="22" t="n"/>
      <c r="CI244" s="22" t="n"/>
      <c r="CJ244" s="22" t="n"/>
      <c r="CK244" s="22" t="n"/>
      <c r="CL244" s="22" t="n"/>
      <c r="CM244" s="22" t="n"/>
      <c r="CN244" s="22" t="n"/>
      <c r="CO244" s="22" t="n"/>
      <c r="CP244" s="22" t="n"/>
      <c r="CQ244" s="22" t="n"/>
      <c r="CR244" s="22" t="n"/>
      <c r="CS244" s="22" t="n"/>
      <c r="CT244" s="22" t="n"/>
      <c r="CU244" s="22" t="n"/>
      <c r="CV244" s="22" t="n"/>
      <c r="CW244" s="22" t="n"/>
      <c r="CX244" s="22" t="n"/>
      <c r="CY244" s="22" t="n"/>
    </row>
    <row r="245" hidden="1" outlineLevel="1" customFormat="1" s="39">
      <c r="A245" s="19" t="n"/>
      <c r="B245" s="19" t="n"/>
      <c r="C245" s="41" t="inlineStr">
        <is>
          <t>Treasury share $ repurchases</t>
        </is>
      </c>
      <c r="D245" s="22" t="n"/>
      <c r="E245" s="22" t="n"/>
      <c r="F245" s="22" t="n"/>
      <c r="G245" s="22" t="n"/>
      <c r="H245" s="22" t="n"/>
      <c r="I245" s="22" t="n"/>
      <c r="J245" s="22" t="n"/>
      <c r="K245" s="22" t="n"/>
      <c r="L245" s="22" t="n"/>
      <c r="M245" s="22" t="n"/>
      <c r="N245" s="22" t="n"/>
      <c r="O245" s="22" t="n"/>
      <c r="P245" s="22" t="n"/>
      <c r="Q245" s="22" t="n"/>
      <c r="R245" s="22" t="n"/>
      <c r="S245" s="22" t="n"/>
      <c r="T245" s="22" t="n"/>
      <c r="U245" s="22" t="n"/>
      <c r="V245" s="22" t="n"/>
      <c r="W245" s="22" t="n"/>
      <c r="X245" s="22" t="n"/>
      <c r="Y245" s="22" t="n"/>
      <c r="Z245" s="22" t="n"/>
      <c r="AA245" s="22" t="n"/>
      <c r="AB245" s="22" t="n"/>
      <c r="AC245" s="22" t="n"/>
      <c r="AD245" s="22" t="n"/>
      <c r="AE245" s="22" t="n"/>
      <c r="AF245" s="22" t="n"/>
      <c r="AG245" s="22" t="n"/>
      <c r="AH245" s="6" t="n"/>
      <c r="AI245" s="6" t="n"/>
      <c r="AJ245" s="6" t="n"/>
      <c r="AK245" s="6" t="n"/>
      <c r="AL245" s="22" t="n"/>
      <c r="AM245" s="6" t="n"/>
      <c r="AN245" s="6" t="n"/>
      <c r="AO245" s="6" t="n"/>
      <c r="AP245" s="6" t="n"/>
      <c r="AQ245" s="22" t="n"/>
      <c r="AR245" s="6" t="n"/>
      <c r="AS245" s="6" t="n"/>
      <c r="AT245" s="6" t="n"/>
      <c r="AU245" s="6" t="n"/>
      <c r="AV245" s="22" t="n"/>
      <c r="AW245" s="6" t="n"/>
      <c r="AX245" s="6" t="n"/>
      <c r="AY245" s="6" t="n"/>
      <c r="AZ245" s="6" t="n"/>
      <c r="BA245" s="22" t="n"/>
      <c r="BB245" s="6" t="n"/>
      <c r="BC245" s="6" t="n"/>
      <c r="BD245" s="6" t="n"/>
      <c r="BE245" s="6" t="n"/>
      <c r="BF245" s="22" t="n"/>
      <c r="BG245" s="6" t="n"/>
      <c r="BH245" s="6" t="n"/>
      <c r="BI245" s="6" t="n"/>
      <c r="BJ245" s="6" t="n"/>
      <c r="BK245" s="22" t="n"/>
      <c r="BL245" s="6" t="n"/>
      <c r="BM245" s="6" t="n"/>
      <c r="BN245" s="6" t="n"/>
      <c r="BO245" s="6" t="n"/>
      <c r="BP245" s="22" t="n"/>
      <c r="BQ245" s="6" t="n"/>
      <c r="BR245" s="6" t="n"/>
      <c r="BS245" s="6" t="n"/>
      <c r="BT245" s="6" t="n"/>
      <c r="BU245" s="22" t="n"/>
      <c r="BV245" s="6" t="n"/>
      <c r="BW245" s="6" t="n"/>
      <c r="BX245" s="6" t="n"/>
      <c r="BY245" s="6" t="n"/>
      <c r="BZ245" s="22" t="n"/>
      <c r="CA245" s="6" t="n"/>
      <c r="CB245" s="6" t="n"/>
      <c r="CC245" s="6" t="n"/>
      <c r="CD245" s="6" t="n"/>
      <c r="CE245" s="22" t="n"/>
      <c r="CF245" s="6" t="n"/>
      <c r="CG245" s="6" t="n"/>
      <c r="CH245" s="6" t="n"/>
      <c r="CI245" s="6" t="n"/>
      <c r="CJ245" s="22" t="n"/>
      <c r="CK245" s="6" t="n"/>
      <c r="CL245" s="6" t="n"/>
      <c r="CM245" s="6" t="n"/>
      <c r="CN245" s="6" t="n"/>
      <c r="CO245" s="22" t="n"/>
      <c r="CP245" s="6" t="n"/>
      <c r="CQ245" s="6" t="n"/>
      <c r="CR245" s="6" t="n"/>
      <c r="CS245" s="6" t="n"/>
      <c r="CT245" s="22" t="n"/>
      <c r="CU245" s="6" t="n"/>
      <c r="CV245" s="6" t="n"/>
      <c r="CW245" s="6" t="n"/>
      <c r="CX245" s="6" t="n"/>
      <c r="CY245" s="22" t="n"/>
    </row>
    <row r="246" hidden="1" outlineLevel="1" customFormat="1" s="39">
      <c r="A246" s="19" t="n"/>
      <c r="B246" s="19" t="n"/>
      <c r="C246" s="41" t="inlineStr">
        <is>
          <t>Value of shares issued</t>
        </is>
      </c>
      <c r="D246" s="22" t="n"/>
      <c r="E246" s="22" t="n"/>
      <c r="F246" s="22" t="n"/>
      <c r="G246" s="22" t="n"/>
      <c r="H246" s="22" t="n"/>
      <c r="I246" s="22" t="n"/>
      <c r="J246" s="22" t="n"/>
      <c r="K246" s="22" t="n"/>
      <c r="L246" s="22" t="n"/>
      <c r="M246" s="22" t="n"/>
      <c r="N246" s="22" t="n"/>
      <c r="O246" s="22" t="n"/>
      <c r="P246" s="22" t="n"/>
      <c r="Q246" s="22" t="n"/>
      <c r="R246" s="22" t="n"/>
      <c r="S246" s="22" t="n"/>
      <c r="T246" s="22" t="n"/>
      <c r="U246" s="22" t="n"/>
      <c r="V246" s="22" t="n"/>
      <c r="W246" s="22" t="n"/>
      <c r="X246" s="22" t="n"/>
      <c r="Y246" s="22" t="n"/>
      <c r="Z246" s="22" t="n"/>
      <c r="AA246" s="22" t="n"/>
      <c r="AB246" s="22" t="n"/>
      <c r="AC246" s="22" t="n"/>
      <c r="AD246" s="22" t="n"/>
      <c r="AE246" s="22" t="n"/>
      <c r="AF246" s="22" t="n"/>
      <c r="AG246" s="22" t="n"/>
      <c r="AH246" s="6" t="n"/>
      <c r="AI246" s="6" t="n"/>
      <c r="AJ246" s="6" t="n"/>
      <c r="AK246" s="6" t="n"/>
      <c r="AL246" s="22" t="n"/>
      <c r="AM246" s="6" t="n"/>
      <c r="AN246" s="6" t="n"/>
      <c r="AO246" s="6" t="n"/>
      <c r="AP246" s="6" t="n"/>
      <c r="AQ246" s="22" t="n"/>
      <c r="AR246" s="6" t="n"/>
      <c r="AS246" s="6" t="n"/>
      <c r="AT246" s="6" t="n"/>
      <c r="AU246" s="6" t="n"/>
      <c r="AV246" s="22" t="n"/>
      <c r="AW246" s="6" t="n"/>
      <c r="AX246" s="6" t="n"/>
      <c r="AY246" s="6" t="n"/>
      <c r="AZ246" s="6" t="n"/>
      <c r="BA246" s="22" t="n"/>
      <c r="BB246" s="6" t="n"/>
      <c r="BC246" s="6" t="n"/>
      <c r="BD246" s="6" t="n"/>
      <c r="BE246" s="6" t="n"/>
      <c r="BF246" s="22" t="n"/>
      <c r="BG246" s="6" t="n"/>
      <c r="BH246" s="6" t="n"/>
      <c r="BI246" s="6" t="n"/>
      <c r="BJ246" s="6" t="n"/>
      <c r="BK246" s="22" t="n"/>
      <c r="BL246" s="6" t="n"/>
      <c r="BM246" s="6" t="n"/>
      <c r="BN246" s="6" t="n"/>
      <c r="BO246" s="6" t="n"/>
      <c r="BP246" s="22" t="n"/>
      <c r="BQ246" s="6" t="n"/>
      <c r="BR246" s="6" t="n"/>
      <c r="BS246" s="6" t="n"/>
      <c r="BT246" s="6" t="n"/>
      <c r="BU246" s="22" t="n"/>
      <c r="BV246" s="6" t="n"/>
      <c r="BW246" s="6" t="n"/>
      <c r="BX246" s="6" t="n"/>
      <c r="BY246" s="6" t="n"/>
      <c r="BZ246" s="22" t="n"/>
      <c r="CA246" s="6" t="n"/>
      <c r="CB246" s="6" t="n"/>
      <c r="CC246" s="6" t="n"/>
      <c r="CD246" s="6" t="n"/>
      <c r="CE246" s="22" t="n"/>
      <c r="CF246" s="6" t="n"/>
      <c r="CG246" s="6" t="n"/>
      <c r="CH246" s="6" t="n"/>
      <c r="CI246" s="6" t="n"/>
      <c r="CJ246" s="22" t="n"/>
      <c r="CK246" s="6" t="n"/>
      <c r="CL246" s="6" t="n"/>
      <c r="CM246" s="6" t="n"/>
      <c r="CN246" s="6" t="n"/>
      <c r="CO246" s="22" t="n"/>
      <c r="CP246" s="6" t="n"/>
      <c r="CQ246" s="6" t="n"/>
      <c r="CR246" s="6" t="n"/>
      <c r="CS246" s="6" t="n"/>
      <c r="CT246" s="22" t="n"/>
      <c r="CU246" s="6" t="n"/>
      <c r="CV246" s="6" t="n"/>
      <c r="CW246" s="6" t="n"/>
      <c r="CX246" s="6" t="n"/>
      <c r="CY246" s="22" t="n"/>
    </row>
    <row r="247" hidden="1" outlineLevel="1" customFormat="1" s="39">
      <c r="A247" s="19" t="n"/>
      <c r="B247" s="19" t="n"/>
      <c r="C247" s="41" t="inlineStr">
        <is>
          <t>Expected average share price</t>
        </is>
      </c>
      <c r="D247" s="22" t="n"/>
      <c r="E247" s="22" t="n"/>
      <c r="F247" s="22" t="n"/>
      <c r="G247" s="22" t="n"/>
      <c r="H247" s="22" t="n"/>
      <c r="I247" s="22" t="n"/>
      <c r="J247" s="22" t="n"/>
      <c r="K247" s="22" t="n"/>
      <c r="L247" s="22" t="n"/>
      <c r="M247" s="22" t="n"/>
      <c r="N247" s="22" t="n"/>
      <c r="O247" s="22" t="n"/>
      <c r="P247" s="22" t="n"/>
      <c r="Q247" s="22" t="n"/>
      <c r="R247" s="22" t="n"/>
      <c r="S247" s="22" t="n"/>
      <c r="T247" s="22" t="n"/>
      <c r="U247" s="22" t="n"/>
      <c r="V247" s="22" t="n"/>
      <c r="W247" s="22" t="n"/>
      <c r="X247" s="22" t="n"/>
      <c r="Y247" s="22" t="n"/>
      <c r="Z247" s="22" t="n"/>
      <c r="AA247" s="22" t="n"/>
      <c r="AB247" s="22" t="n"/>
      <c r="AC247" s="22" t="n"/>
      <c r="AD247" s="22" t="n"/>
      <c r="AE247" s="22" t="n"/>
      <c r="AF247" s="22" t="n"/>
      <c r="AG247" s="251" t="n"/>
      <c r="AH247" s="42">
        <f>AG247*(1+AH248)</f>
        <v>0</v>
      </c>
      <c r="AI247" s="42">
        <f>AH247*(1+AI248)</f>
        <v>0</v>
      </c>
      <c r="AJ247" s="42">
        <f>AI247*(1+AJ248)</f>
        <v>0</v>
      </c>
      <c r="AK247" s="42">
        <f>AJ247*(1+AK248)</f>
        <v>0</v>
      </c>
      <c r="AL247" s="22" t="n"/>
      <c r="AM247" s="42">
        <f>AK247*(1+AM248)</f>
        <v>0</v>
      </c>
      <c r="AN247" s="42">
        <f>AM247*(1+AN248)</f>
        <v>0</v>
      </c>
      <c r="AO247" s="42">
        <f>AN247*(1+AO248)</f>
        <v>0</v>
      </c>
      <c r="AP247" s="42">
        <f>AO247*(1+AP248)</f>
        <v>0</v>
      </c>
      <c r="AQ247" s="22" t="n"/>
      <c r="AR247" s="42">
        <f>AP247*(1+AR248)</f>
        <v>0</v>
      </c>
      <c r="AS247" s="42">
        <f>AR247*(1+AS248)</f>
        <v>0</v>
      </c>
      <c r="AT247" s="42">
        <f>AS247*(1+AT248)</f>
        <v>0</v>
      </c>
      <c r="AU247" s="42">
        <f>AT247*(1+AU248)</f>
        <v>0</v>
      </c>
      <c r="AV247" s="22" t="n"/>
      <c r="AW247" s="42">
        <f>AU247*(1+AW248)</f>
        <v>0</v>
      </c>
      <c r="AX247" s="42">
        <f>AW247*(1+AX248)</f>
        <v>0</v>
      </c>
      <c r="AY247" s="42">
        <f>AX247*(1+AY248)</f>
        <v>0</v>
      </c>
      <c r="AZ247" s="42">
        <f>AY247*(1+AZ248)</f>
        <v>0</v>
      </c>
      <c r="BA247" s="22" t="n"/>
      <c r="BB247" s="42">
        <f>AZ247*(1+BB248)</f>
        <v>0</v>
      </c>
      <c r="BC247" s="42">
        <f>BB247*(1+BC248)</f>
        <v>0</v>
      </c>
      <c r="BD247" s="42">
        <f>BC247*(1+BD248)</f>
        <v>0</v>
      </c>
      <c r="BE247" s="42">
        <f>BD247*(1+BE248)</f>
        <v>0</v>
      </c>
      <c r="BF247" s="22" t="n"/>
      <c r="BG247" s="42">
        <f>BE247*(1+BG248)</f>
        <v>0</v>
      </c>
      <c r="BH247" s="42">
        <f>BG247*(1+BH248)</f>
        <v>0</v>
      </c>
      <c r="BI247" s="42">
        <f>BH247*(1+BI248)</f>
        <v>0</v>
      </c>
      <c r="BJ247" s="42">
        <f>BI247*(1+BJ248)</f>
        <v>0</v>
      </c>
      <c r="BK247" s="22" t="n"/>
      <c r="BL247" s="42">
        <f>BJ247*(1+BL248)</f>
        <v>0</v>
      </c>
      <c r="BM247" s="42">
        <f>BL247*(1+BM248)</f>
        <v>0</v>
      </c>
      <c r="BN247" s="42">
        <f>BM247*(1+BN248)</f>
        <v>0</v>
      </c>
      <c r="BO247" s="42">
        <f>BN247*(1+BO248)</f>
        <v>0</v>
      </c>
      <c r="BP247" s="22" t="n"/>
      <c r="BQ247" s="42">
        <f>BO247*(1+BQ248)</f>
        <v>0</v>
      </c>
      <c r="BR247" s="42">
        <f>BQ247*(1+BR248)</f>
        <v>0</v>
      </c>
      <c r="BS247" s="42">
        <f>BR247*(1+BS248)</f>
        <v>0</v>
      </c>
      <c r="BT247" s="42">
        <f>BS247*(1+BT248)</f>
        <v>0</v>
      </c>
      <c r="BU247" s="22" t="n"/>
      <c r="BV247" s="42">
        <f>BT247*(1+BV248)</f>
        <v>0</v>
      </c>
      <c r="BW247" s="42">
        <f>BV247*(1+BW248)</f>
        <v>0</v>
      </c>
      <c r="BX247" s="42">
        <f>BW247*(1+BX248)</f>
        <v>0</v>
      </c>
      <c r="BY247" s="42">
        <f>BX247*(1+BY248)</f>
        <v>0</v>
      </c>
      <c r="BZ247" s="22" t="n"/>
      <c r="CA247" s="42">
        <f>BY247*(1+CA248)</f>
        <v>0</v>
      </c>
      <c r="CB247" s="42">
        <f>CA247*(1+CB248)</f>
        <v>0</v>
      </c>
      <c r="CC247" s="42">
        <f>CB247*(1+CC248)</f>
        <v>0</v>
      </c>
      <c r="CD247" s="42">
        <f>CC247*(1+CD248)</f>
        <v>0</v>
      </c>
      <c r="CE247" s="22" t="n"/>
      <c r="CF247" s="42">
        <f>CD247*(1+CF248)</f>
        <v>0</v>
      </c>
      <c r="CG247" s="42">
        <f>CF247*(1+CG248)</f>
        <v>0</v>
      </c>
      <c r="CH247" s="42">
        <f>CG247*(1+CH248)</f>
        <v>0</v>
      </c>
      <c r="CI247" s="42">
        <f>CH247*(1+CI248)</f>
        <v>0</v>
      </c>
      <c r="CJ247" s="22" t="n"/>
      <c r="CK247" s="42">
        <f>CI247*(1+CK248)</f>
        <v>0</v>
      </c>
      <c r="CL247" s="42">
        <f>CK247*(1+CL248)</f>
        <v>0</v>
      </c>
      <c r="CM247" s="42">
        <f>CL247*(1+CM248)</f>
        <v>0</v>
      </c>
      <c r="CN247" s="42">
        <f>CM247*(1+CN248)</f>
        <v>0</v>
      </c>
      <c r="CO247" s="22" t="n"/>
      <c r="CP247" s="42">
        <f>CN247*(1+CP248)</f>
        <v>0</v>
      </c>
      <c r="CQ247" s="42">
        <f>CP247*(1+CQ248)</f>
        <v>0</v>
      </c>
      <c r="CR247" s="42">
        <f>CQ247*(1+CR248)</f>
        <v>0</v>
      </c>
      <c r="CS247" s="42">
        <f>CR247*(1+CS248)</f>
        <v>0</v>
      </c>
      <c r="CT247" s="22" t="n"/>
      <c r="CU247" s="42">
        <f>CS247*(1+CU248)</f>
        <v>0</v>
      </c>
      <c r="CV247" s="42">
        <f>CU247*(1+CV248)</f>
        <v>0</v>
      </c>
      <c r="CW247" s="42">
        <f>CV247*(1+CW248)</f>
        <v>0</v>
      </c>
      <c r="CX247" s="42">
        <f>CW247*(1+CX248)</f>
        <v>0</v>
      </c>
      <c r="CY247" s="22" t="n"/>
      <c r="CZ247">
        <f>CX247*(1+CZ248)</f>
        <v>0</v>
      </c>
      <c r="DA247">
        <f>CZ247*(1+DA248)</f>
        <v>0</v>
      </c>
      <c r="DB247">
        <f>DA247*(1+DB248)</f>
        <v>0</v>
      </c>
      <c r="DC247">
        <f>DB247*(1+DC248)</f>
        <v>0</v>
      </c>
    </row>
    <row r="248" hidden="1" outlineLevel="1" customFormat="1" s="39">
      <c r="A248" s="19" t="n"/>
      <c r="B248" s="19" t="n"/>
      <c r="C248" s="41" t="inlineStr">
        <is>
          <t>Consensus EPS growth</t>
        </is>
      </c>
      <c r="D248" s="22" t="n"/>
      <c r="E248" s="22" t="n"/>
      <c r="F248" s="22" t="n"/>
      <c r="G248" s="22" t="n"/>
      <c r="H248" s="22" t="n"/>
      <c r="I248" s="22" t="n"/>
      <c r="J248" s="22" t="n"/>
      <c r="K248" s="22" t="n"/>
      <c r="L248" s="22" t="n"/>
      <c r="M248" s="22" t="n"/>
      <c r="N248" s="22" t="n"/>
      <c r="O248" s="22" t="n"/>
      <c r="P248" s="22" t="n"/>
      <c r="Q248" s="22" t="n"/>
      <c r="R248" s="22" t="n"/>
      <c r="S248" s="22" t="n"/>
      <c r="T248" s="22" t="n"/>
      <c r="U248" s="22" t="n"/>
      <c r="V248" s="22" t="n"/>
      <c r="W248" s="22" t="n"/>
      <c r="X248" s="22" t="n"/>
      <c r="Y248" s="22" t="n"/>
      <c r="Z248" s="22" t="n"/>
      <c r="AA248" s="22" t="n"/>
      <c r="AB248" s="22" t="n"/>
      <c r="AC248" s="22" t="n"/>
      <c r="AD248" s="22" t="n"/>
      <c r="AE248" s="22" t="n"/>
      <c r="AF248" s="22" t="n"/>
      <c r="AG248" s="22" t="n"/>
      <c r="AH248" s="40">
        <f>$AL$253</f>
        <v>0</v>
      </c>
      <c r="AI248" s="40">
        <f>$AL$253</f>
        <v>0</v>
      </c>
      <c r="AJ248" s="40">
        <f>$AL$253</f>
        <v>0</v>
      </c>
      <c r="AK248" s="40">
        <f>$AL$253</f>
        <v>0</v>
      </c>
      <c r="AL248" s="22" t="n"/>
      <c r="AM248" s="40">
        <f>$AL$253</f>
        <v>0</v>
      </c>
      <c r="AN248" s="40">
        <f>$AL$253</f>
        <v>0</v>
      </c>
      <c r="AO248" s="40">
        <f>$AL$253</f>
        <v>0</v>
      </c>
      <c r="AP248" s="40">
        <f>$AL$253</f>
        <v>0</v>
      </c>
      <c r="AQ248" s="22" t="n"/>
      <c r="AR248" s="40">
        <f>$AL$253</f>
        <v>0</v>
      </c>
      <c r="AS248" s="40">
        <f>$AL$253</f>
        <v>0</v>
      </c>
      <c r="AT248" s="40">
        <f>$AL$253</f>
        <v>0</v>
      </c>
      <c r="AU248" s="40">
        <f>$AL$253</f>
        <v>0</v>
      </c>
      <c r="AV248" s="22" t="n"/>
      <c r="AW248" s="40">
        <f>$AL$253</f>
        <v>0</v>
      </c>
      <c r="AX248" s="40">
        <f>$AL$253</f>
        <v>0</v>
      </c>
      <c r="AY248" s="40">
        <f>$AL$253</f>
        <v>0</v>
      </c>
      <c r="AZ248" s="40">
        <f>$AL$253</f>
        <v>0</v>
      </c>
      <c r="BA248" s="22" t="n"/>
      <c r="BB248" s="40">
        <f>$AL$253</f>
        <v>0</v>
      </c>
      <c r="BC248" s="40">
        <f>$AL$253</f>
        <v>0</v>
      </c>
      <c r="BD248" s="40">
        <f>$AL$253</f>
        <v>0</v>
      </c>
      <c r="BE248" s="40">
        <f>$AL$253</f>
        <v>0</v>
      </c>
      <c r="BF248" s="22" t="n"/>
      <c r="BG248" s="40">
        <f>$AL$253</f>
        <v>0</v>
      </c>
      <c r="BH248" s="40">
        <f>$AL$253</f>
        <v>0</v>
      </c>
      <c r="BI248" s="40">
        <f>$AL$253</f>
        <v>0</v>
      </c>
      <c r="BJ248" s="40">
        <f>$AL$253</f>
        <v>0</v>
      </c>
      <c r="BK248" s="22" t="n"/>
      <c r="BL248" s="40">
        <f>$AL$253</f>
        <v>0</v>
      </c>
      <c r="BM248" s="40">
        <f>$AL$253</f>
        <v>0</v>
      </c>
      <c r="BN248" s="40">
        <f>$AL$253</f>
        <v>0</v>
      </c>
      <c r="BO248" s="40">
        <f>$AL$253</f>
        <v>0</v>
      </c>
      <c r="BP248" s="22" t="n"/>
      <c r="BQ248" s="40">
        <f>$AL$253</f>
        <v>0</v>
      </c>
      <c r="BR248" s="40">
        <f>$AL$253</f>
        <v>0</v>
      </c>
      <c r="BS248" s="40">
        <f>$AL$253</f>
        <v>0</v>
      </c>
      <c r="BT248" s="40">
        <f>$AL$253</f>
        <v>0</v>
      </c>
      <c r="BU248" s="22" t="n"/>
      <c r="BV248" s="40">
        <f>$AL$253</f>
        <v>0</v>
      </c>
      <c r="BW248" s="40">
        <f>$AL$253</f>
        <v>0</v>
      </c>
      <c r="BX248" s="40">
        <f>$AL$253</f>
        <v>0</v>
      </c>
      <c r="BY248" s="40">
        <f>$AL$253</f>
        <v>0</v>
      </c>
      <c r="BZ248" s="22" t="n"/>
      <c r="CA248" s="40">
        <f>$AL$253</f>
        <v>0</v>
      </c>
      <c r="CB248" s="40">
        <f>$AL$253</f>
        <v>0</v>
      </c>
      <c r="CC248" s="40">
        <f>$AL$253</f>
        <v>0</v>
      </c>
      <c r="CD248" s="40">
        <f>$AL$253</f>
        <v>0</v>
      </c>
      <c r="CE248" s="22" t="n"/>
      <c r="CF248" s="40">
        <f>$AL$253</f>
        <v>0</v>
      </c>
      <c r="CG248" s="40">
        <f>$AL$253</f>
        <v>0</v>
      </c>
      <c r="CH248" s="40">
        <f>$AL$253</f>
        <v>0</v>
      </c>
      <c r="CI248" s="40">
        <f>$AL$253</f>
        <v>0</v>
      </c>
      <c r="CJ248" s="22" t="n"/>
      <c r="CK248" s="40">
        <f>$AL$253</f>
        <v>0</v>
      </c>
      <c r="CL248" s="40">
        <f>$AL$253</f>
        <v>0</v>
      </c>
      <c r="CM248" s="40">
        <f>$AL$253</f>
        <v>0</v>
      </c>
      <c r="CN248" s="40">
        <f>$AL$253</f>
        <v>0</v>
      </c>
      <c r="CO248" s="22" t="n"/>
      <c r="CP248" s="40">
        <f>$AL$253</f>
        <v>0</v>
      </c>
      <c r="CQ248" s="40">
        <f>$AL$253</f>
        <v>0</v>
      </c>
      <c r="CR248" s="40">
        <f>$AL$253</f>
        <v>0</v>
      </c>
      <c r="CS248" s="40">
        <f>$AL$253</f>
        <v>0</v>
      </c>
      <c r="CT248" s="22" t="n"/>
      <c r="CU248" s="40">
        <f>$AL$253</f>
        <v>0</v>
      </c>
      <c r="CV248" s="40">
        <f>$AL$253</f>
        <v>0</v>
      </c>
      <c r="CW248" s="40">
        <f>$AL$253</f>
        <v>0</v>
      </c>
      <c r="CX248" s="40">
        <f>$AL$253</f>
        <v>0</v>
      </c>
      <c r="CY248" s="22" t="n"/>
    </row>
    <row r="249" hidden="1" outlineLevel="1" customFormat="1" s="39">
      <c r="A249" s="19" t="n"/>
      <c r="B249" s="19" t="n"/>
      <c r="C249" s="41" t="n"/>
      <c r="D249" s="22" t="n"/>
      <c r="E249" s="22" t="n"/>
      <c r="F249" s="22" t="n"/>
      <c r="G249" s="22" t="n"/>
      <c r="H249" s="22" t="n"/>
      <c r="I249" s="22" t="n"/>
      <c r="J249" s="22" t="n"/>
      <c r="K249" s="22" t="n"/>
      <c r="L249" s="22" t="n"/>
      <c r="M249" s="22" t="n"/>
      <c r="N249" s="22" t="n"/>
      <c r="O249" s="22" t="n"/>
      <c r="P249" s="22" t="n"/>
      <c r="Q249" s="22" t="n"/>
      <c r="R249" s="22" t="n"/>
      <c r="S249" s="22" t="n"/>
      <c r="T249" s="22" t="n"/>
      <c r="U249" s="22" t="n"/>
      <c r="V249" s="22" t="n"/>
      <c r="W249" s="22" t="n"/>
      <c r="X249" s="22" t="n"/>
      <c r="Y249" s="22" t="n"/>
      <c r="Z249" s="22" t="n"/>
      <c r="AA249" s="22" t="n"/>
      <c r="AB249" s="22" t="n"/>
      <c r="AC249" s="22" t="n"/>
      <c r="AD249" s="22" t="n"/>
      <c r="AE249" s="22" t="n"/>
      <c r="AF249" s="22" t="n"/>
      <c r="AG249" s="22" t="n"/>
      <c r="AH249" s="3" t="n"/>
      <c r="AI249" s="3" t="n"/>
      <c r="AJ249" s="3" t="n"/>
      <c r="AK249" s="3" t="n"/>
      <c r="AL249" s="22" t="n"/>
      <c r="AM249" s="3" t="n"/>
      <c r="AN249" s="3" t="n"/>
      <c r="AO249" s="3" t="n"/>
      <c r="AP249" s="3" t="n"/>
      <c r="AQ249" s="22" t="n"/>
      <c r="AR249" s="3" t="n"/>
      <c r="AS249" s="3" t="n"/>
      <c r="AT249" s="3" t="n"/>
      <c r="AU249" s="3" t="n"/>
      <c r="AV249" s="22" t="n"/>
      <c r="AW249" s="3" t="n"/>
      <c r="AX249" s="3" t="n"/>
      <c r="AY249" s="3" t="n"/>
      <c r="AZ249" s="3" t="n"/>
      <c r="BA249" s="22" t="n"/>
      <c r="BB249" s="3" t="n"/>
      <c r="BC249" s="3" t="n"/>
      <c r="BD249" s="3" t="n"/>
      <c r="BE249" s="3" t="n"/>
      <c r="BF249" s="22" t="n"/>
      <c r="BG249" s="3" t="n"/>
      <c r="BH249" s="3" t="n"/>
      <c r="BI249" s="3" t="n"/>
      <c r="BJ249" s="3" t="n"/>
      <c r="BK249" s="22" t="n"/>
      <c r="BL249" s="3" t="n"/>
      <c r="BM249" s="3" t="n"/>
      <c r="BN249" s="3" t="n"/>
      <c r="BO249" s="3" t="n"/>
      <c r="BP249" s="22" t="n"/>
      <c r="BQ249" s="3" t="n"/>
      <c r="BR249" s="3" t="n"/>
      <c r="BS249" s="3" t="n"/>
      <c r="BT249" s="3" t="n"/>
      <c r="BU249" s="22" t="n"/>
      <c r="BV249" s="3" t="n"/>
      <c r="BW249" s="3" t="n"/>
      <c r="BX249" s="3" t="n"/>
      <c r="BY249" s="3" t="n"/>
      <c r="BZ249" s="22" t="n"/>
      <c r="CA249" s="3" t="n"/>
      <c r="CB249" s="3" t="n"/>
      <c r="CC249" s="3" t="n"/>
      <c r="CD249" s="3" t="n"/>
      <c r="CE249" s="22" t="n"/>
      <c r="CF249" s="3" t="n"/>
      <c r="CG249" s="3" t="n"/>
      <c r="CH249" s="3" t="n"/>
      <c r="CI249" s="3" t="n"/>
      <c r="CJ249" s="22" t="n"/>
      <c r="CK249" s="3" t="n"/>
      <c r="CL249" s="3" t="n"/>
      <c r="CM249" s="3" t="n"/>
      <c r="CN249" s="3" t="n"/>
      <c r="CO249" s="22" t="n"/>
      <c r="CP249" s="3" t="n"/>
      <c r="CQ249" s="3" t="n"/>
      <c r="CR249" s="3" t="n"/>
      <c r="CS249" s="3" t="n"/>
      <c r="CT249" s="22" t="n"/>
      <c r="CU249" s="3" t="n"/>
      <c r="CV249" s="3" t="n"/>
      <c r="CW249" s="3" t="n"/>
      <c r="CX249" s="3" t="n"/>
      <c r="CY249" s="22" t="n"/>
    </row>
    <row r="250" hidden="1" outlineLevel="1" customFormat="1" s="39">
      <c r="A250" s="19" t="n"/>
      <c r="B250" s="19" t="n"/>
      <c r="C250" s="41" t="inlineStr">
        <is>
          <t>Shares repurchased</t>
        </is>
      </c>
      <c r="D250" s="22" t="n"/>
      <c r="E250" s="22" t="n"/>
      <c r="F250" s="22" t="n"/>
      <c r="G250" s="22" t="n"/>
      <c r="H250" s="22" t="n"/>
      <c r="I250" s="22" t="n"/>
      <c r="J250" s="22" t="n"/>
      <c r="K250" s="22" t="n"/>
      <c r="L250" s="22" t="n"/>
      <c r="M250" s="22" t="n"/>
      <c r="N250" s="22" t="n"/>
      <c r="O250" s="22" t="n"/>
      <c r="P250" s="22" t="n"/>
      <c r="Q250" s="22" t="n"/>
      <c r="R250" s="22" t="n"/>
      <c r="S250" s="22" t="n"/>
      <c r="T250" s="22" t="n"/>
      <c r="U250" s="22" t="n"/>
      <c r="V250" s="22" t="n"/>
      <c r="W250" s="22" t="n"/>
      <c r="X250" s="22" t="n"/>
      <c r="Y250" s="22" t="n"/>
      <c r="Z250" s="22" t="n"/>
      <c r="AA250" s="22" t="n"/>
      <c r="AB250" s="22" t="n"/>
      <c r="AC250" s="22" t="n"/>
      <c r="AD250" s="22" t="n"/>
      <c r="AE250" s="22" t="n"/>
      <c r="AF250" s="22" t="n"/>
      <c r="AG250" s="22" t="n"/>
      <c r="AH250" s="43" t="n"/>
      <c r="AI250" s="43" t="n"/>
      <c r="AJ250" s="43" t="e">
        <f>-AJ245/AJ247</f>
        <v>#DIV/0!</v>
      </c>
      <c r="AK250" s="43" t="e">
        <f>-AK245/AK247</f>
        <v>#DIV/0!</v>
      </c>
      <c r="AL250" s="22" t="n"/>
      <c r="AM250" s="43" t="e">
        <f>-AM245/AM247</f>
        <v>#DIV/0!</v>
      </c>
      <c r="AN250" s="43" t="e">
        <f>-AN245/AN247</f>
        <v>#DIV/0!</v>
      </c>
      <c r="AO250" s="43" t="e">
        <f>-AO245/AO247</f>
        <v>#DIV/0!</v>
      </c>
      <c r="AP250" s="43" t="e">
        <f>-AP245/AP247</f>
        <v>#DIV/0!</v>
      </c>
      <c r="AQ250" s="22" t="n"/>
      <c r="AR250" s="43" t="e">
        <f>-AR245/AR247</f>
        <v>#DIV/0!</v>
      </c>
      <c r="AS250" s="43" t="e">
        <f>-AS245/AS247</f>
        <v>#DIV/0!</v>
      </c>
      <c r="AT250" s="43" t="e">
        <f>-AT245/AT247</f>
        <v>#DIV/0!</v>
      </c>
      <c r="AU250" s="43" t="e">
        <f>-AU245/AU247</f>
        <v>#DIV/0!</v>
      </c>
      <c r="AV250" s="22" t="n"/>
      <c r="AW250" s="43" t="e">
        <f>-AW245/AW247</f>
        <v>#DIV/0!</v>
      </c>
      <c r="AX250" s="43" t="e">
        <f>-AX245/AX247</f>
        <v>#DIV/0!</v>
      </c>
      <c r="AY250" s="43" t="e">
        <f>-AY245/AY247</f>
        <v>#DIV/0!</v>
      </c>
      <c r="AZ250" s="43" t="e">
        <f>-AZ245/AZ247</f>
        <v>#DIV/0!</v>
      </c>
      <c r="BA250" s="22" t="n"/>
      <c r="BB250" s="43" t="e">
        <f>-BB245/BB247</f>
        <v>#DIV/0!</v>
      </c>
      <c r="BC250" s="43" t="e">
        <f>-BC245/BC247</f>
        <v>#DIV/0!</v>
      </c>
      <c r="BD250" s="43" t="e">
        <f>-BD245/BD247</f>
        <v>#DIV/0!</v>
      </c>
      <c r="BE250" s="43" t="e">
        <f>-BE245/BE247</f>
        <v>#DIV/0!</v>
      </c>
      <c r="BF250" s="22" t="n"/>
      <c r="BG250" s="43" t="e">
        <f>-BG245/BG247</f>
        <v>#DIV/0!</v>
      </c>
      <c r="BH250" s="43" t="e">
        <f>-BH245/BH247</f>
        <v>#DIV/0!</v>
      </c>
      <c r="BI250" s="43" t="e">
        <f>-BI245/BI247</f>
        <v>#DIV/0!</v>
      </c>
      <c r="BJ250" s="43" t="e">
        <f>-BJ245/BJ247</f>
        <v>#DIV/0!</v>
      </c>
      <c r="BK250" s="22" t="n"/>
      <c r="BL250" s="43" t="e">
        <f>-BL245/BL247</f>
        <v>#DIV/0!</v>
      </c>
      <c r="BM250" s="43" t="e">
        <f>-BM245/BM247</f>
        <v>#DIV/0!</v>
      </c>
      <c r="BN250" s="43" t="e">
        <f>-BN245/BN247</f>
        <v>#DIV/0!</v>
      </c>
      <c r="BO250" s="43" t="e">
        <f>-BO245/BO247</f>
        <v>#DIV/0!</v>
      </c>
      <c r="BP250" s="22" t="n"/>
      <c r="BQ250" s="43" t="e">
        <f>-BQ245/BQ247</f>
        <v>#DIV/0!</v>
      </c>
      <c r="BR250" s="43" t="e">
        <f>-BR245/BR247</f>
        <v>#DIV/0!</v>
      </c>
      <c r="BS250" s="43" t="e">
        <f>-BS245/BS247</f>
        <v>#DIV/0!</v>
      </c>
      <c r="BT250" s="43" t="e">
        <f>-BT245/BT247</f>
        <v>#DIV/0!</v>
      </c>
      <c r="BU250" s="22" t="n"/>
      <c r="BV250" s="43" t="e">
        <f>-BV245/BV247</f>
        <v>#DIV/0!</v>
      </c>
      <c r="BW250" s="43" t="e">
        <f>-BW245/BW247</f>
        <v>#DIV/0!</v>
      </c>
      <c r="BX250" s="43" t="e">
        <f>-BX245/BX247</f>
        <v>#DIV/0!</v>
      </c>
      <c r="BY250" s="43" t="e">
        <f>-BY245/BY247</f>
        <v>#DIV/0!</v>
      </c>
      <c r="BZ250" s="22" t="n"/>
      <c r="CA250" s="43" t="e">
        <f>-CA245/CA247</f>
        <v>#DIV/0!</v>
      </c>
      <c r="CB250" s="43" t="e">
        <f>-CB245/CB247</f>
        <v>#DIV/0!</v>
      </c>
      <c r="CC250" s="43" t="e">
        <f>-CC245/CC247</f>
        <v>#DIV/0!</v>
      </c>
      <c r="CD250" s="43" t="e">
        <f>-CD245/CD247</f>
        <v>#DIV/0!</v>
      </c>
      <c r="CE250" s="22" t="n"/>
      <c r="CF250" s="43" t="e">
        <f>-CF245/CF247</f>
        <v>#DIV/0!</v>
      </c>
      <c r="CG250" s="43" t="e">
        <f>-CG245/CG247</f>
        <v>#DIV/0!</v>
      </c>
      <c r="CH250" s="43" t="e">
        <f>-CH245/CH247</f>
        <v>#DIV/0!</v>
      </c>
      <c r="CI250" s="43" t="e">
        <f>-CI245/CI247</f>
        <v>#DIV/0!</v>
      </c>
      <c r="CJ250" s="22" t="n"/>
      <c r="CK250" s="43" t="e">
        <f>-CK245/CK247</f>
        <v>#DIV/0!</v>
      </c>
      <c r="CL250" s="43" t="e">
        <f>-CL245/CL247</f>
        <v>#DIV/0!</v>
      </c>
      <c r="CM250" s="43" t="e">
        <f>-CM245/CM247</f>
        <v>#DIV/0!</v>
      </c>
      <c r="CN250" s="43" t="e">
        <f>-CN245/CN247</f>
        <v>#DIV/0!</v>
      </c>
      <c r="CO250" s="22" t="n"/>
      <c r="CP250" s="43" t="e">
        <f>-CP245/CP247</f>
        <v>#DIV/0!</v>
      </c>
      <c r="CQ250" s="43" t="e">
        <f>-CQ245/CQ247</f>
        <v>#DIV/0!</v>
      </c>
      <c r="CR250" s="43" t="e">
        <f>-CR245/CR247</f>
        <v>#DIV/0!</v>
      </c>
      <c r="CS250" s="43" t="e">
        <f>-CS245/CS247</f>
        <v>#DIV/0!</v>
      </c>
      <c r="CT250" s="22" t="n"/>
      <c r="CU250" s="43" t="e">
        <f>-CU245/CU247</f>
        <v>#DIV/0!</v>
      </c>
      <c r="CV250" s="43" t="e">
        <f>-CV245/CV247</f>
        <v>#DIV/0!</v>
      </c>
      <c r="CW250" s="43" t="e">
        <f>-CW245/CW247</f>
        <v>#DIV/0!</v>
      </c>
      <c r="CX250" s="43" t="e">
        <f>-CX245/CX247</f>
        <v>#DIV/0!</v>
      </c>
      <c r="CY250" s="22" t="n"/>
    </row>
    <row r="251" hidden="1" outlineLevel="1" customFormat="1" s="39">
      <c r="A251" s="19" t="n"/>
      <c r="B251" s="19" t="n"/>
      <c r="C251" s="41" t="inlineStr">
        <is>
          <t>Shares issued</t>
        </is>
      </c>
      <c r="D251" s="22" t="n"/>
      <c r="E251" s="22" t="n"/>
      <c r="F251" s="22" t="n"/>
      <c r="G251" s="22" t="n"/>
      <c r="H251" s="22" t="n"/>
      <c r="I251" s="22" t="n"/>
      <c r="J251" s="22" t="n"/>
      <c r="K251" s="22" t="n"/>
      <c r="L251" s="22" t="n"/>
      <c r="M251" s="22" t="n"/>
      <c r="N251" s="22" t="n"/>
      <c r="O251" s="22" t="n"/>
      <c r="P251" s="22" t="n"/>
      <c r="Q251" s="22" t="n"/>
      <c r="R251" s="22" t="n"/>
      <c r="S251" s="22" t="n"/>
      <c r="T251" s="22" t="n"/>
      <c r="U251" s="22" t="n"/>
      <c r="V251" s="22" t="n"/>
      <c r="W251" s="22" t="n"/>
      <c r="X251" s="22" t="n"/>
      <c r="Y251" s="22" t="n"/>
      <c r="Z251" s="22" t="n"/>
      <c r="AA251" s="22" t="n"/>
      <c r="AB251" s="22" t="n"/>
      <c r="AC251" s="22" t="n"/>
      <c r="AD251" s="22" t="n"/>
      <c r="AE251" s="22" t="n"/>
      <c r="AF251" s="46" t="n"/>
      <c r="AG251" s="22" t="n"/>
      <c r="AH251" s="43" t="n"/>
      <c r="AI251" s="43" t="n"/>
      <c r="AJ251" s="43" t="e">
        <f>AJ246/AJ247</f>
        <v>#DIV/0!</v>
      </c>
      <c r="AK251" s="43" t="e">
        <f>AK246/AK247</f>
        <v>#DIV/0!</v>
      </c>
      <c r="AL251" s="22" t="n"/>
      <c r="AM251" s="43" t="e">
        <f>AM246/AM247</f>
        <v>#DIV/0!</v>
      </c>
      <c r="AN251" s="43" t="e">
        <f>AN246/AN247</f>
        <v>#DIV/0!</v>
      </c>
      <c r="AO251" s="43" t="e">
        <f>AO246/AO247</f>
        <v>#DIV/0!</v>
      </c>
      <c r="AP251" s="43" t="e">
        <f>AP246/AP247</f>
        <v>#DIV/0!</v>
      </c>
      <c r="AQ251" s="22" t="n"/>
      <c r="AR251" s="43" t="e">
        <f>AR246/AR247</f>
        <v>#DIV/0!</v>
      </c>
      <c r="AS251" s="43" t="e">
        <f>AS246/AS247</f>
        <v>#DIV/0!</v>
      </c>
      <c r="AT251" s="43" t="e">
        <f>AT246/AT247</f>
        <v>#DIV/0!</v>
      </c>
      <c r="AU251" s="43" t="e">
        <f>AU246/AU247</f>
        <v>#DIV/0!</v>
      </c>
      <c r="AV251" s="22" t="n"/>
      <c r="AW251" s="43" t="e">
        <f>AW246/AW247</f>
        <v>#DIV/0!</v>
      </c>
      <c r="AX251" s="43" t="e">
        <f>AX246/AX247</f>
        <v>#DIV/0!</v>
      </c>
      <c r="AY251" s="43" t="e">
        <f>AY246/AY247</f>
        <v>#DIV/0!</v>
      </c>
      <c r="AZ251" s="43" t="e">
        <f>AZ246/AZ247</f>
        <v>#DIV/0!</v>
      </c>
      <c r="BA251" s="22" t="n"/>
      <c r="BB251" s="43" t="e">
        <f>BB246/BB247</f>
        <v>#DIV/0!</v>
      </c>
      <c r="BC251" s="43" t="e">
        <f>BC246/BC247</f>
        <v>#DIV/0!</v>
      </c>
      <c r="BD251" s="43" t="e">
        <f>BD246/BD247</f>
        <v>#DIV/0!</v>
      </c>
      <c r="BE251" s="43" t="e">
        <f>BE246/BE247</f>
        <v>#DIV/0!</v>
      </c>
      <c r="BF251" s="22" t="n"/>
      <c r="BG251" s="43" t="e">
        <f>BG246/BG247</f>
        <v>#DIV/0!</v>
      </c>
      <c r="BH251" s="43" t="e">
        <f>BH246/BH247</f>
        <v>#DIV/0!</v>
      </c>
      <c r="BI251" s="43" t="e">
        <f>BI246/BI247</f>
        <v>#DIV/0!</v>
      </c>
      <c r="BJ251" s="43" t="e">
        <f>BJ246/BJ247</f>
        <v>#DIV/0!</v>
      </c>
      <c r="BK251" s="22" t="n"/>
      <c r="BL251" s="43" t="e">
        <f>BL246/BL247</f>
        <v>#DIV/0!</v>
      </c>
      <c r="BM251" s="43" t="e">
        <f>BM246/BM247</f>
        <v>#DIV/0!</v>
      </c>
      <c r="BN251" s="43" t="e">
        <f>BN246/BN247</f>
        <v>#DIV/0!</v>
      </c>
      <c r="BO251" s="43" t="e">
        <f>BO246/BO247</f>
        <v>#DIV/0!</v>
      </c>
      <c r="BP251" s="22" t="n"/>
      <c r="BQ251" s="43" t="e">
        <f>BQ246/BQ247</f>
        <v>#DIV/0!</v>
      </c>
      <c r="BR251" s="43" t="e">
        <f>BR246/BR247</f>
        <v>#DIV/0!</v>
      </c>
      <c r="BS251" s="43" t="e">
        <f>BS246/BS247</f>
        <v>#DIV/0!</v>
      </c>
      <c r="BT251" s="43" t="e">
        <f>BT246/BT247</f>
        <v>#DIV/0!</v>
      </c>
      <c r="BU251" s="22" t="n"/>
      <c r="BV251" s="43" t="e">
        <f>BV246/BV247</f>
        <v>#DIV/0!</v>
      </c>
      <c r="BW251" s="43" t="e">
        <f>BW246/BW247</f>
        <v>#DIV/0!</v>
      </c>
      <c r="BX251" s="43" t="e">
        <f>BX246/BX247</f>
        <v>#DIV/0!</v>
      </c>
      <c r="BY251" s="43" t="e">
        <f>BY246/BY247</f>
        <v>#DIV/0!</v>
      </c>
      <c r="BZ251" s="22" t="n"/>
      <c r="CA251" s="43" t="e">
        <f>CA246/CA247</f>
        <v>#DIV/0!</v>
      </c>
      <c r="CB251" s="43" t="e">
        <f>CB246/CB247</f>
        <v>#DIV/0!</v>
      </c>
      <c r="CC251" s="43" t="e">
        <f>CC246/CC247</f>
        <v>#DIV/0!</v>
      </c>
      <c r="CD251" s="43" t="e">
        <f>CD246/CD247</f>
        <v>#DIV/0!</v>
      </c>
      <c r="CE251" s="22" t="n"/>
      <c r="CF251" s="43" t="e">
        <f>CF246/CF247</f>
        <v>#DIV/0!</v>
      </c>
      <c r="CG251" s="43" t="e">
        <f>CG246/CG247</f>
        <v>#DIV/0!</v>
      </c>
      <c r="CH251" s="43" t="e">
        <f>CH246/CH247</f>
        <v>#DIV/0!</v>
      </c>
      <c r="CI251" s="43" t="e">
        <f>CI246/CI247</f>
        <v>#DIV/0!</v>
      </c>
      <c r="CJ251" s="22" t="n"/>
      <c r="CK251" s="43" t="e">
        <f>CK246/CK247</f>
        <v>#DIV/0!</v>
      </c>
      <c r="CL251" s="43" t="e">
        <f>CL246/CL247</f>
        <v>#DIV/0!</v>
      </c>
      <c r="CM251" s="43" t="e">
        <f>CM246/CM247</f>
        <v>#DIV/0!</v>
      </c>
      <c r="CN251" s="43" t="e">
        <f>CN246/CN247</f>
        <v>#DIV/0!</v>
      </c>
      <c r="CO251" s="22" t="n"/>
      <c r="CP251" s="43" t="e">
        <f>CP246/CP247</f>
        <v>#DIV/0!</v>
      </c>
      <c r="CQ251" s="43" t="e">
        <f>CQ246/CQ247</f>
        <v>#DIV/0!</v>
      </c>
      <c r="CR251" s="43" t="e">
        <f>CR246/CR247</f>
        <v>#DIV/0!</v>
      </c>
      <c r="CS251" s="43" t="e">
        <f>CS246/CS247</f>
        <v>#DIV/0!</v>
      </c>
      <c r="CT251" s="22" t="n"/>
      <c r="CU251" s="43" t="e">
        <f>CU246/CU247</f>
        <v>#DIV/0!</v>
      </c>
      <c r="CV251" s="43" t="e">
        <f>CV246/CV247</f>
        <v>#DIV/0!</v>
      </c>
      <c r="CW251" s="43" t="e">
        <f>CW246/CW247</f>
        <v>#DIV/0!</v>
      </c>
      <c r="CX251" s="43" t="e">
        <f>CX246/CX247</f>
        <v>#DIV/0!</v>
      </c>
      <c r="CY251" s="22" t="n"/>
    </row>
    <row r="252" hidden="1" outlineLevel="1" customFormat="1" s="39">
      <c r="A252" s="19" t="n"/>
      <c r="B252" s="19" t="n"/>
      <c r="C252" s="41" t="inlineStr">
        <is>
          <t>End of period basic shares outstanding</t>
        </is>
      </c>
      <c r="D252" s="22" t="n"/>
      <c r="E252" s="22" t="n"/>
      <c r="F252" s="22" t="n"/>
      <c r="G252" s="22" t="n"/>
      <c r="H252" s="22" t="n"/>
      <c r="I252" s="22" t="n"/>
      <c r="J252" s="22" t="n"/>
      <c r="K252" s="22" t="n"/>
      <c r="L252" s="22" t="n"/>
      <c r="M252" s="22" t="n"/>
      <c r="N252" s="22" t="n"/>
      <c r="O252" s="22" t="n"/>
      <c r="P252" s="22" t="n"/>
      <c r="Q252" s="22" t="n"/>
      <c r="R252" s="22" t="n"/>
      <c r="S252" s="22" t="n"/>
      <c r="T252" s="22" t="n"/>
      <c r="U252" s="22" t="n"/>
      <c r="V252" s="22" t="n"/>
      <c r="W252" s="22" t="n"/>
      <c r="X252" s="22" t="n"/>
      <c r="Y252" s="22" t="n"/>
      <c r="Z252" s="22" t="n"/>
      <c r="AA252" s="22" t="n"/>
      <c r="AB252" s="22" t="n"/>
      <c r="AC252" s="22" t="n"/>
      <c r="AD252" s="22" t="n"/>
      <c r="AE252" s="22" t="n"/>
      <c r="AF252" s="22" t="n"/>
      <c r="AG252" s="251" t="n"/>
      <c r="AH252" s="1">
        <f>AG252+AH251-AH250</f>
        <v>0</v>
      </c>
      <c r="AI252" s="1">
        <f>AH252+AI251-AI250</f>
        <v>0</v>
      </c>
      <c r="AJ252" s="43" t="e">
        <f>AI252+AJ251-AJ250</f>
        <v>#DIV/0!</v>
      </c>
      <c r="AK252" s="43" t="e">
        <f>AJ252+AK251-AK250</f>
        <v>#DIV/0!</v>
      </c>
      <c r="AL252" s="22" t="n"/>
      <c r="AM252" s="1" t="e">
        <f>AK252+AM251-AM250</f>
        <v>#DIV/0!</v>
      </c>
      <c r="AN252" s="1" t="e">
        <f>AM252+AN251-AN250</f>
        <v>#DIV/0!</v>
      </c>
      <c r="AO252" s="43" t="e">
        <f>AN252+AO251-AO250</f>
        <v>#DIV/0!</v>
      </c>
      <c r="AP252" s="43" t="e">
        <f>AO252+AP251-AP250</f>
        <v>#DIV/0!</v>
      </c>
      <c r="AQ252" s="22" t="n"/>
      <c r="AR252" s="1" t="e">
        <f>AP252+AR251-AR250</f>
        <v>#DIV/0!</v>
      </c>
      <c r="AS252" s="1" t="e">
        <f>AR252+AS251-AS250</f>
        <v>#DIV/0!</v>
      </c>
      <c r="AT252" s="43" t="e">
        <f>AS252+AT251-AT250</f>
        <v>#DIV/0!</v>
      </c>
      <c r="AU252" s="43" t="e">
        <f>AT252+AU251-AU250</f>
        <v>#DIV/0!</v>
      </c>
      <c r="AV252" s="22" t="n"/>
      <c r="AW252" s="1" t="e">
        <f>AU252+AW251-AW250</f>
        <v>#DIV/0!</v>
      </c>
      <c r="AX252" s="1" t="e">
        <f>AW252+AX251-AX250</f>
        <v>#DIV/0!</v>
      </c>
      <c r="AY252" s="43" t="e">
        <f>AX252+AY251-AY250</f>
        <v>#DIV/0!</v>
      </c>
      <c r="AZ252" s="43" t="e">
        <f>AY252+AZ251-AZ250</f>
        <v>#DIV/0!</v>
      </c>
      <c r="BA252" s="22" t="n"/>
      <c r="BB252" s="1" t="e">
        <f>AZ252+BB251-BB250</f>
        <v>#DIV/0!</v>
      </c>
      <c r="BC252" s="1" t="e">
        <f>BB252+BC251-BC250</f>
        <v>#DIV/0!</v>
      </c>
      <c r="BD252" s="43" t="e">
        <f>BC252+BD251-BD250</f>
        <v>#DIV/0!</v>
      </c>
      <c r="BE252" s="43" t="e">
        <f>BD252+BE251-BE250</f>
        <v>#DIV/0!</v>
      </c>
      <c r="BF252" s="22" t="n"/>
      <c r="BG252" s="1" t="e">
        <f>BE252+BG251-BG250</f>
        <v>#DIV/0!</v>
      </c>
      <c r="BH252" s="1" t="e">
        <f>BG252+BH251-BH250</f>
        <v>#DIV/0!</v>
      </c>
      <c r="BI252" s="43" t="e">
        <f>BH252+BI251-BI250</f>
        <v>#DIV/0!</v>
      </c>
      <c r="BJ252" s="43" t="e">
        <f>BI252+BJ251-BJ250</f>
        <v>#DIV/0!</v>
      </c>
      <c r="BK252" s="22" t="n"/>
      <c r="BL252" s="1" t="e">
        <f>BJ252+BL251-BL250</f>
        <v>#DIV/0!</v>
      </c>
      <c r="BM252" s="1" t="e">
        <f>BL252+BM251-BM250</f>
        <v>#DIV/0!</v>
      </c>
      <c r="BN252" s="43" t="e">
        <f>BM252+BN251-BN250</f>
        <v>#DIV/0!</v>
      </c>
      <c r="BO252" s="43" t="e">
        <f>BN252+BO251-BO250</f>
        <v>#DIV/0!</v>
      </c>
      <c r="BP252" s="22" t="n"/>
      <c r="BQ252" s="1" t="e">
        <f>BO252+BQ251-BQ250</f>
        <v>#DIV/0!</v>
      </c>
      <c r="BR252" s="1" t="e">
        <f>BQ252+BR251-BR250</f>
        <v>#DIV/0!</v>
      </c>
      <c r="BS252" s="43" t="e">
        <f>BR252+BS251-BS250</f>
        <v>#DIV/0!</v>
      </c>
      <c r="BT252" s="43" t="e">
        <f>BS252+BT251-BT250</f>
        <v>#DIV/0!</v>
      </c>
      <c r="BU252" s="22" t="n"/>
      <c r="BV252" s="1" t="e">
        <f>BT252+BV251-BV250</f>
        <v>#DIV/0!</v>
      </c>
      <c r="BW252" s="1" t="e">
        <f>BV252+BW251-BW250</f>
        <v>#DIV/0!</v>
      </c>
      <c r="BX252" s="43" t="e">
        <f>BW252+BX251-BX250</f>
        <v>#DIV/0!</v>
      </c>
      <c r="BY252" s="43" t="e">
        <f>BX252+BY251-BY250</f>
        <v>#DIV/0!</v>
      </c>
      <c r="BZ252" s="22" t="n"/>
      <c r="CA252" s="1" t="e">
        <f>BY252+CA251-CA250</f>
        <v>#DIV/0!</v>
      </c>
      <c r="CB252" s="1" t="e">
        <f>CA252+CB251-CB250</f>
        <v>#DIV/0!</v>
      </c>
      <c r="CC252" s="43" t="e">
        <f>CB252+CC251-CC250</f>
        <v>#DIV/0!</v>
      </c>
      <c r="CD252" s="43" t="e">
        <f>CC252+CD251-CD250</f>
        <v>#DIV/0!</v>
      </c>
      <c r="CE252" s="22" t="n"/>
      <c r="CF252" s="1" t="e">
        <f>CD252+CF251-CF250</f>
        <v>#DIV/0!</v>
      </c>
      <c r="CG252" s="1" t="e">
        <f>CF252+CG251-CG250</f>
        <v>#DIV/0!</v>
      </c>
      <c r="CH252" s="43" t="e">
        <f>CG252+CH251-CH250</f>
        <v>#DIV/0!</v>
      </c>
      <c r="CI252" s="43" t="e">
        <f>CH252+CI251-CI250</f>
        <v>#DIV/0!</v>
      </c>
      <c r="CJ252" s="22" t="n"/>
      <c r="CK252" s="1" t="e">
        <f>CI252+CK251-CK250</f>
        <v>#DIV/0!</v>
      </c>
      <c r="CL252" s="1" t="e">
        <f>CK252+CL251-CL250</f>
        <v>#DIV/0!</v>
      </c>
      <c r="CM252" s="43" t="e">
        <f>CL252+CM251-CM250</f>
        <v>#DIV/0!</v>
      </c>
      <c r="CN252" s="43" t="e">
        <f>CM252+CN251-CN250</f>
        <v>#DIV/0!</v>
      </c>
      <c r="CO252" s="22" t="n"/>
      <c r="CP252" s="1" t="e">
        <f>CN252+CP251-CP250</f>
        <v>#DIV/0!</v>
      </c>
      <c r="CQ252" s="1" t="e">
        <f>CP252+CQ251-CQ250</f>
        <v>#DIV/0!</v>
      </c>
      <c r="CR252" s="43" t="e">
        <f>CQ252+CR251-CR250</f>
        <v>#DIV/0!</v>
      </c>
      <c r="CS252" s="43" t="e">
        <f>CR252+CS251-CS250</f>
        <v>#DIV/0!</v>
      </c>
      <c r="CT252" s="22" t="n"/>
      <c r="CU252" s="1" t="e">
        <f>CS252+CU251-CU250</f>
        <v>#DIV/0!</v>
      </c>
      <c r="CV252" s="1" t="e">
        <f>CU252+CV251-CV250</f>
        <v>#DIV/0!</v>
      </c>
      <c r="CW252" s="43" t="e">
        <f>CV252+CW251-CW250</f>
        <v>#DIV/0!</v>
      </c>
      <c r="CX252" s="43" t="e">
        <f>CW252+CX251-CX250</f>
        <v>#DIV/0!</v>
      </c>
      <c r="CY252" s="22" t="n"/>
      <c r="CZ252" t="e">
        <f>CX252+CZ251-CZ250</f>
        <v>#DIV/0!</v>
      </c>
      <c r="DA252" t="e">
        <f>CZ252+DA251-DA250</f>
        <v>#DIV/0!</v>
      </c>
      <c r="DB252" t="e">
        <f>DA252+DB251-DB250</f>
        <v>#DIV/0!</v>
      </c>
      <c r="DC252" t="e">
        <f>DB252+DC251-DC250</f>
        <v>#DIV/0!</v>
      </c>
    </row>
    <row r="253" hidden="1" outlineLevel="1" customFormat="1" s="39">
      <c r="A253" s="19" t="n"/>
      <c r="B253" s="19" t="n"/>
      <c r="C253" s="41" t="inlineStr">
        <is>
          <t>Weighted average basic shares outstanding</t>
        </is>
      </c>
      <c r="D253" s="22" t="n"/>
      <c r="E253" s="22" t="n"/>
      <c r="F253" s="22" t="n"/>
      <c r="G253" s="22" t="n"/>
      <c r="H253" s="22" t="n"/>
      <c r="I253" s="22" t="n"/>
      <c r="J253" s="22" t="n"/>
      <c r="K253" s="22" t="n"/>
      <c r="L253" s="22" t="n"/>
      <c r="M253" s="22" t="n"/>
      <c r="N253" s="22" t="n"/>
      <c r="O253" s="22" t="n"/>
      <c r="P253" s="22" t="n"/>
      <c r="Q253" s="22" t="n"/>
      <c r="R253" s="22" t="n"/>
      <c r="S253" s="22" t="n"/>
      <c r="T253" s="22" t="n"/>
      <c r="U253" s="22" t="n"/>
      <c r="V253" s="22" t="n"/>
      <c r="W253" s="22" t="n"/>
      <c r="X253" s="22" t="n"/>
      <c r="Y253" s="22" t="n"/>
      <c r="Z253" s="22" t="n"/>
      <c r="AA253" s="22" t="n"/>
      <c r="AB253" s="22" t="n"/>
      <c r="AC253" s="22" t="n"/>
      <c r="AD253" s="22" t="n"/>
      <c r="AE253" s="22" t="n"/>
      <c r="AF253" s="22" t="n"/>
      <c r="AG253" s="22" t="n"/>
      <c r="AH253" s="43">
        <f>AVERAGE(AG252,AH252)</f>
        <v>0</v>
      </c>
      <c r="AI253" s="43">
        <f>AVERAGE(AH252,AI252)</f>
        <v>0</v>
      </c>
      <c r="AJ253" s="43" t="e">
        <f>AVERAGE(AI252,AJ252)</f>
        <v>#DIV/0!</v>
      </c>
      <c r="AK253" s="43" t="e">
        <f>AVERAGE(AJ252,AK252)</f>
        <v>#DIV/0!</v>
      </c>
      <c r="AL253" s="22" t="n"/>
      <c r="AM253" s="43" t="e">
        <f>AVERAGE(AK252,AM252)</f>
        <v>#DIV/0!</v>
      </c>
      <c r="AN253" s="43" t="e">
        <f>AVERAGE(AM252,AN252)</f>
        <v>#DIV/0!</v>
      </c>
      <c r="AO253" s="43" t="e">
        <f>AVERAGE(AN252,AO252)</f>
        <v>#DIV/0!</v>
      </c>
      <c r="AP253" s="43" t="e">
        <f>AVERAGE(AO252,AP252)</f>
        <v>#DIV/0!</v>
      </c>
      <c r="AQ253" s="22" t="n"/>
      <c r="AR253" s="43" t="e">
        <f>AVERAGE(AP252,AR252)</f>
        <v>#DIV/0!</v>
      </c>
      <c r="AS253" s="43" t="e">
        <f>AVERAGE(AR252,AS252)</f>
        <v>#DIV/0!</v>
      </c>
      <c r="AT253" s="43" t="e">
        <f>AVERAGE(AS252,AT252)</f>
        <v>#DIV/0!</v>
      </c>
      <c r="AU253" s="43" t="e">
        <f>AVERAGE(AT252,AU252)</f>
        <v>#DIV/0!</v>
      </c>
      <c r="AV253" s="22" t="n"/>
      <c r="AW253" s="43" t="e">
        <f>AVERAGE(AU252,AW252)</f>
        <v>#DIV/0!</v>
      </c>
      <c r="AX253" s="43" t="e">
        <f>AVERAGE(AW252,AX252)</f>
        <v>#DIV/0!</v>
      </c>
      <c r="AY253" s="43" t="e">
        <f>AVERAGE(AX252,AY252)</f>
        <v>#DIV/0!</v>
      </c>
      <c r="AZ253" s="43" t="e">
        <f>AVERAGE(AY252,AZ252)</f>
        <v>#DIV/0!</v>
      </c>
      <c r="BA253" s="22" t="n"/>
      <c r="BB253" s="43" t="e">
        <f>AVERAGE(AZ252,BB252)</f>
        <v>#DIV/0!</v>
      </c>
      <c r="BC253" s="43" t="e">
        <f>AVERAGE(BB252,BC252)</f>
        <v>#DIV/0!</v>
      </c>
      <c r="BD253" s="43" t="e">
        <f>AVERAGE(BC252,BD252)</f>
        <v>#DIV/0!</v>
      </c>
      <c r="BE253" s="43" t="e">
        <f>AVERAGE(BD252,BE252)</f>
        <v>#DIV/0!</v>
      </c>
      <c r="BF253" s="22" t="n"/>
      <c r="BG253" s="43" t="e">
        <f>AVERAGE(BE252,BG252)</f>
        <v>#DIV/0!</v>
      </c>
      <c r="BH253" s="43" t="e">
        <f>AVERAGE(BG252,BH252)</f>
        <v>#DIV/0!</v>
      </c>
      <c r="BI253" s="43" t="e">
        <f>AVERAGE(BH252,BI252)</f>
        <v>#DIV/0!</v>
      </c>
      <c r="BJ253" s="43" t="e">
        <f>AVERAGE(BI252,BJ252)</f>
        <v>#DIV/0!</v>
      </c>
      <c r="BK253" s="22" t="n"/>
      <c r="BL253" s="43" t="e">
        <f>AVERAGE(BJ252,BL252)</f>
        <v>#DIV/0!</v>
      </c>
      <c r="BM253" s="43" t="e">
        <f>AVERAGE(BL252,BM252)</f>
        <v>#DIV/0!</v>
      </c>
      <c r="BN253" s="43" t="e">
        <f>AVERAGE(BM252,BN252)</f>
        <v>#DIV/0!</v>
      </c>
      <c r="BO253" s="43" t="e">
        <f>AVERAGE(BN252,BO252)</f>
        <v>#DIV/0!</v>
      </c>
      <c r="BP253" s="22" t="n"/>
      <c r="BQ253" s="43" t="e">
        <f>AVERAGE(BO252,BQ252)</f>
        <v>#DIV/0!</v>
      </c>
      <c r="BR253" s="43" t="e">
        <f>AVERAGE(BQ252,BR252)</f>
        <v>#DIV/0!</v>
      </c>
      <c r="BS253" s="43" t="e">
        <f>AVERAGE(BR252,BS252)</f>
        <v>#DIV/0!</v>
      </c>
      <c r="BT253" s="43" t="e">
        <f>AVERAGE(BS252,BT252)</f>
        <v>#DIV/0!</v>
      </c>
      <c r="BU253" s="22" t="n"/>
      <c r="BV253" s="43" t="e">
        <f>AVERAGE(BT252,BV252)</f>
        <v>#DIV/0!</v>
      </c>
      <c r="BW253" s="43" t="e">
        <f>AVERAGE(BV252,BW252)</f>
        <v>#DIV/0!</v>
      </c>
      <c r="BX253" s="43" t="e">
        <f>AVERAGE(BW252,BX252)</f>
        <v>#DIV/0!</v>
      </c>
      <c r="BY253" s="43" t="e">
        <f>AVERAGE(BX252,BY252)</f>
        <v>#DIV/0!</v>
      </c>
      <c r="BZ253" s="22" t="n"/>
      <c r="CA253" s="43" t="e">
        <f>AVERAGE(BY252,CA252)</f>
        <v>#DIV/0!</v>
      </c>
      <c r="CB253" s="43" t="e">
        <f>AVERAGE(CA252,CB252)</f>
        <v>#DIV/0!</v>
      </c>
      <c r="CC253" s="43" t="e">
        <f>AVERAGE(CB252,CC252)</f>
        <v>#DIV/0!</v>
      </c>
      <c r="CD253" s="43" t="e">
        <f>AVERAGE(CC252,CD252)</f>
        <v>#DIV/0!</v>
      </c>
      <c r="CE253" s="22" t="n"/>
      <c r="CF253" s="43" t="e">
        <f>AVERAGE(CD252,CF252)</f>
        <v>#DIV/0!</v>
      </c>
      <c r="CG253" s="43" t="e">
        <f>AVERAGE(CF252,CG252)</f>
        <v>#DIV/0!</v>
      </c>
      <c r="CH253" s="43" t="e">
        <f>AVERAGE(CG252,CH252)</f>
        <v>#DIV/0!</v>
      </c>
      <c r="CI253" s="43" t="e">
        <f>AVERAGE(CH252,CI252)</f>
        <v>#DIV/0!</v>
      </c>
      <c r="CJ253" s="22" t="n"/>
      <c r="CK253" s="43" t="e">
        <f>AVERAGE(CI252,CK252)</f>
        <v>#DIV/0!</v>
      </c>
      <c r="CL253" s="43" t="e">
        <f>AVERAGE(CK252,CL252)</f>
        <v>#DIV/0!</v>
      </c>
      <c r="CM253" s="43" t="e">
        <f>AVERAGE(CL252,CM252)</f>
        <v>#DIV/0!</v>
      </c>
      <c r="CN253" s="43" t="e">
        <f>AVERAGE(CM252,CN252)</f>
        <v>#DIV/0!</v>
      </c>
      <c r="CO253" s="22" t="n"/>
      <c r="CP253" s="43" t="e">
        <f>AVERAGE(CN252,CP252)</f>
        <v>#DIV/0!</v>
      </c>
      <c r="CQ253" s="43" t="e">
        <f>AVERAGE(CP252,CQ252)</f>
        <v>#DIV/0!</v>
      </c>
      <c r="CR253" s="43" t="e">
        <f>AVERAGE(CQ252,CR252)</f>
        <v>#DIV/0!</v>
      </c>
      <c r="CS253" s="43" t="e">
        <f>AVERAGE(CR252,CS252)</f>
        <v>#DIV/0!</v>
      </c>
      <c r="CT253" s="22" t="n"/>
      <c r="CU253" s="43" t="e">
        <f>AVERAGE(CS252,CU252)</f>
        <v>#DIV/0!</v>
      </c>
      <c r="CV253" s="43" t="e">
        <f>AVERAGE(CU252,CV252)</f>
        <v>#DIV/0!</v>
      </c>
      <c r="CW253" s="43" t="e">
        <f>AVERAGE(CV252,CW252)</f>
        <v>#DIV/0!</v>
      </c>
      <c r="CX253" s="43" t="e">
        <f>AVERAGE(CW252,CX252)</f>
        <v>#DIV/0!</v>
      </c>
      <c r="CY253" s="22" t="n"/>
      <c r="CZ253" t="e">
        <f>AVERAGE(CX252,CZ252)</f>
        <v>#DIV/0!</v>
      </c>
      <c r="DA253" t="e">
        <f>AVERAGE(CZ252,DA252)</f>
        <v>#DIV/0!</v>
      </c>
      <c r="DB253" t="e">
        <f>AVERAGE(DA252,DB252)</f>
        <v>#DIV/0!</v>
      </c>
      <c r="DC253" t="e">
        <f>AVERAGE(DB252,DC252)</f>
        <v>#DIV/0!</v>
      </c>
    </row>
    <row r="254" hidden="1" outlineLevel="1" customFormat="1" s="39">
      <c r="A254" s="19" t="n"/>
      <c r="B254" s="19" t="n"/>
      <c r="C254" s="41" t="n"/>
      <c r="D254" s="22" t="n"/>
      <c r="E254" s="22" t="n"/>
      <c r="F254" s="22" t="n"/>
      <c r="G254" s="22" t="n"/>
      <c r="H254" s="3" t="n"/>
      <c r="I254" s="22" t="n"/>
      <c r="J254" s="22" t="n"/>
      <c r="K254" s="22" t="n"/>
      <c r="L254" s="22" t="n"/>
      <c r="M254" s="3" t="n"/>
      <c r="N254" s="22" t="n"/>
      <c r="O254" s="22" t="n"/>
      <c r="P254" s="22" t="n"/>
      <c r="Q254" s="22" t="n"/>
      <c r="R254" s="3" t="n"/>
      <c r="S254" s="22" t="n"/>
      <c r="T254" s="22" t="n"/>
      <c r="U254" s="22" t="n"/>
      <c r="V254" s="22" t="n"/>
      <c r="W254" s="3" t="n"/>
      <c r="X254" s="22" t="n"/>
      <c r="Y254" s="22" t="n"/>
      <c r="Z254" s="22" t="n"/>
      <c r="AA254" s="22" t="n"/>
      <c r="AB254" s="3" t="n"/>
      <c r="AC254" s="22" t="n"/>
      <c r="AD254" s="22" t="n"/>
      <c r="AE254" s="22" t="n"/>
      <c r="AF254" s="22" t="n"/>
      <c r="AG254" s="3" t="n"/>
      <c r="AH254" s="22" t="n"/>
      <c r="AI254" s="22" t="n"/>
      <c r="AJ254" s="22" t="n"/>
      <c r="AK254" s="22" t="n"/>
      <c r="AL254" s="3" t="n"/>
      <c r="AM254" s="22" t="n"/>
      <c r="AN254" s="22" t="n"/>
      <c r="AO254" s="22" t="n"/>
      <c r="AP254" s="22" t="n"/>
      <c r="AQ254" s="3" t="n"/>
      <c r="AR254" s="22" t="n"/>
      <c r="AS254" s="22" t="n"/>
      <c r="AT254" s="22" t="n"/>
      <c r="AU254" s="22" t="n"/>
      <c r="AV254" s="3" t="n"/>
      <c r="AW254" s="22" t="n"/>
      <c r="AX254" s="22" t="n"/>
      <c r="AY254" s="22" t="n"/>
      <c r="AZ254" s="22" t="n"/>
      <c r="BA254" s="3" t="n"/>
      <c r="BB254" s="22" t="n"/>
      <c r="BC254" s="22" t="n"/>
      <c r="BD254" s="22" t="n"/>
      <c r="BE254" s="22" t="n"/>
      <c r="BF254" s="3" t="n"/>
      <c r="BG254" s="22" t="n"/>
      <c r="BH254" s="22" t="n"/>
      <c r="BI254" s="22" t="n"/>
      <c r="BJ254" s="22" t="n"/>
      <c r="BK254" s="3" t="n"/>
      <c r="BL254" s="22" t="n"/>
      <c r="BM254" s="22" t="n"/>
      <c r="BN254" s="22" t="n"/>
      <c r="BO254" s="22" t="n"/>
      <c r="BP254" s="3" t="n"/>
      <c r="BQ254" s="22" t="n"/>
      <c r="BR254" s="22" t="n"/>
      <c r="BS254" s="22" t="n"/>
      <c r="BT254" s="22" t="n"/>
      <c r="BU254" s="3" t="n"/>
      <c r="BV254" s="22" t="n"/>
      <c r="BW254" s="22" t="n"/>
      <c r="BX254" s="22" t="n"/>
      <c r="BY254" s="22" t="n"/>
      <c r="BZ254" s="3" t="n"/>
      <c r="CA254" s="22" t="n"/>
      <c r="CB254" s="22" t="n"/>
      <c r="CC254" s="22" t="n"/>
      <c r="CD254" s="22" t="n"/>
      <c r="CE254" s="3" t="n"/>
      <c r="CF254" s="22" t="n"/>
      <c r="CG254" s="22" t="n"/>
      <c r="CH254" s="22" t="n"/>
      <c r="CI254" s="22" t="n"/>
      <c r="CJ254" s="3" t="n"/>
      <c r="CK254" s="22" t="n"/>
      <c r="CL254" s="22" t="n"/>
      <c r="CM254" s="22" t="n"/>
      <c r="CN254" s="22" t="n"/>
      <c r="CO254" s="3" t="n"/>
      <c r="CP254" s="22" t="n"/>
      <c r="CQ254" s="22" t="n"/>
      <c r="CR254" s="22" t="n"/>
      <c r="CS254" s="22" t="n"/>
      <c r="CT254" s="3" t="n"/>
      <c r="CU254" s="22" t="n"/>
      <c r="CV254" s="22" t="n"/>
      <c r="CW254" s="22" t="n"/>
      <c r="CX254" s="22" t="n"/>
      <c r="CY254" s="3" t="n"/>
    </row>
    <row r="255" collapsed="1">
      <c r="C255" s="26" t="inlineStr">
        <is>
          <t>Treasury stock (contra account)</t>
        </is>
      </c>
      <c r="D255" s="25">
        <f>INDEX('Inputs (2)'!$D$44:$AL$44,MATCH(D$7,'Inputs (2)'!$D$2:$AL$2,0))</f>
        <v>0</v>
      </c>
      <c r="E255" s="25">
        <f>INDEX('Inputs (2)'!$D$44:$AL$44,MATCH(E$7,'Inputs (2)'!$D$2:$AL$2,0))</f>
        <v>0</v>
      </c>
      <c r="F255" s="25">
        <f>INDEX('Inputs (2)'!$D$44:$AL$44,MATCH(F$7,'Inputs (2)'!$D$2:$AL$2,0))</f>
        <v>0</v>
      </c>
      <c r="G255" s="25">
        <f>INDEX('Inputs (2)'!$D$44:$AL$44,MATCH(G$7,'Inputs (2)'!$D$2:$AL$2,0))</f>
        <v>0</v>
      </c>
      <c r="H255" s="3">
        <f>G255</f>
        <v>0</v>
      </c>
      <c r="I255" s="25">
        <f>INDEX('Inputs (2)'!$D$44:$AL$44,MATCH(I$7,'Inputs (2)'!$D$2:$AL$2,0))</f>
        <v>0</v>
      </c>
      <c r="J255" s="25">
        <f>INDEX('Inputs (2)'!$D$44:$AL$44,MATCH(J$7,'Inputs (2)'!$D$2:$AL$2,0))</f>
        <v>0</v>
      </c>
      <c r="K255" s="25">
        <f>INDEX('Inputs (2)'!$D$44:$AL$44,MATCH(K$7,'Inputs (2)'!$D$2:$AL$2,0))</f>
        <v>0</v>
      </c>
      <c r="L255" s="25">
        <f>INDEX('Inputs (2)'!$D$44:$AL$44,MATCH(L$7,'Inputs (2)'!$D$2:$AL$2,0))</f>
        <v>0</v>
      </c>
      <c r="M255" s="3">
        <f>L255</f>
        <v>0</v>
      </c>
      <c r="N255" s="25">
        <f>INDEX('Inputs (2)'!$D$44:$AL$44,MATCH(N$7,'Inputs (2)'!$D$2:$AL$2,0))</f>
        <v>0</v>
      </c>
      <c r="O255" s="25">
        <f>INDEX('Inputs (2)'!$D$44:$AL$44,MATCH(O$7,'Inputs (2)'!$D$2:$AL$2,0))</f>
        <v>0</v>
      </c>
      <c r="P255" s="25">
        <f>INDEX('Inputs (2)'!$D$44:$AL$44,MATCH(P$7,'Inputs (2)'!$D$2:$AL$2,0))</f>
        <v>0</v>
      </c>
      <c r="Q255" s="25">
        <f>INDEX('Inputs (2)'!$D$44:$AL$44,MATCH(Q$7,'Inputs (2)'!$D$2:$AL$2,0))</f>
        <v>0</v>
      </c>
      <c r="R255" s="3">
        <f>Q255</f>
        <v>0</v>
      </c>
      <c r="S255" s="25">
        <f>INDEX('Inputs (2)'!$D$44:$AL$44,MATCH(S$7,'Inputs (2)'!$D$2:$AL$2,0))</f>
        <v>0</v>
      </c>
      <c r="T255" s="25">
        <f>INDEX('Inputs (2)'!$D$44:$AL$44,MATCH(T$7,'Inputs (2)'!$D$2:$AL$2,0))</f>
        <v>0</v>
      </c>
      <c r="U255" s="25">
        <f>INDEX('Inputs (2)'!$D$44:$AL$44,MATCH(U$7,'Inputs (2)'!$D$2:$AL$2,0))</f>
        <v>0</v>
      </c>
      <c r="V255" s="25">
        <f>INDEX('Inputs (2)'!$D$44:$AL$44,MATCH(V$7,'Inputs (2)'!$D$2:$AL$2,0))</f>
        <v>0</v>
      </c>
      <c r="W255" s="3">
        <f>V255</f>
        <v>0</v>
      </c>
      <c r="X255" s="25">
        <f>INDEX('Inputs (2)'!$D$44:$AL$44,MATCH(X$7,'Inputs (2)'!$D$2:$AL$2,0))</f>
        <v>0</v>
      </c>
      <c r="Y255" s="25">
        <f>INDEX('Inputs (2)'!$D$44:$AL$44,MATCH(Y$7,'Inputs (2)'!$D$2:$AL$2,0))</f>
        <v>0</v>
      </c>
      <c r="Z255" s="25">
        <f>INDEX('Inputs (2)'!$D$44:$AL$44,MATCH(Z$7,'Inputs (2)'!$D$2:$AL$2,0))</f>
        <v>0</v>
      </c>
      <c r="AA255" s="25">
        <f>INDEX('Inputs (2)'!$D$44:$AL$44,MATCH(AA$7,'Inputs (2)'!$D$2:$AL$2,0))</f>
        <v>0</v>
      </c>
      <c r="AB255" s="3">
        <f>AA255</f>
        <v>0</v>
      </c>
      <c r="AC255" s="25">
        <f>INDEX('Inputs (2)'!$D$44:$AL$44,MATCH(AC$7,'Inputs (2)'!$D$2:$AL$2,0))</f>
        <v>0</v>
      </c>
      <c r="AD255" s="25">
        <f>INDEX('Inputs (2)'!$D$44:$AL$44,MATCH(AD$7,'Inputs (2)'!$D$2:$AL$2,0))</f>
        <v>0</v>
      </c>
      <c r="AE255" s="25">
        <f>INDEX('Inputs (2)'!$D$44:$AL$44,MATCH(AE$7,'Inputs (2)'!$D$2:$AL$2,0))</f>
        <v>0</v>
      </c>
      <c r="AF255" s="25">
        <f>INDEX('Inputs (2)'!$D$44:$AL$44,MATCH(AF$7,'Inputs (2)'!$D$2:$AL$2,0))</f>
        <v>0</v>
      </c>
      <c r="AG255" s="3">
        <f>AF255</f>
        <v>0</v>
      </c>
      <c r="AH255" s="3">
        <f>INDEX('Inputs (2)'!$D$44:$AL$44,MATCH(AH$7,'Inputs (2)'!$D$2:$AL$2,0))</f>
        <v>0</v>
      </c>
      <c r="AI255" s="3">
        <f>INDEX('Inputs (2)'!$D$44:$AL$44,MATCH(AI$7,'Inputs (2)'!$D$2:$AL$2,0))</f>
        <v>0</v>
      </c>
      <c r="AJ255" s="3">
        <f>AI255+AJ245</f>
        <v>0</v>
      </c>
      <c r="AK255" s="3">
        <f>AJ255+AK245</f>
        <v>0</v>
      </c>
      <c r="AL255" s="3">
        <f>AK255</f>
        <v>0</v>
      </c>
      <c r="AM255" s="3">
        <f>AL255+AM245</f>
        <v>0</v>
      </c>
      <c r="AN255" s="3">
        <f>AM255+AN245</f>
        <v>0</v>
      </c>
      <c r="AO255" s="3">
        <f>AN255+AO245</f>
        <v>0</v>
      </c>
      <c r="AP255" s="3">
        <f>AO255+AP245</f>
        <v>0</v>
      </c>
      <c r="AQ255" s="3">
        <f>AP255</f>
        <v>0</v>
      </c>
      <c r="AR255" s="3">
        <f>AQ255+AR245</f>
        <v>0</v>
      </c>
      <c r="AS255" s="3">
        <f>AR255+AS245</f>
        <v>0</v>
      </c>
      <c r="AT255" s="3">
        <f>AS255+AT245</f>
        <v>0</v>
      </c>
      <c r="AU255" s="3">
        <f>AT255+AU245</f>
        <v>0</v>
      </c>
      <c r="AV255" s="3">
        <f>AU255</f>
        <v>0</v>
      </c>
      <c r="AW255" s="3">
        <f>AV255+AW245</f>
        <v>0</v>
      </c>
      <c r="AX255" s="3">
        <f>AW255+AX245</f>
        <v>0</v>
      </c>
      <c r="AY255" s="3">
        <f>AX255+AY245</f>
        <v>0</v>
      </c>
      <c r="AZ255" s="3">
        <f>AY255+AZ245</f>
        <v>0</v>
      </c>
      <c r="BA255" s="3">
        <f>AZ255</f>
        <v>0</v>
      </c>
      <c r="BB255" s="3">
        <f>BA255+BB245</f>
        <v>0</v>
      </c>
      <c r="BC255" s="3">
        <f>BB255+BC245</f>
        <v>0</v>
      </c>
      <c r="BD255" s="3">
        <f>BC255+BD245</f>
        <v>0</v>
      </c>
      <c r="BE255" s="3">
        <f>BD255+BE245</f>
        <v>0</v>
      </c>
      <c r="BF255" s="3">
        <f>BE255</f>
        <v>0</v>
      </c>
      <c r="BG255" s="3">
        <f>BF255+BG245</f>
        <v>0</v>
      </c>
      <c r="BH255" s="3">
        <f>BG255+BH245</f>
        <v>0</v>
      </c>
      <c r="BI255" s="3">
        <f>BH255+BI245</f>
        <v>0</v>
      </c>
      <c r="BJ255" s="3">
        <f>BI255+BJ245</f>
        <v>0</v>
      </c>
      <c r="BK255" s="3">
        <f>BJ255</f>
        <v>0</v>
      </c>
      <c r="BL255" s="3">
        <f>BK255+BL245</f>
        <v>0</v>
      </c>
      <c r="BM255" s="3">
        <f>BL255+BM245</f>
        <v>0</v>
      </c>
      <c r="BN255" s="3">
        <f>BM255+BN245</f>
        <v>0</v>
      </c>
      <c r="BO255" s="3">
        <f>BN255+BO245</f>
        <v>0</v>
      </c>
      <c r="BP255" s="3">
        <f>BO255</f>
        <v>0</v>
      </c>
      <c r="BQ255" s="3">
        <f>BP255+BQ245</f>
        <v>0</v>
      </c>
      <c r="BR255" s="3">
        <f>BQ255+BR245</f>
        <v>0</v>
      </c>
      <c r="BS255" s="3">
        <f>BR255+BS245</f>
        <v>0</v>
      </c>
      <c r="BT255" s="3">
        <f>BS255+BT245</f>
        <v>0</v>
      </c>
      <c r="BU255" s="3">
        <f>BT255</f>
        <v>0</v>
      </c>
      <c r="BV255" s="3">
        <f>BU255+BV245</f>
        <v>0</v>
      </c>
      <c r="BW255" s="3">
        <f>BV255+BW245</f>
        <v>0</v>
      </c>
      <c r="BX255" s="3">
        <f>BW255+BX245</f>
        <v>0</v>
      </c>
      <c r="BY255" s="3">
        <f>BX255+BY245</f>
        <v>0</v>
      </c>
      <c r="BZ255" s="3">
        <f>BY255</f>
        <v>0</v>
      </c>
      <c r="CA255" s="3">
        <f>BZ255+CA245</f>
        <v>0</v>
      </c>
      <c r="CB255" s="3">
        <f>CA255+CB245</f>
        <v>0</v>
      </c>
      <c r="CC255" s="3">
        <f>CB255+CC245</f>
        <v>0</v>
      </c>
      <c r="CD255" s="3">
        <f>CC255+CD245</f>
        <v>0</v>
      </c>
      <c r="CE255" s="3">
        <f>CD255</f>
        <v>0</v>
      </c>
      <c r="CF255" s="3">
        <f>CE255+CF245</f>
        <v>0</v>
      </c>
      <c r="CG255" s="3">
        <f>CF255+CG245</f>
        <v>0</v>
      </c>
      <c r="CH255" s="3">
        <f>CG255+CH245</f>
        <v>0</v>
      </c>
      <c r="CI255" s="3">
        <f>CH255+CI245</f>
        <v>0</v>
      </c>
      <c r="CJ255" s="3">
        <f>CI255</f>
        <v>0</v>
      </c>
      <c r="CK255" s="3">
        <f>CJ255+CK245</f>
        <v>0</v>
      </c>
      <c r="CL255" s="3">
        <f>CK255+CL245</f>
        <v>0</v>
      </c>
      <c r="CM255" s="3">
        <f>CL255+CM245</f>
        <v>0</v>
      </c>
      <c r="CN255" s="3">
        <f>CM255+CN245</f>
        <v>0</v>
      </c>
      <c r="CO255" s="3">
        <f>CN255</f>
        <v>0</v>
      </c>
      <c r="CP255" s="3">
        <f>CO255+CP245</f>
        <v>0</v>
      </c>
      <c r="CQ255" s="3">
        <f>CP255+CQ245</f>
        <v>0</v>
      </c>
      <c r="CR255" s="3">
        <f>CQ255+CR245</f>
        <v>0</v>
      </c>
      <c r="CS255" s="3">
        <f>CR255+CS245</f>
        <v>0</v>
      </c>
      <c r="CT255" s="3">
        <f>CS255</f>
        <v>0</v>
      </c>
      <c r="CU255" s="3">
        <f>CT255+CU245</f>
        <v>0</v>
      </c>
      <c r="CV255" s="3">
        <f>CU255+CV245</f>
        <v>0</v>
      </c>
      <c r="CW255" s="3">
        <f>CV255+CW245</f>
        <v>0</v>
      </c>
      <c r="CX255" s="3">
        <f>CW255+CX245</f>
        <v>0</v>
      </c>
      <c r="CY255" s="3">
        <f>CX255</f>
        <v>0</v>
      </c>
    </row>
    <row r="256">
      <c r="C256" s="26" t="inlineStr">
        <is>
          <t>Comprehensive (accumulated) loss</t>
        </is>
      </c>
      <c r="D256" s="25">
        <f>INDEX('Inputs (2)'!$D$45:$AL$45,MATCH(D$7,'Inputs (2)'!$D$2:$AL$2,0))</f>
        <v>-131</v>
      </c>
      <c r="E256" s="25">
        <f>INDEX('Inputs (2)'!$D$45:$AL$45,MATCH(E$7,'Inputs (2)'!$D$2:$AL$2,0))</f>
        <v>-131</v>
      </c>
      <c r="F256" s="25">
        <f>INDEX('Inputs (2)'!$D$45:$AL$45,MATCH(F$7,'Inputs (2)'!$D$2:$AL$2,0))</f>
        <v>-108</v>
      </c>
      <c r="G256" s="25">
        <f>INDEX('Inputs (2)'!$D$45:$AL$45,MATCH(G$7,'Inputs (2)'!$D$2:$AL$2,0))</f>
        <v>-107</v>
      </c>
      <c r="H256" s="3">
        <f>G256</f>
        <v>-107</v>
      </c>
      <c r="I256" s="25">
        <f>INDEX('Inputs (2)'!$D$45:$AL$45,MATCH(I$7,'Inputs (2)'!$D$2:$AL$2,0))</f>
        <v>-106</v>
      </c>
      <c r="J256" s="25">
        <f>INDEX('Inputs (2)'!$D$45:$AL$45,MATCH(J$7,'Inputs (2)'!$D$2:$AL$2,0))</f>
        <v>-106</v>
      </c>
      <c r="K256" s="25">
        <f>INDEX('Inputs (2)'!$D$45:$AL$45,MATCH(K$7,'Inputs (2)'!$D$2:$AL$2,0))</f>
        <v>-116</v>
      </c>
      <c r="L256" s="25">
        <f>INDEX('Inputs (2)'!$D$45:$AL$45,MATCH(L$7,'Inputs (2)'!$D$2:$AL$2,0))</f>
        <v>-115</v>
      </c>
      <c r="M256" s="3">
        <f>L256</f>
        <v>-115</v>
      </c>
      <c r="N256" s="25">
        <f>INDEX('Inputs (2)'!$D$45:$AL$45,MATCH(N$7,'Inputs (2)'!$D$2:$AL$2,0))</f>
        <v>-115</v>
      </c>
      <c r="O256" s="25">
        <f>INDEX('Inputs (2)'!$D$45:$AL$45,MATCH(O$7,'Inputs (2)'!$D$2:$AL$2,0))</f>
        <v>-114</v>
      </c>
      <c r="P256" s="25">
        <f>INDEX('Inputs (2)'!$D$45:$AL$45,MATCH(P$7,'Inputs (2)'!$D$2:$AL$2,0))</f>
        <v>-54</v>
      </c>
      <c r="Q256" s="25">
        <f>INDEX('Inputs (2)'!$D$45:$AL$45,MATCH(Q$7,'Inputs (2)'!$D$2:$AL$2,0))</f>
        <v>-180</v>
      </c>
      <c r="R256" s="3">
        <f>Q256</f>
        <v>-180</v>
      </c>
      <c r="S256" s="25">
        <f>INDEX('Inputs (2)'!$D$45:$AL$45,MATCH(S$7,'Inputs (2)'!$D$2:$AL$2,0))</f>
        <v>-182</v>
      </c>
      <c r="T256" s="25">
        <f>INDEX('Inputs (2)'!$D$45:$AL$45,MATCH(T$7,'Inputs (2)'!$D$2:$AL$2,0))</f>
        <v>46</v>
      </c>
      <c r="U256" s="25">
        <f>INDEX('Inputs (2)'!$D$45:$AL$45,MATCH(U$7,'Inputs (2)'!$D$2:$AL$2,0))</f>
        <v>207</v>
      </c>
      <c r="V256" s="25">
        <f>INDEX('Inputs (2)'!$D$45:$AL$45,MATCH(V$7,'Inputs (2)'!$D$2:$AL$2,0))</f>
        <v>207</v>
      </c>
      <c r="W256" s="3">
        <f>V256</f>
        <v>207</v>
      </c>
      <c r="X256" s="25">
        <f>INDEX('Inputs (2)'!$D$45:$AL$45,MATCH(X$7,'Inputs (2)'!$D$2:$AL$2,0))</f>
        <v>207</v>
      </c>
      <c r="Y256" s="25">
        <f>INDEX('Inputs (2)'!$D$45:$AL$45,MATCH(Y$7,'Inputs (2)'!$D$2:$AL$2,0))</f>
        <v>208</v>
      </c>
      <c r="Z256" s="25">
        <f>INDEX('Inputs (2)'!$D$45:$AL$45,MATCH(Z$7,'Inputs (2)'!$D$2:$AL$2,0))</f>
        <v>207</v>
      </c>
      <c r="AA256" s="25">
        <f>INDEX('Inputs (2)'!$D$45:$AL$45,MATCH(AA$7,'Inputs (2)'!$D$2:$AL$2,0))</f>
        <v>207</v>
      </c>
      <c r="AB256" s="3">
        <f>AA256</f>
        <v>207</v>
      </c>
      <c r="AC256" s="25">
        <f>INDEX('Inputs (2)'!$D$45:$AL$45,MATCH(AC$7,'Inputs (2)'!$D$2:$AL$2,0))</f>
        <v>206</v>
      </c>
      <c r="AD256" s="25">
        <f>INDEX('Inputs (2)'!$D$45:$AL$45,MATCH(AD$7,'Inputs (2)'!$D$2:$AL$2,0))</f>
        <v>221</v>
      </c>
      <c r="AE256" s="25">
        <f>INDEX('Inputs (2)'!$D$45:$AL$45,MATCH(AE$7,'Inputs (2)'!$D$2:$AL$2,0))</f>
        <v>218</v>
      </c>
      <c r="AF256" s="25">
        <f>INDEX('Inputs (2)'!$D$45:$AL$45,MATCH(AF$7,'Inputs (2)'!$D$2:$AL$2,0))</f>
        <v>212</v>
      </c>
      <c r="AG256" s="3">
        <f>AF256</f>
        <v>212</v>
      </c>
      <c r="AH256" s="3">
        <f>INDEX('Inputs (2)'!$D$45:$AL$45,MATCH(AH$7,'Inputs (2)'!$D$2:$AL$2,0))</f>
        <v>208</v>
      </c>
      <c r="AI256" s="3">
        <f>INDEX('Inputs (2)'!$D$45:$AL$45,MATCH(AI$7,'Inputs (2)'!$D$2:$AL$2,0))</f>
        <v>204</v>
      </c>
      <c r="AJ256" s="3">
        <f>AI256</f>
        <v>204</v>
      </c>
      <c r="AK256" s="3">
        <f>AJ256</f>
        <v>204</v>
      </c>
      <c r="AL256" s="3">
        <f>AK256</f>
        <v>204</v>
      </c>
      <c r="AM256" s="3">
        <f>AL256</f>
        <v>204</v>
      </c>
      <c r="AN256" s="3">
        <f>AM256</f>
        <v>204</v>
      </c>
      <c r="AO256" s="3">
        <f>AN256</f>
        <v>204</v>
      </c>
      <c r="AP256" s="3">
        <f>AO256</f>
        <v>204</v>
      </c>
      <c r="AQ256" s="3">
        <f>AP256</f>
        <v>204</v>
      </c>
      <c r="AR256" s="3">
        <f>AQ256</f>
        <v>204</v>
      </c>
      <c r="AS256" s="3">
        <f>AR256</f>
        <v>204</v>
      </c>
      <c r="AT256" s="3">
        <f>AS256</f>
        <v>204</v>
      </c>
      <c r="AU256" s="3">
        <f>AT256</f>
        <v>204</v>
      </c>
      <c r="AV256" s="3">
        <f>AU256</f>
        <v>204</v>
      </c>
      <c r="AW256" s="3">
        <f>AV256</f>
        <v>204</v>
      </c>
      <c r="AX256" s="3">
        <f>AW256</f>
        <v>204</v>
      </c>
      <c r="AY256" s="3">
        <f>AX256</f>
        <v>204</v>
      </c>
      <c r="AZ256" s="3">
        <f>AY256</f>
        <v>204</v>
      </c>
      <c r="BA256" s="3">
        <f>AZ256</f>
        <v>204</v>
      </c>
      <c r="BB256" s="3">
        <f>BA256</f>
        <v>204</v>
      </c>
      <c r="BC256" s="3">
        <f>BB256</f>
        <v>204</v>
      </c>
      <c r="BD256" s="3">
        <f>BC256</f>
        <v>204</v>
      </c>
      <c r="BE256" s="3">
        <f>BD256</f>
        <v>204</v>
      </c>
      <c r="BF256" s="3">
        <f>BE256</f>
        <v>204</v>
      </c>
      <c r="BG256" s="3">
        <f>BF256</f>
        <v>204</v>
      </c>
      <c r="BH256" s="3">
        <f>BG256</f>
        <v>204</v>
      </c>
      <c r="BI256" s="3">
        <f>BH256</f>
        <v>204</v>
      </c>
      <c r="BJ256" s="3">
        <f>BI256</f>
        <v>204</v>
      </c>
      <c r="BK256" s="3">
        <f>BJ256</f>
        <v>204</v>
      </c>
      <c r="BL256" s="3">
        <f>BK256</f>
        <v>204</v>
      </c>
      <c r="BM256" s="3">
        <f>BL256</f>
        <v>204</v>
      </c>
      <c r="BN256" s="3">
        <f>BM256</f>
        <v>204</v>
      </c>
      <c r="BO256" s="3">
        <f>BN256</f>
        <v>204</v>
      </c>
      <c r="BP256" s="3">
        <f>BO256</f>
        <v>204</v>
      </c>
      <c r="BQ256" s="3">
        <f>BP256</f>
        <v>204</v>
      </c>
      <c r="BR256" s="3">
        <f>BQ256</f>
        <v>204</v>
      </c>
      <c r="BS256" s="3">
        <f>BR256</f>
        <v>204</v>
      </c>
      <c r="BT256" s="3">
        <f>BS256</f>
        <v>204</v>
      </c>
      <c r="BU256" s="3">
        <f>BT256</f>
        <v>204</v>
      </c>
      <c r="BV256" s="3">
        <f>BU256</f>
        <v>204</v>
      </c>
      <c r="BW256" s="3">
        <f>BV256</f>
        <v>204</v>
      </c>
      <c r="BX256" s="3">
        <f>BW256</f>
        <v>204</v>
      </c>
      <c r="BY256" s="3">
        <f>BX256</f>
        <v>204</v>
      </c>
      <c r="BZ256" s="3">
        <f>BY256</f>
        <v>204</v>
      </c>
      <c r="CA256" s="3">
        <f>BZ256</f>
        <v>204</v>
      </c>
      <c r="CB256" s="3">
        <f>CA256</f>
        <v>204</v>
      </c>
      <c r="CC256" s="3">
        <f>CB256</f>
        <v>204</v>
      </c>
      <c r="CD256" s="3">
        <f>CC256</f>
        <v>204</v>
      </c>
      <c r="CE256" s="3">
        <f>CD256</f>
        <v>204</v>
      </c>
      <c r="CF256" s="3">
        <f>CE256</f>
        <v>204</v>
      </c>
      <c r="CG256" s="3">
        <f>CF256</f>
        <v>204</v>
      </c>
      <c r="CH256" s="3">
        <f>CG256</f>
        <v>204</v>
      </c>
      <c r="CI256" s="3">
        <f>CH256</f>
        <v>204</v>
      </c>
      <c r="CJ256" s="3">
        <f>CI256</f>
        <v>204</v>
      </c>
      <c r="CK256" s="3">
        <f>CJ256</f>
        <v>204</v>
      </c>
      <c r="CL256" s="3">
        <f>CK256</f>
        <v>204</v>
      </c>
      <c r="CM256" s="3">
        <f>CL256</f>
        <v>204</v>
      </c>
      <c r="CN256" s="3">
        <f>CM256</f>
        <v>204</v>
      </c>
      <c r="CO256" s="3">
        <f>CN256</f>
        <v>204</v>
      </c>
      <c r="CP256" s="3">
        <f>CO256</f>
        <v>204</v>
      </c>
      <c r="CQ256" s="3">
        <f>CP256</f>
        <v>204</v>
      </c>
      <c r="CR256" s="3">
        <f>CQ256</f>
        <v>204</v>
      </c>
      <c r="CS256" s="3">
        <f>CR256</f>
        <v>204</v>
      </c>
      <c r="CT256" s="3">
        <f>CS256</f>
        <v>204</v>
      </c>
      <c r="CU256" s="3">
        <f>CT256</f>
        <v>204</v>
      </c>
      <c r="CV256" s="3">
        <f>CU256</f>
        <v>204</v>
      </c>
      <c r="CW256" s="3">
        <f>CV256</f>
        <v>204</v>
      </c>
      <c r="CX256" s="3">
        <f>CW256</f>
        <v>204</v>
      </c>
      <c r="CY256" s="3">
        <f>CX256</f>
        <v>204</v>
      </c>
    </row>
    <row r="257">
      <c r="C257" s="26" t="inlineStr">
        <is>
          <t>Other equity account</t>
        </is>
      </c>
      <c r="D257" s="25">
        <f>INDEX('Inputs (2)'!$D$46:$AL$46,MATCH(D$7,'Inputs (2)'!$D$2:$AL$2,0))</f>
        <v>28</v>
      </c>
      <c r="E257" s="25">
        <f>INDEX('Inputs (2)'!$D$46:$AL$46,MATCH(E$7,'Inputs (2)'!$D$2:$AL$2,0))</f>
        <v>28</v>
      </c>
      <c r="F257" s="25">
        <f>INDEX('Inputs (2)'!$D$46:$AL$46,MATCH(F$7,'Inputs (2)'!$D$2:$AL$2,0))</f>
        <v>27</v>
      </c>
      <c r="G257" s="25">
        <f>INDEX('Inputs (2)'!$D$46:$AL$46,MATCH(G$7,'Inputs (2)'!$D$2:$AL$2,0))</f>
        <v>26</v>
      </c>
      <c r="H257" s="3">
        <f>G257</f>
        <v>26</v>
      </c>
      <c r="I257" s="25">
        <f>INDEX('Inputs (2)'!$D$46:$AL$46,MATCH(I$7,'Inputs (2)'!$D$2:$AL$2,0))</f>
        <v>27</v>
      </c>
      <c r="J257" s="25">
        <f>INDEX('Inputs (2)'!$D$46:$AL$46,MATCH(J$7,'Inputs (2)'!$D$2:$AL$2,0))</f>
        <v>27</v>
      </c>
      <c r="K257" s="25">
        <f>INDEX('Inputs (2)'!$D$46:$AL$46,MATCH(K$7,'Inputs (2)'!$D$2:$AL$2,0))</f>
        <v>27</v>
      </c>
      <c r="L257" s="25">
        <f>INDEX('Inputs (2)'!$D$46:$AL$46,MATCH(L$7,'Inputs (2)'!$D$2:$AL$2,0))</f>
        <v>26</v>
      </c>
      <c r="M257" s="3">
        <f>L257</f>
        <v>26</v>
      </c>
      <c r="N257" s="25">
        <f>INDEX('Inputs (2)'!$D$46:$AL$46,MATCH(N$7,'Inputs (2)'!$D$2:$AL$2,0))</f>
        <v>27</v>
      </c>
      <c r="O257" s="25">
        <f>INDEX('Inputs (2)'!$D$46:$AL$46,MATCH(O$7,'Inputs (2)'!$D$2:$AL$2,0))</f>
        <v>27</v>
      </c>
      <c r="P257" s="25">
        <f>INDEX('Inputs (2)'!$D$46:$AL$46,MATCH(P$7,'Inputs (2)'!$D$2:$AL$2,0))</f>
        <v>0</v>
      </c>
      <c r="Q257" s="25">
        <f>INDEX('Inputs (2)'!$D$46:$AL$46,MATCH(Q$7,'Inputs (2)'!$D$2:$AL$2,0))</f>
        <v>0</v>
      </c>
      <c r="R257" s="3">
        <f>Q257</f>
        <v>0</v>
      </c>
      <c r="S257" s="25">
        <f>INDEX('Inputs (2)'!$D$46:$AL$46,MATCH(S$7,'Inputs (2)'!$D$2:$AL$2,0))</f>
        <v>0</v>
      </c>
      <c r="T257" s="25">
        <f>INDEX('Inputs (2)'!$D$46:$AL$46,MATCH(T$7,'Inputs (2)'!$D$2:$AL$2,0))</f>
        <v>0</v>
      </c>
      <c r="U257" s="25">
        <f>INDEX('Inputs (2)'!$D$46:$AL$46,MATCH(U$7,'Inputs (2)'!$D$2:$AL$2,0))</f>
        <v>0</v>
      </c>
      <c r="V257" s="25">
        <f>INDEX('Inputs (2)'!$D$46:$AL$46,MATCH(V$7,'Inputs (2)'!$D$2:$AL$2,0))</f>
        <v>0</v>
      </c>
      <c r="W257" s="3">
        <f>V257</f>
        <v>0</v>
      </c>
      <c r="X257" s="25">
        <f>INDEX('Inputs (2)'!$D$46:$AL$46,MATCH(X$7,'Inputs (2)'!$D$2:$AL$2,0))</f>
        <v>0</v>
      </c>
      <c r="Y257" s="25">
        <f>INDEX('Inputs (2)'!$D$46:$AL$46,MATCH(Y$7,'Inputs (2)'!$D$2:$AL$2,0))</f>
        <v>0</v>
      </c>
      <c r="Z257" s="25">
        <f>INDEX('Inputs (2)'!$D$46:$AL$46,MATCH(Z$7,'Inputs (2)'!$D$2:$AL$2,0))</f>
        <v>0</v>
      </c>
      <c r="AA257" s="25">
        <f>INDEX('Inputs (2)'!$D$46:$AL$46,MATCH(AA$7,'Inputs (2)'!$D$2:$AL$2,0))</f>
        <v>0</v>
      </c>
      <c r="AB257" s="3">
        <f>AA257</f>
        <v>0</v>
      </c>
      <c r="AC257" s="25">
        <f>INDEX('Inputs (2)'!$D$46:$AL$46,MATCH(AC$7,'Inputs (2)'!$D$2:$AL$2,0))</f>
        <v>0</v>
      </c>
      <c r="AD257" s="25">
        <f>INDEX('Inputs (2)'!$D$46:$AL$46,MATCH(AD$7,'Inputs (2)'!$D$2:$AL$2,0))</f>
        <v>0</v>
      </c>
      <c r="AE257" s="25">
        <f>INDEX('Inputs (2)'!$D$46:$AL$46,MATCH(AE$7,'Inputs (2)'!$D$2:$AL$2,0))</f>
        <v>0</v>
      </c>
      <c r="AF257" s="25">
        <f>INDEX('Inputs (2)'!$D$46:$AL$46,MATCH(AF$7,'Inputs (2)'!$D$2:$AL$2,0))</f>
        <v>0</v>
      </c>
      <c r="AG257" s="3">
        <f>AF257</f>
        <v>0</v>
      </c>
      <c r="AH257" s="3">
        <f>INDEX('Inputs (2)'!$D$46:$AL$46,MATCH(AH$7,'Inputs (2)'!$D$2:$AL$2,0))</f>
        <v>0</v>
      </c>
      <c r="AI257" s="3">
        <f>INDEX('Inputs (2)'!$D$46:$AL$46,MATCH(AI$7,'Inputs (2)'!$D$2:$AL$2,0))</f>
        <v>0</v>
      </c>
      <c r="AJ257" s="3">
        <f>AI257</f>
        <v>0</v>
      </c>
      <c r="AK257" s="3">
        <f>AJ257</f>
        <v>0</v>
      </c>
      <c r="AL257" s="3">
        <f>AK257</f>
        <v>0</v>
      </c>
      <c r="AM257" s="3">
        <f>AL257</f>
        <v>0</v>
      </c>
      <c r="AN257" s="3">
        <f>AM257</f>
        <v>0</v>
      </c>
      <c r="AO257" s="3">
        <f>AN257</f>
        <v>0</v>
      </c>
      <c r="AP257" s="3">
        <f>AO257</f>
        <v>0</v>
      </c>
      <c r="AQ257" s="3">
        <f>AP257</f>
        <v>0</v>
      </c>
      <c r="AR257" s="3">
        <f>AQ257</f>
        <v>0</v>
      </c>
      <c r="AS257" s="3">
        <f>AR257</f>
        <v>0</v>
      </c>
      <c r="AT257" s="3">
        <f>AS257</f>
        <v>0</v>
      </c>
      <c r="AU257" s="3">
        <f>AT257</f>
        <v>0</v>
      </c>
      <c r="AV257" s="3">
        <f>AU257</f>
        <v>0</v>
      </c>
      <c r="AW257" s="3">
        <f>AV257</f>
        <v>0</v>
      </c>
      <c r="AX257" s="3">
        <f>AW257</f>
        <v>0</v>
      </c>
      <c r="AY257" s="3">
        <f>AX257</f>
        <v>0</v>
      </c>
      <c r="AZ257" s="3">
        <f>AY257</f>
        <v>0</v>
      </c>
      <c r="BA257" s="3">
        <f>AZ257</f>
        <v>0</v>
      </c>
      <c r="BB257" s="3">
        <f>BA257</f>
        <v>0</v>
      </c>
      <c r="BC257" s="3">
        <f>BB257</f>
        <v>0</v>
      </c>
      <c r="BD257" s="3">
        <f>BC257</f>
        <v>0</v>
      </c>
      <c r="BE257" s="3">
        <f>BD257</f>
        <v>0</v>
      </c>
      <c r="BF257" s="3">
        <f>BE257</f>
        <v>0</v>
      </c>
      <c r="BG257" s="3">
        <f>BF257</f>
        <v>0</v>
      </c>
      <c r="BH257" s="3">
        <f>BG257</f>
        <v>0</v>
      </c>
      <c r="BI257" s="3">
        <f>BH257</f>
        <v>0</v>
      </c>
      <c r="BJ257" s="3">
        <f>BI257</f>
        <v>0</v>
      </c>
      <c r="BK257" s="3">
        <f>BJ257</f>
        <v>0</v>
      </c>
      <c r="BL257" s="3">
        <f>BK257</f>
        <v>0</v>
      </c>
      <c r="BM257" s="3">
        <f>BL257</f>
        <v>0</v>
      </c>
      <c r="BN257" s="3">
        <f>BM257</f>
        <v>0</v>
      </c>
      <c r="BO257" s="3">
        <f>BN257</f>
        <v>0</v>
      </c>
      <c r="BP257" s="3">
        <f>BO257</f>
        <v>0</v>
      </c>
      <c r="BQ257" s="3">
        <f>BP257</f>
        <v>0</v>
      </c>
      <c r="BR257" s="3">
        <f>BQ257</f>
        <v>0</v>
      </c>
      <c r="BS257" s="3">
        <f>BR257</f>
        <v>0</v>
      </c>
      <c r="BT257" s="3">
        <f>BS257</f>
        <v>0</v>
      </c>
      <c r="BU257" s="3">
        <f>BT257</f>
        <v>0</v>
      </c>
      <c r="BV257" s="3">
        <f>BU257</f>
        <v>0</v>
      </c>
      <c r="BW257" s="3">
        <f>BV257</f>
        <v>0</v>
      </c>
      <c r="BX257" s="3">
        <f>BW257</f>
        <v>0</v>
      </c>
      <c r="BY257" s="3">
        <f>BX257</f>
        <v>0</v>
      </c>
      <c r="BZ257" s="3">
        <f>BY257</f>
        <v>0</v>
      </c>
      <c r="CA257" s="3">
        <f>BZ257</f>
        <v>0</v>
      </c>
      <c r="CB257" s="3">
        <f>CA257</f>
        <v>0</v>
      </c>
      <c r="CC257" s="3">
        <f>CB257</f>
        <v>0</v>
      </c>
      <c r="CD257" s="3">
        <f>CC257</f>
        <v>0</v>
      </c>
      <c r="CE257" s="3">
        <f>CD257</f>
        <v>0</v>
      </c>
      <c r="CF257" s="3">
        <f>CE257</f>
        <v>0</v>
      </c>
      <c r="CG257" s="3">
        <f>CF257</f>
        <v>0</v>
      </c>
      <c r="CH257" s="3">
        <f>CG257</f>
        <v>0</v>
      </c>
      <c r="CI257" s="3">
        <f>CH257</f>
        <v>0</v>
      </c>
      <c r="CJ257" s="3">
        <f>CI257</f>
        <v>0</v>
      </c>
      <c r="CK257" s="3">
        <f>CJ257</f>
        <v>0</v>
      </c>
      <c r="CL257" s="3">
        <f>CK257</f>
        <v>0</v>
      </c>
      <c r="CM257" s="3">
        <f>CL257</f>
        <v>0</v>
      </c>
      <c r="CN257" s="3">
        <f>CM257</f>
        <v>0</v>
      </c>
      <c r="CO257" s="3">
        <f>CN257</f>
        <v>0</v>
      </c>
      <c r="CP257" s="3">
        <f>CO257</f>
        <v>0</v>
      </c>
      <c r="CQ257" s="3">
        <f>CP257</f>
        <v>0</v>
      </c>
      <c r="CR257" s="3">
        <f>CQ257</f>
        <v>0</v>
      </c>
      <c r="CS257" s="3">
        <f>CR257</f>
        <v>0</v>
      </c>
      <c r="CT257" s="3">
        <f>CS257</f>
        <v>0</v>
      </c>
      <c r="CU257" s="3">
        <f>CT257</f>
        <v>0</v>
      </c>
      <c r="CV257" s="3">
        <f>CU257</f>
        <v>0</v>
      </c>
      <c r="CW257" s="3">
        <f>CV257</f>
        <v>0</v>
      </c>
      <c r="CX257" s="3">
        <f>CW257</f>
        <v>0</v>
      </c>
      <c r="CY257" s="3">
        <f>CX257</f>
        <v>0</v>
      </c>
    </row>
    <row r="258">
      <c r="C258" s="28" t="inlineStr">
        <is>
          <t>Retained earnings</t>
        </is>
      </c>
      <c r="D258" s="25">
        <f>INDEX('Inputs (2)'!$D$47:$AL$47,MATCH(D$7,'Inputs (2)'!$D$2:$AL$2,0))</f>
        <v>0</v>
      </c>
      <c r="E258" s="25">
        <f>INDEX('Inputs (2)'!$D$47:$AL$47,MATCH(E$7,'Inputs (2)'!$D$2:$AL$2,0))</f>
        <v>0</v>
      </c>
      <c r="F258" s="25">
        <f>INDEX('Inputs (2)'!$D$47:$AL$47,MATCH(F$7,'Inputs (2)'!$D$2:$AL$2,0))</f>
        <v>0</v>
      </c>
      <c r="G258" s="25">
        <f>INDEX('Inputs (2)'!$D$47:$AL$47,MATCH(G$7,'Inputs (2)'!$D$2:$AL$2,0))</f>
        <v>0</v>
      </c>
      <c r="H258" s="3">
        <f>G258</f>
        <v>0</v>
      </c>
      <c r="I258" s="25">
        <f>INDEX('Inputs (2)'!$D$47:$AL$47,MATCH(I$7,'Inputs (2)'!$D$2:$AL$2,0))</f>
        <v>0</v>
      </c>
      <c r="J258" s="25">
        <f>INDEX('Inputs (2)'!$D$47:$AL$47,MATCH(J$7,'Inputs (2)'!$D$2:$AL$2,0))</f>
        <v>320</v>
      </c>
      <c r="K258" s="25">
        <f>INDEX('Inputs (2)'!$D$47:$AL$47,MATCH(K$7,'Inputs (2)'!$D$2:$AL$2,0))</f>
        <v>748</v>
      </c>
      <c r="L258" s="25">
        <f>INDEX('Inputs (2)'!$D$47:$AL$47,MATCH(L$7,'Inputs (2)'!$D$2:$AL$2,0))</f>
        <v>0</v>
      </c>
      <c r="M258" s="3">
        <f>L258</f>
        <v>0</v>
      </c>
      <c r="N258" s="25">
        <f>INDEX('Inputs (2)'!$D$47:$AL$47,MATCH(N$7,'Inputs (2)'!$D$2:$AL$2,0))</f>
        <v>0</v>
      </c>
      <c r="O258" s="25">
        <f>INDEX('Inputs (2)'!$D$47:$AL$47,MATCH(O$7,'Inputs (2)'!$D$2:$AL$2,0))</f>
        <v>0</v>
      </c>
      <c r="P258" s="25">
        <f>INDEX('Inputs (2)'!$D$47:$AL$47,MATCH(P$7,'Inputs (2)'!$D$2:$AL$2,0))</f>
        <v>1604</v>
      </c>
      <c r="Q258" s="25">
        <f>INDEX('Inputs (2)'!$D$47:$AL$47,MATCH(Q$7,'Inputs (2)'!$D$2:$AL$2,0))</f>
        <v>2371</v>
      </c>
      <c r="R258" s="3">
        <f>Q258</f>
        <v>2371</v>
      </c>
      <c r="S258" s="25">
        <f>INDEX('Inputs (2)'!$D$47:$AL$47,MATCH(S$7,'Inputs (2)'!$D$2:$AL$2,0))</f>
        <v>1363</v>
      </c>
      <c r="T258" s="25">
        <f>INDEX('Inputs (2)'!$D$47:$AL$47,MATCH(T$7,'Inputs (2)'!$D$2:$AL$2,0))</f>
        <v>1178</v>
      </c>
      <c r="U258" s="25">
        <f>INDEX('Inputs (2)'!$D$47:$AL$47,MATCH(U$7,'Inputs (2)'!$D$2:$AL$2,0))</f>
        <v>2682</v>
      </c>
      <c r="V258" s="25">
        <f>INDEX('Inputs (2)'!$D$47:$AL$47,MATCH(V$7,'Inputs (2)'!$D$2:$AL$2,0))</f>
        <v>0</v>
      </c>
      <c r="W258" s="3">
        <f>V258</f>
        <v>0</v>
      </c>
      <c r="X258" s="25">
        <f>INDEX('Inputs (2)'!$D$47:$AL$47,MATCH(X$7,'Inputs (2)'!$D$2:$AL$2,0))</f>
        <v>0</v>
      </c>
      <c r="Y258" s="25">
        <f>INDEX('Inputs (2)'!$D$47:$AL$47,MATCH(Y$7,'Inputs (2)'!$D$2:$AL$2,0))</f>
        <v>-1875</v>
      </c>
      <c r="Z258" s="25">
        <f>INDEX('Inputs (2)'!$D$47:$AL$47,MATCH(Z$7,'Inputs (2)'!$D$2:$AL$2,0))</f>
        <v>0</v>
      </c>
      <c r="AA258" s="25">
        <f>INDEX('Inputs (2)'!$D$47:$AL$47,MATCH(AA$7,'Inputs (2)'!$D$2:$AL$2,0))</f>
        <v>2729</v>
      </c>
      <c r="AB258" s="3">
        <f>AA258</f>
        <v>2729</v>
      </c>
      <c r="AC258" s="25">
        <f>INDEX('Inputs (2)'!$D$47:$AL$47,MATCH(AC$7,'Inputs (2)'!$D$2:$AL$2,0))</f>
        <v>2686</v>
      </c>
      <c r="AD258" s="25">
        <f>INDEX('Inputs (2)'!$D$47:$AL$47,MATCH(AD$7,'Inputs (2)'!$D$2:$AL$2,0))</f>
        <v>4040</v>
      </c>
      <c r="AE258" s="25">
        <f>INDEX('Inputs (2)'!$D$47:$AL$47,MATCH(AE$7,'Inputs (2)'!$D$2:$AL$2,0))</f>
        <v>9761</v>
      </c>
      <c r="AF258" s="25">
        <f>INDEX('Inputs (2)'!$D$47:$AL$47,MATCH(AF$7,'Inputs (2)'!$D$2:$AL$2,0))</f>
        <v>6520</v>
      </c>
      <c r="AG258" s="3">
        <f>AF258</f>
        <v>6520</v>
      </c>
      <c r="AH258" s="3">
        <f>INDEX('Inputs (2)'!$D$47:$AL$47,MATCH(AH$7,'Inputs (2)'!$D$2:$AL$2,0))</f>
        <v>12166</v>
      </c>
      <c r="AI258" s="3">
        <f>INDEX('Inputs (2)'!$D$47:$AL$47,MATCH(AI$7,'Inputs (2)'!$D$2:$AL$2,0))</f>
        <v>22151</v>
      </c>
      <c r="AJ258" s="3">
        <f>AI258+AJ125+AJ126</f>
        <v>22269</v>
      </c>
      <c r="AK258" s="3">
        <f>AJ258+AK125+AK126</f>
        <v>22367</v>
      </c>
      <c r="AL258" s="3">
        <f>AK258</f>
        <v>22367</v>
      </c>
      <c r="AM258" s="3">
        <f>AL258+AM125+AM126</f>
        <v>22465</v>
      </c>
      <c r="AN258" s="3">
        <f>AM258+AN125+AN126</f>
        <v>22897</v>
      </c>
      <c r="AO258" s="3">
        <f>AN258+AO125+AO126</f>
        <v>22995</v>
      </c>
      <c r="AP258" s="3">
        <f>AO258+AP125+AP126</f>
        <v>23427</v>
      </c>
      <c r="AQ258" s="3">
        <f>AP258</f>
        <v>23427</v>
      </c>
      <c r="AR258" s="3">
        <f>AQ258+AR125+AR126</f>
        <v>23859</v>
      </c>
      <c r="AS258" s="3">
        <f>AR258+AS125+AS126</f>
        <v>24919</v>
      </c>
      <c r="AT258" s="3">
        <f>AS258+AT125+AT126</f>
        <v>25351</v>
      </c>
      <c r="AU258" s="3">
        <f>AT258+AU125+AU126</f>
        <v>26411</v>
      </c>
      <c r="AV258" s="3">
        <f>AU258</f>
        <v>26411</v>
      </c>
      <c r="AW258" s="3">
        <f>AV258+AW125+AW126</f>
        <v>27471</v>
      </c>
      <c r="AX258" s="3">
        <f>AW258+AX125+AX126</f>
        <v>30455</v>
      </c>
      <c r="AY258" s="3">
        <f>AX258+AY125+AY126</f>
        <v>31515</v>
      </c>
      <c r="AZ258" s="3">
        <f>AY258+AZ125+AZ126</f>
        <v>34499</v>
      </c>
      <c r="BA258" s="3">
        <f>AZ258</f>
        <v>34499</v>
      </c>
      <c r="BB258" s="3">
        <f>BA258+BB125+BB126</f>
        <v>37483</v>
      </c>
      <c r="BC258" s="3">
        <f>BB258+BC125+BC126</f>
        <v>45571</v>
      </c>
      <c r="BD258" s="3">
        <f>BC258+BD125+BD126</f>
        <v>48555</v>
      </c>
      <c r="BE258" s="3">
        <f>BD258+BE125+BE126</f>
        <v>56643</v>
      </c>
      <c r="BF258" s="3">
        <f>BE258</f>
        <v>56643</v>
      </c>
      <c r="BG258" s="3">
        <f>BF258+BG125+BG126</f>
        <v>64731</v>
      </c>
      <c r="BH258" s="3">
        <f>BG258+BH125+BH126</f>
        <v>86875</v>
      </c>
      <c r="BI258" s="3">
        <f>BH258+BI125+BI126</f>
        <v>94963</v>
      </c>
      <c r="BJ258" s="3">
        <f>BI258+BJ125+BJ126</f>
        <v>117107</v>
      </c>
      <c r="BK258" s="3">
        <f>BJ258</f>
        <v>117107</v>
      </c>
      <c r="BL258" s="3">
        <f>BK258+BL125+BL126</f>
        <v>139251</v>
      </c>
      <c r="BM258" s="3">
        <f>BL258+BM125+BM126</f>
        <v>199715</v>
      </c>
      <c r="BN258" s="3">
        <f>BM258+BN125+BN126</f>
        <v>221859</v>
      </c>
      <c r="BO258" s="3">
        <f>BN258+BO125+BO126</f>
        <v>282323</v>
      </c>
      <c r="BP258" s="3">
        <f>BO258</f>
        <v>282323</v>
      </c>
      <c r="BQ258" s="3">
        <f>BP258+BQ125+BQ126</f>
        <v>342787</v>
      </c>
      <c r="BR258" s="3">
        <f>BQ258+BR125+BR126</f>
        <v>508003</v>
      </c>
      <c r="BS258" s="3">
        <f>BR258+BS125+BS126</f>
        <v>568467</v>
      </c>
      <c r="BT258" s="3">
        <f>BS258+BT125+BT126</f>
        <v>733683</v>
      </c>
      <c r="BU258" s="3">
        <f>BT258</f>
        <v>733683</v>
      </c>
      <c r="BV258" s="3">
        <f>BU258+BV125+BV126</f>
        <v>898899</v>
      </c>
      <c r="BW258" s="3">
        <f>BV258+BW125+BW126</f>
        <v>1350259</v>
      </c>
      <c r="BX258" s="3">
        <f>BW258+BX125+BX126</f>
        <v>1515475</v>
      </c>
      <c r="BY258" s="3">
        <f>BX258+BY125+BY126</f>
        <v>1966835</v>
      </c>
      <c r="BZ258" s="3">
        <f>BY258</f>
        <v>1966835</v>
      </c>
      <c r="CA258" s="3">
        <f>BZ258+CA125+CA126</f>
        <v>2418195</v>
      </c>
      <c r="CB258" s="3">
        <f>CA258+CB125+CB126</f>
        <v>3651347</v>
      </c>
      <c r="CC258" s="3">
        <f>CB258+CC125+CC126</f>
        <v>4102707</v>
      </c>
      <c r="CD258" s="3">
        <f>CC258+CD125+CD126</f>
        <v>5335859</v>
      </c>
      <c r="CE258" s="3">
        <f>CD258</f>
        <v>5335859</v>
      </c>
      <c r="CF258" s="3">
        <f>CE258+CF125+CF126</f>
        <v>6569011</v>
      </c>
      <c r="CG258" s="3">
        <f>CF258+CG125+CG126</f>
        <v>9938035</v>
      </c>
      <c r="CH258" s="3">
        <f>CG258+CH125+CH126</f>
        <v>11171187</v>
      </c>
      <c r="CI258" s="3">
        <f>CH258+CI125+CI126</f>
        <v>14540211</v>
      </c>
      <c r="CJ258" s="3">
        <f>CI258</f>
        <v>14540211</v>
      </c>
      <c r="CK258" s="3">
        <f>CJ258+CK125+CK126</f>
        <v>17909235</v>
      </c>
      <c r="CL258" s="3">
        <f>CK258+CL125+CL126</f>
        <v>27113587</v>
      </c>
      <c r="CM258" s="3">
        <f>CL258+CM125+CM126</f>
        <v>30482611</v>
      </c>
      <c r="CN258" s="3">
        <f>CM258+CN125+CN126</f>
        <v>39686963</v>
      </c>
      <c r="CO258" s="3">
        <f>CN258</f>
        <v>39686963</v>
      </c>
      <c r="CP258" s="3">
        <f>CO258+CP125+CP126</f>
        <v>48891315</v>
      </c>
      <c r="CQ258" s="3">
        <f>CP258+CQ125+CQ126</f>
        <v>74038067</v>
      </c>
      <c r="CR258" s="3">
        <f>CQ258+CR125+CR126</f>
        <v>83242419</v>
      </c>
      <c r="CS258" s="3">
        <f>CR258+CS125+CS126</f>
        <v>108389171</v>
      </c>
      <c r="CT258" s="3">
        <f>CS258</f>
        <v>108389171</v>
      </c>
      <c r="CU258" s="3">
        <f>CT258+CU125+CU126</f>
        <v>133535923</v>
      </c>
      <c r="CV258" s="3">
        <f>CU258+CV125+CV126</f>
        <v>202238131</v>
      </c>
      <c r="CW258" s="3">
        <f>CV258+CW125+CW126</f>
        <v>227384883</v>
      </c>
      <c r="CX258" s="3">
        <f>CW258+CX125+CX126</f>
        <v>296087091</v>
      </c>
      <c r="CY258" s="3">
        <f>CX258</f>
        <v>296087091</v>
      </c>
    </row>
    <row r="259" customFormat="1" s="17">
      <c r="A259" s="13" t="inlineStr">
        <is>
          <t xml:space="preserve"> </t>
        </is>
      </c>
      <c r="B259" s="13" t="n"/>
      <c r="C259" s="27" t="inlineStr">
        <is>
          <t>Total Shareholders' Equity</t>
        </is>
      </c>
      <c r="D259" s="16">
        <f>SUM(D236+D241+D242+D255+D256+D257+D258)</f>
        <v>23970</v>
      </c>
      <c r="E259" s="16">
        <f>SUM(E236+E241+E242+E255+E256+E257+E258)</f>
        <v>23585</v>
      </c>
      <c r="F259" s="16">
        <f>SUM(F236+F241+F242+F255+F256+F257+F258)</f>
        <v>23901</v>
      </c>
      <c r="G259" s="16">
        <f>SUM(G236+G241+G242+G255+G256+G257+G258)</f>
        <v>23999</v>
      </c>
      <c r="H259" s="16">
        <f>SUM(H236,H241,H242,H255,H256,H257,H258)</f>
        <v>23999</v>
      </c>
      <c r="I259" s="16">
        <f>SUM(I236+I241+I242+I255+I256+I257+I258)</f>
        <v>23966</v>
      </c>
      <c r="J259" s="16">
        <f>SUM(J236+J241+J242+J255+J256+J257+J258)</f>
        <v>24367</v>
      </c>
      <c r="K259" s="16">
        <f>SUM(K236+K241+K242+K255+K256+K257+K258)</f>
        <v>24989</v>
      </c>
      <c r="L259" s="16">
        <f>SUM(L236+L241+L242+L255+L256+L257+L258)</f>
        <v>22994</v>
      </c>
      <c r="M259" s="16">
        <f>SUM(M236,M241,M242,M255,M256,M257,M258)</f>
        <v>22994</v>
      </c>
      <c r="N259" s="16">
        <f>SUM(N236+N241+N242+N255+N256+N257+N258)</f>
        <v>20990</v>
      </c>
      <c r="O259" s="16">
        <f>SUM(O236+O241+O242+O255+O256+O257+O258)</f>
        <v>20903</v>
      </c>
      <c r="P259" s="16">
        <f>SUM(P236+P241+P242+P255+P256+P257+P258)</f>
        <v>22709</v>
      </c>
      <c r="Q259" s="16">
        <f>SUM(Q236+Q241+Q242+Q255+Q256+Q257+Q258)</f>
        <v>23310</v>
      </c>
      <c r="R259" s="16">
        <f>SUM(R236,R241,R242,R255,R256,R257,R258)</f>
        <v>23310</v>
      </c>
      <c r="S259" s="16">
        <f>SUM(S236+S241+S242+S255+S256+S257+S258)</f>
        <v>22007</v>
      </c>
      <c r="T259" s="16">
        <f>SUM(T236+T241+T242+T255+T256+T257+T258)</f>
        <v>22079</v>
      </c>
      <c r="U259" s="16">
        <f>SUM(U236+U241+U242+U255+U256+U257+U258)</f>
        <v>23988</v>
      </c>
      <c r="V259" s="16">
        <f>SUM(V236+V241+V242+V255+V256+V257+V258)</f>
        <v>70284</v>
      </c>
      <c r="W259" s="16">
        <f>SUM(W236,W241,W242,W255,W256,W257,W258)</f>
        <v>70284</v>
      </c>
      <c r="X259" s="16">
        <f>SUM(X236+X241+X242+X255+X256+X257+X258)</f>
        <v>69961</v>
      </c>
      <c r="Y259" s="16">
        <f>SUM(Y236+Y241+Y242+Y255+Y256+Y257+Y258)</f>
        <v>65651</v>
      </c>
      <c r="Z259" s="16">
        <f>SUM(Z236+Z241+Z242+Z255+Z256+Z257+Z258)</f>
        <v>67678</v>
      </c>
      <c r="AA259" s="16">
        <f>SUM(AA236+AA241+AA242+AA255+AA256+AA257+AA258)</f>
        <v>69789</v>
      </c>
      <c r="AB259" s="16">
        <f>SUM(AB236,AB241,AB242,AB255,AB256,AB257,AB258)</f>
        <v>69789</v>
      </c>
      <c r="AC259" s="16">
        <f>SUM(AC236+AC241+AC242+AC255+AC256+AC257+AC258)</f>
        <v>69586</v>
      </c>
      <c r="AD259" s="16">
        <f>SUM(AD236+AD241+AD242+AD255+AD256+AD257+AD258)</f>
        <v>73277</v>
      </c>
      <c r="AE259" s="16">
        <f>SUM(AE236+AE241+AE242+AE255+AE256+AE257+AE258)</f>
        <v>81292</v>
      </c>
      <c r="AF259" s="16">
        <f>SUM(AF236+AF241+AF242+AF255+AF256+AF257+AF258)</f>
        <v>79872</v>
      </c>
      <c r="AG259" s="16">
        <f>SUM(AG236,AG241,AG242,AG255,AG256,AG257,AG258)</f>
        <v>79872</v>
      </c>
      <c r="AH259" s="16">
        <f>SUM(AH236+AH241+AH242+AH255+AH256+AH257+AH258)</f>
        <v>87691</v>
      </c>
      <c r="AI259" s="16">
        <f>SUM(AI236+AI241+AI242+AI255+AI256+AI257+AI258)</f>
        <v>99690</v>
      </c>
      <c r="AJ259" s="16">
        <f>SUM(AJ236+AJ241+AJ242+AJ255+AJ256+AJ257+AJ258)</f>
        <v>99808</v>
      </c>
      <c r="AK259" s="16">
        <f>SUM(AK236+AK241+AK242+AK255+AK256+AK257+AK258)</f>
        <v>99906</v>
      </c>
      <c r="AL259" s="16">
        <f>SUM(AL236,AL241,AL242,AL255,AL256,AL257,AL258)</f>
        <v>99906</v>
      </c>
      <c r="AM259" s="16">
        <f>SUM(AM236+AM241+AM242+AM255+AM256+AM257+AM258)</f>
        <v>100004</v>
      </c>
      <c r="AN259" s="16">
        <f>SUM(AN236+AN241+AN242+AN255+AN256+AN257+AN258)</f>
        <v>100436</v>
      </c>
      <c r="AO259" s="16">
        <f>SUM(AO236+AO241+AO242+AO255+AO256+AO257+AO258)</f>
        <v>100534</v>
      </c>
      <c r="AP259" s="16">
        <f>SUM(AP236+AP241+AP242+AP255+AP256+AP257+AP258)</f>
        <v>100966</v>
      </c>
      <c r="AQ259" s="16">
        <f>SUM(AQ236,AQ241,AQ242,AQ255,AQ256,AQ257,AQ258)</f>
        <v>100966</v>
      </c>
      <c r="AR259" s="16">
        <f>SUM(AR236+AR241+AR242+AR255+AR256+AR257+AR258)</f>
        <v>101398</v>
      </c>
      <c r="AS259" s="16">
        <f>SUM(AS236+AS241+AS242+AS255+AS256+AS257+AS258)</f>
        <v>102458</v>
      </c>
      <c r="AT259" s="16">
        <f>SUM(AT236+AT241+AT242+AT255+AT256+AT257+AT258)</f>
        <v>102890</v>
      </c>
      <c r="AU259" s="16">
        <f>SUM(AU236+AU241+AU242+AU255+AU256+AU257+AU258)</f>
        <v>103950</v>
      </c>
      <c r="AV259" s="16">
        <f>SUM(AV236,AV241,AV242,AV255,AV256,AV257,AV258)</f>
        <v>103950</v>
      </c>
      <c r="AW259" s="16">
        <f>SUM(AW236+AW241+AW242+AW255+AW256+AW257+AW258)</f>
        <v>105010</v>
      </c>
      <c r="AX259" s="16">
        <f>SUM(AX236+AX241+AX242+AX255+AX256+AX257+AX258)</f>
        <v>107994</v>
      </c>
      <c r="AY259" s="16">
        <f>SUM(AY236+AY241+AY242+AY255+AY256+AY257+AY258)</f>
        <v>109054</v>
      </c>
      <c r="AZ259" s="16">
        <f>SUM(AZ236+AZ241+AZ242+AZ255+AZ256+AZ257+AZ258)</f>
        <v>112038</v>
      </c>
      <c r="BA259" s="16">
        <f>SUM(BA236,BA241,BA242,BA255,BA256,BA257,BA258)</f>
        <v>112038</v>
      </c>
      <c r="BB259" s="16">
        <f>SUM(BB236+BB241+BB242+BB255+BB256+BB257+BB258)</f>
        <v>115022</v>
      </c>
      <c r="BC259" s="16">
        <f>SUM(BC236+BC241+BC242+BC255+BC256+BC257+BC258)</f>
        <v>123110</v>
      </c>
      <c r="BD259" s="16">
        <f>SUM(BD236+BD241+BD242+BD255+BD256+BD257+BD258)</f>
        <v>126094</v>
      </c>
      <c r="BE259" s="16">
        <f>SUM(BE236+BE241+BE242+BE255+BE256+BE257+BE258)</f>
        <v>134182</v>
      </c>
      <c r="BF259" s="16">
        <f>SUM(BF236,BF241,BF242,BF255,BF256,BF257,BF258)</f>
        <v>134182</v>
      </c>
      <c r="BG259" s="16">
        <f>SUM(BG236+BG241+BG242+BG255+BG256+BG257+BG258)</f>
        <v>142270</v>
      </c>
      <c r="BH259" s="16">
        <f>SUM(BH236+BH241+BH242+BH255+BH256+BH257+BH258)</f>
        <v>164414</v>
      </c>
      <c r="BI259" s="16">
        <f>SUM(BI236+BI241+BI242+BI255+BI256+BI257+BI258)</f>
        <v>172502</v>
      </c>
      <c r="BJ259" s="16">
        <f>SUM(BJ236+BJ241+BJ242+BJ255+BJ256+BJ257+BJ258)</f>
        <v>194646</v>
      </c>
      <c r="BK259" s="16">
        <f>SUM(BK236,BK241,BK242,BK255,BK256,BK257,BK258)</f>
        <v>194646</v>
      </c>
      <c r="BL259" s="16">
        <f>SUM(BL236+BL241+BL242+BL255+BL256+BL257+BL258)</f>
        <v>216790</v>
      </c>
      <c r="BM259" s="16">
        <f>SUM(BM236+BM241+BM242+BM255+BM256+BM257+BM258)</f>
        <v>277254</v>
      </c>
      <c r="BN259" s="16">
        <f>SUM(BN236+BN241+BN242+BN255+BN256+BN257+BN258)</f>
        <v>299398</v>
      </c>
      <c r="BO259" s="16">
        <f>SUM(BO236+BO241+BO242+BO255+BO256+BO257+BO258)</f>
        <v>359862</v>
      </c>
      <c r="BP259" s="16">
        <f>SUM(BP236,BP241,BP242,BP255,BP256,BP257,BP258)</f>
        <v>359862</v>
      </c>
      <c r="BQ259" s="16">
        <f>SUM(BQ236+BQ241+BQ242+BQ255+BQ256+BQ257+BQ258)</f>
        <v>420326</v>
      </c>
      <c r="BR259" s="16">
        <f>SUM(BR236+BR241+BR242+BR255+BR256+BR257+BR258)</f>
        <v>585542</v>
      </c>
      <c r="BS259" s="16">
        <f>SUM(BS236+BS241+BS242+BS255+BS256+BS257+BS258)</f>
        <v>646006</v>
      </c>
      <c r="BT259" s="16">
        <f>SUM(BT236+BT241+BT242+BT255+BT256+BT257+BT258)</f>
        <v>811222</v>
      </c>
      <c r="BU259" s="16">
        <f>SUM(BU236,BU241,BU242,BU255,BU256,BU257,BU258)</f>
        <v>811222</v>
      </c>
      <c r="BV259" s="16">
        <f>SUM(BV236+BV241+BV242+BV255+BV256+BV257+BV258)</f>
        <v>976438</v>
      </c>
      <c r="BW259" s="16">
        <f>SUM(BW236+BW241+BW242+BW255+BW256+BW257+BW258)</f>
        <v>1427798</v>
      </c>
      <c r="BX259" s="16">
        <f>SUM(BX236+BX241+BX242+BX255+BX256+BX257+BX258)</f>
        <v>1593014</v>
      </c>
      <c r="BY259" s="16">
        <f>SUM(BY236+BY241+BY242+BY255+BY256+BY257+BY258)</f>
        <v>2044374</v>
      </c>
      <c r="BZ259" s="16">
        <f>SUM(BZ236,BZ241,BZ242,BZ255,BZ256,BZ257,BZ258)</f>
        <v>2044374</v>
      </c>
      <c r="CA259" s="16">
        <f>SUM(CA236+CA241+CA242+CA255+CA256+CA257+CA258)</f>
        <v>2495734</v>
      </c>
      <c r="CB259" s="16">
        <f>SUM(CB236+CB241+CB242+CB255+CB256+CB257+CB258)</f>
        <v>3728886</v>
      </c>
      <c r="CC259" s="16">
        <f>SUM(CC236+CC241+CC242+CC255+CC256+CC257+CC258)</f>
        <v>4180246</v>
      </c>
      <c r="CD259" s="16">
        <f>SUM(CD236+CD241+CD242+CD255+CD256+CD257+CD258)</f>
        <v>5413398</v>
      </c>
      <c r="CE259" s="16">
        <f>SUM(CE236,CE241,CE242,CE255,CE256,CE257,CE258)</f>
        <v>5413398</v>
      </c>
      <c r="CF259" s="16">
        <f>SUM(CF236+CF241+CF242+CF255+CF256+CF257+CF258)</f>
        <v>6646550</v>
      </c>
      <c r="CG259" s="16">
        <f>SUM(CG236+CG241+CG242+CG255+CG256+CG257+CG258)</f>
        <v>10015574</v>
      </c>
      <c r="CH259" s="16">
        <f>SUM(CH236+CH241+CH242+CH255+CH256+CH257+CH258)</f>
        <v>11248726</v>
      </c>
      <c r="CI259" s="16">
        <f>SUM(CI236+CI241+CI242+CI255+CI256+CI257+CI258)</f>
        <v>14617750</v>
      </c>
      <c r="CJ259" s="16">
        <f>SUM(CJ236,CJ241,CJ242,CJ255,CJ256,CJ257,CJ258)</f>
        <v>14617750</v>
      </c>
      <c r="CK259" s="16">
        <f>SUM(CK236+CK241+CK242+CK255+CK256+CK257+CK258)</f>
        <v>17986774</v>
      </c>
      <c r="CL259" s="16">
        <f>SUM(CL236+CL241+CL242+CL255+CL256+CL257+CL258)</f>
        <v>27191126</v>
      </c>
      <c r="CM259" s="16">
        <f>SUM(CM236+CM241+CM242+CM255+CM256+CM257+CM258)</f>
        <v>30560150</v>
      </c>
      <c r="CN259" s="16">
        <f>SUM(CN236+CN241+CN242+CN255+CN256+CN257+CN258)</f>
        <v>39764502</v>
      </c>
      <c r="CO259" s="16">
        <f>SUM(CO236,CO241,CO242,CO255,CO256,CO257,CO258)</f>
        <v>39764502</v>
      </c>
      <c r="CP259" s="16">
        <f>SUM(CP236+CP241+CP242+CP255+CP256+CP257+CP258)</f>
        <v>48968854</v>
      </c>
      <c r="CQ259" s="16">
        <f>SUM(CQ236+CQ241+CQ242+CQ255+CQ256+CQ257+CQ258)</f>
        <v>74115606</v>
      </c>
      <c r="CR259" s="16">
        <f>SUM(CR236+CR241+CR242+CR255+CR256+CR257+CR258)</f>
        <v>83319958</v>
      </c>
      <c r="CS259" s="16">
        <f>SUM(CS236+CS241+CS242+CS255+CS256+CS257+CS258)</f>
        <v>108466710</v>
      </c>
      <c r="CT259" s="16">
        <f>SUM(CT236,CT241,CT242,CT255,CT256,CT257,CT258)</f>
        <v>108466710</v>
      </c>
      <c r="CU259" s="16">
        <f>SUM(CU236+CU241+CU242+CU255+CU256+CU257+CU258)</f>
        <v>133613462</v>
      </c>
      <c r="CV259" s="16">
        <f>SUM(CV236+CV241+CV242+CV255+CV256+CV257+CV258)</f>
        <v>202315670</v>
      </c>
      <c r="CW259" s="16">
        <f>SUM(CW236+CW241+CW242+CW255+CW256+CW257+CW258)</f>
        <v>227462422</v>
      </c>
      <c r="CX259" s="16">
        <f>SUM(CX236+CX241+CX242+CX255+CX256+CX257+CX258)</f>
        <v>296164630</v>
      </c>
      <c r="CY259" s="16">
        <f>SUM(CY236,CY241,CY242,CY255,CY256,CY257,CY258)</f>
        <v>296164630</v>
      </c>
    </row>
    <row r="260">
      <c r="C260" s="29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  <c r="AA260" s="3" t="n"/>
      <c r="AB260" s="3" t="n"/>
      <c r="AC260" s="3" t="n"/>
      <c r="AD260" s="3" t="n"/>
      <c r="AE260" s="3" t="n"/>
      <c r="AF260" s="3" t="n"/>
      <c r="AG260" s="3" t="n"/>
      <c r="AH260" s="3" t="n"/>
      <c r="AI260" s="3" t="n"/>
      <c r="AJ260" s="3" t="n"/>
      <c r="AK260" s="3" t="n"/>
      <c r="AL260" s="3" t="n"/>
      <c r="AM260" s="3" t="n"/>
      <c r="AN260" s="3" t="n"/>
      <c r="AO260" s="3" t="n"/>
      <c r="AP260" s="3" t="n"/>
      <c r="AQ260" s="3" t="n"/>
      <c r="AR260" s="3" t="n"/>
      <c r="AS260" s="3" t="n"/>
      <c r="AT260" s="3" t="n"/>
      <c r="AU260" s="3" t="n"/>
      <c r="AV260" s="3" t="n"/>
      <c r="AW260" s="3" t="n"/>
      <c r="AX260" s="3" t="n"/>
      <c r="AY260" s="3" t="n"/>
      <c r="AZ260" s="3" t="n"/>
      <c r="BA260" s="3" t="n"/>
      <c r="BB260" s="3" t="n"/>
      <c r="BC260" s="3" t="n"/>
      <c r="BD260" s="3" t="n"/>
      <c r="BE260" s="3" t="n"/>
      <c r="BF260" s="3" t="n"/>
      <c r="BG260" s="3" t="n"/>
      <c r="BH260" s="3" t="n"/>
      <c r="BI260" s="3" t="n"/>
      <c r="BJ260" s="3" t="n"/>
      <c r="BK260" s="3" t="n"/>
      <c r="BL260" s="3" t="n"/>
      <c r="BM260" s="3" t="n"/>
      <c r="BN260" s="3" t="n"/>
      <c r="BO260" s="3" t="n"/>
      <c r="BP260" s="3" t="n"/>
      <c r="BQ260" s="3" t="n"/>
      <c r="BR260" s="3" t="n"/>
      <c r="BS260" s="3" t="n"/>
      <c r="BT260" s="3" t="n"/>
      <c r="BU260" s="3" t="n"/>
      <c r="BV260" s="3" t="n"/>
      <c r="BW260" s="3" t="n"/>
      <c r="BX260" s="3" t="n"/>
      <c r="BY260" s="3" t="n"/>
      <c r="BZ260" s="3" t="n"/>
      <c r="CA260" s="3" t="n"/>
      <c r="CB260" s="3" t="n"/>
      <c r="CC260" s="3" t="n"/>
      <c r="CD260" s="3" t="n"/>
      <c r="CE260" s="3" t="n"/>
      <c r="CF260" s="3" t="n"/>
      <c r="CG260" s="3" t="n"/>
      <c r="CH260" s="3" t="n"/>
      <c r="CI260" s="3" t="n"/>
      <c r="CJ260" s="3" t="n"/>
      <c r="CK260" s="3" t="n"/>
      <c r="CL260" s="3" t="n"/>
      <c r="CM260" s="3" t="n"/>
      <c r="CN260" s="3" t="n"/>
      <c r="CO260" s="3" t="n"/>
      <c r="CP260" s="3" t="n"/>
      <c r="CQ260" s="3" t="n"/>
      <c r="CR260" s="3" t="n"/>
      <c r="CS260" s="3" t="n"/>
      <c r="CT260" s="3" t="n"/>
      <c r="CU260" s="3" t="n"/>
      <c r="CV260" s="3" t="n"/>
      <c r="CW260" s="3" t="n"/>
      <c r="CX260" s="3" t="n"/>
      <c r="CY260" s="3" t="n"/>
    </row>
    <row r="261" customFormat="1" s="17">
      <c r="A261" s="13" t="n"/>
      <c r="B261" s="1" t="n"/>
      <c r="C261" s="14" t="inlineStr">
        <is>
          <t>Total Liabilities + Shareholders' Equity</t>
        </is>
      </c>
      <c r="D261" s="16">
        <f>D259+D235</f>
        <v>81548</v>
      </c>
      <c r="E261" s="16">
        <f>E259+E235</f>
        <v>79298</v>
      </c>
      <c r="F261" s="16">
        <f>F259+F235</f>
        <v>75933</v>
      </c>
      <c r="G261" s="16">
        <f>G259+G235</f>
        <v>76972</v>
      </c>
      <c r="H261" s="16">
        <f>H259+H235</f>
        <v>76972</v>
      </c>
      <c r="I261" s="16">
        <f>I259+I235</f>
        <v>75524</v>
      </c>
      <c r="J261" s="16">
        <f>J259+J235</f>
        <v>75880</v>
      </c>
      <c r="K261" s="16">
        <f>K259+K235</f>
        <v>75570</v>
      </c>
      <c r="L261" s="16">
        <f>L259+L235</f>
        <v>73224</v>
      </c>
      <c r="M261" s="16">
        <f>M259+M235</f>
        <v>73224</v>
      </c>
      <c r="N261" s="16">
        <f>N259+N235</f>
        <v>71719</v>
      </c>
      <c r="O261" s="16">
        <f>O259+O235</f>
        <v>71326</v>
      </c>
      <c r="P261" s="16">
        <f>P259+P235</f>
        <v>73249</v>
      </c>
      <c r="Q261" s="16">
        <f>Q259+Q235</f>
        <v>72976</v>
      </c>
      <c r="R261" s="16">
        <f>R259+R235</f>
        <v>72976</v>
      </c>
      <c r="S261" s="16">
        <f>S259+S235</f>
        <v>71667</v>
      </c>
      <c r="T261" s="16">
        <f>T259+T235</f>
        <v>71595</v>
      </c>
      <c r="U261" s="16">
        <f>U259+U235</f>
        <v>72861</v>
      </c>
      <c r="V261" s="16">
        <f>V259+V235</f>
        <v>177870</v>
      </c>
      <c r="W261" s="16">
        <f>W259+W235</f>
        <v>177870</v>
      </c>
      <c r="X261" s="16">
        <f>X259+X235</f>
        <v>175211</v>
      </c>
      <c r="Y261" s="16">
        <f>Y259+Y235</f>
        <v>167966</v>
      </c>
      <c r="Z261" s="16">
        <f>Z259+Z235</f>
        <v>165645</v>
      </c>
      <c r="AA261" s="16">
        <f>AA259+AA235</f>
        <v>165358</v>
      </c>
      <c r="AB261" s="16">
        <f>AB259+AB235</f>
        <v>165358</v>
      </c>
      <c r="AC261" s="16">
        <f>AC259+AC235</f>
        <v>164630</v>
      </c>
      <c r="AD261" s="16">
        <f>AD259+AD235</f>
        <v>165621</v>
      </c>
      <c r="AE261" s="16">
        <f>AE259+AE235</f>
        <v>171092</v>
      </c>
      <c r="AF261" s="16">
        <f>AF259+AF235</f>
        <v>169903</v>
      </c>
      <c r="AG261" s="16">
        <f>AG259+AG235</f>
        <v>169903</v>
      </c>
      <c r="AH261" s="16">
        <f>AH259+AH235</f>
        <v>179158</v>
      </c>
      <c r="AI261" s="16">
        <f>AI259+AI235</f>
        <v>188148</v>
      </c>
      <c r="AJ261" s="16">
        <f>AJ259+AJ235</f>
        <v>182760</v>
      </c>
      <c r="AK261" s="16">
        <f>AK259+AK235</f>
        <v>182858</v>
      </c>
      <c r="AL261" s="16">
        <f>AL259+AL235</f>
        <v>182858</v>
      </c>
      <c r="AM261" s="16" t="e">
        <f>AM259+AM235</f>
        <v>#DIV/0!</v>
      </c>
      <c r="AN261" s="16">
        <f>AN259+AN235</f>
        <v>183388</v>
      </c>
      <c r="AO261" s="16" t="e">
        <f>AO259+AO235</f>
        <v>#DIV/0!</v>
      </c>
      <c r="AP261" s="16" t="e">
        <f>AP259+AP235</f>
        <v>#DIV/0!</v>
      </c>
      <c r="AQ261" s="16" t="e">
        <f>AQ259+AQ235</f>
        <v>#DIV/0!</v>
      </c>
      <c r="AR261" s="16" t="e">
        <f>AR259+AR235</f>
        <v>#DIV/0!</v>
      </c>
      <c r="AS261" s="16" t="e">
        <f>AS259+AS235</f>
        <v>#DIV/0!</v>
      </c>
      <c r="AT261" s="16" t="e">
        <f>AT259+AT235</f>
        <v>#DIV/0!</v>
      </c>
      <c r="AU261" s="16" t="e">
        <f>AU259+AU235</f>
        <v>#DIV/0!</v>
      </c>
      <c r="AV261" s="16" t="e">
        <f>AV259+AV235</f>
        <v>#DIV/0!</v>
      </c>
      <c r="AW261" s="16" t="e">
        <f>AW259+AW235</f>
        <v>#DIV/0!</v>
      </c>
      <c r="AX261" s="16" t="e">
        <f>AX259+AX235</f>
        <v>#DIV/0!</v>
      </c>
      <c r="AY261" s="16" t="e">
        <f>AY259+AY235</f>
        <v>#DIV/0!</v>
      </c>
      <c r="AZ261" s="16" t="e">
        <f>AZ259+AZ235</f>
        <v>#DIV/0!</v>
      </c>
      <c r="BA261" s="16" t="e">
        <f>BA259+BA235</f>
        <v>#DIV/0!</v>
      </c>
      <c r="BB261" s="16" t="e">
        <f>BB259+BB235</f>
        <v>#DIV/0!</v>
      </c>
      <c r="BC261" s="16" t="e">
        <f>BC259+BC235</f>
        <v>#DIV/0!</v>
      </c>
      <c r="BD261" s="16" t="e">
        <f>BD259+BD235</f>
        <v>#DIV/0!</v>
      </c>
      <c r="BE261" s="16" t="e">
        <f>BE259+BE235</f>
        <v>#DIV/0!</v>
      </c>
      <c r="BF261" s="16" t="e">
        <f>BF259+BF235</f>
        <v>#DIV/0!</v>
      </c>
      <c r="BG261" s="16" t="e">
        <f>BG259+BG235</f>
        <v>#DIV/0!</v>
      </c>
      <c r="BH261" s="16" t="e">
        <f>BH259+BH235</f>
        <v>#DIV/0!</v>
      </c>
      <c r="BI261" s="16" t="e">
        <f>BI259+BI235</f>
        <v>#DIV/0!</v>
      </c>
      <c r="BJ261" s="16" t="e">
        <f>BJ259+BJ235</f>
        <v>#DIV/0!</v>
      </c>
      <c r="BK261" s="16" t="e">
        <f>BK259+BK235</f>
        <v>#DIV/0!</v>
      </c>
      <c r="BL261" s="16" t="e">
        <f>BL259+BL235</f>
        <v>#DIV/0!</v>
      </c>
      <c r="BM261" s="16" t="e">
        <f>BM259+BM235</f>
        <v>#DIV/0!</v>
      </c>
      <c r="BN261" s="16" t="e">
        <f>BN259+BN235</f>
        <v>#DIV/0!</v>
      </c>
      <c r="BO261" s="16" t="e">
        <f>BO259+BO235</f>
        <v>#DIV/0!</v>
      </c>
      <c r="BP261" s="16" t="e">
        <f>BP259+BP235</f>
        <v>#DIV/0!</v>
      </c>
      <c r="BQ261" s="16" t="e">
        <f>BQ259+BQ235</f>
        <v>#DIV/0!</v>
      </c>
      <c r="BR261" s="16" t="e">
        <f>BR259+BR235</f>
        <v>#DIV/0!</v>
      </c>
      <c r="BS261" s="16" t="e">
        <f>BS259+BS235</f>
        <v>#DIV/0!</v>
      </c>
      <c r="BT261" s="16" t="e">
        <f>BT259+BT235</f>
        <v>#DIV/0!</v>
      </c>
      <c r="BU261" s="16" t="e">
        <f>BU259+BU235</f>
        <v>#DIV/0!</v>
      </c>
      <c r="BV261" s="16" t="e">
        <f>BV259+BV235</f>
        <v>#DIV/0!</v>
      </c>
      <c r="BW261" s="16" t="e">
        <f>BW259+BW235</f>
        <v>#DIV/0!</v>
      </c>
      <c r="BX261" s="16" t="e">
        <f>BX259+BX235</f>
        <v>#DIV/0!</v>
      </c>
      <c r="BY261" s="16" t="e">
        <f>BY259+BY235</f>
        <v>#DIV/0!</v>
      </c>
      <c r="BZ261" s="16" t="e">
        <f>BZ259+BZ235</f>
        <v>#DIV/0!</v>
      </c>
      <c r="CA261" s="16" t="e">
        <f>CA259+CA235</f>
        <v>#DIV/0!</v>
      </c>
      <c r="CB261" s="16" t="e">
        <f>CB259+CB235</f>
        <v>#DIV/0!</v>
      </c>
      <c r="CC261" s="16" t="e">
        <f>CC259+CC235</f>
        <v>#DIV/0!</v>
      </c>
      <c r="CD261" s="16" t="e">
        <f>CD259+CD235</f>
        <v>#DIV/0!</v>
      </c>
      <c r="CE261" s="16" t="e">
        <f>CE259+CE235</f>
        <v>#DIV/0!</v>
      </c>
      <c r="CF261" s="16" t="e">
        <f>CF259+CF235</f>
        <v>#DIV/0!</v>
      </c>
      <c r="CG261" s="16" t="e">
        <f>CG259+CG235</f>
        <v>#DIV/0!</v>
      </c>
      <c r="CH261" s="16" t="e">
        <f>CH259+CH235</f>
        <v>#DIV/0!</v>
      </c>
      <c r="CI261" s="16" t="e">
        <f>CI259+CI235</f>
        <v>#DIV/0!</v>
      </c>
      <c r="CJ261" s="16" t="e">
        <f>CJ259+CJ235</f>
        <v>#DIV/0!</v>
      </c>
      <c r="CK261" s="16" t="e">
        <f>CK259+CK235</f>
        <v>#DIV/0!</v>
      </c>
      <c r="CL261" s="16" t="e">
        <f>CL259+CL235</f>
        <v>#DIV/0!</v>
      </c>
      <c r="CM261" s="16" t="e">
        <f>CM259+CM235</f>
        <v>#DIV/0!</v>
      </c>
      <c r="CN261" s="16" t="e">
        <f>CN259+CN235</f>
        <v>#DIV/0!</v>
      </c>
      <c r="CO261" s="16" t="e">
        <f>CO259+CO235</f>
        <v>#DIV/0!</v>
      </c>
      <c r="CP261" s="16" t="e">
        <f>CP259+CP235</f>
        <v>#DIV/0!</v>
      </c>
      <c r="CQ261" s="16" t="e">
        <f>CQ259+CQ235</f>
        <v>#DIV/0!</v>
      </c>
      <c r="CR261" s="16" t="e">
        <f>CR259+CR235</f>
        <v>#DIV/0!</v>
      </c>
      <c r="CS261" s="16" t="e">
        <f>CS259+CS235</f>
        <v>#DIV/0!</v>
      </c>
      <c r="CT261" s="16" t="e">
        <f>CT259+CT235</f>
        <v>#DIV/0!</v>
      </c>
      <c r="CU261" s="16" t="e">
        <f>CU259+CU235</f>
        <v>#DIV/0!</v>
      </c>
      <c r="CV261" s="16" t="e">
        <f>CV259+CV235</f>
        <v>#DIV/0!</v>
      </c>
      <c r="CW261" s="16" t="e">
        <f>CW259+CW235</f>
        <v>#DIV/0!</v>
      </c>
      <c r="CX261" s="16" t="e">
        <f>CX259+CX235</f>
        <v>#DIV/0!</v>
      </c>
      <c r="CY261" s="16" t="e">
        <f>CY259+CY235</f>
        <v>#DIV/0!</v>
      </c>
    </row>
    <row r="262">
      <c r="C262" s="5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AS262" s="1" t="n"/>
      <c r="AT262" s="1" t="n"/>
      <c r="AU262" s="1" t="n"/>
      <c r="AV262" s="1" t="n"/>
      <c r="AW262" s="1" t="n"/>
      <c r="AX262" s="1" t="n"/>
      <c r="AY262" s="1" t="n"/>
      <c r="AZ262" s="1" t="n"/>
      <c r="BA262" s="1" t="n"/>
      <c r="BB262" s="1" t="n"/>
      <c r="BC262" s="1" t="n"/>
      <c r="BD262" s="1" t="n"/>
      <c r="BE262" s="1" t="n"/>
      <c r="BF262" s="1" t="n"/>
      <c r="BG262" s="1" t="n"/>
      <c r="BH262" s="1" t="n"/>
      <c r="BI262" s="1" t="n"/>
      <c r="BJ262" s="1" t="n"/>
      <c r="BK262" s="1" t="n"/>
      <c r="BL262" s="1" t="n"/>
      <c r="BM262" s="1" t="n"/>
      <c r="BN262" s="1" t="n"/>
      <c r="BO262" s="1" t="n"/>
      <c r="BP262" s="1" t="n"/>
      <c r="BQ262" s="1" t="n"/>
      <c r="BR262" s="1" t="n"/>
      <c r="BS262" s="1" t="n"/>
      <c r="BT262" s="1" t="n"/>
      <c r="BU262" s="1" t="n"/>
      <c r="BV262" s="1" t="n"/>
      <c r="BW262" s="1" t="n"/>
      <c r="BX262" s="1" t="n"/>
      <c r="BY262" s="1" t="n"/>
      <c r="BZ262" s="1" t="n"/>
      <c r="CA262" s="1" t="n"/>
      <c r="CB262" s="1" t="n"/>
      <c r="CC262" s="1" t="n"/>
      <c r="CD262" s="1" t="n"/>
      <c r="CE262" s="1" t="n"/>
      <c r="CF262" s="1" t="n"/>
      <c r="CG262" s="1" t="n"/>
      <c r="CH262" s="1" t="n"/>
      <c r="CI262" s="1" t="n"/>
      <c r="CJ262" s="1" t="n"/>
      <c r="CK262" s="1" t="n"/>
      <c r="CL262" s="1" t="n"/>
      <c r="CM262" s="1" t="n"/>
      <c r="CN262" s="1" t="n"/>
      <c r="CO262" s="1" t="n"/>
      <c r="CP262" s="1" t="n"/>
      <c r="CQ262" s="1" t="n"/>
      <c r="CR262" s="1" t="n"/>
      <c r="CS262" s="1" t="n"/>
      <c r="CT262" s="1" t="n"/>
      <c r="CU262" s="1" t="n"/>
      <c r="CV262" s="1" t="n"/>
      <c r="CW262" s="1" t="n"/>
      <c r="CX262" s="1" t="n"/>
      <c r="CY262" s="1" t="n"/>
    </row>
    <row r="263" customFormat="1" s="17">
      <c r="A263" s="13" t="n"/>
      <c r="B263" s="13" t="n"/>
      <c r="C263" s="12" t="inlineStr">
        <is>
          <t>Cash Flow Statement</t>
        </is>
      </c>
      <c r="D263" s="232" t="str">
        <f>D130</f>
        <v>1Q20</v>
      </c>
      <c r="E263" s="232" t="str">
        <f>E130</f>
        <v>2Q20</v>
      </c>
      <c r="F263" s="232" t="str">
        <f>F130</f>
        <v>3Q20</v>
      </c>
      <c r="G263" s="232" t="str">
        <f>G130</f>
        <v>4Q20</v>
      </c>
      <c r="H263" s="232">
        <f>H130</f>
        <v>2020</v>
      </c>
      <c r="I263" s="232" t="str">
        <f>I130</f>
        <v>1Q21</v>
      </c>
      <c r="J263" s="232" t="str">
        <f>J130</f>
        <v>2Q21</v>
      </c>
      <c r="K263" s="232" t="str">
        <f>K130</f>
        <v>3Q21</v>
      </c>
      <c r="L263" s="232" t="str">
        <f>L130</f>
        <v>4Q21</v>
      </c>
      <c r="M263" s="232">
        <f>M130</f>
        <v>2021</v>
      </c>
      <c r="N263" s="232" t="str">
        <f>N130</f>
        <v>1Q22</v>
      </c>
      <c r="O263" s="232" t="str">
        <f>O130</f>
        <v>2Q22</v>
      </c>
      <c r="P263" s="232" t="str">
        <f>P130</f>
        <v>3Q22</v>
      </c>
      <c r="Q263" s="232" t="str">
        <f>Q130</f>
        <v>4Q22</v>
      </c>
      <c r="R263" s="232">
        <f>R130</f>
        <v>2022</v>
      </c>
      <c r="S263" s="232" t="str">
        <f>S130</f>
        <v>1Q23</v>
      </c>
      <c r="T263" s="232" t="str">
        <f>T130</f>
        <v>2Q23</v>
      </c>
      <c r="U263" s="232" t="str">
        <f>U130</f>
        <v>3Q23</v>
      </c>
      <c r="V263" s="232" t="str">
        <f>V130</f>
        <v>4Q23</v>
      </c>
      <c r="W263" s="232">
        <f>W130</f>
        <v>2023</v>
      </c>
      <c r="X263" s="232" t="str">
        <f>X130</f>
        <v>1Q24</v>
      </c>
      <c r="Y263" s="232" t="str">
        <f>Y130</f>
        <v>2Q24</v>
      </c>
      <c r="Z263" s="232" t="str">
        <f>Z130</f>
        <v>3Q24</v>
      </c>
      <c r="AA263" s="232" t="str">
        <f>AA130</f>
        <v>4Q24</v>
      </c>
      <c r="AB263" s="232">
        <f>AB130</f>
        <v>2024</v>
      </c>
      <c r="AC263" s="232" t="str">
        <f>AC130</f>
        <v>1Q25</v>
      </c>
      <c r="AD263" s="232" t="str">
        <f>AD130</f>
        <v>2Q25</v>
      </c>
      <c r="AE263" s="232" t="str">
        <f>AE130</f>
        <v>3Q25</v>
      </c>
      <c r="AF263" s="232" t="str">
        <f>AF130</f>
        <v>4Q25</v>
      </c>
      <c r="AG263" s="232">
        <f>AG130</f>
        <v>2025</v>
      </c>
      <c r="AH263" s="232" t="str">
        <f>AH130</f>
        <v>1Q26</v>
      </c>
      <c r="AI263" s="232" t="str">
        <f>AI130</f>
        <v>2Q26</v>
      </c>
      <c r="AJ263" s="232" t="str">
        <f>AJ130</f>
        <v>3Q26</v>
      </c>
      <c r="AK263" s="232" t="str">
        <f>AK130</f>
        <v>4Q26</v>
      </c>
      <c r="AL263" s="232">
        <f>AL130</f>
        <v>2026</v>
      </c>
      <c r="AM263" s="232" t="str">
        <f>AM130</f>
        <v>1Q27</v>
      </c>
      <c r="AN263" s="232" t="str">
        <f>AN130</f>
        <v>2Q27</v>
      </c>
      <c r="AO263" s="232" t="str">
        <f>AO130</f>
        <v>3Q27</v>
      </c>
      <c r="AP263" s="232" t="str">
        <f>AP130</f>
        <v>4Q27</v>
      </c>
      <c r="AQ263" s="232">
        <f>AQ130</f>
        <v>2027</v>
      </c>
      <c r="AR263" s="232" t="str">
        <f>AR130</f>
        <v>1Q28</v>
      </c>
      <c r="AS263" s="232" t="str">
        <f>AS130</f>
        <v>2Q28</v>
      </c>
      <c r="AT263" s="232" t="str">
        <f>AT130</f>
        <v>3Q28</v>
      </c>
      <c r="AU263" s="232" t="str">
        <f>AU130</f>
        <v>4Q28</v>
      </c>
      <c r="AV263" s="232">
        <f>AV130</f>
        <v>2028</v>
      </c>
      <c r="AW263" s="232" t="str">
        <f>AW130</f>
        <v>1Q29</v>
      </c>
      <c r="AX263" s="232" t="str">
        <f>AX130</f>
        <v>2Q29</v>
      </c>
      <c r="AY263" s="232" t="str">
        <f>AY130</f>
        <v>3Q29</v>
      </c>
      <c r="AZ263" s="232" t="str">
        <f>AZ130</f>
        <v>4Q29</v>
      </c>
      <c r="BA263" s="232">
        <f>BA130</f>
        <v>2029</v>
      </c>
      <c r="BB263" s="232" t="str">
        <f>BB130</f>
        <v>1Q30</v>
      </c>
      <c r="BC263" s="232" t="str">
        <f>BC130</f>
        <v>2Q30</v>
      </c>
      <c r="BD263" s="232" t="str">
        <f>BD130</f>
        <v>3Q30</v>
      </c>
      <c r="BE263" s="232" t="str">
        <f>BE130</f>
        <v>4Q30</v>
      </c>
      <c r="BF263" s="232">
        <f>BF130</f>
        <v>2030</v>
      </c>
      <c r="BG263" s="232" t="str">
        <f>BG130</f>
        <v>1Q31</v>
      </c>
      <c r="BH263" s="232" t="str">
        <f>BH130</f>
        <v>2Q31</v>
      </c>
      <c r="BI263" s="232" t="str">
        <f>BI130</f>
        <v>3Q31</v>
      </c>
      <c r="BJ263" s="232" t="str">
        <f>BJ130</f>
        <v>4Q31</v>
      </c>
      <c r="BK263" s="232">
        <f>BK130</f>
        <v>2031</v>
      </c>
      <c r="BL263" s="232" t="str">
        <f>BL130</f>
        <v>1Q32</v>
      </c>
      <c r="BM263" s="232" t="str">
        <f>BM130</f>
        <v>2Q32</v>
      </c>
      <c r="BN263" s="232" t="str">
        <f>BN130</f>
        <v>3Q32</v>
      </c>
      <c r="BO263" s="232" t="str">
        <f>BO130</f>
        <v>4Q32</v>
      </c>
      <c r="BP263" s="232">
        <f>BP130</f>
        <v>2032</v>
      </c>
      <c r="BQ263" s="232" t="str">
        <f>BQ130</f>
        <v>1Q33</v>
      </c>
      <c r="BR263" s="232" t="str">
        <f>BR130</f>
        <v>2Q33</v>
      </c>
      <c r="BS263" s="232" t="str">
        <f>BS130</f>
        <v>3Q33</v>
      </c>
      <c r="BT263" s="232" t="str">
        <f>BT130</f>
        <v>4Q33</v>
      </c>
      <c r="BU263" s="232">
        <f>BU130</f>
        <v>2033</v>
      </c>
      <c r="BV263" s="232" t="str">
        <f>BV130</f>
        <v>1Q34</v>
      </c>
      <c r="BW263" s="232" t="str">
        <f>BW130</f>
        <v>2Q34</v>
      </c>
      <c r="BX263" s="232" t="str">
        <f>BX130</f>
        <v>3Q34</v>
      </c>
      <c r="BY263" s="232" t="str">
        <f>BY130</f>
        <v>4Q34</v>
      </c>
      <c r="BZ263" s="232">
        <f>BZ130</f>
        <v>2034</v>
      </c>
      <c r="CA263" s="232" t="str">
        <f>CA130</f>
        <v>1Q35</v>
      </c>
      <c r="CB263" s="232" t="str">
        <f>CB130</f>
        <v>2Q35</v>
      </c>
      <c r="CC263" s="232" t="str">
        <f>CC130</f>
        <v>3Q35</v>
      </c>
      <c r="CD263" s="232" t="str">
        <f>CD130</f>
        <v>4Q35</v>
      </c>
      <c r="CE263" s="232">
        <f>CE130</f>
        <v>2035</v>
      </c>
      <c r="CF263" s="232" t="str">
        <f>CF130</f>
        <v>1Q36</v>
      </c>
      <c r="CG263" s="232" t="str">
        <f>CG130</f>
        <v>2Q36</v>
      </c>
      <c r="CH263" s="232" t="str">
        <f>CH130</f>
        <v>3Q36</v>
      </c>
      <c r="CI263" s="232" t="str">
        <f>CI130</f>
        <v>4Q36</v>
      </c>
      <c r="CJ263" s="232">
        <f>CJ130</f>
        <v>2036</v>
      </c>
      <c r="CK263" s="232" t="str">
        <f>CK130</f>
        <v>1Q37</v>
      </c>
      <c r="CL263" s="232" t="str">
        <f>CL130</f>
        <v>2Q37</v>
      </c>
      <c r="CM263" s="232" t="str">
        <f>CM130</f>
        <v>3Q37</v>
      </c>
      <c r="CN263" s="232" t="str">
        <f>CN130</f>
        <v>4Q37</v>
      </c>
      <c r="CO263" s="232">
        <f>CO130</f>
        <v>2037</v>
      </c>
      <c r="CP263" s="232" t="str">
        <f>CP130</f>
        <v>1Q38</v>
      </c>
      <c r="CQ263" s="232" t="str">
        <f>CQ130</f>
        <v>2Q38</v>
      </c>
      <c r="CR263" s="232" t="str">
        <f>CR130</f>
        <v>3Q38</v>
      </c>
      <c r="CS263" s="232" t="str">
        <f>CS130</f>
        <v>4Q38</v>
      </c>
      <c r="CT263" s="232">
        <f>CT130</f>
        <v>2038</v>
      </c>
      <c r="CU263" s="232" t="str">
        <f>CU130</f>
        <v>1Q39</v>
      </c>
      <c r="CV263" s="232" t="str">
        <f>CV130</f>
        <v>2Q39</v>
      </c>
      <c r="CW263" s="232" t="str">
        <f>CW130</f>
        <v>3Q39</v>
      </c>
      <c r="CX263" s="232" t="str">
        <f>CX130</f>
        <v>4Q39</v>
      </c>
      <c r="CY263" s="232">
        <f>CY130</f>
        <v>2039</v>
      </c>
    </row>
    <row r="264">
      <c r="C264" s="5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AS264" s="1" t="n"/>
      <c r="AT264" s="1" t="n"/>
      <c r="AU264" s="1" t="n"/>
      <c r="AV264" s="1" t="n"/>
      <c r="AW264" s="1" t="n"/>
      <c r="AX264" s="1" t="n"/>
      <c r="AY264" s="1" t="n"/>
      <c r="AZ264" s="1" t="n"/>
      <c r="BA264" s="1" t="n"/>
      <c r="BB264" s="1" t="n"/>
      <c r="BC264" s="1" t="n"/>
      <c r="BD264" s="1" t="n"/>
      <c r="BE264" s="1" t="n"/>
      <c r="BF264" s="1" t="n"/>
      <c r="BG264" s="1" t="n"/>
      <c r="BH264" s="1" t="n"/>
      <c r="BI264" s="1" t="n"/>
      <c r="BJ264" s="1" t="n"/>
      <c r="BK264" s="1" t="n"/>
      <c r="BL264" s="1" t="n"/>
      <c r="BM264" s="1" t="n"/>
      <c r="BN264" s="1" t="n"/>
      <c r="BO264" s="1" t="n"/>
      <c r="BP264" s="1" t="n"/>
      <c r="BQ264" s="1" t="n"/>
      <c r="BR264" s="1" t="n"/>
      <c r="BS264" s="1" t="n"/>
      <c r="BT264" s="1" t="n"/>
      <c r="BU264" s="1" t="n"/>
      <c r="BV264" s="1" t="n"/>
      <c r="BW264" s="1" t="n"/>
      <c r="BX264" s="1" t="n"/>
      <c r="BY264" s="1" t="n"/>
      <c r="BZ264" s="1" t="n"/>
      <c r="CA264" s="1" t="n"/>
      <c r="CB264" s="1" t="n"/>
      <c r="CC264" s="1" t="n"/>
      <c r="CD264" s="1" t="n"/>
      <c r="CE264" s="1" t="n"/>
      <c r="CF264" s="1" t="n"/>
      <c r="CG264" s="1" t="n"/>
      <c r="CH264" s="1" t="n"/>
      <c r="CI264" s="1" t="n"/>
      <c r="CJ264" s="1" t="n"/>
      <c r="CK264" s="1" t="n"/>
      <c r="CL264" s="1" t="n"/>
      <c r="CM264" s="1" t="n"/>
      <c r="CN264" s="1" t="n"/>
      <c r="CO264" s="1" t="n"/>
      <c r="CP264" s="1" t="n"/>
      <c r="CQ264" s="1" t="n"/>
      <c r="CR264" s="1" t="n"/>
      <c r="CS264" s="1" t="n"/>
      <c r="CT264" s="1" t="n"/>
      <c r="CU264" s="1" t="n"/>
      <c r="CV264" s="1" t="n"/>
      <c r="CW264" s="1" t="n"/>
      <c r="CX264" s="1" t="n"/>
      <c r="CY264" s="1" t="n"/>
    </row>
    <row r="265">
      <c r="C265" s="29" t="inlineStr">
        <is>
          <t>Net Income</t>
        </is>
      </c>
      <c r="D265" s="3" t="n"/>
      <c r="E265" s="3">
        <f>E125</f>
        <v>614</v>
      </c>
      <c r="F265" s="3">
        <f>F125</f>
        <v>1250</v>
      </c>
      <c r="G265" s="3">
        <f>G125</f>
        <v>1304</v>
      </c>
      <c r="H265" s="3">
        <f>SUM(D265:G265)</f>
        <v>3168</v>
      </c>
      <c r="I265" s="3">
        <f>I125</f>
        <v>1417</v>
      </c>
      <c r="J265" s="3">
        <f>J125</f>
        <v>1802</v>
      </c>
      <c r="K265" s="3">
        <f>K125</f>
        <v>1914</v>
      </c>
      <c r="L265" s="3">
        <f>L125</f>
        <v>2398</v>
      </c>
      <c r="M265" s="3">
        <f>SUM(I265:L265)</f>
        <v>7531</v>
      </c>
      <c r="N265" s="3">
        <f>N125</f>
        <v>2515</v>
      </c>
      <c r="O265" s="3">
        <f>O125</f>
        <v>2999</v>
      </c>
      <c r="P265" s="3">
        <f>P125</f>
        <v>3583</v>
      </c>
      <c r="Q265" s="3">
        <f>Q125</f>
        <v>3774</v>
      </c>
      <c r="R265" s="3">
        <f>SUM(N265:Q265)</f>
        <v>12871</v>
      </c>
      <c r="S265" s="3">
        <f>S125</f>
        <v>3481</v>
      </c>
      <c r="T265" s="3">
        <f>T125</f>
        <v>3303</v>
      </c>
      <c r="U265" s="3">
        <f>U125</f>
        <v>3524</v>
      </c>
      <c r="V265" s="3">
        <f>V125</f>
        <v>1325</v>
      </c>
      <c r="W265" s="3">
        <f>SUM(S265:V265)</f>
        <v>11633</v>
      </c>
      <c r="X265" s="3">
        <f>X125</f>
        <v>2121</v>
      </c>
      <c r="Y265" s="3">
        <f>Y125</f>
        <v>-1875</v>
      </c>
      <c r="Z265" s="3">
        <f>Z125</f>
        <v>4324</v>
      </c>
      <c r="AA265" s="3">
        <f>AA125</f>
        <v>5503</v>
      </c>
      <c r="AB265" s="3">
        <f>SUM(X265:AA265)</f>
        <v>10073</v>
      </c>
      <c r="AC265" s="3">
        <f>AC125</f>
        <v>4965</v>
      </c>
      <c r="AD265" s="3">
        <f>AD125</f>
        <v>4140</v>
      </c>
      <c r="AE265" s="3">
        <f>AE125</f>
        <v>8518</v>
      </c>
      <c r="AF265" s="3">
        <f>AF125</f>
        <v>7349</v>
      </c>
      <c r="AG265" s="3">
        <f>SUM(AC265:AF265)</f>
        <v>24972</v>
      </c>
      <c r="AH265" s="3">
        <f>AH125</f>
        <v>9310</v>
      </c>
      <c r="AI265" s="3">
        <f>AI125</f>
        <v>13088</v>
      </c>
      <c r="AJ265" s="3">
        <f>AJ125</f>
        <v>118</v>
      </c>
      <c r="AK265" s="3">
        <f>AK125</f>
        <v>98</v>
      </c>
      <c r="AL265" s="3">
        <f>SUM(AH265:AK265)</f>
        <v>22614</v>
      </c>
      <c r="AM265" s="3">
        <f>AM125</f>
        <v>98</v>
      </c>
      <c r="AN265" s="3">
        <f>AN125</f>
        <v>432</v>
      </c>
      <c r="AO265" s="3">
        <f>AO125</f>
        <v>98</v>
      </c>
      <c r="AP265" s="3">
        <f>AP125</f>
        <v>432</v>
      </c>
      <c r="AQ265" s="3">
        <f>SUM(AM265:AP265)</f>
        <v>1060</v>
      </c>
      <c r="AR265" s="3">
        <f>AR125</f>
        <v>432</v>
      </c>
      <c r="AS265" s="3">
        <f>AS125</f>
        <v>1060</v>
      </c>
      <c r="AT265" s="3">
        <f>AT125</f>
        <v>432</v>
      </c>
      <c r="AU265" s="3">
        <f>AU125</f>
        <v>1060</v>
      </c>
      <c r="AV265" s="3">
        <f>SUM(AR265:AU265)</f>
        <v>2984</v>
      </c>
      <c r="AW265" s="3">
        <f>AW125</f>
        <v>1060</v>
      </c>
      <c r="AX265" s="3">
        <f>AX125</f>
        <v>2984</v>
      </c>
      <c r="AY265" s="3">
        <f>AY125</f>
        <v>1060</v>
      </c>
      <c r="AZ265" s="3">
        <f>AZ125</f>
        <v>2984</v>
      </c>
      <c r="BA265" s="3">
        <f>SUM(AW265:AZ265)</f>
        <v>8088</v>
      </c>
      <c r="BB265" s="3">
        <f>BB125</f>
        <v>2984</v>
      </c>
      <c r="BC265" s="3">
        <f>BC125</f>
        <v>8088</v>
      </c>
      <c r="BD265" s="3">
        <f>BD125</f>
        <v>2984</v>
      </c>
      <c r="BE265" s="3">
        <f>BE125</f>
        <v>8088</v>
      </c>
      <c r="BF265" s="3">
        <f>SUM(BB265:BE265)</f>
        <v>22144</v>
      </c>
      <c r="BG265" s="3">
        <f>BG125</f>
        <v>8088</v>
      </c>
      <c r="BH265" s="3">
        <f>BH125</f>
        <v>22144</v>
      </c>
      <c r="BI265" s="3">
        <f>BI125</f>
        <v>8088</v>
      </c>
      <c r="BJ265" s="3">
        <f>BJ125</f>
        <v>22144</v>
      </c>
      <c r="BK265" s="3">
        <f>SUM(BG265:BJ265)</f>
        <v>60464</v>
      </c>
      <c r="BL265" s="3">
        <f>BL125</f>
        <v>22144</v>
      </c>
      <c r="BM265" s="3">
        <f>BM125</f>
        <v>60464</v>
      </c>
      <c r="BN265" s="3">
        <f>BN125</f>
        <v>22144</v>
      </c>
      <c r="BO265" s="3">
        <f>BO125</f>
        <v>60464</v>
      </c>
      <c r="BP265" s="3">
        <f>SUM(BL265:BO265)</f>
        <v>165216</v>
      </c>
      <c r="BQ265" s="3">
        <f>BQ125</f>
        <v>60464</v>
      </c>
      <c r="BR265" s="3">
        <f>BR125</f>
        <v>165216</v>
      </c>
      <c r="BS265" s="3">
        <f>BS125</f>
        <v>60464</v>
      </c>
      <c r="BT265" s="3">
        <f>BT125</f>
        <v>165216</v>
      </c>
      <c r="BU265" s="3">
        <f>SUM(BQ265:BT265)</f>
        <v>451360</v>
      </c>
      <c r="BV265" s="3">
        <f>BV125</f>
        <v>165216</v>
      </c>
      <c r="BW265" s="3">
        <f>BW125</f>
        <v>451360</v>
      </c>
      <c r="BX265" s="3">
        <f>BX125</f>
        <v>165216</v>
      </c>
      <c r="BY265" s="3">
        <f>BY125</f>
        <v>451360</v>
      </c>
      <c r="BZ265" s="3">
        <f>SUM(BV265:BY265)</f>
        <v>1233152</v>
      </c>
      <c r="CA265" s="3">
        <f>CA125</f>
        <v>451360</v>
      </c>
      <c r="CB265" s="3">
        <f>CB125</f>
        <v>1233152</v>
      </c>
      <c r="CC265" s="3">
        <f>CC125</f>
        <v>451360</v>
      </c>
      <c r="CD265" s="3">
        <f>CD125</f>
        <v>1233152</v>
      </c>
      <c r="CE265" s="3">
        <f>SUM(CA265:CD265)</f>
        <v>3369024</v>
      </c>
      <c r="CF265" s="3">
        <f>CF125</f>
        <v>1233152</v>
      </c>
      <c r="CG265" s="3">
        <f>CG125</f>
        <v>3369024</v>
      </c>
      <c r="CH265" s="3">
        <f>CH125</f>
        <v>1233152</v>
      </c>
      <c r="CI265" s="3">
        <f>CI125</f>
        <v>3369024</v>
      </c>
      <c r="CJ265" s="3">
        <f>SUM(CF265:CI265)</f>
        <v>9204352</v>
      </c>
      <c r="CK265" s="3">
        <f>CK125</f>
        <v>3369024</v>
      </c>
      <c r="CL265" s="3">
        <f>CL125</f>
        <v>9204352</v>
      </c>
      <c r="CM265" s="3">
        <f>CM125</f>
        <v>3369024</v>
      </c>
      <c r="CN265" s="3">
        <f>CN125</f>
        <v>9204352</v>
      </c>
      <c r="CO265" s="3">
        <f>SUM(CK265:CN265)</f>
        <v>25146752</v>
      </c>
      <c r="CP265" s="3">
        <f>CP125</f>
        <v>9204352</v>
      </c>
      <c r="CQ265" s="3">
        <f>CQ125</f>
        <v>25146752</v>
      </c>
      <c r="CR265" s="3">
        <f>CR125</f>
        <v>9204352</v>
      </c>
      <c r="CS265" s="3">
        <f>CS125</f>
        <v>25146752</v>
      </c>
      <c r="CT265" s="3">
        <f>SUM(CP265:CS265)</f>
        <v>68702208</v>
      </c>
      <c r="CU265" s="3">
        <f>CU125</f>
        <v>25146752</v>
      </c>
      <c r="CV265" s="3">
        <f>CV125</f>
        <v>68702208</v>
      </c>
      <c r="CW265" s="3">
        <f>CW125</f>
        <v>25146752</v>
      </c>
      <c r="CX265" s="3">
        <f>CX125</f>
        <v>68702208</v>
      </c>
      <c r="CY265" s="3">
        <f>SUM(CU265:CX265)</f>
        <v>187697920</v>
      </c>
    </row>
    <row r="266">
      <c r="C266" s="29" t="inlineStr">
        <is>
          <t>Depreciation &amp; amortization</t>
        </is>
      </c>
      <c r="D266" s="3" t="n"/>
      <c r="E266" s="3">
        <f>-E58</f>
        <v>1719</v>
      </c>
      <c r="F266" s="3">
        <f>-F58</f>
        <v>1728</v>
      </c>
      <c r="G266" s="3">
        <f>-G58</f>
        <v>1533</v>
      </c>
      <c r="H266" s="3">
        <f>SUM(D266:G266)</f>
        <v>4980</v>
      </c>
      <c r="I266" s="3">
        <f>-I58</f>
        <v>1504</v>
      </c>
      <c r="J266" s="3">
        <f>-J58</f>
        <v>1503</v>
      </c>
      <c r="K266" s="3">
        <f>-K58</f>
        <v>1501</v>
      </c>
      <c r="L266" s="3">
        <f>-L58</f>
        <v>1287</v>
      </c>
      <c r="M266" s="3">
        <f>SUM(I266:L266)</f>
        <v>5795</v>
      </c>
      <c r="N266" s="3">
        <f>-N58</f>
        <v>1264</v>
      </c>
      <c r="O266" s="3">
        <f>-O58</f>
        <v>1217</v>
      </c>
      <c r="P266" s="3">
        <f>-P58</f>
        <v>1216</v>
      </c>
      <c r="Q266" s="3">
        <f>-Q58</f>
        <v>1032</v>
      </c>
      <c r="R266" s="3">
        <f>SUM(N266:Q266)</f>
        <v>4729</v>
      </c>
      <c r="S266" s="3">
        <f>-S58</f>
        <v>939</v>
      </c>
      <c r="T266" s="3">
        <f>-T58</f>
        <v>932</v>
      </c>
      <c r="U266" s="3">
        <f>-U58</f>
        <v>932</v>
      </c>
      <c r="V266" s="3">
        <f>-V58</f>
        <v>2345</v>
      </c>
      <c r="W266" s="3">
        <f>SUM(S266:V266)</f>
        <v>5148</v>
      </c>
      <c r="X266" s="3">
        <f>-X58</f>
        <v>2530</v>
      </c>
      <c r="Y266" s="3">
        <f>-Y58</f>
        <v>2524</v>
      </c>
      <c r="Z266" s="3">
        <f>-Z58</f>
        <v>2611</v>
      </c>
      <c r="AA266" s="3">
        <f>-AA58</f>
        <v>2174</v>
      </c>
      <c r="AB266" s="3">
        <f>SUM(X266:AA266)</f>
        <v>9839</v>
      </c>
      <c r="AC266" s="3">
        <f>-AC58</f>
        <v>2131</v>
      </c>
      <c r="AD266" s="3">
        <f>-AD58</f>
        <v>2168</v>
      </c>
      <c r="AE266" s="3">
        <f>-AE58</f>
        <v>2233</v>
      </c>
      <c r="AF266" s="3">
        <f>-AF58</f>
        <v>2153</v>
      </c>
      <c r="AG266" s="3">
        <f>SUM(AC266:AF266)</f>
        <v>8685</v>
      </c>
      <c r="AH266" s="3">
        <f>-AH58</f>
        <v>2130</v>
      </c>
      <c r="AI266" s="3">
        <f>-AI58</f>
        <v>2177</v>
      </c>
      <c r="AJ266" s="3">
        <f>-AJ58</f>
        <v>0</v>
      </c>
      <c r="AK266" s="3">
        <f>-AK58</f>
        <v>0</v>
      </c>
      <c r="AL266" s="3">
        <f>SUM(AH266:AK266)</f>
        <v>4307</v>
      </c>
      <c r="AM266" s="3">
        <f>-AM58</f>
        <v>0</v>
      </c>
      <c r="AN266" s="3">
        <f>-AN58</f>
        <v>0</v>
      </c>
      <c r="AO266" s="3">
        <f>-AO58</f>
        <v>0</v>
      </c>
      <c r="AP266" s="3">
        <f>-AP58</f>
        <v>0</v>
      </c>
      <c r="AQ266" s="3">
        <f>SUM(AM266:AP266)</f>
        <v>0</v>
      </c>
      <c r="AR266" s="3">
        <f>-AR58</f>
        <v>0</v>
      </c>
      <c r="AS266" s="3">
        <f>-AS58</f>
        <v>0</v>
      </c>
      <c r="AT266" s="3">
        <f>-AT58</f>
        <v>0</v>
      </c>
      <c r="AU266" s="3">
        <f>-AU58</f>
        <v>0</v>
      </c>
      <c r="AV266" s="3">
        <f>SUM(AR266:AU266)</f>
        <v>0</v>
      </c>
      <c r="AW266" s="3">
        <f>-AW58</f>
        <v>0</v>
      </c>
      <c r="AX266" s="3">
        <f>-AX58</f>
        <v>0</v>
      </c>
      <c r="AY266" s="3">
        <f>-AY58</f>
        <v>0</v>
      </c>
      <c r="AZ266" s="3">
        <f>-AZ58</f>
        <v>0</v>
      </c>
      <c r="BA266" s="3">
        <f>SUM(AW266:AZ266)</f>
        <v>0</v>
      </c>
      <c r="BB266" s="3">
        <f>-BB58</f>
        <v>0</v>
      </c>
      <c r="BC266" s="3">
        <f>-BC58</f>
        <v>0</v>
      </c>
      <c r="BD266" s="3">
        <f>-BD58</f>
        <v>0</v>
      </c>
      <c r="BE266" s="3">
        <f>-BE58</f>
        <v>0</v>
      </c>
      <c r="BF266" s="3">
        <f>SUM(BB266:BE266)</f>
        <v>0</v>
      </c>
      <c r="BG266" s="3">
        <f>-BG58</f>
        <v>0</v>
      </c>
      <c r="BH266" s="3">
        <f>-BH58</f>
        <v>0</v>
      </c>
      <c r="BI266" s="3">
        <f>-BI58</f>
        <v>0</v>
      </c>
      <c r="BJ266" s="3">
        <f>-BJ58</f>
        <v>0</v>
      </c>
      <c r="BK266" s="3">
        <f>SUM(BG266:BJ266)</f>
        <v>0</v>
      </c>
      <c r="BL266" s="3">
        <f>-BL58</f>
        <v>0</v>
      </c>
      <c r="BM266" s="3">
        <f>-BM58</f>
        <v>0</v>
      </c>
      <c r="BN266" s="3">
        <f>-BN58</f>
        <v>0</v>
      </c>
      <c r="BO266" s="3">
        <f>-BO58</f>
        <v>0</v>
      </c>
      <c r="BP266" s="3">
        <f>SUM(BL266:BO266)</f>
        <v>0</v>
      </c>
      <c r="BQ266" s="3">
        <f>-BQ58</f>
        <v>0</v>
      </c>
      <c r="BR266" s="3">
        <f>-BR58</f>
        <v>0</v>
      </c>
      <c r="BS266" s="3">
        <f>-BS58</f>
        <v>0</v>
      </c>
      <c r="BT266" s="3">
        <f>-BT58</f>
        <v>0</v>
      </c>
      <c r="BU266" s="3">
        <f>SUM(BQ266:BT266)</f>
        <v>0</v>
      </c>
      <c r="BV266" s="3">
        <f>-BV58</f>
        <v>0</v>
      </c>
      <c r="BW266" s="3">
        <f>-BW58</f>
        <v>0</v>
      </c>
      <c r="BX266" s="3">
        <f>-BX58</f>
        <v>0</v>
      </c>
      <c r="BY266" s="3">
        <f>-BY58</f>
        <v>0</v>
      </c>
      <c r="BZ266" s="3">
        <f>SUM(BV266:BY266)</f>
        <v>0</v>
      </c>
      <c r="CA266" s="3">
        <f>-CA58</f>
        <v>0</v>
      </c>
      <c r="CB266" s="3">
        <f>-CB58</f>
        <v>0</v>
      </c>
      <c r="CC266" s="3">
        <f>-CC58</f>
        <v>0</v>
      </c>
      <c r="CD266" s="3">
        <f>-CD58</f>
        <v>0</v>
      </c>
      <c r="CE266" s="3">
        <f>SUM(CA266:CD266)</f>
        <v>0</v>
      </c>
      <c r="CF266" s="3">
        <f>-CF58</f>
        <v>0</v>
      </c>
      <c r="CG266" s="3">
        <f>-CG58</f>
        <v>0</v>
      </c>
      <c r="CH266" s="3">
        <f>-CH58</f>
        <v>0</v>
      </c>
      <c r="CI266" s="3">
        <f>-CI58</f>
        <v>0</v>
      </c>
      <c r="CJ266" s="3">
        <f>SUM(CF266:CI266)</f>
        <v>0</v>
      </c>
      <c r="CK266" s="3">
        <f>-CK58</f>
        <v>0</v>
      </c>
      <c r="CL266" s="3">
        <f>-CL58</f>
        <v>0</v>
      </c>
      <c r="CM266" s="3">
        <f>-CM58</f>
        <v>0</v>
      </c>
      <c r="CN266" s="3">
        <f>-CN58</f>
        <v>0</v>
      </c>
      <c r="CO266" s="3">
        <f>SUM(CK266:CN266)</f>
        <v>0</v>
      </c>
      <c r="CP266" s="3">
        <f>-CP58</f>
        <v>0</v>
      </c>
      <c r="CQ266" s="3">
        <f>-CQ58</f>
        <v>0</v>
      </c>
      <c r="CR266" s="3">
        <f>-CR58</f>
        <v>0</v>
      </c>
      <c r="CS266" s="3">
        <f>-CS58</f>
        <v>0</v>
      </c>
      <c r="CT266" s="3">
        <f>SUM(CP266:CS266)</f>
        <v>0</v>
      </c>
      <c r="CU266" s="3">
        <f>-CU58</f>
        <v>0</v>
      </c>
      <c r="CV266" s="3">
        <f>-CV58</f>
        <v>0</v>
      </c>
      <c r="CW266" s="3">
        <f>-CW58</f>
        <v>0</v>
      </c>
      <c r="CX266" s="3">
        <f>-CX58</f>
        <v>0</v>
      </c>
      <c r="CY266" s="3">
        <f>SUM(CU266:CX266)</f>
        <v>0</v>
      </c>
    </row>
    <row r="267">
      <c r="C267" s="29" t="inlineStr">
        <is>
          <t xml:space="preserve">Changes in working capital </t>
        </is>
      </c>
      <c r="D267" s="3" t="n"/>
      <c r="E267" s="3">
        <f>SUM(E268:E277)</f>
        <v>289</v>
      </c>
      <c r="F267" s="3">
        <f>SUM(F268:F277)</f>
        <v>211</v>
      </c>
      <c r="G267" s="3">
        <f>SUM(G268:G277)</f>
        <v>-185</v>
      </c>
      <c r="H267" s="3">
        <f>SUM(D267:G267)</f>
        <v>315</v>
      </c>
      <c r="I267" s="3">
        <f>SUM(I268:I277)</f>
        <v>349</v>
      </c>
      <c r="J267" s="3">
        <f>SUM(J268:J277)</f>
        <v>260</v>
      </c>
      <c r="K267" s="3">
        <f>SUM(K268:K277)</f>
        <v>-123</v>
      </c>
      <c r="L267" s="3">
        <f>SUM(L268:L277)</f>
        <v>-703</v>
      </c>
      <c r="M267" s="3">
        <f>SUM(I267:L267)</f>
        <v>-217</v>
      </c>
      <c r="N267" s="3">
        <f>SUM(N268:N277)</f>
        <v>-62</v>
      </c>
      <c r="O267" s="3">
        <f>SUM(O268:O277)</f>
        <v>11</v>
      </c>
      <c r="P267" s="3">
        <f>SUM(P268:P277)</f>
        <v>-290</v>
      </c>
      <c r="Q267" s="3">
        <f>SUM(Q268:Q277)</f>
        <v>-345</v>
      </c>
      <c r="R267" s="3">
        <f>SUM(N267:Q267)</f>
        <v>-686</v>
      </c>
      <c r="S267" s="3">
        <f>SUM(S268:S277)</f>
        <v>-103</v>
      </c>
      <c r="T267" s="3">
        <f>SUM(T268:T277)</f>
        <v>-128</v>
      </c>
      <c r="U267" s="3">
        <f>SUM(U268:U277)</f>
        <v>-809</v>
      </c>
      <c r="V267" s="3">
        <f>SUM(V268:V277)</f>
        <v>3469</v>
      </c>
      <c r="W267" s="3">
        <f>SUM(S267:V267)</f>
        <v>2429</v>
      </c>
      <c r="X267" s="3">
        <f>SUM(X268:X277)</f>
        <v>-356</v>
      </c>
      <c r="Y267" s="3">
        <f>SUM(Y268:Y277)</f>
        <v>3813</v>
      </c>
      <c r="Z267" s="3">
        <f>SUM(Z268:Z277)</f>
        <v>-886</v>
      </c>
      <c r="AA267" s="3">
        <f>SUM(AA268:AA277)</f>
        <v>-1605</v>
      </c>
      <c r="AB267" s="3">
        <f>SUM(X267:AA267)</f>
        <v>966</v>
      </c>
      <c r="AC267" s="3">
        <f>SUM(AC268:AC277)</f>
        <v>-1217</v>
      </c>
      <c r="AD267" s="3">
        <f>SUM(AD268:AD277)</f>
        <v>-1332</v>
      </c>
      <c r="AE267" s="3">
        <f>SUM(AE268:AE277)</f>
        <v>-1058</v>
      </c>
      <c r="AF267" s="3">
        <f>SUM(AF268:AF277)</f>
        <v>-3248</v>
      </c>
      <c r="AG267" s="3">
        <f>SUM(AC267:AF267)</f>
        <v>-6855</v>
      </c>
      <c r="AH267" s="3">
        <f>SUM(AH268:AH277)</f>
        <v>-2694</v>
      </c>
      <c r="AI267" s="3">
        <f>SUM(AI268:AI277)</f>
        <v>-3637</v>
      </c>
      <c r="AJ267" s="3">
        <f>SUM(AJ268:AJ277)</f>
        <v>12724</v>
      </c>
      <c r="AK267" s="3">
        <f>SUM(AK268:AK277)</f>
        <v>0</v>
      </c>
      <c r="AL267" s="3">
        <f>SUM(AH267:AK267)</f>
        <v>6393</v>
      </c>
      <c r="AM267" s="3" t="e">
        <f>SUM(AM268:AM277)</f>
        <v>#DIV/0!</v>
      </c>
      <c r="AN267" s="3" t="e">
        <f>SUM(AN268:AN277)</f>
        <v>#DIV/0!</v>
      </c>
      <c r="AO267" s="3" t="e">
        <f>SUM(AO268:AO277)</f>
        <v>#DIV/0!</v>
      </c>
      <c r="AP267" s="3" t="e">
        <f>SUM(AP268:AP277)</f>
        <v>#DIV/0!</v>
      </c>
      <c r="AQ267" s="3" t="e">
        <f>SUM(AM267:AP267)</f>
        <v>#DIV/0!</v>
      </c>
      <c r="AR267" s="3" t="e">
        <f>SUM(AR268:AR277)</f>
        <v>#DIV/0!</v>
      </c>
      <c r="AS267" s="3" t="e">
        <f>SUM(AS268:AS277)</f>
        <v>#DIV/0!</v>
      </c>
      <c r="AT267" s="3" t="e">
        <f>SUM(AT268:AT277)</f>
        <v>#DIV/0!</v>
      </c>
      <c r="AU267" s="3" t="e">
        <f>SUM(AU268:AU277)</f>
        <v>#DIV/0!</v>
      </c>
      <c r="AV267" s="3" t="e">
        <f>SUM(AR267:AU267)</f>
        <v>#DIV/0!</v>
      </c>
      <c r="AW267" s="3" t="e">
        <f>SUM(AW268:AW277)</f>
        <v>#DIV/0!</v>
      </c>
      <c r="AX267" s="3" t="e">
        <f>SUM(AX268:AX277)</f>
        <v>#DIV/0!</v>
      </c>
      <c r="AY267" s="3" t="e">
        <f>SUM(AY268:AY277)</f>
        <v>#DIV/0!</v>
      </c>
      <c r="AZ267" s="3" t="e">
        <f>SUM(AZ268:AZ277)</f>
        <v>#DIV/0!</v>
      </c>
      <c r="BA267" s="3" t="e">
        <f>SUM(AW267:AZ267)</f>
        <v>#DIV/0!</v>
      </c>
      <c r="BB267" s="3" t="e">
        <f>SUM(BB268:BB277)</f>
        <v>#DIV/0!</v>
      </c>
      <c r="BC267" s="3" t="e">
        <f>SUM(BC268:BC277)</f>
        <v>#DIV/0!</v>
      </c>
      <c r="BD267" s="3" t="e">
        <f>SUM(BD268:BD277)</f>
        <v>#DIV/0!</v>
      </c>
      <c r="BE267" s="3" t="e">
        <f>SUM(BE268:BE277)</f>
        <v>#DIV/0!</v>
      </c>
      <c r="BF267" s="3" t="e">
        <f>SUM(BB267:BE267)</f>
        <v>#DIV/0!</v>
      </c>
      <c r="BG267" s="3" t="e">
        <f>SUM(BG268:BG277)</f>
        <v>#DIV/0!</v>
      </c>
      <c r="BH267" s="3" t="e">
        <f>SUM(BH268:BH277)</f>
        <v>#DIV/0!</v>
      </c>
      <c r="BI267" s="3" t="e">
        <f>SUM(BI268:BI277)</f>
        <v>#DIV/0!</v>
      </c>
      <c r="BJ267" s="3" t="e">
        <f>SUM(BJ268:BJ277)</f>
        <v>#DIV/0!</v>
      </c>
      <c r="BK267" s="3" t="e">
        <f>SUM(BG267:BJ267)</f>
        <v>#DIV/0!</v>
      </c>
      <c r="BL267" s="3" t="e">
        <f>SUM(BL268:BL277)</f>
        <v>#DIV/0!</v>
      </c>
      <c r="BM267" s="3" t="e">
        <f>SUM(BM268:BM277)</f>
        <v>#DIV/0!</v>
      </c>
      <c r="BN267" s="3" t="e">
        <f>SUM(BN268:BN277)</f>
        <v>#DIV/0!</v>
      </c>
      <c r="BO267" s="3" t="e">
        <f>SUM(BO268:BO277)</f>
        <v>#DIV/0!</v>
      </c>
      <c r="BP267" s="3" t="e">
        <f>SUM(BL267:BO267)</f>
        <v>#DIV/0!</v>
      </c>
      <c r="BQ267" s="3" t="e">
        <f>SUM(BQ268:BQ277)</f>
        <v>#DIV/0!</v>
      </c>
      <c r="BR267" s="3" t="e">
        <f>SUM(BR268:BR277)</f>
        <v>#DIV/0!</v>
      </c>
      <c r="BS267" s="3" t="e">
        <f>SUM(BS268:BS277)</f>
        <v>#DIV/0!</v>
      </c>
      <c r="BT267" s="3" t="e">
        <f>SUM(BT268:BT277)</f>
        <v>#DIV/0!</v>
      </c>
      <c r="BU267" s="3" t="e">
        <f>SUM(BQ267:BT267)</f>
        <v>#DIV/0!</v>
      </c>
      <c r="BV267" s="3" t="e">
        <f>SUM(BV268:BV277)</f>
        <v>#DIV/0!</v>
      </c>
      <c r="BW267" s="3" t="e">
        <f>SUM(BW268:BW277)</f>
        <v>#DIV/0!</v>
      </c>
      <c r="BX267" s="3" t="e">
        <f>SUM(BX268:BX277)</f>
        <v>#DIV/0!</v>
      </c>
      <c r="BY267" s="3" t="e">
        <f>SUM(BY268:BY277)</f>
        <v>#DIV/0!</v>
      </c>
      <c r="BZ267" s="3" t="e">
        <f>SUM(BV267:BY267)</f>
        <v>#DIV/0!</v>
      </c>
      <c r="CA267" s="3" t="e">
        <f>SUM(CA268:CA277)</f>
        <v>#DIV/0!</v>
      </c>
      <c r="CB267" s="3" t="e">
        <f>SUM(CB268:CB277)</f>
        <v>#DIV/0!</v>
      </c>
      <c r="CC267" s="3" t="e">
        <f>SUM(CC268:CC277)</f>
        <v>#DIV/0!</v>
      </c>
      <c r="CD267" s="3" t="e">
        <f>SUM(CD268:CD277)</f>
        <v>#DIV/0!</v>
      </c>
      <c r="CE267" s="3" t="e">
        <f>SUM(CA267:CD267)</f>
        <v>#DIV/0!</v>
      </c>
      <c r="CF267" s="3" t="e">
        <f>SUM(CF268:CF277)</f>
        <v>#DIV/0!</v>
      </c>
      <c r="CG267" s="3" t="e">
        <f>SUM(CG268:CG277)</f>
        <v>#DIV/0!</v>
      </c>
      <c r="CH267" s="3" t="e">
        <f>SUM(CH268:CH277)</f>
        <v>#DIV/0!</v>
      </c>
      <c r="CI267" s="3" t="e">
        <f>SUM(CI268:CI277)</f>
        <v>#DIV/0!</v>
      </c>
      <c r="CJ267" s="3" t="e">
        <f>SUM(CF267:CI267)</f>
        <v>#DIV/0!</v>
      </c>
      <c r="CK267" s="3" t="e">
        <f>SUM(CK268:CK277)</f>
        <v>#DIV/0!</v>
      </c>
      <c r="CL267" s="3" t="e">
        <f>SUM(CL268:CL277)</f>
        <v>#DIV/0!</v>
      </c>
      <c r="CM267" s="3" t="e">
        <f>SUM(CM268:CM277)</f>
        <v>#DIV/0!</v>
      </c>
      <c r="CN267" s="3" t="e">
        <f>SUM(CN268:CN277)</f>
        <v>#DIV/0!</v>
      </c>
      <c r="CO267" s="3" t="e">
        <f>SUM(CK267:CN267)</f>
        <v>#DIV/0!</v>
      </c>
      <c r="CP267" s="3" t="e">
        <f>SUM(CP268:CP277)</f>
        <v>#DIV/0!</v>
      </c>
      <c r="CQ267" s="3" t="e">
        <f>SUM(CQ268:CQ277)</f>
        <v>#DIV/0!</v>
      </c>
      <c r="CR267" s="3" t="e">
        <f>SUM(CR268:CR277)</f>
        <v>#DIV/0!</v>
      </c>
      <c r="CS267" s="3" t="e">
        <f>SUM(CS268:CS277)</f>
        <v>#DIV/0!</v>
      </c>
      <c r="CT267" s="3" t="e">
        <f>SUM(CP267:CS267)</f>
        <v>#DIV/0!</v>
      </c>
      <c r="CU267" s="3" t="e">
        <f>SUM(CU268:CU277)</f>
        <v>#DIV/0!</v>
      </c>
      <c r="CV267" s="3" t="e">
        <f>SUM(CV268:CV277)</f>
        <v>#DIV/0!</v>
      </c>
      <c r="CW267" s="3" t="e">
        <f>SUM(CW268:CW277)</f>
        <v>#DIV/0!</v>
      </c>
      <c r="CX267" s="3" t="e">
        <f>SUM(CX268:CX277)</f>
        <v>#DIV/0!</v>
      </c>
      <c r="CY267" s="3" t="e">
        <f>SUM(CU267:CX267)</f>
        <v>#DIV/0!</v>
      </c>
    </row>
    <row r="268" hidden="1" outlineLevel="1">
      <c r="C268" s="29" t="inlineStr">
        <is>
          <t>Accounts receivable</t>
        </is>
      </c>
      <c r="D268" s="3" t="n"/>
      <c r="E268" s="3">
        <f>(E133-D133)*-1</f>
        <v>527</v>
      </c>
      <c r="F268" s="3">
        <f>(F133-E133)*-1</f>
        <v>387</v>
      </c>
      <c r="G268" s="3">
        <f>(G133-F133)*-1</f>
        <v>-227</v>
      </c>
      <c r="H268" s="3">
        <f>SUM(D268:G268)</f>
        <v>687</v>
      </c>
      <c r="I268" s="3">
        <f>(I133-H133)*-1</f>
        <v>99</v>
      </c>
      <c r="J268" s="3">
        <f>(J133-I133)*-1</f>
        <v>191</v>
      </c>
      <c r="K268" s="3">
        <f>(K133-J133)*-1</f>
        <v>163</v>
      </c>
      <c r="L268" s="3">
        <f>(L133-K133)*-1</f>
        <v>-468</v>
      </c>
      <c r="M268" s="3">
        <f>SUM(I268:L268)</f>
        <v>-15</v>
      </c>
      <c r="N268" s="3">
        <f>(N133-M133)*-1</f>
        <v>-544</v>
      </c>
      <c r="O268" s="3">
        <f>(O133-N133)*-1</f>
        <v>375</v>
      </c>
      <c r="P268" s="3">
        <f>(P133-O133)*-1</f>
        <v>-250</v>
      </c>
      <c r="Q268" s="3">
        <f>(Q133-P133)*-1</f>
        <v>-276</v>
      </c>
      <c r="R268" s="3">
        <f>SUM(N268:Q268)</f>
        <v>-695</v>
      </c>
      <c r="S268" s="3">
        <f>(S133-R133)*-1</f>
        <v>203</v>
      </c>
      <c r="T268" s="3">
        <f>(T133-S133)*-1</f>
        <v>117</v>
      </c>
      <c r="U268" s="3">
        <f>(U133-T133)*-1</f>
        <v>-240</v>
      </c>
      <c r="V268" s="3">
        <f>(V133-U133)*-1</f>
        <v>-1815</v>
      </c>
      <c r="W268" s="3">
        <f>SUM(S268:V268)</f>
        <v>-1735</v>
      </c>
      <c r="X268" s="3">
        <f>(X133-W133)*-1</f>
        <v>-531</v>
      </c>
      <c r="Y268" s="3">
        <f>(Y133-X133)*-1</f>
        <v>835</v>
      </c>
      <c r="Z268" s="3">
        <f>(Z133-Y133)*-1</f>
        <v>249</v>
      </c>
      <c r="AA268" s="3">
        <f>(AA133-Z133)*-1</f>
        <v>-539</v>
      </c>
      <c r="AB268" s="3">
        <f>SUM(X268:AA268)</f>
        <v>14</v>
      </c>
      <c r="AC268" s="3">
        <f>(AC133-AB133)*-1</f>
        <v>-608</v>
      </c>
      <c r="AD268" s="3">
        <f>(AD133-AC133)*-1</f>
        <v>-931</v>
      </c>
      <c r="AE268" s="3">
        <f>(AE133-AD133)*-1</f>
        <v>-651</v>
      </c>
      <c r="AF268" s="3">
        <f>(AF133-AE133)*-1</f>
        <v>-1315</v>
      </c>
      <c r="AG268" s="3">
        <f>SUM(AC268:AF268)</f>
        <v>-3505</v>
      </c>
      <c r="AH268" s="3">
        <f>(AH133-AG133)*-1</f>
        <v>-2370</v>
      </c>
      <c r="AI268" s="3">
        <f>(AI133-AH133)*-1</f>
        <v>-2877</v>
      </c>
      <c r="AJ268" s="3">
        <f>(AJ133-AI133)*-1</f>
        <v>13707</v>
      </c>
      <c r="AK268" s="3">
        <f>(AK133-AJ133)*-1</f>
        <v>0</v>
      </c>
      <c r="AL268" s="3">
        <f>SUM(AH268:AK268)</f>
        <v>8460</v>
      </c>
      <c r="AM268" s="3">
        <f>(AM133-AL133)*-1</f>
        <v>0</v>
      </c>
      <c r="AN268" s="3">
        <f>(AN133-AM133)*-1</f>
        <v>0</v>
      </c>
      <c r="AO268" s="3">
        <f>(AO133-AN133)*-1</f>
        <v>0</v>
      </c>
      <c r="AP268" s="3">
        <f>(AP133-AO133)*-1</f>
        <v>0</v>
      </c>
      <c r="AQ268" s="3">
        <f>SUM(AM268:AP268)</f>
        <v>0</v>
      </c>
      <c r="AR268" s="3">
        <f>(AR133-AQ133)*-1</f>
        <v>0</v>
      </c>
      <c r="AS268" s="3">
        <f>(AS133-AR133)*-1</f>
        <v>0</v>
      </c>
      <c r="AT268" s="3">
        <f>(AT133-AS133)*-1</f>
        <v>0</v>
      </c>
      <c r="AU268" s="3">
        <f>(AU133-AT133)*-1</f>
        <v>0</v>
      </c>
      <c r="AV268" s="3">
        <f>SUM(AR268:AU268)</f>
        <v>0</v>
      </c>
      <c r="AW268" s="3">
        <f>(AW133-AV133)*-1</f>
        <v>0</v>
      </c>
      <c r="AX268" s="3">
        <f>(AX133-AW133)*-1</f>
        <v>0</v>
      </c>
      <c r="AY268" s="3">
        <f>(AY133-AX133)*-1</f>
        <v>0</v>
      </c>
      <c r="AZ268" s="3">
        <f>(AZ133-AY133)*-1</f>
        <v>0</v>
      </c>
      <c r="BA268" s="3">
        <f>SUM(AW268:AZ268)</f>
        <v>0</v>
      </c>
      <c r="BB268" s="3">
        <f>(BB133-BA133)*-1</f>
        <v>0</v>
      </c>
      <c r="BC268" s="3">
        <f>(BC133-BB133)*-1</f>
        <v>0</v>
      </c>
      <c r="BD268" s="3">
        <f>(BD133-BC133)*-1</f>
        <v>0</v>
      </c>
      <c r="BE268" s="3">
        <f>(BE133-BD133)*-1</f>
        <v>0</v>
      </c>
      <c r="BF268" s="3">
        <f>SUM(BB268:BE268)</f>
        <v>0</v>
      </c>
      <c r="BG268" s="3">
        <f>(BG133-BF133)*-1</f>
        <v>0</v>
      </c>
      <c r="BH268" s="3">
        <f>(BH133-BG133)*-1</f>
        <v>0</v>
      </c>
      <c r="BI268" s="3">
        <f>(BI133-BH133)*-1</f>
        <v>0</v>
      </c>
      <c r="BJ268" s="3">
        <f>(BJ133-BI133)*-1</f>
        <v>0</v>
      </c>
      <c r="BK268" s="3">
        <f>SUM(BG268:BJ268)</f>
        <v>0</v>
      </c>
      <c r="BL268" s="3">
        <f>(BL133-BK133)*-1</f>
        <v>0</v>
      </c>
      <c r="BM268" s="3">
        <f>(BM133-BL133)*-1</f>
        <v>0</v>
      </c>
      <c r="BN268" s="3">
        <f>(BN133-BM133)*-1</f>
        <v>0</v>
      </c>
      <c r="BO268" s="3">
        <f>(BO133-BN133)*-1</f>
        <v>0</v>
      </c>
      <c r="BP268" s="3">
        <f>SUM(BL268:BO268)</f>
        <v>0</v>
      </c>
      <c r="BQ268" s="3">
        <f>(BQ133-BP133)*-1</f>
        <v>0</v>
      </c>
      <c r="BR268" s="3">
        <f>(BR133-BQ133)*-1</f>
        <v>0</v>
      </c>
      <c r="BS268" s="3">
        <f>(BS133-BR133)*-1</f>
        <v>0</v>
      </c>
      <c r="BT268" s="3">
        <f>(BT133-BS133)*-1</f>
        <v>0</v>
      </c>
      <c r="BU268" s="3">
        <f>SUM(BQ268:BT268)</f>
        <v>0</v>
      </c>
      <c r="BV268" s="3">
        <f>(BV133-BU133)*-1</f>
        <v>0</v>
      </c>
      <c r="BW268" s="3">
        <f>(BW133-BV133)*-1</f>
        <v>0</v>
      </c>
      <c r="BX268" s="3">
        <f>(BX133-BW133)*-1</f>
        <v>0</v>
      </c>
      <c r="BY268" s="3">
        <f>(BY133-BX133)*-1</f>
        <v>0</v>
      </c>
      <c r="BZ268" s="3">
        <f>SUM(BV268:BY268)</f>
        <v>0</v>
      </c>
      <c r="CA268" s="3">
        <f>(CA133-BZ133)*-1</f>
        <v>0</v>
      </c>
      <c r="CB268" s="3">
        <f>(CB133-CA133)*-1</f>
        <v>0</v>
      </c>
      <c r="CC268" s="3">
        <f>(CC133-CB133)*-1</f>
        <v>0</v>
      </c>
      <c r="CD268" s="3">
        <f>(CD133-CC133)*-1</f>
        <v>0</v>
      </c>
      <c r="CE268" s="3">
        <f>SUM(CA268:CD268)</f>
        <v>0</v>
      </c>
      <c r="CF268" s="3">
        <f>(CF133-CE133)*-1</f>
        <v>0</v>
      </c>
      <c r="CG268" s="3">
        <f>(CG133-CF133)*-1</f>
        <v>0</v>
      </c>
      <c r="CH268" s="3">
        <f>(CH133-CG133)*-1</f>
        <v>0</v>
      </c>
      <c r="CI268" s="3">
        <f>(CI133-CH133)*-1</f>
        <v>0</v>
      </c>
      <c r="CJ268" s="3">
        <f>SUM(CF268:CI268)</f>
        <v>0</v>
      </c>
      <c r="CK268" s="3">
        <f>(CK133-CJ133)*-1</f>
        <v>0</v>
      </c>
      <c r="CL268" s="3">
        <f>(CL133-CK133)*-1</f>
        <v>0</v>
      </c>
      <c r="CM268" s="3">
        <f>(CM133-CL133)*-1</f>
        <v>0</v>
      </c>
      <c r="CN268" s="3">
        <f>(CN133-CM133)*-1</f>
        <v>0</v>
      </c>
      <c r="CO268" s="3">
        <f>SUM(CK268:CN268)</f>
        <v>0</v>
      </c>
      <c r="CP268" s="3">
        <f>(CP133-CO133)*-1</f>
        <v>0</v>
      </c>
      <c r="CQ268" s="3">
        <f>(CQ133-CP133)*-1</f>
        <v>0</v>
      </c>
      <c r="CR268" s="3">
        <f>(CR133-CQ133)*-1</f>
        <v>0</v>
      </c>
      <c r="CS268" s="3">
        <f>(CS133-CR133)*-1</f>
        <v>0</v>
      </c>
      <c r="CT268" s="3">
        <f>SUM(CP268:CS268)</f>
        <v>0</v>
      </c>
      <c r="CU268" s="3">
        <f>(CU133-CT133)*-1</f>
        <v>0</v>
      </c>
      <c r="CV268" s="3">
        <f>(CV133-CU133)*-1</f>
        <v>0</v>
      </c>
      <c r="CW268" s="3">
        <f>(CW133-CV133)*-1</f>
        <v>0</v>
      </c>
      <c r="CX268" s="3">
        <f>(CX133-CW133)*-1</f>
        <v>0</v>
      </c>
      <c r="CY268" s="3">
        <f>SUM(CU268:CX268)</f>
        <v>0</v>
      </c>
    </row>
    <row r="269" hidden="1" outlineLevel="1">
      <c r="C269" s="29" t="inlineStr">
        <is>
          <t>Inventories</t>
        </is>
      </c>
      <c r="D269" s="3" t="n"/>
      <c r="E269" s="3">
        <f>(E137-D137)*-1</f>
        <v>-128</v>
      </c>
      <c r="F269" s="3">
        <f>(F137-E137)*-1</f>
        <v>78</v>
      </c>
      <c r="G269" s="3">
        <f>(G137-F137)*-1</f>
        <v>51</v>
      </c>
      <c r="H269" s="3">
        <f>SUM(D269:G269)</f>
        <v>1</v>
      </c>
      <c r="I269" s="3">
        <f>(I137-H137)*-1</f>
        <v>-52</v>
      </c>
      <c r="J269" s="3">
        <f>(J137-I137)*-1</f>
        <v>-156</v>
      </c>
      <c r="K269" s="3">
        <f>(K137-J137)*-1</f>
        <v>-137</v>
      </c>
      <c r="L269" s="3">
        <f>(L137-K137)*-1</f>
        <v>-223</v>
      </c>
      <c r="M269" s="3">
        <f>SUM(I269:L269)</f>
        <v>-568</v>
      </c>
      <c r="N269" s="3">
        <f>(N137-M137)*-1</f>
        <v>-148</v>
      </c>
      <c r="O269" s="3">
        <f>(O137-N137)*-1</f>
        <v>-170</v>
      </c>
      <c r="P269" s="3">
        <f>(P137-O137)*-1</f>
        <v>-87</v>
      </c>
      <c r="Q269" s="3">
        <f>(Q137-P137)*-1</f>
        <v>26</v>
      </c>
      <c r="R269" s="3">
        <f>SUM(N269:Q269)</f>
        <v>-379</v>
      </c>
      <c r="S269" s="3">
        <f>(S137-R137)*-1</f>
        <v>13</v>
      </c>
      <c r="T269" s="3">
        <f>(T137-S137)*-1</f>
        <v>44</v>
      </c>
      <c r="U269" s="3">
        <f>(U137-T137)*-1</f>
        <v>-56</v>
      </c>
      <c r="V269" s="3">
        <f>(V137-U137)*-1</f>
        <v>-22</v>
      </c>
      <c r="W269" s="3">
        <f>SUM(S269:V269)</f>
        <v>-21</v>
      </c>
      <c r="X269" s="3">
        <f>(X137-W137)*-1</f>
        <v>78</v>
      </c>
      <c r="Y269" s="3">
        <f>(Y137-X137)*-1</f>
        <v>-52</v>
      </c>
      <c r="Z269" s="3">
        <f>(Z137-Y137)*-1</f>
        <v>134</v>
      </c>
      <c r="AA269" s="3">
        <f>(AA137-Z137)*-1</f>
        <v>-148</v>
      </c>
      <c r="AB269" s="3">
        <f>SUM(X269:AA269)</f>
        <v>12</v>
      </c>
      <c r="AC269" s="3">
        <f>(AC137-AB137)*-1</f>
        <v>-109</v>
      </c>
      <c r="AD269" s="3">
        <f>(AD137-AC137)*-1</f>
        <v>-163</v>
      </c>
      <c r="AE269" s="3">
        <f>(AE137-AD137)*-1</f>
        <v>-90</v>
      </c>
      <c r="AF269" s="3">
        <f>(AF137-AE137)*-1</f>
        <v>-692</v>
      </c>
      <c r="AG269" s="3">
        <f>SUM(AC269:AF269)</f>
        <v>-1054</v>
      </c>
      <c r="AH269" s="3">
        <f>(AH137-AG137)*-1</f>
        <v>-1366</v>
      </c>
      <c r="AI269" s="3">
        <f>(AI137-AH137)*-1</f>
        <v>-195</v>
      </c>
      <c r="AJ269" s="3">
        <f>(AJ137-AI137)*-1</f>
        <v>4523</v>
      </c>
      <c r="AK269" s="3">
        <f>(AK137-AJ137)*-1</f>
        <v>0</v>
      </c>
      <c r="AL269" s="3">
        <f>SUM(AH269:AK269)</f>
        <v>2962</v>
      </c>
      <c r="AM269" s="3">
        <f>(AM137-AL137)*-1</f>
        <v>0</v>
      </c>
      <c r="AN269" s="3">
        <f>(AN137-AM137)*-1</f>
        <v>0</v>
      </c>
      <c r="AO269" s="3">
        <f>(AO137-AN137)*-1</f>
        <v>0</v>
      </c>
      <c r="AP269" s="3">
        <f>(AP137-AO137)*-1</f>
        <v>0</v>
      </c>
      <c r="AQ269" s="3">
        <f>SUM(AM269:AP269)</f>
        <v>0</v>
      </c>
      <c r="AR269" s="3">
        <f>(AR137-AQ137)*-1</f>
        <v>0</v>
      </c>
      <c r="AS269" s="3">
        <f>(AS137-AR137)*-1</f>
        <v>0</v>
      </c>
      <c r="AT269" s="3">
        <f>(AT137-AS137)*-1</f>
        <v>0</v>
      </c>
      <c r="AU269" s="3">
        <f>(AU137-AT137)*-1</f>
        <v>0</v>
      </c>
      <c r="AV269" s="3">
        <f>SUM(AR269:AU269)</f>
        <v>0</v>
      </c>
      <c r="AW269" s="3">
        <f>(AW137-AV137)*-1</f>
        <v>0</v>
      </c>
      <c r="AX269" s="3">
        <f>(AX137-AW137)*-1</f>
        <v>0</v>
      </c>
      <c r="AY269" s="3">
        <f>(AY137-AX137)*-1</f>
        <v>0</v>
      </c>
      <c r="AZ269" s="3">
        <f>(AZ137-AY137)*-1</f>
        <v>0</v>
      </c>
      <c r="BA269" s="3">
        <f>SUM(AW269:AZ269)</f>
        <v>0</v>
      </c>
      <c r="BB269" s="3">
        <f>(BB137-BA137)*-1</f>
        <v>0</v>
      </c>
      <c r="BC269" s="3">
        <f>(BC137-BB137)*-1</f>
        <v>0</v>
      </c>
      <c r="BD269" s="3">
        <f>(BD137-BC137)*-1</f>
        <v>0</v>
      </c>
      <c r="BE269" s="3">
        <f>(BE137-BD137)*-1</f>
        <v>0</v>
      </c>
      <c r="BF269" s="3">
        <f>SUM(BB269:BE269)</f>
        <v>0</v>
      </c>
      <c r="BG269" s="3">
        <f>(BG137-BF137)*-1</f>
        <v>0</v>
      </c>
      <c r="BH269" s="3">
        <f>(BH137-BG137)*-1</f>
        <v>0</v>
      </c>
      <c r="BI269" s="3">
        <f>(BI137-BH137)*-1</f>
        <v>0</v>
      </c>
      <c r="BJ269" s="3">
        <f>(BJ137-BI137)*-1</f>
        <v>0</v>
      </c>
      <c r="BK269" s="3">
        <f>SUM(BG269:BJ269)</f>
        <v>0</v>
      </c>
      <c r="BL269" s="3">
        <f>(BL137-BK137)*-1</f>
        <v>0</v>
      </c>
      <c r="BM269" s="3">
        <f>(BM137-BL137)*-1</f>
        <v>0</v>
      </c>
      <c r="BN269" s="3">
        <f>(BN137-BM137)*-1</f>
        <v>0</v>
      </c>
      <c r="BO269" s="3">
        <f>(BO137-BN137)*-1</f>
        <v>0</v>
      </c>
      <c r="BP269" s="3">
        <f>SUM(BL269:BO269)</f>
        <v>0</v>
      </c>
      <c r="BQ269" s="3">
        <f>(BQ137-BP137)*-1</f>
        <v>0</v>
      </c>
      <c r="BR269" s="3">
        <f>(BR137-BQ137)*-1</f>
        <v>0</v>
      </c>
      <c r="BS269" s="3">
        <f>(BS137-BR137)*-1</f>
        <v>0</v>
      </c>
      <c r="BT269" s="3">
        <f>(BT137-BS137)*-1</f>
        <v>0</v>
      </c>
      <c r="BU269" s="3">
        <f>SUM(BQ269:BT269)</f>
        <v>0</v>
      </c>
      <c r="BV269" s="3">
        <f>(BV137-BU137)*-1</f>
        <v>0</v>
      </c>
      <c r="BW269" s="3">
        <f>(BW137-BV137)*-1</f>
        <v>0</v>
      </c>
      <c r="BX269" s="3">
        <f>(BX137-BW137)*-1</f>
        <v>0</v>
      </c>
      <c r="BY269" s="3">
        <f>(BY137-BX137)*-1</f>
        <v>0</v>
      </c>
      <c r="BZ269" s="3">
        <f>SUM(BV269:BY269)</f>
        <v>0</v>
      </c>
      <c r="CA269" s="3">
        <f>(CA137-BZ137)*-1</f>
        <v>0</v>
      </c>
      <c r="CB269" s="3">
        <f>(CB137-CA137)*-1</f>
        <v>0</v>
      </c>
      <c r="CC269" s="3">
        <f>(CC137-CB137)*-1</f>
        <v>0</v>
      </c>
      <c r="CD269" s="3">
        <f>(CD137-CC137)*-1</f>
        <v>0</v>
      </c>
      <c r="CE269" s="3">
        <f>SUM(CA269:CD269)</f>
        <v>0</v>
      </c>
      <c r="CF269" s="3">
        <f>(CF137-CE137)*-1</f>
        <v>0</v>
      </c>
      <c r="CG269" s="3">
        <f>(CG137-CF137)*-1</f>
        <v>0</v>
      </c>
      <c r="CH269" s="3">
        <f>(CH137-CG137)*-1</f>
        <v>0</v>
      </c>
      <c r="CI269" s="3">
        <f>(CI137-CH137)*-1</f>
        <v>0</v>
      </c>
      <c r="CJ269" s="3">
        <f>SUM(CF269:CI269)</f>
        <v>0</v>
      </c>
      <c r="CK269" s="3">
        <f>(CK137-CJ137)*-1</f>
        <v>0</v>
      </c>
      <c r="CL269" s="3">
        <f>(CL137-CK137)*-1</f>
        <v>0</v>
      </c>
      <c r="CM269" s="3">
        <f>(CM137-CL137)*-1</f>
        <v>0</v>
      </c>
      <c r="CN269" s="3">
        <f>(CN137-CM137)*-1</f>
        <v>0</v>
      </c>
      <c r="CO269" s="3">
        <f>SUM(CK269:CN269)</f>
        <v>0</v>
      </c>
      <c r="CP269" s="3">
        <f>(CP137-CO137)*-1</f>
        <v>0</v>
      </c>
      <c r="CQ269" s="3">
        <f>(CQ137-CP137)*-1</f>
        <v>0</v>
      </c>
      <c r="CR269" s="3">
        <f>(CR137-CQ137)*-1</f>
        <v>0</v>
      </c>
      <c r="CS269" s="3">
        <f>(CS137-CR137)*-1</f>
        <v>0</v>
      </c>
      <c r="CT269" s="3">
        <f>SUM(CP269:CS269)</f>
        <v>0</v>
      </c>
      <c r="CU269" s="3">
        <f>(CU137-CT137)*-1</f>
        <v>0</v>
      </c>
      <c r="CV269" s="3">
        <f>(CV137-CU137)*-1</f>
        <v>0</v>
      </c>
      <c r="CW269" s="3">
        <f>(CW137-CV137)*-1</f>
        <v>0</v>
      </c>
      <c r="CX269" s="3">
        <f>(CX137-CW137)*-1</f>
        <v>0</v>
      </c>
      <c r="CY269" s="3">
        <f>SUM(CU269:CX269)</f>
        <v>0</v>
      </c>
    </row>
    <row r="270" hidden="1" outlineLevel="1">
      <c r="C270" s="29" t="inlineStr">
        <is>
          <t>Deferred income taxes</t>
        </is>
      </c>
      <c r="D270" s="3" t="n"/>
      <c r="E270" s="3">
        <f>(E141-D141)*-1</f>
        <v>0</v>
      </c>
      <c r="F270" s="3">
        <f>(F141-E141)*-1</f>
        <v>0</v>
      </c>
      <c r="G270" s="3">
        <f>(G141-F141)*-1</f>
        <v>0</v>
      </c>
      <c r="H270" s="3">
        <f>SUM(D270:G270)</f>
        <v>0</v>
      </c>
      <c r="I270" s="3">
        <f>(I141-H141)*-1</f>
        <v>0</v>
      </c>
      <c r="J270" s="3">
        <f>(J141-I141)*-1</f>
        <v>0</v>
      </c>
      <c r="K270" s="3">
        <f>(K141-J141)*-1</f>
        <v>0</v>
      </c>
      <c r="L270" s="3">
        <f>(L141-K141)*-1</f>
        <v>0</v>
      </c>
      <c r="M270" s="3">
        <f>SUM(I270:L270)</f>
        <v>0</v>
      </c>
      <c r="N270" s="3">
        <f>(N141-M141)*-1</f>
        <v>0</v>
      </c>
      <c r="O270" s="3">
        <f>(O141-N141)*-1</f>
        <v>0</v>
      </c>
      <c r="P270" s="3">
        <f>(P141-O141)*-1</f>
        <v>0</v>
      </c>
      <c r="Q270" s="3">
        <f>(Q141-P141)*-1</f>
        <v>0</v>
      </c>
      <c r="R270" s="3">
        <f>SUM(N270:Q270)</f>
        <v>0</v>
      </c>
      <c r="S270" s="3">
        <f>(S141-R141)*-1</f>
        <v>0</v>
      </c>
      <c r="T270" s="3">
        <f>(T141-S141)*-1</f>
        <v>0</v>
      </c>
      <c r="U270" s="3">
        <f>(U141-T141)*-1</f>
        <v>0</v>
      </c>
      <c r="V270" s="3">
        <f>(V141-U141)*-1</f>
        <v>0</v>
      </c>
      <c r="W270" s="3">
        <f>SUM(S270:V270)</f>
        <v>0</v>
      </c>
      <c r="X270" s="3">
        <f>(X141-W141)*-1</f>
        <v>0</v>
      </c>
      <c r="Y270" s="3">
        <f>(Y141-X141)*-1</f>
        <v>0</v>
      </c>
      <c r="Z270" s="3">
        <f>(Z141-Y141)*-1</f>
        <v>0</v>
      </c>
      <c r="AA270" s="3">
        <f>(AA141-Z141)*-1</f>
        <v>0</v>
      </c>
      <c r="AB270" s="3">
        <f>SUM(X270:AA270)</f>
        <v>0</v>
      </c>
      <c r="AC270" s="3">
        <f>(AC141-AB141)*-1</f>
        <v>0</v>
      </c>
      <c r="AD270" s="3">
        <f>(AD141-AC141)*-1</f>
        <v>0</v>
      </c>
      <c r="AE270" s="3">
        <f>(AE141-AD141)*-1</f>
        <v>0</v>
      </c>
      <c r="AF270" s="3">
        <f>(AF141-AE141)*-1</f>
        <v>0</v>
      </c>
      <c r="AG270" s="3">
        <f>SUM(AC270:AF270)</f>
        <v>0</v>
      </c>
      <c r="AH270" s="3">
        <f>(AH141-AG141)*-1</f>
        <v>0</v>
      </c>
      <c r="AI270" s="3">
        <f>(AI141-AH141)*-1</f>
        <v>0</v>
      </c>
      <c r="AJ270" s="3">
        <f>(AJ141-AI141)*-1</f>
        <v>0</v>
      </c>
      <c r="AK270" s="3">
        <f>(AK141-AJ141)*-1</f>
        <v>0</v>
      </c>
      <c r="AL270" s="3">
        <f>SUM(AH270:AK270)</f>
        <v>0</v>
      </c>
      <c r="AM270" s="3">
        <f>(AM141-AL141)*-1</f>
        <v>0</v>
      </c>
      <c r="AN270" s="3">
        <f>(AN141-AM141)*-1</f>
        <v>0</v>
      </c>
      <c r="AO270" s="3">
        <f>(AO141-AN141)*-1</f>
        <v>0</v>
      </c>
      <c r="AP270" s="3">
        <f>(AP141-AO141)*-1</f>
        <v>0</v>
      </c>
      <c r="AQ270" s="3">
        <f>SUM(AM270:AP270)</f>
        <v>0</v>
      </c>
      <c r="AR270" s="3">
        <f>(AR141-AQ141)*-1</f>
        <v>0</v>
      </c>
      <c r="AS270" s="3">
        <f>(AS141-AR141)*-1</f>
        <v>0</v>
      </c>
      <c r="AT270" s="3">
        <f>(AT141-AS141)*-1</f>
        <v>0</v>
      </c>
      <c r="AU270" s="3">
        <f>(AU141-AT141)*-1</f>
        <v>0</v>
      </c>
      <c r="AV270" s="3">
        <f>SUM(AR270:AU270)</f>
        <v>0</v>
      </c>
      <c r="AW270" s="3">
        <f>(AW141-AV141)*-1</f>
        <v>0</v>
      </c>
      <c r="AX270" s="3">
        <f>(AX141-AW141)*-1</f>
        <v>0</v>
      </c>
      <c r="AY270" s="3">
        <f>(AY141-AX141)*-1</f>
        <v>0</v>
      </c>
      <c r="AZ270" s="3">
        <f>(AZ141-AY141)*-1</f>
        <v>0</v>
      </c>
      <c r="BA270" s="3">
        <f>SUM(AW270:AZ270)</f>
        <v>0</v>
      </c>
      <c r="BB270" s="3">
        <f>(BB141-BA141)*-1</f>
        <v>0</v>
      </c>
      <c r="BC270" s="3">
        <f>(BC141-BB141)*-1</f>
        <v>0</v>
      </c>
      <c r="BD270" s="3">
        <f>(BD141-BC141)*-1</f>
        <v>0</v>
      </c>
      <c r="BE270" s="3">
        <f>(BE141-BD141)*-1</f>
        <v>0</v>
      </c>
      <c r="BF270" s="3">
        <f>SUM(BB270:BE270)</f>
        <v>0</v>
      </c>
      <c r="BG270" s="3">
        <f>(BG141-BF141)*-1</f>
        <v>0</v>
      </c>
      <c r="BH270" s="3">
        <f>(BH141-BG141)*-1</f>
        <v>0</v>
      </c>
      <c r="BI270" s="3">
        <f>(BI141-BH141)*-1</f>
        <v>0</v>
      </c>
      <c r="BJ270" s="3">
        <f>(BJ141-BI141)*-1</f>
        <v>0</v>
      </c>
      <c r="BK270" s="3">
        <f>SUM(BG270:BJ270)</f>
        <v>0</v>
      </c>
      <c r="BL270" s="3">
        <f>(BL141-BK141)*-1</f>
        <v>0</v>
      </c>
      <c r="BM270" s="3">
        <f>(BM141-BL141)*-1</f>
        <v>0</v>
      </c>
      <c r="BN270" s="3">
        <f>(BN141-BM141)*-1</f>
        <v>0</v>
      </c>
      <c r="BO270" s="3">
        <f>(BO141-BN141)*-1</f>
        <v>0</v>
      </c>
      <c r="BP270" s="3">
        <f>SUM(BL270:BO270)</f>
        <v>0</v>
      </c>
      <c r="BQ270" s="3">
        <f>(BQ141-BP141)*-1</f>
        <v>0</v>
      </c>
      <c r="BR270" s="3">
        <f>(BR141-BQ141)*-1</f>
        <v>0</v>
      </c>
      <c r="BS270" s="3">
        <f>(BS141-BR141)*-1</f>
        <v>0</v>
      </c>
      <c r="BT270" s="3">
        <f>(BT141-BS141)*-1</f>
        <v>0</v>
      </c>
      <c r="BU270" s="3">
        <f>SUM(BQ270:BT270)</f>
        <v>0</v>
      </c>
      <c r="BV270" s="3">
        <f>(BV141-BU141)*-1</f>
        <v>0</v>
      </c>
      <c r="BW270" s="3">
        <f>(BW141-BV141)*-1</f>
        <v>0</v>
      </c>
      <c r="BX270" s="3">
        <f>(BX141-BW141)*-1</f>
        <v>0</v>
      </c>
      <c r="BY270" s="3">
        <f>(BY141-BX141)*-1</f>
        <v>0</v>
      </c>
      <c r="BZ270" s="3">
        <f>SUM(BV270:BY270)</f>
        <v>0</v>
      </c>
      <c r="CA270" s="3">
        <f>(CA141-BZ141)*-1</f>
        <v>0</v>
      </c>
      <c r="CB270" s="3">
        <f>(CB141-CA141)*-1</f>
        <v>0</v>
      </c>
      <c r="CC270" s="3">
        <f>(CC141-CB141)*-1</f>
        <v>0</v>
      </c>
      <c r="CD270" s="3">
        <f>(CD141-CC141)*-1</f>
        <v>0</v>
      </c>
      <c r="CE270" s="3">
        <f>SUM(CA270:CD270)</f>
        <v>0</v>
      </c>
      <c r="CF270" s="3">
        <f>(CF141-CE141)*-1</f>
        <v>0</v>
      </c>
      <c r="CG270" s="3">
        <f>(CG141-CF141)*-1</f>
        <v>0</v>
      </c>
      <c r="CH270" s="3">
        <f>(CH141-CG141)*-1</f>
        <v>0</v>
      </c>
      <c r="CI270" s="3">
        <f>(CI141-CH141)*-1</f>
        <v>0</v>
      </c>
      <c r="CJ270" s="3">
        <f>SUM(CF270:CI270)</f>
        <v>0</v>
      </c>
      <c r="CK270" s="3">
        <f>(CK141-CJ141)*-1</f>
        <v>0</v>
      </c>
      <c r="CL270" s="3">
        <f>(CL141-CK141)*-1</f>
        <v>0</v>
      </c>
      <c r="CM270" s="3">
        <f>(CM141-CL141)*-1</f>
        <v>0</v>
      </c>
      <c r="CN270" s="3">
        <f>(CN141-CM141)*-1</f>
        <v>0</v>
      </c>
      <c r="CO270" s="3">
        <f>SUM(CK270:CN270)</f>
        <v>0</v>
      </c>
      <c r="CP270" s="3">
        <f>(CP141-CO141)*-1</f>
        <v>0</v>
      </c>
      <c r="CQ270" s="3">
        <f>(CQ141-CP141)*-1</f>
        <v>0</v>
      </c>
      <c r="CR270" s="3">
        <f>(CR141-CQ141)*-1</f>
        <v>0</v>
      </c>
      <c r="CS270" s="3">
        <f>(CS141-CR141)*-1</f>
        <v>0</v>
      </c>
      <c r="CT270" s="3">
        <f>SUM(CP270:CS270)</f>
        <v>0</v>
      </c>
      <c r="CU270" s="3">
        <f>(CU141-CT141)*-1</f>
        <v>0</v>
      </c>
      <c r="CV270" s="3">
        <f>(CV141-CU141)*-1</f>
        <v>0</v>
      </c>
      <c r="CW270" s="3">
        <f>(CW141-CV141)*-1</f>
        <v>0</v>
      </c>
      <c r="CX270" s="3">
        <f>(CX141-CW141)*-1</f>
        <v>0</v>
      </c>
      <c r="CY270" s="3">
        <f>SUM(CU270:CX270)</f>
        <v>0</v>
      </c>
    </row>
    <row r="271" hidden="1" outlineLevel="1">
      <c r="C271" s="29" t="inlineStr">
        <is>
          <t>Prepaid expenses</t>
        </is>
      </c>
      <c r="D271" s="3" t="n"/>
      <c r="E271" s="3">
        <f>(E142-D142)*-1</f>
        <v>0</v>
      </c>
      <c r="F271" s="3">
        <f>(F142-E142)*-1</f>
        <v>0</v>
      </c>
      <c r="G271" s="3">
        <f>(G142-F142)*-1</f>
        <v>0</v>
      </c>
      <c r="H271" s="3">
        <f>SUM(D271:G271)</f>
        <v>0</v>
      </c>
      <c r="I271" s="3">
        <f>(I142-H142)*-1</f>
        <v>0</v>
      </c>
      <c r="J271" s="3">
        <f>(J142-I142)*-1</f>
        <v>0</v>
      </c>
      <c r="K271" s="3">
        <f>(K142-J142)*-1</f>
        <v>0</v>
      </c>
      <c r="L271" s="3">
        <f>(L142-K142)*-1</f>
        <v>0</v>
      </c>
      <c r="M271" s="3">
        <f>SUM(I271:L271)</f>
        <v>0</v>
      </c>
      <c r="N271" s="3">
        <f>(N142-M142)*-1</f>
        <v>0</v>
      </c>
      <c r="O271" s="3">
        <f>(O142-N142)*-1</f>
        <v>0</v>
      </c>
      <c r="P271" s="3">
        <f>(P142-O142)*-1</f>
        <v>0</v>
      </c>
      <c r="Q271" s="3">
        <f>(Q142-P142)*-1</f>
        <v>0</v>
      </c>
      <c r="R271" s="3">
        <f>SUM(N271:Q271)</f>
        <v>0</v>
      </c>
      <c r="S271" s="3">
        <f>(S142-R142)*-1</f>
        <v>0</v>
      </c>
      <c r="T271" s="3">
        <f>(T142-S142)*-1</f>
        <v>0</v>
      </c>
      <c r="U271" s="3">
        <f>(U142-T142)*-1</f>
        <v>0</v>
      </c>
      <c r="V271" s="3">
        <f>(V142-U142)*-1</f>
        <v>0</v>
      </c>
      <c r="W271" s="3">
        <f>SUM(S271:V271)</f>
        <v>0</v>
      </c>
      <c r="X271" s="3">
        <f>(X142-W142)*-1</f>
        <v>0</v>
      </c>
      <c r="Y271" s="3">
        <f>(Y142-X142)*-1</f>
        <v>0</v>
      </c>
      <c r="Z271" s="3">
        <f>(Z142-Y142)*-1</f>
        <v>0</v>
      </c>
      <c r="AA271" s="3">
        <f>(AA142-Z142)*-1</f>
        <v>0</v>
      </c>
      <c r="AB271" s="3">
        <f>SUM(X271:AA271)</f>
        <v>0</v>
      </c>
      <c r="AC271" s="3">
        <f>(AC142-AB142)*-1</f>
        <v>0</v>
      </c>
      <c r="AD271" s="3">
        <f>(AD142-AC142)*-1</f>
        <v>0</v>
      </c>
      <c r="AE271" s="3">
        <f>(AE142-AD142)*-1</f>
        <v>0</v>
      </c>
      <c r="AF271" s="3">
        <f>(AF142-AE142)*-1</f>
        <v>0</v>
      </c>
      <c r="AG271" s="3">
        <f>SUM(AC271:AF271)</f>
        <v>0</v>
      </c>
      <c r="AH271" s="3">
        <f>(AH142-AG142)*-1</f>
        <v>0</v>
      </c>
      <c r="AI271" s="3">
        <f>(AI142-AH142)*-1</f>
        <v>0</v>
      </c>
      <c r="AJ271" s="3">
        <f>(AJ142-AI142)*-1</f>
        <v>0</v>
      </c>
      <c r="AK271" s="3">
        <f>(AK142-AJ142)*-1</f>
        <v>0</v>
      </c>
      <c r="AL271" s="3">
        <f>SUM(AH271:AK271)</f>
        <v>0</v>
      </c>
      <c r="AM271" s="3">
        <f>(AM142-AL142)*-1</f>
        <v>0</v>
      </c>
      <c r="AN271" s="3">
        <f>(AN142-AM142)*-1</f>
        <v>0</v>
      </c>
      <c r="AO271" s="3">
        <f>(AO142-AN142)*-1</f>
        <v>0</v>
      </c>
      <c r="AP271" s="3">
        <f>(AP142-AO142)*-1</f>
        <v>0</v>
      </c>
      <c r="AQ271" s="3">
        <f>SUM(AM271:AP271)</f>
        <v>0</v>
      </c>
      <c r="AR271" s="3">
        <f>(AR142-AQ142)*-1</f>
        <v>0</v>
      </c>
      <c r="AS271" s="3">
        <f>(AS142-AR142)*-1</f>
        <v>0</v>
      </c>
      <c r="AT271" s="3">
        <f>(AT142-AS142)*-1</f>
        <v>0</v>
      </c>
      <c r="AU271" s="3">
        <f>(AU142-AT142)*-1</f>
        <v>0</v>
      </c>
      <c r="AV271" s="3">
        <f>SUM(AR271:AU271)</f>
        <v>0</v>
      </c>
      <c r="AW271" s="3">
        <f>(AW142-AV142)*-1</f>
        <v>0</v>
      </c>
      <c r="AX271" s="3">
        <f>(AX142-AW142)*-1</f>
        <v>0</v>
      </c>
      <c r="AY271" s="3">
        <f>(AY142-AX142)*-1</f>
        <v>0</v>
      </c>
      <c r="AZ271" s="3">
        <f>(AZ142-AY142)*-1</f>
        <v>0</v>
      </c>
      <c r="BA271" s="3">
        <f>SUM(AW271:AZ271)</f>
        <v>0</v>
      </c>
      <c r="BB271" s="3">
        <f>(BB142-BA142)*-1</f>
        <v>0</v>
      </c>
      <c r="BC271" s="3">
        <f>(BC142-BB142)*-1</f>
        <v>0</v>
      </c>
      <c r="BD271" s="3">
        <f>(BD142-BC142)*-1</f>
        <v>0</v>
      </c>
      <c r="BE271" s="3">
        <f>(BE142-BD142)*-1</f>
        <v>0</v>
      </c>
      <c r="BF271" s="3">
        <f>SUM(BB271:BE271)</f>
        <v>0</v>
      </c>
      <c r="BG271" s="3">
        <f>(BG142-BF142)*-1</f>
        <v>0</v>
      </c>
      <c r="BH271" s="3">
        <f>(BH142-BG142)*-1</f>
        <v>0</v>
      </c>
      <c r="BI271" s="3">
        <f>(BI142-BH142)*-1</f>
        <v>0</v>
      </c>
      <c r="BJ271" s="3">
        <f>(BJ142-BI142)*-1</f>
        <v>0</v>
      </c>
      <c r="BK271" s="3">
        <f>SUM(BG271:BJ271)</f>
        <v>0</v>
      </c>
      <c r="BL271" s="3">
        <f>(BL142-BK142)*-1</f>
        <v>0</v>
      </c>
      <c r="BM271" s="3">
        <f>(BM142-BL142)*-1</f>
        <v>0</v>
      </c>
      <c r="BN271" s="3">
        <f>(BN142-BM142)*-1</f>
        <v>0</v>
      </c>
      <c r="BO271" s="3">
        <f>(BO142-BN142)*-1</f>
        <v>0</v>
      </c>
      <c r="BP271" s="3">
        <f>SUM(BL271:BO271)</f>
        <v>0</v>
      </c>
      <c r="BQ271" s="3">
        <f>(BQ142-BP142)*-1</f>
        <v>0</v>
      </c>
      <c r="BR271" s="3">
        <f>(BR142-BQ142)*-1</f>
        <v>0</v>
      </c>
      <c r="BS271" s="3">
        <f>(BS142-BR142)*-1</f>
        <v>0</v>
      </c>
      <c r="BT271" s="3">
        <f>(BT142-BS142)*-1</f>
        <v>0</v>
      </c>
      <c r="BU271" s="3">
        <f>SUM(BQ271:BT271)</f>
        <v>0</v>
      </c>
      <c r="BV271" s="3">
        <f>(BV142-BU142)*-1</f>
        <v>0</v>
      </c>
      <c r="BW271" s="3">
        <f>(BW142-BV142)*-1</f>
        <v>0</v>
      </c>
      <c r="BX271" s="3">
        <f>(BX142-BW142)*-1</f>
        <v>0</v>
      </c>
      <c r="BY271" s="3">
        <f>(BY142-BX142)*-1</f>
        <v>0</v>
      </c>
      <c r="BZ271" s="3">
        <f>SUM(BV271:BY271)</f>
        <v>0</v>
      </c>
      <c r="CA271" s="3">
        <f>(CA142-BZ142)*-1</f>
        <v>0</v>
      </c>
      <c r="CB271" s="3">
        <f>(CB142-CA142)*-1</f>
        <v>0</v>
      </c>
      <c r="CC271" s="3">
        <f>(CC142-CB142)*-1</f>
        <v>0</v>
      </c>
      <c r="CD271" s="3">
        <f>(CD142-CC142)*-1</f>
        <v>0</v>
      </c>
      <c r="CE271" s="3">
        <f>SUM(CA271:CD271)</f>
        <v>0</v>
      </c>
      <c r="CF271" s="3">
        <f>(CF142-CE142)*-1</f>
        <v>0</v>
      </c>
      <c r="CG271" s="3">
        <f>(CG142-CF142)*-1</f>
        <v>0</v>
      </c>
      <c r="CH271" s="3">
        <f>(CH142-CG142)*-1</f>
        <v>0</v>
      </c>
      <c r="CI271" s="3">
        <f>(CI142-CH142)*-1</f>
        <v>0</v>
      </c>
      <c r="CJ271" s="3">
        <f>SUM(CF271:CI271)</f>
        <v>0</v>
      </c>
      <c r="CK271" s="3">
        <f>(CK142-CJ142)*-1</f>
        <v>0</v>
      </c>
      <c r="CL271" s="3">
        <f>(CL142-CK142)*-1</f>
        <v>0</v>
      </c>
      <c r="CM271" s="3">
        <f>(CM142-CL142)*-1</f>
        <v>0</v>
      </c>
      <c r="CN271" s="3">
        <f>(CN142-CM142)*-1</f>
        <v>0</v>
      </c>
      <c r="CO271" s="3">
        <f>SUM(CK271:CN271)</f>
        <v>0</v>
      </c>
      <c r="CP271" s="3">
        <f>(CP142-CO142)*-1</f>
        <v>0</v>
      </c>
      <c r="CQ271" s="3">
        <f>(CQ142-CP142)*-1</f>
        <v>0</v>
      </c>
      <c r="CR271" s="3">
        <f>(CR142-CQ142)*-1</f>
        <v>0</v>
      </c>
      <c r="CS271" s="3">
        <f>(CS142-CR142)*-1</f>
        <v>0</v>
      </c>
      <c r="CT271" s="3">
        <f>SUM(CP271:CS271)</f>
        <v>0</v>
      </c>
      <c r="CU271" s="3">
        <f>(CU142-CT142)*-1</f>
        <v>0</v>
      </c>
      <c r="CV271" s="3">
        <f>(CV142-CU142)*-1</f>
        <v>0</v>
      </c>
      <c r="CW271" s="3">
        <f>(CW142-CV142)*-1</f>
        <v>0</v>
      </c>
      <c r="CX271" s="3">
        <f>(CX142-CW142)*-1</f>
        <v>0</v>
      </c>
      <c r="CY271" s="3">
        <f>SUM(CU271:CX271)</f>
        <v>0</v>
      </c>
    </row>
    <row r="272" hidden="1" outlineLevel="1">
      <c r="C272" s="29" t="inlineStr">
        <is>
          <t>Other current assets</t>
        </is>
      </c>
      <c r="D272" s="3" t="n"/>
      <c r="E272" s="3">
        <f>(E143-D143)*-1</f>
        <v>-208</v>
      </c>
      <c r="F272" s="3">
        <f>(F143-E143)*-1</f>
        <v>82</v>
      </c>
      <c r="G272" s="3">
        <f>(G143-F143)*-1</f>
        <v>-295</v>
      </c>
      <c r="H272" s="3">
        <f>SUM(D272:G272)</f>
        <v>-421</v>
      </c>
      <c r="I272" s="3">
        <f>(I143-H143)*-1</f>
        <v>-26</v>
      </c>
      <c r="J272" s="3">
        <f>(J143-I143)*-1</f>
        <v>161</v>
      </c>
      <c r="K272" s="3">
        <f>(K143-J143)*-1</f>
        <v>82</v>
      </c>
      <c r="L272" s="3">
        <f>(L143-K143)*-1</f>
        <v>-8</v>
      </c>
      <c r="M272" s="3">
        <f>SUM(I272:L272)</f>
        <v>209</v>
      </c>
      <c r="N272" s="3">
        <f>(N143-M143)*-1</f>
        <v>9</v>
      </c>
      <c r="O272" s="3">
        <f>(O143-N143)*-1</f>
        <v>16</v>
      </c>
      <c r="P272" s="3">
        <f>(P143-O143)*-1</f>
        <v>-167</v>
      </c>
      <c r="Q272" s="3">
        <f>(Q143-P143)*-1</f>
        <v>149</v>
      </c>
      <c r="R272" s="3">
        <f>SUM(N272:Q272)</f>
        <v>7</v>
      </c>
      <c r="S272" s="3">
        <f>(S143-R143)*-1</f>
        <v>-345</v>
      </c>
      <c r="T272" s="3">
        <f>(T143-S143)*-1</f>
        <v>-121</v>
      </c>
      <c r="U272" s="3">
        <f>(U143-T143)*-1</f>
        <v>-84</v>
      </c>
      <c r="V272" s="3">
        <f>(V143-U143)*-1</f>
        <v>-6833</v>
      </c>
      <c r="W272" s="3">
        <f>SUM(S272:V272)</f>
        <v>-7383</v>
      </c>
      <c r="X272" s="3">
        <f>(X143-W143)*-1</f>
        <v>288</v>
      </c>
      <c r="Y272" s="3">
        <f>(Y143-X143)*-1</f>
        <v>4715</v>
      </c>
      <c r="Z272" s="3">
        <f>(Z143-Y143)*-1</f>
        <v>-635</v>
      </c>
      <c r="AA272" s="3">
        <f>(AA143-Z143)*-1</f>
        <v>-749</v>
      </c>
      <c r="AB272" s="3">
        <f>SUM(X272:AA272)</f>
        <v>3619</v>
      </c>
      <c r="AC272" s="3">
        <f>(AC143-AB143)*-1</f>
        <v>-309</v>
      </c>
      <c r="AD272" s="3">
        <f>(AD143-AC143)*-1</f>
        <v>-477</v>
      </c>
      <c r="AE272" s="3">
        <f>(AE143-AD143)*-1</f>
        <v>-374</v>
      </c>
      <c r="AF272" s="3">
        <f>(AF143-AE143)*-1</f>
        <v>-486</v>
      </c>
      <c r="AG272" s="3">
        <f>SUM(AC272:AF272)</f>
        <v>-1646</v>
      </c>
      <c r="AH272" s="3">
        <f>(AH143-AG143)*-1</f>
        <v>-961</v>
      </c>
      <c r="AI272" s="3">
        <f>(AI143-AH143)*-1</f>
        <v>-2541</v>
      </c>
      <c r="AJ272" s="3">
        <f>(AJ143-AI143)*-1</f>
        <v>0</v>
      </c>
      <c r="AK272" s="3">
        <f>(AK143-AJ143)*-1</f>
        <v>0</v>
      </c>
      <c r="AL272" s="3">
        <f>SUM(AH272:AK272)</f>
        <v>-3502</v>
      </c>
      <c r="AM272" s="3">
        <f>(AM143-AL143)*-1</f>
        <v>0</v>
      </c>
      <c r="AN272" s="3">
        <f>(AN143-AM143)*-1</f>
        <v>0</v>
      </c>
      <c r="AO272" s="3">
        <f>(AO143-AN143)*-1</f>
        <v>0</v>
      </c>
      <c r="AP272" s="3">
        <f>(AP143-AO143)*-1</f>
        <v>0</v>
      </c>
      <c r="AQ272" s="3">
        <f>SUM(AM272:AP272)</f>
        <v>0</v>
      </c>
      <c r="AR272" s="3">
        <f>(AR143-AQ143)*-1</f>
        <v>0</v>
      </c>
      <c r="AS272" s="3">
        <f>(AS143-AR143)*-1</f>
        <v>0</v>
      </c>
      <c r="AT272" s="3">
        <f>(AT143-AS143)*-1</f>
        <v>0</v>
      </c>
      <c r="AU272" s="3">
        <f>(AU143-AT143)*-1</f>
        <v>0</v>
      </c>
      <c r="AV272" s="3">
        <f>SUM(AR272:AU272)</f>
        <v>0</v>
      </c>
      <c r="AW272" s="3">
        <f>(AW143-AV143)*-1</f>
        <v>0</v>
      </c>
      <c r="AX272" s="3">
        <f>(AX143-AW143)*-1</f>
        <v>0</v>
      </c>
      <c r="AY272" s="3">
        <f>(AY143-AX143)*-1</f>
        <v>0</v>
      </c>
      <c r="AZ272" s="3">
        <f>(AZ143-AY143)*-1</f>
        <v>0</v>
      </c>
      <c r="BA272" s="3">
        <f>SUM(AW272:AZ272)</f>
        <v>0</v>
      </c>
      <c r="BB272" s="3">
        <f>(BB143-BA143)*-1</f>
        <v>0</v>
      </c>
      <c r="BC272" s="3">
        <f>(BC143-BB143)*-1</f>
        <v>0</v>
      </c>
      <c r="BD272" s="3">
        <f>(BD143-BC143)*-1</f>
        <v>0</v>
      </c>
      <c r="BE272" s="3">
        <f>(BE143-BD143)*-1</f>
        <v>0</v>
      </c>
      <c r="BF272" s="3">
        <f>SUM(BB272:BE272)</f>
        <v>0</v>
      </c>
      <c r="BG272" s="3">
        <f>(BG143-BF143)*-1</f>
        <v>0</v>
      </c>
      <c r="BH272" s="3">
        <f>(BH143-BG143)*-1</f>
        <v>0</v>
      </c>
      <c r="BI272" s="3">
        <f>(BI143-BH143)*-1</f>
        <v>0</v>
      </c>
      <c r="BJ272" s="3">
        <f>(BJ143-BI143)*-1</f>
        <v>0</v>
      </c>
      <c r="BK272" s="3">
        <f>SUM(BG272:BJ272)</f>
        <v>0</v>
      </c>
      <c r="BL272" s="3">
        <f>(BL143-BK143)*-1</f>
        <v>0</v>
      </c>
      <c r="BM272" s="3">
        <f>(BM143-BL143)*-1</f>
        <v>0</v>
      </c>
      <c r="BN272" s="3">
        <f>(BN143-BM143)*-1</f>
        <v>0</v>
      </c>
      <c r="BO272" s="3">
        <f>(BO143-BN143)*-1</f>
        <v>0</v>
      </c>
      <c r="BP272" s="3">
        <f>SUM(BL272:BO272)</f>
        <v>0</v>
      </c>
      <c r="BQ272" s="3">
        <f>(BQ143-BP143)*-1</f>
        <v>0</v>
      </c>
      <c r="BR272" s="3">
        <f>(BR143-BQ143)*-1</f>
        <v>0</v>
      </c>
      <c r="BS272" s="3">
        <f>(BS143-BR143)*-1</f>
        <v>0</v>
      </c>
      <c r="BT272" s="3">
        <f>(BT143-BS143)*-1</f>
        <v>0</v>
      </c>
      <c r="BU272" s="3">
        <f>SUM(BQ272:BT272)</f>
        <v>0</v>
      </c>
      <c r="BV272" s="3">
        <f>(BV143-BU143)*-1</f>
        <v>0</v>
      </c>
      <c r="BW272" s="3">
        <f>(BW143-BV143)*-1</f>
        <v>0</v>
      </c>
      <c r="BX272" s="3">
        <f>(BX143-BW143)*-1</f>
        <v>0</v>
      </c>
      <c r="BY272" s="3">
        <f>(BY143-BX143)*-1</f>
        <v>0</v>
      </c>
      <c r="BZ272" s="3">
        <f>SUM(BV272:BY272)</f>
        <v>0</v>
      </c>
      <c r="CA272" s="3">
        <f>(CA143-BZ143)*-1</f>
        <v>0</v>
      </c>
      <c r="CB272" s="3">
        <f>(CB143-CA143)*-1</f>
        <v>0</v>
      </c>
      <c r="CC272" s="3">
        <f>(CC143-CB143)*-1</f>
        <v>0</v>
      </c>
      <c r="CD272" s="3">
        <f>(CD143-CC143)*-1</f>
        <v>0</v>
      </c>
      <c r="CE272" s="3">
        <f>SUM(CA272:CD272)</f>
        <v>0</v>
      </c>
      <c r="CF272" s="3">
        <f>(CF143-CE143)*-1</f>
        <v>0</v>
      </c>
      <c r="CG272" s="3">
        <f>(CG143-CF143)*-1</f>
        <v>0</v>
      </c>
      <c r="CH272" s="3">
        <f>(CH143-CG143)*-1</f>
        <v>0</v>
      </c>
      <c r="CI272" s="3">
        <f>(CI143-CH143)*-1</f>
        <v>0</v>
      </c>
      <c r="CJ272" s="3">
        <f>SUM(CF272:CI272)</f>
        <v>0</v>
      </c>
      <c r="CK272" s="3">
        <f>(CK143-CJ143)*-1</f>
        <v>0</v>
      </c>
      <c r="CL272" s="3">
        <f>(CL143-CK143)*-1</f>
        <v>0</v>
      </c>
      <c r="CM272" s="3">
        <f>(CM143-CL143)*-1</f>
        <v>0</v>
      </c>
      <c r="CN272" s="3">
        <f>(CN143-CM143)*-1</f>
        <v>0</v>
      </c>
      <c r="CO272" s="3">
        <f>SUM(CK272:CN272)</f>
        <v>0</v>
      </c>
      <c r="CP272" s="3">
        <f>(CP143-CO143)*-1</f>
        <v>0</v>
      </c>
      <c r="CQ272" s="3">
        <f>(CQ143-CP143)*-1</f>
        <v>0</v>
      </c>
      <c r="CR272" s="3">
        <f>(CR143-CQ143)*-1</f>
        <v>0</v>
      </c>
      <c r="CS272" s="3">
        <f>(CS143-CR143)*-1</f>
        <v>0</v>
      </c>
      <c r="CT272" s="3">
        <f>SUM(CP272:CS272)</f>
        <v>0</v>
      </c>
      <c r="CU272" s="3">
        <f>(CU143-CT143)*-1</f>
        <v>0</v>
      </c>
      <c r="CV272" s="3">
        <f>(CV143-CU143)*-1</f>
        <v>0</v>
      </c>
      <c r="CW272" s="3">
        <f>(CW143-CV143)*-1</f>
        <v>0</v>
      </c>
      <c r="CX272" s="3">
        <f>(CX143-CW143)*-1</f>
        <v>0</v>
      </c>
      <c r="CY272" s="3">
        <f>SUM(CU272:CX272)</f>
        <v>0</v>
      </c>
    </row>
    <row r="273" hidden="1" outlineLevel="1">
      <c r="C273" s="29" t="inlineStr">
        <is>
          <t>Accounts payable</t>
        </is>
      </c>
      <c r="D273" s="3" t="n"/>
      <c r="E273" s="3">
        <f>E186-D186</f>
        <v>-138</v>
      </c>
      <c r="F273" s="3">
        <f>F186-E186</f>
        <v>-256</v>
      </c>
      <c r="G273" s="3">
        <f>G186-F186</f>
        <v>62</v>
      </c>
      <c r="H273" s="3">
        <f>SUM(D273:G273)</f>
        <v>-332</v>
      </c>
      <c r="I273" s="3">
        <f>I186-H186</f>
        <v>-68</v>
      </c>
      <c r="J273" s="3">
        <f>J186-I186</f>
        <v>138</v>
      </c>
      <c r="K273" s="3">
        <f>K186-J186</f>
        <v>118</v>
      </c>
      <c r="L273" s="3">
        <f>L186-K186</f>
        <v>-8</v>
      </c>
      <c r="M273" s="3">
        <f>SUM(I273:L273)</f>
        <v>180</v>
      </c>
      <c r="N273" s="3">
        <f>N186-M186</f>
        <v>-9</v>
      </c>
      <c r="O273" s="3">
        <f>O186-N186</f>
        <v>-357</v>
      </c>
      <c r="P273" s="3">
        <f>P186-O186</f>
        <v>286</v>
      </c>
      <c r="Q273" s="3">
        <f>Q186-P186</f>
        <v>-75</v>
      </c>
      <c r="R273" s="3">
        <f>SUM(N273:Q273)</f>
        <v>-155</v>
      </c>
      <c r="S273" s="3">
        <f>S186-R186</f>
        <v>-92</v>
      </c>
      <c r="T273" s="3">
        <f>T186-S186</f>
        <v>161</v>
      </c>
      <c r="U273" s="3">
        <f>U186-T186</f>
        <v>218</v>
      </c>
      <c r="V273" s="3">
        <f>V186-U186</f>
        <v>286</v>
      </c>
      <c r="W273" s="3">
        <f>SUM(S273:V273)</f>
        <v>573</v>
      </c>
      <c r="X273" s="3">
        <f>X186-W186</f>
        <v>-55</v>
      </c>
      <c r="Y273" s="3">
        <f>Y186-X186</f>
        <v>316</v>
      </c>
      <c r="Z273" s="3">
        <f>Z186-Y186</f>
        <v>-95</v>
      </c>
      <c r="AA273" s="3">
        <f>AA186-Z186</f>
        <v>243</v>
      </c>
      <c r="AB273" s="3">
        <f>SUM(X273:AA273)</f>
        <v>409</v>
      </c>
      <c r="AC273" s="3">
        <f>AC186-AB186</f>
        <v>-608</v>
      </c>
      <c r="AD273" s="3">
        <f>AD186-AC186</f>
        <v>135</v>
      </c>
      <c r="AE273" s="3">
        <f>AE186-AD186</f>
        <v>128</v>
      </c>
      <c r="AF273" s="3">
        <f>AF186-AE186</f>
        <v>552</v>
      </c>
      <c r="AG273" s="3">
        <f>SUM(AC273:AF273)</f>
        <v>207</v>
      </c>
      <c r="AH273" s="3">
        <f>AH186-AG186</f>
        <v>225</v>
      </c>
      <c r="AI273" s="3">
        <f>AI186-AH186</f>
        <v>1663</v>
      </c>
      <c r="AJ273" s="3">
        <f>AJ186-AI186</f>
        <v>-4000</v>
      </c>
      <c r="AK273" s="3">
        <f>AK186-AJ186</f>
        <v>0</v>
      </c>
      <c r="AL273" s="3">
        <f>SUM(AH273:AK273)</f>
        <v>-2112</v>
      </c>
      <c r="AM273" s="3">
        <f>AM186-AL186</f>
        <v>0</v>
      </c>
      <c r="AN273" s="3">
        <f>AN186-AM186</f>
        <v>0</v>
      </c>
      <c r="AO273" s="3">
        <f>AO186-AN186</f>
        <v>0</v>
      </c>
      <c r="AP273" s="3">
        <f>AP186-AO186</f>
        <v>0</v>
      </c>
      <c r="AQ273" s="3">
        <f>SUM(AM273:AP273)</f>
        <v>0</v>
      </c>
      <c r="AR273" s="3">
        <f>AR186-AQ186</f>
        <v>0</v>
      </c>
      <c r="AS273" s="3">
        <f>AS186-AR186</f>
        <v>0</v>
      </c>
      <c r="AT273" s="3">
        <f>AT186-AS186</f>
        <v>0</v>
      </c>
      <c r="AU273" s="3">
        <f>AU186-AT186</f>
        <v>0</v>
      </c>
      <c r="AV273" s="3">
        <f>SUM(AR273:AU273)</f>
        <v>0</v>
      </c>
      <c r="AW273" s="3">
        <f>AW186-AV186</f>
        <v>0</v>
      </c>
      <c r="AX273" s="3">
        <f>AX186-AW186</f>
        <v>0</v>
      </c>
      <c r="AY273" s="3">
        <f>AY186-AX186</f>
        <v>0</v>
      </c>
      <c r="AZ273" s="3">
        <f>AZ186-AY186</f>
        <v>0</v>
      </c>
      <c r="BA273" s="3">
        <f>SUM(AW273:AZ273)</f>
        <v>0</v>
      </c>
      <c r="BB273" s="3">
        <f>BB186-BA186</f>
        <v>0</v>
      </c>
      <c r="BC273" s="3">
        <f>BC186-BB186</f>
        <v>0</v>
      </c>
      <c r="BD273" s="3">
        <f>BD186-BC186</f>
        <v>0</v>
      </c>
      <c r="BE273" s="3">
        <f>BE186-BD186</f>
        <v>0</v>
      </c>
      <c r="BF273" s="3">
        <f>SUM(BB273:BE273)</f>
        <v>0</v>
      </c>
      <c r="BG273" s="3">
        <f>BG186-BF186</f>
        <v>0</v>
      </c>
      <c r="BH273" s="3">
        <f>BH186-BG186</f>
        <v>0</v>
      </c>
      <c r="BI273" s="3">
        <f>BI186-BH186</f>
        <v>0</v>
      </c>
      <c r="BJ273" s="3">
        <f>BJ186-BI186</f>
        <v>0</v>
      </c>
      <c r="BK273" s="3">
        <f>SUM(BG273:BJ273)</f>
        <v>0</v>
      </c>
      <c r="BL273" s="3">
        <f>BL186-BK186</f>
        <v>0</v>
      </c>
      <c r="BM273" s="3">
        <f>BM186-BL186</f>
        <v>0</v>
      </c>
      <c r="BN273" s="3">
        <f>BN186-BM186</f>
        <v>0</v>
      </c>
      <c r="BO273" s="3">
        <f>BO186-BN186</f>
        <v>0</v>
      </c>
      <c r="BP273" s="3">
        <f>SUM(BL273:BO273)</f>
        <v>0</v>
      </c>
      <c r="BQ273" s="3">
        <f>BQ186-BP186</f>
        <v>0</v>
      </c>
      <c r="BR273" s="3">
        <f>BR186-BQ186</f>
        <v>0</v>
      </c>
      <c r="BS273" s="3">
        <f>BS186-BR186</f>
        <v>0</v>
      </c>
      <c r="BT273" s="3">
        <f>BT186-BS186</f>
        <v>0</v>
      </c>
      <c r="BU273" s="3">
        <f>SUM(BQ273:BT273)</f>
        <v>0</v>
      </c>
      <c r="BV273" s="3">
        <f>BV186-BU186</f>
        <v>0</v>
      </c>
      <c r="BW273" s="3">
        <f>BW186-BV186</f>
        <v>0</v>
      </c>
      <c r="BX273" s="3">
        <f>BX186-BW186</f>
        <v>0</v>
      </c>
      <c r="BY273" s="3">
        <f>BY186-BX186</f>
        <v>0</v>
      </c>
      <c r="BZ273" s="3">
        <f>SUM(BV273:BY273)</f>
        <v>0</v>
      </c>
      <c r="CA273" s="3">
        <f>CA186-BZ186</f>
        <v>0</v>
      </c>
      <c r="CB273" s="3">
        <f>CB186-CA186</f>
        <v>0</v>
      </c>
      <c r="CC273" s="3">
        <f>CC186-CB186</f>
        <v>0</v>
      </c>
      <c r="CD273" s="3">
        <f>CD186-CC186</f>
        <v>0</v>
      </c>
      <c r="CE273" s="3">
        <f>SUM(CA273:CD273)</f>
        <v>0</v>
      </c>
      <c r="CF273" s="3">
        <f>CF186-CE186</f>
        <v>0</v>
      </c>
      <c r="CG273" s="3">
        <f>CG186-CF186</f>
        <v>0</v>
      </c>
      <c r="CH273" s="3">
        <f>CH186-CG186</f>
        <v>0</v>
      </c>
      <c r="CI273" s="3">
        <f>CI186-CH186</f>
        <v>0</v>
      </c>
      <c r="CJ273" s="3">
        <f>SUM(CF273:CI273)</f>
        <v>0</v>
      </c>
      <c r="CK273" s="3">
        <f>CK186-CJ186</f>
        <v>0</v>
      </c>
      <c r="CL273" s="3">
        <f>CL186-CK186</f>
        <v>0</v>
      </c>
      <c r="CM273" s="3">
        <f>CM186-CL186</f>
        <v>0</v>
      </c>
      <c r="CN273" s="3">
        <f>CN186-CM186</f>
        <v>0</v>
      </c>
      <c r="CO273" s="3">
        <f>SUM(CK273:CN273)</f>
        <v>0</v>
      </c>
      <c r="CP273" s="3">
        <f>CP186-CO186</f>
        <v>0</v>
      </c>
      <c r="CQ273" s="3">
        <f>CQ186-CP186</f>
        <v>0</v>
      </c>
      <c r="CR273" s="3">
        <f>CR186-CQ186</f>
        <v>0</v>
      </c>
      <c r="CS273" s="3">
        <f>CS186-CR186</f>
        <v>0</v>
      </c>
      <c r="CT273" s="3">
        <f>SUM(CP273:CS273)</f>
        <v>0</v>
      </c>
      <c r="CU273" s="3">
        <f>CU186-CT186</f>
        <v>0</v>
      </c>
      <c r="CV273" s="3">
        <f>CV186-CU186</f>
        <v>0</v>
      </c>
      <c r="CW273" s="3">
        <f>CW186-CV186</f>
        <v>0</v>
      </c>
      <c r="CX273" s="3">
        <f>CX186-CW186</f>
        <v>0</v>
      </c>
      <c r="CY273" s="3">
        <f>SUM(CU273:CX273)</f>
        <v>0</v>
      </c>
    </row>
    <row r="274" hidden="1" outlineLevel="1">
      <c r="C274" s="29" t="inlineStr">
        <is>
          <t>Accrued expenses</t>
        </is>
      </c>
      <c r="D274" s="3" t="n"/>
      <c r="E274" s="3">
        <f>E190-D190</f>
        <v>238</v>
      </c>
      <c r="F274" s="3">
        <f>F190-E190</f>
        <v>145</v>
      </c>
      <c r="G274" s="3">
        <f>G190-F190</f>
        <v>-383</v>
      </c>
      <c r="H274" s="3">
        <f>SUM(D274:G274)</f>
        <v>0</v>
      </c>
      <c r="I274" s="3">
        <f>I190-H190</f>
        <v>145</v>
      </c>
      <c r="J274" s="3">
        <f>J190-I190</f>
        <v>254</v>
      </c>
      <c r="K274" s="3">
        <f>K190-J190</f>
        <v>173</v>
      </c>
      <c r="L274" s="3">
        <f>L190-K190</f>
        <v>-535</v>
      </c>
      <c r="M274" s="3">
        <f>SUM(I274:L274)</f>
        <v>37</v>
      </c>
      <c r="N274" s="3">
        <f>N190-M190</f>
        <v>220</v>
      </c>
      <c r="O274" s="3">
        <f>O190-N190</f>
        <v>328</v>
      </c>
      <c r="P274" s="3">
        <f>P190-O190</f>
        <v>123</v>
      </c>
      <c r="Q274" s="3">
        <f>Q190-P190</f>
        <v>-666</v>
      </c>
      <c r="R274" s="3">
        <f>SUM(N274:Q274)</f>
        <v>5</v>
      </c>
      <c r="S274" s="3">
        <f>S190-R190</f>
        <v>98</v>
      </c>
      <c r="T274" s="3">
        <f>T190-S190</f>
        <v>197</v>
      </c>
      <c r="U274" s="3">
        <f>U190-T190</f>
        <v>104</v>
      </c>
      <c r="V274" s="3">
        <f>V190-U190</f>
        <v>193</v>
      </c>
      <c r="W274" s="3">
        <f>SUM(S274:V274)</f>
        <v>592</v>
      </c>
      <c r="X274" s="3">
        <f>X190-W190</f>
        <v>257</v>
      </c>
      <c r="Y274" s="3">
        <f>Y190-X190</f>
        <v>340</v>
      </c>
      <c r="Z274" s="3">
        <f>Z190-Y190</f>
        <v>246</v>
      </c>
      <c r="AA274" s="3">
        <f>AA190-Z190</f>
        <v>-1049</v>
      </c>
      <c r="AB274" s="3">
        <f>SUM(X274:AA274)</f>
        <v>-206</v>
      </c>
      <c r="AC274" s="3">
        <f>AC190-AB190</f>
        <v>344</v>
      </c>
      <c r="AD274" s="3">
        <f>AD190-AC190</f>
        <v>453</v>
      </c>
      <c r="AE274" s="3">
        <f>AE190-AD190</f>
        <v>410</v>
      </c>
      <c r="AF274" s="3">
        <f>AF190-AE190</f>
        <v>-1265</v>
      </c>
      <c r="AG274" s="3">
        <f>SUM(AC274:AF274)</f>
        <v>-58</v>
      </c>
      <c r="AH274" s="3">
        <f>AH190-AG190</f>
        <v>270</v>
      </c>
      <c r="AI274" s="3">
        <f>AI190-AH190</f>
        <v>372</v>
      </c>
      <c r="AJ274" s="3">
        <f>AJ190-AI190</f>
        <v>-1506</v>
      </c>
      <c r="AK274" s="3">
        <f>AK190-AJ190</f>
        <v>0</v>
      </c>
      <c r="AL274" s="3">
        <f>SUM(AH274:AK274)</f>
        <v>-864</v>
      </c>
      <c r="AM274" s="3" t="e">
        <f>AM190-AL190</f>
        <v>#DIV/0!</v>
      </c>
      <c r="AN274" s="3" t="e">
        <f>AN190-AM190</f>
        <v>#DIV/0!</v>
      </c>
      <c r="AO274" s="3" t="e">
        <f>AO190-AN190</f>
        <v>#DIV/0!</v>
      </c>
      <c r="AP274" s="3" t="e">
        <f>AP190-AO190</f>
        <v>#DIV/0!</v>
      </c>
      <c r="AQ274" s="3" t="e">
        <f>SUM(AM274:AP274)</f>
        <v>#DIV/0!</v>
      </c>
      <c r="AR274" s="3" t="e">
        <f>AR190-AQ190</f>
        <v>#DIV/0!</v>
      </c>
      <c r="AS274" s="3" t="e">
        <f>AS190-AR190</f>
        <v>#DIV/0!</v>
      </c>
      <c r="AT274" s="3" t="e">
        <f>AT190-AS190</f>
        <v>#DIV/0!</v>
      </c>
      <c r="AU274" s="3" t="e">
        <f>AU190-AT190</f>
        <v>#DIV/0!</v>
      </c>
      <c r="AV274" s="3" t="e">
        <f>SUM(AR274:AU274)</f>
        <v>#DIV/0!</v>
      </c>
      <c r="AW274" s="3" t="e">
        <f>AW190-AV190</f>
        <v>#DIV/0!</v>
      </c>
      <c r="AX274" s="3" t="e">
        <f>AX190-AW190</f>
        <v>#DIV/0!</v>
      </c>
      <c r="AY274" s="3" t="e">
        <f>AY190-AX190</f>
        <v>#DIV/0!</v>
      </c>
      <c r="AZ274" s="3" t="e">
        <f>AZ190-AY190</f>
        <v>#DIV/0!</v>
      </c>
      <c r="BA274" s="3" t="e">
        <f>SUM(AW274:AZ274)</f>
        <v>#DIV/0!</v>
      </c>
      <c r="BB274" s="3" t="e">
        <f>BB190-BA190</f>
        <v>#DIV/0!</v>
      </c>
      <c r="BC274" s="3" t="e">
        <f>BC190-BB190</f>
        <v>#DIV/0!</v>
      </c>
      <c r="BD274" s="3" t="e">
        <f>BD190-BC190</f>
        <v>#DIV/0!</v>
      </c>
      <c r="BE274" s="3" t="e">
        <f>BE190-BD190</f>
        <v>#DIV/0!</v>
      </c>
      <c r="BF274" s="3" t="e">
        <f>SUM(BB274:BE274)</f>
        <v>#DIV/0!</v>
      </c>
      <c r="BG274" s="3" t="e">
        <f>BG190-BF190</f>
        <v>#DIV/0!</v>
      </c>
      <c r="BH274" s="3" t="e">
        <f>BH190-BG190</f>
        <v>#DIV/0!</v>
      </c>
      <c r="BI274" s="3" t="e">
        <f>BI190-BH190</f>
        <v>#DIV/0!</v>
      </c>
      <c r="BJ274" s="3" t="e">
        <f>BJ190-BI190</f>
        <v>#DIV/0!</v>
      </c>
      <c r="BK274" s="3" t="e">
        <f>SUM(BG274:BJ274)</f>
        <v>#DIV/0!</v>
      </c>
      <c r="BL274" s="3" t="e">
        <f>BL190-BK190</f>
        <v>#DIV/0!</v>
      </c>
      <c r="BM274" s="3" t="e">
        <f>BM190-BL190</f>
        <v>#DIV/0!</v>
      </c>
      <c r="BN274" s="3" t="e">
        <f>BN190-BM190</f>
        <v>#DIV/0!</v>
      </c>
      <c r="BO274" s="3" t="e">
        <f>BO190-BN190</f>
        <v>#DIV/0!</v>
      </c>
      <c r="BP274" s="3" t="e">
        <f>SUM(BL274:BO274)</f>
        <v>#DIV/0!</v>
      </c>
      <c r="BQ274" s="3" t="e">
        <f>BQ190-BP190</f>
        <v>#DIV/0!</v>
      </c>
      <c r="BR274" s="3" t="e">
        <f>BR190-BQ190</f>
        <v>#DIV/0!</v>
      </c>
      <c r="BS274" s="3" t="e">
        <f>BS190-BR190</f>
        <v>#DIV/0!</v>
      </c>
      <c r="BT274" s="3" t="e">
        <f>BT190-BS190</f>
        <v>#DIV/0!</v>
      </c>
      <c r="BU274" s="3" t="e">
        <f>SUM(BQ274:BT274)</f>
        <v>#DIV/0!</v>
      </c>
      <c r="BV274" s="3" t="e">
        <f>BV190-BU190</f>
        <v>#DIV/0!</v>
      </c>
      <c r="BW274" s="3" t="e">
        <f>BW190-BV190</f>
        <v>#DIV/0!</v>
      </c>
      <c r="BX274" s="3" t="e">
        <f>BX190-BW190</f>
        <v>#DIV/0!</v>
      </c>
      <c r="BY274" s="3" t="e">
        <f>BY190-BX190</f>
        <v>#DIV/0!</v>
      </c>
      <c r="BZ274" s="3" t="e">
        <f>SUM(BV274:BY274)</f>
        <v>#DIV/0!</v>
      </c>
      <c r="CA274" s="3" t="e">
        <f>CA190-BZ190</f>
        <v>#DIV/0!</v>
      </c>
      <c r="CB274" s="3" t="e">
        <f>CB190-CA190</f>
        <v>#DIV/0!</v>
      </c>
      <c r="CC274" s="3" t="e">
        <f>CC190-CB190</f>
        <v>#DIV/0!</v>
      </c>
      <c r="CD274" s="3" t="e">
        <f>CD190-CC190</f>
        <v>#DIV/0!</v>
      </c>
      <c r="CE274" s="3" t="e">
        <f>SUM(CA274:CD274)</f>
        <v>#DIV/0!</v>
      </c>
      <c r="CF274" s="3" t="e">
        <f>CF190-CE190</f>
        <v>#DIV/0!</v>
      </c>
      <c r="CG274" s="3" t="e">
        <f>CG190-CF190</f>
        <v>#DIV/0!</v>
      </c>
      <c r="CH274" s="3" t="e">
        <f>CH190-CG190</f>
        <v>#DIV/0!</v>
      </c>
      <c r="CI274" s="3" t="e">
        <f>CI190-CH190</f>
        <v>#DIV/0!</v>
      </c>
      <c r="CJ274" s="3" t="e">
        <f>SUM(CF274:CI274)</f>
        <v>#DIV/0!</v>
      </c>
      <c r="CK274" s="3" t="e">
        <f>CK190-CJ190</f>
        <v>#DIV/0!</v>
      </c>
      <c r="CL274" s="3" t="e">
        <f>CL190-CK190</f>
        <v>#DIV/0!</v>
      </c>
      <c r="CM274" s="3" t="e">
        <f>CM190-CL190</f>
        <v>#DIV/0!</v>
      </c>
      <c r="CN274" s="3" t="e">
        <f>CN190-CM190</f>
        <v>#DIV/0!</v>
      </c>
      <c r="CO274" s="3" t="e">
        <f>SUM(CK274:CN274)</f>
        <v>#DIV/0!</v>
      </c>
      <c r="CP274" s="3" t="e">
        <f>CP190-CO190</f>
        <v>#DIV/0!</v>
      </c>
      <c r="CQ274" s="3" t="e">
        <f>CQ190-CP190</f>
        <v>#DIV/0!</v>
      </c>
      <c r="CR274" s="3" t="e">
        <f>CR190-CQ190</f>
        <v>#DIV/0!</v>
      </c>
      <c r="CS274" s="3" t="e">
        <f>CS190-CR190</f>
        <v>#DIV/0!</v>
      </c>
      <c r="CT274" s="3" t="e">
        <f>SUM(CP274:CS274)</f>
        <v>#DIV/0!</v>
      </c>
      <c r="CU274" s="3" t="e">
        <f>CU190-CT190</f>
        <v>#DIV/0!</v>
      </c>
      <c r="CV274" s="3" t="e">
        <f>CV190-CU190</f>
        <v>#DIV/0!</v>
      </c>
      <c r="CW274" s="3" t="e">
        <f>CW190-CV190</f>
        <v>#DIV/0!</v>
      </c>
      <c r="CX274" s="3" t="e">
        <f>CX190-CW190</f>
        <v>#DIV/0!</v>
      </c>
      <c r="CY274" s="3" t="e">
        <f>SUM(CU274:CX274)</f>
        <v>#DIV/0!</v>
      </c>
    </row>
    <row r="275" hidden="1" outlineLevel="1">
      <c r="C275" s="29" t="inlineStr">
        <is>
          <t>Taxes payable</t>
        </is>
      </c>
      <c r="D275" s="3" t="n"/>
      <c r="E275" s="3">
        <f>E192-D192</f>
        <v>0</v>
      </c>
      <c r="F275" s="3">
        <f>F192-E192</f>
        <v>0</v>
      </c>
      <c r="G275" s="3">
        <f>G192-F192</f>
        <v>0</v>
      </c>
      <c r="H275" s="3">
        <f>SUM(D275:G275)</f>
        <v>0</v>
      </c>
      <c r="I275" s="3">
        <f>I192-H192</f>
        <v>0</v>
      </c>
      <c r="J275" s="3">
        <f>J192-I192</f>
        <v>0</v>
      </c>
      <c r="K275" s="3">
        <f>K192-J192</f>
        <v>0</v>
      </c>
      <c r="L275" s="3">
        <f>L192-K192</f>
        <v>0</v>
      </c>
      <c r="M275" s="3">
        <f>SUM(I275:L275)</f>
        <v>0</v>
      </c>
      <c r="N275" s="3">
        <f>N192-M192</f>
        <v>0</v>
      </c>
      <c r="O275" s="3">
        <f>O192-N192</f>
        <v>0</v>
      </c>
      <c r="P275" s="3">
        <f>P192-O192</f>
        <v>0</v>
      </c>
      <c r="Q275" s="3">
        <f>Q192-P192</f>
        <v>0</v>
      </c>
      <c r="R275" s="3">
        <f>SUM(N275:Q275)</f>
        <v>0</v>
      </c>
      <c r="S275" s="3">
        <f>S192-R192</f>
        <v>0</v>
      </c>
      <c r="T275" s="3">
        <f>T192-S192</f>
        <v>0</v>
      </c>
      <c r="U275" s="3">
        <f>U192-T192</f>
        <v>0</v>
      </c>
      <c r="V275" s="3">
        <f>V192-U192</f>
        <v>0</v>
      </c>
      <c r="W275" s="3">
        <f>SUM(S275:V275)</f>
        <v>0</v>
      </c>
      <c r="X275" s="3">
        <f>X192-W192</f>
        <v>0</v>
      </c>
      <c r="Y275" s="3">
        <f>Y192-X192</f>
        <v>0</v>
      </c>
      <c r="Z275" s="3">
        <f>Z192-Y192</f>
        <v>0</v>
      </c>
      <c r="AA275" s="3">
        <f>AA192-Z192</f>
        <v>0</v>
      </c>
      <c r="AB275" s="3">
        <f>SUM(X275:AA275)</f>
        <v>0</v>
      </c>
      <c r="AC275" s="3">
        <f>AC192-AB192</f>
        <v>0</v>
      </c>
      <c r="AD275" s="3">
        <f>AD192-AC192</f>
        <v>0</v>
      </c>
      <c r="AE275" s="3">
        <f>AE192-AD192</f>
        <v>0</v>
      </c>
      <c r="AF275" s="3">
        <f>AF192-AE192</f>
        <v>0</v>
      </c>
      <c r="AG275" s="3">
        <f>SUM(AC275:AF275)</f>
        <v>0</v>
      </c>
      <c r="AH275" s="3">
        <f>AH192-AG192</f>
        <v>0</v>
      </c>
      <c r="AI275" s="3">
        <f>AI192-AH192</f>
        <v>0</v>
      </c>
      <c r="AJ275" s="3">
        <f>AJ192-AI192</f>
        <v>0</v>
      </c>
      <c r="AK275" s="3">
        <f>AK192-AJ192</f>
        <v>0</v>
      </c>
      <c r="AL275" s="3">
        <f>SUM(AH275:AK275)</f>
        <v>0</v>
      </c>
      <c r="AM275" s="3" t="e">
        <f>AM192-AL192</f>
        <v>#DIV/0!</v>
      </c>
      <c r="AN275" s="3" t="e">
        <f>AN192-AM192</f>
        <v>#DIV/0!</v>
      </c>
      <c r="AO275" s="3" t="e">
        <f>AO192-AN192</f>
        <v>#DIV/0!</v>
      </c>
      <c r="AP275" s="3" t="e">
        <f>AP192-AO192</f>
        <v>#DIV/0!</v>
      </c>
      <c r="AQ275" s="3" t="e">
        <f>SUM(AM275:AP275)</f>
        <v>#DIV/0!</v>
      </c>
      <c r="AR275" s="3" t="e">
        <f>AR192-AQ192</f>
        <v>#DIV/0!</v>
      </c>
      <c r="AS275" s="3" t="e">
        <f>AS192-AR192</f>
        <v>#DIV/0!</v>
      </c>
      <c r="AT275" s="3" t="e">
        <f>AT192-AS192</f>
        <v>#DIV/0!</v>
      </c>
      <c r="AU275" s="3" t="e">
        <f>AU192-AT192</f>
        <v>#DIV/0!</v>
      </c>
      <c r="AV275" s="3" t="e">
        <f>SUM(AR275:AU275)</f>
        <v>#DIV/0!</v>
      </c>
      <c r="AW275" s="3" t="e">
        <f>AW192-AV192</f>
        <v>#DIV/0!</v>
      </c>
      <c r="AX275" s="3" t="e">
        <f>AX192-AW192</f>
        <v>#DIV/0!</v>
      </c>
      <c r="AY275" s="3" t="e">
        <f>AY192-AX192</f>
        <v>#DIV/0!</v>
      </c>
      <c r="AZ275" s="3" t="e">
        <f>AZ192-AY192</f>
        <v>#DIV/0!</v>
      </c>
      <c r="BA275" s="3" t="e">
        <f>SUM(AW275:AZ275)</f>
        <v>#DIV/0!</v>
      </c>
      <c r="BB275" s="3" t="e">
        <f>BB192-BA192</f>
        <v>#DIV/0!</v>
      </c>
      <c r="BC275" s="3" t="e">
        <f>BC192-BB192</f>
        <v>#DIV/0!</v>
      </c>
      <c r="BD275" s="3" t="e">
        <f>BD192-BC192</f>
        <v>#DIV/0!</v>
      </c>
      <c r="BE275" s="3" t="e">
        <f>BE192-BD192</f>
        <v>#DIV/0!</v>
      </c>
      <c r="BF275" s="3" t="e">
        <f>SUM(BB275:BE275)</f>
        <v>#DIV/0!</v>
      </c>
      <c r="BG275" s="3" t="e">
        <f>BG192-BF192</f>
        <v>#DIV/0!</v>
      </c>
      <c r="BH275" s="3" t="e">
        <f>BH192-BG192</f>
        <v>#DIV/0!</v>
      </c>
      <c r="BI275" s="3" t="e">
        <f>BI192-BH192</f>
        <v>#DIV/0!</v>
      </c>
      <c r="BJ275" s="3" t="e">
        <f>BJ192-BI192</f>
        <v>#DIV/0!</v>
      </c>
      <c r="BK275" s="3" t="e">
        <f>SUM(BG275:BJ275)</f>
        <v>#DIV/0!</v>
      </c>
      <c r="BL275" s="3" t="e">
        <f>BL192-BK192</f>
        <v>#DIV/0!</v>
      </c>
      <c r="BM275" s="3" t="e">
        <f>BM192-BL192</f>
        <v>#DIV/0!</v>
      </c>
      <c r="BN275" s="3" t="e">
        <f>BN192-BM192</f>
        <v>#DIV/0!</v>
      </c>
      <c r="BO275" s="3" t="e">
        <f>BO192-BN192</f>
        <v>#DIV/0!</v>
      </c>
      <c r="BP275" s="3" t="e">
        <f>SUM(BL275:BO275)</f>
        <v>#DIV/0!</v>
      </c>
      <c r="BQ275" s="3" t="e">
        <f>BQ192-BP192</f>
        <v>#DIV/0!</v>
      </c>
      <c r="BR275" s="3" t="e">
        <f>BR192-BQ192</f>
        <v>#DIV/0!</v>
      </c>
      <c r="BS275" s="3" t="e">
        <f>BS192-BR192</f>
        <v>#DIV/0!</v>
      </c>
      <c r="BT275" s="3" t="e">
        <f>BT192-BS192</f>
        <v>#DIV/0!</v>
      </c>
      <c r="BU275" s="3" t="e">
        <f>SUM(BQ275:BT275)</f>
        <v>#DIV/0!</v>
      </c>
      <c r="BV275" s="3" t="e">
        <f>BV192-BU192</f>
        <v>#DIV/0!</v>
      </c>
      <c r="BW275" s="3" t="e">
        <f>BW192-BV192</f>
        <v>#DIV/0!</v>
      </c>
      <c r="BX275" s="3" t="e">
        <f>BX192-BW192</f>
        <v>#DIV/0!</v>
      </c>
      <c r="BY275" s="3" t="e">
        <f>BY192-BX192</f>
        <v>#DIV/0!</v>
      </c>
      <c r="BZ275" s="3" t="e">
        <f>SUM(BV275:BY275)</f>
        <v>#DIV/0!</v>
      </c>
      <c r="CA275" s="3" t="e">
        <f>CA192-BZ192</f>
        <v>#DIV/0!</v>
      </c>
      <c r="CB275" s="3" t="e">
        <f>CB192-CA192</f>
        <v>#DIV/0!</v>
      </c>
      <c r="CC275" s="3" t="e">
        <f>CC192-CB192</f>
        <v>#DIV/0!</v>
      </c>
      <c r="CD275" s="3" t="e">
        <f>CD192-CC192</f>
        <v>#DIV/0!</v>
      </c>
      <c r="CE275" s="3" t="e">
        <f>SUM(CA275:CD275)</f>
        <v>#DIV/0!</v>
      </c>
      <c r="CF275" s="3" t="e">
        <f>CF192-CE192</f>
        <v>#DIV/0!</v>
      </c>
      <c r="CG275" s="3" t="e">
        <f>CG192-CF192</f>
        <v>#DIV/0!</v>
      </c>
      <c r="CH275" s="3" t="e">
        <f>CH192-CG192</f>
        <v>#DIV/0!</v>
      </c>
      <c r="CI275" s="3" t="e">
        <f>CI192-CH192</f>
        <v>#DIV/0!</v>
      </c>
      <c r="CJ275" s="3" t="e">
        <f>SUM(CF275:CI275)</f>
        <v>#DIV/0!</v>
      </c>
      <c r="CK275" s="3" t="e">
        <f>CK192-CJ192</f>
        <v>#DIV/0!</v>
      </c>
      <c r="CL275" s="3" t="e">
        <f>CL192-CK192</f>
        <v>#DIV/0!</v>
      </c>
      <c r="CM275" s="3" t="e">
        <f>CM192-CL192</f>
        <v>#DIV/0!</v>
      </c>
      <c r="CN275" s="3" t="e">
        <f>CN192-CM192</f>
        <v>#DIV/0!</v>
      </c>
      <c r="CO275" s="3" t="e">
        <f>SUM(CK275:CN275)</f>
        <v>#DIV/0!</v>
      </c>
      <c r="CP275" s="3" t="e">
        <f>CP192-CO192</f>
        <v>#DIV/0!</v>
      </c>
      <c r="CQ275" s="3" t="e">
        <f>CQ192-CP192</f>
        <v>#DIV/0!</v>
      </c>
      <c r="CR275" s="3" t="e">
        <f>CR192-CQ192</f>
        <v>#DIV/0!</v>
      </c>
      <c r="CS275" s="3" t="e">
        <f>CS192-CR192</f>
        <v>#DIV/0!</v>
      </c>
      <c r="CT275" s="3" t="e">
        <f>SUM(CP275:CS275)</f>
        <v>#DIV/0!</v>
      </c>
      <c r="CU275" s="3" t="e">
        <f>CU192-CT192</f>
        <v>#DIV/0!</v>
      </c>
      <c r="CV275" s="3" t="e">
        <f>CV192-CU192</f>
        <v>#DIV/0!</v>
      </c>
      <c r="CW275" s="3" t="e">
        <f>CW192-CV192</f>
        <v>#DIV/0!</v>
      </c>
      <c r="CX275" s="3" t="e">
        <f>CX192-CW192</f>
        <v>#DIV/0!</v>
      </c>
      <c r="CY275" s="3" t="e">
        <f>SUM(CU275:CX275)</f>
        <v>#DIV/0!</v>
      </c>
    </row>
    <row r="276" hidden="1" outlineLevel="1">
      <c r="C276" s="29" t="inlineStr">
        <is>
          <t>Other current liabilities (non-debt)</t>
        </is>
      </c>
      <c r="D276" s="3" t="n"/>
      <c r="E276" s="3">
        <f>E193-D193</f>
        <v>-2</v>
      </c>
      <c r="F276" s="3">
        <f>F193-E193</f>
        <v>-225</v>
      </c>
      <c r="G276" s="3">
        <f>G193-F193</f>
        <v>607</v>
      </c>
      <c r="H276" s="3">
        <f>SUM(D276:G276)</f>
        <v>380</v>
      </c>
      <c r="I276" s="3">
        <f>I193-H193</f>
        <v>251</v>
      </c>
      <c r="J276" s="3">
        <f>J193-I193</f>
        <v>-328</v>
      </c>
      <c r="K276" s="3">
        <f>K193-J193</f>
        <v>-522</v>
      </c>
      <c r="L276" s="3">
        <f>L193-K193</f>
        <v>539</v>
      </c>
      <c r="M276" s="3">
        <f>SUM(I276:L276)</f>
        <v>-60</v>
      </c>
      <c r="N276" s="3">
        <f>N193-M193</f>
        <v>410</v>
      </c>
      <c r="O276" s="3">
        <f>O193-N193</f>
        <v>-181</v>
      </c>
      <c r="P276" s="3">
        <f>P193-O193</f>
        <v>-195</v>
      </c>
      <c r="Q276" s="3">
        <f>Q193-P193</f>
        <v>497</v>
      </c>
      <c r="R276" s="3">
        <f>SUM(N276:Q276)</f>
        <v>531</v>
      </c>
      <c r="S276" s="3">
        <f>S193-R193</f>
        <v>20</v>
      </c>
      <c r="T276" s="3">
        <f>T193-S193</f>
        <v>-526</v>
      </c>
      <c r="U276" s="3">
        <f>U193-T193</f>
        <v>-751</v>
      </c>
      <c r="V276" s="3">
        <f>V193-U193</f>
        <v>11660</v>
      </c>
      <c r="W276" s="3">
        <f>SUM(S276:V276)</f>
        <v>10403</v>
      </c>
      <c r="X276" s="3">
        <f>X193-W193</f>
        <v>-393</v>
      </c>
      <c r="Y276" s="3">
        <f>Y193-X193</f>
        <v>-2341</v>
      </c>
      <c r="Z276" s="3">
        <f>Z193-Y193</f>
        <v>-785</v>
      </c>
      <c r="AA276" s="3">
        <f>AA193-Z193</f>
        <v>637</v>
      </c>
      <c r="AB276" s="3">
        <f>SUM(X276:AA276)</f>
        <v>-2882</v>
      </c>
      <c r="AC276" s="3">
        <f>AC193-AB193</f>
        <v>73</v>
      </c>
      <c r="AD276" s="3">
        <f>AD193-AC193</f>
        <v>-349</v>
      </c>
      <c r="AE276" s="3">
        <f>AE193-AD193</f>
        <v>-481</v>
      </c>
      <c r="AF276" s="3">
        <f>AF193-AE193</f>
        <v>-42</v>
      </c>
      <c r="AG276" s="3">
        <f>SUM(AC276:AF276)</f>
        <v>-799</v>
      </c>
      <c r="AH276" s="3">
        <f>AH193-AG193</f>
        <v>1508</v>
      </c>
      <c r="AI276" s="3">
        <f>AI193-AH193</f>
        <v>-59</v>
      </c>
      <c r="AJ276" s="3">
        <f>AJ193-AI193</f>
        <v>0</v>
      </c>
      <c r="AK276" s="3">
        <f>AK193-AJ193</f>
        <v>0</v>
      </c>
      <c r="AL276" s="3">
        <f>SUM(AH276:AK276)</f>
        <v>1449</v>
      </c>
      <c r="AM276" s="3">
        <f>AM193-AL193</f>
        <v>0</v>
      </c>
      <c r="AN276" s="3">
        <f>AN193-AM193</f>
        <v>0</v>
      </c>
      <c r="AO276" s="3">
        <f>AO193-AN193</f>
        <v>0</v>
      </c>
      <c r="AP276" s="3">
        <f>AP193-AO193</f>
        <v>0</v>
      </c>
      <c r="AQ276" s="3">
        <f>SUM(AM276:AP276)</f>
        <v>0</v>
      </c>
      <c r="AR276" s="3">
        <f>AR193-AQ193</f>
        <v>0</v>
      </c>
      <c r="AS276" s="3">
        <f>AS193-AR193</f>
        <v>0</v>
      </c>
      <c r="AT276" s="3">
        <f>AT193-AS193</f>
        <v>0</v>
      </c>
      <c r="AU276" s="3">
        <f>AU193-AT193</f>
        <v>0</v>
      </c>
      <c r="AV276" s="3">
        <f>SUM(AR276:AU276)</f>
        <v>0</v>
      </c>
      <c r="AW276" s="3">
        <f>AW193-AV193</f>
        <v>0</v>
      </c>
      <c r="AX276" s="3">
        <f>AX193-AW193</f>
        <v>0</v>
      </c>
      <c r="AY276" s="3">
        <f>AY193-AX193</f>
        <v>0</v>
      </c>
      <c r="AZ276" s="3">
        <f>AZ193-AY193</f>
        <v>0</v>
      </c>
      <c r="BA276" s="3">
        <f>SUM(AW276:AZ276)</f>
        <v>0</v>
      </c>
      <c r="BB276" s="3">
        <f>BB193-BA193</f>
        <v>0</v>
      </c>
      <c r="BC276" s="3">
        <f>BC193-BB193</f>
        <v>0</v>
      </c>
      <c r="BD276" s="3">
        <f>BD193-BC193</f>
        <v>0</v>
      </c>
      <c r="BE276" s="3">
        <f>BE193-BD193</f>
        <v>0</v>
      </c>
      <c r="BF276" s="3">
        <f>SUM(BB276:BE276)</f>
        <v>0</v>
      </c>
      <c r="BG276" s="3">
        <f>BG193-BF193</f>
        <v>0</v>
      </c>
      <c r="BH276" s="3">
        <f>BH193-BG193</f>
        <v>0</v>
      </c>
      <c r="BI276" s="3">
        <f>BI193-BH193</f>
        <v>0</v>
      </c>
      <c r="BJ276" s="3">
        <f>BJ193-BI193</f>
        <v>0</v>
      </c>
      <c r="BK276" s="3">
        <f>SUM(BG276:BJ276)</f>
        <v>0</v>
      </c>
      <c r="BL276" s="3">
        <f>BL193-BK193</f>
        <v>0</v>
      </c>
      <c r="BM276" s="3">
        <f>BM193-BL193</f>
        <v>0</v>
      </c>
      <c r="BN276" s="3">
        <f>BN193-BM193</f>
        <v>0</v>
      </c>
      <c r="BO276" s="3">
        <f>BO193-BN193</f>
        <v>0</v>
      </c>
      <c r="BP276" s="3">
        <f>SUM(BL276:BO276)</f>
        <v>0</v>
      </c>
      <c r="BQ276" s="3">
        <f>BQ193-BP193</f>
        <v>0</v>
      </c>
      <c r="BR276" s="3">
        <f>BR193-BQ193</f>
        <v>0</v>
      </c>
      <c r="BS276" s="3">
        <f>BS193-BR193</f>
        <v>0</v>
      </c>
      <c r="BT276" s="3">
        <f>BT193-BS193</f>
        <v>0</v>
      </c>
      <c r="BU276" s="3">
        <f>SUM(BQ276:BT276)</f>
        <v>0</v>
      </c>
      <c r="BV276" s="3">
        <f>BV193-BU193</f>
        <v>0</v>
      </c>
      <c r="BW276" s="3">
        <f>BW193-BV193</f>
        <v>0</v>
      </c>
      <c r="BX276" s="3">
        <f>BX193-BW193</f>
        <v>0</v>
      </c>
      <c r="BY276" s="3">
        <f>BY193-BX193</f>
        <v>0</v>
      </c>
      <c r="BZ276" s="3">
        <f>SUM(BV276:BY276)</f>
        <v>0</v>
      </c>
      <c r="CA276" s="3">
        <f>CA193-BZ193</f>
        <v>0</v>
      </c>
      <c r="CB276" s="3">
        <f>CB193-CA193</f>
        <v>0</v>
      </c>
      <c r="CC276" s="3">
        <f>CC193-CB193</f>
        <v>0</v>
      </c>
      <c r="CD276" s="3">
        <f>CD193-CC193</f>
        <v>0</v>
      </c>
      <c r="CE276" s="3">
        <f>SUM(CA276:CD276)</f>
        <v>0</v>
      </c>
      <c r="CF276" s="3">
        <f>CF193-CE193</f>
        <v>0</v>
      </c>
      <c r="CG276" s="3">
        <f>CG193-CF193</f>
        <v>0</v>
      </c>
      <c r="CH276" s="3">
        <f>CH193-CG193</f>
        <v>0</v>
      </c>
      <c r="CI276" s="3">
        <f>CI193-CH193</f>
        <v>0</v>
      </c>
      <c r="CJ276" s="3">
        <f>SUM(CF276:CI276)</f>
        <v>0</v>
      </c>
      <c r="CK276" s="3">
        <f>CK193-CJ193</f>
        <v>0</v>
      </c>
      <c r="CL276" s="3">
        <f>CL193-CK193</f>
        <v>0</v>
      </c>
      <c r="CM276" s="3">
        <f>CM193-CL193</f>
        <v>0</v>
      </c>
      <c r="CN276" s="3">
        <f>CN193-CM193</f>
        <v>0</v>
      </c>
      <c r="CO276" s="3">
        <f>SUM(CK276:CN276)</f>
        <v>0</v>
      </c>
      <c r="CP276" s="3">
        <f>CP193-CO193</f>
        <v>0</v>
      </c>
      <c r="CQ276" s="3">
        <f>CQ193-CP193</f>
        <v>0</v>
      </c>
      <c r="CR276" s="3">
        <f>CR193-CQ193</f>
        <v>0</v>
      </c>
      <c r="CS276" s="3">
        <f>CS193-CR193</f>
        <v>0</v>
      </c>
      <c r="CT276" s="3">
        <f>SUM(CP276:CS276)</f>
        <v>0</v>
      </c>
      <c r="CU276" s="3">
        <f>CU193-CT193</f>
        <v>0</v>
      </c>
      <c r="CV276" s="3">
        <f>CV193-CU193</f>
        <v>0</v>
      </c>
      <c r="CW276" s="3">
        <f>CW193-CV193</f>
        <v>0</v>
      </c>
      <c r="CX276" s="3">
        <f>CX193-CW193</f>
        <v>0</v>
      </c>
      <c r="CY276" s="3">
        <f>SUM(CU276:CX276)</f>
        <v>0</v>
      </c>
    </row>
    <row r="277" hidden="1" outlineLevel="1">
      <c r="C277" s="29" t="inlineStr">
        <is>
          <t>Deferred income taxes</t>
        </is>
      </c>
      <c r="D277" s="3" t="n"/>
      <c r="E277" s="3">
        <f>E227-D227</f>
        <v>0</v>
      </c>
      <c r="F277" s="3">
        <f>F227-E227</f>
        <v>0</v>
      </c>
      <c r="G277" s="3">
        <f>G227-F227</f>
        <v>0</v>
      </c>
      <c r="H277" s="3">
        <f>SUM(D277:G277)</f>
        <v>0</v>
      </c>
      <c r="I277" s="3">
        <f>I227-H227</f>
        <v>0</v>
      </c>
      <c r="J277" s="3">
        <f>J227-I227</f>
        <v>0</v>
      </c>
      <c r="K277" s="3">
        <f>K227-J227</f>
        <v>0</v>
      </c>
      <c r="L277" s="3">
        <f>L227-K227</f>
        <v>0</v>
      </c>
      <c r="M277" s="3">
        <f>SUM(I277:L277)</f>
        <v>0</v>
      </c>
      <c r="N277" s="3">
        <f>N227-M227</f>
        <v>0</v>
      </c>
      <c r="O277" s="3">
        <f>O227-N227</f>
        <v>0</v>
      </c>
      <c r="P277" s="3">
        <f>P227-O227</f>
        <v>0</v>
      </c>
      <c r="Q277" s="3">
        <f>Q227-P227</f>
        <v>0</v>
      </c>
      <c r="R277" s="3">
        <f>SUM(N277:Q277)</f>
        <v>0</v>
      </c>
      <c r="S277" s="3">
        <f>S227-R227</f>
        <v>0</v>
      </c>
      <c r="T277" s="3">
        <f>T227-S227</f>
        <v>0</v>
      </c>
      <c r="U277" s="3">
        <f>U227-T227</f>
        <v>0</v>
      </c>
      <c r="V277" s="3">
        <f>V227-U227</f>
        <v>0</v>
      </c>
      <c r="W277" s="3">
        <f>SUM(S277:V277)</f>
        <v>0</v>
      </c>
      <c r="X277" s="3">
        <f>X227-W227</f>
        <v>0</v>
      </c>
      <c r="Y277" s="3">
        <f>Y227-X227</f>
        <v>0</v>
      </c>
      <c r="Z277" s="3">
        <f>Z227-Y227</f>
        <v>0</v>
      </c>
      <c r="AA277" s="3">
        <f>AA227-Z227</f>
        <v>0</v>
      </c>
      <c r="AB277" s="3">
        <f>SUM(X277:AA277)</f>
        <v>0</v>
      </c>
      <c r="AC277" s="3">
        <f>AC227-AB227</f>
        <v>0</v>
      </c>
      <c r="AD277" s="3">
        <f>AD227-AC227</f>
        <v>0</v>
      </c>
      <c r="AE277" s="3">
        <f>AE227-AD227</f>
        <v>0</v>
      </c>
      <c r="AF277" s="3">
        <f>AF227-AE227</f>
        <v>0</v>
      </c>
      <c r="AG277" s="3">
        <f>SUM(AC277:AF277)</f>
        <v>0</v>
      </c>
      <c r="AH277" s="3">
        <f>AH227-AG227</f>
        <v>0</v>
      </c>
      <c r="AI277" s="3">
        <f>AI227-AH227</f>
        <v>0</v>
      </c>
      <c r="AJ277" s="3">
        <f>AJ227-AI227</f>
        <v>0</v>
      </c>
      <c r="AK277" s="3">
        <f>AK227-AJ227</f>
        <v>0</v>
      </c>
      <c r="AL277" s="3">
        <f>SUM(AH277:AK277)</f>
        <v>0</v>
      </c>
      <c r="AM277" s="3">
        <f>AM227-AL227</f>
        <v>0</v>
      </c>
      <c r="AN277" s="3">
        <f>AN227-AM227</f>
        <v>0</v>
      </c>
      <c r="AO277" s="3">
        <f>AO227-AN227</f>
        <v>0</v>
      </c>
      <c r="AP277" s="3">
        <f>AP227-AO227</f>
        <v>0</v>
      </c>
      <c r="AQ277" s="3">
        <f>SUM(AM277:AP277)</f>
        <v>0</v>
      </c>
      <c r="AR277" s="3">
        <f>AR227-AQ227</f>
        <v>0</v>
      </c>
      <c r="AS277" s="3">
        <f>AS227-AR227</f>
        <v>0</v>
      </c>
      <c r="AT277" s="3">
        <f>AT227-AS227</f>
        <v>0</v>
      </c>
      <c r="AU277" s="3">
        <f>AU227-AT227</f>
        <v>0</v>
      </c>
      <c r="AV277" s="3">
        <f>SUM(AR277:AU277)</f>
        <v>0</v>
      </c>
      <c r="AW277" s="3">
        <f>AW227-AV227</f>
        <v>0</v>
      </c>
      <c r="AX277" s="3">
        <f>AX227-AW227</f>
        <v>0</v>
      </c>
      <c r="AY277" s="3">
        <f>AY227-AX227</f>
        <v>0</v>
      </c>
      <c r="AZ277" s="3">
        <f>AZ227-AY227</f>
        <v>0</v>
      </c>
      <c r="BA277" s="3">
        <f>SUM(AW277:AZ277)</f>
        <v>0</v>
      </c>
      <c r="BB277" s="3">
        <f>BB227-BA227</f>
        <v>0</v>
      </c>
      <c r="BC277" s="3">
        <f>BC227-BB227</f>
        <v>0</v>
      </c>
      <c r="BD277" s="3">
        <f>BD227-BC227</f>
        <v>0</v>
      </c>
      <c r="BE277" s="3">
        <f>BE227-BD227</f>
        <v>0</v>
      </c>
      <c r="BF277" s="3">
        <f>SUM(BB277:BE277)</f>
        <v>0</v>
      </c>
      <c r="BG277" s="3">
        <f>BG227-BF227</f>
        <v>0</v>
      </c>
      <c r="BH277" s="3">
        <f>BH227-BG227</f>
        <v>0</v>
      </c>
      <c r="BI277" s="3">
        <f>BI227-BH227</f>
        <v>0</v>
      </c>
      <c r="BJ277" s="3">
        <f>BJ227-BI227</f>
        <v>0</v>
      </c>
      <c r="BK277" s="3">
        <f>SUM(BG277:BJ277)</f>
        <v>0</v>
      </c>
      <c r="BL277" s="3">
        <f>BL227-BK227</f>
        <v>0</v>
      </c>
      <c r="BM277" s="3">
        <f>BM227-BL227</f>
        <v>0</v>
      </c>
      <c r="BN277" s="3">
        <f>BN227-BM227</f>
        <v>0</v>
      </c>
      <c r="BO277" s="3">
        <f>BO227-BN227</f>
        <v>0</v>
      </c>
      <c r="BP277" s="3">
        <f>SUM(BL277:BO277)</f>
        <v>0</v>
      </c>
      <c r="BQ277" s="3">
        <f>BQ227-BP227</f>
        <v>0</v>
      </c>
      <c r="BR277" s="3">
        <f>BR227-BQ227</f>
        <v>0</v>
      </c>
      <c r="BS277" s="3">
        <f>BS227-BR227</f>
        <v>0</v>
      </c>
      <c r="BT277" s="3">
        <f>BT227-BS227</f>
        <v>0</v>
      </c>
      <c r="BU277" s="3">
        <f>SUM(BQ277:BT277)</f>
        <v>0</v>
      </c>
      <c r="BV277" s="3">
        <f>BV227-BU227</f>
        <v>0</v>
      </c>
      <c r="BW277" s="3">
        <f>BW227-BV227</f>
        <v>0</v>
      </c>
      <c r="BX277" s="3">
        <f>BX227-BW227</f>
        <v>0</v>
      </c>
      <c r="BY277" s="3">
        <f>BY227-BX227</f>
        <v>0</v>
      </c>
      <c r="BZ277" s="3">
        <f>SUM(BV277:BY277)</f>
        <v>0</v>
      </c>
      <c r="CA277" s="3">
        <f>CA227-BZ227</f>
        <v>0</v>
      </c>
      <c r="CB277" s="3">
        <f>CB227-CA227</f>
        <v>0</v>
      </c>
      <c r="CC277" s="3">
        <f>CC227-CB227</f>
        <v>0</v>
      </c>
      <c r="CD277" s="3">
        <f>CD227-CC227</f>
        <v>0</v>
      </c>
      <c r="CE277" s="3">
        <f>SUM(CA277:CD277)</f>
        <v>0</v>
      </c>
      <c r="CF277" s="3">
        <f>CF227-CE227</f>
        <v>0</v>
      </c>
      <c r="CG277" s="3">
        <f>CG227-CF227</f>
        <v>0</v>
      </c>
      <c r="CH277" s="3">
        <f>CH227-CG227</f>
        <v>0</v>
      </c>
      <c r="CI277" s="3">
        <f>CI227-CH227</f>
        <v>0</v>
      </c>
      <c r="CJ277" s="3">
        <f>SUM(CF277:CI277)</f>
        <v>0</v>
      </c>
      <c r="CK277" s="3">
        <f>CK227-CJ227</f>
        <v>0</v>
      </c>
      <c r="CL277" s="3">
        <f>CL227-CK227</f>
        <v>0</v>
      </c>
      <c r="CM277" s="3">
        <f>CM227-CL227</f>
        <v>0</v>
      </c>
      <c r="CN277" s="3">
        <f>CN227-CM227</f>
        <v>0</v>
      </c>
      <c r="CO277" s="3">
        <f>SUM(CK277:CN277)</f>
        <v>0</v>
      </c>
      <c r="CP277" s="3">
        <f>CP227-CO227</f>
        <v>0</v>
      </c>
      <c r="CQ277" s="3">
        <f>CQ227-CP227</f>
        <v>0</v>
      </c>
      <c r="CR277" s="3">
        <f>CR227-CQ227</f>
        <v>0</v>
      </c>
      <c r="CS277" s="3">
        <f>CS227-CR227</f>
        <v>0</v>
      </c>
      <c r="CT277" s="3">
        <f>SUM(CP277:CS277)</f>
        <v>0</v>
      </c>
      <c r="CU277" s="3">
        <f>CU227-CT227</f>
        <v>0</v>
      </c>
      <c r="CV277" s="3">
        <f>CV227-CU227</f>
        <v>0</v>
      </c>
      <c r="CW277" s="3">
        <f>CW227-CV227</f>
        <v>0</v>
      </c>
      <c r="CX277" s="3">
        <f>CX227-CW227</f>
        <v>0</v>
      </c>
      <c r="CY277" s="3">
        <f>SUM(CU277:CX277)</f>
        <v>0</v>
      </c>
    </row>
    <row r="278" collapsed="1">
      <c r="C278" s="29" t="inlineStr">
        <is>
          <t>Equity income in affiliates</t>
        </is>
      </c>
      <c r="D278" s="3" t="n"/>
      <c r="E278" s="3">
        <f>(E149-D149)*-1</f>
        <v>0</v>
      </c>
      <c r="F278" s="3">
        <f>(F149-E149)*-1</f>
        <v>0</v>
      </c>
      <c r="G278" s="3">
        <f>(G149-F149)*-1</f>
        <v>0</v>
      </c>
      <c r="H278" s="3">
        <f>SUM(D278:G278)</f>
        <v>0</v>
      </c>
      <c r="I278" s="3">
        <f>(I149-H149)*-1</f>
        <v>0</v>
      </c>
      <c r="J278" s="3">
        <f>(J149-I149)*-1</f>
        <v>0</v>
      </c>
      <c r="K278" s="3">
        <f>(K149-J149)*-1</f>
        <v>0</v>
      </c>
      <c r="L278" s="3">
        <f>(L149-K149)*-1</f>
        <v>0</v>
      </c>
      <c r="M278" s="3">
        <f>SUM(I278:L278)</f>
        <v>0</v>
      </c>
      <c r="N278" s="3">
        <f>(N149-M149)*-1</f>
        <v>0</v>
      </c>
      <c r="O278" s="3">
        <f>(O149-N149)*-1</f>
        <v>0</v>
      </c>
      <c r="P278" s="3">
        <f>(P149-O149)*-1</f>
        <v>0</v>
      </c>
      <c r="Q278" s="3">
        <f>(Q149-P149)*-1</f>
        <v>0</v>
      </c>
      <c r="R278" s="3">
        <f>SUM(N278:Q278)</f>
        <v>0</v>
      </c>
      <c r="S278" s="3">
        <f>(S149-R149)*-1</f>
        <v>0</v>
      </c>
      <c r="T278" s="3">
        <f>(T149-S149)*-1</f>
        <v>0</v>
      </c>
      <c r="U278" s="3">
        <f>(U149-T149)*-1</f>
        <v>0</v>
      </c>
      <c r="V278" s="3">
        <f>(V149-U149)*-1</f>
        <v>0</v>
      </c>
      <c r="W278" s="3">
        <f>SUM(S278:V278)</f>
        <v>0</v>
      </c>
      <c r="X278" s="3">
        <f>(X149-W149)*-1</f>
        <v>0</v>
      </c>
      <c r="Y278" s="3">
        <f>(Y149-X149)*-1</f>
        <v>0</v>
      </c>
      <c r="Z278" s="3">
        <f>(Z149-Y149)*-1</f>
        <v>0</v>
      </c>
      <c r="AA278" s="3">
        <f>(AA149-Z149)*-1</f>
        <v>0</v>
      </c>
      <c r="AB278" s="3">
        <f>SUM(X278:AA278)</f>
        <v>0</v>
      </c>
      <c r="AC278" s="3">
        <f>(AC149-AB149)*-1</f>
        <v>0</v>
      </c>
      <c r="AD278" s="3">
        <f>(AD149-AC149)*-1</f>
        <v>0</v>
      </c>
      <c r="AE278" s="3">
        <f>(AE149-AD149)*-1</f>
        <v>0</v>
      </c>
      <c r="AF278" s="3">
        <f>(AF149-AE149)*-1</f>
        <v>0</v>
      </c>
      <c r="AG278" s="3">
        <f>SUM(AC278:AF278)</f>
        <v>0</v>
      </c>
      <c r="AH278" s="3">
        <f>(AH149-AG149)*-1</f>
        <v>0</v>
      </c>
      <c r="AI278" s="3">
        <f>(AI149-AH149)*-1</f>
        <v>0</v>
      </c>
      <c r="AJ278" s="3">
        <f>(AJ149-AI149)*-1</f>
        <v>0</v>
      </c>
      <c r="AK278" s="3">
        <f>(AK149-AJ149)*-1</f>
        <v>0</v>
      </c>
      <c r="AL278" s="3">
        <f>SUM(AH278:AK278)</f>
        <v>0</v>
      </c>
      <c r="AM278" s="3">
        <f>(AM149-AL149)*-1</f>
        <v>0</v>
      </c>
      <c r="AN278" s="3">
        <f>(AN149-AM149)*-1</f>
        <v>0</v>
      </c>
      <c r="AO278" s="3">
        <f>(AO149-AN149)*-1</f>
        <v>0</v>
      </c>
      <c r="AP278" s="3">
        <f>(AP149-AO149)*-1</f>
        <v>0</v>
      </c>
      <c r="AQ278" s="3">
        <f>SUM(AM278:AP278)</f>
        <v>0</v>
      </c>
      <c r="AR278" s="3">
        <f>(AR149-AQ149)*-1</f>
        <v>0</v>
      </c>
      <c r="AS278" s="3">
        <f>(AS149-AR149)*-1</f>
        <v>0</v>
      </c>
      <c r="AT278" s="3">
        <f>(AT149-AS149)*-1</f>
        <v>0</v>
      </c>
      <c r="AU278" s="3">
        <f>(AU149-AT149)*-1</f>
        <v>0</v>
      </c>
      <c r="AV278" s="3">
        <f>SUM(AR278:AU278)</f>
        <v>0</v>
      </c>
      <c r="AW278" s="3">
        <f>(AW149-AV149)*-1</f>
        <v>0</v>
      </c>
      <c r="AX278" s="3">
        <f>(AX149-AW149)*-1</f>
        <v>0</v>
      </c>
      <c r="AY278" s="3">
        <f>(AY149-AX149)*-1</f>
        <v>0</v>
      </c>
      <c r="AZ278" s="3">
        <f>(AZ149-AY149)*-1</f>
        <v>0</v>
      </c>
      <c r="BA278" s="3">
        <f>SUM(AW278:AZ278)</f>
        <v>0</v>
      </c>
      <c r="BB278" s="3">
        <f>(BB149-BA149)*-1</f>
        <v>0</v>
      </c>
      <c r="BC278" s="3">
        <f>(BC149-BB149)*-1</f>
        <v>0</v>
      </c>
      <c r="BD278" s="3">
        <f>(BD149-BC149)*-1</f>
        <v>0</v>
      </c>
      <c r="BE278" s="3">
        <f>(BE149-BD149)*-1</f>
        <v>0</v>
      </c>
      <c r="BF278" s="3">
        <f>SUM(BB278:BE278)</f>
        <v>0</v>
      </c>
      <c r="BG278" s="3">
        <f>(BG149-BF149)*-1</f>
        <v>0</v>
      </c>
      <c r="BH278" s="3">
        <f>(BH149-BG149)*-1</f>
        <v>0</v>
      </c>
      <c r="BI278" s="3">
        <f>(BI149-BH149)*-1</f>
        <v>0</v>
      </c>
      <c r="BJ278" s="3">
        <f>(BJ149-BI149)*-1</f>
        <v>0</v>
      </c>
      <c r="BK278" s="3">
        <f>SUM(BG278:BJ278)</f>
        <v>0</v>
      </c>
      <c r="BL278" s="3">
        <f>(BL149-BK149)*-1</f>
        <v>0</v>
      </c>
      <c r="BM278" s="3">
        <f>(BM149-BL149)*-1</f>
        <v>0</v>
      </c>
      <c r="BN278" s="3">
        <f>(BN149-BM149)*-1</f>
        <v>0</v>
      </c>
      <c r="BO278" s="3">
        <f>(BO149-BN149)*-1</f>
        <v>0</v>
      </c>
      <c r="BP278" s="3">
        <f>SUM(BL278:BO278)</f>
        <v>0</v>
      </c>
      <c r="BQ278" s="3">
        <f>(BQ149-BP149)*-1</f>
        <v>0</v>
      </c>
      <c r="BR278" s="3">
        <f>(BR149-BQ149)*-1</f>
        <v>0</v>
      </c>
      <c r="BS278" s="3">
        <f>(BS149-BR149)*-1</f>
        <v>0</v>
      </c>
      <c r="BT278" s="3">
        <f>(BT149-BS149)*-1</f>
        <v>0</v>
      </c>
      <c r="BU278" s="3">
        <f>SUM(BQ278:BT278)</f>
        <v>0</v>
      </c>
      <c r="BV278" s="3">
        <f>(BV149-BU149)*-1</f>
        <v>0</v>
      </c>
      <c r="BW278" s="3">
        <f>(BW149-BV149)*-1</f>
        <v>0</v>
      </c>
      <c r="BX278" s="3">
        <f>(BX149-BW149)*-1</f>
        <v>0</v>
      </c>
      <c r="BY278" s="3">
        <f>(BY149-BX149)*-1</f>
        <v>0</v>
      </c>
      <c r="BZ278" s="3">
        <f>SUM(BV278:BY278)</f>
        <v>0</v>
      </c>
      <c r="CA278" s="3">
        <f>(CA149-BZ149)*-1</f>
        <v>0</v>
      </c>
      <c r="CB278" s="3">
        <f>(CB149-CA149)*-1</f>
        <v>0</v>
      </c>
      <c r="CC278" s="3">
        <f>(CC149-CB149)*-1</f>
        <v>0</v>
      </c>
      <c r="CD278" s="3">
        <f>(CD149-CC149)*-1</f>
        <v>0</v>
      </c>
      <c r="CE278" s="3">
        <f>SUM(CA278:CD278)</f>
        <v>0</v>
      </c>
      <c r="CF278" s="3">
        <f>(CF149-CE149)*-1</f>
        <v>0</v>
      </c>
      <c r="CG278" s="3">
        <f>(CG149-CF149)*-1</f>
        <v>0</v>
      </c>
      <c r="CH278" s="3">
        <f>(CH149-CG149)*-1</f>
        <v>0</v>
      </c>
      <c r="CI278" s="3">
        <f>(CI149-CH149)*-1</f>
        <v>0</v>
      </c>
      <c r="CJ278" s="3">
        <f>SUM(CF278:CI278)</f>
        <v>0</v>
      </c>
      <c r="CK278" s="3">
        <f>(CK149-CJ149)*-1</f>
        <v>0</v>
      </c>
      <c r="CL278" s="3">
        <f>(CL149-CK149)*-1</f>
        <v>0</v>
      </c>
      <c r="CM278" s="3">
        <f>(CM149-CL149)*-1</f>
        <v>0</v>
      </c>
      <c r="CN278" s="3">
        <f>(CN149-CM149)*-1</f>
        <v>0</v>
      </c>
      <c r="CO278" s="3">
        <f>SUM(CK278:CN278)</f>
        <v>0</v>
      </c>
      <c r="CP278" s="3">
        <f>(CP149-CO149)*-1</f>
        <v>0</v>
      </c>
      <c r="CQ278" s="3">
        <f>(CQ149-CP149)*-1</f>
        <v>0</v>
      </c>
      <c r="CR278" s="3">
        <f>(CR149-CQ149)*-1</f>
        <v>0</v>
      </c>
      <c r="CS278" s="3">
        <f>(CS149-CR149)*-1</f>
        <v>0</v>
      </c>
      <c r="CT278" s="3">
        <f>SUM(CP278:CS278)</f>
        <v>0</v>
      </c>
      <c r="CU278" s="3">
        <f>(CU149-CT149)*-1</f>
        <v>0</v>
      </c>
      <c r="CV278" s="3">
        <f>(CV149-CU149)*-1</f>
        <v>0</v>
      </c>
      <c r="CW278" s="3">
        <f>(CW149-CV149)*-1</f>
        <v>0</v>
      </c>
      <c r="CX278" s="3">
        <f>(CX149-CW149)*-1</f>
        <v>0</v>
      </c>
      <c r="CY278" s="3">
        <f>SUM(CU278:CX278)</f>
        <v>0</v>
      </c>
    </row>
    <row r="279">
      <c r="C279" s="29" t="inlineStr">
        <is>
          <t>Dividends received from affiliates</t>
        </is>
      </c>
      <c r="D279" s="3" t="n"/>
      <c r="E279" s="3">
        <f>-E152</f>
        <v>0</v>
      </c>
      <c r="F279" s="3">
        <f>-F152</f>
        <v>0</v>
      </c>
      <c r="G279" s="3">
        <f>-G152</f>
        <v>0</v>
      </c>
      <c r="H279" s="3">
        <f>SUM(D279:G279)</f>
        <v>0</v>
      </c>
      <c r="I279" s="3">
        <f>-I152</f>
        <v>0</v>
      </c>
      <c r="J279" s="3">
        <f>-J152</f>
        <v>0</v>
      </c>
      <c r="K279" s="3">
        <f>-K152</f>
        <v>0</v>
      </c>
      <c r="L279" s="3">
        <f>-L152</f>
        <v>0</v>
      </c>
      <c r="M279" s="3">
        <f>SUM(I279:L279)</f>
        <v>0</v>
      </c>
      <c r="N279" s="3">
        <f>-N152</f>
        <v>0</v>
      </c>
      <c r="O279" s="3">
        <f>-O152</f>
        <v>0</v>
      </c>
      <c r="P279" s="3">
        <f>-P152</f>
        <v>0</v>
      </c>
      <c r="Q279" s="3">
        <f>-Q152</f>
        <v>0</v>
      </c>
      <c r="R279" s="3">
        <f>SUM(N279:Q279)</f>
        <v>0</v>
      </c>
      <c r="S279" s="3">
        <f>-S152</f>
        <v>0</v>
      </c>
      <c r="T279" s="3">
        <f>-T152</f>
        <v>0</v>
      </c>
      <c r="U279" s="3">
        <f>-U152</f>
        <v>0</v>
      </c>
      <c r="V279" s="3">
        <f>-V152</f>
        <v>0</v>
      </c>
      <c r="W279" s="3">
        <f>SUM(S279:V279)</f>
        <v>0</v>
      </c>
      <c r="X279" s="3">
        <f>-X152</f>
        <v>0</v>
      </c>
      <c r="Y279" s="3">
        <f>-Y152</f>
        <v>0</v>
      </c>
      <c r="Z279" s="3">
        <f>-Z152</f>
        <v>0</v>
      </c>
      <c r="AA279" s="3">
        <f>-AA152</f>
        <v>0</v>
      </c>
      <c r="AB279" s="3">
        <f>SUM(X279:AA279)</f>
        <v>0</v>
      </c>
      <c r="AC279" s="3">
        <f>-AC152</f>
        <v>0</v>
      </c>
      <c r="AD279" s="3">
        <f>-AD152</f>
        <v>0</v>
      </c>
      <c r="AE279" s="3">
        <f>-AE152</f>
        <v>0</v>
      </c>
      <c r="AF279" s="3">
        <f>-AF152</f>
        <v>0</v>
      </c>
      <c r="AG279" s="3">
        <f>SUM(AC279:AF279)</f>
        <v>0</v>
      </c>
      <c r="AH279" s="3">
        <f>-AH152</f>
        <v>0</v>
      </c>
      <c r="AI279" s="3">
        <f>-AI152</f>
        <v>0</v>
      </c>
      <c r="AJ279" s="3">
        <f>-AJ152</f>
        <v>0</v>
      </c>
      <c r="AK279" s="3">
        <f>-AK152</f>
        <v>0</v>
      </c>
      <c r="AL279" s="3">
        <f>SUM(AH279:AK279)</f>
        <v>0</v>
      </c>
      <c r="AM279" s="3">
        <f>-AM152</f>
        <v>0</v>
      </c>
      <c r="AN279" s="3">
        <f>-AN152</f>
        <v>0</v>
      </c>
      <c r="AO279" s="3">
        <f>-AO152</f>
        <v>0</v>
      </c>
      <c r="AP279" s="3">
        <f>-AP152</f>
        <v>0</v>
      </c>
      <c r="AQ279" s="3">
        <f>SUM(AM279:AP279)</f>
        <v>0</v>
      </c>
      <c r="AR279" s="3">
        <f>-AR152</f>
        <v>0</v>
      </c>
      <c r="AS279" s="3">
        <f>-AS152</f>
        <v>0</v>
      </c>
      <c r="AT279" s="3">
        <f>-AT152</f>
        <v>0</v>
      </c>
      <c r="AU279" s="3">
        <f>-AU152</f>
        <v>0</v>
      </c>
      <c r="AV279" s="3">
        <f>SUM(AR279:AU279)</f>
        <v>0</v>
      </c>
      <c r="AW279" s="3">
        <f>-AW152</f>
        <v>0</v>
      </c>
      <c r="AX279" s="3">
        <f>-AX152</f>
        <v>0</v>
      </c>
      <c r="AY279" s="3">
        <f>-AY152</f>
        <v>0</v>
      </c>
      <c r="AZ279" s="3">
        <f>-AZ152</f>
        <v>0</v>
      </c>
      <c r="BA279" s="3">
        <f>SUM(AW279:AZ279)</f>
        <v>0</v>
      </c>
      <c r="BB279" s="3">
        <f>-BB152</f>
        <v>0</v>
      </c>
      <c r="BC279" s="3">
        <f>-BC152</f>
        <v>0</v>
      </c>
      <c r="BD279" s="3">
        <f>-BD152</f>
        <v>0</v>
      </c>
      <c r="BE279" s="3">
        <f>-BE152</f>
        <v>0</v>
      </c>
      <c r="BF279" s="3">
        <f>SUM(BB279:BE279)</f>
        <v>0</v>
      </c>
      <c r="BG279" s="3">
        <f>-BG152</f>
        <v>0</v>
      </c>
      <c r="BH279" s="3">
        <f>-BH152</f>
        <v>0</v>
      </c>
      <c r="BI279" s="3">
        <f>-BI152</f>
        <v>0</v>
      </c>
      <c r="BJ279" s="3">
        <f>-BJ152</f>
        <v>0</v>
      </c>
      <c r="BK279" s="3">
        <f>SUM(BG279:BJ279)</f>
        <v>0</v>
      </c>
      <c r="BL279" s="3">
        <f>-BL152</f>
        <v>0</v>
      </c>
      <c r="BM279" s="3">
        <f>-BM152</f>
        <v>0</v>
      </c>
      <c r="BN279" s="3">
        <f>-BN152</f>
        <v>0</v>
      </c>
      <c r="BO279" s="3">
        <f>-BO152</f>
        <v>0</v>
      </c>
      <c r="BP279" s="3">
        <f>SUM(BL279:BO279)</f>
        <v>0</v>
      </c>
      <c r="BQ279" s="3">
        <f>-BQ152</f>
        <v>0</v>
      </c>
      <c r="BR279" s="3">
        <f>-BR152</f>
        <v>0</v>
      </c>
      <c r="BS279" s="3">
        <f>-BS152</f>
        <v>0</v>
      </c>
      <c r="BT279" s="3">
        <f>-BT152</f>
        <v>0</v>
      </c>
      <c r="BU279" s="3">
        <f>SUM(BQ279:BT279)</f>
        <v>0</v>
      </c>
      <c r="BV279" s="3">
        <f>-BV152</f>
        <v>0</v>
      </c>
      <c r="BW279" s="3">
        <f>-BW152</f>
        <v>0</v>
      </c>
      <c r="BX279" s="3">
        <f>-BX152</f>
        <v>0</v>
      </c>
      <c r="BY279" s="3">
        <f>-BY152</f>
        <v>0</v>
      </c>
      <c r="BZ279" s="3">
        <f>SUM(BV279:BY279)</f>
        <v>0</v>
      </c>
      <c r="CA279" s="3">
        <f>-CA152</f>
        <v>0</v>
      </c>
      <c r="CB279" s="3">
        <f>-CB152</f>
        <v>0</v>
      </c>
      <c r="CC279" s="3">
        <f>-CC152</f>
        <v>0</v>
      </c>
      <c r="CD279" s="3">
        <f>-CD152</f>
        <v>0</v>
      </c>
      <c r="CE279" s="3">
        <f>SUM(CA279:CD279)</f>
        <v>0</v>
      </c>
      <c r="CF279" s="3">
        <f>-CF152</f>
        <v>0</v>
      </c>
      <c r="CG279" s="3">
        <f>-CG152</f>
        <v>0</v>
      </c>
      <c r="CH279" s="3">
        <f>-CH152</f>
        <v>0</v>
      </c>
      <c r="CI279" s="3">
        <f>-CI152</f>
        <v>0</v>
      </c>
      <c r="CJ279" s="3">
        <f>SUM(CF279:CI279)</f>
        <v>0</v>
      </c>
      <c r="CK279" s="3">
        <f>-CK152</f>
        <v>0</v>
      </c>
      <c r="CL279" s="3">
        <f>-CL152</f>
        <v>0</v>
      </c>
      <c r="CM279" s="3">
        <f>-CM152</f>
        <v>0</v>
      </c>
      <c r="CN279" s="3">
        <f>-CN152</f>
        <v>0</v>
      </c>
      <c r="CO279" s="3">
        <f>SUM(CK279:CN279)</f>
        <v>0</v>
      </c>
      <c r="CP279" s="3">
        <f>-CP152</f>
        <v>0</v>
      </c>
      <c r="CQ279" s="3">
        <f>-CQ152</f>
        <v>0</v>
      </c>
      <c r="CR279" s="3">
        <f>-CR152</f>
        <v>0</v>
      </c>
      <c r="CS279" s="3">
        <f>-CS152</f>
        <v>0</v>
      </c>
      <c r="CT279" s="3">
        <f>SUM(CP279:CS279)</f>
        <v>0</v>
      </c>
      <c r="CU279" s="3">
        <f>-CU152</f>
        <v>0</v>
      </c>
      <c r="CV279" s="3">
        <f>-CV152</f>
        <v>0</v>
      </c>
      <c r="CW279" s="3">
        <f>-CW152</f>
        <v>0</v>
      </c>
      <c r="CX279" s="3">
        <f>-CX152</f>
        <v>0</v>
      </c>
      <c r="CY279" s="3">
        <f>SUM(CU279:CX279)</f>
        <v>0</v>
      </c>
    </row>
    <row r="280">
      <c r="C280" s="30" t="inlineStr">
        <is>
          <t>Minority interest expense</t>
        </is>
      </c>
      <c r="D280" s="3" t="n"/>
      <c r="E280" s="3">
        <f>-E124</f>
        <v>0</v>
      </c>
      <c r="F280" s="3">
        <f>-F124</f>
        <v>0</v>
      </c>
      <c r="G280" s="3">
        <f>-G124</f>
        <v>0</v>
      </c>
      <c r="H280" s="3">
        <f>SUM(D280:G280)</f>
        <v>0</v>
      </c>
      <c r="I280" s="3">
        <f>-I124</f>
        <v>0</v>
      </c>
      <c r="J280" s="3">
        <f>-J124</f>
        <v>0</v>
      </c>
      <c r="K280" s="3">
        <f>-K124</f>
        <v>0</v>
      </c>
      <c r="L280" s="3">
        <f>-L124</f>
        <v>0</v>
      </c>
      <c r="M280" s="3">
        <f>SUM(I280:L280)</f>
        <v>0</v>
      </c>
      <c r="N280" s="3">
        <f>-N124</f>
        <v>0</v>
      </c>
      <c r="O280" s="3">
        <f>-O124</f>
        <v>0</v>
      </c>
      <c r="P280" s="3">
        <f>-P124</f>
        <v>0</v>
      </c>
      <c r="Q280" s="3">
        <f>-Q124</f>
        <v>0</v>
      </c>
      <c r="R280" s="3">
        <f>SUM(N280:Q280)</f>
        <v>0</v>
      </c>
      <c r="S280" s="3">
        <f>-S124</f>
        <v>0</v>
      </c>
      <c r="T280" s="3">
        <f>-T124</f>
        <v>0</v>
      </c>
      <c r="U280" s="3">
        <f>-U124</f>
        <v>0</v>
      </c>
      <c r="V280" s="3">
        <f>-V124</f>
        <v>0</v>
      </c>
      <c r="W280" s="3">
        <f>SUM(S280:V280)</f>
        <v>0</v>
      </c>
      <c r="X280" s="3">
        <f>-X124</f>
        <v>0</v>
      </c>
      <c r="Y280" s="3">
        <f>-Y124</f>
        <v>0</v>
      </c>
      <c r="Z280" s="3">
        <f>-Z124</f>
        <v>0</v>
      </c>
      <c r="AA280" s="3">
        <f>-AA124</f>
        <v>0</v>
      </c>
      <c r="AB280" s="3">
        <f>SUM(X280:AA280)</f>
        <v>0</v>
      </c>
      <c r="AC280" s="3">
        <f>-AC124</f>
        <v>0</v>
      </c>
      <c r="AD280" s="3">
        <f>-AD124</f>
        <v>0</v>
      </c>
      <c r="AE280" s="3">
        <f>-AE124</f>
        <v>0</v>
      </c>
      <c r="AF280" s="3">
        <f>-AF124</f>
        <v>0</v>
      </c>
      <c r="AG280" s="3">
        <f>SUM(AC280:AF280)</f>
        <v>0</v>
      </c>
      <c r="AH280" s="3">
        <f>-AH124</f>
        <v>0</v>
      </c>
      <c r="AI280" s="3">
        <f>-AI124</f>
        <v>0</v>
      </c>
      <c r="AJ280" s="3">
        <f>-AJ124</f>
        <v>0</v>
      </c>
      <c r="AK280" s="3">
        <f>-AK124</f>
        <v>0</v>
      </c>
      <c r="AL280" s="3">
        <f>SUM(AH280:AK280)</f>
        <v>0</v>
      </c>
      <c r="AM280" s="3">
        <f>-AM124</f>
        <v>0</v>
      </c>
      <c r="AN280" s="3">
        <f>-AN124</f>
        <v>0</v>
      </c>
      <c r="AO280" s="3">
        <f>-AO124</f>
        <v>0</v>
      </c>
      <c r="AP280" s="3">
        <f>-AP124</f>
        <v>0</v>
      </c>
      <c r="AQ280" s="3">
        <f>SUM(AM280:AP280)</f>
        <v>0</v>
      </c>
      <c r="AR280" s="3">
        <f>-AR124</f>
        <v>0</v>
      </c>
      <c r="AS280" s="3">
        <f>-AS124</f>
        <v>0</v>
      </c>
      <c r="AT280" s="3">
        <f>-AT124</f>
        <v>0</v>
      </c>
      <c r="AU280" s="3">
        <f>-AU124</f>
        <v>0</v>
      </c>
      <c r="AV280" s="3">
        <f>SUM(AR280:AU280)</f>
        <v>0</v>
      </c>
      <c r="AW280" s="3">
        <f>-AW124</f>
        <v>0</v>
      </c>
      <c r="AX280" s="3">
        <f>-AX124</f>
        <v>0</v>
      </c>
      <c r="AY280" s="3">
        <f>-AY124</f>
        <v>0</v>
      </c>
      <c r="AZ280" s="3">
        <f>-AZ124</f>
        <v>0</v>
      </c>
      <c r="BA280" s="3">
        <f>SUM(AW280:AZ280)</f>
        <v>0</v>
      </c>
      <c r="BB280" s="3">
        <f>-BB124</f>
        <v>0</v>
      </c>
      <c r="BC280" s="3">
        <f>-BC124</f>
        <v>0</v>
      </c>
      <c r="BD280" s="3">
        <f>-BD124</f>
        <v>0</v>
      </c>
      <c r="BE280" s="3">
        <f>-BE124</f>
        <v>0</v>
      </c>
      <c r="BF280" s="3">
        <f>SUM(BB280:BE280)</f>
        <v>0</v>
      </c>
      <c r="BG280" s="3">
        <f>-BG124</f>
        <v>0</v>
      </c>
      <c r="BH280" s="3">
        <f>-BH124</f>
        <v>0</v>
      </c>
      <c r="BI280" s="3">
        <f>-BI124</f>
        <v>0</v>
      </c>
      <c r="BJ280" s="3">
        <f>-BJ124</f>
        <v>0</v>
      </c>
      <c r="BK280" s="3">
        <f>SUM(BG280:BJ280)</f>
        <v>0</v>
      </c>
      <c r="BL280" s="3">
        <f>-BL124</f>
        <v>0</v>
      </c>
      <c r="BM280" s="3">
        <f>-BM124</f>
        <v>0</v>
      </c>
      <c r="BN280" s="3">
        <f>-BN124</f>
        <v>0</v>
      </c>
      <c r="BO280" s="3">
        <f>-BO124</f>
        <v>0</v>
      </c>
      <c r="BP280" s="3">
        <f>SUM(BL280:BO280)</f>
        <v>0</v>
      </c>
      <c r="BQ280" s="3">
        <f>-BQ124</f>
        <v>0</v>
      </c>
      <c r="BR280" s="3">
        <f>-BR124</f>
        <v>0</v>
      </c>
      <c r="BS280" s="3">
        <f>-BS124</f>
        <v>0</v>
      </c>
      <c r="BT280" s="3">
        <f>-BT124</f>
        <v>0</v>
      </c>
      <c r="BU280" s="3">
        <f>SUM(BQ280:BT280)</f>
        <v>0</v>
      </c>
      <c r="BV280" s="3">
        <f>-BV124</f>
        <v>0</v>
      </c>
      <c r="BW280" s="3">
        <f>-BW124</f>
        <v>0</v>
      </c>
      <c r="BX280" s="3">
        <f>-BX124</f>
        <v>0</v>
      </c>
      <c r="BY280" s="3">
        <f>-BY124</f>
        <v>0</v>
      </c>
      <c r="BZ280" s="3">
        <f>SUM(BV280:BY280)</f>
        <v>0</v>
      </c>
      <c r="CA280" s="3">
        <f>-CA124</f>
        <v>0</v>
      </c>
      <c r="CB280" s="3">
        <f>-CB124</f>
        <v>0</v>
      </c>
      <c r="CC280" s="3">
        <f>-CC124</f>
        <v>0</v>
      </c>
      <c r="CD280" s="3">
        <f>-CD124</f>
        <v>0</v>
      </c>
      <c r="CE280" s="3">
        <f>SUM(CA280:CD280)</f>
        <v>0</v>
      </c>
      <c r="CF280" s="3">
        <f>-CF124</f>
        <v>0</v>
      </c>
      <c r="CG280" s="3">
        <f>-CG124</f>
        <v>0</v>
      </c>
      <c r="CH280" s="3">
        <f>-CH124</f>
        <v>0</v>
      </c>
      <c r="CI280" s="3">
        <f>-CI124</f>
        <v>0</v>
      </c>
      <c r="CJ280" s="3">
        <f>SUM(CF280:CI280)</f>
        <v>0</v>
      </c>
      <c r="CK280" s="3">
        <f>-CK124</f>
        <v>0</v>
      </c>
      <c r="CL280" s="3">
        <f>-CL124</f>
        <v>0</v>
      </c>
      <c r="CM280" s="3">
        <f>-CM124</f>
        <v>0</v>
      </c>
      <c r="CN280" s="3">
        <f>-CN124</f>
        <v>0</v>
      </c>
      <c r="CO280" s="3">
        <f>SUM(CK280:CN280)</f>
        <v>0</v>
      </c>
      <c r="CP280" s="3">
        <f>-CP124</f>
        <v>0</v>
      </c>
      <c r="CQ280" s="3">
        <f>-CQ124</f>
        <v>0</v>
      </c>
      <c r="CR280" s="3">
        <f>-CR124</f>
        <v>0</v>
      </c>
      <c r="CS280" s="3">
        <f>-CS124</f>
        <v>0</v>
      </c>
      <c r="CT280" s="3">
        <f>SUM(CP280:CS280)</f>
        <v>0</v>
      </c>
      <c r="CU280" s="3">
        <f>-CU124</f>
        <v>0</v>
      </c>
      <c r="CV280" s="3">
        <f>-CV124</f>
        <v>0</v>
      </c>
      <c r="CW280" s="3">
        <f>-CW124</f>
        <v>0</v>
      </c>
      <c r="CX280" s="3">
        <f>-CX124</f>
        <v>0</v>
      </c>
      <c r="CY280" s="3">
        <f>SUM(CU280:CX280)</f>
        <v>0</v>
      </c>
    </row>
    <row r="281">
      <c r="C281" s="26" t="inlineStr">
        <is>
          <t>Cash from operations</t>
        </is>
      </c>
      <c r="D281" s="3" t="n"/>
      <c r="E281" s="3">
        <f>SUM(E265,E266,E267,E278,E279,E280)</f>
        <v>2622</v>
      </c>
      <c r="F281" s="3">
        <f>SUM(F265,F266,F267,F278,F279,F280)</f>
        <v>3189</v>
      </c>
      <c r="G281" s="3">
        <f>SUM(G265,G266,G267,G278,G279,G280)</f>
        <v>2652</v>
      </c>
      <c r="H281" s="3">
        <f>SUM(H265,H266,H267,H278,H279,H280)</f>
        <v>8463</v>
      </c>
      <c r="I281" s="3">
        <f>SUM(I265,I266,I267,I278,I279,I280)</f>
        <v>3270</v>
      </c>
      <c r="J281" s="3">
        <f>SUM(J265,J266,J267,J278,J279,J280)</f>
        <v>3565</v>
      </c>
      <c r="K281" s="3">
        <f>SUM(K265,K266,K267,K278,K279,K280)</f>
        <v>3292</v>
      </c>
      <c r="L281" s="3">
        <f>SUM(L265,L266,L267,L278,L279,L280)</f>
        <v>2982</v>
      </c>
      <c r="M281" s="3">
        <f>SUM(M265,M266,M267,M278,M279,M280)</f>
        <v>13109</v>
      </c>
      <c r="N281" s="3">
        <f>SUM(N265,N266,N267,N278,N279,N280)</f>
        <v>3717</v>
      </c>
      <c r="O281" s="3">
        <f>SUM(O265,O266,O267,O278,O279,O280)</f>
        <v>4227</v>
      </c>
      <c r="P281" s="3">
        <f>SUM(P265,P266,P267,P278,P279,P280)</f>
        <v>4509</v>
      </c>
      <c r="Q281" s="3">
        <f>SUM(Q265,Q266,Q267,Q278,Q279,Q280)</f>
        <v>4461</v>
      </c>
      <c r="R281" s="3">
        <f>SUM(R265,R266,R267,R278,R279,R280)</f>
        <v>16914</v>
      </c>
      <c r="S281" s="3">
        <f>SUM(S265,S266,S267,S278,S279,S280)</f>
        <v>4317</v>
      </c>
      <c r="T281" s="3">
        <f>SUM(T265,T266,T267,T278,T279,T280)</f>
        <v>4107</v>
      </c>
      <c r="U281" s="3">
        <f>SUM(U265,U266,U267,U278,U279,U280)</f>
        <v>3647</v>
      </c>
      <c r="V281" s="3">
        <f>SUM(V265,V266,V267,V278,V279,V280)</f>
        <v>7139</v>
      </c>
      <c r="W281" s="3">
        <f>SUM(W265,W266,W267,W278,W279,W280)</f>
        <v>19210</v>
      </c>
      <c r="X281" s="3">
        <f>SUM(X265,X266,X267,X278,X279,X280)</f>
        <v>4295</v>
      </c>
      <c r="Y281" s="3">
        <f>SUM(Y265,Y266,Y267,Y278,Y279,Y280)</f>
        <v>4462</v>
      </c>
      <c r="Z281" s="3">
        <f>SUM(Z265,Z266,Z267,Z278,Z279,Z280)</f>
        <v>6049</v>
      </c>
      <c r="AA281" s="3">
        <f>SUM(AA265,AA266,AA267,AA278,AA279,AA280)</f>
        <v>6072</v>
      </c>
      <c r="AB281" s="3">
        <f>SUM(AB265,AB266,AB267,AB278,AB279,AB280)</f>
        <v>20878</v>
      </c>
      <c r="AC281" s="3">
        <f>SUM(AC265,AC266,AC267,AC278,AC279,AC280)</f>
        <v>5879</v>
      </c>
      <c r="AD281" s="3">
        <f>SUM(AD265,AD266,AD267,AD278,AD279,AD280)</f>
        <v>4976</v>
      </c>
      <c r="AE281" s="3">
        <f>SUM(AE265,AE266,AE267,AE278,AE279,AE280)</f>
        <v>9693</v>
      </c>
      <c r="AF281" s="3">
        <f>SUM(AF265,AF266,AF267,AF278,AF279,AF280)</f>
        <v>6254</v>
      </c>
      <c r="AG281" s="3">
        <f>SUM(AG265,AG266,AG267,AG278,AG279,AG280)</f>
        <v>26802</v>
      </c>
      <c r="AH281" s="3">
        <f>SUM(AH265,AH266,AH267,AH278,AH279,AH280)</f>
        <v>8746</v>
      </c>
      <c r="AI281" s="3">
        <f>SUM(AI265,AI266,AI267,AI278,AI279,AI280)</f>
        <v>11628</v>
      </c>
      <c r="AJ281" s="3">
        <f>SUM(AJ265,AJ266,AJ267,AJ278,AJ279,AJ280)</f>
        <v>12842</v>
      </c>
      <c r="AK281" s="3">
        <f>SUM(AK265,AK266,AK267,AK278,AK279,AK280)</f>
        <v>98</v>
      </c>
      <c r="AL281" s="3">
        <f>SUM(AL265,AL266,AL267,AL278,AL279,AL280)</f>
        <v>33314</v>
      </c>
      <c r="AM281" s="3" t="e">
        <f>SUM(AM265,AM266,AM267,AM278,AM279,AM280)</f>
        <v>#DIV/0!</v>
      </c>
      <c r="AN281" s="3" t="e">
        <f>SUM(AN265,AN266,AN267,AN278,AN279,AN280)</f>
        <v>#DIV/0!</v>
      </c>
      <c r="AO281" s="3" t="e">
        <f>SUM(AO265,AO266,AO267,AO278,AO279,AO280)</f>
        <v>#DIV/0!</v>
      </c>
      <c r="AP281" s="3" t="e">
        <f>SUM(AP265,AP266,AP267,AP278,AP279,AP280)</f>
        <v>#DIV/0!</v>
      </c>
      <c r="AQ281" s="3" t="e">
        <f>SUM(AQ265,AQ266,AQ267,AQ278,AQ279,AQ280)</f>
        <v>#DIV/0!</v>
      </c>
      <c r="AR281" s="3" t="e">
        <f>SUM(AR265,AR266,AR267,AR278,AR279,AR280)</f>
        <v>#DIV/0!</v>
      </c>
      <c r="AS281" s="3" t="e">
        <f>SUM(AS265,AS266,AS267,AS278,AS279,AS280)</f>
        <v>#DIV/0!</v>
      </c>
      <c r="AT281" s="3" t="e">
        <f>SUM(AT265,AT266,AT267,AT278,AT279,AT280)</f>
        <v>#DIV/0!</v>
      </c>
      <c r="AU281" s="3" t="e">
        <f>SUM(AU265,AU266,AU267,AU278,AU279,AU280)</f>
        <v>#DIV/0!</v>
      </c>
      <c r="AV281" s="3" t="e">
        <f>SUM(AV265,AV266,AV267,AV278,AV279,AV280)</f>
        <v>#DIV/0!</v>
      </c>
      <c r="AW281" s="3" t="e">
        <f>SUM(AW265,AW266,AW267,AW278,AW279,AW280)</f>
        <v>#DIV/0!</v>
      </c>
      <c r="AX281" s="3" t="e">
        <f>SUM(AX265,AX266,AX267,AX278,AX279,AX280)</f>
        <v>#DIV/0!</v>
      </c>
      <c r="AY281" s="3" t="e">
        <f>SUM(AY265,AY266,AY267,AY278,AY279,AY280)</f>
        <v>#DIV/0!</v>
      </c>
      <c r="AZ281" s="3" t="e">
        <f>SUM(AZ265,AZ266,AZ267,AZ278,AZ279,AZ280)</f>
        <v>#DIV/0!</v>
      </c>
      <c r="BA281" s="3" t="e">
        <f>SUM(BA265,BA266,BA267,BA278,BA279,BA280)</f>
        <v>#DIV/0!</v>
      </c>
      <c r="BB281" s="3" t="e">
        <f>SUM(BB265,BB266,BB267,BB278,BB279,BB280)</f>
        <v>#DIV/0!</v>
      </c>
      <c r="BC281" s="3" t="e">
        <f>SUM(BC265,BC266,BC267,BC278,BC279,BC280)</f>
        <v>#DIV/0!</v>
      </c>
      <c r="BD281" s="3" t="e">
        <f>SUM(BD265,BD266,BD267,BD278,BD279,BD280)</f>
        <v>#DIV/0!</v>
      </c>
      <c r="BE281" s="3" t="e">
        <f>SUM(BE265,BE266,BE267,BE278,BE279,BE280)</f>
        <v>#DIV/0!</v>
      </c>
      <c r="BF281" s="3" t="e">
        <f>SUM(BF265,BF266,BF267,BF278,BF279,BF280)</f>
        <v>#DIV/0!</v>
      </c>
      <c r="BG281" s="3" t="e">
        <f>SUM(BG265,BG266,BG267,BG278,BG279,BG280)</f>
        <v>#DIV/0!</v>
      </c>
      <c r="BH281" s="3" t="e">
        <f>SUM(BH265,BH266,BH267,BH278,BH279,BH280)</f>
        <v>#DIV/0!</v>
      </c>
      <c r="BI281" s="3" t="e">
        <f>SUM(BI265,BI266,BI267,BI278,BI279,BI280)</f>
        <v>#DIV/0!</v>
      </c>
      <c r="BJ281" s="3" t="e">
        <f>SUM(BJ265,BJ266,BJ267,BJ278,BJ279,BJ280)</f>
        <v>#DIV/0!</v>
      </c>
      <c r="BK281" s="3" t="e">
        <f>SUM(BK265,BK266,BK267,BK278,BK279,BK280)</f>
        <v>#DIV/0!</v>
      </c>
      <c r="BL281" s="3" t="e">
        <f>SUM(BL265,BL266,BL267,BL278,BL279,BL280)</f>
        <v>#DIV/0!</v>
      </c>
      <c r="BM281" s="3" t="e">
        <f>SUM(BM265,BM266,BM267,BM278,BM279,BM280)</f>
        <v>#DIV/0!</v>
      </c>
      <c r="BN281" s="3" t="e">
        <f>SUM(BN265,BN266,BN267,BN278,BN279,BN280)</f>
        <v>#DIV/0!</v>
      </c>
      <c r="BO281" s="3" t="e">
        <f>SUM(BO265,BO266,BO267,BO278,BO279,BO280)</f>
        <v>#DIV/0!</v>
      </c>
      <c r="BP281" s="3" t="e">
        <f>SUM(BP265,BP266,BP267,BP278,BP279,BP280)</f>
        <v>#DIV/0!</v>
      </c>
      <c r="BQ281" s="3" t="e">
        <f>SUM(BQ265,BQ266,BQ267,BQ278,BQ279,BQ280)</f>
        <v>#DIV/0!</v>
      </c>
      <c r="BR281" s="3" t="e">
        <f>SUM(BR265,BR266,BR267,BR278,BR279,BR280)</f>
        <v>#DIV/0!</v>
      </c>
      <c r="BS281" s="3" t="e">
        <f>SUM(BS265,BS266,BS267,BS278,BS279,BS280)</f>
        <v>#DIV/0!</v>
      </c>
      <c r="BT281" s="3" t="e">
        <f>SUM(BT265,BT266,BT267,BT278,BT279,BT280)</f>
        <v>#DIV/0!</v>
      </c>
      <c r="BU281" s="3" t="e">
        <f>SUM(BU265,BU266,BU267,BU278,BU279,BU280)</f>
        <v>#DIV/0!</v>
      </c>
      <c r="BV281" s="3" t="e">
        <f>SUM(BV265,BV266,BV267,BV278,BV279,BV280)</f>
        <v>#DIV/0!</v>
      </c>
      <c r="BW281" s="3" t="e">
        <f>SUM(BW265,BW266,BW267,BW278,BW279,BW280)</f>
        <v>#DIV/0!</v>
      </c>
      <c r="BX281" s="3" t="e">
        <f>SUM(BX265,BX266,BX267,BX278,BX279,BX280)</f>
        <v>#DIV/0!</v>
      </c>
      <c r="BY281" s="3" t="e">
        <f>SUM(BY265,BY266,BY267,BY278,BY279,BY280)</f>
        <v>#DIV/0!</v>
      </c>
      <c r="BZ281" s="3" t="e">
        <f>SUM(BZ265,BZ266,BZ267,BZ278,BZ279,BZ280)</f>
        <v>#DIV/0!</v>
      </c>
      <c r="CA281" s="3" t="e">
        <f>SUM(CA265,CA266,CA267,CA278,CA279,CA280)</f>
        <v>#DIV/0!</v>
      </c>
      <c r="CB281" s="3" t="e">
        <f>SUM(CB265,CB266,CB267,CB278,CB279,CB280)</f>
        <v>#DIV/0!</v>
      </c>
      <c r="CC281" s="3" t="e">
        <f>SUM(CC265,CC266,CC267,CC278,CC279,CC280)</f>
        <v>#DIV/0!</v>
      </c>
      <c r="CD281" s="3" t="e">
        <f>SUM(CD265,CD266,CD267,CD278,CD279,CD280)</f>
        <v>#DIV/0!</v>
      </c>
      <c r="CE281" s="3" t="e">
        <f>SUM(CE265,CE266,CE267,CE278,CE279,CE280)</f>
        <v>#DIV/0!</v>
      </c>
      <c r="CF281" s="3" t="e">
        <f>SUM(CF265,CF266,CF267,CF278,CF279,CF280)</f>
        <v>#DIV/0!</v>
      </c>
      <c r="CG281" s="3" t="e">
        <f>SUM(CG265,CG266,CG267,CG278,CG279,CG280)</f>
        <v>#DIV/0!</v>
      </c>
      <c r="CH281" s="3" t="e">
        <f>SUM(CH265,CH266,CH267,CH278,CH279,CH280)</f>
        <v>#DIV/0!</v>
      </c>
      <c r="CI281" s="3" t="e">
        <f>SUM(CI265,CI266,CI267,CI278,CI279,CI280)</f>
        <v>#DIV/0!</v>
      </c>
      <c r="CJ281" s="3" t="e">
        <f>SUM(CJ265,CJ266,CJ267,CJ278,CJ279,CJ280)</f>
        <v>#DIV/0!</v>
      </c>
      <c r="CK281" s="3" t="e">
        <f>SUM(CK265,CK266,CK267,CK278,CK279,CK280)</f>
        <v>#DIV/0!</v>
      </c>
      <c r="CL281" s="3" t="e">
        <f>SUM(CL265,CL266,CL267,CL278,CL279,CL280)</f>
        <v>#DIV/0!</v>
      </c>
      <c r="CM281" s="3" t="e">
        <f>SUM(CM265,CM266,CM267,CM278,CM279,CM280)</f>
        <v>#DIV/0!</v>
      </c>
      <c r="CN281" s="3" t="e">
        <f>SUM(CN265,CN266,CN267,CN278,CN279,CN280)</f>
        <v>#DIV/0!</v>
      </c>
      <c r="CO281" s="3" t="e">
        <f>SUM(CO265,CO266,CO267,CO278,CO279,CO280)</f>
        <v>#DIV/0!</v>
      </c>
      <c r="CP281" s="3" t="e">
        <f>SUM(CP265,CP266,CP267,CP278,CP279,CP280)</f>
        <v>#DIV/0!</v>
      </c>
      <c r="CQ281" s="3" t="e">
        <f>SUM(CQ265,CQ266,CQ267,CQ278,CQ279,CQ280)</f>
        <v>#DIV/0!</v>
      </c>
      <c r="CR281" s="3" t="e">
        <f>SUM(CR265,CR266,CR267,CR278,CR279,CR280)</f>
        <v>#DIV/0!</v>
      </c>
      <c r="CS281" s="3" t="e">
        <f>SUM(CS265,CS266,CS267,CS278,CS279,CS280)</f>
        <v>#DIV/0!</v>
      </c>
      <c r="CT281" s="3" t="e">
        <f>SUM(CT265,CT266,CT267,CT278,CT279,CT280)</f>
        <v>#DIV/0!</v>
      </c>
      <c r="CU281" s="3" t="e">
        <f>SUM(CU265,CU266,CU267,CU278,CU279,CU280)</f>
        <v>#DIV/0!</v>
      </c>
      <c r="CV281" s="3" t="e">
        <f>SUM(CV265,CV266,CV267,CV278,CV279,CV280)</f>
        <v>#DIV/0!</v>
      </c>
      <c r="CW281" s="3" t="e">
        <f>SUM(CW265,CW266,CW267,CW278,CW279,CW280)</f>
        <v>#DIV/0!</v>
      </c>
      <c r="CX281" s="3" t="e">
        <f>SUM(CX265,CX266,CX267,CX278,CX279,CX280)</f>
        <v>#DIV/0!</v>
      </c>
      <c r="CY281" s="3" t="e">
        <f>SUM(CY265,CY266,CY267,CY278,CY279,CY280)</f>
        <v>#DIV/0!</v>
      </c>
    </row>
    <row r="282">
      <c r="C282" s="26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  <c r="AA282" s="3" t="n"/>
      <c r="AB282" s="3" t="n"/>
      <c r="AC282" s="3" t="n"/>
      <c r="AD282" s="3" t="n"/>
      <c r="AE282" s="3" t="n"/>
      <c r="AF282" s="3" t="n"/>
      <c r="AG282" s="3" t="n"/>
      <c r="AH282" s="3" t="n"/>
      <c r="AI282" s="3" t="n"/>
      <c r="AJ282" s="3" t="n"/>
      <c r="AK282" s="3" t="n"/>
      <c r="AL282" s="3" t="n"/>
      <c r="AM282" s="3" t="n"/>
      <c r="AN282" s="3" t="n"/>
      <c r="AO282" s="3" t="n"/>
      <c r="AP282" s="3" t="n"/>
      <c r="AQ282" s="3" t="n"/>
      <c r="AR282" s="3" t="n"/>
      <c r="AS282" s="3" t="n"/>
      <c r="AT282" s="3" t="n"/>
      <c r="AU282" s="3" t="n"/>
      <c r="AV282" s="3" t="n"/>
      <c r="AW282" s="3" t="n"/>
      <c r="AX282" s="3" t="n"/>
      <c r="AY282" s="3" t="n"/>
      <c r="AZ282" s="3" t="n"/>
      <c r="BA282" s="3" t="n"/>
      <c r="BB282" s="3" t="n"/>
      <c r="BC282" s="3" t="n"/>
      <c r="BD282" s="3" t="n"/>
      <c r="BE282" s="3" t="n"/>
      <c r="BF282" s="3" t="n"/>
      <c r="BG282" s="3" t="n"/>
      <c r="BH282" s="3" t="n"/>
      <c r="BI282" s="3" t="n"/>
      <c r="BJ282" s="3" t="n"/>
      <c r="BK282" s="3" t="n"/>
      <c r="BL282" s="3" t="n"/>
      <c r="BM282" s="3" t="n"/>
      <c r="BN282" s="3" t="n"/>
      <c r="BO282" s="3" t="n"/>
      <c r="BP282" s="3" t="n"/>
      <c r="BQ282" s="3" t="n"/>
      <c r="BR282" s="3" t="n"/>
      <c r="BS282" s="3" t="n"/>
      <c r="BT282" s="3" t="n"/>
      <c r="BU282" s="3" t="n"/>
      <c r="BV282" s="3" t="n"/>
      <c r="BW282" s="3" t="n"/>
      <c r="BX282" s="3" t="n"/>
      <c r="BY282" s="3" t="n"/>
      <c r="BZ282" s="3" t="n"/>
      <c r="CA282" s="3" t="n"/>
      <c r="CB282" s="3" t="n"/>
      <c r="CC282" s="3" t="n"/>
      <c r="CD282" s="3" t="n"/>
      <c r="CE282" s="3" t="n"/>
      <c r="CF282" s="3" t="n"/>
      <c r="CG282" s="3" t="n"/>
      <c r="CH282" s="3" t="n"/>
      <c r="CI282" s="3" t="n"/>
      <c r="CJ282" s="3" t="n"/>
      <c r="CK282" s="3" t="n"/>
      <c r="CL282" s="3" t="n"/>
      <c r="CM282" s="3" t="n"/>
      <c r="CN282" s="3" t="n"/>
      <c r="CO282" s="3" t="n"/>
      <c r="CP282" s="3" t="n"/>
      <c r="CQ282" s="3" t="n"/>
      <c r="CR282" s="3" t="n"/>
      <c r="CS282" s="3" t="n"/>
      <c r="CT282" s="3" t="n"/>
      <c r="CU282" s="3" t="n"/>
      <c r="CV282" s="3" t="n"/>
      <c r="CW282" s="3" t="n"/>
      <c r="CX282" s="3" t="n"/>
      <c r="CY282" s="3" t="n"/>
    </row>
    <row r="283">
      <c r="C283" s="29" t="inlineStr">
        <is>
          <t>Purchase of fixed assets (capital expenditures)</t>
        </is>
      </c>
      <c r="D283" s="3" t="n"/>
      <c r="E283" s="3">
        <f>-E156</f>
        <v>-1668</v>
      </c>
      <c r="F283" s="3">
        <f>-F156</f>
        <v>-1670</v>
      </c>
      <c r="G283" s="3">
        <f>-G156</f>
        <v>-1520</v>
      </c>
      <c r="H283" s="3">
        <f>SUM(D283:G283)</f>
        <v>-4858</v>
      </c>
      <c r="I283" s="3">
        <f>-I156</f>
        <v>-1424</v>
      </c>
      <c r="J283" s="3">
        <f>-J156</f>
        <v>-1457</v>
      </c>
      <c r="K283" s="3">
        <f>-K156</f>
        <v>-1479</v>
      </c>
      <c r="L283" s="3">
        <f>-L156</f>
        <v>-1242</v>
      </c>
      <c r="M283" s="3">
        <f>SUM(I283:L283)</f>
        <v>-5602</v>
      </c>
      <c r="N283" s="3">
        <f>-N156</f>
        <v>-1223</v>
      </c>
      <c r="O283" s="3">
        <f>-O156</f>
        <v>-1205</v>
      </c>
      <c r="P283" s="3">
        <f>-P156</f>
        <v>-1189</v>
      </c>
      <c r="Q283" s="3">
        <f>-Q156</f>
        <v>-1010</v>
      </c>
      <c r="R283" s="3">
        <f>SUM(N283:Q283)</f>
        <v>-4627</v>
      </c>
      <c r="S283" s="3">
        <f>-S156</f>
        <v>-947</v>
      </c>
      <c r="T283" s="3">
        <f>-T156</f>
        <v>-903</v>
      </c>
      <c r="U283" s="3">
        <f>-U156</f>
        <v>-906</v>
      </c>
      <c r="V283" s="3">
        <f>-V156</f>
        <v>-2853</v>
      </c>
      <c r="W283" s="3">
        <f>SUM(S283:V283)</f>
        <v>-5609</v>
      </c>
      <c r="X283" s="3">
        <f>-X156</f>
        <v>-2536</v>
      </c>
      <c r="Y283" s="3">
        <f>-Y156</f>
        <v>-2458</v>
      </c>
      <c r="Z283" s="3">
        <f>-Z156</f>
        <v>-2530</v>
      </c>
      <c r="AA283" s="3">
        <f>-AA156</f>
        <v>-2118</v>
      </c>
      <c r="AB283" s="3">
        <f>SUM(X283:AA283)</f>
        <v>-9642</v>
      </c>
      <c r="AC283" s="3">
        <f>-AC156</f>
        <v>-2128</v>
      </c>
      <c r="AD283" s="3">
        <f>-AD156</f>
        <v>-2157</v>
      </c>
      <c r="AE283" s="3">
        <f>-AE156</f>
        <v>-2312</v>
      </c>
      <c r="AF283" s="3">
        <f>-AF156</f>
        <v>-2222</v>
      </c>
      <c r="AG283" s="3">
        <f>SUM(AC283:AF283)</f>
        <v>-8819</v>
      </c>
      <c r="AH283" s="3">
        <f>-AH156</f>
        <v>-2319</v>
      </c>
      <c r="AI283" s="3">
        <f>-AI156</f>
        <v>-2533</v>
      </c>
      <c r="AJ283" s="3">
        <f>-AJ156</f>
        <v>0</v>
      </c>
      <c r="AK283" s="3">
        <f>-AK156</f>
        <v>0</v>
      </c>
      <c r="AL283" s="3">
        <f>SUM(AH283:AK283)</f>
        <v>-4852</v>
      </c>
      <c r="AM283" s="3">
        <f>-AM156</f>
        <v>0</v>
      </c>
      <c r="AN283" s="3">
        <f>-AN156</f>
        <v>0</v>
      </c>
      <c r="AO283" s="3">
        <f>-AO156</f>
        <v>0</v>
      </c>
      <c r="AP283" s="3">
        <f>-AP156</f>
        <v>0</v>
      </c>
      <c r="AQ283" s="3">
        <f>SUM(AM283:AP283)</f>
        <v>0</v>
      </c>
      <c r="AR283" s="3">
        <f>-AR156</f>
        <v>0</v>
      </c>
      <c r="AS283" s="3">
        <f>-AS156</f>
        <v>0</v>
      </c>
      <c r="AT283" s="3">
        <f>-AT156</f>
        <v>0</v>
      </c>
      <c r="AU283" s="3">
        <f>-AU156</f>
        <v>0</v>
      </c>
      <c r="AV283" s="3">
        <f>SUM(AR283:AU283)</f>
        <v>0</v>
      </c>
      <c r="AW283" s="3">
        <f>-AW156</f>
        <v>0</v>
      </c>
      <c r="AX283" s="3">
        <f>-AX156</f>
        <v>0</v>
      </c>
      <c r="AY283" s="3">
        <f>-AY156</f>
        <v>0</v>
      </c>
      <c r="AZ283" s="3">
        <f>-AZ156</f>
        <v>0</v>
      </c>
      <c r="BA283" s="3">
        <f>SUM(AW283:AZ283)</f>
        <v>0</v>
      </c>
      <c r="BB283" s="3">
        <f>-BB156</f>
        <v>0</v>
      </c>
      <c r="BC283" s="3">
        <f>-BC156</f>
        <v>0</v>
      </c>
      <c r="BD283" s="3">
        <f>-BD156</f>
        <v>0</v>
      </c>
      <c r="BE283" s="3">
        <f>-BE156</f>
        <v>0</v>
      </c>
      <c r="BF283" s="3">
        <f>SUM(BB283:BE283)</f>
        <v>0</v>
      </c>
      <c r="BG283" s="3">
        <f>-BG156</f>
        <v>0</v>
      </c>
      <c r="BH283" s="3">
        <f>-BH156</f>
        <v>0</v>
      </c>
      <c r="BI283" s="3">
        <f>-BI156</f>
        <v>0</v>
      </c>
      <c r="BJ283" s="3">
        <f>-BJ156</f>
        <v>0</v>
      </c>
      <c r="BK283" s="3">
        <f>SUM(BG283:BJ283)</f>
        <v>0</v>
      </c>
      <c r="BL283" s="3">
        <f>-BL156</f>
        <v>0</v>
      </c>
      <c r="BM283" s="3">
        <f>-BM156</f>
        <v>0</v>
      </c>
      <c r="BN283" s="3">
        <f>-BN156</f>
        <v>0</v>
      </c>
      <c r="BO283" s="3">
        <f>-BO156</f>
        <v>0</v>
      </c>
      <c r="BP283" s="3">
        <f>SUM(BL283:BO283)</f>
        <v>0</v>
      </c>
      <c r="BQ283" s="3">
        <f>-BQ156</f>
        <v>0</v>
      </c>
      <c r="BR283" s="3">
        <f>-BR156</f>
        <v>0</v>
      </c>
      <c r="BS283" s="3">
        <f>-BS156</f>
        <v>0</v>
      </c>
      <c r="BT283" s="3">
        <f>-BT156</f>
        <v>0</v>
      </c>
      <c r="BU283" s="3">
        <f>SUM(BQ283:BT283)</f>
        <v>0</v>
      </c>
      <c r="BV283" s="3">
        <f>-BV156</f>
        <v>0</v>
      </c>
      <c r="BW283" s="3">
        <f>-BW156</f>
        <v>0</v>
      </c>
      <c r="BX283" s="3">
        <f>-BX156</f>
        <v>0</v>
      </c>
      <c r="BY283" s="3">
        <f>-BY156</f>
        <v>0</v>
      </c>
      <c r="BZ283" s="3">
        <f>SUM(BV283:BY283)</f>
        <v>0</v>
      </c>
      <c r="CA283" s="3">
        <f>-CA156</f>
        <v>0</v>
      </c>
      <c r="CB283" s="3">
        <f>-CB156</f>
        <v>0</v>
      </c>
      <c r="CC283" s="3">
        <f>-CC156</f>
        <v>0</v>
      </c>
      <c r="CD283" s="3">
        <f>-CD156</f>
        <v>0</v>
      </c>
      <c r="CE283" s="3">
        <f>SUM(CA283:CD283)</f>
        <v>0</v>
      </c>
      <c r="CF283" s="3">
        <f>-CF156</f>
        <v>0</v>
      </c>
      <c r="CG283" s="3">
        <f>-CG156</f>
        <v>0</v>
      </c>
      <c r="CH283" s="3">
        <f>-CH156</f>
        <v>0</v>
      </c>
      <c r="CI283" s="3">
        <f>-CI156</f>
        <v>0</v>
      </c>
      <c r="CJ283" s="3">
        <f>SUM(CF283:CI283)</f>
        <v>0</v>
      </c>
      <c r="CK283" s="3">
        <f>-CK156</f>
        <v>0</v>
      </c>
      <c r="CL283" s="3">
        <f>-CL156</f>
        <v>0</v>
      </c>
      <c r="CM283" s="3">
        <f>-CM156</f>
        <v>0</v>
      </c>
      <c r="CN283" s="3">
        <f>-CN156</f>
        <v>0</v>
      </c>
      <c r="CO283" s="3">
        <f>SUM(CK283:CN283)</f>
        <v>0</v>
      </c>
      <c r="CP283" s="3">
        <f>-CP156</f>
        <v>0</v>
      </c>
      <c r="CQ283" s="3">
        <f>-CQ156</f>
        <v>0</v>
      </c>
      <c r="CR283" s="3">
        <f>-CR156</f>
        <v>0</v>
      </c>
      <c r="CS283" s="3">
        <f>-CS156</f>
        <v>0</v>
      </c>
      <c r="CT283" s="3">
        <f>SUM(CP283:CS283)</f>
        <v>0</v>
      </c>
      <c r="CU283" s="3">
        <f>-CU156</f>
        <v>0</v>
      </c>
      <c r="CV283" s="3">
        <f>-CV156</f>
        <v>0</v>
      </c>
      <c r="CW283" s="3">
        <f>-CW156</f>
        <v>0</v>
      </c>
      <c r="CX283" s="3">
        <f>-CX156</f>
        <v>0</v>
      </c>
      <c r="CY283" s="3">
        <f>SUM(CU283:CX283)</f>
        <v>0</v>
      </c>
    </row>
    <row r="284">
      <c r="C284" s="29" t="inlineStr">
        <is>
          <t>Proceeds from sale of fixed assets</t>
        </is>
      </c>
      <c r="D284" s="3" t="n"/>
      <c r="E284" s="3">
        <f>-E157</f>
        <v>0</v>
      </c>
      <c r="F284" s="3">
        <f>-F157</f>
        <v>0</v>
      </c>
      <c r="G284" s="3">
        <f>-G157</f>
        <v>0</v>
      </c>
      <c r="H284" s="3">
        <f>SUM(D284:G284)</f>
        <v>0</v>
      </c>
      <c r="I284" s="3">
        <f>-I157</f>
        <v>0</v>
      </c>
      <c r="J284" s="3">
        <f>-J157</f>
        <v>0</v>
      </c>
      <c r="K284" s="3">
        <f>-K157</f>
        <v>0</v>
      </c>
      <c r="L284" s="3">
        <f>-L157</f>
        <v>0</v>
      </c>
      <c r="M284" s="3">
        <f>SUM(I284:L284)</f>
        <v>0</v>
      </c>
      <c r="N284" s="3">
        <f>-N157</f>
        <v>0</v>
      </c>
      <c r="O284" s="3">
        <f>-O157</f>
        <v>0</v>
      </c>
      <c r="P284" s="3">
        <f>-P157</f>
        <v>0</v>
      </c>
      <c r="Q284" s="3">
        <f>-Q157</f>
        <v>0</v>
      </c>
      <c r="R284" s="3">
        <f>SUM(N284:Q284)</f>
        <v>0</v>
      </c>
      <c r="S284" s="3">
        <f>-S157</f>
        <v>0</v>
      </c>
      <c r="T284" s="3">
        <f>-T157</f>
        <v>0</v>
      </c>
      <c r="U284" s="3">
        <f>-U157</f>
        <v>0</v>
      </c>
      <c r="V284" s="3">
        <f>-V157</f>
        <v>0</v>
      </c>
      <c r="W284" s="3">
        <f>SUM(S284:V284)</f>
        <v>0</v>
      </c>
      <c r="X284" s="3">
        <f>-X157</f>
        <v>0</v>
      </c>
      <c r="Y284" s="3">
        <f>-Y157</f>
        <v>0</v>
      </c>
      <c r="Z284" s="3">
        <f>-Z157</f>
        <v>0</v>
      </c>
      <c r="AA284" s="3">
        <f>-AA157</f>
        <v>0</v>
      </c>
      <c r="AB284" s="3">
        <f>SUM(X284:AA284)</f>
        <v>0</v>
      </c>
      <c r="AC284" s="3">
        <f>-AC157</f>
        <v>0</v>
      </c>
      <c r="AD284" s="3">
        <f>-AD157</f>
        <v>0</v>
      </c>
      <c r="AE284" s="3">
        <f>-AE157</f>
        <v>0</v>
      </c>
      <c r="AF284" s="3">
        <f>-AF157</f>
        <v>0</v>
      </c>
      <c r="AG284" s="3">
        <f>SUM(AC284:AF284)</f>
        <v>0</v>
      </c>
      <c r="AH284" s="3">
        <f>-AH157</f>
        <v>0</v>
      </c>
      <c r="AI284" s="3">
        <f>-AI157</f>
        <v>0</v>
      </c>
      <c r="AJ284" s="3">
        <f>-AJ157</f>
        <v>0</v>
      </c>
      <c r="AK284" s="3">
        <f>-AK157</f>
        <v>0</v>
      </c>
      <c r="AL284" s="3">
        <f>SUM(AH284:AK284)</f>
        <v>0</v>
      </c>
      <c r="AM284" s="3">
        <f>-AM157</f>
        <v>0</v>
      </c>
      <c r="AN284" s="3">
        <f>-AN157</f>
        <v>0</v>
      </c>
      <c r="AO284" s="3">
        <f>-AO157</f>
        <v>0</v>
      </c>
      <c r="AP284" s="3">
        <f>-AP157</f>
        <v>0</v>
      </c>
      <c r="AQ284" s="3">
        <f>SUM(AM284:AP284)</f>
        <v>0</v>
      </c>
      <c r="AR284" s="3">
        <f>-AR157</f>
        <v>0</v>
      </c>
      <c r="AS284" s="3">
        <f>-AS157</f>
        <v>0</v>
      </c>
      <c r="AT284" s="3">
        <f>-AT157</f>
        <v>0</v>
      </c>
      <c r="AU284" s="3">
        <f>-AU157</f>
        <v>0</v>
      </c>
      <c r="AV284" s="3">
        <f>SUM(AR284:AU284)</f>
        <v>0</v>
      </c>
      <c r="AW284" s="3">
        <f>-AW157</f>
        <v>0</v>
      </c>
      <c r="AX284" s="3">
        <f>-AX157</f>
        <v>0</v>
      </c>
      <c r="AY284" s="3">
        <f>-AY157</f>
        <v>0</v>
      </c>
      <c r="AZ284" s="3">
        <f>-AZ157</f>
        <v>0</v>
      </c>
      <c r="BA284" s="3">
        <f>SUM(AW284:AZ284)</f>
        <v>0</v>
      </c>
      <c r="BB284" s="3">
        <f>-BB157</f>
        <v>0</v>
      </c>
      <c r="BC284" s="3">
        <f>-BC157</f>
        <v>0</v>
      </c>
      <c r="BD284" s="3">
        <f>-BD157</f>
        <v>0</v>
      </c>
      <c r="BE284" s="3">
        <f>-BE157</f>
        <v>0</v>
      </c>
      <c r="BF284" s="3">
        <f>SUM(BB284:BE284)</f>
        <v>0</v>
      </c>
      <c r="BG284" s="3">
        <f>-BG157</f>
        <v>0</v>
      </c>
      <c r="BH284" s="3">
        <f>-BH157</f>
        <v>0</v>
      </c>
      <c r="BI284" s="3">
        <f>-BI157</f>
        <v>0</v>
      </c>
      <c r="BJ284" s="3">
        <f>-BJ157</f>
        <v>0</v>
      </c>
      <c r="BK284" s="3">
        <f>SUM(BG284:BJ284)</f>
        <v>0</v>
      </c>
      <c r="BL284" s="3">
        <f>-BL157</f>
        <v>0</v>
      </c>
      <c r="BM284" s="3">
        <f>-BM157</f>
        <v>0</v>
      </c>
      <c r="BN284" s="3">
        <f>-BN157</f>
        <v>0</v>
      </c>
      <c r="BO284" s="3">
        <f>-BO157</f>
        <v>0</v>
      </c>
      <c r="BP284" s="3">
        <f>SUM(BL284:BO284)</f>
        <v>0</v>
      </c>
      <c r="BQ284" s="3">
        <f>-BQ157</f>
        <v>0</v>
      </c>
      <c r="BR284" s="3">
        <f>-BR157</f>
        <v>0</v>
      </c>
      <c r="BS284" s="3">
        <f>-BS157</f>
        <v>0</v>
      </c>
      <c r="BT284" s="3">
        <f>-BT157</f>
        <v>0</v>
      </c>
      <c r="BU284" s="3">
        <f>SUM(BQ284:BT284)</f>
        <v>0</v>
      </c>
      <c r="BV284" s="3">
        <f>-BV157</f>
        <v>0</v>
      </c>
      <c r="BW284" s="3">
        <f>-BW157</f>
        <v>0</v>
      </c>
      <c r="BX284" s="3">
        <f>-BX157</f>
        <v>0</v>
      </c>
      <c r="BY284" s="3">
        <f>-BY157</f>
        <v>0</v>
      </c>
      <c r="BZ284" s="3">
        <f>SUM(BV284:BY284)</f>
        <v>0</v>
      </c>
      <c r="CA284" s="3">
        <f>-CA157</f>
        <v>0</v>
      </c>
      <c r="CB284" s="3">
        <f>-CB157</f>
        <v>0</v>
      </c>
      <c r="CC284" s="3">
        <f>-CC157</f>
        <v>0</v>
      </c>
      <c r="CD284" s="3">
        <f>-CD157</f>
        <v>0</v>
      </c>
      <c r="CE284" s="3">
        <f>SUM(CA284:CD284)</f>
        <v>0</v>
      </c>
      <c r="CF284" s="3">
        <f>-CF157</f>
        <v>0</v>
      </c>
      <c r="CG284" s="3">
        <f>-CG157</f>
        <v>0</v>
      </c>
      <c r="CH284" s="3">
        <f>-CH157</f>
        <v>0</v>
      </c>
      <c r="CI284" s="3">
        <f>-CI157</f>
        <v>0</v>
      </c>
      <c r="CJ284" s="3">
        <f>SUM(CF284:CI284)</f>
        <v>0</v>
      </c>
      <c r="CK284" s="3">
        <f>-CK157</f>
        <v>0</v>
      </c>
      <c r="CL284" s="3">
        <f>-CL157</f>
        <v>0</v>
      </c>
      <c r="CM284" s="3">
        <f>-CM157</f>
        <v>0</v>
      </c>
      <c r="CN284" s="3">
        <f>-CN157</f>
        <v>0</v>
      </c>
      <c r="CO284" s="3">
        <f>SUM(CK284:CN284)</f>
        <v>0</v>
      </c>
      <c r="CP284" s="3">
        <f>-CP157</f>
        <v>0</v>
      </c>
      <c r="CQ284" s="3">
        <f>-CQ157</f>
        <v>0</v>
      </c>
      <c r="CR284" s="3">
        <f>-CR157</f>
        <v>0</v>
      </c>
      <c r="CS284" s="3">
        <f>-CS157</f>
        <v>0</v>
      </c>
      <c r="CT284" s="3">
        <f>SUM(CP284:CS284)</f>
        <v>0</v>
      </c>
      <c r="CU284" s="3">
        <f>-CU157</f>
        <v>0</v>
      </c>
      <c r="CV284" s="3">
        <f>-CV157</f>
        <v>0</v>
      </c>
      <c r="CW284" s="3">
        <f>-CW157</f>
        <v>0</v>
      </c>
      <c r="CX284" s="3">
        <f>-CX157</f>
        <v>0</v>
      </c>
      <c r="CY284" s="3">
        <f>SUM(CU284:CX284)</f>
        <v>0</v>
      </c>
    </row>
    <row r="285">
      <c r="C285" s="29" t="inlineStr">
        <is>
          <t>Var.Right-of-use-assets</t>
        </is>
      </c>
      <c r="D285" s="3" t="n"/>
      <c r="E285" s="3">
        <f>(E164-D164)*-1</f>
        <v>0</v>
      </c>
      <c r="F285" s="3">
        <f>(F164-E164)*-1</f>
        <v>0</v>
      </c>
      <c r="G285" s="3">
        <f>(G164-F164)*-1</f>
        <v>0</v>
      </c>
      <c r="H285" s="3">
        <f>SUM(D285:G285)</f>
        <v>0</v>
      </c>
      <c r="I285" s="3">
        <f>(I164-H164)*-1</f>
        <v>0</v>
      </c>
      <c r="J285" s="3">
        <f>(J164-I164)*-1</f>
        <v>0</v>
      </c>
      <c r="K285" s="3">
        <f>(K164-J164)*-1</f>
        <v>0</v>
      </c>
      <c r="L285" s="3">
        <f>(L164-K164)*-1</f>
        <v>0</v>
      </c>
      <c r="M285" s="3">
        <f>SUM(I285:L285)</f>
        <v>0</v>
      </c>
      <c r="N285" s="3">
        <f>(N164-M164)*-1</f>
        <v>0</v>
      </c>
      <c r="O285" s="3">
        <f>(O164-N164)*-1</f>
        <v>0</v>
      </c>
      <c r="P285" s="3">
        <f>(P164-O164)*-1</f>
        <v>0</v>
      </c>
      <c r="Q285" s="3">
        <f>(Q164-P164)*-1</f>
        <v>0</v>
      </c>
      <c r="R285" s="3">
        <f>SUM(N285:Q285)</f>
        <v>0</v>
      </c>
      <c r="S285" s="3">
        <f>(S164-R164)*-1</f>
        <v>0</v>
      </c>
      <c r="T285" s="3">
        <f>(T164-S164)*-1</f>
        <v>0</v>
      </c>
      <c r="U285" s="3">
        <f>(U164-T164)*-1</f>
        <v>0</v>
      </c>
      <c r="V285" s="3">
        <f>(V164-U164)*-1</f>
        <v>0</v>
      </c>
      <c r="W285" s="3">
        <f>SUM(S285:V285)</f>
        <v>0</v>
      </c>
      <c r="X285" s="3">
        <f>(X164-W164)*-1</f>
        <v>0</v>
      </c>
      <c r="Y285" s="3">
        <f>(Y164-X164)*-1</f>
        <v>0</v>
      </c>
      <c r="Z285" s="3">
        <f>(Z164-Y164)*-1</f>
        <v>0</v>
      </c>
      <c r="AA285" s="3">
        <f>(AA164-Z164)*-1</f>
        <v>0</v>
      </c>
      <c r="AB285" s="3">
        <f>SUM(X285:AA285)</f>
        <v>0</v>
      </c>
      <c r="AC285" s="3">
        <f>(AC164-AB164)*-1</f>
        <v>0</v>
      </c>
      <c r="AD285" s="3">
        <f>(AD164-AC164)*-1</f>
        <v>0</v>
      </c>
      <c r="AE285" s="3">
        <f>(AE164-AD164)*-1</f>
        <v>0</v>
      </c>
      <c r="AF285" s="3">
        <f>(AF164-AE164)*-1</f>
        <v>0</v>
      </c>
      <c r="AG285" s="3">
        <f>SUM(AC285:AF285)</f>
        <v>0</v>
      </c>
      <c r="AH285" s="3">
        <f>(AH164-AG164)*-1</f>
        <v>0</v>
      </c>
      <c r="AI285" s="3">
        <f>(AI164-AH164)*-1</f>
        <v>0</v>
      </c>
      <c r="AJ285" s="3">
        <f>(AJ164-AI164)*-1</f>
        <v>0</v>
      </c>
      <c r="AK285" s="3">
        <f>(AK164-AJ164)*-1</f>
        <v>0</v>
      </c>
      <c r="AL285" s="3">
        <f>SUM(AH285:AK285)</f>
        <v>0</v>
      </c>
      <c r="AM285" s="3">
        <f>(AM164-AL164)*-1</f>
        <v>0</v>
      </c>
      <c r="AN285" s="3">
        <f>(AN164-AM164)*-1</f>
        <v>0</v>
      </c>
      <c r="AO285" s="3">
        <f>(AO164-AN164)*-1</f>
        <v>0</v>
      </c>
      <c r="AP285" s="3">
        <f>(AP164-AO164)*-1</f>
        <v>0</v>
      </c>
      <c r="AQ285" s="3">
        <f>SUM(AM285:AP285)</f>
        <v>0</v>
      </c>
      <c r="AR285" s="3">
        <f>(AR164-AQ164)*-1</f>
        <v>0</v>
      </c>
      <c r="AS285" s="3">
        <f>(AS164-AR164)*-1</f>
        <v>0</v>
      </c>
      <c r="AT285" s="3">
        <f>(AT164-AS164)*-1</f>
        <v>0</v>
      </c>
      <c r="AU285" s="3">
        <f>(AU164-AT164)*-1</f>
        <v>0</v>
      </c>
      <c r="AV285" s="3">
        <f>SUM(AR285:AU285)</f>
        <v>0</v>
      </c>
      <c r="AW285" s="3">
        <f>(AW164-AV164)*-1</f>
        <v>0</v>
      </c>
      <c r="AX285" s="3">
        <f>(AX164-AW164)*-1</f>
        <v>0</v>
      </c>
      <c r="AY285" s="3">
        <f>(AY164-AX164)*-1</f>
        <v>0</v>
      </c>
      <c r="AZ285" s="3">
        <f>(AZ164-AY164)*-1</f>
        <v>0</v>
      </c>
      <c r="BA285" s="3">
        <f>SUM(AW285:AZ285)</f>
        <v>0</v>
      </c>
      <c r="BB285" s="3">
        <f>(BB164-BA164)*-1</f>
        <v>0</v>
      </c>
      <c r="BC285" s="3">
        <f>(BC164-BB164)*-1</f>
        <v>0</v>
      </c>
      <c r="BD285" s="3">
        <f>(BD164-BC164)*-1</f>
        <v>0</v>
      </c>
      <c r="BE285" s="3">
        <f>(BE164-BD164)*-1</f>
        <v>0</v>
      </c>
      <c r="BF285" s="3">
        <f>SUM(BB285:BE285)</f>
        <v>0</v>
      </c>
      <c r="BG285" s="3">
        <f>(BG164-BF164)*-1</f>
        <v>0</v>
      </c>
      <c r="BH285" s="3">
        <f>(BH164-BG164)*-1</f>
        <v>0</v>
      </c>
      <c r="BI285" s="3">
        <f>(BI164-BH164)*-1</f>
        <v>0</v>
      </c>
      <c r="BJ285" s="3">
        <f>(BJ164-BI164)*-1</f>
        <v>0</v>
      </c>
      <c r="BK285" s="3">
        <f>SUM(BG285:BJ285)</f>
        <v>0</v>
      </c>
      <c r="BL285" s="3">
        <f>(BL164-BK164)*-1</f>
        <v>0</v>
      </c>
      <c r="BM285" s="3">
        <f>(BM164-BL164)*-1</f>
        <v>0</v>
      </c>
      <c r="BN285" s="3">
        <f>(BN164-BM164)*-1</f>
        <v>0</v>
      </c>
      <c r="BO285" s="3">
        <f>(BO164-BN164)*-1</f>
        <v>0</v>
      </c>
      <c r="BP285" s="3">
        <f>SUM(BL285:BO285)</f>
        <v>0</v>
      </c>
      <c r="BQ285" s="3">
        <f>(BQ164-BP164)*-1</f>
        <v>0</v>
      </c>
      <c r="BR285" s="3">
        <f>(BR164-BQ164)*-1</f>
        <v>0</v>
      </c>
      <c r="BS285" s="3">
        <f>(BS164-BR164)*-1</f>
        <v>0</v>
      </c>
      <c r="BT285" s="3">
        <f>(BT164-BS164)*-1</f>
        <v>0</v>
      </c>
      <c r="BU285" s="3">
        <f>SUM(BQ285:BT285)</f>
        <v>0</v>
      </c>
      <c r="BV285" s="3">
        <f>(BV164-BU164)*-1</f>
        <v>0</v>
      </c>
      <c r="BW285" s="3">
        <f>(BW164-BV164)*-1</f>
        <v>0</v>
      </c>
      <c r="BX285" s="3">
        <f>(BX164-BW164)*-1</f>
        <v>0</v>
      </c>
      <c r="BY285" s="3">
        <f>(BY164-BX164)*-1</f>
        <v>0</v>
      </c>
      <c r="BZ285" s="3">
        <f>SUM(BV285:BY285)</f>
        <v>0</v>
      </c>
      <c r="CA285" s="3">
        <f>(CA164-BZ164)*-1</f>
        <v>0</v>
      </c>
      <c r="CB285" s="3">
        <f>(CB164-CA164)*-1</f>
        <v>0</v>
      </c>
      <c r="CC285" s="3">
        <f>(CC164-CB164)*-1</f>
        <v>0</v>
      </c>
      <c r="CD285" s="3">
        <f>(CD164-CC164)*-1</f>
        <v>0</v>
      </c>
      <c r="CE285" s="3">
        <f>SUM(CA285:CD285)</f>
        <v>0</v>
      </c>
      <c r="CF285" s="3">
        <f>(CF164-CE164)*-1</f>
        <v>0</v>
      </c>
      <c r="CG285" s="3">
        <f>(CG164-CF164)*-1</f>
        <v>0</v>
      </c>
      <c r="CH285" s="3">
        <f>(CH164-CG164)*-1</f>
        <v>0</v>
      </c>
      <c r="CI285" s="3">
        <f>(CI164-CH164)*-1</f>
        <v>0</v>
      </c>
      <c r="CJ285" s="3">
        <f>SUM(CF285:CI285)</f>
        <v>0</v>
      </c>
      <c r="CK285" s="3">
        <f>(CK164-CJ164)*-1</f>
        <v>0</v>
      </c>
      <c r="CL285" s="3">
        <f>(CL164-CK164)*-1</f>
        <v>0</v>
      </c>
      <c r="CM285" s="3">
        <f>(CM164-CL164)*-1</f>
        <v>0</v>
      </c>
      <c r="CN285" s="3">
        <f>(CN164-CM164)*-1</f>
        <v>0</v>
      </c>
      <c r="CO285" s="3">
        <f>SUM(CK285:CN285)</f>
        <v>0</v>
      </c>
      <c r="CP285" s="3">
        <f>(CP164-CO164)*-1</f>
        <v>0</v>
      </c>
      <c r="CQ285" s="3">
        <f>(CQ164-CP164)*-1</f>
        <v>0</v>
      </c>
      <c r="CR285" s="3">
        <f>(CR164-CQ164)*-1</f>
        <v>0</v>
      </c>
      <c r="CS285" s="3">
        <f>(CS164-CR164)*-1</f>
        <v>0</v>
      </c>
      <c r="CT285" s="3">
        <f>SUM(CP285:CS285)</f>
        <v>0</v>
      </c>
      <c r="CU285" s="3">
        <f>(CU164-CT164)*-1</f>
        <v>0</v>
      </c>
      <c r="CV285" s="3">
        <f>(CV164-CU164)*-1</f>
        <v>0</v>
      </c>
      <c r="CW285" s="3">
        <f>(CW164-CV164)*-1</f>
        <v>0</v>
      </c>
      <c r="CX285" s="3">
        <f>(CX164-CW164)*-1</f>
        <v>0</v>
      </c>
      <c r="CY285" s="3">
        <f>SUM(CU285:CX285)</f>
        <v>0</v>
      </c>
      <c r="CZ285" s="3" t="n"/>
      <c r="DA285" s="3" t="n"/>
      <c r="DB285" s="3" t="n"/>
      <c r="DC285" s="3" t="n"/>
    </row>
    <row r="286">
      <c r="C286" s="29" t="inlineStr">
        <is>
          <t>Purchases of intangible assets</t>
        </is>
      </c>
      <c r="D286" s="3" t="n"/>
      <c r="E286" s="3">
        <f>((E168-D168)*-1)+((E167-D167)*-1)</f>
        <v>1562</v>
      </c>
      <c r="F286" s="3">
        <f>((F168-E168)*-1)+((F167-E167)*-1)</f>
        <v>1575</v>
      </c>
      <c r="G286" s="3">
        <f>((G168-F168)*-1)+((G167-F167)*-1)</f>
        <v>1353</v>
      </c>
      <c r="H286" s="3">
        <f>SUM(D286:G286)</f>
        <v>4490</v>
      </c>
      <c r="I286" s="3">
        <f>((I168-H168)*-1)+((I167-H167)*-1)</f>
        <v>1351</v>
      </c>
      <c r="J286" s="3">
        <f>((J168-I168)*-1)+((J167-I167)*-1)</f>
        <v>1349</v>
      </c>
      <c r="K286" s="3">
        <f>((K168-J168)*-1)+((K167-J167)*-1)</f>
        <v>1352</v>
      </c>
      <c r="L286" s="3">
        <f>((L168-K168)*-1)+((L167-K167)*-1)</f>
        <v>1130</v>
      </c>
      <c r="M286" s="3">
        <f>SUM(I286:L286)</f>
        <v>5182</v>
      </c>
      <c r="N286" s="3">
        <f>((N168-M168)*-1)+((N167-M167)*-1)</f>
        <v>850</v>
      </c>
      <c r="O286" s="3">
        <f>((O168-N168)*-1)+((O167-N167)*-1)</f>
        <v>1062</v>
      </c>
      <c r="P286" s="3">
        <f>((P168-O168)*-1)+((P167-O167)*-1)</f>
        <v>1057</v>
      </c>
      <c r="Q286" s="3">
        <f>((Q168-P168)*-1)+((Q167-P167)*-1)</f>
        <v>886</v>
      </c>
      <c r="R286" s="3">
        <f>SUM(N286:Q286)</f>
        <v>3855</v>
      </c>
      <c r="S286" s="3">
        <f>((S168-R168)*-1)+((S167-R167)*-1)</f>
        <v>791</v>
      </c>
      <c r="T286" s="3">
        <f>((T168-S168)*-1)+((T167-S167)*-1)</f>
        <v>775</v>
      </c>
      <c r="U286" s="3">
        <f>((U168-T168)*-1)+((U167-T167)*-1)</f>
        <v>753</v>
      </c>
      <c r="V286" s="3">
        <f>((V168-U168)*-1)+((V167-U167)*-1)</f>
        <v>-97251</v>
      </c>
      <c r="W286" s="3">
        <f>SUM(S286:V286)</f>
        <v>-94932</v>
      </c>
      <c r="X286" s="3">
        <f>((X168-W168)*-1)+((X167-W167)*-1)</f>
        <v>1491</v>
      </c>
      <c r="Y286" s="3">
        <f>((Y168-X168)*-1)+((Y167-X167)*-1)</f>
        <v>2373</v>
      </c>
      <c r="Z286" s="3">
        <f>((Z168-Y168)*-1)+((Z167-Y167)*-1)</f>
        <v>2451</v>
      </c>
      <c r="AA286" s="3">
        <f>((AA168-Z168)*-1)+((AA167-Z167)*-1)</f>
        <v>2002</v>
      </c>
      <c r="AB286" s="3">
        <f>SUM(X286:AA286)</f>
        <v>8317</v>
      </c>
      <c r="AC286" s="3">
        <f>((AC168-AB168)*-1)+((AC167-AB167)*-1)</f>
        <v>2260</v>
      </c>
      <c r="AD286" s="3">
        <f>((AD168-AC168)*-1)+((AD167-AC167)*-1)</f>
        <v>2049</v>
      </c>
      <c r="AE286" s="3">
        <f>((AE168-AD168)*-1)+((AE167-AD167)*-1)</f>
        <v>2071</v>
      </c>
      <c r="AF286" s="3">
        <f>((AF168-AE168)*-1)+((AF167-AE167)*-1)</f>
        <v>1971</v>
      </c>
      <c r="AG286" s="3">
        <f>SUM(AC286:AF286)</f>
        <v>8351</v>
      </c>
      <c r="AH286" s="3">
        <f>((AH168-AG168)*-1)+((AH167-AG167)*-1)</f>
        <v>1969</v>
      </c>
      <c r="AI286" s="3">
        <f>((AI168-AH168)*-1)+((AI167-AH167)*-1)</f>
        <v>2008</v>
      </c>
      <c r="AJ286" s="3">
        <f>((AJ168-AI168)*-1)+((AJ167-AI167)*-1)</f>
        <v>26325</v>
      </c>
      <c r="AK286" s="3">
        <f>((AK168-AJ168)*-1)+((AK167-AJ167)*-1)</f>
        <v>0</v>
      </c>
      <c r="AL286" s="3">
        <f>SUM(AH286:AK286)</f>
        <v>30302</v>
      </c>
      <c r="AM286" s="3">
        <f>((AM168-AL168)*-1)+((AM167-AL167)*-1)</f>
        <v>0</v>
      </c>
      <c r="AN286" s="3">
        <f>((AN168-AM168)*-1)+((AN167-AM167)*-1)</f>
        <v>0</v>
      </c>
      <c r="AO286" s="3">
        <f>((AO168-AN168)*-1)+((AO167-AN167)*-1)</f>
        <v>0</v>
      </c>
      <c r="AP286" s="3">
        <f>((AP168-AO168)*-1)+((AP167-AO167)*-1)</f>
        <v>0</v>
      </c>
      <c r="AQ286" s="3">
        <f>SUM(AM286:AP286)</f>
        <v>0</v>
      </c>
      <c r="AR286" s="3">
        <f>((AR168-AQ168)*-1)+((AR167-AQ167)*-1)</f>
        <v>0</v>
      </c>
      <c r="AS286" s="3">
        <f>((AS168-AR168)*-1)+((AS167-AR167)*-1)</f>
        <v>0</v>
      </c>
      <c r="AT286" s="3">
        <f>((AT168-AS168)*-1)+((AT167-AS167)*-1)</f>
        <v>0</v>
      </c>
      <c r="AU286" s="3">
        <f>((AU168-AT168)*-1)+((AU167-AT167)*-1)</f>
        <v>0</v>
      </c>
      <c r="AV286" s="3">
        <f>SUM(AR286:AU286)</f>
        <v>0</v>
      </c>
      <c r="AW286" s="3">
        <f>((AW168-AV168)*-1)+((AW167-AV167)*-1)</f>
        <v>0</v>
      </c>
      <c r="AX286" s="3">
        <f>((AX168-AW168)*-1)+((AX167-AW167)*-1)</f>
        <v>0</v>
      </c>
      <c r="AY286" s="3">
        <f>((AY168-AX168)*-1)+((AY167-AX167)*-1)</f>
        <v>0</v>
      </c>
      <c r="AZ286" s="3">
        <f>((AZ168-AY168)*-1)+((AZ167-AY167)*-1)</f>
        <v>0</v>
      </c>
      <c r="BA286" s="3">
        <f>SUM(AW286:AZ286)</f>
        <v>0</v>
      </c>
      <c r="BB286" s="3">
        <f>((BB168-BA168)*-1)+((BB167-BA167)*-1)</f>
        <v>0</v>
      </c>
      <c r="BC286" s="3">
        <f>((BC168-BB168)*-1)+((BC167-BB167)*-1)</f>
        <v>0</v>
      </c>
      <c r="BD286" s="3">
        <f>((BD168-BC168)*-1)+((BD167-BC167)*-1)</f>
        <v>0</v>
      </c>
      <c r="BE286" s="3">
        <f>((BE168-BD168)*-1)+((BE167-BD167)*-1)</f>
        <v>0</v>
      </c>
      <c r="BF286" s="3">
        <f>SUM(BB286:BE286)</f>
        <v>0</v>
      </c>
      <c r="BG286" s="3">
        <f>((BG168-BF168)*-1)+((BG167-BF167)*-1)</f>
        <v>0</v>
      </c>
      <c r="BH286" s="3">
        <f>((BH168-BG168)*-1)+((BH167-BG167)*-1)</f>
        <v>0</v>
      </c>
      <c r="BI286" s="3">
        <f>((BI168-BH168)*-1)+((BI167-BH167)*-1)</f>
        <v>0</v>
      </c>
      <c r="BJ286" s="3">
        <f>((BJ168-BI168)*-1)+((BJ167-BI167)*-1)</f>
        <v>0</v>
      </c>
      <c r="BK286" s="3">
        <f>SUM(BG286:BJ286)</f>
        <v>0</v>
      </c>
      <c r="BL286" s="3">
        <f>((BL168-BK168)*-1)+((BL167-BK167)*-1)</f>
        <v>0</v>
      </c>
      <c r="BM286" s="3">
        <f>((BM168-BL168)*-1)+((BM167-BL167)*-1)</f>
        <v>0</v>
      </c>
      <c r="BN286" s="3">
        <f>((BN168-BM168)*-1)+((BN167-BM167)*-1)</f>
        <v>0</v>
      </c>
      <c r="BO286" s="3">
        <f>((BO168-BN168)*-1)+((BO167-BN167)*-1)</f>
        <v>0</v>
      </c>
      <c r="BP286" s="3">
        <f>SUM(BL286:BO286)</f>
        <v>0</v>
      </c>
      <c r="BQ286" s="3">
        <f>((BQ168-BP168)*-1)+((BQ167-BP167)*-1)</f>
        <v>0</v>
      </c>
      <c r="BR286" s="3">
        <f>((BR168-BQ168)*-1)+((BR167-BQ167)*-1)</f>
        <v>0</v>
      </c>
      <c r="BS286" s="3">
        <f>((BS168-BR168)*-1)+((BS167-BR167)*-1)</f>
        <v>0</v>
      </c>
      <c r="BT286" s="3">
        <f>((BT168-BS168)*-1)+((BT167-BS167)*-1)</f>
        <v>0</v>
      </c>
      <c r="BU286" s="3">
        <f>SUM(BQ286:BT286)</f>
        <v>0</v>
      </c>
      <c r="BV286" s="3">
        <f>((BV168-BU168)*-1)+((BV167-BU167)*-1)</f>
        <v>0</v>
      </c>
      <c r="BW286" s="3">
        <f>((BW168-BV168)*-1)+((BW167-BV167)*-1)</f>
        <v>0</v>
      </c>
      <c r="BX286" s="3">
        <f>((BX168-BW168)*-1)+((BX167-BW167)*-1)</f>
        <v>0</v>
      </c>
      <c r="BY286" s="3">
        <f>((BY168-BX168)*-1)+((BY167-BX167)*-1)</f>
        <v>0</v>
      </c>
      <c r="BZ286" s="3">
        <f>SUM(BV286:BY286)</f>
        <v>0</v>
      </c>
      <c r="CA286" s="3">
        <f>((CA168-BZ168)*-1)+((CA167-BZ167)*-1)</f>
        <v>0</v>
      </c>
      <c r="CB286" s="3">
        <f>((CB168-CA168)*-1)+((CB167-CA167)*-1)</f>
        <v>0</v>
      </c>
      <c r="CC286" s="3">
        <f>((CC168-CB168)*-1)+((CC167-CB167)*-1)</f>
        <v>0</v>
      </c>
      <c r="CD286" s="3">
        <f>((CD168-CC168)*-1)+((CD167-CC167)*-1)</f>
        <v>0</v>
      </c>
      <c r="CE286" s="3">
        <f>SUM(CA286:CD286)</f>
        <v>0</v>
      </c>
      <c r="CF286" s="3">
        <f>((CF168-CE168)*-1)+((CF167-CE167)*-1)</f>
        <v>0</v>
      </c>
      <c r="CG286" s="3">
        <f>((CG168-CF168)*-1)+((CG167-CF167)*-1)</f>
        <v>0</v>
      </c>
      <c r="CH286" s="3">
        <f>((CH168-CG168)*-1)+((CH167-CG167)*-1)</f>
        <v>0</v>
      </c>
      <c r="CI286" s="3">
        <f>((CI168-CH168)*-1)+((CI167-CH167)*-1)</f>
        <v>0</v>
      </c>
      <c r="CJ286" s="3">
        <f>SUM(CF286:CI286)</f>
        <v>0</v>
      </c>
      <c r="CK286" s="3">
        <f>((CK168-CJ168)*-1)+((CK167-CJ167)*-1)</f>
        <v>0</v>
      </c>
      <c r="CL286" s="3">
        <f>((CL168-CK168)*-1)+((CL167-CK167)*-1)</f>
        <v>0</v>
      </c>
      <c r="CM286" s="3">
        <f>((CM168-CL168)*-1)+((CM167-CL167)*-1)</f>
        <v>0</v>
      </c>
      <c r="CN286" s="3">
        <f>((CN168-CM168)*-1)+((CN167-CM167)*-1)</f>
        <v>0</v>
      </c>
      <c r="CO286" s="3">
        <f>SUM(CK286:CN286)</f>
        <v>0</v>
      </c>
      <c r="CP286" s="3">
        <f>((CP168-CO168)*-1)+((CP167-CO167)*-1)</f>
        <v>0</v>
      </c>
      <c r="CQ286" s="3">
        <f>((CQ168-CP168)*-1)+((CQ167-CP167)*-1)</f>
        <v>0</v>
      </c>
      <c r="CR286" s="3">
        <f>((CR168-CQ168)*-1)+((CR167-CQ167)*-1)</f>
        <v>0</v>
      </c>
      <c r="CS286" s="3">
        <f>((CS168-CR168)*-1)+((CS167-CR167)*-1)</f>
        <v>0</v>
      </c>
      <c r="CT286" s="3">
        <f>SUM(CP286:CS286)</f>
        <v>0</v>
      </c>
      <c r="CU286" s="3">
        <f>((CU168-CT168)*-1)+((CU167-CT167)*-1)</f>
        <v>0</v>
      </c>
      <c r="CV286" s="3">
        <f>((CV168-CU168)*-1)+((CV167-CU167)*-1)</f>
        <v>0</v>
      </c>
      <c r="CW286" s="3">
        <f>((CW168-CV168)*-1)+((CW167-CV167)*-1)</f>
        <v>0</v>
      </c>
      <c r="CX286" s="3">
        <f>((CX168-CW168)*-1)+((CX167-CW167)*-1)</f>
        <v>0</v>
      </c>
      <c r="CY286" s="3">
        <f>SUM(CU286:CX286)</f>
        <v>0</v>
      </c>
      <c r="CZ286" s="3" t="n"/>
      <c r="DA286" s="3" t="n"/>
      <c r="DB286" s="3" t="n"/>
      <c r="DC286" s="3" t="n"/>
    </row>
    <row r="287">
      <c r="C287" s="30" t="inlineStr">
        <is>
          <t>Purchases/Proceeds from other long-term assets</t>
        </is>
      </c>
      <c r="D287" s="3" t="n"/>
      <c r="E287" s="3">
        <f>((E177-D177)*-1)+(E228-D228)</f>
        <v>-27</v>
      </c>
      <c r="F287" s="3">
        <f>((F177-E177)*-1)+(F228-E228)</f>
        <v>-438</v>
      </c>
      <c r="G287" s="3">
        <f>((G177-F177)*-1)+(G228-F228)</f>
        <v>-215</v>
      </c>
      <c r="H287" s="3">
        <f>SUM(D287:G287)</f>
        <v>-680</v>
      </c>
      <c r="I287" s="3">
        <f>((I177-H177)*-1)+(I228-H228)</f>
        <v>-287</v>
      </c>
      <c r="J287" s="3">
        <f>((J177-I177)*-1)+(J228-I228)</f>
        <v>-488</v>
      </c>
      <c r="K287" s="3">
        <f>((K177-J177)*-1)+(K228-J228)</f>
        <v>-88</v>
      </c>
      <c r="L287" s="3">
        <f>((L177-K177)*-1)+(L228-K228)</f>
        <v>-196</v>
      </c>
      <c r="M287" s="3">
        <f>SUM(I287:L287)</f>
        <v>-1059</v>
      </c>
      <c r="N287" s="3">
        <f>((N177-M177)*-1)+(N228-M228)</f>
        <v>0</v>
      </c>
      <c r="O287" s="3">
        <f>((O177-N177)*-1)+(O228-N228)</f>
        <v>-55</v>
      </c>
      <c r="P287" s="3">
        <f>((P177-O177)*-1)+(P228-O228)</f>
        <v>-181</v>
      </c>
      <c r="Q287" s="3">
        <f>((Q177-P177)*-1)+(Q228-P228)</f>
        <v>-700</v>
      </c>
      <c r="R287" s="3">
        <f>SUM(N287:Q287)</f>
        <v>-936</v>
      </c>
      <c r="S287" s="3">
        <f>((S177-R177)*-1)+(S228-R228)</f>
        <v>-500</v>
      </c>
      <c r="T287" s="3">
        <f>((T177-S177)*-1)+(T228-S228)</f>
        <v>-276</v>
      </c>
      <c r="U287" s="3">
        <f>((U177-T177)*-1)+(U228-T228)</f>
        <v>367</v>
      </c>
      <c r="V287" s="3">
        <f>((V177-U177)*-1)+(V228-U228)</f>
        <v>8997</v>
      </c>
      <c r="W287" s="3">
        <f>SUM(S287:V287)</f>
        <v>8588</v>
      </c>
      <c r="X287" s="3">
        <f>((X177-W177)*-1)+(X228-W228)</f>
        <v>-976</v>
      </c>
      <c r="Y287" s="3">
        <f>((Y177-X177)*-1)+(Y228-X228)</f>
        <v>2258</v>
      </c>
      <c r="Z287" s="3">
        <f>((Z177-Y177)*-1)+(Z228-Y228)</f>
        <v>-1884</v>
      </c>
      <c r="AA287" s="3">
        <f>((AA177-Z177)*-1)+(AA228-Z228)</f>
        <v>-1618</v>
      </c>
      <c r="AB287" s="3">
        <f>SUM(X287:AA287)</f>
        <v>-2220</v>
      </c>
      <c r="AC287" s="3">
        <f>((AC177-AB177)*-1)+(AC228-AB228)</f>
        <v>-1381</v>
      </c>
      <c r="AD287" s="3">
        <f>((AD177-AC177)*-1)+(AD228-AC228)</f>
        <v>-120</v>
      </c>
      <c r="AE287" s="3">
        <f>((AE177-AD177)*-1)+(AE228-AD228)</f>
        <v>-4396</v>
      </c>
      <c r="AF287" s="3">
        <f>((AF177-AE177)*-1)+(AF228-AE228)</f>
        <v>-159</v>
      </c>
      <c r="AG287" s="3">
        <f>SUM(AC287:AF287)</f>
        <v>-6056</v>
      </c>
      <c r="AH287" s="3">
        <f>((AH177-AG177)*-1)+(AH228-AG228)</f>
        <v>-301</v>
      </c>
      <c r="AI287" s="3">
        <f>((AI177-AH177)*-1)+(AI228-AH228)</f>
        <v>-179</v>
      </c>
      <c r="AJ287" s="3">
        <f>((AJ177-AI177)*-1)+(AJ228-AI228)</f>
        <v>0</v>
      </c>
      <c r="AK287" s="3">
        <f>((AK177-AJ177)*-1)+(AK228-AJ228)</f>
        <v>0</v>
      </c>
      <c r="AL287" s="3">
        <f>SUM(AH287:AK287)</f>
        <v>-480</v>
      </c>
      <c r="AM287" s="3">
        <f>((AM177-AL177)*-1)+(AM228-AL228)</f>
        <v>0</v>
      </c>
      <c r="AN287" s="3">
        <f>((AN177-AM177)*-1)+(AN228-AM228)</f>
        <v>0</v>
      </c>
      <c r="AO287" s="3">
        <f>((AO177-AN177)*-1)+(AO228-AN228)</f>
        <v>0</v>
      </c>
      <c r="AP287" s="3">
        <f>((AP177-AO177)*-1)+(AP228-AO228)</f>
        <v>0</v>
      </c>
      <c r="AQ287" s="3">
        <f>SUM(AM287:AP287)</f>
        <v>0</v>
      </c>
      <c r="AR287" s="3">
        <f>((AR177-AQ177)*-1)+(AR228-AQ228)</f>
        <v>0</v>
      </c>
      <c r="AS287" s="3">
        <f>((AS177-AR177)*-1)+(AS228-AR228)</f>
        <v>0</v>
      </c>
      <c r="AT287" s="3">
        <f>((AT177-AS177)*-1)+(AT228-AS228)</f>
        <v>0</v>
      </c>
      <c r="AU287" s="3">
        <f>((AU177-AT177)*-1)+(AU228-AT228)</f>
        <v>0</v>
      </c>
      <c r="AV287" s="3">
        <f>SUM(AR287:AU287)</f>
        <v>0</v>
      </c>
      <c r="AW287" s="3">
        <f>((AW177-AV177)*-1)+(AW228-AV228)</f>
        <v>0</v>
      </c>
      <c r="AX287" s="3">
        <f>((AX177-AW177)*-1)+(AX228-AW228)</f>
        <v>0</v>
      </c>
      <c r="AY287" s="3">
        <f>((AY177-AX177)*-1)+(AY228-AX228)</f>
        <v>0</v>
      </c>
      <c r="AZ287" s="3">
        <f>((AZ177-AY177)*-1)+(AZ228-AY228)</f>
        <v>0</v>
      </c>
      <c r="BA287" s="3">
        <f>SUM(AW287:AZ287)</f>
        <v>0</v>
      </c>
      <c r="BB287" s="3">
        <f>((BB177-BA177)*-1)+(BB228-BA228)</f>
        <v>0</v>
      </c>
      <c r="BC287" s="3">
        <f>((BC177-BB177)*-1)+(BC228-BB228)</f>
        <v>0</v>
      </c>
      <c r="BD287" s="3">
        <f>((BD177-BC177)*-1)+(BD228-BC228)</f>
        <v>0</v>
      </c>
      <c r="BE287" s="3">
        <f>((BE177-BD177)*-1)+(BE228-BD228)</f>
        <v>0</v>
      </c>
      <c r="BF287" s="3">
        <f>SUM(BB287:BE287)</f>
        <v>0</v>
      </c>
      <c r="BG287" s="3">
        <f>((BG177-BF177)*-1)+(BG228-BF228)</f>
        <v>0</v>
      </c>
      <c r="BH287" s="3">
        <f>((BH177-BG177)*-1)+(BH228-BG228)</f>
        <v>0</v>
      </c>
      <c r="BI287" s="3">
        <f>((BI177-BH177)*-1)+(BI228-BH228)</f>
        <v>0</v>
      </c>
      <c r="BJ287" s="3">
        <f>((BJ177-BI177)*-1)+(BJ228-BI228)</f>
        <v>0</v>
      </c>
      <c r="BK287" s="3">
        <f>SUM(BG287:BJ287)</f>
        <v>0</v>
      </c>
      <c r="BL287" s="3">
        <f>((BL177-BK177)*-1)+(BL228-BK228)</f>
        <v>0</v>
      </c>
      <c r="BM287" s="3">
        <f>((BM177-BL177)*-1)+(BM228-BL228)</f>
        <v>0</v>
      </c>
      <c r="BN287" s="3">
        <f>((BN177-BM177)*-1)+(BN228-BM228)</f>
        <v>0</v>
      </c>
      <c r="BO287" s="3">
        <f>((BO177-BN177)*-1)+(BO228-BN228)</f>
        <v>0</v>
      </c>
      <c r="BP287" s="3">
        <f>SUM(BL287:BO287)</f>
        <v>0</v>
      </c>
      <c r="BQ287" s="3">
        <f>((BQ177-BP177)*-1)+(BQ228-BP228)</f>
        <v>0</v>
      </c>
      <c r="BR287" s="3">
        <f>((BR177-BQ177)*-1)+(BR228-BQ228)</f>
        <v>0</v>
      </c>
      <c r="BS287" s="3">
        <f>((BS177-BR177)*-1)+(BS228-BR228)</f>
        <v>0</v>
      </c>
      <c r="BT287" s="3">
        <f>((BT177-BS177)*-1)+(BT228-BS228)</f>
        <v>0</v>
      </c>
      <c r="BU287" s="3">
        <f>SUM(BQ287:BT287)</f>
        <v>0</v>
      </c>
      <c r="BV287" s="3">
        <f>((BV177-BU177)*-1)+(BV228-BU228)</f>
        <v>0</v>
      </c>
      <c r="BW287" s="3">
        <f>((BW177-BV177)*-1)+(BW228-BV228)</f>
        <v>0</v>
      </c>
      <c r="BX287" s="3">
        <f>((BX177-BW177)*-1)+(BX228-BW228)</f>
        <v>0</v>
      </c>
      <c r="BY287" s="3">
        <f>((BY177-BX177)*-1)+(BY228-BX228)</f>
        <v>0</v>
      </c>
      <c r="BZ287" s="3">
        <f>SUM(BV287:BY287)</f>
        <v>0</v>
      </c>
      <c r="CA287" s="3">
        <f>((CA177-BZ177)*-1)+(CA228-BZ228)</f>
        <v>0</v>
      </c>
      <c r="CB287" s="3">
        <f>((CB177-CA177)*-1)+(CB228-CA228)</f>
        <v>0</v>
      </c>
      <c r="CC287" s="3">
        <f>((CC177-CB177)*-1)+(CC228-CB228)</f>
        <v>0</v>
      </c>
      <c r="CD287" s="3">
        <f>((CD177-CC177)*-1)+(CD228-CC228)</f>
        <v>0</v>
      </c>
      <c r="CE287" s="3">
        <f>SUM(CA287:CD287)</f>
        <v>0</v>
      </c>
      <c r="CF287" s="3">
        <f>((CF177-CE177)*-1)+(CF228-CE228)</f>
        <v>0</v>
      </c>
      <c r="CG287" s="3">
        <f>((CG177-CF177)*-1)+(CG228-CF228)</f>
        <v>0</v>
      </c>
      <c r="CH287" s="3">
        <f>((CH177-CG177)*-1)+(CH228-CG228)</f>
        <v>0</v>
      </c>
      <c r="CI287" s="3">
        <f>((CI177-CH177)*-1)+(CI228-CH228)</f>
        <v>0</v>
      </c>
      <c r="CJ287" s="3">
        <f>SUM(CF287:CI287)</f>
        <v>0</v>
      </c>
      <c r="CK287" s="3">
        <f>((CK177-CJ177)*-1)+(CK228-CJ228)</f>
        <v>0</v>
      </c>
      <c r="CL287" s="3">
        <f>((CL177-CK177)*-1)+(CL228-CK228)</f>
        <v>0</v>
      </c>
      <c r="CM287" s="3">
        <f>((CM177-CL177)*-1)+(CM228-CL228)</f>
        <v>0</v>
      </c>
      <c r="CN287" s="3">
        <f>((CN177-CM177)*-1)+(CN228-CM228)</f>
        <v>0</v>
      </c>
      <c r="CO287" s="3">
        <f>SUM(CK287:CN287)</f>
        <v>0</v>
      </c>
      <c r="CP287" s="3">
        <f>((CP177-CO177)*-1)+(CP228-CO228)</f>
        <v>0</v>
      </c>
      <c r="CQ287" s="3">
        <f>((CQ177-CP177)*-1)+(CQ228-CP228)</f>
        <v>0</v>
      </c>
      <c r="CR287" s="3">
        <f>((CR177-CQ177)*-1)+(CR228-CQ228)</f>
        <v>0</v>
      </c>
      <c r="CS287" s="3">
        <f>((CS177-CR177)*-1)+(CS228-CR228)</f>
        <v>0</v>
      </c>
      <c r="CT287" s="3">
        <f>SUM(CP287:CS287)</f>
        <v>0</v>
      </c>
      <c r="CU287" s="3">
        <f>((CU177-CT177)*-1)+(CU228-CT228)</f>
        <v>0</v>
      </c>
      <c r="CV287" s="3">
        <f>((CV177-CU177)*-1)+(CV228-CU228)</f>
        <v>0</v>
      </c>
      <c r="CW287" s="3">
        <f>((CW177-CV177)*-1)+(CW228-CV228)</f>
        <v>0</v>
      </c>
      <c r="CX287" s="3">
        <f>((CX177-CW177)*-1)+(CX228-CW228)</f>
        <v>0</v>
      </c>
      <c r="CY287" s="3">
        <f>SUM(CU287:CX287)</f>
        <v>0</v>
      </c>
    </row>
    <row r="288">
      <c r="C288" s="26" t="inlineStr">
        <is>
          <t>Cash from investing</t>
        </is>
      </c>
      <c r="D288" s="3" t="n"/>
      <c r="E288" s="3">
        <f>SUM(E283,E284,E286,E287,E285)</f>
        <v>-133</v>
      </c>
      <c r="F288" s="3">
        <f>SUM(F283,F284,F286,F287,F285)</f>
        <v>-533</v>
      </c>
      <c r="G288" s="3">
        <f>SUM(G283,G284,G286,G287,G285)</f>
        <v>-382</v>
      </c>
      <c r="H288" s="3">
        <f>SUM(H283,H284,H286,H287)</f>
        <v>-1048</v>
      </c>
      <c r="I288" s="3">
        <f>SUM(I283,I284,I286,I287,I285)</f>
        <v>-360</v>
      </c>
      <c r="J288" s="3">
        <f>SUM(J283,J284,J286,J287,J285)</f>
        <v>-596</v>
      </c>
      <c r="K288" s="3">
        <f>SUM(K283,K284,K286,K287,K285)</f>
        <v>-215</v>
      </c>
      <c r="L288" s="3">
        <f>SUM(L283,L284,L286,L287,L285)</f>
        <v>-308</v>
      </c>
      <c r="M288" s="3">
        <f>SUM(M283,M284,M286,M287)</f>
        <v>-1479</v>
      </c>
      <c r="N288" s="3">
        <f>SUM(N283,N284,N286,N287,N285)</f>
        <v>-373</v>
      </c>
      <c r="O288" s="3">
        <f>SUM(O283,O284,O286,O287,O285)</f>
        <v>-198</v>
      </c>
      <c r="P288" s="3">
        <f>SUM(P283,P284,P286,P287,P285)</f>
        <v>-313</v>
      </c>
      <c r="Q288" s="3">
        <f>SUM(Q283,Q284,Q286,Q287,Q285)</f>
        <v>-824</v>
      </c>
      <c r="R288" s="3">
        <f>SUM(R283,R284,R286,R287)</f>
        <v>-1708</v>
      </c>
      <c r="S288" s="3">
        <f>SUM(S283,S284,S286,S287,S285)</f>
        <v>-656</v>
      </c>
      <c r="T288" s="3">
        <f>SUM(T283,T284,T286,T287,T285)</f>
        <v>-404</v>
      </c>
      <c r="U288" s="3">
        <f>SUM(U283,U284,U286,U287,U285)</f>
        <v>214</v>
      </c>
      <c r="V288" s="3">
        <f>SUM(V283,V284,V286,V287,V285)</f>
        <v>-91107</v>
      </c>
      <c r="W288" s="3">
        <f>SUM(W283,W284,W286,W287)</f>
        <v>-91953</v>
      </c>
      <c r="X288" s="3">
        <f>SUM(X283,X284,X286,X287,X285)</f>
        <v>-2021</v>
      </c>
      <c r="Y288" s="3">
        <f>SUM(Y283,Y284,Y286,Y287,Y285)</f>
        <v>2173</v>
      </c>
      <c r="Z288" s="3">
        <f>SUM(Z283,Z284,Z286,Z287,Z285)</f>
        <v>-1963</v>
      </c>
      <c r="AA288" s="3">
        <f>SUM(AA283,AA284,AA286,AA287,AA285)</f>
        <v>-1734</v>
      </c>
      <c r="AB288" s="3">
        <f>SUM(AB283,AB284,AB286,AB287)</f>
        <v>-3545</v>
      </c>
      <c r="AC288" s="3">
        <f>SUM(AC283,AC284,AC286,AC287,AC285)</f>
        <v>-1249</v>
      </c>
      <c r="AD288" s="3">
        <f>SUM(AD283,AD284,AD286,AD287,AD285)</f>
        <v>-228</v>
      </c>
      <c r="AE288" s="3">
        <f>SUM(AE283,AE284,AE286,AE287,AE285)</f>
        <v>-4637</v>
      </c>
      <c r="AF288" s="3">
        <f>SUM(AF283,AF284,AF286,AF287,AF285)</f>
        <v>-410</v>
      </c>
      <c r="AG288" s="3">
        <f>SUM(AG283,AG284,AG286,AG287)</f>
        <v>-6524</v>
      </c>
      <c r="AH288" s="3">
        <f>SUM(AH283,AH284,AH286,AH287,AH285)</f>
        <v>-651</v>
      </c>
      <c r="AI288" s="3">
        <f>SUM(AI283,AI284,AI286,AI287,AI285)</f>
        <v>-704</v>
      </c>
      <c r="AJ288" s="3">
        <f>SUM(AJ283,AJ284,AJ286,AJ287,AJ285)</f>
        <v>26325</v>
      </c>
      <c r="AK288" s="3">
        <f>SUM(AK283,AK284,AK286,AK287,AK285)</f>
        <v>0</v>
      </c>
      <c r="AL288" s="3">
        <f>SUM(AL283,AL284,AL286,AL287)</f>
        <v>24970</v>
      </c>
      <c r="AM288" s="3">
        <f>SUM(AM283,AM284,AM286,AM287,AM285)</f>
        <v>0</v>
      </c>
      <c r="AN288" s="3">
        <f>SUM(AN283,AN284,AN286,AN287,AN285)</f>
        <v>0</v>
      </c>
      <c r="AO288" s="3">
        <f>SUM(AO283,AO284,AO286,AO287,AO285)</f>
        <v>0</v>
      </c>
      <c r="AP288" s="3">
        <f>SUM(AP283,AP284,AP286,AP287,AP285)</f>
        <v>0</v>
      </c>
      <c r="AQ288" s="3">
        <f>SUM(AQ283,AQ284,AQ286,AQ287)</f>
        <v>0</v>
      </c>
      <c r="AR288" s="3">
        <f>SUM(AR283,AR284,AR286,AR287,AR285)</f>
        <v>0</v>
      </c>
      <c r="AS288" s="3">
        <f>SUM(AS283,AS284,AS286,AS287,AS285)</f>
        <v>0</v>
      </c>
      <c r="AT288" s="3">
        <f>SUM(AT283,AT284,AT286,AT287,AT285)</f>
        <v>0</v>
      </c>
      <c r="AU288" s="3">
        <f>SUM(AU283,AU284,AU286,AU287,AU285)</f>
        <v>0</v>
      </c>
      <c r="AV288" s="3">
        <f>SUM(AV283,AV284,AV286,AV287)</f>
        <v>0</v>
      </c>
      <c r="AW288" s="3">
        <f>SUM(AW283,AW284,AW286,AW287,AW285)</f>
        <v>0</v>
      </c>
      <c r="AX288" s="3">
        <f>SUM(AX283,AX284,AX286,AX287,AX285)</f>
        <v>0</v>
      </c>
      <c r="AY288" s="3">
        <f>SUM(AY283,AY284,AY286,AY287,AY285)</f>
        <v>0</v>
      </c>
      <c r="AZ288" s="3">
        <f>SUM(AZ283,AZ284,AZ286,AZ287,AZ285)</f>
        <v>0</v>
      </c>
      <c r="BA288" s="3">
        <f>SUM(BA283,BA284,BA286,BA287)</f>
        <v>0</v>
      </c>
      <c r="BB288" s="3">
        <f>SUM(BB283,BB284,BB286,BB287,BB285)</f>
        <v>0</v>
      </c>
      <c r="BC288" s="3">
        <f>SUM(BC283,BC284,BC286,BC287,BC285)</f>
        <v>0</v>
      </c>
      <c r="BD288" s="3">
        <f>SUM(BD283,BD284,BD286,BD287,BD285)</f>
        <v>0</v>
      </c>
      <c r="BE288" s="3">
        <f>SUM(BE283,BE284,BE286,BE287,BE285)</f>
        <v>0</v>
      </c>
      <c r="BF288" s="3">
        <f>SUM(BF283,BF284,BF286,BF287)</f>
        <v>0</v>
      </c>
      <c r="BG288" s="3">
        <f>SUM(BG283,BG284,BG286,BG287,BG285)</f>
        <v>0</v>
      </c>
      <c r="BH288" s="3">
        <f>SUM(BH283,BH284,BH286,BH287,BH285)</f>
        <v>0</v>
      </c>
      <c r="BI288" s="3">
        <f>SUM(BI283,BI284,BI286,BI287,BI285)</f>
        <v>0</v>
      </c>
      <c r="BJ288" s="3">
        <f>SUM(BJ283,BJ284,BJ286,BJ287,BJ285)</f>
        <v>0</v>
      </c>
      <c r="BK288" s="3">
        <f>SUM(BK283,BK284,BK286,BK287)</f>
        <v>0</v>
      </c>
      <c r="BL288" s="3">
        <f>SUM(BL283,BL284,BL286,BL287,BL285)</f>
        <v>0</v>
      </c>
      <c r="BM288" s="3">
        <f>SUM(BM283,BM284,BM286,BM287,BM285)</f>
        <v>0</v>
      </c>
      <c r="BN288" s="3">
        <f>SUM(BN283,BN284,BN286,BN287,BN285)</f>
        <v>0</v>
      </c>
      <c r="BO288" s="3">
        <f>SUM(BO283,BO284,BO286,BO287,BO285)</f>
        <v>0</v>
      </c>
      <c r="BP288" s="3">
        <f>SUM(BP283,BP284,BP286,BP287)</f>
        <v>0</v>
      </c>
      <c r="BQ288" s="3">
        <f>SUM(BQ283,BQ284,BQ286,BQ287,BQ285)</f>
        <v>0</v>
      </c>
      <c r="BR288" s="3">
        <f>SUM(BR283,BR284,BR286,BR287,BR285)</f>
        <v>0</v>
      </c>
      <c r="BS288" s="3">
        <f>SUM(BS283,BS284,BS286,BS287,BS285)</f>
        <v>0</v>
      </c>
      <c r="BT288" s="3">
        <f>SUM(BT283,BT284,BT286,BT287,BT285)</f>
        <v>0</v>
      </c>
      <c r="BU288" s="3">
        <f>SUM(BU283,BU284,BU286,BU287)</f>
        <v>0</v>
      </c>
      <c r="BV288" s="3">
        <f>SUM(BV283,BV284,BV286,BV287,BV285)</f>
        <v>0</v>
      </c>
      <c r="BW288" s="3">
        <f>SUM(BW283,BW284,BW286,BW287,BW285)</f>
        <v>0</v>
      </c>
      <c r="BX288" s="3">
        <f>SUM(BX283,BX284,BX286,BX287,BX285)</f>
        <v>0</v>
      </c>
      <c r="BY288" s="3">
        <f>SUM(BY283,BY284,BY286,BY287,BY285)</f>
        <v>0</v>
      </c>
      <c r="BZ288" s="3">
        <f>SUM(BZ283,BZ284,BZ286,BZ287)</f>
        <v>0</v>
      </c>
      <c r="CA288" s="3">
        <f>SUM(CA283,CA284,CA286,CA287,CA285)</f>
        <v>0</v>
      </c>
      <c r="CB288" s="3">
        <f>SUM(CB283,CB284,CB286,CB287,CB285)</f>
        <v>0</v>
      </c>
      <c r="CC288" s="3">
        <f>SUM(CC283,CC284,CC286,CC287,CC285)</f>
        <v>0</v>
      </c>
      <c r="CD288" s="3">
        <f>SUM(CD283,CD284,CD286,CD287,CD285)</f>
        <v>0</v>
      </c>
      <c r="CE288" s="3">
        <f>SUM(CE283,CE284,CE286,CE287)</f>
        <v>0</v>
      </c>
      <c r="CF288" s="3">
        <f>SUM(CF283,CF284,CF286,CF287,CF285)</f>
        <v>0</v>
      </c>
      <c r="CG288" s="3">
        <f>SUM(CG283,CG284,CG286,CG287,CG285)</f>
        <v>0</v>
      </c>
      <c r="CH288" s="3">
        <f>SUM(CH283,CH284,CH286,CH287,CH285)</f>
        <v>0</v>
      </c>
      <c r="CI288" s="3">
        <f>SUM(CI283,CI284,CI286,CI287,CI285)</f>
        <v>0</v>
      </c>
      <c r="CJ288" s="3">
        <f>SUM(CJ283,CJ284,CJ286,CJ287)</f>
        <v>0</v>
      </c>
      <c r="CK288" s="3">
        <f>SUM(CK283,CK284,CK286,CK287,CK285)</f>
        <v>0</v>
      </c>
      <c r="CL288" s="3">
        <f>SUM(CL283,CL284,CL286,CL287,CL285)</f>
        <v>0</v>
      </c>
      <c r="CM288" s="3">
        <f>SUM(CM283,CM284,CM286,CM287,CM285)</f>
        <v>0</v>
      </c>
      <c r="CN288" s="3">
        <f>SUM(CN283,CN284,CN286,CN287,CN285)</f>
        <v>0</v>
      </c>
      <c r="CO288" s="3">
        <f>SUM(CO283,CO284,CO286,CO287)</f>
        <v>0</v>
      </c>
      <c r="CP288" s="3">
        <f>SUM(CP283,CP284,CP286,CP287,CP285)</f>
        <v>0</v>
      </c>
      <c r="CQ288" s="3">
        <f>SUM(CQ283,CQ284,CQ286,CQ287,CQ285)</f>
        <v>0</v>
      </c>
      <c r="CR288" s="3">
        <f>SUM(CR283,CR284,CR286,CR287,CR285)</f>
        <v>0</v>
      </c>
      <c r="CS288" s="3">
        <f>SUM(CS283,CS284,CS286,CS287,CS285)</f>
        <v>0</v>
      </c>
      <c r="CT288" s="3">
        <f>SUM(CT283,CT284,CT286,CT287)</f>
        <v>0</v>
      </c>
      <c r="CU288" s="3">
        <f>SUM(CU283,CU284,CU286,CU287,CU285)</f>
        <v>0</v>
      </c>
      <c r="CV288" s="3">
        <f>SUM(CV283,CV284,CV286,CV287,CV285)</f>
        <v>0</v>
      </c>
      <c r="CW288" s="3">
        <f>SUM(CW283,CW284,CW286,CW287,CW285)</f>
        <v>0</v>
      </c>
      <c r="CX288" s="3">
        <f>SUM(CX283,CX284,CX286,CX287,CX285)</f>
        <v>0</v>
      </c>
      <c r="CY288" s="3">
        <f>SUM(CY283,CY284,CY286,CY287)</f>
        <v>0</v>
      </c>
    </row>
    <row r="289">
      <c r="C289" s="26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 t="n"/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  <c r="AA289" s="3" t="n"/>
      <c r="AB289" s="3" t="n"/>
      <c r="AC289" s="3" t="n"/>
      <c r="AD289" s="3" t="n"/>
      <c r="AE289" s="3" t="n"/>
      <c r="AF289" s="3" t="n"/>
      <c r="AG289" s="3" t="n"/>
      <c r="AH289" s="3" t="n"/>
      <c r="AI289" s="3" t="n"/>
      <c r="AJ289" s="3" t="n"/>
      <c r="AK289" s="3" t="n"/>
      <c r="AL289" s="3" t="n"/>
      <c r="AM289" s="3" t="n"/>
      <c r="AN289" s="3" t="n"/>
      <c r="AO289" s="3" t="n"/>
      <c r="AP289" s="3" t="n"/>
      <c r="AQ289" s="3" t="n"/>
      <c r="AR289" s="3" t="n"/>
      <c r="AS289" s="3" t="n"/>
      <c r="AT289" s="3" t="n"/>
      <c r="AU289" s="3" t="n"/>
      <c r="AV289" s="3" t="n"/>
      <c r="AW289" s="3" t="n"/>
      <c r="AX289" s="3" t="n"/>
      <c r="AY289" s="3" t="n"/>
      <c r="AZ289" s="3" t="n"/>
      <c r="BA289" s="3" t="n"/>
      <c r="BB289" s="3" t="n"/>
      <c r="BC289" s="3" t="n"/>
      <c r="BD289" s="3" t="n"/>
      <c r="BE289" s="3" t="n"/>
      <c r="BF289" s="3" t="n"/>
      <c r="BG289" s="3" t="n"/>
      <c r="BH289" s="3" t="n"/>
      <c r="BI289" s="3" t="n"/>
      <c r="BJ289" s="3" t="n"/>
      <c r="BK289" s="3" t="n"/>
      <c r="BL289" s="3" t="n"/>
      <c r="BM289" s="3" t="n"/>
      <c r="BN289" s="3" t="n"/>
      <c r="BO289" s="3" t="n"/>
      <c r="BP289" s="3" t="n"/>
      <c r="BQ289" s="3" t="n"/>
      <c r="BR289" s="3" t="n"/>
      <c r="BS289" s="3" t="n"/>
      <c r="BT289" s="3" t="n"/>
      <c r="BU289" s="3" t="n"/>
      <c r="BV289" s="3" t="n"/>
      <c r="BW289" s="3" t="n"/>
      <c r="BX289" s="3" t="n"/>
      <c r="BY289" s="3" t="n"/>
      <c r="BZ289" s="3" t="n"/>
      <c r="CA289" s="3" t="n"/>
      <c r="CB289" s="3" t="n"/>
      <c r="CC289" s="3" t="n"/>
      <c r="CD289" s="3" t="n"/>
      <c r="CE289" s="3" t="n"/>
      <c r="CF289" s="3" t="n"/>
      <c r="CG289" s="3" t="n"/>
      <c r="CH289" s="3" t="n"/>
      <c r="CI289" s="3" t="n"/>
      <c r="CJ289" s="3" t="n"/>
      <c r="CK289" s="3" t="n"/>
      <c r="CL289" s="3" t="n"/>
      <c r="CM289" s="3" t="n"/>
      <c r="CN289" s="3" t="n"/>
      <c r="CO289" s="3" t="n"/>
      <c r="CP289" s="3" t="n"/>
      <c r="CQ289" s="3" t="n"/>
      <c r="CR289" s="3" t="n"/>
      <c r="CS289" s="3" t="n"/>
      <c r="CT289" s="3" t="n"/>
      <c r="CU289" s="3" t="n"/>
      <c r="CV289" s="3" t="n"/>
      <c r="CW289" s="3" t="n"/>
      <c r="CX289" s="3" t="n"/>
      <c r="CY289" s="3" t="n"/>
    </row>
    <row r="290">
      <c r="C290" s="26" t="inlineStr">
        <is>
          <t>Convertible preferred stock</t>
        </is>
      </c>
      <c r="D290" s="3" t="n"/>
      <c r="E290" s="3">
        <f>E241-D241</f>
        <v>0</v>
      </c>
      <c r="F290" s="3">
        <f>F241-E241</f>
        <v>0</v>
      </c>
      <c r="G290" s="3">
        <f>G241-F241</f>
        <v>0</v>
      </c>
      <c r="H290" s="3">
        <f>SUM(D290:G290)</f>
        <v>0</v>
      </c>
      <c r="I290" s="3">
        <f>I241-H241</f>
        <v>0</v>
      </c>
      <c r="J290" s="3">
        <f>J241-I241</f>
        <v>0</v>
      </c>
      <c r="K290" s="3">
        <f>K241-J241</f>
        <v>0</v>
      </c>
      <c r="L290" s="3">
        <f>L241-K241</f>
        <v>0</v>
      </c>
      <c r="M290" s="3">
        <f>SUM(I290:L290)</f>
        <v>0</v>
      </c>
      <c r="N290" s="3">
        <f>N241-M241</f>
        <v>0</v>
      </c>
      <c r="O290" s="3">
        <f>O241-N241</f>
        <v>0</v>
      </c>
      <c r="P290" s="3">
        <f>P241-O241</f>
        <v>0</v>
      </c>
      <c r="Q290" s="3">
        <f>Q241-P241</f>
        <v>0</v>
      </c>
      <c r="R290" s="3">
        <f>SUM(N290:Q290)</f>
        <v>0</v>
      </c>
      <c r="S290" s="3">
        <f>S241-R241</f>
        <v>0</v>
      </c>
      <c r="T290" s="3">
        <f>T241-S241</f>
        <v>0</v>
      </c>
      <c r="U290" s="3">
        <f>U241-T241</f>
        <v>0</v>
      </c>
      <c r="V290" s="3">
        <f>V241-U241</f>
        <v>0</v>
      </c>
      <c r="W290" s="3">
        <f>SUM(S290:V290)</f>
        <v>0</v>
      </c>
      <c r="X290" s="3">
        <f>X241-W241</f>
        <v>0</v>
      </c>
      <c r="Y290" s="3">
        <f>Y241-X241</f>
        <v>0</v>
      </c>
      <c r="Z290" s="3">
        <f>Z241-Y241</f>
        <v>0</v>
      </c>
      <c r="AA290" s="3">
        <f>AA241-Z241</f>
        <v>0</v>
      </c>
      <c r="AB290" s="3">
        <f>SUM(X290:AA290)</f>
        <v>0</v>
      </c>
      <c r="AC290" s="3">
        <f>AC241-AB241</f>
        <v>0</v>
      </c>
      <c r="AD290" s="3">
        <f>AD241-AC241</f>
        <v>0</v>
      </c>
      <c r="AE290" s="3">
        <f>AE241-AD241</f>
        <v>0</v>
      </c>
      <c r="AF290" s="3">
        <f>AF241-AE241</f>
        <v>0</v>
      </c>
      <c r="AG290" s="3">
        <f>SUM(AC290:AF290)</f>
        <v>0</v>
      </c>
      <c r="AH290" s="3">
        <f>AH241-AG241</f>
        <v>0</v>
      </c>
      <c r="AI290" s="3">
        <f>AI241-AH241</f>
        <v>0</v>
      </c>
      <c r="AJ290" s="3">
        <f>AJ241-AI241</f>
        <v>0</v>
      </c>
      <c r="AK290" s="3">
        <f>AK241-AJ241</f>
        <v>0</v>
      </c>
      <c r="AL290" s="3">
        <f>SUM(AH290:AK290)</f>
        <v>0</v>
      </c>
      <c r="AM290" s="3">
        <f>AM241-AL241</f>
        <v>0</v>
      </c>
      <c r="AN290" s="3">
        <f>AN241-AM241</f>
        <v>0</v>
      </c>
      <c r="AO290" s="3">
        <f>AO241-AN241</f>
        <v>0</v>
      </c>
      <c r="AP290" s="3">
        <f>AP241-AO241</f>
        <v>0</v>
      </c>
      <c r="AQ290" s="3">
        <f>SUM(AM290:AP290)</f>
        <v>0</v>
      </c>
      <c r="AR290" s="3">
        <f>AR241-AQ241</f>
        <v>0</v>
      </c>
      <c r="AS290" s="3">
        <f>AS241-AR241</f>
        <v>0</v>
      </c>
      <c r="AT290" s="3">
        <f>AT241-AS241</f>
        <v>0</v>
      </c>
      <c r="AU290" s="3">
        <f>AU241-AT241</f>
        <v>0</v>
      </c>
      <c r="AV290" s="3">
        <f>SUM(AR290:AU290)</f>
        <v>0</v>
      </c>
      <c r="AW290" s="3">
        <f>AW241-AV241</f>
        <v>0</v>
      </c>
      <c r="AX290" s="3">
        <f>AX241-AW241</f>
        <v>0</v>
      </c>
      <c r="AY290" s="3">
        <f>AY241-AX241</f>
        <v>0</v>
      </c>
      <c r="AZ290" s="3">
        <f>AZ241-AY241</f>
        <v>0</v>
      </c>
      <c r="BA290" s="3">
        <f>SUM(AW290:AZ290)</f>
        <v>0</v>
      </c>
      <c r="BB290" s="3">
        <f>BB241-BA241</f>
        <v>0</v>
      </c>
      <c r="BC290" s="3">
        <f>BC241-BB241</f>
        <v>0</v>
      </c>
      <c r="BD290" s="3">
        <f>BD241-BC241</f>
        <v>0</v>
      </c>
      <c r="BE290" s="3">
        <f>BE241-BD241</f>
        <v>0</v>
      </c>
      <c r="BF290" s="3">
        <f>SUM(BB290:BE290)</f>
        <v>0</v>
      </c>
      <c r="BG290" s="3">
        <f>BG241-BF241</f>
        <v>0</v>
      </c>
      <c r="BH290" s="3">
        <f>BH241-BG241</f>
        <v>0</v>
      </c>
      <c r="BI290" s="3">
        <f>BI241-BH241</f>
        <v>0</v>
      </c>
      <c r="BJ290" s="3">
        <f>BJ241-BI241</f>
        <v>0</v>
      </c>
      <c r="BK290" s="3">
        <f>SUM(BG290:BJ290)</f>
        <v>0</v>
      </c>
      <c r="BL290" s="3">
        <f>BL241-BK241</f>
        <v>0</v>
      </c>
      <c r="BM290" s="3">
        <f>BM241-BL241</f>
        <v>0</v>
      </c>
      <c r="BN290" s="3">
        <f>BN241-BM241</f>
        <v>0</v>
      </c>
      <c r="BO290" s="3">
        <f>BO241-BN241</f>
        <v>0</v>
      </c>
      <c r="BP290" s="3">
        <f>SUM(BL290:BO290)</f>
        <v>0</v>
      </c>
      <c r="BQ290" s="3">
        <f>BQ241-BP241</f>
        <v>0</v>
      </c>
      <c r="BR290" s="3">
        <f>BR241-BQ241</f>
        <v>0</v>
      </c>
      <c r="BS290" s="3">
        <f>BS241-BR241</f>
        <v>0</v>
      </c>
      <c r="BT290" s="3">
        <f>BT241-BS241</f>
        <v>0</v>
      </c>
      <c r="BU290" s="3">
        <f>SUM(BQ290:BT290)</f>
        <v>0</v>
      </c>
      <c r="BV290" s="3">
        <f>BV241-BU241</f>
        <v>0</v>
      </c>
      <c r="BW290" s="3">
        <f>BW241-BV241</f>
        <v>0</v>
      </c>
      <c r="BX290" s="3">
        <f>BX241-BW241</f>
        <v>0</v>
      </c>
      <c r="BY290" s="3">
        <f>BY241-BX241</f>
        <v>0</v>
      </c>
      <c r="BZ290" s="3">
        <f>SUM(BV290:BY290)</f>
        <v>0</v>
      </c>
      <c r="CA290" s="3">
        <f>CA241-BZ241</f>
        <v>0</v>
      </c>
      <c r="CB290" s="3">
        <f>CB241-CA241</f>
        <v>0</v>
      </c>
      <c r="CC290" s="3">
        <f>CC241-CB241</f>
        <v>0</v>
      </c>
      <c r="CD290" s="3">
        <f>CD241-CC241</f>
        <v>0</v>
      </c>
      <c r="CE290" s="3">
        <f>SUM(CA290:CD290)</f>
        <v>0</v>
      </c>
      <c r="CF290" s="3">
        <f>CF241-CE241</f>
        <v>0</v>
      </c>
      <c r="CG290" s="3">
        <f>CG241-CF241</f>
        <v>0</v>
      </c>
      <c r="CH290" s="3">
        <f>CH241-CG241</f>
        <v>0</v>
      </c>
      <c r="CI290" s="3">
        <f>CI241-CH241</f>
        <v>0</v>
      </c>
      <c r="CJ290" s="3">
        <f>SUM(CF290:CI290)</f>
        <v>0</v>
      </c>
      <c r="CK290" s="3">
        <f>CK241-CJ241</f>
        <v>0</v>
      </c>
      <c r="CL290" s="3">
        <f>CL241-CK241</f>
        <v>0</v>
      </c>
      <c r="CM290" s="3">
        <f>CM241-CL241</f>
        <v>0</v>
      </c>
      <c r="CN290" s="3">
        <f>CN241-CM241</f>
        <v>0</v>
      </c>
      <c r="CO290" s="3">
        <f>SUM(CK290:CN290)</f>
        <v>0</v>
      </c>
      <c r="CP290" s="3">
        <f>CP241-CO241</f>
        <v>0</v>
      </c>
      <c r="CQ290" s="3">
        <f>CQ241-CP241</f>
        <v>0</v>
      </c>
      <c r="CR290" s="3">
        <f>CR241-CQ241</f>
        <v>0</v>
      </c>
      <c r="CS290" s="3">
        <f>CS241-CR241</f>
        <v>0</v>
      </c>
      <c r="CT290" s="3">
        <f>SUM(CP290:CS290)</f>
        <v>0</v>
      </c>
      <c r="CU290" s="3">
        <f>CU241-CT241</f>
        <v>0</v>
      </c>
      <c r="CV290" s="3">
        <f>CV241-CU241</f>
        <v>0</v>
      </c>
      <c r="CW290" s="3">
        <f>CW241-CV241</f>
        <v>0</v>
      </c>
      <c r="CX290" s="3">
        <f>CX241-CW241</f>
        <v>0</v>
      </c>
      <c r="CY290" s="3">
        <f>SUM(CU290:CX290)</f>
        <v>0</v>
      </c>
    </row>
    <row r="291">
      <c r="C291" s="26" t="inlineStr">
        <is>
          <t>Common stock and APIC</t>
        </is>
      </c>
      <c r="D291" s="3" t="n"/>
      <c r="E291" s="3">
        <f>E242-D242</f>
        <v>-385</v>
      </c>
      <c r="F291" s="3">
        <f>F242-E242</f>
        <v>294</v>
      </c>
      <c r="G291" s="3">
        <f>G242-F242</f>
        <v>98</v>
      </c>
      <c r="H291" s="3">
        <f>SUM(D291:G291)</f>
        <v>7</v>
      </c>
      <c r="I291" s="3">
        <f>I242-H242</f>
        <v>-35</v>
      </c>
      <c r="J291" s="3">
        <f>J242-I242</f>
        <v>81</v>
      </c>
      <c r="K291" s="3">
        <f>K242-J242</f>
        <v>204</v>
      </c>
      <c r="L291" s="3">
        <f>L242-K242</f>
        <v>-1247</v>
      </c>
      <c r="M291" s="3">
        <f>SUM(I291:L291)</f>
        <v>-997</v>
      </c>
      <c r="N291" s="3">
        <f>N242-M242</f>
        <v>-2005</v>
      </c>
      <c r="O291" s="3">
        <f>O242-N242</f>
        <v>-88</v>
      </c>
      <c r="P291" s="3">
        <f>P242-O242</f>
        <v>169</v>
      </c>
      <c r="Q291" s="3">
        <f>Q242-P242</f>
        <v>-40</v>
      </c>
      <c r="R291" s="3">
        <f>SUM(N291:Q291)</f>
        <v>-1964</v>
      </c>
      <c r="S291" s="3">
        <f>S242-R242</f>
        <v>-293</v>
      </c>
      <c r="T291" s="3">
        <f>T242-S242</f>
        <v>29</v>
      </c>
      <c r="U291" s="3">
        <f>U242-T242</f>
        <v>244</v>
      </c>
      <c r="V291" s="3">
        <f>V242-U242</f>
        <v>48978</v>
      </c>
      <c r="W291" s="3">
        <f>SUM(S291:V291)</f>
        <v>48958</v>
      </c>
      <c r="X291" s="3">
        <f>X242-W242</f>
        <v>-323</v>
      </c>
      <c r="Y291" s="3">
        <f>Y242-X242</f>
        <v>-2436</v>
      </c>
      <c r="Z291" s="3">
        <f>Z242-Y242</f>
        <v>153</v>
      </c>
      <c r="AA291" s="3">
        <f>AA242-Z242</f>
        <v>-618</v>
      </c>
      <c r="AB291" s="3">
        <f>SUM(X291:AA291)</f>
        <v>-3224</v>
      </c>
      <c r="AC291" s="3">
        <f>AC242-AB242</f>
        <v>-159</v>
      </c>
      <c r="AD291" s="3">
        <f>AD242-AC242</f>
        <v>2322</v>
      </c>
      <c r="AE291" s="3">
        <f>AE242-AD242</f>
        <v>2297</v>
      </c>
      <c r="AF291" s="3">
        <f>AF242-AE242</f>
        <v>1827</v>
      </c>
      <c r="AG291" s="3">
        <f>SUM(AC291:AF291)</f>
        <v>6287</v>
      </c>
      <c r="AH291" s="3">
        <f>AH242-AG242</f>
        <v>2177</v>
      </c>
      <c r="AI291" s="3">
        <f>AI242-AH242</f>
        <v>2018</v>
      </c>
      <c r="AJ291" s="3">
        <f>AJ242-AI242</f>
        <v>0</v>
      </c>
      <c r="AK291" s="3">
        <f>AK242-AJ242</f>
        <v>0</v>
      </c>
      <c r="AL291" s="3">
        <f>SUM(AH291:AK291)</f>
        <v>4195</v>
      </c>
      <c r="AM291" s="3">
        <f>AM242-AL242</f>
        <v>0</v>
      </c>
      <c r="AN291" s="3">
        <f>AN242-AM242</f>
        <v>0</v>
      </c>
      <c r="AO291" s="3">
        <f>AO242-AN242</f>
        <v>0</v>
      </c>
      <c r="AP291" s="3">
        <f>AP242-AO242</f>
        <v>0</v>
      </c>
      <c r="AQ291" s="3">
        <f>SUM(AM291:AP291)</f>
        <v>0</v>
      </c>
      <c r="AR291" s="3">
        <f>AR242-AQ242</f>
        <v>0</v>
      </c>
      <c r="AS291" s="3">
        <f>AS242-AR242</f>
        <v>0</v>
      </c>
      <c r="AT291" s="3">
        <f>AT242-AS242</f>
        <v>0</v>
      </c>
      <c r="AU291" s="3">
        <f>AU242-AT242</f>
        <v>0</v>
      </c>
      <c r="AV291" s="3">
        <f>SUM(AR291:AU291)</f>
        <v>0</v>
      </c>
      <c r="AW291" s="3">
        <f>AW242-AV242</f>
        <v>0</v>
      </c>
      <c r="AX291" s="3">
        <f>AX242-AW242</f>
        <v>0</v>
      </c>
      <c r="AY291" s="3">
        <f>AY242-AX242</f>
        <v>0</v>
      </c>
      <c r="AZ291" s="3">
        <f>AZ242-AY242</f>
        <v>0</v>
      </c>
      <c r="BA291" s="3">
        <f>SUM(AW291:AZ291)</f>
        <v>0</v>
      </c>
      <c r="BB291" s="3">
        <f>BB242-BA242</f>
        <v>0</v>
      </c>
      <c r="BC291" s="3">
        <f>BC242-BB242</f>
        <v>0</v>
      </c>
      <c r="BD291" s="3">
        <f>BD242-BC242</f>
        <v>0</v>
      </c>
      <c r="BE291" s="3">
        <f>BE242-BD242</f>
        <v>0</v>
      </c>
      <c r="BF291" s="3">
        <f>SUM(BB291:BE291)</f>
        <v>0</v>
      </c>
      <c r="BG291" s="3">
        <f>BG242-BF242</f>
        <v>0</v>
      </c>
      <c r="BH291" s="3">
        <f>BH242-BG242</f>
        <v>0</v>
      </c>
      <c r="BI291" s="3">
        <f>BI242-BH242</f>
        <v>0</v>
      </c>
      <c r="BJ291" s="3">
        <f>BJ242-BI242</f>
        <v>0</v>
      </c>
      <c r="BK291" s="3">
        <f>SUM(BG291:BJ291)</f>
        <v>0</v>
      </c>
      <c r="BL291" s="3">
        <f>BL242-BK242</f>
        <v>0</v>
      </c>
      <c r="BM291" s="3">
        <f>BM242-BL242</f>
        <v>0</v>
      </c>
      <c r="BN291" s="3">
        <f>BN242-BM242</f>
        <v>0</v>
      </c>
      <c r="BO291" s="3">
        <f>BO242-BN242</f>
        <v>0</v>
      </c>
      <c r="BP291" s="3">
        <f>SUM(BL291:BO291)</f>
        <v>0</v>
      </c>
      <c r="BQ291" s="3">
        <f>BQ242-BP242</f>
        <v>0</v>
      </c>
      <c r="BR291" s="3">
        <f>BR242-BQ242</f>
        <v>0</v>
      </c>
      <c r="BS291" s="3">
        <f>BS242-BR242</f>
        <v>0</v>
      </c>
      <c r="BT291" s="3">
        <f>BT242-BS242</f>
        <v>0</v>
      </c>
      <c r="BU291" s="3">
        <f>SUM(BQ291:BT291)</f>
        <v>0</v>
      </c>
      <c r="BV291" s="3">
        <f>BV242-BU242</f>
        <v>0</v>
      </c>
      <c r="BW291" s="3">
        <f>BW242-BV242</f>
        <v>0</v>
      </c>
      <c r="BX291" s="3">
        <f>BX242-BW242</f>
        <v>0</v>
      </c>
      <c r="BY291" s="3">
        <f>BY242-BX242</f>
        <v>0</v>
      </c>
      <c r="BZ291" s="3">
        <f>SUM(BV291:BY291)</f>
        <v>0</v>
      </c>
      <c r="CA291" s="3">
        <f>CA242-BZ242</f>
        <v>0</v>
      </c>
      <c r="CB291" s="3">
        <f>CB242-CA242</f>
        <v>0</v>
      </c>
      <c r="CC291" s="3">
        <f>CC242-CB242</f>
        <v>0</v>
      </c>
      <c r="CD291" s="3">
        <f>CD242-CC242</f>
        <v>0</v>
      </c>
      <c r="CE291" s="3">
        <f>SUM(CA291:CD291)</f>
        <v>0</v>
      </c>
      <c r="CF291" s="3">
        <f>CF242-CE242</f>
        <v>0</v>
      </c>
      <c r="CG291" s="3">
        <f>CG242-CF242</f>
        <v>0</v>
      </c>
      <c r="CH291" s="3">
        <f>CH242-CG242</f>
        <v>0</v>
      </c>
      <c r="CI291" s="3">
        <f>CI242-CH242</f>
        <v>0</v>
      </c>
      <c r="CJ291" s="3">
        <f>SUM(CF291:CI291)</f>
        <v>0</v>
      </c>
      <c r="CK291" s="3">
        <f>CK242-CJ242</f>
        <v>0</v>
      </c>
      <c r="CL291" s="3">
        <f>CL242-CK242</f>
        <v>0</v>
      </c>
      <c r="CM291" s="3">
        <f>CM242-CL242</f>
        <v>0</v>
      </c>
      <c r="CN291" s="3">
        <f>CN242-CM242</f>
        <v>0</v>
      </c>
      <c r="CO291" s="3">
        <f>SUM(CK291:CN291)</f>
        <v>0</v>
      </c>
      <c r="CP291" s="3">
        <f>CP242-CO242</f>
        <v>0</v>
      </c>
      <c r="CQ291" s="3">
        <f>CQ242-CP242</f>
        <v>0</v>
      </c>
      <c r="CR291" s="3">
        <f>CR242-CQ242</f>
        <v>0</v>
      </c>
      <c r="CS291" s="3">
        <f>CS242-CR242</f>
        <v>0</v>
      </c>
      <c r="CT291" s="3">
        <f>SUM(CP291:CS291)</f>
        <v>0</v>
      </c>
      <c r="CU291" s="3">
        <f>CU242-CT242</f>
        <v>0</v>
      </c>
      <c r="CV291" s="3">
        <f>CV242-CU242</f>
        <v>0</v>
      </c>
      <c r="CW291" s="3">
        <f>CW242-CV242</f>
        <v>0</v>
      </c>
      <c r="CX291" s="3">
        <f>CX242-CW242</f>
        <v>0</v>
      </c>
      <c r="CY291" s="3">
        <f>SUM(CU291:CX291)</f>
        <v>0</v>
      </c>
    </row>
    <row r="292">
      <c r="C292" s="26" t="inlineStr">
        <is>
          <t>Treasury stock repurchases</t>
        </is>
      </c>
      <c r="D292" s="3" t="n"/>
      <c r="E292" s="3">
        <f>E255-D255</f>
        <v>0</v>
      </c>
      <c r="F292" s="3">
        <f>F255-E255</f>
        <v>0</v>
      </c>
      <c r="G292" s="3">
        <f>G255-F255</f>
        <v>0</v>
      </c>
      <c r="H292" s="3">
        <f>SUM(D292:G292)</f>
        <v>0</v>
      </c>
      <c r="I292" s="3">
        <f>I255-H255</f>
        <v>0</v>
      </c>
      <c r="J292" s="3">
        <f>J255-I255</f>
        <v>0</v>
      </c>
      <c r="K292" s="3">
        <f>K255-J255</f>
        <v>0</v>
      </c>
      <c r="L292" s="3">
        <f>L255-K255</f>
        <v>0</v>
      </c>
      <c r="M292" s="3">
        <f>SUM(I292:L292)</f>
        <v>0</v>
      </c>
      <c r="N292" s="3">
        <f>N255-M255</f>
        <v>0</v>
      </c>
      <c r="O292" s="3">
        <f>O255-N255</f>
        <v>0</v>
      </c>
      <c r="P292" s="3">
        <f>P255-O255</f>
        <v>0</v>
      </c>
      <c r="Q292" s="3">
        <f>Q255-P255</f>
        <v>0</v>
      </c>
      <c r="R292" s="3">
        <f>SUM(N292:Q292)</f>
        <v>0</v>
      </c>
      <c r="S292" s="3">
        <f>S255-R255</f>
        <v>0</v>
      </c>
      <c r="T292" s="3">
        <f>T255-S255</f>
        <v>0</v>
      </c>
      <c r="U292" s="3">
        <f>U255-T255</f>
        <v>0</v>
      </c>
      <c r="V292" s="3">
        <f>V255-U255</f>
        <v>0</v>
      </c>
      <c r="W292" s="3">
        <f>SUM(S292:V292)</f>
        <v>0</v>
      </c>
      <c r="X292" s="3">
        <f>X255-W255</f>
        <v>0</v>
      </c>
      <c r="Y292" s="3">
        <f>Y255-X255</f>
        <v>0</v>
      </c>
      <c r="Z292" s="3">
        <f>Z255-Y255</f>
        <v>0</v>
      </c>
      <c r="AA292" s="3">
        <f>AA255-Z255</f>
        <v>0</v>
      </c>
      <c r="AB292" s="3">
        <f>SUM(X292:AA292)</f>
        <v>0</v>
      </c>
      <c r="AC292" s="3">
        <f>AC255-AB255</f>
        <v>0</v>
      </c>
      <c r="AD292" s="3">
        <f>AD255-AC255</f>
        <v>0</v>
      </c>
      <c r="AE292" s="3">
        <f>AE255-AD255</f>
        <v>0</v>
      </c>
      <c r="AF292" s="3">
        <f>AF255-AE255</f>
        <v>0</v>
      </c>
      <c r="AG292" s="3">
        <f>SUM(AC292:AF292)</f>
        <v>0</v>
      </c>
      <c r="AH292" s="3">
        <f>AH255-AG255</f>
        <v>0</v>
      </c>
      <c r="AI292" s="3">
        <f>AI255-AH255</f>
        <v>0</v>
      </c>
      <c r="AJ292" s="3">
        <f>AJ255-AI255</f>
        <v>0</v>
      </c>
      <c r="AK292" s="3">
        <f>AK255-AJ255</f>
        <v>0</v>
      </c>
      <c r="AL292" s="3">
        <f>SUM(AH292:AK292)</f>
        <v>0</v>
      </c>
      <c r="AM292" s="3">
        <f>AM255-AL255</f>
        <v>0</v>
      </c>
      <c r="AN292" s="3">
        <f>AN255-AM255</f>
        <v>0</v>
      </c>
      <c r="AO292" s="3">
        <f>AO255-AN255</f>
        <v>0</v>
      </c>
      <c r="AP292" s="3">
        <f>AP255-AO255</f>
        <v>0</v>
      </c>
      <c r="AQ292" s="3">
        <f>SUM(AM292:AP292)</f>
        <v>0</v>
      </c>
      <c r="AR292" s="3">
        <f>AR255-AQ255</f>
        <v>0</v>
      </c>
      <c r="AS292" s="3">
        <f>AS255-AR255</f>
        <v>0</v>
      </c>
      <c r="AT292" s="3">
        <f>AT255-AS255</f>
        <v>0</v>
      </c>
      <c r="AU292" s="3">
        <f>AU255-AT255</f>
        <v>0</v>
      </c>
      <c r="AV292" s="3">
        <f>SUM(AR292:AU292)</f>
        <v>0</v>
      </c>
      <c r="AW292" s="3">
        <f>AW255-AV255</f>
        <v>0</v>
      </c>
      <c r="AX292" s="3">
        <f>AX255-AW255</f>
        <v>0</v>
      </c>
      <c r="AY292" s="3">
        <f>AY255-AX255</f>
        <v>0</v>
      </c>
      <c r="AZ292" s="3">
        <f>AZ255-AY255</f>
        <v>0</v>
      </c>
      <c r="BA292" s="3">
        <f>SUM(AW292:AZ292)</f>
        <v>0</v>
      </c>
      <c r="BB292" s="3">
        <f>BB255-BA255</f>
        <v>0</v>
      </c>
      <c r="BC292" s="3">
        <f>BC255-BB255</f>
        <v>0</v>
      </c>
      <c r="BD292" s="3">
        <f>BD255-BC255</f>
        <v>0</v>
      </c>
      <c r="BE292" s="3">
        <f>BE255-BD255</f>
        <v>0</v>
      </c>
      <c r="BF292" s="3">
        <f>SUM(BB292:BE292)</f>
        <v>0</v>
      </c>
      <c r="BG292" s="3">
        <f>BG255-BF255</f>
        <v>0</v>
      </c>
      <c r="BH292" s="3">
        <f>BH255-BG255</f>
        <v>0</v>
      </c>
      <c r="BI292" s="3">
        <f>BI255-BH255</f>
        <v>0</v>
      </c>
      <c r="BJ292" s="3">
        <f>BJ255-BI255</f>
        <v>0</v>
      </c>
      <c r="BK292" s="3">
        <f>SUM(BG292:BJ292)</f>
        <v>0</v>
      </c>
      <c r="BL292" s="3">
        <f>BL255-BK255</f>
        <v>0</v>
      </c>
      <c r="BM292" s="3">
        <f>BM255-BL255</f>
        <v>0</v>
      </c>
      <c r="BN292" s="3">
        <f>BN255-BM255</f>
        <v>0</v>
      </c>
      <c r="BO292" s="3">
        <f>BO255-BN255</f>
        <v>0</v>
      </c>
      <c r="BP292" s="3">
        <f>SUM(BL292:BO292)</f>
        <v>0</v>
      </c>
      <c r="BQ292" s="3">
        <f>BQ255-BP255</f>
        <v>0</v>
      </c>
      <c r="BR292" s="3">
        <f>BR255-BQ255</f>
        <v>0</v>
      </c>
      <c r="BS292" s="3">
        <f>BS255-BR255</f>
        <v>0</v>
      </c>
      <c r="BT292" s="3">
        <f>BT255-BS255</f>
        <v>0</v>
      </c>
      <c r="BU292" s="3">
        <f>SUM(BQ292:BT292)</f>
        <v>0</v>
      </c>
      <c r="BV292" s="3">
        <f>BV255-BU255</f>
        <v>0</v>
      </c>
      <c r="BW292" s="3">
        <f>BW255-BV255</f>
        <v>0</v>
      </c>
      <c r="BX292" s="3">
        <f>BX255-BW255</f>
        <v>0</v>
      </c>
      <c r="BY292" s="3">
        <f>BY255-BX255</f>
        <v>0</v>
      </c>
      <c r="BZ292" s="3">
        <f>SUM(BV292:BY292)</f>
        <v>0</v>
      </c>
      <c r="CA292" s="3">
        <f>CA255-BZ255</f>
        <v>0</v>
      </c>
      <c r="CB292" s="3">
        <f>CB255-CA255</f>
        <v>0</v>
      </c>
      <c r="CC292" s="3">
        <f>CC255-CB255</f>
        <v>0</v>
      </c>
      <c r="CD292" s="3">
        <f>CD255-CC255</f>
        <v>0</v>
      </c>
      <c r="CE292" s="3">
        <f>SUM(CA292:CD292)</f>
        <v>0</v>
      </c>
      <c r="CF292" s="3">
        <f>CF255-CE255</f>
        <v>0</v>
      </c>
      <c r="CG292" s="3">
        <f>CG255-CF255</f>
        <v>0</v>
      </c>
      <c r="CH292" s="3">
        <f>CH255-CG255</f>
        <v>0</v>
      </c>
      <c r="CI292" s="3">
        <f>CI255-CH255</f>
        <v>0</v>
      </c>
      <c r="CJ292" s="3">
        <f>SUM(CF292:CI292)</f>
        <v>0</v>
      </c>
      <c r="CK292" s="3">
        <f>CK255-CJ255</f>
        <v>0</v>
      </c>
      <c r="CL292" s="3">
        <f>CL255-CK255</f>
        <v>0</v>
      </c>
      <c r="CM292" s="3">
        <f>CM255-CL255</f>
        <v>0</v>
      </c>
      <c r="CN292" s="3">
        <f>CN255-CM255</f>
        <v>0</v>
      </c>
      <c r="CO292" s="3">
        <f>SUM(CK292:CN292)</f>
        <v>0</v>
      </c>
      <c r="CP292" s="3">
        <f>CP255-CO255</f>
        <v>0</v>
      </c>
      <c r="CQ292" s="3">
        <f>CQ255-CP255</f>
        <v>0</v>
      </c>
      <c r="CR292" s="3">
        <f>CR255-CQ255</f>
        <v>0</v>
      </c>
      <c r="CS292" s="3">
        <f>CS255-CR255</f>
        <v>0</v>
      </c>
      <c r="CT292" s="3">
        <f>SUM(CP292:CS292)</f>
        <v>0</v>
      </c>
      <c r="CU292" s="3">
        <f>CU255-CT255</f>
        <v>0</v>
      </c>
      <c r="CV292" s="3">
        <f>CV255-CU255</f>
        <v>0</v>
      </c>
      <c r="CW292" s="3">
        <f>CW255-CV255</f>
        <v>0</v>
      </c>
      <c r="CX292" s="3">
        <f>CX255-CW255</f>
        <v>0</v>
      </c>
      <c r="CY292" s="3">
        <f>SUM(CU292:CX292)</f>
        <v>0</v>
      </c>
    </row>
    <row r="293">
      <c r="C293" s="26" t="inlineStr">
        <is>
          <t>Comprehensive accumulated loss</t>
        </is>
      </c>
      <c r="D293" s="3" t="n"/>
      <c r="E293" s="3">
        <f>E256-D256</f>
        <v>0</v>
      </c>
      <c r="F293" s="3">
        <f>F256-E256</f>
        <v>23</v>
      </c>
      <c r="G293" s="3">
        <f>G256-F256</f>
        <v>1</v>
      </c>
      <c r="H293" s="3">
        <f>SUM(D293:G293)</f>
        <v>24</v>
      </c>
      <c r="I293" s="3">
        <f>I256-H256</f>
        <v>1</v>
      </c>
      <c r="J293" s="3">
        <f>J256-I256</f>
        <v>0</v>
      </c>
      <c r="K293" s="3">
        <f>K256-J256</f>
        <v>-10</v>
      </c>
      <c r="L293" s="3">
        <f>L256-K256</f>
        <v>1</v>
      </c>
      <c r="M293" s="3">
        <f>SUM(I293:L293)</f>
        <v>-8</v>
      </c>
      <c r="N293" s="3">
        <f>N256-M256</f>
        <v>0</v>
      </c>
      <c r="O293" s="3">
        <f>O256-N256</f>
        <v>1</v>
      </c>
      <c r="P293" s="3">
        <f>P256-O256</f>
        <v>60</v>
      </c>
      <c r="Q293" s="3">
        <f>Q256-P256</f>
        <v>-126</v>
      </c>
      <c r="R293" s="3">
        <f>SUM(N293:Q293)</f>
        <v>-65</v>
      </c>
      <c r="S293" s="3">
        <f>S256-R256</f>
        <v>-2</v>
      </c>
      <c r="T293" s="3">
        <f>T256-S256</f>
        <v>228</v>
      </c>
      <c r="U293" s="3">
        <f>U256-T256</f>
        <v>161</v>
      </c>
      <c r="V293" s="3">
        <f>V256-U256</f>
        <v>0</v>
      </c>
      <c r="W293" s="3">
        <f>SUM(S293:V293)</f>
        <v>387</v>
      </c>
      <c r="X293" s="3">
        <f>X256-W256</f>
        <v>0</v>
      </c>
      <c r="Y293" s="3">
        <f>Y256-X256</f>
        <v>1</v>
      </c>
      <c r="Z293" s="3">
        <f>Z256-Y256</f>
        <v>-1</v>
      </c>
      <c r="AA293" s="3">
        <f>AA256-Z256</f>
        <v>0</v>
      </c>
      <c r="AB293" s="3">
        <f>SUM(X293:AA293)</f>
        <v>0</v>
      </c>
      <c r="AC293" s="3">
        <f>AC256-AB256</f>
        <v>-1</v>
      </c>
      <c r="AD293" s="3">
        <f>AD256-AC256</f>
        <v>15</v>
      </c>
      <c r="AE293" s="3">
        <f>AE256-AD256</f>
        <v>-3</v>
      </c>
      <c r="AF293" s="3">
        <f>AF256-AE256</f>
        <v>-6</v>
      </c>
      <c r="AG293" s="3">
        <f>SUM(AC293:AF293)</f>
        <v>5</v>
      </c>
      <c r="AH293" s="3">
        <f>AH256-AG256</f>
        <v>-4</v>
      </c>
      <c r="AI293" s="3">
        <f>AI256-AH256</f>
        <v>-4</v>
      </c>
      <c r="AJ293" s="3">
        <f>AJ256-AI256</f>
        <v>0</v>
      </c>
      <c r="AK293" s="3">
        <f>AK256-AJ256</f>
        <v>0</v>
      </c>
      <c r="AL293" s="3">
        <f>SUM(AH293:AK293)</f>
        <v>-8</v>
      </c>
      <c r="AM293" s="3">
        <f>AM256-AL256</f>
        <v>0</v>
      </c>
      <c r="AN293" s="3">
        <f>AN256-AM256</f>
        <v>0</v>
      </c>
      <c r="AO293" s="3">
        <f>AO256-AN256</f>
        <v>0</v>
      </c>
      <c r="AP293" s="3">
        <f>AP256-AO256</f>
        <v>0</v>
      </c>
      <c r="AQ293" s="3">
        <f>SUM(AM293:AP293)</f>
        <v>0</v>
      </c>
      <c r="AR293" s="3">
        <f>AR256-AQ256</f>
        <v>0</v>
      </c>
      <c r="AS293" s="3">
        <f>AS256-AR256</f>
        <v>0</v>
      </c>
      <c r="AT293" s="3">
        <f>AT256-AS256</f>
        <v>0</v>
      </c>
      <c r="AU293" s="3">
        <f>AU256-AT256</f>
        <v>0</v>
      </c>
      <c r="AV293" s="3">
        <f>SUM(AR293:AU293)</f>
        <v>0</v>
      </c>
      <c r="AW293" s="3">
        <f>AW256-AV256</f>
        <v>0</v>
      </c>
      <c r="AX293" s="3">
        <f>AX256-AW256</f>
        <v>0</v>
      </c>
      <c r="AY293" s="3">
        <f>AY256-AX256</f>
        <v>0</v>
      </c>
      <c r="AZ293" s="3">
        <f>AZ256-AY256</f>
        <v>0</v>
      </c>
      <c r="BA293" s="3">
        <f>SUM(AW293:AZ293)</f>
        <v>0</v>
      </c>
      <c r="BB293" s="3">
        <f>BB256-BA256</f>
        <v>0</v>
      </c>
      <c r="BC293" s="3">
        <f>BC256-BB256</f>
        <v>0</v>
      </c>
      <c r="BD293" s="3">
        <f>BD256-BC256</f>
        <v>0</v>
      </c>
      <c r="BE293" s="3">
        <f>BE256-BD256</f>
        <v>0</v>
      </c>
      <c r="BF293" s="3">
        <f>SUM(BB293:BE293)</f>
        <v>0</v>
      </c>
      <c r="BG293" s="3">
        <f>BG256-BF256</f>
        <v>0</v>
      </c>
      <c r="BH293" s="3">
        <f>BH256-BG256</f>
        <v>0</v>
      </c>
      <c r="BI293" s="3">
        <f>BI256-BH256</f>
        <v>0</v>
      </c>
      <c r="BJ293" s="3">
        <f>BJ256-BI256</f>
        <v>0</v>
      </c>
      <c r="BK293" s="3">
        <f>SUM(BG293:BJ293)</f>
        <v>0</v>
      </c>
      <c r="BL293" s="3">
        <f>BL256-BK256</f>
        <v>0</v>
      </c>
      <c r="BM293" s="3">
        <f>BM256-BL256</f>
        <v>0</v>
      </c>
      <c r="BN293" s="3">
        <f>BN256-BM256</f>
        <v>0</v>
      </c>
      <c r="BO293" s="3">
        <f>BO256-BN256</f>
        <v>0</v>
      </c>
      <c r="BP293" s="3">
        <f>SUM(BL293:BO293)</f>
        <v>0</v>
      </c>
      <c r="BQ293" s="3">
        <f>BQ256-BP256</f>
        <v>0</v>
      </c>
      <c r="BR293" s="3">
        <f>BR256-BQ256</f>
        <v>0</v>
      </c>
      <c r="BS293" s="3">
        <f>BS256-BR256</f>
        <v>0</v>
      </c>
      <c r="BT293" s="3">
        <f>BT256-BS256</f>
        <v>0</v>
      </c>
      <c r="BU293" s="3">
        <f>SUM(BQ293:BT293)</f>
        <v>0</v>
      </c>
      <c r="BV293" s="3">
        <f>BV256-BU256</f>
        <v>0</v>
      </c>
      <c r="BW293" s="3">
        <f>BW256-BV256</f>
        <v>0</v>
      </c>
      <c r="BX293" s="3">
        <f>BX256-BW256</f>
        <v>0</v>
      </c>
      <c r="BY293" s="3">
        <f>BY256-BX256</f>
        <v>0</v>
      </c>
      <c r="BZ293" s="3">
        <f>SUM(BV293:BY293)</f>
        <v>0</v>
      </c>
      <c r="CA293" s="3">
        <f>CA256-BZ256</f>
        <v>0</v>
      </c>
      <c r="CB293" s="3">
        <f>CB256-CA256</f>
        <v>0</v>
      </c>
      <c r="CC293" s="3">
        <f>CC256-CB256</f>
        <v>0</v>
      </c>
      <c r="CD293" s="3">
        <f>CD256-CC256</f>
        <v>0</v>
      </c>
      <c r="CE293" s="3">
        <f>SUM(CA293:CD293)</f>
        <v>0</v>
      </c>
      <c r="CF293" s="3">
        <f>CF256-CE256</f>
        <v>0</v>
      </c>
      <c r="CG293" s="3">
        <f>CG256-CF256</f>
        <v>0</v>
      </c>
      <c r="CH293" s="3">
        <f>CH256-CG256</f>
        <v>0</v>
      </c>
      <c r="CI293" s="3">
        <f>CI256-CH256</f>
        <v>0</v>
      </c>
      <c r="CJ293" s="3">
        <f>SUM(CF293:CI293)</f>
        <v>0</v>
      </c>
      <c r="CK293" s="3">
        <f>CK256-CJ256</f>
        <v>0</v>
      </c>
      <c r="CL293" s="3">
        <f>CL256-CK256</f>
        <v>0</v>
      </c>
      <c r="CM293" s="3">
        <f>CM256-CL256</f>
        <v>0</v>
      </c>
      <c r="CN293" s="3">
        <f>CN256-CM256</f>
        <v>0</v>
      </c>
      <c r="CO293" s="3">
        <f>SUM(CK293:CN293)</f>
        <v>0</v>
      </c>
      <c r="CP293" s="3">
        <f>CP256-CO256</f>
        <v>0</v>
      </c>
      <c r="CQ293" s="3">
        <f>CQ256-CP256</f>
        <v>0</v>
      </c>
      <c r="CR293" s="3">
        <f>CR256-CQ256</f>
        <v>0</v>
      </c>
      <c r="CS293" s="3">
        <f>CS256-CR256</f>
        <v>0</v>
      </c>
      <c r="CT293" s="3">
        <f>SUM(CP293:CS293)</f>
        <v>0</v>
      </c>
      <c r="CU293" s="3">
        <f>CU256-CT256</f>
        <v>0</v>
      </c>
      <c r="CV293" s="3">
        <f>CV256-CU256</f>
        <v>0</v>
      </c>
      <c r="CW293" s="3">
        <f>CW256-CV256</f>
        <v>0</v>
      </c>
      <c r="CX293" s="3">
        <f>CX256-CW256</f>
        <v>0</v>
      </c>
      <c r="CY293" s="3">
        <f>SUM(CU293:CX293)</f>
        <v>0</v>
      </c>
    </row>
    <row r="294">
      <c r="C294" s="26" t="inlineStr">
        <is>
          <t>Other equity account</t>
        </is>
      </c>
      <c r="D294" s="3" t="n"/>
      <c r="E294" s="3">
        <f>E257-D257</f>
        <v>0</v>
      </c>
      <c r="F294" s="3">
        <f>F257-E257</f>
        <v>-1</v>
      </c>
      <c r="G294" s="3">
        <f>G257-F257</f>
        <v>-1</v>
      </c>
      <c r="H294" s="3">
        <f>SUM(D294:G294)</f>
        <v>-2</v>
      </c>
      <c r="I294" s="3">
        <f>I257-H257</f>
        <v>1</v>
      </c>
      <c r="J294" s="3">
        <f>J257-I257</f>
        <v>0</v>
      </c>
      <c r="K294" s="3">
        <f>K257-J257</f>
        <v>0</v>
      </c>
      <c r="L294" s="3">
        <f>L257-K257</f>
        <v>-1</v>
      </c>
      <c r="M294" s="3">
        <f>SUM(I294:L294)</f>
        <v>0</v>
      </c>
      <c r="N294" s="3">
        <f>N257-M257</f>
        <v>1</v>
      </c>
      <c r="O294" s="3">
        <f>O257-N257</f>
        <v>0</v>
      </c>
      <c r="P294" s="3">
        <f>P257-O257</f>
        <v>-27</v>
      </c>
      <c r="Q294" s="3">
        <f>Q257-P257</f>
        <v>0</v>
      </c>
      <c r="R294" s="3">
        <f>SUM(N294:Q294)</f>
        <v>-26</v>
      </c>
      <c r="S294" s="3">
        <f>S257-R257</f>
        <v>0</v>
      </c>
      <c r="T294" s="3">
        <f>T257-S257</f>
        <v>0</v>
      </c>
      <c r="U294" s="3">
        <f>U257-T257</f>
        <v>0</v>
      </c>
      <c r="V294" s="3">
        <f>V257-U257</f>
        <v>0</v>
      </c>
      <c r="W294" s="3">
        <f>SUM(S294:V294)</f>
        <v>0</v>
      </c>
      <c r="X294" s="3">
        <f>X257-W257</f>
        <v>0</v>
      </c>
      <c r="Y294" s="3">
        <f>Y257-X257</f>
        <v>0</v>
      </c>
      <c r="Z294" s="3">
        <f>Z257-Y257</f>
        <v>0</v>
      </c>
      <c r="AA294" s="3">
        <f>AA257-Z257</f>
        <v>0</v>
      </c>
      <c r="AB294" s="3">
        <f>SUM(X294:AA294)</f>
        <v>0</v>
      </c>
      <c r="AC294" s="3">
        <f>AC257-AB257</f>
        <v>0</v>
      </c>
      <c r="AD294" s="3">
        <f>AD257-AC257</f>
        <v>0</v>
      </c>
      <c r="AE294" s="3">
        <f>AE257-AD257</f>
        <v>0</v>
      </c>
      <c r="AF294" s="3">
        <f>AF257-AE257</f>
        <v>0</v>
      </c>
      <c r="AG294" s="3">
        <f>SUM(AC294:AF294)</f>
        <v>0</v>
      </c>
      <c r="AH294" s="3">
        <f>AH257-AG257</f>
        <v>0</v>
      </c>
      <c r="AI294" s="3">
        <f>AI257-AH257</f>
        <v>0</v>
      </c>
      <c r="AJ294" s="3">
        <f>AJ257-AI257</f>
        <v>0</v>
      </c>
      <c r="AK294" s="3">
        <f>AK257-AJ257</f>
        <v>0</v>
      </c>
      <c r="AL294" s="3">
        <f>SUM(AH294:AK294)</f>
        <v>0</v>
      </c>
      <c r="AM294" s="3">
        <f>AM257-AL257</f>
        <v>0</v>
      </c>
      <c r="AN294" s="3">
        <f>AN257-AM257</f>
        <v>0</v>
      </c>
      <c r="AO294" s="3">
        <f>AO257-AN257</f>
        <v>0</v>
      </c>
      <c r="AP294" s="3">
        <f>AP257-AO257</f>
        <v>0</v>
      </c>
      <c r="AQ294" s="3">
        <f>SUM(AM294:AP294)</f>
        <v>0</v>
      </c>
      <c r="AR294" s="3">
        <f>AR257-AQ257</f>
        <v>0</v>
      </c>
      <c r="AS294" s="3">
        <f>AS257-AR257</f>
        <v>0</v>
      </c>
      <c r="AT294" s="3">
        <f>AT257-AS257</f>
        <v>0</v>
      </c>
      <c r="AU294" s="3">
        <f>AU257-AT257</f>
        <v>0</v>
      </c>
      <c r="AV294" s="3">
        <f>SUM(AR294:AU294)</f>
        <v>0</v>
      </c>
      <c r="AW294" s="3">
        <f>AW257-AV257</f>
        <v>0</v>
      </c>
      <c r="AX294" s="3">
        <f>AX257-AW257</f>
        <v>0</v>
      </c>
      <c r="AY294" s="3">
        <f>AY257-AX257</f>
        <v>0</v>
      </c>
      <c r="AZ294" s="3">
        <f>AZ257-AY257</f>
        <v>0</v>
      </c>
      <c r="BA294" s="3">
        <f>SUM(AW294:AZ294)</f>
        <v>0</v>
      </c>
      <c r="BB294" s="3">
        <f>BB257-BA257</f>
        <v>0</v>
      </c>
      <c r="BC294" s="3">
        <f>BC257-BB257</f>
        <v>0</v>
      </c>
      <c r="BD294" s="3">
        <f>BD257-BC257</f>
        <v>0</v>
      </c>
      <c r="BE294" s="3">
        <f>BE257-BD257</f>
        <v>0</v>
      </c>
      <c r="BF294" s="3">
        <f>SUM(BB294:BE294)</f>
        <v>0</v>
      </c>
      <c r="BG294" s="3">
        <f>BG257-BF257</f>
        <v>0</v>
      </c>
      <c r="BH294" s="3">
        <f>BH257-BG257</f>
        <v>0</v>
      </c>
      <c r="BI294" s="3">
        <f>BI257-BH257</f>
        <v>0</v>
      </c>
      <c r="BJ294" s="3">
        <f>BJ257-BI257</f>
        <v>0</v>
      </c>
      <c r="BK294" s="3">
        <f>SUM(BG294:BJ294)</f>
        <v>0</v>
      </c>
      <c r="BL294" s="3">
        <f>BL257-BK257</f>
        <v>0</v>
      </c>
      <c r="BM294" s="3">
        <f>BM257-BL257</f>
        <v>0</v>
      </c>
      <c r="BN294" s="3">
        <f>BN257-BM257</f>
        <v>0</v>
      </c>
      <c r="BO294" s="3">
        <f>BO257-BN257</f>
        <v>0</v>
      </c>
      <c r="BP294" s="3">
        <f>SUM(BL294:BO294)</f>
        <v>0</v>
      </c>
      <c r="BQ294" s="3">
        <f>BQ257-BP257</f>
        <v>0</v>
      </c>
      <c r="BR294" s="3">
        <f>BR257-BQ257</f>
        <v>0</v>
      </c>
      <c r="BS294" s="3">
        <f>BS257-BR257</f>
        <v>0</v>
      </c>
      <c r="BT294" s="3">
        <f>BT257-BS257</f>
        <v>0</v>
      </c>
      <c r="BU294" s="3">
        <f>SUM(BQ294:BT294)</f>
        <v>0</v>
      </c>
      <c r="BV294" s="3">
        <f>BV257-BU257</f>
        <v>0</v>
      </c>
      <c r="BW294" s="3">
        <f>BW257-BV257</f>
        <v>0</v>
      </c>
      <c r="BX294" s="3">
        <f>BX257-BW257</f>
        <v>0</v>
      </c>
      <c r="BY294" s="3">
        <f>BY257-BX257</f>
        <v>0</v>
      </c>
      <c r="BZ294" s="3">
        <f>SUM(BV294:BY294)</f>
        <v>0</v>
      </c>
      <c r="CA294" s="3">
        <f>CA257-BZ257</f>
        <v>0</v>
      </c>
      <c r="CB294" s="3">
        <f>CB257-CA257</f>
        <v>0</v>
      </c>
      <c r="CC294" s="3">
        <f>CC257-CB257</f>
        <v>0</v>
      </c>
      <c r="CD294" s="3">
        <f>CD257-CC257</f>
        <v>0</v>
      </c>
      <c r="CE294" s="3">
        <f>SUM(CA294:CD294)</f>
        <v>0</v>
      </c>
      <c r="CF294" s="3">
        <f>CF257-CE257</f>
        <v>0</v>
      </c>
      <c r="CG294" s="3">
        <f>CG257-CF257</f>
        <v>0</v>
      </c>
      <c r="CH294" s="3">
        <f>CH257-CG257</f>
        <v>0</v>
      </c>
      <c r="CI294" s="3">
        <f>CI257-CH257</f>
        <v>0</v>
      </c>
      <c r="CJ294" s="3">
        <f>SUM(CF294:CI294)</f>
        <v>0</v>
      </c>
      <c r="CK294" s="3">
        <f>CK257-CJ257</f>
        <v>0</v>
      </c>
      <c r="CL294" s="3">
        <f>CL257-CK257</f>
        <v>0</v>
      </c>
      <c r="CM294" s="3">
        <f>CM257-CL257</f>
        <v>0</v>
      </c>
      <c r="CN294" s="3">
        <f>CN257-CM257</f>
        <v>0</v>
      </c>
      <c r="CO294" s="3">
        <f>SUM(CK294:CN294)</f>
        <v>0</v>
      </c>
      <c r="CP294" s="3">
        <f>CP257-CO257</f>
        <v>0</v>
      </c>
      <c r="CQ294" s="3">
        <f>CQ257-CP257</f>
        <v>0</v>
      </c>
      <c r="CR294" s="3">
        <f>CR257-CQ257</f>
        <v>0</v>
      </c>
      <c r="CS294" s="3">
        <f>CS257-CR257</f>
        <v>0</v>
      </c>
      <c r="CT294" s="3">
        <f>SUM(CP294:CS294)</f>
        <v>0</v>
      </c>
      <c r="CU294" s="3">
        <f>CU257-CT257</f>
        <v>0</v>
      </c>
      <c r="CV294" s="3">
        <f>CV257-CU257</f>
        <v>0</v>
      </c>
      <c r="CW294" s="3">
        <f>CW257-CV257</f>
        <v>0</v>
      </c>
      <c r="CX294" s="3">
        <f>CX257-CW257</f>
        <v>0</v>
      </c>
      <c r="CY294" s="3">
        <f>SUM(CU294:CX294)</f>
        <v>0</v>
      </c>
    </row>
    <row r="295">
      <c r="C295" s="29" t="inlineStr">
        <is>
          <t>Common and preferred dividends</t>
        </is>
      </c>
      <c r="D295" s="3" t="n"/>
      <c r="E295" s="3">
        <f>(E258-D258)-E265</f>
        <v>-614</v>
      </c>
      <c r="F295" s="3">
        <f>(F258-E258)-F265</f>
        <v>-1250</v>
      </c>
      <c r="G295" s="3">
        <f>(G258-F258)-G265</f>
        <v>-1304</v>
      </c>
      <c r="H295" s="3">
        <f>SUM(D295:G295)</f>
        <v>-3168</v>
      </c>
      <c r="I295" s="3">
        <f>(I258-H258)-I265</f>
        <v>-1417</v>
      </c>
      <c r="J295" s="3">
        <f>(J258-I258)-J265</f>
        <v>-1482</v>
      </c>
      <c r="K295" s="3">
        <f>(K258-J258)-K265</f>
        <v>-1486</v>
      </c>
      <c r="L295" s="3">
        <f>(L258-K258)-L265</f>
        <v>-3146</v>
      </c>
      <c r="M295" s="3">
        <f>SUM(I295:L295)</f>
        <v>-7531</v>
      </c>
      <c r="N295" s="3">
        <f>(N258-M258)-N265</f>
        <v>-2515</v>
      </c>
      <c r="O295" s="3">
        <f>(O258-N258)-O265</f>
        <v>-2999</v>
      </c>
      <c r="P295" s="3">
        <f>(P258-O258)-P265</f>
        <v>-1979</v>
      </c>
      <c r="Q295" s="3">
        <f>(Q258-P258)-Q265</f>
        <v>-3007</v>
      </c>
      <c r="R295" s="3">
        <f>SUM(N295:Q295)</f>
        <v>-10500</v>
      </c>
      <c r="S295" s="3">
        <f>(S258-R258)-S265</f>
        <v>-4489</v>
      </c>
      <c r="T295" s="3">
        <f>(T258-S258)-T265</f>
        <v>-3488</v>
      </c>
      <c r="U295" s="3">
        <f>(U258-T258)-U265</f>
        <v>-2020</v>
      </c>
      <c r="V295" s="3">
        <f>(V258-U258)-V265</f>
        <v>-4007</v>
      </c>
      <c r="W295" s="3">
        <f>SUM(S295:V295)</f>
        <v>-14004</v>
      </c>
      <c r="X295" s="3">
        <f>(X258-W258)-X265</f>
        <v>-2121</v>
      </c>
      <c r="Y295" s="3">
        <f>(Y258-X258)-Y265</f>
        <v>0</v>
      </c>
      <c r="Z295" s="3">
        <f>(Z258-Y258)-Z265</f>
        <v>-2449</v>
      </c>
      <c r="AA295" s="3">
        <f>(AA258-Z258)-AA265</f>
        <v>-2774</v>
      </c>
      <c r="AB295" s="3">
        <f>SUM(X295:AA295)</f>
        <v>-7344</v>
      </c>
      <c r="AC295" s="3">
        <f>(AC258-AB258)-AC265</f>
        <v>-5008</v>
      </c>
      <c r="AD295" s="3">
        <f>(AD258-AC258)-AD265</f>
        <v>-2786</v>
      </c>
      <c r="AE295" s="3">
        <f>(AE258-AD258)-AE265</f>
        <v>-2797</v>
      </c>
      <c r="AF295" s="3">
        <f>(AF258-AE258)-AF265</f>
        <v>-10590</v>
      </c>
      <c r="AG295" s="3">
        <f>SUM(AC295:AF295)</f>
        <v>-21181</v>
      </c>
      <c r="AH295" s="3">
        <f>(AH258-AG258)-AH265</f>
        <v>-3664</v>
      </c>
      <c r="AI295" s="3">
        <f>(AI258-AH258)-AI265</f>
        <v>-3103</v>
      </c>
      <c r="AJ295" s="3">
        <f>(AJ258-AI258)-AJ265</f>
        <v>0</v>
      </c>
      <c r="AK295" s="3">
        <f>(AK258-AJ258)-AK265</f>
        <v>0</v>
      </c>
      <c r="AL295" s="3">
        <f>SUM(AH295:AK295)</f>
        <v>-6767</v>
      </c>
      <c r="AM295" s="3">
        <f>(AM258-AL258)-AM265</f>
        <v>0</v>
      </c>
      <c r="AN295" s="3">
        <f>(AN258-AM258)-AN265</f>
        <v>0</v>
      </c>
      <c r="AO295" s="3">
        <f>(AO258-AN258)-AO265</f>
        <v>0</v>
      </c>
      <c r="AP295" s="3">
        <f>(AP258-AO258)-AP265</f>
        <v>0</v>
      </c>
      <c r="AQ295" s="3">
        <f>SUM(AM295:AP295)</f>
        <v>0</v>
      </c>
      <c r="AR295" s="3">
        <f>(AR258-AQ258)-AR265</f>
        <v>0</v>
      </c>
      <c r="AS295" s="3">
        <f>(AS258-AR258)-AS265</f>
        <v>0</v>
      </c>
      <c r="AT295" s="3">
        <f>(AT258-AS258)-AT265</f>
        <v>0</v>
      </c>
      <c r="AU295" s="3">
        <f>(AU258-AT258)-AU265</f>
        <v>0</v>
      </c>
      <c r="AV295" s="3">
        <f>SUM(AR295:AU295)</f>
        <v>0</v>
      </c>
      <c r="AW295" s="3">
        <f>(AW258-AV258)-AW265</f>
        <v>0</v>
      </c>
      <c r="AX295" s="3">
        <f>(AX258-AW258)-AX265</f>
        <v>0</v>
      </c>
      <c r="AY295" s="3">
        <f>(AY258-AX258)-AY265</f>
        <v>0</v>
      </c>
      <c r="AZ295" s="3">
        <f>(AZ258-AY258)-AZ265</f>
        <v>0</v>
      </c>
      <c r="BA295" s="3">
        <f>SUM(AW295:AZ295)</f>
        <v>0</v>
      </c>
      <c r="BB295" s="3">
        <f>(BB258-BA258)-BB265</f>
        <v>0</v>
      </c>
      <c r="BC295" s="3">
        <f>(BC258-BB258)-BC265</f>
        <v>0</v>
      </c>
      <c r="BD295" s="3">
        <f>(BD258-BC258)-BD265</f>
        <v>0</v>
      </c>
      <c r="BE295" s="3">
        <f>(BE258-BD258)-BE265</f>
        <v>0</v>
      </c>
      <c r="BF295" s="3">
        <f>SUM(BB295:BE295)</f>
        <v>0</v>
      </c>
      <c r="BG295" s="3">
        <f>(BG258-BF258)-BG265</f>
        <v>0</v>
      </c>
      <c r="BH295" s="3">
        <f>(BH258-BG258)-BH265</f>
        <v>0</v>
      </c>
      <c r="BI295" s="3">
        <f>(BI258-BH258)-BI265</f>
        <v>0</v>
      </c>
      <c r="BJ295" s="3">
        <f>(BJ258-BI258)-BJ265</f>
        <v>0</v>
      </c>
      <c r="BK295" s="3">
        <f>SUM(BG295:BJ295)</f>
        <v>0</v>
      </c>
      <c r="BL295" s="3">
        <f>(BL258-BK258)-BL265</f>
        <v>0</v>
      </c>
      <c r="BM295" s="3">
        <f>(BM258-BL258)-BM265</f>
        <v>0</v>
      </c>
      <c r="BN295" s="3">
        <f>(BN258-BM258)-BN265</f>
        <v>0</v>
      </c>
      <c r="BO295" s="3">
        <f>(BO258-BN258)-BO265</f>
        <v>0</v>
      </c>
      <c r="BP295" s="3">
        <f>SUM(BL295:BO295)</f>
        <v>0</v>
      </c>
      <c r="BQ295" s="3">
        <f>(BQ258-BP258)-BQ265</f>
        <v>0</v>
      </c>
      <c r="BR295" s="3">
        <f>(BR258-BQ258)-BR265</f>
        <v>0</v>
      </c>
      <c r="BS295" s="3">
        <f>(BS258-BR258)-BS265</f>
        <v>0</v>
      </c>
      <c r="BT295" s="3">
        <f>(BT258-BS258)-BT265</f>
        <v>0</v>
      </c>
      <c r="BU295" s="3">
        <f>SUM(BQ295:BT295)</f>
        <v>0</v>
      </c>
      <c r="BV295" s="3">
        <f>(BV258-BU258)-BV265</f>
        <v>0</v>
      </c>
      <c r="BW295" s="3">
        <f>(BW258-BV258)-BW265</f>
        <v>0</v>
      </c>
      <c r="BX295" s="3">
        <f>(BX258-BW258)-BX265</f>
        <v>0</v>
      </c>
      <c r="BY295" s="3">
        <f>(BY258-BX258)-BY265</f>
        <v>0</v>
      </c>
      <c r="BZ295" s="3">
        <f>SUM(BV295:BY295)</f>
        <v>0</v>
      </c>
      <c r="CA295" s="3">
        <f>(CA258-BZ258)-CA265</f>
        <v>0</v>
      </c>
      <c r="CB295" s="3">
        <f>(CB258-CA258)-CB265</f>
        <v>0</v>
      </c>
      <c r="CC295" s="3">
        <f>(CC258-CB258)-CC265</f>
        <v>0</v>
      </c>
      <c r="CD295" s="3">
        <f>(CD258-CC258)-CD265</f>
        <v>0</v>
      </c>
      <c r="CE295" s="3">
        <f>SUM(CA295:CD295)</f>
        <v>0</v>
      </c>
      <c r="CF295" s="3">
        <f>(CF258-CE258)-CF265</f>
        <v>0</v>
      </c>
      <c r="CG295" s="3">
        <f>(CG258-CF258)-CG265</f>
        <v>0</v>
      </c>
      <c r="CH295" s="3">
        <f>(CH258-CG258)-CH265</f>
        <v>0</v>
      </c>
      <c r="CI295" s="3">
        <f>(CI258-CH258)-CI265</f>
        <v>0</v>
      </c>
      <c r="CJ295" s="3">
        <f>SUM(CF295:CI295)</f>
        <v>0</v>
      </c>
      <c r="CK295" s="3">
        <f>(CK258-CJ258)-CK265</f>
        <v>0</v>
      </c>
      <c r="CL295" s="3">
        <f>(CL258-CK258)-CL265</f>
        <v>0</v>
      </c>
      <c r="CM295" s="3">
        <f>(CM258-CL258)-CM265</f>
        <v>0</v>
      </c>
      <c r="CN295" s="3">
        <f>(CN258-CM258)-CN265</f>
        <v>0</v>
      </c>
      <c r="CO295" s="3">
        <f>SUM(CK295:CN295)</f>
        <v>0</v>
      </c>
      <c r="CP295" s="3">
        <f>(CP258-CO258)-CP265</f>
        <v>0</v>
      </c>
      <c r="CQ295" s="3">
        <f>(CQ258-CP258)-CQ265</f>
        <v>0</v>
      </c>
      <c r="CR295" s="3">
        <f>(CR258-CQ258)-CR265</f>
        <v>0</v>
      </c>
      <c r="CS295" s="3">
        <f>(CS258-CR258)-CS265</f>
        <v>0</v>
      </c>
      <c r="CT295" s="3">
        <f>SUM(CP295:CS295)</f>
        <v>0</v>
      </c>
      <c r="CU295" s="3">
        <f>(CU258-CT258)-CU265</f>
        <v>0</v>
      </c>
      <c r="CV295" s="3">
        <f>(CV258-CU258)-CV265</f>
        <v>0</v>
      </c>
      <c r="CW295" s="3">
        <f>(CW258-CV258)-CW265</f>
        <v>0</v>
      </c>
      <c r="CX295" s="3">
        <f>(CX258-CW258)-CX265</f>
        <v>0</v>
      </c>
      <c r="CY295" s="3">
        <f>SUM(CU295:CX295)</f>
        <v>0</v>
      </c>
    </row>
    <row r="296">
      <c r="C296" s="26" t="inlineStr">
        <is>
          <t>Dividends to minority interests</t>
        </is>
      </c>
      <c r="D296" s="3" t="n"/>
      <c r="E296" s="3">
        <f>(E236-D236)+E124</f>
        <v>0</v>
      </c>
      <c r="F296" s="3">
        <f>(F236-E236)+F124</f>
        <v>0</v>
      </c>
      <c r="G296" s="3">
        <f>(G236-F236)+G124</f>
        <v>0</v>
      </c>
      <c r="H296" s="3">
        <f>SUM(D296:G296)</f>
        <v>0</v>
      </c>
      <c r="I296" s="3">
        <f>(I236-H236)+I124</f>
        <v>0</v>
      </c>
      <c r="J296" s="3">
        <f>(J236-I236)+J124</f>
        <v>0</v>
      </c>
      <c r="K296" s="3">
        <f>(K236-J236)+K124</f>
        <v>0</v>
      </c>
      <c r="L296" s="3">
        <f>(L236-K236)+L124</f>
        <v>0</v>
      </c>
      <c r="M296" s="3">
        <f>SUM(I296:L296)</f>
        <v>0</v>
      </c>
      <c r="N296" s="3">
        <f>(N236-M236)+N124</f>
        <v>0</v>
      </c>
      <c r="O296" s="3">
        <f>(O236-N236)+O124</f>
        <v>0</v>
      </c>
      <c r="P296" s="3">
        <f>(P236-O236)+P124</f>
        <v>0</v>
      </c>
      <c r="Q296" s="3">
        <f>(Q236-P236)+Q124</f>
        <v>0</v>
      </c>
      <c r="R296" s="3">
        <f>SUM(N296:Q296)</f>
        <v>0</v>
      </c>
      <c r="S296" s="3">
        <f>(S236-R236)+S124</f>
        <v>0</v>
      </c>
      <c r="T296" s="3">
        <f>(T236-S236)+T124</f>
        <v>0</v>
      </c>
      <c r="U296" s="3">
        <f>(U236-T236)+U124</f>
        <v>0</v>
      </c>
      <c r="V296" s="3">
        <f>(V236-U236)+V124</f>
        <v>0</v>
      </c>
      <c r="W296" s="3">
        <f>SUM(S296:V296)</f>
        <v>0</v>
      </c>
      <c r="X296" s="3">
        <f>(X236-W236)+X124</f>
        <v>0</v>
      </c>
      <c r="Y296" s="3">
        <f>(Y236-X236)+Y124</f>
        <v>0</v>
      </c>
      <c r="Z296" s="3">
        <f>(Z236-Y236)+Z124</f>
        <v>0</v>
      </c>
      <c r="AA296" s="3">
        <f>(AA236-Z236)+AA124</f>
        <v>0</v>
      </c>
      <c r="AB296" s="3">
        <f>SUM(X296:AA296)</f>
        <v>0</v>
      </c>
      <c r="AC296" s="3">
        <f>(AC236-AB236)+AC124</f>
        <v>0</v>
      </c>
      <c r="AD296" s="3">
        <f>(AD236-AC236)+AD124</f>
        <v>0</v>
      </c>
      <c r="AE296" s="3">
        <f>(AE236-AD236)+AE124</f>
        <v>0</v>
      </c>
      <c r="AF296" s="3">
        <f>(AF236-AE236)+AF124</f>
        <v>0</v>
      </c>
      <c r="AG296" s="3">
        <f>SUM(AC296:AF296)</f>
        <v>0</v>
      </c>
      <c r="AH296" s="3">
        <f>(AH236-AG236)+AH124</f>
        <v>0</v>
      </c>
      <c r="AI296" s="3">
        <f>(AI236-AH236)+AI124</f>
        <v>0</v>
      </c>
      <c r="AJ296" s="3">
        <f>(AJ236-AI236)+AJ124</f>
        <v>0</v>
      </c>
      <c r="AK296" s="3">
        <f>(AK236-AJ236)+AK124</f>
        <v>0</v>
      </c>
      <c r="AL296" s="3">
        <f>SUM(AH296:AK296)</f>
        <v>0</v>
      </c>
      <c r="AM296" s="3">
        <f>(AM236-AL236)+AM124</f>
        <v>0</v>
      </c>
      <c r="AN296" s="3">
        <f>(AN236-AM236)+AN124</f>
        <v>0</v>
      </c>
      <c r="AO296" s="3">
        <f>(AO236-AN236)+AO124</f>
        <v>0</v>
      </c>
      <c r="AP296" s="3">
        <f>(AP236-AO236)+AP124</f>
        <v>0</v>
      </c>
      <c r="AQ296" s="3">
        <f>SUM(AM296:AP296)</f>
        <v>0</v>
      </c>
      <c r="AR296" s="3">
        <f>(AR236-AQ236)+AR124</f>
        <v>0</v>
      </c>
      <c r="AS296" s="3">
        <f>(AS236-AR236)+AS124</f>
        <v>0</v>
      </c>
      <c r="AT296" s="3">
        <f>(AT236-AS236)+AT124</f>
        <v>0</v>
      </c>
      <c r="AU296" s="3">
        <f>(AU236-AT236)+AU124</f>
        <v>0</v>
      </c>
      <c r="AV296" s="3">
        <f>SUM(AR296:AU296)</f>
        <v>0</v>
      </c>
      <c r="AW296" s="3">
        <f>(AW236-AV236)+AW124</f>
        <v>0</v>
      </c>
      <c r="AX296" s="3">
        <f>(AX236-AW236)+AX124</f>
        <v>0</v>
      </c>
      <c r="AY296" s="3">
        <f>(AY236-AX236)+AY124</f>
        <v>0</v>
      </c>
      <c r="AZ296" s="3">
        <f>(AZ236-AY236)+AZ124</f>
        <v>0</v>
      </c>
      <c r="BA296" s="3">
        <f>SUM(AW296:AZ296)</f>
        <v>0</v>
      </c>
      <c r="BB296" s="3">
        <f>(BB236-BA236)+BB124</f>
        <v>0</v>
      </c>
      <c r="BC296" s="3">
        <f>(BC236-BB236)+BC124</f>
        <v>0</v>
      </c>
      <c r="BD296" s="3">
        <f>(BD236-BC236)+BD124</f>
        <v>0</v>
      </c>
      <c r="BE296" s="3">
        <f>(BE236-BD236)+BE124</f>
        <v>0</v>
      </c>
      <c r="BF296" s="3">
        <f>SUM(BB296:BE296)</f>
        <v>0</v>
      </c>
      <c r="BG296" s="3">
        <f>(BG236-BF236)+BG124</f>
        <v>0</v>
      </c>
      <c r="BH296" s="3">
        <f>(BH236-BG236)+BH124</f>
        <v>0</v>
      </c>
      <c r="BI296" s="3">
        <f>(BI236-BH236)+BI124</f>
        <v>0</v>
      </c>
      <c r="BJ296" s="3">
        <f>(BJ236-BI236)+BJ124</f>
        <v>0</v>
      </c>
      <c r="BK296" s="3">
        <f>SUM(BG296:BJ296)</f>
        <v>0</v>
      </c>
      <c r="BL296" s="3">
        <f>(BL236-BK236)+BL124</f>
        <v>0</v>
      </c>
      <c r="BM296" s="3">
        <f>(BM236-BL236)+BM124</f>
        <v>0</v>
      </c>
      <c r="BN296" s="3">
        <f>(BN236-BM236)+BN124</f>
        <v>0</v>
      </c>
      <c r="BO296" s="3">
        <f>(BO236-BN236)+BO124</f>
        <v>0</v>
      </c>
      <c r="BP296" s="3">
        <f>SUM(BL296:BO296)</f>
        <v>0</v>
      </c>
      <c r="BQ296" s="3">
        <f>(BQ236-BP236)+BQ124</f>
        <v>0</v>
      </c>
      <c r="BR296" s="3">
        <f>(BR236-BQ236)+BR124</f>
        <v>0</v>
      </c>
      <c r="BS296" s="3">
        <f>(BS236-BR236)+BS124</f>
        <v>0</v>
      </c>
      <c r="BT296" s="3">
        <f>(BT236-BS236)+BT124</f>
        <v>0</v>
      </c>
      <c r="BU296" s="3">
        <f>SUM(BQ296:BT296)</f>
        <v>0</v>
      </c>
      <c r="BV296" s="3">
        <f>(BV236-BU236)+BV124</f>
        <v>0</v>
      </c>
      <c r="BW296" s="3">
        <f>(BW236-BV236)+BW124</f>
        <v>0</v>
      </c>
      <c r="BX296" s="3">
        <f>(BX236-BW236)+BX124</f>
        <v>0</v>
      </c>
      <c r="BY296" s="3">
        <f>(BY236-BX236)+BY124</f>
        <v>0</v>
      </c>
      <c r="BZ296" s="3">
        <f>SUM(BV296:BY296)</f>
        <v>0</v>
      </c>
      <c r="CA296" s="3">
        <f>(CA236-BZ236)+CA124</f>
        <v>0</v>
      </c>
      <c r="CB296" s="3">
        <f>(CB236-CA236)+CB124</f>
        <v>0</v>
      </c>
      <c r="CC296" s="3">
        <f>(CC236-CB236)+CC124</f>
        <v>0</v>
      </c>
      <c r="CD296" s="3">
        <f>(CD236-CC236)+CD124</f>
        <v>0</v>
      </c>
      <c r="CE296" s="3">
        <f>SUM(CA296:CD296)</f>
        <v>0</v>
      </c>
      <c r="CF296" s="3">
        <f>(CF236-CE236)+CF124</f>
        <v>0</v>
      </c>
      <c r="CG296" s="3">
        <f>(CG236-CF236)+CG124</f>
        <v>0</v>
      </c>
      <c r="CH296" s="3">
        <f>(CH236-CG236)+CH124</f>
        <v>0</v>
      </c>
      <c r="CI296" s="3">
        <f>(CI236-CH236)+CI124</f>
        <v>0</v>
      </c>
      <c r="CJ296" s="3">
        <f>SUM(CF296:CI296)</f>
        <v>0</v>
      </c>
      <c r="CK296" s="3">
        <f>(CK236-CJ236)+CK124</f>
        <v>0</v>
      </c>
      <c r="CL296" s="3">
        <f>(CL236-CK236)+CL124</f>
        <v>0</v>
      </c>
      <c r="CM296" s="3">
        <f>(CM236-CL236)+CM124</f>
        <v>0</v>
      </c>
      <c r="CN296" s="3">
        <f>(CN236-CM236)+CN124</f>
        <v>0</v>
      </c>
      <c r="CO296" s="3">
        <f>SUM(CK296:CN296)</f>
        <v>0</v>
      </c>
      <c r="CP296" s="3">
        <f>(CP236-CO236)+CP124</f>
        <v>0</v>
      </c>
      <c r="CQ296" s="3">
        <f>(CQ236-CP236)+CQ124</f>
        <v>0</v>
      </c>
      <c r="CR296" s="3">
        <f>(CR236-CQ236)+CR124</f>
        <v>0</v>
      </c>
      <c r="CS296" s="3">
        <f>(CS236-CR236)+CS124</f>
        <v>0</v>
      </c>
      <c r="CT296" s="3">
        <f>SUM(CP296:CS296)</f>
        <v>0</v>
      </c>
      <c r="CU296" s="3">
        <f>(CU236-CT236)+CU124</f>
        <v>0</v>
      </c>
      <c r="CV296" s="3">
        <f>(CV236-CU236)+CV124</f>
        <v>0</v>
      </c>
      <c r="CW296" s="3">
        <f>(CW236-CV236)+CW124</f>
        <v>0</v>
      </c>
      <c r="CX296" s="3">
        <f>(CX236-CW236)+CX124</f>
        <v>0</v>
      </c>
      <c r="CY296" s="3">
        <f>SUM(CU296:CX296)</f>
        <v>0</v>
      </c>
    </row>
    <row r="297">
      <c r="C297" s="28" t="inlineStr">
        <is>
          <t>Increases / (decreases) in debt</t>
        </is>
      </c>
      <c r="D297" s="3" t="n"/>
      <c r="E297" s="3">
        <f>SUM(E200:E202,E205,E226,E223)-SUM(D200:D202,D205,D226,D223)</f>
        <v>-1840</v>
      </c>
      <c r="F297" s="3">
        <f>SUM(F200:F202,F205,F226,F223)-SUM(E200:E202,E205,E226,E223)</f>
        <v>-2961</v>
      </c>
      <c r="G297" s="3">
        <f>SUM(G200:G202,G205,G226,G223)-SUM(F200:F202,F205,F226,F223)</f>
        <v>870</v>
      </c>
      <c r="H297" s="3">
        <f>SUM(D297:G297)</f>
        <v>-3931</v>
      </c>
      <c r="I297" s="3">
        <f>SUM(I200:I202,I205,I226,I223)-SUM(H200:H202,H205,H226,H223)</f>
        <v>-1494</v>
      </c>
      <c r="J297" s="3">
        <f>SUM(J200:J202,J205,J226,J223)-SUM(I200:I202,I205,I226,I223)</f>
        <v>19</v>
      </c>
      <c r="K297" s="3">
        <f>SUM(K200:K202,K205,K226,K223)-SUM(J200:J202,J205,J226,J223)</f>
        <v>-727</v>
      </c>
      <c r="L297" s="3">
        <f>SUM(L200:L202,L205,L226,L223)-SUM(K200:K202,K205,K226,K223)</f>
        <v>-225</v>
      </c>
      <c r="M297" s="3">
        <f>SUM(I297:L297)</f>
        <v>-2427</v>
      </c>
      <c r="N297" s="3">
        <f>SUM(N200:N202,N205,N226,N223)-SUM(M200:M202,M205,M226,M223)</f>
        <v>-39</v>
      </c>
      <c r="O297" s="3">
        <f>SUM(O200:O202,O205,O226,O223)-SUM(N200:N202,N205,N226,N223)</f>
        <v>29</v>
      </c>
      <c r="P297" s="3">
        <f>SUM(P200:P202,P205,P226,P223)-SUM(O200:O202,O205,O226,O223)</f>
        <v>20</v>
      </c>
      <c r="Q297" s="3">
        <f>SUM(Q200:Q202,Q205,Q226,Q223)-SUM(P200:P202,P205,P226,P223)</f>
        <v>-233</v>
      </c>
      <c r="R297" s="3">
        <f>SUM(N297:Q297)</f>
        <v>-223</v>
      </c>
      <c r="S297" s="3">
        <f>SUM(S200:S202,S205,S226,S223)-SUM(R200:R202,R205,R226,R223)</f>
        <v>29</v>
      </c>
      <c r="T297" s="3">
        <f>SUM(T200:T202,T205,T226,T223)-SUM(S200:S202,S205,S226,S223)</f>
        <v>30</v>
      </c>
      <c r="U297" s="3">
        <f>SUM(U200:U202,U205,U226,U223)-SUM(T200:T202,T205,T226,T223)</f>
        <v>-112</v>
      </c>
      <c r="V297" s="3">
        <f>SUM(V200:V202,V205,V226,V223)-SUM(U200:U202,U205,U226,U223)</f>
        <v>36672</v>
      </c>
      <c r="W297" s="3">
        <f>SUM(S297:V297)</f>
        <v>36619</v>
      </c>
      <c r="X297" s="3">
        <f>SUM(X200:X202,X205,X226,X223)-SUM(W200:W202,W205,W226,W223)</f>
        <v>-1885</v>
      </c>
      <c r="Y297" s="3">
        <f>SUM(Y200:Y202,Y205,Y226,Y223)-SUM(X200:X202,X205,X226,X223)</f>
        <v>-4057</v>
      </c>
      <c r="Z297" s="3">
        <f>SUM(Z200:Z202,Z205,Z226,Z223)-SUM(Y200:Y202,Y205,Y226,Y223)</f>
        <v>-2393</v>
      </c>
      <c r="AA297" s="3">
        <f>SUM(AA200:AA202,AA205,AA226,AA223)-SUM(Z200:Z202,Z205,Z226,Z223)</f>
        <v>-987</v>
      </c>
      <c r="AB297" s="3">
        <f>SUM(X297:AA297)</f>
        <v>-9322</v>
      </c>
      <c r="AC297" s="3">
        <f>SUM(AC200:AC202,AC205,AC226,AC223)-SUM(AB200:AB202,AB205,AB226,AB223)</f>
        <v>703</v>
      </c>
      <c r="AD297" s="3">
        <f>SUM(AD200:AD202,AD205,AD226,AD223)-SUM(AC200:AC202,AC205,AC226,AC223)</f>
        <v>-3053</v>
      </c>
      <c r="AE297" s="3">
        <f>SUM(AE200:AE202,AE205,AE226,AE223)-SUM(AD200:AD202,AD205,AD226,AD223)</f>
        <v>907</v>
      </c>
      <c r="AF297" s="3">
        <f>SUM(AF200:AF202,AF205,AF226,AF223)-SUM(AE200:AE202,AE205,AE226,AE223)</f>
        <v>921</v>
      </c>
      <c r="AG297" s="3">
        <f>SUM(AC297:AF297)</f>
        <v>-522</v>
      </c>
      <c r="AH297" s="3">
        <f>SUM(AH200:AH202,AH205,AH226,AH223)-SUM(AG200:AG202,AG205,AG226,AG223)</f>
        <v>-1150</v>
      </c>
      <c r="AI297" s="3">
        <f>SUM(AI200:AI202,AI205,AI226,AI223)-SUM(AH200:AH202,AH205,AH226,AH223)</f>
        <v>-5488</v>
      </c>
      <c r="AJ297" s="3">
        <f>SUM(AJ200:AJ202,AJ205,AJ226,AJ223)-SUM(AI200:AI202,AI205,AI226,AI223)</f>
        <v>0</v>
      </c>
      <c r="AK297" s="3">
        <f>SUM(AK200:AK202,AK205,AK226,AK223)-SUM(AJ200:AJ202,AJ205,AJ226,AJ223)</f>
        <v>0</v>
      </c>
      <c r="AL297" s="3">
        <f>SUM(AH297:AK297)</f>
        <v>-6638</v>
      </c>
      <c r="AM297" s="3">
        <f>SUM(AM200:AM202,AM205,AM226,AM223)-SUM(AL200:AL202,AL205,AL226,AL223)</f>
        <v>0</v>
      </c>
      <c r="AN297" s="3">
        <f>SUM(AN200:AN202,AN205,AN226,AN223)-SUM(AM200:AM202,AM205,AM226,AM223)</f>
        <v>0</v>
      </c>
      <c r="AO297" s="3">
        <f>SUM(AO200:AO202,AO205,AO226,AO223)-SUM(AN200:AN202,AN205,AN226,AN223)</f>
        <v>0</v>
      </c>
      <c r="AP297" s="3">
        <f>SUM(AP200:AP202,AP205,AP226,AP223)-SUM(AO200:AO202,AO205,AO226,AO223)</f>
        <v>0</v>
      </c>
      <c r="AQ297" s="3">
        <f>SUM(AM297:AP297)</f>
        <v>0</v>
      </c>
      <c r="AR297" s="3">
        <f>SUM(AR200:AR202,AR205,AR226,AR223)-SUM(AQ200:AQ202,AQ205,AQ226,AQ223)</f>
        <v>0</v>
      </c>
      <c r="AS297" s="3">
        <f>SUM(AS200:AS202,AS205,AS226,AS223)-SUM(AR200:AR202,AR205,AR226,AR223)</f>
        <v>0</v>
      </c>
      <c r="AT297" s="3">
        <f>SUM(AT200:AT202,AT205,AT226,AT223)-SUM(AS200:AS202,AS205,AS226,AS223)</f>
        <v>0</v>
      </c>
      <c r="AU297" s="3">
        <f>SUM(AU200:AU202,AU205,AU226,AU223)-SUM(AT200:AT202,AT205,AT226,AT223)</f>
        <v>0</v>
      </c>
      <c r="AV297" s="3">
        <f>SUM(AR297:AU297)</f>
        <v>0</v>
      </c>
      <c r="AW297" s="3">
        <f>SUM(AW200:AW202,AW205,AW226,AW223)-SUM(AV200:AV202,AV205,AV226,AV223)</f>
        <v>0</v>
      </c>
      <c r="AX297" s="3">
        <f>SUM(AX200:AX202,AX205,AX226,AX223)-SUM(AW200:AW202,AW205,AW226,AW223)</f>
        <v>0</v>
      </c>
      <c r="AY297" s="3">
        <f>SUM(AY200:AY202,AY205,AY226,AY223)-SUM(AX200:AX202,AX205,AX226,AX223)</f>
        <v>0</v>
      </c>
      <c r="AZ297" s="3">
        <f>SUM(AZ200:AZ202,AZ205,AZ226,AZ223)-SUM(AY200:AY202,AY205,AY226,AY223)</f>
        <v>0</v>
      </c>
      <c r="BA297" s="3">
        <f>SUM(AW297:AZ297)</f>
        <v>0</v>
      </c>
      <c r="BB297" s="3">
        <f>SUM(BB200:BB202,BB205,BB226,BB223)-SUM(BA200:BA202,BA205,BA226,BA223)</f>
        <v>0</v>
      </c>
      <c r="BC297" s="3">
        <f>SUM(BC200:BC202,BC205,BC226,BC223)-SUM(BB200:BB202,BB205,BB226,BB223)</f>
        <v>0</v>
      </c>
      <c r="BD297" s="3">
        <f>SUM(BD200:BD202,BD205,BD226,BD223)-SUM(BC200:BC202,BC205,BC226,BC223)</f>
        <v>0</v>
      </c>
      <c r="BE297" s="3">
        <f>SUM(BE200:BE202,BE205,BE226,BE223)-SUM(BD200:BD202,BD205,BD226,BD223)</f>
        <v>0</v>
      </c>
      <c r="BF297" s="3">
        <f>SUM(BB297:BE297)</f>
        <v>0</v>
      </c>
      <c r="BG297" s="3">
        <f>SUM(BG200:BG202,BG205,BG226,BG223)-SUM(BF200:BF202,BF205,BF226,BF223)</f>
        <v>0</v>
      </c>
      <c r="BH297" s="3">
        <f>SUM(BH200:BH202,BH205,BH226,BH223)-SUM(BG200:BG202,BG205,BG226,BG223)</f>
        <v>0</v>
      </c>
      <c r="BI297" s="3">
        <f>SUM(BI200:BI202,BI205,BI226,BI223)-SUM(BH200:BH202,BH205,BH226,BH223)</f>
        <v>0</v>
      </c>
      <c r="BJ297" s="3">
        <f>SUM(BJ200:BJ202,BJ205,BJ226,BJ223)-SUM(BI200:BI202,BI205,BI226,BI223)</f>
        <v>0</v>
      </c>
      <c r="BK297" s="3">
        <f>SUM(BG297:BJ297)</f>
        <v>0</v>
      </c>
      <c r="BL297" s="3">
        <f>SUM(BL200:BL202,BL205,BL226,BL223)-SUM(BK200:BK202,BK205,BK226,BK223)</f>
        <v>0</v>
      </c>
      <c r="BM297" s="3">
        <f>SUM(BM200:BM202,BM205,BM226,BM223)-SUM(BL200:BL202,BL205,BL226,BL223)</f>
        <v>0</v>
      </c>
      <c r="BN297" s="3">
        <f>SUM(BN200:BN202,BN205,BN226,BN223)-SUM(BM200:BM202,BM205,BM226,BM223)</f>
        <v>0</v>
      </c>
      <c r="BO297" s="3">
        <f>SUM(BO200:BO202,BO205,BO226,BO223)-SUM(BN200:BN202,BN205,BN226,BN223)</f>
        <v>0</v>
      </c>
      <c r="BP297" s="3">
        <f>SUM(BL297:BO297)</f>
        <v>0</v>
      </c>
      <c r="BQ297" s="3">
        <f>SUM(BQ200:BQ202,BQ205,BQ226,BQ223)-SUM(BP200:BP202,BP205,BP226,BP223)</f>
        <v>0</v>
      </c>
      <c r="BR297" s="3">
        <f>SUM(BR200:BR202,BR205,BR226,BR223)-SUM(BQ200:BQ202,BQ205,BQ226,BQ223)</f>
        <v>0</v>
      </c>
      <c r="BS297" s="3">
        <f>SUM(BS200:BS202,BS205,BS226,BS223)-SUM(BR200:BR202,BR205,BR226,BR223)</f>
        <v>0</v>
      </c>
      <c r="BT297" s="3">
        <f>SUM(BT200:BT202,BT205,BT226,BT223)-SUM(BS200:BS202,BS205,BS226,BS223)</f>
        <v>0</v>
      </c>
      <c r="BU297" s="3">
        <f>SUM(BQ297:BT297)</f>
        <v>0</v>
      </c>
      <c r="BV297" s="3">
        <f>SUM(BV200:BV202,BV205,BV226,BV223)-SUM(BU200:BU202,BU205,BU226,BU223)</f>
        <v>0</v>
      </c>
      <c r="BW297" s="3">
        <f>SUM(BW200:BW202,BW205,BW226,BW223)-SUM(BV200:BV202,BV205,BV226,BV223)</f>
        <v>0</v>
      </c>
      <c r="BX297" s="3">
        <f>SUM(BX200:BX202,BX205,BX226,BX223)-SUM(BW200:BW202,BW205,BW226,BW223)</f>
        <v>0</v>
      </c>
      <c r="BY297" s="3">
        <f>SUM(BY200:BY202,BY205,BY226,BY223)-SUM(BX200:BX202,BX205,BX226,BX223)</f>
        <v>0</v>
      </c>
      <c r="BZ297" s="3">
        <f>SUM(BV297:BY297)</f>
        <v>0</v>
      </c>
      <c r="CA297" s="3">
        <f>SUM(CA200:CA202,CA205,CA226,CA223)-SUM(BZ200:BZ202,BZ205,BZ226,BZ223)</f>
        <v>0</v>
      </c>
      <c r="CB297" s="3">
        <f>SUM(CB200:CB202,CB205,CB226,CB223)-SUM(CA200:CA202,CA205,CA226,CA223)</f>
        <v>0</v>
      </c>
      <c r="CC297" s="3">
        <f>SUM(CC200:CC202,CC205,CC226,CC223)-SUM(CB200:CB202,CB205,CB226,CB223)</f>
        <v>0</v>
      </c>
      <c r="CD297" s="3">
        <f>SUM(CD200:CD202,CD205,CD226,CD223)-SUM(CC200:CC202,CC205,CC226,CC223)</f>
        <v>0</v>
      </c>
      <c r="CE297" s="3">
        <f>SUM(CA297:CD297)</f>
        <v>0</v>
      </c>
      <c r="CF297" s="3">
        <f>SUM(CF200:CF202,CF205,CF226,CF223)-SUM(CE200:CE202,CE205,CE226,CE223)</f>
        <v>0</v>
      </c>
      <c r="CG297" s="3">
        <f>SUM(CG200:CG202,CG205,CG226,CG223)-SUM(CF200:CF202,CF205,CF226,CF223)</f>
        <v>0</v>
      </c>
      <c r="CH297" s="3">
        <f>SUM(CH200:CH202,CH205,CH226,CH223)-SUM(CG200:CG202,CG205,CG226,CG223)</f>
        <v>0</v>
      </c>
      <c r="CI297" s="3">
        <f>SUM(CI200:CI202,CI205,CI226,CI223)-SUM(CH200:CH202,CH205,CH226,CH223)</f>
        <v>0</v>
      </c>
      <c r="CJ297" s="3">
        <f>SUM(CF297:CI297)</f>
        <v>0</v>
      </c>
      <c r="CK297" s="3">
        <f>SUM(CK200:CK202,CK205,CK226,CK223)-SUM(CJ200:CJ202,CJ205,CJ226,CJ223)</f>
        <v>0</v>
      </c>
      <c r="CL297" s="3">
        <f>SUM(CL200:CL202,CL205,CL226,CL223)-SUM(CK200:CK202,CK205,CK226,CK223)</f>
        <v>0</v>
      </c>
      <c r="CM297" s="3">
        <f>SUM(CM200:CM202,CM205,CM226,CM223)-SUM(CL200:CL202,CL205,CL226,CL223)</f>
        <v>0</v>
      </c>
      <c r="CN297" s="3">
        <f>SUM(CN200:CN202,CN205,CN226,CN223)-SUM(CM200:CM202,CM205,CM226,CM223)</f>
        <v>0</v>
      </c>
      <c r="CO297" s="3">
        <f>SUM(CK297:CN297)</f>
        <v>0</v>
      </c>
      <c r="CP297" s="3">
        <f>SUM(CP200:CP202,CP205,CP226,CP223)-SUM(CO200:CO202,CO205,CO226,CO223)</f>
        <v>0</v>
      </c>
      <c r="CQ297" s="3">
        <f>SUM(CQ200:CQ202,CQ205,CQ226,CQ223)-SUM(CP200:CP202,CP205,CP226,CP223)</f>
        <v>0</v>
      </c>
      <c r="CR297" s="3">
        <f>SUM(CR200:CR202,CR205,CR226,CR223)-SUM(CQ200:CQ202,CQ205,CQ226,CQ223)</f>
        <v>0</v>
      </c>
      <c r="CS297" s="3">
        <f>SUM(CS200:CS202,CS205,CS226,CS223)-SUM(CR200:CR202,CR205,CR226,CR223)</f>
        <v>0</v>
      </c>
      <c r="CT297" s="3">
        <f>SUM(CP297:CS297)</f>
        <v>0</v>
      </c>
      <c r="CU297" s="3">
        <f>SUM(CU200:CU202,CU205,CU226,CU223)-SUM(CT200:CT202,CT205,CT226,CT223)</f>
        <v>0</v>
      </c>
      <c r="CV297" s="3">
        <f>SUM(CV200:CV202,CV205,CV226,CV223)-SUM(CU200:CU202,CU205,CU226,CU223)</f>
        <v>0</v>
      </c>
      <c r="CW297" s="3">
        <f>SUM(CW200:CW202,CW205,CW226,CW223)-SUM(CV200:CV202,CV205,CV226,CV223)</f>
        <v>0</v>
      </c>
      <c r="CX297" s="3">
        <f>SUM(CX200:CX202,CX205,CX226,CX223)-SUM(CW200:CW202,CW205,CW226,CW223)</f>
        <v>0</v>
      </c>
      <c r="CY297" s="3">
        <f>SUM(CU297:CX297)</f>
        <v>0</v>
      </c>
      <c r="CZ297" s="3" t="n"/>
      <c r="DA297" s="3" t="n"/>
      <c r="DB297" s="3" t="n"/>
      <c r="DC297" s="3" t="n"/>
    </row>
    <row r="298">
      <c r="C298" s="26" t="inlineStr">
        <is>
          <t>Cash from financing</t>
        </is>
      </c>
      <c r="D298" s="3" t="n"/>
      <c r="E298" s="3">
        <f>SUM(E290,E291,E292,E293,E294,E295,E296,E297)</f>
        <v>-2839</v>
      </c>
      <c r="F298" s="3">
        <f>SUM(F290,F291,F292,F293,F294,F295,F296,F297)</f>
        <v>-3895</v>
      </c>
      <c r="G298" s="3">
        <f>SUM(G290,G291,G292,G293,G294,G295,G296,G297)</f>
        <v>-336</v>
      </c>
      <c r="H298" s="3">
        <f>SUM(H290,H291,H292,H293,H294,H295,H296,H297)</f>
        <v>-7070</v>
      </c>
      <c r="I298" s="3">
        <f>SUM(I290,I291,I292,I293,I294,I295,I296,I297)</f>
        <v>-2944</v>
      </c>
      <c r="J298" s="3">
        <f>SUM(J290,J291,J292,J293,J294,J295,J296,J297)</f>
        <v>-1382</v>
      </c>
      <c r="K298" s="3">
        <f>SUM(K290,K291,K292,K293,K294,K295,K296,K297)</f>
        <v>-2019</v>
      </c>
      <c r="L298" s="3">
        <f>SUM(L290,L291,L292,L293,L294,L295,L296,L297)</f>
        <v>-4618</v>
      </c>
      <c r="M298" s="3">
        <f>SUM(M290,M291,M292,M293,M294,M295,M296,M297)</f>
        <v>-10963</v>
      </c>
      <c r="N298" s="3">
        <f>SUM(N290,N291,N292,N293,N294,N295,N296,N297)</f>
        <v>-4558</v>
      </c>
      <c r="O298" s="3">
        <f>SUM(O290,O291,O292,O293,O294,O295,O296,O297)</f>
        <v>-3057</v>
      </c>
      <c r="P298" s="3">
        <f>SUM(P290,P291,P292,P293,P294,P295,P296,P297)</f>
        <v>-1757</v>
      </c>
      <c r="Q298" s="3">
        <f>SUM(Q290,Q291,Q292,Q293,Q294,Q295,Q296,Q297)</f>
        <v>-3406</v>
      </c>
      <c r="R298" s="3">
        <f>SUM(R290,R291,R292,R293,R294,R295,R296,R297)</f>
        <v>-12778</v>
      </c>
      <c r="S298" s="3">
        <f>SUM(S290,S291,S292,S293,S294,S295,S296,S297)</f>
        <v>-4755</v>
      </c>
      <c r="T298" s="3">
        <f>SUM(T290,T291,T292,T293,T294,T295,T296,T297)</f>
        <v>-3201</v>
      </c>
      <c r="U298" s="3">
        <f>SUM(U290,U291,U292,U293,U294,U295,U296,U297)</f>
        <v>-1727</v>
      </c>
      <c r="V298" s="3">
        <f>SUM(V290,V291,V292,V293,V294,V295,V296,V297)</f>
        <v>81643</v>
      </c>
      <c r="W298" s="3">
        <f>SUM(W290,W291,W292,W293,W294,W295,W296,W297)</f>
        <v>71960</v>
      </c>
      <c r="X298" s="3">
        <f>SUM(X290,X291,X292,X293,X294,X295,X296,X297)</f>
        <v>-4329</v>
      </c>
      <c r="Y298" s="3">
        <f>SUM(Y290,Y291,Y292,Y293,Y294,Y295,Y296,Y297)</f>
        <v>-6492</v>
      </c>
      <c r="Z298" s="3">
        <f>SUM(Z290,Z291,Z292,Z293,Z294,Z295,Z296,Z297)</f>
        <v>-4690</v>
      </c>
      <c r="AA298" s="3">
        <f>SUM(AA290,AA291,AA292,AA293,AA294,AA295,AA296,AA297)</f>
        <v>-4379</v>
      </c>
      <c r="AB298" s="3">
        <f>SUM(AB290,AB291,AB292,AB293,AB294,AB295,AB296,AB297)</f>
        <v>-19890</v>
      </c>
      <c r="AC298" s="3">
        <f>SUM(AC290,AC291,AC292,AC293,AC294,AC295,AC296,AC297)</f>
        <v>-4465</v>
      </c>
      <c r="AD298" s="3">
        <f>SUM(AD290,AD291,AD292,AD293,AD294,AD295,AD296,AD297)</f>
        <v>-3502</v>
      </c>
      <c r="AE298" s="3">
        <f>SUM(AE290,AE291,AE292,AE293,AE294,AE295,AE296,AE297)</f>
        <v>404</v>
      </c>
      <c r="AF298" s="3">
        <f>SUM(AF290,AF291,AF292,AF293,AF294,AF295,AF296,AF297)</f>
        <v>-7848</v>
      </c>
      <c r="AG298" s="3">
        <f>SUM(AG290,AG291,AG292,AG293,AG294,AG295,AG296,AG297)</f>
        <v>-15411</v>
      </c>
      <c r="AH298" s="3">
        <f>SUM(AH290,AH291,AH292,AH293,AH294,AH295,AH296,AH297)</f>
        <v>-2641</v>
      </c>
      <c r="AI298" s="3">
        <f>SUM(AI290,AI291,AI292,AI293,AI294,AI295,AI296,AI297)</f>
        <v>-6577</v>
      </c>
      <c r="AJ298" s="3">
        <f>SUM(AJ290,AJ291,AJ292,AJ293,AJ294,AJ295,AJ296,AJ297)</f>
        <v>0</v>
      </c>
      <c r="AK298" s="3">
        <f>SUM(AK290,AK291,AK292,AK293,AK294,AK295,AK296,AK297)</f>
        <v>0</v>
      </c>
      <c r="AL298" s="3">
        <f>SUM(AL290,AL291,AL292,AL293,AL294,AL295,AL296,AL297)</f>
        <v>-9218</v>
      </c>
      <c r="AM298" s="3">
        <f>SUM(AM290,AM291,AM292,AM293,AM294,AM295,AM296,AM297)</f>
        <v>0</v>
      </c>
      <c r="AN298" s="3">
        <f>SUM(AN290,AN291,AN292,AN293,AN294,AN295,AN296,AN297)</f>
        <v>0</v>
      </c>
      <c r="AO298" s="3">
        <f>SUM(AO290,AO291,AO292,AO293,AO294,AO295,AO296,AO297)</f>
        <v>0</v>
      </c>
      <c r="AP298" s="3">
        <f>SUM(AP290,AP291,AP292,AP293,AP294,AP295,AP296,AP297)</f>
        <v>0</v>
      </c>
      <c r="AQ298" s="3">
        <f>SUM(AQ290,AQ291,AQ292,AQ293,AQ294,AQ295,AQ296,AQ297)</f>
        <v>0</v>
      </c>
      <c r="AR298" s="3">
        <f>SUM(AR290,AR291,AR292,AR293,AR294,AR295,AR296,AR297)</f>
        <v>0</v>
      </c>
      <c r="AS298" s="3">
        <f>SUM(AS290,AS291,AS292,AS293,AS294,AS295,AS296,AS297)</f>
        <v>0</v>
      </c>
      <c r="AT298" s="3">
        <f>SUM(AT290,AT291,AT292,AT293,AT294,AT295,AT296,AT297)</f>
        <v>0</v>
      </c>
      <c r="AU298" s="3">
        <f>SUM(AU290,AU291,AU292,AU293,AU294,AU295,AU296,AU297)</f>
        <v>0</v>
      </c>
      <c r="AV298" s="3">
        <f>SUM(AV290,AV291,AV292,AV293,AV294,AV295,AV296,AV297)</f>
        <v>0</v>
      </c>
      <c r="AW298" s="3">
        <f>SUM(AW290,AW291,AW292,AW293,AW294,AW295,AW296,AW297)</f>
        <v>0</v>
      </c>
      <c r="AX298" s="3">
        <f>SUM(AX290,AX291,AX292,AX293,AX294,AX295,AX296,AX297)</f>
        <v>0</v>
      </c>
      <c r="AY298" s="3">
        <f>SUM(AY290,AY291,AY292,AY293,AY294,AY295,AY296,AY297)</f>
        <v>0</v>
      </c>
      <c r="AZ298" s="3">
        <f>SUM(AZ290,AZ291,AZ292,AZ293,AZ294,AZ295,AZ296,AZ297)</f>
        <v>0</v>
      </c>
      <c r="BA298" s="3">
        <f>SUM(BA290,BA291,BA292,BA293,BA294,BA295,BA296,BA297)</f>
        <v>0</v>
      </c>
      <c r="BB298" s="3">
        <f>SUM(BB290,BB291,BB292,BB293,BB294,BB295,BB296,BB297)</f>
        <v>0</v>
      </c>
      <c r="BC298" s="3">
        <f>SUM(BC290,BC291,BC292,BC293,BC294,BC295,BC296,BC297)</f>
        <v>0</v>
      </c>
      <c r="BD298" s="3">
        <f>SUM(BD290,BD291,BD292,BD293,BD294,BD295,BD296,BD297)</f>
        <v>0</v>
      </c>
      <c r="BE298" s="3">
        <f>SUM(BE290,BE291,BE292,BE293,BE294,BE295,BE296,BE297)</f>
        <v>0</v>
      </c>
      <c r="BF298" s="3">
        <f>SUM(BF290,BF291,BF292,BF293,BF294,BF295,BF296,BF297)</f>
        <v>0</v>
      </c>
      <c r="BG298" s="3">
        <f>SUM(BG290,BG291,BG292,BG293,BG294,BG295,BG296,BG297)</f>
        <v>0</v>
      </c>
      <c r="BH298" s="3">
        <f>SUM(BH290,BH291,BH292,BH293,BH294,BH295,BH296,BH297)</f>
        <v>0</v>
      </c>
      <c r="BI298" s="3">
        <f>SUM(BI290,BI291,BI292,BI293,BI294,BI295,BI296,BI297)</f>
        <v>0</v>
      </c>
      <c r="BJ298" s="3">
        <f>SUM(BJ290,BJ291,BJ292,BJ293,BJ294,BJ295,BJ296,BJ297)</f>
        <v>0</v>
      </c>
      <c r="BK298" s="3">
        <f>SUM(BK290,BK291,BK292,BK293,BK294,BK295,BK296,BK297)</f>
        <v>0</v>
      </c>
      <c r="BL298" s="3">
        <f>SUM(BL290,BL291,BL292,BL293,BL294,BL295,BL296,BL297)</f>
        <v>0</v>
      </c>
      <c r="BM298" s="3">
        <f>SUM(BM290,BM291,BM292,BM293,BM294,BM295,BM296,BM297)</f>
        <v>0</v>
      </c>
      <c r="BN298" s="3">
        <f>SUM(BN290,BN291,BN292,BN293,BN294,BN295,BN296,BN297)</f>
        <v>0</v>
      </c>
      <c r="BO298" s="3">
        <f>SUM(BO290,BO291,BO292,BO293,BO294,BO295,BO296,BO297)</f>
        <v>0</v>
      </c>
      <c r="BP298" s="3">
        <f>SUM(BP290,BP291,BP292,BP293,BP294,BP295,BP296,BP297)</f>
        <v>0</v>
      </c>
      <c r="BQ298" s="3">
        <f>SUM(BQ290,BQ291,BQ292,BQ293,BQ294,BQ295,BQ296,BQ297)</f>
        <v>0</v>
      </c>
      <c r="BR298" s="3">
        <f>SUM(BR290,BR291,BR292,BR293,BR294,BR295,BR296,BR297)</f>
        <v>0</v>
      </c>
      <c r="BS298" s="3">
        <f>SUM(BS290,BS291,BS292,BS293,BS294,BS295,BS296,BS297)</f>
        <v>0</v>
      </c>
      <c r="BT298" s="3">
        <f>SUM(BT290,BT291,BT292,BT293,BT294,BT295,BT296,BT297)</f>
        <v>0</v>
      </c>
      <c r="BU298" s="3">
        <f>SUM(BU290,BU291,BU292,BU293,BU294,BU295,BU296,BU297)</f>
        <v>0</v>
      </c>
      <c r="BV298" s="3">
        <f>SUM(BV290,BV291,BV292,BV293,BV294,BV295,BV296,BV297)</f>
        <v>0</v>
      </c>
      <c r="BW298" s="3">
        <f>SUM(BW290,BW291,BW292,BW293,BW294,BW295,BW296,BW297)</f>
        <v>0</v>
      </c>
      <c r="BX298" s="3">
        <f>SUM(BX290,BX291,BX292,BX293,BX294,BX295,BX296,BX297)</f>
        <v>0</v>
      </c>
      <c r="BY298" s="3">
        <f>SUM(BY290,BY291,BY292,BY293,BY294,BY295,BY296,BY297)</f>
        <v>0</v>
      </c>
      <c r="BZ298" s="3">
        <f>SUM(BZ290,BZ291,BZ292,BZ293,BZ294,BZ295,BZ296,BZ297)</f>
        <v>0</v>
      </c>
      <c r="CA298" s="3">
        <f>SUM(CA290,CA291,CA292,CA293,CA294,CA295,CA296,CA297)</f>
        <v>0</v>
      </c>
      <c r="CB298" s="3">
        <f>SUM(CB290,CB291,CB292,CB293,CB294,CB295,CB296,CB297)</f>
        <v>0</v>
      </c>
      <c r="CC298" s="3">
        <f>SUM(CC290,CC291,CC292,CC293,CC294,CC295,CC296,CC297)</f>
        <v>0</v>
      </c>
      <c r="CD298" s="3">
        <f>SUM(CD290,CD291,CD292,CD293,CD294,CD295,CD296,CD297)</f>
        <v>0</v>
      </c>
      <c r="CE298" s="3">
        <f>SUM(CE290,CE291,CE292,CE293,CE294,CE295,CE296,CE297)</f>
        <v>0</v>
      </c>
      <c r="CF298" s="3">
        <f>SUM(CF290,CF291,CF292,CF293,CF294,CF295,CF296,CF297)</f>
        <v>0</v>
      </c>
      <c r="CG298" s="3">
        <f>SUM(CG290,CG291,CG292,CG293,CG294,CG295,CG296,CG297)</f>
        <v>0</v>
      </c>
      <c r="CH298" s="3">
        <f>SUM(CH290,CH291,CH292,CH293,CH294,CH295,CH296,CH297)</f>
        <v>0</v>
      </c>
      <c r="CI298" s="3">
        <f>SUM(CI290,CI291,CI292,CI293,CI294,CI295,CI296,CI297)</f>
        <v>0</v>
      </c>
      <c r="CJ298" s="3">
        <f>SUM(CJ290,CJ291,CJ292,CJ293,CJ294,CJ295,CJ296,CJ297)</f>
        <v>0</v>
      </c>
      <c r="CK298" s="3">
        <f>SUM(CK290,CK291,CK292,CK293,CK294,CK295,CK296,CK297)</f>
        <v>0</v>
      </c>
      <c r="CL298" s="3">
        <f>SUM(CL290,CL291,CL292,CL293,CL294,CL295,CL296,CL297)</f>
        <v>0</v>
      </c>
      <c r="CM298" s="3">
        <f>SUM(CM290,CM291,CM292,CM293,CM294,CM295,CM296,CM297)</f>
        <v>0</v>
      </c>
      <c r="CN298" s="3">
        <f>SUM(CN290,CN291,CN292,CN293,CN294,CN295,CN296,CN297)</f>
        <v>0</v>
      </c>
      <c r="CO298" s="3">
        <f>SUM(CO290,CO291,CO292,CO293,CO294,CO295,CO296,CO297)</f>
        <v>0</v>
      </c>
      <c r="CP298" s="3">
        <f>SUM(CP290,CP291,CP292,CP293,CP294,CP295,CP296,CP297)</f>
        <v>0</v>
      </c>
      <c r="CQ298" s="3">
        <f>SUM(CQ290,CQ291,CQ292,CQ293,CQ294,CQ295,CQ296,CQ297)</f>
        <v>0</v>
      </c>
      <c r="CR298" s="3">
        <f>SUM(CR290,CR291,CR292,CR293,CR294,CR295,CR296,CR297)</f>
        <v>0</v>
      </c>
      <c r="CS298" s="3">
        <f>SUM(CS290,CS291,CS292,CS293,CS294,CS295,CS296,CS297)</f>
        <v>0</v>
      </c>
      <c r="CT298" s="3">
        <f>SUM(CT290,CT291,CT292,CT293,CT294,CT295,CT296,CT297)</f>
        <v>0</v>
      </c>
      <c r="CU298" s="3">
        <f>SUM(CU290,CU291,CU292,CU293,CU294,CU295,CU296,CU297)</f>
        <v>0</v>
      </c>
      <c r="CV298" s="3">
        <f>SUM(CV290,CV291,CV292,CV293,CV294,CV295,CV296,CV297)</f>
        <v>0</v>
      </c>
      <c r="CW298" s="3">
        <f>SUM(CW290,CW291,CW292,CW293,CW294,CW295,CW296,CW297)</f>
        <v>0</v>
      </c>
      <c r="CX298" s="3">
        <f>SUM(CX290,CX291,CX292,CX293,CX294,CX295,CX296,CX297)</f>
        <v>0</v>
      </c>
      <c r="CY298" s="3">
        <f>SUM(CY290,CY291,CY292,CY293,CY294,CY295,CY296,CY297)</f>
        <v>0</v>
      </c>
    </row>
    <row r="299">
      <c r="C299" s="26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 t="n"/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  <c r="AA299" s="3" t="n"/>
      <c r="AB299" s="3" t="n"/>
      <c r="AC299" s="3" t="n"/>
      <c r="AD299" s="3" t="n"/>
      <c r="AE299" s="3" t="n"/>
      <c r="AF299" s="3" t="n"/>
      <c r="AG299" s="3" t="n"/>
      <c r="AH299" s="3" t="n"/>
      <c r="AI299" s="3" t="n"/>
      <c r="AJ299" s="3" t="n"/>
      <c r="AK299" s="3" t="n"/>
      <c r="AL299" s="3" t="n"/>
      <c r="AM299" s="3" t="n"/>
      <c r="AN299" s="3" t="n"/>
      <c r="AO299" s="3" t="n"/>
      <c r="AP299" s="3" t="n"/>
      <c r="AQ299" s="3" t="n"/>
      <c r="AR299" s="3" t="n"/>
      <c r="AS299" s="3" t="n"/>
      <c r="AT299" s="3" t="n"/>
      <c r="AU299" s="3" t="n"/>
      <c r="AV299" s="3" t="n"/>
      <c r="AW299" s="3" t="n"/>
      <c r="AX299" s="3" t="n"/>
      <c r="AY299" s="3" t="n"/>
      <c r="AZ299" s="3" t="n"/>
      <c r="BA299" s="3" t="n"/>
      <c r="BB299" s="3" t="n"/>
      <c r="BC299" s="3" t="n"/>
      <c r="BD299" s="3" t="n"/>
      <c r="BE299" s="3" t="n"/>
      <c r="BF299" s="3" t="n"/>
      <c r="BG299" s="3" t="n"/>
      <c r="BH299" s="3" t="n"/>
      <c r="BI299" s="3" t="n"/>
      <c r="BJ299" s="3" t="n"/>
      <c r="BK299" s="3" t="n"/>
      <c r="BL299" s="3" t="n"/>
      <c r="BM299" s="3" t="n"/>
      <c r="BN299" s="3" t="n"/>
      <c r="BO299" s="3" t="n"/>
      <c r="BP299" s="3" t="n"/>
      <c r="BQ299" s="3" t="n"/>
      <c r="BR299" s="3" t="n"/>
      <c r="BS299" s="3" t="n"/>
      <c r="BT299" s="3" t="n"/>
      <c r="BU299" s="3" t="n"/>
      <c r="BV299" s="3" t="n"/>
      <c r="BW299" s="3" t="n"/>
      <c r="BX299" s="3" t="n"/>
      <c r="BY299" s="3" t="n"/>
      <c r="BZ299" s="3" t="n"/>
      <c r="CA299" s="3" t="n"/>
      <c r="CB299" s="3" t="n"/>
      <c r="CC299" s="3" t="n"/>
      <c r="CD299" s="3" t="n"/>
      <c r="CE299" s="3" t="n"/>
      <c r="CF299" s="3" t="n"/>
      <c r="CG299" s="3" t="n"/>
      <c r="CH299" s="3" t="n"/>
      <c r="CI299" s="3" t="n"/>
      <c r="CJ299" s="3" t="n"/>
      <c r="CK299" s="3" t="n"/>
      <c r="CL299" s="3" t="n"/>
      <c r="CM299" s="3" t="n"/>
      <c r="CN299" s="3" t="n"/>
      <c r="CO299" s="3" t="n"/>
      <c r="CP299" s="3" t="n"/>
      <c r="CQ299" s="3" t="n"/>
      <c r="CR299" s="3" t="n"/>
      <c r="CS299" s="3" t="n"/>
      <c r="CT299" s="3" t="n"/>
      <c r="CU299" s="3" t="n"/>
      <c r="CV299" s="3" t="n"/>
      <c r="CW299" s="3" t="n"/>
      <c r="CX299" s="3" t="n"/>
      <c r="CY299" s="3" t="n"/>
    </row>
    <row r="300">
      <c r="C300" s="26" t="inlineStr">
        <is>
          <t>Others</t>
        </is>
      </c>
      <c r="D300" s="3" t="n"/>
      <c r="E300" s="3" t="n"/>
      <c r="F300" s="3" t="n"/>
      <c r="G300" s="3" t="n"/>
      <c r="H300" s="3">
        <f>SUM(D300:G300)</f>
        <v>0</v>
      </c>
      <c r="I300" s="3" t="n"/>
      <c r="J300" s="3" t="n"/>
      <c r="K300" s="3" t="n"/>
      <c r="L300" s="3" t="n"/>
      <c r="M300" s="3">
        <f>SUM(I300:L300)</f>
        <v>0</v>
      </c>
      <c r="N300" s="3" t="n"/>
      <c r="O300" s="3" t="n"/>
      <c r="P300" s="3" t="n"/>
      <c r="Q300" s="3" t="n"/>
      <c r="R300" s="3">
        <f>SUM(N300:Q300)</f>
        <v>0</v>
      </c>
      <c r="S300" s="3" t="n"/>
      <c r="T300" s="3" t="n"/>
      <c r="U300" s="3" t="n"/>
      <c r="V300" s="3" t="n"/>
      <c r="W300" s="3">
        <f>SUM(S300:V300)</f>
        <v>0</v>
      </c>
      <c r="X300" s="3" t="n"/>
      <c r="Y300" s="3" t="n"/>
      <c r="Z300" s="3" t="n"/>
      <c r="AA300" s="3" t="n"/>
      <c r="AB300" s="3">
        <f>SUM(X300:AA300)</f>
        <v>0</v>
      </c>
      <c r="AC300" s="3" t="n"/>
      <c r="AD300" s="3" t="n"/>
      <c r="AE300" s="3" t="n"/>
      <c r="AF300" s="3" t="n"/>
      <c r="AG300" s="3">
        <f>SUM(AC300:AF300)</f>
        <v>0</v>
      </c>
      <c r="AH300" s="3" t="n"/>
      <c r="AI300" s="3" t="n"/>
      <c r="AJ300" s="3" t="n"/>
      <c r="AK300" s="3" t="n"/>
      <c r="AL300" s="3">
        <f>SUM(AH300:AK300)</f>
        <v>0</v>
      </c>
      <c r="AM300" s="3" t="n"/>
      <c r="AN300" s="3" t="n"/>
      <c r="AO300" s="3" t="n"/>
      <c r="AP300" s="3" t="n"/>
      <c r="AQ300" s="3">
        <f>SUM(AM300:AP300)</f>
        <v>0</v>
      </c>
      <c r="AR300" s="3" t="n"/>
      <c r="AS300" s="3" t="n"/>
      <c r="AT300" s="3" t="n"/>
      <c r="AU300" s="3" t="n"/>
      <c r="AV300" s="3">
        <f>SUM(AR300:AU300)</f>
        <v>0</v>
      </c>
      <c r="AW300" s="3" t="n"/>
      <c r="AX300" s="3" t="n"/>
      <c r="AY300" s="3" t="n"/>
      <c r="AZ300" s="3" t="n"/>
      <c r="BA300" s="3">
        <f>SUM(AW300:AZ300)</f>
        <v>0</v>
      </c>
      <c r="BB300" s="3" t="n"/>
      <c r="BC300" s="3" t="n"/>
      <c r="BD300" s="3" t="n"/>
      <c r="BE300" s="3" t="n"/>
      <c r="BF300" s="3">
        <f>SUM(BB300:BE300)</f>
        <v>0</v>
      </c>
      <c r="BG300" s="3" t="n"/>
      <c r="BH300" s="3" t="n"/>
      <c r="BI300" s="3" t="n"/>
      <c r="BJ300" s="3" t="n"/>
      <c r="BK300" s="3">
        <f>SUM(BG300:BJ300)</f>
        <v>0</v>
      </c>
      <c r="BL300" s="3" t="n"/>
      <c r="BM300" s="3" t="n"/>
      <c r="BN300" s="3" t="n"/>
      <c r="BO300" s="3" t="n"/>
      <c r="BP300" s="3">
        <f>SUM(BL300:BO300)</f>
        <v>0</v>
      </c>
      <c r="BQ300" s="3" t="n"/>
      <c r="BR300" s="3" t="n"/>
      <c r="BS300" s="3" t="n"/>
      <c r="BT300" s="3" t="n"/>
      <c r="BU300" s="3">
        <f>SUM(BQ300:BT300)</f>
        <v>0</v>
      </c>
      <c r="BV300" s="3" t="n"/>
      <c r="BW300" s="3" t="n"/>
      <c r="BX300" s="3" t="n"/>
      <c r="BY300" s="3" t="n"/>
      <c r="BZ300" s="3">
        <f>SUM(BV300:BY300)</f>
        <v>0</v>
      </c>
      <c r="CA300" s="3" t="n"/>
      <c r="CB300" s="3" t="n"/>
      <c r="CC300" s="3" t="n"/>
      <c r="CD300" s="3" t="n"/>
      <c r="CE300" s="3">
        <f>SUM(CA300:CD300)</f>
        <v>0</v>
      </c>
      <c r="CF300" s="3" t="n"/>
      <c r="CG300" s="3" t="n"/>
      <c r="CH300" s="3" t="n"/>
      <c r="CI300" s="3" t="n"/>
      <c r="CJ300" s="3">
        <f>SUM(CF300:CI300)</f>
        <v>0</v>
      </c>
      <c r="CK300" s="3" t="n"/>
      <c r="CL300" s="3" t="n"/>
      <c r="CM300" s="3" t="n"/>
      <c r="CN300" s="3" t="n"/>
      <c r="CO300" s="3">
        <f>SUM(CK300:CN300)</f>
        <v>0</v>
      </c>
      <c r="CP300" s="3" t="n"/>
      <c r="CQ300" s="3" t="n"/>
      <c r="CR300" s="3" t="n"/>
      <c r="CS300" s="3" t="n"/>
      <c r="CT300" s="3">
        <f>SUM(CP300:CS300)</f>
        <v>0</v>
      </c>
      <c r="CU300" s="3" t="n"/>
      <c r="CV300" s="3" t="n"/>
      <c r="CW300" s="3" t="n"/>
      <c r="CX300" s="3" t="n"/>
      <c r="CY300" s="3">
        <f>SUM(CU300:CX300)</f>
        <v>0</v>
      </c>
    </row>
    <row r="301">
      <c r="C301" s="26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 t="n"/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  <c r="AA301" s="3" t="n"/>
      <c r="AB301" s="3" t="n"/>
      <c r="AC301" s="3" t="n"/>
      <c r="AD301" s="3" t="n"/>
      <c r="AE301" s="3" t="n"/>
      <c r="AF301" s="3" t="n"/>
      <c r="AG301" s="3" t="n"/>
      <c r="AH301" s="3" t="n"/>
      <c r="AI301" s="3" t="n"/>
      <c r="AJ301" s="3" t="n"/>
      <c r="AK301" s="3" t="n"/>
      <c r="AL301" s="3" t="n"/>
      <c r="AM301" s="3" t="n"/>
      <c r="AN301" s="3" t="n"/>
      <c r="AO301" s="3" t="n"/>
      <c r="AP301" s="3" t="n"/>
      <c r="AQ301" s="3" t="n"/>
      <c r="AR301" s="3" t="n"/>
      <c r="AS301" s="3" t="n"/>
      <c r="AT301" s="3" t="n"/>
      <c r="AU301" s="3" t="n"/>
      <c r="AV301" s="3" t="n"/>
      <c r="AW301" s="3" t="n"/>
      <c r="AX301" s="3" t="n"/>
      <c r="AY301" s="3" t="n"/>
      <c r="AZ301" s="3" t="n"/>
      <c r="BA301" s="3" t="n"/>
      <c r="BB301" s="3" t="n"/>
      <c r="BC301" s="3" t="n"/>
      <c r="BD301" s="3" t="n"/>
      <c r="BE301" s="3" t="n"/>
      <c r="BF301" s="3" t="n"/>
      <c r="BG301" s="3" t="n"/>
      <c r="BH301" s="3" t="n"/>
      <c r="BI301" s="3" t="n"/>
      <c r="BJ301" s="3" t="n"/>
      <c r="BK301" s="3" t="n"/>
      <c r="BL301" s="3" t="n"/>
      <c r="BM301" s="3" t="n"/>
      <c r="BN301" s="3" t="n"/>
      <c r="BO301" s="3" t="n"/>
      <c r="BP301" s="3" t="n"/>
      <c r="BQ301" s="3" t="n"/>
      <c r="BR301" s="3" t="n"/>
      <c r="BS301" s="3" t="n"/>
      <c r="BT301" s="3" t="n"/>
      <c r="BU301" s="3" t="n"/>
      <c r="BV301" s="3" t="n"/>
      <c r="BW301" s="3" t="n"/>
      <c r="BX301" s="3" t="n"/>
      <c r="BY301" s="3" t="n"/>
      <c r="BZ301" s="3" t="n"/>
      <c r="CA301" s="3" t="n"/>
      <c r="CB301" s="3" t="n"/>
      <c r="CC301" s="3" t="n"/>
      <c r="CD301" s="3" t="n"/>
      <c r="CE301" s="3" t="n"/>
      <c r="CF301" s="3" t="n"/>
      <c r="CG301" s="3" t="n"/>
      <c r="CH301" s="3" t="n"/>
      <c r="CI301" s="3" t="n"/>
      <c r="CJ301" s="3" t="n"/>
      <c r="CK301" s="3" t="n"/>
      <c r="CL301" s="3" t="n"/>
      <c r="CM301" s="3" t="n"/>
      <c r="CN301" s="3" t="n"/>
      <c r="CO301" s="3" t="n"/>
      <c r="CP301" s="3" t="n"/>
      <c r="CQ301" s="3" t="n"/>
      <c r="CR301" s="3" t="n"/>
      <c r="CS301" s="3" t="n"/>
      <c r="CT301" s="3" t="n"/>
      <c r="CU301" s="3" t="n"/>
      <c r="CV301" s="3" t="n"/>
      <c r="CW301" s="3" t="n"/>
      <c r="CX301" s="3" t="n"/>
      <c r="CY301" s="3" t="n"/>
    </row>
    <row r="302">
      <c r="C302" s="26" t="inlineStr">
        <is>
          <t>Total increase/decrease of cash</t>
        </is>
      </c>
      <c r="D302" s="3" t="n"/>
      <c r="E302" s="3">
        <f>SUM(E281,E288,E298,E300)</f>
        <v>-350</v>
      </c>
      <c r="F302" s="3">
        <f>SUM(F281,F288,F298,F300)</f>
        <v>-1239</v>
      </c>
      <c r="G302" s="3">
        <f>SUM(G281,G288,G298,G300)</f>
        <v>1934</v>
      </c>
      <c r="H302" s="3">
        <f>SUM(D302:G302)</f>
        <v>345</v>
      </c>
      <c r="I302" s="3">
        <f>SUM(I281,I288,I298,I300)</f>
        <v>-34</v>
      </c>
      <c r="J302" s="3">
        <f>SUM(J281,J288,J298,J300)</f>
        <v>1587</v>
      </c>
      <c r="K302" s="3">
        <f>SUM(K281,K288,K298,K300)</f>
        <v>1058</v>
      </c>
      <c r="L302" s="3">
        <f>SUM(L281,L288,L298,L300)</f>
        <v>-1944</v>
      </c>
      <c r="M302" s="3">
        <f>SUM(I302:L302)</f>
        <v>667</v>
      </c>
      <c r="N302" s="3">
        <f>SUM(N281,N288,N298,N300)</f>
        <v>-1214</v>
      </c>
      <c r="O302" s="3">
        <f>SUM(O281,O288,O298,O300)</f>
        <v>972</v>
      </c>
      <c r="P302" s="3">
        <f>SUM(P281,P288,P298,P300)</f>
        <v>2439</v>
      </c>
      <c r="Q302" s="3">
        <f>SUM(Q281,Q288,Q298,Q300)</f>
        <v>231</v>
      </c>
      <c r="R302" s="3">
        <f>SUM(N302:Q302)</f>
        <v>2428</v>
      </c>
      <c r="S302" s="3">
        <f>SUM(S281,S288,S298,S300)</f>
        <v>-1094</v>
      </c>
      <c r="T302" s="3">
        <f>SUM(T281,T288,T298,T300)</f>
        <v>502</v>
      </c>
      <c r="U302" s="3">
        <f>SUM(U281,U288,U298,U300)</f>
        <v>2134</v>
      </c>
      <c r="V302" s="3">
        <f>SUM(V281,V288,V298,V300)</f>
        <v>-2325</v>
      </c>
      <c r="W302" s="3">
        <f>SUM(S302:V302)</f>
        <v>-783</v>
      </c>
      <c r="X302" s="3">
        <f>SUM(X281,X288,X298,X300)</f>
        <v>-2055</v>
      </c>
      <c r="Y302" s="3">
        <f>SUM(Y281,Y288,Y298,Y300)</f>
        <v>143</v>
      </c>
      <c r="Z302" s="3">
        <f>SUM(Z281,Z288,Z298,Z300)</f>
        <v>-604</v>
      </c>
      <c r="AA302" s="3">
        <f>SUM(AA281,AA288,AA298,AA300)</f>
        <v>-41</v>
      </c>
      <c r="AB302" s="3">
        <f>SUM(X302:AA302)</f>
        <v>-2557</v>
      </c>
      <c r="AC302" s="3">
        <f>SUM(AC281,AC288,AC298,AC300)</f>
        <v>165</v>
      </c>
      <c r="AD302" s="3">
        <f>SUM(AD281,AD288,AD298,AD300)</f>
        <v>1246</v>
      </c>
      <c r="AE302" s="3">
        <f>SUM(AE281,AE288,AE298,AE300)</f>
        <v>5460</v>
      </c>
      <c r="AF302" s="3">
        <f>SUM(AF281,AF288,AF298,AF300)</f>
        <v>-2004</v>
      </c>
      <c r="AG302" s="3">
        <f>SUM(AC302:AF302)</f>
        <v>4867</v>
      </c>
      <c r="AH302" s="3">
        <f>SUM(AH281,AH288,AH298,AH300)</f>
        <v>5454</v>
      </c>
      <c r="AI302" s="3">
        <f>SUM(AI281,AI288,AI298,AI300)</f>
        <v>4347</v>
      </c>
      <c r="AJ302" s="3">
        <f>SUM(AJ281,AJ288,AJ298,AJ300)</f>
        <v>39167</v>
      </c>
      <c r="AK302" s="3">
        <f>SUM(AK281,AK288,AK298,AK300)</f>
        <v>98</v>
      </c>
      <c r="AL302" s="3">
        <f>SUM(AH302:AK302)</f>
        <v>49066</v>
      </c>
      <c r="AM302" s="3" t="e">
        <f>SUM(AM281,AM288,AM298,AM300)</f>
        <v>#DIV/0!</v>
      </c>
      <c r="AN302" s="3" t="e">
        <f>SUM(AN281,AN288,AN298,AN300)</f>
        <v>#DIV/0!</v>
      </c>
      <c r="AO302" s="3" t="e">
        <f>SUM(AO281,AO288,AO298,AO300)</f>
        <v>#DIV/0!</v>
      </c>
      <c r="AP302" s="3" t="e">
        <f>SUM(AP281,AP288,AP298,AP300)</f>
        <v>#DIV/0!</v>
      </c>
      <c r="AQ302" s="3" t="e">
        <f>SUM(AM302:AP302)</f>
        <v>#DIV/0!</v>
      </c>
      <c r="AR302" s="3" t="e">
        <f>SUM(AR281,AR288,AR298,AR300)</f>
        <v>#DIV/0!</v>
      </c>
      <c r="AS302" s="3" t="e">
        <f>SUM(AS281,AS288,AS298,AS300)</f>
        <v>#DIV/0!</v>
      </c>
      <c r="AT302" s="3" t="e">
        <f>SUM(AT281,AT288,AT298,AT300)</f>
        <v>#DIV/0!</v>
      </c>
      <c r="AU302" s="3" t="e">
        <f>SUM(AU281,AU288,AU298,AU300)</f>
        <v>#DIV/0!</v>
      </c>
      <c r="AV302" s="3" t="e">
        <f>SUM(AR302:AU302)</f>
        <v>#DIV/0!</v>
      </c>
      <c r="AW302" s="3" t="e">
        <f>SUM(AW281,AW288,AW298,AW300)</f>
        <v>#DIV/0!</v>
      </c>
      <c r="AX302" s="3" t="e">
        <f>SUM(AX281,AX288,AX298,AX300)</f>
        <v>#DIV/0!</v>
      </c>
      <c r="AY302" s="3" t="e">
        <f>SUM(AY281,AY288,AY298,AY300)</f>
        <v>#DIV/0!</v>
      </c>
      <c r="AZ302" s="3" t="e">
        <f>SUM(AZ281,AZ288,AZ298,AZ300)</f>
        <v>#DIV/0!</v>
      </c>
      <c r="BA302" s="3" t="e">
        <f>SUM(AW302:AZ302)</f>
        <v>#DIV/0!</v>
      </c>
      <c r="BB302" s="3" t="e">
        <f>SUM(BB281,BB288,BB298,BB300)</f>
        <v>#DIV/0!</v>
      </c>
      <c r="BC302" s="3" t="e">
        <f>SUM(BC281,BC288,BC298,BC300)</f>
        <v>#DIV/0!</v>
      </c>
      <c r="BD302" s="3" t="e">
        <f>SUM(BD281,BD288,BD298,BD300)</f>
        <v>#DIV/0!</v>
      </c>
      <c r="BE302" s="3" t="e">
        <f>SUM(BE281,BE288,BE298,BE300)</f>
        <v>#DIV/0!</v>
      </c>
      <c r="BF302" s="3" t="e">
        <f>SUM(BB302:BE302)</f>
        <v>#DIV/0!</v>
      </c>
      <c r="BG302" s="3" t="e">
        <f>SUM(BG281,BG288,BG298,BG300)</f>
        <v>#DIV/0!</v>
      </c>
      <c r="BH302" s="3" t="e">
        <f>SUM(BH281,BH288,BH298,BH300)</f>
        <v>#DIV/0!</v>
      </c>
      <c r="BI302" s="3" t="e">
        <f>SUM(BI281,BI288,BI298,BI300)</f>
        <v>#DIV/0!</v>
      </c>
      <c r="BJ302" s="3" t="e">
        <f>SUM(BJ281,BJ288,BJ298,BJ300)</f>
        <v>#DIV/0!</v>
      </c>
      <c r="BK302" s="3" t="e">
        <f>SUM(BG302:BJ302)</f>
        <v>#DIV/0!</v>
      </c>
      <c r="BL302" s="3" t="e">
        <f>SUM(BL281,BL288,BL298,BL300)</f>
        <v>#DIV/0!</v>
      </c>
      <c r="BM302" s="3" t="e">
        <f>SUM(BM281,BM288,BM298,BM300)</f>
        <v>#DIV/0!</v>
      </c>
      <c r="BN302" s="3" t="e">
        <f>SUM(BN281,BN288,BN298,BN300)</f>
        <v>#DIV/0!</v>
      </c>
      <c r="BO302" s="3" t="e">
        <f>SUM(BO281,BO288,BO298,BO300)</f>
        <v>#DIV/0!</v>
      </c>
      <c r="BP302" s="3" t="e">
        <f>SUM(BL302:BO302)</f>
        <v>#DIV/0!</v>
      </c>
      <c r="BQ302" s="3" t="e">
        <f>SUM(BQ281,BQ288,BQ298,BQ300)</f>
        <v>#DIV/0!</v>
      </c>
      <c r="BR302" s="3" t="e">
        <f>SUM(BR281,BR288,BR298,BR300)</f>
        <v>#DIV/0!</v>
      </c>
      <c r="BS302" s="3" t="e">
        <f>SUM(BS281,BS288,BS298,BS300)</f>
        <v>#DIV/0!</v>
      </c>
      <c r="BT302" s="3" t="e">
        <f>SUM(BT281,BT288,BT298,BT300)</f>
        <v>#DIV/0!</v>
      </c>
      <c r="BU302" s="3" t="e">
        <f>SUM(BQ302:BT302)</f>
        <v>#DIV/0!</v>
      </c>
      <c r="BV302" s="3" t="e">
        <f>SUM(BV281,BV288,BV298,BV300)</f>
        <v>#DIV/0!</v>
      </c>
      <c r="BW302" s="3" t="e">
        <f>SUM(BW281,BW288,BW298,BW300)</f>
        <v>#DIV/0!</v>
      </c>
      <c r="BX302" s="3" t="e">
        <f>SUM(BX281,BX288,BX298,BX300)</f>
        <v>#DIV/0!</v>
      </c>
      <c r="BY302" s="3" t="e">
        <f>SUM(BY281,BY288,BY298,BY300)</f>
        <v>#DIV/0!</v>
      </c>
      <c r="BZ302" s="3" t="e">
        <f>SUM(BV302:BY302)</f>
        <v>#DIV/0!</v>
      </c>
      <c r="CA302" s="3" t="e">
        <f>SUM(CA281,CA288,CA298,CA300)</f>
        <v>#DIV/0!</v>
      </c>
      <c r="CB302" s="3" t="e">
        <f>SUM(CB281,CB288,CB298,CB300)</f>
        <v>#DIV/0!</v>
      </c>
      <c r="CC302" s="3" t="e">
        <f>SUM(CC281,CC288,CC298,CC300)</f>
        <v>#DIV/0!</v>
      </c>
      <c r="CD302" s="3" t="e">
        <f>SUM(CD281,CD288,CD298,CD300)</f>
        <v>#DIV/0!</v>
      </c>
      <c r="CE302" s="3" t="e">
        <f>SUM(CA302:CD302)</f>
        <v>#DIV/0!</v>
      </c>
      <c r="CF302" s="3" t="e">
        <f>SUM(CF281,CF288,CF298,CF300)</f>
        <v>#DIV/0!</v>
      </c>
      <c r="CG302" s="3" t="e">
        <f>SUM(CG281,CG288,CG298,CG300)</f>
        <v>#DIV/0!</v>
      </c>
      <c r="CH302" s="3" t="e">
        <f>SUM(CH281,CH288,CH298,CH300)</f>
        <v>#DIV/0!</v>
      </c>
      <c r="CI302" s="3" t="e">
        <f>SUM(CI281,CI288,CI298,CI300)</f>
        <v>#DIV/0!</v>
      </c>
      <c r="CJ302" s="3" t="e">
        <f>SUM(CF302:CI302)</f>
        <v>#DIV/0!</v>
      </c>
      <c r="CK302" s="3" t="e">
        <f>SUM(CK281,CK288,CK298,CK300)</f>
        <v>#DIV/0!</v>
      </c>
      <c r="CL302" s="3" t="e">
        <f>SUM(CL281,CL288,CL298,CL300)</f>
        <v>#DIV/0!</v>
      </c>
      <c r="CM302" s="3" t="e">
        <f>SUM(CM281,CM288,CM298,CM300)</f>
        <v>#DIV/0!</v>
      </c>
      <c r="CN302" s="3" t="e">
        <f>SUM(CN281,CN288,CN298,CN300)</f>
        <v>#DIV/0!</v>
      </c>
      <c r="CO302" s="3" t="e">
        <f>SUM(CK302:CN302)</f>
        <v>#DIV/0!</v>
      </c>
      <c r="CP302" s="3" t="e">
        <f>SUM(CP281,CP288,CP298,CP300)</f>
        <v>#DIV/0!</v>
      </c>
      <c r="CQ302" s="3" t="e">
        <f>SUM(CQ281,CQ288,CQ298,CQ300)</f>
        <v>#DIV/0!</v>
      </c>
      <c r="CR302" s="3" t="e">
        <f>SUM(CR281,CR288,CR298,CR300)</f>
        <v>#DIV/0!</v>
      </c>
      <c r="CS302" s="3" t="e">
        <f>SUM(CS281,CS288,CS298,CS300)</f>
        <v>#DIV/0!</v>
      </c>
      <c r="CT302" s="3" t="e">
        <f>SUM(CP302:CS302)</f>
        <v>#DIV/0!</v>
      </c>
      <c r="CU302" s="3" t="e">
        <f>SUM(CU281,CU288,CU298,CU300)</f>
        <v>#DIV/0!</v>
      </c>
      <c r="CV302" s="3" t="e">
        <f>SUM(CV281,CV288,CV298,CV300)</f>
        <v>#DIV/0!</v>
      </c>
      <c r="CW302" s="3" t="e">
        <f>SUM(CW281,CW288,CW298,CW300)</f>
        <v>#DIV/0!</v>
      </c>
      <c r="CX302" s="3" t="e">
        <f>SUM(CX281,CX288,CX298,CX300)</f>
        <v>#DIV/0!</v>
      </c>
      <c r="CY302" s="3" t="e">
        <f>SUM(CU302:CX302)</f>
        <v>#DIV/0!</v>
      </c>
    </row>
    <row r="303">
      <c r="C303" s="4" t="inlineStr">
        <is>
          <t>Check</t>
        </is>
      </c>
      <c r="E303" s="51">
        <f>(E302)-(E132-D132)</f>
        <v>0</v>
      </c>
      <c r="F303" s="51">
        <f>(F302)-(F132-E132)</f>
        <v>0</v>
      </c>
      <c r="G303" s="51">
        <f>(G302)-(G132-F132)</f>
        <v>0</v>
      </c>
      <c r="I303" s="51">
        <f>(I302)-(I132-H132)</f>
        <v>0</v>
      </c>
      <c r="J303" s="51">
        <f>(J302)-(J132-I132)</f>
        <v>0</v>
      </c>
      <c r="K303" s="51">
        <f>(K302)-(K132-J132)</f>
        <v>0</v>
      </c>
      <c r="L303" s="51">
        <f>(L302)-(L132-K132)</f>
        <v>0</v>
      </c>
      <c r="N303" s="51">
        <f>(N302)-(N132-M132)</f>
        <v>0</v>
      </c>
      <c r="O303" s="51">
        <f>(O302)-(O132-N132)</f>
        <v>0</v>
      </c>
      <c r="P303" s="51">
        <f>(P302)-(P132-O132)</f>
        <v>0</v>
      </c>
      <c r="Q303" s="51">
        <f>(Q302)-(Q132-P132)</f>
        <v>0</v>
      </c>
      <c r="S303" s="51">
        <f>(S302)-(S132-R132)</f>
        <v>0</v>
      </c>
      <c r="T303" s="51">
        <f>(T302)-(T132-S132)</f>
        <v>0</v>
      </c>
      <c r="U303" s="51">
        <f>(U302)-(U132-T132)</f>
        <v>0</v>
      </c>
      <c r="V303" s="51">
        <f>(V302)-(V132-U132)</f>
        <v>0</v>
      </c>
      <c r="X303" s="51">
        <f>(X302)-(X132-W132)</f>
        <v>0</v>
      </c>
      <c r="Y303" s="51">
        <f>(Y302)-(Y132-X132)</f>
        <v>0</v>
      </c>
      <c r="Z303" s="51">
        <f>(Z302)-(Z132-Y132)</f>
        <v>0</v>
      </c>
      <c r="AA303" s="51">
        <f>(AA302)-(AA132-Z132)</f>
        <v>0</v>
      </c>
      <c r="AC303" s="51">
        <f>(AC302)-(AC132-AB132)</f>
        <v>0</v>
      </c>
      <c r="AD303" s="51">
        <f>(AD302)-(AD132-AC132)</f>
        <v>0</v>
      </c>
      <c r="AE303" s="51">
        <f>(AE302)-(AE132-AD132)</f>
        <v>0</v>
      </c>
      <c r="AF303" s="51">
        <f>(AF302)-(AF132-AE132)</f>
        <v>0</v>
      </c>
      <c r="AH303" s="51">
        <f>(AH302)-(AH132-AG132)</f>
        <v>0</v>
      </c>
      <c r="AI303" s="51">
        <f>(AI302)-(AI132-AH132)</f>
        <v>0</v>
      </c>
      <c r="AJ303" s="51">
        <f>(AJ302)-(AJ132-AI132)</f>
        <v>0</v>
      </c>
      <c r="AK303" s="51">
        <f>(AK302)-(AK132-AJ132)</f>
        <v>0</v>
      </c>
      <c r="AM303" s="51" t="e">
        <f>(AM302)-(AM132-AL132)</f>
        <v>#DIV/0!</v>
      </c>
      <c r="AN303" s="51" t="e">
        <f>(AN302)-(AN132-AM132)</f>
        <v>#DIV/0!</v>
      </c>
      <c r="AO303" s="51" t="e">
        <f>(AO302)-(AO132-AN132)</f>
        <v>#DIV/0!</v>
      </c>
      <c r="AP303" s="51" t="e">
        <f>(AP302)-(AP132-AO132)</f>
        <v>#DIV/0!</v>
      </c>
      <c r="AR303" s="51" t="e">
        <f>(AR302)-(AR132-AQ132)</f>
        <v>#DIV/0!</v>
      </c>
      <c r="AS303" s="51" t="e">
        <f>(AS302)-(AS132-AR132)</f>
        <v>#DIV/0!</v>
      </c>
      <c r="AT303" s="51" t="e">
        <f>(AT302)-(AT132-AS132)</f>
        <v>#DIV/0!</v>
      </c>
      <c r="AU303" s="51" t="e">
        <f>(AU302)-(AU132-AT132)</f>
        <v>#DIV/0!</v>
      </c>
      <c r="AW303" s="51" t="e">
        <f>(AW302)-(AW132-AV132)</f>
        <v>#DIV/0!</v>
      </c>
      <c r="AX303" s="51" t="e">
        <f>(AX302)-(AX132-AW132)</f>
        <v>#DIV/0!</v>
      </c>
      <c r="AY303" s="51" t="e">
        <f>(AY302)-(AY132-AX132)</f>
        <v>#DIV/0!</v>
      </c>
      <c r="AZ303" s="51" t="e">
        <f>(AZ302)-(AZ132-AY132)</f>
        <v>#DIV/0!</v>
      </c>
      <c r="BB303" s="51" t="e">
        <f>(BB302)-(BB132-BA132)</f>
        <v>#DIV/0!</v>
      </c>
      <c r="BC303" s="51" t="e">
        <f>(BC302)-(BC132-BB132)</f>
        <v>#DIV/0!</v>
      </c>
      <c r="BD303" s="51" t="e">
        <f>(BD302)-(BD132-BC132)</f>
        <v>#DIV/0!</v>
      </c>
      <c r="BE303" s="51" t="e">
        <f>(BE302)-(BE132-BD132)</f>
        <v>#DIV/0!</v>
      </c>
      <c r="BG303" s="51" t="e">
        <f>(BG302)-(BG132-BF132)</f>
        <v>#DIV/0!</v>
      </c>
      <c r="BH303" s="51" t="e">
        <f>(BH302)-(BH132-BG132)</f>
        <v>#DIV/0!</v>
      </c>
      <c r="BI303" s="51" t="e">
        <f>(BI302)-(BI132-BH132)</f>
        <v>#DIV/0!</v>
      </c>
      <c r="BJ303" s="51" t="e">
        <f>(BJ302)-(BJ132-BI132)</f>
        <v>#DIV/0!</v>
      </c>
      <c r="BL303" s="51" t="e">
        <f>(BL302)-(BL132-BK132)</f>
        <v>#DIV/0!</v>
      </c>
      <c r="BM303" s="51" t="e">
        <f>(BM302)-(BM132-BL132)</f>
        <v>#DIV/0!</v>
      </c>
      <c r="BN303" s="51" t="e">
        <f>(BN302)-(BN132-BM132)</f>
        <v>#DIV/0!</v>
      </c>
      <c r="BO303" s="51" t="e">
        <f>(BO302)-(BO132-BN132)</f>
        <v>#DIV/0!</v>
      </c>
      <c r="BQ303" s="51" t="e">
        <f>(BQ302)-(BQ132-BP132)</f>
        <v>#DIV/0!</v>
      </c>
      <c r="BR303" s="51" t="e">
        <f>(BR302)-(BR132-BQ132)</f>
        <v>#DIV/0!</v>
      </c>
      <c r="BS303" s="51" t="e">
        <f>(BS302)-(BS132-BR132)</f>
        <v>#DIV/0!</v>
      </c>
      <c r="BT303" s="51" t="e">
        <f>(BT302)-(BT132-BS132)</f>
        <v>#DIV/0!</v>
      </c>
      <c r="BV303" s="51" t="e">
        <f>(BV302)-(BV132-BU132)</f>
        <v>#DIV/0!</v>
      </c>
      <c r="BW303" s="51" t="e">
        <f>(BW302)-(BW132-BV132)</f>
        <v>#DIV/0!</v>
      </c>
      <c r="BX303" s="51" t="e">
        <f>(BX302)-(BX132-BW132)</f>
        <v>#DIV/0!</v>
      </c>
      <c r="BY303" s="51" t="e">
        <f>(BY302)-(BY132-BX132)</f>
        <v>#DIV/0!</v>
      </c>
      <c r="CA303" s="51" t="e">
        <f>(CA302)-(CA132-BZ132)</f>
        <v>#DIV/0!</v>
      </c>
      <c r="CB303" s="51" t="e">
        <f>(CB302)-(CB132-CA132)</f>
        <v>#DIV/0!</v>
      </c>
      <c r="CC303" s="51" t="e">
        <f>(CC302)-(CC132-CB132)</f>
        <v>#DIV/0!</v>
      </c>
      <c r="CD303" s="51" t="e">
        <f>(CD302)-(CD132-CC132)</f>
        <v>#DIV/0!</v>
      </c>
      <c r="CF303" s="51" t="e">
        <f>(CF302)-(CF132-CE132)</f>
        <v>#DIV/0!</v>
      </c>
      <c r="CG303" s="51" t="e">
        <f>(CG302)-(CG132-CF132)</f>
        <v>#DIV/0!</v>
      </c>
      <c r="CH303" s="51" t="e">
        <f>(CH302)-(CH132-CG132)</f>
        <v>#DIV/0!</v>
      </c>
      <c r="CI303" s="51" t="e">
        <f>(CI302)-(CI132-CH132)</f>
        <v>#DIV/0!</v>
      </c>
      <c r="CK303" s="51" t="e">
        <f>(CK302)-(CK132-CJ132)</f>
        <v>#DIV/0!</v>
      </c>
      <c r="CL303" s="51" t="e">
        <f>(CL302)-(CL132-CK132)</f>
        <v>#DIV/0!</v>
      </c>
      <c r="CM303" s="51" t="e">
        <f>(CM302)-(CM132-CL132)</f>
        <v>#DIV/0!</v>
      </c>
      <c r="CN303" s="51" t="e">
        <f>(CN302)-(CN132-CM132)</f>
        <v>#DIV/0!</v>
      </c>
      <c r="CP303" s="51" t="e">
        <f>(CP302)-(CP132-CO132)</f>
        <v>#DIV/0!</v>
      </c>
      <c r="CQ303" s="51" t="e">
        <f>(CQ302)-(CQ132-CP132)</f>
        <v>#DIV/0!</v>
      </c>
      <c r="CR303" s="51" t="e">
        <f>(CR302)-(CR132-CQ132)</f>
        <v>#DIV/0!</v>
      </c>
      <c r="CS303" s="51" t="e">
        <f>(CS302)-(CS132-CR132)</f>
        <v>#DIV/0!</v>
      </c>
      <c r="CU303" s="51" t="e">
        <f>(CU302)-(CU132-CT132)</f>
        <v>#DIV/0!</v>
      </c>
      <c r="CV303" s="51" t="e">
        <f>(CV302)-(CV132-CU132)</f>
        <v>#DIV/0!</v>
      </c>
      <c r="CW303" s="51" t="e">
        <f>(CW302)-(CW132-CV132)</f>
        <v>#DIV/0!</v>
      </c>
      <c r="CX303" s="51" t="e">
        <f>(CX302)-(CX132-CW132)</f>
        <v>#DIV/0!</v>
      </c>
    </row>
    <row r="305">
      <c r="C305" s="53" t="inlineStr">
        <is>
          <t>Ratio Analysis</t>
        </is>
      </c>
      <c r="D305" s="53" t="n"/>
      <c r="E305" s="53" t="n"/>
      <c r="F305" s="53" t="n"/>
      <c r="G305" s="53" t="n"/>
      <c r="H305" s="53" t="n"/>
      <c r="I305" s="53" t="n"/>
      <c r="J305" s="53" t="n"/>
      <c r="K305" s="53" t="n"/>
      <c r="L305" s="53" t="n"/>
      <c r="M305" s="53" t="n"/>
      <c r="N305" s="53" t="n"/>
      <c r="O305" s="53" t="n"/>
      <c r="P305" s="53" t="n"/>
      <c r="Q305" s="53" t="n"/>
      <c r="R305" s="53" t="n"/>
      <c r="S305" s="53" t="n"/>
      <c r="T305" s="53" t="n"/>
      <c r="U305" s="53" t="n"/>
      <c r="V305" s="53" t="n"/>
      <c r="W305" s="53" t="n"/>
      <c r="X305" s="53" t="n"/>
      <c r="Y305" s="53" t="n"/>
      <c r="Z305" s="53" t="n"/>
      <c r="AA305" s="53" t="n"/>
      <c r="AB305" s="53" t="n"/>
      <c r="AC305" s="53" t="n"/>
      <c r="AD305" s="53" t="n"/>
      <c r="AE305" s="53" t="n"/>
      <c r="AF305" s="53" t="n"/>
      <c r="AG305" s="53" t="n"/>
      <c r="AH305" s="53" t="n"/>
      <c r="AI305" s="53" t="n"/>
      <c r="AJ305" s="53" t="n"/>
      <c r="AK305" s="53" t="n"/>
      <c r="AL305" s="53" t="n"/>
      <c r="AM305" s="53" t="n"/>
      <c r="AN305" s="53" t="n"/>
      <c r="AO305" s="53" t="n"/>
      <c r="AP305" s="53" t="n"/>
      <c r="AQ305" s="53" t="n"/>
      <c r="AR305" s="53" t="n"/>
      <c r="AS305" s="53" t="n"/>
      <c r="AT305" s="53" t="n"/>
      <c r="AU305" s="53" t="n"/>
      <c r="AV305" s="53" t="n"/>
      <c r="AW305" s="53" t="n"/>
      <c r="AX305" s="53" t="n"/>
      <c r="AY305" s="53" t="n"/>
      <c r="AZ305" s="53" t="n"/>
      <c r="BA305" s="53" t="n"/>
      <c r="BB305" s="53" t="n"/>
      <c r="BC305" s="53" t="n"/>
      <c r="BD305" s="53" t="n"/>
      <c r="BE305" s="53" t="n"/>
      <c r="BF305" s="53" t="n"/>
      <c r="BG305" s="53" t="n"/>
      <c r="BH305" s="53" t="n"/>
      <c r="BI305" s="53" t="n"/>
      <c r="BJ305" s="53" t="n"/>
      <c r="BK305" s="53" t="n"/>
      <c r="BL305" s="53" t="n"/>
      <c r="BM305" s="53" t="n"/>
      <c r="BN305" s="53" t="n"/>
      <c r="BO305" s="53" t="n"/>
      <c r="BP305" s="53" t="n"/>
      <c r="BQ305" s="53" t="n"/>
      <c r="BR305" s="53" t="n"/>
      <c r="BS305" s="53" t="n"/>
      <c r="BT305" s="53" t="n"/>
      <c r="BU305" s="53" t="n"/>
      <c r="BV305" s="53" t="n"/>
      <c r="BW305" s="53" t="n"/>
      <c r="BX305" s="53" t="n"/>
      <c r="BY305" s="53" t="n"/>
      <c r="BZ305" s="53" t="n"/>
      <c r="CA305" s="53" t="n"/>
      <c r="CB305" s="53" t="n"/>
      <c r="CC305" s="53" t="n"/>
      <c r="CD305" s="53" t="n"/>
      <c r="CE305" s="53" t="n"/>
      <c r="CF305" s="53" t="n"/>
      <c r="CG305" s="53" t="n"/>
      <c r="CH305" s="53" t="n"/>
      <c r="CI305" s="53" t="n"/>
      <c r="CJ305" s="53" t="n"/>
      <c r="CK305" s="53" t="n"/>
      <c r="CL305" s="53" t="n"/>
      <c r="CM305" s="53" t="n"/>
      <c r="CN305" s="53" t="n"/>
      <c r="CO305" s="53" t="n"/>
      <c r="CP305" s="53" t="n"/>
      <c r="CQ305" s="53" t="n"/>
      <c r="CR305" s="53" t="n"/>
      <c r="CS305" s="53" t="n"/>
      <c r="CT305" s="53" t="n"/>
      <c r="CU305" s="53" t="n"/>
      <c r="CV305" s="53" t="n"/>
      <c r="CW305" s="53" t="n"/>
      <c r="CX305" s="53" t="n"/>
      <c r="CY305" s="53" t="n"/>
    </row>
    <row r="307" customFormat="1" s="234">
      <c r="C307" s="234" t="inlineStr">
        <is>
          <t>YEAR</t>
        </is>
      </c>
      <c r="D307" s="234" t="str">
        <f>D263</f>
        <v>1Q20</v>
      </c>
      <c r="E307" s="235" t="str">
        <f>E263</f>
        <v>2Q20</v>
      </c>
      <c r="F307" s="235" t="str">
        <f>F263</f>
        <v>3Q20</v>
      </c>
      <c r="G307" s="235" t="str">
        <f>G263</f>
        <v>4Q20</v>
      </c>
      <c r="H307" s="235">
        <f>H263</f>
        <v>2020</v>
      </c>
      <c r="I307" s="235" t="str">
        <f>I263</f>
        <v>1Q21</v>
      </c>
      <c r="J307" s="235" t="str">
        <f>J263</f>
        <v>2Q21</v>
      </c>
      <c r="K307" s="235" t="str">
        <f>K263</f>
        <v>3Q21</v>
      </c>
      <c r="L307" s="235" t="str">
        <f>L263</f>
        <v>4Q21</v>
      </c>
      <c r="M307" s="235">
        <f>M263</f>
        <v>2021</v>
      </c>
      <c r="N307" s="235" t="str">
        <f>N263</f>
        <v>1Q22</v>
      </c>
      <c r="O307" s="235" t="str">
        <f>O263</f>
        <v>2Q22</v>
      </c>
      <c r="P307" s="235" t="str">
        <f>P263</f>
        <v>3Q22</v>
      </c>
      <c r="Q307" s="235" t="str">
        <f>Q263</f>
        <v>4Q22</v>
      </c>
      <c r="R307" s="235">
        <f>R263</f>
        <v>2022</v>
      </c>
      <c r="S307" s="235" t="str">
        <f>S263</f>
        <v>1Q23</v>
      </c>
      <c r="T307" s="235" t="str">
        <f>T263</f>
        <v>2Q23</v>
      </c>
      <c r="U307" s="235" t="str">
        <f>U263</f>
        <v>3Q23</v>
      </c>
      <c r="V307" s="235" t="str">
        <f>V263</f>
        <v>4Q23</v>
      </c>
      <c r="W307" s="235">
        <f>W263</f>
        <v>2023</v>
      </c>
      <c r="X307" s="235" t="str">
        <f>X263</f>
        <v>1Q24</v>
      </c>
      <c r="Y307" s="235" t="str">
        <f>Y263</f>
        <v>2Q24</v>
      </c>
      <c r="Z307" s="235" t="str">
        <f>Z263</f>
        <v>3Q24</v>
      </c>
      <c r="AA307" s="235" t="str">
        <f>AA263</f>
        <v>4Q24</v>
      </c>
      <c r="AB307" s="235">
        <f>AB263</f>
        <v>2024</v>
      </c>
      <c r="AC307" s="235" t="str">
        <f>AC263</f>
        <v>1Q25</v>
      </c>
      <c r="AD307" s="235" t="str">
        <f>AD263</f>
        <v>2Q25</v>
      </c>
      <c r="AE307" s="235" t="str">
        <f>AE263</f>
        <v>3Q25</v>
      </c>
      <c r="AF307" s="235" t="str">
        <f>AF263</f>
        <v>4Q25</v>
      </c>
      <c r="AG307" s="235">
        <f>AG263</f>
        <v>2025</v>
      </c>
      <c r="AH307" s="235" t="str">
        <f>AH263</f>
        <v>1Q26</v>
      </c>
      <c r="AI307" s="235" t="str">
        <f>AI263</f>
        <v>2Q26</v>
      </c>
      <c r="AJ307" s="235" t="str">
        <f>AJ263</f>
        <v>3Q26</v>
      </c>
      <c r="AK307" s="235" t="str">
        <f>AK263</f>
        <v>4Q26</v>
      </c>
      <c r="AL307" s="235">
        <f>AL263</f>
        <v>2026</v>
      </c>
      <c r="AM307" s="235" t="str">
        <f>AM263</f>
        <v>1Q27</v>
      </c>
      <c r="AN307" s="235" t="str">
        <f>AN263</f>
        <v>2Q27</v>
      </c>
      <c r="AO307" s="235" t="str">
        <f>AO263</f>
        <v>3Q27</v>
      </c>
      <c r="AP307" s="235" t="str">
        <f>AP263</f>
        <v>4Q27</v>
      </c>
      <c r="AQ307" s="235">
        <f>AQ263</f>
        <v>2027</v>
      </c>
      <c r="AR307" s="235" t="str">
        <f>AR263</f>
        <v>1Q28</v>
      </c>
      <c r="AS307" s="235" t="str">
        <f>AS263</f>
        <v>2Q28</v>
      </c>
      <c r="AT307" s="235" t="str">
        <f>AT263</f>
        <v>3Q28</v>
      </c>
      <c r="AU307" s="235" t="str">
        <f>AU263</f>
        <v>4Q28</v>
      </c>
      <c r="AV307" s="235">
        <f>AV263</f>
        <v>2028</v>
      </c>
      <c r="AW307" s="235" t="str">
        <f>AW263</f>
        <v>1Q29</v>
      </c>
      <c r="AX307" s="235" t="str">
        <f>AX263</f>
        <v>2Q29</v>
      </c>
      <c r="AY307" s="235" t="str">
        <f>AY263</f>
        <v>3Q29</v>
      </c>
      <c r="AZ307" s="235" t="str">
        <f>AZ263</f>
        <v>4Q29</v>
      </c>
      <c r="BA307" s="235">
        <f>BA263</f>
        <v>2029</v>
      </c>
      <c r="BB307" s="235" t="str">
        <f>BB263</f>
        <v>1Q30</v>
      </c>
      <c r="BC307" s="235" t="str">
        <f>BC263</f>
        <v>2Q30</v>
      </c>
      <c r="BD307" s="235" t="str">
        <f>BD263</f>
        <v>3Q30</v>
      </c>
      <c r="BE307" s="235" t="str">
        <f>BE263</f>
        <v>4Q30</v>
      </c>
      <c r="BF307" s="235">
        <f>BF263</f>
        <v>2030</v>
      </c>
      <c r="BG307" s="235" t="str">
        <f>BG263</f>
        <v>1Q31</v>
      </c>
      <c r="BH307" s="235" t="str">
        <f>BH263</f>
        <v>2Q31</v>
      </c>
      <c r="BI307" s="235" t="str">
        <f>BI263</f>
        <v>3Q31</v>
      </c>
      <c r="BJ307" s="235" t="str">
        <f>BJ263</f>
        <v>4Q31</v>
      </c>
      <c r="BK307" s="235">
        <f>BK263</f>
        <v>2031</v>
      </c>
      <c r="BL307" s="235" t="str">
        <f>BL263</f>
        <v>1Q32</v>
      </c>
      <c r="BM307" s="235" t="str">
        <f>BM263</f>
        <v>2Q32</v>
      </c>
      <c r="BN307" s="235" t="str">
        <f>BN263</f>
        <v>3Q32</v>
      </c>
      <c r="BO307" s="235" t="str">
        <f>BO263</f>
        <v>4Q32</v>
      </c>
      <c r="BP307" s="235">
        <f>BP263</f>
        <v>2032</v>
      </c>
      <c r="BQ307" s="235" t="str">
        <f>BQ263</f>
        <v>1Q33</v>
      </c>
      <c r="BR307" s="235" t="str">
        <f>BR263</f>
        <v>2Q33</v>
      </c>
      <c r="BS307" s="235" t="str">
        <f>BS263</f>
        <v>3Q33</v>
      </c>
      <c r="BT307" s="235" t="str">
        <f>BT263</f>
        <v>4Q33</v>
      </c>
      <c r="BU307" s="235">
        <f>BU263</f>
        <v>2033</v>
      </c>
      <c r="BV307" s="235" t="str">
        <f>BV263</f>
        <v>1Q34</v>
      </c>
      <c r="BW307" s="235" t="str">
        <f>BW263</f>
        <v>2Q34</v>
      </c>
      <c r="BX307" s="235" t="str">
        <f>BX263</f>
        <v>3Q34</v>
      </c>
      <c r="BY307" s="235" t="str">
        <f>BY263</f>
        <v>4Q34</v>
      </c>
      <c r="BZ307" s="235">
        <f>BZ263</f>
        <v>2034</v>
      </c>
      <c r="CA307" s="235" t="str">
        <f>CA263</f>
        <v>1Q35</v>
      </c>
      <c r="CB307" s="235" t="str">
        <f>CB263</f>
        <v>2Q35</v>
      </c>
      <c r="CC307" s="235" t="str">
        <f>CC263</f>
        <v>3Q35</v>
      </c>
      <c r="CD307" s="235" t="str">
        <f>CD263</f>
        <v>4Q35</v>
      </c>
      <c r="CE307" s="235">
        <f>CE263</f>
        <v>2035</v>
      </c>
      <c r="CF307" s="235" t="str">
        <f>CF263</f>
        <v>1Q36</v>
      </c>
      <c r="CG307" s="235" t="str">
        <f>CG263</f>
        <v>2Q36</v>
      </c>
      <c r="CH307" s="235" t="str">
        <f>CH263</f>
        <v>3Q36</v>
      </c>
      <c r="CI307" s="235" t="str">
        <f>CI263</f>
        <v>4Q36</v>
      </c>
      <c r="CJ307" s="235">
        <f>CJ263</f>
        <v>2036</v>
      </c>
      <c r="CK307" s="235" t="str">
        <f>CK263</f>
        <v>1Q37</v>
      </c>
      <c r="CL307" s="235" t="str">
        <f>CL263</f>
        <v>2Q37</v>
      </c>
      <c r="CM307" s="235" t="str">
        <f>CM263</f>
        <v>3Q37</v>
      </c>
      <c r="CN307" s="235" t="str">
        <f>CN263</f>
        <v>4Q37</v>
      </c>
      <c r="CO307" s="235">
        <f>CO263</f>
        <v>2037</v>
      </c>
      <c r="CP307" s="235" t="str">
        <f>CP263</f>
        <v>1Q38</v>
      </c>
      <c r="CQ307" s="235" t="str">
        <f>CQ263</f>
        <v>2Q38</v>
      </c>
      <c r="CR307" s="235" t="str">
        <f>CR263</f>
        <v>3Q38</v>
      </c>
      <c r="CS307" s="235" t="str">
        <f>CS263</f>
        <v>4Q38</v>
      </c>
      <c r="CT307" s="235">
        <f>CT263</f>
        <v>2038</v>
      </c>
      <c r="CU307" s="235" t="str">
        <f>CU263</f>
        <v>1Q39</v>
      </c>
      <c r="CV307" s="235" t="str">
        <f>CV263</f>
        <v>2Q39</v>
      </c>
      <c r="CW307" s="235" t="str">
        <f>CW263</f>
        <v>3Q39</v>
      </c>
      <c r="CX307" s="235" t="str">
        <f>CX263</f>
        <v>4Q39</v>
      </c>
      <c r="CY307" s="235">
        <f>CY263</f>
        <v>2039</v>
      </c>
    </row>
    <row r="308" customFormat="1" s="233">
      <c r="A308" s="224" t="n"/>
      <c r="B308" s="224" t="n"/>
      <c r="C308" s="234" t="inlineStr">
        <is>
          <t>GROWTH &amp; MARGINS</t>
        </is>
      </c>
    </row>
    <row r="309" customFormat="1" s="233">
      <c r="A309" s="224" t="n"/>
      <c r="B309" s="224" t="n"/>
      <c r="C309" s="233" t="inlineStr">
        <is>
          <t>NET REVENUE GROWTH</t>
        </is>
      </c>
      <c r="E309" s="236">
        <f>E15/D15-1</f>
        <v>0.013758272378962</v>
      </c>
      <c r="F309" s="236">
        <f>F15/E15-1</f>
        <v>0.110977495275726</v>
      </c>
      <c r="G309" s="236">
        <f>G15/F15-1</f>
        <v>0.0290706664604918</v>
      </c>
      <c r="H309" s="236" t="n"/>
      <c r="I309" s="220">
        <f>I15/H15-1</f>
        <v>-0.732226048207413</v>
      </c>
      <c r="J309" s="220">
        <f>J15/I15-1</f>
        <v>0.0254160363086233</v>
      </c>
      <c r="K309" s="220">
        <f>K15/J15-1</f>
        <v>0.0928002360578342</v>
      </c>
      <c r="L309" s="220">
        <f>L15/K15-1</f>
        <v>0.0403672201971108</v>
      </c>
      <c r="M309" s="236" t="n"/>
      <c r="N309" s="220">
        <f>N15/M15-1</f>
        <v>-0.715694186168906</v>
      </c>
      <c r="O309" s="220">
        <f>O15/N15-1</f>
        <v>0.0445514007157843</v>
      </c>
      <c r="P309" s="220">
        <f>P15/O15-1</f>
        <v>0.0550567107750473</v>
      </c>
      <c r="Q309" s="220">
        <f>Q15/P15-1</f>
        <v>-0.00167973124300114</v>
      </c>
      <c r="R309" s="236" t="n"/>
      <c r="S309" s="220">
        <f>S15/R15-1</f>
        <v>-0.746222248053005</v>
      </c>
      <c r="T309" s="220">
        <f>T15/S15-1</f>
        <v>0.0163746707889614</v>
      </c>
      <c r="U309" s="220">
        <f>U15/T15-1</f>
        <v>0.047205948625507</v>
      </c>
      <c r="V309" s="220">
        <f>V15/U15-1</f>
        <v>0.286820871436256</v>
      </c>
      <c r="W309" s="236" t="n"/>
      <c r="X309" s="220">
        <f>X15/W15-1</f>
        <v>-0.67870834941464</v>
      </c>
      <c r="Y309" s="220">
        <f>Y15/X15-1</f>
        <v>0.0468487226715784</v>
      </c>
      <c r="Z309" s="220">
        <f>Z15/Y15-1</f>
        <v>0.0751223990208079</v>
      </c>
      <c r="AA309" s="220">
        <f>AA15/Z15-1</f>
        <v>0.0613348512878895</v>
      </c>
      <c r="AB309" s="236" t="n"/>
      <c r="AC309" s="220">
        <f>AC15/AB15-1</f>
        <v>-0.72484366117112</v>
      </c>
      <c r="AD309" s="220">
        <f>AD15/AC15-1</f>
        <v>0.0631831511596908</v>
      </c>
      <c r="AE309" s="220">
        <f>AE15/AD15-1</f>
        <v>0.129325476429288</v>
      </c>
      <c r="AF309" s="220">
        <f>AF15/AE15-1</f>
        <v>0.071940049958368</v>
      </c>
      <c r="AG309" s="236" t="n"/>
      <c r="AH309" s="220">
        <f>AH15/AG15-1</f>
        <v>-0.67506809993849</v>
      </c>
      <c r="AI309" s="220">
        <f>AI15/AH15-1</f>
        <v>0.333708928651913</v>
      </c>
      <c r="AJ309" s="220">
        <f>AJ15/AI15-1</f>
        <v>-0.391200027035247</v>
      </c>
      <c r="AK309" s="220">
        <f>AK15/AJ15-1</f>
        <v>0.071940049958368</v>
      </c>
      <c r="AL309" s="236" t="n"/>
      <c r="AM309" s="220">
        <f>AM15/AL15-1</f>
        <v>-0.750998832824565</v>
      </c>
      <c r="AN309" s="220">
        <f>AN15/AM15-1</f>
        <v>0.333708928651913</v>
      </c>
      <c r="AO309" s="220">
        <f>AO15/AN15-1</f>
        <v>-0.391200027035247</v>
      </c>
      <c r="AP309" s="220">
        <f>AP15/AO15-1</f>
        <v>0.071940049958368</v>
      </c>
      <c r="AQ309" s="236" t="n"/>
      <c r="AR309" s="220">
        <f>AR15/AQ15-1</f>
        <v>-0.750998832824565</v>
      </c>
      <c r="AS309" s="220">
        <f>AS15/AR15-1</f>
        <v>0.333708928651913</v>
      </c>
      <c r="AT309" s="220">
        <f>AT15/AS15-1</f>
        <v>-0.391200027035247</v>
      </c>
      <c r="AU309" s="220">
        <f>AU15/AT15-1</f>
        <v>0.071940049958368</v>
      </c>
      <c r="AV309" s="236" t="n"/>
      <c r="AW309" s="220">
        <f>AW15/AV15-1</f>
        <v>-0.750998832824565</v>
      </c>
      <c r="AX309" s="220">
        <f>AX15/AW15-1</f>
        <v>0.333708928651913</v>
      </c>
      <c r="AY309" s="220">
        <f>AY15/AX15-1</f>
        <v>-0.391200027035247</v>
      </c>
      <c r="AZ309" s="220">
        <f>AZ15/AY15-1</f>
        <v>0.071940049958368</v>
      </c>
      <c r="BA309" s="236" t="n"/>
      <c r="BB309" s="220">
        <f>BB15/BA15-1</f>
        <v>-0.750998832824565</v>
      </c>
      <c r="BC309" s="220">
        <f>BC15/BB15-1</f>
        <v>0.333708928651913</v>
      </c>
      <c r="BD309" s="220">
        <f>BD15/BC15-1</f>
        <v>-0.391200027035247</v>
      </c>
      <c r="BE309" s="220">
        <f>BE15/BD15-1</f>
        <v>0.071940049958368</v>
      </c>
      <c r="BF309" s="236" t="n"/>
      <c r="BG309" s="220">
        <f>BG15/BF15-1</f>
        <v>-0.750998832824565</v>
      </c>
      <c r="BH309" s="220">
        <f>BH15/BG15-1</f>
        <v>0.333708928651913</v>
      </c>
      <c r="BI309" s="220">
        <f>BI15/BH15-1</f>
        <v>-0.391200027035247</v>
      </c>
      <c r="BJ309" s="220">
        <f>BJ15/BI15-1</f>
        <v>0.071940049958368</v>
      </c>
      <c r="BK309" s="236" t="n"/>
      <c r="BL309" s="220">
        <f>BL15/BK15-1</f>
        <v>-0.750998832824565</v>
      </c>
      <c r="BM309" s="220">
        <f>BM15/BL15-1</f>
        <v>0.333708928651913</v>
      </c>
      <c r="BN309" s="220">
        <f>BN15/BM15-1</f>
        <v>-0.391200027035247</v>
      </c>
      <c r="BO309" s="220">
        <f>BO15/BN15-1</f>
        <v>0.071940049958368</v>
      </c>
      <c r="BP309" s="236" t="n"/>
      <c r="BQ309" s="220">
        <f>BQ15/BP15-1</f>
        <v>-0.750998832824565</v>
      </c>
      <c r="BR309" s="220">
        <f>BR15/BQ15-1</f>
        <v>0.333708928651913</v>
      </c>
      <c r="BS309" s="220">
        <f>BS15/BR15-1</f>
        <v>-0.391200027035247</v>
      </c>
      <c r="BT309" s="220">
        <f>BT15/BS15-1</f>
        <v>0.071940049958368</v>
      </c>
      <c r="BU309" s="236" t="n"/>
      <c r="BV309" s="220">
        <f>BV15/BU15-1</f>
        <v>-0.750998832824565</v>
      </c>
      <c r="BW309" s="220">
        <f>BW15/BV15-1</f>
        <v>0.333708928651913</v>
      </c>
      <c r="BX309" s="220">
        <f>BX15/BW15-1</f>
        <v>-0.391200027035247</v>
      </c>
      <c r="BY309" s="220">
        <f>BY15/BX15-1</f>
        <v>0.071940049958368</v>
      </c>
      <c r="BZ309" s="236" t="n"/>
      <c r="CA309" s="220">
        <f>CA15/BZ15-1</f>
        <v>-0.750998832824565</v>
      </c>
      <c r="CB309" s="220">
        <f>CB15/CA15-1</f>
        <v>0.333708928651913</v>
      </c>
      <c r="CC309" s="220">
        <f>CC15/CB15-1</f>
        <v>-0.391200027035247</v>
      </c>
      <c r="CD309" s="220">
        <f>CD15/CC15-1</f>
        <v>0.071940049958368</v>
      </c>
      <c r="CE309" s="236" t="n"/>
      <c r="CF309" s="220">
        <f>CF15/CE15-1</f>
        <v>-0.750998832824565</v>
      </c>
      <c r="CG309" s="220">
        <f>CG15/CF15-1</f>
        <v>0.333708928651913</v>
      </c>
      <c r="CH309" s="220">
        <f>CH15/CG15-1</f>
        <v>-0.391200027035247</v>
      </c>
      <c r="CI309" s="220">
        <f>CI15/CH15-1</f>
        <v>0.071940049958368</v>
      </c>
      <c r="CJ309" s="236" t="n"/>
      <c r="CK309" s="220">
        <f>CK15/CJ15-1</f>
        <v>-0.750998832824565</v>
      </c>
      <c r="CL309" s="220">
        <f>CL15/CK15-1</f>
        <v>0.333708928651913</v>
      </c>
      <c r="CM309" s="220">
        <f>CM15/CL15-1</f>
        <v>-0.391200027035247</v>
      </c>
      <c r="CN309" s="220">
        <f>CN15/CM15-1</f>
        <v>0.071940049958368</v>
      </c>
      <c r="CO309" s="236" t="n"/>
      <c r="CP309" s="220">
        <f>CP15/CO15-1</f>
        <v>-0.750998832824565</v>
      </c>
      <c r="CQ309" s="220">
        <f>CQ15/CP15-1</f>
        <v>0.333708928651913</v>
      </c>
      <c r="CR309" s="220">
        <f>CR15/CQ15-1</f>
        <v>-0.391200027035247</v>
      </c>
      <c r="CS309" s="220">
        <f>CS15/CR15-1</f>
        <v>0.071940049958368</v>
      </c>
      <c r="CT309" s="236" t="n"/>
      <c r="CU309" s="220">
        <f>CU15/CT15-1</f>
        <v>-0.750998832824565</v>
      </c>
      <c r="CV309" s="220">
        <f>CV15/CU15-1</f>
        <v>0.333708928651913</v>
      </c>
      <c r="CW309" s="220">
        <f>CW15/CV15-1</f>
        <v>-0.391200027035247</v>
      </c>
      <c r="CX309" s="220">
        <f>CX15/CW15-1</f>
        <v>0.071940049958368</v>
      </c>
      <c r="CY309" s="236" t="n"/>
    </row>
    <row r="310" customFormat="1" s="233">
      <c r="A310" s="224" t="n"/>
      <c r="B310" s="224" t="n"/>
      <c r="C310" s="233" t="inlineStr">
        <is>
          <t>GROSS MARGIN</t>
        </is>
      </c>
      <c r="D310" s="220">
        <f>SUM(D15,D42)/D15</f>
        <v>0.555381400208986</v>
      </c>
      <c r="E310" s="220">
        <f>SUM(E15,E42)/E15</f>
        <v>0.569661570176946</v>
      </c>
      <c r="F310" s="220">
        <f>SUM(F15,F42)/F15</f>
        <v>0.579403123550332</v>
      </c>
      <c r="G310" s="220">
        <f>SUM(G15,G42)/G15</f>
        <v>0.593839218632607</v>
      </c>
      <c r="I310" s="221">
        <f>SUM(I15,I42)/I15</f>
        <v>0.613767019667171</v>
      </c>
      <c r="J310" s="221">
        <f>SUM(J15,J42)/J15</f>
        <v>0.619209206255533</v>
      </c>
      <c r="K310" s="221">
        <f>SUM(K15,K42)/K15</f>
        <v>0.626164439044147</v>
      </c>
      <c r="L310" s="221">
        <f>SUM(L15,L42)/L15</f>
        <v>0.655203737347522</v>
      </c>
      <c r="N310" s="221">
        <f>SUM(N15,N42)/N15</f>
        <v>0.671232876712329</v>
      </c>
      <c r="O310" s="221">
        <f>SUM(O15,O42)/O15</f>
        <v>0.671195652173913</v>
      </c>
      <c r="P310" s="221">
        <f>SUM(P15,P42)/P15</f>
        <v>0.663605823068309</v>
      </c>
      <c r="Q310" s="221">
        <f>SUM(Q15,Q42)/Q15</f>
        <v>0.673471676948962</v>
      </c>
      <c r="S310" s="221">
        <f>SUM(S15,S42)/S15</f>
        <v>0.700217565555937</v>
      </c>
      <c r="T310" s="221">
        <f>SUM(T15,T42)/T15</f>
        <v>0.694456962595764</v>
      </c>
      <c r="U310" s="221">
        <f>SUM(U15,U42)/U15</f>
        <v>0.689295320064551</v>
      </c>
      <c r="V310" s="221">
        <f>SUM(V15,V42)/V15</f>
        <v>0.616587241869409</v>
      </c>
      <c r="X310" s="221">
        <f>SUM(X15,X42)/X15</f>
        <v>0.622727636742212</v>
      </c>
      <c r="Y310" s="221">
        <f>SUM(Y15,Y42)/Y15</f>
        <v>0.639228886168911</v>
      </c>
      <c r="Z310" s="221">
        <f>SUM(Z15,Z42)/Z15</f>
        <v>0.640529386651487</v>
      </c>
      <c r="AA310" s="221">
        <f>SUM(AA15,AA42)/AA15</f>
        <v>0.680142129257174</v>
      </c>
      <c r="AC310" s="221">
        <f>SUM(AC15,AC42)/AC15</f>
        <v>0.679618768328446</v>
      </c>
      <c r="AD310" s="221">
        <f>SUM(AD15,AD42)/AD15</f>
        <v>0.67095035105316</v>
      </c>
      <c r="AE310" s="221">
        <f>SUM(AE15,AE42)/AE15</f>
        <v>0.679933388842631</v>
      </c>
      <c r="AF310" s="221">
        <f>SUM(AF15,AF42)/AF15</f>
        <v>0.681321526591062</v>
      </c>
      <c r="AH310" s="221">
        <f>SUM(AH15,AH42)/AH15</f>
        <v>0.69477622030919</v>
      </c>
      <c r="AI310" s="221">
        <f>SUM(AI15,AI42)/AI15</f>
        <v>0.691291270994559</v>
      </c>
      <c r="AJ310" s="221">
        <f>SUM(AJ15,AJ42)/AJ15</f>
        <v>0</v>
      </c>
      <c r="AK310" s="221">
        <f>SUM(AK15,AK42)/AK15</f>
        <v>0</v>
      </c>
      <c r="AM310" s="221">
        <f>SUM(AM15,AM42)/AM15</f>
        <v>0</v>
      </c>
      <c r="AN310" s="221">
        <f>SUM(AN15,AN42)/AN15</f>
        <v>0</v>
      </c>
      <c r="AO310" s="221">
        <f>SUM(AO15,AO42)/AO15</f>
        <v>0</v>
      </c>
      <c r="AP310" s="221">
        <f>SUM(AP15,AP42)/AP15</f>
        <v>0</v>
      </c>
      <c r="AR310" s="221">
        <f>SUM(AR15,AR42)/AR15</f>
        <v>0</v>
      </c>
      <c r="AS310" s="221">
        <f>SUM(AS15,AS42)/AS15</f>
        <v>0</v>
      </c>
      <c r="AT310" s="221">
        <f>SUM(AT15,AT42)/AT15</f>
        <v>0</v>
      </c>
      <c r="AU310" s="221">
        <f>SUM(AU15,AU42)/AU15</f>
        <v>0</v>
      </c>
      <c r="AW310" s="221">
        <f>SUM(AW15,AW42)/AW15</f>
        <v>0</v>
      </c>
      <c r="AX310" s="221">
        <f>SUM(AX15,AX42)/AX15</f>
        <v>0</v>
      </c>
      <c r="AY310" s="221">
        <f>SUM(AY15,AY42)/AY15</f>
        <v>0</v>
      </c>
      <c r="AZ310" s="221">
        <f>SUM(AZ15,AZ42)/AZ15</f>
        <v>0</v>
      </c>
      <c r="BB310" s="221">
        <f>SUM(BB15,BB42)/BB15</f>
        <v>0</v>
      </c>
      <c r="BC310" s="221">
        <f>SUM(BC15,BC42)/BC15</f>
        <v>0</v>
      </c>
      <c r="BD310" s="221">
        <f>SUM(BD15,BD42)/BD15</f>
        <v>0</v>
      </c>
      <c r="BE310" s="221">
        <f>SUM(BE15,BE42)/BE15</f>
        <v>0</v>
      </c>
      <c r="BG310" s="221">
        <f>SUM(BG15,BG42)/BG15</f>
        <v>0</v>
      </c>
      <c r="BH310" s="221">
        <f>SUM(BH15,BH42)/BH15</f>
        <v>0</v>
      </c>
      <c r="BI310" s="221">
        <f>SUM(BI15,BI42)/BI15</f>
        <v>0</v>
      </c>
      <c r="BJ310" s="221">
        <f>SUM(BJ15,BJ42)/BJ15</f>
        <v>0</v>
      </c>
      <c r="BL310" s="221">
        <f>SUM(BL15,BL42)/BL15</f>
        <v>0</v>
      </c>
      <c r="BM310" s="221">
        <f>SUM(BM15,BM42)/BM15</f>
        <v>0</v>
      </c>
      <c r="BN310" s="221">
        <f>SUM(BN15,BN42)/BN15</f>
        <v>0</v>
      </c>
      <c r="BO310" s="221">
        <f>SUM(BO15,BO42)/BO15</f>
        <v>0</v>
      </c>
      <c r="BQ310" s="221">
        <f>SUM(BQ15,BQ42)/BQ15</f>
        <v>0</v>
      </c>
      <c r="BR310" s="221">
        <f>SUM(BR15,BR42)/BR15</f>
        <v>0</v>
      </c>
      <c r="BS310" s="221">
        <f>SUM(BS15,BS42)/BS15</f>
        <v>0</v>
      </c>
      <c r="BT310" s="221">
        <f>SUM(BT15,BT42)/BT15</f>
        <v>0</v>
      </c>
      <c r="BV310" s="221">
        <f>SUM(BV15,BV42)/BV15</f>
        <v>0</v>
      </c>
      <c r="BW310" s="221">
        <f>SUM(BW15,BW42)/BW15</f>
        <v>0</v>
      </c>
      <c r="BX310" s="221">
        <f>SUM(BX15,BX42)/BX15</f>
        <v>0</v>
      </c>
      <c r="BY310" s="221">
        <f>SUM(BY15,BY42)/BY15</f>
        <v>0</v>
      </c>
      <c r="CA310" s="221">
        <f>SUM(CA15,CA42)/CA15</f>
        <v>0</v>
      </c>
      <c r="CB310" s="221">
        <f>SUM(CB15,CB42)/CB15</f>
        <v>0</v>
      </c>
      <c r="CC310" s="221">
        <f>SUM(CC15,CC42)/CC15</f>
        <v>0</v>
      </c>
      <c r="CD310" s="221">
        <f>SUM(CD15,CD42)/CD15</f>
        <v>0</v>
      </c>
      <c r="CF310" s="221">
        <f>SUM(CF15,CF42)/CF15</f>
        <v>0</v>
      </c>
      <c r="CG310" s="221">
        <f>SUM(CG15,CG42)/CG15</f>
        <v>0</v>
      </c>
      <c r="CH310" s="221">
        <f>SUM(CH15,CH42)/CH15</f>
        <v>0</v>
      </c>
      <c r="CI310" s="221">
        <f>SUM(CI15,CI42)/CI15</f>
        <v>0</v>
      </c>
      <c r="CK310" s="221">
        <f>SUM(CK15,CK42)/CK15</f>
        <v>0</v>
      </c>
      <c r="CL310" s="221">
        <f>SUM(CL15,CL42)/CL15</f>
        <v>0</v>
      </c>
      <c r="CM310" s="221">
        <f>SUM(CM15,CM42)/CM15</f>
        <v>0</v>
      </c>
      <c r="CN310" s="221">
        <f>SUM(CN15,CN42)/CN15</f>
        <v>0</v>
      </c>
      <c r="CP310" s="221">
        <f>SUM(CP15,CP42)/CP15</f>
        <v>0</v>
      </c>
      <c r="CQ310" s="221">
        <f>SUM(CQ15,CQ42)/CQ15</f>
        <v>0</v>
      </c>
      <c r="CR310" s="221">
        <f>SUM(CR15,CR42)/CR15</f>
        <v>0</v>
      </c>
      <c r="CS310" s="221">
        <f>SUM(CS15,CS42)/CS15</f>
        <v>0</v>
      </c>
      <c r="CU310" s="221">
        <f>SUM(CU15,CU42)/CU15</f>
        <v>0</v>
      </c>
      <c r="CV310" s="221">
        <f>SUM(CV15,CV42)/CV15</f>
        <v>0</v>
      </c>
      <c r="CW310" s="221">
        <f>SUM(CW15,CW42)/CW15</f>
        <v>0</v>
      </c>
      <c r="CX310" s="221">
        <f>SUM(CX15,CX42)/CX15</f>
        <v>0</v>
      </c>
    </row>
    <row r="311" customFormat="1" s="233">
      <c r="A311" s="224" t="n"/>
      <c r="B311" s="224" t="n"/>
      <c r="C311" s="233" t="inlineStr">
        <is>
          <t>EBIT MARGIN</t>
        </is>
      </c>
      <c r="D311" s="236">
        <f>(D61/D15)</f>
        <v>0.133402995471961</v>
      </c>
      <c r="E311" s="236">
        <f>(E61/E15)</f>
        <v>0.173166122659337</v>
      </c>
      <c r="F311" s="236">
        <f>(F61/F15)</f>
        <v>0.23596721818463</v>
      </c>
      <c r="G311" s="236">
        <f>(G61/G15)</f>
        <v>0.27603305785124</v>
      </c>
      <c r="I311" s="222">
        <f>(I61/I15)</f>
        <v>0.298789712556732</v>
      </c>
      <c r="J311" s="222">
        <f>(J61/J15)</f>
        <v>0.313661847152552</v>
      </c>
      <c r="K311" s="222">
        <f>(K61/K15)</f>
        <v>0.348454164979074</v>
      </c>
      <c r="L311" s="222">
        <f>(L61/L15)</f>
        <v>0.403322086685699</v>
      </c>
      <c r="N311" s="222">
        <f>(N61/N15)</f>
        <v>0.418857213377761</v>
      </c>
      <c r="O311" s="222">
        <f>(O61/O15)</f>
        <v>0.441517013232514</v>
      </c>
      <c r="P311" s="222">
        <f>(P61/P15)</f>
        <v>0.446360582306831</v>
      </c>
      <c r="Q311" s="222">
        <f>(Q61/Q15)</f>
        <v>0.460235558048233</v>
      </c>
      <c r="S311" s="222">
        <f>(S61/S15)</f>
        <v>0.458948814840261</v>
      </c>
      <c r="T311" s="222">
        <f>(T61/T15)</f>
        <v>0.434429923388914</v>
      </c>
      <c r="U311" s="222">
        <f>(U61/U15)</f>
        <v>0.456159225389995</v>
      </c>
      <c r="V311" s="222">
        <f>(V61/V15)</f>
        <v>0.174149318618845</v>
      </c>
      <c r="X311" s="222">
        <f>(X61/X15)</f>
        <v>0.237446944822616</v>
      </c>
      <c r="Y311" s="222">
        <f>(Y61/Y15)</f>
        <v>0.289779681762546</v>
      </c>
      <c r="Z311" s="222">
        <f>(Z61/Z15)</f>
        <v>0.329230112423509</v>
      </c>
      <c r="AA311" s="222">
        <f>(AA61/AA15)</f>
        <v>0.419683561276482</v>
      </c>
      <c r="AC311" s="222">
        <f>(AC61/AC15)</f>
        <v>0.388496400959744</v>
      </c>
      <c r="AD311" s="222">
        <f>(AD61/AD15)</f>
        <v>0.369044633901705</v>
      </c>
      <c r="AE311" s="222">
        <f>(AE61/AE15)</f>
        <v>0.41676380793783</v>
      </c>
      <c r="AF311" s="222">
        <f>(AF61/AF15)</f>
        <v>0.443426026616954</v>
      </c>
      <c r="AH311" s="222">
        <f>(AH61/AH15)</f>
        <v>0.486230675620859</v>
      </c>
      <c r="AI311" s="222">
        <f>(AI61/AI15)</f>
        <v>0.539184211415633</v>
      </c>
      <c r="AJ311" s="222">
        <f>(AJ61/AJ15)</f>
        <v>0</v>
      </c>
      <c r="AK311" s="222">
        <f>(AK61/AK15)</f>
        <v>0</v>
      </c>
      <c r="AM311" s="222">
        <f>(AM61/AM15)</f>
        <v>0</v>
      </c>
      <c r="AN311" s="222">
        <f>(AN61/AN15)</f>
        <v>0</v>
      </c>
      <c r="AO311" s="222">
        <f>(AO61/AO15)</f>
        <v>0</v>
      </c>
      <c r="AP311" s="222">
        <f>(AP61/AP15)</f>
        <v>0</v>
      </c>
      <c r="AR311" s="222">
        <f>(AR61/AR15)</f>
        <v>0</v>
      </c>
      <c r="AS311" s="222">
        <f>(AS61/AS15)</f>
        <v>0</v>
      </c>
      <c r="AT311" s="222">
        <f>(AT61/AT15)</f>
        <v>0</v>
      </c>
      <c r="AU311" s="222">
        <f>(AU61/AU15)</f>
        <v>0</v>
      </c>
      <c r="AW311" s="222">
        <f>(AW61/AW15)</f>
        <v>0</v>
      </c>
      <c r="AX311" s="222">
        <f>(AX61/AX15)</f>
        <v>0</v>
      </c>
      <c r="AY311" s="222">
        <f>(AY61/AY15)</f>
        <v>0</v>
      </c>
      <c r="AZ311" s="222">
        <f>(AZ61/AZ15)</f>
        <v>0</v>
      </c>
      <c r="BB311" s="222">
        <f>(BB61/BB15)</f>
        <v>0</v>
      </c>
      <c r="BC311" s="222">
        <f>(BC61/BC15)</f>
        <v>0</v>
      </c>
      <c r="BD311" s="222">
        <f>(BD61/BD15)</f>
        <v>0</v>
      </c>
      <c r="BE311" s="222">
        <f>(BE61/BE15)</f>
        <v>0</v>
      </c>
      <c r="BG311" s="222">
        <f>(BG61/BG15)</f>
        <v>0</v>
      </c>
      <c r="BH311" s="222">
        <f>(BH61/BH15)</f>
        <v>0</v>
      </c>
      <c r="BI311" s="222">
        <f>(BI61/BI15)</f>
        <v>0</v>
      </c>
      <c r="BJ311" s="222">
        <f>(BJ61/BJ15)</f>
        <v>0</v>
      </c>
      <c r="BL311" s="222">
        <f>(BL61/BL15)</f>
        <v>0</v>
      </c>
      <c r="BM311" s="222">
        <f>(BM61/BM15)</f>
        <v>0</v>
      </c>
      <c r="BN311" s="222">
        <f>(BN61/BN15)</f>
        <v>0</v>
      </c>
      <c r="BO311" s="222">
        <f>(BO61/BO15)</f>
        <v>0</v>
      </c>
      <c r="BQ311" s="222">
        <f>(BQ61/BQ15)</f>
        <v>0</v>
      </c>
      <c r="BR311" s="222">
        <f>(BR61/BR15)</f>
        <v>0</v>
      </c>
      <c r="BS311" s="222">
        <f>(BS61/BS15)</f>
        <v>0</v>
      </c>
      <c r="BT311" s="222">
        <f>(BT61/BT15)</f>
        <v>0</v>
      </c>
      <c r="BV311" s="222">
        <f>(BV61/BV15)</f>
        <v>0</v>
      </c>
      <c r="BW311" s="222">
        <f>(BW61/BW15)</f>
        <v>0</v>
      </c>
      <c r="BX311" s="222">
        <f>(BX61/BX15)</f>
        <v>0</v>
      </c>
      <c r="BY311" s="222">
        <f>(BY61/BY15)</f>
        <v>0</v>
      </c>
      <c r="CA311" s="222">
        <f>(CA61/CA15)</f>
        <v>0</v>
      </c>
      <c r="CB311" s="222">
        <f>(CB61/CB15)</f>
        <v>0</v>
      </c>
      <c r="CC311" s="222">
        <f>(CC61/CC15)</f>
        <v>0</v>
      </c>
      <c r="CD311" s="222">
        <f>(CD61/CD15)</f>
        <v>0</v>
      </c>
      <c r="CF311" s="222">
        <f>(CF61/CF15)</f>
        <v>0</v>
      </c>
      <c r="CG311" s="222">
        <f>(CG61/CG15)</f>
        <v>0</v>
      </c>
      <c r="CH311" s="222">
        <f>(CH61/CH15)</f>
        <v>0</v>
      </c>
      <c r="CI311" s="222">
        <f>(CI61/CI15)</f>
        <v>0</v>
      </c>
      <c r="CK311" s="222">
        <f>(CK61/CK15)</f>
        <v>0</v>
      </c>
      <c r="CL311" s="222">
        <f>(CL61/CL15)</f>
        <v>0</v>
      </c>
      <c r="CM311" s="222">
        <f>(CM61/CM15)</f>
        <v>0</v>
      </c>
      <c r="CN311" s="222">
        <f>(CN61/CN15)</f>
        <v>0</v>
      </c>
      <c r="CP311" s="222">
        <f>(CP61/CP15)</f>
        <v>0</v>
      </c>
      <c r="CQ311" s="222">
        <f>(CQ61/CQ15)</f>
        <v>0</v>
      </c>
      <c r="CR311" s="222">
        <f>(CR61/CR15)</f>
        <v>0</v>
      </c>
      <c r="CS311" s="222">
        <f>(CS61/CS15)</f>
        <v>0</v>
      </c>
      <c r="CU311" s="222">
        <f>(CU61/CU15)</f>
        <v>0</v>
      </c>
      <c r="CV311" s="222">
        <f>(CV61/CV15)</f>
        <v>0</v>
      </c>
      <c r="CW311" s="222">
        <f>(CW61/CW15)</f>
        <v>0</v>
      </c>
      <c r="CX311" s="222">
        <f>(CX61/CX15)</f>
        <v>0</v>
      </c>
    </row>
    <row r="312" customFormat="1" s="233">
      <c r="A312" s="224" t="n"/>
      <c r="B312" s="224" t="n"/>
      <c r="C312" s="233" t="inlineStr">
        <is>
          <t>EBITDA MARTGIN</t>
        </is>
      </c>
      <c r="D312" s="236">
        <f>D57/D15</f>
        <v>0.434691745036573</v>
      </c>
      <c r="E312" s="236">
        <f>E57/E15</f>
        <v>0.468476206837313</v>
      </c>
      <c r="F312" s="236">
        <f>F57/F15</f>
        <v>0.50316993969383</v>
      </c>
      <c r="G312" s="236">
        <f>G57/G15</f>
        <v>0.506386175807663</v>
      </c>
      <c r="I312" s="222">
        <f>I57/I15</f>
        <v>0.526323751891074</v>
      </c>
      <c r="J312" s="222">
        <f>J57/J15</f>
        <v>0.535408675125406</v>
      </c>
      <c r="K312" s="222">
        <f>K57/K15</f>
        <v>0.551100310517078</v>
      </c>
      <c r="L312" s="222">
        <f>L57/L15</f>
        <v>0.570334804048793</v>
      </c>
      <c r="N312" s="222">
        <f>N57/N15</f>
        <v>0.574848821424164</v>
      </c>
      <c r="O312" s="222">
        <f>O57/O15</f>
        <v>0.585302457466919</v>
      </c>
      <c r="P312" s="222">
        <f>P57/P15</f>
        <v>0.582530795072788</v>
      </c>
      <c r="Q312" s="222">
        <f>Q57/Q15</f>
        <v>0.575995513180034</v>
      </c>
      <c r="S312" s="222">
        <f>S57/S15</f>
        <v>0.566472002748197</v>
      </c>
      <c r="T312" s="222">
        <f>T57/T15</f>
        <v>0.539432176656151</v>
      </c>
      <c r="U312" s="222">
        <f>U57/U15</f>
        <v>0.556428187197418</v>
      </c>
      <c r="V312" s="222">
        <f>V57/V15</f>
        <v>0.37020316027088</v>
      </c>
      <c r="X312" s="222">
        <f>X57/X15</f>
        <v>0.440057659966365</v>
      </c>
      <c r="Y312" s="222">
        <f>Y57/Y15</f>
        <v>0.482864137086903</v>
      </c>
      <c r="Z312" s="222">
        <f>Z57/Z15</f>
        <v>0.515013519282767</v>
      </c>
      <c r="AA312" s="222">
        <f>AA57/AA15</f>
        <v>0.565433091981765</v>
      </c>
      <c r="AC312" s="222">
        <f>AC57/AC15</f>
        <v>0.530525193281792</v>
      </c>
      <c r="AD312" s="222">
        <f>AD57/AD15</f>
        <v>0.504952357071214</v>
      </c>
      <c r="AE312" s="222">
        <f>AE57/AE15</f>
        <v>0.540716069941715</v>
      </c>
      <c r="AF312" s="222">
        <f>AF57/AF15</f>
        <v>0.554916886748485</v>
      </c>
      <c r="AH312" s="222">
        <f>AH57/AH15</f>
        <v>0.582232839049894</v>
      </c>
      <c r="AI312" s="222">
        <f>AI57/AI15</f>
        <v>0.612753877868271</v>
      </c>
      <c r="AJ312" s="222">
        <f>AJ57/AJ15</f>
        <v>0</v>
      </c>
      <c r="AK312" s="222">
        <f>AK57/AK15</f>
        <v>0</v>
      </c>
      <c r="AM312" s="222">
        <f>AM57/AM15</f>
        <v>0</v>
      </c>
      <c r="AN312" s="222">
        <f>AN57/AN15</f>
        <v>0</v>
      </c>
      <c r="AO312" s="222">
        <f>AO57/AO15</f>
        <v>0</v>
      </c>
      <c r="AP312" s="222">
        <f>AP57/AP15</f>
        <v>0</v>
      </c>
      <c r="AR312" s="222">
        <f>AR57/AR15</f>
        <v>0</v>
      </c>
      <c r="AS312" s="222">
        <f>AS57/AS15</f>
        <v>0</v>
      </c>
      <c r="AT312" s="222">
        <f>AT57/AT15</f>
        <v>0</v>
      </c>
      <c r="AU312" s="222">
        <f>AU57/AU15</f>
        <v>0</v>
      </c>
      <c r="AW312" s="222">
        <f>AW57/AW15</f>
        <v>0</v>
      </c>
      <c r="AX312" s="222">
        <f>AX57/AX15</f>
        <v>0</v>
      </c>
      <c r="AY312" s="222">
        <f>AY57/AY15</f>
        <v>0</v>
      </c>
      <c r="AZ312" s="222">
        <f>AZ57/AZ15</f>
        <v>0</v>
      </c>
      <c r="BB312" s="222">
        <f>BB57/BB15</f>
        <v>0</v>
      </c>
      <c r="BC312" s="222">
        <f>BC57/BC15</f>
        <v>0</v>
      </c>
      <c r="BD312" s="222">
        <f>BD57/BD15</f>
        <v>0</v>
      </c>
      <c r="BE312" s="222">
        <f>BE57/BE15</f>
        <v>0</v>
      </c>
      <c r="BG312" s="222">
        <f>BG57/BG15</f>
        <v>0</v>
      </c>
      <c r="BH312" s="222">
        <f>BH57/BH15</f>
        <v>0</v>
      </c>
      <c r="BI312" s="222">
        <f>BI57/BI15</f>
        <v>0</v>
      </c>
      <c r="BJ312" s="222">
        <f>BJ57/BJ15</f>
        <v>0</v>
      </c>
      <c r="BL312" s="222">
        <f>BL57/BL15</f>
        <v>0</v>
      </c>
      <c r="BM312" s="222">
        <f>BM57/BM15</f>
        <v>0</v>
      </c>
      <c r="BN312" s="222">
        <f>BN57/BN15</f>
        <v>0</v>
      </c>
      <c r="BO312" s="222">
        <f>BO57/BO15</f>
        <v>0</v>
      </c>
      <c r="BQ312" s="222">
        <f>BQ57/BQ15</f>
        <v>0</v>
      </c>
      <c r="BR312" s="222">
        <f>BR57/BR15</f>
        <v>0</v>
      </c>
      <c r="BS312" s="222">
        <f>BS57/BS15</f>
        <v>0</v>
      </c>
      <c r="BT312" s="222">
        <f>BT57/BT15</f>
        <v>0</v>
      </c>
      <c r="BV312" s="222">
        <f>BV57/BV15</f>
        <v>0</v>
      </c>
      <c r="BW312" s="222">
        <f>BW57/BW15</f>
        <v>0</v>
      </c>
      <c r="BX312" s="222">
        <f>BX57/BX15</f>
        <v>0</v>
      </c>
      <c r="BY312" s="222">
        <f>BY57/BY15</f>
        <v>0</v>
      </c>
      <c r="CA312" s="222">
        <f>CA57/CA15</f>
        <v>0</v>
      </c>
      <c r="CB312" s="222">
        <f>CB57/CB15</f>
        <v>0</v>
      </c>
      <c r="CC312" s="222">
        <f>CC57/CC15</f>
        <v>0</v>
      </c>
      <c r="CD312" s="222">
        <f>CD57/CD15</f>
        <v>0</v>
      </c>
      <c r="CF312" s="222">
        <f>CF57/CF15</f>
        <v>0</v>
      </c>
      <c r="CG312" s="222">
        <f>CG57/CG15</f>
        <v>0</v>
      </c>
      <c r="CH312" s="222">
        <f>CH57/CH15</f>
        <v>0</v>
      </c>
      <c r="CI312" s="222">
        <f>CI57/CI15</f>
        <v>0</v>
      </c>
      <c r="CK312" s="222">
        <f>CK57/CK15</f>
        <v>0</v>
      </c>
      <c r="CL312" s="222">
        <f>CL57/CL15</f>
        <v>0</v>
      </c>
      <c r="CM312" s="222">
        <f>CM57/CM15</f>
        <v>0</v>
      </c>
      <c r="CN312" s="222">
        <f>CN57/CN15</f>
        <v>0</v>
      </c>
      <c r="CP312" s="222">
        <f>CP57/CP15</f>
        <v>0</v>
      </c>
      <c r="CQ312" s="222">
        <f>CQ57/CQ15</f>
        <v>0</v>
      </c>
      <c r="CR312" s="222">
        <f>CR57/CR15</f>
        <v>0</v>
      </c>
      <c r="CS312" s="222">
        <f>CS57/CS15</f>
        <v>0</v>
      </c>
      <c r="CU312" s="222">
        <f>CU57/CU15</f>
        <v>0</v>
      </c>
      <c r="CV312" s="222">
        <f>CV57/CV15</f>
        <v>0</v>
      </c>
      <c r="CW312" s="222">
        <f>CW57/CW15</f>
        <v>0</v>
      </c>
      <c r="CX312" s="222">
        <f>CX57/CX15</f>
        <v>0</v>
      </c>
    </row>
    <row r="313" customFormat="1" s="233">
      <c r="A313" s="224" t="n"/>
      <c r="B313" s="224" t="n"/>
      <c r="C313" s="233" t="inlineStr">
        <is>
          <t>ETR</t>
        </is>
      </c>
      <c r="D313" s="236">
        <f>-D119/D118</f>
        <v>-0.388753056234719</v>
      </c>
      <c r="E313" s="236">
        <f>-E119/E118</f>
        <v>-0.161888701517707</v>
      </c>
      <c r="F313" s="236">
        <f>-F119/F118</f>
        <v>-0.164467897977133</v>
      </c>
      <c r="G313" s="236">
        <f>-G119/G118</f>
        <v>0.00433526011560694</v>
      </c>
      <c r="I313" s="222">
        <f>-I119/I118</f>
        <v>-0.00471063257065949</v>
      </c>
      <c r="J313" s="222">
        <f>-J119/J118</f>
        <v>-0.0869061413673233</v>
      </c>
      <c r="K313" s="222">
        <f>-K119/K118</f>
        <v>0.0829875518672199</v>
      </c>
      <c r="L313" s="222">
        <f>-L119/L118</f>
        <v>0.0800148864905099</v>
      </c>
      <c r="N313" s="222">
        <f>-N119/N118</f>
        <v>0.0716845878136201</v>
      </c>
      <c r="O313" s="222">
        <f>-O119/O118</f>
        <v>0.0788133053640995</v>
      </c>
      <c r="P313" s="222">
        <f>-P119/P118</f>
        <v>0.0720994475138122</v>
      </c>
      <c r="Q313" s="222">
        <f>-Q119/Q118</f>
        <v>0.0171875</v>
      </c>
      <c r="S313" s="222">
        <f>-S119/S118</f>
        <v>0.0632400430570506</v>
      </c>
      <c r="T313" s="222">
        <f>-T119/T118</f>
        <v>0.0758254057078903</v>
      </c>
      <c r="U313" s="222">
        <f>-U119/U118</f>
        <v>0.111671288127048</v>
      </c>
      <c r="V313" s="222">
        <f>-V119/V118</f>
        <v>0.0506706408345753</v>
      </c>
      <c r="X313" s="222">
        <f>-X119/X118</f>
        <v>-0.05785536159601</v>
      </c>
      <c r="Y313" s="222">
        <f>-Y119/Y118</f>
        <v>1.51033499643621</v>
      </c>
      <c r="Z313" s="222">
        <f>-Z119/Z118</f>
        <v>-0.117459473824077</v>
      </c>
      <c r="AA313" s="222">
        <f>-AA119/AA118</f>
        <v>-0.00236794171220401</v>
      </c>
      <c r="AC313" s="222">
        <f>-AC119/AC118</f>
        <v>0.0235988200589971</v>
      </c>
      <c r="AD313" s="222">
        <f>-AD119/AD118</f>
        <v>0.216650898770104</v>
      </c>
      <c r="AE313" s="222">
        <f>-AE119/AE118</f>
        <v>-0.240064055903334</v>
      </c>
      <c r="AF313" s="222">
        <f>-AF119/AF118</f>
        <v>0.103233679072605</v>
      </c>
      <c r="AH313" s="222">
        <f>-AH119/AH118</f>
        <v>0.0809476801579467</v>
      </c>
      <c r="AI313" s="222">
        <f>-AI119/AI118</f>
        <v>0.143175122749591</v>
      </c>
      <c r="AJ313" s="222">
        <f>-AJ119/AJ118</f>
        <v>0</v>
      </c>
      <c r="AK313" s="222">
        <f>-AK119/AK118</f>
        <v>0</v>
      </c>
      <c r="AM313" s="222">
        <f>-AM119/AM118</f>
        <v>0</v>
      </c>
      <c r="AN313" s="222">
        <f>-AN119/AN118</f>
        <v>0</v>
      </c>
      <c r="AO313" s="222">
        <f>-AO119/AO118</f>
        <v>0</v>
      </c>
      <c r="AP313" s="222">
        <f>-AP119/AP118</f>
        <v>0</v>
      </c>
      <c r="AR313" s="222">
        <f>-AR119/AR118</f>
        <v>0</v>
      </c>
      <c r="AS313" s="222">
        <f>-AS119/AS118</f>
        <v>0</v>
      </c>
      <c r="AT313" s="222">
        <f>-AT119/AT118</f>
        <v>0</v>
      </c>
      <c r="AU313" s="222">
        <f>-AU119/AU118</f>
        <v>0</v>
      </c>
      <c r="AW313" s="222">
        <f>-AW119/AW118</f>
        <v>0</v>
      </c>
      <c r="AX313" s="222">
        <f>-AX119/AX118</f>
        <v>0</v>
      </c>
      <c r="AY313" s="222">
        <f>-AY119/AY118</f>
        <v>0</v>
      </c>
      <c r="AZ313" s="222">
        <f>-AZ119/AZ118</f>
        <v>0</v>
      </c>
      <c r="BB313" s="222">
        <f>-BB119/BB118</f>
        <v>0</v>
      </c>
      <c r="BC313" s="222">
        <f>-BC119/BC118</f>
        <v>0</v>
      </c>
      <c r="BD313" s="222">
        <f>-BD119/BD118</f>
        <v>0</v>
      </c>
      <c r="BE313" s="222">
        <f>-BE119/BE118</f>
        <v>0</v>
      </c>
      <c r="BG313" s="222">
        <f>-BG119/BG118</f>
        <v>0</v>
      </c>
      <c r="BH313" s="222">
        <f>-BH119/BH118</f>
        <v>0</v>
      </c>
      <c r="BI313" s="222">
        <f>-BI119/BI118</f>
        <v>0</v>
      </c>
      <c r="BJ313" s="222">
        <f>-BJ119/BJ118</f>
        <v>0</v>
      </c>
      <c r="BL313" s="222">
        <f>-BL119/BL118</f>
        <v>0</v>
      </c>
      <c r="BM313" s="222">
        <f>-BM119/BM118</f>
        <v>0</v>
      </c>
      <c r="BN313" s="222">
        <f>-BN119/BN118</f>
        <v>0</v>
      </c>
      <c r="BO313" s="222">
        <f>-BO119/BO118</f>
        <v>0</v>
      </c>
      <c r="BQ313" s="222">
        <f>-BQ119/BQ118</f>
        <v>0</v>
      </c>
      <c r="BR313" s="222">
        <f>-BR119/BR118</f>
        <v>0</v>
      </c>
      <c r="BS313" s="222">
        <f>-BS119/BS118</f>
        <v>0</v>
      </c>
      <c r="BT313" s="222">
        <f>-BT119/BT118</f>
        <v>0</v>
      </c>
      <c r="BV313" s="222">
        <f>-BV119/BV118</f>
        <v>0</v>
      </c>
      <c r="BW313" s="222">
        <f>-BW119/BW118</f>
        <v>0</v>
      </c>
      <c r="BX313" s="222">
        <f>-BX119/BX118</f>
        <v>0</v>
      </c>
      <c r="BY313" s="222">
        <f>-BY119/BY118</f>
        <v>0</v>
      </c>
      <c r="CA313" s="222">
        <f>-CA119/CA118</f>
        <v>0</v>
      </c>
      <c r="CB313" s="222">
        <f>-CB119/CB118</f>
        <v>0</v>
      </c>
      <c r="CC313" s="222">
        <f>-CC119/CC118</f>
        <v>0</v>
      </c>
      <c r="CD313" s="222">
        <f>-CD119/CD118</f>
        <v>0</v>
      </c>
      <c r="CF313" s="222">
        <f>-CF119/CF118</f>
        <v>0</v>
      </c>
      <c r="CG313" s="222">
        <f>-CG119/CG118</f>
        <v>0</v>
      </c>
      <c r="CH313" s="222">
        <f>-CH119/CH118</f>
        <v>0</v>
      </c>
      <c r="CI313" s="222">
        <f>-CI119/CI118</f>
        <v>0</v>
      </c>
      <c r="CK313" s="222">
        <f>-CK119/CK118</f>
        <v>0</v>
      </c>
      <c r="CL313" s="222">
        <f>-CL119/CL118</f>
        <v>0</v>
      </c>
      <c r="CM313" s="222">
        <f>-CM119/CM118</f>
        <v>0</v>
      </c>
      <c r="CN313" s="222">
        <f>-CN119/CN118</f>
        <v>0</v>
      </c>
      <c r="CP313" s="222">
        <f>-CP119/CP118</f>
        <v>0</v>
      </c>
      <c r="CQ313" s="222">
        <f>-CQ119/CQ118</f>
        <v>0</v>
      </c>
      <c r="CR313" s="222">
        <f>-CR119/CR118</f>
        <v>0</v>
      </c>
      <c r="CS313" s="222">
        <f>-CS119/CS118</f>
        <v>0</v>
      </c>
      <c r="CU313" s="222">
        <f>-CU119/CU118</f>
        <v>0</v>
      </c>
      <c r="CV313" s="222">
        <f>-CV119/CV118</f>
        <v>0</v>
      </c>
      <c r="CW313" s="222">
        <f>-CW119/CW118</f>
        <v>0</v>
      </c>
      <c r="CX313" s="222">
        <f>-CX119/CX118</f>
        <v>0</v>
      </c>
    </row>
    <row r="314" customFormat="1" s="233">
      <c r="A314" s="224" t="n"/>
      <c r="B314" s="224" t="n"/>
    </row>
    <row r="315" customFormat="1" s="233">
      <c r="A315" s="224" t="n"/>
      <c r="B315" s="224" t="n"/>
      <c r="C315" s="234" t="inlineStr">
        <is>
          <t>CAPITAL STRUCTURE</t>
        </is>
      </c>
    </row>
    <row r="316" customFormat="1" s="233">
      <c r="A316" s="224" t="n"/>
      <c r="B316" s="224" t="n"/>
      <c r="C316" s="233" t="inlineStr">
        <is>
          <t>MARKET DEBT / EQUITY</t>
        </is>
      </c>
    </row>
    <row r="317" customFormat="1" s="233">
      <c r="A317" s="224" t="n"/>
      <c r="B317" s="224" t="n"/>
      <c r="C317" s="233" t="inlineStr">
        <is>
          <t>NET DEBT / (NET DEBT + MARKET CAP)</t>
        </is>
      </c>
    </row>
    <row r="318" customFormat="1" s="233">
      <c r="A318" s="224" t="n"/>
      <c r="B318" s="224" t="n"/>
    </row>
    <row r="319" customFormat="1" s="233">
      <c r="A319" s="224" t="n"/>
      <c r="B319" s="224" t="n"/>
      <c r="C319" s="234" t="inlineStr">
        <is>
          <t>FINANCIAL RISK RATIOS</t>
        </is>
      </c>
    </row>
    <row r="320" customFormat="1" s="233">
      <c r="A320" s="224" t="n"/>
      <c r="B320" s="224" t="n"/>
      <c r="C320" s="233" t="inlineStr">
        <is>
          <t>EBITDA / TOTAL INTEREST</t>
        </is>
      </c>
      <c r="D320" s="219">
        <f>D57/-D62</f>
        <v>5.12525667351129</v>
      </c>
      <c r="E320" s="219">
        <f>E57/-E62</f>
        <v>5.87715517241379</v>
      </c>
      <c r="F320" s="219">
        <f>F57/-F62</f>
        <v>7.74761904761905</v>
      </c>
      <c r="G320" s="219">
        <f>G57/-G62</f>
        <v>5.91228070175439</v>
      </c>
      <c r="I320" s="219">
        <f>I57/-I62</f>
        <v>7.4656652360515</v>
      </c>
      <c r="J320" s="219">
        <f>J57/-J62</f>
        <v>8.74457831325301</v>
      </c>
      <c r="K320" s="219">
        <f>K57/-K62</f>
        <v>9.40552995391705</v>
      </c>
      <c r="L320" s="219">
        <f>L57/-L62</f>
        <v>10.7985257985258</v>
      </c>
      <c r="N320" s="219">
        <f>N57/-N62</f>
        <v>8.99227799227799</v>
      </c>
      <c r="O320" s="219">
        <f>O57/-O62</f>
        <v>12.2019704433498</v>
      </c>
      <c r="P320" s="219">
        <f>P57/-P62</f>
        <v>12.8128078817734</v>
      </c>
      <c r="Q320" s="219">
        <f>Q57/-Q62</f>
        <v>12.6477832512315</v>
      </c>
      <c r="S320" s="219">
        <f>S57/-S62</f>
        <v>12.2148148148148</v>
      </c>
      <c r="T320" s="219">
        <f>T57/-T62</f>
        <v>11.7931034482759</v>
      </c>
      <c r="U320" s="219">
        <f>U57/-U62</f>
        <v>12.7703703703704</v>
      </c>
      <c r="V320" s="219">
        <f>V57/-V62</f>
        <v>4.78185745140389</v>
      </c>
      <c r="X320" s="219">
        <f>X57/-X62</f>
        <v>5.24832855778415</v>
      </c>
      <c r="Y320" s="219">
        <f>Y57/-Y62</f>
        <v>5.93233082706767</v>
      </c>
      <c r="Z320" s="219">
        <f>Z57/-Z62</f>
        <v>7.90174672489083</v>
      </c>
      <c r="AA320" s="219">
        <f>AA57/-AA62</f>
        <v>9.66093928980527</v>
      </c>
      <c r="AC320" s="219">
        <f>AC57/-AC62</f>
        <v>10.3511053315995</v>
      </c>
      <c r="AD320" s="219">
        <f>AD57/-AD62</f>
        <v>9.98141263940521</v>
      </c>
      <c r="AE320" s="219">
        <f>AE57/-AE62</f>
        <v>12.8002628120894</v>
      </c>
      <c r="AF320" s="219">
        <f>AF57/-AF62</f>
        <v>13.3782771535581</v>
      </c>
      <c r="AH320" s="219">
        <f>AH57/-AH62</f>
        <v>16.6469072164948</v>
      </c>
      <c r="AI320" s="219">
        <f>AI57/-AI62</f>
        <v>23.305912596401</v>
      </c>
      <c r="AJ320" s="219" t="e">
        <f>AJ57/-AJ62</f>
        <v>#DIV/0!</v>
      </c>
      <c r="AK320" s="219" t="e">
        <f>AK57/-AK62</f>
        <v>#DIV/0!</v>
      </c>
      <c r="AM320" s="219" t="e">
        <f>AM57/-AM62</f>
        <v>#DIV/0!</v>
      </c>
      <c r="AN320" s="219" t="e">
        <f>AN57/-AN62</f>
        <v>#DIV/0!</v>
      </c>
      <c r="AO320" s="219" t="e">
        <f>AO57/-AO62</f>
        <v>#DIV/0!</v>
      </c>
      <c r="AP320" s="219" t="e">
        <f>AP57/-AP62</f>
        <v>#DIV/0!</v>
      </c>
      <c r="AR320" s="219" t="e">
        <f>AR57/-AR62</f>
        <v>#DIV/0!</v>
      </c>
      <c r="AS320" s="219" t="e">
        <f>AS57/-AS62</f>
        <v>#DIV/0!</v>
      </c>
      <c r="AT320" s="219" t="e">
        <f>AT57/-AT62</f>
        <v>#DIV/0!</v>
      </c>
      <c r="AU320" s="219" t="e">
        <f>AU57/-AU62</f>
        <v>#DIV/0!</v>
      </c>
      <c r="AW320" s="219" t="e">
        <f>AW57/-AW62</f>
        <v>#DIV/0!</v>
      </c>
      <c r="AX320" s="219" t="e">
        <f>AX57/-AX62</f>
        <v>#DIV/0!</v>
      </c>
      <c r="AY320" s="219" t="e">
        <f>AY57/-AY62</f>
        <v>#DIV/0!</v>
      </c>
      <c r="AZ320" s="219" t="e">
        <f>AZ57/-AZ62</f>
        <v>#DIV/0!</v>
      </c>
      <c r="BB320" s="219" t="e">
        <f>BB57/-BB62</f>
        <v>#DIV/0!</v>
      </c>
      <c r="BC320" s="219" t="e">
        <f>BC57/-BC62</f>
        <v>#DIV/0!</v>
      </c>
      <c r="BD320" s="219" t="e">
        <f>BD57/-BD62</f>
        <v>#DIV/0!</v>
      </c>
      <c r="BE320" s="219" t="e">
        <f>BE57/-BE62</f>
        <v>#DIV/0!</v>
      </c>
      <c r="BG320" s="219" t="e">
        <f>BG57/-BG62</f>
        <v>#DIV/0!</v>
      </c>
      <c r="BH320" s="219" t="e">
        <f>BH57/-BH62</f>
        <v>#DIV/0!</v>
      </c>
      <c r="BI320" s="219" t="e">
        <f>BI57/-BI62</f>
        <v>#DIV/0!</v>
      </c>
      <c r="BJ320" s="219" t="e">
        <f>BJ57/-BJ62</f>
        <v>#DIV/0!</v>
      </c>
      <c r="BL320" s="219" t="e">
        <f>BL57/-BL62</f>
        <v>#DIV/0!</v>
      </c>
      <c r="BM320" s="219" t="e">
        <f>BM57/-BM62</f>
        <v>#DIV/0!</v>
      </c>
      <c r="BN320" s="219" t="e">
        <f>BN57/-BN62</f>
        <v>#DIV/0!</v>
      </c>
      <c r="BO320" s="219" t="e">
        <f>BO57/-BO62</f>
        <v>#DIV/0!</v>
      </c>
      <c r="BQ320" s="219" t="e">
        <f>BQ57/-BQ62</f>
        <v>#DIV/0!</v>
      </c>
      <c r="BR320" s="219" t="e">
        <f>BR57/-BR62</f>
        <v>#DIV/0!</v>
      </c>
      <c r="BS320" s="219" t="e">
        <f>BS57/-BS62</f>
        <v>#DIV/0!</v>
      </c>
      <c r="BT320" s="219" t="e">
        <f>BT57/-BT62</f>
        <v>#DIV/0!</v>
      </c>
      <c r="BV320" s="219" t="e">
        <f>BV57/-BV62</f>
        <v>#DIV/0!</v>
      </c>
      <c r="BW320" s="219" t="e">
        <f>BW57/-BW62</f>
        <v>#DIV/0!</v>
      </c>
      <c r="BX320" s="219" t="e">
        <f>BX57/-BX62</f>
        <v>#DIV/0!</v>
      </c>
      <c r="BY320" s="219" t="e">
        <f>BY57/-BY62</f>
        <v>#DIV/0!</v>
      </c>
      <c r="CA320" s="219" t="e">
        <f>CA57/-CA62</f>
        <v>#DIV/0!</v>
      </c>
      <c r="CB320" s="219" t="e">
        <f>CB57/-CB62</f>
        <v>#DIV/0!</v>
      </c>
      <c r="CC320" s="219" t="e">
        <f>CC57/-CC62</f>
        <v>#DIV/0!</v>
      </c>
      <c r="CD320" s="219" t="e">
        <f>CD57/-CD62</f>
        <v>#DIV/0!</v>
      </c>
      <c r="CF320" s="219" t="e">
        <f>CF57/-CF62</f>
        <v>#DIV/0!</v>
      </c>
      <c r="CG320" s="219" t="e">
        <f>CG57/-CG62</f>
        <v>#DIV/0!</v>
      </c>
      <c r="CH320" s="219" t="e">
        <f>CH57/-CH62</f>
        <v>#DIV/0!</v>
      </c>
      <c r="CI320" s="219" t="e">
        <f>CI57/-CI62</f>
        <v>#DIV/0!</v>
      </c>
      <c r="CK320" s="219" t="e">
        <f>CK57/-CK62</f>
        <v>#DIV/0!</v>
      </c>
      <c r="CL320" s="219" t="e">
        <f>CL57/-CL62</f>
        <v>#DIV/0!</v>
      </c>
      <c r="CM320" s="219" t="e">
        <f>CM57/-CM62</f>
        <v>#DIV/0!</v>
      </c>
      <c r="CN320" s="219" t="e">
        <f>CN57/-CN62</f>
        <v>#DIV/0!</v>
      </c>
      <c r="CP320" s="219" t="e">
        <f>CP57/-CP62</f>
        <v>#DIV/0!</v>
      </c>
      <c r="CQ320" s="219" t="e">
        <f>CQ57/-CQ62</f>
        <v>#DIV/0!</v>
      </c>
      <c r="CR320" s="219" t="e">
        <f>CR57/-CR62</f>
        <v>#DIV/0!</v>
      </c>
      <c r="CS320" s="219" t="e">
        <f>CS57/-CS62</f>
        <v>#DIV/0!</v>
      </c>
      <c r="CU320" s="219" t="e">
        <f>CU57/-CU62</f>
        <v>#DIV/0!</v>
      </c>
      <c r="CV320" s="219" t="e">
        <f>CV57/-CV62</f>
        <v>#DIV/0!</v>
      </c>
      <c r="CW320" s="219" t="e">
        <f>CW57/-CW62</f>
        <v>#DIV/0!</v>
      </c>
      <c r="CX320" s="219" t="e">
        <f>CX57/-CX62</f>
        <v>#DIV/0!</v>
      </c>
    </row>
    <row r="321" customFormat="1" s="233">
      <c r="A321" s="224" t="n"/>
      <c r="B321" s="224" t="n"/>
      <c r="C321" s="233" t="inlineStr">
        <is>
          <t>(EBITDA - CAPEX) / TOTAL INTEREST</t>
        </is>
      </c>
      <c r="D321" s="219">
        <f>(D57-D156)/-D62</f>
        <v>5.12525667351129</v>
      </c>
      <c r="E321" s="219">
        <f>(E57-E156)/-E62</f>
        <v>2.2823275862069</v>
      </c>
      <c r="F321" s="219">
        <f>(F57-F156)/-F62</f>
        <v>3.77142857142857</v>
      </c>
      <c r="G321" s="219">
        <f>(G57-G156)/-G62</f>
        <v>3.24561403508772</v>
      </c>
      <c r="I321" s="219">
        <f>(I57-I156)/-I62</f>
        <v>4.40987124463519</v>
      </c>
      <c r="J321" s="219">
        <f>(J57-J156)/-J62</f>
        <v>5.23373493975904</v>
      </c>
      <c r="K321" s="219">
        <f>(K57-K156)/-K62</f>
        <v>5.99769585253456</v>
      </c>
      <c r="L321" s="219">
        <f>(L57-L156)/-L62</f>
        <v>7.74692874692875</v>
      </c>
      <c r="N321" s="219">
        <f>(N57-N156)/-N62</f>
        <v>6.63127413127413</v>
      </c>
      <c r="O321" s="219">
        <f>(O57-O156)/-O62</f>
        <v>9.23399014778325</v>
      </c>
      <c r="P321" s="219">
        <f>(P57-P156)/-P62</f>
        <v>9.88423645320197</v>
      </c>
      <c r="Q321" s="219">
        <f>(Q57-Q156)/-Q62</f>
        <v>10.1600985221675</v>
      </c>
      <c r="S321" s="219">
        <f>(S57-S156)/-S62</f>
        <v>9.87654320987654</v>
      </c>
      <c r="T321" s="219">
        <f>(T57-T156)/-T62</f>
        <v>9.56896551724138</v>
      </c>
      <c r="U321" s="219">
        <f>(U57-U156)/-U62</f>
        <v>10.5333333333333</v>
      </c>
      <c r="V321" s="219">
        <f>(V57-V156)/-V62</f>
        <v>1.70086393088553</v>
      </c>
      <c r="X321" s="219">
        <f>(X57-X156)/-X62</f>
        <v>2.8261700095511</v>
      </c>
      <c r="Y321" s="219">
        <f>(Y57-Y156)/-Y62</f>
        <v>3.62218045112782</v>
      </c>
      <c r="Z321" s="219">
        <f>(Z57-Z156)/-Z62</f>
        <v>5.13973799126638</v>
      </c>
      <c r="AA321" s="219">
        <f>(AA57-AA156)/-AA62</f>
        <v>7.2348224513173</v>
      </c>
      <c r="AC321" s="219">
        <f>(AC57-AC156)/-AC62</f>
        <v>7.58387516254877</v>
      </c>
      <c r="AD321" s="219">
        <f>(AD57-AD156)/-AD62</f>
        <v>7.30855018587361</v>
      </c>
      <c r="AE321" s="219">
        <f>(AE57-AE156)/-AE62</f>
        <v>9.76215505913272</v>
      </c>
      <c r="AF321" s="219">
        <f>(AF57-AF156)/-AF62</f>
        <v>10.6042446941323</v>
      </c>
      <c r="AH321" s="219">
        <f>(AH57-AH156)/-AH62</f>
        <v>13.6585051546392</v>
      </c>
      <c r="AI321" s="219">
        <f>(AI57-AI156)/-AI62</f>
        <v>20.0501285347044</v>
      </c>
      <c r="AJ321" s="219" t="e">
        <f>(AJ57-AJ156)/-AJ62</f>
        <v>#DIV/0!</v>
      </c>
      <c r="AK321" s="219" t="e">
        <f>(AK57-AK156)/-AK62</f>
        <v>#DIV/0!</v>
      </c>
      <c r="AM321" s="219" t="e">
        <f>(AM57-AM156)/-AM62</f>
        <v>#DIV/0!</v>
      </c>
      <c r="AN321" s="219" t="e">
        <f>(AN57-AN156)/-AN62</f>
        <v>#DIV/0!</v>
      </c>
      <c r="AO321" s="219" t="e">
        <f>(AO57-AO156)/-AO62</f>
        <v>#DIV/0!</v>
      </c>
      <c r="AP321" s="219" t="e">
        <f>(AP57-AP156)/-AP62</f>
        <v>#DIV/0!</v>
      </c>
      <c r="AR321" s="219" t="e">
        <f>(AR57-AR156)/-AR62</f>
        <v>#DIV/0!</v>
      </c>
      <c r="AS321" s="219" t="e">
        <f>(AS57-AS156)/-AS62</f>
        <v>#DIV/0!</v>
      </c>
      <c r="AT321" s="219" t="e">
        <f>(AT57-AT156)/-AT62</f>
        <v>#DIV/0!</v>
      </c>
      <c r="AU321" s="219" t="e">
        <f>(AU57-AU156)/-AU62</f>
        <v>#DIV/0!</v>
      </c>
      <c r="AW321" s="219" t="e">
        <f>(AW57-AW156)/-AW62</f>
        <v>#DIV/0!</v>
      </c>
      <c r="AX321" s="219" t="e">
        <f>(AX57-AX156)/-AX62</f>
        <v>#DIV/0!</v>
      </c>
      <c r="AY321" s="219" t="e">
        <f>(AY57-AY156)/-AY62</f>
        <v>#DIV/0!</v>
      </c>
      <c r="AZ321" s="219" t="e">
        <f>(AZ57-AZ156)/-AZ62</f>
        <v>#DIV/0!</v>
      </c>
      <c r="BB321" s="219" t="e">
        <f>(BB57-BB156)/-BB62</f>
        <v>#DIV/0!</v>
      </c>
      <c r="BC321" s="219" t="e">
        <f>(BC57-BC156)/-BC62</f>
        <v>#DIV/0!</v>
      </c>
      <c r="BD321" s="219" t="e">
        <f>(BD57-BD156)/-BD62</f>
        <v>#DIV/0!</v>
      </c>
      <c r="BE321" s="219" t="e">
        <f>(BE57-BE156)/-BE62</f>
        <v>#DIV/0!</v>
      </c>
      <c r="BG321" s="219" t="e">
        <f>(BG57-BG156)/-BG62</f>
        <v>#DIV/0!</v>
      </c>
      <c r="BH321" s="219" t="e">
        <f>(BH57-BH156)/-BH62</f>
        <v>#DIV/0!</v>
      </c>
      <c r="BI321" s="219" t="e">
        <f>(BI57-BI156)/-BI62</f>
        <v>#DIV/0!</v>
      </c>
      <c r="BJ321" s="219" t="e">
        <f>(BJ57-BJ156)/-BJ62</f>
        <v>#DIV/0!</v>
      </c>
      <c r="BL321" s="219" t="e">
        <f>(BL57-BL156)/-BL62</f>
        <v>#DIV/0!</v>
      </c>
      <c r="BM321" s="219" t="e">
        <f>(BM57-BM156)/-BM62</f>
        <v>#DIV/0!</v>
      </c>
      <c r="BN321" s="219" t="e">
        <f>(BN57-BN156)/-BN62</f>
        <v>#DIV/0!</v>
      </c>
      <c r="BO321" s="219" t="e">
        <f>(BO57-BO156)/-BO62</f>
        <v>#DIV/0!</v>
      </c>
      <c r="BQ321" s="219" t="e">
        <f>(BQ57-BQ156)/-BQ62</f>
        <v>#DIV/0!</v>
      </c>
      <c r="BR321" s="219" t="e">
        <f>(BR57-BR156)/-BR62</f>
        <v>#DIV/0!</v>
      </c>
      <c r="BS321" s="219" t="e">
        <f>(BS57-BS156)/-BS62</f>
        <v>#DIV/0!</v>
      </c>
      <c r="BT321" s="219" t="e">
        <f>(BT57-BT156)/-BT62</f>
        <v>#DIV/0!</v>
      </c>
      <c r="BV321" s="219" t="e">
        <f>(BV57-BV156)/-BV62</f>
        <v>#DIV/0!</v>
      </c>
      <c r="BW321" s="219" t="e">
        <f>(BW57-BW156)/-BW62</f>
        <v>#DIV/0!</v>
      </c>
      <c r="BX321" s="219" t="e">
        <f>(BX57-BX156)/-BX62</f>
        <v>#DIV/0!</v>
      </c>
      <c r="BY321" s="219" t="e">
        <f>(BY57-BY156)/-BY62</f>
        <v>#DIV/0!</v>
      </c>
      <c r="CA321" s="219" t="e">
        <f>(CA57-CA156)/-CA62</f>
        <v>#DIV/0!</v>
      </c>
      <c r="CB321" s="219" t="e">
        <f>(CB57-CB156)/-CB62</f>
        <v>#DIV/0!</v>
      </c>
      <c r="CC321" s="219" t="e">
        <f>(CC57-CC156)/-CC62</f>
        <v>#DIV/0!</v>
      </c>
      <c r="CD321" s="219" t="e">
        <f>(CD57-CD156)/-CD62</f>
        <v>#DIV/0!</v>
      </c>
      <c r="CF321" s="219" t="e">
        <f>(CF57-CF156)/-CF62</f>
        <v>#DIV/0!</v>
      </c>
      <c r="CG321" s="219" t="e">
        <f>(CG57-CG156)/-CG62</f>
        <v>#DIV/0!</v>
      </c>
      <c r="CH321" s="219" t="e">
        <f>(CH57-CH156)/-CH62</f>
        <v>#DIV/0!</v>
      </c>
      <c r="CI321" s="219" t="e">
        <f>(CI57-CI156)/-CI62</f>
        <v>#DIV/0!</v>
      </c>
      <c r="CK321" s="219" t="e">
        <f>(CK57-CK156)/-CK62</f>
        <v>#DIV/0!</v>
      </c>
      <c r="CL321" s="219" t="e">
        <f>(CL57-CL156)/-CL62</f>
        <v>#DIV/0!</v>
      </c>
      <c r="CM321" s="219" t="e">
        <f>(CM57-CM156)/-CM62</f>
        <v>#DIV/0!</v>
      </c>
      <c r="CN321" s="219" t="e">
        <f>(CN57-CN156)/-CN62</f>
        <v>#DIV/0!</v>
      </c>
      <c r="CP321" s="219" t="e">
        <f>(CP57-CP156)/-CP62</f>
        <v>#DIV/0!</v>
      </c>
      <c r="CQ321" s="219" t="e">
        <f>(CQ57-CQ156)/-CQ62</f>
        <v>#DIV/0!</v>
      </c>
      <c r="CR321" s="219" t="e">
        <f>(CR57-CR156)/-CR62</f>
        <v>#DIV/0!</v>
      </c>
      <c r="CS321" s="219" t="e">
        <f>(CS57-CS156)/-CS62</f>
        <v>#DIV/0!</v>
      </c>
      <c r="CU321" s="219" t="e">
        <f>(CU57-CU156)/-CU62</f>
        <v>#DIV/0!</v>
      </c>
      <c r="CV321" s="219" t="e">
        <f>(CV57-CV156)/-CV62</f>
        <v>#DIV/0!</v>
      </c>
      <c r="CW321" s="219" t="e">
        <f>(CW57-CW156)/-CW62</f>
        <v>#DIV/0!</v>
      </c>
      <c r="CX321" s="219" t="e">
        <f>(CX57-CX156)/-CX62</f>
        <v>#DIV/0!</v>
      </c>
    </row>
    <row r="322" customFormat="1" s="233">
      <c r="A322" s="224" t="n"/>
      <c r="B322" s="224" t="n"/>
      <c r="C322" s="233" t="inlineStr">
        <is>
          <t>TOTAL DEBT / EBITDA LTM</t>
        </is>
      </c>
      <c r="D322" s="219" t="str">
        <f>""</f>
        <v/>
      </c>
      <c r="E322" s="219" t="str">
        <f>""</f>
        <v/>
      </c>
      <c r="F322" s="219" t="str">
        <f>""</f>
        <v/>
      </c>
      <c r="G322" s="219">
        <f>IFERROR(SUM(G200,G201,G202,G205,G223,G226)/(G57+F57+E57+D57),"")</f>
        <v>3.53946146703807</v>
      </c>
      <c r="I322" s="219">
        <f>IFERROR(SUM(I200,I201,I202,I205,I223,I226)/(I57+G57+F57+E57),"")</f>
        <v>3.15183164458301</v>
      </c>
      <c r="J322" s="219">
        <f>IFERROR(SUM(J200,J201,J202,J205,J223,J226)/(J57+I57+G57+F57),"")</f>
        <v>2.94618409554326</v>
      </c>
      <c r="K322" s="219">
        <f>IFERROR(SUM(K200,K201,K202,K205,K223,K226)/(K57+J57+I57+G57),"")</f>
        <v>2.72870879120879</v>
      </c>
      <c r="L322" s="219">
        <f>IFERROR(SUM(L200,L201,L202,L205,L223,L226)/(L57+K57+J57+I57),"")</f>
        <v>2.53480911132499</v>
      </c>
      <c r="N322" s="219">
        <f>IFERROR(SUM(N200,N201,N202,N205,N223,N226)/(N57+L57+K57+J57),"")</f>
        <v>2.35421140539251</v>
      </c>
      <c r="O322" s="219">
        <f>IFERROR(SUM(O200,O201,O202,O205,O223,O226)/(O57+N57+L57+K57),"")</f>
        <v>2.18337110951407</v>
      </c>
      <c r="P322" s="219">
        <f>IFERROR(SUM(P200,P201,P202,P205,P223,P226)/(P57+O57+N57+L57),"")</f>
        <v>2.05710864698839</v>
      </c>
      <c r="Q322" s="219">
        <f>IFERROR(SUM(Q200,Q201,Q202,Q205,Q223,Q226)/(Q57+P57+O57+N57),"")</f>
        <v>1.96912125921099</v>
      </c>
      <c r="S322" s="219">
        <f>IFERROR(SUM(S200,S201,S202,S205,S223,S226)/(S57+Q57+P57+O57),"")</f>
        <v>1.94243502322364</v>
      </c>
      <c r="T322" s="219">
        <f>IFERROR(SUM(T200,T201,T202,T205,T223,T226)/(T57+S57+Q57+P57),"")</f>
        <v>1.95999402152252</v>
      </c>
      <c r="U322" s="219">
        <f>IFERROR(SUM(U200,U201,U202,U205,U223,U226)/(U57+T57+S57+Q57),"")</f>
        <v>1.95733958686758</v>
      </c>
      <c r="V322" s="219">
        <f>IFERROR(SUM(V200,V201,V202,V205,V223,V226)/(V57+U57+T57+S57),"")</f>
        <v>3.92557538143264</v>
      </c>
      <c r="X322" s="219">
        <f>IFERROR(SUM(X200,X201,X202,X205,X223,X226)/(X57+V57+U57+T57),"")</f>
        <v>3.72257707589398</v>
      </c>
      <c r="Y322" s="219">
        <f>IFERROR(SUM(Y200,Y201,Y202,Y205,Y223,Y226)/(Y57+X57+V57+U57),"")</f>
        <v>3.26804316345121</v>
      </c>
      <c r="Z322" s="219">
        <f>IFERROR(SUM(Z200,Z201,Z202,Z205,Z223,Z226)/(Z57+Y57+X57+V57),"")</f>
        <v>2.87845609849614</v>
      </c>
      <c r="AA322" s="219">
        <f>IFERROR(SUM(AA200,AA201,AA202,AA205,AA223,AA226)/(AA57+Z57+Y57+X57),"")</f>
        <v>2.42290476363769</v>
      </c>
      <c r="AC322" s="219">
        <f>IFERROR(SUM(AC200,AC201,AC202,AC205,AC223,AC226)/(AC57+AA57+Z57+Y57),"")</f>
        <v>2.24692759818328</v>
      </c>
      <c r="AD322" s="219">
        <f>IFERROR(SUM(AD200,AD201,AD202,AD205,AD223,AD226)/(AD57+AC57+AA57+Z57),"")</f>
        <v>2.02698267428283</v>
      </c>
      <c r="AE322" s="219">
        <f>IFERROR(SUM(AE200,AE201,AE202,AE205,AE223,AE226)/(AE57+AD57+AC57+AA57),"")</f>
        <v>1.9051184556888</v>
      </c>
      <c r="AF322" s="219">
        <f>IFERROR(SUM(AF200,AF201,AF202,AF205,AF223,AF226)/(AF57+AE57+AD57+AC57),"")</f>
        <v>1.81117021276596</v>
      </c>
      <c r="AH322" s="219">
        <f>IFERROR(SUM(AH200,AH201,AH202,AH205,AH223,AH226)/(AH57+AF57+AE57+AD57),"")</f>
        <v>1.56666666666667</v>
      </c>
      <c r="AI322" s="219">
        <f>IFERROR(SUM(AI200,AI201,AI202,AI205,AI223,AI226)/(AI57+AH57+AF57+AE57),"")</f>
        <v>1.15361018890636</v>
      </c>
      <c r="AJ322" s="219">
        <f>IFERROR(SUM(AJ200,AJ201,AJ202,AJ205,AJ223,AJ226)/(AJ57+AI57+AH57+AF57),"")</f>
        <v>1.42266436814634</v>
      </c>
      <c r="AK322" s="219">
        <f>IFERROR(SUM(AK200,AK201,AK202,AK205,AK223,AK226)/(AK57+AJ57+AI57+AH57),"")</f>
        <v>1.91365539452496</v>
      </c>
      <c r="AM322" s="219">
        <f>IFERROR(SUM(AM200,AM201,AM202,AM205,AM223,AM226)/(AM57+AK57+AJ57+AI57),"")</f>
        <v>3.27702404588573</v>
      </c>
      <c r="AN322" s="219" t="str">
        <f>IFERROR(SUM(AN200,AN201,AN202,AN205,AN223,AN226)/(AN57+AM57+AK57+AJ57),"")</f>
        <v/>
      </c>
      <c r="AO322" s="219" t="str">
        <f>IFERROR(SUM(AO200,AO201,AO202,AO205,AO223,AO226)/(AO57+AN57+AM57+AK57),"")</f>
        <v/>
      </c>
      <c r="AP322" s="219" t="str">
        <f>IFERROR(SUM(AP200,AP201,AP202,AP205,AP223,AP226)/(AP57+AO57+AN57+AM57),"")</f>
        <v/>
      </c>
      <c r="AR322" s="219" t="str">
        <f>IFERROR(SUM(AR200,AR201,AR202,AR205,AR223,AR226)/(AR57+AP57+AO57+AN57),"")</f>
        <v/>
      </c>
      <c r="AS322" s="219" t="str">
        <f>IFERROR(SUM(AS200,AS201,AS202,AS205,AS223,AS226)/(AS57+AR57+AP57+AO57),"")</f>
        <v/>
      </c>
      <c r="AT322" s="219" t="str">
        <f>IFERROR(SUM(AT200,AT201,AT202,AT205,AT223,AT226)/(AT57+AS57+AR57+AP57),"")</f>
        <v/>
      </c>
      <c r="AU322" s="219" t="str">
        <f>IFERROR(SUM(AU200,AU201,AU202,AU205,AU223,AU226)/(AU57+AT57+AS57+AR57),"")</f>
        <v/>
      </c>
      <c r="AW322" s="219" t="str">
        <f>IFERROR(SUM(AW200,AW201,AW202,AW205,AW223,AW226)/(AW57+AU57+AT57+AS57),"")</f>
        <v/>
      </c>
      <c r="AX322" s="219" t="str">
        <f>IFERROR(SUM(AX200,AX201,AX202,AX205,AX223,AX226)/(AX57+AW57+AU57+AT57),"")</f>
        <v/>
      </c>
      <c r="AY322" s="219" t="str">
        <f>IFERROR(SUM(AY200,AY201,AY202,AY205,AY223,AY226)/(AY57+AX57+AW57+AU57),"")</f>
        <v/>
      </c>
      <c r="AZ322" s="219" t="str">
        <f>IFERROR(SUM(AZ200,AZ201,AZ202,AZ205,AZ223,AZ226)/(AZ57+AY57+AX57+AW57),"")</f>
        <v/>
      </c>
      <c r="BB322" s="219" t="str">
        <f>IFERROR(SUM(BB200,BB201,BB202,BB205,BB223,BB226)/(BB57+AZ57+AY57+AX57),"")</f>
        <v/>
      </c>
      <c r="BC322" s="219" t="str">
        <f>IFERROR(SUM(BC200,BC201,BC202,BC205,BC223,BC226)/(BC57+BB57+AZ57+AY57),"")</f>
        <v/>
      </c>
      <c r="BD322" s="219" t="str">
        <f>IFERROR(SUM(BD200,BD201,BD202,BD205,BD223,BD226)/(BD57+BC57+BB57+AZ57),"")</f>
        <v/>
      </c>
      <c r="BE322" s="219" t="str">
        <f>IFERROR(SUM(BE200,BE201,BE202,BE205,BE223,BE226)/(BE57+BD57+BC57+BB57),"")</f>
        <v/>
      </c>
      <c r="BG322" s="219" t="str">
        <f>IFERROR(SUM(BG200,BG201,BG202,BG205,BG223,BG226)/(BG57+BE57+BD57+BC57),"")</f>
        <v/>
      </c>
      <c r="BH322" s="219" t="str">
        <f>IFERROR(SUM(BH200,BH201,BH202,BH205,BH223,BH226)/(BH57+BG57+BE57+BD57),"")</f>
        <v/>
      </c>
      <c r="BI322" s="219" t="str">
        <f>IFERROR(SUM(BI200,BI201,BI202,BI205,BI223,BI226)/(BI57+BH57+BG57+BE57),"")</f>
        <v/>
      </c>
      <c r="BJ322" s="219" t="str">
        <f>IFERROR(SUM(BJ200,BJ201,BJ202,BJ205,BJ223,BJ226)/(BJ57+BI57+BH57+BG57),"")</f>
        <v/>
      </c>
      <c r="BL322" s="219" t="str">
        <f>IFERROR(SUM(BL200,BL201,BL202,BL205,BL223,BL226)/(BL57+BJ57+BI57+BH57),"")</f>
        <v/>
      </c>
      <c r="BM322" s="219" t="str">
        <f>IFERROR(SUM(BM200,BM201,BM202,BM205,BM223,BM226)/(BM57+BL57+BJ57+BI57),"")</f>
        <v/>
      </c>
      <c r="BN322" s="219" t="str">
        <f>IFERROR(SUM(BN200,BN201,BN202,BN205,BN223,BN226)/(BN57+BM57+BL57+BJ57),"")</f>
        <v/>
      </c>
      <c r="BO322" s="219" t="str">
        <f>IFERROR(SUM(BO200,BO201,BO202,BO205,BO223,BO226)/(BO57+BN57+BM57+BL57),"")</f>
        <v/>
      </c>
      <c r="BQ322" s="219" t="str">
        <f>IFERROR(SUM(BQ200,BQ201,BQ202,BQ205,BQ223,BQ226)/(BQ57+BO57+BN57+BM57),"")</f>
        <v/>
      </c>
      <c r="BR322" s="219" t="str">
        <f>IFERROR(SUM(BR200,BR201,BR202,BR205,BR223,BR226)/(BR57+BQ57+BO57+BN57),"")</f>
        <v/>
      </c>
      <c r="BS322" s="219" t="str">
        <f>IFERROR(SUM(BS200,BS201,BS202,BS205,BS223,BS226)/(BS57+BR57+BQ57+BO57),"")</f>
        <v/>
      </c>
      <c r="BT322" s="219" t="str">
        <f>IFERROR(SUM(BT200,BT201,BT202,BT205,BT223,BT226)/(BT57+BS57+BR57+BQ57),"")</f>
        <v/>
      </c>
      <c r="BV322" s="219" t="str">
        <f>IFERROR(SUM(BV200,BV201,BV202,BV205,BV223,BV226)/(BV57+BT57+BS57+BR57),"")</f>
        <v/>
      </c>
      <c r="BW322" s="219" t="str">
        <f>IFERROR(SUM(BW200,BW201,BW202,BW205,BW223,BW226)/(BW57+BV57+BT57+BS57),"")</f>
        <v/>
      </c>
      <c r="BX322" s="219" t="str">
        <f>IFERROR(SUM(BX200,BX201,BX202,BX205,BX223,BX226)/(BX57+BW57+BV57+BT57),"")</f>
        <v/>
      </c>
      <c r="BY322" s="219" t="str">
        <f>IFERROR(SUM(BY200,BY201,BY202,BY205,BY223,BY226)/(BY57+BX57+BW57+BV57),"")</f>
        <v/>
      </c>
      <c r="CA322" s="219" t="str">
        <f>IFERROR(SUM(CA200,CA201,CA202,CA205,CA223,CA226)/(CA57+BY57+BX57+BW57),"")</f>
        <v/>
      </c>
      <c r="CB322" s="219" t="str">
        <f>IFERROR(SUM(CB200,CB201,CB202,CB205,CB223,CB226)/(CB57+CA57+BY57+BX57),"")</f>
        <v/>
      </c>
      <c r="CC322" s="219" t="str">
        <f>IFERROR(SUM(CC200,CC201,CC202,CC205,CC223,CC226)/(CC57+CB57+CA57+BY57),"")</f>
        <v/>
      </c>
      <c r="CD322" s="219" t="str">
        <f>IFERROR(SUM(CD200,CD201,CD202,CD205,CD223,CD226)/(CD57+CC57+CB57+CA57),"")</f>
        <v/>
      </c>
      <c r="CF322" s="219" t="str">
        <f>IFERROR(SUM(CF200,CF201,CF202,CF205,CF223,CF226)/(CF57+CD57+CC57+CB57),"")</f>
        <v/>
      </c>
      <c r="CG322" s="219" t="str">
        <f>IFERROR(SUM(CG200,CG201,CG202,CG205,CG223,CG226)/(CG57+CF57+CD57+CC57),"")</f>
        <v/>
      </c>
      <c r="CH322" s="219" t="str">
        <f>IFERROR(SUM(CH200,CH201,CH202,CH205,CH223,CH226)/(CH57+CG57+CF57+CD57),"")</f>
        <v/>
      </c>
      <c r="CI322" s="219" t="str">
        <f>IFERROR(SUM(CI200,CI201,CI202,CI205,CI223,CI226)/(CI57+CH57+CG57+CF57),"")</f>
        <v/>
      </c>
      <c r="CK322" s="219" t="str">
        <f>IFERROR(SUM(CK200,CK201,CK202,CK205,CK223,CK226)/(CK57+CI57+CH57+CG57),"")</f>
        <v/>
      </c>
      <c r="CL322" s="219" t="str">
        <f>IFERROR(SUM(CL200,CL201,CL202,CL205,CL223,CL226)/(CL57+CK57+CI57+CH57),"")</f>
        <v/>
      </c>
      <c r="CM322" s="219" t="str">
        <f>IFERROR(SUM(CM200,CM201,CM202,CM205,CM223,CM226)/(CM57+CL57+CK57+CI57),"")</f>
        <v/>
      </c>
      <c r="CN322" s="219" t="str">
        <f>IFERROR(SUM(CN200,CN201,CN202,CN205,CN223,CN226)/(CN57+CM57+CL57+CK57),"")</f>
        <v/>
      </c>
      <c r="CP322" s="219" t="str">
        <f>IFERROR(SUM(CP200,CP201,CP202,CP205,CP223,CP226)/(CP57+CN57+CM57+CL57),"")</f>
        <v/>
      </c>
      <c r="CQ322" s="219" t="str">
        <f>IFERROR(SUM(CQ200,CQ201,CQ202,CQ205,CQ223,CQ226)/(CQ57+CP57+CN57+CM57),"")</f>
        <v/>
      </c>
      <c r="CR322" s="219" t="str">
        <f>IFERROR(SUM(CR200,CR201,CR202,CR205,CR223,CR226)/(CR57+CQ57+CP57+CN57),"")</f>
        <v/>
      </c>
      <c r="CS322" s="219" t="str">
        <f>IFERROR(SUM(CS200,CS201,CS202,CS205,CS223,CS226)/(CS57+CR57+CQ57+CP57),"")</f>
        <v/>
      </c>
      <c r="CU322" s="219" t="str">
        <f>IFERROR(SUM(CU200,CU201,CU202,CU205,CU223,CU226)/(CU57+CS57+CR57+CQ57),"")</f>
        <v/>
      </c>
      <c r="CV322" s="219" t="str">
        <f>IFERROR(SUM(CV200,CV201,CV202,CV205,CV223,CV226)/(CV57+CU57+CS57+CR57),"")</f>
        <v/>
      </c>
      <c r="CW322" s="219" t="str">
        <f>IFERROR(SUM(CW200,CW201,CW202,CW205,CW223,CW226)/(CW57+CV57+CU57+CS57),"")</f>
        <v/>
      </c>
      <c r="CX322" s="219" t="str">
        <f>IFERROR(SUM(CX200,CX201,CX202,CX205,CX223,CX226)/(CX57+CW57+CV57+CU57),"")</f>
        <v/>
      </c>
    </row>
    <row r="323" customFormat="1" s="233">
      <c r="A323" s="224" t="n"/>
      <c r="B323" s="224" t="n"/>
      <c r="C323" s="233" t="inlineStr">
        <is>
          <t>TOTAL DEBT / TOTAL CAPITALIZATION</t>
        </is>
      </c>
      <c r="D323" s="221">
        <f>SUM(D200+D201+D202+D205+D223+D226)/(SUM(D200+D201+D202+D205+D223+D226)+D259)</f>
        <v>0.656752538198273</v>
      </c>
      <c r="E323" s="221">
        <f>SUM(E200+E201+E202+E205+E223+E226)/(SUM(E200+E201+E202+E205+E223+E226)+E259)</f>
        <v>0.651150751390368</v>
      </c>
      <c r="F323" s="221">
        <f>SUM(F200+F201+F202+F205+F223+F226)/(SUM(F200+F201+F202+F205+F223+F226)+F259)</f>
        <v>0.632082877945908</v>
      </c>
      <c r="G323" s="221">
        <f>SUM(G200+G201+G202+G205+G223+G226)/(SUM(G200+G201+G202+G205+G223+G226)+G259)</f>
        <v>0.635998240584854</v>
      </c>
      <c r="I323" s="221">
        <f>SUM(I200+I201+I202+I205+I223+I226)/(SUM(I200+I201+I202+I205+I223+I226)+I259)</f>
        <v>0.627880255884728</v>
      </c>
      <c r="J323" s="221">
        <f>SUM(J200+J201+J202+J205+J223+J226)/(SUM(J200+J201+J202+J205+J223+J226)+J259)</f>
        <v>0.624105269653215</v>
      </c>
      <c r="K323" s="221">
        <f>SUM(K200+K201+K202+K205+K223+K226)/(SUM(K200+K201+K202+K205+K223+K226)+K259)</f>
        <v>0.613884639750305</v>
      </c>
      <c r="L323" s="221">
        <f>SUM(L200+L201+L202+L205+L223+L226)/(SUM(L200+L201+L202+L205+L223+L226)+L259)</f>
        <v>0.632090113441815</v>
      </c>
      <c r="N323" s="221">
        <f>SUM(N200+N201+N202+N205+N223+N226)/(SUM(N200+N201+N202+N205+N223+N226)+N259)</f>
        <v>0.652805346036787</v>
      </c>
      <c r="O323" s="221">
        <f>SUM(O200+O201+O202+O205+O223+O226)/(SUM(O200+O201+O202+O205+O223+O226)+O259)</f>
        <v>0.653912381204676</v>
      </c>
      <c r="P323" s="221">
        <f>SUM(P200+P201+P202+P205+P223+P226)/(SUM(P200+P201+P202+P205+P223+P226)+P259)</f>
        <v>0.635044355875546</v>
      </c>
      <c r="Q323" s="221">
        <f>SUM(Q200+Q201+Q202+Q205+Q223+Q226)/(SUM(Q200+Q201+Q202+Q205+Q223+Q226)+Q259)</f>
        <v>0.627588190184049</v>
      </c>
      <c r="S323" s="221">
        <f>SUM(S200+S201+S202+S205+S223+S226)/(SUM(S200+S201+S202+S205+S223+S226)+S259)</f>
        <v>0.641100492514433</v>
      </c>
      <c r="T323" s="221">
        <f>SUM(T200+T201+T202+T205+T223+T226)/(SUM(T200+T201+T202+T205+T223+T226)+T259)</f>
        <v>0.640524259198958</v>
      </c>
      <c r="U323" s="221">
        <f>SUM(U200+U201+U202+U205+U223+U226)/(SUM(U200+U201+U202+U205+U223+U226)+U259)</f>
        <v>0.620545106537798</v>
      </c>
      <c r="V323" s="221">
        <f>SUM(V200+V201+V202+V205+V223+V226)/(SUM(V200+V201+V202+V205+V223+V226)+V259)</f>
        <v>0.519211957451175</v>
      </c>
      <c r="X323" s="221">
        <f>SUM(X200+X201+X202+X205+X223+X226)/(SUM(X200+X201+X202+X205+X223+X226)+X259)</f>
        <v>0.514082110337068</v>
      </c>
      <c r="Y323" s="221">
        <f>SUM(Y200+Y201+Y202+Y205+Y223+Y226)/(SUM(Y200+Y201+Y202+Y205+Y223+Y226)+Y259)</f>
        <v>0.515883784381683</v>
      </c>
      <c r="Z323" s="221">
        <f>SUM(Z200+Z201+Z202+Z205+Z223+Z226)/(SUM(Z200+Z201+Z202+Z205+Z223+Z226)+Z259)</f>
        <v>0.499585933571914</v>
      </c>
      <c r="AA323" s="221">
        <f>SUM(AA200+AA201+AA202+AA205+AA223+AA226)/(SUM(AA200+AA201+AA202+AA205+AA223+AA226)+AA259)</f>
        <v>0.488230376627948</v>
      </c>
      <c r="AC323" s="221">
        <f>SUM(AC200+AC201+AC202+AC205+AC223+AC226)/(SUM(AC200+AC201+AC202+AC205+AC223+AC226)+AC259)</f>
        <v>0.491583131192098</v>
      </c>
      <c r="AD323" s="221">
        <f>SUM(AD200+AD201+AD202+AD205+AD223+AD226)/(SUM(AD200+AD201+AD202+AD205+AD223+AD226)+AD259)</f>
        <v>0.467099617471238</v>
      </c>
      <c r="AE323" s="221">
        <f>SUM(AE200+AE201+AE202+AE205+AE223+AE226)/(SUM(AE200+AE201+AE202+AE205+AE223+AE226)+AE259)</f>
        <v>0.44483295544568</v>
      </c>
      <c r="AF323" s="221">
        <f>SUM(AF200+AF201+AF202+AF205+AF223+AF226)/(SUM(AF200+AF201+AF202+AF205+AF223+AF226)+AF259)</f>
        <v>0.452665337253048</v>
      </c>
      <c r="AH323" s="221">
        <f>SUM(AH200+AH201+AH202+AH205+AH223+AH226)/(SUM(AH200+AH201+AH202+AH205+AH223+AH226)+AH259)</f>
        <v>0.425346334814349</v>
      </c>
      <c r="AI323" s="221">
        <f>SUM(AI200+AI201+AI202+AI205+AI223+AI226)/(SUM(AI200+AI201+AI202+AI205+AI223+AI226)+AI259)</f>
        <v>0.373448390725855</v>
      </c>
      <c r="AJ323" s="221">
        <f>SUM(AJ200+AJ201+AJ202+AJ205+AJ223+AJ226)/(SUM(AJ200+AJ201+AJ202+AJ205+AJ223+AJ226)+AJ259)</f>
        <v>0.373171635463835</v>
      </c>
      <c r="AK323" s="221">
        <f>SUM(AK200+AK201+AK202+AK205+AK223+AK226)/(SUM(AK200+AK201+AK202+AK205+AK223+AK226)+AK259)</f>
        <v>0.372942099482191</v>
      </c>
      <c r="AM323" s="221">
        <f>SUM(AM200+AM201+AM202+AM205+AM223+AM226)/(SUM(AM200+AM201+AM202+AM205+AM223+AM226)+AM259)</f>
        <v>0.372712845699805</v>
      </c>
      <c r="AN323" s="221">
        <f>SUM(AN200+AN201+AN202+AN205+AN223+AN226)/(SUM(AN200+AN201+AN202+AN205+AN223+AN226)+AN259)</f>
        <v>0.371705608207438</v>
      </c>
      <c r="AO323" s="221">
        <f>SUM(AO200+AO201+AO202+AO205+AO223+AO226)/(SUM(AO200+AO201+AO202+AO205+AO223+AO226)+AO259)</f>
        <v>0.37147787162479</v>
      </c>
      <c r="AP323" s="221">
        <f>SUM(AP200+AP201+AP202+AP205+AP223+AP226)/(SUM(AP200+AP201+AP202+AP205+AP223+AP226)+AP259)</f>
        <v>0.370477289023288</v>
      </c>
      <c r="AR323" s="221">
        <f>SUM(AR200+AR201+AR202+AR205+AR223+AR226)/(SUM(AR200+AR201+AR202+AR205+AR223+AR226)+AR259)</f>
        <v>0.369482082118184</v>
      </c>
      <c r="AS323" s="221">
        <f>SUM(AS200+AS201+AS202+AS205+AS223+AS226)/(SUM(AS200+AS201+AS202+AS205+AS223+AS226)+AS259)</f>
        <v>0.367062646330238</v>
      </c>
      <c r="AT323" s="221">
        <f>SUM(AT200+AT201+AT202+AT205+AT223+AT226)/(SUM(AT200+AT201+AT202+AT205+AT223+AT226)+AT259)</f>
        <v>0.36608567608697</v>
      </c>
      <c r="AU323" s="221">
        <f>SUM(AU200+AU201+AU202+AU205+AU223+AU226)/(SUM(AU200+AU201+AU202+AU205+AU223+AU226)+AU259)</f>
        <v>0.363710373449063</v>
      </c>
      <c r="AW323" s="221">
        <f>SUM(AW200+AW201+AW202+AW205+AW223+AW226)/(SUM(AW200+AW201+AW202+AW205+AW223+AW226)+AW259)</f>
        <v>0.361365695832244</v>
      </c>
      <c r="AX323" s="221">
        <f>SUM(AX200+AX201+AX202+AX205+AX223+AX226)/(SUM(AX200+AX201+AX202+AX205+AX223+AX226)+AX259)</f>
        <v>0.354924647428814</v>
      </c>
      <c r="AY323" s="221">
        <f>SUM(AY200+AY201+AY202+AY205+AY223+AY226)/(SUM(AY200+AY201+AY202+AY205+AY223+AY226)+AY259)</f>
        <v>0.35269152920646</v>
      </c>
      <c r="AZ323" s="221">
        <f>SUM(AZ200+AZ201+AZ202+AZ205+AZ223+AZ226)/(SUM(AZ200+AZ201+AZ202+AZ205+AZ223+AZ226)+AZ259)</f>
        <v>0.34655336323393</v>
      </c>
      <c r="BB323" s="221">
        <f>SUM(BB200+BB201+BB202+BB205+BB223+BB226)/(SUM(BB200+BB201+BB202+BB205+BB223+BB226)+BB259)</f>
        <v>0.340625197058031</v>
      </c>
      <c r="BC323" s="221">
        <f>SUM(BC200+BC201+BC202+BC205+BC223+BC226)/(SUM(BC200+BC201+BC202+BC205+BC223+BC226)+BC259)</f>
        <v>0.325531833297723</v>
      </c>
      <c r="BD323" s="221">
        <f>SUM(BD200+BD201+BD202+BD205+BD223+BD226)/(SUM(BD200+BD201+BD202+BD205+BD223+BD226)+BD259)</f>
        <v>0.320295612706387</v>
      </c>
      <c r="BE323" s="221">
        <f>SUM(BE200+BE201+BE202+BE205+BE223+BE226)/(SUM(BE200+BE201+BE202+BE205+BE223+BE226)+BE259)</f>
        <v>0.306914737010656</v>
      </c>
      <c r="BG323" s="221">
        <f>SUM(BG200+BG201+BG202+BG205+BG223+BG226)/(SUM(BG200+BG201+BG202+BG205+BG223+BG226)+BG259)</f>
        <v>0.294607043517495</v>
      </c>
      <c r="BH323" s="221">
        <f>SUM(BH200+BH201+BH202+BH205+BH223+BH226)/(SUM(BH200+BH201+BH202+BH205+BH223+BH226)+BH259)</f>
        <v>0.265461303739842</v>
      </c>
      <c r="BI323" s="221">
        <f>SUM(BI200+BI201+BI202+BI205+BI223+BI226)/(SUM(BI200+BI201+BI202+BI205+BI223+BI226)+BI259)</f>
        <v>0.25620362106062</v>
      </c>
      <c r="BJ323" s="221">
        <f>SUM(BJ200+BJ201+BJ202+BJ205+BJ223+BJ226)/(SUM(BJ200+BJ201+BJ202+BJ205+BJ223+BJ226)+BJ259)</f>
        <v>0.233873221419715</v>
      </c>
      <c r="BL323" s="221">
        <f>SUM(BL200+BL201+BL202+BL205+BL223+BL226)/(SUM(BL200+BL201+BL202+BL205+BL223+BL226)+BL259)</f>
        <v>0.215123330521453</v>
      </c>
      <c r="BM323" s="221">
        <f>SUM(BM200+BM201+BM202+BM205+BM223+BM226)/(SUM(BM200+BM201+BM202+BM205+BM223+BM226)+BM259)</f>
        <v>0.176488759122353</v>
      </c>
      <c r="BN323" s="221">
        <f>SUM(BN200+BN201+BN202+BN205+BN223+BN226)/(SUM(BN200+BN201+BN202+BN205+BN223+BN226)+BN259)</f>
        <v>0.165596947747738</v>
      </c>
      <c r="BO323" s="221">
        <f>SUM(BO200+BO201+BO202+BO205+BO223+BO226)/(SUM(BO200+BO201+BO202+BO205+BO223+BO226)+BO259)</f>
        <v>0.141716414528681</v>
      </c>
      <c r="BQ323" s="221">
        <f>SUM(BQ200+BQ201+BQ202+BQ205+BQ223+BQ226)/(SUM(BQ200+BQ201+BQ202+BQ205+BQ223+BQ226)+BQ259)</f>
        <v>0.123855381504758</v>
      </c>
      <c r="BR323" s="221">
        <f>SUM(BR200+BR201+BR202+BR205+BR223+BR226)/(SUM(BR200+BR201+BR202+BR205+BR223+BR226)+BR259)</f>
        <v>0.0921280511534806</v>
      </c>
      <c r="BS323" s="221">
        <f>SUM(BS200+BS201+BS202+BS205+BS223+BS226)/(SUM(BS200+BS201+BS202+BS205+BS223+BS226)+BS259)</f>
        <v>0.0842314916539675</v>
      </c>
      <c r="BT323" s="221">
        <f>SUM(BT200+BT201+BT202+BT205+BT223+BT226)/(SUM(BT200+BT201+BT202+BT205+BT223+BT226)+BT259)</f>
        <v>0.0682474177071836</v>
      </c>
      <c r="BV323" s="221">
        <f>SUM(BV200+BV201+BV202+BV205+BV223+BV226)/(SUM(BV200+BV201+BV202+BV205+BV223+BV226)+BV259)</f>
        <v>0.0573621648548014</v>
      </c>
      <c r="BW323" s="221">
        <f>SUM(BW200+BW201+BW202+BW205+BW223+BW226)/(SUM(BW200+BW201+BW202+BW205+BW223+BW226)+BW259)</f>
        <v>0.0399531473887133</v>
      </c>
      <c r="BX323" s="221">
        <f>SUM(BX200+BX201+BX202+BX205+BX223+BX226)/(SUM(BX200+BX201+BX202+BX205+BX223+BX226)+BX259)</f>
        <v>0.0359584927195233</v>
      </c>
      <c r="BY323" s="221">
        <f>SUM(BY200+BY201+BY202+BY205+BY223+BY226)/(SUM(BY200+BY201+BY202+BY205+BY223+BY226)+BY259)</f>
        <v>0.0282437483155425</v>
      </c>
      <c r="CA323" s="221">
        <f>SUM(CA200+CA201+CA202+CA205+CA223+CA226)/(SUM(CA200+CA201+CA202+CA205+CA223+CA226)+CA259)</f>
        <v>0.0232545761447553</v>
      </c>
      <c r="CB323" s="221">
        <f>SUM(CB200+CB201+CB202+CB205+CB223+CB226)/(SUM(CB200+CB201+CB202+CB205+CB223+CB226)+CB259)</f>
        <v>0.0156848511405497</v>
      </c>
      <c r="CC323" s="221">
        <f>SUM(CC200+CC201+CC202+CC205+CC223+CC226)/(SUM(CC200+CC201+CC202+CC205+CC223+CC226)+CC259)</f>
        <v>0.0140150224133275</v>
      </c>
      <c r="CD323" s="221">
        <f>SUM(CD200+CD201+CD202+CD205+CD223+CD226)/(SUM(CD200+CD201+CD202+CD205+CD223+CD226)+CD259)</f>
        <v>0.0108571143526268</v>
      </c>
      <c r="CF323" s="221">
        <f>SUM(CF200+CF201+CF202+CF205+CF223+CF226)/(SUM(CF200+CF201+CF202+CF205+CF223+CF226)+CF259)</f>
        <v>0.008860613581721</v>
      </c>
      <c r="CG323" s="221">
        <f>SUM(CG200+CG201+CG202+CG205+CG223+CG226)/(SUM(CG200+CG201+CG202+CG205+CG223+CG226)+CG259)</f>
        <v>0.00589767159143436</v>
      </c>
      <c r="CH323" s="221">
        <f>SUM(CH200+CH201+CH202+CH205+CH223+CH226)/(SUM(CH200+CH201+CH202+CH205+CH223+CH226)+CH259)</f>
        <v>0.00525453113662763</v>
      </c>
      <c r="CI323" s="221">
        <f>SUM(CI200+CI201+CI202+CI205+CI223+CI226)/(SUM(CI200+CI201+CI202+CI205+CI223+CI226)+CI259)</f>
        <v>0.00404839652660537</v>
      </c>
      <c r="CK323" s="221">
        <f>SUM(CK200+CK201+CK202+CK205+CK223+CK226)/(SUM(CK200+CK201+CK202+CK205+CK223+CK226)+CK259)</f>
        <v>0.00329260581442302</v>
      </c>
      <c r="CL323" s="221">
        <f>SUM(CL200+CL201+CL202+CL205+CL223+CL226)/(SUM(CL200+CL201+CL202+CL205+CL223+CL226)+CL259)</f>
        <v>0.00218047015206485</v>
      </c>
      <c r="CM323" s="221">
        <f>SUM(CM200+CM201+CM202+CM205+CM223+CM226)/(SUM(CM200+CM201+CM202+CM205+CM223+CM226)+CM259)</f>
        <v>0.00194055638079034</v>
      </c>
      <c r="CN323" s="221">
        <f>SUM(CN200+CN201+CN202+CN205+CN223+CN226)/(SUM(CN200+CN201+CN202+CN205+CN223+CN226)+CN259)</f>
        <v>0.00149204293570189</v>
      </c>
      <c r="CP323" s="221">
        <f>SUM(CP200+CP201+CP202+CP205+CP223+CP226)/(SUM(CP200+CP201+CP202+CP205+CP223+CP226)+CP259)</f>
        <v>0.00121193336750817</v>
      </c>
      <c r="CQ323" s="221">
        <f>SUM(CQ200+CQ201+CQ202+CQ205+CQ223+CQ226)/(SUM(CQ200+CQ201+CQ202+CQ205+CQ223+CQ226)+CQ259)</f>
        <v>0.000801064778879414</v>
      </c>
      <c r="CR323" s="221">
        <f>SUM(CR200+CR201+CR202+CR205+CR223+CR226)/(SUM(CR200+CR201+CR202+CR205+CR223+CR226)+CR259)</f>
        <v>0.000712634252472287</v>
      </c>
      <c r="CS323" s="221">
        <f>SUM(CS200+CS201+CS202+CS205+CS223+CS226)/(SUM(CS200+CS201+CS202+CS205+CS223+CS226)+CS259)</f>
        <v>0.00054750870179844</v>
      </c>
      <c r="CU323" s="221">
        <f>SUM(CU200+CU201+CU202+CU205+CU223+CU226)/(SUM(CU200+CU201+CU202+CU205+CU223+CU226)+CU259)</f>
        <v>0.000444510506211054</v>
      </c>
      <c r="CV323" s="221">
        <f>SUM(CV200+CV201+CV202+CV205+CV223+CV226)/(SUM(CV200+CV201+CV202+CV205+CV223+CV226)+CV259)</f>
        <v>0.000293608271124713</v>
      </c>
      <c r="CW323" s="221">
        <f>SUM(CW200+CW201+CW202+CW205+CW223+CW226)/(SUM(CW200+CW201+CW202+CW205+CW223+CW226)+CW259)</f>
        <v>0.000261157345329322</v>
      </c>
      <c r="CX323" s="221">
        <f>SUM(CX200+CX201+CX202+CX205+CX223+CX226)/(SUM(CX200+CX201+CX202+CX205+CX223+CX226)+CX259)</f>
        <v>0.000200588035308369</v>
      </c>
    </row>
    <row r="324" customFormat="1" s="233">
      <c r="A324" s="224" t="n"/>
      <c r="B324" s="224" t="n"/>
      <c r="C324" s="233" t="inlineStr">
        <is>
          <t>NET DEBT / EBITDA LTM (com arrendamentos)</t>
        </is>
      </c>
      <c r="D324" s="219" t="str">
        <f>""</f>
        <v/>
      </c>
      <c r="E324" s="219" t="str">
        <f>""</f>
        <v/>
      </c>
      <c r="F324" s="219" t="str">
        <f>""</f>
        <v/>
      </c>
      <c r="G324" s="219">
        <f>IFERROR((SUM(G200,G201,G202,G205,G223,G226)-G132)/(G57+F57+E57+D57),"")</f>
        <v>2.73318139613404</v>
      </c>
      <c r="I324" s="219">
        <f>IFERROR((SUM(I200,I201,I202,I205,I223,I226)-I132)/(I57+G57+F57+E57),"")</f>
        <v>2.4099766173032</v>
      </c>
      <c r="J324" s="219">
        <f>IFERROR((SUM(J200,J201,J202,J205,J223,J226)-J132)/(J57+I57+G57+F57),"")</f>
        <v>2.13748907660938</v>
      </c>
      <c r="K324" s="219">
        <f>IFERROR((SUM(K200,K201,K202,K205,K223,K226)-K132)/(K57+J57+I57+G57),"")</f>
        <v>1.89333791208791</v>
      </c>
      <c r="L324" s="219">
        <f>IFERROR((SUM(L200,L201,L202,L205,L223,L226)-L132)/(L57+K57+J57+I57),"")</f>
        <v>1.879114533205</v>
      </c>
      <c r="N324" s="219">
        <f>IFERROR((SUM(N200,N201,N202,N205,N223,N226)-N132)/(N57+L57+K57+J57),"")</f>
        <v>1.81704843712718</v>
      </c>
      <c r="O324" s="219">
        <f>IFERROR((SUM(O200,O201,O202,O205,O223,O226)-O132)/(O57+N57+L57+K57),"")</f>
        <v>1.63182044336337</v>
      </c>
      <c r="P324" s="219">
        <f>IFERROR((SUM(P200,P201,P202,P205,P223,P226)-P132)/(P57+O57+N57+L57),"")</f>
        <v>1.41074496329845</v>
      </c>
      <c r="Q324" s="219">
        <f>IFERROR((SUM(Q200,Q201,Q202,Q205,Q223,Q226)-Q132)/(Q57+P57+O57+N57),"")</f>
        <v>1.33515464434307</v>
      </c>
      <c r="S324" s="219">
        <f>IFERROR((SUM(S200,S201,S202,S205,S223,S226)-S132)/(S57+Q57+P57+O57),"")</f>
        <v>1.37157821919162</v>
      </c>
      <c r="T324" s="219">
        <f>IFERROR((SUM(T200,T201,T202,T205,T223,T226)-T132)/(T57+S57+Q57+P57),"")</f>
        <v>1.35940613790355</v>
      </c>
      <c r="U324" s="219">
        <f>IFERROR((SUM(U200,U201,U202,U205,U223,U226)-U132)/(U57+T57+S57+Q57),"")</f>
        <v>1.24937630974953</v>
      </c>
      <c r="V324" s="219">
        <f>IFERROR((SUM(V200,V201,V202,V205,V223,V226)-V132)/(V57+U57+T57+S57),"")</f>
        <v>3.31197310576674</v>
      </c>
      <c r="X324" s="219">
        <f>IFERROR((SUM(X200,X201,X202,X205,X223,X226)-X132)/(X57+V57+U57+T57),"")</f>
        <v>3.22924106020218</v>
      </c>
      <c r="Y324" s="219">
        <f>IFERROR((SUM(Y200,Y201,Y202,Y205,Y223,Y226)-Y132)/(Y57+X57+V57+U57),"")</f>
        <v>2.80314850282618</v>
      </c>
      <c r="Z324" s="219">
        <f>IFERROR((SUM(Z200,Z201,Z202,Z205,Z223,Z226)-Z132)/(Z57+Y57+X57+V57),"")</f>
        <v>2.48021130660759</v>
      </c>
      <c r="AA324" s="219">
        <f>IFERROR((SUM(AA200,AA201,AA202,AA205,AA223,AA226)-AA132)/(AA57+Z57+Y57+X57),"")</f>
        <v>2.0842097601805</v>
      </c>
      <c r="AC324" s="219">
        <f>IFERROR((SUM(AC200,AC201,AC202,AC205,AC223,AC226)-AC132)/(AC57+AA57+Z57+Y57),"")</f>
        <v>1.93060379374833</v>
      </c>
      <c r="AD324" s="219">
        <f>IFERROR((SUM(AD200,AD201,AD202,AD205,AD223,AD226)-AD132)/(AD57+AC57+AA57+Z57),"")</f>
        <v>1.68873670590463</v>
      </c>
      <c r="AE324" s="219">
        <f>IFERROR((SUM(AE200,AE201,AE202,AE205,AE223,AE226)-AE132)/(AE57+AD57+AC57+AA57),"")</f>
        <v>1.4319391634981</v>
      </c>
      <c r="AF324" s="219">
        <f>IFERROR((SUM(AF200,AF201,AF202,AF205,AF223,AF226)-AF132)/(AF57+AE57+AD57+AC57),"")</f>
        <v>1.42254332090371</v>
      </c>
      <c r="AH324" s="219">
        <f>IFERROR((SUM(AH200,AH201,AH202,AH205,AH223,AH226)-AH132)/(AH57+AF57+AE57+AD57),"")</f>
        <v>1.0929036929761</v>
      </c>
      <c r="AI324" s="219">
        <f>IFERROR((SUM(AI200,AI201,AI202,AI205,AI223,AI226)-AI132)/(AI57+AH57+AF57+AE57),"")</f>
        <v>0.688139476187703</v>
      </c>
      <c r="AJ324" s="219">
        <f>IFERROR((SUM(AJ200,AJ201,AJ202,AJ205,AJ223,AJ226)-AJ132)/(AJ57+AI57+AH57+AF57),"")</f>
        <v>-0.0891394914523775</v>
      </c>
      <c r="AK324" s="219">
        <f>IFERROR((SUM(AK200,AK201,AK202,AK205,AK223,AK226)-AK132)/(AK57+AJ57+AI57+AH57),"")</f>
        <v>-0.123059581320451</v>
      </c>
      <c r="AM324" s="219" t="str">
        <f>IFERROR((SUM(AM200,AM201,AM202,AM205,AM223,AM226)-AM132)/(AM57+AK57+AJ57+AI57),"")</f>
        <v/>
      </c>
      <c r="AN324" s="219" t="str">
        <f>IFERROR((SUM(AN200,AN201,AN202,AN205,AN223,AN226)-AN132)/(AN57+AM57+AK57+AJ57),"")</f>
        <v/>
      </c>
      <c r="AO324" s="219" t="str">
        <f>IFERROR((SUM(AO200,AO201,AO202,AO205,AO223,AO226)-AO132)/(AO57+AN57+AM57+AK57),"")</f>
        <v/>
      </c>
      <c r="AP324" s="219" t="str">
        <f>IFERROR((SUM(AP200,AP201,AP202,AP205,AP223,AP226)-AP132)/(AP57+AO57+AN57+AM57),"")</f>
        <v/>
      </c>
      <c r="AR324" s="219" t="str">
        <f>IFERROR((SUM(AR200,AR201,AR202,AR205,AR223,AR226)-AR132)/(AR57+AP57+AO57+AN57),"")</f>
        <v/>
      </c>
      <c r="AS324" s="219" t="str">
        <f>IFERROR((SUM(AS200,AS201,AS202,AS205,AS223,AS226)-AS132)/(AS57+AR57+AP57+AO57),"")</f>
        <v/>
      </c>
      <c r="AT324" s="219" t="str">
        <f>IFERROR((SUM(AT200,AT201,AT202,AT205,AT223,AT226)-AT132)/(AT57+AS57+AR57+AP57),"")</f>
        <v/>
      </c>
      <c r="AU324" s="219" t="str">
        <f>IFERROR((SUM(AU200,AU201,AU202,AU205,AU223,AU226)-AU132)/(AU57+AT57+AS57+AR57),"")</f>
        <v/>
      </c>
      <c r="AW324" s="219" t="str">
        <f>IFERROR((SUM(AW200,AW201,AW202,AW205,AW223,AW226)-AW132)/(AW57+AU57+AT57+AS57),"")</f>
        <v/>
      </c>
      <c r="AX324" s="219" t="str">
        <f>IFERROR((SUM(AX200,AX201,AX202,AX205,AX223,AX226)-AX132)/(AX57+AW57+AU57+AT57),"")</f>
        <v/>
      </c>
      <c r="AY324" s="219" t="str">
        <f>IFERROR((SUM(AY200,AY201,AY202,AY205,AY223,AY226)-AY132)/(AY57+AX57+AW57+AU57),"")</f>
        <v/>
      </c>
      <c r="AZ324" s="219" t="str">
        <f>IFERROR((SUM(AZ200,AZ201,AZ202,AZ205,AZ223,AZ226)-AZ132)/(AZ57+AY57+AX57+AW57),"")</f>
        <v/>
      </c>
      <c r="BB324" s="219" t="str">
        <f>IFERROR((SUM(BB200,BB201,BB202,BB205,BB223,BB226)-BB132)/(BB57+AZ57+AY57+AX57),"")</f>
        <v/>
      </c>
      <c r="BC324" s="219" t="str">
        <f>IFERROR((SUM(BC200,BC201,BC202,BC205,BC223,BC226)-BC132)/(BC57+BB57+AZ57+AY57),"")</f>
        <v/>
      </c>
      <c r="BD324" s="219" t="str">
        <f>IFERROR((SUM(BD200,BD201,BD202,BD205,BD223,BD226)-BD132)/(BD57+BC57+BB57+AZ57),"")</f>
        <v/>
      </c>
      <c r="BE324" s="219" t="str">
        <f>IFERROR((SUM(BE200,BE201,BE202,BE205,BE223,BE226)-BE132)/(BE57+BD57+BC57+BB57),"")</f>
        <v/>
      </c>
      <c r="BG324" s="219" t="str">
        <f>IFERROR((SUM(BG200,BG201,BG202,BG205,BG223,BG226)-BG132)/(BG57+BE57+BD57+BC57),"")</f>
        <v/>
      </c>
      <c r="BH324" s="219" t="str">
        <f>IFERROR((SUM(BH200,BH201,BH202,BH205,BH223,BH226)-BH132)/(BH57+BG57+BE57+BD57),"")</f>
        <v/>
      </c>
      <c r="BI324" s="219" t="str">
        <f>IFERROR((SUM(BI200,BI201,BI202,BI205,BI223,BI226)-BI132)/(BI57+BH57+BG57+BE57),"")</f>
        <v/>
      </c>
      <c r="BJ324" s="219" t="str">
        <f>IFERROR((SUM(BJ200,BJ201,BJ202,BJ205,BJ223,BJ226)-BJ132)/(BJ57+BI57+BH57+BG57),"")</f>
        <v/>
      </c>
      <c r="BL324" s="219" t="str">
        <f>IFERROR((SUM(BL200,BL201,BL202,BL205,BL223,BL226)-BL132)/(BL57+BJ57+BI57+BH57),"")</f>
        <v/>
      </c>
      <c r="BM324" s="219" t="str">
        <f>IFERROR((SUM(BM200,BM201,BM202,BM205,BM223,BM226)-BM132)/(BM57+BL57+BJ57+BI57),"")</f>
        <v/>
      </c>
      <c r="BN324" s="219" t="str">
        <f>IFERROR((SUM(BN200,BN201,BN202,BN205,BN223,BN226)-BN132)/(BN57+BM57+BL57+BJ57),"")</f>
        <v/>
      </c>
      <c r="BO324" s="219" t="str">
        <f>IFERROR((SUM(BO200,BO201,BO202,BO205,BO223,BO226)-BO132)/(BO57+BN57+BM57+BL57),"")</f>
        <v/>
      </c>
      <c r="BQ324" s="219" t="str">
        <f>IFERROR((SUM(BQ200,BQ201,BQ202,BQ205,BQ223,BQ226)-BQ132)/(BQ57+BO57+BN57+BM57),"")</f>
        <v/>
      </c>
      <c r="BR324" s="219" t="str">
        <f>IFERROR((SUM(BR200,BR201,BR202,BR205,BR223,BR226)-BR132)/(BR57+BQ57+BO57+BN57),"")</f>
        <v/>
      </c>
      <c r="BS324" s="219" t="str">
        <f>IFERROR((SUM(BS200,BS201,BS202,BS205,BS223,BS226)-BS132)/(BS57+BR57+BQ57+BO57),"")</f>
        <v/>
      </c>
      <c r="BT324" s="219" t="str">
        <f>IFERROR((SUM(BT200,BT201,BT202,BT205,BT223,BT226)-BT132)/(BT57+BS57+BR57+BQ57),"")</f>
        <v/>
      </c>
      <c r="BV324" s="219" t="str">
        <f>IFERROR((SUM(BV200,BV201,BV202,BV205,BV223,BV226)-BV132)/(BV57+BT57+BS57+BR57),"")</f>
        <v/>
      </c>
      <c r="BW324" s="219" t="str">
        <f>IFERROR((SUM(BW200,BW201,BW202,BW205,BW223,BW226)-BW132)/(BW57+BV57+BT57+BS57),"")</f>
        <v/>
      </c>
      <c r="BX324" s="219" t="str">
        <f>IFERROR((SUM(BX200,BX201,BX202,BX205,BX223,BX226)-BX132)/(BX57+BW57+BV57+BT57),"")</f>
        <v/>
      </c>
      <c r="BY324" s="219" t="str">
        <f>IFERROR((SUM(BY200,BY201,BY202,BY205,BY223,BY226)-BY132)/(BY57+BX57+BW57+BV57),"")</f>
        <v/>
      </c>
      <c r="CA324" s="219" t="str">
        <f>IFERROR((SUM(CA200,CA201,CA202,CA205,CA223,CA226)-CA132)/(CA57+BY57+BX57+BW57),"")</f>
        <v/>
      </c>
      <c r="CB324" s="219" t="str">
        <f>IFERROR((SUM(CB200,CB201,CB202,CB205,CB223,CB226)-CB132)/(CB57+CA57+BY57+BX57),"")</f>
        <v/>
      </c>
      <c r="CC324" s="219" t="str">
        <f>IFERROR((SUM(CC200,CC201,CC202,CC205,CC223,CC226)-CC132)/(CC57+CB57+CA57+BY57),"")</f>
        <v/>
      </c>
      <c r="CD324" s="219" t="str">
        <f>IFERROR((SUM(CD200,CD201,CD202,CD205,CD223,CD226)-CD132)/(CD57+CC57+CB57+CA57),"")</f>
        <v/>
      </c>
      <c r="CF324" s="219" t="str">
        <f>IFERROR((SUM(CF200,CF201,CF202,CF205,CF223,CF226)-CF132)/(CF57+CD57+CC57+CB57),"")</f>
        <v/>
      </c>
      <c r="CG324" s="219" t="str">
        <f>IFERROR((SUM(CG200,CG201,CG202,CG205,CG223,CG226)-CG132)/(CG57+CF57+CD57+CC57),"")</f>
        <v/>
      </c>
      <c r="CH324" s="219" t="str">
        <f>IFERROR((SUM(CH200,CH201,CH202,CH205,CH223,CH226)-CH132)/(CH57+CG57+CF57+CD57),"")</f>
        <v/>
      </c>
      <c r="CI324" s="219" t="str">
        <f>IFERROR((SUM(CI200,CI201,CI202,CI205,CI223,CI226)-CI132)/(CI57+CH57+CG57+CF57),"")</f>
        <v/>
      </c>
      <c r="CK324" s="219" t="str">
        <f>IFERROR((SUM(CK200,CK201,CK202,CK205,CK223,CK226)-CK132)/(CK57+CI57+CH57+CG57),"")</f>
        <v/>
      </c>
      <c r="CL324" s="219" t="str">
        <f>IFERROR((SUM(CL200,CL201,CL202,CL205,CL223,CL226)-CL132)/(CL57+CK57+CI57+CH57),"")</f>
        <v/>
      </c>
      <c r="CM324" s="219" t="str">
        <f>IFERROR((SUM(CM200,CM201,CM202,CM205,CM223,CM226)-CM132)/(CM57+CL57+CK57+CI57),"")</f>
        <v/>
      </c>
      <c r="CN324" s="219" t="str">
        <f>IFERROR((SUM(CN200,CN201,CN202,CN205,CN223,CN226)-CN132)/(CN57+CM57+CL57+CK57),"")</f>
        <v/>
      </c>
      <c r="CP324" s="219" t="str">
        <f>IFERROR((SUM(CP200,CP201,CP202,CP205,CP223,CP226)-CP132)/(CP57+CN57+CM57+CL57),"")</f>
        <v/>
      </c>
      <c r="CQ324" s="219" t="str">
        <f>IFERROR((SUM(CQ200,CQ201,CQ202,CQ205,CQ223,CQ226)-CQ132)/(CQ57+CP57+CN57+CM57),"")</f>
        <v/>
      </c>
      <c r="CR324" s="219" t="str">
        <f>IFERROR((SUM(CR200,CR201,CR202,CR205,CR223,CR226)-CR132)/(CR57+CQ57+CP57+CN57),"")</f>
        <v/>
      </c>
      <c r="CS324" s="219" t="str">
        <f>IFERROR((SUM(CS200,CS201,CS202,CS205,CS223,CS226)-CS132)/(CS57+CR57+CQ57+CP57),"")</f>
        <v/>
      </c>
      <c r="CU324" s="219" t="str">
        <f>IFERROR((SUM(CU200,CU201,CU202,CU205,CU223,CU226)-CU132)/(CU57+CS57+CR57+CQ57),"")</f>
        <v/>
      </c>
      <c r="CV324" s="219" t="str">
        <f>IFERROR((SUM(CV200,CV201,CV202,CV205,CV223,CV226)-CV132)/(CV57+CU57+CS57+CR57),"")</f>
        <v/>
      </c>
      <c r="CW324" s="219" t="str">
        <f>IFERROR((SUM(CW200,CW201,CW202,CW205,CW223,CW226)-CW132)/(CW57+CV57+CU57+CS57),"")</f>
        <v/>
      </c>
      <c r="CX324" s="219" t="str">
        <f>IFERROR((SUM(CX200,CX201,CX202,CX205,CX223,CX226)-CX132)/(CX57+CW57+CV57+CU57),"")</f>
        <v/>
      </c>
    </row>
    <row r="325" customFormat="1" s="233">
      <c r="A325" s="224" t="n"/>
      <c r="B325" s="224" t="n"/>
      <c r="C325" s="237" t="inlineStr">
        <is>
          <t>NET DEBT (EX IFRS 16) / EBITDA LTM</t>
        </is>
      </c>
      <c r="D325" s="219" t="str">
        <f>""</f>
        <v/>
      </c>
      <c r="E325" s="219" t="str">
        <f>""</f>
        <v/>
      </c>
      <c r="F325" s="219" t="str">
        <f>""</f>
        <v/>
      </c>
      <c r="G325" s="219">
        <f>IFERROR((SUM(G200,G201,G205,G226)-G132)/(G57+F57+E57+D57),"")</f>
        <v>2.73318139613404</v>
      </c>
      <c r="I325" s="219">
        <f>IFERROR((SUM(I200,I201,I205,I226)-I132)/(I57+G57+F57+E57),"")</f>
        <v>2.4099766173032</v>
      </c>
      <c r="J325" s="219">
        <f>IFERROR((SUM(J200,J201,J205,J226)-J132)/(J57+I57+G57+F57),"")</f>
        <v>2.13748907660938</v>
      </c>
      <c r="K325" s="219">
        <f>IFERROR((SUM(K200,K201,K205,K226)-K132)/(K57+J57+I57+G57),"")</f>
        <v>1.89333791208791</v>
      </c>
      <c r="L325" s="219">
        <f>IFERROR((SUM(L200,L201,L205,L226)-L132)/(L57+K57+J57+I57),"")</f>
        <v>1.879114533205</v>
      </c>
      <c r="N325" s="219">
        <f>IFERROR((SUM(N200,N201,N205,N226)-N132)/(N57+L57+K57+J57),"")</f>
        <v>1.81704843712718</v>
      </c>
      <c r="O325" s="219">
        <f>IFERROR((SUM(O200,O201,O205,O226)-O132)/(O57+N57+L57+K57),"")</f>
        <v>1.63182044336337</v>
      </c>
      <c r="P325" s="219">
        <f>IFERROR((SUM(P200,P201,P205,P226)-P132)/(P57+O57+N57+L57),"")</f>
        <v>1.41074496329845</v>
      </c>
      <c r="Q325" s="219">
        <f>IFERROR((SUM(Q200,Q201,Q205,Q226)-Q132)/(Q57+P57+O57+N57),"")</f>
        <v>1.33515464434307</v>
      </c>
      <c r="S325" s="219">
        <f>IFERROR((SUM(S200,S201,S205,S226)-S132)/(S57+Q57+P57+O57),"")</f>
        <v>1.37157821919162</v>
      </c>
      <c r="T325" s="219">
        <f>IFERROR((SUM(T200,T201,T205,T226)-T132)/(T57+S57+Q57+P57),"")</f>
        <v>1.35940613790355</v>
      </c>
      <c r="U325" s="219">
        <f>IFERROR((SUM(U200,U201,U205,U226)-U132)/(U57+T57+S57+Q57),"")</f>
        <v>1.24937630974953</v>
      </c>
      <c r="V325" s="219">
        <f>IFERROR((SUM(V200,V201,V205,V226)-V132)/(V57+U57+T57+S57),"")</f>
        <v>3.31197310576674</v>
      </c>
      <c r="X325" s="219">
        <f>IFERROR((SUM(X200,X201,X205,X226)-X132)/(X57+V57+U57+T57),"")</f>
        <v>3.22924106020218</v>
      </c>
      <c r="Y325" s="219">
        <f>IFERROR((SUM(Y200,Y201,Y205,Y226)-Y132)/(Y57+X57+V57+U57),"")</f>
        <v>2.80314850282618</v>
      </c>
      <c r="Z325" s="219">
        <f>IFERROR((SUM(Z200,Z201,Z205,Z226)-Z132)/(Z57+Y57+X57+V57),"")</f>
        <v>2.48021130660759</v>
      </c>
      <c r="AA325" s="219">
        <f>IFERROR((SUM(AA200,AA201,AA205,AA226)-AA132)/(AA57+Z57+Y57+X57),"")</f>
        <v>2.0842097601805</v>
      </c>
      <c r="AC325" s="219">
        <f>IFERROR((SUM(AC200,AC201,AC205,AC226)-AC132)/(AC57+AA57+Z57+Y57),"")</f>
        <v>1.93060379374833</v>
      </c>
      <c r="AD325" s="219">
        <f>IFERROR((SUM(AD200,AD201,AD205,AD226)-AD132)/(AD57+AC57+AA57+Z57),"")</f>
        <v>1.68873670590463</v>
      </c>
      <c r="AE325" s="219">
        <f>IFERROR((SUM(AE200,AE201,AE205,AE226)-AE132)/(AE57+AD57+AC57+AA57),"")</f>
        <v>1.4319391634981</v>
      </c>
      <c r="AF325" s="219">
        <f>IFERROR((SUM(AF200,AF201,AF205,AF226)-AF132)/(AF57+AE57+AD57+AC57),"")</f>
        <v>1.42254332090371</v>
      </c>
      <c r="AH325" s="219">
        <f>IFERROR((SUM(AH200,AH201,AH205,AH226)-AH132)/(AH57+AF57+AE57+AD57),"")</f>
        <v>1.0929036929761</v>
      </c>
      <c r="AI325" s="219">
        <f>IFERROR((SUM(AI200,AI201,AI205,AI226)-AI132)/(AI57+AH57+AF57+AE57),"")</f>
        <v>0.688139476187703</v>
      </c>
      <c r="AJ325" s="219">
        <f>IFERROR((SUM(AJ200,AJ201,AJ205,AJ226)-AJ132)/(AJ57+AI57+AH57+AF57),"")</f>
        <v>-0.0891394914523775</v>
      </c>
      <c r="AK325" s="219">
        <f>IFERROR((SUM(AK200,AK201,AK205,AK226)-AK132)/(AK57+AJ57+AI57+AH57),"")</f>
        <v>-0.123059581320451</v>
      </c>
      <c r="AM325" s="219" t="str">
        <f>IFERROR((SUM(AM200,AM201,AM205,AM226)-AM132)/(AM57+AK57+AJ57+AI57),"")</f>
        <v/>
      </c>
      <c r="AN325" s="219" t="str">
        <f>IFERROR((SUM(AN200,AN201,AN205,AN226)-AN132)/(AN57+AM57+AK57+AJ57),"")</f>
        <v/>
      </c>
      <c r="AO325" s="219" t="str">
        <f>IFERROR((SUM(AO200,AO201,AO205,AO226)-AO132)/(AO57+AN57+AM57+AK57),"")</f>
        <v/>
      </c>
      <c r="AP325" s="219" t="str">
        <f>IFERROR((SUM(AP200,AP201,AP205,AP226)-AP132)/(AP57+AO57+AN57+AM57),"")</f>
        <v/>
      </c>
      <c r="AR325" s="219" t="str">
        <f>IFERROR((SUM(AR200,AR201,AR205,AR226)-AR132)/(AR57+AP57+AO57+AN57),"")</f>
        <v/>
      </c>
      <c r="AS325" s="219" t="str">
        <f>IFERROR((SUM(AS200,AS201,AS205,AS226)-AS132)/(AS57+AR57+AP57+AO57),"")</f>
        <v/>
      </c>
      <c r="AT325" s="219" t="str">
        <f>IFERROR((SUM(AT200,AT201,AT205,AT226)-AT132)/(AT57+AS57+AR57+AP57),"")</f>
        <v/>
      </c>
      <c r="AU325" s="219" t="str">
        <f>IFERROR((SUM(AU200,AU201,AU205,AU226)-AU132)/(AU57+AT57+AS57+AR57),"")</f>
        <v/>
      </c>
      <c r="AW325" s="219" t="str">
        <f>IFERROR((SUM(AW200,AW201,AW205,AW226)-AW132)/(AW57+AU57+AT57+AS57),"")</f>
        <v/>
      </c>
      <c r="AX325" s="219" t="str">
        <f>IFERROR((SUM(AX200,AX201,AX205,AX226)-AX132)/(AX57+AW57+AU57+AT57),"")</f>
        <v/>
      </c>
      <c r="AY325" s="219" t="str">
        <f>IFERROR((SUM(AY200,AY201,AY205,AY226)-AY132)/(AY57+AX57+AW57+AU57),"")</f>
        <v/>
      </c>
      <c r="AZ325" s="219" t="str">
        <f>IFERROR((SUM(AZ200,AZ201,AZ205,AZ226)-AZ132)/(AZ57+AY57+AX57+AW57),"")</f>
        <v/>
      </c>
      <c r="BB325" s="219" t="str">
        <f>IFERROR((SUM(BB200,BB201,BB205,BB226)-BB132)/(BB57+AZ57+AY57+AX57),"")</f>
        <v/>
      </c>
      <c r="BC325" s="219" t="str">
        <f>IFERROR((SUM(BC200,BC201,BC205,BC226)-BC132)/(BC57+BB57+AZ57+AY57),"")</f>
        <v/>
      </c>
      <c r="BD325" s="219" t="str">
        <f>IFERROR((SUM(BD200,BD201,BD205,BD226)-BD132)/(BD57+BC57+BB57+AZ57),"")</f>
        <v/>
      </c>
      <c r="BE325" s="219" t="str">
        <f>IFERROR((SUM(BE200,BE201,BE205,BE226)-BE132)/(BE57+BD57+BC57+BB57),"")</f>
        <v/>
      </c>
      <c r="BG325" s="219" t="str">
        <f>IFERROR((SUM(BG200,BG201,BG205,BG226)-BG132)/(BG57+BE57+BD57+BC57),"")</f>
        <v/>
      </c>
      <c r="BH325" s="219" t="str">
        <f>IFERROR((SUM(BH200,BH201,BH205,BH226)-BH132)/(BH57+BG57+BE57+BD57),"")</f>
        <v/>
      </c>
      <c r="BI325" s="219" t="str">
        <f>IFERROR((SUM(BI200,BI201,BI205,BI226)-BI132)/(BI57+BH57+BG57+BE57),"")</f>
        <v/>
      </c>
      <c r="BJ325" s="219" t="str">
        <f>IFERROR((SUM(BJ200,BJ201,BJ205,BJ226)-BJ132)/(BJ57+BI57+BH57+BG57),"")</f>
        <v/>
      </c>
      <c r="BL325" s="219" t="str">
        <f>IFERROR((SUM(BL200,BL201,BL205,BL226)-BL132)/(BL57+BJ57+BI57+BH57),"")</f>
        <v/>
      </c>
      <c r="BM325" s="219" t="str">
        <f>IFERROR((SUM(BM200,BM201,BM205,BM226)-BM132)/(BM57+BL57+BJ57+BI57),"")</f>
        <v/>
      </c>
      <c r="BN325" s="219" t="str">
        <f>IFERROR((SUM(BN200,BN201,BN205,BN226)-BN132)/(BN57+BM57+BL57+BJ57),"")</f>
        <v/>
      </c>
      <c r="BO325" s="219" t="str">
        <f>IFERROR((SUM(BO200,BO201,BO205,BO226)-BO132)/(BO57+BN57+BM57+BL57),"")</f>
        <v/>
      </c>
      <c r="BQ325" s="219" t="str">
        <f>IFERROR((SUM(BQ200,BQ201,BQ205,BQ226)-BQ132)/(BQ57+BO57+BN57+BM57),"")</f>
        <v/>
      </c>
      <c r="BR325" s="219" t="str">
        <f>IFERROR((SUM(BR200,BR201,BR205,BR226)-BR132)/(BR57+BQ57+BO57+BN57),"")</f>
        <v/>
      </c>
      <c r="BS325" s="219" t="str">
        <f>IFERROR((SUM(BS200,BS201,BS205,BS226)-BS132)/(BS57+BR57+BQ57+BO57),"")</f>
        <v/>
      </c>
      <c r="BT325" s="219" t="str">
        <f>IFERROR((SUM(BT200,BT201,BT205,BT226)-BT132)/(BT57+BS57+BR57+BQ57),"")</f>
        <v/>
      </c>
      <c r="BV325" s="219" t="str">
        <f>IFERROR((SUM(BV200,BV201,BV205,BV226)-BV132)/(BV57+BT57+BS57+BR57),"")</f>
        <v/>
      </c>
      <c r="BW325" s="219" t="str">
        <f>IFERROR((SUM(BW200,BW201,BW205,BW226)-BW132)/(BW57+BV57+BT57+BS57),"")</f>
        <v/>
      </c>
      <c r="BX325" s="219" t="str">
        <f>IFERROR((SUM(BX200,BX201,BX205,BX226)-BX132)/(BX57+BW57+BV57+BT57),"")</f>
        <v/>
      </c>
      <c r="BY325" s="219" t="str">
        <f>IFERROR((SUM(BY200,BY201,BY205,BY226)-BY132)/(BY57+BX57+BW57+BV57),"")</f>
        <v/>
      </c>
      <c r="CA325" s="219" t="str">
        <f>IFERROR((SUM(CA200,CA201,CA205,CA226)-CA132)/(CA57+BY57+BX57+BW57),"")</f>
        <v/>
      </c>
      <c r="CB325" s="219" t="str">
        <f>IFERROR((SUM(CB200,CB201,CB205,CB226)-CB132)/(CB57+CA57+BY57+BX57),"")</f>
        <v/>
      </c>
      <c r="CC325" s="219" t="str">
        <f>IFERROR((SUM(CC200,CC201,CC205,CC226)-CC132)/(CC57+CB57+CA57+BY57),"")</f>
        <v/>
      </c>
      <c r="CD325" s="219" t="str">
        <f>IFERROR((SUM(CD200,CD201,CD205,CD226)-CD132)/(CD57+CC57+CB57+CA57),"")</f>
        <v/>
      </c>
      <c r="CF325" s="219" t="str">
        <f>IFERROR((SUM(CF200,CF201,CF205,CF226)-CF132)/(CF57+CD57+CC57+CB57),"")</f>
        <v/>
      </c>
      <c r="CG325" s="219" t="str">
        <f>IFERROR((SUM(CG200,CG201,CG205,CG226)-CG132)/(CG57+CF57+CD57+CC57),"")</f>
        <v/>
      </c>
      <c r="CH325" s="219" t="str">
        <f>IFERROR((SUM(CH200,CH201,CH205,CH226)-CH132)/(CH57+CG57+CF57+CD57),"")</f>
        <v/>
      </c>
      <c r="CI325" s="219" t="str">
        <f>IFERROR((SUM(CI200,CI201,CI205,CI226)-CI132)/(CI57+CH57+CG57+CF57),"")</f>
        <v/>
      </c>
      <c r="CK325" s="219" t="str">
        <f>IFERROR((SUM(CK200,CK201,CK205,CK226)-CK132)/(CK57+CI57+CH57+CG57),"")</f>
        <v/>
      </c>
      <c r="CL325" s="219" t="str">
        <f>IFERROR((SUM(CL200,CL201,CL205,CL226)-CL132)/(CL57+CK57+CI57+CH57),"")</f>
        <v/>
      </c>
      <c r="CM325" s="219" t="str">
        <f>IFERROR((SUM(CM200,CM201,CM205,CM226)-CM132)/(CM57+CL57+CK57+CI57),"")</f>
        <v/>
      </c>
      <c r="CN325" s="219" t="str">
        <f>IFERROR((SUM(CN200,CN201,CN205,CN226)-CN132)/(CN57+CM57+CL57+CK57),"")</f>
        <v/>
      </c>
      <c r="CP325" s="219" t="str">
        <f>IFERROR((SUM(CP200,CP201,CP205,CP226)-CP132)/(CP57+CN57+CM57+CL57),"")</f>
        <v/>
      </c>
      <c r="CQ325" s="219" t="str">
        <f>IFERROR((SUM(CQ200,CQ201,CQ205,CQ226)-CQ132)/(CQ57+CP57+CN57+CM57),"")</f>
        <v/>
      </c>
      <c r="CR325" s="219" t="str">
        <f>IFERROR((SUM(CR200,CR201,CR205,CR226)-CR132)/(CR57+CQ57+CP57+CN57),"")</f>
        <v/>
      </c>
      <c r="CS325" s="219" t="str">
        <f>IFERROR((SUM(CS200,CS201,CS205,CS226)-CS132)/(CS57+CR57+CQ57+CP57),"")</f>
        <v/>
      </c>
      <c r="CU325" s="219" t="str">
        <f>IFERROR((SUM(CU200,CU201,CU205,CU226)-CU132)/(CU57+CS57+CR57+CQ57),"")</f>
        <v/>
      </c>
      <c r="CV325" s="219" t="str">
        <f>IFERROR((SUM(CV200,CV201,CV205,CV226)-CV132)/(CV57+CU57+CS57+CR57),"")</f>
        <v/>
      </c>
      <c r="CW325" s="219" t="str">
        <f>IFERROR((SUM(CW200,CW201,CW205,CW226)-CW132)/(CW57+CV57+CU57+CS57),"")</f>
        <v/>
      </c>
      <c r="CX325" s="219" t="str">
        <f>IFERROR((SUM(CX200,CX201,CX205,CX226)-CX132)/(CX57+CW57+CV57+CU57),"")</f>
        <v/>
      </c>
    </row>
    <row r="326" customFormat="1" s="233">
      <c r="A326" s="224" t="n"/>
      <c r="B326" s="224" t="n"/>
      <c r="C326" s="233" t="inlineStr">
        <is>
          <t>INTEREST COVERAGE</t>
        </is>
      </c>
      <c r="D326" s="219">
        <f>D61/-D62</f>
        <v>1.57289527720739</v>
      </c>
      <c r="E326" s="219">
        <f>E61/-E62</f>
        <v>2.17241379310345</v>
      </c>
      <c r="F326" s="219">
        <f>F61/-F62</f>
        <v>3.63333333333333</v>
      </c>
      <c r="G326" s="219">
        <f>G61/-G62</f>
        <v>3.22280701754386</v>
      </c>
      <c r="I326" s="219">
        <f>I61/-I62</f>
        <v>4.2381974248927</v>
      </c>
      <c r="J326" s="219">
        <f>J61/-J62</f>
        <v>5.12289156626506</v>
      </c>
      <c r="K326" s="219">
        <f>K61/-K62</f>
        <v>5.94700460829493</v>
      </c>
      <c r="L326" s="219">
        <f>L61/-L62</f>
        <v>7.63636363636364</v>
      </c>
      <c r="N326" s="219">
        <f>N61/-N62</f>
        <v>6.55212355212355</v>
      </c>
      <c r="O326" s="219">
        <f>O61/-O62</f>
        <v>9.20443349753695</v>
      </c>
      <c r="P326" s="219">
        <f>P61/-P62</f>
        <v>9.81773399014778</v>
      </c>
      <c r="Q326" s="219">
        <f>Q61/-Q62</f>
        <v>10.1059113300493</v>
      </c>
      <c r="S326" s="219">
        <f>S61/-S62</f>
        <v>9.8962962962963</v>
      </c>
      <c r="T326" s="219">
        <f>T61/-T62</f>
        <v>9.49753694581281</v>
      </c>
      <c r="U326" s="219">
        <f>U61/-U62</f>
        <v>10.4691358024691</v>
      </c>
      <c r="V326" s="219">
        <f>V61/-V62</f>
        <v>2.24946004319654</v>
      </c>
      <c r="X326" s="219">
        <f>X61/-X62</f>
        <v>2.83190066857689</v>
      </c>
      <c r="Y326" s="219">
        <f>Y61/-Y62</f>
        <v>3.56015037593985</v>
      </c>
      <c r="Z326" s="219">
        <f>Z61/-Z62</f>
        <v>5.05131004366812</v>
      </c>
      <c r="AA326" s="219">
        <f>AA61/-AA62</f>
        <v>7.17067583046965</v>
      </c>
      <c r="AC326" s="219">
        <f>AC61/-AC62</f>
        <v>7.57997399219766</v>
      </c>
      <c r="AD326" s="219">
        <f>AD61/-AD62</f>
        <v>7.29491945477076</v>
      </c>
      <c r="AE326" s="219">
        <f>AE61/-AE62</f>
        <v>9.86596583442838</v>
      </c>
      <c r="AF326" s="219">
        <f>AF61/-AF62</f>
        <v>10.6903870162297</v>
      </c>
      <c r="AH326" s="219">
        <f>AH61/-AH62</f>
        <v>13.9020618556701</v>
      </c>
      <c r="AI326" s="219">
        <f>AI61/-AI62</f>
        <v>20.5077120822622</v>
      </c>
      <c r="AJ326" s="219" t="e">
        <f>AJ61/-AJ62</f>
        <v>#DIV/0!</v>
      </c>
      <c r="AK326" s="219" t="e">
        <f>AK61/-AK62</f>
        <v>#DIV/0!</v>
      </c>
      <c r="AM326" s="219" t="e">
        <f>AM61/-AM62</f>
        <v>#DIV/0!</v>
      </c>
      <c r="AN326" s="219" t="e">
        <f>AN61/-AN62</f>
        <v>#DIV/0!</v>
      </c>
      <c r="AO326" s="219" t="e">
        <f>AO61/-AO62</f>
        <v>#DIV/0!</v>
      </c>
      <c r="AP326" s="219" t="e">
        <f>AP61/-AP62</f>
        <v>#DIV/0!</v>
      </c>
      <c r="AR326" s="219" t="e">
        <f>AR61/-AR62</f>
        <v>#DIV/0!</v>
      </c>
      <c r="AS326" s="219" t="e">
        <f>AS61/-AS62</f>
        <v>#DIV/0!</v>
      </c>
      <c r="AT326" s="219" t="e">
        <f>AT61/-AT62</f>
        <v>#DIV/0!</v>
      </c>
      <c r="AU326" s="219" t="e">
        <f>AU61/-AU62</f>
        <v>#DIV/0!</v>
      </c>
      <c r="AW326" s="219" t="e">
        <f>AW61/-AW62</f>
        <v>#DIV/0!</v>
      </c>
      <c r="AX326" s="219" t="e">
        <f>AX61/-AX62</f>
        <v>#DIV/0!</v>
      </c>
      <c r="AY326" s="219" t="e">
        <f>AY61/-AY62</f>
        <v>#DIV/0!</v>
      </c>
      <c r="AZ326" s="219" t="e">
        <f>AZ61/-AZ62</f>
        <v>#DIV/0!</v>
      </c>
      <c r="BB326" s="219" t="e">
        <f>BB61/-BB62</f>
        <v>#DIV/0!</v>
      </c>
      <c r="BC326" s="219" t="e">
        <f>BC61/-BC62</f>
        <v>#DIV/0!</v>
      </c>
      <c r="BD326" s="219" t="e">
        <f>BD61/-BD62</f>
        <v>#DIV/0!</v>
      </c>
      <c r="BE326" s="219" t="e">
        <f>BE61/-BE62</f>
        <v>#DIV/0!</v>
      </c>
      <c r="BG326" s="219" t="e">
        <f>BG61/-BG62</f>
        <v>#DIV/0!</v>
      </c>
      <c r="BH326" s="219" t="e">
        <f>BH61/-BH62</f>
        <v>#DIV/0!</v>
      </c>
      <c r="BI326" s="219" t="e">
        <f>BI61/-BI62</f>
        <v>#DIV/0!</v>
      </c>
      <c r="BJ326" s="219" t="e">
        <f>BJ61/-BJ62</f>
        <v>#DIV/0!</v>
      </c>
      <c r="BL326" s="219" t="e">
        <f>BL61/-BL62</f>
        <v>#DIV/0!</v>
      </c>
      <c r="BM326" s="219" t="e">
        <f>BM61/-BM62</f>
        <v>#DIV/0!</v>
      </c>
      <c r="BN326" s="219" t="e">
        <f>BN61/-BN62</f>
        <v>#DIV/0!</v>
      </c>
      <c r="BO326" s="219" t="e">
        <f>BO61/-BO62</f>
        <v>#DIV/0!</v>
      </c>
      <c r="BQ326" s="219" t="e">
        <f>BQ61/-BQ62</f>
        <v>#DIV/0!</v>
      </c>
      <c r="BR326" s="219" t="e">
        <f>BR61/-BR62</f>
        <v>#DIV/0!</v>
      </c>
      <c r="BS326" s="219" t="e">
        <f>BS61/-BS62</f>
        <v>#DIV/0!</v>
      </c>
      <c r="BT326" s="219" t="e">
        <f>BT61/-BT62</f>
        <v>#DIV/0!</v>
      </c>
      <c r="BV326" s="219" t="e">
        <f>BV61/-BV62</f>
        <v>#DIV/0!</v>
      </c>
      <c r="BW326" s="219" t="e">
        <f>BW61/-BW62</f>
        <v>#DIV/0!</v>
      </c>
      <c r="BX326" s="219" t="e">
        <f>BX61/-BX62</f>
        <v>#DIV/0!</v>
      </c>
      <c r="BY326" s="219" t="e">
        <f>BY61/-BY62</f>
        <v>#DIV/0!</v>
      </c>
      <c r="CA326" s="219" t="e">
        <f>CA61/-CA62</f>
        <v>#DIV/0!</v>
      </c>
      <c r="CB326" s="219" t="e">
        <f>CB61/-CB62</f>
        <v>#DIV/0!</v>
      </c>
      <c r="CC326" s="219" t="e">
        <f>CC61/-CC62</f>
        <v>#DIV/0!</v>
      </c>
      <c r="CD326" s="219" t="e">
        <f>CD61/-CD62</f>
        <v>#DIV/0!</v>
      </c>
      <c r="CF326" s="219" t="e">
        <f>CF61/-CF62</f>
        <v>#DIV/0!</v>
      </c>
      <c r="CG326" s="219" t="e">
        <f>CG61/-CG62</f>
        <v>#DIV/0!</v>
      </c>
      <c r="CH326" s="219" t="e">
        <f>CH61/-CH62</f>
        <v>#DIV/0!</v>
      </c>
      <c r="CI326" s="219" t="e">
        <f>CI61/-CI62</f>
        <v>#DIV/0!</v>
      </c>
      <c r="CK326" s="219" t="e">
        <f>CK61/-CK62</f>
        <v>#DIV/0!</v>
      </c>
      <c r="CL326" s="219" t="e">
        <f>CL61/-CL62</f>
        <v>#DIV/0!</v>
      </c>
      <c r="CM326" s="219" t="e">
        <f>CM61/-CM62</f>
        <v>#DIV/0!</v>
      </c>
      <c r="CN326" s="219" t="e">
        <f>CN61/-CN62</f>
        <v>#DIV/0!</v>
      </c>
      <c r="CP326" s="219" t="e">
        <f>CP61/-CP62</f>
        <v>#DIV/0!</v>
      </c>
      <c r="CQ326" s="219" t="e">
        <f>CQ61/-CQ62</f>
        <v>#DIV/0!</v>
      </c>
      <c r="CR326" s="219" t="e">
        <f>CR61/-CR62</f>
        <v>#DIV/0!</v>
      </c>
      <c r="CS326" s="219" t="e">
        <f>CS61/-CS62</f>
        <v>#DIV/0!</v>
      </c>
      <c r="CU326" s="219" t="e">
        <f>CU61/-CU62</f>
        <v>#DIV/0!</v>
      </c>
      <c r="CV326" s="219" t="e">
        <f>CV61/-CV62</f>
        <v>#DIV/0!</v>
      </c>
      <c r="CW326" s="219" t="e">
        <f>CW61/-CW62</f>
        <v>#DIV/0!</v>
      </c>
      <c r="CX326" s="219" t="e">
        <f>CX61/-CX62</f>
        <v>#DIV/0!</v>
      </c>
    </row>
    <row r="327" customFormat="1" s="233">
      <c r="A327" s="224" t="n"/>
      <c r="B327" s="224" t="n"/>
    </row>
    <row r="328" customFormat="1" s="233">
      <c r="A328" s="224" t="n"/>
      <c r="B328" s="224" t="n"/>
      <c r="C328" s="234" t="inlineStr">
        <is>
          <t>INTERNAL LIQUIDITY</t>
        </is>
      </c>
    </row>
    <row r="329" customFormat="1" s="233">
      <c r="A329" s="224" t="n"/>
      <c r="B329" s="224" t="n"/>
      <c r="C329" s="233" t="inlineStr">
        <is>
          <t>CURRENT RATIO</t>
        </is>
      </c>
      <c r="D329" s="219">
        <f>SUM(D132,D133,D137,D141,D142,D143)/SUM(D186,D190,D192,D193)</f>
        <v>2.45970252507783</v>
      </c>
      <c r="E329" s="219">
        <f>SUM(E132,E133,E137,E141,E142,E143)/SUM(E186,E190,E192,E193)</f>
        <v>2.32670068027211</v>
      </c>
      <c r="F329" s="219">
        <f>SUM(F132,F133,F137,F141,F142,F143)/SUM(F186,F190,F192,F193)</f>
        <v>2.14556277056277</v>
      </c>
      <c r="G329" s="219">
        <f>SUM(G132,G133,G137,G141,G142,G143)/SUM(G186,G190,G192,G193)</f>
        <v>2.45283018867925</v>
      </c>
      <c r="I329" s="219">
        <f>SUM(I132,I133,I137,I141,I142,I143)/SUM(I186,I190,I192,I193)</f>
        <v>2.31325105553751</v>
      </c>
      <c r="J329" s="219">
        <f>SUM(J132,J133,J137,J141,J142,J143)/SUM(J186,J190,J192,J193)</f>
        <v>2.51301832208293</v>
      </c>
      <c r="K329" s="219">
        <f>SUM(K132,K133,K137,K141,K142,K143)/SUM(K186,K190,K192,K193)</f>
        <v>2.76848606242697</v>
      </c>
      <c r="L329" s="219">
        <f>SUM(L132,L133,L137,L141,L142,L143)/SUM(L186,L190,L192,L193)</f>
        <v>2.5623851678637</v>
      </c>
      <c r="N329" s="219">
        <f>SUM(N132,N133,N137,N141,N142,N143)/SUM(N186,N190,N192,N193)</f>
        <v>2.24122276029056</v>
      </c>
      <c r="O329" s="219">
        <f>SUM(O132,O133,O137,O141,O142,O143)/SUM(O186,O190,O192,O193)</f>
        <v>2.43216630196937</v>
      </c>
      <c r="P329" s="219">
        <f>SUM(P132,P133,P137,P141,P142,P143)/SUM(P186,P190,P192,P193)</f>
        <v>2.79854809437387</v>
      </c>
      <c r="Q329" s="219">
        <f>SUM(Q132,Q133,Q137,Q141,Q142,Q143)/SUM(Q186,Q190,Q192,Q193)</f>
        <v>2.95791457286432</v>
      </c>
      <c r="S329" s="219">
        <f>SUM(S132,S133,S137,S141,S142,S143)/SUM(S186,S190,S192,S193)</f>
        <v>2.79496402877698</v>
      </c>
      <c r="T329" s="219">
        <f>SUM(T132,T133,T137,T141,T142,T143)/SUM(T186,T190,T192,T193)</f>
        <v>2.94458721490524</v>
      </c>
      <c r="U329" s="219">
        <f>SUM(U132,U133,U137,U141,U142,U143)/SUM(U186,U190,U192,U193)</f>
        <v>3.59617043298258</v>
      </c>
      <c r="V329" s="219">
        <f>SUM(V132,V133,V137,V141,V142,V143)/SUM(V186,V190,V192,V193)</f>
        <v>1.51605709188225</v>
      </c>
      <c r="X329" s="219">
        <f>SUM(X132,X133,X137,X141,X142,X143)/SUM(X186,X190,X192,X193)</f>
        <v>1.42586644125106</v>
      </c>
      <c r="Y329" s="219">
        <f>SUM(Y132,Y133,Y137,Y141,Y142,Y143)/SUM(Y186,Y190,Y192,Y193)</f>
        <v>1.2420298879203</v>
      </c>
      <c r="Z329" s="219">
        <f>SUM(Z132,Z133,Z137,Z141,Z142,Z143)/SUM(Z186,Z190,Z192,Z193)</f>
        <v>1.27025800596396</v>
      </c>
      <c r="AA329" s="219">
        <f>SUM(AA132,AA133,AA137,AA141,AA142,AA143)/SUM(AA186,AA190,AA192,AA193)</f>
        <v>1.37576194533657</v>
      </c>
      <c r="AC329" s="219">
        <f>SUM(AC132,AC133,AC137,AC141,AC142,AC143)/SUM(AC186,AC190,AC192,AC193)</f>
        <v>1.4722554095314</v>
      </c>
      <c r="AD329" s="219">
        <f>SUM(AD132,AD133,AD137,AD141,AD142,AD143)/SUM(AD186,AD190,AD192,AD193)</f>
        <v>1.63332244364587</v>
      </c>
      <c r="AE329" s="219">
        <f>SUM(AE132,AE133,AE137,AE141,AE142,AE143)/SUM(AE186,AE190,AE192,AE193)</f>
        <v>2.05526624137482</v>
      </c>
      <c r="AF329" s="219">
        <f>SUM(AF132,AF133,AF137,AF141,AF142,AF143)/SUM(AF186,AF190,AF192,AF193)</f>
        <v>2.19497501198056</v>
      </c>
      <c r="AH329" s="219">
        <f>SUM(AH132,AH133,AH137,AH141,AH142,AH143)/SUM(AH186,AH190,AH192,AH193)</f>
        <v>2.5414208308248</v>
      </c>
      <c r="AI329" s="219">
        <f>SUM(AI132,AI133,AI137,AI141,AI142,AI143)/SUM(AI186,AI190,AI192,AI193)</f>
        <v>2.80711288066286</v>
      </c>
      <c r="AJ329" s="219">
        <f>SUM(AJ132,AJ133,AJ137,AJ141,AJ142,AJ143)/SUM(AJ186,AJ190,AJ192,AJ193)</f>
        <v>5.5894495412844</v>
      </c>
      <c r="AK329" s="219">
        <f>SUM(AK132,AK133,AK137,AK141,AK142,AK143)/SUM(AK186,AK190,AK192,AK193)</f>
        <v>5.59694189602447</v>
      </c>
      <c r="AM329" s="219" t="e">
        <f>SUM(AM132,AM133,AM137,AM141,AM142,AM143)/SUM(AM186,AM190,AM192,AM193)</f>
        <v>#DIV/0!</v>
      </c>
      <c r="AN329" s="219" t="e">
        <f>SUM(AN132,AN133,AN137,AN141,AN142,AN143)/SUM(AN186,AN190,AN192,AN193)</f>
        <v>#DIV/0!</v>
      </c>
      <c r="AO329" s="219" t="e">
        <f>SUM(AO132,AO133,AO137,AO141,AO142,AO143)/SUM(AO186,AO190,AO192,AO193)</f>
        <v>#DIV/0!</v>
      </c>
      <c r="AP329" s="219" t="e">
        <f>SUM(AP132,AP133,AP137,AP141,AP142,AP143)/SUM(AP186,AP190,AP192,AP193)</f>
        <v>#DIV/0!</v>
      </c>
      <c r="AR329" s="219" t="e">
        <f>SUM(AR132,AR133,AR137,AR141,AR142,AR143)/SUM(AR186,AR190,AR192,AR193)</f>
        <v>#DIV/0!</v>
      </c>
      <c r="AS329" s="219" t="e">
        <f>SUM(AS132,AS133,AS137,AS141,AS142,AS143)/SUM(AS186,AS190,AS192,AS193)</f>
        <v>#DIV/0!</v>
      </c>
      <c r="AT329" s="219" t="e">
        <f>SUM(AT132,AT133,AT137,AT141,AT142,AT143)/SUM(AT186,AT190,AT192,AT193)</f>
        <v>#DIV/0!</v>
      </c>
      <c r="AU329" s="219" t="e">
        <f>SUM(AU132,AU133,AU137,AU141,AU142,AU143)/SUM(AU186,AU190,AU192,AU193)</f>
        <v>#DIV/0!</v>
      </c>
      <c r="AW329" s="219" t="e">
        <f>SUM(AW132,AW133,AW137,AW141,AW142,AW143)/SUM(AW186,AW190,AW192,AW193)</f>
        <v>#DIV/0!</v>
      </c>
      <c r="AX329" s="219" t="e">
        <f>SUM(AX132,AX133,AX137,AX141,AX142,AX143)/SUM(AX186,AX190,AX192,AX193)</f>
        <v>#DIV/0!</v>
      </c>
      <c r="AY329" s="219" t="e">
        <f>SUM(AY132,AY133,AY137,AY141,AY142,AY143)/SUM(AY186,AY190,AY192,AY193)</f>
        <v>#DIV/0!</v>
      </c>
      <c r="AZ329" s="219" t="e">
        <f>SUM(AZ132,AZ133,AZ137,AZ141,AZ142,AZ143)/SUM(AZ186,AZ190,AZ192,AZ193)</f>
        <v>#DIV/0!</v>
      </c>
      <c r="BB329" s="219" t="e">
        <f>SUM(BB132,BB133,BB137,BB141,BB142,BB143)/SUM(BB186,BB190,BB192,BB193)</f>
        <v>#DIV/0!</v>
      </c>
      <c r="BC329" s="219" t="e">
        <f>SUM(BC132,BC133,BC137,BC141,BC142,BC143)/SUM(BC186,BC190,BC192,BC193)</f>
        <v>#DIV/0!</v>
      </c>
      <c r="BD329" s="219" t="e">
        <f>SUM(BD132,BD133,BD137,BD141,BD142,BD143)/SUM(BD186,BD190,BD192,BD193)</f>
        <v>#DIV/0!</v>
      </c>
      <c r="BE329" s="219" t="e">
        <f>SUM(BE132,BE133,BE137,BE141,BE142,BE143)/SUM(BE186,BE190,BE192,BE193)</f>
        <v>#DIV/0!</v>
      </c>
      <c r="BG329" s="219" t="e">
        <f>SUM(BG132,BG133,BG137,BG141,BG142,BG143)/SUM(BG186,BG190,BG192,BG193)</f>
        <v>#DIV/0!</v>
      </c>
      <c r="BH329" s="219" t="e">
        <f>SUM(BH132,BH133,BH137,BH141,BH142,BH143)/SUM(BH186,BH190,BH192,BH193)</f>
        <v>#DIV/0!</v>
      </c>
      <c r="BI329" s="219" t="e">
        <f>SUM(BI132,BI133,BI137,BI141,BI142,BI143)/SUM(BI186,BI190,BI192,BI193)</f>
        <v>#DIV/0!</v>
      </c>
      <c r="BJ329" s="219" t="e">
        <f>SUM(BJ132,BJ133,BJ137,BJ141,BJ142,BJ143)/SUM(BJ186,BJ190,BJ192,BJ193)</f>
        <v>#DIV/0!</v>
      </c>
      <c r="BL329" s="219" t="e">
        <f>SUM(BL132,BL133,BL137,BL141,BL142,BL143)/SUM(BL186,BL190,BL192,BL193)</f>
        <v>#DIV/0!</v>
      </c>
      <c r="BM329" s="219" t="e">
        <f>SUM(BM132,BM133,BM137,BM141,BM142,BM143)/SUM(BM186,BM190,BM192,BM193)</f>
        <v>#DIV/0!</v>
      </c>
      <c r="BN329" s="219" t="e">
        <f>SUM(BN132,BN133,BN137,BN141,BN142,BN143)/SUM(BN186,BN190,BN192,BN193)</f>
        <v>#DIV/0!</v>
      </c>
      <c r="BO329" s="219" t="e">
        <f>SUM(BO132,BO133,BO137,BO141,BO142,BO143)/SUM(BO186,BO190,BO192,BO193)</f>
        <v>#DIV/0!</v>
      </c>
      <c r="BQ329" s="219" t="e">
        <f>SUM(BQ132,BQ133,BQ137,BQ141,BQ142,BQ143)/SUM(BQ186,BQ190,BQ192,BQ193)</f>
        <v>#DIV/0!</v>
      </c>
      <c r="BR329" s="219" t="e">
        <f>SUM(BR132,BR133,BR137,BR141,BR142,BR143)/SUM(BR186,BR190,BR192,BR193)</f>
        <v>#DIV/0!</v>
      </c>
      <c r="BS329" s="219" t="e">
        <f>SUM(BS132,BS133,BS137,BS141,BS142,BS143)/SUM(BS186,BS190,BS192,BS193)</f>
        <v>#DIV/0!</v>
      </c>
      <c r="BT329" s="219" t="e">
        <f>SUM(BT132,BT133,BT137,BT141,BT142,BT143)/SUM(BT186,BT190,BT192,BT193)</f>
        <v>#DIV/0!</v>
      </c>
      <c r="BV329" s="219" t="e">
        <f>SUM(BV132,BV133,BV137,BV141,BV142,BV143)/SUM(BV186,BV190,BV192,BV193)</f>
        <v>#DIV/0!</v>
      </c>
      <c r="BW329" s="219" t="e">
        <f>SUM(BW132,BW133,BW137,BW141,BW142,BW143)/SUM(BW186,BW190,BW192,BW193)</f>
        <v>#DIV/0!</v>
      </c>
      <c r="BX329" s="219" t="e">
        <f>SUM(BX132,BX133,BX137,BX141,BX142,BX143)/SUM(BX186,BX190,BX192,BX193)</f>
        <v>#DIV/0!</v>
      </c>
      <c r="BY329" s="219" t="e">
        <f>SUM(BY132,BY133,BY137,BY141,BY142,BY143)/SUM(BY186,BY190,BY192,BY193)</f>
        <v>#DIV/0!</v>
      </c>
      <c r="CA329" s="219" t="e">
        <f>SUM(CA132,CA133,CA137,CA141,CA142,CA143)/SUM(CA186,CA190,CA192,CA193)</f>
        <v>#DIV/0!</v>
      </c>
      <c r="CB329" s="219" t="e">
        <f>SUM(CB132,CB133,CB137,CB141,CB142,CB143)/SUM(CB186,CB190,CB192,CB193)</f>
        <v>#DIV/0!</v>
      </c>
      <c r="CC329" s="219" t="e">
        <f>SUM(CC132,CC133,CC137,CC141,CC142,CC143)/SUM(CC186,CC190,CC192,CC193)</f>
        <v>#DIV/0!</v>
      </c>
      <c r="CD329" s="219" t="e">
        <f>SUM(CD132,CD133,CD137,CD141,CD142,CD143)/SUM(CD186,CD190,CD192,CD193)</f>
        <v>#DIV/0!</v>
      </c>
      <c r="CF329" s="219" t="e">
        <f>SUM(CF132,CF133,CF137,CF141,CF142,CF143)/SUM(CF186,CF190,CF192,CF193)</f>
        <v>#DIV/0!</v>
      </c>
      <c r="CG329" s="219" t="e">
        <f>SUM(CG132,CG133,CG137,CG141,CG142,CG143)/SUM(CG186,CG190,CG192,CG193)</f>
        <v>#DIV/0!</v>
      </c>
      <c r="CH329" s="219" t="e">
        <f>SUM(CH132,CH133,CH137,CH141,CH142,CH143)/SUM(CH186,CH190,CH192,CH193)</f>
        <v>#DIV/0!</v>
      </c>
      <c r="CI329" s="219" t="e">
        <f>SUM(CI132,CI133,CI137,CI141,CI142,CI143)/SUM(CI186,CI190,CI192,CI193)</f>
        <v>#DIV/0!</v>
      </c>
      <c r="CK329" s="219" t="e">
        <f>SUM(CK132,CK133,CK137,CK141,CK142,CK143)/SUM(CK186,CK190,CK192,CK193)</f>
        <v>#DIV/0!</v>
      </c>
      <c r="CL329" s="219" t="e">
        <f>SUM(CL132,CL133,CL137,CL141,CL142,CL143)/SUM(CL186,CL190,CL192,CL193)</f>
        <v>#DIV/0!</v>
      </c>
      <c r="CM329" s="219" t="e">
        <f>SUM(CM132,CM133,CM137,CM141,CM142,CM143)/SUM(CM186,CM190,CM192,CM193)</f>
        <v>#DIV/0!</v>
      </c>
      <c r="CN329" s="219" t="e">
        <f>SUM(CN132,CN133,CN137,CN141,CN142,CN143)/SUM(CN186,CN190,CN192,CN193)</f>
        <v>#DIV/0!</v>
      </c>
      <c r="CP329" s="219" t="e">
        <f>SUM(CP132,CP133,CP137,CP141,CP142,CP143)/SUM(CP186,CP190,CP192,CP193)</f>
        <v>#DIV/0!</v>
      </c>
      <c r="CQ329" s="219" t="e">
        <f>SUM(CQ132,CQ133,CQ137,CQ141,CQ142,CQ143)/SUM(CQ186,CQ190,CQ192,CQ193)</f>
        <v>#DIV/0!</v>
      </c>
      <c r="CR329" s="219" t="e">
        <f>SUM(CR132,CR133,CR137,CR141,CR142,CR143)/SUM(CR186,CR190,CR192,CR193)</f>
        <v>#DIV/0!</v>
      </c>
      <c r="CS329" s="219" t="e">
        <f>SUM(CS132,CS133,CS137,CS141,CS142,CS143)/SUM(CS186,CS190,CS192,CS193)</f>
        <v>#DIV/0!</v>
      </c>
      <c r="CU329" s="219" t="e">
        <f>SUM(CU132,CU133,CU137,CU141,CU142,CU143)/SUM(CU186,CU190,CU192,CU193)</f>
        <v>#DIV/0!</v>
      </c>
      <c r="CV329" s="219" t="e">
        <f>SUM(CV132,CV133,CV137,CV141,CV142,CV143)/SUM(CV186,CV190,CV192,CV193)</f>
        <v>#DIV/0!</v>
      </c>
      <c r="CW329" s="219" t="e">
        <f>SUM(CW132,CW133,CW137,CW141,CW142,CW143)/SUM(CW186,CW190,CW192,CW193)</f>
        <v>#DIV/0!</v>
      </c>
      <c r="CX329" s="219" t="e">
        <f>SUM(CX132,CX133,CX137,CX141,CX142,CX143)/SUM(CX186,CX190,CX192,CX193)</f>
        <v>#DIV/0!</v>
      </c>
    </row>
    <row r="330" customFormat="1" s="233">
      <c r="A330" s="224" t="n"/>
      <c r="B330" s="224" t="n"/>
      <c r="C330" s="233" t="inlineStr">
        <is>
          <t>CASH RATIO</t>
        </is>
      </c>
      <c r="D330" s="219">
        <f>SUM(D132)/SUM(D186,D190,D192,D193)</f>
        <v>1.59235558630232</v>
      </c>
      <c r="E330" s="219">
        <f>SUM(E132)/SUM(E186,E190,E192,E193)</f>
        <v>1.5062925170068</v>
      </c>
      <c r="F330" s="219">
        <f>SUM(F132)/SUM(F186,F190,F192,F193)</f>
        <v>1.37409812409812</v>
      </c>
      <c r="G330" s="219">
        <f>SUM(G132)/SUM(G186,G190,G192,G193)</f>
        <v>1.63842195540309</v>
      </c>
      <c r="I330" s="219">
        <f>SUM(I132)/SUM(I186,I190,I192,I193)</f>
        <v>1.54563169860344</v>
      </c>
      <c r="J330" s="219">
        <f>SUM(J132)/SUM(J186,J190,J192,J193)</f>
        <v>1.78479588556734</v>
      </c>
      <c r="K330" s="219">
        <f>SUM(K132)/SUM(K186,K190,K192,K193)</f>
        <v>2.03021198464363</v>
      </c>
      <c r="L330" s="219">
        <f>SUM(L132)/SUM(L186,L190,L192,L193)</f>
        <v>1.70686487389344</v>
      </c>
      <c r="N330" s="219">
        <f>SUM(N132)/SUM(N186,N190,N192,N193)</f>
        <v>1.36274213075061</v>
      </c>
      <c r="O330" s="219">
        <f>SUM(O132)/SUM(O186,O190,O192,O193)</f>
        <v>1.55939356048765</v>
      </c>
      <c r="P330" s="219">
        <f>SUM(P132)/SUM(P186,P190,P192,P193)</f>
        <v>1.8777979431337</v>
      </c>
      <c r="Q330" s="219">
        <f>SUM(Q132)/SUM(Q186,Q190,Q192,Q193)</f>
        <v>1.98602386934673</v>
      </c>
      <c r="S330" s="219">
        <f>SUM(S132)/SUM(S186,S190,S192,S193)</f>
        <v>1.80685017203628</v>
      </c>
      <c r="T330" s="219">
        <f>SUM(T132)/SUM(T186,T190,T192,T193)</f>
        <v>1.93623514294892</v>
      </c>
      <c r="U330" s="219">
        <f>SUM(U132)/SUM(U186,U190,U192,U193)</f>
        <v>2.44764533379334</v>
      </c>
      <c r="V330" s="219">
        <f>SUM(V132)/SUM(V186,V190,V192,V193)</f>
        <v>0.661462979482605</v>
      </c>
      <c r="X330" s="219">
        <f>SUM(X132)/SUM(X186,X190,X192,X193)</f>
        <v>0.552775429698507</v>
      </c>
      <c r="Y330" s="219">
        <f>SUM(Y132)/SUM(Y186,Y190,Y192,Y193)</f>
        <v>0.619676214196762</v>
      </c>
      <c r="Z330" s="219">
        <f>SUM(Z132)/SUM(Z186,Z190,Z192,Z193)</f>
        <v>0.605989887203423</v>
      </c>
      <c r="AA330" s="219">
        <f>SUM(AA132)/SUM(AA186,AA190,AA192,AA193)</f>
        <v>0.610015075047519</v>
      </c>
      <c r="AC330" s="219">
        <f>SUM(AC132)/SUM(AC186,AC190,AC192,AC193)</f>
        <v>0.628700384972786</v>
      </c>
      <c r="AD330" s="219">
        <f>SUM(AD132)/SUM(AD186,AD190,AD192,AD193)</f>
        <v>0.700294021561581</v>
      </c>
      <c r="AE330" s="219">
        <f>SUM(AE132)/SUM(AE186,AE190,AE192,AE193)</f>
        <v>1.05311808358287</v>
      </c>
      <c r="AF330" s="219">
        <f>SUM(AF132)/SUM(AF186,AF190,AF192,AF193)</f>
        <v>0.970356678304922</v>
      </c>
      <c r="AH330" s="219">
        <f>SUM(AH132)/SUM(AH186,AH190,AH192,AH193)</f>
        <v>1.18169777242625</v>
      </c>
      <c r="AI330" s="219">
        <f>SUM(AI132)/SUM(AI186,AI190,AI192,AI193)</f>
        <v>1.28994942429786</v>
      </c>
      <c r="AJ330" s="219">
        <f>SUM(AJ132)/SUM(AJ186,AJ190,AJ192,AJ193)</f>
        <v>4.82737003058104</v>
      </c>
      <c r="AK330" s="219">
        <f>SUM(AK132)/SUM(AK186,AK190,AK192,AK193)</f>
        <v>4.8348623853211</v>
      </c>
      <c r="AM330" s="219" t="e">
        <f>SUM(AM132)/SUM(AM186,AM190,AM192,AM193)</f>
        <v>#DIV/0!</v>
      </c>
      <c r="AN330" s="219" t="e">
        <f>SUM(AN132)/SUM(AN186,AN190,AN192,AN193)</f>
        <v>#DIV/0!</v>
      </c>
      <c r="AO330" s="219" t="e">
        <f>SUM(AO132)/SUM(AO186,AO190,AO192,AO193)</f>
        <v>#DIV/0!</v>
      </c>
      <c r="AP330" s="219" t="e">
        <f>SUM(AP132)/SUM(AP186,AP190,AP192,AP193)</f>
        <v>#DIV/0!</v>
      </c>
      <c r="AR330" s="219" t="e">
        <f>SUM(AR132)/SUM(AR186,AR190,AR192,AR193)</f>
        <v>#DIV/0!</v>
      </c>
      <c r="AS330" s="219" t="e">
        <f>SUM(AS132)/SUM(AS186,AS190,AS192,AS193)</f>
        <v>#DIV/0!</v>
      </c>
      <c r="AT330" s="219" t="e">
        <f>SUM(AT132)/SUM(AT186,AT190,AT192,AT193)</f>
        <v>#DIV/0!</v>
      </c>
      <c r="AU330" s="219" t="e">
        <f>SUM(AU132)/SUM(AU186,AU190,AU192,AU193)</f>
        <v>#DIV/0!</v>
      </c>
      <c r="AW330" s="219" t="e">
        <f>SUM(AW132)/SUM(AW186,AW190,AW192,AW193)</f>
        <v>#DIV/0!</v>
      </c>
      <c r="AX330" s="219" t="e">
        <f>SUM(AX132)/SUM(AX186,AX190,AX192,AX193)</f>
        <v>#DIV/0!</v>
      </c>
      <c r="AY330" s="219" t="e">
        <f>SUM(AY132)/SUM(AY186,AY190,AY192,AY193)</f>
        <v>#DIV/0!</v>
      </c>
      <c r="AZ330" s="219" t="e">
        <f>SUM(AZ132)/SUM(AZ186,AZ190,AZ192,AZ193)</f>
        <v>#DIV/0!</v>
      </c>
      <c r="BB330" s="219" t="e">
        <f>SUM(BB132)/SUM(BB186,BB190,BB192,BB193)</f>
        <v>#DIV/0!</v>
      </c>
      <c r="BC330" s="219" t="e">
        <f>SUM(BC132)/SUM(BC186,BC190,BC192,BC193)</f>
        <v>#DIV/0!</v>
      </c>
      <c r="BD330" s="219" t="e">
        <f>SUM(BD132)/SUM(BD186,BD190,BD192,BD193)</f>
        <v>#DIV/0!</v>
      </c>
      <c r="BE330" s="219" t="e">
        <f>SUM(BE132)/SUM(BE186,BE190,BE192,BE193)</f>
        <v>#DIV/0!</v>
      </c>
      <c r="BG330" s="219" t="e">
        <f>SUM(BG132)/SUM(BG186,BG190,BG192,BG193)</f>
        <v>#DIV/0!</v>
      </c>
      <c r="BH330" s="219" t="e">
        <f>SUM(BH132)/SUM(BH186,BH190,BH192,BH193)</f>
        <v>#DIV/0!</v>
      </c>
      <c r="BI330" s="219" t="e">
        <f>SUM(BI132)/SUM(BI186,BI190,BI192,BI193)</f>
        <v>#DIV/0!</v>
      </c>
      <c r="BJ330" s="219" t="e">
        <f>SUM(BJ132)/SUM(BJ186,BJ190,BJ192,BJ193)</f>
        <v>#DIV/0!</v>
      </c>
      <c r="BL330" s="219" t="e">
        <f>SUM(BL132)/SUM(BL186,BL190,BL192,BL193)</f>
        <v>#DIV/0!</v>
      </c>
      <c r="BM330" s="219" t="e">
        <f>SUM(BM132)/SUM(BM186,BM190,BM192,BM193)</f>
        <v>#DIV/0!</v>
      </c>
      <c r="BN330" s="219" t="e">
        <f>SUM(BN132)/SUM(BN186,BN190,BN192,BN193)</f>
        <v>#DIV/0!</v>
      </c>
      <c r="BO330" s="219" t="e">
        <f>SUM(BO132)/SUM(BO186,BO190,BO192,BO193)</f>
        <v>#DIV/0!</v>
      </c>
      <c r="BQ330" s="219" t="e">
        <f>SUM(BQ132)/SUM(BQ186,BQ190,BQ192,BQ193)</f>
        <v>#DIV/0!</v>
      </c>
      <c r="BR330" s="219" t="e">
        <f>SUM(BR132)/SUM(BR186,BR190,BR192,BR193)</f>
        <v>#DIV/0!</v>
      </c>
      <c r="BS330" s="219" t="e">
        <f>SUM(BS132)/SUM(BS186,BS190,BS192,BS193)</f>
        <v>#DIV/0!</v>
      </c>
      <c r="BT330" s="219" t="e">
        <f>SUM(BT132)/SUM(BT186,BT190,BT192,BT193)</f>
        <v>#DIV/0!</v>
      </c>
      <c r="BV330" s="219" t="e">
        <f>SUM(BV132)/SUM(BV186,BV190,BV192,BV193)</f>
        <v>#DIV/0!</v>
      </c>
      <c r="BW330" s="219" t="e">
        <f>SUM(BW132)/SUM(BW186,BW190,BW192,BW193)</f>
        <v>#DIV/0!</v>
      </c>
      <c r="BX330" s="219" t="e">
        <f>SUM(BX132)/SUM(BX186,BX190,BX192,BX193)</f>
        <v>#DIV/0!</v>
      </c>
      <c r="BY330" s="219" t="e">
        <f>SUM(BY132)/SUM(BY186,BY190,BY192,BY193)</f>
        <v>#DIV/0!</v>
      </c>
      <c r="CA330" s="219" t="e">
        <f>SUM(CA132)/SUM(CA186,CA190,CA192,CA193)</f>
        <v>#DIV/0!</v>
      </c>
      <c r="CB330" s="219" t="e">
        <f>SUM(CB132)/SUM(CB186,CB190,CB192,CB193)</f>
        <v>#DIV/0!</v>
      </c>
      <c r="CC330" s="219" t="e">
        <f>SUM(CC132)/SUM(CC186,CC190,CC192,CC193)</f>
        <v>#DIV/0!</v>
      </c>
      <c r="CD330" s="219" t="e">
        <f>SUM(CD132)/SUM(CD186,CD190,CD192,CD193)</f>
        <v>#DIV/0!</v>
      </c>
      <c r="CF330" s="219" t="e">
        <f>SUM(CF132)/SUM(CF186,CF190,CF192,CF193)</f>
        <v>#DIV/0!</v>
      </c>
      <c r="CG330" s="219" t="e">
        <f>SUM(CG132)/SUM(CG186,CG190,CG192,CG193)</f>
        <v>#DIV/0!</v>
      </c>
      <c r="CH330" s="219" t="e">
        <f>SUM(CH132)/SUM(CH186,CH190,CH192,CH193)</f>
        <v>#DIV/0!</v>
      </c>
      <c r="CI330" s="219" t="e">
        <f>SUM(CI132)/SUM(CI186,CI190,CI192,CI193)</f>
        <v>#DIV/0!</v>
      </c>
      <c r="CK330" s="219" t="e">
        <f>SUM(CK132)/SUM(CK186,CK190,CK192,CK193)</f>
        <v>#DIV/0!</v>
      </c>
      <c r="CL330" s="219" t="e">
        <f>SUM(CL132)/SUM(CL186,CL190,CL192,CL193)</f>
        <v>#DIV/0!</v>
      </c>
      <c r="CM330" s="219" t="e">
        <f>SUM(CM132)/SUM(CM186,CM190,CM192,CM193)</f>
        <v>#DIV/0!</v>
      </c>
      <c r="CN330" s="219" t="e">
        <f>SUM(CN132)/SUM(CN186,CN190,CN192,CN193)</f>
        <v>#DIV/0!</v>
      </c>
      <c r="CP330" s="219" t="e">
        <f>SUM(CP132)/SUM(CP186,CP190,CP192,CP193)</f>
        <v>#DIV/0!</v>
      </c>
      <c r="CQ330" s="219" t="e">
        <f>SUM(CQ132)/SUM(CQ186,CQ190,CQ192,CQ193)</f>
        <v>#DIV/0!</v>
      </c>
      <c r="CR330" s="219" t="e">
        <f>SUM(CR132)/SUM(CR186,CR190,CR192,CR193)</f>
        <v>#DIV/0!</v>
      </c>
      <c r="CS330" s="219" t="e">
        <f>SUM(CS132)/SUM(CS186,CS190,CS192,CS193)</f>
        <v>#DIV/0!</v>
      </c>
      <c r="CU330" s="219" t="e">
        <f>SUM(CU132)/SUM(CU186,CU190,CU192,CU193)</f>
        <v>#DIV/0!</v>
      </c>
      <c r="CV330" s="219" t="e">
        <f>SUM(CV132)/SUM(CV186,CV190,CV192,CV193)</f>
        <v>#DIV/0!</v>
      </c>
      <c r="CW330" s="219" t="e">
        <f>SUM(CW132)/SUM(CW186,CW190,CW192,CW193)</f>
        <v>#DIV/0!</v>
      </c>
      <c r="CX330" s="219" t="e">
        <f>SUM(CX132)/SUM(CX186,CX190,CX192,CX193)</f>
        <v>#DIV/0!</v>
      </c>
    </row>
    <row r="331" customFormat="1" s="233">
      <c r="A331" s="224" t="n"/>
      <c r="B331" s="224" t="n"/>
    </row>
    <row r="332" customFormat="1" s="233">
      <c r="A332" s="224" t="n"/>
      <c r="B332" s="224" t="n"/>
      <c r="C332" s="234" t="inlineStr">
        <is>
          <t>OPERATING EFFICIENCY</t>
        </is>
      </c>
    </row>
    <row r="333" customFormat="1" s="238">
      <c r="A333" s="222" t="n"/>
      <c r="B333" s="222" t="n"/>
      <c r="C333" s="238" t="inlineStr">
        <is>
          <t>RETURN ON CAPITAL (ROIC)</t>
        </is>
      </c>
      <c r="D333" s="238">
        <f>D335/D338</f>
        <v>0.0175466770210107</v>
      </c>
      <c r="E333" s="238">
        <f>E335/E338</f>
        <v>0.0199347042795842</v>
      </c>
      <c r="F333" s="238">
        <f>F335/F338</f>
        <v>0.0309874969450363</v>
      </c>
      <c r="G333" s="238">
        <f>G335/G338</f>
        <v>0.0324417979596593</v>
      </c>
      <c r="H333" s="238">
        <f>H335/H338</f>
        <v>0.102391771249984</v>
      </c>
      <c r="I333" s="222">
        <f>I335/I338</f>
        <v>0.0361531811268275</v>
      </c>
      <c r="J333" s="222">
        <f>J335/J338</f>
        <v>0.043015738501218</v>
      </c>
      <c r="K333" s="222">
        <f>K335/K338</f>
        <v>0.0450340423287675</v>
      </c>
      <c r="L333" s="222">
        <f>L335/L338</f>
        <v>0.0546923055238618</v>
      </c>
      <c r="M333" s="222">
        <f>M335/M338</f>
        <v>0.181736845459349</v>
      </c>
      <c r="N333" s="222">
        <f>N335/N338</f>
        <v>0.0612369537805013</v>
      </c>
      <c r="O333" s="222">
        <f>O335/O338</f>
        <v>0.0682746212461943</v>
      </c>
      <c r="P333" s="222">
        <f>P335/P338</f>
        <v>0.0742573803848768</v>
      </c>
      <c r="Q333" s="222">
        <f>Q335/Q338</f>
        <v>0.0807384059965963</v>
      </c>
      <c r="R333" s="222">
        <f>R335/R338</f>
        <v>0.287016741452324</v>
      </c>
      <c r="S333" s="222">
        <f>S335/S338</f>
        <v>0.0754452709218797</v>
      </c>
      <c r="T333" s="222">
        <f>T335/T338</f>
        <v>0.0721891468771473</v>
      </c>
      <c r="U333" s="222">
        <f>U335/U338</f>
        <v>0.0768237280399224</v>
      </c>
      <c r="V333" s="222">
        <f>V335/V338</f>
        <v>0.0147218458404984</v>
      </c>
      <c r="W333" s="222">
        <f>W335/W338</f>
        <v>0.0970943898639524</v>
      </c>
      <c r="X333" s="222">
        <f>X335/X338</f>
        <v>0.023377714113143</v>
      </c>
      <c r="Y333" s="222">
        <f>Y335/Y338</f>
        <v>-0.0153842092544872</v>
      </c>
      <c r="Z333" s="222">
        <f>Z335/Z338</f>
        <v>0.0410694937518587</v>
      </c>
      <c r="AA333" s="222">
        <f>AA335/AA338</f>
        <v>0.0493843375632051</v>
      </c>
      <c r="AB333" s="222">
        <f>AB335/AB338</f>
        <v>0.102632639457015</v>
      </c>
      <c r="AC333" s="222">
        <f>AC335/AC338</f>
        <v>0.0446752054842861</v>
      </c>
      <c r="AD333" s="222">
        <f>AD335/AD338</f>
        <v>0.0363723393297504</v>
      </c>
      <c r="AE333" s="222">
        <f>AE335/AE338</f>
        <v>0.0714810052339519</v>
      </c>
      <c r="AF333" s="222">
        <f>AF335/AF338</f>
        <v>0.058282494069305</v>
      </c>
      <c r="AG333" s="222">
        <f>AG335/AG338</f>
        <v>0.207068107863422</v>
      </c>
      <c r="AH333" s="222">
        <f>AH335/AH338</f>
        <v>0.0745637093062802</v>
      </c>
      <c r="AI333" s="222">
        <f>AI335/AI338</f>
        <v>0.101163592556502</v>
      </c>
      <c r="AJ333" s="222">
        <f>AJ335/AJ338</f>
        <v>0</v>
      </c>
      <c r="AK333" s="222">
        <f>AK335/AK338</f>
        <v>0</v>
      </c>
      <c r="AL333" s="222">
        <f>AL335/AL338</f>
        <v>0.245660788358843</v>
      </c>
      <c r="AM333" s="222" t="e">
        <f>AM335/AM338</f>
        <v>#DIV/0!</v>
      </c>
      <c r="AN333" s="222">
        <f>AN335/AN338</f>
        <v>0</v>
      </c>
      <c r="AO333" s="222" t="e">
        <f>AO335/AO338</f>
        <v>#DIV/0!</v>
      </c>
      <c r="AP333" s="222" t="e">
        <f>AP335/AP338</f>
        <v>#DIV/0!</v>
      </c>
      <c r="AQ333" s="222" t="e">
        <f>AQ335/AQ338</f>
        <v>#DIV/0!</v>
      </c>
      <c r="AR333" s="222" t="e">
        <f>AR335/AR338</f>
        <v>#DIV/0!</v>
      </c>
      <c r="AS333" s="222" t="e">
        <f>AS335/AS338</f>
        <v>#DIV/0!</v>
      </c>
      <c r="AT333" s="222" t="e">
        <f>AT335/AT338</f>
        <v>#DIV/0!</v>
      </c>
      <c r="AU333" s="222" t="e">
        <f>AU335/AU338</f>
        <v>#DIV/0!</v>
      </c>
      <c r="AV333" s="222" t="e">
        <f>AV335/AV338</f>
        <v>#DIV/0!</v>
      </c>
      <c r="AW333" s="222" t="e">
        <f>AW335/AW338</f>
        <v>#DIV/0!</v>
      </c>
      <c r="AX333" s="222" t="e">
        <f>AX335/AX338</f>
        <v>#DIV/0!</v>
      </c>
      <c r="AY333" s="222" t="e">
        <f>AY335/AY338</f>
        <v>#DIV/0!</v>
      </c>
      <c r="AZ333" s="222" t="e">
        <f>AZ335/AZ338</f>
        <v>#DIV/0!</v>
      </c>
      <c r="BA333" s="222" t="e">
        <f>BA335/BA338</f>
        <v>#DIV/0!</v>
      </c>
      <c r="BB333" s="222" t="e">
        <f>BB335/BB338</f>
        <v>#DIV/0!</v>
      </c>
      <c r="BC333" s="222" t="e">
        <f>BC335/BC338</f>
        <v>#DIV/0!</v>
      </c>
      <c r="BD333" s="222" t="e">
        <f>BD335/BD338</f>
        <v>#DIV/0!</v>
      </c>
      <c r="BE333" s="222" t="e">
        <f>BE335/BE338</f>
        <v>#DIV/0!</v>
      </c>
      <c r="BF333" s="222" t="e">
        <f>BF335/BF338</f>
        <v>#DIV/0!</v>
      </c>
      <c r="BG333" s="222" t="e">
        <f>BG335/BG338</f>
        <v>#DIV/0!</v>
      </c>
      <c r="BH333" s="222" t="e">
        <f>BH335/BH338</f>
        <v>#DIV/0!</v>
      </c>
      <c r="BI333" s="222" t="e">
        <f>BI335/BI338</f>
        <v>#DIV/0!</v>
      </c>
      <c r="BJ333" s="222" t="e">
        <f>BJ335/BJ338</f>
        <v>#DIV/0!</v>
      </c>
      <c r="BK333" s="222" t="e">
        <f>BK335/BK338</f>
        <v>#DIV/0!</v>
      </c>
      <c r="BL333" s="222" t="e">
        <f>BL335/BL338</f>
        <v>#DIV/0!</v>
      </c>
      <c r="BM333" s="222" t="e">
        <f>BM335/BM338</f>
        <v>#DIV/0!</v>
      </c>
      <c r="BN333" s="222" t="e">
        <f>BN335/BN338</f>
        <v>#DIV/0!</v>
      </c>
      <c r="BO333" s="222" t="e">
        <f>BO335/BO338</f>
        <v>#DIV/0!</v>
      </c>
      <c r="BP333" s="222" t="e">
        <f>BP335/BP338</f>
        <v>#DIV/0!</v>
      </c>
      <c r="BQ333" s="222" t="e">
        <f>BQ335/BQ338</f>
        <v>#DIV/0!</v>
      </c>
      <c r="BR333" s="222" t="e">
        <f>BR335/BR338</f>
        <v>#DIV/0!</v>
      </c>
      <c r="BS333" s="222" t="e">
        <f>BS335/BS338</f>
        <v>#DIV/0!</v>
      </c>
      <c r="BT333" s="222" t="e">
        <f>BT335/BT338</f>
        <v>#DIV/0!</v>
      </c>
      <c r="BU333" s="222" t="e">
        <f>BU335/BU338</f>
        <v>#DIV/0!</v>
      </c>
      <c r="BV333" s="222" t="e">
        <f>BV335/BV338</f>
        <v>#DIV/0!</v>
      </c>
      <c r="BW333" s="222" t="e">
        <f>BW335/BW338</f>
        <v>#DIV/0!</v>
      </c>
      <c r="BX333" s="222" t="e">
        <f>BX335/BX338</f>
        <v>#DIV/0!</v>
      </c>
      <c r="BY333" s="222" t="e">
        <f>BY335/BY338</f>
        <v>#DIV/0!</v>
      </c>
      <c r="BZ333" s="222" t="e">
        <f>BZ335/BZ338</f>
        <v>#DIV/0!</v>
      </c>
      <c r="CA333" s="222" t="e">
        <f>CA335/CA338</f>
        <v>#DIV/0!</v>
      </c>
      <c r="CB333" s="222" t="e">
        <f>CB335/CB338</f>
        <v>#DIV/0!</v>
      </c>
      <c r="CC333" s="222" t="e">
        <f>CC335/CC338</f>
        <v>#DIV/0!</v>
      </c>
      <c r="CD333" s="222" t="e">
        <f>CD335/CD338</f>
        <v>#DIV/0!</v>
      </c>
      <c r="CE333" s="222" t="e">
        <f>CE335/CE338</f>
        <v>#DIV/0!</v>
      </c>
      <c r="CF333" s="222" t="e">
        <f>CF335/CF338</f>
        <v>#DIV/0!</v>
      </c>
      <c r="CG333" s="222" t="e">
        <f>CG335/CG338</f>
        <v>#DIV/0!</v>
      </c>
      <c r="CH333" s="222" t="e">
        <f>CH335/CH338</f>
        <v>#DIV/0!</v>
      </c>
      <c r="CI333" s="222" t="e">
        <f>CI335/CI338</f>
        <v>#DIV/0!</v>
      </c>
      <c r="CJ333" s="222" t="e">
        <f>CJ335/CJ338</f>
        <v>#DIV/0!</v>
      </c>
      <c r="CK333" s="222" t="e">
        <f>CK335/CK338</f>
        <v>#DIV/0!</v>
      </c>
      <c r="CL333" s="222" t="e">
        <f>CL335/CL338</f>
        <v>#DIV/0!</v>
      </c>
      <c r="CM333" s="222" t="e">
        <f>CM335/CM338</f>
        <v>#DIV/0!</v>
      </c>
      <c r="CN333" s="222" t="e">
        <f>CN335/CN338</f>
        <v>#DIV/0!</v>
      </c>
      <c r="CO333" s="222" t="e">
        <f>CO335/CO338</f>
        <v>#DIV/0!</v>
      </c>
      <c r="CP333" s="222" t="e">
        <f>CP335/CP338</f>
        <v>#DIV/0!</v>
      </c>
      <c r="CQ333" s="222" t="e">
        <f>CQ335/CQ338</f>
        <v>#DIV/0!</v>
      </c>
      <c r="CR333" s="222" t="e">
        <f>CR335/CR338</f>
        <v>#DIV/0!</v>
      </c>
      <c r="CS333" s="222" t="e">
        <f>CS335/CS338</f>
        <v>#DIV/0!</v>
      </c>
      <c r="CT333" s="222" t="e">
        <f>CT335/CT338</f>
        <v>#DIV/0!</v>
      </c>
      <c r="CU333" s="222" t="e">
        <f>CU335/CU338</f>
        <v>#DIV/0!</v>
      </c>
      <c r="CV333" s="222" t="e">
        <f>CV335/CV338</f>
        <v>#DIV/0!</v>
      </c>
      <c r="CW333" s="222" t="e">
        <f>CW335/CW338</f>
        <v>#DIV/0!</v>
      </c>
      <c r="CX333" s="222" t="e">
        <f>CX335/CX338</f>
        <v>#DIV/0!</v>
      </c>
      <c r="CY333" s="222" t="e">
        <f>CY335/CY338</f>
        <v>#DIV/0!</v>
      </c>
    </row>
    <row r="334" customFormat="1" s="238">
      <c r="A334" s="222" t="n"/>
      <c r="B334" s="222" t="n"/>
      <c r="C334" s="238" t="inlineStr">
        <is>
          <t>RETURN ON CAPITAL (ROIC) - EX GOODWILL</t>
        </is>
      </c>
      <c r="D334" s="238">
        <f>D335/D339</f>
        <v>0.0619596272977922</v>
      </c>
      <c r="E334" s="238">
        <f>E335/E339</f>
        <v>0.0765279542034663</v>
      </c>
      <c r="F334" s="238">
        <f>F335/F339</f>
        <v>0.127858541683199</v>
      </c>
      <c r="G334" s="238">
        <f>G335/G339</f>
        <v>0.141544352822135</v>
      </c>
      <c r="H334" s="238">
        <f>H335/H339</f>
        <v>0.446737786047273</v>
      </c>
      <c r="I334" s="222">
        <f>I335/I339</f>
        <v>0.173620045439413</v>
      </c>
      <c r="J334" s="222">
        <f>J335/J339</f>
        <v>0.225176618256376</v>
      </c>
      <c r="K334" s="222">
        <f>K335/K339</f>
        <v>0.259917541031266</v>
      </c>
      <c r="L334" s="222">
        <f>L335/L339</f>
        <v>0.323818089783408</v>
      </c>
      <c r="M334" s="222">
        <f>M335/M339</f>
        <v>1.07601384831424</v>
      </c>
      <c r="N334" s="222">
        <f>N335/N339</f>
        <v>0.40146566118254</v>
      </c>
      <c r="O334" s="222">
        <f>O335/O339</f>
        <v>0.505280299112632</v>
      </c>
      <c r="P334" s="222">
        <f>P335/P339</f>
        <v>0.597128124347747</v>
      </c>
      <c r="Q334" s="222">
        <f>Q335/Q339</f>
        <v>0.636941981914389</v>
      </c>
      <c r="R334" s="222">
        <f>R335/R339</f>
        <v>2.26426333151735</v>
      </c>
      <c r="S334" s="222">
        <f>S335/S339</f>
        <v>0.610394067213029</v>
      </c>
      <c r="T334" s="222">
        <f>T335/T339</f>
        <v>0.620190956420184</v>
      </c>
      <c r="U334" s="222">
        <f>U335/U339</f>
        <v>0.700746742016989</v>
      </c>
      <c r="V334" s="222">
        <f>V335/V339</f>
        <v>0.053830217915927</v>
      </c>
      <c r="W334" s="222">
        <f>W335/W339</f>
        <v>0.355024242300693</v>
      </c>
      <c r="X334" s="222">
        <f>X335/X339</f>
        <v>0.0864179955126648</v>
      </c>
      <c r="Y334" s="222">
        <f>Y335/Y339</f>
        <v>-0.0695752732229749</v>
      </c>
      <c r="Z334" s="222">
        <f>Z335/Z339</f>
        <v>0.184508617399422</v>
      </c>
      <c r="AA334" s="222">
        <f>AA335/AA339</f>
        <v>0.214964827513477</v>
      </c>
      <c r="AB334" s="222">
        <f>AB335/AB339</f>
        <v>0.44674908537334</v>
      </c>
      <c r="AC334" s="222">
        <f>AC335/AC339</f>
        <v>0.192310947047681</v>
      </c>
      <c r="AD334" s="222">
        <f>AD335/AD339</f>
        <v>0.159091184287453</v>
      </c>
      <c r="AE334" s="222">
        <f>AE335/AE339</f>
        <v>0.286924124987588</v>
      </c>
      <c r="AF334" s="222">
        <f>AF335/AF339</f>
        <v>0.226159215588775</v>
      </c>
      <c r="AG334" s="222">
        <f>AG335/AG339</f>
        <v>0.803506466146704</v>
      </c>
      <c r="AH334" s="222">
        <f>AH335/AH339</f>
        <v>0.281916927591233</v>
      </c>
      <c r="AI334" s="222">
        <f>AI335/AI339</f>
        <v>0.366181151167339</v>
      </c>
      <c r="AJ334" s="222">
        <f>AJ335/AJ339</f>
        <v>0</v>
      </c>
      <c r="AK334" s="222">
        <f>AK335/AK339</f>
        <v>0</v>
      </c>
      <c r="AL334" s="222">
        <f>AL335/AL339</f>
        <v>-13.7554293994519</v>
      </c>
      <c r="AM334" s="222" t="e">
        <f>AM335/AM339</f>
        <v>#DIV/0!</v>
      </c>
      <c r="AN334" s="222">
        <f>AN335/AN339</f>
        <v>0</v>
      </c>
      <c r="AO334" s="222" t="e">
        <f>AO335/AO339</f>
        <v>#DIV/0!</v>
      </c>
      <c r="AP334" s="222" t="e">
        <f>AP335/AP339</f>
        <v>#DIV/0!</v>
      </c>
      <c r="AQ334" s="222" t="e">
        <f>AQ335/AQ339</f>
        <v>#DIV/0!</v>
      </c>
      <c r="AR334" s="222" t="e">
        <f>AR335/AR339</f>
        <v>#DIV/0!</v>
      </c>
      <c r="AS334" s="222" t="e">
        <f>AS335/AS339</f>
        <v>#DIV/0!</v>
      </c>
      <c r="AT334" s="222" t="e">
        <f>AT335/AT339</f>
        <v>#DIV/0!</v>
      </c>
      <c r="AU334" s="222" t="e">
        <f>AU335/AU339</f>
        <v>#DIV/0!</v>
      </c>
      <c r="AV334" s="222" t="e">
        <f>AV335/AV339</f>
        <v>#DIV/0!</v>
      </c>
      <c r="AW334" s="222" t="e">
        <f>AW335/AW339</f>
        <v>#DIV/0!</v>
      </c>
      <c r="AX334" s="222" t="e">
        <f>AX335/AX339</f>
        <v>#DIV/0!</v>
      </c>
      <c r="AY334" s="222" t="e">
        <f>AY335/AY339</f>
        <v>#DIV/0!</v>
      </c>
      <c r="AZ334" s="222" t="e">
        <f>AZ335/AZ339</f>
        <v>#DIV/0!</v>
      </c>
      <c r="BA334" s="222" t="e">
        <f>BA335/BA339</f>
        <v>#DIV/0!</v>
      </c>
      <c r="BB334" s="222" t="e">
        <f>BB335/BB339</f>
        <v>#DIV/0!</v>
      </c>
      <c r="BC334" s="222" t="e">
        <f>BC335/BC339</f>
        <v>#DIV/0!</v>
      </c>
      <c r="BD334" s="222" t="e">
        <f>BD335/BD339</f>
        <v>#DIV/0!</v>
      </c>
      <c r="BE334" s="222" t="e">
        <f>BE335/BE339</f>
        <v>#DIV/0!</v>
      </c>
      <c r="BF334" s="222" t="e">
        <f>BF335/BF339</f>
        <v>#DIV/0!</v>
      </c>
      <c r="BG334" s="222" t="e">
        <f>BG335/BG339</f>
        <v>#DIV/0!</v>
      </c>
      <c r="BH334" s="222" t="e">
        <f>BH335/BH339</f>
        <v>#DIV/0!</v>
      </c>
      <c r="BI334" s="222" t="e">
        <f>BI335/BI339</f>
        <v>#DIV/0!</v>
      </c>
      <c r="BJ334" s="222" t="e">
        <f>BJ335/BJ339</f>
        <v>#DIV/0!</v>
      </c>
      <c r="BK334" s="222" t="e">
        <f>BK335/BK339</f>
        <v>#DIV/0!</v>
      </c>
      <c r="BL334" s="222" t="e">
        <f>BL335/BL339</f>
        <v>#DIV/0!</v>
      </c>
      <c r="BM334" s="222" t="e">
        <f>BM335/BM339</f>
        <v>#DIV/0!</v>
      </c>
      <c r="BN334" s="222" t="e">
        <f>BN335/BN339</f>
        <v>#DIV/0!</v>
      </c>
      <c r="BO334" s="222" t="e">
        <f>BO335/BO339</f>
        <v>#DIV/0!</v>
      </c>
      <c r="BP334" s="222" t="e">
        <f>BP335/BP339</f>
        <v>#DIV/0!</v>
      </c>
      <c r="BQ334" s="222" t="e">
        <f>BQ335/BQ339</f>
        <v>#DIV/0!</v>
      </c>
      <c r="BR334" s="222" t="e">
        <f>BR335/BR339</f>
        <v>#DIV/0!</v>
      </c>
      <c r="BS334" s="222" t="e">
        <f>BS335/BS339</f>
        <v>#DIV/0!</v>
      </c>
      <c r="BT334" s="222" t="e">
        <f>BT335/BT339</f>
        <v>#DIV/0!</v>
      </c>
      <c r="BU334" s="222" t="e">
        <f>BU335/BU339</f>
        <v>#DIV/0!</v>
      </c>
      <c r="BV334" s="222" t="e">
        <f>BV335/BV339</f>
        <v>#DIV/0!</v>
      </c>
      <c r="BW334" s="222" t="e">
        <f>BW335/BW339</f>
        <v>#DIV/0!</v>
      </c>
      <c r="BX334" s="222" t="e">
        <f>BX335/BX339</f>
        <v>#DIV/0!</v>
      </c>
      <c r="BY334" s="222" t="e">
        <f>BY335/BY339</f>
        <v>#DIV/0!</v>
      </c>
      <c r="BZ334" s="222" t="e">
        <f>BZ335/BZ339</f>
        <v>#DIV/0!</v>
      </c>
      <c r="CA334" s="222" t="e">
        <f>CA335/CA339</f>
        <v>#DIV/0!</v>
      </c>
      <c r="CB334" s="222" t="e">
        <f>CB335/CB339</f>
        <v>#DIV/0!</v>
      </c>
      <c r="CC334" s="222" t="e">
        <f>CC335/CC339</f>
        <v>#DIV/0!</v>
      </c>
      <c r="CD334" s="222" t="e">
        <f>CD335/CD339</f>
        <v>#DIV/0!</v>
      </c>
      <c r="CE334" s="222" t="e">
        <f>CE335/CE339</f>
        <v>#DIV/0!</v>
      </c>
      <c r="CF334" s="222" t="e">
        <f>CF335/CF339</f>
        <v>#DIV/0!</v>
      </c>
      <c r="CG334" s="222" t="e">
        <f>CG335/CG339</f>
        <v>#DIV/0!</v>
      </c>
      <c r="CH334" s="222" t="e">
        <f>CH335/CH339</f>
        <v>#DIV/0!</v>
      </c>
      <c r="CI334" s="222" t="e">
        <f>CI335/CI339</f>
        <v>#DIV/0!</v>
      </c>
      <c r="CJ334" s="222" t="e">
        <f>CJ335/CJ339</f>
        <v>#DIV/0!</v>
      </c>
      <c r="CK334" s="222" t="e">
        <f>CK335/CK339</f>
        <v>#DIV/0!</v>
      </c>
      <c r="CL334" s="222" t="e">
        <f>CL335/CL339</f>
        <v>#DIV/0!</v>
      </c>
      <c r="CM334" s="222" t="e">
        <f>CM335/CM339</f>
        <v>#DIV/0!</v>
      </c>
      <c r="CN334" s="222" t="e">
        <f>CN335/CN339</f>
        <v>#DIV/0!</v>
      </c>
      <c r="CO334" s="222" t="e">
        <f>CO335/CO339</f>
        <v>#DIV/0!</v>
      </c>
      <c r="CP334" s="222" t="e">
        <f>CP335/CP339</f>
        <v>#DIV/0!</v>
      </c>
      <c r="CQ334" s="222" t="e">
        <f>CQ335/CQ339</f>
        <v>#DIV/0!</v>
      </c>
      <c r="CR334" s="222" t="e">
        <f>CR335/CR339</f>
        <v>#DIV/0!</v>
      </c>
      <c r="CS334" s="222" t="e">
        <f>CS335/CS339</f>
        <v>#DIV/0!</v>
      </c>
      <c r="CT334" s="222" t="e">
        <f>CT335/CT339</f>
        <v>#DIV/0!</v>
      </c>
      <c r="CU334" s="222" t="e">
        <f>CU335/CU339</f>
        <v>#DIV/0!</v>
      </c>
      <c r="CV334" s="222" t="e">
        <f>CV335/CV339</f>
        <v>#DIV/0!</v>
      </c>
      <c r="CW334" s="222" t="e">
        <f>CW335/CW339</f>
        <v>#DIV/0!</v>
      </c>
      <c r="CX334" s="222" t="e">
        <f>CX335/CX339</f>
        <v>#DIV/0!</v>
      </c>
      <c r="CY334" s="222" t="e">
        <f>CY335/CY339</f>
        <v>#DIV/0!</v>
      </c>
    </row>
    <row r="335" customFormat="1" s="233">
      <c r="A335" s="224" t="n"/>
      <c r="B335" s="224" t="n"/>
      <c r="C335" s="233" t="inlineStr">
        <is>
          <t>NOPLAT</t>
        </is>
      </c>
      <c r="D335" s="233">
        <f>D336*(1-D337)</f>
        <v>1063.78484107579</v>
      </c>
      <c r="E335" s="233">
        <f>E336*(1-E337)</f>
        <v>1171.18381112985</v>
      </c>
      <c r="F335" s="233">
        <f>F336*(1-F337)</f>
        <v>1776.9780123131</v>
      </c>
      <c r="G335" s="233">
        <f>G336*(1-G337)</f>
        <v>1829.03612716763</v>
      </c>
      <c r="H335" s="233">
        <f>H336*(1-H337)</f>
        <v>5772.74567130287</v>
      </c>
      <c r="I335" s="223">
        <f>I336*(1-I337)</f>
        <v>1984.30349932705</v>
      </c>
      <c r="J335" s="224">
        <f>J336*(1-J337)</f>
        <v>2310.76245654693</v>
      </c>
      <c r="K335" s="224">
        <f>K336*(1-K337)</f>
        <v>2366.80912863071</v>
      </c>
      <c r="L335" s="224">
        <f>L336*(1-L337)</f>
        <v>2859.3137327875</v>
      </c>
      <c r="M335" s="224">
        <f>M336*(1-M337)</f>
        <v>9501.20228061477</v>
      </c>
      <c r="N335" s="223">
        <f>N336*(1-N337)</f>
        <v>3150.70250896057</v>
      </c>
      <c r="O335" s="224">
        <f>O336*(1-O337)</f>
        <v>3442.47467785436</v>
      </c>
      <c r="P335" s="224">
        <f>P336*(1-P337)</f>
        <v>3698.61160220995</v>
      </c>
      <c r="Q335" s="224">
        <f>Q336*(1-Q337)</f>
        <v>4032.4796875</v>
      </c>
      <c r="R335" s="224">
        <f>R336*(1-R337)</f>
        <v>14335.0511518363</v>
      </c>
      <c r="S335" s="223">
        <f>S336*(1-S337)</f>
        <v>3754.53390742734</v>
      </c>
      <c r="T335" s="224">
        <f>T336*(1-T337)</f>
        <v>3563.61723559038</v>
      </c>
      <c r="U335" s="224">
        <f>U336*(1-U337)</f>
        <v>3766.51373834132</v>
      </c>
      <c r="V335" s="224">
        <f>V336*(1-V337)</f>
        <v>1977.45305514158</v>
      </c>
      <c r="W335" s="224">
        <f>W336*(1-W337)</f>
        <v>13041.8155409159</v>
      </c>
      <c r="X335" s="223">
        <f>X336*(1-X337)</f>
        <v>3136.54114713217</v>
      </c>
      <c r="Y335" s="224">
        <f>Y336*(1-Y337)</f>
        <v>-1933.14896650036</v>
      </c>
      <c r="Z335" s="224">
        <f>Z336*(1-Z337)</f>
        <v>5170.484985384</v>
      </c>
      <c r="AA335" s="224">
        <f>AA336*(1-AA337)</f>
        <v>6274.8233151184</v>
      </c>
      <c r="AB335" s="224">
        <f>AB336*(1-AB337)</f>
        <v>13040.6058020478</v>
      </c>
      <c r="AC335" s="223">
        <f>AC336*(1-AC337)</f>
        <v>5691.44247787611</v>
      </c>
      <c r="AD335" s="224">
        <f>AD336*(1-AD337)</f>
        <v>4611.5761589404</v>
      </c>
      <c r="AE335" s="224">
        <f>AE336*(1-AE337)</f>
        <v>9310.40093172223</v>
      </c>
      <c r="AF335" s="224">
        <f>AF336*(1-AF337)</f>
        <v>7679.01000610128</v>
      </c>
      <c r="AG335" s="224">
        <f>AG336*(1-AG337)</f>
        <v>27282.2585515452</v>
      </c>
      <c r="AH335" s="223">
        <f>AH336*(1-AH337)</f>
        <v>9914.73642645607</v>
      </c>
      <c r="AI335" s="224">
        <f>AI336*(1-AI337)</f>
        <v>13670.6409165303</v>
      </c>
      <c r="AJ335" s="224">
        <f>AJ336*(1-AJ337)</f>
        <v>0</v>
      </c>
      <c r="AK335" s="224">
        <f>AK336*(1-AK337)</f>
        <v>0</v>
      </c>
      <c r="AL335" s="224">
        <f>AL336*(1-AL337)</f>
        <v>23604.3168494594</v>
      </c>
      <c r="AM335" s="223">
        <f>AM336*(1-AM337)</f>
        <v>0</v>
      </c>
      <c r="AN335" s="224">
        <f>AN336*(1-AN337)</f>
        <v>0</v>
      </c>
      <c r="AO335" s="224">
        <f>AO336*(1-AO337)</f>
        <v>0</v>
      </c>
      <c r="AP335" s="224">
        <f>AP336*(1-AP337)</f>
        <v>0</v>
      </c>
      <c r="AQ335" s="224">
        <f>AQ336*(1-AQ337)</f>
        <v>0</v>
      </c>
      <c r="AR335" s="223">
        <f>AR336*(1-AR337)</f>
        <v>0</v>
      </c>
      <c r="AS335" s="224">
        <f>AS336*(1-AS337)</f>
        <v>0</v>
      </c>
      <c r="AT335" s="224">
        <f>AT336*(1-AT337)</f>
        <v>0</v>
      </c>
      <c r="AU335" s="224">
        <f>AU336*(1-AU337)</f>
        <v>0</v>
      </c>
      <c r="AV335" s="224">
        <f>AV336*(1-AV337)</f>
        <v>0</v>
      </c>
      <c r="AW335" s="223">
        <f>AW336*(1-AW337)</f>
        <v>0</v>
      </c>
      <c r="AX335" s="224">
        <f>AX336*(1-AX337)</f>
        <v>0</v>
      </c>
      <c r="AY335" s="224">
        <f>AY336*(1-AY337)</f>
        <v>0</v>
      </c>
      <c r="AZ335" s="224">
        <f>AZ336*(1-AZ337)</f>
        <v>0</v>
      </c>
      <c r="BA335" s="224">
        <f>BA336*(1-BA337)</f>
        <v>0</v>
      </c>
      <c r="BB335" s="223">
        <f>BB336*(1-BB337)</f>
        <v>0</v>
      </c>
      <c r="BC335" s="224">
        <f>BC336*(1-BC337)</f>
        <v>0</v>
      </c>
      <c r="BD335" s="224">
        <f>BD336*(1-BD337)</f>
        <v>0</v>
      </c>
      <c r="BE335" s="224">
        <f>BE336*(1-BE337)</f>
        <v>0</v>
      </c>
      <c r="BF335" s="224">
        <f>BF336*(1-BF337)</f>
        <v>0</v>
      </c>
      <c r="BG335" s="223">
        <f>BG336*(1-BG337)</f>
        <v>0</v>
      </c>
      <c r="BH335" s="224">
        <f>BH336*(1-BH337)</f>
        <v>0</v>
      </c>
      <c r="BI335" s="224">
        <f>BI336*(1-BI337)</f>
        <v>0</v>
      </c>
      <c r="BJ335" s="224">
        <f>BJ336*(1-BJ337)</f>
        <v>0</v>
      </c>
      <c r="BK335" s="224">
        <f>BK336*(1-BK337)</f>
        <v>0</v>
      </c>
      <c r="BL335" s="223">
        <f>BL336*(1-BL337)</f>
        <v>0</v>
      </c>
      <c r="BM335" s="224">
        <f>BM336*(1-BM337)</f>
        <v>0</v>
      </c>
      <c r="BN335" s="224">
        <f>BN336*(1-BN337)</f>
        <v>0</v>
      </c>
      <c r="BO335" s="224">
        <f>BO336*(1-BO337)</f>
        <v>0</v>
      </c>
      <c r="BP335" s="224">
        <f>BP336*(1-BP337)</f>
        <v>0</v>
      </c>
      <c r="BQ335" s="223">
        <f>BQ336*(1-BQ337)</f>
        <v>0</v>
      </c>
      <c r="BR335" s="224">
        <f>BR336*(1-BR337)</f>
        <v>0</v>
      </c>
      <c r="BS335" s="224">
        <f>BS336*(1-BS337)</f>
        <v>0</v>
      </c>
      <c r="BT335" s="224">
        <f>BT336*(1-BT337)</f>
        <v>0</v>
      </c>
      <c r="BU335" s="224">
        <f>BU336*(1-BU337)</f>
        <v>0</v>
      </c>
      <c r="BV335" s="223">
        <f>BV336*(1-BV337)</f>
        <v>0</v>
      </c>
      <c r="BW335" s="224">
        <f>BW336*(1-BW337)</f>
        <v>0</v>
      </c>
      <c r="BX335" s="224">
        <f>BX336*(1-BX337)</f>
        <v>0</v>
      </c>
      <c r="BY335" s="224">
        <f>BY336*(1-BY337)</f>
        <v>0</v>
      </c>
      <c r="BZ335" s="224">
        <f>BZ336*(1-BZ337)</f>
        <v>0</v>
      </c>
      <c r="CA335" s="223">
        <f>CA336*(1-CA337)</f>
        <v>0</v>
      </c>
      <c r="CB335" s="224">
        <f>CB336*(1-CB337)</f>
        <v>0</v>
      </c>
      <c r="CC335" s="224">
        <f>CC336*(1-CC337)</f>
        <v>0</v>
      </c>
      <c r="CD335" s="224">
        <f>CD336*(1-CD337)</f>
        <v>0</v>
      </c>
      <c r="CE335" s="224">
        <f>CE336*(1-CE337)</f>
        <v>0</v>
      </c>
      <c r="CF335" s="223">
        <f>CF336*(1-CF337)</f>
        <v>0</v>
      </c>
      <c r="CG335" s="224">
        <f>CG336*(1-CG337)</f>
        <v>0</v>
      </c>
      <c r="CH335" s="224">
        <f>CH336*(1-CH337)</f>
        <v>0</v>
      </c>
      <c r="CI335" s="224">
        <f>CI336*(1-CI337)</f>
        <v>0</v>
      </c>
      <c r="CJ335" s="224">
        <f>CJ336*(1-CJ337)</f>
        <v>0</v>
      </c>
      <c r="CK335" s="223">
        <f>CK336*(1-CK337)</f>
        <v>0</v>
      </c>
      <c r="CL335" s="224">
        <f>CL336*(1-CL337)</f>
        <v>0</v>
      </c>
      <c r="CM335" s="224">
        <f>CM336*(1-CM337)</f>
        <v>0</v>
      </c>
      <c r="CN335" s="224">
        <f>CN336*(1-CN337)</f>
        <v>0</v>
      </c>
      <c r="CO335" s="224">
        <f>CO336*(1-CO337)</f>
        <v>0</v>
      </c>
      <c r="CP335" s="223">
        <f>CP336*(1-CP337)</f>
        <v>0</v>
      </c>
      <c r="CQ335" s="224">
        <f>CQ336*(1-CQ337)</f>
        <v>0</v>
      </c>
      <c r="CR335" s="224">
        <f>CR336*(1-CR337)</f>
        <v>0</v>
      </c>
      <c r="CS335" s="224">
        <f>CS336*(1-CS337)</f>
        <v>0</v>
      </c>
      <c r="CT335" s="224">
        <f>CT336*(1-CT337)</f>
        <v>0</v>
      </c>
      <c r="CU335" s="223">
        <f>CU336*(1-CU337)</f>
        <v>0</v>
      </c>
      <c r="CV335" s="224">
        <f>CV336*(1-CV337)</f>
        <v>0</v>
      </c>
      <c r="CW335" s="224">
        <f>CW336*(1-CW337)</f>
        <v>0</v>
      </c>
      <c r="CX335" s="224">
        <f>CX336*(1-CX337)</f>
        <v>0</v>
      </c>
      <c r="CY335" s="224">
        <f>CY336*(1-CY337)</f>
        <v>0</v>
      </c>
    </row>
    <row r="336" customFormat="1" s="233">
      <c r="A336" s="224" t="n"/>
      <c r="B336" s="224" t="n"/>
      <c r="C336" s="233" t="inlineStr">
        <is>
          <t>EBIT</t>
        </is>
      </c>
      <c r="D336" s="239">
        <f>D61</f>
        <v>766</v>
      </c>
      <c r="E336" s="239">
        <f>E61</f>
        <v>1008</v>
      </c>
      <c r="F336" s="239">
        <f>F61</f>
        <v>1526</v>
      </c>
      <c r="G336" s="239">
        <f>G61</f>
        <v>1837</v>
      </c>
      <c r="H336" s="239">
        <f>H61</f>
        <v>5137</v>
      </c>
      <c r="I336" s="36">
        <f>I61</f>
        <v>1975</v>
      </c>
      <c r="J336" s="36">
        <f>J61</f>
        <v>2126</v>
      </c>
      <c r="K336" s="36">
        <f>K61</f>
        <v>2581</v>
      </c>
      <c r="L336" s="36">
        <f>L61</f>
        <v>3108</v>
      </c>
      <c r="M336" s="36">
        <f>M61</f>
        <v>9790</v>
      </c>
      <c r="N336" s="36">
        <f>N61</f>
        <v>3394</v>
      </c>
      <c r="O336" s="36">
        <f>O61</f>
        <v>3737</v>
      </c>
      <c r="P336" s="36">
        <f>P61</f>
        <v>3986</v>
      </c>
      <c r="Q336" s="36">
        <f>Q61</f>
        <v>4103</v>
      </c>
      <c r="R336" s="36">
        <f>R61</f>
        <v>15220</v>
      </c>
      <c r="S336" s="36">
        <f>S61</f>
        <v>4008</v>
      </c>
      <c r="T336" s="36">
        <f>T61</f>
        <v>3856</v>
      </c>
      <c r="U336" s="36">
        <f>U61</f>
        <v>4240</v>
      </c>
      <c r="V336" s="36">
        <f>V61</f>
        <v>2083</v>
      </c>
      <c r="W336" s="36">
        <f>W61</f>
        <v>14187</v>
      </c>
      <c r="X336" s="36">
        <f>X61</f>
        <v>2965</v>
      </c>
      <c r="Y336" s="36">
        <f>Y61</f>
        <v>3788</v>
      </c>
      <c r="Z336" s="36">
        <f>Z61</f>
        <v>4627</v>
      </c>
      <c r="AA336" s="36">
        <f>AA61</f>
        <v>6260</v>
      </c>
      <c r="AB336" s="36">
        <f>AB61</f>
        <v>17640</v>
      </c>
      <c r="AC336" s="36">
        <f>AC61</f>
        <v>5829</v>
      </c>
      <c r="AD336" s="36">
        <f>AD61</f>
        <v>5887</v>
      </c>
      <c r="AE336" s="36">
        <f>AE61</f>
        <v>7508</v>
      </c>
      <c r="AF336" s="36">
        <f>AF61</f>
        <v>8563</v>
      </c>
      <c r="AG336" s="36">
        <f>AG61</f>
        <v>27787</v>
      </c>
      <c r="AH336" s="36">
        <f>AH61</f>
        <v>10788</v>
      </c>
      <c r="AI336" s="36">
        <f>AI61</f>
        <v>15955</v>
      </c>
      <c r="AJ336" s="36">
        <f>AJ61</f>
        <v>0</v>
      </c>
      <c r="AK336" s="36">
        <f>AK61</f>
        <v>0</v>
      </c>
      <c r="AL336" s="36">
        <f>AL61</f>
        <v>26743</v>
      </c>
      <c r="AM336" s="36">
        <f>AM61</f>
        <v>0</v>
      </c>
      <c r="AN336" s="36">
        <f>AN61</f>
        <v>0</v>
      </c>
      <c r="AO336" s="36">
        <f>AO61</f>
        <v>0</v>
      </c>
      <c r="AP336" s="36">
        <f>AP61</f>
        <v>0</v>
      </c>
      <c r="AQ336" s="36">
        <f>AQ61</f>
        <v>0</v>
      </c>
      <c r="AR336" s="36">
        <f>AR61</f>
        <v>0</v>
      </c>
      <c r="AS336" s="36">
        <f>AS61</f>
        <v>0</v>
      </c>
      <c r="AT336" s="36">
        <f>AT61</f>
        <v>0</v>
      </c>
      <c r="AU336" s="36">
        <f>AU61</f>
        <v>0</v>
      </c>
      <c r="AV336" s="36">
        <f>AV61</f>
        <v>0</v>
      </c>
      <c r="AW336" s="36">
        <f>AW61</f>
        <v>0</v>
      </c>
      <c r="AX336" s="36">
        <f>AX61</f>
        <v>0</v>
      </c>
      <c r="AY336" s="36">
        <f>AY61</f>
        <v>0</v>
      </c>
      <c r="AZ336" s="36">
        <f>AZ61</f>
        <v>0</v>
      </c>
      <c r="BA336" s="36">
        <f>BA61</f>
        <v>0</v>
      </c>
      <c r="BB336" s="36">
        <f>BB61</f>
        <v>0</v>
      </c>
      <c r="BC336" s="36">
        <f>BC61</f>
        <v>0</v>
      </c>
      <c r="BD336" s="36">
        <f>BD61</f>
        <v>0</v>
      </c>
      <c r="BE336" s="36">
        <f>BE61</f>
        <v>0</v>
      </c>
      <c r="BF336" s="36">
        <f>BF61</f>
        <v>0</v>
      </c>
      <c r="BG336" s="36">
        <f>BG61</f>
        <v>0</v>
      </c>
      <c r="BH336" s="36">
        <f>BH61</f>
        <v>0</v>
      </c>
      <c r="BI336" s="36">
        <f>BI61</f>
        <v>0</v>
      </c>
      <c r="BJ336" s="36">
        <f>BJ61</f>
        <v>0</v>
      </c>
      <c r="BK336" s="36">
        <f>BK61</f>
        <v>0</v>
      </c>
      <c r="BL336" s="36">
        <f>BL61</f>
        <v>0</v>
      </c>
      <c r="BM336" s="36">
        <f>BM61</f>
        <v>0</v>
      </c>
      <c r="BN336" s="36">
        <f>BN61</f>
        <v>0</v>
      </c>
      <c r="BO336" s="36">
        <f>BO61</f>
        <v>0</v>
      </c>
      <c r="BP336" s="36">
        <f>BP61</f>
        <v>0</v>
      </c>
      <c r="BQ336" s="36">
        <f>BQ61</f>
        <v>0</v>
      </c>
      <c r="BR336" s="36">
        <f>BR61</f>
        <v>0</v>
      </c>
      <c r="BS336" s="36">
        <f>BS61</f>
        <v>0</v>
      </c>
      <c r="BT336" s="36">
        <f>BT61</f>
        <v>0</v>
      </c>
      <c r="BU336" s="36">
        <f>BU61</f>
        <v>0</v>
      </c>
      <c r="BV336" s="36">
        <f>BV61</f>
        <v>0</v>
      </c>
      <c r="BW336" s="36">
        <f>BW61</f>
        <v>0</v>
      </c>
      <c r="BX336" s="36">
        <f>BX61</f>
        <v>0</v>
      </c>
      <c r="BY336" s="36">
        <f>BY61</f>
        <v>0</v>
      </c>
      <c r="BZ336" s="36">
        <f>BZ61</f>
        <v>0</v>
      </c>
      <c r="CA336" s="36">
        <f>CA61</f>
        <v>0</v>
      </c>
      <c r="CB336" s="36">
        <f>CB61</f>
        <v>0</v>
      </c>
      <c r="CC336" s="36">
        <f>CC61</f>
        <v>0</v>
      </c>
      <c r="CD336" s="36">
        <f>CD61</f>
        <v>0</v>
      </c>
      <c r="CE336" s="36">
        <f>CE61</f>
        <v>0</v>
      </c>
      <c r="CF336" s="36">
        <f>CF61</f>
        <v>0</v>
      </c>
      <c r="CG336" s="36">
        <f>CG61</f>
        <v>0</v>
      </c>
      <c r="CH336" s="36">
        <f>CH61</f>
        <v>0</v>
      </c>
      <c r="CI336" s="36">
        <f>CI61</f>
        <v>0</v>
      </c>
      <c r="CJ336" s="36">
        <f>CJ61</f>
        <v>0</v>
      </c>
      <c r="CK336" s="36">
        <f>CK61</f>
        <v>0</v>
      </c>
      <c r="CL336" s="36">
        <f>CL61</f>
        <v>0</v>
      </c>
      <c r="CM336" s="36">
        <f>CM61</f>
        <v>0</v>
      </c>
      <c r="CN336" s="36">
        <f>CN61</f>
        <v>0</v>
      </c>
      <c r="CO336" s="36">
        <f>CO61</f>
        <v>0</v>
      </c>
      <c r="CP336" s="36">
        <f>CP61</f>
        <v>0</v>
      </c>
      <c r="CQ336" s="36">
        <f>CQ61</f>
        <v>0</v>
      </c>
      <c r="CR336" s="36">
        <f>CR61</f>
        <v>0</v>
      </c>
      <c r="CS336" s="36">
        <f>CS61</f>
        <v>0</v>
      </c>
      <c r="CT336" s="36">
        <f>CT61</f>
        <v>0</v>
      </c>
      <c r="CU336" s="36">
        <f>CU61</f>
        <v>0</v>
      </c>
      <c r="CV336" s="36">
        <f>CV61</f>
        <v>0</v>
      </c>
      <c r="CW336" s="36">
        <f>CW61</f>
        <v>0</v>
      </c>
      <c r="CX336" s="36">
        <f>CX61</f>
        <v>0</v>
      </c>
      <c r="CY336" s="36">
        <f>CY61</f>
        <v>0</v>
      </c>
    </row>
    <row r="337" customFormat="1" s="233">
      <c r="A337" s="224" t="n"/>
      <c r="B337" s="224" t="n"/>
      <c r="C337" s="233" t="inlineStr">
        <is>
          <t>ETR</t>
        </is>
      </c>
      <c r="D337" s="240">
        <f>D120</f>
        <v>-0.388753056234719</v>
      </c>
      <c r="E337" s="240">
        <f>E120</f>
        <v>-0.161888701517707</v>
      </c>
      <c r="F337" s="240">
        <f>F120</f>
        <v>-0.164467897977133</v>
      </c>
      <c r="G337" s="240">
        <f>G120</f>
        <v>0.00433526011560694</v>
      </c>
      <c r="H337" s="240">
        <f>H120</f>
        <v>-0.12375816065853</v>
      </c>
      <c r="I337" s="225">
        <f>I120</f>
        <v>-0.00471063257065949</v>
      </c>
      <c r="J337" s="225">
        <f>J120</f>
        <v>-0.0869061413673233</v>
      </c>
      <c r="K337" s="225">
        <f>K120</f>
        <v>0.0829875518672199</v>
      </c>
      <c r="L337" s="225">
        <f>L120</f>
        <v>0.0800148864905099</v>
      </c>
      <c r="M337" s="225">
        <f>M120</f>
        <v>0.0294992563212692</v>
      </c>
      <c r="N337" s="225">
        <f>N120</f>
        <v>0.0716845878136201</v>
      </c>
      <c r="O337" s="225">
        <f>O120</f>
        <v>0.0788133053640995</v>
      </c>
      <c r="P337" s="225">
        <f>P120</f>
        <v>0.0720994475138122</v>
      </c>
      <c r="Q337" s="225">
        <f>Q120</f>
        <v>0.0171875</v>
      </c>
      <c r="R337" s="225">
        <f>R120</f>
        <v>0.0581438139397954</v>
      </c>
      <c r="S337" s="225">
        <f>S120</f>
        <v>0.0632400430570506</v>
      </c>
      <c r="T337" s="225">
        <f>T120</f>
        <v>0.0758254057078903</v>
      </c>
      <c r="U337" s="225">
        <f>U120</f>
        <v>0.111671288127048</v>
      </c>
      <c r="V337" s="225">
        <f>V120</f>
        <v>0.0506706408345753</v>
      </c>
      <c r="W337" s="225">
        <f>W120</f>
        <v>0.0807206921184221</v>
      </c>
      <c r="X337" s="225">
        <f>X120</f>
        <v>-0.05785536159601</v>
      </c>
      <c r="Y337" s="225">
        <f>Y120</f>
        <v>1.51033499643621</v>
      </c>
      <c r="Z337" s="225">
        <f>Z120</f>
        <v>-0.117459473824077</v>
      </c>
      <c r="AA337" s="225">
        <f>AA120</f>
        <v>-0.00236794171220401</v>
      </c>
      <c r="AB337" s="225">
        <f>AB120</f>
        <v>0.260736632536974</v>
      </c>
      <c r="AC337" s="225">
        <f>AC120</f>
        <v>0.0235988200589971</v>
      </c>
      <c r="AD337" s="225">
        <f>AD120</f>
        <v>0.216650898770104</v>
      </c>
      <c r="AE337" s="225">
        <f>AE120</f>
        <v>-0.240064055903334</v>
      </c>
      <c r="AF337" s="225">
        <f>AF120</f>
        <v>0.103233679072605</v>
      </c>
      <c r="AG337" s="225">
        <f>AG120</f>
        <v>0.0181646614767634</v>
      </c>
      <c r="AH337" s="225">
        <f>AH120</f>
        <v>0.0809476801579467</v>
      </c>
      <c r="AI337" s="225">
        <f>AI120</f>
        <v>0.143175122749591</v>
      </c>
      <c r="AJ337" s="225">
        <f>AJ120</f>
        <v>0</v>
      </c>
      <c r="AK337" s="225">
        <f>AK120</f>
        <v>0</v>
      </c>
      <c r="AL337" s="225">
        <f>AL120</f>
        <v>0.117364661800866</v>
      </c>
      <c r="AM337" s="225">
        <f>AM120</f>
        <v>0</v>
      </c>
      <c r="AN337" s="225">
        <f>AN120</f>
        <v>0</v>
      </c>
      <c r="AO337" s="225">
        <f>AO120</f>
        <v>0</v>
      </c>
      <c r="AP337" s="225">
        <f>AP120</f>
        <v>0</v>
      </c>
      <c r="AQ337" s="225">
        <f>AQ120</f>
        <v>0</v>
      </c>
      <c r="AR337" s="225">
        <f>AR120</f>
        <v>0</v>
      </c>
      <c r="AS337" s="225">
        <f>AS120</f>
        <v>0</v>
      </c>
      <c r="AT337" s="225">
        <f>AT120</f>
        <v>0</v>
      </c>
      <c r="AU337" s="225">
        <f>AU120</f>
        <v>0</v>
      </c>
      <c r="AV337" s="225">
        <f>AV120</f>
        <v>0</v>
      </c>
      <c r="AW337" s="225">
        <f>AW120</f>
        <v>0</v>
      </c>
      <c r="AX337" s="225">
        <f>AX120</f>
        <v>0</v>
      </c>
      <c r="AY337" s="225">
        <f>AY120</f>
        <v>0</v>
      </c>
      <c r="AZ337" s="225">
        <f>AZ120</f>
        <v>0</v>
      </c>
      <c r="BA337" s="225">
        <f>BA120</f>
        <v>0</v>
      </c>
      <c r="BB337" s="225">
        <f>BB120</f>
        <v>0</v>
      </c>
      <c r="BC337" s="225">
        <f>BC120</f>
        <v>0</v>
      </c>
      <c r="BD337" s="225">
        <f>BD120</f>
        <v>0</v>
      </c>
      <c r="BE337" s="225">
        <f>BE120</f>
        <v>0</v>
      </c>
      <c r="BF337" s="225">
        <f>BF120</f>
        <v>0</v>
      </c>
      <c r="BG337" s="225">
        <f>BG120</f>
        <v>0</v>
      </c>
      <c r="BH337" s="225">
        <f>BH120</f>
        <v>0</v>
      </c>
      <c r="BI337" s="225">
        <f>BI120</f>
        <v>0</v>
      </c>
      <c r="BJ337" s="225">
        <f>BJ120</f>
        <v>0</v>
      </c>
      <c r="BK337" s="225">
        <f>BK120</f>
        <v>0</v>
      </c>
      <c r="BL337" s="225">
        <f>BL120</f>
        <v>0</v>
      </c>
      <c r="BM337" s="225">
        <f>BM120</f>
        <v>0</v>
      </c>
      <c r="BN337" s="225">
        <f>BN120</f>
        <v>0</v>
      </c>
      <c r="BO337" s="225">
        <f>BO120</f>
        <v>0</v>
      </c>
      <c r="BP337" s="225">
        <f>BP120</f>
        <v>0</v>
      </c>
      <c r="BQ337" s="225">
        <f>BQ120</f>
        <v>0</v>
      </c>
      <c r="BR337" s="225">
        <f>BR120</f>
        <v>0</v>
      </c>
      <c r="BS337" s="225">
        <f>BS120</f>
        <v>0</v>
      </c>
      <c r="BT337" s="225">
        <f>BT120</f>
        <v>0</v>
      </c>
      <c r="BU337" s="225">
        <f>BU120</f>
        <v>0</v>
      </c>
      <c r="BV337" s="225">
        <f>BV120</f>
        <v>0</v>
      </c>
      <c r="BW337" s="225">
        <f>BW120</f>
        <v>0</v>
      </c>
      <c r="BX337" s="225">
        <f>BX120</f>
        <v>0</v>
      </c>
      <c r="BY337" s="225">
        <f>BY120</f>
        <v>0</v>
      </c>
      <c r="BZ337" s="225">
        <f>BZ120</f>
        <v>0</v>
      </c>
      <c r="CA337" s="225">
        <f>CA120</f>
        <v>0</v>
      </c>
      <c r="CB337" s="225">
        <f>CB120</f>
        <v>0</v>
      </c>
      <c r="CC337" s="225">
        <f>CC120</f>
        <v>0</v>
      </c>
      <c r="CD337" s="225">
        <f>CD120</f>
        <v>0</v>
      </c>
      <c r="CE337" s="225">
        <f>CE120</f>
        <v>0</v>
      </c>
      <c r="CF337" s="225">
        <f>CF120</f>
        <v>0</v>
      </c>
      <c r="CG337" s="225">
        <f>CG120</f>
        <v>0</v>
      </c>
      <c r="CH337" s="225">
        <f>CH120</f>
        <v>0</v>
      </c>
      <c r="CI337" s="225">
        <f>CI120</f>
        <v>0</v>
      </c>
      <c r="CJ337" s="225">
        <f>CJ120</f>
        <v>0</v>
      </c>
      <c r="CK337" s="225">
        <f>CK120</f>
        <v>0</v>
      </c>
      <c r="CL337" s="225">
        <f>CL120</f>
        <v>0</v>
      </c>
      <c r="CM337" s="225">
        <f>CM120</f>
        <v>0</v>
      </c>
      <c r="CN337" s="225">
        <f>CN120</f>
        <v>0</v>
      </c>
      <c r="CO337" s="225">
        <f>CO120</f>
        <v>0</v>
      </c>
      <c r="CP337" s="225">
        <f>CP120</f>
        <v>0</v>
      </c>
      <c r="CQ337" s="225">
        <f>CQ120</f>
        <v>0</v>
      </c>
      <c r="CR337" s="225">
        <f>CR120</f>
        <v>0</v>
      </c>
      <c r="CS337" s="225">
        <f>CS120</f>
        <v>0</v>
      </c>
      <c r="CT337" s="225">
        <f>CT120</f>
        <v>0</v>
      </c>
      <c r="CU337" s="225">
        <f>CU120</f>
        <v>0</v>
      </c>
      <c r="CV337" s="225">
        <f>CV120</f>
        <v>0</v>
      </c>
      <c r="CW337" s="225">
        <f>CW120</f>
        <v>0</v>
      </c>
      <c r="CX337" s="225">
        <f>CX120</f>
        <v>0</v>
      </c>
      <c r="CY337" s="225">
        <f>CY120</f>
        <v>0</v>
      </c>
    </row>
    <row r="338" customFormat="1" s="233">
      <c r="A338" s="224" t="n"/>
      <c r="B338" s="224" t="n"/>
      <c r="C338" s="233" t="inlineStr">
        <is>
          <t>INVESTED CAPITAL</t>
        </is>
      </c>
      <c r="D338" s="239">
        <f>D341-D342+D343</f>
        <v>60626</v>
      </c>
      <c r="E338" s="239">
        <f>E341-E342+E343</f>
        <v>58751</v>
      </c>
      <c r="F338" s="239">
        <f>F341-F342+F343</f>
        <v>57345</v>
      </c>
      <c r="G338" s="239">
        <f>G341-G342+G343</f>
        <v>56379</v>
      </c>
      <c r="H338" s="239">
        <f>H341-H342+H343</f>
        <v>56379</v>
      </c>
      <c r="I338" s="36">
        <f>I341-I342+I343</f>
        <v>54886</v>
      </c>
      <c r="J338" s="36">
        <f>J341-J342+J343</f>
        <v>53719</v>
      </c>
      <c r="K338" s="36">
        <f>K341-K342+K343</f>
        <v>52556</v>
      </c>
      <c r="L338" s="36">
        <f>L341-L342+L343</f>
        <v>52280</v>
      </c>
      <c r="M338" s="36">
        <f>M341-M342+M343</f>
        <v>52280</v>
      </c>
      <c r="N338" s="36">
        <f>N341-N342+N343</f>
        <v>51451</v>
      </c>
      <c r="O338" s="36">
        <f>O341-O342+O343</f>
        <v>50421</v>
      </c>
      <c r="P338" s="36">
        <f>P341-P342+P343</f>
        <v>49808</v>
      </c>
      <c r="Q338" s="36">
        <f>Q341-Q342+Q343</f>
        <v>49945</v>
      </c>
      <c r="R338" s="36">
        <f>R341-R342+R343</f>
        <v>49945</v>
      </c>
      <c r="S338" s="36">
        <f>S341-S342+S343</f>
        <v>49765</v>
      </c>
      <c r="T338" s="36">
        <f>T341-T342+T343</f>
        <v>49365</v>
      </c>
      <c r="U338" s="36">
        <f>U341-U342+U343</f>
        <v>49028</v>
      </c>
      <c r="V338" s="36">
        <f>V341-V342+V343</f>
        <v>134321</v>
      </c>
      <c r="W338" s="36">
        <f>W341-W342+W343</f>
        <v>134321</v>
      </c>
      <c r="X338" s="36">
        <f>X341-X342+X343</f>
        <v>134168</v>
      </c>
      <c r="Y338" s="36">
        <f>Y341-Y342+Y343</f>
        <v>125658</v>
      </c>
      <c r="Z338" s="36">
        <f>Z341-Z342+Z343</f>
        <v>125896</v>
      </c>
      <c r="AA338" s="36">
        <f>AA341-AA342+AA343</f>
        <v>127061</v>
      </c>
      <c r="AB338" s="36">
        <f>AB341-AB342+AB343</f>
        <v>127061</v>
      </c>
      <c r="AC338" s="36">
        <f>AC341-AC342+AC343</f>
        <v>127396</v>
      </c>
      <c r="AD338" s="36">
        <f>AD341-AD342+AD343</f>
        <v>126788</v>
      </c>
      <c r="AE338" s="36">
        <f>AE341-AE342+AE343</f>
        <v>130250</v>
      </c>
      <c r="AF338" s="36">
        <f>AF341-AF342+AF343</f>
        <v>131755</v>
      </c>
      <c r="AG338" s="36">
        <f>AG341-AG342+AG343</f>
        <v>131755</v>
      </c>
      <c r="AH338" s="36">
        <f>AH341-AH342+AH343</f>
        <v>132970</v>
      </c>
      <c r="AI338" s="36">
        <f>AI341-AI342+AI343</f>
        <v>135134</v>
      </c>
      <c r="AJ338" s="36">
        <f>AJ341-AJ342+AJ343</f>
        <v>96085</v>
      </c>
      <c r="AK338" s="36">
        <f>AK341-AK342+AK343</f>
        <v>96085</v>
      </c>
      <c r="AL338" s="36">
        <f>AL341-AL342+AL343</f>
        <v>96085</v>
      </c>
      <c r="AM338" s="36" t="e">
        <f>AM341-AM342+AM343</f>
        <v>#DIV/0!</v>
      </c>
      <c r="AN338" s="36">
        <f>AN341-AN342+AN343</f>
        <v>96085</v>
      </c>
      <c r="AO338" s="36" t="e">
        <f>AO341-AO342+AO343</f>
        <v>#DIV/0!</v>
      </c>
      <c r="AP338" s="36" t="e">
        <f>AP341-AP342+AP343</f>
        <v>#DIV/0!</v>
      </c>
      <c r="AQ338" s="36" t="e">
        <f>AQ341-AQ342+AQ343</f>
        <v>#DIV/0!</v>
      </c>
      <c r="AR338" s="36" t="e">
        <f>AR341-AR342+AR343</f>
        <v>#DIV/0!</v>
      </c>
      <c r="AS338" s="36" t="e">
        <f>AS341-AS342+AS343</f>
        <v>#DIV/0!</v>
      </c>
      <c r="AT338" s="36" t="e">
        <f>AT341-AT342+AT343</f>
        <v>#DIV/0!</v>
      </c>
      <c r="AU338" s="36" t="e">
        <f>AU341-AU342+AU343</f>
        <v>#DIV/0!</v>
      </c>
      <c r="AV338" s="36" t="e">
        <f>AV341-AV342+AV343</f>
        <v>#DIV/0!</v>
      </c>
      <c r="AW338" s="36" t="e">
        <f>AW341-AW342+AW343</f>
        <v>#DIV/0!</v>
      </c>
      <c r="AX338" s="36" t="e">
        <f>AX341-AX342+AX343</f>
        <v>#DIV/0!</v>
      </c>
      <c r="AY338" s="36" t="e">
        <f>AY341-AY342+AY343</f>
        <v>#DIV/0!</v>
      </c>
      <c r="AZ338" s="36" t="e">
        <f>AZ341-AZ342+AZ343</f>
        <v>#DIV/0!</v>
      </c>
      <c r="BA338" s="36" t="e">
        <f>BA341-BA342+BA343</f>
        <v>#DIV/0!</v>
      </c>
      <c r="BB338" s="36" t="e">
        <f>BB341-BB342+BB343</f>
        <v>#DIV/0!</v>
      </c>
      <c r="BC338" s="36" t="e">
        <f>BC341-BC342+BC343</f>
        <v>#DIV/0!</v>
      </c>
      <c r="BD338" s="36" t="e">
        <f>BD341-BD342+BD343</f>
        <v>#DIV/0!</v>
      </c>
      <c r="BE338" s="36" t="e">
        <f>BE341-BE342+BE343</f>
        <v>#DIV/0!</v>
      </c>
      <c r="BF338" s="36" t="e">
        <f>BF341-BF342+BF343</f>
        <v>#DIV/0!</v>
      </c>
      <c r="BG338" s="36" t="e">
        <f>BG341-BG342+BG343</f>
        <v>#DIV/0!</v>
      </c>
      <c r="BH338" s="36" t="e">
        <f>BH341-BH342+BH343</f>
        <v>#DIV/0!</v>
      </c>
      <c r="BI338" s="36" t="e">
        <f>BI341-BI342+BI343</f>
        <v>#DIV/0!</v>
      </c>
      <c r="BJ338" s="36" t="e">
        <f>BJ341-BJ342+BJ343</f>
        <v>#DIV/0!</v>
      </c>
      <c r="BK338" s="36" t="e">
        <f>BK341-BK342+BK343</f>
        <v>#DIV/0!</v>
      </c>
      <c r="BL338" s="36" t="e">
        <f>BL341-BL342+BL343</f>
        <v>#DIV/0!</v>
      </c>
      <c r="BM338" s="36" t="e">
        <f>BM341-BM342+BM343</f>
        <v>#DIV/0!</v>
      </c>
      <c r="BN338" s="36" t="e">
        <f>BN341-BN342+BN343</f>
        <v>#DIV/0!</v>
      </c>
      <c r="BO338" s="36" t="e">
        <f>BO341-BO342+BO343</f>
        <v>#DIV/0!</v>
      </c>
      <c r="BP338" s="36" t="e">
        <f>BP341-BP342+BP343</f>
        <v>#DIV/0!</v>
      </c>
      <c r="BQ338" s="36" t="e">
        <f>BQ341-BQ342+BQ343</f>
        <v>#DIV/0!</v>
      </c>
      <c r="BR338" s="36" t="e">
        <f>BR341-BR342+BR343</f>
        <v>#DIV/0!</v>
      </c>
      <c r="BS338" s="36" t="e">
        <f>BS341-BS342+BS343</f>
        <v>#DIV/0!</v>
      </c>
      <c r="BT338" s="36" t="e">
        <f>BT341-BT342+BT343</f>
        <v>#DIV/0!</v>
      </c>
      <c r="BU338" s="36" t="e">
        <f>BU341-BU342+BU343</f>
        <v>#DIV/0!</v>
      </c>
      <c r="BV338" s="36" t="e">
        <f>BV341-BV342+BV343</f>
        <v>#DIV/0!</v>
      </c>
      <c r="BW338" s="36" t="e">
        <f>BW341-BW342+BW343</f>
        <v>#DIV/0!</v>
      </c>
      <c r="BX338" s="36" t="e">
        <f>BX341-BX342+BX343</f>
        <v>#DIV/0!</v>
      </c>
      <c r="BY338" s="36" t="e">
        <f>BY341-BY342+BY343</f>
        <v>#DIV/0!</v>
      </c>
      <c r="BZ338" s="36" t="e">
        <f>BZ341-BZ342+BZ343</f>
        <v>#DIV/0!</v>
      </c>
      <c r="CA338" s="36" t="e">
        <f>CA341-CA342+CA343</f>
        <v>#DIV/0!</v>
      </c>
      <c r="CB338" s="36" t="e">
        <f>CB341-CB342+CB343</f>
        <v>#DIV/0!</v>
      </c>
      <c r="CC338" s="36" t="e">
        <f>CC341-CC342+CC343</f>
        <v>#DIV/0!</v>
      </c>
      <c r="CD338" s="36" t="e">
        <f>CD341-CD342+CD343</f>
        <v>#DIV/0!</v>
      </c>
      <c r="CE338" s="36" t="e">
        <f>CE341-CE342+CE343</f>
        <v>#DIV/0!</v>
      </c>
      <c r="CF338" s="36" t="e">
        <f>CF341-CF342+CF343</f>
        <v>#DIV/0!</v>
      </c>
      <c r="CG338" s="36" t="e">
        <f>CG341-CG342+CG343</f>
        <v>#DIV/0!</v>
      </c>
      <c r="CH338" s="36" t="e">
        <f>CH341-CH342+CH343</f>
        <v>#DIV/0!</v>
      </c>
      <c r="CI338" s="36" t="e">
        <f>CI341-CI342+CI343</f>
        <v>#DIV/0!</v>
      </c>
      <c r="CJ338" s="36" t="e">
        <f>CJ341-CJ342+CJ343</f>
        <v>#DIV/0!</v>
      </c>
      <c r="CK338" s="36" t="e">
        <f>CK341-CK342+CK343</f>
        <v>#DIV/0!</v>
      </c>
      <c r="CL338" s="36" t="e">
        <f>CL341-CL342+CL343</f>
        <v>#DIV/0!</v>
      </c>
      <c r="CM338" s="36" t="e">
        <f>CM341-CM342+CM343</f>
        <v>#DIV/0!</v>
      </c>
      <c r="CN338" s="36" t="e">
        <f>CN341-CN342+CN343</f>
        <v>#DIV/0!</v>
      </c>
      <c r="CO338" s="36" t="e">
        <f>CO341-CO342+CO343</f>
        <v>#DIV/0!</v>
      </c>
      <c r="CP338" s="36" t="e">
        <f>CP341-CP342+CP343</f>
        <v>#DIV/0!</v>
      </c>
      <c r="CQ338" s="36" t="e">
        <f>CQ341-CQ342+CQ343</f>
        <v>#DIV/0!</v>
      </c>
      <c r="CR338" s="36" t="e">
        <f>CR341-CR342+CR343</f>
        <v>#DIV/0!</v>
      </c>
      <c r="CS338" s="36" t="e">
        <f>CS341-CS342+CS343</f>
        <v>#DIV/0!</v>
      </c>
      <c r="CT338" s="36" t="e">
        <f>CT341-CT342+CT343</f>
        <v>#DIV/0!</v>
      </c>
      <c r="CU338" s="36" t="e">
        <f>CU341-CU342+CU343</f>
        <v>#DIV/0!</v>
      </c>
      <c r="CV338" s="36" t="e">
        <f>CV341-CV342+CV343</f>
        <v>#DIV/0!</v>
      </c>
      <c r="CW338" s="36" t="e">
        <f>CW341-CW342+CW343</f>
        <v>#DIV/0!</v>
      </c>
      <c r="CX338" s="36" t="e">
        <f>CX341-CX342+CX343</f>
        <v>#DIV/0!</v>
      </c>
      <c r="CY338" s="36" t="e">
        <f>CY341-CY342+CY343</f>
        <v>#DIV/0!</v>
      </c>
    </row>
    <row r="339" customFormat="1" s="233">
      <c r="A339" s="224" t="n"/>
      <c r="B339" s="224" t="n"/>
      <c r="C339" s="233" t="inlineStr">
        <is>
          <t>INVESTED CAPITAL - EX GOODWILL</t>
        </is>
      </c>
      <c r="D339" s="241">
        <f>D338-D167</f>
        <v>17169</v>
      </c>
      <c r="E339" s="241">
        <f>E338-E167</f>
        <v>15304</v>
      </c>
      <c r="F339" s="241">
        <f>F338-F167</f>
        <v>13898</v>
      </c>
      <c r="G339" s="241">
        <f>G338-G167</f>
        <v>12922</v>
      </c>
      <c r="H339" s="241">
        <f>H338-H167</f>
        <v>12922</v>
      </c>
      <c r="I339" s="226">
        <f>I338-I167</f>
        <v>11429</v>
      </c>
      <c r="J339" s="226">
        <f>J338-J167</f>
        <v>10262</v>
      </c>
      <c r="K339" s="226">
        <f>K338-K167</f>
        <v>9106</v>
      </c>
      <c r="L339" s="226">
        <f>L338-L167</f>
        <v>8830</v>
      </c>
      <c r="M339" s="226">
        <f>M338-M167</f>
        <v>8830</v>
      </c>
      <c r="N339" s="226">
        <f>N338-N167</f>
        <v>7848</v>
      </c>
      <c r="O339" s="226">
        <f>O338-O167</f>
        <v>6813</v>
      </c>
      <c r="P339" s="226">
        <f>P338-P167</f>
        <v>6194</v>
      </c>
      <c r="Q339" s="226">
        <f>Q338-Q167</f>
        <v>6331</v>
      </c>
      <c r="R339" s="226">
        <f>R338-R167</f>
        <v>6331</v>
      </c>
      <c r="S339" s="226">
        <f>S338-S167</f>
        <v>6151</v>
      </c>
      <c r="T339" s="226">
        <f>T338-T167</f>
        <v>5746</v>
      </c>
      <c r="U339" s="226">
        <f>U338-U167</f>
        <v>5375</v>
      </c>
      <c r="V339" s="226">
        <f>V338-V167</f>
        <v>36735</v>
      </c>
      <c r="W339" s="226">
        <f>W338-W167</f>
        <v>36735</v>
      </c>
      <c r="X339" s="226">
        <f>X338-X167</f>
        <v>36295</v>
      </c>
      <c r="Y339" s="226">
        <f>Y338-Y167</f>
        <v>27785</v>
      </c>
      <c r="Z339" s="226">
        <f>Z338-Z167</f>
        <v>28023</v>
      </c>
      <c r="AA339" s="226">
        <f>AA338-AA167</f>
        <v>29190</v>
      </c>
      <c r="AB339" s="226">
        <f>AB338-AB167</f>
        <v>29190</v>
      </c>
      <c r="AC339" s="226">
        <f>AC338-AC167</f>
        <v>29595</v>
      </c>
      <c r="AD339" s="226">
        <f>AD338-AD167</f>
        <v>28987</v>
      </c>
      <c r="AE339" s="226">
        <f>AE338-AE167</f>
        <v>32449</v>
      </c>
      <c r="AF339" s="226">
        <f>AF338-AF167</f>
        <v>33954</v>
      </c>
      <c r="AG339" s="226">
        <f>AG338-AG167</f>
        <v>33954</v>
      </c>
      <c r="AH339" s="226">
        <f>AH338-AH167</f>
        <v>35169</v>
      </c>
      <c r="AI339" s="226">
        <f>AI338-AI167</f>
        <v>37333</v>
      </c>
      <c r="AJ339" s="226">
        <f>AJ338-AJ167</f>
        <v>-1716</v>
      </c>
      <c r="AK339" s="226">
        <f>AK338-AK167</f>
        <v>-1716</v>
      </c>
      <c r="AL339" s="226">
        <f>AL338-AL167</f>
        <v>-1716</v>
      </c>
      <c r="AM339" s="226" t="e">
        <f>AM338-AM167</f>
        <v>#DIV/0!</v>
      </c>
      <c r="AN339" s="226">
        <f>AN338-AN167</f>
        <v>-1716</v>
      </c>
      <c r="AO339" s="226" t="e">
        <f>AO338-AO167</f>
        <v>#DIV/0!</v>
      </c>
      <c r="AP339" s="226" t="e">
        <f>AP338-AP167</f>
        <v>#DIV/0!</v>
      </c>
      <c r="AQ339" s="226" t="e">
        <f>AQ338-AQ167</f>
        <v>#DIV/0!</v>
      </c>
      <c r="AR339" s="226" t="e">
        <f>AR338-AR167</f>
        <v>#DIV/0!</v>
      </c>
      <c r="AS339" s="226" t="e">
        <f>AS338-AS167</f>
        <v>#DIV/0!</v>
      </c>
      <c r="AT339" s="226" t="e">
        <f>AT338-AT167</f>
        <v>#DIV/0!</v>
      </c>
      <c r="AU339" s="226" t="e">
        <f>AU338-AU167</f>
        <v>#DIV/0!</v>
      </c>
      <c r="AV339" s="226" t="e">
        <f>AV338-AV167</f>
        <v>#DIV/0!</v>
      </c>
      <c r="AW339" s="226" t="e">
        <f>AW338-AW167</f>
        <v>#DIV/0!</v>
      </c>
      <c r="AX339" s="226" t="e">
        <f>AX338-AX167</f>
        <v>#DIV/0!</v>
      </c>
      <c r="AY339" s="226" t="e">
        <f>AY338-AY167</f>
        <v>#DIV/0!</v>
      </c>
      <c r="AZ339" s="226" t="e">
        <f>AZ338-AZ167</f>
        <v>#DIV/0!</v>
      </c>
      <c r="BA339" s="226" t="e">
        <f>BA338-BA167</f>
        <v>#DIV/0!</v>
      </c>
      <c r="BB339" s="226" t="e">
        <f>BB338-BB167</f>
        <v>#DIV/0!</v>
      </c>
      <c r="BC339" s="226" t="e">
        <f>BC338-BC167</f>
        <v>#DIV/0!</v>
      </c>
      <c r="BD339" s="226" t="e">
        <f>BD338-BD167</f>
        <v>#DIV/0!</v>
      </c>
      <c r="BE339" s="226" t="e">
        <f>BE338-BE167</f>
        <v>#DIV/0!</v>
      </c>
      <c r="BF339" s="226" t="e">
        <f>BF338-BF167</f>
        <v>#DIV/0!</v>
      </c>
      <c r="BG339" s="226" t="e">
        <f>BG338-BG167</f>
        <v>#DIV/0!</v>
      </c>
      <c r="BH339" s="226" t="e">
        <f>BH338-BH167</f>
        <v>#DIV/0!</v>
      </c>
      <c r="BI339" s="226" t="e">
        <f>BI338-BI167</f>
        <v>#DIV/0!</v>
      </c>
      <c r="BJ339" s="226" t="e">
        <f>BJ338-BJ167</f>
        <v>#DIV/0!</v>
      </c>
      <c r="BK339" s="226" t="e">
        <f>BK338-BK167</f>
        <v>#DIV/0!</v>
      </c>
      <c r="BL339" s="226" t="e">
        <f>BL338-BL167</f>
        <v>#DIV/0!</v>
      </c>
      <c r="BM339" s="226" t="e">
        <f>BM338-BM167</f>
        <v>#DIV/0!</v>
      </c>
      <c r="BN339" s="226" t="e">
        <f>BN338-BN167</f>
        <v>#DIV/0!</v>
      </c>
      <c r="BO339" s="226" t="e">
        <f>BO338-BO167</f>
        <v>#DIV/0!</v>
      </c>
      <c r="BP339" s="226" t="e">
        <f>BP338-BP167</f>
        <v>#DIV/0!</v>
      </c>
      <c r="BQ339" s="226" t="e">
        <f>BQ338-BQ167</f>
        <v>#DIV/0!</v>
      </c>
      <c r="BR339" s="226" t="e">
        <f>BR338-BR167</f>
        <v>#DIV/0!</v>
      </c>
      <c r="BS339" s="226" t="e">
        <f>BS338-BS167</f>
        <v>#DIV/0!</v>
      </c>
      <c r="BT339" s="226" t="e">
        <f>BT338-BT167</f>
        <v>#DIV/0!</v>
      </c>
      <c r="BU339" s="226" t="e">
        <f>BU338-BU167</f>
        <v>#DIV/0!</v>
      </c>
      <c r="BV339" s="226" t="e">
        <f>BV338-BV167</f>
        <v>#DIV/0!</v>
      </c>
      <c r="BW339" s="226" t="e">
        <f>BW338-BW167</f>
        <v>#DIV/0!</v>
      </c>
      <c r="BX339" s="226" t="e">
        <f>BX338-BX167</f>
        <v>#DIV/0!</v>
      </c>
      <c r="BY339" s="226" t="e">
        <f>BY338-BY167</f>
        <v>#DIV/0!</v>
      </c>
      <c r="BZ339" s="226" t="e">
        <f>BZ338-BZ167</f>
        <v>#DIV/0!</v>
      </c>
      <c r="CA339" s="226" t="e">
        <f>CA338-CA167</f>
        <v>#DIV/0!</v>
      </c>
      <c r="CB339" s="226" t="e">
        <f>CB338-CB167</f>
        <v>#DIV/0!</v>
      </c>
      <c r="CC339" s="226" t="e">
        <f>CC338-CC167</f>
        <v>#DIV/0!</v>
      </c>
      <c r="CD339" s="226" t="e">
        <f>CD338-CD167</f>
        <v>#DIV/0!</v>
      </c>
      <c r="CE339" s="226" t="e">
        <f>CE338-CE167</f>
        <v>#DIV/0!</v>
      </c>
      <c r="CF339" s="226" t="e">
        <f>CF338-CF167</f>
        <v>#DIV/0!</v>
      </c>
      <c r="CG339" s="226" t="e">
        <f>CG338-CG167</f>
        <v>#DIV/0!</v>
      </c>
      <c r="CH339" s="226" t="e">
        <f>CH338-CH167</f>
        <v>#DIV/0!</v>
      </c>
      <c r="CI339" s="226" t="e">
        <f>CI338-CI167</f>
        <v>#DIV/0!</v>
      </c>
      <c r="CJ339" s="226" t="e">
        <f>CJ338-CJ167</f>
        <v>#DIV/0!</v>
      </c>
      <c r="CK339" s="226" t="e">
        <f>CK338-CK167</f>
        <v>#DIV/0!</v>
      </c>
      <c r="CL339" s="226" t="e">
        <f>CL338-CL167</f>
        <v>#DIV/0!</v>
      </c>
      <c r="CM339" s="226" t="e">
        <f>CM338-CM167</f>
        <v>#DIV/0!</v>
      </c>
      <c r="CN339" s="226" t="e">
        <f>CN338-CN167</f>
        <v>#DIV/0!</v>
      </c>
      <c r="CO339" s="226" t="e">
        <f>CO338-CO167</f>
        <v>#DIV/0!</v>
      </c>
      <c r="CP339" s="226" t="e">
        <f>CP338-CP167</f>
        <v>#DIV/0!</v>
      </c>
      <c r="CQ339" s="226" t="e">
        <f>CQ338-CQ167</f>
        <v>#DIV/0!</v>
      </c>
      <c r="CR339" s="226" t="e">
        <f>CR338-CR167</f>
        <v>#DIV/0!</v>
      </c>
      <c r="CS339" s="226" t="e">
        <f>CS338-CS167</f>
        <v>#DIV/0!</v>
      </c>
      <c r="CT339" s="226" t="e">
        <f>CT338-CT167</f>
        <v>#DIV/0!</v>
      </c>
      <c r="CU339" s="226" t="e">
        <f>CU338-CU167</f>
        <v>#DIV/0!</v>
      </c>
      <c r="CV339" s="226" t="e">
        <f>CV338-CV167</f>
        <v>#DIV/0!</v>
      </c>
      <c r="CW339" s="226" t="e">
        <f>CW338-CW167</f>
        <v>#DIV/0!</v>
      </c>
      <c r="CX339" s="226" t="e">
        <f>CX338-CX167</f>
        <v>#DIV/0!</v>
      </c>
      <c r="CY339" s="226" t="e">
        <f>CY338-CY167</f>
        <v>#DIV/0!</v>
      </c>
    </row>
    <row r="340" customFormat="1" s="233">
      <c r="A340" s="224" t="n"/>
      <c r="B340" s="224" t="n"/>
      <c r="C340" s="233" t="inlineStr">
        <is>
          <t>OPERATING WORKING CAPITAL</t>
        </is>
      </c>
      <c r="D340" s="242">
        <f>D341-D342</f>
        <v>-767</v>
      </c>
      <c r="E340" s="242">
        <f>E341-E342</f>
        <v>-1056</v>
      </c>
      <c r="F340" s="242">
        <f>F341-F342</f>
        <v>-1267</v>
      </c>
      <c r="G340" s="242">
        <f>G341-G342</f>
        <v>-1082</v>
      </c>
      <c r="H340" s="242">
        <f>H341-H342</f>
        <v>-1082</v>
      </c>
      <c r="I340" s="36">
        <f>I341-I342</f>
        <v>-1431</v>
      </c>
      <c r="J340" s="36">
        <f>J341-J342</f>
        <v>-1691</v>
      </c>
      <c r="K340" s="36">
        <f>K341-K342</f>
        <v>-1568</v>
      </c>
      <c r="L340" s="36">
        <f>L341-L342</f>
        <v>-865</v>
      </c>
      <c r="M340" s="36">
        <f>M341-M342</f>
        <v>-865</v>
      </c>
      <c r="N340" s="36">
        <f>N341-N342</f>
        <v>-803</v>
      </c>
      <c r="O340" s="36">
        <f>O341-O342</f>
        <v>-814</v>
      </c>
      <c r="P340" s="36">
        <f>P341-P342</f>
        <v>-524</v>
      </c>
      <c r="Q340" s="36">
        <f>Q341-Q342</f>
        <v>-179</v>
      </c>
      <c r="R340" s="36">
        <f>R341-R342</f>
        <v>-179</v>
      </c>
      <c r="S340" s="36">
        <f>S341-S342</f>
        <v>-76</v>
      </c>
      <c r="T340" s="36">
        <f>T341-T342</f>
        <v>52</v>
      </c>
      <c r="U340" s="36">
        <f>U341-U342</f>
        <v>861</v>
      </c>
      <c r="V340" s="36">
        <f>V341-V342</f>
        <v>-2608</v>
      </c>
      <c r="W340" s="36">
        <f>W341-W342</f>
        <v>-2608</v>
      </c>
      <c r="X340" s="36">
        <f>X341-X342</f>
        <v>-2252</v>
      </c>
      <c r="Y340" s="36">
        <f>Y341-Y342</f>
        <v>-6065</v>
      </c>
      <c r="Z340" s="36">
        <f>Z341-Z342</f>
        <v>-5179</v>
      </c>
      <c r="AA340" s="36">
        <f>AA341-AA342</f>
        <v>-3574</v>
      </c>
      <c r="AB340" s="36">
        <f>AB341-AB342</f>
        <v>-3574</v>
      </c>
      <c r="AC340" s="36">
        <f>AC341-AC342</f>
        <v>-2357</v>
      </c>
      <c r="AD340" s="36">
        <f>AD341-AD342</f>
        <v>-1025</v>
      </c>
      <c r="AE340" s="36">
        <f>AE341-AE342</f>
        <v>33</v>
      </c>
      <c r="AF340" s="36">
        <f>AF341-AF342</f>
        <v>3281</v>
      </c>
      <c r="AG340" s="36">
        <f>AG341-AG342</f>
        <v>3281</v>
      </c>
      <c r="AH340" s="36">
        <f>AH341-AH342</f>
        <v>5975</v>
      </c>
      <c r="AI340" s="36">
        <f>AI341-AI342</f>
        <v>9612</v>
      </c>
      <c r="AJ340" s="36">
        <f>AJ341-AJ342</f>
        <v>-3112</v>
      </c>
      <c r="AK340" s="36">
        <f>AK341-AK342</f>
        <v>-3112</v>
      </c>
      <c r="AL340" s="36">
        <f>AL341-AL342</f>
        <v>-3112</v>
      </c>
      <c r="AM340" s="36" t="e">
        <f>AM341-AM342</f>
        <v>#DIV/0!</v>
      </c>
      <c r="AN340" s="36">
        <f>AN341-AN342</f>
        <v>-3112</v>
      </c>
      <c r="AO340" s="36" t="e">
        <f>AO341-AO342</f>
        <v>#DIV/0!</v>
      </c>
      <c r="AP340" s="36" t="e">
        <f>AP341-AP342</f>
        <v>#DIV/0!</v>
      </c>
      <c r="AQ340" s="36" t="e">
        <f>AQ341-AQ342</f>
        <v>#DIV/0!</v>
      </c>
      <c r="AR340" s="36" t="e">
        <f>AR341-AR342</f>
        <v>#DIV/0!</v>
      </c>
      <c r="AS340" s="36" t="e">
        <f>AS341-AS342</f>
        <v>#DIV/0!</v>
      </c>
      <c r="AT340" s="36" t="e">
        <f>AT341-AT342</f>
        <v>#DIV/0!</v>
      </c>
      <c r="AU340" s="36" t="e">
        <f>AU341-AU342</f>
        <v>#DIV/0!</v>
      </c>
      <c r="AV340" s="36" t="e">
        <f>AV341-AV342</f>
        <v>#DIV/0!</v>
      </c>
      <c r="AW340" s="36" t="e">
        <f>AW341-AW342</f>
        <v>#DIV/0!</v>
      </c>
      <c r="AX340" s="36" t="e">
        <f>AX341-AX342</f>
        <v>#DIV/0!</v>
      </c>
      <c r="AY340" s="36" t="e">
        <f>AY341-AY342</f>
        <v>#DIV/0!</v>
      </c>
      <c r="AZ340" s="36" t="e">
        <f>AZ341-AZ342</f>
        <v>#DIV/0!</v>
      </c>
      <c r="BA340" s="36" t="e">
        <f>BA341-BA342</f>
        <v>#DIV/0!</v>
      </c>
      <c r="BB340" s="36" t="e">
        <f>BB341-BB342</f>
        <v>#DIV/0!</v>
      </c>
      <c r="BC340" s="36" t="e">
        <f>BC341-BC342</f>
        <v>#DIV/0!</v>
      </c>
      <c r="BD340" s="36" t="e">
        <f>BD341-BD342</f>
        <v>#DIV/0!</v>
      </c>
      <c r="BE340" s="36" t="e">
        <f>BE341-BE342</f>
        <v>#DIV/0!</v>
      </c>
      <c r="BF340" s="36" t="e">
        <f>BF341-BF342</f>
        <v>#DIV/0!</v>
      </c>
      <c r="BG340" s="36" t="e">
        <f>BG341-BG342</f>
        <v>#DIV/0!</v>
      </c>
      <c r="BH340" s="36" t="e">
        <f>BH341-BH342</f>
        <v>#DIV/0!</v>
      </c>
      <c r="BI340" s="36" t="e">
        <f>BI341-BI342</f>
        <v>#DIV/0!</v>
      </c>
      <c r="BJ340" s="36" t="e">
        <f>BJ341-BJ342</f>
        <v>#DIV/0!</v>
      </c>
      <c r="BK340" s="36" t="e">
        <f>BK341-BK342</f>
        <v>#DIV/0!</v>
      </c>
      <c r="BL340" s="36" t="e">
        <f>BL341-BL342</f>
        <v>#DIV/0!</v>
      </c>
      <c r="BM340" s="36" t="e">
        <f>BM341-BM342</f>
        <v>#DIV/0!</v>
      </c>
      <c r="BN340" s="36" t="e">
        <f>BN341-BN342</f>
        <v>#DIV/0!</v>
      </c>
      <c r="BO340" s="36" t="e">
        <f>BO341-BO342</f>
        <v>#DIV/0!</v>
      </c>
      <c r="BP340" s="36" t="e">
        <f>BP341-BP342</f>
        <v>#DIV/0!</v>
      </c>
      <c r="BQ340" s="36" t="e">
        <f>BQ341-BQ342</f>
        <v>#DIV/0!</v>
      </c>
      <c r="BR340" s="36" t="e">
        <f>BR341-BR342</f>
        <v>#DIV/0!</v>
      </c>
      <c r="BS340" s="36" t="e">
        <f>BS341-BS342</f>
        <v>#DIV/0!</v>
      </c>
      <c r="BT340" s="36" t="e">
        <f>BT341-BT342</f>
        <v>#DIV/0!</v>
      </c>
      <c r="BU340" s="36" t="e">
        <f>BU341-BU342</f>
        <v>#DIV/0!</v>
      </c>
      <c r="BV340" s="36" t="e">
        <f>BV341-BV342</f>
        <v>#DIV/0!</v>
      </c>
      <c r="BW340" s="36" t="e">
        <f>BW341-BW342</f>
        <v>#DIV/0!</v>
      </c>
      <c r="BX340" s="36" t="e">
        <f>BX341-BX342</f>
        <v>#DIV/0!</v>
      </c>
      <c r="BY340" s="36" t="e">
        <f>BY341-BY342</f>
        <v>#DIV/0!</v>
      </c>
      <c r="BZ340" s="36" t="e">
        <f>BZ341-BZ342</f>
        <v>#DIV/0!</v>
      </c>
      <c r="CA340" s="36" t="e">
        <f>CA341-CA342</f>
        <v>#DIV/0!</v>
      </c>
      <c r="CB340" s="36" t="e">
        <f>CB341-CB342</f>
        <v>#DIV/0!</v>
      </c>
      <c r="CC340" s="36" t="e">
        <f>CC341-CC342</f>
        <v>#DIV/0!</v>
      </c>
      <c r="CD340" s="36" t="e">
        <f>CD341-CD342</f>
        <v>#DIV/0!</v>
      </c>
      <c r="CE340" s="36" t="e">
        <f>CE341-CE342</f>
        <v>#DIV/0!</v>
      </c>
      <c r="CF340" s="36" t="e">
        <f>CF341-CF342</f>
        <v>#DIV/0!</v>
      </c>
      <c r="CG340" s="36" t="e">
        <f>CG341-CG342</f>
        <v>#DIV/0!</v>
      </c>
      <c r="CH340" s="36" t="e">
        <f>CH341-CH342</f>
        <v>#DIV/0!</v>
      </c>
      <c r="CI340" s="36" t="e">
        <f>CI341-CI342</f>
        <v>#DIV/0!</v>
      </c>
      <c r="CJ340" s="36" t="e">
        <f>CJ341-CJ342</f>
        <v>#DIV/0!</v>
      </c>
      <c r="CK340" s="36" t="e">
        <f>CK341-CK342</f>
        <v>#DIV/0!</v>
      </c>
      <c r="CL340" s="36" t="e">
        <f>CL341-CL342</f>
        <v>#DIV/0!</v>
      </c>
      <c r="CM340" s="36" t="e">
        <f>CM341-CM342</f>
        <v>#DIV/0!</v>
      </c>
      <c r="CN340" s="36" t="e">
        <f>CN341-CN342</f>
        <v>#DIV/0!</v>
      </c>
      <c r="CO340" s="36" t="e">
        <f>CO341-CO342</f>
        <v>#DIV/0!</v>
      </c>
      <c r="CP340" s="36" t="e">
        <f>CP341-CP342</f>
        <v>#DIV/0!</v>
      </c>
      <c r="CQ340" s="36" t="e">
        <f>CQ341-CQ342</f>
        <v>#DIV/0!</v>
      </c>
      <c r="CR340" s="36" t="e">
        <f>CR341-CR342</f>
        <v>#DIV/0!</v>
      </c>
      <c r="CS340" s="36" t="e">
        <f>CS341-CS342</f>
        <v>#DIV/0!</v>
      </c>
      <c r="CT340" s="36" t="e">
        <f>CT341-CT342</f>
        <v>#DIV/0!</v>
      </c>
      <c r="CU340" s="36" t="e">
        <f>CU341-CU342</f>
        <v>#DIV/0!</v>
      </c>
      <c r="CV340" s="36" t="e">
        <f>CV341-CV342</f>
        <v>#DIV/0!</v>
      </c>
      <c r="CW340" s="36" t="e">
        <f>CW341-CW342</f>
        <v>#DIV/0!</v>
      </c>
      <c r="CX340" s="36" t="e">
        <f>CX341-CX342</f>
        <v>#DIV/0!</v>
      </c>
      <c r="CY340" s="36" t="e">
        <f>CY341-CY342</f>
        <v>#DIV/0!</v>
      </c>
    </row>
    <row r="341" customFormat="1" s="233">
      <c r="A341" s="224" t="n"/>
      <c r="B341" s="224" t="n"/>
      <c r="C341" s="233" t="inlineStr">
        <is>
          <t>CURRENT ASSETS</t>
        </is>
      </c>
      <c r="D341" s="241">
        <f>D133+D137+D141+D142+D143</f>
        <v>5015</v>
      </c>
      <c r="E341" s="241">
        <f>E133+E137+E141+E142+E143</f>
        <v>4824</v>
      </c>
      <c r="F341" s="241">
        <f>F133+F137+F141+F142+F143</f>
        <v>4277</v>
      </c>
      <c r="G341" s="241">
        <f>G133+G137+G141+G142+G143</f>
        <v>4748</v>
      </c>
      <c r="H341" s="241">
        <f>H133+H137+H141+H142+H143</f>
        <v>4748</v>
      </c>
      <c r="I341" s="226">
        <f>I133+I137+I141+I142+I143</f>
        <v>4727</v>
      </c>
      <c r="J341" s="226">
        <f>J133+J137+J141+J142+J143</f>
        <v>4531</v>
      </c>
      <c r="K341" s="226">
        <f>K133+K137+K141+K142+K143</f>
        <v>4423</v>
      </c>
      <c r="L341" s="226">
        <f>L133+L137+L141+L142+L143</f>
        <v>5122</v>
      </c>
      <c r="M341" s="226">
        <f>M133+M137+M141+M142+M143</f>
        <v>5122</v>
      </c>
      <c r="N341" s="226">
        <f>N133+N137+N141+N142+N143</f>
        <v>5805</v>
      </c>
      <c r="O341" s="226">
        <f>O133+O137+O141+O142+O143</f>
        <v>5584</v>
      </c>
      <c r="P341" s="226">
        <f>P133+P137+P141+P142+P143</f>
        <v>6088</v>
      </c>
      <c r="Q341" s="226">
        <f>Q133+Q137+Q141+Q142+Q143</f>
        <v>6189</v>
      </c>
      <c r="R341" s="226">
        <f>R133+R137+R141+R142+R143</f>
        <v>6189</v>
      </c>
      <c r="S341" s="226">
        <f>S133+S137+S141+S142+S143</f>
        <v>6318</v>
      </c>
      <c r="T341" s="226">
        <f>T133+T137+T141+T142+T143</f>
        <v>6278</v>
      </c>
      <c r="U341" s="226">
        <f>U133+U137+U141+U142+U143</f>
        <v>6658</v>
      </c>
      <c r="V341" s="226">
        <f>V133+V137+V141+V142+V143</f>
        <v>15328</v>
      </c>
      <c r="W341" s="226">
        <f>W133+W137+W141+W142+W143</f>
        <v>15328</v>
      </c>
      <c r="X341" s="226">
        <f>X133+X137+X141+X142+X143</f>
        <v>15493</v>
      </c>
      <c r="Y341" s="226">
        <f>Y133+Y137+Y141+Y142+Y143</f>
        <v>9995</v>
      </c>
      <c r="Z341" s="226">
        <f>Z133+Z137+Z141+Z142+Z143</f>
        <v>10247</v>
      </c>
      <c r="AA341" s="226">
        <f>AA133+AA137+AA141+AA142+AA143</f>
        <v>11683</v>
      </c>
      <c r="AB341" s="226">
        <f>AB133+AB137+AB141+AB142+AB143</f>
        <v>11683</v>
      </c>
      <c r="AC341" s="226">
        <f>AC133+AC137+AC141+AC142+AC143</f>
        <v>12709</v>
      </c>
      <c r="AD341" s="226">
        <f>AD133+AD137+AD141+AD142+AD143</f>
        <v>14280</v>
      </c>
      <c r="AE341" s="226">
        <f>AE133+AE137+AE141+AE142+AE143</f>
        <v>15395</v>
      </c>
      <c r="AF341" s="226">
        <f>AF133+AF137+AF141+AF142+AF143</f>
        <v>17888</v>
      </c>
      <c r="AG341" s="226">
        <f>AG133+AG137+AG141+AG142+AG143</f>
        <v>17888</v>
      </c>
      <c r="AH341" s="226">
        <f>AH133+AH137+AH141+AH142+AH143</f>
        <v>22585</v>
      </c>
      <c r="AI341" s="226">
        <f>AI133+AI137+AI141+AI142+AI143</f>
        <v>28198</v>
      </c>
      <c r="AJ341" s="226">
        <f>AJ133+AJ137+AJ141+AJ142+AJ143</f>
        <v>9968</v>
      </c>
      <c r="AK341" s="226">
        <f>AK133+AK137+AK141+AK142+AK143</f>
        <v>9968</v>
      </c>
      <c r="AL341" s="226">
        <f>AL133+AL137+AL141+AL142+AL143</f>
        <v>9968</v>
      </c>
      <c r="AM341" s="226">
        <f>AM133+AM137+AM141+AM142+AM143</f>
        <v>9968</v>
      </c>
      <c r="AN341" s="226">
        <f>AN133+AN137+AN141+AN142+AN143</f>
        <v>9968</v>
      </c>
      <c r="AO341" s="226">
        <f>AO133+AO137+AO141+AO142+AO143</f>
        <v>9968</v>
      </c>
      <c r="AP341" s="226">
        <f>AP133+AP137+AP141+AP142+AP143</f>
        <v>9968</v>
      </c>
      <c r="AQ341" s="226">
        <f>AQ133+AQ137+AQ141+AQ142+AQ143</f>
        <v>9968</v>
      </c>
      <c r="AR341" s="226">
        <f>AR133+AR137+AR141+AR142+AR143</f>
        <v>9968</v>
      </c>
      <c r="AS341" s="226">
        <f>AS133+AS137+AS141+AS142+AS143</f>
        <v>9968</v>
      </c>
      <c r="AT341" s="226">
        <f>AT133+AT137+AT141+AT142+AT143</f>
        <v>9968</v>
      </c>
      <c r="AU341" s="226">
        <f>AU133+AU137+AU141+AU142+AU143</f>
        <v>9968</v>
      </c>
      <c r="AV341" s="226">
        <f>AV133+AV137+AV141+AV142+AV143</f>
        <v>9968</v>
      </c>
      <c r="AW341" s="226">
        <f>AW133+AW137+AW141+AW142+AW143</f>
        <v>9968</v>
      </c>
      <c r="AX341" s="226">
        <f>AX133+AX137+AX141+AX142+AX143</f>
        <v>9968</v>
      </c>
      <c r="AY341" s="226">
        <f>AY133+AY137+AY141+AY142+AY143</f>
        <v>9968</v>
      </c>
      <c r="AZ341" s="226">
        <f>AZ133+AZ137+AZ141+AZ142+AZ143</f>
        <v>9968</v>
      </c>
      <c r="BA341" s="226">
        <f>BA133+BA137+BA141+BA142+BA143</f>
        <v>9968</v>
      </c>
      <c r="BB341" s="226">
        <f>BB133+BB137+BB141+BB142+BB143</f>
        <v>9968</v>
      </c>
      <c r="BC341" s="226">
        <f>BC133+BC137+BC141+BC142+BC143</f>
        <v>9968</v>
      </c>
      <c r="BD341" s="226">
        <f>BD133+BD137+BD141+BD142+BD143</f>
        <v>9968</v>
      </c>
      <c r="BE341" s="226">
        <f>BE133+BE137+BE141+BE142+BE143</f>
        <v>9968</v>
      </c>
      <c r="BF341" s="226">
        <f>BF133+BF137+BF141+BF142+BF143</f>
        <v>9968</v>
      </c>
      <c r="BG341" s="226">
        <f>BG133+BG137+BG141+BG142+BG143</f>
        <v>9968</v>
      </c>
      <c r="BH341" s="226">
        <f>BH133+BH137+BH141+BH142+BH143</f>
        <v>9968</v>
      </c>
      <c r="BI341" s="226">
        <f>BI133+BI137+BI141+BI142+BI143</f>
        <v>9968</v>
      </c>
      <c r="BJ341" s="226">
        <f>BJ133+BJ137+BJ141+BJ142+BJ143</f>
        <v>9968</v>
      </c>
      <c r="BK341" s="226">
        <f>BK133+BK137+BK141+BK142+BK143</f>
        <v>9968</v>
      </c>
      <c r="BL341" s="226">
        <f>BL133+BL137+BL141+BL142+BL143</f>
        <v>9968</v>
      </c>
      <c r="BM341" s="226">
        <f>BM133+BM137+BM141+BM142+BM143</f>
        <v>9968</v>
      </c>
      <c r="BN341" s="226">
        <f>BN133+BN137+BN141+BN142+BN143</f>
        <v>9968</v>
      </c>
      <c r="BO341" s="226">
        <f>BO133+BO137+BO141+BO142+BO143</f>
        <v>9968</v>
      </c>
      <c r="BP341" s="226">
        <f>BP133+BP137+BP141+BP142+BP143</f>
        <v>9968</v>
      </c>
      <c r="BQ341" s="226">
        <f>BQ133+BQ137+BQ141+BQ142+BQ143</f>
        <v>9968</v>
      </c>
      <c r="BR341" s="226">
        <f>BR133+BR137+BR141+BR142+BR143</f>
        <v>9968</v>
      </c>
      <c r="BS341" s="226">
        <f>BS133+BS137+BS141+BS142+BS143</f>
        <v>9968</v>
      </c>
      <c r="BT341" s="226">
        <f>BT133+BT137+BT141+BT142+BT143</f>
        <v>9968</v>
      </c>
      <c r="BU341" s="226">
        <f>BU133+BU137+BU141+BU142+BU143</f>
        <v>9968</v>
      </c>
      <c r="BV341" s="226">
        <f>BV133+BV137+BV141+BV142+BV143</f>
        <v>9968</v>
      </c>
      <c r="BW341" s="226">
        <f>BW133+BW137+BW141+BW142+BW143</f>
        <v>9968</v>
      </c>
      <c r="BX341" s="226">
        <f>BX133+BX137+BX141+BX142+BX143</f>
        <v>9968</v>
      </c>
      <c r="BY341" s="226">
        <f>BY133+BY137+BY141+BY142+BY143</f>
        <v>9968</v>
      </c>
      <c r="BZ341" s="226">
        <f>BZ133+BZ137+BZ141+BZ142+BZ143</f>
        <v>9968</v>
      </c>
      <c r="CA341" s="226">
        <f>CA133+CA137+CA141+CA142+CA143</f>
        <v>9968</v>
      </c>
      <c r="CB341" s="226">
        <f>CB133+CB137+CB141+CB142+CB143</f>
        <v>9968</v>
      </c>
      <c r="CC341" s="226">
        <f>CC133+CC137+CC141+CC142+CC143</f>
        <v>9968</v>
      </c>
      <c r="CD341" s="226">
        <f>CD133+CD137+CD141+CD142+CD143</f>
        <v>9968</v>
      </c>
      <c r="CE341" s="226">
        <f>CE133+CE137+CE141+CE142+CE143</f>
        <v>9968</v>
      </c>
      <c r="CF341" s="226">
        <f>CF133+CF137+CF141+CF142+CF143</f>
        <v>9968</v>
      </c>
      <c r="CG341" s="226">
        <f>CG133+CG137+CG141+CG142+CG143</f>
        <v>9968</v>
      </c>
      <c r="CH341" s="226">
        <f>CH133+CH137+CH141+CH142+CH143</f>
        <v>9968</v>
      </c>
      <c r="CI341" s="226">
        <f>CI133+CI137+CI141+CI142+CI143</f>
        <v>9968</v>
      </c>
      <c r="CJ341" s="226">
        <f>CJ133+CJ137+CJ141+CJ142+CJ143</f>
        <v>9968</v>
      </c>
      <c r="CK341" s="226">
        <f>CK133+CK137+CK141+CK142+CK143</f>
        <v>9968</v>
      </c>
      <c r="CL341" s="226">
        <f>CL133+CL137+CL141+CL142+CL143</f>
        <v>9968</v>
      </c>
      <c r="CM341" s="226">
        <f>CM133+CM137+CM141+CM142+CM143</f>
        <v>9968</v>
      </c>
      <c r="CN341" s="226">
        <f>CN133+CN137+CN141+CN142+CN143</f>
        <v>9968</v>
      </c>
      <c r="CO341" s="226">
        <f>CO133+CO137+CO141+CO142+CO143</f>
        <v>9968</v>
      </c>
      <c r="CP341" s="226">
        <f>CP133+CP137+CP141+CP142+CP143</f>
        <v>9968</v>
      </c>
      <c r="CQ341" s="226">
        <f>CQ133+CQ137+CQ141+CQ142+CQ143</f>
        <v>9968</v>
      </c>
      <c r="CR341" s="226">
        <f>CR133+CR137+CR141+CR142+CR143</f>
        <v>9968</v>
      </c>
      <c r="CS341" s="226">
        <f>CS133+CS137+CS141+CS142+CS143</f>
        <v>9968</v>
      </c>
      <c r="CT341" s="226">
        <f>CT133+CT137+CT141+CT142+CT143</f>
        <v>9968</v>
      </c>
      <c r="CU341" s="226">
        <f>CU133+CU137+CU141+CU142+CU143</f>
        <v>9968</v>
      </c>
      <c r="CV341" s="226">
        <f>CV133+CV137+CV141+CV142+CV143</f>
        <v>9968</v>
      </c>
      <c r="CW341" s="226">
        <f>CW133+CW137+CW141+CW142+CW143</f>
        <v>9968</v>
      </c>
      <c r="CX341" s="226">
        <f>CX133+CX137+CX141+CX142+CX143</f>
        <v>9968</v>
      </c>
      <c r="CY341" s="226">
        <f>CY133+CY137+CY141+CY142+CY143</f>
        <v>9968</v>
      </c>
    </row>
    <row r="342" customFormat="1" s="233">
      <c r="A342" s="224" t="n"/>
      <c r="B342" s="224" t="n"/>
      <c r="C342" s="233" t="inlineStr">
        <is>
          <t>CURRENT LIABILITIES</t>
        </is>
      </c>
      <c r="D342" s="241">
        <f>D186+D190+D192+D193</f>
        <v>5782</v>
      </c>
      <c r="E342" s="241">
        <f>E186+E190+E192+E193</f>
        <v>5880</v>
      </c>
      <c r="F342" s="241">
        <f>F186+F190+F192+F193</f>
        <v>5544</v>
      </c>
      <c r="G342" s="241">
        <f>G186+G190+G192+G193</f>
        <v>5830</v>
      </c>
      <c r="H342" s="241">
        <f>H186+H190+H192+H193</f>
        <v>5830</v>
      </c>
      <c r="I342" s="226">
        <f>I186+I190+I192+I193</f>
        <v>6158</v>
      </c>
      <c r="J342" s="226">
        <f>J186+J190+J192+J193</f>
        <v>6222</v>
      </c>
      <c r="K342" s="226">
        <f>K186+K190+K192+K193</f>
        <v>5991</v>
      </c>
      <c r="L342" s="226">
        <f>L186+L190+L192+L193</f>
        <v>5987</v>
      </c>
      <c r="M342" s="226">
        <f>M186+M190+M192+M193</f>
        <v>5987</v>
      </c>
      <c r="N342" s="226">
        <f>N186+N190+N192+N193</f>
        <v>6608</v>
      </c>
      <c r="O342" s="226">
        <f>O186+O190+O192+O193</f>
        <v>6398</v>
      </c>
      <c r="P342" s="226">
        <f>P186+P190+P192+P193</f>
        <v>6612</v>
      </c>
      <c r="Q342" s="226">
        <f>Q186+Q190+Q192+Q193</f>
        <v>6368</v>
      </c>
      <c r="R342" s="226">
        <f>R186+R190+R192+R193</f>
        <v>6368</v>
      </c>
      <c r="S342" s="226">
        <f>S186+S190+S192+S193</f>
        <v>6394</v>
      </c>
      <c r="T342" s="226">
        <f>T186+T190+T192+T193</f>
        <v>6226</v>
      </c>
      <c r="U342" s="226">
        <f>U186+U190+U192+U193</f>
        <v>5797</v>
      </c>
      <c r="V342" s="226">
        <f>V186+V190+V192+V193</f>
        <v>17936</v>
      </c>
      <c r="W342" s="226">
        <f>W186+W190+W192+W193</f>
        <v>17936</v>
      </c>
      <c r="X342" s="226">
        <f>X186+X190+X192+X193</f>
        <v>17745</v>
      </c>
      <c r="Y342" s="226">
        <f>Y186+Y190+Y192+Y193</f>
        <v>16060</v>
      </c>
      <c r="Z342" s="226">
        <f>Z186+Z190+Z192+Z193</f>
        <v>15426</v>
      </c>
      <c r="AA342" s="226">
        <f>AA186+AA190+AA192+AA193</f>
        <v>15257</v>
      </c>
      <c r="AB342" s="226">
        <f>AB186+AB190+AB192+AB193</f>
        <v>15257</v>
      </c>
      <c r="AC342" s="226">
        <f>AC186+AC190+AC192+AC193</f>
        <v>15066</v>
      </c>
      <c r="AD342" s="226">
        <f>AD186+AD190+AD192+AD193</f>
        <v>15305</v>
      </c>
      <c r="AE342" s="226">
        <f>AE186+AE190+AE192+AE193</f>
        <v>15362</v>
      </c>
      <c r="AF342" s="226">
        <f>AF186+AF190+AF192+AF193</f>
        <v>14607</v>
      </c>
      <c r="AG342" s="226">
        <f>AG186+AG190+AG192+AG193</f>
        <v>14607</v>
      </c>
      <c r="AH342" s="226">
        <f>AH186+AH190+AH192+AH193</f>
        <v>16610</v>
      </c>
      <c r="AI342" s="226">
        <f>AI186+AI190+AI192+AI193</f>
        <v>18586</v>
      </c>
      <c r="AJ342" s="226">
        <f>AJ186+AJ190+AJ192+AJ193</f>
        <v>13080</v>
      </c>
      <c r="AK342" s="226">
        <f>AK186+AK190+AK192+AK193</f>
        <v>13080</v>
      </c>
      <c r="AL342" s="226">
        <f>AL186+AL190+AL192+AL193</f>
        <v>13080</v>
      </c>
      <c r="AM342" s="226" t="e">
        <f>AM186+AM190+AM192+AM193</f>
        <v>#DIV/0!</v>
      </c>
      <c r="AN342" s="226">
        <f>AN186+AN190+AN192+AN193</f>
        <v>13080</v>
      </c>
      <c r="AO342" s="226" t="e">
        <f>AO186+AO190+AO192+AO193</f>
        <v>#DIV/0!</v>
      </c>
      <c r="AP342" s="226" t="e">
        <f>AP186+AP190+AP192+AP193</f>
        <v>#DIV/0!</v>
      </c>
      <c r="AQ342" s="226" t="e">
        <f>AQ186+AQ190+AQ192+AQ193</f>
        <v>#DIV/0!</v>
      </c>
      <c r="AR342" s="226" t="e">
        <f>AR186+AR190+AR192+AR193</f>
        <v>#DIV/0!</v>
      </c>
      <c r="AS342" s="226" t="e">
        <f>AS186+AS190+AS192+AS193</f>
        <v>#DIV/0!</v>
      </c>
      <c r="AT342" s="226" t="e">
        <f>AT186+AT190+AT192+AT193</f>
        <v>#DIV/0!</v>
      </c>
      <c r="AU342" s="226" t="e">
        <f>AU186+AU190+AU192+AU193</f>
        <v>#DIV/0!</v>
      </c>
      <c r="AV342" s="226" t="e">
        <f>AV186+AV190+AV192+AV193</f>
        <v>#DIV/0!</v>
      </c>
      <c r="AW342" s="226" t="e">
        <f>AW186+AW190+AW192+AW193</f>
        <v>#DIV/0!</v>
      </c>
      <c r="AX342" s="226" t="e">
        <f>AX186+AX190+AX192+AX193</f>
        <v>#DIV/0!</v>
      </c>
      <c r="AY342" s="226" t="e">
        <f>AY186+AY190+AY192+AY193</f>
        <v>#DIV/0!</v>
      </c>
      <c r="AZ342" s="226" t="e">
        <f>AZ186+AZ190+AZ192+AZ193</f>
        <v>#DIV/0!</v>
      </c>
      <c r="BA342" s="226" t="e">
        <f>BA186+BA190+BA192+BA193</f>
        <v>#DIV/0!</v>
      </c>
      <c r="BB342" s="226" t="e">
        <f>BB186+BB190+BB192+BB193</f>
        <v>#DIV/0!</v>
      </c>
      <c r="BC342" s="226" t="e">
        <f>BC186+BC190+BC192+BC193</f>
        <v>#DIV/0!</v>
      </c>
      <c r="BD342" s="226" t="e">
        <f>BD186+BD190+BD192+BD193</f>
        <v>#DIV/0!</v>
      </c>
      <c r="BE342" s="226" t="e">
        <f>BE186+BE190+BE192+BE193</f>
        <v>#DIV/0!</v>
      </c>
      <c r="BF342" s="226" t="e">
        <f>BF186+BF190+BF192+BF193</f>
        <v>#DIV/0!</v>
      </c>
      <c r="BG342" s="226" t="e">
        <f>BG186+BG190+BG192+BG193</f>
        <v>#DIV/0!</v>
      </c>
      <c r="BH342" s="226" t="e">
        <f>BH186+BH190+BH192+BH193</f>
        <v>#DIV/0!</v>
      </c>
      <c r="BI342" s="226" t="e">
        <f>BI186+BI190+BI192+BI193</f>
        <v>#DIV/0!</v>
      </c>
      <c r="BJ342" s="226" t="e">
        <f>BJ186+BJ190+BJ192+BJ193</f>
        <v>#DIV/0!</v>
      </c>
      <c r="BK342" s="226" t="e">
        <f>BK186+BK190+BK192+BK193</f>
        <v>#DIV/0!</v>
      </c>
      <c r="BL342" s="226" t="e">
        <f>BL186+BL190+BL192+BL193</f>
        <v>#DIV/0!</v>
      </c>
      <c r="BM342" s="226" t="e">
        <f>BM186+BM190+BM192+BM193</f>
        <v>#DIV/0!</v>
      </c>
      <c r="BN342" s="226" t="e">
        <f>BN186+BN190+BN192+BN193</f>
        <v>#DIV/0!</v>
      </c>
      <c r="BO342" s="226" t="e">
        <f>BO186+BO190+BO192+BO193</f>
        <v>#DIV/0!</v>
      </c>
      <c r="BP342" s="226" t="e">
        <f>BP186+BP190+BP192+BP193</f>
        <v>#DIV/0!</v>
      </c>
      <c r="BQ342" s="226" t="e">
        <f>BQ186+BQ190+BQ192+BQ193</f>
        <v>#DIV/0!</v>
      </c>
      <c r="BR342" s="226" t="e">
        <f>BR186+BR190+BR192+BR193</f>
        <v>#DIV/0!</v>
      </c>
      <c r="BS342" s="226" t="e">
        <f>BS186+BS190+BS192+BS193</f>
        <v>#DIV/0!</v>
      </c>
      <c r="BT342" s="226" t="e">
        <f>BT186+BT190+BT192+BT193</f>
        <v>#DIV/0!</v>
      </c>
      <c r="BU342" s="226" t="e">
        <f>BU186+BU190+BU192+BU193</f>
        <v>#DIV/0!</v>
      </c>
      <c r="BV342" s="226" t="e">
        <f>BV186+BV190+BV192+BV193</f>
        <v>#DIV/0!</v>
      </c>
      <c r="BW342" s="226" t="e">
        <f>BW186+BW190+BW192+BW193</f>
        <v>#DIV/0!</v>
      </c>
      <c r="BX342" s="226" t="e">
        <f>BX186+BX190+BX192+BX193</f>
        <v>#DIV/0!</v>
      </c>
      <c r="BY342" s="226" t="e">
        <f>BY186+BY190+BY192+BY193</f>
        <v>#DIV/0!</v>
      </c>
      <c r="BZ342" s="226" t="e">
        <f>BZ186+BZ190+BZ192+BZ193</f>
        <v>#DIV/0!</v>
      </c>
      <c r="CA342" s="226" t="e">
        <f>CA186+CA190+CA192+CA193</f>
        <v>#DIV/0!</v>
      </c>
      <c r="CB342" s="226" t="e">
        <f>CB186+CB190+CB192+CB193</f>
        <v>#DIV/0!</v>
      </c>
      <c r="CC342" s="226" t="e">
        <f>CC186+CC190+CC192+CC193</f>
        <v>#DIV/0!</v>
      </c>
      <c r="CD342" s="226" t="e">
        <f>CD186+CD190+CD192+CD193</f>
        <v>#DIV/0!</v>
      </c>
      <c r="CE342" s="226" t="e">
        <f>CE186+CE190+CE192+CE193</f>
        <v>#DIV/0!</v>
      </c>
      <c r="CF342" s="226" t="e">
        <f>CF186+CF190+CF192+CF193</f>
        <v>#DIV/0!</v>
      </c>
      <c r="CG342" s="226" t="e">
        <f>CG186+CG190+CG192+CG193</f>
        <v>#DIV/0!</v>
      </c>
      <c r="CH342" s="226" t="e">
        <f>CH186+CH190+CH192+CH193</f>
        <v>#DIV/0!</v>
      </c>
      <c r="CI342" s="226" t="e">
        <f>CI186+CI190+CI192+CI193</f>
        <v>#DIV/0!</v>
      </c>
      <c r="CJ342" s="226" t="e">
        <f>CJ186+CJ190+CJ192+CJ193</f>
        <v>#DIV/0!</v>
      </c>
      <c r="CK342" s="226" t="e">
        <f>CK186+CK190+CK192+CK193</f>
        <v>#DIV/0!</v>
      </c>
      <c r="CL342" s="226" t="e">
        <f>CL186+CL190+CL192+CL193</f>
        <v>#DIV/0!</v>
      </c>
      <c r="CM342" s="226" t="e">
        <f>CM186+CM190+CM192+CM193</f>
        <v>#DIV/0!</v>
      </c>
      <c r="CN342" s="226" t="e">
        <f>CN186+CN190+CN192+CN193</f>
        <v>#DIV/0!</v>
      </c>
      <c r="CO342" s="226" t="e">
        <f>CO186+CO190+CO192+CO193</f>
        <v>#DIV/0!</v>
      </c>
      <c r="CP342" s="226" t="e">
        <f>CP186+CP190+CP192+CP193</f>
        <v>#DIV/0!</v>
      </c>
      <c r="CQ342" s="226" t="e">
        <f>CQ186+CQ190+CQ192+CQ193</f>
        <v>#DIV/0!</v>
      </c>
      <c r="CR342" s="226" t="e">
        <f>CR186+CR190+CR192+CR193</f>
        <v>#DIV/0!</v>
      </c>
      <c r="CS342" s="226" t="e">
        <f>CS186+CS190+CS192+CS193</f>
        <v>#DIV/0!</v>
      </c>
      <c r="CT342" s="226" t="e">
        <f>CT186+CT190+CT192+CT193</f>
        <v>#DIV/0!</v>
      </c>
      <c r="CU342" s="226" t="e">
        <f>CU186+CU190+CU192+CU193</f>
        <v>#DIV/0!</v>
      </c>
      <c r="CV342" s="226" t="e">
        <f>CV186+CV190+CV192+CV193</f>
        <v>#DIV/0!</v>
      </c>
      <c r="CW342" s="226" t="e">
        <f>CW186+CW190+CW192+CW193</f>
        <v>#DIV/0!</v>
      </c>
      <c r="CX342" s="226" t="e">
        <f>CX186+CX190+CX192+CX193</f>
        <v>#DIV/0!</v>
      </c>
      <c r="CY342" s="226" t="e">
        <f>CY186+CY190+CY192+CY193</f>
        <v>#DIV/0!</v>
      </c>
    </row>
    <row r="343" customFormat="1" s="233">
      <c r="A343" s="224" t="n"/>
      <c r="B343" s="224" t="n"/>
      <c r="C343" s="233" t="inlineStr">
        <is>
          <t>FIXED ASSETS</t>
        </is>
      </c>
      <c r="D343" s="241">
        <f>D154+D164+D167+D168+D177-D228</f>
        <v>61393</v>
      </c>
      <c r="E343" s="241">
        <f>E154+E164+E167+E168+E177-E228</f>
        <v>59807</v>
      </c>
      <c r="F343" s="241">
        <f>F154+F164+F167+F168+F177-F228</f>
        <v>58612</v>
      </c>
      <c r="G343" s="241">
        <f>G154+G164+G167+G168+G177-G228</f>
        <v>57461</v>
      </c>
      <c r="H343" s="241">
        <f>H154+H164+H167+H168+H177-H228</f>
        <v>57461</v>
      </c>
      <c r="I343" s="226">
        <f>I154+I164+I167+I168+I177-I228</f>
        <v>56317</v>
      </c>
      <c r="J343" s="226">
        <f>J154+J164+J167+J168+J177-J228</f>
        <v>55410</v>
      </c>
      <c r="K343" s="226">
        <f>K154+K164+K167+K168+K177-K228</f>
        <v>54124</v>
      </c>
      <c r="L343" s="226">
        <f>L154+L164+L167+L168+L177-L228</f>
        <v>53145</v>
      </c>
      <c r="M343" s="226">
        <f>M154+M164+M167+M168+M177-M228</f>
        <v>53145</v>
      </c>
      <c r="N343" s="226">
        <f>N154+N164+N167+N168+N177-N228</f>
        <v>52254</v>
      </c>
      <c r="O343" s="226">
        <f>O154+O164+O167+O168+O177-O228</f>
        <v>51235</v>
      </c>
      <c r="P343" s="226">
        <f>P154+P164+P167+P168+P177-P228</f>
        <v>50332</v>
      </c>
      <c r="Q343" s="226">
        <f>Q154+Q164+Q167+Q168+Q177-Q228</f>
        <v>50124</v>
      </c>
      <c r="R343" s="226">
        <f>R154+R164+R167+R168+R177-R228</f>
        <v>50124</v>
      </c>
      <c r="S343" s="226">
        <f>S154+S164+S167+S168+S177-S228</f>
        <v>49841</v>
      </c>
      <c r="T343" s="226">
        <f>T154+T164+T167+T168+T177-T228</f>
        <v>49313</v>
      </c>
      <c r="U343" s="226">
        <f>U154+U164+U167+U168+U177-U228</f>
        <v>48167</v>
      </c>
      <c r="V343" s="226">
        <f>V154+V164+V167+V168+V177-V228</f>
        <v>136929</v>
      </c>
      <c r="W343" s="226">
        <f>W154+W164+W167+W168+W177-W228</f>
        <v>136929</v>
      </c>
      <c r="X343" s="226">
        <f>X154+X164+X167+X168+X177-X228</f>
        <v>136420</v>
      </c>
      <c r="Y343" s="226">
        <f>Y154+Y164+Y167+Y168+Y177-Y228</f>
        <v>131723</v>
      </c>
      <c r="Z343" s="226">
        <f>Z154+Z164+Z167+Z168+Z177-Z228</f>
        <v>131075</v>
      </c>
      <c r="AA343" s="226">
        <f>AA154+AA164+AA167+AA168+AA177-AA228</f>
        <v>130635</v>
      </c>
      <c r="AB343" s="226">
        <f>AB154+AB164+AB167+AB168+AB177-AB228</f>
        <v>130635</v>
      </c>
      <c r="AC343" s="226">
        <f>AC154+AC164+AC167+AC168+AC177-AC228</f>
        <v>129753</v>
      </c>
      <c r="AD343" s="226">
        <f>AD154+AD164+AD167+AD168+AD177-AD228</f>
        <v>127813</v>
      </c>
      <c r="AE343" s="226">
        <f>AE154+AE164+AE167+AE168+AE177-AE228</f>
        <v>130217</v>
      </c>
      <c r="AF343" s="226">
        <f>AF154+AF164+AF167+AF168+AF177-AF228</f>
        <v>128474</v>
      </c>
      <c r="AG343" s="226">
        <f>AG154+AG164+AG167+AG168+AG177-AG228</f>
        <v>128474</v>
      </c>
      <c r="AH343" s="226">
        <f>AH154+AH164+AH167+AH168+AH177-AH228</f>
        <v>126995</v>
      </c>
      <c r="AI343" s="226">
        <f>AI154+AI164+AI167+AI168+AI177-AI228</f>
        <v>125522</v>
      </c>
      <c r="AJ343" s="226">
        <f>AJ154+AJ164+AJ167+AJ168+AJ177-AJ228</f>
        <v>99197</v>
      </c>
      <c r="AK343" s="226">
        <f>AK154+AK164+AK167+AK168+AK177-AK228</f>
        <v>99197</v>
      </c>
      <c r="AL343" s="226">
        <f>AL154+AL164+AL167+AL168+AL177-AL228</f>
        <v>99197</v>
      </c>
      <c r="AM343" s="226">
        <f>AM154+AM164+AM167+AM168+AM177-AM228</f>
        <v>99197</v>
      </c>
      <c r="AN343" s="226">
        <f>AN154+AN164+AN167+AN168+AN177-AN228</f>
        <v>99197</v>
      </c>
      <c r="AO343" s="226">
        <f>AO154+AO164+AO167+AO168+AO177-AO228</f>
        <v>99197</v>
      </c>
      <c r="AP343" s="226">
        <f>AP154+AP164+AP167+AP168+AP177-AP228</f>
        <v>99197</v>
      </c>
      <c r="AQ343" s="226">
        <f>AQ154+AQ164+AQ167+AQ168+AQ177-AQ228</f>
        <v>99197</v>
      </c>
      <c r="AR343" s="226">
        <f>AR154+AR164+AR167+AR168+AR177-AR228</f>
        <v>99197</v>
      </c>
      <c r="AS343" s="226">
        <f>AS154+AS164+AS167+AS168+AS177-AS228</f>
        <v>99197</v>
      </c>
      <c r="AT343" s="226">
        <f>AT154+AT164+AT167+AT168+AT177-AT228</f>
        <v>99197</v>
      </c>
      <c r="AU343" s="226">
        <f>AU154+AU164+AU167+AU168+AU177-AU228</f>
        <v>99197</v>
      </c>
      <c r="AV343" s="226">
        <f>AV154+AV164+AV167+AV168+AV177-AV228</f>
        <v>99197</v>
      </c>
      <c r="AW343" s="226">
        <f>AW154+AW164+AW167+AW168+AW177-AW228</f>
        <v>99197</v>
      </c>
      <c r="AX343" s="226">
        <f>AX154+AX164+AX167+AX168+AX177-AX228</f>
        <v>99197</v>
      </c>
      <c r="AY343" s="226">
        <f>AY154+AY164+AY167+AY168+AY177-AY228</f>
        <v>99197</v>
      </c>
      <c r="AZ343" s="226">
        <f>AZ154+AZ164+AZ167+AZ168+AZ177-AZ228</f>
        <v>99197</v>
      </c>
      <c r="BA343" s="226">
        <f>BA154+BA164+BA167+BA168+BA177-BA228</f>
        <v>99197</v>
      </c>
      <c r="BB343" s="226">
        <f>BB154+BB164+BB167+BB168+BB177-BB228</f>
        <v>99197</v>
      </c>
      <c r="BC343" s="226">
        <f>BC154+BC164+BC167+BC168+BC177-BC228</f>
        <v>99197</v>
      </c>
      <c r="BD343" s="226">
        <f>BD154+BD164+BD167+BD168+BD177-BD228</f>
        <v>99197</v>
      </c>
      <c r="BE343" s="226">
        <f>BE154+BE164+BE167+BE168+BE177-BE228</f>
        <v>99197</v>
      </c>
      <c r="BF343" s="226">
        <f>BF154+BF164+BF167+BF168+BF177-BF228</f>
        <v>99197</v>
      </c>
      <c r="BG343" s="226">
        <f>BG154+BG164+BG167+BG168+BG177-BG228</f>
        <v>99197</v>
      </c>
      <c r="BH343" s="226">
        <f>BH154+BH164+BH167+BH168+BH177-BH228</f>
        <v>99197</v>
      </c>
      <c r="BI343" s="226">
        <f>BI154+BI164+BI167+BI168+BI177-BI228</f>
        <v>99197</v>
      </c>
      <c r="BJ343" s="226">
        <f>BJ154+BJ164+BJ167+BJ168+BJ177-BJ228</f>
        <v>99197</v>
      </c>
      <c r="BK343" s="226">
        <f>BK154+BK164+BK167+BK168+BK177-BK228</f>
        <v>99197</v>
      </c>
      <c r="BL343" s="226">
        <f>BL154+BL164+BL167+BL168+BL177-BL228</f>
        <v>99197</v>
      </c>
      <c r="BM343" s="226">
        <f>BM154+BM164+BM167+BM168+BM177-BM228</f>
        <v>99197</v>
      </c>
      <c r="BN343" s="226">
        <f>BN154+BN164+BN167+BN168+BN177-BN228</f>
        <v>99197</v>
      </c>
      <c r="BO343" s="226">
        <f>BO154+BO164+BO167+BO168+BO177-BO228</f>
        <v>99197</v>
      </c>
      <c r="BP343" s="226">
        <f>BP154+BP164+BP167+BP168+BP177-BP228</f>
        <v>99197</v>
      </c>
      <c r="BQ343" s="226">
        <f>BQ154+BQ164+BQ167+BQ168+BQ177-BQ228</f>
        <v>99197</v>
      </c>
      <c r="BR343" s="226">
        <f>BR154+BR164+BR167+BR168+BR177-BR228</f>
        <v>99197</v>
      </c>
      <c r="BS343" s="226">
        <f>BS154+BS164+BS167+BS168+BS177-BS228</f>
        <v>99197</v>
      </c>
      <c r="BT343" s="226">
        <f>BT154+BT164+BT167+BT168+BT177-BT228</f>
        <v>99197</v>
      </c>
      <c r="BU343" s="226">
        <f>BU154+BU164+BU167+BU168+BU177-BU228</f>
        <v>99197</v>
      </c>
      <c r="BV343" s="226">
        <f>BV154+BV164+BV167+BV168+BV177-BV228</f>
        <v>99197</v>
      </c>
      <c r="BW343" s="226">
        <f>BW154+BW164+BW167+BW168+BW177-BW228</f>
        <v>99197</v>
      </c>
      <c r="BX343" s="226">
        <f>BX154+BX164+BX167+BX168+BX177-BX228</f>
        <v>99197</v>
      </c>
      <c r="BY343" s="226">
        <f>BY154+BY164+BY167+BY168+BY177-BY228</f>
        <v>99197</v>
      </c>
      <c r="BZ343" s="226">
        <f>BZ154+BZ164+BZ167+BZ168+BZ177-BZ228</f>
        <v>99197</v>
      </c>
      <c r="CA343" s="226">
        <f>CA154+CA164+CA167+CA168+CA177-CA228</f>
        <v>99197</v>
      </c>
      <c r="CB343" s="226">
        <f>CB154+CB164+CB167+CB168+CB177-CB228</f>
        <v>99197</v>
      </c>
      <c r="CC343" s="226">
        <f>CC154+CC164+CC167+CC168+CC177-CC228</f>
        <v>99197</v>
      </c>
      <c r="CD343" s="226">
        <f>CD154+CD164+CD167+CD168+CD177-CD228</f>
        <v>99197</v>
      </c>
      <c r="CE343" s="226">
        <f>CE154+CE164+CE167+CE168+CE177-CE228</f>
        <v>99197</v>
      </c>
      <c r="CF343" s="226">
        <f>CF154+CF164+CF167+CF168+CF177-CF228</f>
        <v>99197</v>
      </c>
      <c r="CG343" s="226">
        <f>CG154+CG164+CG167+CG168+CG177-CG228</f>
        <v>99197</v>
      </c>
      <c r="CH343" s="226">
        <f>CH154+CH164+CH167+CH168+CH177-CH228</f>
        <v>99197</v>
      </c>
      <c r="CI343" s="226">
        <f>CI154+CI164+CI167+CI168+CI177-CI228</f>
        <v>99197</v>
      </c>
      <c r="CJ343" s="226">
        <f>CJ154+CJ164+CJ167+CJ168+CJ177-CJ228</f>
        <v>99197</v>
      </c>
      <c r="CK343" s="226">
        <f>CK154+CK164+CK167+CK168+CK177-CK228</f>
        <v>99197</v>
      </c>
      <c r="CL343" s="226">
        <f>CL154+CL164+CL167+CL168+CL177-CL228</f>
        <v>99197</v>
      </c>
      <c r="CM343" s="226">
        <f>CM154+CM164+CM167+CM168+CM177-CM228</f>
        <v>99197</v>
      </c>
      <c r="CN343" s="226">
        <f>CN154+CN164+CN167+CN168+CN177-CN228</f>
        <v>99197</v>
      </c>
      <c r="CO343" s="226">
        <f>CO154+CO164+CO167+CO168+CO177-CO228</f>
        <v>99197</v>
      </c>
      <c r="CP343" s="226">
        <f>CP154+CP164+CP167+CP168+CP177-CP228</f>
        <v>99197</v>
      </c>
      <c r="CQ343" s="226">
        <f>CQ154+CQ164+CQ167+CQ168+CQ177-CQ228</f>
        <v>99197</v>
      </c>
      <c r="CR343" s="226">
        <f>CR154+CR164+CR167+CR168+CR177-CR228</f>
        <v>99197</v>
      </c>
      <c r="CS343" s="226">
        <f>CS154+CS164+CS167+CS168+CS177-CS228</f>
        <v>99197</v>
      </c>
      <c r="CT343" s="226">
        <f>CT154+CT164+CT167+CT168+CT177-CT228</f>
        <v>99197</v>
      </c>
      <c r="CU343" s="226">
        <f>CU154+CU164+CU167+CU168+CU177-CU228</f>
        <v>99197</v>
      </c>
      <c r="CV343" s="226">
        <f>CV154+CV164+CV167+CV168+CV177-CV228</f>
        <v>99197</v>
      </c>
      <c r="CW343" s="226">
        <f>CW154+CW164+CW167+CW168+CW177-CW228</f>
        <v>99197</v>
      </c>
      <c r="CX343" s="226">
        <f>CX154+CX164+CX167+CX168+CX177-CX228</f>
        <v>99197</v>
      </c>
      <c r="CY343" s="226">
        <f>CY154+CY164+CY167+CY168+CY177-CY228</f>
        <v>99197</v>
      </c>
    </row>
    <row r="344" customFormat="1" s="233">
      <c r="A344" s="224" t="n"/>
      <c r="B344" s="224" t="n"/>
    </row>
    <row r="345" customFormat="1" s="233">
      <c r="A345" s="224" t="n"/>
      <c r="B345" s="224" t="n"/>
    </row>
    <row r="346" customFormat="1" s="233">
      <c r="A346" s="224" t="n"/>
      <c r="B346" s="224" t="n"/>
    </row>
    <row r="347" customFormat="1" s="233">
      <c r="A347" s="224" t="n"/>
      <c r="B347" s="224" t="n"/>
    </row>
    <row r="348" customFormat="1" s="233">
      <c r="A348" s="224" t="n"/>
      <c r="B348" s="224" t="n"/>
    </row>
    <row r="349" customFormat="1" s="233">
      <c r="A349" s="224" t="n"/>
      <c r="B349" s="224" t="n"/>
    </row>
    <row r="350" customFormat="1" s="233">
      <c r="A350" s="224" t="n"/>
      <c r="B350" s="224" t="n"/>
    </row>
    <row r="351" customFormat="1" s="233">
      <c r="A351" s="224" t="n"/>
      <c r="B351" s="224" t="n"/>
      <c r="C351" s="234" t="inlineStr">
        <is>
          <t>DUPONT ANALYSIS</t>
        </is>
      </c>
    </row>
    <row r="352" customFormat="1" s="233">
      <c r="A352" s="224" t="n"/>
      <c r="B352" s="224" t="n"/>
      <c r="C352" s="233" t="inlineStr">
        <is>
          <t>NET PROFIT MARGIN</t>
        </is>
      </c>
      <c r="D352" s="238">
        <f>D125/D15</f>
        <v>0.0849878091257402</v>
      </c>
      <c r="E352" s="238">
        <f>E125/E15</f>
        <v>0.105480158048445</v>
      </c>
      <c r="F352" s="238">
        <f>F125/F15</f>
        <v>0.193289005721355</v>
      </c>
      <c r="G352" s="238">
        <f>G125/G15</f>
        <v>0.195942900075132</v>
      </c>
      <c r="I352" s="222">
        <f>I125/I15</f>
        <v>0.214372163388805</v>
      </c>
      <c r="J352" s="222">
        <f>J125/J15</f>
        <v>0.265860135733255</v>
      </c>
      <c r="K352" s="222">
        <f>K125/K15</f>
        <v>0.258404212231673</v>
      </c>
      <c r="L352" s="222">
        <f>L125/L15</f>
        <v>0.311186088762004</v>
      </c>
      <c r="N352" s="222">
        <f>N125/N15</f>
        <v>0.310378872022708</v>
      </c>
      <c r="O352" s="222">
        <f>O125/O15</f>
        <v>0.354324196597354</v>
      </c>
      <c r="P352" s="222">
        <f>P125/P15</f>
        <v>0.401231802911534</v>
      </c>
      <c r="Q352" s="222">
        <f>Q125/Q15</f>
        <v>0.423331463825014</v>
      </c>
      <c r="S352" s="222">
        <f>S125/S15</f>
        <v>0.398603000114508</v>
      </c>
      <c r="T352" s="222">
        <f>T125/T15</f>
        <v>0.372127084272195</v>
      </c>
      <c r="U352" s="222">
        <f>U125/U15</f>
        <v>0.379128563743948</v>
      </c>
      <c r="V352" s="222">
        <f>V125/V15</f>
        <v>0.110776690912131</v>
      </c>
      <c r="X352" s="222">
        <f>X125/X15</f>
        <v>0.169856650916954</v>
      </c>
      <c r="Y352" s="222">
        <f>Y125/Y15</f>
        <v>-0.14343635250918</v>
      </c>
      <c r="Z352" s="222">
        <f>Z125/Z15</f>
        <v>0.307670414116977</v>
      </c>
      <c r="AA352" s="222">
        <f>AA125/AA15</f>
        <v>0.36893268972915</v>
      </c>
      <c r="AC352" s="222">
        <f>AC125/AC15</f>
        <v>0.330911756864836</v>
      </c>
      <c r="AD352" s="222">
        <f>AD125/AD15</f>
        <v>0.259528585757272</v>
      </c>
      <c r="AE352" s="222">
        <f>AE125/AE15</f>
        <v>0.472828198723286</v>
      </c>
      <c r="AF352" s="222">
        <f>AF125/AF15</f>
        <v>0.380560302418311</v>
      </c>
      <c r="AH352" s="222">
        <f>AH125/AH15</f>
        <v>0.419615089917519</v>
      </c>
      <c r="AI352" s="222">
        <f>AI125/AI15</f>
        <v>0.442296644249941</v>
      </c>
      <c r="AJ352" s="222">
        <f>AJ125/AJ15</f>
        <v>0.00655009714127116</v>
      </c>
      <c r="AK352" s="222">
        <f>AK125/AK15</f>
        <v>0.00507482781834188</v>
      </c>
      <c r="AM352" s="222">
        <f>AM125/AM15</f>
        <v>0.0044170009465002</v>
      </c>
      <c r="AN352" s="222">
        <f>AN125/AN15</f>
        <v>0.0145990334899125</v>
      </c>
      <c r="AO352" s="222">
        <f>AO125/AO15</f>
        <v>0.00543991118512351</v>
      </c>
      <c r="AP352" s="222">
        <f>AP125/AP15</f>
        <v>0.0223706695665683</v>
      </c>
      <c r="AR352" s="222">
        <f>AR125/AR15</f>
        <v>0.0194708613151846</v>
      </c>
      <c r="AS352" s="222">
        <f>AS125/AS15</f>
        <v>0.0358217025446926</v>
      </c>
      <c r="AT352" s="222">
        <f>AT125/AT15</f>
        <v>0.0239800166527893</v>
      </c>
      <c r="AU352" s="222">
        <f>AU125/AU15</f>
        <v>0.0548909947698203</v>
      </c>
      <c r="AW352" s="222">
        <f>AW125/AW15</f>
        <v>0.0477757245233695</v>
      </c>
      <c r="AX352" s="222">
        <f>AX125/AX15</f>
        <v>0.10084147206921</v>
      </c>
      <c r="AY352" s="222">
        <f>AY125/AY15</f>
        <v>0.0588398556758257</v>
      </c>
      <c r="AZ352" s="222">
        <f>AZ125/AZ15</f>
        <v>0.154523328672777</v>
      </c>
      <c r="BB352" s="222">
        <f>BB125/BB15</f>
        <v>0.134493171677108</v>
      </c>
      <c r="BC352" s="222">
        <f>BC125/BC15</f>
        <v>0.273326349227806</v>
      </c>
      <c r="BD352" s="222">
        <f>BD125/BD15</f>
        <v>0.16563974465723</v>
      </c>
      <c r="BE352" s="222">
        <f>BE125/BE15</f>
        <v>0.418828646885195</v>
      </c>
      <c r="BG352" s="222">
        <f>BG125/BG15</f>
        <v>0.364537792400956</v>
      </c>
      <c r="BH352" s="222">
        <f>BH125/BH15</f>
        <v>0.748335642594032</v>
      </c>
      <c r="BI352" s="222">
        <f>BI125/BI15</f>
        <v>0.448959200666112</v>
      </c>
      <c r="BJ352" s="222">
        <f>BJ125/BJ15</f>
        <v>1.14670395111594</v>
      </c>
      <c r="BL352" s="222">
        <f>BL125/BL15</f>
        <v>0.998061928156128</v>
      </c>
      <c r="BM352" s="222">
        <f>BM125/BM15</f>
        <v>2.04332398364368</v>
      </c>
      <c r="BN352" s="222">
        <f>BN125/BN15</f>
        <v>1.22919789064668</v>
      </c>
      <c r="BO352" s="222">
        <f>BO125/BO15</f>
        <v>3.13106519600228</v>
      </c>
      <c r="BQ352" s="222">
        <f>BQ125/BQ15</f>
        <v>2.72519944111417</v>
      </c>
      <c r="BR352" s="222">
        <f>BR125/BR15</f>
        <v>5.58331925247542</v>
      </c>
      <c r="BS352" s="222">
        <f>BS125/BS15</f>
        <v>3.35631418262559</v>
      </c>
      <c r="BT352" s="222">
        <f>BT125/BT15</f>
        <v>8.55553829423645</v>
      </c>
      <c r="BV352" s="222">
        <f>BV125/BV15</f>
        <v>7.44652273854059</v>
      </c>
      <c r="BW352" s="222">
        <f>BW125/BW15</f>
        <v>15.2532864722382</v>
      </c>
      <c r="BX352" s="222">
        <f>BX125/BX15</f>
        <v>9.17102414654455</v>
      </c>
      <c r="BY352" s="222">
        <f>BY125/BY15</f>
        <v>23.3732069804775</v>
      </c>
      <c r="CA352" s="222">
        <f>CA125/CA15</f>
        <v>20.3434443593095</v>
      </c>
      <c r="CB352" s="222">
        <f>CB125/CB15</f>
        <v>41.6732114494272</v>
      </c>
      <c r="CC352" s="222">
        <f>CC125/CC15</f>
        <v>25.0546766583403</v>
      </c>
      <c r="CD352" s="222">
        <f>CD125/CD15</f>
        <v>63.8574905494278</v>
      </c>
      <c r="CF352" s="222">
        <f>CF125/CF15</f>
        <v>55.5799341957002</v>
      </c>
      <c r="CG352" s="222">
        <f>CG125/CG15</f>
        <v>113.852995843331</v>
      </c>
      <c r="CH352" s="222">
        <f>CH125/CH15</f>
        <v>68.4514016097696</v>
      </c>
      <c r="CI352" s="222">
        <f>CI125/CI15</f>
        <v>174.46139505981</v>
      </c>
      <c r="CK352" s="222">
        <f>CK125/CK15</f>
        <v>151.846757110019</v>
      </c>
      <c r="CL352" s="222">
        <f>CL125/CL15</f>
        <v>311.052414585516</v>
      </c>
      <c r="CM352" s="222">
        <f>CM125/CM15</f>
        <v>187.01215653622</v>
      </c>
      <c r="CN352" s="222">
        <f>CN125/CN15</f>
        <v>476.637771218477</v>
      </c>
      <c r="CP352" s="222">
        <f>CP125/CP15</f>
        <v>414.853382611439</v>
      </c>
      <c r="CQ352" s="222">
        <f>CQ125/CQ15</f>
        <v>849.810820857693</v>
      </c>
      <c r="CR352" s="222">
        <f>CR125/CR15</f>
        <v>510.927116291979</v>
      </c>
      <c r="CS352" s="222">
        <f>CS125/CS15</f>
        <v>1302.19833255657</v>
      </c>
      <c r="CU352" s="222">
        <f>CU125/CU15</f>
        <v>1133.40027944292</v>
      </c>
      <c r="CV352" s="222">
        <f>CV125/CV15</f>
        <v>2321.72647088642</v>
      </c>
      <c r="CW352" s="222">
        <f>CW125/CW15</f>
        <v>1395.8785456564</v>
      </c>
      <c r="CX352" s="222">
        <f>CX125/CX15</f>
        <v>3557.6722075501</v>
      </c>
    </row>
    <row r="353" customFormat="1" s="233">
      <c r="A353" s="224" t="n"/>
      <c r="B353" s="224" t="n"/>
      <c r="C353" s="233" t="inlineStr">
        <is>
          <t>ASSET TURNOVER</t>
        </is>
      </c>
      <c r="D353" s="238">
        <f>D125/D185</f>
        <v>0.00598420562122922</v>
      </c>
      <c r="E353" s="238">
        <f>E125/E185</f>
        <v>0.00774294433655326</v>
      </c>
      <c r="F353" s="238">
        <f>F125/F185</f>
        <v>0.0164618808686605</v>
      </c>
      <c r="G353" s="238">
        <f>G125/G185</f>
        <v>0.0169412253806579</v>
      </c>
      <c r="I353" s="222">
        <f>I125/I185</f>
        <v>0.0187622477623007</v>
      </c>
      <c r="J353" s="222">
        <f>J125/J185</f>
        <v>0.0237480231945177</v>
      </c>
      <c r="K353" s="222">
        <f>K125/K185</f>
        <v>0.0253275109170306</v>
      </c>
      <c r="L353" s="222">
        <f>L125/L185</f>
        <v>0.0327488255216869</v>
      </c>
      <c r="N353" s="222">
        <f>N125/N185</f>
        <v>0.0350674158870034</v>
      </c>
      <c r="O353" s="222">
        <f>O125/O185</f>
        <v>0.0420463785996691</v>
      </c>
      <c r="P353" s="222">
        <f>P125/P185</f>
        <v>0.0489153435541782</v>
      </c>
      <c r="Q353" s="222">
        <f>Q125/Q185</f>
        <v>0.0517156325367244</v>
      </c>
      <c r="S353" s="222">
        <f>S125/S185</f>
        <v>0.0485718671075949</v>
      </c>
      <c r="T353" s="222">
        <f>T125/T185</f>
        <v>0.0461345065996229</v>
      </c>
      <c r="U353" s="222">
        <f>U125/U185</f>
        <v>0.0483660668944977</v>
      </c>
      <c r="V353" s="222">
        <f>V125/V185</f>
        <v>0.00744926069601394</v>
      </c>
      <c r="X353" s="222">
        <f>X125/X185</f>
        <v>0.0121054043410516</v>
      </c>
      <c r="Y353" s="222">
        <f>Y125/Y185</f>
        <v>-0.0111629734589143</v>
      </c>
      <c r="Z353" s="222">
        <f>Z125/Z185</f>
        <v>0.02610401762806</v>
      </c>
      <c r="AA353" s="222">
        <f>AA125/AA185</f>
        <v>0.0332793091353306</v>
      </c>
      <c r="AC353" s="222">
        <f>AC125/AC185</f>
        <v>0.0301585373261253</v>
      </c>
      <c r="AD353" s="222">
        <f>AD125/AD185</f>
        <v>0.0249968301121235</v>
      </c>
      <c r="AE353" s="222">
        <f>AE125/AE185</f>
        <v>0.0497860800037407</v>
      </c>
      <c r="AF353" s="222">
        <f>AF125/AF185</f>
        <v>0.0432540920407527</v>
      </c>
      <c r="AH353" s="222">
        <f>AH125/AH185</f>
        <v>0.0519653043682113</v>
      </c>
      <c r="AI353" s="222">
        <f>AI125/AI185</f>
        <v>0.0695622594978421</v>
      </c>
      <c r="AJ353" s="222">
        <f>AJ125/AJ185</f>
        <v>0.000645655504486759</v>
      </c>
      <c r="AK353" s="222">
        <f>AK125/AK185</f>
        <v>0.000535934987804745</v>
      </c>
      <c r="AM353" s="222" t="e">
        <f>AM125/AM185</f>
        <v>#DIV/0!</v>
      </c>
      <c r="AN353" s="222" t="e">
        <f>AN125/AN185</f>
        <v>#DIV/0!</v>
      </c>
      <c r="AO353" s="222" t="e">
        <f>AO125/AO185</f>
        <v>#DIV/0!</v>
      </c>
      <c r="AP353" s="222" t="e">
        <f>AP125/AP185</f>
        <v>#DIV/0!</v>
      </c>
      <c r="AR353" s="222" t="e">
        <f>AR125/AR185</f>
        <v>#DIV/0!</v>
      </c>
      <c r="AS353" s="222" t="e">
        <f>AS125/AS185</f>
        <v>#DIV/0!</v>
      </c>
      <c r="AT353" s="222" t="e">
        <f>AT125/AT185</f>
        <v>#DIV/0!</v>
      </c>
      <c r="AU353" s="222" t="e">
        <f>AU125/AU185</f>
        <v>#DIV/0!</v>
      </c>
      <c r="AW353" s="222" t="e">
        <f>AW125/AW185</f>
        <v>#DIV/0!</v>
      </c>
      <c r="AX353" s="222" t="e">
        <f>AX125/AX185</f>
        <v>#DIV/0!</v>
      </c>
      <c r="AY353" s="222" t="e">
        <f>AY125/AY185</f>
        <v>#DIV/0!</v>
      </c>
      <c r="AZ353" s="222" t="e">
        <f>AZ125/AZ185</f>
        <v>#DIV/0!</v>
      </c>
      <c r="BB353" s="222" t="e">
        <f>BB125/BB185</f>
        <v>#DIV/0!</v>
      </c>
      <c r="BC353" s="222" t="e">
        <f>BC125/BC185</f>
        <v>#DIV/0!</v>
      </c>
      <c r="BD353" s="222" t="e">
        <f>BD125/BD185</f>
        <v>#DIV/0!</v>
      </c>
      <c r="BE353" s="222" t="e">
        <f>BE125/BE185</f>
        <v>#DIV/0!</v>
      </c>
      <c r="BG353" s="222" t="e">
        <f>BG125/BG185</f>
        <v>#DIV/0!</v>
      </c>
      <c r="BH353" s="222" t="e">
        <f>BH125/BH185</f>
        <v>#DIV/0!</v>
      </c>
      <c r="BI353" s="222" t="e">
        <f>BI125/BI185</f>
        <v>#DIV/0!</v>
      </c>
      <c r="BJ353" s="222" t="e">
        <f>BJ125/BJ185</f>
        <v>#DIV/0!</v>
      </c>
      <c r="BL353" s="222" t="e">
        <f>BL125/BL185</f>
        <v>#DIV/0!</v>
      </c>
      <c r="BM353" s="222" t="e">
        <f>BM125/BM185</f>
        <v>#DIV/0!</v>
      </c>
      <c r="BN353" s="222" t="e">
        <f>BN125/BN185</f>
        <v>#DIV/0!</v>
      </c>
      <c r="BO353" s="222" t="e">
        <f>BO125/BO185</f>
        <v>#DIV/0!</v>
      </c>
      <c r="BQ353" s="222" t="e">
        <f>BQ125/BQ185</f>
        <v>#DIV/0!</v>
      </c>
      <c r="BR353" s="222" t="e">
        <f>BR125/BR185</f>
        <v>#DIV/0!</v>
      </c>
      <c r="BS353" s="222" t="e">
        <f>BS125/BS185</f>
        <v>#DIV/0!</v>
      </c>
      <c r="BT353" s="222" t="e">
        <f>BT125/BT185</f>
        <v>#DIV/0!</v>
      </c>
      <c r="BV353" s="222" t="e">
        <f>BV125/BV185</f>
        <v>#DIV/0!</v>
      </c>
      <c r="BW353" s="222" t="e">
        <f>BW125/BW185</f>
        <v>#DIV/0!</v>
      </c>
      <c r="BX353" s="222" t="e">
        <f>BX125/BX185</f>
        <v>#DIV/0!</v>
      </c>
      <c r="BY353" s="222" t="e">
        <f>BY125/BY185</f>
        <v>#DIV/0!</v>
      </c>
      <c r="CA353" s="222" t="e">
        <f>CA125/CA185</f>
        <v>#DIV/0!</v>
      </c>
      <c r="CB353" s="222" t="e">
        <f>CB125/CB185</f>
        <v>#DIV/0!</v>
      </c>
      <c r="CC353" s="222" t="e">
        <f>CC125/CC185</f>
        <v>#DIV/0!</v>
      </c>
      <c r="CD353" s="222" t="e">
        <f>CD125/CD185</f>
        <v>#DIV/0!</v>
      </c>
      <c r="CF353" s="222" t="e">
        <f>CF125/CF185</f>
        <v>#DIV/0!</v>
      </c>
      <c r="CG353" s="222" t="e">
        <f>CG125/CG185</f>
        <v>#DIV/0!</v>
      </c>
      <c r="CH353" s="222" t="e">
        <f>CH125/CH185</f>
        <v>#DIV/0!</v>
      </c>
      <c r="CI353" s="222" t="e">
        <f>CI125/CI185</f>
        <v>#DIV/0!</v>
      </c>
      <c r="CK353" s="222" t="e">
        <f>CK125/CK185</f>
        <v>#DIV/0!</v>
      </c>
      <c r="CL353" s="222" t="e">
        <f>CL125/CL185</f>
        <v>#DIV/0!</v>
      </c>
      <c r="CM353" s="222" t="e">
        <f>CM125/CM185</f>
        <v>#DIV/0!</v>
      </c>
      <c r="CN353" s="222" t="e">
        <f>CN125/CN185</f>
        <v>#DIV/0!</v>
      </c>
      <c r="CP353" s="222" t="e">
        <f>CP125/CP185</f>
        <v>#DIV/0!</v>
      </c>
      <c r="CQ353" s="222" t="e">
        <f>CQ125/CQ185</f>
        <v>#DIV/0!</v>
      </c>
      <c r="CR353" s="222" t="e">
        <f>CR125/CR185</f>
        <v>#DIV/0!</v>
      </c>
      <c r="CS353" s="222" t="e">
        <f>CS125/CS185</f>
        <v>#DIV/0!</v>
      </c>
      <c r="CU353" s="222" t="e">
        <f>CU125/CU185</f>
        <v>#DIV/0!</v>
      </c>
      <c r="CV353" s="222" t="e">
        <f>CV125/CV185</f>
        <v>#DIV/0!</v>
      </c>
      <c r="CW353" s="222" t="e">
        <f>CW125/CW185</f>
        <v>#DIV/0!</v>
      </c>
      <c r="CX353" s="222" t="e">
        <f>CX125/CX185</f>
        <v>#DIV/0!</v>
      </c>
    </row>
    <row r="354" customFormat="1" s="233">
      <c r="A354" s="224" t="n"/>
      <c r="B354" s="224" t="n"/>
      <c r="C354" s="233" t="inlineStr">
        <is>
          <t>EQUITY MULTIPLIER</t>
        </is>
      </c>
      <c r="D354" s="238">
        <f>D185/D259</f>
        <v>3.40208594075928</v>
      </c>
      <c r="E354" s="238">
        <f>E185/E259</f>
        <v>3.362221751113</v>
      </c>
      <c r="F354" s="238">
        <f>F185/F259</f>
        <v>3.17698004267604</v>
      </c>
      <c r="G354" s="238">
        <f>G185/G259</f>
        <v>3.20730030417934</v>
      </c>
      <c r="I354" s="222">
        <f>I185/I259</f>
        <v>3.15129767170158</v>
      </c>
      <c r="J354" s="222">
        <f>J185/J259</f>
        <v>3.11404768744614</v>
      </c>
      <c r="K354" s="222">
        <f>K185/K259</f>
        <v>3.02413061747169</v>
      </c>
      <c r="L354" s="222">
        <f>L185/L259</f>
        <v>3.18448290858485</v>
      </c>
      <c r="N354" s="222">
        <f>N185/N259</f>
        <v>3.41681753215817</v>
      </c>
      <c r="O354" s="222">
        <f>O185/O259</f>
        <v>3.41223747787399</v>
      </c>
      <c r="P354" s="222">
        <f>P185/P259</f>
        <v>3.2255493416707</v>
      </c>
      <c r="Q354" s="222">
        <f>Q185/Q259</f>
        <v>3.13067353067353</v>
      </c>
      <c r="S354" s="222">
        <f>S185/S259</f>
        <v>3.25655473258509</v>
      </c>
      <c r="T354" s="222">
        <f>T185/T259</f>
        <v>3.2426740341501</v>
      </c>
      <c r="U354" s="222">
        <f>U185/U259</f>
        <v>3.03739369684842</v>
      </c>
      <c r="V354" s="222">
        <f>V185/V259</f>
        <v>2.53073245688919</v>
      </c>
      <c r="X354" s="222">
        <f>X185/X259</f>
        <v>2.50440959963408</v>
      </c>
      <c r="Y354" s="222">
        <f>Y185/Y259</f>
        <v>2.55846826400207</v>
      </c>
      <c r="Z354" s="222">
        <f>Z185/Z259</f>
        <v>2.44754573125683</v>
      </c>
      <c r="AA354" s="222">
        <f>AA185/AA259</f>
        <v>2.36939918898394</v>
      </c>
      <c r="AC354" s="222">
        <f>AC185/AC259</f>
        <v>2.36584945247607</v>
      </c>
      <c r="AD354" s="222">
        <f>AD185/AD259</f>
        <v>2.2602044297665</v>
      </c>
      <c r="AE354" s="222">
        <f>AE185/AE259</f>
        <v>2.10465974511637</v>
      </c>
      <c r="AF354" s="222">
        <f>AF185/AF259</f>
        <v>2.12719100560897</v>
      </c>
      <c r="AH354" s="222">
        <f>AH185/AH259</f>
        <v>2.04306029124996</v>
      </c>
      <c r="AI354" s="222">
        <f>AI185/AI259</f>
        <v>1.88733072524827</v>
      </c>
      <c r="AJ354" s="222">
        <f>AJ185/AJ259</f>
        <v>1.83111574222507</v>
      </c>
      <c r="AK354" s="222">
        <f>AK185/AK259</f>
        <v>1.83030048245351</v>
      </c>
      <c r="AM354" s="222" t="e">
        <f>AM185/AM259</f>
        <v>#DIV/0!</v>
      </c>
      <c r="AN354" s="222" t="e">
        <f>AN185/AN259</f>
        <v>#DIV/0!</v>
      </c>
      <c r="AO354" s="222" t="e">
        <f>AO185/AO259</f>
        <v>#DIV/0!</v>
      </c>
      <c r="AP354" s="222" t="e">
        <f>AP185/AP259</f>
        <v>#DIV/0!</v>
      </c>
      <c r="AR354" s="222" t="e">
        <f>AR185/AR259</f>
        <v>#DIV/0!</v>
      </c>
      <c r="AS354" s="222" t="e">
        <f>AS185/AS259</f>
        <v>#DIV/0!</v>
      </c>
      <c r="AT354" s="222" t="e">
        <f>AT185/AT259</f>
        <v>#DIV/0!</v>
      </c>
      <c r="AU354" s="222" t="e">
        <f>AU185/AU259</f>
        <v>#DIV/0!</v>
      </c>
      <c r="AW354" s="222" t="e">
        <f>AW185/AW259</f>
        <v>#DIV/0!</v>
      </c>
      <c r="AX354" s="222" t="e">
        <f>AX185/AX259</f>
        <v>#DIV/0!</v>
      </c>
      <c r="AY354" s="222" t="e">
        <f>AY185/AY259</f>
        <v>#DIV/0!</v>
      </c>
      <c r="AZ354" s="222" t="e">
        <f>AZ185/AZ259</f>
        <v>#DIV/0!</v>
      </c>
      <c r="BB354" s="222" t="e">
        <f>BB185/BB259</f>
        <v>#DIV/0!</v>
      </c>
      <c r="BC354" s="222" t="e">
        <f>BC185/BC259</f>
        <v>#DIV/0!</v>
      </c>
      <c r="BD354" s="222" t="e">
        <f>BD185/BD259</f>
        <v>#DIV/0!</v>
      </c>
      <c r="BE354" s="222" t="e">
        <f>BE185/BE259</f>
        <v>#DIV/0!</v>
      </c>
      <c r="BG354" s="222" t="e">
        <f>BG185/BG259</f>
        <v>#DIV/0!</v>
      </c>
      <c r="BH354" s="222" t="e">
        <f>BH185/BH259</f>
        <v>#DIV/0!</v>
      </c>
      <c r="BI354" s="222" t="e">
        <f>BI185/BI259</f>
        <v>#DIV/0!</v>
      </c>
      <c r="BJ354" s="222" t="e">
        <f>BJ185/BJ259</f>
        <v>#DIV/0!</v>
      </c>
      <c r="BL354" s="222" t="e">
        <f>BL185/BL259</f>
        <v>#DIV/0!</v>
      </c>
      <c r="BM354" s="222" t="e">
        <f>BM185/BM259</f>
        <v>#DIV/0!</v>
      </c>
      <c r="BN354" s="222" t="e">
        <f>BN185/BN259</f>
        <v>#DIV/0!</v>
      </c>
      <c r="BO354" s="222" t="e">
        <f>BO185/BO259</f>
        <v>#DIV/0!</v>
      </c>
      <c r="BQ354" s="222" t="e">
        <f>BQ185/BQ259</f>
        <v>#DIV/0!</v>
      </c>
      <c r="BR354" s="222" t="e">
        <f>BR185/BR259</f>
        <v>#DIV/0!</v>
      </c>
      <c r="BS354" s="222" t="e">
        <f>BS185/BS259</f>
        <v>#DIV/0!</v>
      </c>
      <c r="BT354" s="222" t="e">
        <f>BT185/BT259</f>
        <v>#DIV/0!</v>
      </c>
      <c r="BV354" s="222" t="e">
        <f>BV185/BV259</f>
        <v>#DIV/0!</v>
      </c>
      <c r="BW354" s="222" t="e">
        <f>BW185/BW259</f>
        <v>#DIV/0!</v>
      </c>
      <c r="BX354" s="222" t="e">
        <f>BX185/BX259</f>
        <v>#DIV/0!</v>
      </c>
      <c r="BY354" s="222" t="e">
        <f>BY185/BY259</f>
        <v>#DIV/0!</v>
      </c>
      <c r="CA354" s="222" t="e">
        <f>CA185/CA259</f>
        <v>#DIV/0!</v>
      </c>
      <c r="CB354" s="222" t="e">
        <f>CB185/CB259</f>
        <v>#DIV/0!</v>
      </c>
      <c r="CC354" s="222" t="e">
        <f>CC185/CC259</f>
        <v>#DIV/0!</v>
      </c>
      <c r="CD354" s="222" t="e">
        <f>CD185/CD259</f>
        <v>#DIV/0!</v>
      </c>
      <c r="CF354" s="222" t="e">
        <f>CF185/CF259</f>
        <v>#DIV/0!</v>
      </c>
      <c r="CG354" s="222" t="e">
        <f>CG185/CG259</f>
        <v>#DIV/0!</v>
      </c>
      <c r="CH354" s="222" t="e">
        <f>CH185/CH259</f>
        <v>#DIV/0!</v>
      </c>
      <c r="CI354" s="222" t="e">
        <f>CI185/CI259</f>
        <v>#DIV/0!</v>
      </c>
      <c r="CK354" s="222" t="e">
        <f>CK185/CK259</f>
        <v>#DIV/0!</v>
      </c>
      <c r="CL354" s="222" t="e">
        <f>CL185/CL259</f>
        <v>#DIV/0!</v>
      </c>
      <c r="CM354" s="222" t="e">
        <f>CM185/CM259</f>
        <v>#DIV/0!</v>
      </c>
      <c r="CN354" s="222" t="e">
        <f>CN185/CN259</f>
        <v>#DIV/0!</v>
      </c>
      <c r="CP354" s="222" t="e">
        <f>CP185/CP259</f>
        <v>#DIV/0!</v>
      </c>
      <c r="CQ354" s="222" t="e">
        <f>CQ185/CQ259</f>
        <v>#DIV/0!</v>
      </c>
      <c r="CR354" s="222" t="e">
        <f>CR185/CR259</f>
        <v>#DIV/0!</v>
      </c>
      <c r="CS354" s="222" t="e">
        <f>CS185/CS259</f>
        <v>#DIV/0!</v>
      </c>
      <c r="CU354" s="222" t="e">
        <f>CU185/CU259</f>
        <v>#DIV/0!</v>
      </c>
      <c r="CV354" s="222" t="e">
        <f>CV185/CV259</f>
        <v>#DIV/0!</v>
      </c>
      <c r="CW354" s="222" t="e">
        <f>CW185/CW259</f>
        <v>#DIV/0!</v>
      </c>
      <c r="CX354" s="222" t="e">
        <f>CX185/CX259</f>
        <v>#DIV/0!</v>
      </c>
    </row>
    <row r="355" customFormat="1" s="233">
      <c r="A355" s="224" t="n"/>
      <c r="B355" s="224" t="n"/>
      <c r="C355" s="233" t="inlineStr">
        <is>
          <t>ROE - DUPONT</t>
        </is>
      </c>
      <c r="D355" s="238">
        <f>PRODUCT(D352:D354)</f>
        <v>0.00173024826255157</v>
      </c>
      <c r="E355" s="238">
        <f>PRODUCT(E352:E354)</f>
        <v>0.00274601725850097</v>
      </c>
      <c r="F355" s="238">
        <f>PRODUCT(F352:F354)</f>
        <v>0.0101088346576166</v>
      </c>
      <c r="G355" s="238">
        <f>PRODUCT(G352:G354)</f>
        <v>0.0106466745155203</v>
      </c>
      <c r="I355" s="222">
        <f>PRODUCT(I352:I354)</f>
        <v>0.0126748458450278</v>
      </c>
      <c r="J355" s="222">
        <f>PRODUCT(J352:J354)</f>
        <v>0.019661015496012</v>
      </c>
      <c r="K355" s="222">
        <f>PRODUCT(K352:K354)</f>
        <v>0.0197921350278691</v>
      </c>
      <c r="L355" s="222">
        <f>PRODUCT(L352:L354)</f>
        <v>0.0324529982104586</v>
      </c>
      <c r="N355" s="222">
        <f>PRODUCT(N352:N354)</f>
        <v>0.0371892740894288</v>
      </c>
      <c r="O355" s="222">
        <f>PRODUCT(O352:O354)</f>
        <v>0.0508356822272144</v>
      </c>
      <c r="P355" s="222">
        <f>PRODUCT(P352:P354)</f>
        <v>0.0633058941314909</v>
      </c>
      <c r="Q355" s="222">
        <f>PRODUCT(Q352:Q354)</f>
        <v>0.0685393798573832</v>
      </c>
      <c r="S355" s="222">
        <f>PRODUCT(S352:S354)</f>
        <v>0.0630498043076568</v>
      </c>
      <c r="T355" s="222">
        <f>PRODUCT(T352:T354)</f>
        <v>0.0556699016871715</v>
      </c>
      <c r="U355" s="222">
        <f>PRODUCT(U352:U354)</f>
        <v>0.0556965590559311</v>
      </c>
      <c r="V355" s="222">
        <f>PRODUCT(V352:V354)</f>
        <v>0.00208837168428908</v>
      </c>
      <c r="X355" s="222">
        <f>PRODUCT(X352:X354)</f>
        <v>0.0051495255441583</v>
      </c>
      <c r="Y355" s="222">
        <f>PRODUCT(Y352:Y354)</f>
        <v>0.00409655848280624</v>
      </c>
      <c r="Z355" s="222">
        <f>PRODUCT(Z352:Z354)</f>
        <v>0.0196573017914508</v>
      </c>
      <c r="AA355" s="222">
        <f>PRODUCT(AA352:AA354)</f>
        <v>0.0290910686724199</v>
      </c>
      <c r="AC355" s="222">
        <f>PRODUCT(AC352:AC354)</f>
        <v>0.0236107388387594</v>
      </c>
      <c r="AD355" s="222">
        <f>PRODUCT(AD352:AD354)</f>
        <v>0.0146628320623812</v>
      </c>
      <c r="AE355" s="222">
        <f>PRODUCT(AE352:AE354)</f>
        <v>0.0495442429356511</v>
      </c>
      <c r="AF355" s="222">
        <f>PRODUCT(AF352:AF354)</f>
        <v>0.0350152451731792</v>
      </c>
      <c r="AH355" s="222">
        <f>PRODUCT(AH352:AH354)</f>
        <v>0.0445497997186952</v>
      </c>
      <c r="AI355" s="222">
        <f>PRODUCT(AI352:AI354)</f>
        <v>0.0580677949638201</v>
      </c>
      <c r="AJ355" s="222">
        <f>PRODUCT(AJ352:AJ354)</f>
        <v>7.74398307420244e-06</v>
      </c>
      <c r="AK355" s="222">
        <f>PRODUCT(AK352:AK354)</f>
        <v>4.97801059193146e-06</v>
      </c>
      <c r="AM355" s="222" t="e">
        <f>PRODUCT(AM352:AM354)</f>
        <v>#DIV/0!</v>
      </c>
      <c r="AN355" s="222" t="e">
        <f>PRODUCT(AN352:AN354)</f>
        <v>#DIV/0!</v>
      </c>
      <c r="AO355" s="222" t="e">
        <f>PRODUCT(AO352:AO354)</f>
        <v>#DIV/0!</v>
      </c>
      <c r="AP355" s="222" t="e">
        <f>PRODUCT(AP352:AP354)</f>
        <v>#DIV/0!</v>
      </c>
      <c r="AR355" s="222" t="e">
        <f>PRODUCT(AR352:AR354)</f>
        <v>#DIV/0!</v>
      </c>
      <c r="AS355" s="222" t="e">
        <f>PRODUCT(AS352:AS354)</f>
        <v>#DIV/0!</v>
      </c>
      <c r="AT355" s="222" t="e">
        <f>PRODUCT(AT352:AT354)</f>
        <v>#DIV/0!</v>
      </c>
      <c r="AU355" s="222" t="e">
        <f>PRODUCT(AU352:AU354)</f>
        <v>#DIV/0!</v>
      </c>
      <c r="AW355" s="222" t="e">
        <f>PRODUCT(AW352:AW354)</f>
        <v>#DIV/0!</v>
      </c>
      <c r="AX355" s="222" t="e">
        <f>PRODUCT(AX352:AX354)</f>
        <v>#DIV/0!</v>
      </c>
      <c r="AY355" s="222" t="e">
        <f>PRODUCT(AY352:AY354)</f>
        <v>#DIV/0!</v>
      </c>
      <c r="AZ355" s="222" t="e">
        <f>PRODUCT(AZ352:AZ354)</f>
        <v>#DIV/0!</v>
      </c>
      <c r="BB355" s="222" t="e">
        <f>PRODUCT(BB352:BB354)</f>
        <v>#DIV/0!</v>
      </c>
      <c r="BC355" s="222" t="e">
        <f>PRODUCT(BC352:BC354)</f>
        <v>#DIV/0!</v>
      </c>
      <c r="BD355" s="222" t="e">
        <f>PRODUCT(BD352:BD354)</f>
        <v>#DIV/0!</v>
      </c>
      <c r="BE355" s="222" t="e">
        <f>PRODUCT(BE352:BE354)</f>
        <v>#DIV/0!</v>
      </c>
      <c r="BG355" s="222" t="e">
        <f>PRODUCT(BG352:BG354)</f>
        <v>#DIV/0!</v>
      </c>
      <c r="BH355" s="222" t="e">
        <f>PRODUCT(BH352:BH354)</f>
        <v>#DIV/0!</v>
      </c>
      <c r="BI355" s="222" t="e">
        <f>PRODUCT(BI352:BI354)</f>
        <v>#DIV/0!</v>
      </c>
      <c r="BJ355" s="222" t="e">
        <f>PRODUCT(BJ352:BJ354)</f>
        <v>#DIV/0!</v>
      </c>
      <c r="BL355" s="222" t="e">
        <f>PRODUCT(BL352:BL354)</f>
        <v>#DIV/0!</v>
      </c>
      <c r="BM355" s="222" t="e">
        <f>PRODUCT(BM352:BM354)</f>
        <v>#DIV/0!</v>
      </c>
      <c r="BN355" s="222" t="e">
        <f>PRODUCT(BN352:BN354)</f>
        <v>#DIV/0!</v>
      </c>
      <c r="BO355" s="222" t="e">
        <f>PRODUCT(BO352:BO354)</f>
        <v>#DIV/0!</v>
      </c>
      <c r="BQ355" s="222" t="e">
        <f>PRODUCT(BQ352:BQ354)</f>
        <v>#DIV/0!</v>
      </c>
      <c r="BR355" s="222" t="e">
        <f>PRODUCT(BR352:BR354)</f>
        <v>#DIV/0!</v>
      </c>
      <c r="BS355" s="222" t="e">
        <f>PRODUCT(BS352:BS354)</f>
        <v>#DIV/0!</v>
      </c>
      <c r="BT355" s="222" t="e">
        <f>PRODUCT(BT352:BT354)</f>
        <v>#DIV/0!</v>
      </c>
      <c r="BV355" s="222" t="e">
        <f>PRODUCT(BV352:BV354)</f>
        <v>#DIV/0!</v>
      </c>
      <c r="BW355" s="222" t="e">
        <f>PRODUCT(BW352:BW354)</f>
        <v>#DIV/0!</v>
      </c>
      <c r="BX355" s="222" t="e">
        <f>PRODUCT(BX352:BX354)</f>
        <v>#DIV/0!</v>
      </c>
      <c r="BY355" s="222" t="e">
        <f>PRODUCT(BY352:BY354)</f>
        <v>#DIV/0!</v>
      </c>
      <c r="CA355" s="222" t="e">
        <f>PRODUCT(CA352:CA354)</f>
        <v>#DIV/0!</v>
      </c>
      <c r="CB355" s="222" t="e">
        <f>PRODUCT(CB352:CB354)</f>
        <v>#DIV/0!</v>
      </c>
      <c r="CC355" s="222" t="e">
        <f>PRODUCT(CC352:CC354)</f>
        <v>#DIV/0!</v>
      </c>
      <c r="CD355" s="222" t="e">
        <f>PRODUCT(CD352:CD354)</f>
        <v>#DIV/0!</v>
      </c>
      <c r="CF355" s="222" t="e">
        <f>PRODUCT(CF352:CF354)</f>
        <v>#DIV/0!</v>
      </c>
      <c r="CG355" s="222" t="e">
        <f>PRODUCT(CG352:CG354)</f>
        <v>#DIV/0!</v>
      </c>
      <c r="CH355" s="222" t="e">
        <f>PRODUCT(CH352:CH354)</f>
        <v>#DIV/0!</v>
      </c>
      <c r="CI355" s="222" t="e">
        <f>PRODUCT(CI352:CI354)</f>
        <v>#DIV/0!</v>
      </c>
      <c r="CK355" s="222" t="e">
        <f>PRODUCT(CK352:CK354)</f>
        <v>#DIV/0!</v>
      </c>
      <c r="CL355" s="222" t="e">
        <f>PRODUCT(CL352:CL354)</f>
        <v>#DIV/0!</v>
      </c>
      <c r="CM355" s="222" t="e">
        <f>PRODUCT(CM352:CM354)</f>
        <v>#DIV/0!</v>
      </c>
      <c r="CN355" s="222" t="e">
        <f>PRODUCT(CN352:CN354)</f>
        <v>#DIV/0!</v>
      </c>
      <c r="CP355" s="222" t="e">
        <f>PRODUCT(CP352:CP354)</f>
        <v>#DIV/0!</v>
      </c>
      <c r="CQ355" s="222" t="e">
        <f>PRODUCT(CQ352:CQ354)</f>
        <v>#DIV/0!</v>
      </c>
      <c r="CR355" s="222" t="e">
        <f>PRODUCT(CR352:CR354)</f>
        <v>#DIV/0!</v>
      </c>
      <c r="CS355" s="222" t="e">
        <f>PRODUCT(CS352:CS354)</f>
        <v>#DIV/0!</v>
      </c>
      <c r="CU355" s="222" t="e">
        <f>PRODUCT(CU352:CU354)</f>
        <v>#DIV/0!</v>
      </c>
      <c r="CV355" s="222" t="e">
        <f>PRODUCT(CV352:CV354)</f>
        <v>#DIV/0!</v>
      </c>
      <c r="CW355" s="222" t="e">
        <f>PRODUCT(CW352:CW354)</f>
        <v>#DIV/0!</v>
      </c>
      <c r="CX355" s="222" t="e">
        <f>PRODUCT(CX352:CX354)</f>
        <v>#DIV/0!</v>
      </c>
    </row>
    <row r="356" customFormat="1" s="233">
      <c r="A356" s="224" t="n"/>
      <c r="B356" s="224" t="n"/>
      <c r="C356" s="233" t="inlineStr">
        <is>
          <t>ROE</t>
        </is>
      </c>
      <c r="D356" s="238">
        <f>D125/D259</f>
        <v>0.0203587818105966</v>
      </c>
      <c r="E356" s="238">
        <f>E125/E259</f>
        <v>0.0260334958660165</v>
      </c>
      <c r="F356" s="238">
        <f>F125/F259</f>
        <v>0.052299066984645</v>
      </c>
      <c r="G356" s="238">
        <f>G125/G259</f>
        <v>0.0543355973165549</v>
      </c>
      <c r="I356" s="222">
        <f>I125/I259</f>
        <v>0.0591254276892264</v>
      </c>
      <c r="J356" s="222">
        <f>J125/J259</f>
        <v>0.0739524767103049</v>
      </c>
      <c r="K356" s="222">
        <f>K125/K259</f>
        <v>0.0765937012285406</v>
      </c>
      <c r="L356" s="222">
        <f>L125/L259</f>
        <v>0.104288075150039</v>
      </c>
      <c r="N356" s="222">
        <f>N125/N259</f>
        <v>0.119818961410195</v>
      </c>
      <c r="O356" s="222">
        <f>O125/O259</f>
        <v>0.14347222886667</v>
      </c>
      <c r="P356" s="222">
        <f>P125/P259</f>
        <v>0.157778854198776</v>
      </c>
      <c r="Q356" s="222">
        <f>Q125/Q259</f>
        <v>0.161904761904762</v>
      </c>
      <c r="S356" s="222">
        <f>S125/S259</f>
        <v>0.158176943699732</v>
      </c>
      <c r="T356" s="222">
        <f>T125/T259</f>
        <v>0.149599166628923</v>
      </c>
      <c r="U356" s="222">
        <f>U125/U259</f>
        <v>0.146906786726697</v>
      </c>
      <c r="V356" s="222">
        <f>V125/V259</f>
        <v>0.0188520858232315</v>
      </c>
      <c r="X356" s="222">
        <f>X125/X259</f>
        <v>0.0303168908391818</v>
      </c>
      <c r="Y356" s="222">
        <f>Y125/Y259</f>
        <v>-0.0285601133265297</v>
      </c>
      <c r="Z356" s="222">
        <f>Z125/Z259</f>
        <v>0.0638907769142114</v>
      </c>
      <c r="AA356" s="222">
        <f>AA125/AA259</f>
        <v>0.0788519680751981</v>
      </c>
      <c r="AC356" s="222">
        <f>AC125/AC259</f>
        <v>0.0713505590204926</v>
      </c>
      <c r="AD356" s="222">
        <f>AD125/AD259</f>
        <v>0.0564979461495422</v>
      </c>
      <c r="AE356" s="222">
        <f>AE125/AE259</f>
        <v>0.104782758451016</v>
      </c>
      <c r="AF356" s="222">
        <f>AF125/AF259</f>
        <v>0.0920097155448718</v>
      </c>
      <c r="AH356" s="222">
        <f>AH125/AH259</f>
        <v>0.10616824987741</v>
      </c>
      <c r="AI356" s="222">
        <f>AI125/AI259</f>
        <v>0.131286989667971</v>
      </c>
      <c r="AJ356" s="222">
        <f>AJ125/AJ259</f>
        <v>0.00118226995831997</v>
      </c>
      <c r="AK356" s="222">
        <f>AK125/AK259</f>
        <v>0.000980922066742738</v>
      </c>
      <c r="AM356" s="222">
        <f>AM125/AM259</f>
        <v>0.000979960801567937</v>
      </c>
      <c r="AN356" s="222">
        <f>AN125/AN259</f>
        <v>0.0043012465649767</v>
      </c>
      <c r="AO356" s="222">
        <f>AO125/AO259</f>
        <v>0.000974794596852806</v>
      </c>
      <c r="AP356" s="222">
        <f>AP125/AP259</f>
        <v>0.00427866806647782</v>
      </c>
      <c r="AR356" s="222">
        <f>AR125/AR259</f>
        <v>0.00426043906191444</v>
      </c>
      <c r="AS356" s="222">
        <f>AS125/AS259</f>
        <v>0.0103457026293701</v>
      </c>
      <c r="AT356" s="222">
        <f>AT125/AT259</f>
        <v>0.00419865876178443</v>
      </c>
      <c r="AU356" s="222">
        <f>AU125/AU259</f>
        <v>0.0101972101972102</v>
      </c>
      <c r="AW356" s="222">
        <f>AW125/AW259</f>
        <v>0.010094276735549</v>
      </c>
      <c r="AX356" s="222">
        <f>AX125/AX259</f>
        <v>0.0276311646943349</v>
      </c>
      <c r="AY356" s="222">
        <f>AY125/AY259</f>
        <v>0.00971995525152677</v>
      </c>
      <c r="AZ356" s="222">
        <f>AZ125/AZ259</f>
        <v>0.0266338206679876</v>
      </c>
      <c r="BB356" s="222">
        <f>BB125/BB259</f>
        <v>0.0259428631044496</v>
      </c>
      <c r="BC356" s="222">
        <f>BC125/BC259</f>
        <v>0.0656973438388433</v>
      </c>
      <c r="BD356" s="222">
        <f>BD125/BD259</f>
        <v>0.0236648849271179</v>
      </c>
      <c r="BE356" s="222">
        <f>BE125/BE259</f>
        <v>0.0602763410889687</v>
      </c>
      <c r="BG356" s="222">
        <f>BG125/BG259</f>
        <v>0.0568496520700077</v>
      </c>
      <c r="BH356" s="222">
        <f>BH125/BH259</f>
        <v>0.134684394272994</v>
      </c>
      <c r="BI356" s="222">
        <f>BI125/BI259</f>
        <v>0.0468864129111547</v>
      </c>
      <c r="BJ356" s="222">
        <f>BJ125/BJ259</f>
        <v>0.113765502501978</v>
      </c>
      <c r="BL356" s="222">
        <f>BL125/BL259</f>
        <v>0.102144932884358</v>
      </c>
      <c r="BM356" s="222">
        <f>BM125/BM259</f>
        <v>0.218081614692665</v>
      </c>
      <c r="BN356" s="222">
        <f>BN125/BN259</f>
        <v>0.0739617499114891</v>
      </c>
      <c r="BO356" s="222">
        <f>BO125/BO259</f>
        <v>0.168019963208119</v>
      </c>
      <c r="BQ356" s="222">
        <f>BQ125/BQ259</f>
        <v>0.143850249568192</v>
      </c>
      <c r="BR356" s="222">
        <f>BR125/BR259</f>
        <v>0.282159093626076</v>
      </c>
      <c r="BS356" s="222">
        <f>BS125/BS259</f>
        <v>0.0935966539010474</v>
      </c>
      <c r="BT356" s="222">
        <f>BT125/BT259</f>
        <v>0.203663115645286</v>
      </c>
      <c r="BV356" s="222">
        <f>BV125/BV259</f>
        <v>0.16920275532087</v>
      </c>
      <c r="BW356" s="222">
        <f>BW125/BW259</f>
        <v>0.316123149072908</v>
      </c>
      <c r="BX356" s="222">
        <f>BX125/BX259</f>
        <v>0.103712836170931</v>
      </c>
      <c r="BY356" s="222">
        <f>BY125/BY259</f>
        <v>0.220781520406736</v>
      </c>
      <c r="CA356" s="222">
        <f>CA125/CA259</f>
        <v>0.180852606888394</v>
      </c>
      <c r="CB356" s="222">
        <f>CB125/CB259</f>
        <v>0.330702520806482</v>
      </c>
      <c r="CC356" s="222">
        <f>CC125/CC259</f>
        <v>0.107974506763478</v>
      </c>
      <c r="CD356" s="222">
        <f>CD125/CD259</f>
        <v>0.227796293566444</v>
      </c>
      <c r="CF356" s="222">
        <f>CF125/CF259</f>
        <v>0.18553264475555</v>
      </c>
      <c r="CG356" s="222">
        <f>CG125/CG259</f>
        <v>0.336378524086588</v>
      </c>
      <c r="CH356" s="222">
        <f>CH125/CH259</f>
        <v>0.109625925638157</v>
      </c>
      <c r="CI356" s="222">
        <f>CI125/CI259</f>
        <v>0.230474867883224</v>
      </c>
      <c r="CK356" s="222">
        <f>CK125/CK259</f>
        <v>0.187305628013117</v>
      </c>
      <c r="CL356" s="222">
        <f>CL125/CL259</f>
        <v>0.338505731612586</v>
      </c>
      <c r="CM356" s="222">
        <f>CM125/CM259</f>
        <v>0.110242390825961</v>
      </c>
      <c r="CN356" s="222">
        <f>CN125/CN259</f>
        <v>0.231471577337999</v>
      </c>
      <c r="CP356" s="222">
        <f>CP125/CP259</f>
        <v>0.187963394038178</v>
      </c>
      <c r="CQ356" s="222">
        <f>CQ125/CQ259</f>
        <v>0.339290918028789</v>
      </c>
      <c r="CR356" s="222">
        <f>CR125/CR259</f>
        <v>0.110469954869636</v>
      </c>
      <c r="CS356" s="222">
        <f>CS125/CS259</f>
        <v>0.231838432271063</v>
      </c>
      <c r="CU356" s="222">
        <f>CU125/CU259</f>
        <v>0.188205227404406</v>
      </c>
      <c r="CV356" s="222">
        <f>CV125/CV259</f>
        <v>0.339579272332193</v>
      </c>
      <c r="CW356" s="222">
        <f>CW125/CW259</f>
        <v>0.110553434624028</v>
      </c>
      <c r="CX356" s="222">
        <f>CX125/CX259</f>
        <v>0.231973034727341</v>
      </c>
    </row>
    <row r="358">
      <c r="C358" s="53" t="inlineStr">
        <is>
          <t>Scenario Analysis</t>
        </is>
      </c>
      <c r="D358" s="53" t="n"/>
      <c r="E358" s="53" t="n"/>
      <c r="F358" s="53" t="n"/>
      <c r="G358" s="53" t="n"/>
      <c r="H358" s="53" t="n"/>
      <c r="I358" s="53" t="n"/>
      <c r="J358" s="53" t="n"/>
      <c r="K358" s="53" t="n"/>
      <c r="L358" s="53" t="n"/>
      <c r="M358" s="53" t="n"/>
      <c r="N358" s="53" t="n"/>
      <c r="O358" s="53" t="n"/>
      <c r="P358" s="53" t="n"/>
      <c r="Q358" s="53" t="n"/>
      <c r="R358" s="53" t="n"/>
      <c r="S358" s="53" t="n"/>
      <c r="T358" s="53" t="n"/>
      <c r="U358" s="53" t="n"/>
      <c r="V358" s="53" t="n"/>
      <c r="W358" s="53" t="n"/>
      <c r="X358" s="53" t="n"/>
      <c r="Y358" s="53" t="n"/>
      <c r="Z358" s="53" t="n"/>
      <c r="AA358" s="53" t="n"/>
      <c r="AB358" s="53" t="n"/>
      <c r="AC358" s="53" t="n"/>
      <c r="AD358" s="53" t="n"/>
      <c r="AE358" s="53" t="n"/>
      <c r="AF358" s="53" t="n"/>
      <c r="AG358" s="53" t="n"/>
      <c r="AH358" s="53" t="n"/>
      <c r="AI358" s="53" t="n"/>
      <c r="AJ358" s="53" t="n"/>
      <c r="AK358" s="53" t="n"/>
      <c r="AL358" s="53" t="n"/>
      <c r="AM358" s="53" t="n"/>
      <c r="AN358" s="53" t="n"/>
      <c r="AO358" s="53" t="n"/>
      <c r="AP358" s="53" t="n"/>
      <c r="AQ358" s="53" t="n"/>
      <c r="AR358" s="53" t="n"/>
      <c r="AS358" s="53" t="n"/>
      <c r="AT358" s="53" t="n"/>
      <c r="AU358" s="53" t="n"/>
      <c r="AV358" s="53" t="n"/>
      <c r="AW358" s="53" t="n"/>
      <c r="AX358" s="53" t="n"/>
      <c r="AY358" s="53" t="n"/>
      <c r="AZ358" s="53" t="n"/>
      <c r="BA358" s="53" t="n"/>
      <c r="BB358" s="53" t="n"/>
      <c r="BC358" s="53" t="n"/>
      <c r="BD358" s="53" t="n"/>
      <c r="BE358" s="53" t="n"/>
      <c r="BF358" s="53" t="n"/>
      <c r="BG358" s="53" t="n"/>
      <c r="BH358" s="53" t="n"/>
      <c r="BI358" s="53" t="n"/>
      <c r="BJ358" s="53" t="n"/>
      <c r="BK358" s="53" t="n"/>
      <c r="BL358" s="53" t="n"/>
      <c r="BM358" s="53" t="n"/>
      <c r="BN358" s="53" t="n"/>
      <c r="BO358" s="53" t="n"/>
      <c r="BP358" s="53" t="n"/>
      <c r="BQ358" s="53" t="n"/>
      <c r="BR358" s="53" t="n"/>
      <c r="BS358" s="53" t="n"/>
      <c r="BT358" s="53" t="n"/>
      <c r="BU358" s="53" t="n"/>
      <c r="BV358" s="53" t="n"/>
      <c r="BW358" s="53" t="n"/>
      <c r="BX358" s="53" t="n"/>
      <c r="BY358" s="53" t="n"/>
      <c r="BZ358" s="53" t="n"/>
      <c r="CA358" s="53" t="n"/>
      <c r="CB358" s="53" t="n"/>
      <c r="CC358" s="53" t="n"/>
      <c r="CD358" s="53" t="n"/>
      <c r="CE358" s="53" t="n"/>
      <c r="CF358" s="53" t="n"/>
      <c r="CG358" s="53" t="n"/>
      <c r="CH358" s="53" t="n"/>
      <c r="CI358" s="53" t="n"/>
      <c r="CJ358" s="53" t="n"/>
      <c r="CK358" s="53" t="n"/>
      <c r="CL358" s="53" t="n"/>
      <c r="CM358" s="53" t="n"/>
      <c r="CN358" s="53" t="n"/>
      <c r="CO358" s="53" t="n"/>
      <c r="CP358" s="53" t="n"/>
      <c r="CQ358" s="53" t="n"/>
      <c r="CR358" s="53" t="n"/>
      <c r="CS358" s="53" t="n"/>
      <c r="CT358" s="53" t="n"/>
      <c r="CU358" s="53" t="n"/>
      <c r="CV358" s="53" t="n"/>
      <c r="CW358" s="53" t="n"/>
      <c r="CX358" s="53" t="n"/>
      <c r="CY358" s="53" t="n"/>
    </row>
    <row r="361">
      <c r="C361" s="4" t="inlineStr">
        <is>
          <t>Bull case</t>
        </is>
      </c>
    </row>
    <row r="362">
      <c r="C362" s="4" t="inlineStr">
        <is>
          <t>Base case</t>
        </is>
      </c>
    </row>
    <row r="363">
      <c r="C363" s="4" t="inlineStr">
        <is>
          <t>Bear case</t>
        </is>
      </c>
    </row>
    <row r="366">
      <c r="C366" s="4" t="inlineStr">
        <is>
          <t>Bull case</t>
        </is>
      </c>
    </row>
    <row r="367">
      <c r="C367" s="4" t="inlineStr">
        <is>
          <t>Base case</t>
        </is>
      </c>
    </row>
    <row r="368">
      <c r="C368" s="4" t="inlineStr">
        <is>
          <t>Bear case</t>
        </is>
      </c>
    </row>
    <row r="371">
      <c r="C371" s="4" t="inlineStr">
        <is>
          <t>% Gross Margin</t>
        </is>
      </c>
    </row>
    <row r="372">
      <c r="C372" s="4" t="inlineStr">
        <is>
          <t>Bull case</t>
        </is>
      </c>
    </row>
    <row r="373">
      <c r="C373" s="4" t="inlineStr">
        <is>
          <t>Base case</t>
        </is>
      </c>
    </row>
    <row r="374">
      <c r="C374" s="4" t="inlineStr">
        <is>
          <t>Bear case</t>
        </is>
      </c>
    </row>
    <row r="377">
      <c r="C377" s="4" t="inlineStr">
        <is>
          <t>Capital expenditures</t>
        </is>
      </c>
    </row>
    <row r="378">
      <c r="C378" s="4" t="inlineStr">
        <is>
          <t>Bull case</t>
        </is>
      </c>
    </row>
    <row r="379">
      <c r="C379" s="4" t="inlineStr">
        <is>
          <t>Base case</t>
        </is>
      </c>
    </row>
    <row r="380">
      <c r="C380" s="4" t="inlineStr">
        <is>
          <t>Bear case</t>
        </is>
      </c>
    </row>
  </sheetData>
  <conditionalFormatting sqref="B1:B4 B13:B1048576">
    <cfRule type="expression" priority="59" dxfId="23">
      <formula>B1&lt;&gt;""</formula>
    </cfRule>
  </conditionalFormatting>
  <conditionalFormatting sqref="D1:CY3">
    <cfRule type="cellIs" priority="17" operator="greaterThan" dxfId="22">
      <formula>1</formula>
    </cfRule>
  </conditionalFormatting>
  <conditionalFormatting sqref="E303:G303">
    <cfRule type="cellIs" priority="15" operator="notEqual" dxfId="0">
      <formula>0</formula>
    </cfRule>
  </conditionalFormatting>
  <conditionalFormatting sqref="E5:H5">
    <cfRule type="cellIs" priority="16" operator="greaterThan" dxfId="18">
      <formula>$B$5</formula>
    </cfRule>
  </conditionalFormatting>
  <conditionalFormatting sqref="I303:L303">
    <cfRule type="cellIs" priority="45" operator="notEqual" dxfId="0">
      <formula>0</formula>
    </cfRule>
  </conditionalFormatting>
  <conditionalFormatting sqref="J5:CY5">
    <cfRule type="cellIs" priority="46" operator="greaterThan" dxfId="18">
      <formula>$B$5</formula>
    </cfRule>
  </conditionalFormatting>
  <conditionalFormatting sqref="N303:Q303">
    <cfRule type="cellIs" priority="44" operator="notEqual" dxfId="0">
      <formula>0</formula>
    </cfRule>
  </conditionalFormatting>
  <conditionalFormatting sqref="S303:V303">
    <cfRule type="cellIs" priority="43" operator="notEqual" dxfId="0">
      <formula>0</formula>
    </cfRule>
  </conditionalFormatting>
  <conditionalFormatting sqref="X303:AA303">
    <cfRule type="cellIs" priority="42" operator="notEqual" dxfId="0">
      <formula>0</formula>
    </cfRule>
  </conditionalFormatting>
  <conditionalFormatting sqref="AC303:AF303">
    <cfRule type="cellIs" priority="41" operator="notEqual" dxfId="0">
      <formula>0</formula>
    </cfRule>
  </conditionalFormatting>
  <conditionalFormatting sqref="AH303:AK303">
    <cfRule type="cellIs" priority="14" operator="notEqual" dxfId="0">
      <formula>0</formula>
    </cfRule>
  </conditionalFormatting>
  <conditionalFormatting sqref="AM303:AP303">
    <cfRule type="cellIs" priority="13" operator="notEqual" dxfId="0">
      <formula>0</formula>
    </cfRule>
  </conditionalFormatting>
  <conditionalFormatting sqref="AR303:AU303">
    <cfRule type="cellIs" priority="12" operator="notEqual" dxfId="0">
      <formula>0</formula>
    </cfRule>
  </conditionalFormatting>
  <conditionalFormatting sqref="AW303:AZ303">
    <cfRule type="cellIs" priority="11" operator="notEqual" dxfId="0">
      <formula>0</formula>
    </cfRule>
  </conditionalFormatting>
  <conditionalFormatting sqref="BB303:BE303">
    <cfRule type="cellIs" priority="10" operator="notEqual" dxfId="0">
      <formula>0</formula>
    </cfRule>
  </conditionalFormatting>
  <conditionalFormatting sqref="BG303:BJ303">
    <cfRule type="cellIs" priority="9" operator="notEqual" dxfId="0">
      <formula>0</formula>
    </cfRule>
  </conditionalFormatting>
  <conditionalFormatting sqref="BL303:BO303">
    <cfRule type="cellIs" priority="8" operator="notEqual" dxfId="0">
      <formula>0</formula>
    </cfRule>
  </conditionalFormatting>
  <conditionalFormatting sqref="BQ303:BT303">
    <cfRule type="cellIs" priority="7" operator="notEqual" dxfId="0">
      <formula>0</formula>
    </cfRule>
  </conditionalFormatting>
  <conditionalFormatting sqref="BV303:BY303">
    <cfRule type="cellIs" priority="6" operator="notEqual" dxfId="0">
      <formula>0</formula>
    </cfRule>
  </conditionalFormatting>
  <conditionalFormatting sqref="CA303:CD303">
    <cfRule type="cellIs" priority="5" operator="notEqual" dxfId="0">
      <formula>0</formula>
    </cfRule>
  </conditionalFormatting>
  <conditionalFormatting sqref="CF303:CI303">
    <cfRule type="cellIs" priority="4" operator="notEqual" dxfId="0">
      <formula>0</formula>
    </cfRule>
  </conditionalFormatting>
  <conditionalFormatting sqref="CK303:CN303">
    <cfRule type="cellIs" priority="3" operator="notEqual" dxfId="0">
      <formula>0</formula>
    </cfRule>
  </conditionalFormatting>
  <conditionalFormatting sqref="CP303:CS303">
    <cfRule type="cellIs" priority="2" operator="notEqual" dxfId="0">
      <formula>0</formula>
    </cfRule>
  </conditionalFormatting>
  <conditionalFormatting sqref="CU303:CX303">
    <cfRule type="cellIs" priority="1" operator="notEqual" dxfId="0">
      <formula>0</formula>
    </cfRule>
  </conditionalFormatting>
  <pageMargins left="0.511811024" right="0.511811024" top="0.787401575" bottom="0.787401575" header="0.31496062" footer="0.31496062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3:AB102"/>
  <sheetViews>
    <sheetView topLeftCell="A9" workbookViewId="0">
      <selection activeCell="D9" sqref="D9"/>
    </sheetView>
  </sheetViews>
  <sheetFormatPr baseColWidth="8" defaultRowHeight="12.75" outlineLevelRow="1"/>
  <cols>
    <col width="2" customWidth="1" style="249" min="1" max="1"/>
    <col outlineLevel="1" width="4.28515625" customWidth="1" style="249" min="2" max="2"/>
    <col width="54.5703125" bestFit="1" customWidth="1" style="249" min="3" max="3"/>
    <col outlineLevel="1" width="12.85546875" customWidth="1" style="249" min="4" max="4"/>
    <col outlineLevel="1" width="11.28515625" customWidth="1" style="249" min="5" max="6"/>
    <col width="11.85546875" customWidth="1" style="249" min="7" max="7"/>
    <col width="14.140625" customWidth="1" style="249" min="8" max="8"/>
    <col width="13.7109375" customWidth="1" style="249" min="9" max="9"/>
    <col width="11.28515625" customWidth="1" style="249" min="10" max="12"/>
    <col width="11.7109375" customWidth="1" style="249" min="13" max="13"/>
    <col width="11.5703125" customWidth="1" style="249" min="14" max="14"/>
    <col width="11.7109375" bestFit="1" customWidth="1" style="249" min="15" max="15"/>
    <col width="10.85546875" customWidth="1" style="249" min="16" max="20"/>
    <col width="11.7109375" bestFit="1" customWidth="1" style="249" min="21" max="22"/>
    <col width="9.28515625" customWidth="1" style="249" min="23" max="23"/>
    <col width="11.42578125" bestFit="1" customWidth="1" style="249" min="24" max="25"/>
    <col width="10" customWidth="1" style="249" min="26" max="26"/>
    <col width="9.140625" customWidth="1" style="249" min="27" max="27"/>
    <col width="19" bestFit="1" customWidth="1" style="249" min="28" max="28"/>
    <col width="9.140625" customWidth="1" style="249" min="29" max="31"/>
    <col width="8" bestFit="1" customWidth="1" style="249" min="32" max="32"/>
    <col width="9.140625" customWidth="1" style="249" min="33" max="261"/>
    <col width="2" customWidth="1" style="249" min="262" max="263"/>
    <col width="31.28515625" customWidth="1" style="249" min="264" max="264"/>
    <col width="13" customWidth="1" style="249" min="265" max="265"/>
    <col width="11.28515625" customWidth="1" style="249" min="266" max="268"/>
    <col width="13.7109375" bestFit="1" customWidth="1" style="249" min="269" max="269"/>
    <col width="11.28515625" customWidth="1" style="249" min="270" max="273"/>
    <col width="9.140625" customWidth="1" style="249" min="274" max="275"/>
    <col width="10.85546875" bestFit="1" customWidth="1" style="249" min="276" max="276"/>
    <col width="9.140625" customWidth="1" style="249" min="277" max="517"/>
    <col width="2" customWidth="1" style="249" min="518" max="519"/>
    <col width="31.28515625" customWidth="1" style="249" min="520" max="520"/>
    <col width="13" customWidth="1" style="249" min="521" max="521"/>
    <col width="11.28515625" customWidth="1" style="249" min="522" max="524"/>
    <col width="13.7109375" bestFit="1" customWidth="1" style="249" min="525" max="525"/>
    <col width="11.28515625" customWidth="1" style="249" min="526" max="529"/>
    <col width="9.140625" customWidth="1" style="249" min="530" max="531"/>
    <col width="10.85546875" bestFit="1" customWidth="1" style="249" min="532" max="532"/>
    <col width="9.140625" customWidth="1" style="249" min="533" max="773"/>
    <col width="2" customWidth="1" style="249" min="774" max="775"/>
    <col width="31.28515625" customWidth="1" style="249" min="776" max="776"/>
    <col width="13" customWidth="1" style="249" min="777" max="777"/>
    <col width="11.28515625" customWidth="1" style="249" min="778" max="780"/>
    <col width="13.7109375" bestFit="1" customWidth="1" style="249" min="781" max="781"/>
    <col width="11.28515625" customWidth="1" style="249" min="782" max="785"/>
    <col width="9.140625" customWidth="1" style="249" min="786" max="787"/>
    <col width="10.85546875" bestFit="1" customWidth="1" style="249" min="788" max="788"/>
    <col width="9.140625" customWidth="1" style="249" min="789" max="1029"/>
    <col width="2" customWidth="1" style="249" min="1030" max="1031"/>
    <col width="31.28515625" customWidth="1" style="249" min="1032" max="1032"/>
    <col width="13" customWidth="1" style="249" min="1033" max="1033"/>
    <col width="11.28515625" customWidth="1" style="249" min="1034" max="1036"/>
    <col width="13.7109375" bestFit="1" customWidth="1" style="249" min="1037" max="1037"/>
    <col width="11.28515625" customWidth="1" style="249" min="1038" max="1041"/>
    <col width="9.140625" customWidth="1" style="249" min="1042" max="1043"/>
    <col width="10.85546875" bestFit="1" customWidth="1" style="249" min="1044" max="1044"/>
    <col width="9.140625" customWidth="1" style="249" min="1045" max="1285"/>
    <col width="2" customWidth="1" style="249" min="1286" max="1287"/>
    <col width="31.28515625" customWidth="1" style="249" min="1288" max="1288"/>
    <col width="13" customWidth="1" style="249" min="1289" max="1289"/>
    <col width="11.28515625" customWidth="1" style="249" min="1290" max="1292"/>
    <col width="13.7109375" bestFit="1" customWidth="1" style="249" min="1293" max="1293"/>
    <col width="11.28515625" customWidth="1" style="249" min="1294" max="1297"/>
    <col width="9.140625" customWidth="1" style="249" min="1298" max="1299"/>
    <col width="10.85546875" bestFit="1" customWidth="1" style="249" min="1300" max="1300"/>
    <col width="9.140625" customWidth="1" style="249" min="1301" max="1541"/>
    <col width="2" customWidth="1" style="249" min="1542" max="1543"/>
    <col width="31.28515625" customWidth="1" style="249" min="1544" max="1544"/>
    <col width="13" customWidth="1" style="249" min="1545" max="1545"/>
    <col width="11.28515625" customWidth="1" style="249" min="1546" max="1548"/>
    <col width="13.7109375" bestFit="1" customWidth="1" style="249" min="1549" max="1549"/>
    <col width="11.28515625" customWidth="1" style="249" min="1550" max="1553"/>
    <col width="9.140625" customWidth="1" style="249" min="1554" max="1555"/>
    <col width="10.85546875" bestFit="1" customWidth="1" style="249" min="1556" max="1556"/>
    <col width="9.140625" customWidth="1" style="249" min="1557" max="1797"/>
    <col width="2" customWidth="1" style="249" min="1798" max="1799"/>
    <col width="31.28515625" customWidth="1" style="249" min="1800" max="1800"/>
    <col width="13" customWidth="1" style="249" min="1801" max="1801"/>
    <col width="11.28515625" customWidth="1" style="249" min="1802" max="1804"/>
    <col width="13.7109375" bestFit="1" customWidth="1" style="249" min="1805" max="1805"/>
    <col width="11.28515625" customWidth="1" style="249" min="1806" max="1809"/>
    <col width="9.140625" customWidth="1" style="249" min="1810" max="1811"/>
    <col width="10.85546875" bestFit="1" customWidth="1" style="249" min="1812" max="1812"/>
    <col width="9.140625" customWidth="1" style="249" min="1813" max="2053"/>
    <col width="2" customWidth="1" style="249" min="2054" max="2055"/>
    <col width="31.28515625" customWidth="1" style="249" min="2056" max="2056"/>
    <col width="13" customWidth="1" style="249" min="2057" max="2057"/>
    <col width="11.28515625" customWidth="1" style="249" min="2058" max="2060"/>
    <col width="13.7109375" bestFit="1" customWidth="1" style="249" min="2061" max="2061"/>
    <col width="11.28515625" customWidth="1" style="249" min="2062" max="2065"/>
    <col width="9.140625" customWidth="1" style="249" min="2066" max="2067"/>
    <col width="10.85546875" bestFit="1" customWidth="1" style="249" min="2068" max="2068"/>
    <col width="9.140625" customWidth="1" style="249" min="2069" max="2309"/>
    <col width="2" customWidth="1" style="249" min="2310" max="2311"/>
    <col width="31.28515625" customWidth="1" style="249" min="2312" max="2312"/>
    <col width="13" customWidth="1" style="249" min="2313" max="2313"/>
    <col width="11.28515625" customWidth="1" style="249" min="2314" max="2316"/>
    <col width="13.7109375" bestFit="1" customWidth="1" style="249" min="2317" max="2317"/>
    <col width="11.28515625" customWidth="1" style="249" min="2318" max="2321"/>
    <col width="9.140625" customWidth="1" style="249" min="2322" max="2323"/>
    <col width="10.85546875" bestFit="1" customWidth="1" style="249" min="2324" max="2324"/>
    <col width="9.140625" customWidth="1" style="249" min="2325" max="2565"/>
    <col width="2" customWidth="1" style="249" min="2566" max="2567"/>
    <col width="31.28515625" customWidth="1" style="249" min="2568" max="2568"/>
    <col width="13" customWidth="1" style="249" min="2569" max="2569"/>
    <col width="11.28515625" customWidth="1" style="249" min="2570" max="2572"/>
    <col width="13.7109375" bestFit="1" customWidth="1" style="249" min="2573" max="2573"/>
    <col width="11.28515625" customWidth="1" style="249" min="2574" max="2577"/>
    <col width="9.140625" customWidth="1" style="249" min="2578" max="2579"/>
    <col width="10.85546875" bestFit="1" customWidth="1" style="249" min="2580" max="2580"/>
    <col width="9.140625" customWidth="1" style="249" min="2581" max="2821"/>
    <col width="2" customWidth="1" style="249" min="2822" max="2823"/>
    <col width="31.28515625" customWidth="1" style="249" min="2824" max="2824"/>
    <col width="13" customWidth="1" style="249" min="2825" max="2825"/>
    <col width="11.28515625" customWidth="1" style="249" min="2826" max="2828"/>
    <col width="13.7109375" bestFit="1" customWidth="1" style="249" min="2829" max="2829"/>
    <col width="11.28515625" customWidth="1" style="249" min="2830" max="2833"/>
    <col width="9.140625" customWidth="1" style="249" min="2834" max="2835"/>
    <col width="10.85546875" bestFit="1" customWidth="1" style="249" min="2836" max="2836"/>
    <col width="9.140625" customWidth="1" style="249" min="2837" max="3077"/>
    <col width="2" customWidth="1" style="249" min="3078" max="3079"/>
    <col width="31.28515625" customWidth="1" style="249" min="3080" max="3080"/>
    <col width="13" customWidth="1" style="249" min="3081" max="3081"/>
    <col width="11.28515625" customWidth="1" style="249" min="3082" max="3084"/>
    <col width="13.7109375" bestFit="1" customWidth="1" style="249" min="3085" max="3085"/>
    <col width="11.28515625" customWidth="1" style="249" min="3086" max="3089"/>
    <col width="9.140625" customWidth="1" style="249" min="3090" max="3091"/>
    <col width="10.85546875" bestFit="1" customWidth="1" style="249" min="3092" max="3092"/>
    <col width="9.140625" customWidth="1" style="249" min="3093" max="3333"/>
    <col width="2" customWidth="1" style="249" min="3334" max="3335"/>
    <col width="31.28515625" customWidth="1" style="249" min="3336" max="3336"/>
    <col width="13" customWidth="1" style="249" min="3337" max="3337"/>
    <col width="11.28515625" customWidth="1" style="249" min="3338" max="3340"/>
    <col width="13.7109375" bestFit="1" customWidth="1" style="249" min="3341" max="3341"/>
    <col width="11.28515625" customWidth="1" style="249" min="3342" max="3345"/>
    <col width="9.140625" customWidth="1" style="249" min="3346" max="3347"/>
    <col width="10.85546875" bestFit="1" customWidth="1" style="249" min="3348" max="3348"/>
    <col width="9.140625" customWidth="1" style="249" min="3349" max="3589"/>
    <col width="2" customWidth="1" style="249" min="3590" max="3591"/>
    <col width="31.28515625" customWidth="1" style="249" min="3592" max="3592"/>
    <col width="13" customWidth="1" style="249" min="3593" max="3593"/>
    <col width="11.28515625" customWidth="1" style="249" min="3594" max="3596"/>
    <col width="13.7109375" bestFit="1" customWidth="1" style="249" min="3597" max="3597"/>
    <col width="11.28515625" customWidth="1" style="249" min="3598" max="3601"/>
    <col width="9.140625" customWidth="1" style="249" min="3602" max="3603"/>
    <col width="10.85546875" bestFit="1" customWidth="1" style="249" min="3604" max="3604"/>
    <col width="9.140625" customWidth="1" style="249" min="3605" max="3845"/>
    <col width="2" customWidth="1" style="249" min="3846" max="3847"/>
    <col width="31.28515625" customWidth="1" style="249" min="3848" max="3848"/>
    <col width="13" customWidth="1" style="249" min="3849" max="3849"/>
    <col width="11.28515625" customWidth="1" style="249" min="3850" max="3852"/>
    <col width="13.7109375" bestFit="1" customWidth="1" style="249" min="3853" max="3853"/>
    <col width="11.28515625" customWidth="1" style="249" min="3854" max="3857"/>
    <col width="9.140625" customWidth="1" style="249" min="3858" max="3859"/>
    <col width="10.85546875" bestFit="1" customWidth="1" style="249" min="3860" max="3860"/>
    <col width="9.140625" customWidth="1" style="249" min="3861" max="4101"/>
    <col width="2" customWidth="1" style="249" min="4102" max="4103"/>
    <col width="31.28515625" customWidth="1" style="249" min="4104" max="4104"/>
    <col width="13" customWidth="1" style="249" min="4105" max="4105"/>
    <col width="11.28515625" customWidth="1" style="249" min="4106" max="4108"/>
    <col width="13.7109375" bestFit="1" customWidth="1" style="249" min="4109" max="4109"/>
    <col width="11.28515625" customWidth="1" style="249" min="4110" max="4113"/>
    <col width="9.140625" customWidth="1" style="249" min="4114" max="4115"/>
    <col width="10.85546875" bestFit="1" customWidth="1" style="249" min="4116" max="4116"/>
    <col width="9.140625" customWidth="1" style="249" min="4117" max="4357"/>
    <col width="2" customWidth="1" style="249" min="4358" max="4359"/>
    <col width="31.28515625" customWidth="1" style="249" min="4360" max="4360"/>
    <col width="13" customWidth="1" style="249" min="4361" max="4361"/>
    <col width="11.28515625" customWidth="1" style="249" min="4362" max="4364"/>
    <col width="13.7109375" bestFit="1" customWidth="1" style="249" min="4365" max="4365"/>
    <col width="11.28515625" customWidth="1" style="249" min="4366" max="4369"/>
    <col width="9.140625" customWidth="1" style="249" min="4370" max="4371"/>
    <col width="10.85546875" bestFit="1" customWidth="1" style="249" min="4372" max="4372"/>
    <col width="9.140625" customWidth="1" style="249" min="4373" max="4613"/>
    <col width="2" customWidth="1" style="249" min="4614" max="4615"/>
    <col width="31.28515625" customWidth="1" style="249" min="4616" max="4616"/>
    <col width="13" customWidth="1" style="249" min="4617" max="4617"/>
    <col width="11.28515625" customWidth="1" style="249" min="4618" max="4620"/>
    <col width="13.7109375" bestFit="1" customWidth="1" style="249" min="4621" max="4621"/>
    <col width="11.28515625" customWidth="1" style="249" min="4622" max="4625"/>
    <col width="9.140625" customWidth="1" style="249" min="4626" max="4627"/>
    <col width="10.85546875" bestFit="1" customWidth="1" style="249" min="4628" max="4628"/>
    <col width="9.140625" customWidth="1" style="249" min="4629" max="4869"/>
    <col width="2" customWidth="1" style="249" min="4870" max="4871"/>
    <col width="31.28515625" customWidth="1" style="249" min="4872" max="4872"/>
    <col width="13" customWidth="1" style="249" min="4873" max="4873"/>
    <col width="11.28515625" customWidth="1" style="249" min="4874" max="4876"/>
    <col width="13.7109375" bestFit="1" customWidth="1" style="249" min="4877" max="4877"/>
    <col width="11.28515625" customWidth="1" style="249" min="4878" max="4881"/>
    <col width="9.140625" customWidth="1" style="249" min="4882" max="4883"/>
    <col width="10.85546875" bestFit="1" customWidth="1" style="249" min="4884" max="4884"/>
    <col width="9.140625" customWidth="1" style="249" min="4885" max="5125"/>
    <col width="2" customWidth="1" style="249" min="5126" max="5127"/>
    <col width="31.28515625" customWidth="1" style="249" min="5128" max="5128"/>
    <col width="13" customWidth="1" style="249" min="5129" max="5129"/>
    <col width="11.28515625" customWidth="1" style="249" min="5130" max="5132"/>
    <col width="13.7109375" bestFit="1" customWidth="1" style="249" min="5133" max="5133"/>
    <col width="11.28515625" customWidth="1" style="249" min="5134" max="5137"/>
    <col width="9.140625" customWidth="1" style="249" min="5138" max="5139"/>
    <col width="10.85546875" bestFit="1" customWidth="1" style="249" min="5140" max="5140"/>
    <col width="9.140625" customWidth="1" style="249" min="5141" max="5381"/>
    <col width="2" customWidth="1" style="249" min="5382" max="5383"/>
    <col width="31.28515625" customWidth="1" style="249" min="5384" max="5384"/>
    <col width="13" customWidth="1" style="249" min="5385" max="5385"/>
    <col width="11.28515625" customWidth="1" style="249" min="5386" max="5388"/>
    <col width="13.7109375" bestFit="1" customWidth="1" style="249" min="5389" max="5389"/>
    <col width="11.28515625" customWidth="1" style="249" min="5390" max="5393"/>
    <col width="9.140625" customWidth="1" style="249" min="5394" max="5395"/>
    <col width="10.85546875" bestFit="1" customWidth="1" style="249" min="5396" max="5396"/>
    <col width="9.140625" customWidth="1" style="249" min="5397" max="5637"/>
    <col width="2" customWidth="1" style="249" min="5638" max="5639"/>
    <col width="31.28515625" customWidth="1" style="249" min="5640" max="5640"/>
    <col width="13" customWidth="1" style="249" min="5641" max="5641"/>
    <col width="11.28515625" customWidth="1" style="249" min="5642" max="5644"/>
    <col width="13.7109375" bestFit="1" customWidth="1" style="249" min="5645" max="5645"/>
    <col width="11.28515625" customWidth="1" style="249" min="5646" max="5649"/>
    <col width="9.140625" customWidth="1" style="249" min="5650" max="5651"/>
    <col width="10.85546875" bestFit="1" customWidth="1" style="249" min="5652" max="5652"/>
    <col width="9.140625" customWidth="1" style="249" min="5653" max="5893"/>
    <col width="2" customWidth="1" style="249" min="5894" max="5895"/>
    <col width="31.28515625" customWidth="1" style="249" min="5896" max="5896"/>
    <col width="13" customWidth="1" style="249" min="5897" max="5897"/>
    <col width="11.28515625" customWidth="1" style="249" min="5898" max="5900"/>
    <col width="13.7109375" bestFit="1" customWidth="1" style="249" min="5901" max="5901"/>
    <col width="11.28515625" customWidth="1" style="249" min="5902" max="5905"/>
    <col width="9.140625" customWidth="1" style="249" min="5906" max="5907"/>
    <col width="10.85546875" bestFit="1" customWidth="1" style="249" min="5908" max="5908"/>
    <col width="9.140625" customWidth="1" style="249" min="5909" max="6149"/>
    <col width="2" customWidth="1" style="249" min="6150" max="6151"/>
    <col width="31.28515625" customWidth="1" style="249" min="6152" max="6152"/>
    <col width="13" customWidth="1" style="249" min="6153" max="6153"/>
    <col width="11.28515625" customWidth="1" style="249" min="6154" max="6156"/>
    <col width="13.7109375" bestFit="1" customWidth="1" style="249" min="6157" max="6157"/>
    <col width="11.28515625" customWidth="1" style="249" min="6158" max="6161"/>
    <col width="9.140625" customWidth="1" style="249" min="6162" max="6163"/>
    <col width="10.85546875" bestFit="1" customWidth="1" style="249" min="6164" max="6164"/>
    <col width="9.140625" customWidth="1" style="249" min="6165" max="6405"/>
    <col width="2" customWidth="1" style="249" min="6406" max="6407"/>
    <col width="31.28515625" customWidth="1" style="249" min="6408" max="6408"/>
    <col width="13" customWidth="1" style="249" min="6409" max="6409"/>
    <col width="11.28515625" customWidth="1" style="249" min="6410" max="6412"/>
    <col width="13.7109375" bestFit="1" customWidth="1" style="249" min="6413" max="6413"/>
    <col width="11.28515625" customWidth="1" style="249" min="6414" max="6417"/>
    <col width="9.140625" customWidth="1" style="249" min="6418" max="6419"/>
    <col width="10.85546875" bestFit="1" customWidth="1" style="249" min="6420" max="6420"/>
    <col width="9.140625" customWidth="1" style="249" min="6421" max="6661"/>
    <col width="2" customWidth="1" style="249" min="6662" max="6663"/>
    <col width="31.28515625" customWidth="1" style="249" min="6664" max="6664"/>
    <col width="13" customWidth="1" style="249" min="6665" max="6665"/>
    <col width="11.28515625" customWidth="1" style="249" min="6666" max="6668"/>
    <col width="13.7109375" bestFit="1" customWidth="1" style="249" min="6669" max="6669"/>
    <col width="11.28515625" customWidth="1" style="249" min="6670" max="6673"/>
    <col width="9.140625" customWidth="1" style="249" min="6674" max="6675"/>
    <col width="10.85546875" bestFit="1" customWidth="1" style="249" min="6676" max="6676"/>
    <col width="9.140625" customWidth="1" style="249" min="6677" max="6917"/>
    <col width="2" customWidth="1" style="249" min="6918" max="6919"/>
    <col width="31.28515625" customWidth="1" style="249" min="6920" max="6920"/>
    <col width="13" customWidth="1" style="249" min="6921" max="6921"/>
    <col width="11.28515625" customWidth="1" style="249" min="6922" max="6924"/>
    <col width="13.7109375" bestFit="1" customWidth="1" style="249" min="6925" max="6925"/>
    <col width="11.28515625" customWidth="1" style="249" min="6926" max="6929"/>
    <col width="9.140625" customWidth="1" style="249" min="6930" max="6931"/>
    <col width="10.85546875" bestFit="1" customWidth="1" style="249" min="6932" max="6932"/>
    <col width="9.140625" customWidth="1" style="249" min="6933" max="7173"/>
    <col width="2" customWidth="1" style="249" min="7174" max="7175"/>
    <col width="31.28515625" customWidth="1" style="249" min="7176" max="7176"/>
    <col width="13" customWidth="1" style="249" min="7177" max="7177"/>
    <col width="11.28515625" customWidth="1" style="249" min="7178" max="7180"/>
    <col width="13.7109375" bestFit="1" customWidth="1" style="249" min="7181" max="7181"/>
    <col width="11.28515625" customWidth="1" style="249" min="7182" max="7185"/>
    <col width="9.140625" customWidth="1" style="249" min="7186" max="7187"/>
    <col width="10.85546875" bestFit="1" customWidth="1" style="249" min="7188" max="7188"/>
    <col width="9.140625" customWidth="1" style="249" min="7189" max="7429"/>
    <col width="2" customWidth="1" style="249" min="7430" max="7431"/>
    <col width="31.28515625" customWidth="1" style="249" min="7432" max="7432"/>
    <col width="13" customWidth="1" style="249" min="7433" max="7433"/>
    <col width="11.28515625" customWidth="1" style="249" min="7434" max="7436"/>
    <col width="13.7109375" bestFit="1" customWidth="1" style="249" min="7437" max="7437"/>
    <col width="11.28515625" customWidth="1" style="249" min="7438" max="7441"/>
    <col width="9.140625" customWidth="1" style="249" min="7442" max="7443"/>
    <col width="10.85546875" bestFit="1" customWidth="1" style="249" min="7444" max="7444"/>
    <col width="9.140625" customWidth="1" style="249" min="7445" max="7685"/>
    <col width="2" customWidth="1" style="249" min="7686" max="7687"/>
    <col width="31.28515625" customWidth="1" style="249" min="7688" max="7688"/>
    <col width="13" customWidth="1" style="249" min="7689" max="7689"/>
    <col width="11.28515625" customWidth="1" style="249" min="7690" max="7692"/>
    <col width="13.7109375" bestFit="1" customWidth="1" style="249" min="7693" max="7693"/>
    <col width="11.28515625" customWidth="1" style="249" min="7694" max="7697"/>
    <col width="9.140625" customWidth="1" style="249" min="7698" max="7699"/>
    <col width="10.85546875" bestFit="1" customWidth="1" style="249" min="7700" max="7700"/>
    <col width="9.140625" customWidth="1" style="249" min="7701" max="7941"/>
    <col width="2" customWidth="1" style="249" min="7942" max="7943"/>
    <col width="31.28515625" customWidth="1" style="249" min="7944" max="7944"/>
    <col width="13" customWidth="1" style="249" min="7945" max="7945"/>
    <col width="11.28515625" customWidth="1" style="249" min="7946" max="7948"/>
    <col width="13.7109375" bestFit="1" customWidth="1" style="249" min="7949" max="7949"/>
    <col width="11.28515625" customWidth="1" style="249" min="7950" max="7953"/>
    <col width="9.140625" customWidth="1" style="249" min="7954" max="7955"/>
    <col width="10.85546875" bestFit="1" customWidth="1" style="249" min="7956" max="7956"/>
    <col width="9.140625" customWidth="1" style="249" min="7957" max="8197"/>
    <col width="2" customWidth="1" style="249" min="8198" max="8199"/>
    <col width="31.28515625" customWidth="1" style="249" min="8200" max="8200"/>
    <col width="13" customWidth="1" style="249" min="8201" max="8201"/>
    <col width="11.28515625" customWidth="1" style="249" min="8202" max="8204"/>
    <col width="13.7109375" bestFit="1" customWidth="1" style="249" min="8205" max="8205"/>
    <col width="11.28515625" customWidth="1" style="249" min="8206" max="8209"/>
    <col width="9.140625" customWidth="1" style="249" min="8210" max="8211"/>
    <col width="10.85546875" bestFit="1" customWidth="1" style="249" min="8212" max="8212"/>
    <col width="9.140625" customWidth="1" style="249" min="8213" max="8453"/>
    <col width="2" customWidth="1" style="249" min="8454" max="8455"/>
    <col width="31.28515625" customWidth="1" style="249" min="8456" max="8456"/>
    <col width="13" customWidth="1" style="249" min="8457" max="8457"/>
    <col width="11.28515625" customWidth="1" style="249" min="8458" max="8460"/>
    <col width="13.7109375" bestFit="1" customWidth="1" style="249" min="8461" max="8461"/>
    <col width="11.28515625" customWidth="1" style="249" min="8462" max="8465"/>
    <col width="9.140625" customWidth="1" style="249" min="8466" max="8467"/>
    <col width="10.85546875" bestFit="1" customWidth="1" style="249" min="8468" max="8468"/>
    <col width="9.140625" customWidth="1" style="249" min="8469" max="8709"/>
    <col width="2" customWidth="1" style="249" min="8710" max="8711"/>
    <col width="31.28515625" customWidth="1" style="249" min="8712" max="8712"/>
    <col width="13" customWidth="1" style="249" min="8713" max="8713"/>
    <col width="11.28515625" customWidth="1" style="249" min="8714" max="8716"/>
    <col width="13.7109375" bestFit="1" customWidth="1" style="249" min="8717" max="8717"/>
    <col width="11.28515625" customWidth="1" style="249" min="8718" max="8721"/>
    <col width="9.140625" customWidth="1" style="249" min="8722" max="8723"/>
    <col width="10.85546875" bestFit="1" customWidth="1" style="249" min="8724" max="8724"/>
    <col width="9.140625" customWidth="1" style="249" min="8725" max="8965"/>
    <col width="2" customWidth="1" style="249" min="8966" max="8967"/>
    <col width="31.28515625" customWidth="1" style="249" min="8968" max="8968"/>
    <col width="13" customWidth="1" style="249" min="8969" max="8969"/>
    <col width="11.28515625" customWidth="1" style="249" min="8970" max="8972"/>
    <col width="13.7109375" bestFit="1" customWidth="1" style="249" min="8973" max="8973"/>
    <col width="11.28515625" customWidth="1" style="249" min="8974" max="8977"/>
    <col width="9.140625" customWidth="1" style="249" min="8978" max="8979"/>
    <col width="10.85546875" bestFit="1" customWidth="1" style="249" min="8980" max="8980"/>
    <col width="9.140625" customWidth="1" style="249" min="8981" max="9221"/>
    <col width="2" customWidth="1" style="249" min="9222" max="9223"/>
    <col width="31.28515625" customWidth="1" style="249" min="9224" max="9224"/>
    <col width="13" customWidth="1" style="249" min="9225" max="9225"/>
    <col width="11.28515625" customWidth="1" style="249" min="9226" max="9228"/>
    <col width="13.7109375" bestFit="1" customWidth="1" style="249" min="9229" max="9229"/>
    <col width="11.28515625" customWidth="1" style="249" min="9230" max="9233"/>
    <col width="9.140625" customWidth="1" style="249" min="9234" max="9235"/>
    <col width="10.85546875" bestFit="1" customWidth="1" style="249" min="9236" max="9236"/>
    <col width="9.140625" customWidth="1" style="249" min="9237" max="9477"/>
    <col width="2" customWidth="1" style="249" min="9478" max="9479"/>
    <col width="31.28515625" customWidth="1" style="249" min="9480" max="9480"/>
    <col width="13" customWidth="1" style="249" min="9481" max="9481"/>
    <col width="11.28515625" customWidth="1" style="249" min="9482" max="9484"/>
    <col width="13.7109375" bestFit="1" customWidth="1" style="249" min="9485" max="9485"/>
    <col width="11.28515625" customWidth="1" style="249" min="9486" max="9489"/>
    <col width="9.140625" customWidth="1" style="249" min="9490" max="9491"/>
    <col width="10.85546875" bestFit="1" customWidth="1" style="249" min="9492" max="9492"/>
    <col width="9.140625" customWidth="1" style="249" min="9493" max="9733"/>
    <col width="2" customWidth="1" style="249" min="9734" max="9735"/>
    <col width="31.28515625" customWidth="1" style="249" min="9736" max="9736"/>
    <col width="13" customWidth="1" style="249" min="9737" max="9737"/>
    <col width="11.28515625" customWidth="1" style="249" min="9738" max="9740"/>
    <col width="13.7109375" bestFit="1" customWidth="1" style="249" min="9741" max="9741"/>
    <col width="11.28515625" customWidth="1" style="249" min="9742" max="9745"/>
    <col width="9.140625" customWidth="1" style="249" min="9746" max="9747"/>
    <col width="10.85546875" bestFit="1" customWidth="1" style="249" min="9748" max="9748"/>
    <col width="9.140625" customWidth="1" style="249" min="9749" max="9989"/>
    <col width="2" customWidth="1" style="249" min="9990" max="9991"/>
    <col width="31.28515625" customWidth="1" style="249" min="9992" max="9992"/>
    <col width="13" customWidth="1" style="249" min="9993" max="9993"/>
    <col width="11.28515625" customWidth="1" style="249" min="9994" max="9996"/>
    <col width="13.7109375" bestFit="1" customWidth="1" style="249" min="9997" max="9997"/>
    <col width="11.28515625" customWidth="1" style="249" min="9998" max="10001"/>
    <col width="9.140625" customWidth="1" style="249" min="10002" max="10003"/>
    <col width="10.85546875" bestFit="1" customWidth="1" style="249" min="10004" max="10004"/>
    <col width="9.140625" customWidth="1" style="249" min="10005" max="10245"/>
    <col width="2" customWidth="1" style="249" min="10246" max="10247"/>
    <col width="31.28515625" customWidth="1" style="249" min="10248" max="10248"/>
    <col width="13" customWidth="1" style="249" min="10249" max="10249"/>
    <col width="11.28515625" customWidth="1" style="249" min="10250" max="10252"/>
    <col width="13.7109375" bestFit="1" customWidth="1" style="249" min="10253" max="10253"/>
    <col width="11.28515625" customWidth="1" style="249" min="10254" max="10257"/>
    <col width="9.140625" customWidth="1" style="249" min="10258" max="10259"/>
    <col width="10.85546875" bestFit="1" customWidth="1" style="249" min="10260" max="10260"/>
    <col width="9.140625" customWidth="1" style="249" min="10261" max="10501"/>
    <col width="2" customWidth="1" style="249" min="10502" max="10503"/>
    <col width="31.28515625" customWidth="1" style="249" min="10504" max="10504"/>
    <col width="13" customWidth="1" style="249" min="10505" max="10505"/>
    <col width="11.28515625" customWidth="1" style="249" min="10506" max="10508"/>
    <col width="13.7109375" bestFit="1" customWidth="1" style="249" min="10509" max="10509"/>
    <col width="11.28515625" customWidth="1" style="249" min="10510" max="10513"/>
    <col width="9.140625" customWidth="1" style="249" min="10514" max="10515"/>
    <col width="10.85546875" bestFit="1" customWidth="1" style="249" min="10516" max="10516"/>
    <col width="9.140625" customWidth="1" style="249" min="10517" max="10757"/>
    <col width="2" customWidth="1" style="249" min="10758" max="10759"/>
    <col width="31.28515625" customWidth="1" style="249" min="10760" max="10760"/>
    <col width="13" customWidth="1" style="249" min="10761" max="10761"/>
    <col width="11.28515625" customWidth="1" style="249" min="10762" max="10764"/>
    <col width="13.7109375" bestFit="1" customWidth="1" style="249" min="10765" max="10765"/>
    <col width="11.28515625" customWidth="1" style="249" min="10766" max="10769"/>
    <col width="9.140625" customWidth="1" style="249" min="10770" max="10771"/>
    <col width="10.85546875" bestFit="1" customWidth="1" style="249" min="10772" max="10772"/>
    <col width="9.140625" customWidth="1" style="249" min="10773" max="11013"/>
    <col width="2" customWidth="1" style="249" min="11014" max="11015"/>
    <col width="31.28515625" customWidth="1" style="249" min="11016" max="11016"/>
    <col width="13" customWidth="1" style="249" min="11017" max="11017"/>
    <col width="11.28515625" customWidth="1" style="249" min="11018" max="11020"/>
    <col width="13.7109375" bestFit="1" customWidth="1" style="249" min="11021" max="11021"/>
    <col width="11.28515625" customWidth="1" style="249" min="11022" max="11025"/>
    <col width="9.140625" customWidth="1" style="249" min="11026" max="11027"/>
    <col width="10.85546875" bestFit="1" customWidth="1" style="249" min="11028" max="11028"/>
    <col width="9.140625" customWidth="1" style="249" min="11029" max="11269"/>
    <col width="2" customWidth="1" style="249" min="11270" max="11271"/>
    <col width="31.28515625" customWidth="1" style="249" min="11272" max="11272"/>
    <col width="13" customWidth="1" style="249" min="11273" max="11273"/>
    <col width="11.28515625" customWidth="1" style="249" min="11274" max="11276"/>
    <col width="13.7109375" bestFit="1" customWidth="1" style="249" min="11277" max="11277"/>
    <col width="11.28515625" customWidth="1" style="249" min="11278" max="11281"/>
    <col width="9.140625" customWidth="1" style="249" min="11282" max="11283"/>
    <col width="10.85546875" bestFit="1" customWidth="1" style="249" min="11284" max="11284"/>
    <col width="9.140625" customWidth="1" style="249" min="11285" max="11525"/>
    <col width="2" customWidth="1" style="249" min="11526" max="11527"/>
    <col width="31.28515625" customWidth="1" style="249" min="11528" max="11528"/>
    <col width="13" customWidth="1" style="249" min="11529" max="11529"/>
    <col width="11.28515625" customWidth="1" style="249" min="11530" max="11532"/>
    <col width="13.7109375" bestFit="1" customWidth="1" style="249" min="11533" max="11533"/>
    <col width="11.28515625" customWidth="1" style="249" min="11534" max="11537"/>
    <col width="9.140625" customWidth="1" style="249" min="11538" max="11539"/>
    <col width="10.85546875" bestFit="1" customWidth="1" style="249" min="11540" max="11540"/>
    <col width="9.140625" customWidth="1" style="249" min="11541" max="11781"/>
    <col width="2" customWidth="1" style="249" min="11782" max="11783"/>
    <col width="31.28515625" customWidth="1" style="249" min="11784" max="11784"/>
    <col width="13" customWidth="1" style="249" min="11785" max="11785"/>
    <col width="11.28515625" customWidth="1" style="249" min="11786" max="11788"/>
    <col width="13.7109375" bestFit="1" customWidth="1" style="249" min="11789" max="11789"/>
    <col width="11.28515625" customWidth="1" style="249" min="11790" max="11793"/>
    <col width="9.140625" customWidth="1" style="249" min="11794" max="11795"/>
    <col width="10.85546875" bestFit="1" customWidth="1" style="249" min="11796" max="11796"/>
    <col width="9.140625" customWidth="1" style="249" min="11797" max="12037"/>
    <col width="2" customWidth="1" style="249" min="12038" max="12039"/>
    <col width="31.28515625" customWidth="1" style="249" min="12040" max="12040"/>
    <col width="13" customWidth="1" style="249" min="12041" max="12041"/>
    <col width="11.28515625" customWidth="1" style="249" min="12042" max="12044"/>
    <col width="13.7109375" bestFit="1" customWidth="1" style="249" min="12045" max="12045"/>
    <col width="11.28515625" customWidth="1" style="249" min="12046" max="12049"/>
    <col width="9.140625" customWidth="1" style="249" min="12050" max="12051"/>
    <col width="10.85546875" bestFit="1" customWidth="1" style="249" min="12052" max="12052"/>
    <col width="9.140625" customWidth="1" style="249" min="12053" max="12293"/>
    <col width="2" customWidth="1" style="249" min="12294" max="12295"/>
    <col width="31.28515625" customWidth="1" style="249" min="12296" max="12296"/>
    <col width="13" customWidth="1" style="249" min="12297" max="12297"/>
    <col width="11.28515625" customWidth="1" style="249" min="12298" max="12300"/>
    <col width="13.7109375" bestFit="1" customWidth="1" style="249" min="12301" max="12301"/>
    <col width="11.28515625" customWidth="1" style="249" min="12302" max="12305"/>
    <col width="9.140625" customWidth="1" style="249" min="12306" max="12307"/>
    <col width="10.85546875" bestFit="1" customWidth="1" style="249" min="12308" max="12308"/>
    <col width="9.140625" customWidth="1" style="249" min="12309" max="12549"/>
    <col width="2" customWidth="1" style="249" min="12550" max="12551"/>
    <col width="31.28515625" customWidth="1" style="249" min="12552" max="12552"/>
    <col width="13" customWidth="1" style="249" min="12553" max="12553"/>
    <col width="11.28515625" customWidth="1" style="249" min="12554" max="12556"/>
    <col width="13.7109375" bestFit="1" customWidth="1" style="249" min="12557" max="12557"/>
    <col width="11.28515625" customWidth="1" style="249" min="12558" max="12561"/>
    <col width="9.140625" customWidth="1" style="249" min="12562" max="12563"/>
    <col width="10.85546875" bestFit="1" customWidth="1" style="249" min="12564" max="12564"/>
    <col width="9.140625" customWidth="1" style="249" min="12565" max="12805"/>
    <col width="2" customWidth="1" style="249" min="12806" max="12807"/>
    <col width="31.28515625" customWidth="1" style="249" min="12808" max="12808"/>
    <col width="13" customWidth="1" style="249" min="12809" max="12809"/>
    <col width="11.28515625" customWidth="1" style="249" min="12810" max="12812"/>
    <col width="13.7109375" bestFit="1" customWidth="1" style="249" min="12813" max="12813"/>
    <col width="11.28515625" customWidth="1" style="249" min="12814" max="12817"/>
    <col width="9.140625" customWidth="1" style="249" min="12818" max="12819"/>
    <col width="10.85546875" bestFit="1" customWidth="1" style="249" min="12820" max="12820"/>
    <col width="9.140625" customWidth="1" style="249" min="12821" max="13061"/>
    <col width="2" customWidth="1" style="249" min="13062" max="13063"/>
    <col width="31.28515625" customWidth="1" style="249" min="13064" max="13064"/>
    <col width="13" customWidth="1" style="249" min="13065" max="13065"/>
    <col width="11.28515625" customWidth="1" style="249" min="13066" max="13068"/>
    <col width="13.7109375" bestFit="1" customWidth="1" style="249" min="13069" max="13069"/>
    <col width="11.28515625" customWidth="1" style="249" min="13070" max="13073"/>
    <col width="9.140625" customWidth="1" style="249" min="13074" max="13075"/>
    <col width="10.85546875" bestFit="1" customWidth="1" style="249" min="13076" max="13076"/>
    <col width="9.140625" customWidth="1" style="249" min="13077" max="13317"/>
    <col width="2" customWidth="1" style="249" min="13318" max="13319"/>
    <col width="31.28515625" customWidth="1" style="249" min="13320" max="13320"/>
    <col width="13" customWidth="1" style="249" min="13321" max="13321"/>
    <col width="11.28515625" customWidth="1" style="249" min="13322" max="13324"/>
    <col width="13.7109375" bestFit="1" customWidth="1" style="249" min="13325" max="13325"/>
    <col width="11.28515625" customWidth="1" style="249" min="13326" max="13329"/>
    <col width="9.140625" customWidth="1" style="249" min="13330" max="13331"/>
    <col width="10.85546875" bestFit="1" customWidth="1" style="249" min="13332" max="13332"/>
    <col width="9.140625" customWidth="1" style="249" min="13333" max="13573"/>
    <col width="2" customWidth="1" style="249" min="13574" max="13575"/>
    <col width="31.28515625" customWidth="1" style="249" min="13576" max="13576"/>
    <col width="13" customWidth="1" style="249" min="13577" max="13577"/>
    <col width="11.28515625" customWidth="1" style="249" min="13578" max="13580"/>
    <col width="13.7109375" bestFit="1" customWidth="1" style="249" min="13581" max="13581"/>
    <col width="11.28515625" customWidth="1" style="249" min="13582" max="13585"/>
    <col width="9.140625" customWidth="1" style="249" min="13586" max="13587"/>
    <col width="10.85546875" bestFit="1" customWidth="1" style="249" min="13588" max="13588"/>
    <col width="9.140625" customWidth="1" style="249" min="13589" max="13829"/>
    <col width="2" customWidth="1" style="249" min="13830" max="13831"/>
    <col width="31.28515625" customWidth="1" style="249" min="13832" max="13832"/>
    <col width="13" customWidth="1" style="249" min="13833" max="13833"/>
    <col width="11.28515625" customWidth="1" style="249" min="13834" max="13836"/>
    <col width="13.7109375" bestFit="1" customWidth="1" style="249" min="13837" max="13837"/>
    <col width="11.28515625" customWidth="1" style="249" min="13838" max="13841"/>
    <col width="9.140625" customWidth="1" style="249" min="13842" max="13843"/>
    <col width="10.85546875" bestFit="1" customWidth="1" style="249" min="13844" max="13844"/>
    <col width="9.140625" customWidth="1" style="249" min="13845" max="14085"/>
    <col width="2" customWidth="1" style="249" min="14086" max="14087"/>
    <col width="31.28515625" customWidth="1" style="249" min="14088" max="14088"/>
    <col width="13" customWidth="1" style="249" min="14089" max="14089"/>
    <col width="11.28515625" customWidth="1" style="249" min="14090" max="14092"/>
    <col width="13.7109375" bestFit="1" customWidth="1" style="249" min="14093" max="14093"/>
    <col width="11.28515625" customWidth="1" style="249" min="14094" max="14097"/>
    <col width="9.140625" customWidth="1" style="249" min="14098" max="14099"/>
    <col width="10.85546875" bestFit="1" customWidth="1" style="249" min="14100" max="14100"/>
    <col width="9.140625" customWidth="1" style="249" min="14101" max="14341"/>
    <col width="2" customWidth="1" style="249" min="14342" max="14343"/>
    <col width="31.28515625" customWidth="1" style="249" min="14344" max="14344"/>
    <col width="13" customWidth="1" style="249" min="14345" max="14345"/>
    <col width="11.28515625" customWidth="1" style="249" min="14346" max="14348"/>
    <col width="13.7109375" bestFit="1" customWidth="1" style="249" min="14349" max="14349"/>
    <col width="11.28515625" customWidth="1" style="249" min="14350" max="14353"/>
    <col width="9.140625" customWidth="1" style="249" min="14354" max="14355"/>
    <col width="10.85546875" bestFit="1" customWidth="1" style="249" min="14356" max="14356"/>
    <col width="9.140625" customWidth="1" style="249" min="14357" max="14597"/>
    <col width="2" customWidth="1" style="249" min="14598" max="14599"/>
    <col width="31.28515625" customWidth="1" style="249" min="14600" max="14600"/>
    <col width="13" customWidth="1" style="249" min="14601" max="14601"/>
    <col width="11.28515625" customWidth="1" style="249" min="14602" max="14604"/>
    <col width="13.7109375" bestFit="1" customWidth="1" style="249" min="14605" max="14605"/>
    <col width="11.28515625" customWidth="1" style="249" min="14606" max="14609"/>
    <col width="9.140625" customWidth="1" style="249" min="14610" max="14611"/>
    <col width="10.85546875" bestFit="1" customWidth="1" style="249" min="14612" max="14612"/>
    <col width="9.140625" customWidth="1" style="249" min="14613" max="14853"/>
    <col width="2" customWidth="1" style="249" min="14854" max="14855"/>
    <col width="31.28515625" customWidth="1" style="249" min="14856" max="14856"/>
    <col width="13" customWidth="1" style="249" min="14857" max="14857"/>
    <col width="11.28515625" customWidth="1" style="249" min="14858" max="14860"/>
    <col width="13.7109375" bestFit="1" customWidth="1" style="249" min="14861" max="14861"/>
    <col width="11.28515625" customWidth="1" style="249" min="14862" max="14865"/>
    <col width="9.140625" customWidth="1" style="249" min="14866" max="14867"/>
    <col width="10.85546875" bestFit="1" customWidth="1" style="249" min="14868" max="14868"/>
    <col width="9.140625" customWidth="1" style="249" min="14869" max="15109"/>
    <col width="2" customWidth="1" style="249" min="15110" max="15111"/>
    <col width="31.28515625" customWidth="1" style="249" min="15112" max="15112"/>
    <col width="13" customWidth="1" style="249" min="15113" max="15113"/>
    <col width="11.28515625" customWidth="1" style="249" min="15114" max="15116"/>
    <col width="13.7109375" bestFit="1" customWidth="1" style="249" min="15117" max="15117"/>
    <col width="11.28515625" customWidth="1" style="249" min="15118" max="15121"/>
    <col width="9.140625" customWidth="1" style="249" min="15122" max="15123"/>
    <col width="10.85546875" bestFit="1" customWidth="1" style="249" min="15124" max="15124"/>
    <col width="9.140625" customWidth="1" style="249" min="15125" max="15365"/>
    <col width="2" customWidth="1" style="249" min="15366" max="15367"/>
    <col width="31.28515625" customWidth="1" style="249" min="15368" max="15368"/>
    <col width="13" customWidth="1" style="249" min="15369" max="15369"/>
    <col width="11.28515625" customWidth="1" style="249" min="15370" max="15372"/>
    <col width="13.7109375" bestFit="1" customWidth="1" style="249" min="15373" max="15373"/>
    <col width="11.28515625" customWidth="1" style="249" min="15374" max="15377"/>
    <col width="9.140625" customWidth="1" style="249" min="15378" max="15379"/>
    <col width="10.85546875" bestFit="1" customWidth="1" style="249" min="15380" max="15380"/>
    <col width="9.140625" customWidth="1" style="249" min="15381" max="15621"/>
    <col width="2" customWidth="1" style="249" min="15622" max="15623"/>
    <col width="31.28515625" customWidth="1" style="249" min="15624" max="15624"/>
    <col width="13" customWidth="1" style="249" min="15625" max="15625"/>
    <col width="11.28515625" customWidth="1" style="249" min="15626" max="15628"/>
    <col width="13.7109375" bestFit="1" customWidth="1" style="249" min="15629" max="15629"/>
    <col width="11.28515625" customWidth="1" style="249" min="15630" max="15633"/>
    <col width="9.140625" customWidth="1" style="249" min="15634" max="15635"/>
    <col width="10.85546875" bestFit="1" customWidth="1" style="249" min="15636" max="15636"/>
    <col width="9.140625" customWidth="1" style="249" min="15637" max="15877"/>
    <col width="2" customWidth="1" style="249" min="15878" max="15879"/>
    <col width="31.28515625" customWidth="1" style="249" min="15880" max="15880"/>
    <col width="13" customWidth="1" style="249" min="15881" max="15881"/>
    <col width="11.28515625" customWidth="1" style="249" min="15882" max="15884"/>
    <col width="13.7109375" bestFit="1" customWidth="1" style="249" min="15885" max="15885"/>
    <col width="11.28515625" customWidth="1" style="249" min="15886" max="15889"/>
    <col width="9.140625" customWidth="1" style="249" min="15890" max="15891"/>
    <col width="10.85546875" bestFit="1" customWidth="1" style="249" min="15892" max="15892"/>
    <col width="9.140625" customWidth="1" style="249" min="15893" max="16133"/>
    <col width="2" customWidth="1" style="249" min="16134" max="16135"/>
    <col width="31.28515625" customWidth="1" style="249" min="16136" max="16136"/>
    <col width="13" customWidth="1" style="249" min="16137" max="16137"/>
    <col width="11.28515625" customWidth="1" style="249" min="16138" max="16140"/>
    <col width="13.7109375" bestFit="1" customWidth="1" style="249" min="16141" max="16141"/>
    <col width="11.28515625" customWidth="1" style="249" min="16142" max="16145"/>
    <col width="9.140625" customWidth="1" style="249" min="16146" max="16147"/>
    <col width="10.85546875" bestFit="1" customWidth="1" style="249" min="16148" max="16148"/>
    <col width="9.140625" customWidth="1" style="249" min="16149" max="16384"/>
  </cols>
  <sheetData>
    <row r="1" outlineLevel="1" ht="6.75" customFormat="1" customHeight="1" s="58"/>
    <row r="2" outlineLevel="1" ht="6.75" customFormat="1" customHeight="1" s="58"/>
    <row r="3" outlineLevel="1">
      <c r="C3" s="249" t="str">
        <f>"Discounted Cash Flow Model for "&amp;ticker</f>
        <v>Discounted Cash Flow Model for </v>
      </c>
    </row>
    <row r="4" outlineLevel="1" ht="13.5" customHeight="1" thickBot="1">
      <c r="C4" s="60" t="inlineStr">
        <is>
          <t>All figures in millions, except per share data</t>
        </is>
      </c>
      <c r="D4" s="60" t="n"/>
      <c r="E4" s="60" t="n"/>
      <c r="F4" s="60" t="n"/>
      <c r="G4" s="60" t="n"/>
      <c r="H4" s="60" t="n"/>
      <c r="I4" s="60" t="n"/>
      <c r="J4" s="60" t="n"/>
      <c r="K4" s="60" t="n"/>
      <c r="L4" s="60" t="n"/>
      <c r="M4" s="60" t="n"/>
      <c r="N4" s="60" t="n"/>
      <c r="O4" s="60" t="n"/>
      <c r="P4" s="60" t="n"/>
      <c r="Q4" s="60" t="n"/>
      <c r="R4" s="60" t="n"/>
      <c r="S4" s="60" t="n"/>
      <c r="T4" s="60" t="n"/>
      <c r="U4" s="60" t="n"/>
      <c r="V4" s="60" t="n"/>
    </row>
    <row r="5" outlineLevel="1"/>
    <row r="6" outlineLevel="1"/>
    <row r="7" outlineLevel="1">
      <c r="C7" s="249" t="inlineStr">
        <is>
          <t>Ticker</t>
        </is>
      </c>
      <c r="D7" s="61" t="n"/>
      <c r="F7" s="249" t="inlineStr">
        <is>
          <t>Last close</t>
        </is>
      </c>
      <c r="G7" s="62" t="n"/>
    </row>
    <row r="8" outlineLevel="1">
      <c r="C8" s="249" t="inlineStr">
        <is>
          <t>Operating scenario:</t>
        </is>
      </c>
      <c r="D8" s="63" t="str">
        <f>IF(scenario=2,"Base Case",IF(scenario=1,"Bull Case","Bear Case"))</f>
        <v>Base Case</v>
      </c>
      <c r="E8" s="261" t="n">
        <v>2</v>
      </c>
      <c r="F8" t="inlineStr">
        <is>
          <t>1 = Bull, 2 = Base, 3 = Bear</t>
        </is>
      </c>
    </row>
    <row r="9" outlineLevel="1">
      <c r="C9" s="249" t="inlineStr">
        <is>
          <t>Last fiscal year end date:</t>
        </is>
      </c>
      <c r="D9" s="64" t="n">
        <v>46022</v>
      </c>
    </row>
    <row r="10" outlineLevel="1">
      <c r="C10" s="249" t="inlineStr">
        <is>
          <t>Valuation / deal date:</t>
        </is>
      </c>
      <c r="D10" s="64" t="n">
        <v>46292</v>
      </c>
    </row>
    <row r="11" outlineLevel="1">
      <c r="C11" s="249" t="inlineStr">
        <is>
          <t>Stub year fraction:</t>
        </is>
      </c>
      <c r="D11" s="65">
        <f>1-(D10-D9)/365</f>
        <v>0.26027397260274</v>
      </c>
      <c r="E11" s="66" t="n"/>
      <c r="I11" s="67" t="n"/>
      <c r="O11" s="68" t="n"/>
      <c r="Z11" s="69" t="n"/>
    </row>
    <row r="12" outlineLevel="1">
      <c r="C12" s="249" t="inlineStr">
        <is>
          <t>Weighted average cost of capital:</t>
        </is>
      </c>
      <c r="D12" s="65" t="e">
        <f>J93</f>
        <v>#DIV/0!</v>
      </c>
      <c r="I12" s="67" t="n"/>
    </row>
    <row r="13" outlineLevel="1">
      <c r="D13" s="65" t="n"/>
      <c r="E13" s="65" t="n"/>
    </row>
    <row r="14">
      <c r="C14" s="70" t="inlineStr">
        <is>
          <t>Historicals</t>
        </is>
      </c>
      <c r="D14" s="70" t="n"/>
      <c r="E14" s="70" t="n"/>
      <c r="F14" s="70" t="n"/>
      <c r="G14" s="248" t="inlineStr">
        <is>
          <t>Projected Annual Forecast</t>
        </is>
      </c>
    </row>
    <row r="15">
      <c r="C15" s="71" t="n"/>
      <c r="D15" s="71" t="n"/>
      <c r="E15" s="71" t="n"/>
      <c r="F15" s="71" t="n"/>
      <c r="G15" s="72" t="inlineStr">
        <is>
          <t>Granular</t>
        </is>
      </c>
      <c r="H15" s="73" t="n"/>
      <c r="I15" s="73" t="n"/>
      <c r="J15" s="73" t="n"/>
      <c r="K15" s="73" t="n"/>
      <c r="L15" s="73" t="n"/>
      <c r="M15" s="74" t="inlineStr">
        <is>
          <t>Synthetic</t>
        </is>
      </c>
      <c r="N15" s="75" t="n"/>
      <c r="O15" s="75" t="n"/>
      <c r="P15" s="75" t="n"/>
      <c r="Q15" s="75" t="n"/>
      <c r="R15" s="75" t="n"/>
      <c r="S15" s="252" t="inlineStr">
        <is>
          <t>Fora do horizonte do Model (projecao vai ate 2037)</t>
        </is>
      </c>
      <c r="T15" s="75" t="n"/>
      <c r="U15" s="75" t="n"/>
      <c r="V15" s="75" t="n"/>
      <c r="X15" s="76" t="inlineStr">
        <is>
          <t>CAGR</t>
        </is>
      </c>
      <c r="Y15" s="77" t="n"/>
      <c r="Z15" s="77" t="n"/>
    </row>
    <row r="16">
      <c r="D16" s="78">
        <f>YEAR(D17)</f>
        <v>2023</v>
      </c>
      <c r="E16" s="78">
        <f>YEAR(E17)</f>
        <v>2024</v>
      </c>
      <c r="F16" s="78">
        <f>YEAR(F17)</f>
        <v>2025</v>
      </c>
      <c r="G16" s="78">
        <f>YEAR(G17)</f>
        <v>2026</v>
      </c>
      <c r="H16" s="78">
        <f>YEAR(H17)</f>
        <v>2027</v>
      </c>
      <c r="I16" s="78">
        <f>YEAR(I17)</f>
        <v>2028</v>
      </c>
      <c r="J16" s="78">
        <f>YEAR(J17)</f>
        <v>2029</v>
      </c>
      <c r="K16" s="78">
        <f>YEAR(K17)</f>
        <v>2030</v>
      </c>
      <c r="L16" s="78">
        <f>YEAR(L17)</f>
        <v>2031</v>
      </c>
      <c r="M16" s="78">
        <f>YEAR(M17)</f>
        <v>2032</v>
      </c>
      <c r="N16" s="78">
        <f>YEAR(N17)</f>
        <v>2033</v>
      </c>
      <c r="O16" s="78">
        <f>YEAR(O17)</f>
        <v>2034</v>
      </c>
      <c r="P16" s="78">
        <f>YEAR(P17)</f>
        <v>2035</v>
      </c>
      <c r="Q16" s="78">
        <f>YEAR(Q17)</f>
        <v>2036</v>
      </c>
      <c r="R16" s="78">
        <f>YEAR(R17)</f>
        <v>2037</v>
      </c>
      <c r="S16" s="253">
        <f>YEAR(S17)</f>
        <v>2038</v>
      </c>
      <c r="T16" s="253">
        <f>YEAR(T17)</f>
        <v>2039</v>
      </c>
      <c r="U16" s="253">
        <f>YEAR(U17)</f>
        <v>2040</v>
      </c>
      <c r="V16" s="253">
        <f>YEAR(V17)</f>
        <v>2041</v>
      </c>
      <c r="W16" s="78" t="n"/>
      <c r="X16" s="77" t="str">
        <f>F16&amp;"-"&amp;L16</f>
        <v>2025-2031</v>
      </c>
      <c r="Y16" s="77" t="str">
        <f>L16&amp;"-"&amp;R16</f>
        <v>2031-2037</v>
      </c>
      <c r="Z16" s="77" t="n"/>
    </row>
    <row r="17" outlineLevel="1">
      <c r="C17" s="79" t="n"/>
      <c r="D17" s="80">
        <f>DATE(YEAR(E17)-1,MONTH(E17),DAY(E17))</f>
        <v>45291.0</v>
      </c>
      <c r="E17" s="80">
        <f>DATE(YEAR(F17)-1,MONTH(F17),DAY(F17))</f>
        <v>45657.0</v>
      </c>
      <c r="F17" s="80">
        <f>DATE(YEAR(G17)-1,MONTH(G17),DAY(G17))</f>
        <v>46022.0</v>
      </c>
      <c r="G17" s="80">
        <f>DATE(YEAR(D9)+1,MONTH(D9),DAY(D9))</f>
        <v>46387.0</v>
      </c>
      <c r="H17" s="80">
        <f>DATE(YEAR(G17)+1,MONTH(G17),DAY(G17))</f>
        <v>46752.0</v>
      </c>
      <c r="I17" s="80">
        <f>DATE(YEAR(H17)+1,MONTH(H17),DAY(H17))</f>
        <v>47118.0</v>
      </c>
      <c r="J17" s="80">
        <f>DATE(YEAR(I17)+1,MONTH(I17),DAY(I17))</f>
        <v>47483.0</v>
      </c>
      <c r="K17" s="80">
        <f>DATE(YEAR(J17)+1,MONTH(J17),DAY(J17))</f>
        <v>47848.0</v>
      </c>
      <c r="L17" s="80">
        <f>DATE(YEAR(K17)+1,MONTH(K17),DAY(K17))</f>
        <v>48213.0</v>
      </c>
      <c r="M17" s="80">
        <f>DATE(YEAR(L17)+1,MONTH(L17),DAY(L17))</f>
        <v>48579.0</v>
      </c>
      <c r="N17" s="80">
        <f>DATE(YEAR(M17)+1,MONTH(M17),DAY(M17))</f>
        <v>48944.0</v>
      </c>
      <c r="O17" s="80">
        <f>DATE(YEAR(N17)+1,MONTH(N17),DAY(N17))</f>
        <v>49309.0</v>
      </c>
      <c r="P17" s="80">
        <f>DATE(YEAR(O17)+1,MONTH(O17),DAY(O17))</f>
        <v>49674.0</v>
      </c>
      <c r="Q17" s="80">
        <f>DATE(YEAR(P17)+1,MONTH(P17),DAY(P17))</f>
        <v>50040.0</v>
      </c>
      <c r="R17" s="80">
        <f>DATE(YEAR(Q17)+1,MONTH(Q17),DAY(Q17))</f>
        <v>50405.0</v>
      </c>
      <c r="S17" s="80">
        <f>DATE(YEAR(R17)+1,MONTH(R17),DAY(R17))</f>
        <v>50770.0</v>
      </c>
      <c r="T17" s="80">
        <f>DATE(YEAR(S17)+1,MONTH(S17),DAY(S17))</f>
        <v>51135.0</v>
      </c>
      <c r="U17" s="80">
        <f>DATE(YEAR(T17)+1,MONTH(T17),DAY(T17))</f>
        <v>51501.0</v>
      </c>
      <c r="V17" s="80">
        <f>DATE(YEAR(U17)+1,MONTH(U17),DAY(U17))</f>
        <v>51866.0</v>
      </c>
      <c r="W17" s="81" t="n"/>
      <c r="X17" s="77" t="n"/>
      <c r="Y17" s="77" t="n"/>
      <c r="Z17" s="77" t="n"/>
    </row>
    <row r="18">
      <c r="C18" s="82" t="inlineStr">
        <is>
          <t>Net Revenues</t>
        </is>
      </c>
      <c r="D18" s="83">
        <f>Model!W15</f>
        <v>38865</v>
      </c>
      <c r="E18" s="83">
        <f>Model!AB15</f>
        <v>54529</v>
      </c>
      <c r="F18" s="83">
        <f>Model!AG15</f>
        <v>68282</v>
      </c>
      <c r="G18" s="83">
        <f>Model!AL15</f>
        <v>89104</v>
      </c>
      <c r="H18" s="83">
        <f>Model!AQ15</f>
        <v>89104</v>
      </c>
      <c r="I18" s="83">
        <f>Model!AV15</f>
        <v>89104</v>
      </c>
      <c r="J18" s="83">
        <f>Model!BA15</f>
        <v>89104</v>
      </c>
      <c r="K18" s="83">
        <f>Model!BF15</f>
        <v>89104</v>
      </c>
      <c r="L18" s="83">
        <f>Model!BK15</f>
        <v>89104</v>
      </c>
      <c r="M18" s="83">
        <f>Model!BP15</f>
        <v>89104</v>
      </c>
      <c r="N18" s="83">
        <f>Model!BU15</f>
        <v>89104</v>
      </c>
      <c r="O18" s="83">
        <f>Model!BZ15</f>
        <v>89104</v>
      </c>
      <c r="P18" s="83">
        <f>Model!CE15</f>
        <v>89104</v>
      </c>
      <c r="Q18" s="83">
        <f>Model!CJ15</f>
        <v>89104</v>
      </c>
      <c r="R18" s="83">
        <f>Model!CO15</f>
        <v>89104</v>
      </c>
      <c r="S18" s="83" t="n"/>
      <c r="T18" s="83" t="n"/>
      <c r="U18" s="83" t="n"/>
      <c r="V18" s="84" t="n"/>
      <c r="X18" s="85">
        <f>((L18/F18)^(1/6))-1</f>
        <v>0.0453582744611198</v>
      </c>
      <c r="Y18" s="85">
        <f>((R18/L18)^(1/6))-1</f>
        <v>0</v>
      </c>
      <c r="Z18" s="77" t="n"/>
    </row>
    <row r="19">
      <c r="C19" s="86" t="n"/>
      <c r="D19" s="79" t="n"/>
      <c r="E19" s="87">
        <f>E18/D18-1</f>
        <v>0.403036150778335</v>
      </c>
      <c r="F19" s="87">
        <f>F18/E18-1</f>
        <v>0.252214418016101</v>
      </c>
      <c r="G19" s="87">
        <f>G18/F18-1</f>
        <v>0.30494127295627</v>
      </c>
      <c r="H19" s="87">
        <f>H18/G18-1</f>
        <v>0</v>
      </c>
      <c r="I19" s="87">
        <f>I18/H18-1</f>
        <v>0</v>
      </c>
      <c r="J19" s="87">
        <f>J18/I18-1</f>
        <v>0</v>
      </c>
      <c r="K19" s="87">
        <f>K18/J18-1</f>
        <v>0</v>
      </c>
      <c r="L19" s="87">
        <f>L18/K18-1</f>
        <v>0</v>
      </c>
      <c r="M19" s="87">
        <f>M18/L18-1</f>
        <v>0</v>
      </c>
      <c r="N19" s="87">
        <f>N18/M18-1</f>
        <v>0</v>
      </c>
      <c r="O19" s="87">
        <f>O18/N18-1</f>
        <v>0</v>
      </c>
      <c r="P19" s="87">
        <f>P18/O18-1</f>
        <v>0</v>
      </c>
      <c r="Q19" s="87">
        <f>Q18/P18-1</f>
        <v>0</v>
      </c>
      <c r="R19" s="87">
        <f>R18/Q18-1</f>
        <v>0</v>
      </c>
      <c r="S19" s="87" t="n"/>
      <c r="T19" s="87" t="n"/>
      <c r="U19" s="87" t="n"/>
      <c r="V19" s="88" t="n"/>
      <c r="X19" s="77" t="n"/>
      <c r="Y19" s="77" t="n"/>
      <c r="Z19" s="77" t="n"/>
    </row>
    <row r="20" outlineLevel="1">
      <c r="C20" s="89" t="inlineStr">
        <is>
          <t>EBITDA</t>
        </is>
      </c>
      <c r="D20" s="83">
        <f>Model!W57</f>
        <v>19335</v>
      </c>
      <c r="E20" s="83">
        <f>Model!AB57</f>
        <v>27479</v>
      </c>
      <c r="F20" s="83">
        <f>Model!AG57</f>
        <v>36472</v>
      </c>
      <c r="G20" s="83">
        <f>Model!AL57</f>
        <v>31050</v>
      </c>
      <c r="H20" s="83">
        <f>Model!AQ57</f>
        <v>0</v>
      </c>
      <c r="I20" s="83">
        <f>Model!BA57</f>
        <v>0</v>
      </c>
      <c r="J20" s="83">
        <f>Model!BA57</f>
        <v>0</v>
      </c>
      <c r="K20" s="83">
        <f>Model!BF57</f>
        <v>0</v>
      </c>
      <c r="L20" s="83">
        <f>Model!BK57</f>
        <v>0</v>
      </c>
      <c r="M20" s="90" t="n"/>
      <c r="N20" s="90" t="n"/>
      <c r="O20" s="90" t="n"/>
      <c r="P20" s="90" t="n"/>
      <c r="Q20" s="90" t="n"/>
      <c r="R20" s="90" t="n"/>
      <c r="S20" s="90" t="n"/>
      <c r="T20" s="90" t="n"/>
      <c r="U20" s="90" t="n"/>
      <c r="V20" s="91" t="n"/>
      <c r="X20" s="77" t="n"/>
      <c r="Y20" s="77" t="n"/>
      <c r="Z20" s="77" t="n"/>
    </row>
    <row r="21" outlineLevel="1">
      <c r="C21" s="86" t="n"/>
      <c r="D21" s="92">
        <f>D20/D18</f>
        <v>0.497491316094172</v>
      </c>
      <c r="E21" s="92">
        <f>E20/E18</f>
        <v>0.503933686662143</v>
      </c>
      <c r="F21" s="92">
        <f>F20/F18</f>
        <v>0.534137840133564</v>
      </c>
      <c r="G21" s="92">
        <f>G20/G18</f>
        <v>0.348469204525049</v>
      </c>
      <c r="H21" s="92">
        <f>H20/H18</f>
        <v>0</v>
      </c>
      <c r="I21" s="92">
        <f>I20/I18</f>
        <v>0</v>
      </c>
      <c r="J21" s="92">
        <f>J20/J18</f>
        <v>0</v>
      </c>
      <c r="K21" s="92">
        <f>K20/K18</f>
        <v>0</v>
      </c>
      <c r="L21" s="92">
        <f>L20/L18</f>
        <v>0</v>
      </c>
      <c r="M21" s="79" t="n"/>
      <c r="N21" s="79" t="n"/>
      <c r="O21" s="79" t="n"/>
      <c r="P21" s="79" t="n"/>
      <c r="Q21" s="79" t="n"/>
      <c r="R21" s="79" t="n"/>
      <c r="S21" s="79" t="n"/>
      <c r="T21" s="79" t="n"/>
      <c r="U21" s="79" t="n"/>
      <c r="V21" s="93" t="n"/>
      <c r="X21" s="85" t="n"/>
      <c r="Y21" s="85" t="n"/>
      <c r="Z21" s="77" t="n"/>
    </row>
    <row r="22" outlineLevel="1">
      <c r="C22" s="82" t="inlineStr">
        <is>
          <t>EBIT</t>
        </is>
      </c>
      <c r="D22" s="83">
        <f>Model!W61</f>
        <v>14187</v>
      </c>
      <c r="E22" s="83">
        <f>Model!AB61</f>
        <v>17640</v>
      </c>
      <c r="F22" s="83">
        <f>Model!AG61</f>
        <v>27787</v>
      </c>
      <c r="G22" s="83">
        <f>Model!AL61</f>
        <v>26743</v>
      </c>
      <c r="H22" s="83">
        <f>Model!AQ61</f>
        <v>0</v>
      </c>
      <c r="I22" s="83">
        <f>Model!AV61</f>
        <v>0</v>
      </c>
      <c r="J22" s="83">
        <f>Model!BA61</f>
        <v>0</v>
      </c>
      <c r="K22" s="83">
        <f>Model!BF61</f>
        <v>0</v>
      </c>
      <c r="L22" s="83">
        <f>Model!BK61</f>
        <v>0</v>
      </c>
      <c r="M22" s="83">
        <f>Model!BP61</f>
        <v>0</v>
      </c>
      <c r="N22" s="83">
        <f>Model!BU61</f>
        <v>0</v>
      </c>
      <c r="O22" s="83">
        <f>Model!BZ61</f>
        <v>0</v>
      </c>
      <c r="P22" s="83">
        <f>Model!CE61</f>
        <v>0</v>
      </c>
      <c r="Q22" s="83">
        <f>Model!CJ61</f>
        <v>0</v>
      </c>
      <c r="R22" s="83">
        <f>Model!CO61</f>
        <v>0</v>
      </c>
      <c r="S22" s="83" t="n"/>
      <c r="T22" s="83" t="n"/>
      <c r="U22" s="83" t="n"/>
      <c r="V22" s="84" t="n"/>
      <c r="X22" s="85">
        <f>((L22/F22)^(1/6))-1</f>
        <v>-1</v>
      </c>
      <c r="Y22" s="85" t="e">
        <f>((R22/L22)^(1/6))-1</f>
        <v>#DIV/0!</v>
      </c>
      <c r="Z22" s="77" t="n"/>
    </row>
    <row r="23" outlineLevel="1">
      <c r="C23" s="86" t="n"/>
      <c r="D23" s="92">
        <f>D22/D18</f>
        <v>0.365032805866461</v>
      </c>
      <c r="E23" s="92">
        <f>E22/E18</f>
        <v>0.323497588439179</v>
      </c>
      <c r="F23" s="92">
        <f>F22/F18</f>
        <v>0.406944729211212</v>
      </c>
      <c r="G23" s="92">
        <f>G22/G18</f>
        <v>0.30013242952056</v>
      </c>
      <c r="H23" s="92">
        <f>H22/H18</f>
        <v>0</v>
      </c>
      <c r="I23" s="92">
        <f>I22/I18</f>
        <v>0</v>
      </c>
      <c r="J23" s="92">
        <f>J22/J18</f>
        <v>0</v>
      </c>
      <c r="K23" s="92">
        <f>K22/K18</f>
        <v>0</v>
      </c>
      <c r="L23" s="92">
        <f>L22/L18</f>
        <v>0</v>
      </c>
      <c r="M23" s="92">
        <f>M22/M18</f>
        <v>0</v>
      </c>
      <c r="N23" s="92">
        <f>N22/N18</f>
        <v>0</v>
      </c>
      <c r="O23" s="92">
        <f>O22/O18</f>
        <v>0</v>
      </c>
      <c r="P23" s="92">
        <f>P22/P18</f>
        <v>0</v>
      </c>
      <c r="Q23" s="92">
        <f>Q22/Q18</f>
        <v>0</v>
      </c>
      <c r="R23" s="92">
        <f>R22/R18</f>
        <v>0</v>
      </c>
      <c r="S23" s="92" t="n"/>
      <c r="T23" s="92" t="n"/>
      <c r="U23" s="92" t="n"/>
      <c r="V23" s="94" t="n"/>
      <c r="X23" s="77" t="n"/>
      <c r="Y23" s="77" t="n"/>
      <c r="Z23" s="77" t="n"/>
    </row>
    <row r="24">
      <c r="C24" s="82" t="inlineStr">
        <is>
          <t>Tax rate</t>
        </is>
      </c>
      <c r="D24" s="95">
        <f>Model!W120</f>
        <v>0.0807206921184221</v>
      </c>
      <c r="E24" s="95">
        <f>Model!AB120</f>
        <v>0.260736632536974</v>
      </c>
      <c r="F24" s="95">
        <f>Model!AG120</f>
        <v>0.0181646614767634</v>
      </c>
      <c r="G24" s="95">
        <f>Model!AL120</f>
        <v>0.117364661800866</v>
      </c>
      <c r="H24" s="95">
        <f>Model!AQ120</f>
        <v>0</v>
      </c>
      <c r="I24" s="95">
        <f>Model!AV120</f>
        <v>0</v>
      </c>
      <c r="J24" s="95">
        <f>Model!BA120</f>
        <v>0</v>
      </c>
      <c r="K24" s="95">
        <f>Model!BF120</f>
        <v>0</v>
      </c>
      <c r="L24" s="95">
        <f>Model!BK120</f>
        <v>0</v>
      </c>
      <c r="M24" s="95">
        <f>Model!BP120</f>
        <v>0</v>
      </c>
      <c r="N24" s="95">
        <f>Model!BU120</f>
        <v>0</v>
      </c>
      <c r="O24" s="95">
        <f>Model!BZ120</f>
        <v>0</v>
      </c>
      <c r="P24" s="95">
        <f>Model!CE120</f>
        <v>0</v>
      </c>
      <c r="Q24" s="95">
        <f>Model!CJ120</f>
        <v>0</v>
      </c>
      <c r="R24" s="95">
        <f>Model!CO120</f>
        <v>0</v>
      </c>
      <c r="S24" s="95" t="n"/>
      <c r="T24" s="95" t="n"/>
      <c r="U24" s="95" t="n"/>
      <c r="V24" s="96" t="n"/>
      <c r="X24" s="77" t="n"/>
      <c r="Y24" s="77" t="n"/>
      <c r="Z24" s="77" t="n"/>
    </row>
    <row r="25">
      <c r="C25" s="86" t="inlineStr">
        <is>
          <t>NOPLAT</t>
        </is>
      </c>
      <c r="D25" s="97">
        <f>D22*(1-D24)</f>
        <v>13041.8155409159</v>
      </c>
      <c r="E25" s="97">
        <f>E22*(1-E24)</f>
        <v>13040.6058020478</v>
      </c>
      <c r="F25" s="97">
        <f>F22*(1-F24)</f>
        <v>27282.2585515452</v>
      </c>
      <c r="G25" s="97">
        <f>G22*(1-G24)</f>
        <v>23604.3168494594</v>
      </c>
      <c r="H25" s="97">
        <f>H22*(1-H24)</f>
        <v>0</v>
      </c>
      <c r="I25" s="97">
        <f>I22*(1-I24)</f>
        <v>0</v>
      </c>
      <c r="J25" s="97">
        <f>J22*(1-J24)</f>
        <v>0</v>
      </c>
      <c r="K25" s="97">
        <f>K22*(1-K24)</f>
        <v>0</v>
      </c>
      <c r="L25" s="97">
        <f>L22*(1-L24)</f>
        <v>0</v>
      </c>
      <c r="M25" s="97">
        <f>M22*(1-M24)</f>
        <v>0</v>
      </c>
      <c r="N25" s="97">
        <f>N22*(1-N24)</f>
        <v>0</v>
      </c>
      <c r="O25" s="97">
        <f>O22*(1-O24)</f>
        <v>0</v>
      </c>
      <c r="P25" s="97">
        <f>P22*(1-P24)</f>
        <v>0</v>
      </c>
      <c r="Q25" s="97">
        <f>Q22*(1-Q24)</f>
        <v>0</v>
      </c>
      <c r="R25" s="97">
        <f>R22*(1-R24)</f>
        <v>0</v>
      </c>
      <c r="S25" s="97" t="n"/>
      <c r="T25" s="97" t="n"/>
      <c r="U25" s="97" t="n"/>
      <c r="V25" s="98" t="n"/>
      <c r="X25" s="85" t="n"/>
      <c r="Y25" s="85" t="n"/>
      <c r="Z25" s="77" t="n"/>
    </row>
    <row r="26">
      <c r="C26" s="99" t="inlineStr">
        <is>
          <t>Depreciation &amp; Amortization</t>
        </is>
      </c>
      <c r="D26" s="100">
        <f>Model!W58</f>
        <v>-5148</v>
      </c>
      <c r="E26" s="100">
        <f>Model!AB58</f>
        <v>-9839</v>
      </c>
      <c r="F26" s="100">
        <f>Model!AG58</f>
        <v>-8685</v>
      </c>
      <c r="G26" s="100">
        <f>Model!AL58</f>
        <v>-4307</v>
      </c>
      <c r="H26" s="100">
        <f>Model!AQ58</f>
        <v>0</v>
      </c>
      <c r="I26" s="100">
        <f>Model!AV58</f>
        <v>0</v>
      </c>
      <c r="J26" s="100">
        <f>Model!BA58</f>
        <v>0</v>
      </c>
      <c r="K26" s="100">
        <f>Model!BF58</f>
        <v>0</v>
      </c>
      <c r="L26" s="101">
        <f>Model!BK58</f>
        <v>0</v>
      </c>
      <c r="X26" s="77" t="n"/>
      <c r="Y26" s="77" t="n"/>
      <c r="Z26" s="77" t="n"/>
    </row>
    <row r="27">
      <c r="C27" s="102" t="inlineStr">
        <is>
          <t>Cash from working capital</t>
        </is>
      </c>
      <c r="D27" s="103">
        <f>SUM(D28:D39)</f>
        <v>11017</v>
      </c>
      <c r="E27" s="103">
        <f>SUM(E28:E39)</f>
        <v>-1254</v>
      </c>
      <c r="F27" s="103">
        <f>SUM(F28:F39)</f>
        <v>-12911</v>
      </c>
      <c r="G27" s="103">
        <f>SUM(G28:G39)</f>
        <v>5913</v>
      </c>
      <c r="H27" s="103" t="e">
        <f>SUM(H28:H39)</f>
        <v>#DIV/0!</v>
      </c>
      <c r="I27" s="103" t="e">
        <f>SUM(I28:I39)</f>
        <v>#DIV/0!</v>
      </c>
      <c r="J27" s="103" t="e">
        <f>SUM(J28:J39)</f>
        <v>#DIV/0!</v>
      </c>
      <c r="K27" s="103" t="e">
        <f>SUM(K28:K39)</f>
        <v>#DIV/0!</v>
      </c>
      <c r="L27" s="104" t="e">
        <f>SUM(L28:L39)</f>
        <v>#DIV/0!</v>
      </c>
      <c r="X27" s="77" t="n"/>
      <c r="Y27" s="77" t="n"/>
      <c r="Z27" s="77" t="n"/>
    </row>
    <row r="28" outlineLevel="1">
      <c r="C28" s="105" t="inlineStr">
        <is>
          <t>Accounts receivable</t>
        </is>
      </c>
      <c r="D28" s="106">
        <f>Model!W268</f>
        <v>-1735</v>
      </c>
      <c r="E28" s="106">
        <f>Model!AB268</f>
        <v>14</v>
      </c>
      <c r="F28" s="106">
        <f>Model!AG268</f>
        <v>-3505</v>
      </c>
      <c r="G28" s="106">
        <f>Model!AL268</f>
        <v>8460</v>
      </c>
      <c r="H28" s="106">
        <f>Model!AQ268</f>
        <v>0</v>
      </c>
      <c r="I28" s="106">
        <f>Model!AV268</f>
        <v>0</v>
      </c>
      <c r="J28" s="106">
        <f>Model!BA268</f>
        <v>0</v>
      </c>
      <c r="K28" s="106">
        <f>Model!BF268</f>
        <v>0</v>
      </c>
      <c r="L28" s="107">
        <f>Model!BK268</f>
        <v>0</v>
      </c>
      <c r="X28" s="77" t="n"/>
      <c r="Y28" s="77" t="n"/>
      <c r="Z28" s="77" t="n"/>
    </row>
    <row r="29" outlineLevel="1">
      <c r="C29" s="105" t="inlineStr">
        <is>
          <t>Inventories</t>
        </is>
      </c>
      <c r="D29" s="106">
        <f>Model!W269</f>
        <v>-21</v>
      </c>
      <c r="E29" s="106">
        <f>Model!AB269</f>
        <v>12</v>
      </c>
      <c r="F29" s="106">
        <f>Model!AG269</f>
        <v>-1054</v>
      </c>
      <c r="G29" s="106">
        <f>Model!AL269</f>
        <v>2962</v>
      </c>
      <c r="H29" s="106">
        <f>Model!AQ269</f>
        <v>0</v>
      </c>
      <c r="I29" s="106">
        <f>Model!AV269</f>
        <v>0</v>
      </c>
      <c r="J29" s="106">
        <f>Model!BA269</f>
        <v>0</v>
      </c>
      <c r="K29" s="106">
        <f>Model!BF269</f>
        <v>0</v>
      </c>
      <c r="L29" s="107">
        <f>Model!BK269</f>
        <v>0</v>
      </c>
      <c r="X29" s="77" t="n"/>
      <c r="Y29" s="77" t="n"/>
      <c r="Z29" s="77" t="n"/>
    </row>
    <row r="30" outlineLevel="1">
      <c r="C30" s="105" t="inlineStr">
        <is>
          <t>Deferred income taxes (assets)</t>
        </is>
      </c>
      <c r="D30" s="106">
        <f>Model!W270</f>
        <v>0</v>
      </c>
      <c r="E30" s="106">
        <f>Model!AB270</f>
        <v>0</v>
      </c>
      <c r="F30" s="106">
        <f>Model!AG270</f>
        <v>0</v>
      </c>
      <c r="G30" s="106">
        <f>Model!AL270</f>
        <v>0</v>
      </c>
      <c r="H30" s="106">
        <f>Model!AQ270</f>
        <v>0</v>
      </c>
      <c r="I30" s="106">
        <f>Model!AV270</f>
        <v>0</v>
      </c>
      <c r="J30" s="106">
        <f>Model!BA270</f>
        <v>0</v>
      </c>
      <c r="K30" s="106">
        <f>Model!BF270</f>
        <v>0</v>
      </c>
      <c r="L30" s="107">
        <f>Model!BK270</f>
        <v>0</v>
      </c>
      <c r="X30" s="77" t="n"/>
      <c r="Y30" s="77" t="n"/>
      <c r="Z30" s="77" t="n"/>
    </row>
    <row r="31" outlineLevel="1">
      <c r="C31" s="105" t="inlineStr">
        <is>
          <t>Prepaid expenses</t>
        </is>
      </c>
      <c r="D31" s="106">
        <f>Model!W271</f>
        <v>0</v>
      </c>
      <c r="E31" s="106">
        <f>Model!AB271</f>
        <v>0</v>
      </c>
      <c r="F31" s="106">
        <f>Model!AG271</f>
        <v>0</v>
      </c>
      <c r="G31" s="106">
        <f>Model!AL271</f>
        <v>0</v>
      </c>
      <c r="H31" s="106">
        <f>Model!AQ271</f>
        <v>0</v>
      </c>
      <c r="I31" s="106">
        <f>Model!AV271</f>
        <v>0</v>
      </c>
      <c r="J31" s="106">
        <f>Model!BA271</f>
        <v>0</v>
      </c>
      <c r="K31" s="106">
        <f>Model!BF271</f>
        <v>0</v>
      </c>
      <c r="L31" s="107">
        <f>Model!BK271</f>
        <v>0</v>
      </c>
      <c r="X31" s="77" t="n"/>
      <c r="Y31" s="77" t="n"/>
      <c r="Z31" s="77" t="n"/>
    </row>
    <row r="32" outlineLevel="1">
      <c r="C32" s="105" t="inlineStr">
        <is>
          <t>Other current assets</t>
        </is>
      </c>
      <c r="D32" s="106">
        <f>Model!W272</f>
        <v>-7383</v>
      </c>
      <c r="E32" s="106">
        <f>Model!AB272</f>
        <v>3619</v>
      </c>
      <c r="F32" s="106">
        <f>Model!AG272</f>
        <v>-1646</v>
      </c>
      <c r="G32" s="106">
        <f>Model!AL272</f>
        <v>-3502</v>
      </c>
      <c r="H32" s="106">
        <f>Model!AQ272</f>
        <v>0</v>
      </c>
      <c r="I32" s="106">
        <f>Model!AV272</f>
        <v>0</v>
      </c>
      <c r="J32" s="106">
        <f>Model!BA272</f>
        <v>0</v>
      </c>
      <c r="K32" s="106">
        <f>Model!BF272</f>
        <v>0</v>
      </c>
      <c r="L32" s="107">
        <f>Model!BK272</f>
        <v>0</v>
      </c>
      <c r="X32" s="77" t="n"/>
      <c r="Y32" s="77" t="n"/>
      <c r="Z32" s="77" t="n"/>
    </row>
    <row r="33" outlineLevel="1">
      <c r="C33" s="105" t="inlineStr">
        <is>
          <t>Accounts payable</t>
        </is>
      </c>
      <c r="D33" s="106">
        <f>Model!W273</f>
        <v>573</v>
      </c>
      <c r="E33" s="106">
        <f>Model!AB273</f>
        <v>409</v>
      </c>
      <c r="F33" s="106">
        <f>Model!AG273</f>
        <v>207</v>
      </c>
      <c r="G33" s="106">
        <f>Model!AL273</f>
        <v>-2112</v>
      </c>
      <c r="H33" s="106">
        <f>Model!AQ273</f>
        <v>0</v>
      </c>
      <c r="I33" s="106">
        <f>Model!AV273</f>
        <v>0</v>
      </c>
      <c r="J33" s="106">
        <f>Model!BA273</f>
        <v>0</v>
      </c>
      <c r="K33" s="106">
        <f>Model!BF273</f>
        <v>0</v>
      </c>
      <c r="L33" s="107">
        <f>Model!BK273</f>
        <v>0</v>
      </c>
      <c r="X33" s="77" t="n"/>
      <c r="Y33" s="77" t="n"/>
      <c r="Z33" s="77" t="n"/>
    </row>
    <row r="34" outlineLevel="1">
      <c r="C34" s="105" t="inlineStr">
        <is>
          <t>Accrued expenses</t>
        </is>
      </c>
      <c r="D34" s="106">
        <f>Model!W274</f>
        <v>592</v>
      </c>
      <c r="E34" s="106">
        <f>Model!AB274</f>
        <v>-206</v>
      </c>
      <c r="F34" s="106">
        <f>Model!AG274</f>
        <v>-58</v>
      </c>
      <c r="G34" s="106">
        <f>Model!AL274</f>
        <v>-864</v>
      </c>
      <c r="H34" s="106" t="e">
        <f>Model!AQ274</f>
        <v>#DIV/0!</v>
      </c>
      <c r="I34" s="106" t="e">
        <f>Model!AV274</f>
        <v>#DIV/0!</v>
      </c>
      <c r="J34" s="106" t="e">
        <f>Model!BA274</f>
        <v>#DIV/0!</v>
      </c>
      <c r="K34" s="106" t="e">
        <f>Model!BF274</f>
        <v>#DIV/0!</v>
      </c>
      <c r="L34" s="107" t="e">
        <f>Model!BK274</f>
        <v>#DIV/0!</v>
      </c>
      <c r="X34" s="77" t="n"/>
      <c r="Y34" s="77" t="n"/>
      <c r="Z34" s="77" t="n"/>
    </row>
    <row r="35" outlineLevel="1">
      <c r="C35" s="105" t="inlineStr">
        <is>
          <t>Taxes payable</t>
        </is>
      </c>
      <c r="D35" s="106">
        <f>Model!W275</f>
        <v>0</v>
      </c>
      <c r="E35" s="106">
        <f>Model!AB275</f>
        <v>0</v>
      </c>
      <c r="F35" s="106">
        <f>Model!AG275</f>
        <v>0</v>
      </c>
      <c r="G35" s="106">
        <f>Model!AL275</f>
        <v>0</v>
      </c>
      <c r="H35" s="106" t="e">
        <f>Model!AQ275</f>
        <v>#DIV/0!</v>
      </c>
      <c r="I35" s="106" t="e">
        <f>Model!AV275</f>
        <v>#DIV/0!</v>
      </c>
      <c r="J35" s="106" t="e">
        <f>Model!BA275</f>
        <v>#DIV/0!</v>
      </c>
      <c r="K35" s="106" t="e">
        <f>Model!BF275</f>
        <v>#DIV/0!</v>
      </c>
      <c r="L35" s="107" t="e">
        <f>Model!BK275</f>
        <v>#DIV/0!</v>
      </c>
      <c r="X35" s="77" t="n"/>
      <c r="Y35" s="77" t="n"/>
      <c r="Z35" s="77" t="n"/>
    </row>
    <row r="36" outlineLevel="1">
      <c r="C36" s="105" t="inlineStr">
        <is>
          <t>Other current liabilities</t>
        </is>
      </c>
      <c r="D36" s="106">
        <f>Model!W276</f>
        <v>10403</v>
      </c>
      <c r="E36" s="106">
        <f>Model!AB276</f>
        <v>-2882</v>
      </c>
      <c r="F36" s="106">
        <f>Model!AG276</f>
        <v>-799</v>
      </c>
      <c r="G36" s="106">
        <f>Model!AL276</f>
        <v>1449</v>
      </c>
      <c r="H36" s="106">
        <f>Model!AQ276</f>
        <v>0</v>
      </c>
      <c r="I36" s="106">
        <f>Model!AV276</f>
        <v>0</v>
      </c>
      <c r="J36" s="106">
        <f>Model!BA276</f>
        <v>0</v>
      </c>
      <c r="K36" s="106">
        <f>Model!BF276</f>
        <v>0</v>
      </c>
      <c r="L36" s="107">
        <f>Model!BK276</f>
        <v>0</v>
      </c>
      <c r="X36" s="77" t="n"/>
      <c r="Y36" s="77" t="n"/>
      <c r="Z36" s="77" t="n"/>
    </row>
    <row r="37" outlineLevel="1">
      <c r="C37" s="105" t="inlineStr">
        <is>
          <t>Deferred tax (liabilities)</t>
        </is>
      </c>
      <c r="D37" s="106">
        <f>Model!W277</f>
        <v>0</v>
      </c>
      <c r="E37" s="106">
        <f>Model!AB277</f>
        <v>0</v>
      </c>
      <c r="F37" s="106">
        <f>Model!AG277</f>
        <v>0</v>
      </c>
      <c r="G37" s="106">
        <f>Model!AL277</f>
        <v>0</v>
      </c>
      <c r="H37" s="106">
        <f>Model!AQ277</f>
        <v>0</v>
      </c>
      <c r="I37" s="106">
        <f>Model!AV277</f>
        <v>0</v>
      </c>
      <c r="J37" s="106">
        <f>Model!BA277</f>
        <v>0</v>
      </c>
      <c r="K37" s="106">
        <f>Model!BF277</f>
        <v>0</v>
      </c>
      <c r="L37" s="107">
        <f>Model!BK277</f>
        <v>0</v>
      </c>
      <c r="X37" s="77" t="n"/>
      <c r="Y37" s="77" t="n"/>
      <c r="Z37" s="77" t="n"/>
    </row>
    <row r="38" outlineLevel="1" ht="15" customHeight="1">
      <c r="C38" s="105" t="inlineStr">
        <is>
          <t>Other non-current assets</t>
        </is>
      </c>
      <c r="D38" s="106">
        <f>(Model!W177-Model!R177)*-1</f>
        <v>-1145</v>
      </c>
      <c r="E38" s="106">
        <f>(Model!AB177-Model!W177)*-1</f>
        <v>-2204</v>
      </c>
      <c r="F38" s="106">
        <f>(Model!AG177-Model!AB177)*-1</f>
        <v>-1690</v>
      </c>
      <c r="G38" s="106">
        <f>(Model!AL177-Model!AG177)*-1</f>
        <v>-1566</v>
      </c>
      <c r="H38" s="106">
        <f>(Model!AQ177-Model!AL177)*-1</f>
        <v>0</v>
      </c>
      <c r="I38" s="106">
        <f>(Model!AV177-Model!AQ177)*-1</f>
        <v>0</v>
      </c>
      <c r="J38" s="106">
        <f>(Model!BA177-Model!AV177)*-1</f>
        <v>0</v>
      </c>
      <c r="K38" s="106">
        <f>(Model!BF177-Model!BA177)*-1</f>
        <v>0</v>
      </c>
      <c r="L38" s="107">
        <f>(Model!BK177-Model!BF177)*-1</f>
        <v>0</v>
      </c>
      <c r="M38">
        <f>(Model!BP177-Model!BK177)*-1</f>
        <v>0</v>
      </c>
      <c r="N38">
        <f>(Model!BU177-Model!BP177)*-1</f>
        <v>0</v>
      </c>
      <c r="O38">
        <f>(Model!BZ177-Model!BU177)*-1</f>
        <v>0</v>
      </c>
      <c r="P38">
        <f>(Model!CE177-Model!BZ177)*-1</f>
        <v>0</v>
      </c>
      <c r="Q38">
        <f>(Model!CJ177-Model!CE177)*-1</f>
        <v>0</v>
      </c>
      <c r="R38">
        <f>(Model!CO177-Model!CJ177)*-1</f>
        <v>0</v>
      </c>
      <c r="X38" s="77" t="n"/>
      <c r="Y38" s="77" t="n"/>
      <c r="Z38" s="77" t="n"/>
    </row>
    <row r="39" outlineLevel="1" ht="15" customHeight="1">
      <c r="C39" s="105" t="inlineStr">
        <is>
          <t>Other non-current liabilities</t>
        </is>
      </c>
      <c r="D39" s="106">
        <f>Model!W228-Model!R228</f>
        <v>9733</v>
      </c>
      <c r="E39" s="106">
        <f>Model!AB228-Model!W228</f>
        <v>-16</v>
      </c>
      <c r="F39" s="106">
        <f>Model!AG228-Model!AB228</f>
        <v>-4366</v>
      </c>
      <c r="G39" s="106">
        <f>Model!AL228-Model!AG228</f>
        <v>1086</v>
      </c>
      <c r="H39" s="106">
        <f>Model!AQ228-Model!AL228</f>
        <v>0</v>
      </c>
      <c r="I39" s="106">
        <f>Model!AV228-Model!AQ228</f>
        <v>0</v>
      </c>
      <c r="J39" s="106">
        <f>Model!BA228-Model!AV228</f>
        <v>0</v>
      </c>
      <c r="K39" s="106">
        <f>Model!BF228-Model!BA228</f>
        <v>0</v>
      </c>
      <c r="L39" s="107">
        <f>Model!BK228-Model!BF228</f>
        <v>0</v>
      </c>
      <c r="M39">
        <f>Model!BP228-Model!BK228</f>
        <v>0</v>
      </c>
      <c r="N39">
        <f>Model!BU228-Model!BP228</f>
        <v>0</v>
      </c>
      <c r="O39">
        <f>Model!BZ228-Model!BU228</f>
        <v>0</v>
      </c>
      <c r="P39">
        <f>Model!CE228-Model!BZ228</f>
        <v>0</v>
      </c>
      <c r="Q39">
        <f>Model!CJ228-Model!CE228</f>
        <v>0</v>
      </c>
      <c r="R39">
        <f>Model!CO228-Model!CJ228</f>
        <v>0</v>
      </c>
      <c r="X39" s="77" t="n"/>
      <c r="Y39" s="77" t="n"/>
      <c r="Z39" s="77" t="n"/>
    </row>
    <row r="40">
      <c r="C40" s="105" t="inlineStr">
        <is>
          <t>Capital expenditures</t>
        </is>
      </c>
      <c r="D40" s="106" t="n"/>
      <c r="E40" s="106" t="n"/>
      <c r="F40" s="106" t="n"/>
      <c r="G40" s="106" t="n"/>
      <c r="H40" s="106" t="n"/>
      <c r="I40" s="106" t="n"/>
      <c r="J40" s="106" t="n"/>
      <c r="K40" s="106" t="n"/>
      <c r="L40" s="107" t="n"/>
      <c r="X40" s="77" t="n"/>
      <c r="Y40" s="77" t="n"/>
      <c r="Z40" s="77" t="n"/>
    </row>
    <row r="41">
      <c r="C41" s="105" t="inlineStr">
        <is>
          <t>Capital expenditures [IFRS16 - implied lease payments]</t>
        </is>
      </c>
      <c r="F41" s="106" t="n"/>
      <c r="G41" s="106" t="n"/>
      <c r="H41" s="106" t="n"/>
      <c r="I41" s="106" t="n"/>
      <c r="J41" s="106" t="n"/>
      <c r="K41" s="106" t="n"/>
      <c r="L41" s="107" t="n"/>
      <c r="X41" s="77" t="n"/>
      <c r="Y41" s="77" t="n"/>
      <c r="Z41" s="77" t="n"/>
    </row>
    <row r="42">
      <c r="C42" s="108" t="inlineStr">
        <is>
          <t>Purchase of intangible assets</t>
        </is>
      </c>
      <c r="D42" s="109" t="n">
        <v>0</v>
      </c>
      <c r="E42" s="109" t="n">
        <v>0</v>
      </c>
      <c r="F42" s="109" t="n">
        <v>0</v>
      </c>
      <c r="G42" s="109" t="n">
        <v>0</v>
      </c>
      <c r="H42" s="109" t="n">
        <v>0</v>
      </c>
      <c r="I42" s="109" t="n">
        <v>0</v>
      </c>
      <c r="J42" s="109" t="n">
        <v>0</v>
      </c>
      <c r="K42" s="109" t="n">
        <v>0</v>
      </c>
      <c r="L42" s="110" t="n">
        <v>0</v>
      </c>
      <c r="M42" s="111" t="n"/>
      <c r="X42" s="77" t="n"/>
      <c r="Y42" s="77" t="n"/>
      <c r="Z42" s="77" t="n"/>
      <c r="AB42" s="68" t="n"/>
    </row>
    <row r="43">
      <c r="X43" s="77" t="n"/>
      <c r="Y43" s="77" t="n"/>
      <c r="Z43" s="77" t="n"/>
    </row>
    <row r="44">
      <c r="C44" s="82" t="inlineStr">
        <is>
          <t>Net Investments</t>
        </is>
      </c>
      <c r="D44" s="103">
        <f>SUM(D27+D40+D41+D42+D26)</f>
        <v>5869</v>
      </c>
      <c r="E44" s="103">
        <f>SUM(E27+E40+E41+E42+E26)</f>
        <v>-11093</v>
      </c>
      <c r="F44" s="103">
        <f>SUM(F27+F40+F41+F42+F26)</f>
        <v>-21596</v>
      </c>
      <c r="G44" s="103">
        <f>SUM(G27+G40+G41+G42+G26)</f>
        <v>1606</v>
      </c>
      <c r="H44" s="103" t="e">
        <f>SUM(H27+H40+H41+H42+H26)</f>
        <v>#DIV/0!</v>
      </c>
      <c r="I44" s="103" t="e">
        <f>SUM(I27+I40+I41+I42+I26)</f>
        <v>#DIV/0!</v>
      </c>
      <c r="J44" s="103" t="e">
        <f>SUM(J27+J40+J41+J42+J26)</f>
        <v>#DIV/0!</v>
      </c>
      <c r="K44" s="103" t="e">
        <f>SUM(K27+K40+K41+K42+K26)</f>
        <v>#DIV/0!</v>
      </c>
      <c r="L44" s="103" t="e">
        <f>SUM(L27+L40+L41+L42+L26)</f>
        <v>#DIV/0!</v>
      </c>
      <c r="M44" s="112" t="e">
        <f>+L46-M46</f>
        <v>#DIV/0!</v>
      </c>
      <c r="N44" s="103" t="e">
        <f>+M46-N46</f>
        <v>#DIV/0!</v>
      </c>
      <c r="O44" s="103" t="e">
        <f>+N46-O46</f>
        <v>#DIV/0!</v>
      </c>
      <c r="P44" s="103" t="e">
        <f>+O46-P46</f>
        <v>#DIV/0!</v>
      </c>
      <c r="Q44" s="103" t="e">
        <f>+P46-Q46</f>
        <v>#DIV/0!</v>
      </c>
      <c r="R44" s="103" t="e">
        <f>+Q46-R46</f>
        <v>#DIV/0!</v>
      </c>
      <c r="S44" s="103" t="n"/>
      <c r="T44" s="103" t="n"/>
      <c r="U44" s="103" t="n"/>
      <c r="V44" s="104" t="n"/>
      <c r="X44" s="77" t="n"/>
      <c r="Y44" s="111" t="n"/>
      <c r="Z44" s="77" t="n"/>
    </row>
    <row r="45">
      <c r="C45" s="113" t="n"/>
      <c r="D45" s="111" t="n"/>
      <c r="E45" s="111" t="n"/>
      <c r="F45" s="111" t="n"/>
      <c r="G45" s="111" t="n"/>
      <c r="H45" s="111" t="n"/>
      <c r="I45" s="111" t="n"/>
      <c r="J45" s="111" t="n"/>
      <c r="K45" s="111" t="n"/>
      <c r="L45" s="111" t="n"/>
      <c r="V45" s="114" t="n"/>
      <c r="X45" s="77" t="n"/>
      <c r="Y45" s="77" t="n"/>
      <c r="Z45" s="77" t="n"/>
    </row>
    <row r="46">
      <c r="C46" s="113" t="inlineStr">
        <is>
          <t>Invested Capital</t>
        </is>
      </c>
      <c r="D46" s="106">
        <f>Model!W338</f>
        <v>134321</v>
      </c>
      <c r="E46" s="106">
        <f>Model!AB338</f>
        <v>127061</v>
      </c>
      <c r="F46" s="106">
        <f>Model!AG338</f>
        <v>131755</v>
      </c>
      <c r="G46" s="106">
        <f>Model!AL338</f>
        <v>96085</v>
      </c>
      <c r="H46" s="106" t="e">
        <f>Model!AQ338</f>
        <v>#DIV/0!</v>
      </c>
      <c r="I46" s="106" t="e">
        <f>Model!AV338</f>
        <v>#DIV/0!</v>
      </c>
      <c r="J46" s="106" t="e">
        <f>Model!BA338</f>
        <v>#DIV/0!</v>
      </c>
      <c r="K46" s="106" t="e">
        <f>Model!BF338</f>
        <v>#DIV/0!</v>
      </c>
      <c r="L46" s="106" t="e">
        <f>Model!BK338</f>
        <v>#DIV/0!</v>
      </c>
      <c r="M46" s="115" t="e">
        <f>Model!BP338</f>
        <v>#DIV/0!</v>
      </c>
      <c r="N46" s="115" t="e">
        <f>Model!BU338</f>
        <v>#DIV/0!</v>
      </c>
      <c r="O46" s="115" t="e">
        <f>Model!BZ338</f>
        <v>#DIV/0!</v>
      </c>
      <c r="P46" s="115" t="e">
        <f>Model!CE338</f>
        <v>#DIV/0!</v>
      </c>
      <c r="Q46" s="115" t="e">
        <f>Model!CJ338</f>
        <v>#DIV/0!</v>
      </c>
      <c r="R46" s="115" t="e">
        <f>Model!CO338</f>
        <v>#DIV/0!</v>
      </c>
      <c r="S46" s="115" t="n"/>
      <c r="T46" s="115" t="n"/>
      <c r="U46" s="115" t="n"/>
      <c r="V46" s="116" t="n"/>
      <c r="X46" s="111" t="n"/>
      <c r="Y46" s="111" t="n"/>
      <c r="Z46" s="77" t="n"/>
    </row>
    <row r="47" ht="15" customHeight="1">
      <c r="C47" s="113" t="inlineStr">
        <is>
          <t>Invested Capital (ex Goodwill)</t>
        </is>
      </c>
      <c r="D47" s="106">
        <f>Model!W339</f>
        <v>36735</v>
      </c>
      <c r="E47" s="106">
        <f>Model!AB339</f>
        <v>29190</v>
      </c>
      <c r="F47" s="106">
        <f>Model!AG339</f>
        <v>33954</v>
      </c>
      <c r="G47" s="106">
        <f>Model!AL339</f>
        <v>-1716</v>
      </c>
      <c r="H47" s="106" t="e">
        <f>Model!AQ339</f>
        <v>#DIV/0!</v>
      </c>
      <c r="I47" s="106" t="e">
        <f>Model!AV339</f>
        <v>#DIV/0!</v>
      </c>
      <c r="J47" s="106" t="e">
        <f>Model!BA339</f>
        <v>#DIV/0!</v>
      </c>
      <c r="K47" s="106" t="e">
        <f>Model!BF339</f>
        <v>#DIV/0!</v>
      </c>
      <c r="L47" s="106" t="e">
        <f>Model!BK339</f>
        <v>#DIV/0!</v>
      </c>
      <c r="M47" t="e">
        <f>Model!BP339</f>
        <v>#DIV/0!</v>
      </c>
      <c r="N47" t="e">
        <f>Model!BU339</f>
        <v>#DIV/0!</v>
      </c>
      <c r="O47" t="e">
        <f>Model!BZ339</f>
        <v>#DIV/0!</v>
      </c>
      <c r="P47" t="e">
        <f>Model!CE339</f>
        <v>#DIV/0!</v>
      </c>
      <c r="Q47" t="e">
        <f>Model!CJ339</f>
        <v>#DIV/0!</v>
      </c>
      <c r="R47" t="e">
        <f>Model!CO339</f>
        <v>#DIV/0!</v>
      </c>
      <c r="V47" s="114" t="n"/>
      <c r="X47" s="77" t="n"/>
      <c r="Y47" s="77" t="n"/>
      <c r="Z47" s="77" t="n"/>
    </row>
    <row r="48">
      <c r="C48" s="86" t="inlineStr">
        <is>
          <t>Invested Capital / Net Revenues</t>
        </is>
      </c>
      <c r="D48" s="92">
        <f>D46/D18</f>
        <v>3.45609159912518</v>
      </c>
      <c r="E48" s="92">
        <f>E46/E18</f>
        <v>2.33015459663665</v>
      </c>
      <c r="F48" s="92">
        <f>F46/F18</f>
        <v>1.92957148296769</v>
      </c>
      <c r="G48" s="92">
        <f>G46/G18</f>
        <v>1.07834665110433</v>
      </c>
      <c r="H48" s="92" t="e">
        <f>H46/H18</f>
        <v>#DIV/0!</v>
      </c>
      <c r="I48" s="92" t="e">
        <f>I46/I18</f>
        <v>#DIV/0!</v>
      </c>
      <c r="J48" s="92" t="e">
        <f>J46/J18</f>
        <v>#DIV/0!</v>
      </c>
      <c r="K48" s="92" t="e">
        <f>K46/K18</f>
        <v>#DIV/0!</v>
      </c>
      <c r="L48" s="92" t="e">
        <f>L46/L18</f>
        <v>#DIV/0!</v>
      </c>
      <c r="M48" s="117" t="n"/>
      <c r="N48" s="117" t="n"/>
      <c r="O48" s="117" t="n"/>
      <c r="P48" s="117" t="n"/>
      <c r="Q48" s="117" t="n"/>
      <c r="R48" s="117" t="n"/>
      <c r="S48" s="117" t="n"/>
      <c r="T48" s="117" t="n"/>
      <c r="U48" s="117" t="n"/>
      <c r="V48" s="118" t="n"/>
      <c r="X48" s="76" t="inlineStr">
        <is>
          <t>ROIC</t>
        </is>
      </c>
      <c r="Y48" s="77" t="n"/>
      <c r="Z48" s="77" t="n"/>
    </row>
    <row r="49">
      <c r="X49" s="77">
        <f>F16</f>
        <v>2025</v>
      </c>
      <c r="Y49" s="77">
        <f>L16</f>
        <v>2031</v>
      </c>
      <c r="Z49" s="77">
        <f>R16</f>
        <v>2037</v>
      </c>
    </row>
    <row r="50">
      <c r="C50" s="119" t="inlineStr">
        <is>
          <t>ROIC</t>
        </is>
      </c>
      <c r="D50" s="120" t="n"/>
      <c r="E50" s="120" t="n"/>
      <c r="F50" s="120" t="n"/>
      <c r="G50" s="120">
        <f>G25/AVERAGE(F46,G46)</f>
        <v>0.207200815040901</v>
      </c>
      <c r="H50" s="120" t="e">
        <f>H25/AVERAGE(G46,H46)</f>
        <v>#DIV/0!</v>
      </c>
      <c r="I50" s="120" t="e">
        <f>I25/AVERAGE(H46,I46)</f>
        <v>#DIV/0!</v>
      </c>
      <c r="J50" s="120" t="e">
        <f>J25/AVERAGE(I46,J46)</f>
        <v>#DIV/0!</v>
      </c>
      <c r="K50" s="120" t="e">
        <f>K25/AVERAGE(J46,K46)</f>
        <v>#DIV/0!</v>
      </c>
      <c r="L50" s="120" t="e">
        <f>L25/AVERAGE(K46,L46)</f>
        <v>#DIV/0!</v>
      </c>
      <c r="M50" s="121" t="e">
        <f>M25/AVERAGE(L46,M46)</f>
        <v>#DIV/0!</v>
      </c>
      <c r="N50" s="121" t="e">
        <f>N25/AVERAGE(M46,N46)</f>
        <v>#DIV/0!</v>
      </c>
      <c r="O50" s="121" t="e">
        <f>O25/AVERAGE(N46,O46)</f>
        <v>#DIV/0!</v>
      </c>
      <c r="P50" s="121" t="e">
        <f>P25/AVERAGE(O46,P46)</f>
        <v>#DIV/0!</v>
      </c>
      <c r="Q50" s="121" t="e">
        <f>Q25/AVERAGE(P46,Q46)</f>
        <v>#DIV/0!</v>
      </c>
      <c r="R50" s="121" t="e">
        <f>R25/AVERAGE(Q46,R46)</f>
        <v>#DIV/0!</v>
      </c>
      <c r="S50" s="121" t="n"/>
      <c r="T50" s="121" t="n"/>
      <c r="U50" s="121" t="n"/>
      <c r="V50" s="122" t="n"/>
      <c r="X50" s="85">
        <f>F50</f>
        <v>0</v>
      </c>
      <c r="Y50" s="85" t="e">
        <f>L50</f>
        <v>#DIV/0!</v>
      </c>
      <c r="Z50" s="123" t="e">
        <f>R50</f>
        <v>#DIV/0!</v>
      </c>
    </row>
    <row r="51">
      <c r="C51" s="68" t="inlineStr">
        <is>
          <t>Capital Turnover</t>
        </is>
      </c>
      <c r="D51" s="124">
        <f>D18/D46</f>
        <v>0.289344182964689</v>
      </c>
      <c r="E51" s="124">
        <f>E18/E46</f>
        <v>0.429156074641314</v>
      </c>
      <c r="F51" s="124">
        <f>F18/F46</f>
        <v>0.518249781791962</v>
      </c>
      <c r="G51" s="124">
        <f>G18/G46</f>
        <v>0.927345579434875</v>
      </c>
      <c r="H51" s="124" t="e">
        <f>H18/H46</f>
        <v>#DIV/0!</v>
      </c>
      <c r="I51" s="124" t="e">
        <f>I18/I46</f>
        <v>#DIV/0!</v>
      </c>
      <c r="J51" s="124" t="e">
        <f>J18/J46</f>
        <v>#DIV/0!</v>
      </c>
      <c r="K51" s="124" t="e">
        <f>K18/K46</f>
        <v>#DIV/0!</v>
      </c>
      <c r="L51" s="124" t="e">
        <f>L18/L46</f>
        <v>#DIV/0!</v>
      </c>
      <c r="M51" s="124" t="e">
        <f>M18/M46</f>
        <v>#DIV/0!</v>
      </c>
      <c r="N51" s="124" t="e">
        <f>N18/N46</f>
        <v>#DIV/0!</v>
      </c>
      <c r="O51" s="124" t="e">
        <f>O18/O46</f>
        <v>#DIV/0!</v>
      </c>
      <c r="P51" s="124" t="e">
        <f>P18/P46</f>
        <v>#DIV/0!</v>
      </c>
      <c r="Q51" s="124" t="e">
        <f>Q18/Q46</f>
        <v>#DIV/0!</v>
      </c>
      <c r="R51" s="124" t="e">
        <f>R18/R46</f>
        <v>#DIV/0!</v>
      </c>
      <c r="S51" s="124" t="n"/>
      <c r="T51" s="124" t="n"/>
      <c r="U51" s="124" t="n"/>
      <c r="V51" s="124" t="n"/>
    </row>
    <row r="53" customFormat="1" s="68">
      <c r="A53" s="249" t="n"/>
      <c r="B53" s="249" t="n"/>
      <c r="C53" s="68" t="inlineStr">
        <is>
          <t>Unlevered free cash flows = FCFF</t>
        </is>
      </c>
      <c r="D53" s="125">
        <f>D25+D44</f>
        <v>18910.8155409159</v>
      </c>
      <c r="E53" s="125">
        <f>E25+E44</f>
        <v>1947.60580204778</v>
      </c>
      <c r="F53" s="125">
        <f>F25+F44</f>
        <v>5686.25855154518</v>
      </c>
      <c r="G53" s="126">
        <f>(G25+G44)*stub_year_fraction</f>
        <v>6561.58931698259</v>
      </c>
      <c r="H53" s="125" t="e">
        <f>H25+H44</f>
        <v>#DIV/0!</v>
      </c>
      <c r="I53" s="125" t="e">
        <f>I25+I44</f>
        <v>#DIV/0!</v>
      </c>
      <c r="J53" s="125" t="e">
        <f>J25+J44</f>
        <v>#DIV/0!</v>
      </c>
      <c r="K53" s="125" t="e">
        <f>K25+K44</f>
        <v>#DIV/0!</v>
      </c>
      <c r="L53" s="125" t="e">
        <f>L25+L44</f>
        <v>#DIV/0!</v>
      </c>
      <c r="M53" s="125" t="e">
        <f>M25+M44</f>
        <v>#DIV/0!</v>
      </c>
      <c r="N53" s="125" t="e">
        <f>N25+N44</f>
        <v>#DIV/0!</v>
      </c>
      <c r="O53" s="125" t="e">
        <f>O25+O44</f>
        <v>#DIV/0!</v>
      </c>
      <c r="P53" s="125" t="e">
        <f>P25+P44</f>
        <v>#DIV/0!</v>
      </c>
      <c r="Q53" s="125" t="e">
        <f>Q25+Q44</f>
        <v>#DIV/0!</v>
      </c>
      <c r="R53" s="125" t="e">
        <f>R25+R44</f>
        <v>#DIV/0!</v>
      </c>
      <c r="S53" s="125" t="n"/>
      <c r="T53" s="125" t="n"/>
      <c r="U53" s="125" t="n"/>
      <c r="V53" s="125" t="n"/>
    </row>
    <row r="54">
      <c r="C54" s="127" t="inlineStr">
        <is>
          <t>Discount factor</t>
        </is>
      </c>
      <c r="G54" s="128" t="e">
        <f>1/(1+wacc)^stub_year_fraction</f>
        <v>#DIV/0!</v>
      </c>
      <c r="H54" s="128" t="e">
        <f>1/(1+wacc)^(1+stub_year_fraction)</f>
        <v>#DIV/0!</v>
      </c>
      <c r="I54" s="128" t="e">
        <f>1/(1+wacc)^(2+stub_year_fraction)</f>
        <v>#DIV/0!</v>
      </c>
      <c r="J54" s="128" t="e">
        <f>1/(1+wacc)^(3+stub_year_fraction)</f>
        <v>#DIV/0!</v>
      </c>
      <c r="K54" s="128" t="e">
        <f>1/(1+wacc)^(4+stub_year_fraction)</f>
        <v>#DIV/0!</v>
      </c>
      <c r="L54" s="128" t="e">
        <f>1/(1+wacc)^(5+stub_year_fraction)</f>
        <v>#DIV/0!</v>
      </c>
      <c r="M54" s="128" t="e">
        <f>1/(1+wacc)^(6+stub_year_fraction)</f>
        <v>#DIV/0!</v>
      </c>
      <c r="N54" s="128" t="e">
        <f>1/(1+wacc)^(7+stub_year_fraction)</f>
        <v>#DIV/0!</v>
      </c>
      <c r="O54" s="128" t="e">
        <f>1/(1+wacc)^(8+stub_year_fraction)</f>
        <v>#DIV/0!</v>
      </c>
      <c r="P54" s="128" t="e">
        <f>1/(1+wacc)^(9+stub_year_fraction)</f>
        <v>#DIV/0!</v>
      </c>
      <c r="Q54" s="128" t="e">
        <f>1/(1+wacc)^(10+stub_year_fraction)</f>
        <v>#DIV/0!</v>
      </c>
      <c r="R54" s="128" t="e">
        <f>1/(1+wacc)^(11+stub_year_fraction)</f>
        <v>#DIV/0!</v>
      </c>
      <c r="S54" s="128" t="n"/>
      <c r="T54" s="128" t="n"/>
      <c r="U54" s="128" t="n"/>
      <c r="V54" s="128" t="n"/>
    </row>
    <row r="55">
      <c r="C55" s="127" t="inlineStr">
        <is>
          <t>Midyear adjustment factor</t>
        </is>
      </c>
      <c r="G55" s="129" t="e">
        <f>(1+wacc)^(stub_year_fraction/2)</f>
        <v>#DIV/0!</v>
      </c>
      <c r="H55" s="128" t="e">
        <f>(1+wacc)^0.5</f>
        <v>#DIV/0!</v>
      </c>
      <c r="I55" s="128" t="e">
        <f>(1+wacc)^0.5</f>
        <v>#DIV/0!</v>
      </c>
      <c r="J55" s="128" t="e">
        <f>(1+wacc)^0.5</f>
        <v>#DIV/0!</v>
      </c>
      <c r="K55" s="128" t="e">
        <f>(1+wacc)^0.5</f>
        <v>#DIV/0!</v>
      </c>
      <c r="L55" s="128" t="e">
        <f>(1+wacc)^0.5</f>
        <v>#DIV/0!</v>
      </c>
      <c r="M55" s="128" t="e">
        <f>(1+wacc)^0.5</f>
        <v>#DIV/0!</v>
      </c>
      <c r="N55" s="128" t="e">
        <f>(1+wacc)^0.5</f>
        <v>#DIV/0!</v>
      </c>
      <c r="O55" s="128" t="e">
        <f>(1+wacc)^0.5</f>
        <v>#DIV/0!</v>
      </c>
      <c r="P55" s="128" t="e">
        <f>(1+wacc)^0.5</f>
        <v>#DIV/0!</v>
      </c>
      <c r="Q55" s="128" t="e">
        <f>(1+wacc)^0.5</f>
        <v>#DIV/0!</v>
      </c>
      <c r="R55" s="128" t="e">
        <f>(1+wacc)^0.5</f>
        <v>#DIV/0!</v>
      </c>
      <c r="S55" s="128" t="n"/>
      <c r="T55" s="128" t="n"/>
      <c r="U55" s="128" t="n"/>
      <c r="V55" s="128" t="n"/>
    </row>
    <row r="56">
      <c r="C56" s="127" t="inlineStr">
        <is>
          <t>Present value of free cash flows</t>
        </is>
      </c>
      <c r="G56" s="111" t="e">
        <f>G54*G53*G55</f>
        <v>#DIV/0!</v>
      </c>
      <c r="H56" s="111" t="e">
        <f>H54*H53*H55</f>
        <v>#DIV/0!</v>
      </c>
      <c r="I56" s="111" t="e">
        <f>I54*I53*I55</f>
        <v>#DIV/0!</v>
      </c>
      <c r="J56" s="111" t="e">
        <f>J54*J53*J55</f>
        <v>#DIV/0!</v>
      </c>
      <c r="K56" s="111" t="e">
        <f>K54*K53*K55</f>
        <v>#DIV/0!</v>
      </c>
      <c r="L56" s="111" t="e">
        <f>L54*L53*L55</f>
        <v>#DIV/0!</v>
      </c>
      <c r="M56" s="111" t="e">
        <f>M54*M53*M55</f>
        <v>#DIV/0!</v>
      </c>
      <c r="N56" s="111" t="e">
        <f>N54*N53*N55</f>
        <v>#DIV/0!</v>
      </c>
      <c r="O56" s="111" t="e">
        <f>O54*O53*O55</f>
        <v>#DIV/0!</v>
      </c>
      <c r="P56" s="111" t="e">
        <f>P54*P53*P55</f>
        <v>#DIV/0!</v>
      </c>
      <c r="Q56" s="111" t="e">
        <f>Q54*Q53*Q55</f>
        <v>#DIV/0!</v>
      </c>
      <c r="R56" s="111" t="e">
        <f>R54*R53*R55</f>
        <v>#DIV/0!</v>
      </c>
      <c r="S56" s="111" t="n"/>
      <c r="T56" s="111" t="n"/>
      <c r="U56" s="111" t="n"/>
      <c r="V56" s="111" t="n"/>
    </row>
    <row r="57">
      <c r="C57" s="68" t="inlineStr">
        <is>
          <t>Sum of present values of FCFs</t>
        </is>
      </c>
      <c r="G57" s="125" t="e">
        <f>SUM(G56:R56)</f>
        <v>#DIV/0!</v>
      </c>
      <c r="H57" s="111" t="n"/>
      <c r="N57" s="130" t="n"/>
    </row>
    <row r="59">
      <c r="C59" s="68" t="n"/>
      <c r="D59" s="61" t="n">
        <v>50405</v>
      </c>
      <c r="E59" s="131" t="n"/>
      <c r="F59" s="132" t="n"/>
      <c r="G59" s="132" t="n"/>
      <c r="H59" s="61" t="n">
        <v>46022</v>
      </c>
      <c r="I59" s="132" t="n"/>
      <c r="J59" s="132" t="n"/>
      <c r="K59" s="132" t="n"/>
      <c r="L59" s="132" t="n"/>
    </row>
    <row r="60" ht="13.5" customHeight="1" thickBot="1">
      <c r="C60" s="133" t="inlineStr">
        <is>
          <t>Terminal value</t>
        </is>
      </c>
      <c r="D60" s="134" t="n"/>
      <c r="E60" s="135" t="inlineStr">
        <is>
          <t>Equity value calculations</t>
        </is>
      </c>
      <c r="F60" s="136" t="n"/>
      <c r="G60" s="136" t="n"/>
      <c r="H60" s="136" t="n"/>
      <c r="I60" s="137" t="inlineStr">
        <is>
          <t xml:space="preserve"> Shares Outstanding Worksheet</t>
        </is>
      </c>
      <c r="J60" s="138" t="n"/>
      <c r="K60" s="139" t="n"/>
      <c r="L60" s="140" t="n"/>
    </row>
    <row r="61">
      <c r="C61" s="113" t="n"/>
      <c r="D61" s="114" t="n"/>
      <c r="I61" s="113" t="n"/>
      <c r="L61" s="114" t="n"/>
    </row>
    <row r="62">
      <c r="C62" s="141" t="inlineStr">
        <is>
          <t>Key value driver method</t>
        </is>
      </c>
      <c r="D62" s="142" t="n"/>
      <c r="E62" s="143" t="inlineStr">
        <is>
          <t>Enterprise value</t>
        </is>
      </c>
      <c r="H62" s="125" t="e">
        <f>D80</f>
        <v>#DIV/0!</v>
      </c>
      <c r="I62" s="144" t="inlineStr">
        <is>
          <t>Basic Shares Outanding :</t>
        </is>
      </c>
      <c r="J62" s="63" t="n"/>
      <c r="L62" s="145" t="n"/>
    </row>
    <row r="63" ht="13.5" customHeight="1" thickBot="1">
      <c r="C63" s="141" t="inlineStr">
        <is>
          <t>g</t>
        </is>
      </c>
      <c r="D63" s="146" t="n"/>
      <c r="E63" s="147" t="inlineStr">
        <is>
          <t>Calculation of net debt:</t>
        </is>
      </c>
      <c r="H63" s="111" t="n"/>
      <c r="I63" s="144" t="inlineStr">
        <is>
          <t>Current Share Price:</t>
        </is>
      </c>
      <c r="L63" s="148" t="n"/>
    </row>
    <row r="64" ht="13.5" customHeight="1" thickBot="1">
      <c r="C64" s="141" t="inlineStr">
        <is>
          <t>RONIC</t>
        </is>
      </c>
      <c r="D64" s="149" t="e">
        <f>R50</f>
        <v>#DIV/0!</v>
      </c>
      <c r="E64" s="127" t="inlineStr">
        <is>
          <t>Current portion of long-term debt</t>
        </is>
      </c>
      <c r="H64" s="107" t="n"/>
      <c r="I64" s="150" t="inlineStr">
        <is>
          <t>Options / Warrants Data</t>
        </is>
      </c>
      <c r="J64" s="79" t="n"/>
      <c r="K64" s="79" t="n"/>
      <c r="L64" s="151" t="n"/>
    </row>
    <row r="65">
      <c r="C65" s="141" t="inlineStr">
        <is>
          <t>NOPLAT (t+1)</t>
        </is>
      </c>
      <c r="D65" s="152">
        <f>SUMIFS(INDEX($C$17:$AQ$42,,MATCH(D$59,$C$17:$AQ$17,0)),$C$17:$C$42,"NOPLAT")*(1+D63)</f>
        <v>0</v>
      </c>
      <c r="E65" s="127" t="inlineStr">
        <is>
          <t>Short term debt</t>
        </is>
      </c>
      <c r="H65" s="107" t="n"/>
      <c r="I65" s="150" t="n"/>
      <c r="J65" s="153" t="inlineStr">
        <is>
          <t># of options</t>
        </is>
      </c>
      <c r="K65" s="153" t="inlineStr">
        <is>
          <t xml:space="preserve">$ strike </t>
        </is>
      </c>
      <c r="L65" s="151" t="inlineStr">
        <is>
          <t># In-the-$</t>
        </is>
      </c>
    </row>
    <row r="66">
      <c r="C66" s="141" t="inlineStr">
        <is>
          <t>Terminal value</t>
        </is>
      </c>
      <c r="D66" s="152" t="e">
        <f>(noplat_t1*(1-(g/ronic)))/(wacc-g)</f>
        <v>#DIV/0!</v>
      </c>
      <c r="E66" s="127" t="inlineStr">
        <is>
          <t>Long term debt</t>
        </is>
      </c>
      <c r="H66" s="107" t="n"/>
      <c r="I66" s="127" t="inlineStr">
        <is>
          <t>Batch 1</t>
        </is>
      </c>
      <c r="J66" s="154" t="n"/>
      <c r="K66" s="155" t="n"/>
      <c r="L66" s="156">
        <f>IF($K66&lt;$L$62,J66,0)</f>
        <v>0</v>
      </c>
    </row>
    <row r="67">
      <c r="C67" s="141" t="inlineStr">
        <is>
          <t>Midyear adjusted terminal value</t>
        </is>
      </c>
      <c r="D67" s="152" t="e">
        <f>D66*R55</f>
        <v>#DIV/0!</v>
      </c>
      <c r="E67" s="127" t="inlineStr">
        <is>
          <t>Convertible debt</t>
        </is>
      </c>
      <c r="H67" s="107" t="n"/>
      <c r="I67" s="127" t="inlineStr">
        <is>
          <t>Batch 2</t>
        </is>
      </c>
      <c r="J67" s="157" t="n"/>
      <c r="K67" s="158" t="n"/>
      <c r="L67" s="156">
        <f>IF($K67&lt;$L$61,J67,0)</f>
        <v>0</v>
      </c>
    </row>
    <row r="68">
      <c r="C68" s="141" t="inlineStr">
        <is>
          <t>Present value of terminal value</t>
        </is>
      </c>
      <c r="D68" s="152" t="e">
        <f>D67*R54</f>
        <v>#DIV/0!</v>
      </c>
      <c r="E68" s="127" t="inlineStr">
        <is>
          <t>Minority interest</t>
        </is>
      </c>
      <c r="H68" s="107" t="n"/>
      <c r="I68" s="127" t="inlineStr">
        <is>
          <t>Batch 3</t>
        </is>
      </c>
      <c r="J68" s="157" t="n"/>
      <c r="K68" s="158" t="n"/>
      <c r="L68" s="156">
        <f>IF($K68&lt;$L$61,J68,0)</f>
        <v>0</v>
      </c>
    </row>
    <row r="69">
      <c r="C69" s="144" t="inlineStr">
        <is>
          <t>Enterprise value</t>
        </is>
      </c>
      <c r="D69" s="159" t="e">
        <f>D68+G57</f>
        <v>#DIV/0!</v>
      </c>
      <c r="E69" s="127" t="inlineStr">
        <is>
          <t>Convertible preferred stock</t>
        </is>
      </c>
      <c r="H69" s="107" t="n"/>
      <c r="I69" s="127" t="inlineStr">
        <is>
          <t>Batch 4</t>
        </is>
      </c>
      <c r="J69" s="157" t="n"/>
      <c r="K69" s="158" t="n"/>
      <c r="L69" s="156">
        <f>IF($K69&lt;$L$61,J69,0)</f>
        <v>0</v>
      </c>
    </row>
    <row r="70">
      <c r="C70" s="113" t="n"/>
      <c r="D70" s="114" t="n"/>
      <c r="E70" s="127" t="inlineStr">
        <is>
          <t>Short term operating leases</t>
        </is>
      </c>
      <c r="H70" s="107" t="n"/>
      <c r="I70" s="127" t="inlineStr">
        <is>
          <t>Batch 5</t>
        </is>
      </c>
      <c r="J70" s="157" t="n"/>
      <c r="K70" s="158" t="n"/>
      <c r="L70" s="156">
        <f>IF($K70&lt;$L$61,J70,0)</f>
        <v>0</v>
      </c>
    </row>
    <row r="71">
      <c r="C71" s="141" t="inlineStr">
        <is>
          <t>Exit multiple method</t>
        </is>
      </c>
      <c r="D71" s="142" t="n"/>
      <c r="E71" s="127" t="inlineStr">
        <is>
          <t>Long term operating leases</t>
        </is>
      </c>
      <c r="H71" s="107" t="n"/>
      <c r="I71" s="150" t="inlineStr">
        <is>
          <t>Batch 6</t>
        </is>
      </c>
      <c r="J71" s="160" t="n"/>
      <c r="K71" s="161" t="n"/>
      <c r="L71" s="162">
        <f>IF($K71&lt;$L$61,J71,0)</f>
        <v>0</v>
      </c>
    </row>
    <row r="72">
      <c r="C72" s="144" t="inlineStr">
        <is>
          <t>Exit EV / EBITDA multiple</t>
        </is>
      </c>
      <c r="D72" s="163" t="n"/>
      <c r="E72" s="147" t="inlineStr">
        <is>
          <t>Less: Excess cash</t>
        </is>
      </c>
      <c r="H72" s="107" t="n"/>
      <c r="J72" s="132" t="n"/>
      <c r="K72" s="164" t="inlineStr">
        <is>
          <t>Total in-the-$ options:</t>
        </is>
      </c>
      <c r="L72" s="156">
        <f>SUM(L66:L71)</f>
        <v>0</v>
      </c>
    </row>
    <row r="73">
      <c r="C73" s="144" t="inlineStr">
        <is>
          <t>LTM EBITDA at end of projection</t>
        </is>
      </c>
      <c r="D73" s="159">
        <f>L20</f>
        <v>0</v>
      </c>
      <c r="E73" s="147" t="inlineStr">
        <is>
          <t>Less: Equity investments</t>
        </is>
      </c>
      <c r="H73" s="107" t="n"/>
      <c r="J73" s="132" t="n"/>
      <c r="K73" s="164" t="inlineStr">
        <is>
          <t>Total $ proceeds:</t>
        </is>
      </c>
      <c r="L73" s="165">
        <f>SUMPRODUCT(K66:K71,L66:L71)</f>
        <v>0</v>
      </c>
    </row>
    <row r="74">
      <c r="C74" s="144" t="inlineStr">
        <is>
          <t>Terminal value</t>
        </is>
      </c>
      <c r="D74" s="159">
        <f>D73*D72</f>
        <v>0</v>
      </c>
      <c r="E74" s="127" t="inlineStr">
        <is>
          <t>Net debt</t>
        </is>
      </c>
      <c r="H74" s="159">
        <f>SUM(H64:H73)</f>
        <v>0</v>
      </c>
      <c r="J74" s="132" t="n"/>
      <c r="K74" s="164" t="inlineStr">
        <is>
          <t>Total shares repurchased:</t>
        </is>
      </c>
      <c r="L74" s="156" t="e">
        <f>L73/L63</f>
        <v>#DIV/0!</v>
      </c>
    </row>
    <row r="75">
      <c r="C75" s="144" t="inlineStr">
        <is>
          <t>Present value of terminal value</t>
        </is>
      </c>
      <c r="D75" s="159" t="e">
        <f>D74*L54</f>
        <v>#DIV/0!</v>
      </c>
      <c r="E75" s="143" t="inlineStr">
        <is>
          <t>Equity value</t>
        </is>
      </c>
      <c r="H75" s="152" t="e">
        <f>D80-H74</f>
        <v>#DIV/0!</v>
      </c>
      <c r="J75" s="132" t="n"/>
      <c r="K75" s="166" t="inlineStr">
        <is>
          <t>Basic shares outstanding</t>
        </is>
      </c>
      <c r="L75" s="142">
        <f>L62</f>
        <v>0</v>
      </c>
    </row>
    <row r="76" ht="13.5" customHeight="1" thickBot="1">
      <c r="C76" s="144" t="inlineStr">
        <is>
          <t>Enterprise value</t>
        </is>
      </c>
      <c r="D76" s="159" t="e">
        <f>G57+D75</f>
        <v>#DIV/0!</v>
      </c>
      <c r="E76" s="127" t="inlineStr">
        <is>
          <t>Shares outstanding</t>
        </is>
      </c>
      <c r="H76" s="159" t="e">
        <f>L79</f>
        <v>#DIV/0!</v>
      </c>
      <c r="J76" s="167" t="n"/>
      <c r="K76" s="166" t="inlineStr">
        <is>
          <t>New shares from options:</t>
        </is>
      </c>
      <c r="L76" s="142" t="e">
        <f>L72-L74</f>
        <v>#DIV/0!</v>
      </c>
    </row>
    <row r="77" ht="13.5" customHeight="1" thickBot="1">
      <c r="C77" s="113" t="n"/>
      <c r="D77" s="168" t="n"/>
      <c r="E77" s="143" t="inlineStr">
        <is>
          <t>Equity value / share</t>
        </is>
      </c>
      <c r="H77" s="169" t="e">
        <f>H75/H76</f>
        <v>#DIV/0!</v>
      </c>
      <c r="K77" s="166" t="inlineStr">
        <is>
          <t>New shares from convert. pref. stock:</t>
        </is>
      </c>
      <c r="L77" s="170" t="n"/>
    </row>
    <row r="78">
      <c r="C78" s="141" t="inlineStr">
        <is>
          <t>Select a terminal value method</t>
        </is>
      </c>
      <c r="D78" s="171" t="n"/>
      <c r="F78" s="130" t="n"/>
      <c r="H78" s="172" t="n"/>
      <c r="K78" s="166" t="inlineStr">
        <is>
          <t>New shares from convertible debt:</t>
        </is>
      </c>
      <c r="L78" s="173" t="n"/>
    </row>
    <row r="79">
      <c r="C79" s="144" t="inlineStr">
        <is>
          <t>Perpetual growth = 1 / Exit multiple = 2</t>
        </is>
      </c>
      <c r="D79" s="174" t="n"/>
      <c r="H79" s="172" t="n"/>
      <c r="K79" s="175" t="inlineStr">
        <is>
          <t>Total Shares Outstanding:</t>
        </is>
      </c>
      <c r="L79" s="176" t="e">
        <f>L62+SUM(L76:L78)</f>
        <v>#DIV/0!</v>
      </c>
    </row>
    <row r="80">
      <c r="C80" s="144" t="inlineStr">
        <is>
          <t>Enterprise value</t>
        </is>
      </c>
      <c r="D80" s="142" t="e">
        <f>IF(D79=1,D69,D76)</f>
        <v>#DIV/0!</v>
      </c>
      <c r="H80" s="114" t="n"/>
      <c r="K80" s="175" t="n"/>
      <c r="L80" s="176" t="n"/>
    </row>
    <row r="81">
      <c r="C81" s="177" t="inlineStr">
        <is>
          <t>Terminal value as percent of total value</t>
        </is>
      </c>
      <c r="D81" s="178" t="e">
        <f>IF(D79=1,D68/D69,D75/D76)</f>
        <v>#DIV/0!</v>
      </c>
      <c r="E81" s="79" t="n"/>
      <c r="F81" s="79" t="n"/>
      <c r="G81" s="79" t="n"/>
      <c r="H81" s="93" t="n"/>
      <c r="I81" s="79" t="n"/>
      <c r="J81" s="79" t="n"/>
      <c r="K81" s="79" t="n"/>
      <c r="L81" s="93" t="n"/>
    </row>
    <row r="83" ht="13.5" customHeight="1" thickBot="1">
      <c r="C83" s="179" t="inlineStr">
        <is>
          <t>Analysis of WACC</t>
        </is>
      </c>
      <c r="D83" s="180" t="n"/>
      <c r="E83" s="181" t="n"/>
      <c r="F83" s="181" t="n"/>
      <c r="G83" s="179" t="n"/>
      <c r="H83" s="180" t="n"/>
      <c r="I83" s="181" t="n"/>
      <c r="J83" s="181" t="n"/>
      <c r="K83" s="181" t="n"/>
      <c r="L83" s="181" t="n"/>
    </row>
    <row r="85">
      <c r="C85" s="182" t="inlineStr">
        <is>
          <t>Cost of debt</t>
        </is>
      </c>
      <c r="D85" s="79" t="n"/>
      <c r="F85" s="182" t="inlineStr">
        <is>
          <t>Capital structure</t>
        </is>
      </c>
      <c r="G85" s="182" t="n"/>
      <c r="H85" s="182" t="n"/>
      <c r="I85" s="182" t="n"/>
      <c r="J85" s="182" t="n"/>
    </row>
    <row r="86">
      <c r="C86" s="127" t="inlineStr">
        <is>
          <t>Cost of debt</t>
        </is>
      </c>
      <c r="D86" s="183" t="n"/>
      <c r="G86" s="184" t="inlineStr">
        <is>
          <t>Current capital structure</t>
        </is>
      </c>
      <c r="H86" s="184" t="n"/>
      <c r="I86" s="185" t="inlineStr">
        <is>
          <t>Target capital structure</t>
        </is>
      </c>
      <c r="J86" s="186" t="n"/>
    </row>
    <row r="87">
      <c r="C87" s="127" t="inlineStr">
        <is>
          <t>Marginal tax rate</t>
        </is>
      </c>
      <c r="D87" s="183" t="n"/>
      <c r="F87" s="79" t="n"/>
      <c r="G87" s="153" t="inlineStr">
        <is>
          <t>Market value</t>
        </is>
      </c>
      <c r="H87" s="153" t="inlineStr">
        <is>
          <t>% Weight</t>
        </is>
      </c>
      <c r="I87" s="153" t="inlineStr">
        <is>
          <t>override</t>
        </is>
      </c>
      <c r="J87" s="187" t="inlineStr">
        <is>
          <t>% Weight</t>
        </is>
      </c>
      <c r="K87" s="188" t="n"/>
      <c r="L87" s="189" t="n"/>
    </row>
    <row r="88">
      <c r="C88" s="249" t="inlineStr">
        <is>
          <t>Cost of debt after tax shield</t>
        </is>
      </c>
      <c r="D88" s="190">
        <f>costdebtfirm*(1-D87)</f>
        <v>0</v>
      </c>
      <c r="F88" s="249" t="inlineStr">
        <is>
          <t>Net debt</t>
        </is>
      </c>
      <c r="G88" s="191">
        <f>H74</f>
        <v>0</v>
      </c>
      <c r="H88" s="63" t="e">
        <f>debt/totalcap</f>
        <v>#DIV/0!</v>
      </c>
      <c r="I88" s="183" t="n"/>
      <c r="J88" s="63" t="e">
        <f>IF(I88,I88,H88)</f>
        <v>#DIV/0!</v>
      </c>
      <c r="L88" s="192" t="n"/>
    </row>
    <row r="89">
      <c r="F89" s="249" t="inlineStr">
        <is>
          <t>Equity</t>
        </is>
      </c>
      <c r="G89" s="193" t="e">
        <f>L63*L79</f>
        <v>#DIV/0!</v>
      </c>
      <c r="H89" s="63" t="e">
        <f>1-H88</f>
        <v>#DIV/0!</v>
      </c>
      <c r="J89" s="63" t="e">
        <f>1-debt_weight</f>
        <v>#DIV/0!</v>
      </c>
    </row>
    <row r="90">
      <c r="C90" s="182" t="inlineStr">
        <is>
          <t>Cost of equity</t>
        </is>
      </c>
      <c r="D90" s="79" t="n"/>
      <c r="F90" s="249" t="inlineStr">
        <is>
          <t>Total</t>
        </is>
      </c>
      <c r="G90" s="188" t="e">
        <f>SUM(G88:G89)</f>
        <v>#DIV/0!</v>
      </c>
    </row>
    <row r="91">
      <c r="C91" s="127" t="inlineStr">
        <is>
          <t>Risk-Free Rate (rf)</t>
        </is>
      </c>
      <c r="D91" s="183" t="n"/>
      <c r="E91" s="194" t="n"/>
    </row>
    <row r="92">
      <c r="C92" s="127" t="inlineStr">
        <is>
          <t>Market Risk Premium (rm-rf)</t>
        </is>
      </c>
      <c r="D92" s="183" t="n"/>
      <c r="F92" s="182" t="inlineStr">
        <is>
          <t>Weighted average cost of capital</t>
        </is>
      </c>
      <c r="G92" s="79" t="n"/>
      <c r="H92" s="79" t="n"/>
      <c r="I92" s="79" t="n"/>
      <c r="J92" s="79" t="n"/>
    </row>
    <row r="93">
      <c r="C93" s="127" t="inlineStr">
        <is>
          <t>Raw (observed) beta</t>
        </is>
      </c>
      <c r="D93" s="195" t="n"/>
      <c r="F93" s="249" t="inlineStr">
        <is>
          <t>Weighted average cost of capital:</t>
        </is>
      </c>
      <c r="J93" s="63" t="e">
        <f>debt_weight*D88+J89*costequity</f>
        <v>#DIV/0!</v>
      </c>
    </row>
    <row r="94">
      <c r="C94" s="127" t="inlineStr">
        <is>
          <t>Cost of equity using relevered industry beta</t>
        </is>
      </c>
      <c r="D94" s="190" t="e">
        <f>risk_free_rate+relevered_beta*risk_premium</f>
        <v>#DIV/0!</v>
      </c>
      <c r="E94" s="196" t="n"/>
    </row>
    <row r="95">
      <c r="C95" s="127" t="n"/>
      <c r="D95" s="190" t="n"/>
      <c r="E95" s="68" t="n"/>
      <c r="G95" s="188" t="n"/>
    </row>
    <row r="96">
      <c r="C96" s="182" t="inlineStr">
        <is>
          <t>Industry beta calculation</t>
        </is>
      </c>
      <c r="D96" s="79" t="n"/>
      <c r="E96" s="79" t="n"/>
      <c r="F96" s="79" t="n"/>
      <c r="G96" s="79" t="n"/>
      <c r="H96" s="79" t="n"/>
      <c r="I96" s="79" t="n"/>
      <c r="J96" s="79" t="n"/>
      <c r="K96" s="79" t="n"/>
      <c r="L96" s="79" t="n"/>
      <c r="M96" s="79" t="n"/>
    </row>
    <row r="97" ht="25.5" customHeight="1">
      <c r="C97" s="197" t="inlineStr">
        <is>
          <t xml:space="preserve">Comps </t>
        </is>
      </c>
      <c r="D97" s="198" t="inlineStr">
        <is>
          <t>Raw beta</t>
        </is>
      </c>
      <c r="E97" s="198" t="inlineStr">
        <is>
          <t>Share price</t>
        </is>
      </c>
      <c r="F97" s="198" t="inlineStr">
        <is>
          <t>Shares</t>
        </is>
      </c>
      <c r="G97" s="198" t="inlineStr">
        <is>
          <t>Market cap.</t>
        </is>
      </c>
      <c r="H97" s="198" t="inlineStr">
        <is>
          <t>Debt</t>
        </is>
      </c>
      <c r="I97" s="198" t="inlineStr">
        <is>
          <t>D / E</t>
        </is>
      </c>
      <c r="J97" s="198" t="inlineStr">
        <is>
          <t>Tax rate</t>
        </is>
      </c>
      <c r="K97" s="198" t="inlineStr">
        <is>
          <t>Unl. Beta</t>
        </is>
      </c>
      <c r="L97" s="198" t="inlineStr">
        <is>
          <t>Weigh. Beta</t>
        </is>
      </c>
      <c r="M97" s="198" t="inlineStr">
        <is>
          <t>Relev. Beta</t>
        </is>
      </c>
    </row>
    <row r="98">
      <c r="C98" s="249">
        <f>ticker</f>
        <v>0.0</v>
      </c>
      <c r="D98" s="199">
        <f>beta_observed</f>
        <v>0</v>
      </c>
      <c r="E98" s="200">
        <f>L63</f>
        <v>0</v>
      </c>
      <c r="F98" s="111" t="e">
        <f>L79</f>
        <v>#DIV/0!</v>
      </c>
      <c r="G98" s="111" t="e">
        <f>E98*F98</f>
        <v>#DIV/0!</v>
      </c>
      <c r="H98" s="111">
        <f>debt</f>
        <v>0</v>
      </c>
      <c r="I98" s="201" t="e">
        <f>debt/market_equity</f>
        <v>#DIV/0!</v>
      </c>
      <c r="J98" s="201">
        <f>F24</f>
        <v>0.0181646614767634</v>
      </c>
      <c r="K98" s="199" t="e">
        <f>D98/(1+(I98)*(1-J98))</f>
        <v>#DIV/0!</v>
      </c>
      <c r="L98" s="202" t="e">
        <f>K98*G98/$G$102</f>
        <v>#DIV/0!</v>
      </c>
    </row>
    <row r="99">
      <c r="C99" s="203" t="inlineStr">
        <is>
          <t>TICKER 2</t>
        </is>
      </c>
      <c r="D99" s="195" t="n"/>
      <c r="E99" s="204" t="n"/>
      <c r="F99" s="205" t="n"/>
      <c r="G99" s="111">
        <f>E99*F99</f>
        <v>0</v>
      </c>
      <c r="H99" s="205" t="n"/>
      <c r="I99" s="201" t="e">
        <f>H99/(F99*E99)</f>
        <v>#DIV/0!</v>
      </c>
      <c r="J99" s="206" t="n"/>
      <c r="K99" s="199" t="e">
        <f>D99/(1+(I99)*(1-J99))</f>
        <v>#DIV/0!</v>
      </c>
      <c r="L99" s="202" t="e">
        <f>K99*G99/$G$102</f>
        <v>#DIV/0!</v>
      </c>
    </row>
    <row r="100">
      <c r="C100" s="203" t="inlineStr">
        <is>
          <t>TICKER 3</t>
        </is>
      </c>
      <c r="D100" s="195" t="n"/>
      <c r="E100" s="204" t="n"/>
      <c r="F100" s="205" t="n"/>
      <c r="G100" s="111">
        <f>E100*F100</f>
        <v>0</v>
      </c>
      <c r="H100" s="205" t="n"/>
      <c r="I100" s="201" t="e">
        <f>H100/(F100*E100)</f>
        <v>#DIV/0!</v>
      </c>
      <c r="J100" s="206" t="n"/>
      <c r="K100" s="199" t="e">
        <f>D100/(1+(I100)*(1-J100))</f>
        <v>#DIV/0!</v>
      </c>
      <c r="L100" s="202" t="e">
        <f>K100*G100/$G$102</f>
        <v>#DIV/0!</v>
      </c>
    </row>
    <row r="101">
      <c r="C101" s="207" t="inlineStr">
        <is>
          <t>TICKER 4</t>
        </is>
      </c>
      <c r="D101" s="208" t="n"/>
      <c r="E101" s="209" t="n"/>
      <c r="F101" s="210" t="n"/>
      <c r="G101" s="97">
        <f>E101*F101</f>
        <v>0</v>
      </c>
      <c r="H101" s="210" t="n"/>
      <c r="I101" s="211" t="e">
        <f>H101/(F101*E101)</f>
        <v>#DIV/0!</v>
      </c>
      <c r="J101" s="212" t="n"/>
      <c r="K101" s="213" t="e">
        <f>D101/(1+(I101)*(1-J101))</f>
        <v>#DIV/0!</v>
      </c>
      <c r="L101" s="202" t="e">
        <f>K101*G101/$G$102</f>
        <v>#DIV/0!</v>
      </c>
      <c r="M101" s="214" t="n"/>
    </row>
    <row r="102">
      <c r="D102" s="199" t="n"/>
      <c r="E102" s="175" t="n"/>
      <c r="F102" s="131" t="n"/>
      <c r="G102" s="111" t="e">
        <f>SUM(G98:G101)</f>
        <v>#DIV/0!</v>
      </c>
      <c r="I102" s="199" t="n"/>
      <c r="J102" s="214" t="inlineStr">
        <is>
          <t>Average:</t>
        </is>
      </c>
      <c r="K102" s="215" t="e">
        <f>AVERAGE(K98:K101)</f>
        <v>#DIV/0!</v>
      </c>
      <c r="L102" s="215" t="e">
        <f>SUM(L98:L101)</f>
        <v>#DIV/0!</v>
      </c>
      <c r="M102" s="215" t="e">
        <f>L102*(1+(debt/market_equity)*(1-D87))</f>
        <v>#DIV/0!</v>
      </c>
    </row>
  </sheetData>
  <mergeCells count="1">
    <mergeCell ref="G14:V14"/>
  </mergeCells>
  <pageMargins left="0.511811024" right="0.511811024" top="0.787401575" bottom="0.787401575" header="0.31496062" footer="0.31496062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Lucas Nascimento</dc:creator>
  <dcterms:created xmlns:dcterms="http://purl.org/dc/terms/" xmlns:xsi="http://www.w3.org/2001/XMLSchema-instance" xsi:type="dcterms:W3CDTF">2025-10-26T03:14:16Z</dcterms:created>
  <dcterms:modified xmlns:dcterms="http://purl.org/dc/terms/" xmlns:xsi="http://www.w3.org/2001/XMLSchema-instance" xsi:type="dcterms:W3CDTF">2026-10-14T11:38:09Z</dcterms:modified>
  <cp:lastModifiedBy>Lucas Nascimento</cp:lastModifiedBy>
</cp:coreProperties>
</file>