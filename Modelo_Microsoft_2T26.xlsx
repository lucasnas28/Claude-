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Microsoft Corp. (MSFT, CIK 789019) - fonte: SEC EDGAR XBRL (instâncias dos 10-Q/10-K). Moeda: USD. Brutos em USD unidades (fator 0,000001 -&gt; milhões). Colunas = trimestres-CALENDÁRIO (cada fechamento vai para o fim de trimestre mais próximo); ano fiscal termina no trimestre-calendário de jun.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FQ3</t>
        </is>
      </c>
      <c r="L2" t="inlineStr">
        <is>
          <t>FQ4</t>
        </is>
      </c>
      <c r="M2" t="inlineStr">
        <is>
          <t>FQ1</t>
        </is>
      </c>
      <c r="N2" t="inlineStr">
        <is>
          <t>FQ2</t>
        </is>
      </c>
      <c r="O2" t="inlineStr">
        <is>
          <t>FQ3</t>
        </is>
      </c>
      <c r="P2" t="inlineStr">
        <is>
          <t>FQ4</t>
        </is>
      </c>
      <c r="Q2" t="inlineStr">
        <is>
          <t>FQ1</t>
        </is>
      </c>
      <c r="R2" t="inlineStr">
        <is>
          <t>FQ2</t>
        </is>
      </c>
      <c r="S2" t="inlineStr">
        <is>
          <t>FQ3</t>
        </is>
      </c>
      <c r="T2" t="inlineStr">
        <is>
          <t>FQ4</t>
        </is>
      </c>
      <c r="U2" t="inlineStr">
        <is>
          <t>FQ1</t>
        </is>
      </c>
      <c r="V2" t="inlineStr">
        <is>
          <t>FQ2</t>
        </is>
      </c>
      <c r="W2" t="inlineStr">
        <is>
          <t>FQ3</t>
        </is>
      </c>
      <c r="X2" t="inlineStr">
        <is>
          <t>FQ4</t>
        </is>
      </c>
      <c r="Y2" t="inlineStr">
        <is>
          <t>FQ1</t>
        </is>
      </c>
      <c r="Z2" t="inlineStr">
        <is>
          <t>FQ2</t>
        </is>
      </c>
      <c r="AA2" t="inlineStr">
        <is>
          <t>FQ3</t>
        </is>
      </c>
      <c r="AB2" t="inlineStr">
        <is>
          <t>FQ4</t>
        </is>
      </c>
      <c r="AC2" t="inlineStr">
        <is>
          <t>FQ1</t>
        </is>
      </c>
      <c r="AD2" t="inlineStr">
        <is>
          <t>FQ2</t>
        </is>
      </c>
      <c r="AE2" t="inlineStr">
        <is>
          <t>FQ3</t>
        </is>
      </c>
      <c r="AF2" t="inlineStr">
        <is>
          <t>FQ4</t>
        </is>
      </c>
      <c r="AG2" t="inlineStr">
        <is>
          <t>FQ1</t>
        </is>
      </c>
      <c r="AH2" t="inlineStr">
        <is>
          <t>FQ2</t>
        </is>
      </c>
      <c r="AI2" t="inlineStr">
        <is>
          <t>FQ3</t>
        </is>
      </c>
      <c r="AJ2" t="inlineStr">
        <is>
          <t>FQ4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35021000000</v>
      </c>
      <c r="L6" s="259" t="n">
        <v>38033000000</v>
      </c>
      <c r="M6" s="259" t="n">
        <v>37154000000</v>
      </c>
      <c r="N6" s="259" t="n">
        <v>43076000000</v>
      </c>
      <c r="O6" s="259" t="n">
        <v>41706000000</v>
      </c>
      <c r="P6" s="259" t="n">
        <v>46152000000</v>
      </c>
      <c r="Q6" s="259" t="n">
        <v>45317000000</v>
      </c>
      <c r="R6" s="259" t="n">
        <v>51728000000</v>
      </c>
      <c r="S6" s="259" t="n">
        <v>49360000000</v>
      </c>
      <c r="T6" s="259" t="n">
        <v>51865000000</v>
      </c>
      <c r="U6" s="259" t="n">
        <v>50122000000</v>
      </c>
      <c r="V6" s="259" t="n">
        <v>52747000000</v>
      </c>
      <c r="W6" s="259" t="n">
        <v>52857000000</v>
      </c>
      <c r="X6" s="259" t="n">
        <v>56189000000</v>
      </c>
      <c r="Y6" s="259" t="n">
        <v>56517000000</v>
      </c>
      <c r="Z6" s="259" t="n">
        <v>62020000000</v>
      </c>
      <c r="AA6" s="259" t="n">
        <v>61858000000</v>
      </c>
      <c r="AB6" s="259" t="n">
        <v>64727000000</v>
      </c>
      <c r="AC6" s="259" t="n">
        <v>65585000000</v>
      </c>
      <c r="AD6" s="259" t="n">
        <v>69632000000</v>
      </c>
      <c r="AE6" s="259" t="n">
        <v>70066000000</v>
      </c>
      <c r="AF6" s="259" t="n">
        <v>76441000000</v>
      </c>
      <c r="AG6" s="259" t="n">
        <v>77673000000</v>
      </c>
      <c r="AH6" s="259" t="n">
        <v>81273000000</v>
      </c>
      <c r="AI6" s="259" t="n">
        <v>82886000000</v>
      </c>
      <c r="AJ6" s="259" t="n">
        <v>90007000000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10975000000</v>
      </c>
      <c r="L7" s="259" t="n">
        <v>12339000000</v>
      </c>
      <c r="M7" s="259" t="n">
        <v>11002000000</v>
      </c>
      <c r="N7" s="259" t="n">
        <v>14194000000</v>
      </c>
      <c r="O7" s="259" t="n">
        <v>13045000000</v>
      </c>
      <c r="P7" s="259" t="n">
        <v>13991000000</v>
      </c>
      <c r="Q7" s="259" t="n">
        <v>13646000000</v>
      </c>
      <c r="R7" s="259" t="n">
        <v>16960000000</v>
      </c>
      <c r="S7" s="259" t="n">
        <v>15615000000</v>
      </c>
      <c r="T7" s="259" t="n">
        <v>16429000000</v>
      </c>
      <c r="U7" s="259" t="n">
        <v>15452000000</v>
      </c>
      <c r="V7" s="259" t="n">
        <v>17488000000</v>
      </c>
      <c r="W7" s="259" t="n">
        <v>16128000000</v>
      </c>
      <c r="X7" s="259" t="n">
        <v>16795000000</v>
      </c>
      <c r="Y7" s="259" t="n">
        <v>16302000000</v>
      </c>
      <c r="Z7" s="259" t="n">
        <v>19623000000</v>
      </c>
      <c r="AA7" s="259" t="n">
        <v>18505000000</v>
      </c>
      <c r="AB7" s="259" t="n">
        <v>19684000000</v>
      </c>
      <c r="AC7" s="259" t="n">
        <v>20099000000</v>
      </c>
      <c r="AD7" s="259" t="n">
        <v>21799000000</v>
      </c>
      <c r="AE7" s="259" t="n">
        <v>21919000000</v>
      </c>
      <c r="AF7" s="259" t="n">
        <v>24014000000</v>
      </c>
      <c r="AG7" s="259" t="n">
        <v>24043000000</v>
      </c>
      <c r="AH7" s="259" t="n">
        <v>25978000000</v>
      </c>
      <c r="AI7" s="259" t="n">
        <v>26828000000</v>
      </c>
      <c r="AJ7" s="259" t="n">
        <v>29525000000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12975000000</v>
      </c>
      <c r="L8" s="259" t="n">
        <v>13407000000</v>
      </c>
      <c r="M8" s="259" t="n">
        <v>15876000000</v>
      </c>
      <c r="N8" s="259" t="n">
        <v>17897000000</v>
      </c>
      <c r="O8" s="259" t="n">
        <v>17048000000</v>
      </c>
      <c r="P8" s="259" t="n">
        <v>19095000000</v>
      </c>
      <c r="Q8" s="259" t="n">
        <v>20238000000</v>
      </c>
      <c r="R8" s="259" t="n">
        <v>22247000000</v>
      </c>
      <c r="S8" s="259" t="n">
        <v>20364000000</v>
      </c>
      <c r="T8" s="259" t="n">
        <v>20534000000</v>
      </c>
      <c r="U8" s="259" t="n">
        <v>21518000000</v>
      </c>
      <c r="V8" s="259" t="n">
        <v>20399000000</v>
      </c>
      <c r="W8" s="259" t="n">
        <v>22352000000</v>
      </c>
      <c r="X8" s="259" t="n">
        <v>24254000000</v>
      </c>
      <c r="Y8" s="259" t="n">
        <v>26895000000</v>
      </c>
      <c r="Z8" s="259" t="n">
        <v>27032000000</v>
      </c>
      <c r="AA8" s="259" t="n">
        <v>27581000000</v>
      </c>
      <c r="AB8" s="259" t="n">
        <v>27925000000</v>
      </c>
      <c r="AC8" s="259" t="n">
        <v>30552000000</v>
      </c>
      <c r="AD8" s="259" t="n">
        <v>31653000000</v>
      </c>
      <c r="AE8" s="259" t="n">
        <v>32000000000</v>
      </c>
      <c r="AF8" s="259" t="n">
        <v>34323000000</v>
      </c>
      <c r="AG8" s="259" t="n">
        <v>37961000000</v>
      </c>
      <c r="AH8" s="259" t="n">
        <v>38275000000</v>
      </c>
      <c r="AI8" s="259" t="n">
        <v>38398000000</v>
      </c>
      <c r="AJ8" s="259" t="n">
        <v>40603000000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11071000000</v>
      </c>
      <c r="L9" s="259">
        <f>N(L6)-N(L7)-N(L8)</f>
        <v>12287000000</v>
      </c>
      <c r="M9" s="259">
        <f>N(M6)-N(M7)-N(M8)</f>
        <v>10276000000</v>
      </c>
      <c r="N9" s="259">
        <f>N(N6)-N(N7)-N(N8)</f>
        <v>10985000000</v>
      </c>
      <c r="O9" s="259">
        <f>N(O6)-N(O7)-N(O8)</f>
        <v>11613000000</v>
      </c>
      <c r="P9" s="259">
        <f>N(P6)-N(P7)-N(P8)</f>
        <v>13066000000</v>
      </c>
      <c r="Q9" s="259">
        <f>N(Q6)-N(Q7)-N(Q8)</f>
        <v>11433000000</v>
      </c>
      <c r="R9" s="259">
        <f>N(R6)-N(R7)-N(R8)</f>
        <v>12521000000</v>
      </c>
      <c r="S9" s="259">
        <f>N(S6)-N(S7)-N(S8)</f>
        <v>13381000000</v>
      </c>
      <c r="T9" s="259">
        <f>N(T6)-N(T7)-N(T8)</f>
        <v>14902000000</v>
      </c>
      <c r="U9" s="259">
        <f>N(U6)-N(U7)-N(U8)</f>
        <v>13152000000</v>
      </c>
      <c r="V9" s="259">
        <f>N(V6)-N(V7)-N(V8)</f>
        <v>14860000000</v>
      </c>
      <c r="W9" s="259">
        <f>N(W6)-N(W7)-N(W8)</f>
        <v>14377000000</v>
      </c>
      <c r="X9" s="259">
        <f>N(X6)-N(X7)-N(X8)</f>
        <v>15140000000</v>
      </c>
      <c r="Y9" s="259">
        <f>N(Y6)-N(Y7)-N(Y8)</f>
        <v>13320000000</v>
      </c>
      <c r="Z9" s="259">
        <f>N(Z6)-N(Z7)-N(Z8)</f>
        <v>15365000000</v>
      </c>
      <c r="AA9" s="259">
        <f>N(AA6)-N(AA7)-N(AA8)</f>
        <v>15772000000</v>
      </c>
      <c r="AB9" s="259">
        <f>N(AB6)-N(AB7)-N(AB8)</f>
        <v>17118000000</v>
      </c>
      <c r="AC9" s="259">
        <f>N(AC6)-N(AC7)-N(AC8)</f>
        <v>14934000000</v>
      </c>
      <c r="AD9" s="259">
        <f>N(AD6)-N(AD7)-N(AD8)</f>
        <v>16180000000</v>
      </c>
      <c r="AE9" s="259">
        <f>N(AE6)-N(AE7)-N(AE8)</f>
        <v>16147000000</v>
      </c>
      <c r="AF9" s="259">
        <f>N(AF6)-N(AF7)-N(AF8)</f>
        <v>18104000000</v>
      </c>
      <c r="AG9" s="259">
        <f>N(AG6)-N(AG7)-N(AG8)</f>
        <v>15669000000</v>
      </c>
      <c r="AH9" s="259">
        <f>N(AH6)-N(AH7)-N(AH8)</f>
        <v>17020000000</v>
      </c>
      <c r="AI9" s="259">
        <f>N(AI6)-N(AI7)-N(AI8)</f>
        <v>17660000000</v>
      </c>
      <c r="AJ9" s="259">
        <f>N(AJ6)-N(AJ7)-N(AJ8)</f>
        <v>19879000000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12843000000</v>
      </c>
      <c r="L10" s="259" t="n">
        <v>13422000000</v>
      </c>
      <c r="M10" s="259" t="n">
        <v>16124000000</v>
      </c>
      <c r="N10" s="259" t="n">
        <v>18337000000</v>
      </c>
      <c r="O10" s="259" t="n">
        <v>17236000000</v>
      </c>
      <c r="P10" s="259" t="n">
        <v>19405000000</v>
      </c>
      <c r="Q10" s="259" t="n">
        <v>20524000000</v>
      </c>
      <c r="R10" s="259" t="n">
        <v>22515000000</v>
      </c>
      <c r="S10" s="259" t="n">
        <v>20190000000</v>
      </c>
      <c r="T10" s="259" t="n">
        <v>20487000000</v>
      </c>
      <c r="U10" s="259" t="n">
        <v>21572000000</v>
      </c>
      <c r="V10" s="259" t="n">
        <v>20339000000</v>
      </c>
      <c r="W10" s="259" t="n">
        <v>22673000000</v>
      </c>
      <c r="X10" s="259" t="n">
        <v>24727000000</v>
      </c>
      <c r="Y10" s="259" t="n">
        <v>27284000000</v>
      </c>
      <c r="Z10" s="259" t="n">
        <v>26526000000</v>
      </c>
      <c r="AA10" s="259" t="n">
        <v>26727000000</v>
      </c>
      <c r="AB10" s="259" t="n">
        <v>27250000000</v>
      </c>
      <c r="AC10" s="259" t="n">
        <v>30269000000</v>
      </c>
      <c r="AD10" s="259" t="n">
        <v>29365000000</v>
      </c>
      <c r="AE10" s="259" t="n">
        <v>31377000000</v>
      </c>
      <c r="AF10" s="259" t="n">
        <v>32616000000</v>
      </c>
      <c r="AG10" s="259" t="n">
        <v>34301000000</v>
      </c>
      <c r="AH10" s="259" t="n">
        <v>48246000000</v>
      </c>
      <c r="AI10" s="259" t="n">
        <v>39340000000</v>
      </c>
      <c r="AJ10" s="259" t="n">
        <v>44047000000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-132000000</v>
      </c>
      <c r="L11" s="259">
        <f>N(L10)-N(L8)</f>
        <v>15000000</v>
      </c>
      <c r="M11" s="259">
        <f>N(M10)-N(M8)</f>
        <v>248000000</v>
      </c>
      <c r="N11" s="259">
        <f>N(N10)-N(N8)</f>
        <v>440000000</v>
      </c>
      <c r="O11" s="259">
        <f>N(O10)-N(O8)</f>
        <v>188000000</v>
      </c>
      <c r="P11" s="259">
        <f>N(P10)-N(P8)</f>
        <v>310000000</v>
      </c>
      <c r="Q11" s="259">
        <f>N(Q10)-N(Q8)</f>
        <v>286000000</v>
      </c>
      <c r="R11" s="259">
        <f>N(R10)-N(R8)</f>
        <v>268000000</v>
      </c>
      <c r="S11" s="259">
        <f>N(S10)-N(S8)</f>
        <v>-174000000</v>
      </c>
      <c r="T11" s="259">
        <f>N(T10)-N(T8)</f>
        <v>-47000000</v>
      </c>
      <c r="U11" s="259">
        <f>N(U10)-N(U8)</f>
        <v>54000000</v>
      </c>
      <c r="V11" s="259">
        <f>N(V10)-N(V8)</f>
        <v>-60000000</v>
      </c>
      <c r="W11" s="259">
        <f>N(W10)-N(W8)</f>
        <v>321000000</v>
      </c>
      <c r="X11" s="259">
        <f>N(X10)-N(X8)</f>
        <v>473000000</v>
      </c>
      <c r="Y11" s="259">
        <f>N(Y10)-N(Y8)</f>
        <v>389000000</v>
      </c>
      <c r="Z11" s="259">
        <f>N(Z10)-N(Z8)</f>
        <v>-506000000</v>
      </c>
      <c r="AA11" s="259">
        <f>N(AA10)-N(AA8)</f>
        <v>-854000000</v>
      </c>
      <c r="AB11" s="259">
        <f>N(AB10)-N(AB8)</f>
        <v>-675000000</v>
      </c>
      <c r="AC11" s="259">
        <f>N(AC10)-N(AC8)</f>
        <v>-283000000</v>
      </c>
      <c r="AD11" s="259">
        <f>N(AD10)-N(AD8)</f>
        <v>-2288000000</v>
      </c>
      <c r="AE11" s="259">
        <f>N(AE10)-N(AE8)</f>
        <v>-623000000</v>
      </c>
      <c r="AF11" s="259">
        <f>N(AF10)-N(AF8)</f>
        <v>-1707000000</v>
      </c>
      <c r="AG11" s="259">
        <f>N(AG10)-N(AG8)</f>
        <v>-3660000000</v>
      </c>
      <c r="AH11" s="259">
        <f>N(AH10)-N(AH8)</f>
        <v>9971000000</v>
      </c>
      <c r="AI11" s="259">
        <f>N(AI10)-N(AI8)</f>
        <v>942000000</v>
      </c>
      <c r="AJ11" s="259">
        <f>N(AJ10)-N(AJ8)</f>
        <v>3444000000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614000000</v>
      </c>
      <c r="L12" s="259" t="n">
        <v>686000000</v>
      </c>
      <c r="M12" s="259" t="n">
        <v>589000000</v>
      </c>
      <c r="N12" s="259" t="n">
        <v>571000000</v>
      </c>
      <c r="O12" s="259" t="n">
        <v>633000000</v>
      </c>
      <c r="P12" s="259" t="n">
        <v>553000000</v>
      </c>
      <c r="Q12" s="259" t="n">
        <v>539000000</v>
      </c>
      <c r="R12" s="259" t="n">
        <v>525000000</v>
      </c>
      <c r="S12" s="259" t="n">
        <v>503000000</v>
      </c>
      <c r="T12" s="259" t="n">
        <v>496000000</v>
      </c>
      <c r="U12" s="259" t="n">
        <v>500000000</v>
      </c>
      <c r="V12" s="259" t="n">
        <v>490000000</v>
      </c>
      <c r="W12" s="259" t="n">
        <v>496000000</v>
      </c>
      <c r="X12" s="259" t="n">
        <v>482000000</v>
      </c>
      <c r="Y12" s="259" t="n">
        <v>525000000</v>
      </c>
      <c r="Z12" s="259" t="n">
        <v>909000000</v>
      </c>
      <c r="AA12" s="259" t="n">
        <v>800000000</v>
      </c>
      <c r="AB12" s="259" t="n">
        <v>701000000</v>
      </c>
      <c r="AC12" s="259" t="n">
        <v>582000000</v>
      </c>
      <c r="AD12" s="259" t="n">
        <v>594000000</v>
      </c>
      <c r="AE12" s="259" t="n">
        <v>594000000</v>
      </c>
      <c r="AF12" s="259" t="n">
        <v>615000000</v>
      </c>
      <c r="AG12" s="259" t="n">
        <v>698000000</v>
      </c>
      <c r="AH12" s="259" t="n">
        <v>736000000</v>
      </c>
      <c r="AI12" s="259" t="n">
        <v>778000000</v>
      </c>
      <c r="AJ12" s="259" t="n">
        <v>839000000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2091000000</v>
      </c>
      <c r="L13" s="259" t="n">
        <v>2220000000</v>
      </c>
      <c r="M13" s="259" t="n">
        <v>2231000000</v>
      </c>
      <c r="N13" s="259" t="n">
        <v>2874000000</v>
      </c>
      <c r="O13" s="259" t="n">
        <v>1779000000</v>
      </c>
      <c r="P13" s="259" t="n">
        <v>2947000000</v>
      </c>
      <c r="Q13" s="259" t="n">
        <v>19000000</v>
      </c>
      <c r="R13" s="259" t="n">
        <v>3750000000</v>
      </c>
      <c r="S13" s="259" t="n">
        <v>3462000000</v>
      </c>
      <c r="T13" s="259" t="n">
        <v>3747000000</v>
      </c>
      <c r="U13" s="259" t="n">
        <v>4016000000</v>
      </c>
      <c r="V13" s="259" t="n">
        <v>3914000000</v>
      </c>
      <c r="W13" s="259" t="n">
        <v>4374000000</v>
      </c>
      <c r="X13" s="259" t="n">
        <v>4646000000</v>
      </c>
      <c r="Y13" s="259" t="n">
        <v>4993000000</v>
      </c>
      <c r="Z13" s="259" t="n">
        <v>4656000000</v>
      </c>
      <c r="AA13" s="259" t="n">
        <v>4788000000</v>
      </c>
      <c r="AB13" s="259" t="n">
        <v>5214000000</v>
      </c>
      <c r="AC13" s="259" t="n">
        <v>5602000000</v>
      </c>
      <c r="AD13" s="259" t="n">
        <v>5257000000</v>
      </c>
      <c r="AE13" s="259" t="n">
        <v>5553000000</v>
      </c>
      <c r="AF13" s="259" t="n">
        <v>5383000000</v>
      </c>
      <c r="AG13" s="259" t="n">
        <v>6554000000</v>
      </c>
      <c r="AH13" s="259" t="n">
        <v>9788000000</v>
      </c>
      <c r="AI13" s="259" t="n">
        <v>7562000000</v>
      </c>
      <c r="AJ13" s="259" t="n">
        <v>8281000000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10752000000</v>
      </c>
      <c r="L14" s="259" t="n">
        <v>11202000000</v>
      </c>
      <c r="M14" s="259" t="n">
        <v>13893000000</v>
      </c>
      <c r="N14" s="259" t="n">
        <v>15463000000</v>
      </c>
      <c r="O14" s="259" t="n">
        <v>15457000000</v>
      </c>
      <c r="P14" s="259" t="n">
        <v>16458000000</v>
      </c>
      <c r="Q14" s="259" t="n">
        <v>20505000000</v>
      </c>
      <c r="R14" s="259" t="n">
        <v>18765000000</v>
      </c>
      <c r="S14" s="259" t="n">
        <v>16728000000</v>
      </c>
      <c r="T14" s="259" t="n">
        <v>16740000000</v>
      </c>
      <c r="U14" s="259" t="n">
        <v>17556000000</v>
      </c>
      <c r="V14" s="259" t="n">
        <v>16425000000</v>
      </c>
      <c r="W14" s="259" t="n">
        <v>18299000000</v>
      </c>
      <c r="X14" s="259" t="n">
        <v>20081000000</v>
      </c>
      <c r="Y14" s="259" t="n">
        <v>22291000000</v>
      </c>
      <c r="Z14" s="259" t="n">
        <v>21870000000</v>
      </c>
      <c r="AA14" s="259" t="n">
        <v>21939000000</v>
      </c>
      <c r="AB14" s="259" t="n">
        <v>22036000000</v>
      </c>
      <c r="AC14" s="259" t="n">
        <v>24667000000</v>
      </c>
      <c r="AD14" s="259" t="n">
        <v>24108000000</v>
      </c>
      <c r="AE14" s="259" t="n">
        <v>25824000000</v>
      </c>
      <c r="AF14" s="259" t="n">
        <v>27233000000</v>
      </c>
      <c r="AG14" s="259" t="n">
        <v>27747000000</v>
      </c>
      <c r="AH14" s="259" t="n">
        <v>38458000000</v>
      </c>
      <c r="AI14" s="259" t="n">
        <v>31778000000</v>
      </c>
      <c r="AJ14" s="259" t="n">
        <v>35766000000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10752000000</v>
      </c>
      <c r="L16" s="259">
        <f>N(L14)</f>
        <v>11202000000</v>
      </c>
      <c r="M16" s="259">
        <f>N(M14)</f>
        <v>13893000000</v>
      </c>
      <c r="N16" s="259">
        <f>N(N14)</f>
        <v>15463000000</v>
      </c>
      <c r="O16" s="259">
        <f>N(O14)</f>
        <v>15457000000</v>
      </c>
      <c r="P16" s="259">
        <f>N(P14)</f>
        <v>16458000000</v>
      </c>
      <c r="Q16" s="259">
        <f>N(Q14)</f>
        <v>20505000000</v>
      </c>
      <c r="R16" s="259">
        <f>N(R14)</f>
        <v>18765000000</v>
      </c>
      <c r="S16" s="259">
        <f>N(S14)</f>
        <v>16728000000</v>
      </c>
      <c r="T16" s="259">
        <f>N(T14)</f>
        <v>16740000000</v>
      </c>
      <c r="U16" s="259">
        <f>N(U14)</f>
        <v>17556000000</v>
      </c>
      <c r="V16" s="259">
        <f>N(V14)</f>
        <v>16425000000</v>
      </c>
      <c r="W16" s="259">
        <f>N(W14)</f>
        <v>18299000000</v>
      </c>
      <c r="X16" s="259">
        <f>N(X14)</f>
        <v>20081000000</v>
      </c>
      <c r="Y16" s="259">
        <f>N(Y14)</f>
        <v>22291000000</v>
      </c>
      <c r="Z16" s="259">
        <f>N(Z14)</f>
        <v>21870000000</v>
      </c>
      <c r="AA16" s="259">
        <f>N(AA14)</f>
        <v>21939000000</v>
      </c>
      <c r="AB16" s="259">
        <f>N(AB14)</f>
        <v>22036000000</v>
      </c>
      <c r="AC16" s="259">
        <f>N(AC14)</f>
        <v>24667000000</v>
      </c>
      <c r="AD16" s="259">
        <f>N(AD14)</f>
        <v>24108000000</v>
      </c>
      <c r="AE16" s="259">
        <f>N(AE14)</f>
        <v>25824000000</v>
      </c>
      <c r="AF16" s="259">
        <f>N(AF14)</f>
        <v>27233000000</v>
      </c>
      <c r="AG16" s="259">
        <f>N(AG14)</f>
        <v>27747000000</v>
      </c>
      <c r="AH16" s="259">
        <f>N(AH14)</f>
        <v>38458000000</v>
      </c>
      <c r="AI16" s="259">
        <f>N(AI14)</f>
        <v>31778000000</v>
      </c>
      <c r="AJ16" s="259">
        <f>N(AJ14)</f>
        <v>35766000000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[us-gaap:DepreciationDepletionAndAmortization/DepreciationAmortizationAndAccretionNet]</t>
        </is>
      </c>
      <c r="J18" t="inlineStr">
        <is>
          <t>fonte</t>
        </is>
      </c>
      <c r="K18" s="259" t="n">
        <v>3118000000</v>
      </c>
      <c r="L18" s="259" t="n">
        <v>3504000000</v>
      </c>
      <c r="M18" s="259" t="n">
        <v>2645000000</v>
      </c>
      <c r="N18" s="259" t="n">
        <v>2761000000</v>
      </c>
      <c r="O18" s="259" t="n">
        <v>2936000000</v>
      </c>
      <c r="P18" s="259" t="n">
        <v>3344000000</v>
      </c>
      <c r="Q18" s="259" t="n">
        <v>3212000000</v>
      </c>
      <c r="R18" s="259" t="n">
        <v>3496000000</v>
      </c>
      <c r="S18" s="259" t="n">
        <v>3773000000</v>
      </c>
      <c r="T18" s="259" t="n">
        <v>3979000000</v>
      </c>
      <c r="U18" s="259" t="n">
        <v>2790000000</v>
      </c>
      <c r="V18" s="259" t="n">
        <v>3648000000</v>
      </c>
      <c r="W18" s="259" t="n">
        <v>3549000000</v>
      </c>
      <c r="X18" s="259" t="n">
        <v>3874000000</v>
      </c>
      <c r="Y18" s="259" t="n">
        <v>3921000000</v>
      </c>
      <c r="Z18" s="259" t="n">
        <v>5959000000</v>
      </c>
      <c r="AA18" s="259" t="n">
        <v>6027000000</v>
      </c>
      <c r="AB18" s="259" t="n">
        <v>6380000000</v>
      </c>
      <c r="AC18" s="259" t="n">
        <v>7383000000</v>
      </c>
      <c r="AD18" s="259" t="n">
        <v>6827000000</v>
      </c>
      <c r="AE18" s="259" t="n">
        <v>8740000000</v>
      </c>
      <c r="AF18" s="259" t="n">
        <v>11203000000</v>
      </c>
      <c r="AG18" s="259" t="n">
        <v>13061000000</v>
      </c>
      <c r="AH18" s="259" t="n">
        <v>9198000000</v>
      </c>
      <c r="AI18" s="259" t="n">
        <v>10167000000</v>
      </c>
      <c r="AJ18" s="259" t="n">
        <v>11022000000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3876000000</v>
      </c>
      <c r="L19" s="259" t="n">
        <v>3865000000</v>
      </c>
      <c r="M19" s="259" t="n">
        <v>3856000000</v>
      </c>
      <c r="N19" s="259" t="n">
        <v>4230000000</v>
      </c>
      <c r="O19" s="259" t="n">
        <v>4221000000</v>
      </c>
      <c r="P19" s="259" t="n">
        <v>4214000000</v>
      </c>
      <c r="Q19" s="259" t="n">
        <v>4206000000</v>
      </c>
      <c r="R19" s="259" t="n">
        <v>4652000000</v>
      </c>
      <c r="S19" s="259" t="n">
        <v>4645000000</v>
      </c>
      <c r="T19" s="259" t="n">
        <v>4632000000</v>
      </c>
      <c r="U19" s="259" t="n">
        <v>4621000000</v>
      </c>
      <c r="V19" s="259" t="n">
        <v>5066000000</v>
      </c>
      <c r="W19" s="259" t="n">
        <v>5059000000</v>
      </c>
      <c r="X19" s="259" t="n">
        <v>5054000000</v>
      </c>
      <c r="Y19" s="259" t="n">
        <v>5051000000</v>
      </c>
      <c r="Z19" s="259" t="n">
        <v>5574000000</v>
      </c>
      <c r="AA19" s="259" t="n">
        <v>5572000000</v>
      </c>
      <c r="AB19" s="259" t="n">
        <v>5574000000</v>
      </c>
      <c r="AC19" s="259" t="n">
        <v>5574000000</v>
      </c>
      <c r="AD19" s="259" t="n">
        <v>6170000000</v>
      </c>
      <c r="AE19" s="259" t="n">
        <v>6169000000</v>
      </c>
      <c r="AF19" s="259" t="n">
        <v>6169000000</v>
      </c>
      <c r="AG19" s="259" t="n">
        <v>6169000000</v>
      </c>
      <c r="AH19" s="259" t="n">
        <v>6762000000</v>
      </c>
      <c r="AI19" s="259" t="n">
        <v>6756000000</v>
      </c>
      <c r="AJ19" s="259" t="n">
        <v>6758000000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11710000000</v>
      </c>
      <c r="L21" s="259" t="n">
        <v>13576000000</v>
      </c>
      <c r="M21" s="259" t="n">
        <v>17205000000</v>
      </c>
      <c r="N21" s="259" t="n">
        <v>14432000000</v>
      </c>
      <c r="O21" s="259" t="n">
        <v>13702000000</v>
      </c>
      <c r="P21" s="259" t="n">
        <v>14224000000</v>
      </c>
      <c r="Q21" s="259" t="n">
        <v>19165000000</v>
      </c>
      <c r="R21" s="259" t="n">
        <v>20604000000</v>
      </c>
      <c r="S21" s="259" t="n">
        <v>12498000000</v>
      </c>
      <c r="T21" s="259" t="n">
        <v>13931000000</v>
      </c>
      <c r="U21" s="259" t="n">
        <v>22884000000</v>
      </c>
      <c r="V21" s="259" t="n">
        <v>15646000000</v>
      </c>
      <c r="W21" s="259" t="n">
        <v>26562000000</v>
      </c>
      <c r="X21" s="259" t="n">
        <v>34704000000</v>
      </c>
      <c r="Y21" s="259" t="n">
        <v>80452000000</v>
      </c>
      <c r="Z21" s="259" t="n">
        <v>17305000000</v>
      </c>
      <c r="AA21" s="259" t="n">
        <v>19634000000</v>
      </c>
      <c r="AB21" s="259" t="n">
        <v>18315000000</v>
      </c>
      <c r="AC21" s="259" t="n">
        <v>20840000000</v>
      </c>
      <c r="AD21" s="259" t="n">
        <v>17482000000</v>
      </c>
      <c r="AE21" s="259" t="n">
        <v>28828000000</v>
      </c>
      <c r="AF21" s="259" t="n">
        <v>30242000000</v>
      </c>
      <c r="AG21" s="259" t="n">
        <v>28849000000</v>
      </c>
      <c r="AH21" s="259" t="n">
        <v>24296000000</v>
      </c>
      <c r="AI21" s="259" t="n">
        <v>32105000000</v>
      </c>
      <c r="AJ21" s="259" t="n">
        <v>20935000000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ShortTermInvestments</t>
        </is>
      </c>
      <c r="J22" t="inlineStr">
        <is>
          <t>fonte</t>
        </is>
      </c>
      <c r="K22" s="259" t="n">
        <v>125916000000</v>
      </c>
      <c r="L22" s="259" t="n">
        <v>122951000000</v>
      </c>
      <c r="M22" s="259" t="n">
        <v>120772000000</v>
      </c>
      <c r="N22" s="259" t="n">
        <v>117536000000</v>
      </c>
      <c r="O22" s="259" t="n">
        <v>111705000000</v>
      </c>
      <c r="P22" s="259" t="n">
        <v>116110000000</v>
      </c>
      <c r="Q22" s="259" t="n">
        <v>111450000000</v>
      </c>
      <c r="R22" s="259" t="n">
        <v>104765000000</v>
      </c>
      <c r="S22" s="259" t="n">
        <v>92195000000</v>
      </c>
      <c r="T22" s="259" t="n">
        <v>90826000000</v>
      </c>
      <c r="U22" s="259" t="n">
        <v>84378000000</v>
      </c>
      <c r="V22" s="259" t="n">
        <v>83862000000</v>
      </c>
      <c r="W22" s="259" t="n">
        <v>77865000000</v>
      </c>
      <c r="X22" s="259" t="n">
        <v>76558000000</v>
      </c>
      <c r="Y22" s="259" t="n">
        <v>63499000000</v>
      </c>
      <c r="Z22" s="259" t="n">
        <v>63712000000</v>
      </c>
      <c r="AA22" s="259" t="n">
        <v>60387000000</v>
      </c>
      <c r="AB22" s="259" t="n">
        <v>57228000000</v>
      </c>
      <c r="AC22" s="259" t="n">
        <v>57588000000</v>
      </c>
      <c r="AD22" s="259" t="n">
        <v>54073000000</v>
      </c>
      <c r="AE22" s="259" t="n">
        <v>50790000000</v>
      </c>
      <c r="AF22" s="259" t="n">
        <v>64323000000</v>
      </c>
      <c r="AG22" s="259" t="n">
        <v>73163000000</v>
      </c>
      <c r="AH22" s="259" t="n">
        <v>65166000000</v>
      </c>
      <c r="AI22" s="259" t="n">
        <v>46167000000</v>
      </c>
      <c r="AJ22" s="259" t="n">
        <v>55908000000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22699000000</v>
      </c>
      <c r="L23" s="259" t="n">
        <v>32011000000</v>
      </c>
      <c r="M23" s="259" t="n">
        <v>22851000000</v>
      </c>
      <c r="N23" s="259" t="n">
        <v>27312000000</v>
      </c>
      <c r="O23" s="259" t="n">
        <v>26322000000</v>
      </c>
      <c r="P23" s="259" t="n">
        <v>38043000000</v>
      </c>
      <c r="Q23" s="259" t="n">
        <v>27349000000</v>
      </c>
      <c r="R23" s="259" t="n">
        <v>33520000000</v>
      </c>
      <c r="S23" s="259" t="n">
        <v>32613000000</v>
      </c>
      <c r="T23" s="259" t="n">
        <v>44261000000</v>
      </c>
      <c r="U23" s="259" t="n">
        <v>31279000000</v>
      </c>
      <c r="V23" s="259" t="n">
        <v>35833000000</v>
      </c>
      <c r="W23" s="259" t="n">
        <v>37420000000</v>
      </c>
      <c r="X23" s="259" t="n">
        <v>48688000000</v>
      </c>
      <c r="Y23" s="259" t="n">
        <v>36953000000</v>
      </c>
      <c r="Z23" s="259" t="n">
        <v>42831000000</v>
      </c>
      <c r="AA23" s="259" t="n">
        <v>44029000000</v>
      </c>
      <c r="AB23" s="259" t="n">
        <v>56924000000</v>
      </c>
      <c r="AC23" s="259" t="n">
        <v>44148000000</v>
      </c>
      <c r="AD23" s="259" t="n">
        <v>48188000000</v>
      </c>
      <c r="AE23" s="259" t="n">
        <v>51700000000</v>
      </c>
      <c r="AF23" s="259" t="n">
        <v>69905000000</v>
      </c>
      <c r="AG23" s="259" t="n">
        <v>52894000000</v>
      </c>
      <c r="AH23" s="259" t="n">
        <v>56535000000</v>
      </c>
      <c r="AI23" s="259" t="n">
        <v>60041000000</v>
      </c>
      <c r="AJ23" s="259" t="n">
        <v>80876000000</v>
      </c>
    </row>
    <row r="24">
      <c r="A24" t="n">
        <v>13</v>
      </c>
      <c r="B24" t="n">
        <v>1</v>
      </c>
      <c r="G24" t="inlineStr">
        <is>
          <t>moeda</t>
        </is>
      </c>
      <c r="H24" t="inlineStr">
        <is>
          <t>InventoryNet</t>
        </is>
      </c>
      <c r="J24" t="inlineStr">
        <is>
          <t>fonte</t>
        </is>
      </c>
      <c r="K24" s="259" t="n">
        <v>1644000000</v>
      </c>
      <c r="L24" s="259" t="n">
        <v>1895000000</v>
      </c>
      <c r="M24" s="259" t="n">
        <v>2705000000</v>
      </c>
      <c r="N24" s="259" t="n">
        <v>1924000000</v>
      </c>
      <c r="O24" s="259" t="n">
        <v>2245000000</v>
      </c>
      <c r="P24" s="259" t="n">
        <v>2636000000</v>
      </c>
      <c r="Q24" s="259" t="n">
        <v>3411000000</v>
      </c>
      <c r="R24" s="259" t="n">
        <v>3019000000</v>
      </c>
      <c r="S24" s="259" t="n">
        <v>3296000000</v>
      </c>
      <c r="T24" s="259" t="n">
        <v>3742000000</v>
      </c>
      <c r="U24" s="259" t="n">
        <v>4268000000</v>
      </c>
      <c r="V24" s="259" t="n">
        <v>2980000000</v>
      </c>
      <c r="W24" s="259" t="n">
        <v>2877000000</v>
      </c>
      <c r="X24" s="259" t="n">
        <v>2500000000</v>
      </c>
      <c r="Y24" s="259" t="n">
        <v>3000000000</v>
      </c>
      <c r="Z24" s="259" t="n">
        <v>1615000000</v>
      </c>
      <c r="AA24" s="259" t="n">
        <v>1304000000</v>
      </c>
      <c r="AB24" s="259" t="n">
        <v>1246000000</v>
      </c>
      <c r="AC24" s="259" t="n">
        <v>1626000000</v>
      </c>
      <c r="AD24" s="259" t="n">
        <v>909000000</v>
      </c>
      <c r="AE24" s="259" t="n">
        <v>848000000</v>
      </c>
      <c r="AF24" s="259" t="n">
        <v>938000000</v>
      </c>
      <c r="AG24" s="259" t="n">
        <v>1130000000</v>
      </c>
      <c r="AH24" s="259" t="n">
        <v>1059000000</v>
      </c>
      <c r="AI24" s="259" t="n">
        <v>1219000000</v>
      </c>
      <c r="AJ24" s="259" t="n">
        <v>1397000000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OtherAssetsCurrent</t>
        </is>
      </c>
      <c r="J25" t="inlineStr">
        <is>
          <t>fonte</t>
        </is>
      </c>
      <c r="K25" s="259" t="n">
        <v>8536000000</v>
      </c>
      <c r="L25" s="259" t="n">
        <v>11482000000</v>
      </c>
      <c r="M25" s="259" t="n">
        <v>13544000000</v>
      </c>
      <c r="N25" s="259" t="n">
        <v>12769000000</v>
      </c>
      <c r="O25" s="259" t="n">
        <v>11640000000</v>
      </c>
      <c r="P25" s="259" t="n">
        <v>13393000000</v>
      </c>
      <c r="Q25" s="259" t="n">
        <v>12951000000</v>
      </c>
      <c r="R25" s="259" t="n">
        <v>12280000000</v>
      </c>
      <c r="S25" s="259" t="n">
        <v>13320000000</v>
      </c>
      <c r="T25" s="259" t="n">
        <v>16924000000</v>
      </c>
      <c r="U25" s="259" t="n">
        <v>18003000000</v>
      </c>
      <c r="V25" s="259" t="n">
        <v>19502000000</v>
      </c>
      <c r="W25" s="259" t="n">
        <v>19165000000</v>
      </c>
      <c r="X25" s="259" t="n">
        <v>21807000000</v>
      </c>
      <c r="Y25" s="259" t="n">
        <v>23682000000</v>
      </c>
      <c r="Z25" s="259" t="n">
        <v>21930000000</v>
      </c>
      <c r="AA25" s="259" t="n">
        <v>21826000000</v>
      </c>
      <c r="AB25" s="259" t="n">
        <v>26021000000</v>
      </c>
      <c r="AC25" s="259" t="n">
        <v>25724000000</v>
      </c>
      <c r="AD25" s="259" t="n">
        <v>26428000000</v>
      </c>
      <c r="AE25" s="259" t="n">
        <v>24478000000</v>
      </c>
      <c r="AF25" s="259" t="n">
        <v>25723000000</v>
      </c>
      <c r="AG25" s="259" t="n">
        <v>33030000000</v>
      </c>
      <c r="AH25" s="259" t="n">
        <v>33134000000</v>
      </c>
      <c r="AI25" s="259" t="n">
        <v>35797000000</v>
      </c>
      <c r="AJ25" s="259" t="n">
        <v>48594000000</v>
      </c>
    </row>
    <row r="26">
      <c r="A26" t="n">
        <v>18</v>
      </c>
      <c r="B26" t="n">
        <v>1</v>
      </c>
      <c r="G26" t="inlineStr">
        <is>
          <t>moeda</t>
        </is>
      </c>
      <c r="H26" t="inlineStr">
        <is>
          <t>PropertyPlantAndEquipmentNet</t>
        </is>
      </c>
      <c r="J26" t="inlineStr">
        <is>
          <t>fonte</t>
        </is>
      </c>
      <c r="K26" s="259" t="n">
        <v>41221000000</v>
      </c>
      <c r="L26" s="259" t="n">
        <v>44151000000</v>
      </c>
      <c r="M26" s="259" t="n">
        <v>47927000000</v>
      </c>
      <c r="N26" s="259" t="n">
        <v>51737000000</v>
      </c>
      <c r="O26" s="259" t="n">
        <v>54945000000</v>
      </c>
      <c r="P26" s="259" t="n">
        <v>59715000000</v>
      </c>
      <c r="Q26" s="259" t="n">
        <v>63772000000</v>
      </c>
      <c r="R26" s="259" t="n">
        <v>67214000000</v>
      </c>
      <c r="S26" s="259" t="n">
        <v>70298000000</v>
      </c>
      <c r="T26" s="259" t="n">
        <v>74398000000</v>
      </c>
      <c r="U26" s="259" t="n">
        <v>77037000000</v>
      </c>
      <c r="V26" s="259" t="n">
        <v>82755000000</v>
      </c>
      <c r="W26" s="259" t="n">
        <v>88132000000</v>
      </c>
      <c r="X26" s="259" t="n">
        <v>95641000000</v>
      </c>
      <c r="Y26" s="259" t="n">
        <v>102502000000</v>
      </c>
      <c r="Z26" s="259" t="n">
        <v>112308000000</v>
      </c>
      <c r="AA26" s="259" t="n">
        <v>121375000000</v>
      </c>
      <c r="AB26" s="259" t="n">
        <v>135591000000</v>
      </c>
      <c r="AC26" s="259" t="n">
        <v>152863000000</v>
      </c>
      <c r="AD26" s="259" t="n">
        <v>166902000000</v>
      </c>
      <c r="AE26" s="259" t="n">
        <v>183939000000</v>
      </c>
      <c r="AF26" s="259" t="n">
        <v>204966000000</v>
      </c>
      <c r="AG26" s="259" t="n">
        <v>230861000000</v>
      </c>
      <c r="AH26" s="259" t="n">
        <v>261126000000</v>
      </c>
      <c r="AI26" s="259" t="n">
        <v>283228000000</v>
      </c>
      <c r="AJ26" s="259" t="n">
        <v>313076000000</v>
      </c>
    </row>
    <row r="27">
      <c r="A27" t="n">
        <v>19</v>
      </c>
      <c r="B27" t="n">
        <v>1</v>
      </c>
      <c r="G27" t="inlineStr">
        <is>
          <t>moeda</t>
        </is>
      </c>
      <c r="H27" t="inlineStr">
        <is>
          <t>OperatingLeaseRightOfUseAsset</t>
        </is>
      </c>
      <c r="J27" t="inlineStr">
        <is>
          <t>fonte</t>
        </is>
      </c>
      <c r="K27" s="259" t="n">
        <v>8448000000</v>
      </c>
      <c r="L27" s="259" t="n">
        <v>8753000000</v>
      </c>
      <c r="M27" s="259" t="n">
        <v>9047000000</v>
      </c>
      <c r="N27" s="259" t="n">
        <v>10298000000</v>
      </c>
      <c r="O27" s="259" t="n">
        <v>10673000000</v>
      </c>
      <c r="P27" s="259" t="n">
        <v>11088000000</v>
      </c>
      <c r="Q27" s="259" t="n">
        <v>11575000000</v>
      </c>
      <c r="R27" s="259" t="n">
        <v>12354000000</v>
      </c>
      <c r="S27" s="259" t="n">
        <v>12916000000</v>
      </c>
      <c r="T27" s="259" t="n">
        <v>13148000000</v>
      </c>
      <c r="U27" s="259" t="n">
        <v>13347000000</v>
      </c>
      <c r="V27" s="259" t="n">
        <v>13624000000</v>
      </c>
      <c r="W27" s="259" t="n">
        <v>13879000000</v>
      </c>
      <c r="X27" s="259" t="n">
        <v>14346000000</v>
      </c>
      <c r="Y27" s="259" t="n">
        <v>15435000000</v>
      </c>
      <c r="Z27" s="259" t="n">
        <v>16398000000</v>
      </c>
      <c r="AA27" s="259" t="n">
        <v>17371000000</v>
      </c>
      <c r="AB27" s="259" t="n">
        <v>18961000000</v>
      </c>
      <c r="AC27" s="259" t="n">
        <v>20528000000</v>
      </c>
      <c r="AD27" s="259" t="n">
        <v>22816000000</v>
      </c>
      <c r="AE27" s="259" t="n">
        <v>24475000000</v>
      </c>
      <c r="AF27" s="259" t="n">
        <v>24823000000</v>
      </c>
      <c r="AG27" s="259" t="n">
        <v>24791000000</v>
      </c>
      <c r="AH27" s="259" t="n">
        <v>25103000000</v>
      </c>
      <c r="AI27" s="259" t="n">
        <v>24403000000</v>
      </c>
      <c r="AJ27" s="259" t="n">
        <v>24177000000</v>
      </c>
    </row>
    <row r="28">
      <c r="A28" t="n">
        <v>20</v>
      </c>
      <c r="B28" t="n">
        <v>1</v>
      </c>
      <c r="G28" t="inlineStr">
        <is>
          <t>moeda</t>
        </is>
      </c>
      <c r="H28" t="inlineStr">
        <is>
          <t>Goodwill</t>
        </is>
      </c>
      <c r="J28" t="inlineStr">
        <is>
          <t>fonte</t>
        </is>
      </c>
      <c r="K28" s="259" t="n">
        <v>42064000000</v>
      </c>
      <c r="L28" s="259" t="n">
        <v>43351000000</v>
      </c>
      <c r="M28" s="259" t="n">
        <v>43890000000</v>
      </c>
      <c r="N28" s="259" t="n">
        <v>44219000000</v>
      </c>
      <c r="O28" s="259" t="n">
        <v>49698000000</v>
      </c>
      <c r="P28" s="259" t="n">
        <v>49711000000</v>
      </c>
      <c r="Q28" s="259" t="n">
        <v>50455000000</v>
      </c>
      <c r="R28" s="259" t="n">
        <v>50921000000</v>
      </c>
      <c r="S28" s="259" t="n">
        <v>67371000000</v>
      </c>
      <c r="T28" s="259" t="n">
        <v>67524000000</v>
      </c>
      <c r="U28" s="259" t="n">
        <v>67459000000</v>
      </c>
      <c r="V28" s="259" t="n">
        <v>67905000000</v>
      </c>
      <c r="W28" s="259" t="n">
        <v>67940000000</v>
      </c>
      <c r="X28" s="259" t="n">
        <v>67886000000</v>
      </c>
      <c r="Y28" s="259" t="n">
        <v>67790000000</v>
      </c>
      <c r="Z28" s="259" t="n">
        <v>118931000000</v>
      </c>
      <c r="AA28" s="259" t="n">
        <v>119163000000</v>
      </c>
      <c r="AB28" s="259" t="n">
        <v>119220000000</v>
      </c>
      <c r="AC28" s="259" t="n">
        <v>119374000000</v>
      </c>
      <c r="AD28" s="259" t="n">
        <v>119191000000</v>
      </c>
      <c r="AE28" s="259" t="n">
        <v>119329000000</v>
      </c>
      <c r="AF28" s="259" t="n">
        <v>119509000000</v>
      </c>
      <c r="AG28" s="259" t="n">
        <v>119497000000</v>
      </c>
      <c r="AH28" s="259" t="n">
        <v>119622000000</v>
      </c>
      <c r="AI28" s="259" t="n">
        <v>119661000000</v>
      </c>
      <c r="AJ28" s="259" t="n">
        <v>119651000000</v>
      </c>
    </row>
    <row r="29">
      <c r="A29" t="n">
        <v>21</v>
      </c>
      <c r="B29" t="n">
        <v>1</v>
      </c>
      <c r="G29" t="inlineStr">
        <is>
          <t>moeda</t>
        </is>
      </c>
      <c r="H29" t="inlineStr">
        <is>
          <t>FiniteLivedIntangibleAssetsNet</t>
        </is>
      </c>
      <c r="J29" t="inlineStr">
        <is>
          <t>fonte</t>
        </is>
      </c>
      <c r="K29" s="259" t="n">
        <v>6855000000</v>
      </c>
      <c r="L29" s="259" t="n">
        <v>7038000000</v>
      </c>
      <c r="M29" s="259" t="n">
        <v>6923000000</v>
      </c>
      <c r="N29" s="259" t="n">
        <v>6555000000</v>
      </c>
      <c r="O29" s="259" t="n">
        <v>8127000000</v>
      </c>
      <c r="P29" s="259" t="n">
        <v>7800000000</v>
      </c>
      <c r="Q29" s="259" t="n">
        <v>7794000000</v>
      </c>
      <c r="R29" s="259" t="n">
        <v>7462000000</v>
      </c>
      <c r="S29" s="259" t="n">
        <v>11348000000</v>
      </c>
      <c r="T29" s="259" t="n">
        <v>11298000000</v>
      </c>
      <c r="U29" s="259" t="n">
        <v>10808000000</v>
      </c>
      <c r="V29" s="259" t="n">
        <v>10354000000</v>
      </c>
      <c r="W29" s="259" t="n">
        <v>9879000000</v>
      </c>
      <c r="X29" s="259" t="n">
        <v>9366000000</v>
      </c>
      <c r="Y29" s="259" t="n">
        <v>8895000000</v>
      </c>
      <c r="Z29" s="259" t="n">
        <v>29896000000</v>
      </c>
      <c r="AA29" s="259" t="n">
        <v>28828000000</v>
      </c>
      <c r="AB29" s="259" t="n">
        <v>27597000000</v>
      </c>
      <c r="AC29" s="259" t="n">
        <v>26751000000</v>
      </c>
      <c r="AD29" s="259" t="n">
        <v>25385000000</v>
      </c>
      <c r="AE29" s="259" t="n">
        <v>23968000000</v>
      </c>
      <c r="AF29" s="259" t="n">
        <v>22604000000</v>
      </c>
      <c r="AG29" s="259" t="n">
        <v>21236000000</v>
      </c>
      <c r="AH29" s="259" t="n">
        <v>20289000000</v>
      </c>
      <c r="AI29" s="259" t="n">
        <v>19325000000</v>
      </c>
      <c r="AJ29" s="259" t="n">
        <v>18609000000</v>
      </c>
    </row>
    <row r="30">
      <c r="A30" t="n">
        <v>22</v>
      </c>
      <c r="B30" t="n">
        <v>1</v>
      </c>
      <c r="G30" t="inlineStr">
        <is>
          <t>moeda</t>
        </is>
      </c>
      <c r="H30" t="inlineStr">
        <is>
          <t>LongTermInvestments</t>
        </is>
      </c>
      <c r="J30" t="inlineStr">
        <is>
          <t>fonte</t>
        </is>
      </c>
      <c r="K30" s="259" t="n">
        <v>2660000000</v>
      </c>
      <c r="L30" s="259" t="n">
        <v>2965000000</v>
      </c>
      <c r="M30" s="259" t="n">
        <v>3103000000</v>
      </c>
      <c r="N30" s="259" t="n">
        <v>3794000000</v>
      </c>
      <c r="O30" s="259" t="n">
        <v>5395000000</v>
      </c>
      <c r="P30" s="259" t="n">
        <v>5984000000</v>
      </c>
      <c r="Q30" s="259" t="n">
        <v>6393000000</v>
      </c>
      <c r="R30" s="259" t="n">
        <v>6994000000</v>
      </c>
      <c r="S30" s="259" t="n">
        <v>6907000000</v>
      </c>
      <c r="T30" s="259" t="n">
        <v>6891000000</v>
      </c>
      <c r="U30" s="259" t="n">
        <v>6839000000</v>
      </c>
      <c r="V30" s="259" t="n">
        <v>7097000000</v>
      </c>
      <c r="W30" s="259" t="n">
        <v>9415000000</v>
      </c>
      <c r="X30" s="259" t="n">
        <v>9879000000</v>
      </c>
      <c r="Y30" s="259" t="n">
        <v>11423000000</v>
      </c>
      <c r="Z30" s="259" t="n">
        <v>13367000000</v>
      </c>
      <c r="AA30" s="259" t="n">
        <v>14807000000</v>
      </c>
      <c r="AB30" s="259" t="n">
        <v>14600000000</v>
      </c>
      <c r="AC30" s="259" t="n">
        <v>15778000000</v>
      </c>
      <c r="AD30" s="259" t="n">
        <v>15581000000</v>
      </c>
      <c r="AE30" s="259" t="n">
        <v>16035000000</v>
      </c>
      <c r="AF30" s="259" t="n">
        <v>15405000000</v>
      </c>
      <c r="AG30" s="259" t="n">
        <v>11465000000</v>
      </c>
      <c r="AH30" s="259" t="n">
        <v>21202000000</v>
      </c>
      <c r="AI30" s="259" t="n">
        <v>33683000000</v>
      </c>
      <c r="AJ30" s="259" t="n">
        <v>36348000000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13696000000</v>
      </c>
      <c r="L31" s="259" t="n">
        <v>13138000000</v>
      </c>
      <c r="M31" s="259" t="n">
        <v>13034000000</v>
      </c>
      <c r="N31" s="259" t="n">
        <v>13561000000</v>
      </c>
      <c r="O31" s="259" t="n">
        <v>14427000000</v>
      </c>
      <c r="P31" s="259" t="n">
        <v>15075000000</v>
      </c>
      <c r="Q31" s="259" t="n">
        <v>21103000000</v>
      </c>
      <c r="R31" s="259" t="n">
        <v>21256000000</v>
      </c>
      <c r="S31" s="259" t="n">
        <v>21845000000</v>
      </c>
      <c r="T31" s="259" t="n">
        <v>21897000000</v>
      </c>
      <c r="U31" s="259" t="n">
        <v>23482000000</v>
      </c>
      <c r="V31" s="259" t="n">
        <v>24994000000</v>
      </c>
      <c r="W31" s="259" t="n">
        <v>26954000000</v>
      </c>
      <c r="X31" s="259" t="n">
        <v>30601000000</v>
      </c>
      <c r="Y31" s="259" t="n">
        <v>32154000000</v>
      </c>
      <c r="Z31" s="259" t="n">
        <v>32265000000</v>
      </c>
      <c r="AA31" s="259" t="n">
        <v>35551000000</v>
      </c>
      <c r="AB31" s="259" t="n">
        <v>36460000000</v>
      </c>
      <c r="AC31" s="259" t="n">
        <v>37793000000</v>
      </c>
      <c r="AD31" s="259" t="n">
        <v>36943000000</v>
      </c>
      <c r="AE31" s="259" t="n">
        <v>38234000000</v>
      </c>
      <c r="AF31" s="259" t="n">
        <v>40565000000</v>
      </c>
      <c r="AG31" s="259" t="n">
        <v>39435000000</v>
      </c>
      <c r="AH31" s="259" t="n">
        <v>37770000000</v>
      </c>
      <c r="AI31" s="259" t="n">
        <v>38599000000</v>
      </c>
      <c r="AJ31" s="259" t="n">
        <v>38805000000</v>
      </c>
    </row>
    <row r="32">
      <c r="A32" t="n">
        <v>23</v>
      </c>
      <c r="B32" t="n">
        <v>1</v>
      </c>
      <c r="G32" t="inlineStr">
        <is>
          <t>moeda</t>
        </is>
      </c>
      <c r="H32" t="inlineStr">
        <is>
          <t>AccountsPayableCurrent</t>
        </is>
      </c>
      <c r="J32" t="inlineStr">
        <is>
          <t>fonte</t>
        </is>
      </c>
      <c r="K32" s="259" t="n">
        <v>9246000000</v>
      </c>
      <c r="L32" s="259" t="n">
        <v>12530000000</v>
      </c>
      <c r="M32" s="259" t="n">
        <v>12509000000</v>
      </c>
      <c r="N32" s="259" t="n">
        <v>12770000000</v>
      </c>
      <c r="O32" s="259" t="n">
        <v>13412000000</v>
      </c>
      <c r="P32" s="259" t="n">
        <v>15163000000</v>
      </c>
      <c r="Q32" s="259" t="n">
        <v>14832000000</v>
      </c>
      <c r="R32" s="259" t="n">
        <v>15314000000</v>
      </c>
      <c r="S32" s="259" t="n">
        <v>16085000000</v>
      </c>
      <c r="T32" s="259" t="n">
        <v>19000000000</v>
      </c>
      <c r="U32" s="259" t="n">
        <v>16609000000</v>
      </c>
      <c r="V32" s="259" t="n">
        <v>15354000000</v>
      </c>
      <c r="W32" s="259" t="n">
        <v>15305000000</v>
      </c>
      <c r="X32" s="259" t="n">
        <v>18095000000</v>
      </c>
      <c r="Y32" s="259" t="n">
        <v>19307000000</v>
      </c>
      <c r="Z32" s="259" t="n">
        <v>17695000000</v>
      </c>
      <c r="AA32" s="259" t="n">
        <v>18087000000</v>
      </c>
      <c r="AB32" s="259" t="n">
        <v>21996000000</v>
      </c>
      <c r="AC32" s="259" t="n">
        <v>22768000000</v>
      </c>
      <c r="AD32" s="259" t="n">
        <v>22608000000</v>
      </c>
      <c r="AE32" s="259" t="n">
        <v>26250000000</v>
      </c>
      <c r="AF32" s="259" t="n">
        <v>27724000000</v>
      </c>
      <c r="AG32" s="259" t="n">
        <v>32580000000</v>
      </c>
      <c r="AH32" s="259" t="n">
        <v>37328000000</v>
      </c>
      <c r="AI32" s="259" t="n">
        <v>37513000000</v>
      </c>
      <c r="AJ32" s="259" t="n">
        <v>42416000000</v>
      </c>
    </row>
    <row r="33">
      <c r="A33" t="n">
        <v>24</v>
      </c>
      <c r="B33" t="n">
        <v>1</v>
      </c>
      <c r="G33" t="inlineStr">
        <is>
          <t>moeda</t>
        </is>
      </c>
      <c r="H33" t="inlineStr">
        <is>
          <t>EmployeeRelatedLiabilitiesCurrent</t>
        </is>
      </c>
      <c r="J33" t="inlineStr">
        <is>
          <t>fonte</t>
        </is>
      </c>
      <c r="K33" s="259" t="n">
        <v>6254000000</v>
      </c>
      <c r="L33" s="259" t="n">
        <v>7874000000</v>
      </c>
      <c r="M33" s="259" t="n">
        <v>5714000000</v>
      </c>
      <c r="N33" s="259" t="n">
        <v>6838000000</v>
      </c>
      <c r="O33" s="259" t="n">
        <v>8032000000</v>
      </c>
      <c r="P33" s="259" t="n">
        <v>10057000000</v>
      </c>
      <c r="Q33" s="259" t="n">
        <v>6894000000</v>
      </c>
      <c r="R33" s="259" t="n">
        <v>7782000000</v>
      </c>
      <c r="S33" s="259" t="n">
        <v>9067000000</v>
      </c>
      <c r="T33" s="259" t="n">
        <v>10661000000</v>
      </c>
      <c r="U33" s="259" t="n">
        <v>7405000000</v>
      </c>
      <c r="V33" s="259" t="n">
        <v>9030000000</v>
      </c>
      <c r="W33" s="259" t="n">
        <v>10411000000</v>
      </c>
      <c r="X33" s="259" t="n">
        <v>11009000000</v>
      </c>
      <c r="Y33" s="259" t="n">
        <v>6990000000</v>
      </c>
      <c r="Z33" s="259" t="n">
        <v>8813000000</v>
      </c>
      <c r="AA33" s="259" t="n">
        <v>10432000000</v>
      </c>
      <c r="AB33" s="259" t="n">
        <v>12564000000</v>
      </c>
      <c r="AC33" s="259" t="n">
        <v>8326000000</v>
      </c>
      <c r="AD33" s="259" t="n">
        <v>9176000000</v>
      </c>
      <c r="AE33" s="259" t="n">
        <v>10579000000</v>
      </c>
      <c r="AF33" s="259" t="n">
        <v>13709000000</v>
      </c>
      <c r="AG33" s="259" t="n">
        <v>9201000000</v>
      </c>
      <c r="AH33" s="259" t="n">
        <v>10103000000</v>
      </c>
      <c r="AI33" s="259" t="n">
        <v>11270000000</v>
      </c>
      <c r="AJ33" s="259" t="n">
        <v>14945000000</v>
      </c>
    </row>
    <row r="34">
      <c r="A34" t="n">
        <v>25</v>
      </c>
      <c r="B34" t="n">
        <v>1</v>
      </c>
      <c r="G34" t="inlineStr">
        <is>
          <t>moeda</t>
        </is>
      </c>
      <c r="H34" t="inlineStr">
        <is>
          <t>AccruedIncomeTaxesCurrent</t>
        </is>
      </c>
      <c r="J34" t="inlineStr">
        <is>
          <t>fonte</t>
        </is>
      </c>
      <c r="K34" s="259" t="n">
        <v>3296000000</v>
      </c>
      <c r="L34" s="259" t="n">
        <v>2130000000</v>
      </c>
      <c r="M34" s="259" t="n">
        <v>2384000000</v>
      </c>
      <c r="N34" s="259" t="n">
        <v>1562000000</v>
      </c>
      <c r="O34" s="259" t="n">
        <v>2165000000</v>
      </c>
      <c r="P34" s="259" t="n">
        <v>2174000000</v>
      </c>
      <c r="Q34" s="259" t="n">
        <v>6272000000</v>
      </c>
      <c r="R34" s="259" t="n">
        <v>3731000000</v>
      </c>
      <c r="S34" s="259" t="n">
        <v>4646000000</v>
      </c>
      <c r="T34" s="259" t="n">
        <v>4067000000</v>
      </c>
      <c r="U34" s="259" t="n">
        <v>6729000000</v>
      </c>
      <c r="V34" s="259" t="n">
        <v>3553000000</v>
      </c>
      <c r="W34" s="259" t="n">
        <v>4163000000</v>
      </c>
      <c r="X34" s="259" t="n">
        <v>4152000000</v>
      </c>
      <c r="Y34" s="259" t="n">
        <v>8035000000</v>
      </c>
      <c r="Z34" s="259" t="n">
        <v>5787000000</v>
      </c>
      <c r="AA34" s="259" t="n">
        <v>7311000000</v>
      </c>
      <c r="AB34" s="259" t="n">
        <v>5017000000</v>
      </c>
      <c r="AC34" s="259" t="n">
        <v>9717000000</v>
      </c>
      <c r="AD34" s="259" t="n">
        <v>6056000000</v>
      </c>
      <c r="AE34" s="259" t="n">
        <v>6805000000</v>
      </c>
      <c r="AF34" s="259" t="n">
        <v>7211000000</v>
      </c>
      <c r="AG34" s="259" t="n">
        <v>3655000000</v>
      </c>
      <c r="AH34" s="259" t="n">
        <v>2050000000</v>
      </c>
      <c r="AI34" s="259" t="n">
        <v>3563000000</v>
      </c>
      <c r="AJ34" s="259" t="n">
        <v>2534000000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ContractWithCustomerLiabilityCurrent</t>
        </is>
      </c>
      <c r="J35" t="inlineStr">
        <is>
          <t>fonte</t>
        </is>
      </c>
      <c r="K35" s="259" t="n">
        <v>27012000000</v>
      </c>
      <c r="L35" s="259" t="n">
        <v>36000000000</v>
      </c>
      <c r="M35" s="259" t="n">
        <v>33476000000</v>
      </c>
      <c r="N35" s="259" t="n">
        <v>30402000000</v>
      </c>
      <c r="O35" s="259" t="n">
        <v>30083000000</v>
      </c>
      <c r="P35" s="259" t="n">
        <v>41525000000</v>
      </c>
      <c r="Q35" s="259" t="n">
        <v>38465000000</v>
      </c>
      <c r="R35" s="259" t="n">
        <v>34001000000</v>
      </c>
      <c r="S35" s="259" t="n">
        <v>34027000000</v>
      </c>
      <c r="T35" s="259" t="n">
        <v>45538000000</v>
      </c>
      <c r="U35" s="259" t="n">
        <v>41340000000</v>
      </c>
      <c r="V35" s="259" t="n">
        <v>36982000000</v>
      </c>
      <c r="W35" s="259" t="n">
        <v>36903000000</v>
      </c>
      <c r="X35" s="259" t="n">
        <v>50901000000</v>
      </c>
      <c r="Y35" s="259" t="n">
        <v>46429000000</v>
      </c>
      <c r="Z35" s="259" t="n">
        <v>43068000000</v>
      </c>
      <c r="AA35" s="259" t="n">
        <v>41888000000</v>
      </c>
      <c r="AB35" s="259" t="n">
        <v>57582000000</v>
      </c>
      <c r="AC35" s="259" t="n">
        <v>53026000000</v>
      </c>
      <c r="AD35" s="259" t="n">
        <v>45508000000</v>
      </c>
      <c r="AE35" s="259" t="n">
        <v>44636000000</v>
      </c>
      <c r="AF35" s="259" t="n">
        <v>64555000000</v>
      </c>
      <c r="AG35" s="259" t="n">
        <v>58987000000</v>
      </c>
      <c r="AH35" s="259" t="n">
        <v>51376000000</v>
      </c>
      <c r="AI35" s="259" t="n">
        <v>50924000000</v>
      </c>
      <c r="AJ35" s="259" t="n">
        <v>72965000000</v>
      </c>
    </row>
    <row r="36">
      <c r="A36" t="n">
        <v>26</v>
      </c>
      <c r="B36" t="n">
        <v>1</v>
      </c>
      <c r="G36" t="inlineStr">
        <is>
          <t>moeda</t>
        </is>
      </c>
      <c r="H36" t="inlineStr">
        <is>
          <t>OtherLiabilitiesCurrent</t>
        </is>
      </c>
      <c r="J36" t="inlineStr">
        <is>
          <t>fonte</t>
        </is>
      </c>
      <c r="K36" s="259" t="n">
        <v>9151000000</v>
      </c>
      <c r="L36" s="259" t="n">
        <v>10027000000</v>
      </c>
      <c r="M36" s="259" t="n">
        <v>9476000000</v>
      </c>
      <c r="N36" s="259" t="n">
        <v>10527000000</v>
      </c>
      <c r="O36" s="259" t="n">
        <v>10450000000</v>
      </c>
      <c r="P36" s="259" t="n">
        <v>11666000000</v>
      </c>
      <c r="Q36" s="259" t="n">
        <v>10816000000</v>
      </c>
      <c r="R36" s="259" t="n">
        <v>11684000000</v>
      </c>
      <c r="S36" s="259" t="n">
        <v>11865000000</v>
      </c>
      <c r="T36" s="259" t="n">
        <v>13067000000</v>
      </c>
      <c r="U36" s="259" t="n">
        <v>12058000000</v>
      </c>
      <c r="V36" s="259" t="n">
        <v>12802000000</v>
      </c>
      <c r="W36" s="259" t="n">
        <v>12664000000</v>
      </c>
      <c r="X36" s="259" t="n">
        <v>14745000000</v>
      </c>
      <c r="Y36" s="259" t="n">
        <v>14475000000</v>
      </c>
      <c r="Z36" s="259" t="n">
        <v>16362000000</v>
      </c>
      <c r="AA36" s="259" t="n">
        <v>18023000000</v>
      </c>
      <c r="AB36" s="259" t="n">
        <v>19185000000</v>
      </c>
      <c r="AC36" s="259" t="n">
        <v>19114000000</v>
      </c>
      <c r="AD36" s="259" t="n">
        <v>20286000000</v>
      </c>
      <c r="AE36" s="259" t="n">
        <v>22937000000</v>
      </c>
      <c r="AF36" s="259" t="n">
        <v>25020000000</v>
      </c>
      <c r="AG36" s="259" t="n">
        <v>22741000000</v>
      </c>
      <c r="AH36" s="259" t="n">
        <v>24311000000</v>
      </c>
      <c r="AI36" s="259" t="n">
        <v>24552000000</v>
      </c>
      <c r="AJ36" s="259" t="n">
        <v>26738000000</v>
      </c>
    </row>
    <row r="37">
      <c r="A37" t="n">
        <v>27</v>
      </c>
      <c r="B37" t="n">
        <v>1</v>
      </c>
      <c r="G37" t="inlineStr">
        <is>
          <t>moeda</t>
        </is>
      </c>
      <c r="H37" t="inlineStr">
        <is>
          <t>LongTermDebtCurrent</t>
        </is>
      </c>
      <c r="J37" t="inlineStr">
        <is>
          <t>fonte</t>
        </is>
      </c>
      <c r="K37" s="259" t="n">
        <v>3748000000</v>
      </c>
      <c r="L37" s="259" t="n">
        <v>3749000000</v>
      </c>
      <c r="M37" s="259" t="n">
        <v>6497000000</v>
      </c>
      <c r="N37" s="259" t="n">
        <v>5387000000</v>
      </c>
      <c r="O37" s="259" t="n">
        <v>8051000000</v>
      </c>
      <c r="P37" s="259" t="n">
        <v>8072000000</v>
      </c>
      <c r="Q37" s="259" t="n">
        <v>3249000000</v>
      </c>
      <c r="R37" s="259" t="n">
        <v>4998000000</v>
      </c>
      <c r="S37" s="259" t="n">
        <v>1749000000</v>
      </c>
      <c r="T37" s="259" t="n">
        <v>2749000000</v>
      </c>
      <c r="U37" s="259" t="n">
        <v>3248000000</v>
      </c>
      <c r="V37" s="259" t="n">
        <v>3997000000</v>
      </c>
      <c r="W37" s="259" t="n">
        <v>6245000000</v>
      </c>
      <c r="X37" s="259" t="n">
        <v>5247000000</v>
      </c>
      <c r="Y37" s="259" t="n">
        <v>3748000000</v>
      </c>
      <c r="Z37" s="259" t="n">
        <v>2250000000</v>
      </c>
      <c r="AA37" s="259" t="n">
        <v>2249000000</v>
      </c>
      <c r="AB37" s="259" t="n">
        <v>2249000000</v>
      </c>
      <c r="AC37" s="259" t="n">
        <v>2249000000</v>
      </c>
      <c r="AD37" s="259" t="n">
        <v>5248000000</v>
      </c>
      <c r="AE37" s="259" t="n">
        <v>2999000000</v>
      </c>
      <c r="AF37" s="259" t="n">
        <v>2999000000</v>
      </c>
      <c r="AG37" s="259" t="n">
        <v>7832000000</v>
      </c>
      <c r="AH37" s="259" t="n">
        <v>4837000000</v>
      </c>
      <c r="AI37" s="259" t="n">
        <v>8839000000</v>
      </c>
      <c r="AJ37" s="259" t="n">
        <v>9227000000</v>
      </c>
    </row>
    <row r="38">
      <c r="A38" t="n">
        <v>27</v>
      </c>
      <c r="B38" t="n">
        <v>1</v>
      </c>
      <c r="G38" t="inlineStr">
        <is>
          <t>moeda</t>
        </is>
      </c>
      <c r="H38" t="inlineStr">
        <is>
          <t>CommercialPaper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25808000000</v>
      </c>
      <c r="Z38" s="259" t="n">
        <v>27041000000</v>
      </c>
      <c r="AA38" s="259" t="n">
        <v>20535000000</v>
      </c>
      <c r="AB38" s="259" t="n">
        <v>6693000000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30</v>
      </c>
      <c r="B39" t="n">
        <v>1</v>
      </c>
      <c r="G39" t="inlineStr">
        <is>
          <t>moeda</t>
        </is>
      </c>
      <c r="H39" t="inlineStr">
        <is>
          <t>LongTermDebtNoncurrent</t>
        </is>
      </c>
      <c r="J39" t="inlineStr">
        <is>
          <t>fonte</t>
        </is>
      </c>
      <c r="K39" s="259" t="n">
        <v>62862000000</v>
      </c>
      <c r="L39" s="259" t="n">
        <v>59578000000</v>
      </c>
      <c r="M39" s="259" t="n">
        <v>57055000000</v>
      </c>
      <c r="N39" s="259" t="n">
        <v>55136000000</v>
      </c>
      <c r="O39" s="259" t="n">
        <v>50007000000</v>
      </c>
      <c r="P39" s="259" t="n">
        <v>50074000000</v>
      </c>
      <c r="Q39" s="259" t="n">
        <v>50039000000</v>
      </c>
      <c r="R39" s="259" t="n">
        <v>48260000000</v>
      </c>
      <c r="S39" s="259" t="n">
        <v>48177000000</v>
      </c>
      <c r="T39" s="259" t="n">
        <v>47032000000</v>
      </c>
      <c r="U39" s="259" t="n">
        <v>45374000000</v>
      </c>
      <c r="V39" s="259" t="n">
        <v>44119000000</v>
      </c>
      <c r="W39" s="259" t="n">
        <v>41965000000</v>
      </c>
      <c r="X39" s="259" t="n">
        <v>41990000000</v>
      </c>
      <c r="Y39" s="259" t="n">
        <v>41946000000</v>
      </c>
      <c r="Z39" s="259" t="n">
        <v>44928000000</v>
      </c>
      <c r="AA39" s="259" t="n">
        <v>42658000000</v>
      </c>
      <c r="AB39" s="259" t="n">
        <v>42688000000</v>
      </c>
      <c r="AC39" s="259" t="n">
        <v>42868000000</v>
      </c>
      <c r="AD39" s="259" t="n">
        <v>39722000000</v>
      </c>
      <c r="AE39" s="259" t="n">
        <v>39882000000</v>
      </c>
      <c r="AF39" s="259" t="n">
        <v>40152000000</v>
      </c>
      <c r="AG39" s="259" t="n">
        <v>35376000000</v>
      </c>
      <c r="AH39" s="259" t="n">
        <v>35425000000</v>
      </c>
      <c r="AI39" s="259" t="n">
        <v>31423000000</v>
      </c>
      <c r="AJ39" s="259" t="n">
        <v>31067000000</v>
      </c>
    </row>
    <row r="40">
      <c r="A40" t="n">
        <v>31</v>
      </c>
      <c r="B40" t="n">
        <v>1</v>
      </c>
      <c r="G40" t="inlineStr">
        <is>
          <t>moeda</t>
        </is>
      </c>
      <c r="H40" t="inlineStr">
        <is>
          <t>OperatingLeaseLiabilityNoncurrent</t>
        </is>
      </c>
      <c r="J40" t="inlineStr">
        <is>
          <t>fonte</t>
        </is>
      </c>
      <c r="K40" s="259" t="n">
        <v>7248000000</v>
      </c>
      <c r="L40" s="259" t="n">
        <v>7671000000</v>
      </c>
      <c r="M40" s="259" t="n">
        <v>7753000000</v>
      </c>
      <c r="N40" s="259" t="n">
        <v>8875000000</v>
      </c>
      <c r="O40" s="259" t="n">
        <v>9272000000</v>
      </c>
      <c r="P40" s="259" t="n">
        <v>9629000000</v>
      </c>
      <c r="Q40" s="259" t="n">
        <v>10050000000</v>
      </c>
      <c r="R40" s="259" t="n">
        <v>10774000000</v>
      </c>
      <c r="S40" s="259" t="n">
        <v>11357000000</v>
      </c>
      <c r="T40" s="259" t="n">
        <v>11489000000</v>
      </c>
      <c r="U40" s="259" t="n">
        <v>11660000000</v>
      </c>
      <c r="V40" s="259" t="n">
        <v>11998000000</v>
      </c>
      <c r="W40" s="259" t="n">
        <v>12312000000</v>
      </c>
      <c r="X40" s="259" t="n">
        <v>12728000000</v>
      </c>
      <c r="Y40" s="259" t="n">
        <v>13487000000</v>
      </c>
      <c r="Z40" s="259" t="n">
        <v>14155000000</v>
      </c>
      <c r="AA40" s="259" t="n">
        <v>14469000000</v>
      </c>
      <c r="AB40" s="259" t="n">
        <v>15497000000</v>
      </c>
      <c r="AC40" s="259" t="n">
        <v>16361000000</v>
      </c>
      <c r="AD40" s="259" t="n">
        <v>17254000000</v>
      </c>
      <c r="AE40" s="259" t="n">
        <v>17686000000</v>
      </c>
      <c r="AF40" s="259" t="n">
        <v>17437000000</v>
      </c>
      <c r="AG40" s="259" t="n">
        <v>17348000000</v>
      </c>
      <c r="AH40" s="259" t="n">
        <v>17345000000</v>
      </c>
      <c r="AI40" s="259" t="n">
        <v>16703000000</v>
      </c>
      <c r="AJ40" s="259" t="n">
        <v>16532000000</v>
      </c>
    </row>
    <row r="41">
      <c r="A41" t="n">
        <v>33</v>
      </c>
      <c r="B41" t="n">
        <v>1</v>
      </c>
      <c r="G41" t="inlineStr">
        <is>
          <t>moeda</t>
        </is>
      </c>
      <c r="H41" t="inlineStr">
        <is>
          <t>DeferredIncomeTaxLiabilitiesNet</t>
        </is>
      </c>
      <c r="J41" t="inlineStr">
        <is>
          <t>fonte</t>
        </is>
      </c>
      <c r="K41" s="259" t="n">
        <v>185000000</v>
      </c>
      <c r="L41" s="259" t="n">
        <v>204000000</v>
      </c>
      <c r="M41" s="259" t="n">
        <v>187000000</v>
      </c>
      <c r="N41" s="259" t="n">
        <v>174000000</v>
      </c>
      <c r="O41" s="259" t="n">
        <v>173000000</v>
      </c>
      <c r="P41" s="259" t="n">
        <v>198000000</v>
      </c>
      <c r="Q41" s="259" t="n">
        <v>212000000</v>
      </c>
      <c r="R41" s="259" t="n">
        <v>199000000</v>
      </c>
      <c r="S41" s="259" t="n">
        <v>304000000</v>
      </c>
      <c r="T41" s="259" t="n">
        <v>230000000</v>
      </c>
      <c r="U41" s="259" t="n">
        <v>223000000</v>
      </c>
      <c r="V41" s="259" t="n">
        <v>289000000</v>
      </c>
      <c r="W41" s="259" t="n">
        <v>302000000</v>
      </c>
      <c r="X41" s="259" t="n">
        <v>433000000</v>
      </c>
      <c r="Y41" s="259" t="n">
        <v>470000000</v>
      </c>
      <c r="Z41" s="259" t="n">
        <v>2548000000</v>
      </c>
      <c r="AA41" s="259" t="n">
        <v>2469000000</v>
      </c>
      <c r="AB41" s="259" t="n">
        <v>2618000000</v>
      </c>
      <c r="AC41" s="259" t="n">
        <v>2581000000</v>
      </c>
      <c r="AD41" s="259" t="n">
        <v>2513000000</v>
      </c>
      <c r="AE41" s="259" t="n">
        <v>2522000000</v>
      </c>
      <c r="AF41" s="259" t="n">
        <v>2835000000</v>
      </c>
      <c r="AG41" s="259" t="n">
        <v>2852000000</v>
      </c>
      <c r="AH41" s="259" t="n">
        <v>2876000000</v>
      </c>
      <c r="AI41" s="259" t="n">
        <v>2899000000</v>
      </c>
      <c r="AJ41" s="259" t="n">
        <v>3054000000</v>
      </c>
    </row>
    <row r="42">
      <c r="A42" t="n">
        <v>34</v>
      </c>
      <c r="B42" t="n">
        <v>1</v>
      </c>
      <c r="G42" t="inlineStr">
        <is>
          <t>moeda</t>
        </is>
      </c>
      <c r="H42" t="inlineStr">
        <is>
          <t>AccruedIncomeTaxesNoncurrent</t>
        </is>
      </c>
      <c r="J42" t="inlineStr">
        <is>
          <t>fonte</t>
        </is>
      </c>
      <c r="K42" s="259" t="n">
        <v>28888000000</v>
      </c>
      <c r="L42" s="259" t="n">
        <v>29432000000</v>
      </c>
      <c r="M42" s="259" t="n">
        <v>28204000000</v>
      </c>
      <c r="N42" s="259" t="n">
        <v>26701000000</v>
      </c>
      <c r="O42" s="259" t="n">
        <v>27157000000</v>
      </c>
      <c r="P42" s="259" t="n">
        <v>27190000000</v>
      </c>
      <c r="Q42" s="259" t="n">
        <v>25715000000</v>
      </c>
      <c r="R42" s="259" t="n">
        <v>26121000000</v>
      </c>
      <c r="S42" s="259" t="n">
        <v>26483000000</v>
      </c>
      <c r="T42" s="259" t="n">
        <v>26069000000</v>
      </c>
      <c r="U42" s="259" t="n">
        <v>23712000000</v>
      </c>
      <c r="V42" s="259" t="n">
        <v>24169000000</v>
      </c>
      <c r="W42" s="259" t="n">
        <v>25000000000</v>
      </c>
      <c r="X42" s="259" t="n">
        <v>25560000000</v>
      </c>
      <c r="Y42" s="259" t="n">
        <v>22983000000</v>
      </c>
      <c r="Z42" s="259" t="n">
        <v>25890000000</v>
      </c>
      <c r="AA42" s="259" t="n">
        <v>26786000000</v>
      </c>
      <c r="AB42" s="259" t="n">
        <v>27931000000</v>
      </c>
      <c r="AC42" s="259" t="n">
        <v>24452000000</v>
      </c>
      <c r="AD42" s="259" t="n">
        <v>24389000000</v>
      </c>
      <c r="AE42" s="259" t="n">
        <v>25061000000</v>
      </c>
      <c r="AF42" s="259" t="n">
        <v>25986000000</v>
      </c>
      <c r="AG42" s="259" t="n">
        <v>26569000000</v>
      </c>
      <c r="AH42" s="259" t="n">
        <v>27256000000</v>
      </c>
      <c r="AI42" s="259" t="n">
        <v>27941000000</v>
      </c>
      <c r="AJ42" s="259" t="n">
        <v>28647000000</v>
      </c>
    </row>
    <row r="43">
      <c r="A43" t="n">
        <v>34</v>
      </c>
      <c r="B43" t="n">
        <v>1</v>
      </c>
      <c r="G43" t="inlineStr">
        <is>
          <t>moeda</t>
        </is>
      </c>
      <c r="H43" t="inlineStr">
        <is>
          <t>ContractWithCustomerLiabilityNoncurrent</t>
        </is>
      </c>
      <c r="J43" t="inlineStr">
        <is>
          <t>fonte</t>
        </is>
      </c>
      <c r="K43" s="259" t="n">
        <v>3385000000</v>
      </c>
      <c r="L43" s="259" t="n">
        <v>3180000000</v>
      </c>
      <c r="M43" s="259" t="n">
        <v>2829000000</v>
      </c>
      <c r="N43" s="259" t="n">
        <v>2985000000</v>
      </c>
      <c r="O43" s="259" t="n">
        <v>2631000000</v>
      </c>
      <c r="P43" s="259" t="n">
        <v>2616000000</v>
      </c>
      <c r="Q43" s="259" t="n">
        <v>2550000000</v>
      </c>
      <c r="R43" s="259" t="n">
        <v>2768000000</v>
      </c>
      <c r="S43" s="259" t="n">
        <v>2769000000</v>
      </c>
      <c r="T43" s="259" t="n">
        <v>2870000000</v>
      </c>
      <c r="U43" s="259" t="n">
        <v>2549000000</v>
      </c>
      <c r="V43" s="259" t="n">
        <v>2644000000</v>
      </c>
      <c r="W43" s="259" t="n">
        <v>2698000000</v>
      </c>
      <c r="X43" s="259" t="n">
        <v>2912000000</v>
      </c>
      <c r="Y43" s="259" t="n">
        <v>2759000000</v>
      </c>
      <c r="Z43" s="259" t="n">
        <v>2966000000</v>
      </c>
      <c r="AA43" s="259" t="n">
        <v>2945000000</v>
      </c>
      <c r="AB43" s="259" t="n">
        <v>2602000000</v>
      </c>
      <c r="AC43" s="259" t="n">
        <v>2663000000</v>
      </c>
      <c r="AD43" s="259" t="n">
        <v>2537000000</v>
      </c>
      <c r="AE43" s="259" t="n">
        <v>2840000000</v>
      </c>
      <c r="AF43" s="259" t="n">
        <v>2710000000</v>
      </c>
      <c r="AG43" s="259" t="n">
        <v>2546000000</v>
      </c>
      <c r="AH43" s="259" t="n">
        <v>2668000000</v>
      </c>
      <c r="AI43" s="259" t="n">
        <v>2753000000</v>
      </c>
      <c r="AJ43" s="259" t="n">
        <v>2747000000</v>
      </c>
    </row>
    <row r="44">
      <c r="A44" t="n">
        <v>34</v>
      </c>
      <c r="B44" t="n">
        <v>1</v>
      </c>
      <c r="G44" t="inlineStr">
        <is>
          <t>moeda</t>
        </is>
      </c>
      <c r="H44" t="inlineStr">
        <is>
          <t>OtherLiabilitiesNoncurrent</t>
        </is>
      </c>
      <c r="J44" t="inlineStr">
        <is>
          <t>fonte</t>
        </is>
      </c>
      <c r="K44" s="259" t="n">
        <v>9673000000</v>
      </c>
      <c r="L44" s="259" t="n">
        <v>10632000000</v>
      </c>
      <c r="M44" s="259" t="n">
        <v>11525000000</v>
      </c>
      <c r="N44" s="259" t="n">
        <v>12544000000</v>
      </c>
      <c r="O44" s="259" t="n">
        <v>12941000000</v>
      </c>
      <c r="P44" s="259" t="n">
        <v>13427000000</v>
      </c>
      <c r="Q44" s="259" t="n">
        <v>14346000000</v>
      </c>
      <c r="R44" s="259" t="n">
        <v>14747000000</v>
      </c>
      <c r="S44" s="259" t="n">
        <v>15154000000</v>
      </c>
      <c r="T44" s="259" t="n">
        <v>15526000000</v>
      </c>
      <c r="U44" s="259" t="n">
        <v>15311000000</v>
      </c>
      <c r="V44" s="259" t="n">
        <v>16479000000</v>
      </c>
      <c r="W44" s="259" t="n">
        <v>17437000000</v>
      </c>
      <c r="X44" s="259" t="n">
        <v>17981000000</v>
      </c>
      <c r="Y44" s="259" t="n">
        <v>18634000000</v>
      </c>
      <c r="Z44" s="259" t="n">
        <v>20787000000</v>
      </c>
      <c r="AA44" s="259" t="n">
        <v>23271000000</v>
      </c>
      <c r="AB44" s="259" t="n">
        <v>27064000000</v>
      </c>
      <c r="AC44" s="259" t="n">
        <v>31165000000</v>
      </c>
      <c r="AD44" s="259" t="n">
        <v>35906000000</v>
      </c>
      <c r="AE44" s="259" t="n">
        <v>38536000000</v>
      </c>
      <c r="AF44" s="259" t="n">
        <v>45186000000</v>
      </c>
      <c r="AG44" s="259" t="n">
        <v>53588000000</v>
      </c>
      <c r="AH44" s="259" t="n">
        <v>58852000000</v>
      </c>
      <c r="AI44" s="259" t="n">
        <v>61481000000</v>
      </c>
      <c r="AJ44" s="259" t="n">
        <v>65117000000</v>
      </c>
    </row>
    <row r="45">
      <c r="A45" t="n">
        <v>37</v>
      </c>
      <c r="B45" t="n">
        <v>1</v>
      </c>
      <c r="G45" t="inlineStr">
        <is>
          <t>moeda</t>
        </is>
      </c>
      <c r="H45" t="inlineStr">
        <is>
          <t>CommonStocksIncludingAdditionalPaidInCapital</t>
        </is>
      </c>
      <c r="J45" t="inlineStr">
        <is>
          <t>fonte</t>
        </is>
      </c>
      <c r="K45" s="259" t="n">
        <v>79813000000</v>
      </c>
      <c r="L45" s="259" t="n">
        <v>80552000000</v>
      </c>
      <c r="M45" s="259" t="n">
        <v>81089000000</v>
      </c>
      <c r="N45" s="259" t="n">
        <v>81896000000</v>
      </c>
      <c r="O45" s="259" t="n">
        <v>82308000000</v>
      </c>
      <c r="P45" s="259" t="n">
        <v>83111000000</v>
      </c>
      <c r="Q45" s="259" t="n">
        <v>83751000000</v>
      </c>
      <c r="R45" s="259" t="n">
        <v>84528000000</v>
      </c>
      <c r="S45" s="259" t="n">
        <v>85767000000</v>
      </c>
      <c r="T45" s="259" t="n">
        <v>86939000000</v>
      </c>
      <c r="U45" s="259" t="n">
        <v>88535000000</v>
      </c>
      <c r="V45" s="259" t="n">
        <v>90225000000</v>
      </c>
      <c r="W45" s="259" t="n">
        <v>92093000000</v>
      </c>
      <c r="X45" s="259" t="n">
        <v>93718000000</v>
      </c>
      <c r="Y45" s="259" t="n">
        <v>95508000000</v>
      </c>
      <c r="Z45" s="259" t="n">
        <v>97480000000</v>
      </c>
      <c r="AA45" s="259" t="n">
        <v>99193000000</v>
      </c>
      <c r="AB45" s="259" t="n">
        <v>100923000000</v>
      </c>
      <c r="AC45" s="259" t="n">
        <v>102976000000</v>
      </c>
      <c r="AD45" s="259" t="n">
        <v>104829000000</v>
      </c>
      <c r="AE45" s="259" t="n">
        <v>106965000000</v>
      </c>
      <c r="AF45" s="259" t="n">
        <v>109095000000</v>
      </c>
      <c r="AG45" s="259" t="n">
        <v>110964000000</v>
      </c>
      <c r="AH45" s="259" t="n">
        <v>112788000000</v>
      </c>
      <c r="AI45" s="259" t="n">
        <v>115069000000</v>
      </c>
      <c r="AJ45" s="259" t="n">
        <v>117406000000</v>
      </c>
    </row>
    <row r="46">
      <c r="A46" t="n">
        <v>39</v>
      </c>
      <c r="B46" t="n">
        <v>1</v>
      </c>
      <c r="G46" t="inlineStr">
        <is>
          <t>moeda</t>
        </is>
      </c>
      <c r="H46" t="inlineStr">
        <is>
          <t>AccumulatedOtherComprehensiveIncomeLossNetOfTax</t>
        </is>
      </c>
      <c r="J46" t="inlineStr">
        <is>
          <t>fonte</t>
        </is>
      </c>
      <c r="K46" s="259" t="n">
        <v>2676000000</v>
      </c>
      <c r="L46" s="259" t="n">
        <v>3186000000</v>
      </c>
      <c r="M46" s="259" t="n">
        <v>3110000000</v>
      </c>
      <c r="N46" s="259" t="n">
        <v>3367000000</v>
      </c>
      <c r="O46" s="259" t="n">
        <v>1462000000</v>
      </c>
      <c r="P46" s="259" t="n">
        <v>1822000000</v>
      </c>
      <c r="Q46" s="259" t="n">
        <v>1283000000</v>
      </c>
      <c r="R46" s="259" t="n">
        <v>437000000</v>
      </c>
      <c r="S46" s="259" t="n">
        <v>-2476000000</v>
      </c>
      <c r="T46" s="259" t="n">
        <v>-4678000000</v>
      </c>
      <c r="U46" s="259" t="n">
        <v>-7343000000</v>
      </c>
      <c r="V46" s="259" t="n">
        <v>-6457000000</v>
      </c>
      <c r="W46" s="259" t="n">
        <v>-5644000000</v>
      </c>
      <c r="X46" s="259" t="n">
        <v>-6343000000</v>
      </c>
      <c r="Y46" s="259" t="n">
        <v>-6937000000</v>
      </c>
      <c r="Z46" s="259" t="n">
        <v>-4949000000</v>
      </c>
      <c r="AA46" s="259" t="n">
        <v>-5435000000</v>
      </c>
      <c r="AB46" s="259" t="n">
        <v>-5590000000</v>
      </c>
      <c r="AC46" s="259" t="n">
        <v>-4182000000</v>
      </c>
      <c r="AD46" s="259" t="n">
        <v>-5616000000</v>
      </c>
      <c r="AE46" s="259" t="n">
        <v>-4833000000</v>
      </c>
      <c r="AF46" s="259" t="n">
        <v>-3347000000</v>
      </c>
      <c r="AG46" s="259" t="n">
        <v>-2761000000</v>
      </c>
      <c r="AH46" s="259" t="n">
        <v>-2702000000</v>
      </c>
      <c r="AI46" s="259" t="n">
        <v>-3228000000</v>
      </c>
      <c r="AJ46" s="259" t="n">
        <v>-3284000000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32012000000</v>
      </c>
      <c r="L47" s="259" t="n">
        <v>34566000000</v>
      </c>
      <c r="M47" s="259" t="n">
        <v>39193000000</v>
      </c>
      <c r="N47" s="259" t="n">
        <v>44973000000</v>
      </c>
      <c r="O47" s="259" t="n">
        <v>50735000000</v>
      </c>
      <c r="P47" s="259" t="n">
        <v>57055000000</v>
      </c>
      <c r="Q47" s="259" t="n">
        <v>66944000000</v>
      </c>
      <c r="R47" s="259" t="n">
        <v>75045000000</v>
      </c>
      <c r="S47" s="259" t="n">
        <v>79633000000</v>
      </c>
      <c r="T47" s="259" t="n">
        <v>84281000000</v>
      </c>
      <c r="U47" s="259" t="n">
        <v>92374000000</v>
      </c>
      <c r="V47" s="259" t="n">
        <v>99368000000</v>
      </c>
      <c r="W47" s="259" t="n">
        <v>108234000000</v>
      </c>
      <c r="X47" s="259" t="n">
        <v>118848000000</v>
      </c>
      <c r="Y47" s="259" t="n">
        <v>132143000000</v>
      </c>
      <c r="Z47" s="259" t="n">
        <v>145737000000</v>
      </c>
      <c r="AA47" s="259" t="n">
        <v>159394000000</v>
      </c>
      <c r="AB47" s="259" t="n">
        <v>173144000000</v>
      </c>
      <c r="AC47" s="259" t="n">
        <v>188929000000</v>
      </c>
      <c r="AD47" s="259" t="n">
        <v>203482000000</v>
      </c>
      <c r="AE47" s="259" t="n">
        <v>219759000000</v>
      </c>
      <c r="AF47" s="259" t="n">
        <v>237731000000</v>
      </c>
      <c r="AG47" s="259" t="n">
        <v>254873000000</v>
      </c>
      <c r="AH47" s="259" t="n">
        <v>280789000000</v>
      </c>
      <c r="AI47" s="259" t="n">
        <v>302526000000</v>
      </c>
      <c r="AJ47" s="259" t="n">
        <v>328265000000</v>
      </c>
    </row>
    <row r="48">
      <c r="H48" s="254" t="inlineStr">
        <is>
          <t>BALANÇO - totais divulgados (memória)</t>
        </is>
      </c>
    </row>
    <row r="49">
      <c r="G49" t="inlineStr">
        <is>
          <t>moeda</t>
        </is>
      </c>
      <c r="H49" t="inlineStr">
        <is>
          <t>Total do ativo [us-gaap:Assets]</t>
        </is>
      </c>
      <c r="J49" t="inlineStr">
        <is>
          <t>memoria</t>
        </is>
      </c>
      <c r="K49" s="259" t="n">
        <v>285449000000</v>
      </c>
      <c r="L49" s="259" t="n">
        <v>301311000000</v>
      </c>
      <c r="M49" s="259" t="n">
        <v>301001000000</v>
      </c>
      <c r="N49" s="259" t="n">
        <v>304137000000</v>
      </c>
      <c r="O49" s="259" t="n">
        <v>308879000000</v>
      </c>
      <c r="P49" s="259" t="n">
        <v>333779000000</v>
      </c>
      <c r="Q49" s="259" t="n">
        <v>335418000000</v>
      </c>
      <c r="R49" s="259" t="n">
        <v>340389000000</v>
      </c>
      <c r="S49" s="259" t="n">
        <v>344607000000</v>
      </c>
      <c r="T49" s="259" t="n">
        <v>364840000000</v>
      </c>
      <c r="U49" s="259" t="n">
        <v>359784000000</v>
      </c>
      <c r="V49" s="259" t="n">
        <v>364552000000</v>
      </c>
      <c r="W49" s="259" t="n">
        <v>380088000000</v>
      </c>
      <c r="X49" s="259" t="n">
        <v>411976000000</v>
      </c>
      <c r="Y49" s="259" t="n">
        <v>445785000000</v>
      </c>
      <c r="Z49" s="259" t="n">
        <v>470558000000</v>
      </c>
      <c r="AA49" s="259" t="n">
        <v>484275000000</v>
      </c>
      <c r="AB49" s="259" t="n">
        <v>512163000000</v>
      </c>
      <c r="AC49" s="259" t="n">
        <v>523013000000</v>
      </c>
      <c r="AD49" s="259" t="n">
        <v>533898000000</v>
      </c>
      <c r="AE49" s="259" t="n">
        <v>562624000000</v>
      </c>
      <c r="AF49" s="259" t="n">
        <v>619003000000</v>
      </c>
      <c r="AG49" s="259" t="n">
        <v>636351000000</v>
      </c>
      <c r="AH49" s="259" t="n">
        <v>665302000000</v>
      </c>
      <c r="AI49" s="259" t="n">
        <v>694228000000</v>
      </c>
      <c r="AJ49" s="259" t="n">
        <v>758376000000</v>
      </c>
    </row>
    <row r="50">
      <c r="G50" t="inlineStr">
        <is>
          <t>moeda</t>
        </is>
      </c>
      <c r="H50" t="inlineStr">
        <is>
          <t>Total do passivo + PL [us-gaap:LiabilitiesAndStockholdersEquity]</t>
        </is>
      </c>
      <c r="J50" t="inlineStr">
        <is>
          <t>memoria</t>
        </is>
      </c>
      <c r="K50" s="259" t="n">
        <v>285449000000</v>
      </c>
      <c r="L50" s="259" t="n">
        <v>301311000000</v>
      </c>
      <c r="M50" s="259" t="n">
        <v>301001000000</v>
      </c>
      <c r="N50" s="259" t="n">
        <v>304137000000</v>
      </c>
      <c r="O50" s="259" t="n">
        <v>308879000000</v>
      </c>
      <c r="P50" s="259" t="n">
        <v>333779000000</v>
      </c>
      <c r="Q50" s="259" t="n">
        <v>335418000000</v>
      </c>
      <c r="R50" s="259" t="n">
        <v>340389000000</v>
      </c>
      <c r="S50" s="259" t="n">
        <v>344607000000</v>
      </c>
      <c r="T50" s="259" t="n">
        <v>364840000000</v>
      </c>
      <c r="U50" s="259" t="n">
        <v>359784000000</v>
      </c>
      <c r="V50" s="259" t="n">
        <v>364552000000</v>
      </c>
      <c r="W50" s="259" t="n">
        <v>380088000000</v>
      </c>
      <c r="X50" s="259" t="n">
        <v>411976000000</v>
      </c>
      <c r="Y50" s="259" t="n">
        <v>445785000000</v>
      </c>
      <c r="Z50" s="259" t="n">
        <v>470558000000</v>
      </c>
      <c r="AA50" s="259" t="n">
        <v>484275000000</v>
      </c>
      <c r="AB50" s="259" t="n">
        <v>512163000000</v>
      </c>
      <c r="AC50" s="259" t="n">
        <v>523013000000</v>
      </c>
      <c r="AD50" s="259" t="n">
        <v>533898000000</v>
      </c>
      <c r="AE50" s="259" t="n">
        <v>562624000000</v>
      </c>
      <c r="AF50" s="259" t="n">
        <v>619003000000</v>
      </c>
      <c r="AG50" s="259" t="n">
        <v>636351000000</v>
      </c>
      <c r="AH50" s="259" t="n">
        <v>665302000000</v>
      </c>
      <c r="AI50" s="259" t="n">
        <v>694228000000</v>
      </c>
      <c r="AJ50" s="259" t="n">
        <v>758376000000</v>
      </c>
    </row>
    <row r="51">
      <c r="H51" s="254" t="inlineStr">
        <is>
          <t>CHECKS (devem ser 0)</t>
        </is>
      </c>
    </row>
    <row r="52">
      <c r="G52" t="inlineStr">
        <is>
          <t>moeda</t>
        </is>
      </c>
      <c r="H52" t="inlineStr">
        <is>
          <t>CHECK: contas de ativo - ativo total (USD, arredondado a 100 mil)</t>
        </is>
      </c>
      <c r="J52" t="inlineStr">
        <is>
          <t>derivada</t>
        </is>
      </c>
      <c r="K52" s="260">
        <f>ROUND(N(K21)+N(K22)+N(K23)+N(K24)+N(K25)+N(K26)+N(K27)+N(K28)+N(K29)+N(K30)+N(K31)-N(K49),-5)</f>
        <v>0</v>
      </c>
      <c r="L52" s="260">
        <f>ROUND(N(L21)+N(L22)+N(L23)+N(L24)+N(L25)+N(L26)+N(L27)+N(L28)+N(L29)+N(L30)+N(L31)-N(L49),-5)</f>
        <v>0</v>
      </c>
      <c r="M52" s="260">
        <f>ROUND(N(M21)+N(M22)+N(M23)+N(M24)+N(M25)+N(M26)+N(M27)+N(M28)+N(M29)+N(M30)+N(M31)-N(M49),-5)</f>
        <v>0</v>
      </c>
      <c r="N52" s="260">
        <f>ROUND(N(N21)+N(N22)+N(N23)+N(N24)+N(N25)+N(N26)+N(N27)+N(N28)+N(N29)+N(N30)+N(N31)-N(N49),-5)</f>
        <v>0</v>
      </c>
      <c r="O52" s="260">
        <f>ROUND(N(O21)+N(O22)+N(O23)+N(O24)+N(O25)+N(O26)+N(O27)+N(O28)+N(O29)+N(O30)+N(O31)-N(O49),-5)</f>
        <v>0</v>
      </c>
      <c r="P52" s="260">
        <f>ROUND(N(P21)+N(P22)+N(P23)+N(P24)+N(P25)+N(P26)+N(P27)+N(P28)+N(P29)+N(P30)+N(P31)-N(P49),-5)</f>
        <v>0</v>
      </c>
      <c r="Q52" s="260">
        <f>ROUND(N(Q21)+N(Q22)+N(Q23)+N(Q24)+N(Q25)+N(Q26)+N(Q27)+N(Q28)+N(Q29)+N(Q30)+N(Q31)-N(Q49),-5)</f>
        <v>0</v>
      </c>
      <c r="R52" s="260">
        <f>ROUND(N(R21)+N(R22)+N(R23)+N(R24)+N(R25)+N(R26)+N(R27)+N(R28)+N(R29)+N(R30)+N(R31)-N(R49),-5)</f>
        <v>0</v>
      </c>
      <c r="S52" s="260">
        <f>ROUND(N(S21)+N(S22)+N(S23)+N(S24)+N(S25)+N(S26)+N(S27)+N(S28)+N(S29)+N(S30)+N(S31)-N(S49),-5)</f>
        <v>0</v>
      </c>
      <c r="T52" s="260">
        <f>ROUND(N(T21)+N(T22)+N(T23)+N(T24)+N(T25)+N(T26)+N(T27)+N(T28)+N(T29)+N(T30)+N(T31)-N(T49),-5)</f>
        <v>0</v>
      </c>
      <c r="U52" s="260">
        <f>ROUND(N(U21)+N(U22)+N(U23)+N(U24)+N(U25)+N(U26)+N(U27)+N(U28)+N(U29)+N(U30)+N(U31)-N(U49),-5)</f>
        <v>0</v>
      </c>
      <c r="V52" s="260">
        <f>ROUND(N(V21)+N(V22)+N(V23)+N(V24)+N(V25)+N(V26)+N(V27)+N(V28)+N(V29)+N(V30)+N(V31)-N(V49),-5)</f>
        <v>0</v>
      </c>
      <c r="W52" s="260">
        <f>ROUND(N(W21)+N(W22)+N(W23)+N(W24)+N(W25)+N(W26)+N(W27)+N(W28)+N(W29)+N(W30)+N(W31)-N(W49),-5)</f>
        <v>0</v>
      </c>
      <c r="X52" s="260">
        <f>ROUND(N(X21)+N(X22)+N(X23)+N(X24)+N(X25)+N(X26)+N(X27)+N(X28)+N(X29)+N(X30)+N(X31)-N(X49),-5)</f>
        <v>0</v>
      </c>
      <c r="Y52" s="260">
        <f>ROUND(N(Y21)+N(Y22)+N(Y23)+N(Y24)+N(Y25)+N(Y26)+N(Y27)+N(Y28)+N(Y29)+N(Y30)+N(Y31)-N(Y49),-5)</f>
        <v>0</v>
      </c>
      <c r="Z52" s="260">
        <f>ROUND(N(Z21)+N(Z22)+N(Z23)+N(Z24)+N(Z25)+N(Z26)+N(Z27)+N(Z28)+N(Z29)+N(Z30)+N(Z31)-N(Z49),-5)</f>
        <v>0</v>
      </c>
      <c r="AA52" s="260">
        <f>ROUND(N(AA21)+N(AA22)+N(AA23)+N(AA24)+N(AA25)+N(AA26)+N(AA27)+N(AA28)+N(AA29)+N(AA30)+N(AA31)-N(AA49),-5)</f>
        <v>0</v>
      </c>
      <c r="AB52" s="260">
        <f>ROUND(N(AB21)+N(AB22)+N(AB23)+N(AB24)+N(AB25)+N(AB26)+N(AB27)+N(AB28)+N(AB29)+N(AB30)+N(AB31)-N(AB49),-5)</f>
        <v>0</v>
      </c>
      <c r="AC52" s="260">
        <f>ROUND(N(AC21)+N(AC22)+N(AC23)+N(AC24)+N(AC25)+N(AC26)+N(AC27)+N(AC28)+N(AC29)+N(AC30)+N(AC31)-N(AC49),-5)</f>
        <v>0</v>
      </c>
      <c r="AD52" s="260">
        <f>ROUND(N(AD21)+N(AD22)+N(AD23)+N(AD24)+N(AD25)+N(AD26)+N(AD27)+N(AD28)+N(AD29)+N(AD30)+N(AD31)-N(AD49),-5)</f>
        <v>0</v>
      </c>
      <c r="AE52" s="260">
        <f>ROUND(N(AE21)+N(AE22)+N(AE23)+N(AE24)+N(AE25)+N(AE26)+N(AE27)+N(AE28)+N(AE29)+N(AE30)+N(AE31)-N(AE49),-5)</f>
        <v>0</v>
      </c>
      <c r="AF52" s="260">
        <f>ROUND(N(AF21)+N(AF22)+N(AF23)+N(AF24)+N(AF25)+N(AF26)+N(AF27)+N(AF28)+N(AF29)+N(AF30)+N(AF31)-N(AF49),-5)</f>
        <v>0</v>
      </c>
      <c r="AG52" s="260">
        <f>ROUND(N(AG21)+N(AG22)+N(AG23)+N(AG24)+N(AG25)+N(AG26)+N(AG27)+N(AG28)+N(AG29)+N(AG30)+N(AG31)-N(AG49),-5)</f>
        <v>0</v>
      </c>
      <c r="AH52" s="260">
        <f>ROUND(N(AH21)+N(AH22)+N(AH23)+N(AH24)+N(AH25)+N(AH26)+N(AH27)+N(AH28)+N(AH29)+N(AH30)+N(AH31)-N(AH49),-5)</f>
        <v>0</v>
      </c>
      <c r="AI52" s="260">
        <f>ROUND(N(AI21)+N(AI22)+N(AI23)+N(AI24)+N(AI25)+N(AI26)+N(AI27)+N(AI28)+N(AI29)+N(AI30)+N(AI31)-N(AI49),-5)</f>
        <v>0</v>
      </c>
      <c r="AJ52" s="260">
        <f>ROUND(N(AJ21)+N(AJ22)+N(AJ23)+N(AJ24)+N(AJ25)+N(AJ26)+N(AJ27)+N(AJ28)+N(AJ29)+N(AJ30)+N(AJ31)-N(AJ49),-5)</f>
        <v>0</v>
      </c>
    </row>
    <row r="53">
      <c r="G53" t="inlineStr">
        <is>
          <t>moeda</t>
        </is>
      </c>
      <c r="H53" t="inlineStr">
        <is>
          <t>CHECK: passivo + PL (contas) - passivo + PL total</t>
        </is>
      </c>
      <c r="J53" t="inlineStr">
        <is>
          <t>derivada</t>
        </is>
      </c>
      <c r="K53" s="260">
        <f>ROUND(N(K32)+N(K33)+N(K34)+N(K35)+N(K36)+N(K37)+N(K38)+N(K39)+N(K40)+N(K41)+N(K42)+N(K43)+N(K44)+N(K45)+N(K46)+N(K47)-N(K50),-5)</f>
        <v>0</v>
      </c>
      <c r="L53" s="260">
        <f>ROUND(N(L32)+N(L33)+N(L34)+N(L35)+N(L36)+N(L37)+N(L38)+N(L39)+N(L40)+N(L41)+N(L42)+N(L43)+N(L44)+N(L45)+N(L46)+N(L47)-N(L50),-5)</f>
        <v>0</v>
      </c>
      <c r="M53" s="260">
        <f>ROUND(N(M32)+N(M33)+N(M34)+N(M35)+N(M36)+N(M37)+N(M38)+N(M39)+N(M40)+N(M41)+N(M42)+N(M43)+N(M44)+N(M45)+N(M46)+N(M47)-N(M50),-5)</f>
        <v>0</v>
      </c>
      <c r="N53" s="260">
        <f>ROUND(N(N32)+N(N33)+N(N34)+N(N35)+N(N36)+N(N37)+N(N38)+N(N39)+N(N40)+N(N41)+N(N42)+N(N43)+N(N44)+N(N45)+N(N46)+N(N47)-N(N50),-5)</f>
        <v>0</v>
      </c>
      <c r="O53" s="260">
        <f>ROUND(N(O32)+N(O33)+N(O34)+N(O35)+N(O36)+N(O37)+N(O38)+N(O39)+N(O40)+N(O41)+N(O42)+N(O43)+N(O44)+N(O45)+N(O46)+N(O47)-N(O50),-5)</f>
        <v>0</v>
      </c>
      <c r="P53" s="260">
        <f>ROUND(N(P32)+N(P33)+N(P34)+N(P35)+N(P36)+N(P37)+N(P38)+N(P39)+N(P40)+N(P41)+N(P42)+N(P43)+N(P44)+N(P45)+N(P46)+N(P47)-N(P50),-5)</f>
        <v>0</v>
      </c>
      <c r="Q53" s="260">
        <f>ROUND(N(Q32)+N(Q33)+N(Q34)+N(Q35)+N(Q36)+N(Q37)+N(Q38)+N(Q39)+N(Q40)+N(Q41)+N(Q42)+N(Q43)+N(Q44)+N(Q45)+N(Q46)+N(Q47)-N(Q50),-5)</f>
        <v>0</v>
      </c>
      <c r="R53" s="260">
        <f>ROUND(N(R32)+N(R33)+N(R34)+N(R35)+N(R36)+N(R37)+N(R38)+N(R39)+N(R40)+N(R41)+N(R42)+N(R43)+N(R44)+N(R45)+N(R46)+N(R47)-N(R50),-5)</f>
        <v>0</v>
      </c>
      <c r="S53" s="260">
        <f>ROUND(N(S32)+N(S33)+N(S34)+N(S35)+N(S36)+N(S37)+N(S38)+N(S39)+N(S40)+N(S41)+N(S42)+N(S43)+N(S44)+N(S45)+N(S46)+N(S47)-N(S50),-5)</f>
        <v>0</v>
      </c>
      <c r="T53" s="260">
        <f>ROUND(N(T32)+N(T33)+N(T34)+N(T35)+N(T36)+N(T37)+N(T38)+N(T39)+N(T40)+N(T41)+N(T42)+N(T43)+N(T44)+N(T45)+N(T46)+N(T47)-N(T50),-5)</f>
        <v>0</v>
      </c>
      <c r="U53" s="260">
        <f>ROUND(N(U32)+N(U33)+N(U34)+N(U35)+N(U36)+N(U37)+N(U38)+N(U39)+N(U40)+N(U41)+N(U42)+N(U43)+N(U44)+N(U45)+N(U46)+N(U47)-N(U50),-5)</f>
        <v>0</v>
      </c>
      <c r="V53" s="260">
        <f>ROUND(N(V32)+N(V33)+N(V34)+N(V35)+N(V36)+N(V37)+N(V38)+N(V39)+N(V40)+N(V41)+N(V42)+N(V43)+N(V44)+N(V45)+N(V46)+N(V47)-N(V50),-5)</f>
        <v>0</v>
      </c>
      <c r="W53" s="260">
        <f>ROUND(N(W32)+N(W33)+N(W34)+N(W35)+N(W36)+N(W37)+N(W38)+N(W39)+N(W40)+N(W41)+N(W42)+N(W43)+N(W44)+N(W45)+N(W46)+N(W47)-N(W50),-5)</f>
        <v>0</v>
      </c>
      <c r="X53" s="260">
        <f>ROUND(N(X32)+N(X33)+N(X34)+N(X35)+N(X36)+N(X37)+N(X38)+N(X39)+N(X40)+N(X41)+N(X42)+N(X43)+N(X44)+N(X45)+N(X46)+N(X47)-N(X50),-5)</f>
        <v>0</v>
      </c>
      <c r="Y53" s="260">
        <f>ROUND(N(Y32)+N(Y33)+N(Y34)+N(Y35)+N(Y36)+N(Y37)+N(Y38)+N(Y39)+N(Y40)+N(Y41)+N(Y42)+N(Y43)+N(Y44)+N(Y45)+N(Y46)+N(Y47)-N(Y50),-5)</f>
        <v>0</v>
      </c>
      <c r="Z53" s="260">
        <f>ROUND(N(Z32)+N(Z33)+N(Z34)+N(Z35)+N(Z36)+N(Z37)+N(Z38)+N(Z39)+N(Z40)+N(Z41)+N(Z42)+N(Z43)+N(Z44)+N(Z45)+N(Z46)+N(Z47)-N(Z50),-5)</f>
        <v>0</v>
      </c>
      <c r="AA53" s="260">
        <f>ROUND(N(AA32)+N(AA33)+N(AA34)+N(AA35)+N(AA36)+N(AA37)+N(AA38)+N(AA39)+N(AA40)+N(AA41)+N(AA42)+N(AA43)+N(AA44)+N(AA45)+N(AA46)+N(AA47)-N(AA50),-5)</f>
        <v>0</v>
      </c>
      <c r="AB53" s="260">
        <f>ROUND(N(AB32)+N(AB33)+N(AB34)+N(AB35)+N(AB36)+N(AB37)+N(AB38)+N(AB39)+N(AB40)+N(AB41)+N(AB42)+N(AB43)+N(AB44)+N(AB45)+N(AB46)+N(AB47)-N(AB50),-5)</f>
        <v>0</v>
      </c>
      <c r="AC53" s="260">
        <f>ROUND(N(AC32)+N(AC33)+N(AC34)+N(AC35)+N(AC36)+N(AC37)+N(AC38)+N(AC39)+N(AC40)+N(AC41)+N(AC42)+N(AC43)+N(AC44)+N(AC45)+N(AC46)+N(AC47)-N(AC50),-5)</f>
        <v>0</v>
      </c>
      <c r="AD53" s="260">
        <f>ROUND(N(AD32)+N(AD33)+N(AD34)+N(AD35)+N(AD36)+N(AD37)+N(AD38)+N(AD39)+N(AD40)+N(AD41)+N(AD42)+N(AD43)+N(AD44)+N(AD45)+N(AD46)+N(AD47)-N(AD50),-5)</f>
        <v>0</v>
      </c>
      <c r="AE53" s="260">
        <f>ROUND(N(AE32)+N(AE33)+N(AE34)+N(AE35)+N(AE36)+N(AE37)+N(AE38)+N(AE39)+N(AE40)+N(AE41)+N(AE42)+N(AE43)+N(AE44)+N(AE45)+N(AE46)+N(AE47)-N(AE50),-5)</f>
        <v>0</v>
      </c>
      <c r="AF53" s="260">
        <f>ROUND(N(AF32)+N(AF33)+N(AF34)+N(AF35)+N(AF36)+N(AF37)+N(AF38)+N(AF39)+N(AF40)+N(AF41)+N(AF42)+N(AF43)+N(AF44)+N(AF45)+N(AF46)+N(AF47)-N(AF50),-5)</f>
        <v>0</v>
      </c>
      <c r="AG53" s="260">
        <f>ROUND(N(AG32)+N(AG33)+N(AG34)+N(AG35)+N(AG36)+N(AG37)+N(AG38)+N(AG39)+N(AG40)+N(AG41)+N(AG42)+N(AG43)+N(AG44)+N(AG45)+N(AG46)+N(AG47)-N(AG50),-5)</f>
        <v>0</v>
      </c>
      <c r="AH53" s="260">
        <f>ROUND(N(AH32)+N(AH33)+N(AH34)+N(AH35)+N(AH36)+N(AH37)+N(AH38)+N(AH39)+N(AH40)+N(AH41)+N(AH42)+N(AH43)+N(AH44)+N(AH45)+N(AH46)+N(AH47)-N(AH50),-5)</f>
        <v>0</v>
      </c>
      <c r="AI53" s="260">
        <f>ROUND(N(AI32)+N(AI33)+N(AI34)+N(AI35)+N(AI36)+N(AI37)+N(AI38)+N(AI39)+N(AI40)+N(AI41)+N(AI42)+N(AI43)+N(AI44)+N(AI45)+N(AI46)+N(AI47)-N(AI50),-5)</f>
        <v>0</v>
      </c>
      <c r="AJ53" s="260">
        <f>ROUND(N(AJ32)+N(AJ33)+N(AJ34)+N(AJ35)+N(AJ36)+N(AJ37)+N(AJ38)+N(AJ39)+N(AJ40)+N(AJ41)+N(AJ42)+N(AJ43)+N(AJ44)+N(AJ45)+N(AJ46)+N(AJ47)-N(AJ50),-5)</f>
        <v>0</v>
      </c>
    </row>
    <row r="54">
      <c r="H54" t="inlineStr">
        <is>
          <t>CHECK: receita - custo - despesas + não operacional - IR - minoritários + outros após IR - lucro (deve ser 0)</t>
        </is>
      </c>
      <c r="J54" t="inlineStr">
        <is>
          <t>derivada</t>
        </is>
      </c>
      <c r="K54">
        <f>ROUND(N(K6)-N(K7)-N(K9)+N(K11)-N(K13)+N(K15)-N(K16),-5)</f>
        <v>0</v>
      </c>
      <c r="L54">
        <f>ROUND(N(L6)-N(L7)-N(L9)+N(L11)-N(L13)+N(L15)-N(L16),-5)</f>
        <v>0</v>
      </c>
      <c r="M54">
        <f>ROUND(N(M6)-N(M7)-N(M9)+N(M11)-N(M13)+N(M15)-N(M16),-5)</f>
        <v>0</v>
      </c>
      <c r="N54">
        <f>ROUND(N(N6)-N(N7)-N(N9)+N(N11)-N(N13)+N(N15)-N(N16),-5)</f>
        <v>0</v>
      </c>
      <c r="O54">
        <f>ROUND(N(O6)-N(O7)-N(O9)+N(O11)-N(O13)+N(O15)-N(O16),-5)</f>
        <v>0</v>
      </c>
      <c r="P54">
        <f>ROUND(N(P6)-N(P7)-N(P9)+N(P11)-N(P13)+N(P15)-N(P16),-5)</f>
        <v>0</v>
      </c>
      <c r="Q54">
        <f>ROUND(N(Q6)-N(Q7)-N(Q9)+N(Q11)-N(Q13)+N(Q15)-N(Q16),-5)</f>
        <v>0</v>
      </c>
      <c r="R54">
        <f>ROUND(N(R6)-N(R7)-N(R9)+N(R11)-N(R13)+N(R15)-N(R16),-5)</f>
        <v>0</v>
      </c>
      <c r="S54">
        <f>ROUND(N(S6)-N(S7)-N(S9)+N(S11)-N(S13)+N(S15)-N(S16),-5)</f>
        <v>0</v>
      </c>
      <c r="T54">
        <f>ROUND(N(T6)-N(T7)-N(T9)+N(T11)-N(T13)+N(T15)-N(T16),-5)</f>
        <v>0</v>
      </c>
      <c r="U54">
        <f>ROUND(N(U6)-N(U7)-N(U9)+N(U11)-N(U13)+N(U15)-N(U16),-5)</f>
        <v>0</v>
      </c>
      <c r="V54">
        <f>ROUND(N(V6)-N(V7)-N(V9)+N(V11)-N(V13)+N(V15)-N(V16),-5)</f>
        <v>0</v>
      </c>
      <c r="W54">
        <f>ROUND(N(W6)-N(W7)-N(W9)+N(W11)-N(W13)+N(W15)-N(W16),-5)</f>
        <v>0</v>
      </c>
      <c r="X54">
        <f>ROUND(N(X6)-N(X7)-N(X9)+N(X11)-N(X13)+N(X15)-N(X16),-5)</f>
        <v>0</v>
      </c>
      <c r="Y54">
        <f>ROUND(N(Y6)-N(Y7)-N(Y9)+N(Y11)-N(Y13)+N(Y15)-N(Y16),-5)</f>
        <v>0</v>
      </c>
      <c r="Z54">
        <f>ROUND(N(Z6)-N(Z7)-N(Z9)+N(Z11)-N(Z13)+N(Z15)-N(Z16),-5)</f>
        <v>0</v>
      </c>
      <c r="AA54">
        <f>ROUND(N(AA6)-N(AA7)-N(AA9)+N(AA11)-N(AA13)+N(AA15)-N(AA16),-5)</f>
        <v>0</v>
      </c>
      <c r="AB54">
        <f>ROUND(N(AB6)-N(AB7)-N(AB9)+N(AB11)-N(AB13)+N(AB15)-N(AB16),-5)</f>
        <v>0</v>
      </c>
      <c r="AC54">
        <f>ROUND(N(AC6)-N(AC7)-N(AC9)+N(AC11)-N(AC13)+N(AC15)-N(AC16),-5)</f>
        <v>0</v>
      </c>
      <c r="AD54">
        <f>ROUND(N(AD6)-N(AD7)-N(AD9)+N(AD11)-N(AD13)+N(AD15)-N(AD16),-5)</f>
        <v>0</v>
      </c>
      <c r="AE54">
        <f>ROUND(N(AE6)-N(AE7)-N(AE9)+N(AE11)-N(AE13)+N(AE15)-N(AE16),-5)</f>
        <v>0</v>
      </c>
      <c r="AF54">
        <f>ROUND(N(AF6)-N(AF7)-N(AF9)+N(AF11)-N(AF13)+N(AF15)-N(AF16),-5)</f>
        <v>0</v>
      </c>
      <c r="AG54">
        <f>ROUND(N(AG6)-N(AG7)-N(AG9)+N(AG11)-N(AG13)+N(AG15)-N(AG16),-5)</f>
        <v>0</v>
      </c>
      <c r="AH54">
        <f>ROUND(N(AH6)-N(AH7)-N(AH9)+N(AH11)-N(AH13)+N(AH15)-N(AH16),-5)</f>
        <v>0</v>
      </c>
      <c r="AI54">
        <f>ROUND(N(AI6)-N(AI7)-N(AI9)+N(AI11)-N(AI13)+N(AI15)-N(AI16),-5)</f>
        <v>0</v>
      </c>
      <c r="AJ54">
        <f>ROUND(N(AJ6)-N(AJ7)-N(AJ9)+N(AJ11)-N(AJ13)+N(AJ15)-N(AJ16),-5)</f>
        <v>0</v>
      </c>
    </row>
    <row r="56">
      <c r="H56" s="254" t="inlineStr">
        <is>
          <t>DRIVERS DE RECEITA (codigos 45+): segmentos (receita e lucro operacional), Microsoft Cloud, linhas de produto e EUA x exterior - SEC XBRL (USD, fator 0,000001).</t>
        </is>
      </c>
    </row>
    <row r="57">
      <c r="A57" t="n">
        <v>45</v>
      </c>
      <c r="B57" t="n">
        <v>1</v>
      </c>
      <c r="G57" t="inlineStr">
        <is>
          <t>moeda</t>
        </is>
      </c>
      <c r="H57" t="inlineStr">
        <is>
          <t>Productivity and Business Processes - receita (USD)</t>
        </is>
      </c>
      <c r="J57" t="inlineStr">
        <is>
          <t>fonte</t>
        </is>
      </c>
      <c r="K57" s="262" t="n">
        <v>11743000000</v>
      </c>
      <c r="L57" s="262" t="n">
        <v>11752000000</v>
      </c>
      <c r="M57" s="262" t="n">
        <v>12319000000</v>
      </c>
      <c r="N57" s="262" t="n">
        <v>13353000000</v>
      </c>
      <c r="O57" s="262" t="n">
        <v>13552000000</v>
      </c>
      <c r="P57" s="262" t="n">
        <v>14691000000</v>
      </c>
      <c r="Q57" s="262" t="n">
        <v>15039000000</v>
      </c>
      <c r="R57" s="262" t="n">
        <v>15936000000</v>
      </c>
      <c r="S57" s="262" t="n">
        <v>15789000000</v>
      </c>
      <c r="T57" s="262" t="n">
        <v>16600000000</v>
      </c>
      <c r="U57" s="262" t="n">
        <v>16465000000</v>
      </c>
      <c r="V57" s="262" t="n">
        <v>17002000000</v>
      </c>
      <c r="W57" s="262" t="n">
        <v>17516000000</v>
      </c>
      <c r="X57" s="262" t="n">
        <v>18291000000</v>
      </c>
      <c r="Y57" s="262" t="n">
        <v>25226000000</v>
      </c>
      <c r="Z57" s="262" t="n">
        <v>25854000000</v>
      </c>
      <c r="AA57" s="262" t="n">
        <v>27113000000</v>
      </c>
      <c r="AB57" s="262" t="n">
        <v>20317000000</v>
      </c>
      <c r="AC57" s="262" t="n">
        <v>28317000000</v>
      </c>
      <c r="AD57" s="262" t="n">
        <v>29437000000</v>
      </c>
      <c r="AE57" s="262" t="n">
        <v>29944000000</v>
      </c>
      <c r="AF57" s="262" t="n">
        <v>33112000000</v>
      </c>
      <c r="AG57" s="262" t="n">
        <v>33020000000</v>
      </c>
      <c r="AH57" s="262" t="n">
        <v>34116000000</v>
      </c>
      <c r="AI57" s="262" t="n">
        <v>35013000000</v>
      </c>
      <c r="AJ57" s="262" t="n">
        <v>37847000000</v>
      </c>
    </row>
    <row r="58">
      <c r="A58" t="n">
        <v>46</v>
      </c>
      <c r="B58" t="n">
        <v>1</v>
      </c>
      <c r="G58" t="inlineStr">
        <is>
          <t>moeda</t>
        </is>
      </c>
      <c r="H58" t="inlineStr">
        <is>
          <t>Intelligent Cloud - receita (USD)</t>
        </is>
      </c>
      <c r="J58" t="inlineStr">
        <is>
          <t>fonte</t>
        </is>
      </c>
      <c r="K58" s="262" t="n">
        <v>12281000000</v>
      </c>
      <c r="L58" s="262" t="n">
        <v>13371000000</v>
      </c>
      <c r="M58" s="262" t="n">
        <v>12986000000</v>
      </c>
      <c r="N58" s="262" t="n">
        <v>14601000000</v>
      </c>
      <c r="O58" s="262" t="n">
        <v>15118000000</v>
      </c>
      <c r="P58" s="262" t="n">
        <v>17375000000</v>
      </c>
      <c r="Q58" s="262" t="n">
        <v>16912000000</v>
      </c>
      <c r="R58" s="262" t="n">
        <v>18262000000</v>
      </c>
      <c r="S58" s="262" t="n">
        <v>18987000000</v>
      </c>
      <c r="T58" s="262" t="n">
        <v>20909000000</v>
      </c>
      <c r="U58" s="262" t="n">
        <v>20325000000</v>
      </c>
      <c r="V58" s="262" t="n">
        <v>21508000000</v>
      </c>
      <c r="W58" s="262" t="n">
        <v>22081000000</v>
      </c>
      <c r="X58" s="262" t="n">
        <v>23993000000</v>
      </c>
      <c r="Y58" s="262" t="n">
        <v>20013000000</v>
      </c>
      <c r="Z58" s="262" t="n">
        <v>21525000000</v>
      </c>
      <c r="AA58" s="262" t="n">
        <v>22141000000</v>
      </c>
      <c r="AB58" s="262" t="n">
        <v>28515000000</v>
      </c>
      <c r="AC58" s="262" t="n">
        <v>24092000000</v>
      </c>
      <c r="AD58" s="262" t="n">
        <v>25544000000</v>
      </c>
      <c r="AE58" s="262" t="n">
        <v>26751000000</v>
      </c>
      <c r="AF58" s="262" t="n">
        <v>29878000000</v>
      </c>
      <c r="AG58" s="262" t="n">
        <v>30897000000</v>
      </c>
      <c r="AH58" s="262" t="n">
        <v>32907000000</v>
      </c>
      <c r="AI58" s="262" t="n">
        <v>34681000000</v>
      </c>
      <c r="AJ58" s="262" t="n">
        <v>39306000000</v>
      </c>
    </row>
    <row r="59">
      <c r="A59" t="n">
        <v>47</v>
      </c>
      <c r="B59" t="n">
        <v>1</v>
      </c>
      <c r="G59" t="inlineStr">
        <is>
          <t>moeda</t>
        </is>
      </c>
      <c r="H59" t="inlineStr">
        <is>
          <t>More Personal Computing - receita (USD)</t>
        </is>
      </c>
      <c r="J59" t="inlineStr">
        <is>
          <t>fonte</t>
        </is>
      </c>
      <c r="K59" s="262" t="n">
        <v>10997000000</v>
      </c>
      <c r="L59" s="262" t="n">
        <v>12910000000</v>
      </c>
      <c r="M59" s="262" t="n">
        <v>11849000000</v>
      </c>
      <c r="N59" s="262" t="n">
        <v>15122000000</v>
      </c>
      <c r="O59" s="262" t="n">
        <v>13036000000</v>
      </c>
      <c r="P59" s="262" t="n">
        <v>14086000000</v>
      </c>
      <c r="Q59" s="262" t="n">
        <v>13366000000</v>
      </c>
      <c r="R59" s="262" t="n">
        <v>17530000000</v>
      </c>
      <c r="S59" s="262" t="n">
        <v>14584000000</v>
      </c>
      <c r="T59" s="262" t="n">
        <v>14356000000</v>
      </c>
      <c r="U59" s="262" t="n">
        <v>13332000000</v>
      </c>
      <c r="V59" s="262" t="n">
        <v>14237000000</v>
      </c>
      <c r="W59" s="262" t="n">
        <v>13260000000</v>
      </c>
      <c r="X59" s="262" t="n">
        <v>13905000000</v>
      </c>
      <c r="Y59" s="262" t="n">
        <v>11278000000</v>
      </c>
      <c r="Z59" s="262" t="n">
        <v>14641000000</v>
      </c>
      <c r="AA59" s="262" t="n">
        <v>12604000000</v>
      </c>
      <c r="AB59" s="262" t="n">
        <v>15895000000</v>
      </c>
      <c r="AC59" s="262" t="n">
        <v>13176000000</v>
      </c>
      <c r="AD59" s="262" t="n">
        <v>14651000000</v>
      </c>
      <c r="AE59" s="262" t="n">
        <v>13371000000</v>
      </c>
      <c r="AF59" s="262" t="n">
        <v>13451000000</v>
      </c>
      <c r="AG59" s="262" t="n">
        <v>13756000000</v>
      </c>
      <c r="AH59" s="262" t="n">
        <v>14250000000</v>
      </c>
      <c r="AI59" s="262" t="n">
        <v>13192000000</v>
      </c>
      <c r="AJ59" s="262" t="n">
        <v>12854000000</v>
      </c>
    </row>
    <row r="60">
      <c r="A60" t="n">
        <v>48</v>
      </c>
      <c r="B60" t="n">
        <v>1</v>
      </c>
      <c r="G60" t="inlineStr">
        <is>
          <t>moeda</t>
        </is>
      </c>
      <c r="H60" t="inlineStr">
        <is>
          <t>Productivity and Business Processes - lucro operacional (USD)</t>
        </is>
      </c>
      <c r="J60" t="inlineStr">
        <is>
          <t>fonte</t>
        </is>
      </c>
      <c r="K60" s="262" t="n">
        <v>4788000000</v>
      </c>
      <c r="L60" s="262" t="n">
        <v>3972000000</v>
      </c>
      <c r="M60" s="262" t="n">
        <v>5706000000</v>
      </c>
      <c r="N60" s="262" t="n">
        <v>6181000000</v>
      </c>
      <c r="O60" s="262" t="n">
        <v>6029000000</v>
      </c>
      <c r="P60" s="262" t="n">
        <v>6435000000</v>
      </c>
      <c r="Q60" s="262" t="n">
        <v>7581000000</v>
      </c>
      <c r="R60" s="262" t="n">
        <v>7688000000</v>
      </c>
      <c r="S60" s="262" t="n">
        <v>7185000000</v>
      </c>
      <c r="T60" s="262" t="n">
        <v>7234000000</v>
      </c>
      <c r="U60" s="262" t="n">
        <v>8323000000</v>
      </c>
      <c r="V60" s="262" t="n">
        <v>8175000000</v>
      </c>
      <c r="W60" s="262" t="n">
        <v>8639000000</v>
      </c>
      <c r="X60" s="262" t="n">
        <v>9052000000</v>
      </c>
      <c r="Y60" s="262" t="n">
        <v>14297000000</v>
      </c>
      <c r="Z60" s="262" t="n">
        <v>14515000000</v>
      </c>
      <c r="AA60" s="262" t="n">
        <v>15143000000</v>
      </c>
      <c r="AB60" s="262" t="n">
        <v>10143000000</v>
      </c>
      <c r="AC60" s="262" t="n">
        <v>16516000000</v>
      </c>
      <c r="AD60" s="262" t="n">
        <v>16885000000</v>
      </c>
      <c r="AE60" s="262" t="n">
        <v>17379000000</v>
      </c>
      <c r="AF60" s="262" t="n">
        <v>18993000000</v>
      </c>
      <c r="AG60" s="262" t="n">
        <v>20407000000</v>
      </c>
      <c r="AH60" s="262" t="n">
        <v>20599000000</v>
      </c>
      <c r="AI60" s="262" t="n">
        <v>20973000000</v>
      </c>
      <c r="AJ60" s="262" t="n">
        <v>21900000000</v>
      </c>
    </row>
    <row r="61">
      <c r="A61" t="n">
        <v>49</v>
      </c>
      <c r="B61" t="n">
        <v>1</v>
      </c>
      <c r="G61" t="inlineStr">
        <is>
          <t>moeda</t>
        </is>
      </c>
      <c r="H61" t="inlineStr">
        <is>
          <t>Intelligent Cloud - lucro operacional (USD)</t>
        </is>
      </c>
      <c r="J61" t="inlineStr">
        <is>
          <t>fonte</t>
        </is>
      </c>
      <c r="K61" s="262" t="n">
        <v>4560000000</v>
      </c>
      <c r="L61" s="262" t="n">
        <v>5344000000</v>
      </c>
      <c r="M61" s="262" t="n">
        <v>5422000000</v>
      </c>
      <c r="N61" s="262" t="n">
        <v>6492000000</v>
      </c>
      <c r="O61" s="262" t="n">
        <v>6425000000</v>
      </c>
      <c r="P61" s="262" t="n">
        <v>7787000000</v>
      </c>
      <c r="Q61" s="262" t="n">
        <v>7681000000</v>
      </c>
      <c r="R61" s="262" t="n">
        <v>8323000000</v>
      </c>
      <c r="S61" s="262" t="n">
        <v>8391000000</v>
      </c>
      <c r="T61" s="262" t="n">
        <v>8681000000</v>
      </c>
      <c r="U61" s="262" t="n">
        <v>8978000000</v>
      </c>
      <c r="V61" s="262" t="n">
        <v>8904000000</v>
      </c>
      <c r="W61" s="262" t="n">
        <v>9476000000</v>
      </c>
      <c r="X61" s="262" t="n">
        <v>10526000000</v>
      </c>
      <c r="Y61" s="262" t="n">
        <v>8908000000</v>
      </c>
      <c r="Z61" s="262" t="n">
        <v>9555000000</v>
      </c>
      <c r="AA61" s="262" t="n">
        <v>9515000000</v>
      </c>
      <c r="AB61" s="262" t="n">
        <v>12859000000</v>
      </c>
      <c r="AC61" s="262" t="n">
        <v>10503000000</v>
      </c>
      <c r="AD61" s="262" t="n">
        <v>10851000000</v>
      </c>
      <c r="AE61" s="262" t="n">
        <v>11095000000</v>
      </c>
      <c r="AF61" s="262" t="n">
        <v>12140000000</v>
      </c>
      <c r="AG61" s="262" t="n">
        <v>13391000000</v>
      </c>
      <c r="AH61" s="262" t="n">
        <v>13873000000</v>
      </c>
      <c r="AI61" s="262" t="n">
        <v>13753000000</v>
      </c>
      <c r="AJ61" s="262" t="n">
        <v>15955000000</v>
      </c>
    </row>
    <row r="62">
      <c r="A62" t="n">
        <v>50</v>
      </c>
      <c r="B62" t="n">
        <v>1</v>
      </c>
      <c r="G62" t="inlineStr">
        <is>
          <t>moeda</t>
        </is>
      </c>
      <c r="H62" t="inlineStr">
        <is>
          <t>More Personal Computing - lucro operacional (USD)</t>
        </is>
      </c>
      <c r="J62" t="inlineStr">
        <is>
          <t>fonte</t>
        </is>
      </c>
      <c r="K62" s="262" t="n">
        <v>3627000000</v>
      </c>
      <c r="L62" s="262" t="n">
        <v>4091000000</v>
      </c>
      <c r="M62" s="262" t="n">
        <v>4748000000</v>
      </c>
      <c r="N62" s="262" t="n">
        <v>5224000000</v>
      </c>
      <c r="O62" s="262" t="n">
        <v>4594000000</v>
      </c>
      <c r="P62" s="262" t="n">
        <v>4873000000</v>
      </c>
      <c r="Q62" s="262" t="n">
        <v>4976000000</v>
      </c>
      <c r="R62" s="262" t="n">
        <v>6236000000</v>
      </c>
      <c r="S62" s="262" t="n">
        <v>4788000000</v>
      </c>
      <c r="T62" s="262" t="n">
        <v>4619000000</v>
      </c>
      <c r="U62" s="262" t="n">
        <v>4217000000</v>
      </c>
      <c r="V62" s="262" t="n">
        <v>3320000000</v>
      </c>
      <c r="W62" s="262" t="n">
        <v>4237000000</v>
      </c>
      <c r="X62" s="262" t="n">
        <v>4676000000</v>
      </c>
      <c r="Y62" s="262" t="n">
        <v>3690000000</v>
      </c>
      <c r="Z62" s="262" t="n">
        <v>2962000000</v>
      </c>
      <c r="AA62" s="262" t="n">
        <v>2923000000</v>
      </c>
      <c r="AB62" s="262" t="n">
        <v>4923000000</v>
      </c>
      <c r="AC62" s="262" t="n">
        <v>3533000000</v>
      </c>
      <c r="AD62" s="262" t="n">
        <v>3917000000</v>
      </c>
      <c r="AE62" s="262" t="n">
        <v>3526000000</v>
      </c>
      <c r="AF62" s="262" t="n">
        <v>3190000000</v>
      </c>
      <c r="AG62" s="262" t="n">
        <v>4163000000</v>
      </c>
      <c r="AH62" s="262" t="n">
        <v>3803000000</v>
      </c>
      <c r="AI62" s="262" t="n">
        <v>3672000000</v>
      </c>
      <c r="AJ62" s="262" t="n">
        <v>2748000000</v>
      </c>
    </row>
    <row r="63">
      <c r="A63" t="n">
        <v>51</v>
      </c>
      <c r="B63" t="n">
        <v>1</v>
      </c>
      <c r="G63" t="inlineStr">
        <is>
          <t>moeda</t>
        </is>
      </c>
      <c r="H63" t="inlineStr">
        <is>
          <t>Microsoft Cloud - receita (USD; até 2021 "Commercial cloud")</t>
        </is>
      </c>
      <c r="J63" t="inlineStr">
        <is>
          <t>fonte</t>
        </is>
      </c>
      <c r="K63" s="262" t="n">
        <v>13300000000</v>
      </c>
      <c r="L63" s="262" t="n">
        <v>14300000000</v>
      </c>
      <c r="M63" s="262" t="n">
        <v>15200000000</v>
      </c>
      <c r="N63" s="262" t="n">
        <v>16700000000</v>
      </c>
      <c r="O63" s="262" t="n">
        <v>17700000000</v>
      </c>
      <c r="P63" s="262" t="n">
        <v>19500000000</v>
      </c>
      <c r="Q63" s="262" t="n">
        <v>20700000000</v>
      </c>
      <c r="R63" s="262" t="n">
        <v>22200000000</v>
      </c>
      <c r="S63" s="262" t="n">
        <v>23400000000</v>
      </c>
      <c r="T63" s="262" t="n">
        <v>25000000000</v>
      </c>
      <c r="U63" s="262" t="n">
        <v>25700000000</v>
      </c>
      <c r="V63" s="262" t="n">
        <v>27100000000</v>
      </c>
      <c r="W63" s="262" t="n">
        <v>28500000000</v>
      </c>
      <c r="X63" s="262" t="n">
        <v>30300000000</v>
      </c>
      <c r="Y63" s="262" t="n">
        <v>31900000000</v>
      </c>
      <c r="Z63" s="262" t="n">
        <v>33700000000</v>
      </c>
      <c r="AA63" s="262" t="n">
        <v>35200000000</v>
      </c>
      <c r="AB63" s="262" t="n">
        <v>36800000000</v>
      </c>
      <c r="AC63" s="262" t="n">
        <v>38900000000</v>
      </c>
      <c r="AD63" s="262" t="n">
        <v>40900000000</v>
      </c>
      <c r="AE63" s="262" t="n">
        <v>42400000000</v>
      </c>
      <c r="AF63" s="262" t="n">
        <v>46700000000</v>
      </c>
      <c r="AG63" s="262" t="n">
        <v>49100000000</v>
      </c>
      <c r="AH63" s="262" t="n">
        <v>51500000000</v>
      </c>
      <c r="AI63" s="262" t="n">
        <v>54500000000</v>
      </c>
      <c r="AJ63" s="262" t="n">
        <v>59300000000</v>
      </c>
    </row>
    <row r="64">
      <c r="A64" t="n">
        <v>52</v>
      </c>
      <c r="B64" t="n">
        <v>1</v>
      </c>
      <c r="G64" t="inlineStr">
        <is>
          <t>moeda</t>
        </is>
      </c>
      <c r="H64" t="inlineStr">
        <is>
          <t>Server products and cloud services (Azure) - receita (USD)</t>
        </is>
      </c>
      <c r="J64" t="inlineStr">
        <is>
          <t>fonte</t>
        </is>
      </c>
      <c r="K64" s="262" t="n">
        <v>10490000000</v>
      </c>
      <c r="L64" s="262" t="n">
        <v>11578000000</v>
      </c>
      <c r="M64" s="262" t="n">
        <v>11195000000</v>
      </c>
      <c r="N64" s="262" t="n">
        <v>12729000000</v>
      </c>
      <c r="O64" s="262" t="n">
        <v>13204000000</v>
      </c>
      <c r="P64" s="262" t="n">
        <v>15461000000</v>
      </c>
      <c r="Q64" s="262" t="n">
        <v>15070000000</v>
      </c>
      <c r="R64" s="262" t="n">
        <v>16382000000</v>
      </c>
      <c r="S64" s="262" t="n">
        <v>17046000000</v>
      </c>
      <c r="T64" s="262" t="n">
        <v>18839000000</v>
      </c>
      <c r="U64" s="262" t="n">
        <v>18388000000</v>
      </c>
      <c r="V64" s="262" t="n">
        <v>19594000000</v>
      </c>
      <c r="W64" s="262" t="n">
        <v>20025000000</v>
      </c>
      <c r="X64" s="262" t="n">
        <v>21963000000</v>
      </c>
      <c r="Y64" s="262" t="n">
        <v>18062000000</v>
      </c>
      <c r="Z64" s="262" t="n">
        <v>19597000000</v>
      </c>
      <c r="AA64" s="262" t="n">
        <v>20266000000</v>
      </c>
      <c r="AB64" s="262" t="n">
        <v>26633000000</v>
      </c>
      <c r="AC64" s="262" t="n">
        <v>22155000000</v>
      </c>
      <c r="AD64" s="262" t="n">
        <v>23641000000</v>
      </c>
      <c r="AE64" s="262" t="n">
        <v>24761000000</v>
      </c>
      <c r="AF64" s="262" t="n">
        <v>27878000000</v>
      </c>
      <c r="AG64" s="262" t="n">
        <v>28872000000</v>
      </c>
      <c r="AH64" s="262" t="n">
        <v>30865000000</v>
      </c>
      <c r="AI64" s="262" t="n">
        <v>32592000000</v>
      </c>
      <c r="AJ64" s="262" t="n">
        <v>37096000000</v>
      </c>
    </row>
    <row r="65">
      <c r="A65" t="n">
        <v>53</v>
      </c>
      <c r="B65" t="n">
        <v>1</v>
      </c>
      <c r="G65" t="inlineStr">
        <is>
          <t>moeda</t>
        </is>
      </c>
      <c r="H65" t="inlineStr">
        <is>
          <t>Microsoft 365 comercial + consumo (até 2022: Office products and cloud services) - receita (USD)</t>
        </is>
      </c>
      <c r="J65" t="inlineStr">
        <is>
          <t>fonte</t>
        </is>
      </c>
      <c r="K65" s="262" t="n">
        <v>8920000000</v>
      </c>
      <c r="L65" s="262" t="n">
        <v>8947000000</v>
      </c>
      <c r="M65" s="262" t="n">
        <v>9278000000</v>
      </c>
      <c r="N65" s="262" t="n">
        <v>9881000000</v>
      </c>
      <c r="O65" s="262" t="n">
        <v>10016000000</v>
      </c>
      <c r="P65" s="262" t="n">
        <v>10697000000</v>
      </c>
      <c r="Q65" s="262" t="n">
        <v>10808000000</v>
      </c>
      <c r="R65" s="262" t="n">
        <v>11251000000</v>
      </c>
      <c r="S65" s="262" t="n">
        <v>11164000000</v>
      </c>
      <c r="T65" s="262" t="n">
        <v>11639000000</v>
      </c>
      <c r="U65" s="262" t="n">
        <v>11577000000</v>
      </c>
      <c r="V65" s="262" t="n">
        <v>11867000000</v>
      </c>
      <c r="W65" s="262" t="n">
        <v>12468000000</v>
      </c>
      <c r="X65" s="262" t="n">
        <v>12905000000</v>
      </c>
      <c r="Y65" s="262" t="n">
        <v>19687000000</v>
      </c>
      <c r="Z65" s="262" t="n">
        <v>20000000000</v>
      </c>
      <c r="AA65" s="262" t="n">
        <v>21360000000</v>
      </c>
      <c r="AB65" s="262" t="n">
        <v>22570000000</v>
      </c>
      <c r="AC65" s="262" t="n">
        <v>22176000000</v>
      </c>
      <c r="AD65" s="262" t="n">
        <v>22938000000</v>
      </c>
      <c r="AE65" s="262" t="n">
        <v>23704000000</v>
      </c>
      <c r="AF65" s="262" t="n">
        <v>26353000000</v>
      </c>
      <c r="AG65" s="262" t="n">
        <v>26170000000</v>
      </c>
      <c r="AH65" s="262" t="n">
        <v>26829000000</v>
      </c>
      <c r="AI65" s="262" t="n">
        <v>27890000000</v>
      </c>
      <c r="AJ65" s="262" t="n">
        <v>30283000000</v>
      </c>
    </row>
    <row r="66">
      <c r="A66" t="n">
        <v>54</v>
      </c>
      <c r="B66" t="n">
        <v>1</v>
      </c>
      <c r="G66" t="inlineStr">
        <is>
          <t>moeda</t>
        </is>
      </c>
      <c r="H66" t="inlineStr">
        <is>
          <t>LinkedIn - receita (USD)</t>
        </is>
      </c>
      <c r="J66" t="inlineStr">
        <is>
          <t>fonte</t>
        </is>
      </c>
      <c r="K66" s="262" t="n">
        <v>2050000000</v>
      </c>
      <c r="L66" s="262" t="n">
        <v>2016000000</v>
      </c>
      <c r="M66" s="262" t="n">
        <v>2206000000</v>
      </c>
      <c r="N66" s="262" t="n">
        <v>2577000000</v>
      </c>
      <c r="O66" s="262" t="n">
        <v>2562000000</v>
      </c>
      <c r="P66" s="262" t="n">
        <v>2944000000</v>
      </c>
      <c r="Q66" s="262" t="n">
        <v>3136000000</v>
      </c>
      <c r="R66" s="262" t="n">
        <v>3531000000</v>
      </c>
      <c r="S66" s="262" t="n">
        <v>3437000000</v>
      </c>
      <c r="T66" s="262" t="n">
        <v>3712000000</v>
      </c>
      <c r="U66" s="262" t="n">
        <v>3628000000</v>
      </c>
      <c r="V66" s="262" t="n">
        <v>3833000000</v>
      </c>
      <c r="W66" s="262" t="n">
        <v>3659000000</v>
      </c>
      <c r="X66" s="262" t="n">
        <v>3909000000</v>
      </c>
      <c r="Y66" s="262" t="n">
        <v>3913000000</v>
      </c>
      <c r="Z66" s="262" t="n">
        <v>4195000000</v>
      </c>
      <c r="AA66" s="262" t="n">
        <v>4013000000</v>
      </c>
      <c r="AB66" s="262" t="n">
        <v>4251000000</v>
      </c>
      <c r="AC66" s="262" t="n">
        <v>4292000000</v>
      </c>
      <c r="AD66" s="262" t="n">
        <v>4587000000</v>
      </c>
      <c r="AE66" s="262" t="n">
        <v>4311000000</v>
      </c>
      <c r="AF66" s="262" t="n">
        <v>4622000000</v>
      </c>
      <c r="AG66" s="262" t="n">
        <v>4714000000</v>
      </c>
      <c r="AH66" s="262" t="n">
        <v>5082000000</v>
      </c>
      <c r="AI66" s="262" t="n">
        <v>4832000000</v>
      </c>
      <c r="AJ66" s="262" t="n">
        <v>5189000000</v>
      </c>
    </row>
    <row r="67">
      <c r="A67" t="n">
        <v>55</v>
      </c>
      <c r="B67" t="n">
        <v>1</v>
      </c>
      <c r="G67" t="inlineStr">
        <is>
          <t>moeda</t>
        </is>
      </c>
      <c r="H67" t="inlineStr">
        <is>
          <t>Dynamics - receita (USD)</t>
        </is>
      </c>
      <c r="J67" t="inlineStr">
        <is>
          <t>fonte</t>
        </is>
      </c>
      <c r="K67" s="262" t="n"/>
      <c r="L67" s="262" t="n"/>
      <c r="M67" s="262" t="n"/>
      <c r="N67" s="262" t="n"/>
      <c r="O67" s="262" t="n"/>
      <c r="P67" s="262" t="n"/>
      <c r="Q67" s="262" t="n"/>
      <c r="R67" s="262" t="n"/>
      <c r="S67" s="262" t="n"/>
      <c r="T67" s="262" t="n"/>
      <c r="U67" s="262" t="n">
        <v>1260000000</v>
      </c>
      <c r="V67" s="262" t="n">
        <v>1302000000</v>
      </c>
      <c r="W67" s="262" t="n">
        <v>1389000000</v>
      </c>
      <c r="X67" s="262" t="n">
        <v>1486000000</v>
      </c>
      <c r="Y67" s="262" t="n">
        <v>1626000000</v>
      </c>
      <c r="Z67" s="262" t="n">
        <v>1659000000</v>
      </c>
      <c r="AA67" s="262" t="n">
        <v>1740000000</v>
      </c>
      <c r="AB67" s="262" t="n">
        <v>1719000000</v>
      </c>
      <c r="AC67" s="262" t="n">
        <v>1849000000</v>
      </c>
      <c r="AD67" s="262" t="n">
        <v>1913000000</v>
      </c>
      <c r="AE67" s="262" t="n">
        <v>1929000000</v>
      </c>
      <c r="AF67" s="262" t="n">
        <v>2136000000</v>
      </c>
      <c r="AG67" s="262" t="n">
        <v>2136000000</v>
      </c>
      <c r="AH67" s="262" t="n">
        <v>2204000000</v>
      </c>
      <c r="AI67" s="262" t="n">
        <v>2292000000</v>
      </c>
      <c r="AJ67" s="262" t="n">
        <v>2374000000</v>
      </c>
    </row>
    <row r="68">
      <c r="A68" t="n">
        <v>56</v>
      </c>
      <c r="B68" t="n">
        <v>1</v>
      </c>
      <c r="G68" t="inlineStr">
        <is>
          <t>moeda</t>
        </is>
      </c>
      <c r="H68" t="inlineStr">
        <is>
          <t>Gaming - receita (USD)</t>
        </is>
      </c>
      <c r="J68" t="inlineStr">
        <is>
          <t>fonte</t>
        </is>
      </c>
      <c r="K68" s="262" t="n">
        <v>2349000000</v>
      </c>
      <c r="L68" s="262" t="n">
        <v>3357000000</v>
      </c>
      <c r="M68" s="262" t="n">
        <v>3092000000</v>
      </c>
      <c r="N68" s="262" t="n">
        <v>5031000000</v>
      </c>
      <c r="O68" s="262" t="n">
        <v>3533000000</v>
      </c>
      <c r="P68" s="262" t="n">
        <v>3714000000</v>
      </c>
      <c r="Q68" s="262" t="n">
        <v>3593000000</v>
      </c>
      <c r="R68" s="262" t="n">
        <v>5442000000</v>
      </c>
      <c r="S68" s="262" t="n">
        <v>3740000000</v>
      </c>
      <c r="T68" s="262" t="n">
        <v>3455000000</v>
      </c>
      <c r="U68" s="262" t="n">
        <v>3610000000</v>
      </c>
      <c r="V68" s="262" t="n">
        <v>4758000000</v>
      </c>
      <c r="W68" s="262" t="n">
        <v>3607000000</v>
      </c>
      <c r="X68" s="262" t="n">
        <v>3491000000</v>
      </c>
      <c r="Y68" s="262" t="n">
        <v>3919000000</v>
      </c>
      <c r="Z68" s="262" t="n">
        <v>7111000000</v>
      </c>
      <c r="AA68" s="262" t="n">
        <v>5451000000</v>
      </c>
      <c r="AB68" s="262" t="n">
        <v>5022000000</v>
      </c>
      <c r="AC68" s="262" t="n">
        <v>5621000000</v>
      </c>
      <c r="AD68" s="262" t="n">
        <v>6581000000</v>
      </c>
      <c r="AE68" s="262" t="n">
        <v>5721000000</v>
      </c>
      <c r="AF68" s="262" t="n">
        <v>5532000000</v>
      </c>
      <c r="AG68" s="262" t="n">
        <v>5508000000</v>
      </c>
      <c r="AH68" s="262" t="n">
        <v>5958000000</v>
      </c>
      <c r="AI68" s="262" t="n">
        <v>5341000000</v>
      </c>
      <c r="AJ68" s="262" t="n"/>
    </row>
    <row r="69">
      <c r="A69" t="n">
        <v>57</v>
      </c>
      <c r="B69" t="n">
        <v>1</v>
      </c>
      <c r="G69" t="inlineStr">
        <is>
          <t>moeda</t>
        </is>
      </c>
      <c r="H69" t="inlineStr">
        <is>
          <t>Windows and Devices (até 2022: Windows + Devices) - receita (USD)</t>
        </is>
      </c>
      <c r="J69" t="inlineStr">
        <is>
          <t>fonte</t>
        </is>
      </c>
      <c r="K69" s="262" t="n">
        <v>6632000000</v>
      </c>
      <c r="L69" s="262" t="n">
        <v>7923000000</v>
      </c>
      <c r="M69" s="262" t="n">
        <v>6771000000</v>
      </c>
      <c r="N69" s="262" t="n">
        <v>7634000000</v>
      </c>
      <c r="O69" s="262" t="n">
        <v>7062000000</v>
      </c>
      <c r="P69" s="262" t="n">
        <v>8012000000</v>
      </c>
      <c r="Q69" s="262" t="n">
        <v>7088000000</v>
      </c>
      <c r="R69" s="262" t="n">
        <v>8951000000</v>
      </c>
      <c r="S69" s="262" t="n">
        <v>7904000000</v>
      </c>
      <c r="T69" s="262" t="n">
        <v>7989000000</v>
      </c>
      <c r="U69" s="262" t="n">
        <v>6761000000</v>
      </c>
      <c r="V69" s="262" t="n">
        <v>6238000000</v>
      </c>
      <c r="W69" s="262" t="n">
        <v>6610000000</v>
      </c>
      <c r="X69" s="262" t="n">
        <v>7419000000</v>
      </c>
      <c r="Y69" s="262" t="n">
        <v>4340000000</v>
      </c>
      <c r="Z69" s="262" t="n">
        <v>4363000000</v>
      </c>
      <c r="AA69" s="262" t="n">
        <v>4098000000</v>
      </c>
      <c r="AB69" s="262" t="n">
        <v>4225000000</v>
      </c>
      <c r="AC69" s="262" t="n">
        <v>4329000000</v>
      </c>
      <c r="AD69" s="262" t="n">
        <v>4512000000</v>
      </c>
      <c r="AE69" s="262" t="n">
        <v>4144000000</v>
      </c>
      <c r="AF69" s="262" t="n">
        <v>4329000000</v>
      </c>
      <c r="AG69" s="262" t="n">
        <v>4551000000</v>
      </c>
      <c r="AH69" s="262" t="n">
        <v>4479000000</v>
      </c>
      <c r="AI69" s="262" t="n">
        <v>4041000000</v>
      </c>
      <c r="AJ69" s="262" t="n">
        <v>4013000000</v>
      </c>
    </row>
    <row r="70">
      <c r="A70" t="n">
        <v>58</v>
      </c>
      <c r="B70" t="n">
        <v>1</v>
      </c>
      <c r="G70" t="inlineStr">
        <is>
          <t>moeda</t>
        </is>
      </c>
      <c r="H70" t="inlineStr">
        <is>
          <t>Search and news advertising - receita (USD)</t>
        </is>
      </c>
      <c r="J70" t="inlineStr">
        <is>
          <t>fonte</t>
        </is>
      </c>
      <c r="K70" s="262" t="n">
        <v>1986000000</v>
      </c>
      <c r="L70" s="262" t="n">
        <v>2384000000</v>
      </c>
      <c r="M70" s="262" t="n">
        <v>1943000000</v>
      </c>
      <c r="N70" s="262" t="n">
        <v>2386000000</v>
      </c>
      <c r="O70" s="262" t="n">
        <v>2401000000</v>
      </c>
      <c r="P70" s="262" t="n">
        <v>2537000000</v>
      </c>
      <c r="Q70" s="262" t="n">
        <v>2656000000</v>
      </c>
      <c r="R70" s="262" t="n">
        <v>3064000000</v>
      </c>
      <c r="S70" s="262" t="n">
        <v>2945000000</v>
      </c>
      <c r="T70" s="262" t="n">
        <v>2926000000</v>
      </c>
      <c r="U70" s="262" t="n">
        <v>2913000000</v>
      </c>
      <c r="V70" s="262" t="n">
        <v>3209000000</v>
      </c>
      <c r="W70" s="262" t="n">
        <v>3036000000</v>
      </c>
      <c r="X70" s="262" t="n">
        <v>3012000000</v>
      </c>
      <c r="Y70" s="262" t="n">
        <v>3018000000</v>
      </c>
      <c r="Z70" s="262" t="n">
        <v>3168000000</v>
      </c>
      <c r="AA70" s="262" t="n">
        <v>3055000000</v>
      </c>
      <c r="AB70" s="262" t="n">
        <v>3169000000</v>
      </c>
      <c r="AC70" s="262" t="n">
        <v>3225000000</v>
      </c>
      <c r="AD70" s="262" t="n">
        <v>3558000000</v>
      </c>
      <c r="AE70" s="262" t="n">
        <v>3504000000</v>
      </c>
      <c r="AF70" s="262" t="n">
        <v>3591000000</v>
      </c>
      <c r="AG70" s="262" t="n">
        <v>3697000000</v>
      </c>
      <c r="AH70" s="262" t="n">
        <v>3812000000</v>
      </c>
      <c r="AI70" s="262" t="n">
        <v>3808000000</v>
      </c>
      <c r="AJ70" s="262" t="n">
        <v>3859000000</v>
      </c>
    </row>
    <row r="71">
      <c r="A71" t="n">
        <v>59</v>
      </c>
      <c r="B71" t="n">
        <v>1</v>
      </c>
      <c r="G71" t="inlineStr">
        <is>
          <t>moeda</t>
        </is>
      </c>
      <c r="H71" t="inlineStr">
        <is>
          <t>Receita Estados Unidos (USD)</t>
        </is>
      </c>
      <c r="J71" t="inlineStr">
        <is>
          <t>fonte</t>
        </is>
      </c>
      <c r="K71" s="262" t="n">
        <v>17428000000</v>
      </c>
      <c r="L71" s="262" t="n">
        <v>19313000000</v>
      </c>
      <c r="M71" s="262" t="n">
        <v>19025000000</v>
      </c>
      <c r="N71" s="262" t="n">
        <v>21836000000</v>
      </c>
      <c r="O71" s="262" t="n">
        <v>20373000000</v>
      </c>
      <c r="P71" s="262" t="n">
        <v>22719000000</v>
      </c>
      <c r="Q71" s="262" t="n">
        <v>22830000000</v>
      </c>
      <c r="R71" s="262" t="n">
        <v>26463000000</v>
      </c>
      <c r="S71" s="262" t="n">
        <v>24771000000</v>
      </c>
      <c r="T71" s="262" t="n">
        <v>26154000000</v>
      </c>
      <c r="U71" s="262" t="n">
        <v>25867000000</v>
      </c>
      <c r="V71" s="262" t="n">
        <v>26976000000</v>
      </c>
      <c r="W71" s="262" t="n">
        <v>26007000000</v>
      </c>
      <c r="X71" s="262" t="n">
        <v>27894000000</v>
      </c>
      <c r="Y71" s="262" t="n">
        <v>28812000000</v>
      </c>
      <c r="Z71" s="262" t="n">
        <v>32295000000</v>
      </c>
      <c r="AA71" s="262" t="n">
        <v>31437000000</v>
      </c>
      <c r="AB71" s="262" t="n">
        <v>32160000000</v>
      </c>
      <c r="AC71" s="262" t="n">
        <v>33913000000</v>
      </c>
      <c r="AD71" s="262" t="n">
        <v>35537000000</v>
      </c>
      <c r="AE71" s="262" t="n">
        <v>36084000000</v>
      </c>
      <c r="AF71" s="262" t="n">
        <v>39012000000</v>
      </c>
      <c r="AG71" s="262" t="n">
        <v>40077000000</v>
      </c>
      <c r="AH71" s="262" t="n">
        <v>41410000000</v>
      </c>
      <c r="AI71" s="262" t="n">
        <v>42336000000</v>
      </c>
      <c r="AJ71" s="262" t="n">
        <v>46971000000</v>
      </c>
    </row>
    <row r="72">
      <c r="A72" t="n">
        <v>60</v>
      </c>
      <c r="B72" t="n">
        <v>1</v>
      </c>
      <c r="G72" t="inlineStr">
        <is>
          <t>moeda</t>
        </is>
      </c>
      <c r="H72" t="inlineStr">
        <is>
          <t>Receita fora dos EUA (USD)</t>
        </is>
      </c>
      <c r="J72" t="inlineStr">
        <is>
          <t>fonte</t>
        </is>
      </c>
      <c r="K72" s="262" t="n">
        <v>17593000000</v>
      </c>
      <c r="L72" s="262" t="n">
        <v>18720000000</v>
      </c>
      <c r="M72" s="262" t="n">
        <v>18129000000</v>
      </c>
      <c r="N72" s="262" t="n">
        <v>21240000000</v>
      </c>
      <c r="O72" s="262" t="n">
        <v>21333000000</v>
      </c>
      <c r="P72" s="262" t="n">
        <v>23433000000</v>
      </c>
      <c r="Q72" s="262" t="n">
        <v>22487000000</v>
      </c>
      <c r="R72" s="262" t="n">
        <v>25265000000</v>
      </c>
      <c r="S72" s="262" t="n">
        <v>24589000000</v>
      </c>
      <c r="T72" s="262" t="n">
        <v>25711000000</v>
      </c>
      <c r="U72" s="262" t="n">
        <v>24255000000</v>
      </c>
      <c r="V72" s="262" t="n">
        <v>25771000000</v>
      </c>
      <c r="W72" s="262" t="n">
        <v>26850000000</v>
      </c>
      <c r="X72" s="262" t="n">
        <v>28295000000</v>
      </c>
      <c r="Y72" s="262" t="n">
        <v>27705000000</v>
      </c>
      <c r="Z72" s="262" t="n">
        <v>29725000000</v>
      </c>
      <c r="AA72" s="262" t="n">
        <v>30421000000</v>
      </c>
      <c r="AB72" s="262" t="n">
        <v>32567000000</v>
      </c>
      <c r="AC72" s="262" t="n">
        <v>31672000000</v>
      </c>
      <c r="AD72" s="262" t="n">
        <v>34095000000</v>
      </c>
      <c r="AE72" s="262" t="n">
        <v>33982000000</v>
      </c>
      <c r="AF72" s="262" t="n">
        <v>37429000000</v>
      </c>
      <c r="AG72" s="262" t="n">
        <v>37596000000</v>
      </c>
      <c r="AH72" s="262" t="n">
        <v>39863000000</v>
      </c>
      <c r="AI72" s="262" t="n">
        <v>40550000000</v>
      </c>
      <c r="AJ72" s="262" t="n">
        <v>43036000000</v>
      </c>
    </row>
    <row r="73">
      <c r="H73" t="inlineStr">
        <is>
          <t>Notas: valores dimensionais das instâncias XBRL; ano fiscal termina em junho, trimestre sem 3M publicado = acumulado menos o acumulado anterior. Linhas de produto mudam de taxonomia (Office -&gt; Microsoft 365 a partir de 2023; Windows + Devices -&gt; Windows and Devices); a soma das linhas de produto não é usada como check. Segmentos: a Microsoft reapresentou os segmentos em ago/24 só a partir de jul/22; trimestres de fechamento de ano fiscal anteriores ficam na base original (cada trimestre soma a receita total).</t>
        </is>
      </c>
    </row>
    <row r="113">
      <c r="H113" s="254" t="inlineStr">
        <is>
          <t>CONVENCOES</t>
        </is>
      </c>
    </row>
    <row r="114">
      <c r="H114" t="inlineStr">
        <is>
          <t>Linhas de origem: 5 a 73. As formulas da Inputs (2) varrem as linhas 5 a 110; as linhas 74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60: drivers de receita (memoria); alimentam o bloco logo abaixo da receita liquida no Model.</t>
        </is>
      </c>
    </row>
    <row r="123">
      <c r="H123" s="254" t="n"/>
    </row>
    <row r="124"/>
    <row r="125"/>
    <row r="126"/>
    <row r="127"/>
    <row r="128"/>
    <row r="129"/>
    <row r="130"/>
    <row r="131"/>
    <row r="132"/>
    <row r="133"/>
    <row r="13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8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60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41706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46152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45317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51728</v>
      </c>
      <c r="H4" s="3">
        <f>SUM(D4:G4)</f>
        <v>184903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49360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51865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50122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52747</v>
      </c>
      <c r="M4" s="3">
        <f>SUM(I4:L4)</f>
        <v>204094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52857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56189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56517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62020</v>
      </c>
      <c r="R4" s="3">
        <f>SUM(N4:Q4)</f>
        <v>227583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61858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64727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65585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69632</v>
      </c>
      <c r="W4" s="3">
        <f>SUM(S4:V4)</f>
        <v>261802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70066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76441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77673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81273</v>
      </c>
      <c r="AB4" s="3">
        <f>SUM(X4:AA4)</f>
        <v>305453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82886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90007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35021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38033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37154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43076</v>
      </c>
      <c r="AL4" s="3">
        <f>SUM(AH4:AK4)</f>
        <v>153284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-13045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-13991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-13646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-16960</v>
      </c>
      <c r="H5" s="3">
        <f>SUM(D5:G5)</f>
        <v>-57642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-15615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-16429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-15452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-17488</v>
      </c>
      <c r="M5" s="3">
        <f>SUM(I5:L5)</f>
        <v>-64984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-16128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-16795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-16302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-19623</v>
      </c>
      <c r="R5" s="3">
        <f>SUM(N5:Q5)</f>
        <v>-68848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-18505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-19684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-20099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-21799</v>
      </c>
      <c r="W5" s="3">
        <f>SUM(S5:V5)</f>
        <v>-80087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-21919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-24014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-24043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-25978</v>
      </c>
      <c r="AB5" s="3">
        <f>SUM(X5:AA5)</f>
        <v>-95954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-26828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-29525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-10975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-12339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-11002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-14194</v>
      </c>
      <c r="AL5" s="3">
        <f>SUM(AH5:AK5)</f>
        <v>-48510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-8677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-9722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-8221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-9025</v>
      </c>
      <c r="H6" s="3">
        <f>SUM(D6:G6)</f>
        <v>-35645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-9608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-10923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-10362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-11212</v>
      </c>
      <c r="M6" s="3">
        <f>SUM(I6:L6)</f>
        <v>-42105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-10828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-11266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-9399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-9406</v>
      </c>
      <c r="R6" s="3">
        <f>SUM(N6:Q6)</f>
        <v>-40899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-9745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-10738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-7551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-9353</v>
      </c>
      <c r="W6" s="3">
        <f>SUM(S6:V6)</f>
        <v>-37387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-7407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-6901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-2608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-7822</v>
      </c>
      <c r="AB6" s="3">
        <f>SUM(X6:AA6)</f>
        <v>-24738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-7493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-8857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-7953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-8783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-7631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-8224</v>
      </c>
      <c r="AL6" s="3">
        <f>SUM(AH6:AK6)</f>
        <v>-32591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-2936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-3344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-3212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-3496</v>
      </c>
      <c r="H7" s="3">
        <f>SUM(D7:G7)</f>
        <v>-12988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-3773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-3979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-2790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-3648</v>
      </c>
      <c r="M7" s="3">
        <f>SUM(I7:L7)</f>
        <v>-14190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-3549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-3874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-3921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-5959</v>
      </c>
      <c r="R7" s="3">
        <f>SUM(N7:Q7)</f>
        <v>-17303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-6027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-6380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-7383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-6827</v>
      </c>
      <c r="W7" s="3">
        <f>SUM(S7:V7)</f>
        <v>-26617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-8740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-11203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-13061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-9198</v>
      </c>
      <c r="AB7" s="3">
        <f>SUM(X7:AA7)</f>
        <v>-42202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-10167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-11022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-3118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-3504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-2645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-2761</v>
      </c>
      <c r="AL7" s="3">
        <f>SUM(AH7:AK7)</f>
        <v>-12028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-633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-553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-539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-525</v>
      </c>
      <c r="H8" s="3">
        <f>SUM(D8:G8)</f>
        <v>-2250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-503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-496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-500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-490</v>
      </c>
      <c r="M8" s="3">
        <f>SUM(I8:L8)</f>
        <v>-1989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-496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-482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-525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-909</v>
      </c>
      <c r="R8" s="3">
        <f>SUM(N8:Q8)</f>
        <v>-2412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-800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-701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-582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-594</v>
      </c>
      <c r="W8" s="3">
        <f>SUM(S8:V8)</f>
        <v>-2677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-594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-615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-698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-736</v>
      </c>
      <c r="AB8" s="3">
        <f>SUM(X8:AA8)</f>
        <v>-2643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-778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-839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-614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-686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-589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-571</v>
      </c>
      <c r="AL8" s="3">
        <f>SUM(AH8:AK8)</f>
        <v>-2460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821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863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825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793</v>
      </c>
      <c r="H9" s="3">
        <f>SUM(D9:G9)</f>
        <v>3302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329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449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554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430</v>
      </c>
      <c r="M9" s="3">
        <f>SUM(I9:L9)</f>
        <v>1762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817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955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914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403</v>
      </c>
      <c r="R9" s="3">
        <f>SUM(N9:Q9)</f>
        <v>3089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-54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26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299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-1694</v>
      </c>
      <c r="W9" s="3">
        <f>SUM(S9:V9)</f>
        <v>-1423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-29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-1092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-2962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10707</v>
      </c>
      <c r="AB9" s="3">
        <f>SUM(X9:AA9)</f>
        <v>6624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1720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4283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482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701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837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1011</v>
      </c>
      <c r="AL9" s="3">
        <f>SUM(AH9:AK9)</f>
        <v>3031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-1779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-2947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-19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-3750</v>
      </c>
      <c r="H10" s="3">
        <f>SUM(D10:G10)</f>
        <v>-8495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-3462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-3747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-4016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-3914</v>
      </c>
      <c r="M10" s="3">
        <f>SUM(I10:L10)</f>
        <v>-15139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-4374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-4646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-4993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-4656</v>
      </c>
      <c r="R10" s="3">
        <f>SUM(N10:Q10)</f>
        <v>-18669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-4788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-5214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-5602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-5257</v>
      </c>
      <c r="W10" s="3">
        <f>SUM(S10:V10)</f>
        <v>-20861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-5553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-5383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-6554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-9788</v>
      </c>
      <c r="AB10" s="3">
        <f>SUM(X10:AA10)</f>
        <v>-27278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-7562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-8281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-2091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-2220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-2231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-2874</v>
      </c>
      <c r="AL10" s="3">
        <f>SUM(AH10:AK10)</f>
        <v>-9416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0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2" s="6" t="e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2" s="6" t="e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2" s="6" t="e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2" s="6" t="e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2" s="6" t="e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2" s="6" t="e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2" s="6" t="e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2" s="6" t="e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2" s="6" t="e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2" s="6" t="e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2" s="6" t="e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2" s="6" t="e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2" s="6" t="e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2" s="6" t="e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2" s="6" t="e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2" s="6" t="e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2" s="6" t="e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2" s="6" t="e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2" s="6" t="e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-4221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-4214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-4206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-4652</v>
      </c>
      <c r="H13" s="3">
        <f>SUM(D13:G13)</f>
        <v>-17293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-4645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-4632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-4621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-5066</v>
      </c>
      <c r="M13" s="3">
        <f>SUM(I13:L13)</f>
        <v>-18964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-5059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-5054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-5051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-5574</v>
      </c>
      <c r="R13" s="3">
        <f>SUM(N13:Q13)</f>
        <v>-20738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-5572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-5574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-5574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-6170</v>
      </c>
      <c r="W13" s="3">
        <f>SUM(S13:V13)</f>
        <v>-22890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-6169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-6169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-6169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-6762</v>
      </c>
      <c r="AB13" s="3">
        <f>SUM(X13:AA13)</f>
        <v>-25269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-6756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-6758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-3876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-3865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-3856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-4230</v>
      </c>
      <c r="AL13" s="3">
        <f>SUM(AH13:AK13)</f>
        <v>-15827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125407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130334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130615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125369</v>
      </c>
      <c r="H15" s="3">
        <f>G15</f>
        <v>125369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104693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104757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107262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99508</v>
      </c>
      <c r="M15" s="3">
        <f>L15</f>
        <v>99508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104427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111262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143951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81017</v>
      </c>
      <c r="R15" s="3">
        <f>Q15</f>
        <v>81017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80021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75543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78428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71555</v>
      </c>
      <c r="W15" s="3">
        <f>V15</f>
        <v>71555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79618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94565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102012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89462</v>
      </c>
      <c r="AB15" s="3">
        <f>AA15</f>
        <v>89462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78272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76843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137626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136527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137977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131968</v>
      </c>
      <c r="AL15" s="3">
        <f>AK15</f>
        <v>131968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26322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38043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27349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33520</v>
      </c>
      <c r="H16" s="3">
        <f>G16</f>
        <v>33520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32613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44261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31279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35833</v>
      </c>
      <c r="M16" s="3">
        <f>L16</f>
        <v>35833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37420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48688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36953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42831</v>
      </c>
      <c r="R16" s="3">
        <f>Q16</f>
        <v>42831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44029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56924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44148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48188</v>
      </c>
      <c r="W16" s="3">
        <f>V16</f>
        <v>48188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51700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69905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52894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56535</v>
      </c>
      <c r="AB16" s="3">
        <f>AA16</f>
        <v>56535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60041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80876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22699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32011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22851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27312</v>
      </c>
      <c r="AL16" s="3">
        <f>AK16</f>
        <v>27312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2245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2636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3411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3019</v>
      </c>
      <c r="H17" s="3">
        <f>G17</f>
        <v>3019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3296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3742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4268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2980</v>
      </c>
      <c r="M17" s="3">
        <f>L17</f>
        <v>2980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2877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2500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3000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1615</v>
      </c>
      <c r="R17" s="3">
        <f>Q17</f>
        <v>1615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1304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1246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1626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909</v>
      </c>
      <c r="W17" s="3">
        <f>V17</f>
        <v>909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848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938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1130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1059</v>
      </c>
      <c r="AB17" s="3">
        <f>AA17</f>
        <v>1059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1219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1397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1644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1895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2705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1924</v>
      </c>
      <c r="AL17" s="3">
        <f>AK17</f>
        <v>1924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8" s="6" t="e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8" s="6" t="e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8" s="6" t="e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8" s="3" t="e">
        <f>G18</f>
        <v>#N/A</v>
      </c>
      <c r="I18" s="6" t="e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8" s="6" t="e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8" s="6" t="e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8" s="6" t="e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8" s="3" t="e">
        <f>L18</f>
        <v>#N/A</v>
      </c>
      <c r="N18" s="6" t="e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8" s="6" t="e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8" s="6" t="e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8" s="6" t="e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8" s="3" t="e">
        <f>Q18</f>
        <v>#N/A</v>
      </c>
      <c r="S18" s="6" t="e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8" s="6" t="e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8" s="6" t="e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8" s="6" t="e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8" s="3" t="e">
        <f>V18</f>
        <v>#N/A</v>
      </c>
      <c r="X18" s="6" t="e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8" s="6" t="e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8" s="6" t="e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8" s="6" t="e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8" s="3" t="e">
        <f>AA18</f>
        <v>#N/A</v>
      </c>
      <c r="AC18" s="6" t="e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8" s="6" t="e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 t="e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8" s="6" t="e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8" s="6" t="e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8" s="6" t="e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9" s="6" t="e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9" s="6" t="e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9" s="6" t="e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9" s="3" t="e">
        <f>G19</f>
        <v>#N/A</v>
      </c>
      <c r="I19" s="6" t="e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9" s="6" t="e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9" s="6" t="e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9" s="6" t="e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9" s="3" t="e">
        <f>L19</f>
        <v>#N/A</v>
      </c>
      <c r="N19" s="6" t="e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9" s="6" t="e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9" s="6" t="e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9" s="6" t="e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9" s="3" t="e">
        <f>Q19</f>
        <v>#N/A</v>
      </c>
      <c r="S19" s="6" t="e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9" s="6" t="e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9" s="6" t="e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9" s="6" t="e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9" s="3" t="e">
        <f>V19</f>
        <v>#N/A</v>
      </c>
      <c r="X19" s="6" t="e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9" s="6" t="e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9" s="6" t="e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9" s="6" t="e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9" s="3" t="e">
        <f>AA19</f>
        <v>#N/A</v>
      </c>
      <c r="AC19" s="6" t="e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9" s="6" t="e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 t="e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9" s="6" t="e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9" s="6" t="e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9" s="6" t="e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11640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13393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12951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12280</v>
      </c>
      <c r="H20" s="3">
        <f>G20</f>
        <v>12280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13320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16924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18003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19502</v>
      </c>
      <c r="M20" s="3">
        <f>L20</f>
        <v>19502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19165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21807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23682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21930</v>
      </c>
      <c r="R20" s="3">
        <f>Q20</f>
        <v>21930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21826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26021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25724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26428</v>
      </c>
      <c r="W20" s="3">
        <f>V20</f>
        <v>26428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24478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25723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33030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33134</v>
      </c>
      <c r="AB20" s="3">
        <f>AA20</f>
        <v>33134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35797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48594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8536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11482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13544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12769</v>
      </c>
      <c r="AL20" s="3">
        <f>AK20</f>
        <v>12769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21" s="6" t="e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21" s="6" t="e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21" s="6" t="e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21" s="3" t="e">
        <f>G21</f>
        <v>#N/A</v>
      </c>
      <c r="I21" s="6" t="e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21" s="6" t="e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21" s="6" t="e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21" s="6" t="e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21" s="3" t="e">
        <f>L21</f>
        <v>#N/A</v>
      </c>
      <c r="N21" s="6" t="e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21" s="6" t="e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21" s="6" t="e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21" s="6" t="e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21" s="3" t="e">
        <f>Q21</f>
        <v>#N/A</v>
      </c>
      <c r="S21" s="6" t="e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21" s="6" t="e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21" s="6" t="e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21" s="6" t="e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21" s="3" t="e">
        <f>V21</f>
        <v>#N/A</v>
      </c>
      <c r="X21" s="6" t="e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21" s="6" t="e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21" s="6" t="e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21" s="6" t="e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21" s="3" t="e">
        <f>AA21</f>
        <v>#N/A</v>
      </c>
      <c r="AC21" s="6" t="e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21" s="6" t="e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 t="e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21" s="6" t="e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21" s="6" t="e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21" s="6" t="e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54945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59715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63772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67214</v>
      </c>
      <c r="H22" s="3">
        <f>G22</f>
        <v>67214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70298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74398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77037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82755</v>
      </c>
      <c r="M22" s="3">
        <f>L22</f>
        <v>82755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88132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95641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102502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112308</v>
      </c>
      <c r="R22" s="3">
        <f>Q22</f>
        <v>112308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121375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135591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152863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166902</v>
      </c>
      <c r="W22" s="3">
        <f>V22</f>
        <v>166902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183939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204966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230861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261126</v>
      </c>
      <c r="AB22" s="3">
        <f>AA22</f>
        <v>261126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283228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313076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41221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44151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47927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51737</v>
      </c>
      <c r="AL22" s="3">
        <f>AK22</f>
        <v>51737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10673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11088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11575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12354</v>
      </c>
      <c r="H23" s="3">
        <f>G23</f>
        <v>12354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12916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13148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13347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13624</v>
      </c>
      <c r="M23" s="3">
        <f>L23</f>
        <v>13624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13879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14346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15435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16398</v>
      </c>
      <c r="R23" s="3">
        <f>Q23</f>
        <v>16398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17371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18961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20528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22816</v>
      </c>
      <c r="W23" s="3">
        <f>V23</f>
        <v>22816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24475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24823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24791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25103</v>
      </c>
      <c r="AB23" s="3">
        <f>AA23</f>
        <v>25103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24403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24177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8448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8753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9047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10298</v>
      </c>
      <c r="AL23" s="3">
        <f>AK23</f>
        <v>10298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49698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49711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50455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50921</v>
      </c>
      <c r="H24" s="3">
        <f>G24</f>
        <v>50921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67371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67524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67459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67905</v>
      </c>
      <c r="M24" s="3">
        <f>L24</f>
        <v>67905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67940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67886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67790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118931</v>
      </c>
      <c r="R24" s="3">
        <f>Q24</f>
        <v>118931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119163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119220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119374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119191</v>
      </c>
      <c r="W24" s="3">
        <f>V24</f>
        <v>119191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119329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119509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119497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119622</v>
      </c>
      <c r="AB24" s="3">
        <f>AA24</f>
        <v>119622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119661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119651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42064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43351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43890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44219</v>
      </c>
      <c r="AL24" s="3">
        <f>AK24</f>
        <v>44219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8127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7800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7794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7462</v>
      </c>
      <c r="H25" s="3">
        <f>G25</f>
        <v>7462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11348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11298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10808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10354</v>
      </c>
      <c r="M25" s="3">
        <f>L25</f>
        <v>10354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9879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9366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8895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29896</v>
      </c>
      <c r="R25" s="3">
        <f>Q25</f>
        <v>29896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28828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27597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26751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25385</v>
      </c>
      <c r="W25" s="3">
        <f>V25</f>
        <v>25385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23968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22604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21236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20289</v>
      </c>
      <c r="AB25" s="3">
        <f>AA25</f>
        <v>20289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19325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18609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6855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7038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6923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6555</v>
      </c>
      <c r="AL25" s="3">
        <f>AK25</f>
        <v>6555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19822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21059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27496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28250</v>
      </c>
      <c r="H26" s="3">
        <f>G26</f>
        <v>28250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28752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28788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30321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32091</v>
      </c>
      <c r="M26" s="3">
        <f>L26</f>
        <v>32091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36369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40480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43577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45632</v>
      </c>
      <c r="R26" s="3">
        <f>Q26</f>
        <v>45632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50358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51060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53571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52524</v>
      </c>
      <c r="W26" s="3">
        <f>V26</f>
        <v>52524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54269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55970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50900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58972</v>
      </c>
      <c r="AB26" s="3">
        <f>AA26</f>
        <v>58972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72282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75153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16356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16103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16137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17355</v>
      </c>
      <c r="AL26" s="3">
        <f>AK26</f>
        <v>17355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13412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15163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14832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15314</v>
      </c>
      <c r="H28" s="3">
        <f>G28</f>
        <v>15314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16085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19000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16609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15354</v>
      </c>
      <c r="M28" s="3">
        <f>L28</f>
        <v>15354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15305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18095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19307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17695</v>
      </c>
      <c r="R28" s="3">
        <f>Q28</f>
        <v>17695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18087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21996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22768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22608</v>
      </c>
      <c r="W28" s="3">
        <f>V28</f>
        <v>22608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26250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27724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32580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37328</v>
      </c>
      <c r="AB28" s="3">
        <f>AA28</f>
        <v>37328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37513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42416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9246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12530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12509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12770</v>
      </c>
      <c r="AL28" s="3">
        <f>AK28</f>
        <v>12770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8032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10057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6894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7782</v>
      </c>
      <c r="H29" s="3">
        <f>G29</f>
        <v>7782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9067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10661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7405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9030</v>
      </c>
      <c r="M29" s="3">
        <f>L29</f>
        <v>9030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10411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11009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6990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8813</v>
      </c>
      <c r="R29" s="3">
        <f>Q29</f>
        <v>8813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10432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12564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8326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9176</v>
      </c>
      <c r="W29" s="3">
        <f>V29</f>
        <v>9176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10579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13709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9201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10103</v>
      </c>
      <c r="AB29" s="3">
        <f>AA29</f>
        <v>10103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11270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14945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6254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7874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5714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6838</v>
      </c>
      <c r="AL29" s="3">
        <f>AK29</f>
        <v>6838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2165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2174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6272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3731</v>
      </c>
      <c r="H30" s="3">
        <f>G30</f>
        <v>3731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4646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4067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6729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3553</v>
      </c>
      <c r="M30" s="3">
        <f>L30</f>
        <v>3553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4163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4152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8035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5787</v>
      </c>
      <c r="R30" s="3">
        <f>Q30</f>
        <v>5787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7311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5017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9717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6056</v>
      </c>
      <c r="W30" s="3">
        <f>V30</f>
        <v>6056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6805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7211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3655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2050</v>
      </c>
      <c r="AB30" s="3">
        <f>AA30</f>
        <v>2050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3563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2534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3296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2130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2384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1562</v>
      </c>
      <c r="AL30" s="3">
        <f>AK30</f>
        <v>1562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40533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53191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49281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45685</v>
      </c>
      <c r="H31" s="3">
        <f>G31</f>
        <v>45685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45892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58605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53398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49784</v>
      </c>
      <c r="M31" s="3">
        <f>L31</f>
        <v>49784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49567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65646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60904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59430</v>
      </c>
      <c r="R31" s="3">
        <f>Q31</f>
        <v>59430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59911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76767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72140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65794</v>
      </c>
      <c r="W31" s="3">
        <f>V31</f>
        <v>65794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67573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89575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81728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75687</v>
      </c>
      <c r="AB31" s="3">
        <f>AA31</f>
        <v>75687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75476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99703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36163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46027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42952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40929</v>
      </c>
      <c r="AL31" s="3">
        <f>AK31</f>
        <v>40929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8051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8072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3249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4998</v>
      </c>
      <c r="H32" s="3">
        <f>G32</f>
        <v>4998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1749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2749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3248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3997</v>
      </c>
      <c r="M32" s="3">
        <f>L32</f>
        <v>3997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6245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5247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29556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29291</v>
      </c>
      <c r="R32" s="3">
        <f>Q32</f>
        <v>29291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22784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8942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2249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5248</v>
      </c>
      <c r="W32" s="3">
        <f>V32</f>
        <v>5248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2999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2999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7832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4837</v>
      </c>
      <c r="AB32" s="3">
        <f>AA32</f>
        <v>4837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8839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9227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3748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3749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6497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5387</v>
      </c>
      <c r="AL32" s="3">
        <f>AK32</f>
        <v>5387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3" s="6" t="e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3" s="6" t="e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3" s="6" t="e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3" s="3" t="e">
        <f>G33</f>
        <v>#N/A</v>
      </c>
      <c r="I33" s="6" t="e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3" s="6" t="e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3" s="6" t="e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3" s="6" t="e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3" s="3" t="e">
        <f>L33</f>
        <v>#N/A</v>
      </c>
      <c r="N33" s="6" t="e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3" s="6" t="e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3" s="6" t="e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3" s="6" t="e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3" s="3" t="e">
        <f>Q33</f>
        <v>#N/A</v>
      </c>
      <c r="S33" s="6" t="e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3" s="6" t="e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3" s="6" t="e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3" s="6" t="e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3" s="3" t="e">
        <f>V33</f>
        <v>#N/A</v>
      </c>
      <c r="X33" s="6" t="e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3" s="6" t="e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3" s="6" t="e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3" s="6" t="e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3" s="3" t="e">
        <f>AA33</f>
        <v>#N/A</v>
      </c>
      <c r="AC33" s="6" t="e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3" s="6" t="e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 t="e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3" s="6" t="e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3" s="6" t="e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3" s="6" t="e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4" s="6" t="e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4" s="6" t="e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4" s="6" t="e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4" s="3" t="e">
        <f>G34</f>
        <v>#N/A</v>
      </c>
      <c r="I34" s="6" t="e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4" s="6" t="e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4" s="6" t="e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4" s="6" t="e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4" s="3" t="e">
        <f>L34</f>
        <v>#N/A</v>
      </c>
      <c r="N34" s="6" t="e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4" s="6" t="e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4" s="6" t="e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4" s="6" t="e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4" s="3" t="e">
        <f>Q34</f>
        <v>#N/A</v>
      </c>
      <c r="S34" s="6" t="e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4" s="6" t="e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4" s="6" t="e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4" s="6" t="e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4" s="3" t="e">
        <f>V34</f>
        <v>#N/A</v>
      </c>
      <c r="X34" s="6" t="e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4" s="6" t="e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4" s="6" t="e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4" s="6" t="e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4" s="3" t="e">
        <f>AA34</f>
        <v>#N/A</v>
      </c>
      <c r="AC34" s="6" t="e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4" s="6" t="e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 t="e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4" s="6" t="e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4" s="6" t="e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4" s="6" t="e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50007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50074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50039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48260</v>
      </c>
      <c r="H35" s="3">
        <f>G35</f>
        <v>48260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48177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47032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45374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44119</v>
      </c>
      <c r="M35" s="3">
        <f>L35</f>
        <v>44119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41965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41990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41946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44928</v>
      </c>
      <c r="R35" s="3">
        <f>Q35</f>
        <v>44928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42658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42688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42868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39722</v>
      </c>
      <c r="W35" s="3">
        <f>V35</f>
        <v>39722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39882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40152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35376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35425</v>
      </c>
      <c r="AB35" s="3">
        <f>AA35</f>
        <v>35425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31423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31067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62862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59578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57055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55136</v>
      </c>
      <c r="AL35" s="3">
        <f>AK35</f>
        <v>55136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9272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9629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10050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10774</v>
      </c>
      <c r="H36" s="3">
        <f>G36</f>
        <v>10774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11357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11489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11660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11998</v>
      </c>
      <c r="M36" s="3">
        <f>L36</f>
        <v>11998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12312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12728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13487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14155</v>
      </c>
      <c r="R36" s="3">
        <f>Q36</f>
        <v>14155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14469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15497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16361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17254</v>
      </c>
      <c r="W36" s="3">
        <f>V36</f>
        <v>17254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17686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17437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17348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17345</v>
      </c>
      <c r="AB36" s="3">
        <f>AA36</f>
        <v>17345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16703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16532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7248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7671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7753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8875</v>
      </c>
      <c r="AL36" s="3">
        <f>AK36</f>
        <v>8875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7" s="6" t="e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7" s="6" t="e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7" s="6" t="e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7" s="3" t="e">
        <f>G37</f>
        <v>#N/A</v>
      </c>
      <c r="I37" s="6" t="e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7" s="6" t="e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7" s="6" t="e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7" s="6" t="e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7" s="3" t="e">
        <f>L37</f>
        <v>#N/A</v>
      </c>
      <c r="N37" s="6" t="e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7" s="6" t="e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7" s="6" t="e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7" s="6" t="e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7" s="3" t="e">
        <f>Q37</f>
        <v>#N/A</v>
      </c>
      <c r="S37" s="6" t="e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7" s="6" t="e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7" s="6" t="e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7" s="6" t="e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7" s="3" t="e">
        <f>V37</f>
        <v>#N/A</v>
      </c>
      <c r="X37" s="6" t="e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7" s="6" t="e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7" s="6" t="e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7" s="6" t="e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7" s="3" t="e">
        <f>AA37</f>
        <v>#N/A</v>
      </c>
      <c r="AC37" s="6" t="e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7" s="6" t="e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 t="e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7" s="6" t="e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7" s="6" t="e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7" s="6" t="e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173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198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212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199</v>
      </c>
      <c r="H38" s="3">
        <f>G38</f>
        <v>199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304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230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223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289</v>
      </c>
      <c r="M38" s="3">
        <f>L38</f>
        <v>289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302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433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470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2548</v>
      </c>
      <c r="R38" s="3">
        <f>Q38</f>
        <v>2548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2469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2618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2581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2513</v>
      </c>
      <c r="W38" s="3">
        <f>V38</f>
        <v>2513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2522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2835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2852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2876</v>
      </c>
      <c r="AB38" s="3">
        <f>AA38</f>
        <v>2876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2899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3054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185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204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187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174</v>
      </c>
      <c r="AL38" s="3">
        <f>AK38</f>
        <v>174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42729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43233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42611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43636</v>
      </c>
      <c r="H39" s="3">
        <f>G39</f>
        <v>43636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44406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44465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41572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43292</v>
      </c>
      <c r="M39" s="3">
        <f>L39</f>
        <v>43292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45135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46453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44376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49643</v>
      </c>
      <c r="R39" s="3">
        <f>Q39</f>
        <v>49643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53002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57597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58280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62832</v>
      </c>
      <c r="W39" s="3">
        <f>V39</f>
        <v>62832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66437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73882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82703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88776</v>
      </c>
      <c r="AB39" s="3">
        <f>AA39</f>
        <v>88776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92175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96511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41946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43244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42558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42230</v>
      </c>
      <c r="AL39" s="3">
        <f>AK39</f>
        <v>42230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1" s="6" t="e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1" s="6" t="e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1" s="6" t="e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1" s="3" t="e">
        <f>G41</f>
        <v>#N/A</v>
      </c>
      <c r="I41" s="6" t="e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1" s="6" t="e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1" s="6" t="e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1" s="6" t="e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1" s="3" t="e">
        <f>L41</f>
        <v>#N/A</v>
      </c>
      <c r="N41" s="6" t="e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1" s="6" t="e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1" s="6" t="e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1" s="6" t="e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1" s="3" t="e">
        <f>Q41</f>
        <v>#N/A</v>
      </c>
      <c r="S41" s="6" t="e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1" s="6" t="e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1" s="6" t="e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1" s="6" t="e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1" s="3" t="e">
        <f>V41</f>
        <v>#N/A</v>
      </c>
      <c r="X41" s="6" t="e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1" s="6" t="e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1" s="6" t="e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1" s="6" t="e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1" s="3" t="e">
        <f>AA41</f>
        <v>#N/A</v>
      </c>
      <c r="AC41" s="6" t="e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1" s="6" t="e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 t="e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1" s="6" t="e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1" s="6" t="e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1" s="6" t="e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82308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83111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83751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84528</v>
      </c>
      <c r="H43" s="3">
        <f>G43</f>
        <v>84528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85767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86939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88535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90225</v>
      </c>
      <c r="M43" s="3">
        <f>L43</f>
        <v>90225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92093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93718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95508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97480</v>
      </c>
      <c r="R43" s="3">
        <f>Q43</f>
        <v>97480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99193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100923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102976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104829</v>
      </c>
      <c r="W43" s="3">
        <f>V43</f>
        <v>104829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106965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109095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110964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112788</v>
      </c>
      <c r="AB43" s="3">
        <f>AA43</f>
        <v>112788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115069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117406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79813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80552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81089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81896</v>
      </c>
      <c r="AL43" s="3">
        <f>AK43</f>
        <v>81896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4" s="6" t="e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4" s="6" t="e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4" s="6" t="e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4" s="3" t="e">
        <f>G44</f>
        <v>#N/A</v>
      </c>
      <c r="I44" s="6" t="e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4" s="6" t="e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4" s="6" t="e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4" s="6" t="e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4" s="3" t="e">
        <f>L44</f>
        <v>#N/A</v>
      </c>
      <c r="N44" s="6" t="e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4" s="6" t="e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4" s="6" t="e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4" s="6" t="e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4" s="3" t="e">
        <f>Q44</f>
        <v>#N/A</v>
      </c>
      <c r="S44" s="6" t="e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4" s="6" t="e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4" s="6" t="e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4" s="6" t="e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4" s="3" t="e">
        <f>V44</f>
        <v>#N/A</v>
      </c>
      <c r="X44" s="6" t="e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4" s="6" t="e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4" s="6" t="e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4" s="6" t="e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4" s="3" t="e">
        <f>AA44</f>
        <v>#N/A</v>
      </c>
      <c r="AC44" s="6" t="e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4" s="6" t="e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 t="e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4" s="6" t="e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4" s="6" t="e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4" s="6" t="e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1462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1822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1283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437</v>
      </c>
      <c r="H45" s="3">
        <f>G45</f>
        <v>437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-2476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-4678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-7343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-6457</v>
      </c>
      <c r="M45" s="3">
        <f>L45</f>
        <v>-6457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-5644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-6343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-6937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-4949</v>
      </c>
      <c r="R45" s="3">
        <f>Q45</f>
        <v>-4949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-5435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-5590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-4182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-5616</v>
      </c>
      <c r="W45" s="3">
        <f>V45</f>
        <v>-5616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-4833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-3347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-2761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-2702</v>
      </c>
      <c r="AB45" s="3">
        <f>AA45</f>
        <v>-2702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-3228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-3284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2676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3186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3110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3367</v>
      </c>
      <c r="AL45" s="3">
        <f>AK45</f>
        <v>3367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6" s="6" t="e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6" s="6" t="e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6" s="6" t="e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6" s="3" t="e">
        <f>G46</f>
        <v>#N/A</v>
      </c>
      <c r="I46" s="6" t="e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6" s="6" t="e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6" s="6" t="e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6" s="6" t="e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6" s="3" t="e">
        <f>L46</f>
        <v>#N/A</v>
      </c>
      <c r="N46" s="6" t="e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6" s="6" t="e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6" s="6" t="e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6" s="6" t="e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6" s="3" t="e">
        <f>Q46</f>
        <v>#N/A</v>
      </c>
      <c r="S46" s="6" t="e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6" s="6" t="e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6" s="6" t="e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6" s="6" t="e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6" s="3" t="e">
        <f>V46</f>
        <v>#N/A</v>
      </c>
      <c r="X46" s="6" t="e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6" s="6" t="e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6" s="6" t="e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6" s="6" t="e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6" s="3" t="e">
        <f>AA46</f>
        <v>#N/A</v>
      </c>
      <c r="AC46" s="6" t="e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6" s="6" t="e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 t="e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6" s="6" t="e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6" s="6" t="e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6" s="6" t="e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50735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57055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66944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75045</v>
      </c>
      <c r="H47" s="3">
        <f>G47</f>
        <v>75045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79633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84281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92374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99368</v>
      </c>
      <c r="M47" s="3">
        <f>L47</f>
        <v>99368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108234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118848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132143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145737</v>
      </c>
      <c r="R47" s="3">
        <f>Q47</f>
        <v>145737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159394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173144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188929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203482</v>
      </c>
      <c r="W47" s="3">
        <f>V47</f>
        <v>203482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219759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237731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254873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280789</v>
      </c>
      <c r="AB47" s="3">
        <f>AA47</f>
        <v>280789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302526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328265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32012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34566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39193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44973</v>
      </c>
      <c r="AL47" s="3">
        <f>AK47</f>
        <v>44973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15457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16458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20505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18765</v>
      </c>
      <c r="H50" s="3">
        <f>SUM(D50:G50)</f>
        <v>71185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16728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16740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17556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16425</v>
      </c>
      <c r="M50" s="3">
        <f>SUM(I50:L50)</f>
        <v>67449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18299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20081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22291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21870</v>
      </c>
      <c r="R50" s="3">
        <f>SUM(N50:Q50)</f>
        <v>82541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21939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22036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24667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24108</v>
      </c>
      <c r="W50" s="3">
        <f>SUM(S50:V50)</f>
        <v>92750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25824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27233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27747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38458</v>
      </c>
      <c r="AB50" s="3">
        <f>SUM(X50:AA50)</f>
        <v>119262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31778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35766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10752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11202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13893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15463</v>
      </c>
      <c r="AL50">
        <f>SUM(AH50:AK50)</f>
        <v>51310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Productivity and Business Processes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13552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14691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15039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15936</v>
      </c>
      <c r="H53" s="264">
        <f>SUM(D53:G53)</f>
        <v>59218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15789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16600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16465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17002</v>
      </c>
      <c r="M53" s="264">
        <f>SUM(I53:L53)</f>
        <v>65856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17516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18291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25226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25854</v>
      </c>
      <c r="R53" s="264">
        <f>SUM(N53:Q53)</f>
        <v>86887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27113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20317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28317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29437</v>
      </c>
      <c r="W53" s="264">
        <f>SUM(S53:V53)</f>
        <v>105184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29944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33112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33020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34116</v>
      </c>
      <c r="AB53" s="264">
        <f>SUM(X53:AA53)</f>
        <v>130192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35013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37847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11743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11752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12319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13353</v>
      </c>
      <c r="AL53" s="264">
        <f>SUM(AH53:AK53)</f>
        <v>49167</v>
      </c>
    </row>
    <row r="54">
      <c r="B54" s="46" t="n">
        <v>46</v>
      </c>
      <c r="C54" s="29" t="inlineStr">
        <is>
          <t>Intelligent Cloud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15118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17375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16912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18262</v>
      </c>
      <c r="H54" s="264">
        <f>SUM(D54:G54)</f>
        <v>67667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18987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20909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20325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21508</v>
      </c>
      <c r="M54" s="264">
        <f>SUM(I54:L54)</f>
        <v>81729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22081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23993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20013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21525</v>
      </c>
      <c r="R54" s="264">
        <f>SUM(N54:Q54)</f>
        <v>87612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22141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28515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24092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25544</v>
      </c>
      <c r="W54" s="264">
        <f>SUM(S54:V54)</f>
        <v>100292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26751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29878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30897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32907</v>
      </c>
      <c r="AB54" s="264">
        <f>SUM(X54:AA54)</f>
        <v>120433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34681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39306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12281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13371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12986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14601</v>
      </c>
      <c r="AL54" s="264">
        <f>SUM(AH54:AK54)</f>
        <v>53239</v>
      </c>
    </row>
    <row r="55">
      <c r="B55" s="46" t="n">
        <v>47</v>
      </c>
      <c r="C55" s="29" t="inlineStr">
        <is>
          <t>More Personal Computing - receita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13036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14086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13366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17530</v>
      </c>
      <c r="H55" s="264">
        <f>SUM(D55:G55)</f>
        <v>58018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14584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14356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13332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14237</v>
      </c>
      <c r="M55" s="264">
        <f>SUM(I55:L55)</f>
        <v>56509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13260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13905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11278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14641</v>
      </c>
      <c r="R55" s="264">
        <f>SUM(N55:Q55)</f>
        <v>53084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12604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15895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13176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14651</v>
      </c>
      <c r="W55" s="264">
        <f>SUM(S55:V55)</f>
        <v>56326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13371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13451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13756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14250</v>
      </c>
      <c r="AB55" s="264">
        <f>SUM(X55:AA55)</f>
        <v>54828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13192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12854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10997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12910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11849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15122</v>
      </c>
      <c r="AL55" s="264">
        <f>SUM(AH55:AK55)</f>
        <v>50878</v>
      </c>
    </row>
    <row r="56">
      <c r="B56" s="46" t="n">
        <v>48</v>
      </c>
      <c r="C56" s="29" t="inlineStr">
        <is>
          <t>Productivity and Business Processes - lucro operacional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6029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6435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7581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7688</v>
      </c>
      <c r="H56" s="264">
        <f>SUM(D56:G56)</f>
        <v>27733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7185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7234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8323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8175</v>
      </c>
      <c r="M56" s="264">
        <f>SUM(I56:L56)</f>
        <v>30917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8639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9052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14297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14515</v>
      </c>
      <c r="R56" s="264">
        <f>SUM(N56:Q56)</f>
        <v>46503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15143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10143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16516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16885</v>
      </c>
      <c r="W56" s="264">
        <f>SUM(S56:V56)</f>
        <v>58687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17379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18993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20407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20599</v>
      </c>
      <c r="AB56" s="264">
        <f>SUM(X56:AA56)</f>
        <v>77378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20973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21900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4788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3972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5706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6181</v>
      </c>
      <c r="AL56" s="264">
        <f>SUM(AH56:AK56)</f>
        <v>20647</v>
      </c>
    </row>
    <row r="57">
      <c r="B57" s="46" t="n">
        <v>49</v>
      </c>
      <c r="C57" s="29" t="inlineStr">
        <is>
          <t>Intelligent Cloud - lucro operacional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6425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7787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7681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8323</v>
      </c>
      <c r="H57" s="264">
        <f>SUM(D57:G57)</f>
        <v>30216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8391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8681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8978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8904</v>
      </c>
      <c r="M57" s="264">
        <f>SUM(I57:L57)</f>
        <v>34954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9476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10526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8908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9555</v>
      </c>
      <c r="R57" s="264">
        <f>SUM(N57:Q57)</f>
        <v>38465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9515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12859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10503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10851</v>
      </c>
      <c r="W57" s="264">
        <f>SUM(S57:V57)</f>
        <v>43728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11095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12140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13391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13873</v>
      </c>
      <c r="AB57" s="264">
        <f>SUM(X57:AA57)</f>
        <v>50499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13753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15955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4560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5344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5422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6492</v>
      </c>
      <c r="AL57" s="264">
        <f>SUM(AH57:AK57)</f>
        <v>21818</v>
      </c>
    </row>
    <row r="58">
      <c r="B58" s="46" t="n">
        <v>50</v>
      </c>
      <c r="C58" s="29" t="inlineStr">
        <is>
          <t>More Personal Computing - lucro operacional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4594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4873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4976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6236</v>
      </c>
      <c r="H58" s="264">
        <f>SUM(D58:G58)</f>
        <v>20679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4788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4619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4217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3320</v>
      </c>
      <c r="M58" s="264">
        <f>SUM(I58:L58)</f>
        <v>16944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4237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4676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3690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2962</v>
      </c>
      <c r="R58" s="264">
        <f>SUM(N58:Q58)</f>
        <v>15565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2923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4923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3533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3917</v>
      </c>
      <c r="W58" s="264">
        <f>SUM(S58:V58)</f>
        <v>15296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3526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3190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4163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3803</v>
      </c>
      <c r="AB58" s="264">
        <f>SUM(X58:AA58)</f>
        <v>14682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3672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2748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3627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4091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4748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5224</v>
      </c>
      <c r="AL58" s="264">
        <f>SUM(AH58:AK58)</f>
        <v>17690</v>
      </c>
    </row>
    <row r="59">
      <c r="B59" s="46" t="n">
        <v>51</v>
      </c>
      <c r="C59" s="29" t="inlineStr">
        <is>
          <t>Microsoft Cloud - receita (USD; até 2021 "Commercial cloud")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17700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19500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20700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22200</v>
      </c>
      <c r="H59" s="264">
        <f>SUM(D59:G59)</f>
        <v>80100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23400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25000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25700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27100</v>
      </c>
      <c r="M59" s="264">
        <f>SUM(I59:L59)</f>
        <v>101200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28500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30300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31900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33700</v>
      </c>
      <c r="R59" s="264">
        <f>SUM(N59:Q59)</f>
        <v>124400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35200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36800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38900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40900</v>
      </c>
      <c r="W59" s="264">
        <f>SUM(S59:V59)</f>
        <v>151800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42400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46700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49100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51500</v>
      </c>
      <c r="AB59" s="264">
        <f>SUM(X59:AA59)</f>
        <v>189700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54500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59300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13300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14300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15200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16700</v>
      </c>
      <c r="AL59" s="264">
        <f>SUM(AH59:AK59)</f>
        <v>59500</v>
      </c>
    </row>
    <row r="60">
      <c r="B60" s="46" t="n">
        <v>52</v>
      </c>
      <c r="C60" s="29" t="inlineStr">
        <is>
          <t>Server products and cloud services (Azure) - receita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13204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15461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15070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16382</v>
      </c>
      <c r="H60" s="264">
        <f>SUM(D60:G60)</f>
        <v>60117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17046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18839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18388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19594</v>
      </c>
      <c r="M60" s="264">
        <f>SUM(I60:L60)</f>
        <v>73867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20025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21963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18062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19597</v>
      </c>
      <c r="R60" s="264">
        <f>SUM(N60:Q60)</f>
        <v>79647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20266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26633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22155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23641</v>
      </c>
      <c r="W60" s="264">
        <f>SUM(S60:V60)</f>
        <v>92695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24761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27878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28872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30865</v>
      </c>
      <c r="AB60" s="264">
        <f>SUM(X60:AA60)</f>
        <v>112376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32592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37096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10490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11578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11195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12729</v>
      </c>
      <c r="AL60" s="264">
        <f>SUM(AH60:AK60)</f>
        <v>45992</v>
      </c>
    </row>
    <row r="61">
      <c r="B61" s="46" t="n">
        <v>53</v>
      </c>
      <c r="C61" s="29" t="inlineStr">
        <is>
          <t>Microsoft 365 comercial + consumo (até 2022: Office products and cloud services) - receita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10016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10697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10808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11251</v>
      </c>
      <c r="H61" s="264">
        <f>SUM(D61:G61)</f>
        <v>42772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11164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11639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11577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11867</v>
      </c>
      <c r="M61" s="264">
        <f>SUM(I61:L61)</f>
        <v>46247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12468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12905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19687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20000</v>
      </c>
      <c r="R61" s="264">
        <f>SUM(N61:Q61)</f>
        <v>65060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21360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22570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22176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22938</v>
      </c>
      <c r="W61" s="264">
        <f>SUM(S61:V61)</f>
        <v>89044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23704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26353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26170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26829</v>
      </c>
      <c r="AB61" s="264">
        <f>SUM(X61:AA61)</f>
        <v>103056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27890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30283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8920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8947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9278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9881</v>
      </c>
      <c r="AL61" s="264">
        <f>SUM(AH61:AK61)</f>
        <v>37026</v>
      </c>
    </row>
    <row r="62">
      <c r="B62" s="46" t="n">
        <v>54</v>
      </c>
      <c r="C62" s="29" t="inlineStr">
        <is>
          <t>LinkedIn - receita (USD)</t>
        </is>
      </c>
      <c r="D62" s="263">
        <f>IF(ISNA(MATCH(D$2,Inputs!$K$4:$AJ$4,0)),NA(),IF(SUMPRODUCT((Inputs!$A$5:$A$110=$B62)*ISNUMBER(INDEX(Inputs!$K$5:$AJ$110,0,MATCH(D$2,Inputs!$K$4:$AJ$4,0))))+SUMPRODUCT((Inputs!$C$5:$C$110=$B62)*ISNUMBER(INDEX(Inputs!$K$5:$AJ$110,0,MATCH(D$2,Inputs!$K$4:$AJ$4,0))))+SUMPRODUCT((Inputs!$E$5:$E$110=$B62)*ISNUMBER(INDEX(Inputs!$K$5:$AJ$110,0,MATCH(D$2,Inputs!$K$4:$AJ$4,0))))=0,NA(),SUMPRODUCT((Inputs!$A$5:$A$110=$B62)*Inputs!$B$5:$B$110*(((Inputs!$G$5:$G$110="moeda")+(Inputs!$G$5:$G$110="acoes"))*Inputs!$B$1+((Inputs!$G$5:$G$110&lt;&gt;"moeda")*(Inputs!$G$5:$G$110&lt;&gt;"acoes")))*INDEX(Inputs!$K$5:$AJ$110,0,MATCH(D$2,Inputs!$K$4:$AJ$4,0)))+SUMPRODUCT((Inputs!$C$5:$C$110=$B62)*Inputs!$D$5:$D$110*(((Inputs!$G$5:$G$110="moeda")+(Inputs!$G$5:$G$110="acoes"))*Inputs!$B$1+((Inputs!$G$5:$G$110&lt;&gt;"moeda")*(Inputs!$G$5:$G$110&lt;&gt;"acoes")))*INDEX(Inputs!$K$5:$AJ$110,0,MATCH(D$2,Inputs!$K$4:$AJ$4,0)))+SUMPRODUCT((Inputs!$E$5:$E$110=$B62)*Inputs!$F$5:$F$110*(((Inputs!$G$5:$G$110="moeda")+(Inputs!$G$5:$G$110="acoes"))*Inputs!$B$1+((Inputs!$G$5:$G$110&lt;&gt;"moeda")*(Inputs!$G$5:$G$110&lt;&gt;"acoes")))*INDEX(Inputs!$K$5:$AJ$110,0,MATCH(D$2,Inputs!$K$4:$AJ$4,0)))))</f>
        <v>2562</v>
      </c>
      <c r="E62" s="263">
        <f>IF(ISNA(MATCH(E$2,Inputs!$K$4:$AJ$4,0)),NA(),IF(SUMPRODUCT((Inputs!$A$5:$A$110=$B62)*ISNUMBER(INDEX(Inputs!$K$5:$AJ$110,0,MATCH(E$2,Inputs!$K$4:$AJ$4,0))))+SUMPRODUCT((Inputs!$C$5:$C$110=$B62)*ISNUMBER(INDEX(Inputs!$K$5:$AJ$110,0,MATCH(E$2,Inputs!$K$4:$AJ$4,0))))+SUMPRODUCT((Inputs!$E$5:$E$110=$B62)*ISNUMBER(INDEX(Inputs!$K$5:$AJ$110,0,MATCH(E$2,Inputs!$K$4:$AJ$4,0))))=0,NA(),SUMPRODUCT((Inputs!$A$5:$A$110=$B62)*Inputs!$B$5:$B$110*(((Inputs!$G$5:$G$110="moeda")+(Inputs!$G$5:$G$110="acoes"))*Inputs!$B$1+((Inputs!$G$5:$G$110&lt;&gt;"moeda")*(Inputs!$G$5:$G$110&lt;&gt;"acoes")))*INDEX(Inputs!$K$5:$AJ$110,0,MATCH(E$2,Inputs!$K$4:$AJ$4,0)))+SUMPRODUCT((Inputs!$C$5:$C$110=$B62)*Inputs!$D$5:$D$110*(((Inputs!$G$5:$G$110="moeda")+(Inputs!$G$5:$G$110="acoes"))*Inputs!$B$1+((Inputs!$G$5:$G$110&lt;&gt;"moeda")*(Inputs!$G$5:$G$110&lt;&gt;"acoes")))*INDEX(Inputs!$K$5:$AJ$110,0,MATCH(E$2,Inputs!$K$4:$AJ$4,0)))+SUMPRODUCT((Inputs!$E$5:$E$110=$B62)*Inputs!$F$5:$F$110*(((Inputs!$G$5:$G$110="moeda")+(Inputs!$G$5:$G$110="acoes"))*Inputs!$B$1+((Inputs!$G$5:$G$110&lt;&gt;"moeda")*(Inputs!$G$5:$G$110&lt;&gt;"acoes")))*INDEX(Inputs!$K$5:$AJ$110,0,MATCH(E$2,Inputs!$K$4:$AJ$4,0)))))</f>
        <v>2944</v>
      </c>
      <c r="F62" s="263">
        <f>IF(ISNA(MATCH(F$2,Inputs!$K$4:$AJ$4,0)),NA(),IF(SUMPRODUCT((Inputs!$A$5:$A$110=$B62)*ISNUMBER(INDEX(Inputs!$K$5:$AJ$110,0,MATCH(F$2,Inputs!$K$4:$AJ$4,0))))+SUMPRODUCT((Inputs!$C$5:$C$110=$B62)*ISNUMBER(INDEX(Inputs!$K$5:$AJ$110,0,MATCH(F$2,Inputs!$K$4:$AJ$4,0))))+SUMPRODUCT((Inputs!$E$5:$E$110=$B62)*ISNUMBER(INDEX(Inputs!$K$5:$AJ$110,0,MATCH(F$2,Inputs!$K$4:$AJ$4,0))))=0,NA(),SUMPRODUCT((Inputs!$A$5:$A$110=$B62)*Inputs!$B$5:$B$110*(((Inputs!$G$5:$G$110="moeda")+(Inputs!$G$5:$G$110="acoes"))*Inputs!$B$1+((Inputs!$G$5:$G$110&lt;&gt;"moeda")*(Inputs!$G$5:$G$110&lt;&gt;"acoes")))*INDEX(Inputs!$K$5:$AJ$110,0,MATCH(F$2,Inputs!$K$4:$AJ$4,0)))+SUMPRODUCT((Inputs!$C$5:$C$110=$B62)*Inputs!$D$5:$D$110*(((Inputs!$G$5:$G$110="moeda")+(Inputs!$G$5:$G$110="acoes"))*Inputs!$B$1+((Inputs!$G$5:$G$110&lt;&gt;"moeda")*(Inputs!$G$5:$G$110&lt;&gt;"acoes")))*INDEX(Inputs!$K$5:$AJ$110,0,MATCH(F$2,Inputs!$K$4:$AJ$4,0)))+SUMPRODUCT((Inputs!$E$5:$E$110=$B62)*Inputs!$F$5:$F$110*(((Inputs!$G$5:$G$110="moeda")+(Inputs!$G$5:$G$110="acoes"))*Inputs!$B$1+((Inputs!$G$5:$G$110&lt;&gt;"moeda")*(Inputs!$G$5:$G$110&lt;&gt;"acoes")))*INDEX(Inputs!$K$5:$AJ$110,0,MATCH(F$2,Inputs!$K$4:$AJ$4,0)))))</f>
        <v>3136</v>
      </c>
      <c r="G62" s="263">
        <f>IF(ISNA(MATCH(G$2,Inputs!$K$4:$AJ$4,0)),NA(),IF(SUMPRODUCT((Inputs!$A$5:$A$110=$B62)*ISNUMBER(INDEX(Inputs!$K$5:$AJ$110,0,MATCH(G$2,Inputs!$K$4:$AJ$4,0))))+SUMPRODUCT((Inputs!$C$5:$C$110=$B62)*ISNUMBER(INDEX(Inputs!$K$5:$AJ$110,0,MATCH(G$2,Inputs!$K$4:$AJ$4,0))))+SUMPRODUCT((Inputs!$E$5:$E$110=$B62)*ISNUMBER(INDEX(Inputs!$K$5:$AJ$110,0,MATCH(G$2,Inputs!$K$4:$AJ$4,0))))=0,NA(),SUMPRODUCT((Inputs!$A$5:$A$110=$B62)*Inputs!$B$5:$B$110*(((Inputs!$G$5:$G$110="moeda")+(Inputs!$G$5:$G$110="acoes"))*Inputs!$B$1+((Inputs!$G$5:$G$110&lt;&gt;"moeda")*(Inputs!$G$5:$G$110&lt;&gt;"acoes")))*INDEX(Inputs!$K$5:$AJ$110,0,MATCH(G$2,Inputs!$K$4:$AJ$4,0)))+SUMPRODUCT((Inputs!$C$5:$C$110=$B62)*Inputs!$D$5:$D$110*(((Inputs!$G$5:$G$110="moeda")+(Inputs!$G$5:$G$110="acoes"))*Inputs!$B$1+((Inputs!$G$5:$G$110&lt;&gt;"moeda")*(Inputs!$G$5:$G$110&lt;&gt;"acoes")))*INDEX(Inputs!$K$5:$AJ$110,0,MATCH(G$2,Inputs!$K$4:$AJ$4,0)))+SUMPRODUCT((Inputs!$E$5:$E$110=$B62)*Inputs!$F$5:$F$110*(((Inputs!$G$5:$G$110="moeda")+(Inputs!$G$5:$G$110="acoes"))*Inputs!$B$1+((Inputs!$G$5:$G$110&lt;&gt;"moeda")*(Inputs!$G$5:$G$110&lt;&gt;"acoes")))*INDEX(Inputs!$K$5:$AJ$110,0,MATCH(G$2,Inputs!$K$4:$AJ$4,0)))))</f>
        <v>3531</v>
      </c>
      <c r="H62" s="264">
        <f>SUM(D62:G62)</f>
        <v>12173</v>
      </c>
      <c r="I62" s="263">
        <f>IF(ISNA(MATCH(I$2,Inputs!$K$4:$AJ$4,0)),NA(),IF(SUMPRODUCT((Inputs!$A$5:$A$110=$B62)*ISNUMBER(INDEX(Inputs!$K$5:$AJ$110,0,MATCH(I$2,Inputs!$K$4:$AJ$4,0))))+SUMPRODUCT((Inputs!$C$5:$C$110=$B62)*ISNUMBER(INDEX(Inputs!$K$5:$AJ$110,0,MATCH(I$2,Inputs!$K$4:$AJ$4,0))))+SUMPRODUCT((Inputs!$E$5:$E$110=$B62)*ISNUMBER(INDEX(Inputs!$K$5:$AJ$110,0,MATCH(I$2,Inputs!$K$4:$AJ$4,0))))=0,NA(),SUMPRODUCT((Inputs!$A$5:$A$110=$B62)*Inputs!$B$5:$B$110*(((Inputs!$G$5:$G$110="moeda")+(Inputs!$G$5:$G$110="acoes"))*Inputs!$B$1+((Inputs!$G$5:$G$110&lt;&gt;"moeda")*(Inputs!$G$5:$G$110&lt;&gt;"acoes")))*INDEX(Inputs!$K$5:$AJ$110,0,MATCH(I$2,Inputs!$K$4:$AJ$4,0)))+SUMPRODUCT((Inputs!$C$5:$C$110=$B62)*Inputs!$D$5:$D$110*(((Inputs!$G$5:$G$110="moeda")+(Inputs!$G$5:$G$110="acoes"))*Inputs!$B$1+((Inputs!$G$5:$G$110&lt;&gt;"moeda")*(Inputs!$G$5:$G$110&lt;&gt;"acoes")))*INDEX(Inputs!$K$5:$AJ$110,0,MATCH(I$2,Inputs!$K$4:$AJ$4,0)))+SUMPRODUCT((Inputs!$E$5:$E$110=$B62)*Inputs!$F$5:$F$110*(((Inputs!$G$5:$G$110="moeda")+(Inputs!$G$5:$G$110="acoes"))*Inputs!$B$1+((Inputs!$G$5:$G$110&lt;&gt;"moeda")*(Inputs!$G$5:$G$110&lt;&gt;"acoes")))*INDEX(Inputs!$K$5:$AJ$110,0,MATCH(I$2,Inputs!$K$4:$AJ$4,0)))))</f>
        <v>3437</v>
      </c>
      <c r="J62" s="263">
        <f>IF(ISNA(MATCH(J$2,Inputs!$K$4:$AJ$4,0)),NA(),IF(SUMPRODUCT((Inputs!$A$5:$A$110=$B62)*ISNUMBER(INDEX(Inputs!$K$5:$AJ$110,0,MATCH(J$2,Inputs!$K$4:$AJ$4,0))))+SUMPRODUCT((Inputs!$C$5:$C$110=$B62)*ISNUMBER(INDEX(Inputs!$K$5:$AJ$110,0,MATCH(J$2,Inputs!$K$4:$AJ$4,0))))+SUMPRODUCT((Inputs!$E$5:$E$110=$B62)*ISNUMBER(INDEX(Inputs!$K$5:$AJ$110,0,MATCH(J$2,Inputs!$K$4:$AJ$4,0))))=0,NA(),SUMPRODUCT((Inputs!$A$5:$A$110=$B62)*Inputs!$B$5:$B$110*(((Inputs!$G$5:$G$110="moeda")+(Inputs!$G$5:$G$110="acoes"))*Inputs!$B$1+((Inputs!$G$5:$G$110&lt;&gt;"moeda")*(Inputs!$G$5:$G$110&lt;&gt;"acoes")))*INDEX(Inputs!$K$5:$AJ$110,0,MATCH(J$2,Inputs!$K$4:$AJ$4,0)))+SUMPRODUCT((Inputs!$C$5:$C$110=$B62)*Inputs!$D$5:$D$110*(((Inputs!$G$5:$G$110="moeda")+(Inputs!$G$5:$G$110="acoes"))*Inputs!$B$1+((Inputs!$G$5:$G$110&lt;&gt;"moeda")*(Inputs!$G$5:$G$110&lt;&gt;"acoes")))*INDEX(Inputs!$K$5:$AJ$110,0,MATCH(J$2,Inputs!$K$4:$AJ$4,0)))+SUMPRODUCT((Inputs!$E$5:$E$110=$B62)*Inputs!$F$5:$F$110*(((Inputs!$G$5:$G$110="moeda")+(Inputs!$G$5:$G$110="acoes"))*Inputs!$B$1+((Inputs!$G$5:$G$110&lt;&gt;"moeda")*(Inputs!$G$5:$G$110&lt;&gt;"acoes")))*INDEX(Inputs!$K$5:$AJ$110,0,MATCH(J$2,Inputs!$K$4:$AJ$4,0)))))</f>
        <v>3712</v>
      </c>
      <c r="K62" s="263">
        <f>IF(ISNA(MATCH(K$2,Inputs!$K$4:$AJ$4,0)),NA(),IF(SUMPRODUCT((Inputs!$A$5:$A$110=$B62)*ISNUMBER(INDEX(Inputs!$K$5:$AJ$110,0,MATCH(K$2,Inputs!$K$4:$AJ$4,0))))+SUMPRODUCT((Inputs!$C$5:$C$110=$B62)*ISNUMBER(INDEX(Inputs!$K$5:$AJ$110,0,MATCH(K$2,Inputs!$K$4:$AJ$4,0))))+SUMPRODUCT((Inputs!$E$5:$E$110=$B62)*ISNUMBER(INDEX(Inputs!$K$5:$AJ$110,0,MATCH(K$2,Inputs!$K$4:$AJ$4,0))))=0,NA(),SUMPRODUCT((Inputs!$A$5:$A$110=$B62)*Inputs!$B$5:$B$110*(((Inputs!$G$5:$G$110="moeda")+(Inputs!$G$5:$G$110="acoes"))*Inputs!$B$1+((Inputs!$G$5:$G$110&lt;&gt;"moeda")*(Inputs!$G$5:$G$110&lt;&gt;"acoes")))*INDEX(Inputs!$K$5:$AJ$110,0,MATCH(K$2,Inputs!$K$4:$AJ$4,0)))+SUMPRODUCT((Inputs!$C$5:$C$110=$B62)*Inputs!$D$5:$D$110*(((Inputs!$G$5:$G$110="moeda")+(Inputs!$G$5:$G$110="acoes"))*Inputs!$B$1+((Inputs!$G$5:$G$110&lt;&gt;"moeda")*(Inputs!$G$5:$G$110&lt;&gt;"acoes")))*INDEX(Inputs!$K$5:$AJ$110,0,MATCH(K$2,Inputs!$K$4:$AJ$4,0)))+SUMPRODUCT((Inputs!$E$5:$E$110=$B62)*Inputs!$F$5:$F$110*(((Inputs!$G$5:$G$110="moeda")+(Inputs!$G$5:$G$110="acoes"))*Inputs!$B$1+((Inputs!$G$5:$G$110&lt;&gt;"moeda")*(Inputs!$G$5:$G$110&lt;&gt;"acoes")))*INDEX(Inputs!$K$5:$AJ$110,0,MATCH(K$2,Inputs!$K$4:$AJ$4,0)))))</f>
        <v>3628</v>
      </c>
      <c r="L62" s="263">
        <f>IF(ISNA(MATCH(L$2,Inputs!$K$4:$AJ$4,0)),NA(),IF(SUMPRODUCT((Inputs!$A$5:$A$110=$B62)*ISNUMBER(INDEX(Inputs!$K$5:$AJ$110,0,MATCH(L$2,Inputs!$K$4:$AJ$4,0))))+SUMPRODUCT((Inputs!$C$5:$C$110=$B62)*ISNUMBER(INDEX(Inputs!$K$5:$AJ$110,0,MATCH(L$2,Inputs!$K$4:$AJ$4,0))))+SUMPRODUCT((Inputs!$E$5:$E$110=$B62)*ISNUMBER(INDEX(Inputs!$K$5:$AJ$110,0,MATCH(L$2,Inputs!$K$4:$AJ$4,0))))=0,NA(),SUMPRODUCT((Inputs!$A$5:$A$110=$B62)*Inputs!$B$5:$B$110*(((Inputs!$G$5:$G$110="moeda")+(Inputs!$G$5:$G$110="acoes"))*Inputs!$B$1+((Inputs!$G$5:$G$110&lt;&gt;"moeda")*(Inputs!$G$5:$G$110&lt;&gt;"acoes")))*INDEX(Inputs!$K$5:$AJ$110,0,MATCH(L$2,Inputs!$K$4:$AJ$4,0)))+SUMPRODUCT((Inputs!$C$5:$C$110=$B62)*Inputs!$D$5:$D$110*(((Inputs!$G$5:$G$110="moeda")+(Inputs!$G$5:$G$110="acoes"))*Inputs!$B$1+((Inputs!$G$5:$G$110&lt;&gt;"moeda")*(Inputs!$G$5:$G$110&lt;&gt;"acoes")))*INDEX(Inputs!$K$5:$AJ$110,0,MATCH(L$2,Inputs!$K$4:$AJ$4,0)))+SUMPRODUCT((Inputs!$E$5:$E$110=$B62)*Inputs!$F$5:$F$110*(((Inputs!$G$5:$G$110="moeda")+(Inputs!$G$5:$G$110="acoes"))*Inputs!$B$1+((Inputs!$G$5:$G$110&lt;&gt;"moeda")*(Inputs!$G$5:$G$110&lt;&gt;"acoes")))*INDEX(Inputs!$K$5:$AJ$110,0,MATCH(L$2,Inputs!$K$4:$AJ$4,0)))))</f>
        <v>3833</v>
      </c>
      <c r="M62" s="264">
        <f>SUM(I62:L62)</f>
        <v>14610</v>
      </c>
      <c r="N62" s="263">
        <f>IF(ISNA(MATCH(N$2,Inputs!$K$4:$AJ$4,0)),NA(),IF(SUMPRODUCT((Inputs!$A$5:$A$110=$B62)*ISNUMBER(INDEX(Inputs!$K$5:$AJ$110,0,MATCH(N$2,Inputs!$K$4:$AJ$4,0))))+SUMPRODUCT((Inputs!$C$5:$C$110=$B62)*ISNUMBER(INDEX(Inputs!$K$5:$AJ$110,0,MATCH(N$2,Inputs!$K$4:$AJ$4,0))))+SUMPRODUCT((Inputs!$E$5:$E$110=$B62)*ISNUMBER(INDEX(Inputs!$K$5:$AJ$110,0,MATCH(N$2,Inputs!$K$4:$AJ$4,0))))=0,NA(),SUMPRODUCT((Inputs!$A$5:$A$110=$B62)*Inputs!$B$5:$B$110*(((Inputs!$G$5:$G$110="moeda")+(Inputs!$G$5:$G$110="acoes"))*Inputs!$B$1+((Inputs!$G$5:$G$110&lt;&gt;"moeda")*(Inputs!$G$5:$G$110&lt;&gt;"acoes")))*INDEX(Inputs!$K$5:$AJ$110,0,MATCH(N$2,Inputs!$K$4:$AJ$4,0)))+SUMPRODUCT((Inputs!$C$5:$C$110=$B62)*Inputs!$D$5:$D$110*(((Inputs!$G$5:$G$110="moeda")+(Inputs!$G$5:$G$110="acoes"))*Inputs!$B$1+((Inputs!$G$5:$G$110&lt;&gt;"moeda")*(Inputs!$G$5:$G$110&lt;&gt;"acoes")))*INDEX(Inputs!$K$5:$AJ$110,0,MATCH(N$2,Inputs!$K$4:$AJ$4,0)))+SUMPRODUCT((Inputs!$E$5:$E$110=$B62)*Inputs!$F$5:$F$110*(((Inputs!$G$5:$G$110="moeda")+(Inputs!$G$5:$G$110="acoes"))*Inputs!$B$1+((Inputs!$G$5:$G$110&lt;&gt;"moeda")*(Inputs!$G$5:$G$110&lt;&gt;"acoes")))*INDEX(Inputs!$K$5:$AJ$110,0,MATCH(N$2,Inputs!$K$4:$AJ$4,0)))))</f>
        <v>3659</v>
      </c>
      <c r="O62" s="263">
        <f>IF(ISNA(MATCH(O$2,Inputs!$K$4:$AJ$4,0)),NA(),IF(SUMPRODUCT((Inputs!$A$5:$A$110=$B62)*ISNUMBER(INDEX(Inputs!$K$5:$AJ$110,0,MATCH(O$2,Inputs!$K$4:$AJ$4,0))))+SUMPRODUCT((Inputs!$C$5:$C$110=$B62)*ISNUMBER(INDEX(Inputs!$K$5:$AJ$110,0,MATCH(O$2,Inputs!$K$4:$AJ$4,0))))+SUMPRODUCT((Inputs!$E$5:$E$110=$B62)*ISNUMBER(INDEX(Inputs!$K$5:$AJ$110,0,MATCH(O$2,Inputs!$K$4:$AJ$4,0))))=0,NA(),SUMPRODUCT((Inputs!$A$5:$A$110=$B62)*Inputs!$B$5:$B$110*(((Inputs!$G$5:$G$110="moeda")+(Inputs!$G$5:$G$110="acoes"))*Inputs!$B$1+((Inputs!$G$5:$G$110&lt;&gt;"moeda")*(Inputs!$G$5:$G$110&lt;&gt;"acoes")))*INDEX(Inputs!$K$5:$AJ$110,0,MATCH(O$2,Inputs!$K$4:$AJ$4,0)))+SUMPRODUCT((Inputs!$C$5:$C$110=$B62)*Inputs!$D$5:$D$110*(((Inputs!$G$5:$G$110="moeda")+(Inputs!$G$5:$G$110="acoes"))*Inputs!$B$1+((Inputs!$G$5:$G$110&lt;&gt;"moeda")*(Inputs!$G$5:$G$110&lt;&gt;"acoes")))*INDEX(Inputs!$K$5:$AJ$110,0,MATCH(O$2,Inputs!$K$4:$AJ$4,0)))+SUMPRODUCT((Inputs!$E$5:$E$110=$B62)*Inputs!$F$5:$F$110*(((Inputs!$G$5:$G$110="moeda")+(Inputs!$G$5:$G$110="acoes"))*Inputs!$B$1+((Inputs!$G$5:$G$110&lt;&gt;"moeda")*(Inputs!$G$5:$G$110&lt;&gt;"acoes")))*INDEX(Inputs!$K$5:$AJ$110,0,MATCH(O$2,Inputs!$K$4:$AJ$4,0)))))</f>
        <v>3909</v>
      </c>
      <c r="P62" s="263">
        <f>IF(ISNA(MATCH(P$2,Inputs!$K$4:$AJ$4,0)),NA(),IF(SUMPRODUCT((Inputs!$A$5:$A$110=$B62)*ISNUMBER(INDEX(Inputs!$K$5:$AJ$110,0,MATCH(P$2,Inputs!$K$4:$AJ$4,0))))+SUMPRODUCT((Inputs!$C$5:$C$110=$B62)*ISNUMBER(INDEX(Inputs!$K$5:$AJ$110,0,MATCH(P$2,Inputs!$K$4:$AJ$4,0))))+SUMPRODUCT((Inputs!$E$5:$E$110=$B62)*ISNUMBER(INDEX(Inputs!$K$5:$AJ$110,0,MATCH(P$2,Inputs!$K$4:$AJ$4,0))))=0,NA(),SUMPRODUCT((Inputs!$A$5:$A$110=$B62)*Inputs!$B$5:$B$110*(((Inputs!$G$5:$G$110="moeda")+(Inputs!$G$5:$G$110="acoes"))*Inputs!$B$1+((Inputs!$G$5:$G$110&lt;&gt;"moeda")*(Inputs!$G$5:$G$110&lt;&gt;"acoes")))*INDEX(Inputs!$K$5:$AJ$110,0,MATCH(P$2,Inputs!$K$4:$AJ$4,0)))+SUMPRODUCT((Inputs!$C$5:$C$110=$B62)*Inputs!$D$5:$D$110*(((Inputs!$G$5:$G$110="moeda")+(Inputs!$G$5:$G$110="acoes"))*Inputs!$B$1+((Inputs!$G$5:$G$110&lt;&gt;"moeda")*(Inputs!$G$5:$G$110&lt;&gt;"acoes")))*INDEX(Inputs!$K$5:$AJ$110,0,MATCH(P$2,Inputs!$K$4:$AJ$4,0)))+SUMPRODUCT((Inputs!$E$5:$E$110=$B62)*Inputs!$F$5:$F$110*(((Inputs!$G$5:$G$110="moeda")+(Inputs!$G$5:$G$110="acoes"))*Inputs!$B$1+((Inputs!$G$5:$G$110&lt;&gt;"moeda")*(Inputs!$G$5:$G$110&lt;&gt;"acoes")))*INDEX(Inputs!$K$5:$AJ$110,0,MATCH(P$2,Inputs!$K$4:$AJ$4,0)))))</f>
        <v>3913</v>
      </c>
      <c r="Q62" s="263">
        <f>IF(ISNA(MATCH(Q$2,Inputs!$K$4:$AJ$4,0)),NA(),IF(SUMPRODUCT((Inputs!$A$5:$A$110=$B62)*ISNUMBER(INDEX(Inputs!$K$5:$AJ$110,0,MATCH(Q$2,Inputs!$K$4:$AJ$4,0))))+SUMPRODUCT((Inputs!$C$5:$C$110=$B62)*ISNUMBER(INDEX(Inputs!$K$5:$AJ$110,0,MATCH(Q$2,Inputs!$K$4:$AJ$4,0))))+SUMPRODUCT((Inputs!$E$5:$E$110=$B62)*ISNUMBER(INDEX(Inputs!$K$5:$AJ$110,0,MATCH(Q$2,Inputs!$K$4:$AJ$4,0))))=0,NA(),SUMPRODUCT((Inputs!$A$5:$A$110=$B62)*Inputs!$B$5:$B$110*(((Inputs!$G$5:$G$110="moeda")+(Inputs!$G$5:$G$110="acoes"))*Inputs!$B$1+((Inputs!$G$5:$G$110&lt;&gt;"moeda")*(Inputs!$G$5:$G$110&lt;&gt;"acoes")))*INDEX(Inputs!$K$5:$AJ$110,0,MATCH(Q$2,Inputs!$K$4:$AJ$4,0)))+SUMPRODUCT((Inputs!$C$5:$C$110=$B62)*Inputs!$D$5:$D$110*(((Inputs!$G$5:$G$110="moeda")+(Inputs!$G$5:$G$110="acoes"))*Inputs!$B$1+((Inputs!$G$5:$G$110&lt;&gt;"moeda")*(Inputs!$G$5:$G$110&lt;&gt;"acoes")))*INDEX(Inputs!$K$5:$AJ$110,0,MATCH(Q$2,Inputs!$K$4:$AJ$4,0)))+SUMPRODUCT((Inputs!$E$5:$E$110=$B62)*Inputs!$F$5:$F$110*(((Inputs!$G$5:$G$110="moeda")+(Inputs!$G$5:$G$110="acoes"))*Inputs!$B$1+((Inputs!$G$5:$G$110&lt;&gt;"moeda")*(Inputs!$G$5:$G$110&lt;&gt;"acoes")))*INDEX(Inputs!$K$5:$AJ$110,0,MATCH(Q$2,Inputs!$K$4:$AJ$4,0)))))</f>
        <v>4195</v>
      </c>
      <c r="R62" s="264">
        <f>SUM(N62:Q62)</f>
        <v>15676</v>
      </c>
      <c r="S62" s="263">
        <f>IF(ISNA(MATCH(S$2,Inputs!$K$4:$AJ$4,0)),NA(),IF(SUMPRODUCT((Inputs!$A$5:$A$110=$B62)*ISNUMBER(INDEX(Inputs!$K$5:$AJ$110,0,MATCH(S$2,Inputs!$K$4:$AJ$4,0))))+SUMPRODUCT((Inputs!$C$5:$C$110=$B62)*ISNUMBER(INDEX(Inputs!$K$5:$AJ$110,0,MATCH(S$2,Inputs!$K$4:$AJ$4,0))))+SUMPRODUCT((Inputs!$E$5:$E$110=$B62)*ISNUMBER(INDEX(Inputs!$K$5:$AJ$110,0,MATCH(S$2,Inputs!$K$4:$AJ$4,0))))=0,NA(),SUMPRODUCT((Inputs!$A$5:$A$110=$B62)*Inputs!$B$5:$B$110*(((Inputs!$G$5:$G$110="moeda")+(Inputs!$G$5:$G$110="acoes"))*Inputs!$B$1+((Inputs!$G$5:$G$110&lt;&gt;"moeda")*(Inputs!$G$5:$G$110&lt;&gt;"acoes")))*INDEX(Inputs!$K$5:$AJ$110,0,MATCH(S$2,Inputs!$K$4:$AJ$4,0)))+SUMPRODUCT((Inputs!$C$5:$C$110=$B62)*Inputs!$D$5:$D$110*(((Inputs!$G$5:$G$110="moeda")+(Inputs!$G$5:$G$110="acoes"))*Inputs!$B$1+((Inputs!$G$5:$G$110&lt;&gt;"moeda")*(Inputs!$G$5:$G$110&lt;&gt;"acoes")))*INDEX(Inputs!$K$5:$AJ$110,0,MATCH(S$2,Inputs!$K$4:$AJ$4,0)))+SUMPRODUCT((Inputs!$E$5:$E$110=$B62)*Inputs!$F$5:$F$110*(((Inputs!$G$5:$G$110="moeda")+(Inputs!$G$5:$G$110="acoes"))*Inputs!$B$1+((Inputs!$G$5:$G$110&lt;&gt;"moeda")*(Inputs!$G$5:$G$110&lt;&gt;"acoes")))*INDEX(Inputs!$K$5:$AJ$110,0,MATCH(S$2,Inputs!$K$4:$AJ$4,0)))))</f>
        <v>4013</v>
      </c>
      <c r="T62" s="263">
        <f>IF(ISNA(MATCH(T$2,Inputs!$K$4:$AJ$4,0)),NA(),IF(SUMPRODUCT((Inputs!$A$5:$A$110=$B62)*ISNUMBER(INDEX(Inputs!$K$5:$AJ$110,0,MATCH(T$2,Inputs!$K$4:$AJ$4,0))))+SUMPRODUCT((Inputs!$C$5:$C$110=$B62)*ISNUMBER(INDEX(Inputs!$K$5:$AJ$110,0,MATCH(T$2,Inputs!$K$4:$AJ$4,0))))+SUMPRODUCT((Inputs!$E$5:$E$110=$B62)*ISNUMBER(INDEX(Inputs!$K$5:$AJ$110,0,MATCH(T$2,Inputs!$K$4:$AJ$4,0))))=0,NA(),SUMPRODUCT((Inputs!$A$5:$A$110=$B62)*Inputs!$B$5:$B$110*(((Inputs!$G$5:$G$110="moeda")+(Inputs!$G$5:$G$110="acoes"))*Inputs!$B$1+((Inputs!$G$5:$G$110&lt;&gt;"moeda")*(Inputs!$G$5:$G$110&lt;&gt;"acoes")))*INDEX(Inputs!$K$5:$AJ$110,0,MATCH(T$2,Inputs!$K$4:$AJ$4,0)))+SUMPRODUCT((Inputs!$C$5:$C$110=$B62)*Inputs!$D$5:$D$110*(((Inputs!$G$5:$G$110="moeda")+(Inputs!$G$5:$G$110="acoes"))*Inputs!$B$1+((Inputs!$G$5:$G$110&lt;&gt;"moeda")*(Inputs!$G$5:$G$110&lt;&gt;"acoes")))*INDEX(Inputs!$K$5:$AJ$110,0,MATCH(T$2,Inputs!$K$4:$AJ$4,0)))+SUMPRODUCT((Inputs!$E$5:$E$110=$B62)*Inputs!$F$5:$F$110*(((Inputs!$G$5:$G$110="moeda")+(Inputs!$G$5:$G$110="acoes"))*Inputs!$B$1+((Inputs!$G$5:$G$110&lt;&gt;"moeda")*(Inputs!$G$5:$G$110&lt;&gt;"acoes")))*INDEX(Inputs!$K$5:$AJ$110,0,MATCH(T$2,Inputs!$K$4:$AJ$4,0)))))</f>
        <v>4251</v>
      </c>
      <c r="U62" s="263">
        <f>IF(ISNA(MATCH(U$2,Inputs!$K$4:$AJ$4,0)),NA(),IF(SUMPRODUCT((Inputs!$A$5:$A$110=$B62)*ISNUMBER(INDEX(Inputs!$K$5:$AJ$110,0,MATCH(U$2,Inputs!$K$4:$AJ$4,0))))+SUMPRODUCT((Inputs!$C$5:$C$110=$B62)*ISNUMBER(INDEX(Inputs!$K$5:$AJ$110,0,MATCH(U$2,Inputs!$K$4:$AJ$4,0))))+SUMPRODUCT((Inputs!$E$5:$E$110=$B62)*ISNUMBER(INDEX(Inputs!$K$5:$AJ$110,0,MATCH(U$2,Inputs!$K$4:$AJ$4,0))))=0,NA(),SUMPRODUCT((Inputs!$A$5:$A$110=$B62)*Inputs!$B$5:$B$110*(((Inputs!$G$5:$G$110="moeda")+(Inputs!$G$5:$G$110="acoes"))*Inputs!$B$1+((Inputs!$G$5:$G$110&lt;&gt;"moeda")*(Inputs!$G$5:$G$110&lt;&gt;"acoes")))*INDEX(Inputs!$K$5:$AJ$110,0,MATCH(U$2,Inputs!$K$4:$AJ$4,0)))+SUMPRODUCT((Inputs!$C$5:$C$110=$B62)*Inputs!$D$5:$D$110*(((Inputs!$G$5:$G$110="moeda")+(Inputs!$G$5:$G$110="acoes"))*Inputs!$B$1+((Inputs!$G$5:$G$110&lt;&gt;"moeda")*(Inputs!$G$5:$G$110&lt;&gt;"acoes")))*INDEX(Inputs!$K$5:$AJ$110,0,MATCH(U$2,Inputs!$K$4:$AJ$4,0)))+SUMPRODUCT((Inputs!$E$5:$E$110=$B62)*Inputs!$F$5:$F$110*(((Inputs!$G$5:$G$110="moeda")+(Inputs!$G$5:$G$110="acoes"))*Inputs!$B$1+((Inputs!$G$5:$G$110&lt;&gt;"moeda")*(Inputs!$G$5:$G$110&lt;&gt;"acoes")))*INDEX(Inputs!$K$5:$AJ$110,0,MATCH(U$2,Inputs!$K$4:$AJ$4,0)))))</f>
        <v>4292</v>
      </c>
      <c r="V62" s="263">
        <f>IF(ISNA(MATCH(V$2,Inputs!$K$4:$AJ$4,0)),NA(),IF(SUMPRODUCT((Inputs!$A$5:$A$110=$B62)*ISNUMBER(INDEX(Inputs!$K$5:$AJ$110,0,MATCH(V$2,Inputs!$K$4:$AJ$4,0))))+SUMPRODUCT((Inputs!$C$5:$C$110=$B62)*ISNUMBER(INDEX(Inputs!$K$5:$AJ$110,0,MATCH(V$2,Inputs!$K$4:$AJ$4,0))))+SUMPRODUCT((Inputs!$E$5:$E$110=$B62)*ISNUMBER(INDEX(Inputs!$K$5:$AJ$110,0,MATCH(V$2,Inputs!$K$4:$AJ$4,0))))=0,NA(),SUMPRODUCT((Inputs!$A$5:$A$110=$B62)*Inputs!$B$5:$B$110*(((Inputs!$G$5:$G$110="moeda")+(Inputs!$G$5:$G$110="acoes"))*Inputs!$B$1+((Inputs!$G$5:$G$110&lt;&gt;"moeda")*(Inputs!$G$5:$G$110&lt;&gt;"acoes")))*INDEX(Inputs!$K$5:$AJ$110,0,MATCH(V$2,Inputs!$K$4:$AJ$4,0)))+SUMPRODUCT((Inputs!$C$5:$C$110=$B62)*Inputs!$D$5:$D$110*(((Inputs!$G$5:$G$110="moeda")+(Inputs!$G$5:$G$110="acoes"))*Inputs!$B$1+((Inputs!$G$5:$G$110&lt;&gt;"moeda")*(Inputs!$G$5:$G$110&lt;&gt;"acoes")))*INDEX(Inputs!$K$5:$AJ$110,0,MATCH(V$2,Inputs!$K$4:$AJ$4,0)))+SUMPRODUCT((Inputs!$E$5:$E$110=$B62)*Inputs!$F$5:$F$110*(((Inputs!$G$5:$G$110="moeda")+(Inputs!$G$5:$G$110="acoes"))*Inputs!$B$1+((Inputs!$G$5:$G$110&lt;&gt;"moeda")*(Inputs!$G$5:$G$110&lt;&gt;"acoes")))*INDEX(Inputs!$K$5:$AJ$110,0,MATCH(V$2,Inputs!$K$4:$AJ$4,0)))))</f>
        <v>4587</v>
      </c>
      <c r="W62" s="264">
        <f>SUM(S62:V62)</f>
        <v>17143</v>
      </c>
      <c r="X62" s="263">
        <f>IF(ISNA(MATCH(X$2,Inputs!$K$4:$AJ$4,0)),NA(),IF(SUMPRODUCT((Inputs!$A$5:$A$110=$B62)*ISNUMBER(INDEX(Inputs!$K$5:$AJ$110,0,MATCH(X$2,Inputs!$K$4:$AJ$4,0))))+SUMPRODUCT((Inputs!$C$5:$C$110=$B62)*ISNUMBER(INDEX(Inputs!$K$5:$AJ$110,0,MATCH(X$2,Inputs!$K$4:$AJ$4,0))))+SUMPRODUCT((Inputs!$E$5:$E$110=$B62)*ISNUMBER(INDEX(Inputs!$K$5:$AJ$110,0,MATCH(X$2,Inputs!$K$4:$AJ$4,0))))=0,NA(),SUMPRODUCT((Inputs!$A$5:$A$110=$B62)*Inputs!$B$5:$B$110*(((Inputs!$G$5:$G$110="moeda")+(Inputs!$G$5:$G$110="acoes"))*Inputs!$B$1+((Inputs!$G$5:$G$110&lt;&gt;"moeda")*(Inputs!$G$5:$G$110&lt;&gt;"acoes")))*INDEX(Inputs!$K$5:$AJ$110,0,MATCH(X$2,Inputs!$K$4:$AJ$4,0)))+SUMPRODUCT((Inputs!$C$5:$C$110=$B62)*Inputs!$D$5:$D$110*(((Inputs!$G$5:$G$110="moeda")+(Inputs!$G$5:$G$110="acoes"))*Inputs!$B$1+((Inputs!$G$5:$G$110&lt;&gt;"moeda")*(Inputs!$G$5:$G$110&lt;&gt;"acoes")))*INDEX(Inputs!$K$5:$AJ$110,0,MATCH(X$2,Inputs!$K$4:$AJ$4,0)))+SUMPRODUCT((Inputs!$E$5:$E$110=$B62)*Inputs!$F$5:$F$110*(((Inputs!$G$5:$G$110="moeda")+(Inputs!$G$5:$G$110="acoes"))*Inputs!$B$1+((Inputs!$G$5:$G$110&lt;&gt;"moeda")*(Inputs!$G$5:$G$110&lt;&gt;"acoes")))*INDEX(Inputs!$K$5:$AJ$110,0,MATCH(X$2,Inputs!$K$4:$AJ$4,0)))))</f>
        <v>4311</v>
      </c>
      <c r="Y62" s="263">
        <f>IF(ISNA(MATCH(Y$2,Inputs!$K$4:$AJ$4,0)),NA(),IF(SUMPRODUCT((Inputs!$A$5:$A$110=$B62)*ISNUMBER(INDEX(Inputs!$K$5:$AJ$110,0,MATCH(Y$2,Inputs!$K$4:$AJ$4,0))))+SUMPRODUCT((Inputs!$C$5:$C$110=$B62)*ISNUMBER(INDEX(Inputs!$K$5:$AJ$110,0,MATCH(Y$2,Inputs!$K$4:$AJ$4,0))))+SUMPRODUCT((Inputs!$E$5:$E$110=$B62)*ISNUMBER(INDEX(Inputs!$K$5:$AJ$110,0,MATCH(Y$2,Inputs!$K$4:$AJ$4,0))))=0,NA(),SUMPRODUCT((Inputs!$A$5:$A$110=$B62)*Inputs!$B$5:$B$110*(((Inputs!$G$5:$G$110="moeda")+(Inputs!$G$5:$G$110="acoes"))*Inputs!$B$1+((Inputs!$G$5:$G$110&lt;&gt;"moeda")*(Inputs!$G$5:$G$110&lt;&gt;"acoes")))*INDEX(Inputs!$K$5:$AJ$110,0,MATCH(Y$2,Inputs!$K$4:$AJ$4,0)))+SUMPRODUCT((Inputs!$C$5:$C$110=$B62)*Inputs!$D$5:$D$110*(((Inputs!$G$5:$G$110="moeda")+(Inputs!$G$5:$G$110="acoes"))*Inputs!$B$1+((Inputs!$G$5:$G$110&lt;&gt;"moeda")*(Inputs!$G$5:$G$110&lt;&gt;"acoes")))*INDEX(Inputs!$K$5:$AJ$110,0,MATCH(Y$2,Inputs!$K$4:$AJ$4,0)))+SUMPRODUCT((Inputs!$E$5:$E$110=$B62)*Inputs!$F$5:$F$110*(((Inputs!$G$5:$G$110="moeda")+(Inputs!$G$5:$G$110="acoes"))*Inputs!$B$1+((Inputs!$G$5:$G$110&lt;&gt;"moeda")*(Inputs!$G$5:$G$110&lt;&gt;"acoes")))*INDEX(Inputs!$K$5:$AJ$110,0,MATCH(Y$2,Inputs!$K$4:$AJ$4,0)))))</f>
        <v>4622</v>
      </c>
      <c r="Z62" s="263">
        <f>IF(ISNA(MATCH(Z$2,Inputs!$K$4:$AJ$4,0)),NA(),IF(SUMPRODUCT((Inputs!$A$5:$A$110=$B62)*ISNUMBER(INDEX(Inputs!$K$5:$AJ$110,0,MATCH(Z$2,Inputs!$K$4:$AJ$4,0))))+SUMPRODUCT((Inputs!$C$5:$C$110=$B62)*ISNUMBER(INDEX(Inputs!$K$5:$AJ$110,0,MATCH(Z$2,Inputs!$K$4:$AJ$4,0))))+SUMPRODUCT((Inputs!$E$5:$E$110=$B62)*ISNUMBER(INDEX(Inputs!$K$5:$AJ$110,0,MATCH(Z$2,Inputs!$K$4:$AJ$4,0))))=0,NA(),SUMPRODUCT((Inputs!$A$5:$A$110=$B62)*Inputs!$B$5:$B$110*(((Inputs!$G$5:$G$110="moeda")+(Inputs!$G$5:$G$110="acoes"))*Inputs!$B$1+((Inputs!$G$5:$G$110&lt;&gt;"moeda")*(Inputs!$G$5:$G$110&lt;&gt;"acoes")))*INDEX(Inputs!$K$5:$AJ$110,0,MATCH(Z$2,Inputs!$K$4:$AJ$4,0)))+SUMPRODUCT((Inputs!$C$5:$C$110=$B62)*Inputs!$D$5:$D$110*(((Inputs!$G$5:$G$110="moeda")+(Inputs!$G$5:$G$110="acoes"))*Inputs!$B$1+((Inputs!$G$5:$G$110&lt;&gt;"moeda")*(Inputs!$G$5:$G$110&lt;&gt;"acoes")))*INDEX(Inputs!$K$5:$AJ$110,0,MATCH(Z$2,Inputs!$K$4:$AJ$4,0)))+SUMPRODUCT((Inputs!$E$5:$E$110=$B62)*Inputs!$F$5:$F$110*(((Inputs!$G$5:$G$110="moeda")+(Inputs!$G$5:$G$110="acoes"))*Inputs!$B$1+((Inputs!$G$5:$G$110&lt;&gt;"moeda")*(Inputs!$G$5:$G$110&lt;&gt;"acoes")))*INDEX(Inputs!$K$5:$AJ$110,0,MATCH(Z$2,Inputs!$K$4:$AJ$4,0)))))</f>
        <v>4714</v>
      </c>
      <c r="AA62" s="263">
        <f>IF(ISNA(MATCH(AA$2,Inputs!$K$4:$AJ$4,0)),NA(),IF(SUMPRODUCT((Inputs!$A$5:$A$110=$B62)*ISNUMBER(INDEX(Inputs!$K$5:$AJ$110,0,MATCH(AA$2,Inputs!$K$4:$AJ$4,0))))+SUMPRODUCT((Inputs!$C$5:$C$110=$B62)*ISNUMBER(INDEX(Inputs!$K$5:$AJ$110,0,MATCH(AA$2,Inputs!$K$4:$AJ$4,0))))+SUMPRODUCT((Inputs!$E$5:$E$110=$B62)*ISNUMBER(INDEX(Inputs!$K$5:$AJ$110,0,MATCH(AA$2,Inputs!$K$4:$AJ$4,0))))=0,NA(),SUMPRODUCT((Inputs!$A$5:$A$110=$B62)*Inputs!$B$5:$B$110*(((Inputs!$G$5:$G$110="moeda")+(Inputs!$G$5:$G$110="acoes"))*Inputs!$B$1+((Inputs!$G$5:$G$110&lt;&gt;"moeda")*(Inputs!$G$5:$G$110&lt;&gt;"acoes")))*INDEX(Inputs!$K$5:$AJ$110,0,MATCH(AA$2,Inputs!$K$4:$AJ$4,0)))+SUMPRODUCT((Inputs!$C$5:$C$110=$B62)*Inputs!$D$5:$D$110*(((Inputs!$G$5:$G$110="moeda")+(Inputs!$G$5:$G$110="acoes"))*Inputs!$B$1+((Inputs!$G$5:$G$110&lt;&gt;"moeda")*(Inputs!$G$5:$G$110&lt;&gt;"acoes")))*INDEX(Inputs!$K$5:$AJ$110,0,MATCH(AA$2,Inputs!$K$4:$AJ$4,0)))+SUMPRODUCT((Inputs!$E$5:$E$110=$B62)*Inputs!$F$5:$F$110*(((Inputs!$G$5:$G$110="moeda")+(Inputs!$G$5:$G$110="acoes"))*Inputs!$B$1+((Inputs!$G$5:$G$110&lt;&gt;"moeda")*(Inputs!$G$5:$G$110&lt;&gt;"acoes")))*INDEX(Inputs!$K$5:$AJ$110,0,MATCH(AA$2,Inputs!$K$4:$AJ$4,0)))))</f>
        <v>5082</v>
      </c>
      <c r="AB62" s="264">
        <f>SUM(X62:AA62)</f>
        <v>18729</v>
      </c>
      <c r="AC62" s="263">
        <f>IF(ISNA(MATCH(AC$2,Inputs!$K$4:$AJ$4,0)),NA(),IF(SUMPRODUCT((Inputs!$A$5:$A$110=$B62)*ISNUMBER(INDEX(Inputs!$K$5:$AJ$110,0,MATCH(AC$2,Inputs!$K$4:$AJ$4,0))))+SUMPRODUCT((Inputs!$C$5:$C$110=$B62)*ISNUMBER(INDEX(Inputs!$K$5:$AJ$110,0,MATCH(AC$2,Inputs!$K$4:$AJ$4,0))))+SUMPRODUCT((Inputs!$E$5:$E$110=$B62)*ISNUMBER(INDEX(Inputs!$K$5:$AJ$110,0,MATCH(AC$2,Inputs!$K$4:$AJ$4,0))))=0,NA(),SUMPRODUCT((Inputs!$A$5:$A$110=$B62)*Inputs!$B$5:$B$110*(((Inputs!$G$5:$G$110="moeda")+(Inputs!$G$5:$G$110="acoes"))*Inputs!$B$1+((Inputs!$G$5:$G$110&lt;&gt;"moeda")*(Inputs!$G$5:$G$110&lt;&gt;"acoes")))*INDEX(Inputs!$K$5:$AJ$110,0,MATCH(AC$2,Inputs!$K$4:$AJ$4,0)))+SUMPRODUCT((Inputs!$C$5:$C$110=$B62)*Inputs!$D$5:$D$110*(((Inputs!$G$5:$G$110="moeda")+(Inputs!$G$5:$G$110="acoes"))*Inputs!$B$1+((Inputs!$G$5:$G$110&lt;&gt;"moeda")*(Inputs!$G$5:$G$110&lt;&gt;"acoes")))*INDEX(Inputs!$K$5:$AJ$110,0,MATCH(AC$2,Inputs!$K$4:$AJ$4,0)))+SUMPRODUCT((Inputs!$E$5:$E$110=$B62)*Inputs!$F$5:$F$110*(((Inputs!$G$5:$G$110="moeda")+(Inputs!$G$5:$G$110="acoes"))*Inputs!$B$1+((Inputs!$G$5:$G$110&lt;&gt;"moeda")*(Inputs!$G$5:$G$110&lt;&gt;"acoes")))*INDEX(Inputs!$K$5:$AJ$110,0,MATCH(AC$2,Inputs!$K$4:$AJ$4,0)))))</f>
        <v>4832</v>
      </c>
      <c r="AD62" s="263">
        <f>IF(ISNA(MATCH(AD$2,Inputs!$K$4:$AJ$4,0)),NA(),IF(SUMPRODUCT((Inputs!$A$5:$A$110=$B62)*ISNUMBER(INDEX(Inputs!$K$5:$AJ$110,0,MATCH(AD$2,Inputs!$K$4:$AJ$4,0))))+SUMPRODUCT((Inputs!$C$5:$C$110=$B62)*ISNUMBER(INDEX(Inputs!$K$5:$AJ$110,0,MATCH(AD$2,Inputs!$K$4:$AJ$4,0))))+SUMPRODUCT((Inputs!$E$5:$E$110=$B62)*ISNUMBER(INDEX(Inputs!$K$5:$AJ$110,0,MATCH(AD$2,Inputs!$K$4:$AJ$4,0))))=0,NA(),SUMPRODUCT((Inputs!$A$5:$A$110=$B62)*Inputs!$B$5:$B$110*(((Inputs!$G$5:$G$110="moeda")+(Inputs!$G$5:$G$110="acoes"))*Inputs!$B$1+((Inputs!$G$5:$G$110&lt;&gt;"moeda")*(Inputs!$G$5:$G$110&lt;&gt;"acoes")))*INDEX(Inputs!$K$5:$AJ$110,0,MATCH(AD$2,Inputs!$K$4:$AJ$4,0)))+SUMPRODUCT((Inputs!$C$5:$C$110=$B62)*Inputs!$D$5:$D$110*(((Inputs!$G$5:$G$110="moeda")+(Inputs!$G$5:$G$110="acoes"))*Inputs!$B$1+((Inputs!$G$5:$G$110&lt;&gt;"moeda")*(Inputs!$G$5:$G$110&lt;&gt;"acoes")))*INDEX(Inputs!$K$5:$AJ$110,0,MATCH(AD$2,Inputs!$K$4:$AJ$4,0)))+SUMPRODUCT((Inputs!$E$5:$E$110=$B62)*Inputs!$F$5:$F$110*(((Inputs!$G$5:$G$110="moeda")+(Inputs!$G$5:$G$110="acoes"))*Inputs!$B$1+((Inputs!$G$5:$G$110&lt;&gt;"moeda")*(Inputs!$G$5:$G$110&lt;&gt;"acoes")))*INDEX(Inputs!$K$5:$AJ$110,0,MATCH(AD$2,Inputs!$K$4:$AJ$4,0)))))</f>
        <v>5189</v>
      </c>
      <c r="AE62" s="263" t="e">
        <f>IF(ISNA(MATCH(AE$2,Inputs!$K$4:$AJ$4,0)),NA(),IF(SUMPRODUCT((Inputs!$A$5:$A$110=$B62)*ISNUMBER(INDEX(Inputs!$K$5:$AJ$110,0,MATCH(AE$2,Inputs!$K$4:$AJ$4,0))))+SUMPRODUCT((Inputs!$C$5:$C$110=$B62)*ISNUMBER(INDEX(Inputs!$K$5:$AJ$110,0,MATCH(AE$2,Inputs!$K$4:$AJ$4,0))))+SUMPRODUCT((Inputs!$E$5:$E$110=$B62)*ISNUMBER(INDEX(Inputs!$K$5:$AJ$110,0,MATCH(AE$2,Inputs!$K$4:$AJ$4,0))))=0,NA(),SUMPRODUCT((Inputs!$A$5:$A$110=$B62)*Inputs!$B$5:$B$110*(((Inputs!$G$5:$G$110="moeda")+(Inputs!$G$5:$G$110="acoes"))*Inputs!$B$1+((Inputs!$G$5:$G$110&lt;&gt;"moeda")*(Inputs!$G$5:$G$110&lt;&gt;"acoes")))*INDEX(Inputs!$K$5:$AJ$110,0,MATCH(AE$2,Inputs!$K$4:$AJ$4,0)))+SUMPRODUCT((Inputs!$C$5:$C$110=$B62)*Inputs!$D$5:$D$110*(((Inputs!$G$5:$G$110="moeda")+(Inputs!$G$5:$G$110="acoes"))*Inputs!$B$1+((Inputs!$G$5:$G$110&lt;&gt;"moeda")*(Inputs!$G$5:$G$110&lt;&gt;"acoes")))*INDEX(Inputs!$K$5:$AJ$110,0,MATCH(AE$2,Inputs!$K$4:$AJ$4,0)))+SUMPRODUCT((Inputs!$E$5:$E$110=$B62)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2" s="263" t="e">
        <f>IF(ISNA(MATCH(AF$2,Inputs!$K$4:$AJ$4,0)),NA(),IF(SUMPRODUCT((Inputs!$A$5:$A$110=$B62)*ISNUMBER(INDEX(Inputs!$K$5:$AJ$110,0,MATCH(AF$2,Inputs!$K$4:$AJ$4,0))))+SUMPRODUCT((Inputs!$C$5:$C$110=$B62)*ISNUMBER(INDEX(Inputs!$K$5:$AJ$110,0,MATCH(AF$2,Inputs!$K$4:$AJ$4,0))))+SUMPRODUCT((Inputs!$E$5:$E$110=$B62)*ISNUMBER(INDEX(Inputs!$K$5:$AJ$110,0,MATCH(AF$2,Inputs!$K$4:$AJ$4,0))))=0,NA(),SUMPRODUCT((Inputs!$A$5:$A$110=$B62)*Inputs!$B$5:$B$110*(((Inputs!$G$5:$G$110="moeda")+(Inputs!$G$5:$G$110="acoes"))*Inputs!$B$1+((Inputs!$G$5:$G$110&lt;&gt;"moeda")*(Inputs!$G$5:$G$110&lt;&gt;"acoes")))*INDEX(Inputs!$K$5:$AJ$110,0,MATCH(AF$2,Inputs!$K$4:$AJ$4,0)))+SUMPRODUCT((Inputs!$C$5:$C$110=$B62)*Inputs!$D$5:$D$110*(((Inputs!$G$5:$G$110="moeda")+(Inputs!$G$5:$G$110="acoes"))*Inputs!$B$1+((Inputs!$G$5:$G$110&lt;&gt;"moeda")*(Inputs!$G$5:$G$110&lt;&gt;"acoes")))*INDEX(Inputs!$K$5:$AJ$110,0,MATCH(AF$2,Inputs!$K$4:$AJ$4,0)))+SUMPRODUCT((Inputs!$E$5:$E$110=$B62)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$110=$B62)*ISNUMBER(INDEX(Inputs!$K$5:$AJ$110,0,MATCH(AH$2,Inputs!$K$4:$AJ$4,0))))+SUMPRODUCT((Inputs!$C$5:$C$110=$B62)*ISNUMBER(INDEX(Inputs!$K$5:$AJ$110,0,MATCH(AH$2,Inputs!$K$4:$AJ$4,0))))+SUMPRODUCT((Inputs!$E$5:$E$110=$B62)*ISNUMBER(INDEX(Inputs!$K$5:$AJ$110,0,MATCH(AH$2,Inputs!$K$4:$AJ$4,0))))=0,NA(),SUMPRODUCT((Inputs!$A$5:$A$110=$B62)*Inputs!$B$5:$B$110*(((Inputs!$G$5:$G$110="moeda")+(Inputs!$G$5:$G$110="acoes"))*Inputs!$B$1+((Inputs!$G$5:$G$110&lt;&gt;"moeda")*(Inputs!$G$5:$G$110&lt;&gt;"acoes")))*INDEX(Inputs!$K$5:$AJ$110,0,MATCH(AH$2,Inputs!$K$4:$AJ$4,0)))+SUMPRODUCT((Inputs!$C$5:$C$110=$B62)*Inputs!$D$5:$D$110*(((Inputs!$G$5:$G$110="moeda")+(Inputs!$G$5:$G$110="acoes"))*Inputs!$B$1+((Inputs!$G$5:$G$110&lt;&gt;"moeda")*(Inputs!$G$5:$G$110&lt;&gt;"acoes")))*INDEX(Inputs!$K$5:$AJ$110,0,MATCH(AH$2,Inputs!$K$4:$AJ$4,0)))+SUMPRODUCT((Inputs!$E$5:$E$110=$B62)*Inputs!$F$5:$F$110*(((Inputs!$G$5:$G$110="moeda")+(Inputs!$G$5:$G$110="acoes"))*Inputs!$B$1+((Inputs!$G$5:$G$110&lt;&gt;"moeda")*(Inputs!$G$5:$G$110&lt;&gt;"acoes")))*INDEX(Inputs!$K$5:$AJ$110,0,MATCH(AH$2,Inputs!$K$4:$AJ$4,0)))))</f>
        <v>2050</v>
      </c>
      <c r="AI62" s="263">
        <f>IF(ISNA(MATCH(AI$2,Inputs!$K$4:$AJ$4,0)),NA(),IF(SUMPRODUCT((Inputs!$A$5:$A$110=$B62)*ISNUMBER(INDEX(Inputs!$K$5:$AJ$110,0,MATCH(AI$2,Inputs!$K$4:$AJ$4,0))))+SUMPRODUCT((Inputs!$C$5:$C$110=$B62)*ISNUMBER(INDEX(Inputs!$K$5:$AJ$110,0,MATCH(AI$2,Inputs!$K$4:$AJ$4,0))))+SUMPRODUCT((Inputs!$E$5:$E$110=$B62)*ISNUMBER(INDEX(Inputs!$K$5:$AJ$110,0,MATCH(AI$2,Inputs!$K$4:$AJ$4,0))))=0,NA(),SUMPRODUCT((Inputs!$A$5:$A$110=$B62)*Inputs!$B$5:$B$110*(((Inputs!$G$5:$G$110="moeda")+(Inputs!$G$5:$G$110="acoes"))*Inputs!$B$1+((Inputs!$G$5:$G$110&lt;&gt;"moeda")*(Inputs!$G$5:$G$110&lt;&gt;"acoes")))*INDEX(Inputs!$K$5:$AJ$110,0,MATCH(AI$2,Inputs!$K$4:$AJ$4,0)))+SUMPRODUCT((Inputs!$C$5:$C$110=$B62)*Inputs!$D$5:$D$110*(((Inputs!$G$5:$G$110="moeda")+(Inputs!$G$5:$G$110="acoes"))*Inputs!$B$1+((Inputs!$G$5:$G$110&lt;&gt;"moeda")*(Inputs!$G$5:$G$110&lt;&gt;"acoes")))*INDEX(Inputs!$K$5:$AJ$110,0,MATCH(AI$2,Inputs!$K$4:$AJ$4,0)))+SUMPRODUCT((Inputs!$E$5:$E$110=$B62)*Inputs!$F$5:$F$110*(((Inputs!$G$5:$G$110="moeda")+(Inputs!$G$5:$G$110="acoes"))*Inputs!$B$1+((Inputs!$G$5:$G$110&lt;&gt;"moeda")*(Inputs!$G$5:$G$110&lt;&gt;"acoes")))*INDEX(Inputs!$K$5:$AJ$110,0,MATCH(AI$2,Inputs!$K$4:$AJ$4,0)))))</f>
        <v>2016</v>
      </c>
      <c r="AJ62" s="263">
        <f>IF(ISNA(MATCH(AJ$2,Inputs!$K$4:$AJ$4,0)),NA(),IF(SUMPRODUCT((Inputs!$A$5:$A$110=$B62)*ISNUMBER(INDEX(Inputs!$K$5:$AJ$110,0,MATCH(AJ$2,Inputs!$K$4:$AJ$4,0))))+SUMPRODUCT((Inputs!$C$5:$C$110=$B62)*ISNUMBER(INDEX(Inputs!$K$5:$AJ$110,0,MATCH(AJ$2,Inputs!$K$4:$AJ$4,0))))+SUMPRODUCT((Inputs!$E$5:$E$110=$B62)*ISNUMBER(INDEX(Inputs!$K$5:$AJ$110,0,MATCH(AJ$2,Inputs!$K$4:$AJ$4,0))))=0,NA(),SUMPRODUCT((Inputs!$A$5:$A$110=$B62)*Inputs!$B$5:$B$110*(((Inputs!$G$5:$G$110="moeda")+(Inputs!$G$5:$G$110="acoes"))*Inputs!$B$1+((Inputs!$G$5:$G$110&lt;&gt;"moeda")*(Inputs!$G$5:$G$110&lt;&gt;"acoes")))*INDEX(Inputs!$K$5:$AJ$110,0,MATCH(AJ$2,Inputs!$K$4:$AJ$4,0)))+SUMPRODUCT((Inputs!$C$5:$C$110=$B62)*Inputs!$D$5:$D$110*(((Inputs!$G$5:$G$110="moeda")+(Inputs!$G$5:$G$110="acoes"))*Inputs!$B$1+((Inputs!$G$5:$G$110&lt;&gt;"moeda")*(Inputs!$G$5:$G$110&lt;&gt;"acoes")))*INDEX(Inputs!$K$5:$AJ$110,0,MATCH(AJ$2,Inputs!$K$4:$AJ$4,0)))+SUMPRODUCT((Inputs!$E$5:$E$110=$B62)*Inputs!$F$5:$F$110*(((Inputs!$G$5:$G$110="moeda")+(Inputs!$G$5:$G$110="acoes"))*Inputs!$B$1+((Inputs!$G$5:$G$110&lt;&gt;"moeda")*(Inputs!$G$5:$G$110&lt;&gt;"acoes")))*INDEX(Inputs!$K$5:$AJ$110,0,MATCH(AJ$2,Inputs!$K$4:$AJ$4,0)))))</f>
        <v>2206</v>
      </c>
      <c r="AK62" s="263">
        <f>IF(ISNA(MATCH(AK$2,Inputs!$K$4:$AJ$4,0)),NA(),IF(SUMPRODUCT((Inputs!$A$5:$A$110=$B62)*ISNUMBER(INDEX(Inputs!$K$5:$AJ$110,0,MATCH(AK$2,Inputs!$K$4:$AJ$4,0))))+SUMPRODUCT((Inputs!$C$5:$C$110=$B62)*ISNUMBER(INDEX(Inputs!$K$5:$AJ$110,0,MATCH(AK$2,Inputs!$K$4:$AJ$4,0))))+SUMPRODUCT((Inputs!$E$5:$E$110=$B62)*ISNUMBER(INDEX(Inputs!$K$5:$AJ$110,0,MATCH(AK$2,Inputs!$K$4:$AJ$4,0))))=0,NA(),SUMPRODUCT((Inputs!$A$5:$A$110=$B62)*Inputs!$B$5:$B$110*(((Inputs!$G$5:$G$110="moeda")+(Inputs!$G$5:$G$110="acoes"))*Inputs!$B$1+((Inputs!$G$5:$G$110&lt;&gt;"moeda")*(Inputs!$G$5:$G$110&lt;&gt;"acoes")))*INDEX(Inputs!$K$5:$AJ$110,0,MATCH(AK$2,Inputs!$K$4:$AJ$4,0)))+SUMPRODUCT((Inputs!$C$5:$C$110=$B62)*Inputs!$D$5:$D$110*(((Inputs!$G$5:$G$110="moeda")+(Inputs!$G$5:$G$110="acoes"))*Inputs!$B$1+((Inputs!$G$5:$G$110&lt;&gt;"moeda")*(Inputs!$G$5:$G$110&lt;&gt;"acoes")))*INDEX(Inputs!$K$5:$AJ$110,0,MATCH(AK$2,Inputs!$K$4:$AJ$4,0)))+SUMPRODUCT((Inputs!$E$5:$E$110=$B62)*Inputs!$F$5:$F$110*(((Inputs!$G$5:$G$110="moeda")+(Inputs!$G$5:$G$110="acoes"))*Inputs!$B$1+((Inputs!$G$5:$G$110&lt;&gt;"moeda")*(Inputs!$G$5:$G$110&lt;&gt;"acoes")))*INDEX(Inputs!$K$5:$AJ$110,0,MATCH(AK$2,Inputs!$K$4:$AJ$4,0)))))</f>
        <v>2577</v>
      </c>
      <c r="AL62" s="264">
        <f>SUM(AH62:AK62)</f>
        <v>8849</v>
      </c>
    </row>
    <row r="63">
      <c r="B63" s="46" t="n">
        <v>55</v>
      </c>
      <c r="C63" s="29" t="inlineStr">
        <is>
          <t>Dynamics - receita (USD)</t>
        </is>
      </c>
      <c r="D63" s="263" t="e">
        <f>IF(ISNA(MATCH(D$2,Inputs!$K$4:$AJ$4,0)),NA(),IF(SUMPRODUCT((Inputs!$A$5:$A$110=$B63)*ISNUMBER(INDEX(Inputs!$K$5:$AJ$110,0,MATCH(D$2,Inputs!$K$4:$AJ$4,0))))+SUMPRODUCT((Inputs!$C$5:$C$110=$B63)*ISNUMBER(INDEX(Inputs!$K$5:$AJ$110,0,MATCH(D$2,Inputs!$K$4:$AJ$4,0))))+SUMPRODUCT((Inputs!$E$5:$E$110=$B63)*ISNUMBER(INDEX(Inputs!$K$5:$AJ$110,0,MATCH(D$2,Inputs!$K$4:$AJ$4,0))))=0,NA(),SUMPRODUCT((Inputs!$A$5:$A$110=$B63)*Inputs!$B$5:$B$110*(((Inputs!$G$5:$G$110="moeda")+(Inputs!$G$5:$G$110="acoes"))*Inputs!$B$1+((Inputs!$G$5:$G$110&lt;&gt;"moeda")*(Inputs!$G$5:$G$110&lt;&gt;"acoes")))*INDEX(Inputs!$K$5:$AJ$110,0,MATCH(D$2,Inputs!$K$4:$AJ$4,0)))+SUMPRODUCT((Inputs!$C$5:$C$110=$B63)*Inputs!$D$5:$D$110*(((Inputs!$G$5:$G$110="moeda")+(Inputs!$G$5:$G$110="acoes"))*Inputs!$B$1+((Inputs!$G$5:$G$110&lt;&gt;"moeda")*(Inputs!$G$5:$G$110&lt;&gt;"acoes")))*INDEX(Inputs!$K$5:$AJ$110,0,MATCH(D$2,Inputs!$K$4:$AJ$4,0)))+SUMPRODUCT((Inputs!$E$5:$E$110=$B63)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63" s="263" t="e">
        <f>IF(ISNA(MATCH(E$2,Inputs!$K$4:$AJ$4,0)),NA(),IF(SUMPRODUCT((Inputs!$A$5:$A$110=$B63)*ISNUMBER(INDEX(Inputs!$K$5:$AJ$110,0,MATCH(E$2,Inputs!$K$4:$AJ$4,0))))+SUMPRODUCT((Inputs!$C$5:$C$110=$B63)*ISNUMBER(INDEX(Inputs!$K$5:$AJ$110,0,MATCH(E$2,Inputs!$K$4:$AJ$4,0))))+SUMPRODUCT((Inputs!$E$5:$E$110=$B63)*ISNUMBER(INDEX(Inputs!$K$5:$AJ$110,0,MATCH(E$2,Inputs!$K$4:$AJ$4,0))))=0,NA(),SUMPRODUCT((Inputs!$A$5:$A$110=$B63)*Inputs!$B$5:$B$110*(((Inputs!$G$5:$G$110="moeda")+(Inputs!$G$5:$G$110="acoes"))*Inputs!$B$1+((Inputs!$G$5:$G$110&lt;&gt;"moeda")*(Inputs!$G$5:$G$110&lt;&gt;"acoes")))*INDEX(Inputs!$K$5:$AJ$110,0,MATCH(E$2,Inputs!$K$4:$AJ$4,0)))+SUMPRODUCT((Inputs!$C$5:$C$110=$B63)*Inputs!$D$5:$D$110*(((Inputs!$G$5:$G$110="moeda")+(Inputs!$G$5:$G$110="acoes"))*Inputs!$B$1+((Inputs!$G$5:$G$110&lt;&gt;"moeda")*(Inputs!$G$5:$G$110&lt;&gt;"acoes")))*INDEX(Inputs!$K$5:$AJ$110,0,MATCH(E$2,Inputs!$K$4:$AJ$4,0)))+SUMPRODUCT((Inputs!$E$5:$E$110=$B63)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63" s="263" t="e">
        <f>IF(ISNA(MATCH(F$2,Inputs!$K$4:$AJ$4,0)),NA(),IF(SUMPRODUCT((Inputs!$A$5:$A$110=$B63)*ISNUMBER(INDEX(Inputs!$K$5:$AJ$110,0,MATCH(F$2,Inputs!$K$4:$AJ$4,0))))+SUMPRODUCT((Inputs!$C$5:$C$110=$B63)*ISNUMBER(INDEX(Inputs!$K$5:$AJ$110,0,MATCH(F$2,Inputs!$K$4:$AJ$4,0))))+SUMPRODUCT((Inputs!$E$5:$E$110=$B63)*ISNUMBER(INDEX(Inputs!$K$5:$AJ$110,0,MATCH(F$2,Inputs!$K$4:$AJ$4,0))))=0,NA(),SUMPRODUCT((Inputs!$A$5:$A$110=$B63)*Inputs!$B$5:$B$110*(((Inputs!$G$5:$G$110="moeda")+(Inputs!$G$5:$G$110="acoes"))*Inputs!$B$1+((Inputs!$G$5:$G$110&lt;&gt;"moeda")*(Inputs!$G$5:$G$110&lt;&gt;"acoes")))*INDEX(Inputs!$K$5:$AJ$110,0,MATCH(F$2,Inputs!$K$4:$AJ$4,0)))+SUMPRODUCT((Inputs!$C$5:$C$110=$B63)*Inputs!$D$5:$D$110*(((Inputs!$G$5:$G$110="moeda")+(Inputs!$G$5:$G$110="acoes"))*Inputs!$B$1+((Inputs!$G$5:$G$110&lt;&gt;"moeda")*(Inputs!$G$5:$G$110&lt;&gt;"acoes")))*INDEX(Inputs!$K$5:$AJ$110,0,MATCH(F$2,Inputs!$K$4:$AJ$4,0)))+SUMPRODUCT((Inputs!$E$5:$E$110=$B63)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63" s="263" t="e">
        <f>IF(ISNA(MATCH(G$2,Inputs!$K$4:$AJ$4,0)),NA(),IF(SUMPRODUCT((Inputs!$A$5:$A$110=$B63)*ISNUMBER(INDEX(Inputs!$K$5:$AJ$110,0,MATCH(G$2,Inputs!$K$4:$AJ$4,0))))+SUMPRODUCT((Inputs!$C$5:$C$110=$B63)*ISNUMBER(INDEX(Inputs!$K$5:$AJ$110,0,MATCH(G$2,Inputs!$K$4:$AJ$4,0))))+SUMPRODUCT((Inputs!$E$5:$E$110=$B63)*ISNUMBER(INDEX(Inputs!$K$5:$AJ$110,0,MATCH(G$2,Inputs!$K$4:$AJ$4,0))))=0,NA(),SUMPRODUCT((Inputs!$A$5:$A$110=$B63)*Inputs!$B$5:$B$110*(((Inputs!$G$5:$G$110="moeda")+(Inputs!$G$5:$G$110="acoes"))*Inputs!$B$1+((Inputs!$G$5:$G$110&lt;&gt;"moeda")*(Inputs!$G$5:$G$110&lt;&gt;"acoes")))*INDEX(Inputs!$K$5:$AJ$110,0,MATCH(G$2,Inputs!$K$4:$AJ$4,0)))+SUMPRODUCT((Inputs!$C$5:$C$110=$B63)*Inputs!$D$5:$D$110*(((Inputs!$G$5:$G$110="moeda")+(Inputs!$G$5:$G$110="acoes"))*Inputs!$B$1+((Inputs!$G$5:$G$110&lt;&gt;"moeda")*(Inputs!$G$5:$G$110&lt;&gt;"acoes")))*INDEX(Inputs!$K$5:$AJ$110,0,MATCH(G$2,Inputs!$K$4:$AJ$4,0)))+SUMPRODUCT((Inputs!$E$5:$E$110=$B63)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63" s="264" t="e">
        <f>SUM(D63:G63)</f>
        <v>#N/A</v>
      </c>
      <c r="I63" s="263" t="e">
        <f>IF(ISNA(MATCH(I$2,Inputs!$K$4:$AJ$4,0)),NA(),IF(SUMPRODUCT((Inputs!$A$5:$A$110=$B63)*ISNUMBER(INDEX(Inputs!$K$5:$AJ$110,0,MATCH(I$2,Inputs!$K$4:$AJ$4,0))))+SUMPRODUCT((Inputs!$C$5:$C$110=$B63)*ISNUMBER(INDEX(Inputs!$K$5:$AJ$110,0,MATCH(I$2,Inputs!$K$4:$AJ$4,0))))+SUMPRODUCT((Inputs!$E$5:$E$110=$B63)*ISNUMBER(INDEX(Inputs!$K$5:$AJ$110,0,MATCH(I$2,Inputs!$K$4:$AJ$4,0))))=0,NA(),SUMPRODUCT((Inputs!$A$5:$A$110=$B63)*Inputs!$B$5:$B$110*(((Inputs!$G$5:$G$110="moeda")+(Inputs!$G$5:$G$110="acoes"))*Inputs!$B$1+((Inputs!$G$5:$G$110&lt;&gt;"moeda")*(Inputs!$G$5:$G$110&lt;&gt;"acoes")))*INDEX(Inputs!$K$5:$AJ$110,0,MATCH(I$2,Inputs!$K$4:$AJ$4,0)))+SUMPRODUCT((Inputs!$C$5:$C$110=$B63)*Inputs!$D$5:$D$110*(((Inputs!$G$5:$G$110="moeda")+(Inputs!$G$5:$G$110="acoes"))*Inputs!$B$1+((Inputs!$G$5:$G$110&lt;&gt;"moeda")*(Inputs!$G$5:$G$110&lt;&gt;"acoes")))*INDEX(Inputs!$K$5:$AJ$110,0,MATCH(I$2,Inputs!$K$4:$AJ$4,0)))+SUMPRODUCT((Inputs!$E$5:$E$110=$B63)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63" s="263" t="e">
        <f>IF(ISNA(MATCH(J$2,Inputs!$K$4:$AJ$4,0)),NA(),IF(SUMPRODUCT((Inputs!$A$5:$A$110=$B63)*ISNUMBER(INDEX(Inputs!$K$5:$AJ$110,0,MATCH(J$2,Inputs!$K$4:$AJ$4,0))))+SUMPRODUCT((Inputs!$C$5:$C$110=$B63)*ISNUMBER(INDEX(Inputs!$K$5:$AJ$110,0,MATCH(J$2,Inputs!$K$4:$AJ$4,0))))+SUMPRODUCT((Inputs!$E$5:$E$110=$B63)*ISNUMBER(INDEX(Inputs!$K$5:$AJ$110,0,MATCH(J$2,Inputs!$K$4:$AJ$4,0))))=0,NA(),SUMPRODUCT((Inputs!$A$5:$A$110=$B63)*Inputs!$B$5:$B$110*(((Inputs!$G$5:$G$110="moeda")+(Inputs!$G$5:$G$110="acoes"))*Inputs!$B$1+((Inputs!$G$5:$G$110&lt;&gt;"moeda")*(Inputs!$G$5:$G$110&lt;&gt;"acoes")))*INDEX(Inputs!$K$5:$AJ$110,0,MATCH(J$2,Inputs!$K$4:$AJ$4,0)))+SUMPRODUCT((Inputs!$C$5:$C$110=$B63)*Inputs!$D$5:$D$110*(((Inputs!$G$5:$G$110="moeda")+(Inputs!$G$5:$G$110="acoes"))*Inputs!$B$1+((Inputs!$G$5:$G$110&lt;&gt;"moeda")*(Inputs!$G$5:$G$110&lt;&gt;"acoes")))*INDEX(Inputs!$K$5:$AJ$110,0,MATCH(J$2,Inputs!$K$4:$AJ$4,0)))+SUMPRODUCT((Inputs!$E$5:$E$110=$B63)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63" s="263">
        <f>IF(ISNA(MATCH(K$2,Inputs!$K$4:$AJ$4,0)),NA(),IF(SUMPRODUCT((Inputs!$A$5:$A$110=$B63)*ISNUMBER(INDEX(Inputs!$K$5:$AJ$110,0,MATCH(K$2,Inputs!$K$4:$AJ$4,0))))+SUMPRODUCT((Inputs!$C$5:$C$110=$B63)*ISNUMBER(INDEX(Inputs!$K$5:$AJ$110,0,MATCH(K$2,Inputs!$K$4:$AJ$4,0))))+SUMPRODUCT((Inputs!$E$5:$E$110=$B63)*ISNUMBER(INDEX(Inputs!$K$5:$AJ$110,0,MATCH(K$2,Inputs!$K$4:$AJ$4,0))))=0,NA(),SUMPRODUCT((Inputs!$A$5:$A$110=$B63)*Inputs!$B$5:$B$110*(((Inputs!$G$5:$G$110="moeda")+(Inputs!$G$5:$G$110="acoes"))*Inputs!$B$1+((Inputs!$G$5:$G$110&lt;&gt;"moeda")*(Inputs!$G$5:$G$110&lt;&gt;"acoes")))*INDEX(Inputs!$K$5:$AJ$110,0,MATCH(K$2,Inputs!$K$4:$AJ$4,0)))+SUMPRODUCT((Inputs!$C$5:$C$110=$B63)*Inputs!$D$5:$D$110*(((Inputs!$G$5:$G$110="moeda")+(Inputs!$G$5:$G$110="acoes"))*Inputs!$B$1+((Inputs!$G$5:$G$110&lt;&gt;"moeda")*(Inputs!$G$5:$G$110&lt;&gt;"acoes")))*INDEX(Inputs!$K$5:$AJ$110,0,MATCH(K$2,Inputs!$K$4:$AJ$4,0)))+SUMPRODUCT((Inputs!$E$5:$E$110=$B63)*Inputs!$F$5:$F$110*(((Inputs!$G$5:$G$110="moeda")+(Inputs!$G$5:$G$110="acoes"))*Inputs!$B$1+((Inputs!$G$5:$G$110&lt;&gt;"moeda")*(Inputs!$G$5:$G$110&lt;&gt;"acoes")))*INDEX(Inputs!$K$5:$AJ$110,0,MATCH(K$2,Inputs!$K$4:$AJ$4,0)))))</f>
        <v>1260</v>
      </c>
      <c r="L63" s="263">
        <f>IF(ISNA(MATCH(L$2,Inputs!$K$4:$AJ$4,0)),NA(),IF(SUMPRODUCT((Inputs!$A$5:$A$110=$B63)*ISNUMBER(INDEX(Inputs!$K$5:$AJ$110,0,MATCH(L$2,Inputs!$K$4:$AJ$4,0))))+SUMPRODUCT((Inputs!$C$5:$C$110=$B63)*ISNUMBER(INDEX(Inputs!$K$5:$AJ$110,0,MATCH(L$2,Inputs!$K$4:$AJ$4,0))))+SUMPRODUCT((Inputs!$E$5:$E$110=$B63)*ISNUMBER(INDEX(Inputs!$K$5:$AJ$110,0,MATCH(L$2,Inputs!$K$4:$AJ$4,0))))=0,NA(),SUMPRODUCT((Inputs!$A$5:$A$110=$B63)*Inputs!$B$5:$B$110*(((Inputs!$G$5:$G$110="moeda")+(Inputs!$G$5:$G$110="acoes"))*Inputs!$B$1+((Inputs!$G$5:$G$110&lt;&gt;"moeda")*(Inputs!$G$5:$G$110&lt;&gt;"acoes")))*INDEX(Inputs!$K$5:$AJ$110,0,MATCH(L$2,Inputs!$K$4:$AJ$4,0)))+SUMPRODUCT((Inputs!$C$5:$C$110=$B63)*Inputs!$D$5:$D$110*(((Inputs!$G$5:$G$110="moeda")+(Inputs!$G$5:$G$110="acoes"))*Inputs!$B$1+((Inputs!$G$5:$G$110&lt;&gt;"moeda")*(Inputs!$G$5:$G$110&lt;&gt;"acoes")))*INDEX(Inputs!$K$5:$AJ$110,0,MATCH(L$2,Inputs!$K$4:$AJ$4,0)))+SUMPRODUCT((Inputs!$E$5:$E$110=$B63)*Inputs!$F$5:$F$110*(((Inputs!$G$5:$G$110="moeda")+(Inputs!$G$5:$G$110="acoes"))*Inputs!$B$1+((Inputs!$G$5:$G$110&lt;&gt;"moeda")*(Inputs!$G$5:$G$110&lt;&gt;"acoes")))*INDEX(Inputs!$K$5:$AJ$110,0,MATCH(L$2,Inputs!$K$4:$AJ$4,0)))))</f>
        <v>1302</v>
      </c>
      <c r="M63" s="264" t="e">
        <f>SUM(I63:L63)</f>
        <v>#N/A</v>
      </c>
      <c r="N63" s="263">
        <f>IF(ISNA(MATCH(N$2,Inputs!$K$4:$AJ$4,0)),NA(),IF(SUMPRODUCT((Inputs!$A$5:$A$110=$B63)*ISNUMBER(INDEX(Inputs!$K$5:$AJ$110,0,MATCH(N$2,Inputs!$K$4:$AJ$4,0))))+SUMPRODUCT((Inputs!$C$5:$C$110=$B63)*ISNUMBER(INDEX(Inputs!$K$5:$AJ$110,0,MATCH(N$2,Inputs!$K$4:$AJ$4,0))))+SUMPRODUCT((Inputs!$E$5:$E$110=$B63)*ISNUMBER(INDEX(Inputs!$K$5:$AJ$110,0,MATCH(N$2,Inputs!$K$4:$AJ$4,0))))=0,NA(),SUMPRODUCT((Inputs!$A$5:$A$110=$B63)*Inputs!$B$5:$B$110*(((Inputs!$G$5:$G$110="moeda")+(Inputs!$G$5:$G$110="acoes"))*Inputs!$B$1+((Inputs!$G$5:$G$110&lt;&gt;"moeda")*(Inputs!$G$5:$G$110&lt;&gt;"acoes")))*INDEX(Inputs!$K$5:$AJ$110,0,MATCH(N$2,Inputs!$K$4:$AJ$4,0)))+SUMPRODUCT((Inputs!$C$5:$C$110=$B63)*Inputs!$D$5:$D$110*(((Inputs!$G$5:$G$110="moeda")+(Inputs!$G$5:$G$110="acoes"))*Inputs!$B$1+((Inputs!$G$5:$G$110&lt;&gt;"moeda")*(Inputs!$G$5:$G$110&lt;&gt;"acoes")))*INDEX(Inputs!$K$5:$AJ$110,0,MATCH(N$2,Inputs!$K$4:$AJ$4,0)))+SUMPRODUCT((Inputs!$E$5:$E$110=$B63)*Inputs!$F$5:$F$110*(((Inputs!$G$5:$G$110="moeda")+(Inputs!$G$5:$G$110="acoes"))*Inputs!$B$1+((Inputs!$G$5:$G$110&lt;&gt;"moeda")*(Inputs!$G$5:$G$110&lt;&gt;"acoes")))*INDEX(Inputs!$K$5:$AJ$110,0,MATCH(N$2,Inputs!$K$4:$AJ$4,0)))))</f>
        <v>1389</v>
      </c>
      <c r="O63" s="263">
        <f>IF(ISNA(MATCH(O$2,Inputs!$K$4:$AJ$4,0)),NA(),IF(SUMPRODUCT((Inputs!$A$5:$A$110=$B63)*ISNUMBER(INDEX(Inputs!$K$5:$AJ$110,0,MATCH(O$2,Inputs!$K$4:$AJ$4,0))))+SUMPRODUCT((Inputs!$C$5:$C$110=$B63)*ISNUMBER(INDEX(Inputs!$K$5:$AJ$110,0,MATCH(O$2,Inputs!$K$4:$AJ$4,0))))+SUMPRODUCT((Inputs!$E$5:$E$110=$B63)*ISNUMBER(INDEX(Inputs!$K$5:$AJ$110,0,MATCH(O$2,Inputs!$K$4:$AJ$4,0))))=0,NA(),SUMPRODUCT((Inputs!$A$5:$A$110=$B63)*Inputs!$B$5:$B$110*(((Inputs!$G$5:$G$110="moeda")+(Inputs!$G$5:$G$110="acoes"))*Inputs!$B$1+((Inputs!$G$5:$G$110&lt;&gt;"moeda")*(Inputs!$G$5:$G$110&lt;&gt;"acoes")))*INDEX(Inputs!$K$5:$AJ$110,0,MATCH(O$2,Inputs!$K$4:$AJ$4,0)))+SUMPRODUCT((Inputs!$C$5:$C$110=$B63)*Inputs!$D$5:$D$110*(((Inputs!$G$5:$G$110="moeda")+(Inputs!$G$5:$G$110="acoes"))*Inputs!$B$1+((Inputs!$G$5:$G$110&lt;&gt;"moeda")*(Inputs!$G$5:$G$110&lt;&gt;"acoes")))*INDEX(Inputs!$K$5:$AJ$110,0,MATCH(O$2,Inputs!$K$4:$AJ$4,0)))+SUMPRODUCT((Inputs!$E$5:$E$110=$B63)*Inputs!$F$5:$F$110*(((Inputs!$G$5:$G$110="moeda")+(Inputs!$G$5:$G$110="acoes"))*Inputs!$B$1+((Inputs!$G$5:$G$110&lt;&gt;"moeda")*(Inputs!$G$5:$G$110&lt;&gt;"acoes")))*INDEX(Inputs!$K$5:$AJ$110,0,MATCH(O$2,Inputs!$K$4:$AJ$4,0)))))</f>
        <v>1486</v>
      </c>
      <c r="P63" s="263">
        <f>IF(ISNA(MATCH(P$2,Inputs!$K$4:$AJ$4,0)),NA(),IF(SUMPRODUCT((Inputs!$A$5:$A$110=$B63)*ISNUMBER(INDEX(Inputs!$K$5:$AJ$110,0,MATCH(P$2,Inputs!$K$4:$AJ$4,0))))+SUMPRODUCT((Inputs!$C$5:$C$110=$B63)*ISNUMBER(INDEX(Inputs!$K$5:$AJ$110,0,MATCH(P$2,Inputs!$K$4:$AJ$4,0))))+SUMPRODUCT((Inputs!$E$5:$E$110=$B63)*ISNUMBER(INDEX(Inputs!$K$5:$AJ$110,0,MATCH(P$2,Inputs!$K$4:$AJ$4,0))))=0,NA(),SUMPRODUCT((Inputs!$A$5:$A$110=$B63)*Inputs!$B$5:$B$110*(((Inputs!$G$5:$G$110="moeda")+(Inputs!$G$5:$G$110="acoes"))*Inputs!$B$1+((Inputs!$G$5:$G$110&lt;&gt;"moeda")*(Inputs!$G$5:$G$110&lt;&gt;"acoes")))*INDEX(Inputs!$K$5:$AJ$110,0,MATCH(P$2,Inputs!$K$4:$AJ$4,0)))+SUMPRODUCT((Inputs!$C$5:$C$110=$B63)*Inputs!$D$5:$D$110*(((Inputs!$G$5:$G$110="moeda")+(Inputs!$G$5:$G$110="acoes"))*Inputs!$B$1+((Inputs!$G$5:$G$110&lt;&gt;"moeda")*(Inputs!$G$5:$G$110&lt;&gt;"acoes")))*INDEX(Inputs!$K$5:$AJ$110,0,MATCH(P$2,Inputs!$K$4:$AJ$4,0)))+SUMPRODUCT((Inputs!$E$5:$E$110=$B63)*Inputs!$F$5:$F$110*(((Inputs!$G$5:$G$110="moeda")+(Inputs!$G$5:$G$110="acoes"))*Inputs!$B$1+((Inputs!$G$5:$G$110&lt;&gt;"moeda")*(Inputs!$G$5:$G$110&lt;&gt;"acoes")))*INDEX(Inputs!$K$5:$AJ$110,0,MATCH(P$2,Inputs!$K$4:$AJ$4,0)))))</f>
        <v>1626</v>
      </c>
      <c r="Q63" s="263">
        <f>IF(ISNA(MATCH(Q$2,Inputs!$K$4:$AJ$4,0)),NA(),IF(SUMPRODUCT((Inputs!$A$5:$A$110=$B63)*ISNUMBER(INDEX(Inputs!$K$5:$AJ$110,0,MATCH(Q$2,Inputs!$K$4:$AJ$4,0))))+SUMPRODUCT((Inputs!$C$5:$C$110=$B63)*ISNUMBER(INDEX(Inputs!$K$5:$AJ$110,0,MATCH(Q$2,Inputs!$K$4:$AJ$4,0))))+SUMPRODUCT((Inputs!$E$5:$E$110=$B63)*ISNUMBER(INDEX(Inputs!$K$5:$AJ$110,0,MATCH(Q$2,Inputs!$K$4:$AJ$4,0))))=0,NA(),SUMPRODUCT((Inputs!$A$5:$A$110=$B63)*Inputs!$B$5:$B$110*(((Inputs!$G$5:$G$110="moeda")+(Inputs!$G$5:$G$110="acoes"))*Inputs!$B$1+((Inputs!$G$5:$G$110&lt;&gt;"moeda")*(Inputs!$G$5:$G$110&lt;&gt;"acoes")))*INDEX(Inputs!$K$5:$AJ$110,0,MATCH(Q$2,Inputs!$K$4:$AJ$4,0)))+SUMPRODUCT((Inputs!$C$5:$C$110=$B63)*Inputs!$D$5:$D$110*(((Inputs!$G$5:$G$110="moeda")+(Inputs!$G$5:$G$110="acoes"))*Inputs!$B$1+((Inputs!$G$5:$G$110&lt;&gt;"moeda")*(Inputs!$G$5:$G$110&lt;&gt;"acoes")))*INDEX(Inputs!$K$5:$AJ$110,0,MATCH(Q$2,Inputs!$K$4:$AJ$4,0)))+SUMPRODUCT((Inputs!$E$5:$E$110=$B63)*Inputs!$F$5:$F$110*(((Inputs!$G$5:$G$110="moeda")+(Inputs!$G$5:$G$110="acoes"))*Inputs!$B$1+((Inputs!$G$5:$G$110&lt;&gt;"moeda")*(Inputs!$G$5:$G$110&lt;&gt;"acoes")))*INDEX(Inputs!$K$5:$AJ$110,0,MATCH(Q$2,Inputs!$K$4:$AJ$4,0)))))</f>
        <v>1659</v>
      </c>
      <c r="R63" s="264">
        <f>SUM(N63:Q63)</f>
        <v>6160</v>
      </c>
      <c r="S63" s="263">
        <f>IF(ISNA(MATCH(S$2,Inputs!$K$4:$AJ$4,0)),NA(),IF(SUMPRODUCT((Inputs!$A$5:$A$110=$B63)*ISNUMBER(INDEX(Inputs!$K$5:$AJ$110,0,MATCH(S$2,Inputs!$K$4:$AJ$4,0))))+SUMPRODUCT((Inputs!$C$5:$C$110=$B63)*ISNUMBER(INDEX(Inputs!$K$5:$AJ$110,0,MATCH(S$2,Inputs!$K$4:$AJ$4,0))))+SUMPRODUCT((Inputs!$E$5:$E$110=$B63)*ISNUMBER(INDEX(Inputs!$K$5:$AJ$110,0,MATCH(S$2,Inputs!$K$4:$AJ$4,0))))=0,NA(),SUMPRODUCT((Inputs!$A$5:$A$110=$B63)*Inputs!$B$5:$B$110*(((Inputs!$G$5:$G$110="moeda")+(Inputs!$G$5:$G$110="acoes"))*Inputs!$B$1+((Inputs!$G$5:$G$110&lt;&gt;"moeda")*(Inputs!$G$5:$G$110&lt;&gt;"acoes")))*INDEX(Inputs!$K$5:$AJ$110,0,MATCH(S$2,Inputs!$K$4:$AJ$4,0)))+SUMPRODUCT((Inputs!$C$5:$C$110=$B63)*Inputs!$D$5:$D$110*(((Inputs!$G$5:$G$110="moeda")+(Inputs!$G$5:$G$110="acoes"))*Inputs!$B$1+((Inputs!$G$5:$G$110&lt;&gt;"moeda")*(Inputs!$G$5:$G$110&lt;&gt;"acoes")))*INDEX(Inputs!$K$5:$AJ$110,0,MATCH(S$2,Inputs!$K$4:$AJ$4,0)))+SUMPRODUCT((Inputs!$E$5:$E$110=$B63)*Inputs!$F$5:$F$110*(((Inputs!$G$5:$G$110="moeda")+(Inputs!$G$5:$G$110="acoes"))*Inputs!$B$1+((Inputs!$G$5:$G$110&lt;&gt;"moeda")*(Inputs!$G$5:$G$110&lt;&gt;"acoes")))*INDEX(Inputs!$K$5:$AJ$110,0,MATCH(S$2,Inputs!$K$4:$AJ$4,0)))))</f>
        <v>1740</v>
      </c>
      <c r="T63" s="263">
        <f>IF(ISNA(MATCH(T$2,Inputs!$K$4:$AJ$4,0)),NA(),IF(SUMPRODUCT((Inputs!$A$5:$A$110=$B63)*ISNUMBER(INDEX(Inputs!$K$5:$AJ$110,0,MATCH(T$2,Inputs!$K$4:$AJ$4,0))))+SUMPRODUCT((Inputs!$C$5:$C$110=$B63)*ISNUMBER(INDEX(Inputs!$K$5:$AJ$110,0,MATCH(T$2,Inputs!$K$4:$AJ$4,0))))+SUMPRODUCT((Inputs!$E$5:$E$110=$B63)*ISNUMBER(INDEX(Inputs!$K$5:$AJ$110,0,MATCH(T$2,Inputs!$K$4:$AJ$4,0))))=0,NA(),SUMPRODUCT((Inputs!$A$5:$A$110=$B63)*Inputs!$B$5:$B$110*(((Inputs!$G$5:$G$110="moeda")+(Inputs!$G$5:$G$110="acoes"))*Inputs!$B$1+((Inputs!$G$5:$G$110&lt;&gt;"moeda")*(Inputs!$G$5:$G$110&lt;&gt;"acoes")))*INDEX(Inputs!$K$5:$AJ$110,0,MATCH(T$2,Inputs!$K$4:$AJ$4,0)))+SUMPRODUCT((Inputs!$C$5:$C$110=$B63)*Inputs!$D$5:$D$110*(((Inputs!$G$5:$G$110="moeda")+(Inputs!$G$5:$G$110="acoes"))*Inputs!$B$1+((Inputs!$G$5:$G$110&lt;&gt;"moeda")*(Inputs!$G$5:$G$110&lt;&gt;"acoes")))*INDEX(Inputs!$K$5:$AJ$110,0,MATCH(T$2,Inputs!$K$4:$AJ$4,0)))+SUMPRODUCT((Inputs!$E$5:$E$110=$B63)*Inputs!$F$5:$F$110*(((Inputs!$G$5:$G$110="moeda")+(Inputs!$G$5:$G$110="acoes"))*Inputs!$B$1+((Inputs!$G$5:$G$110&lt;&gt;"moeda")*(Inputs!$G$5:$G$110&lt;&gt;"acoes")))*INDEX(Inputs!$K$5:$AJ$110,0,MATCH(T$2,Inputs!$K$4:$AJ$4,0)))))</f>
        <v>1719</v>
      </c>
      <c r="U63" s="263">
        <f>IF(ISNA(MATCH(U$2,Inputs!$K$4:$AJ$4,0)),NA(),IF(SUMPRODUCT((Inputs!$A$5:$A$110=$B63)*ISNUMBER(INDEX(Inputs!$K$5:$AJ$110,0,MATCH(U$2,Inputs!$K$4:$AJ$4,0))))+SUMPRODUCT((Inputs!$C$5:$C$110=$B63)*ISNUMBER(INDEX(Inputs!$K$5:$AJ$110,0,MATCH(U$2,Inputs!$K$4:$AJ$4,0))))+SUMPRODUCT((Inputs!$E$5:$E$110=$B63)*ISNUMBER(INDEX(Inputs!$K$5:$AJ$110,0,MATCH(U$2,Inputs!$K$4:$AJ$4,0))))=0,NA(),SUMPRODUCT((Inputs!$A$5:$A$110=$B63)*Inputs!$B$5:$B$110*(((Inputs!$G$5:$G$110="moeda")+(Inputs!$G$5:$G$110="acoes"))*Inputs!$B$1+((Inputs!$G$5:$G$110&lt;&gt;"moeda")*(Inputs!$G$5:$G$110&lt;&gt;"acoes")))*INDEX(Inputs!$K$5:$AJ$110,0,MATCH(U$2,Inputs!$K$4:$AJ$4,0)))+SUMPRODUCT((Inputs!$C$5:$C$110=$B63)*Inputs!$D$5:$D$110*(((Inputs!$G$5:$G$110="moeda")+(Inputs!$G$5:$G$110="acoes"))*Inputs!$B$1+((Inputs!$G$5:$G$110&lt;&gt;"moeda")*(Inputs!$G$5:$G$110&lt;&gt;"acoes")))*INDEX(Inputs!$K$5:$AJ$110,0,MATCH(U$2,Inputs!$K$4:$AJ$4,0)))+SUMPRODUCT((Inputs!$E$5:$E$110=$B63)*Inputs!$F$5:$F$110*(((Inputs!$G$5:$G$110="moeda")+(Inputs!$G$5:$G$110="acoes"))*Inputs!$B$1+((Inputs!$G$5:$G$110&lt;&gt;"moeda")*(Inputs!$G$5:$G$110&lt;&gt;"acoes")))*INDEX(Inputs!$K$5:$AJ$110,0,MATCH(U$2,Inputs!$K$4:$AJ$4,0)))))</f>
        <v>1849</v>
      </c>
      <c r="V63" s="263">
        <f>IF(ISNA(MATCH(V$2,Inputs!$K$4:$AJ$4,0)),NA(),IF(SUMPRODUCT((Inputs!$A$5:$A$110=$B63)*ISNUMBER(INDEX(Inputs!$K$5:$AJ$110,0,MATCH(V$2,Inputs!$K$4:$AJ$4,0))))+SUMPRODUCT((Inputs!$C$5:$C$110=$B63)*ISNUMBER(INDEX(Inputs!$K$5:$AJ$110,0,MATCH(V$2,Inputs!$K$4:$AJ$4,0))))+SUMPRODUCT((Inputs!$E$5:$E$110=$B63)*ISNUMBER(INDEX(Inputs!$K$5:$AJ$110,0,MATCH(V$2,Inputs!$K$4:$AJ$4,0))))=0,NA(),SUMPRODUCT((Inputs!$A$5:$A$110=$B63)*Inputs!$B$5:$B$110*(((Inputs!$G$5:$G$110="moeda")+(Inputs!$G$5:$G$110="acoes"))*Inputs!$B$1+((Inputs!$G$5:$G$110&lt;&gt;"moeda")*(Inputs!$G$5:$G$110&lt;&gt;"acoes")))*INDEX(Inputs!$K$5:$AJ$110,0,MATCH(V$2,Inputs!$K$4:$AJ$4,0)))+SUMPRODUCT((Inputs!$C$5:$C$110=$B63)*Inputs!$D$5:$D$110*(((Inputs!$G$5:$G$110="moeda")+(Inputs!$G$5:$G$110="acoes"))*Inputs!$B$1+((Inputs!$G$5:$G$110&lt;&gt;"moeda")*(Inputs!$G$5:$G$110&lt;&gt;"acoes")))*INDEX(Inputs!$K$5:$AJ$110,0,MATCH(V$2,Inputs!$K$4:$AJ$4,0)))+SUMPRODUCT((Inputs!$E$5:$E$110=$B63)*Inputs!$F$5:$F$110*(((Inputs!$G$5:$G$110="moeda")+(Inputs!$G$5:$G$110="acoes"))*Inputs!$B$1+((Inputs!$G$5:$G$110&lt;&gt;"moeda")*(Inputs!$G$5:$G$110&lt;&gt;"acoes")))*INDEX(Inputs!$K$5:$AJ$110,0,MATCH(V$2,Inputs!$K$4:$AJ$4,0)))))</f>
        <v>1913</v>
      </c>
      <c r="W63" s="264">
        <f>SUM(S63:V63)</f>
        <v>7221</v>
      </c>
      <c r="X63" s="263">
        <f>IF(ISNA(MATCH(X$2,Inputs!$K$4:$AJ$4,0)),NA(),IF(SUMPRODUCT((Inputs!$A$5:$A$110=$B63)*ISNUMBER(INDEX(Inputs!$K$5:$AJ$110,0,MATCH(X$2,Inputs!$K$4:$AJ$4,0))))+SUMPRODUCT((Inputs!$C$5:$C$110=$B63)*ISNUMBER(INDEX(Inputs!$K$5:$AJ$110,0,MATCH(X$2,Inputs!$K$4:$AJ$4,0))))+SUMPRODUCT((Inputs!$E$5:$E$110=$B63)*ISNUMBER(INDEX(Inputs!$K$5:$AJ$110,0,MATCH(X$2,Inputs!$K$4:$AJ$4,0))))=0,NA(),SUMPRODUCT((Inputs!$A$5:$A$110=$B63)*Inputs!$B$5:$B$110*(((Inputs!$G$5:$G$110="moeda")+(Inputs!$G$5:$G$110="acoes"))*Inputs!$B$1+((Inputs!$G$5:$G$110&lt;&gt;"moeda")*(Inputs!$G$5:$G$110&lt;&gt;"acoes")))*INDEX(Inputs!$K$5:$AJ$110,0,MATCH(X$2,Inputs!$K$4:$AJ$4,0)))+SUMPRODUCT((Inputs!$C$5:$C$110=$B63)*Inputs!$D$5:$D$110*(((Inputs!$G$5:$G$110="moeda")+(Inputs!$G$5:$G$110="acoes"))*Inputs!$B$1+((Inputs!$G$5:$G$110&lt;&gt;"moeda")*(Inputs!$G$5:$G$110&lt;&gt;"acoes")))*INDEX(Inputs!$K$5:$AJ$110,0,MATCH(X$2,Inputs!$K$4:$AJ$4,0)))+SUMPRODUCT((Inputs!$E$5:$E$110=$B63)*Inputs!$F$5:$F$110*(((Inputs!$G$5:$G$110="moeda")+(Inputs!$G$5:$G$110="acoes"))*Inputs!$B$1+((Inputs!$G$5:$G$110&lt;&gt;"moeda")*(Inputs!$G$5:$G$110&lt;&gt;"acoes")))*INDEX(Inputs!$K$5:$AJ$110,0,MATCH(X$2,Inputs!$K$4:$AJ$4,0)))))</f>
        <v>1929</v>
      </c>
      <c r="Y63" s="263">
        <f>IF(ISNA(MATCH(Y$2,Inputs!$K$4:$AJ$4,0)),NA(),IF(SUMPRODUCT((Inputs!$A$5:$A$110=$B63)*ISNUMBER(INDEX(Inputs!$K$5:$AJ$110,0,MATCH(Y$2,Inputs!$K$4:$AJ$4,0))))+SUMPRODUCT((Inputs!$C$5:$C$110=$B63)*ISNUMBER(INDEX(Inputs!$K$5:$AJ$110,0,MATCH(Y$2,Inputs!$K$4:$AJ$4,0))))+SUMPRODUCT((Inputs!$E$5:$E$110=$B63)*ISNUMBER(INDEX(Inputs!$K$5:$AJ$110,0,MATCH(Y$2,Inputs!$K$4:$AJ$4,0))))=0,NA(),SUMPRODUCT((Inputs!$A$5:$A$110=$B63)*Inputs!$B$5:$B$110*(((Inputs!$G$5:$G$110="moeda")+(Inputs!$G$5:$G$110="acoes"))*Inputs!$B$1+((Inputs!$G$5:$G$110&lt;&gt;"moeda")*(Inputs!$G$5:$G$110&lt;&gt;"acoes")))*INDEX(Inputs!$K$5:$AJ$110,0,MATCH(Y$2,Inputs!$K$4:$AJ$4,0)))+SUMPRODUCT((Inputs!$C$5:$C$110=$B63)*Inputs!$D$5:$D$110*(((Inputs!$G$5:$G$110="moeda")+(Inputs!$G$5:$G$110="acoes"))*Inputs!$B$1+((Inputs!$G$5:$G$110&lt;&gt;"moeda")*(Inputs!$G$5:$G$110&lt;&gt;"acoes")))*INDEX(Inputs!$K$5:$AJ$110,0,MATCH(Y$2,Inputs!$K$4:$AJ$4,0)))+SUMPRODUCT((Inputs!$E$5:$E$110=$B63)*Inputs!$F$5:$F$110*(((Inputs!$G$5:$G$110="moeda")+(Inputs!$G$5:$G$110="acoes"))*Inputs!$B$1+((Inputs!$G$5:$G$110&lt;&gt;"moeda")*(Inputs!$G$5:$G$110&lt;&gt;"acoes")))*INDEX(Inputs!$K$5:$AJ$110,0,MATCH(Y$2,Inputs!$K$4:$AJ$4,0)))))</f>
        <v>2136</v>
      </c>
      <c r="Z63" s="263">
        <f>IF(ISNA(MATCH(Z$2,Inputs!$K$4:$AJ$4,0)),NA(),IF(SUMPRODUCT((Inputs!$A$5:$A$110=$B63)*ISNUMBER(INDEX(Inputs!$K$5:$AJ$110,0,MATCH(Z$2,Inputs!$K$4:$AJ$4,0))))+SUMPRODUCT((Inputs!$C$5:$C$110=$B63)*ISNUMBER(INDEX(Inputs!$K$5:$AJ$110,0,MATCH(Z$2,Inputs!$K$4:$AJ$4,0))))+SUMPRODUCT((Inputs!$E$5:$E$110=$B63)*ISNUMBER(INDEX(Inputs!$K$5:$AJ$110,0,MATCH(Z$2,Inputs!$K$4:$AJ$4,0))))=0,NA(),SUMPRODUCT((Inputs!$A$5:$A$110=$B63)*Inputs!$B$5:$B$110*(((Inputs!$G$5:$G$110="moeda")+(Inputs!$G$5:$G$110="acoes"))*Inputs!$B$1+((Inputs!$G$5:$G$110&lt;&gt;"moeda")*(Inputs!$G$5:$G$110&lt;&gt;"acoes")))*INDEX(Inputs!$K$5:$AJ$110,0,MATCH(Z$2,Inputs!$K$4:$AJ$4,0)))+SUMPRODUCT((Inputs!$C$5:$C$110=$B63)*Inputs!$D$5:$D$110*(((Inputs!$G$5:$G$110="moeda")+(Inputs!$G$5:$G$110="acoes"))*Inputs!$B$1+((Inputs!$G$5:$G$110&lt;&gt;"moeda")*(Inputs!$G$5:$G$110&lt;&gt;"acoes")))*INDEX(Inputs!$K$5:$AJ$110,0,MATCH(Z$2,Inputs!$K$4:$AJ$4,0)))+SUMPRODUCT((Inputs!$E$5:$E$110=$B63)*Inputs!$F$5:$F$110*(((Inputs!$G$5:$G$110="moeda")+(Inputs!$G$5:$G$110="acoes"))*Inputs!$B$1+((Inputs!$G$5:$G$110&lt;&gt;"moeda")*(Inputs!$G$5:$G$110&lt;&gt;"acoes")))*INDEX(Inputs!$K$5:$AJ$110,0,MATCH(Z$2,Inputs!$K$4:$AJ$4,0)))))</f>
        <v>2136</v>
      </c>
      <c r="AA63" s="263">
        <f>IF(ISNA(MATCH(AA$2,Inputs!$K$4:$AJ$4,0)),NA(),IF(SUMPRODUCT((Inputs!$A$5:$A$110=$B63)*ISNUMBER(INDEX(Inputs!$K$5:$AJ$110,0,MATCH(AA$2,Inputs!$K$4:$AJ$4,0))))+SUMPRODUCT((Inputs!$C$5:$C$110=$B63)*ISNUMBER(INDEX(Inputs!$K$5:$AJ$110,0,MATCH(AA$2,Inputs!$K$4:$AJ$4,0))))+SUMPRODUCT((Inputs!$E$5:$E$110=$B63)*ISNUMBER(INDEX(Inputs!$K$5:$AJ$110,0,MATCH(AA$2,Inputs!$K$4:$AJ$4,0))))=0,NA(),SUMPRODUCT((Inputs!$A$5:$A$110=$B63)*Inputs!$B$5:$B$110*(((Inputs!$G$5:$G$110="moeda")+(Inputs!$G$5:$G$110="acoes"))*Inputs!$B$1+((Inputs!$G$5:$G$110&lt;&gt;"moeda")*(Inputs!$G$5:$G$110&lt;&gt;"acoes")))*INDEX(Inputs!$K$5:$AJ$110,0,MATCH(AA$2,Inputs!$K$4:$AJ$4,0)))+SUMPRODUCT((Inputs!$C$5:$C$110=$B63)*Inputs!$D$5:$D$110*(((Inputs!$G$5:$G$110="moeda")+(Inputs!$G$5:$G$110="acoes"))*Inputs!$B$1+((Inputs!$G$5:$G$110&lt;&gt;"moeda")*(Inputs!$G$5:$G$110&lt;&gt;"acoes")))*INDEX(Inputs!$K$5:$AJ$110,0,MATCH(AA$2,Inputs!$K$4:$AJ$4,0)))+SUMPRODUCT((Inputs!$E$5:$E$110=$B63)*Inputs!$F$5:$F$110*(((Inputs!$G$5:$G$110="moeda")+(Inputs!$G$5:$G$110="acoes"))*Inputs!$B$1+((Inputs!$G$5:$G$110&lt;&gt;"moeda")*(Inputs!$G$5:$G$110&lt;&gt;"acoes")))*INDEX(Inputs!$K$5:$AJ$110,0,MATCH(AA$2,Inputs!$K$4:$AJ$4,0)))))</f>
        <v>2204</v>
      </c>
      <c r="AB63" s="264">
        <f>SUM(X63:AA63)</f>
        <v>8405</v>
      </c>
      <c r="AC63" s="263">
        <f>IF(ISNA(MATCH(AC$2,Inputs!$K$4:$AJ$4,0)),NA(),IF(SUMPRODUCT((Inputs!$A$5:$A$110=$B63)*ISNUMBER(INDEX(Inputs!$K$5:$AJ$110,0,MATCH(AC$2,Inputs!$K$4:$AJ$4,0))))+SUMPRODUCT((Inputs!$C$5:$C$110=$B63)*ISNUMBER(INDEX(Inputs!$K$5:$AJ$110,0,MATCH(AC$2,Inputs!$K$4:$AJ$4,0))))+SUMPRODUCT((Inputs!$E$5:$E$110=$B63)*ISNUMBER(INDEX(Inputs!$K$5:$AJ$110,0,MATCH(AC$2,Inputs!$K$4:$AJ$4,0))))=0,NA(),SUMPRODUCT((Inputs!$A$5:$A$110=$B63)*Inputs!$B$5:$B$110*(((Inputs!$G$5:$G$110="moeda")+(Inputs!$G$5:$G$110="acoes"))*Inputs!$B$1+((Inputs!$G$5:$G$110&lt;&gt;"moeda")*(Inputs!$G$5:$G$110&lt;&gt;"acoes")))*INDEX(Inputs!$K$5:$AJ$110,0,MATCH(AC$2,Inputs!$K$4:$AJ$4,0)))+SUMPRODUCT((Inputs!$C$5:$C$110=$B63)*Inputs!$D$5:$D$110*(((Inputs!$G$5:$G$110="moeda")+(Inputs!$G$5:$G$110="acoes"))*Inputs!$B$1+((Inputs!$G$5:$G$110&lt;&gt;"moeda")*(Inputs!$G$5:$G$110&lt;&gt;"acoes")))*INDEX(Inputs!$K$5:$AJ$110,0,MATCH(AC$2,Inputs!$K$4:$AJ$4,0)))+SUMPRODUCT((Inputs!$E$5:$E$110=$B63)*Inputs!$F$5:$F$110*(((Inputs!$G$5:$G$110="moeda")+(Inputs!$G$5:$G$110="acoes"))*Inputs!$B$1+((Inputs!$G$5:$G$110&lt;&gt;"moeda")*(Inputs!$G$5:$G$110&lt;&gt;"acoes")))*INDEX(Inputs!$K$5:$AJ$110,0,MATCH(AC$2,Inputs!$K$4:$AJ$4,0)))))</f>
        <v>2292</v>
      </c>
      <c r="AD63" s="263">
        <f>IF(ISNA(MATCH(AD$2,Inputs!$K$4:$AJ$4,0)),NA(),IF(SUMPRODUCT((Inputs!$A$5:$A$110=$B63)*ISNUMBER(INDEX(Inputs!$K$5:$AJ$110,0,MATCH(AD$2,Inputs!$K$4:$AJ$4,0))))+SUMPRODUCT((Inputs!$C$5:$C$110=$B63)*ISNUMBER(INDEX(Inputs!$K$5:$AJ$110,0,MATCH(AD$2,Inputs!$K$4:$AJ$4,0))))+SUMPRODUCT((Inputs!$E$5:$E$110=$B63)*ISNUMBER(INDEX(Inputs!$K$5:$AJ$110,0,MATCH(AD$2,Inputs!$K$4:$AJ$4,0))))=0,NA(),SUMPRODUCT((Inputs!$A$5:$A$110=$B63)*Inputs!$B$5:$B$110*(((Inputs!$G$5:$G$110="moeda")+(Inputs!$G$5:$G$110="acoes"))*Inputs!$B$1+((Inputs!$G$5:$G$110&lt;&gt;"moeda")*(Inputs!$G$5:$G$110&lt;&gt;"acoes")))*INDEX(Inputs!$K$5:$AJ$110,0,MATCH(AD$2,Inputs!$K$4:$AJ$4,0)))+SUMPRODUCT((Inputs!$C$5:$C$110=$B63)*Inputs!$D$5:$D$110*(((Inputs!$G$5:$G$110="moeda")+(Inputs!$G$5:$G$110="acoes"))*Inputs!$B$1+((Inputs!$G$5:$G$110&lt;&gt;"moeda")*(Inputs!$G$5:$G$110&lt;&gt;"acoes")))*INDEX(Inputs!$K$5:$AJ$110,0,MATCH(AD$2,Inputs!$K$4:$AJ$4,0)))+SUMPRODUCT((Inputs!$E$5:$E$110=$B63)*Inputs!$F$5:$F$110*(((Inputs!$G$5:$G$110="moeda")+(Inputs!$G$5:$G$110="acoes"))*Inputs!$B$1+((Inputs!$G$5:$G$110&lt;&gt;"moeda")*(Inputs!$G$5:$G$110&lt;&gt;"acoes")))*INDEX(Inputs!$K$5:$AJ$110,0,MATCH(AD$2,Inputs!$K$4:$AJ$4,0)))))</f>
        <v>2374</v>
      </c>
      <c r="AE63" s="263" t="e">
        <f>IF(ISNA(MATCH(AE$2,Inputs!$K$4:$AJ$4,0)),NA(),IF(SUMPRODUCT((Inputs!$A$5:$A$110=$B63)*ISNUMBER(INDEX(Inputs!$K$5:$AJ$110,0,MATCH(AE$2,Inputs!$K$4:$AJ$4,0))))+SUMPRODUCT((Inputs!$C$5:$C$110=$B63)*ISNUMBER(INDEX(Inputs!$K$5:$AJ$110,0,MATCH(AE$2,Inputs!$K$4:$AJ$4,0))))+SUMPRODUCT((Inputs!$E$5:$E$110=$B63)*ISNUMBER(INDEX(Inputs!$K$5:$AJ$110,0,MATCH(AE$2,Inputs!$K$4:$AJ$4,0))))=0,NA(),SUMPRODUCT((Inputs!$A$5:$A$110=$B63)*Inputs!$B$5:$B$110*(((Inputs!$G$5:$G$110="moeda")+(Inputs!$G$5:$G$110="acoes"))*Inputs!$B$1+((Inputs!$G$5:$G$110&lt;&gt;"moeda")*(Inputs!$G$5:$G$110&lt;&gt;"acoes")))*INDEX(Inputs!$K$5:$AJ$110,0,MATCH(AE$2,Inputs!$K$4:$AJ$4,0)))+SUMPRODUCT((Inputs!$C$5:$C$110=$B63)*Inputs!$D$5:$D$110*(((Inputs!$G$5:$G$110="moeda")+(Inputs!$G$5:$G$110="acoes"))*Inputs!$B$1+((Inputs!$G$5:$G$110&lt;&gt;"moeda")*(Inputs!$G$5:$G$110&lt;&gt;"acoes")))*INDEX(Inputs!$K$5:$AJ$110,0,MATCH(AE$2,Inputs!$K$4:$AJ$4,0)))+SUMPRODUCT((Inputs!$E$5:$E$110=$B63)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3" s="263" t="e">
        <f>IF(ISNA(MATCH(AF$2,Inputs!$K$4:$AJ$4,0)),NA(),IF(SUMPRODUCT((Inputs!$A$5:$A$110=$B63)*ISNUMBER(INDEX(Inputs!$K$5:$AJ$110,0,MATCH(AF$2,Inputs!$K$4:$AJ$4,0))))+SUMPRODUCT((Inputs!$C$5:$C$110=$B63)*ISNUMBER(INDEX(Inputs!$K$5:$AJ$110,0,MATCH(AF$2,Inputs!$K$4:$AJ$4,0))))+SUMPRODUCT((Inputs!$E$5:$E$110=$B63)*ISNUMBER(INDEX(Inputs!$K$5:$AJ$110,0,MATCH(AF$2,Inputs!$K$4:$AJ$4,0))))=0,NA(),SUMPRODUCT((Inputs!$A$5:$A$110=$B63)*Inputs!$B$5:$B$110*(((Inputs!$G$5:$G$110="moeda")+(Inputs!$G$5:$G$110="acoes"))*Inputs!$B$1+((Inputs!$G$5:$G$110&lt;&gt;"moeda")*(Inputs!$G$5:$G$110&lt;&gt;"acoes")))*INDEX(Inputs!$K$5:$AJ$110,0,MATCH(AF$2,Inputs!$K$4:$AJ$4,0)))+SUMPRODUCT((Inputs!$C$5:$C$110=$B63)*Inputs!$D$5:$D$110*(((Inputs!$G$5:$G$110="moeda")+(Inputs!$G$5:$G$110="acoes"))*Inputs!$B$1+((Inputs!$G$5:$G$110&lt;&gt;"moeda")*(Inputs!$G$5:$G$110&lt;&gt;"acoes")))*INDEX(Inputs!$K$5:$AJ$110,0,MATCH(AF$2,Inputs!$K$4:$AJ$4,0)))+SUMPRODUCT((Inputs!$E$5:$E$110=$B63)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3" s="264" t="e">
        <f>SUM(AC63:AF63)</f>
        <v>#N/A</v>
      </c>
      <c r="AH63" s="263" t="e">
        <f>IF(ISNA(MATCH(AH$2,Inputs!$K$4:$AJ$4,0)),NA(),IF(SUMPRODUCT((Inputs!$A$5:$A$110=$B63)*ISNUMBER(INDEX(Inputs!$K$5:$AJ$110,0,MATCH(AH$2,Inputs!$K$4:$AJ$4,0))))+SUMPRODUCT((Inputs!$C$5:$C$110=$B63)*ISNUMBER(INDEX(Inputs!$K$5:$AJ$110,0,MATCH(AH$2,Inputs!$K$4:$AJ$4,0))))+SUMPRODUCT((Inputs!$E$5:$E$110=$B63)*ISNUMBER(INDEX(Inputs!$K$5:$AJ$110,0,MATCH(AH$2,Inputs!$K$4:$AJ$4,0))))=0,NA(),SUMPRODUCT((Inputs!$A$5:$A$110=$B63)*Inputs!$B$5:$B$110*(((Inputs!$G$5:$G$110="moeda")+(Inputs!$G$5:$G$110="acoes"))*Inputs!$B$1+((Inputs!$G$5:$G$110&lt;&gt;"moeda")*(Inputs!$G$5:$G$110&lt;&gt;"acoes")))*INDEX(Inputs!$K$5:$AJ$110,0,MATCH(AH$2,Inputs!$K$4:$AJ$4,0)))+SUMPRODUCT((Inputs!$C$5:$C$110=$B63)*Inputs!$D$5:$D$110*(((Inputs!$G$5:$G$110="moeda")+(Inputs!$G$5:$G$110="acoes"))*Inputs!$B$1+((Inputs!$G$5:$G$110&lt;&gt;"moeda")*(Inputs!$G$5:$G$110&lt;&gt;"acoes")))*INDEX(Inputs!$K$5:$AJ$110,0,MATCH(AH$2,Inputs!$K$4:$AJ$4,0)))+SUMPRODUCT((Inputs!$E$5:$E$110=$B63)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63" s="263" t="e">
        <f>IF(ISNA(MATCH(AI$2,Inputs!$K$4:$AJ$4,0)),NA(),IF(SUMPRODUCT((Inputs!$A$5:$A$110=$B63)*ISNUMBER(INDEX(Inputs!$K$5:$AJ$110,0,MATCH(AI$2,Inputs!$K$4:$AJ$4,0))))+SUMPRODUCT((Inputs!$C$5:$C$110=$B63)*ISNUMBER(INDEX(Inputs!$K$5:$AJ$110,0,MATCH(AI$2,Inputs!$K$4:$AJ$4,0))))+SUMPRODUCT((Inputs!$E$5:$E$110=$B63)*ISNUMBER(INDEX(Inputs!$K$5:$AJ$110,0,MATCH(AI$2,Inputs!$K$4:$AJ$4,0))))=0,NA(),SUMPRODUCT((Inputs!$A$5:$A$110=$B63)*Inputs!$B$5:$B$110*(((Inputs!$G$5:$G$110="moeda")+(Inputs!$G$5:$G$110="acoes"))*Inputs!$B$1+((Inputs!$G$5:$G$110&lt;&gt;"moeda")*(Inputs!$G$5:$G$110&lt;&gt;"acoes")))*INDEX(Inputs!$K$5:$AJ$110,0,MATCH(AI$2,Inputs!$K$4:$AJ$4,0)))+SUMPRODUCT((Inputs!$C$5:$C$110=$B63)*Inputs!$D$5:$D$110*(((Inputs!$G$5:$G$110="moeda")+(Inputs!$G$5:$G$110="acoes"))*Inputs!$B$1+((Inputs!$G$5:$G$110&lt;&gt;"moeda")*(Inputs!$G$5:$G$110&lt;&gt;"acoes")))*INDEX(Inputs!$K$5:$AJ$110,0,MATCH(AI$2,Inputs!$K$4:$AJ$4,0)))+SUMPRODUCT((Inputs!$E$5:$E$110=$B63)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63" s="263" t="e">
        <f>IF(ISNA(MATCH(AJ$2,Inputs!$K$4:$AJ$4,0)),NA(),IF(SUMPRODUCT((Inputs!$A$5:$A$110=$B63)*ISNUMBER(INDEX(Inputs!$K$5:$AJ$110,0,MATCH(AJ$2,Inputs!$K$4:$AJ$4,0))))+SUMPRODUCT((Inputs!$C$5:$C$110=$B63)*ISNUMBER(INDEX(Inputs!$K$5:$AJ$110,0,MATCH(AJ$2,Inputs!$K$4:$AJ$4,0))))+SUMPRODUCT((Inputs!$E$5:$E$110=$B63)*ISNUMBER(INDEX(Inputs!$K$5:$AJ$110,0,MATCH(AJ$2,Inputs!$K$4:$AJ$4,0))))=0,NA(),SUMPRODUCT((Inputs!$A$5:$A$110=$B63)*Inputs!$B$5:$B$110*(((Inputs!$G$5:$G$110="moeda")+(Inputs!$G$5:$G$110="acoes"))*Inputs!$B$1+((Inputs!$G$5:$G$110&lt;&gt;"moeda")*(Inputs!$G$5:$G$110&lt;&gt;"acoes")))*INDEX(Inputs!$K$5:$AJ$110,0,MATCH(AJ$2,Inputs!$K$4:$AJ$4,0)))+SUMPRODUCT((Inputs!$C$5:$C$110=$B63)*Inputs!$D$5:$D$110*(((Inputs!$G$5:$G$110="moeda")+(Inputs!$G$5:$G$110="acoes"))*Inputs!$B$1+((Inputs!$G$5:$G$110&lt;&gt;"moeda")*(Inputs!$G$5:$G$110&lt;&gt;"acoes")))*INDEX(Inputs!$K$5:$AJ$110,0,MATCH(AJ$2,Inputs!$K$4:$AJ$4,0)))+SUMPRODUCT((Inputs!$E$5:$E$110=$B63)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63" s="263" t="e">
        <f>IF(ISNA(MATCH(AK$2,Inputs!$K$4:$AJ$4,0)),NA(),IF(SUMPRODUCT((Inputs!$A$5:$A$110=$B63)*ISNUMBER(INDEX(Inputs!$K$5:$AJ$110,0,MATCH(AK$2,Inputs!$K$4:$AJ$4,0))))+SUMPRODUCT((Inputs!$C$5:$C$110=$B63)*ISNUMBER(INDEX(Inputs!$K$5:$AJ$110,0,MATCH(AK$2,Inputs!$K$4:$AJ$4,0))))+SUMPRODUCT((Inputs!$E$5:$E$110=$B63)*ISNUMBER(INDEX(Inputs!$K$5:$AJ$110,0,MATCH(AK$2,Inputs!$K$4:$AJ$4,0))))=0,NA(),SUMPRODUCT((Inputs!$A$5:$A$110=$B63)*Inputs!$B$5:$B$110*(((Inputs!$G$5:$G$110="moeda")+(Inputs!$G$5:$G$110="acoes"))*Inputs!$B$1+((Inputs!$G$5:$G$110&lt;&gt;"moeda")*(Inputs!$G$5:$G$110&lt;&gt;"acoes")))*INDEX(Inputs!$K$5:$AJ$110,0,MATCH(AK$2,Inputs!$K$4:$AJ$4,0)))+SUMPRODUCT((Inputs!$C$5:$C$110=$B63)*Inputs!$D$5:$D$110*(((Inputs!$G$5:$G$110="moeda")+(Inputs!$G$5:$G$110="acoes"))*Inputs!$B$1+((Inputs!$G$5:$G$110&lt;&gt;"moeda")*(Inputs!$G$5:$G$110&lt;&gt;"acoes")))*INDEX(Inputs!$K$5:$AJ$110,0,MATCH(AK$2,Inputs!$K$4:$AJ$4,0)))+SUMPRODUCT((Inputs!$E$5:$E$110=$B63)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63" s="264" t="e">
        <f>SUM(AH63:AK63)</f>
        <v>#N/A</v>
      </c>
    </row>
    <row r="64">
      <c r="B64" s="46" t="n">
        <v>56</v>
      </c>
      <c r="C64" s="29" t="inlineStr">
        <is>
          <t>Gaming - receita (USD)</t>
        </is>
      </c>
      <c r="D64" s="263">
        <f>IF(ISNA(MATCH(D$2,Inputs!$K$4:$AJ$4,0)),NA(),IF(SUMPRODUCT((Inputs!$A$5:$A$110=$B64)*ISNUMBER(INDEX(Inputs!$K$5:$AJ$110,0,MATCH(D$2,Inputs!$K$4:$AJ$4,0))))+SUMPRODUCT((Inputs!$C$5:$C$110=$B64)*ISNUMBER(INDEX(Inputs!$K$5:$AJ$110,0,MATCH(D$2,Inputs!$K$4:$AJ$4,0))))+SUMPRODUCT((Inputs!$E$5:$E$110=$B64)*ISNUMBER(INDEX(Inputs!$K$5:$AJ$110,0,MATCH(D$2,Inputs!$K$4:$AJ$4,0))))=0,NA(),SUMPRODUCT((Inputs!$A$5:$A$110=$B64)*Inputs!$B$5:$B$110*(((Inputs!$G$5:$G$110="moeda")+(Inputs!$G$5:$G$110="acoes"))*Inputs!$B$1+((Inputs!$G$5:$G$110&lt;&gt;"moeda")*(Inputs!$G$5:$G$110&lt;&gt;"acoes")))*INDEX(Inputs!$K$5:$AJ$110,0,MATCH(D$2,Inputs!$K$4:$AJ$4,0)))+SUMPRODUCT((Inputs!$C$5:$C$110=$B64)*Inputs!$D$5:$D$110*(((Inputs!$G$5:$G$110="moeda")+(Inputs!$G$5:$G$110="acoes"))*Inputs!$B$1+((Inputs!$G$5:$G$110&lt;&gt;"moeda")*(Inputs!$G$5:$G$110&lt;&gt;"acoes")))*INDEX(Inputs!$K$5:$AJ$110,0,MATCH(D$2,Inputs!$K$4:$AJ$4,0)))+SUMPRODUCT((Inputs!$E$5:$E$110=$B64)*Inputs!$F$5:$F$110*(((Inputs!$G$5:$G$110="moeda")+(Inputs!$G$5:$G$110="acoes"))*Inputs!$B$1+((Inputs!$G$5:$G$110&lt;&gt;"moeda")*(Inputs!$G$5:$G$110&lt;&gt;"acoes")))*INDEX(Inputs!$K$5:$AJ$110,0,MATCH(D$2,Inputs!$K$4:$AJ$4,0)))))</f>
        <v>3533</v>
      </c>
      <c r="E64" s="263">
        <f>IF(ISNA(MATCH(E$2,Inputs!$K$4:$AJ$4,0)),NA(),IF(SUMPRODUCT((Inputs!$A$5:$A$110=$B64)*ISNUMBER(INDEX(Inputs!$K$5:$AJ$110,0,MATCH(E$2,Inputs!$K$4:$AJ$4,0))))+SUMPRODUCT((Inputs!$C$5:$C$110=$B64)*ISNUMBER(INDEX(Inputs!$K$5:$AJ$110,0,MATCH(E$2,Inputs!$K$4:$AJ$4,0))))+SUMPRODUCT((Inputs!$E$5:$E$110=$B64)*ISNUMBER(INDEX(Inputs!$K$5:$AJ$110,0,MATCH(E$2,Inputs!$K$4:$AJ$4,0))))=0,NA(),SUMPRODUCT((Inputs!$A$5:$A$110=$B64)*Inputs!$B$5:$B$110*(((Inputs!$G$5:$G$110="moeda")+(Inputs!$G$5:$G$110="acoes"))*Inputs!$B$1+((Inputs!$G$5:$G$110&lt;&gt;"moeda")*(Inputs!$G$5:$G$110&lt;&gt;"acoes")))*INDEX(Inputs!$K$5:$AJ$110,0,MATCH(E$2,Inputs!$K$4:$AJ$4,0)))+SUMPRODUCT((Inputs!$C$5:$C$110=$B64)*Inputs!$D$5:$D$110*(((Inputs!$G$5:$G$110="moeda")+(Inputs!$G$5:$G$110="acoes"))*Inputs!$B$1+((Inputs!$G$5:$G$110&lt;&gt;"moeda")*(Inputs!$G$5:$G$110&lt;&gt;"acoes")))*INDEX(Inputs!$K$5:$AJ$110,0,MATCH(E$2,Inputs!$K$4:$AJ$4,0)))+SUMPRODUCT((Inputs!$E$5:$E$110=$B64)*Inputs!$F$5:$F$110*(((Inputs!$G$5:$G$110="moeda")+(Inputs!$G$5:$G$110="acoes"))*Inputs!$B$1+((Inputs!$G$5:$G$110&lt;&gt;"moeda")*(Inputs!$G$5:$G$110&lt;&gt;"acoes")))*INDEX(Inputs!$K$5:$AJ$110,0,MATCH(E$2,Inputs!$K$4:$AJ$4,0)))))</f>
        <v>3714</v>
      </c>
      <c r="F64" s="263">
        <f>IF(ISNA(MATCH(F$2,Inputs!$K$4:$AJ$4,0)),NA(),IF(SUMPRODUCT((Inputs!$A$5:$A$110=$B64)*ISNUMBER(INDEX(Inputs!$K$5:$AJ$110,0,MATCH(F$2,Inputs!$K$4:$AJ$4,0))))+SUMPRODUCT((Inputs!$C$5:$C$110=$B64)*ISNUMBER(INDEX(Inputs!$K$5:$AJ$110,0,MATCH(F$2,Inputs!$K$4:$AJ$4,0))))+SUMPRODUCT((Inputs!$E$5:$E$110=$B64)*ISNUMBER(INDEX(Inputs!$K$5:$AJ$110,0,MATCH(F$2,Inputs!$K$4:$AJ$4,0))))=0,NA(),SUMPRODUCT((Inputs!$A$5:$A$110=$B64)*Inputs!$B$5:$B$110*(((Inputs!$G$5:$G$110="moeda")+(Inputs!$G$5:$G$110="acoes"))*Inputs!$B$1+((Inputs!$G$5:$G$110&lt;&gt;"moeda")*(Inputs!$G$5:$G$110&lt;&gt;"acoes")))*INDEX(Inputs!$K$5:$AJ$110,0,MATCH(F$2,Inputs!$K$4:$AJ$4,0)))+SUMPRODUCT((Inputs!$C$5:$C$110=$B64)*Inputs!$D$5:$D$110*(((Inputs!$G$5:$G$110="moeda")+(Inputs!$G$5:$G$110="acoes"))*Inputs!$B$1+((Inputs!$G$5:$G$110&lt;&gt;"moeda")*(Inputs!$G$5:$G$110&lt;&gt;"acoes")))*INDEX(Inputs!$K$5:$AJ$110,0,MATCH(F$2,Inputs!$K$4:$AJ$4,0)))+SUMPRODUCT((Inputs!$E$5:$E$110=$B64)*Inputs!$F$5:$F$110*(((Inputs!$G$5:$G$110="moeda")+(Inputs!$G$5:$G$110="acoes"))*Inputs!$B$1+((Inputs!$G$5:$G$110&lt;&gt;"moeda")*(Inputs!$G$5:$G$110&lt;&gt;"acoes")))*INDEX(Inputs!$K$5:$AJ$110,0,MATCH(F$2,Inputs!$K$4:$AJ$4,0)))))</f>
        <v>3593</v>
      </c>
      <c r="G64" s="263">
        <f>IF(ISNA(MATCH(G$2,Inputs!$K$4:$AJ$4,0)),NA(),IF(SUMPRODUCT((Inputs!$A$5:$A$110=$B64)*ISNUMBER(INDEX(Inputs!$K$5:$AJ$110,0,MATCH(G$2,Inputs!$K$4:$AJ$4,0))))+SUMPRODUCT((Inputs!$C$5:$C$110=$B64)*ISNUMBER(INDEX(Inputs!$K$5:$AJ$110,0,MATCH(G$2,Inputs!$K$4:$AJ$4,0))))+SUMPRODUCT((Inputs!$E$5:$E$110=$B64)*ISNUMBER(INDEX(Inputs!$K$5:$AJ$110,0,MATCH(G$2,Inputs!$K$4:$AJ$4,0))))=0,NA(),SUMPRODUCT((Inputs!$A$5:$A$110=$B64)*Inputs!$B$5:$B$110*(((Inputs!$G$5:$G$110="moeda")+(Inputs!$G$5:$G$110="acoes"))*Inputs!$B$1+((Inputs!$G$5:$G$110&lt;&gt;"moeda")*(Inputs!$G$5:$G$110&lt;&gt;"acoes")))*INDEX(Inputs!$K$5:$AJ$110,0,MATCH(G$2,Inputs!$K$4:$AJ$4,0)))+SUMPRODUCT((Inputs!$C$5:$C$110=$B64)*Inputs!$D$5:$D$110*(((Inputs!$G$5:$G$110="moeda")+(Inputs!$G$5:$G$110="acoes"))*Inputs!$B$1+((Inputs!$G$5:$G$110&lt;&gt;"moeda")*(Inputs!$G$5:$G$110&lt;&gt;"acoes")))*INDEX(Inputs!$K$5:$AJ$110,0,MATCH(G$2,Inputs!$K$4:$AJ$4,0)))+SUMPRODUCT((Inputs!$E$5:$E$110=$B64)*Inputs!$F$5:$F$110*(((Inputs!$G$5:$G$110="moeda")+(Inputs!$G$5:$G$110="acoes"))*Inputs!$B$1+((Inputs!$G$5:$G$110&lt;&gt;"moeda")*(Inputs!$G$5:$G$110&lt;&gt;"acoes")))*INDEX(Inputs!$K$5:$AJ$110,0,MATCH(G$2,Inputs!$K$4:$AJ$4,0)))))</f>
        <v>5442</v>
      </c>
      <c r="H64" s="264">
        <f>SUM(D64:G64)</f>
        <v>16282</v>
      </c>
      <c r="I64" s="263">
        <f>IF(ISNA(MATCH(I$2,Inputs!$K$4:$AJ$4,0)),NA(),IF(SUMPRODUCT((Inputs!$A$5:$A$110=$B64)*ISNUMBER(INDEX(Inputs!$K$5:$AJ$110,0,MATCH(I$2,Inputs!$K$4:$AJ$4,0))))+SUMPRODUCT((Inputs!$C$5:$C$110=$B64)*ISNUMBER(INDEX(Inputs!$K$5:$AJ$110,0,MATCH(I$2,Inputs!$K$4:$AJ$4,0))))+SUMPRODUCT((Inputs!$E$5:$E$110=$B64)*ISNUMBER(INDEX(Inputs!$K$5:$AJ$110,0,MATCH(I$2,Inputs!$K$4:$AJ$4,0))))=0,NA(),SUMPRODUCT((Inputs!$A$5:$A$110=$B64)*Inputs!$B$5:$B$110*(((Inputs!$G$5:$G$110="moeda")+(Inputs!$G$5:$G$110="acoes"))*Inputs!$B$1+((Inputs!$G$5:$G$110&lt;&gt;"moeda")*(Inputs!$G$5:$G$110&lt;&gt;"acoes")))*INDEX(Inputs!$K$5:$AJ$110,0,MATCH(I$2,Inputs!$K$4:$AJ$4,0)))+SUMPRODUCT((Inputs!$C$5:$C$110=$B64)*Inputs!$D$5:$D$110*(((Inputs!$G$5:$G$110="moeda")+(Inputs!$G$5:$G$110="acoes"))*Inputs!$B$1+((Inputs!$G$5:$G$110&lt;&gt;"moeda")*(Inputs!$G$5:$G$110&lt;&gt;"acoes")))*INDEX(Inputs!$K$5:$AJ$110,0,MATCH(I$2,Inputs!$K$4:$AJ$4,0)))+SUMPRODUCT((Inputs!$E$5:$E$110=$B64)*Inputs!$F$5:$F$110*(((Inputs!$G$5:$G$110="moeda")+(Inputs!$G$5:$G$110="acoes"))*Inputs!$B$1+((Inputs!$G$5:$G$110&lt;&gt;"moeda")*(Inputs!$G$5:$G$110&lt;&gt;"acoes")))*INDEX(Inputs!$K$5:$AJ$110,0,MATCH(I$2,Inputs!$K$4:$AJ$4,0)))))</f>
        <v>3740</v>
      </c>
      <c r="J64" s="263">
        <f>IF(ISNA(MATCH(J$2,Inputs!$K$4:$AJ$4,0)),NA(),IF(SUMPRODUCT((Inputs!$A$5:$A$110=$B64)*ISNUMBER(INDEX(Inputs!$K$5:$AJ$110,0,MATCH(J$2,Inputs!$K$4:$AJ$4,0))))+SUMPRODUCT((Inputs!$C$5:$C$110=$B64)*ISNUMBER(INDEX(Inputs!$K$5:$AJ$110,0,MATCH(J$2,Inputs!$K$4:$AJ$4,0))))+SUMPRODUCT((Inputs!$E$5:$E$110=$B64)*ISNUMBER(INDEX(Inputs!$K$5:$AJ$110,0,MATCH(J$2,Inputs!$K$4:$AJ$4,0))))=0,NA(),SUMPRODUCT((Inputs!$A$5:$A$110=$B64)*Inputs!$B$5:$B$110*(((Inputs!$G$5:$G$110="moeda")+(Inputs!$G$5:$G$110="acoes"))*Inputs!$B$1+((Inputs!$G$5:$G$110&lt;&gt;"moeda")*(Inputs!$G$5:$G$110&lt;&gt;"acoes")))*INDEX(Inputs!$K$5:$AJ$110,0,MATCH(J$2,Inputs!$K$4:$AJ$4,0)))+SUMPRODUCT((Inputs!$C$5:$C$110=$B64)*Inputs!$D$5:$D$110*(((Inputs!$G$5:$G$110="moeda")+(Inputs!$G$5:$G$110="acoes"))*Inputs!$B$1+((Inputs!$G$5:$G$110&lt;&gt;"moeda")*(Inputs!$G$5:$G$110&lt;&gt;"acoes")))*INDEX(Inputs!$K$5:$AJ$110,0,MATCH(J$2,Inputs!$K$4:$AJ$4,0)))+SUMPRODUCT((Inputs!$E$5:$E$110=$B64)*Inputs!$F$5:$F$110*(((Inputs!$G$5:$G$110="moeda")+(Inputs!$G$5:$G$110="acoes"))*Inputs!$B$1+((Inputs!$G$5:$G$110&lt;&gt;"moeda")*(Inputs!$G$5:$G$110&lt;&gt;"acoes")))*INDEX(Inputs!$K$5:$AJ$110,0,MATCH(J$2,Inputs!$K$4:$AJ$4,0)))))</f>
        <v>3455</v>
      </c>
      <c r="K64" s="263">
        <f>IF(ISNA(MATCH(K$2,Inputs!$K$4:$AJ$4,0)),NA(),IF(SUMPRODUCT((Inputs!$A$5:$A$110=$B64)*ISNUMBER(INDEX(Inputs!$K$5:$AJ$110,0,MATCH(K$2,Inputs!$K$4:$AJ$4,0))))+SUMPRODUCT((Inputs!$C$5:$C$110=$B64)*ISNUMBER(INDEX(Inputs!$K$5:$AJ$110,0,MATCH(K$2,Inputs!$K$4:$AJ$4,0))))+SUMPRODUCT((Inputs!$E$5:$E$110=$B64)*ISNUMBER(INDEX(Inputs!$K$5:$AJ$110,0,MATCH(K$2,Inputs!$K$4:$AJ$4,0))))=0,NA(),SUMPRODUCT((Inputs!$A$5:$A$110=$B64)*Inputs!$B$5:$B$110*(((Inputs!$G$5:$G$110="moeda")+(Inputs!$G$5:$G$110="acoes"))*Inputs!$B$1+((Inputs!$G$5:$G$110&lt;&gt;"moeda")*(Inputs!$G$5:$G$110&lt;&gt;"acoes")))*INDEX(Inputs!$K$5:$AJ$110,0,MATCH(K$2,Inputs!$K$4:$AJ$4,0)))+SUMPRODUCT((Inputs!$C$5:$C$110=$B64)*Inputs!$D$5:$D$110*(((Inputs!$G$5:$G$110="moeda")+(Inputs!$G$5:$G$110="acoes"))*Inputs!$B$1+((Inputs!$G$5:$G$110&lt;&gt;"moeda")*(Inputs!$G$5:$G$110&lt;&gt;"acoes")))*INDEX(Inputs!$K$5:$AJ$110,0,MATCH(K$2,Inputs!$K$4:$AJ$4,0)))+SUMPRODUCT((Inputs!$E$5:$E$110=$B64)*Inputs!$F$5:$F$110*(((Inputs!$G$5:$G$110="moeda")+(Inputs!$G$5:$G$110="acoes"))*Inputs!$B$1+((Inputs!$G$5:$G$110&lt;&gt;"moeda")*(Inputs!$G$5:$G$110&lt;&gt;"acoes")))*INDEX(Inputs!$K$5:$AJ$110,0,MATCH(K$2,Inputs!$K$4:$AJ$4,0)))))</f>
        <v>3610</v>
      </c>
      <c r="L64" s="263">
        <f>IF(ISNA(MATCH(L$2,Inputs!$K$4:$AJ$4,0)),NA(),IF(SUMPRODUCT((Inputs!$A$5:$A$110=$B64)*ISNUMBER(INDEX(Inputs!$K$5:$AJ$110,0,MATCH(L$2,Inputs!$K$4:$AJ$4,0))))+SUMPRODUCT((Inputs!$C$5:$C$110=$B64)*ISNUMBER(INDEX(Inputs!$K$5:$AJ$110,0,MATCH(L$2,Inputs!$K$4:$AJ$4,0))))+SUMPRODUCT((Inputs!$E$5:$E$110=$B64)*ISNUMBER(INDEX(Inputs!$K$5:$AJ$110,0,MATCH(L$2,Inputs!$K$4:$AJ$4,0))))=0,NA(),SUMPRODUCT((Inputs!$A$5:$A$110=$B64)*Inputs!$B$5:$B$110*(((Inputs!$G$5:$G$110="moeda")+(Inputs!$G$5:$G$110="acoes"))*Inputs!$B$1+((Inputs!$G$5:$G$110&lt;&gt;"moeda")*(Inputs!$G$5:$G$110&lt;&gt;"acoes")))*INDEX(Inputs!$K$5:$AJ$110,0,MATCH(L$2,Inputs!$K$4:$AJ$4,0)))+SUMPRODUCT((Inputs!$C$5:$C$110=$B64)*Inputs!$D$5:$D$110*(((Inputs!$G$5:$G$110="moeda")+(Inputs!$G$5:$G$110="acoes"))*Inputs!$B$1+((Inputs!$G$5:$G$110&lt;&gt;"moeda")*(Inputs!$G$5:$G$110&lt;&gt;"acoes")))*INDEX(Inputs!$K$5:$AJ$110,0,MATCH(L$2,Inputs!$K$4:$AJ$4,0)))+SUMPRODUCT((Inputs!$E$5:$E$110=$B64)*Inputs!$F$5:$F$110*(((Inputs!$G$5:$G$110="moeda")+(Inputs!$G$5:$G$110="acoes"))*Inputs!$B$1+((Inputs!$G$5:$G$110&lt;&gt;"moeda")*(Inputs!$G$5:$G$110&lt;&gt;"acoes")))*INDEX(Inputs!$K$5:$AJ$110,0,MATCH(L$2,Inputs!$K$4:$AJ$4,0)))))</f>
        <v>4758</v>
      </c>
      <c r="M64" s="264">
        <f>SUM(I64:L64)</f>
        <v>15563</v>
      </c>
      <c r="N64" s="263">
        <f>IF(ISNA(MATCH(N$2,Inputs!$K$4:$AJ$4,0)),NA(),IF(SUMPRODUCT((Inputs!$A$5:$A$110=$B64)*ISNUMBER(INDEX(Inputs!$K$5:$AJ$110,0,MATCH(N$2,Inputs!$K$4:$AJ$4,0))))+SUMPRODUCT((Inputs!$C$5:$C$110=$B64)*ISNUMBER(INDEX(Inputs!$K$5:$AJ$110,0,MATCH(N$2,Inputs!$K$4:$AJ$4,0))))+SUMPRODUCT((Inputs!$E$5:$E$110=$B64)*ISNUMBER(INDEX(Inputs!$K$5:$AJ$110,0,MATCH(N$2,Inputs!$K$4:$AJ$4,0))))=0,NA(),SUMPRODUCT((Inputs!$A$5:$A$110=$B64)*Inputs!$B$5:$B$110*(((Inputs!$G$5:$G$110="moeda")+(Inputs!$G$5:$G$110="acoes"))*Inputs!$B$1+((Inputs!$G$5:$G$110&lt;&gt;"moeda")*(Inputs!$G$5:$G$110&lt;&gt;"acoes")))*INDEX(Inputs!$K$5:$AJ$110,0,MATCH(N$2,Inputs!$K$4:$AJ$4,0)))+SUMPRODUCT((Inputs!$C$5:$C$110=$B64)*Inputs!$D$5:$D$110*(((Inputs!$G$5:$G$110="moeda")+(Inputs!$G$5:$G$110="acoes"))*Inputs!$B$1+((Inputs!$G$5:$G$110&lt;&gt;"moeda")*(Inputs!$G$5:$G$110&lt;&gt;"acoes")))*INDEX(Inputs!$K$5:$AJ$110,0,MATCH(N$2,Inputs!$K$4:$AJ$4,0)))+SUMPRODUCT((Inputs!$E$5:$E$110=$B64)*Inputs!$F$5:$F$110*(((Inputs!$G$5:$G$110="moeda")+(Inputs!$G$5:$G$110="acoes"))*Inputs!$B$1+((Inputs!$G$5:$G$110&lt;&gt;"moeda")*(Inputs!$G$5:$G$110&lt;&gt;"acoes")))*INDEX(Inputs!$K$5:$AJ$110,0,MATCH(N$2,Inputs!$K$4:$AJ$4,0)))))</f>
        <v>3607</v>
      </c>
      <c r="O64" s="263">
        <f>IF(ISNA(MATCH(O$2,Inputs!$K$4:$AJ$4,0)),NA(),IF(SUMPRODUCT((Inputs!$A$5:$A$110=$B64)*ISNUMBER(INDEX(Inputs!$K$5:$AJ$110,0,MATCH(O$2,Inputs!$K$4:$AJ$4,0))))+SUMPRODUCT((Inputs!$C$5:$C$110=$B64)*ISNUMBER(INDEX(Inputs!$K$5:$AJ$110,0,MATCH(O$2,Inputs!$K$4:$AJ$4,0))))+SUMPRODUCT((Inputs!$E$5:$E$110=$B64)*ISNUMBER(INDEX(Inputs!$K$5:$AJ$110,0,MATCH(O$2,Inputs!$K$4:$AJ$4,0))))=0,NA(),SUMPRODUCT((Inputs!$A$5:$A$110=$B64)*Inputs!$B$5:$B$110*(((Inputs!$G$5:$G$110="moeda")+(Inputs!$G$5:$G$110="acoes"))*Inputs!$B$1+((Inputs!$G$5:$G$110&lt;&gt;"moeda")*(Inputs!$G$5:$G$110&lt;&gt;"acoes")))*INDEX(Inputs!$K$5:$AJ$110,0,MATCH(O$2,Inputs!$K$4:$AJ$4,0)))+SUMPRODUCT((Inputs!$C$5:$C$110=$B64)*Inputs!$D$5:$D$110*(((Inputs!$G$5:$G$110="moeda")+(Inputs!$G$5:$G$110="acoes"))*Inputs!$B$1+((Inputs!$G$5:$G$110&lt;&gt;"moeda")*(Inputs!$G$5:$G$110&lt;&gt;"acoes")))*INDEX(Inputs!$K$5:$AJ$110,0,MATCH(O$2,Inputs!$K$4:$AJ$4,0)))+SUMPRODUCT((Inputs!$E$5:$E$110=$B64)*Inputs!$F$5:$F$110*(((Inputs!$G$5:$G$110="moeda")+(Inputs!$G$5:$G$110="acoes"))*Inputs!$B$1+((Inputs!$G$5:$G$110&lt;&gt;"moeda")*(Inputs!$G$5:$G$110&lt;&gt;"acoes")))*INDEX(Inputs!$K$5:$AJ$110,0,MATCH(O$2,Inputs!$K$4:$AJ$4,0)))))</f>
        <v>3491</v>
      </c>
      <c r="P64" s="263">
        <f>IF(ISNA(MATCH(P$2,Inputs!$K$4:$AJ$4,0)),NA(),IF(SUMPRODUCT((Inputs!$A$5:$A$110=$B64)*ISNUMBER(INDEX(Inputs!$K$5:$AJ$110,0,MATCH(P$2,Inputs!$K$4:$AJ$4,0))))+SUMPRODUCT((Inputs!$C$5:$C$110=$B64)*ISNUMBER(INDEX(Inputs!$K$5:$AJ$110,0,MATCH(P$2,Inputs!$K$4:$AJ$4,0))))+SUMPRODUCT((Inputs!$E$5:$E$110=$B64)*ISNUMBER(INDEX(Inputs!$K$5:$AJ$110,0,MATCH(P$2,Inputs!$K$4:$AJ$4,0))))=0,NA(),SUMPRODUCT((Inputs!$A$5:$A$110=$B64)*Inputs!$B$5:$B$110*(((Inputs!$G$5:$G$110="moeda")+(Inputs!$G$5:$G$110="acoes"))*Inputs!$B$1+((Inputs!$G$5:$G$110&lt;&gt;"moeda")*(Inputs!$G$5:$G$110&lt;&gt;"acoes")))*INDEX(Inputs!$K$5:$AJ$110,0,MATCH(P$2,Inputs!$K$4:$AJ$4,0)))+SUMPRODUCT((Inputs!$C$5:$C$110=$B64)*Inputs!$D$5:$D$110*(((Inputs!$G$5:$G$110="moeda")+(Inputs!$G$5:$G$110="acoes"))*Inputs!$B$1+((Inputs!$G$5:$G$110&lt;&gt;"moeda")*(Inputs!$G$5:$G$110&lt;&gt;"acoes")))*INDEX(Inputs!$K$5:$AJ$110,0,MATCH(P$2,Inputs!$K$4:$AJ$4,0)))+SUMPRODUCT((Inputs!$E$5:$E$110=$B64)*Inputs!$F$5:$F$110*(((Inputs!$G$5:$G$110="moeda")+(Inputs!$G$5:$G$110="acoes"))*Inputs!$B$1+((Inputs!$G$5:$G$110&lt;&gt;"moeda")*(Inputs!$G$5:$G$110&lt;&gt;"acoes")))*INDEX(Inputs!$K$5:$AJ$110,0,MATCH(P$2,Inputs!$K$4:$AJ$4,0)))))</f>
        <v>3919</v>
      </c>
      <c r="Q64" s="263">
        <f>IF(ISNA(MATCH(Q$2,Inputs!$K$4:$AJ$4,0)),NA(),IF(SUMPRODUCT((Inputs!$A$5:$A$110=$B64)*ISNUMBER(INDEX(Inputs!$K$5:$AJ$110,0,MATCH(Q$2,Inputs!$K$4:$AJ$4,0))))+SUMPRODUCT((Inputs!$C$5:$C$110=$B64)*ISNUMBER(INDEX(Inputs!$K$5:$AJ$110,0,MATCH(Q$2,Inputs!$K$4:$AJ$4,0))))+SUMPRODUCT((Inputs!$E$5:$E$110=$B64)*ISNUMBER(INDEX(Inputs!$K$5:$AJ$110,0,MATCH(Q$2,Inputs!$K$4:$AJ$4,0))))=0,NA(),SUMPRODUCT((Inputs!$A$5:$A$110=$B64)*Inputs!$B$5:$B$110*(((Inputs!$G$5:$G$110="moeda")+(Inputs!$G$5:$G$110="acoes"))*Inputs!$B$1+((Inputs!$G$5:$G$110&lt;&gt;"moeda")*(Inputs!$G$5:$G$110&lt;&gt;"acoes")))*INDEX(Inputs!$K$5:$AJ$110,0,MATCH(Q$2,Inputs!$K$4:$AJ$4,0)))+SUMPRODUCT((Inputs!$C$5:$C$110=$B64)*Inputs!$D$5:$D$110*(((Inputs!$G$5:$G$110="moeda")+(Inputs!$G$5:$G$110="acoes"))*Inputs!$B$1+((Inputs!$G$5:$G$110&lt;&gt;"moeda")*(Inputs!$G$5:$G$110&lt;&gt;"acoes")))*INDEX(Inputs!$K$5:$AJ$110,0,MATCH(Q$2,Inputs!$K$4:$AJ$4,0)))+SUMPRODUCT((Inputs!$E$5:$E$110=$B64)*Inputs!$F$5:$F$110*(((Inputs!$G$5:$G$110="moeda")+(Inputs!$G$5:$G$110="acoes"))*Inputs!$B$1+((Inputs!$G$5:$G$110&lt;&gt;"moeda")*(Inputs!$G$5:$G$110&lt;&gt;"acoes")))*INDEX(Inputs!$K$5:$AJ$110,0,MATCH(Q$2,Inputs!$K$4:$AJ$4,0)))))</f>
        <v>7111</v>
      </c>
      <c r="R64" s="264">
        <f>SUM(N64:Q64)</f>
        <v>18128</v>
      </c>
      <c r="S64" s="263">
        <f>IF(ISNA(MATCH(S$2,Inputs!$K$4:$AJ$4,0)),NA(),IF(SUMPRODUCT((Inputs!$A$5:$A$110=$B64)*ISNUMBER(INDEX(Inputs!$K$5:$AJ$110,0,MATCH(S$2,Inputs!$K$4:$AJ$4,0))))+SUMPRODUCT((Inputs!$C$5:$C$110=$B64)*ISNUMBER(INDEX(Inputs!$K$5:$AJ$110,0,MATCH(S$2,Inputs!$K$4:$AJ$4,0))))+SUMPRODUCT((Inputs!$E$5:$E$110=$B64)*ISNUMBER(INDEX(Inputs!$K$5:$AJ$110,0,MATCH(S$2,Inputs!$K$4:$AJ$4,0))))=0,NA(),SUMPRODUCT((Inputs!$A$5:$A$110=$B64)*Inputs!$B$5:$B$110*(((Inputs!$G$5:$G$110="moeda")+(Inputs!$G$5:$G$110="acoes"))*Inputs!$B$1+((Inputs!$G$5:$G$110&lt;&gt;"moeda")*(Inputs!$G$5:$G$110&lt;&gt;"acoes")))*INDEX(Inputs!$K$5:$AJ$110,0,MATCH(S$2,Inputs!$K$4:$AJ$4,0)))+SUMPRODUCT((Inputs!$C$5:$C$110=$B64)*Inputs!$D$5:$D$110*(((Inputs!$G$5:$G$110="moeda")+(Inputs!$G$5:$G$110="acoes"))*Inputs!$B$1+((Inputs!$G$5:$G$110&lt;&gt;"moeda")*(Inputs!$G$5:$G$110&lt;&gt;"acoes")))*INDEX(Inputs!$K$5:$AJ$110,0,MATCH(S$2,Inputs!$K$4:$AJ$4,0)))+SUMPRODUCT((Inputs!$E$5:$E$110=$B64)*Inputs!$F$5:$F$110*(((Inputs!$G$5:$G$110="moeda")+(Inputs!$G$5:$G$110="acoes"))*Inputs!$B$1+((Inputs!$G$5:$G$110&lt;&gt;"moeda")*(Inputs!$G$5:$G$110&lt;&gt;"acoes")))*INDEX(Inputs!$K$5:$AJ$110,0,MATCH(S$2,Inputs!$K$4:$AJ$4,0)))))</f>
        <v>5451</v>
      </c>
      <c r="T64" s="263">
        <f>IF(ISNA(MATCH(T$2,Inputs!$K$4:$AJ$4,0)),NA(),IF(SUMPRODUCT((Inputs!$A$5:$A$110=$B64)*ISNUMBER(INDEX(Inputs!$K$5:$AJ$110,0,MATCH(T$2,Inputs!$K$4:$AJ$4,0))))+SUMPRODUCT((Inputs!$C$5:$C$110=$B64)*ISNUMBER(INDEX(Inputs!$K$5:$AJ$110,0,MATCH(T$2,Inputs!$K$4:$AJ$4,0))))+SUMPRODUCT((Inputs!$E$5:$E$110=$B64)*ISNUMBER(INDEX(Inputs!$K$5:$AJ$110,0,MATCH(T$2,Inputs!$K$4:$AJ$4,0))))=0,NA(),SUMPRODUCT((Inputs!$A$5:$A$110=$B64)*Inputs!$B$5:$B$110*(((Inputs!$G$5:$G$110="moeda")+(Inputs!$G$5:$G$110="acoes"))*Inputs!$B$1+((Inputs!$G$5:$G$110&lt;&gt;"moeda")*(Inputs!$G$5:$G$110&lt;&gt;"acoes")))*INDEX(Inputs!$K$5:$AJ$110,0,MATCH(T$2,Inputs!$K$4:$AJ$4,0)))+SUMPRODUCT((Inputs!$C$5:$C$110=$B64)*Inputs!$D$5:$D$110*(((Inputs!$G$5:$G$110="moeda")+(Inputs!$G$5:$G$110="acoes"))*Inputs!$B$1+((Inputs!$G$5:$G$110&lt;&gt;"moeda")*(Inputs!$G$5:$G$110&lt;&gt;"acoes")))*INDEX(Inputs!$K$5:$AJ$110,0,MATCH(T$2,Inputs!$K$4:$AJ$4,0)))+SUMPRODUCT((Inputs!$E$5:$E$110=$B64)*Inputs!$F$5:$F$110*(((Inputs!$G$5:$G$110="moeda")+(Inputs!$G$5:$G$110="acoes"))*Inputs!$B$1+((Inputs!$G$5:$G$110&lt;&gt;"moeda")*(Inputs!$G$5:$G$110&lt;&gt;"acoes")))*INDEX(Inputs!$K$5:$AJ$110,0,MATCH(T$2,Inputs!$K$4:$AJ$4,0)))))</f>
        <v>5022</v>
      </c>
      <c r="U64" s="263">
        <f>IF(ISNA(MATCH(U$2,Inputs!$K$4:$AJ$4,0)),NA(),IF(SUMPRODUCT((Inputs!$A$5:$A$110=$B64)*ISNUMBER(INDEX(Inputs!$K$5:$AJ$110,0,MATCH(U$2,Inputs!$K$4:$AJ$4,0))))+SUMPRODUCT((Inputs!$C$5:$C$110=$B64)*ISNUMBER(INDEX(Inputs!$K$5:$AJ$110,0,MATCH(U$2,Inputs!$K$4:$AJ$4,0))))+SUMPRODUCT((Inputs!$E$5:$E$110=$B64)*ISNUMBER(INDEX(Inputs!$K$5:$AJ$110,0,MATCH(U$2,Inputs!$K$4:$AJ$4,0))))=0,NA(),SUMPRODUCT((Inputs!$A$5:$A$110=$B64)*Inputs!$B$5:$B$110*(((Inputs!$G$5:$G$110="moeda")+(Inputs!$G$5:$G$110="acoes"))*Inputs!$B$1+((Inputs!$G$5:$G$110&lt;&gt;"moeda")*(Inputs!$G$5:$G$110&lt;&gt;"acoes")))*INDEX(Inputs!$K$5:$AJ$110,0,MATCH(U$2,Inputs!$K$4:$AJ$4,0)))+SUMPRODUCT((Inputs!$C$5:$C$110=$B64)*Inputs!$D$5:$D$110*(((Inputs!$G$5:$G$110="moeda")+(Inputs!$G$5:$G$110="acoes"))*Inputs!$B$1+((Inputs!$G$5:$G$110&lt;&gt;"moeda")*(Inputs!$G$5:$G$110&lt;&gt;"acoes")))*INDEX(Inputs!$K$5:$AJ$110,0,MATCH(U$2,Inputs!$K$4:$AJ$4,0)))+SUMPRODUCT((Inputs!$E$5:$E$110=$B64)*Inputs!$F$5:$F$110*(((Inputs!$G$5:$G$110="moeda")+(Inputs!$G$5:$G$110="acoes"))*Inputs!$B$1+((Inputs!$G$5:$G$110&lt;&gt;"moeda")*(Inputs!$G$5:$G$110&lt;&gt;"acoes")))*INDEX(Inputs!$K$5:$AJ$110,0,MATCH(U$2,Inputs!$K$4:$AJ$4,0)))))</f>
        <v>5621</v>
      </c>
      <c r="V64" s="263">
        <f>IF(ISNA(MATCH(V$2,Inputs!$K$4:$AJ$4,0)),NA(),IF(SUMPRODUCT((Inputs!$A$5:$A$110=$B64)*ISNUMBER(INDEX(Inputs!$K$5:$AJ$110,0,MATCH(V$2,Inputs!$K$4:$AJ$4,0))))+SUMPRODUCT((Inputs!$C$5:$C$110=$B64)*ISNUMBER(INDEX(Inputs!$K$5:$AJ$110,0,MATCH(V$2,Inputs!$K$4:$AJ$4,0))))+SUMPRODUCT((Inputs!$E$5:$E$110=$B64)*ISNUMBER(INDEX(Inputs!$K$5:$AJ$110,0,MATCH(V$2,Inputs!$K$4:$AJ$4,0))))=0,NA(),SUMPRODUCT((Inputs!$A$5:$A$110=$B64)*Inputs!$B$5:$B$110*(((Inputs!$G$5:$G$110="moeda")+(Inputs!$G$5:$G$110="acoes"))*Inputs!$B$1+((Inputs!$G$5:$G$110&lt;&gt;"moeda")*(Inputs!$G$5:$G$110&lt;&gt;"acoes")))*INDEX(Inputs!$K$5:$AJ$110,0,MATCH(V$2,Inputs!$K$4:$AJ$4,0)))+SUMPRODUCT((Inputs!$C$5:$C$110=$B64)*Inputs!$D$5:$D$110*(((Inputs!$G$5:$G$110="moeda")+(Inputs!$G$5:$G$110="acoes"))*Inputs!$B$1+((Inputs!$G$5:$G$110&lt;&gt;"moeda")*(Inputs!$G$5:$G$110&lt;&gt;"acoes")))*INDEX(Inputs!$K$5:$AJ$110,0,MATCH(V$2,Inputs!$K$4:$AJ$4,0)))+SUMPRODUCT((Inputs!$E$5:$E$110=$B64)*Inputs!$F$5:$F$110*(((Inputs!$G$5:$G$110="moeda")+(Inputs!$G$5:$G$110="acoes"))*Inputs!$B$1+((Inputs!$G$5:$G$110&lt;&gt;"moeda")*(Inputs!$G$5:$G$110&lt;&gt;"acoes")))*INDEX(Inputs!$K$5:$AJ$110,0,MATCH(V$2,Inputs!$K$4:$AJ$4,0)))))</f>
        <v>6581</v>
      </c>
      <c r="W64" s="264">
        <f>SUM(S64:V64)</f>
        <v>22675</v>
      </c>
      <c r="X64" s="263">
        <f>IF(ISNA(MATCH(X$2,Inputs!$K$4:$AJ$4,0)),NA(),IF(SUMPRODUCT((Inputs!$A$5:$A$110=$B64)*ISNUMBER(INDEX(Inputs!$K$5:$AJ$110,0,MATCH(X$2,Inputs!$K$4:$AJ$4,0))))+SUMPRODUCT((Inputs!$C$5:$C$110=$B64)*ISNUMBER(INDEX(Inputs!$K$5:$AJ$110,0,MATCH(X$2,Inputs!$K$4:$AJ$4,0))))+SUMPRODUCT((Inputs!$E$5:$E$110=$B64)*ISNUMBER(INDEX(Inputs!$K$5:$AJ$110,0,MATCH(X$2,Inputs!$K$4:$AJ$4,0))))=0,NA(),SUMPRODUCT((Inputs!$A$5:$A$110=$B64)*Inputs!$B$5:$B$110*(((Inputs!$G$5:$G$110="moeda")+(Inputs!$G$5:$G$110="acoes"))*Inputs!$B$1+((Inputs!$G$5:$G$110&lt;&gt;"moeda")*(Inputs!$G$5:$G$110&lt;&gt;"acoes")))*INDEX(Inputs!$K$5:$AJ$110,0,MATCH(X$2,Inputs!$K$4:$AJ$4,0)))+SUMPRODUCT((Inputs!$C$5:$C$110=$B64)*Inputs!$D$5:$D$110*(((Inputs!$G$5:$G$110="moeda")+(Inputs!$G$5:$G$110="acoes"))*Inputs!$B$1+((Inputs!$G$5:$G$110&lt;&gt;"moeda")*(Inputs!$G$5:$G$110&lt;&gt;"acoes")))*INDEX(Inputs!$K$5:$AJ$110,0,MATCH(X$2,Inputs!$K$4:$AJ$4,0)))+SUMPRODUCT((Inputs!$E$5:$E$110=$B64)*Inputs!$F$5:$F$110*(((Inputs!$G$5:$G$110="moeda")+(Inputs!$G$5:$G$110="acoes"))*Inputs!$B$1+((Inputs!$G$5:$G$110&lt;&gt;"moeda")*(Inputs!$G$5:$G$110&lt;&gt;"acoes")))*INDEX(Inputs!$K$5:$AJ$110,0,MATCH(X$2,Inputs!$K$4:$AJ$4,0)))))</f>
        <v>5721</v>
      </c>
      <c r="Y64" s="263">
        <f>IF(ISNA(MATCH(Y$2,Inputs!$K$4:$AJ$4,0)),NA(),IF(SUMPRODUCT((Inputs!$A$5:$A$110=$B64)*ISNUMBER(INDEX(Inputs!$K$5:$AJ$110,0,MATCH(Y$2,Inputs!$K$4:$AJ$4,0))))+SUMPRODUCT((Inputs!$C$5:$C$110=$B64)*ISNUMBER(INDEX(Inputs!$K$5:$AJ$110,0,MATCH(Y$2,Inputs!$K$4:$AJ$4,0))))+SUMPRODUCT((Inputs!$E$5:$E$110=$B64)*ISNUMBER(INDEX(Inputs!$K$5:$AJ$110,0,MATCH(Y$2,Inputs!$K$4:$AJ$4,0))))=0,NA(),SUMPRODUCT((Inputs!$A$5:$A$110=$B64)*Inputs!$B$5:$B$110*(((Inputs!$G$5:$G$110="moeda")+(Inputs!$G$5:$G$110="acoes"))*Inputs!$B$1+((Inputs!$G$5:$G$110&lt;&gt;"moeda")*(Inputs!$G$5:$G$110&lt;&gt;"acoes")))*INDEX(Inputs!$K$5:$AJ$110,0,MATCH(Y$2,Inputs!$K$4:$AJ$4,0)))+SUMPRODUCT((Inputs!$C$5:$C$110=$B64)*Inputs!$D$5:$D$110*(((Inputs!$G$5:$G$110="moeda")+(Inputs!$G$5:$G$110="acoes"))*Inputs!$B$1+((Inputs!$G$5:$G$110&lt;&gt;"moeda")*(Inputs!$G$5:$G$110&lt;&gt;"acoes")))*INDEX(Inputs!$K$5:$AJ$110,0,MATCH(Y$2,Inputs!$K$4:$AJ$4,0)))+SUMPRODUCT((Inputs!$E$5:$E$110=$B64)*Inputs!$F$5:$F$110*(((Inputs!$G$5:$G$110="moeda")+(Inputs!$G$5:$G$110="acoes"))*Inputs!$B$1+((Inputs!$G$5:$G$110&lt;&gt;"moeda")*(Inputs!$G$5:$G$110&lt;&gt;"acoes")))*INDEX(Inputs!$K$5:$AJ$110,0,MATCH(Y$2,Inputs!$K$4:$AJ$4,0)))))</f>
        <v>5532</v>
      </c>
      <c r="Z64" s="263">
        <f>IF(ISNA(MATCH(Z$2,Inputs!$K$4:$AJ$4,0)),NA(),IF(SUMPRODUCT((Inputs!$A$5:$A$110=$B64)*ISNUMBER(INDEX(Inputs!$K$5:$AJ$110,0,MATCH(Z$2,Inputs!$K$4:$AJ$4,0))))+SUMPRODUCT((Inputs!$C$5:$C$110=$B64)*ISNUMBER(INDEX(Inputs!$K$5:$AJ$110,0,MATCH(Z$2,Inputs!$K$4:$AJ$4,0))))+SUMPRODUCT((Inputs!$E$5:$E$110=$B64)*ISNUMBER(INDEX(Inputs!$K$5:$AJ$110,0,MATCH(Z$2,Inputs!$K$4:$AJ$4,0))))=0,NA(),SUMPRODUCT((Inputs!$A$5:$A$110=$B64)*Inputs!$B$5:$B$110*(((Inputs!$G$5:$G$110="moeda")+(Inputs!$G$5:$G$110="acoes"))*Inputs!$B$1+((Inputs!$G$5:$G$110&lt;&gt;"moeda")*(Inputs!$G$5:$G$110&lt;&gt;"acoes")))*INDEX(Inputs!$K$5:$AJ$110,0,MATCH(Z$2,Inputs!$K$4:$AJ$4,0)))+SUMPRODUCT((Inputs!$C$5:$C$110=$B64)*Inputs!$D$5:$D$110*(((Inputs!$G$5:$G$110="moeda")+(Inputs!$G$5:$G$110="acoes"))*Inputs!$B$1+((Inputs!$G$5:$G$110&lt;&gt;"moeda")*(Inputs!$G$5:$G$110&lt;&gt;"acoes")))*INDEX(Inputs!$K$5:$AJ$110,0,MATCH(Z$2,Inputs!$K$4:$AJ$4,0)))+SUMPRODUCT((Inputs!$E$5:$E$110=$B64)*Inputs!$F$5:$F$110*(((Inputs!$G$5:$G$110="moeda")+(Inputs!$G$5:$G$110="acoes"))*Inputs!$B$1+((Inputs!$G$5:$G$110&lt;&gt;"moeda")*(Inputs!$G$5:$G$110&lt;&gt;"acoes")))*INDEX(Inputs!$K$5:$AJ$110,0,MATCH(Z$2,Inputs!$K$4:$AJ$4,0)))))</f>
        <v>5508</v>
      </c>
      <c r="AA64" s="263">
        <f>IF(ISNA(MATCH(AA$2,Inputs!$K$4:$AJ$4,0)),NA(),IF(SUMPRODUCT((Inputs!$A$5:$A$110=$B64)*ISNUMBER(INDEX(Inputs!$K$5:$AJ$110,0,MATCH(AA$2,Inputs!$K$4:$AJ$4,0))))+SUMPRODUCT((Inputs!$C$5:$C$110=$B64)*ISNUMBER(INDEX(Inputs!$K$5:$AJ$110,0,MATCH(AA$2,Inputs!$K$4:$AJ$4,0))))+SUMPRODUCT((Inputs!$E$5:$E$110=$B64)*ISNUMBER(INDEX(Inputs!$K$5:$AJ$110,0,MATCH(AA$2,Inputs!$K$4:$AJ$4,0))))=0,NA(),SUMPRODUCT((Inputs!$A$5:$A$110=$B64)*Inputs!$B$5:$B$110*(((Inputs!$G$5:$G$110="moeda")+(Inputs!$G$5:$G$110="acoes"))*Inputs!$B$1+((Inputs!$G$5:$G$110&lt;&gt;"moeda")*(Inputs!$G$5:$G$110&lt;&gt;"acoes")))*INDEX(Inputs!$K$5:$AJ$110,0,MATCH(AA$2,Inputs!$K$4:$AJ$4,0)))+SUMPRODUCT((Inputs!$C$5:$C$110=$B64)*Inputs!$D$5:$D$110*(((Inputs!$G$5:$G$110="moeda")+(Inputs!$G$5:$G$110="acoes"))*Inputs!$B$1+((Inputs!$G$5:$G$110&lt;&gt;"moeda")*(Inputs!$G$5:$G$110&lt;&gt;"acoes")))*INDEX(Inputs!$K$5:$AJ$110,0,MATCH(AA$2,Inputs!$K$4:$AJ$4,0)))+SUMPRODUCT((Inputs!$E$5:$E$110=$B64)*Inputs!$F$5:$F$110*(((Inputs!$G$5:$G$110="moeda")+(Inputs!$G$5:$G$110="acoes"))*Inputs!$B$1+((Inputs!$G$5:$G$110&lt;&gt;"moeda")*(Inputs!$G$5:$G$110&lt;&gt;"acoes")))*INDEX(Inputs!$K$5:$AJ$110,0,MATCH(AA$2,Inputs!$K$4:$AJ$4,0)))))</f>
        <v>5958</v>
      </c>
      <c r="AB64" s="264">
        <f>SUM(X64:AA64)</f>
        <v>22719</v>
      </c>
      <c r="AC64" s="263">
        <f>IF(ISNA(MATCH(AC$2,Inputs!$K$4:$AJ$4,0)),NA(),IF(SUMPRODUCT((Inputs!$A$5:$A$110=$B64)*ISNUMBER(INDEX(Inputs!$K$5:$AJ$110,0,MATCH(AC$2,Inputs!$K$4:$AJ$4,0))))+SUMPRODUCT((Inputs!$C$5:$C$110=$B64)*ISNUMBER(INDEX(Inputs!$K$5:$AJ$110,0,MATCH(AC$2,Inputs!$K$4:$AJ$4,0))))+SUMPRODUCT((Inputs!$E$5:$E$110=$B64)*ISNUMBER(INDEX(Inputs!$K$5:$AJ$110,0,MATCH(AC$2,Inputs!$K$4:$AJ$4,0))))=0,NA(),SUMPRODUCT((Inputs!$A$5:$A$110=$B64)*Inputs!$B$5:$B$110*(((Inputs!$G$5:$G$110="moeda")+(Inputs!$G$5:$G$110="acoes"))*Inputs!$B$1+((Inputs!$G$5:$G$110&lt;&gt;"moeda")*(Inputs!$G$5:$G$110&lt;&gt;"acoes")))*INDEX(Inputs!$K$5:$AJ$110,0,MATCH(AC$2,Inputs!$K$4:$AJ$4,0)))+SUMPRODUCT((Inputs!$C$5:$C$110=$B64)*Inputs!$D$5:$D$110*(((Inputs!$G$5:$G$110="moeda")+(Inputs!$G$5:$G$110="acoes"))*Inputs!$B$1+((Inputs!$G$5:$G$110&lt;&gt;"moeda")*(Inputs!$G$5:$G$110&lt;&gt;"acoes")))*INDEX(Inputs!$K$5:$AJ$110,0,MATCH(AC$2,Inputs!$K$4:$AJ$4,0)))+SUMPRODUCT((Inputs!$E$5:$E$110=$B64)*Inputs!$F$5:$F$110*(((Inputs!$G$5:$G$110="moeda")+(Inputs!$G$5:$G$110="acoes"))*Inputs!$B$1+((Inputs!$G$5:$G$110&lt;&gt;"moeda")*(Inputs!$G$5:$G$110&lt;&gt;"acoes")))*INDEX(Inputs!$K$5:$AJ$110,0,MATCH(AC$2,Inputs!$K$4:$AJ$4,0)))))</f>
        <v>5341</v>
      </c>
      <c r="AD64" s="263" t="e">
        <f>IF(ISNA(MATCH(AD$2,Inputs!$K$4:$AJ$4,0)),NA(),IF(SUMPRODUCT((Inputs!$A$5:$A$110=$B64)*ISNUMBER(INDEX(Inputs!$K$5:$AJ$110,0,MATCH(AD$2,Inputs!$K$4:$AJ$4,0))))+SUMPRODUCT((Inputs!$C$5:$C$110=$B64)*ISNUMBER(INDEX(Inputs!$K$5:$AJ$110,0,MATCH(AD$2,Inputs!$K$4:$AJ$4,0))))+SUMPRODUCT((Inputs!$E$5:$E$110=$B64)*ISNUMBER(INDEX(Inputs!$K$5:$AJ$110,0,MATCH(AD$2,Inputs!$K$4:$AJ$4,0))))=0,NA(),SUMPRODUCT((Inputs!$A$5:$A$110=$B64)*Inputs!$B$5:$B$110*(((Inputs!$G$5:$G$110="moeda")+(Inputs!$G$5:$G$110="acoes"))*Inputs!$B$1+((Inputs!$G$5:$G$110&lt;&gt;"moeda")*(Inputs!$G$5:$G$110&lt;&gt;"acoes")))*INDEX(Inputs!$K$5:$AJ$110,0,MATCH(AD$2,Inputs!$K$4:$AJ$4,0)))+SUMPRODUCT((Inputs!$C$5:$C$110=$B64)*Inputs!$D$5:$D$110*(((Inputs!$G$5:$G$110="moeda")+(Inputs!$G$5:$G$110="acoes"))*Inputs!$B$1+((Inputs!$G$5:$G$110&lt;&gt;"moeda")*(Inputs!$G$5:$G$110&lt;&gt;"acoes")))*INDEX(Inputs!$K$5:$AJ$110,0,MATCH(AD$2,Inputs!$K$4:$AJ$4,0)))+SUMPRODUCT((Inputs!$E$5:$E$110=$B64)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64" s="263" t="e">
        <f>IF(ISNA(MATCH(AE$2,Inputs!$K$4:$AJ$4,0)),NA(),IF(SUMPRODUCT((Inputs!$A$5:$A$110=$B64)*ISNUMBER(INDEX(Inputs!$K$5:$AJ$110,0,MATCH(AE$2,Inputs!$K$4:$AJ$4,0))))+SUMPRODUCT((Inputs!$C$5:$C$110=$B64)*ISNUMBER(INDEX(Inputs!$K$5:$AJ$110,0,MATCH(AE$2,Inputs!$K$4:$AJ$4,0))))+SUMPRODUCT((Inputs!$E$5:$E$110=$B64)*ISNUMBER(INDEX(Inputs!$K$5:$AJ$110,0,MATCH(AE$2,Inputs!$K$4:$AJ$4,0))))=0,NA(),SUMPRODUCT((Inputs!$A$5:$A$110=$B64)*Inputs!$B$5:$B$110*(((Inputs!$G$5:$G$110="moeda")+(Inputs!$G$5:$G$110="acoes"))*Inputs!$B$1+((Inputs!$G$5:$G$110&lt;&gt;"moeda")*(Inputs!$G$5:$G$110&lt;&gt;"acoes")))*INDEX(Inputs!$K$5:$AJ$110,0,MATCH(AE$2,Inputs!$K$4:$AJ$4,0)))+SUMPRODUCT((Inputs!$C$5:$C$110=$B64)*Inputs!$D$5:$D$110*(((Inputs!$G$5:$G$110="moeda")+(Inputs!$G$5:$G$110="acoes"))*Inputs!$B$1+((Inputs!$G$5:$G$110&lt;&gt;"moeda")*(Inputs!$G$5:$G$110&lt;&gt;"acoes")))*INDEX(Inputs!$K$5:$AJ$110,0,MATCH(AE$2,Inputs!$K$4:$AJ$4,0)))+SUMPRODUCT((Inputs!$E$5:$E$110=$B64)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4" s="263" t="e">
        <f>IF(ISNA(MATCH(AF$2,Inputs!$K$4:$AJ$4,0)),NA(),IF(SUMPRODUCT((Inputs!$A$5:$A$110=$B64)*ISNUMBER(INDEX(Inputs!$K$5:$AJ$110,0,MATCH(AF$2,Inputs!$K$4:$AJ$4,0))))+SUMPRODUCT((Inputs!$C$5:$C$110=$B64)*ISNUMBER(INDEX(Inputs!$K$5:$AJ$110,0,MATCH(AF$2,Inputs!$K$4:$AJ$4,0))))+SUMPRODUCT((Inputs!$E$5:$E$110=$B64)*ISNUMBER(INDEX(Inputs!$K$5:$AJ$110,0,MATCH(AF$2,Inputs!$K$4:$AJ$4,0))))=0,NA(),SUMPRODUCT((Inputs!$A$5:$A$110=$B64)*Inputs!$B$5:$B$110*(((Inputs!$G$5:$G$110="moeda")+(Inputs!$G$5:$G$110="acoes"))*Inputs!$B$1+((Inputs!$G$5:$G$110&lt;&gt;"moeda")*(Inputs!$G$5:$G$110&lt;&gt;"acoes")))*INDEX(Inputs!$K$5:$AJ$110,0,MATCH(AF$2,Inputs!$K$4:$AJ$4,0)))+SUMPRODUCT((Inputs!$C$5:$C$110=$B64)*Inputs!$D$5:$D$110*(((Inputs!$G$5:$G$110="moeda")+(Inputs!$G$5:$G$110="acoes"))*Inputs!$B$1+((Inputs!$G$5:$G$110&lt;&gt;"moeda")*(Inputs!$G$5:$G$110&lt;&gt;"acoes")))*INDEX(Inputs!$K$5:$AJ$110,0,MATCH(AF$2,Inputs!$K$4:$AJ$4,0)))+SUMPRODUCT((Inputs!$E$5:$E$110=$B64)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$110=$B64)*ISNUMBER(INDEX(Inputs!$K$5:$AJ$110,0,MATCH(AH$2,Inputs!$K$4:$AJ$4,0))))+SUMPRODUCT((Inputs!$C$5:$C$110=$B64)*ISNUMBER(INDEX(Inputs!$K$5:$AJ$110,0,MATCH(AH$2,Inputs!$K$4:$AJ$4,0))))+SUMPRODUCT((Inputs!$E$5:$E$110=$B64)*ISNUMBER(INDEX(Inputs!$K$5:$AJ$110,0,MATCH(AH$2,Inputs!$K$4:$AJ$4,0))))=0,NA(),SUMPRODUCT((Inputs!$A$5:$A$110=$B64)*Inputs!$B$5:$B$110*(((Inputs!$G$5:$G$110="moeda")+(Inputs!$G$5:$G$110="acoes"))*Inputs!$B$1+((Inputs!$G$5:$G$110&lt;&gt;"moeda")*(Inputs!$G$5:$G$110&lt;&gt;"acoes")))*INDEX(Inputs!$K$5:$AJ$110,0,MATCH(AH$2,Inputs!$K$4:$AJ$4,0)))+SUMPRODUCT((Inputs!$C$5:$C$110=$B64)*Inputs!$D$5:$D$110*(((Inputs!$G$5:$G$110="moeda")+(Inputs!$G$5:$G$110="acoes"))*Inputs!$B$1+((Inputs!$G$5:$G$110&lt;&gt;"moeda")*(Inputs!$G$5:$G$110&lt;&gt;"acoes")))*INDEX(Inputs!$K$5:$AJ$110,0,MATCH(AH$2,Inputs!$K$4:$AJ$4,0)))+SUMPRODUCT((Inputs!$E$5:$E$110=$B64)*Inputs!$F$5:$F$110*(((Inputs!$G$5:$G$110="moeda")+(Inputs!$G$5:$G$110="acoes"))*Inputs!$B$1+((Inputs!$G$5:$G$110&lt;&gt;"moeda")*(Inputs!$G$5:$G$110&lt;&gt;"acoes")))*INDEX(Inputs!$K$5:$AJ$110,0,MATCH(AH$2,Inputs!$K$4:$AJ$4,0)))))</f>
        <v>2349</v>
      </c>
      <c r="AI64" s="263">
        <f>IF(ISNA(MATCH(AI$2,Inputs!$K$4:$AJ$4,0)),NA(),IF(SUMPRODUCT((Inputs!$A$5:$A$110=$B64)*ISNUMBER(INDEX(Inputs!$K$5:$AJ$110,0,MATCH(AI$2,Inputs!$K$4:$AJ$4,0))))+SUMPRODUCT((Inputs!$C$5:$C$110=$B64)*ISNUMBER(INDEX(Inputs!$K$5:$AJ$110,0,MATCH(AI$2,Inputs!$K$4:$AJ$4,0))))+SUMPRODUCT((Inputs!$E$5:$E$110=$B64)*ISNUMBER(INDEX(Inputs!$K$5:$AJ$110,0,MATCH(AI$2,Inputs!$K$4:$AJ$4,0))))=0,NA(),SUMPRODUCT((Inputs!$A$5:$A$110=$B64)*Inputs!$B$5:$B$110*(((Inputs!$G$5:$G$110="moeda")+(Inputs!$G$5:$G$110="acoes"))*Inputs!$B$1+((Inputs!$G$5:$G$110&lt;&gt;"moeda")*(Inputs!$G$5:$G$110&lt;&gt;"acoes")))*INDEX(Inputs!$K$5:$AJ$110,0,MATCH(AI$2,Inputs!$K$4:$AJ$4,0)))+SUMPRODUCT((Inputs!$C$5:$C$110=$B64)*Inputs!$D$5:$D$110*(((Inputs!$G$5:$G$110="moeda")+(Inputs!$G$5:$G$110="acoes"))*Inputs!$B$1+((Inputs!$G$5:$G$110&lt;&gt;"moeda")*(Inputs!$G$5:$G$110&lt;&gt;"acoes")))*INDEX(Inputs!$K$5:$AJ$110,0,MATCH(AI$2,Inputs!$K$4:$AJ$4,0)))+SUMPRODUCT((Inputs!$E$5:$E$110=$B64)*Inputs!$F$5:$F$110*(((Inputs!$G$5:$G$110="moeda")+(Inputs!$G$5:$G$110="acoes"))*Inputs!$B$1+((Inputs!$G$5:$G$110&lt;&gt;"moeda")*(Inputs!$G$5:$G$110&lt;&gt;"acoes")))*INDEX(Inputs!$K$5:$AJ$110,0,MATCH(AI$2,Inputs!$K$4:$AJ$4,0)))))</f>
        <v>3357</v>
      </c>
      <c r="AJ64" s="263">
        <f>IF(ISNA(MATCH(AJ$2,Inputs!$K$4:$AJ$4,0)),NA(),IF(SUMPRODUCT((Inputs!$A$5:$A$110=$B64)*ISNUMBER(INDEX(Inputs!$K$5:$AJ$110,0,MATCH(AJ$2,Inputs!$K$4:$AJ$4,0))))+SUMPRODUCT((Inputs!$C$5:$C$110=$B64)*ISNUMBER(INDEX(Inputs!$K$5:$AJ$110,0,MATCH(AJ$2,Inputs!$K$4:$AJ$4,0))))+SUMPRODUCT((Inputs!$E$5:$E$110=$B64)*ISNUMBER(INDEX(Inputs!$K$5:$AJ$110,0,MATCH(AJ$2,Inputs!$K$4:$AJ$4,0))))=0,NA(),SUMPRODUCT((Inputs!$A$5:$A$110=$B64)*Inputs!$B$5:$B$110*(((Inputs!$G$5:$G$110="moeda")+(Inputs!$G$5:$G$110="acoes"))*Inputs!$B$1+((Inputs!$G$5:$G$110&lt;&gt;"moeda")*(Inputs!$G$5:$G$110&lt;&gt;"acoes")))*INDEX(Inputs!$K$5:$AJ$110,0,MATCH(AJ$2,Inputs!$K$4:$AJ$4,0)))+SUMPRODUCT((Inputs!$C$5:$C$110=$B64)*Inputs!$D$5:$D$110*(((Inputs!$G$5:$G$110="moeda")+(Inputs!$G$5:$G$110="acoes"))*Inputs!$B$1+((Inputs!$G$5:$G$110&lt;&gt;"moeda")*(Inputs!$G$5:$G$110&lt;&gt;"acoes")))*INDEX(Inputs!$K$5:$AJ$110,0,MATCH(AJ$2,Inputs!$K$4:$AJ$4,0)))+SUMPRODUCT((Inputs!$E$5:$E$110=$B64)*Inputs!$F$5:$F$110*(((Inputs!$G$5:$G$110="moeda")+(Inputs!$G$5:$G$110="acoes"))*Inputs!$B$1+((Inputs!$G$5:$G$110&lt;&gt;"moeda")*(Inputs!$G$5:$G$110&lt;&gt;"acoes")))*INDEX(Inputs!$K$5:$AJ$110,0,MATCH(AJ$2,Inputs!$K$4:$AJ$4,0)))))</f>
        <v>3092</v>
      </c>
      <c r="AK64" s="263">
        <f>IF(ISNA(MATCH(AK$2,Inputs!$K$4:$AJ$4,0)),NA(),IF(SUMPRODUCT((Inputs!$A$5:$A$110=$B64)*ISNUMBER(INDEX(Inputs!$K$5:$AJ$110,0,MATCH(AK$2,Inputs!$K$4:$AJ$4,0))))+SUMPRODUCT((Inputs!$C$5:$C$110=$B64)*ISNUMBER(INDEX(Inputs!$K$5:$AJ$110,0,MATCH(AK$2,Inputs!$K$4:$AJ$4,0))))+SUMPRODUCT((Inputs!$E$5:$E$110=$B64)*ISNUMBER(INDEX(Inputs!$K$5:$AJ$110,0,MATCH(AK$2,Inputs!$K$4:$AJ$4,0))))=0,NA(),SUMPRODUCT((Inputs!$A$5:$A$110=$B64)*Inputs!$B$5:$B$110*(((Inputs!$G$5:$G$110="moeda")+(Inputs!$G$5:$G$110="acoes"))*Inputs!$B$1+((Inputs!$G$5:$G$110&lt;&gt;"moeda")*(Inputs!$G$5:$G$110&lt;&gt;"acoes")))*INDEX(Inputs!$K$5:$AJ$110,0,MATCH(AK$2,Inputs!$K$4:$AJ$4,0)))+SUMPRODUCT((Inputs!$C$5:$C$110=$B64)*Inputs!$D$5:$D$110*(((Inputs!$G$5:$G$110="moeda")+(Inputs!$G$5:$G$110="acoes"))*Inputs!$B$1+((Inputs!$G$5:$G$110&lt;&gt;"moeda")*(Inputs!$G$5:$G$110&lt;&gt;"acoes")))*INDEX(Inputs!$K$5:$AJ$110,0,MATCH(AK$2,Inputs!$K$4:$AJ$4,0)))+SUMPRODUCT((Inputs!$E$5:$E$110=$B64)*Inputs!$F$5:$F$110*(((Inputs!$G$5:$G$110="moeda")+(Inputs!$G$5:$G$110="acoes"))*Inputs!$B$1+((Inputs!$G$5:$G$110&lt;&gt;"moeda")*(Inputs!$G$5:$G$110&lt;&gt;"acoes")))*INDEX(Inputs!$K$5:$AJ$110,0,MATCH(AK$2,Inputs!$K$4:$AJ$4,0)))))</f>
        <v>5031</v>
      </c>
      <c r="AL64" s="264">
        <f>SUM(AH64:AK64)</f>
        <v>13829</v>
      </c>
    </row>
    <row r="65">
      <c r="B65" s="46" t="n">
        <v>57</v>
      </c>
      <c r="C65" s="29" t="inlineStr">
        <is>
          <t>Windows and Devices (até 2022: Windows + Devices) - receita (USD)</t>
        </is>
      </c>
      <c r="D65" s="263">
        <f>IF(ISNA(MATCH(D$2,Inputs!$K$4:$AJ$4,0)),NA(),IF(SUMPRODUCT((Inputs!$A$5:$A$110=$B65)*ISNUMBER(INDEX(Inputs!$K$5:$AJ$110,0,MATCH(D$2,Inputs!$K$4:$AJ$4,0))))+SUMPRODUCT((Inputs!$C$5:$C$110=$B65)*ISNUMBER(INDEX(Inputs!$K$5:$AJ$110,0,MATCH(D$2,Inputs!$K$4:$AJ$4,0))))+SUMPRODUCT((Inputs!$E$5:$E$110=$B65)*ISNUMBER(INDEX(Inputs!$K$5:$AJ$110,0,MATCH(D$2,Inputs!$K$4:$AJ$4,0))))=0,NA(),SUMPRODUCT((Inputs!$A$5:$A$110=$B65)*Inputs!$B$5:$B$110*(((Inputs!$G$5:$G$110="moeda")+(Inputs!$G$5:$G$110="acoes"))*Inputs!$B$1+((Inputs!$G$5:$G$110&lt;&gt;"moeda")*(Inputs!$G$5:$G$110&lt;&gt;"acoes")))*INDEX(Inputs!$K$5:$AJ$110,0,MATCH(D$2,Inputs!$K$4:$AJ$4,0)))+SUMPRODUCT((Inputs!$C$5:$C$110=$B65)*Inputs!$D$5:$D$110*(((Inputs!$G$5:$G$110="moeda")+(Inputs!$G$5:$G$110="acoes"))*Inputs!$B$1+((Inputs!$G$5:$G$110&lt;&gt;"moeda")*(Inputs!$G$5:$G$110&lt;&gt;"acoes")))*INDEX(Inputs!$K$5:$AJ$110,0,MATCH(D$2,Inputs!$K$4:$AJ$4,0)))+SUMPRODUCT((Inputs!$E$5:$E$110=$B65)*Inputs!$F$5:$F$110*(((Inputs!$G$5:$G$110="moeda")+(Inputs!$G$5:$G$110="acoes"))*Inputs!$B$1+((Inputs!$G$5:$G$110&lt;&gt;"moeda")*(Inputs!$G$5:$G$110&lt;&gt;"acoes")))*INDEX(Inputs!$K$5:$AJ$110,0,MATCH(D$2,Inputs!$K$4:$AJ$4,0)))))</f>
        <v>7062</v>
      </c>
      <c r="E65" s="263">
        <f>IF(ISNA(MATCH(E$2,Inputs!$K$4:$AJ$4,0)),NA(),IF(SUMPRODUCT((Inputs!$A$5:$A$110=$B65)*ISNUMBER(INDEX(Inputs!$K$5:$AJ$110,0,MATCH(E$2,Inputs!$K$4:$AJ$4,0))))+SUMPRODUCT((Inputs!$C$5:$C$110=$B65)*ISNUMBER(INDEX(Inputs!$K$5:$AJ$110,0,MATCH(E$2,Inputs!$K$4:$AJ$4,0))))+SUMPRODUCT((Inputs!$E$5:$E$110=$B65)*ISNUMBER(INDEX(Inputs!$K$5:$AJ$110,0,MATCH(E$2,Inputs!$K$4:$AJ$4,0))))=0,NA(),SUMPRODUCT((Inputs!$A$5:$A$110=$B65)*Inputs!$B$5:$B$110*(((Inputs!$G$5:$G$110="moeda")+(Inputs!$G$5:$G$110="acoes"))*Inputs!$B$1+((Inputs!$G$5:$G$110&lt;&gt;"moeda")*(Inputs!$G$5:$G$110&lt;&gt;"acoes")))*INDEX(Inputs!$K$5:$AJ$110,0,MATCH(E$2,Inputs!$K$4:$AJ$4,0)))+SUMPRODUCT((Inputs!$C$5:$C$110=$B65)*Inputs!$D$5:$D$110*(((Inputs!$G$5:$G$110="moeda")+(Inputs!$G$5:$G$110="acoes"))*Inputs!$B$1+((Inputs!$G$5:$G$110&lt;&gt;"moeda")*(Inputs!$G$5:$G$110&lt;&gt;"acoes")))*INDEX(Inputs!$K$5:$AJ$110,0,MATCH(E$2,Inputs!$K$4:$AJ$4,0)))+SUMPRODUCT((Inputs!$E$5:$E$110=$B65)*Inputs!$F$5:$F$110*(((Inputs!$G$5:$G$110="moeda")+(Inputs!$G$5:$G$110="acoes"))*Inputs!$B$1+((Inputs!$G$5:$G$110&lt;&gt;"moeda")*(Inputs!$G$5:$G$110&lt;&gt;"acoes")))*INDEX(Inputs!$K$5:$AJ$110,0,MATCH(E$2,Inputs!$K$4:$AJ$4,0)))))</f>
        <v>8012</v>
      </c>
      <c r="F65" s="263">
        <f>IF(ISNA(MATCH(F$2,Inputs!$K$4:$AJ$4,0)),NA(),IF(SUMPRODUCT((Inputs!$A$5:$A$110=$B65)*ISNUMBER(INDEX(Inputs!$K$5:$AJ$110,0,MATCH(F$2,Inputs!$K$4:$AJ$4,0))))+SUMPRODUCT((Inputs!$C$5:$C$110=$B65)*ISNUMBER(INDEX(Inputs!$K$5:$AJ$110,0,MATCH(F$2,Inputs!$K$4:$AJ$4,0))))+SUMPRODUCT((Inputs!$E$5:$E$110=$B65)*ISNUMBER(INDEX(Inputs!$K$5:$AJ$110,0,MATCH(F$2,Inputs!$K$4:$AJ$4,0))))=0,NA(),SUMPRODUCT((Inputs!$A$5:$A$110=$B65)*Inputs!$B$5:$B$110*(((Inputs!$G$5:$G$110="moeda")+(Inputs!$G$5:$G$110="acoes"))*Inputs!$B$1+((Inputs!$G$5:$G$110&lt;&gt;"moeda")*(Inputs!$G$5:$G$110&lt;&gt;"acoes")))*INDEX(Inputs!$K$5:$AJ$110,0,MATCH(F$2,Inputs!$K$4:$AJ$4,0)))+SUMPRODUCT((Inputs!$C$5:$C$110=$B65)*Inputs!$D$5:$D$110*(((Inputs!$G$5:$G$110="moeda")+(Inputs!$G$5:$G$110="acoes"))*Inputs!$B$1+((Inputs!$G$5:$G$110&lt;&gt;"moeda")*(Inputs!$G$5:$G$110&lt;&gt;"acoes")))*INDEX(Inputs!$K$5:$AJ$110,0,MATCH(F$2,Inputs!$K$4:$AJ$4,0)))+SUMPRODUCT((Inputs!$E$5:$E$110=$B65)*Inputs!$F$5:$F$110*(((Inputs!$G$5:$G$110="moeda")+(Inputs!$G$5:$G$110="acoes"))*Inputs!$B$1+((Inputs!$G$5:$G$110&lt;&gt;"moeda")*(Inputs!$G$5:$G$110&lt;&gt;"acoes")))*INDEX(Inputs!$K$5:$AJ$110,0,MATCH(F$2,Inputs!$K$4:$AJ$4,0)))))</f>
        <v>7088</v>
      </c>
      <c r="G65" s="263">
        <f>IF(ISNA(MATCH(G$2,Inputs!$K$4:$AJ$4,0)),NA(),IF(SUMPRODUCT((Inputs!$A$5:$A$110=$B65)*ISNUMBER(INDEX(Inputs!$K$5:$AJ$110,0,MATCH(G$2,Inputs!$K$4:$AJ$4,0))))+SUMPRODUCT((Inputs!$C$5:$C$110=$B65)*ISNUMBER(INDEX(Inputs!$K$5:$AJ$110,0,MATCH(G$2,Inputs!$K$4:$AJ$4,0))))+SUMPRODUCT((Inputs!$E$5:$E$110=$B65)*ISNUMBER(INDEX(Inputs!$K$5:$AJ$110,0,MATCH(G$2,Inputs!$K$4:$AJ$4,0))))=0,NA(),SUMPRODUCT((Inputs!$A$5:$A$110=$B65)*Inputs!$B$5:$B$110*(((Inputs!$G$5:$G$110="moeda")+(Inputs!$G$5:$G$110="acoes"))*Inputs!$B$1+((Inputs!$G$5:$G$110&lt;&gt;"moeda")*(Inputs!$G$5:$G$110&lt;&gt;"acoes")))*INDEX(Inputs!$K$5:$AJ$110,0,MATCH(G$2,Inputs!$K$4:$AJ$4,0)))+SUMPRODUCT((Inputs!$C$5:$C$110=$B65)*Inputs!$D$5:$D$110*(((Inputs!$G$5:$G$110="moeda")+(Inputs!$G$5:$G$110="acoes"))*Inputs!$B$1+((Inputs!$G$5:$G$110&lt;&gt;"moeda")*(Inputs!$G$5:$G$110&lt;&gt;"acoes")))*INDEX(Inputs!$K$5:$AJ$110,0,MATCH(G$2,Inputs!$K$4:$AJ$4,0)))+SUMPRODUCT((Inputs!$E$5:$E$110=$B65)*Inputs!$F$5:$F$110*(((Inputs!$G$5:$G$110="moeda")+(Inputs!$G$5:$G$110="acoes"))*Inputs!$B$1+((Inputs!$G$5:$G$110&lt;&gt;"moeda")*(Inputs!$G$5:$G$110&lt;&gt;"acoes")))*INDEX(Inputs!$K$5:$AJ$110,0,MATCH(G$2,Inputs!$K$4:$AJ$4,0)))))</f>
        <v>8951</v>
      </c>
      <c r="H65" s="264">
        <f>SUM(D65:G65)</f>
        <v>31113</v>
      </c>
      <c r="I65" s="263">
        <f>IF(ISNA(MATCH(I$2,Inputs!$K$4:$AJ$4,0)),NA(),IF(SUMPRODUCT((Inputs!$A$5:$A$110=$B65)*ISNUMBER(INDEX(Inputs!$K$5:$AJ$110,0,MATCH(I$2,Inputs!$K$4:$AJ$4,0))))+SUMPRODUCT((Inputs!$C$5:$C$110=$B65)*ISNUMBER(INDEX(Inputs!$K$5:$AJ$110,0,MATCH(I$2,Inputs!$K$4:$AJ$4,0))))+SUMPRODUCT((Inputs!$E$5:$E$110=$B65)*ISNUMBER(INDEX(Inputs!$K$5:$AJ$110,0,MATCH(I$2,Inputs!$K$4:$AJ$4,0))))=0,NA(),SUMPRODUCT((Inputs!$A$5:$A$110=$B65)*Inputs!$B$5:$B$110*(((Inputs!$G$5:$G$110="moeda")+(Inputs!$G$5:$G$110="acoes"))*Inputs!$B$1+((Inputs!$G$5:$G$110&lt;&gt;"moeda")*(Inputs!$G$5:$G$110&lt;&gt;"acoes")))*INDEX(Inputs!$K$5:$AJ$110,0,MATCH(I$2,Inputs!$K$4:$AJ$4,0)))+SUMPRODUCT((Inputs!$C$5:$C$110=$B65)*Inputs!$D$5:$D$110*(((Inputs!$G$5:$G$110="moeda")+(Inputs!$G$5:$G$110="acoes"))*Inputs!$B$1+((Inputs!$G$5:$G$110&lt;&gt;"moeda")*(Inputs!$G$5:$G$110&lt;&gt;"acoes")))*INDEX(Inputs!$K$5:$AJ$110,0,MATCH(I$2,Inputs!$K$4:$AJ$4,0)))+SUMPRODUCT((Inputs!$E$5:$E$110=$B65)*Inputs!$F$5:$F$110*(((Inputs!$G$5:$G$110="moeda")+(Inputs!$G$5:$G$110="acoes"))*Inputs!$B$1+((Inputs!$G$5:$G$110&lt;&gt;"moeda")*(Inputs!$G$5:$G$110&lt;&gt;"acoes")))*INDEX(Inputs!$K$5:$AJ$110,0,MATCH(I$2,Inputs!$K$4:$AJ$4,0)))))</f>
        <v>7904</v>
      </c>
      <c r="J65" s="263">
        <f>IF(ISNA(MATCH(J$2,Inputs!$K$4:$AJ$4,0)),NA(),IF(SUMPRODUCT((Inputs!$A$5:$A$110=$B65)*ISNUMBER(INDEX(Inputs!$K$5:$AJ$110,0,MATCH(J$2,Inputs!$K$4:$AJ$4,0))))+SUMPRODUCT((Inputs!$C$5:$C$110=$B65)*ISNUMBER(INDEX(Inputs!$K$5:$AJ$110,0,MATCH(J$2,Inputs!$K$4:$AJ$4,0))))+SUMPRODUCT((Inputs!$E$5:$E$110=$B65)*ISNUMBER(INDEX(Inputs!$K$5:$AJ$110,0,MATCH(J$2,Inputs!$K$4:$AJ$4,0))))=0,NA(),SUMPRODUCT((Inputs!$A$5:$A$110=$B65)*Inputs!$B$5:$B$110*(((Inputs!$G$5:$G$110="moeda")+(Inputs!$G$5:$G$110="acoes"))*Inputs!$B$1+((Inputs!$G$5:$G$110&lt;&gt;"moeda")*(Inputs!$G$5:$G$110&lt;&gt;"acoes")))*INDEX(Inputs!$K$5:$AJ$110,0,MATCH(J$2,Inputs!$K$4:$AJ$4,0)))+SUMPRODUCT((Inputs!$C$5:$C$110=$B65)*Inputs!$D$5:$D$110*(((Inputs!$G$5:$G$110="moeda")+(Inputs!$G$5:$G$110="acoes"))*Inputs!$B$1+((Inputs!$G$5:$G$110&lt;&gt;"moeda")*(Inputs!$G$5:$G$110&lt;&gt;"acoes")))*INDEX(Inputs!$K$5:$AJ$110,0,MATCH(J$2,Inputs!$K$4:$AJ$4,0)))+SUMPRODUCT((Inputs!$E$5:$E$110=$B65)*Inputs!$F$5:$F$110*(((Inputs!$G$5:$G$110="moeda")+(Inputs!$G$5:$G$110="acoes"))*Inputs!$B$1+((Inputs!$G$5:$G$110&lt;&gt;"moeda")*(Inputs!$G$5:$G$110&lt;&gt;"acoes")))*INDEX(Inputs!$K$5:$AJ$110,0,MATCH(J$2,Inputs!$K$4:$AJ$4,0)))))</f>
        <v>7989</v>
      </c>
      <c r="K65" s="263">
        <f>IF(ISNA(MATCH(K$2,Inputs!$K$4:$AJ$4,0)),NA(),IF(SUMPRODUCT((Inputs!$A$5:$A$110=$B65)*ISNUMBER(INDEX(Inputs!$K$5:$AJ$110,0,MATCH(K$2,Inputs!$K$4:$AJ$4,0))))+SUMPRODUCT((Inputs!$C$5:$C$110=$B65)*ISNUMBER(INDEX(Inputs!$K$5:$AJ$110,0,MATCH(K$2,Inputs!$K$4:$AJ$4,0))))+SUMPRODUCT((Inputs!$E$5:$E$110=$B65)*ISNUMBER(INDEX(Inputs!$K$5:$AJ$110,0,MATCH(K$2,Inputs!$K$4:$AJ$4,0))))=0,NA(),SUMPRODUCT((Inputs!$A$5:$A$110=$B65)*Inputs!$B$5:$B$110*(((Inputs!$G$5:$G$110="moeda")+(Inputs!$G$5:$G$110="acoes"))*Inputs!$B$1+((Inputs!$G$5:$G$110&lt;&gt;"moeda")*(Inputs!$G$5:$G$110&lt;&gt;"acoes")))*INDEX(Inputs!$K$5:$AJ$110,0,MATCH(K$2,Inputs!$K$4:$AJ$4,0)))+SUMPRODUCT((Inputs!$C$5:$C$110=$B65)*Inputs!$D$5:$D$110*(((Inputs!$G$5:$G$110="moeda")+(Inputs!$G$5:$G$110="acoes"))*Inputs!$B$1+((Inputs!$G$5:$G$110&lt;&gt;"moeda")*(Inputs!$G$5:$G$110&lt;&gt;"acoes")))*INDEX(Inputs!$K$5:$AJ$110,0,MATCH(K$2,Inputs!$K$4:$AJ$4,0)))+SUMPRODUCT((Inputs!$E$5:$E$110=$B65)*Inputs!$F$5:$F$110*(((Inputs!$G$5:$G$110="moeda")+(Inputs!$G$5:$G$110="acoes"))*Inputs!$B$1+((Inputs!$G$5:$G$110&lt;&gt;"moeda")*(Inputs!$G$5:$G$110&lt;&gt;"acoes")))*INDEX(Inputs!$K$5:$AJ$110,0,MATCH(K$2,Inputs!$K$4:$AJ$4,0)))))</f>
        <v>6761</v>
      </c>
      <c r="L65" s="263">
        <f>IF(ISNA(MATCH(L$2,Inputs!$K$4:$AJ$4,0)),NA(),IF(SUMPRODUCT((Inputs!$A$5:$A$110=$B65)*ISNUMBER(INDEX(Inputs!$K$5:$AJ$110,0,MATCH(L$2,Inputs!$K$4:$AJ$4,0))))+SUMPRODUCT((Inputs!$C$5:$C$110=$B65)*ISNUMBER(INDEX(Inputs!$K$5:$AJ$110,0,MATCH(L$2,Inputs!$K$4:$AJ$4,0))))+SUMPRODUCT((Inputs!$E$5:$E$110=$B65)*ISNUMBER(INDEX(Inputs!$K$5:$AJ$110,0,MATCH(L$2,Inputs!$K$4:$AJ$4,0))))=0,NA(),SUMPRODUCT((Inputs!$A$5:$A$110=$B65)*Inputs!$B$5:$B$110*(((Inputs!$G$5:$G$110="moeda")+(Inputs!$G$5:$G$110="acoes"))*Inputs!$B$1+((Inputs!$G$5:$G$110&lt;&gt;"moeda")*(Inputs!$G$5:$G$110&lt;&gt;"acoes")))*INDEX(Inputs!$K$5:$AJ$110,0,MATCH(L$2,Inputs!$K$4:$AJ$4,0)))+SUMPRODUCT((Inputs!$C$5:$C$110=$B65)*Inputs!$D$5:$D$110*(((Inputs!$G$5:$G$110="moeda")+(Inputs!$G$5:$G$110="acoes"))*Inputs!$B$1+((Inputs!$G$5:$G$110&lt;&gt;"moeda")*(Inputs!$G$5:$G$110&lt;&gt;"acoes")))*INDEX(Inputs!$K$5:$AJ$110,0,MATCH(L$2,Inputs!$K$4:$AJ$4,0)))+SUMPRODUCT((Inputs!$E$5:$E$110=$B65)*Inputs!$F$5:$F$110*(((Inputs!$G$5:$G$110="moeda")+(Inputs!$G$5:$G$110="acoes"))*Inputs!$B$1+((Inputs!$G$5:$G$110&lt;&gt;"moeda")*(Inputs!$G$5:$G$110&lt;&gt;"acoes")))*INDEX(Inputs!$K$5:$AJ$110,0,MATCH(L$2,Inputs!$K$4:$AJ$4,0)))))</f>
        <v>6238</v>
      </c>
      <c r="M65" s="264">
        <f>SUM(I65:L65)</f>
        <v>28892</v>
      </c>
      <c r="N65" s="263">
        <f>IF(ISNA(MATCH(N$2,Inputs!$K$4:$AJ$4,0)),NA(),IF(SUMPRODUCT((Inputs!$A$5:$A$110=$B65)*ISNUMBER(INDEX(Inputs!$K$5:$AJ$110,0,MATCH(N$2,Inputs!$K$4:$AJ$4,0))))+SUMPRODUCT((Inputs!$C$5:$C$110=$B65)*ISNUMBER(INDEX(Inputs!$K$5:$AJ$110,0,MATCH(N$2,Inputs!$K$4:$AJ$4,0))))+SUMPRODUCT((Inputs!$E$5:$E$110=$B65)*ISNUMBER(INDEX(Inputs!$K$5:$AJ$110,0,MATCH(N$2,Inputs!$K$4:$AJ$4,0))))=0,NA(),SUMPRODUCT((Inputs!$A$5:$A$110=$B65)*Inputs!$B$5:$B$110*(((Inputs!$G$5:$G$110="moeda")+(Inputs!$G$5:$G$110="acoes"))*Inputs!$B$1+((Inputs!$G$5:$G$110&lt;&gt;"moeda")*(Inputs!$G$5:$G$110&lt;&gt;"acoes")))*INDEX(Inputs!$K$5:$AJ$110,0,MATCH(N$2,Inputs!$K$4:$AJ$4,0)))+SUMPRODUCT((Inputs!$C$5:$C$110=$B65)*Inputs!$D$5:$D$110*(((Inputs!$G$5:$G$110="moeda")+(Inputs!$G$5:$G$110="acoes"))*Inputs!$B$1+((Inputs!$G$5:$G$110&lt;&gt;"moeda")*(Inputs!$G$5:$G$110&lt;&gt;"acoes")))*INDEX(Inputs!$K$5:$AJ$110,0,MATCH(N$2,Inputs!$K$4:$AJ$4,0)))+SUMPRODUCT((Inputs!$E$5:$E$110=$B65)*Inputs!$F$5:$F$110*(((Inputs!$G$5:$G$110="moeda")+(Inputs!$G$5:$G$110="acoes"))*Inputs!$B$1+((Inputs!$G$5:$G$110&lt;&gt;"moeda")*(Inputs!$G$5:$G$110&lt;&gt;"acoes")))*INDEX(Inputs!$K$5:$AJ$110,0,MATCH(N$2,Inputs!$K$4:$AJ$4,0)))))</f>
        <v>6610</v>
      </c>
      <c r="O65" s="263">
        <f>IF(ISNA(MATCH(O$2,Inputs!$K$4:$AJ$4,0)),NA(),IF(SUMPRODUCT((Inputs!$A$5:$A$110=$B65)*ISNUMBER(INDEX(Inputs!$K$5:$AJ$110,0,MATCH(O$2,Inputs!$K$4:$AJ$4,0))))+SUMPRODUCT((Inputs!$C$5:$C$110=$B65)*ISNUMBER(INDEX(Inputs!$K$5:$AJ$110,0,MATCH(O$2,Inputs!$K$4:$AJ$4,0))))+SUMPRODUCT((Inputs!$E$5:$E$110=$B65)*ISNUMBER(INDEX(Inputs!$K$5:$AJ$110,0,MATCH(O$2,Inputs!$K$4:$AJ$4,0))))=0,NA(),SUMPRODUCT((Inputs!$A$5:$A$110=$B65)*Inputs!$B$5:$B$110*(((Inputs!$G$5:$G$110="moeda")+(Inputs!$G$5:$G$110="acoes"))*Inputs!$B$1+((Inputs!$G$5:$G$110&lt;&gt;"moeda")*(Inputs!$G$5:$G$110&lt;&gt;"acoes")))*INDEX(Inputs!$K$5:$AJ$110,0,MATCH(O$2,Inputs!$K$4:$AJ$4,0)))+SUMPRODUCT((Inputs!$C$5:$C$110=$B65)*Inputs!$D$5:$D$110*(((Inputs!$G$5:$G$110="moeda")+(Inputs!$G$5:$G$110="acoes"))*Inputs!$B$1+((Inputs!$G$5:$G$110&lt;&gt;"moeda")*(Inputs!$G$5:$G$110&lt;&gt;"acoes")))*INDEX(Inputs!$K$5:$AJ$110,0,MATCH(O$2,Inputs!$K$4:$AJ$4,0)))+SUMPRODUCT((Inputs!$E$5:$E$110=$B65)*Inputs!$F$5:$F$110*(((Inputs!$G$5:$G$110="moeda")+(Inputs!$G$5:$G$110="acoes"))*Inputs!$B$1+((Inputs!$G$5:$G$110&lt;&gt;"moeda")*(Inputs!$G$5:$G$110&lt;&gt;"acoes")))*INDEX(Inputs!$K$5:$AJ$110,0,MATCH(O$2,Inputs!$K$4:$AJ$4,0)))))</f>
        <v>7419</v>
      </c>
      <c r="P65" s="263">
        <f>IF(ISNA(MATCH(P$2,Inputs!$K$4:$AJ$4,0)),NA(),IF(SUMPRODUCT((Inputs!$A$5:$A$110=$B65)*ISNUMBER(INDEX(Inputs!$K$5:$AJ$110,0,MATCH(P$2,Inputs!$K$4:$AJ$4,0))))+SUMPRODUCT((Inputs!$C$5:$C$110=$B65)*ISNUMBER(INDEX(Inputs!$K$5:$AJ$110,0,MATCH(P$2,Inputs!$K$4:$AJ$4,0))))+SUMPRODUCT((Inputs!$E$5:$E$110=$B65)*ISNUMBER(INDEX(Inputs!$K$5:$AJ$110,0,MATCH(P$2,Inputs!$K$4:$AJ$4,0))))=0,NA(),SUMPRODUCT((Inputs!$A$5:$A$110=$B65)*Inputs!$B$5:$B$110*(((Inputs!$G$5:$G$110="moeda")+(Inputs!$G$5:$G$110="acoes"))*Inputs!$B$1+((Inputs!$G$5:$G$110&lt;&gt;"moeda")*(Inputs!$G$5:$G$110&lt;&gt;"acoes")))*INDEX(Inputs!$K$5:$AJ$110,0,MATCH(P$2,Inputs!$K$4:$AJ$4,0)))+SUMPRODUCT((Inputs!$C$5:$C$110=$B65)*Inputs!$D$5:$D$110*(((Inputs!$G$5:$G$110="moeda")+(Inputs!$G$5:$G$110="acoes"))*Inputs!$B$1+((Inputs!$G$5:$G$110&lt;&gt;"moeda")*(Inputs!$G$5:$G$110&lt;&gt;"acoes")))*INDEX(Inputs!$K$5:$AJ$110,0,MATCH(P$2,Inputs!$K$4:$AJ$4,0)))+SUMPRODUCT((Inputs!$E$5:$E$110=$B65)*Inputs!$F$5:$F$110*(((Inputs!$G$5:$G$110="moeda")+(Inputs!$G$5:$G$110="acoes"))*Inputs!$B$1+((Inputs!$G$5:$G$110&lt;&gt;"moeda")*(Inputs!$G$5:$G$110&lt;&gt;"acoes")))*INDEX(Inputs!$K$5:$AJ$110,0,MATCH(P$2,Inputs!$K$4:$AJ$4,0)))))</f>
        <v>4340</v>
      </c>
      <c r="Q65" s="263">
        <f>IF(ISNA(MATCH(Q$2,Inputs!$K$4:$AJ$4,0)),NA(),IF(SUMPRODUCT((Inputs!$A$5:$A$110=$B65)*ISNUMBER(INDEX(Inputs!$K$5:$AJ$110,0,MATCH(Q$2,Inputs!$K$4:$AJ$4,0))))+SUMPRODUCT((Inputs!$C$5:$C$110=$B65)*ISNUMBER(INDEX(Inputs!$K$5:$AJ$110,0,MATCH(Q$2,Inputs!$K$4:$AJ$4,0))))+SUMPRODUCT((Inputs!$E$5:$E$110=$B65)*ISNUMBER(INDEX(Inputs!$K$5:$AJ$110,0,MATCH(Q$2,Inputs!$K$4:$AJ$4,0))))=0,NA(),SUMPRODUCT((Inputs!$A$5:$A$110=$B65)*Inputs!$B$5:$B$110*(((Inputs!$G$5:$G$110="moeda")+(Inputs!$G$5:$G$110="acoes"))*Inputs!$B$1+((Inputs!$G$5:$G$110&lt;&gt;"moeda")*(Inputs!$G$5:$G$110&lt;&gt;"acoes")))*INDEX(Inputs!$K$5:$AJ$110,0,MATCH(Q$2,Inputs!$K$4:$AJ$4,0)))+SUMPRODUCT((Inputs!$C$5:$C$110=$B65)*Inputs!$D$5:$D$110*(((Inputs!$G$5:$G$110="moeda")+(Inputs!$G$5:$G$110="acoes"))*Inputs!$B$1+((Inputs!$G$5:$G$110&lt;&gt;"moeda")*(Inputs!$G$5:$G$110&lt;&gt;"acoes")))*INDEX(Inputs!$K$5:$AJ$110,0,MATCH(Q$2,Inputs!$K$4:$AJ$4,0)))+SUMPRODUCT((Inputs!$E$5:$E$110=$B65)*Inputs!$F$5:$F$110*(((Inputs!$G$5:$G$110="moeda")+(Inputs!$G$5:$G$110="acoes"))*Inputs!$B$1+((Inputs!$G$5:$G$110&lt;&gt;"moeda")*(Inputs!$G$5:$G$110&lt;&gt;"acoes")))*INDEX(Inputs!$K$5:$AJ$110,0,MATCH(Q$2,Inputs!$K$4:$AJ$4,0)))))</f>
        <v>4363</v>
      </c>
      <c r="R65" s="264">
        <f>SUM(N65:Q65)</f>
        <v>22732</v>
      </c>
      <c r="S65" s="263">
        <f>IF(ISNA(MATCH(S$2,Inputs!$K$4:$AJ$4,0)),NA(),IF(SUMPRODUCT((Inputs!$A$5:$A$110=$B65)*ISNUMBER(INDEX(Inputs!$K$5:$AJ$110,0,MATCH(S$2,Inputs!$K$4:$AJ$4,0))))+SUMPRODUCT((Inputs!$C$5:$C$110=$B65)*ISNUMBER(INDEX(Inputs!$K$5:$AJ$110,0,MATCH(S$2,Inputs!$K$4:$AJ$4,0))))+SUMPRODUCT((Inputs!$E$5:$E$110=$B65)*ISNUMBER(INDEX(Inputs!$K$5:$AJ$110,0,MATCH(S$2,Inputs!$K$4:$AJ$4,0))))=0,NA(),SUMPRODUCT((Inputs!$A$5:$A$110=$B65)*Inputs!$B$5:$B$110*(((Inputs!$G$5:$G$110="moeda")+(Inputs!$G$5:$G$110="acoes"))*Inputs!$B$1+((Inputs!$G$5:$G$110&lt;&gt;"moeda")*(Inputs!$G$5:$G$110&lt;&gt;"acoes")))*INDEX(Inputs!$K$5:$AJ$110,0,MATCH(S$2,Inputs!$K$4:$AJ$4,0)))+SUMPRODUCT((Inputs!$C$5:$C$110=$B65)*Inputs!$D$5:$D$110*(((Inputs!$G$5:$G$110="moeda")+(Inputs!$G$5:$G$110="acoes"))*Inputs!$B$1+((Inputs!$G$5:$G$110&lt;&gt;"moeda")*(Inputs!$G$5:$G$110&lt;&gt;"acoes")))*INDEX(Inputs!$K$5:$AJ$110,0,MATCH(S$2,Inputs!$K$4:$AJ$4,0)))+SUMPRODUCT((Inputs!$E$5:$E$110=$B65)*Inputs!$F$5:$F$110*(((Inputs!$G$5:$G$110="moeda")+(Inputs!$G$5:$G$110="acoes"))*Inputs!$B$1+((Inputs!$G$5:$G$110&lt;&gt;"moeda")*(Inputs!$G$5:$G$110&lt;&gt;"acoes")))*INDEX(Inputs!$K$5:$AJ$110,0,MATCH(S$2,Inputs!$K$4:$AJ$4,0)))))</f>
        <v>4098</v>
      </c>
      <c r="T65" s="263">
        <f>IF(ISNA(MATCH(T$2,Inputs!$K$4:$AJ$4,0)),NA(),IF(SUMPRODUCT((Inputs!$A$5:$A$110=$B65)*ISNUMBER(INDEX(Inputs!$K$5:$AJ$110,0,MATCH(T$2,Inputs!$K$4:$AJ$4,0))))+SUMPRODUCT((Inputs!$C$5:$C$110=$B65)*ISNUMBER(INDEX(Inputs!$K$5:$AJ$110,0,MATCH(T$2,Inputs!$K$4:$AJ$4,0))))+SUMPRODUCT((Inputs!$E$5:$E$110=$B65)*ISNUMBER(INDEX(Inputs!$K$5:$AJ$110,0,MATCH(T$2,Inputs!$K$4:$AJ$4,0))))=0,NA(),SUMPRODUCT((Inputs!$A$5:$A$110=$B65)*Inputs!$B$5:$B$110*(((Inputs!$G$5:$G$110="moeda")+(Inputs!$G$5:$G$110="acoes"))*Inputs!$B$1+((Inputs!$G$5:$G$110&lt;&gt;"moeda")*(Inputs!$G$5:$G$110&lt;&gt;"acoes")))*INDEX(Inputs!$K$5:$AJ$110,0,MATCH(T$2,Inputs!$K$4:$AJ$4,0)))+SUMPRODUCT((Inputs!$C$5:$C$110=$B65)*Inputs!$D$5:$D$110*(((Inputs!$G$5:$G$110="moeda")+(Inputs!$G$5:$G$110="acoes"))*Inputs!$B$1+((Inputs!$G$5:$G$110&lt;&gt;"moeda")*(Inputs!$G$5:$G$110&lt;&gt;"acoes")))*INDEX(Inputs!$K$5:$AJ$110,0,MATCH(T$2,Inputs!$K$4:$AJ$4,0)))+SUMPRODUCT((Inputs!$E$5:$E$110=$B65)*Inputs!$F$5:$F$110*(((Inputs!$G$5:$G$110="moeda")+(Inputs!$G$5:$G$110="acoes"))*Inputs!$B$1+((Inputs!$G$5:$G$110&lt;&gt;"moeda")*(Inputs!$G$5:$G$110&lt;&gt;"acoes")))*INDEX(Inputs!$K$5:$AJ$110,0,MATCH(T$2,Inputs!$K$4:$AJ$4,0)))))</f>
        <v>4225</v>
      </c>
      <c r="U65" s="263">
        <f>IF(ISNA(MATCH(U$2,Inputs!$K$4:$AJ$4,0)),NA(),IF(SUMPRODUCT((Inputs!$A$5:$A$110=$B65)*ISNUMBER(INDEX(Inputs!$K$5:$AJ$110,0,MATCH(U$2,Inputs!$K$4:$AJ$4,0))))+SUMPRODUCT((Inputs!$C$5:$C$110=$B65)*ISNUMBER(INDEX(Inputs!$K$5:$AJ$110,0,MATCH(U$2,Inputs!$K$4:$AJ$4,0))))+SUMPRODUCT((Inputs!$E$5:$E$110=$B65)*ISNUMBER(INDEX(Inputs!$K$5:$AJ$110,0,MATCH(U$2,Inputs!$K$4:$AJ$4,0))))=0,NA(),SUMPRODUCT((Inputs!$A$5:$A$110=$B65)*Inputs!$B$5:$B$110*(((Inputs!$G$5:$G$110="moeda")+(Inputs!$G$5:$G$110="acoes"))*Inputs!$B$1+((Inputs!$G$5:$G$110&lt;&gt;"moeda")*(Inputs!$G$5:$G$110&lt;&gt;"acoes")))*INDEX(Inputs!$K$5:$AJ$110,0,MATCH(U$2,Inputs!$K$4:$AJ$4,0)))+SUMPRODUCT((Inputs!$C$5:$C$110=$B65)*Inputs!$D$5:$D$110*(((Inputs!$G$5:$G$110="moeda")+(Inputs!$G$5:$G$110="acoes"))*Inputs!$B$1+((Inputs!$G$5:$G$110&lt;&gt;"moeda")*(Inputs!$G$5:$G$110&lt;&gt;"acoes")))*INDEX(Inputs!$K$5:$AJ$110,0,MATCH(U$2,Inputs!$K$4:$AJ$4,0)))+SUMPRODUCT((Inputs!$E$5:$E$110=$B65)*Inputs!$F$5:$F$110*(((Inputs!$G$5:$G$110="moeda")+(Inputs!$G$5:$G$110="acoes"))*Inputs!$B$1+((Inputs!$G$5:$G$110&lt;&gt;"moeda")*(Inputs!$G$5:$G$110&lt;&gt;"acoes")))*INDEX(Inputs!$K$5:$AJ$110,0,MATCH(U$2,Inputs!$K$4:$AJ$4,0)))))</f>
        <v>4329</v>
      </c>
      <c r="V65" s="263">
        <f>IF(ISNA(MATCH(V$2,Inputs!$K$4:$AJ$4,0)),NA(),IF(SUMPRODUCT((Inputs!$A$5:$A$110=$B65)*ISNUMBER(INDEX(Inputs!$K$5:$AJ$110,0,MATCH(V$2,Inputs!$K$4:$AJ$4,0))))+SUMPRODUCT((Inputs!$C$5:$C$110=$B65)*ISNUMBER(INDEX(Inputs!$K$5:$AJ$110,0,MATCH(V$2,Inputs!$K$4:$AJ$4,0))))+SUMPRODUCT((Inputs!$E$5:$E$110=$B65)*ISNUMBER(INDEX(Inputs!$K$5:$AJ$110,0,MATCH(V$2,Inputs!$K$4:$AJ$4,0))))=0,NA(),SUMPRODUCT((Inputs!$A$5:$A$110=$B65)*Inputs!$B$5:$B$110*(((Inputs!$G$5:$G$110="moeda")+(Inputs!$G$5:$G$110="acoes"))*Inputs!$B$1+((Inputs!$G$5:$G$110&lt;&gt;"moeda")*(Inputs!$G$5:$G$110&lt;&gt;"acoes")))*INDEX(Inputs!$K$5:$AJ$110,0,MATCH(V$2,Inputs!$K$4:$AJ$4,0)))+SUMPRODUCT((Inputs!$C$5:$C$110=$B65)*Inputs!$D$5:$D$110*(((Inputs!$G$5:$G$110="moeda")+(Inputs!$G$5:$G$110="acoes"))*Inputs!$B$1+((Inputs!$G$5:$G$110&lt;&gt;"moeda")*(Inputs!$G$5:$G$110&lt;&gt;"acoes")))*INDEX(Inputs!$K$5:$AJ$110,0,MATCH(V$2,Inputs!$K$4:$AJ$4,0)))+SUMPRODUCT((Inputs!$E$5:$E$110=$B65)*Inputs!$F$5:$F$110*(((Inputs!$G$5:$G$110="moeda")+(Inputs!$G$5:$G$110="acoes"))*Inputs!$B$1+((Inputs!$G$5:$G$110&lt;&gt;"moeda")*(Inputs!$G$5:$G$110&lt;&gt;"acoes")))*INDEX(Inputs!$K$5:$AJ$110,0,MATCH(V$2,Inputs!$K$4:$AJ$4,0)))))</f>
        <v>4512</v>
      </c>
      <c r="W65" s="264">
        <f>SUM(S65:V65)</f>
        <v>17164</v>
      </c>
      <c r="X65" s="263">
        <f>IF(ISNA(MATCH(X$2,Inputs!$K$4:$AJ$4,0)),NA(),IF(SUMPRODUCT((Inputs!$A$5:$A$110=$B65)*ISNUMBER(INDEX(Inputs!$K$5:$AJ$110,0,MATCH(X$2,Inputs!$K$4:$AJ$4,0))))+SUMPRODUCT((Inputs!$C$5:$C$110=$B65)*ISNUMBER(INDEX(Inputs!$K$5:$AJ$110,0,MATCH(X$2,Inputs!$K$4:$AJ$4,0))))+SUMPRODUCT((Inputs!$E$5:$E$110=$B65)*ISNUMBER(INDEX(Inputs!$K$5:$AJ$110,0,MATCH(X$2,Inputs!$K$4:$AJ$4,0))))=0,NA(),SUMPRODUCT((Inputs!$A$5:$A$110=$B65)*Inputs!$B$5:$B$110*(((Inputs!$G$5:$G$110="moeda")+(Inputs!$G$5:$G$110="acoes"))*Inputs!$B$1+((Inputs!$G$5:$G$110&lt;&gt;"moeda")*(Inputs!$G$5:$G$110&lt;&gt;"acoes")))*INDEX(Inputs!$K$5:$AJ$110,0,MATCH(X$2,Inputs!$K$4:$AJ$4,0)))+SUMPRODUCT((Inputs!$C$5:$C$110=$B65)*Inputs!$D$5:$D$110*(((Inputs!$G$5:$G$110="moeda")+(Inputs!$G$5:$G$110="acoes"))*Inputs!$B$1+((Inputs!$G$5:$G$110&lt;&gt;"moeda")*(Inputs!$G$5:$G$110&lt;&gt;"acoes")))*INDEX(Inputs!$K$5:$AJ$110,0,MATCH(X$2,Inputs!$K$4:$AJ$4,0)))+SUMPRODUCT((Inputs!$E$5:$E$110=$B65)*Inputs!$F$5:$F$110*(((Inputs!$G$5:$G$110="moeda")+(Inputs!$G$5:$G$110="acoes"))*Inputs!$B$1+((Inputs!$G$5:$G$110&lt;&gt;"moeda")*(Inputs!$G$5:$G$110&lt;&gt;"acoes")))*INDEX(Inputs!$K$5:$AJ$110,0,MATCH(X$2,Inputs!$K$4:$AJ$4,0)))))</f>
        <v>4144</v>
      </c>
      <c r="Y65" s="263">
        <f>IF(ISNA(MATCH(Y$2,Inputs!$K$4:$AJ$4,0)),NA(),IF(SUMPRODUCT((Inputs!$A$5:$A$110=$B65)*ISNUMBER(INDEX(Inputs!$K$5:$AJ$110,0,MATCH(Y$2,Inputs!$K$4:$AJ$4,0))))+SUMPRODUCT((Inputs!$C$5:$C$110=$B65)*ISNUMBER(INDEX(Inputs!$K$5:$AJ$110,0,MATCH(Y$2,Inputs!$K$4:$AJ$4,0))))+SUMPRODUCT((Inputs!$E$5:$E$110=$B65)*ISNUMBER(INDEX(Inputs!$K$5:$AJ$110,0,MATCH(Y$2,Inputs!$K$4:$AJ$4,0))))=0,NA(),SUMPRODUCT((Inputs!$A$5:$A$110=$B65)*Inputs!$B$5:$B$110*(((Inputs!$G$5:$G$110="moeda")+(Inputs!$G$5:$G$110="acoes"))*Inputs!$B$1+((Inputs!$G$5:$G$110&lt;&gt;"moeda")*(Inputs!$G$5:$G$110&lt;&gt;"acoes")))*INDEX(Inputs!$K$5:$AJ$110,0,MATCH(Y$2,Inputs!$K$4:$AJ$4,0)))+SUMPRODUCT((Inputs!$C$5:$C$110=$B65)*Inputs!$D$5:$D$110*(((Inputs!$G$5:$G$110="moeda")+(Inputs!$G$5:$G$110="acoes"))*Inputs!$B$1+((Inputs!$G$5:$G$110&lt;&gt;"moeda")*(Inputs!$G$5:$G$110&lt;&gt;"acoes")))*INDEX(Inputs!$K$5:$AJ$110,0,MATCH(Y$2,Inputs!$K$4:$AJ$4,0)))+SUMPRODUCT((Inputs!$E$5:$E$110=$B65)*Inputs!$F$5:$F$110*(((Inputs!$G$5:$G$110="moeda")+(Inputs!$G$5:$G$110="acoes"))*Inputs!$B$1+((Inputs!$G$5:$G$110&lt;&gt;"moeda")*(Inputs!$G$5:$G$110&lt;&gt;"acoes")))*INDEX(Inputs!$K$5:$AJ$110,0,MATCH(Y$2,Inputs!$K$4:$AJ$4,0)))))</f>
        <v>4329</v>
      </c>
      <c r="Z65" s="263">
        <f>IF(ISNA(MATCH(Z$2,Inputs!$K$4:$AJ$4,0)),NA(),IF(SUMPRODUCT((Inputs!$A$5:$A$110=$B65)*ISNUMBER(INDEX(Inputs!$K$5:$AJ$110,0,MATCH(Z$2,Inputs!$K$4:$AJ$4,0))))+SUMPRODUCT((Inputs!$C$5:$C$110=$B65)*ISNUMBER(INDEX(Inputs!$K$5:$AJ$110,0,MATCH(Z$2,Inputs!$K$4:$AJ$4,0))))+SUMPRODUCT((Inputs!$E$5:$E$110=$B65)*ISNUMBER(INDEX(Inputs!$K$5:$AJ$110,0,MATCH(Z$2,Inputs!$K$4:$AJ$4,0))))=0,NA(),SUMPRODUCT((Inputs!$A$5:$A$110=$B65)*Inputs!$B$5:$B$110*(((Inputs!$G$5:$G$110="moeda")+(Inputs!$G$5:$G$110="acoes"))*Inputs!$B$1+((Inputs!$G$5:$G$110&lt;&gt;"moeda")*(Inputs!$G$5:$G$110&lt;&gt;"acoes")))*INDEX(Inputs!$K$5:$AJ$110,0,MATCH(Z$2,Inputs!$K$4:$AJ$4,0)))+SUMPRODUCT((Inputs!$C$5:$C$110=$B65)*Inputs!$D$5:$D$110*(((Inputs!$G$5:$G$110="moeda")+(Inputs!$G$5:$G$110="acoes"))*Inputs!$B$1+((Inputs!$G$5:$G$110&lt;&gt;"moeda")*(Inputs!$G$5:$G$110&lt;&gt;"acoes")))*INDEX(Inputs!$K$5:$AJ$110,0,MATCH(Z$2,Inputs!$K$4:$AJ$4,0)))+SUMPRODUCT((Inputs!$E$5:$E$110=$B65)*Inputs!$F$5:$F$110*(((Inputs!$G$5:$G$110="moeda")+(Inputs!$G$5:$G$110="acoes"))*Inputs!$B$1+((Inputs!$G$5:$G$110&lt;&gt;"moeda")*(Inputs!$G$5:$G$110&lt;&gt;"acoes")))*INDEX(Inputs!$K$5:$AJ$110,0,MATCH(Z$2,Inputs!$K$4:$AJ$4,0)))))</f>
        <v>4551</v>
      </c>
      <c r="AA65" s="263">
        <f>IF(ISNA(MATCH(AA$2,Inputs!$K$4:$AJ$4,0)),NA(),IF(SUMPRODUCT((Inputs!$A$5:$A$110=$B65)*ISNUMBER(INDEX(Inputs!$K$5:$AJ$110,0,MATCH(AA$2,Inputs!$K$4:$AJ$4,0))))+SUMPRODUCT((Inputs!$C$5:$C$110=$B65)*ISNUMBER(INDEX(Inputs!$K$5:$AJ$110,0,MATCH(AA$2,Inputs!$K$4:$AJ$4,0))))+SUMPRODUCT((Inputs!$E$5:$E$110=$B65)*ISNUMBER(INDEX(Inputs!$K$5:$AJ$110,0,MATCH(AA$2,Inputs!$K$4:$AJ$4,0))))=0,NA(),SUMPRODUCT((Inputs!$A$5:$A$110=$B65)*Inputs!$B$5:$B$110*(((Inputs!$G$5:$G$110="moeda")+(Inputs!$G$5:$G$110="acoes"))*Inputs!$B$1+((Inputs!$G$5:$G$110&lt;&gt;"moeda")*(Inputs!$G$5:$G$110&lt;&gt;"acoes")))*INDEX(Inputs!$K$5:$AJ$110,0,MATCH(AA$2,Inputs!$K$4:$AJ$4,0)))+SUMPRODUCT((Inputs!$C$5:$C$110=$B65)*Inputs!$D$5:$D$110*(((Inputs!$G$5:$G$110="moeda")+(Inputs!$G$5:$G$110="acoes"))*Inputs!$B$1+((Inputs!$G$5:$G$110&lt;&gt;"moeda")*(Inputs!$G$5:$G$110&lt;&gt;"acoes")))*INDEX(Inputs!$K$5:$AJ$110,0,MATCH(AA$2,Inputs!$K$4:$AJ$4,0)))+SUMPRODUCT((Inputs!$E$5:$E$110=$B65)*Inputs!$F$5:$F$110*(((Inputs!$G$5:$G$110="moeda")+(Inputs!$G$5:$G$110="acoes"))*Inputs!$B$1+((Inputs!$G$5:$G$110&lt;&gt;"moeda")*(Inputs!$G$5:$G$110&lt;&gt;"acoes")))*INDEX(Inputs!$K$5:$AJ$110,0,MATCH(AA$2,Inputs!$K$4:$AJ$4,0)))))</f>
        <v>4479</v>
      </c>
      <c r="AB65" s="264">
        <f>SUM(X65:AA65)</f>
        <v>17503</v>
      </c>
      <c r="AC65" s="263">
        <f>IF(ISNA(MATCH(AC$2,Inputs!$K$4:$AJ$4,0)),NA(),IF(SUMPRODUCT((Inputs!$A$5:$A$110=$B65)*ISNUMBER(INDEX(Inputs!$K$5:$AJ$110,0,MATCH(AC$2,Inputs!$K$4:$AJ$4,0))))+SUMPRODUCT((Inputs!$C$5:$C$110=$B65)*ISNUMBER(INDEX(Inputs!$K$5:$AJ$110,0,MATCH(AC$2,Inputs!$K$4:$AJ$4,0))))+SUMPRODUCT((Inputs!$E$5:$E$110=$B65)*ISNUMBER(INDEX(Inputs!$K$5:$AJ$110,0,MATCH(AC$2,Inputs!$K$4:$AJ$4,0))))=0,NA(),SUMPRODUCT((Inputs!$A$5:$A$110=$B65)*Inputs!$B$5:$B$110*(((Inputs!$G$5:$G$110="moeda")+(Inputs!$G$5:$G$110="acoes"))*Inputs!$B$1+((Inputs!$G$5:$G$110&lt;&gt;"moeda")*(Inputs!$G$5:$G$110&lt;&gt;"acoes")))*INDEX(Inputs!$K$5:$AJ$110,0,MATCH(AC$2,Inputs!$K$4:$AJ$4,0)))+SUMPRODUCT((Inputs!$C$5:$C$110=$B65)*Inputs!$D$5:$D$110*(((Inputs!$G$5:$G$110="moeda")+(Inputs!$G$5:$G$110="acoes"))*Inputs!$B$1+((Inputs!$G$5:$G$110&lt;&gt;"moeda")*(Inputs!$G$5:$G$110&lt;&gt;"acoes")))*INDEX(Inputs!$K$5:$AJ$110,0,MATCH(AC$2,Inputs!$K$4:$AJ$4,0)))+SUMPRODUCT((Inputs!$E$5:$E$110=$B65)*Inputs!$F$5:$F$110*(((Inputs!$G$5:$G$110="moeda")+(Inputs!$G$5:$G$110="acoes"))*Inputs!$B$1+((Inputs!$G$5:$G$110&lt;&gt;"moeda")*(Inputs!$G$5:$G$110&lt;&gt;"acoes")))*INDEX(Inputs!$K$5:$AJ$110,0,MATCH(AC$2,Inputs!$K$4:$AJ$4,0)))))</f>
        <v>4041</v>
      </c>
      <c r="AD65" s="263">
        <f>IF(ISNA(MATCH(AD$2,Inputs!$K$4:$AJ$4,0)),NA(),IF(SUMPRODUCT((Inputs!$A$5:$A$110=$B65)*ISNUMBER(INDEX(Inputs!$K$5:$AJ$110,0,MATCH(AD$2,Inputs!$K$4:$AJ$4,0))))+SUMPRODUCT((Inputs!$C$5:$C$110=$B65)*ISNUMBER(INDEX(Inputs!$K$5:$AJ$110,0,MATCH(AD$2,Inputs!$K$4:$AJ$4,0))))+SUMPRODUCT((Inputs!$E$5:$E$110=$B65)*ISNUMBER(INDEX(Inputs!$K$5:$AJ$110,0,MATCH(AD$2,Inputs!$K$4:$AJ$4,0))))=0,NA(),SUMPRODUCT((Inputs!$A$5:$A$110=$B65)*Inputs!$B$5:$B$110*(((Inputs!$G$5:$G$110="moeda")+(Inputs!$G$5:$G$110="acoes"))*Inputs!$B$1+((Inputs!$G$5:$G$110&lt;&gt;"moeda")*(Inputs!$G$5:$G$110&lt;&gt;"acoes")))*INDEX(Inputs!$K$5:$AJ$110,0,MATCH(AD$2,Inputs!$K$4:$AJ$4,0)))+SUMPRODUCT((Inputs!$C$5:$C$110=$B65)*Inputs!$D$5:$D$110*(((Inputs!$G$5:$G$110="moeda")+(Inputs!$G$5:$G$110="acoes"))*Inputs!$B$1+((Inputs!$G$5:$G$110&lt;&gt;"moeda")*(Inputs!$G$5:$G$110&lt;&gt;"acoes")))*INDEX(Inputs!$K$5:$AJ$110,0,MATCH(AD$2,Inputs!$K$4:$AJ$4,0)))+SUMPRODUCT((Inputs!$E$5:$E$110=$B65)*Inputs!$F$5:$F$110*(((Inputs!$G$5:$G$110="moeda")+(Inputs!$G$5:$G$110="acoes"))*Inputs!$B$1+((Inputs!$G$5:$G$110&lt;&gt;"moeda")*(Inputs!$G$5:$G$110&lt;&gt;"acoes")))*INDEX(Inputs!$K$5:$AJ$110,0,MATCH(AD$2,Inputs!$K$4:$AJ$4,0)))))</f>
        <v>4013</v>
      </c>
      <c r="AE65" s="263" t="e">
        <f>IF(ISNA(MATCH(AE$2,Inputs!$K$4:$AJ$4,0)),NA(),IF(SUMPRODUCT((Inputs!$A$5:$A$110=$B65)*ISNUMBER(INDEX(Inputs!$K$5:$AJ$110,0,MATCH(AE$2,Inputs!$K$4:$AJ$4,0))))+SUMPRODUCT((Inputs!$C$5:$C$110=$B65)*ISNUMBER(INDEX(Inputs!$K$5:$AJ$110,0,MATCH(AE$2,Inputs!$K$4:$AJ$4,0))))+SUMPRODUCT((Inputs!$E$5:$E$110=$B65)*ISNUMBER(INDEX(Inputs!$K$5:$AJ$110,0,MATCH(AE$2,Inputs!$K$4:$AJ$4,0))))=0,NA(),SUMPRODUCT((Inputs!$A$5:$A$110=$B65)*Inputs!$B$5:$B$110*(((Inputs!$G$5:$G$110="moeda")+(Inputs!$G$5:$G$110="acoes"))*Inputs!$B$1+((Inputs!$G$5:$G$110&lt;&gt;"moeda")*(Inputs!$G$5:$G$110&lt;&gt;"acoes")))*INDEX(Inputs!$K$5:$AJ$110,0,MATCH(AE$2,Inputs!$K$4:$AJ$4,0)))+SUMPRODUCT((Inputs!$C$5:$C$110=$B65)*Inputs!$D$5:$D$110*(((Inputs!$G$5:$G$110="moeda")+(Inputs!$G$5:$G$110="acoes"))*Inputs!$B$1+((Inputs!$G$5:$G$110&lt;&gt;"moeda")*(Inputs!$G$5:$G$110&lt;&gt;"acoes")))*INDEX(Inputs!$K$5:$AJ$110,0,MATCH(AE$2,Inputs!$K$4:$AJ$4,0)))+SUMPRODUCT((Inputs!$E$5:$E$110=$B65)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5" s="263" t="e">
        <f>IF(ISNA(MATCH(AF$2,Inputs!$K$4:$AJ$4,0)),NA(),IF(SUMPRODUCT((Inputs!$A$5:$A$110=$B65)*ISNUMBER(INDEX(Inputs!$K$5:$AJ$110,0,MATCH(AF$2,Inputs!$K$4:$AJ$4,0))))+SUMPRODUCT((Inputs!$C$5:$C$110=$B65)*ISNUMBER(INDEX(Inputs!$K$5:$AJ$110,0,MATCH(AF$2,Inputs!$K$4:$AJ$4,0))))+SUMPRODUCT((Inputs!$E$5:$E$110=$B65)*ISNUMBER(INDEX(Inputs!$K$5:$AJ$110,0,MATCH(AF$2,Inputs!$K$4:$AJ$4,0))))=0,NA(),SUMPRODUCT((Inputs!$A$5:$A$110=$B65)*Inputs!$B$5:$B$110*(((Inputs!$G$5:$G$110="moeda")+(Inputs!$G$5:$G$110="acoes"))*Inputs!$B$1+((Inputs!$G$5:$G$110&lt;&gt;"moeda")*(Inputs!$G$5:$G$110&lt;&gt;"acoes")))*INDEX(Inputs!$K$5:$AJ$110,0,MATCH(AF$2,Inputs!$K$4:$AJ$4,0)))+SUMPRODUCT((Inputs!$C$5:$C$110=$B65)*Inputs!$D$5:$D$110*(((Inputs!$G$5:$G$110="moeda")+(Inputs!$G$5:$G$110="acoes"))*Inputs!$B$1+((Inputs!$G$5:$G$110&lt;&gt;"moeda")*(Inputs!$G$5:$G$110&lt;&gt;"acoes")))*INDEX(Inputs!$K$5:$AJ$110,0,MATCH(AF$2,Inputs!$K$4:$AJ$4,0)))+SUMPRODUCT((Inputs!$E$5:$E$110=$B65)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$110=$B65)*ISNUMBER(INDEX(Inputs!$K$5:$AJ$110,0,MATCH(AH$2,Inputs!$K$4:$AJ$4,0))))+SUMPRODUCT((Inputs!$C$5:$C$110=$B65)*ISNUMBER(INDEX(Inputs!$K$5:$AJ$110,0,MATCH(AH$2,Inputs!$K$4:$AJ$4,0))))+SUMPRODUCT((Inputs!$E$5:$E$110=$B65)*ISNUMBER(INDEX(Inputs!$K$5:$AJ$110,0,MATCH(AH$2,Inputs!$K$4:$AJ$4,0))))=0,NA(),SUMPRODUCT((Inputs!$A$5:$A$110=$B65)*Inputs!$B$5:$B$110*(((Inputs!$G$5:$G$110="moeda")+(Inputs!$G$5:$G$110="acoes"))*Inputs!$B$1+((Inputs!$G$5:$G$110&lt;&gt;"moeda")*(Inputs!$G$5:$G$110&lt;&gt;"acoes")))*INDEX(Inputs!$K$5:$AJ$110,0,MATCH(AH$2,Inputs!$K$4:$AJ$4,0)))+SUMPRODUCT((Inputs!$C$5:$C$110=$B65)*Inputs!$D$5:$D$110*(((Inputs!$G$5:$G$110="moeda")+(Inputs!$G$5:$G$110="acoes"))*Inputs!$B$1+((Inputs!$G$5:$G$110&lt;&gt;"moeda")*(Inputs!$G$5:$G$110&lt;&gt;"acoes")))*INDEX(Inputs!$K$5:$AJ$110,0,MATCH(AH$2,Inputs!$K$4:$AJ$4,0)))+SUMPRODUCT((Inputs!$E$5:$E$110=$B65)*Inputs!$F$5:$F$110*(((Inputs!$G$5:$G$110="moeda")+(Inputs!$G$5:$G$110="acoes"))*Inputs!$B$1+((Inputs!$G$5:$G$110&lt;&gt;"moeda")*(Inputs!$G$5:$G$110&lt;&gt;"acoes")))*INDEX(Inputs!$K$5:$AJ$110,0,MATCH(AH$2,Inputs!$K$4:$AJ$4,0)))))</f>
        <v>6632</v>
      </c>
      <c r="AI65" s="263">
        <f>IF(ISNA(MATCH(AI$2,Inputs!$K$4:$AJ$4,0)),NA(),IF(SUMPRODUCT((Inputs!$A$5:$A$110=$B65)*ISNUMBER(INDEX(Inputs!$K$5:$AJ$110,0,MATCH(AI$2,Inputs!$K$4:$AJ$4,0))))+SUMPRODUCT((Inputs!$C$5:$C$110=$B65)*ISNUMBER(INDEX(Inputs!$K$5:$AJ$110,0,MATCH(AI$2,Inputs!$K$4:$AJ$4,0))))+SUMPRODUCT((Inputs!$E$5:$E$110=$B65)*ISNUMBER(INDEX(Inputs!$K$5:$AJ$110,0,MATCH(AI$2,Inputs!$K$4:$AJ$4,0))))=0,NA(),SUMPRODUCT((Inputs!$A$5:$A$110=$B65)*Inputs!$B$5:$B$110*(((Inputs!$G$5:$G$110="moeda")+(Inputs!$G$5:$G$110="acoes"))*Inputs!$B$1+((Inputs!$G$5:$G$110&lt;&gt;"moeda")*(Inputs!$G$5:$G$110&lt;&gt;"acoes")))*INDEX(Inputs!$K$5:$AJ$110,0,MATCH(AI$2,Inputs!$K$4:$AJ$4,0)))+SUMPRODUCT((Inputs!$C$5:$C$110=$B65)*Inputs!$D$5:$D$110*(((Inputs!$G$5:$G$110="moeda")+(Inputs!$G$5:$G$110="acoes"))*Inputs!$B$1+((Inputs!$G$5:$G$110&lt;&gt;"moeda")*(Inputs!$G$5:$G$110&lt;&gt;"acoes")))*INDEX(Inputs!$K$5:$AJ$110,0,MATCH(AI$2,Inputs!$K$4:$AJ$4,0)))+SUMPRODUCT((Inputs!$E$5:$E$110=$B65)*Inputs!$F$5:$F$110*(((Inputs!$G$5:$G$110="moeda")+(Inputs!$G$5:$G$110="acoes"))*Inputs!$B$1+((Inputs!$G$5:$G$110&lt;&gt;"moeda")*(Inputs!$G$5:$G$110&lt;&gt;"acoes")))*INDEX(Inputs!$K$5:$AJ$110,0,MATCH(AI$2,Inputs!$K$4:$AJ$4,0)))))</f>
        <v>7923</v>
      </c>
      <c r="AJ65" s="263">
        <f>IF(ISNA(MATCH(AJ$2,Inputs!$K$4:$AJ$4,0)),NA(),IF(SUMPRODUCT((Inputs!$A$5:$A$110=$B65)*ISNUMBER(INDEX(Inputs!$K$5:$AJ$110,0,MATCH(AJ$2,Inputs!$K$4:$AJ$4,0))))+SUMPRODUCT((Inputs!$C$5:$C$110=$B65)*ISNUMBER(INDEX(Inputs!$K$5:$AJ$110,0,MATCH(AJ$2,Inputs!$K$4:$AJ$4,0))))+SUMPRODUCT((Inputs!$E$5:$E$110=$B65)*ISNUMBER(INDEX(Inputs!$K$5:$AJ$110,0,MATCH(AJ$2,Inputs!$K$4:$AJ$4,0))))=0,NA(),SUMPRODUCT((Inputs!$A$5:$A$110=$B65)*Inputs!$B$5:$B$110*(((Inputs!$G$5:$G$110="moeda")+(Inputs!$G$5:$G$110="acoes"))*Inputs!$B$1+((Inputs!$G$5:$G$110&lt;&gt;"moeda")*(Inputs!$G$5:$G$110&lt;&gt;"acoes")))*INDEX(Inputs!$K$5:$AJ$110,0,MATCH(AJ$2,Inputs!$K$4:$AJ$4,0)))+SUMPRODUCT((Inputs!$C$5:$C$110=$B65)*Inputs!$D$5:$D$110*(((Inputs!$G$5:$G$110="moeda")+(Inputs!$G$5:$G$110="acoes"))*Inputs!$B$1+((Inputs!$G$5:$G$110&lt;&gt;"moeda")*(Inputs!$G$5:$G$110&lt;&gt;"acoes")))*INDEX(Inputs!$K$5:$AJ$110,0,MATCH(AJ$2,Inputs!$K$4:$AJ$4,0)))+SUMPRODUCT((Inputs!$E$5:$E$110=$B65)*Inputs!$F$5:$F$110*(((Inputs!$G$5:$G$110="moeda")+(Inputs!$G$5:$G$110="acoes"))*Inputs!$B$1+((Inputs!$G$5:$G$110&lt;&gt;"moeda")*(Inputs!$G$5:$G$110&lt;&gt;"acoes")))*INDEX(Inputs!$K$5:$AJ$110,0,MATCH(AJ$2,Inputs!$K$4:$AJ$4,0)))))</f>
        <v>6771</v>
      </c>
      <c r="AK65" s="263">
        <f>IF(ISNA(MATCH(AK$2,Inputs!$K$4:$AJ$4,0)),NA(),IF(SUMPRODUCT((Inputs!$A$5:$A$110=$B65)*ISNUMBER(INDEX(Inputs!$K$5:$AJ$110,0,MATCH(AK$2,Inputs!$K$4:$AJ$4,0))))+SUMPRODUCT((Inputs!$C$5:$C$110=$B65)*ISNUMBER(INDEX(Inputs!$K$5:$AJ$110,0,MATCH(AK$2,Inputs!$K$4:$AJ$4,0))))+SUMPRODUCT((Inputs!$E$5:$E$110=$B65)*ISNUMBER(INDEX(Inputs!$K$5:$AJ$110,0,MATCH(AK$2,Inputs!$K$4:$AJ$4,0))))=0,NA(),SUMPRODUCT((Inputs!$A$5:$A$110=$B65)*Inputs!$B$5:$B$110*(((Inputs!$G$5:$G$110="moeda")+(Inputs!$G$5:$G$110="acoes"))*Inputs!$B$1+((Inputs!$G$5:$G$110&lt;&gt;"moeda")*(Inputs!$G$5:$G$110&lt;&gt;"acoes")))*INDEX(Inputs!$K$5:$AJ$110,0,MATCH(AK$2,Inputs!$K$4:$AJ$4,0)))+SUMPRODUCT((Inputs!$C$5:$C$110=$B65)*Inputs!$D$5:$D$110*(((Inputs!$G$5:$G$110="moeda")+(Inputs!$G$5:$G$110="acoes"))*Inputs!$B$1+((Inputs!$G$5:$G$110&lt;&gt;"moeda")*(Inputs!$G$5:$G$110&lt;&gt;"acoes")))*INDEX(Inputs!$K$5:$AJ$110,0,MATCH(AK$2,Inputs!$K$4:$AJ$4,0)))+SUMPRODUCT((Inputs!$E$5:$E$110=$B65)*Inputs!$F$5:$F$110*(((Inputs!$G$5:$G$110="moeda")+(Inputs!$G$5:$G$110="acoes"))*Inputs!$B$1+((Inputs!$G$5:$G$110&lt;&gt;"moeda")*(Inputs!$G$5:$G$110&lt;&gt;"acoes")))*INDEX(Inputs!$K$5:$AJ$110,0,MATCH(AK$2,Inputs!$K$4:$AJ$4,0)))))</f>
        <v>7634</v>
      </c>
      <c r="AL65" s="264">
        <f>SUM(AH65:AK65)</f>
        <v>28960</v>
      </c>
    </row>
    <row r="66">
      <c r="B66" s="46" t="n">
        <v>58</v>
      </c>
      <c r="C66" s="29" t="inlineStr">
        <is>
          <t>Search and news advertising - receita (USD)</t>
        </is>
      </c>
      <c r="D66" s="263">
        <f>IF(ISNA(MATCH(D$2,Inputs!$K$4:$AJ$4,0)),NA(),IF(SUMPRODUCT((Inputs!$A$5:$A$110=$B66)*ISNUMBER(INDEX(Inputs!$K$5:$AJ$110,0,MATCH(D$2,Inputs!$K$4:$AJ$4,0))))+SUMPRODUCT((Inputs!$C$5:$C$110=$B66)*ISNUMBER(INDEX(Inputs!$K$5:$AJ$110,0,MATCH(D$2,Inputs!$K$4:$AJ$4,0))))+SUMPRODUCT((Inputs!$E$5:$E$110=$B66)*ISNUMBER(INDEX(Inputs!$K$5:$AJ$110,0,MATCH(D$2,Inputs!$K$4:$AJ$4,0))))=0,NA(),SUMPRODUCT((Inputs!$A$5:$A$110=$B66)*Inputs!$B$5:$B$110*(((Inputs!$G$5:$G$110="moeda")+(Inputs!$G$5:$G$110="acoes"))*Inputs!$B$1+((Inputs!$G$5:$G$110&lt;&gt;"moeda")*(Inputs!$G$5:$G$110&lt;&gt;"acoes")))*INDEX(Inputs!$K$5:$AJ$110,0,MATCH(D$2,Inputs!$K$4:$AJ$4,0)))+SUMPRODUCT((Inputs!$C$5:$C$110=$B66)*Inputs!$D$5:$D$110*(((Inputs!$G$5:$G$110="moeda")+(Inputs!$G$5:$G$110="acoes"))*Inputs!$B$1+((Inputs!$G$5:$G$110&lt;&gt;"moeda")*(Inputs!$G$5:$G$110&lt;&gt;"acoes")))*INDEX(Inputs!$K$5:$AJ$110,0,MATCH(D$2,Inputs!$K$4:$AJ$4,0)))+SUMPRODUCT((Inputs!$E$5:$E$110=$B66)*Inputs!$F$5:$F$110*(((Inputs!$G$5:$G$110="moeda")+(Inputs!$G$5:$G$110="acoes"))*Inputs!$B$1+((Inputs!$G$5:$G$110&lt;&gt;"moeda")*(Inputs!$G$5:$G$110&lt;&gt;"acoes")))*INDEX(Inputs!$K$5:$AJ$110,0,MATCH(D$2,Inputs!$K$4:$AJ$4,0)))))</f>
        <v>2401</v>
      </c>
      <c r="E66" s="263">
        <f>IF(ISNA(MATCH(E$2,Inputs!$K$4:$AJ$4,0)),NA(),IF(SUMPRODUCT((Inputs!$A$5:$A$110=$B66)*ISNUMBER(INDEX(Inputs!$K$5:$AJ$110,0,MATCH(E$2,Inputs!$K$4:$AJ$4,0))))+SUMPRODUCT((Inputs!$C$5:$C$110=$B66)*ISNUMBER(INDEX(Inputs!$K$5:$AJ$110,0,MATCH(E$2,Inputs!$K$4:$AJ$4,0))))+SUMPRODUCT((Inputs!$E$5:$E$110=$B66)*ISNUMBER(INDEX(Inputs!$K$5:$AJ$110,0,MATCH(E$2,Inputs!$K$4:$AJ$4,0))))=0,NA(),SUMPRODUCT((Inputs!$A$5:$A$110=$B66)*Inputs!$B$5:$B$110*(((Inputs!$G$5:$G$110="moeda")+(Inputs!$G$5:$G$110="acoes"))*Inputs!$B$1+((Inputs!$G$5:$G$110&lt;&gt;"moeda")*(Inputs!$G$5:$G$110&lt;&gt;"acoes")))*INDEX(Inputs!$K$5:$AJ$110,0,MATCH(E$2,Inputs!$K$4:$AJ$4,0)))+SUMPRODUCT((Inputs!$C$5:$C$110=$B66)*Inputs!$D$5:$D$110*(((Inputs!$G$5:$G$110="moeda")+(Inputs!$G$5:$G$110="acoes"))*Inputs!$B$1+((Inputs!$G$5:$G$110&lt;&gt;"moeda")*(Inputs!$G$5:$G$110&lt;&gt;"acoes")))*INDEX(Inputs!$K$5:$AJ$110,0,MATCH(E$2,Inputs!$K$4:$AJ$4,0)))+SUMPRODUCT((Inputs!$E$5:$E$110=$B66)*Inputs!$F$5:$F$110*(((Inputs!$G$5:$G$110="moeda")+(Inputs!$G$5:$G$110="acoes"))*Inputs!$B$1+((Inputs!$G$5:$G$110&lt;&gt;"moeda")*(Inputs!$G$5:$G$110&lt;&gt;"acoes")))*INDEX(Inputs!$K$5:$AJ$110,0,MATCH(E$2,Inputs!$K$4:$AJ$4,0)))))</f>
        <v>2537</v>
      </c>
      <c r="F66" s="263">
        <f>IF(ISNA(MATCH(F$2,Inputs!$K$4:$AJ$4,0)),NA(),IF(SUMPRODUCT((Inputs!$A$5:$A$110=$B66)*ISNUMBER(INDEX(Inputs!$K$5:$AJ$110,0,MATCH(F$2,Inputs!$K$4:$AJ$4,0))))+SUMPRODUCT((Inputs!$C$5:$C$110=$B66)*ISNUMBER(INDEX(Inputs!$K$5:$AJ$110,0,MATCH(F$2,Inputs!$K$4:$AJ$4,0))))+SUMPRODUCT((Inputs!$E$5:$E$110=$B66)*ISNUMBER(INDEX(Inputs!$K$5:$AJ$110,0,MATCH(F$2,Inputs!$K$4:$AJ$4,0))))=0,NA(),SUMPRODUCT((Inputs!$A$5:$A$110=$B66)*Inputs!$B$5:$B$110*(((Inputs!$G$5:$G$110="moeda")+(Inputs!$G$5:$G$110="acoes"))*Inputs!$B$1+((Inputs!$G$5:$G$110&lt;&gt;"moeda")*(Inputs!$G$5:$G$110&lt;&gt;"acoes")))*INDEX(Inputs!$K$5:$AJ$110,0,MATCH(F$2,Inputs!$K$4:$AJ$4,0)))+SUMPRODUCT((Inputs!$C$5:$C$110=$B66)*Inputs!$D$5:$D$110*(((Inputs!$G$5:$G$110="moeda")+(Inputs!$G$5:$G$110="acoes"))*Inputs!$B$1+((Inputs!$G$5:$G$110&lt;&gt;"moeda")*(Inputs!$G$5:$G$110&lt;&gt;"acoes")))*INDEX(Inputs!$K$5:$AJ$110,0,MATCH(F$2,Inputs!$K$4:$AJ$4,0)))+SUMPRODUCT((Inputs!$E$5:$E$110=$B66)*Inputs!$F$5:$F$110*(((Inputs!$G$5:$G$110="moeda")+(Inputs!$G$5:$G$110="acoes"))*Inputs!$B$1+((Inputs!$G$5:$G$110&lt;&gt;"moeda")*(Inputs!$G$5:$G$110&lt;&gt;"acoes")))*INDEX(Inputs!$K$5:$AJ$110,0,MATCH(F$2,Inputs!$K$4:$AJ$4,0)))))</f>
        <v>2656</v>
      </c>
      <c r="G66" s="263">
        <f>IF(ISNA(MATCH(G$2,Inputs!$K$4:$AJ$4,0)),NA(),IF(SUMPRODUCT((Inputs!$A$5:$A$110=$B66)*ISNUMBER(INDEX(Inputs!$K$5:$AJ$110,0,MATCH(G$2,Inputs!$K$4:$AJ$4,0))))+SUMPRODUCT((Inputs!$C$5:$C$110=$B66)*ISNUMBER(INDEX(Inputs!$K$5:$AJ$110,0,MATCH(G$2,Inputs!$K$4:$AJ$4,0))))+SUMPRODUCT((Inputs!$E$5:$E$110=$B66)*ISNUMBER(INDEX(Inputs!$K$5:$AJ$110,0,MATCH(G$2,Inputs!$K$4:$AJ$4,0))))=0,NA(),SUMPRODUCT((Inputs!$A$5:$A$110=$B66)*Inputs!$B$5:$B$110*(((Inputs!$G$5:$G$110="moeda")+(Inputs!$G$5:$G$110="acoes"))*Inputs!$B$1+((Inputs!$G$5:$G$110&lt;&gt;"moeda")*(Inputs!$G$5:$G$110&lt;&gt;"acoes")))*INDEX(Inputs!$K$5:$AJ$110,0,MATCH(G$2,Inputs!$K$4:$AJ$4,0)))+SUMPRODUCT((Inputs!$C$5:$C$110=$B66)*Inputs!$D$5:$D$110*(((Inputs!$G$5:$G$110="moeda")+(Inputs!$G$5:$G$110="acoes"))*Inputs!$B$1+((Inputs!$G$5:$G$110&lt;&gt;"moeda")*(Inputs!$G$5:$G$110&lt;&gt;"acoes")))*INDEX(Inputs!$K$5:$AJ$110,0,MATCH(G$2,Inputs!$K$4:$AJ$4,0)))+SUMPRODUCT((Inputs!$E$5:$E$110=$B66)*Inputs!$F$5:$F$110*(((Inputs!$G$5:$G$110="moeda")+(Inputs!$G$5:$G$110="acoes"))*Inputs!$B$1+((Inputs!$G$5:$G$110&lt;&gt;"moeda")*(Inputs!$G$5:$G$110&lt;&gt;"acoes")))*INDEX(Inputs!$K$5:$AJ$110,0,MATCH(G$2,Inputs!$K$4:$AJ$4,0)))))</f>
        <v>3064</v>
      </c>
      <c r="H66" s="264">
        <f>SUM(D66:G66)</f>
        <v>10658</v>
      </c>
      <c r="I66" s="263">
        <f>IF(ISNA(MATCH(I$2,Inputs!$K$4:$AJ$4,0)),NA(),IF(SUMPRODUCT((Inputs!$A$5:$A$110=$B66)*ISNUMBER(INDEX(Inputs!$K$5:$AJ$110,0,MATCH(I$2,Inputs!$K$4:$AJ$4,0))))+SUMPRODUCT((Inputs!$C$5:$C$110=$B66)*ISNUMBER(INDEX(Inputs!$K$5:$AJ$110,0,MATCH(I$2,Inputs!$K$4:$AJ$4,0))))+SUMPRODUCT((Inputs!$E$5:$E$110=$B66)*ISNUMBER(INDEX(Inputs!$K$5:$AJ$110,0,MATCH(I$2,Inputs!$K$4:$AJ$4,0))))=0,NA(),SUMPRODUCT((Inputs!$A$5:$A$110=$B66)*Inputs!$B$5:$B$110*(((Inputs!$G$5:$G$110="moeda")+(Inputs!$G$5:$G$110="acoes"))*Inputs!$B$1+((Inputs!$G$5:$G$110&lt;&gt;"moeda")*(Inputs!$G$5:$G$110&lt;&gt;"acoes")))*INDEX(Inputs!$K$5:$AJ$110,0,MATCH(I$2,Inputs!$K$4:$AJ$4,0)))+SUMPRODUCT((Inputs!$C$5:$C$110=$B66)*Inputs!$D$5:$D$110*(((Inputs!$G$5:$G$110="moeda")+(Inputs!$G$5:$G$110="acoes"))*Inputs!$B$1+((Inputs!$G$5:$G$110&lt;&gt;"moeda")*(Inputs!$G$5:$G$110&lt;&gt;"acoes")))*INDEX(Inputs!$K$5:$AJ$110,0,MATCH(I$2,Inputs!$K$4:$AJ$4,0)))+SUMPRODUCT((Inputs!$E$5:$E$110=$B66)*Inputs!$F$5:$F$110*(((Inputs!$G$5:$G$110="moeda")+(Inputs!$G$5:$G$110="acoes"))*Inputs!$B$1+((Inputs!$G$5:$G$110&lt;&gt;"moeda")*(Inputs!$G$5:$G$110&lt;&gt;"acoes")))*INDEX(Inputs!$K$5:$AJ$110,0,MATCH(I$2,Inputs!$K$4:$AJ$4,0)))))</f>
        <v>2945</v>
      </c>
      <c r="J66" s="263">
        <f>IF(ISNA(MATCH(J$2,Inputs!$K$4:$AJ$4,0)),NA(),IF(SUMPRODUCT((Inputs!$A$5:$A$110=$B66)*ISNUMBER(INDEX(Inputs!$K$5:$AJ$110,0,MATCH(J$2,Inputs!$K$4:$AJ$4,0))))+SUMPRODUCT((Inputs!$C$5:$C$110=$B66)*ISNUMBER(INDEX(Inputs!$K$5:$AJ$110,0,MATCH(J$2,Inputs!$K$4:$AJ$4,0))))+SUMPRODUCT((Inputs!$E$5:$E$110=$B66)*ISNUMBER(INDEX(Inputs!$K$5:$AJ$110,0,MATCH(J$2,Inputs!$K$4:$AJ$4,0))))=0,NA(),SUMPRODUCT((Inputs!$A$5:$A$110=$B66)*Inputs!$B$5:$B$110*(((Inputs!$G$5:$G$110="moeda")+(Inputs!$G$5:$G$110="acoes"))*Inputs!$B$1+((Inputs!$G$5:$G$110&lt;&gt;"moeda")*(Inputs!$G$5:$G$110&lt;&gt;"acoes")))*INDEX(Inputs!$K$5:$AJ$110,0,MATCH(J$2,Inputs!$K$4:$AJ$4,0)))+SUMPRODUCT((Inputs!$C$5:$C$110=$B66)*Inputs!$D$5:$D$110*(((Inputs!$G$5:$G$110="moeda")+(Inputs!$G$5:$G$110="acoes"))*Inputs!$B$1+((Inputs!$G$5:$G$110&lt;&gt;"moeda")*(Inputs!$G$5:$G$110&lt;&gt;"acoes")))*INDEX(Inputs!$K$5:$AJ$110,0,MATCH(J$2,Inputs!$K$4:$AJ$4,0)))+SUMPRODUCT((Inputs!$E$5:$E$110=$B66)*Inputs!$F$5:$F$110*(((Inputs!$G$5:$G$110="moeda")+(Inputs!$G$5:$G$110="acoes"))*Inputs!$B$1+((Inputs!$G$5:$G$110&lt;&gt;"moeda")*(Inputs!$G$5:$G$110&lt;&gt;"acoes")))*INDEX(Inputs!$K$5:$AJ$110,0,MATCH(J$2,Inputs!$K$4:$AJ$4,0)))))</f>
        <v>2926</v>
      </c>
      <c r="K66" s="263">
        <f>IF(ISNA(MATCH(K$2,Inputs!$K$4:$AJ$4,0)),NA(),IF(SUMPRODUCT((Inputs!$A$5:$A$110=$B66)*ISNUMBER(INDEX(Inputs!$K$5:$AJ$110,0,MATCH(K$2,Inputs!$K$4:$AJ$4,0))))+SUMPRODUCT((Inputs!$C$5:$C$110=$B66)*ISNUMBER(INDEX(Inputs!$K$5:$AJ$110,0,MATCH(K$2,Inputs!$K$4:$AJ$4,0))))+SUMPRODUCT((Inputs!$E$5:$E$110=$B66)*ISNUMBER(INDEX(Inputs!$K$5:$AJ$110,0,MATCH(K$2,Inputs!$K$4:$AJ$4,0))))=0,NA(),SUMPRODUCT((Inputs!$A$5:$A$110=$B66)*Inputs!$B$5:$B$110*(((Inputs!$G$5:$G$110="moeda")+(Inputs!$G$5:$G$110="acoes"))*Inputs!$B$1+((Inputs!$G$5:$G$110&lt;&gt;"moeda")*(Inputs!$G$5:$G$110&lt;&gt;"acoes")))*INDEX(Inputs!$K$5:$AJ$110,0,MATCH(K$2,Inputs!$K$4:$AJ$4,0)))+SUMPRODUCT((Inputs!$C$5:$C$110=$B66)*Inputs!$D$5:$D$110*(((Inputs!$G$5:$G$110="moeda")+(Inputs!$G$5:$G$110="acoes"))*Inputs!$B$1+((Inputs!$G$5:$G$110&lt;&gt;"moeda")*(Inputs!$G$5:$G$110&lt;&gt;"acoes")))*INDEX(Inputs!$K$5:$AJ$110,0,MATCH(K$2,Inputs!$K$4:$AJ$4,0)))+SUMPRODUCT((Inputs!$E$5:$E$110=$B66)*Inputs!$F$5:$F$110*(((Inputs!$G$5:$G$110="moeda")+(Inputs!$G$5:$G$110="acoes"))*Inputs!$B$1+((Inputs!$G$5:$G$110&lt;&gt;"moeda")*(Inputs!$G$5:$G$110&lt;&gt;"acoes")))*INDEX(Inputs!$K$5:$AJ$110,0,MATCH(K$2,Inputs!$K$4:$AJ$4,0)))))</f>
        <v>2913</v>
      </c>
      <c r="L66" s="263">
        <f>IF(ISNA(MATCH(L$2,Inputs!$K$4:$AJ$4,0)),NA(),IF(SUMPRODUCT((Inputs!$A$5:$A$110=$B66)*ISNUMBER(INDEX(Inputs!$K$5:$AJ$110,0,MATCH(L$2,Inputs!$K$4:$AJ$4,0))))+SUMPRODUCT((Inputs!$C$5:$C$110=$B66)*ISNUMBER(INDEX(Inputs!$K$5:$AJ$110,0,MATCH(L$2,Inputs!$K$4:$AJ$4,0))))+SUMPRODUCT((Inputs!$E$5:$E$110=$B66)*ISNUMBER(INDEX(Inputs!$K$5:$AJ$110,0,MATCH(L$2,Inputs!$K$4:$AJ$4,0))))=0,NA(),SUMPRODUCT((Inputs!$A$5:$A$110=$B66)*Inputs!$B$5:$B$110*(((Inputs!$G$5:$G$110="moeda")+(Inputs!$G$5:$G$110="acoes"))*Inputs!$B$1+((Inputs!$G$5:$G$110&lt;&gt;"moeda")*(Inputs!$G$5:$G$110&lt;&gt;"acoes")))*INDEX(Inputs!$K$5:$AJ$110,0,MATCH(L$2,Inputs!$K$4:$AJ$4,0)))+SUMPRODUCT((Inputs!$C$5:$C$110=$B66)*Inputs!$D$5:$D$110*(((Inputs!$G$5:$G$110="moeda")+(Inputs!$G$5:$G$110="acoes"))*Inputs!$B$1+((Inputs!$G$5:$G$110&lt;&gt;"moeda")*(Inputs!$G$5:$G$110&lt;&gt;"acoes")))*INDEX(Inputs!$K$5:$AJ$110,0,MATCH(L$2,Inputs!$K$4:$AJ$4,0)))+SUMPRODUCT((Inputs!$E$5:$E$110=$B66)*Inputs!$F$5:$F$110*(((Inputs!$G$5:$G$110="moeda")+(Inputs!$G$5:$G$110="acoes"))*Inputs!$B$1+((Inputs!$G$5:$G$110&lt;&gt;"moeda")*(Inputs!$G$5:$G$110&lt;&gt;"acoes")))*INDEX(Inputs!$K$5:$AJ$110,0,MATCH(L$2,Inputs!$K$4:$AJ$4,0)))))</f>
        <v>3209</v>
      </c>
      <c r="M66" s="264">
        <f>SUM(I66:L66)</f>
        <v>11993</v>
      </c>
      <c r="N66" s="263">
        <f>IF(ISNA(MATCH(N$2,Inputs!$K$4:$AJ$4,0)),NA(),IF(SUMPRODUCT((Inputs!$A$5:$A$110=$B66)*ISNUMBER(INDEX(Inputs!$K$5:$AJ$110,0,MATCH(N$2,Inputs!$K$4:$AJ$4,0))))+SUMPRODUCT((Inputs!$C$5:$C$110=$B66)*ISNUMBER(INDEX(Inputs!$K$5:$AJ$110,0,MATCH(N$2,Inputs!$K$4:$AJ$4,0))))+SUMPRODUCT((Inputs!$E$5:$E$110=$B66)*ISNUMBER(INDEX(Inputs!$K$5:$AJ$110,0,MATCH(N$2,Inputs!$K$4:$AJ$4,0))))=0,NA(),SUMPRODUCT((Inputs!$A$5:$A$110=$B66)*Inputs!$B$5:$B$110*(((Inputs!$G$5:$G$110="moeda")+(Inputs!$G$5:$G$110="acoes"))*Inputs!$B$1+((Inputs!$G$5:$G$110&lt;&gt;"moeda")*(Inputs!$G$5:$G$110&lt;&gt;"acoes")))*INDEX(Inputs!$K$5:$AJ$110,0,MATCH(N$2,Inputs!$K$4:$AJ$4,0)))+SUMPRODUCT((Inputs!$C$5:$C$110=$B66)*Inputs!$D$5:$D$110*(((Inputs!$G$5:$G$110="moeda")+(Inputs!$G$5:$G$110="acoes"))*Inputs!$B$1+((Inputs!$G$5:$G$110&lt;&gt;"moeda")*(Inputs!$G$5:$G$110&lt;&gt;"acoes")))*INDEX(Inputs!$K$5:$AJ$110,0,MATCH(N$2,Inputs!$K$4:$AJ$4,0)))+SUMPRODUCT((Inputs!$E$5:$E$110=$B66)*Inputs!$F$5:$F$110*(((Inputs!$G$5:$G$110="moeda")+(Inputs!$G$5:$G$110="acoes"))*Inputs!$B$1+((Inputs!$G$5:$G$110&lt;&gt;"moeda")*(Inputs!$G$5:$G$110&lt;&gt;"acoes")))*INDEX(Inputs!$K$5:$AJ$110,0,MATCH(N$2,Inputs!$K$4:$AJ$4,0)))))</f>
        <v>3036</v>
      </c>
      <c r="O66" s="263">
        <f>IF(ISNA(MATCH(O$2,Inputs!$K$4:$AJ$4,0)),NA(),IF(SUMPRODUCT((Inputs!$A$5:$A$110=$B66)*ISNUMBER(INDEX(Inputs!$K$5:$AJ$110,0,MATCH(O$2,Inputs!$K$4:$AJ$4,0))))+SUMPRODUCT((Inputs!$C$5:$C$110=$B66)*ISNUMBER(INDEX(Inputs!$K$5:$AJ$110,0,MATCH(O$2,Inputs!$K$4:$AJ$4,0))))+SUMPRODUCT((Inputs!$E$5:$E$110=$B66)*ISNUMBER(INDEX(Inputs!$K$5:$AJ$110,0,MATCH(O$2,Inputs!$K$4:$AJ$4,0))))=0,NA(),SUMPRODUCT((Inputs!$A$5:$A$110=$B66)*Inputs!$B$5:$B$110*(((Inputs!$G$5:$G$110="moeda")+(Inputs!$G$5:$G$110="acoes"))*Inputs!$B$1+((Inputs!$G$5:$G$110&lt;&gt;"moeda")*(Inputs!$G$5:$G$110&lt;&gt;"acoes")))*INDEX(Inputs!$K$5:$AJ$110,0,MATCH(O$2,Inputs!$K$4:$AJ$4,0)))+SUMPRODUCT((Inputs!$C$5:$C$110=$B66)*Inputs!$D$5:$D$110*(((Inputs!$G$5:$G$110="moeda")+(Inputs!$G$5:$G$110="acoes"))*Inputs!$B$1+((Inputs!$G$5:$G$110&lt;&gt;"moeda")*(Inputs!$G$5:$G$110&lt;&gt;"acoes")))*INDEX(Inputs!$K$5:$AJ$110,0,MATCH(O$2,Inputs!$K$4:$AJ$4,0)))+SUMPRODUCT((Inputs!$E$5:$E$110=$B66)*Inputs!$F$5:$F$110*(((Inputs!$G$5:$G$110="moeda")+(Inputs!$G$5:$G$110="acoes"))*Inputs!$B$1+((Inputs!$G$5:$G$110&lt;&gt;"moeda")*(Inputs!$G$5:$G$110&lt;&gt;"acoes")))*INDEX(Inputs!$K$5:$AJ$110,0,MATCH(O$2,Inputs!$K$4:$AJ$4,0)))))</f>
        <v>3012</v>
      </c>
      <c r="P66" s="263">
        <f>IF(ISNA(MATCH(P$2,Inputs!$K$4:$AJ$4,0)),NA(),IF(SUMPRODUCT((Inputs!$A$5:$A$110=$B66)*ISNUMBER(INDEX(Inputs!$K$5:$AJ$110,0,MATCH(P$2,Inputs!$K$4:$AJ$4,0))))+SUMPRODUCT((Inputs!$C$5:$C$110=$B66)*ISNUMBER(INDEX(Inputs!$K$5:$AJ$110,0,MATCH(P$2,Inputs!$K$4:$AJ$4,0))))+SUMPRODUCT((Inputs!$E$5:$E$110=$B66)*ISNUMBER(INDEX(Inputs!$K$5:$AJ$110,0,MATCH(P$2,Inputs!$K$4:$AJ$4,0))))=0,NA(),SUMPRODUCT((Inputs!$A$5:$A$110=$B66)*Inputs!$B$5:$B$110*(((Inputs!$G$5:$G$110="moeda")+(Inputs!$G$5:$G$110="acoes"))*Inputs!$B$1+((Inputs!$G$5:$G$110&lt;&gt;"moeda")*(Inputs!$G$5:$G$110&lt;&gt;"acoes")))*INDEX(Inputs!$K$5:$AJ$110,0,MATCH(P$2,Inputs!$K$4:$AJ$4,0)))+SUMPRODUCT((Inputs!$C$5:$C$110=$B66)*Inputs!$D$5:$D$110*(((Inputs!$G$5:$G$110="moeda")+(Inputs!$G$5:$G$110="acoes"))*Inputs!$B$1+((Inputs!$G$5:$G$110&lt;&gt;"moeda")*(Inputs!$G$5:$G$110&lt;&gt;"acoes")))*INDEX(Inputs!$K$5:$AJ$110,0,MATCH(P$2,Inputs!$K$4:$AJ$4,0)))+SUMPRODUCT((Inputs!$E$5:$E$110=$B66)*Inputs!$F$5:$F$110*(((Inputs!$G$5:$G$110="moeda")+(Inputs!$G$5:$G$110="acoes"))*Inputs!$B$1+((Inputs!$G$5:$G$110&lt;&gt;"moeda")*(Inputs!$G$5:$G$110&lt;&gt;"acoes")))*INDEX(Inputs!$K$5:$AJ$110,0,MATCH(P$2,Inputs!$K$4:$AJ$4,0)))))</f>
        <v>3018</v>
      </c>
      <c r="Q66" s="263">
        <f>IF(ISNA(MATCH(Q$2,Inputs!$K$4:$AJ$4,0)),NA(),IF(SUMPRODUCT((Inputs!$A$5:$A$110=$B66)*ISNUMBER(INDEX(Inputs!$K$5:$AJ$110,0,MATCH(Q$2,Inputs!$K$4:$AJ$4,0))))+SUMPRODUCT((Inputs!$C$5:$C$110=$B66)*ISNUMBER(INDEX(Inputs!$K$5:$AJ$110,0,MATCH(Q$2,Inputs!$K$4:$AJ$4,0))))+SUMPRODUCT((Inputs!$E$5:$E$110=$B66)*ISNUMBER(INDEX(Inputs!$K$5:$AJ$110,0,MATCH(Q$2,Inputs!$K$4:$AJ$4,0))))=0,NA(),SUMPRODUCT((Inputs!$A$5:$A$110=$B66)*Inputs!$B$5:$B$110*(((Inputs!$G$5:$G$110="moeda")+(Inputs!$G$5:$G$110="acoes"))*Inputs!$B$1+((Inputs!$G$5:$G$110&lt;&gt;"moeda")*(Inputs!$G$5:$G$110&lt;&gt;"acoes")))*INDEX(Inputs!$K$5:$AJ$110,0,MATCH(Q$2,Inputs!$K$4:$AJ$4,0)))+SUMPRODUCT((Inputs!$C$5:$C$110=$B66)*Inputs!$D$5:$D$110*(((Inputs!$G$5:$G$110="moeda")+(Inputs!$G$5:$G$110="acoes"))*Inputs!$B$1+((Inputs!$G$5:$G$110&lt;&gt;"moeda")*(Inputs!$G$5:$G$110&lt;&gt;"acoes")))*INDEX(Inputs!$K$5:$AJ$110,0,MATCH(Q$2,Inputs!$K$4:$AJ$4,0)))+SUMPRODUCT((Inputs!$E$5:$E$110=$B66)*Inputs!$F$5:$F$110*(((Inputs!$G$5:$G$110="moeda")+(Inputs!$G$5:$G$110="acoes"))*Inputs!$B$1+((Inputs!$G$5:$G$110&lt;&gt;"moeda")*(Inputs!$G$5:$G$110&lt;&gt;"acoes")))*INDEX(Inputs!$K$5:$AJ$110,0,MATCH(Q$2,Inputs!$K$4:$AJ$4,0)))))</f>
        <v>3168</v>
      </c>
      <c r="R66" s="264">
        <f>SUM(N66:Q66)</f>
        <v>12234</v>
      </c>
      <c r="S66" s="263">
        <f>IF(ISNA(MATCH(S$2,Inputs!$K$4:$AJ$4,0)),NA(),IF(SUMPRODUCT((Inputs!$A$5:$A$110=$B66)*ISNUMBER(INDEX(Inputs!$K$5:$AJ$110,0,MATCH(S$2,Inputs!$K$4:$AJ$4,0))))+SUMPRODUCT((Inputs!$C$5:$C$110=$B66)*ISNUMBER(INDEX(Inputs!$K$5:$AJ$110,0,MATCH(S$2,Inputs!$K$4:$AJ$4,0))))+SUMPRODUCT((Inputs!$E$5:$E$110=$B66)*ISNUMBER(INDEX(Inputs!$K$5:$AJ$110,0,MATCH(S$2,Inputs!$K$4:$AJ$4,0))))=0,NA(),SUMPRODUCT((Inputs!$A$5:$A$110=$B66)*Inputs!$B$5:$B$110*(((Inputs!$G$5:$G$110="moeda")+(Inputs!$G$5:$G$110="acoes"))*Inputs!$B$1+((Inputs!$G$5:$G$110&lt;&gt;"moeda")*(Inputs!$G$5:$G$110&lt;&gt;"acoes")))*INDEX(Inputs!$K$5:$AJ$110,0,MATCH(S$2,Inputs!$K$4:$AJ$4,0)))+SUMPRODUCT((Inputs!$C$5:$C$110=$B66)*Inputs!$D$5:$D$110*(((Inputs!$G$5:$G$110="moeda")+(Inputs!$G$5:$G$110="acoes"))*Inputs!$B$1+((Inputs!$G$5:$G$110&lt;&gt;"moeda")*(Inputs!$G$5:$G$110&lt;&gt;"acoes")))*INDEX(Inputs!$K$5:$AJ$110,0,MATCH(S$2,Inputs!$K$4:$AJ$4,0)))+SUMPRODUCT((Inputs!$E$5:$E$110=$B66)*Inputs!$F$5:$F$110*(((Inputs!$G$5:$G$110="moeda")+(Inputs!$G$5:$G$110="acoes"))*Inputs!$B$1+((Inputs!$G$5:$G$110&lt;&gt;"moeda")*(Inputs!$G$5:$G$110&lt;&gt;"acoes")))*INDEX(Inputs!$K$5:$AJ$110,0,MATCH(S$2,Inputs!$K$4:$AJ$4,0)))))</f>
        <v>3055</v>
      </c>
      <c r="T66" s="263">
        <f>IF(ISNA(MATCH(T$2,Inputs!$K$4:$AJ$4,0)),NA(),IF(SUMPRODUCT((Inputs!$A$5:$A$110=$B66)*ISNUMBER(INDEX(Inputs!$K$5:$AJ$110,0,MATCH(T$2,Inputs!$K$4:$AJ$4,0))))+SUMPRODUCT((Inputs!$C$5:$C$110=$B66)*ISNUMBER(INDEX(Inputs!$K$5:$AJ$110,0,MATCH(T$2,Inputs!$K$4:$AJ$4,0))))+SUMPRODUCT((Inputs!$E$5:$E$110=$B66)*ISNUMBER(INDEX(Inputs!$K$5:$AJ$110,0,MATCH(T$2,Inputs!$K$4:$AJ$4,0))))=0,NA(),SUMPRODUCT((Inputs!$A$5:$A$110=$B66)*Inputs!$B$5:$B$110*(((Inputs!$G$5:$G$110="moeda")+(Inputs!$G$5:$G$110="acoes"))*Inputs!$B$1+((Inputs!$G$5:$G$110&lt;&gt;"moeda")*(Inputs!$G$5:$G$110&lt;&gt;"acoes")))*INDEX(Inputs!$K$5:$AJ$110,0,MATCH(T$2,Inputs!$K$4:$AJ$4,0)))+SUMPRODUCT((Inputs!$C$5:$C$110=$B66)*Inputs!$D$5:$D$110*(((Inputs!$G$5:$G$110="moeda")+(Inputs!$G$5:$G$110="acoes"))*Inputs!$B$1+((Inputs!$G$5:$G$110&lt;&gt;"moeda")*(Inputs!$G$5:$G$110&lt;&gt;"acoes")))*INDEX(Inputs!$K$5:$AJ$110,0,MATCH(T$2,Inputs!$K$4:$AJ$4,0)))+SUMPRODUCT((Inputs!$E$5:$E$110=$B66)*Inputs!$F$5:$F$110*(((Inputs!$G$5:$G$110="moeda")+(Inputs!$G$5:$G$110="acoes"))*Inputs!$B$1+((Inputs!$G$5:$G$110&lt;&gt;"moeda")*(Inputs!$G$5:$G$110&lt;&gt;"acoes")))*INDEX(Inputs!$K$5:$AJ$110,0,MATCH(T$2,Inputs!$K$4:$AJ$4,0)))))</f>
        <v>3169</v>
      </c>
      <c r="U66" s="263">
        <f>IF(ISNA(MATCH(U$2,Inputs!$K$4:$AJ$4,0)),NA(),IF(SUMPRODUCT((Inputs!$A$5:$A$110=$B66)*ISNUMBER(INDEX(Inputs!$K$5:$AJ$110,0,MATCH(U$2,Inputs!$K$4:$AJ$4,0))))+SUMPRODUCT((Inputs!$C$5:$C$110=$B66)*ISNUMBER(INDEX(Inputs!$K$5:$AJ$110,0,MATCH(U$2,Inputs!$K$4:$AJ$4,0))))+SUMPRODUCT((Inputs!$E$5:$E$110=$B66)*ISNUMBER(INDEX(Inputs!$K$5:$AJ$110,0,MATCH(U$2,Inputs!$K$4:$AJ$4,0))))=0,NA(),SUMPRODUCT((Inputs!$A$5:$A$110=$B66)*Inputs!$B$5:$B$110*(((Inputs!$G$5:$G$110="moeda")+(Inputs!$G$5:$G$110="acoes"))*Inputs!$B$1+((Inputs!$G$5:$G$110&lt;&gt;"moeda")*(Inputs!$G$5:$G$110&lt;&gt;"acoes")))*INDEX(Inputs!$K$5:$AJ$110,0,MATCH(U$2,Inputs!$K$4:$AJ$4,0)))+SUMPRODUCT((Inputs!$C$5:$C$110=$B66)*Inputs!$D$5:$D$110*(((Inputs!$G$5:$G$110="moeda")+(Inputs!$G$5:$G$110="acoes"))*Inputs!$B$1+((Inputs!$G$5:$G$110&lt;&gt;"moeda")*(Inputs!$G$5:$G$110&lt;&gt;"acoes")))*INDEX(Inputs!$K$5:$AJ$110,0,MATCH(U$2,Inputs!$K$4:$AJ$4,0)))+SUMPRODUCT((Inputs!$E$5:$E$110=$B66)*Inputs!$F$5:$F$110*(((Inputs!$G$5:$G$110="moeda")+(Inputs!$G$5:$G$110="acoes"))*Inputs!$B$1+((Inputs!$G$5:$G$110&lt;&gt;"moeda")*(Inputs!$G$5:$G$110&lt;&gt;"acoes")))*INDEX(Inputs!$K$5:$AJ$110,0,MATCH(U$2,Inputs!$K$4:$AJ$4,0)))))</f>
        <v>3225</v>
      </c>
      <c r="V66" s="263">
        <f>IF(ISNA(MATCH(V$2,Inputs!$K$4:$AJ$4,0)),NA(),IF(SUMPRODUCT((Inputs!$A$5:$A$110=$B66)*ISNUMBER(INDEX(Inputs!$K$5:$AJ$110,0,MATCH(V$2,Inputs!$K$4:$AJ$4,0))))+SUMPRODUCT((Inputs!$C$5:$C$110=$B66)*ISNUMBER(INDEX(Inputs!$K$5:$AJ$110,0,MATCH(V$2,Inputs!$K$4:$AJ$4,0))))+SUMPRODUCT((Inputs!$E$5:$E$110=$B66)*ISNUMBER(INDEX(Inputs!$K$5:$AJ$110,0,MATCH(V$2,Inputs!$K$4:$AJ$4,0))))=0,NA(),SUMPRODUCT((Inputs!$A$5:$A$110=$B66)*Inputs!$B$5:$B$110*(((Inputs!$G$5:$G$110="moeda")+(Inputs!$G$5:$G$110="acoes"))*Inputs!$B$1+((Inputs!$G$5:$G$110&lt;&gt;"moeda")*(Inputs!$G$5:$G$110&lt;&gt;"acoes")))*INDEX(Inputs!$K$5:$AJ$110,0,MATCH(V$2,Inputs!$K$4:$AJ$4,0)))+SUMPRODUCT((Inputs!$C$5:$C$110=$B66)*Inputs!$D$5:$D$110*(((Inputs!$G$5:$G$110="moeda")+(Inputs!$G$5:$G$110="acoes"))*Inputs!$B$1+((Inputs!$G$5:$G$110&lt;&gt;"moeda")*(Inputs!$G$5:$G$110&lt;&gt;"acoes")))*INDEX(Inputs!$K$5:$AJ$110,0,MATCH(V$2,Inputs!$K$4:$AJ$4,0)))+SUMPRODUCT((Inputs!$E$5:$E$110=$B66)*Inputs!$F$5:$F$110*(((Inputs!$G$5:$G$110="moeda")+(Inputs!$G$5:$G$110="acoes"))*Inputs!$B$1+((Inputs!$G$5:$G$110&lt;&gt;"moeda")*(Inputs!$G$5:$G$110&lt;&gt;"acoes")))*INDEX(Inputs!$K$5:$AJ$110,0,MATCH(V$2,Inputs!$K$4:$AJ$4,0)))))</f>
        <v>3558</v>
      </c>
      <c r="W66" s="264">
        <f>SUM(S66:V66)</f>
        <v>13007</v>
      </c>
      <c r="X66" s="263">
        <f>IF(ISNA(MATCH(X$2,Inputs!$K$4:$AJ$4,0)),NA(),IF(SUMPRODUCT((Inputs!$A$5:$A$110=$B66)*ISNUMBER(INDEX(Inputs!$K$5:$AJ$110,0,MATCH(X$2,Inputs!$K$4:$AJ$4,0))))+SUMPRODUCT((Inputs!$C$5:$C$110=$B66)*ISNUMBER(INDEX(Inputs!$K$5:$AJ$110,0,MATCH(X$2,Inputs!$K$4:$AJ$4,0))))+SUMPRODUCT((Inputs!$E$5:$E$110=$B66)*ISNUMBER(INDEX(Inputs!$K$5:$AJ$110,0,MATCH(X$2,Inputs!$K$4:$AJ$4,0))))=0,NA(),SUMPRODUCT((Inputs!$A$5:$A$110=$B66)*Inputs!$B$5:$B$110*(((Inputs!$G$5:$G$110="moeda")+(Inputs!$G$5:$G$110="acoes"))*Inputs!$B$1+((Inputs!$G$5:$G$110&lt;&gt;"moeda")*(Inputs!$G$5:$G$110&lt;&gt;"acoes")))*INDEX(Inputs!$K$5:$AJ$110,0,MATCH(X$2,Inputs!$K$4:$AJ$4,0)))+SUMPRODUCT((Inputs!$C$5:$C$110=$B66)*Inputs!$D$5:$D$110*(((Inputs!$G$5:$G$110="moeda")+(Inputs!$G$5:$G$110="acoes"))*Inputs!$B$1+((Inputs!$G$5:$G$110&lt;&gt;"moeda")*(Inputs!$G$5:$G$110&lt;&gt;"acoes")))*INDEX(Inputs!$K$5:$AJ$110,0,MATCH(X$2,Inputs!$K$4:$AJ$4,0)))+SUMPRODUCT((Inputs!$E$5:$E$110=$B66)*Inputs!$F$5:$F$110*(((Inputs!$G$5:$G$110="moeda")+(Inputs!$G$5:$G$110="acoes"))*Inputs!$B$1+((Inputs!$G$5:$G$110&lt;&gt;"moeda")*(Inputs!$G$5:$G$110&lt;&gt;"acoes")))*INDEX(Inputs!$K$5:$AJ$110,0,MATCH(X$2,Inputs!$K$4:$AJ$4,0)))))</f>
        <v>3504</v>
      </c>
      <c r="Y66" s="263">
        <f>IF(ISNA(MATCH(Y$2,Inputs!$K$4:$AJ$4,0)),NA(),IF(SUMPRODUCT((Inputs!$A$5:$A$110=$B66)*ISNUMBER(INDEX(Inputs!$K$5:$AJ$110,0,MATCH(Y$2,Inputs!$K$4:$AJ$4,0))))+SUMPRODUCT((Inputs!$C$5:$C$110=$B66)*ISNUMBER(INDEX(Inputs!$K$5:$AJ$110,0,MATCH(Y$2,Inputs!$K$4:$AJ$4,0))))+SUMPRODUCT((Inputs!$E$5:$E$110=$B66)*ISNUMBER(INDEX(Inputs!$K$5:$AJ$110,0,MATCH(Y$2,Inputs!$K$4:$AJ$4,0))))=0,NA(),SUMPRODUCT((Inputs!$A$5:$A$110=$B66)*Inputs!$B$5:$B$110*(((Inputs!$G$5:$G$110="moeda")+(Inputs!$G$5:$G$110="acoes"))*Inputs!$B$1+((Inputs!$G$5:$G$110&lt;&gt;"moeda")*(Inputs!$G$5:$G$110&lt;&gt;"acoes")))*INDEX(Inputs!$K$5:$AJ$110,0,MATCH(Y$2,Inputs!$K$4:$AJ$4,0)))+SUMPRODUCT((Inputs!$C$5:$C$110=$B66)*Inputs!$D$5:$D$110*(((Inputs!$G$5:$G$110="moeda")+(Inputs!$G$5:$G$110="acoes"))*Inputs!$B$1+((Inputs!$G$5:$G$110&lt;&gt;"moeda")*(Inputs!$G$5:$G$110&lt;&gt;"acoes")))*INDEX(Inputs!$K$5:$AJ$110,0,MATCH(Y$2,Inputs!$K$4:$AJ$4,0)))+SUMPRODUCT((Inputs!$E$5:$E$110=$B66)*Inputs!$F$5:$F$110*(((Inputs!$G$5:$G$110="moeda")+(Inputs!$G$5:$G$110="acoes"))*Inputs!$B$1+((Inputs!$G$5:$G$110&lt;&gt;"moeda")*(Inputs!$G$5:$G$110&lt;&gt;"acoes")))*INDEX(Inputs!$K$5:$AJ$110,0,MATCH(Y$2,Inputs!$K$4:$AJ$4,0)))))</f>
        <v>3591</v>
      </c>
      <c r="Z66" s="263">
        <f>IF(ISNA(MATCH(Z$2,Inputs!$K$4:$AJ$4,0)),NA(),IF(SUMPRODUCT((Inputs!$A$5:$A$110=$B66)*ISNUMBER(INDEX(Inputs!$K$5:$AJ$110,0,MATCH(Z$2,Inputs!$K$4:$AJ$4,0))))+SUMPRODUCT((Inputs!$C$5:$C$110=$B66)*ISNUMBER(INDEX(Inputs!$K$5:$AJ$110,0,MATCH(Z$2,Inputs!$K$4:$AJ$4,0))))+SUMPRODUCT((Inputs!$E$5:$E$110=$B66)*ISNUMBER(INDEX(Inputs!$K$5:$AJ$110,0,MATCH(Z$2,Inputs!$K$4:$AJ$4,0))))=0,NA(),SUMPRODUCT((Inputs!$A$5:$A$110=$B66)*Inputs!$B$5:$B$110*(((Inputs!$G$5:$G$110="moeda")+(Inputs!$G$5:$G$110="acoes"))*Inputs!$B$1+((Inputs!$G$5:$G$110&lt;&gt;"moeda")*(Inputs!$G$5:$G$110&lt;&gt;"acoes")))*INDEX(Inputs!$K$5:$AJ$110,0,MATCH(Z$2,Inputs!$K$4:$AJ$4,0)))+SUMPRODUCT((Inputs!$C$5:$C$110=$B66)*Inputs!$D$5:$D$110*(((Inputs!$G$5:$G$110="moeda")+(Inputs!$G$5:$G$110="acoes"))*Inputs!$B$1+((Inputs!$G$5:$G$110&lt;&gt;"moeda")*(Inputs!$G$5:$G$110&lt;&gt;"acoes")))*INDEX(Inputs!$K$5:$AJ$110,0,MATCH(Z$2,Inputs!$K$4:$AJ$4,0)))+SUMPRODUCT((Inputs!$E$5:$E$110=$B66)*Inputs!$F$5:$F$110*(((Inputs!$G$5:$G$110="moeda")+(Inputs!$G$5:$G$110="acoes"))*Inputs!$B$1+((Inputs!$G$5:$G$110&lt;&gt;"moeda")*(Inputs!$G$5:$G$110&lt;&gt;"acoes")))*INDEX(Inputs!$K$5:$AJ$110,0,MATCH(Z$2,Inputs!$K$4:$AJ$4,0)))))</f>
        <v>3697</v>
      </c>
      <c r="AA66" s="263">
        <f>IF(ISNA(MATCH(AA$2,Inputs!$K$4:$AJ$4,0)),NA(),IF(SUMPRODUCT((Inputs!$A$5:$A$110=$B66)*ISNUMBER(INDEX(Inputs!$K$5:$AJ$110,0,MATCH(AA$2,Inputs!$K$4:$AJ$4,0))))+SUMPRODUCT((Inputs!$C$5:$C$110=$B66)*ISNUMBER(INDEX(Inputs!$K$5:$AJ$110,0,MATCH(AA$2,Inputs!$K$4:$AJ$4,0))))+SUMPRODUCT((Inputs!$E$5:$E$110=$B66)*ISNUMBER(INDEX(Inputs!$K$5:$AJ$110,0,MATCH(AA$2,Inputs!$K$4:$AJ$4,0))))=0,NA(),SUMPRODUCT((Inputs!$A$5:$A$110=$B66)*Inputs!$B$5:$B$110*(((Inputs!$G$5:$G$110="moeda")+(Inputs!$G$5:$G$110="acoes"))*Inputs!$B$1+((Inputs!$G$5:$G$110&lt;&gt;"moeda")*(Inputs!$G$5:$G$110&lt;&gt;"acoes")))*INDEX(Inputs!$K$5:$AJ$110,0,MATCH(AA$2,Inputs!$K$4:$AJ$4,0)))+SUMPRODUCT((Inputs!$C$5:$C$110=$B66)*Inputs!$D$5:$D$110*(((Inputs!$G$5:$G$110="moeda")+(Inputs!$G$5:$G$110="acoes"))*Inputs!$B$1+((Inputs!$G$5:$G$110&lt;&gt;"moeda")*(Inputs!$G$5:$G$110&lt;&gt;"acoes")))*INDEX(Inputs!$K$5:$AJ$110,0,MATCH(AA$2,Inputs!$K$4:$AJ$4,0)))+SUMPRODUCT((Inputs!$E$5:$E$110=$B66)*Inputs!$F$5:$F$110*(((Inputs!$G$5:$G$110="moeda")+(Inputs!$G$5:$G$110="acoes"))*Inputs!$B$1+((Inputs!$G$5:$G$110&lt;&gt;"moeda")*(Inputs!$G$5:$G$110&lt;&gt;"acoes")))*INDEX(Inputs!$K$5:$AJ$110,0,MATCH(AA$2,Inputs!$K$4:$AJ$4,0)))))</f>
        <v>3812</v>
      </c>
      <c r="AB66" s="264">
        <f>SUM(X66:AA66)</f>
        <v>14604</v>
      </c>
      <c r="AC66" s="263">
        <f>IF(ISNA(MATCH(AC$2,Inputs!$K$4:$AJ$4,0)),NA(),IF(SUMPRODUCT((Inputs!$A$5:$A$110=$B66)*ISNUMBER(INDEX(Inputs!$K$5:$AJ$110,0,MATCH(AC$2,Inputs!$K$4:$AJ$4,0))))+SUMPRODUCT((Inputs!$C$5:$C$110=$B66)*ISNUMBER(INDEX(Inputs!$K$5:$AJ$110,0,MATCH(AC$2,Inputs!$K$4:$AJ$4,0))))+SUMPRODUCT((Inputs!$E$5:$E$110=$B66)*ISNUMBER(INDEX(Inputs!$K$5:$AJ$110,0,MATCH(AC$2,Inputs!$K$4:$AJ$4,0))))=0,NA(),SUMPRODUCT((Inputs!$A$5:$A$110=$B66)*Inputs!$B$5:$B$110*(((Inputs!$G$5:$G$110="moeda")+(Inputs!$G$5:$G$110="acoes"))*Inputs!$B$1+((Inputs!$G$5:$G$110&lt;&gt;"moeda")*(Inputs!$G$5:$G$110&lt;&gt;"acoes")))*INDEX(Inputs!$K$5:$AJ$110,0,MATCH(AC$2,Inputs!$K$4:$AJ$4,0)))+SUMPRODUCT((Inputs!$C$5:$C$110=$B66)*Inputs!$D$5:$D$110*(((Inputs!$G$5:$G$110="moeda")+(Inputs!$G$5:$G$110="acoes"))*Inputs!$B$1+((Inputs!$G$5:$G$110&lt;&gt;"moeda")*(Inputs!$G$5:$G$110&lt;&gt;"acoes")))*INDEX(Inputs!$K$5:$AJ$110,0,MATCH(AC$2,Inputs!$K$4:$AJ$4,0)))+SUMPRODUCT((Inputs!$E$5:$E$110=$B66)*Inputs!$F$5:$F$110*(((Inputs!$G$5:$G$110="moeda")+(Inputs!$G$5:$G$110="acoes"))*Inputs!$B$1+((Inputs!$G$5:$G$110&lt;&gt;"moeda")*(Inputs!$G$5:$G$110&lt;&gt;"acoes")))*INDEX(Inputs!$K$5:$AJ$110,0,MATCH(AC$2,Inputs!$K$4:$AJ$4,0)))))</f>
        <v>3808</v>
      </c>
      <c r="AD66" s="263">
        <f>IF(ISNA(MATCH(AD$2,Inputs!$K$4:$AJ$4,0)),NA(),IF(SUMPRODUCT((Inputs!$A$5:$A$110=$B66)*ISNUMBER(INDEX(Inputs!$K$5:$AJ$110,0,MATCH(AD$2,Inputs!$K$4:$AJ$4,0))))+SUMPRODUCT((Inputs!$C$5:$C$110=$B66)*ISNUMBER(INDEX(Inputs!$K$5:$AJ$110,0,MATCH(AD$2,Inputs!$K$4:$AJ$4,0))))+SUMPRODUCT((Inputs!$E$5:$E$110=$B66)*ISNUMBER(INDEX(Inputs!$K$5:$AJ$110,0,MATCH(AD$2,Inputs!$K$4:$AJ$4,0))))=0,NA(),SUMPRODUCT((Inputs!$A$5:$A$110=$B66)*Inputs!$B$5:$B$110*(((Inputs!$G$5:$G$110="moeda")+(Inputs!$G$5:$G$110="acoes"))*Inputs!$B$1+((Inputs!$G$5:$G$110&lt;&gt;"moeda")*(Inputs!$G$5:$G$110&lt;&gt;"acoes")))*INDEX(Inputs!$K$5:$AJ$110,0,MATCH(AD$2,Inputs!$K$4:$AJ$4,0)))+SUMPRODUCT((Inputs!$C$5:$C$110=$B66)*Inputs!$D$5:$D$110*(((Inputs!$G$5:$G$110="moeda")+(Inputs!$G$5:$G$110="acoes"))*Inputs!$B$1+((Inputs!$G$5:$G$110&lt;&gt;"moeda")*(Inputs!$G$5:$G$110&lt;&gt;"acoes")))*INDEX(Inputs!$K$5:$AJ$110,0,MATCH(AD$2,Inputs!$K$4:$AJ$4,0)))+SUMPRODUCT((Inputs!$E$5:$E$110=$B66)*Inputs!$F$5:$F$110*(((Inputs!$G$5:$G$110="moeda")+(Inputs!$G$5:$G$110="acoes"))*Inputs!$B$1+((Inputs!$G$5:$G$110&lt;&gt;"moeda")*(Inputs!$G$5:$G$110&lt;&gt;"acoes")))*INDEX(Inputs!$K$5:$AJ$110,0,MATCH(AD$2,Inputs!$K$4:$AJ$4,0)))))</f>
        <v>3859</v>
      </c>
      <c r="AE66" s="263" t="e">
        <f>IF(ISNA(MATCH(AE$2,Inputs!$K$4:$AJ$4,0)),NA(),IF(SUMPRODUCT((Inputs!$A$5:$A$110=$B66)*ISNUMBER(INDEX(Inputs!$K$5:$AJ$110,0,MATCH(AE$2,Inputs!$K$4:$AJ$4,0))))+SUMPRODUCT((Inputs!$C$5:$C$110=$B66)*ISNUMBER(INDEX(Inputs!$K$5:$AJ$110,0,MATCH(AE$2,Inputs!$K$4:$AJ$4,0))))+SUMPRODUCT((Inputs!$E$5:$E$110=$B66)*ISNUMBER(INDEX(Inputs!$K$5:$AJ$110,0,MATCH(AE$2,Inputs!$K$4:$AJ$4,0))))=0,NA(),SUMPRODUCT((Inputs!$A$5:$A$110=$B66)*Inputs!$B$5:$B$110*(((Inputs!$G$5:$G$110="moeda")+(Inputs!$G$5:$G$110="acoes"))*Inputs!$B$1+((Inputs!$G$5:$G$110&lt;&gt;"moeda")*(Inputs!$G$5:$G$110&lt;&gt;"acoes")))*INDEX(Inputs!$K$5:$AJ$110,0,MATCH(AE$2,Inputs!$K$4:$AJ$4,0)))+SUMPRODUCT((Inputs!$C$5:$C$110=$B66)*Inputs!$D$5:$D$110*(((Inputs!$G$5:$G$110="moeda")+(Inputs!$G$5:$G$110="acoes"))*Inputs!$B$1+((Inputs!$G$5:$G$110&lt;&gt;"moeda")*(Inputs!$G$5:$G$110&lt;&gt;"acoes")))*INDEX(Inputs!$K$5:$AJ$110,0,MATCH(AE$2,Inputs!$K$4:$AJ$4,0)))+SUMPRODUCT((Inputs!$E$5:$E$110=$B66)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6" s="263" t="e">
        <f>IF(ISNA(MATCH(AF$2,Inputs!$K$4:$AJ$4,0)),NA(),IF(SUMPRODUCT((Inputs!$A$5:$A$110=$B66)*ISNUMBER(INDEX(Inputs!$K$5:$AJ$110,0,MATCH(AF$2,Inputs!$K$4:$AJ$4,0))))+SUMPRODUCT((Inputs!$C$5:$C$110=$B66)*ISNUMBER(INDEX(Inputs!$K$5:$AJ$110,0,MATCH(AF$2,Inputs!$K$4:$AJ$4,0))))+SUMPRODUCT((Inputs!$E$5:$E$110=$B66)*ISNUMBER(INDEX(Inputs!$K$5:$AJ$110,0,MATCH(AF$2,Inputs!$K$4:$AJ$4,0))))=0,NA(),SUMPRODUCT((Inputs!$A$5:$A$110=$B66)*Inputs!$B$5:$B$110*(((Inputs!$G$5:$G$110="moeda")+(Inputs!$G$5:$G$110="acoes"))*Inputs!$B$1+((Inputs!$G$5:$G$110&lt;&gt;"moeda")*(Inputs!$G$5:$G$110&lt;&gt;"acoes")))*INDEX(Inputs!$K$5:$AJ$110,0,MATCH(AF$2,Inputs!$K$4:$AJ$4,0)))+SUMPRODUCT((Inputs!$C$5:$C$110=$B66)*Inputs!$D$5:$D$110*(((Inputs!$G$5:$G$110="moeda")+(Inputs!$G$5:$G$110="acoes"))*Inputs!$B$1+((Inputs!$G$5:$G$110&lt;&gt;"moeda")*(Inputs!$G$5:$G$110&lt;&gt;"acoes")))*INDEX(Inputs!$K$5:$AJ$110,0,MATCH(AF$2,Inputs!$K$4:$AJ$4,0)))+SUMPRODUCT((Inputs!$E$5:$E$110=$B66)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$110=$B66)*ISNUMBER(INDEX(Inputs!$K$5:$AJ$110,0,MATCH(AH$2,Inputs!$K$4:$AJ$4,0))))+SUMPRODUCT((Inputs!$C$5:$C$110=$B66)*ISNUMBER(INDEX(Inputs!$K$5:$AJ$110,0,MATCH(AH$2,Inputs!$K$4:$AJ$4,0))))+SUMPRODUCT((Inputs!$E$5:$E$110=$B66)*ISNUMBER(INDEX(Inputs!$K$5:$AJ$110,0,MATCH(AH$2,Inputs!$K$4:$AJ$4,0))))=0,NA(),SUMPRODUCT((Inputs!$A$5:$A$110=$B66)*Inputs!$B$5:$B$110*(((Inputs!$G$5:$G$110="moeda")+(Inputs!$G$5:$G$110="acoes"))*Inputs!$B$1+((Inputs!$G$5:$G$110&lt;&gt;"moeda")*(Inputs!$G$5:$G$110&lt;&gt;"acoes")))*INDEX(Inputs!$K$5:$AJ$110,0,MATCH(AH$2,Inputs!$K$4:$AJ$4,0)))+SUMPRODUCT((Inputs!$C$5:$C$110=$B66)*Inputs!$D$5:$D$110*(((Inputs!$G$5:$G$110="moeda")+(Inputs!$G$5:$G$110="acoes"))*Inputs!$B$1+((Inputs!$G$5:$G$110&lt;&gt;"moeda")*(Inputs!$G$5:$G$110&lt;&gt;"acoes")))*INDEX(Inputs!$K$5:$AJ$110,0,MATCH(AH$2,Inputs!$K$4:$AJ$4,0)))+SUMPRODUCT((Inputs!$E$5:$E$110=$B66)*Inputs!$F$5:$F$110*(((Inputs!$G$5:$G$110="moeda")+(Inputs!$G$5:$G$110="acoes"))*Inputs!$B$1+((Inputs!$G$5:$G$110&lt;&gt;"moeda")*(Inputs!$G$5:$G$110&lt;&gt;"acoes")))*INDEX(Inputs!$K$5:$AJ$110,0,MATCH(AH$2,Inputs!$K$4:$AJ$4,0)))))</f>
        <v>1986</v>
      </c>
      <c r="AI66" s="263">
        <f>IF(ISNA(MATCH(AI$2,Inputs!$K$4:$AJ$4,0)),NA(),IF(SUMPRODUCT((Inputs!$A$5:$A$110=$B66)*ISNUMBER(INDEX(Inputs!$K$5:$AJ$110,0,MATCH(AI$2,Inputs!$K$4:$AJ$4,0))))+SUMPRODUCT((Inputs!$C$5:$C$110=$B66)*ISNUMBER(INDEX(Inputs!$K$5:$AJ$110,0,MATCH(AI$2,Inputs!$K$4:$AJ$4,0))))+SUMPRODUCT((Inputs!$E$5:$E$110=$B66)*ISNUMBER(INDEX(Inputs!$K$5:$AJ$110,0,MATCH(AI$2,Inputs!$K$4:$AJ$4,0))))=0,NA(),SUMPRODUCT((Inputs!$A$5:$A$110=$B66)*Inputs!$B$5:$B$110*(((Inputs!$G$5:$G$110="moeda")+(Inputs!$G$5:$G$110="acoes"))*Inputs!$B$1+((Inputs!$G$5:$G$110&lt;&gt;"moeda")*(Inputs!$G$5:$G$110&lt;&gt;"acoes")))*INDEX(Inputs!$K$5:$AJ$110,0,MATCH(AI$2,Inputs!$K$4:$AJ$4,0)))+SUMPRODUCT((Inputs!$C$5:$C$110=$B66)*Inputs!$D$5:$D$110*(((Inputs!$G$5:$G$110="moeda")+(Inputs!$G$5:$G$110="acoes"))*Inputs!$B$1+((Inputs!$G$5:$G$110&lt;&gt;"moeda")*(Inputs!$G$5:$G$110&lt;&gt;"acoes")))*INDEX(Inputs!$K$5:$AJ$110,0,MATCH(AI$2,Inputs!$K$4:$AJ$4,0)))+SUMPRODUCT((Inputs!$E$5:$E$110=$B66)*Inputs!$F$5:$F$110*(((Inputs!$G$5:$G$110="moeda")+(Inputs!$G$5:$G$110="acoes"))*Inputs!$B$1+((Inputs!$G$5:$G$110&lt;&gt;"moeda")*(Inputs!$G$5:$G$110&lt;&gt;"acoes")))*INDEX(Inputs!$K$5:$AJ$110,0,MATCH(AI$2,Inputs!$K$4:$AJ$4,0)))))</f>
        <v>2384</v>
      </c>
      <c r="AJ66" s="263">
        <f>IF(ISNA(MATCH(AJ$2,Inputs!$K$4:$AJ$4,0)),NA(),IF(SUMPRODUCT((Inputs!$A$5:$A$110=$B66)*ISNUMBER(INDEX(Inputs!$K$5:$AJ$110,0,MATCH(AJ$2,Inputs!$K$4:$AJ$4,0))))+SUMPRODUCT((Inputs!$C$5:$C$110=$B66)*ISNUMBER(INDEX(Inputs!$K$5:$AJ$110,0,MATCH(AJ$2,Inputs!$K$4:$AJ$4,0))))+SUMPRODUCT((Inputs!$E$5:$E$110=$B66)*ISNUMBER(INDEX(Inputs!$K$5:$AJ$110,0,MATCH(AJ$2,Inputs!$K$4:$AJ$4,0))))=0,NA(),SUMPRODUCT((Inputs!$A$5:$A$110=$B66)*Inputs!$B$5:$B$110*(((Inputs!$G$5:$G$110="moeda")+(Inputs!$G$5:$G$110="acoes"))*Inputs!$B$1+((Inputs!$G$5:$G$110&lt;&gt;"moeda")*(Inputs!$G$5:$G$110&lt;&gt;"acoes")))*INDEX(Inputs!$K$5:$AJ$110,0,MATCH(AJ$2,Inputs!$K$4:$AJ$4,0)))+SUMPRODUCT((Inputs!$C$5:$C$110=$B66)*Inputs!$D$5:$D$110*(((Inputs!$G$5:$G$110="moeda")+(Inputs!$G$5:$G$110="acoes"))*Inputs!$B$1+((Inputs!$G$5:$G$110&lt;&gt;"moeda")*(Inputs!$G$5:$G$110&lt;&gt;"acoes")))*INDEX(Inputs!$K$5:$AJ$110,0,MATCH(AJ$2,Inputs!$K$4:$AJ$4,0)))+SUMPRODUCT((Inputs!$E$5:$E$110=$B66)*Inputs!$F$5:$F$110*(((Inputs!$G$5:$G$110="moeda")+(Inputs!$G$5:$G$110="acoes"))*Inputs!$B$1+((Inputs!$G$5:$G$110&lt;&gt;"moeda")*(Inputs!$G$5:$G$110&lt;&gt;"acoes")))*INDEX(Inputs!$K$5:$AJ$110,0,MATCH(AJ$2,Inputs!$K$4:$AJ$4,0)))))</f>
        <v>1943</v>
      </c>
      <c r="AK66" s="263">
        <f>IF(ISNA(MATCH(AK$2,Inputs!$K$4:$AJ$4,0)),NA(),IF(SUMPRODUCT((Inputs!$A$5:$A$110=$B66)*ISNUMBER(INDEX(Inputs!$K$5:$AJ$110,0,MATCH(AK$2,Inputs!$K$4:$AJ$4,0))))+SUMPRODUCT((Inputs!$C$5:$C$110=$B66)*ISNUMBER(INDEX(Inputs!$K$5:$AJ$110,0,MATCH(AK$2,Inputs!$K$4:$AJ$4,0))))+SUMPRODUCT((Inputs!$E$5:$E$110=$B66)*ISNUMBER(INDEX(Inputs!$K$5:$AJ$110,0,MATCH(AK$2,Inputs!$K$4:$AJ$4,0))))=0,NA(),SUMPRODUCT((Inputs!$A$5:$A$110=$B66)*Inputs!$B$5:$B$110*(((Inputs!$G$5:$G$110="moeda")+(Inputs!$G$5:$G$110="acoes"))*Inputs!$B$1+((Inputs!$G$5:$G$110&lt;&gt;"moeda")*(Inputs!$G$5:$G$110&lt;&gt;"acoes")))*INDEX(Inputs!$K$5:$AJ$110,0,MATCH(AK$2,Inputs!$K$4:$AJ$4,0)))+SUMPRODUCT((Inputs!$C$5:$C$110=$B66)*Inputs!$D$5:$D$110*(((Inputs!$G$5:$G$110="moeda")+(Inputs!$G$5:$G$110="acoes"))*Inputs!$B$1+((Inputs!$G$5:$G$110&lt;&gt;"moeda")*(Inputs!$G$5:$G$110&lt;&gt;"acoes")))*INDEX(Inputs!$K$5:$AJ$110,0,MATCH(AK$2,Inputs!$K$4:$AJ$4,0)))+SUMPRODUCT((Inputs!$E$5:$E$110=$B66)*Inputs!$F$5:$F$110*(((Inputs!$G$5:$G$110="moeda")+(Inputs!$G$5:$G$110="acoes"))*Inputs!$B$1+((Inputs!$G$5:$G$110&lt;&gt;"moeda")*(Inputs!$G$5:$G$110&lt;&gt;"acoes")))*INDEX(Inputs!$K$5:$AJ$110,0,MATCH(AK$2,Inputs!$K$4:$AJ$4,0)))))</f>
        <v>2386</v>
      </c>
      <c r="AL66" s="264">
        <f>SUM(AH66:AK66)</f>
        <v>8699</v>
      </c>
    </row>
    <row r="67">
      <c r="B67" s="46" t="n">
        <v>59</v>
      </c>
      <c r="C67" s="29" t="inlineStr">
        <is>
          <t>Receita Estados Unidos (USD)</t>
        </is>
      </c>
      <c r="D67" s="263">
        <f>IF(ISNA(MATCH(D$2,Inputs!$K$4:$AJ$4,0)),NA(),IF(SUMPRODUCT((Inputs!$A$5:$A$110=$B67)*ISNUMBER(INDEX(Inputs!$K$5:$AJ$110,0,MATCH(D$2,Inputs!$K$4:$AJ$4,0))))+SUMPRODUCT((Inputs!$C$5:$C$110=$B67)*ISNUMBER(INDEX(Inputs!$K$5:$AJ$110,0,MATCH(D$2,Inputs!$K$4:$AJ$4,0))))+SUMPRODUCT((Inputs!$E$5:$E$110=$B67)*ISNUMBER(INDEX(Inputs!$K$5:$AJ$110,0,MATCH(D$2,Inputs!$K$4:$AJ$4,0))))=0,NA(),SUMPRODUCT((Inputs!$A$5:$A$110=$B67)*Inputs!$B$5:$B$110*(((Inputs!$G$5:$G$110="moeda")+(Inputs!$G$5:$G$110="acoes"))*Inputs!$B$1+((Inputs!$G$5:$G$110&lt;&gt;"moeda")*(Inputs!$G$5:$G$110&lt;&gt;"acoes")))*INDEX(Inputs!$K$5:$AJ$110,0,MATCH(D$2,Inputs!$K$4:$AJ$4,0)))+SUMPRODUCT((Inputs!$C$5:$C$110=$B67)*Inputs!$D$5:$D$110*(((Inputs!$G$5:$G$110="moeda")+(Inputs!$G$5:$G$110="acoes"))*Inputs!$B$1+((Inputs!$G$5:$G$110&lt;&gt;"moeda")*(Inputs!$G$5:$G$110&lt;&gt;"acoes")))*INDEX(Inputs!$K$5:$AJ$110,0,MATCH(D$2,Inputs!$K$4:$AJ$4,0)))+SUMPRODUCT((Inputs!$E$5:$E$110=$B67)*Inputs!$F$5:$F$110*(((Inputs!$G$5:$G$110="moeda")+(Inputs!$G$5:$G$110="acoes"))*Inputs!$B$1+((Inputs!$G$5:$G$110&lt;&gt;"moeda")*(Inputs!$G$5:$G$110&lt;&gt;"acoes")))*INDEX(Inputs!$K$5:$AJ$110,0,MATCH(D$2,Inputs!$K$4:$AJ$4,0)))))</f>
        <v>20373</v>
      </c>
      <c r="E67" s="263">
        <f>IF(ISNA(MATCH(E$2,Inputs!$K$4:$AJ$4,0)),NA(),IF(SUMPRODUCT((Inputs!$A$5:$A$110=$B67)*ISNUMBER(INDEX(Inputs!$K$5:$AJ$110,0,MATCH(E$2,Inputs!$K$4:$AJ$4,0))))+SUMPRODUCT((Inputs!$C$5:$C$110=$B67)*ISNUMBER(INDEX(Inputs!$K$5:$AJ$110,0,MATCH(E$2,Inputs!$K$4:$AJ$4,0))))+SUMPRODUCT((Inputs!$E$5:$E$110=$B67)*ISNUMBER(INDEX(Inputs!$K$5:$AJ$110,0,MATCH(E$2,Inputs!$K$4:$AJ$4,0))))=0,NA(),SUMPRODUCT((Inputs!$A$5:$A$110=$B67)*Inputs!$B$5:$B$110*(((Inputs!$G$5:$G$110="moeda")+(Inputs!$G$5:$G$110="acoes"))*Inputs!$B$1+((Inputs!$G$5:$G$110&lt;&gt;"moeda")*(Inputs!$G$5:$G$110&lt;&gt;"acoes")))*INDEX(Inputs!$K$5:$AJ$110,0,MATCH(E$2,Inputs!$K$4:$AJ$4,0)))+SUMPRODUCT((Inputs!$C$5:$C$110=$B67)*Inputs!$D$5:$D$110*(((Inputs!$G$5:$G$110="moeda")+(Inputs!$G$5:$G$110="acoes"))*Inputs!$B$1+((Inputs!$G$5:$G$110&lt;&gt;"moeda")*(Inputs!$G$5:$G$110&lt;&gt;"acoes")))*INDEX(Inputs!$K$5:$AJ$110,0,MATCH(E$2,Inputs!$K$4:$AJ$4,0)))+SUMPRODUCT((Inputs!$E$5:$E$110=$B67)*Inputs!$F$5:$F$110*(((Inputs!$G$5:$G$110="moeda")+(Inputs!$G$5:$G$110="acoes"))*Inputs!$B$1+((Inputs!$G$5:$G$110&lt;&gt;"moeda")*(Inputs!$G$5:$G$110&lt;&gt;"acoes")))*INDEX(Inputs!$K$5:$AJ$110,0,MATCH(E$2,Inputs!$K$4:$AJ$4,0)))))</f>
        <v>22719</v>
      </c>
      <c r="F67" s="263">
        <f>IF(ISNA(MATCH(F$2,Inputs!$K$4:$AJ$4,0)),NA(),IF(SUMPRODUCT((Inputs!$A$5:$A$110=$B67)*ISNUMBER(INDEX(Inputs!$K$5:$AJ$110,0,MATCH(F$2,Inputs!$K$4:$AJ$4,0))))+SUMPRODUCT((Inputs!$C$5:$C$110=$B67)*ISNUMBER(INDEX(Inputs!$K$5:$AJ$110,0,MATCH(F$2,Inputs!$K$4:$AJ$4,0))))+SUMPRODUCT((Inputs!$E$5:$E$110=$B67)*ISNUMBER(INDEX(Inputs!$K$5:$AJ$110,0,MATCH(F$2,Inputs!$K$4:$AJ$4,0))))=0,NA(),SUMPRODUCT((Inputs!$A$5:$A$110=$B67)*Inputs!$B$5:$B$110*(((Inputs!$G$5:$G$110="moeda")+(Inputs!$G$5:$G$110="acoes"))*Inputs!$B$1+((Inputs!$G$5:$G$110&lt;&gt;"moeda")*(Inputs!$G$5:$G$110&lt;&gt;"acoes")))*INDEX(Inputs!$K$5:$AJ$110,0,MATCH(F$2,Inputs!$K$4:$AJ$4,0)))+SUMPRODUCT((Inputs!$C$5:$C$110=$B67)*Inputs!$D$5:$D$110*(((Inputs!$G$5:$G$110="moeda")+(Inputs!$G$5:$G$110="acoes"))*Inputs!$B$1+((Inputs!$G$5:$G$110&lt;&gt;"moeda")*(Inputs!$G$5:$G$110&lt;&gt;"acoes")))*INDEX(Inputs!$K$5:$AJ$110,0,MATCH(F$2,Inputs!$K$4:$AJ$4,0)))+SUMPRODUCT((Inputs!$E$5:$E$110=$B67)*Inputs!$F$5:$F$110*(((Inputs!$G$5:$G$110="moeda")+(Inputs!$G$5:$G$110="acoes"))*Inputs!$B$1+((Inputs!$G$5:$G$110&lt;&gt;"moeda")*(Inputs!$G$5:$G$110&lt;&gt;"acoes")))*INDEX(Inputs!$K$5:$AJ$110,0,MATCH(F$2,Inputs!$K$4:$AJ$4,0)))))</f>
        <v>22830</v>
      </c>
      <c r="G67" s="263">
        <f>IF(ISNA(MATCH(G$2,Inputs!$K$4:$AJ$4,0)),NA(),IF(SUMPRODUCT((Inputs!$A$5:$A$110=$B67)*ISNUMBER(INDEX(Inputs!$K$5:$AJ$110,0,MATCH(G$2,Inputs!$K$4:$AJ$4,0))))+SUMPRODUCT((Inputs!$C$5:$C$110=$B67)*ISNUMBER(INDEX(Inputs!$K$5:$AJ$110,0,MATCH(G$2,Inputs!$K$4:$AJ$4,0))))+SUMPRODUCT((Inputs!$E$5:$E$110=$B67)*ISNUMBER(INDEX(Inputs!$K$5:$AJ$110,0,MATCH(G$2,Inputs!$K$4:$AJ$4,0))))=0,NA(),SUMPRODUCT((Inputs!$A$5:$A$110=$B67)*Inputs!$B$5:$B$110*(((Inputs!$G$5:$G$110="moeda")+(Inputs!$G$5:$G$110="acoes"))*Inputs!$B$1+((Inputs!$G$5:$G$110&lt;&gt;"moeda")*(Inputs!$G$5:$G$110&lt;&gt;"acoes")))*INDEX(Inputs!$K$5:$AJ$110,0,MATCH(G$2,Inputs!$K$4:$AJ$4,0)))+SUMPRODUCT((Inputs!$C$5:$C$110=$B67)*Inputs!$D$5:$D$110*(((Inputs!$G$5:$G$110="moeda")+(Inputs!$G$5:$G$110="acoes"))*Inputs!$B$1+((Inputs!$G$5:$G$110&lt;&gt;"moeda")*(Inputs!$G$5:$G$110&lt;&gt;"acoes")))*INDEX(Inputs!$K$5:$AJ$110,0,MATCH(G$2,Inputs!$K$4:$AJ$4,0)))+SUMPRODUCT((Inputs!$E$5:$E$110=$B67)*Inputs!$F$5:$F$110*(((Inputs!$G$5:$G$110="moeda")+(Inputs!$G$5:$G$110="acoes"))*Inputs!$B$1+((Inputs!$G$5:$G$110&lt;&gt;"moeda")*(Inputs!$G$5:$G$110&lt;&gt;"acoes")))*INDEX(Inputs!$K$5:$AJ$110,0,MATCH(G$2,Inputs!$K$4:$AJ$4,0)))))</f>
        <v>26463</v>
      </c>
      <c r="H67" s="264">
        <f>SUM(D67:G67)</f>
        <v>92385</v>
      </c>
      <c r="I67" s="263">
        <f>IF(ISNA(MATCH(I$2,Inputs!$K$4:$AJ$4,0)),NA(),IF(SUMPRODUCT((Inputs!$A$5:$A$110=$B67)*ISNUMBER(INDEX(Inputs!$K$5:$AJ$110,0,MATCH(I$2,Inputs!$K$4:$AJ$4,0))))+SUMPRODUCT((Inputs!$C$5:$C$110=$B67)*ISNUMBER(INDEX(Inputs!$K$5:$AJ$110,0,MATCH(I$2,Inputs!$K$4:$AJ$4,0))))+SUMPRODUCT((Inputs!$E$5:$E$110=$B67)*ISNUMBER(INDEX(Inputs!$K$5:$AJ$110,0,MATCH(I$2,Inputs!$K$4:$AJ$4,0))))=0,NA(),SUMPRODUCT((Inputs!$A$5:$A$110=$B67)*Inputs!$B$5:$B$110*(((Inputs!$G$5:$G$110="moeda")+(Inputs!$G$5:$G$110="acoes"))*Inputs!$B$1+((Inputs!$G$5:$G$110&lt;&gt;"moeda")*(Inputs!$G$5:$G$110&lt;&gt;"acoes")))*INDEX(Inputs!$K$5:$AJ$110,0,MATCH(I$2,Inputs!$K$4:$AJ$4,0)))+SUMPRODUCT((Inputs!$C$5:$C$110=$B67)*Inputs!$D$5:$D$110*(((Inputs!$G$5:$G$110="moeda")+(Inputs!$G$5:$G$110="acoes"))*Inputs!$B$1+((Inputs!$G$5:$G$110&lt;&gt;"moeda")*(Inputs!$G$5:$G$110&lt;&gt;"acoes")))*INDEX(Inputs!$K$5:$AJ$110,0,MATCH(I$2,Inputs!$K$4:$AJ$4,0)))+SUMPRODUCT((Inputs!$E$5:$E$110=$B67)*Inputs!$F$5:$F$110*(((Inputs!$G$5:$G$110="moeda")+(Inputs!$G$5:$G$110="acoes"))*Inputs!$B$1+((Inputs!$G$5:$G$110&lt;&gt;"moeda")*(Inputs!$G$5:$G$110&lt;&gt;"acoes")))*INDEX(Inputs!$K$5:$AJ$110,0,MATCH(I$2,Inputs!$K$4:$AJ$4,0)))))</f>
        <v>24771</v>
      </c>
      <c r="J67" s="263">
        <f>IF(ISNA(MATCH(J$2,Inputs!$K$4:$AJ$4,0)),NA(),IF(SUMPRODUCT((Inputs!$A$5:$A$110=$B67)*ISNUMBER(INDEX(Inputs!$K$5:$AJ$110,0,MATCH(J$2,Inputs!$K$4:$AJ$4,0))))+SUMPRODUCT((Inputs!$C$5:$C$110=$B67)*ISNUMBER(INDEX(Inputs!$K$5:$AJ$110,0,MATCH(J$2,Inputs!$K$4:$AJ$4,0))))+SUMPRODUCT((Inputs!$E$5:$E$110=$B67)*ISNUMBER(INDEX(Inputs!$K$5:$AJ$110,0,MATCH(J$2,Inputs!$K$4:$AJ$4,0))))=0,NA(),SUMPRODUCT((Inputs!$A$5:$A$110=$B67)*Inputs!$B$5:$B$110*(((Inputs!$G$5:$G$110="moeda")+(Inputs!$G$5:$G$110="acoes"))*Inputs!$B$1+((Inputs!$G$5:$G$110&lt;&gt;"moeda")*(Inputs!$G$5:$G$110&lt;&gt;"acoes")))*INDEX(Inputs!$K$5:$AJ$110,0,MATCH(J$2,Inputs!$K$4:$AJ$4,0)))+SUMPRODUCT((Inputs!$C$5:$C$110=$B67)*Inputs!$D$5:$D$110*(((Inputs!$G$5:$G$110="moeda")+(Inputs!$G$5:$G$110="acoes"))*Inputs!$B$1+((Inputs!$G$5:$G$110&lt;&gt;"moeda")*(Inputs!$G$5:$G$110&lt;&gt;"acoes")))*INDEX(Inputs!$K$5:$AJ$110,0,MATCH(J$2,Inputs!$K$4:$AJ$4,0)))+SUMPRODUCT((Inputs!$E$5:$E$110=$B67)*Inputs!$F$5:$F$110*(((Inputs!$G$5:$G$110="moeda")+(Inputs!$G$5:$G$110="acoes"))*Inputs!$B$1+((Inputs!$G$5:$G$110&lt;&gt;"moeda")*(Inputs!$G$5:$G$110&lt;&gt;"acoes")))*INDEX(Inputs!$K$5:$AJ$110,0,MATCH(J$2,Inputs!$K$4:$AJ$4,0)))))</f>
        <v>26154</v>
      </c>
      <c r="K67" s="263">
        <f>IF(ISNA(MATCH(K$2,Inputs!$K$4:$AJ$4,0)),NA(),IF(SUMPRODUCT((Inputs!$A$5:$A$110=$B67)*ISNUMBER(INDEX(Inputs!$K$5:$AJ$110,0,MATCH(K$2,Inputs!$K$4:$AJ$4,0))))+SUMPRODUCT((Inputs!$C$5:$C$110=$B67)*ISNUMBER(INDEX(Inputs!$K$5:$AJ$110,0,MATCH(K$2,Inputs!$K$4:$AJ$4,0))))+SUMPRODUCT((Inputs!$E$5:$E$110=$B67)*ISNUMBER(INDEX(Inputs!$K$5:$AJ$110,0,MATCH(K$2,Inputs!$K$4:$AJ$4,0))))=0,NA(),SUMPRODUCT((Inputs!$A$5:$A$110=$B67)*Inputs!$B$5:$B$110*(((Inputs!$G$5:$G$110="moeda")+(Inputs!$G$5:$G$110="acoes"))*Inputs!$B$1+((Inputs!$G$5:$G$110&lt;&gt;"moeda")*(Inputs!$G$5:$G$110&lt;&gt;"acoes")))*INDEX(Inputs!$K$5:$AJ$110,0,MATCH(K$2,Inputs!$K$4:$AJ$4,0)))+SUMPRODUCT((Inputs!$C$5:$C$110=$B67)*Inputs!$D$5:$D$110*(((Inputs!$G$5:$G$110="moeda")+(Inputs!$G$5:$G$110="acoes"))*Inputs!$B$1+((Inputs!$G$5:$G$110&lt;&gt;"moeda")*(Inputs!$G$5:$G$110&lt;&gt;"acoes")))*INDEX(Inputs!$K$5:$AJ$110,0,MATCH(K$2,Inputs!$K$4:$AJ$4,0)))+SUMPRODUCT((Inputs!$E$5:$E$110=$B67)*Inputs!$F$5:$F$110*(((Inputs!$G$5:$G$110="moeda")+(Inputs!$G$5:$G$110="acoes"))*Inputs!$B$1+((Inputs!$G$5:$G$110&lt;&gt;"moeda")*(Inputs!$G$5:$G$110&lt;&gt;"acoes")))*INDEX(Inputs!$K$5:$AJ$110,0,MATCH(K$2,Inputs!$K$4:$AJ$4,0)))))</f>
        <v>25867</v>
      </c>
      <c r="L67" s="263">
        <f>IF(ISNA(MATCH(L$2,Inputs!$K$4:$AJ$4,0)),NA(),IF(SUMPRODUCT((Inputs!$A$5:$A$110=$B67)*ISNUMBER(INDEX(Inputs!$K$5:$AJ$110,0,MATCH(L$2,Inputs!$K$4:$AJ$4,0))))+SUMPRODUCT((Inputs!$C$5:$C$110=$B67)*ISNUMBER(INDEX(Inputs!$K$5:$AJ$110,0,MATCH(L$2,Inputs!$K$4:$AJ$4,0))))+SUMPRODUCT((Inputs!$E$5:$E$110=$B67)*ISNUMBER(INDEX(Inputs!$K$5:$AJ$110,0,MATCH(L$2,Inputs!$K$4:$AJ$4,0))))=0,NA(),SUMPRODUCT((Inputs!$A$5:$A$110=$B67)*Inputs!$B$5:$B$110*(((Inputs!$G$5:$G$110="moeda")+(Inputs!$G$5:$G$110="acoes"))*Inputs!$B$1+((Inputs!$G$5:$G$110&lt;&gt;"moeda")*(Inputs!$G$5:$G$110&lt;&gt;"acoes")))*INDEX(Inputs!$K$5:$AJ$110,0,MATCH(L$2,Inputs!$K$4:$AJ$4,0)))+SUMPRODUCT((Inputs!$C$5:$C$110=$B67)*Inputs!$D$5:$D$110*(((Inputs!$G$5:$G$110="moeda")+(Inputs!$G$5:$G$110="acoes"))*Inputs!$B$1+((Inputs!$G$5:$G$110&lt;&gt;"moeda")*(Inputs!$G$5:$G$110&lt;&gt;"acoes")))*INDEX(Inputs!$K$5:$AJ$110,0,MATCH(L$2,Inputs!$K$4:$AJ$4,0)))+SUMPRODUCT((Inputs!$E$5:$E$110=$B67)*Inputs!$F$5:$F$110*(((Inputs!$G$5:$G$110="moeda")+(Inputs!$G$5:$G$110="acoes"))*Inputs!$B$1+((Inputs!$G$5:$G$110&lt;&gt;"moeda")*(Inputs!$G$5:$G$110&lt;&gt;"acoes")))*INDEX(Inputs!$K$5:$AJ$110,0,MATCH(L$2,Inputs!$K$4:$AJ$4,0)))))</f>
        <v>26976</v>
      </c>
      <c r="M67" s="264">
        <f>SUM(I67:L67)</f>
        <v>103768</v>
      </c>
      <c r="N67" s="263">
        <f>IF(ISNA(MATCH(N$2,Inputs!$K$4:$AJ$4,0)),NA(),IF(SUMPRODUCT((Inputs!$A$5:$A$110=$B67)*ISNUMBER(INDEX(Inputs!$K$5:$AJ$110,0,MATCH(N$2,Inputs!$K$4:$AJ$4,0))))+SUMPRODUCT((Inputs!$C$5:$C$110=$B67)*ISNUMBER(INDEX(Inputs!$K$5:$AJ$110,0,MATCH(N$2,Inputs!$K$4:$AJ$4,0))))+SUMPRODUCT((Inputs!$E$5:$E$110=$B67)*ISNUMBER(INDEX(Inputs!$K$5:$AJ$110,0,MATCH(N$2,Inputs!$K$4:$AJ$4,0))))=0,NA(),SUMPRODUCT((Inputs!$A$5:$A$110=$B67)*Inputs!$B$5:$B$110*(((Inputs!$G$5:$G$110="moeda")+(Inputs!$G$5:$G$110="acoes"))*Inputs!$B$1+((Inputs!$G$5:$G$110&lt;&gt;"moeda")*(Inputs!$G$5:$G$110&lt;&gt;"acoes")))*INDEX(Inputs!$K$5:$AJ$110,0,MATCH(N$2,Inputs!$K$4:$AJ$4,0)))+SUMPRODUCT((Inputs!$C$5:$C$110=$B67)*Inputs!$D$5:$D$110*(((Inputs!$G$5:$G$110="moeda")+(Inputs!$G$5:$G$110="acoes"))*Inputs!$B$1+((Inputs!$G$5:$G$110&lt;&gt;"moeda")*(Inputs!$G$5:$G$110&lt;&gt;"acoes")))*INDEX(Inputs!$K$5:$AJ$110,0,MATCH(N$2,Inputs!$K$4:$AJ$4,0)))+SUMPRODUCT((Inputs!$E$5:$E$110=$B67)*Inputs!$F$5:$F$110*(((Inputs!$G$5:$G$110="moeda")+(Inputs!$G$5:$G$110="acoes"))*Inputs!$B$1+((Inputs!$G$5:$G$110&lt;&gt;"moeda")*(Inputs!$G$5:$G$110&lt;&gt;"acoes")))*INDEX(Inputs!$K$5:$AJ$110,0,MATCH(N$2,Inputs!$K$4:$AJ$4,0)))))</f>
        <v>26007</v>
      </c>
      <c r="O67" s="263">
        <f>IF(ISNA(MATCH(O$2,Inputs!$K$4:$AJ$4,0)),NA(),IF(SUMPRODUCT((Inputs!$A$5:$A$110=$B67)*ISNUMBER(INDEX(Inputs!$K$5:$AJ$110,0,MATCH(O$2,Inputs!$K$4:$AJ$4,0))))+SUMPRODUCT((Inputs!$C$5:$C$110=$B67)*ISNUMBER(INDEX(Inputs!$K$5:$AJ$110,0,MATCH(O$2,Inputs!$K$4:$AJ$4,0))))+SUMPRODUCT((Inputs!$E$5:$E$110=$B67)*ISNUMBER(INDEX(Inputs!$K$5:$AJ$110,0,MATCH(O$2,Inputs!$K$4:$AJ$4,0))))=0,NA(),SUMPRODUCT((Inputs!$A$5:$A$110=$B67)*Inputs!$B$5:$B$110*(((Inputs!$G$5:$G$110="moeda")+(Inputs!$G$5:$G$110="acoes"))*Inputs!$B$1+((Inputs!$G$5:$G$110&lt;&gt;"moeda")*(Inputs!$G$5:$G$110&lt;&gt;"acoes")))*INDEX(Inputs!$K$5:$AJ$110,0,MATCH(O$2,Inputs!$K$4:$AJ$4,0)))+SUMPRODUCT((Inputs!$C$5:$C$110=$B67)*Inputs!$D$5:$D$110*(((Inputs!$G$5:$G$110="moeda")+(Inputs!$G$5:$G$110="acoes"))*Inputs!$B$1+((Inputs!$G$5:$G$110&lt;&gt;"moeda")*(Inputs!$G$5:$G$110&lt;&gt;"acoes")))*INDEX(Inputs!$K$5:$AJ$110,0,MATCH(O$2,Inputs!$K$4:$AJ$4,0)))+SUMPRODUCT((Inputs!$E$5:$E$110=$B67)*Inputs!$F$5:$F$110*(((Inputs!$G$5:$G$110="moeda")+(Inputs!$G$5:$G$110="acoes"))*Inputs!$B$1+((Inputs!$G$5:$G$110&lt;&gt;"moeda")*(Inputs!$G$5:$G$110&lt;&gt;"acoes")))*INDEX(Inputs!$K$5:$AJ$110,0,MATCH(O$2,Inputs!$K$4:$AJ$4,0)))))</f>
        <v>27894</v>
      </c>
      <c r="P67" s="263">
        <f>IF(ISNA(MATCH(P$2,Inputs!$K$4:$AJ$4,0)),NA(),IF(SUMPRODUCT((Inputs!$A$5:$A$110=$B67)*ISNUMBER(INDEX(Inputs!$K$5:$AJ$110,0,MATCH(P$2,Inputs!$K$4:$AJ$4,0))))+SUMPRODUCT((Inputs!$C$5:$C$110=$B67)*ISNUMBER(INDEX(Inputs!$K$5:$AJ$110,0,MATCH(P$2,Inputs!$K$4:$AJ$4,0))))+SUMPRODUCT((Inputs!$E$5:$E$110=$B67)*ISNUMBER(INDEX(Inputs!$K$5:$AJ$110,0,MATCH(P$2,Inputs!$K$4:$AJ$4,0))))=0,NA(),SUMPRODUCT((Inputs!$A$5:$A$110=$B67)*Inputs!$B$5:$B$110*(((Inputs!$G$5:$G$110="moeda")+(Inputs!$G$5:$G$110="acoes"))*Inputs!$B$1+((Inputs!$G$5:$G$110&lt;&gt;"moeda")*(Inputs!$G$5:$G$110&lt;&gt;"acoes")))*INDEX(Inputs!$K$5:$AJ$110,0,MATCH(P$2,Inputs!$K$4:$AJ$4,0)))+SUMPRODUCT((Inputs!$C$5:$C$110=$B67)*Inputs!$D$5:$D$110*(((Inputs!$G$5:$G$110="moeda")+(Inputs!$G$5:$G$110="acoes"))*Inputs!$B$1+((Inputs!$G$5:$G$110&lt;&gt;"moeda")*(Inputs!$G$5:$G$110&lt;&gt;"acoes")))*INDEX(Inputs!$K$5:$AJ$110,0,MATCH(P$2,Inputs!$K$4:$AJ$4,0)))+SUMPRODUCT((Inputs!$E$5:$E$110=$B67)*Inputs!$F$5:$F$110*(((Inputs!$G$5:$G$110="moeda")+(Inputs!$G$5:$G$110="acoes"))*Inputs!$B$1+((Inputs!$G$5:$G$110&lt;&gt;"moeda")*(Inputs!$G$5:$G$110&lt;&gt;"acoes")))*INDEX(Inputs!$K$5:$AJ$110,0,MATCH(P$2,Inputs!$K$4:$AJ$4,0)))))</f>
        <v>28812</v>
      </c>
      <c r="Q67" s="263">
        <f>IF(ISNA(MATCH(Q$2,Inputs!$K$4:$AJ$4,0)),NA(),IF(SUMPRODUCT((Inputs!$A$5:$A$110=$B67)*ISNUMBER(INDEX(Inputs!$K$5:$AJ$110,0,MATCH(Q$2,Inputs!$K$4:$AJ$4,0))))+SUMPRODUCT((Inputs!$C$5:$C$110=$B67)*ISNUMBER(INDEX(Inputs!$K$5:$AJ$110,0,MATCH(Q$2,Inputs!$K$4:$AJ$4,0))))+SUMPRODUCT((Inputs!$E$5:$E$110=$B67)*ISNUMBER(INDEX(Inputs!$K$5:$AJ$110,0,MATCH(Q$2,Inputs!$K$4:$AJ$4,0))))=0,NA(),SUMPRODUCT((Inputs!$A$5:$A$110=$B67)*Inputs!$B$5:$B$110*(((Inputs!$G$5:$G$110="moeda")+(Inputs!$G$5:$G$110="acoes"))*Inputs!$B$1+((Inputs!$G$5:$G$110&lt;&gt;"moeda")*(Inputs!$G$5:$G$110&lt;&gt;"acoes")))*INDEX(Inputs!$K$5:$AJ$110,0,MATCH(Q$2,Inputs!$K$4:$AJ$4,0)))+SUMPRODUCT((Inputs!$C$5:$C$110=$B67)*Inputs!$D$5:$D$110*(((Inputs!$G$5:$G$110="moeda")+(Inputs!$G$5:$G$110="acoes"))*Inputs!$B$1+((Inputs!$G$5:$G$110&lt;&gt;"moeda")*(Inputs!$G$5:$G$110&lt;&gt;"acoes")))*INDEX(Inputs!$K$5:$AJ$110,0,MATCH(Q$2,Inputs!$K$4:$AJ$4,0)))+SUMPRODUCT((Inputs!$E$5:$E$110=$B67)*Inputs!$F$5:$F$110*(((Inputs!$G$5:$G$110="moeda")+(Inputs!$G$5:$G$110="acoes"))*Inputs!$B$1+((Inputs!$G$5:$G$110&lt;&gt;"moeda")*(Inputs!$G$5:$G$110&lt;&gt;"acoes")))*INDEX(Inputs!$K$5:$AJ$110,0,MATCH(Q$2,Inputs!$K$4:$AJ$4,0)))))</f>
        <v>32295</v>
      </c>
      <c r="R67" s="264">
        <f>SUM(N67:Q67)</f>
        <v>115008</v>
      </c>
      <c r="S67" s="263">
        <f>IF(ISNA(MATCH(S$2,Inputs!$K$4:$AJ$4,0)),NA(),IF(SUMPRODUCT((Inputs!$A$5:$A$110=$B67)*ISNUMBER(INDEX(Inputs!$K$5:$AJ$110,0,MATCH(S$2,Inputs!$K$4:$AJ$4,0))))+SUMPRODUCT((Inputs!$C$5:$C$110=$B67)*ISNUMBER(INDEX(Inputs!$K$5:$AJ$110,0,MATCH(S$2,Inputs!$K$4:$AJ$4,0))))+SUMPRODUCT((Inputs!$E$5:$E$110=$B67)*ISNUMBER(INDEX(Inputs!$K$5:$AJ$110,0,MATCH(S$2,Inputs!$K$4:$AJ$4,0))))=0,NA(),SUMPRODUCT((Inputs!$A$5:$A$110=$B67)*Inputs!$B$5:$B$110*(((Inputs!$G$5:$G$110="moeda")+(Inputs!$G$5:$G$110="acoes"))*Inputs!$B$1+((Inputs!$G$5:$G$110&lt;&gt;"moeda")*(Inputs!$G$5:$G$110&lt;&gt;"acoes")))*INDEX(Inputs!$K$5:$AJ$110,0,MATCH(S$2,Inputs!$K$4:$AJ$4,0)))+SUMPRODUCT((Inputs!$C$5:$C$110=$B67)*Inputs!$D$5:$D$110*(((Inputs!$G$5:$G$110="moeda")+(Inputs!$G$5:$G$110="acoes"))*Inputs!$B$1+((Inputs!$G$5:$G$110&lt;&gt;"moeda")*(Inputs!$G$5:$G$110&lt;&gt;"acoes")))*INDEX(Inputs!$K$5:$AJ$110,0,MATCH(S$2,Inputs!$K$4:$AJ$4,0)))+SUMPRODUCT((Inputs!$E$5:$E$110=$B67)*Inputs!$F$5:$F$110*(((Inputs!$G$5:$G$110="moeda")+(Inputs!$G$5:$G$110="acoes"))*Inputs!$B$1+((Inputs!$G$5:$G$110&lt;&gt;"moeda")*(Inputs!$G$5:$G$110&lt;&gt;"acoes")))*INDEX(Inputs!$K$5:$AJ$110,0,MATCH(S$2,Inputs!$K$4:$AJ$4,0)))))</f>
        <v>31437</v>
      </c>
      <c r="T67" s="263">
        <f>IF(ISNA(MATCH(T$2,Inputs!$K$4:$AJ$4,0)),NA(),IF(SUMPRODUCT((Inputs!$A$5:$A$110=$B67)*ISNUMBER(INDEX(Inputs!$K$5:$AJ$110,0,MATCH(T$2,Inputs!$K$4:$AJ$4,0))))+SUMPRODUCT((Inputs!$C$5:$C$110=$B67)*ISNUMBER(INDEX(Inputs!$K$5:$AJ$110,0,MATCH(T$2,Inputs!$K$4:$AJ$4,0))))+SUMPRODUCT((Inputs!$E$5:$E$110=$B67)*ISNUMBER(INDEX(Inputs!$K$5:$AJ$110,0,MATCH(T$2,Inputs!$K$4:$AJ$4,0))))=0,NA(),SUMPRODUCT((Inputs!$A$5:$A$110=$B67)*Inputs!$B$5:$B$110*(((Inputs!$G$5:$G$110="moeda")+(Inputs!$G$5:$G$110="acoes"))*Inputs!$B$1+((Inputs!$G$5:$G$110&lt;&gt;"moeda")*(Inputs!$G$5:$G$110&lt;&gt;"acoes")))*INDEX(Inputs!$K$5:$AJ$110,0,MATCH(T$2,Inputs!$K$4:$AJ$4,0)))+SUMPRODUCT((Inputs!$C$5:$C$110=$B67)*Inputs!$D$5:$D$110*(((Inputs!$G$5:$G$110="moeda")+(Inputs!$G$5:$G$110="acoes"))*Inputs!$B$1+((Inputs!$G$5:$G$110&lt;&gt;"moeda")*(Inputs!$G$5:$G$110&lt;&gt;"acoes")))*INDEX(Inputs!$K$5:$AJ$110,0,MATCH(T$2,Inputs!$K$4:$AJ$4,0)))+SUMPRODUCT((Inputs!$E$5:$E$110=$B67)*Inputs!$F$5:$F$110*(((Inputs!$G$5:$G$110="moeda")+(Inputs!$G$5:$G$110="acoes"))*Inputs!$B$1+((Inputs!$G$5:$G$110&lt;&gt;"moeda")*(Inputs!$G$5:$G$110&lt;&gt;"acoes")))*INDEX(Inputs!$K$5:$AJ$110,0,MATCH(T$2,Inputs!$K$4:$AJ$4,0)))))</f>
        <v>32160</v>
      </c>
      <c r="U67" s="263">
        <f>IF(ISNA(MATCH(U$2,Inputs!$K$4:$AJ$4,0)),NA(),IF(SUMPRODUCT((Inputs!$A$5:$A$110=$B67)*ISNUMBER(INDEX(Inputs!$K$5:$AJ$110,0,MATCH(U$2,Inputs!$K$4:$AJ$4,0))))+SUMPRODUCT((Inputs!$C$5:$C$110=$B67)*ISNUMBER(INDEX(Inputs!$K$5:$AJ$110,0,MATCH(U$2,Inputs!$K$4:$AJ$4,0))))+SUMPRODUCT((Inputs!$E$5:$E$110=$B67)*ISNUMBER(INDEX(Inputs!$K$5:$AJ$110,0,MATCH(U$2,Inputs!$K$4:$AJ$4,0))))=0,NA(),SUMPRODUCT((Inputs!$A$5:$A$110=$B67)*Inputs!$B$5:$B$110*(((Inputs!$G$5:$G$110="moeda")+(Inputs!$G$5:$G$110="acoes"))*Inputs!$B$1+((Inputs!$G$5:$G$110&lt;&gt;"moeda")*(Inputs!$G$5:$G$110&lt;&gt;"acoes")))*INDEX(Inputs!$K$5:$AJ$110,0,MATCH(U$2,Inputs!$K$4:$AJ$4,0)))+SUMPRODUCT((Inputs!$C$5:$C$110=$B67)*Inputs!$D$5:$D$110*(((Inputs!$G$5:$G$110="moeda")+(Inputs!$G$5:$G$110="acoes"))*Inputs!$B$1+((Inputs!$G$5:$G$110&lt;&gt;"moeda")*(Inputs!$G$5:$G$110&lt;&gt;"acoes")))*INDEX(Inputs!$K$5:$AJ$110,0,MATCH(U$2,Inputs!$K$4:$AJ$4,0)))+SUMPRODUCT((Inputs!$E$5:$E$110=$B67)*Inputs!$F$5:$F$110*(((Inputs!$G$5:$G$110="moeda")+(Inputs!$G$5:$G$110="acoes"))*Inputs!$B$1+((Inputs!$G$5:$G$110&lt;&gt;"moeda")*(Inputs!$G$5:$G$110&lt;&gt;"acoes")))*INDEX(Inputs!$K$5:$AJ$110,0,MATCH(U$2,Inputs!$K$4:$AJ$4,0)))))</f>
        <v>33913</v>
      </c>
      <c r="V67" s="263">
        <f>IF(ISNA(MATCH(V$2,Inputs!$K$4:$AJ$4,0)),NA(),IF(SUMPRODUCT((Inputs!$A$5:$A$110=$B67)*ISNUMBER(INDEX(Inputs!$K$5:$AJ$110,0,MATCH(V$2,Inputs!$K$4:$AJ$4,0))))+SUMPRODUCT((Inputs!$C$5:$C$110=$B67)*ISNUMBER(INDEX(Inputs!$K$5:$AJ$110,0,MATCH(V$2,Inputs!$K$4:$AJ$4,0))))+SUMPRODUCT((Inputs!$E$5:$E$110=$B67)*ISNUMBER(INDEX(Inputs!$K$5:$AJ$110,0,MATCH(V$2,Inputs!$K$4:$AJ$4,0))))=0,NA(),SUMPRODUCT((Inputs!$A$5:$A$110=$B67)*Inputs!$B$5:$B$110*(((Inputs!$G$5:$G$110="moeda")+(Inputs!$G$5:$G$110="acoes"))*Inputs!$B$1+((Inputs!$G$5:$G$110&lt;&gt;"moeda")*(Inputs!$G$5:$G$110&lt;&gt;"acoes")))*INDEX(Inputs!$K$5:$AJ$110,0,MATCH(V$2,Inputs!$K$4:$AJ$4,0)))+SUMPRODUCT((Inputs!$C$5:$C$110=$B67)*Inputs!$D$5:$D$110*(((Inputs!$G$5:$G$110="moeda")+(Inputs!$G$5:$G$110="acoes"))*Inputs!$B$1+((Inputs!$G$5:$G$110&lt;&gt;"moeda")*(Inputs!$G$5:$G$110&lt;&gt;"acoes")))*INDEX(Inputs!$K$5:$AJ$110,0,MATCH(V$2,Inputs!$K$4:$AJ$4,0)))+SUMPRODUCT((Inputs!$E$5:$E$110=$B67)*Inputs!$F$5:$F$110*(((Inputs!$G$5:$G$110="moeda")+(Inputs!$G$5:$G$110="acoes"))*Inputs!$B$1+((Inputs!$G$5:$G$110&lt;&gt;"moeda")*(Inputs!$G$5:$G$110&lt;&gt;"acoes")))*INDEX(Inputs!$K$5:$AJ$110,0,MATCH(V$2,Inputs!$K$4:$AJ$4,0)))))</f>
        <v>35537</v>
      </c>
      <c r="W67" s="264">
        <f>SUM(S67:V67)</f>
        <v>133047</v>
      </c>
      <c r="X67" s="263">
        <f>IF(ISNA(MATCH(X$2,Inputs!$K$4:$AJ$4,0)),NA(),IF(SUMPRODUCT((Inputs!$A$5:$A$110=$B67)*ISNUMBER(INDEX(Inputs!$K$5:$AJ$110,0,MATCH(X$2,Inputs!$K$4:$AJ$4,0))))+SUMPRODUCT((Inputs!$C$5:$C$110=$B67)*ISNUMBER(INDEX(Inputs!$K$5:$AJ$110,0,MATCH(X$2,Inputs!$K$4:$AJ$4,0))))+SUMPRODUCT((Inputs!$E$5:$E$110=$B67)*ISNUMBER(INDEX(Inputs!$K$5:$AJ$110,0,MATCH(X$2,Inputs!$K$4:$AJ$4,0))))=0,NA(),SUMPRODUCT((Inputs!$A$5:$A$110=$B67)*Inputs!$B$5:$B$110*(((Inputs!$G$5:$G$110="moeda")+(Inputs!$G$5:$G$110="acoes"))*Inputs!$B$1+((Inputs!$G$5:$G$110&lt;&gt;"moeda")*(Inputs!$G$5:$G$110&lt;&gt;"acoes")))*INDEX(Inputs!$K$5:$AJ$110,0,MATCH(X$2,Inputs!$K$4:$AJ$4,0)))+SUMPRODUCT((Inputs!$C$5:$C$110=$B67)*Inputs!$D$5:$D$110*(((Inputs!$G$5:$G$110="moeda")+(Inputs!$G$5:$G$110="acoes"))*Inputs!$B$1+((Inputs!$G$5:$G$110&lt;&gt;"moeda")*(Inputs!$G$5:$G$110&lt;&gt;"acoes")))*INDEX(Inputs!$K$5:$AJ$110,0,MATCH(X$2,Inputs!$K$4:$AJ$4,0)))+SUMPRODUCT((Inputs!$E$5:$E$110=$B67)*Inputs!$F$5:$F$110*(((Inputs!$G$5:$G$110="moeda")+(Inputs!$G$5:$G$110="acoes"))*Inputs!$B$1+((Inputs!$G$5:$G$110&lt;&gt;"moeda")*(Inputs!$G$5:$G$110&lt;&gt;"acoes")))*INDEX(Inputs!$K$5:$AJ$110,0,MATCH(X$2,Inputs!$K$4:$AJ$4,0)))))</f>
        <v>36084</v>
      </c>
      <c r="Y67" s="263">
        <f>IF(ISNA(MATCH(Y$2,Inputs!$K$4:$AJ$4,0)),NA(),IF(SUMPRODUCT((Inputs!$A$5:$A$110=$B67)*ISNUMBER(INDEX(Inputs!$K$5:$AJ$110,0,MATCH(Y$2,Inputs!$K$4:$AJ$4,0))))+SUMPRODUCT((Inputs!$C$5:$C$110=$B67)*ISNUMBER(INDEX(Inputs!$K$5:$AJ$110,0,MATCH(Y$2,Inputs!$K$4:$AJ$4,0))))+SUMPRODUCT((Inputs!$E$5:$E$110=$B67)*ISNUMBER(INDEX(Inputs!$K$5:$AJ$110,0,MATCH(Y$2,Inputs!$K$4:$AJ$4,0))))=0,NA(),SUMPRODUCT((Inputs!$A$5:$A$110=$B67)*Inputs!$B$5:$B$110*(((Inputs!$G$5:$G$110="moeda")+(Inputs!$G$5:$G$110="acoes"))*Inputs!$B$1+((Inputs!$G$5:$G$110&lt;&gt;"moeda")*(Inputs!$G$5:$G$110&lt;&gt;"acoes")))*INDEX(Inputs!$K$5:$AJ$110,0,MATCH(Y$2,Inputs!$K$4:$AJ$4,0)))+SUMPRODUCT((Inputs!$C$5:$C$110=$B67)*Inputs!$D$5:$D$110*(((Inputs!$G$5:$G$110="moeda")+(Inputs!$G$5:$G$110="acoes"))*Inputs!$B$1+((Inputs!$G$5:$G$110&lt;&gt;"moeda")*(Inputs!$G$5:$G$110&lt;&gt;"acoes")))*INDEX(Inputs!$K$5:$AJ$110,0,MATCH(Y$2,Inputs!$K$4:$AJ$4,0)))+SUMPRODUCT((Inputs!$E$5:$E$110=$B67)*Inputs!$F$5:$F$110*(((Inputs!$G$5:$G$110="moeda")+(Inputs!$G$5:$G$110="acoes"))*Inputs!$B$1+((Inputs!$G$5:$G$110&lt;&gt;"moeda")*(Inputs!$G$5:$G$110&lt;&gt;"acoes")))*INDEX(Inputs!$K$5:$AJ$110,0,MATCH(Y$2,Inputs!$K$4:$AJ$4,0)))))</f>
        <v>39012</v>
      </c>
      <c r="Z67" s="263">
        <f>IF(ISNA(MATCH(Z$2,Inputs!$K$4:$AJ$4,0)),NA(),IF(SUMPRODUCT((Inputs!$A$5:$A$110=$B67)*ISNUMBER(INDEX(Inputs!$K$5:$AJ$110,0,MATCH(Z$2,Inputs!$K$4:$AJ$4,0))))+SUMPRODUCT((Inputs!$C$5:$C$110=$B67)*ISNUMBER(INDEX(Inputs!$K$5:$AJ$110,0,MATCH(Z$2,Inputs!$K$4:$AJ$4,0))))+SUMPRODUCT((Inputs!$E$5:$E$110=$B67)*ISNUMBER(INDEX(Inputs!$K$5:$AJ$110,0,MATCH(Z$2,Inputs!$K$4:$AJ$4,0))))=0,NA(),SUMPRODUCT((Inputs!$A$5:$A$110=$B67)*Inputs!$B$5:$B$110*(((Inputs!$G$5:$G$110="moeda")+(Inputs!$G$5:$G$110="acoes"))*Inputs!$B$1+((Inputs!$G$5:$G$110&lt;&gt;"moeda")*(Inputs!$G$5:$G$110&lt;&gt;"acoes")))*INDEX(Inputs!$K$5:$AJ$110,0,MATCH(Z$2,Inputs!$K$4:$AJ$4,0)))+SUMPRODUCT((Inputs!$C$5:$C$110=$B67)*Inputs!$D$5:$D$110*(((Inputs!$G$5:$G$110="moeda")+(Inputs!$G$5:$G$110="acoes"))*Inputs!$B$1+((Inputs!$G$5:$G$110&lt;&gt;"moeda")*(Inputs!$G$5:$G$110&lt;&gt;"acoes")))*INDEX(Inputs!$K$5:$AJ$110,0,MATCH(Z$2,Inputs!$K$4:$AJ$4,0)))+SUMPRODUCT((Inputs!$E$5:$E$110=$B67)*Inputs!$F$5:$F$110*(((Inputs!$G$5:$G$110="moeda")+(Inputs!$G$5:$G$110="acoes"))*Inputs!$B$1+((Inputs!$G$5:$G$110&lt;&gt;"moeda")*(Inputs!$G$5:$G$110&lt;&gt;"acoes")))*INDEX(Inputs!$K$5:$AJ$110,0,MATCH(Z$2,Inputs!$K$4:$AJ$4,0)))))</f>
        <v>40077</v>
      </c>
      <c r="AA67" s="263">
        <f>IF(ISNA(MATCH(AA$2,Inputs!$K$4:$AJ$4,0)),NA(),IF(SUMPRODUCT((Inputs!$A$5:$A$110=$B67)*ISNUMBER(INDEX(Inputs!$K$5:$AJ$110,0,MATCH(AA$2,Inputs!$K$4:$AJ$4,0))))+SUMPRODUCT((Inputs!$C$5:$C$110=$B67)*ISNUMBER(INDEX(Inputs!$K$5:$AJ$110,0,MATCH(AA$2,Inputs!$K$4:$AJ$4,0))))+SUMPRODUCT((Inputs!$E$5:$E$110=$B67)*ISNUMBER(INDEX(Inputs!$K$5:$AJ$110,0,MATCH(AA$2,Inputs!$K$4:$AJ$4,0))))=0,NA(),SUMPRODUCT((Inputs!$A$5:$A$110=$B67)*Inputs!$B$5:$B$110*(((Inputs!$G$5:$G$110="moeda")+(Inputs!$G$5:$G$110="acoes"))*Inputs!$B$1+((Inputs!$G$5:$G$110&lt;&gt;"moeda")*(Inputs!$G$5:$G$110&lt;&gt;"acoes")))*INDEX(Inputs!$K$5:$AJ$110,0,MATCH(AA$2,Inputs!$K$4:$AJ$4,0)))+SUMPRODUCT((Inputs!$C$5:$C$110=$B67)*Inputs!$D$5:$D$110*(((Inputs!$G$5:$G$110="moeda")+(Inputs!$G$5:$G$110="acoes"))*Inputs!$B$1+((Inputs!$G$5:$G$110&lt;&gt;"moeda")*(Inputs!$G$5:$G$110&lt;&gt;"acoes")))*INDEX(Inputs!$K$5:$AJ$110,0,MATCH(AA$2,Inputs!$K$4:$AJ$4,0)))+SUMPRODUCT((Inputs!$E$5:$E$110=$B67)*Inputs!$F$5:$F$110*(((Inputs!$G$5:$G$110="moeda")+(Inputs!$G$5:$G$110="acoes"))*Inputs!$B$1+((Inputs!$G$5:$G$110&lt;&gt;"moeda")*(Inputs!$G$5:$G$110&lt;&gt;"acoes")))*INDEX(Inputs!$K$5:$AJ$110,0,MATCH(AA$2,Inputs!$K$4:$AJ$4,0)))))</f>
        <v>41410</v>
      </c>
      <c r="AB67" s="264">
        <f>SUM(X67:AA67)</f>
        <v>156583</v>
      </c>
      <c r="AC67" s="263">
        <f>IF(ISNA(MATCH(AC$2,Inputs!$K$4:$AJ$4,0)),NA(),IF(SUMPRODUCT((Inputs!$A$5:$A$110=$B67)*ISNUMBER(INDEX(Inputs!$K$5:$AJ$110,0,MATCH(AC$2,Inputs!$K$4:$AJ$4,0))))+SUMPRODUCT((Inputs!$C$5:$C$110=$B67)*ISNUMBER(INDEX(Inputs!$K$5:$AJ$110,0,MATCH(AC$2,Inputs!$K$4:$AJ$4,0))))+SUMPRODUCT((Inputs!$E$5:$E$110=$B67)*ISNUMBER(INDEX(Inputs!$K$5:$AJ$110,0,MATCH(AC$2,Inputs!$K$4:$AJ$4,0))))=0,NA(),SUMPRODUCT((Inputs!$A$5:$A$110=$B67)*Inputs!$B$5:$B$110*(((Inputs!$G$5:$G$110="moeda")+(Inputs!$G$5:$G$110="acoes"))*Inputs!$B$1+((Inputs!$G$5:$G$110&lt;&gt;"moeda")*(Inputs!$G$5:$G$110&lt;&gt;"acoes")))*INDEX(Inputs!$K$5:$AJ$110,0,MATCH(AC$2,Inputs!$K$4:$AJ$4,0)))+SUMPRODUCT((Inputs!$C$5:$C$110=$B67)*Inputs!$D$5:$D$110*(((Inputs!$G$5:$G$110="moeda")+(Inputs!$G$5:$G$110="acoes"))*Inputs!$B$1+((Inputs!$G$5:$G$110&lt;&gt;"moeda")*(Inputs!$G$5:$G$110&lt;&gt;"acoes")))*INDEX(Inputs!$K$5:$AJ$110,0,MATCH(AC$2,Inputs!$K$4:$AJ$4,0)))+SUMPRODUCT((Inputs!$E$5:$E$110=$B67)*Inputs!$F$5:$F$110*(((Inputs!$G$5:$G$110="moeda")+(Inputs!$G$5:$G$110="acoes"))*Inputs!$B$1+((Inputs!$G$5:$G$110&lt;&gt;"moeda")*(Inputs!$G$5:$G$110&lt;&gt;"acoes")))*INDEX(Inputs!$K$5:$AJ$110,0,MATCH(AC$2,Inputs!$K$4:$AJ$4,0)))))</f>
        <v>42336</v>
      </c>
      <c r="AD67" s="263">
        <f>IF(ISNA(MATCH(AD$2,Inputs!$K$4:$AJ$4,0)),NA(),IF(SUMPRODUCT((Inputs!$A$5:$A$110=$B67)*ISNUMBER(INDEX(Inputs!$K$5:$AJ$110,0,MATCH(AD$2,Inputs!$K$4:$AJ$4,0))))+SUMPRODUCT((Inputs!$C$5:$C$110=$B67)*ISNUMBER(INDEX(Inputs!$K$5:$AJ$110,0,MATCH(AD$2,Inputs!$K$4:$AJ$4,0))))+SUMPRODUCT((Inputs!$E$5:$E$110=$B67)*ISNUMBER(INDEX(Inputs!$K$5:$AJ$110,0,MATCH(AD$2,Inputs!$K$4:$AJ$4,0))))=0,NA(),SUMPRODUCT((Inputs!$A$5:$A$110=$B67)*Inputs!$B$5:$B$110*(((Inputs!$G$5:$G$110="moeda")+(Inputs!$G$5:$G$110="acoes"))*Inputs!$B$1+((Inputs!$G$5:$G$110&lt;&gt;"moeda")*(Inputs!$G$5:$G$110&lt;&gt;"acoes")))*INDEX(Inputs!$K$5:$AJ$110,0,MATCH(AD$2,Inputs!$K$4:$AJ$4,0)))+SUMPRODUCT((Inputs!$C$5:$C$110=$B67)*Inputs!$D$5:$D$110*(((Inputs!$G$5:$G$110="moeda")+(Inputs!$G$5:$G$110="acoes"))*Inputs!$B$1+((Inputs!$G$5:$G$110&lt;&gt;"moeda")*(Inputs!$G$5:$G$110&lt;&gt;"acoes")))*INDEX(Inputs!$K$5:$AJ$110,0,MATCH(AD$2,Inputs!$K$4:$AJ$4,0)))+SUMPRODUCT((Inputs!$E$5:$E$110=$B67)*Inputs!$F$5:$F$110*(((Inputs!$G$5:$G$110="moeda")+(Inputs!$G$5:$G$110="acoes"))*Inputs!$B$1+((Inputs!$G$5:$G$110&lt;&gt;"moeda")*(Inputs!$G$5:$G$110&lt;&gt;"acoes")))*INDEX(Inputs!$K$5:$AJ$110,0,MATCH(AD$2,Inputs!$K$4:$AJ$4,0)))))</f>
        <v>46971</v>
      </c>
      <c r="AE67" s="263" t="e">
        <f>IF(ISNA(MATCH(AE$2,Inputs!$K$4:$AJ$4,0)),NA(),IF(SUMPRODUCT((Inputs!$A$5:$A$110=$B67)*ISNUMBER(INDEX(Inputs!$K$5:$AJ$110,0,MATCH(AE$2,Inputs!$K$4:$AJ$4,0))))+SUMPRODUCT((Inputs!$C$5:$C$110=$B67)*ISNUMBER(INDEX(Inputs!$K$5:$AJ$110,0,MATCH(AE$2,Inputs!$K$4:$AJ$4,0))))+SUMPRODUCT((Inputs!$E$5:$E$110=$B67)*ISNUMBER(INDEX(Inputs!$K$5:$AJ$110,0,MATCH(AE$2,Inputs!$K$4:$AJ$4,0))))=0,NA(),SUMPRODUCT((Inputs!$A$5:$A$110=$B67)*Inputs!$B$5:$B$110*(((Inputs!$G$5:$G$110="moeda")+(Inputs!$G$5:$G$110="acoes"))*Inputs!$B$1+((Inputs!$G$5:$G$110&lt;&gt;"moeda")*(Inputs!$G$5:$G$110&lt;&gt;"acoes")))*INDEX(Inputs!$K$5:$AJ$110,0,MATCH(AE$2,Inputs!$K$4:$AJ$4,0)))+SUMPRODUCT((Inputs!$C$5:$C$110=$B67)*Inputs!$D$5:$D$110*(((Inputs!$G$5:$G$110="moeda")+(Inputs!$G$5:$G$110="acoes"))*Inputs!$B$1+((Inputs!$G$5:$G$110&lt;&gt;"moeda")*(Inputs!$G$5:$G$110&lt;&gt;"acoes")))*INDEX(Inputs!$K$5:$AJ$110,0,MATCH(AE$2,Inputs!$K$4:$AJ$4,0)))+SUMPRODUCT((Inputs!$E$5:$E$110=$B67)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7" s="263" t="e">
        <f>IF(ISNA(MATCH(AF$2,Inputs!$K$4:$AJ$4,0)),NA(),IF(SUMPRODUCT((Inputs!$A$5:$A$110=$B67)*ISNUMBER(INDEX(Inputs!$K$5:$AJ$110,0,MATCH(AF$2,Inputs!$K$4:$AJ$4,0))))+SUMPRODUCT((Inputs!$C$5:$C$110=$B67)*ISNUMBER(INDEX(Inputs!$K$5:$AJ$110,0,MATCH(AF$2,Inputs!$K$4:$AJ$4,0))))+SUMPRODUCT((Inputs!$E$5:$E$110=$B67)*ISNUMBER(INDEX(Inputs!$K$5:$AJ$110,0,MATCH(AF$2,Inputs!$K$4:$AJ$4,0))))=0,NA(),SUMPRODUCT((Inputs!$A$5:$A$110=$B67)*Inputs!$B$5:$B$110*(((Inputs!$G$5:$G$110="moeda")+(Inputs!$G$5:$G$110="acoes"))*Inputs!$B$1+((Inputs!$G$5:$G$110&lt;&gt;"moeda")*(Inputs!$G$5:$G$110&lt;&gt;"acoes")))*INDEX(Inputs!$K$5:$AJ$110,0,MATCH(AF$2,Inputs!$K$4:$AJ$4,0)))+SUMPRODUCT((Inputs!$C$5:$C$110=$B67)*Inputs!$D$5:$D$110*(((Inputs!$G$5:$G$110="moeda")+(Inputs!$G$5:$G$110="acoes"))*Inputs!$B$1+((Inputs!$G$5:$G$110&lt;&gt;"moeda")*(Inputs!$G$5:$G$110&lt;&gt;"acoes")))*INDEX(Inputs!$K$5:$AJ$110,0,MATCH(AF$2,Inputs!$K$4:$AJ$4,0)))+SUMPRODUCT((Inputs!$E$5:$E$110=$B67)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$110=$B67)*ISNUMBER(INDEX(Inputs!$K$5:$AJ$110,0,MATCH(AH$2,Inputs!$K$4:$AJ$4,0))))+SUMPRODUCT((Inputs!$C$5:$C$110=$B67)*ISNUMBER(INDEX(Inputs!$K$5:$AJ$110,0,MATCH(AH$2,Inputs!$K$4:$AJ$4,0))))+SUMPRODUCT((Inputs!$E$5:$E$110=$B67)*ISNUMBER(INDEX(Inputs!$K$5:$AJ$110,0,MATCH(AH$2,Inputs!$K$4:$AJ$4,0))))=0,NA(),SUMPRODUCT((Inputs!$A$5:$A$110=$B67)*Inputs!$B$5:$B$110*(((Inputs!$G$5:$G$110="moeda")+(Inputs!$G$5:$G$110="acoes"))*Inputs!$B$1+((Inputs!$G$5:$G$110&lt;&gt;"moeda")*(Inputs!$G$5:$G$110&lt;&gt;"acoes")))*INDEX(Inputs!$K$5:$AJ$110,0,MATCH(AH$2,Inputs!$K$4:$AJ$4,0)))+SUMPRODUCT((Inputs!$C$5:$C$110=$B67)*Inputs!$D$5:$D$110*(((Inputs!$G$5:$G$110="moeda")+(Inputs!$G$5:$G$110="acoes"))*Inputs!$B$1+((Inputs!$G$5:$G$110&lt;&gt;"moeda")*(Inputs!$G$5:$G$110&lt;&gt;"acoes")))*INDEX(Inputs!$K$5:$AJ$110,0,MATCH(AH$2,Inputs!$K$4:$AJ$4,0)))+SUMPRODUCT((Inputs!$E$5:$E$110=$B67)*Inputs!$F$5:$F$110*(((Inputs!$G$5:$G$110="moeda")+(Inputs!$G$5:$G$110="acoes"))*Inputs!$B$1+((Inputs!$G$5:$G$110&lt;&gt;"moeda")*(Inputs!$G$5:$G$110&lt;&gt;"acoes")))*INDEX(Inputs!$K$5:$AJ$110,0,MATCH(AH$2,Inputs!$K$4:$AJ$4,0)))))</f>
        <v>17428</v>
      </c>
      <c r="AI67" s="263">
        <f>IF(ISNA(MATCH(AI$2,Inputs!$K$4:$AJ$4,0)),NA(),IF(SUMPRODUCT((Inputs!$A$5:$A$110=$B67)*ISNUMBER(INDEX(Inputs!$K$5:$AJ$110,0,MATCH(AI$2,Inputs!$K$4:$AJ$4,0))))+SUMPRODUCT((Inputs!$C$5:$C$110=$B67)*ISNUMBER(INDEX(Inputs!$K$5:$AJ$110,0,MATCH(AI$2,Inputs!$K$4:$AJ$4,0))))+SUMPRODUCT((Inputs!$E$5:$E$110=$B67)*ISNUMBER(INDEX(Inputs!$K$5:$AJ$110,0,MATCH(AI$2,Inputs!$K$4:$AJ$4,0))))=0,NA(),SUMPRODUCT((Inputs!$A$5:$A$110=$B67)*Inputs!$B$5:$B$110*(((Inputs!$G$5:$G$110="moeda")+(Inputs!$G$5:$G$110="acoes"))*Inputs!$B$1+((Inputs!$G$5:$G$110&lt;&gt;"moeda")*(Inputs!$G$5:$G$110&lt;&gt;"acoes")))*INDEX(Inputs!$K$5:$AJ$110,0,MATCH(AI$2,Inputs!$K$4:$AJ$4,0)))+SUMPRODUCT((Inputs!$C$5:$C$110=$B67)*Inputs!$D$5:$D$110*(((Inputs!$G$5:$G$110="moeda")+(Inputs!$G$5:$G$110="acoes"))*Inputs!$B$1+((Inputs!$G$5:$G$110&lt;&gt;"moeda")*(Inputs!$G$5:$G$110&lt;&gt;"acoes")))*INDEX(Inputs!$K$5:$AJ$110,0,MATCH(AI$2,Inputs!$K$4:$AJ$4,0)))+SUMPRODUCT((Inputs!$E$5:$E$110=$B67)*Inputs!$F$5:$F$110*(((Inputs!$G$5:$G$110="moeda")+(Inputs!$G$5:$G$110="acoes"))*Inputs!$B$1+((Inputs!$G$5:$G$110&lt;&gt;"moeda")*(Inputs!$G$5:$G$110&lt;&gt;"acoes")))*INDEX(Inputs!$K$5:$AJ$110,0,MATCH(AI$2,Inputs!$K$4:$AJ$4,0)))))</f>
        <v>19313</v>
      </c>
      <c r="AJ67" s="263">
        <f>IF(ISNA(MATCH(AJ$2,Inputs!$K$4:$AJ$4,0)),NA(),IF(SUMPRODUCT((Inputs!$A$5:$A$110=$B67)*ISNUMBER(INDEX(Inputs!$K$5:$AJ$110,0,MATCH(AJ$2,Inputs!$K$4:$AJ$4,0))))+SUMPRODUCT((Inputs!$C$5:$C$110=$B67)*ISNUMBER(INDEX(Inputs!$K$5:$AJ$110,0,MATCH(AJ$2,Inputs!$K$4:$AJ$4,0))))+SUMPRODUCT((Inputs!$E$5:$E$110=$B67)*ISNUMBER(INDEX(Inputs!$K$5:$AJ$110,0,MATCH(AJ$2,Inputs!$K$4:$AJ$4,0))))=0,NA(),SUMPRODUCT((Inputs!$A$5:$A$110=$B67)*Inputs!$B$5:$B$110*(((Inputs!$G$5:$G$110="moeda")+(Inputs!$G$5:$G$110="acoes"))*Inputs!$B$1+((Inputs!$G$5:$G$110&lt;&gt;"moeda")*(Inputs!$G$5:$G$110&lt;&gt;"acoes")))*INDEX(Inputs!$K$5:$AJ$110,0,MATCH(AJ$2,Inputs!$K$4:$AJ$4,0)))+SUMPRODUCT((Inputs!$C$5:$C$110=$B67)*Inputs!$D$5:$D$110*(((Inputs!$G$5:$G$110="moeda")+(Inputs!$G$5:$G$110="acoes"))*Inputs!$B$1+((Inputs!$G$5:$G$110&lt;&gt;"moeda")*(Inputs!$G$5:$G$110&lt;&gt;"acoes")))*INDEX(Inputs!$K$5:$AJ$110,0,MATCH(AJ$2,Inputs!$K$4:$AJ$4,0)))+SUMPRODUCT((Inputs!$E$5:$E$110=$B67)*Inputs!$F$5:$F$110*(((Inputs!$G$5:$G$110="moeda")+(Inputs!$G$5:$G$110="acoes"))*Inputs!$B$1+((Inputs!$G$5:$G$110&lt;&gt;"moeda")*(Inputs!$G$5:$G$110&lt;&gt;"acoes")))*INDEX(Inputs!$K$5:$AJ$110,0,MATCH(AJ$2,Inputs!$K$4:$AJ$4,0)))))</f>
        <v>19025</v>
      </c>
      <c r="AK67" s="263">
        <f>IF(ISNA(MATCH(AK$2,Inputs!$K$4:$AJ$4,0)),NA(),IF(SUMPRODUCT((Inputs!$A$5:$A$110=$B67)*ISNUMBER(INDEX(Inputs!$K$5:$AJ$110,0,MATCH(AK$2,Inputs!$K$4:$AJ$4,0))))+SUMPRODUCT((Inputs!$C$5:$C$110=$B67)*ISNUMBER(INDEX(Inputs!$K$5:$AJ$110,0,MATCH(AK$2,Inputs!$K$4:$AJ$4,0))))+SUMPRODUCT((Inputs!$E$5:$E$110=$B67)*ISNUMBER(INDEX(Inputs!$K$5:$AJ$110,0,MATCH(AK$2,Inputs!$K$4:$AJ$4,0))))=0,NA(),SUMPRODUCT((Inputs!$A$5:$A$110=$B67)*Inputs!$B$5:$B$110*(((Inputs!$G$5:$G$110="moeda")+(Inputs!$G$5:$G$110="acoes"))*Inputs!$B$1+((Inputs!$G$5:$G$110&lt;&gt;"moeda")*(Inputs!$G$5:$G$110&lt;&gt;"acoes")))*INDEX(Inputs!$K$5:$AJ$110,0,MATCH(AK$2,Inputs!$K$4:$AJ$4,0)))+SUMPRODUCT((Inputs!$C$5:$C$110=$B67)*Inputs!$D$5:$D$110*(((Inputs!$G$5:$G$110="moeda")+(Inputs!$G$5:$G$110="acoes"))*Inputs!$B$1+((Inputs!$G$5:$G$110&lt;&gt;"moeda")*(Inputs!$G$5:$G$110&lt;&gt;"acoes")))*INDEX(Inputs!$K$5:$AJ$110,0,MATCH(AK$2,Inputs!$K$4:$AJ$4,0)))+SUMPRODUCT((Inputs!$E$5:$E$110=$B67)*Inputs!$F$5:$F$110*(((Inputs!$G$5:$G$110="moeda")+(Inputs!$G$5:$G$110="acoes"))*Inputs!$B$1+((Inputs!$G$5:$G$110&lt;&gt;"moeda")*(Inputs!$G$5:$G$110&lt;&gt;"acoes")))*INDEX(Inputs!$K$5:$AJ$110,0,MATCH(AK$2,Inputs!$K$4:$AJ$4,0)))))</f>
        <v>21836</v>
      </c>
      <c r="AL67" s="264">
        <f>SUM(AH67:AK67)</f>
        <v>77602</v>
      </c>
    </row>
    <row r="68">
      <c r="B68" s="46" t="n">
        <v>60</v>
      </c>
      <c r="C68" s="29" t="inlineStr">
        <is>
          <t>Receita fora dos EUA (USD)</t>
        </is>
      </c>
      <c r="D68" s="263">
        <f>IF(ISNA(MATCH(D$2,Inputs!$K$4:$AJ$4,0)),NA(),IF(SUMPRODUCT((Inputs!$A$5:$A$110=$B68)*ISNUMBER(INDEX(Inputs!$K$5:$AJ$110,0,MATCH(D$2,Inputs!$K$4:$AJ$4,0))))+SUMPRODUCT((Inputs!$C$5:$C$110=$B68)*ISNUMBER(INDEX(Inputs!$K$5:$AJ$110,0,MATCH(D$2,Inputs!$K$4:$AJ$4,0))))+SUMPRODUCT((Inputs!$E$5:$E$110=$B68)*ISNUMBER(INDEX(Inputs!$K$5:$AJ$110,0,MATCH(D$2,Inputs!$K$4:$AJ$4,0))))=0,NA(),SUMPRODUCT((Inputs!$A$5:$A$110=$B68)*Inputs!$B$5:$B$110*(((Inputs!$G$5:$G$110="moeda")+(Inputs!$G$5:$G$110="acoes"))*Inputs!$B$1+((Inputs!$G$5:$G$110&lt;&gt;"moeda")*(Inputs!$G$5:$G$110&lt;&gt;"acoes")))*INDEX(Inputs!$K$5:$AJ$110,0,MATCH(D$2,Inputs!$K$4:$AJ$4,0)))+SUMPRODUCT((Inputs!$C$5:$C$110=$B68)*Inputs!$D$5:$D$110*(((Inputs!$G$5:$G$110="moeda")+(Inputs!$G$5:$G$110="acoes"))*Inputs!$B$1+((Inputs!$G$5:$G$110&lt;&gt;"moeda")*(Inputs!$G$5:$G$110&lt;&gt;"acoes")))*INDEX(Inputs!$K$5:$AJ$110,0,MATCH(D$2,Inputs!$K$4:$AJ$4,0)))+SUMPRODUCT((Inputs!$E$5:$E$110=$B68)*Inputs!$F$5:$F$110*(((Inputs!$G$5:$G$110="moeda")+(Inputs!$G$5:$G$110="acoes"))*Inputs!$B$1+((Inputs!$G$5:$G$110&lt;&gt;"moeda")*(Inputs!$G$5:$G$110&lt;&gt;"acoes")))*INDEX(Inputs!$K$5:$AJ$110,0,MATCH(D$2,Inputs!$K$4:$AJ$4,0)))))</f>
        <v>21333</v>
      </c>
      <c r="E68" s="263">
        <f>IF(ISNA(MATCH(E$2,Inputs!$K$4:$AJ$4,0)),NA(),IF(SUMPRODUCT((Inputs!$A$5:$A$110=$B68)*ISNUMBER(INDEX(Inputs!$K$5:$AJ$110,0,MATCH(E$2,Inputs!$K$4:$AJ$4,0))))+SUMPRODUCT((Inputs!$C$5:$C$110=$B68)*ISNUMBER(INDEX(Inputs!$K$5:$AJ$110,0,MATCH(E$2,Inputs!$K$4:$AJ$4,0))))+SUMPRODUCT((Inputs!$E$5:$E$110=$B68)*ISNUMBER(INDEX(Inputs!$K$5:$AJ$110,0,MATCH(E$2,Inputs!$K$4:$AJ$4,0))))=0,NA(),SUMPRODUCT((Inputs!$A$5:$A$110=$B68)*Inputs!$B$5:$B$110*(((Inputs!$G$5:$G$110="moeda")+(Inputs!$G$5:$G$110="acoes"))*Inputs!$B$1+((Inputs!$G$5:$G$110&lt;&gt;"moeda")*(Inputs!$G$5:$G$110&lt;&gt;"acoes")))*INDEX(Inputs!$K$5:$AJ$110,0,MATCH(E$2,Inputs!$K$4:$AJ$4,0)))+SUMPRODUCT((Inputs!$C$5:$C$110=$B68)*Inputs!$D$5:$D$110*(((Inputs!$G$5:$G$110="moeda")+(Inputs!$G$5:$G$110="acoes"))*Inputs!$B$1+((Inputs!$G$5:$G$110&lt;&gt;"moeda")*(Inputs!$G$5:$G$110&lt;&gt;"acoes")))*INDEX(Inputs!$K$5:$AJ$110,0,MATCH(E$2,Inputs!$K$4:$AJ$4,0)))+SUMPRODUCT((Inputs!$E$5:$E$110=$B68)*Inputs!$F$5:$F$110*(((Inputs!$G$5:$G$110="moeda")+(Inputs!$G$5:$G$110="acoes"))*Inputs!$B$1+((Inputs!$G$5:$G$110&lt;&gt;"moeda")*(Inputs!$G$5:$G$110&lt;&gt;"acoes")))*INDEX(Inputs!$K$5:$AJ$110,0,MATCH(E$2,Inputs!$K$4:$AJ$4,0)))))</f>
        <v>23433</v>
      </c>
      <c r="F68" s="263">
        <f>IF(ISNA(MATCH(F$2,Inputs!$K$4:$AJ$4,0)),NA(),IF(SUMPRODUCT((Inputs!$A$5:$A$110=$B68)*ISNUMBER(INDEX(Inputs!$K$5:$AJ$110,0,MATCH(F$2,Inputs!$K$4:$AJ$4,0))))+SUMPRODUCT((Inputs!$C$5:$C$110=$B68)*ISNUMBER(INDEX(Inputs!$K$5:$AJ$110,0,MATCH(F$2,Inputs!$K$4:$AJ$4,0))))+SUMPRODUCT((Inputs!$E$5:$E$110=$B68)*ISNUMBER(INDEX(Inputs!$K$5:$AJ$110,0,MATCH(F$2,Inputs!$K$4:$AJ$4,0))))=0,NA(),SUMPRODUCT((Inputs!$A$5:$A$110=$B68)*Inputs!$B$5:$B$110*(((Inputs!$G$5:$G$110="moeda")+(Inputs!$G$5:$G$110="acoes"))*Inputs!$B$1+((Inputs!$G$5:$G$110&lt;&gt;"moeda")*(Inputs!$G$5:$G$110&lt;&gt;"acoes")))*INDEX(Inputs!$K$5:$AJ$110,0,MATCH(F$2,Inputs!$K$4:$AJ$4,0)))+SUMPRODUCT((Inputs!$C$5:$C$110=$B68)*Inputs!$D$5:$D$110*(((Inputs!$G$5:$G$110="moeda")+(Inputs!$G$5:$G$110="acoes"))*Inputs!$B$1+((Inputs!$G$5:$G$110&lt;&gt;"moeda")*(Inputs!$G$5:$G$110&lt;&gt;"acoes")))*INDEX(Inputs!$K$5:$AJ$110,0,MATCH(F$2,Inputs!$K$4:$AJ$4,0)))+SUMPRODUCT((Inputs!$E$5:$E$110=$B68)*Inputs!$F$5:$F$110*(((Inputs!$G$5:$G$110="moeda")+(Inputs!$G$5:$G$110="acoes"))*Inputs!$B$1+((Inputs!$G$5:$G$110&lt;&gt;"moeda")*(Inputs!$G$5:$G$110&lt;&gt;"acoes")))*INDEX(Inputs!$K$5:$AJ$110,0,MATCH(F$2,Inputs!$K$4:$AJ$4,0)))))</f>
        <v>22487</v>
      </c>
      <c r="G68" s="263">
        <f>IF(ISNA(MATCH(G$2,Inputs!$K$4:$AJ$4,0)),NA(),IF(SUMPRODUCT((Inputs!$A$5:$A$110=$B68)*ISNUMBER(INDEX(Inputs!$K$5:$AJ$110,0,MATCH(G$2,Inputs!$K$4:$AJ$4,0))))+SUMPRODUCT((Inputs!$C$5:$C$110=$B68)*ISNUMBER(INDEX(Inputs!$K$5:$AJ$110,0,MATCH(G$2,Inputs!$K$4:$AJ$4,0))))+SUMPRODUCT((Inputs!$E$5:$E$110=$B68)*ISNUMBER(INDEX(Inputs!$K$5:$AJ$110,0,MATCH(G$2,Inputs!$K$4:$AJ$4,0))))=0,NA(),SUMPRODUCT((Inputs!$A$5:$A$110=$B68)*Inputs!$B$5:$B$110*(((Inputs!$G$5:$G$110="moeda")+(Inputs!$G$5:$G$110="acoes"))*Inputs!$B$1+((Inputs!$G$5:$G$110&lt;&gt;"moeda")*(Inputs!$G$5:$G$110&lt;&gt;"acoes")))*INDEX(Inputs!$K$5:$AJ$110,0,MATCH(G$2,Inputs!$K$4:$AJ$4,0)))+SUMPRODUCT((Inputs!$C$5:$C$110=$B68)*Inputs!$D$5:$D$110*(((Inputs!$G$5:$G$110="moeda")+(Inputs!$G$5:$G$110="acoes"))*Inputs!$B$1+((Inputs!$G$5:$G$110&lt;&gt;"moeda")*(Inputs!$G$5:$G$110&lt;&gt;"acoes")))*INDEX(Inputs!$K$5:$AJ$110,0,MATCH(G$2,Inputs!$K$4:$AJ$4,0)))+SUMPRODUCT((Inputs!$E$5:$E$110=$B68)*Inputs!$F$5:$F$110*(((Inputs!$G$5:$G$110="moeda")+(Inputs!$G$5:$G$110="acoes"))*Inputs!$B$1+((Inputs!$G$5:$G$110&lt;&gt;"moeda")*(Inputs!$G$5:$G$110&lt;&gt;"acoes")))*INDEX(Inputs!$K$5:$AJ$110,0,MATCH(G$2,Inputs!$K$4:$AJ$4,0)))))</f>
        <v>25265</v>
      </c>
      <c r="H68" s="264">
        <f>SUM(D68:G68)</f>
        <v>92518</v>
      </c>
      <c r="I68" s="263">
        <f>IF(ISNA(MATCH(I$2,Inputs!$K$4:$AJ$4,0)),NA(),IF(SUMPRODUCT((Inputs!$A$5:$A$110=$B68)*ISNUMBER(INDEX(Inputs!$K$5:$AJ$110,0,MATCH(I$2,Inputs!$K$4:$AJ$4,0))))+SUMPRODUCT((Inputs!$C$5:$C$110=$B68)*ISNUMBER(INDEX(Inputs!$K$5:$AJ$110,0,MATCH(I$2,Inputs!$K$4:$AJ$4,0))))+SUMPRODUCT((Inputs!$E$5:$E$110=$B68)*ISNUMBER(INDEX(Inputs!$K$5:$AJ$110,0,MATCH(I$2,Inputs!$K$4:$AJ$4,0))))=0,NA(),SUMPRODUCT((Inputs!$A$5:$A$110=$B68)*Inputs!$B$5:$B$110*(((Inputs!$G$5:$G$110="moeda")+(Inputs!$G$5:$G$110="acoes"))*Inputs!$B$1+((Inputs!$G$5:$G$110&lt;&gt;"moeda")*(Inputs!$G$5:$G$110&lt;&gt;"acoes")))*INDEX(Inputs!$K$5:$AJ$110,0,MATCH(I$2,Inputs!$K$4:$AJ$4,0)))+SUMPRODUCT((Inputs!$C$5:$C$110=$B68)*Inputs!$D$5:$D$110*(((Inputs!$G$5:$G$110="moeda")+(Inputs!$G$5:$G$110="acoes"))*Inputs!$B$1+((Inputs!$G$5:$G$110&lt;&gt;"moeda")*(Inputs!$G$5:$G$110&lt;&gt;"acoes")))*INDEX(Inputs!$K$5:$AJ$110,0,MATCH(I$2,Inputs!$K$4:$AJ$4,0)))+SUMPRODUCT((Inputs!$E$5:$E$110=$B68)*Inputs!$F$5:$F$110*(((Inputs!$G$5:$G$110="moeda")+(Inputs!$G$5:$G$110="acoes"))*Inputs!$B$1+((Inputs!$G$5:$G$110&lt;&gt;"moeda")*(Inputs!$G$5:$G$110&lt;&gt;"acoes")))*INDEX(Inputs!$K$5:$AJ$110,0,MATCH(I$2,Inputs!$K$4:$AJ$4,0)))))</f>
        <v>24589</v>
      </c>
      <c r="J68" s="263">
        <f>IF(ISNA(MATCH(J$2,Inputs!$K$4:$AJ$4,0)),NA(),IF(SUMPRODUCT((Inputs!$A$5:$A$110=$B68)*ISNUMBER(INDEX(Inputs!$K$5:$AJ$110,0,MATCH(J$2,Inputs!$K$4:$AJ$4,0))))+SUMPRODUCT((Inputs!$C$5:$C$110=$B68)*ISNUMBER(INDEX(Inputs!$K$5:$AJ$110,0,MATCH(J$2,Inputs!$K$4:$AJ$4,0))))+SUMPRODUCT((Inputs!$E$5:$E$110=$B68)*ISNUMBER(INDEX(Inputs!$K$5:$AJ$110,0,MATCH(J$2,Inputs!$K$4:$AJ$4,0))))=0,NA(),SUMPRODUCT((Inputs!$A$5:$A$110=$B68)*Inputs!$B$5:$B$110*(((Inputs!$G$5:$G$110="moeda")+(Inputs!$G$5:$G$110="acoes"))*Inputs!$B$1+((Inputs!$G$5:$G$110&lt;&gt;"moeda")*(Inputs!$G$5:$G$110&lt;&gt;"acoes")))*INDEX(Inputs!$K$5:$AJ$110,0,MATCH(J$2,Inputs!$K$4:$AJ$4,0)))+SUMPRODUCT((Inputs!$C$5:$C$110=$B68)*Inputs!$D$5:$D$110*(((Inputs!$G$5:$G$110="moeda")+(Inputs!$G$5:$G$110="acoes"))*Inputs!$B$1+((Inputs!$G$5:$G$110&lt;&gt;"moeda")*(Inputs!$G$5:$G$110&lt;&gt;"acoes")))*INDEX(Inputs!$K$5:$AJ$110,0,MATCH(J$2,Inputs!$K$4:$AJ$4,0)))+SUMPRODUCT((Inputs!$E$5:$E$110=$B68)*Inputs!$F$5:$F$110*(((Inputs!$G$5:$G$110="moeda")+(Inputs!$G$5:$G$110="acoes"))*Inputs!$B$1+((Inputs!$G$5:$G$110&lt;&gt;"moeda")*(Inputs!$G$5:$G$110&lt;&gt;"acoes")))*INDEX(Inputs!$K$5:$AJ$110,0,MATCH(J$2,Inputs!$K$4:$AJ$4,0)))))</f>
        <v>25711</v>
      </c>
      <c r="K68" s="263">
        <f>IF(ISNA(MATCH(K$2,Inputs!$K$4:$AJ$4,0)),NA(),IF(SUMPRODUCT((Inputs!$A$5:$A$110=$B68)*ISNUMBER(INDEX(Inputs!$K$5:$AJ$110,0,MATCH(K$2,Inputs!$K$4:$AJ$4,0))))+SUMPRODUCT((Inputs!$C$5:$C$110=$B68)*ISNUMBER(INDEX(Inputs!$K$5:$AJ$110,0,MATCH(K$2,Inputs!$K$4:$AJ$4,0))))+SUMPRODUCT((Inputs!$E$5:$E$110=$B68)*ISNUMBER(INDEX(Inputs!$K$5:$AJ$110,0,MATCH(K$2,Inputs!$K$4:$AJ$4,0))))=0,NA(),SUMPRODUCT((Inputs!$A$5:$A$110=$B68)*Inputs!$B$5:$B$110*(((Inputs!$G$5:$G$110="moeda")+(Inputs!$G$5:$G$110="acoes"))*Inputs!$B$1+((Inputs!$G$5:$G$110&lt;&gt;"moeda")*(Inputs!$G$5:$G$110&lt;&gt;"acoes")))*INDEX(Inputs!$K$5:$AJ$110,0,MATCH(K$2,Inputs!$K$4:$AJ$4,0)))+SUMPRODUCT((Inputs!$C$5:$C$110=$B68)*Inputs!$D$5:$D$110*(((Inputs!$G$5:$G$110="moeda")+(Inputs!$G$5:$G$110="acoes"))*Inputs!$B$1+((Inputs!$G$5:$G$110&lt;&gt;"moeda")*(Inputs!$G$5:$G$110&lt;&gt;"acoes")))*INDEX(Inputs!$K$5:$AJ$110,0,MATCH(K$2,Inputs!$K$4:$AJ$4,0)))+SUMPRODUCT((Inputs!$E$5:$E$110=$B68)*Inputs!$F$5:$F$110*(((Inputs!$G$5:$G$110="moeda")+(Inputs!$G$5:$G$110="acoes"))*Inputs!$B$1+((Inputs!$G$5:$G$110&lt;&gt;"moeda")*(Inputs!$G$5:$G$110&lt;&gt;"acoes")))*INDEX(Inputs!$K$5:$AJ$110,0,MATCH(K$2,Inputs!$K$4:$AJ$4,0)))))</f>
        <v>24255</v>
      </c>
      <c r="L68" s="263">
        <f>IF(ISNA(MATCH(L$2,Inputs!$K$4:$AJ$4,0)),NA(),IF(SUMPRODUCT((Inputs!$A$5:$A$110=$B68)*ISNUMBER(INDEX(Inputs!$K$5:$AJ$110,0,MATCH(L$2,Inputs!$K$4:$AJ$4,0))))+SUMPRODUCT((Inputs!$C$5:$C$110=$B68)*ISNUMBER(INDEX(Inputs!$K$5:$AJ$110,0,MATCH(L$2,Inputs!$K$4:$AJ$4,0))))+SUMPRODUCT((Inputs!$E$5:$E$110=$B68)*ISNUMBER(INDEX(Inputs!$K$5:$AJ$110,0,MATCH(L$2,Inputs!$K$4:$AJ$4,0))))=0,NA(),SUMPRODUCT((Inputs!$A$5:$A$110=$B68)*Inputs!$B$5:$B$110*(((Inputs!$G$5:$G$110="moeda")+(Inputs!$G$5:$G$110="acoes"))*Inputs!$B$1+((Inputs!$G$5:$G$110&lt;&gt;"moeda")*(Inputs!$G$5:$G$110&lt;&gt;"acoes")))*INDEX(Inputs!$K$5:$AJ$110,0,MATCH(L$2,Inputs!$K$4:$AJ$4,0)))+SUMPRODUCT((Inputs!$C$5:$C$110=$B68)*Inputs!$D$5:$D$110*(((Inputs!$G$5:$G$110="moeda")+(Inputs!$G$5:$G$110="acoes"))*Inputs!$B$1+((Inputs!$G$5:$G$110&lt;&gt;"moeda")*(Inputs!$G$5:$G$110&lt;&gt;"acoes")))*INDEX(Inputs!$K$5:$AJ$110,0,MATCH(L$2,Inputs!$K$4:$AJ$4,0)))+SUMPRODUCT((Inputs!$E$5:$E$110=$B68)*Inputs!$F$5:$F$110*(((Inputs!$G$5:$G$110="moeda")+(Inputs!$G$5:$G$110="acoes"))*Inputs!$B$1+((Inputs!$G$5:$G$110&lt;&gt;"moeda")*(Inputs!$G$5:$G$110&lt;&gt;"acoes")))*INDEX(Inputs!$K$5:$AJ$110,0,MATCH(L$2,Inputs!$K$4:$AJ$4,0)))))</f>
        <v>25771</v>
      </c>
      <c r="M68" s="264">
        <f>SUM(I68:L68)</f>
        <v>100326</v>
      </c>
      <c r="N68" s="263">
        <f>IF(ISNA(MATCH(N$2,Inputs!$K$4:$AJ$4,0)),NA(),IF(SUMPRODUCT((Inputs!$A$5:$A$110=$B68)*ISNUMBER(INDEX(Inputs!$K$5:$AJ$110,0,MATCH(N$2,Inputs!$K$4:$AJ$4,0))))+SUMPRODUCT((Inputs!$C$5:$C$110=$B68)*ISNUMBER(INDEX(Inputs!$K$5:$AJ$110,0,MATCH(N$2,Inputs!$K$4:$AJ$4,0))))+SUMPRODUCT((Inputs!$E$5:$E$110=$B68)*ISNUMBER(INDEX(Inputs!$K$5:$AJ$110,0,MATCH(N$2,Inputs!$K$4:$AJ$4,0))))=0,NA(),SUMPRODUCT((Inputs!$A$5:$A$110=$B68)*Inputs!$B$5:$B$110*(((Inputs!$G$5:$G$110="moeda")+(Inputs!$G$5:$G$110="acoes"))*Inputs!$B$1+((Inputs!$G$5:$G$110&lt;&gt;"moeda")*(Inputs!$G$5:$G$110&lt;&gt;"acoes")))*INDEX(Inputs!$K$5:$AJ$110,0,MATCH(N$2,Inputs!$K$4:$AJ$4,0)))+SUMPRODUCT((Inputs!$C$5:$C$110=$B68)*Inputs!$D$5:$D$110*(((Inputs!$G$5:$G$110="moeda")+(Inputs!$G$5:$G$110="acoes"))*Inputs!$B$1+((Inputs!$G$5:$G$110&lt;&gt;"moeda")*(Inputs!$G$5:$G$110&lt;&gt;"acoes")))*INDEX(Inputs!$K$5:$AJ$110,0,MATCH(N$2,Inputs!$K$4:$AJ$4,0)))+SUMPRODUCT((Inputs!$E$5:$E$110=$B68)*Inputs!$F$5:$F$110*(((Inputs!$G$5:$G$110="moeda")+(Inputs!$G$5:$G$110="acoes"))*Inputs!$B$1+((Inputs!$G$5:$G$110&lt;&gt;"moeda")*(Inputs!$G$5:$G$110&lt;&gt;"acoes")))*INDEX(Inputs!$K$5:$AJ$110,0,MATCH(N$2,Inputs!$K$4:$AJ$4,0)))))</f>
        <v>26850</v>
      </c>
      <c r="O68" s="263">
        <f>IF(ISNA(MATCH(O$2,Inputs!$K$4:$AJ$4,0)),NA(),IF(SUMPRODUCT((Inputs!$A$5:$A$110=$B68)*ISNUMBER(INDEX(Inputs!$K$5:$AJ$110,0,MATCH(O$2,Inputs!$K$4:$AJ$4,0))))+SUMPRODUCT((Inputs!$C$5:$C$110=$B68)*ISNUMBER(INDEX(Inputs!$K$5:$AJ$110,0,MATCH(O$2,Inputs!$K$4:$AJ$4,0))))+SUMPRODUCT((Inputs!$E$5:$E$110=$B68)*ISNUMBER(INDEX(Inputs!$K$5:$AJ$110,0,MATCH(O$2,Inputs!$K$4:$AJ$4,0))))=0,NA(),SUMPRODUCT((Inputs!$A$5:$A$110=$B68)*Inputs!$B$5:$B$110*(((Inputs!$G$5:$G$110="moeda")+(Inputs!$G$5:$G$110="acoes"))*Inputs!$B$1+((Inputs!$G$5:$G$110&lt;&gt;"moeda")*(Inputs!$G$5:$G$110&lt;&gt;"acoes")))*INDEX(Inputs!$K$5:$AJ$110,0,MATCH(O$2,Inputs!$K$4:$AJ$4,0)))+SUMPRODUCT((Inputs!$C$5:$C$110=$B68)*Inputs!$D$5:$D$110*(((Inputs!$G$5:$G$110="moeda")+(Inputs!$G$5:$G$110="acoes"))*Inputs!$B$1+((Inputs!$G$5:$G$110&lt;&gt;"moeda")*(Inputs!$G$5:$G$110&lt;&gt;"acoes")))*INDEX(Inputs!$K$5:$AJ$110,0,MATCH(O$2,Inputs!$K$4:$AJ$4,0)))+SUMPRODUCT((Inputs!$E$5:$E$110=$B68)*Inputs!$F$5:$F$110*(((Inputs!$G$5:$G$110="moeda")+(Inputs!$G$5:$G$110="acoes"))*Inputs!$B$1+((Inputs!$G$5:$G$110&lt;&gt;"moeda")*(Inputs!$G$5:$G$110&lt;&gt;"acoes")))*INDEX(Inputs!$K$5:$AJ$110,0,MATCH(O$2,Inputs!$K$4:$AJ$4,0)))))</f>
        <v>28295</v>
      </c>
      <c r="P68" s="263">
        <f>IF(ISNA(MATCH(P$2,Inputs!$K$4:$AJ$4,0)),NA(),IF(SUMPRODUCT((Inputs!$A$5:$A$110=$B68)*ISNUMBER(INDEX(Inputs!$K$5:$AJ$110,0,MATCH(P$2,Inputs!$K$4:$AJ$4,0))))+SUMPRODUCT((Inputs!$C$5:$C$110=$B68)*ISNUMBER(INDEX(Inputs!$K$5:$AJ$110,0,MATCH(P$2,Inputs!$K$4:$AJ$4,0))))+SUMPRODUCT((Inputs!$E$5:$E$110=$B68)*ISNUMBER(INDEX(Inputs!$K$5:$AJ$110,0,MATCH(P$2,Inputs!$K$4:$AJ$4,0))))=0,NA(),SUMPRODUCT((Inputs!$A$5:$A$110=$B68)*Inputs!$B$5:$B$110*(((Inputs!$G$5:$G$110="moeda")+(Inputs!$G$5:$G$110="acoes"))*Inputs!$B$1+((Inputs!$G$5:$G$110&lt;&gt;"moeda")*(Inputs!$G$5:$G$110&lt;&gt;"acoes")))*INDEX(Inputs!$K$5:$AJ$110,0,MATCH(P$2,Inputs!$K$4:$AJ$4,0)))+SUMPRODUCT((Inputs!$C$5:$C$110=$B68)*Inputs!$D$5:$D$110*(((Inputs!$G$5:$G$110="moeda")+(Inputs!$G$5:$G$110="acoes"))*Inputs!$B$1+((Inputs!$G$5:$G$110&lt;&gt;"moeda")*(Inputs!$G$5:$G$110&lt;&gt;"acoes")))*INDEX(Inputs!$K$5:$AJ$110,0,MATCH(P$2,Inputs!$K$4:$AJ$4,0)))+SUMPRODUCT((Inputs!$E$5:$E$110=$B68)*Inputs!$F$5:$F$110*(((Inputs!$G$5:$G$110="moeda")+(Inputs!$G$5:$G$110="acoes"))*Inputs!$B$1+((Inputs!$G$5:$G$110&lt;&gt;"moeda")*(Inputs!$G$5:$G$110&lt;&gt;"acoes")))*INDEX(Inputs!$K$5:$AJ$110,0,MATCH(P$2,Inputs!$K$4:$AJ$4,0)))))</f>
        <v>27705</v>
      </c>
      <c r="Q68" s="263">
        <f>IF(ISNA(MATCH(Q$2,Inputs!$K$4:$AJ$4,0)),NA(),IF(SUMPRODUCT((Inputs!$A$5:$A$110=$B68)*ISNUMBER(INDEX(Inputs!$K$5:$AJ$110,0,MATCH(Q$2,Inputs!$K$4:$AJ$4,0))))+SUMPRODUCT((Inputs!$C$5:$C$110=$B68)*ISNUMBER(INDEX(Inputs!$K$5:$AJ$110,0,MATCH(Q$2,Inputs!$K$4:$AJ$4,0))))+SUMPRODUCT((Inputs!$E$5:$E$110=$B68)*ISNUMBER(INDEX(Inputs!$K$5:$AJ$110,0,MATCH(Q$2,Inputs!$K$4:$AJ$4,0))))=0,NA(),SUMPRODUCT((Inputs!$A$5:$A$110=$B68)*Inputs!$B$5:$B$110*(((Inputs!$G$5:$G$110="moeda")+(Inputs!$G$5:$G$110="acoes"))*Inputs!$B$1+((Inputs!$G$5:$G$110&lt;&gt;"moeda")*(Inputs!$G$5:$G$110&lt;&gt;"acoes")))*INDEX(Inputs!$K$5:$AJ$110,0,MATCH(Q$2,Inputs!$K$4:$AJ$4,0)))+SUMPRODUCT((Inputs!$C$5:$C$110=$B68)*Inputs!$D$5:$D$110*(((Inputs!$G$5:$G$110="moeda")+(Inputs!$G$5:$G$110="acoes"))*Inputs!$B$1+((Inputs!$G$5:$G$110&lt;&gt;"moeda")*(Inputs!$G$5:$G$110&lt;&gt;"acoes")))*INDEX(Inputs!$K$5:$AJ$110,0,MATCH(Q$2,Inputs!$K$4:$AJ$4,0)))+SUMPRODUCT((Inputs!$E$5:$E$110=$B68)*Inputs!$F$5:$F$110*(((Inputs!$G$5:$G$110="moeda")+(Inputs!$G$5:$G$110="acoes"))*Inputs!$B$1+((Inputs!$G$5:$G$110&lt;&gt;"moeda")*(Inputs!$G$5:$G$110&lt;&gt;"acoes")))*INDEX(Inputs!$K$5:$AJ$110,0,MATCH(Q$2,Inputs!$K$4:$AJ$4,0)))))</f>
        <v>29725</v>
      </c>
      <c r="R68" s="264">
        <f>SUM(N68:Q68)</f>
        <v>112575</v>
      </c>
      <c r="S68" s="263">
        <f>IF(ISNA(MATCH(S$2,Inputs!$K$4:$AJ$4,0)),NA(),IF(SUMPRODUCT((Inputs!$A$5:$A$110=$B68)*ISNUMBER(INDEX(Inputs!$K$5:$AJ$110,0,MATCH(S$2,Inputs!$K$4:$AJ$4,0))))+SUMPRODUCT((Inputs!$C$5:$C$110=$B68)*ISNUMBER(INDEX(Inputs!$K$5:$AJ$110,0,MATCH(S$2,Inputs!$K$4:$AJ$4,0))))+SUMPRODUCT((Inputs!$E$5:$E$110=$B68)*ISNUMBER(INDEX(Inputs!$K$5:$AJ$110,0,MATCH(S$2,Inputs!$K$4:$AJ$4,0))))=0,NA(),SUMPRODUCT((Inputs!$A$5:$A$110=$B68)*Inputs!$B$5:$B$110*(((Inputs!$G$5:$G$110="moeda")+(Inputs!$G$5:$G$110="acoes"))*Inputs!$B$1+((Inputs!$G$5:$G$110&lt;&gt;"moeda")*(Inputs!$G$5:$G$110&lt;&gt;"acoes")))*INDEX(Inputs!$K$5:$AJ$110,0,MATCH(S$2,Inputs!$K$4:$AJ$4,0)))+SUMPRODUCT((Inputs!$C$5:$C$110=$B68)*Inputs!$D$5:$D$110*(((Inputs!$G$5:$G$110="moeda")+(Inputs!$G$5:$G$110="acoes"))*Inputs!$B$1+((Inputs!$G$5:$G$110&lt;&gt;"moeda")*(Inputs!$G$5:$G$110&lt;&gt;"acoes")))*INDEX(Inputs!$K$5:$AJ$110,0,MATCH(S$2,Inputs!$K$4:$AJ$4,0)))+SUMPRODUCT((Inputs!$E$5:$E$110=$B68)*Inputs!$F$5:$F$110*(((Inputs!$G$5:$G$110="moeda")+(Inputs!$G$5:$G$110="acoes"))*Inputs!$B$1+((Inputs!$G$5:$G$110&lt;&gt;"moeda")*(Inputs!$G$5:$G$110&lt;&gt;"acoes")))*INDEX(Inputs!$K$5:$AJ$110,0,MATCH(S$2,Inputs!$K$4:$AJ$4,0)))))</f>
        <v>30421</v>
      </c>
      <c r="T68" s="263">
        <f>IF(ISNA(MATCH(T$2,Inputs!$K$4:$AJ$4,0)),NA(),IF(SUMPRODUCT((Inputs!$A$5:$A$110=$B68)*ISNUMBER(INDEX(Inputs!$K$5:$AJ$110,0,MATCH(T$2,Inputs!$K$4:$AJ$4,0))))+SUMPRODUCT((Inputs!$C$5:$C$110=$B68)*ISNUMBER(INDEX(Inputs!$K$5:$AJ$110,0,MATCH(T$2,Inputs!$K$4:$AJ$4,0))))+SUMPRODUCT((Inputs!$E$5:$E$110=$B68)*ISNUMBER(INDEX(Inputs!$K$5:$AJ$110,0,MATCH(T$2,Inputs!$K$4:$AJ$4,0))))=0,NA(),SUMPRODUCT((Inputs!$A$5:$A$110=$B68)*Inputs!$B$5:$B$110*(((Inputs!$G$5:$G$110="moeda")+(Inputs!$G$5:$G$110="acoes"))*Inputs!$B$1+((Inputs!$G$5:$G$110&lt;&gt;"moeda")*(Inputs!$G$5:$G$110&lt;&gt;"acoes")))*INDEX(Inputs!$K$5:$AJ$110,0,MATCH(T$2,Inputs!$K$4:$AJ$4,0)))+SUMPRODUCT((Inputs!$C$5:$C$110=$B68)*Inputs!$D$5:$D$110*(((Inputs!$G$5:$G$110="moeda")+(Inputs!$G$5:$G$110="acoes"))*Inputs!$B$1+((Inputs!$G$5:$G$110&lt;&gt;"moeda")*(Inputs!$G$5:$G$110&lt;&gt;"acoes")))*INDEX(Inputs!$K$5:$AJ$110,0,MATCH(T$2,Inputs!$K$4:$AJ$4,0)))+SUMPRODUCT((Inputs!$E$5:$E$110=$B68)*Inputs!$F$5:$F$110*(((Inputs!$G$5:$G$110="moeda")+(Inputs!$G$5:$G$110="acoes"))*Inputs!$B$1+((Inputs!$G$5:$G$110&lt;&gt;"moeda")*(Inputs!$G$5:$G$110&lt;&gt;"acoes")))*INDEX(Inputs!$K$5:$AJ$110,0,MATCH(T$2,Inputs!$K$4:$AJ$4,0)))))</f>
        <v>32567</v>
      </c>
      <c r="U68" s="263">
        <f>IF(ISNA(MATCH(U$2,Inputs!$K$4:$AJ$4,0)),NA(),IF(SUMPRODUCT((Inputs!$A$5:$A$110=$B68)*ISNUMBER(INDEX(Inputs!$K$5:$AJ$110,0,MATCH(U$2,Inputs!$K$4:$AJ$4,0))))+SUMPRODUCT((Inputs!$C$5:$C$110=$B68)*ISNUMBER(INDEX(Inputs!$K$5:$AJ$110,0,MATCH(U$2,Inputs!$K$4:$AJ$4,0))))+SUMPRODUCT((Inputs!$E$5:$E$110=$B68)*ISNUMBER(INDEX(Inputs!$K$5:$AJ$110,0,MATCH(U$2,Inputs!$K$4:$AJ$4,0))))=0,NA(),SUMPRODUCT((Inputs!$A$5:$A$110=$B68)*Inputs!$B$5:$B$110*(((Inputs!$G$5:$G$110="moeda")+(Inputs!$G$5:$G$110="acoes"))*Inputs!$B$1+((Inputs!$G$5:$G$110&lt;&gt;"moeda")*(Inputs!$G$5:$G$110&lt;&gt;"acoes")))*INDEX(Inputs!$K$5:$AJ$110,0,MATCH(U$2,Inputs!$K$4:$AJ$4,0)))+SUMPRODUCT((Inputs!$C$5:$C$110=$B68)*Inputs!$D$5:$D$110*(((Inputs!$G$5:$G$110="moeda")+(Inputs!$G$5:$G$110="acoes"))*Inputs!$B$1+((Inputs!$G$5:$G$110&lt;&gt;"moeda")*(Inputs!$G$5:$G$110&lt;&gt;"acoes")))*INDEX(Inputs!$K$5:$AJ$110,0,MATCH(U$2,Inputs!$K$4:$AJ$4,0)))+SUMPRODUCT((Inputs!$E$5:$E$110=$B68)*Inputs!$F$5:$F$110*(((Inputs!$G$5:$G$110="moeda")+(Inputs!$G$5:$G$110="acoes"))*Inputs!$B$1+((Inputs!$G$5:$G$110&lt;&gt;"moeda")*(Inputs!$G$5:$G$110&lt;&gt;"acoes")))*INDEX(Inputs!$K$5:$AJ$110,0,MATCH(U$2,Inputs!$K$4:$AJ$4,0)))))</f>
        <v>31672</v>
      </c>
      <c r="V68" s="263">
        <f>IF(ISNA(MATCH(V$2,Inputs!$K$4:$AJ$4,0)),NA(),IF(SUMPRODUCT((Inputs!$A$5:$A$110=$B68)*ISNUMBER(INDEX(Inputs!$K$5:$AJ$110,0,MATCH(V$2,Inputs!$K$4:$AJ$4,0))))+SUMPRODUCT((Inputs!$C$5:$C$110=$B68)*ISNUMBER(INDEX(Inputs!$K$5:$AJ$110,0,MATCH(V$2,Inputs!$K$4:$AJ$4,0))))+SUMPRODUCT((Inputs!$E$5:$E$110=$B68)*ISNUMBER(INDEX(Inputs!$K$5:$AJ$110,0,MATCH(V$2,Inputs!$K$4:$AJ$4,0))))=0,NA(),SUMPRODUCT((Inputs!$A$5:$A$110=$B68)*Inputs!$B$5:$B$110*(((Inputs!$G$5:$G$110="moeda")+(Inputs!$G$5:$G$110="acoes"))*Inputs!$B$1+((Inputs!$G$5:$G$110&lt;&gt;"moeda")*(Inputs!$G$5:$G$110&lt;&gt;"acoes")))*INDEX(Inputs!$K$5:$AJ$110,0,MATCH(V$2,Inputs!$K$4:$AJ$4,0)))+SUMPRODUCT((Inputs!$C$5:$C$110=$B68)*Inputs!$D$5:$D$110*(((Inputs!$G$5:$G$110="moeda")+(Inputs!$G$5:$G$110="acoes"))*Inputs!$B$1+((Inputs!$G$5:$G$110&lt;&gt;"moeda")*(Inputs!$G$5:$G$110&lt;&gt;"acoes")))*INDEX(Inputs!$K$5:$AJ$110,0,MATCH(V$2,Inputs!$K$4:$AJ$4,0)))+SUMPRODUCT((Inputs!$E$5:$E$110=$B68)*Inputs!$F$5:$F$110*(((Inputs!$G$5:$G$110="moeda")+(Inputs!$G$5:$G$110="acoes"))*Inputs!$B$1+((Inputs!$G$5:$G$110&lt;&gt;"moeda")*(Inputs!$G$5:$G$110&lt;&gt;"acoes")))*INDEX(Inputs!$K$5:$AJ$110,0,MATCH(V$2,Inputs!$K$4:$AJ$4,0)))))</f>
        <v>34095</v>
      </c>
      <c r="W68" s="264">
        <f>SUM(S68:V68)</f>
        <v>128755</v>
      </c>
      <c r="X68" s="263">
        <f>IF(ISNA(MATCH(X$2,Inputs!$K$4:$AJ$4,0)),NA(),IF(SUMPRODUCT((Inputs!$A$5:$A$110=$B68)*ISNUMBER(INDEX(Inputs!$K$5:$AJ$110,0,MATCH(X$2,Inputs!$K$4:$AJ$4,0))))+SUMPRODUCT((Inputs!$C$5:$C$110=$B68)*ISNUMBER(INDEX(Inputs!$K$5:$AJ$110,0,MATCH(X$2,Inputs!$K$4:$AJ$4,0))))+SUMPRODUCT((Inputs!$E$5:$E$110=$B68)*ISNUMBER(INDEX(Inputs!$K$5:$AJ$110,0,MATCH(X$2,Inputs!$K$4:$AJ$4,0))))=0,NA(),SUMPRODUCT((Inputs!$A$5:$A$110=$B68)*Inputs!$B$5:$B$110*(((Inputs!$G$5:$G$110="moeda")+(Inputs!$G$5:$G$110="acoes"))*Inputs!$B$1+((Inputs!$G$5:$G$110&lt;&gt;"moeda")*(Inputs!$G$5:$G$110&lt;&gt;"acoes")))*INDEX(Inputs!$K$5:$AJ$110,0,MATCH(X$2,Inputs!$K$4:$AJ$4,0)))+SUMPRODUCT((Inputs!$C$5:$C$110=$B68)*Inputs!$D$5:$D$110*(((Inputs!$G$5:$G$110="moeda")+(Inputs!$G$5:$G$110="acoes"))*Inputs!$B$1+((Inputs!$G$5:$G$110&lt;&gt;"moeda")*(Inputs!$G$5:$G$110&lt;&gt;"acoes")))*INDEX(Inputs!$K$5:$AJ$110,0,MATCH(X$2,Inputs!$K$4:$AJ$4,0)))+SUMPRODUCT((Inputs!$E$5:$E$110=$B68)*Inputs!$F$5:$F$110*(((Inputs!$G$5:$G$110="moeda")+(Inputs!$G$5:$G$110="acoes"))*Inputs!$B$1+((Inputs!$G$5:$G$110&lt;&gt;"moeda")*(Inputs!$G$5:$G$110&lt;&gt;"acoes")))*INDEX(Inputs!$K$5:$AJ$110,0,MATCH(X$2,Inputs!$K$4:$AJ$4,0)))))</f>
        <v>33982</v>
      </c>
      <c r="Y68" s="263">
        <f>IF(ISNA(MATCH(Y$2,Inputs!$K$4:$AJ$4,0)),NA(),IF(SUMPRODUCT((Inputs!$A$5:$A$110=$B68)*ISNUMBER(INDEX(Inputs!$K$5:$AJ$110,0,MATCH(Y$2,Inputs!$K$4:$AJ$4,0))))+SUMPRODUCT((Inputs!$C$5:$C$110=$B68)*ISNUMBER(INDEX(Inputs!$K$5:$AJ$110,0,MATCH(Y$2,Inputs!$K$4:$AJ$4,0))))+SUMPRODUCT((Inputs!$E$5:$E$110=$B68)*ISNUMBER(INDEX(Inputs!$K$5:$AJ$110,0,MATCH(Y$2,Inputs!$K$4:$AJ$4,0))))=0,NA(),SUMPRODUCT((Inputs!$A$5:$A$110=$B68)*Inputs!$B$5:$B$110*(((Inputs!$G$5:$G$110="moeda")+(Inputs!$G$5:$G$110="acoes"))*Inputs!$B$1+((Inputs!$G$5:$G$110&lt;&gt;"moeda")*(Inputs!$G$5:$G$110&lt;&gt;"acoes")))*INDEX(Inputs!$K$5:$AJ$110,0,MATCH(Y$2,Inputs!$K$4:$AJ$4,0)))+SUMPRODUCT((Inputs!$C$5:$C$110=$B68)*Inputs!$D$5:$D$110*(((Inputs!$G$5:$G$110="moeda")+(Inputs!$G$5:$G$110="acoes"))*Inputs!$B$1+((Inputs!$G$5:$G$110&lt;&gt;"moeda")*(Inputs!$G$5:$G$110&lt;&gt;"acoes")))*INDEX(Inputs!$K$5:$AJ$110,0,MATCH(Y$2,Inputs!$K$4:$AJ$4,0)))+SUMPRODUCT((Inputs!$E$5:$E$110=$B68)*Inputs!$F$5:$F$110*(((Inputs!$G$5:$G$110="moeda")+(Inputs!$G$5:$G$110="acoes"))*Inputs!$B$1+((Inputs!$G$5:$G$110&lt;&gt;"moeda")*(Inputs!$G$5:$G$110&lt;&gt;"acoes")))*INDEX(Inputs!$K$5:$AJ$110,0,MATCH(Y$2,Inputs!$K$4:$AJ$4,0)))))</f>
        <v>37429</v>
      </c>
      <c r="Z68" s="263">
        <f>IF(ISNA(MATCH(Z$2,Inputs!$K$4:$AJ$4,0)),NA(),IF(SUMPRODUCT((Inputs!$A$5:$A$110=$B68)*ISNUMBER(INDEX(Inputs!$K$5:$AJ$110,0,MATCH(Z$2,Inputs!$K$4:$AJ$4,0))))+SUMPRODUCT((Inputs!$C$5:$C$110=$B68)*ISNUMBER(INDEX(Inputs!$K$5:$AJ$110,0,MATCH(Z$2,Inputs!$K$4:$AJ$4,0))))+SUMPRODUCT((Inputs!$E$5:$E$110=$B68)*ISNUMBER(INDEX(Inputs!$K$5:$AJ$110,0,MATCH(Z$2,Inputs!$K$4:$AJ$4,0))))=0,NA(),SUMPRODUCT((Inputs!$A$5:$A$110=$B68)*Inputs!$B$5:$B$110*(((Inputs!$G$5:$G$110="moeda")+(Inputs!$G$5:$G$110="acoes"))*Inputs!$B$1+((Inputs!$G$5:$G$110&lt;&gt;"moeda")*(Inputs!$G$5:$G$110&lt;&gt;"acoes")))*INDEX(Inputs!$K$5:$AJ$110,0,MATCH(Z$2,Inputs!$K$4:$AJ$4,0)))+SUMPRODUCT((Inputs!$C$5:$C$110=$B68)*Inputs!$D$5:$D$110*(((Inputs!$G$5:$G$110="moeda")+(Inputs!$G$5:$G$110="acoes"))*Inputs!$B$1+((Inputs!$G$5:$G$110&lt;&gt;"moeda")*(Inputs!$G$5:$G$110&lt;&gt;"acoes")))*INDEX(Inputs!$K$5:$AJ$110,0,MATCH(Z$2,Inputs!$K$4:$AJ$4,0)))+SUMPRODUCT((Inputs!$E$5:$E$110=$B68)*Inputs!$F$5:$F$110*(((Inputs!$G$5:$G$110="moeda")+(Inputs!$G$5:$G$110="acoes"))*Inputs!$B$1+((Inputs!$G$5:$G$110&lt;&gt;"moeda")*(Inputs!$G$5:$G$110&lt;&gt;"acoes")))*INDEX(Inputs!$K$5:$AJ$110,0,MATCH(Z$2,Inputs!$K$4:$AJ$4,0)))))</f>
        <v>37596</v>
      </c>
      <c r="AA68" s="263">
        <f>IF(ISNA(MATCH(AA$2,Inputs!$K$4:$AJ$4,0)),NA(),IF(SUMPRODUCT((Inputs!$A$5:$A$110=$B68)*ISNUMBER(INDEX(Inputs!$K$5:$AJ$110,0,MATCH(AA$2,Inputs!$K$4:$AJ$4,0))))+SUMPRODUCT((Inputs!$C$5:$C$110=$B68)*ISNUMBER(INDEX(Inputs!$K$5:$AJ$110,0,MATCH(AA$2,Inputs!$K$4:$AJ$4,0))))+SUMPRODUCT((Inputs!$E$5:$E$110=$B68)*ISNUMBER(INDEX(Inputs!$K$5:$AJ$110,0,MATCH(AA$2,Inputs!$K$4:$AJ$4,0))))=0,NA(),SUMPRODUCT((Inputs!$A$5:$A$110=$B68)*Inputs!$B$5:$B$110*(((Inputs!$G$5:$G$110="moeda")+(Inputs!$G$5:$G$110="acoes"))*Inputs!$B$1+((Inputs!$G$5:$G$110&lt;&gt;"moeda")*(Inputs!$G$5:$G$110&lt;&gt;"acoes")))*INDEX(Inputs!$K$5:$AJ$110,0,MATCH(AA$2,Inputs!$K$4:$AJ$4,0)))+SUMPRODUCT((Inputs!$C$5:$C$110=$B68)*Inputs!$D$5:$D$110*(((Inputs!$G$5:$G$110="moeda")+(Inputs!$G$5:$G$110="acoes"))*Inputs!$B$1+((Inputs!$G$5:$G$110&lt;&gt;"moeda")*(Inputs!$G$5:$G$110&lt;&gt;"acoes")))*INDEX(Inputs!$K$5:$AJ$110,0,MATCH(AA$2,Inputs!$K$4:$AJ$4,0)))+SUMPRODUCT((Inputs!$E$5:$E$110=$B68)*Inputs!$F$5:$F$110*(((Inputs!$G$5:$G$110="moeda")+(Inputs!$G$5:$G$110="acoes"))*Inputs!$B$1+((Inputs!$G$5:$G$110&lt;&gt;"moeda")*(Inputs!$G$5:$G$110&lt;&gt;"acoes")))*INDEX(Inputs!$K$5:$AJ$110,0,MATCH(AA$2,Inputs!$K$4:$AJ$4,0)))))</f>
        <v>39863</v>
      </c>
      <c r="AB68" s="264">
        <f>SUM(X68:AA68)</f>
        <v>148870</v>
      </c>
      <c r="AC68" s="263">
        <f>IF(ISNA(MATCH(AC$2,Inputs!$K$4:$AJ$4,0)),NA(),IF(SUMPRODUCT((Inputs!$A$5:$A$110=$B68)*ISNUMBER(INDEX(Inputs!$K$5:$AJ$110,0,MATCH(AC$2,Inputs!$K$4:$AJ$4,0))))+SUMPRODUCT((Inputs!$C$5:$C$110=$B68)*ISNUMBER(INDEX(Inputs!$K$5:$AJ$110,0,MATCH(AC$2,Inputs!$K$4:$AJ$4,0))))+SUMPRODUCT((Inputs!$E$5:$E$110=$B68)*ISNUMBER(INDEX(Inputs!$K$5:$AJ$110,0,MATCH(AC$2,Inputs!$K$4:$AJ$4,0))))=0,NA(),SUMPRODUCT((Inputs!$A$5:$A$110=$B68)*Inputs!$B$5:$B$110*(((Inputs!$G$5:$G$110="moeda")+(Inputs!$G$5:$G$110="acoes"))*Inputs!$B$1+((Inputs!$G$5:$G$110&lt;&gt;"moeda")*(Inputs!$G$5:$G$110&lt;&gt;"acoes")))*INDEX(Inputs!$K$5:$AJ$110,0,MATCH(AC$2,Inputs!$K$4:$AJ$4,0)))+SUMPRODUCT((Inputs!$C$5:$C$110=$B68)*Inputs!$D$5:$D$110*(((Inputs!$G$5:$G$110="moeda")+(Inputs!$G$5:$G$110="acoes"))*Inputs!$B$1+((Inputs!$G$5:$G$110&lt;&gt;"moeda")*(Inputs!$G$5:$G$110&lt;&gt;"acoes")))*INDEX(Inputs!$K$5:$AJ$110,0,MATCH(AC$2,Inputs!$K$4:$AJ$4,0)))+SUMPRODUCT((Inputs!$E$5:$E$110=$B68)*Inputs!$F$5:$F$110*(((Inputs!$G$5:$G$110="moeda")+(Inputs!$G$5:$G$110="acoes"))*Inputs!$B$1+((Inputs!$G$5:$G$110&lt;&gt;"moeda")*(Inputs!$G$5:$G$110&lt;&gt;"acoes")))*INDEX(Inputs!$K$5:$AJ$110,0,MATCH(AC$2,Inputs!$K$4:$AJ$4,0)))))</f>
        <v>40550</v>
      </c>
      <c r="AD68" s="263">
        <f>IF(ISNA(MATCH(AD$2,Inputs!$K$4:$AJ$4,0)),NA(),IF(SUMPRODUCT((Inputs!$A$5:$A$110=$B68)*ISNUMBER(INDEX(Inputs!$K$5:$AJ$110,0,MATCH(AD$2,Inputs!$K$4:$AJ$4,0))))+SUMPRODUCT((Inputs!$C$5:$C$110=$B68)*ISNUMBER(INDEX(Inputs!$K$5:$AJ$110,0,MATCH(AD$2,Inputs!$K$4:$AJ$4,0))))+SUMPRODUCT((Inputs!$E$5:$E$110=$B68)*ISNUMBER(INDEX(Inputs!$K$5:$AJ$110,0,MATCH(AD$2,Inputs!$K$4:$AJ$4,0))))=0,NA(),SUMPRODUCT((Inputs!$A$5:$A$110=$B68)*Inputs!$B$5:$B$110*(((Inputs!$G$5:$G$110="moeda")+(Inputs!$G$5:$G$110="acoes"))*Inputs!$B$1+((Inputs!$G$5:$G$110&lt;&gt;"moeda")*(Inputs!$G$5:$G$110&lt;&gt;"acoes")))*INDEX(Inputs!$K$5:$AJ$110,0,MATCH(AD$2,Inputs!$K$4:$AJ$4,0)))+SUMPRODUCT((Inputs!$C$5:$C$110=$B68)*Inputs!$D$5:$D$110*(((Inputs!$G$5:$G$110="moeda")+(Inputs!$G$5:$G$110="acoes"))*Inputs!$B$1+((Inputs!$G$5:$G$110&lt;&gt;"moeda")*(Inputs!$G$5:$G$110&lt;&gt;"acoes")))*INDEX(Inputs!$K$5:$AJ$110,0,MATCH(AD$2,Inputs!$K$4:$AJ$4,0)))+SUMPRODUCT((Inputs!$E$5:$E$110=$B68)*Inputs!$F$5:$F$110*(((Inputs!$G$5:$G$110="moeda")+(Inputs!$G$5:$G$110="acoes"))*Inputs!$B$1+((Inputs!$G$5:$G$110&lt;&gt;"moeda")*(Inputs!$G$5:$G$110&lt;&gt;"acoes")))*INDEX(Inputs!$K$5:$AJ$110,0,MATCH(AD$2,Inputs!$K$4:$AJ$4,0)))))</f>
        <v>43036</v>
      </c>
      <c r="AE68" s="263" t="e">
        <f>IF(ISNA(MATCH(AE$2,Inputs!$K$4:$AJ$4,0)),NA(),IF(SUMPRODUCT((Inputs!$A$5:$A$110=$B68)*ISNUMBER(INDEX(Inputs!$K$5:$AJ$110,0,MATCH(AE$2,Inputs!$K$4:$AJ$4,0))))+SUMPRODUCT((Inputs!$C$5:$C$110=$B68)*ISNUMBER(INDEX(Inputs!$K$5:$AJ$110,0,MATCH(AE$2,Inputs!$K$4:$AJ$4,0))))+SUMPRODUCT((Inputs!$E$5:$E$110=$B68)*ISNUMBER(INDEX(Inputs!$K$5:$AJ$110,0,MATCH(AE$2,Inputs!$K$4:$AJ$4,0))))=0,NA(),SUMPRODUCT((Inputs!$A$5:$A$110=$B68)*Inputs!$B$5:$B$110*(((Inputs!$G$5:$G$110="moeda")+(Inputs!$G$5:$G$110="acoes"))*Inputs!$B$1+((Inputs!$G$5:$G$110&lt;&gt;"moeda")*(Inputs!$G$5:$G$110&lt;&gt;"acoes")))*INDEX(Inputs!$K$5:$AJ$110,0,MATCH(AE$2,Inputs!$K$4:$AJ$4,0)))+SUMPRODUCT((Inputs!$C$5:$C$110=$B68)*Inputs!$D$5:$D$110*(((Inputs!$G$5:$G$110="moeda")+(Inputs!$G$5:$G$110="acoes"))*Inputs!$B$1+((Inputs!$G$5:$G$110&lt;&gt;"moeda")*(Inputs!$G$5:$G$110&lt;&gt;"acoes")))*INDEX(Inputs!$K$5:$AJ$110,0,MATCH(AE$2,Inputs!$K$4:$AJ$4,0)))+SUMPRODUCT((Inputs!$E$5:$E$110=$B68)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8" s="263" t="e">
        <f>IF(ISNA(MATCH(AF$2,Inputs!$K$4:$AJ$4,0)),NA(),IF(SUMPRODUCT((Inputs!$A$5:$A$110=$B68)*ISNUMBER(INDEX(Inputs!$K$5:$AJ$110,0,MATCH(AF$2,Inputs!$K$4:$AJ$4,0))))+SUMPRODUCT((Inputs!$C$5:$C$110=$B68)*ISNUMBER(INDEX(Inputs!$K$5:$AJ$110,0,MATCH(AF$2,Inputs!$K$4:$AJ$4,0))))+SUMPRODUCT((Inputs!$E$5:$E$110=$B68)*ISNUMBER(INDEX(Inputs!$K$5:$AJ$110,0,MATCH(AF$2,Inputs!$K$4:$AJ$4,0))))=0,NA(),SUMPRODUCT((Inputs!$A$5:$A$110=$B68)*Inputs!$B$5:$B$110*(((Inputs!$G$5:$G$110="moeda")+(Inputs!$G$5:$G$110="acoes"))*Inputs!$B$1+((Inputs!$G$5:$G$110&lt;&gt;"moeda")*(Inputs!$G$5:$G$110&lt;&gt;"acoes")))*INDEX(Inputs!$K$5:$AJ$110,0,MATCH(AF$2,Inputs!$K$4:$AJ$4,0)))+SUMPRODUCT((Inputs!$C$5:$C$110=$B68)*Inputs!$D$5:$D$110*(((Inputs!$G$5:$G$110="moeda")+(Inputs!$G$5:$G$110="acoes"))*Inputs!$B$1+((Inputs!$G$5:$G$110&lt;&gt;"moeda")*(Inputs!$G$5:$G$110&lt;&gt;"acoes")))*INDEX(Inputs!$K$5:$AJ$110,0,MATCH(AF$2,Inputs!$K$4:$AJ$4,0)))+SUMPRODUCT((Inputs!$E$5:$E$110=$B68)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8" s="264" t="e">
        <f>SUM(AC68:AF68)</f>
        <v>#N/A</v>
      </c>
      <c r="AH68" s="263">
        <f>IF(ISNA(MATCH(AH$2,Inputs!$K$4:$AJ$4,0)),NA(),IF(SUMPRODUCT((Inputs!$A$5:$A$110=$B68)*ISNUMBER(INDEX(Inputs!$K$5:$AJ$110,0,MATCH(AH$2,Inputs!$K$4:$AJ$4,0))))+SUMPRODUCT((Inputs!$C$5:$C$110=$B68)*ISNUMBER(INDEX(Inputs!$K$5:$AJ$110,0,MATCH(AH$2,Inputs!$K$4:$AJ$4,0))))+SUMPRODUCT((Inputs!$E$5:$E$110=$B68)*ISNUMBER(INDEX(Inputs!$K$5:$AJ$110,0,MATCH(AH$2,Inputs!$K$4:$AJ$4,0))))=0,NA(),SUMPRODUCT((Inputs!$A$5:$A$110=$B68)*Inputs!$B$5:$B$110*(((Inputs!$G$5:$G$110="moeda")+(Inputs!$G$5:$G$110="acoes"))*Inputs!$B$1+((Inputs!$G$5:$G$110&lt;&gt;"moeda")*(Inputs!$G$5:$G$110&lt;&gt;"acoes")))*INDEX(Inputs!$K$5:$AJ$110,0,MATCH(AH$2,Inputs!$K$4:$AJ$4,0)))+SUMPRODUCT((Inputs!$C$5:$C$110=$B68)*Inputs!$D$5:$D$110*(((Inputs!$G$5:$G$110="moeda")+(Inputs!$G$5:$G$110="acoes"))*Inputs!$B$1+((Inputs!$G$5:$G$110&lt;&gt;"moeda")*(Inputs!$G$5:$G$110&lt;&gt;"acoes")))*INDEX(Inputs!$K$5:$AJ$110,0,MATCH(AH$2,Inputs!$K$4:$AJ$4,0)))+SUMPRODUCT((Inputs!$E$5:$E$110=$B68)*Inputs!$F$5:$F$110*(((Inputs!$G$5:$G$110="moeda")+(Inputs!$G$5:$G$110="acoes"))*Inputs!$B$1+((Inputs!$G$5:$G$110&lt;&gt;"moeda")*(Inputs!$G$5:$G$110&lt;&gt;"acoes")))*INDEX(Inputs!$K$5:$AJ$110,0,MATCH(AH$2,Inputs!$K$4:$AJ$4,0)))))</f>
        <v>17593</v>
      </c>
      <c r="AI68" s="263">
        <f>IF(ISNA(MATCH(AI$2,Inputs!$K$4:$AJ$4,0)),NA(),IF(SUMPRODUCT((Inputs!$A$5:$A$110=$B68)*ISNUMBER(INDEX(Inputs!$K$5:$AJ$110,0,MATCH(AI$2,Inputs!$K$4:$AJ$4,0))))+SUMPRODUCT((Inputs!$C$5:$C$110=$B68)*ISNUMBER(INDEX(Inputs!$K$5:$AJ$110,0,MATCH(AI$2,Inputs!$K$4:$AJ$4,0))))+SUMPRODUCT((Inputs!$E$5:$E$110=$B68)*ISNUMBER(INDEX(Inputs!$K$5:$AJ$110,0,MATCH(AI$2,Inputs!$K$4:$AJ$4,0))))=0,NA(),SUMPRODUCT((Inputs!$A$5:$A$110=$B68)*Inputs!$B$5:$B$110*(((Inputs!$G$5:$G$110="moeda")+(Inputs!$G$5:$G$110="acoes"))*Inputs!$B$1+((Inputs!$G$5:$G$110&lt;&gt;"moeda")*(Inputs!$G$5:$G$110&lt;&gt;"acoes")))*INDEX(Inputs!$K$5:$AJ$110,0,MATCH(AI$2,Inputs!$K$4:$AJ$4,0)))+SUMPRODUCT((Inputs!$C$5:$C$110=$B68)*Inputs!$D$5:$D$110*(((Inputs!$G$5:$G$110="moeda")+(Inputs!$G$5:$G$110="acoes"))*Inputs!$B$1+((Inputs!$G$5:$G$110&lt;&gt;"moeda")*(Inputs!$G$5:$G$110&lt;&gt;"acoes")))*INDEX(Inputs!$K$5:$AJ$110,0,MATCH(AI$2,Inputs!$K$4:$AJ$4,0)))+SUMPRODUCT((Inputs!$E$5:$E$110=$B68)*Inputs!$F$5:$F$110*(((Inputs!$G$5:$G$110="moeda")+(Inputs!$G$5:$G$110="acoes"))*Inputs!$B$1+((Inputs!$G$5:$G$110&lt;&gt;"moeda")*(Inputs!$G$5:$G$110&lt;&gt;"acoes")))*INDEX(Inputs!$K$5:$AJ$110,0,MATCH(AI$2,Inputs!$K$4:$AJ$4,0)))))</f>
        <v>18720</v>
      </c>
      <c r="AJ68" s="263">
        <f>IF(ISNA(MATCH(AJ$2,Inputs!$K$4:$AJ$4,0)),NA(),IF(SUMPRODUCT((Inputs!$A$5:$A$110=$B68)*ISNUMBER(INDEX(Inputs!$K$5:$AJ$110,0,MATCH(AJ$2,Inputs!$K$4:$AJ$4,0))))+SUMPRODUCT((Inputs!$C$5:$C$110=$B68)*ISNUMBER(INDEX(Inputs!$K$5:$AJ$110,0,MATCH(AJ$2,Inputs!$K$4:$AJ$4,0))))+SUMPRODUCT((Inputs!$E$5:$E$110=$B68)*ISNUMBER(INDEX(Inputs!$K$5:$AJ$110,0,MATCH(AJ$2,Inputs!$K$4:$AJ$4,0))))=0,NA(),SUMPRODUCT((Inputs!$A$5:$A$110=$B68)*Inputs!$B$5:$B$110*(((Inputs!$G$5:$G$110="moeda")+(Inputs!$G$5:$G$110="acoes"))*Inputs!$B$1+((Inputs!$G$5:$G$110&lt;&gt;"moeda")*(Inputs!$G$5:$G$110&lt;&gt;"acoes")))*INDEX(Inputs!$K$5:$AJ$110,0,MATCH(AJ$2,Inputs!$K$4:$AJ$4,0)))+SUMPRODUCT((Inputs!$C$5:$C$110=$B68)*Inputs!$D$5:$D$110*(((Inputs!$G$5:$G$110="moeda")+(Inputs!$G$5:$G$110="acoes"))*Inputs!$B$1+((Inputs!$G$5:$G$110&lt;&gt;"moeda")*(Inputs!$G$5:$G$110&lt;&gt;"acoes")))*INDEX(Inputs!$K$5:$AJ$110,0,MATCH(AJ$2,Inputs!$K$4:$AJ$4,0)))+SUMPRODUCT((Inputs!$E$5:$E$110=$B68)*Inputs!$F$5:$F$110*(((Inputs!$G$5:$G$110="moeda")+(Inputs!$G$5:$G$110="acoes"))*Inputs!$B$1+((Inputs!$G$5:$G$110&lt;&gt;"moeda")*(Inputs!$G$5:$G$110&lt;&gt;"acoes")))*INDEX(Inputs!$K$5:$AJ$110,0,MATCH(AJ$2,Inputs!$K$4:$AJ$4,0)))))</f>
        <v>18129</v>
      </c>
      <c r="AK68" s="263">
        <f>IF(ISNA(MATCH(AK$2,Inputs!$K$4:$AJ$4,0)),NA(),IF(SUMPRODUCT((Inputs!$A$5:$A$110=$B68)*ISNUMBER(INDEX(Inputs!$K$5:$AJ$110,0,MATCH(AK$2,Inputs!$K$4:$AJ$4,0))))+SUMPRODUCT((Inputs!$C$5:$C$110=$B68)*ISNUMBER(INDEX(Inputs!$K$5:$AJ$110,0,MATCH(AK$2,Inputs!$K$4:$AJ$4,0))))+SUMPRODUCT((Inputs!$E$5:$E$110=$B68)*ISNUMBER(INDEX(Inputs!$K$5:$AJ$110,0,MATCH(AK$2,Inputs!$K$4:$AJ$4,0))))=0,NA(),SUMPRODUCT((Inputs!$A$5:$A$110=$B68)*Inputs!$B$5:$B$110*(((Inputs!$G$5:$G$110="moeda")+(Inputs!$G$5:$G$110="acoes"))*Inputs!$B$1+((Inputs!$G$5:$G$110&lt;&gt;"moeda")*(Inputs!$G$5:$G$110&lt;&gt;"acoes")))*INDEX(Inputs!$K$5:$AJ$110,0,MATCH(AK$2,Inputs!$K$4:$AJ$4,0)))+SUMPRODUCT((Inputs!$C$5:$C$110=$B68)*Inputs!$D$5:$D$110*(((Inputs!$G$5:$G$110="moeda")+(Inputs!$G$5:$G$110="acoes"))*Inputs!$B$1+((Inputs!$G$5:$G$110&lt;&gt;"moeda")*(Inputs!$G$5:$G$110&lt;&gt;"acoes")))*INDEX(Inputs!$K$5:$AJ$110,0,MATCH(AK$2,Inputs!$K$4:$AJ$4,0)))+SUMPRODUCT((Inputs!$E$5:$E$110=$B68)*Inputs!$F$5:$F$110*(((Inputs!$G$5:$G$110="moeda")+(Inputs!$G$5:$G$110="acoes"))*Inputs!$B$1+((Inputs!$G$5:$G$110&lt;&gt;"moeda")*(Inputs!$G$5:$G$110&lt;&gt;"acoes")))*INDEX(Inputs!$K$5:$AJ$110,0,MATCH(AK$2,Inputs!$K$4:$AJ$4,0)))))</f>
        <v>21240</v>
      </c>
      <c r="AL68" s="264">
        <f>SUM(AH68:AK68)</f>
        <v>75682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</v>
      </c>
      <c r="T2" s="3">
        <f>ABS(T197-T273)</f>
        <v>0</v>
      </c>
      <c r="U2" s="3">
        <f>ABS(U197-U273)</f>
        <v>0</v>
      </c>
      <c r="V2" s="3">
        <f>ABS(V197-V273)</f>
        <v>0</v>
      </c>
      <c r="W2" s="3">
        <f>ABS(W197-W273)</f>
        <v>0</v>
      </c>
      <c r="X2" s="3">
        <f>ABS(X197-X273)</f>
        <v>0</v>
      </c>
      <c r="Y2" s="3">
        <f>ABS(Y197-Y273)</f>
        <v>0</v>
      </c>
      <c r="Z2" s="3">
        <f>ABS(Z197-Z273)</f>
        <v>0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</v>
      </c>
      <c r="E3" s="3">
        <f>IF(COUNT(E4)=0,"",ABS(E137-E4))</f>
        <v>0</v>
      </c>
      <c r="F3" s="3">
        <f>IF(COUNT(F4)=0,"",ABS(F137-F4))</f>
        <v>0</v>
      </c>
      <c r="G3" s="3">
        <f>IF(COUNT(G4)=0,"",ABS(G137-G4))</f>
        <v>0</v>
      </c>
      <c r="H3" s="3">
        <f>IF(COUNT(H4)=0,"",ABS(H137-H4))</f>
        <v>0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</v>
      </c>
      <c r="Q3" s="3">
        <f>IF(COUNT(Q4)=0,"",ABS(Q137-Q4))</f>
        <v>0</v>
      </c>
      <c r="R3" s="3">
        <f>IF(COUNT(R4)=0,"",ABS(R137-R4))</f>
        <v>0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</v>
      </c>
      <c r="V3" s="3">
        <f>IF(COUNT(V4)=0,"",ABS(V137-V4))</f>
        <v>0</v>
      </c>
      <c r="W3" s="3">
        <f>IF(COUNT(W4)=0,"",ABS(W137-W4))</f>
        <v>0</v>
      </c>
      <c r="X3" s="3">
        <f>IF(COUNT(X4)=0,"",ABS(X137-X4))</f>
        <v>0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</v>
      </c>
      <c r="AG3" s="3">
        <f>IF(COUNT(AG4)=0,"",ABS(AG137-AG4))</f>
        <v>0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10752</v>
      </c>
      <c r="E4" s="16">
        <f>INDEX('Inputs (2)'!$D$50:$AL$50,MATCH(E$7,'Inputs (2)'!$D$2:$AL$2,0))</f>
        <v>11202</v>
      </c>
      <c r="F4" s="16">
        <f>INDEX('Inputs (2)'!$D$50:$AL$50,MATCH(F$7,'Inputs (2)'!$D$2:$AL$2,0))</f>
        <v>13893</v>
      </c>
      <c r="G4" s="16">
        <f>INDEX('Inputs (2)'!$D$50:$AL$50,MATCH(G$7,'Inputs (2)'!$D$2:$AL$2,0))</f>
        <v>15463</v>
      </c>
      <c r="H4" s="16">
        <f>IF(COUNT(D4:G4)=4,SUM(D4:G4),"")</f>
        <v>51310</v>
      </c>
      <c r="I4" s="16">
        <f>INDEX('Inputs (2)'!$D$50:$AL$50,MATCH(I$7,'Inputs (2)'!$D$2:$AL$2,0))</f>
        <v>15457</v>
      </c>
      <c r="J4" s="16">
        <f>INDEX('Inputs (2)'!$D$50:$AL$50,MATCH(J$7,'Inputs (2)'!$D$2:$AL$2,0))</f>
        <v>16458</v>
      </c>
      <c r="K4" s="16">
        <f>INDEX('Inputs (2)'!$D$50:$AL$50,MATCH(K$7,'Inputs (2)'!$D$2:$AL$2,0))</f>
        <v>20505</v>
      </c>
      <c r="L4" s="16">
        <f>INDEX('Inputs (2)'!$D$50:$AL$50,MATCH(L$7,'Inputs (2)'!$D$2:$AL$2,0))</f>
        <v>18765</v>
      </c>
      <c r="M4" s="16">
        <f>IF(COUNT(I4:L4)=4,SUM(I4:L4),"")</f>
        <v>71185</v>
      </c>
      <c r="N4" s="16">
        <f>INDEX('Inputs (2)'!$D$50:$AL$50,MATCH(N$7,'Inputs (2)'!$D$2:$AL$2,0))</f>
        <v>16728</v>
      </c>
      <c r="O4" s="16">
        <f>INDEX('Inputs (2)'!$D$50:$AL$50,MATCH(O$7,'Inputs (2)'!$D$2:$AL$2,0))</f>
        <v>16740</v>
      </c>
      <c r="P4" s="16">
        <f>INDEX('Inputs (2)'!$D$50:$AL$50,MATCH(P$7,'Inputs (2)'!$D$2:$AL$2,0))</f>
        <v>17556</v>
      </c>
      <c r="Q4" s="16">
        <f>INDEX('Inputs (2)'!$D$50:$AL$50,MATCH(Q$7,'Inputs (2)'!$D$2:$AL$2,0))</f>
        <v>16425</v>
      </c>
      <c r="R4" s="16">
        <f>IF(COUNT(N4:Q4)=4,SUM(N4:Q4),"")</f>
        <v>67449</v>
      </c>
      <c r="S4" s="16">
        <f>INDEX('Inputs (2)'!$D$50:$AL$50,MATCH(S$7,'Inputs (2)'!$D$2:$AL$2,0))</f>
        <v>18299</v>
      </c>
      <c r="T4" s="16">
        <f>INDEX('Inputs (2)'!$D$50:$AL$50,MATCH(T$7,'Inputs (2)'!$D$2:$AL$2,0))</f>
        <v>20081</v>
      </c>
      <c r="U4" s="16">
        <f>INDEX('Inputs (2)'!$D$50:$AL$50,MATCH(U$7,'Inputs (2)'!$D$2:$AL$2,0))</f>
        <v>22291</v>
      </c>
      <c r="V4" s="16">
        <f>INDEX('Inputs (2)'!$D$50:$AL$50,MATCH(V$7,'Inputs (2)'!$D$2:$AL$2,0))</f>
        <v>21870</v>
      </c>
      <c r="W4" s="16">
        <f>IF(COUNT(S4:V4)=4,SUM(S4:V4),"")</f>
        <v>82541</v>
      </c>
      <c r="X4" s="16">
        <f>INDEX('Inputs (2)'!$D$50:$AL$50,MATCH(X$7,'Inputs (2)'!$D$2:$AL$2,0))</f>
        <v>21939</v>
      </c>
      <c r="Y4" s="16">
        <f>INDEX('Inputs (2)'!$D$50:$AL$50,MATCH(Y$7,'Inputs (2)'!$D$2:$AL$2,0))</f>
        <v>22036</v>
      </c>
      <c r="Z4" s="16">
        <f>INDEX('Inputs (2)'!$D$50:$AL$50,MATCH(Z$7,'Inputs (2)'!$D$2:$AL$2,0))</f>
        <v>24667</v>
      </c>
      <c r="AA4" s="16">
        <f>INDEX('Inputs (2)'!$D$50:$AL$50,MATCH(AA$7,'Inputs (2)'!$D$2:$AL$2,0))</f>
        <v>24108</v>
      </c>
      <c r="AB4" s="16">
        <f>IF(COUNT(X4:AA4)=4,SUM(X4:AA4),"")</f>
        <v>92750</v>
      </c>
      <c r="AC4" s="16">
        <f>INDEX('Inputs (2)'!$D$50:$AL$50,MATCH(AC$7,'Inputs (2)'!$D$2:$AL$2,0))</f>
        <v>25824</v>
      </c>
      <c r="AD4" s="16">
        <f>INDEX('Inputs (2)'!$D$50:$AL$50,MATCH(AD$7,'Inputs (2)'!$D$2:$AL$2,0))</f>
        <v>27233</v>
      </c>
      <c r="AE4" s="16">
        <f>INDEX('Inputs (2)'!$D$50:$AL$50,MATCH(AE$7,'Inputs (2)'!$D$2:$AL$2,0))</f>
        <v>27747</v>
      </c>
      <c r="AF4" s="16">
        <f>INDEX('Inputs (2)'!$D$50:$AL$50,MATCH(AF$7,'Inputs (2)'!$D$2:$AL$2,0))</f>
        <v>38458</v>
      </c>
      <c r="AG4" s="16">
        <f>IF(COUNT(AC4:AF4)=4,SUM(AC4:AF4),"")</f>
        <v>119262</v>
      </c>
      <c r="AH4" s="6">
        <f>INDEX('Inputs (2)'!$D$50:$AL$50,MATCH(AH$7,'Inputs (2)'!$D$2:$AL$2,0))</f>
        <v>31778</v>
      </c>
      <c r="AI4" s="6">
        <f>INDEX('Inputs (2)'!$D$50:$AL$50,MATCH(AI$7,'Inputs (2)'!$D$2:$AL$2,0))</f>
        <v>35766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35021</v>
      </c>
      <c r="E15" s="15">
        <f>INDEX('Inputs (2)'!$D$4:$AL$4,MATCH(E$7,'Inputs (2)'!$D$2:$AL$2,0))</f>
        <v>38033</v>
      </c>
      <c r="F15" s="15">
        <f>INDEX('Inputs (2)'!$D$4:$AL$4,MATCH(F$7,'Inputs (2)'!$D$2:$AL$2,0))</f>
        <v>37154</v>
      </c>
      <c r="G15" s="15">
        <f>INDEX('Inputs (2)'!$D$4:$AL$4,MATCH(G$7,'Inputs (2)'!$D$2:$AL$2,0))</f>
        <v>43076</v>
      </c>
      <c r="H15" s="16">
        <f>SUM(D15:G15)</f>
        <v>153284</v>
      </c>
      <c r="I15" s="15">
        <f>INDEX('Inputs (2)'!$D$4:$AL$4,MATCH(I$7,'Inputs (2)'!$D$2:$AL$2,0))</f>
        <v>41706</v>
      </c>
      <c r="J15" s="15">
        <f>INDEX('Inputs (2)'!$D$4:$AL$4,MATCH(J$7,'Inputs (2)'!$D$2:$AL$2,0))</f>
        <v>46152</v>
      </c>
      <c r="K15" s="15">
        <f>INDEX('Inputs (2)'!$D$4:$AL$4,MATCH(K$7,'Inputs (2)'!$D$2:$AL$2,0))</f>
        <v>45317</v>
      </c>
      <c r="L15" s="15">
        <f>INDEX('Inputs (2)'!$D$4:$AL$4,MATCH(L$7,'Inputs (2)'!$D$2:$AL$2,0))</f>
        <v>51728</v>
      </c>
      <c r="M15" s="16">
        <f>SUM(I15:L15)</f>
        <v>184903</v>
      </c>
      <c r="N15" s="15">
        <f>INDEX('Inputs (2)'!$D$4:$AL$4,MATCH(N$7,'Inputs (2)'!$D$2:$AL$2,0))</f>
        <v>49360</v>
      </c>
      <c r="O15" s="15">
        <f>INDEX('Inputs (2)'!$D$4:$AL$4,MATCH(O$7,'Inputs (2)'!$D$2:$AL$2,0))</f>
        <v>51865</v>
      </c>
      <c r="P15" s="15">
        <f>INDEX('Inputs (2)'!$D$4:$AL$4,MATCH(P$7,'Inputs (2)'!$D$2:$AL$2,0))</f>
        <v>50122</v>
      </c>
      <c r="Q15" s="15">
        <f>INDEX('Inputs (2)'!$D$4:$AL$4,MATCH(Q$7,'Inputs (2)'!$D$2:$AL$2,0))</f>
        <v>52747</v>
      </c>
      <c r="R15" s="16">
        <f>SUM(N15:Q15)</f>
        <v>204094</v>
      </c>
      <c r="S15" s="15">
        <f>INDEX('Inputs (2)'!$D$4:$AL$4,MATCH(S$7,'Inputs (2)'!$D$2:$AL$2,0))</f>
        <v>52857</v>
      </c>
      <c r="T15" s="15">
        <f>INDEX('Inputs (2)'!$D$4:$AL$4,MATCH(T$7,'Inputs (2)'!$D$2:$AL$2,0))</f>
        <v>56189</v>
      </c>
      <c r="U15" s="15">
        <f>INDEX('Inputs (2)'!$D$4:$AL$4,MATCH(U$7,'Inputs (2)'!$D$2:$AL$2,0))</f>
        <v>56517</v>
      </c>
      <c r="V15" s="15">
        <f>INDEX('Inputs (2)'!$D$4:$AL$4,MATCH(V$7,'Inputs (2)'!$D$2:$AL$2,0))</f>
        <v>62020</v>
      </c>
      <c r="W15" s="16">
        <f>SUM(S15:V15)</f>
        <v>227583</v>
      </c>
      <c r="X15" s="15">
        <f>INDEX('Inputs (2)'!$D$4:$AL$4,MATCH(X$7,'Inputs (2)'!$D$2:$AL$2,0))</f>
        <v>61858</v>
      </c>
      <c r="Y15" s="15">
        <f>INDEX('Inputs (2)'!$D$4:$AL$4,MATCH(Y$7,'Inputs (2)'!$D$2:$AL$2,0))</f>
        <v>64727</v>
      </c>
      <c r="Z15" s="15">
        <f>INDEX('Inputs (2)'!$D$4:$AL$4,MATCH(Z$7,'Inputs (2)'!$D$2:$AL$2,0))</f>
        <v>65585</v>
      </c>
      <c r="AA15" s="15">
        <f>INDEX('Inputs (2)'!$D$4:$AL$4,MATCH(AA$7,'Inputs (2)'!$D$2:$AL$2,0))</f>
        <v>69632</v>
      </c>
      <c r="AB15" s="16">
        <f>SUM(X15:AA15)</f>
        <v>261802</v>
      </c>
      <c r="AC15" s="15">
        <f>INDEX('Inputs (2)'!$D$4:$AL$4,MATCH(AC$7,'Inputs (2)'!$D$2:$AL$2,0))</f>
        <v>70066</v>
      </c>
      <c r="AD15" s="15">
        <f>INDEX('Inputs (2)'!$D$4:$AL$4,MATCH(AD$7,'Inputs (2)'!$D$2:$AL$2,0))</f>
        <v>76441</v>
      </c>
      <c r="AE15" s="15">
        <f>INDEX('Inputs (2)'!$D$4:$AL$4,MATCH(AE$7,'Inputs (2)'!$D$2:$AL$2,0))</f>
        <v>77673</v>
      </c>
      <c r="AF15" s="15">
        <f>INDEX('Inputs (2)'!$D$4:$AL$4,MATCH(AF$7,'Inputs (2)'!$D$2:$AL$2,0))</f>
        <v>81273</v>
      </c>
      <c r="AG15" s="16">
        <f>SUM(AC15:AF15)</f>
        <v>305453</v>
      </c>
      <c r="AH15" s="16">
        <f>INDEX('Inputs (2)'!$D$4:$AL$4,MATCH(AH$7,'Inputs (2)'!$D$2:$AL$2,0))</f>
        <v>82886</v>
      </c>
      <c r="AI15" s="16">
        <f>INDEX('Inputs (2)'!$D$4:$AL$4,MATCH(AI$7,'Inputs (2)'!$D$2:$AL$2,0))</f>
        <v>90007</v>
      </c>
      <c r="AJ15" s="16">
        <f>AE15*(1+AJ16)</f>
        <v>77673</v>
      </c>
      <c r="AK15" s="16">
        <f>AF15*(1+AK16)</f>
        <v>81273</v>
      </c>
      <c r="AL15" s="16">
        <f>SUM(AH15:AK15)</f>
        <v>331839</v>
      </c>
      <c r="AM15" s="16">
        <f>AH15*(1+AM16)</f>
        <v>82886</v>
      </c>
      <c r="AN15" s="16">
        <f>AI15*(1+AN16)</f>
        <v>90007</v>
      </c>
      <c r="AO15" s="16">
        <f>AJ15*(1+AO16)</f>
        <v>77673</v>
      </c>
      <c r="AP15" s="16">
        <f>AK15*(1+AP16)</f>
        <v>81273</v>
      </c>
      <c r="AQ15" s="16">
        <f>SUM(AM15:AP15)</f>
        <v>331839</v>
      </c>
      <c r="AR15" s="16">
        <f>AM15*(1+AR16)</f>
        <v>82886</v>
      </c>
      <c r="AS15" s="16">
        <f>AN15*(1+AS16)</f>
        <v>90007</v>
      </c>
      <c r="AT15" s="16">
        <f>AO15*(1+AT16)</f>
        <v>77673</v>
      </c>
      <c r="AU15" s="16">
        <f>AP15*(1+AU16)</f>
        <v>81273</v>
      </c>
      <c r="AV15" s="16">
        <f>SUM(AR15:AU15)</f>
        <v>331839</v>
      </c>
      <c r="AW15" s="16">
        <f>AR15*(1+AW16)</f>
        <v>82886</v>
      </c>
      <c r="AX15" s="16">
        <f>AS15*(1+AX16)</f>
        <v>90007</v>
      </c>
      <c r="AY15" s="16">
        <f>AT15*(1+AY16)</f>
        <v>77673</v>
      </c>
      <c r="AZ15" s="16">
        <f>AU15*(1+AZ16)</f>
        <v>81273</v>
      </c>
      <c r="BA15" s="16">
        <f>SUM(AW15:AZ15)</f>
        <v>331839</v>
      </c>
      <c r="BB15" s="16">
        <f>AW15*(1+BB16)</f>
        <v>82886</v>
      </c>
      <c r="BC15" s="16">
        <f>AX15*(1+BC16)</f>
        <v>90007</v>
      </c>
      <c r="BD15" s="16">
        <f>AY15*(1+BD16)</f>
        <v>77673</v>
      </c>
      <c r="BE15" s="16">
        <f>AZ15*(1+BE16)</f>
        <v>81273</v>
      </c>
      <c r="BF15" s="16">
        <f>SUM(BB15:BE15)</f>
        <v>331839</v>
      </c>
      <c r="BG15" s="16">
        <f>BB15*(1+BG16)</f>
        <v>82886</v>
      </c>
      <c r="BH15" s="16">
        <f>BC15*(1+BH16)</f>
        <v>90007</v>
      </c>
      <c r="BI15" s="16">
        <f>BD15*(1+BI16)</f>
        <v>77673</v>
      </c>
      <c r="BJ15" s="16">
        <f>BE15*(1+BJ16)</f>
        <v>81273</v>
      </c>
      <c r="BK15" s="16">
        <f>SUM(BG15:BJ15)</f>
        <v>331839</v>
      </c>
      <c r="BL15" s="16">
        <f>BG15*(1+BL16)</f>
        <v>82886</v>
      </c>
      <c r="BM15" s="16">
        <f>BH15*(1+BM16)</f>
        <v>90007</v>
      </c>
      <c r="BN15" s="16">
        <f>BI15*(1+BN16)</f>
        <v>77673</v>
      </c>
      <c r="BO15" s="16">
        <f>BJ15*(1+BO16)</f>
        <v>81273</v>
      </c>
      <c r="BP15" s="16">
        <f>SUM(BL15:BO15)</f>
        <v>331839</v>
      </c>
      <c r="BQ15" s="16">
        <f>BL15*(1+BQ16)</f>
        <v>82886</v>
      </c>
      <c r="BR15" s="16">
        <f>BM15*(1+BR16)</f>
        <v>90007</v>
      </c>
      <c r="BS15" s="16">
        <f>BN15*(1+BS16)</f>
        <v>77673</v>
      </c>
      <c r="BT15" s="16">
        <f>BO15*(1+BT16)</f>
        <v>81273</v>
      </c>
      <c r="BU15" s="16">
        <f>SUM(BQ15:BT15)</f>
        <v>331839</v>
      </c>
      <c r="BV15" s="16">
        <f>BQ15*(1+BV16)</f>
        <v>82886</v>
      </c>
      <c r="BW15" s="16">
        <f>BR15*(1+BW16)</f>
        <v>90007</v>
      </c>
      <c r="BX15" s="16">
        <f>BS15*(1+BX16)</f>
        <v>77673</v>
      </c>
      <c r="BY15" s="16">
        <f>BT15*(1+BY16)</f>
        <v>81273</v>
      </c>
      <c r="BZ15" s="16">
        <f>SUM(BV15:BY15)</f>
        <v>331839</v>
      </c>
      <c r="CA15" s="16">
        <f>BV15*(1+CA16)</f>
        <v>82886</v>
      </c>
      <c r="CB15" s="16">
        <f>BW15*(1+CB16)</f>
        <v>90007</v>
      </c>
      <c r="CC15" s="16">
        <f>BX15*(1+CC16)</f>
        <v>77673</v>
      </c>
      <c r="CD15" s="16">
        <f>BY15*(1+CD16)</f>
        <v>81273</v>
      </c>
      <c r="CE15" s="16">
        <f>SUM(CA15:CD15)</f>
        <v>331839</v>
      </c>
      <c r="CF15" s="16">
        <f>CA15*(1+CF16)</f>
        <v>82886</v>
      </c>
      <c r="CG15" s="16">
        <f>CB15*(1+CG16)</f>
        <v>90007</v>
      </c>
      <c r="CH15" s="16">
        <f>CC15*(1+CH16)</f>
        <v>77673</v>
      </c>
      <c r="CI15" s="16">
        <f>CD15*(1+CI16)</f>
        <v>81273</v>
      </c>
      <c r="CJ15" s="16">
        <f>SUM(CF15:CI15)</f>
        <v>331839</v>
      </c>
      <c r="CK15" s="16">
        <f>CF15*(1+CK16)</f>
        <v>82886</v>
      </c>
      <c r="CL15" s="16">
        <f>CG15*(1+CL16)</f>
        <v>90007</v>
      </c>
      <c r="CM15" s="16">
        <f>CH15*(1+CM16)</f>
        <v>77673</v>
      </c>
      <c r="CN15" s="16">
        <f>CI15*(1+CN16)</f>
        <v>81273</v>
      </c>
      <c r="CO15" s="16">
        <f>SUM(CK15:CN15)</f>
        <v>331839</v>
      </c>
      <c r="CP15" s="16">
        <f>CK15*(1+CP16)</f>
        <v>82886</v>
      </c>
      <c r="CQ15" s="16">
        <f>CL15*(1+CQ16)</f>
        <v>90007</v>
      </c>
      <c r="CR15" s="16">
        <f>CM15*(1+CR16)</f>
        <v>77673</v>
      </c>
      <c r="CS15" s="16">
        <f>CN15*(1+CS16)</f>
        <v>81273</v>
      </c>
      <c r="CT15" s="16">
        <f>SUM(CP15:CS15)</f>
        <v>331839</v>
      </c>
      <c r="CU15" s="16">
        <f>CP15*(1+CU16)</f>
        <v>82886</v>
      </c>
      <c r="CV15" s="16">
        <f>CQ15*(1+CV16)</f>
        <v>90007</v>
      </c>
      <c r="CW15" s="16">
        <f>CR15*(1+CW16)</f>
        <v>77673</v>
      </c>
      <c r="CX15" s="16">
        <f>CS15*(1+CX16)</f>
        <v>81273</v>
      </c>
      <c r="CY15" s="16">
        <f>SUM(CU15:CX15)</f>
        <v>331839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0.183522754519733</v>
      </c>
      <c r="O16" s="47">
        <f>O15/J15-1</f>
        <v>0.123786618131392</v>
      </c>
      <c r="P16" s="47">
        <f>P15/K15-1</f>
        <v>0.106030849350133</v>
      </c>
      <c r="Q16" s="47">
        <f>Q15/L15-1</f>
        <v>0.0196991957933808</v>
      </c>
      <c r="R16" s="47">
        <f>R15/M15-1</f>
        <v>0.103789554523182</v>
      </c>
      <c r="S16" s="47">
        <f>S15/N15-1</f>
        <v>0.0708468395461912</v>
      </c>
      <c r="T16" s="47">
        <f>T15/O15-1</f>
        <v>0.0833702882483369</v>
      </c>
      <c r="U16" s="47">
        <f>U15/P15-1</f>
        <v>0.127588683611987</v>
      </c>
      <c r="V16" s="47">
        <f>V15/Q15-1</f>
        <v>0.175801467382031</v>
      </c>
      <c r="W16" s="47">
        <f>W15/R15-1</f>
        <v>0.115089125598989</v>
      </c>
      <c r="X16" s="47">
        <f>X15/S15-1</f>
        <v>0.170289649431485</v>
      </c>
      <c r="Y16" s="47">
        <f>Y15/T15-1</f>
        <v>0.15195144957198</v>
      </c>
      <c r="Z16" s="47">
        <f>Z15/U15-1</f>
        <v>0.160447299042766</v>
      </c>
      <c r="AA16" s="47">
        <f>AA15/V15-1</f>
        <v>0.122734601741374</v>
      </c>
      <c r="AB16" s="47">
        <f>AB15/W15-1</f>
        <v>0.150358330806783</v>
      </c>
      <c r="AC16" s="47">
        <f>AC15/X15-1</f>
        <v>0.132691001972259</v>
      </c>
      <c r="AD16" s="47">
        <f>AD15/Y15-1</f>
        <v>0.180975481638265</v>
      </c>
      <c r="AE16" s="47">
        <f>AE15/Z15-1</f>
        <v>0.184310436837692</v>
      </c>
      <c r="AF16" s="44">
        <f>AF15/AA15-1</f>
        <v>0.167178883272059</v>
      </c>
      <c r="AG16" s="47">
        <f>AG15/AB15-1</f>
        <v>0.16673287446238</v>
      </c>
      <c r="AH16" s="44">
        <f>AH15/AC15-1</f>
        <v>0.182970342248737</v>
      </c>
      <c r="AI16" s="44">
        <f>AI15/AD15-1</f>
        <v>0.177470205779621</v>
      </c>
      <c r="AJ16" s="44" t="n"/>
      <c r="AK16" s="44" t="n"/>
      <c r="AL16" s="22">
        <f>AL15/AG15-1</f>
        <v>0.0863831751529696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como a Microsoft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>Productivity and Business Processes</t>
        </is>
      </c>
      <c r="D19" s="265">
        <f>IFERROR(INDEX('Inputs (2)'!$D$53:$AL$53,MATCH(D$7,'Inputs (2)'!$D$2:$AL$2,0)),"")</f>
        <v>11743</v>
      </c>
      <c r="E19" s="265">
        <f>IFERROR(INDEX('Inputs (2)'!$D$53:$AL$53,MATCH(E$7,'Inputs (2)'!$D$2:$AL$2,0)),"")</f>
        <v>11752</v>
      </c>
      <c r="F19" s="265">
        <f>IFERROR(INDEX('Inputs (2)'!$D$53:$AL$53,MATCH(F$7,'Inputs (2)'!$D$2:$AL$2,0)),"")</f>
        <v>12319</v>
      </c>
      <c r="G19" s="265">
        <f>IFERROR(INDEX('Inputs (2)'!$D$53:$AL$53,MATCH(G$7,'Inputs (2)'!$D$2:$AL$2,0)),"")</f>
        <v>13353</v>
      </c>
      <c r="H19" s="266">
        <f>IF(COUNT(D19:G19)=4,SUM(D19:G19),"")</f>
        <v>49167</v>
      </c>
      <c r="I19" s="265">
        <f>IFERROR(INDEX('Inputs (2)'!$D$53:$AL$53,MATCH(I$7,'Inputs (2)'!$D$2:$AL$2,0)),"")</f>
        <v>13552</v>
      </c>
      <c r="J19" s="265">
        <f>IFERROR(INDEX('Inputs (2)'!$D$53:$AL$53,MATCH(J$7,'Inputs (2)'!$D$2:$AL$2,0)),"")</f>
        <v>14691</v>
      </c>
      <c r="K19" s="265">
        <f>IFERROR(INDEX('Inputs (2)'!$D$53:$AL$53,MATCH(K$7,'Inputs (2)'!$D$2:$AL$2,0)),"")</f>
        <v>15039</v>
      </c>
      <c r="L19" s="265">
        <f>IFERROR(INDEX('Inputs (2)'!$D$53:$AL$53,MATCH(L$7,'Inputs (2)'!$D$2:$AL$2,0)),"")</f>
        <v>15936</v>
      </c>
      <c r="M19" s="266">
        <f>IF(COUNT(I19:L19)=4,SUM(I19:L19),"")</f>
        <v>59218</v>
      </c>
      <c r="N19" s="265">
        <f>IFERROR(INDEX('Inputs (2)'!$D$53:$AL$53,MATCH(N$7,'Inputs (2)'!$D$2:$AL$2,0)),"")</f>
        <v>15789</v>
      </c>
      <c r="O19" s="265">
        <f>IFERROR(INDEX('Inputs (2)'!$D$53:$AL$53,MATCH(O$7,'Inputs (2)'!$D$2:$AL$2,0)),"")</f>
        <v>16600</v>
      </c>
      <c r="P19" s="265">
        <f>IFERROR(INDEX('Inputs (2)'!$D$53:$AL$53,MATCH(P$7,'Inputs (2)'!$D$2:$AL$2,0)),"")</f>
        <v>16465</v>
      </c>
      <c r="Q19" s="265">
        <f>IFERROR(INDEX('Inputs (2)'!$D$53:$AL$53,MATCH(Q$7,'Inputs (2)'!$D$2:$AL$2,0)),"")</f>
        <v>17002</v>
      </c>
      <c r="R19" s="266">
        <f>IF(COUNT(N19:Q19)=4,SUM(N19:Q19),"")</f>
        <v>65856</v>
      </c>
      <c r="S19" s="265">
        <f>IFERROR(INDEX('Inputs (2)'!$D$53:$AL$53,MATCH(S$7,'Inputs (2)'!$D$2:$AL$2,0)),"")</f>
        <v>17516</v>
      </c>
      <c r="T19" s="265">
        <f>IFERROR(INDEX('Inputs (2)'!$D$53:$AL$53,MATCH(T$7,'Inputs (2)'!$D$2:$AL$2,0)),"")</f>
        <v>18291</v>
      </c>
      <c r="U19" s="265">
        <f>IFERROR(INDEX('Inputs (2)'!$D$53:$AL$53,MATCH(U$7,'Inputs (2)'!$D$2:$AL$2,0)),"")</f>
        <v>25226</v>
      </c>
      <c r="V19" s="265">
        <f>IFERROR(INDEX('Inputs (2)'!$D$53:$AL$53,MATCH(V$7,'Inputs (2)'!$D$2:$AL$2,0)),"")</f>
        <v>25854</v>
      </c>
      <c r="W19" s="266">
        <f>IF(COUNT(S19:V19)=4,SUM(S19:V19),"")</f>
        <v>86887</v>
      </c>
      <c r="X19" s="265">
        <f>IFERROR(INDEX('Inputs (2)'!$D$53:$AL$53,MATCH(X$7,'Inputs (2)'!$D$2:$AL$2,0)),"")</f>
        <v>27113</v>
      </c>
      <c r="Y19" s="265">
        <f>IFERROR(INDEX('Inputs (2)'!$D$53:$AL$53,MATCH(Y$7,'Inputs (2)'!$D$2:$AL$2,0)),"")</f>
        <v>20317</v>
      </c>
      <c r="Z19" s="265">
        <f>IFERROR(INDEX('Inputs (2)'!$D$53:$AL$53,MATCH(Z$7,'Inputs (2)'!$D$2:$AL$2,0)),"")</f>
        <v>28317</v>
      </c>
      <c r="AA19" s="265">
        <f>IFERROR(INDEX('Inputs (2)'!$D$53:$AL$53,MATCH(AA$7,'Inputs (2)'!$D$2:$AL$2,0)),"")</f>
        <v>29437</v>
      </c>
      <c r="AB19" s="266">
        <f>IF(COUNT(X19:AA19)=4,SUM(X19:AA19),"")</f>
        <v>105184</v>
      </c>
      <c r="AC19" s="265">
        <f>IFERROR(INDEX('Inputs (2)'!$D$53:$AL$53,MATCH(AC$7,'Inputs (2)'!$D$2:$AL$2,0)),"")</f>
        <v>29944</v>
      </c>
      <c r="AD19" s="265">
        <f>IFERROR(INDEX('Inputs (2)'!$D$53:$AL$53,MATCH(AD$7,'Inputs (2)'!$D$2:$AL$2,0)),"")</f>
        <v>33112</v>
      </c>
      <c r="AE19" s="265">
        <f>IFERROR(INDEX('Inputs (2)'!$D$53:$AL$53,MATCH(AE$7,'Inputs (2)'!$D$2:$AL$2,0)),"")</f>
        <v>33020</v>
      </c>
      <c r="AF19" s="265">
        <f>IFERROR(INDEX('Inputs (2)'!$D$53:$AL$53,MATCH(AF$7,'Inputs (2)'!$D$2:$AL$2,0)),"")</f>
        <v>34116</v>
      </c>
      <c r="AG19" s="266">
        <f>IF(COUNT(AC19:AF19)=4,SUM(AC19:AF19),"")</f>
        <v>130192</v>
      </c>
      <c r="AH19" s="266">
        <f>IFERROR(INDEX('Inputs (2)'!$D$53:$AL$53,MATCH(AH$7,'Inputs (2)'!$D$2:$AL$2,0)),"")</f>
        <v>35013</v>
      </c>
      <c r="AI19" s="266">
        <f>IFERROR(INDEX('Inputs (2)'!$D$53:$AL$53,MATCH(AI$7,'Inputs (2)'!$D$2:$AL$2,0)),"")</f>
        <v>37847</v>
      </c>
    </row>
    <row r="20">
      <c r="C20" s="14" t="inlineStr">
        <is>
          <t>Intelligent Cloud</t>
        </is>
      </c>
      <c r="D20" s="265">
        <f>IFERROR(INDEX('Inputs (2)'!$D$54:$AL$54,MATCH(D$7,'Inputs (2)'!$D$2:$AL$2,0)),"")</f>
        <v>12281</v>
      </c>
      <c r="E20" s="265">
        <f>IFERROR(INDEX('Inputs (2)'!$D$54:$AL$54,MATCH(E$7,'Inputs (2)'!$D$2:$AL$2,0)),"")</f>
        <v>13371</v>
      </c>
      <c r="F20" s="265">
        <f>IFERROR(INDEX('Inputs (2)'!$D$54:$AL$54,MATCH(F$7,'Inputs (2)'!$D$2:$AL$2,0)),"")</f>
        <v>12986</v>
      </c>
      <c r="G20" s="265">
        <f>IFERROR(INDEX('Inputs (2)'!$D$54:$AL$54,MATCH(G$7,'Inputs (2)'!$D$2:$AL$2,0)),"")</f>
        <v>14601</v>
      </c>
      <c r="H20" s="266">
        <f>IF(COUNT(D20:G20)=4,SUM(D20:G20),"")</f>
        <v>53239</v>
      </c>
      <c r="I20" s="265">
        <f>IFERROR(INDEX('Inputs (2)'!$D$54:$AL$54,MATCH(I$7,'Inputs (2)'!$D$2:$AL$2,0)),"")</f>
        <v>15118</v>
      </c>
      <c r="J20" s="265">
        <f>IFERROR(INDEX('Inputs (2)'!$D$54:$AL$54,MATCH(J$7,'Inputs (2)'!$D$2:$AL$2,0)),"")</f>
        <v>17375</v>
      </c>
      <c r="K20" s="265">
        <f>IFERROR(INDEX('Inputs (2)'!$D$54:$AL$54,MATCH(K$7,'Inputs (2)'!$D$2:$AL$2,0)),"")</f>
        <v>16912</v>
      </c>
      <c r="L20" s="265">
        <f>IFERROR(INDEX('Inputs (2)'!$D$54:$AL$54,MATCH(L$7,'Inputs (2)'!$D$2:$AL$2,0)),"")</f>
        <v>18262</v>
      </c>
      <c r="M20" s="266">
        <f>IF(COUNT(I20:L20)=4,SUM(I20:L20),"")</f>
        <v>67667</v>
      </c>
      <c r="N20" s="265">
        <f>IFERROR(INDEX('Inputs (2)'!$D$54:$AL$54,MATCH(N$7,'Inputs (2)'!$D$2:$AL$2,0)),"")</f>
        <v>18987</v>
      </c>
      <c r="O20" s="265">
        <f>IFERROR(INDEX('Inputs (2)'!$D$54:$AL$54,MATCH(O$7,'Inputs (2)'!$D$2:$AL$2,0)),"")</f>
        <v>20909</v>
      </c>
      <c r="P20" s="265">
        <f>IFERROR(INDEX('Inputs (2)'!$D$54:$AL$54,MATCH(P$7,'Inputs (2)'!$D$2:$AL$2,0)),"")</f>
        <v>20325</v>
      </c>
      <c r="Q20" s="265">
        <f>IFERROR(INDEX('Inputs (2)'!$D$54:$AL$54,MATCH(Q$7,'Inputs (2)'!$D$2:$AL$2,0)),"")</f>
        <v>21508</v>
      </c>
      <c r="R20" s="266">
        <f>IF(COUNT(N20:Q20)=4,SUM(N20:Q20),"")</f>
        <v>81729</v>
      </c>
      <c r="S20" s="265">
        <f>IFERROR(INDEX('Inputs (2)'!$D$54:$AL$54,MATCH(S$7,'Inputs (2)'!$D$2:$AL$2,0)),"")</f>
        <v>22081</v>
      </c>
      <c r="T20" s="265">
        <f>IFERROR(INDEX('Inputs (2)'!$D$54:$AL$54,MATCH(T$7,'Inputs (2)'!$D$2:$AL$2,0)),"")</f>
        <v>23993</v>
      </c>
      <c r="U20" s="265">
        <f>IFERROR(INDEX('Inputs (2)'!$D$54:$AL$54,MATCH(U$7,'Inputs (2)'!$D$2:$AL$2,0)),"")</f>
        <v>20013</v>
      </c>
      <c r="V20" s="265">
        <f>IFERROR(INDEX('Inputs (2)'!$D$54:$AL$54,MATCH(V$7,'Inputs (2)'!$D$2:$AL$2,0)),"")</f>
        <v>21525</v>
      </c>
      <c r="W20" s="266">
        <f>IF(COUNT(S20:V20)=4,SUM(S20:V20),"")</f>
        <v>87612</v>
      </c>
      <c r="X20" s="265">
        <f>IFERROR(INDEX('Inputs (2)'!$D$54:$AL$54,MATCH(X$7,'Inputs (2)'!$D$2:$AL$2,0)),"")</f>
        <v>22141</v>
      </c>
      <c r="Y20" s="265">
        <f>IFERROR(INDEX('Inputs (2)'!$D$54:$AL$54,MATCH(Y$7,'Inputs (2)'!$D$2:$AL$2,0)),"")</f>
        <v>28515</v>
      </c>
      <c r="Z20" s="265">
        <f>IFERROR(INDEX('Inputs (2)'!$D$54:$AL$54,MATCH(Z$7,'Inputs (2)'!$D$2:$AL$2,0)),"")</f>
        <v>24092</v>
      </c>
      <c r="AA20" s="265">
        <f>IFERROR(INDEX('Inputs (2)'!$D$54:$AL$54,MATCH(AA$7,'Inputs (2)'!$D$2:$AL$2,0)),"")</f>
        <v>25544</v>
      </c>
      <c r="AB20" s="266">
        <f>IF(COUNT(X20:AA20)=4,SUM(X20:AA20),"")</f>
        <v>100292</v>
      </c>
      <c r="AC20" s="265">
        <f>IFERROR(INDEX('Inputs (2)'!$D$54:$AL$54,MATCH(AC$7,'Inputs (2)'!$D$2:$AL$2,0)),"")</f>
        <v>26751</v>
      </c>
      <c r="AD20" s="265">
        <f>IFERROR(INDEX('Inputs (2)'!$D$54:$AL$54,MATCH(AD$7,'Inputs (2)'!$D$2:$AL$2,0)),"")</f>
        <v>29878</v>
      </c>
      <c r="AE20" s="265">
        <f>IFERROR(INDEX('Inputs (2)'!$D$54:$AL$54,MATCH(AE$7,'Inputs (2)'!$D$2:$AL$2,0)),"")</f>
        <v>30897</v>
      </c>
      <c r="AF20" s="265">
        <f>IFERROR(INDEX('Inputs (2)'!$D$54:$AL$54,MATCH(AF$7,'Inputs (2)'!$D$2:$AL$2,0)),"")</f>
        <v>32907</v>
      </c>
      <c r="AG20" s="266">
        <f>IF(COUNT(AC20:AF20)=4,SUM(AC20:AF20),"")</f>
        <v>120433</v>
      </c>
      <c r="AH20" s="266">
        <f>IFERROR(INDEX('Inputs (2)'!$D$54:$AL$54,MATCH(AH$7,'Inputs (2)'!$D$2:$AL$2,0)),"")</f>
        <v>34681</v>
      </c>
      <c r="AI20" s="266">
        <f>IFERROR(INDEX('Inputs (2)'!$D$54:$AL$54,MATCH(AI$7,'Inputs (2)'!$D$2:$AL$2,0)),"")</f>
        <v>39306</v>
      </c>
    </row>
    <row r="21">
      <c r="C21" s="14" t="inlineStr">
        <is>
          <t>More Personal Computing</t>
        </is>
      </c>
      <c r="D21" s="265">
        <f>IFERROR(INDEX('Inputs (2)'!$D$55:$AL$55,MATCH(D$7,'Inputs (2)'!$D$2:$AL$2,0)),"")</f>
        <v>10997</v>
      </c>
      <c r="E21" s="265">
        <f>IFERROR(INDEX('Inputs (2)'!$D$55:$AL$55,MATCH(E$7,'Inputs (2)'!$D$2:$AL$2,0)),"")</f>
        <v>12910</v>
      </c>
      <c r="F21" s="265">
        <f>IFERROR(INDEX('Inputs (2)'!$D$55:$AL$55,MATCH(F$7,'Inputs (2)'!$D$2:$AL$2,0)),"")</f>
        <v>11849</v>
      </c>
      <c r="G21" s="265">
        <f>IFERROR(INDEX('Inputs (2)'!$D$55:$AL$55,MATCH(G$7,'Inputs (2)'!$D$2:$AL$2,0)),"")</f>
        <v>15122</v>
      </c>
      <c r="H21" s="266">
        <f>IF(COUNT(D21:G21)=4,SUM(D21:G21),"")</f>
        <v>50878</v>
      </c>
      <c r="I21" s="265">
        <f>IFERROR(INDEX('Inputs (2)'!$D$55:$AL$55,MATCH(I$7,'Inputs (2)'!$D$2:$AL$2,0)),"")</f>
        <v>13036</v>
      </c>
      <c r="J21" s="265">
        <f>IFERROR(INDEX('Inputs (2)'!$D$55:$AL$55,MATCH(J$7,'Inputs (2)'!$D$2:$AL$2,0)),"")</f>
        <v>14086</v>
      </c>
      <c r="K21" s="265">
        <f>IFERROR(INDEX('Inputs (2)'!$D$55:$AL$55,MATCH(K$7,'Inputs (2)'!$D$2:$AL$2,0)),"")</f>
        <v>13366</v>
      </c>
      <c r="L21" s="265">
        <f>IFERROR(INDEX('Inputs (2)'!$D$55:$AL$55,MATCH(L$7,'Inputs (2)'!$D$2:$AL$2,0)),"")</f>
        <v>17530</v>
      </c>
      <c r="M21" s="266">
        <f>IF(COUNT(I21:L21)=4,SUM(I21:L21),"")</f>
        <v>58018</v>
      </c>
      <c r="N21" s="265">
        <f>IFERROR(INDEX('Inputs (2)'!$D$55:$AL$55,MATCH(N$7,'Inputs (2)'!$D$2:$AL$2,0)),"")</f>
        <v>14584</v>
      </c>
      <c r="O21" s="265">
        <f>IFERROR(INDEX('Inputs (2)'!$D$55:$AL$55,MATCH(O$7,'Inputs (2)'!$D$2:$AL$2,0)),"")</f>
        <v>14356</v>
      </c>
      <c r="P21" s="265">
        <f>IFERROR(INDEX('Inputs (2)'!$D$55:$AL$55,MATCH(P$7,'Inputs (2)'!$D$2:$AL$2,0)),"")</f>
        <v>13332</v>
      </c>
      <c r="Q21" s="265">
        <f>IFERROR(INDEX('Inputs (2)'!$D$55:$AL$55,MATCH(Q$7,'Inputs (2)'!$D$2:$AL$2,0)),"")</f>
        <v>14237</v>
      </c>
      <c r="R21" s="266">
        <f>IF(COUNT(N21:Q21)=4,SUM(N21:Q21),"")</f>
        <v>56509</v>
      </c>
      <c r="S21" s="265">
        <f>IFERROR(INDEX('Inputs (2)'!$D$55:$AL$55,MATCH(S$7,'Inputs (2)'!$D$2:$AL$2,0)),"")</f>
        <v>13260</v>
      </c>
      <c r="T21" s="265">
        <f>IFERROR(INDEX('Inputs (2)'!$D$55:$AL$55,MATCH(T$7,'Inputs (2)'!$D$2:$AL$2,0)),"")</f>
        <v>13905</v>
      </c>
      <c r="U21" s="265">
        <f>IFERROR(INDEX('Inputs (2)'!$D$55:$AL$55,MATCH(U$7,'Inputs (2)'!$D$2:$AL$2,0)),"")</f>
        <v>11278</v>
      </c>
      <c r="V21" s="265">
        <f>IFERROR(INDEX('Inputs (2)'!$D$55:$AL$55,MATCH(V$7,'Inputs (2)'!$D$2:$AL$2,0)),"")</f>
        <v>14641</v>
      </c>
      <c r="W21" s="266">
        <f>IF(COUNT(S21:V21)=4,SUM(S21:V21),"")</f>
        <v>53084</v>
      </c>
      <c r="X21" s="265">
        <f>IFERROR(INDEX('Inputs (2)'!$D$55:$AL$55,MATCH(X$7,'Inputs (2)'!$D$2:$AL$2,0)),"")</f>
        <v>12604</v>
      </c>
      <c r="Y21" s="265">
        <f>IFERROR(INDEX('Inputs (2)'!$D$55:$AL$55,MATCH(Y$7,'Inputs (2)'!$D$2:$AL$2,0)),"")</f>
        <v>15895</v>
      </c>
      <c r="Z21" s="265">
        <f>IFERROR(INDEX('Inputs (2)'!$D$55:$AL$55,MATCH(Z$7,'Inputs (2)'!$D$2:$AL$2,0)),"")</f>
        <v>13176</v>
      </c>
      <c r="AA21" s="265">
        <f>IFERROR(INDEX('Inputs (2)'!$D$55:$AL$55,MATCH(AA$7,'Inputs (2)'!$D$2:$AL$2,0)),"")</f>
        <v>14651</v>
      </c>
      <c r="AB21" s="266">
        <f>IF(COUNT(X21:AA21)=4,SUM(X21:AA21),"")</f>
        <v>56326</v>
      </c>
      <c r="AC21" s="265">
        <f>IFERROR(INDEX('Inputs (2)'!$D$55:$AL$55,MATCH(AC$7,'Inputs (2)'!$D$2:$AL$2,0)),"")</f>
        <v>13371</v>
      </c>
      <c r="AD21" s="265">
        <f>IFERROR(INDEX('Inputs (2)'!$D$55:$AL$55,MATCH(AD$7,'Inputs (2)'!$D$2:$AL$2,0)),"")</f>
        <v>13451</v>
      </c>
      <c r="AE21" s="265">
        <f>IFERROR(INDEX('Inputs (2)'!$D$55:$AL$55,MATCH(AE$7,'Inputs (2)'!$D$2:$AL$2,0)),"")</f>
        <v>13756</v>
      </c>
      <c r="AF21" s="265">
        <f>IFERROR(INDEX('Inputs (2)'!$D$55:$AL$55,MATCH(AF$7,'Inputs (2)'!$D$2:$AL$2,0)),"")</f>
        <v>14250</v>
      </c>
      <c r="AG21" s="266">
        <f>IF(COUNT(AC21:AF21)=4,SUM(AC21:AF21),"")</f>
        <v>54828</v>
      </c>
      <c r="AH21" s="266">
        <f>IFERROR(INDEX('Inputs (2)'!$D$55:$AL$55,MATCH(AH$7,'Inputs (2)'!$D$2:$AL$2,0)),"")</f>
        <v>13192</v>
      </c>
      <c r="AI21" s="266">
        <f>IFERROR(INDEX('Inputs (2)'!$D$55:$AL$55,MATCH(AI$7,'Inputs (2)'!$D$2:$AL$2,0)),"")</f>
        <v>12854</v>
      </c>
    </row>
    <row r="22">
      <c r="C22" s="267" t="inlineStr">
        <is>
          <t>Receita (soma dos segmentos)</t>
        </is>
      </c>
      <c r="D22" s="265">
        <f>IF(COUNT(D19,D20,D21)=0,"",N(D19)+N(D20)+N(D21))</f>
        <v>35021</v>
      </c>
      <c r="E22" s="265">
        <f>IF(COUNT(E19,E20,E21)=0,"",N(E19)+N(E20)+N(E21))</f>
        <v>38033</v>
      </c>
      <c r="F22" s="265">
        <f>IF(COUNT(F19,F20,F21)=0,"",N(F19)+N(F20)+N(F21))</f>
        <v>37154</v>
      </c>
      <c r="G22" s="265">
        <f>IF(COUNT(G19,G20,G21)=0,"",N(G19)+N(G20)+N(G21))</f>
        <v>43076</v>
      </c>
      <c r="H22" s="266">
        <f>IF(COUNT(H19,H20,H21)=0,"",N(H19)+N(H20)+N(H21))</f>
        <v>153284</v>
      </c>
      <c r="I22" s="265">
        <f>IF(COUNT(I19,I20,I21)=0,"",N(I19)+N(I20)+N(I21))</f>
        <v>41706</v>
      </c>
      <c r="J22" s="265">
        <f>IF(COUNT(J19,J20,J21)=0,"",N(J19)+N(J20)+N(J21))</f>
        <v>46152</v>
      </c>
      <c r="K22" s="265">
        <f>IF(COUNT(K19,K20,K21)=0,"",N(K19)+N(K20)+N(K21))</f>
        <v>45317</v>
      </c>
      <c r="L22" s="265">
        <f>IF(COUNT(L19,L20,L21)=0,"",N(L19)+N(L20)+N(L21))</f>
        <v>51728</v>
      </c>
      <c r="M22" s="266">
        <f>IF(COUNT(M19,M20,M21)=0,"",N(M19)+N(M20)+N(M21))</f>
        <v>184903</v>
      </c>
      <c r="N22" s="265">
        <f>IF(COUNT(N19,N20,N21)=0,"",N(N19)+N(N20)+N(N21))</f>
        <v>49360</v>
      </c>
      <c r="O22" s="265">
        <f>IF(COUNT(O19,O20,O21)=0,"",N(O19)+N(O20)+N(O21))</f>
        <v>51865</v>
      </c>
      <c r="P22" s="265">
        <f>IF(COUNT(P19,P20,P21)=0,"",N(P19)+N(P20)+N(P21))</f>
        <v>50122</v>
      </c>
      <c r="Q22" s="265">
        <f>IF(COUNT(Q19,Q20,Q21)=0,"",N(Q19)+N(Q20)+N(Q21))</f>
        <v>52747</v>
      </c>
      <c r="R22" s="266">
        <f>IF(COUNT(R19,R20,R21)=0,"",N(R19)+N(R20)+N(R21))</f>
        <v>204094</v>
      </c>
      <c r="S22" s="265">
        <f>IF(COUNT(S19,S20,S21)=0,"",N(S19)+N(S20)+N(S21))</f>
        <v>52857</v>
      </c>
      <c r="T22" s="265">
        <f>IF(COUNT(T19,T20,T21)=0,"",N(T19)+N(T20)+N(T21))</f>
        <v>56189</v>
      </c>
      <c r="U22" s="265">
        <f>IF(COUNT(U19,U20,U21)=0,"",N(U19)+N(U20)+N(U21))</f>
        <v>56517</v>
      </c>
      <c r="V22" s="265">
        <f>IF(COUNT(V19,V20,V21)=0,"",N(V19)+N(V20)+N(V21))</f>
        <v>62020</v>
      </c>
      <c r="W22" s="266">
        <f>IF(COUNT(W19,W20,W21)=0,"",N(W19)+N(W20)+N(W21))</f>
        <v>227583</v>
      </c>
      <c r="X22" s="265">
        <f>IF(COUNT(X19,X20,X21)=0,"",N(X19)+N(X20)+N(X21))</f>
        <v>61858</v>
      </c>
      <c r="Y22" s="265">
        <f>IF(COUNT(Y19,Y20,Y21)=0,"",N(Y19)+N(Y20)+N(Y21))</f>
        <v>64727</v>
      </c>
      <c r="Z22" s="265">
        <f>IF(COUNT(Z19,Z20,Z21)=0,"",N(Z19)+N(Z20)+N(Z21))</f>
        <v>65585</v>
      </c>
      <c r="AA22" s="265">
        <f>IF(COUNT(AA19,AA20,AA21)=0,"",N(AA19)+N(AA20)+N(AA21))</f>
        <v>69632</v>
      </c>
      <c r="AB22" s="266">
        <f>IF(COUNT(AB19,AB20,AB21)=0,"",N(AB19)+N(AB20)+N(AB21))</f>
        <v>261802</v>
      </c>
      <c r="AC22" s="265">
        <f>IF(COUNT(AC19,AC20,AC21)=0,"",N(AC19)+N(AC20)+N(AC21))</f>
        <v>70066</v>
      </c>
      <c r="AD22" s="265">
        <f>IF(COUNT(AD19,AD20,AD21)=0,"",N(AD19)+N(AD20)+N(AD21))</f>
        <v>76441</v>
      </c>
      <c r="AE22" s="265">
        <f>IF(COUNT(AE19,AE20,AE21)=0,"",N(AE19)+N(AE20)+N(AE21))</f>
        <v>77673</v>
      </c>
      <c r="AF22" s="265">
        <f>IF(COUNT(AF19,AF20,AF21)=0,"",N(AF19)+N(AF20)+N(AF21))</f>
        <v>81273</v>
      </c>
      <c r="AG22" s="266">
        <f>IF(COUNT(AG19,AG20,AG21)=0,"",N(AG19)+N(AG20)+N(AG21))</f>
        <v>305453</v>
      </c>
      <c r="AH22" s="266">
        <f>IF(COUNT(AH19,AH20,AH21)=0,"",N(AH19)+N(AH20)+N(AH21))</f>
        <v>82886</v>
      </c>
      <c r="AI22" s="266">
        <f>IF(COUNT(AI19,AI20,AI21)=0,"",N(AI19)+N(AI20)+N(AI21))</f>
        <v>90007</v>
      </c>
    </row>
    <row r="23">
      <c r="C23" s="14" t="inlineStr">
        <is>
          <t>Check vs Net Revenues (linha 15)</t>
        </is>
      </c>
      <c r="D23" s="265">
        <f>IF(COUNT(D22)=0,"",ROUND(D15-D22,1))</f>
        <v>0</v>
      </c>
      <c r="E23" s="265">
        <f>IF(COUNT(E22)=0,"",ROUND(E15-E22,1))</f>
        <v>0</v>
      </c>
      <c r="F23" s="265">
        <f>IF(COUNT(F22)=0,"",ROUND(F15-F22,1))</f>
        <v>0</v>
      </c>
      <c r="G23" s="265">
        <f>IF(COUNT(G22)=0,"",ROUND(G15-G22,1))</f>
        <v>0</v>
      </c>
      <c r="H23" s="266">
        <f>IF(COUNT(H22)=0,"",ROUND(H15-H22,1))</f>
        <v>0</v>
      </c>
      <c r="I23" s="265">
        <f>IF(COUNT(I22)=0,"",ROUND(I15-I22,1))</f>
        <v>0</v>
      </c>
      <c r="J23" s="265">
        <f>IF(COUNT(J22)=0,"",ROUND(J15-J22,1))</f>
        <v>0</v>
      </c>
      <c r="K23" s="265">
        <f>IF(COUNT(K22)=0,"",ROUND(K15-K22,1))</f>
        <v>0</v>
      </c>
      <c r="L23" s="265">
        <f>IF(COUNT(L22)=0,"",ROUND(L15-L22,1))</f>
        <v>0</v>
      </c>
      <c r="M23" s="266">
        <f>IF(COUNT(M22)=0,"",ROUND(M15-M22,1))</f>
        <v>0</v>
      </c>
      <c r="N23" s="265">
        <f>IF(COUNT(N22)=0,"",ROUND(N15-N22,1))</f>
        <v>0</v>
      </c>
      <c r="O23" s="265">
        <f>IF(COUNT(O22)=0,"",ROUND(O15-O22,1))</f>
        <v>0</v>
      </c>
      <c r="P23" s="265">
        <f>IF(COUNT(P22)=0,"",ROUND(P15-P22,1))</f>
        <v>0</v>
      </c>
      <c r="Q23" s="265">
        <f>IF(COUNT(Q22)=0,"",ROUND(Q15-Q22,1))</f>
        <v>0</v>
      </c>
      <c r="R23" s="266">
        <f>IF(COUNT(R22)=0,"",ROUND(R15-R22,1))</f>
        <v>0</v>
      </c>
      <c r="S23" s="265">
        <f>IF(COUNT(S22)=0,"",ROUND(S15-S22,1))</f>
        <v>0</v>
      </c>
      <c r="T23" s="265">
        <f>IF(COUNT(T22)=0,"",ROUND(T15-T22,1))</f>
        <v>0</v>
      </c>
      <c r="U23" s="265">
        <f>IF(COUNT(U22)=0,"",ROUND(U15-U22,1))</f>
        <v>0</v>
      </c>
      <c r="V23" s="265">
        <f>IF(COUNT(V22)=0,"",ROUND(V15-V22,1))</f>
        <v>0</v>
      </c>
      <c r="W23" s="266">
        <f>IF(COUNT(W22)=0,"",ROUND(W15-W22,1))</f>
        <v>0</v>
      </c>
      <c r="X23" s="265">
        <f>IF(COUNT(X22)=0,"",ROUND(X15-X22,1))</f>
        <v>0</v>
      </c>
      <c r="Y23" s="265">
        <f>IF(COUNT(Y22)=0,"",ROUND(Y15-Y22,1))</f>
        <v>0</v>
      </c>
      <c r="Z23" s="265">
        <f>IF(COUNT(Z22)=0,"",ROUND(Z15-Z22,1))</f>
        <v>0</v>
      </c>
      <c r="AA23" s="265">
        <f>IF(COUNT(AA22)=0,"",ROUND(AA15-AA22,1))</f>
        <v>0</v>
      </c>
      <c r="AB23" s="266">
        <f>IF(COUNT(AB22)=0,"",ROUND(AB15-AB22,1))</f>
        <v>0</v>
      </c>
      <c r="AC23" s="265">
        <f>IF(COUNT(AC22)=0,"",ROUND(AC15-AC22,1))</f>
        <v>0</v>
      </c>
      <c r="AD23" s="265">
        <f>IF(COUNT(AD22)=0,"",ROUND(AD15-AD22,1))</f>
        <v>0</v>
      </c>
      <c r="AE23" s="265">
        <f>IF(COUNT(AE22)=0,"",ROUND(AE15-AE22,1))</f>
        <v>0</v>
      </c>
      <c r="AF23" s="265">
        <f>IF(COUNT(AF22)=0,"",ROUND(AF15-AF22,1))</f>
        <v>0</v>
      </c>
      <c r="AG23" s="266">
        <f>IF(COUNT(AG22)=0,"",ROUND(AG15-AG22,1))</f>
        <v>0</v>
      </c>
      <c r="AH23" s="266">
        <f>IF(COUNT(AH22)=0,"",ROUND(AH15-AH22,1))</f>
        <v>0</v>
      </c>
      <c r="AI23" s="266">
        <f>IF(COUNT(AI22)=0,"",ROUND(AI15-AI22,1))</f>
        <v>0</v>
      </c>
    </row>
    <row r="24">
      <c r="C24" s="14" t="inlineStr">
        <is>
          <t xml:space="preserve">   % YoY Intelligent Cloud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0.231007246966859</v>
      </c>
      <c r="J24" s="268">
        <f>IFERROR(J20/E20-1,"")</f>
        <v>0.299454042330417</v>
      </c>
      <c r="K24" s="268">
        <f>IFERROR(K20/F20-1,"")</f>
        <v>0.302325581395349</v>
      </c>
      <c r="L24" s="268">
        <f>IFERROR(L20/G20-1,"")</f>
        <v>0.250736250941716</v>
      </c>
      <c r="M24" s="269">
        <f>IFERROR(M20/H20-1,"")</f>
        <v>0.271004338924473</v>
      </c>
      <c r="N24" s="268">
        <f>IFERROR(N20/I20-1,"")</f>
        <v>0.255920095250695</v>
      </c>
      <c r="O24" s="268">
        <f>IFERROR(O20/J20-1,"")</f>
        <v>0.203395683453237</v>
      </c>
      <c r="P24" s="268">
        <f>IFERROR(P20/K20-1,"")</f>
        <v>0.201809366130558</v>
      </c>
      <c r="Q24" s="268">
        <f>IFERROR(Q20/L20-1,"")</f>
        <v>0.177746139524696</v>
      </c>
      <c r="R24" s="269">
        <f>IFERROR(R20/M20-1,"")</f>
        <v>0.207811784178403</v>
      </c>
      <c r="S24" s="268">
        <f>IFERROR(S20/N20-1,"")</f>
        <v>0.162953599831464</v>
      </c>
      <c r="T24" s="268">
        <f>IFERROR(T20/O20-1,"")</f>
        <v>0.147496293462146</v>
      </c>
      <c r="U24" s="268">
        <f>IFERROR(U20/P20-1,"")</f>
        <v>-0.015350553505535</v>
      </c>
      <c r="V24" s="268">
        <f>IFERROR(V20/Q20-1,"")</f>
        <v>0.000790403570764431</v>
      </c>
      <c r="W24" s="269">
        <f>IFERROR(W20/R20-1,"")</f>
        <v>0.0719817934882354</v>
      </c>
      <c r="X24" s="268">
        <f>IFERROR(X20/S20-1,"")</f>
        <v>0.00271726823966301</v>
      </c>
      <c r="Y24" s="268">
        <f>IFERROR(Y20/T20-1,"")</f>
        <v>0.188471637560955</v>
      </c>
      <c r="Z24" s="268">
        <f>IFERROR(Z20/U20-1,"")</f>
        <v>0.203817518612902</v>
      </c>
      <c r="AA24" s="268">
        <f>IFERROR(AA20/V20-1,"")</f>
        <v>0.1867131242741</v>
      </c>
      <c r="AB24" s="269">
        <f>IFERROR(AB20/W20-1,"")</f>
        <v>0.144729032552618</v>
      </c>
      <c r="AC24" s="268">
        <f>IFERROR(AC20/X20-1,"")</f>
        <v>0.208211011246104</v>
      </c>
      <c r="AD24" s="268">
        <f>IFERROR(AD20/Y20-1,"")</f>
        <v>0.0477994038225496</v>
      </c>
      <c r="AE24" s="268">
        <f>IFERROR(AE20/Z20-1,"")</f>
        <v>0.282458907521169</v>
      </c>
      <c r="AF24" s="268">
        <f>IFERROR(AF20/AA20-1,"")</f>
        <v>0.28824772940808</v>
      </c>
      <c r="AG24" s="269">
        <f>IFERROR(AG20/AB20-1,"")</f>
        <v>0.200823595102301</v>
      </c>
      <c r="AH24" s="269">
        <f>IFERROR(AH20/AC20-1,"")</f>
        <v>0.296437516354529</v>
      </c>
      <c r="AI24" s="269">
        <f>IFERROR(AI20/AD20-1,"")</f>
        <v>0.315549902938617</v>
      </c>
    </row>
    <row r="25">
      <c r="C25" s="14" t="inlineStr">
        <is>
          <t xml:space="preserve">   Lucro operacional P&amp;BP</t>
        </is>
      </c>
      <c r="D25" s="265">
        <f>IFERROR(INDEX('Inputs (2)'!$D$56:$AL$56,MATCH(D$7,'Inputs (2)'!$D$2:$AL$2,0)),"")</f>
        <v>4788</v>
      </c>
      <c r="E25" s="265">
        <f>IFERROR(INDEX('Inputs (2)'!$D$56:$AL$56,MATCH(E$7,'Inputs (2)'!$D$2:$AL$2,0)),"")</f>
        <v>3972</v>
      </c>
      <c r="F25" s="265">
        <f>IFERROR(INDEX('Inputs (2)'!$D$56:$AL$56,MATCH(F$7,'Inputs (2)'!$D$2:$AL$2,0)),"")</f>
        <v>5706</v>
      </c>
      <c r="G25" s="265">
        <f>IFERROR(INDEX('Inputs (2)'!$D$56:$AL$56,MATCH(G$7,'Inputs (2)'!$D$2:$AL$2,0)),"")</f>
        <v>6181</v>
      </c>
      <c r="H25" s="266">
        <f>IF(COUNT(D25:G25)=4,SUM(D25:G25),"")</f>
        <v>20647</v>
      </c>
      <c r="I25" s="265">
        <f>IFERROR(INDEX('Inputs (2)'!$D$56:$AL$56,MATCH(I$7,'Inputs (2)'!$D$2:$AL$2,0)),"")</f>
        <v>6029</v>
      </c>
      <c r="J25" s="265">
        <f>IFERROR(INDEX('Inputs (2)'!$D$56:$AL$56,MATCH(J$7,'Inputs (2)'!$D$2:$AL$2,0)),"")</f>
        <v>6435</v>
      </c>
      <c r="K25" s="265">
        <f>IFERROR(INDEX('Inputs (2)'!$D$56:$AL$56,MATCH(K$7,'Inputs (2)'!$D$2:$AL$2,0)),"")</f>
        <v>7581</v>
      </c>
      <c r="L25" s="265">
        <f>IFERROR(INDEX('Inputs (2)'!$D$56:$AL$56,MATCH(L$7,'Inputs (2)'!$D$2:$AL$2,0)),"")</f>
        <v>7688</v>
      </c>
      <c r="M25" s="266">
        <f>IF(COUNT(I25:L25)=4,SUM(I25:L25),"")</f>
        <v>27733</v>
      </c>
      <c r="N25" s="265">
        <f>IFERROR(INDEX('Inputs (2)'!$D$56:$AL$56,MATCH(N$7,'Inputs (2)'!$D$2:$AL$2,0)),"")</f>
        <v>7185</v>
      </c>
      <c r="O25" s="265">
        <f>IFERROR(INDEX('Inputs (2)'!$D$56:$AL$56,MATCH(O$7,'Inputs (2)'!$D$2:$AL$2,0)),"")</f>
        <v>7234</v>
      </c>
      <c r="P25" s="265">
        <f>IFERROR(INDEX('Inputs (2)'!$D$56:$AL$56,MATCH(P$7,'Inputs (2)'!$D$2:$AL$2,0)),"")</f>
        <v>8323</v>
      </c>
      <c r="Q25" s="265">
        <f>IFERROR(INDEX('Inputs (2)'!$D$56:$AL$56,MATCH(Q$7,'Inputs (2)'!$D$2:$AL$2,0)),"")</f>
        <v>8175</v>
      </c>
      <c r="R25" s="266">
        <f>IF(COUNT(N25:Q25)=4,SUM(N25:Q25),"")</f>
        <v>30917</v>
      </c>
      <c r="S25" s="265">
        <f>IFERROR(INDEX('Inputs (2)'!$D$56:$AL$56,MATCH(S$7,'Inputs (2)'!$D$2:$AL$2,0)),"")</f>
        <v>8639</v>
      </c>
      <c r="T25" s="265">
        <f>IFERROR(INDEX('Inputs (2)'!$D$56:$AL$56,MATCH(T$7,'Inputs (2)'!$D$2:$AL$2,0)),"")</f>
        <v>9052</v>
      </c>
      <c r="U25" s="265">
        <f>IFERROR(INDEX('Inputs (2)'!$D$56:$AL$56,MATCH(U$7,'Inputs (2)'!$D$2:$AL$2,0)),"")</f>
        <v>14297</v>
      </c>
      <c r="V25" s="265">
        <f>IFERROR(INDEX('Inputs (2)'!$D$56:$AL$56,MATCH(V$7,'Inputs (2)'!$D$2:$AL$2,0)),"")</f>
        <v>14515</v>
      </c>
      <c r="W25" s="266">
        <f>IF(COUNT(S25:V25)=4,SUM(S25:V25),"")</f>
        <v>46503</v>
      </c>
      <c r="X25" s="265">
        <f>IFERROR(INDEX('Inputs (2)'!$D$56:$AL$56,MATCH(X$7,'Inputs (2)'!$D$2:$AL$2,0)),"")</f>
        <v>15143</v>
      </c>
      <c r="Y25" s="265">
        <f>IFERROR(INDEX('Inputs (2)'!$D$56:$AL$56,MATCH(Y$7,'Inputs (2)'!$D$2:$AL$2,0)),"")</f>
        <v>10143</v>
      </c>
      <c r="Z25" s="265">
        <f>IFERROR(INDEX('Inputs (2)'!$D$56:$AL$56,MATCH(Z$7,'Inputs (2)'!$D$2:$AL$2,0)),"")</f>
        <v>16516</v>
      </c>
      <c r="AA25" s="265">
        <f>IFERROR(INDEX('Inputs (2)'!$D$56:$AL$56,MATCH(AA$7,'Inputs (2)'!$D$2:$AL$2,0)),"")</f>
        <v>16885</v>
      </c>
      <c r="AB25" s="266">
        <f>IF(COUNT(X25:AA25)=4,SUM(X25:AA25),"")</f>
        <v>58687</v>
      </c>
      <c r="AC25" s="265">
        <f>IFERROR(INDEX('Inputs (2)'!$D$56:$AL$56,MATCH(AC$7,'Inputs (2)'!$D$2:$AL$2,0)),"")</f>
        <v>17379</v>
      </c>
      <c r="AD25" s="265">
        <f>IFERROR(INDEX('Inputs (2)'!$D$56:$AL$56,MATCH(AD$7,'Inputs (2)'!$D$2:$AL$2,0)),"")</f>
        <v>18993</v>
      </c>
      <c r="AE25" s="265">
        <f>IFERROR(INDEX('Inputs (2)'!$D$56:$AL$56,MATCH(AE$7,'Inputs (2)'!$D$2:$AL$2,0)),"")</f>
        <v>20407</v>
      </c>
      <c r="AF25" s="265">
        <f>IFERROR(INDEX('Inputs (2)'!$D$56:$AL$56,MATCH(AF$7,'Inputs (2)'!$D$2:$AL$2,0)),"")</f>
        <v>20599</v>
      </c>
      <c r="AG25" s="266">
        <f>IF(COUNT(AC25:AF25)=4,SUM(AC25:AF25),"")</f>
        <v>77378</v>
      </c>
      <c r="AH25" s="266">
        <f>IFERROR(INDEX('Inputs (2)'!$D$56:$AL$56,MATCH(AH$7,'Inputs (2)'!$D$2:$AL$2,0)),"")</f>
        <v>20973</v>
      </c>
      <c r="AI25" s="266">
        <f>IFERROR(INDEX('Inputs (2)'!$D$56:$AL$56,MATCH(AI$7,'Inputs (2)'!$D$2:$AL$2,0)),"")</f>
        <v>21900</v>
      </c>
    </row>
    <row r="26">
      <c r="C26" s="14" t="inlineStr">
        <is>
          <t xml:space="preserve">   Lucro operacional Intelligent Cloud</t>
        </is>
      </c>
      <c r="D26" s="265">
        <f>IFERROR(INDEX('Inputs (2)'!$D$57:$AL$57,MATCH(D$7,'Inputs (2)'!$D$2:$AL$2,0)),"")</f>
        <v>4560</v>
      </c>
      <c r="E26" s="265">
        <f>IFERROR(INDEX('Inputs (2)'!$D$57:$AL$57,MATCH(E$7,'Inputs (2)'!$D$2:$AL$2,0)),"")</f>
        <v>5344</v>
      </c>
      <c r="F26" s="265">
        <f>IFERROR(INDEX('Inputs (2)'!$D$57:$AL$57,MATCH(F$7,'Inputs (2)'!$D$2:$AL$2,0)),"")</f>
        <v>5422</v>
      </c>
      <c r="G26" s="265">
        <f>IFERROR(INDEX('Inputs (2)'!$D$57:$AL$57,MATCH(G$7,'Inputs (2)'!$D$2:$AL$2,0)),"")</f>
        <v>6492</v>
      </c>
      <c r="H26" s="266">
        <f>IF(COUNT(D26:G26)=4,SUM(D26:G26),"")</f>
        <v>21818</v>
      </c>
      <c r="I26" s="265">
        <f>IFERROR(INDEX('Inputs (2)'!$D$57:$AL$57,MATCH(I$7,'Inputs (2)'!$D$2:$AL$2,0)),"")</f>
        <v>6425</v>
      </c>
      <c r="J26" s="265">
        <f>IFERROR(INDEX('Inputs (2)'!$D$57:$AL$57,MATCH(J$7,'Inputs (2)'!$D$2:$AL$2,0)),"")</f>
        <v>7787</v>
      </c>
      <c r="K26" s="265">
        <f>IFERROR(INDEX('Inputs (2)'!$D$57:$AL$57,MATCH(K$7,'Inputs (2)'!$D$2:$AL$2,0)),"")</f>
        <v>7681</v>
      </c>
      <c r="L26" s="265">
        <f>IFERROR(INDEX('Inputs (2)'!$D$57:$AL$57,MATCH(L$7,'Inputs (2)'!$D$2:$AL$2,0)),"")</f>
        <v>8323</v>
      </c>
      <c r="M26" s="266">
        <f>IF(COUNT(I26:L26)=4,SUM(I26:L26),"")</f>
        <v>30216</v>
      </c>
      <c r="N26" s="265">
        <f>IFERROR(INDEX('Inputs (2)'!$D$57:$AL$57,MATCH(N$7,'Inputs (2)'!$D$2:$AL$2,0)),"")</f>
        <v>8391</v>
      </c>
      <c r="O26" s="265">
        <f>IFERROR(INDEX('Inputs (2)'!$D$57:$AL$57,MATCH(O$7,'Inputs (2)'!$D$2:$AL$2,0)),"")</f>
        <v>8681</v>
      </c>
      <c r="P26" s="265">
        <f>IFERROR(INDEX('Inputs (2)'!$D$57:$AL$57,MATCH(P$7,'Inputs (2)'!$D$2:$AL$2,0)),"")</f>
        <v>8978</v>
      </c>
      <c r="Q26" s="265">
        <f>IFERROR(INDEX('Inputs (2)'!$D$57:$AL$57,MATCH(Q$7,'Inputs (2)'!$D$2:$AL$2,0)),"")</f>
        <v>8904</v>
      </c>
      <c r="R26" s="266">
        <f>IF(COUNT(N26:Q26)=4,SUM(N26:Q26),"")</f>
        <v>34954</v>
      </c>
      <c r="S26" s="265">
        <f>IFERROR(INDEX('Inputs (2)'!$D$57:$AL$57,MATCH(S$7,'Inputs (2)'!$D$2:$AL$2,0)),"")</f>
        <v>9476</v>
      </c>
      <c r="T26" s="265">
        <f>IFERROR(INDEX('Inputs (2)'!$D$57:$AL$57,MATCH(T$7,'Inputs (2)'!$D$2:$AL$2,0)),"")</f>
        <v>10526</v>
      </c>
      <c r="U26" s="265">
        <f>IFERROR(INDEX('Inputs (2)'!$D$57:$AL$57,MATCH(U$7,'Inputs (2)'!$D$2:$AL$2,0)),"")</f>
        <v>8908</v>
      </c>
      <c r="V26" s="265">
        <f>IFERROR(INDEX('Inputs (2)'!$D$57:$AL$57,MATCH(V$7,'Inputs (2)'!$D$2:$AL$2,0)),"")</f>
        <v>9555</v>
      </c>
      <c r="W26" s="266">
        <f>IF(COUNT(S26:V26)=4,SUM(S26:V26),"")</f>
        <v>38465</v>
      </c>
      <c r="X26" s="265">
        <f>IFERROR(INDEX('Inputs (2)'!$D$57:$AL$57,MATCH(X$7,'Inputs (2)'!$D$2:$AL$2,0)),"")</f>
        <v>9515</v>
      </c>
      <c r="Y26" s="265">
        <f>IFERROR(INDEX('Inputs (2)'!$D$57:$AL$57,MATCH(Y$7,'Inputs (2)'!$D$2:$AL$2,0)),"")</f>
        <v>12859</v>
      </c>
      <c r="Z26" s="265">
        <f>IFERROR(INDEX('Inputs (2)'!$D$57:$AL$57,MATCH(Z$7,'Inputs (2)'!$D$2:$AL$2,0)),"")</f>
        <v>10503</v>
      </c>
      <c r="AA26" s="265">
        <f>IFERROR(INDEX('Inputs (2)'!$D$57:$AL$57,MATCH(AA$7,'Inputs (2)'!$D$2:$AL$2,0)),"")</f>
        <v>10851</v>
      </c>
      <c r="AB26" s="266">
        <f>IF(COUNT(X26:AA26)=4,SUM(X26:AA26),"")</f>
        <v>43728</v>
      </c>
      <c r="AC26" s="265">
        <f>IFERROR(INDEX('Inputs (2)'!$D$57:$AL$57,MATCH(AC$7,'Inputs (2)'!$D$2:$AL$2,0)),"")</f>
        <v>11095</v>
      </c>
      <c r="AD26" s="265">
        <f>IFERROR(INDEX('Inputs (2)'!$D$57:$AL$57,MATCH(AD$7,'Inputs (2)'!$D$2:$AL$2,0)),"")</f>
        <v>12140</v>
      </c>
      <c r="AE26" s="265">
        <f>IFERROR(INDEX('Inputs (2)'!$D$57:$AL$57,MATCH(AE$7,'Inputs (2)'!$D$2:$AL$2,0)),"")</f>
        <v>13391</v>
      </c>
      <c r="AF26" s="265">
        <f>IFERROR(INDEX('Inputs (2)'!$D$57:$AL$57,MATCH(AF$7,'Inputs (2)'!$D$2:$AL$2,0)),"")</f>
        <v>13873</v>
      </c>
      <c r="AG26" s="266">
        <f>IF(COUNT(AC26:AF26)=4,SUM(AC26:AF26),"")</f>
        <v>50499</v>
      </c>
      <c r="AH26" s="266">
        <f>IFERROR(INDEX('Inputs (2)'!$D$57:$AL$57,MATCH(AH$7,'Inputs (2)'!$D$2:$AL$2,0)),"")</f>
        <v>13753</v>
      </c>
      <c r="AI26" s="266">
        <f>IFERROR(INDEX('Inputs (2)'!$D$57:$AL$57,MATCH(AI$7,'Inputs (2)'!$D$2:$AL$2,0)),"")</f>
        <v>15955</v>
      </c>
    </row>
    <row r="27">
      <c r="C27" s="14" t="inlineStr">
        <is>
          <t xml:space="preserve">   Lucro operacional MPC</t>
        </is>
      </c>
      <c r="D27" s="265">
        <f>IFERROR(INDEX('Inputs (2)'!$D$58:$AL$58,MATCH(D$7,'Inputs (2)'!$D$2:$AL$2,0)),"")</f>
        <v>3627</v>
      </c>
      <c r="E27" s="265">
        <f>IFERROR(INDEX('Inputs (2)'!$D$58:$AL$58,MATCH(E$7,'Inputs (2)'!$D$2:$AL$2,0)),"")</f>
        <v>4091</v>
      </c>
      <c r="F27" s="265">
        <f>IFERROR(INDEX('Inputs (2)'!$D$58:$AL$58,MATCH(F$7,'Inputs (2)'!$D$2:$AL$2,0)),"")</f>
        <v>4748</v>
      </c>
      <c r="G27" s="265">
        <f>IFERROR(INDEX('Inputs (2)'!$D$58:$AL$58,MATCH(G$7,'Inputs (2)'!$D$2:$AL$2,0)),"")</f>
        <v>5224</v>
      </c>
      <c r="H27" s="266">
        <f>IF(COUNT(D27:G27)=4,SUM(D27:G27),"")</f>
        <v>17690</v>
      </c>
      <c r="I27" s="265">
        <f>IFERROR(INDEX('Inputs (2)'!$D$58:$AL$58,MATCH(I$7,'Inputs (2)'!$D$2:$AL$2,0)),"")</f>
        <v>4594</v>
      </c>
      <c r="J27" s="265">
        <f>IFERROR(INDEX('Inputs (2)'!$D$58:$AL$58,MATCH(J$7,'Inputs (2)'!$D$2:$AL$2,0)),"")</f>
        <v>4873</v>
      </c>
      <c r="K27" s="265">
        <f>IFERROR(INDEX('Inputs (2)'!$D$58:$AL$58,MATCH(K$7,'Inputs (2)'!$D$2:$AL$2,0)),"")</f>
        <v>4976</v>
      </c>
      <c r="L27" s="265">
        <f>IFERROR(INDEX('Inputs (2)'!$D$58:$AL$58,MATCH(L$7,'Inputs (2)'!$D$2:$AL$2,0)),"")</f>
        <v>6236</v>
      </c>
      <c r="M27" s="266">
        <f>IF(COUNT(I27:L27)=4,SUM(I27:L27),"")</f>
        <v>20679</v>
      </c>
      <c r="N27" s="265">
        <f>IFERROR(INDEX('Inputs (2)'!$D$58:$AL$58,MATCH(N$7,'Inputs (2)'!$D$2:$AL$2,0)),"")</f>
        <v>4788</v>
      </c>
      <c r="O27" s="265">
        <f>IFERROR(INDEX('Inputs (2)'!$D$58:$AL$58,MATCH(O$7,'Inputs (2)'!$D$2:$AL$2,0)),"")</f>
        <v>4619</v>
      </c>
      <c r="P27" s="265">
        <f>IFERROR(INDEX('Inputs (2)'!$D$58:$AL$58,MATCH(P$7,'Inputs (2)'!$D$2:$AL$2,0)),"")</f>
        <v>4217</v>
      </c>
      <c r="Q27" s="265">
        <f>IFERROR(INDEX('Inputs (2)'!$D$58:$AL$58,MATCH(Q$7,'Inputs (2)'!$D$2:$AL$2,0)),"")</f>
        <v>3320</v>
      </c>
      <c r="R27" s="266">
        <f>IF(COUNT(N27:Q27)=4,SUM(N27:Q27),"")</f>
        <v>16944</v>
      </c>
      <c r="S27" s="265">
        <f>IFERROR(INDEX('Inputs (2)'!$D$58:$AL$58,MATCH(S$7,'Inputs (2)'!$D$2:$AL$2,0)),"")</f>
        <v>4237</v>
      </c>
      <c r="T27" s="265">
        <f>IFERROR(INDEX('Inputs (2)'!$D$58:$AL$58,MATCH(T$7,'Inputs (2)'!$D$2:$AL$2,0)),"")</f>
        <v>4676</v>
      </c>
      <c r="U27" s="265">
        <f>IFERROR(INDEX('Inputs (2)'!$D$58:$AL$58,MATCH(U$7,'Inputs (2)'!$D$2:$AL$2,0)),"")</f>
        <v>3690</v>
      </c>
      <c r="V27" s="265">
        <f>IFERROR(INDEX('Inputs (2)'!$D$58:$AL$58,MATCH(V$7,'Inputs (2)'!$D$2:$AL$2,0)),"")</f>
        <v>2962</v>
      </c>
      <c r="W27" s="266">
        <f>IF(COUNT(S27:V27)=4,SUM(S27:V27),"")</f>
        <v>15565</v>
      </c>
      <c r="X27" s="265">
        <f>IFERROR(INDEX('Inputs (2)'!$D$58:$AL$58,MATCH(X$7,'Inputs (2)'!$D$2:$AL$2,0)),"")</f>
        <v>2923</v>
      </c>
      <c r="Y27" s="265">
        <f>IFERROR(INDEX('Inputs (2)'!$D$58:$AL$58,MATCH(Y$7,'Inputs (2)'!$D$2:$AL$2,0)),"")</f>
        <v>4923</v>
      </c>
      <c r="Z27" s="265">
        <f>IFERROR(INDEX('Inputs (2)'!$D$58:$AL$58,MATCH(Z$7,'Inputs (2)'!$D$2:$AL$2,0)),"")</f>
        <v>3533</v>
      </c>
      <c r="AA27" s="265">
        <f>IFERROR(INDEX('Inputs (2)'!$D$58:$AL$58,MATCH(AA$7,'Inputs (2)'!$D$2:$AL$2,0)),"")</f>
        <v>3917</v>
      </c>
      <c r="AB27" s="266">
        <f>IF(COUNT(X27:AA27)=4,SUM(X27:AA27),"")</f>
        <v>15296</v>
      </c>
      <c r="AC27" s="265">
        <f>IFERROR(INDEX('Inputs (2)'!$D$58:$AL$58,MATCH(AC$7,'Inputs (2)'!$D$2:$AL$2,0)),"")</f>
        <v>3526</v>
      </c>
      <c r="AD27" s="265">
        <f>IFERROR(INDEX('Inputs (2)'!$D$58:$AL$58,MATCH(AD$7,'Inputs (2)'!$D$2:$AL$2,0)),"")</f>
        <v>3190</v>
      </c>
      <c r="AE27" s="265">
        <f>IFERROR(INDEX('Inputs (2)'!$D$58:$AL$58,MATCH(AE$7,'Inputs (2)'!$D$2:$AL$2,0)),"")</f>
        <v>4163</v>
      </c>
      <c r="AF27" s="265">
        <f>IFERROR(INDEX('Inputs (2)'!$D$58:$AL$58,MATCH(AF$7,'Inputs (2)'!$D$2:$AL$2,0)),"")</f>
        <v>3803</v>
      </c>
      <c r="AG27" s="266">
        <f>IF(COUNT(AC27:AF27)=4,SUM(AC27:AF27),"")</f>
        <v>14682</v>
      </c>
      <c r="AH27" s="266">
        <f>IFERROR(INDEX('Inputs (2)'!$D$58:$AL$58,MATCH(AH$7,'Inputs (2)'!$D$2:$AL$2,0)),"")</f>
        <v>3672</v>
      </c>
      <c r="AI27" s="266">
        <f>IFERROR(INDEX('Inputs (2)'!$D$58:$AL$58,MATCH(AI$7,'Inputs (2)'!$D$2:$AL$2,0)),"")</f>
        <v>2748</v>
      </c>
    </row>
    <row r="28">
      <c r="C28" s="14" t="inlineStr">
        <is>
          <t xml:space="preserve">   Margem operacional P&amp;BP</t>
        </is>
      </c>
      <c r="D28" s="268">
        <f>IFERROR(D25/D19,"")</f>
        <v>0.407732266030827</v>
      </c>
      <c r="E28" s="268">
        <f>IFERROR(E25/E19,"")</f>
        <v>0.337985023825732</v>
      </c>
      <c r="F28" s="268">
        <f>IFERROR(F25/F19,"")</f>
        <v>0.463186946992451</v>
      </c>
      <c r="G28" s="268">
        <f>IFERROR(G25/G19,"")</f>
        <v>0.462892233954917</v>
      </c>
      <c r="H28" s="269">
        <f>IFERROR(H25/H19,"")</f>
        <v>0.419936136026196</v>
      </c>
      <c r="I28" s="268">
        <f>IFERROR(I25/I19,"")</f>
        <v>0.444878984651712</v>
      </c>
      <c r="J28" s="268">
        <f>IFERROR(J25/J19,"")</f>
        <v>0.438023279558914</v>
      </c>
      <c r="K28" s="268">
        <f>IFERROR(K25/K19,"")</f>
        <v>0.504089367644125</v>
      </c>
      <c r="L28" s="268">
        <f>IFERROR(L25/L19,"")</f>
        <v>0.482429718875502</v>
      </c>
      <c r="M28" s="269">
        <f>IFERROR(M25/M19,"")</f>
        <v>0.468320443108514</v>
      </c>
      <c r="N28" s="268">
        <f>IFERROR(N25/N19,"")</f>
        <v>0.455063651909557</v>
      </c>
      <c r="O28" s="268">
        <f>IFERROR(O25/O19,"")</f>
        <v>0.43578313253012</v>
      </c>
      <c r="P28" s="268">
        <f>IFERROR(P25/P19,"")</f>
        <v>0.505496507743699</v>
      </c>
      <c r="Q28" s="268">
        <f>IFERROR(Q25/Q19,"")</f>
        <v>0.480825785201741</v>
      </c>
      <c r="R28" s="269">
        <f>IFERROR(R25/R19,"")</f>
        <v>0.469463678328474</v>
      </c>
      <c r="S28" s="268">
        <f>IFERROR(S25/S19,"")</f>
        <v>0.493206211463805</v>
      </c>
      <c r="T28" s="268">
        <f>IFERROR(T25/T19,"")</f>
        <v>0.494888196380734</v>
      </c>
      <c r="U28" s="268">
        <f>IFERROR(U25/U19,"")</f>
        <v>0.566756521049711</v>
      </c>
      <c r="V28" s="268">
        <f>IFERROR(V25/V19,"")</f>
        <v>0.561421830277713</v>
      </c>
      <c r="W28" s="269">
        <f>IFERROR(W25/W19,"")</f>
        <v>0.535212402315651</v>
      </c>
      <c r="X28" s="268">
        <f>IFERROR(X25/X19,"")</f>
        <v>0.558514365802383</v>
      </c>
      <c r="Y28" s="268">
        <f>IFERROR(Y25/Y19,"")</f>
        <v>0.499237092090368</v>
      </c>
      <c r="Z28" s="268">
        <f>IFERROR(Z25/Z19,"")</f>
        <v>0.583253875763676</v>
      </c>
      <c r="AA28" s="268">
        <f>IFERROR(AA25/AA19,"")</f>
        <v>0.57359785304209</v>
      </c>
      <c r="AB28" s="269">
        <f>IFERROR(AB25/AB19,"")</f>
        <v>0.557946075448737</v>
      </c>
      <c r="AC28" s="268">
        <f>IFERROR(AC25/AC19,"")</f>
        <v>0.580383382313652</v>
      </c>
      <c r="AD28" s="268">
        <f>IFERROR(AD25/AD19,"")</f>
        <v>0.573598695337038</v>
      </c>
      <c r="AE28" s="268">
        <f>IFERROR(AE25/AE19,"")</f>
        <v>0.618019382192611</v>
      </c>
      <c r="AF28" s="268">
        <f>IFERROR(AF25/AF19,"")</f>
        <v>0.603792941728221</v>
      </c>
      <c r="AG28" s="269">
        <f>IFERROR(AG25/AG19,"")</f>
        <v>0.594337593707755</v>
      </c>
      <c r="AH28" s="269">
        <f>IFERROR(AH25/AH19,"")</f>
        <v>0.599006083454717</v>
      </c>
      <c r="AI28" s="269">
        <f>IFERROR(AI25/AI19,"")</f>
        <v>0.578645599387006</v>
      </c>
    </row>
    <row r="29">
      <c r="C29" s="14" t="inlineStr">
        <is>
          <t xml:space="preserve">   Margem operacional Intelligent Cloud</t>
        </is>
      </c>
      <c r="D29" s="268">
        <f>IFERROR(D26/D20,"")</f>
        <v>0.371305268300627</v>
      </c>
      <c r="E29" s="268">
        <f>IFERROR(E26/E20,"")</f>
        <v>0.399670929623813</v>
      </c>
      <c r="F29" s="268">
        <f>IFERROR(F26/F20,"")</f>
        <v>0.417526567072232</v>
      </c>
      <c r="G29" s="268">
        <f>IFERROR(G26/G20,"")</f>
        <v>0.444627080336963</v>
      </c>
      <c r="H29" s="269">
        <f>IFERROR(H26/H20,"")</f>
        <v>0.409812355603975</v>
      </c>
      <c r="I29" s="268">
        <f>IFERROR(I26/I20,"")</f>
        <v>0.424990078052653</v>
      </c>
      <c r="J29" s="268">
        <f>IFERROR(J26/J20,"")</f>
        <v>0.448172661870504</v>
      </c>
      <c r="K29" s="268">
        <f>IFERROR(K26/K20,"")</f>
        <v>0.454174550614948</v>
      </c>
      <c r="L29" s="268">
        <f>IFERROR(L26/L20,"")</f>
        <v>0.455755119921148</v>
      </c>
      <c r="M29" s="269">
        <f>IFERROR(M26/M20,"")</f>
        <v>0.446539672218363</v>
      </c>
      <c r="N29" s="268">
        <f>IFERROR(N26/N20,"")</f>
        <v>0.441933954811187</v>
      </c>
      <c r="O29" s="268">
        <f>IFERROR(O26/O20,"")</f>
        <v>0.415180066000287</v>
      </c>
      <c r="P29" s="268">
        <f>IFERROR(P26/P20,"")</f>
        <v>0.441722017220172</v>
      </c>
      <c r="Q29" s="268">
        <f>IFERROR(Q26/Q20,"")</f>
        <v>0.41398549376976</v>
      </c>
      <c r="R29" s="269">
        <f>IFERROR(R26/R20,"")</f>
        <v>0.427681728639773</v>
      </c>
      <c r="S29" s="268">
        <f>IFERROR(S26/S20,"")</f>
        <v>0.429147230650786</v>
      </c>
      <c r="T29" s="268">
        <f>IFERROR(T26/T20,"")</f>
        <v>0.438711290793148</v>
      </c>
      <c r="U29" s="268">
        <f>IFERROR(U26/U20,"")</f>
        <v>0.445110678059261</v>
      </c>
      <c r="V29" s="268">
        <f>IFERROR(V26/V20,"")</f>
        <v>0.44390243902439</v>
      </c>
      <c r="W29" s="269">
        <f>IFERROR(W26/W20,"")</f>
        <v>0.439038031319911</v>
      </c>
      <c r="X29" s="268">
        <f>IFERROR(X26/X20,"")</f>
        <v>0.429745720608825</v>
      </c>
      <c r="Y29" s="268">
        <f>IFERROR(Y26/Y20,"")</f>
        <v>0.450955637383833</v>
      </c>
      <c r="Z29" s="268">
        <f>IFERROR(Z26/Z20,"")</f>
        <v>0.435953843599535</v>
      </c>
      <c r="AA29" s="268">
        <f>IFERROR(AA26/AA20,"")</f>
        <v>0.424796429689947</v>
      </c>
      <c r="AB29" s="269">
        <f>IFERROR(AB26/AB20,"")</f>
        <v>0.436006859968891</v>
      </c>
      <c r="AC29" s="268">
        <f>IFERROR(AC26/AC20,"")</f>
        <v>0.414750850435498</v>
      </c>
      <c r="AD29" s="268">
        <f>IFERROR(AD26/AD20,"")</f>
        <v>0.406319030724948</v>
      </c>
      <c r="AE29" s="268">
        <f>IFERROR(AE26/AE20,"")</f>
        <v>0.433407774217562</v>
      </c>
      <c r="AF29" s="268">
        <f>IFERROR(AF26/AF20,"")</f>
        <v>0.421582034217644</v>
      </c>
      <c r="AG29" s="269">
        <f>IFERROR(AG26/AG20,"")</f>
        <v>0.419311982596132</v>
      </c>
      <c r="AH29" s="269">
        <f>IFERROR(AH26/AH20,"")</f>
        <v>0.396557192699172</v>
      </c>
      <c r="AI29" s="269">
        <f>IFERROR(AI26/AI20,"")</f>
        <v>0.4059176716023</v>
      </c>
    </row>
    <row r="30">
      <c r="C30" s="14" t="inlineStr">
        <is>
          <t xml:space="preserve">   Margem operacional MPC</t>
        </is>
      </c>
      <c r="D30" s="268">
        <f>IFERROR(D27/D21,"")</f>
        <v>0.329817222878967</v>
      </c>
      <c r="E30" s="268">
        <f>IFERROR(E27/E21,"")</f>
        <v>0.316886134779241</v>
      </c>
      <c r="F30" s="268">
        <f>IFERROR(F27/F21,"")</f>
        <v>0.400708920584016</v>
      </c>
      <c r="G30" s="268">
        <f>IFERROR(G27/G21,"")</f>
        <v>0.345456950138871</v>
      </c>
      <c r="H30" s="269">
        <f>IFERROR(H27/H21,"")</f>
        <v>0.347694484846102</v>
      </c>
      <c r="I30" s="268">
        <f>IFERROR(I27/I21,"")</f>
        <v>0.352408714329549</v>
      </c>
      <c r="J30" s="268">
        <f>IFERROR(J27/J21,"")</f>
        <v>0.345946329689053</v>
      </c>
      <c r="K30" s="268">
        <f>IFERROR(K27/K21,"")</f>
        <v>0.372287894658088</v>
      </c>
      <c r="L30" s="268">
        <f>IFERROR(L27/L21,"")</f>
        <v>0.355733029092983</v>
      </c>
      <c r="M30" s="269">
        <f>IFERROR(M27/M21,"")</f>
        <v>0.356423868454618</v>
      </c>
      <c r="N30" s="268">
        <f>IFERROR(N27/N21,"")</f>
        <v>0.328304991771805</v>
      </c>
      <c r="O30" s="268">
        <f>IFERROR(O27/O21,"")</f>
        <v>0.321747004736696</v>
      </c>
      <c r="P30" s="268">
        <f>IFERROR(P27/P21,"")</f>
        <v>0.316306630663066</v>
      </c>
      <c r="Q30" s="268">
        <f>IFERROR(Q27/Q21,"")</f>
        <v>0.233195195617054</v>
      </c>
      <c r="R30" s="269">
        <f>IFERROR(R27/R21,"")</f>
        <v>0.299846042223363</v>
      </c>
      <c r="S30" s="268">
        <f>IFERROR(S27/S21,"")</f>
        <v>0.319532428355958</v>
      </c>
      <c r="T30" s="268">
        <f>IFERROR(T27/T21,"")</f>
        <v>0.336281912980942</v>
      </c>
      <c r="U30" s="268">
        <f>IFERROR(U27/U21,"")</f>
        <v>0.327185671218301</v>
      </c>
      <c r="V30" s="268">
        <f>IFERROR(V27/V21,"")</f>
        <v>0.202308585479134</v>
      </c>
      <c r="W30" s="269">
        <f>IFERROR(W27/W21,"")</f>
        <v>0.293214527918017</v>
      </c>
      <c r="X30" s="268">
        <f>IFERROR(X27/X21,"")</f>
        <v>0.231910504601714</v>
      </c>
      <c r="Y30" s="268">
        <f>IFERROR(Y27/Y21,"")</f>
        <v>0.309720037747719</v>
      </c>
      <c r="Z30" s="268">
        <f>IFERROR(Z27/Z21,"")</f>
        <v>0.268139040680024</v>
      </c>
      <c r="AA30" s="268">
        <f>IFERROR(AA27/AA21,"")</f>
        <v>0.267353764248174</v>
      </c>
      <c r="AB30" s="269">
        <f>IFERROR(AB27/AB21,"")</f>
        <v>0.271561978482406</v>
      </c>
      <c r="AC30" s="268">
        <f>IFERROR(AC27/AC21,"")</f>
        <v>0.263705033280981</v>
      </c>
      <c r="AD30" s="268">
        <f>IFERROR(AD27/AD21,"")</f>
        <v>0.237157088692291</v>
      </c>
      <c r="AE30" s="268">
        <f>IFERROR(AE27/AE21,"")</f>
        <v>0.302631578947368</v>
      </c>
      <c r="AF30" s="268">
        <f>IFERROR(AF27/AF21,"")</f>
        <v>0.266877192982456</v>
      </c>
      <c r="AG30" s="269">
        <f>IFERROR(AG27/AG21,"")</f>
        <v>0.267782884657474</v>
      </c>
      <c r="AH30" s="269">
        <f>IFERROR(AH27/AH21,"")</f>
        <v>0.278350515463918</v>
      </c>
      <c r="AI30" s="269">
        <f>IFERROR(AI27/AI21,"")</f>
        <v>0.213785592033608</v>
      </c>
    </row>
    <row r="31"/>
    <row r="32">
      <c r="C32" s="12" t="inlineStr">
        <is>
          <t>Linhas de produto (USD milhões)</t>
        </is>
      </c>
      <c r="D32" s="12" t="str">
        <f>D7</f>
        <v>1Q20</v>
      </c>
      <c r="E32" s="12" t="str">
        <f>E7</f>
        <v>2Q20</v>
      </c>
      <c r="F32" s="12" t="str">
        <f>F7</f>
        <v>3Q20</v>
      </c>
      <c r="G32" s="12" t="str">
        <f>G7</f>
        <v>4Q20</v>
      </c>
      <c r="H32" s="12">
        <f>H7</f>
        <v>2020</v>
      </c>
      <c r="I32" s="12" t="str">
        <f>I7</f>
        <v>1Q21</v>
      </c>
      <c r="J32" s="12" t="str">
        <f>J7</f>
        <v>2Q21</v>
      </c>
      <c r="K32" s="12" t="str">
        <f>K7</f>
        <v>3Q21</v>
      </c>
      <c r="L32" s="12" t="str">
        <f>L7</f>
        <v>4Q21</v>
      </c>
      <c r="M32" s="12">
        <f>M7</f>
        <v>2021</v>
      </c>
      <c r="N32" s="12" t="str">
        <f>N7</f>
        <v>1Q22</v>
      </c>
      <c r="O32" s="12" t="str">
        <f>O7</f>
        <v>2Q22</v>
      </c>
      <c r="P32" s="12" t="str">
        <f>P7</f>
        <v>3Q22</v>
      </c>
      <c r="Q32" s="12" t="str">
        <f>Q7</f>
        <v>4Q22</v>
      </c>
      <c r="R32" s="12">
        <f>R7</f>
        <v>2022</v>
      </c>
      <c r="S32" s="12" t="str">
        <f>S7</f>
        <v>1Q23</v>
      </c>
      <c r="T32" s="12" t="str">
        <f>T7</f>
        <v>2Q23</v>
      </c>
      <c r="U32" s="12" t="str">
        <f>U7</f>
        <v>3Q23</v>
      </c>
      <c r="V32" s="12" t="str">
        <f>V7</f>
        <v>4Q23</v>
      </c>
      <c r="W32" s="12">
        <f>W7</f>
        <v>2023</v>
      </c>
      <c r="X32" s="12" t="str">
        <f>X7</f>
        <v>1Q24</v>
      </c>
      <c r="Y32" s="12" t="str">
        <f>Y7</f>
        <v>2Q24</v>
      </c>
      <c r="Z32" s="12" t="str">
        <f>Z7</f>
        <v>3Q24</v>
      </c>
      <c r="AA32" s="12" t="str">
        <f>AA7</f>
        <v>4Q24</v>
      </c>
      <c r="AB32" s="12">
        <f>AB7</f>
        <v>2024</v>
      </c>
      <c r="AC32" s="12" t="str">
        <f>AC7</f>
        <v>1Q25</v>
      </c>
      <c r="AD32" s="12" t="str">
        <f>AD7</f>
        <v>2Q25</v>
      </c>
      <c r="AE32" s="12" t="str">
        <f>AE7</f>
        <v>3Q25</v>
      </c>
      <c r="AF32" s="12" t="str">
        <f>AF7</f>
        <v>4Q25</v>
      </c>
      <c r="AG32" s="12">
        <f>AG7</f>
        <v>2025</v>
      </c>
      <c r="AH32" s="12" t="str">
        <f>AH7</f>
        <v>1Q26</v>
      </c>
      <c r="AI32" s="12" t="str">
        <f>AI7</f>
        <v>2Q26</v>
      </c>
    </row>
    <row r="33">
      <c r="C33" s="267" t="inlineStr">
        <is>
          <t>Microsoft Cloud</t>
        </is>
      </c>
      <c r="D33" s="265">
        <f>IFERROR(INDEX('Inputs (2)'!$D$59:$AL$59,MATCH(D$7,'Inputs (2)'!$D$2:$AL$2,0)),"")</f>
        <v>13300</v>
      </c>
      <c r="E33" s="265">
        <f>IFERROR(INDEX('Inputs (2)'!$D$59:$AL$59,MATCH(E$7,'Inputs (2)'!$D$2:$AL$2,0)),"")</f>
        <v>14300</v>
      </c>
      <c r="F33" s="265">
        <f>IFERROR(INDEX('Inputs (2)'!$D$59:$AL$59,MATCH(F$7,'Inputs (2)'!$D$2:$AL$2,0)),"")</f>
        <v>15200</v>
      </c>
      <c r="G33" s="265">
        <f>IFERROR(INDEX('Inputs (2)'!$D$59:$AL$59,MATCH(G$7,'Inputs (2)'!$D$2:$AL$2,0)),"")</f>
        <v>16700</v>
      </c>
      <c r="H33" s="266">
        <f>IF(COUNT(D33:G33)=4,SUM(D33:G33),"")</f>
        <v>59500</v>
      </c>
      <c r="I33" s="265">
        <f>IFERROR(INDEX('Inputs (2)'!$D$59:$AL$59,MATCH(I$7,'Inputs (2)'!$D$2:$AL$2,0)),"")</f>
        <v>17700</v>
      </c>
      <c r="J33" s="265">
        <f>IFERROR(INDEX('Inputs (2)'!$D$59:$AL$59,MATCH(J$7,'Inputs (2)'!$D$2:$AL$2,0)),"")</f>
        <v>19500</v>
      </c>
      <c r="K33" s="265">
        <f>IFERROR(INDEX('Inputs (2)'!$D$59:$AL$59,MATCH(K$7,'Inputs (2)'!$D$2:$AL$2,0)),"")</f>
        <v>20700</v>
      </c>
      <c r="L33" s="265">
        <f>IFERROR(INDEX('Inputs (2)'!$D$59:$AL$59,MATCH(L$7,'Inputs (2)'!$D$2:$AL$2,0)),"")</f>
        <v>22200</v>
      </c>
      <c r="M33" s="266">
        <f>IF(COUNT(I33:L33)=4,SUM(I33:L33),"")</f>
        <v>80100</v>
      </c>
      <c r="N33" s="265">
        <f>IFERROR(INDEX('Inputs (2)'!$D$59:$AL$59,MATCH(N$7,'Inputs (2)'!$D$2:$AL$2,0)),"")</f>
        <v>23400</v>
      </c>
      <c r="O33" s="265">
        <f>IFERROR(INDEX('Inputs (2)'!$D$59:$AL$59,MATCH(O$7,'Inputs (2)'!$D$2:$AL$2,0)),"")</f>
        <v>25000</v>
      </c>
      <c r="P33" s="265">
        <f>IFERROR(INDEX('Inputs (2)'!$D$59:$AL$59,MATCH(P$7,'Inputs (2)'!$D$2:$AL$2,0)),"")</f>
        <v>25700</v>
      </c>
      <c r="Q33" s="265">
        <f>IFERROR(INDEX('Inputs (2)'!$D$59:$AL$59,MATCH(Q$7,'Inputs (2)'!$D$2:$AL$2,0)),"")</f>
        <v>27100</v>
      </c>
      <c r="R33" s="266">
        <f>IF(COUNT(N33:Q33)=4,SUM(N33:Q33),"")</f>
        <v>101200</v>
      </c>
      <c r="S33" s="265">
        <f>IFERROR(INDEX('Inputs (2)'!$D$59:$AL$59,MATCH(S$7,'Inputs (2)'!$D$2:$AL$2,0)),"")</f>
        <v>28500</v>
      </c>
      <c r="T33" s="265">
        <f>IFERROR(INDEX('Inputs (2)'!$D$59:$AL$59,MATCH(T$7,'Inputs (2)'!$D$2:$AL$2,0)),"")</f>
        <v>30300</v>
      </c>
      <c r="U33" s="265">
        <f>IFERROR(INDEX('Inputs (2)'!$D$59:$AL$59,MATCH(U$7,'Inputs (2)'!$D$2:$AL$2,0)),"")</f>
        <v>31900</v>
      </c>
      <c r="V33" s="265">
        <f>IFERROR(INDEX('Inputs (2)'!$D$59:$AL$59,MATCH(V$7,'Inputs (2)'!$D$2:$AL$2,0)),"")</f>
        <v>33700</v>
      </c>
      <c r="W33" s="266">
        <f>IF(COUNT(S33:V33)=4,SUM(S33:V33),"")</f>
        <v>124400</v>
      </c>
      <c r="X33" s="265">
        <f>IFERROR(INDEX('Inputs (2)'!$D$59:$AL$59,MATCH(X$7,'Inputs (2)'!$D$2:$AL$2,0)),"")</f>
        <v>35200</v>
      </c>
      <c r="Y33" s="265">
        <f>IFERROR(INDEX('Inputs (2)'!$D$59:$AL$59,MATCH(Y$7,'Inputs (2)'!$D$2:$AL$2,0)),"")</f>
        <v>36800</v>
      </c>
      <c r="Z33" s="265">
        <f>IFERROR(INDEX('Inputs (2)'!$D$59:$AL$59,MATCH(Z$7,'Inputs (2)'!$D$2:$AL$2,0)),"")</f>
        <v>38900</v>
      </c>
      <c r="AA33" s="265">
        <f>IFERROR(INDEX('Inputs (2)'!$D$59:$AL$59,MATCH(AA$7,'Inputs (2)'!$D$2:$AL$2,0)),"")</f>
        <v>40900</v>
      </c>
      <c r="AB33" s="266">
        <f>IF(COUNT(X33:AA33)=4,SUM(X33:AA33),"")</f>
        <v>151800</v>
      </c>
      <c r="AC33" s="265">
        <f>IFERROR(INDEX('Inputs (2)'!$D$59:$AL$59,MATCH(AC$7,'Inputs (2)'!$D$2:$AL$2,0)),"")</f>
        <v>42400</v>
      </c>
      <c r="AD33" s="265">
        <f>IFERROR(INDEX('Inputs (2)'!$D$59:$AL$59,MATCH(AD$7,'Inputs (2)'!$D$2:$AL$2,0)),"")</f>
        <v>46700</v>
      </c>
      <c r="AE33" s="265">
        <f>IFERROR(INDEX('Inputs (2)'!$D$59:$AL$59,MATCH(AE$7,'Inputs (2)'!$D$2:$AL$2,0)),"")</f>
        <v>49100</v>
      </c>
      <c r="AF33" s="265">
        <f>IFERROR(INDEX('Inputs (2)'!$D$59:$AL$59,MATCH(AF$7,'Inputs (2)'!$D$2:$AL$2,0)),"")</f>
        <v>51500</v>
      </c>
      <c r="AG33" s="266">
        <f>IF(COUNT(AC33:AF33)=4,SUM(AC33:AF33),"")</f>
        <v>189700</v>
      </c>
      <c r="AH33" s="266">
        <f>IFERROR(INDEX('Inputs (2)'!$D$59:$AL$59,MATCH(AH$7,'Inputs (2)'!$D$2:$AL$2,0)),"")</f>
        <v>54500</v>
      </c>
      <c r="AI33" s="266">
        <f>IFERROR(INDEX('Inputs (2)'!$D$59:$AL$59,MATCH(AI$7,'Inputs (2)'!$D$2:$AL$2,0)),"")</f>
        <v>59300</v>
      </c>
    </row>
    <row r="34">
      <c r="C34" s="14" t="inlineStr">
        <is>
          <t xml:space="preserve">   % YoY Microsoft Cloud</t>
        </is>
      </c>
      <c r="D34" s="268" t="str">
        <f>""</f>
        <v/>
      </c>
      <c r="E34" s="268" t="str">
        <f>""</f>
        <v/>
      </c>
      <c r="F34" s="268" t="str">
        <f>""</f>
        <v/>
      </c>
      <c r="G34" s="268" t="str">
        <f>""</f>
        <v/>
      </c>
      <c r="H34" s="269" t="str">
        <f>""</f>
        <v/>
      </c>
      <c r="I34" s="268">
        <f>IFERROR(I33/D33-1,"")</f>
        <v>0.330827067669173</v>
      </c>
      <c r="J34" s="268">
        <f>IFERROR(J33/E33-1,"")</f>
        <v>0.363636363636364</v>
      </c>
      <c r="K34" s="268">
        <f>IFERROR(K33/F33-1,"")</f>
        <v>0.361842105263158</v>
      </c>
      <c r="L34" s="268">
        <f>IFERROR(L33/G33-1,"")</f>
        <v>0.32934131736527</v>
      </c>
      <c r="M34" s="269">
        <f>IFERROR(M33/H33-1,"")</f>
        <v>0.346218487394958</v>
      </c>
      <c r="N34" s="268">
        <f>IFERROR(N33/I33-1,"")</f>
        <v>0.322033898305085</v>
      </c>
      <c r="O34" s="268">
        <f>IFERROR(O33/J33-1,"")</f>
        <v>0.282051282051282</v>
      </c>
      <c r="P34" s="268">
        <f>IFERROR(P33/K33-1,"")</f>
        <v>0.241545893719807</v>
      </c>
      <c r="Q34" s="268">
        <f>IFERROR(Q33/L33-1,"")</f>
        <v>0.220720720720721</v>
      </c>
      <c r="R34" s="269">
        <f>IFERROR(R33/M33-1,"")</f>
        <v>0.263420724094881</v>
      </c>
      <c r="S34" s="268">
        <f>IFERROR(S33/N33-1,"")</f>
        <v>0.217948717948718</v>
      </c>
      <c r="T34" s="268">
        <f>IFERROR(T33/O33-1,"")</f>
        <v>0.212</v>
      </c>
      <c r="U34" s="268">
        <f>IFERROR(U33/P33-1,"")</f>
        <v>0.24124513618677</v>
      </c>
      <c r="V34" s="268">
        <f>IFERROR(V33/Q33-1,"")</f>
        <v>0.243542435424354</v>
      </c>
      <c r="W34" s="269">
        <f>IFERROR(W33/R33-1,"")</f>
        <v>0.229249011857708</v>
      </c>
      <c r="X34" s="268">
        <f>IFERROR(X33/S33-1,"")</f>
        <v>0.235087719298246</v>
      </c>
      <c r="Y34" s="268">
        <f>IFERROR(Y33/T33-1,"")</f>
        <v>0.214521452145215</v>
      </c>
      <c r="Z34" s="268">
        <f>IFERROR(Z33/U33-1,"")</f>
        <v>0.219435736677116</v>
      </c>
      <c r="AA34" s="268">
        <f>IFERROR(AA33/V33-1,"")</f>
        <v>0.213649851632048</v>
      </c>
      <c r="AB34" s="269">
        <f>IFERROR(AB33/W33-1,"")</f>
        <v>0.220257234726688</v>
      </c>
      <c r="AC34" s="268">
        <f>IFERROR(AC33/X33-1,"")</f>
        <v>0.204545454545455</v>
      </c>
      <c r="AD34" s="268">
        <f>IFERROR(AD33/Y33-1,"")</f>
        <v>0.269021739130435</v>
      </c>
      <c r="AE34" s="268">
        <f>IFERROR(AE33/Z33-1,"")</f>
        <v>0.262210796915167</v>
      </c>
      <c r="AF34" s="268">
        <f>IFERROR(AF33/AA33-1,"")</f>
        <v>0.259168704156479</v>
      </c>
      <c r="AG34" s="269">
        <f>IFERROR(AG33/AB33-1,"")</f>
        <v>0.249670619235837</v>
      </c>
      <c r="AH34" s="269">
        <f>IFERROR(AH33/AC33-1,"")</f>
        <v>0.285377358490566</v>
      </c>
      <c r="AI34" s="269">
        <f>IFERROR(AI33/AD33-1,"")</f>
        <v>0.269807280513919</v>
      </c>
    </row>
    <row r="35">
      <c r="C35" s="14" t="inlineStr">
        <is>
          <t xml:space="preserve">   Server products and cloud services (Azure)</t>
        </is>
      </c>
      <c r="D35" s="265">
        <f>IFERROR(INDEX('Inputs (2)'!$D$60:$AL$60,MATCH(D$7,'Inputs (2)'!$D$2:$AL$2,0)),"")</f>
        <v>10490</v>
      </c>
      <c r="E35" s="265">
        <f>IFERROR(INDEX('Inputs (2)'!$D$60:$AL$60,MATCH(E$7,'Inputs (2)'!$D$2:$AL$2,0)),"")</f>
        <v>11578</v>
      </c>
      <c r="F35" s="265">
        <f>IFERROR(INDEX('Inputs (2)'!$D$60:$AL$60,MATCH(F$7,'Inputs (2)'!$D$2:$AL$2,0)),"")</f>
        <v>11195</v>
      </c>
      <c r="G35" s="265">
        <f>IFERROR(INDEX('Inputs (2)'!$D$60:$AL$60,MATCH(G$7,'Inputs (2)'!$D$2:$AL$2,0)),"")</f>
        <v>12729</v>
      </c>
      <c r="H35" s="266">
        <f>IF(COUNT(D35:G35)=4,SUM(D35:G35),"")</f>
        <v>45992</v>
      </c>
      <c r="I35" s="265">
        <f>IFERROR(INDEX('Inputs (2)'!$D$60:$AL$60,MATCH(I$7,'Inputs (2)'!$D$2:$AL$2,0)),"")</f>
        <v>13204</v>
      </c>
      <c r="J35" s="265">
        <f>IFERROR(INDEX('Inputs (2)'!$D$60:$AL$60,MATCH(J$7,'Inputs (2)'!$D$2:$AL$2,0)),"")</f>
        <v>15461</v>
      </c>
      <c r="K35" s="265">
        <f>IFERROR(INDEX('Inputs (2)'!$D$60:$AL$60,MATCH(K$7,'Inputs (2)'!$D$2:$AL$2,0)),"")</f>
        <v>15070</v>
      </c>
      <c r="L35" s="265">
        <f>IFERROR(INDEX('Inputs (2)'!$D$60:$AL$60,MATCH(L$7,'Inputs (2)'!$D$2:$AL$2,0)),"")</f>
        <v>16382</v>
      </c>
      <c r="M35" s="266">
        <f>IF(COUNT(I35:L35)=4,SUM(I35:L35),"")</f>
        <v>60117</v>
      </c>
      <c r="N35" s="265">
        <f>IFERROR(INDEX('Inputs (2)'!$D$60:$AL$60,MATCH(N$7,'Inputs (2)'!$D$2:$AL$2,0)),"")</f>
        <v>17046</v>
      </c>
      <c r="O35" s="265">
        <f>IFERROR(INDEX('Inputs (2)'!$D$60:$AL$60,MATCH(O$7,'Inputs (2)'!$D$2:$AL$2,0)),"")</f>
        <v>18839</v>
      </c>
      <c r="P35" s="265">
        <f>IFERROR(INDEX('Inputs (2)'!$D$60:$AL$60,MATCH(P$7,'Inputs (2)'!$D$2:$AL$2,0)),"")</f>
        <v>18388</v>
      </c>
      <c r="Q35" s="265">
        <f>IFERROR(INDEX('Inputs (2)'!$D$60:$AL$60,MATCH(Q$7,'Inputs (2)'!$D$2:$AL$2,0)),"")</f>
        <v>19594</v>
      </c>
      <c r="R35" s="266">
        <f>IF(COUNT(N35:Q35)=4,SUM(N35:Q35),"")</f>
        <v>73867</v>
      </c>
      <c r="S35" s="265">
        <f>IFERROR(INDEX('Inputs (2)'!$D$60:$AL$60,MATCH(S$7,'Inputs (2)'!$D$2:$AL$2,0)),"")</f>
        <v>20025</v>
      </c>
      <c r="T35" s="265">
        <f>IFERROR(INDEX('Inputs (2)'!$D$60:$AL$60,MATCH(T$7,'Inputs (2)'!$D$2:$AL$2,0)),"")</f>
        <v>21963</v>
      </c>
      <c r="U35" s="265">
        <f>IFERROR(INDEX('Inputs (2)'!$D$60:$AL$60,MATCH(U$7,'Inputs (2)'!$D$2:$AL$2,0)),"")</f>
        <v>18062</v>
      </c>
      <c r="V35" s="265">
        <f>IFERROR(INDEX('Inputs (2)'!$D$60:$AL$60,MATCH(V$7,'Inputs (2)'!$D$2:$AL$2,0)),"")</f>
        <v>19597</v>
      </c>
      <c r="W35" s="266">
        <f>IF(COUNT(S35:V35)=4,SUM(S35:V35),"")</f>
        <v>79647</v>
      </c>
      <c r="X35" s="265">
        <f>IFERROR(INDEX('Inputs (2)'!$D$60:$AL$60,MATCH(X$7,'Inputs (2)'!$D$2:$AL$2,0)),"")</f>
        <v>20266</v>
      </c>
      <c r="Y35" s="265">
        <f>IFERROR(INDEX('Inputs (2)'!$D$60:$AL$60,MATCH(Y$7,'Inputs (2)'!$D$2:$AL$2,0)),"")</f>
        <v>26633</v>
      </c>
      <c r="Z35" s="265">
        <f>IFERROR(INDEX('Inputs (2)'!$D$60:$AL$60,MATCH(Z$7,'Inputs (2)'!$D$2:$AL$2,0)),"")</f>
        <v>22155</v>
      </c>
      <c r="AA35" s="265">
        <f>IFERROR(INDEX('Inputs (2)'!$D$60:$AL$60,MATCH(AA$7,'Inputs (2)'!$D$2:$AL$2,0)),"")</f>
        <v>23641</v>
      </c>
      <c r="AB35" s="266">
        <f>IF(COUNT(X35:AA35)=4,SUM(X35:AA35),"")</f>
        <v>92695</v>
      </c>
      <c r="AC35" s="265">
        <f>IFERROR(INDEX('Inputs (2)'!$D$60:$AL$60,MATCH(AC$7,'Inputs (2)'!$D$2:$AL$2,0)),"")</f>
        <v>24761</v>
      </c>
      <c r="AD35" s="265">
        <f>IFERROR(INDEX('Inputs (2)'!$D$60:$AL$60,MATCH(AD$7,'Inputs (2)'!$D$2:$AL$2,0)),"")</f>
        <v>27878</v>
      </c>
      <c r="AE35" s="265">
        <f>IFERROR(INDEX('Inputs (2)'!$D$60:$AL$60,MATCH(AE$7,'Inputs (2)'!$D$2:$AL$2,0)),"")</f>
        <v>28872</v>
      </c>
      <c r="AF35" s="265">
        <f>IFERROR(INDEX('Inputs (2)'!$D$60:$AL$60,MATCH(AF$7,'Inputs (2)'!$D$2:$AL$2,0)),"")</f>
        <v>30865</v>
      </c>
      <c r="AG35" s="266">
        <f>IF(COUNT(AC35:AF35)=4,SUM(AC35:AF35),"")</f>
        <v>112376</v>
      </c>
      <c r="AH35" s="266">
        <f>IFERROR(INDEX('Inputs (2)'!$D$60:$AL$60,MATCH(AH$7,'Inputs (2)'!$D$2:$AL$2,0)),"")</f>
        <v>32592</v>
      </c>
      <c r="AI35" s="266">
        <f>IFERROR(INDEX('Inputs (2)'!$D$60:$AL$60,MATCH(AI$7,'Inputs (2)'!$D$2:$AL$2,0)),"")</f>
        <v>37096</v>
      </c>
    </row>
    <row r="36">
      <c r="C36" s="14" t="inlineStr">
        <is>
          <t xml:space="preserve">   % YoY Server products and cloud</t>
        </is>
      </c>
      <c r="D36" s="268" t="str">
        <f>""</f>
        <v/>
      </c>
      <c r="E36" s="268" t="str">
        <f>""</f>
        <v/>
      </c>
      <c r="F36" s="268" t="str">
        <f>""</f>
        <v/>
      </c>
      <c r="G36" s="268" t="str">
        <f>""</f>
        <v/>
      </c>
      <c r="H36" s="269" t="str">
        <f>""</f>
        <v/>
      </c>
      <c r="I36" s="268">
        <f>IFERROR(I35/D35-1,"")</f>
        <v>0.258722592945662</v>
      </c>
      <c r="J36" s="268">
        <f>IFERROR(J35/E35-1,"")</f>
        <v>0.335377439972361</v>
      </c>
      <c r="K36" s="268">
        <f>IFERROR(K35/F35-1,"")</f>
        <v>0.346136668155427</v>
      </c>
      <c r="L36" s="268">
        <f>IFERROR(L35/G35-1,"")</f>
        <v>0.286982480949014</v>
      </c>
      <c r="M36" s="269">
        <f>IFERROR(M35/H35-1,"")</f>
        <v>0.30711862932684</v>
      </c>
      <c r="N36" s="268">
        <f>IFERROR(N35/I35-1,"")</f>
        <v>0.290972432596183</v>
      </c>
      <c r="O36" s="268">
        <f>IFERROR(O35/J35-1,"")</f>
        <v>0.218485220878339</v>
      </c>
      <c r="P36" s="268">
        <f>IFERROR(P35/K35-1,"")</f>
        <v>0.220172528201725</v>
      </c>
      <c r="Q36" s="268">
        <f>IFERROR(Q35/L35-1,"")</f>
        <v>0.196068856061531</v>
      </c>
      <c r="R36" s="269">
        <f>IFERROR(R35/M35-1,"")</f>
        <v>0.228720661376982</v>
      </c>
      <c r="S36" s="268">
        <f>IFERROR(S35/N35-1,"")</f>
        <v>0.174762407602957</v>
      </c>
      <c r="T36" s="268">
        <f>IFERROR(T35/O35-1,"")</f>
        <v>0.165826211582356</v>
      </c>
      <c r="U36" s="268">
        <f>IFERROR(U35/P35-1,"")</f>
        <v>-0.017728953665434</v>
      </c>
      <c r="V36" s="268">
        <f>IFERROR(V35/Q35-1,"")</f>
        <v>0.00015310809431468</v>
      </c>
      <c r="W36" s="269">
        <f>IFERROR(W35/R35-1,"")</f>
        <v>0.0782487443648721</v>
      </c>
      <c r="X36" s="268">
        <f>IFERROR(X35/S35-1,"")</f>
        <v>0.0120349563046191</v>
      </c>
      <c r="Y36" s="268">
        <f>IFERROR(Y35/T35-1,"")</f>
        <v>0.212630332832491</v>
      </c>
      <c r="Z36" s="268">
        <f>IFERROR(Z35/U35-1,"")</f>
        <v>0.226608349020042</v>
      </c>
      <c r="AA36" s="268">
        <f>IFERROR(AA35/V35-1,"")</f>
        <v>0.206358116038169</v>
      </c>
      <c r="AB36" s="269">
        <f>IFERROR(AB35/W35-1,"")</f>
        <v>0.163822868406845</v>
      </c>
      <c r="AC36" s="268">
        <f>IFERROR(AC35/X35-1,"")</f>
        <v>0.221800059212474</v>
      </c>
      <c r="AD36" s="268">
        <f>IFERROR(AD35/Y35-1,"")</f>
        <v>0.0467465174783164</v>
      </c>
      <c r="AE36" s="268">
        <f>IFERROR(AE35/Z35-1,"")</f>
        <v>0.303182125930941</v>
      </c>
      <c r="AF36" s="268">
        <f>IFERROR(AF35/AA35-1,"")</f>
        <v>0.305570830337126</v>
      </c>
      <c r="AG36" s="269">
        <f>IFERROR(AG35/AB35-1,"")</f>
        <v>0.212319974108636</v>
      </c>
      <c r="AH36" s="269">
        <f>IFERROR(AH35/AC35-1,"")</f>
        <v>0.316263478857881</v>
      </c>
      <c r="AI36" s="269">
        <f>IFERROR(AI35/AD35-1,"")</f>
        <v>0.330654996771648</v>
      </c>
    </row>
    <row r="37">
      <c r="C37" s="14" t="inlineStr">
        <is>
          <t xml:space="preserve">   Microsoft 365 / Office</t>
        </is>
      </c>
      <c r="D37" s="265">
        <f>IFERROR(INDEX('Inputs (2)'!$D$61:$AL$61,MATCH(D$7,'Inputs (2)'!$D$2:$AL$2,0)),"")</f>
        <v>8920</v>
      </c>
      <c r="E37" s="265">
        <f>IFERROR(INDEX('Inputs (2)'!$D$61:$AL$61,MATCH(E$7,'Inputs (2)'!$D$2:$AL$2,0)),"")</f>
        <v>8947</v>
      </c>
      <c r="F37" s="265">
        <f>IFERROR(INDEX('Inputs (2)'!$D$61:$AL$61,MATCH(F$7,'Inputs (2)'!$D$2:$AL$2,0)),"")</f>
        <v>9278</v>
      </c>
      <c r="G37" s="265">
        <f>IFERROR(INDEX('Inputs (2)'!$D$61:$AL$61,MATCH(G$7,'Inputs (2)'!$D$2:$AL$2,0)),"")</f>
        <v>9881</v>
      </c>
      <c r="H37" s="266">
        <f>IF(COUNT(D37:G37)=4,SUM(D37:G37),"")</f>
        <v>37026</v>
      </c>
      <c r="I37" s="265">
        <f>IFERROR(INDEX('Inputs (2)'!$D$61:$AL$61,MATCH(I$7,'Inputs (2)'!$D$2:$AL$2,0)),"")</f>
        <v>10016</v>
      </c>
      <c r="J37" s="265">
        <f>IFERROR(INDEX('Inputs (2)'!$D$61:$AL$61,MATCH(J$7,'Inputs (2)'!$D$2:$AL$2,0)),"")</f>
        <v>10697</v>
      </c>
      <c r="K37" s="265">
        <f>IFERROR(INDEX('Inputs (2)'!$D$61:$AL$61,MATCH(K$7,'Inputs (2)'!$D$2:$AL$2,0)),"")</f>
        <v>10808</v>
      </c>
      <c r="L37" s="265">
        <f>IFERROR(INDEX('Inputs (2)'!$D$61:$AL$61,MATCH(L$7,'Inputs (2)'!$D$2:$AL$2,0)),"")</f>
        <v>11251</v>
      </c>
      <c r="M37" s="266">
        <f>IF(COUNT(I37:L37)=4,SUM(I37:L37),"")</f>
        <v>42772</v>
      </c>
      <c r="N37" s="265">
        <f>IFERROR(INDEX('Inputs (2)'!$D$61:$AL$61,MATCH(N$7,'Inputs (2)'!$D$2:$AL$2,0)),"")</f>
        <v>11164</v>
      </c>
      <c r="O37" s="265">
        <f>IFERROR(INDEX('Inputs (2)'!$D$61:$AL$61,MATCH(O$7,'Inputs (2)'!$D$2:$AL$2,0)),"")</f>
        <v>11639</v>
      </c>
      <c r="P37" s="265">
        <f>IFERROR(INDEX('Inputs (2)'!$D$61:$AL$61,MATCH(P$7,'Inputs (2)'!$D$2:$AL$2,0)),"")</f>
        <v>11577</v>
      </c>
      <c r="Q37" s="265">
        <f>IFERROR(INDEX('Inputs (2)'!$D$61:$AL$61,MATCH(Q$7,'Inputs (2)'!$D$2:$AL$2,0)),"")</f>
        <v>11867</v>
      </c>
      <c r="R37" s="266">
        <f>IF(COUNT(N37:Q37)=4,SUM(N37:Q37),"")</f>
        <v>46247</v>
      </c>
      <c r="S37" s="265">
        <f>IFERROR(INDEX('Inputs (2)'!$D$61:$AL$61,MATCH(S$7,'Inputs (2)'!$D$2:$AL$2,0)),"")</f>
        <v>12468</v>
      </c>
      <c r="T37" s="265">
        <f>IFERROR(INDEX('Inputs (2)'!$D$61:$AL$61,MATCH(T$7,'Inputs (2)'!$D$2:$AL$2,0)),"")</f>
        <v>12905</v>
      </c>
      <c r="U37" s="265">
        <f>IFERROR(INDEX('Inputs (2)'!$D$61:$AL$61,MATCH(U$7,'Inputs (2)'!$D$2:$AL$2,0)),"")</f>
        <v>19687</v>
      </c>
      <c r="V37" s="265">
        <f>IFERROR(INDEX('Inputs (2)'!$D$61:$AL$61,MATCH(V$7,'Inputs (2)'!$D$2:$AL$2,0)),"")</f>
        <v>20000</v>
      </c>
      <c r="W37" s="266">
        <f>IF(COUNT(S37:V37)=4,SUM(S37:V37),"")</f>
        <v>65060</v>
      </c>
      <c r="X37" s="265">
        <f>IFERROR(INDEX('Inputs (2)'!$D$61:$AL$61,MATCH(X$7,'Inputs (2)'!$D$2:$AL$2,0)),"")</f>
        <v>21360</v>
      </c>
      <c r="Y37" s="265">
        <f>IFERROR(INDEX('Inputs (2)'!$D$61:$AL$61,MATCH(Y$7,'Inputs (2)'!$D$2:$AL$2,0)),"")</f>
        <v>22570</v>
      </c>
      <c r="Z37" s="265">
        <f>IFERROR(INDEX('Inputs (2)'!$D$61:$AL$61,MATCH(Z$7,'Inputs (2)'!$D$2:$AL$2,0)),"")</f>
        <v>22176</v>
      </c>
      <c r="AA37" s="265">
        <f>IFERROR(INDEX('Inputs (2)'!$D$61:$AL$61,MATCH(AA$7,'Inputs (2)'!$D$2:$AL$2,0)),"")</f>
        <v>22938</v>
      </c>
      <c r="AB37" s="266">
        <f>IF(COUNT(X37:AA37)=4,SUM(X37:AA37),"")</f>
        <v>89044</v>
      </c>
      <c r="AC37" s="265">
        <f>IFERROR(INDEX('Inputs (2)'!$D$61:$AL$61,MATCH(AC$7,'Inputs (2)'!$D$2:$AL$2,0)),"")</f>
        <v>23704</v>
      </c>
      <c r="AD37" s="265">
        <f>IFERROR(INDEX('Inputs (2)'!$D$61:$AL$61,MATCH(AD$7,'Inputs (2)'!$D$2:$AL$2,0)),"")</f>
        <v>26353</v>
      </c>
      <c r="AE37" s="265">
        <f>IFERROR(INDEX('Inputs (2)'!$D$61:$AL$61,MATCH(AE$7,'Inputs (2)'!$D$2:$AL$2,0)),"")</f>
        <v>26170</v>
      </c>
      <c r="AF37" s="265">
        <f>IFERROR(INDEX('Inputs (2)'!$D$61:$AL$61,MATCH(AF$7,'Inputs (2)'!$D$2:$AL$2,0)),"")</f>
        <v>26829</v>
      </c>
      <c r="AG37" s="266">
        <f>IF(COUNT(AC37:AF37)=4,SUM(AC37:AF37),"")</f>
        <v>103056</v>
      </c>
      <c r="AH37" s="266">
        <f>IFERROR(INDEX('Inputs (2)'!$D$61:$AL$61,MATCH(AH$7,'Inputs (2)'!$D$2:$AL$2,0)),"")</f>
        <v>27890</v>
      </c>
      <c r="AI37" s="266">
        <f>IFERROR(INDEX('Inputs (2)'!$D$61:$AL$61,MATCH(AI$7,'Inputs (2)'!$D$2:$AL$2,0)),"")</f>
        <v>30283</v>
      </c>
    </row>
    <row r="38">
      <c r="C38" s="14" t="inlineStr">
        <is>
          <t xml:space="preserve">   LinkedIn</t>
        </is>
      </c>
      <c r="D38" s="265">
        <f>IFERROR(INDEX('Inputs (2)'!$D$62:$AL$62,MATCH(D$7,'Inputs (2)'!$D$2:$AL$2,0)),"")</f>
        <v>2050</v>
      </c>
      <c r="E38" s="265">
        <f>IFERROR(INDEX('Inputs (2)'!$D$62:$AL$62,MATCH(E$7,'Inputs (2)'!$D$2:$AL$2,0)),"")</f>
        <v>2016</v>
      </c>
      <c r="F38" s="265">
        <f>IFERROR(INDEX('Inputs (2)'!$D$62:$AL$62,MATCH(F$7,'Inputs (2)'!$D$2:$AL$2,0)),"")</f>
        <v>2206</v>
      </c>
      <c r="G38" s="265">
        <f>IFERROR(INDEX('Inputs (2)'!$D$62:$AL$62,MATCH(G$7,'Inputs (2)'!$D$2:$AL$2,0)),"")</f>
        <v>2577</v>
      </c>
      <c r="H38" s="266">
        <f>IF(COUNT(D38:G38)=4,SUM(D38:G38),"")</f>
        <v>8849</v>
      </c>
      <c r="I38" s="265">
        <f>IFERROR(INDEX('Inputs (2)'!$D$62:$AL$62,MATCH(I$7,'Inputs (2)'!$D$2:$AL$2,0)),"")</f>
        <v>2562</v>
      </c>
      <c r="J38" s="265">
        <f>IFERROR(INDEX('Inputs (2)'!$D$62:$AL$62,MATCH(J$7,'Inputs (2)'!$D$2:$AL$2,0)),"")</f>
        <v>2944</v>
      </c>
      <c r="K38" s="265">
        <f>IFERROR(INDEX('Inputs (2)'!$D$62:$AL$62,MATCH(K$7,'Inputs (2)'!$D$2:$AL$2,0)),"")</f>
        <v>3136</v>
      </c>
      <c r="L38" s="265">
        <f>IFERROR(INDEX('Inputs (2)'!$D$62:$AL$62,MATCH(L$7,'Inputs (2)'!$D$2:$AL$2,0)),"")</f>
        <v>3531</v>
      </c>
      <c r="M38" s="266">
        <f>IF(COUNT(I38:L38)=4,SUM(I38:L38),"")</f>
        <v>12173</v>
      </c>
      <c r="N38" s="265">
        <f>IFERROR(INDEX('Inputs (2)'!$D$62:$AL$62,MATCH(N$7,'Inputs (2)'!$D$2:$AL$2,0)),"")</f>
        <v>3437</v>
      </c>
      <c r="O38" s="265">
        <f>IFERROR(INDEX('Inputs (2)'!$D$62:$AL$62,MATCH(O$7,'Inputs (2)'!$D$2:$AL$2,0)),"")</f>
        <v>3712</v>
      </c>
      <c r="P38" s="265">
        <f>IFERROR(INDEX('Inputs (2)'!$D$62:$AL$62,MATCH(P$7,'Inputs (2)'!$D$2:$AL$2,0)),"")</f>
        <v>3628</v>
      </c>
      <c r="Q38" s="265">
        <f>IFERROR(INDEX('Inputs (2)'!$D$62:$AL$62,MATCH(Q$7,'Inputs (2)'!$D$2:$AL$2,0)),"")</f>
        <v>3833</v>
      </c>
      <c r="R38" s="266">
        <f>IF(COUNT(N38:Q38)=4,SUM(N38:Q38),"")</f>
        <v>14610</v>
      </c>
      <c r="S38" s="265">
        <f>IFERROR(INDEX('Inputs (2)'!$D$62:$AL$62,MATCH(S$7,'Inputs (2)'!$D$2:$AL$2,0)),"")</f>
        <v>3659</v>
      </c>
      <c r="T38" s="265">
        <f>IFERROR(INDEX('Inputs (2)'!$D$62:$AL$62,MATCH(T$7,'Inputs (2)'!$D$2:$AL$2,0)),"")</f>
        <v>3909</v>
      </c>
      <c r="U38" s="265">
        <f>IFERROR(INDEX('Inputs (2)'!$D$62:$AL$62,MATCH(U$7,'Inputs (2)'!$D$2:$AL$2,0)),"")</f>
        <v>3913</v>
      </c>
      <c r="V38" s="265">
        <f>IFERROR(INDEX('Inputs (2)'!$D$62:$AL$62,MATCH(V$7,'Inputs (2)'!$D$2:$AL$2,0)),"")</f>
        <v>4195</v>
      </c>
      <c r="W38" s="266">
        <f>IF(COUNT(S38:V38)=4,SUM(S38:V38),"")</f>
        <v>15676</v>
      </c>
      <c r="X38" s="265">
        <f>IFERROR(INDEX('Inputs (2)'!$D$62:$AL$62,MATCH(X$7,'Inputs (2)'!$D$2:$AL$2,0)),"")</f>
        <v>4013</v>
      </c>
      <c r="Y38" s="265">
        <f>IFERROR(INDEX('Inputs (2)'!$D$62:$AL$62,MATCH(Y$7,'Inputs (2)'!$D$2:$AL$2,0)),"")</f>
        <v>4251</v>
      </c>
      <c r="Z38" s="265">
        <f>IFERROR(INDEX('Inputs (2)'!$D$62:$AL$62,MATCH(Z$7,'Inputs (2)'!$D$2:$AL$2,0)),"")</f>
        <v>4292</v>
      </c>
      <c r="AA38" s="265">
        <f>IFERROR(INDEX('Inputs (2)'!$D$62:$AL$62,MATCH(AA$7,'Inputs (2)'!$D$2:$AL$2,0)),"")</f>
        <v>4587</v>
      </c>
      <c r="AB38" s="266">
        <f>IF(COUNT(X38:AA38)=4,SUM(X38:AA38),"")</f>
        <v>17143</v>
      </c>
      <c r="AC38" s="265">
        <f>IFERROR(INDEX('Inputs (2)'!$D$62:$AL$62,MATCH(AC$7,'Inputs (2)'!$D$2:$AL$2,0)),"")</f>
        <v>4311</v>
      </c>
      <c r="AD38" s="265">
        <f>IFERROR(INDEX('Inputs (2)'!$D$62:$AL$62,MATCH(AD$7,'Inputs (2)'!$D$2:$AL$2,0)),"")</f>
        <v>4622</v>
      </c>
      <c r="AE38" s="265">
        <f>IFERROR(INDEX('Inputs (2)'!$D$62:$AL$62,MATCH(AE$7,'Inputs (2)'!$D$2:$AL$2,0)),"")</f>
        <v>4714</v>
      </c>
      <c r="AF38" s="265">
        <f>IFERROR(INDEX('Inputs (2)'!$D$62:$AL$62,MATCH(AF$7,'Inputs (2)'!$D$2:$AL$2,0)),"")</f>
        <v>5082</v>
      </c>
      <c r="AG38" s="266">
        <f>IF(COUNT(AC38:AF38)=4,SUM(AC38:AF38),"")</f>
        <v>18729</v>
      </c>
      <c r="AH38" s="266">
        <f>IFERROR(INDEX('Inputs (2)'!$D$62:$AL$62,MATCH(AH$7,'Inputs (2)'!$D$2:$AL$2,0)),"")</f>
        <v>4832</v>
      </c>
      <c r="AI38" s="266">
        <f>IFERROR(INDEX('Inputs (2)'!$D$62:$AL$62,MATCH(AI$7,'Inputs (2)'!$D$2:$AL$2,0)),"")</f>
        <v>5189</v>
      </c>
    </row>
    <row r="39">
      <c r="C39" s="14" t="inlineStr">
        <is>
          <t xml:space="preserve">   Dynamics</t>
        </is>
      </c>
      <c r="D39" s="265" t="str">
        <f>IFERROR(INDEX('Inputs (2)'!$D$63:$AL$63,MATCH(D$7,'Inputs (2)'!$D$2:$AL$2,0)),"")</f>
        <v/>
      </c>
      <c r="E39" s="265" t="str">
        <f>IFERROR(INDEX('Inputs (2)'!$D$63:$AL$63,MATCH(E$7,'Inputs (2)'!$D$2:$AL$2,0)),"")</f>
        <v/>
      </c>
      <c r="F39" s="265" t="str">
        <f>IFERROR(INDEX('Inputs (2)'!$D$63:$AL$63,MATCH(F$7,'Inputs (2)'!$D$2:$AL$2,0)),"")</f>
        <v/>
      </c>
      <c r="G39" s="265" t="str">
        <f>IFERROR(INDEX('Inputs (2)'!$D$63:$AL$63,MATCH(G$7,'Inputs (2)'!$D$2:$AL$2,0)),"")</f>
        <v/>
      </c>
      <c r="H39" s="266" t="str">
        <f>IF(COUNT(D39:G39)=4,SUM(D39:G39),"")</f>
        <v/>
      </c>
      <c r="I39" s="265" t="str">
        <f>IFERROR(INDEX('Inputs (2)'!$D$63:$AL$63,MATCH(I$7,'Inputs (2)'!$D$2:$AL$2,0)),"")</f>
        <v/>
      </c>
      <c r="J39" s="265" t="str">
        <f>IFERROR(INDEX('Inputs (2)'!$D$63:$AL$63,MATCH(J$7,'Inputs (2)'!$D$2:$AL$2,0)),"")</f>
        <v/>
      </c>
      <c r="K39" s="265" t="str">
        <f>IFERROR(INDEX('Inputs (2)'!$D$63:$AL$63,MATCH(K$7,'Inputs (2)'!$D$2:$AL$2,0)),"")</f>
        <v/>
      </c>
      <c r="L39" s="265" t="str">
        <f>IFERROR(INDEX('Inputs (2)'!$D$63:$AL$63,MATCH(L$7,'Inputs (2)'!$D$2:$AL$2,0)),"")</f>
        <v/>
      </c>
      <c r="M39" s="266" t="str">
        <f>IF(COUNT(I39:L39)=4,SUM(I39:L39),"")</f>
        <v/>
      </c>
      <c r="N39" s="265" t="str">
        <f>IFERROR(INDEX('Inputs (2)'!$D$63:$AL$63,MATCH(N$7,'Inputs (2)'!$D$2:$AL$2,0)),"")</f>
        <v/>
      </c>
      <c r="O39" s="265" t="str">
        <f>IFERROR(INDEX('Inputs (2)'!$D$63:$AL$63,MATCH(O$7,'Inputs (2)'!$D$2:$AL$2,0)),"")</f>
        <v/>
      </c>
      <c r="P39" s="265">
        <f>IFERROR(INDEX('Inputs (2)'!$D$63:$AL$63,MATCH(P$7,'Inputs (2)'!$D$2:$AL$2,0)),"")</f>
        <v>1260</v>
      </c>
      <c r="Q39" s="265">
        <f>IFERROR(INDEX('Inputs (2)'!$D$63:$AL$63,MATCH(Q$7,'Inputs (2)'!$D$2:$AL$2,0)),"")</f>
        <v>1302</v>
      </c>
      <c r="R39" s="266" t="str">
        <f>IF(COUNT(N39:Q39)=4,SUM(N39:Q39),"")</f>
        <v/>
      </c>
      <c r="S39" s="265">
        <f>IFERROR(INDEX('Inputs (2)'!$D$63:$AL$63,MATCH(S$7,'Inputs (2)'!$D$2:$AL$2,0)),"")</f>
        <v>1389</v>
      </c>
      <c r="T39" s="265">
        <f>IFERROR(INDEX('Inputs (2)'!$D$63:$AL$63,MATCH(T$7,'Inputs (2)'!$D$2:$AL$2,0)),"")</f>
        <v>1486</v>
      </c>
      <c r="U39" s="265">
        <f>IFERROR(INDEX('Inputs (2)'!$D$63:$AL$63,MATCH(U$7,'Inputs (2)'!$D$2:$AL$2,0)),"")</f>
        <v>1626</v>
      </c>
      <c r="V39" s="265">
        <f>IFERROR(INDEX('Inputs (2)'!$D$63:$AL$63,MATCH(V$7,'Inputs (2)'!$D$2:$AL$2,0)),"")</f>
        <v>1659</v>
      </c>
      <c r="W39" s="266">
        <f>IF(COUNT(S39:V39)=4,SUM(S39:V39),"")</f>
        <v>6160</v>
      </c>
      <c r="X39" s="265">
        <f>IFERROR(INDEX('Inputs (2)'!$D$63:$AL$63,MATCH(X$7,'Inputs (2)'!$D$2:$AL$2,0)),"")</f>
        <v>1740</v>
      </c>
      <c r="Y39" s="265">
        <f>IFERROR(INDEX('Inputs (2)'!$D$63:$AL$63,MATCH(Y$7,'Inputs (2)'!$D$2:$AL$2,0)),"")</f>
        <v>1719</v>
      </c>
      <c r="Z39" s="265">
        <f>IFERROR(INDEX('Inputs (2)'!$D$63:$AL$63,MATCH(Z$7,'Inputs (2)'!$D$2:$AL$2,0)),"")</f>
        <v>1849</v>
      </c>
      <c r="AA39" s="265">
        <f>IFERROR(INDEX('Inputs (2)'!$D$63:$AL$63,MATCH(AA$7,'Inputs (2)'!$D$2:$AL$2,0)),"")</f>
        <v>1913</v>
      </c>
      <c r="AB39" s="266">
        <f>IF(COUNT(X39:AA39)=4,SUM(X39:AA39),"")</f>
        <v>7221</v>
      </c>
      <c r="AC39" s="265">
        <f>IFERROR(INDEX('Inputs (2)'!$D$63:$AL$63,MATCH(AC$7,'Inputs (2)'!$D$2:$AL$2,0)),"")</f>
        <v>1929</v>
      </c>
      <c r="AD39" s="265">
        <f>IFERROR(INDEX('Inputs (2)'!$D$63:$AL$63,MATCH(AD$7,'Inputs (2)'!$D$2:$AL$2,0)),"")</f>
        <v>2136</v>
      </c>
      <c r="AE39" s="265">
        <f>IFERROR(INDEX('Inputs (2)'!$D$63:$AL$63,MATCH(AE$7,'Inputs (2)'!$D$2:$AL$2,0)),"")</f>
        <v>2136</v>
      </c>
      <c r="AF39" s="265">
        <f>IFERROR(INDEX('Inputs (2)'!$D$63:$AL$63,MATCH(AF$7,'Inputs (2)'!$D$2:$AL$2,0)),"")</f>
        <v>2204</v>
      </c>
      <c r="AG39" s="266">
        <f>IF(COUNT(AC39:AF39)=4,SUM(AC39:AF39),"")</f>
        <v>8405</v>
      </c>
      <c r="AH39" s="266">
        <f>IFERROR(INDEX('Inputs (2)'!$D$63:$AL$63,MATCH(AH$7,'Inputs (2)'!$D$2:$AL$2,0)),"")</f>
        <v>2292</v>
      </c>
      <c r="AI39" s="266">
        <f>IFERROR(INDEX('Inputs (2)'!$D$63:$AL$63,MATCH(AI$7,'Inputs (2)'!$D$2:$AL$2,0)),"")</f>
        <v>2374</v>
      </c>
    </row>
    <row r="40">
      <c r="C40" s="14" t="inlineStr">
        <is>
          <t xml:space="preserve">   Gaming</t>
        </is>
      </c>
      <c r="D40" s="265">
        <f>IFERROR(INDEX('Inputs (2)'!$D$64:$AL$64,MATCH(D$7,'Inputs (2)'!$D$2:$AL$2,0)),"")</f>
        <v>2349</v>
      </c>
      <c r="E40" s="265">
        <f>IFERROR(INDEX('Inputs (2)'!$D$64:$AL$64,MATCH(E$7,'Inputs (2)'!$D$2:$AL$2,0)),"")</f>
        <v>3357</v>
      </c>
      <c r="F40" s="265">
        <f>IFERROR(INDEX('Inputs (2)'!$D$64:$AL$64,MATCH(F$7,'Inputs (2)'!$D$2:$AL$2,0)),"")</f>
        <v>3092</v>
      </c>
      <c r="G40" s="265">
        <f>IFERROR(INDEX('Inputs (2)'!$D$64:$AL$64,MATCH(G$7,'Inputs (2)'!$D$2:$AL$2,0)),"")</f>
        <v>5031</v>
      </c>
      <c r="H40" s="266">
        <f>IF(COUNT(D40:G40)=4,SUM(D40:G40),"")</f>
        <v>13829</v>
      </c>
      <c r="I40" s="265">
        <f>IFERROR(INDEX('Inputs (2)'!$D$64:$AL$64,MATCH(I$7,'Inputs (2)'!$D$2:$AL$2,0)),"")</f>
        <v>3533</v>
      </c>
      <c r="J40" s="265">
        <f>IFERROR(INDEX('Inputs (2)'!$D$64:$AL$64,MATCH(J$7,'Inputs (2)'!$D$2:$AL$2,0)),"")</f>
        <v>3714</v>
      </c>
      <c r="K40" s="265">
        <f>IFERROR(INDEX('Inputs (2)'!$D$64:$AL$64,MATCH(K$7,'Inputs (2)'!$D$2:$AL$2,0)),"")</f>
        <v>3593</v>
      </c>
      <c r="L40" s="265">
        <f>IFERROR(INDEX('Inputs (2)'!$D$64:$AL$64,MATCH(L$7,'Inputs (2)'!$D$2:$AL$2,0)),"")</f>
        <v>5442</v>
      </c>
      <c r="M40" s="266">
        <f>IF(COUNT(I40:L40)=4,SUM(I40:L40),"")</f>
        <v>16282</v>
      </c>
      <c r="N40" s="265">
        <f>IFERROR(INDEX('Inputs (2)'!$D$64:$AL$64,MATCH(N$7,'Inputs (2)'!$D$2:$AL$2,0)),"")</f>
        <v>3740</v>
      </c>
      <c r="O40" s="265">
        <f>IFERROR(INDEX('Inputs (2)'!$D$64:$AL$64,MATCH(O$7,'Inputs (2)'!$D$2:$AL$2,0)),"")</f>
        <v>3455</v>
      </c>
      <c r="P40" s="265">
        <f>IFERROR(INDEX('Inputs (2)'!$D$64:$AL$64,MATCH(P$7,'Inputs (2)'!$D$2:$AL$2,0)),"")</f>
        <v>3610</v>
      </c>
      <c r="Q40" s="265">
        <f>IFERROR(INDEX('Inputs (2)'!$D$64:$AL$64,MATCH(Q$7,'Inputs (2)'!$D$2:$AL$2,0)),"")</f>
        <v>4758</v>
      </c>
      <c r="R40" s="266">
        <f>IF(COUNT(N40:Q40)=4,SUM(N40:Q40),"")</f>
        <v>15563</v>
      </c>
      <c r="S40" s="265">
        <f>IFERROR(INDEX('Inputs (2)'!$D$64:$AL$64,MATCH(S$7,'Inputs (2)'!$D$2:$AL$2,0)),"")</f>
        <v>3607</v>
      </c>
      <c r="T40" s="265">
        <f>IFERROR(INDEX('Inputs (2)'!$D$64:$AL$64,MATCH(T$7,'Inputs (2)'!$D$2:$AL$2,0)),"")</f>
        <v>3491</v>
      </c>
      <c r="U40" s="265">
        <f>IFERROR(INDEX('Inputs (2)'!$D$64:$AL$64,MATCH(U$7,'Inputs (2)'!$D$2:$AL$2,0)),"")</f>
        <v>3919</v>
      </c>
      <c r="V40" s="265">
        <f>IFERROR(INDEX('Inputs (2)'!$D$64:$AL$64,MATCH(V$7,'Inputs (2)'!$D$2:$AL$2,0)),"")</f>
        <v>7111</v>
      </c>
      <c r="W40" s="266">
        <f>IF(COUNT(S40:V40)=4,SUM(S40:V40),"")</f>
        <v>18128</v>
      </c>
      <c r="X40" s="265">
        <f>IFERROR(INDEX('Inputs (2)'!$D$64:$AL$64,MATCH(X$7,'Inputs (2)'!$D$2:$AL$2,0)),"")</f>
        <v>5451</v>
      </c>
      <c r="Y40" s="265">
        <f>IFERROR(INDEX('Inputs (2)'!$D$64:$AL$64,MATCH(Y$7,'Inputs (2)'!$D$2:$AL$2,0)),"")</f>
        <v>5022</v>
      </c>
      <c r="Z40" s="265">
        <f>IFERROR(INDEX('Inputs (2)'!$D$64:$AL$64,MATCH(Z$7,'Inputs (2)'!$D$2:$AL$2,0)),"")</f>
        <v>5621</v>
      </c>
      <c r="AA40" s="265">
        <f>IFERROR(INDEX('Inputs (2)'!$D$64:$AL$64,MATCH(AA$7,'Inputs (2)'!$D$2:$AL$2,0)),"")</f>
        <v>6581</v>
      </c>
      <c r="AB40" s="266">
        <f>IF(COUNT(X40:AA40)=4,SUM(X40:AA40),"")</f>
        <v>22675</v>
      </c>
      <c r="AC40" s="265">
        <f>IFERROR(INDEX('Inputs (2)'!$D$64:$AL$64,MATCH(AC$7,'Inputs (2)'!$D$2:$AL$2,0)),"")</f>
        <v>5721</v>
      </c>
      <c r="AD40" s="265">
        <f>IFERROR(INDEX('Inputs (2)'!$D$64:$AL$64,MATCH(AD$7,'Inputs (2)'!$D$2:$AL$2,0)),"")</f>
        <v>5532</v>
      </c>
      <c r="AE40" s="265">
        <f>IFERROR(INDEX('Inputs (2)'!$D$64:$AL$64,MATCH(AE$7,'Inputs (2)'!$D$2:$AL$2,0)),"")</f>
        <v>5508</v>
      </c>
      <c r="AF40" s="265">
        <f>IFERROR(INDEX('Inputs (2)'!$D$64:$AL$64,MATCH(AF$7,'Inputs (2)'!$D$2:$AL$2,0)),"")</f>
        <v>5958</v>
      </c>
      <c r="AG40" s="266">
        <f>IF(COUNT(AC40:AF40)=4,SUM(AC40:AF40),"")</f>
        <v>22719</v>
      </c>
      <c r="AH40" s="266">
        <f>IFERROR(INDEX('Inputs (2)'!$D$64:$AL$64,MATCH(AH$7,'Inputs (2)'!$D$2:$AL$2,0)),"")</f>
        <v>5341</v>
      </c>
      <c r="AI40" s="266" t="str">
        <f>IFERROR(INDEX('Inputs (2)'!$D$64:$AL$64,MATCH(AI$7,'Inputs (2)'!$D$2:$AL$2,0)),"")</f>
        <v/>
      </c>
    </row>
    <row r="41">
      <c r="C41" s="14" t="inlineStr">
        <is>
          <t xml:space="preserve">   Windows and Devices</t>
        </is>
      </c>
      <c r="D41" s="265">
        <f>IFERROR(INDEX('Inputs (2)'!$D$65:$AL$65,MATCH(D$7,'Inputs (2)'!$D$2:$AL$2,0)),"")</f>
        <v>6632</v>
      </c>
      <c r="E41" s="265">
        <f>IFERROR(INDEX('Inputs (2)'!$D$65:$AL$65,MATCH(E$7,'Inputs (2)'!$D$2:$AL$2,0)),"")</f>
        <v>7923</v>
      </c>
      <c r="F41" s="265">
        <f>IFERROR(INDEX('Inputs (2)'!$D$65:$AL$65,MATCH(F$7,'Inputs (2)'!$D$2:$AL$2,0)),"")</f>
        <v>6771</v>
      </c>
      <c r="G41" s="265">
        <f>IFERROR(INDEX('Inputs (2)'!$D$65:$AL$65,MATCH(G$7,'Inputs (2)'!$D$2:$AL$2,0)),"")</f>
        <v>7634</v>
      </c>
      <c r="H41" s="266">
        <f>IF(COUNT(D41:G41)=4,SUM(D41:G41),"")</f>
        <v>28960</v>
      </c>
      <c r="I41" s="265">
        <f>IFERROR(INDEX('Inputs (2)'!$D$65:$AL$65,MATCH(I$7,'Inputs (2)'!$D$2:$AL$2,0)),"")</f>
        <v>7062</v>
      </c>
      <c r="J41" s="265">
        <f>IFERROR(INDEX('Inputs (2)'!$D$65:$AL$65,MATCH(J$7,'Inputs (2)'!$D$2:$AL$2,0)),"")</f>
        <v>8012</v>
      </c>
      <c r="K41" s="265">
        <f>IFERROR(INDEX('Inputs (2)'!$D$65:$AL$65,MATCH(K$7,'Inputs (2)'!$D$2:$AL$2,0)),"")</f>
        <v>7088</v>
      </c>
      <c r="L41" s="265">
        <f>IFERROR(INDEX('Inputs (2)'!$D$65:$AL$65,MATCH(L$7,'Inputs (2)'!$D$2:$AL$2,0)),"")</f>
        <v>8951</v>
      </c>
      <c r="M41" s="266">
        <f>IF(COUNT(I41:L41)=4,SUM(I41:L41),"")</f>
        <v>31113</v>
      </c>
      <c r="N41" s="265">
        <f>IFERROR(INDEX('Inputs (2)'!$D$65:$AL$65,MATCH(N$7,'Inputs (2)'!$D$2:$AL$2,0)),"")</f>
        <v>7904</v>
      </c>
      <c r="O41" s="265">
        <f>IFERROR(INDEX('Inputs (2)'!$D$65:$AL$65,MATCH(O$7,'Inputs (2)'!$D$2:$AL$2,0)),"")</f>
        <v>7989</v>
      </c>
      <c r="P41" s="265">
        <f>IFERROR(INDEX('Inputs (2)'!$D$65:$AL$65,MATCH(P$7,'Inputs (2)'!$D$2:$AL$2,0)),"")</f>
        <v>6761</v>
      </c>
      <c r="Q41" s="265">
        <f>IFERROR(INDEX('Inputs (2)'!$D$65:$AL$65,MATCH(Q$7,'Inputs (2)'!$D$2:$AL$2,0)),"")</f>
        <v>6238</v>
      </c>
      <c r="R41" s="266">
        <f>IF(COUNT(N41:Q41)=4,SUM(N41:Q41),"")</f>
        <v>28892</v>
      </c>
      <c r="S41" s="265">
        <f>IFERROR(INDEX('Inputs (2)'!$D$65:$AL$65,MATCH(S$7,'Inputs (2)'!$D$2:$AL$2,0)),"")</f>
        <v>6610</v>
      </c>
      <c r="T41" s="265">
        <f>IFERROR(INDEX('Inputs (2)'!$D$65:$AL$65,MATCH(T$7,'Inputs (2)'!$D$2:$AL$2,0)),"")</f>
        <v>7419</v>
      </c>
      <c r="U41" s="265">
        <f>IFERROR(INDEX('Inputs (2)'!$D$65:$AL$65,MATCH(U$7,'Inputs (2)'!$D$2:$AL$2,0)),"")</f>
        <v>4340</v>
      </c>
      <c r="V41" s="265">
        <f>IFERROR(INDEX('Inputs (2)'!$D$65:$AL$65,MATCH(V$7,'Inputs (2)'!$D$2:$AL$2,0)),"")</f>
        <v>4363</v>
      </c>
      <c r="W41" s="266">
        <f>IF(COUNT(S41:V41)=4,SUM(S41:V41),"")</f>
        <v>22732</v>
      </c>
      <c r="X41" s="265">
        <f>IFERROR(INDEX('Inputs (2)'!$D$65:$AL$65,MATCH(X$7,'Inputs (2)'!$D$2:$AL$2,0)),"")</f>
        <v>4098</v>
      </c>
      <c r="Y41" s="265">
        <f>IFERROR(INDEX('Inputs (2)'!$D$65:$AL$65,MATCH(Y$7,'Inputs (2)'!$D$2:$AL$2,0)),"")</f>
        <v>4225</v>
      </c>
      <c r="Z41" s="265">
        <f>IFERROR(INDEX('Inputs (2)'!$D$65:$AL$65,MATCH(Z$7,'Inputs (2)'!$D$2:$AL$2,0)),"")</f>
        <v>4329</v>
      </c>
      <c r="AA41" s="265">
        <f>IFERROR(INDEX('Inputs (2)'!$D$65:$AL$65,MATCH(AA$7,'Inputs (2)'!$D$2:$AL$2,0)),"")</f>
        <v>4512</v>
      </c>
      <c r="AB41" s="266">
        <f>IF(COUNT(X41:AA41)=4,SUM(X41:AA41),"")</f>
        <v>17164</v>
      </c>
      <c r="AC41" s="265">
        <f>IFERROR(INDEX('Inputs (2)'!$D$65:$AL$65,MATCH(AC$7,'Inputs (2)'!$D$2:$AL$2,0)),"")</f>
        <v>4144</v>
      </c>
      <c r="AD41" s="265">
        <f>IFERROR(INDEX('Inputs (2)'!$D$65:$AL$65,MATCH(AD$7,'Inputs (2)'!$D$2:$AL$2,0)),"")</f>
        <v>4329</v>
      </c>
      <c r="AE41" s="265">
        <f>IFERROR(INDEX('Inputs (2)'!$D$65:$AL$65,MATCH(AE$7,'Inputs (2)'!$D$2:$AL$2,0)),"")</f>
        <v>4551</v>
      </c>
      <c r="AF41" s="265">
        <f>IFERROR(INDEX('Inputs (2)'!$D$65:$AL$65,MATCH(AF$7,'Inputs (2)'!$D$2:$AL$2,0)),"")</f>
        <v>4479</v>
      </c>
      <c r="AG41" s="266">
        <f>IF(COUNT(AC41:AF41)=4,SUM(AC41:AF41),"")</f>
        <v>17503</v>
      </c>
      <c r="AH41" s="266">
        <f>IFERROR(INDEX('Inputs (2)'!$D$65:$AL$65,MATCH(AH$7,'Inputs (2)'!$D$2:$AL$2,0)),"")</f>
        <v>4041</v>
      </c>
      <c r="AI41" s="266">
        <f>IFERROR(INDEX('Inputs (2)'!$D$65:$AL$65,MATCH(AI$7,'Inputs (2)'!$D$2:$AL$2,0)),"")</f>
        <v>4013</v>
      </c>
    </row>
    <row r="42">
      <c r="C42" s="14" t="inlineStr">
        <is>
          <t xml:space="preserve">   Search and news advertising</t>
        </is>
      </c>
      <c r="D42" s="265">
        <f>IFERROR(INDEX('Inputs (2)'!$D$66:$AL$66,MATCH(D$7,'Inputs (2)'!$D$2:$AL$2,0)),"")</f>
        <v>1986</v>
      </c>
      <c r="E42" s="265">
        <f>IFERROR(INDEX('Inputs (2)'!$D$66:$AL$66,MATCH(E$7,'Inputs (2)'!$D$2:$AL$2,0)),"")</f>
        <v>2384</v>
      </c>
      <c r="F42" s="265">
        <f>IFERROR(INDEX('Inputs (2)'!$D$66:$AL$66,MATCH(F$7,'Inputs (2)'!$D$2:$AL$2,0)),"")</f>
        <v>1943</v>
      </c>
      <c r="G42" s="265">
        <f>IFERROR(INDEX('Inputs (2)'!$D$66:$AL$66,MATCH(G$7,'Inputs (2)'!$D$2:$AL$2,0)),"")</f>
        <v>2386</v>
      </c>
      <c r="H42" s="266">
        <f>IF(COUNT(D42:G42)=4,SUM(D42:G42),"")</f>
        <v>8699</v>
      </c>
      <c r="I42" s="265">
        <f>IFERROR(INDEX('Inputs (2)'!$D$66:$AL$66,MATCH(I$7,'Inputs (2)'!$D$2:$AL$2,0)),"")</f>
        <v>2401</v>
      </c>
      <c r="J42" s="265">
        <f>IFERROR(INDEX('Inputs (2)'!$D$66:$AL$66,MATCH(J$7,'Inputs (2)'!$D$2:$AL$2,0)),"")</f>
        <v>2537</v>
      </c>
      <c r="K42" s="265">
        <f>IFERROR(INDEX('Inputs (2)'!$D$66:$AL$66,MATCH(K$7,'Inputs (2)'!$D$2:$AL$2,0)),"")</f>
        <v>2656</v>
      </c>
      <c r="L42" s="265">
        <f>IFERROR(INDEX('Inputs (2)'!$D$66:$AL$66,MATCH(L$7,'Inputs (2)'!$D$2:$AL$2,0)),"")</f>
        <v>3064</v>
      </c>
      <c r="M42" s="266">
        <f>IF(COUNT(I42:L42)=4,SUM(I42:L42),"")</f>
        <v>10658</v>
      </c>
      <c r="N42" s="265">
        <f>IFERROR(INDEX('Inputs (2)'!$D$66:$AL$66,MATCH(N$7,'Inputs (2)'!$D$2:$AL$2,0)),"")</f>
        <v>2945</v>
      </c>
      <c r="O42" s="265">
        <f>IFERROR(INDEX('Inputs (2)'!$D$66:$AL$66,MATCH(O$7,'Inputs (2)'!$D$2:$AL$2,0)),"")</f>
        <v>2926</v>
      </c>
      <c r="P42" s="265">
        <f>IFERROR(INDEX('Inputs (2)'!$D$66:$AL$66,MATCH(P$7,'Inputs (2)'!$D$2:$AL$2,0)),"")</f>
        <v>2913</v>
      </c>
      <c r="Q42" s="265">
        <f>IFERROR(INDEX('Inputs (2)'!$D$66:$AL$66,MATCH(Q$7,'Inputs (2)'!$D$2:$AL$2,0)),"")</f>
        <v>3209</v>
      </c>
      <c r="R42" s="266">
        <f>IF(COUNT(N42:Q42)=4,SUM(N42:Q42),"")</f>
        <v>11993</v>
      </c>
      <c r="S42" s="265">
        <f>IFERROR(INDEX('Inputs (2)'!$D$66:$AL$66,MATCH(S$7,'Inputs (2)'!$D$2:$AL$2,0)),"")</f>
        <v>3036</v>
      </c>
      <c r="T42" s="265">
        <f>IFERROR(INDEX('Inputs (2)'!$D$66:$AL$66,MATCH(T$7,'Inputs (2)'!$D$2:$AL$2,0)),"")</f>
        <v>3012</v>
      </c>
      <c r="U42" s="265">
        <f>IFERROR(INDEX('Inputs (2)'!$D$66:$AL$66,MATCH(U$7,'Inputs (2)'!$D$2:$AL$2,0)),"")</f>
        <v>3018</v>
      </c>
      <c r="V42" s="265">
        <f>IFERROR(INDEX('Inputs (2)'!$D$66:$AL$66,MATCH(V$7,'Inputs (2)'!$D$2:$AL$2,0)),"")</f>
        <v>3168</v>
      </c>
      <c r="W42" s="266">
        <f>IF(COUNT(S42:V42)=4,SUM(S42:V42),"")</f>
        <v>12234</v>
      </c>
      <c r="X42" s="265">
        <f>IFERROR(INDEX('Inputs (2)'!$D$66:$AL$66,MATCH(X$7,'Inputs (2)'!$D$2:$AL$2,0)),"")</f>
        <v>3055</v>
      </c>
      <c r="Y42" s="265">
        <f>IFERROR(INDEX('Inputs (2)'!$D$66:$AL$66,MATCH(Y$7,'Inputs (2)'!$D$2:$AL$2,0)),"")</f>
        <v>3169</v>
      </c>
      <c r="Z42" s="265">
        <f>IFERROR(INDEX('Inputs (2)'!$D$66:$AL$66,MATCH(Z$7,'Inputs (2)'!$D$2:$AL$2,0)),"")</f>
        <v>3225</v>
      </c>
      <c r="AA42" s="265">
        <f>IFERROR(INDEX('Inputs (2)'!$D$66:$AL$66,MATCH(AA$7,'Inputs (2)'!$D$2:$AL$2,0)),"")</f>
        <v>3558</v>
      </c>
      <c r="AB42" s="266">
        <f>IF(COUNT(X42:AA42)=4,SUM(X42:AA42),"")</f>
        <v>13007</v>
      </c>
      <c r="AC42" s="265">
        <f>IFERROR(INDEX('Inputs (2)'!$D$66:$AL$66,MATCH(AC$7,'Inputs (2)'!$D$2:$AL$2,0)),"")</f>
        <v>3504</v>
      </c>
      <c r="AD42" s="265">
        <f>IFERROR(INDEX('Inputs (2)'!$D$66:$AL$66,MATCH(AD$7,'Inputs (2)'!$D$2:$AL$2,0)),"")</f>
        <v>3591</v>
      </c>
      <c r="AE42" s="265">
        <f>IFERROR(INDEX('Inputs (2)'!$D$66:$AL$66,MATCH(AE$7,'Inputs (2)'!$D$2:$AL$2,0)),"")</f>
        <v>3697</v>
      </c>
      <c r="AF42" s="265">
        <f>IFERROR(INDEX('Inputs (2)'!$D$66:$AL$66,MATCH(AF$7,'Inputs (2)'!$D$2:$AL$2,0)),"")</f>
        <v>3812</v>
      </c>
      <c r="AG42" s="266">
        <f>IF(COUNT(AC42:AF42)=4,SUM(AC42:AF42),"")</f>
        <v>14604</v>
      </c>
      <c r="AH42" s="266">
        <f>IFERROR(INDEX('Inputs (2)'!$D$66:$AL$66,MATCH(AH$7,'Inputs (2)'!$D$2:$AL$2,0)),"")</f>
        <v>3808</v>
      </c>
      <c r="AI42" s="266">
        <f>IFERROR(INDEX('Inputs (2)'!$D$66:$AL$66,MATCH(AI$7,'Inputs (2)'!$D$2:$AL$2,0)),"")</f>
        <v>3859</v>
      </c>
    </row>
    <row r="43"/>
    <row r="44">
      <c r="C44" s="12" t="inlineStr">
        <is>
          <t>Receita por região (USD milhões)</t>
        </is>
      </c>
      <c r="D44" s="12" t="str">
        <f>D7</f>
        <v>1Q20</v>
      </c>
      <c r="E44" s="12" t="str">
        <f>E7</f>
        <v>2Q20</v>
      </c>
      <c r="F44" s="12" t="str">
        <f>F7</f>
        <v>3Q20</v>
      </c>
      <c r="G44" s="12" t="str">
        <f>G7</f>
        <v>4Q20</v>
      </c>
      <c r="H44" s="12">
        <f>H7</f>
        <v>2020</v>
      </c>
      <c r="I44" s="12" t="str">
        <f>I7</f>
        <v>1Q21</v>
      </c>
      <c r="J44" s="12" t="str">
        <f>J7</f>
        <v>2Q21</v>
      </c>
      <c r="K44" s="12" t="str">
        <f>K7</f>
        <v>3Q21</v>
      </c>
      <c r="L44" s="12" t="str">
        <f>L7</f>
        <v>4Q21</v>
      </c>
      <c r="M44" s="12">
        <f>M7</f>
        <v>2021</v>
      </c>
      <c r="N44" s="12" t="str">
        <f>N7</f>
        <v>1Q22</v>
      </c>
      <c r="O44" s="12" t="str">
        <f>O7</f>
        <v>2Q22</v>
      </c>
      <c r="P44" s="12" t="str">
        <f>P7</f>
        <v>3Q22</v>
      </c>
      <c r="Q44" s="12" t="str">
        <f>Q7</f>
        <v>4Q22</v>
      </c>
      <c r="R44" s="12">
        <f>R7</f>
        <v>2022</v>
      </c>
      <c r="S44" s="12" t="str">
        <f>S7</f>
        <v>1Q23</v>
      </c>
      <c r="T44" s="12" t="str">
        <f>T7</f>
        <v>2Q23</v>
      </c>
      <c r="U44" s="12" t="str">
        <f>U7</f>
        <v>3Q23</v>
      </c>
      <c r="V44" s="12" t="str">
        <f>V7</f>
        <v>4Q23</v>
      </c>
      <c r="W44" s="12">
        <f>W7</f>
        <v>2023</v>
      </c>
      <c r="X44" s="12" t="str">
        <f>X7</f>
        <v>1Q24</v>
      </c>
      <c r="Y44" s="12" t="str">
        <f>Y7</f>
        <v>2Q24</v>
      </c>
      <c r="Z44" s="12" t="str">
        <f>Z7</f>
        <v>3Q24</v>
      </c>
      <c r="AA44" s="12" t="str">
        <f>AA7</f>
        <v>4Q24</v>
      </c>
      <c r="AB44" s="12">
        <f>AB7</f>
        <v>2024</v>
      </c>
      <c r="AC44" s="12" t="str">
        <f>AC7</f>
        <v>1Q25</v>
      </c>
      <c r="AD44" s="12" t="str">
        <f>AD7</f>
        <v>2Q25</v>
      </c>
      <c r="AE44" s="12" t="str">
        <f>AE7</f>
        <v>3Q25</v>
      </c>
      <c r="AF44" s="12" t="str">
        <f>AF7</f>
        <v>4Q25</v>
      </c>
      <c r="AG44" s="12">
        <f>AG7</f>
        <v>2025</v>
      </c>
      <c r="AH44" s="12" t="str">
        <f>AH7</f>
        <v>1Q26</v>
      </c>
      <c r="AI44" s="12" t="str">
        <f>AI7</f>
        <v>2Q26</v>
      </c>
    </row>
    <row r="45">
      <c r="C45" s="14" t="inlineStr">
        <is>
          <t xml:space="preserve">   Estados Unidos</t>
        </is>
      </c>
      <c r="D45" s="265">
        <f>IFERROR(INDEX('Inputs (2)'!$D$67:$AL$67,MATCH(D$7,'Inputs (2)'!$D$2:$AL$2,0)),"")</f>
        <v>17428</v>
      </c>
      <c r="E45" s="265">
        <f>IFERROR(INDEX('Inputs (2)'!$D$67:$AL$67,MATCH(E$7,'Inputs (2)'!$D$2:$AL$2,0)),"")</f>
        <v>19313</v>
      </c>
      <c r="F45" s="265">
        <f>IFERROR(INDEX('Inputs (2)'!$D$67:$AL$67,MATCH(F$7,'Inputs (2)'!$D$2:$AL$2,0)),"")</f>
        <v>19025</v>
      </c>
      <c r="G45" s="265">
        <f>IFERROR(INDEX('Inputs (2)'!$D$67:$AL$67,MATCH(G$7,'Inputs (2)'!$D$2:$AL$2,0)),"")</f>
        <v>21836</v>
      </c>
      <c r="H45" s="266">
        <f>IF(COUNT(D45:G45)=4,SUM(D45:G45),"")</f>
        <v>77602</v>
      </c>
      <c r="I45" s="265">
        <f>IFERROR(INDEX('Inputs (2)'!$D$67:$AL$67,MATCH(I$7,'Inputs (2)'!$D$2:$AL$2,0)),"")</f>
        <v>20373</v>
      </c>
      <c r="J45" s="265">
        <f>IFERROR(INDEX('Inputs (2)'!$D$67:$AL$67,MATCH(J$7,'Inputs (2)'!$D$2:$AL$2,0)),"")</f>
        <v>22719</v>
      </c>
      <c r="K45" s="265">
        <f>IFERROR(INDEX('Inputs (2)'!$D$67:$AL$67,MATCH(K$7,'Inputs (2)'!$D$2:$AL$2,0)),"")</f>
        <v>22830</v>
      </c>
      <c r="L45" s="265">
        <f>IFERROR(INDEX('Inputs (2)'!$D$67:$AL$67,MATCH(L$7,'Inputs (2)'!$D$2:$AL$2,0)),"")</f>
        <v>26463</v>
      </c>
      <c r="M45" s="266">
        <f>IF(COUNT(I45:L45)=4,SUM(I45:L45),"")</f>
        <v>92385</v>
      </c>
      <c r="N45" s="265">
        <f>IFERROR(INDEX('Inputs (2)'!$D$67:$AL$67,MATCH(N$7,'Inputs (2)'!$D$2:$AL$2,0)),"")</f>
        <v>24771</v>
      </c>
      <c r="O45" s="265">
        <f>IFERROR(INDEX('Inputs (2)'!$D$67:$AL$67,MATCH(O$7,'Inputs (2)'!$D$2:$AL$2,0)),"")</f>
        <v>26154</v>
      </c>
      <c r="P45" s="265">
        <f>IFERROR(INDEX('Inputs (2)'!$D$67:$AL$67,MATCH(P$7,'Inputs (2)'!$D$2:$AL$2,0)),"")</f>
        <v>25867</v>
      </c>
      <c r="Q45" s="265">
        <f>IFERROR(INDEX('Inputs (2)'!$D$67:$AL$67,MATCH(Q$7,'Inputs (2)'!$D$2:$AL$2,0)),"")</f>
        <v>26976</v>
      </c>
      <c r="R45" s="266">
        <f>IF(COUNT(N45:Q45)=4,SUM(N45:Q45),"")</f>
        <v>103768</v>
      </c>
      <c r="S45" s="265">
        <f>IFERROR(INDEX('Inputs (2)'!$D$67:$AL$67,MATCH(S$7,'Inputs (2)'!$D$2:$AL$2,0)),"")</f>
        <v>26007</v>
      </c>
      <c r="T45" s="265">
        <f>IFERROR(INDEX('Inputs (2)'!$D$67:$AL$67,MATCH(T$7,'Inputs (2)'!$D$2:$AL$2,0)),"")</f>
        <v>27894</v>
      </c>
      <c r="U45" s="265">
        <f>IFERROR(INDEX('Inputs (2)'!$D$67:$AL$67,MATCH(U$7,'Inputs (2)'!$D$2:$AL$2,0)),"")</f>
        <v>28812</v>
      </c>
      <c r="V45" s="265">
        <f>IFERROR(INDEX('Inputs (2)'!$D$67:$AL$67,MATCH(V$7,'Inputs (2)'!$D$2:$AL$2,0)),"")</f>
        <v>32295</v>
      </c>
      <c r="W45" s="266">
        <f>IF(COUNT(S45:V45)=4,SUM(S45:V45),"")</f>
        <v>115008</v>
      </c>
      <c r="X45" s="265">
        <f>IFERROR(INDEX('Inputs (2)'!$D$67:$AL$67,MATCH(X$7,'Inputs (2)'!$D$2:$AL$2,0)),"")</f>
        <v>31437</v>
      </c>
      <c r="Y45" s="265">
        <f>IFERROR(INDEX('Inputs (2)'!$D$67:$AL$67,MATCH(Y$7,'Inputs (2)'!$D$2:$AL$2,0)),"")</f>
        <v>32160</v>
      </c>
      <c r="Z45" s="265">
        <f>IFERROR(INDEX('Inputs (2)'!$D$67:$AL$67,MATCH(Z$7,'Inputs (2)'!$D$2:$AL$2,0)),"")</f>
        <v>33913</v>
      </c>
      <c r="AA45" s="265">
        <f>IFERROR(INDEX('Inputs (2)'!$D$67:$AL$67,MATCH(AA$7,'Inputs (2)'!$D$2:$AL$2,0)),"")</f>
        <v>35537</v>
      </c>
      <c r="AB45" s="266">
        <f>IF(COUNT(X45:AA45)=4,SUM(X45:AA45),"")</f>
        <v>133047</v>
      </c>
      <c r="AC45" s="265">
        <f>IFERROR(INDEX('Inputs (2)'!$D$67:$AL$67,MATCH(AC$7,'Inputs (2)'!$D$2:$AL$2,0)),"")</f>
        <v>36084</v>
      </c>
      <c r="AD45" s="265">
        <f>IFERROR(INDEX('Inputs (2)'!$D$67:$AL$67,MATCH(AD$7,'Inputs (2)'!$D$2:$AL$2,0)),"")</f>
        <v>39012</v>
      </c>
      <c r="AE45" s="265">
        <f>IFERROR(INDEX('Inputs (2)'!$D$67:$AL$67,MATCH(AE$7,'Inputs (2)'!$D$2:$AL$2,0)),"")</f>
        <v>40077</v>
      </c>
      <c r="AF45" s="265">
        <f>IFERROR(INDEX('Inputs (2)'!$D$67:$AL$67,MATCH(AF$7,'Inputs (2)'!$D$2:$AL$2,0)),"")</f>
        <v>41410</v>
      </c>
      <c r="AG45" s="266">
        <f>IF(COUNT(AC45:AF45)=4,SUM(AC45:AF45),"")</f>
        <v>156583</v>
      </c>
      <c r="AH45" s="266">
        <f>IFERROR(INDEX('Inputs (2)'!$D$67:$AL$67,MATCH(AH$7,'Inputs (2)'!$D$2:$AL$2,0)),"")</f>
        <v>42336</v>
      </c>
      <c r="AI45" s="266">
        <f>IFERROR(INDEX('Inputs (2)'!$D$67:$AL$67,MATCH(AI$7,'Inputs (2)'!$D$2:$AL$2,0)),"")</f>
        <v>46971</v>
      </c>
    </row>
    <row r="46">
      <c r="C46" s="14" t="inlineStr">
        <is>
          <t xml:space="preserve">   Fora dos EUA</t>
        </is>
      </c>
      <c r="D46" s="265">
        <f>IFERROR(INDEX('Inputs (2)'!$D$68:$AL$68,MATCH(D$7,'Inputs (2)'!$D$2:$AL$2,0)),"")</f>
        <v>17593</v>
      </c>
      <c r="E46" s="265">
        <f>IFERROR(INDEX('Inputs (2)'!$D$68:$AL$68,MATCH(E$7,'Inputs (2)'!$D$2:$AL$2,0)),"")</f>
        <v>18720</v>
      </c>
      <c r="F46" s="265">
        <f>IFERROR(INDEX('Inputs (2)'!$D$68:$AL$68,MATCH(F$7,'Inputs (2)'!$D$2:$AL$2,0)),"")</f>
        <v>18129</v>
      </c>
      <c r="G46" s="265">
        <f>IFERROR(INDEX('Inputs (2)'!$D$68:$AL$68,MATCH(G$7,'Inputs (2)'!$D$2:$AL$2,0)),"")</f>
        <v>21240</v>
      </c>
      <c r="H46" s="266">
        <f>IF(COUNT(D46:G46)=4,SUM(D46:G46),"")</f>
        <v>75682</v>
      </c>
      <c r="I46" s="265">
        <f>IFERROR(INDEX('Inputs (2)'!$D$68:$AL$68,MATCH(I$7,'Inputs (2)'!$D$2:$AL$2,0)),"")</f>
        <v>21333</v>
      </c>
      <c r="J46" s="265">
        <f>IFERROR(INDEX('Inputs (2)'!$D$68:$AL$68,MATCH(J$7,'Inputs (2)'!$D$2:$AL$2,0)),"")</f>
        <v>23433</v>
      </c>
      <c r="K46" s="265">
        <f>IFERROR(INDEX('Inputs (2)'!$D$68:$AL$68,MATCH(K$7,'Inputs (2)'!$D$2:$AL$2,0)),"")</f>
        <v>22487</v>
      </c>
      <c r="L46" s="265">
        <f>IFERROR(INDEX('Inputs (2)'!$D$68:$AL$68,MATCH(L$7,'Inputs (2)'!$D$2:$AL$2,0)),"")</f>
        <v>25265</v>
      </c>
      <c r="M46" s="266">
        <f>IF(COUNT(I46:L46)=4,SUM(I46:L46),"")</f>
        <v>92518</v>
      </c>
      <c r="N46" s="265">
        <f>IFERROR(INDEX('Inputs (2)'!$D$68:$AL$68,MATCH(N$7,'Inputs (2)'!$D$2:$AL$2,0)),"")</f>
        <v>24589</v>
      </c>
      <c r="O46" s="265">
        <f>IFERROR(INDEX('Inputs (2)'!$D$68:$AL$68,MATCH(O$7,'Inputs (2)'!$D$2:$AL$2,0)),"")</f>
        <v>25711</v>
      </c>
      <c r="P46" s="265">
        <f>IFERROR(INDEX('Inputs (2)'!$D$68:$AL$68,MATCH(P$7,'Inputs (2)'!$D$2:$AL$2,0)),"")</f>
        <v>24255</v>
      </c>
      <c r="Q46" s="265">
        <f>IFERROR(INDEX('Inputs (2)'!$D$68:$AL$68,MATCH(Q$7,'Inputs (2)'!$D$2:$AL$2,0)),"")</f>
        <v>25771</v>
      </c>
      <c r="R46" s="266">
        <f>IF(COUNT(N46:Q46)=4,SUM(N46:Q46),"")</f>
        <v>100326</v>
      </c>
      <c r="S46" s="265">
        <f>IFERROR(INDEX('Inputs (2)'!$D$68:$AL$68,MATCH(S$7,'Inputs (2)'!$D$2:$AL$2,0)),"")</f>
        <v>26850</v>
      </c>
      <c r="T46" s="265">
        <f>IFERROR(INDEX('Inputs (2)'!$D$68:$AL$68,MATCH(T$7,'Inputs (2)'!$D$2:$AL$2,0)),"")</f>
        <v>28295</v>
      </c>
      <c r="U46" s="265">
        <f>IFERROR(INDEX('Inputs (2)'!$D$68:$AL$68,MATCH(U$7,'Inputs (2)'!$D$2:$AL$2,0)),"")</f>
        <v>27705</v>
      </c>
      <c r="V46" s="265">
        <f>IFERROR(INDEX('Inputs (2)'!$D$68:$AL$68,MATCH(V$7,'Inputs (2)'!$D$2:$AL$2,0)),"")</f>
        <v>29725</v>
      </c>
      <c r="W46" s="266">
        <f>IF(COUNT(S46:V46)=4,SUM(S46:V46),"")</f>
        <v>112575</v>
      </c>
      <c r="X46" s="265">
        <f>IFERROR(INDEX('Inputs (2)'!$D$68:$AL$68,MATCH(X$7,'Inputs (2)'!$D$2:$AL$2,0)),"")</f>
        <v>30421</v>
      </c>
      <c r="Y46" s="265">
        <f>IFERROR(INDEX('Inputs (2)'!$D$68:$AL$68,MATCH(Y$7,'Inputs (2)'!$D$2:$AL$2,0)),"")</f>
        <v>32567</v>
      </c>
      <c r="Z46" s="265">
        <f>IFERROR(INDEX('Inputs (2)'!$D$68:$AL$68,MATCH(Z$7,'Inputs (2)'!$D$2:$AL$2,0)),"")</f>
        <v>31672</v>
      </c>
      <c r="AA46" s="265">
        <f>IFERROR(INDEX('Inputs (2)'!$D$68:$AL$68,MATCH(AA$7,'Inputs (2)'!$D$2:$AL$2,0)),"")</f>
        <v>34095</v>
      </c>
      <c r="AB46" s="266">
        <f>IF(COUNT(X46:AA46)=4,SUM(X46:AA46),"")</f>
        <v>128755</v>
      </c>
      <c r="AC46" s="265">
        <f>IFERROR(INDEX('Inputs (2)'!$D$68:$AL$68,MATCH(AC$7,'Inputs (2)'!$D$2:$AL$2,0)),"")</f>
        <v>33982</v>
      </c>
      <c r="AD46" s="265">
        <f>IFERROR(INDEX('Inputs (2)'!$D$68:$AL$68,MATCH(AD$7,'Inputs (2)'!$D$2:$AL$2,0)),"")</f>
        <v>37429</v>
      </c>
      <c r="AE46" s="265">
        <f>IFERROR(INDEX('Inputs (2)'!$D$68:$AL$68,MATCH(AE$7,'Inputs (2)'!$D$2:$AL$2,0)),"")</f>
        <v>37596</v>
      </c>
      <c r="AF46" s="265">
        <f>IFERROR(INDEX('Inputs (2)'!$D$68:$AL$68,MATCH(AF$7,'Inputs (2)'!$D$2:$AL$2,0)),"")</f>
        <v>39863</v>
      </c>
      <c r="AG46" s="266">
        <f>IF(COUNT(AC46:AF46)=4,SUM(AC46:AF46),"")</f>
        <v>148870</v>
      </c>
      <c r="AH46" s="266">
        <f>IFERROR(INDEX('Inputs (2)'!$D$68:$AL$68,MATCH(AH$7,'Inputs (2)'!$D$2:$AL$2,0)),"")</f>
        <v>40550</v>
      </c>
      <c r="AI46" s="266">
        <f>IFERROR(INDEX('Inputs (2)'!$D$68:$AL$68,MATCH(AI$7,'Inputs (2)'!$D$2:$AL$2,0)),"")</f>
        <v>43036</v>
      </c>
    </row>
    <row r="47">
      <c r="C47" s="14" t="inlineStr">
        <is>
          <t xml:space="preserve">   % EUA na receita</t>
        </is>
      </c>
      <c r="D47" s="268">
        <f>IFERROR(D45/D22,"")</f>
        <v>0.497644270580509</v>
      </c>
      <c r="E47" s="268">
        <f>IFERROR(E45/E22,"")</f>
        <v>0.507795861488707</v>
      </c>
      <c r="F47" s="268">
        <f>IFERROR(F45/F22,"")</f>
        <v>0.512057921085213</v>
      </c>
      <c r="G47" s="268">
        <f>IFERROR(G45/G22,"")</f>
        <v>0.50691800538583</v>
      </c>
      <c r="H47" s="269">
        <f>IFERROR(H45/H22,"")</f>
        <v>0.506262884580256</v>
      </c>
      <c r="I47" s="268">
        <f>IFERROR(I45/I22,"")</f>
        <v>0.488490864623795</v>
      </c>
      <c r="J47" s="268">
        <f>IFERROR(J45/J22,"")</f>
        <v>0.492264690587624</v>
      </c>
      <c r="K47" s="268">
        <f>IFERROR(K45/K22,"")</f>
        <v>0.503784451750999</v>
      </c>
      <c r="L47" s="268">
        <f>IFERROR(L45/L22,"")</f>
        <v>0.511579802041448</v>
      </c>
      <c r="M47" s="269">
        <f>IFERROR(M45/M22,"")</f>
        <v>0.499640351968329</v>
      </c>
      <c r="N47" s="268">
        <f>IFERROR(N45/N22,"")</f>
        <v>0.501843598055105</v>
      </c>
      <c r="O47" s="268">
        <f>IFERROR(O45/O22,"")</f>
        <v>0.504270702786079</v>
      </c>
      <c r="P47" s="268">
        <f>IFERROR(P45/P22,"")</f>
        <v>0.51608076293843</v>
      </c>
      <c r="Q47" s="268">
        <f>IFERROR(Q45/Q22,"")</f>
        <v>0.511422450565909</v>
      </c>
      <c r="R47" s="269">
        <f>IFERROR(R45/R22,"")</f>
        <v>0.508432388997227</v>
      </c>
      <c r="S47" s="268">
        <f>IFERROR(S45/S22,"")</f>
        <v>0.49202565412339</v>
      </c>
      <c r="T47" s="268">
        <f>IFERROR(T45/T22,"")</f>
        <v>0.496431685917172</v>
      </c>
      <c r="U47" s="268">
        <f>IFERROR(U45/U22,"")</f>
        <v>0.509793513456128</v>
      </c>
      <c r="V47" s="268">
        <f>IFERROR(V45/V22,"")</f>
        <v>0.520719122863592</v>
      </c>
      <c r="W47" s="269">
        <f>IFERROR(W45/W22,"")</f>
        <v>0.5053453025929</v>
      </c>
      <c r="X47" s="268">
        <f>IFERROR(X45/X22,"")</f>
        <v>0.50821235733454</v>
      </c>
      <c r="Y47" s="268">
        <f>IFERROR(Y45/Y22,"")</f>
        <v>0.496856026078762</v>
      </c>
      <c r="Z47" s="268">
        <f>IFERROR(Z45/Z22,"")</f>
        <v>0.517084699245254</v>
      </c>
      <c r="AA47" s="268">
        <f>IFERROR(AA45/AA22,"")</f>
        <v>0.510354434742647</v>
      </c>
      <c r="AB47" s="269">
        <f>IFERROR(AB45/AB22,"")</f>
        <v>0.508197034400043</v>
      </c>
      <c r="AC47" s="268">
        <f>IFERROR(AC45/AC22,"")</f>
        <v>0.515000142722576</v>
      </c>
      <c r="AD47" s="268">
        <f>IFERROR(AD45/AD22,"")</f>
        <v>0.510354390968198</v>
      </c>
      <c r="AE47" s="268">
        <f>IFERROR(AE45/AE22,"")</f>
        <v>0.515970800664324</v>
      </c>
      <c r="AF47" s="268">
        <f>IFERROR(AF45/AF22,"")</f>
        <v>0.509517305870338</v>
      </c>
      <c r="AG47" s="269">
        <f>IFERROR(AG45/AG22,"")</f>
        <v>0.512625510307642</v>
      </c>
      <c r="AH47" s="269">
        <f>IFERROR(AH45/AH22,"")</f>
        <v>0.510773833940593</v>
      </c>
      <c r="AI47" s="269">
        <f>IFERROR(AI45/AI22,"")</f>
        <v>0.521859410934705</v>
      </c>
    </row>
    <row r="48"/>
    <row r="49"/>
    <row r="50"/>
    <row r="51"/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-10975</v>
      </c>
      <c r="E54" s="25">
        <f>INDEX('Inputs (2)'!$D$5:$AL$5,MATCH(E$7,'Inputs (2)'!$D$2:$AL$2,0))</f>
        <v>-12339</v>
      </c>
      <c r="F54" s="25">
        <f>INDEX('Inputs (2)'!$D$5:$AL$5,MATCH(F$7,'Inputs (2)'!$D$2:$AL$2,0))</f>
        <v>-11002</v>
      </c>
      <c r="G54" s="25">
        <f>INDEX('Inputs (2)'!$D$5:$AL$5,MATCH(G$7,'Inputs (2)'!$D$2:$AL$2,0))</f>
        <v>-14194</v>
      </c>
      <c r="H54" s="3">
        <f>SUM(D54:G54)</f>
        <v>-48510</v>
      </c>
      <c r="I54" s="25">
        <f>INDEX('Inputs (2)'!$D$5:$AL$5,MATCH(I$7,'Inputs (2)'!$D$2:$AL$2,0))</f>
        <v>-13045</v>
      </c>
      <c r="J54" s="25">
        <f>INDEX('Inputs (2)'!$D$5:$AL$5,MATCH(J$7,'Inputs (2)'!$D$2:$AL$2,0))</f>
        <v>-13991</v>
      </c>
      <c r="K54" s="25">
        <f>INDEX('Inputs (2)'!$D$5:$AL$5,MATCH(K$7,'Inputs (2)'!$D$2:$AL$2,0))</f>
        <v>-13646</v>
      </c>
      <c r="L54" s="25">
        <f>INDEX('Inputs (2)'!$D$5:$AL$5,MATCH(L$7,'Inputs (2)'!$D$2:$AL$2,0))</f>
        <v>-16960</v>
      </c>
      <c r="M54" s="3">
        <f>SUM(I54:L54)</f>
        <v>-57642</v>
      </c>
      <c r="N54" s="25">
        <f>INDEX('Inputs (2)'!$D$5:$AL$5,MATCH(N$7,'Inputs (2)'!$D$2:$AL$2,0))</f>
        <v>-15615</v>
      </c>
      <c r="O54" s="25">
        <f>INDEX('Inputs (2)'!$D$5:$AL$5,MATCH(O$7,'Inputs (2)'!$D$2:$AL$2,0))</f>
        <v>-16429</v>
      </c>
      <c r="P54" s="25">
        <f>INDEX('Inputs (2)'!$D$5:$AL$5,MATCH(P$7,'Inputs (2)'!$D$2:$AL$2,0))</f>
        <v>-15452</v>
      </c>
      <c r="Q54" s="25">
        <f>INDEX('Inputs (2)'!$D$5:$AL$5,MATCH(Q$7,'Inputs (2)'!$D$2:$AL$2,0))</f>
        <v>-17488</v>
      </c>
      <c r="R54" s="3">
        <f>SUM(N54:Q54)</f>
        <v>-64984</v>
      </c>
      <c r="S54" s="25">
        <f>INDEX('Inputs (2)'!$D$5:$AL$5,MATCH(S$7,'Inputs (2)'!$D$2:$AL$2,0))</f>
        <v>-16128</v>
      </c>
      <c r="T54" s="25">
        <f>INDEX('Inputs (2)'!$D$5:$AL$5,MATCH(T$7,'Inputs (2)'!$D$2:$AL$2,0))</f>
        <v>-16795</v>
      </c>
      <c r="U54" s="25">
        <f>INDEX('Inputs (2)'!$D$5:$AL$5,MATCH(U$7,'Inputs (2)'!$D$2:$AL$2,0))</f>
        <v>-16302</v>
      </c>
      <c r="V54" s="25">
        <f>INDEX('Inputs (2)'!$D$5:$AL$5,MATCH(V$7,'Inputs (2)'!$D$2:$AL$2,0))</f>
        <v>-19623</v>
      </c>
      <c r="W54" s="3">
        <f>SUM(S54:V54)</f>
        <v>-68848</v>
      </c>
      <c r="X54" s="25">
        <f>INDEX('Inputs (2)'!$D$5:$AL$5,MATCH(X$7,'Inputs (2)'!$D$2:$AL$2,0))</f>
        <v>-18505</v>
      </c>
      <c r="Y54" s="25">
        <f>INDEX('Inputs (2)'!$D$5:$AL$5,MATCH(Y$7,'Inputs (2)'!$D$2:$AL$2,0))</f>
        <v>-19684</v>
      </c>
      <c r="Z54" s="25">
        <f>INDEX('Inputs (2)'!$D$5:$AL$5,MATCH(Z$7,'Inputs (2)'!$D$2:$AL$2,0))</f>
        <v>-20099</v>
      </c>
      <c r="AA54" s="25">
        <f>INDEX('Inputs (2)'!$D$5:$AL$5,MATCH(AA$7,'Inputs (2)'!$D$2:$AL$2,0))</f>
        <v>-21799</v>
      </c>
      <c r="AB54" s="3">
        <f>SUM(X54:AA54)</f>
        <v>-80087</v>
      </c>
      <c r="AC54" s="25">
        <f>INDEX('Inputs (2)'!$D$5:$AL$5,MATCH(AC$7,'Inputs (2)'!$D$2:$AL$2,0))</f>
        <v>-21919</v>
      </c>
      <c r="AD54" s="25">
        <f>INDEX('Inputs (2)'!$D$5:$AL$5,MATCH(AD$7,'Inputs (2)'!$D$2:$AL$2,0))</f>
        <v>-24014</v>
      </c>
      <c r="AE54" s="25">
        <f>INDEX('Inputs (2)'!$D$5:$AL$5,MATCH(AE$7,'Inputs (2)'!$D$2:$AL$2,0))</f>
        <v>-24043</v>
      </c>
      <c r="AF54" s="25">
        <f>INDEX('Inputs (2)'!$D$5:$AL$5,MATCH(AF$7,'Inputs (2)'!$D$2:$AL$2,0))</f>
        <v>-25978</v>
      </c>
      <c r="AG54" s="3">
        <f>SUM(AC54:AF54)</f>
        <v>-95954</v>
      </c>
      <c r="AH54" s="3">
        <f>INDEX('Inputs (2)'!$D$5:$AL$5,MATCH(AH$7,'Inputs (2)'!$D$2:$AL$2,0))</f>
        <v>-26828</v>
      </c>
      <c r="AI54" s="3">
        <f>INDEX('Inputs (2)'!$D$5:$AL$5,MATCH(AI$7,'Inputs (2)'!$D$2:$AL$2,0))</f>
        <v>-29525</v>
      </c>
      <c r="AJ54" s="3">
        <f>(100%-AJ55)*-AJ15</f>
        <v>-77673</v>
      </c>
      <c r="AK54" s="3">
        <f>(100%-AK55)*-AK15</f>
        <v>-81273</v>
      </c>
      <c r="AL54" s="3">
        <f>SUM(AH54:AK54)</f>
        <v>-215299</v>
      </c>
      <c r="AM54" s="3">
        <f>(100%-AM55)*-AM15</f>
        <v>-82886</v>
      </c>
      <c r="AN54" s="3">
        <f>(100%-AN55)*-AN15</f>
        <v>-90007</v>
      </c>
      <c r="AO54" s="3">
        <f>(100%-AO55)*-AO15</f>
        <v>-77673</v>
      </c>
      <c r="AP54" s="3">
        <f>(100%-AP55)*-AP15</f>
        <v>-81273</v>
      </c>
      <c r="AQ54" s="3">
        <f>SUM(AM54:AP54)</f>
        <v>-331839</v>
      </c>
      <c r="AR54" s="3">
        <f>(100%-AR55)*-AR15</f>
        <v>-82886</v>
      </c>
      <c r="AS54" s="3">
        <f>(100%-AS55)*-AS15</f>
        <v>-90007</v>
      </c>
      <c r="AT54" s="3">
        <f>(100%-AT55)*-AT15</f>
        <v>-77673</v>
      </c>
      <c r="AU54" s="3">
        <f>(100%-AU55)*-AU15</f>
        <v>-81273</v>
      </c>
      <c r="AV54" s="3">
        <f>SUM(AR54:AU54)</f>
        <v>-331839</v>
      </c>
      <c r="AW54" s="3">
        <f>(100%-AW55)*-AW15</f>
        <v>-82886</v>
      </c>
      <c r="AX54" s="3">
        <f>(100%-AX55)*-AX15</f>
        <v>-90007</v>
      </c>
      <c r="AY54" s="3">
        <f>(100%-AY55)*-AY15</f>
        <v>-77673</v>
      </c>
      <c r="AZ54" s="3">
        <f>(100%-AZ55)*-AZ15</f>
        <v>-81273</v>
      </c>
      <c r="BA54" s="3">
        <f>SUM(AW54:AZ54)</f>
        <v>-331839</v>
      </c>
      <c r="BB54" s="3">
        <f>(100%-BB55)*-BB15</f>
        <v>-82886</v>
      </c>
      <c r="BC54" s="3">
        <f>(100%-BC55)*-BC15</f>
        <v>-90007</v>
      </c>
      <c r="BD54" s="3">
        <f>(100%-BD55)*-BD15</f>
        <v>-77673</v>
      </c>
      <c r="BE54" s="3">
        <f>(100%-BE55)*-BE15</f>
        <v>-81273</v>
      </c>
      <c r="BF54" s="3">
        <f>SUM(BB54:BE54)</f>
        <v>-331839</v>
      </c>
      <c r="BG54" s="3">
        <f>(100%-BG55)*-BG15</f>
        <v>-82886</v>
      </c>
      <c r="BH54" s="3">
        <f>(100%-BH55)*-BH15</f>
        <v>-90007</v>
      </c>
      <c r="BI54" s="3">
        <f>(100%-BI55)*-BI15</f>
        <v>-77673</v>
      </c>
      <c r="BJ54" s="3">
        <f>(100%-BJ55)*-BJ15</f>
        <v>-81273</v>
      </c>
      <c r="BK54" s="3">
        <f>SUM(BG54:BJ54)</f>
        <v>-331839</v>
      </c>
      <c r="BL54" s="3">
        <f>(100%-BL55)*-BL15</f>
        <v>-82886</v>
      </c>
      <c r="BM54" s="3">
        <f>(100%-BM55)*-BM15</f>
        <v>-90007</v>
      </c>
      <c r="BN54" s="3">
        <f>(100%-BN55)*-BN15</f>
        <v>-77673</v>
      </c>
      <c r="BO54" s="3">
        <f>(100%-BO55)*-BO15</f>
        <v>-81273</v>
      </c>
      <c r="BP54" s="3">
        <f>SUM(BL54:BO54)</f>
        <v>-331839</v>
      </c>
      <c r="BQ54" s="3">
        <f>(100%-BQ55)*-BQ15</f>
        <v>-82886</v>
      </c>
      <c r="BR54" s="3">
        <f>(100%-BR55)*-BR15</f>
        <v>-90007</v>
      </c>
      <c r="BS54" s="3">
        <f>(100%-BS55)*-BS15</f>
        <v>-77673</v>
      </c>
      <c r="BT54" s="3">
        <f>(100%-BT55)*-BT15</f>
        <v>-81273</v>
      </c>
      <c r="BU54" s="3">
        <f>SUM(BQ54:BT54)</f>
        <v>-331839</v>
      </c>
      <c r="BV54" s="3">
        <f>(100%-BV55)*-BV15</f>
        <v>-82886</v>
      </c>
      <c r="BW54" s="3">
        <f>(100%-BW55)*-BW15</f>
        <v>-90007</v>
      </c>
      <c r="BX54" s="3">
        <f>(100%-BX55)*-BX15</f>
        <v>-77673</v>
      </c>
      <c r="BY54" s="3">
        <f>(100%-BY55)*-BY15</f>
        <v>-81273</v>
      </c>
      <c r="BZ54" s="3">
        <f>SUM(BV54:BY54)</f>
        <v>-331839</v>
      </c>
      <c r="CA54" s="3">
        <f>(100%-CA55)*-CA15</f>
        <v>-82886</v>
      </c>
      <c r="CB54" s="3">
        <f>(100%-CB55)*-CB15</f>
        <v>-90007</v>
      </c>
      <c r="CC54" s="3">
        <f>(100%-CC55)*-CC15</f>
        <v>-77673</v>
      </c>
      <c r="CD54" s="3">
        <f>(100%-CD55)*-CD15</f>
        <v>-81273</v>
      </c>
      <c r="CE54" s="3">
        <f>SUM(CA54:CD54)</f>
        <v>-331839</v>
      </c>
      <c r="CF54" s="3">
        <f>(100%-CF55)*-CF15</f>
        <v>-82886</v>
      </c>
      <c r="CG54" s="3">
        <f>(100%-CG55)*-CG15</f>
        <v>-90007</v>
      </c>
      <c r="CH54" s="3">
        <f>(100%-CH55)*-CH15</f>
        <v>-77673</v>
      </c>
      <c r="CI54" s="3">
        <f>(100%-CI55)*-CI15</f>
        <v>-81273</v>
      </c>
      <c r="CJ54" s="3">
        <f>SUM(CF54:CI54)</f>
        <v>-331839</v>
      </c>
      <c r="CK54" s="3">
        <f>(100%-CK55)*-CK15</f>
        <v>-82886</v>
      </c>
      <c r="CL54" s="3">
        <f>(100%-CL55)*-CL15</f>
        <v>-90007</v>
      </c>
      <c r="CM54" s="3">
        <f>(100%-CM55)*-CM15</f>
        <v>-77673</v>
      </c>
      <c r="CN54" s="3">
        <f>(100%-CN55)*-CN15</f>
        <v>-81273</v>
      </c>
      <c r="CO54" s="3">
        <f>SUM(CK54:CN54)</f>
        <v>-331839</v>
      </c>
      <c r="CP54" s="3">
        <f>(100%-CP55)*-CP15</f>
        <v>-82886</v>
      </c>
      <c r="CQ54" s="3">
        <f>(100%-CQ55)*-CQ15</f>
        <v>-90007</v>
      </c>
      <c r="CR54" s="3">
        <f>(100%-CR55)*-CR15</f>
        <v>-77673</v>
      </c>
      <c r="CS54" s="3">
        <f>(100%-CS55)*-CS15</f>
        <v>-81273</v>
      </c>
      <c r="CT54" s="3">
        <f>SUM(CP54:CS54)</f>
        <v>-331839</v>
      </c>
      <c r="CU54" s="3">
        <f>(100%-CU55)*-CU15</f>
        <v>-82886</v>
      </c>
      <c r="CV54" s="3">
        <f>(100%-CV55)*-CV15</f>
        <v>-90007</v>
      </c>
      <c r="CW54" s="3">
        <f>(100%-CW55)*-CW15</f>
        <v>-77673</v>
      </c>
      <c r="CX54" s="3">
        <f>(100%-CX55)*-CX15</f>
        <v>-81273</v>
      </c>
      <c r="CY54" s="3">
        <f>SUM(CU54:CX54)</f>
        <v>-331839</v>
      </c>
    </row>
    <row r="55" hidden="1" outlineLevel="1" customFormat="1" s="1">
      <c r="C55" s="57" t="inlineStr">
        <is>
          <t>% Gross Margin</t>
        </is>
      </c>
      <c r="D55" s="54">
        <f>(D15+D54)/D$15</f>
        <v>0.686616601467691</v>
      </c>
      <c r="E55" s="54">
        <f>(E15+E54)/E$15</f>
        <v>0.675571214471643</v>
      </c>
      <c r="F55" s="54">
        <f>(F15+F54)/F$15</f>
        <v>0.703881143349303</v>
      </c>
      <c r="G55" s="54">
        <f>(G15+G54)/G$15</f>
        <v>0.670489367629306</v>
      </c>
      <c r="H55" s="54">
        <f>(H15+H54)/H$15</f>
        <v>0.683528613553926</v>
      </c>
      <c r="I55" s="54">
        <f>(I15+I54)/I$15</f>
        <v>0.687215268786266</v>
      </c>
      <c r="J55" s="54">
        <f>(J15+J54)/J$15</f>
        <v>0.696849540648293</v>
      </c>
      <c r="K55" s="54">
        <f>(K15+K54)/K$15</f>
        <v>0.698876801200433</v>
      </c>
      <c r="L55" s="54">
        <f>(L15+L54)/L$15</f>
        <v>0.672131147540984</v>
      </c>
      <c r="M55" s="54">
        <f>(M15+M54)/M$15</f>
        <v>0.688258167796088</v>
      </c>
      <c r="N55" s="54">
        <f>(N15+N54)/N$15</f>
        <v>0.683650729335494</v>
      </c>
      <c r="O55" s="54">
        <f>(O15+O54)/O$15</f>
        <v>0.683235322471802</v>
      </c>
      <c r="P55" s="54">
        <f>(P15+P54)/P$15</f>
        <v>0.691712222177886</v>
      </c>
      <c r="Q55" s="54">
        <f>(Q15+Q54)/Q$15</f>
        <v>0.668455078013916</v>
      </c>
      <c r="R55" s="54">
        <f>(R15+R54)/R$15</f>
        <v>0.681597695179672</v>
      </c>
      <c r="S55" s="54">
        <f>(S15+S54)/S$15</f>
        <v>0.694874851013111</v>
      </c>
      <c r="T55" s="54">
        <f>(T15+T54)/T$15</f>
        <v>0.701098079695314</v>
      </c>
      <c r="U55" s="54">
        <f>(U15+U54)/U$15</f>
        <v>0.711555815064494</v>
      </c>
      <c r="V55" s="54">
        <f>(V15+V54)/V$15</f>
        <v>0.683602063850371</v>
      </c>
      <c r="W55" s="54">
        <f>(W15+W54)/W$15</f>
        <v>0.697481797849576</v>
      </c>
      <c r="X55" s="54">
        <f>(X15+X54)/X$15</f>
        <v>0.700847101425846</v>
      </c>
      <c r="Y55" s="54">
        <f>(Y15+Y54)/Y$15</f>
        <v>0.695891977072937</v>
      </c>
      <c r="Z55" s="54">
        <f>(Z15+Z54)/Z$15</f>
        <v>0.693542730807349</v>
      </c>
      <c r="AA55" s="54">
        <f>(AA15+AA54)/AA$15</f>
        <v>0.686939912683824</v>
      </c>
      <c r="AB55" s="54">
        <f>(AB15+AB54)/AB$15</f>
        <v>0.694093246040901</v>
      </c>
      <c r="AC55" s="54">
        <f>(AC15+AC54)/AC$15</f>
        <v>0.687166385978934</v>
      </c>
      <c r="AD55" s="54">
        <f>(AD15+AD54)/AD$15</f>
        <v>0.68584921704321</v>
      </c>
      <c r="AE55" s="54">
        <f>(AE15+AE54)/AE$15</f>
        <v>0.690458717958621</v>
      </c>
      <c r="AF55" s="44">
        <f>(AF15+AF54)/AF$15</f>
        <v>0.680361251584167</v>
      </c>
      <c r="AG55" s="54">
        <f>(AG15+AG54)/AG$15</f>
        <v>0.685863291570225</v>
      </c>
      <c r="AH55" s="55">
        <f>(AH15+AH54)/AH$15</f>
        <v>0.676326520763458</v>
      </c>
      <c r="AI55" s="55">
        <f>(AI15+AI54)/AI$15</f>
        <v>0.671969957892164</v>
      </c>
      <c r="AJ55" s="55" t="n"/>
      <c r="AK55" s="55" t="n"/>
      <c r="AL55" s="54">
        <f>(AL15+AL54)/AL$15</f>
        <v>0.351194404515443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-7953</v>
      </c>
      <c r="E58" s="25">
        <f>INDEX('Inputs (2)'!$D$6:$AL$6,MATCH(E$7,'Inputs (2)'!$D$2:$AL$2,0))</f>
        <v>-8783</v>
      </c>
      <c r="F58" s="25">
        <f>INDEX('Inputs (2)'!$D$6:$AL$6,MATCH(F$7,'Inputs (2)'!$D$2:$AL$2,0))</f>
        <v>-7631</v>
      </c>
      <c r="G58" s="25">
        <f>INDEX('Inputs (2)'!$D$6:$AL$6,MATCH(G$7,'Inputs (2)'!$D$2:$AL$2,0))</f>
        <v>-8224</v>
      </c>
      <c r="H58" s="3">
        <f>SUM(D58:G58)</f>
        <v>-32591</v>
      </c>
      <c r="I58" s="25">
        <f>INDEX('Inputs (2)'!$D$6:$AL$6,MATCH(I$7,'Inputs (2)'!$D$2:$AL$2,0))</f>
        <v>-8677</v>
      </c>
      <c r="J58" s="25">
        <f>INDEX('Inputs (2)'!$D$6:$AL$6,MATCH(J$7,'Inputs (2)'!$D$2:$AL$2,0))</f>
        <v>-9722</v>
      </c>
      <c r="K58" s="25">
        <f>INDEX('Inputs (2)'!$D$6:$AL$6,MATCH(K$7,'Inputs (2)'!$D$2:$AL$2,0))</f>
        <v>-8221</v>
      </c>
      <c r="L58" s="25">
        <f>INDEX('Inputs (2)'!$D$6:$AL$6,MATCH(L$7,'Inputs (2)'!$D$2:$AL$2,0))</f>
        <v>-9025</v>
      </c>
      <c r="M58" s="3">
        <f>SUM(I58:L58)</f>
        <v>-35645</v>
      </c>
      <c r="N58" s="25">
        <f>INDEX('Inputs (2)'!$D$6:$AL$6,MATCH(N$7,'Inputs (2)'!$D$2:$AL$2,0))</f>
        <v>-9608</v>
      </c>
      <c r="O58" s="25">
        <f>INDEX('Inputs (2)'!$D$6:$AL$6,MATCH(O$7,'Inputs (2)'!$D$2:$AL$2,0))</f>
        <v>-10923</v>
      </c>
      <c r="P58" s="25">
        <f>INDEX('Inputs (2)'!$D$6:$AL$6,MATCH(P$7,'Inputs (2)'!$D$2:$AL$2,0))</f>
        <v>-10362</v>
      </c>
      <c r="Q58" s="25">
        <f>INDEX('Inputs (2)'!$D$6:$AL$6,MATCH(Q$7,'Inputs (2)'!$D$2:$AL$2,0))</f>
        <v>-11212</v>
      </c>
      <c r="R58" s="3">
        <f>SUM(N58:Q58)</f>
        <v>-42105</v>
      </c>
      <c r="S58" s="25">
        <f>INDEX('Inputs (2)'!$D$6:$AL$6,MATCH(S$7,'Inputs (2)'!$D$2:$AL$2,0))</f>
        <v>-10828</v>
      </c>
      <c r="T58" s="25">
        <f>INDEX('Inputs (2)'!$D$6:$AL$6,MATCH(T$7,'Inputs (2)'!$D$2:$AL$2,0))</f>
        <v>-11266</v>
      </c>
      <c r="U58" s="25">
        <f>INDEX('Inputs (2)'!$D$6:$AL$6,MATCH(U$7,'Inputs (2)'!$D$2:$AL$2,0))</f>
        <v>-9399</v>
      </c>
      <c r="V58" s="25">
        <f>INDEX('Inputs (2)'!$D$6:$AL$6,MATCH(V$7,'Inputs (2)'!$D$2:$AL$2,0))</f>
        <v>-9406</v>
      </c>
      <c r="W58" s="3">
        <f>SUM(S58:V58)</f>
        <v>-40899</v>
      </c>
      <c r="X58" s="25">
        <f>INDEX('Inputs (2)'!$D$6:$AL$6,MATCH(X$7,'Inputs (2)'!$D$2:$AL$2,0))</f>
        <v>-9745</v>
      </c>
      <c r="Y58" s="25">
        <f>INDEX('Inputs (2)'!$D$6:$AL$6,MATCH(Y$7,'Inputs (2)'!$D$2:$AL$2,0))</f>
        <v>-10738</v>
      </c>
      <c r="Z58" s="25">
        <f>INDEX('Inputs (2)'!$D$6:$AL$6,MATCH(Z$7,'Inputs (2)'!$D$2:$AL$2,0))</f>
        <v>-7551</v>
      </c>
      <c r="AA58" s="25">
        <f>INDEX('Inputs (2)'!$D$6:$AL$6,MATCH(AA$7,'Inputs (2)'!$D$2:$AL$2,0))</f>
        <v>-9353</v>
      </c>
      <c r="AB58" s="3">
        <f>SUM(X58:AA58)</f>
        <v>-37387</v>
      </c>
      <c r="AC58" s="25">
        <f>INDEX('Inputs (2)'!$D$6:$AL$6,MATCH(AC$7,'Inputs (2)'!$D$2:$AL$2,0))</f>
        <v>-7407</v>
      </c>
      <c r="AD58" s="25">
        <f>INDEX('Inputs (2)'!$D$6:$AL$6,MATCH(AD$7,'Inputs (2)'!$D$2:$AL$2,0))</f>
        <v>-6901</v>
      </c>
      <c r="AE58" s="25">
        <f>INDEX('Inputs (2)'!$D$6:$AL$6,MATCH(AE$7,'Inputs (2)'!$D$2:$AL$2,0))</f>
        <v>-2608</v>
      </c>
      <c r="AF58" s="25">
        <f>INDEX('Inputs (2)'!$D$6:$AL$6,MATCH(AF$7,'Inputs (2)'!$D$2:$AL$2,0))</f>
        <v>-7822</v>
      </c>
      <c r="AG58" s="3">
        <f>SUM(AC58:AF58)</f>
        <v>-24738</v>
      </c>
      <c r="AH58" s="3">
        <f>INDEX('Inputs (2)'!$D$6:$AL$6,MATCH(AH$7,'Inputs (2)'!$D$2:$AL$2,0))</f>
        <v>-7493</v>
      </c>
      <c r="AI58" s="3">
        <f>INDEX('Inputs (2)'!$D$6:$AL$6,MATCH(AI$7,'Inputs (2)'!$D$2:$AL$2,0))</f>
        <v>-8857</v>
      </c>
      <c r="AJ58" s="3">
        <f>-AJ15*AJ59</f>
        <v>0</v>
      </c>
      <c r="AK58" s="3">
        <f>-AK15*AK59</f>
        <v>0</v>
      </c>
      <c r="AL58" s="3">
        <f>SUM(AH58:AK58)</f>
        <v>-16350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0.227092316038948</v>
      </c>
      <c r="E59" s="56">
        <f>-(E58/E$15)</f>
        <v>0.230931033576105</v>
      </c>
      <c r="F59" s="56">
        <f>-(F58/F$15)</f>
        <v>0.205388383484955</v>
      </c>
      <c r="G59" s="56">
        <f>-(G58/G$15)</f>
        <v>0.19091837682236</v>
      </c>
      <c r="H59" s="56">
        <f>-(H58/H$15)</f>
        <v>0.212618407661595</v>
      </c>
      <c r="I59" s="56">
        <f>-(I58/I$15)</f>
        <v>0.20805159929027</v>
      </c>
      <c r="J59" s="56">
        <f>-(J58/J$15)</f>
        <v>0.210651759403709</v>
      </c>
      <c r="K59" s="56">
        <f>-(K58/K$15)</f>
        <v>0.181410949533288</v>
      </c>
      <c r="L59" s="56">
        <f>-(L58/L$15)</f>
        <v>0.174470306217136</v>
      </c>
      <c r="M59" s="56">
        <f>-(M58/M$15)</f>
        <v>0.192776753216551</v>
      </c>
      <c r="N59" s="56">
        <f>-(N58/N$15)</f>
        <v>0.194651539708266</v>
      </c>
      <c r="O59" s="56">
        <f>-(O58/O$15)</f>
        <v>0.210604453870626</v>
      </c>
      <c r="P59" s="56">
        <f>-(P58/P$15)</f>
        <v>0.206735565220861</v>
      </c>
      <c r="Q59" s="56">
        <f>-(Q58/Q$15)</f>
        <v>0.212561851858874</v>
      </c>
      <c r="R59" s="56">
        <f>-(R58/R$15)</f>
        <v>0.206301998098915</v>
      </c>
      <c r="S59" s="56">
        <f>-(S58/S$15)</f>
        <v>0.204854607715156</v>
      </c>
      <c r="T59" s="56">
        <f>-(T58/T$15)</f>
        <v>0.200501877591699</v>
      </c>
      <c r="U59" s="56">
        <f>-(U58/U$15)</f>
        <v>0.166303943946069</v>
      </c>
      <c r="V59" s="56">
        <f>-(V58/V$15)</f>
        <v>0.151660754595292</v>
      </c>
      <c r="W59" s="56">
        <f>-(W58/W$15)</f>
        <v>0.179710259553657</v>
      </c>
      <c r="X59" s="56">
        <f>-(X58/X$15)</f>
        <v>0.157538232726567</v>
      </c>
      <c r="Y59" s="56">
        <f>-(Y58/Y$15)</f>
        <v>0.16589676641896</v>
      </c>
      <c r="Z59" s="56">
        <f>-(Z58/Z$15)</f>
        <v>0.115133033468019</v>
      </c>
      <c r="AA59" s="56">
        <f>-(AA58/AA$15)</f>
        <v>0.134320427389706</v>
      </c>
      <c r="AB59" s="56">
        <f>-(AB58/AB$15)</f>
        <v>0.142806395673066</v>
      </c>
      <c r="AC59" s="56">
        <f>-(AC58/AC$15)</f>
        <v>0.105714611937316</v>
      </c>
      <c r="AD59" s="56">
        <f>-(AD58/AD$15)</f>
        <v>0.090278777096061</v>
      </c>
      <c r="AE59" s="56">
        <f>-(AE58/AE$15)</f>
        <v>0.0335766611306374</v>
      </c>
      <c r="AF59" s="44">
        <f>-(AF58/AF$15)</f>
        <v>0.0962435249098717</v>
      </c>
      <c r="AG59" s="56">
        <f>-(AG58/AG$15)</f>
        <v>0.0809879097602577</v>
      </c>
      <c r="AH59" s="45">
        <f>-(AH58/AH$15)</f>
        <v>0.0904012740390416</v>
      </c>
      <c r="AI59" s="45">
        <f>-(AI58/AI$15)</f>
        <v>0.0984034575088604</v>
      </c>
      <c r="AJ59" s="45" t="n"/>
      <c r="AK59" s="45" t="n"/>
      <c r="AL59" s="56">
        <f>-(AL58/AL$15)</f>
        <v>0.049270881361142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16093</v>
      </c>
      <c r="E69" s="16">
        <f>SUM(E15,E54,E58)</f>
        <v>16911</v>
      </c>
      <c r="F69" s="16">
        <f>SUM(F15,F54,F58)</f>
        <v>18521</v>
      </c>
      <c r="G69" s="16">
        <f>SUM(G15,G54,G58)</f>
        <v>20658</v>
      </c>
      <c r="H69" s="16">
        <f>SUM(D69:G69)</f>
        <v>72183</v>
      </c>
      <c r="I69" s="16">
        <f>SUM(I15,I54,I58)</f>
        <v>19984</v>
      </c>
      <c r="J69" s="16">
        <f>SUM(J15,J54,J58)</f>
        <v>22439</v>
      </c>
      <c r="K69" s="16">
        <f>SUM(K15,K54,K58)</f>
        <v>23450</v>
      </c>
      <c r="L69" s="16">
        <f>SUM(L15,L54,L58)</f>
        <v>25743</v>
      </c>
      <c r="M69" s="16">
        <f>SUM(I69:L69)</f>
        <v>91616</v>
      </c>
      <c r="N69" s="16">
        <f>SUM(N15,N54,N58)</f>
        <v>24137</v>
      </c>
      <c r="O69" s="16">
        <f>SUM(O15,O54,O58)</f>
        <v>24513</v>
      </c>
      <c r="P69" s="16">
        <f>SUM(P15,P54,P58)</f>
        <v>24308</v>
      </c>
      <c r="Q69" s="16">
        <f>SUM(Q15,Q54,Q58)</f>
        <v>24047</v>
      </c>
      <c r="R69" s="16">
        <f>SUM(N69:Q69)</f>
        <v>97005</v>
      </c>
      <c r="S69" s="16">
        <f>SUM(S15,S54,S58)</f>
        <v>25901</v>
      </c>
      <c r="T69" s="16">
        <f>SUM(T15,T54,T58)</f>
        <v>28128</v>
      </c>
      <c r="U69" s="16">
        <f>SUM(U15,U54,U58)</f>
        <v>30816</v>
      </c>
      <c r="V69" s="16">
        <f>SUM(V15,V54,V58)</f>
        <v>32991</v>
      </c>
      <c r="W69" s="16">
        <f>SUM(S69:V69)</f>
        <v>117836</v>
      </c>
      <c r="X69" s="16">
        <f>SUM(X15,X54,X58)</f>
        <v>33608</v>
      </c>
      <c r="Y69" s="16">
        <f>SUM(Y15,Y54,Y58)</f>
        <v>34305</v>
      </c>
      <c r="Z69" s="16">
        <f>SUM(Z15,Z54,Z58)</f>
        <v>37935</v>
      </c>
      <c r="AA69" s="16">
        <f>SUM(AA15,AA54,AA58)</f>
        <v>38480</v>
      </c>
      <c r="AB69" s="16">
        <f>SUM(X69:AA69)</f>
        <v>144328</v>
      </c>
      <c r="AC69" s="16">
        <f>SUM(AC15,AC54,AC58)</f>
        <v>40740</v>
      </c>
      <c r="AD69" s="16">
        <f>SUM(AD15,AD54,AD58)</f>
        <v>45526</v>
      </c>
      <c r="AE69" s="16">
        <f>SUM(AE15,AE54,AE58)</f>
        <v>51022</v>
      </c>
      <c r="AF69" s="16">
        <f>SUM(AF15,AF54,AF58)</f>
        <v>47473</v>
      </c>
      <c r="AG69" s="16">
        <f>SUM(AC69:AF69)</f>
        <v>184761</v>
      </c>
      <c r="AH69" s="16">
        <f>SUM(AH15,AH54,AH58)</f>
        <v>48565</v>
      </c>
      <c r="AI69" s="16">
        <f>SUM(AI15,AI54,AI58)</f>
        <v>51625</v>
      </c>
      <c r="AJ69" s="16">
        <f>SUM(AJ15,AJ54,AJ58)</f>
        <v>0</v>
      </c>
      <c r="AK69" s="16">
        <f>SUM(AK15,AK54,AK58)</f>
        <v>0</v>
      </c>
      <c r="AL69" s="16">
        <f>SUM(AH69:AK69)</f>
        <v>100190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-3118</v>
      </c>
      <c r="E70" s="25">
        <f>INDEX('Inputs (2)'!$D$7:$AL$7,MATCH(E$7,'Inputs (2)'!$D$2:$AL$2,0))</f>
        <v>-3504</v>
      </c>
      <c r="F70" s="25">
        <f>INDEX('Inputs (2)'!$D$7:$AL$7,MATCH(F$7,'Inputs (2)'!$D$2:$AL$2,0))</f>
        <v>-2645</v>
      </c>
      <c r="G70" s="25">
        <f>INDEX('Inputs (2)'!$D$7:$AL$7,MATCH(G$7,'Inputs (2)'!$D$2:$AL$2,0))</f>
        <v>-2761</v>
      </c>
      <c r="H70" s="3">
        <f>SUM(D70:G70)</f>
        <v>-12028</v>
      </c>
      <c r="I70" s="25">
        <f>INDEX('Inputs (2)'!$D$7:$AL$7,MATCH(I$7,'Inputs (2)'!$D$2:$AL$2,0))</f>
        <v>-2936</v>
      </c>
      <c r="J70" s="25">
        <f>INDEX('Inputs (2)'!$D$7:$AL$7,MATCH(J$7,'Inputs (2)'!$D$2:$AL$2,0))</f>
        <v>-3344</v>
      </c>
      <c r="K70" s="25">
        <f>INDEX('Inputs (2)'!$D$7:$AL$7,MATCH(K$7,'Inputs (2)'!$D$2:$AL$2,0))</f>
        <v>-3212</v>
      </c>
      <c r="L70" s="25">
        <f>INDEX('Inputs (2)'!$D$7:$AL$7,MATCH(L$7,'Inputs (2)'!$D$2:$AL$2,0))</f>
        <v>-3496</v>
      </c>
      <c r="M70" s="3">
        <f>SUM(I70:L70)</f>
        <v>-12988</v>
      </c>
      <c r="N70" s="25">
        <f>INDEX('Inputs (2)'!$D$7:$AL$7,MATCH(N$7,'Inputs (2)'!$D$2:$AL$2,0))</f>
        <v>-3773</v>
      </c>
      <c r="O70" s="25">
        <f>INDEX('Inputs (2)'!$D$7:$AL$7,MATCH(O$7,'Inputs (2)'!$D$2:$AL$2,0))</f>
        <v>-3979</v>
      </c>
      <c r="P70" s="25">
        <f>INDEX('Inputs (2)'!$D$7:$AL$7,MATCH(P$7,'Inputs (2)'!$D$2:$AL$2,0))</f>
        <v>-2790</v>
      </c>
      <c r="Q70" s="25">
        <f>INDEX('Inputs (2)'!$D$7:$AL$7,MATCH(Q$7,'Inputs (2)'!$D$2:$AL$2,0))</f>
        <v>-3648</v>
      </c>
      <c r="R70" s="3">
        <f>SUM(N70:Q70)</f>
        <v>-14190</v>
      </c>
      <c r="S70" s="25">
        <f>INDEX('Inputs (2)'!$D$7:$AL$7,MATCH(S$7,'Inputs (2)'!$D$2:$AL$2,0))</f>
        <v>-3549</v>
      </c>
      <c r="T70" s="25">
        <f>INDEX('Inputs (2)'!$D$7:$AL$7,MATCH(T$7,'Inputs (2)'!$D$2:$AL$2,0))</f>
        <v>-3874</v>
      </c>
      <c r="U70" s="25">
        <f>INDEX('Inputs (2)'!$D$7:$AL$7,MATCH(U$7,'Inputs (2)'!$D$2:$AL$2,0))</f>
        <v>-3921</v>
      </c>
      <c r="V70" s="25">
        <f>INDEX('Inputs (2)'!$D$7:$AL$7,MATCH(V$7,'Inputs (2)'!$D$2:$AL$2,0))</f>
        <v>-5959</v>
      </c>
      <c r="W70" s="3">
        <f>SUM(S70:V70)</f>
        <v>-17303</v>
      </c>
      <c r="X70" s="25">
        <f>INDEX('Inputs (2)'!$D$7:$AL$7,MATCH(X$7,'Inputs (2)'!$D$2:$AL$2,0))</f>
        <v>-6027</v>
      </c>
      <c r="Y70" s="25">
        <f>INDEX('Inputs (2)'!$D$7:$AL$7,MATCH(Y$7,'Inputs (2)'!$D$2:$AL$2,0))</f>
        <v>-6380</v>
      </c>
      <c r="Z70" s="25">
        <f>INDEX('Inputs (2)'!$D$7:$AL$7,MATCH(Z$7,'Inputs (2)'!$D$2:$AL$2,0))</f>
        <v>-7383</v>
      </c>
      <c r="AA70" s="25">
        <f>INDEX('Inputs (2)'!$D$7:$AL$7,MATCH(AA$7,'Inputs (2)'!$D$2:$AL$2,0))</f>
        <v>-6827</v>
      </c>
      <c r="AB70" s="3">
        <f>SUM(X70:AA70)</f>
        <v>-26617</v>
      </c>
      <c r="AC70" s="25">
        <f>INDEX('Inputs (2)'!$D$7:$AL$7,MATCH(AC$7,'Inputs (2)'!$D$2:$AL$2,0))</f>
        <v>-8740</v>
      </c>
      <c r="AD70" s="25">
        <f>INDEX('Inputs (2)'!$D$7:$AL$7,MATCH(AD$7,'Inputs (2)'!$D$2:$AL$2,0))</f>
        <v>-11203</v>
      </c>
      <c r="AE70" s="25">
        <f>INDEX('Inputs (2)'!$D$7:$AL$7,MATCH(AE$7,'Inputs (2)'!$D$2:$AL$2,0))</f>
        <v>-13061</v>
      </c>
      <c r="AF70" s="25">
        <f>INDEX('Inputs (2)'!$D$7:$AL$7,MATCH(AF$7,'Inputs (2)'!$D$2:$AL$2,0))</f>
        <v>-9198</v>
      </c>
      <c r="AG70" s="3">
        <f>SUM(AC70:AF70)</f>
        <v>-42202</v>
      </c>
      <c r="AH70" s="3">
        <f>INDEX('Inputs (2)'!$D$7:$AL$7,MATCH(AH$7,'Inputs (2)'!$D$2:$AL$2,0))</f>
        <v>-10167</v>
      </c>
      <c r="AI70" s="3">
        <f>INDEX('Inputs (2)'!$D$7:$AL$7,MATCH(AI$7,'Inputs (2)'!$D$2:$AL$2,0))</f>
        <v>-11022</v>
      </c>
      <c r="AJ70" s="3">
        <f>-AJ71*AJ15</f>
        <v>0</v>
      </c>
      <c r="AK70" s="3">
        <f>-AK71*AK15</f>
        <v>0</v>
      </c>
      <c r="AL70" s="3">
        <f>SUM(AH70:AK70)</f>
        <v>-21189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0.089032294908769</v>
      </c>
      <c r="E71" s="48">
        <f>-E70/E15</f>
        <v>0.0921305182341651</v>
      </c>
      <c r="F71" s="48">
        <f>-F70/F15</f>
        <v>0.0711901814071163</v>
      </c>
      <c r="G71" s="48">
        <f>-G70/G15</f>
        <v>0.0640960163432074</v>
      </c>
      <c r="H71" s="48" t="n"/>
      <c r="I71" s="48">
        <f>-I70/I15</f>
        <v>0.0703975447177864</v>
      </c>
      <c r="J71" s="48">
        <f>-J70/J15</f>
        <v>0.0724562315825966</v>
      </c>
      <c r="K71" s="48">
        <f>-K70/K15</f>
        <v>0.0708784782752609</v>
      </c>
      <c r="L71" s="48">
        <f>-L70/L15</f>
        <v>0.067584287039901</v>
      </c>
      <c r="M71" s="48" t="n"/>
      <c r="N71" s="48">
        <f>-N70/N15</f>
        <v>0.0764384116693679</v>
      </c>
      <c r="O71" s="48">
        <f>-O70/O15</f>
        <v>0.0767184035476718</v>
      </c>
      <c r="P71" s="48">
        <f>-P70/P15</f>
        <v>0.0556641794022585</v>
      </c>
      <c r="Q71" s="48">
        <f>-Q70/Q15</f>
        <v>0.0691603313932546</v>
      </c>
      <c r="R71" s="48" t="n"/>
      <c r="S71" s="48">
        <f>-S70/S15</f>
        <v>0.0671434247119587</v>
      </c>
      <c r="T71" s="48">
        <f>-T70/T15</f>
        <v>0.068945879086654</v>
      </c>
      <c r="U71" s="48">
        <f>-U70/U15</f>
        <v>0.06937735548596</v>
      </c>
      <c r="V71" s="48">
        <f>-V70/V15</f>
        <v>0.096081909061593</v>
      </c>
      <c r="W71" s="48" t="n"/>
      <c r="X71" s="48">
        <f>-X70/X15</f>
        <v>0.0974328300300689</v>
      </c>
      <c r="Y71" s="48">
        <f>-Y70/Y15</f>
        <v>0.0985678310442319</v>
      </c>
      <c r="Z71" s="48">
        <f>-Z70/Z15</f>
        <v>0.112571472135397</v>
      </c>
      <c r="AA71" s="48">
        <f>-AA70/AA15</f>
        <v>0.0980440027573529</v>
      </c>
      <c r="AB71" s="48" t="n"/>
      <c r="AC71" s="48">
        <f>-AC70/AC15</f>
        <v>0.124739531299061</v>
      </c>
      <c r="AD71" s="48">
        <f>-AD70/AD15</f>
        <v>0.146557475700213</v>
      </c>
      <c r="AE71" s="48">
        <f>-AE70/AE15</f>
        <v>0.168153669872414</v>
      </c>
      <c r="AF71" s="218">
        <f>-AF70/AF15</f>
        <v>0.11317411686538</v>
      </c>
      <c r="AG71" s="48" t="n"/>
      <c r="AH71" s="218">
        <f>-AH70/AH15</f>
        <v>0.122662452042564</v>
      </c>
      <c r="AI71" s="218">
        <f>-AI70/AI15</f>
        <v>0.122457142222272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12975</v>
      </c>
      <c r="E73" s="16">
        <f>SUM(E69,E70)</f>
        <v>13407</v>
      </c>
      <c r="F73" s="16">
        <f>SUM(F69,F70)</f>
        <v>15876</v>
      </c>
      <c r="G73" s="16">
        <f>SUM(G69,G70)</f>
        <v>17897</v>
      </c>
      <c r="H73" s="16">
        <f>SUM(D73:G73)</f>
        <v>60155</v>
      </c>
      <c r="I73" s="16">
        <f>SUM(I69,I70)</f>
        <v>17048</v>
      </c>
      <c r="J73" s="16">
        <f>SUM(J69,J70)</f>
        <v>19095</v>
      </c>
      <c r="K73" s="16">
        <f>SUM(K69,K70)</f>
        <v>20238</v>
      </c>
      <c r="L73" s="16">
        <f>SUM(L69,L70)</f>
        <v>22247</v>
      </c>
      <c r="M73" s="16">
        <f>SUM(I73:L73)</f>
        <v>78628</v>
      </c>
      <c r="N73" s="16">
        <f>SUM(N69,N70)</f>
        <v>20364</v>
      </c>
      <c r="O73" s="16">
        <f>SUM(O69,O70)</f>
        <v>20534</v>
      </c>
      <c r="P73" s="16">
        <f>SUM(P69,P70)</f>
        <v>21518</v>
      </c>
      <c r="Q73" s="16">
        <f>SUM(Q69,Q70)</f>
        <v>20399</v>
      </c>
      <c r="R73" s="16">
        <f>SUM(N73:Q73)</f>
        <v>82815</v>
      </c>
      <c r="S73" s="16">
        <f>SUM(S69,S70)</f>
        <v>22352</v>
      </c>
      <c r="T73" s="16">
        <f>SUM(T69,T70)</f>
        <v>24254</v>
      </c>
      <c r="U73" s="16">
        <f>SUM(U69,U70)</f>
        <v>26895</v>
      </c>
      <c r="V73" s="16">
        <f>SUM(V69,V70)</f>
        <v>27032</v>
      </c>
      <c r="W73" s="16">
        <f>SUM(S73:V73)</f>
        <v>100533</v>
      </c>
      <c r="X73" s="16">
        <f>SUM(X69,X70)</f>
        <v>27581</v>
      </c>
      <c r="Y73" s="16">
        <f>SUM(Y69,Y70)</f>
        <v>27925</v>
      </c>
      <c r="Z73" s="16">
        <f>SUM(Z69,Z70)</f>
        <v>30552</v>
      </c>
      <c r="AA73" s="16">
        <f>SUM(AA69,AA70)</f>
        <v>31653</v>
      </c>
      <c r="AB73" s="16">
        <f>SUM(X73:AA73)</f>
        <v>117711</v>
      </c>
      <c r="AC73" s="16">
        <f>SUM(AC69,AC70)</f>
        <v>32000</v>
      </c>
      <c r="AD73" s="16">
        <f>SUM(AD69,AD70)</f>
        <v>34323</v>
      </c>
      <c r="AE73" s="16">
        <f>SUM(AE69,AE70)</f>
        <v>37961</v>
      </c>
      <c r="AF73" s="16">
        <f>SUM(AF69,AF70)</f>
        <v>38275</v>
      </c>
      <c r="AG73" s="16">
        <f>SUM(AC73:AF73)</f>
        <v>142559</v>
      </c>
      <c r="AH73" s="16">
        <f>SUM(AH69,AH70)</f>
        <v>38398</v>
      </c>
      <c r="AI73" s="16">
        <f>SUM(AI69,AI70)</f>
        <v>40603</v>
      </c>
      <c r="AJ73" s="16">
        <f>SUM(AJ69,AJ70)</f>
        <v>0</v>
      </c>
      <c r="AK73" s="16">
        <f>SUM(AK69,AK70)</f>
        <v>0</v>
      </c>
      <c r="AL73" s="16">
        <f>SUM(AL69,AL70)</f>
        <v>79001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-614</v>
      </c>
      <c r="E74" s="25">
        <f>INDEX('Inputs (2)'!$D$8:$AL$8,MATCH(E$7,'Inputs (2)'!$D$2:$AL$2,0))</f>
        <v>-686</v>
      </c>
      <c r="F74" s="25">
        <f>INDEX('Inputs (2)'!$D$8:$AL$8,MATCH(F$7,'Inputs (2)'!$D$2:$AL$2,0))</f>
        <v>-589</v>
      </c>
      <c r="G74" s="25">
        <f>INDEX('Inputs (2)'!$D$8:$AL$8,MATCH(G$7,'Inputs (2)'!$D$2:$AL$2,0))</f>
        <v>-571</v>
      </c>
      <c r="H74" s="3">
        <f>SUM(D74:G74)</f>
        <v>-2460</v>
      </c>
      <c r="I74" s="25">
        <f>INDEX('Inputs (2)'!$D$8:$AL$8,MATCH(I$7,'Inputs (2)'!$D$2:$AL$2,0))</f>
        <v>-633</v>
      </c>
      <c r="J74" s="25">
        <f>INDEX('Inputs (2)'!$D$8:$AL$8,MATCH(J$7,'Inputs (2)'!$D$2:$AL$2,0))</f>
        <v>-553</v>
      </c>
      <c r="K74" s="25">
        <f>INDEX('Inputs (2)'!$D$8:$AL$8,MATCH(K$7,'Inputs (2)'!$D$2:$AL$2,0))</f>
        <v>-539</v>
      </c>
      <c r="L74" s="25">
        <f>INDEX('Inputs (2)'!$D$8:$AL$8,MATCH(L$7,'Inputs (2)'!$D$2:$AL$2,0))</f>
        <v>-525</v>
      </c>
      <c r="M74" s="3">
        <f>SUM(I74:L74)</f>
        <v>-2250</v>
      </c>
      <c r="N74" s="25">
        <f>INDEX('Inputs (2)'!$D$8:$AL$8,MATCH(N$7,'Inputs (2)'!$D$2:$AL$2,0))</f>
        <v>-503</v>
      </c>
      <c r="O74" s="25">
        <f>INDEX('Inputs (2)'!$D$8:$AL$8,MATCH(O$7,'Inputs (2)'!$D$2:$AL$2,0))</f>
        <v>-496</v>
      </c>
      <c r="P74" s="25">
        <f>INDEX('Inputs (2)'!$D$8:$AL$8,MATCH(P$7,'Inputs (2)'!$D$2:$AL$2,0))</f>
        <v>-500</v>
      </c>
      <c r="Q74" s="25">
        <f>INDEX('Inputs (2)'!$D$8:$AL$8,MATCH(Q$7,'Inputs (2)'!$D$2:$AL$2,0))</f>
        <v>-490</v>
      </c>
      <c r="R74" s="3">
        <f>SUM(N74:Q74)</f>
        <v>-1989</v>
      </c>
      <c r="S74" s="25">
        <f>INDEX('Inputs (2)'!$D$8:$AL$8,MATCH(S$7,'Inputs (2)'!$D$2:$AL$2,0))</f>
        <v>-496</v>
      </c>
      <c r="T74" s="25">
        <f>INDEX('Inputs (2)'!$D$8:$AL$8,MATCH(T$7,'Inputs (2)'!$D$2:$AL$2,0))</f>
        <v>-482</v>
      </c>
      <c r="U74" s="25">
        <f>INDEX('Inputs (2)'!$D$8:$AL$8,MATCH(U$7,'Inputs (2)'!$D$2:$AL$2,0))</f>
        <v>-525</v>
      </c>
      <c r="V74" s="25">
        <f>INDEX('Inputs (2)'!$D$8:$AL$8,MATCH(V$7,'Inputs (2)'!$D$2:$AL$2,0))</f>
        <v>-909</v>
      </c>
      <c r="W74" s="3">
        <f>SUM(S74:V74)</f>
        <v>-2412</v>
      </c>
      <c r="X74" s="25">
        <f>INDEX('Inputs (2)'!$D$8:$AL$8,MATCH(X$7,'Inputs (2)'!$D$2:$AL$2,0))</f>
        <v>-800</v>
      </c>
      <c r="Y74" s="25">
        <f>INDEX('Inputs (2)'!$D$8:$AL$8,MATCH(Y$7,'Inputs (2)'!$D$2:$AL$2,0))</f>
        <v>-701</v>
      </c>
      <c r="Z74" s="25">
        <f>INDEX('Inputs (2)'!$D$8:$AL$8,MATCH(Z$7,'Inputs (2)'!$D$2:$AL$2,0))</f>
        <v>-582</v>
      </c>
      <c r="AA74" s="25">
        <f>INDEX('Inputs (2)'!$D$8:$AL$8,MATCH(AA$7,'Inputs (2)'!$D$2:$AL$2,0))</f>
        <v>-594</v>
      </c>
      <c r="AB74" s="3">
        <f>SUM(X74:AA74)</f>
        <v>-2677</v>
      </c>
      <c r="AC74" s="25">
        <f>INDEX('Inputs (2)'!$D$8:$AL$8,MATCH(AC$7,'Inputs (2)'!$D$2:$AL$2,0))</f>
        <v>-594</v>
      </c>
      <c r="AD74" s="25">
        <f>INDEX('Inputs (2)'!$D$8:$AL$8,MATCH(AD$7,'Inputs (2)'!$D$2:$AL$2,0))</f>
        <v>-615</v>
      </c>
      <c r="AE74" s="25">
        <f>INDEX('Inputs (2)'!$D$8:$AL$8,MATCH(AE$7,'Inputs (2)'!$D$2:$AL$2,0))</f>
        <v>-698</v>
      </c>
      <c r="AF74" s="25">
        <f>INDEX('Inputs (2)'!$D$8:$AL$8,MATCH(AF$7,'Inputs (2)'!$D$2:$AL$2,0))</f>
        <v>-736</v>
      </c>
      <c r="AG74" s="3">
        <f>SUM(AC74:AF74)</f>
        <v>-2643</v>
      </c>
      <c r="AH74" s="3">
        <f>INDEX('Inputs (2)'!$D$8:$AL$8,MATCH(AH$7,'Inputs (2)'!$D$2:$AL$2,0))</f>
        <v>-778</v>
      </c>
      <c r="AI74" s="3">
        <f>INDEX('Inputs (2)'!$D$8:$AL$8,MATCH(AI$7,'Inputs (2)'!$D$2:$AL$2,0))</f>
        <v>-839</v>
      </c>
      <c r="AJ74" s="3" t="n"/>
      <c r="AK74" s="3" t="n"/>
      <c r="AL74" s="3">
        <f>SUM(AH74:AK74)</f>
        <v>-1617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0.0092178351598859</v>
      </c>
      <c r="E75" s="48">
        <f>IFERROR(-E74/SUM(E212+E217),0)</f>
        <v>0.0108326622135898</v>
      </c>
      <c r="F75" s="48">
        <f>IFERROR(-F74/SUM(F212+F217),0)</f>
        <v>0.00926800100704935</v>
      </c>
      <c r="G75" s="48">
        <f>IFERROR(-G74/SUM(G212+G217),0)</f>
        <v>0.00943442988615898</v>
      </c>
      <c r="H75" s="3" t="n"/>
      <c r="I75" s="48">
        <f>IFERROR(-I74/SUM(I212+I217),0)</f>
        <v>0.010902890213235</v>
      </c>
      <c r="J75" s="48">
        <f>IFERROR(-J74/SUM(J212+J217),0)</f>
        <v>0.00951054242768204</v>
      </c>
      <c r="K75" s="48">
        <f>IFERROR(-K74/SUM(K212+K217),0)</f>
        <v>0.0101148476204774</v>
      </c>
      <c r="L75" s="48">
        <f>IFERROR(-L74/SUM(L212+L217),0)</f>
        <v>0.00985767396447482</v>
      </c>
      <c r="M75" s="3" t="n"/>
      <c r="N75" s="48">
        <f>IFERROR(-N74/SUM(N212+N217),0)</f>
        <v>0.0100749108680848</v>
      </c>
      <c r="O75" s="48">
        <f>IFERROR(-O74/SUM(O212+O217),0)</f>
        <v>0.00996364074646954</v>
      </c>
      <c r="P75" s="48">
        <f>IFERROR(-P74/SUM(P212+P217),0)</f>
        <v>0.0102834108016947</v>
      </c>
      <c r="Q75" s="48">
        <f>IFERROR(-Q74/SUM(Q212+Q217),0)</f>
        <v>0.0101837226702137</v>
      </c>
      <c r="R75" s="3" t="n"/>
      <c r="S75" s="48">
        <f>IFERROR(-S74/SUM(S212+S217),0)</f>
        <v>0.0102883219249118</v>
      </c>
      <c r="T75" s="48">
        <f>IFERROR(-T74/SUM(T212+T217),0)</f>
        <v>0.0102038656138197</v>
      </c>
      <c r="U75" s="48">
        <f>IFERROR(-U74/SUM(U212+U217),0)</f>
        <v>0.00734245195938575</v>
      </c>
      <c r="V75" s="48">
        <f>IFERROR(-V74/SUM(V212+V217),0)</f>
        <v>0.0122475376925046</v>
      </c>
      <c r="W75" s="3" t="n"/>
      <c r="X75" s="48">
        <f>IFERROR(-X74/SUM(X212+X217),0)</f>
        <v>0.0122245652638978</v>
      </c>
      <c r="Y75" s="48">
        <f>IFERROR(-Y74/SUM(Y212+Y217),0)</f>
        <v>0.0135773774937052</v>
      </c>
      <c r="Z75" s="48">
        <f>IFERROR(-Z74/SUM(Z212+Z217),0)</f>
        <v>0.0128997938692732</v>
      </c>
      <c r="AA75" s="48">
        <f>IFERROR(-AA74/SUM(AA212+AA217),0)</f>
        <v>0.0132088058705804</v>
      </c>
      <c r="AB75" s="3" t="n"/>
      <c r="AC75" s="48">
        <f>IFERROR(-AC74/SUM(AC212+AC217),0)</f>
        <v>0.0138522888925165</v>
      </c>
      <c r="AD75" s="48">
        <f>IFERROR(-AD74/SUM(AD212+AD217),0)</f>
        <v>0.014252276888137</v>
      </c>
      <c r="AE75" s="48">
        <f>IFERROR(-AE74/SUM(AE212+AE217),0)</f>
        <v>0.0161544158489169</v>
      </c>
      <c r="AF75" s="231">
        <f>IFERROR(-AF74/SUM(AF212+AF217),0)</f>
        <v>0.0182802642690378</v>
      </c>
      <c r="AG75" s="3" t="n"/>
      <c r="AH75" s="6">
        <f>IFERROR(-AH74/SUM(AH212+AH217),0)</f>
        <v>0.0193234315235209</v>
      </c>
      <c r="AI75" s="6">
        <f>IFERROR(-AI74/SUM(AI212+AI217),0)</f>
        <v>0.0208219586042587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482</v>
      </c>
      <c r="E123" s="25">
        <f>INDEX('Inputs (2)'!$D$9:$AL$9,MATCH(E$7,'Inputs (2)'!$D$2:$AL$2,0))</f>
        <v>701</v>
      </c>
      <c r="F123" s="25">
        <f>INDEX('Inputs (2)'!$D$9:$AL$9,MATCH(F$7,'Inputs (2)'!$D$2:$AL$2,0))</f>
        <v>837</v>
      </c>
      <c r="G123" s="25">
        <f>INDEX('Inputs (2)'!$D$9:$AL$9,MATCH(G$7,'Inputs (2)'!$D$2:$AL$2,0))</f>
        <v>1011</v>
      </c>
      <c r="H123" s="3">
        <f>SUM(D123:G123)</f>
        <v>3031</v>
      </c>
      <c r="I123" s="25">
        <f>INDEX('Inputs (2)'!$D$9:$AL$9,MATCH(I$7,'Inputs (2)'!$D$2:$AL$2,0))</f>
        <v>821</v>
      </c>
      <c r="J123" s="25">
        <f>INDEX('Inputs (2)'!$D$9:$AL$9,MATCH(J$7,'Inputs (2)'!$D$2:$AL$2,0))</f>
        <v>863</v>
      </c>
      <c r="K123" s="25">
        <f>INDEX('Inputs (2)'!$D$9:$AL$9,MATCH(K$7,'Inputs (2)'!$D$2:$AL$2,0))</f>
        <v>825</v>
      </c>
      <c r="L123" s="25">
        <f>INDEX('Inputs (2)'!$D$9:$AL$9,MATCH(L$7,'Inputs (2)'!$D$2:$AL$2,0))</f>
        <v>793</v>
      </c>
      <c r="M123" s="3">
        <f>SUM(I123:L123)</f>
        <v>3302</v>
      </c>
      <c r="N123" s="25">
        <f>INDEX('Inputs (2)'!$D$9:$AL$9,MATCH(N$7,'Inputs (2)'!$D$2:$AL$2,0))</f>
        <v>329</v>
      </c>
      <c r="O123" s="25">
        <f>INDEX('Inputs (2)'!$D$9:$AL$9,MATCH(O$7,'Inputs (2)'!$D$2:$AL$2,0))</f>
        <v>449</v>
      </c>
      <c r="P123" s="25">
        <f>INDEX('Inputs (2)'!$D$9:$AL$9,MATCH(P$7,'Inputs (2)'!$D$2:$AL$2,0))</f>
        <v>554</v>
      </c>
      <c r="Q123" s="25">
        <f>INDEX('Inputs (2)'!$D$9:$AL$9,MATCH(Q$7,'Inputs (2)'!$D$2:$AL$2,0))</f>
        <v>430</v>
      </c>
      <c r="R123" s="3">
        <f>SUM(N123:Q123)</f>
        <v>1762</v>
      </c>
      <c r="S123" s="25">
        <f>INDEX('Inputs (2)'!$D$9:$AL$9,MATCH(S$7,'Inputs (2)'!$D$2:$AL$2,0))</f>
        <v>817</v>
      </c>
      <c r="T123" s="25">
        <f>INDEX('Inputs (2)'!$D$9:$AL$9,MATCH(T$7,'Inputs (2)'!$D$2:$AL$2,0))</f>
        <v>955</v>
      </c>
      <c r="U123" s="25">
        <f>INDEX('Inputs (2)'!$D$9:$AL$9,MATCH(U$7,'Inputs (2)'!$D$2:$AL$2,0))</f>
        <v>914</v>
      </c>
      <c r="V123" s="25">
        <f>INDEX('Inputs (2)'!$D$9:$AL$9,MATCH(V$7,'Inputs (2)'!$D$2:$AL$2,0))</f>
        <v>403</v>
      </c>
      <c r="W123" s="3">
        <f>SUM(S123:V123)</f>
        <v>3089</v>
      </c>
      <c r="X123" s="25">
        <f>INDEX('Inputs (2)'!$D$9:$AL$9,MATCH(X$7,'Inputs (2)'!$D$2:$AL$2,0))</f>
        <v>-54</v>
      </c>
      <c r="Y123" s="25">
        <f>INDEX('Inputs (2)'!$D$9:$AL$9,MATCH(Y$7,'Inputs (2)'!$D$2:$AL$2,0))</f>
        <v>26</v>
      </c>
      <c r="Z123" s="25">
        <f>INDEX('Inputs (2)'!$D$9:$AL$9,MATCH(Z$7,'Inputs (2)'!$D$2:$AL$2,0))</f>
        <v>299</v>
      </c>
      <c r="AA123" s="25">
        <f>INDEX('Inputs (2)'!$D$9:$AL$9,MATCH(AA$7,'Inputs (2)'!$D$2:$AL$2,0))</f>
        <v>-1694</v>
      </c>
      <c r="AB123" s="3">
        <f>SUM(X123:AA123)</f>
        <v>-1423</v>
      </c>
      <c r="AC123" s="25">
        <f>INDEX('Inputs (2)'!$D$9:$AL$9,MATCH(AC$7,'Inputs (2)'!$D$2:$AL$2,0))</f>
        <v>-29</v>
      </c>
      <c r="AD123" s="25">
        <f>INDEX('Inputs (2)'!$D$9:$AL$9,MATCH(AD$7,'Inputs (2)'!$D$2:$AL$2,0))</f>
        <v>-1092</v>
      </c>
      <c r="AE123" s="25">
        <f>INDEX('Inputs (2)'!$D$9:$AL$9,MATCH(AE$7,'Inputs (2)'!$D$2:$AL$2,0))</f>
        <v>-2962</v>
      </c>
      <c r="AF123" s="25">
        <f>INDEX('Inputs (2)'!$D$9:$AL$9,MATCH(AF$7,'Inputs (2)'!$D$2:$AL$2,0))</f>
        <v>10707</v>
      </c>
      <c r="AG123" s="3">
        <f>SUM(AC123:AF123)</f>
        <v>6624</v>
      </c>
      <c r="AH123" s="3">
        <f>INDEX('Inputs (2)'!$D$9:$AL$9,MATCH(AH$7,'Inputs (2)'!$D$2:$AL$2,0))</f>
        <v>1720</v>
      </c>
      <c r="AI123" s="3">
        <f>INDEX('Inputs (2)'!$D$9:$AL$9,MATCH(AI$7,'Inputs (2)'!$D$2:$AL$2,0))</f>
        <v>4283</v>
      </c>
      <c r="AJ123" s="3">
        <f>AH123</f>
        <v>1720</v>
      </c>
      <c r="AK123" s="3">
        <f>AI123</f>
        <v>4283</v>
      </c>
      <c r="AL123" s="3">
        <f>SUM(AH123:AK123)</f>
        <v>12006</v>
      </c>
      <c r="AM123" s="3">
        <f>AK123</f>
        <v>4283</v>
      </c>
      <c r="AN123" s="3">
        <f>AL123</f>
        <v>12006</v>
      </c>
      <c r="AO123" s="3">
        <f>AM123</f>
        <v>4283</v>
      </c>
      <c r="AP123" s="3">
        <f>AN123</f>
        <v>12006</v>
      </c>
      <c r="AQ123" s="3">
        <f>SUM(AM123:AP123)</f>
        <v>32578</v>
      </c>
      <c r="AR123" s="3">
        <f>AP123</f>
        <v>12006</v>
      </c>
      <c r="AS123" s="3">
        <f>AQ123</f>
        <v>32578</v>
      </c>
      <c r="AT123" s="3">
        <f>AR123</f>
        <v>12006</v>
      </c>
      <c r="AU123" s="3">
        <f>AS123</f>
        <v>32578</v>
      </c>
      <c r="AV123" s="3">
        <f>SUM(AR123:AU123)</f>
        <v>89168</v>
      </c>
      <c r="AW123" s="3">
        <f>AU123</f>
        <v>32578</v>
      </c>
      <c r="AX123" s="3">
        <f>AV123</f>
        <v>89168</v>
      </c>
      <c r="AY123" s="3">
        <f>AW123</f>
        <v>32578</v>
      </c>
      <c r="AZ123" s="3">
        <f>AX123</f>
        <v>89168</v>
      </c>
      <c r="BA123" s="3">
        <f>SUM(AW123:AZ123)</f>
        <v>243492</v>
      </c>
      <c r="BB123" s="3">
        <f>AZ123</f>
        <v>89168</v>
      </c>
      <c r="BC123" s="3">
        <f>BA123</f>
        <v>243492</v>
      </c>
      <c r="BD123" s="3">
        <f>BB123</f>
        <v>89168</v>
      </c>
      <c r="BE123" s="3">
        <f>BC123</f>
        <v>243492</v>
      </c>
      <c r="BF123" s="3">
        <f>SUM(BB123:BE123)</f>
        <v>665320</v>
      </c>
      <c r="BG123" s="3">
        <f>BE123</f>
        <v>243492</v>
      </c>
      <c r="BH123" s="3">
        <f>BF123</f>
        <v>665320</v>
      </c>
      <c r="BI123" s="3">
        <f>BG123</f>
        <v>243492</v>
      </c>
      <c r="BJ123" s="3">
        <f>BH123</f>
        <v>665320</v>
      </c>
      <c r="BK123" s="3">
        <f>SUM(BG123:BJ123)</f>
        <v>1817624</v>
      </c>
      <c r="BL123" s="3">
        <f>BJ123</f>
        <v>665320</v>
      </c>
      <c r="BM123" s="3">
        <f>BK123</f>
        <v>1817624</v>
      </c>
      <c r="BN123" s="3">
        <f>BL123</f>
        <v>665320</v>
      </c>
      <c r="BO123" s="3">
        <f>BM123</f>
        <v>1817624</v>
      </c>
      <c r="BP123" s="3">
        <f>SUM(BL123:BO123)</f>
        <v>4965888</v>
      </c>
      <c r="BQ123" s="3">
        <f>BO123</f>
        <v>1817624</v>
      </c>
      <c r="BR123" s="3">
        <f>BP123</f>
        <v>4965888</v>
      </c>
      <c r="BS123" s="3">
        <f>BQ123</f>
        <v>1817624</v>
      </c>
      <c r="BT123" s="3">
        <f>BR123</f>
        <v>4965888</v>
      </c>
      <c r="BU123" s="3">
        <f>SUM(BQ123:BT123)</f>
        <v>13567024</v>
      </c>
      <c r="BV123" s="3">
        <f>BT123</f>
        <v>4965888</v>
      </c>
      <c r="BW123" s="3">
        <f>BU123</f>
        <v>13567024</v>
      </c>
      <c r="BX123" s="3">
        <f>BV123</f>
        <v>4965888</v>
      </c>
      <c r="BY123" s="3">
        <f>BW123</f>
        <v>13567024</v>
      </c>
      <c r="BZ123" s="3">
        <f>SUM(BV123:BY123)</f>
        <v>37065824</v>
      </c>
      <c r="CA123" s="3">
        <f>BY123</f>
        <v>13567024</v>
      </c>
      <c r="CB123" s="3">
        <f>BZ123</f>
        <v>37065824</v>
      </c>
      <c r="CC123" s="3">
        <f>CA123</f>
        <v>13567024</v>
      </c>
      <c r="CD123" s="3">
        <f>CB123</f>
        <v>37065824</v>
      </c>
      <c r="CE123" s="3">
        <f>SUM(CA123:CD123)</f>
        <v>101265696</v>
      </c>
      <c r="CF123" s="3">
        <f>CD123</f>
        <v>37065824</v>
      </c>
      <c r="CG123" s="3">
        <f>CE123</f>
        <v>101265696</v>
      </c>
      <c r="CH123" s="3">
        <f>CF123</f>
        <v>37065824</v>
      </c>
      <c r="CI123" s="3">
        <f>CG123</f>
        <v>101265696</v>
      </c>
      <c r="CJ123" s="3">
        <f>SUM(CF123:CI123)</f>
        <v>276663040</v>
      </c>
      <c r="CK123" s="3">
        <f>CI123</f>
        <v>101265696</v>
      </c>
      <c r="CL123" s="3">
        <f>CJ123</f>
        <v>276663040</v>
      </c>
      <c r="CM123" s="3">
        <f>CK123</f>
        <v>101265696</v>
      </c>
      <c r="CN123" s="3">
        <f>CL123</f>
        <v>276663040</v>
      </c>
      <c r="CO123" s="3">
        <f>SUM(CK123:CN123)</f>
        <v>755857472</v>
      </c>
      <c r="CP123" s="3">
        <f>CN123</f>
        <v>276663040</v>
      </c>
      <c r="CQ123" s="3">
        <f>CO123</f>
        <v>755857472</v>
      </c>
      <c r="CR123" s="3">
        <f>CP123</f>
        <v>276663040</v>
      </c>
      <c r="CS123" s="3">
        <f>CQ123</f>
        <v>755857472</v>
      </c>
      <c r="CT123" s="3">
        <f>SUM(CP123:CS123)</f>
        <v>2065041024</v>
      </c>
      <c r="CU123" s="3">
        <f>CS123</f>
        <v>755857472</v>
      </c>
      <c r="CV123" s="3">
        <f>CT123</f>
        <v>2065041024</v>
      </c>
      <c r="CW123" s="3">
        <f>CU123</f>
        <v>755857472</v>
      </c>
      <c r="CX123" s="3">
        <f>CV123</f>
        <v>2065041024</v>
      </c>
      <c r="CY123" s="3">
        <f>SUM(CU123:CX123)</f>
        <v>5641796992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12843</v>
      </c>
      <c r="E130" s="16">
        <f>SUM(E73,E74,E123)</f>
        <v>13422</v>
      </c>
      <c r="F130" s="16">
        <f>SUM(F73,F74,F123)</f>
        <v>16124</v>
      </c>
      <c r="G130" s="16">
        <f>SUM(G73,G74,G123)</f>
        <v>18337</v>
      </c>
      <c r="H130" s="16">
        <f>SUM(D130:G130)</f>
        <v>60726</v>
      </c>
      <c r="I130" s="16">
        <f>SUM(I73,I74,I123)</f>
        <v>17236</v>
      </c>
      <c r="J130" s="16">
        <f>SUM(J73,J74,J123)</f>
        <v>19405</v>
      </c>
      <c r="K130" s="16">
        <f>SUM(K73,K74,K123)</f>
        <v>20524</v>
      </c>
      <c r="L130" s="16">
        <f>SUM(L73,L74,L123)</f>
        <v>22515</v>
      </c>
      <c r="M130" s="16">
        <f>SUM(I130:L130)</f>
        <v>79680</v>
      </c>
      <c r="N130" s="16">
        <f>SUM(N73,N74,N123)</f>
        <v>20190</v>
      </c>
      <c r="O130" s="16">
        <f>SUM(O73,O74,O123)</f>
        <v>20487</v>
      </c>
      <c r="P130" s="16">
        <f>SUM(P73,P74,P123)</f>
        <v>21572</v>
      </c>
      <c r="Q130" s="16">
        <f>SUM(Q73,Q74,Q123)</f>
        <v>20339</v>
      </c>
      <c r="R130" s="16">
        <f>SUM(N130:Q130)</f>
        <v>82588</v>
      </c>
      <c r="S130" s="16">
        <f>SUM(S73,S74,S123)</f>
        <v>22673</v>
      </c>
      <c r="T130" s="16">
        <f>SUM(T73,T74,T123)</f>
        <v>24727</v>
      </c>
      <c r="U130" s="16">
        <f>SUM(U73,U74,U123)</f>
        <v>27284</v>
      </c>
      <c r="V130" s="16">
        <f>SUM(V73,V74,V123)</f>
        <v>26526</v>
      </c>
      <c r="W130" s="16">
        <f>SUM(S130:V130)</f>
        <v>101210</v>
      </c>
      <c r="X130" s="16">
        <f>SUM(X73,X74,X123)</f>
        <v>26727</v>
      </c>
      <c r="Y130" s="16">
        <f>SUM(Y73,Y74,Y123)</f>
        <v>27250</v>
      </c>
      <c r="Z130" s="16">
        <f>SUM(Z73,Z74,Z123)</f>
        <v>30269</v>
      </c>
      <c r="AA130" s="16">
        <f>SUM(AA73,AA74,AA123)</f>
        <v>29365</v>
      </c>
      <c r="AB130" s="16">
        <f>SUM(X130:AA130)</f>
        <v>113611</v>
      </c>
      <c r="AC130" s="16">
        <f>SUM(AC73,AC74,AC123)</f>
        <v>31377</v>
      </c>
      <c r="AD130" s="16">
        <f>SUM(AD73,AD74,AD123)</f>
        <v>32616</v>
      </c>
      <c r="AE130" s="16">
        <f>SUM(AE73,AE74,AE123)</f>
        <v>34301</v>
      </c>
      <c r="AF130" s="16">
        <f>SUM(AF73,AF74,AF123)</f>
        <v>48246</v>
      </c>
      <c r="AG130" s="16">
        <f>SUM(AC130:AF130)</f>
        <v>146540</v>
      </c>
      <c r="AH130" s="16">
        <f>SUM(AH73,AH74,AH123)</f>
        <v>39340</v>
      </c>
      <c r="AI130" s="16">
        <f>SUM(AI73,AI74,AI123)</f>
        <v>44047</v>
      </c>
      <c r="AJ130" s="16">
        <f>SUM(AJ73,AJ74,AJ123)</f>
        <v>1720</v>
      </c>
      <c r="AK130" s="16">
        <f>SUM(AK73,AK74,AK123)</f>
        <v>4283</v>
      </c>
      <c r="AL130" s="16">
        <f>SUM(AH130:AK130)</f>
        <v>89390</v>
      </c>
      <c r="AM130" s="16">
        <f>SUM(AM73,AM74,AM123)</f>
        <v>4283</v>
      </c>
      <c r="AN130" s="16">
        <f>SUM(AN73,AN74,AN123)</f>
        <v>12006</v>
      </c>
      <c r="AO130" s="16">
        <f>SUM(AO73,AO74,AO123)</f>
        <v>4283</v>
      </c>
      <c r="AP130" s="16">
        <f>SUM(AP73,AP74,AP123)</f>
        <v>12006</v>
      </c>
      <c r="AQ130" s="16">
        <f>SUM(AM130:AP130)</f>
        <v>32578</v>
      </c>
      <c r="AR130" s="16">
        <f>SUM(AR73,AR74,AR123)</f>
        <v>12006</v>
      </c>
      <c r="AS130" s="16">
        <f>SUM(AS73,AS74,AS123)</f>
        <v>32578</v>
      </c>
      <c r="AT130" s="16">
        <f>SUM(AT73,AT74,AT123)</f>
        <v>12006</v>
      </c>
      <c r="AU130" s="16">
        <f>SUM(AU73,AU74,AU123)</f>
        <v>32578</v>
      </c>
      <c r="AV130" s="16">
        <f>SUM(AR130:AU130)</f>
        <v>89168</v>
      </c>
      <c r="AW130" s="16">
        <f>SUM(AW73,AW74,AW123)</f>
        <v>32578</v>
      </c>
      <c r="AX130" s="16">
        <f>SUM(AX73,AX74,AX123)</f>
        <v>89168</v>
      </c>
      <c r="AY130" s="16">
        <f>SUM(AY73,AY74,AY123)</f>
        <v>32578</v>
      </c>
      <c r="AZ130" s="16">
        <f>SUM(AZ73,AZ74,AZ123)</f>
        <v>89168</v>
      </c>
      <c r="BA130" s="16">
        <f>SUM(AW130:AZ130)</f>
        <v>243492</v>
      </c>
      <c r="BB130" s="16">
        <f>SUM(BB73,BB74,BB123)</f>
        <v>89168</v>
      </c>
      <c r="BC130" s="16">
        <f>SUM(BC73,BC74,BC123)</f>
        <v>243492</v>
      </c>
      <c r="BD130" s="16">
        <f>SUM(BD73,BD74,BD123)</f>
        <v>89168</v>
      </c>
      <c r="BE130" s="16">
        <f>SUM(BE73,BE74,BE123)</f>
        <v>243492</v>
      </c>
      <c r="BF130" s="16">
        <f>SUM(BB130:BE130)</f>
        <v>665320</v>
      </c>
      <c r="BG130" s="16">
        <f>SUM(BG73,BG74,BG123)</f>
        <v>243492</v>
      </c>
      <c r="BH130" s="16">
        <f>SUM(BH73,BH74,BH123)</f>
        <v>665320</v>
      </c>
      <c r="BI130" s="16">
        <f>SUM(BI73,BI74,BI123)</f>
        <v>243492</v>
      </c>
      <c r="BJ130" s="16">
        <f>SUM(BJ73,BJ74,BJ123)</f>
        <v>665320</v>
      </c>
      <c r="BK130" s="16">
        <f>SUM(BG130:BJ130)</f>
        <v>1817624</v>
      </c>
      <c r="BL130" s="16">
        <f>SUM(BL73,BL74,BL123)</f>
        <v>665320</v>
      </c>
      <c r="BM130" s="16">
        <f>SUM(BM73,BM74,BM123)</f>
        <v>1817624</v>
      </c>
      <c r="BN130" s="16">
        <f>SUM(BN73,BN74,BN123)</f>
        <v>665320</v>
      </c>
      <c r="BO130" s="16">
        <f>SUM(BO73,BO74,BO123)</f>
        <v>1817624</v>
      </c>
      <c r="BP130" s="16">
        <f>SUM(BL130:BO130)</f>
        <v>4965888</v>
      </c>
      <c r="BQ130" s="16">
        <f>SUM(BQ73,BQ74,BQ123)</f>
        <v>1817624</v>
      </c>
      <c r="BR130" s="16">
        <f>SUM(BR73,BR74,BR123)</f>
        <v>4965888</v>
      </c>
      <c r="BS130" s="16">
        <f>SUM(BS73,BS74,BS123)</f>
        <v>1817624</v>
      </c>
      <c r="BT130" s="16">
        <f>SUM(BT73,BT74,BT123)</f>
        <v>4965888</v>
      </c>
      <c r="BU130" s="16">
        <f>SUM(BQ130:BT130)</f>
        <v>13567024</v>
      </c>
      <c r="BV130" s="16">
        <f>SUM(BV73,BV74,BV123)</f>
        <v>4965888</v>
      </c>
      <c r="BW130" s="16">
        <f>SUM(BW73,BW74,BW123)</f>
        <v>13567024</v>
      </c>
      <c r="BX130" s="16">
        <f>SUM(BX73,BX74,BX123)</f>
        <v>4965888</v>
      </c>
      <c r="BY130" s="16">
        <f>SUM(BY73,BY74,BY123)</f>
        <v>13567024</v>
      </c>
      <c r="BZ130" s="16">
        <f>SUM(BV130:BY130)</f>
        <v>37065824</v>
      </c>
      <c r="CA130" s="16">
        <f>SUM(CA73,CA74,CA123)</f>
        <v>13567024</v>
      </c>
      <c r="CB130" s="16">
        <f>SUM(CB73,CB74,CB123)</f>
        <v>37065824</v>
      </c>
      <c r="CC130" s="16">
        <f>SUM(CC73,CC74,CC123)</f>
        <v>13567024</v>
      </c>
      <c r="CD130" s="16">
        <f>SUM(CD73,CD74,CD123)</f>
        <v>37065824</v>
      </c>
      <c r="CE130" s="16">
        <f>SUM(CA130:CD130)</f>
        <v>101265696</v>
      </c>
      <c r="CF130" s="16">
        <f>SUM(CF73,CF74,CF123)</f>
        <v>37065824</v>
      </c>
      <c r="CG130" s="16">
        <f>SUM(CG73,CG74,CG123)</f>
        <v>101265696</v>
      </c>
      <c r="CH130" s="16">
        <f>SUM(CH73,CH74,CH123)</f>
        <v>37065824</v>
      </c>
      <c r="CI130" s="16">
        <f>SUM(CI73,CI74,CI123)</f>
        <v>101265696</v>
      </c>
      <c r="CJ130" s="16">
        <f>SUM(CF130:CI130)</f>
        <v>276663040</v>
      </c>
      <c r="CK130" s="16">
        <f>SUM(CK73,CK74,CK123)</f>
        <v>101265696</v>
      </c>
      <c r="CL130" s="16">
        <f>SUM(CL73,CL74,CL123)</f>
        <v>276663040</v>
      </c>
      <c r="CM130" s="16">
        <f>SUM(CM73,CM74,CM123)</f>
        <v>101265696</v>
      </c>
      <c r="CN130" s="16">
        <f>SUM(CN73,CN74,CN123)</f>
        <v>276663040</v>
      </c>
      <c r="CO130" s="16">
        <f>SUM(CK130:CN130)</f>
        <v>755857472</v>
      </c>
      <c r="CP130" s="16">
        <f>SUM(CP73,CP74,CP123)</f>
        <v>276663040</v>
      </c>
      <c r="CQ130" s="16">
        <f>SUM(CQ73,CQ74,CQ123)</f>
        <v>755857472</v>
      </c>
      <c r="CR130" s="16">
        <f>SUM(CR73,CR74,CR123)</f>
        <v>276663040</v>
      </c>
      <c r="CS130" s="16">
        <f>SUM(CS73,CS74,CS123)</f>
        <v>755857472</v>
      </c>
      <c r="CT130" s="16">
        <f>SUM(CP130:CS130)</f>
        <v>2065041024</v>
      </c>
      <c r="CU130" s="16">
        <f>SUM(CU73,CU74,CU123)</f>
        <v>755857472</v>
      </c>
      <c r="CV130" s="16">
        <f>SUM(CV73,CV74,CV123)</f>
        <v>2065041024</v>
      </c>
      <c r="CW130" s="16">
        <f>SUM(CW73,CW74,CW123)</f>
        <v>755857472</v>
      </c>
      <c r="CX130" s="16">
        <f>SUM(CX73,CX74,CX123)</f>
        <v>2065041024</v>
      </c>
      <c r="CY130" s="16">
        <f>SUM(CU130:CX130)</f>
        <v>5641796992</v>
      </c>
    </row>
    <row r="131">
      <c r="C131" s="26" t="inlineStr">
        <is>
          <t>Taxes</t>
        </is>
      </c>
      <c r="D131" s="25">
        <f>INDEX('Inputs (2)'!$D$10:$AL$10,MATCH(D$7,'Inputs (2)'!$D$2:$AL$2,0))</f>
        <v>-2091</v>
      </c>
      <c r="E131" s="25">
        <f>INDEX('Inputs (2)'!$D$10:$AL$10,MATCH(E$7,'Inputs (2)'!$D$2:$AL$2,0))</f>
        <v>-2220</v>
      </c>
      <c r="F131" s="25">
        <f>INDEX('Inputs (2)'!$D$10:$AL$10,MATCH(F$7,'Inputs (2)'!$D$2:$AL$2,0))</f>
        <v>-2231</v>
      </c>
      <c r="G131" s="25">
        <f>INDEX('Inputs (2)'!$D$10:$AL$10,MATCH(G$7,'Inputs (2)'!$D$2:$AL$2,0))</f>
        <v>-2874</v>
      </c>
      <c r="H131" s="3">
        <f>SUM(D131:G131)</f>
        <v>-9416</v>
      </c>
      <c r="I131" s="25">
        <f>INDEX('Inputs (2)'!$D$10:$AL$10,MATCH(I$7,'Inputs (2)'!$D$2:$AL$2,0))</f>
        <v>-1779</v>
      </c>
      <c r="J131" s="25">
        <f>INDEX('Inputs (2)'!$D$10:$AL$10,MATCH(J$7,'Inputs (2)'!$D$2:$AL$2,0))</f>
        <v>-2947</v>
      </c>
      <c r="K131" s="25">
        <f>INDEX('Inputs (2)'!$D$10:$AL$10,MATCH(K$7,'Inputs (2)'!$D$2:$AL$2,0))</f>
        <v>-19</v>
      </c>
      <c r="L131" s="25">
        <f>INDEX('Inputs (2)'!$D$10:$AL$10,MATCH(L$7,'Inputs (2)'!$D$2:$AL$2,0))</f>
        <v>-3750</v>
      </c>
      <c r="M131" s="3">
        <f>SUM(I131:L131)</f>
        <v>-8495</v>
      </c>
      <c r="N131" s="25">
        <f>INDEX('Inputs (2)'!$D$10:$AL$10,MATCH(N$7,'Inputs (2)'!$D$2:$AL$2,0))</f>
        <v>-3462</v>
      </c>
      <c r="O131" s="25">
        <f>INDEX('Inputs (2)'!$D$10:$AL$10,MATCH(O$7,'Inputs (2)'!$D$2:$AL$2,0))</f>
        <v>-3747</v>
      </c>
      <c r="P131" s="25">
        <f>INDEX('Inputs (2)'!$D$10:$AL$10,MATCH(P$7,'Inputs (2)'!$D$2:$AL$2,0))</f>
        <v>-4016</v>
      </c>
      <c r="Q131" s="25">
        <f>INDEX('Inputs (2)'!$D$10:$AL$10,MATCH(Q$7,'Inputs (2)'!$D$2:$AL$2,0))</f>
        <v>-3914</v>
      </c>
      <c r="R131" s="3">
        <f>SUM(N131:Q131)</f>
        <v>-15139</v>
      </c>
      <c r="S131" s="25">
        <f>INDEX('Inputs (2)'!$D$10:$AL$10,MATCH(S$7,'Inputs (2)'!$D$2:$AL$2,0))</f>
        <v>-4374</v>
      </c>
      <c r="T131" s="25">
        <f>INDEX('Inputs (2)'!$D$10:$AL$10,MATCH(T$7,'Inputs (2)'!$D$2:$AL$2,0))</f>
        <v>-4646</v>
      </c>
      <c r="U131" s="25">
        <f>INDEX('Inputs (2)'!$D$10:$AL$10,MATCH(U$7,'Inputs (2)'!$D$2:$AL$2,0))</f>
        <v>-4993</v>
      </c>
      <c r="V131" s="25">
        <f>INDEX('Inputs (2)'!$D$10:$AL$10,MATCH(V$7,'Inputs (2)'!$D$2:$AL$2,0))</f>
        <v>-4656</v>
      </c>
      <c r="W131" s="3">
        <f>SUM(S131:V131)</f>
        <v>-18669</v>
      </c>
      <c r="X131" s="25">
        <f>INDEX('Inputs (2)'!$D$10:$AL$10,MATCH(X$7,'Inputs (2)'!$D$2:$AL$2,0))</f>
        <v>-4788</v>
      </c>
      <c r="Y131" s="25">
        <f>INDEX('Inputs (2)'!$D$10:$AL$10,MATCH(Y$7,'Inputs (2)'!$D$2:$AL$2,0))</f>
        <v>-5214</v>
      </c>
      <c r="Z131" s="25">
        <f>INDEX('Inputs (2)'!$D$10:$AL$10,MATCH(Z$7,'Inputs (2)'!$D$2:$AL$2,0))</f>
        <v>-5602</v>
      </c>
      <c r="AA131" s="25">
        <f>INDEX('Inputs (2)'!$D$10:$AL$10,MATCH(AA$7,'Inputs (2)'!$D$2:$AL$2,0))</f>
        <v>-5257</v>
      </c>
      <c r="AB131" s="3">
        <f>SUM(X131:AA131)</f>
        <v>-20861</v>
      </c>
      <c r="AC131" s="25">
        <f>INDEX('Inputs (2)'!$D$10:$AL$10,MATCH(AC$7,'Inputs (2)'!$D$2:$AL$2,0))</f>
        <v>-5553</v>
      </c>
      <c r="AD131" s="25">
        <f>INDEX('Inputs (2)'!$D$10:$AL$10,MATCH(AD$7,'Inputs (2)'!$D$2:$AL$2,0))</f>
        <v>-5383</v>
      </c>
      <c r="AE131" s="25">
        <f>INDEX('Inputs (2)'!$D$10:$AL$10,MATCH(AE$7,'Inputs (2)'!$D$2:$AL$2,0))</f>
        <v>-6554</v>
      </c>
      <c r="AF131" s="25">
        <f>INDEX('Inputs (2)'!$D$10:$AL$10,MATCH(AF$7,'Inputs (2)'!$D$2:$AL$2,0))</f>
        <v>-9788</v>
      </c>
      <c r="AG131" s="3">
        <f>SUM(AC131:AF131)</f>
        <v>-27278</v>
      </c>
      <c r="AH131" s="3">
        <f>INDEX('Inputs (2)'!$D$10:$AL$10,MATCH(AH$7,'Inputs (2)'!$D$2:$AL$2,0))</f>
        <v>-7562</v>
      </c>
      <c r="AI131" s="3">
        <f>INDEX('Inputs (2)'!$D$10:$AL$10,MATCH(AI$7,'Inputs (2)'!$D$2:$AL$2,0))</f>
        <v>-8281</v>
      </c>
      <c r="AJ131" s="3">
        <f>AJ132*-AJ130</f>
        <v>0</v>
      </c>
      <c r="AK131" s="3">
        <f>AK132*-AK130</f>
        <v>0</v>
      </c>
      <c r="AL131" s="3">
        <f>SUM(AH131:AK131)</f>
        <v>-15843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0.162812427003037</v>
      </c>
      <c r="E132" s="48">
        <f>-E131/E130</f>
        <v>0.165400089405454</v>
      </c>
      <c r="F132" s="48">
        <f>-F131/F130</f>
        <v>0.138365169933019</v>
      </c>
      <c r="G132" s="48">
        <f>-G131/G130</f>
        <v>0.156732289905655</v>
      </c>
      <c r="H132" s="48">
        <f>-H131/H130</f>
        <v>0.155057141916148</v>
      </c>
      <c r="I132" s="48">
        <f>-I131/I130</f>
        <v>0.103214202831283</v>
      </c>
      <c r="J132" s="48">
        <f>-J131/J130</f>
        <v>0.151868075238341</v>
      </c>
      <c r="K132" s="48">
        <f>-K131/K130</f>
        <v>0.000925745468719548</v>
      </c>
      <c r="L132" s="48">
        <f>-L131/L130</f>
        <v>0.16655562958028</v>
      </c>
      <c r="M132" s="48">
        <f>-M131/M130</f>
        <v>0.106613955823293</v>
      </c>
      <c r="N132" s="48">
        <f>-N131/N130</f>
        <v>0.17147102526003</v>
      </c>
      <c r="O132" s="48">
        <f>-O131/O130</f>
        <v>0.182896470932787</v>
      </c>
      <c r="P132" s="48">
        <f>-P131/P130</f>
        <v>0.18616725384758</v>
      </c>
      <c r="Q132" s="48">
        <f>-Q131/Q130</f>
        <v>0.192438172968189</v>
      </c>
      <c r="R132" s="48">
        <f>-R131/R130</f>
        <v>0.183307502300576</v>
      </c>
      <c r="S132" s="48">
        <f>-S131/S130</f>
        <v>0.192916685043885</v>
      </c>
      <c r="T132" s="48">
        <f>-T131/T130</f>
        <v>0.187891778218142</v>
      </c>
      <c r="U132" s="48">
        <f>-U131/U130</f>
        <v>0.183001026242486</v>
      </c>
      <c r="V132" s="48">
        <f>-V131/V130</f>
        <v>0.175525899117847</v>
      </c>
      <c r="W132" s="48">
        <f>-W131/W130</f>
        <v>0.184458057504199</v>
      </c>
      <c r="X132" s="48">
        <f>-X131/X130</f>
        <v>0.179144685149848</v>
      </c>
      <c r="Y132" s="48">
        <f>-Y131/Y130</f>
        <v>0.191339449541284</v>
      </c>
      <c r="Z132" s="48">
        <f>-Z131/Z130</f>
        <v>0.185073837919984</v>
      </c>
      <c r="AA132" s="48">
        <f>-AA131/AA130</f>
        <v>0.179022646007151</v>
      </c>
      <c r="AB132" s="48">
        <f>-AB131/AB130</f>
        <v>0.183617783489275</v>
      </c>
      <c r="AC132" s="48">
        <f>-AC131/AC130</f>
        <v>0.176976766421264</v>
      </c>
      <c r="AD132" s="48">
        <f>-AD131/AD130</f>
        <v>0.165041697326466</v>
      </c>
      <c r="AE132" s="48">
        <f>-AE131/AE130</f>
        <v>0.191073146555494</v>
      </c>
      <c r="AF132" s="44">
        <f>-AF131/AF130</f>
        <v>0.202876922439166</v>
      </c>
      <c r="AG132" s="48">
        <f>-AG131/AG130</f>
        <v>0.186147127064283</v>
      </c>
      <c r="AH132" s="44">
        <f>-AH131/AH130</f>
        <v>0.192221657346213</v>
      </c>
      <c r="AI132" s="44">
        <f>-AI131/AI130</f>
        <v>0.188003723295571</v>
      </c>
      <c r="AJ132" s="44" t="n"/>
      <c r="AK132" s="44" t="n"/>
      <c r="AL132" s="48">
        <f>-AL131/AL130</f>
        <v>0.177234589998881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</v>
      </c>
      <c r="E135" s="25">
        <f>INDEX('Inputs (2)'!$D$11:$AL$11,MATCH(E$7,'Inputs (2)'!$D$2:$AL$2,0))</f>
        <v>0</v>
      </c>
      <c r="F135" s="25">
        <f>INDEX('Inputs (2)'!$D$11:$AL$11,MATCH(F$7,'Inputs (2)'!$D$2:$AL$2,0))</f>
        <v>0</v>
      </c>
      <c r="G135" s="25">
        <f>INDEX('Inputs (2)'!$D$11:$AL$11,MATCH(G$7,'Inputs (2)'!$D$2:$AL$2,0))</f>
        <v>0</v>
      </c>
      <c r="H135" s="3">
        <f>SUM(D135:G135)</f>
        <v>0</v>
      </c>
      <c r="I135" s="25">
        <f>INDEX('Inputs (2)'!$D$11:$AL$11,MATCH(I$7,'Inputs (2)'!$D$2:$AL$2,0))</f>
        <v>0</v>
      </c>
      <c r="J135" s="25">
        <f>INDEX('Inputs (2)'!$D$11:$AL$11,MATCH(J$7,'Inputs (2)'!$D$2:$AL$2,0))</f>
        <v>0</v>
      </c>
      <c r="K135" s="25">
        <f>INDEX('Inputs (2)'!$D$11:$AL$11,MATCH(K$7,'Inputs (2)'!$D$2:$AL$2,0))</f>
        <v>0</v>
      </c>
      <c r="L135" s="25">
        <f>INDEX('Inputs (2)'!$D$11:$AL$11,MATCH(L$7,'Inputs (2)'!$D$2:$AL$2,0))</f>
        <v>0</v>
      </c>
      <c r="M135" s="3">
        <f>SUM(I135:L135)</f>
        <v>0</v>
      </c>
      <c r="N135" s="25">
        <f>INDEX('Inputs (2)'!$D$11:$AL$11,MATCH(N$7,'Inputs (2)'!$D$2:$AL$2,0))</f>
        <v>0</v>
      </c>
      <c r="O135" s="25">
        <f>INDEX('Inputs (2)'!$D$11:$AL$11,MATCH(O$7,'Inputs (2)'!$D$2:$AL$2,0))</f>
        <v>0</v>
      </c>
      <c r="P135" s="25">
        <f>INDEX('Inputs (2)'!$D$11:$AL$11,MATCH(P$7,'Inputs (2)'!$D$2:$AL$2,0))</f>
        <v>0</v>
      </c>
      <c r="Q135" s="25">
        <f>INDEX('Inputs (2)'!$D$11:$AL$11,MATCH(Q$7,'Inputs (2)'!$D$2:$AL$2,0))</f>
        <v>0</v>
      </c>
      <c r="R135" s="3">
        <f>SUM(N135:Q135)</f>
        <v>0</v>
      </c>
      <c r="S135" s="25">
        <f>INDEX('Inputs (2)'!$D$11:$AL$11,MATCH(S$7,'Inputs (2)'!$D$2:$AL$2,0))</f>
        <v>0</v>
      </c>
      <c r="T135" s="25">
        <f>INDEX('Inputs (2)'!$D$11:$AL$11,MATCH(T$7,'Inputs (2)'!$D$2:$AL$2,0))</f>
        <v>0</v>
      </c>
      <c r="U135" s="25">
        <f>INDEX('Inputs (2)'!$D$11:$AL$11,MATCH(U$7,'Inputs (2)'!$D$2:$AL$2,0))</f>
        <v>0</v>
      </c>
      <c r="V135" s="25">
        <f>INDEX('Inputs (2)'!$D$11:$AL$11,MATCH(V$7,'Inputs (2)'!$D$2:$AL$2,0))</f>
        <v>0</v>
      </c>
      <c r="W135" s="3">
        <f>SUM(S135:V135)</f>
        <v>0</v>
      </c>
      <c r="X135" s="25">
        <f>INDEX('Inputs (2)'!$D$11:$AL$11,MATCH(X$7,'Inputs (2)'!$D$2:$AL$2,0))</f>
        <v>0</v>
      </c>
      <c r="Y135" s="25">
        <f>INDEX('Inputs (2)'!$D$11:$AL$11,MATCH(Y$7,'Inputs (2)'!$D$2:$AL$2,0))</f>
        <v>0</v>
      </c>
      <c r="Z135" s="25">
        <f>INDEX('Inputs (2)'!$D$11:$AL$11,MATCH(Z$7,'Inputs (2)'!$D$2:$AL$2,0))</f>
        <v>0</v>
      </c>
      <c r="AA135" s="25">
        <f>INDEX('Inputs (2)'!$D$11:$AL$11,MATCH(AA$7,'Inputs (2)'!$D$2:$AL$2,0))</f>
        <v>0</v>
      </c>
      <c r="AB135" s="3">
        <f>SUM(X135:AA135)</f>
        <v>0</v>
      </c>
      <c r="AC135" s="25">
        <f>INDEX('Inputs (2)'!$D$11:$AL$11,MATCH(AC$7,'Inputs (2)'!$D$2:$AL$2,0))</f>
        <v>0</v>
      </c>
      <c r="AD135" s="25">
        <f>INDEX('Inputs (2)'!$D$11:$AL$11,MATCH(AD$7,'Inputs (2)'!$D$2:$AL$2,0))</f>
        <v>0</v>
      </c>
      <c r="AE135" s="25">
        <f>INDEX('Inputs (2)'!$D$11:$AL$11,MATCH(AE$7,'Inputs (2)'!$D$2:$AL$2,0))</f>
        <v>0</v>
      </c>
      <c r="AF135" s="25">
        <f>INDEX('Inputs (2)'!$D$11:$AL$11,MATCH(AF$7,'Inputs (2)'!$D$2:$AL$2,0))</f>
        <v>0</v>
      </c>
      <c r="AG135" s="3">
        <f>SUM(AC135:AF135)</f>
        <v>0</v>
      </c>
      <c r="AH135" s="3">
        <f>INDEX('Inputs (2)'!$D$11:$AL$11,MATCH(AH$7,'Inputs (2)'!$D$2:$AL$2,0))</f>
        <v>0</v>
      </c>
      <c r="AI135" s="3">
        <f>INDEX('Inputs (2)'!$D$11:$AL$11,MATCH(AI$7,'Inputs (2)'!$D$2:$AL$2,0))</f>
        <v>0</v>
      </c>
      <c r="AJ135" s="3">
        <f>AE135*(1+AJ163)</f>
        <v>0</v>
      </c>
      <c r="AK135" s="3">
        <f>AF135*(1+AK163)</f>
        <v>0</v>
      </c>
      <c r="AL135" s="3">
        <f>SUM(AH135:AK135)</f>
        <v>0</v>
      </c>
      <c r="AM135" s="3">
        <f>AH135*(1+AM163)</f>
        <v>0</v>
      </c>
      <c r="AN135" s="3">
        <f>AI135*(1+AN163)</f>
        <v>0</v>
      </c>
      <c r="AO135" s="3">
        <f>AJ135*(1+AO163)</f>
        <v>0</v>
      </c>
      <c r="AP135" s="3">
        <f>AK135*(1+AP163)</f>
        <v>0</v>
      </c>
      <c r="AQ135" s="3">
        <f>SUM(AM135:AP135)</f>
        <v>0</v>
      </c>
      <c r="AR135" s="3">
        <f>AM135*(1+AR163)</f>
        <v>0</v>
      </c>
      <c r="AS135" s="3">
        <f>AN135*(1+AS163)</f>
        <v>0</v>
      </c>
      <c r="AT135" s="3">
        <f>AO135*(1+AT163)</f>
        <v>0</v>
      </c>
      <c r="AU135" s="3">
        <f>AP135*(1+AU163)</f>
        <v>0</v>
      </c>
      <c r="AV135" s="3">
        <f>SUM(AR135:AU135)</f>
        <v>0</v>
      </c>
      <c r="AW135" s="3">
        <f>AR135*(1+AW163)</f>
        <v>0</v>
      </c>
      <c r="AX135" s="3">
        <f>AS135*(1+AX163)</f>
        <v>0</v>
      </c>
      <c r="AY135" s="3">
        <f>AT135*(1+AY163)</f>
        <v>0</v>
      </c>
      <c r="AZ135" s="3">
        <f>AU135*(1+AZ163)</f>
        <v>0</v>
      </c>
      <c r="BA135" s="3">
        <f>SUM(AW135:AZ135)</f>
        <v>0</v>
      </c>
      <c r="BB135" s="3">
        <f>AW135*(1+BB163)</f>
        <v>0</v>
      </c>
      <c r="BC135" s="3">
        <f>AX135*(1+BC163)</f>
        <v>0</v>
      </c>
      <c r="BD135" s="3">
        <f>AY135*(1+BD163)</f>
        <v>0</v>
      </c>
      <c r="BE135" s="3">
        <f>AZ135*(1+BE163)</f>
        <v>0</v>
      </c>
      <c r="BF135" s="3">
        <f>SUM(BB135:BE135)</f>
        <v>0</v>
      </c>
      <c r="BG135" s="3">
        <f>BB135*(1+BG163)</f>
        <v>0</v>
      </c>
      <c r="BH135" s="3">
        <f>BC135*(1+BH163)</f>
        <v>0</v>
      </c>
      <c r="BI135" s="3">
        <f>BD135*(1+BI163)</f>
        <v>0</v>
      </c>
      <c r="BJ135" s="3">
        <f>BE135*(1+BJ163)</f>
        <v>0</v>
      </c>
      <c r="BK135" s="3">
        <f>SUM(BG135:BJ135)</f>
        <v>0</v>
      </c>
      <c r="BL135" s="3">
        <f>BG135*(1+BL163)</f>
        <v>0</v>
      </c>
      <c r="BM135" s="3">
        <f>BH135*(1+BM163)</f>
        <v>0</v>
      </c>
      <c r="BN135" s="3">
        <f>BI135*(1+BN163)</f>
        <v>0</v>
      </c>
      <c r="BO135" s="3">
        <f>BJ135*(1+BO163)</f>
        <v>0</v>
      </c>
      <c r="BP135" s="3">
        <f>SUM(BL135:BO135)</f>
        <v>0</v>
      </c>
      <c r="BQ135" s="3">
        <f>BL135*(1+BQ163)</f>
        <v>0</v>
      </c>
      <c r="BR135" s="3">
        <f>BM135*(1+BR163)</f>
        <v>0</v>
      </c>
      <c r="BS135" s="3">
        <f>BN135*(1+BS163)</f>
        <v>0</v>
      </c>
      <c r="BT135" s="3">
        <f>BO135*(1+BT163)</f>
        <v>0</v>
      </c>
      <c r="BU135" s="3">
        <f>SUM(BQ135:BT135)</f>
        <v>0</v>
      </c>
      <c r="BV135" s="3">
        <f>BQ135*(1+BV163)</f>
        <v>0</v>
      </c>
      <c r="BW135" s="3">
        <f>BR135*(1+BW163)</f>
        <v>0</v>
      </c>
      <c r="BX135" s="3">
        <f>BS135*(1+BX163)</f>
        <v>0</v>
      </c>
      <c r="BY135" s="3">
        <f>BT135*(1+BY163)</f>
        <v>0</v>
      </c>
      <c r="BZ135" s="3">
        <f>SUM(BV135:BY135)</f>
        <v>0</v>
      </c>
      <c r="CA135" s="3">
        <f>BV135*(1+CA163)</f>
        <v>0</v>
      </c>
      <c r="CB135" s="3">
        <f>BW135*(1+CB163)</f>
        <v>0</v>
      </c>
      <c r="CC135" s="3">
        <f>BX135*(1+CC163)</f>
        <v>0</v>
      </c>
      <c r="CD135" s="3">
        <f>BY135*(1+CD163)</f>
        <v>0</v>
      </c>
      <c r="CE135" s="3">
        <f>SUM(CA135:CD135)</f>
        <v>0</v>
      </c>
      <c r="CF135" s="3">
        <f>CA135*(1+CF163)</f>
        <v>0</v>
      </c>
      <c r="CG135" s="3">
        <f>CB135*(1+CG163)</f>
        <v>0</v>
      </c>
      <c r="CH135" s="3">
        <f>CC135*(1+CH163)</f>
        <v>0</v>
      </c>
      <c r="CI135" s="3">
        <f>CD135*(1+CI163)</f>
        <v>0</v>
      </c>
      <c r="CJ135" s="3">
        <f>SUM(CF135:CI135)</f>
        <v>0</v>
      </c>
      <c r="CK135" s="3">
        <f>CF135*(1+CK163)</f>
        <v>0</v>
      </c>
      <c r="CL135" s="3">
        <f>CG135*(1+CL163)</f>
        <v>0</v>
      </c>
      <c r="CM135" s="3">
        <f>CH135*(1+CM163)</f>
        <v>0</v>
      </c>
      <c r="CN135" s="3">
        <f>CI135*(1+CN163)</f>
        <v>0</v>
      </c>
      <c r="CO135" s="3">
        <f>SUM(CK135:CN135)</f>
        <v>0</v>
      </c>
      <c r="CP135" s="3">
        <f>CK135*(1+CP163)</f>
        <v>0</v>
      </c>
      <c r="CQ135" s="3">
        <f>CL135*(1+CQ163)</f>
        <v>0</v>
      </c>
      <c r="CR135" s="3">
        <f>CM135*(1+CR163)</f>
        <v>0</v>
      </c>
      <c r="CS135" s="3">
        <f>CN135*(1+CS163)</f>
        <v>0</v>
      </c>
      <c r="CT135" s="3">
        <f>SUM(CP135:CS135)</f>
        <v>0</v>
      </c>
      <c r="CU135" s="3">
        <f>CP135*(1+CU163)</f>
        <v>0</v>
      </c>
      <c r="CV135" s="3">
        <f>CQ135*(1+CV163)</f>
        <v>0</v>
      </c>
      <c r="CW135" s="3">
        <f>CR135*(1+CW163)</f>
        <v>0</v>
      </c>
      <c r="CX135" s="3">
        <f>CS135*(1+CX163)</f>
        <v>0</v>
      </c>
      <c r="CY135" s="3">
        <f>SUM(CU135:CX135)</f>
        <v>0</v>
      </c>
    </row>
    <row r="136">
      <c r="C136" s="26" t="inlineStr">
        <is>
          <t>Minority Interest Expense, after tax (enter as - )</t>
        </is>
      </c>
      <c r="D136" s="25" t="n"/>
      <c r="E136" s="25" t="n"/>
      <c r="F136" s="25" t="n"/>
      <c r="G136" s="25" t="n"/>
      <c r="H136" s="3">
        <f>SUM(D136:G136)</f>
        <v>0</v>
      </c>
      <c r="I136" s="25" t="n"/>
      <c r="J136" s="25" t="n"/>
      <c r="K136" s="25" t="n"/>
      <c r="L136" s="25" t="n"/>
      <c r="M136" s="3">
        <f>SUM(I136:L136)</f>
        <v>0</v>
      </c>
      <c r="N136" s="25" t="n"/>
      <c r="O136" s="25" t="n"/>
      <c r="P136" s="25" t="n"/>
      <c r="Q136" s="25" t="n"/>
      <c r="R136" s="3">
        <f>SUM(N136:Q136)</f>
        <v>0</v>
      </c>
      <c r="S136" s="25" t="n"/>
      <c r="T136" s="25" t="n"/>
      <c r="U136" s="25" t="n"/>
      <c r="V136" s="25" t="n"/>
      <c r="W136" s="3">
        <f>SUM(S136:V136)</f>
        <v>0</v>
      </c>
      <c r="X136" s="25" t="n"/>
      <c r="Y136" s="25" t="n"/>
      <c r="Z136" s="25" t="n"/>
      <c r="AA136" s="25" t="n"/>
      <c r="AB136" s="3">
        <f>SUM(X136:AA136)</f>
        <v>0</v>
      </c>
      <c r="AC136" s="25" t="n"/>
      <c r="AD136" s="25" t="n"/>
      <c r="AE136" s="25" t="n"/>
      <c r="AF136" s="25" t="n"/>
      <c r="AG136" s="3">
        <f>SUM(AC136:AF136)</f>
        <v>0</v>
      </c>
      <c r="AH136" s="3">
        <f>AC136*(1+AH250)</f>
        <v>0</v>
      </c>
      <c r="AI136" s="3">
        <f>AD136*(1+AI250)</f>
        <v>0</v>
      </c>
      <c r="AJ136" s="3">
        <f>AE136*(1+AJ250)</f>
        <v>0</v>
      </c>
      <c r="AK136" s="3">
        <f>AF136*(1+AK250)</f>
        <v>0</v>
      </c>
      <c r="AL136" s="3">
        <f>SUM(AH136:AK136)</f>
        <v>0</v>
      </c>
      <c r="AM136" s="3">
        <f>AH136*(1+AM250)</f>
        <v>0</v>
      </c>
      <c r="AN136" s="3">
        <f>AI136*(1+AN250)</f>
        <v>0</v>
      </c>
      <c r="AO136" s="3">
        <f>AJ136*(1+AO250)</f>
        <v>0</v>
      </c>
      <c r="AP136" s="3">
        <f>AK136*(1+AP250)</f>
        <v>0</v>
      </c>
      <c r="AQ136" s="3">
        <f>SUM(AM136:AP136)</f>
        <v>0</v>
      </c>
      <c r="AR136" s="3">
        <f>AM136*(1+AR250)</f>
        <v>0</v>
      </c>
      <c r="AS136" s="3">
        <f>AN136*(1+AS250)</f>
        <v>0</v>
      </c>
      <c r="AT136" s="3">
        <f>AO136*(1+AT250)</f>
        <v>0</v>
      </c>
      <c r="AU136" s="3">
        <f>AP136*(1+AU250)</f>
        <v>0</v>
      </c>
      <c r="AV136" s="3">
        <f>SUM(AR136:AU136)</f>
        <v>0</v>
      </c>
      <c r="AW136" s="3">
        <f>AR136*(1+AW250)</f>
        <v>0</v>
      </c>
      <c r="AX136" s="3">
        <f>AS136*(1+AX250)</f>
        <v>0</v>
      </c>
      <c r="AY136" s="3">
        <f>AT136*(1+AY250)</f>
        <v>0</v>
      </c>
      <c r="AZ136" s="3">
        <f>AU136*(1+AZ250)</f>
        <v>0</v>
      </c>
      <c r="BA136" s="3">
        <f>SUM(AW136:AZ136)</f>
        <v>0</v>
      </c>
      <c r="BB136" s="3">
        <f>AW136*(1+BB250)</f>
        <v>0</v>
      </c>
      <c r="BC136" s="3">
        <f>AX136*(1+BC250)</f>
        <v>0</v>
      </c>
      <c r="BD136" s="3">
        <f>AY136*(1+BD250)</f>
        <v>0</v>
      </c>
      <c r="BE136" s="3">
        <f>AZ136*(1+BE250)</f>
        <v>0</v>
      </c>
      <c r="BF136" s="3">
        <f>SUM(BB136:BE136)</f>
        <v>0</v>
      </c>
      <c r="BG136" s="3">
        <f>BB136*(1+BG250)</f>
        <v>0</v>
      </c>
      <c r="BH136" s="3">
        <f>BC136*(1+BH250)</f>
        <v>0</v>
      </c>
      <c r="BI136" s="3">
        <f>BD136*(1+BI250)</f>
        <v>0</v>
      </c>
      <c r="BJ136" s="3">
        <f>BE136*(1+BJ250)</f>
        <v>0</v>
      </c>
      <c r="BK136" s="3">
        <f>SUM(BG136:BJ136)</f>
        <v>0</v>
      </c>
      <c r="BL136" s="3">
        <f>BG136*(1+BL250)</f>
        <v>0</v>
      </c>
      <c r="BM136" s="3">
        <f>BH136*(1+BM250)</f>
        <v>0</v>
      </c>
      <c r="BN136" s="3">
        <f>BI136*(1+BN250)</f>
        <v>0</v>
      </c>
      <c r="BO136" s="3">
        <f>BJ136*(1+BO250)</f>
        <v>0</v>
      </c>
      <c r="BP136" s="3">
        <f>SUM(BL136:BO136)</f>
        <v>0</v>
      </c>
      <c r="BQ136" s="3">
        <f>BL136*(1+BQ250)</f>
        <v>0</v>
      </c>
      <c r="BR136" s="3">
        <f>BM136*(1+BR250)</f>
        <v>0</v>
      </c>
      <c r="BS136" s="3">
        <f>BN136*(1+BS250)</f>
        <v>0</v>
      </c>
      <c r="BT136" s="3">
        <f>BO136*(1+BT250)</f>
        <v>0</v>
      </c>
      <c r="BU136" s="3">
        <f>SUM(BQ136:BT136)</f>
        <v>0</v>
      </c>
      <c r="BV136" s="3">
        <f>BQ136*(1+BV250)</f>
        <v>0</v>
      </c>
      <c r="BW136" s="3">
        <f>BR136*(1+BW250)</f>
        <v>0</v>
      </c>
      <c r="BX136" s="3">
        <f>BS136*(1+BX250)</f>
        <v>0</v>
      </c>
      <c r="BY136" s="3">
        <f>BT136*(1+BY250)</f>
        <v>0</v>
      </c>
      <c r="BZ136" s="3">
        <f>SUM(BV136:BY136)</f>
        <v>0</v>
      </c>
      <c r="CA136" s="3">
        <f>BV136*(1+CA250)</f>
        <v>0</v>
      </c>
      <c r="CB136" s="3">
        <f>BW136*(1+CB250)</f>
        <v>0</v>
      </c>
      <c r="CC136" s="3">
        <f>BX136*(1+CC250)</f>
        <v>0</v>
      </c>
      <c r="CD136" s="3">
        <f>BY136*(1+CD250)</f>
        <v>0</v>
      </c>
      <c r="CE136" s="3">
        <f>SUM(CA136:CD136)</f>
        <v>0</v>
      </c>
      <c r="CF136" s="3">
        <f>CA136*(1+CF250)</f>
        <v>0</v>
      </c>
      <c r="CG136" s="3">
        <f>CB136*(1+CG250)</f>
        <v>0</v>
      </c>
      <c r="CH136" s="3">
        <f>CC136*(1+CH250)</f>
        <v>0</v>
      </c>
      <c r="CI136" s="3">
        <f>CD136*(1+CI250)</f>
        <v>0</v>
      </c>
      <c r="CJ136" s="3">
        <f>SUM(CF136:CI136)</f>
        <v>0</v>
      </c>
      <c r="CK136" s="3">
        <f>CF136*(1+CK250)</f>
        <v>0</v>
      </c>
      <c r="CL136" s="3">
        <f>CG136*(1+CL250)</f>
        <v>0</v>
      </c>
      <c r="CM136" s="3">
        <f>CH136*(1+CM250)</f>
        <v>0</v>
      </c>
      <c r="CN136" s="3">
        <f>CI136*(1+CN250)</f>
        <v>0</v>
      </c>
      <c r="CO136" s="3">
        <f>SUM(CK136:CN136)</f>
        <v>0</v>
      </c>
      <c r="CP136" s="3">
        <f>CK136*(1+CP250)</f>
        <v>0</v>
      </c>
      <c r="CQ136" s="3">
        <f>CL136*(1+CQ250)</f>
        <v>0</v>
      </c>
      <c r="CR136" s="3">
        <f>CM136*(1+CR250)</f>
        <v>0</v>
      </c>
      <c r="CS136" s="3">
        <f>CN136*(1+CS250)</f>
        <v>0</v>
      </c>
      <c r="CT136" s="3">
        <f>SUM(CP136:CS136)</f>
        <v>0</v>
      </c>
      <c r="CU136" s="3">
        <f>CP136*(1+CU250)</f>
        <v>0</v>
      </c>
      <c r="CV136" s="3">
        <f>CQ136*(1+CV250)</f>
        <v>0</v>
      </c>
      <c r="CW136" s="3">
        <f>CR136*(1+CW250)</f>
        <v>0</v>
      </c>
      <c r="CX136" s="3">
        <f>CS136*(1+CX250)</f>
        <v>0</v>
      </c>
      <c r="CY136" s="3">
        <f>SUM(CU136:CX136)</f>
        <v>0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10752</v>
      </c>
      <c r="E137" s="16">
        <f>SUM(E130,E131,E135,E136)</f>
        <v>11202</v>
      </c>
      <c r="F137" s="16">
        <f>SUM(F130,F131,F135,F136)</f>
        <v>13893</v>
      </c>
      <c r="G137" s="16">
        <f>SUM(G130,G131,G135,G136)</f>
        <v>15463</v>
      </c>
      <c r="H137" s="16">
        <f>SUM(D137:G137)</f>
        <v>51310</v>
      </c>
      <c r="I137" s="16">
        <f>SUM(I130,I131,I135,I136)</f>
        <v>15457</v>
      </c>
      <c r="J137" s="16">
        <f>SUM(J130,J131,J135,J136)</f>
        <v>16458</v>
      </c>
      <c r="K137" s="16">
        <f>SUM(K130,K131,K135,K136)</f>
        <v>20505</v>
      </c>
      <c r="L137" s="16">
        <f>SUM(L130,L131,L135,L136)</f>
        <v>18765</v>
      </c>
      <c r="M137" s="16">
        <f>SUM(I137:L137)</f>
        <v>71185</v>
      </c>
      <c r="N137" s="16">
        <f>SUM(N130,N131,N135,N136)</f>
        <v>16728</v>
      </c>
      <c r="O137" s="16">
        <f>SUM(O130,O131,O135,O136)</f>
        <v>16740</v>
      </c>
      <c r="P137" s="16">
        <f>SUM(P130,P131,P135,P136)</f>
        <v>17556</v>
      </c>
      <c r="Q137" s="16">
        <f>SUM(Q130,Q131,Q135,Q136)</f>
        <v>16425</v>
      </c>
      <c r="R137" s="16">
        <f>SUM(N137:Q137)</f>
        <v>67449</v>
      </c>
      <c r="S137" s="16">
        <f>SUM(S130,S131,S135,S136)</f>
        <v>18299</v>
      </c>
      <c r="T137" s="16">
        <f>SUM(T130,T131,T135,T136)</f>
        <v>20081</v>
      </c>
      <c r="U137" s="16">
        <f>SUM(U130,U131,U135,U136)</f>
        <v>22291</v>
      </c>
      <c r="V137" s="16">
        <f>SUM(V130,V131,V135,V136)</f>
        <v>21870</v>
      </c>
      <c r="W137" s="16">
        <f>SUM(S137:V137)</f>
        <v>82541</v>
      </c>
      <c r="X137" s="16">
        <f>SUM(X130,X131,X135,X136)</f>
        <v>21939</v>
      </c>
      <c r="Y137" s="16">
        <f>SUM(Y130,Y131,Y135,Y136)</f>
        <v>22036</v>
      </c>
      <c r="Z137" s="16">
        <f>SUM(Z130,Z131,Z135,Z136)</f>
        <v>24667</v>
      </c>
      <c r="AA137" s="16">
        <f>SUM(AA130,AA131,AA135,AA136)</f>
        <v>24108</v>
      </c>
      <c r="AB137" s="16">
        <f>SUM(X137:AA137)</f>
        <v>92750</v>
      </c>
      <c r="AC137" s="16">
        <f>SUM(AC130,AC131,AC135,AC136)</f>
        <v>25824</v>
      </c>
      <c r="AD137" s="16">
        <f>SUM(AD130,AD131,AD135,AD136)</f>
        <v>27233</v>
      </c>
      <c r="AE137" s="16">
        <f>SUM(AE130,AE131,AE135,AE136)</f>
        <v>27747</v>
      </c>
      <c r="AF137" s="16">
        <f>SUM(AF130,AF131,AF135,AF136)</f>
        <v>38458</v>
      </c>
      <c r="AG137" s="16">
        <f>SUM(AC137:AF137)</f>
        <v>119262</v>
      </c>
      <c r="AH137" s="16">
        <f>SUM(AH130,AH131,AH135,AH136)</f>
        <v>31778</v>
      </c>
      <c r="AI137" s="16">
        <f>SUM(AI130,AI131,AI135,AI136)</f>
        <v>35766</v>
      </c>
      <c r="AJ137" s="16">
        <f>SUM(AJ130,AJ131,AJ135,AJ136)</f>
        <v>1720</v>
      </c>
      <c r="AK137" s="16">
        <f>SUM(AK130,AK131,AK135,AK136)</f>
        <v>4283</v>
      </c>
      <c r="AL137" s="16">
        <f>SUM(AH137:AK137)</f>
        <v>73547</v>
      </c>
      <c r="AM137" s="16">
        <f>SUM(AM130,AM131,AM135,AM136)</f>
        <v>4283</v>
      </c>
      <c r="AN137" s="16">
        <f>SUM(AN130,AN131,AN135,AN136)</f>
        <v>12006</v>
      </c>
      <c r="AO137" s="16">
        <f>SUM(AO130,AO131,AO135,AO136)</f>
        <v>4283</v>
      </c>
      <c r="AP137" s="16">
        <f>SUM(AP130,AP131,AP135,AP136)</f>
        <v>12006</v>
      </c>
      <c r="AQ137" s="16">
        <f>SUM(AM137:AP137)</f>
        <v>32578</v>
      </c>
      <c r="AR137" s="16">
        <f>SUM(AR130,AR131,AR135,AR136)</f>
        <v>12006</v>
      </c>
      <c r="AS137" s="16">
        <f>SUM(AS130,AS131,AS135,AS136)</f>
        <v>32578</v>
      </c>
      <c r="AT137" s="16">
        <f>SUM(AT130,AT131,AT135,AT136)</f>
        <v>12006</v>
      </c>
      <c r="AU137" s="16">
        <f>SUM(AU130,AU131,AU135,AU136)</f>
        <v>32578</v>
      </c>
      <c r="AV137" s="16">
        <f>SUM(AR137:AU137)</f>
        <v>89168</v>
      </c>
      <c r="AW137" s="16">
        <f>SUM(AW130,AW131,AW135,AW136)</f>
        <v>32578</v>
      </c>
      <c r="AX137" s="16">
        <f>SUM(AX130,AX131,AX135,AX136)</f>
        <v>89168</v>
      </c>
      <c r="AY137" s="16">
        <f>SUM(AY130,AY131,AY135,AY136)</f>
        <v>32578</v>
      </c>
      <c r="AZ137" s="16">
        <f>SUM(AZ130,AZ131,AZ135,AZ136)</f>
        <v>89168</v>
      </c>
      <c r="BA137" s="16">
        <f>SUM(AW137:AZ137)</f>
        <v>243492</v>
      </c>
      <c r="BB137" s="16">
        <f>SUM(BB130,BB131,BB135,BB136)</f>
        <v>89168</v>
      </c>
      <c r="BC137" s="16">
        <f>SUM(BC130,BC131,BC135,BC136)</f>
        <v>243492</v>
      </c>
      <c r="BD137" s="16">
        <f>SUM(BD130,BD131,BD135,BD136)</f>
        <v>89168</v>
      </c>
      <c r="BE137" s="16">
        <f>SUM(BE130,BE131,BE135,BE136)</f>
        <v>243492</v>
      </c>
      <c r="BF137" s="16">
        <f>SUM(BB137:BE137)</f>
        <v>665320</v>
      </c>
      <c r="BG137" s="16">
        <f>SUM(BG130,BG131,BG135,BG136)</f>
        <v>243492</v>
      </c>
      <c r="BH137" s="16">
        <f>SUM(BH130,BH131,BH135,BH136)</f>
        <v>665320</v>
      </c>
      <c r="BI137" s="16">
        <f>SUM(BI130,BI131,BI135,BI136)</f>
        <v>243492</v>
      </c>
      <c r="BJ137" s="16">
        <f>SUM(BJ130,BJ131,BJ135,BJ136)</f>
        <v>665320</v>
      </c>
      <c r="BK137" s="16">
        <f>SUM(BG137:BJ137)</f>
        <v>1817624</v>
      </c>
      <c r="BL137" s="16">
        <f>SUM(BL130,BL131,BL135,BL136)</f>
        <v>665320</v>
      </c>
      <c r="BM137" s="16">
        <f>SUM(BM130,BM131,BM135,BM136)</f>
        <v>1817624</v>
      </c>
      <c r="BN137" s="16">
        <f>SUM(BN130,BN131,BN135,BN136)</f>
        <v>665320</v>
      </c>
      <c r="BO137" s="16">
        <f>SUM(BO130,BO131,BO135,BO136)</f>
        <v>1817624</v>
      </c>
      <c r="BP137" s="16">
        <f>SUM(BL137:BO137)</f>
        <v>4965888</v>
      </c>
      <c r="BQ137" s="16">
        <f>SUM(BQ130,BQ131,BQ135,BQ136)</f>
        <v>1817624</v>
      </c>
      <c r="BR137" s="16">
        <f>SUM(BR130,BR131,BR135,BR136)</f>
        <v>4965888</v>
      </c>
      <c r="BS137" s="16">
        <f>SUM(BS130,BS131,BS135,BS136)</f>
        <v>1817624</v>
      </c>
      <c r="BT137" s="16">
        <f>SUM(BT130,BT131,BT135,BT136)</f>
        <v>4965888</v>
      </c>
      <c r="BU137" s="16">
        <f>SUM(BQ137:BT137)</f>
        <v>13567024</v>
      </c>
      <c r="BV137" s="16">
        <f>SUM(BV130,BV131,BV135,BV136)</f>
        <v>4965888</v>
      </c>
      <c r="BW137" s="16">
        <f>SUM(BW130,BW131,BW135,BW136)</f>
        <v>13567024</v>
      </c>
      <c r="BX137" s="16">
        <f>SUM(BX130,BX131,BX135,BX136)</f>
        <v>4965888</v>
      </c>
      <c r="BY137" s="16">
        <f>SUM(BY130,BY131,BY135,BY136)</f>
        <v>13567024</v>
      </c>
      <c r="BZ137" s="16">
        <f>SUM(BV137:BY137)</f>
        <v>37065824</v>
      </c>
      <c r="CA137" s="16">
        <f>SUM(CA130,CA131,CA135,CA136)</f>
        <v>13567024</v>
      </c>
      <c r="CB137" s="16">
        <f>SUM(CB130,CB131,CB135,CB136)</f>
        <v>37065824</v>
      </c>
      <c r="CC137" s="16">
        <f>SUM(CC130,CC131,CC135,CC136)</f>
        <v>13567024</v>
      </c>
      <c r="CD137" s="16">
        <f>SUM(CD130,CD131,CD135,CD136)</f>
        <v>37065824</v>
      </c>
      <c r="CE137" s="16">
        <f>SUM(CA137:CD137)</f>
        <v>101265696</v>
      </c>
      <c r="CF137" s="16">
        <f>SUM(CF130,CF131,CF135,CF136)</f>
        <v>37065824</v>
      </c>
      <c r="CG137" s="16">
        <f>SUM(CG130,CG131,CG135,CG136)</f>
        <v>101265696</v>
      </c>
      <c r="CH137" s="16">
        <f>SUM(CH130,CH131,CH135,CH136)</f>
        <v>37065824</v>
      </c>
      <c r="CI137" s="16">
        <f>SUM(CI130,CI131,CI135,CI136)</f>
        <v>101265696</v>
      </c>
      <c r="CJ137" s="16">
        <f>SUM(CF137:CI137)</f>
        <v>276663040</v>
      </c>
      <c r="CK137" s="16">
        <f>SUM(CK130,CK131,CK135,CK136)</f>
        <v>101265696</v>
      </c>
      <c r="CL137" s="16">
        <f>SUM(CL130,CL131,CL135,CL136)</f>
        <v>276663040</v>
      </c>
      <c r="CM137" s="16">
        <f>SUM(CM130,CM131,CM135,CM136)</f>
        <v>101265696</v>
      </c>
      <c r="CN137" s="16">
        <f>SUM(CN130,CN131,CN135,CN136)</f>
        <v>276663040</v>
      </c>
      <c r="CO137" s="16">
        <f>SUM(CK137:CN137)</f>
        <v>755857472</v>
      </c>
      <c r="CP137" s="16">
        <f>SUM(CP130,CP131,CP135,CP136)</f>
        <v>276663040</v>
      </c>
      <c r="CQ137" s="16">
        <f>SUM(CQ130,CQ131,CQ135,CQ136)</f>
        <v>755857472</v>
      </c>
      <c r="CR137" s="16">
        <f>SUM(CR130,CR131,CR135,CR136)</f>
        <v>276663040</v>
      </c>
      <c r="CS137" s="16">
        <f>SUM(CS130,CS131,CS135,CS136)</f>
        <v>755857472</v>
      </c>
      <c r="CT137" s="16">
        <f>SUM(CP137:CS137)</f>
        <v>2065041024</v>
      </c>
      <c r="CU137" s="16">
        <f>SUM(CU130,CU131,CU135,CU136)</f>
        <v>755857472</v>
      </c>
      <c r="CV137" s="16">
        <f>SUM(CV130,CV131,CV135,CV136)</f>
        <v>2065041024</v>
      </c>
      <c r="CW137" s="16">
        <f>SUM(CW130,CW131,CW135,CW136)</f>
        <v>755857472</v>
      </c>
      <c r="CX137" s="16">
        <f>SUM(CX130,CX131,CX135,CX136)</f>
        <v>2065041024</v>
      </c>
      <c r="CY137" s="16">
        <f>SUM(CU137:CX137)</f>
        <v>5641796992</v>
      </c>
    </row>
    <row r="138">
      <c r="C138" s="24" t="inlineStr">
        <is>
          <t>Common Dividends</t>
        </is>
      </c>
      <c r="D138" s="25">
        <f>INDEX('Inputs (2)'!$D$13:$AL$13,MATCH(D$7,'Inputs (2)'!$D$2:$AL$2,0))</f>
        <v>-3876</v>
      </c>
      <c r="E138" s="25">
        <f>INDEX('Inputs (2)'!$D$13:$AL$13,MATCH(E$7,'Inputs (2)'!$D$2:$AL$2,0))</f>
        <v>-3865</v>
      </c>
      <c r="F138" s="25">
        <f>INDEX('Inputs (2)'!$D$13:$AL$13,MATCH(F$7,'Inputs (2)'!$D$2:$AL$2,0))</f>
        <v>-3856</v>
      </c>
      <c r="G138" s="25">
        <f>INDEX('Inputs (2)'!$D$13:$AL$13,MATCH(G$7,'Inputs (2)'!$D$2:$AL$2,0))</f>
        <v>-4230</v>
      </c>
      <c r="H138" s="3">
        <f>SUM(D138:G138)</f>
        <v>-15827</v>
      </c>
      <c r="I138" s="25">
        <f>INDEX('Inputs (2)'!$D$13:$AL$13,MATCH(I$7,'Inputs (2)'!$D$2:$AL$2,0))</f>
        <v>-4221</v>
      </c>
      <c r="J138" s="25">
        <f>INDEX('Inputs (2)'!$D$13:$AL$13,MATCH(J$7,'Inputs (2)'!$D$2:$AL$2,0))</f>
        <v>-4214</v>
      </c>
      <c r="K138" s="25">
        <f>INDEX('Inputs (2)'!$D$13:$AL$13,MATCH(K$7,'Inputs (2)'!$D$2:$AL$2,0))</f>
        <v>-4206</v>
      </c>
      <c r="L138" s="25">
        <f>INDEX('Inputs (2)'!$D$13:$AL$13,MATCH(L$7,'Inputs (2)'!$D$2:$AL$2,0))</f>
        <v>-4652</v>
      </c>
      <c r="M138" s="3">
        <f>SUM(I138:L138)</f>
        <v>-17293</v>
      </c>
      <c r="N138" s="25">
        <f>INDEX('Inputs (2)'!$D$13:$AL$13,MATCH(N$7,'Inputs (2)'!$D$2:$AL$2,0))</f>
        <v>-4645</v>
      </c>
      <c r="O138" s="25">
        <f>INDEX('Inputs (2)'!$D$13:$AL$13,MATCH(O$7,'Inputs (2)'!$D$2:$AL$2,0))</f>
        <v>-4632</v>
      </c>
      <c r="P138" s="25">
        <f>INDEX('Inputs (2)'!$D$13:$AL$13,MATCH(P$7,'Inputs (2)'!$D$2:$AL$2,0))</f>
        <v>-4621</v>
      </c>
      <c r="Q138" s="25">
        <f>INDEX('Inputs (2)'!$D$13:$AL$13,MATCH(Q$7,'Inputs (2)'!$D$2:$AL$2,0))</f>
        <v>-5066</v>
      </c>
      <c r="R138" s="3">
        <f>SUM(N138:Q138)</f>
        <v>-18964</v>
      </c>
      <c r="S138" s="25">
        <f>INDEX('Inputs (2)'!$D$13:$AL$13,MATCH(S$7,'Inputs (2)'!$D$2:$AL$2,0))</f>
        <v>-5059</v>
      </c>
      <c r="T138" s="25">
        <f>INDEX('Inputs (2)'!$D$13:$AL$13,MATCH(T$7,'Inputs (2)'!$D$2:$AL$2,0))</f>
        <v>-5054</v>
      </c>
      <c r="U138" s="25">
        <f>INDEX('Inputs (2)'!$D$13:$AL$13,MATCH(U$7,'Inputs (2)'!$D$2:$AL$2,0))</f>
        <v>-5051</v>
      </c>
      <c r="V138" s="25">
        <f>INDEX('Inputs (2)'!$D$13:$AL$13,MATCH(V$7,'Inputs (2)'!$D$2:$AL$2,0))</f>
        <v>-5574</v>
      </c>
      <c r="W138" s="3">
        <f>SUM(S138:V138)</f>
        <v>-20738</v>
      </c>
      <c r="X138" s="25">
        <f>INDEX('Inputs (2)'!$D$13:$AL$13,MATCH(X$7,'Inputs (2)'!$D$2:$AL$2,0))</f>
        <v>-5572</v>
      </c>
      <c r="Y138" s="25">
        <f>INDEX('Inputs (2)'!$D$13:$AL$13,MATCH(Y$7,'Inputs (2)'!$D$2:$AL$2,0))</f>
        <v>-5574</v>
      </c>
      <c r="Z138" s="25">
        <f>INDEX('Inputs (2)'!$D$13:$AL$13,MATCH(Z$7,'Inputs (2)'!$D$2:$AL$2,0))</f>
        <v>-5574</v>
      </c>
      <c r="AA138" s="25">
        <f>INDEX('Inputs (2)'!$D$13:$AL$13,MATCH(AA$7,'Inputs (2)'!$D$2:$AL$2,0))</f>
        <v>-6170</v>
      </c>
      <c r="AB138" s="3">
        <f>SUM(X138:AA138)</f>
        <v>-22890</v>
      </c>
      <c r="AC138" s="25">
        <f>INDEX('Inputs (2)'!$D$13:$AL$13,MATCH(AC$7,'Inputs (2)'!$D$2:$AL$2,0))</f>
        <v>-6169</v>
      </c>
      <c r="AD138" s="25">
        <f>INDEX('Inputs (2)'!$D$13:$AL$13,MATCH(AD$7,'Inputs (2)'!$D$2:$AL$2,0))</f>
        <v>-6169</v>
      </c>
      <c r="AE138" s="25">
        <f>INDEX('Inputs (2)'!$D$13:$AL$13,MATCH(AE$7,'Inputs (2)'!$D$2:$AL$2,0))</f>
        <v>-6169</v>
      </c>
      <c r="AF138" s="25">
        <f>INDEX('Inputs (2)'!$D$13:$AL$13,MATCH(AF$7,'Inputs (2)'!$D$2:$AL$2,0))</f>
        <v>-6762</v>
      </c>
      <c r="AG138" s="3">
        <f>SUM(AC138:AF138)</f>
        <v>-25269</v>
      </c>
      <c r="AH138" s="3">
        <f>INDEX('Inputs (2)'!$D$13:$AL$13,MATCH(AH$7,'Inputs (2)'!$D$2:$AL$2,0))</f>
        <v>-6756</v>
      </c>
      <c r="AI138" s="3">
        <f>INDEX('Inputs (2)'!$D$13:$AL$13,MATCH(AI$7,'Inputs (2)'!$D$2:$AL$2,0))</f>
        <v>-6758</v>
      </c>
      <c r="AJ138" s="3" t="n"/>
      <c r="AK138" s="3" t="n"/>
      <c r="AL138" s="3">
        <f>SUM(AH138:AK138)</f>
        <v>-13514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0.360491071428571</v>
      </c>
      <c r="E139" s="40">
        <f>-E138/E137</f>
        <v>0.345027673629709</v>
      </c>
      <c r="F139" s="40">
        <f>-F138/F137</f>
        <v>0.277549845245807</v>
      </c>
      <c r="G139" s="40">
        <f>-G138/G137</f>
        <v>0.27355623100304</v>
      </c>
      <c r="H139" s="40">
        <f>-H138/H137</f>
        <v>0.308458390177353</v>
      </c>
      <c r="I139" s="40">
        <f>-I138/I137</f>
        <v>0.273080157857282</v>
      </c>
      <c r="J139" s="40">
        <f>-J138/J137</f>
        <v>0.256045692064649</v>
      </c>
      <c r="K139" s="40">
        <f>-K138/K137</f>
        <v>0.20512070226774</v>
      </c>
      <c r="L139" s="40">
        <f>-L138/L137</f>
        <v>0.247908339994671</v>
      </c>
      <c r="M139" s="40">
        <f>-M138/M137</f>
        <v>0.242930392638899</v>
      </c>
      <c r="N139" s="40">
        <f>-N138/N137</f>
        <v>0.277678144428503</v>
      </c>
      <c r="O139" s="40">
        <f>-O138/O137</f>
        <v>0.276702508960573</v>
      </c>
      <c r="P139" s="40">
        <f>-P138/P137</f>
        <v>0.263214855320118</v>
      </c>
      <c r="Q139" s="40">
        <f>-Q138/Q137</f>
        <v>0.308432267884323</v>
      </c>
      <c r="R139" s="40">
        <f>-R138/R137</f>
        <v>0.281160580586814</v>
      </c>
      <c r="S139" s="40">
        <f>-S138/S137</f>
        <v>0.276463194710093</v>
      </c>
      <c r="T139" s="40">
        <f>-T138/T137</f>
        <v>0.25168069319257</v>
      </c>
      <c r="U139" s="40">
        <f>-U138/U137</f>
        <v>0.226593692521646</v>
      </c>
      <c r="V139" s="40">
        <f>-V138/V137</f>
        <v>0.254869684499314</v>
      </c>
      <c r="W139" s="40">
        <f>-W138/W137</f>
        <v>0.251244835899735</v>
      </c>
      <c r="X139" s="40">
        <f>-X138/X137</f>
        <v>0.253976936049957</v>
      </c>
      <c r="Y139" s="40">
        <f>-Y138/Y137</f>
        <v>0.252949718642222</v>
      </c>
      <c r="Z139" s="40">
        <f>-Z138/Z137</f>
        <v>0.225969919325415</v>
      </c>
      <c r="AA139" s="40">
        <f>-AA138/AA137</f>
        <v>0.255931640949063</v>
      </c>
      <c r="AB139" s="40">
        <f>-AB138/AB137</f>
        <v>0.246792452830189</v>
      </c>
      <c r="AC139" s="40">
        <f>-AC138/AC137</f>
        <v>0.238886307311029</v>
      </c>
      <c r="AD139" s="40">
        <f>-AD138/AD137</f>
        <v>0.226526640472956</v>
      </c>
      <c r="AE139" s="40">
        <f>-AE138/AE137</f>
        <v>0.222330342018957</v>
      </c>
      <c r="AF139" s="44">
        <f>-AF138/AF137</f>
        <v>0.17582817619221</v>
      </c>
      <c r="AG139" s="3" t="n"/>
      <c r="AH139" s="44">
        <f>-AH138/AH137</f>
        <v>0.212599911888728</v>
      </c>
      <c r="AI139" s="44">
        <f>-AI138/AI137</f>
        <v>0.188950399821059</v>
      </c>
      <c r="AJ139" s="44" t="n"/>
      <c r="AK139" s="44" t="n"/>
      <c r="AL139" s="3">
        <f>-AL138/AL137</f>
        <v>0.183746447849674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137626</v>
      </c>
      <c r="E144" s="25">
        <f>INDEX('Inputs (2)'!$D$15:$AL$15,MATCH(E$7,'Inputs (2)'!$D$2:$AL$2,0))</f>
        <v>136527</v>
      </c>
      <c r="F144" s="25">
        <f>INDEX('Inputs (2)'!$D$15:$AL$15,MATCH(F$7,'Inputs (2)'!$D$2:$AL$2,0))</f>
        <v>137977</v>
      </c>
      <c r="G144" s="25">
        <f>INDEX('Inputs (2)'!$D$15:$AL$15,MATCH(G$7,'Inputs (2)'!$D$2:$AL$2,0))</f>
        <v>131968</v>
      </c>
      <c r="H144" s="3">
        <f>G144</f>
        <v>131968</v>
      </c>
      <c r="I144" s="25">
        <f>INDEX('Inputs (2)'!$D$15:$AL$15,MATCH(I$7,'Inputs (2)'!$D$2:$AL$2,0))</f>
        <v>125407</v>
      </c>
      <c r="J144" s="25">
        <f>INDEX('Inputs (2)'!$D$15:$AL$15,MATCH(J$7,'Inputs (2)'!$D$2:$AL$2,0))</f>
        <v>130334</v>
      </c>
      <c r="K144" s="25">
        <f>INDEX('Inputs (2)'!$D$15:$AL$15,MATCH(K$7,'Inputs (2)'!$D$2:$AL$2,0))</f>
        <v>130615</v>
      </c>
      <c r="L144" s="25">
        <f>INDEX('Inputs (2)'!$D$15:$AL$15,MATCH(L$7,'Inputs (2)'!$D$2:$AL$2,0))</f>
        <v>125369</v>
      </c>
      <c r="M144" s="3">
        <f>L144</f>
        <v>125369</v>
      </c>
      <c r="N144" s="25">
        <f>INDEX('Inputs (2)'!$D$15:$AL$15,MATCH(N$7,'Inputs (2)'!$D$2:$AL$2,0))</f>
        <v>104693</v>
      </c>
      <c r="O144" s="25">
        <f>INDEX('Inputs (2)'!$D$15:$AL$15,MATCH(O$7,'Inputs (2)'!$D$2:$AL$2,0))</f>
        <v>104757</v>
      </c>
      <c r="P144" s="25">
        <f>INDEX('Inputs (2)'!$D$15:$AL$15,MATCH(P$7,'Inputs (2)'!$D$2:$AL$2,0))</f>
        <v>107262</v>
      </c>
      <c r="Q144" s="25">
        <f>INDEX('Inputs (2)'!$D$15:$AL$15,MATCH(Q$7,'Inputs (2)'!$D$2:$AL$2,0))</f>
        <v>99508</v>
      </c>
      <c r="R144" s="3">
        <f>Q144</f>
        <v>99508</v>
      </c>
      <c r="S144" s="25">
        <f>INDEX('Inputs (2)'!$D$15:$AL$15,MATCH(S$7,'Inputs (2)'!$D$2:$AL$2,0))</f>
        <v>104427</v>
      </c>
      <c r="T144" s="25">
        <f>INDEX('Inputs (2)'!$D$15:$AL$15,MATCH(T$7,'Inputs (2)'!$D$2:$AL$2,0))</f>
        <v>111262</v>
      </c>
      <c r="U144" s="25">
        <f>INDEX('Inputs (2)'!$D$15:$AL$15,MATCH(U$7,'Inputs (2)'!$D$2:$AL$2,0))</f>
        <v>143951</v>
      </c>
      <c r="V144" s="25">
        <f>INDEX('Inputs (2)'!$D$15:$AL$15,MATCH(V$7,'Inputs (2)'!$D$2:$AL$2,0))</f>
        <v>81017</v>
      </c>
      <c r="W144" s="3">
        <f>V144</f>
        <v>81017</v>
      </c>
      <c r="X144" s="25">
        <f>INDEX('Inputs (2)'!$D$15:$AL$15,MATCH(X$7,'Inputs (2)'!$D$2:$AL$2,0))</f>
        <v>80021</v>
      </c>
      <c r="Y144" s="25">
        <f>INDEX('Inputs (2)'!$D$15:$AL$15,MATCH(Y$7,'Inputs (2)'!$D$2:$AL$2,0))</f>
        <v>75543</v>
      </c>
      <c r="Z144" s="25">
        <f>INDEX('Inputs (2)'!$D$15:$AL$15,MATCH(Z$7,'Inputs (2)'!$D$2:$AL$2,0))</f>
        <v>78428</v>
      </c>
      <c r="AA144" s="25">
        <f>INDEX('Inputs (2)'!$D$15:$AL$15,MATCH(AA$7,'Inputs (2)'!$D$2:$AL$2,0))</f>
        <v>71555</v>
      </c>
      <c r="AB144" s="3">
        <f>AA144</f>
        <v>71555</v>
      </c>
      <c r="AC144" s="25">
        <f>INDEX('Inputs (2)'!$D$15:$AL$15,MATCH(AC$7,'Inputs (2)'!$D$2:$AL$2,0))</f>
        <v>79618</v>
      </c>
      <c r="AD144" s="25">
        <f>INDEX('Inputs (2)'!$D$15:$AL$15,MATCH(AD$7,'Inputs (2)'!$D$2:$AL$2,0))</f>
        <v>94565</v>
      </c>
      <c r="AE144" s="25">
        <f>INDEX('Inputs (2)'!$D$15:$AL$15,MATCH(AE$7,'Inputs (2)'!$D$2:$AL$2,0))</f>
        <v>102012</v>
      </c>
      <c r="AF144" s="25">
        <f>INDEX('Inputs (2)'!$D$15:$AL$15,MATCH(AF$7,'Inputs (2)'!$D$2:$AL$2,0))</f>
        <v>89462</v>
      </c>
      <c r="AG144" s="3">
        <f>AF144</f>
        <v>89462</v>
      </c>
      <c r="AH144" s="3">
        <f>INDEX('Inputs (2)'!$D$15:$AL$15,MATCH(AH$7,'Inputs (2)'!$D$2:$AL$2,0))</f>
        <v>78272</v>
      </c>
      <c r="AI144" s="3">
        <f>INDEX('Inputs (2)'!$D$15:$AL$15,MATCH(AI$7,'Inputs (2)'!$D$2:$AL$2,0))</f>
        <v>76843</v>
      </c>
      <c r="AJ144" s="3">
        <f>AI144+AJ314</f>
        <v>119550</v>
      </c>
      <c r="AK144" s="3">
        <f>AJ144+AK314</f>
        <v>123833</v>
      </c>
      <c r="AL144" s="3">
        <f>AK144</f>
        <v>123833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22699</v>
      </c>
      <c r="E145" s="25">
        <f>INDEX('Inputs (2)'!$D$16:$AL$16,MATCH(E$7,'Inputs (2)'!$D$2:$AL$2,0))</f>
        <v>32011</v>
      </c>
      <c r="F145" s="25">
        <f>INDEX('Inputs (2)'!$D$16:$AL$16,MATCH(F$7,'Inputs (2)'!$D$2:$AL$2,0))</f>
        <v>22851</v>
      </c>
      <c r="G145" s="25">
        <f>INDEX('Inputs (2)'!$D$16:$AL$16,MATCH(G$7,'Inputs (2)'!$D$2:$AL$2,0))</f>
        <v>27312</v>
      </c>
      <c r="H145" s="3">
        <f>G145</f>
        <v>27312</v>
      </c>
      <c r="I145" s="25">
        <f>INDEX('Inputs (2)'!$D$16:$AL$16,MATCH(I$7,'Inputs (2)'!$D$2:$AL$2,0))</f>
        <v>26322</v>
      </c>
      <c r="J145" s="25">
        <f>INDEX('Inputs (2)'!$D$16:$AL$16,MATCH(J$7,'Inputs (2)'!$D$2:$AL$2,0))</f>
        <v>38043</v>
      </c>
      <c r="K145" s="25">
        <f>INDEX('Inputs (2)'!$D$16:$AL$16,MATCH(K$7,'Inputs (2)'!$D$2:$AL$2,0))</f>
        <v>27349</v>
      </c>
      <c r="L145" s="25">
        <f>INDEX('Inputs (2)'!$D$16:$AL$16,MATCH(L$7,'Inputs (2)'!$D$2:$AL$2,0))</f>
        <v>33520</v>
      </c>
      <c r="M145" s="3">
        <f>L145</f>
        <v>33520</v>
      </c>
      <c r="N145" s="25">
        <f>INDEX('Inputs (2)'!$D$16:$AL$16,MATCH(N$7,'Inputs (2)'!$D$2:$AL$2,0))</f>
        <v>32613</v>
      </c>
      <c r="O145" s="25">
        <f>INDEX('Inputs (2)'!$D$16:$AL$16,MATCH(O$7,'Inputs (2)'!$D$2:$AL$2,0))</f>
        <v>44261</v>
      </c>
      <c r="P145" s="25">
        <f>INDEX('Inputs (2)'!$D$16:$AL$16,MATCH(P$7,'Inputs (2)'!$D$2:$AL$2,0))</f>
        <v>31279</v>
      </c>
      <c r="Q145" s="25">
        <f>INDEX('Inputs (2)'!$D$16:$AL$16,MATCH(Q$7,'Inputs (2)'!$D$2:$AL$2,0))</f>
        <v>35833</v>
      </c>
      <c r="R145" s="3">
        <f>Q145</f>
        <v>35833</v>
      </c>
      <c r="S145" s="25">
        <f>INDEX('Inputs (2)'!$D$16:$AL$16,MATCH(S$7,'Inputs (2)'!$D$2:$AL$2,0))</f>
        <v>37420</v>
      </c>
      <c r="T145" s="25">
        <f>INDEX('Inputs (2)'!$D$16:$AL$16,MATCH(T$7,'Inputs (2)'!$D$2:$AL$2,0))</f>
        <v>48688</v>
      </c>
      <c r="U145" s="25">
        <f>INDEX('Inputs (2)'!$D$16:$AL$16,MATCH(U$7,'Inputs (2)'!$D$2:$AL$2,0))</f>
        <v>36953</v>
      </c>
      <c r="V145" s="25">
        <f>INDEX('Inputs (2)'!$D$16:$AL$16,MATCH(V$7,'Inputs (2)'!$D$2:$AL$2,0))</f>
        <v>42831</v>
      </c>
      <c r="W145" s="3">
        <f>V145</f>
        <v>42831</v>
      </c>
      <c r="X145" s="25">
        <f>INDEX('Inputs (2)'!$D$16:$AL$16,MATCH(X$7,'Inputs (2)'!$D$2:$AL$2,0))</f>
        <v>44029</v>
      </c>
      <c r="Y145" s="25">
        <f>INDEX('Inputs (2)'!$D$16:$AL$16,MATCH(Y$7,'Inputs (2)'!$D$2:$AL$2,0))</f>
        <v>56924</v>
      </c>
      <c r="Z145" s="25">
        <f>INDEX('Inputs (2)'!$D$16:$AL$16,MATCH(Z$7,'Inputs (2)'!$D$2:$AL$2,0))</f>
        <v>44148</v>
      </c>
      <c r="AA145" s="25">
        <f>INDEX('Inputs (2)'!$D$16:$AL$16,MATCH(AA$7,'Inputs (2)'!$D$2:$AL$2,0))</f>
        <v>48188</v>
      </c>
      <c r="AB145" s="3">
        <f>AA145</f>
        <v>48188</v>
      </c>
      <c r="AC145" s="25">
        <f>INDEX('Inputs (2)'!$D$16:$AL$16,MATCH(AC$7,'Inputs (2)'!$D$2:$AL$2,0))</f>
        <v>51700</v>
      </c>
      <c r="AD145" s="25">
        <f>INDEX('Inputs (2)'!$D$16:$AL$16,MATCH(AD$7,'Inputs (2)'!$D$2:$AL$2,0))</f>
        <v>69905</v>
      </c>
      <c r="AE145" s="25">
        <f>INDEX('Inputs (2)'!$D$16:$AL$16,MATCH(AE$7,'Inputs (2)'!$D$2:$AL$2,0))</f>
        <v>52894</v>
      </c>
      <c r="AF145" s="25">
        <f>INDEX('Inputs (2)'!$D$16:$AL$16,MATCH(AF$7,'Inputs (2)'!$D$2:$AL$2,0))</f>
        <v>56535</v>
      </c>
      <c r="AG145" s="3">
        <f>AF145</f>
        <v>56535</v>
      </c>
      <c r="AH145" s="3">
        <f>INDEX('Inputs (2)'!$D$16:$AL$16,MATCH(AH$7,'Inputs (2)'!$D$2:$AL$2,0))</f>
        <v>60041</v>
      </c>
      <c r="AI145" s="3">
        <f>INDEX('Inputs (2)'!$D$16:$AL$16,MATCH(AI$7,'Inputs (2)'!$D$2:$AL$2,0))</f>
        <v>80876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76.591407461941</v>
      </c>
      <c r="F146" s="3">
        <f>(F145/F$15)*(F$5-E$5)</f>
        <v>56.5831942724875</v>
      </c>
      <c r="G146" s="3">
        <f>(G145/G$15)*(G$5-F$5)</f>
        <v>58.3318785402544</v>
      </c>
      <c r="H146" s="3" t="n"/>
      <c r="I146" s="3">
        <f>(I145/I$15)*(I$5-H$5)</f>
        <v>56.8018990073371</v>
      </c>
      <c r="J146" s="3">
        <f>(J145/J$15)*(J$5-I$5)</f>
        <v>75.0111154446178</v>
      </c>
      <c r="K146" s="3">
        <f>(K145/K$15)*(K$5-J$5)</f>
        <v>55.5223867422821</v>
      </c>
      <c r="L146" s="3">
        <f>(L145/L$15)*(L$5-K$5)</f>
        <v>59.6164553046706</v>
      </c>
      <c r="M146" s="3" t="n"/>
      <c r="N146" s="3">
        <f>(N145/N$15)*(N$5-M$5)</f>
        <v>59.464546191248</v>
      </c>
      <c r="O146" s="3">
        <f>(O145/O$15)*(O$5-N$5)</f>
        <v>77.6583630579389</v>
      </c>
      <c r="P146" s="3">
        <f>(P145/P$15)*(P$5-O$5)</f>
        <v>57.4132716172539</v>
      </c>
      <c r="Q146" s="3">
        <f>(Q145/Q$15)*(Q$5-P$5)</f>
        <v>62.499023641155</v>
      </c>
      <c r="R146" s="3" t="n"/>
      <c r="S146" s="3">
        <f>(S145/S$15)*(S$5-R$5)</f>
        <v>63.7153073386685</v>
      </c>
      <c r="T146" s="3">
        <f>(T145/T$15)*(T$5-S$5)</f>
        <v>78.8518749221378</v>
      </c>
      <c r="U146" s="3">
        <f>(U145/U$15)*(U$5-T$5)</f>
        <v>60.1531574570483</v>
      </c>
      <c r="V146" s="3">
        <f>(V145/V$15)*(V$5-U$5)</f>
        <v>63.5351821992906</v>
      </c>
      <c r="W146" s="3" t="n"/>
      <c r="X146" s="3">
        <f>(X145/X$15)*(X$5-W$5)</f>
        <v>64.7715574380032</v>
      </c>
      <c r="Y146" s="3">
        <f>(Y145/Y$15)*(Y$5-X$5)</f>
        <v>80.0297248443463</v>
      </c>
      <c r="Z146" s="3">
        <f>(Z145/Z$15)*(Z$5-Y$5)</f>
        <v>61.9290386521308</v>
      </c>
      <c r="AA146" s="3">
        <f>(AA145/AA$15)*(AA$5-Z$5)</f>
        <v>63.6675091911765</v>
      </c>
      <c r="AB146" s="3" t="n"/>
      <c r="AC146" s="3">
        <f>(AC145/AC$15)*(AC$5-AB$5)</f>
        <v>66.4088145462849</v>
      </c>
      <c r="AD146" s="3">
        <f>(AD145/AD$15)*(AD$5-AC$5)</f>
        <v>83.2191494093484</v>
      </c>
      <c r="AE146" s="3">
        <f>(AE145/AE$15)*(AE$5-AD$5)</f>
        <v>62.6504448135131</v>
      </c>
      <c r="AF146" s="6">
        <f>(AF145/AF$15)*(AF$5-AE$5)</f>
        <v>63.996899339264</v>
      </c>
      <c r="AG146" s="3" t="n"/>
      <c r="AH146" s="6">
        <f>(AH145/AH$15)*(AH$5-AG$5)</f>
        <v>65.1942426947856</v>
      </c>
      <c r="AI146" s="6">
        <f>(AI145/AI$15)*(AI$5-AH$5)</f>
        <v>81.7682624684747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1644</v>
      </c>
      <c r="E149" s="25">
        <f>INDEX('Inputs (2)'!$D$17:$AL$17,MATCH(E$7,'Inputs (2)'!$D$2:$AL$2,0))</f>
        <v>1895</v>
      </c>
      <c r="F149" s="25">
        <f>INDEX('Inputs (2)'!$D$17:$AL$17,MATCH(F$7,'Inputs (2)'!$D$2:$AL$2,0))</f>
        <v>2705</v>
      </c>
      <c r="G149" s="25">
        <f>INDEX('Inputs (2)'!$D$17:$AL$17,MATCH(G$7,'Inputs (2)'!$D$2:$AL$2,0))</f>
        <v>1924</v>
      </c>
      <c r="H149" s="3">
        <f>G149</f>
        <v>1924</v>
      </c>
      <c r="I149" s="25">
        <f>INDEX('Inputs (2)'!$D$17:$AL$17,MATCH(I$7,'Inputs (2)'!$D$2:$AL$2,0))</f>
        <v>2245</v>
      </c>
      <c r="J149" s="25">
        <f>INDEX('Inputs (2)'!$D$17:$AL$17,MATCH(J$7,'Inputs (2)'!$D$2:$AL$2,0))</f>
        <v>2636</v>
      </c>
      <c r="K149" s="25">
        <f>INDEX('Inputs (2)'!$D$17:$AL$17,MATCH(K$7,'Inputs (2)'!$D$2:$AL$2,0))</f>
        <v>3411</v>
      </c>
      <c r="L149" s="25">
        <f>INDEX('Inputs (2)'!$D$17:$AL$17,MATCH(L$7,'Inputs (2)'!$D$2:$AL$2,0))</f>
        <v>3019</v>
      </c>
      <c r="M149" s="3">
        <f>L149</f>
        <v>3019</v>
      </c>
      <c r="N149" s="25">
        <f>INDEX('Inputs (2)'!$D$17:$AL$17,MATCH(N$7,'Inputs (2)'!$D$2:$AL$2,0))</f>
        <v>3296</v>
      </c>
      <c r="O149" s="25">
        <f>INDEX('Inputs (2)'!$D$17:$AL$17,MATCH(O$7,'Inputs (2)'!$D$2:$AL$2,0))</f>
        <v>3742</v>
      </c>
      <c r="P149" s="25">
        <f>INDEX('Inputs (2)'!$D$17:$AL$17,MATCH(P$7,'Inputs (2)'!$D$2:$AL$2,0))</f>
        <v>4268</v>
      </c>
      <c r="Q149" s="25">
        <f>INDEX('Inputs (2)'!$D$17:$AL$17,MATCH(Q$7,'Inputs (2)'!$D$2:$AL$2,0))</f>
        <v>2980</v>
      </c>
      <c r="R149" s="3">
        <f>Q149</f>
        <v>2980</v>
      </c>
      <c r="S149" s="25">
        <f>INDEX('Inputs (2)'!$D$17:$AL$17,MATCH(S$7,'Inputs (2)'!$D$2:$AL$2,0))</f>
        <v>2877</v>
      </c>
      <c r="T149" s="25">
        <f>INDEX('Inputs (2)'!$D$17:$AL$17,MATCH(T$7,'Inputs (2)'!$D$2:$AL$2,0))</f>
        <v>2500</v>
      </c>
      <c r="U149" s="25">
        <f>INDEX('Inputs (2)'!$D$17:$AL$17,MATCH(U$7,'Inputs (2)'!$D$2:$AL$2,0))</f>
        <v>3000</v>
      </c>
      <c r="V149" s="25">
        <f>INDEX('Inputs (2)'!$D$17:$AL$17,MATCH(V$7,'Inputs (2)'!$D$2:$AL$2,0))</f>
        <v>1615</v>
      </c>
      <c r="W149" s="3">
        <f>V149</f>
        <v>1615</v>
      </c>
      <c r="X149" s="25">
        <f>INDEX('Inputs (2)'!$D$17:$AL$17,MATCH(X$7,'Inputs (2)'!$D$2:$AL$2,0))</f>
        <v>1304</v>
      </c>
      <c r="Y149" s="25">
        <f>INDEX('Inputs (2)'!$D$17:$AL$17,MATCH(Y$7,'Inputs (2)'!$D$2:$AL$2,0))</f>
        <v>1246</v>
      </c>
      <c r="Z149" s="25">
        <f>INDEX('Inputs (2)'!$D$17:$AL$17,MATCH(Z$7,'Inputs (2)'!$D$2:$AL$2,0))</f>
        <v>1626</v>
      </c>
      <c r="AA149" s="25">
        <f>INDEX('Inputs (2)'!$D$17:$AL$17,MATCH(AA$7,'Inputs (2)'!$D$2:$AL$2,0))</f>
        <v>909</v>
      </c>
      <c r="AB149" s="3">
        <f>AA149</f>
        <v>909</v>
      </c>
      <c r="AC149" s="25">
        <f>INDEX('Inputs (2)'!$D$17:$AL$17,MATCH(AC$7,'Inputs (2)'!$D$2:$AL$2,0))</f>
        <v>848</v>
      </c>
      <c r="AD149" s="25">
        <f>INDEX('Inputs (2)'!$D$17:$AL$17,MATCH(AD$7,'Inputs (2)'!$D$2:$AL$2,0))</f>
        <v>938</v>
      </c>
      <c r="AE149" s="25">
        <f>INDEX('Inputs (2)'!$D$17:$AL$17,MATCH(AE$7,'Inputs (2)'!$D$2:$AL$2,0))</f>
        <v>1130</v>
      </c>
      <c r="AF149" s="25">
        <f>INDEX('Inputs (2)'!$D$17:$AL$17,MATCH(AF$7,'Inputs (2)'!$D$2:$AL$2,0))</f>
        <v>1059</v>
      </c>
      <c r="AG149" s="3">
        <f>AF149</f>
        <v>1059</v>
      </c>
      <c r="AH149" s="3">
        <f>INDEX('Inputs (2)'!$D$17:$AL$17,MATCH(AH$7,'Inputs (2)'!$D$2:$AL$2,0))</f>
        <v>1219</v>
      </c>
      <c r="AI149" s="3">
        <f>INDEX('Inputs (2)'!$D$17:$AL$17,MATCH(AI$7,'Inputs (2)'!$D$2:$AL$2,0))</f>
        <v>1397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13.9756058027393</v>
      </c>
      <c r="F150" s="3">
        <f>((F149/F$54)*(F$5-E$5))*-1</f>
        <v>22.6195237229595</v>
      </c>
      <c r="G150" s="3">
        <f>((G149/G$54)*(G$5-F$5))*-1</f>
        <v>12.4706213893194</v>
      </c>
      <c r="H150" s="3" t="n"/>
      <c r="I150" s="3">
        <f>((I149/I$54)*(I$5-H$5))*-1</f>
        <v>15.4886929858183</v>
      </c>
      <c r="J150" s="3">
        <f>((J149/J$54)*(J$5-I$5))*-1</f>
        <v>17.1450217997284</v>
      </c>
      <c r="K150" s="3">
        <f>((K149/K$54)*(K$5-J$5))*-1</f>
        <v>22.9966290488055</v>
      </c>
      <c r="L150" s="3">
        <f>((L149/L$54)*(L$5-K$5))*-1</f>
        <v>16.3766509433962</v>
      </c>
      <c r="M150" s="3" t="n"/>
      <c r="N150" s="3">
        <f>((N149/N$54)*(N$5-M$5))*-1</f>
        <v>18.9971181556196</v>
      </c>
      <c r="O150" s="3">
        <f>((O149/O$54)*(O$5-N$5))*-1</f>
        <v>20.7268853855986</v>
      </c>
      <c r="P150" s="3">
        <f>((P149/P$54)*(P$5-O$5))*-1</f>
        <v>25.4113383380792</v>
      </c>
      <c r="Q150" s="3">
        <f>((Q149/Q$54)*(Q$5-P$5))*-1</f>
        <v>15.6770356816102</v>
      </c>
      <c r="R150" s="3" t="n"/>
      <c r="S150" s="3">
        <f>((S149/S$54)*(S$5-R$5))*-1</f>
        <v>16.0546875</v>
      </c>
      <c r="T150" s="3">
        <f>((T149/T$54)*(T$5-S$5))*-1</f>
        <v>13.5456981244418</v>
      </c>
      <c r="U150" s="3">
        <f>((U149/U$54)*(U$5-T$5))*-1</f>
        <v>16.9304379830696</v>
      </c>
      <c r="V150" s="3">
        <f>((V149/V$54)*(V$5-U$5))*-1</f>
        <v>7.5717270549865</v>
      </c>
      <c r="W150" s="3" t="n"/>
      <c r="X150" s="3">
        <f>((X149/X$54)*(X$5-W$5))*-1</f>
        <v>6.41253715212105</v>
      </c>
      <c r="Y150" s="3">
        <f>((Y149/Y$54)*(Y$5-X$5))*-1</f>
        <v>5.76031294452347</v>
      </c>
      <c r="Z150" s="3">
        <f>((Z149/Z$54)*(Z$5-Y$5))*-1</f>
        <v>7.44275834618638</v>
      </c>
      <c r="AA150" s="3">
        <f>((AA149/AA$54)*(AA$5-Z$5))*-1</f>
        <v>3.83632276709941</v>
      </c>
      <c r="AB150" s="3" t="n"/>
      <c r="AC150" s="3">
        <f>((AC149/AC$54)*(AC$5-AB$5))*-1</f>
        <v>3.48191067110726</v>
      </c>
      <c r="AD150" s="3">
        <f>((AD149/AD$54)*(AD$5-AC$5))*-1</f>
        <v>3.55450986924294</v>
      </c>
      <c r="AE150" s="3">
        <f>((AE149/AE$54)*(AE$5-AD$5))*-1</f>
        <v>4.32391964397122</v>
      </c>
      <c r="AF150" s="6">
        <f>((AF149/AF$54)*(AF$5-AE$5))*-1</f>
        <v>3.75040418815921</v>
      </c>
      <c r="AG150" s="3" t="n"/>
      <c r="AH150" s="6">
        <f>((AH149/AH$54)*(AH$5-AG$5))*-1</f>
        <v>4.08938422543611</v>
      </c>
      <c r="AI150" s="6">
        <f>((AI149/AI$54)*(AI$5-AH$5))*-1</f>
        <v>4.30574089754445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 t="n"/>
      <c r="E153" s="25" t="n"/>
      <c r="F153" s="25" t="n"/>
      <c r="G153" s="25" t="n"/>
      <c r="H153" s="3">
        <f>G153</f>
        <v>0</v>
      </c>
      <c r="I153" s="25" t="n"/>
      <c r="J153" s="25" t="n"/>
      <c r="K153" s="25" t="n"/>
      <c r="L153" s="25" t="n"/>
      <c r="M153" s="3">
        <f>L153</f>
        <v>0</v>
      </c>
      <c r="N153" s="25" t="n"/>
      <c r="O153" s="25" t="n"/>
      <c r="P153" s="25" t="n"/>
      <c r="Q153" s="25" t="n"/>
      <c r="R153" s="3">
        <f>Q153</f>
        <v>0</v>
      </c>
      <c r="S153" s="25" t="n"/>
      <c r="T153" s="25" t="n"/>
      <c r="U153" s="25" t="n"/>
      <c r="V153" s="25" t="n"/>
      <c r="W153" s="3">
        <f>V153</f>
        <v>0</v>
      </c>
      <c r="X153" s="25" t="n"/>
      <c r="Y153" s="25" t="n"/>
      <c r="Z153" s="25" t="n"/>
      <c r="AA153" s="25" t="n"/>
      <c r="AB153" s="3">
        <f>AA153</f>
        <v>0</v>
      </c>
      <c r="AC153" s="25" t="n"/>
      <c r="AD153" s="25" t="n"/>
      <c r="AE153" s="25" t="n"/>
      <c r="AF153" s="25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>
        <f>AL153</f>
        <v>0</v>
      </c>
      <c r="AN153" s="3">
        <f>AM153</f>
        <v>0</v>
      </c>
      <c r="AO153" s="3">
        <f>AN153</f>
        <v>0</v>
      </c>
      <c r="AP153" s="3">
        <f>AO153</f>
        <v>0</v>
      </c>
      <c r="AQ153" s="3">
        <f>AP153</f>
        <v>0</v>
      </c>
      <c r="AR153" s="3">
        <f>AQ153</f>
        <v>0</v>
      </c>
      <c r="AS153" s="3">
        <f>AR153</f>
        <v>0</v>
      </c>
      <c r="AT153" s="3">
        <f>AS153</f>
        <v>0</v>
      </c>
      <c r="AU153" s="3">
        <f>AT153</f>
        <v>0</v>
      </c>
      <c r="AV153" s="3">
        <f>AU153</f>
        <v>0</v>
      </c>
      <c r="AW153" s="3">
        <f>AV153</f>
        <v>0</v>
      </c>
      <c r="AX153" s="3">
        <f>AW153</f>
        <v>0</v>
      </c>
      <c r="AY153" s="3">
        <f>AX153</f>
        <v>0</v>
      </c>
      <c r="AZ153" s="3">
        <f>AY153</f>
        <v>0</v>
      </c>
      <c r="BA153" s="3">
        <f>AZ153</f>
        <v>0</v>
      </c>
      <c r="BB153" s="3">
        <f>BA153</f>
        <v>0</v>
      </c>
      <c r="BC153" s="3">
        <f>BB153</f>
        <v>0</v>
      </c>
      <c r="BD153" s="3">
        <f>BC153</f>
        <v>0</v>
      </c>
      <c r="BE153" s="3">
        <f>BD153</f>
        <v>0</v>
      </c>
      <c r="BF153" s="3">
        <f>BE153</f>
        <v>0</v>
      </c>
      <c r="BG153" s="3">
        <f>BF153</f>
        <v>0</v>
      </c>
      <c r="BH153" s="3">
        <f>BG153</f>
        <v>0</v>
      </c>
      <c r="BI153" s="3">
        <f>BH153</f>
        <v>0</v>
      </c>
      <c r="BJ153" s="3">
        <f>BI153</f>
        <v>0</v>
      </c>
      <c r="BK153" s="3">
        <f>BJ153</f>
        <v>0</v>
      </c>
      <c r="BL153" s="3">
        <f>BK153</f>
        <v>0</v>
      </c>
      <c r="BM153" s="3">
        <f>BL153</f>
        <v>0</v>
      </c>
      <c r="BN153" s="3">
        <f>BM153</f>
        <v>0</v>
      </c>
      <c r="BO153" s="3">
        <f>BN153</f>
        <v>0</v>
      </c>
      <c r="BP153" s="3">
        <f>BO153</f>
        <v>0</v>
      </c>
      <c r="BQ153" s="3">
        <f>BP153</f>
        <v>0</v>
      </c>
      <c r="BR153" s="3">
        <f>BQ153</f>
        <v>0</v>
      </c>
      <c r="BS153" s="3">
        <f>BR153</f>
        <v>0</v>
      </c>
      <c r="BT153" s="3">
        <f>BS153</f>
        <v>0</v>
      </c>
      <c r="BU153" s="3">
        <f>BT153</f>
        <v>0</v>
      </c>
      <c r="BV153" s="3">
        <f>BU153</f>
        <v>0</v>
      </c>
      <c r="BW153" s="3">
        <f>BV153</f>
        <v>0</v>
      </c>
      <c r="BX153" s="3">
        <f>BW153</f>
        <v>0</v>
      </c>
      <c r="BY153" s="3">
        <f>BX153</f>
        <v>0</v>
      </c>
      <c r="BZ153" s="3">
        <f>BY153</f>
        <v>0</v>
      </c>
      <c r="CA153" s="3">
        <f>BZ153</f>
        <v>0</v>
      </c>
      <c r="CB153" s="3">
        <f>CA153</f>
        <v>0</v>
      </c>
      <c r="CC153" s="3">
        <f>CB153</f>
        <v>0</v>
      </c>
      <c r="CD153" s="3">
        <f>CC153</f>
        <v>0</v>
      </c>
      <c r="CE153" s="3">
        <f>CD153</f>
        <v>0</v>
      </c>
      <c r="CF153" s="3">
        <f>CE153</f>
        <v>0</v>
      </c>
      <c r="CG153" s="3">
        <f>CF153</f>
        <v>0</v>
      </c>
      <c r="CH153" s="3">
        <f>CG153</f>
        <v>0</v>
      </c>
      <c r="CI153" s="3">
        <f>CH153</f>
        <v>0</v>
      </c>
      <c r="CJ153" s="3">
        <f>CI153</f>
        <v>0</v>
      </c>
      <c r="CK153" s="3">
        <f>CJ153</f>
        <v>0</v>
      </c>
      <c r="CL153" s="3">
        <f>CK153</f>
        <v>0</v>
      </c>
      <c r="CM153" s="3">
        <f>CL153</f>
        <v>0</v>
      </c>
      <c r="CN153" s="3">
        <f>CM153</f>
        <v>0</v>
      </c>
      <c r="CO153" s="3">
        <f>CN153</f>
        <v>0</v>
      </c>
      <c r="CP153" s="3">
        <f>CO153</f>
        <v>0</v>
      </c>
      <c r="CQ153" s="3">
        <f>CP153</f>
        <v>0</v>
      </c>
      <c r="CR153" s="3">
        <f>CQ153</f>
        <v>0</v>
      </c>
      <c r="CS153" s="3">
        <f>CR153</f>
        <v>0</v>
      </c>
      <c r="CT153" s="3">
        <f>CS153</f>
        <v>0</v>
      </c>
      <c r="CU153" s="3">
        <f>CT153</f>
        <v>0</v>
      </c>
      <c r="CV153" s="3">
        <f>CU153</f>
        <v>0</v>
      </c>
      <c r="CW153" s="3">
        <f>CV153</f>
        <v>0</v>
      </c>
      <c r="CX153" s="3">
        <f>CW153</f>
        <v>0</v>
      </c>
      <c r="CY153" s="3">
        <f>CX153</f>
        <v>0</v>
      </c>
    </row>
    <row r="154">
      <c r="C154" s="26" t="inlineStr">
        <is>
          <t>Prepaid expenses</t>
        </is>
      </c>
      <c r="D154" s="25" t="n"/>
      <c r="E154" s="25" t="n"/>
      <c r="F154" s="25" t="n"/>
      <c r="G154" s="25" t="n"/>
      <c r="H154" s="3">
        <f>G154</f>
        <v>0</v>
      </c>
      <c r="I154" s="25" t="n"/>
      <c r="J154" s="25" t="n"/>
      <c r="K154" s="25" t="n"/>
      <c r="L154" s="25" t="n"/>
      <c r="M154" s="3">
        <f>L154</f>
        <v>0</v>
      </c>
      <c r="N154" s="25" t="n"/>
      <c r="O154" s="25" t="n"/>
      <c r="P154" s="25" t="n"/>
      <c r="Q154" s="25" t="n"/>
      <c r="R154" s="3">
        <f>Q154</f>
        <v>0</v>
      </c>
      <c r="S154" s="25" t="n"/>
      <c r="T154" s="25" t="n"/>
      <c r="U154" s="25" t="n"/>
      <c r="V154" s="25" t="n"/>
      <c r="W154" s="3">
        <f>V154</f>
        <v>0</v>
      </c>
      <c r="X154" s="25" t="n"/>
      <c r="Y154" s="25" t="n"/>
      <c r="Z154" s="25" t="n"/>
      <c r="AA154" s="25" t="n"/>
      <c r="AB154" s="3">
        <f>AA154</f>
        <v>0</v>
      </c>
      <c r="AC154" s="25" t="n"/>
      <c r="AD154" s="25" t="n"/>
      <c r="AE154" s="25" t="n"/>
      <c r="AF154" s="25" t="n"/>
      <c r="AG154" s="3">
        <f>AF154</f>
        <v>0</v>
      </c>
      <c r="AH154" s="3">
        <f>AG154</f>
        <v>0</v>
      </c>
      <c r="AI154" s="3">
        <f>AH154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8536</v>
      </c>
      <c r="E155" s="25">
        <f>INDEX('Inputs (2)'!$D$20:$AL$20,MATCH(E$7,'Inputs (2)'!$D$2:$AL$2,0))</f>
        <v>11482</v>
      </c>
      <c r="F155" s="25">
        <f>INDEX('Inputs (2)'!$D$20:$AL$20,MATCH(F$7,'Inputs (2)'!$D$2:$AL$2,0))</f>
        <v>13544</v>
      </c>
      <c r="G155" s="25">
        <f>INDEX('Inputs (2)'!$D$20:$AL$20,MATCH(G$7,'Inputs (2)'!$D$2:$AL$2,0))</f>
        <v>12769</v>
      </c>
      <c r="H155" s="3">
        <f>G155</f>
        <v>12769</v>
      </c>
      <c r="I155" s="25">
        <f>INDEX('Inputs (2)'!$D$20:$AL$20,MATCH(I$7,'Inputs (2)'!$D$2:$AL$2,0))</f>
        <v>11640</v>
      </c>
      <c r="J155" s="25">
        <f>INDEX('Inputs (2)'!$D$20:$AL$20,MATCH(J$7,'Inputs (2)'!$D$2:$AL$2,0))</f>
        <v>13393</v>
      </c>
      <c r="K155" s="25">
        <f>INDEX('Inputs (2)'!$D$20:$AL$20,MATCH(K$7,'Inputs (2)'!$D$2:$AL$2,0))</f>
        <v>12951</v>
      </c>
      <c r="L155" s="25">
        <f>INDEX('Inputs (2)'!$D$20:$AL$20,MATCH(L$7,'Inputs (2)'!$D$2:$AL$2,0))</f>
        <v>12280</v>
      </c>
      <c r="M155" s="3">
        <f>L155</f>
        <v>12280</v>
      </c>
      <c r="N155" s="25">
        <f>INDEX('Inputs (2)'!$D$20:$AL$20,MATCH(N$7,'Inputs (2)'!$D$2:$AL$2,0))</f>
        <v>13320</v>
      </c>
      <c r="O155" s="25">
        <f>INDEX('Inputs (2)'!$D$20:$AL$20,MATCH(O$7,'Inputs (2)'!$D$2:$AL$2,0))</f>
        <v>16924</v>
      </c>
      <c r="P155" s="25">
        <f>INDEX('Inputs (2)'!$D$20:$AL$20,MATCH(P$7,'Inputs (2)'!$D$2:$AL$2,0))</f>
        <v>18003</v>
      </c>
      <c r="Q155" s="25">
        <f>INDEX('Inputs (2)'!$D$20:$AL$20,MATCH(Q$7,'Inputs (2)'!$D$2:$AL$2,0))</f>
        <v>19502</v>
      </c>
      <c r="R155" s="3">
        <f>Q155</f>
        <v>19502</v>
      </c>
      <c r="S155" s="25">
        <f>INDEX('Inputs (2)'!$D$20:$AL$20,MATCH(S$7,'Inputs (2)'!$D$2:$AL$2,0))</f>
        <v>19165</v>
      </c>
      <c r="T155" s="25">
        <f>INDEX('Inputs (2)'!$D$20:$AL$20,MATCH(T$7,'Inputs (2)'!$D$2:$AL$2,0))</f>
        <v>21807</v>
      </c>
      <c r="U155" s="25">
        <f>INDEX('Inputs (2)'!$D$20:$AL$20,MATCH(U$7,'Inputs (2)'!$D$2:$AL$2,0))</f>
        <v>23682</v>
      </c>
      <c r="V155" s="25">
        <f>INDEX('Inputs (2)'!$D$20:$AL$20,MATCH(V$7,'Inputs (2)'!$D$2:$AL$2,0))</f>
        <v>21930</v>
      </c>
      <c r="W155" s="3">
        <f>V155</f>
        <v>21930</v>
      </c>
      <c r="X155" s="25">
        <f>INDEX('Inputs (2)'!$D$20:$AL$20,MATCH(X$7,'Inputs (2)'!$D$2:$AL$2,0))</f>
        <v>21826</v>
      </c>
      <c r="Y155" s="25">
        <f>INDEX('Inputs (2)'!$D$20:$AL$20,MATCH(Y$7,'Inputs (2)'!$D$2:$AL$2,0))</f>
        <v>26021</v>
      </c>
      <c r="Z155" s="25">
        <f>INDEX('Inputs (2)'!$D$20:$AL$20,MATCH(Z$7,'Inputs (2)'!$D$2:$AL$2,0))</f>
        <v>25724</v>
      </c>
      <c r="AA155" s="25">
        <f>INDEX('Inputs (2)'!$D$20:$AL$20,MATCH(AA$7,'Inputs (2)'!$D$2:$AL$2,0))</f>
        <v>26428</v>
      </c>
      <c r="AB155" s="3">
        <f>AA155</f>
        <v>26428</v>
      </c>
      <c r="AC155" s="25">
        <f>INDEX('Inputs (2)'!$D$20:$AL$20,MATCH(AC$7,'Inputs (2)'!$D$2:$AL$2,0))</f>
        <v>24478</v>
      </c>
      <c r="AD155" s="25">
        <f>INDEX('Inputs (2)'!$D$20:$AL$20,MATCH(AD$7,'Inputs (2)'!$D$2:$AL$2,0))</f>
        <v>25723</v>
      </c>
      <c r="AE155" s="25">
        <f>INDEX('Inputs (2)'!$D$20:$AL$20,MATCH(AE$7,'Inputs (2)'!$D$2:$AL$2,0))</f>
        <v>33030</v>
      </c>
      <c r="AF155" s="25">
        <f>INDEX('Inputs (2)'!$D$20:$AL$20,MATCH(AF$7,'Inputs (2)'!$D$2:$AL$2,0))</f>
        <v>33134</v>
      </c>
      <c r="AG155" s="3">
        <f>AF155</f>
        <v>33134</v>
      </c>
      <c r="AH155" s="3">
        <f>INDEX('Inputs (2)'!$D$20:$AL$20,MATCH(AH$7,'Inputs (2)'!$D$2:$AL$2,0))</f>
        <v>35797</v>
      </c>
      <c r="AI155" s="3">
        <f>INDEX('Inputs (2)'!$D$20:$AL$20,MATCH(AI$7,'Inputs (2)'!$D$2:$AL$2,0))</f>
        <v>48594</v>
      </c>
      <c r="AJ155" s="3">
        <f>AI155</f>
        <v>48594</v>
      </c>
      <c r="AK155" s="3">
        <f>AJ155</f>
        <v>48594</v>
      </c>
      <c r="AL155" s="3">
        <f>AK155</f>
        <v>48594</v>
      </c>
      <c r="AM155" s="3">
        <f>AL155</f>
        <v>48594</v>
      </c>
      <c r="AN155" s="3">
        <f>AM155</f>
        <v>48594</v>
      </c>
      <c r="AO155" s="3">
        <f>AN155</f>
        <v>48594</v>
      </c>
      <c r="AP155" s="3">
        <f>AO155</f>
        <v>48594</v>
      </c>
      <c r="AQ155" s="3">
        <f>AP155</f>
        <v>48594</v>
      </c>
      <c r="AR155" s="3">
        <f>AQ155</f>
        <v>48594</v>
      </c>
      <c r="AS155" s="3">
        <f>AR155</f>
        <v>48594</v>
      </c>
      <c r="AT155" s="3">
        <f>AS155</f>
        <v>48594</v>
      </c>
      <c r="AU155" s="3">
        <f>AT155</f>
        <v>48594</v>
      </c>
      <c r="AV155" s="3">
        <f>AU155</f>
        <v>48594</v>
      </c>
      <c r="AW155" s="3">
        <f>AV155</f>
        <v>48594</v>
      </c>
      <c r="AX155" s="3">
        <f>AW155</f>
        <v>48594</v>
      </c>
      <c r="AY155" s="3">
        <f>AX155</f>
        <v>48594</v>
      </c>
      <c r="AZ155" s="3">
        <f>AY155</f>
        <v>48594</v>
      </c>
      <c r="BA155" s="3">
        <f>AZ155</f>
        <v>48594</v>
      </c>
      <c r="BB155" s="3">
        <f>BA155</f>
        <v>48594</v>
      </c>
      <c r="BC155" s="3">
        <f>BB155</f>
        <v>48594</v>
      </c>
      <c r="BD155" s="3">
        <f>BC155</f>
        <v>48594</v>
      </c>
      <c r="BE155" s="3">
        <f>BD155</f>
        <v>48594</v>
      </c>
      <c r="BF155" s="3">
        <f>BE155</f>
        <v>48594</v>
      </c>
      <c r="BG155" s="3">
        <f>BF155</f>
        <v>48594</v>
      </c>
      <c r="BH155" s="3">
        <f>BG155</f>
        <v>48594</v>
      </c>
      <c r="BI155" s="3">
        <f>BH155</f>
        <v>48594</v>
      </c>
      <c r="BJ155" s="3">
        <f>BI155</f>
        <v>48594</v>
      </c>
      <c r="BK155" s="3">
        <f>BJ155</f>
        <v>48594</v>
      </c>
      <c r="BL155" s="3">
        <f>BK155</f>
        <v>48594</v>
      </c>
      <c r="BM155" s="3">
        <f>BL155</f>
        <v>48594</v>
      </c>
      <c r="BN155" s="3">
        <f>BM155</f>
        <v>48594</v>
      </c>
      <c r="BO155" s="3">
        <f>BN155</f>
        <v>48594</v>
      </c>
      <c r="BP155" s="3">
        <f>BO155</f>
        <v>48594</v>
      </c>
      <c r="BQ155" s="3">
        <f>BP155</f>
        <v>48594</v>
      </c>
      <c r="BR155" s="3">
        <f>BQ155</f>
        <v>48594</v>
      </c>
      <c r="BS155" s="3">
        <f>BR155</f>
        <v>48594</v>
      </c>
      <c r="BT155" s="3">
        <f>BS155</f>
        <v>48594</v>
      </c>
      <c r="BU155" s="3">
        <f>BT155</f>
        <v>48594</v>
      </c>
      <c r="BV155" s="3">
        <f>BU155</f>
        <v>48594</v>
      </c>
      <c r="BW155" s="3">
        <f>BV155</f>
        <v>48594</v>
      </c>
      <c r="BX155" s="3">
        <f>BW155</f>
        <v>48594</v>
      </c>
      <c r="BY155" s="3">
        <f>BX155</f>
        <v>48594</v>
      </c>
      <c r="BZ155" s="3">
        <f>BY155</f>
        <v>48594</v>
      </c>
      <c r="CA155" s="3">
        <f>BZ155</f>
        <v>48594</v>
      </c>
      <c r="CB155" s="3">
        <f>CA155</f>
        <v>48594</v>
      </c>
      <c r="CC155" s="3">
        <f>CB155</f>
        <v>48594</v>
      </c>
      <c r="CD155" s="3">
        <f>CC155</f>
        <v>48594</v>
      </c>
      <c r="CE155" s="3">
        <f>CD155</f>
        <v>48594</v>
      </c>
      <c r="CF155" s="3">
        <f>CE155</f>
        <v>48594</v>
      </c>
      <c r="CG155" s="3">
        <f>CF155</f>
        <v>48594</v>
      </c>
      <c r="CH155" s="3">
        <f>CG155</f>
        <v>48594</v>
      </c>
      <c r="CI155" s="3">
        <f>CH155</f>
        <v>48594</v>
      </c>
      <c r="CJ155" s="3">
        <f>CI155</f>
        <v>48594</v>
      </c>
      <c r="CK155" s="3">
        <f>CJ155</f>
        <v>48594</v>
      </c>
      <c r="CL155" s="3">
        <f>CK155</f>
        <v>48594</v>
      </c>
      <c r="CM155" s="3">
        <f>CL155</f>
        <v>48594</v>
      </c>
      <c r="CN155" s="3">
        <f>CM155</f>
        <v>48594</v>
      </c>
      <c r="CO155" s="3">
        <f>CN155</f>
        <v>48594</v>
      </c>
      <c r="CP155" s="3">
        <f>CO155</f>
        <v>48594</v>
      </c>
      <c r="CQ155" s="3">
        <f>CP155</f>
        <v>48594</v>
      </c>
      <c r="CR155" s="3">
        <f>CQ155</f>
        <v>48594</v>
      </c>
      <c r="CS155" s="3">
        <f>CR155</f>
        <v>48594</v>
      </c>
      <c r="CT155" s="3">
        <f>CS155</f>
        <v>48594</v>
      </c>
      <c r="CU155" s="3">
        <f>CT155</f>
        <v>48594</v>
      </c>
      <c r="CV155" s="3">
        <f>CU155</f>
        <v>48594</v>
      </c>
      <c r="CW155" s="3">
        <f>CV155</f>
        <v>48594</v>
      </c>
      <c r="CX155" s="3">
        <f>CW155</f>
        <v>48594</v>
      </c>
      <c r="CY155" s="3">
        <f>CX155</f>
        <v>48594</v>
      </c>
    </row>
    <row r="156" hidden="1" outlineLevel="1">
      <c r="C156" s="38" t="inlineStr">
        <is>
          <t>%(Var.)</t>
        </is>
      </c>
      <c r="D156" s="3" t="n"/>
      <c r="E156" s="47">
        <f>(E155-D155)/D155</f>
        <v>0.345126522961575</v>
      </c>
      <c r="F156" s="47">
        <f>(F155-E155)/E155</f>
        <v>0.17958543807699</v>
      </c>
      <c r="G156" s="47">
        <f>(G155-F155)/F155</f>
        <v>-0.0572209096278795</v>
      </c>
      <c r="H156" s="3" t="n"/>
      <c r="I156" s="47">
        <f>(I155-H155)/H155</f>
        <v>-0.0884172605529016</v>
      </c>
      <c r="J156" s="47">
        <f>(J155-I155)/I155</f>
        <v>0.150601374570447</v>
      </c>
      <c r="K156" s="47">
        <f>(K155-J155)/J155</f>
        <v>-0.0330023146419772</v>
      </c>
      <c r="L156" s="47">
        <f>(L155-K155)/K155</f>
        <v>-0.0518106709906571</v>
      </c>
      <c r="M156" s="3" t="n"/>
      <c r="N156" s="47">
        <f>(N155-M155)/M155</f>
        <v>0.0846905537459283</v>
      </c>
      <c r="O156" s="47">
        <f>(O155-N155)/N155</f>
        <v>0.270570570570571</v>
      </c>
      <c r="P156" s="47">
        <f>(P155-O155)/O155</f>
        <v>0.063755613330182</v>
      </c>
      <c r="Q156" s="47">
        <f>(Q155-P155)/P155</f>
        <v>0.0832639004610343</v>
      </c>
      <c r="R156" s="3" t="n"/>
      <c r="S156" s="47">
        <f>(S155-R155)/R155</f>
        <v>-0.0172802789457492</v>
      </c>
      <c r="T156" s="47">
        <f>(T155-S155)/S155</f>
        <v>0.137855465692669</v>
      </c>
      <c r="U156" s="47">
        <f>(U155-T155)/T155</f>
        <v>0.0859815655523456</v>
      </c>
      <c r="V156" s="47">
        <f>(V155-U155)/U155</f>
        <v>-0.0739802381555612</v>
      </c>
      <c r="W156" s="3" t="n"/>
      <c r="X156" s="47">
        <f>(X155-W155)/W155</f>
        <v>-0.00474236206110351</v>
      </c>
      <c r="Y156" s="47">
        <f>(Y155-X155)/X155</f>
        <v>0.192201960963988</v>
      </c>
      <c r="Z156" s="47">
        <f>(Z155-Y155)/Y155</f>
        <v>-0.0114138580377388</v>
      </c>
      <c r="AA156" s="47">
        <f>(AA155-Z155)/Z155</f>
        <v>0.0273674389675012</v>
      </c>
      <c r="AB156" s="3" t="n"/>
      <c r="AC156" s="47">
        <f>(AC155-AB155)/AB155</f>
        <v>-0.0737853791433328</v>
      </c>
      <c r="AD156" s="47">
        <f>(AD155-AC155)/AC155</f>
        <v>0.0508619985292916</v>
      </c>
      <c r="AE156" s="47">
        <f>(AE155-AD155)/AD155</f>
        <v>0.284064844691521</v>
      </c>
      <c r="AF156" s="218">
        <f>(AF155-AE155)/AE155</f>
        <v>0.00314865273993339</v>
      </c>
      <c r="AG156" s="3" t="n"/>
      <c r="AH156" s="3">
        <f>(AH155-AG155)/AG155</f>
        <v>0.0803706162853866</v>
      </c>
      <c r="AI156" s="3">
        <f>(AI155-AH155)/AH155</f>
        <v>0.357488057658463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 t="n"/>
      <c r="E161" s="25" t="n"/>
      <c r="F161" s="25" t="n"/>
      <c r="G161" s="25" t="n"/>
      <c r="H161" s="3">
        <f>G161</f>
        <v>0</v>
      </c>
      <c r="I161" s="25" t="n">
        <v>0</v>
      </c>
      <c r="J161" s="25" t="n">
        <v>0</v>
      </c>
      <c r="K161" s="25" t="n">
        <v>0</v>
      </c>
      <c r="L161" s="25" t="n">
        <v>0</v>
      </c>
      <c r="M161" s="3">
        <f>L161</f>
        <v>0</v>
      </c>
      <c r="N161" s="25" t="n"/>
      <c r="O161" s="25" t="n"/>
      <c r="P161" s="25" t="n"/>
      <c r="Q161" s="25" t="n"/>
      <c r="R161" s="3">
        <f>Q161</f>
        <v>0</v>
      </c>
      <c r="S161" s="25" t="n"/>
      <c r="T161" s="25" t="n"/>
      <c r="U161" s="25" t="n"/>
      <c r="V161" s="25" t="n"/>
      <c r="W161" s="3">
        <f>V161</f>
        <v>0</v>
      </c>
      <c r="X161" s="25" t="n"/>
      <c r="Y161" s="25" t="n"/>
      <c r="Z161" s="25" t="n"/>
      <c r="AA161" s="25" t="n"/>
      <c r="AB161" s="3">
        <f>AA161</f>
        <v>0</v>
      </c>
      <c r="AC161" s="25" t="n"/>
      <c r="AD161" s="25" t="n"/>
      <c r="AE161" s="25" t="n"/>
      <c r="AF161" s="25" t="n"/>
      <c r="AG161" s="3">
        <f>AF161</f>
        <v>0</v>
      </c>
      <c r="AH161" s="3">
        <f>AG161+AH135+AH164</f>
        <v>0</v>
      </c>
      <c r="AI161" s="3">
        <f>AH161+AI135+AI164</f>
        <v>0</v>
      </c>
      <c r="AJ161" s="3">
        <f>AI161+AJ135+AJ164</f>
        <v>0</v>
      </c>
      <c r="AK161" s="3">
        <f>AJ161+AK135+AK164</f>
        <v>0</v>
      </c>
      <c r="AL161" s="3">
        <f>AK161</f>
        <v>0</v>
      </c>
      <c r="AM161" s="3">
        <f>AL161+AM135+AM164</f>
        <v>0</v>
      </c>
      <c r="AN161" s="3">
        <f>AM161+AN135+AN164</f>
        <v>0</v>
      </c>
      <c r="AO161" s="3">
        <f>AN161+AO135+AO164</f>
        <v>0</v>
      </c>
      <c r="AP161" s="3">
        <f>AO161+AP135+AP164</f>
        <v>0</v>
      </c>
      <c r="AQ161" s="3">
        <f>AP161</f>
        <v>0</v>
      </c>
      <c r="AR161" s="3">
        <f>AQ161+AR135+AR164</f>
        <v>0</v>
      </c>
      <c r="AS161" s="3">
        <f>AR161+AS135+AS164</f>
        <v>0</v>
      </c>
      <c r="AT161" s="3">
        <f>AS161+AT135+AT164</f>
        <v>0</v>
      </c>
      <c r="AU161" s="3">
        <f>AT161+AU135+AU164</f>
        <v>0</v>
      </c>
      <c r="AV161" s="3">
        <f>AU161</f>
        <v>0</v>
      </c>
      <c r="AW161" s="3">
        <f>AV161+AW135+AW164</f>
        <v>0</v>
      </c>
      <c r="AX161" s="3">
        <f>AW161+AX135+AX164</f>
        <v>0</v>
      </c>
      <c r="AY161" s="3">
        <f>AX161+AY135+AY164</f>
        <v>0</v>
      </c>
      <c r="AZ161" s="3">
        <f>AY161+AZ135+AZ164</f>
        <v>0</v>
      </c>
      <c r="BA161" s="3">
        <f>AZ161</f>
        <v>0</v>
      </c>
      <c r="BB161" s="3">
        <f>BA161+BB135+BB164</f>
        <v>0</v>
      </c>
      <c r="BC161" s="3">
        <f>BB161+BC135+BC164</f>
        <v>0</v>
      </c>
      <c r="BD161" s="3">
        <f>BC161+BD135+BD164</f>
        <v>0</v>
      </c>
      <c r="BE161" s="3">
        <f>BD161+BE135+BE164</f>
        <v>0</v>
      </c>
      <c r="BF161" s="3">
        <f>BE161</f>
        <v>0</v>
      </c>
      <c r="BG161" s="3">
        <f>BF161+BG135+BG164</f>
        <v>0</v>
      </c>
      <c r="BH161" s="3">
        <f>BG161+BH135+BH164</f>
        <v>0</v>
      </c>
      <c r="BI161" s="3">
        <f>BH161+BI135+BI164</f>
        <v>0</v>
      </c>
      <c r="BJ161" s="3">
        <f>BI161+BJ135+BJ164</f>
        <v>0</v>
      </c>
      <c r="BK161" s="3">
        <f>BJ161</f>
        <v>0</v>
      </c>
      <c r="BL161" s="3">
        <f>BK161+BL135+BL164</f>
        <v>0</v>
      </c>
      <c r="BM161" s="3">
        <f>BL161+BM135+BM164</f>
        <v>0</v>
      </c>
      <c r="BN161" s="3">
        <f>BM161+BN135+BN164</f>
        <v>0</v>
      </c>
      <c r="BO161" s="3">
        <f>BN161+BO135+BO164</f>
        <v>0</v>
      </c>
      <c r="BP161" s="3">
        <f>BO161</f>
        <v>0</v>
      </c>
      <c r="BQ161" s="3">
        <f>BP161+BQ135+BQ164</f>
        <v>0</v>
      </c>
      <c r="BR161" s="3">
        <f>BQ161+BR135+BR164</f>
        <v>0</v>
      </c>
      <c r="BS161" s="3">
        <f>BR161+BS135+BS164</f>
        <v>0</v>
      </c>
      <c r="BT161" s="3">
        <f>BS161+BT135+BT164</f>
        <v>0</v>
      </c>
      <c r="BU161" s="3">
        <f>BT161</f>
        <v>0</v>
      </c>
      <c r="BV161" s="3">
        <f>BU161+BV135+BV164</f>
        <v>0</v>
      </c>
      <c r="BW161" s="3">
        <f>BV161+BW135+BW164</f>
        <v>0</v>
      </c>
      <c r="BX161" s="3">
        <f>BW161+BX135+BX164</f>
        <v>0</v>
      </c>
      <c r="BY161" s="3">
        <f>BX161+BY135+BY164</f>
        <v>0</v>
      </c>
      <c r="BZ161" s="3">
        <f>BY161</f>
        <v>0</v>
      </c>
      <c r="CA161" s="3">
        <f>BZ161+CA135+CA164</f>
        <v>0</v>
      </c>
      <c r="CB161" s="3">
        <f>CA161+CB135+CB164</f>
        <v>0</v>
      </c>
      <c r="CC161" s="3">
        <f>CB161+CC135+CC164</f>
        <v>0</v>
      </c>
      <c r="CD161" s="3">
        <f>CC161+CD135+CD164</f>
        <v>0</v>
      </c>
      <c r="CE161" s="3">
        <f>CD161</f>
        <v>0</v>
      </c>
      <c r="CF161" s="3">
        <f>CE161+CF135+CF164</f>
        <v>0</v>
      </c>
      <c r="CG161" s="3">
        <f>CF161+CG135+CG164</f>
        <v>0</v>
      </c>
      <c r="CH161" s="3">
        <f>CG161+CH135+CH164</f>
        <v>0</v>
      </c>
      <c r="CI161" s="3">
        <f>CH161+CI135+CI164</f>
        <v>0</v>
      </c>
      <c r="CJ161" s="3">
        <f>CI161</f>
        <v>0</v>
      </c>
      <c r="CK161" s="3">
        <f>CJ161+CK135+CK164</f>
        <v>0</v>
      </c>
      <c r="CL161" s="3">
        <f>CK161+CL135+CL164</f>
        <v>0</v>
      </c>
      <c r="CM161" s="3">
        <f>CL161+CM135+CM164</f>
        <v>0</v>
      </c>
      <c r="CN161" s="3">
        <f>CM161+CN135+CN164</f>
        <v>0</v>
      </c>
      <c r="CO161" s="3">
        <f>CN161</f>
        <v>0</v>
      </c>
      <c r="CP161" s="3">
        <f>CO161+CP135+CP164</f>
        <v>0</v>
      </c>
      <c r="CQ161" s="3">
        <f>CP161+CQ135+CQ164</f>
        <v>0</v>
      </c>
      <c r="CR161" s="3">
        <f>CQ161+CR135+CR164</f>
        <v>0</v>
      </c>
      <c r="CS161" s="3">
        <f>CR161+CS135+CS164</f>
        <v>0</v>
      </c>
      <c r="CT161" s="3">
        <f>CS161</f>
        <v>0</v>
      </c>
      <c r="CU161" s="3">
        <f>CT161+CU135+CU164</f>
        <v>0</v>
      </c>
      <c r="CV161" s="3">
        <f>CU161+CV135+CV164</f>
        <v>0</v>
      </c>
      <c r="CW161" s="3">
        <f>CV161+CW135+CW164</f>
        <v>0</v>
      </c>
      <c r="CX161" s="3">
        <f>CW161+CX135+CX164</f>
        <v>0</v>
      </c>
      <c r="CY161" s="3">
        <f>CX161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</v>
      </c>
      <c r="O163" s="3">
        <f>IF(J135=0,0,O135/J135-1)</f>
        <v>0</v>
      </c>
      <c r="P163" s="3">
        <f>IF(K135=0,0,P135/K135-1)</f>
        <v>0</v>
      </c>
      <c r="Q163" s="3">
        <f>IF(L135=0,0,Q135/L135-1)</f>
        <v>0</v>
      </c>
      <c r="R163" s="3" t="n"/>
      <c r="S163" s="3">
        <f>IF(N135=0,0,S135/N135-1)</f>
        <v>0</v>
      </c>
      <c r="T163" s="3">
        <f>IF(O135=0,0,T135/O135-1)</f>
        <v>0</v>
      </c>
      <c r="U163" s="3">
        <f>IF(P135=0,0,U135/P135-1)</f>
        <v>0</v>
      </c>
      <c r="V163" s="3">
        <f>IF(Q135=0,0,V135/Q135-1)</f>
        <v>0</v>
      </c>
      <c r="W163" s="3" t="n"/>
      <c r="X163" s="3">
        <f>IF(S135=0,0,X135/S135-1)</f>
        <v>0</v>
      </c>
      <c r="Y163" s="3">
        <f>IF(T135=0,0,Y135/T135-1)</f>
        <v>0</v>
      </c>
      <c r="Z163" s="3">
        <f>IF(U135=0,0,Z135/U135-1)</f>
        <v>0</v>
      </c>
      <c r="AA163" s="3">
        <f>IF(V135=0,0,AA135/V135-1)</f>
        <v>0</v>
      </c>
      <c r="AB163" s="3" t="n"/>
      <c r="AC163" s="3">
        <f>IF(X135=0,0,AC135/X135-1)</f>
        <v>0</v>
      </c>
      <c r="AD163" s="3">
        <f>IF(Y135=0,0,AD135/Y135-1)</f>
        <v>0</v>
      </c>
      <c r="AE163" s="3">
        <f>IF(Z135=0,0,AE135/Z135-1)</f>
        <v>0</v>
      </c>
      <c r="AF163" s="3">
        <f>IF(AA135=0,0,AF135/AA135-1)</f>
        <v>0</v>
      </c>
      <c r="AG163" s="3" t="n"/>
      <c r="AH163" s="6">
        <f>IF(AC135=0,0,AH135/AC135-1)</f>
        <v>0</v>
      </c>
      <c r="AI163" s="6">
        <f>IF(AD135=0,0,AI135/AD135-1)</f>
        <v>0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41221</v>
      </c>
      <c r="E166" s="25">
        <f>INDEX('Inputs (2)'!$D$22:$AL$22,MATCH(E$7,'Inputs (2)'!$D$2:$AL$2,0))</f>
        <v>44151</v>
      </c>
      <c r="F166" s="25">
        <f>INDEX('Inputs (2)'!$D$22:$AL$22,MATCH(F$7,'Inputs (2)'!$D$2:$AL$2,0))</f>
        <v>47927</v>
      </c>
      <c r="G166" s="25">
        <f>INDEX('Inputs (2)'!$D$22:$AL$22,MATCH(G$7,'Inputs (2)'!$D$2:$AL$2,0))</f>
        <v>51737</v>
      </c>
      <c r="H166" s="3">
        <f>G166</f>
        <v>51737</v>
      </c>
      <c r="I166" s="25">
        <f>INDEX('Inputs (2)'!$D$22:$AL$22,MATCH(I$7,'Inputs (2)'!$D$2:$AL$2,0))</f>
        <v>54945</v>
      </c>
      <c r="J166" s="25">
        <f>INDEX('Inputs (2)'!$D$22:$AL$22,MATCH(J$7,'Inputs (2)'!$D$2:$AL$2,0))</f>
        <v>59715</v>
      </c>
      <c r="K166" s="25">
        <f>INDEX('Inputs (2)'!$D$22:$AL$22,MATCH(K$7,'Inputs (2)'!$D$2:$AL$2,0))</f>
        <v>63772</v>
      </c>
      <c r="L166" s="25">
        <f>INDEX('Inputs (2)'!$D$22:$AL$22,MATCH(L$7,'Inputs (2)'!$D$2:$AL$2,0))</f>
        <v>67214</v>
      </c>
      <c r="M166" s="3">
        <f>L166</f>
        <v>67214</v>
      </c>
      <c r="N166" s="25">
        <f>INDEX('Inputs (2)'!$D$22:$AL$22,MATCH(N$7,'Inputs (2)'!$D$2:$AL$2,0))</f>
        <v>70298</v>
      </c>
      <c r="O166" s="25">
        <f>INDEX('Inputs (2)'!$D$22:$AL$22,MATCH(O$7,'Inputs (2)'!$D$2:$AL$2,0))</f>
        <v>74398</v>
      </c>
      <c r="P166" s="25">
        <f>INDEX('Inputs (2)'!$D$22:$AL$22,MATCH(P$7,'Inputs (2)'!$D$2:$AL$2,0))</f>
        <v>77037</v>
      </c>
      <c r="Q166" s="25">
        <f>INDEX('Inputs (2)'!$D$22:$AL$22,MATCH(Q$7,'Inputs (2)'!$D$2:$AL$2,0))</f>
        <v>82755</v>
      </c>
      <c r="R166" s="3">
        <f>Q166</f>
        <v>82755</v>
      </c>
      <c r="S166" s="25">
        <f>INDEX('Inputs (2)'!$D$22:$AL$22,MATCH(S$7,'Inputs (2)'!$D$2:$AL$2,0))</f>
        <v>88132</v>
      </c>
      <c r="T166" s="25">
        <f>INDEX('Inputs (2)'!$D$22:$AL$22,MATCH(T$7,'Inputs (2)'!$D$2:$AL$2,0))</f>
        <v>95641</v>
      </c>
      <c r="U166" s="25">
        <f>INDEX('Inputs (2)'!$D$22:$AL$22,MATCH(U$7,'Inputs (2)'!$D$2:$AL$2,0))</f>
        <v>102502</v>
      </c>
      <c r="V166" s="25">
        <f>INDEX('Inputs (2)'!$D$22:$AL$22,MATCH(V$7,'Inputs (2)'!$D$2:$AL$2,0))</f>
        <v>112308</v>
      </c>
      <c r="W166" s="3">
        <f>V166</f>
        <v>112308</v>
      </c>
      <c r="X166" s="25">
        <f>INDEX('Inputs (2)'!$D$22:$AL$22,MATCH(X$7,'Inputs (2)'!$D$2:$AL$2,0))</f>
        <v>121375</v>
      </c>
      <c r="Y166" s="25">
        <f>INDEX('Inputs (2)'!$D$22:$AL$22,MATCH(Y$7,'Inputs (2)'!$D$2:$AL$2,0))</f>
        <v>135591</v>
      </c>
      <c r="Z166" s="25">
        <f>INDEX('Inputs (2)'!$D$22:$AL$22,MATCH(Z$7,'Inputs (2)'!$D$2:$AL$2,0))</f>
        <v>152863</v>
      </c>
      <c r="AA166" s="25">
        <f>INDEX('Inputs (2)'!$D$22:$AL$22,MATCH(AA$7,'Inputs (2)'!$D$2:$AL$2,0))</f>
        <v>166902</v>
      </c>
      <c r="AB166" s="3">
        <f>AA166</f>
        <v>166902</v>
      </c>
      <c r="AC166" s="25">
        <f>INDEX('Inputs (2)'!$D$22:$AL$22,MATCH(AC$7,'Inputs (2)'!$D$2:$AL$2,0))</f>
        <v>183939</v>
      </c>
      <c r="AD166" s="25">
        <f>INDEX('Inputs (2)'!$D$22:$AL$22,MATCH(AD$7,'Inputs (2)'!$D$2:$AL$2,0))</f>
        <v>204966</v>
      </c>
      <c r="AE166" s="25">
        <f>INDEX('Inputs (2)'!$D$22:$AL$22,MATCH(AE$7,'Inputs (2)'!$D$2:$AL$2,0))</f>
        <v>230861</v>
      </c>
      <c r="AF166" s="25">
        <f>INDEX('Inputs (2)'!$D$22:$AL$22,MATCH(AF$7,'Inputs (2)'!$D$2:$AL$2,0))</f>
        <v>261126</v>
      </c>
      <c r="AG166" s="3">
        <f>AF166</f>
        <v>261126</v>
      </c>
      <c r="AH166" s="3">
        <f>INDEX('Inputs (2)'!$D$22:$AL$22,MATCH(AH$7,'Inputs (2)'!$D$2:$AL$2,0))</f>
        <v>283228</v>
      </c>
      <c r="AI166" s="3">
        <f>INDEX('Inputs (2)'!$D$22:$AL$22,MATCH(AI$7,'Inputs (2)'!$D$2:$AL$2,0))</f>
        <v>313076</v>
      </c>
      <c r="AJ166" s="3">
        <f>AJ171</f>
        <v>313076</v>
      </c>
      <c r="AK166" s="3">
        <f>AK171</f>
        <v>313076</v>
      </c>
      <c r="AL166" s="3">
        <f>AK166</f>
        <v>313076</v>
      </c>
      <c r="AM166" s="3">
        <f>AM171</f>
        <v>313076</v>
      </c>
      <c r="AN166" s="3">
        <f>AN171</f>
        <v>313076</v>
      </c>
      <c r="AO166" s="3">
        <f>AO171</f>
        <v>313076</v>
      </c>
      <c r="AP166" s="3">
        <f>AP171</f>
        <v>313076</v>
      </c>
      <c r="AQ166" s="3">
        <f>AP166</f>
        <v>313076</v>
      </c>
      <c r="AR166" s="3">
        <f>AR171</f>
        <v>313076</v>
      </c>
      <c r="AS166" s="3">
        <f>AS171</f>
        <v>313076</v>
      </c>
      <c r="AT166" s="3">
        <f>AT171</f>
        <v>313076</v>
      </c>
      <c r="AU166" s="3">
        <f>AU171</f>
        <v>313076</v>
      </c>
      <c r="AV166" s="3">
        <f>AU166</f>
        <v>313076</v>
      </c>
      <c r="AW166" s="3">
        <f>AW171</f>
        <v>313076</v>
      </c>
      <c r="AX166" s="3">
        <f>AX171</f>
        <v>313076</v>
      </c>
      <c r="AY166" s="3">
        <f>AY171</f>
        <v>313076</v>
      </c>
      <c r="AZ166" s="3">
        <f>AZ171</f>
        <v>313076</v>
      </c>
      <c r="BA166" s="3">
        <f>AZ166</f>
        <v>313076</v>
      </c>
      <c r="BB166" s="3">
        <f>BB171</f>
        <v>313076</v>
      </c>
      <c r="BC166" s="3">
        <f>BC171</f>
        <v>313076</v>
      </c>
      <c r="BD166" s="3">
        <f>BD171</f>
        <v>313076</v>
      </c>
      <c r="BE166" s="3">
        <f>BE171</f>
        <v>313076</v>
      </c>
      <c r="BF166" s="3">
        <f>BE166</f>
        <v>313076</v>
      </c>
      <c r="BG166" s="3">
        <f>BG171</f>
        <v>313076</v>
      </c>
      <c r="BH166" s="3">
        <f>BH171</f>
        <v>313076</v>
      </c>
      <c r="BI166" s="3">
        <f>BI171</f>
        <v>313076</v>
      </c>
      <c r="BJ166" s="3">
        <f>BJ171</f>
        <v>313076</v>
      </c>
      <c r="BK166" s="3">
        <f>BJ166</f>
        <v>313076</v>
      </c>
      <c r="BL166" s="3">
        <f>BL171</f>
        <v>313076</v>
      </c>
      <c r="BM166" s="3">
        <f>BM171</f>
        <v>313076</v>
      </c>
      <c r="BN166" s="3">
        <f>BN171</f>
        <v>313076</v>
      </c>
      <c r="BO166" s="3">
        <f>BO171</f>
        <v>313076</v>
      </c>
      <c r="BP166" s="3">
        <f>BO166</f>
        <v>313076</v>
      </c>
      <c r="BQ166" s="3">
        <f>BQ171</f>
        <v>313076</v>
      </c>
      <c r="BR166" s="3">
        <f>BR171</f>
        <v>313076</v>
      </c>
      <c r="BS166" s="3">
        <f>BS171</f>
        <v>313076</v>
      </c>
      <c r="BT166" s="3">
        <f>BT171</f>
        <v>313076</v>
      </c>
      <c r="BU166" s="3">
        <f>BT166</f>
        <v>313076</v>
      </c>
      <c r="BV166" s="3">
        <f>BV171</f>
        <v>313076</v>
      </c>
      <c r="BW166" s="3">
        <f>BW171</f>
        <v>313076</v>
      </c>
      <c r="BX166" s="3">
        <f>BX171</f>
        <v>313076</v>
      </c>
      <c r="BY166" s="3">
        <f>BY171</f>
        <v>313076</v>
      </c>
      <c r="BZ166" s="3">
        <f>BY166</f>
        <v>313076</v>
      </c>
      <c r="CA166" s="3">
        <f>CA171</f>
        <v>313076</v>
      </c>
      <c r="CB166" s="3">
        <f>CB171</f>
        <v>313076</v>
      </c>
      <c r="CC166" s="3">
        <f>CC171</f>
        <v>313076</v>
      </c>
      <c r="CD166" s="3">
        <f>CD171</f>
        <v>313076</v>
      </c>
      <c r="CE166" s="3">
        <f>CD166</f>
        <v>313076</v>
      </c>
      <c r="CF166" s="3">
        <f>CF171</f>
        <v>313076</v>
      </c>
      <c r="CG166" s="3">
        <f>CG171</f>
        <v>313076</v>
      </c>
      <c r="CH166" s="3">
        <f>CH171</f>
        <v>313076</v>
      </c>
      <c r="CI166" s="3">
        <f>CI171</f>
        <v>313076</v>
      </c>
      <c r="CJ166" s="3">
        <f>CI166</f>
        <v>313076</v>
      </c>
      <c r="CK166" s="3">
        <f>CK171</f>
        <v>313076</v>
      </c>
      <c r="CL166" s="3">
        <f>CL171</f>
        <v>313076</v>
      </c>
      <c r="CM166" s="3">
        <f>CM171</f>
        <v>313076</v>
      </c>
      <c r="CN166" s="3">
        <f>CN171</f>
        <v>313076</v>
      </c>
      <c r="CO166" s="3">
        <f>CN166</f>
        <v>313076</v>
      </c>
      <c r="CP166" s="3">
        <f>CP171</f>
        <v>313076</v>
      </c>
      <c r="CQ166" s="3">
        <f>CQ171</f>
        <v>313076</v>
      </c>
      <c r="CR166" s="3">
        <f>CR171</f>
        <v>313076</v>
      </c>
      <c r="CS166" s="3">
        <f>CS171</f>
        <v>313076</v>
      </c>
      <c r="CT166" s="3">
        <f>CS166</f>
        <v>313076</v>
      </c>
      <c r="CU166" s="3">
        <f>CU171</f>
        <v>313076</v>
      </c>
      <c r="CV166" s="3">
        <f>CV171</f>
        <v>313076</v>
      </c>
      <c r="CW166" s="3">
        <f>CW171</f>
        <v>313076</v>
      </c>
      <c r="CX166" s="3">
        <f>CX171</f>
        <v>313076</v>
      </c>
      <c r="CY166" s="3">
        <f>CX166</f>
        <v>313076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6434</v>
      </c>
      <c r="F168" s="3">
        <f>F166-E166-F70</f>
        <v>6421</v>
      </c>
      <c r="G168" s="3">
        <f>G166-F166-G70</f>
        <v>6571</v>
      </c>
      <c r="H168" s="3" t="n"/>
      <c r="I168" s="3">
        <f>I166-H166-I70</f>
        <v>6144</v>
      </c>
      <c r="J168" s="3">
        <f>J166-I166-J70</f>
        <v>8114</v>
      </c>
      <c r="K168" s="3">
        <f>K166-J166-K70</f>
        <v>7269</v>
      </c>
      <c r="L168" s="3">
        <f>L166-K166-L70</f>
        <v>6938</v>
      </c>
      <c r="M168" s="3" t="n"/>
      <c r="N168" s="3">
        <f>N166-M166-N70</f>
        <v>6857</v>
      </c>
      <c r="O168" s="3">
        <f>O166-N166-O70</f>
        <v>8079</v>
      </c>
      <c r="P168" s="3">
        <f>P166-O166-P70</f>
        <v>5429</v>
      </c>
      <c r="Q168" s="3">
        <f>Q166-P166-Q70</f>
        <v>9366</v>
      </c>
      <c r="R168" s="3" t="n"/>
      <c r="S168" s="3">
        <f>S166-R166-S70</f>
        <v>8926</v>
      </c>
      <c r="T168" s="3">
        <f>T166-S166-T70</f>
        <v>11383</v>
      </c>
      <c r="U168" s="3">
        <f>U166-T166-U70</f>
        <v>10782</v>
      </c>
      <c r="V168" s="3">
        <f>V166-U166-V70</f>
        <v>15765</v>
      </c>
      <c r="W168" s="3" t="n"/>
      <c r="X168" s="3">
        <f>X166-W166-X70</f>
        <v>15094</v>
      </c>
      <c r="Y168" s="3">
        <f>Y166-X166-Y70</f>
        <v>20596</v>
      </c>
      <c r="Z168" s="3">
        <f>Z166-Y166-Z70</f>
        <v>24655</v>
      </c>
      <c r="AA168" s="3">
        <f>AA166-Z166-AA70</f>
        <v>20866</v>
      </c>
      <c r="AB168" s="3" t="n"/>
      <c r="AC168" s="3">
        <f>AC166-AB166-AC70</f>
        <v>25777</v>
      </c>
      <c r="AD168" s="3">
        <f>AD166-AC166-AD70</f>
        <v>32230</v>
      </c>
      <c r="AE168" s="3">
        <f>AE166-AD166-AE70</f>
        <v>38956</v>
      </c>
      <c r="AF168" s="6">
        <f>AF166-AE166-AF70</f>
        <v>39463</v>
      </c>
      <c r="AG168" s="3">
        <f>SUM(AC168:AF168)</f>
        <v>136426</v>
      </c>
      <c r="AH168" s="6">
        <f>AH166-AG166-AH70</f>
        <v>32269</v>
      </c>
      <c r="AI168" s="6">
        <f>AI166-AH166-AI70</f>
        <v>40870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-3118</v>
      </c>
      <c r="E170" s="3">
        <f>E70</f>
        <v>-3504</v>
      </c>
      <c r="F170" s="3">
        <f>F70</f>
        <v>-2645</v>
      </c>
      <c r="G170" s="3">
        <f>G70</f>
        <v>-2761</v>
      </c>
      <c r="H170" s="3" t="n"/>
      <c r="I170" s="3">
        <f>I70</f>
        <v>-2936</v>
      </c>
      <c r="J170" s="3">
        <f>J70</f>
        <v>-3344</v>
      </c>
      <c r="K170" s="3">
        <f>K70</f>
        <v>-3212</v>
      </c>
      <c r="L170" s="3">
        <f>L70</f>
        <v>-3496</v>
      </c>
      <c r="M170" s="3" t="n"/>
      <c r="N170" s="3">
        <f>N70</f>
        <v>-3773</v>
      </c>
      <c r="O170" s="3">
        <f>O70</f>
        <v>-3979</v>
      </c>
      <c r="P170" s="3">
        <f>P70</f>
        <v>-2790</v>
      </c>
      <c r="Q170" s="3">
        <f>Q70</f>
        <v>-3648</v>
      </c>
      <c r="R170" s="3" t="n"/>
      <c r="S170" s="3">
        <f>S70</f>
        <v>-3549</v>
      </c>
      <c r="T170" s="3">
        <f>T70</f>
        <v>-3874</v>
      </c>
      <c r="U170" s="3">
        <f>U70</f>
        <v>-3921</v>
      </c>
      <c r="V170" s="3">
        <f>V70</f>
        <v>-5959</v>
      </c>
      <c r="W170" s="3" t="n"/>
      <c r="X170" s="3">
        <f>X70</f>
        <v>-6027</v>
      </c>
      <c r="Y170" s="3">
        <f>Y70</f>
        <v>-6380</v>
      </c>
      <c r="Z170" s="3">
        <f>Z70</f>
        <v>-7383</v>
      </c>
      <c r="AA170" s="3">
        <f>AA70</f>
        <v>-6827</v>
      </c>
      <c r="AB170" s="3" t="n"/>
      <c r="AC170" s="3">
        <f>AC70</f>
        <v>-8740</v>
      </c>
      <c r="AD170" s="3">
        <f>AD70</f>
        <v>-11203</v>
      </c>
      <c r="AE170" s="3">
        <f>AE70</f>
        <v>-13061</v>
      </c>
      <c r="AF170" s="3">
        <f>AF70</f>
        <v>-9198</v>
      </c>
      <c r="AG170" s="3" t="n"/>
      <c r="AH170" s="3">
        <f>AH70</f>
        <v>-10167</v>
      </c>
      <c r="AI170" s="3">
        <f>AI70</f>
        <v>-11022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41221</v>
      </c>
      <c r="E171" s="3">
        <f>E166</f>
        <v>44151</v>
      </c>
      <c r="F171" s="3">
        <f>F166</f>
        <v>47927</v>
      </c>
      <c r="G171" s="3">
        <f>G166</f>
        <v>51737</v>
      </c>
      <c r="H171" s="3" t="n"/>
      <c r="I171" s="3">
        <f>I166</f>
        <v>54945</v>
      </c>
      <c r="J171" s="3">
        <f>J166</f>
        <v>59715</v>
      </c>
      <c r="K171" s="3">
        <f>K166</f>
        <v>63772</v>
      </c>
      <c r="L171" s="3">
        <f>L166</f>
        <v>67214</v>
      </c>
      <c r="M171" s="3" t="n"/>
      <c r="N171" s="3">
        <f>N166</f>
        <v>70298</v>
      </c>
      <c r="O171" s="3">
        <f>O166</f>
        <v>74398</v>
      </c>
      <c r="P171" s="3">
        <f>P166</f>
        <v>77037</v>
      </c>
      <c r="Q171" s="3">
        <f>Q166</f>
        <v>82755</v>
      </c>
      <c r="R171" s="3" t="n"/>
      <c r="S171" s="3">
        <f>S166</f>
        <v>88132</v>
      </c>
      <c r="T171" s="3">
        <f>T166</f>
        <v>95641</v>
      </c>
      <c r="U171" s="3">
        <f>U166</f>
        <v>102502</v>
      </c>
      <c r="V171" s="3">
        <f>V166</f>
        <v>112308</v>
      </c>
      <c r="W171" s="3" t="n"/>
      <c r="X171" s="3">
        <f>X166</f>
        <v>121375</v>
      </c>
      <c r="Y171" s="3">
        <f>Y166</f>
        <v>135591</v>
      </c>
      <c r="Z171" s="3">
        <f>Z166</f>
        <v>152863</v>
      </c>
      <c r="AA171" s="3">
        <f>Y171+SUM(AA168:AA170)</f>
        <v>149630</v>
      </c>
      <c r="AB171" s="3" t="n"/>
      <c r="AC171" s="3">
        <f>AC166</f>
        <v>183939</v>
      </c>
      <c r="AD171" s="3">
        <f>AD166</f>
        <v>204966</v>
      </c>
      <c r="AE171" s="3">
        <f>AE166</f>
        <v>230861</v>
      </c>
      <c r="AF171" s="3">
        <f>AE171+SUM(AF168:AF170)</f>
        <v>261126</v>
      </c>
      <c r="AG171" s="3" t="n"/>
      <c r="AH171" s="3">
        <f>AH166</f>
        <v>283228</v>
      </c>
      <c r="AI171" s="3">
        <f>AI166</f>
        <v>313076</v>
      </c>
      <c r="AJ171" s="3">
        <f>AI171+SUM(AJ168:AJ170)</f>
        <v>313076</v>
      </c>
      <c r="AK171" s="3">
        <f>AJ171+SUM(AK168:AK170)</f>
        <v>313076</v>
      </c>
      <c r="AL171" s="3" t="n"/>
      <c r="AM171" s="3">
        <f>AK171+SUM(AM168:AM170)</f>
        <v>313076</v>
      </c>
      <c r="AN171" s="3">
        <f>AM171+SUM(AN168:AN170)</f>
        <v>313076</v>
      </c>
      <c r="AO171" s="3">
        <f>AN171+SUM(AO168:AO170)</f>
        <v>313076</v>
      </c>
      <c r="AP171" s="3">
        <f>AO171+SUM(AP168:AP170)</f>
        <v>313076</v>
      </c>
      <c r="AQ171" s="3" t="n"/>
      <c r="AR171" s="3">
        <f>AP171+SUM(AR168:AR170)</f>
        <v>313076</v>
      </c>
      <c r="AS171" s="3">
        <f>AR171+SUM(AS168:AS170)</f>
        <v>313076</v>
      </c>
      <c r="AT171" s="3">
        <f>AS171+SUM(AT168:AT170)</f>
        <v>313076</v>
      </c>
      <c r="AU171" s="3">
        <f>AT171+SUM(AU168:AU170)</f>
        <v>313076</v>
      </c>
      <c r="AV171" s="3" t="n"/>
      <c r="AW171" s="3">
        <f>AU171+SUM(AW168:AW170)</f>
        <v>313076</v>
      </c>
      <c r="AX171" s="3">
        <f>AW171+SUM(AX168:AX170)</f>
        <v>313076</v>
      </c>
      <c r="AY171" s="3">
        <f>AX171+SUM(AY168:AY170)</f>
        <v>313076</v>
      </c>
      <c r="AZ171" s="3">
        <f>AY171+SUM(AZ168:AZ170)</f>
        <v>313076</v>
      </c>
      <c r="BA171" s="3" t="n"/>
      <c r="BB171" s="3">
        <f>AZ171+SUM(BB168:BB170)</f>
        <v>313076</v>
      </c>
      <c r="BC171" s="3">
        <f>BB171+SUM(BC168:BC170)</f>
        <v>313076</v>
      </c>
      <c r="BD171" s="3">
        <f>BC171+SUM(BD168:BD170)</f>
        <v>313076</v>
      </c>
      <c r="BE171" s="3">
        <f>BD171+SUM(BE168:BE170)</f>
        <v>313076</v>
      </c>
      <c r="BF171" s="3" t="n"/>
      <c r="BG171" s="3">
        <f>BE171+SUM(BG168:BG170)</f>
        <v>313076</v>
      </c>
      <c r="BH171" s="3">
        <f>BG171+SUM(BH168:BH170)</f>
        <v>313076</v>
      </c>
      <c r="BI171" s="3">
        <f>BH171+SUM(BI168:BI170)</f>
        <v>313076</v>
      </c>
      <c r="BJ171" s="3">
        <f>BI171+SUM(BJ168:BJ170)</f>
        <v>313076</v>
      </c>
      <c r="BK171" s="3" t="n"/>
      <c r="BL171" s="3">
        <f>BJ171+SUM(BL168:BL170)</f>
        <v>313076</v>
      </c>
      <c r="BM171" s="3">
        <f>BL171+SUM(BM168:BM170)</f>
        <v>313076</v>
      </c>
      <c r="BN171" s="3">
        <f>BM171+SUM(BN168:BN170)</f>
        <v>313076</v>
      </c>
      <c r="BO171" s="3">
        <f>BN171+SUM(BO168:BO170)</f>
        <v>313076</v>
      </c>
      <c r="BP171" s="3" t="n"/>
      <c r="BQ171" s="3">
        <f>BO171+SUM(BQ168:BQ170)</f>
        <v>313076</v>
      </c>
      <c r="BR171" s="3">
        <f>BQ171+SUM(BR168:BR170)</f>
        <v>313076</v>
      </c>
      <c r="BS171" s="3">
        <f>BR171+SUM(BS168:BS170)</f>
        <v>313076</v>
      </c>
      <c r="BT171" s="3">
        <f>BS171+SUM(BT168:BT170)</f>
        <v>313076</v>
      </c>
      <c r="BU171" s="3" t="n"/>
      <c r="BV171" s="3">
        <f>BT171+SUM(BV168:BV170)</f>
        <v>313076</v>
      </c>
      <c r="BW171" s="3">
        <f>BV171+SUM(BW168:BW170)</f>
        <v>313076</v>
      </c>
      <c r="BX171" s="3">
        <f>BW171+SUM(BX168:BX170)</f>
        <v>313076</v>
      </c>
      <c r="BY171" s="3">
        <f>BX171+SUM(BY168:BY170)</f>
        <v>313076</v>
      </c>
      <c r="BZ171" s="3" t="n"/>
      <c r="CA171" s="3">
        <f>BY171+SUM(CA168:CA170)</f>
        <v>313076</v>
      </c>
      <c r="CB171" s="3">
        <f>CA171+SUM(CB168:CB170)</f>
        <v>313076</v>
      </c>
      <c r="CC171" s="3">
        <f>CB171+SUM(CC168:CC170)</f>
        <v>313076</v>
      </c>
      <c r="CD171" s="3">
        <f>CC171+SUM(CD168:CD170)</f>
        <v>313076</v>
      </c>
      <c r="CE171" s="3" t="n"/>
      <c r="CF171" s="3">
        <f>CD171+SUM(CF168:CF170)</f>
        <v>313076</v>
      </c>
      <c r="CG171" s="3">
        <f>CF171+SUM(CG168:CG170)</f>
        <v>313076</v>
      </c>
      <c r="CH171" s="3">
        <f>CG171+SUM(CH168:CH170)</f>
        <v>313076</v>
      </c>
      <c r="CI171" s="3">
        <f>CH171+SUM(CI168:CI170)</f>
        <v>313076</v>
      </c>
      <c r="CJ171" s="3" t="n"/>
      <c r="CK171" s="3">
        <f>CI171+SUM(CK168:CK170)</f>
        <v>313076</v>
      </c>
      <c r="CL171" s="3">
        <f>CK171+SUM(CL168:CL170)</f>
        <v>313076</v>
      </c>
      <c r="CM171" s="3">
        <f>CL171+SUM(CM168:CM170)</f>
        <v>313076</v>
      </c>
      <c r="CN171" s="3">
        <f>CM171+SUM(CN168:CN170)</f>
        <v>313076</v>
      </c>
      <c r="CO171" s="3" t="n"/>
      <c r="CP171" s="3">
        <f>CN171+SUM(CP168:CP170)</f>
        <v>313076</v>
      </c>
      <c r="CQ171" s="3">
        <f>CP171+SUM(CQ168:CQ170)</f>
        <v>313076</v>
      </c>
      <c r="CR171" s="3">
        <f>CQ171+SUM(CR168:CR170)</f>
        <v>313076</v>
      </c>
      <c r="CS171" s="3">
        <f>CR171+SUM(CS168:CS170)</f>
        <v>313076</v>
      </c>
      <c r="CT171" s="3" t="n"/>
      <c r="CU171" s="3">
        <f>CS171+SUM(CU168:CU170)</f>
        <v>313076</v>
      </c>
      <c r="CV171" s="3">
        <f>CU171+SUM(CV168:CV170)</f>
        <v>313076</v>
      </c>
      <c r="CW171" s="3">
        <f>CV171+SUM(CW168:CW170)</f>
        <v>313076</v>
      </c>
      <c r="CX171" s="3">
        <f>CW171+SUM(CX168:CX170)</f>
        <v>313076</v>
      </c>
      <c r="CY171" s="3" t="n"/>
      <c r="CZ171">
        <f>CX171+SUM(CZ168:CZ170)</f>
        <v>313076</v>
      </c>
      <c r="DA171">
        <f>CZ171+SUM(DA168:DA170)</f>
        <v>313076</v>
      </c>
      <c r="DB171">
        <f>DA171+SUM(DB168:DB170)</f>
        <v>313076</v>
      </c>
      <c r="DC171">
        <f>DB171+SUM(DC168:DC170)</f>
        <v>313076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0.485561010421665</v>
      </c>
      <c r="AG173" s="40">
        <f>AG168/AG15</f>
        <v>0.446634997855644</v>
      </c>
      <c r="AH173" s="40">
        <f>AH168/AH15</f>
        <v>0.389317858263157</v>
      </c>
      <c r="AI173" s="40">
        <f>AI168/AI15</f>
        <v>0.454075794104903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8448</v>
      </c>
      <c r="E176" s="25">
        <f>INDEX('Inputs (2)'!$D$23:$AL$23,MATCH(E$7,'Inputs (2)'!$D$2:$AL$2,0))</f>
        <v>8753</v>
      </c>
      <c r="F176" s="25">
        <f>INDEX('Inputs (2)'!$D$23:$AL$23,MATCH(F$7,'Inputs (2)'!$D$2:$AL$2,0))</f>
        <v>9047</v>
      </c>
      <c r="G176" s="25">
        <f>INDEX('Inputs (2)'!$D$23:$AL$23,MATCH(G$7,'Inputs (2)'!$D$2:$AL$2,0))</f>
        <v>10298</v>
      </c>
      <c r="H176" s="3">
        <f>G176</f>
        <v>10298</v>
      </c>
      <c r="I176" s="25">
        <f>INDEX('Inputs (2)'!$D$23:$AL$23,MATCH(I$7,'Inputs (2)'!$D$2:$AL$2,0))</f>
        <v>10673</v>
      </c>
      <c r="J176" s="25">
        <f>INDEX('Inputs (2)'!$D$23:$AL$23,MATCH(J$7,'Inputs (2)'!$D$2:$AL$2,0))</f>
        <v>11088</v>
      </c>
      <c r="K176" s="25">
        <f>INDEX('Inputs (2)'!$D$23:$AL$23,MATCH(K$7,'Inputs (2)'!$D$2:$AL$2,0))</f>
        <v>11575</v>
      </c>
      <c r="L176" s="25">
        <f>INDEX('Inputs (2)'!$D$23:$AL$23,MATCH(L$7,'Inputs (2)'!$D$2:$AL$2,0))</f>
        <v>12354</v>
      </c>
      <c r="M176" s="3">
        <f>L176</f>
        <v>12354</v>
      </c>
      <c r="N176" s="25">
        <f>INDEX('Inputs (2)'!$D$23:$AL$23,MATCH(N$7,'Inputs (2)'!$D$2:$AL$2,0))</f>
        <v>12916</v>
      </c>
      <c r="O176" s="25">
        <f>INDEX('Inputs (2)'!$D$23:$AL$23,MATCH(O$7,'Inputs (2)'!$D$2:$AL$2,0))</f>
        <v>13148</v>
      </c>
      <c r="P176" s="25">
        <f>INDEX('Inputs (2)'!$D$23:$AL$23,MATCH(P$7,'Inputs (2)'!$D$2:$AL$2,0))</f>
        <v>13347</v>
      </c>
      <c r="Q176" s="25">
        <f>INDEX('Inputs (2)'!$D$23:$AL$23,MATCH(Q$7,'Inputs (2)'!$D$2:$AL$2,0))</f>
        <v>13624</v>
      </c>
      <c r="R176" s="3">
        <f>Q176</f>
        <v>13624</v>
      </c>
      <c r="S176" s="25">
        <f>INDEX('Inputs (2)'!$D$23:$AL$23,MATCH(S$7,'Inputs (2)'!$D$2:$AL$2,0))</f>
        <v>13879</v>
      </c>
      <c r="T176" s="25">
        <f>INDEX('Inputs (2)'!$D$23:$AL$23,MATCH(T$7,'Inputs (2)'!$D$2:$AL$2,0))</f>
        <v>14346</v>
      </c>
      <c r="U176" s="25">
        <f>INDEX('Inputs (2)'!$D$23:$AL$23,MATCH(U$7,'Inputs (2)'!$D$2:$AL$2,0))</f>
        <v>15435</v>
      </c>
      <c r="V176" s="25">
        <f>INDEX('Inputs (2)'!$D$23:$AL$23,MATCH(V$7,'Inputs (2)'!$D$2:$AL$2,0))</f>
        <v>16398</v>
      </c>
      <c r="W176" s="3">
        <f>V176</f>
        <v>16398</v>
      </c>
      <c r="X176" s="25">
        <f>INDEX('Inputs (2)'!$D$23:$AL$23,MATCH(X$7,'Inputs (2)'!$D$2:$AL$2,0))</f>
        <v>17371</v>
      </c>
      <c r="Y176" s="25">
        <f>INDEX('Inputs (2)'!$D$23:$AL$23,MATCH(Y$7,'Inputs (2)'!$D$2:$AL$2,0))</f>
        <v>18961</v>
      </c>
      <c r="Z176" s="25">
        <f>INDEX('Inputs (2)'!$D$23:$AL$23,MATCH(Z$7,'Inputs (2)'!$D$2:$AL$2,0))</f>
        <v>20528</v>
      </c>
      <c r="AA176" s="25">
        <f>INDEX('Inputs (2)'!$D$23:$AL$23,MATCH(AA$7,'Inputs (2)'!$D$2:$AL$2,0))</f>
        <v>22816</v>
      </c>
      <c r="AB176" s="3">
        <f>AA176</f>
        <v>22816</v>
      </c>
      <c r="AC176" s="25">
        <f>INDEX('Inputs (2)'!$D$23:$AL$23,MATCH(AC$7,'Inputs (2)'!$D$2:$AL$2,0))</f>
        <v>24475</v>
      </c>
      <c r="AD176" s="25">
        <f>INDEX('Inputs (2)'!$D$23:$AL$23,MATCH(AD$7,'Inputs (2)'!$D$2:$AL$2,0))</f>
        <v>24823</v>
      </c>
      <c r="AE176" s="25">
        <f>INDEX('Inputs (2)'!$D$23:$AL$23,MATCH(AE$7,'Inputs (2)'!$D$2:$AL$2,0))</f>
        <v>24791</v>
      </c>
      <c r="AF176" s="25">
        <f>INDEX('Inputs (2)'!$D$23:$AL$23,MATCH(AF$7,'Inputs (2)'!$D$2:$AL$2,0))</f>
        <v>25103</v>
      </c>
      <c r="AG176" s="3">
        <f>AF176</f>
        <v>25103</v>
      </c>
      <c r="AH176" s="3">
        <f>INDEX('Inputs (2)'!$D$23:$AL$23,MATCH(AH$7,'Inputs (2)'!$D$2:$AL$2,0))</f>
        <v>24403</v>
      </c>
      <c r="AI176" s="3">
        <f>INDEX('Inputs (2)'!$D$23:$AL$23,MATCH(AI$7,'Inputs (2)'!$D$2:$AL$2,0))</f>
        <v>24177</v>
      </c>
      <c r="AJ176" s="3">
        <f>AI176</f>
        <v>24177</v>
      </c>
      <c r="AK176" s="3">
        <f>AJ176</f>
        <v>24177</v>
      </c>
      <c r="AL176" s="3">
        <f>AK176</f>
        <v>24177</v>
      </c>
      <c r="AM176" s="3">
        <f>AL176</f>
        <v>24177</v>
      </c>
      <c r="AN176" s="3">
        <f>AM176</f>
        <v>24177</v>
      </c>
      <c r="AO176" s="3">
        <f>AN176</f>
        <v>24177</v>
      </c>
      <c r="AP176" s="3">
        <f>AO176</f>
        <v>24177</v>
      </c>
      <c r="AQ176" s="3">
        <f>AP176</f>
        <v>24177</v>
      </c>
      <c r="AR176" s="3">
        <f>AQ176</f>
        <v>24177</v>
      </c>
      <c r="AS176" s="3">
        <f>AR176</f>
        <v>24177</v>
      </c>
      <c r="AT176" s="3">
        <f>AS176</f>
        <v>24177</v>
      </c>
      <c r="AU176" s="3">
        <f>AT176</f>
        <v>24177</v>
      </c>
      <c r="AV176" s="3">
        <f>AU176</f>
        <v>24177</v>
      </c>
      <c r="AW176" s="3">
        <f>AV176</f>
        <v>24177</v>
      </c>
      <c r="AX176" s="3">
        <f>AW176</f>
        <v>24177</v>
      </c>
      <c r="AY176" s="3">
        <f>AX176</f>
        <v>24177</v>
      </c>
      <c r="AZ176" s="3">
        <f>AY176</f>
        <v>24177</v>
      </c>
      <c r="BA176" s="3">
        <f>AZ176</f>
        <v>24177</v>
      </c>
      <c r="BB176" s="3">
        <f>BA176</f>
        <v>24177</v>
      </c>
      <c r="BC176" s="3">
        <f>BB176</f>
        <v>24177</v>
      </c>
      <c r="BD176" s="3">
        <f>BC176</f>
        <v>24177</v>
      </c>
      <c r="BE176" s="3">
        <f>BD176</f>
        <v>24177</v>
      </c>
      <c r="BF176" s="3">
        <f>BE176</f>
        <v>24177</v>
      </c>
      <c r="BG176" s="3">
        <f>BF176</f>
        <v>24177</v>
      </c>
      <c r="BH176" s="3">
        <f>BG176</f>
        <v>24177</v>
      </c>
      <c r="BI176" s="3">
        <f>BH176</f>
        <v>24177</v>
      </c>
      <c r="BJ176" s="3">
        <f>BI176</f>
        <v>24177</v>
      </c>
      <c r="BK176" s="3">
        <f>BJ176</f>
        <v>24177</v>
      </c>
      <c r="BL176" s="3">
        <f>BK176</f>
        <v>24177</v>
      </c>
      <c r="BM176" s="3">
        <f>BL176</f>
        <v>24177</v>
      </c>
      <c r="BN176" s="3">
        <f>BM176</f>
        <v>24177</v>
      </c>
      <c r="BO176" s="3">
        <f>BN176</f>
        <v>24177</v>
      </c>
      <c r="BP176" s="3">
        <f>BO176</f>
        <v>24177</v>
      </c>
      <c r="BQ176" s="3">
        <f>BP176</f>
        <v>24177</v>
      </c>
      <c r="BR176" s="3">
        <f>BQ176</f>
        <v>24177</v>
      </c>
      <c r="BS176" s="3">
        <f>BR176</f>
        <v>24177</v>
      </c>
      <c r="BT176" s="3">
        <f>BS176</f>
        <v>24177</v>
      </c>
      <c r="BU176" s="3">
        <f>BT176</f>
        <v>24177</v>
      </c>
      <c r="BV176" s="3">
        <f>BU176</f>
        <v>24177</v>
      </c>
      <c r="BW176" s="3">
        <f>BV176</f>
        <v>24177</v>
      </c>
      <c r="BX176" s="3">
        <f>BW176</f>
        <v>24177</v>
      </c>
      <c r="BY176" s="3">
        <f>BX176</f>
        <v>24177</v>
      </c>
      <c r="BZ176" s="3">
        <f>BY176</f>
        <v>24177</v>
      </c>
      <c r="CA176" s="3">
        <f>BZ176</f>
        <v>24177</v>
      </c>
      <c r="CB176" s="3">
        <f>CA176</f>
        <v>24177</v>
      </c>
      <c r="CC176" s="3">
        <f>CB176</f>
        <v>24177</v>
      </c>
      <c r="CD176" s="3">
        <f>CC176</f>
        <v>24177</v>
      </c>
      <c r="CE176" s="3">
        <f>CD176</f>
        <v>24177</v>
      </c>
      <c r="CF176" s="3">
        <f>CE176</f>
        <v>24177</v>
      </c>
      <c r="CG176" s="3">
        <f>CF176</f>
        <v>24177</v>
      </c>
      <c r="CH176" s="3">
        <f>CG176</f>
        <v>24177</v>
      </c>
      <c r="CI176" s="3">
        <f>CH176</f>
        <v>24177</v>
      </c>
      <c r="CJ176" s="3">
        <f>CI176</f>
        <v>24177</v>
      </c>
      <c r="CK176" s="3">
        <f>CJ176</f>
        <v>24177</v>
      </c>
      <c r="CL176" s="3">
        <f>CK176</f>
        <v>24177</v>
      </c>
      <c r="CM176" s="3">
        <f>CL176</f>
        <v>24177</v>
      </c>
      <c r="CN176" s="3">
        <f>CM176</f>
        <v>24177</v>
      </c>
      <c r="CO176" s="3">
        <f>CN176</f>
        <v>24177</v>
      </c>
      <c r="CP176" s="3">
        <f>CO176</f>
        <v>24177</v>
      </c>
      <c r="CQ176" s="3">
        <f>CP176</f>
        <v>24177</v>
      </c>
      <c r="CR176" s="3">
        <f>CQ176</f>
        <v>24177</v>
      </c>
      <c r="CS176" s="3">
        <f>CR176</f>
        <v>24177</v>
      </c>
      <c r="CT176" s="3">
        <f>CS176</f>
        <v>24177</v>
      </c>
      <c r="CU176" s="3">
        <f>CT176</f>
        <v>24177</v>
      </c>
      <c r="CV176" s="3">
        <f>CU176</f>
        <v>24177</v>
      </c>
      <c r="CW176" s="3">
        <f>CV176</f>
        <v>24177</v>
      </c>
      <c r="CX176" s="3">
        <f>CW176</f>
        <v>24177</v>
      </c>
      <c r="CY176" s="3">
        <f>CX176</f>
        <v>24177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0.0361032196969697</v>
      </c>
      <c r="F177" s="47">
        <f>IFERROR((F176-E176)/E176,0)</f>
        <v>0.0335884839483606</v>
      </c>
      <c r="G177" s="47">
        <f>IFERROR((G176-F176)/F176,0)</f>
        <v>0.138277882170885</v>
      </c>
      <c r="H177" s="3" t="n"/>
      <c r="I177" s="47">
        <f>IFERROR((I176-H176)/H176,0)</f>
        <v>0.0364148378325889</v>
      </c>
      <c r="J177" s="47">
        <f>IFERROR((J176-I176)/I176,0)</f>
        <v>0.0388831631218964</v>
      </c>
      <c r="K177" s="47">
        <f>IFERROR((K176-J176)/J176,0)</f>
        <v>0.0439213564213564</v>
      </c>
      <c r="L177" s="47">
        <f>IFERROR((L176-K176)/K176,0)</f>
        <v>0.0673002159827214</v>
      </c>
      <c r="M177" s="3" t="n"/>
      <c r="N177" s="47">
        <f>IFERROR((N176-M176)/M176,0)</f>
        <v>0.0454913388376234</v>
      </c>
      <c r="O177" s="47">
        <f>IFERROR((O176-N176)/N176,0)</f>
        <v>0.0179622174047693</v>
      </c>
      <c r="P177" s="47">
        <f>IFERROR((P176-O176)/O176,0)</f>
        <v>0.015135381807119</v>
      </c>
      <c r="Q177" s="47">
        <f>IFERROR((Q176-P176)/P176,0)</f>
        <v>0.0207537274293849</v>
      </c>
      <c r="R177" s="3" t="n"/>
      <c r="S177" s="47">
        <f>IFERROR((S176-R176)/R176,0)</f>
        <v>0.0187169700528479</v>
      </c>
      <c r="T177" s="47">
        <f>IFERROR((T176-S176)/S176,0)</f>
        <v>0.0336479573456301</v>
      </c>
      <c r="U177" s="47">
        <f>IFERROR((U176-T176)/T176,0)</f>
        <v>0.075909661229611</v>
      </c>
      <c r="V177" s="47">
        <f>IFERROR((V176-U176)/U176,0)</f>
        <v>0.0623906705539359</v>
      </c>
      <c r="W177" s="3" t="n"/>
      <c r="X177" s="47">
        <f>IFERROR((X176-W176)/W176,0)</f>
        <v>0.0593365044517624</v>
      </c>
      <c r="Y177" s="47">
        <f>IFERROR((Y176-X176)/X176,0)</f>
        <v>0.0915318634505786</v>
      </c>
      <c r="Z177" s="47">
        <f>IFERROR((Z176-Y176)/Y176,0)</f>
        <v>0.0826433204999736</v>
      </c>
      <c r="AA177" s="47">
        <f>IFERROR((AA176-Z176)/Z176,0)</f>
        <v>0.111457521434139</v>
      </c>
      <c r="AB177" s="3" t="n"/>
      <c r="AC177" s="47">
        <f>IFERROR((AC176-AB176)/AB176,0)</f>
        <v>0.0727121318373072</v>
      </c>
      <c r="AD177" s="47">
        <f>IFERROR((AD176-AC176)/AC176,0)</f>
        <v>0.0142185903983657</v>
      </c>
      <c r="AE177" s="47">
        <f>IFERROR((AE176-AD176)/AD176,0)</f>
        <v>-0.00128912701929662</v>
      </c>
      <c r="AF177" s="218">
        <f>IFERROR((AF176-AE176)/AE176,0)</f>
        <v>0.0125852123754588</v>
      </c>
      <c r="AG177" s="3" t="n"/>
      <c r="AH177" s="218">
        <f>IFERROR((AH176-AG176)/AG176,0)</f>
        <v>-0.0278851133330678</v>
      </c>
      <c r="AI177" s="218">
        <f>IFERROR((AI176-AH176)/AH176,0)</f>
        <v>-0.00926115641519485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>
        <f>INDEX('Inputs (2)'!$D$24:$AL$24,MATCH(D$7,'Inputs (2)'!$D$2:$AL$2,0))</f>
        <v>42064</v>
      </c>
      <c r="E179" s="25">
        <f>INDEX('Inputs (2)'!$D$24:$AL$24,MATCH(E$7,'Inputs (2)'!$D$2:$AL$2,0))</f>
        <v>43351</v>
      </c>
      <c r="F179" s="25">
        <f>INDEX('Inputs (2)'!$D$24:$AL$24,MATCH(F$7,'Inputs (2)'!$D$2:$AL$2,0))</f>
        <v>43890</v>
      </c>
      <c r="G179" s="25">
        <f>INDEX('Inputs (2)'!$D$24:$AL$24,MATCH(G$7,'Inputs (2)'!$D$2:$AL$2,0))</f>
        <v>44219</v>
      </c>
      <c r="H179" s="3">
        <f>G179</f>
        <v>44219</v>
      </c>
      <c r="I179" s="25">
        <f>INDEX('Inputs (2)'!$D$24:$AL$24,MATCH(I$7,'Inputs (2)'!$D$2:$AL$2,0))</f>
        <v>49698</v>
      </c>
      <c r="J179" s="25">
        <f>INDEX('Inputs (2)'!$D$24:$AL$24,MATCH(J$7,'Inputs (2)'!$D$2:$AL$2,0))</f>
        <v>49711</v>
      </c>
      <c r="K179" s="25">
        <f>INDEX('Inputs (2)'!$D$24:$AL$24,MATCH(K$7,'Inputs (2)'!$D$2:$AL$2,0))</f>
        <v>50455</v>
      </c>
      <c r="L179" s="25">
        <f>INDEX('Inputs (2)'!$D$24:$AL$24,MATCH(L$7,'Inputs (2)'!$D$2:$AL$2,0))</f>
        <v>50921</v>
      </c>
      <c r="M179" s="3">
        <f>L179</f>
        <v>50921</v>
      </c>
      <c r="N179" s="25">
        <f>INDEX('Inputs (2)'!$D$24:$AL$24,MATCH(N$7,'Inputs (2)'!$D$2:$AL$2,0))</f>
        <v>67371</v>
      </c>
      <c r="O179" s="25">
        <f>INDEX('Inputs (2)'!$D$24:$AL$24,MATCH(O$7,'Inputs (2)'!$D$2:$AL$2,0))</f>
        <v>67524</v>
      </c>
      <c r="P179" s="25">
        <f>INDEX('Inputs (2)'!$D$24:$AL$24,MATCH(P$7,'Inputs (2)'!$D$2:$AL$2,0))</f>
        <v>67459</v>
      </c>
      <c r="Q179" s="25">
        <f>INDEX('Inputs (2)'!$D$24:$AL$24,MATCH(Q$7,'Inputs (2)'!$D$2:$AL$2,0))</f>
        <v>67905</v>
      </c>
      <c r="R179" s="3">
        <f>Q179</f>
        <v>67905</v>
      </c>
      <c r="S179" s="25">
        <f>INDEX('Inputs (2)'!$D$24:$AL$24,MATCH(S$7,'Inputs (2)'!$D$2:$AL$2,0))</f>
        <v>67940</v>
      </c>
      <c r="T179" s="25">
        <f>INDEX('Inputs (2)'!$D$24:$AL$24,MATCH(T$7,'Inputs (2)'!$D$2:$AL$2,0))</f>
        <v>67886</v>
      </c>
      <c r="U179" s="25">
        <f>INDEX('Inputs (2)'!$D$24:$AL$24,MATCH(U$7,'Inputs (2)'!$D$2:$AL$2,0))</f>
        <v>67790</v>
      </c>
      <c r="V179" s="25">
        <f>INDEX('Inputs (2)'!$D$24:$AL$24,MATCH(V$7,'Inputs (2)'!$D$2:$AL$2,0))</f>
        <v>118931</v>
      </c>
      <c r="W179" s="3">
        <f>V179</f>
        <v>118931</v>
      </c>
      <c r="X179" s="25">
        <f>INDEX('Inputs (2)'!$D$24:$AL$24,MATCH(X$7,'Inputs (2)'!$D$2:$AL$2,0))</f>
        <v>119163</v>
      </c>
      <c r="Y179" s="25">
        <f>INDEX('Inputs (2)'!$D$24:$AL$24,MATCH(Y$7,'Inputs (2)'!$D$2:$AL$2,0))</f>
        <v>119220</v>
      </c>
      <c r="Z179" s="25">
        <f>INDEX('Inputs (2)'!$D$24:$AL$24,MATCH(Z$7,'Inputs (2)'!$D$2:$AL$2,0))</f>
        <v>119374</v>
      </c>
      <c r="AA179" s="25">
        <f>INDEX('Inputs (2)'!$D$24:$AL$24,MATCH(AA$7,'Inputs (2)'!$D$2:$AL$2,0))</f>
        <v>119191</v>
      </c>
      <c r="AB179" s="3">
        <f>AA179</f>
        <v>119191</v>
      </c>
      <c r="AC179" s="25">
        <f>INDEX('Inputs (2)'!$D$24:$AL$24,MATCH(AC$7,'Inputs (2)'!$D$2:$AL$2,0))</f>
        <v>119329</v>
      </c>
      <c r="AD179" s="25">
        <f>INDEX('Inputs (2)'!$D$24:$AL$24,MATCH(AD$7,'Inputs (2)'!$D$2:$AL$2,0))</f>
        <v>119509</v>
      </c>
      <c r="AE179" s="25">
        <f>INDEX('Inputs (2)'!$D$24:$AL$24,MATCH(AE$7,'Inputs (2)'!$D$2:$AL$2,0))</f>
        <v>119497</v>
      </c>
      <c r="AF179" s="25">
        <f>INDEX('Inputs (2)'!$D$24:$AL$24,MATCH(AF$7,'Inputs (2)'!$D$2:$AL$2,0))</f>
        <v>119622</v>
      </c>
      <c r="AG179" s="3">
        <f>AF179</f>
        <v>119622</v>
      </c>
      <c r="AH179" s="3">
        <f>INDEX('Inputs (2)'!$D$24:$AL$24,MATCH(AH$7,'Inputs (2)'!$D$2:$AL$2,0))</f>
        <v>119661</v>
      </c>
      <c r="AI179" s="3">
        <f>INDEX('Inputs (2)'!$D$24:$AL$24,MATCH(AI$7,'Inputs (2)'!$D$2:$AL$2,0))</f>
        <v>119651</v>
      </c>
      <c r="AJ179" s="3">
        <f>AI179</f>
        <v>119651</v>
      </c>
      <c r="AK179" s="3">
        <f>AJ179</f>
        <v>119651</v>
      </c>
      <c r="AL179" s="3">
        <f>AK179</f>
        <v>119651</v>
      </c>
      <c r="AM179" s="3">
        <f>AL179</f>
        <v>119651</v>
      </c>
      <c r="AN179" s="3">
        <f>AM179</f>
        <v>119651</v>
      </c>
      <c r="AO179" s="3">
        <f>AN179</f>
        <v>119651</v>
      </c>
      <c r="AP179" s="3">
        <f>AO179</f>
        <v>119651</v>
      </c>
      <c r="AQ179" s="3">
        <f>AP179</f>
        <v>119651</v>
      </c>
      <c r="AR179" s="3">
        <f>AQ179</f>
        <v>119651</v>
      </c>
      <c r="AS179" s="3">
        <f>AR179</f>
        <v>119651</v>
      </c>
      <c r="AT179" s="3">
        <f>AS179</f>
        <v>119651</v>
      </c>
      <c r="AU179" s="3">
        <f>AT179</f>
        <v>119651</v>
      </c>
      <c r="AV179" s="3">
        <f>AU179</f>
        <v>119651</v>
      </c>
      <c r="AW179" s="3">
        <f>AV179</f>
        <v>119651</v>
      </c>
      <c r="AX179" s="3">
        <f>AW179</f>
        <v>119651</v>
      </c>
      <c r="AY179" s="3">
        <f>AX179</f>
        <v>119651</v>
      </c>
      <c r="AZ179" s="3">
        <f>AY179</f>
        <v>119651</v>
      </c>
      <c r="BA179" s="3">
        <f>AZ179</f>
        <v>119651</v>
      </c>
      <c r="BB179" s="3">
        <f>BA179</f>
        <v>119651</v>
      </c>
      <c r="BC179" s="3">
        <f>BB179</f>
        <v>119651</v>
      </c>
      <c r="BD179" s="3">
        <f>BC179</f>
        <v>119651</v>
      </c>
      <c r="BE179" s="3">
        <f>BD179</f>
        <v>119651</v>
      </c>
      <c r="BF179" s="3">
        <f>BE179</f>
        <v>119651</v>
      </c>
      <c r="BG179" s="3">
        <f>BF179</f>
        <v>119651</v>
      </c>
      <c r="BH179" s="3">
        <f>BG179</f>
        <v>119651</v>
      </c>
      <c r="BI179" s="3">
        <f>BH179</f>
        <v>119651</v>
      </c>
      <c r="BJ179" s="3">
        <f>BI179</f>
        <v>119651</v>
      </c>
      <c r="BK179" s="3">
        <f>BJ179</f>
        <v>119651</v>
      </c>
      <c r="BL179" s="3">
        <f>BK179</f>
        <v>119651</v>
      </c>
      <c r="BM179" s="3">
        <f>BL179</f>
        <v>119651</v>
      </c>
      <c r="BN179" s="3">
        <f>BM179</f>
        <v>119651</v>
      </c>
      <c r="BO179" s="3">
        <f>BN179</f>
        <v>119651</v>
      </c>
      <c r="BP179" s="3">
        <f>BO179</f>
        <v>119651</v>
      </c>
      <c r="BQ179" s="3">
        <f>BP179</f>
        <v>119651</v>
      </c>
      <c r="BR179" s="3">
        <f>BQ179</f>
        <v>119651</v>
      </c>
      <c r="BS179" s="3">
        <f>BR179</f>
        <v>119651</v>
      </c>
      <c r="BT179" s="3">
        <f>BS179</f>
        <v>119651</v>
      </c>
      <c r="BU179" s="3">
        <f>BT179</f>
        <v>119651</v>
      </c>
      <c r="BV179" s="3">
        <f>BU179</f>
        <v>119651</v>
      </c>
      <c r="BW179" s="3">
        <f>BV179</f>
        <v>119651</v>
      </c>
      <c r="BX179" s="3">
        <f>BW179</f>
        <v>119651</v>
      </c>
      <c r="BY179" s="3">
        <f>BX179</f>
        <v>119651</v>
      </c>
      <c r="BZ179" s="3">
        <f>BY179</f>
        <v>119651</v>
      </c>
      <c r="CA179" s="3">
        <f>BZ179</f>
        <v>119651</v>
      </c>
      <c r="CB179" s="3">
        <f>CA179</f>
        <v>119651</v>
      </c>
      <c r="CC179" s="3">
        <f>CB179</f>
        <v>119651</v>
      </c>
      <c r="CD179" s="3">
        <f>CC179</f>
        <v>119651</v>
      </c>
      <c r="CE179" s="3">
        <f>CD179</f>
        <v>119651</v>
      </c>
      <c r="CF179" s="3">
        <f>CE179</f>
        <v>119651</v>
      </c>
      <c r="CG179" s="3">
        <f>CF179</f>
        <v>119651</v>
      </c>
      <c r="CH179" s="3">
        <f>CG179</f>
        <v>119651</v>
      </c>
      <c r="CI179" s="3">
        <f>CH179</f>
        <v>119651</v>
      </c>
      <c r="CJ179" s="3">
        <f>CI179</f>
        <v>119651</v>
      </c>
      <c r="CK179" s="3">
        <f>CJ179</f>
        <v>119651</v>
      </c>
      <c r="CL179" s="3">
        <f>CK179</f>
        <v>119651</v>
      </c>
      <c r="CM179" s="3">
        <f>CL179</f>
        <v>119651</v>
      </c>
      <c r="CN179" s="3">
        <f>CM179</f>
        <v>119651</v>
      </c>
      <c r="CO179" s="3">
        <f>CN179</f>
        <v>119651</v>
      </c>
      <c r="CP179" s="3">
        <f>CO179</f>
        <v>119651</v>
      </c>
      <c r="CQ179" s="3">
        <f>CP179</f>
        <v>119651</v>
      </c>
      <c r="CR179" s="3">
        <f>CQ179</f>
        <v>119651</v>
      </c>
      <c r="CS179" s="3">
        <f>CR179</f>
        <v>119651</v>
      </c>
      <c r="CT179" s="3">
        <f>CS179</f>
        <v>119651</v>
      </c>
      <c r="CU179" s="3">
        <f>CT179</f>
        <v>119651</v>
      </c>
      <c r="CV179" s="3">
        <f>CU179</f>
        <v>119651</v>
      </c>
      <c r="CW179" s="3">
        <f>CV179</f>
        <v>119651</v>
      </c>
      <c r="CX179" s="3">
        <f>CW179</f>
        <v>119651</v>
      </c>
      <c r="CY179" s="3">
        <f>CX179</f>
        <v>119651</v>
      </c>
    </row>
    <row r="180">
      <c r="C180" s="26" t="inlineStr">
        <is>
          <t>Intangibles</t>
        </is>
      </c>
      <c r="D180" s="25">
        <f>INDEX('Inputs (2)'!$D$25:$AL$25,MATCH(D$7,'Inputs (2)'!$D$2:$AL$2,0))</f>
        <v>6855</v>
      </c>
      <c r="E180" s="25">
        <f>INDEX('Inputs (2)'!$D$25:$AL$25,MATCH(E$7,'Inputs (2)'!$D$2:$AL$2,0))</f>
        <v>7038</v>
      </c>
      <c r="F180" s="25">
        <f>INDEX('Inputs (2)'!$D$25:$AL$25,MATCH(F$7,'Inputs (2)'!$D$2:$AL$2,0))</f>
        <v>6923</v>
      </c>
      <c r="G180" s="25">
        <f>INDEX('Inputs (2)'!$D$25:$AL$25,MATCH(G$7,'Inputs (2)'!$D$2:$AL$2,0))</f>
        <v>6555</v>
      </c>
      <c r="H180" s="3">
        <f>G180</f>
        <v>6555</v>
      </c>
      <c r="I180" s="25">
        <f>INDEX('Inputs (2)'!$D$25:$AL$25,MATCH(I$7,'Inputs (2)'!$D$2:$AL$2,0))</f>
        <v>8127</v>
      </c>
      <c r="J180" s="25">
        <f>INDEX('Inputs (2)'!$D$25:$AL$25,MATCH(J$7,'Inputs (2)'!$D$2:$AL$2,0))</f>
        <v>7800</v>
      </c>
      <c r="K180" s="25">
        <f>INDEX('Inputs (2)'!$D$25:$AL$25,MATCH(K$7,'Inputs (2)'!$D$2:$AL$2,0))</f>
        <v>7794</v>
      </c>
      <c r="L180" s="25">
        <f>INDEX('Inputs (2)'!$D$25:$AL$25,MATCH(L$7,'Inputs (2)'!$D$2:$AL$2,0))</f>
        <v>7462</v>
      </c>
      <c r="M180" s="3">
        <f>L180</f>
        <v>7462</v>
      </c>
      <c r="N180" s="25">
        <f>INDEX('Inputs (2)'!$D$25:$AL$25,MATCH(N$7,'Inputs (2)'!$D$2:$AL$2,0))</f>
        <v>11348</v>
      </c>
      <c r="O180" s="25">
        <f>INDEX('Inputs (2)'!$D$25:$AL$25,MATCH(O$7,'Inputs (2)'!$D$2:$AL$2,0))</f>
        <v>11298</v>
      </c>
      <c r="P180" s="25">
        <f>INDEX('Inputs (2)'!$D$25:$AL$25,MATCH(P$7,'Inputs (2)'!$D$2:$AL$2,0))</f>
        <v>10808</v>
      </c>
      <c r="Q180" s="25">
        <f>INDEX('Inputs (2)'!$D$25:$AL$25,MATCH(Q$7,'Inputs (2)'!$D$2:$AL$2,0))</f>
        <v>10354</v>
      </c>
      <c r="R180" s="3">
        <f>Q180</f>
        <v>10354</v>
      </c>
      <c r="S180" s="25">
        <f>INDEX('Inputs (2)'!$D$25:$AL$25,MATCH(S$7,'Inputs (2)'!$D$2:$AL$2,0))</f>
        <v>9879</v>
      </c>
      <c r="T180" s="25">
        <f>INDEX('Inputs (2)'!$D$25:$AL$25,MATCH(T$7,'Inputs (2)'!$D$2:$AL$2,0))</f>
        <v>9366</v>
      </c>
      <c r="U180" s="25">
        <f>INDEX('Inputs (2)'!$D$25:$AL$25,MATCH(U$7,'Inputs (2)'!$D$2:$AL$2,0))</f>
        <v>8895</v>
      </c>
      <c r="V180" s="25">
        <f>INDEX('Inputs (2)'!$D$25:$AL$25,MATCH(V$7,'Inputs (2)'!$D$2:$AL$2,0))</f>
        <v>29896</v>
      </c>
      <c r="W180" s="3">
        <f>V180</f>
        <v>29896</v>
      </c>
      <c r="X180" s="25">
        <f>INDEX('Inputs (2)'!$D$25:$AL$25,MATCH(X$7,'Inputs (2)'!$D$2:$AL$2,0))</f>
        <v>28828</v>
      </c>
      <c r="Y180" s="25">
        <f>INDEX('Inputs (2)'!$D$25:$AL$25,MATCH(Y$7,'Inputs (2)'!$D$2:$AL$2,0))</f>
        <v>27597</v>
      </c>
      <c r="Z180" s="25">
        <f>INDEX('Inputs (2)'!$D$25:$AL$25,MATCH(Z$7,'Inputs (2)'!$D$2:$AL$2,0))</f>
        <v>26751</v>
      </c>
      <c r="AA180" s="25">
        <f>INDEX('Inputs (2)'!$D$25:$AL$25,MATCH(AA$7,'Inputs (2)'!$D$2:$AL$2,0))</f>
        <v>25385</v>
      </c>
      <c r="AB180" s="3">
        <f>AA180</f>
        <v>25385</v>
      </c>
      <c r="AC180" s="25">
        <f>INDEX('Inputs (2)'!$D$25:$AL$25,MATCH(AC$7,'Inputs (2)'!$D$2:$AL$2,0))</f>
        <v>23968</v>
      </c>
      <c r="AD180" s="25">
        <f>INDEX('Inputs (2)'!$D$25:$AL$25,MATCH(AD$7,'Inputs (2)'!$D$2:$AL$2,0))</f>
        <v>22604</v>
      </c>
      <c r="AE180" s="25">
        <f>INDEX('Inputs (2)'!$D$25:$AL$25,MATCH(AE$7,'Inputs (2)'!$D$2:$AL$2,0))</f>
        <v>21236</v>
      </c>
      <c r="AF180" s="25">
        <f>INDEX('Inputs (2)'!$D$25:$AL$25,MATCH(AF$7,'Inputs (2)'!$D$2:$AL$2,0))</f>
        <v>20289</v>
      </c>
      <c r="AG180" s="3">
        <f>AF180</f>
        <v>20289</v>
      </c>
      <c r="AH180" s="3">
        <f>INDEX('Inputs (2)'!$D$25:$AL$25,MATCH(AH$7,'Inputs (2)'!$D$2:$AL$2,0))</f>
        <v>19325</v>
      </c>
      <c r="AI180" s="3">
        <f>INDEX('Inputs (2)'!$D$25:$AL$25,MATCH(AI$7,'Inputs (2)'!$D$2:$AL$2,0))</f>
        <v>18609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183</v>
      </c>
      <c r="F182" s="3">
        <f>F180-E180-F84</f>
        <v>-115</v>
      </c>
      <c r="G182" s="3">
        <f>G180-F180-G84</f>
        <v>-368</v>
      </c>
      <c r="H182" s="3" t="n"/>
      <c r="I182" s="3">
        <f>I180-H180-I84</f>
        <v>1572</v>
      </c>
      <c r="J182" s="3">
        <f>J180-I180-J84</f>
        <v>-327</v>
      </c>
      <c r="K182" s="3">
        <f>K180-J180-K84</f>
        <v>-6</v>
      </c>
      <c r="L182" s="3">
        <f>L180-K180-L84</f>
        <v>-332</v>
      </c>
      <c r="M182" s="3" t="n"/>
      <c r="N182" s="3">
        <f>N180-M180-N84</f>
        <v>3886</v>
      </c>
      <c r="O182" s="3">
        <f>O180-N180-O84</f>
        <v>-50</v>
      </c>
      <c r="P182" s="3">
        <f>P180-O180-P84</f>
        <v>-490</v>
      </c>
      <c r="Q182" s="3">
        <f>Q180-P180-Q84</f>
        <v>-454</v>
      </c>
      <c r="R182" s="3" t="n"/>
      <c r="S182" s="3">
        <f>S180-R180-S84</f>
        <v>-475</v>
      </c>
      <c r="T182" s="3">
        <f>T180-S180-T84</f>
        <v>-513</v>
      </c>
      <c r="U182" s="3">
        <f>U180-T180-U84</f>
        <v>-471</v>
      </c>
      <c r="V182" s="3">
        <f>V180-U180-V84</f>
        <v>21001</v>
      </c>
      <c r="W182" s="3" t="n"/>
      <c r="X182" s="3">
        <f>X180-W180-X84</f>
        <v>-1068</v>
      </c>
      <c r="Y182" s="3">
        <f>Y180-X180-Y84</f>
        <v>-1231</v>
      </c>
      <c r="Z182" s="3">
        <f>Z180-Y180-Z84</f>
        <v>-846</v>
      </c>
      <c r="AA182" s="3">
        <f>AA180-Z180-AA84</f>
        <v>-1366</v>
      </c>
      <c r="AB182" s="3" t="n"/>
      <c r="AC182" s="3">
        <f>AC180-AB180-AC84</f>
        <v>-1417</v>
      </c>
      <c r="AD182" s="3">
        <f>AD180-AC180-AD84</f>
        <v>-1364</v>
      </c>
      <c r="AE182" s="3">
        <f>AE180-AD180-AE84</f>
        <v>-1368</v>
      </c>
      <c r="AF182" s="3" t="n"/>
      <c r="AG182" s="3" t="n"/>
      <c r="AH182" s="6">
        <f>AH180-AG180-AH84</f>
        <v>-964</v>
      </c>
      <c r="AI182" s="6">
        <f>AI180-AH180-AI84</f>
        <v>-716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7038</v>
      </c>
      <c r="F184" s="3">
        <f>F180</f>
        <v>6923</v>
      </c>
      <c r="G184" s="3">
        <f>G180</f>
        <v>6555</v>
      </c>
      <c r="H184" s="3" t="n"/>
      <c r="I184" s="3">
        <f>I180</f>
        <v>8127</v>
      </c>
      <c r="J184" s="3">
        <f>J180</f>
        <v>7800</v>
      </c>
      <c r="K184" s="3">
        <f>K180</f>
        <v>7794</v>
      </c>
      <c r="L184" s="3">
        <f>L180</f>
        <v>7462</v>
      </c>
      <c r="M184" s="3" t="n"/>
      <c r="N184" s="3">
        <f>N180</f>
        <v>11348</v>
      </c>
      <c r="O184" s="3">
        <f>O180</f>
        <v>11298</v>
      </c>
      <c r="P184" s="3">
        <f>P180</f>
        <v>10808</v>
      </c>
      <c r="Q184" s="3">
        <f>Q180</f>
        <v>10354</v>
      </c>
      <c r="R184" s="3" t="n"/>
      <c r="S184" s="3">
        <f>S180</f>
        <v>9879</v>
      </c>
      <c r="T184" s="3">
        <f>T180</f>
        <v>9366</v>
      </c>
      <c r="U184" s="3">
        <f>U180</f>
        <v>8895</v>
      </c>
      <c r="V184" s="3">
        <f>V180</f>
        <v>29896</v>
      </c>
      <c r="W184" s="3" t="n"/>
      <c r="X184" s="3">
        <f>X180</f>
        <v>28828</v>
      </c>
      <c r="Y184" s="3">
        <f>Y180</f>
        <v>27597</v>
      </c>
      <c r="Z184" s="3">
        <f>Z180</f>
        <v>26751</v>
      </c>
      <c r="AA184" s="3">
        <f>AA180</f>
        <v>25385</v>
      </c>
      <c r="AB184" s="3" t="n"/>
      <c r="AC184" s="3">
        <f>AC180</f>
        <v>23968</v>
      </c>
      <c r="AD184" s="3">
        <f>AD180</f>
        <v>22604</v>
      </c>
      <c r="AE184" s="3">
        <f>AE180</f>
        <v>21236</v>
      </c>
      <c r="AF184" s="3">
        <f>AF180</f>
        <v>20289</v>
      </c>
      <c r="AG184" s="3" t="n"/>
      <c r="AH184" s="3">
        <f>AH180</f>
        <v>19325</v>
      </c>
      <c r="AI184" s="3">
        <f>AI180</f>
        <v>18609</v>
      </c>
      <c r="AJ184" s="3">
        <f>AI184+SUM(AJ182:AJ183)</f>
        <v>18609</v>
      </c>
      <c r="AK184" s="3">
        <f>AJ184+SUM(AK182:AK183)</f>
        <v>18609</v>
      </c>
      <c r="AL184" s="3" t="n"/>
      <c r="AM184" s="3">
        <f>AK184+SUM(AM182:AM183)</f>
        <v>18609</v>
      </c>
      <c r="AN184" s="3">
        <f>AM184+SUM(AN182:AN183)</f>
        <v>18609</v>
      </c>
      <c r="AO184" s="3">
        <f>AN184+SUM(AO182:AO183)</f>
        <v>18609</v>
      </c>
      <c r="AP184" s="3">
        <f>AO184+SUM(AP182:AP183)</f>
        <v>18609</v>
      </c>
      <c r="AQ184" s="3" t="n"/>
      <c r="AR184" s="3">
        <f>AP184+SUM(AR182:AR183)</f>
        <v>18609</v>
      </c>
      <c r="AS184" s="3">
        <f>AR184+SUM(AS182:AS183)</f>
        <v>18609</v>
      </c>
      <c r="AT184" s="3">
        <f>AS184+SUM(AT182:AT183)</f>
        <v>18609</v>
      </c>
      <c r="AU184" s="3">
        <f>AT184+SUM(AU182:AU183)</f>
        <v>18609</v>
      </c>
      <c r="AV184" s="3" t="n"/>
      <c r="AW184" s="3">
        <f>AU184+SUM(AW182:AW183)</f>
        <v>18609</v>
      </c>
      <c r="AX184" s="3">
        <f>AW184+SUM(AX182:AX183)</f>
        <v>18609</v>
      </c>
      <c r="AY184" s="3">
        <f>AX184+SUM(AY182:AY183)</f>
        <v>18609</v>
      </c>
      <c r="AZ184" s="3">
        <f>AY184+SUM(AZ182:AZ183)</f>
        <v>18609</v>
      </c>
      <c r="BA184" s="3" t="n"/>
      <c r="BB184" s="3">
        <f>AZ184+SUM(BB182:BB183)</f>
        <v>18609</v>
      </c>
      <c r="BC184" s="3">
        <f>BB184+SUM(BC182:BC183)</f>
        <v>18609</v>
      </c>
      <c r="BD184" s="3">
        <f>BC184+SUM(BD182:BD183)</f>
        <v>18609</v>
      </c>
      <c r="BE184" s="3">
        <f>BD184+SUM(BE182:BE183)</f>
        <v>18609</v>
      </c>
      <c r="BF184" s="3" t="n"/>
      <c r="BG184" s="3">
        <f>BE184+SUM(BG182:BG183)</f>
        <v>18609</v>
      </c>
      <c r="BH184" s="3">
        <f>BG184+SUM(BH182:BH183)</f>
        <v>18609</v>
      </c>
      <c r="BI184" s="3">
        <f>BH184+SUM(BI182:BI183)</f>
        <v>18609</v>
      </c>
      <c r="BJ184" s="3">
        <f>BI184+SUM(BJ182:BJ183)</f>
        <v>18609</v>
      </c>
      <c r="BK184" s="3" t="n"/>
      <c r="BL184" s="3">
        <f>BJ184+SUM(BL182:BL183)</f>
        <v>18609</v>
      </c>
      <c r="BM184" s="3">
        <f>BL184+SUM(BM182:BM183)</f>
        <v>18609</v>
      </c>
      <c r="BN184" s="3">
        <f>BM184+SUM(BN182:BN183)</f>
        <v>18609</v>
      </c>
      <c r="BO184" s="3">
        <f>BN184+SUM(BO182:BO183)</f>
        <v>18609</v>
      </c>
      <c r="BP184" s="3" t="n"/>
      <c r="BQ184" s="3">
        <f>BO184+SUM(BQ182:BQ183)</f>
        <v>18609</v>
      </c>
      <c r="BR184" s="3">
        <f>BQ184+SUM(BR182:BR183)</f>
        <v>18609</v>
      </c>
      <c r="BS184" s="3">
        <f>BR184+SUM(BS182:BS183)</f>
        <v>18609</v>
      </c>
      <c r="BT184" s="3">
        <f>BS184+SUM(BT182:BT183)</f>
        <v>18609</v>
      </c>
      <c r="BU184" s="3" t="n"/>
      <c r="BV184" s="3">
        <f>BT184+SUM(BV182:BV183)</f>
        <v>18609</v>
      </c>
      <c r="BW184" s="3">
        <f>BV184+SUM(BW182:BW183)</f>
        <v>18609</v>
      </c>
      <c r="BX184" s="3">
        <f>BW184+SUM(BX182:BX183)</f>
        <v>18609</v>
      </c>
      <c r="BY184" s="3">
        <f>BX184+SUM(BY182:BY183)</f>
        <v>18609</v>
      </c>
      <c r="BZ184" s="3" t="n"/>
      <c r="CA184" s="3">
        <f>BY184+SUM(CA182:CA183)</f>
        <v>18609</v>
      </c>
      <c r="CB184" s="3">
        <f>CA184+SUM(CB182:CB183)</f>
        <v>18609</v>
      </c>
      <c r="CC184" s="3">
        <f>CB184+SUM(CC182:CC183)</f>
        <v>18609</v>
      </c>
      <c r="CD184" s="3">
        <f>CC184+SUM(CD182:CD183)</f>
        <v>18609</v>
      </c>
      <c r="CE184" s="3" t="n"/>
      <c r="CF184" s="3">
        <f>CD184+SUM(CF182:CF183)</f>
        <v>18609</v>
      </c>
      <c r="CG184" s="3">
        <f>CF184+SUM(CG182:CG183)</f>
        <v>18609</v>
      </c>
      <c r="CH184" s="3">
        <f>CG184+SUM(CH182:CH183)</f>
        <v>18609</v>
      </c>
      <c r="CI184" s="3">
        <f>CH184+SUM(CI182:CI183)</f>
        <v>18609</v>
      </c>
      <c r="CJ184" s="3" t="n"/>
      <c r="CK184" s="3">
        <f>CI184+SUM(CK182:CK183)</f>
        <v>18609</v>
      </c>
      <c r="CL184" s="3">
        <f>CK184+SUM(CL182:CL183)</f>
        <v>18609</v>
      </c>
      <c r="CM184" s="3">
        <f>CL184+SUM(CM182:CM183)</f>
        <v>18609</v>
      </c>
      <c r="CN184" s="3">
        <f>CM184+SUM(CN182:CN183)</f>
        <v>18609</v>
      </c>
      <c r="CO184" s="3" t="n"/>
      <c r="CP184" s="3">
        <f>CN184+SUM(CP182:CP183)</f>
        <v>18609</v>
      </c>
      <c r="CQ184" s="3">
        <f>CP184+SUM(CQ182:CQ183)</f>
        <v>18609</v>
      </c>
      <c r="CR184" s="3">
        <f>CQ184+SUM(CR182:CR183)</f>
        <v>18609</v>
      </c>
      <c r="CS184" s="3">
        <f>CR184+SUM(CS182:CS183)</f>
        <v>18609</v>
      </c>
      <c r="CT184" s="3" t="n"/>
      <c r="CU184" s="3">
        <f>CS184+SUM(CU182:CU183)</f>
        <v>18609</v>
      </c>
      <c r="CV184" s="3">
        <f>CU184+SUM(CV182:CV183)</f>
        <v>18609</v>
      </c>
      <c r="CW184" s="3">
        <f>CV184+SUM(CW182:CW183)</f>
        <v>18609</v>
      </c>
      <c r="CX184" s="3">
        <f>CW184+SUM(CX182:CX183)</f>
        <v>18609</v>
      </c>
      <c r="CY184" s="3" t="n"/>
      <c r="CZ184">
        <f>CX184+SUM(CZ182:CZ183)</f>
        <v>18609</v>
      </c>
      <c r="DA184">
        <f>CZ184+SUM(DA182:DA183)</f>
        <v>18609</v>
      </c>
      <c r="DB184">
        <f>DA184+SUM(DB182:DB183)</f>
        <v>18609</v>
      </c>
      <c r="DC184">
        <f>DB184+SUM(DC182:DC183)</f>
        <v>18609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16356</v>
      </c>
      <c r="E189" s="25">
        <f>INDEX('Inputs (2)'!$D$26:$AL$26,MATCH(E$7,'Inputs (2)'!$D$2:$AL$2,0))</f>
        <v>16103</v>
      </c>
      <c r="F189" s="25">
        <f>INDEX('Inputs (2)'!$D$26:$AL$26,MATCH(F$7,'Inputs (2)'!$D$2:$AL$2,0))</f>
        <v>16137</v>
      </c>
      <c r="G189" s="25">
        <f>INDEX('Inputs (2)'!$D$26:$AL$26,MATCH(G$7,'Inputs (2)'!$D$2:$AL$2,0))</f>
        <v>17355</v>
      </c>
      <c r="H189" s="3">
        <f>G189</f>
        <v>17355</v>
      </c>
      <c r="I189" s="25">
        <f>INDEX('Inputs (2)'!$D$26:$AL$26,MATCH(I$7,'Inputs (2)'!$D$2:$AL$2,0))</f>
        <v>19822</v>
      </c>
      <c r="J189" s="25">
        <f>INDEX('Inputs (2)'!$D$26:$AL$26,MATCH(J$7,'Inputs (2)'!$D$2:$AL$2,0))</f>
        <v>21059</v>
      </c>
      <c r="K189" s="25">
        <f>INDEX('Inputs (2)'!$D$26:$AL$26,MATCH(K$7,'Inputs (2)'!$D$2:$AL$2,0))</f>
        <v>27496</v>
      </c>
      <c r="L189" s="25">
        <f>INDEX('Inputs (2)'!$D$26:$AL$26,MATCH(L$7,'Inputs (2)'!$D$2:$AL$2,0))</f>
        <v>28250</v>
      </c>
      <c r="M189" s="3">
        <f>L189</f>
        <v>28250</v>
      </c>
      <c r="N189" s="25">
        <f>INDEX('Inputs (2)'!$D$26:$AL$26,MATCH(N$7,'Inputs (2)'!$D$2:$AL$2,0))</f>
        <v>28752</v>
      </c>
      <c r="O189" s="25">
        <f>INDEX('Inputs (2)'!$D$26:$AL$26,MATCH(O$7,'Inputs (2)'!$D$2:$AL$2,0))</f>
        <v>28788</v>
      </c>
      <c r="P189" s="25">
        <f>INDEX('Inputs (2)'!$D$26:$AL$26,MATCH(P$7,'Inputs (2)'!$D$2:$AL$2,0))</f>
        <v>30321</v>
      </c>
      <c r="Q189" s="25">
        <f>INDEX('Inputs (2)'!$D$26:$AL$26,MATCH(Q$7,'Inputs (2)'!$D$2:$AL$2,0))</f>
        <v>32091</v>
      </c>
      <c r="R189" s="3">
        <f>Q189</f>
        <v>32091</v>
      </c>
      <c r="S189" s="25">
        <f>INDEX('Inputs (2)'!$D$26:$AL$26,MATCH(S$7,'Inputs (2)'!$D$2:$AL$2,0))</f>
        <v>36369</v>
      </c>
      <c r="T189" s="25">
        <f>INDEX('Inputs (2)'!$D$26:$AL$26,MATCH(T$7,'Inputs (2)'!$D$2:$AL$2,0))</f>
        <v>40480</v>
      </c>
      <c r="U189" s="25">
        <f>INDEX('Inputs (2)'!$D$26:$AL$26,MATCH(U$7,'Inputs (2)'!$D$2:$AL$2,0))</f>
        <v>43577</v>
      </c>
      <c r="V189" s="25">
        <f>INDEX('Inputs (2)'!$D$26:$AL$26,MATCH(V$7,'Inputs (2)'!$D$2:$AL$2,0))</f>
        <v>45632</v>
      </c>
      <c r="W189" s="3">
        <f>V189</f>
        <v>45632</v>
      </c>
      <c r="X189" s="25">
        <f>INDEX('Inputs (2)'!$D$26:$AL$26,MATCH(X$7,'Inputs (2)'!$D$2:$AL$2,0))</f>
        <v>50358</v>
      </c>
      <c r="Y189" s="25">
        <f>INDEX('Inputs (2)'!$D$26:$AL$26,MATCH(Y$7,'Inputs (2)'!$D$2:$AL$2,0))</f>
        <v>51060</v>
      </c>
      <c r="Z189" s="25">
        <f>INDEX('Inputs (2)'!$D$26:$AL$26,MATCH(Z$7,'Inputs (2)'!$D$2:$AL$2,0))</f>
        <v>53571</v>
      </c>
      <c r="AA189" s="25">
        <f>INDEX('Inputs (2)'!$D$26:$AL$26,MATCH(AA$7,'Inputs (2)'!$D$2:$AL$2,0))</f>
        <v>52524</v>
      </c>
      <c r="AB189" s="3">
        <f>AA189</f>
        <v>52524</v>
      </c>
      <c r="AC189" s="25">
        <f>INDEX('Inputs (2)'!$D$26:$AL$26,MATCH(AC$7,'Inputs (2)'!$D$2:$AL$2,0))</f>
        <v>54269</v>
      </c>
      <c r="AD189" s="25">
        <f>INDEX('Inputs (2)'!$D$26:$AL$26,MATCH(AD$7,'Inputs (2)'!$D$2:$AL$2,0))</f>
        <v>55970</v>
      </c>
      <c r="AE189" s="25">
        <f>INDEX('Inputs (2)'!$D$26:$AL$26,MATCH(AE$7,'Inputs (2)'!$D$2:$AL$2,0))</f>
        <v>50900</v>
      </c>
      <c r="AF189" s="25">
        <f>INDEX('Inputs (2)'!$D$26:$AL$26,MATCH(AF$7,'Inputs (2)'!$D$2:$AL$2,0))</f>
        <v>58972</v>
      </c>
      <c r="AG189" s="3">
        <f>AF189</f>
        <v>58972</v>
      </c>
      <c r="AH189" s="3">
        <f>INDEX('Inputs (2)'!$D$26:$AL$26,MATCH(AH$7,'Inputs (2)'!$D$2:$AL$2,0))</f>
        <v>72282</v>
      </c>
      <c r="AI189" s="3">
        <f>INDEX('Inputs (2)'!$D$26:$AL$26,MATCH(AI$7,'Inputs (2)'!$D$2:$AL$2,0))</f>
        <v>75153</v>
      </c>
      <c r="AJ189" s="3">
        <f>AI189</f>
        <v>75153</v>
      </c>
      <c r="AK189" s="3">
        <f>AJ189</f>
        <v>75153</v>
      </c>
      <c r="AL189" s="3">
        <f>AK189</f>
        <v>75153</v>
      </c>
      <c r="AM189" s="3">
        <f>AL189</f>
        <v>75153</v>
      </c>
      <c r="AN189" s="3">
        <f>AM189</f>
        <v>75153</v>
      </c>
      <c r="AO189" s="3">
        <f>AN189</f>
        <v>75153</v>
      </c>
      <c r="AP189" s="3">
        <f>AO189</f>
        <v>75153</v>
      </c>
      <c r="AQ189" s="3">
        <f>AP189</f>
        <v>75153</v>
      </c>
      <c r="AR189" s="3">
        <f>AQ189</f>
        <v>75153</v>
      </c>
      <c r="AS189" s="3">
        <f>AR189</f>
        <v>75153</v>
      </c>
      <c r="AT189" s="3">
        <f>AS189</f>
        <v>75153</v>
      </c>
      <c r="AU189" s="3">
        <f>AT189</f>
        <v>75153</v>
      </c>
      <c r="AV189" s="3">
        <f>AU189</f>
        <v>75153</v>
      </c>
      <c r="AW189" s="3">
        <f>AV189</f>
        <v>75153</v>
      </c>
      <c r="AX189" s="3">
        <f>AW189</f>
        <v>75153</v>
      </c>
      <c r="AY189" s="3">
        <f>AX189</f>
        <v>75153</v>
      </c>
      <c r="AZ189" s="3">
        <f>AY189</f>
        <v>75153</v>
      </c>
      <c r="BA189" s="3">
        <f>AZ189</f>
        <v>75153</v>
      </c>
      <c r="BB189" s="3">
        <f>BA189</f>
        <v>75153</v>
      </c>
      <c r="BC189" s="3">
        <f>BB189</f>
        <v>75153</v>
      </c>
      <c r="BD189" s="3">
        <f>BC189</f>
        <v>75153</v>
      </c>
      <c r="BE189" s="3">
        <f>BD189</f>
        <v>75153</v>
      </c>
      <c r="BF189" s="3">
        <f>BE189</f>
        <v>75153</v>
      </c>
      <c r="BG189" s="3">
        <f>BF189</f>
        <v>75153</v>
      </c>
      <c r="BH189" s="3">
        <f>BG189</f>
        <v>75153</v>
      </c>
      <c r="BI189" s="3">
        <f>BH189</f>
        <v>75153</v>
      </c>
      <c r="BJ189" s="3">
        <f>BI189</f>
        <v>75153</v>
      </c>
      <c r="BK189" s="3">
        <f>BJ189</f>
        <v>75153</v>
      </c>
      <c r="BL189" s="3">
        <f>BK189</f>
        <v>75153</v>
      </c>
      <c r="BM189" s="3">
        <f>BL189</f>
        <v>75153</v>
      </c>
      <c r="BN189" s="3">
        <f>BM189</f>
        <v>75153</v>
      </c>
      <c r="BO189" s="3">
        <f>BN189</f>
        <v>75153</v>
      </c>
      <c r="BP189" s="3">
        <f>BO189</f>
        <v>75153</v>
      </c>
      <c r="BQ189" s="3">
        <f>BP189</f>
        <v>75153</v>
      </c>
      <c r="BR189" s="3">
        <f>BQ189</f>
        <v>75153</v>
      </c>
      <c r="BS189" s="3">
        <f>BR189</f>
        <v>75153</v>
      </c>
      <c r="BT189" s="3">
        <f>BS189</f>
        <v>75153</v>
      </c>
      <c r="BU189" s="3">
        <f>BT189</f>
        <v>75153</v>
      </c>
      <c r="BV189" s="3">
        <f>BU189</f>
        <v>75153</v>
      </c>
      <c r="BW189" s="3">
        <f>BV189</f>
        <v>75153</v>
      </c>
      <c r="BX189" s="3">
        <f>BW189</f>
        <v>75153</v>
      </c>
      <c r="BY189" s="3">
        <f>BX189</f>
        <v>75153</v>
      </c>
      <c r="BZ189" s="3">
        <f>BY189</f>
        <v>75153</v>
      </c>
      <c r="CA189" s="3">
        <f>BZ189</f>
        <v>75153</v>
      </c>
      <c r="CB189" s="3">
        <f>CA189</f>
        <v>75153</v>
      </c>
      <c r="CC189" s="3">
        <f>CB189</f>
        <v>75153</v>
      </c>
      <c r="CD189" s="3">
        <f>CC189</f>
        <v>75153</v>
      </c>
      <c r="CE189" s="3">
        <f>CD189</f>
        <v>75153</v>
      </c>
      <c r="CF189" s="3">
        <f>CE189</f>
        <v>75153</v>
      </c>
      <c r="CG189" s="3">
        <f>CF189</f>
        <v>75153</v>
      </c>
      <c r="CH189" s="3">
        <f>CG189</f>
        <v>75153</v>
      </c>
      <c r="CI189" s="3">
        <f>CH189</f>
        <v>75153</v>
      </c>
      <c r="CJ189" s="3">
        <f>CI189</f>
        <v>75153</v>
      </c>
      <c r="CK189" s="3">
        <f>CJ189</f>
        <v>75153</v>
      </c>
      <c r="CL189" s="3">
        <f>CK189</f>
        <v>75153</v>
      </c>
      <c r="CM189" s="3">
        <f>CL189</f>
        <v>75153</v>
      </c>
      <c r="CN189" s="3">
        <f>CM189</f>
        <v>75153</v>
      </c>
      <c r="CO189" s="3">
        <f>CN189</f>
        <v>75153</v>
      </c>
      <c r="CP189" s="3">
        <f>CO189</f>
        <v>75153</v>
      </c>
      <c r="CQ189" s="3">
        <f>CP189</f>
        <v>75153</v>
      </c>
      <c r="CR189" s="3">
        <f>CQ189</f>
        <v>75153</v>
      </c>
      <c r="CS189" s="3">
        <f>CR189</f>
        <v>75153</v>
      </c>
      <c r="CT189" s="3">
        <f>CS189</f>
        <v>75153</v>
      </c>
      <c r="CU189" s="3">
        <f>CT189</f>
        <v>75153</v>
      </c>
      <c r="CV189" s="3">
        <f>CU189</f>
        <v>75153</v>
      </c>
      <c r="CW189" s="3">
        <f>CV189</f>
        <v>75153</v>
      </c>
      <c r="CX189" s="3">
        <f>CW189</f>
        <v>75153</v>
      </c>
      <c r="CY189" s="3">
        <f>CX189</f>
        <v>75153</v>
      </c>
    </row>
    <row r="190" hidden="1" outlineLevel="1">
      <c r="C190" s="38" t="inlineStr">
        <is>
          <t>%(Var.)</t>
        </is>
      </c>
      <c r="D190" s="3" t="n"/>
      <c r="E190" s="47">
        <f>(E189-D189)/D189</f>
        <v>-0.0154683296649548</v>
      </c>
      <c r="F190" s="47">
        <f>(F189-E189)/E189</f>
        <v>0.00211140781220891</v>
      </c>
      <c r="G190" s="47">
        <f>(G189-F189)/F189</f>
        <v>0.0754787135155233</v>
      </c>
      <c r="H190" s="3" t="n"/>
      <c r="I190" s="47">
        <f>(I189-H189)/H189</f>
        <v>0.142149236531259</v>
      </c>
      <c r="J190" s="47">
        <f>(J189-I189)/I189</f>
        <v>0.0624054081323782</v>
      </c>
      <c r="K190" s="47">
        <f>(K189-J189)/J189</f>
        <v>0.305665036326511</v>
      </c>
      <c r="L190" s="47">
        <f>(L189-K189)/K189</f>
        <v>0.0274221704975269</v>
      </c>
      <c r="M190" s="3" t="n"/>
      <c r="N190" s="47">
        <f>(N189-M189)/M189</f>
        <v>0.0177699115044248</v>
      </c>
      <c r="O190" s="47">
        <f>(O189-N189)/N189</f>
        <v>0.00125208681135225</v>
      </c>
      <c r="P190" s="47">
        <f>(P189-O189)/O189</f>
        <v>0.053251354731138</v>
      </c>
      <c r="Q190" s="47">
        <f>(Q189-P189)/P189</f>
        <v>0.0583753833976452</v>
      </c>
      <c r="R190" s="3" t="n"/>
      <c r="S190" s="47">
        <f>(S189-R189)/R189</f>
        <v>0.133308404225484</v>
      </c>
      <c r="T190" s="47">
        <f>(T189-S189)/S189</f>
        <v>0.113035827215486</v>
      </c>
      <c r="U190" s="47">
        <f>(U189-T189)/T189</f>
        <v>0.0765069169960474</v>
      </c>
      <c r="V190" s="47">
        <f>(V189-U189)/U189</f>
        <v>0.0471579043991096</v>
      </c>
      <c r="W190" s="3" t="n"/>
      <c r="X190" s="47">
        <f>(X189-W189)/W189</f>
        <v>0.103567671809257</v>
      </c>
      <c r="Y190" s="47">
        <f>(Y189-X189)/X189</f>
        <v>0.0139401882521149</v>
      </c>
      <c r="Z190" s="47">
        <f>(Z189-Y189)/Y189</f>
        <v>0.0491774383078731</v>
      </c>
      <c r="AA190" s="47">
        <f>(AA189-Z189)/Z189</f>
        <v>-0.0195441563532508</v>
      </c>
      <c r="AB190" s="3" t="n"/>
      <c r="AC190" s="47">
        <f>(AC189-AB189)/AB189</f>
        <v>0.0332229076231818</v>
      </c>
      <c r="AD190" s="47">
        <f>(AD189-AC189)/AC189</f>
        <v>0.0313438611361919</v>
      </c>
      <c r="AE190" s="47">
        <f>(AE189-AD189)/AD189</f>
        <v>-0.0905842415579775</v>
      </c>
      <c r="AF190" s="218">
        <f>(AF189-AE189)/AE189</f>
        <v>0.158585461689587</v>
      </c>
      <c r="AG190" s="3" t="n"/>
      <c r="AH190" s="218">
        <f>(AH189-AG189)/AG189</f>
        <v>0.225700332361121</v>
      </c>
      <c r="AI190" s="218">
        <f>(AI189-AH189)/AH189</f>
        <v>0.0397194322237902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285449</v>
      </c>
      <c r="E197" s="16">
        <f>(E144+E145+E149+E153+E154+E155+E161+E166+E176+E179+E180+E189)</f>
        <v>301311</v>
      </c>
      <c r="F197" s="16">
        <f>(F144+F145+F149+F153+F154+F155+F161+F166+F176+F179+F180+F189)</f>
        <v>301001</v>
      </c>
      <c r="G197" s="16">
        <f>(G144+G145+G149+G153+G154+G155+G161+G166+G176+G179+G180+G189)</f>
        <v>304137</v>
      </c>
      <c r="H197" s="16">
        <f>SUM(H144,H145,H149,H153,H154,H155,H161,H176,H179,H180,H189,H166)</f>
        <v>304137</v>
      </c>
      <c r="I197" s="16">
        <f>(I144+I145+I149+I153+I154+I155+I161+I166+I176+I179+I180+I189)</f>
        <v>308879</v>
      </c>
      <c r="J197" s="16">
        <f>(J144+J145+J149+J153+J154+J155+J161+J166+J176+J179+J180+J189)</f>
        <v>333779</v>
      </c>
      <c r="K197" s="16">
        <f>(K144+K145+K149+K153+K154+K155+K161+K166+K176+K179+K180+K189)</f>
        <v>335418</v>
      </c>
      <c r="L197" s="16">
        <f>(L144+L145+L149+L153+L154+L155+L161+L166+L176+L179+L180+L189)</f>
        <v>340389</v>
      </c>
      <c r="M197" s="16">
        <f>SUM(M144,M145,M149,M153,M154,M155,M161,M176,M179,M180,M189,M166)</f>
        <v>340389</v>
      </c>
      <c r="N197" s="16">
        <f>(N144+N145+N149+N153+N154+N155+N161+N166+N176+N179+N180+N189)</f>
        <v>344607</v>
      </c>
      <c r="O197" s="16">
        <f>(O144+O145+O149+O153+O154+O155+O161+O166+O176+O179+O180+O189)</f>
        <v>364840</v>
      </c>
      <c r="P197" s="16">
        <f>(P144+P145+P149+P153+P154+P155+P161+P166+P176+P179+P180+P189)</f>
        <v>359784</v>
      </c>
      <c r="Q197" s="16">
        <f>(Q144+Q145+Q149+Q153+Q154+Q155+Q161+Q166+Q176+Q179+Q180+Q189)</f>
        <v>364552</v>
      </c>
      <c r="R197" s="16">
        <f>SUM(R144,R145,R149,R153,R154,R155,R161,R176,R179,R180,R189,R166)</f>
        <v>364552</v>
      </c>
      <c r="S197" s="16">
        <f>(S144+S145+S149+S153+S154+S155+S161+S166+S176+S179+S180+S189)</f>
        <v>380088</v>
      </c>
      <c r="T197" s="16">
        <f>(T144+T145+T149+T153+T154+T155+T161+T166+T176+T179+T180+T189)</f>
        <v>411976</v>
      </c>
      <c r="U197" s="16">
        <f>(U144+U145+U149+U153+U154+U155+U161+U166+U176+U179+U180+U189)</f>
        <v>445785</v>
      </c>
      <c r="V197" s="16">
        <f>(V144+V145+V149+V153+V154+V155+V161+V166+V176+V179+V180+V189)</f>
        <v>470558</v>
      </c>
      <c r="W197" s="16">
        <f>SUM(W144,W145,W149,W153,W154,W155,W161,W176,W179,W180,W189,W166)</f>
        <v>470558</v>
      </c>
      <c r="X197" s="16">
        <f>(X144+X145+X149+X153+X154+X155+X161+X166+X176+X179+X180+X189)</f>
        <v>484275</v>
      </c>
      <c r="Y197" s="16">
        <f>(Y144+Y145+Y149+Y153+Y154+Y155+Y161+Y166+Y176+Y179+Y180+Y189)</f>
        <v>512163</v>
      </c>
      <c r="Z197" s="16">
        <f>(Z144+Z145+Z149+Z153+Z154+Z155+Z161+Z166+Z176+Z179+Z180+Z189)</f>
        <v>523013</v>
      </c>
      <c r="AA197" s="16">
        <f>(AA144+AA145+AA149+AA153+AA154+AA155+AA161+AA166+AA176+AA179+AA180+AA189)</f>
        <v>533898</v>
      </c>
      <c r="AB197" s="16">
        <f>SUM(AB144,AB145,AB149,AB153,AB154,AB155,AB161,AB176,AB179,AB180,AB189,AB166)</f>
        <v>533898</v>
      </c>
      <c r="AC197" s="16">
        <f>(AC144+AC145+AC149+AC153+AC154+AC155+AC161+AC166+AC176+AC179+AC180+AC189)</f>
        <v>562624</v>
      </c>
      <c r="AD197" s="16">
        <f>(AD144+AD145+AD149+AD153+AD154+AD155+AD161+AD166+AD176+AD179+AD180+AD189)</f>
        <v>619003</v>
      </c>
      <c r="AE197" s="16">
        <f>(AE144+AE145+AE149+AE153+AE154+AE155+AE161+AE166+AE176+AE179+AE180+AE189)</f>
        <v>636351</v>
      </c>
      <c r="AF197" s="16">
        <f>(AF144+AF145+AF149+AF153+AF154+AF155+AF161+AF166+AF176+AF179+AF180+AF189)</f>
        <v>665302</v>
      </c>
      <c r="AG197" s="16">
        <f>SUM(AG144,AG145,AG149,AG153,AG154,AG155,AG161,AG176,AG179,AG180,AG189,AG166)</f>
        <v>665302</v>
      </c>
      <c r="AH197" s="16">
        <f>(AH144+AH145+AH149+AH153+AH154+AH155+AH161+AH166+AH176+AH179+AH180+AH189)</f>
        <v>694228</v>
      </c>
      <c r="AI197" s="16">
        <f>(AI144+AI145+AI149+AI153+AI154+AI155+AI161+AI166+AI176+AI179+AI180+AI189)</f>
        <v>758376</v>
      </c>
      <c r="AJ197" s="16">
        <f>(AJ144+AJ145+AJ149+AJ153+AJ154+AJ155+AJ161+AJ166+AJ176+AJ179+AJ180+AJ189)</f>
        <v>700201</v>
      </c>
      <c r="AK197" s="16">
        <f>(AK144+AK145+AK149+AK153+AK154+AK155+AK161+AK166+AK176+AK179+AK180+AK189)</f>
        <v>704484</v>
      </c>
      <c r="AL197" s="16">
        <f>SUM(AL144,AL145,AL149,AL153,AL154,AL155,AL161,AL176,AL179,AL180,AL189,AL166)</f>
        <v>704484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9246</v>
      </c>
      <c r="E198" s="25">
        <f>INDEX('Inputs (2)'!$D$28:$AL$28,MATCH(E$7,'Inputs (2)'!$D$2:$AL$2,0))</f>
        <v>12530</v>
      </c>
      <c r="F198" s="25">
        <f>INDEX('Inputs (2)'!$D$28:$AL$28,MATCH(F$7,'Inputs (2)'!$D$2:$AL$2,0))</f>
        <v>12509</v>
      </c>
      <c r="G198" s="25">
        <f>INDEX('Inputs (2)'!$D$28:$AL$28,MATCH(G$7,'Inputs (2)'!$D$2:$AL$2,0))</f>
        <v>12770</v>
      </c>
      <c r="H198" s="3">
        <f>G198</f>
        <v>12770</v>
      </c>
      <c r="I198" s="25">
        <f>INDEX('Inputs (2)'!$D$28:$AL$28,MATCH(I$7,'Inputs (2)'!$D$2:$AL$2,0))</f>
        <v>13412</v>
      </c>
      <c r="J198" s="25">
        <f>INDEX('Inputs (2)'!$D$28:$AL$28,MATCH(J$7,'Inputs (2)'!$D$2:$AL$2,0))</f>
        <v>15163</v>
      </c>
      <c r="K198" s="25">
        <f>INDEX('Inputs (2)'!$D$28:$AL$28,MATCH(K$7,'Inputs (2)'!$D$2:$AL$2,0))</f>
        <v>14832</v>
      </c>
      <c r="L198" s="25">
        <f>INDEX('Inputs (2)'!$D$28:$AL$28,MATCH(L$7,'Inputs (2)'!$D$2:$AL$2,0))</f>
        <v>15314</v>
      </c>
      <c r="M198" s="3">
        <f>L198</f>
        <v>15314</v>
      </c>
      <c r="N198" s="25">
        <f>INDEX('Inputs (2)'!$D$28:$AL$28,MATCH(N$7,'Inputs (2)'!$D$2:$AL$2,0))</f>
        <v>16085</v>
      </c>
      <c r="O198" s="25">
        <f>INDEX('Inputs (2)'!$D$28:$AL$28,MATCH(O$7,'Inputs (2)'!$D$2:$AL$2,0))</f>
        <v>19000</v>
      </c>
      <c r="P198" s="25">
        <f>INDEX('Inputs (2)'!$D$28:$AL$28,MATCH(P$7,'Inputs (2)'!$D$2:$AL$2,0))</f>
        <v>16609</v>
      </c>
      <c r="Q198" s="25">
        <f>INDEX('Inputs (2)'!$D$28:$AL$28,MATCH(Q$7,'Inputs (2)'!$D$2:$AL$2,0))</f>
        <v>15354</v>
      </c>
      <c r="R198" s="3">
        <f>Q198</f>
        <v>15354</v>
      </c>
      <c r="S198" s="25">
        <f>INDEX('Inputs (2)'!$D$28:$AL$28,MATCH(S$7,'Inputs (2)'!$D$2:$AL$2,0))</f>
        <v>15305</v>
      </c>
      <c r="T198" s="25">
        <f>INDEX('Inputs (2)'!$D$28:$AL$28,MATCH(T$7,'Inputs (2)'!$D$2:$AL$2,0))</f>
        <v>18095</v>
      </c>
      <c r="U198" s="25">
        <f>INDEX('Inputs (2)'!$D$28:$AL$28,MATCH(U$7,'Inputs (2)'!$D$2:$AL$2,0))</f>
        <v>19307</v>
      </c>
      <c r="V198" s="25">
        <f>INDEX('Inputs (2)'!$D$28:$AL$28,MATCH(V$7,'Inputs (2)'!$D$2:$AL$2,0))</f>
        <v>17695</v>
      </c>
      <c r="W198" s="3">
        <f>V198</f>
        <v>17695</v>
      </c>
      <c r="X198" s="25">
        <f>INDEX('Inputs (2)'!$D$28:$AL$28,MATCH(X$7,'Inputs (2)'!$D$2:$AL$2,0))</f>
        <v>18087</v>
      </c>
      <c r="Y198" s="25">
        <f>INDEX('Inputs (2)'!$D$28:$AL$28,MATCH(Y$7,'Inputs (2)'!$D$2:$AL$2,0))</f>
        <v>21996</v>
      </c>
      <c r="Z198" s="25">
        <f>INDEX('Inputs (2)'!$D$28:$AL$28,MATCH(Z$7,'Inputs (2)'!$D$2:$AL$2,0))</f>
        <v>22768</v>
      </c>
      <c r="AA198" s="25">
        <f>INDEX('Inputs (2)'!$D$28:$AL$28,MATCH(AA$7,'Inputs (2)'!$D$2:$AL$2,0))</f>
        <v>22608</v>
      </c>
      <c r="AB198" s="3">
        <f>AA198</f>
        <v>22608</v>
      </c>
      <c r="AC198" s="25">
        <f>INDEX('Inputs (2)'!$D$28:$AL$28,MATCH(AC$7,'Inputs (2)'!$D$2:$AL$2,0))</f>
        <v>26250</v>
      </c>
      <c r="AD198" s="25">
        <f>INDEX('Inputs (2)'!$D$28:$AL$28,MATCH(AD$7,'Inputs (2)'!$D$2:$AL$2,0))</f>
        <v>27724</v>
      </c>
      <c r="AE198" s="25">
        <f>INDEX('Inputs (2)'!$D$28:$AL$28,MATCH(AE$7,'Inputs (2)'!$D$2:$AL$2,0))</f>
        <v>32580</v>
      </c>
      <c r="AF198" s="25">
        <f>INDEX('Inputs (2)'!$D$28:$AL$28,MATCH(AF$7,'Inputs (2)'!$D$2:$AL$2,0))</f>
        <v>37328</v>
      </c>
      <c r="AG198" s="3">
        <f>AF198</f>
        <v>37328</v>
      </c>
      <c r="AH198" s="3">
        <f>INDEX('Inputs (2)'!$D$28:$AL$28,MATCH(AH$7,'Inputs (2)'!$D$2:$AL$2,0))</f>
        <v>37513</v>
      </c>
      <c r="AI198" s="3">
        <f>INDEX('Inputs (2)'!$D$28:$AL$28,MATCH(AI$7,'Inputs (2)'!$D$2:$AL$2,0))</f>
        <v>42416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92.4086230650782</v>
      </c>
      <c r="F199" s="3">
        <f>-(F198/F$54)*(F$5-E$5)</f>
        <v>104.601708780222</v>
      </c>
      <c r="G199" s="3">
        <f>-(G198/G$54)*(G$5-F$5)</f>
        <v>82.7701845850359</v>
      </c>
      <c r="H199" s="3" t="n"/>
      <c r="I199" s="3">
        <f>-(I198/I$54)*(I$5-H$5)</f>
        <v>92.5320045994634</v>
      </c>
      <c r="J199" s="3">
        <f>-(J198/J$54)*(J$5-I$5)</f>
        <v>98.6229004359946</v>
      </c>
      <c r="K199" s="3">
        <f>-(K198/K$54)*(K$5-J$5)</f>
        <v>99.9958962333284</v>
      </c>
      <c r="L199" s="3">
        <f>-(L198/L$54)*(L$5-K$5)</f>
        <v>83.0712264150943</v>
      </c>
      <c r="M199" s="3" t="n"/>
      <c r="N199" s="3">
        <f>-(N198/N$54)*(N$5-M$5)</f>
        <v>92.7089337175792</v>
      </c>
      <c r="O199" s="3">
        <f>-(O198/O$54)*(O$5-N$5)</f>
        <v>105.240732850447</v>
      </c>
      <c r="P199" s="3">
        <f>-(P198/P$54)*(P$5-O$5)</f>
        <v>98.8886875485374</v>
      </c>
      <c r="Q199" s="3">
        <f>-(Q198/Q$54)*(Q$5-P$5)</f>
        <v>80.7735590118939</v>
      </c>
      <c r="R199" s="3" t="n"/>
      <c r="S199" s="3">
        <f>-(S198/S$54)*(S$5-R$5)</f>
        <v>85.4073660714286</v>
      </c>
      <c r="T199" s="3">
        <f>-(T198/T$54)*(T$5-S$5)</f>
        <v>98.0437630247097</v>
      </c>
      <c r="U199" s="3">
        <f>-(U198/U$54)*(U$5-T$5)</f>
        <v>108.958655379708</v>
      </c>
      <c r="V199" s="3">
        <f>-(V198/V$54)*(V$5-U$5)</f>
        <v>82.9608112928706</v>
      </c>
      <c r="W199" s="3" t="n"/>
      <c r="X199" s="3">
        <f>-(X198/X$54)*(X$5-W$5)</f>
        <v>88.9444474466361</v>
      </c>
      <c r="Y199" s="3">
        <f>-(Y198/Y$54)*(Y$5-X$5)</f>
        <v>101.688477951636</v>
      </c>
      <c r="Z199" s="3">
        <f>-(Z198/Z$54)*(Z$5-Y$5)</f>
        <v>104.216926215235</v>
      </c>
      <c r="AA199" s="3">
        <f>-(AA198/AA$54)*(AA$5-Z$5)</f>
        <v>95.4142850589477</v>
      </c>
      <c r="AB199" s="3" t="n"/>
      <c r="AC199" s="3">
        <f>-(AC198/AC$54)*(AC$5-AB$5)</f>
        <v>107.783201788403</v>
      </c>
      <c r="AD199" s="3">
        <f>-(AD198/AD$54)*(AD$5-AC$5)</f>
        <v>105.058882318647</v>
      </c>
      <c r="AE199" s="3">
        <f>-(AE198/AE$54)*(AE$5-AD$5)</f>
        <v>124.666638938568</v>
      </c>
      <c r="AF199" s="6">
        <f>-(AF198/AF$54)*(AF$5-AE$5)</f>
        <v>132.195550080838</v>
      </c>
      <c r="AG199" s="3" t="n"/>
      <c r="AH199" s="6">
        <f>-(AH198/AH$54)*(AH$5-AG$5)</f>
        <v>125.845012673326</v>
      </c>
      <c r="AI199" s="6">
        <f>-(AI198/AI$54)*(AI$5-AH$5)</f>
        <v>130.731786621507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6254</v>
      </c>
      <c r="E202" s="25">
        <f>INDEX('Inputs (2)'!$D$29:$AL$29,MATCH(E$7,'Inputs (2)'!$D$2:$AL$2,0))</f>
        <v>7874</v>
      </c>
      <c r="F202" s="25">
        <f>INDEX('Inputs (2)'!$D$29:$AL$29,MATCH(F$7,'Inputs (2)'!$D$2:$AL$2,0))</f>
        <v>5714</v>
      </c>
      <c r="G202" s="25">
        <f>INDEX('Inputs (2)'!$D$29:$AL$29,MATCH(G$7,'Inputs (2)'!$D$2:$AL$2,0))</f>
        <v>6838</v>
      </c>
      <c r="H202" s="3">
        <f>G202</f>
        <v>6838</v>
      </c>
      <c r="I202" s="25">
        <f>INDEX('Inputs (2)'!$D$29:$AL$29,MATCH(I$7,'Inputs (2)'!$D$2:$AL$2,0))</f>
        <v>8032</v>
      </c>
      <c r="J202" s="25">
        <f>INDEX('Inputs (2)'!$D$29:$AL$29,MATCH(J$7,'Inputs (2)'!$D$2:$AL$2,0))</f>
        <v>10057</v>
      </c>
      <c r="K202" s="25">
        <f>INDEX('Inputs (2)'!$D$29:$AL$29,MATCH(K$7,'Inputs (2)'!$D$2:$AL$2,0))</f>
        <v>6894</v>
      </c>
      <c r="L202" s="25">
        <f>INDEX('Inputs (2)'!$D$29:$AL$29,MATCH(L$7,'Inputs (2)'!$D$2:$AL$2,0))</f>
        <v>7782</v>
      </c>
      <c r="M202" s="3">
        <f>L202</f>
        <v>7782</v>
      </c>
      <c r="N202" s="25">
        <f>INDEX('Inputs (2)'!$D$29:$AL$29,MATCH(N$7,'Inputs (2)'!$D$2:$AL$2,0))</f>
        <v>9067</v>
      </c>
      <c r="O202" s="25">
        <f>INDEX('Inputs (2)'!$D$29:$AL$29,MATCH(O$7,'Inputs (2)'!$D$2:$AL$2,0))</f>
        <v>10661</v>
      </c>
      <c r="P202" s="25">
        <f>INDEX('Inputs (2)'!$D$29:$AL$29,MATCH(P$7,'Inputs (2)'!$D$2:$AL$2,0))</f>
        <v>7405</v>
      </c>
      <c r="Q202" s="25">
        <f>INDEX('Inputs (2)'!$D$29:$AL$29,MATCH(Q$7,'Inputs (2)'!$D$2:$AL$2,0))</f>
        <v>9030</v>
      </c>
      <c r="R202" s="3">
        <f>Q202</f>
        <v>9030</v>
      </c>
      <c r="S202" s="25">
        <f>INDEX('Inputs (2)'!$D$29:$AL$29,MATCH(S$7,'Inputs (2)'!$D$2:$AL$2,0))</f>
        <v>10411</v>
      </c>
      <c r="T202" s="25">
        <f>INDEX('Inputs (2)'!$D$29:$AL$29,MATCH(T$7,'Inputs (2)'!$D$2:$AL$2,0))</f>
        <v>11009</v>
      </c>
      <c r="U202" s="25">
        <f>INDEX('Inputs (2)'!$D$29:$AL$29,MATCH(U$7,'Inputs (2)'!$D$2:$AL$2,0))</f>
        <v>6990</v>
      </c>
      <c r="V202" s="25">
        <f>INDEX('Inputs (2)'!$D$29:$AL$29,MATCH(V$7,'Inputs (2)'!$D$2:$AL$2,0))</f>
        <v>8813</v>
      </c>
      <c r="W202" s="3">
        <f>V202</f>
        <v>8813</v>
      </c>
      <c r="X202" s="25">
        <f>INDEX('Inputs (2)'!$D$29:$AL$29,MATCH(X$7,'Inputs (2)'!$D$2:$AL$2,0))</f>
        <v>10432</v>
      </c>
      <c r="Y202" s="25">
        <f>INDEX('Inputs (2)'!$D$29:$AL$29,MATCH(Y$7,'Inputs (2)'!$D$2:$AL$2,0))</f>
        <v>12564</v>
      </c>
      <c r="Z202" s="25">
        <f>INDEX('Inputs (2)'!$D$29:$AL$29,MATCH(Z$7,'Inputs (2)'!$D$2:$AL$2,0))</f>
        <v>8326</v>
      </c>
      <c r="AA202" s="25">
        <f>INDEX('Inputs (2)'!$D$29:$AL$29,MATCH(AA$7,'Inputs (2)'!$D$2:$AL$2,0))</f>
        <v>9176</v>
      </c>
      <c r="AB202" s="3">
        <f>AA202</f>
        <v>9176</v>
      </c>
      <c r="AC202" s="25">
        <f>INDEX('Inputs (2)'!$D$29:$AL$29,MATCH(AC$7,'Inputs (2)'!$D$2:$AL$2,0))</f>
        <v>10579</v>
      </c>
      <c r="AD202" s="25">
        <f>INDEX('Inputs (2)'!$D$29:$AL$29,MATCH(AD$7,'Inputs (2)'!$D$2:$AL$2,0))</f>
        <v>13709</v>
      </c>
      <c r="AE202" s="25">
        <f>INDEX('Inputs (2)'!$D$29:$AL$29,MATCH(AE$7,'Inputs (2)'!$D$2:$AL$2,0))</f>
        <v>9201</v>
      </c>
      <c r="AF202" s="25">
        <f>INDEX('Inputs (2)'!$D$29:$AL$29,MATCH(AF$7,'Inputs (2)'!$D$2:$AL$2,0))</f>
        <v>10103</v>
      </c>
      <c r="AG202" s="3">
        <f>AF202</f>
        <v>10103</v>
      </c>
      <c r="AH202" s="3">
        <f>INDEX('Inputs (2)'!$D$29:$AL$29,MATCH(AH$7,'Inputs (2)'!$D$2:$AL$2,0))</f>
        <v>11270</v>
      </c>
      <c r="AI202" s="3">
        <f>INDEX('Inputs (2)'!$D$29:$AL$29,MATCH(AI$7,'Inputs (2)'!$D$2:$AL$2,0))</f>
        <v>14945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>
        <f>(E202-D202)/D202</f>
        <v>0.259034218100416</v>
      </c>
      <c r="F203" s="47">
        <f>(F202-E202)/E202</f>
        <v>-0.274320548641097</v>
      </c>
      <c r="G203" s="47">
        <f>(G202-F202)/F202</f>
        <v>0.196709835491775</v>
      </c>
      <c r="H203" s="3" t="n"/>
      <c r="I203" s="47">
        <f>(I202-H202)/H202</f>
        <v>0.174612459783562</v>
      </c>
      <c r="J203" s="47">
        <f>(J202-I202)/I202</f>
        <v>0.252116533864542</v>
      </c>
      <c r="K203" s="47">
        <f>(K202-J202)/J202</f>
        <v>-0.314507308342448</v>
      </c>
      <c r="L203" s="47">
        <f>(L202-K202)/K202</f>
        <v>0.128807658833769</v>
      </c>
      <c r="M203" s="3" t="n"/>
      <c r="N203" s="47">
        <f>(N202-M202)/M202</f>
        <v>0.165124646620406</v>
      </c>
      <c r="O203" s="47">
        <f>(O202-N202)/N202</f>
        <v>0.175802360207345</v>
      </c>
      <c r="P203" s="47">
        <f>(P202-O202)/O202</f>
        <v>-0.30541225025795</v>
      </c>
      <c r="Q203" s="47">
        <f>(Q202-P202)/P202</f>
        <v>0.219446320054018</v>
      </c>
      <c r="R203" s="3" t="n"/>
      <c r="S203" s="47">
        <f>(S202-R202)/R202</f>
        <v>0.152934662236988</v>
      </c>
      <c r="T203" s="47">
        <f>(T202-S202)/S202</f>
        <v>0.057439246950341</v>
      </c>
      <c r="U203" s="47">
        <f>(U202-T202)/T202</f>
        <v>-0.365064946861659</v>
      </c>
      <c r="V203" s="47">
        <f>(V202-U202)/U202</f>
        <v>0.260801144492132</v>
      </c>
      <c r="W203" s="3" t="n"/>
      <c r="X203" s="47">
        <f>(X202-W202)/W202</f>
        <v>0.183705889027573</v>
      </c>
      <c r="Y203" s="47">
        <f>(Y202-X202)/X202</f>
        <v>0.204371165644172</v>
      </c>
      <c r="Z203" s="47">
        <f>(Z202-Y202)/Y202</f>
        <v>-0.337312957656797</v>
      </c>
      <c r="AA203" s="47">
        <f>(AA202-Z202)/Z202</f>
        <v>0.102089839058371</v>
      </c>
      <c r="AB203" s="3" t="n"/>
      <c r="AC203" s="47">
        <f>(AC202-AB202)/AB202</f>
        <v>0.152898866608544</v>
      </c>
      <c r="AD203" s="47">
        <f>(AD202-AC202)/AC202</f>
        <v>0.295869174780225</v>
      </c>
      <c r="AE203" s="47">
        <f>(AE202-AD202)/AD202</f>
        <v>-0.328835071850609</v>
      </c>
      <c r="AF203" s="218">
        <f>(AF202-AE202)/AE202</f>
        <v>0.0980328225192914</v>
      </c>
      <c r="AG203" s="3" t="n"/>
      <c r="AH203" s="218">
        <f>(AH202-AG202)/AG202</f>
        <v>0.115510244481837</v>
      </c>
      <c r="AI203" s="218">
        <f>(AI202-AH202)/AH202</f>
        <v>0.326086956521739</v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3296</v>
      </c>
      <c r="E204" s="25">
        <f>INDEX('Inputs (2)'!$D$30:$AL$30,MATCH(E$7,'Inputs (2)'!$D$2:$AL$2,0))</f>
        <v>2130</v>
      </c>
      <c r="F204" s="25">
        <f>INDEX('Inputs (2)'!$D$30:$AL$30,MATCH(F$7,'Inputs (2)'!$D$2:$AL$2,0))</f>
        <v>2384</v>
      </c>
      <c r="G204" s="25">
        <f>INDEX('Inputs (2)'!$D$30:$AL$30,MATCH(G$7,'Inputs (2)'!$D$2:$AL$2,0))</f>
        <v>1562</v>
      </c>
      <c r="H204" s="3">
        <f>G204</f>
        <v>1562</v>
      </c>
      <c r="I204" s="25">
        <f>INDEX('Inputs (2)'!$D$30:$AL$30,MATCH(I$7,'Inputs (2)'!$D$2:$AL$2,0))</f>
        <v>2165</v>
      </c>
      <c r="J204" s="25">
        <f>INDEX('Inputs (2)'!$D$30:$AL$30,MATCH(J$7,'Inputs (2)'!$D$2:$AL$2,0))</f>
        <v>2174</v>
      </c>
      <c r="K204" s="25">
        <f>INDEX('Inputs (2)'!$D$30:$AL$30,MATCH(K$7,'Inputs (2)'!$D$2:$AL$2,0))</f>
        <v>6272</v>
      </c>
      <c r="L204" s="25">
        <f>INDEX('Inputs (2)'!$D$30:$AL$30,MATCH(L$7,'Inputs (2)'!$D$2:$AL$2,0))</f>
        <v>3731</v>
      </c>
      <c r="M204" s="3">
        <f>L204</f>
        <v>3731</v>
      </c>
      <c r="N204" s="25">
        <f>INDEX('Inputs (2)'!$D$30:$AL$30,MATCH(N$7,'Inputs (2)'!$D$2:$AL$2,0))</f>
        <v>4646</v>
      </c>
      <c r="O204" s="25">
        <f>INDEX('Inputs (2)'!$D$30:$AL$30,MATCH(O$7,'Inputs (2)'!$D$2:$AL$2,0))</f>
        <v>4067</v>
      </c>
      <c r="P204" s="25">
        <f>INDEX('Inputs (2)'!$D$30:$AL$30,MATCH(P$7,'Inputs (2)'!$D$2:$AL$2,0))</f>
        <v>6729</v>
      </c>
      <c r="Q204" s="25">
        <f>INDEX('Inputs (2)'!$D$30:$AL$30,MATCH(Q$7,'Inputs (2)'!$D$2:$AL$2,0))</f>
        <v>3553</v>
      </c>
      <c r="R204" s="3">
        <f>Q204</f>
        <v>3553</v>
      </c>
      <c r="S204" s="25">
        <f>INDEX('Inputs (2)'!$D$30:$AL$30,MATCH(S$7,'Inputs (2)'!$D$2:$AL$2,0))</f>
        <v>4163</v>
      </c>
      <c r="T204" s="25">
        <f>INDEX('Inputs (2)'!$D$30:$AL$30,MATCH(T$7,'Inputs (2)'!$D$2:$AL$2,0))</f>
        <v>4152</v>
      </c>
      <c r="U204" s="25">
        <f>INDEX('Inputs (2)'!$D$30:$AL$30,MATCH(U$7,'Inputs (2)'!$D$2:$AL$2,0))</f>
        <v>8035</v>
      </c>
      <c r="V204" s="25">
        <f>INDEX('Inputs (2)'!$D$30:$AL$30,MATCH(V$7,'Inputs (2)'!$D$2:$AL$2,0))</f>
        <v>5787</v>
      </c>
      <c r="W204" s="3">
        <f>V204</f>
        <v>5787</v>
      </c>
      <c r="X204" s="25">
        <f>INDEX('Inputs (2)'!$D$30:$AL$30,MATCH(X$7,'Inputs (2)'!$D$2:$AL$2,0))</f>
        <v>7311</v>
      </c>
      <c r="Y204" s="25">
        <f>INDEX('Inputs (2)'!$D$30:$AL$30,MATCH(Y$7,'Inputs (2)'!$D$2:$AL$2,0))</f>
        <v>5017</v>
      </c>
      <c r="Z204" s="25">
        <f>INDEX('Inputs (2)'!$D$30:$AL$30,MATCH(Z$7,'Inputs (2)'!$D$2:$AL$2,0))</f>
        <v>9717</v>
      </c>
      <c r="AA204" s="25">
        <f>INDEX('Inputs (2)'!$D$30:$AL$30,MATCH(AA$7,'Inputs (2)'!$D$2:$AL$2,0))</f>
        <v>6056</v>
      </c>
      <c r="AB204" s="3">
        <f>AA204</f>
        <v>6056</v>
      </c>
      <c r="AC204" s="25">
        <f>INDEX('Inputs (2)'!$D$30:$AL$30,MATCH(AC$7,'Inputs (2)'!$D$2:$AL$2,0))</f>
        <v>6805</v>
      </c>
      <c r="AD204" s="25">
        <f>INDEX('Inputs (2)'!$D$30:$AL$30,MATCH(AD$7,'Inputs (2)'!$D$2:$AL$2,0))</f>
        <v>7211</v>
      </c>
      <c r="AE204" s="25">
        <f>INDEX('Inputs (2)'!$D$30:$AL$30,MATCH(AE$7,'Inputs (2)'!$D$2:$AL$2,0))</f>
        <v>3655</v>
      </c>
      <c r="AF204" s="25">
        <f>INDEX('Inputs (2)'!$D$30:$AL$30,MATCH(AF$7,'Inputs (2)'!$D$2:$AL$2,0))</f>
        <v>2050</v>
      </c>
      <c r="AG204" s="3">
        <f>AF204</f>
        <v>2050</v>
      </c>
      <c r="AH204" s="3">
        <f>INDEX('Inputs (2)'!$D$30:$AL$30,MATCH(AH$7,'Inputs (2)'!$D$2:$AL$2,0))</f>
        <v>3563</v>
      </c>
      <c r="AI204" s="3">
        <f>INDEX('Inputs (2)'!$D$30:$AL$30,MATCH(AI$7,'Inputs (2)'!$D$2:$AL$2,0))</f>
        <v>2534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36163</v>
      </c>
      <c r="E205" s="25">
        <f>INDEX('Inputs (2)'!$D$31:$AL$31,MATCH(E$7,'Inputs (2)'!$D$2:$AL$2,0))</f>
        <v>46027</v>
      </c>
      <c r="F205" s="25">
        <f>INDEX('Inputs (2)'!$D$31:$AL$31,MATCH(F$7,'Inputs (2)'!$D$2:$AL$2,0))</f>
        <v>42952</v>
      </c>
      <c r="G205" s="25">
        <f>INDEX('Inputs (2)'!$D$31:$AL$31,MATCH(G$7,'Inputs (2)'!$D$2:$AL$2,0))</f>
        <v>40929</v>
      </c>
      <c r="H205" s="3">
        <f>G205</f>
        <v>40929</v>
      </c>
      <c r="I205" s="25">
        <f>INDEX('Inputs (2)'!$D$31:$AL$31,MATCH(I$7,'Inputs (2)'!$D$2:$AL$2,0))</f>
        <v>40533</v>
      </c>
      <c r="J205" s="25">
        <f>INDEX('Inputs (2)'!$D$31:$AL$31,MATCH(J$7,'Inputs (2)'!$D$2:$AL$2,0))</f>
        <v>53191</v>
      </c>
      <c r="K205" s="25">
        <f>INDEX('Inputs (2)'!$D$31:$AL$31,MATCH(K$7,'Inputs (2)'!$D$2:$AL$2,0))</f>
        <v>49281</v>
      </c>
      <c r="L205" s="25">
        <f>INDEX('Inputs (2)'!$D$31:$AL$31,MATCH(L$7,'Inputs (2)'!$D$2:$AL$2,0))</f>
        <v>45685</v>
      </c>
      <c r="M205" s="3">
        <f>L205</f>
        <v>45685</v>
      </c>
      <c r="N205" s="25">
        <f>INDEX('Inputs (2)'!$D$31:$AL$31,MATCH(N$7,'Inputs (2)'!$D$2:$AL$2,0))</f>
        <v>45892</v>
      </c>
      <c r="O205" s="25">
        <f>INDEX('Inputs (2)'!$D$31:$AL$31,MATCH(O$7,'Inputs (2)'!$D$2:$AL$2,0))</f>
        <v>58605</v>
      </c>
      <c r="P205" s="25">
        <f>INDEX('Inputs (2)'!$D$31:$AL$31,MATCH(P$7,'Inputs (2)'!$D$2:$AL$2,0))</f>
        <v>53398</v>
      </c>
      <c r="Q205" s="25">
        <f>INDEX('Inputs (2)'!$D$31:$AL$31,MATCH(Q$7,'Inputs (2)'!$D$2:$AL$2,0))</f>
        <v>49784</v>
      </c>
      <c r="R205" s="3">
        <f>Q205</f>
        <v>49784</v>
      </c>
      <c r="S205" s="25">
        <f>INDEX('Inputs (2)'!$D$31:$AL$31,MATCH(S$7,'Inputs (2)'!$D$2:$AL$2,0))</f>
        <v>49567</v>
      </c>
      <c r="T205" s="25">
        <f>INDEX('Inputs (2)'!$D$31:$AL$31,MATCH(T$7,'Inputs (2)'!$D$2:$AL$2,0))</f>
        <v>65646</v>
      </c>
      <c r="U205" s="25">
        <f>INDEX('Inputs (2)'!$D$31:$AL$31,MATCH(U$7,'Inputs (2)'!$D$2:$AL$2,0))</f>
        <v>60904</v>
      </c>
      <c r="V205" s="25">
        <f>INDEX('Inputs (2)'!$D$31:$AL$31,MATCH(V$7,'Inputs (2)'!$D$2:$AL$2,0))</f>
        <v>59430</v>
      </c>
      <c r="W205" s="3">
        <f>V205</f>
        <v>59430</v>
      </c>
      <c r="X205" s="25">
        <f>INDEX('Inputs (2)'!$D$31:$AL$31,MATCH(X$7,'Inputs (2)'!$D$2:$AL$2,0))</f>
        <v>59911</v>
      </c>
      <c r="Y205" s="25">
        <f>INDEX('Inputs (2)'!$D$31:$AL$31,MATCH(Y$7,'Inputs (2)'!$D$2:$AL$2,0))</f>
        <v>76767</v>
      </c>
      <c r="Z205" s="25">
        <f>INDEX('Inputs (2)'!$D$31:$AL$31,MATCH(Z$7,'Inputs (2)'!$D$2:$AL$2,0))</f>
        <v>72140</v>
      </c>
      <c r="AA205" s="25">
        <f>INDEX('Inputs (2)'!$D$31:$AL$31,MATCH(AA$7,'Inputs (2)'!$D$2:$AL$2,0))</f>
        <v>65794</v>
      </c>
      <c r="AB205" s="3">
        <f>AA205</f>
        <v>65794</v>
      </c>
      <c r="AC205" s="25">
        <f>INDEX('Inputs (2)'!$D$31:$AL$31,MATCH(AC$7,'Inputs (2)'!$D$2:$AL$2,0))</f>
        <v>67573</v>
      </c>
      <c r="AD205" s="25">
        <f>INDEX('Inputs (2)'!$D$31:$AL$31,MATCH(AD$7,'Inputs (2)'!$D$2:$AL$2,0))</f>
        <v>89575</v>
      </c>
      <c r="AE205" s="25">
        <f>INDEX('Inputs (2)'!$D$31:$AL$31,MATCH(AE$7,'Inputs (2)'!$D$2:$AL$2,0))</f>
        <v>81728</v>
      </c>
      <c r="AF205" s="25">
        <f>INDEX('Inputs (2)'!$D$31:$AL$31,MATCH(AF$7,'Inputs (2)'!$D$2:$AL$2,0))</f>
        <v>75687</v>
      </c>
      <c r="AG205" s="3">
        <f>AF205</f>
        <v>75687</v>
      </c>
      <c r="AH205" s="3">
        <f>INDEX('Inputs (2)'!$D$31:$AL$31,MATCH(AH$7,'Inputs (2)'!$D$2:$AL$2,0))</f>
        <v>75476</v>
      </c>
      <c r="AI205" s="3">
        <f>INDEX('Inputs (2)'!$D$31:$AL$31,MATCH(AI$7,'Inputs (2)'!$D$2:$AL$2,0))</f>
        <v>99703</v>
      </c>
      <c r="AJ205" s="3">
        <f>AI205</f>
        <v>99703</v>
      </c>
      <c r="AK205" s="3">
        <f>AJ205</f>
        <v>99703</v>
      </c>
      <c r="AL205" s="3">
        <f>AK205</f>
        <v>99703</v>
      </c>
      <c r="AM205" s="3">
        <f>AL205</f>
        <v>99703</v>
      </c>
      <c r="AN205" s="3">
        <f>AM205</f>
        <v>99703</v>
      </c>
      <c r="AO205" s="3">
        <f>AN205</f>
        <v>99703</v>
      </c>
      <c r="AP205" s="3">
        <f>AO205</f>
        <v>99703</v>
      </c>
      <c r="AQ205" s="3">
        <f>AP205</f>
        <v>99703</v>
      </c>
      <c r="AR205" s="3">
        <f>AQ205</f>
        <v>99703</v>
      </c>
      <c r="AS205" s="3">
        <f>AR205</f>
        <v>99703</v>
      </c>
      <c r="AT205" s="3">
        <f>AS205</f>
        <v>99703</v>
      </c>
      <c r="AU205" s="3">
        <f>AT205</f>
        <v>99703</v>
      </c>
      <c r="AV205" s="3">
        <f>AU205</f>
        <v>99703</v>
      </c>
      <c r="AW205" s="3">
        <f>AV205</f>
        <v>99703</v>
      </c>
      <c r="AX205" s="3">
        <f>AW205</f>
        <v>99703</v>
      </c>
      <c r="AY205" s="3">
        <f>AX205</f>
        <v>99703</v>
      </c>
      <c r="AZ205" s="3">
        <f>AY205</f>
        <v>99703</v>
      </c>
      <c r="BA205" s="3">
        <f>AZ205</f>
        <v>99703</v>
      </c>
      <c r="BB205" s="3">
        <f>BA205</f>
        <v>99703</v>
      </c>
      <c r="BC205" s="3">
        <f>BB205</f>
        <v>99703</v>
      </c>
      <c r="BD205" s="3">
        <f>BC205</f>
        <v>99703</v>
      </c>
      <c r="BE205" s="3">
        <f>BD205</f>
        <v>99703</v>
      </c>
      <c r="BF205" s="3">
        <f>BE205</f>
        <v>99703</v>
      </c>
      <c r="BG205" s="3">
        <f>BF205</f>
        <v>99703</v>
      </c>
      <c r="BH205" s="3">
        <f>BG205</f>
        <v>99703</v>
      </c>
      <c r="BI205" s="3">
        <f>BH205</f>
        <v>99703</v>
      </c>
      <c r="BJ205" s="3">
        <f>BI205</f>
        <v>99703</v>
      </c>
      <c r="BK205" s="3">
        <f>BJ205</f>
        <v>99703</v>
      </c>
      <c r="BL205" s="3">
        <f>BK205</f>
        <v>99703</v>
      </c>
      <c r="BM205" s="3">
        <f>BL205</f>
        <v>99703</v>
      </c>
      <c r="BN205" s="3">
        <f>BM205</f>
        <v>99703</v>
      </c>
      <c r="BO205" s="3">
        <f>BN205</f>
        <v>99703</v>
      </c>
      <c r="BP205" s="3">
        <f>BO205</f>
        <v>99703</v>
      </c>
      <c r="BQ205" s="3">
        <f>BP205</f>
        <v>99703</v>
      </c>
      <c r="BR205" s="3">
        <f>BQ205</f>
        <v>99703</v>
      </c>
      <c r="BS205" s="3">
        <f>BR205</f>
        <v>99703</v>
      </c>
      <c r="BT205" s="3">
        <f>BS205</f>
        <v>99703</v>
      </c>
      <c r="BU205" s="3">
        <f>BT205</f>
        <v>99703</v>
      </c>
      <c r="BV205" s="3">
        <f>BU205</f>
        <v>99703</v>
      </c>
      <c r="BW205" s="3">
        <f>BV205</f>
        <v>99703</v>
      </c>
      <c r="BX205" s="3">
        <f>BW205</f>
        <v>99703</v>
      </c>
      <c r="BY205" s="3">
        <f>BX205</f>
        <v>99703</v>
      </c>
      <c r="BZ205" s="3">
        <f>BY205</f>
        <v>99703</v>
      </c>
      <c r="CA205" s="3">
        <f>BZ205</f>
        <v>99703</v>
      </c>
      <c r="CB205" s="3">
        <f>CA205</f>
        <v>99703</v>
      </c>
      <c r="CC205" s="3">
        <f>CB205</f>
        <v>99703</v>
      </c>
      <c r="CD205" s="3">
        <f>CC205</f>
        <v>99703</v>
      </c>
      <c r="CE205" s="3">
        <f>CD205</f>
        <v>99703</v>
      </c>
      <c r="CF205" s="3">
        <f>CE205</f>
        <v>99703</v>
      </c>
      <c r="CG205" s="3">
        <f>CF205</f>
        <v>99703</v>
      </c>
      <c r="CH205" s="3">
        <f>CG205</f>
        <v>99703</v>
      </c>
      <c r="CI205" s="3">
        <f>CH205</f>
        <v>99703</v>
      </c>
      <c r="CJ205" s="3">
        <f>CI205</f>
        <v>99703</v>
      </c>
      <c r="CK205" s="3">
        <f>CJ205</f>
        <v>99703</v>
      </c>
      <c r="CL205" s="3">
        <f>CK205</f>
        <v>99703</v>
      </c>
      <c r="CM205" s="3">
        <f>CL205</f>
        <v>99703</v>
      </c>
      <c r="CN205" s="3">
        <f>CM205</f>
        <v>99703</v>
      </c>
      <c r="CO205" s="3">
        <f>CN205</f>
        <v>99703</v>
      </c>
      <c r="CP205" s="3">
        <f>CO205</f>
        <v>99703</v>
      </c>
      <c r="CQ205" s="3">
        <f>CP205</f>
        <v>99703</v>
      </c>
      <c r="CR205" s="3">
        <f>CQ205</f>
        <v>99703</v>
      </c>
      <c r="CS205" s="3">
        <f>CR205</f>
        <v>99703</v>
      </c>
      <c r="CT205" s="3">
        <f>CS205</f>
        <v>99703</v>
      </c>
      <c r="CU205" s="3">
        <f>CT205</f>
        <v>99703</v>
      </c>
      <c r="CV205" s="3">
        <f>CU205</f>
        <v>99703</v>
      </c>
      <c r="CW205" s="3">
        <f>CV205</f>
        <v>99703</v>
      </c>
      <c r="CX205" s="3">
        <f>CW205</f>
        <v>99703</v>
      </c>
      <c r="CY205" s="3">
        <f>CX205</f>
        <v>99703</v>
      </c>
    </row>
    <row r="206" hidden="1" outlineLevel="1">
      <c r="C206" s="38" t="inlineStr">
        <is>
          <t>%(Var.)</t>
        </is>
      </c>
      <c r="D206" s="3" t="n"/>
      <c r="E206" s="47">
        <f>(E205-D205)/D205</f>
        <v>0.272764980781462</v>
      </c>
      <c r="F206" s="47">
        <f>(F205-E205)/E205</f>
        <v>-0.0668086123362374</v>
      </c>
      <c r="G206" s="47">
        <f>(G205-F205)/F205</f>
        <v>-0.0470990873533246</v>
      </c>
      <c r="H206" s="3" t="n"/>
      <c r="I206" s="47">
        <f>(I205-H205)/H205</f>
        <v>-0.00967529135820567</v>
      </c>
      <c r="J206" s="47">
        <f>(J205-I205)/I205</f>
        <v>0.312288752374608</v>
      </c>
      <c r="K206" s="47">
        <f>(K205-J205)/J205</f>
        <v>-0.0735086762798218</v>
      </c>
      <c r="L206" s="47">
        <f>(L205-K205)/K205</f>
        <v>-0.0729692985126114</v>
      </c>
      <c r="M206" s="3" t="n"/>
      <c r="N206" s="47">
        <f>(N205-M205)/M205</f>
        <v>0.00453102768961366</v>
      </c>
      <c r="O206" s="47">
        <f>(O205-N205)/N205</f>
        <v>0.277019959905866</v>
      </c>
      <c r="P206" s="47">
        <f>(P205-O205)/O205</f>
        <v>-0.0888490743110656</v>
      </c>
      <c r="Q206" s="47">
        <f>(Q205-P205)/P205</f>
        <v>-0.0676804374695681</v>
      </c>
      <c r="R206" s="3" t="n"/>
      <c r="S206" s="47">
        <f>(S205-R205)/R205</f>
        <v>-0.00435883014623172</v>
      </c>
      <c r="T206" s="47">
        <f>(T205-S205)/S205</f>
        <v>0.32438921056348</v>
      </c>
      <c r="U206" s="47">
        <f>(U205-T205)/T205</f>
        <v>-0.072235932120769</v>
      </c>
      <c r="V206" s="47">
        <f>(V205-U205)/U205</f>
        <v>-0.0242020228556417</v>
      </c>
      <c r="W206" s="3" t="n"/>
      <c r="X206" s="47">
        <f>(X205-W205)/W205</f>
        <v>0.00809355544337877</v>
      </c>
      <c r="Y206" s="47">
        <f>(Y205-X205)/X205</f>
        <v>0.281350670160738</v>
      </c>
      <c r="Z206" s="47">
        <f>(Z205-Y205)/Y205</f>
        <v>-0.0602732945145701</v>
      </c>
      <c r="AA206" s="47">
        <f>(AA205-Z205)/Z205</f>
        <v>-0.0879678403105074</v>
      </c>
      <c r="AB206" s="3" t="n"/>
      <c r="AC206" s="47">
        <f>(AC205-AB205)/AB205</f>
        <v>0.0270389397209472</v>
      </c>
      <c r="AD206" s="47">
        <f>(AD205-AC205)/AC205</f>
        <v>0.325603421484913</v>
      </c>
      <c r="AE206" s="47">
        <f>(AE205-AD205)/AD205</f>
        <v>-0.0876025676807145</v>
      </c>
      <c r="AF206" s="218">
        <f>(AF205-AE205)/AE205</f>
        <v>-0.0739159162098669</v>
      </c>
      <c r="AG206" s="3" t="n"/>
      <c r="AH206" s="218">
        <f>(AH205-AG205)/AG205</f>
        <v>-0.00278779711178934</v>
      </c>
      <c r="AI206" s="218">
        <f>(AI205-AH205)/AH205</f>
        <v>0.320989453601145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3748</v>
      </c>
      <c r="E212" s="25">
        <f>INDEX('Inputs (2)'!$D$32:$AL$32,MATCH(E$7,'Inputs (2)'!$D$2:$AL$2,0))</f>
        <v>3749</v>
      </c>
      <c r="F212" s="25">
        <f>INDEX('Inputs (2)'!$D$32:$AL$32,MATCH(F$7,'Inputs (2)'!$D$2:$AL$2,0))</f>
        <v>6497</v>
      </c>
      <c r="G212" s="25">
        <f>INDEX('Inputs (2)'!$D$32:$AL$32,MATCH(G$7,'Inputs (2)'!$D$2:$AL$2,0))</f>
        <v>5387</v>
      </c>
      <c r="H212" s="3">
        <f>G212</f>
        <v>5387</v>
      </c>
      <c r="I212" s="25">
        <f>INDEX('Inputs (2)'!$D$32:$AL$32,MATCH(I$7,'Inputs (2)'!$D$2:$AL$2,0))</f>
        <v>8051</v>
      </c>
      <c r="J212" s="25">
        <f>INDEX('Inputs (2)'!$D$32:$AL$32,MATCH(J$7,'Inputs (2)'!$D$2:$AL$2,0))</f>
        <v>8072</v>
      </c>
      <c r="K212" s="25">
        <f>INDEX('Inputs (2)'!$D$32:$AL$32,MATCH(K$7,'Inputs (2)'!$D$2:$AL$2,0))</f>
        <v>3249</v>
      </c>
      <c r="L212" s="25">
        <f>INDEX('Inputs (2)'!$D$32:$AL$32,MATCH(L$7,'Inputs (2)'!$D$2:$AL$2,0))</f>
        <v>4998</v>
      </c>
      <c r="M212" s="3">
        <f>L212</f>
        <v>4998</v>
      </c>
      <c r="N212" s="25">
        <f>INDEX('Inputs (2)'!$D$32:$AL$32,MATCH(N$7,'Inputs (2)'!$D$2:$AL$2,0))</f>
        <v>1749</v>
      </c>
      <c r="O212" s="25">
        <f>INDEX('Inputs (2)'!$D$32:$AL$32,MATCH(O$7,'Inputs (2)'!$D$2:$AL$2,0))</f>
        <v>2749</v>
      </c>
      <c r="P212" s="25">
        <f>INDEX('Inputs (2)'!$D$32:$AL$32,MATCH(P$7,'Inputs (2)'!$D$2:$AL$2,0))</f>
        <v>3248</v>
      </c>
      <c r="Q212" s="25">
        <f>INDEX('Inputs (2)'!$D$32:$AL$32,MATCH(Q$7,'Inputs (2)'!$D$2:$AL$2,0))</f>
        <v>3997</v>
      </c>
      <c r="R212" s="3">
        <f>Q212</f>
        <v>3997</v>
      </c>
      <c r="S212" s="25">
        <f>INDEX('Inputs (2)'!$D$32:$AL$32,MATCH(S$7,'Inputs (2)'!$D$2:$AL$2,0))</f>
        <v>6245</v>
      </c>
      <c r="T212" s="25">
        <f>INDEX('Inputs (2)'!$D$32:$AL$32,MATCH(T$7,'Inputs (2)'!$D$2:$AL$2,0))</f>
        <v>5247</v>
      </c>
      <c r="U212" s="25">
        <f>INDEX('Inputs (2)'!$D$32:$AL$32,MATCH(U$7,'Inputs (2)'!$D$2:$AL$2,0))</f>
        <v>29556</v>
      </c>
      <c r="V212" s="25">
        <f>INDEX('Inputs (2)'!$D$32:$AL$32,MATCH(V$7,'Inputs (2)'!$D$2:$AL$2,0))</f>
        <v>29291</v>
      </c>
      <c r="W212" s="3">
        <f>V212</f>
        <v>29291</v>
      </c>
      <c r="X212" s="25">
        <f>INDEX('Inputs (2)'!$D$32:$AL$32,MATCH(X$7,'Inputs (2)'!$D$2:$AL$2,0))</f>
        <v>22784</v>
      </c>
      <c r="Y212" s="25">
        <f>INDEX('Inputs (2)'!$D$32:$AL$32,MATCH(Y$7,'Inputs (2)'!$D$2:$AL$2,0))</f>
        <v>8942</v>
      </c>
      <c r="Z212" s="25">
        <f>INDEX('Inputs (2)'!$D$32:$AL$32,MATCH(Z$7,'Inputs (2)'!$D$2:$AL$2,0))</f>
        <v>2249</v>
      </c>
      <c r="AA212" s="25">
        <f>INDEX('Inputs (2)'!$D$32:$AL$32,MATCH(AA$7,'Inputs (2)'!$D$2:$AL$2,0))</f>
        <v>5248</v>
      </c>
      <c r="AB212" s="3">
        <f>AA212</f>
        <v>5248</v>
      </c>
      <c r="AC212" s="25">
        <f>INDEX('Inputs (2)'!$D$32:$AL$32,MATCH(AC$7,'Inputs (2)'!$D$2:$AL$2,0))</f>
        <v>2999</v>
      </c>
      <c r="AD212" s="25">
        <f>INDEX('Inputs (2)'!$D$32:$AL$32,MATCH(AD$7,'Inputs (2)'!$D$2:$AL$2,0))</f>
        <v>2999</v>
      </c>
      <c r="AE212" s="25">
        <f>INDEX('Inputs (2)'!$D$32:$AL$32,MATCH(AE$7,'Inputs (2)'!$D$2:$AL$2,0))</f>
        <v>7832</v>
      </c>
      <c r="AF212" s="25">
        <f>INDEX('Inputs (2)'!$D$32:$AL$32,MATCH(AF$7,'Inputs (2)'!$D$2:$AL$2,0))</f>
        <v>4837</v>
      </c>
      <c r="AG212" s="3">
        <f>AF212</f>
        <v>4837</v>
      </c>
      <c r="AH212" s="3">
        <f>INDEX('Inputs (2)'!$D$32:$AL$32,MATCH(AH$7,'Inputs (2)'!$D$2:$AL$2,0))</f>
        <v>8839</v>
      </c>
      <c r="AI212" s="3">
        <f>INDEX('Inputs (2)'!$D$32:$AL$32,MATCH(AI$7,'Inputs (2)'!$D$2:$AL$2,0))</f>
        <v>9227</v>
      </c>
      <c r="AJ212" s="3">
        <f>AI212</f>
        <v>9227</v>
      </c>
      <c r="AK212" s="3">
        <f>AJ212</f>
        <v>9227</v>
      </c>
      <c r="AL212" s="3">
        <f>AK212</f>
        <v>9227</v>
      </c>
      <c r="AM212" s="3">
        <f>AL212</f>
        <v>9227</v>
      </c>
      <c r="AN212" s="3">
        <f>AM212</f>
        <v>9227</v>
      </c>
      <c r="AO212" s="3">
        <f>AN212</f>
        <v>9227</v>
      </c>
      <c r="AP212" s="3">
        <f>AO212</f>
        <v>9227</v>
      </c>
      <c r="AQ212" s="3">
        <f>AP212</f>
        <v>9227</v>
      </c>
      <c r="AR212" s="3">
        <f>AQ212</f>
        <v>9227</v>
      </c>
      <c r="AS212" s="3">
        <f>AR212</f>
        <v>9227</v>
      </c>
      <c r="AT212" s="3">
        <f>AS212</f>
        <v>9227</v>
      </c>
      <c r="AU212" s="3">
        <f>AT212</f>
        <v>9227</v>
      </c>
      <c r="AV212" s="3">
        <f>AU212</f>
        <v>9227</v>
      </c>
      <c r="AW212" s="3">
        <f>AV212</f>
        <v>9227</v>
      </c>
      <c r="AX212" s="3">
        <f>AW212</f>
        <v>9227</v>
      </c>
      <c r="AY212" s="3">
        <f>AX212</f>
        <v>9227</v>
      </c>
      <c r="AZ212" s="3">
        <f>AY212</f>
        <v>9227</v>
      </c>
      <c r="BA212" s="3">
        <f>AZ212</f>
        <v>9227</v>
      </c>
      <c r="BB212" s="3">
        <f>BA212</f>
        <v>9227</v>
      </c>
      <c r="BC212" s="3">
        <f>BB212</f>
        <v>9227</v>
      </c>
      <c r="BD212" s="3">
        <f>BC212</f>
        <v>9227</v>
      </c>
      <c r="BE212" s="3">
        <f>BD212</f>
        <v>9227</v>
      </c>
      <c r="BF212" s="3">
        <f>BE212</f>
        <v>9227</v>
      </c>
      <c r="BG212" s="3">
        <f>BF212</f>
        <v>9227</v>
      </c>
      <c r="BH212" s="3">
        <f>BG212</f>
        <v>9227</v>
      </c>
      <c r="BI212" s="3">
        <f>BH212</f>
        <v>9227</v>
      </c>
      <c r="BJ212" s="3">
        <f>BI212</f>
        <v>9227</v>
      </c>
      <c r="BK212" s="3">
        <f>BJ212</f>
        <v>9227</v>
      </c>
      <c r="BL212" s="3">
        <f>BK212</f>
        <v>9227</v>
      </c>
      <c r="BM212" s="3">
        <f>BL212</f>
        <v>9227</v>
      </c>
      <c r="BN212" s="3">
        <f>BM212</f>
        <v>9227</v>
      </c>
      <c r="BO212" s="3">
        <f>BN212</f>
        <v>9227</v>
      </c>
      <c r="BP212" s="3">
        <f>BO212</f>
        <v>9227</v>
      </c>
      <c r="BQ212" s="3">
        <f>BP212</f>
        <v>9227</v>
      </c>
      <c r="BR212" s="3">
        <f>BQ212</f>
        <v>9227</v>
      </c>
      <c r="BS212" s="3">
        <f>BR212</f>
        <v>9227</v>
      </c>
      <c r="BT212" s="3">
        <f>BS212</f>
        <v>9227</v>
      </c>
      <c r="BU212" s="3">
        <f>BT212</f>
        <v>9227</v>
      </c>
      <c r="BV212" s="3">
        <f>BU212</f>
        <v>9227</v>
      </c>
      <c r="BW212" s="3">
        <f>BV212</f>
        <v>9227</v>
      </c>
      <c r="BX212" s="3">
        <f>BW212</f>
        <v>9227</v>
      </c>
      <c r="BY212" s="3">
        <f>BX212</f>
        <v>9227</v>
      </c>
      <c r="BZ212" s="3">
        <f>BY212</f>
        <v>9227</v>
      </c>
      <c r="CA212" s="3">
        <f>BZ212</f>
        <v>9227</v>
      </c>
      <c r="CB212" s="3">
        <f>CA212</f>
        <v>9227</v>
      </c>
      <c r="CC212" s="3">
        <f>CB212</f>
        <v>9227</v>
      </c>
      <c r="CD212" s="3">
        <f>CC212</f>
        <v>9227</v>
      </c>
      <c r="CE212" s="3">
        <f>CD212</f>
        <v>9227</v>
      </c>
      <c r="CF212" s="3">
        <f>CE212</f>
        <v>9227</v>
      </c>
      <c r="CG212" s="3">
        <f>CF212</f>
        <v>9227</v>
      </c>
      <c r="CH212" s="3">
        <f>CG212</f>
        <v>9227</v>
      </c>
      <c r="CI212" s="3">
        <f>CH212</f>
        <v>9227</v>
      </c>
      <c r="CJ212" s="3">
        <f>CI212</f>
        <v>9227</v>
      </c>
      <c r="CK212" s="3">
        <f>CJ212</f>
        <v>9227</v>
      </c>
      <c r="CL212" s="3">
        <f>CK212</f>
        <v>9227</v>
      </c>
      <c r="CM212" s="3">
        <f>CL212</f>
        <v>9227</v>
      </c>
      <c r="CN212" s="3">
        <f>CM212</f>
        <v>9227</v>
      </c>
      <c r="CO212" s="3">
        <f>CN212</f>
        <v>9227</v>
      </c>
      <c r="CP212" s="3">
        <f>CO212</f>
        <v>9227</v>
      </c>
      <c r="CQ212" s="3">
        <f>CP212</f>
        <v>9227</v>
      </c>
      <c r="CR212" s="3">
        <f>CQ212</f>
        <v>9227</v>
      </c>
      <c r="CS212" s="3">
        <f>CR212</f>
        <v>9227</v>
      </c>
      <c r="CT212" s="3">
        <f>CS212</f>
        <v>9227</v>
      </c>
      <c r="CU212" s="3">
        <f>CT212</f>
        <v>9227</v>
      </c>
      <c r="CV212" s="3">
        <f>CU212</f>
        <v>9227</v>
      </c>
      <c r="CW212" s="3">
        <f>CV212</f>
        <v>9227</v>
      </c>
      <c r="CX212" s="3">
        <f>CW212</f>
        <v>9227</v>
      </c>
      <c r="CY212" s="3">
        <f>CX212</f>
        <v>9227</v>
      </c>
    </row>
    <row r="213">
      <c r="C213" s="26" t="inlineStr">
        <is>
          <t>Short term debt (Revolving credit facility)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</f>
        <v>0</v>
      </c>
      <c r="AI214" s="3">
        <f>AH214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</v>
      </c>
      <c r="F215" s="47">
        <f>IFERROR((F214-E214)/E214,0)</f>
        <v>0</v>
      </c>
      <c r="G215" s="47">
        <f>IFERROR((G214-F214)/F214,0)</f>
        <v>0</v>
      </c>
      <c r="H215" s="3" t="n"/>
      <c r="I215" s="47">
        <f>IFERROR((I214-H214)/H214,0)</f>
        <v>0</v>
      </c>
      <c r="J215" s="47">
        <f>IFERROR((J214-I214)/I214,0)</f>
        <v>0</v>
      </c>
      <c r="K215" s="47">
        <f>IFERROR((K214-J214)/J214,0)</f>
        <v>0</v>
      </c>
      <c r="L215" s="47">
        <f>IFERROR((L214-K214)/K214,0)</f>
        <v>0</v>
      </c>
      <c r="M215" s="3" t="n"/>
      <c r="N215" s="47">
        <f>IFERROR((N214-M214)/M214,0)</f>
        <v>0</v>
      </c>
      <c r="O215" s="47">
        <f>IFERROR((O214-N214)/N214,0)</f>
        <v>0</v>
      </c>
      <c r="P215" s="47">
        <f>IFERROR((P214-O214)/O214,0)</f>
        <v>0</v>
      </c>
      <c r="Q215" s="47">
        <f>IFERROR((Q214-P214)/P214,0)</f>
        <v>0</v>
      </c>
      <c r="R215" s="3" t="n"/>
      <c r="S215" s="47">
        <f>IFERROR((S214-R214)/R214,0)</f>
        <v>0</v>
      </c>
      <c r="T215" s="47">
        <f>IFERROR((T214-S214)/S214,0)</f>
        <v>0</v>
      </c>
      <c r="U215" s="47">
        <f>IFERROR((U214-T214)/T214,0)</f>
        <v>0</v>
      </c>
      <c r="V215" s="47">
        <f>IFERROR((V214-U214)/U214,0)</f>
        <v>0</v>
      </c>
      <c r="W215" s="3" t="n"/>
      <c r="X215" s="47">
        <f>IFERROR((X214-W214)/W214,0)</f>
        <v>0</v>
      </c>
      <c r="Y215" s="47">
        <f>IFERROR((Y214-X214)/X214,0)</f>
        <v>0</v>
      </c>
      <c r="Z215" s="47">
        <f>IFERROR((Z214-Y214)/Y214,0)</f>
        <v>0</v>
      </c>
      <c r="AA215" s="47">
        <f>IFERROR((AA214-Z214)/Z214,0)</f>
        <v>0</v>
      </c>
      <c r="AB215" s="3" t="n"/>
      <c r="AC215" s="47">
        <f>IFERROR((AC214-AB214)/AB214,0)</f>
        <v>0</v>
      </c>
      <c r="AD215" s="47">
        <f>IFERROR((AD214-AC214)/AC214,0)</f>
        <v>0</v>
      </c>
      <c r="AE215" s="47">
        <f>IFERROR((AE214-AD214)/AD214,0)</f>
        <v>0</v>
      </c>
      <c r="AF215" s="6">
        <f>IFERROR((AF214-AE214)/AE214,0)</f>
        <v>0</v>
      </c>
      <c r="AG215" s="3" t="n"/>
      <c r="AH215" s="6">
        <f>IFERROR((AH214-AG214)/AG214,0)</f>
        <v>0</v>
      </c>
      <c r="AI215" s="6">
        <f>IFERROR((AI214-AH214)/AH214,0)</f>
        <v>0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62862</v>
      </c>
      <c r="E217" s="25">
        <f>INDEX('Inputs (2)'!$D$35:$AL$35,MATCH(E$7,'Inputs (2)'!$D$2:$AL$2,0))</f>
        <v>59578</v>
      </c>
      <c r="F217" s="25">
        <f>INDEX('Inputs (2)'!$D$35:$AL$35,MATCH(F$7,'Inputs (2)'!$D$2:$AL$2,0))</f>
        <v>57055</v>
      </c>
      <c r="G217" s="25">
        <f>INDEX('Inputs (2)'!$D$35:$AL$35,MATCH(G$7,'Inputs (2)'!$D$2:$AL$2,0))</f>
        <v>55136</v>
      </c>
      <c r="H217" s="3">
        <f>G217</f>
        <v>55136</v>
      </c>
      <c r="I217" s="25">
        <f>INDEX('Inputs (2)'!$D$35:$AL$35,MATCH(I$7,'Inputs (2)'!$D$2:$AL$2,0))</f>
        <v>50007</v>
      </c>
      <c r="J217" s="25">
        <f>INDEX('Inputs (2)'!$D$35:$AL$35,MATCH(J$7,'Inputs (2)'!$D$2:$AL$2,0))</f>
        <v>50074</v>
      </c>
      <c r="K217" s="25">
        <f>INDEX('Inputs (2)'!$D$35:$AL$35,MATCH(K$7,'Inputs (2)'!$D$2:$AL$2,0))</f>
        <v>50039</v>
      </c>
      <c r="L217" s="25">
        <f>INDEX('Inputs (2)'!$D$35:$AL$35,MATCH(L$7,'Inputs (2)'!$D$2:$AL$2,0))</f>
        <v>48260</v>
      </c>
      <c r="M217" s="3">
        <f>L217</f>
        <v>48260</v>
      </c>
      <c r="N217" s="25">
        <f>INDEX('Inputs (2)'!$D$35:$AL$35,MATCH(N$7,'Inputs (2)'!$D$2:$AL$2,0))</f>
        <v>48177</v>
      </c>
      <c r="O217" s="25">
        <f>INDEX('Inputs (2)'!$D$35:$AL$35,MATCH(O$7,'Inputs (2)'!$D$2:$AL$2,0))</f>
        <v>47032</v>
      </c>
      <c r="P217" s="25">
        <f>INDEX('Inputs (2)'!$D$35:$AL$35,MATCH(P$7,'Inputs (2)'!$D$2:$AL$2,0))</f>
        <v>45374</v>
      </c>
      <c r="Q217" s="25">
        <f>INDEX('Inputs (2)'!$D$35:$AL$35,MATCH(Q$7,'Inputs (2)'!$D$2:$AL$2,0))</f>
        <v>44119</v>
      </c>
      <c r="R217" s="3">
        <f>Q217</f>
        <v>44119</v>
      </c>
      <c r="S217" s="25">
        <f>INDEX('Inputs (2)'!$D$35:$AL$35,MATCH(S$7,'Inputs (2)'!$D$2:$AL$2,0))</f>
        <v>41965</v>
      </c>
      <c r="T217" s="25">
        <f>INDEX('Inputs (2)'!$D$35:$AL$35,MATCH(T$7,'Inputs (2)'!$D$2:$AL$2,0))</f>
        <v>41990</v>
      </c>
      <c r="U217" s="25">
        <f>INDEX('Inputs (2)'!$D$35:$AL$35,MATCH(U$7,'Inputs (2)'!$D$2:$AL$2,0))</f>
        <v>41946</v>
      </c>
      <c r="V217" s="25">
        <f>INDEX('Inputs (2)'!$D$35:$AL$35,MATCH(V$7,'Inputs (2)'!$D$2:$AL$2,0))</f>
        <v>44928</v>
      </c>
      <c r="W217" s="3">
        <f>V217</f>
        <v>44928</v>
      </c>
      <c r="X217" s="25">
        <f>INDEX('Inputs (2)'!$D$35:$AL$35,MATCH(X$7,'Inputs (2)'!$D$2:$AL$2,0))</f>
        <v>42658</v>
      </c>
      <c r="Y217" s="25">
        <f>INDEX('Inputs (2)'!$D$35:$AL$35,MATCH(Y$7,'Inputs (2)'!$D$2:$AL$2,0))</f>
        <v>42688</v>
      </c>
      <c r="Z217" s="25">
        <f>INDEX('Inputs (2)'!$D$35:$AL$35,MATCH(Z$7,'Inputs (2)'!$D$2:$AL$2,0))</f>
        <v>42868</v>
      </c>
      <c r="AA217" s="25">
        <f>INDEX('Inputs (2)'!$D$35:$AL$35,MATCH(AA$7,'Inputs (2)'!$D$2:$AL$2,0))</f>
        <v>39722</v>
      </c>
      <c r="AB217" s="3">
        <f>AA217</f>
        <v>39722</v>
      </c>
      <c r="AC217" s="25">
        <f>INDEX('Inputs (2)'!$D$35:$AL$35,MATCH(AC$7,'Inputs (2)'!$D$2:$AL$2,0))</f>
        <v>39882</v>
      </c>
      <c r="AD217" s="25">
        <f>INDEX('Inputs (2)'!$D$35:$AL$35,MATCH(AD$7,'Inputs (2)'!$D$2:$AL$2,0))</f>
        <v>40152</v>
      </c>
      <c r="AE217" s="25">
        <f>INDEX('Inputs (2)'!$D$35:$AL$35,MATCH(AE$7,'Inputs (2)'!$D$2:$AL$2,0))</f>
        <v>35376</v>
      </c>
      <c r="AF217" s="25">
        <f>INDEX('Inputs (2)'!$D$35:$AL$35,MATCH(AF$7,'Inputs (2)'!$D$2:$AL$2,0))</f>
        <v>35425</v>
      </c>
      <c r="AG217" s="3">
        <f>AF217</f>
        <v>35425</v>
      </c>
      <c r="AH217" s="3">
        <f>INDEX('Inputs (2)'!$D$35:$AL$35,MATCH(AH$7,'Inputs (2)'!$D$2:$AL$2,0))</f>
        <v>31423</v>
      </c>
      <c r="AI217" s="3">
        <f>INDEX('Inputs (2)'!$D$35:$AL$35,MATCH(AI$7,'Inputs (2)'!$D$2:$AL$2,0))</f>
        <v>31067</v>
      </c>
      <c r="AJ217" s="3">
        <f>AJ223</f>
        <v>31067</v>
      </c>
      <c r="AK217" s="3">
        <f>AK223</f>
        <v>31067</v>
      </c>
      <c r="AL217" s="3">
        <f>AK217</f>
        <v>31067</v>
      </c>
      <c r="AM217" s="3">
        <f>AM223</f>
        <v>31067</v>
      </c>
      <c r="AN217" s="3">
        <f>AN223</f>
        <v>31067</v>
      </c>
      <c r="AO217" s="3">
        <f>AO223</f>
        <v>31067</v>
      </c>
      <c r="AP217" s="3">
        <f>AP223</f>
        <v>31067</v>
      </c>
      <c r="AQ217" s="3">
        <f>AP217</f>
        <v>31067</v>
      </c>
      <c r="AR217" s="3">
        <f>AR223</f>
        <v>31067</v>
      </c>
      <c r="AS217" s="3">
        <f>AS223</f>
        <v>31067</v>
      </c>
      <c r="AT217" s="3">
        <f>AT223</f>
        <v>31067</v>
      </c>
      <c r="AU217" s="3">
        <f>AU223</f>
        <v>31067</v>
      </c>
      <c r="AV217" s="3">
        <f>AU217</f>
        <v>31067</v>
      </c>
      <c r="AW217" s="3">
        <f>AW223</f>
        <v>31067</v>
      </c>
      <c r="AX217" s="3">
        <f>AX223</f>
        <v>31067</v>
      </c>
      <c r="AY217" s="3">
        <f>AY223</f>
        <v>31067</v>
      </c>
      <c r="AZ217" s="3">
        <f>AZ223</f>
        <v>31067</v>
      </c>
      <c r="BA217" s="3">
        <f>AZ217</f>
        <v>31067</v>
      </c>
      <c r="BB217" s="3">
        <f>BB223</f>
        <v>31067</v>
      </c>
      <c r="BC217" s="3">
        <f>BC223</f>
        <v>31067</v>
      </c>
      <c r="BD217" s="3">
        <f>BD223</f>
        <v>31067</v>
      </c>
      <c r="BE217" s="3">
        <f>BE223</f>
        <v>31067</v>
      </c>
      <c r="BF217" s="3">
        <f>BE217</f>
        <v>31067</v>
      </c>
      <c r="BG217" s="3">
        <f>BG223</f>
        <v>31067</v>
      </c>
      <c r="BH217" s="3">
        <f>BH223</f>
        <v>31067</v>
      </c>
      <c r="BI217" s="3">
        <f>BI223</f>
        <v>31067</v>
      </c>
      <c r="BJ217" s="3">
        <f>BJ223</f>
        <v>31067</v>
      </c>
      <c r="BK217" s="3">
        <f>BJ217</f>
        <v>31067</v>
      </c>
      <c r="BL217" s="3">
        <f>BL223</f>
        <v>31067</v>
      </c>
      <c r="BM217" s="3">
        <f>BM223</f>
        <v>31067</v>
      </c>
      <c r="BN217" s="3">
        <f>BN223</f>
        <v>31067</v>
      </c>
      <c r="BO217" s="3">
        <f>BO223</f>
        <v>31067</v>
      </c>
      <c r="BP217" s="3">
        <f>BO217</f>
        <v>31067</v>
      </c>
      <c r="BQ217" s="3">
        <f>BQ223</f>
        <v>31067</v>
      </c>
      <c r="BR217" s="3">
        <f>BR223</f>
        <v>31067</v>
      </c>
      <c r="BS217" s="3">
        <f>BS223</f>
        <v>31067</v>
      </c>
      <c r="BT217" s="3">
        <f>BT223</f>
        <v>31067</v>
      </c>
      <c r="BU217" s="3">
        <f>BT217</f>
        <v>31067</v>
      </c>
      <c r="BV217" s="3">
        <f>BV223</f>
        <v>31067</v>
      </c>
      <c r="BW217" s="3">
        <f>BW223</f>
        <v>31067</v>
      </c>
      <c r="BX217" s="3">
        <f>BX223</f>
        <v>31067</v>
      </c>
      <c r="BY217" s="3">
        <f>BY223</f>
        <v>31067</v>
      </c>
      <c r="BZ217" s="3">
        <f>BY217</f>
        <v>31067</v>
      </c>
      <c r="CA217" s="3">
        <f>CA223</f>
        <v>31067</v>
      </c>
      <c r="CB217" s="3">
        <f>CB223</f>
        <v>31067</v>
      </c>
      <c r="CC217" s="3">
        <f>CC223</f>
        <v>31067</v>
      </c>
      <c r="CD217" s="3">
        <f>CD223</f>
        <v>31067</v>
      </c>
      <c r="CE217" s="3">
        <f>CD217</f>
        <v>31067</v>
      </c>
      <c r="CF217" s="3">
        <f>CF223</f>
        <v>31067</v>
      </c>
      <c r="CG217" s="3">
        <f>CG223</f>
        <v>31067</v>
      </c>
      <c r="CH217" s="3">
        <f>CH223</f>
        <v>31067</v>
      </c>
      <c r="CI217" s="3">
        <f>CI223</f>
        <v>31067</v>
      </c>
      <c r="CJ217" s="3">
        <f>CI217</f>
        <v>31067</v>
      </c>
      <c r="CK217" s="3">
        <f>CK223</f>
        <v>31067</v>
      </c>
      <c r="CL217" s="3">
        <f>CL223</f>
        <v>31067</v>
      </c>
      <c r="CM217" s="3">
        <f>CM223</f>
        <v>31067</v>
      </c>
      <c r="CN217" s="3">
        <f>CN223</f>
        <v>31067</v>
      </c>
      <c r="CO217" s="3">
        <f>CN217</f>
        <v>31067</v>
      </c>
      <c r="CP217" s="3">
        <f>CP223</f>
        <v>31067</v>
      </c>
      <c r="CQ217" s="3">
        <f>CQ223</f>
        <v>31067</v>
      </c>
      <c r="CR217" s="3">
        <f>CR223</f>
        <v>31067</v>
      </c>
      <c r="CS217" s="3">
        <f>CS223</f>
        <v>31067</v>
      </c>
      <c r="CT217" s="3">
        <f>CS217</f>
        <v>31067</v>
      </c>
      <c r="CU217" s="3">
        <f>CU223</f>
        <v>31067</v>
      </c>
      <c r="CV217" s="3">
        <f>CV223</f>
        <v>31067</v>
      </c>
      <c r="CW217" s="3">
        <f>CW223</f>
        <v>31067</v>
      </c>
      <c r="CX217" s="3">
        <f>CX223</f>
        <v>31067</v>
      </c>
      <c r="CY217" s="3">
        <f>CX217</f>
        <v>31067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4837</v>
      </c>
      <c r="AI219" s="35" t="n"/>
      <c r="AJ219" s="35" t="n"/>
      <c r="AK219" s="35" t="n"/>
      <c r="AL219" s="3" t="n"/>
      <c r="AM219" s="3">
        <f>AK212</f>
        <v>9227</v>
      </c>
      <c r="AN219" s="35" t="n"/>
      <c r="AO219" s="35" t="n"/>
      <c r="AP219" s="35" t="n"/>
      <c r="AQ219" s="3" t="n"/>
      <c r="AR219" s="3">
        <f>AP212</f>
        <v>9227</v>
      </c>
      <c r="AS219" s="35" t="n"/>
      <c r="AT219" s="35" t="n"/>
      <c r="AU219" s="35" t="n"/>
      <c r="AV219" s="3" t="n"/>
      <c r="AW219" s="3">
        <f>AU212</f>
        <v>9227</v>
      </c>
      <c r="AX219" s="35" t="n"/>
      <c r="AY219" s="35" t="n"/>
      <c r="AZ219" s="35" t="n"/>
      <c r="BA219" s="3" t="n"/>
      <c r="BB219" s="3">
        <f>AZ212</f>
        <v>9227</v>
      </c>
      <c r="BC219" s="35" t="n"/>
      <c r="BD219" s="35" t="n"/>
      <c r="BE219" s="35" t="n"/>
      <c r="BF219" s="3" t="n"/>
      <c r="BG219" s="3">
        <f>BE212</f>
        <v>9227</v>
      </c>
      <c r="BH219" s="35" t="n"/>
      <c r="BI219" s="35" t="n"/>
      <c r="BJ219" s="35" t="n"/>
      <c r="BK219" s="3" t="n"/>
      <c r="BL219" s="3">
        <f>BJ212</f>
        <v>9227</v>
      </c>
      <c r="BM219" s="35" t="n"/>
      <c r="BN219" s="35" t="n"/>
      <c r="BO219" s="35" t="n"/>
      <c r="BP219" s="3" t="n"/>
      <c r="BQ219" s="3">
        <f>BO212</f>
        <v>9227</v>
      </c>
      <c r="BR219" s="35" t="n"/>
      <c r="BS219" s="35" t="n"/>
      <c r="BT219" s="35" t="n"/>
      <c r="BU219" s="3" t="n"/>
      <c r="BV219" s="3">
        <f>BT212</f>
        <v>9227</v>
      </c>
      <c r="BW219" s="35" t="n"/>
      <c r="BX219" s="35" t="n"/>
      <c r="BY219" s="35" t="n"/>
      <c r="BZ219" s="3" t="n"/>
      <c r="CA219" s="3">
        <f>BY212</f>
        <v>9227</v>
      </c>
      <c r="CB219" s="35" t="n"/>
      <c r="CC219" s="35" t="n"/>
      <c r="CD219" s="35" t="n"/>
      <c r="CE219" s="3" t="n"/>
      <c r="CF219" s="3">
        <f>CD212</f>
        <v>9227</v>
      </c>
      <c r="CG219" s="35" t="n"/>
      <c r="CH219" s="35" t="n"/>
      <c r="CI219" s="35" t="n"/>
      <c r="CJ219" s="3" t="n"/>
      <c r="CK219" s="3">
        <f>CI212</f>
        <v>9227</v>
      </c>
      <c r="CL219" s="35" t="n"/>
      <c r="CM219" s="35" t="n"/>
      <c r="CN219" s="35" t="n"/>
      <c r="CO219" s="3" t="n"/>
      <c r="CP219" s="3">
        <f>CN212</f>
        <v>9227</v>
      </c>
      <c r="CQ219" s="35" t="n"/>
      <c r="CR219" s="35" t="n"/>
      <c r="CS219" s="35" t="n"/>
      <c r="CT219" s="3" t="n"/>
      <c r="CU219" s="3">
        <f>CS212</f>
        <v>9227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35425</v>
      </c>
      <c r="AI223" s="3">
        <f>AH223+SUM(AI221:AI222)</f>
        <v>35425</v>
      </c>
      <c r="AJ223" s="3">
        <f>AI217+SUM(AJ221:AJ222)</f>
        <v>31067</v>
      </c>
      <c r="AK223" s="3">
        <f>AJ223+SUM(AK221:AK222)</f>
        <v>31067</v>
      </c>
      <c r="AL223" s="3" t="n"/>
      <c r="AM223" s="3">
        <f>AK223+SUM(AM221:AM222)</f>
        <v>31067</v>
      </c>
      <c r="AN223" s="3">
        <f>AM223+SUM(AN221:AN222)</f>
        <v>31067</v>
      </c>
      <c r="AO223" s="3">
        <f>AN223+SUM(AO221:AO222)</f>
        <v>31067</v>
      </c>
      <c r="AP223" s="3">
        <f>AO223+SUM(AP221:AP222)</f>
        <v>31067</v>
      </c>
      <c r="AQ223" s="3" t="n"/>
      <c r="AR223" s="3">
        <f>AP223+SUM(AR221:AR222)</f>
        <v>31067</v>
      </c>
      <c r="AS223" s="3">
        <f>AR223+SUM(AS221:AS222)</f>
        <v>31067</v>
      </c>
      <c r="AT223" s="3">
        <f>AS223+SUM(AT221:AT222)</f>
        <v>31067</v>
      </c>
      <c r="AU223" s="3">
        <f>AT223+SUM(AU221:AU222)</f>
        <v>31067</v>
      </c>
      <c r="AV223" s="3" t="n"/>
      <c r="AW223" s="3">
        <f>AU223+SUM(AW221:AW222)</f>
        <v>31067</v>
      </c>
      <c r="AX223" s="3">
        <f>AW223+SUM(AX221:AX222)</f>
        <v>31067</v>
      </c>
      <c r="AY223" s="3">
        <f>AX223+SUM(AY221:AY222)</f>
        <v>31067</v>
      </c>
      <c r="AZ223" s="3">
        <f>AY223+SUM(AZ221:AZ222)</f>
        <v>31067</v>
      </c>
      <c r="BA223" s="3" t="n"/>
      <c r="BB223" s="3">
        <f>AZ223+SUM(BB221:BB222)</f>
        <v>31067</v>
      </c>
      <c r="BC223" s="3">
        <f>BB223+SUM(BC221:BC222)</f>
        <v>31067</v>
      </c>
      <c r="BD223" s="3">
        <f>BC223+SUM(BD221:BD222)</f>
        <v>31067</v>
      </c>
      <c r="BE223" s="3">
        <f>BD223+SUM(BE221:BE222)</f>
        <v>31067</v>
      </c>
      <c r="BF223" s="3" t="n"/>
      <c r="BG223" s="3">
        <f>BE223+SUM(BG221:BG222)</f>
        <v>31067</v>
      </c>
      <c r="BH223" s="3">
        <f>BG223+SUM(BH221:BH222)</f>
        <v>31067</v>
      </c>
      <c r="BI223" s="3">
        <f>BH223+SUM(BI221:BI222)</f>
        <v>31067</v>
      </c>
      <c r="BJ223" s="3">
        <f>BI223+SUM(BJ221:BJ222)</f>
        <v>31067</v>
      </c>
      <c r="BK223" s="3" t="n"/>
      <c r="BL223" s="3">
        <f>BJ223+SUM(BL221:BL222)</f>
        <v>31067</v>
      </c>
      <c r="BM223" s="3">
        <f>BL223+SUM(BM221:BM222)</f>
        <v>31067</v>
      </c>
      <c r="BN223" s="3">
        <f>BM223+SUM(BN221:BN222)</f>
        <v>31067</v>
      </c>
      <c r="BO223" s="3">
        <f>BN223+SUM(BO221:BO222)</f>
        <v>31067</v>
      </c>
      <c r="BP223" s="3" t="n"/>
      <c r="BQ223" s="3">
        <f>BO223+SUM(BQ221:BQ222)</f>
        <v>31067</v>
      </c>
      <c r="BR223" s="3">
        <f>BQ223+SUM(BR221:BR222)</f>
        <v>31067</v>
      </c>
      <c r="BS223" s="3">
        <f>BR223+SUM(BS221:BS222)</f>
        <v>31067</v>
      </c>
      <c r="BT223" s="3">
        <f>BS223+SUM(BT221:BT222)</f>
        <v>31067</v>
      </c>
      <c r="BU223" s="3" t="n"/>
      <c r="BV223" s="3">
        <f>BT223+SUM(BV221:BV222)</f>
        <v>31067</v>
      </c>
      <c r="BW223" s="3">
        <f>BV223+SUM(BW221:BW222)</f>
        <v>31067</v>
      </c>
      <c r="BX223" s="3">
        <f>BW223+SUM(BX221:BX222)</f>
        <v>31067</v>
      </c>
      <c r="BY223" s="3">
        <f>BX223+SUM(BY221:BY222)</f>
        <v>31067</v>
      </c>
      <c r="BZ223" s="3" t="n"/>
      <c r="CA223" s="3">
        <f>BY223+SUM(CA221:CA222)</f>
        <v>31067</v>
      </c>
      <c r="CB223" s="3">
        <f>CA223+SUM(CB221:CB222)</f>
        <v>31067</v>
      </c>
      <c r="CC223" s="3">
        <f>CB223+SUM(CC221:CC222)</f>
        <v>31067</v>
      </c>
      <c r="CD223" s="3">
        <f>CC223+SUM(CD221:CD222)</f>
        <v>31067</v>
      </c>
      <c r="CE223" s="3" t="n"/>
      <c r="CF223" s="3">
        <f>CD223+SUM(CF221:CF222)</f>
        <v>31067</v>
      </c>
      <c r="CG223" s="3">
        <f>CF223+SUM(CG221:CG222)</f>
        <v>31067</v>
      </c>
      <c r="CH223" s="3">
        <f>CG223+SUM(CH221:CH222)</f>
        <v>31067</v>
      </c>
      <c r="CI223" s="3">
        <f>CH223+SUM(CI221:CI222)</f>
        <v>31067</v>
      </c>
      <c r="CJ223" s="3" t="n"/>
      <c r="CK223" s="3">
        <f>CI223+SUM(CK221:CK222)</f>
        <v>31067</v>
      </c>
      <c r="CL223" s="3">
        <f>CK223+SUM(CL221:CL222)</f>
        <v>31067</v>
      </c>
      <c r="CM223" s="3">
        <f>CL223+SUM(CM221:CM222)</f>
        <v>31067</v>
      </c>
      <c r="CN223" s="3">
        <f>CM223+SUM(CN221:CN222)</f>
        <v>31067</v>
      </c>
      <c r="CO223" s="3" t="n"/>
      <c r="CP223" s="3">
        <f>CN223+SUM(CP221:CP222)</f>
        <v>31067</v>
      </c>
      <c r="CQ223" s="3">
        <f>CP223+SUM(CQ221:CQ222)</f>
        <v>31067</v>
      </c>
      <c r="CR223" s="3">
        <f>CQ223+SUM(CR221:CR222)</f>
        <v>31067</v>
      </c>
      <c r="CS223" s="3">
        <f>CR223+SUM(CS221:CS222)</f>
        <v>31067</v>
      </c>
      <c r="CT223" s="3" t="n"/>
      <c r="CU223" s="3">
        <f>CS223+SUM(CU221:CU222)</f>
        <v>31067</v>
      </c>
      <c r="CV223" s="3">
        <f>CU223+SUM(CV221:CV222)</f>
        <v>31067</v>
      </c>
      <c r="CW223" s="3">
        <f>CV223+SUM(CW221:CW222)</f>
        <v>31067</v>
      </c>
      <c r="CX223" s="3">
        <f>CW223+SUM(CX221:CX222)</f>
        <v>31067</v>
      </c>
      <c r="CY223" s="3" t="n"/>
      <c r="CZ223">
        <f>CX223+SUM(CZ221:CZ222)</f>
        <v>31067</v>
      </c>
      <c r="DA223">
        <f>CZ223+SUM(DA221:DA222)</f>
        <v>31067</v>
      </c>
      <c r="DB223">
        <f>DA223+SUM(DB221:DB222)</f>
        <v>31067</v>
      </c>
      <c r="DC223">
        <f>DB223+SUM(DC221:DC222)</f>
        <v>31067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89462</v>
      </c>
      <c r="AI229" s="3" t="n"/>
      <c r="AJ229" s="3" t="n"/>
      <c r="AK229" s="3" t="n"/>
      <c r="AL229" s="3" t="n"/>
      <c r="AM229" s="36">
        <f>AL144</f>
        <v>123833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-10548</v>
      </c>
      <c r="AI230" s="37">
        <f>SUM(AI293,AI300)+SUM(AI302:AI308)</f>
        <v>-1290</v>
      </c>
      <c r="AJ230" s="37">
        <f>SUM(AJ293,AJ300)+SUM(AJ302:AJ308)</f>
        <v>42707</v>
      </c>
      <c r="AK230" s="37">
        <f>SUM(AK293,AK300)+SUM(AK302:AK308)</f>
        <v>4283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78914</v>
      </c>
      <c r="AI232" s="1">
        <f>AI229+AI230-AI231-AG219+AI221+AI225</f>
        <v>-1290</v>
      </c>
      <c r="AJ232" s="1">
        <f>AJ229+AJ230-AJ231-AH219+AJ221+AJ225</f>
        <v>37870</v>
      </c>
      <c r="AK232" s="1">
        <f>AK229+AK230-AK231-AI219+AK221+AK225</f>
        <v>4283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1290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7248</v>
      </c>
      <c r="E235" s="25">
        <f>INDEX('Inputs (2)'!$D$36:$AL$36,MATCH(E$7,'Inputs (2)'!$D$2:$AL$2,0))</f>
        <v>7671</v>
      </c>
      <c r="F235" s="25">
        <f>INDEX('Inputs (2)'!$D$36:$AL$36,MATCH(F$7,'Inputs (2)'!$D$2:$AL$2,0))</f>
        <v>7753</v>
      </c>
      <c r="G235" s="25">
        <f>INDEX('Inputs (2)'!$D$36:$AL$36,MATCH(G$7,'Inputs (2)'!$D$2:$AL$2,0))</f>
        <v>8875</v>
      </c>
      <c r="H235" s="3">
        <f>G235</f>
        <v>8875</v>
      </c>
      <c r="I235" s="25">
        <f>INDEX('Inputs (2)'!$D$36:$AL$36,MATCH(I$7,'Inputs (2)'!$D$2:$AL$2,0))</f>
        <v>9272</v>
      </c>
      <c r="J235" s="25">
        <f>INDEX('Inputs (2)'!$D$36:$AL$36,MATCH(J$7,'Inputs (2)'!$D$2:$AL$2,0))</f>
        <v>9629</v>
      </c>
      <c r="K235" s="25">
        <f>INDEX('Inputs (2)'!$D$36:$AL$36,MATCH(K$7,'Inputs (2)'!$D$2:$AL$2,0))</f>
        <v>10050</v>
      </c>
      <c r="L235" s="25">
        <f>INDEX('Inputs (2)'!$D$36:$AL$36,MATCH(L$7,'Inputs (2)'!$D$2:$AL$2,0))</f>
        <v>10774</v>
      </c>
      <c r="M235" s="3">
        <f>L235</f>
        <v>10774</v>
      </c>
      <c r="N235" s="25">
        <f>INDEX('Inputs (2)'!$D$36:$AL$36,MATCH(N$7,'Inputs (2)'!$D$2:$AL$2,0))</f>
        <v>11357</v>
      </c>
      <c r="O235" s="25">
        <f>INDEX('Inputs (2)'!$D$36:$AL$36,MATCH(O$7,'Inputs (2)'!$D$2:$AL$2,0))</f>
        <v>11489</v>
      </c>
      <c r="P235" s="25">
        <f>INDEX('Inputs (2)'!$D$36:$AL$36,MATCH(P$7,'Inputs (2)'!$D$2:$AL$2,0))</f>
        <v>11660</v>
      </c>
      <c r="Q235" s="25">
        <f>INDEX('Inputs (2)'!$D$36:$AL$36,MATCH(Q$7,'Inputs (2)'!$D$2:$AL$2,0))</f>
        <v>11998</v>
      </c>
      <c r="R235" s="3">
        <f>Q235</f>
        <v>11998</v>
      </c>
      <c r="S235" s="25">
        <f>INDEX('Inputs (2)'!$D$36:$AL$36,MATCH(S$7,'Inputs (2)'!$D$2:$AL$2,0))</f>
        <v>12312</v>
      </c>
      <c r="T235" s="25">
        <f>INDEX('Inputs (2)'!$D$36:$AL$36,MATCH(T$7,'Inputs (2)'!$D$2:$AL$2,0))</f>
        <v>12728</v>
      </c>
      <c r="U235" s="25">
        <f>INDEX('Inputs (2)'!$D$36:$AL$36,MATCH(U$7,'Inputs (2)'!$D$2:$AL$2,0))</f>
        <v>13487</v>
      </c>
      <c r="V235" s="25">
        <f>INDEX('Inputs (2)'!$D$36:$AL$36,MATCH(V$7,'Inputs (2)'!$D$2:$AL$2,0))</f>
        <v>14155</v>
      </c>
      <c r="W235" s="3">
        <f>V235</f>
        <v>14155</v>
      </c>
      <c r="X235" s="25">
        <f>INDEX('Inputs (2)'!$D$36:$AL$36,MATCH(X$7,'Inputs (2)'!$D$2:$AL$2,0))</f>
        <v>14469</v>
      </c>
      <c r="Y235" s="25">
        <f>INDEX('Inputs (2)'!$D$36:$AL$36,MATCH(Y$7,'Inputs (2)'!$D$2:$AL$2,0))</f>
        <v>15497</v>
      </c>
      <c r="Z235" s="25">
        <f>INDEX('Inputs (2)'!$D$36:$AL$36,MATCH(Z$7,'Inputs (2)'!$D$2:$AL$2,0))</f>
        <v>16361</v>
      </c>
      <c r="AA235" s="25">
        <f>INDEX('Inputs (2)'!$D$36:$AL$36,MATCH(AA$7,'Inputs (2)'!$D$2:$AL$2,0))</f>
        <v>17254</v>
      </c>
      <c r="AB235" s="3">
        <f>AA235</f>
        <v>17254</v>
      </c>
      <c r="AC235" s="25">
        <f>INDEX('Inputs (2)'!$D$36:$AL$36,MATCH(AC$7,'Inputs (2)'!$D$2:$AL$2,0))</f>
        <v>17686</v>
      </c>
      <c r="AD235" s="25">
        <f>INDEX('Inputs (2)'!$D$36:$AL$36,MATCH(AD$7,'Inputs (2)'!$D$2:$AL$2,0))</f>
        <v>17437</v>
      </c>
      <c r="AE235" s="25">
        <f>INDEX('Inputs (2)'!$D$36:$AL$36,MATCH(AE$7,'Inputs (2)'!$D$2:$AL$2,0))</f>
        <v>17348</v>
      </c>
      <c r="AF235" s="25">
        <f>INDEX('Inputs (2)'!$D$36:$AL$36,MATCH(AF$7,'Inputs (2)'!$D$2:$AL$2,0))</f>
        <v>17345</v>
      </c>
      <c r="AG235" s="3">
        <f>AF235</f>
        <v>17345</v>
      </c>
      <c r="AH235" s="3">
        <f>INDEX('Inputs (2)'!$D$36:$AL$36,MATCH(AH$7,'Inputs (2)'!$D$2:$AL$2,0))</f>
        <v>16703</v>
      </c>
      <c r="AI235" s="3">
        <f>INDEX('Inputs (2)'!$D$36:$AL$36,MATCH(AI$7,'Inputs (2)'!$D$2:$AL$2,0))</f>
        <v>16532</v>
      </c>
      <c r="AJ235" s="3">
        <f>AI235</f>
        <v>16532</v>
      </c>
      <c r="AK235" s="3">
        <f>AJ235</f>
        <v>16532</v>
      </c>
      <c r="AL235" s="3">
        <f>AK235</f>
        <v>16532</v>
      </c>
      <c r="AM235" s="3">
        <f>AL235</f>
        <v>16532</v>
      </c>
      <c r="AN235" s="3">
        <f>AM235</f>
        <v>16532</v>
      </c>
      <c r="AO235" s="3">
        <f>AN235</f>
        <v>16532</v>
      </c>
      <c r="AP235" s="3">
        <f>AO235</f>
        <v>16532</v>
      </c>
      <c r="AQ235" s="3">
        <f>AP235</f>
        <v>16532</v>
      </c>
      <c r="AR235" s="3">
        <f>AQ235</f>
        <v>16532</v>
      </c>
      <c r="AS235" s="3">
        <f>AR235</f>
        <v>16532</v>
      </c>
      <c r="AT235" s="3">
        <f>AS235</f>
        <v>16532</v>
      </c>
      <c r="AU235" s="3">
        <f>AT235</f>
        <v>16532</v>
      </c>
      <c r="AV235" s="3">
        <f>AU235</f>
        <v>16532</v>
      </c>
      <c r="AW235" s="3">
        <f>AV235</f>
        <v>16532</v>
      </c>
      <c r="AX235" s="3">
        <f>AW235</f>
        <v>16532</v>
      </c>
      <c r="AY235" s="3">
        <f>AX235</f>
        <v>16532</v>
      </c>
      <c r="AZ235" s="3">
        <f>AY235</f>
        <v>16532</v>
      </c>
      <c r="BA235" s="3">
        <f>AZ235</f>
        <v>16532</v>
      </c>
      <c r="BB235" s="3">
        <f>BA235</f>
        <v>16532</v>
      </c>
      <c r="BC235" s="3">
        <f>BB235</f>
        <v>16532</v>
      </c>
      <c r="BD235" s="3">
        <f>BC235</f>
        <v>16532</v>
      </c>
      <c r="BE235" s="3">
        <f>BD235</f>
        <v>16532</v>
      </c>
      <c r="BF235" s="3">
        <f>BE235</f>
        <v>16532</v>
      </c>
      <c r="BG235" s="3">
        <f>BF235</f>
        <v>16532</v>
      </c>
      <c r="BH235" s="3">
        <f>BG235</f>
        <v>16532</v>
      </c>
      <c r="BI235" s="3">
        <f>BH235</f>
        <v>16532</v>
      </c>
      <c r="BJ235" s="3">
        <f>BI235</f>
        <v>16532</v>
      </c>
      <c r="BK235" s="3">
        <f>BJ235</f>
        <v>16532</v>
      </c>
      <c r="BL235" s="3">
        <f>BK235</f>
        <v>16532</v>
      </c>
      <c r="BM235" s="3">
        <f>BL235</f>
        <v>16532</v>
      </c>
      <c r="BN235" s="3">
        <f>BM235</f>
        <v>16532</v>
      </c>
      <c r="BO235" s="3">
        <f>BN235</f>
        <v>16532</v>
      </c>
      <c r="BP235" s="3">
        <f>BO235</f>
        <v>16532</v>
      </c>
      <c r="BQ235" s="3">
        <f>BP235</f>
        <v>16532</v>
      </c>
      <c r="BR235" s="3">
        <f>BQ235</f>
        <v>16532</v>
      </c>
      <c r="BS235" s="3">
        <f>BR235</f>
        <v>16532</v>
      </c>
      <c r="BT235" s="3">
        <f>BS235</f>
        <v>16532</v>
      </c>
      <c r="BU235" s="3">
        <f>BT235</f>
        <v>16532</v>
      </c>
      <c r="BV235" s="3">
        <f>BU235</f>
        <v>16532</v>
      </c>
      <c r="BW235" s="3">
        <f>BV235</f>
        <v>16532</v>
      </c>
      <c r="BX235" s="3">
        <f>BW235</f>
        <v>16532</v>
      </c>
      <c r="BY235" s="3">
        <f>BX235</f>
        <v>16532</v>
      </c>
      <c r="BZ235" s="3">
        <f>BY235</f>
        <v>16532</v>
      </c>
      <c r="CA235" s="3">
        <f>BZ235</f>
        <v>16532</v>
      </c>
      <c r="CB235" s="3">
        <f>CA235</f>
        <v>16532</v>
      </c>
      <c r="CC235" s="3">
        <f>CB235</f>
        <v>16532</v>
      </c>
      <c r="CD235" s="3">
        <f>CC235</f>
        <v>16532</v>
      </c>
      <c r="CE235" s="3">
        <f>CD235</f>
        <v>16532</v>
      </c>
      <c r="CF235" s="3">
        <f>CE235</f>
        <v>16532</v>
      </c>
      <c r="CG235" s="3">
        <f>CF235</f>
        <v>16532</v>
      </c>
      <c r="CH235" s="3">
        <f>CG235</f>
        <v>16532</v>
      </c>
      <c r="CI235" s="3">
        <f>CH235</f>
        <v>16532</v>
      </c>
      <c r="CJ235" s="3">
        <f>CI235</f>
        <v>16532</v>
      </c>
      <c r="CK235" s="3">
        <f>CJ235</f>
        <v>16532</v>
      </c>
      <c r="CL235" s="3">
        <f>CK235</f>
        <v>16532</v>
      </c>
      <c r="CM235" s="3">
        <f>CL235</f>
        <v>16532</v>
      </c>
      <c r="CN235" s="3">
        <f>CM235</f>
        <v>16532</v>
      </c>
      <c r="CO235" s="3">
        <f>CN235</f>
        <v>16532</v>
      </c>
      <c r="CP235" s="3">
        <f>CO235</f>
        <v>16532</v>
      </c>
      <c r="CQ235" s="3">
        <f>CP235</f>
        <v>16532</v>
      </c>
      <c r="CR235" s="3">
        <f>CQ235</f>
        <v>16532</v>
      </c>
      <c r="CS235" s="3">
        <f>CR235</f>
        <v>16532</v>
      </c>
      <c r="CT235" s="3">
        <f>CS235</f>
        <v>16532</v>
      </c>
      <c r="CU235" s="3">
        <f>CT235</f>
        <v>16532</v>
      </c>
      <c r="CV235" s="3">
        <f>CU235</f>
        <v>16532</v>
      </c>
      <c r="CW235" s="3">
        <f>CV235</f>
        <v>16532</v>
      </c>
      <c r="CX235" s="3">
        <f>CW235</f>
        <v>16532</v>
      </c>
      <c r="CY235" s="3">
        <f>CX235</f>
        <v>16532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0.0583609271523179</v>
      </c>
      <c r="F236" s="47">
        <f>IFERROR((F235-E235)/E235,0)</f>
        <v>0.0106896102203103</v>
      </c>
      <c r="G236" s="47">
        <f>IFERROR((G235-F235)/F235,0)</f>
        <v>0.144718173610215</v>
      </c>
      <c r="H236" s="3" t="n"/>
      <c r="I236" s="47">
        <f>IFERROR((I235-H235)/H235,0)</f>
        <v>0.0447323943661972</v>
      </c>
      <c r="J236" s="47">
        <f>IFERROR((J235-I235)/I235,0)</f>
        <v>0.0385030198446937</v>
      </c>
      <c r="K236" s="47">
        <f>IFERROR((K235-J235)/J235,0)</f>
        <v>0.0437220895212379</v>
      </c>
      <c r="L236" s="47">
        <f>IFERROR((L235-K235)/K235,0)</f>
        <v>0.0720398009950249</v>
      </c>
      <c r="M236" s="3" t="n"/>
      <c r="N236" s="47">
        <f>IFERROR((N235-M235)/M235,0)</f>
        <v>0.0541117505104882</v>
      </c>
      <c r="O236" s="47">
        <f>IFERROR((O235-N235)/N235,0)</f>
        <v>0.0116227877080215</v>
      </c>
      <c r="P236" s="47">
        <f>IFERROR((P235-O235)/O235,0)</f>
        <v>0.0148838018974671</v>
      </c>
      <c r="Q236" s="47">
        <f>IFERROR((Q235-P235)/P235,0)</f>
        <v>0.0289879931389365</v>
      </c>
      <c r="R236" s="3" t="n"/>
      <c r="S236" s="47">
        <f>IFERROR((S235-R235)/R235,0)</f>
        <v>0.0261710285047508</v>
      </c>
      <c r="T236" s="47">
        <f>IFERROR((T235-S235)/S235,0)</f>
        <v>0.0337881741390513</v>
      </c>
      <c r="U236" s="47">
        <f>IFERROR((U235-T235)/T235,0)</f>
        <v>0.05963230672533</v>
      </c>
      <c r="V236" s="47">
        <f>IFERROR((V235-U235)/U235,0)</f>
        <v>0.0495291762437903</v>
      </c>
      <c r="W236" s="3" t="n"/>
      <c r="X236" s="47">
        <f>IFERROR((X235-W235)/W235,0)</f>
        <v>0.0221829742140586</v>
      </c>
      <c r="Y236" s="47">
        <f>IFERROR((Y235-X235)/X235,0)</f>
        <v>0.071048448406939</v>
      </c>
      <c r="Z236" s="47">
        <f>IFERROR((Z235-Y235)/Y235,0)</f>
        <v>0.0557527263341292</v>
      </c>
      <c r="AA236" s="47">
        <f>IFERROR((AA235-Z235)/Z235,0)</f>
        <v>0.0545810158303282</v>
      </c>
      <c r="AB236" s="3" t="n"/>
      <c r="AC236" s="47">
        <f>IFERROR((AC235-AB235)/AB235,0)</f>
        <v>0.0250376724237858</v>
      </c>
      <c r="AD236" s="47">
        <f>IFERROR((AD235-AC235)/AC235,0)</f>
        <v>-0.0140789324889743</v>
      </c>
      <c r="AE236" s="47">
        <f>IFERROR((AE235-AD235)/AD235,0)</f>
        <v>-0.00510408900613638</v>
      </c>
      <c r="AF236" s="230">
        <f>IFERROR((AF235-AE235)/AE235,0)</f>
        <v>-0.000172930597186996</v>
      </c>
      <c r="AG236" s="3" t="n"/>
      <c r="AH236" s="6">
        <f>IFERROR((AH235-AG235)/AG235,0)</f>
        <v>-0.0370135485730758</v>
      </c>
      <c r="AI236" s="6">
        <f>IFERROR((AI235-AH235)/AH235,0)</f>
        <v>-0.0102376818535592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185</v>
      </c>
      <c r="E239" s="25">
        <f>INDEX('Inputs (2)'!$D$38:$AL$38,MATCH(E$7,'Inputs (2)'!$D$2:$AL$2,0))</f>
        <v>204</v>
      </c>
      <c r="F239" s="25">
        <f>INDEX('Inputs (2)'!$D$38:$AL$38,MATCH(F$7,'Inputs (2)'!$D$2:$AL$2,0))</f>
        <v>187</v>
      </c>
      <c r="G239" s="25">
        <f>INDEX('Inputs (2)'!$D$38:$AL$38,MATCH(G$7,'Inputs (2)'!$D$2:$AL$2,0))</f>
        <v>174</v>
      </c>
      <c r="H239" s="3">
        <f>G239</f>
        <v>174</v>
      </c>
      <c r="I239" s="25">
        <f>INDEX('Inputs (2)'!$D$38:$AL$38,MATCH(I$7,'Inputs (2)'!$D$2:$AL$2,0))</f>
        <v>173</v>
      </c>
      <c r="J239" s="25">
        <f>INDEX('Inputs (2)'!$D$38:$AL$38,MATCH(J$7,'Inputs (2)'!$D$2:$AL$2,0))</f>
        <v>198</v>
      </c>
      <c r="K239" s="25">
        <f>INDEX('Inputs (2)'!$D$38:$AL$38,MATCH(K$7,'Inputs (2)'!$D$2:$AL$2,0))</f>
        <v>212</v>
      </c>
      <c r="L239" s="25">
        <f>INDEX('Inputs (2)'!$D$38:$AL$38,MATCH(L$7,'Inputs (2)'!$D$2:$AL$2,0))</f>
        <v>199</v>
      </c>
      <c r="M239" s="3">
        <f>L239</f>
        <v>199</v>
      </c>
      <c r="N239" s="25">
        <f>INDEX('Inputs (2)'!$D$38:$AL$38,MATCH(N$7,'Inputs (2)'!$D$2:$AL$2,0))</f>
        <v>304</v>
      </c>
      <c r="O239" s="25">
        <f>INDEX('Inputs (2)'!$D$38:$AL$38,MATCH(O$7,'Inputs (2)'!$D$2:$AL$2,0))</f>
        <v>230</v>
      </c>
      <c r="P239" s="25">
        <f>INDEX('Inputs (2)'!$D$38:$AL$38,MATCH(P$7,'Inputs (2)'!$D$2:$AL$2,0))</f>
        <v>223</v>
      </c>
      <c r="Q239" s="25">
        <f>INDEX('Inputs (2)'!$D$38:$AL$38,MATCH(Q$7,'Inputs (2)'!$D$2:$AL$2,0))</f>
        <v>289</v>
      </c>
      <c r="R239" s="3">
        <f>Q239</f>
        <v>289</v>
      </c>
      <c r="S239" s="25">
        <f>INDEX('Inputs (2)'!$D$38:$AL$38,MATCH(S$7,'Inputs (2)'!$D$2:$AL$2,0))</f>
        <v>302</v>
      </c>
      <c r="T239" s="25">
        <f>INDEX('Inputs (2)'!$D$38:$AL$38,MATCH(T$7,'Inputs (2)'!$D$2:$AL$2,0))</f>
        <v>433</v>
      </c>
      <c r="U239" s="25">
        <f>INDEX('Inputs (2)'!$D$38:$AL$38,MATCH(U$7,'Inputs (2)'!$D$2:$AL$2,0))</f>
        <v>470</v>
      </c>
      <c r="V239" s="25">
        <f>INDEX('Inputs (2)'!$D$38:$AL$38,MATCH(V$7,'Inputs (2)'!$D$2:$AL$2,0))</f>
        <v>2548</v>
      </c>
      <c r="W239" s="3">
        <f>V239</f>
        <v>2548</v>
      </c>
      <c r="X239" s="25">
        <f>INDEX('Inputs (2)'!$D$38:$AL$38,MATCH(X$7,'Inputs (2)'!$D$2:$AL$2,0))</f>
        <v>2469</v>
      </c>
      <c r="Y239" s="25">
        <f>INDEX('Inputs (2)'!$D$38:$AL$38,MATCH(Y$7,'Inputs (2)'!$D$2:$AL$2,0))</f>
        <v>2618</v>
      </c>
      <c r="Z239" s="25">
        <f>INDEX('Inputs (2)'!$D$38:$AL$38,MATCH(Z$7,'Inputs (2)'!$D$2:$AL$2,0))</f>
        <v>2581</v>
      </c>
      <c r="AA239" s="25">
        <f>INDEX('Inputs (2)'!$D$38:$AL$38,MATCH(AA$7,'Inputs (2)'!$D$2:$AL$2,0))</f>
        <v>2513</v>
      </c>
      <c r="AB239" s="3">
        <f>AA239</f>
        <v>2513</v>
      </c>
      <c r="AC239" s="25">
        <f>INDEX('Inputs (2)'!$D$38:$AL$38,MATCH(AC$7,'Inputs (2)'!$D$2:$AL$2,0))</f>
        <v>2522</v>
      </c>
      <c r="AD239" s="25">
        <f>INDEX('Inputs (2)'!$D$38:$AL$38,MATCH(AD$7,'Inputs (2)'!$D$2:$AL$2,0))</f>
        <v>2835</v>
      </c>
      <c r="AE239" s="25">
        <f>INDEX('Inputs (2)'!$D$38:$AL$38,MATCH(AE$7,'Inputs (2)'!$D$2:$AL$2,0))</f>
        <v>2852</v>
      </c>
      <c r="AF239" s="25">
        <f>INDEX('Inputs (2)'!$D$38:$AL$38,MATCH(AF$7,'Inputs (2)'!$D$2:$AL$2,0))</f>
        <v>2876</v>
      </c>
      <c r="AG239" s="3">
        <f>AF239</f>
        <v>2876</v>
      </c>
      <c r="AH239" s="3">
        <f>INDEX('Inputs (2)'!$D$38:$AL$38,MATCH(AH$7,'Inputs (2)'!$D$2:$AL$2,0))</f>
        <v>2899</v>
      </c>
      <c r="AI239" s="3">
        <f>INDEX('Inputs (2)'!$D$38:$AL$38,MATCH(AI$7,'Inputs (2)'!$D$2:$AL$2,0))</f>
        <v>3054</v>
      </c>
      <c r="AJ239" s="3">
        <f>AI239</f>
        <v>3054</v>
      </c>
      <c r="AK239" s="3">
        <f>AJ239</f>
        <v>3054</v>
      </c>
      <c r="AL239" s="3">
        <f>AK239</f>
        <v>3054</v>
      </c>
      <c r="AM239" s="3">
        <f>AL239</f>
        <v>3054</v>
      </c>
      <c r="AN239" s="3">
        <f>AM239</f>
        <v>3054</v>
      </c>
      <c r="AO239" s="3">
        <f>AN239</f>
        <v>3054</v>
      </c>
      <c r="AP239" s="3">
        <f>AO239</f>
        <v>3054</v>
      </c>
      <c r="AQ239" s="3">
        <f>AP239</f>
        <v>3054</v>
      </c>
      <c r="AR239" s="3">
        <f>AQ239</f>
        <v>3054</v>
      </c>
      <c r="AS239" s="3">
        <f>AR239</f>
        <v>3054</v>
      </c>
      <c r="AT239" s="3">
        <f>AS239</f>
        <v>3054</v>
      </c>
      <c r="AU239" s="3">
        <f>AT239</f>
        <v>3054</v>
      </c>
      <c r="AV239" s="3">
        <f>AU239</f>
        <v>3054</v>
      </c>
      <c r="AW239" s="3">
        <f>AV239</f>
        <v>3054</v>
      </c>
      <c r="AX239" s="3">
        <f>AW239</f>
        <v>3054</v>
      </c>
      <c r="AY239" s="3">
        <f>AX239</f>
        <v>3054</v>
      </c>
      <c r="AZ239" s="3">
        <f>AY239</f>
        <v>3054</v>
      </c>
      <c r="BA239" s="3">
        <f>AZ239</f>
        <v>3054</v>
      </c>
      <c r="BB239" s="3">
        <f>BA239</f>
        <v>3054</v>
      </c>
      <c r="BC239" s="3">
        <f>BB239</f>
        <v>3054</v>
      </c>
      <c r="BD239" s="3">
        <f>BC239</f>
        <v>3054</v>
      </c>
      <c r="BE239" s="3">
        <f>BD239</f>
        <v>3054</v>
      </c>
      <c r="BF239" s="3">
        <f>BE239</f>
        <v>3054</v>
      </c>
      <c r="BG239" s="3">
        <f>BF239</f>
        <v>3054</v>
      </c>
      <c r="BH239" s="3">
        <f>BG239</f>
        <v>3054</v>
      </c>
      <c r="BI239" s="3">
        <f>BH239</f>
        <v>3054</v>
      </c>
      <c r="BJ239" s="3">
        <f>BI239</f>
        <v>3054</v>
      </c>
      <c r="BK239" s="3">
        <f>BJ239</f>
        <v>3054</v>
      </c>
      <c r="BL239" s="3">
        <f>BK239</f>
        <v>3054</v>
      </c>
      <c r="BM239" s="3">
        <f>BL239</f>
        <v>3054</v>
      </c>
      <c r="BN239" s="3">
        <f>BM239</f>
        <v>3054</v>
      </c>
      <c r="BO239" s="3">
        <f>BN239</f>
        <v>3054</v>
      </c>
      <c r="BP239" s="3">
        <f>BO239</f>
        <v>3054</v>
      </c>
      <c r="BQ239" s="3">
        <f>BP239</f>
        <v>3054</v>
      </c>
      <c r="BR239" s="3">
        <f>BQ239</f>
        <v>3054</v>
      </c>
      <c r="BS239" s="3">
        <f>BR239</f>
        <v>3054</v>
      </c>
      <c r="BT239" s="3">
        <f>BS239</f>
        <v>3054</v>
      </c>
      <c r="BU239" s="3">
        <f>BT239</f>
        <v>3054</v>
      </c>
      <c r="BV239" s="3">
        <f>BU239</f>
        <v>3054</v>
      </c>
      <c r="BW239" s="3">
        <f>BV239</f>
        <v>3054</v>
      </c>
      <c r="BX239" s="3">
        <f>BW239</f>
        <v>3054</v>
      </c>
      <c r="BY239" s="3">
        <f>BX239</f>
        <v>3054</v>
      </c>
      <c r="BZ239" s="3">
        <f>BY239</f>
        <v>3054</v>
      </c>
      <c r="CA239" s="3">
        <f>BZ239</f>
        <v>3054</v>
      </c>
      <c r="CB239" s="3">
        <f>CA239</f>
        <v>3054</v>
      </c>
      <c r="CC239" s="3">
        <f>CB239</f>
        <v>3054</v>
      </c>
      <c r="CD239" s="3">
        <f>CC239</f>
        <v>3054</v>
      </c>
      <c r="CE239" s="3">
        <f>CD239</f>
        <v>3054</v>
      </c>
      <c r="CF239" s="3">
        <f>CE239</f>
        <v>3054</v>
      </c>
      <c r="CG239" s="3">
        <f>CF239</f>
        <v>3054</v>
      </c>
      <c r="CH239" s="3">
        <f>CG239</f>
        <v>3054</v>
      </c>
      <c r="CI239" s="3">
        <f>CH239</f>
        <v>3054</v>
      </c>
      <c r="CJ239" s="3">
        <f>CI239</f>
        <v>3054</v>
      </c>
      <c r="CK239" s="3">
        <f>CJ239</f>
        <v>3054</v>
      </c>
      <c r="CL239" s="3">
        <f>CK239</f>
        <v>3054</v>
      </c>
      <c r="CM239" s="3">
        <f>CL239</f>
        <v>3054</v>
      </c>
      <c r="CN239" s="3">
        <f>CM239</f>
        <v>3054</v>
      </c>
      <c r="CO239" s="3">
        <f>CN239</f>
        <v>3054</v>
      </c>
      <c r="CP239" s="3">
        <f>CO239</f>
        <v>3054</v>
      </c>
      <c r="CQ239" s="3">
        <f>CP239</f>
        <v>3054</v>
      </c>
      <c r="CR239" s="3">
        <f>CQ239</f>
        <v>3054</v>
      </c>
      <c r="CS239" s="3">
        <f>CR239</f>
        <v>3054</v>
      </c>
      <c r="CT239" s="3">
        <f>CS239</f>
        <v>3054</v>
      </c>
      <c r="CU239" s="3">
        <f>CT239</f>
        <v>3054</v>
      </c>
      <c r="CV239" s="3">
        <f>CU239</f>
        <v>3054</v>
      </c>
      <c r="CW239" s="3">
        <f>CV239</f>
        <v>3054</v>
      </c>
      <c r="CX239" s="3">
        <f>CW239</f>
        <v>3054</v>
      </c>
      <c r="CY239" s="3">
        <f>CX239</f>
        <v>3054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41946</v>
      </c>
      <c r="E240" s="25">
        <f>INDEX('Inputs (2)'!$D$39:$AL$39,MATCH(E$7,'Inputs (2)'!$D$2:$AL$2,0))</f>
        <v>43244</v>
      </c>
      <c r="F240" s="25">
        <f>INDEX('Inputs (2)'!$D$39:$AL$39,MATCH(F$7,'Inputs (2)'!$D$2:$AL$2,0))</f>
        <v>42558</v>
      </c>
      <c r="G240" s="25">
        <f>INDEX('Inputs (2)'!$D$39:$AL$39,MATCH(G$7,'Inputs (2)'!$D$2:$AL$2,0))</f>
        <v>42230</v>
      </c>
      <c r="H240" s="3">
        <f>G240</f>
        <v>42230</v>
      </c>
      <c r="I240" s="25">
        <f>INDEX('Inputs (2)'!$D$39:$AL$39,MATCH(I$7,'Inputs (2)'!$D$2:$AL$2,0))</f>
        <v>42729</v>
      </c>
      <c r="J240" s="25">
        <f>INDEX('Inputs (2)'!$D$39:$AL$39,MATCH(J$7,'Inputs (2)'!$D$2:$AL$2,0))</f>
        <v>43233</v>
      </c>
      <c r="K240" s="25">
        <f>INDEX('Inputs (2)'!$D$39:$AL$39,MATCH(K$7,'Inputs (2)'!$D$2:$AL$2,0))</f>
        <v>42611</v>
      </c>
      <c r="L240" s="25">
        <f>INDEX('Inputs (2)'!$D$39:$AL$39,MATCH(L$7,'Inputs (2)'!$D$2:$AL$2,0))</f>
        <v>43636</v>
      </c>
      <c r="M240" s="3">
        <f>L240</f>
        <v>43636</v>
      </c>
      <c r="N240" s="25">
        <f>INDEX('Inputs (2)'!$D$39:$AL$39,MATCH(N$7,'Inputs (2)'!$D$2:$AL$2,0))</f>
        <v>44406</v>
      </c>
      <c r="O240" s="25">
        <f>INDEX('Inputs (2)'!$D$39:$AL$39,MATCH(O$7,'Inputs (2)'!$D$2:$AL$2,0))</f>
        <v>44465</v>
      </c>
      <c r="P240" s="25">
        <f>INDEX('Inputs (2)'!$D$39:$AL$39,MATCH(P$7,'Inputs (2)'!$D$2:$AL$2,0))</f>
        <v>41572</v>
      </c>
      <c r="Q240" s="25">
        <f>INDEX('Inputs (2)'!$D$39:$AL$39,MATCH(Q$7,'Inputs (2)'!$D$2:$AL$2,0))</f>
        <v>43292</v>
      </c>
      <c r="R240" s="3">
        <f>Q240</f>
        <v>43292</v>
      </c>
      <c r="S240" s="25">
        <f>INDEX('Inputs (2)'!$D$39:$AL$39,MATCH(S$7,'Inputs (2)'!$D$2:$AL$2,0))</f>
        <v>45135</v>
      </c>
      <c r="T240" s="25">
        <f>INDEX('Inputs (2)'!$D$39:$AL$39,MATCH(T$7,'Inputs (2)'!$D$2:$AL$2,0))</f>
        <v>46453</v>
      </c>
      <c r="U240" s="25">
        <f>INDEX('Inputs (2)'!$D$39:$AL$39,MATCH(U$7,'Inputs (2)'!$D$2:$AL$2,0))</f>
        <v>44376</v>
      </c>
      <c r="V240" s="25">
        <f>INDEX('Inputs (2)'!$D$39:$AL$39,MATCH(V$7,'Inputs (2)'!$D$2:$AL$2,0))</f>
        <v>49643</v>
      </c>
      <c r="W240" s="3">
        <f>V240</f>
        <v>49643</v>
      </c>
      <c r="X240" s="25">
        <f>INDEX('Inputs (2)'!$D$39:$AL$39,MATCH(X$7,'Inputs (2)'!$D$2:$AL$2,0))</f>
        <v>53002</v>
      </c>
      <c r="Y240" s="25">
        <f>INDEX('Inputs (2)'!$D$39:$AL$39,MATCH(Y$7,'Inputs (2)'!$D$2:$AL$2,0))</f>
        <v>57597</v>
      </c>
      <c r="Z240" s="25">
        <f>INDEX('Inputs (2)'!$D$39:$AL$39,MATCH(Z$7,'Inputs (2)'!$D$2:$AL$2,0))</f>
        <v>58280</v>
      </c>
      <c r="AA240" s="25">
        <f>INDEX('Inputs (2)'!$D$39:$AL$39,MATCH(AA$7,'Inputs (2)'!$D$2:$AL$2,0))</f>
        <v>62832</v>
      </c>
      <c r="AB240" s="3">
        <f>AA240</f>
        <v>62832</v>
      </c>
      <c r="AC240" s="25">
        <f>INDEX('Inputs (2)'!$D$39:$AL$39,MATCH(AC$7,'Inputs (2)'!$D$2:$AL$2,0))</f>
        <v>66437</v>
      </c>
      <c r="AD240" s="25">
        <f>INDEX('Inputs (2)'!$D$39:$AL$39,MATCH(AD$7,'Inputs (2)'!$D$2:$AL$2,0))</f>
        <v>73882</v>
      </c>
      <c r="AE240" s="25">
        <f>INDEX('Inputs (2)'!$D$39:$AL$39,MATCH(AE$7,'Inputs (2)'!$D$2:$AL$2,0))</f>
        <v>82703</v>
      </c>
      <c r="AF240" s="25">
        <f>INDEX('Inputs (2)'!$D$39:$AL$39,MATCH(AF$7,'Inputs (2)'!$D$2:$AL$2,0))</f>
        <v>88776</v>
      </c>
      <c r="AG240" s="3">
        <f>AF240</f>
        <v>88776</v>
      </c>
      <c r="AH240" s="3">
        <f>INDEX('Inputs (2)'!$D$39:$AL$39,MATCH(AH$7,'Inputs (2)'!$D$2:$AL$2,0))</f>
        <v>92175</v>
      </c>
      <c r="AI240" s="3">
        <f>INDEX('Inputs (2)'!$D$39:$AL$39,MATCH(AI$7,'Inputs (2)'!$D$2:$AL$2,0))</f>
        <v>96511</v>
      </c>
      <c r="AJ240" s="3">
        <f>AI240</f>
        <v>96511</v>
      </c>
      <c r="AK240" s="3">
        <f>AJ240</f>
        <v>96511</v>
      </c>
      <c r="AL240" s="3">
        <f>AK240</f>
        <v>96511</v>
      </c>
      <c r="AM240" s="3">
        <f>AL240</f>
        <v>96511</v>
      </c>
      <c r="AN240" s="3">
        <f>AM240</f>
        <v>96511</v>
      </c>
      <c r="AO240" s="3">
        <f>AN240</f>
        <v>96511</v>
      </c>
      <c r="AP240" s="3">
        <f>AO240</f>
        <v>96511</v>
      </c>
      <c r="AQ240" s="3">
        <f>AP240</f>
        <v>96511</v>
      </c>
      <c r="AR240" s="3">
        <f>AQ240</f>
        <v>96511</v>
      </c>
      <c r="AS240" s="3">
        <f>AR240</f>
        <v>96511</v>
      </c>
      <c r="AT240" s="3">
        <f>AS240</f>
        <v>96511</v>
      </c>
      <c r="AU240" s="3">
        <f>AT240</f>
        <v>96511</v>
      </c>
      <c r="AV240" s="3">
        <f>AU240</f>
        <v>96511</v>
      </c>
      <c r="AW240" s="3">
        <f>AV240</f>
        <v>96511</v>
      </c>
      <c r="AX240" s="3">
        <f>AW240</f>
        <v>96511</v>
      </c>
      <c r="AY240" s="3">
        <f>AX240</f>
        <v>96511</v>
      </c>
      <c r="AZ240" s="3">
        <f>AY240</f>
        <v>96511</v>
      </c>
      <c r="BA240" s="3">
        <f>AZ240</f>
        <v>96511</v>
      </c>
      <c r="BB240" s="3">
        <f>BA240</f>
        <v>96511</v>
      </c>
      <c r="BC240" s="3">
        <f>BB240</f>
        <v>96511</v>
      </c>
      <c r="BD240" s="3">
        <f>BC240</f>
        <v>96511</v>
      </c>
      <c r="BE240" s="3">
        <f>BD240</f>
        <v>96511</v>
      </c>
      <c r="BF240" s="3">
        <f>BE240</f>
        <v>96511</v>
      </c>
      <c r="BG240" s="3">
        <f>BF240</f>
        <v>96511</v>
      </c>
      <c r="BH240" s="3">
        <f>BG240</f>
        <v>96511</v>
      </c>
      <c r="BI240" s="3">
        <f>BH240</f>
        <v>96511</v>
      </c>
      <c r="BJ240" s="3">
        <f>BI240</f>
        <v>96511</v>
      </c>
      <c r="BK240" s="3">
        <f>BJ240</f>
        <v>96511</v>
      </c>
      <c r="BL240" s="3">
        <f>BK240</f>
        <v>96511</v>
      </c>
      <c r="BM240" s="3">
        <f>BL240</f>
        <v>96511</v>
      </c>
      <c r="BN240" s="3">
        <f>BM240</f>
        <v>96511</v>
      </c>
      <c r="BO240" s="3">
        <f>BN240</f>
        <v>96511</v>
      </c>
      <c r="BP240" s="3">
        <f>BO240</f>
        <v>96511</v>
      </c>
      <c r="BQ240" s="3">
        <f>BP240</f>
        <v>96511</v>
      </c>
      <c r="BR240" s="3">
        <f>BQ240</f>
        <v>96511</v>
      </c>
      <c r="BS240" s="3">
        <f>BR240</f>
        <v>96511</v>
      </c>
      <c r="BT240" s="3">
        <f>BS240</f>
        <v>96511</v>
      </c>
      <c r="BU240" s="3">
        <f>BT240</f>
        <v>96511</v>
      </c>
      <c r="BV240" s="3">
        <f>BU240</f>
        <v>96511</v>
      </c>
      <c r="BW240" s="3">
        <f>BV240</f>
        <v>96511</v>
      </c>
      <c r="BX240" s="3">
        <f>BW240</f>
        <v>96511</v>
      </c>
      <c r="BY240" s="3">
        <f>BX240</f>
        <v>96511</v>
      </c>
      <c r="BZ240" s="3">
        <f>BY240</f>
        <v>96511</v>
      </c>
      <c r="CA240" s="3">
        <f>BZ240</f>
        <v>96511</v>
      </c>
      <c r="CB240" s="3">
        <f>CA240</f>
        <v>96511</v>
      </c>
      <c r="CC240" s="3">
        <f>CB240</f>
        <v>96511</v>
      </c>
      <c r="CD240" s="3">
        <f>CC240</f>
        <v>96511</v>
      </c>
      <c r="CE240" s="3">
        <f>CD240</f>
        <v>96511</v>
      </c>
      <c r="CF240" s="3">
        <f>CE240</f>
        <v>96511</v>
      </c>
      <c r="CG240" s="3">
        <f>CF240</f>
        <v>96511</v>
      </c>
      <c r="CH240" s="3">
        <f>CG240</f>
        <v>96511</v>
      </c>
      <c r="CI240" s="3">
        <f>CH240</f>
        <v>96511</v>
      </c>
      <c r="CJ240" s="3">
        <f>CI240</f>
        <v>96511</v>
      </c>
      <c r="CK240" s="3">
        <f>CJ240</f>
        <v>96511</v>
      </c>
      <c r="CL240" s="3">
        <f>CK240</f>
        <v>96511</v>
      </c>
      <c r="CM240" s="3">
        <f>CL240</f>
        <v>96511</v>
      </c>
      <c r="CN240" s="3">
        <f>CM240</f>
        <v>96511</v>
      </c>
      <c r="CO240" s="3">
        <f>CN240</f>
        <v>96511</v>
      </c>
      <c r="CP240" s="3">
        <f>CO240</f>
        <v>96511</v>
      </c>
      <c r="CQ240" s="3">
        <f>CP240</f>
        <v>96511</v>
      </c>
      <c r="CR240" s="3">
        <f>CQ240</f>
        <v>96511</v>
      </c>
      <c r="CS240" s="3">
        <f>CR240</f>
        <v>96511</v>
      </c>
      <c r="CT240" s="3">
        <f>CS240</f>
        <v>96511</v>
      </c>
      <c r="CU240" s="3">
        <f>CT240</f>
        <v>96511</v>
      </c>
      <c r="CV240" s="3">
        <f>CU240</f>
        <v>96511</v>
      </c>
      <c r="CW240" s="3">
        <f>CV240</f>
        <v>96511</v>
      </c>
      <c r="CX240" s="3">
        <f>CW240</f>
        <v>96511</v>
      </c>
      <c r="CY240" s="3">
        <f>CX240</f>
        <v>96511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0.0309445477518715</v>
      </c>
      <c r="F241" s="47">
        <f>(F240-E240)/E240</f>
        <v>-0.0158634723892332</v>
      </c>
      <c r="G241" s="47">
        <f>(G240-F240)/F240</f>
        <v>-0.00770712909441233</v>
      </c>
      <c r="H241" s="3" t="n"/>
      <c r="I241" s="47">
        <f>(I240-H240)/H240</f>
        <v>0.011816244376036</v>
      </c>
      <c r="J241" s="47">
        <f>(J240-I240)/I240</f>
        <v>0.0117952678508741</v>
      </c>
      <c r="K241" s="47">
        <f>(K240-J240)/J240</f>
        <v>-0.0143871579580413</v>
      </c>
      <c r="L241" s="47">
        <f>(L240-K240)/K240</f>
        <v>0.0240548215249583</v>
      </c>
      <c r="M241" s="3" t="n"/>
      <c r="N241" s="47">
        <f>(N240-M240)/M240</f>
        <v>0.0176459803831699</v>
      </c>
      <c r="O241" s="47">
        <f>(O240-N240)/N240</f>
        <v>0.00132864928162861</v>
      </c>
      <c r="P241" s="47">
        <f>(P240-O240)/O240</f>
        <v>-0.0650624086360059</v>
      </c>
      <c r="Q241" s="47">
        <f>(Q240-P240)/P240</f>
        <v>0.041374001731935</v>
      </c>
      <c r="R241" s="3" t="n"/>
      <c r="S241" s="47">
        <f>(S240-R240)/R240</f>
        <v>0.042571375773815</v>
      </c>
      <c r="T241" s="47">
        <f>(T240-S240)/S240</f>
        <v>0.0292012850337875</v>
      </c>
      <c r="U241" s="47">
        <f>(U240-T240)/T240</f>
        <v>-0.0447118592986459</v>
      </c>
      <c r="V241" s="47">
        <f>(V240-U240)/U240</f>
        <v>0.118690283035875</v>
      </c>
      <c r="W241" s="3" t="n"/>
      <c r="X241" s="47">
        <f>(X240-W240)/W240</f>
        <v>0.067663114638519</v>
      </c>
      <c r="Y241" s="47">
        <f>(Y240-X240)/X240</f>
        <v>0.0866948417040866</v>
      </c>
      <c r="Z241" s="47">
        <f>(Z240-Y240)/Y240</f>
        <v>0.0118582565064153</v>
      </c>
      <c r="AA241" s="47">
        <f>(AA240-Z240)/Z240</f>
        <v>0.0781056966369252</v>
      </c>
      <c r="AB241" s="3" t="n"/>
      <c r="AC241" s="47">
        <f>(AC240-AB240)/AB240</f>
        <v>0.0573752228163993</v>
      </c>
      <c r="AD241" s="47">
        <f>(AD240-AC240)/AC240</f>
        <v>0.112061050318347</v>
      </c>
      <c r="AE241" s="47">
        <f>(AE240-AD240)/AD240</f>
        <v>0.119393086272705</v>
      </c>
      <c r="AF241" s="230">
        <f>(AF240-AE240)/AE240</f>
        <v>0.0734314353771931</v>
      </c>
      <c r="AG241" s="3" t="n"/>
      <c r="AH241" s="230">
        <f>(AH240-AG240)/AG240</f>
        <v>0.0382873749662071</v>
      </c>
      <c r="AI241" s="230">
        <f>(AI240-AH240)/AH240</f>
        <v>0.0470409547057228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170948</v>
      </c>
      <c r="E247" s="16">
        <f>SUM(E198+E202+E204+E205+E212+E213+E214+E217+E235+E238+E239+E240)</f>
        <v>183007</v>
      </c>
      <c r="F247" s="16">
        <f>SUM(F198+F202+F204+F205+F212+F213+F214+F217+F235+F238+F239+F240)</f>
        <v>177609</v>
      </c>
      <c r="G247" s="16">
        <f>SUM(G198+G202+G204+G205+G212+G213+G214+G217+G235+G238+G239+G240)</f>
        <v>173901</v>
      </c>
      <c r="H247" s="16">
        <f>SUM(H198,H202,H204,H205,H212,H213,H217,H214,H235,H238,H239,H240)</f>
        <v>173901</v>
      </c>
      <c r="I247" s="16">
        <f>SUM(I198+I202+I204+I205+I212+I213+I214+I217+I235+I238+I239+I240)</f>
        <v>174374</v>
      </c>
      <c r="J247" s="16">
        <f>SUM(J198+J202+J204+J205+J212+J213+J214+J217+J235+J238+J239+J240)</f>
        <v>191791</v>
      </c>
      <c r="K247" s="16">
        <f>SUM(K198+K202+K204+K205+K212+K213+K214+K217+K235+K238+K239+K240)</f>
        <v>183440</v>
      </c>
      <c r="L247" s="16">
        <f>SUM(L198+L202+L204+L205+L212+L213+L214+L217+L235+L238+L239+L240)</f>
        <v>180379</v>
      </c>
      <c r="M247" s="16">
        <f>SUM(M198,M202,M204,M205,M212,M213,M217,M214,M235,M238,M239,M240)</f>
        <v>180379</v>
      </c>
      <c r="N247" s="16">
        <f>SUM(N198+N202+N204+N205+N212+N213+N214+N217+N235+N238+N239+N240)</f>
        <v>181683</v>
      </c>
      <c r="O247" s="16">
        <f>SUM(O198+O202+O204+O205+O212+O213+O214+O217+O235+O238+O239+O240)</f>
        <v>198298</v>
      </c>
      <c r="P247" s="16">
        <f>SUM(P198+P202+P204+P205+P212+P213+P214+P217+P235+P238+P239+P240)</f>
        <v>186218</v>
      </c>
      <c r="Q247" s="16">
        <f>SUM(Q198+Q202+Q204+Q205+Q212+Q213+Q214+Q217+Q235+Q238+Q239+Q240)</f>
        <v>181416</v>
      </c>
      <c r="R247" s="16">
        <f>SUM(R198,R202,R204,R205,R212,R213,R217,R214,R235,R238,R239,R240)</f>
        <v>181416</v>
      </c>
      <c r="S247" s="16">
        <f>SUM(S198+S202+S204+S205+S212+S213+S214+S217+S235+S238+S239+S240)</f>
        <v>185405</v>
      </c>
      <c r="T247" s="16">
        <f>SUM(T198+T202+T204+T205+T212+T213+T214+T217+T235+T238+T239+T240)</f>
        <v>205753</v>
      </c>
      <c r="U247" s="16">
        <f>SUM(U198+U202+U204+U205+U212+U213+U214+U217+U235+U238+U239+U240)</f>
        <v>225071</v>
      </c>
      <c r="V247" s="16">
        <f>SUM(V198+V202+V204+V205+V212+V213+V214+V217+V235+V238+V239+V240)</f>
        <v>232290</v>
      </c>
      <c r="W247" s="16">
        <f>SUM(W198,W202,W204,W205,W212,W213,W217,W214,W235,W238,W239,W240)</f>
        <v>232290</v>
      </c>
      <c r="X247" s="16">
        <f>SUM(X198+X202+X204+X205+X212+X213+X214+X217+X235+X238+X239+X240)</f>
        <v>231123</v>
      </c>
      <c r="Y247" s="16">
        <f>SUM(Y198+Y202+Y204+Y205+Y212+Y213+Y214+Y217+Y235+Y238+Y239+Y240)</f>
        <v>243686</v>
      </c>
      <c r="Z247" s="16">
        <f>SUM(Z198+Z202+Z204+Z205+Z212+Z213+Z214+Z217+Z235+Z238+Z239+Z240)</f>
        <v>235290</v>
      </c>
      <c r="AA247" s="16">
        <f>SUM(AA198+AA202+AA204+AA205+AA212+AA213+AA214+AA217+AA235+AA238+AA239+AA240)</f>
        <v>231203</v>
      </c>
      <c r="AB247" s="16">
        <f>SUM(AB198,AB202,AB204,AB205,AB212,AB213,AB217,AB214,AB235,AB238,AB239,AB240)</f>
        <v>231203</v>
      </c>
      <c r="AC247" s="16">
        <f>SUM(AC198+AC202+AC204+AC205+AC212+AC213+AC214+AC217+AC235+AC238+AC239+AC240)</f>
        <v>240733</v>
      </c>
      <c r="AD247" s="16">
        <f>SUM(AD198+AD202+AD204+AD205+AD212+AD213+AD214+AD217+AD235+AD238+AD239+AD240)</f>
        <v>275524</v>
      </c>
      <c r="AE247" s="16">
        <f>SUM(AE198+AE202+AE204+AE205+AE212+AE213+AE214+AE217+AE235+AE238+AE239+AE240)</f>
        <v>273275</v>
      </c>
      <c r="AF247" s="16">
        <f>SUM(AF198+AF202+AF204+AF205+AF212+AF213+AF214+AF217+AF235+AF238+AF239+AF240)</f>
        <v>274427</v>
      </c>
      <c r="AG247" s="16">
        <f>SUM(AG198,AG202,AG204,AG205,AG212,AG213,AG217,AG214,AG235,AG238,AG239,AG240)</f>
        <v>274427</v>
      </c>
      <c r="AH247" s="16">
        <f>SUM(AH198+AH202+AH204+AH205+AH212+AH213+AH214+AH217+AH235+AH238+AH239+AH240)</f>
        <v>279861</v>
      </c>
      <c r="AI247" s="16">
        <f>SUM(AI198+AI202+AI204+AI205+AI212+AI213+AI214+AI217+AI235+AI238+AI239+AI240)</f>
        <v>315989</v>
      </c>
      <c r="AJ247" s="16">
        <f>SUM(AJ198+AJ202+AJ204+AJ205+AJ212+AJ213+AJ214+AJ217+AJ235+AJ238+AJ239+AJ240)</f>
        <v>256094</v>
      </c>
      <c r="AK247" s="16">
        <f>SUM(AK198+AK202+AK204+AK205+AK212+AK213+AK214+AK217+AK235+AK238+AK239+AK240)</f>
        <v>256094</v>
      </c>
      <c r="AL247" s="16">
        <f>SUM(AL198,AL202,AL204,AL205,AL212,AL213,AL217,AL214,AL235,AL238,AL239,AL240)</f>
        <v>256094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256094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 t="n"/>
      <c r="E248" s="25" t="n"/>
      <c r="F248" s="25" t="n"/>
      <c r="G248" s="25" t="n"/>
      <c r="H248" s="3">
        <f>G248</f>
        <v>0</v>
      </c>
      <c r="I248" s="25" t="n"/>
      <c r="J248" s="25" t="n"/>
      <c r="K248" s="25" t="n"/>
      <c r="L248" s="25" t="n"/>
      <c r="M248" s="3">
        <f>L248</f>
        <v>0</v>
      </c>
      <c r="N248" s="25" t="n"/>
      <c r="O248" s="25" t="n"/>
      <c r="P248" s="25" t="n"/>
      <c r="Q248" s="25" t="n"/>
      <c r="R248" s="3">
        <f>Q248</f>
        <v>0</v>
      </c>
      <c r="S248" s="25" t="n"/>
      <c r="T248" s="25" t="n"/>
      <c r="U248" s="25" t="n"/>
      <c r="V248" s="25" t="n"/>
      <c r="W248" s="3">
        <f>V248</f>
        <v>0</v>
      </c>
      <c r="X248" s="25" t="n"/>
      <c r="Y248" s="25" t="n"/>
      <c r="Z248" s="25" t="n"/>
      <c r="AA248" s="25" t="n"/>
      <c r="AB248" s="3">
        <f>AA248</f>
        <v>0</v>
      </c>
      <c r="AC248" s="25" t="n"/>
      <c r="AD248" s="25" t="n"/>
      <c r="AE248" s="25" t="n"/>
      <c r="AF248" s="25" t="n"/>
      <c r="AG248" s="3">
        <f>AF248</f>
        <v>0</v>
      </c>
      <c r="AH248" s="3">
        <f>AG248-AH136+AH251</f>
        <v>0</v>
      </c>
      <c r="AI248" s="3">
        <f>AH248-AI136+AI251</f>
        <v>0</v>
      </c>
      <c r="AJ248" s="3">
        <f>AI248-AJ136+AJ251</f>
        <v>0</v>
      </c>
      <c r="AK248" s="3">
        <f>AJ248-AK136+AK251</f>
        <v>0</v>
      </c>
      <c r="AL248" s="3">
        <f>AK248</f>
        <v>0</v>
      </c>
      <c r="AM248" s="3">
        <f>AL248-AM136+AM251</f>
        <v>0</v>
      </c>
      <c r="AN248" s="3">
        <f>AM248-AN136+AN251</f>
        <v>0</v>
      </c>
      <c r="AO248" s="3">
        <f>AN248-AO136+AO251</f>
        <v>0</v>
      </c>
      <c r="AP248" s="3">
        <f>AO248-AP136+AP251</f>
        <v>0</v>
      </c>
      <c r="AQ248" s="3">
        <f>AP248</f>
        <v>0</v>
      </c>
      <c r="AR248" s="3">
        <f>AQ248-AR136+AR251</f>
        <v>0</v>
      </c>
      <c r="AS248" s="3">
        <f>AR248-AS136+AS251</f>
        <v>0</v>
      </c>
      <c r="AT248" s="3">
        <f>AS248-AT136+AT251</f>
        <v>0</v>
      </c>
      <c r="AU248" s="3">
        <f>AT248-AU136+AU251</f>
        <v>0</v>
      </c>
      <c r="AV248" s="3">
        <f>AU248</f>
        <v>0</v>
      </c>
      <c r="AW248" s="3">
        <f>AV248-AW136+AW251</f>
        <v>0</v>
      </c>
      <c r="AX248" s="3">
        <f>AW248-AX136+AX251</f>
        <v>0</v>
      </c>
      <c r="AY248" s="3">
        <f>AX248-AY136+AY251</f>
        <v>0</v>
      </c>
      <c r="AZ248" s="3">
        <f>AY248-AZ136+AZ251</f>
        <v>0</v>
      </c>
      <c r="BA248" s="3">
        <f>AZ248</f>
        <v>0</v>
      </c>
      <c r="BB248" s="3">
        <f>BA248-BB136+BB251</f>
        <v>0</v>
      </c>
      <c r="BC248" s="3">
        <f>BB248-BC136+BC251</f>
        <v>0</v>
      </c>
      <c r="BD248" s="3">
        <f>BC248-BD136+BD251</f>
        <v>0</v>
      </c>
      <c r="BE248" s="3">
        <f>BD248-BE136+BE251</f>
        <v>0</v>
      </c>
      <c r="BF248" s="3">
        <f>BE248</f>
        <v>0</v>
      </c>
      <c r="BG248" s="3">
        <f>BF248-BG136+BG251</f>
        <v>0</v>
      </c>
      <c r="BH248" s="3">
        <f>BG248-BH136+BH251</f>
        <v>0</v>
      </c>
      <c r="BI248" s="3">
        <f>BH248-BI136+BI251</f>
        <v>0</v>
      </c>
      <c r="BJ248" s="3">
        <f>BI248-BJ136+BJ251</f>
        <v>0</v>
      </c>
      <c r="BK248" s="3">
        <f>BJ248</f>
        <v>0</v>
      </c>
      <c r="BL248" s="3">
        <f>BK248-BL136+BL251</f>
        <v>0</v>
      </c>
      <c r="BM248" s="3">
        <f>BL248-BM136+BM251</f>
        <v>0</v>
      </c>
      <c r="BN248" s="3">
        <f>BM248-BN136+BN251</f>
        <v>0</v>
      </c>
      <c r="BO248" s="3">
        <f>BN248-BO136+BO251</f>
        <v>0</v>
      </c>
      <c r="BP248" s="3">
        <f>BO248</f>
        <v>0</v>
      </c>
      <c r="BQ248" s="3">
        <f>BP248-BQ136+BQ251</f>
        <v>0</v>
      </c>
      <c r="BR248" s="3">
        <f>BQ248-BR136+BR251</f>
        <v>0</v>
      </c>
      <c r="BS248" s="3">
        <f>BR248-BS136+BS251</f>
        <v>0</v>
      </c>
      <c r="BT248" s="3">
        <f>BS248-BT136+BT251</f>
        <v>0</v>
      </c>
      <c r="BU248" s="3">
        <f>BT248</f>
        <v>0</v>
      </c>
      <c r="BV248" s="3">
        <f>BU248-BV136+BV251</f>
        <v>0</v>
      </c>
      <c r="BW248" s="3">
        <f>BV248-BW136+BW251</f>
        <v>0</v>
      </c>
      <c r="BX248" s="3">
        <f>BW248-BX136+BX251</f>
        <v>0</v>
      </c>
      <c r="BY248" s="3">
        <f>BX248-BY136+BY251</f>
        <v>0</v>
      </c>
      <c r="BZ248" s="3">
        <f>BY248</f>
        <v>0</v>
      </c>
      <c r="CA248" s="3">
        <f>BZ248-CA136+CA251</f>
        <v>0</v>
      </c>
      <c r="CB248" s="3">
        <f>CA248-CB136+CB251</f>
        <v>0</v>
      </c>
      <c r="CC248" s="3">
        <f>CB248-CC136+CC251</f>
        <v>0</v>
      </c>
      <c r="CD248" s="3">
        <f>CC248-CD136+CD251</f>
        <v>0</v>
      </c>
      <c r="CE248" s="3">
        <f>CD248</f>
        <v>0</v>
      </c>
      <c r="CF248" s="3">
        <f>CE248-CF136+CF251</f>
        <v>0</v>
      </c>
      <c r="CG248" s="3">
        <f>CF248-CG136+CG251</f>
        <v>0</v>
      </c>
      <c r="CH248" s="3">
        <f>CG248-CH136+CH251</f>
        <v>0</v>
      </c>
      <c r="CI248" s="3">
        <f>CH248-CI136+CI251</f>
        <v>0</v>
      </c>
      <c r="CJ248" s="3">
        <f>CI248</f>
        <v>0</v>
      </c>
      <c r="CK248" s="3">
        <f>CJ248-CK136+CK251</f>
        <v>0</v>
      </c>
      <c r="CL248" s="3">
        <f>CK248-CL136+CL251</f>
        <v>0</v>
      </c>
      <c r="CM248" s="3">
        <f>CL248-CM136+CM251</f>
        <v>0</v>
      </c>
      <c r="CN248" s="3">
        <f>CM248-CN136+CN251</f>
        <v>0</v>
      </c>
      <c r="CO248" s="3">
        <f>CN248</f>
        <v>0</v>
      </c>
      <c r="CP248" s="3">
        <f>CO248-CP136+CP251</f>
        <v>0</v>
      </c>
      <c r="CQ248" s="3">
        <f>CP248-CQ136+CQ251</f>
        <v>0</v>
      </c>
      <c r="CR248" s="3">
        <f>CQ248-CR136+CR251</f>
        <v>0</v>
      </c>
      <c r="CS248" s="3">
        <f>CR248-CS136+CS251</f>
        <v>0</v>
      </c>
      <c r="CT248" s="3">
        <f>CS248</f>
        <v>0</v>
      </c>
      <c r="CU248" s="3">
        <f>CT248-CU136+CU251</f>
        <v>0</v>
      </c>
      <c r="CV248" s="3">
        <f>CU248-CV136+CV251</f>
        <v>0</v>
      </c>
      <c r="CW248" s="3">
        <f>CV248-CW136+CW251</f>
        <v>0</v>
      </c>
      <c r="CX248" s="3">
        <f>CW248-CX136+CX251</f>
        <v>0</v>
      </c>
      <c r="CY248" s="3">
        <f>CX248</f>
        <v>0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0</v>
      </c>
      <c r="F250" s="22" t="n"/>
      <c r="G250" s="22" t="n"/>
      <c r="H250" s="40" t="n"/>
      <c r="I250" s="22" t="n"/>
      <c r="J250" s="40">
        <f>IF(I135=0,0,J135/I135-1)</f>
        <v>0</v>
      </c>
      <c r="K250" s="22" t="n"/>
      <c r="L250" s="22" t="n"/>
      <c r="M250" s="40" t="n"/>
      <c r="N250" s="40">
        <f>IF(I135=0,0,N135/I135-1)</f>
        <v>0</v>
      </c>
      <c r="O250" s="40">
        <f>IF(J135=0,0,O135/J135-1)</f>
        <v>0</v>
      </c>
      <c r="P250" s="40">
        <f>IF(K135=0,0,P135/K135-1)</f>
        <v>0</v>
      </c>
      <c r="Q250" s="40">
        <f>IF(L135=0,0,Q135/L135-1)</f>
        <v>0</v>
      </c>
      <c r="R250" s="40" t="n"/>
      <c r="S250" s="40">
        <f>IF(N135=0,0,S135/N135-1)</f>
        <v>0</v>
      </c>
      <c r="T250" s="40">
        <f>IF(O135=0,0,T135/O135-1)</f>
        <v>0</v>
      </c>
      <c r="U250" s="40">
        <f>IF(P135=0,0,U135/P135-1)</f>
        <v>0</v>
      </c>
      <c r="V250" s="40">
        <f>IF(Q135=0,0,V135/Q135-1)</f>
        <v>0</v>
      </c>
      <c r="W250" s="40">
        <f>IF(R136=0,0,W136/R136-1)</f>
        <v>0</v>
      </c>
      <c r="X250" s="40">
        <f>IF(S135=0,0,X135/S135-1)</f>
        <v>0</v>
      </c>
      <c r="Y250" s="40">
        <f>IF(T135=0,0,Y135/T135-1)</f>
        <v>0</v>
      </c>
      <c r="Z250" s="40">
        <f>IF(U135=0,0,Z135/U135-1)</f>
        <v>0</v>
      </c>
      <c r="AA250" s="40">
        <f>IF(V135=0,0,AA135/V135-1)</f>
        <v>0</v>
      </c>
      <c r="AB250" s="40">
        <f>IF(W136=0,0,AB136/W136-1)</f>
        <v>0</v>
      </c>
      <c r="AC250" s="40">
        <f>IF(X135=0,0,AC135/X135-1)</f>
        <v>0</v>
      </c>
      <c r="AD250" s="40">
        <f>IF(Y135=0,0,AD135/Y135-1)</f>
        <v>0</v>
      </c>
      <c r="AE250" s="40">
        <f>IF(Z135=0,0,AE135/Z135-1)</f>
        <v>0</v>
      </c>
      <c r="AF250" s="40">
        <f>IF(AA135=0,0,AF135/AA135-1)</f>
        <v>0</v>
      </c>
      <c r="AG250" s="40">
        <f>IF(AB136=0,0,AG136/AB136-1)</f>
        <v>0</v>
      </c>
      <c r="AH250" s="35">
        <f>IF(AC135=0,0,AH135/AC135-1)</f>
        <v>0</v>
      </c>
      <c r="AI250" s="35">
        <f>IF(AD135=0,0,AI135/AD135-1)</f>
        <v>0</v>
      </c>
      <c r="AJ250" s="35" t="n"/>
      <c r="AK250" s="35" t="n"/>
      <c r="AL250" s="40">
        <f>IF(AG136=0,0,AL136/AG136-1)</f>
        <v>0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79813</v>
      </c>
      <c r="E254" s="25">
        <f>INDEX('Inputs (2)'!$D$43:$AL$43,MATCH(E$7,'Inputs (2)'!$D$2:$AL$2,0))</f>
        <v>80552</v>
      </c>
      <c r="F254" s="25">
        <f>INDEX('Inputs (2)'!$D$43:$AL$43,MATCH(F$7,'Inputs (2)'!$D$2:$AL$2,0))</f>
        <v>81089</v>
      </c>
      <c r="G254" s="25">
        <f>INDEX('Inputs (2)'!$D$43:$AL$43,MATCH(G$7,'Inputs (2)'!$D$2:$AL$2,0))</f>
        <v>81896</v>
      </c>
      <c r="H254" s="3">
        <f>G254</f>
        <v>81896</v>
      </c>
      <c r="I254" s="25">
        <f>INDEX('Inputs (2)'!$D$43:$AL$43,MATCH(I$7,'Inputs (2)'!$D$2:$AL$2,0))</f>
        <v>82308</v>
      </c>
      <c r="J254" s="25">
        <f>INDEX('Inputs (2)'!$D$43:$AL$43,MATCH(J$7,'Inputs (2)'!$D$2:$AL$2,0))</f>
        <v>83111</v>
      </c>
      <c r="K254" s="25">
        <f>INDEX('Inputs (2)'!$D$43:$AL$43,MATCH(K$7,'Inputs (2)'!$D$2:$AL$2,0))</f>
        <v>83751</v>
      </c>
      <c r="L254" s="25">
        <f>INDEX('Inputs (2)'!$D$43:$AL$43,MATCH(L$7,'Inputs (2)'!$D$2:$AL$2,0))</f>
        <v>84528</v>
      </c>
      <c r="M254" s="3">
        <f>L254</f>
        <v>84528</v>
      </c>
      <c r="N254" s="25">
        <f>INDEX('Inputs (2)'!$D$43:$AL$43,MATCH(N$7,'Inputs (2)'!$D$2:$AL$2,0))</f>
        <v>85767</v>
      </c>
      <c r="O254" s="25">
        <f>INDEX('Inputs (2)'!$D$43:$AL$43,MATCH(O$7,'Inputs (2)'!$D$2:$AL$2,0))</f>
        <v>86939</v>
      </c>
      <c r="P254" s="25">
        <f>INDEX('Inputs (2)'!$D$43:$AL$43,MATCH(P$7,'Inputs (2)'!$D$2:$AL$2,0))</f>
        <v>88535</v>
      </c>
      <c r="Q254" s="25">
        <f>INDEX('Inputs (2)'!$D$43:$AL$43,MATCH(Q$7,'Inputs (2)'!$D$2:$AL$2,0))</f>
        <v>90225</v>
      </c>
      <c r="R254" s="3">
        <f>Q254</f>
        <v>90225</v>
      </c>
      <c r="S254" s="25">
        <f>INDEX('Inputs (2)'!$D$43:$AL$43,MATCH(S$7,'Inputs (2)'!$D$2:$AL$2,0))</f>
        <v>92093</v>
      </c>
      <c r="T254" s="25">
        <f>INDEX('Inputs (2)'!$D$43:$AL$43,MATCH(T$7,'Inputs (2)'!$D$2:$AL$2,0))</f>
        <v>93718</v>
      </c>
      <c r="U254" s="25">
        <f>INDEX('Inputs (2)'!$D$43:$AL$43,MATCH(U$7,'Inputs (2)'!$D$2:$AL$2,0))</f>
        <v>95508</v>
      </c>
      <c r="V254" s="25">
        <f>INDEX('Inputs (2)'!$D$43:$AL$43,MATCH(V$7,'Inputs (2)'!$D$2:$AL$2,0))</f>
        <v>97480</v>
      </c>
      <c r="W254" s="3">
        <f>V254</f>
        <v>97480</v>
      </c>
      <c r="X254" s="25">
        <f>INDEX('Inputs (2)'!$D$43:$AL$43,MATCH(X$7,'Inputs (2)'!$D$2:$AL$2,0))</f>
        <v>99193</v>
      </c>
      <c r="Y254" s="25">
        <f>INDEX('Inputs (2)'!$D$43:$AL$43,MATCH(Y$7,'Inputs (2)'!$D$2:$AL$2,0))</f>
        <v>100923</v>
      </c>
      <c r="Z254" s="25">
        <f>INDEX('Inputs (2)'!$D$43:$AL$43,MATCH(Z$7,'Inputs (2)'!$D$2:$AL$2,0))</f>
        <v>102976</v>
      </c>
      <c r="AA254" s="25">
        <f>INDEX('Inputs (2)'!$D$43:$AL$43,MATCH(AA$7,'Inputs (2)'!$D$2:$AL$2,0))</f>
        <v>104829</v>
      </c>
      <c r="AB254" s="3">
        <f>AA254</f>
        <v>104829</v>
      </c>
      <c r="AC254" s="25">
        <f>INDEX('Inputs (2)'!$D$43:$AL$43,MATCH(AC$7,'Inputs (2)'!$D$2:$AL$2,0))</f>
        <v>106965</v>
      </c>
      <c r="AD254" s="25">
        <f>INDEX('Inputs (2)'!$D$43:$AL$43,MATCH(AD$7,'Inputs (2)'!$D$2:$AL$2,0))</f>
        <v>109095</v>
      </c>
      <c r="AE254" s="25">
        <f>INDEX('Inputs (2)'!$D$43:$AL$43,MATCH(AE$7,'Inputs (2)'!$D$2:$AL$2,0))</f>
        <v>110964</v>
      </c>
      <c r="AF254" s="25">
        <f>INDEX('Inputs (2)'!$D$43:$AL$43,MATCH(AF$7,'Inputs (2)'!$D$2:$AL$2,0))</f>
        <v>112788</v>
      </c>
      <c r="AG254" s="3">
        <f>AF254</f>
        <v>112788</v>
      </c>
      <c r="AH254" s="3">
        <f>INDEX('Inputs (2)'!$D$43:$AL$43,MATCH(AH$7,'Inputs (2)'!$D$2:$AL$2,0))</f>
        <v>115069</v>
      </c>
      <c r="AI254" s="3">
        <f>INDEX('Inputs (2)'!$D$43:$AL$43,MATCH(AI$7,'Inputs (2)'!$D$2:$AL$2,0))</f>
        <v>117406</v>
      </c>
      <c r="AJ254" s="3">
        <f>AI254+AJ258</f>
        <v>117406</v>
      </c>
      <c r="AK254" s="3">
        <f>AJ254+AK258</f>
        <v>117406</v>
      </c>
      <c r="AL254" s="3">
        <f>AK254</f>
        <v>117406</v>
      </c>
      <c r="AM254" s="3">
        <f>AL254+AM258</f>
        <v>117406</v>
      </c>
      <c r="AN254" s="3">
        <f>AM254+AN258</f>
        <v>117406</v>
      </c>
      <c r="AO254" s="3">
        <f>AN254+AO258</f>
        <v>117406</v>
      </c>
      <c r="AP254" s="3">
        <f>AO254+AP258</f>
        <v>117406</v>
      </c>
      <c r="AQ254" s="3">
        <f>AP254</f>
        <v>117406</v>
      </c>
      <c r="AR254" s="3">
        <f>AQ254+AR258</f>
        <v>117406</v>
      </c>
      <c r="AS254" s="3">
        <f>AR254+AS258</f>
        <v>117406</v>
      </c>
      <c r="AT254" s="3">
        <f>AS254+AT258</f>
        <v>117406</v>
      </c>
      <c r="AU254" s="3">
        <f>AT254+AU258</f>
        <v>117406</v>
      </c>
      <c r="AV254" s="3">
        <f>AU254</f>
        <v>117406</v>
      </c>
      <c r="AW254" s="3">
        <f>AV254+AW258</f>
        <v>117406</v>
      </c>
      <c r="AX254" s="3">
        <f>AW254+AX258</f>
        <v>117406</v>
      </c>
      <c r="AY254" s="3">
        <f>AX254+AY258</f>
        <v>117406</v>
      </c>
      <c r="AZ254" s="3">
        <f>AY254+AZ258</f>
        <v>117406</v>
      </c>
      <c r="BA254" s="3">
        <f>AZ254</f>
        <v>117406</v>
      </c>
      <c r="BB254" s="3">
        <f>BA254+BB258</f>
        <v>117406</v>
      </c>
      <c r="BC254" s="3">
        <f>BB254+BC258</f>
        <v>117406</v>
      </c>
      <c r="BD254" s="3">
        <f>BC254+BD258</f>
        <v>117406</v>
      </c>
      <c r="BE254" s="3">
        <f>BD254+BE258</f>
        <v>117406</v>
      </c>
      <c r="BF254" s="3">
        <f>BE254</f>
        <v>117406</v>
      </c>
      <c r="BG254" s="3">
        <f>BF254+BG258</f>
        <v>117406</v>
      </c>
      <c r="BH254" s="3">
        <f>BG254+BH258</f>
        <v>117406</v>
      </c>
      <c r="BI254" s="3">
        <f>BH254+BI258</f>
        <v>117406</v>
      </c>
      <c r="BJ254" s="3">
        <f>BI254+BJ258</f>
        <v>117406</v>
      </c>
      <c r="BK254" s="3">
        <f>BJ254</f>
        <v>117406</v>
      </c>
      <c r="BL254" s="3">
        <f>BK254+BL258</f>
        <v>117406</v>
      </c>
      <c r="BM254" s="3">
        <f>BL254+BM258</f>
        <v>117406</v>
      </c>
      <c r="BN254" s="3">
        <f>BM254+BN258</f>
        <v>117406</v>
      </c>
      <c r="BO254" s="3">
        <f>BN254+BO258</f>
        <v>117406</v>
      </c>
      <c r="BP254" s="3">
        <f>BO254</f>
        <v>117406</v>
      </c>
      <c r="BQ254" s="3">
        <f>BP254+BQ258</f>
        <v>117406</v>
      </c>
      <c r="BR254" s="3">
        <f>BQ254+BR258</f>
        <v>117406</v>
      </c>
      <c r="BS254" s="3">
        <f>BR254+BS258</f>
        <v>117406</v>
      </c>
      <c r="BT254" s="3">
        <f>BS254+BT258</f>
        <v>117406</v>
      </c>
      <c r="BU254" s="3">
        <f>BT254</f>
        <v>117406</v>
      </c>
      <c r="BV254" s="3">
        <f>BU254+BV258</f>
        <v>117406</v>
      </c>
      <c r="BW254" s="3">
        <f>BV254+BW258</f>
        <v>117406</v>
      </c>
      <c r="BX254" s="3">
        <f>BW254+BX258</f>
        <v>117406</v>
      </c>
      <c r="BY254" s="3">
        <f>BX254+BY258</f>
        <v>117406</v>
      </c>
      <c r="BZ254" s="3">
        <f>BY254</f>
        <v>117406</v>
      </c>
      <c r="CA254" s="3">
        <f>BZ254+CA258</f>
        <v>117406</v>
      </c>
      <c r="CB254" s="3">
        <f>CA254+CB258</f>
        <v>117406</v>
      </c>
      <c r="CC254" s="3">
        <f>CB254+CC258</f>
        <v>117406</v>
      </c>
      <c r="CD254" s="3">
        <f>CC254+CD258</f>
        <v>117406</v>
      </c>
      <c r="CE254" s="3">
        <f>CD254</f>
        <v>117406</v>
      </c>
      <c r="CF254" s="3">
        <f>CE254+CF258</f>
        <v>117406</v>
      </c>
      <c r="CG254" s="3">
        <f>CF254+CG258</f>
        <v>117406</v>
      </c>
      <c r="CH254" s="3">
        <f>CG254+CH258</f>
        <v>117406</v>
      </c>
      <c r="CI254" s="3">
        <f>CH254+CI258</f>
        <v>117406</v>
      </c>
      <c r="CJ254" s="3">
        <f>CI254</f>
        <v>117406</v>
      </c>
      <c r="CK254" s="3">
        <f>CJ254+CK258</f>
        <v>117406</v>
      </c>
      <c r="CL254" s="3">
        <f>CK254+CL258</f>
        <v>117406</v>
      </c>
      <c r="CM254" s="3">
        <f>CL254+CM258</f>
        <v>117406</v>
      </c>
      <c r="CN254" s="3">
        <f>CM254+CN258</f>
        <v>117406</v>
      </c>
      <c r="CO254" s="3">
        <f>CN254</f>
        <v>117406</v>
      </c>
      <c r="CP254" s="3">
        <f>CO254+CP258</f>
        <v>117406</v>
      </c>
      <c r="CQ254" s="3">
        <f>CP254+CQ258</f>
        <v>117406</v>
      </c>
      <c r="CR254" s="3">
        <f>CQ254+CR258</f>
        <v>117406</v>
      </c>
      <c r="CS254" s="3">
        <f>CR254+CS258</f>
        <v>117406</v>
      </c>
      <c r="CT254" s="3">
        <f>CS254</f>
        <v>117406</v>
      </c>
      <c r="CU254" s="3">
        <f>CT254+CU258</f>
        <v>117406</v>
      </c>
      <c r="CV254" s="3">
        <f>CU254+CV258</f>
        <v>117406</v>
      </c>
      <c r="CW254" s="3">
        <f>CV254+CW258</f>
        <v>117406</v>
      </c>
      <c r="CX254" s="3">
        <f>CW254+CX258</f>
        <v>117406</v>
      </c>
      <c r="CY254" s="3">
        <f>CX254</f>
        <v>117406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 t="n"/>
      <c r="E267" s="25" t="n"/>
      <c r="F267" s="25" t="n"/>
      <c r="G267" s="25" t="n"/>
      <c r="H267" s="3">
        <f>G267</f>
        <v>0</v>
      </c>
      <c r="I267" s="25" t="n"/>
      <c r="J267" s="25" t="n"/>
      <c r="K267" s="25" t="n"/>
      <c r="L267" s="25" t="n"/>
      <c r="M267" s="3">
        <f>L267</f>
        <v>0</v>
      </c>
      <c r="N267" s="25" t="n"/>
      <c r="O267" s="25" t="n"/>
      <c r="P267" s="25" t="n"/>
      <c r="Q267" s="25" t="n"/>
      <c r="R267" s="3">
        <f>Q267</f>
        <v>0</v>
      </c>
      <c r="S267" s="25" t="n"/>
      <c r="T267" s="25" t="n"/>
      <c r="U267" s="25" t="n"/>
      <c r="V267" s="25" t="n"/>
      <c r="W267" s="3">
        <f>V267</f>
        <v>0</v>
      </c>
      <c r="X267" s="25" t="n"/>
      <c r="Y267" s="25" t="n"/>
      <c r="Z267" s="25" t="n"/>
      <c r="AA267" s="25" t="n"/>
      <c r="AB267" s="3">
        <f>AA267</f>
        <v>0</v>
      </c>
      <c r="AC267" s="25" t="n"/>
      <c r="AD267" s="25" t="n"/>
      <c r="AE267" s="25" t="n"/>
      <c r="AF267" s="25" t="n"/>
      <c r="AG267" s="3">
        <f>AF267</f>
        <v>0</v>
      </c>
      <c r="AH267" s="3">
        <f>AG267+AH257</f>
        <v>0</v>
      </c>
      <c r="AI267" s="3">
        <f>AH267+AI257</f>
        <v>0</v>
      </c>
      <c r="AJ267" s="3">
        <f>AI267+AJ257</f>
        <v>0</v>
      </c>
      <c r="AK267" s="3">
        <f>AJ267+AK257</f>
        <v>0</v>
      </c>
      <c r="AL267" s="3">
        <f>AK267</f>
        <v>0</v>
      </c>
      <c r="AM267" s="3">
        <f>AL267+AM257</f>
        <v>0</v>
      </c>
      <c r="AN267" s="3">
        <f>AM267+AN257</f>
        <v>0</v>
      </c>
      <c r="AO267" s="3">
        <f>AN267+AO257</f>
        <v>0</v>
      </c>
      <c r="AP267" s="3">
        <f>AO267+AP257</f>
        <v>0</v>
      </c>
      <c r="AQ267" s="3">
        <f>AP267</f>
        <v>0</v>
      </c>
      <c r="AR267" s="3">
        <f>AQ267+AR257</f>
        <v>0</v>
      </c>
      <c r="AS267" s="3">
        <f>AR267+AS257</f>
        <v>0</v>
      </c>
      <c r="AT267" s="3">
        <f>AS267+AT257</f>
        <v>0</v>
      </c>
      <c r="AU267" s="3">
        <f>AT267+AU257</f>
        <v>0</v>
      </c>
      <c r="AV267" s="3">
        <f>AU267</f>
        <v>0</v>
      </c>
      <c r="AW267" s="3">
        <f>AV267+AW257</f>
        <v>0</v>
      </c>
      <c r="AX267" s="3">
        <f>AW267+AX257</f>
        <v>0</v>
      </c>
      <c r="AY267" s="3">
        <f>AX267+AY257</f>
        <v>0</v>
      </c>
      <c r="AZ267" s="3">
        <f>AY267+AZ257</f>
        <v>0</v>
      </c>
      <c r="BA267" s="3">
        <f>AZ267</f>
        <v>0</v>
      </c>
      <c r="BB267" s="3">
        <f>BA267+BB257</f>
        <v>0</v>
      </c>
      <c r="BC267" s="3">
        <f>BB267+BC257</f>
        <v>0</v>
      </c>
      <c r="BD267" s="3">
        <f>BC267+BD257</f>
        <v>0</v>
      </c>
      <c r="BE267" s="3">
        <f>BD267+BE257</f>
        <v>0</v>
      </c>
      <c r="BF267" s="3">
        <f>BE267</f>
        <v>0</v>
      </c>
      <c r="BG267" s="3">
        <f>BF267+BG257</f>
        <v>0</v>
      </c>
      <c r="BH267" s="3">
        <f>BG267+BH257</f>
        <v>0</v>
      </c>
      <c r="BI267" s="3">
        <f>BH267+BI257</f>
        <v>0</v>
      </c>
      <c r="BJ267" s="3">
        <f>BI267+BJ257</f>
        <v>0</v>
      </c>
      <c r="BK267" s="3">
        <f>BJ267</f>
        <v>0</v>
      </c>
      <c r="BL267" s="3">
        <f>BK267+BL257</f>
        <v>0</v>
      </c>
      <c r="BM267" s="3">
        <f>BL267+BM257</f>
        <v>0</v>
      </c>
      <c r="BN267" s="3">
        <f>BM267+BN257</f>
        <v>0</v>
      </c>
      <c r="BO267" s="3">
        <f>BN267+BO257</f>
        <v>0</v>
      </c>
      <c r="BP267" s="3">
        <f>BO267</f>
        <v>0</v>
      </c>
      <c r="BQ267" s="3">
        <f>BP267+BQ257</f>
        <v>0</v>
      </c>
      <c r="BR267" s="3">
        <f>BQ267+BR257</f>
        <v>0</v>
      </c>
      <c r="BS267" s="3">
        <f>BR267+BS257</f>
        <v>0</v>
      </c>
      <c r="BT267" s="3">
        <f>BS267+BT257</f>
        <v>0</v>
      </c>
      <c r="BU267" s="3">
        <f>BT267</f>
        <v>0</v>
      </c>
      <c r="BV267" s="3">
        <f>BU267+BV257</f>
        <v>0</v>
      </c>
      <c r="BW267" s="3">
        <f>BV267+BW257</f>
        <v>0</v>
      </c>
      <c r="BX267" s="3">
        <f>BW267+BX257</f>
        <v>0</v>
      </c>
      <c r="BY267" s="3">
        <f>BX267+BY257</f>
        <v>0</v>
      </c>
      <c r="BZ267" s="3">
        <f>BY267</f>
        <v>0</v>
      </c>
      <c r="CA267" s="3">
        <f>BZ267+CA257</f>
        <v>0</v>
      </c>
      <c r="CB267" s="3">
        <f>CA267+CB257</f>
        <v>0</v>
      </c>
      <c r="CC267" s="3">
        <f>CB267+CC257</f>
        <v>0</v>
      </c>
      <c r="CD267" s="3">
        <f>CC267+CD257</f>
        <v>0</v>
      </c>
      <c r="CE267" s="3">
        <f>CD267</f>
        <v>0</v>
      </c>
      <c r="CF267" s="3">
        <f>CE267+CF257</f>
        <v>0</v>
      </c>
      <c r="CG267" s="3">
        <f>CF267+CG257</f>
        <v>0</v>
      </c>
      <c r="CH267" s="3">
        <f>CG267+CH257</f>
        <v>0</v>
      </c>
      <c r="CI267" s="3">
        <f>CH267+CI257</f>
        <v>0</v>
      </c>
      <c r="CJ267" s="3">
        <f>CI267</f>
        <v>0</v>
      </c>
      <c r="CK267" s="3">
        <f>CJ267+CK257</f>
        <v>0</v>
      </c>
      <c r="CL267" s="3">
        <f>CK267+CL257</f>
        <v>0</v>
      </c>
      <c r="CM267" s="3">
        <f>CL267+CM257</f>
        <v>0</v>
      </c>
      <c r="CN267" s="3">
        <f>CM267+CN257</f>
        <v>0</v>
      </c>
      <c r="CO267" s="3">
        <f>CN267</f>
        <v>0</v>
      </c>
      <c r="CP267" s="3">
        <f>CO267+CP257</f>
        <v>0</v>
      </c>
      <c r="CQ267" s="3">
        <f>CP267+CQ257</f>
        <v>0</v>
      </c>
      <c r="CR267" s="3">
        <f>CQ267+CR257</f>
        <v>0</v>
      </c>
      <c r="CS267" s="3">
        <f>CR267+CS257</f>
        <v>0</v>
      </c>
      <c r="CT267" s="3">
        <f>CS267</f>
        <v>0</v>
      </c>
      <c r="CU267" s="3">
        <f>CT267+CU257</f>
        <v>0</v>
      </c>
      <c r="CV267" s="3">
        <f>CU267+CV257</f>
        <v>0</v>
      </c>
      <c r="CW267" s="3">
        <f>CV267+CW257</f>
        <v>0</v>
      </c>
      <c r="CX267" s="3">
        <f>CW267+CX257</f>
        <v>0</v>
      </c>
      <c r="CY267" s="3">
        <f>CX267</f>
        <v>0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2676</v>
      </c>
      <c r="E268" s="25">
        <f>INDEX('Inputs (2)'!$D$45:$AL$45,MATCH(E$7,'Inputs (2)'!$D$2:$AL$2,0))</f>
        <v>3186</v>
      </c>
      <c r="F268" s="25">
        <f>INDEX('Inputs (2)'!$D$45:$AL$45,MATCH(F$7,'Inputs (2)'!$D$2:$AL$2,0))</f>
        <v>3110</v>
      </c>
      <c r="G268" s="25">
        <f>INDEX('Inputs (2)'!$D$45:$AL$45,MATCH(G$7,'Inputs (2)'!$D$2:$AL$2,0))</f>
        <v>3367</v>
      </c>
      <c r="H268" s="3">
        <f>G268</f>
        <v>3367</v>
      </c>
      <c r="I268" s="25">
        <f>INDEX('Inputs (2)'!$D$45:$AL$45,MATCH(I$7,'Inputs (2)'!$D$2:$AL$2,0))</f>
        <v>1462</v>
      </c>
      <c r="J268" s="25">
        <f>INDEX('Inputs (2)'!$D$45:$AL$45,MATCH(J$7,'Inputs (2)'!$D$2:$AL$2,0))</f>
        <v>1822</v>
      </c>
      <c r="K268" s="25">
        <f>INDEX('Inputs (2)'!$D$45:$AL$45,MATCH(K$7,'Inputs (2)'!$D$2:$AL$2,0))</f>
        <v>1283</v>
      </c>
      <c r="L268" s="25">
        <f>INDEX('Inputs (2)'!$D$45:$AL$45,MATCH(L$7,'Inputs (2)'!$D$2:$AL$2,0))</f>
        <v>437</v>
      </c>
      <c r="M268" s="3">
        <f>L268</f>
        <v>437</v>
      </c>
      <c r="N268" s="25">
        <f>INDEX('Inputs (2)'!$D$45:$AL$45,MATCH(N$7,'Inputs (2)'!$D$2:$AL$2,0))</f>
        <v>-2476</v>
      </c>
      <c r="O268" s="25">
        <f>INDEX('Inputs (2)'!$D$45:$AL$45,MATCH(O$7,'Inputs (2)'!$D$2:$AL$2,0))</f>
        <v>-4678</v>
      </c>
      <c r="P268" s="25">
        <f>INDEX('Inputs (2)'!$D$45:$AL$45,MATCH(P$7,'Inputs (2)'!$D$2:$AL$2,0))</f>
        <v>-7343</v>
      </c>
      <c r="Q268" s="25">
        <f>INDEX('Inputs (2)'!$D$45:$AL$45,MATCH(Q$7,'Inputs (2)'!$D$2:$AL$2,0))</f>
        <v>-6457</v>
      </c>
      <c r="R268" s="3">
        <f>Q268</f>
        <v>-6457</v>
      </c>
      <c r="S268" s="25">
        <f>INDEX('Inputs (2)'!$D$45:$AL$45,MATCH(S$7,'Inputs (2)'!$D$2:$AL$2,0))</f>
        <v>-5644</v>
      </c>
      <c r="T268" s="25">
        <f>INDEX('Inputs (2)'!$D$45:$AL$45,MATCH(T$7,'Inputs (2)'!$D$2:$AL$2,0))</f>
        <v>-6343</v>
      </c>
      <c r="U268" s="25">
        <f>INDEX('Inputs (2)'!$D$45:$AL$45,MATCH(U$7,'Inputs (2)'!$D$2:$AL$2,0))</f>
        <v>-6937</v>
      </c>
      <c r="V268" s="25">
        <f>INDEX('Inputs (2)'!$D$45:$AL$45,MATCH(V$7,'Inputs (2)'!$D$2:$AL$2,0))</f>
        <v>-4949</v>
      </c>
      <c r="W268" s="3">
        <f>V268</f>
        <v>-4949</v>
      </c>
      <c r="X268" s="25">
        <f>INDEX('Inputs (2)'!$D$45:$AL$45,MATCH(X$7,'Inputs (2)'!$D$2:$AL$2,0))</f>
        <v>-5435</v>
      </c>
      <c r="Y268" s="25">
        <f>INDEX('Inputs (2)'!$D$45:$AL$45,MATCH(Y$7,'Inputs (2)'!$D$2:$AL$2,0))</f>
        <v>-5590</v>
      </c>
      <c r="Z268" s="25">
        <f>INDEX('Inputs (2)'!$D$45:$AL$45,MATCH(Z$7,'Inputs (2)'!$D$2:$AL$2,0))</f>
        <v>-4182</v>
      </c>
      <c r="AA268" s="25">
        <f>INDEX('Inputs (2)'!$D$45:$AL$45,MATCH(AA$7,'Inputs (2)'!$D$2:$AL$2,0))</f>
        <v>-5616</v>
      </c>
      <c r="AB268" s="3">
        <f>AA268</f>
        <v>-5616</v>
      </c>
      <c r="AC268" s="25">
        <f>INDEX('Inputs (2)'!$D$45:$AL$45,MATCH(AC$7,'Inputs (2)'!$D$2:$AL$2,0))</f>
        <v>-4833</v>
      </c>
      <c r="AD268" s="25">
        <f>INDEX('Inputs (2)'!$D$45:$AL$45,MATCH(AD$7,'Inputs (2)'!$D$2:$AL$2,0))</f>
        <v>-3347</v>
      </c>
      <c r="AE268" s="25">
        <f>INDEX('Inputs (2)'!$D$45:$AL$45,MATCH(AE$7,'Inputs (2)'!$D$2:$AL$2,0))</f>
        <v>-2761</v>
      </c>
      <c r="AF268" s="25">
        <f>INDEX('Inputs (2)'!$D$45:$AL$45,MATCH(AF$7,'Inputs (2)'!$D$2:$AL$2,0))</f>
        <v>-2702</v>
      </c>
      <c r="AG268" s="3">
        <f>AF268</f>
        <v>-2702</v>
      </c>
      <c r="AH268" s="3">
        <f>INDEX('Inputs (2)'!$D$45:$AL$45,MATCH(AH$7,'Inputs (2)'!$D$2:$AL$2,0))</f>
        <v>-3228</v>
      </c>
      <c r="AI268" s="3">
        <f>INDEX('Inputs (2)'!$D$45:$AL$45,MATCH(AI$7,'Inputs (2)'!$D$2:$AL$2,0))</f>
        <v>-3284</v>
      </c>
      <c r="AJ268" s="3">
        <f>AI268</f>
        <v>-3284</v>
      </c>
      <c r="AK268" s="3">
        <f>AJ268</f>
        <v>-3284</v>
      </c>
      <c r="AL268" s="3">
        <f>AK268</f>
        <v>-3284</v>
      </c>
      <c r="AM268" s="3">
        <f>AL268</f>
        <v>-3284</v>
      </c>
      <c r="AN268" s="3">
        <f>AM268</f>
        <v>-3284</v>
      </c>
      <c r="AO268" s="3">
        <f>AN268</f>
        <v>-3284</v>
      </c>
      <c r="AP268" s="3">
        <f>AO268</f>
        <v>-3284</v>
      </c>
      <c r="AQ268" s="3">
        <f>AP268</f>
        <v>-3284</v>
      </c>
      <c r="AR268" s="3">
        <f>AQ268</f>
        <v>-3284</v>
      </c>
      <c r="AS268" s="3">
        <f>AR268</f>
        <v>-3284</v>
      </c>
      <c r="AT268" s="3">
        <f>AS268</f>
        <v>-3284</v>
      </c>
      <c r="AU268" s="3">
        <f>AT268</f>
        <v>-3284</v>
      </c>
      <c r="AV268" s="3">
        <f>AU268</f>
        <v>-3284</v>
      </c>
      <c r="AW268" s="3">
        <f>AV268</f>
        <v>-3284</v>
      </c>
      <c r="AX268" s="3">
        <f>AW268</f>
        <v>-3284</v>
      </c>
      <c r="AY268" s="3">
        <f>AX268</f>
        <v>-3284</v>
      </c>
      <c r="AZ268" s="3">
        <f>AY268</f>
        <v>-3284</v>
      </c>
      <c r="BA268" s="3">
        <f>AZ268</f>
        <v>-3284</v>
      </c>
      <c r="BB268" s="3">
        <f>BA268</f>
        <v>-3284</v>
      </c>
      <c r="BC268" s="3">
        <f>BB268</f>
        <v>-3284</v>
      </c>
      <c r="BD268" s="3">
        <f>BC268</f>
        <v>-3284</v>
      </c>
      <c r="BE268" s="3">
        <f>BD268</f>
        <v>-3284</v>
      </c>
      <c r="BF268" s="3">
        <f>BE268</f>
        <v>-3284</v>
      </c>
      <c r="BG268" s="3">
        <f>BF268</f>
        <v>-3284</v>
      </c>
      <c r="BH268" s="3">
        <f>BG268</f>
        <v>-3284</v>
      </c>
      <c r="BI268" s="3">
        <f>BH268</f>
        <v>-3284</v>
      </c>
      <c r="BJ268" s="3">
        <f>BI268</f>
        <v>-3284</v>
      </c>
      <c r="BK268" s="3">
        <f>BJ268</f>
        <v>-3284</v>
      </c>
      <c r="BL268" s="3">
        <f>BK268</f>
        <v>-3284</v>
      </c>
      <c r="BM268" s="3">
        <f>BL268</f>
        <v>-3284</v>
      </c>
      <c r="BN268" s="3">
        <f>BM268</f>
        <v>-3284</v>
      </c>
      <c r="BO268" s="3">
        <f>BN268</f>
        <v>-3284</v>
      </c>
      <c r="BP268" s="3">
        <f>BO268</f>
        <v>-3284</v>
      </c>
      <c r="BQ268" s="3">
        <f>BP268</f>
        <v>-3284</v>
      </c>
      <c r="BR268" s="3">
        <f>BQ268</f>
        <v>-3284</v>
      </c>
      <c r="BS268" s="3">
        <f>BR268</f>
        <v>-3284</v>
      </c>
      <c r="BT268" s="3">
        <f>BS268</f>
        <v>-3284</v>
      </c>
      <c r="BU268" s="3">
        <f>BT268</f>
        <v>-3284</v>
      </c>
      <c r="BV268" s="3">
        <f>BU268</f>
        <v>-3284</v>
      </c>
      <c r="BW268" s="3">
        <f>BV268</f>
        <v>-3284</v>
      </c>
      <c r="BX268" s="3">
        <f>BW268</f>
        <v>-3284</v>
      </c>
      <c r="BY268" s="3">
        <f>BX268</f>
        <v>-3284</v>
      </c>
      <c r="BZ268" s="3">
        <f>BY268</f>
        <v>-3284</v>
      </c>
      <c r="CA268" s="3">
        <f>BZ268</f>
        <v>-3284</v>
      </c>
      <c r="CB268" s="3">
        <f>CA268</f>
        <v>-3284</v>
      </c>
      <c r="CC268" s="3">
        <f>CB268</f>
        <v>-3284</v>
      </c>
      <c r="CD268" s="3">
        <f>CC268</f>
        <v>-3284</v>
      </c>
      <c r="CE268" s="3">
        <f>CD268</f>
        <v>-3284</v>
      </c>
      <c r="CF268" s="3">
        <f>CE268</f>
        <v>-3284</v>
      </c>
      <c r="CG268" s="3">
        <f>CF268</f>
        <v>-3284</v>
      </c>
      <c r="CH268" s="3">
        <f>CG268</f>
        <v>-3284</v>
      </c>
      <c r="CI268" s="3">
        <f>CH268</f>
        <v>-3284</v>
      </c>
      <c r="CJ268" s="3">
        <f>CI268</f>
        <v>-3284</v>
      </c>
      <c r="CK268" s="3">
        <f>CJ268</f>
        <v>-3284</v>
      </c>
      <c r="CL268" s="3">
        <f>CK268</f>
        <v>-3284</v>
      </c>
      <c r="CM268" s="3">
        <f>CL268</f>
        <v>-3284</v>
      </c>
      <c r="CN268" s="3">
        <f>CM268</f>
        <v>-3284</v>
      </c>
      <c r="CO268" s="3">
        <f>CN268</f>
        <v>-3284</v>
      </c>
      <c r="CP268" s="3">
        <f>CO268</f>
        <v>-3284</v>
      </c>
      <c r="CQ268" s="3">
        <f>CP268</f>
        <v>-3284</v>
      </c>
      <c r="CR268" s="3">
        <f>CQ268</f>
        <v>-3284</v>
      </c>
      <c r="CS268" s="3">
        <f>CR268</f>
        <v>-3284</v>
      </c>
      <c r="CT268" s="3">
        <f>CS268</f>
        <v>-3284</v>
      </c>
      <c r="CU268" s="3">
        <f>CT268</f>
        <v>-3284</v>
      </c>
      <c r="CV268" s="3">
        <f>CU268</f>
        <v>-3284</v>
      </c>
      <c r="CW268" s="3">
        <f>CV268</f>
        <v>-3284</v>
      </c>
      <c r="CX268" s="3">
        <f>CW268</f>
        <v>-3284</v>
      </c>
      <c r="CY268" s="3">
        <f>CX268</f>
        <v>-3284</v>
      </c>
    </row>
    <row r="269">
      <c r="C269" s="26" t="inlineStr">
        <is>
          <t>Other equity account</t>
        </is>
      </c>
      <c r="D269" s="25" t="n"/>
      <c r="E269" s="25" t="n"/>
      <c r="F269" s="25" t="n"/>
      <c r="G269" s="25" t="n"/>
      <c r="H269" s="3">
        <f>G269</f>
        <v>0</v>
      </c>
      <c r="I269" s="25" t="n"/>
      <c r="J269" s="25" t="n"/>
      <c r="K269" s="25" t="n"/>
      <c r="L269" s="25" t="n"/>
      <c r="M269" s="3">
        <f>L269</f>
        <v>0</v>
      </c>
      <c r="N269" s="25" t="n"/>
      <c r="O269" s="25" t="n"/>
      <c r="P269" s="25" t="n"/>
      <c r="Q269" s="25" t="n"/>
      <c r="R269" s="3">
        <f>Q269</f>
        <v>0</v>
      </c>
      <c r="S269" s="25" t="n"/>
      <c r="T269" s="25" t="n"/>
      <c r="U269" s="25" t="n"/>
      <c r="V269" s="25" t="n"/>
      <c r="W269" s="3">
        <f>V269</f>
        <v>0</v>
      </c>
      <c r="X269" s="25" t="n"/>
      <c r="Y269" s="25" t="n"/>
      <c r="Z269" s="25" t="n"/>
      <c r="AA269" s="25" t="n"/>
      <c r="AB269" s="3">
        <f>AA269</f>
        <v>0</v>
      </c>
      <c r="AC269" s="25" t="n"/>
      <c r="AD269" s="25" t="n"/>
      <c r="AE269" s="25" t="n"/>
      <c r="AF269" s="25" t="n"/>
      <c r="AG269" s="3">
        <f>AF269</f>
        <v>0</v>
      </c>
      <c r="AH269" s="3">
        <f>AG269</f>
        <v>0</v>
      </c>
      <c r="AI269" s="3">
        <f>AH269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32012</v>
      </c>
      <c r="E270" s="25">
        <f>INDEX('Inputs (2)'!$D$47:$AL$47,MATCH(E$7,'Inputs (2)'!$D$2:$AL$2,0))</f>
        <v>34566</v>
      </c>
      <c r="F270" s="25">
        <f>INDEX('Inputs (2)'!$D$47:$AL$47,MATCH(F$7,'Inputs (2)'!$D$2:$AL$2,0))</f>
        <v>39193</v>
      </c>
      <c r="G270" s="25">
        <f>INDEX('Inputs (2)'!$D$47:$AL$47,MATCH(G$7,'Inputs (2)'!$D$2:$AL$2,0))</f>
        <v>44973</v>
      </c>
      <c r="H270" s="3">
        <f>G270</f>
        <v>44973</v>
      </c>
      <c r="I270" s="25">
        <f>INDEX('Inputs (2)'!$D$47:$AL$47,MATCH(I$7,'Inputs (2)'!$D$2:$AL$2,0))</f>
        <v>50735</v>
      </c>
      <c r="J270" s="25">
        <f>INDEX('Inputs (2)'!$D$47:$AL$47,MATCH(J$7,'Inputs (2)'!$D$2:$AL$2,0))</f>
        <v>57055</v>
      </c>
      <c r="K270" s="25">
        <f>INDEX('Inputs (2)'!$D$47:$AL$47,MATCH(K$7,'Inputs (2)'!$D$2:$AL$2,0))</f>
        <v>66944</v>
      </c>
      <c r="L270" s="25">
        <f>INDEX('Inputs (2)'!$D$47:$AL$47,MATCH(L$7,'Inputs (2)'!$D$2:$AL$2,0))</f>
        <v>75045</v>
      </c>
      <c r="M270" s="3">
        <f>L270</f>
        <v>75045</v>
      </c>
      <c r="N270" s="25">
        <f>INDEX('Inputs (2)'!$D$47:$AL$47,MATCH(N$7,'Inputs (2)'!$D$2:$AL$2,0))</f>
        <v>79633</v>
      </c>
      <c r="O270" s="25">
        <f>INDEX('Inputs (2)'!$D$47:$AL$47,MATCH(O$7,'Inputs (2)'!$D$2:$AL$2,0))</f>
        <v>84281</v>
      </c>
      <c r="P270" s="25">
        <f>INDEX('Inputs (2)'!$D$47:$AL$47,MATCH(P$7,'Inputs (2)'!$D$2:$AL$2,0))</f>
        <v>92374</v>
      </c>
      <c r="Q270" s="25">
        <f>INDEX('Inputs (2)'!$D$47:$AL$47,MATCH(Q$7,'Inputs (2)'!$D$2:$AL$2,0))</f>
        <v>99368</v>
      </c>
      <c r="R270" s="3">
        <f>Q270</f>
        <v>99368</v>
      </c>
      <c r="S270" s="25">
        <f>INDEX('Inputs (2)'!$D$47:$AL$47,MATCH(S$7,'Inputs (2)'!$D$2:$AL$2,0))</f>
        <v>108234</v>
      </c>
      <c r="T270" s="25">
        <f>INDEX('Inputs (2)'!$D$47:$AL$47,MATCH(T$7,'Inputs (2)'!$D$2:$AL$2,0))</f>
        <v>118848</v>
      </c>
      <c r="U270" s="25">
        <f>INDEX('Inputs (2)'!$D$47:$AL$47,MATCH(U$7,'Inputs (2)'!$D$2:$AL$2,0))</f>
        <v>132143</v>
      </c>
      <c r="V270" s="25">
        <f>INDEX('Inputs (2)'!$D$47:$AL$47,MATCH(V$7,'Inputs (2)'!$D$2:$AL$2,0))</f>
        <v>145737</v>
      </c>
      <c r="W270" s="3">
        <f>V270</f>
        <v>145737</v>
      </c>
      <c r="X270" s="25">
        <f>INDEX('Inputs (2)'!$D$47:$AL$47,MATCH(X$7,'Inputs (2)'!$D$2:$AL$2,0))</f>
        <v>159394</v>
      </c>
      <c r="Y270" s="25">
        <f>INDEX('Inputs (2)'!$D$47:$AL$47,MATCH(Y$7,'Inputs (2)'!$D$2:$AL$2,0))</f>
        <v>173144</v>
      </c>
      <c r="Z270" s="25">
        <f>INDEX('Inputs (2)'!$D$47:$AL$47,MATCH(Z$7,'Inputs (2)'!$D$2:$AL$2,0))</f>
        <v>188929</v>
      </c>
      <c r="AA270" s="25">
        <f>INDEX('Inputs (2)'!$D$47:$AL$47,MATCH(AA$7,'Inputs (2)'!$D$2:$AL$2,0))</f>
        <v>203482</v>
      </c>
      <c r="AB270" s="3">
        <f>AA270</f>
        <v>203482</v>
      </c>
      <c r="AC270" s="25">
        <f>INDEX('Inputs (2)'!$D$47:$AL$47,MATCH(AC$7,'Inputs (2)'!$D$2:$AL$2,0))</f>
        <v>219759</v>
      </c>
      <c r="AD270" s="25">
        <f>INDEX('Inputs (2)'!$D$47:$AL$47,MATCH(AD$7,'Inputs (2)'!$D$2:$AL$2,0))</f>
        <v>237731</v>
      </c>
      <c r="AE270" s="25">
        <f>INDEX('Inputs (2)'!$D$47:$AL$47,MATCH(AE$7,'Inputs (2)'!$D$2:$AL$2,0))</f>
        <v>254873</v>
      </c>
      <c r="AF270" s="25">
        <f>INDEX('Inputs (2)'!$D$47:$AL$47,MATCH(AF$7,'Inputs (2)'!$D$2:$AL$2,0))</f>
        <v>280789</v>
      </c>
      <c r="AG270" s="3">
        <f>AF270</f>
        <v>280789</v>
      </c>
      <c r="AH270" s="3">
        <f>INDEX('Inputs (2)'!$D$47:$AL$47,MATCH(AH$7,'Inputs (2)'!$D$2:$AL$2,0))</f>
        <v>302526</v>
      </c>
      <c r="AI270" s="3">
        <f>INDEX('Inputs (2)'!$D$47:$AL$47,MATCH(AI$7,'Inputs (2)'!$D$2:$AL$2,0))</f>
        <v>328265</v>
      </c>
      <c r="AJ270" s="3">
        <f>AI270+AJ137+AJ138</f>
        <v>329985</v>
      </c>
      <c r="AK270" s="3">
        <f>AJ270+AK137+AK138</f>
        <v>334268</v>
      </c>
      <c r="AL270" s="3">
        <f>AK270</f>
        <v>334268</v>
      </c>
      <c r="AM270" s="3">
        <f>AL270+AM137+AM138</f>
        <v>338551</v>
      </c>
      <c r="AN270" s="3">
        <f>AM270+AN137+AN138</f>
        <v>350557</v>
      </c>
      <c r="AO270" s="3">
        <f>AN270+AO137+AO138</f>
        <v>354840</v>
      </c>
      <c r="AP270" s="3">
        <f>AO270+AP137+AP138</f>
        <v>366846</v>
      </c>
      <c r="AQ270" s="3">
        <f>AP270</f>
        <v>366846</v>
      </c>
      <c r="AR270" s="3">
        <f>AQ270+AR137+AR138</f>
        <v>378852</v>
      </c>
      <c r="AS270" s="3">
        <f>AR270+AS137+AS138</f>
        <v>411430</v>
      </c>
      <c r="AT270" s="3">
        <f>AS270+AT137+AT138</f>
        <v>423436</v>
      </c>
      <c r="AU270" s="3">
        <f>AT270+AU137+AU138</f>
        <v>456014</v>
      </c>
      <c r="AV270" s="3">
        <f>AU270</f>
        <v>456014</v>
      </c>
      <c r="AW270" s="3">
        <f>AV270+AW137+AW138</f>
        <v>488592</v>
      </c>
      <c r="AX270" s="3">
        <f>AW270+AX137+AX138</f>
        <v>577760</v>
      </c>
      <c r="AY270" s="3">
        <f>AX270+AY137+AY138</f>
        <v>610338</v>
      </c>
      <c r="AZ270" s="3">
        <f>AY270+AZ137+AZ138</f>
        <v>699506</v>
      </c>
      <c r="BA270" s="3">
        <f>AZ270</f>
        <v>699506</v>
      </c>
      <c r="BB270" s="3">
        <f>BA270+BB137+BB138</f>
        <v>788674</v>
      </c>
      <c r="BC270" s="3">
        <f>BB270+BC137+BC138</f>
        <v>1032166</v>
      </c>
      <c r="BD270" s="3">
        <f>BC270+BD137+BD138</f>
        <v>1121334</v>
      </c>
      <c r="BE270" s="3">
        <f>BD270+BE137+BE138</f>
        <v>1364826</v>
      </c>
      <c r="BF270" s="3">
        <f>BE270</f>
        <v>1364826</v>
      </c>
      <c r="BG270" s="3">
        <f>BF270+BG137+BG138</f>
        <v>1608318</v>
      </c>
      <c r="BH270" s="3">
        <f>BG270+BH137+BH138</f>
        <v>2273638</v>
      </c>
      <c r="BI270" s="3">
        <f>BH270+BI137+BI138</f>
        <v>2517130</v>
      </c>
      <c r="BJ270" s="3">
        <f>BI270+BJ137+BJ138</f>
        <v>3182450</v>
      </c>
      <c r="BK270" s="3">
        <f>BJ270</f>
        <v>3182450</v>
      </c>
      <c r="BL270" s="3">
        <f>BK270+BL137+BL138</f>
        <v>3847770</v>
      </c>
      <c r="BM270" s="3">
        <f>BL270+BM137+BM138</f>
        <v>5665394</v>
      </c>
      <c r="BN270" s="3">
        <f>BM270+BN137+BN138</f>
        <v>6330714</v>
      </c>
      <c r="BO270" s="3">
        <f>BN270+BO137+BO138</f>
        <v>8148338</v>
      </c>
      <c r="BP270" s="3">
        <f>BO270</f>
        <v>8148338</v>
      </c>
      <c r="BQ270" s="3">
        <f>BP270+BQ137+BQ138</f>
        <v>9965962</v>
      </c>
      <c r="BR270" s="3">
        <f>BQ270+BR137+BR138</f>
        <v>14931850</v>
      </c>
      <c r="BS270" s="3">
        <f>BR270+BS137+BS138</f>
        <v>16749474</v>
      </c>
      <c r="BT270" s="3">
        <f>BS270+BT137+BT138</f>
        <v>21715362</v>
      </c>
      <c r="BU270" s="3">
        <f>BT270</f>
        <v>21715362</v>
      </c>
      <c r="BV270" s="3">
        <f>BU270+BV137+BV138</f>
        <v>26681250</v>
      </c>
      <c r="BW270" s="3">
        <f>BV270+BW137+BW138</f>
        <v>40248274</v>
      </c>
      <c r="BX270" s="3">
        <f>BW270+BX137+BX138</f>
        <v>45214162</v>
      </c>
      <c r="BY270" s="3">
        <f>BX270+BY137+BY138</f>
        <v>58781186</v>
      </c>
      <c r="BZ270" s="3">
        <f>BY270</f>
        <v>58781186</v>
      </c>
      <c r="CA270" s="3">
        <f>BZ270+CA137+CA138</f>
        <v>72348210</v>
      </c>
      <c r="CB270" s="3">
        <f>CA270+CB137+CB138</f>
        <v>109414034</v>
      </c>
      <c r="CC270" s="3">
        <f>CB270+CC137+CC138</f>
        <v>122981058</v>
      </c>
      <c r="CD270" s="3">
        <f>CC270+CD137+CD138</f>
        <v>160046882</v>
      </c>
      <c r="CE270" s="3">
        <f>CD270</f>
        <v>160046882</v>
      </c>
      <c r="CF270" s="3">
        <f>CE270+CF137+CF138</f>
        <v>197112706</v>
      </c>
      <c r="CG270" s="3">
        <f>CF270+CG137+CG138</f>
        <v>298378402</v>
      </c>
      <c r="CH270" s="3">
        <f>CG270+CH137+CH138</f>
        <v>335444226</v>
      </c>
      <c r="CI270" s="3">
        <f>CH270+CI137+CI138</f>
        <v>436709922</v>
      </c>
      <c r="CJ270" s="3">
        <f>CI270</f>
        <v>436709922</v>
      </c>
      <c r="CK270" s="3">
        <f>CJ270+CK137+CK138</f>
        <v>537975618</v>
      </c>
      <c r="CL270" s="3">
        <f>CK270+CL137+CL138</f>
        <v>814638658</v>
      </c>
      <c r="CM270" s="3">
        <f>CL270+CM137+CM138</f>
        <v>915904354</v>
      </c>
      <c r="CN270" s="3">
        <f>CM270+CN137+CN138</f>
        <v>1192567394</v>
      </c>
      <c r="CO270" s="3">
        <f>CN270</f>
        <v>1192567394</v>
      </c>
      <c r="CP270" s="3">
        <f>CO270+CP137+CP138</f>
        <v>1469230434</v>
      </c>
      <c r="CQ270" s="3">
        <f>CP270+CQ137+CQ138</f>
        <v>2225087906</v>
      </c>
      <c r="CR270" s="3">
        <f>CQ270+CR137+CR138</f>
        <v>2501750946</v>
      </c>
      <c r="CS270" s="3">
        <f>CR270+CS137+CS138</f>
        <v>3257608418</v>
      </c>
      <c r="CT270" s="3">
        <f>CS270</f>
        <v>3257608418</v>
      </c>
      <c r="CU270" s="3">
        <f>CT270+CU137+CU138</f>
        <v>4013465890</v>
      </c>
      <c r="CV270" s="3">
        <f>CU270+CV137+CV138</f>
        <v>6078506914</v>
      </c>
      <c r="CW270" s="3">
        <f>CV270+CW137+CW138</f>
        <v>6834364386</v>
      </c>
      <c r="CX270" s="3">
        <f>CW270+CX137+CX138</f>
        <v>8899405410</v>
      </c>
      <c r="CY270" s="3">
        <f>CX270</f>
        <v>8899405410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114501</v>
      </c>
      <c r="E271" s="16">
        <f>SUM(E248+E253+E254+E267+E268+E269+E270)</f>
        <v>118304</v>
      </c>
      <c r="F271" s="16">
        <f>SUM(F248+F253+F254+F267+F268+F269+F270)</f>
        <v>123392</v>
      </c>
      <c r="G271" s="16">
        <f>SUM(G248+G253+G254+G267+G268+G269+G270)</f>
        <v>130236</v>
      </c>
      <c r="H271" s="16">
        <f>SUM(H248,H253,H254,H267,H268,H269,H270)</f>
        <v>130236</v>
      </c>
      <c r="I271" s="16">
        <f>SUM(I248+I253+I254+I267+I268+I269+I270)</f>
        <v>134505</v>
      </c>
      <c r="J271" s="16">
        <f>SUM(J248+J253+J254+J267+J268+J269+J270)</f>
        <v>141988</v>
      </c>
      <c r="K271" s="16">
        <f>SUM(K248+K253+K254+K267+K268+K269+K270)</f>
        <v>151978</v>
      </c>
      <c r="L271" s="16">
        <f>SUM(L248+L253+L254+L267+L268+L269+L270)</f>
        <v>160010</v>
      </c>
      <c r="M271" s="16">
        <f>SUM(M248,M253,M254,M267,M268,M269,M270)</f>
        <v>160010</v>
      </c>
      <c r="N271" s="16">
        <f>SUM(N248+N253+N254+N267+N268+N269+N270)</f>
        <v>162924</v>
      </c>
      <c r="O271" s="16">
        <f>SUM(O248+O253+O254+O267+O268+O269+O270)</f>
        <v>166542</v>
      </c>
      <c r="P271" s="16">
        <f>SUM(P248+P253+P254+P267+P268+P269+P270)</f>
        <v>173566</v>
      </c>
      <c r="Q271" s="16">
        <f>SUM(Q248+Q253+Q254+Q267+Q268+Q269+Q270)</f>
        <v>183136</v>
      </c>
      <c r="R271" s="16">
        <f>SUM(R248,R253,R254,R267,R268,R269,R270)</f>
        <v>183136</v>
      </c>
      <c r="S271" s="16">
        <f>SUM(S248+S253+S254+S267+S268+S269+S270)</f>
        <v>194683</v>
      </c>
      <c r="T271" s="16">
        <f>SUM(T248+T253+T254+T267+T268+T269+T270)</f>
        <v>206223</v>
      </c>
      <c r="U271" s="16">
        <f>SUM(U248+U253+U254+U267+U268+U269+U270)</f>
        <v>220714</v>
      </c>
      <c r="V271" s="16">
        <f>SUM(V248+V253+V254+V267+V268+V269+V270)</f>
        <v>238268</v>
      </c>
      <c r="W271" s="16">
        <f>SUM(W248,W253,W254,W267,W268,W269,W270)</f>
        <v>238268</v>
      </c>
      <c r="X271" s="16">
        <f>SUM(X248+X253+X254+X267+X268+X269+X270)</f>
        <v>253152</v>
      </c>
      <c r="Y271" s="16">
        <f>SUM(Y248+Y253+Y254+Y267+Y268+Y269+Y270)</f>
        <v>268477</v>
      </c>
      <c r="Z271" s="16">
        <f>SUM(Z248+Z253+Z254+Z267+Z268+Z269+Z270)</f>
        <v>287723</v>
      </c>
      <c r="AA271" s="16">
        <f>SUM(AA248+AA253+AA254+AA267+AA268+AA269+AA270)</f>
        <v>302695</v>
      </c>
      <c r="AB271" s="16">
        <f>SUM(AB248,AB253,AB254,AB267,AB268,AB269,AB270)</f>
        <v>302695</v>
      </c>
      <c r="AC271" s="16">
        <f>SUM(AC248+AC253+AC254+AC267+AC268+AC269+AC270)</f>
        <v>321891</v>
      </c>
      <c r="AD271" s="16">
        <f>SUM(AD248+AD253+AD254+AD267+AD268+AD269+AD270)</f>
        <v>343479</v>
      </c>
      <c r="AE271" s="16">
        <f>SUM(AE248+AE253+AE254+AE267+AE268+AE269+AE270)</f>
        <v>363076</v>
      </c>
      <c r="AF271" s="16">
        <f>SUM(AF248+AF253+AF254+AF267+AF268+AF269+AF270)</f>
        <v>390875</v>
      </c>
      <c r="AG271" s="16">
        <f>SUM(AG248,AG253,AG254,AG267,AG268,AG269,AG270)</f>
        <v>390875</v>
      </c>
      <c r="AH271" s="16">
        <f>SUM(AH248+AH253+AH254+AH267+AH268+AH269+AH270)</f>
        <v>414367</v>
      </c>
      <c r="AI271" s="16">
        <f>SUM(AI248+AI253+AI254+AI267+AI268+AI269+AI270)</f>
        <v>442387</v>
      </c>
      <c r="AJ271" s="16">
        <f>SUM(AJ248+AJ253+AJ254+AJ267+AJ268+AJ269+AJ270)</f>
        <v>444107</v>
      </c>
      <c r="AK271" s="16">
        <f>SUM(AK248+AK253+AK254+AK267+AK268+AK269+AK270)</f>
        <v>448390</v>
      </c>
      <c r="AL271" s="16">
        <f>SUM(AL248,AL253,AL254,AL267,AL268,AL269,AL270)</f>
        <v>448390</v>
      </c>
      <c r="AM271" s="16">
        <f>SUM(AM248+AM253+AM254+AM267+AM268+AM269+AM270)</f>
        <v>452673</v>
      </c>
      <c r="AN271" s="16">
        <f>SUM(AN248+AN253+AN254+AN267+AN268+AN269+AN270)</f>
        <v>464679</v>
      </c>
      <c r="AO271" s="16">
        <f>SUM(AO248+AO253+AO254+AO267+AO268+AO269+AO270)</f>
        <v>468962</v>
      </c>
      <c r="AP271" s="16">
        <f>SUM(AP248+AP253+AP254+AP267+AP268+AP269+AP270)</f>
        <v>480968</v>
      </c>
      <c r="AQ271" s="16">
        <f>SUM(AQ248,AQ253,AQ254,AQ267,AQ268,AQ269,AQ270)</f>
        <v>480968</v>
      </c>
      <c r="AR271" s="16">
        <f>SUM(AR248+AR253+AR254+AR267+AR268+AR269+AR270)</f>
        <v>492974</v>
      </c>
      <c r="AS271" s="16">
        <f>SUM(AS248+AS253+AS254+AS267+AS268+AS269+AS270)</f>
        <v>525552</v>
      </c>
      <c r="AT271" s="16">
        <f>SUM(AT248+AT253+AT254+AT267+AT268+AT269+AT270)</f>
        <v>537558</v>
      </c>
      <c r="AU271" s="16">
        <f>SUM(AU248+AU253+AU254+AU267+AU268+AU269+AU270)</f>
        <v>570136</v>
      </c>
      <c r="AV271" s="16">
        <f>SUM(AV248,AV253,AV254,AV267,AV268,AV269,AV270)</f>
        <v>570136</v>
      </c>
      <c r="AW271" s="16">
        <f>SUM(AW248+AW253+AW254+AW267+AW268+AW269+AW270)</f>
        <v>602714</v>
      </c>
      <c r="AX271" s="16">
        <f>SUM(AX248+AX253+AX254+AX267+AX268+AX269+AX270)</f>
        <v>691882</v>
      </c>
      <c r="AY271" s="16">
        <f>SUM(AY248+AY253+AY254+AY267+AY268+AY269+AY270)</f>
        <v>724460</v>
      </c>
      <c r="AZ271" s="16">
        <f>SUM(AZ248+AZ253+AZ254+AZ267+AZ268+AZ269+AZ270)</f>
        <v>813628</v>
      </c>
      <c r="BA271" s="16">
        <f>SUM(BA248,BA253,BA254,BA267,BA268,BA269,BA270)</f>
        <v>813628</v>
      </c>
      <c r="BB271" s="16">
        <f>SUM(BB248+BB253+BB254+BB267+BB268+BB269+BB270)</f>
        <v>902796</v>
      </c>
      <c r="BC271" s="16">
        <f>SUM(BC248+BC253+BC254+BC267+BC268+BC269+BC270)</f>
        <v>1146288</v>
      </c>
      <c r="BD271" s="16">
        <f>SUM(BD248+BD253+BD254+BD267+BD268+BD269+BD270)</f>
        <v>1235456</v>
      </c>
      <c r="BE271" s="16">
        <f>SUM(BE248+BE253+BE254+BE267+BE268+BE269+BE270)</f>
        <v>1478948</v>
      </c>
      <c r="BF271" s="16">
        <f>SUM(BF248,BF253,BF254,BF267,BF268,BF269,BF270)</f>
        <v>1478948</v>
      </c>
      <c r="BG271" s="16">
        <f>SUM(BG248+BG253+BG254+BG267+BG268+BG269+BG270)</f>
        <v>1722440</v>
      </c>
      <c r="BH271" s="16">
        <f>SUM(BH248+BH253+BH254+BH267+BH268+BH269+BH270)</f>
        <v>2387760</v>
      </c>
      <c r="BI271" s="16">
        <f>SUM(BI248+BI253+BI254+BI267+BI268+BI269+BI270)</f>
        <v>2631252</v>
      </c>
      <c r="BJ271" s="16">
        <f>SUM(BJ248+BJ253+BJ254+BJ267+BJ268+BJ269+BJ270)</f>
        <v>3296572</v>
      </c>
      <c r="BK271" s="16">
        <f>SUM(BK248,BK253,BK254,BK267,BK268,BK269,BK270)</f>
        <v>3296572</v>
      </c>
      <c r="BL271" s="16">
        <f>SUM(BL248+BL253+BL254+BL267+BL268+BL269+BL270)</f>
        <v>3961892</v>
      </c>
      <c r="BM271" s="16">
        <f>SUM(BM248+BM253+BM254+BM267+BM268+BM269+BM270)</f>
        <v>5779516</v>
      </c>
      <c r="BN271" s="16">
        <f>SUM(BN248+BN253+BN254+BN267+BN268+BN269+BN270)</f>
        <v>6444836</v>
      </c>
      <c r="BO271" s="16">
        <f>SUM(BO248+BO253+BO254+BO267+BO268+BO269+BO270)</f>
        <v>8262460</v>
      </c>
      <c r="BP271" s="16">
        <f>SUM(BP248,BP253,BP254,BP267,BP268,BP269,BP270)</f>
        <v>8262460</v>
      </c>
      <c r="BQ271" s="16">
        <f>SUM(BQ248+BQ253+BQ254+BQ267+BQ268+BQ269+BQ270)</f>
        <v>10080084</v>
      </c>
      <c r="BR271" s="16">
        <f>SUM(BR248+BR253+BR254+BR267+BR268+BR269+BR270)</f>
        <v>15045972</v>
      </c>
      <c r="BS271" s="16">
        <f>SUM(BS248+BS253+BS254+BS267+BS268+BS269+BS270)</f>
        <v>16863596</v>
      </c>
      <c r="BT271" s="16">
        <f>SUM(BT248+BT253+BT254+BT267+BT268+BT269+BT270)</f>
        <v>21829484</v>
      </c>
      <c r="BU271" s="16">
        <f>SUM(BU248,BU253,BU254,BU267,BU268,BU269,BU270)</f>
        <v>21829484</v>
      </c>
      <c r="BV271" s="16">
        <f>SUM(BV248+BV253+BV254+BV267+BV268+BV269+BV270)</f>
        <v>26795372</v>
      </c>
      <c r="BW271" s="16">
        <f>SUM(BW248+BW253+BW254+BW267+BW268+BW269+BW270)</f>
        <v>40362396</v>
      </c>
      <c r="BX271" s="16">
        <f>SUM(BX248+BX253+BX254+BX267+BX268+BX269+BX270)</f>
        <v>45328284</v>
      </c>
      <c r="BY271" s="16">
        <f>SUM(BY248+BY253+BY254+BY267+BY268+BY269+BY270)</f>
        <v>58895308</v>
      </c>
      <c r="BZ271" s="16">
        <f>SUM(BZ248,BZ253,BZ254,BZ267,BZ268,BZ269,BZ270)</f>
        <v>58895308</v>
      </c>
      <c r="CA271" s="16">
        <f>SUM(CA248+CA253+CA254+CA267+CA268+CA269+CA270)</f>
        <v>72462332</v>
      </c>
      <c r="CB271" s="16">
        <f>SUM(CB248+CB253+CB254+CB267+CB268+CB269+CB270)</f>
        <v>109528156</v>
      </c>
      <c r="CC271" s="16">
        <f>SUM(CC248+CC253+CC254+CC267+CC268+CC269+CC270)</f>
        <v>123095180</v>
      </c>
      <c r="CD271" s="16">
        <f>SUM(CD248+CD253+CD254+CD267+CD268+CD269+CD270)</f>
        <v>160161004</v>
      </c>
      <c r="CE271" s="16">
        <f>SUM(CE248,CE253,CE254,CE267,CE268,CE269,CE270)</f>
        <v>160161004</v>
      </c>
      <c r="CF271" s="16">
        <f>SUM(CF248+CF253+CF254+CF267+CF268+CF269+CF270)</f>
        <v>197226828</v>
      </c>
      <c r="CG271" s="16">
        <f>SUM(CG248+CG253+CG254+CG267+CG268+CG269+CG270)</f>
        <v>298492524</v>
      </c>
      <c r="CH271" s="16">
        <f>SUM(CH248+CH253+CH254+CH267+CH268+CH269+CH270)</f>
        <v>335558348</v>
      </c>
      <c r="CI271" s="16">
        <f>SUM(CI248+CI253+CI254+CI267+CI268+CI269+CI270)</f>
        <v>436824044</v>
      </c>
      <c r="CJ271" s="16">
        <f>SUM(CJ248,CJ253,CJ254,CJ267,CJ268,CJ269,CJ270)</f>
        <v>436824044</v>
      </c>
      <c r="CK271" s="16">
        <f>SUM(CK248+CK253+CK254+CK267+CK268+CK269+CK270)</f>
        <v>538089740</v>
      </c>
      <c r="CL271" s="16">
        <f>SUM(CL248+CL253+CL254+CL267+CL268+CL269+CL270)</f>
        <v>814752780</v>
      </c>
      <c r="CM271" s="16">
        <f>SUM(CM248+CM253+CM254+CM267+CM268+CM269+CM270)</f>
        <v>916018476</v>
      </c>
      <c r="CN271" s="16">
        <f>SUM(CN248+CN253+CN254+CN267+CN268+CN269+CN270)</f>
        <v>1192681516</v>
      </c>
      <c r="CO271" s="16">
        <f>SUM(CO248,CO253,CO254,CO267,CO268,CO269,CO270)</f>
        <v>1192681516</v>
      </c>
      <c r="CP271" s="16">
        <f>SUM(CP248+CP253+CP254+CP267+CP268+CP269+CP270)</f>
        <v>1469344556</v>
      </c>
      <c r="CQ271" s="16">
        <f>SUM(CQ248+CQ253+CQ254+CQ267+CQ268+CQ269+CQ270)</f>
        <v>2225202028</v>
      </c>
      <c r="CR271" s="16">
        <f>SUM(CR248+CR253+CR254+CR267+CR268+CR269+CR270)</f>
        <v>2501865068</v>
      </c>
      <c r="CS271" s="16">
        <f>SUM(CS248+CS253+CS254+CS267+CS268+CS269+CS270)</f>
        <v>3257722540</v>
      </c>
      <c r="CT271" s="16">
        <f>SUM(CT248,CT253,CT254,CT267,CT268,CT269,CT270)</f>
        <v>3257722540</v>
      </c>
      <c r="CU271" s="16">
        <f>SUM(CU248+CU253+CU254+CU267+CU268+CU269+CU270)</f>
        <v>4013580012</v>
      </c>
      <c r="CV271" s="16">
        <f>SUM(CV248+CV253+CV254+CV267+CV268+CV269+CV270)</f>
        <v>6078621036</v>
      </c>
      <c r="CW271" s="16">
        <f>SUM(CW248+CW253+CW254+CW267+CW268+CW269+CW270)</f>
        <v>6834478508</v>
      </c>
      <c r="CX271" s="16">
        <f>SUM(CX248+CX253+CX254+CX267+CX268+CX269+CX270)</f>
        <v>8899519532</v>
      </c>
      <c r="CY271" s="16">
        <f>SUM(CY248,CY253,CY254,CY267,CY268,CY269,CY270)</f>
        <v>8899519532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285449</v>
      </c>
      <c r="E273" s="16">
        <f>E271+E247</f>
        <v>301311</v>
      </c>
      <c r="F273" s="16">
        <f>F271+F247</f>
        <v>301001</v>
      </c>
      <c r="G273" s="16">
        <f>G271+G247</f>
        <v>304137</v>
      </c>
      <c r="H273" s="16">
        <f>H271+H247</f>
        <v>304137</v>
      </c>
      <c r="I273" s="16">
        <f>I271+I247</f>
        <v>308879</v>
      </c>
      <c r="J273" s="16">
        <f>J271+J247</f>
        <v>333779</v>
      </c>
      <c r="K273" s="16">
        <f>K271+K247</f>
        <v>335418</v>
      </c>
      <c r="L273" s="16">
        <f>L271+L247</f>
        <v>340389</v>
      </c>
      <c r="M273" s="16">
        <f>M271+M247</f>
        <v>340389</v>
      </c>
      <c r="N273" s="16">
        <f>N271+N247</f>
        <v>344607</v>
      </c>
      <c r="O273" s="16">
        <f>O271+O247</f>
        <v>364840</v>
      </c>
      <c r="P273" s="16">
        <f>P271+P247</f>
        <v>359784</v>
      </c>
      <c r="Q273" s="16">
        <f>Q271+Q247</f>
        <v>364552</v>
      </c>
      <c r="R273" s="16">
        <f>R271+R247</f>
        <v>364552</v>
      </c>
      <c r="S273" s="16">
        <f>S271+S247</f>
        <v>380088</v>
      </c>
      <c r="T273" s="16">
        <f>T271+T247</f>
        <v>411976</v>
      </c>
      <c r="U273" s="16">
        <f>U271+U247</f>
        <v>445785</v>
      </c>
      <c r="V273" s="16">
        <f>V271+V247</f>
        <v>470558</v>
      </c>
      <c r="W273" s="16">
        <f>W271+W247</f>
        <v>470558</v>
      </c>
      <c r="X273" s="16">
        <f>X271+X247</f>
        <v>484275</v>
      </c>
      <c r="Y273" s="16">
        <f>Y271+Y247</f>
        <v>512163</v>
      </c>
      <c r="Z273" s="16">
        <f>Z271+Z247</f>
        <v>523013</v>
      </c>
      <c r="AA273" s="16">
        <f>AA271+AA247</f>
        <v>533898</v>
      </c>
      <c r="AB273" s="16">
        <f>AB271+AB247</f>
        <v>533898</v>
      </c>
      <c r="AC273" s="16">
        <f>AC271+AC247</f>
        <v>562624</v>
      </c>
      <c r="AD273" s="16">
        <f>AD271+AD247</f>
        <v>619003</v>
      </c>
      <c r="AE273" s="16">
        <f>AE271+AE247</f>
        <v>636351</v>
      </c>
      <c r="AF273" s="16">
        <f>AF271+AF247</f>
        <v>665302</v>
      </c>
      <c r="AG273" s="16">
        <f>AG271+AG247</f>
        <v>665302</v>
      </c>
      <c r="AH273" s="16">
        <f>AH271+AH247</f>
        <v>694228</v>
      </c>
      <c r="AI273" s="16">
        <f>AI271+AI247</f>
        <v>758376</v>
      </c>
      <c r="AJ273" s="16">
        <f>AJ271+AJ247</f>
        <v>700201</v>
      </c>
      <c r="AK273" s="16">
        <f>AK271+AK247</f>
        <v>704484</v>
      </c>
      <c r="AL273" s="16">
        <f>AL271+AL247</f>
        <v>704484</v>
      </c>
      <c r="AM273" s="16" t="e">
        <f>AM271+AM247</f>
        <v>#DIV/0!</v>
      </c>
      <c r="AN273" s="16">
        <f>AN271+AN247</f>
        <v>720773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11202</v>
      </c>
      <c r="F277" s="3">
        <f>F137</f>
        <v>13893</v>
      </c>
      <c r="G277" s="3">
        <f>G137</f>
        <v>15463</v>
      </c>
      <c r="H277" s="3">
        <f>SUM(D277:G277)</f>
        <v>40558</v>
      </c>
      <c r="I277" s="3">
        <f>I137</f>
        <v>15457</v>
      </c>
      <c r="J277" s="3">
        <f>J137</f>
        <v>16458</v>
      </c>
      <c r="K277" s="3">
        <f>K137</f>
        <v>20505</v>
      </c>
      <c r="L277" s="3">
        <f>L137</f>
        <v>18765</v>
      </c>
      <c r="M277" s="3">
        <f>SUM(I277:L277)</f>
        <v>71185</v>
      </c>
      <c r="N277" s="3">
        <f>N137</f>
        <v>16728</v>
      </c>
      <c r="O277" s="3">
        <f>O137</f>
        <v>16740</v>
      </c>
      <c r="P277" s="3">
        <f>P137</f>
        <v>17556</v>
      </c>
      <c r="Q277" s="3">
        <f>Q137</f>
        <v>16425</v>
      </c>
      <c r="R277" s="3">
        <f>SUM(N277:Q277)</f>
        <v>67449</v>
      </c>
      <c r="S277" s="3">
        <f>S137</f>
        <v>18299</v>
      </c>
      <c r="T277" s="3">
        <f>T137</f>
        <v>20081</v>
      </c>
      <c r="U277" s="3">
        <f>U137</f>
        <v>22291</v>
      </c>
      <c r="V277" s="3">
        <f>V137</f>
        <v>21870</v>
      </c>
      <c r="W277" s="3">
        <f>SUM(S277:V277)</f>
        <v>82541</v>
      </c>
      <c r="X277" s="3">
        <f>X137</f>
        <v>21939</v>
      </c>
      <c r="Y277" s="3">
        <f>Y137</f>
        <v>22036</v>
      </c>
      <c r="Z277" s="3">
        <f>Z137</f>
        <v>24667</v>
      </c>
      <c r="AA277" s="3">
        <f>AA137</f>
        <v>24108</v>
      </c>
      <c r="AB277" s="3">
        <f>SUM(X277:AA277)</f>
        <v>92750</v>
      </c>
      <c r="AC277" s="3">
        <f>AC137</f>
        <v>25824</v>
      </c>
      <c r="AD277" s="3">
        <f>AD137</f>
        <v>27233</v>
      </c>
      <c r="AE277" s="3">
        <f>AE137</f>
        <v>27747</v>
      </c>
      <c r="AF277" s="3">
        <f>AF137</f>
        <v>38458</v>
      </c>
      <c r="AG277" s="3">
        <f>SUM(AC277:AF277)</f>
        <v>119262</v>
      </c>
      <c r="AH277" s="3">
        <f>AH137</f>
        <v>31778</v>
      </c>
      <c r="AI277" s="3">
        <f>AI137</f>
        <v>35766</v>
      </c>
      <c r="AJ277" s="3">
        <f>AJ137</f>
        <v>1720</v>
      </c>
      <c r="AK277" s="3">
        <f>AK137</f>
        <v>4283</v>
      </c>
      <c r="AL277" s="3">
        <f>SUM(AH277:AK277)</f>
        <v>73547</v>
      </c>
      <c r="AM277" s="3">
        <f>AM137</f>
        <v>4283</v>
      </c>
      <c r="AN277" s="3">
        <f>AN137</f>
        <v>12006</v>
      </c>
      <c r="AO277" s="3">
        <f>AO137</f>
        <v>4283</v>
      </c>
      <c r="AP277" s="3">
        <f>AP137</f>
        <v>12006</v>
      </c>
      <c r="AQ277" s="3">
        <f>SUM(AM277:AP277)</f>
        <v>32578</v>
      </c>
      <c r="AR277" s="3">
        <f>AR137</f>
        <v>12006</v>
      </c>
      <c r="AS277" s="3">
        <f>AS137</f>
        <v>32578</v>
      </c>
      <c r="AT277" s="3">
        <f>AT137</f>
        <v>12006</v>
      </c>
      <c r="AU277" s="3">
        <f>AU137</f>
        <v>32578</v>
      </c>
      <c r="AV277" s="3">
        <f>SUM(AR277:AU277)</f>
        <v>89168</v>
      </c>
      <c r="AW277" s="3">
        <f>AW137</f>
        <v>32578</v>
      </c>
      <c r="AX277" s="3">
        <f>AX137</f>
        <v>89168</v>
      </c>
      <c r="AY277" s="3">
        <f>AY137</f>
        <v>32578</v>
      </c>
      <c r="AZ277" s="3">
        <f>AZ137</f>
        <v>89168</v>
      </c>
      <c r="BA277" s="3">
        <f>SUM(AW277:AZ277)</f>
        <v>243492</v>
      </c>
      <c r="BB277" s="3">
        <f>BB137</f>
        <v>89168</v>
      </c>
      <c r="BC277" s="3">
        <f>BC137</f>
        <v>243492</v>
      </c>
      <c r="BD277" s="3">
        <f>BD137</f>
        <v>89168</v>
      </c>
      <c r="BE277" s="3">
        <f>BE137</f>
        <v>243492</v>
      </c>
      <c r="BF277" s="3">
        <f>SUM(BB277:BE277)</f>
        <v>665320</v>
      </c>
      <c r="BG277" s="3">
        <f>BG137</f>
        <v>243492</v>
      </c>
      <c r="BH277" s="3">
        <f>BH137</f>
        <v>665320</v>
      </c>
      <c r="BI277" s="3">
        <f>BI137</f>
        <v>243492</v>
      </c>
      <c r="BJ277" s="3">
        <f>BJ137</f>
        <v>665320</v>
      </c>
      <c r="BK277" s="3">
        <f>SUM(BG277:BJ277)</f>
        <v>1817624</v>
      </c>
      <c r="BL277" s="3">
        <f>BL137</f>
        <v>665320</v>
      </c>
      <c r="BM277" s="3">
        <f>BM137</f>
        <v>1817624</v>
      </c>
      <c r="BN277" s="3">
        <f>BN137</f>
        <v>665320</v>
      </c>
      <c r="BO277" s="3">
        <f>BO137</f>
        <v>1817624</v>
      </c>
      <c r="BP277" s="3">
        <f>SUM(BL277:BO277)</f>
        <v>4965888</v>
      </c>
      <c r="BQ277" s="3">
        <f>BQ137</f>
        <v>1817624</v>
      </c>
      <c r="BR277" s="3">
        <f>BR137</f>
        <v>4965888</v>
      </c>
      <c r="BS277" s="3">
        <f>BS137</f>
        <v>1817624</v>
      </c>
      <c r="BT277" s="3">
        <f>BT137</f>
        <v>4965888</v>
      </c>
      <c r="BU277" s="3">
        <f>SUM(BQ277:BT277)</f>
        <v>13567024</v>
      </c>
      <c r="BV277" s="3">
        <f>BV137</f>
        <v>4965888</v>
      </c>
      <c r="BW277" s="3">
        <f>BW137</f>
        <v>13567024</v>
      </c>
      <c r="BX277" s="3">
        <f>BX137</f>
        <v>4965888</v>
      </c>
      <c r="BY277" s="3">
        <f>BY137</f>
        <v>13567024</v>
      </c>
      <c r="BZ277" s="3">
        <f>SUM(BV277:BY277)</f>
        <v>37065824</v>
      </c>
      <c r="CA277" s="3">
        <f>CA137</f>
        <v>13567024</v>
      </c>
      <c r="CB277" s="3">
        <f>CB137</f>
        <v>37065824</v>
      </c>
      <c r="CC277" s="3">
        <f>CC137</f>
        <v>13567024</v>
      </c>
      <c r="CD277" s="3">
        <f>CD137</f>
        <v>37065824</v>
      </c>
      <c r="CE277" s="3">
        <f>SUM(CA277:CD277)</f>
        <v>101265696</v>
      </c>
      <c r="CF277" s="3">
        <f>CF137</f>
        <v>37065824</v>
      </c>
      <c r="CG277" s="3">
        <f>CG137</f>
        <v>101265696</v>
      </c>
      <c r="CH277" s="3">
        <f>CH137</f>
        <v>37065824</v>
      </c>
      <c r="CI277" s="3">
        <f>CI137</f>
        <v>101265696</v>
      </c>
      <c r="CJ277" s="3">
        <f>SUM(CF277:CI277)</f>
        <v>276663040</v>
      </c>
      <c r="CK277" s="3">
        <f>CK137</f>
        <v>101265696</v>
      </c>
      <c r="CL277" s="3">
        <f>CL137</f>
        <v>276663040</v>
      </c>
      <c r="CM277" s="3">
        <f>CM137</f>
        <v>101265696</v>
      </c>
      <c r="CN277" s="3">
        <f>CN137</f>
        <v>276663040</v>
      </c>
      <c r="CO277" s="3">
        <f>SUM(CK277:CN277)</f>
        <v>755857472</v>
      </c>
      <c r="CP277" s="3">
        <f>CP137</f>
        <v>276663040</v>
      </c>
      <c r="CQ277" s="3">
        <f>CQ137</f>
        <v>755857472</v>
      </c>
      <c r="CR277" s="3">
        <f>CR137</f>
        <v>276663040</v>
      </c>
      <c r="CS277" s="3">
        <f>CS137</f>
        <v>755857472</v>
      </c>
      <c r="CT277" s="3">
        <f>SUM(CP277:CS277)</f>
        <v>2065041024</v>
      </c>
      <c r="CU277" s="3">
        <f>CU137</f>
        <v>755857472</v>
      </c>
      <c r="CV277" s="3">
        <f>CV137</f>
        <v>2065041024</v>
      </c>
      <c r="CW277" s="3">
        <f>CW137</f>
        <v>755857472</v>
      </c>
      <c r="CX277" s="3">
        <f>CX137</f>
        <v>2065041024</v>
      </c>
      <c r="CY277" s="3">
        <f>SUM(CU277:CX277)</f>
        <v>5641796992</v>
      </c>
    </row>
    <row r="278">
      <c r="C278" s="29" t="inlineStr">
        <is>
          <t>Depreciation &amp; amortization</t>
        </is>
      </c>
      <c r="D278" s="3" t="n"/>
      <c r="E278" s="3">
        <f>-E70</f>
        <v>3504</v>
      </c>
      <c r="F278" s="3">
        <f>-F70</f>
        <v>2645</v>
      </c>
      <c r="G278" s="3">
        <f>-G70</f>
        <v>2761</v>
      </c>
      <c r="H278" s="3">
        <f>SUM(D278:G278)</f>
        <v>8910</v>
      </c>
      <c r="I278" s="3">
        <f>-I70</f>
        <v>2936</v>
      </c>
      <c r="J278" s="3">
        <f>-J70</f>
        <v>3344</v>
      </c>
      <c r="K278" s="3">
        <f>-K70</f>
        <v>3212</v>
      </c>
      <c r="L278" s="3">
        <f>-L70</f>
        <v>3496</v>
      </c>
      <c r="M278" s="3">
        <f>SUM(I278:L278)</f>
        <v>12988</v>
      </c>
      <c r="N278" s="3">
        <f>-N70</f>
        <v>3773</v>
      </c>
      <c r="O278" s="3">
        <f>-O70</f>
        <v>3979</v>
      </c>
      <c r="P278" s="3">
        <f>-P70</f>
        <v>2790</v>
      </c>
      <c r="Q278" s="3">
        <f>-Q70</f>
        <v>3648</v>
      </c>
      <c r="R278" s="3">
        <f>SUM(N278:Q278)</f>
        <v>14190</v>
      </c>
      <c r="S278" s="3">
        <f>-S70</f>
        <v>3549</v>
      </c>
      <c r="T278" s="3">
        <f>-T70</f>
        <v>3874</v>
      </c>
      <c r="U278" s="3">
        <f>-U70</f>
        <v>3921</v>
      </c>
      <c r="V278" s="3">
        <f>-V70</f>
        <v>5959</v>
      </c>
      <c r="W278" s="3">
        <f>SUM(S278:V278)</f>
        <v>17303</v>
      </c>
      <c r="X278" s="3">
        <f>-X70</f>
        <v>6027</v>
      </c>
      <c r="Y278" s="3">
        <f>-Y70</f>
        <v>6380</v>
      </c>
      <c r="Z278" s="3">
        <f>-Z70</f>
        <v>7383</v>
      </c>
      <c r="AA278" s="3">
        <f>-AA70</f>
        <v>6827</v>
      </c>
      <c r="AB278" s="3">
        <f>SUM(X278:AA278)</f>
        <v>26617</v>
      </c>
      <c r="AC278" s="3">
        <f>-AC70</f>
        <v>8740</v>
      </c>
      <c r="AD278" s="3">
        <f>-AD70</f>
        <v>11203</v>
      </c>
      <c r="AE278" s="3">
        <f>-AE70</f>
        <v>13061</v>
      </c>
      <c r="AF278" s="3">
        <f>-AF70</f>
        <v>9198</v>
      </c>
      <c r="AG278" s="3">
        <f>SUM(AC278:AF278)</f>
        <v>42202</v>
      </c>
      <c r="AH278" s="3">
        <f>-AH70</f>
        <v>10167</v>
      </c>
      <c r="AI278" s="3">
        <f>-AI70</f>
        <v>11022</v>
      </c>
      <c r="AJ278" s="3">
        <f>-AJ70</f>
        <v>0</v>
      </c>
      <c r="AK278" s="3">
        <f>-AK70</f>
        <v>0</v>
      </c>
      <c r="AL278" s="3">
        <f>SUM(AH278:AK278)</f>
        <v>21189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1112</v>
      </c>
      <c r="F279" s="3">
        <f>SUM(F280:F289)</f>
        <v>1269</v>
      </c>
      <c r="G279" s="3">
        <f>SUM(G280:G289)</f>
        <v>-4378</v>
      </c>
      <c r="H279" s="3">
        <f>SUM(D279:G279)</f>
        <v>-1997</v>
      </c>
      <c r="I279" s="3">
        <f>SUM(I280:I289)</f>
        <v>3840</v>
      </c>
      <c r="J279" s="3">
        <f>SUM(J280:J289)</f>
        <v>2603</v>
      </c>
      <c r="K279" s="3">
        <f>SUM(K280:K289)</f>
        <v>7069</v>
      </c>
      <c r="L279" s="3">
        <f>SUM(L280:L289)</f>
        <v>-9888</v>
      </c>
      <c r="M279" s="3">
        <f>SUM(I279:L279)</f>
        <v>3624</v>
      </c>
      <c r="N279" s="3">
        <f>SUM(N280:N289)</f>
        <v>2873</v>
      </c>
      <c r="O279" s="3">
        <f>SUM(O280:O289)</f>
        <v>871</v>
      </c>
      <c r="P279" s="3">
        <f>SUM(P280:P289)</f>
        <v>3178</v>
      </c>
      <c r="Q279" s="3">
        <f>SUM(Q280:Q289)</f>
        <v>-11119</v>
      </c>
      <c r="R279" s="3">
        <f>SUM(N279:Q279)</f>
        <v>-4197</v>
      </c>
      <c r="S279" s="3">
        <f>SUM(S280:S289)</f>
        <v>591</v>
      </c>
      <c r="T279" s="3">
        <f>SUM(T280:T289)</f>
        <v>6054</v>
      </c>
      <c r="U279" s="3">
        <f>SUM(U280:U289)</f>
        <v>5731</v>
      </c>
      <c r="V279" s="3">
        <f>SUM(V280:V289)</f>
        <v>-4174</v>
      </c>
      <c r="W279" s="3">
        <f>SUM(S279:V279)</f>
        <v>8202</v>
      </c>
      <c r="X279" s="3">
        <f>SUM(X280:X289)</f>
        <v>3154</v>
      </c>
      <c r="Y279" s="3">
        <f>SUM(Y280:Y289)</f>
        <v>3720</v>
      </c>
      <c r="Z279" s="3">
        <f>SUM(Z280:Z289)</f>
        <v>9263</v>
      </c>
      <c r="AA279" s="3">
        <f>SUM(AA280:AA289)</f>
        <v>-13412</v>
      </c>
      <c r="AB279" s="3">
        <f>SUM(X279:AA279)</f>
        <v>2725</v>
      </c>
      <c r="AC279" s="3">
        <f>SUM(AC280:AC289)</f>
        <v>6081</v>
      </c>
      <c r="AD279" s="3">
        <f>SUM(AD280:AD289)</f>
        <v>7785</v>
      </c>
      <c r="AE279" s="3">
        <f>SUM(AE280:AE289)</f>
        <v>-1526</v>
      </c>
      <c r="AF279" s="3">
        <f>SUM(AF280:AF289)</f>
        <v>-5646</v>
      </c>
      <c r="AG279" s="3">
        <f>SUM(AC279:AF279)</f>
        <v>6694</v>
      </c>
      <c r="AH279" s="3">
        <f>SUM(AH280:AH289)</f>
        <v>-3652</v>
      </c>
      <c r="AI279" s="3">
        <f>SUM(AI280:AI289)</f>
        <v>-1879</v>
      </c>
      <c r="AJ279" s="3">
        <f>SUM(AJ280:AJ289)</f>
        <v>22378</v>
      </c>
      <c r="AK279" s="3">
        <f>SUM(AK280:AK289)</f>
        <v>0</v>
      </c>
      <c r="AL279" s="3">
        <f>SUM(AH279:AK279)</f>
        <v>16847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-9312</v>
      </c>
      <c r="F280" s="3">
        <f>(F145-E145)*-1</f>
        <v>9160</v>
      </c>
      <c r="G280" s="3">
        <f>(G145-F145)*-1</f>
        <v>-4461</v>
      </c>
      <c r="H280" s="3">
        <f>SUM(D280:G280)</f>
        <v>-4613</v>
      </c>
      <c r="I280" s="3">
        <f>(I145-H145)*-1</f>
        <v>990</v>
      </c>
      <c r="J280" s="3">
        <f>(J145-I145)*-1</f>
        <v>-11721</v>
      </c>
      <c r="K280" s="3">
        <f>(K145-J145)*-1</f>
        <v>10694</v>
      </c>
      <c r="L280" s="3">
        <f>(L145-K145)*-1</f>
        <v>-6171</v>
      </c>
      <c r="M280" s="3">
        <f>SUM(I280:L280)</f>
        <v>-6208</v>
      </c>
      <c r="N280" s="3">
        <f>(N145-M145)*-1</f>
        <v>907</v>
      </c>
      <c r="O280" s="3">
        <f>(O145-N145)*-1</f>
        <v>-11648</v>
      </c>
      <c r="P280" s="3">
        <f>(P145-O145)*-1</f>
        <v>12982</v>
      </c>
      <c r="Q280" s="3">
        <f>(Q145-P145)*-1</f>
        <v>-4554</v>
      </c>
      <c r="R280" s="3">
        <f>SUM(N280:Q280)</f>
        <v>-2313</v>
      </c>
      <c r="S280" s="3">
        <f>(S145-R145)*-1</f>
        <v>-1587</v>
      </c>
      <c r="T280" s="3">
        <f>(T145-S145)*-1</f>
        <v>-11268</v>
      </c>
      <c r="U280" s="3">
        <f>(U145-T145)*-1</f>
        <v>11735</v>
      </c>
      <c r="V280" s="3">
        <f>(V145-U145)*-1</f>
        <v>-5878</v>
      </c>
      <c r="W280" s="3">
        <f>SUM(S280:V280)</f>
        <v>-6998</v>
      </c>
      <c r="X280" s="3">
        <f>(X145-W145)*-1</f>
        <v>-1198</v>
      </c>
      <c r="Y280" s="3">
        <f>(Y145-X145)*-1</f>
        <v>-12895</v>
      </c>
      <c r="Z280" s="3">
        <f>(Z145-Y145)*-1</f>
        <v>12776</v>
      </c>
      <c r="AA280" s="3">
        <f>(AA145-Z145)*-1</f>
        <v>-4040</v>
      </c>
      <c r="AB280" s="3">
        <f>SUM(X280:AA280)</f>
        <v>-5357</v>
      </c>
      <c r="AC280" s="3">
        <f>(AC145-AB145)*-1</f>
        <v>-3512</v>
      </c>
      <c r="AD280" s="3">
        <f>(AD145-AC145)*-1</f>
        <v>-18205</v>
      </c>
      <c r="AE280" s="3">
        <f>(AE145-AD145)*-1</f>
        <v>17011</v>
      </c>
      <c r="AF280" s="3">
        <f>(AF145-AE145)*-1</f>
        <v>-3641</v>
      </c>
      <c r="AG280" s="3">
        <f>SUM(AC280:AF280)</f>
        <v>-8347</v>
      </c>
      <c r="AH280" s="3">
        <f>(AH145-AG145)*-1</f>
        <v>-3506</v>
      </c>
      <c r="AI280" s="3">
        <f>(AI145-AH145)*-1</f>
        <v>-20835</v>
      </c>
      <c r="AJ280" s="3">
        <f>(AJ145-AI145)*-1</f>
        <v>80876</v>
      </c>
      <c r="AK280" s="3">
        <f>(AK145-AJ145)*-1</f>
        <v>0</v>
      </c>
      <c r="AL280" s="3">
        <f>SUM(AH280:AK280)</f>
        <v>56535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-251</v>
      </c>
      <c r="F281" s="3">
        <f>(F149-E149)*-1</f>
        <v>-810</v>
      </c>
      <c r="G281" s="3">
        <f>(G149-F149)*-1</f>
        <v>781</v>
      </c>
      <c r="H281" s="3">
        <f>SUM(D281:G281)</f>
        <v>-280</v>
      </c>
      <c r="I281" s="3">
        <f>(I149-H149)*-1</f>
        <v>-321</v>
      </c>
      <c r="J281" s="3">
        <f>(J149-I149)*-1</f>
        <v>-391</v>
      </c>
      <c r="K281" s="3">
        <f>(K149-J149)*-1</f>
        <v>-775</v>
      </c>
      <c r="L281" s="3">
        <f>(L149-K149)*-1</f>
        <v>392</v>
      </c>
      <c r="M281" s="3">
        <f>SUM(I281:L281)</f>
        <v>-1095</v>
      </c>
      <c r="N281" s="3">
        <f>(N149-M149)*-1</f>
        <v>-277</v>
      </c>
      <c r="O281" s="3">
        <f>(O149-N149)*-1</f>
        <v>-446</v>
      </c>
      <c r="P281" s="3">
        <f>(P149-O149)*-1</f>
        <v>-526</v>
      </c>
      <c r="Q281" s="3">
        <f>(Q149-P149)*-1</f>
        <v>1288</v>
      </c>
      <c r="R281" s="3">
        <f>SUM(N281:Q281)</f>
        <v>39</v>
      </c>
      <c r="S281" s="3">
        <f>(S149-R149)*-1</f>
        <v>103</v>
      </c>
      <c r="T281" s="3">
        <f>(T149-S149)*-1</f>
        <v>377</v>
      </c>
      <c r="U281" s="3">
        <f>(U149-T149)*-1</f>
        <v>-500</v>
      </c>
      <c r="V281" s="3">
        <f>(V149-U149)*-1</f>
        <v>1385</v>
      </c>
      <c r="W281" s="3">
        <f>SUM(S281:V281)</f>
        <v>1365</v>
      </c>
      <c r="X281" s="3">
        <f>(X149-W149)*-1</f>
        <v>311</v>
      </c>
      <c r="Y281" s="3">
        <f>(Y149-X149)*-1</f>
        <v>58</v>
      </c>
      <c r="Z281" s="3">
        <f>(Z149-Y149)*-1</f>
        <v>-380</v>
      </c>
      <c r="AA281" s="3">
        <f>(AA149-Z149)*-1</f>
        <v>717</v>
      </c>
      <c r="AB281" s="3">
        <f>SUM(X281:AA281)</f>
        <v>706</v>
      </c>
      <c r="AC281" s="3">
        <f>(AC149-AB149)*-1</f>
        <v>61</v>
      </c>
      <c r="AD281" s="3">
        <f>(AD149-AC149)*-1</f>
        <v>-90</v>
      </c>
      <c r="AE281" s="3">
        <f>(AE149-AD149)*-1</f>
        <v>-192</v>
      </c>
      <c r="AF281" s="3">
        <f>(AF149-AE149)*-1</f>
        <v>71</v>
      </c>
      <c r="AG281" s="3">
        <f>SUM(AC281:AF281)</f>
        <v>-150</v>
      </c>
      <c r="AH281" s="3">
        <f>(AH149-AG149)*-1</f>
        <v>-160</v>
      </c>
      <c r="AI281" s="3">
        <f>(AI149-AH149)*-1</f>
        <v>-178</v>
      </c>
      <c r="AJ281" s="3">
        <f>(AJ149-AI149)*-1</f>
        <v>1397</v>
      </c>
      <c r="AK281" s="3">
        <f>(AK149-AJ149)*-1</f>
        <v>0</v>
      </c>
      <c r="AL281" s="3">
        <f>SUM(AH281:AK281)</f>
        <v>1059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0</v>
      </c>
      <c r="F282" s="3">
        <f>(F153-E153)*-1</f>
        <v>0</v>
      </c>
      <c r="G282" s="3">
        <f>(G153-F153)*-1</f>
        <v>0</v>
      </c>
      <c r="H282" s="3">
        <f>SUM(D282:G282)</f>
        <v>0</v>
      </c>
      <c r="I282" s="3">
        <f>(I153-H153)*-1</f>
        <v>0</v>
      </c>
      <c r="J282" s="3">
        <f>(J153-I153)*-1</f>
        <v>0</v>
      </c>
      <c r="K282" s="3">
        <f>(K153-J153)*-1</f>
        <v>0</v>
      </c>
      <c r="L282" s="3">
        <f>(L153-K153)*-1</f>
        <v>0</v>
      </c>
      <c r="M282" s="3">
        <f>SUM(I282:L282)</f>
        <v>0</v>
      </c>
      <c r="N282" s="3">
        <f>(N153-M153)*-1</f>
        <v>0</v>
      </c>
      <c r="O282" s="3">
        <f>(O153-N153)*-1</f>
        <v>0</v>
      </c>
      <c r="P282" s="3">
        <f>(P153-O153)*-1</f>
        <v>0</v>
      </c>
      <c r="Q282" s="3">
        <f>(Q153-P153)*-1</f>
        <v>0</v>
      </c>
      <c r="R282" s="3">
        <f>SUM(N282:Q282)</f>
        <v>0</v>
      </c>
      <c r="S282" s="3">
        <f>(S153-R153)*-1</f>
        <v>0</v>
      </c>
      <c r="T282" s="3">
        <f>(T153-S153)*-1</f>
        <v>0</v>
      </c>
      <c r="U282" s="3">
        <f>(U153-T153)*-1</f>
        <v>0</v>
      </c>
      <c r="V282" s="3">
        <f>(V153-U153)*-1</f>
        <v>0</v>
      </c>
      <c r="W282" s="3">
        <f>SUM(S282:V282)</f>
        <v>0</v>
      </c>
      <c r="X282" s="3">
        <f>(X153-W153)*-1</f>
        <v>0</v>
      </c>
      <c r="Y282" s="3">
        <f>(Y153-X153)*-1</f>
        <v>0</v>
      </c>
      <c r="Z282" s="3">
        <f>(Z153-Y153)*-1</f>
        <v>0</v>
      </c>
      <c r="AA282" s="3">
        <f>(AA153-Z153)*-1</f>
        <v>0</v>
      </c>
      <c r="AB282" s="3">
        <f>SUM(X282:AA282)</f>
        <v>0</v>
      </c>
      <c r="AC282" s="3">
        <f>(AC153-AB153)*-1</f>
        <v>0</v>
      </c>
      <c r="AD282" s="3">
        <f>(AD153-AC153)*-1</f>
        <v>0</v>
      </c>
      <c r="AE282" s="3">
        <f>(AE153-AD153)*-1</f>
        <v>0</v>
      </c>
      <c r="AF282" s="3">
        <f>(AF153-AE153)*-1</f>
        <v>0</v>
      </c>
      <c r="AG282" s="3">
        <f>SUM(AC282:AF282)</f>
        <v>0</v>
      </c>
      <c r="AH282" s="3">
        <f>(AH153-AG153)*-1</f>
        <v>0</v>
      </c>
      <c r="AI282" s="3">
        <f>(AI153-AH153)*-1</f>
        <v>0</v>
      </c>
      <c r="AJ282" s="3">
        <f>(AJ153-AI153)*-1</f>
        <v>0</v>
      </c>
      <c r="AK282" s="3">
        <f>(AK153-AJ153)*-1</f>
        <v>0</v>
      </c>
      <c r="AL282" s="3">
        <f>SUM(AH282:AK282)</f>
        <v>0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-2946</v>
      </c>
      <c r="F284" s="3">
        <f>(F155-E155)*-1</f>
        <v>-2062</v>
      </c>
      <c r="G284" s="3">
        <f>(G155-F155)*-1</f>
        <v>775</v>
      </c>
      <c r="H284" s="3">
        <f>SUM(D284:G284)</f>
        <v>-4233</v>
      </c>
      <c r="I284" s="3">
        <f>(I155-H155)*-1</f>
        <v>1129</v>
      </c>
      <c r="J284" s="3">
        <f>(J155-I155)*-1</f>
        <v>-1753</v>
      </c>
      <c r="K284" s="3">
        <f>(K155-J155)*-1</f>
        <v>442</v>
      </c>
      <c r="L284" s="3">
        <f>(L155-K155)*-1</f>
        <v>671</v>
      </c>
      <c r="M284" s="3">
        <f>SUM(I284:L284)</f>
        <v>489</v>
      </c>
      <c r="N284" s="3">
        <f>(N155-M155)*-1</f>
        <v>-1040</v>
      </c>
      <c r="O284" s="3">
        <f>(O155-N155)*-1</f>
        <v>-3604</v>
      </c>
      <c r="P284" s="3">
        <f>(P155-O155)*-1</f>
        <v>-1079</v>
      </c>
      <c r="Q284" s="3">
        <f>(Q155-P155)*-1</f>
        <v>-1499</v>
      </c>
      <c r="R284" s="3">
        <f>SUM(N284:Q284)</f>
        <v>-7222</v>
      </c>
      <c r="S284" s="3">
        <f>(S155-R155)*-1</f>
        <v>337</v>
      </c>
      <c r="T284" s="3">
        <f>(T155-S155)*-1</f>
        <v>-2642</v>
      </c>
      <c r="U284" s="3">
        <f>(U155-T155)*-1</f>
        <v>-1875</v>
      </c>
      <c r="V284" s="3">
        <f>(V155-U155)*-1</f>
        <v>1752</v>
      </c>
      <c r="W284" s="3">
        <f>SUM(S284:V284)</f>
        <v>-2428</v>
      </c>
      <c r="X284" s="3">
        <f>(X155-W155)*-1</f>
        <v>104</v>
      </c>
      <c r="Y284" s="3">
        <f>(Y155-X155)*-1</f>
        <v>-4195</v>
      </c>
      <c r="Z284" s="3">
        <f>(Z155-Y155)*-1</f>
        <v>297</v>
      </c>
      <c r="AA284" s="3">
        <f>(AA155-Z155)*-1</f>
        <v>-704</v>
      </c>
      <c r="AB284" s="3">
        <f>SUM(X284:AA284)</f>
        <v>-4498</v>
      </c>
      <c r="AC284" s="3">
        <f>(AC155-AB155)*-1</f>
        <v>1950</v>
      </c>
      <c r="AD284" s="3">
        <f>(AD155-AC155)*-1</f>
        <v>-1245</v>
      </c>
      <c r="AE284" s="3">
        <f>(AE155-AD155)*-1</f>
        <v>-7307</v>
      </c>
      <c r="AF284" s="3">
        <f>(AF155-AE155)*-1</f>
        <v>-104</v>
      </c>
      <c r="AG284" s="3">
        <f>SUM(AC284:AF284)</f>
        <v>-6706</v>
      </c>
      <c r="AH284" s="3">
        <f>(AH155-AG155)*-1</f>
        <v>-2663</v>
      </c>
      <c r="AI284" s="3">
        <f>(AI155-AH155)*-1</f>
        <v>-12797</v>
      </c>
      <c r="AJ284" s="3">
        <f>(AJ155-AI155)*-1</f>
        <v>0</v>
      </c>
      <c r="AK284" s="3">
        <f>(AK155-AJ155)*-1</f>
        <v>0</v>
      </c>
      <c r="AL284" s="3">
        <f>SUM(AH284:AK284)</f>
        <v>-15460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3284</v>
      </c>
      <c r="F285" s="3">
        <f>F198-E198</f>
        <v>-21</v>
      </c>
      <c r="G285" s="3">
        <f>G198-F198</f>
        <v>261</v>
      </c>
      <c r="H285" s="3">
        <f>SUM(D285:G285)</f>
        <v>3524</v>
      </c>
      <c r="I285" s="3">
        <f>I198-H198</f>
        <v>642</v>
      </c>
      <c r="J285" s="3">
        <f>J198-I198</f>
        <v>1751</v>
      </c>
      <c r="K285" s="3">
        <f>K198-J198</f>
        <v>-331</v>
      </c>
      <c r="L285" s="3">
        <f>L198-K198</f>
        <v>482</v>
      </c>
      <c r="M285" s="3">
        <f>SUM(I285:L285)</f>
        <v>2544</v>
      </c>
      <c r="N285" s="3">
        <f>N198-M198</f>
        <v>771</v>
      </c>
      <c r="O285" s="3">
        <f>O198-N198</f>
        <v>2915</v>
      </c>
      <c r="P285" s="3">
        <f>P198-O198</f>
        <v>-2391</v>
      </c>
      <c r="Q285" s="3">
        <f>Q198-P198</f>
        <v>-1255</v>
      </c>
      <c r="R285" s="3">
        <f>SUM(N285:Q285)</f>
        <v>40</v>
      </c>
      <c r="S285" s="3">
        <f>S198-R198</f>
        <v>-49</v>
      </c>
      <c r="T285" s="3">
        <f>T198-S198</f>
        <v>2790</v>
      </c>
      <c r="U285" s="3">
        <f>U198-T198</f>
        <v>1212</v>
      </c>
      <c r="V285" s="3">
        <f>V198-U198</f>
        <v>-1612</v>
      </c>
      <c r="W285" s="3">
        <f>SUM(S285:V285)</f>
        <v>2341</v>
      </c>
      <c r="X285" s="3">
        <f>X198-W198</f>
        <v>392</v>
      </c>
      <c r="Y285" s="3">
        <f>Y198-X198</f>
        <v>3909</v>
      </c>
      <c r="Z285" s="3">
        <f>Z198-Y198</f>
        <v>772</v>
      </c>
      <c r="AA285" s="3">
        <f>AA198-Z198</f>
        <v>-160</v>
      </c>
      <c r="AB285" s="3">
        <f>SUM(X285:AA285)</f>
        <v>4913</v>
      </c>
      <c r="AC285" s="3">
        <f>AC198-AB198</f>
        <v>3642</v>
      </c>
      <c r="AD285" s="3">
        <f>AD198-AC198</f>
        <v>1474</v>
      </c>
      <c r="AE285" s="3">
        <f>AE198-AD198</f>
        <v>4856</v>
      </c>
      <c r="AF285" s="3">
        <f>AF198-AE198</f>
        <v>4748</v>
      </c>
      <c r="AG285" s="3">
        <f>SUM(AC285:AF285)</f>
        <v>14720</v>
      </c>
      <c r="AH285" s="3">
        <f>AH198-AG198</f>
        <v>185</v>
      </c>
      <c r="AI285" s="3">
        <f>AI198-AH198</f>
        <v>4903</v>
      </c>
      <c r="AJ285" s="3">
        <f>AJ198-AI198</f>
        <v>-42416</v>
      </c>
      <c r="AK285" s="3">
        <f>AK198-AJ198</f>
        <v>0</v>
      </c>
      <c r="AL285" s="3">
        <f>SUM(AH285:AK285)</f>
        <v>-37328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1620</v>
      </c>
      <c r="F286" s="3">
        <f>F202-E202</f>
        <v>-2160</v>
      </c>
      <c r="G286" s="3">
        <f>G202-F202</f>
        <v>1124</v>
      </c>
      <c r="H286" s="3">
        <f>SUM(D286:G286)</f>
        <v>584</v>
      </c>
      <c r="I286" s="3">
        <f>I202-H202</f>
        <v>1194</v>
      </c>
      <c r="J286" s="3">
        <f>J202-I202</f>
        <v>2025</v>
      </c>
      <c r="K286" s="3">
        <f>K202-J202</f>
        <v>-3163</v>
      </c>
      <c r="L286" s="3">
        <f>L202-K202</f>
        <v>888</v>
      </c>
      <c r="M286" s="3">
        <f>SUM(I286:L286)</f>
        <v>944</v>
      </c>
      <c r="N286" s="3">
        <f>N202-M202</f>
        <v>1285</v>
      </c>
      <c r="O286" s="3">
        <f>O202-N202</f>
        <v>1594</v>
      </c>
      <c r="P286" s="3">
        <f>P202-O202</f>
        <v>-3256</v>
      </c>
      <c r="Q286" s="3">
        <f>Q202-P202</f>
        <v>1625</v>
      </c>
      <c r="R286" s="3">
        <f>SUM(N286:Q286)</f>
        <v>1248</v>
      </c>
      <c r="S286" s="3">
        <f>S202-R202</f>
        <v>1381</v>
      </c>
      <c r="T286" s="3">
        <f>T202-S202</f>
        <v>598</v>
      </c>
      <c r="U286" s="3">
        <f>U202-T202</f>
        <v>-4019</v>
      </c>
      <c r="V286" s="3">
        <f>V202-U202</f>
        <v>1823</v>
      </c>
      <c r="W286" s="3">
        <f>SUM(S286:V286)</f>
        <v>-217</v>
      </c>
      <c r="X286" s="3">
        <f>X202-W202</f>
        <v>1619</v>
      </c>
      <c r="Y286" s="3">
        <f>Y202-X202</f>
        <v>2132</v>
      </c>
      <c r="Z286" s="3">
        <f>Z202-Y202</f>
        <v>-4238</v>
      </c>
      <c r="AA286" s="3">
        <f>AA202-Z202</f>
        <v>850</v>
      </c>
      <c r="AB286" s="3">
        <f>SUM(X286:AA286)</f>
        <v>363</v>
      </c>
      <c r="AC286" s="3">
        <f>AC202-AB202</f>
        <v>1403</v>
      </c>
      <c r="AD286" s="3">
        <f>AD202-AC202</f>
        <v>3130</v>
      </c>
      <c r="AE286" s="3">
        <f>AE202-AD202</f>
        <v>-4508</v>
      </c>
      <c r="AF286" s="3">
        <f>AF202-AE202</f>
        <v>902</v>
      </c>
      <c r="AG286" s="3">
        <f>SUM(AC286:AF286)</f>
        <v>927</v>
      </c>
      <c r="AH286" s="3">
        <f>AH202-AG202</f>
        <v>1167</v>
      </c>
      <c r="AI286" s="3">
        <f>AI202-AH202</f>
        <v>3675</v>
      </c>
      <c r="AJ286" s="3">
        <f>AJ202-AI202</f>
        <v>-14945</v>
      </c>
      <c r="AK286" s="3">
        <f>AK202-AJ202</f>
        <v>0</v>
      </c>
      <c r="AL286" s="3">
        <f>SUM(AH286:AK286)</f>
        <v>-10103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-1166</v>
      </c>
      <c r="F287" s="3">
        <f>F204-E204</f>
        <v>254</v>
      </c>
      <c r="G287" s="3">
        <f>G204-F204</f>
        <v>-822</v>
      </c>
      <c r="H287" s="3">
        <f>SUM(D287:G287)</f>
        <v>-1734</v>
      </c>
      <c r="I287" s="3">
        <f>I204-H204</f>
        <v>603</v>
      </c>
      <c r="J287" s="3">
        <f>J204-I204</f>
        <v>9</v>
      </c>
      <c r="K287" s="3">
        <f>K204-J204</f>
        <v>4098</v>
      </c>
      <c r="L287" s="3">
        <f>L204-K204</f>
        <v>-2541</v>
      </c>
      <c r="M287" s="3">
        <f>SUM(I287:L287)</f>
        <v>2169</v>
      </c>
      <c r="N287" s="3">
        <f>N204-M204</f>
        <v>915</v>
      </c>
      <c r="O287" s="3">
        <f>O204-N204</f>
        <v>-579</v>
      </c>
      <c r="P287" s="3">
        <f>P204-O204</f>
        <v>2662</v>
      </c>
      <c r="Q287" s="3">
        <f>Q204-P204</f>
        <v>-3176</v>
      </c>
      <c r="R287" s="3">
        <f>SUM(N287:Q287)</f>
        <v>-178</v>
      </c>
      <c r="S287" s="3">
        <f>S204-R204</f>
        <v>610</v>
      </c>
      <c r="T287" s="3">
        <f>T204-S204</f>
        <v>-11</v>
      </c>
      <c r="U287" s="3">
        <f>U204-T204</f>
        <v>3883</v>
      </c>
      <c r="V287" s="3">
        <f>V204-U204</f>
        <v>-2248</v>
      </c>
      <c r="W287" s="3">
        <f>SUM(S287:V287)</f>
        <v>2234</v>
      </c>
      <c r="X287" s="3">
        <f>X204-W204</f>
        <v>1524</v>
      </c>
      <c r="Y287" s="3">
        <f>Y204-X204</f>
        <v>-2294</v>
      </c>
      <c r="Z287" s="3">
        <f>Z204-Y204</f>
        <v>4700</v>
      </c>
      <c r="AA287" s="3">
        <f>AA204-Z204</f>
        <v>-3661</v>
      </c>
      <c r="AB287" s="3">
        <f>SUM(X287:AA287)</f>
        <v>269</v>
      </c>
      <c r="AC287" s="3">
        <f>AC204-AB204</f>
        <v>749</v>
      </c>
      <c r="AD287" s="3">
        <f>AD204-AC204</f>
        <v>406</v>
      </c>
      <c r="AE287" s="3">
        <f>AE204-AD204</f>
        <v>-3556</v>
      </c>
      <c r="AF287" s="3">
        <f>AF204-AE204</f>
        <v>-1605</v>
      </c>
      <c r="AG287" s="3">
        <f>SUM(AC287:AF287)</f>
        <v>-4006</v>
      </c>
      <c r="AH287" s="3">
        <f>AH204-AG204</f>
        <v>1513</v>
      </c>
      <c r="AI287" s="3">
        <f>AI204-AH204</f>
        <v>-1029</v>
      </c>
      <c r="AJ287" s="3">
        <f>AJ204-AI204</f>
        <v>-2534</v>
      </c>
      <c r="AK287" s="3">
        <f>AK204-AJ204</f>
        <v>0</v>
      </c>
      <c r="AL287" s="3">
        <f>SUM(AH287:AK287)</f>
        <v>-2050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9864</v>
      </c>
      <c r="F288" s="3">
        <f>F205-E205</f>
        <v>-3075</v>
      </c>
      <c r="G288" s="3">
        <f>G205-F205</f>
        <v>-2023</v>
      </c>
      <c r="H288" s="3">
        <f>SUM(D288:G288)</f>
        <v>4766</v>
      </c>
      <c r="I288" s="3">
        <f>I205-H205</f>
        <v>-396</v>
      </c>
      <c r="J288" s="3">
        <f>J205-I205</f>
        <v>12658</v>
      </c>
      <c r="K288" s="3">
        <f>K205-J205</f>
        <v>-3910</v>
      </c>
      <c r="L288" s="3">
        <f>L205-K205</f>
        <v>-3596</v>
      </c>
      <c r="M288" s="3">
        <f>SUM(I288:L288)</f>
        <v>4756</v>
      </c>
      <c r="N288" s="3">
        <f>N205-M205</f>
        <v>207</v>
      </c>
      <c r="O288" s="3">
        <f>O205-N205</f>
        <v>12713</v>
      </c>
      <c r="P288" s="3">
        <f>P205-O205</f>
        <v>-5207</v>
      </c>
      <c r="Q288" s="3">
        <f>Q205-P205</f>
        <v>-3614</v>
      </c>
      <c r="R288" s="3">
        <f>SUM(N288:Q288)</f>
        <v>4099</v>
      </c>
      <c r="S288" s="3">
        <f>S205-R205</f>
        <v>-217</v>
      </c>
      <c r="T288" s="3">
        <f>T205-S205</f>
        <v>16079</v>
      </c>
      <c r="U288" s="3">
        <f>U205-T205</f>
        <v>-4742</v>
      </c>
      <c r="V288" s="3">
        <f>V205-U205</f>
        <v>-1474</v>
      </c>
      <c r="W288" s="3">
        <f>SUM(S288:V288)</f>
        <v>9646</v>
      </c>
      <c r="X288" s="3">
        <f>X205-W205</f>
        <v>481</v>
      </c>
      <c r="Y288" s="3">
        <f>Y205-X205</f>
        <v>16856</v>
      </c>
      <c r="Z288" s="3">
        <f>Z205-Y205</f>
        <v>-4627</v>
      </c>
      <c r="AA288" s="3">
        <f>AA205-Z205</f>
        <v>-6346</v>
      </c>
      <c r="AB288" s="3">
        <f>SUM(X288:AA288)</f>
        <v>6364</v>
      </c>
      <c r="AC288" s="3">
        <f>AC205-AB205</f>
        <v>1779</v>
      </c>
      <c r="AD288" s="3">
        <f>AD205-AC205</f>
        <v>22002</v>
      </c>
      <c r="AE288" s="3">
        <f>AE205-AD205</f>
        <v>-7847</v>
      </c>
      <c r="AF288" s="3">
        <f>AF205-AE205</f>
        <v>-6041</v>
      </c>
      <c r="AG288" s="3">
        <f>SUM(AC288:AF288)</f>
        <v>9893</v>
      </c>
      <c r="AH288" s="3">
        <f>AH205-AG205</f>
        <v>-211</v>
      </c>
      <c r="AI288" s="3">
        <f>AI205-AH205</f>
        <v>24227</v>
      </c>
      <c r="AJ288" s="3">
        <f>AJ205-AI205</f>
        <v>0</v>
      </c>
      <c r="AK288" s="3">
        <f>AK205-AJ205</f>
        <v>0</v>
      </c>
      <c r="AL288" s="3">
        <f>SUM(AH288:AK288)</f>
        <v>24016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19</v>
      </c>
      <c r="F289" s="3">
        <f>F239-E239</f>
        <v>-17</v>
      </c>
      <c r="G289" s="3">
        <f>G239-F239</f>
        <v>-13</v>
      </c>
      <c r="H289" s="3">
        <f>SUM(D289:G289)</f>
        <v>-11</v>
      </c>
      <c r="I289" s="3">
        <f>I239-H239</f>
        <v>-1</v>
      </c>
      <c r="J289" s="3">
        <f>J239-I239</f>
        <v>25</v>
      </c>
      <c r="K289" s="3">
        <f>K239-J239</f>
        <v>14</v>
      </c>
      <c r="L289" s="3">
        <f>L239-K239</f>
        <v>-13</v>
      </c>
      <c r="M289" s="3">
        <f>SUM(I289:L289)</f>
        <v>25</v>
      </c>
      <c r="N289" s="3">
        <f>N239-M239</f>
        <v>105</v>
      </c>
      <c r="O289" s="3">
        <f>O239-N239</f>
        <v>-74</v>
      </c>
      <c r="P289" s="3">
        <f>P239-O239</f>
        <v>-7</v>
      </c>
      <c r="Q289" s="3">
        <f>Q239-P239</f>
        <v>66</v>
      </c>
      <c r="R289" s="3">
        <f>SUM(N289:Q289)</f>
        <v>90</v>
      </c>
      <c r="S289" s="3">
        <f>S239-R239</f>
        <v>13</v>
      </c>
      <c r="T289" s="3">
        <f>T239-S239</f>
        <v>131</v>
      </c>
      <c r="U289" s="3">
        <f>U239-T239</f>
        <v>37</v>
      </c>
      <c r="V289" s="3">
        <f>V239-U239</f>
        <v>2078</v>
      </c>
      <c r="W289" s="3">
        <f>SUM(S289:V289)</f>
        <v>2259</v>
      </c>
      <c r="X289" s="3">
        <f>X239-W239</f>
        <v>-79</v>
      </c>
      <c r="Y289" s="3">
        <f>Y239-X239</f>
        <v>149</v>
      </c>
      <c r="Z289" s="3">
        <f>Z239-Y239</f>
        <v>-37</v>
      </c>
      <c r="AA289" s="3">
        <f>AA239-Z239</f>
        <v>-68</v>
      </c>
      <c r="AB289" s="3">
        <f>SUM(X289:AA289)</f>
        <v>-35</v>
      </c>
      <c r="AC289" s="3">
        <f>AC239-AB239</f>
        <v>9</v>
      </c>
      <c r="AD289" s="3">
        <f>AD239-AC239</f>
        <v>313</v>
      </c>
      <c r="AE289" s="3">
        <f>AE239-AD239</f>
        <v>17</v>
      </c>
      <c r="AF289" s="3">
        <f>AF239-AE239</f>
        <v>24</v>
      </c>
      <c r="AG289" s="3">
        <f>SUM(AC289:AF289)</f>
        <v>363</v>
      </c>
      <c r="AH289" s="3">
        <f>AH239-AG239</f>
        <v>23</v>
      </c>
      <c r="AI289" s="3">
        <f>AI239-AH239</f>
        <v>155</v>
      </c>
      <c r="AJ289" s="3">
        <f>AJ239-AI239</f>
        <v>0</v>
      </c>
      <c r="AK289" s="3">
        <f>AK239-AJ239</f>
        <v>0</v>
      </c>
      <c r="AL289" s="3">
        <f>SUM(AH289:AK289)</f>
        <v>178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0</v>
      </c>
      <c r="F290" s="3">
        <f>(F161-E161)*-1</f>
        <v>0</v>
      </c>
      <c r="G290" s="3">
        <f>(G161-F161)*-1</f>
        <v>0</v>
      </c>
      <c r="H290" s="3">
        <f>SUM(D290:G290)</f>
        <v>0</v>
      </c>
      <c r="I290" s="3">
        <f>(I161-H161)*-1</f>
        <v>0</v>
      </c>
      <c r="J290" s="3">
        <f>(J161-I161)*-1</f>
        <v>0</v>
      </c>
      <c r="K290" s="3">
        <f>(K161-J161)*-1</f>
        <v>0</v>
      </c>
      <c r="L290" s="3">
        <f>(L161-K161)*-1</f>
        <v>0</v>
      </c>
      <c r="M290" s="3">
        <f>SUM(I290:L290)</f>
        <v>0</v>
      </c>
      <c r="N290" s="3">
        <f>(N161-M161)*-1</f>
        <v>0</v>
      </c>
      <c r="O290" s="3">
        <f>(O161-N161)*-1</f>
        <v>0</v>
      </c>
      <c r="P290" s="3">
        <f>(P161-O161)*-1</f>
        <v>0</v>
      </c>
      <c r="Q290" s="3">
        <f>(Q161-P161)*-1</f>
        <v>0</v>
      </c>
      <c r="R290" s="3">
        <f>SUM(N290:Q290)</f>
        <v>0</v>
      </c>
      <c r="S290" s="3">
        <f>(S161-R161)*-1</f>
        <v>0</v>
      </c>
      <c r="T290" s="3">
        <f>(T161-S161)*-1</f>
        <v>0</v>
      </c>
      <c r="U290" s="3">
        <f>(U161-T161)*-1</f>
        <v>0</v>
      </c>
      <c r="V290" s="3">
        <f>(V161-U161)*-1</f>
        <v>0</v>
      </c>
      <c r="W290" s="3">
        <f>SUM(S290:V290)</f>
        <v>0</v>
      </c>
      <c r="X290" s="3">
        <f>(X161-W161)*-1</f>
        <v>0</v>
      </c>
      <c r="Y290" s="3">
        <f>(Y161-X161)*-1</f>
        <v>0</v>
      </c>
      <c r="Z290" s="3">
        <f>(Z161-Y161)*-1</f>
        <v>0</v>
      </c>
      <c r="AA290" s="3">
        <f>(AA161-Z161)*-1</f>
        <v>0</v>
      </c>
      <c r="AB290" s="3">
        <f>SUM(X290:AA290)</f>
        <v>0</v>
      </c>
      <c r="AC290" s="3">
        <f>(AC161-AB161)*-1</f>
        <v>0</v>
      </c>
      <c r="AD290" s="3">
        <f>(AD161-AC161)*-1</f>
        <v>0</v>
      </c>
      <c r="AE290" s="3">
        <f>(AE161-AD161)*-1</f>
        <v>0</v>
      </c>
      <c r="AF290" s="3">
        <f>(AF161-AE161)*-1</f>
        <v>0</v>
      </c>
      <c r="AG290" s="3">
        <f>SUM(AC290:AF290)</f>
        <v>0</v>
      </c>
      <c r="AH290" s="3">
        <f>(AH161-AG161)*-1</f>
        <v>0</v>
      </c>
      <c r="AI290" s="3">
        <f>(AI161-AH161)*-1</f>
        <v>0</v>
      </c>
      <c r="AJ290" s="3">
        <f>(AJ161-AI161)*-1</f>
        <v>0</v>
      </c>
      <c r="AK290" s="3">
        <f>(AK161-AJ161)*-1</f>
        <v>0</v>
      </c>
      <c r="AL290" s="3">
        <f>SUM(AH290:AK290)</f>
        <v>0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0</v>
      </c>
      <c r="F292" s="3">
        <f>-F136</f>
        <v>0</v>
      </c>
      <c r="G292" s="3">
        <f>-G136</f>
        <v>0</v>
      </c>
      <c r="H292" s="3">
        <f>SUM(D292:G292)</f>
        <v>0</v>
      </c>
      <c r="I292" s="3">
        <f>-I136</f>
        <v>0</v>
      </c>
      <c r="J292" s="3">
        <f>-J136</f>
        <v>0</v>
      </c>
      <c r="K292" s="3">
        <f>-K136</f>
        <v>0</v>
      </c>
      <c r="L292" s="3">
        <f>-L136</f>
        <v>0</v>
      </c>
      <c r="M292" s="3">
        <f>SUM(I292:L292)</f>
        <v>0</v>
      </c>
      <c r="N292" s="3">
        <f>-N136</f>
        <v>0</v>
      </c>
      <c r="O292" s="3">
        <f>-O136</f>
        <v>0</v>
      </c>
      <c r="P292" s="3">
        <f>-P136</f>
        <v>0</v>
      </c>
      <c r="Q292" s="3">
        <f>-Q136</f>
        <v>0</v>
      </c>
      <c r="R292" s="3">
        <f>SUM(N292:Q292)</f>
        <v>0</v>
      </c>
      <c r="S292" s="3">
        <f>-S136</f>
        <v>0</v>
      </c>
      <c r="T292" s="3">
        <f>-T136</f>
        <v>0</v>
      </c>
      <c r="U292" s="3">
        <f>-U136</f>
        <v>0</v>
      </c>
      <c r="V292" s="3">
        <f>-V136</f>
        <v>0</v>
      </c>
      <c r="W292" s="3">
        <f>SUM(S292:V292)</f>
        <v>0</v>
      </c>
      <c r="X292" s="3">
        <f>-X136</f>
        <v>0</v>
      </c>
      <c r="Y292" s="3">
        <f>-Y136</f>
        <v>0</v>
      </c>
      <c r="Z292" s="3">
        <f>-Z136</f>
        <v>0</v>
      </c>
      <c r="AA292" s="3">
        <f>-AA136</f>
        <v>0</v>
      </c>
      <c r="AB292" s="3">
        <f>SUM(X292:AA292)</f>
        <v>0</v>
      </c>
      <c r="AC292" s="3">
        <f>-AC136</f>
        <v>0</v>
      </c>
      <c r="AD292" s="3">
        <f>-AD136</f>
        <v>0</v>
      </c>
      <c r="AE292" s="3">
        <f>-AE136</f>
        <v>0</v>
      </c>
      <c r="AF292" s="3">
        <f>-AF136</f>
        <v>0</v>
      </c>
      <c r="AG292" s="3">
        <f>SUM(AC292:AF292)</f>
        <v>0</v>
      </c>
      <c r="AH292" s="3">
        <f>-AH136</f>
        <v>0</v>
      </c>
      <c r="AI292" s="3">
        <f>-AI136</f>
        <v>0</v>
      </c>
      <c r="AJ292" s="3">
        <f>-AJ136</f>
        <v>0</v>
      </c>
      <c r="AK292" s="3">
        <f>-AK136</f>
        <v>0</v>
      </c>
      <c r="AL292" s="3">
        <f>SUM(AH292:AK292)</f>
        <v>0</v>
      </c>
      <c r="AM292" s="3">
        <f>-AM136</f>
        <v>0</v>
      </c>
      <c r="AN292" s="3">
        <f>-AN136</f>
        <v>0</v>
      </c>
      <c r="AO292" s="3">
        <f>-AO136</f>
        <v>0</v>
      </c>
      <c r="AP292" s="3">
        <f>-AP136</f>
        <v>0</v>
      </c>
      <c r="AQ292" s="3">
        <f>SUM(AM292:AP292)</f>
        <v>0</v>
      </c>
      <c r="AR292" s="3">
        <f>-AR136</f>
        <v>0</v>
      </c>
      <c r="AS292" s="3">
        <f>-AS136</f>
        <v>0</v>
      </c>
      <c r="AT292" s="3">
        <f>-AT136</f>
        <v>0</v>
      </c>
      <c r="AU292" s="3">
        <f>-AU136</f>
        <v>0</v>
      </c>
      <c r="AV292" s="3">
        <f>SUM(AR292:AU292)</f>
        <v>0</v>
      </c>
      <c r="AW292" s="3">
        <f>-AW136</f>
        <v>0</v>
      </c>
      <c r="AX292" s="3">
        <f>-AX136</f>
        <v>0</v>
      </c>
      <c r="AY292" s="3">
        <f>-AY136</f>
        <v>0</v>
      </c>
      <c r="AZ292" s="3">
        <f>-AZ136</f>
        <v>0</v>
      </c>
      <c r="BA292" s="3">
        <f>SUM(AW292:AZ292)</f>
        <v>0</v>
      </c>
      <c r="BB292" s="3">
        <f>-BB136</f>
        <v>0</v>
      </c>
      <c r="BC292" s="3">
        <f>-BC136</f>
        <v>0</v>
      </c>
      <c r="BD292" s="3">
        <f>-BD136</f>
        <v>0</v>
      </c>
      <c r="BE292" s="3">
        <f>-BE136</f>
        <v>0</v>
      </c>
      <c r="BF292" s="3">
        <f>SUM(BB292:BE292)</f>
        <v>0</v>
      </c>
      <c r="BG292" s="3">
        <f>-BG136</f>
        <v>0</v>
      </c>
      <c r="BH292" s="3">
        <f>-BH136</f>
        <v>0</v>
      </c>
      <c r="BI292" s="3">
        <f>-BI136</f>
        <v>0</v>
      </c>
      <c r="BJ292" s="3">
        <f>-BJ136</f>
        <v>0</v>
      </c>
      <c r="BK292" s="3">
        <f>SUM(BG292:BJ292)</f>
        <v>0</v>
      </c>
      <c r="BL292" s="3">
        <f>-BL136</f>
        <v>0</v>
      </c>
      <c r="BM292" s="3">
        <f>-BM136</f>
        <v>0</v>
      </c>
      <c r="BN292" s="3">
        <f>-BN136</f>
        <v>0</v>
      </c>
      <c r="BO292" s="3">
        <f>-BO136</f>
        <v>0</v>
      </c>
      <c r="BP292" s="3">
        <f>SUM(BL292:BO292)</f>
        <v>0</v>
      </c>
      <c r="BQ292" s="3">
        <f>-BQ136</f>
        <v>0</v>
      </c>
      <c r="BR292" s="3">
        <f>-BR136</f>
        <v>0</v>
      </c>
      <c r="BS292" s="3">
        <f>-BS136</f>
        <v>0</v>
      </c>
      <c r="BT292" s="3">
        <f>-BT136</f>
        <v>0</v>
      </c>
      <c r="BU292" s="3">
        <f>SUM(BQ292:BT292)</f>
        <v>0</v>
      </c>
      <c r="BV292" s="3">
        <f>-BV136</f>
        <v>0</v>
      </c>
      <c r="BW292" s="3">
        <f>-BW136</f>
        <v>0</v>
      </c>
      <c r="BX292" s="3">
        <f>-BX136</f>
        <v>0</v>
      </c>
      <c r="BY292" s="3">
        <f>-BY136</f>
        <v>0</v>
      </c>
      <c r="BZ292" s="3">
        <f>SUM(BV292:BY292)</f>
        <v>0</v>
      </c>
      <c r="CA292" s="3">
        <f>-CA136</f>
        <v>0</v>
      </c>
      <c r="CB292" s="3">
        <f>-CB136</f>
        <v>0</v>
      </c>
      <c r="CC292" s="3">
        <f>-CC136</f>
        <v>0</v>
      </c>
      <c r="CD292" s="3">
        <f>-CD136</f>
        <v>0</v>
      </c>
      <c r="CE292" s="3">
        <f>SUM(CA292:CD292)</f>
        <v>0</v>
      </c>
      <c r="CF292" s="3">
        <f>-CF136</f>
        <v>0</v>
      </c>
      <c r="CG292" s="3">
        <f>-CG136</f>
        <v>0</v>
      </c>
      <c r="CH292" s="3">
        <f>-CH136</f>
        <v>0</v>
      </c>
      <c r="CI292" s="3">
        <f>-CI136</f>
        <v>0</v>
      </c>
      <c r="CJ292" s="3">
        <f>SUM(CF292:CI292)</f>
        <v>0</v>
      </c>
      <c r="CK292" s="3">
        <f>-CK136</f>
        <v>0</v>
      </c>
      <c r="CL292" s="3">
        <f>-CL136</f>
        <v>0</v>
      </c>
      <c r="CM292" s="3">
        <f>-CM136</f>
        <v>0</v>
      </c>
      <c r="CN292" s="3">
        <f>-CN136</f>
        <v>0</v>
      </c>
      <c r="CO292" s="3">
        <f>SUM(CK292:CN292)</f>
        <v>0</v>
      </c>
      <c r="CP292" s="3">
        <f>-CP136</f>
        <v>0</v>
      </c>
      <c r="CQ292" s="3">
        <f>-CQ136</f>
        <v>0</v>
      </c>
      <c r="CR292" s="3">
        <f>-CR136</f>
        <v>0</v>
      </c>
      <c r="CS292" s="3">
        <f>-CS136</f>
        <v>0</v>
      </c>
      <c r="CT292" s="3">
        <f>SUM(CP292:CS292)</f>
        <v>0</v>
      </c>
      <c r="CU292" s="3">
        <f>-CU136</f>
        <v>0</v>
      </c>
      <c r="CV292" s="3">
        <f>-CV136</f>
        <v>0</v>
      </c>
      <c r="CW292" s="3">
        <f>-CW136</f>
        <v>0</v>
      </c>
      <c r="CX292" s="3">
        <f>-CX136</f>
        <v>0</v>
      </c>
      <c r="CY292" s="3">
        <f>SUM(CU292:CX292)</f>
        <v>0</v>
      </c>
    </row>
    <row r="293">
      <c r="C293" s="26" t="inlineStr">
        <is>
          <t>Cash from operations</t>
        </is>
      </c>
      <c r="D293" s="3" t="n"/>
      <c r="E293" s="3">
        <f>SUM(E277,E278,E279,E290,E291,E292)</f>
        <v>15818</v>
      </c>
      <c r="F293" s="3">
        <f>SUM(F277,F278,F279,F290,F291,F292)</f>
        <v>17807</v>
      </c>
      <c r="G293" s="3">
        <f>SUM(G277,G278,G279,G290,G291,G292)</f>
        <v>13846</v>
      </c>
      <c r="H293" s="3">
        <f>SUM(H277,H278,H279,H290,H291,H292)</f>
        <v>47471</v>
      </c>
      <c r="I293" s="3">
        <f>SUM(I277,I278,I279,I290,I291,I292)</f>
        <v>22233</v>
      </c>
      <c r="J293" s="3">
        <f>SUM(J277,J278,J279,J290,J291,J292)</f>
        <v>22405</v>
      </c>
      <c r="K293" s="3">
        <f>SUM(K277,K278,K279,K290,K291,K292)</f>
        <v>30786</v>
      </c>
      <c r="L293" s="3">
        <f>SUM(L277,L278,L279,L290,L291,L292)</f>
        <v>12373</v>
      </c>
      <c r="M293" s="3">
        <f>SUM(M277,M278,M279,M290,M291,M292)</f>
        <v>87797</v>
      </c>
      <c r="N293" s="3">
        <f>SUM(N277,N278,N279,N290,N291,N292)</f>
        <v>23374</v>
      </c>
      <c r="O293" s="3">
        <f>SUM(O277,O278,O279,O290,O291,O292)</f>
        <v>21590</v>
      </c>
      <c r="P293" s="3">
        <f>SUM(P277,P278,P279,P290,P291,P292)</f>
        <v>23524</v>
      </c>
      <c r="Q293" s="3">
        <f>SUM(Q277,Q278,Q279,Q290,Q291,Q292)</f>
        <v>8954</v>
      </c>
      <c r="R293" s="3">
        <f>SUM(R277,R278,R279,R290,R291,R292)</f>
        <v>77442</v>
      </c>
      <c r="S293" s="3">
        <f>SUM(S277,S278,S279,S290,S291,S292)</f>
        <v>22439</v>
      </c>
      <c r="T293" s="3">
        <f>SUM(T277,T278,T279,T290,T291,T292)</f>
        <v>30009</v>
      </c>
      <c r="U293" s="3">
        <f>SUM(U277,U278,U279,U290,U291,U292)</f>
        <v>31943</v>
      </c>
      <c r="V293" s="3">
        <f>SUM(V277,V278,V279,V290,V291,V292)</f>
        <v>23655</v>
      </c>
      <c r="W293" s="3">
        <f>SUM(W277,W278,W279,W290,W291,W292)</f>
        <v>108046</v>
      </c>
      <c r="X293" s="3">
        <f>SUM(X277,X278,X279,X290,X291,X292)</f>
        <v>31120</v>
      </c>
      <c r="Y293" s="3">
        <f>SUM(Y277,Y278,Y279,Y290,Y291,Y292)</f>
        <v>32136</v>
      </c>
      <c r="Z293" s="3">
        <f>SUM(Z277,Z278,Z279,Z290,Z291,Z292)</f>
        <v>41313</v>
      </c>
      <c r="AA293" s="3">
        <f>SUM(AA277,AA278,AA279,AA290,AA291,AA292)</f>
        <v>17523</v>
      </c>
      <c r="AB293" s="3">
        <f>SUM(AB277,AB278,AB279,AB290,AB291,AB292)</f>
        <v>122092</v>
      </c>
      <c r="AC293" s="3">
        <f>SUM(AC277,AC278,AC279,AC290,AC291,AC292)</f>
        <v>40645</v>
      </c>
      <c r="AD293" s="3">
        <f>SUM(AD277,AD278,AD279,AD290,AD291,AD292)</f>
        <v>46221</v>
      </c>
      <c r="AE293" s="3">
        <f>SUM(AE277,AE278,AE279,AE290,AE291,AE292)</f>
        <v>39282</v>
      </c>
      <c r="AF293" s="3">
        <f>SUM(AF277,AF278,AF279,AF290,AF291,AF292)</f>
        <v>42010</v>
      </c>
      <c r="AG293" s="3">
        <f>SUM(AG277,AG278,AG279,AG290,AG291,AG292)</f>
        <v>168158</v>
      </c>
      <c r="AH293" s="3">
        <f>SUM(AH277,AH278,AH279,AH290,AH291,AH292)</f>
        <v>38293</v>
      </c>
      <c r="AI293" s="3">
        <f>SUM(AI277,AI278,AI279,AI290,AI291,AI292)</f>
        <v>44909</v>
      </c>
      <c r="AJ293" s="3">
        <f>SUM(AJ277,AJ278,AJ279,AJ290,AJ291,AJ292)</f>
        <v>24098</v>
      </c>
      <c r="AK293" s="3">
        <f>SUM(AK277,AK278,AK279,AK290,AK291,AK292)</f>
        <v>4283</v>
      </c>
      <c r="AL293" s="3">
        <f>SUM(AL277,AL278,AL279,AL290,AL291,AL292)</f>
        <v>111583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-6434</v>
      </c>
      <c r="F295" s="3">
        <f>-F168</f>
        <v>-6421</v>
      </c>
      <c r="G295" s="3">
        <f>-G168</f>
        <v>-6571</v>
      </c>
      <c r="H295" s="3">
        <f>SUM(D295:G295)</f>
        <v>-19426</v>
      </c>
      <c r="I295" s="3">
        <f>-I168</f>
        <v>-6144</v>
      </c>
      <c r="J295" s="3">
        <f>-J168</f>
        <v>-8114</v>
      </c>
      <c r="K295" s="3">
        <f>-K168</f>
        <v>-7269</v>
      </c>
      <c r="L295" s="3">
        <f>-L168</f>
        <v>-6938</v>
      </c>
      <c r="M295" s="3">
        <f>SUM(I295:L295)</f>
        <v>-28465</v>
      </c>
      <c r="N295" s="3">
        <f>-N168</f>
        <v>-6857</v>
      </c>
      <c r="O295" s="3">
        <f>-O168</f>
        <v>-8079</v>
      </c>
      <c r="P295" s="3">
        <f>-P168</f>
        <v>-5429</v>
      </c>
      <c r="Q295" s="3">
        <f>-Q168</f>
        <v>-9366</v>
      </c>
      <c r="R295" s="3">
        <f>SUM(N295:Q295)</f>
        <v>-29731</v>
      </c>
      <c r="S295" s="3">
        <f>-S168</f>
        <v>-8926</v>
      </c>
      <c r="T295" s="3">
        <f>-T168</f>
        <v>-11383</v>
      </c>
      <c r="U295" s="3">
        <f>-U168</f>
        <v>-10782</v>
      </c>
      <c r="V295" s="3">
        <f>-V168</f>
        <v>-15765</v>
      </c>
      <c r="W295" s="3">
        <f>SUM(S295:V295)</f>
        <v>-46856</v>
      </c>
      <c r="X295" s="3">
        <f>-X168</f>
        <v>-15094</v>
      </c>
      <c r="Y295" s="3">
        <f>-Y168</f>
        <v>-20596</v>
      </c>
      <c r="Z295" s="3">
        <f>-Z168</f>
        <v>-24655</v>
      </c>
      <c r="AA295" s="3">
        <f>-AA168</f>
        <v>-20866</v>
      </c>
      <c r="AB295" s="3">
        <f>SUM(X295:AA295)</f>
        <v>-81211</v>
      </c>
      <c r="AC295" s="3">
        <f>-AC168</f>
        <v>-25777</v>
      </c>
      <c r="AD295" s="3">
        <f>-AD168</f>
        <v>-32230</v>
      </c>
      <c r="AE295" s="3">
        <f>-AE168</f>
        <v>-38956</v>
      </c>
      <c r="AF295" s="3">
        <f>-AF168</f>
        <v>-39463</v>
      </c>
      <c r="AG295" s="3">
        <f>SUM(AC295:AF295)</f>
        <v>-136426</v>
      </c>
      <c r="AH295" s="3">
        <f>-AH168</f>
        <v>-32269</v>
      </c>
      <c r="AI295" s="3">
        <f>-AI168</f>
        <v>-40870</v>
      </c>
      <c r="AJ295" s="3">
        <f>-AJ168</f>
        <v>0</v>
      </c>
      <c r="AK295" s="3">
        <f>-AK168</f>
        <v>0</v>
      </c>
      <c r="AL295" s="3">
        <f>SUM(AH295:AK295)</f>
        <v>-73139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-305</v>
      </c>
      <c r="F297" s="3">
        <f>(F176-E176)*-1</f>
        <v>-294</v>
      </c>
      <c r="G297" s="3">
        <f>(G176-F176)*-1</f>
        <v>-1251</v>
      </c>
      <c r="H297" s="3">
        <f>SUM(D297:G297)</f>
        <v>-1850</v>
      </c>
      <c r="I297" s="3">
        <f>(I176-H176)*-1</f>
        <v>-375</v>
      </c>
      <c r="J297" s="3">
        <f>(J176-I176)*-1</f>
        <v>-415</v>
      </c>
      <c r="K297" s="3">
        <f>(K176-J176)*-1</f>
        <v>-487</v>
      </c>
      <c r="L297" s="3">
        <f>(L176-K176)*-1</f>
        <v>-779</v>
      </c>
      <c r="M297" s="3">
        <f>SUM(I297:L297)</f>
        <v>-2056</v>
      </c>
      <c r="N297" s="3">
        <f>(N176-M176)*-1</f>
        <v>-562</v>
      </c>
      <c r="O297" s="3">
        <f>(O176-N176)*-1</f>
        <v>-232</v>
      </c>
      <c r="P297" s="3">
        <f>(P176-O176)*-1</f>
        <v>-199</v>
      </c>
      <c r="Q297" s="3">
        <f>(Q176-P176)*-1</f>
        <v>-277</v>
      </c>
      <c r="R297" s="3">
        <f>SUM(N297:Q297)</f>
        <v>-1270</v>
      </c>
      <c r="S297" s="3">
        <f>(S176-R176)*-1</f>
        <v>-255</v>
      </c>
      <c r="T297" s="3">
        <f>(T176-S176)*-1</f>
        <v>-467</v>
      </c>
      <c r="U297" s="3">
        <f>(U176-T176)*-1</f>
        <v>-1089</v>
      </c>
      <c r="V297" s="3">
        <f>(V176-U176)*-1</f>
        <v>-963</v>
      </c>
      <c r="W297" s="3">
        <f>SUM(S297:V297)</f>
        <v>-2774</v>
      </c>
      <c r="X297" s="3">
        <f>(X176-W176)*-1</f>
        <v>-973</v>
      </c>
      <c r="Y297" s="3">
        <f>(Y176-X176)*-1</f>
        <v>-1590</v>
      </c>
      <c r="Z297" s="3">
        <f>(Z176-Y176)*-1</f>
        <v>-1567</v>
      </c>
      <c r="AA297" s="3">
        <f>(AA176-Z176)*-1</f>
        <v>-2288</v>
      </c>
      <c r="AB297" s="3">
        <f>SUM(X297:AA297)</f>
        <v>-6418</v>
      </c>
      <c r="AC297" s="3">
        <f>(AC176-AB176)*-1</f>
        <v>-1659</v>
      </c>
      <c r="AD297" s="3">
        <f>(AD176-AC176)*-1</f>
        <v>-348</v>
      </c>
      <c r="AE297" s="3">
        <f>(AE176-AD176)*-1</f>
        <v>32</v>
      </c>
      <c r="AF297" s="3">
        <f>(AF176-AE176)*-1</f>
        <v>-312</v>
      </c>
      <c r="AG297" s="3">
        <f>SUM(AC297:AF297)</f>
        <v>-2287</v>
      </c>
      <c r="AH297" s="3">
        <f>(AH176-AG176)*-1</f>
        <v>700</v>
      </c>
      <c r="AI297" s="3">
        <f>(AI176-AH176)*-1</f>
        <v>226</v>
      </c>
      <c r="AJ297" s="3">
        <f>(AJ176-AI176)*-1</f>
        <v>0</v>
      </c>
      <c r="AK297" s="3">
        <f>(AK176-AJ176)*-1</f>
        <v>0</v>
      </c>
      <c r="AL297" s="3">
        <f>SUM(AH297:AK297)</f>
        <v>926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-1470</v>
      </c>
      <c r="F298" s="3">
        <f>((F180-E180)*-1)+((F179-E179)*-1)</f>
        <v>-424</v>
      </c>
      <c r="G298" s="3">
        <f>((G180-F180)*-1)+((G179-F179)*-1)</f>
        <v>39</v>
      </c>
      <c r="H298" s="3">
        <f>SUM(D298:G298)</f>
        <v>-1855</v>
      </c>
      <c r="I298" s="3">
        <f>((I180-H180)*-1)+((I179-H179)*-1)</f>
        <v>-7051</v>
      </c>
      <c r="J298" s="3">
        <f>((J180-I180)*-1)+((J179-I179)*-1)</f>
        <v>314</v>
      </c>
      <c r="K298" s="3">
        <f>((K180-J180)*-1)+((K179-J179)*-1)</f>
        <v>-738</v>
      </c>
      <c r="L298" s="3">
        <f>((L180-K180)*-1)+((L179-K179)*-1)</f>
        <v>-134</v>
      </c>
      <c r="M298" s="3">
        <f>SUM(I298:L298)</f>
        <v>-7609</v>
      </c>
      <c r="N298" s="3">
        <f>((N180-M180)*-1)+((N179-M179)*-1)</f>
        <v>-20336</v>
      </c>
      <c r="O298" s="3">
        <f>((O180-N180)*-1)+((O179-N179)*-1)</f>
        <v>-103</v>
      </c>
      <c r="P298" s="3">
        <f>((P180-O180)*-1)+((P179-O179)*-1)</f>
        <v>555</v>
      </c>
      <c r="Q298" s="3">
        <f>((Q180-P180)*-1)+((Q179-P179)*-1)</f>
        <v>8</v>
      </c>
      <c r="R298" s="3">
        <f>SUM(N298:Q298)</f>
        <v>-19876</v>
      </c>
      <c r="S298" s="3">
        <f>((S180-R180)*-1)+((S179-R179)*-1)</f>
        <v>440</v>
      </c>
      <c r="T298" s="3">
        <f>((T180-S180)*-1)+((T179-S179)*-1)</f>
        <v>567</v>
      </c>
      <c r="U298" s="3">
        <f>((U180-T180)*-1)+((U179-T179)*-1)</f>
        <v>567</v>
      </c>
      <c r="V298" s="3">
        <f>((V180-U180)*-1)+((V179-U179)*-1)</f>
        <v>-72142</v>
      </c>
      <c r="W298" s="3">
        <f>SUM(S298:V298)</f>
        <v>-70568</v>
      </c>
      <c r="X298" s="3">
        <f>((X180-W180)*-1)+((X179-W179)*-1)</f>
        <v>836</v>
      </c>
      <c r="Y298" s="3">
        <f>((Y180-X180)*-1)+((Y179-X179)*-1)</f>
        <v>1174</v>
      </c>
      <c r="Z298" s="3">
        <f>((Z180-Y180)*-1)+((Z179-Y179)*-1)</f>
        <v>692</v>
      </c>
      <c r="AA298" s="3">
        <f>((AA180-Z180)*-1)+((AA179-Z179)*-1)</f>
        <v>1549</v>
      </c>
      <c r="AB298" s="3">
        <f>SUM(X298:AA298)</f>
        <v>4251</v>
      </c>
      <c r="AC298" s="3">
        <f>((AC180-AB180)*-1)+((AC179-AB179)*-1)</f>
        <v>1279</v>
      </c>
      <c r="AD298" s="3">
        <f>((AD180-AC180)*-1)+((AD179-AC179)*-1)</f>
        <v>1184</v>
      </c>
      <c r="AE298" s="3">
        <f>((AE180-AD180)*-1)+((AE179-AD179)*-1)</f>
        <v>1380</v>
      </c>
      <c r="AF298" s="3">
        <f>((AF180-AE180)*-1)+((AF179-AE179)*-1)</f>
        <v>822</v>
      </c>
      <c r="AG298" s="3">
        <f>SUM(AC298:AF298)</f>
        <v>4665</v>
      </c>
      <c r="AH298" s="3">
        <f>((AH180-AG180)*-1)+((AH179-AG179)*-1)</f>
        <v>925</v>
      </c>
      <c r="AI298" s="3">
        <f>((AI180-AH180)*-1)+((AI179-AH179)*-1)</f>
        <v>726</v>
      </c>
      <c r="AJ298" s="3">
        <f>((AJ180-AI180)*-1)+((AJ179-AI179)*-1)</f>
        <v>18609</v>
      </c>
      <c r="AK298" s="3">
        <f>((AK180-AJ180)*-1)+((AK179-AJ179)*-1)</f>
        <v>0</v>
      </c>
      <c r="AL298" s="3">
        <f>SUM(AH298:AK298)</f>
        <v>20260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1551</v>
      </c>
      <c r="F299" s="3">
        <f>((F189-E189)*-1)+(F240-E240)</f>
        <v>-720</v>
      </c>
      <c r="G299" s="3">
        <f>((G189-F189)*-1)+(G240-F240)</f>
        <v>-1546</v>
      </c>
      <c r="H299" s="3">
        <f>SUM(D299:G299)</f>
        <v>-715</v>
      </c>
      <c r="I299" s="3">
        <f>((I189-H189)*-1)+(I240-H240)</f>
        <v>-1968</v>
      </c>
      <c r="J299" s="3">
        <f>((J189-I189)*-1)+(J240-I240)</f>
        <v>-733</v>
      </c>
      <c r="K299" s="3">
        <f>((K189-J189)*-1)+(K240-J240)</f>
        <v>-7059</v>
      </c>
      <c r="L299" s="3">
        <f>((L189-K189)*-1)+(L240-K240)</f>
        <v>271</v>
      </c>
      <c r="M299" s="3">
        <f>SUM(I299:L299)</f>
        <v>-9489</v>
      </c>
      <c r="N299" s="3">
        <f>((N189-M189)*-1)+(N240-M240)</f>
        <v>268</v>
      </c>
      <c r="O299" s="3">
        <f>((O189-N189)*-1)+(O240-N240)</f>
        <v>23</v>
      </c>
      <c r="P299" s="3">
        <f>((P189-O189)*-1)+(P240-O240)</f>
        <v>-4426</v>
      </c>
      <c r="Q299" s="3">
        <f>((Q189-P189)*-1)+(Q240-P240)</f>
        <v>-50</v>
      </c>
      <c r="R299" s="3">
        <f>SUM(N299:Q299)</f>
        <v>-4185</v>
      </c>
      <c r="S299" s="3">
        <f>((S189-R189)*-1)+(S240-R240)</f>
        <v>-2435</v>
      </c>
      <c r="T299" s="3">
        <f>((T189-S189)*-1)+(T240-S240)</f>
        <v>-2793</v>
      </c>
      <c r="U299" s="3">
        <f>((U189-T189)*-1)+(U240-T240)</f>
        <v>-5174</v>
      </c>
      <c r="V299" s="3">
        <f>((V189-U189)*-1)+(V240-U240)</f>
        <v>3212</v>
      </c>
      <c r="W299" s="3">
        <f>SUM(S299:V299)</f>
        <v>-7190</v>
      </c>
      <c r="X299" s="3">
        <f>((X189-W189)*-1)+(X240-W240)</f>
        <v>-1367</v>
      </c>
      <c r="Y299" s="3">
        <f>((Y189-X189)*-1)+(Y240-X240)</f>
        <v>3893</v>
      </c>
      <c r="Z299" s="3">
        <f>((Z189-Y189)*-1)+(Z240-Y240)</f>
        <v>-1828</v>
      </c>
      <c r="AA299" s="3">
        <f>((AA189-Z189)*-1)+(AA240-Z240)</f>
        <v>5599</v>
      </c>
      <c r="AB299" s="3">
        <f>SUM(X299:AA299)</f>
        <v>6297</v>
      </c>
      <c r="AC299" s="3">
        <f>((AC189-AB189)*-1)+(AC240-AB240)</f>
        <v>1860</v>
      </c>
      <c r="AD299" s="3">
        <f>((AD189-AC189)*-1)+(AD240-AC240)</f>
        <v>5744</v>
      </c>
      <c r="AE299" s="3">
        <f>((AE189-AD189)*-1)+(AE240-AD240)</f>
        <v>13891</v>
      </c>
      <c r="AF299" s="3">
        <f>((AF189-AE189)*-1)+(AF240-AE240)</f>
        <v>-1999</v>
      </c>
      <c r="AG299" s="3">
        <f>SUM(AC299:AF299)</f>
        <v>19496</v>
      </c>
      <c r="AH299" s="3">
        <f>((AH189-AG189)*-1)+(AH240-AG240)</f>
        <v>-9911</v>
      </c>
      <c r="AI299" s="3">
        <f>((AI189-AH189)*-1)+(AI240-AH240)</f>
        <v>1465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-8446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-6658</v>
      </c>
      <c r="F300" s="3">
        <f>SUM(F295,F296,F298,F299,F297)</f>
        <v>-7859</v>
      </c>
      <c r="G300" s="3">
        <f>SUM(G295,G296,G298,G299,G297)</f>
        <v>-9329</v>
      </c>
      <c r="H300" s="3">
        <f>SUM(H295,H296,H298,H299)</f>
        <v>-21996</v>
      </c>
      <c r="I300" s="3">
        <f>SUM(I295,I296,I298,I299,I297)</f>
        <v>-15538</v>
      </c>
      <c r="J300" s="3">
        <f>SUM(J295,J296,J298,J299,J297)</f>
        <v>-8948</v>
      </c>
      <c r="K300" s="3">
        <f>SUM(K295,K296,K298,K299,K297)</f>
        <v>-15553</v>
      </c>
      <c r="L300" s="3">
        <f>SUM(L295,L296,L298,L299,L297)</f>
        <v>-7580</v>
      </c>
      <c r="M300" s="3">
        <f>SUM(M295,M296,M298,M299)</f>
        <v>-45563</v>
      </c>
      <c r="N300" s="3">
        <f>SUM(N295,N296,N298,N299,N297)</f>
        <v>-27487</v>
      </c>
      <c r="O300" s="3">
        <f>SUM(O295,O296,O298,O299,O297)</f>
        <v>-8391</v>
      </c>
      <c r="P300" s="3">
        <f>SUM(P295,P296,P298,P299,P297)</f>
        <v>-9499</v>
      </c>
      <c r="Q300" s="3">
        <f>SUM(Q295,Q296,Q298,Q299,Q297)</f>
        <v>-9685</v>
      </c>
      <c r="R300" s="3">
        <f>SUM(R295,R296,R298,R299)</f>
        <v>-53792</v>
      </c>
      <c r="S300" s="3">
        <f>SUM(S295,S296,S298,S299,S297)</f>
        <v>-11176</v>
      </c>
      <c r="T300" s="3">
        <f>SUM(T295,T296,T298,T299,T297)</f>
        <v>-14076</v>
      </c>
      <c r="U300" s="3">
        <f>SUM(U295,U296,U298,U299,U297)</f>
        <v>-16478</v>
      </c>
      <c r="V300" s="3">
        <f>SUM(V295,V296,V298,V299,V297)</f>
        <v>-85658</v>
      </c>
      <c r="W300" s="3">
        <f>SUM(W295,W296,W298,W299)</f>
        <v>-124614</v>
      </c>
      <c r="X300" s="3">
        <f>SUM(X295,X296,X298,X299,X297)</f>
        <v>-16598</v>
      </c>
      <c r="Y300" s="3">
        <f>SUM(Y295,Y296,Y298,Y299,Y297)</f>
        <v>-17119</v>
      </c>
      <c r="Z300" s="3">
        <f>SUM(Z295,Z296,Z298,Z299,Z297)</f>
        <v>-27358</v>
      </c>
      <c r="AA300" s="3">
        <f>SUM(AA295,AA296,AA298,AA299,AA297)</f>
        <v>-16006</v>
      </c>
      <c r="AB300" s="3">
        <f>SUM(AB295,AB296,AB298,AB299)</f>
        <v>-70663</v>
      </c>
      <c r="AC300" s="3">
        <f>SUM(AC295,AC296,AC298,AC299,AC297)</f>
        <v>-24297</v>
      </c>
      <c r="AD300" s="3">
        <f>SUM(AD295,AD296,AD298,AD299,AD297)</f>
        <v>-25650</v>
      </c>
      <c r="AE300" s="3">
        <f>SUM(AE295,AE296,AE298,AE299,AE297)</f>
        <v>-23653</v>
      </c>
      <c r="AF300" s="3">
        <f>SUM(AF295,AF296,AF298,AF299,AF297)</f>
        <v>-40952</v>
      </c>
      <c r="AG300" s="3">
        <f>SUM(AG295,AG296,AG298,AG299)</f>
        <v>-112265</v>
      </c>
      <c r="AH300" s="3">
        <f>SUM(AH295,AH296,AH298,AH299,AH297)</f>
        <v>-40555</v>
      </c>
      <c r="AI300" s="3">
        <f>SUM(AI295,AI296,AI298,AI299,AI297)</f>
        <v>-38453</v>
      </c>
      <c r="AJ300" s="3">
        <f>SUM(AJ295,AJ296,AJ298,AJ299,AJ297)</f>
        <v>18609</v>
      </c>
      <c r="AK300" s="3">
        <f>SUM(AK295,AK296,AK298,AK299,AK297)</f>
        <v>0</v>
      </c>
      <c r="AL300" s="3">
        <f>SUM(AL295,AL296,AL298,AL299)</f>
        <v>-61325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739</v>
      </c>
      <c r="F303" s="3">
        <f>F254-E254</f>
        <v>537</v>
      </c>
      <c r="G303" s="3">
        <f>G254-F254</f>
        <v>807</v>
      </c>
      <c r="H303" s="3">
        <f>SUM(D303:G303)</f>
        <v>2083</v>
      </c>
      <c r="I303" s="3">
        <f>I254-H254</f>
        <v>412</v>
      </c>
      <c r="J303" s="3">
        <f>J254-I254</f>
        <v>803</v>
      </c>
      <c r="K303" s="3">
        <f>K254-J254</f>
        <v>640</v>
      </c>
      <c r="L303" s="3">
        <f>L254-K254</f>
        <v>777</v>
      </c>
      <c r="M303" s="3">
        <f>SUM(I303:L303)</f>
        <v>2632</v>
      </c>
      <c r="N303" s="3">
        <f>N254-M254</f>
        <v>1239</v>
      </c>
      <c r="O303" s="3">
        <f>O254-N254</f>
        <v>1172</v>
      </c>
      <c r="P303" s="3">
        <f>P254-O254</f>
        <v>1596</v>
      </c>
      <c r="Q303" s="3">
        <f>Q254-P254</f>
        <v>1690</v>
      </c>
      <c r="R303" s="3">
        <f>SUM(N303:Q303)</f>
        <v>5697</v>
      </c>
      <c r="S303" s="3">
        <f>S254-R254</f>
        <v>1868</v>
      </c>
      <c r="T303" s="3">
        <f>T254-S254</f>
        <v>1625</v>
      </c>
      <c r="U303" s="3">
        <f>U254-T254</f>
        <v>1790</v>
      </c>
      <c r="V303" s="3">
        <f>V254-U254</f>
        <v>1972</v>
      </c>
      <c r="W303" s="3">
        <f>SUM(S303:V303)</f>
        <v>7255</v>
      </c>
      <c r="X303" s="3">
        <f>X254-W254</f>
        <v>1713</v>
      </c>
      <c r="Y303" s="3">
        <f>Y254-X254</f>
        <v>1730</v>
      </c>
      <c r="Z303" s="3">
        <f>Z254-Y254</f>
        <v>2053</v>
      </c>
      <c r="AA303" s="3">
        <f>AA254-Z254</f>
        <v>1853</v>
      </c>
      <c r="AB303" s="3">
        <f>SUM(X303:AA303)</f>
        <v>7349</v>
      </c>
      <c r="AC303" s="3">
        <f>AC254-AB254</f>
        <v>2136</v>
      </c>
      <c r="AD303" s="3">
        <f>AD254-AC254</f>
        <v>2130</v>
      </c>
      <c r="AE303" s="3">
        <f>AE254-AD254</f>
        <v>1869</v>
      </c>
      <c r="AF303" s="3">
        <f>AF254-AE254</f>
        <v>1824</v>
      </c>
      <c r="AG303" s="3">
        <f>SUM(AC303:AF303)</f>
        <v>7959</v>
      </c>
      <c r="AH303" s="3">
        <f>AH254-AG254</f>
        <v>2281</v>
      </c>
      <c r="AI303" s="3">
        <f>AI254-AH254</f>
        <v>2337</v>
      </c>
      <c r="AJ303" s="3">
        <f>AJ254-AI254</f>
        <v>0</v>
      </c>
      <c r="AK303" s="3">
        <f>AK254-AJ254</f>
        <v>0</v>
      </c>
      <c r="AL303" s="3">
        <f>SUM(AH303:AK303)</f>
        <v>4618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0</v>
      </c>
      <c r="F304" s="3">
        <f>F267-E267</f>
        <v>0</v>
      </c>
      <c r="G304" s="3">
        <f>G267-F267</f>
        <v>0</v>
      </c>
      <c r="H304" s="3">
        <f>SUM(D304:G304)</f>
        <v>0</v>
      </c>
      <c r="I304" s="3">
        <f>I267-H267</f>
        <v>0</v>
      </c>
      <c r="J304" s="3">
        <f>J267-I267</f>
        <v>0</v>
      </c>
      <c r="K304" s="3">
        <f>K267-J267</f>
        <v>0</v>
      </c>
      <c r="L304" s="3">
        <f>L267-K267</f>
        <v>0</v>
      </c>
      <c r="M304" s="3">
        <f>SUM(I304:L304)</f>
        <v>0</v>
      </c>
      <c r="N304" s="3">
        <f>N267-M267</f>
        <v>0</v>
      </c>
      <c r="O304" s="3">
        <f>O267-N267</f>
        <v>0</v>
      </c>
      <c r="P304" s="3">
        <f>P267-O267</f>
        <v>0</v>
      </c>
      <c r="Q304" s="3">
        <f>Q267-P267</f>
        <v>0</v>
      </c>
      <c r="R304" s="3">
        <f>SUM(N304:Q304)</f>
        <v>0</v>
      </c>
      <c r="S304" s="3">
        <f>S267-R267</f>
        <v>0</v>
      </c>
      <c r="T304" s="3">
        <f>T267-S267</f>
        <v>0</v>
      </c>
      <c r="U304" s="3">
        <f>U267-T267</f>
        <v>0</v>
      </c>
      <c r="V304" s="3">
        <f>V267-U267</f>
        <v>0</v>
      </c>
      <c r="W304" s="3">
        <f>SUM(S304:V304)</f>
        <v>0</v>
      </c>
      <c r="X304" s="3">
        <f>X267-W267</f>
        <v>0</v>
      </c>
      <c r="Y304" s="3">
        <f>Y267-X267</f>
        <v>0</v>
      </c>
      <c r="Z304" s="3">
        <f>Z267-Y267</f>
        <v>0</v>
      </c>
      <c r="AA304" s="3">
        <f>AA267-Z267</f>
        <v>0</v>
      </c>
      <c r="AB304" s="3">
        <f>SUM(X304:AA304)</f>
        <v>0</v>
      </c>
      <c r="AC304" s="3">
        <f>AC267-AB267</f>
        <v>0</v>
      </c>
      <c r="AD304" s="3">
        <f>AD267-AC267</f>
        <v>0</v>
      </c>
      <c r="AE304" s="3">
        <f>AE267-AD267</f>
        <v>0</v>
      </c>
      <c r="AF304" s="3">
        <f>AF267-AE267</f>
        <v>0</v>
      </c>
      <c r="AG304" s="3">
        <f>SUM(AC304:AF304)</f>
        <v>0</v>
      </c>
      <c r="AH304" s="3">
        <f>AH267-AG267</f>
        <v>0</v>
      </c>
      <c r="AI304" s="3">
        <f>AI267-AH267</f>
        <v>0</v>
      </c>
      <c r="AJ304" s="3">
        <f>AJ267-AI267</f>
        <v>0</v>
      </c>
      <c r="AK304" s="3">
        <f>AK267-AJ267</f>
        <v>0</v>
      </c>
      <c r="AL304" s="3">
        <f>SUM(AH304:AK304)</f>
        <v>0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510</v>
      </c>
      <c r="F305" s="3">
        <f>F268-E268</f>
        <v>-76</v>
      </c>
      <c r="G305" s="3">
        <f>G268-F268</f>
        <v>257</v>
      </c>
      <c r="H305" s="3">
        <f>SUM(D305:G305)</f>
        <v>691</v>
      </c>
      <c r="I305" s="3">
        <f>I268-H268</f>
        <v>-1905</v>
      </c>
      <c r="J305" s="3">
        <f>J268-I268</f>
        <v>360</v>
      </c>
      <c r="K305" s="3">
        <f>K268-J268</f>
        <v>-539</v>
      </c>
      <c r="L305" s="3">
        <f>L268-K268</f>
        <v>-846</v>
      </c>
      <c r="M305" s="3">
        <f>SUM(I305:L305)</f>
        <v>-2930</v>
      </c>
      <c r="N305" s="3">
        <f>N268-M268</f>
        <v>-2913</v>
      </c>
      <c r="O305" s="3">
        <f>O268-N268</f>
        <v>-2202</v>
      </c>
      <c r="P305" s="3">
        <f>P268-O268</f>
        <v>-2665</v>
      </c>
      <c r="Q305" s="3">
        <f>Q268-P268</f>
        <v>886</v>
      </c>
      <c r="R305" s="3">
        <f>SUM(N305:Q305)</f>
        <v>-6894</v>
      </c>
      <c r="S305" s="3">
        <f>S268-R268</f>
        <v>813</v>
      </c>
      <c r="T305" s="3">
        <f>T268-S268</f>
        <v>-699</v>
      </c>
      <c r="U305" s="3">
        <f>U268-T268</f>
        <v>-594</v>
      </c>
      <c r="V305" s="3">
        <f>V268-U268</f>
        <v>1988</v>
      </c>
      <c r="W305" s="3">
        <f>SUM(S305:V305)</f>
        <v>1508</v>
      </c>
      <c r="X305" s="3">
        <f>X268-W268</f>
        <v>-486</v>
      </c>
      <c r="Y305" s="3">
        <f>Y268-X268</f>
        <v>-155</v>
      </c>
      <c r="Z305" s="3">
        <f>Z268-Y268</f>
        <v>1408</v>
      </c>
      <c r="AA305" s="3">
        <f>AA268-Z268</f>
        <v>-1434</v>
      </c>
      <c r="AB305" s="3">
        <f>SUM(X305:AA305)</f>
        <v>-667</v>
      </c>
      <c r="AC305" s="3">
        <f>AC268-AB268</f>
        <v>783</v>
      </c>
      <c r="AD305" s="3">
        <f>AD268-AC268</f>
        <v>1486</v>
      </c>
      <c r="AE305" s="3">
        <f>AE268-AD268</f>
        <v>586</v>
      </c>
      <c r="AF305" s="3">
        <f>AF268-AE268</f>
        <v>59</v>
      </c>
      <c r="AG305" s="3">
        <f>SUM(AC305:AF305)</f>
        <v>2914</v>
      </c>
      <c r="AH305" s="3">
        <f>AH268-AG268</f>
        <v>-526</v>
      </c>
      <c r="AI305" s="3">
        <f>AI268-AH268</f>
        <v>-56</v>
      </c>
      <c r="AJ305" s="3">
        <f>AJ268-AI268</f>
        <v>0</v>
      </c>
      <c r="AK305" s="3">
        <f>AK268-AJ268</f>
        <v>0</v>
      </c>
      <c r="AL305" s="3">
        <f>SUM(AH305:AK305)</f>
        <v>-582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-8648</v>
      </c>
      <c r="F307" s="3">
        <f>(F270-E270)-F277</f>
        <v>-9266</v>
      </c>
      <c r="G307" s="3">
        <f>(G270-F270)-G277</f>
        <v>-9683</v>
      </c>
      <c r="H307" s="3">
        <f>SUM(D307:G307)</f>
        <v>-27597</v>
      </c>
      <c r="I307" s="3">
        <f>(I270-H270)-I277</f>
        <v>-9695</v>
      </c>
      <c r="J307" s="3">
        <f>(J270-I270)-J277</f>
        <v>-10138</v>
      </c>
      <c r="K307" s="3">
        <f>(K270-J270)-K277</f>
        <v>-10616</v>
      </c>
      <c r="L307" s="3">
        <f>(L270-K270)-L277</f>
        <v>-10664</v>
      </c>
      <c r="M307" s="3">
        <f>SUM(I307:L307)</f>
        <v>-41113</v>
      </c>
      <c r="N307" s="3">
        <f>(N270-M270)-N277</f>
        <v>-12140</v>
      </c>
      <c r="O307" s="3">
        <f>(O270-N270)-O277</f>
        <v>-12092</v>
      </c>
      <c r="P307" s="3">
        <f>(P270-O270)-P277</f>
        <v>-9463</v>
      </c>
      <c r="Q307" s="3">
        <f>(Q270-P270)-Q277</f>
        <v>-9431</v>
      </c>
      <c r="R307" s="3">
        <f>SUM(N307:Q307)</f>
        <v>-43126</v>
      </c>
      <c r="S307" s="3">
        <f>(S270-R270)-S277</f>
        <v>-9433</v>
      </c>
      <c r="T307" s="3">
        <f>(T270-S270)-T277</f>
        <v>-9467</v>
      </c>
      <c r="U307" s="3">
        <f>(U270-T270)-U277</f>
        <v>-8996</v>
      </c>
      <c r="V307" s="3">
        <f>(V270-U270)-V277</f>
        <v>-8276</v>
      </c>
      <c r="W307" s="3">
        <f>SUM(S307:V307)</f>
        <v>-36172</v>
      </c>
      <c r="X307" s="3">
        <f>(X270-W270)-X277</f>
        <v>-8282</v>
      </c>
      <c r="Y307" s="3">
        <f>(Y270-X270)-Y277</f>
        <v>-8286</v>
      </c>
      <c r="Z307" s="3">
        <f>(Z270-Y270)-Z277</f>
        <v>-8882</v>
      </c>
      <c r="AA307" s="3">
        <f>(AA270-Z270)-AA277</f>
        <v>-9555</v>
      </c>
      <c r="AB307" s="3">
        <f>SUM(X307:AA307)</f>
        <v>-35005</v>
      </c>
      <c r="AC307" s="3">
        <f>(AC270-AB270)-AC277</f>
        <v>-9547</v>
      </c>
      <c r="AD307" s="3">
        <f>(AD270-AC270)-AD277</f>
        <v>-9261</v>
      </c>
      <c r="AE307" s="3">
        <f>(AE270-AD270)-AE277</f>
        <v>-10605</v>
      </c>
      <c r="AF307" s="3">
        <f>(AF270-AE270)-AF277</f>
        <v>-12542</v>
      </c>
      <c r="AG307" s="3">
        <f>SUM(AC307:AF307)</f>
        <v>-41955</v>
      </c>
      <c r="AH307" s="3">
        <f>(AH270-AG270)-AH277</f>
        <v>-10041</v>
      </c>
      <c r="AI307" s="3">
        <f>(AI270-AH270)-AI277</f>
        <v>-10027</v>
      </c>
      <c r="AJ307" s="3">
        <f>(AJ270-AI270)-AJ277</f>
        <v>0</v>
      </c>
      <c r="AK307" s="3">
        <f>(AK270-AJ270)-AK277</f>
        <v>0</v>
      </c>
      <c r="AL307" s="3">
        <f>SUM(AH307:AK307)</f>
        <v>-20068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0</v>
      </c>
      <c r="F308" s="3">
        <f>(F248-E248)+F136</f>
        <v>0</v>
      </c>
      <c r="G308" s="3">
        <f>(G248-F248)+G136</f>
        <v>0</v>
      </c>
      <c r="H308" s="3">
        <f>SUM(D308:G308)</f>
        <v>0</v>
      </c>
      <c r="I308" s="3">
        <f>(I248-H248)+I136</f>
        <v>0</v>
      </c>
      <c r="J308" s="3">
        <f>(J248-I248)+J136</f>
        <v>0</v>
      </c>
      <c r="K308" s="3">
        <f>(K248-J248)+K136</f>
        <v>0</v>
      </c>
      <c r="L308" s="3">
        <f>(L248-K248)+L136</f>
        <v>0</v>
      </c>
      <c r="M308" s="3">
        <f>SUM(I308:L308)</f>
        <v>0</v>
      </c>
      <c r="N308" s="3">
        <f>(N248-M248)+N136</f>
        <v>0</v>
      </c>
      <c r="O308" s="3">
        <f>(O248-N248)+O136</f>
        <v>0</v>
      </c>
      <c r="P308" s="3">
        <f>(P248-O248)+P136</f>
        <v>0</v>
      </c>
      <c r="Q308" s="3">
        <f>(Q248-P248)+Q136</f>
        <v>0</v>
      </c>
      <c r="R308" s="3">
        <f>SUM(N308:Q308)</f>
        <v>0</v>
      </c>
      <c r="S308" s="3">
        <f>(S248-R248)+S136</f>
        <v>0</v>
      </c>
      <c r="T308" s="3">
        <f>(T248-S248)+T136</f>
        <v>0</v>
      </c>
      <c r="U308" s="3">
        <f>(U248-T248)+U136</f>
        <v>0</v>
      </c>
      <c r="V308" s="3">
        <f>(V248-U248)+V136</f>
        <v>0</v>
      </c>
      <c r="W308" s="3">
        <f>SUM(S308:V308)</f>
        <v>0</v>
      </c>
      <c r="X308" s="3">
        <f>(X248-W248)+X136</f>
        <v>0</v>
      </c>
      <c r="Y308" s="3">
        <f>(Y248-X248)+Y136</f>
        <v>0</v>
      </c>
      <c r="Z308" s="3">
        <f>(Z248-Y248)+Z136</f>
        <v>0</v>
      </c>
      <c r="AA308" s="3">
        <f>(AA248-Z248)+AA136</f>
        <v>0</v>
      </c>
      <c r="AB308" s="3">
        <f>SUM(X308:AA308)</f>
        <v>0</v>
      </c>
      <c r="AC308" s="3">
        <f>(AC248-AB248)+AC136</f>
        <v>0</v>
      </c>
      <c r="AD308" s="3">
        <f>(AD248-AC248)+AD136</f>
        <v>0</v>
      </c>
      <c r="AE308" s="3">
        <f>(AE248-AD248)+AE136</f>
        <v>0</v>
      </c>
      <c r="AF308" s="3">
        <f>(AF248-AE248)+AF136</f>
        <v>0</v>
      </c>
      <c r="AG308" s="3">
        <f>SUM(AC308:AF308)</f>
        <v>0</v>
      </c>
      <c r="AH308" s="3">
        <f>(AH248-AG248)+AH136</f>
        <v>0</v>
      </c>
      <c r="AI308" s="3">
        <f>(AI248-AH248)+AI136</f>
        <v>0</v>
      </c>
      <c r="AJ308" s="3">
        <f>(AJ248-AI248)+AJ136</f>
        <v>0</v>
      </c>
      <c r="AK308" s="3">
        <f>(AK248-AJ248)+AK136</f>
        <v>0</v>
      </c>
      <c r="AL308" s="3">
        <f>SUM(AH308:AK308)</f>
        <v>0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0</v>
      </c>
      <c r="BS308" s="3">
        <f>(BS248-BR248)+BS136</f>
        <v>0</v>
      </c>
      <c r="BT308" s="3">
        <f>(BT248-BS248)+BT136</f>
        <v>0</v>
      </c>
      <c r="BU308" s="3">
        <f>SUM(BQ308:BT308)</f>
        <v>0</v>
      </c>
      <c r="BV308" s="3">
        <f>(BV248-BU248)+BV136</f>
        <v>0</v>
      </c>
      <c r="BW308" s="3">
        <f>(BW248-BV248)+BW136</f>
        <v>0</v>
      </c>
      <c r="BX308" s="3">
        <f>(BX248-BW248)+BX136</f>
        <v>0</v>
      </c>
      <c r="BY308" s="3">
        <f>(BY248-BX248)+BY136</f>
        <v>0</v>
      </c>
      <c r="BZ308" s="3">
        <f>SUM(BV308:BY308)</f>
        <v>0</v>
      </c>
      <c r="CA308" s="3">
        <f>(CA248-BZ248)+CA136</f>
        <v>0</v>
      </c>
      <c r="CB308" s="3">
        <f>(CB248-CA248)+CB136</f>
        <v>0</v>
      </c>
      <c r="CC308" s="3">
        <f>(CC248-CB248)+CC136</f>
        <v>0</v>
      </c>
      <c r="CD308" s="3">
        <f>(CD248-CC248)+CD136</f>
        <v>0</v>
      </c>
      <c r="CE308" s="3">
        <f>SUM(CA308:CD308)</f>
        <v>0</v>
      </c>
      <c r="CF308" s="3">
        <f>(CF248-CE248)+CF136</f>
        <v>0</v>
      </c>
      <c r="CG308" s="3">
        <f>(CG248-CF248)+CG136</f>
        <v>0</v>
      </c>
      <c r="CH308" s="3">
        <f>(CH248-CG248)+CH136</f>
        <v>0</v>
      </c>
      <c r="CI308" s="3">
        <f>(CI248-CH248)+CI136</f>
        <v>0</v>
      </c>
      <c r="CJ308" s="3">
        <f>SUM(CF308:CI308)</f>
        <v>0</v>
      </c>
      <c r="CK308" s="3">
        <f>(CK248-CJ248)+CK136</f>
        <v>0</v>
      </c>
      <c r="CL308" s="3">
        <f>(CL248-CK248)+CL136</f>
        <v>0</v>
      </c>
      <c r="CM308" s="3">
        <f>(CM248-CL248)+CM136</f>
        <v>0</v>
      </c>
      <c r="CN308" s="3">
        <f>(CN248-CM248)+CN136</f>
        <v>0</v>
      </c>
      <c r="CO308" s="3">
        <f>SUM(CK308:CN308)</f>
        <v>0</v>
      </c>
      <c r="CP308" s="3">
        <f>(CP248-CO248)+CP136</f>
        <v>0</v>
      </c>
      <c r="CQ308" s="3">
        <f>(CQ248-CP248)+CQ136</f>
        <v>0</v>
      </c>
      <c r="CR308" s="3">
        <f>(CR248-CQ248)+CR136</f>
        <v>0</v>
      </c>
      <c r="CS308" s="3">
        <f>(CS248-CR248)+CS136</f>
        <v>0</v>
      </c>
      <c r="CT308" s="3">
        <f>SUM(CP308:CS308)</f>
        <v>0</v>
      </c>
      <c r="CU308" s="3">
        <f>(CU248-CT248)+CU136</f>
        <v>0</v>
      </c>
      <c r="CV308" s="3">
        <f>(CV248-CU248)+CV136</f>
        <v>0</v>
      </c>
      <c r="CW308" s="3">
        <f>(CW248-CV248)+CW136</f>
        <v>0</v>
      </c>
      <c r="CX308" s="3">
        <f>(CX248-CW248)+CX136</f>
        <v>0</v>
      </c>
      <c r="CY308" s="3">
        <f>SUM(CU308:CX308)</f>
        <v>0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-2860</v>
      </c>
      <c r="F309" s="3">
        <f>SUM(F212:F214,F217,F238,F235)-SUM(E212:E214,E217,E238,E235)</f>
        <v>307</v>
      </c>
      <c r="G309" s="3">
        <f>SUM(G212:G214,G217,G238,G235)-SUM(F212:F214,F217,F238,F235)</f>
        <v>-1907</v>
      </c>
      <c r="H309" s="3">
        <f>SUM(D309:G309)</f>
        <v>-4460</v>
      </c>
      <c r="I309" s="3">
        <f>SUM(I212:I214,I217,I238,I235)-SUM(H212:H214,H217,H238,H235)</f>
        <v>-2068</v>
      </c>
      <c r="J309" s="3">
        <f>SUM(J212:J214,J217,J238,J235)-SUM(I212:I214,I217,I238,I235)</f>
        <v>445</v>
      </c>
      <c r="K309" s="3">
        <f>SUM(K212:K214,K217,K238,K235)-SUM(J212:J214,J217,J238,J235)</f>
        <v>-4437</v>
      </c>
      <c r="L309" s="3">
        <f>SUM(L212:L214,L217,L238,L235)-SUM(K212:K214,K217,K238,K235)</f>
        <v>694</v>
      </c>
      <c r="M309" s="3">
        <f>SUM(I309:L309)</f>
        <v>-5366</v>
      </c>
      <c r="N309" s="3">
        <f>SUM(N212:N214,N217,N238,N235)-SUM(M212:M214,M217,M238,M235)</f>
        <v>-2749</v>
      </c>
      <c r="O309" s="3">
        <f>SUM(O212:O214,O217,O238,O235)-SUM(N212:N214,N217,N238,N235)</f>
        <v>-13</v>
      </c>
      <c r="P309" s="3">
        <f>SUM(P212:P214,P217,P238,P235)-SUM(O212:O214,O217,O238,O235)</f>
        <v>-988</v>
      </c>
      <c r="Q309" s="3">
        <f>SUM(Q212:Q214,Q217,Q238,Q235)-SUM(P212:P214,P217,P238,P235)</f>
        <v>-168</v>
      </c>
      <c r="R309" s="3">
        <f>SUM(N309:Q309)</f>
        <v>-3918</v>
      </c>
      <c r="S309" s="3">
        <f>SUM(S212:S214,S217,S238,S235)-SUM(R212:R214,R217,R238,R235)</f>
        <v>408</v>
      </c>
      <c r="T309" s="3">
        <f>SUM(T212:T214,T217,T238,T235)-SUM(S212:S214,S217,S238,S235)</f>
        <v>-557</v>
      </c>
      <c r="U309" s="3">
        <f>SUM(U212:U214,U217,U238,U235)-SUM(T212:T214,T217,T238,T235)</f>
        <v>25024</v>
      </c>
      <c r="V309" s="3">
        <f>SUM(V212:V214,V217,V238,V235)-SUM(U212:U214,U217,U238,U235)</f>
        <v>3385</v>
      </c>
      <c r="W309" s="3">
        <f>SUM(S309:V309)</f>
        <v>28260</v>
      </c>
      <c r="X309" s="3">
        <f>SUM(X212:X214,X217,X238,X235)-SUM(W212:W214,W217,W238,W235)</f>
        <v>-8463</v>
      </c>
      <c r="Y309" s="3">
        <f>SUM(Y212:Y214,Y217,Y238,Y235)-SUM(X212:X214,X217,X238,X235)</f>
        <v>-12784</v>
      </c>
      <c r="Z309" s="3">
        <f>SUM(Z212:Z214,Z217,Z238,Z235)-SUM(Y212:Y214,Y217,Y238,Y235)</f>
        <v>-5649</v>
      </c>
      <c r="AA309" s="3">
        <f>SUM(AA212:AA214,AA217,AA238,AA235)-SUM(Z212:Z214,Z217,Z238,Z235)</f>
        <v>746</v>
      </c>
      <c r="AB309" s="3">
        <f>SUM(X309:AA309)</f>
        <v>-26150</v>
      </c>
      <c r="AC309" s="3">
        <f>SUM(AC212:AC214,AC217,AC238,AC235)-SUM(AB212:AB214,AB217,AB238,AB235)</f>
        <v>-1657</v>
      </c>
      <c r="AD309" s="3">
        <f>SUM(AD212:AD214,AD217,AD238,AD235)-SUM(AC212:AC214,AC217,AC238,AC235)</f>
        <v>21</v>
      </c>
      <c r="AE309" s="3">
        <f>SUM(AE212:AE214,AE217,AE238,AE235)-SUM(AD212:AD214,AD217,AD238,AD235)</f>
        <v>-32</v>
      </c>
      <c r="AF309" s="3">
        <f>SUM(AF212:AF214,AF217,AF238,AF235)-SUM(AE212:AE214,AE217,AE238,AE235)</f>
        <v>-2949</v>
      </c>
      <c r="AG309" s="3">
        <f>SUM(AC309:AF309)</f>
        <v>-4617</v>
      </c>
      <c r="AH309" s="3">
        <f>SUM(AH212:AH214,AH217,AH238,AH235)-SUM(AG212:AG214,AG217,AG238,AG235)</f>
        <v>-642</v>
      </c>
      <c r="AI309" s="3">
        <f>SUM(AI212:AI214,AI217,AI238,AI235)-SUM(AH212:AH214,AH217,AH238,AH235)</f>
        <v>-139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-781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-10259</v>
      </c>
      <c r="F310" s="3">
        <f>SUM(F302,F303,F304,F305,F306,F307,F308,F309)</f>
        <v>-8498</v>
      </c>
      <c r="G310" s="3">
        <f>SUM(G302,G303,G304,G305,G306,G307,G308,G309)</f>
        <v>-10526</v>
      </c>
      <c r="H310" s="3">
        <f>SUM(H302,H303,H304,H305,H306,H307,H308,H309)</f>
        <v>-29283</v>
      </c>
      <c r="I310" s="3">
        <f>SUM(I302,I303,I304,I305,I306,I307,I308,I309)</f>
        <v>-13256</v>
      </c>
      <c r="J310" s="3">
        <f>SUM(J302,J303,J304,J305,J306,J307,J308,J309)</f>
        <v>-8530</v>
      </c>
      <c r="K310" s="3">
        <f>SUM(K302,K303,K304,K305,K306,K307,K308,K309)</f>
        <v>-14952</v>
      </c>
      <c r="L310" s="3">
        <f>SUM(L302,L303,L304,L305,L306,L307,L308,L309)</f>
        <v>-10039</v>
      </c>
      <c r="M310" s="3">
        <f>SUM(M302,M303,M304,M305,M306,M307,M308,M309)</f>
        <v>-46777</v>
      </c>
      <c r="N310" s="3">
        <f>SUM(N302,N303,N304,N305,N306,N307,N308,N309)</f>
        <v>-16563</v>
      </c>
      <c r="O310" s="3">
        <f>SUM(O302,O303,O304,O305,O306,O307,O308,O309)</f>
        <v>-13135</v>
      </c>
      <c r="P310" s="3">
        <f>SUM(P302,P303,P304,P305,P306,P307,P308,P309)</f>
        <v>-11520</v>
      </c>
      <c r="Q310" s="3">
        <f>SUM(Q302,Q303,Q304,Q305,Q306,Q307,Q308,Q309)</f>
        <v>-7023</v>
      </c>
      <c r="R310" s="3">
        <f>SUM(R302,R303,R304,R305,R306,R307,R308,R309)</f>
        <v>-48241</v>
      </c>
      <c r="S310" s="3">
        <f>SUM(S302,S303,S304,S305,S306,S307,S308,S309)</f>
        <v>-6344</v>
      </c>
      <c r="T310" s="3">
        <f>SUM(T302,T303,T304,T305,T306,T307,T308,T309)</f>
        <v>-9098</v>
      </c>
      <c r="U310" s="3">
        <f>SUM(U302,U303,U304,U305,U306,U307,U308,U309)</f>
        <v>17224</v>
      </c>
      <c r="V310" s="3">
        <f>SUM(V302,V303,V304,V305,V306,V307,V308,V309)</f>
        <v>-931</v>
      </c>
      <c r="W310" s="3">
        <f>SUM(W302,W303,W304,W305,W306,W307,W308,W309)</f>
        <v>851</v>
      </c>
      <c r="X310" s="3">
        <f>SUM(X302,X303,X304,X305,X306,X307,X308,X309)</f>
        <v>-15518</v>
      </c>
      <c r="Y310" s="3">
        <f>SUM(Y302,Y303,Y304,Y305,Y306,Y307,Y308,Y309)</f>
        <v>-19495</v>
      </c>
      <c r="Z310" s="3">
        <f>SUM(Z302,Z303,Z304,Z305,Z306,Z307,Z308,Z309)</f>
        <v>-11070</v>
      </c>
      <c r="AA310" s="3">
        <f>SUM(AA302,AA303,AA304,AA305,AA306,AA307,AA308,AA309)</f>
        <v>-8390</v>
      </c>
      <c r="AB310" s="3">
        <f>SUM(AB302,AB303,AB304,AB305,AB306,AB307,AB308,AB309)</f>
        <v>-54473</v>
      </c>
      <c r="AC310" s="3">
        <f>SUM(AC302,AC303,AC304,AC305,AC306,AC307,AC308,AC309)</f>
        <v>-8285</v>
      </c>
      <c r="AD310" s="3">
        <f>SUM(AD302,AD303,AD304,AD305,AD306,AD307,AD308,AD309)</f>
        <v>-5624</v>
      </c>
      <c r="AE310" s="3">
        <f>SUM(AE302,AE303,AE304,AE305,AE306,AE307,AE308,AE309)</f>
        <v>-8182</v>
      </c>
      <c r="AF310" s="3">
        <f>SUM(AF302,AF303,AF304,AF305,AF306,AF307,AF308,AF309)</f>
        <v>-13608</v>
      </c>
      <c r="AG310" s="3">
        <f>SUM(AG302,AG303,AG304,AG305,AG306,AG307,AG308,AG309)</f>
        <v>-35699</v>
      </c>
      <c r="AH310" s="3">
        <f>SUM(AH302,AH303,AH304,AH305,AH306,AH307,AH308,AH309)</f>
        <v>-8928</v>
      </c>
      <c r="AI310" s="3">
        <f>SUM(AI302,AI303,AI304,AI305,AI306,AI307,AI308,AI309)</f>
        <v>-7885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-16813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0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0</v>
      </c>
      <c r="BV310" s="3">
        <f>SUM(BV302,BV303,BV304,BV305,BV306,BV307,BV308,BV309)</f>
        <v>0</v>
      </c>
      <c r="BW310" s="3">
        <f>SUM(BW302,BW303,BW304,BW305,BW306,BW307,BW308,BW309)</f>
        <v>0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0</v>
      </c>
      <c r="CA310" s="3">
        <f>SUM(CA302,CA303,CA304,CA305,CA306,CA307,CA308,CA309)</f>
        <v>0</v>
      </c>
      <c r="CB310" s="3">
        <f>SUM(CB302,CB303,CB304,CB305,CB306,CB307,CB308,CB309)</f>
        <v>0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0</v>
      </c>
      <c r="CF310" s="3">
        <f>SUM(CF302,CF303,CF304,CF305,CF306,CF307,CF308,CF309)</f>
        <v>0</v>
      </c>
      <c r="CG310" s="3">
        <f>SUM(CG302,CG303,CG304,CG305,CG306,CG307,CG308,CG309)</f>
        <v>0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0</v>
      </c>
      <c r="CK310" s="3">
        <f>SUM(CK302,CK303,CK304,CK305,CK306,CK307,CK308,CK309)</f>
        <v>0</v>
      </c>
      <c r="CL310" s="3">
        <f>SUM(CL302,CL303,CL304,CL305,CL306,CL307,CL308,CL309)</f>
        <v>0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0</v>
      </c>
      <c r="CP310" s="3">
        <f>SUM(CP302,CP303,CP304,CP305,CP306,CP307,CP308,CP309)</f>
        <v>0</v>
      </c>
      <c r="CQ310" s="3">
        <f>SUM(CQ302,CQ303,CQ304,CQ305,CQ306,CQ307,CQ308,CQ309)</f>
        <v>0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0</v>
      </c>
      <c r="CU310" s="3">
        <f>SUM(CU302,CU303,CU304,CU305,CU306,CU307,CU308,CU309)</f>
        <v>0</v>
      </c>
      <c r="CV310" s="3">
        <f>SUM(CV302,CV303,CV304,CV305,CV306,CV307,CV308,CV309)</f>
        <v>0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0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-1099</v>
      </c>
      <c r="F314" s="3">
        <f>SUM(F293,F300,F310,F312)</f>
        <v>1450</v>
      </c>
      <c r="G314" s="3">
        <f>SUM(G293,G300,G310,G312)</f>
        <v>-6009</v>
      </c>
      <c r="H314" s="3">
        <f>SUM(D314:G314)</f>
        <v>-5658</v>
      </c>
      <c r="I314" s="3">
        <f>SUM(I293,I300,I310,I312)</f>
        <v>-6561</v>
      </c>
      <c r="J314" s="3">
        <f>SUM(J293,J300,J310,J312)</f>
        <v>4927</v>
      </c>
      <c r="K314" s="3">
        <f>SUM(K293,K300,K310,K312)</f>
        <v>281</v>
      </c>
      <c r="L314" s="3">
        <f>SUM(L293,L300,L310,L312)</f>
        <v>-5246</v>
      </c>
      <c r="M314" s="3">
        <f>SUM(I314:L314)</f>
        <v>-6599</v>
      </c>
      <c r="N314" s="3">
        <f>SUM(N293,N300,N310,N312)</f>
        <v>-20676</v>
      </c>
      <c r="O314" s="3">
        <f>SUM(O293,O300,O310,O312)</f>
        <v>64</v>
      </c>
      <c r="P314" s="3">
        <f>SUM(P293,P300,P310,P312)</f>
        <v>2505</v>
      </c>
      <c r="Q314" s="3">
        <f>SUM(Q293,Q300,Q310,Q312)</f>
        <v>-7754</v>
      </c>
      <c r="R314" s="3">
        <f>SUM(N314:Q314)</f>
        <v>-25861</v>
      </c>
      <c r="S314" s="3">
        <f>SUM(S293,S300,S310,S312)</f>
        <v>4919</v>
      </c>
      <c r="T314" s="3">
        <f>SUM(T293,T300,T310,T312)</f>
        <v>6835</v>
      </c>
      <c r="U314" s="3">
        <f>SUM(U293,U300,U310,U312)</f>
        <v>32689</v>
      </c>
      <c r="V314" s="3">
        <f>SUM(V293,V300,V310,V312)</f>
        <v>-62934</v>
      </c>
      <c r="W314" s="3">
        <f>SUM(S314:V314)</f>
        <v>-18491</v>
      </c>
      <c r="X314" s="3">
        <f>SUM(X293,X300,X310,X312)</f>
        <v>-996</v>
      </c>
      <c r="Y314" s="3">
        <f>SUM(Y293,Y300,Y310,Y312)</f>
        <v>-4478</v>
      </c>
      <c r="Z314" s="3">
        <f>SUM(Z293,Z300,Z310,Z312)</f>
        <v>2885</v>
      </c>
      <c r="AA314" s="3">
        <f>SUM(AA293,AA300,AA310,AA312)</f>
        <v>-6873</v>
      </c>
      <c r="AB314" s="3">
        <f>SUM(X314:AA314)</f>
        <v>-9462</v>
      </c>
      <c r="AC314" s="3">
        <f>SUM(AC293,AC300,AC310,AC312)</f>
        <v>8063</v>
      </c>
      <c r="AD314" s="3">
        <f>SUM(AD293,AD300,AD310,AD312)</f>
        <v>14947</v>
      </c>
      <c r="AE314" s="3">
        <f>SUM(AE293,AE300,AE310,AE312)</f>
        <v>7447</v>
      </c>
      <c r="AF314" s="3">
        <f>SUM(AF293,AF300,AF310,AF312)</f>
        <v>-12550</v>
      </c>
      <c r="AG314" s="3">
        <f>SUM(AC314:AF314)</f>
        <v>17907</v>
      </c>
      <c r="AH314" s="3">
        <f>SUM(AH293,AH300,AH310,AH312)</f>
        <v>-11190</v>
      </c>
      <c r="AI314" s="3">
        <f>SUM(AI293,AI300,AI310,AI312)</f>
        <v>-1429</v>
      </c>
      <c r="AJ314" s="3">
        <f>SUM(AJ293,AJ300,AJ310,AJ312)</f>
        <v>42707</v>
      </c>
      <c r="AK314" s="3">
        <f>SUM(AK293,AK300,AK310,AK312)</f>
        <v>4283</v>
      </c>
      <c r="AL314" s="3">
        <f>SUM(AH314:AK314)</f>
        <v>34371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0</v>
      </c>
      <c r="F315" s="51">
        <f>(F314)-(F144-E144)</f>
        <v>0</v>
      </c>
      <c r="G315" s="51">
        <f>(G314)-(G144-F144)</f>
        <v>0</v>
      </c>
      <c r="I315" s="51">
        <f>(I314)-(I144-H144)</f>
        <v>0</v>
      </c>
      <c r="J315" s="51">
        <f>(J314)-(J144-I144)</f>
        <v>0</v>
      </c>
      <c r="K315" s="51">
        <f>(K314)-(K144-J144)</f>
        <v>0</v>
      </c>
      <c r="L315" s="51">
        <f>(L314)-(L144-K144)</f>
        <v>0</v>
      </c>
      <c r="N315" s="51">
        <f>(N314)-(N144-M144)</f>
        <v>0</v>
      </c>
      <c r="O315" s="51">
        <f>(O314)-(O144-N144)</f>
        <v>0</v>
      </c>
      <c r="P315" s="51">
        <f>(P314)-(P144-O144)</f>
        <v>0</v>
      </c>
      <c r="Q315" s="51">
        <f>(Q314)-(Q144-P144)</f>
        <v>0</v>
      </c>
      <c r="S315" s="51">
        <f>(S314)-(S144-R144)</f>
        <v>0</v>
      </c>
      <c r="T315" s="51">
        <f>(T314)-(T144-S144)</f>
        <v>0</v>
      </c>
      <c r="U315" s="51">
        <f>(U314)-(U144-T144)</f>
        <v>0</v>
      </c>
      <c r="V315" s="51">
        <f>(V314)-(V144-U144)</f>
        <v>0</v>
      </c>
      <c r="X315" s="51">
        <f>(X314)-(X144-W144)</f>
        <v>0</v>
      </c>
      <c r="Y315" s="51">
        <f>(Y314)-(Y144-X144)</f>
        <v>0</v>
      </c>
      <c r="Z315" s="51">
        <f>(Z314)-(Z144-Y144)</f>
        <v>0</v>
      </c>
      <c r="AA315" s="51">
        <f>(AA314)-(AA144-Z144)</f>
        <v>0</v>
      </c>
      <c r="AC315" s="51">
        <f>(AC314)-(AC144-AB144)</f>
        <v>0</v>
      </c>
      <c r="AD315" s="51">
        <f>(AD314)-(AD144-AC144)</f>
        <v>0</v>
      </c>
      <c r="AE315" s="51">
        <f>(AE314)-(AE144-AD144)</f>
        <v>0</v>
      </c>
      <c r="AF315" s="51">
        <f>(AF314)-(AF144-AE144)</f>
        <v>0</v>
      </c>
      <c r="AH315" s="51">
        <f>(AH314)-(AH144-AG144)</f>
        <v>0</v>
      </c>
      <c r="AI315" s="51">
        <f>(AI314)-(AI144-AH144)</f>
        <v>0</v>
      </c>
      <c r="AJ315" s="51">
        <f>(AJ314)-(AJ144-AI144)</f>
        <v>0</v>
      </c>
      <c r="AK315" s="51">
        <f>(AK314)-(AK144-AJ144)</f>
        <v>0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0.0860055395334227</v>
      </c>
      <c r="F321" s="236">
        <f>F15/E15-1</f>
        <v>-0.0231115084268925</v>
      </c>
      <c r="G321" s="236">
        <f>G15/F15-1</f>
        <v>0.159390644345158</v>
      </c>
      <c r="H321" s="236" t="n"/>
      <c r="I321" s="220">
        <f>I15/H15-1</f>
        <v>-0.727916808016492</v>
      </c>
      <c r="J321" s="220">
        <f>J15/I15-1</f>
        <v>0.106603366422098</v>
      </c>
      <c r="K321" s="220">
        <f>K15/J15-1</f>
        <v>-0.0180923903622812</v>
      </c>
      <c r="L321" s="220">
        <f>L15/K15-1</f>
        <v>0.141470088487764</v>
      </c>
      <c r="M321" s="236" t="n"/>
      <c r="N321" s="220">
        <f>N15/M15-1</f>
        <v>-0.733049220402049</v>
      </c>
      <c r="O321" s="220">
        <f>O15/N15-1</f>
        <v>0.0507495948136143</v>
      </c>
      <c r="P321" s="220">
        <f>P15/O15-1</f>
        <v>-0.0336064783572737</v>
      </c>
      <c r="Q321" s="220">
        <f>Q15/P15-1</f>
        <v>0.0523722118032002</v>
      </c>
      <c r="R321" s="236" t="n"/>
      <c r="S321" s="220">
        <f>S15/R15-1</f>
        <v>-0.741016394406499</v>
      </c>
      <c r="T321" s="220">
        <f>T15/S15-1</f>
        <v>0.0630380082108331</v>
      </c>
      <c r="U321" s="220">
        <f>U15/T15-1</f>
        <v>0.00583744149210697</v>
      </c>
      <c r="V321" s="220">
        <f>V15/U15-1</f>
        <v>0.0973689332413257</v>
      </c>
      <c r="W321" s="236" t="n"/>
      <c r="X321" s="220">
        <f>X15/W15-1</f>
        <v>-0.728195867002368</v>
      </c>
      <c r="Y321" s="220">
        <f>Y15/X15-1</f>
        <v>0.046380419670859</v>
      </c>
      <c r="Z321" s="220">
        <f>Z15/Y15-1</f>
        <v>0.0132556738300864</v>
      </c>
      <c r="AA321" s="220">
        <f>AA15/Z15-1</f>
        <v>0.0617061828161927</v>
      </c>
      <c r="AB321" s="236" t="n"/>
      <c r="AC321" s="220">
        <f>AC15/AB15-1</f>
        <v>-0.732370264551073</v>
      </c>
      <c r="AD321" s="220">
        <f>AD15/AC15-1</f>
        <v>0.0909856421088688</v>
      </c>
      <c r="AE321" s="220">
        <f>AE15/AD15-1</f>
        <v>0.0161170052720399</v>
      </c>
      <c r="AF321" s="220">
        <f>AF15/AE15-1</f>
        <v>0.0463481518674442</v>
      </c>
      <c r="AG321" s="236" t="n"/>
      <c r="AH321" s="220">
        <f>AH15/AG15-1</f>
        <v>-0.728645650885734</v>
      </c>
      <c r="AI321" s="220">
        <f>AI15/AH15-1</f>
        <v>0.0859131819607655</v>
      </c>
      <c r="AJ321" s="220">
        <f>AJ15/AI15-1</f>
        <v>-0.137033786261069</v>
      </c>
      <c r="AK321" s="220">
        <f>AK15/AJ15-1</f>
        <v>0.0463481518674442</v>
      </c>
      <c r="AL321" s="236" t="n"/>
      <c r="AM321" s="220">
        <f>AM15/AL15-1</f>
        <v>-0.750222246330299</v>
      </c>
      <c r="AN321" s="220">
        <f>AN15/AM15-1</f>
        <v>0.0859131819607655</v>
      </c>
      <c r="AO321" s="220">
        <f>AO15/AN15-1</f>
        <v>-0.137033786261069</v>
      </c>
      <c r="AP321" s="220">
        <f>AP15/AO15-1</f>
        <v>0.0463481518674442</v>
      </c>
      <c r="AQ321" s="236" t="n"/>
      <c r="AR321" s="220">
        <f>AR15/AQ15-1</f>
        <v>-0.750222246330299</v>
      </c>
      <c r="AS321" s="220">
        <f>AS15/AR15-1</f>
        <v>0.0859131819607655</v>
      </c>
      <c r="AT321" s="220">
        <f>AT15/AS15-1</f>
        <v>-0.137033786261069</v>
      </c>
      <c r="AU321" s="220">
        <f>AU15/AT15-1</f>
        <v>0.0463481518674442</v>
      </c>
      <c r="AV321" s="236" t="n"/>
      <c r="AW321" s="220">
        <f>AW15/AV15-1</f>
        <v>-0.750222246330299</v>
      </c>
      <c r="AX321" s="220">
        <f>AX15/AW15-1</f>
        <v>0.0859131819607655</v>
      </c>
      <c r="AY321" s="220">
        <f>AY15/AX15-1</f>
        <v>-0.137033786261069</v>
      </c>
      <c r="AZ321" s="220">
        <f>AZ15/AY15-1</f>
        <v>0.0463481518674442</v>
      </c>
      <c r="BA321" s="236" t="n"/>
      <c r="BB321" s="220">
        <f>BB15/BA15-1</f>
        <v>-0.750222246330299</v>
      </c>
      <c r="BC321" s="220">
        <f>BC15/BB15-1</f>
        <v>0.0859131819607655</v>
      </c>
      <c r="BD321" s="220">
        <f>BD15/BC15-1</f>
        <v>-0.137033786261069</v>
      </c>
      <c r="BE321" s="220">
        <f>BE15/BD15-1</f>
        <v>0.0463481518674442</v>
      </c>
      <c r="BF321" s="236" t="n"/>
      <c r="BG321" s="220">
        <f>BG15/BF15-1</f>
        <v>-0.750222246330299</v>
      </c>
      <c r="BH321" s="220">
        <f>BH15/BG15-1</f>
        <v>0.0859131819607655</v>
      </c>
      <c r="BI321" s="220">
        <f>BI15/BH15-1</f>
        <v>-0.137033786261069</v>
      </c>
      <c r="BJ321" s="220">
        <f>BJ15/BI15-1</f>
        <v>0.0463481518674442</v>
      </c>
      <c r="BK321" s="236" t="n"/>
      <c r="BL321" s="220">
        <f>BL15/BK15-1</f>
        <v>-0.750222246330299</v>
      </c>
      <c r="BM321" s="220">
        <f>BM15/BL15-1</f>
        <v>0.0859131819607655</v>
      </c>
      <c r="BN321" s="220">
        <f>BN15/BM15-1</f>
        <v>-0.137033786261069</v>
      </c>
      <c r="BO321" s="220">
        <f>BO15/BN15-1</f>
        <v>0.0463481518674442</v>
      </c>
      <c r="BP321" s="236" t="n"/>
      <c r="BQ321" s="220">
        <f>BQ15/BP15-1</f>
        <v>-0.750222246330299</v>
      </c>
      <c r="BR321" s="220">
        <f>BR15/BQ15-1</f>
        <v>0.0859131819607655</v>
      </c>
      <c r="BS321" s="220">
        <f>BS15/BR15-1</f>
        <v>-0.137033786261069</v>
      </c>
      <c r="BT321" s="220">
        <f>BT15/BS15-1</f>
        <v>0.0463481518674442</v>
      </c>
      <c r="BU321" s="236" t="n"/>
      <c r="BV321" s="220">
        <f>BV15/BU15-1</f>
        <v>-0.750222246330299</v>
      </c>
      <c r="BW321" s="220">
        <f>BW15/BV15-1</f>
        <v>0.0859131819607655</v>
      </c>
      <c r="BX321" s="220">
        <f>BX15/BW15-1</f>
        <v>-0.137033786261069</v>
      </c>
      <c r="BY321" s="220">
        <f>BY15/BX15-1</f>
        <v>0.0463481518674442</v>
      </c>
      <c r="BZ321" s="236" t="n"/>
      <c r="CA321" s="220">
        <f>CA15/BZ15-1</f>
        <v>-0.750222246330299</v>
      </c>
      <c r="CB321" s="220">
        <f>CB15/CA15-1</f>
        <v>0.0859131819607655</v>
      </c>
      <c r="CC321" s="220">
        <f>CC15/CB15-1</f>
        <v>-0.137033786261069</v>
      </c>
      <c r="CD321" s="220">
        <f>CD15/CC15-1</f>
        <v>0.0463481518674442</v>
      </c>
      <c r="CE321" s="236" t="n"/>
      <c r="CF321" s="220">
        <f>CF15/CE15-1</f>
        <v>-0.750222246330299</v>
      </c>
      <c r="CG321" s="220">
        <f>CG15/CF15-1</f>
        <v>0.0859131819607655</v>
      </c>
      <c r="CH321" s="220">
        <f>CH15/CG15-1</f>
        <v>-0.137033786261069</v>
      </c>
      <c r="CI321" s="220">
        <f>CI15/CH15-1</f>
        <v>0.0463481518674442</v>
      </c>
      <c r="CJ321" s="236" t="n"/>
      <c r="CK321" s="220">
        <f>CK15/CJ15-1</f>
        <v>-0.750222246330299</v>
      </c>
      <c r="CL321" s="220">
        <f>CL15/CK15-1</f>
        <v>0.0859131819607655</v>
      </c>
      <c r="CM321" s="220">
        <f>CM15/CL15-1</f>
        <v>-0.137033786261069</v>
      </c>
      <c r="CN321" s="220">
        <f>CN15/CM15-1</f>
        <v>0.0463481518674442</v>
      </c>
      <c r="CO321" s="236" t="n"/>
      <c r="CP321" s="220">
        <f>CP15/CO15-1</f>
        <v>-0.750222246330299</v>
      </c>
      <c r="CQ321" s="220">
        <f>CQ15/CP15-1</f>
        <v>0.0859131819607655</v>
      </c>
      <c r="CR321" s="220">
        <f>CR15/CQ15-1</f>
        <v>-0.137033786261069</v>
      </c>
      <c r="CS321" s="220">
        <f>CS15/CR15-1</f>
        <v>0.0463481518674442</v>
      </c>
      <c r="CT321" s="236" t="n"/>
      <c r="CU321" s="220">
        <f>CU15/CT15-1</f>
        <v>-0.750222246330299</v>
      </c>
      <c r="CV321" s="220">
        <f>CV15/CU15-1</f>
        <v>0.0859131819607655</v>
      </c>
      <c r="CW321" s="220">
        <f>CW15/CV15-1</f>
        <v>-0.137033786261069</v>
      </c>
      <c r="CX321" s="220">
        <f>CX15/CW15-1</f>
        <v>0.0463481518674442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0.686616601467691</v>
      </c>
      <c r="E322" s="220">
        <f>SUM(E15,E54)/E15</f>
        <v>0.675571214471643</v>
      </c>
      <c r="F322" s="220">
        <f>SUM(F15,F54)/F15</f>
        <v>0.703881143349303</v>
      </c>
      <c r="G322" s="220">
        <f>SUM(G15,G54)/G15</f>
        <v>0.670489367629306</v>
      </c>
      <c r="I322" s="221">
        <f>SUM(I15,I54)/I15</f>
        <v>0.687215268786266</v>
      </c>
      <c r="J322" s="221">
        <f>SUM(J15,J54)/J15</f>
        <v>0.696849540648293</v>
      </c>
      <c r="K322" s="221">
        <f>SUM(K15,K54)/K15</f>
        <v>0.698876801200433</v>
      </c>
      <c r="L322" s="221">
        <f>SUM(L15,L54)/L15</f>
        <v>0.672131147540984</v>
      </c>
      <c r="N322" s="221">
        <f>SUM(N15,N54)/N15</f>
        <v>0.683650729335494</v>
      </c>
      <c r="O322" s="221">
        <f>SUM(O15,O54)/O15</f>
        <v>0.683235322471802</v>
      </c>
      <c r="P322" s="221">
        <f>SUM(P15,P54)/P15</f>
        <v>0.691712222177886</v>
      </c>
      <c r="Q322" s="221">
        <f>SUM(Q15,Q54)/Q15</f>
        <v>0.668455078013916</v>
      </c>
      <c r="S322" s="221">
        <f>SUM(S15,S54)/S15</f>
        <v>0.694874851013111</v>
      </c>
      <c r="T322" s="221">
        <f>SUM(T15,T54)/T15</f>
        <v>0.701098079695314</v>
      </c>
      <c r="U322" s="221">
        <f>SUM(U15,U54)/U15</f>
        <v>0.711555815064494</v>
      </c>
      <c r="V322" s="221">
        <f>SUM(V15,V54)/V15</f>
        <v>0.683602063850371</v>
      </c>
      <c r="X322" s="221">
        <f>SUM(X15,X54)/X15</f>
        <v>0.700847101425846</v>
      </c>
      <c r="Y322" s="221">
        <f>SUM(Y15,Y54)/Y15</f>
        <v>0.695891977072937</v>
      </c>
      <c r="Z322" s="221">
        <f>SUM(Z15,Z54)/Z15</f>
        <v>0.693542730807349</v>
      </c>
      <c r="AA322" s="221">
        <f>SUM(AA15,AA54)/AA15</f>
        <v>0.686939912683824</v>
      </c>
      <c r="AC322" s="221">
        <f>SUM(AC15,AC54)/AC15</f>
        <v>0.687166385978934</v>
      </c>
      <c r="AD322" s="221">
        <f>SUM(AD15,AD54)/AD15</f>
        <v>0.68584921704321</v>
      </c>
      <c r="AE322" s="221">
        <f>SUM(AE15,AE54)/AE15</f>
        <v>0.690458717958621</v>
      </c>
      <c r="AF322" s="221">
        <f>SUM(AF15,AF54)/AF15</f>
        <v>0.680361251584167</v>
      </c>
      <c r="AH322" s="221">
        <f>SUM(AH15,AH54)/AH15</f>
        <v>0.676326520763458</v>
      </c>
      <c r="AI322" s="221">
        <f>SUM(AI15,AI54)/AI15</f>
        <v>0.671969957892164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0.370491990519974</v>
      </c>
      <c r="E323" s="236">
        <f>(E73/E15)</f>
        <v>0.352509662661373</v>
      </c>
      <c r="F323" s="236">
        <f>(F73/F15)</f>
        <v>0.427302578457232</v>
      </c>
      <c r="G323" s="236">
        <f>(G73/G15)</f>
        <v>0.415474974463739</v>
      </c>
      <c r="I323" s="222">
        <f>(I73/I15)</f>
        <v>0.408766124778209</v>
      </c>
      <c r="J323" s="222">
        <f>(J73/J15)</f>
        <v>0.413741549661986</v>
      </c>
      <c r="K323" s="222">
        <f>(K73/K15)</f>
        <v>0.446587373391884</v>
      </c>
      <c r="L323" s="222">
        <f>(L73/L15)</f>
        <v>0.430076554283947</v>
      </c>
      <c r="N323" s="222">
        <f>(N73/N15)</f>
        <v>0.412560777957861</v>
      </c>
      <c r="O323" s="222">
        <f>(O73/O15)</f>
        <v>0.395912465053504</v>
      </c>
      <c r="P323" s="222">
        <f>(P73/P15)</f>
        <v>0.429312477554766</v>
      </c>
      <c r="Q323" s="222">
        <f>(Q73/Q15)</f>
        <v>0.386732894761787</v>
      </c>
      <c r="S323" s="222">
        <f>(S73/S15)</f>
        <v>0.422876818585996</v>
      </c>
      <c r="T323" s="222">
        <f>(T73/T15)</f>
        <v>0.431650323016961</v>
      </c>
      <c r="U323" s="222">
        <f>(U73/U15)</f>
        <v>0.475874515632465</v>
      </c>
      <c r="V323" s="222">
        <f>(V73/V15)</f>
        <v>0.435859400193486</v>
      </c>
      <c r="X323" s="222">
        <f>(X73/X15)</f>
        <v>0.44587603866921</v>
      </c>
      <c r="Y323" s="222">
        <f>(Y73/Y15)</f>
        <v>0.431427379609746</v>
      </c>
      <c r="Z323" s="222">
        <f>(Z73/Z15)</f>
        <v>0.465838225203934</v>
      </c>
      <c r="AA323" s="222">
        <f>(AA73/AA15)</f>
        <v>0.454575482536765</v>
      </c>
      <c r="AC323" s="222">
        <f>(AC73/AC15)</f>
        <v>0.456712242742557</v>
      </c>
      <c r="AD323" s="222">
        <f>(AD73/AD15)</f>
        <v>0.449012964246936</v>
      </c>
      <c r="AE323" s="222">
        <f>(AE73/AE15)</f>
        <v>0.48872838695557</v>
      </c>
      <c r="AF323" s="222">
        <f>(AF73/AF15)</f>
        <v>0.470943609808916</v>
      </c>
      <c r="AH323" s="222">
        <f>(AH73/AH15)</f>
        <v>0.463262794681852</v>
      </c>
      <c r="AI323" s="222">
        <f>(AI73/AI15)</f>
        <v>0.451109358161032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0.459524285428743</v>
      </c>
      <c r="E324" s="236">
        <f>E69/E15</f>
        <v>0.444640180895538</v>
      </c>
      <c r="F324" s="236">
        <f>F69/F15</f>
        <v>0.498492759864348</v>
      </c>
      <c r="G324" s="236">
        <f>G69/G15</f>
        <v>0.479570990806946</v>
      </c>
      <c r="I324" s="222">
        <f>I69/I15</f>
        <v>0.479163669495996</v>
      </c>
      <c r="J324" s="222">
        <f>J69/J15</f>
        <v>0.486197781244583</v>
      </c>
      <c r="K324" s="222">
        <f>K69/K15</f>
        <v>0.517465851667145</v>
      </c>
      <c r="L324" s="222">
        <f>L69/L15</f>
        <v>0.497660841323848</v>
      </c>
      <c r="N324" s="222">
        <f>N69/N15</f>
        <v>0.488999189627229</v>
      </c>
      <c r="O324" s="222">
        <f>O69/O15</f>
        <v>0.472630868601176</v>
      </c>
      <c r="P324" s="222">
        <f>P69/P15</f>
        <v>0.484976656957025</v>
      </c>
      <c r="Q324" s="222">
        <f>Q69/Q15</f>
        <v>0.455893226155042</v>
      </c>
      <c r="S324" s="222">
        <f>S69/S15</f>
        <v>0.490020243297955</v>
      </c>
      <c r="T324" s="222">
        <f>T69/T15</f>
        <v>0.500596202103615</v>
      </c>
      <c r="U324" s="222">
        <f>U69/U15</f>
        <v>0.545251871118425</v>
      </c>
      <c r="V324" s="222">
        <f>V69/V15</f>
        <v>0.531941309255079</v>
      </c>
      <c r="X324" s="222">
        <f>X69/X15</f>
        <v>0.543308868699279</v>
      </c>
      <c r="Y324" s="222">
        <f>Y69/Y15</f>
        <v>0.529995210653978</v>
      </c>
      <c r="Z324" s="222">
        <f>Z69/Z15</f>
        <v>0.578409697339331</v>
      </c>
      <c r="AA324" s="222">
        <f>AA69/AA15</f>
        <v>0.552619485294118</v>
      </c>
      <c r="AC324" s="222">
        <f>AC69/AC15</f>
        <v>0.581451774041618</v>
      </c>
      <c r="AD324" s="222">
        <f>AD69/AD15</f>
        <v>0.595570439947149</v>
      </c>
      <c r="AE324" s="222">
        <f>AE69/AE15</f>
        <v>0.656882056827984</v>
      </c>
      <c r="AF324" s="222">
        <f>AF69/AF15</f>
        <v>0.584117726674295</v>
      </c>
      <c r="AH324" s="222">
        <f>AH69/AH15</f>
        <v>0.585925246724417</v>
      </c>
      <c r="AI324" s="222">
        <f>AI69/AI15</f>
        <v>0.573566500383304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0.162812427003037</v>
      </c>
      <c r="E325" s="236">
        <f>-E131/E130</f>
        <v>0.165400089405454</v>
      </c>
      <c r="F325" s="236">
        <f>-F131/F130</f>
        <v>0.138365169933019</v>
      </c>
      <c r="G325" s="236">
        <f>-G131/G130</f>
        <v>0.156732289905655</v>
      </c>
      <c r="I325" s="222">
        <f>-I131/I130</f>
        <v>0.103214202831283</v>
      </c>
      <c r="J325" s="222">
        <f>-J131/J130</f>
        <v>0.151868075238341</v>
      </c>
      <c r="K325" s="222">
        <f>-K131/K130</f>
        <v>0.000925745468719548</v>
      </c>
      <c r="L325" s="222">
        <f>-L131/L130</f>
        <v>0.16655562958028</v>
      </c>
      <c r="N325" s="222">
        <f>-N131/N130</f>
        <v>0.17147102526003</v>
      </c>
      <c r="O325" s="222">
        <f>-O131/O130</f>
        <v>0.182896470932787</v>
      </c>
      <c r="P325" s="222">
        <f>-P131/P130</f>
        <v>0.18616725384758</v>
      </c>
      <c r="Q325" s="222">
        <f>-Q131/Q130</f>
        <v>0.192438172968189</v>
      </c>
      <c r="S325" s="222">
        <f>-S131/S130</f>
        <v>0.192916685043885</v>
      </c>
      <c r="T325" s="222">
        <f>-T131/T130</f>
        <v>0.187891778218142</v>
      </c>
      <c r="U325" s="222">
        <f>-U131/U130</f>
        <v>0.183001026242486</v>
      </c>
      <c r="V325" s="222">
        <f>-V131/V130</f>
        <v>0.175525899117847</v>
      </c>
      <c r="X325" s="222">
        <f>-X131/X130</f>
        <v>0.179144685149848</v>
      </c>
      <c r="Y325" s="222">
        <f>-Y131/Y130</f>
        <v>0.191339449541284</v>
      </c>
      <c r="Z325" s="222">
        <f>-Z131/Z130</f>
        <v>0.185073837919984</v>
      </c>
      <c r="AA325" s="222">
        <f>-AA131/AA130</f>
        <v>0.179022646007151</v>
      </c>
      <c r="AC325" s="222">
        <f>-AC131/AC130</f>
        <v>0.176976766421264</v>
      </c>
      <c r="AD325" s="222">
        <f>-AD131/AD130</f>
        <v>0.165041697326466</v>
      </c>
      <c r="AE325" s="222">
        <f>-AE131/AE130</f>
        <v>0.191073146555494</v>
      </c>
      <c r="AF325" s="222">
        <f>-AF131/AF130</f>
        <v>0.202876922439166</v>
      </c>
      <c r="AH325" s="222">
        <f>-AH131/AH130</f>
        <v>0.192221657346213</v>
      </c>
      <c r="AI325" s="222">
        <f>-AI131/AI130</f>
        <v>0.188003723295571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26.2100977198697</v>
      </c>
      <c r="E332" s="219">
        <f>E69/-E74</f>
        <v>24.6516034985423</v>
      </c>
      <c r="F332" s="219">
        <f>F69/-F74</f>
        <v>31.4448217317487</v>
      </c>
      <c r="G332" s="219">
        <f>G69/-G74</f>
        <v>36.1786339754816</v>
      </c>
      <c r="I332" s="219">
        <f>I69/-I74</f>
        <v>31.5703001579779</v>
      </c>
      <c r="J332" s="219">
        <f>J69/-J74</f>
        <v>40.5768535262206</v>
      </c>
      <c r="K332" s="219">
        <f>K69/-K74</f>
        <v>43.5064935064935</v>
      </c>
      <c r="L332" s="219">
        <f>L69/-L74</f>
        <v>49.0342857142857</v>
      </c>
      <c r="N332" s="219">
        <f>N69/-N74</f>
        <v>47.986083499006</v>
      </c>
      <c r="O332" s="219">
        <f>O69/-O74</f>
        <v>49.4213709677419</v>
      </c>
      <c r="P332" s="219">
        <f>P69/-P74</f>
        <v>48.616</v>
      </c>
      <c r="Q332" s="219">
        <f>Q69/-Q74</f>
        <v>49.0755102040816</v>
      </c>
      <c r="S332" s="219">
        <f>S69/-S74</f>
        <v>52.2197580645161</v>
      </c>
      <c r="T332" s="219">
        <f>T69/-T74</f>
        <v>58.356846473029</v>
      </c>
      <c r="U332" s="219">
        <f>U69/-U74</f>
        <v>58.6971428571429</v>
      </c>
      <c r="V332" s="219">
        <f>V69/-V74</f>
        <v>36.2937293729373</v>
      </c>
      <c r="X332" s="219">
        <f>X69/-X74</f>
        <v>42.01</v>
      </c>
      <c r="Y332" s="219">
        <f>Y69/-Y74</f>
        <v>48.9372325249643</v>
      </c>
      <c r="Z332" s="219">
        <f>Z69/-Z74</f>
        <v>65.180412371134</v>
      </c>
      <c r="AA332" s="219">
        <f>AA69/-AA74</f>
        <v>64.7811447811448</v>
      </c>
      <c r="AC332" s="219">
        <f>AC69/-AC74</f>
        <v>68.5858585858586</v>
      </c>
      <c r="AD332" s="219">
        <f>AD69/-AD74</f>
        <v>74.0260162601626</v>
      </c>
      <c r="AE332" s="219">
        <f>AE69/-AE74</f>
        <v>73.0974212034384</v>
      </c>
      <c r="AF332" s="219">
        <f>AF69/-AF74</f>
        <v>64.5013586956522</v>
      </c>
      <c r="AH332" s="219">
        <f>AH69/-AH74</f>
        <v>62.4228791773779</v>
      </c>
      <c r="AI332" s="219">
        <f>AI69/-AI74</f>
        <v>61.5315852205006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26.2100977198697</v>
      </c>
      <c r="E333" s="219">
        <f>(E69-E168)/-E74</f>
        <v>15.2725947521866</v>
      </c>
      <c r="F333" s="219">
        <f>(F69-F168)/-F74</f>
        <v>20.5432937181664</v>
      </c>
      <c r="G333" s="219">
        <f>(G69-G168)/-G74</f>
        <v>24.6707530647986</v>
      </c>
      <c r="I333" s="219">
        <f>(I69-I168)/-I74</f>
        <v>21.8641390205371</v>
      </c>
      <c r="J333" s="219">
        <f>(J69-J168)/-J74</f>
        <v>25.9041591320072</v>
      </c>
      <c r="K333" s="219">
        <f>(K69-K168)/-K74</f>
        <v>30.0204081632653</v>
      </c>
      <c r="L333" s="219">
        <f>(L69-L168)/-L74</f>
        <v>35.8190476190476</v>
      </c>
      <c r="N333" s="219">
        <f>(N69-N168)/-N74</f>
        <v>34.3538767395626</v>
      </c>
      <c r="O333" s="219">
        <f>(O69-O168)/-O74</f>
        <v>33.133064516129</v>
      </c>
      <c r="P333" s="219">
        <f>(P69-P168)/-P74</f>
        <v>37.758</v>
      </c>
      <c r="Q333" s="219">
        <f>(Q69-Q168)/-Q74</f>
        <v>29.9612244897959</v>
      </c>
      <c r="S333" s="219">
        <f>(S69-S168)/-S74</f>
        <v>34.2237903225807</v>
      </c>
      <c r="T333" s="219">
        <f>(T69-T168)/-T74</f>
        <v>34.7406639004149</v>
      </c>
      <c r="U333" s="219">
        <f>(U69-U168)/-U74</f>
        <v>38.16</v>
      </c>
      <c r="V333" s="219">
        <f>(V69-V168)/-V74</f>
        <v>18.950495049505</v>
      </c>
      <c r="X333" s="219">
        <f>(X69-X168)/-X74</f>
        <v>23.1425</v>
      </c>
      <c r="Y333" s="219">
        <f>(Y69-Y168)/-Y74</f>
        <v>19.5563480741797</v>
      </c>
      <c r="Z333" s="219">
        <f>(Z69-Z168)/-Z74</f>
        <v>22.8178694158076</v>
      </c>
      <c r="AA333" s="219">
        <f>(AA69-AA168)/-AA74</f>
        <v>29.6531986531987</v>
      </c>
      <c r="AC333" s="219">
        <f>(AC69-AC168)/-AC74</f>
        <v>25.1902356902357</v>
      </c>
      <c r="AD333" s="219">
        <f>(AD69-AD168)/-AD74</f>
        <v>21.619512195122</v>
      </c>
      <c r="AE333" s="219">
        <f>(AE69-AE168)/-AE74</f>
        <v>17.2865329512894</v>
      </c>
      <c r="AF333" s="219">
        <f>(AF69-AF168)/-AF74</f>
        <v>10.883152173913</v>
      </c>
      <c r="AH333" s="219">
        <f>(AH69-AH168)/-AH74</f>
        <v>20.9460154241645</v>
      </c>
      <c r="AI333" s="219">
        <f>(AI69-AI168)/-AI74</f>
        <v>12.818831942789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0.961417508277572</v>
      </c>
      <c r="I334" s="219">
        <f>IFERROR(SUM(I212,I213,I214,I217,I235,I238)/(I69+G69+F69+E69),"")</f>
        <v>0.885059284380998</v>
      </c>
      <c r="J334" s="219">
        <f>IFERROR(SUM(J212,J213,J214,J217,J235,J238)/(J69+I69+G69+F69),"")</f>
        <v>0.830555623636676</v>
      </c>
      <c r="K334" s="219">
        <f>IFERROR(SUM(K212,K213,K214,K217,K235,K238)/(K69+J69+I69+G69),"")</f>
        <v>0.731968889762051</v>
      </c>
      <c r="L334" s="219">
        <f>IFERROR(SUM(L212,L213,L214,L217,L235,L238)/(L69+K69+J69+I69),"")</f>
        <v>0.698917219699616</v>
      </c>
      <c r="N334" s="219">
        <f>IFERROR(SUM(N212,N213,N214,N217,N235,N238)/(N69+L69+K69+J69),"")</f>
        <v>0.63990435318318</v>
      </c>
      <c r="O334" s="219">
        <f>IFERROR(SUM(O212,O213,O214,O217,O235,O238)/(O69+N69+L69+K69),"")</f>
        <v>0.626207291272753</v>
      </c>
      <c r="P334" s="219">
        <f>IFERROR(SUM(P212,P213,P214,P217,P235,P238)/(P69+O69+N69+L69),"")</f>
        <v>0.6107536904388</v>
      </c>
      <c r="Q334" s="219">
        <f>IFERROR(SUM(Q212,Q213,Q214,Q217,Q235,Q238)/(Q69+P69+O69+N69),"")</f>
        <v>0.619700015463121</v>
      </c>
      <c r="S334" s="219">
        <f>IFERROR(SUM(S212,S213,S214,S217,S235,S238)/(S69+Q69+P69+O69),"")</f>
        <v>0.612763113932509</v>
      </c>
      <c r="T334" s="219">
        <f>IFERROR(SUM(T212,T213,T214,T217,T235,T238)/(T69+S69+Q69+P69),"")</f>
        <v>0.585687216752618</v>
      </c>
      <c r="U334" s="219">
        <f>IFERROR(SUM(U212,U213,U214,U217,U235,U238)/(U69+T69+S69+Q69),"")</f>
        <v>0.78048892480623</v>
      </c>
      <c r="V334" s="219">
        <f>IFERROR(SUM(V212,V213,V214,V217,V235,V238)/(V69+U69+T69+S69),"")</f>
        <v>0.749974540887335</v>
      </c>
      <c r="X334" s="219">
        <f>IFERROR(SUM(X212,X213,X214,X217,X235,X238)/(X69+V69+U69+T69),"")</f>
        <v>0.636522944329831</v>
      </c>
      <c r="Y334" s="219">
        <f>IFERROR(SUM(Y212,Y213,Y214,Y217,Y235,Y238)/(Y69+X69+V69+U69),"")</f>
        <v>0.509618888551473</v>
      </c>
      <c r="Z334" s="219">
        <f>IFERROR(SUM(Z212,Z213,Z214,Z217,Z235,Z238)/(Z69+Y69+X69+V69),"")</f>
        <v>0.442800653994915</v>
      </c>
      <c r="AA334" s="219">
        <f>IFERROR(SUM(AA212,AA213,AA214,AA217,AA235,AA238)/(AA69+Z69+Y69+X69),"")</f>
        <v>0.431129094839532</v>
      </c>
      <c r="AC334" s="219">
        <f>IFERROR(SUM(AC212,AC213,AC214,AC217,AC235,AC238)/(AC69+AA69+Z69+Y69),"")</f>
        <v>0.399887759144329</v>
      </c>
      <c r="AD334" s="219">
        <f>IFERROR(SUM(AD212,AD213,AD214,AD217,AD235,AD238)/(AD69+AC69+AA69+Z69),"")</f>
        <v>0.37243439614952</v>
      </c>
      <c r="AE334" s="219">
        <f>IFERROR(SUM(AE212,AE213,AE214,AE217,AE235,AE238)/(AE69+AD69+AC69+AA69),"")</f>
        <v>0.3445223248828</v>
      </c>
      <c r="AF334" s="219">
        <f>IFERROR(SUM(AF212,AF213,AF214,AF217,AF235,AF238)/(AF69+AE69+AD69+AC69),"")</f>
        <v>0.311791990733975</v>
      </c>
      <c r="AH334" s="219">
        <f>IFERROR(SUM(AH212,AH213,AH214,AH217,AH235,AH238)/(AH69+AF69+AE69+AD69),"")</f>
        <v>0.295789932809239</v>
      </c>
      <c r="AI334" s="219">
        <f>IFERROR(SUM(AI212,AI213,AI214,AI217,AI235,AI238)/(AI69+AH69+AF69+AE69),"")</f>
        <v>0.2860105191635</v>
      </c>
      <c r="AJ334" s="219">
        <f>IFERROR(SUM(AJ212,AJ213,AJ214,AJ217,AJ235,AJ238)/(AJ69+AI69+AH69+AF69),"")</f>
        <v>0.384835740842323</v>
      </c>
      <c r="AK334" s="219">
        <f>IFERROR(SUM(AK212,AK213,AK214,AK217,AK235,AK238)/(AK69+AJ69+AI69+AH69),"")</f>
        <v>0.567182353528296</v>
      </c>
      <c r="AM334" s="219">
        <f>IFERROR(SUM(AM212,AM213,AM214,AM217,AM235,AM238)/(AM69+AK69+AJ69+AI69),"")</f>
        <v>1.10074576271186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0.392112933281659</v>
      </c>
      <c r="E335" s="221">
        <f>SUM(E212+E213+E214+E217+E235+E238)/(SUM(E212+E213+E214+E217+E235+E238)+E271)</f>
        <v>0.375051505002588</v>
      </c>
      <c r="F335" s="221">
        <f>SUM(F212+F213+F214+F217+F235+F238)/(SUM(F212+F213+F214+F217+F235+F238)+F271)</f>
        <v>0.366235740663698</v>
      </c>
      <c r="G335" s="221">
        <f>SUM(G212+G213+G214+G217+G235+G238)/(SUM(G212+G213+G214+G217+G235+G238)+G271)</f>
        <v>0.347626155865233</v>
      </c>
      <c r="I335" s="221">
        <f>SUM(I212+I213+I214+I217+I235+I238)/(SUM(I212+I213+I214+I217+I235+I238)+I271)</f>
        <v>0.333589318007283</v>
      </c>
      <c r="J335" s="221">
        <f>SUM(J212+J213+J214+J217+J235+J238)/(SUM(J212+J213+J214+J217+J235+J238)+J271)</f>
        <v>0.32310273975868</v>
      </c>
      <c r="K335" s="221">
        <f>SUM(K212+K213+K214+K217+K235+K238)/(SUM(K212+K213+K214+K217+K235+K238)+K271)</f>
        <v>0.294162997640677</v>
      </c>
      <c r="L335" s="221">
        <f>SUM(L212+L213+L214+L217+L235+L238)/(SUM(L212+L213+L214+L217+L235+L238)+L271)</f>
        <v>0.285803554690638</v>
      </c>
      <c r="N335" s="221">
        <f>SUM(N212+N213+N214+N217+N235+N238)/(SUM(N212+N213+N214+N217+N235+N238)+N271)</f>
        <v>0.273332233159536</v>
      </c>
      <c r="O335" s="221">
        <f>SUM(O212+O213+O214+O217+O235+O238)/(SUM(O212+O213+O214+O217+O235+O238)+O271)</f>
        <v>0.268949835829544</v>
      </c>
      <c r="P335" s="221">
        <f>SUM(P212+P213+P214+P217+P235+P238)/(SUM(P212+P213+P214+P217+P235+P238)+P271)</f>
        <v>0.257782833293421</v>
      </c>
      <c r="Q335" s="221">
        <f>SUM(Q212+Q213+Q214+Q217+Q235+Q238)/(SUM(Q212+Q213+Q214+Q217+Q235+Q238)+Q271)</f>
        <v>0.247128468653649</v>
      </c>
      <c r="S335" s="221">
        <f>SUM(S212+S213+S214+S217+S235+S238)/(SUM(S212+S213+S214+S217+S235+S238)+S271)</f>
        <v>0.237150526047687</v>
      </c>
      <c r="T335" s="221">
        <f>SUM(T212+T213+T214+T217+T235+T238)/(SUM(T212+T213+T214+T217+T235+T238)+T271)</f>
        <v>0.225273115241859</v>
      </c>
      <c r="U335" s="221">
        <f>SUM(U212+U213+U214+U217+U235+U238)/(SUM(U212+U213+U214+U217+U235+U238)+U271)</f>
        <v>0.278011664916602</v>
      </c>
      <c r="V335" s="221">
        <f>SUM(V212+V213+V214+V217+V235+V238)/(SUM(V212+V213+V214+V217+V235+V238)+V271)</f>
        <v>0.270553082579705</v>
      </c>
      <c r="X335" s="221">
        <f>SUM(X212+X213+X214+X217+X235+X238)/(SUM(X212+X213+X214+X217+X235+X238)+X271)</f>
        <v>0.239927581268409</v>
      </c>
      <c r="Y335" s="221">
        <f>SUM(Y212+Y213+Y214+Y217+Y235+Y238)/(SUM(Y212+Y213+Y214+Y217+Y235+Y238)+Y271)</f>
        <v>0.200018474154063</v>
      </c>
      <c r="Z335" s="221">
        <f>SUM(Z212+Z213+Z214+Z217+Z235+Z238)/(SUM(Z212+Z213+Z214+Z217+Z235+Z238)+Z271)</f>
        <v>0.176053333180604</v>
      </c>
      <c r="AA335" s="221">
        <f>SUM(AA212+AA213+AA214+AA217+AA235+AA238)/(SUM(AA212+AA213+AA214+AA217+AA235+AA238)+AA271)</f>
        <v>0.170514552544537</v>
      </c>
      <c r="AC335" s="221">
        <f>SUM(AC212+AC213+AC214+AC217+AC235+AC238)/(SUM(AC212+AC213+AC214+AC217+AC235+AC238)+AC271)</f>
        <v>0.158362486861302</v>
      </c>
      <c r="AD335" s="221">
        <f>SUM(AD212+AD213+AD214+AD217+AD235+AD238)/(SUM(AD212+AD213+AD214+AD217+AD235+AD238)+AD271)</f>
        <v>0.149945429842081</v>
      </c>
      <c r="AE335" s="221">
        <f>SUM(AE212+AE213+AE214+AE217+AE235+AE238)/(SUM(AE212+AE213+AE214+AE217+AE235+AE238)+AE271)</f>
        <v>0.142944820032481</v>
      </c>
      <c r="AF335" s="221">
        <f>SUM(AF212+AF213+AF214+AF217+AF235+AF238)/(SUM(AF212+AF213+AF214+AF217+AF235+AF238)+AF271)</f>
        <v>0.128448856364358</v>
      </c>
      <c r="AH335" s="221">
        <f>SUM(AH212+AH213+AH214+AH217+AH235+AH238)/(SUM(AH212+AH213+AH214+AH217+AH235+AH238)+AH271)</f>
        <v>0.120859606392097</v>
      </c>
      <c r="AI335" s="221">
        <f>SUM(AI212+AI213+AI214+AI217+AI235+AI238)/(SUM(AI212+AI213+AI214+AI217+AI235+AI238)+AI271)</f>
        <v>0.113831170261992</v>
      </c>
      <c r="AJ335" s="221">
        <f>SUM(AJ212+AJ213+AJ214+AJ217+AJ235+AJ238)/(SUM(AJ212+AJ213+AJ214+AJ217+AJ235+AJ238)+AJ271)</f>
        <v>0.113440320362204</v>
      </c>
      <c r="AK335" s="221">
        <f>SUM(AK212+AK213+AK214+AK217+AK235+AK238)/(SUM(AK212+AK213+AK214+AK217+AK235+AK238)+AK271)</f>
        <v>0.112478623004814</v>
      </c>
      <c r="AM335" s="221">
        <f>SUM(AM212+AM213+AM214+AM217+AM235+AM238)/(SUM(AM212+AM213+AM214+AM217+AM235+AM238)+AM271)</f>
        <v>0.111533094274964</v>
      </c>
      <c r="AN335" s="221">
        <f>SUM(AN212+AN213+AN214+AN217+AN235+AN238)/(SUM(AN212+AN213+AN214+AN217+AN235+AN238)+AN271)</f>
        <v>0.108965398222452</v>
      </c>
      <c r="AO335" s="221">
        <f>SUM(AO212+AO213+AO214+AO217+AO235+AO238)/(SUM(AO212+AO213+AO214+AO217+AO235+AO238)+AO271)</f>
        <v>0.108077780398183</v>
      </c>
      <c r="AP335" s="221">
        <f>SUM(AP212+AP213+AP214+AP217+AP235+AP238)/(SUM(AP212+AP213+AP214+AP217+AP235+AP238)+AP271)</f>
        <v>0.105664994403061</v>
      </c>
      <c r="AR335" s="221">
        <f>SUM(AR212+AR213+AR214+AR217+AR235+AR238)/(SUM(AR212+AR213+AR214+AR217+AR235+AR238)+AR271)</f>
        <v>0.10335758457621</v>
      </c>
      <c r="AS335" s="221">
        <f>SUM(AS212+AS213+AS214+AS217+AS235+AS238)/(SUM(AS212+AS213+AS214+AS217+AS235+AS238)+AS271)</f>
        <v>0.0975758012837023</v>
      </c>
      <c r="AT335" s="221">
        <f>SUM(AT212+AT213+AT214+AT217+AT235+AT238)/(SUM(AT212+AT213+AT214+AT217+AT235+AT238)+AT271)</f>
        <v>0.0956048615036744</v>
      </c>
      <c r="AU335" s="221">
        <f>SUM(AU212+AU213+AU214+AU217+AU235+AU238)/(SUM(AU212+AU213+AU214+AU217+AU235+AU238)+AU271)</f>
        <v>0.0906370721032535</v>
      </c>
      <c r="AW335" s="221">
        <f>SUM(AW212+AW213+AW214+AW217+AW235+AW238)/(SUM(AW212+AW213+AW214+AW217+AW235+AW238)+AW271)</f>
        <v>0.0861600509445978</v>
      </c>
      <c r="AX335" s="221">
        <f>SUM(AX212+AX213+AX214+AX217+AX235+AX238)/(SUM(AX212+AX213+AX214+AX217+AX235+AX238)+AX271)</f>
        <v>0.075898748243641</v>
      </c>
      <c r="AY335" s="221">
        <f>SUM(AY212+AY213+AY214+AY217+AY235+AY238)/(SUM(AY212+AY213+AY214+AY217+AY235+AY238)+AY271)</f>
        <v>0.0727339284205784</v>
      </c>
      <c r="AZ335" s="221">
        <f>SUM(AZ212+AZ213+AZ214+AZ217+AZ235+AZ238)/(SUM(AZ212+AZ213+AZ214+AZ217+AZ235+AZ238)+AZ271)</f>
        <v>0.0652831740677853</v>
      </c>
      <c r="BB335" s="221">
        <f>SUM(BB212+BB213+BB214+BB217+BB235+BB238)/(SUM(BB212+BB213+BB214+BB217+BB235+BB238)+BB271)</f>
        <v>0.059217066720021</v>
      </c>
      <c r="BC335" s="221">
        <f>SUM(BC212+BC213+BC214+BC217+BC235+BC238)/(SUM(BC212+BC213+BC214+BC217+BC235+BC238)+BC271)</f>
        <v>0.0472324318393768</v>
      </c>
      <c r="BD335" s="221">
        <f>SUM(BD212+BD213+BD214+BD217+BD235+BD238)/(SUM(BD212+BD213+BD214+BD217+BD235+BD238)+BD271)</f>
        <v>0.0439733742325592</v>
      </c>
      <c r="BE335" s="221">
        <f>SUM(BE212+BE213+BE214+BE217+BE235+BE238)/(SUM(BE212+BE213+BE214+BE217+BE235+BE238)+BE271)</f>
        <v>0.037001537986709</v>
      </c>
      <c r="BG335" s="221">
        <f>SUM(BG212+BG213+BG214+BG217+BG235+BG238)/(SUM(BG212+BG213+BG214+BG217+BG235+BG238)+BG271)</f>
        <v>0.0319378889946753</v>
      </c>
      <c r="BH335" s="221">
        <f>SUM(BH212+BH213+BH214+BH217+BH235+BH238)/(SUM(BH212+BH213+BH214+BH217+BH235+BH238)+BH271)</f>
        <v>0.0232456538653171</v>
      </c>
      <c r="BI335" s="221">
        <f>SUM(BI212+BI213+BI214+BI217+BI235+BI238)/(SUM(BI212+BI213+BI214+BI217+BI235+BI238)+BI271)</f>
        <v>0.0211400115621645</v>
      </c>
      <c r="BJ335" s="221">
        <f>SUM(BJ212+BJ213+BJ214+BJ217+BJ235+BJ238)/(SUM(BJ212+BJ213+BJ214+BJ217+BJ235+BJ238)+BJ271)</f>
        <v>0.0169457964727122</v>
      </c>
      <c r="BL335" s="221">
        <f>SUM(BL212+BL213+BL214+BL217+BL235+BL238)/(SUM(BL212+BL213+BL214+BL217+BL235+BL238)+BL271)</f>
        <v>0.0141403303242477</v>
      </c>
      <c r="BM335" s="221">
        <f>SUM(BM212+BM213+BM214+BM217+BM235+BM238)/(SUM(BM212+BM213+BM214+BM217+BM235+BM238)+BM271)</f>
        <v>0.00973657815117757</v>
      </c>
      <c r="BN335" s="221">
        <f>SUM(BN212+BN213+BN214+BN217+BN235+BN238)/(SUM(BN212+BN213+BN214+BN217+BN235+BN238)+BN271)</f>
        <v>0.00874022672971926</v>
      </c>
      <c r="BO335" s="221">
        <f>SUM(BO212+BO213+BO214+BO217+BO235+BO238)/(SUM(BO212+BO213+BO214+BO217+BO235+BO238)+BO271)</f>
        <v>0.00683063426356541</v>
      </c>
      <c r="BQ335" s="221">
        <f>SUM(BQ212+BQ213+BQ214+BQ217+BQ235+BQ238)/(SUM(BQ212+BQ213+BQ214+BQ217+BQ235+BQ238)+BQ271)</f>
        <v>0.00560585030349485</v>
      </c>
      <c r="BR335" s="221">
        <f>SUM(BR212+BR213+BR214+BR217+BR235+BR238)/(SUM(BR212+BR213+BR214+BR217+BR235+BR238)+BR271)</f>
        <v>0.00376261405336945</v>
      </c>
      <c r="BS335" s="221">
        <f>SUM(BS212+BS213+BS214+BS217+BS235+BS238)/(SUM(BS212+BS213+BS214+BS217+BS235+BS238)+BS271)</f>
        <v>0.00335842687611456</v>
      </c>
      <c r="BT335" s="221">
        <f>SUM(BT212+BT213+BT214+BT217+BT235+BT238)/(SUM(BT212+BT213+BT214+BT217+BT235+BT238)+BT271)</f>
        <v>0.00259641757792885</v>
      </c>
      <c r="BV335" s="221">
        <f>SUM(BV212+BV213+BV214+BV217+BV235+BV238)/(SUM(BV212+BV213+BV214+BV217+BV235+BV238)+BV271)</f>
        <v>0.00211625134002066</v>
      </c>
      <c r="BW335" s="221">
        <f>SUM(BW212+BW213+BW214+BW217+BW235+BW238)/(SUM(BW212+BW213+BW214+BW217+BW235+BW238)+BW271)</f>
        <v>0.00140591523508295</v>
      </c>
      <c r="BX335" s="221">
        <f>SUM(BX212+BX213+BX214+BX217+BX235+BX238)/(SUM(BX212+BX213+BX214+BX217+BX235+BX238)+BX271)</f>
        <v>0.00125208465948413</v>
      </c>
      <c r="BY335" s="221">
        <f>SUM(BY212+BY213+BY214+BY217+BY235+BY238)/(SUM(BY212+BY213+BY214+BY217+BY235+BY238)+BY271)</f>
        <v>0.000963934571053866</v>
      </c>
      <c r="CA335" s="221">
        <f>SUM(CA212+CA213+CA214+CA217+CA235+CA238)/(SUM(CA212+CA213+CA214+CA217+CA235+CA238)+CA271)</f>
        <v>0.000783599831647246</v>
      </c>
      <c r="CB335" s="221">
        <f>SUM(CB212+CB213+CB214+CB217+CB235+CB238)/(SUM(CB212+CB213+CB214+CB217+CB235+CB238)+CB271)</f>
        <v>0.000518556456942248</v>
      </c>
      <c r="CC335" s="221">
        <f>SUM(CC212+CC213+CC214+CC217+CC235+CC238)/(SUM(CC212+CC213+CC214+CC217+CC235+CC238)+CC271)</f>
        <v>0.000461429755354533</v>
      </c>
      <c r="CD335" s="221">
        <f>SUM(CD212+CD213+CD214+CD217+CD235+CD238)/(SUM(CD212+CD213+CD214+CD217+CD235+CD238)+CD271)</f>
        <v>0.000354679625856873</v>
      </c>
      <c r="CF335" s="221">
        <f>SUM(CF212+CF213+CF214+CF217+CF235+CF238)/(SUM(CF212+CF213+CF214+CF217+CF235+CF238)+CF271)</f>
        <v>0.000288042110168945</v>
      </c>
      <c r="CG335" s="221">
        <f>SUM(CG212+CG213+CG214+CG217+CG235+CG238)/(SUM(CG212+CG213+CG214+CG217+CG235+CG238)+CG271)</f>
        <v>0.000190340390960489</v>
      </c>
      <c r="CH335" s="221">
        <f>SUM(CH212+CH213+CH214+CH217+CH235+CH238)/(SUM(CH212+CH213+CH214+CH217+CH235+CH238)+CH271)</f>
        <v>0.000169318923583592</v>
      </c>
      <c r="CI335" s="221">
        <f>SUM(CI212+CI213+CI214+CI217+CI235+CI238)/(SUM(CI212+CI213+CI214+CI217+CI235+CI238)+CI271)</f>
        <v>0.000130072072050214</v>
      </c>
      <c r="CK335" s="221">
        <f>SUM(CK212+CK213+CK214+CK217+CK235+CK238)/(SUM(CK212+CK213+CK214+CK217+CK235+CK238)+CK271)</f>
        <v>0.000105595768123883</v>
      </c>
      <c r="CL335" s="221">
        <f>SUM(CL212+CL213+CL214+CL217+CL235+CL238)/(SUM(CL212+CL213+CL214+CL217+CL235+CL238)+CL271)</f>
        <v>6.97414458317027e-05</v>
      </c>
      <c r="CM335" s="221">
        <f>SUM(CM212+CM213+CM214+CM217+CM235+CM238)/(SUM(CM212+CM213+CM214+CM217+CM235+CM238)+CM271)</f>
        <v>6.2032018411517e-05</v>
      </c>
      <c r="CN335" s="221">
        <f>SUM(CN212+CN213+CN214+CN217+CN235+CN238)/(SUM(CN212+CN213+CN214+CN217+CN235+CN238)+CN271)</f>
        <v>4.76433078395999e-05</v>
      </c>
      <c r="CP335" s="221">
        <f>SUM(CP212+CP213+CP214+CP217+CP235+CP238)/(SUM(CP212+CP213+CP214+CP217+CP235+CP238)+CP271)</f>
        <v>3.86728913529768e-05</v>
      </c>
      <c r="CQ335" s="221">
        <f>SUM(CQ212+CQ213+CQ214+CQ217+CQ235+CQ238)/(SUM(CQ212+CQ213+CQ214+CQ217+CQ235+CQ238)+CQ271)</f>
        <v>2.55368043577729e-05</v>
      </c>
      <c r="CR335" s="221">
        <f>SUM(CR212+CR213+CR214+CR217+CR235+CR238)/(SUM(CR212+CR213+CR214+CR217+CR235+CR238)+CR271)</f>
        <v>2.27129392553291e-05</v>
      </c>
      <c r="CS335" s="221">
        <f>SUM(CS212+CS213+CS214+CS217+CS235+CS238)/(SUM(CS212+CS213+CS214+CS217+CS235+CS238)+CS271)</f>
        <v>1.7443170213756e-05</v>
      </c>
      <c r="CU335" s="221">
        <f>SUM(CU212+CU213+CU214+CU217+CU235+CU238)/(SUM(CU212+CU213+CU214+CU217+CU235+CU238)+CU271)</f>
        <v>1.41582316222502e-05</v>
      </c>
      <c r="CV335" s="221">
        <f>SUM(CV212+CV213+CV214+CV217+CV235+CV238)/(SUM(CV212+CV213+CV214+CV217+CV235+CV238)+CV271)</f>
        <v>9.34841445624874e-06</v>
      </c>
      <c r="CW335" s="221">
        <f>SUM(CW212+CW213+CW214+CW217+CW235+CW238)/(SUM(CW212+CW213+CW214+CW217+CW235+CW238)+CW271)</f>
        <v>8.3145374517717e-06</v>
      </c>
      <c r="CX335" s="221">
        <f>SUM(CX212+CX213+CX214+CX217+CX235+CX238)/(SUM(CX212+CX213+CX214+CX217+CX235+CX238)+CX271)</f>
        <v>6.38524775945296e-06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-0.866824598589696</v>
      </c>
      <c r="I336" s="219">
        <f>IFERROR((SUM(I212,I213,I214,I217,I235,I238)-I144)/(I69+G69+F69+E69),"")</f>
        <v>-0.763427715119489</v>
      </c>
      <c r="J336" s="219">
        <f>IFERROR((SUM(J212,J213,J214,J217,J235,J238)-J144)/(J69+I69+G69+F69),"")</f>
        <v>-0.766635621675939</v>
      </c>
      <c r="K336" s="219">
        <f>IFERROR((SUM(K212,K213,K214,K217,K235,K238)-K144)/(K69+J69+I69+G69),"")</f>
        <v>-0.777490148039431</v>
      </c>
      <c r="L336" s="219">
        <f>IFERROR((SUM(L212,L213,L214,L217,L235,L238)-L144)/(L69+K69+J69+I69),"")</f>
        <v>-0.669500960530912</v>
      </c>
      <c r="N336" s="219">
        <f>IFERROR((SUM(N212,N213,N214,N217,N235,N238)-N144)/(N69+L69+K69+J69),"")</f>
        <v>-0.453278200670363</v>
      </c>
      <c r="O336" s="219">
        <f>IFERROR((SUM(O212,O213,O214,O217,O235,O238)-O144)/(O69+N69+L69+K69),"")</f>
        <v>-0.444456936111934</v>
      </c>
      <c r="P336" s="219">
        <f>IFERROR((SUM(P212,P213,P214,P217,P235,P238)-P144)/(P69+O69+N69+L69),"")</f>
        <v>-0.475983019422296</v>
      </c>
      <c r="Q336" s="219">
        <f>IFERROR((SUM(Q212,Q213,Q214,Q217,Q235,Q238)-Q144)/(Q69+P69+O69+N69),"")</f>
        <v>-0.406102778207309</v>
      </c>
      <c r="S336" s="219">
        <f>IFERROR((SUM(S212,S213,S214,S217,S235,S238)-S144)/(S69+Q69+P69+O69),"")</f>
        <v>-0.444522066640343</v>
      </c>
      <c r="T336" s="219">
        <f>IFERROR((SUM(T212,T213,T214,T217,T235,T238)-T144)/(T69+S69+Q69+P69),"")</f>
        <v>-0.501025550867323</v>
      </c>
      <c r="U336" s="219">
        <f>IFERROR((SUM(U212,U213,U214,U217,U235,U238)-U144)/(U69+T69+S69+Q69),"")</f>
        <v>-0.541472284465342</v>
      </c>
      <c r="V336" s="219">
        <f>IFERROR((SUM(V212,V213,V214,V217,V235,V238)-V144)/(V69+U69+T69+S69),"")</f>
        <v>0.0624342306256153</v>
      </c>
      <c r="X336" s="219">
        <f>IFERROR((SUM(X212,X213,X214,X217,X235,X238)-X144)/(X69+V69+U69+T69),"")</f>
        <v>-0.000876193814071673</v>
      </c>
      <c r="Y336" s="219">
        <f>IFERROR((SUM(Y212,Y213,Y214,Y217,Y235,Y238)-Y144)/(Y69+X69+V69+U69),"")</f>
        <v>-0.0638931065897358</v>
      </c>
      <c r="Z336" s="219">
        <f>IFERROR((SUM(Z212,Z213,Z214,Z217,Z235,Z238)-Z144)/(Z69+Y69+X69+V69),"")</f>
        <v>-0.122083852519825</v>
      </c>
      <c r="AA336" s="219">
        <f>IFERROR((SUM(AA212,AA213,AA214,AA217,AA235,AA238)-AA144)/(AA69+Z69+Y69+X69),"")</f>
        <v>-0.0646513497034533</v>
      </c>
      <c r="AC336" s="219">
        <f>IFERROR((SUM(AC212,AC213,AC214,AC217,AC235,AC238)-AC144)/(AC69+AA69+Z69+Y69),"")</f>
        <v>-0.125782384788063</v>
      </c>
      <c r="AD336" s="219">
        <f>IFERROR((SUM(AD212,AD213,AD214,AD217,AD235,AD238)-AD144)/(AD69+AC69+AA69+Z69),"")</f>
        <v>-0.208856596652344</v>
      </c>
      <c r="AE336" s="219">
        <f>IFERROR((SUM(AE212,AE213,AE214,AE217,AE235,AE238)-AE144)/(AE69+AD69+AC69+AA69),"")</f>
        <v>-0.235856356105776</v>
      </c>
      <c r="AF336" s="219">
        <f>IFERROR((SUM(AF212,AF213,AF214,AF217,AF235,AF238)-AF144)/(AF69+AE69+AD69+AC69),"")</f>
        <v>-0.172411926759435</v>
      </c>
      <c r="AH336" s="219">
        <f>IFERROR((SUM(AH212,AH213,AH214,AH217,AH235,AH238)-AH144)/(AH69+AF69+AE69+AD69),"")</f>
        <v>-0.110636287165215</v>
      </c>
      <c r="AI336" s="219">
        <f>IFERROR((SUM(AI212,AI213,AI214,AI217,AI235,AI238)-AI144)/(AI69+AH69+AF69+AE69),"")</f>
        <v>-0.100747414248685</v>
      </c>
      <c r="AJ336" s="219">
        <f>IFERROR((SUM(AJ212,AJ213,AJ214,AJ217,AJ235,AJ238)-AJ144)/(AJ69+AI69+AH69+AF69),"")</f>
        <v>-0.424778041892688</v>
      </c>
      <c r="AK336" s="219">
        <f>IFERROR((SUM(AK212,AK213,AK214,AK217,AK235,AK238)-AK144)/(AK69+AJ69+AI69+AH69),"")</f>
        <v>-0.668799281365406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-0.989775986035493</v>
      </c>
      <c r="I337" s="219">
        <f>IFERROR((SUM(I212,I213,I217,I238)-I144)/(I69+G69+F69+E69),"")</f>
        <v>-0.88530904119673</v>
      </c>
      <c r="J337" s="219">
        <f>IFERROR((SUM(J212,J213,J217,J238)-J144)/(J69+I69+G69+F69),"")</f>
        <v>-0.884635180510282</v>
      </c>
      <c r="K337" s="219">
        <f>IFERROR((SUM(K212,K213,K217,K238)-K144)/(K69+J69+I69+G69),"")</f>
        <v>-0.89363349551028</v>
      </c>
      <c r="L337" s="219">
        <f>IFERROR((SUM(L212,L213,L217,L238)-L144)/(L69+K69+J69+I69),"")</f>
        <v>-0.787100506461753</v>
      </c>
      <c r="N337" s="219">
        <f>IFERROR((SUM(N212,N213,N217,N238)-N144)/(N69+L69+K69+J69),"")</f>
        <v>-0.571865635017595</v>
      </c>
      <c r="O337" s="219">
        <f>IFERROR((SUM(O212,O213,O217,O238)-O144)/(O69+N69+L69+K69),"")</f>
        <v>-0.561879746123892</v>
      </c>
      <c r="P337" s="219">
        <f>IFERROR((SUM(P212,P213,P217,P238)-P144)/(P69+O69+N69+L69),"")</f>
        <v>-0.59411758746112</v>
      </c>
      <c r="Q337" s="219">
        <f>IFERROR((SUM(Q212,Q213,Q217,Q238)-Q144)/(Q69+P69+O69+N69),"")</f>
        <v>-0.529787124375032</v>
      </c>
      <c r="S337" s="219">
        <f>IFERROR((SUM(S212,S213,S217,S238)-S144)/(S69+Q69+P69+O69),"")</f>
        <v>-0.569176563496644</v>
      </c>
      <c r="T337" s="219">
        <f>IFERROR((SUM(T212,T213,T217,T238)-T144)/(T69+S69+Q69+P69),"")</f>
        <v>-0.625341850289108</v>
      </c>
      <c r="U337" s="219">
        <f>IFERROR((SUM(U212,U213,U217,U238)-U144)/(U69+T69+S69+Q69),"")</f>
        <v>-0.665328949785108</v>
      </c>
      <c r="V337" s="219">
        <f>IFERROR((SUM(V212,V213,V217,V238)-V144)/(V69+U69+T69+S69),"")</f>
        <v>-0.0576903492990258</v>
      </c>
      <c r="X337" s="219">
        <f>IFERROR((SUM(X212,X213,X217,X238)-X144)/(X69+V69+U69+T69),"")</f>
        <v>-0.116127541957736</v>
      </c>
      <c r="Y337" s="219">
        <f>IFERROR((SUM(Y212,Y213,Y217,Y238)-Y144)/(Y69+X69+V69+U69),"")</f>
        <v>-0.181544184634072</v>
      </c>
      <c r="Z337" s="219">
        <f>IFERROR((SUM(Z212,Z213,Z217,Z238)-Z144)/(Z69+Y69+X69+V69),"")</f>
        <v>-0.239925381196926</v>
      </c>
      <c r="AA337" s="219">
        <f>IFERROR((SUM(AA212,AA213,AA217,AA238)-AA144)/(AA69+Z69+Y69+X69),"")</f>
        <v>-0.184198492323042</v>
      </c>
      <c r="AC337" s="219">
        <f>IFERROR((SUM(AC212,AC213,AC217,AC238)-AC144)/(AC69+AA69+Z69+Y69),"")</f>
        <v>-0.242552489106035</v>
      </c>
      <c r="AD337" s="219">
        <f>IFERROR((SUM(AD212,AD213,AD217,AD238)-AD144)/(AD69+AC69+AA69+Z69),"")</f>
        <v>-0.316041824183525</v>
      </c>
      <c r="AE337" s="219">
        <f>IFERROR((SUM(AE212,AE213,AE217,AE238)-AE144)/(AE69+AD69+AC69+AA69),"")</f>
        <v>-0.334554640207546</v>
      </c>
      <c r="AF337" s="219">
        <f>IFERROR((SUM(AF212,AF213,AF217,AF238)-AF144)/(AF69+AE69+AD69+AC69),"")</f>
        <v>-0.26628996379106</v>
      </c>
      <c r="AH337" s="219">
        <f>IFERROR((SUM(AH212,AH213,AH217,AH238)-AH144)/(AH69+AF69+AE69+AD69),"")</f>
        <v>-0.197366371387328</v>
      </c>
      <c r="AI337" s="219">
        <f>IFERROR((SUM(AI212,AI213,AI217,AI238)-AI144)/(AI69+AH69+AF69+AE69),"")</f>
        <v>-0.183954500843043</v>
      </c>
      <c r="AJ337" s="219">
        <f>IFERROR((SUM(AJ212,AJ213,AJ217,AJ238)-AJ144)/(AJ69+AI69+AH69+AF69),"")</f>
        <v>-0.536735675152205</v>
      </c>
      <c r="AK337" s="219">
        <f>IFERROR((SUM(AK212,AK213,AK217,AK238)-AK144)/(AK69+AJ69+AI69+AH69),"")</f>
        <v>-0.833805769038826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21.1319218241042</v>
      </c>
      <c r="E338" s="219">
        <f>E73/-E74</f>
        <v>19.5437317784257</v>
      </c>
      <c r="F338" s="219">
        <f>F73/-F74</f>
        <v>26.9541595925297</v>
      </c>
      <c r="G338" s="219">
        <f>G73/-G74</f>
        <v>31.3432574430823</v>
      </c>
      <c r="I338" s="219">
        <f>I73/-I74</f>
        <v>26.9320695102686</v>
      </c>
      <c r="J338" s="219">
        <f>J73/-J74</f>
        <v>34.5298372513562</v>
      </c>
      <c r="K338" s="219">
        <f>K73/-K74</f>
        <v>37.5473098330241</v>
      </c>
      <c r="L338" s="219">
        <f>L73/-L74</f>
        <v>42.3752380952381</v>
      </c>
      <c r="N338" s="219">
        <f>N73/-N74</f>
        <v>40.4850894632207</v>
      </c>
      <c r="O338" s="219">
        <f>O73/-O74</f>
        <v>41.3991935483871</v>
      </c>
      <c r="P338" s="219">
        <f>P73/-P74</f>
        <v>43.036</v>
      </c>
      <c r="Q338" s="219">
        <f>Q73/-Q74</f>
        <v>41.630612244898</v>
      </c>
      <c r="S338" s="219">
        <f>S73/-S74</f>
        <v>45.0645161290323</v>
      </c>
      <c r="T338" s="219">
        <f>T73/-T74</f>
        <v>50.3195020746888</v>
      </c>
      <c r="U338" s="219">
        <f>U73/-U74</f>
        <v>51.2285714285714</v>
      </c>
      <c r="V338" s="219">
        <f>V73/-V74</f>
        <v>29.7381738173817</v>
      </c>
      <c r="X338" s="219">
        <f>X73/-X74</f>
        <v>34.47625</v>
      </c>
      <c r="Y338" s="219">
        <f>Y73/-Y74</f>
        <v>39.8359486447932</v>
      </c>
      <c r="Z338" s="219">
        <f>Z73/-Z74</f>
        <v>52.4948453608247</v>
      </c>
      <c r="AA338" s="219">
        <f>AA73/-AA74</f>
        <v>53.2878787878788</v>
      </c>
      <c r="AC338" s="219">
        <f>AC73/-AC74</f>
        <v>53.8720538720539</v>
      </c>
      <c r="AD338" s="219">
        <f>AD73/-AD74</f>
        <v>55.809756097561</v>
      </c>
      <c r="AE338" s="219">
        <f>AE73/-AE74</f>
        <v>54.3853868194842</v>
      </c>
      <c r="AF338" s="219">
        <f>AF73/-AF74</f>
        <v>52.0040760869565</v>
      </c>
      <c r="AH338" s="219">
        <f>AH73/-AH74</f>
        <v>49.3547557840617</v>
      </c>
      <c r="AI338" s="219">
        <f>AI73/-AI74</f>
        <v>48.3945172824791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3.10240360996379</v>
      </c>
      <c r="E341" s="219">
        <f>SUM(E144,E145,E149,E153,E154,E155)/SUM(E198,E202,E204,E205)</f>
        <v>2.65333061069704</v>
      </c>
      <c r="F341" s="219">
        <f>SUM(F144,F145,F149,F153,F154,F155)/SUM(F198,F202,F204,F205)</f>
        <v>2.78602558252962</v>
      </c>
      <c r="G341" s="219">
        <f>SUM(G144,G145,G149,G153,G154,G155)/SUM(G198,G202,G204,G205)</f>
        <v>2.80154269795005</v>
      </c>
      <c r="I341" s="219">
        <f>SUM(I144,I145,I149,I153,I154,I155)/SUM(I198,I202,I204,I205)</f>
        <v>2.58198995977675</v>
      </c>
      <c r="J341" s="219">
        <f>SUM(J144,J145,J149,J153,J154,J155)/SUM(J198,J202,J204,J205)</f>
        <v>2.28834150276106</v>
      </c>
      <c r="K341" s="219">
        <f>SUM(K144,K145,K149,K153,K154,K155)/SUM(K198,K202,K204,K205)</f>
        <v>2.25580041149601</v>
      </c>
      <c r="L341" s="219">
        <f>SUM(L144,L145,L149,L153,L154,L155)/SUM(L198,L202,L204,L205)</f>
        <v>2.40219549867608</v>
      </c>
      <c r="N341" s="219">
        <f>SUM(N144,N145,N149,N153,N154,N155)/SUM(N198,N202,N204,N205)</f>
        <v>2.03358435724666</v>
      </c>
      <c r="O341" s="219">
        <f>SUM(O144,O145,O149,O153,O154,O155)/SUM(O198,O202,O204,O205)</f>
        <v>1.83773948642414</v>
      </c>
      <c r="P341" s="219">
        <f>SUM(P144,P145,P149,P153,P154,P155)/SUM(P198,P202,P204,P205)</f>
        <v>1.91122045138518</v>
      </c>
      <c r="Q341" s="219">
        <f>SUM(Q144,Q145,Q149,Q153,Q154,Q155)/SUM(Q198,Q202,Q204,Q205)</f>
        <v>2.03063522085408</v>
      </c>
      <c r="S341" s="219">
        <f>SUM(S144,S145,S149,S153,S154,S155)/SUM(S198,S202,S204,S205)</f>
        <v>2.06289806912872</v>
      </c>
      <c r="T341" s="219">
        <f>SUM(T144,T145,T149,T153,T154,T155)/SUM(T198,T202,T204,T205)</f>
        <v>1.86302602576288</v>
      </c>
      <c r="U341" s="219">
        <f>SUM(U144,U145,U149,U153,U154,U155)/SUM(U198,U202,U204,U205)</f>
        <v>2.17970095342098</v>
      </c>
      <c r="V341" s="219">
        <f>SUM(V144,V145,V149,V153,V154,V155)/SUM(V198,V202,V204,V205)</f>
        <v>1.60690106295993</v>
      </c>
      <c r="X341" s="219">
        <f>SUM(X144,X145,X149,X153,X154,X155)/SUM(X198,X202,X204,X205)</f>
        <v>1.53727243291798</v>
      </c>
      <c r="Y341" s="219">
        <f>SUM(Y144,Y145,Y149,Y153,Y154,Y155)/SUM(Y198,Y202,Y204,Y205)</f>
        <v>1.37294574709482</v>
      </c>
      <c r="Z341" s="219">
        <f>SUM(Z144,Z145,Z149,Z153,Z154,Z155)/SUM(Z198,Z202,Z204,Z205)</f>
        <v>1.32735433949235</v>
      </c>
      <c r="AA341" s="219">
        <f>SUM(AA144,AA145,AA149,AA153,AA154,AA155)/SUM(AA198,AA202,AA204,AA205)</f>
        <v>1.41922535075361</v>
      </c>
      <c r="AC341" s="219">
        <f>SUM(AC144,AC145,AC149,AC153,AC154,AC155)/SUM(AC198,AC202,AC204,AC205)</f>
        <v>1.40858039511901</v>
      </c>
      <c r="AD341" s="219">
        <f>SUM(AD144,AD145,AD149,AD153,AD154,AD155)/SUM(AD198,AD202,AD204,AD205)</f>
        <v>1.3828127826131</v>
      </c>
      <c r="AE341" s="219">
        <f>SUM(AE144,AE145,AE149,AE153,AE154,AE155)/SUM(AE198,AE202,AE204,AE205)</f>
        <v>1.48678871378692</v>
      </c>
      <c r="AF341" s="219">
        <f>SUM(AF144,AF145,AF149,AF153,AF154,AF155)/SUM(AF198,AF202,AF204,AF205)</f>
        <v>1.43958519749457</v>
      </c>
      <c r="AH341" s="219">
        <f>SUM(AH144,AH145,AH149,AH153,AH154,AH155)/SUM(AH198,AH202,AH204,AH205)</f>
        <v>1.37166528453631</v>
      </c>
      <c r="AI341" s="219">
        <f>SUM(AI144,AI145,AI149,AI153,AI154,AI155)/SUM(AI198,AI202,AI204,AI205)</f>
        <v>1.30145741174701</v>
      </c>
      <c r="AJ341" s="219">
        <f>SUM(AJ144,AJ145,AJ149,AJ153,AJ154,AJ155)/SUM(AJ198,AJ202,AJ204,AJ205)</f>
        <v>1.6864487527958</v>
      </c>
      <c r="AK341" s="219">
        <f>SUM(AK144,AK145,AK149,AK153,AK154,AK155)/SUM(AK198,AK202,AK204,AK205)</f>
        <v>1.72940633682036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2.50415764478975</v>
      </c>
      <c r="E342" s="219">
        <f>SUM(E144)/SUM(E198,E202,E204,E205)</f>
        <v>1.99132159682618</v>
      </c>
      <c r="F342" s="219">
        <f>SUM(F144)/SUM(F198,F202,F204,F205)</f>
        <v>2.17084913230227</v>
      </c>
      <c r="G342" s="219">
        <f>SUM(G144)/SUM(G198,G202,G204,G205)</f>
        <v>2.12512278780657</v>
      </c>
      <c r="I342" s="219">
        <f>SUM(I144)/SUM(I198,I202,I204,I205)</f>
        <v>1.95514639393845</v>
      </c>
      <c r="J342" s="219">
        <f>SUM(J144)/SUM(J198,J202,J204,J205)</f>
        <v>1.61734814171372</v>
      </c>
      <c r="K342" s="219">
        <f>SUM(K144)/SUM(K198,K202,K204,K205)</f>
        <v>1.69017456230024</v>
      </c>
      <c r="L342" s="219">
        <f>SUM(L144)/SUM(L198,L202,L204,L205)</f>
        <v>1.72894141659312</v>
      </c>
      <c r="N342" s="219">
        <f>SUM(N144)/SUM(N198,N202,N204,N205)</f>
        <v>1.38318139780684</v>
      </c>
      <c r="O342" s="219">
        <f>SUM(O144)/SUM(O198,O202,O204,O205)</f>
        <v>1.13455644244203</v>
      </c>
      <c r="P342" s="219">
        <f>SUM(P144)/SUM(P198,P202,P204,P205)</f>
        <v>1.27478874745962</v>
      </c>
      <c r="Q342" s="219">
        <f>SUM(Q144)/SUM(Q198,Q202,Q204,Q205)</f>
        <v>1.28032320736995</v>
      </c>
      <c r="S342" s="219">
        <f>SUM(S144)/SUM(S198,S202,S204,S205)</f>
        <v>1.31443999697908</v>
      </c>
      <c r="T342" s="219">
        <f>SUM(T144)/SUM(T198,T202,T204,T205)</f>
        <v>1.12497219469778</v>
      </c>
      <c r="U342" s="219">
        <f>SUM(U144)/SUM(U198,U202,U204,U205)</f>
        <v>1.51151875341258</v>
      </c>
      <c r="V342" s="219">
        <f>SUM(V144)/SUM(V198,V202,V204,V205)</f>
        <v>0.8832597437994</v>
      </c>
      <c r="X342" s="219">
        <f>SUM(X144)/SUM(X198,X202,X204,X205)</f>
        <v>0.835807021025475</v>
      </c>
      <c r="Y342" s="219">
        <f>SUM(Y144)/SUM(Y198,Y202,Y204,Y205)</f>
        <v>0.64930722684453</v>
      </c>
      <c r="Z342" s="219">
        <f>SUM(Z144)/SUM(Z198,Z202,Z204,Z205)</f>
        <v>0.694354188984604</v>
      </c>
      <c r="AA342" s="219">
        <f>SUM(AA144)/SUM(AA198,AA202,AA204,AA205)</f>
        <v>0.690458729760503</v>
      </c>
      <c r="AC342" s="219">
        <f>SUM(AC144)/SUM(AC198,AC202,AC204,AC205)</f>
        <v>0.715944140207001</v>
      </c>
      <c r="AD342" s="219">
        <f>SUM(AD144)/SUM(AD198,AD202,AD204,AD205)</f>
        <v>0.684167878511637</v>
      </c>
      <c r="AE342" s="219">
        <f>SUM(AE144)/SUM(AE198,AE202,AE204,AE205)</f>
        <v>0.802208172124186</v>
      </c>
      <c r="AF342" s="219">
        <f>SUM(AF144)/SUM(AF198,AF202,AF204,AF205)</f>
        <v>0.714735395628276</v>
      </c>
      <c r="AH342" s="219">
        <f>SUM(AH144)/SUM(AH198,AH202,AH204,AH205)</f>
        <v>0.612351551376132</v>
      </c>
      <c r="AI342" s="219">
        <f>SUM(AI144)/SUM(AI198,AI202,AI204,AI205)</f>
        <v>0.481478464642414</v>
      </c>
      <c r="AJ342" s="219">
        <f>SUM(AJ144)/SUM(AJ198,AJ202,AJ204,AJ205)</f>
        <v>1.19906121179904</v>
      </c>
      <c r="AK342" s="219">
        <f>SUM(AK144)/SUM(AK198,AK202,AK204,AK205)</f>
        <v>1.2420187958236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0.21333337443803</v>
      </c>
      <c r="E345" s="238">
        <f>E347/E350</f>
        <v>0.211205968427888</v>
      </c>
      <c r="F345" s="238">
        <f>F347/F350</f>
        <v>0.240380174005718</v>
      </c>
      <c r="G345" s="238">
        <f>G347/G350</f>
        <v>0.22246406555953</v>
      </c>
      <c r="H345" s="238">
        <f>H347/H350</f>
        <v>0.749226674941541</v>
      </c>
      <c r="I345" s="222">
        <f>I347/I350</f>
        <v>0.19958491756155</v>
      </c>
      <c r="J345" s="222">
        <f>J347/J350</f>
        <v>0.203386779651675</v>
      </c>
      <c r="K345" s="222">
        <f>K347/K350</f>
        <v>0.238117423282702</v>
      </c>
      <c r="L345" s="222">
        <f>L347/L350</f>
        <v>0.187531726967468</v>
      </c>
      <c r="M345" s="222">
        <f>M347/M350</f>
        <v>0.710465631134458</v>
      </c>
      <c r="N345" s="222">
        <f>N347/N350</f>
        <v>0.140814936333479</v>
      </c>
      <c r="O345" s="222">
        <f>O347/O350</f>
        <v>0.136094446736149</v>
      </c>
      <c r="P345" s="222">
        <f>P347/P350</f>
        <v>0.138097871852217</v>
      </c>
      <c r="Q345" s="222">
        <f>Q347/Q350</f>
        <v>0.114374361836146</v>
      </c>
      <c r="R345" s="222">
        <f>R347/R350</f>
        <v>0.469582167706798</v>
      </c>
      <c r="S345" s="222">
        <f>S347/S350</f>
        <v>0.11940644860934</v>
      </c>
      <c r="T345" s="222">
        <f>T347/T350</f>
        <v>0.126782953102795</v>
      </c>
      <c r="U345" s="222">
        <f>U347/U350</f>
        <v>0.135451340750381</v>
      </c>
      <c r="V345" s="222">
        <f>V347/V350</f>
        <v>0.089805030744869</v>
      </c>
      <c r="W345" s="222">
        <f>W347/W350</f>
        <v>0.330369855322418</v>
      </c>
      <c r="X345" s="222">
        <f>X347/X350</f>
        <v>0.0886067935974656</v>
      </c>
      <c r="Y345" s="222">
        <f>Y347/Y350</f>
        <v>0.0859674578917981</v>
      </c>
      <c r="Z345" s="222">
        <f>Z347/Z350</f>
        <v>0.0910819819862473</v>
      </c>
      <c r="AA345" s="222">
        <f>AA347/AA350</f>
        <v>0.0878283752570684</v>
      </c>
      <c r="AB345" s="222">
        <f>AB347/AB350</f>
        <v>0.324787553908192</v>
      </c>
      <c r="AC345" s="222">
        <f>AC347/AC350</f>
        <v>0.0862476125861094</v>
      </c>
      <c r="AD345" s="222">
        <f>AD347/AD350</f>
        <v>0.0917543352938132</v>
      </c>
      <c r="AE345" s="222">
        <f>AE347/AE350</f>
        <v>0.0946388972965522</v>
      </c>
      <c r="AF345" s="222">
        <f>AF347/AF350</f>
        <v>0.0843056728829302</v>
      </c>
      <c r="AG345" s="222">
        <f>AG347/AG350</f>
        <v>0.320595009927833</v>
      </c>
      <c r="AH345" s="222">
        <f>AH347/AH350</f>
        <v>0.0783340517609655</v>
      </c>
      <c r="AI345" s="222">
        <f>AI347/AI350</f>
        <v>0.0774979428124176</v>
      </c>
      <c r="AJ345" s="222">
        <f>AJ347/AJ350</f>
        <v>0</v>
      </c>
      <c r="AK345" s="222">
        <f>AK347/AK350</f>
        <v>0</v>
      </c>
      <c r="AL345" s="222">
        <f>AL347/AL350</f>
        <v>0.169076572118444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1.22684761233743</v>
      </c>
      <c r="E346" s="238">
        <f>E347/E351</f>
        <v>1.16218124234951</v>
      </c>
      <c r="F346" s="238">
        <f>F347/F351</f>
        <v>1.05088073766178</v>
      </c>
      <c r="G346" s="238">
        <f>G347/G351</f>
        <v>0.638921392301701</v>
      </c>
      <c r="H346" s="238">
        <f>H347/H351</f>
        <v>2.15179448914246</v>
      </c>
      <c r="I346" s="222">
        <f>I347/I351</f>
        <v>0.568278789359264</v>
      </c>
      <c r="J346" s="222">
        <f>J347/J351</f>
        <v>0.541351755024866</v>
      </c>
      <c r="K346" s="222">
        <f>K347/K351</f>
        <v>0.586779986162983</v>
      </c>
      <c r="L346" s="222">
        <f>L347/L351</f>
        <v>0.38667883691117</v>
      </c>
      <c r="M346" s="222">
        <f>M347/M351</f>
        <v>1.46493624494851</v>
      </c>
      <c r="N346" s="222">
        <f>N347/N351</f>
        <v>0.321699316292729</v>
      </c>
      <c r="O346" s="222">
        <f>O347/O351</f>
        <v>0.300898546759674</v>
      </c>
      <c r="P346" s="222">
        <f>P347/P351</f>
        <v>0.295064078040569</v>
      </c>
      <c r="Q346" s="222">
        <f>Q347/Q351</f>
        <v>0.216397206074428</v>
      </c>
      <c r="R346" s="222">
        <f>R347/R351</f>
        <v>0.888453211740769</v>
      </c>
      <c r="S346" s="222">
        <f>S347/S351</f>
        <v>0.216982514504439</v>
      </c>
      <c r="T346" s="222">
        <f>T347/T351</f>
        <v>0.225176600906533</v>
      </c>
      <c r="U346" s="222">
        <f>U347/U351</f>
        <v>0.232687938402325</v>
      </c>
      <c r="V346" s="222">
        <f>V347/V351</f>
        <v>0.172445365245403</v>
      </c>
      <c r="W346" s="222">
        <f>W347/W351</f>
        <v>0.6343826163703</v>
      </c>
      <c r="X346" s="222">
        <f>X347/X351</f>
        <v>0.166045783134934</v>
      </c>
      <c r="Y346" s="222">
        <f>Y347/Y351</f>
        <v>0.157409753808124</v>
      </c>
      <c r="Z346" s="222">
        <f>Z347/Z351</f>
        <v>0.161693882996939</v>
      </c>
      <c r="AA346" s="222">
        <f>AA347/AA351</f>
        <v>0.14707671341213</v>
      </c>
      <c r="AB346" s="222">
        <f>AB347/AB351</f>
        <v>0.543886709120666</v>
      </c>
      <c r="AC346" s="222">
        <f>AC347/AC351</f>
        <v>0.141570277716962</v>
      </c>
      <c r="AD346" s="222">
        <f>AD347/AD351</f>
        <v>0.148620915129876</v>
      </c>
      <c r="AE346" s="222">
        <f>AE347/AE351</f>
        <v>0.149811793065529</v>
      </c>
      <c r="AF346" s="222">
        <f>AF347/AF351</f>
        <v>0.125931324837337</v>
      </c>
      <c r="AG346" s="222">
        <f>AG347/AG351</f>
        <v>0.478887754001019</v>
      </c>
      <c r="AH346" s="222">
        <f>AH347/AH351</f>
        <v>0.112259490844017</v>
      </c>
      <c r="AI346" s="222">
        <f>AI347/AI351</f>
        <v>0.107823401095028</v>
      </c>
      <c r="AJ346" s="222">
        <f>AJ347/AJ351</f>
        <v>0</v>
      </c>
      <c r="AK346" s="222">
        <f>AK347/AK351</f>
        <v>0</v>
      </c>
      <c r="AL346" s="222">
        <f>AL347/AL351</f>
        <v>0.245478575738515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10862.5087596356</v>
      </c>
      <c r="E347" s="233">
        <f>E348*(1-E349)</f>
        <v>11189.4810013411</v>
      </c>
      <c r="F347" s="233">
        <f>F348*(1-F349)</f>
        <v>13679.3145621434</v>
      </c>
      <c r="G347" s="233">
        <f>G348*(1-G349)</f>
        <v>15091.9622075585</v>
      </c>
      <c r="H347" s="233">
        <f>H348*(1-H349)</f>
        <v>50827.5376280341</v>
      </c>
      <c r="I347" s="223">
        <f>I348*(1-I349)</f>
        <v>15288.4042701323</v>
      </c>
      <c r="J347" s="224">
        <f>J348*(1-J349)</f>
        <v>16195.0791033239</v>
      </c>
      <c r="K347" s="224">
        <f>K348*(1-K349)</f>
        <v>20219.2647632041</v>
      </c>
      <c r="L347" s="224">
        <f>L348*(1-L349)</f>
        <v>18541.6369087275</v>
      </c>
      <c r="M347" s="224">
        <f>M348*(1-M349)</f>
        <v>70245.1578815261</v>
      </c>
      <c r="N347" s="223">
        <f>N348*(1-N349)</f>
        <v>16872.1640416048</v>
      </c>
      <c r="O347" s="224">
        <f>O348*(1-O349)</f>
        <v>16778.4038658662</v>
      </c>
      <c r="P347" s="224">
        <f>P348*(1-P349)</f>
        <v>17512.0530317078</v>
      </c>
      <c r="Q347" s="224">
        <f>Q348*(1-Q349)</f>
        <v>16473.4537096219</v>
      </c>
      <c r="R347" s="224">
        <f>R348*(1-R349)</f>
        <v>67634.3891969778</v>
      </c>
      <c r="S347" s="223">
        <f>S348*(1-S349)</f>
        <v>18039.9262558991</v>
      </c>
      <c r="T347" s="224">
        <f>T348*(1-T349)</f>
        <v>19696.8728110972</v>
      </c>
      <c r="U347" s="224">
        <f>U348*(1-U349)</f>
        <v>21973.1873992083</v>
      </c>
      <c r="V347" s="224">
        <f>V348*(1-V349)</f>
        <v>22287.1838950464</v>
      </c>
      <c r="W347" s="224">
        <f>W348*(1-W349)</f>
        <v>81988.8781049303</v>
      </c>
      <c r="X347" s="223">
        <f>X348*(1-X349)</f>
        <v>22640.010438882</v>
      </c>
      <c r="Y347" s="224">
        <f>Y348*(1-Y349)</f>
        <v>22581.8458715596</v>
      </c>
      <c r="Z347" s="224">
        <f>Z348*(1-Z349)</f>
        <v>24897.6241038686</v>
      </c>
      <c r="AA347" s="224">
        <f>AA348*(1-AA349)</f>
        <v>25986.3961859356</v>
      </c>
      <c r="AB347" s="224">
        <f>AB348*(1-AB349)</f>
        <v>96097.167087694</v>
      </c>
      <c r="AC347" s="223">
        <f>AC348*(1-AC349)</f>
        <v>26336.7434745196</v>
      </c>
      <c r="AD347" s="224">
        <f>AD348*(1-AD349)</f>
        <v>28658.2738226637</v>
      </c>
      <c r="AE347" s="224">
        <f>AE348*(1-AE349)</f>
        <v>30707.6722836069</v>
      </c>
      <c r="AF347" s="224">
        <f>AF348*(1-AF349)</f>
        <v>30509.8857936409</v>
      </c>
      <c r="AG347" s="224">
        <f>AG348*(1-AG349)</f>
        <v>116022.051712843</v>
      </c>
      <c r="AH347" s="223">
        <f>AH348*(1-AH349)</f>
        <v>31017.0728012201</v>
      </c>
      <c r="AI347" s="224">
        <f>AI348*(1-AI349)</f>
        <v>32969.48482303</v>
      </c>
      <c r="AJ347" s="224">
        <f>AJ348*(1-AJ349)</f>
        <v>0</v>
      </c>
      <c r="AK347" s="224">
        <f>AK348*(1-AK349)</f>
        <v>0</v>
      </c>
      <c r="AL347" s="224">
        <f>AL348*(1-AL349)</f>
        <v>64999.2901554984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12975</v>
      </c>
      <c r="E348" s="239">
        <f>E73</f>
        <v>13407</v>
      </c>
      <c r="F348" s="239">
        <f>F73</f>
        <v>15876</v>
      </c>
      <c r="G348" s="239">
        <f>G73</f>
        <v>17897</v>
      </c>
      <c r="H348" s="239">
        <f>H73</f>
        <v>60155</v>
      </c>
      <c r="I348" s="36">
        <f>I73</f>
        <v>17048</v>
      </c>
      <c r="J348" s="36">
        <f>J73</f>
        <v>19095</v>
      </c>
      <c r="K348" s="36">
        <f>K73</f>
        <v>20238</v>
      </c>
      <c r="L348" s="36">
        <f>L73</f>
        <v>22247</v>
      </c>
      <c r="M348" s="36">
        <f>M73</f>
        <v>78628</v>
      </c>
      <c r="N348" s="36">
        <f>N73</f>
        <v>20364</v>
      </c>
      <c r="O348" s="36">
        <f>O73</f>
        <v>20534</v>
      </c>
      <c r="P348" s="36">
        <f>P73</f>
        <v>21518</v>
      </c>
      <c r="Q348" s="36">
        <f>Q73</f>
        <v>20399</v>
      </c>
      <c r="R348" s="36">
        <f>R73</f>
        <v>82815</v>
      </c>
      <c r="S348" s="36">
        <f>S73</f>
        <v>22352</v>
      </c>
      <c r="T348" s="36">
        <f>T73</f>
        <v>24254</v>
      </c>
      <c r="U348" s="36">
        <f>U73</f>
        <v>26895</v>
      </c>
      <c r="V348" s="36">
        <f>V73</f>
        <v>27032</v>
      </c>
      <c r="W348" s="36">
        <f>W73</f>
        <v>100533</v>
      </c>
      <c r="X348" s="36">
        <f>X73</f>
        <v>27581</v>
      </c>
      <c r="Y348" s="36">
        <f>Y73</f>
        <v>27925</v>
      </c>
      <c r="Z348" s="36">
        <f>Z73</f>
        <v>30552</v>
      </c>
      <c r="AA348" s="36">
        <f>AA73</f>
        <v>31653</v>
      </c>
      <c r="AB348" s="36">
        <f>AB73</f>
        <v>117711</v>
      </c>
      <c r="AC348" s="36">
        <f>AC73</f>
        <v>32000</v>
      </c>
      <c r="AD348" s="36">
        <f>AD73</f>
        <v>34323</v>
      </c>
      <c r="AE348" s="36">
        <f>AE73</f>
        <v>37961</v>
      </c>
      <c r="AF348" s="36">
        <f>AF73</f>
        <v>38275</v>
      </c>
      <c r="AG348" s="36">
        <f>AG73</f>
        <v>142559</v>
      </c>
      <c r="AH348" s="36">
        <f>AH73</f>
        <v>38398</v>
      </c>
      <c r="AI348" s="36">
        <f>AI73</f>
        <v>40603</v>
      </c>
      <c r="AJ348" s="36">
        <f>AJ73</f>
        <v>0</v>
      </c>
      <c r="AK348" s="36">
        <f>AK73</f>
        <v>0</v>
      </c>
      <c r="AL348" s="36">
        <f>AL73</f>
        <v>79001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0.162812427003037</v>
      </c>
      <c r="E349" s="240">
        <f>E132</f>
        <v>0.165400089405454</v>
      </c>
      <c r="F349" s="240">
        <f>F132</f>
        <v>0.138365169933019</v>
      </c>
      <c r="G349" s="240">
        <f>G132</f>
        <v>0.156732289905655</v>
      </c>
      <c r="H349" s="240">
        <f>H132</f>
        <v>0.155057141916148</v>
      </c>
      <c r="I349" s="225">
        <f>I132</f>
        <v>0.103214202831283</v>
      </c>
      <c r="J349" s="225">
        <f>J132</f>
        <v>0.151868075238341</v>
      </c>
      <c r="K349" s="225">
        <f>K132</f>
        <v>0.000925745468719548</v>
      </c>
      <c r="L349" s="225">
        <f>L132</f>
        <v>0.16655562958028</v>
      </c>
      <c r="M349" s="225">
        <f>M132</f>
        <v>0.106613955823293</v>
      </c>
      <c r="N349" s="225">
        <f>N132</f>
        <v>0.17147102526003</v>
      </c>
      <c r="O349" s="225">
        <f>O132</f>
        <v>0.182896470932787</v>
      </c>
      <c r="P349" s="225">
        <f>P132</f>
        <v>0.18616725384758</v>
      </c>
      <c r="Q349" s="225">
        <f>Q132</f>
        <v>0.192438172968189</v>
      </c>
      <c r="R349" s="225">
        <f>R132</f>
        <v>0.183307502300576</v>
      </c>
      <c r="S349" s="225">
        <f>S132</f>
        <v>0.192916685043885</v>
      </c>
      <c r="T349" s="225">
        <f>T132</f>
        <v>0.187891778218142</v>
      </c>
      <c r="U349" s="225">
        <f>U132</f>
        <v>0.183001026242486</v>
      </c>
      <c r="V349" s="225">
        <f>V132</f>
        <v>0.175525899117847</v>
      </c>
      <c r="W349" s="225">
        <f>W132</f>
        <v>0.184458057504199</v>
      </c>
      <c r="X349" s="225">
        <f>X132</f>
        <v>0.179144685149848</v>
      </c>
      <c r="Y349" s="225">
        <f>Y132</f>
        <v>0.191339449541284</v>
      </c>
      <c r="Z349" s="225">
        <f>Z132</f>
        <v>0.185073837919984</v>
      </c>
      <c r="AA349" s="225">
        <f>AA132</f>
        <v>0.179022646007151</v>
      </c>
      <c r="AB349" s="225">
        <f>AB132</f>
        <v>0.183617783489275</v>
      </c>
      <c r="AC349" s="225">
        <f>AC132</f>
        <v>0.176976766421264</v>
      </c>
      <c r="AD349" s="225">
        <f>AD132</f>
        <v>0.165041697326466</v>
      </c>
      <c r="AE349" s="225">
        <f>AE132</f>
        <v>0.191073146555494</v>
      </c>
      <c r="AF349" s="225">
        <f>AF132</f>
        <v>0.202876922439166</v>
      </c>
      <c r="AG349" s="225">
        <f>AG132</f>
        <v>0.186147127064283</v>
      </c>
      <c r="AH349" s="225">
        <f>AH132</f>
        <v>0.192221657346213</v>
      </c>
      <c r="AI349" s="225">
        <f>AI132</f>
        <v>0.188003723295571</v>
      </c>
      <c r="AJ349" s="225">
        <f>AJ132</f>
        <v>0</v>
      </c>
      <c r="AK349" s="225">
        <f>AK132</f>
        <v>0</v>
      </c>
      <c r="AL349" s="225">
        <f>AL132</f>
        <v>0.177234589998881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50918</v>
      </c>
      <c r="E350" s="239">
        <f>E353-E354+E355</f>
        <v>52979</v>
      </c>
      <c r="F350" s="239">
        <f>F353-F354+F355</f>
        <v>56907</v>
      </c>
      <c r="G350" s="239">
        <f>G353-G354+G355</f>
        <v>67840</v>
      </c>
      <c r="H350" s="239">
        <f>H353-H354+H355</f>
        <v>67840</v>
      </c>
      <c r="I350" s="36">
        <f>I353-I354+I355</f>
        <v>76601</v>
      </c>
      <c r="J350" s="36">
        <f>J353-J354+J355</f>
        <v>79627</v>
      </c>
      <c r="K350" s="36">
        <f>K353-K354+K355</f>
        <v>84913</v>
      </c>
      <c r="L350" s="36">
        <f>L353-L354+L355</f>
        <v>98872</v>
      </c>
      <c r="M350" s="36">
        <f>M353-M354+M355</f>
        <v>98872</v>
      </c>
      <c r="N350" s="36">
        <f>N353-N354+N355</f>
        <v>119818</v>
      </c>
      <c r="O350" s="36">
        <f>O353-O354+O355</f>
        <v>123285</v>
      </c>
      <c r="P350" s="36">
        <f>P353-P354+P355</f>
        <v>126809</v>
      </c>
      <c r="Q350" s="36">
        <f>Q353-Q354+Q355</f>
        <v>144031</v>
      </c>
      <c r="R350" s="36">
        <f>R353-R354+R355</f>
        <v>144031</v>
      </c>
      <c r="S350" s="36">
        <f>S353-S354+S355</f>
        <v>151080</v>
      </c>
      <c r="T350" s="36">
        <f>T353-T354+T355</f>
        <v>155359</v>
      </c>
      <c r="U350" s="36">
        <f>U353-U354+U355</f>
        <v>162222</v>
      </c>
      <c r="V350" s="36">
        <f>V353-V354+V355</f>
        <v>248173</v>
      </c>
      <c r="W350" s="36">
        <f>W353-W354+W355</f>
        <v>248173</v>
      </c>
      <c r="X350" s="36">
        <f>X353-X354+X355</f>
        <v>255511</v>
      </c>
      <c r="Y350" s="36">
        <f>Y353-Y354+Y355</f>
        <v>262679</v>
      </c>
      <c r="Z350" s="36">
        <f>Z353-Z354+Z355</f>
        <v>273354</v>
      </c>
      <c r="AA350" s="36">
        <f>AA353-AA354+AA355</f>
        <v>295877</v>
      </c>
      <c r="AB350" s="36">
        <f>AB353-AB354+AB355</f>
        <v>295877</v>
      </c>
      <c r="AC350" s="36">
        <f>AC353-AC354+AC355</f>
        <v>305362</v>
      </c>
      <c r="AD350" s="36">
        <f>AD353-AD354+AD355</f>
        <v>312337</v>
      </c>
      <c r="AE350" s="36">
        <f>AE353-AE354+AE355</f>
        <v>324472</v>
      </c>
      <c r="AF350" s="36">
        <f>AF353-AF354+AF355</f>
        <v>361896</v>
      </c>
      <c r="AG350" s="36">
        <f>AG353-AG354+AG355</f>
        <v>361896</v>
      </c>
      <c r="AH350" s="36">
        <f>AH353-AH354+AH355</f>
        <v>395959</v>
      </c>
      <c r="AI350" s="36">
        <f>AI353-AI354+AI355</f>
        <v>425424</v>
      </c>
      <c r="AJ350" s="36">
        <f>AJ353-AJ354+AJ355</f>
        <v>384437</v>
      </c>
      <c r="AK350" s="36">
        <f>AK353-AK354+AK355</f>
        <v>384437</v>
      </c>
      <c r="AL350" s="36">
        <f>AL353-AL354+AL355</f>
        <v>384437</v>
      </c>
      <c r="AM350" s="36" t="e">
        <f>AM353-AM354+AM355</f>
        <v>#DIV/0!</v>
      </c>
      <c r="AN350" s="36">
        <f>AN353-AN354+AN355</f>
        <v>384437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8854</v>
      </c>
      <c r="E351" s="241">
        <f>E350-E179</f>
        <v>9628</v>
      </c>
      <c r="F351" s="241">
        <f>F350-F179</f>
        <v>13017</v>
      </c>
      <c r="G351" s="241">
        <f>G350-G179</f>
        <v>23621</v>
      </c>
      <c r="H351" s="241">
        <f>H350-H179</f>
        <v>23621</v>
      </c>
      <c r="I351" s="226">
        <f>I350-I179</f>
        <v>26903</v>
      </c>
      <c r="J351" s="226">
        <f>J350-J179</f>
        <v>29916</v>
      </c>
      <c r="K351" s="226">
        <f>K350-K179</f>
        <v>34458</v>
      </c>
      <c r="L351" s="226">
        <f>L350-L179</f>
        <v>47951</v>
      </c>
      <c r="M351" s="226">
        <f>M350-M179</f>
        <v>47951</v>
      </c>
      <c r="N351" s="226">
        <f>N350-N179</f>
        <v>52447</v>
      </c>
      <c r="O351" s="226">
        <f>O350-O179</f>
        <v>55761</v>
      </c>
      <c r="P351" s="226">
        <f>P350-P179</f>
        <v>59350</v>
      </c>
      <c r="Q351" s="226">
        <f>Q350-Q179</f>
        <v>76126</v>
      </c>
      <c r="R351" s="226">
        <f>R350-R179</f>
        <v>76126</v>
      </c>
      <c r="S351" s="226">
        <f>S350-S179</f>
        <v>83140</v>
      </c>
      <c r="T351" s="226">
        <f>T350-T179</f>
        <v>87473</v>
      </c>
      <c r="U351" s="226">
        <f>U350-U179</f>
        <v>94432</v>
      </c>
      <c r="V351" s="226">
        <f>V350-V179</f>
        <v>129242</v>
      </c>
      <c r="W351" s="226">
        <f>W350-W179</f>
        <v>129242</v>
      </c>
      <c r="X351" s="226">
        <f>X350-X179</f>
        <v>136348</v>
      </c>
      <c r="Y351" s="226">
        <f>Y350-Y179</f>
        <v>143459</v>
      </c>
      <c r="Z351" s="226">
        <f>Z350-Z179</f>
        <v>153980</v>
      </c>
      <c r="AA351" s="226">
        <f>AA350-AA179</f>
        <v>176686</v>
      </c>
      <c r="AB351" s="226">
        <f>AB350-AB179</f>
        <v>176686</v>
      </c>
      <c r="AC351" s="226">
        <f>AC350-AC179</f>
        <v>186033</v>
      </c>
      <c r="AD351" s="226">
        <f>AD350-AD179</f>
        <v>192828</v>
      </c>
      <c r="AE351" s="226">
        <f>AE350-AE179</f>
        <v>204975</v>
      </c>
      <c r="AF351" s="226">
        <f>AF350-AF179</f>
        <v>242274</v>
      </c>
      <c r="AG351" s="226">
        <f>AG350-AG179</f>
        <v>242274</v>
      </c>
      <c r="AH351" s="226">
        <f>AH350-AH179</f>
        <v>276298</v>
      </c>
      <c r="AI351" s="226">
        <f>AI350-AI179</f>
        <v>305773</v>
      </c>
      <c r="AJ351" s="226">
        <f>AJ350-AJ179</f>
        <v>264786</v>
      </c>
      <c r="AK351" s="226">
        <f>AK350-AK179</f>
        <v>264786</v>
      </c>
      <c r="AL351" s="226">
        <f>AL350-AL179</f>
        <v>264786</v>
      </c>
      <c r="AM351" s="226" t="e">
        <f>AM350-AM179</f>
        <v>#DIV/0!</v>
      </c>
      <c r="AN351" s="226">
        <f>AN350-AN179</f>
        <v>264786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-22080</v>
      </c>
      <c r="E352" s="242">
        <f>E353-E354</f>
        <v>-23173</v>
      </c>
      <c r="F352" s="242">
        <f>F353-F354</f>
        <v>-24459</v>
      </c>
      <c r="G352" s="242">
        <f>G353-G354</f>
        <v>-20094</v>
      </c>
      <c r="H352" s="242">
        <f>H353-H354</f>
        <v>-20094</v>
      </c>
      <c r="I352" s="36">
        <f>I353-I354</f>
        <v>-23935</v>
      </c>
      <c r="J352" s="36">
        <f>J353-J354</f>
        <v>-26513</v>
      </c>
      <c r="K352" s="36">
        <f>K353-K354</f>
        <v>-33568</v>
      </c>
      <c r="L352" s="36">
        <f>L353-L354</f>
        <v>-23693</v>
      </c>
      <c r="M352" s="36">
        <f>M353-M354</f>
        <v>-23693</v>
      </c>
      <c r="N352" s="36">
        <f>N353-N354</f>
        <v>-26461</v>
      </c>
      <c r="O352" s="36">
        <f>O353-O354</f>
        <v>-27406</v>
      </c>
      <c r="P352" s="36">
        <f>P353-P354</f>
        <v>-30591</v>
      </c>
      <c r="Q352" s="36">
        <f>Q353-Q354</f>
        <v>-19406</v>
      </c>
      <c r="R352" s="36">
        <f>R353-R354</f>
        <v>-19406</v>
      </c>
      <c r="S352" s="36">
        <f>S353-S354</f>
        <v>-19984</v>
      </c>
      <c r="T352" s="36">
        <f>T353-T354</f>
        <v>-25907</v>
      </c>
      <c r="U352" s="36">
        <f>U353-U354</f>
        <v>-31601</v>
      </c>
      <c r="V352" s="36">
        <f>V353-V354</f>
        <v>-25349</v>
      </c>
      <c r="W352" s="36">
        <f>W353-W354</f>
        <v>-25349</v>
      </c>
      <c r="X352" s="36">
        <f>X353-X354</f>
        <v>-28582</v>
      </c>
      <c r="Y352" s="36">
        <f>Y353-Y354</f>
        <v>-32153</v>
      </c>
      <c r="Z352" s="36">
        <f>Z353-Z354</f>
        <v>-41453</v>
      </c>
      <c r="AA352" s="36">
        <f>AA353-AA354</f>
        <v>-28109</v>
      </c>
      <c r="AB352" s="36">
        <f>AB353-AB354</f>
        <v>-28109</v>
      </c>
      <c r="AC352" s="36">
        <f>AC353-AC354</f>
        <v>-34181</v>
      </c>
      <c r="AD352" s="36">
        <f>AD353-AD354</f>
        <v>-41653</v>
      </c>
      <c r="AE352" s="36">
        <f>AE353-AE354</f>
        <v>-40110</v>
      </c>
      <c r="AF352" s="36">
        <f>AF353-AF354</f>
        <v>-34440</v>
      </c>
      <c r="AG352" s="36">
        <f>AG353-AG354</f>
        <v>-34440</v>
      </c>
      <c r="AH352" s="36">
        <f>AH353-AH354</f>
        <v>-30765</v>
      </c>
      <c r="AI352" s="36">
        <f>AI353-AI354</f>
        <v>-28731</v>
      </c>
      <c r="AJ352" s="36">
        <f>AJ353-AJ354</f>
        <v>-51109</v>
      </c>
      <c r="AK352" s="36">
        <f>AK353-AK354</f>
        <v>-51109</v>
      </c>
      <c r="AL352" s="36">
        <f>AL353-AL354</f>
        <v>-51109</v>
      </c>
      <c r="AM352" s="36" t="e">
        <f>AM353-AM354</f>
        <v>#DIV/0!</v>
      </c>
      <c r="AN352" s="36">
        <f>AN353-AN354</f>
        <v>-51109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32879</v>
      </c>
      <c r="E353" s="241">
        <f>E145+E149+E153+E154+E155</f>
        <v>45388</v>
      </c>
      <c r="F353" s="241">
        <f>F145+F149+F153+F154+F155</f>
        <v>39100</v>
      </c>
      <c r="G353" s="241">
        <f>G145+G149+G153+G154+G155</f>
        <v>42005</v>
      </c>
      <c r="H353" s="241">
        <f>H145+H149+H153+H154+H155</f>
        <v>42005</v>
      </c>
      <c r="I353" s="226">
        <f>I145+I149+I153+I154+I155</f>
        <v>40207</v>
      </c>
      <c r="J353" s="226">
        <f>J145+J149+J153+J154+J155</f>
        <v>54072</v>
      </c>
      <c r="K353" s="226">
        <f>K145+K149+K153+K154+K155</f>
        <v>43711</v>
      </c>
      <c r="L353" s="226">
        <f>L145+L149+L153+L154+L155</f>
        <v>48819</v>
      </c>
      <c r="M353" s="226">
        <f>M145+M149+M153+M154+M155</f>
        <v>48819</v>
      </c>
      <c r="N353" s="226">
        <f>N145+N149+N153+N154+N155</f>
        <v>49229</v>
      </c>
      <c r="O353" s="226">
        <f>O145+O149+O153+O154+O155</f>
        <v>64927</v>
      </c>
      <c r="P353" s="226">
        <f>P145+P149+P153+P154+P155</f>
        <v>53550</v>
      </c>
      <c r="Q353" s="226">
        <f>Q145+Q149+Q153+Q154+Q155</f>
        <v>58315</v>
      </c>
      <c r="R353" s="226">
        <f>R145+R149+R153+R154+R155</f>
        <v>58315</v>
      </c>
      <c r="S353" s="226">
        <f>S145+S149+S153+S154+S155</f>
        <v>59462</v>
      </c>
      <c r="T353" s="226">
        <f>T145+T149+T153+T154+T155</f>
        <v>72995</v>
      </c>
      <c r="U353" s="226">
        <f>U145+U149+U153+U154+U155</f>
        <v>63635</v>
      </c>
      <c r="V353" s="226">
        <f>V145+V149+V153+V154+V155</f>
        <v>66376</v>
      </c>
      <c r="W353" s="226">
        <f>W145+W149+W153+W154+W155</f>
        <v>66376</v>
      </c>
      <c r="X353" s="226">
        <f>X145+X149+X153+X154+X155</f>
        <v>67159</v>
      </c>
      <c r="Y353" s="226">
        <f>Y145+Y149+Y153+Y154+Y155</f>
        <v>84191</v>
      </c>
      <c r="Z353" s="226">
        <f>Z145+Z149+Z153+Z154+Z155</f>
        <v>71498</v>
      </c>
      <c r="AA353" s="226">
        <f>AA145+AA149+AA153+AA154+AA155</f>
        <v>75525</v>
      </c>
      <c r="AB353" s="226">
        <f>AB145+AB149+AB153+AB154+AB155</f>
        <v>75525</v>
      </c>
      <c r="AC353" s="226">
        <f>AC145+AC149+AC153+AC154+AC155</f>
        <v>77026</v>
      </c>
      <c r="AD353" s="226">
        <f>AD145+AD149+AD153+AD154+AD155</f>
        <v>96566</v>
      </c>
      <c r="AE353" s="226">
        <f>AE145+AE149+AE153+AE154+AE155</f>
        <v>87054</v>
      </c>
      <c r="AF353" s="226">
        <f>AF145+AF149+AF153+AF154+AF155</f>
        <v>90728</v>
      </c>
      <c r="AG353" s="226">
        <f>AG145+AG149+AG153+AG154+AG155</f>
        <v>90728</v>
      </c>
      <c r="AH353" s="226">
        <f>AH145+AH149+AH153+AH154+AH155</f>
        <v>97057</v>
      </c>
      <c r="AI353" s="226">
        <f>AI145+AI149+AI153+AI154+AI155</f>
        <v>130867</v>
      </c>
      <c r="AJ353" s="226">
        <f>AJ145+AJ149+AJ153+AJ154+AJ155</f>
        <v>48594</v>
      </c>
      <c r="AK353" s="226">
        <f>AK145+AK149+AK153+AK154+AK155</f>
        <v>48594</v>
      </c>
      <c r="AL353" s="226">
        <f>AL145+AL149+AL153+AL154+AL155</f>
        <v>48594</v>
      </c>
      <c r="AM353" s="226">
        <f>AM145+AM149+AM153+AM154+AM155</f>
        <v>48594</v>
      </c>
      <c r="AN353" s="226">
        <f>AN145+AN149+AN153+AN154+AN155</f>
        <v>48594</v>
      </c>
      <c r="AO353" s="226">
        <f>AO145+AO149+AO153+AO154+AO155</f>
        <v>48594</v>
      </c>
      <c r="AP353" s="226">
        <f>AP145+AP149+AP153+AP154+AP155</f>
        <v>48594</v>
      </c>
      <c r="AQ353" s="226">
        <f>AQ145+AQ149+AQ153+AQ154+AQ155</f>
        <v>48594</v>
      </c>
      <c r="AR353" s="226">
        <f>AR145+AR149+AR153+AR154+AR155</f>
        <v>48594</v>
      </c>
      <c r="AS353" s="226">
        <f>AS145+AS149+AS153+AS154+AS155</f>
        <v>48594</v>
      </c>
      <c r="AT353" s="226">
        <f>AT145+AT149+AT153+AT154+AT155</f>
        <v>48594</v>
      </c>
      <c r="AU353" s="226">
        <f>AU145+AU149+AU153+AU154+AU155</f>
        <v>48594</v>
      </c>
      <c r="AV353" s="226">
        <f>AV145+AV149+AV153+AV154+AV155</f>
        <v>48594</v>
      </c>
      <c r="AW353" s="226">
        <f>AW145+AW149+AW153+AW154+AW155</f>
        <v>48594</v>
      </c>
      <c r="AX353" s="226">
        <f>AX145+AX149+AX153+AX154+AX155</f>
        <v>48594</v>
      </c>
      <c r="AY353" s="226">
        <f>AY145+AY149+AY153+AY154+AY155</f>
        <v>48594</v>
      </c>
      <c r="AZ353" s="226">
        <f>AZ145+AZ149+AZ153+AZ154+AZ155</f>
        <v>48594</v>
      </c>
      <c r="BA353" s="226">
        <f>BA145+BA149+BA153+BA154+BA155</f>
        <v>48594</v>
      </c>
      <c r="BB353" s="226">
        <f>BB145+BB149+BB153+BB154+BB155</f>
        <v>48594</v>
      </c>
      <c r="BC353" s="226">
        <f>BC145+BC149+BC153+BC154+BC155</f>
        <v>48594</v>
      </c>
      <c r="BD353" s="226">
        <f>BD145+BD149+BD153+BD154+BD155</f>
        <v>48594</v>
      </c>
      <c r="BE353" s="226">
        <f>BE145+BE149+BE153+BE154+BE155</f>
        <v>48594</v>
      </c>
      <c r="BF353" s="226">
        <f>BF145+BF149+BF153+BF154+BF155</f>
        <v>48594</v>
      </c>
      <c r="BG353" s="226">
        <f>BG145+BG149+BG153+BG154+BG155</f>
        <v>48594</v>
      </c>
      <c r="BH353" s="226">
        <f>BH145+BH149+BH153+BH154+BH155</f>
        <v>48594</v>
      </c>
      <c r="BI353" s="226">
        <f>BI145+BI149+BI153+BI154+BI155</f>
        <v>48594</v>
      </c>
      <c r="BJ353" s="226">
        <f>BJ145+BJ149+BJ153+BJ154+BJ155</f>
        <v>48594</v>
      </c>
      <c r="BK353" s="226">
        <f>BK145+BK149+BK153+BK154+BK155</f>
        <v>48594</v>
      </c>
      <c r="BL353" s="226">
        <f>BL145+BL149+BL153+BL154+BL155</f>
        <v>48594</v>
      </c>
      <c r="BM353" s="226">
        <f>BM145+BM149+BM153+BM154+BM155</f>
        <v>48594</v>
      </c>
      <c r="BN353" s="226">
        <f>BN145+BN149+BN153+BN154+BN155</f>
        <v>48594</v>
      </c>
      <c r="BO353" s="226">
        <f>BO145+BO149+BO153+BO154+BO155</f>
        <v>48594</v>
      </c>
      <c r="BP353" s="226">
        <f>BP145+BP149+BP153+BP154+BP155</f>
        <v>48594</v>
      </c>
      <c r="BQ353" s="226">
        <f>BQ145+BQ149+BQ153+BQ154+BQ155</f>
        <v>48594</v>
      </c>
      <c r="BR353" s="226">
        <f>BR145+BR149+BR153+BR154+BR155</f>
        <v>48594</v>
      </c>
      <c r="BS353" s="226">
        <f>BS145+BS149+BS153+BS154+BS155</f>
        <v>48594</v>
      </c>
      <c r="BT353" s="226">
        <f>BT145+BT149+BT153+BT154+BT155</f>
        <v>48594</v>
      </c>
      <c r="BU353" s="226">
        <f>BU145+BU149+BU153+BU154+BU155</f>
        <v>48594</v>
      </c>
      <c r="BV353" s="226">
        <f>BV145+BV149+BV153+BV154+BV155</f>
        <v>48594</v>
      </c>
      <c r="BW353" s="226">
        <f>BW145+BW149+BW153+BW154+BW155</f>
        <v>48594</v>
      </c>
      <c r="BX353" s="226">
        <f>BX145+BX149+BX153+BX154+BX155</f>
        <v>48594</v>
      </c>
      <c r="BY353" s="226">
        <f>BY145+BY149+BY153+BY154+BY155</f>
        <v>48594</v>
      </c>
      <c r="BZ353" s="226">
        <f>BZ145+BZ149+BZ153+BZ154+BZ155</f>
        <v>48594</v>
      </c>
      <c r="CA353" s="226">
        <f>CA145+CA149+CA153+CA154+CA155</f>
        <v>48594</v>
      </c>
      <c r="CB353" s="226">
        <f>CB145+CB149+CB153+CB154+CB155</f>
        <v>48594</v>
      </c>
      <c r="CC353" s="226">
        <f>CC145+CC149+CC153+CC154+CC155</f>
        <v>48594</v>
      </c>
      <c r="CD353" s="226">
        <f>CD145+CD149+CD153+CD154+CD155</f>
        <v>48594</v>
      </c>
      <c r="CE353" s="226">
        <f>CE145+CE149+CE153+CE154+CE155</f>
        <v>48594</v>
      </c>
      <c r="CF353" s="226">
        <f>CF145+CF149+CF153+CF154+CF155</f>
        <v>48594</v>
      </c>
      <c r="CG353" s="226">
        <f>CG145+CG149+CG153+CG154+CG155</f>
        <v>48594</v>
      </c>
      <c r="CH353" s="226">
        <f>CH145+CH149+CH153+CH154+CH155</f>
        <v>48594</v>
      </c>
      <c r="CI353" s="226">
        <f>CI145+CI149+CI153+CI154+CI155</f>
        <v>48594</v>
      </c>
      <c r="CJ353" s="226">
        <f>CJ145+CJ149+CJ153+CJ154+CJ155</f>
        <v>48594</v>
      </c>
      <c r="CK353" s="226">
        <f>CK145+CK149+CK153+CK154+CK155</f>
        <v>48594</v>
      </c>
      <c r="CL353" s="226">
        <f>CL145+CL149+CL153+CL154+CL155</f>
        <v>48594</v>
      </c>
      <c r="CM353" s="226">
        <f>CM145+CM149+CM153+CM154+CM155</f>
        <v>48594</v>
      </c>
      <c r="CN353" s="226">
        <f>CN145+CN149+CN153+CN154+CN155</f>
        <v>48594</v>
      </c>
      <c r="CO353" s="226">
        <f>CO145+CO149+CO153+CO154+CO155</f>
        <v>48594</v>
      </c>
      <c r="CP353" s="226">
        <f>CP145+CP149+CP153+CP154+CP155</f>
        <v>48594</v>
      </c>
      <c r="CQ353" s="226">
        <f>CQ145+CQ149+CQ153+CQ154+CQ155</f>
        <v>48594</v>
      </c>
      <c r="CR353" s="226">
        <f>CR145+CR149+CR153+CR154+CR155</f>
        <v>48594</v>
      </c>
      <c r="CS353" s="226">
        <f>CS145+CS149+CS153+CS154+CS155</f>
        <v>48594</v>
      </c>
      <c r="CT353" s="226">
        <f>CT145+CT149+CT153+CT154+CT155</f>
        <v>48594</v>
      </c>
      <c r="CU353" s="226">
        <f>CU145+CU149+CU153+CU154+CU155</f>
        <v>48594</v>
      </c>
      <c r="CV353" s="226">
        <f>CV145+CV149+CV153+CV154+CV155</f>
        <v>48594</v>
      </c>
      <c r="CW353" s="226">
        <f>CW145+CW149+CW153+CW154+CW155</f>
        <v>48594</v>
      </c>
      <c r="CX353" s="226">
        <f>CX145+CX149+CX153+CX154+CX155</f>
        <v>48594</v>
      </c>
      <c r="CY353" s="226">
        <f>CY145+CY149+CY153+CY154+CY155</f>
        <v>48594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54959</v>
      </c>
      <c r="E354" s="241">
        <f>E198+E202+E204+E205</f>
        <v>68561</v>
      </c>
      <c r="F354" s="241">
        <f>F198+F202+F204+F205</f>
        <v>63559</v>
      </c>
      <c r="G354" s="241">
        <f>G198+G202+G204+G205</f>
        <v>62099</v>
      </c>
      <c r="H354" s="241">
        <f>H198+H202+H204+H205</f>
        <v>62099</v>
      </c>
      <c r="I354" s="226">
        <f>I198+I202+I204+I205</f>
        <v>64142</v>
      </c>
      <c r="J354" s="226">
        <f>J198+J202+J204+J205</f>
        <v>80585</v>
      </c>
      <c r="K354" s="226">
        <f>K198+K202+K204+K205</f>
        <v>77279</v>
      </c>
      <c r="L354" s="226">
        <f>L198+L202+L204+L205</f>
        <v>72512</v>
      </c>
      <c r="M354" s="226">
        <f>M198+M202+M204+M205</f>
        <v>72512</v>
      </c>
      <c r="N354" s="226">
        <f>N198+N202+N204+N205</f>
        <v>75690</v>
      </c>
      <c r="O354" s="226">
        <f>O198+O202+O204+O205</f>
        <v>92333</v>
      </c>
      <c r="P354" s="226">
        <f>P198+P202+P204+P205</f>
        <v>84141</v>
      </c>
      <c r="Q354" s="226">
        <f>Q198+Q202+Q204+Q205</f>
        <v>77721</v>
      </c>
      <c r="R354" s="226">
        <f>R198+R202+R204+R205</f>
        <v>77721</v>
      </c>
      <c r="S354" s="226">
        <f>S198+S202+S204+S205</f>
        <v>79446</v>
      </c>
      <c r="T354" s="226">
        <f>T198+T202+T204+T205</f>
        <v>98902</v>
      </c>
      <c r="U354" s="226">
        <f>U198+U202+U204+U205</f>
        <v>95236</v>
      </c>
      <c r="V354" s="226">
        <f>V198+V202+V204+V205</f>
        <v>91725</v>
      </c>
      <c r="W354" s="226">
        <f>W198+W202+W204+W205</f>
        <v>91725</v>
      </c>
      <c r="X354" s="226">
        <f>X198+X202+X204+X205</f>
        <v>95741</v>
      </c>
      <c r="Y354" s="226">
        <f>Y198+Y202+Y204+Y205</f>
        <v>116344</v>
      </c>
      <c r="Z354" s="226">
        <f>Z198+Z202+Z204+Z205</f>
        <v>112951</v>
      </c>
      <c r="AA354" s="226">
        <f>AA198+AA202+AA204+AA205</f>
        <v>103634</v>
      </c>
      <c r="AB354" s="226">
        <f>AB198+AB202+AB204+AB205</f>
        <v>103634</v>
      </c>
      <c r="AC354" s="226">
        <f>AC198+AC202+AC204+AC205</f>
        <v>111207</v>
      </c>
      <c r="AD354" s="226">
        <f>AD198+AD202+AD204+AD205</f>
        <v>138219</v>
      </c>
      <c r="AE354" s="226">
        <f>AE198+AE202+AE204+AE205</f>
        <v>127164</v>
      </c>
      <c r="AF354" s="226">
        <f>AF198+AF202+AF204+AF205</f>
        <v>125168</v>
      </c>
      <c r="AG354" s="226">
        <f>AG198+AG202+AG204+AG205</f>
        <v>125168</v>
      </c>
      <c r="AH354" s="226">
        <f>AH198+AH202+AH204+AH205</f>
        <v>127822</v>
      </c>
      <c r="AI354" s="226">
        <f>AI198+AI202+AI204+AI205</f>
        <v>159598</v>
      </c>
      <c r="AJ354" s="226">
        <f>AJ198+AJ202+AJ204+AJ205</f>
        <v>99703</v>
      </c>
      <c r="AK354" s="226">
        <f>AK198+AK202+AK204+AK205</f>
        <v>99703</v>
      </c>
      <c r="AL354" s="226">
        <f>AL198+AL202+AL204+AL205</f>
        <v>99703</v>
      </c>
      <c r="AM354" s="226" t="e">
        <f>AM198+AM202+AM204+AM205</f>
        <v>#DIV/0!</v>
      </c>
      <c r="AN354" s="226">
        <f>AN198+AN202+AN204+AN205</f>
        <v>99703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72998</v>
      </c>
      <c r="E355" s="241">
        <f>E166+E176+E179+E180+E189-E240</f>
        <v>76152</v>
      </c>
      <c r="F355" s="241">
        <f>F166+F176+F179+F180+F189-F240</f>
        <v>81366</v>
      </c>
      <c r="G355" s="241">
        <f>G166+G176+G179+G180+G189-G240</f>
        <v>87934</v>
      </c>
      <c r="H355" s="241">
        <f>H166+H176+H179+H180+H189-H240</f>
        <v>87934</v>
      </c>
      <c r="I355" s="226">
        <f>I166+I176+I179+I180+I189-I240</f>
        <v>100536</v>
      </c>
      <c r="J355" s="226">
        <f>J166+J176+J179+J180+J189-J240</f>
        <v>106140</v>
      </c>
      <c r="K355" s="226">
        <f>K166+K176+K179+K180+K189-K240</f>
        <v>118481</v>
      </c>
      <c r="L355" s="226">
        <f>L166+L176+L179+L180+L189-L240</f>
        <v>122565</v>
      </c>
      <c r="M355" s="226">
        <f>M166+M176+M179+M180+M189-M240</f>
        <v>122565</v>
      </c>
      <c r="N355" s="226">
        <f>N166+N176+N179+N180+N189-N240</f>
        <v>146279</v>
      </c>
      <c r="O355" s="226">
        <f>O166+O176+O179+O180+O189-O240</f>
        <v>150691</v>
      </c>
      <c r="P355" s="226">
        <f>P166+P176+P179+P180+P189-P240</f>
        <v>157400</v>
      </c>
      <c r="Q355" s="226">
        <f>Q166+Q176+Q179+Q180+Q189-Q240</f>
        <v>163437</v>
      </c>
      <c r="R355" s="226">
        <f>R166+R176+R179+R180+R189-R240</f>
        <v>163437</v>
      </c>
      <c r="S355" s="226">
        <f>S166+S176+S179+S180+S189-S240</f>
        <v>171064</v>
      </c>
      <c r="T355" s="226">
        <f>T166+T176+T179+T180+T189-T240</f>
        <v>181266</v>
      </c>
      <c r="U355" s="226">
        <f>U166+U176+U179+U180+U189-U240</f>
        <v>193823</v>
      </c>
      <c r="V355" s="226">
        <f>V166+V176+V179+V180+V189-V240</f>
        <v>273522</v>
      </c>
      <c r="W355" s="226">
        <f>W166+W176+W179+W180+W189-W240</f>
        <v>273522</v>
      </c>
      <c r="X355" s="226">
        <f>X166+X176+X179+X180+X189-X240</f>
        <v>284093</v>
      </c>
      <c r="Y355" s="226">
        <f>Y166+Y176+Y179+Y180+Y189-Y240</f>
        <v>294832</v>
      </c>
      <c r="Z355" s="226">
        <f>Z166+Z176+Z179+Z180+Z189-Z240</f>
        <v>314807</v>
      </c>
      <c r="AA355" s="226">
        <f>AA166+AA176+AA179+AA180+AA189-AA240</f>
        <v>323986</v>
      </c>
      <c r="AB355" s="226">
        <f>AB166+AB176+AB179+AB180+AB189-AB240</f>
        <v>323986</v>
      </c>
      <c r="AC355" s="226">
        <f>AC166+AC176+AC179+AC180+AC189-AC240</f>
        <v>339543</v>
      </c>
      <c r="AD355" s="226">
        <f>AD166+AD176+AD179+AD180+AD189-AD240</f>
        <v>353990</v>
      </c>
      <c r="AE355" s="226">
        <f>AE166+AE176+AE179+AE180+AE189-AE240</f>
        <v>364582</v>
      </c>
      <c r="AF355" s="226">
        <f>AF166+AF176+AF179+AF180+AF189-AF240</f>
        <v>396336</v>
      </c>
      <c r="AG355" s="226">
        <f>AG166+AG176+AG179+AG180+AG189-AG240</f>
        <v>396336</v>
      </c>
      <c r="AH355" s="226">
        <f>AH166+AH176+AH179+AH180+AH189-AH240</f>
        <v>426724</v>
      </c>
      <c r="AI355" s="226">
        <f>AI166+AI176+AI179+AI180+AI189-AI240</f>
        <v>454155</v>
      </c>
      <c r="AJ355" s="226">
        <f>AJ166+AJ176+AJ179+AJ180+AJ189-AJ240</f>
        <v>435546</v>
      </c>
      <c r="AK355" s="226">
        <f>AK166+AK176+AK179+AK180+AK189-AK240</f>
        <v>435546</v>
      </c>
      <c r="AL355" s="226">
        <f>AL166+AL176+AL179+AL180+AL189-AL240</f>
        <v>435546</v>
      </c>
      <c r="AM355" s="226">
        <f>AM166+AM176+AM179+AM180+AM189-AM240</f>
        <v>435546</v>
      </c>
      <c r="AN355" s="226">
        <f>AN166+AN176+AN179+AN180+AN189-AN240</f>
        <v>435546</v>
      </c>
      <c r="AO355" s="226">
        <f>AO166+AO176+AO179+AO180+AO189-AO240</f>
        <v>435546</v>
      </c>
      <c r="AP355" s="226">
        <f>AP166+AP176+AP179+AP180+AP189-AP240</f>
        <v>435546</v>
      </c>
      <c r="AQ355" s="226">
        <f>AQ166+AQ176+AQ179+AQ180+AQ189-AQ240</f>
        <v>435546</v>
      </c>
      <c r="AR355" s="226">
        <f>AR166+AR176+AR179+AR180+AR189-AR240</f>
        <v>435546</v>
      </c>
      <c r="AS355" s="226">
        <f>AS166+AS176+AS179+AS180+AS189-AS240</f>
        <v>435546</v>
      </c>
      <c r="AT355" s="226">
        <f>AT166+AT176+AT179+AT180+AT189-AT240</f>
        <v>435546</v>
      </c>
      <c r="AU355" s="226">
        <f>AU166+AU176+AU179+AU180+AU189-AU240</f>
        <v>435546</v>
      </c>
      <c r="AV355" s="226">
        <f>AV166+AV176+AV179+AV180+AV189-AV240</f>
        <v>435546</v>
      </c>
      <c r="AW355" s="226">
        <f>AW166+AW176+AW179+AW180+AW189-AW240</f>
        <v>435546</v>
      </c>
      <c r="AX355" s="226">
        <f>AX166+AX176+AX179+AX180+AX189-AX240</f>
        <v>435546</v>
      </c>
      <c r="AY355" s="226">
        <f>AY166+AY176+AY179+AY180+AY189-AY240</f>
        <v>435546</v>
      </c>
      <c r="AZ355" s="226">
        <f>AZ166+AZ176+AZ179+AZ180+AZ189-AZ240</f>
        <v>435546</v>
      </c>
      <c r="BA355" s="226">
        <f>BA166+BA176+BA179+BA180+BA189-BA240</f>
        <v>435546</v>
      </c>
      <c r="BB355" s="226">
        <f>BB166+BB176+BB179+BB180+BB189-BB240</f>
        <v>435546</v>
      </c>
      <c r="BC355" s="226">
        <f>BC166+BC176+BC179+BC180+BC189-BC240</f>
        <v>435546</v>
      </c>
      <c r="BD355" s="226">
        <f>BD166+BD176+BD179+BD180+BD189-BD240</f>
        <v>435546</v>
      </c>
      <c r="BE355" s="226">
        <f>BE166+BE176+BE179+BE180+BE189-BE240</f>
        <v>435546</v>
      </c>
      <c r="BF355" s="226">
        <f>BF166+BF176+BF179+BF180+BF189-BF240</f>
        <v>435546</v>
      </c>
      <c r="BG355" s="226">
        <f>BG166+BG176+BG179+BG180+BG189-BG240</f>
        <v>435546</v>
      </c>
      <c r="BH355" s="226">
        <f>BH166+BH176+BH179+BH180+BH189-BH240</f>
        <v>435546</v>
      </c>
      <c r="BI355" s="226">
        <f>BI166+BI176+BI179+BI180+BI189-BI240</f>
        <v>435546</v>
      </c>
      <c r="BJ355" s="226">
        <f>BJ166+BJ176+BJ179+BJ180+BJ189-BJ240</f>
        <v>435546</v>
      </c>
      <c r="BK355" s="226">
        <f>BK166+BK176+BK179+BK180+BK189-BK240</f>
        <v>435546</v>
      </c>
      <c r="BL355" s="226">
        <f>BL166+BL176+BL179+BL180+BL189-BL240</f>
        <v>435546</v>
      </c>
      <c r="BM355" s="226">
        <f>BM166+BM176+BM179+BM180+BM189-BM240</f>
        <v>435546</v>
      </c>
      <c r="BN355" s="226">
        <f>BN166+BN176+BN179+BN180+BN189-BN240</f>
        <v>435546</v>
      </c>
      <c r="BO355" s="226">
        <f>BO166+BO176+BO179+BO180+BO189-BO240</f>
        <v>435546</v>
      </c>
      <c r="BP355" s="226">
        <f>BP166+BP176+BP179+BP180+BP189-BP240</f>
        <v>435546</v>
      </c>
      <c r="BQ355" s="226">
        <f>BQ166+BQ176+BQ179+BQ180+BQ189-BQ240</f>
        <v>435546</v>
      </c>
      <c r="BR355" s="226">
        <f>BR166+BR176+BR179+BR180+BR189-BR240</f>
        <v>435546</v>
      </c>
      <c r="BS355" s="226">
        <f>BS166+BS176+BS179+BS180+BS189-BS240</f>
        <v>435546</v>
      </c>
      <c r="BT355" s="226">
        <f>BT166+BT176+BT179+BT180+BT189-BT240</f>
        <v>435546</v>
      </c>
      <c r="BU355" s="226">
        <f>BU166+BU176+BU179+BU180+BU189-BU240</f>
        <v>435546</v>
      </c>
      <c r="BV355" s="226">
        <f>BV166+BV176+BV179+BV180+BV189-BV240</f>
        <v>435546</v>
      </c>
      <c r="BW355" s="226">
        <f>BW166+BW176+BW179+BW180+BW189-BW240</f>
        <v>435546</v>
      </c>
      <c r="BX355" s="226">
        <f>BX166+BX176+BX179+BX180+BX189-BX240</f>
        <v>435546</v>
      </c>
      <c r="BY355" s="226">
        <f>BY166+BY176+BY179+BY180+BY189-BY240</f>
        <v>435546</v>
      </c>
      <c r="BZ355" s="226">
        <f>BZ166+BZ176+BZ179+BZ180+BZ189-BZ240</f>
        <v>435546</v>
      </c>
      <c r="CA355" s="226">
        <f>CA166+CA176+CA179+CA180+CA189-CA240</f>
        <v>435546</v>
      </c>
      <c r="CB355" s="226">
        <f>CB166+CB176+CB179+CB180+CB189-CB240</f>
        <v>435546</v>
      </c>
      <c r="CC355" s="226">
        <f>CC166+CC176+CC179+CC180+CC189-CC240</f>
        <v>435546</v>
      </c>
      <c r="CD355" s="226">
        <f>CD166+CD176+CD179+CD180+CD189-CD240</f>
        <v>435546</v>
      </c>
      <c r="CE355" s="226">
        <f>CE166+CE176+CE179+CE180+CE189-CE240</f>
        <v>435546</v>
      </c>
      <c r="CF355" s="226">
        <f>CF166+CF176+CF179+CF180+CF189-CF240</f>
        <v>435546</v>
      </c>
      <c r="CG355" s="226">
        <f>CG166+CG176+CG179+CG180+CG189-CG240</f>
        <v>435546</v>
      </c>
      <c r="CH355" s="226">
        <f>CH166+CH176+CH179+CH180+CH189-CH240</f>
        <v>435546</v>
      </c>
      <c r="CI355" s="226">
        <f>CI166+CI176+CI179+CI180+CI189-CI240</f>
        <v>435546</v>
      </c>
      <c r="CJ355" s="226">
        <f>CJ166+CJ176+CJ179+CJ180+CJ189-CJ240</f>
        <v>435546</v>
      </c>
      <c r="CK355" s="226">
        <f>CK166+CK176+CK179+CK180+CK189-CK240</f>
        <v>435546</v>
      </c>
      <c r="CL355" s="226">
        <f>CL166+CL176+CL179+CL180+CL189-CL240</f>
        <v>435546</v>
      </c>
      <c r="CM355" s="226">
        <f>CM166+CM176+CM179+CM180+CM189-CM240</f>
        <v>435546</v>
      </c>
      <c r="CN355" s="226">
        <f>CN166+CN176+CN179+CN180+CN189-CN240</f>
        <v>435546</v>
      </c>
      <c r="CO355" s="226">
        <f>CO166+CO176+CO179+CO180+CO189-CO240</f>
        <v>435546</v>
      </c>
      <c r="CP355" s="226">
        <f>CP166+CP176+CP179+CP180+CP189-CP240</f>
        <v>435546</v>
      </c>
      <c r="CQ355" s="226">
        <f>CQ166+CQ176+CQ179+CQ180+CQ189-CQ240</f>
        <v>435546</v>
      </c>
      <c r="CR355" s="226">
        <f>CR166+CR176+CR179+CR180+CR189-CR240</f>
        <v>435546</v>
      </c>
      <c r="CS355" s="226">
        <f>CS166+CS176+CS179+CS180+CS189-CS240</f>
        <v>435546</v>
      </c>
      <c r="CT355" s="226">
        <f>CT166+CT176+CT179+CT180+CT189-CT240</f>
        <v>435546</v>
      </c>
      <c r="CU355" s="226">
        <f>CU166+CU176+CU179+CU180+CU189-CU240</f>
        <v>435546</v>
      </c>
      <c r="CV355" s="226">
        <f>CV166+CV176+CV179+CV180+CV189-CV240</f>
        <v>435546</v>
      </c>
      <c r="CW355" s="226">
        <f>CW166+CW176+CW179+CW180+CW189-CW240</f>
        <v>435546</v>
      </c>
      <c r="CX355" s="226">
        <f>CX166+CX176+CX179+CX180+CX189-CX240</f>
        <v>435546</v>
      </c>
      <c r="CY355" s="226">
        <f>CY166+CY176+CY179+CY180+CY189-CY240</f>
        <v>435546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0.307015790525685</v>
      </c>
      <c r="E364" s="238">
        <f>E137/E15</f>
        <v>0.294533694423264</v>
      </c>
      <c r="F364" s="238">
        <f>F137/F15</f>
        <v>0.373930128653712</v>
      </c>
      <c r="G364" s="238">
        <f>G137/G15</f>
        <v>0.358970192218405</v>
      </c>
      <c r="I364" s="222">
        <f>I137/I15</f>
        <v>0.370618136479164</v>
      </c>
      <c r="J364" s="222">
        <f>J137/J15</f>
        <v>0.356604264170567</v>
      </c>
      <c r="K364" s="222">
        <f>K137/K15</f>
        <v>0.45247920206545</v>
      </c>
      <c r="L364" s="222">
        <f>L137/L15</f>
        <v>0.362762913702444</v>
      </c>
      <c r="N364" s="222">
        <f>N137/N15</f>
        <v>0.338897893030794</v>
      </c>
      <c r="O364" s="222">
        <f>O137/O15</f>
        <v>0.322761014171407</v>
      </c>
      <c r="P364" s="222">
        <f>P137/P15</f>
        <v>0.350265352539803</v>
      </c>
      <c r="Q364" s="222">
        <f>Q137/Q15</f>
        <v>0.311392117087228</v>
      </c>
      <c r="S364" s="222">
        <f>S137/S15</f>
        <v>0.346198232968197</v>
      </c>
      <c r="T364" s="222">
        <f>T137/T15</f>
        <v>0.357383117692075</v>
      </c>
      <c r="U364" s="222">
        <f>U137/U15</f>
        <v>0.394412300723676</v>
      </c>
      <c r="V364" s="222">
        <f>V137/V15</f>
        <v>0.352628184456627</v>
      </c>
      <c r="X364" s="222">
        <f>X137/X15</f>
        <v>0.354667140871027</v>
      </c>
      <c r="Y364" s="222">
        <f>Y137/Y15</f>
        <v>0.340445254685062</v>
      </c>
      <c r="Z364" s="222">
        <f>Z137/Z15</f>
        <v>0.376107341617748</v>
      </c>
      <c r="AA364" s="222">
        <f>AA137/AA15</f>
        <v>0.346220128676471</v>
      </c>
      <c r="AC364" s="222">
        <f>AC137/AC15</f>
        <v>0.368566779893244</v>
      </c>
      <c r="AD364" s="222">
        <f>AD137/AD15</f>
        <v>0.356261692023914</v>
      </c>
      <c r="AE364" s="222">
        <f>AE137/AE15</f>
        <v>0.357228380518327</v>
      </c>
      <c r="AF364" s="222">
        <f>AF137/AF15</f>
        <v>0.473195280105324</v>
      </c>
      <c r="AH364" s="222">
        <f>AH137/AH15</f>
        <v>0.383394059310378</v>
      </c>
      <c r="AI364" s="222">
        <f>AI137/AI15</f>
        <v>0.397369093514949</v>
      </c>
      <c r="AJ364" s="222">
        <f>AJ137/AJ15</f>
        <v>0.0221441170033345</v>
      </c>
      <c r="AK364" s="222">
        <f>AK137/AK15</f>
        <v>0.0526989283033726</v>
      </c>
      <c r="AM364" s="222">
        <f>AM137/AM15</f>
        <v>0.0516733827184325</v>
      </c>
      <c r="AN364" s="222">
        <f>AN137/AN15</f>
        <v>0.133389625251369</v>
      </c>
      <c r="AO364" s="222">
        <f>AO137/AO15</f>
        <v>0.0551414262356289</v>
      </c>
      <c r="AP364" s="222">
        <f>AP137/AP15</f>
        <v>0.147724336495515</v>
      </c>
      <c r="AR364" s="222">
        <f>AR137/AR15</f>
        <v>0.144849552397269</v>
      </c>
      <c r="AS364" s="222">
        <f>AS137/AS15</f>
        <v>0.361949626140189</v>
      </c>
      <c r="AT364" s="222">
        <f>AT137/AT15</f>
        <v>0.154571086477927</v>
      </c>
      <c r="AU364" s="222">
        <f>AU137/AU15</f>
        <v>0.400846529597775</v>
      </c>
      <c r="AW364" s="222">
        <f>AW137/AW15</f>
        <v>0.393045870231402</v>
      </c>
      <c r="AX364" s="222">
        <f>AX137/AX15</f>
        <v>0.990678502783117</v>
      </c>
      <c r="AY364" s="222">
        <f>AY137/AY15</f>
        <v>0.419425025427111</v>
      </c>
      <c r="AZ364" s="222">
        <f>AZ137/AZ15</f>
        <v>1.09714173218658</v>
      </c>
      <c r="BB364" s="222">
        <f>BB137/BB15</f>
        <v>1.07579084525734</v>
      </c>
      <c r="BC364" s="222">
        <f>BC137/BC15</f>
        <v>2.70525625784661</v>
      </c>
      <c r="BD364" s="222">
        <f>BD137/BD15</f>
        <v>1.14799222381008</v>
      </c>
      <c r="BE364" s="222">
        <f>BE137/BE15</f>
        <v>2.99597652356871</v>
      </c>
      <c r="BG364" s="222">
        <f>BG137/BG15</f>
        <v>2.93767343097749</v>
      </c>
      <c r="BH364" s="222">
        <f>BH137/BH15</f>
        <v>7.39186952125946</v>
      </c>
      <c r="BI364" s="222">
        <f>BI137/BI15</f>
        <v>3.13483449847437</v>
      </c>
      <c r="BJ364" s="222">
        <f>BJ137/BJ15</f>
        <v>8.18623651151059</v>
      </c>
      <c r="BL364" s="222">
        <f>BL137/BL15</f>
        <v>8.02692855246966</v>
      </c>
      <c r="BM364" s="222">
        <f>BM137/BM15</f>
        <v>20.1942515582121</v>
      </c>
      <c r="BN364" s="222">
        <f>BN137/BN15</f>
        <v>8.5656534445689</v>
      </c>
      <c r="BO364" s="222">
        <f>BO137/BO15</f>
        <v>22.3644260701586</v>
      </c>
      <c r="BQ364" s="222">
        <f>BQ137/BQ15</f>
        <v>21.9292039668943</v>
      </c>
      <c r="BR364" s="222">
        <f>BR137/BR15</f>
        <v>55.1722421589432</v>
      </c>
      <c r="BS364" s="222">
        <f>BS137/BS15</f>
        <v>23.4009758860865</v>
      </c>
      <c r="BT364" s="222">
        <f>BT137/BT15</f>
        <v>61.1013251633384</v>
      </c>
      <c r="BV364" s="222">
        <f>BV137/BV15</f>
        <v>59.9122650387279</v>
      </c>
      <c r="BW364" s="222">
        <f>BW137/BW15</f>
        <v>150.732987434311</v>
      </c>
      <c r="BX364" s="222">
        <f>BX137/BX15</f>
        <v>63.9332586613109</v>
      </c>
      <c r="BY364" s="222">
        <f>BY137/BY15</f>
        <v>166.931502466994</v>
      </c>
      <c r="CA364" s="222">
        <f>CA137/CA15</f>
        <v>163.682938011244</v>
      </c>
      <c r="CB364" s="222">
        <f>CB137/CB15</f>
        <v>411.810459186508</v>
      </c>
      <c r="CC364" s="222">
        <f>CC137/CC15</f>
        <v>174.668469094795</v>
      </c>
      <c r="CD364" s="222">
        <f>CD137/CD15</f>
        <v>456.065655260665</v>
      </c>
      <c r="CF364" s="222">
        <f>CF137/CF15</f>
        <v>447.190406099945</v>
      </c>
      <c r="CG364" s="222">
        <f>CG137/CG15</f>
        <v>1125.08689324164</v>
      </c>
      <c r="CH364" s="222">
        <f>CH137/CH15</f>
        <v>477.203455512211</v>
      </c>
      <c r="CI364" s="222">
        <f>CI137/CI15</f>
        <v>1245.99431545532</v>
      </c>
      <c r="CK364" s="222">
        <f>CK137/CK15</f>
        <v>1221.74668822238</v>
      </c>
      <c r="CL364" s="222">
        <f>CL137/CL15</f>
        <v>3073.79470485629</v>
      </c>
      <c r="CM364" s="222">
        <f>CM137/CM15</f>
        <v>1303.74384921401</v>
      </c>
      <c r="CN364" s="222">
        <f>CN137/CN15</f>
        <v>3404.11994143196</v>
      </c>
      <c r="CP364" s="222">
        <f>CP137/CP15</f>
        <v>3337.87418864464</v>
      </c>
      <c r="CQ364" s="222">
        <f>CQ137/CQ15</f>
        <v>8397.76319619585</v>
      </c>
      <c r="CR364" s="222">
        <f>CR137/CR15</f>
        <v>3561.89460945245</v>
      </c>
      <c r="CS364" s="222">
        <f>CS137/CS15</f>
        <v>9300.22851377456</v>
      </c>
      <c r="CU364" s="222">
        <f>CU137/CU15</f>
        <v>9119.24175373404</v>
      </c>
      <c r="CV364" s="222">
        <f>CV137/CV15</f>
        <v>22943.1158021043</v>
      </c>
      <c r="CW364" s="222">
        <f>CW137/CW15</f>
        <v>9731.27691733292</v>
      </c>
      <c r="CX364" s="222">
        <f>CX137/CX15</f>
        <v>25408.6969104131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0.0376669737851595</v>
      </c>
      <c r="E365" s="238">
        <f>E137/E197</f>
        <v>0.0371775341756524</v>
      </c>
      <c r="F365" s="238">
        <f>F137/F197</f>
        <v>0.0461559928372331</v>
      </c>
      <c r="G365" s="238">
        <f>G137/G197</f>
        <v>0.0508422191315098</v>
      </c>
      <c r="I365" s="222">
        <f>I137/I197</f>
        <v>0.0500422495540325</v>
      </c>
      <c r="J365" s="222">
        <f>J137/J197</f>
        <v>0.0493080751035865</v>
      </c>
      <c r="K365" s="222">
        <f>K137/K197</f>
        <v>0.0611326762427777</v>
      </c>
      <c r="L365" s="222">
        <f>L137/L197</f>
        <v>0.0551281034345998</v>
      </c>
      <c r="N365" s="222">
        <f>N137/N197</f>
        <v>0.0485422524789108</v>
      </c>
      <c r="O365" s="222">
        <f>O137/O197</f>
        <v>0.0458831268501261</v>
      </c>
      <c r="P365" s="222">
        <f>P137/P197</f>
        <v>0.0487959442332066</v>
      </c>
      <c r="Q365" s="222">
        <f>Q137/Q197</f>
        <v>0.0450553007527047</v>
      </c>
      <c r="S365" s="222">
        <f>S137/S197</f>
        <v>0.0481441139946539</v>
      </c>
      <c r="T365" s="222">
        <f>T137/T197</f>
        <v>0.0487431306678059</v>
      </c>
      <c r="U365" s="222">
        <f>U137/U197</f>
        <v>0.0500039256592304</v>
      </c>
      <c r="V365" s="222">
        <f>V137/V197</f>
        <v>0.0464767361302964</v>
      </c>
      <c r="X365" s="222">
        <f>X137/X197</f>
        <v>0.0453027721852253</v>
      </c>
      <c r="Y365" s="222">
        <f>Y137/Y197</f>
        <v>0.0430253649716985</v>
      </c>
      <c r="Z365" s="222">
        <f>Z137/Z197</f>
        <v>0.0471632636282463</v>
      </c>
      <c r="AA365" s="222">
        <f>AA137/AA197</f>
        <v>0.0451546924693481</v>
      </c>
      <c r="AC365" s="222">
        <f>AC137/AC197</f>
        <v>0.0458992151063588</v>
      </c>
      <c r="AD365" s="222">
        <f>AD137/AD197</f>
        <v>0.0439949402506935</v>
      </c>
      <c r="AE365" s="222">
        <f>AE137/AE197</f>
        <v>0.0436032944082747</v>
      </c>
      <c r="AF365" s="222">
        <f>AF137/AF197</f>
        <v>0.0578053275054036</v>
      </c>
      <c r="AH365" s="222">
        <f>AH137/AH197</f>
        <v>0.0457745870232834</v>
      </c>
      <c r="AI365" s="222">
        <f>AI137/AI197</f>
        <v>0.0471613025728662</v>
      </c>
      <c r="AJ365" s="222">
        <f>AJ137/AJ197</f>
        <v>0.00245643750865823</v>
      </c>
      <c r="AK365" s="222">
        <f>AK137/AK197</f>
        <v>0.00607962707456805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2.49298259403848</v>
      </c>
      <c r="E366" s="238">
        <f>E197/E271</f>
        <v>2.54692149039762</v>
      </c>
      <c r="F366" s="238">
        <f>F197/F271</f>
        <v>2.4393882909751</v>
      </c>
      <c r="G366" s="238">
        <f>G197/G271</f>
        <v>2.3352759605639</v>
      </c>
      <c r="I366" s="222">
        <f>I197/I271</f>
        <v>2.29641277275938</v>
      </c>
      <c r="J366" s="222">
        <f>J197/J271</f>
        <v>2.35075499337972</v>
      </c>
      <c r="K366" s="222">
        <f>K197/K271</f>
        <v>2.20701680506389</v>
      </c>
      <c r="L366" s="222">
        <f>L197/L271</f>
        <v>2.12729829385663</v>
      </c>
      <c r="N366" s="222">
        <f>N197/N271</f>
        <v>2.11513957428003</v>
      </c>
      <c r="O366" s="222">
        <f>O197/O271</f>
        <v>2.19067862761345</v>
      </c>
      <c r="P366" s="222">
        <f>P197/P271</f>
        <v>2.07289446089672</v>
      </c>
      <c r="Q366" s="222">
        <f>Q197/Q271</f>
        <v>1.99060807268915</v>
      </c>
      <c r="S366" s="222">
        <f>S197/S271</f>
        <v>1.95234303971071</v>
      </c>
      <c r="T366" s="222">
        <f>T197/T271</f>
        <v>1.99772091376811</v>
      </c>
      <c r="U366" s="222">
        <f>U197/U271</f>
        <v>2.01974047862845</v>
      </c>
      <c r="V366" s="222">
        <f>V197/V271</f>
        <v>1.97491060486511</v>
      </c>
      <c r="X366" s="222">
        <f>X197/X271</f>
        <v>1.91298113386424</v>
      </c>
      <c r="Y366" s="222">
        <f>Y197/Y271</f>
        <v>1.90766061897295</v>
      </c>
      <c r="Z366" s="222">
        <f>Z197/Z271</f>
        <v>1.81776569825839</v>
      </c>
      <c r="AA366" s="222">
        <f>AA197/AA271</f>
        <v>1.7638150613654</v>
      </c>
      <c r="AC366" s="222">
        <f>AC197/AC271</f>
        <v>1.74787117378243</v>
      </c>
      <c r="AD366" s="222">
        <f>AD197/AD271</f>
        <v>1.80215675485255</v>
      </c>
      <c r="AE366" s="222">
        <f>AE197/AE271</f>
        <v>1.75266610847316</v>
      </c>
      <c r="AF366" s="222">
        <f>AF197/AF271</f>
        <v>1.70208378637672</v>
      </c>
      <c r="AH366" s="222">
        <f>AH197/AH271</f>
        <v>1.67539403475663</v>
      </c>
      <c r="AI366" s="222">
        <f>AI197/AI271</f>
        <v>1.71428183920414</v>
      </c>
      <c r="AJ366" s="222">
        <f>AJ197/AJ271</f>
        <v>1.57664932099697</v>
      </c>
      <c r="AK366" s="222">
        <f>AK197/AK271</f>
        <v>1.57114119404982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0.028829737554538</v>
      </c>
      <c r="E367" s="238">
        <f>PRODUCT(E364:E366)</f>
        <v>0.0278888832577884</v>
      </c>
      <c r="F367" s="238">
        <f>PRODUCT(F364:F366)</f>
        <v>0.0421016863118032</v>
      </c>
      <c r="G367" s="238">
        <f>PRODUCT(G364:G366)</f>
        <v>0.042620750654759</v>
      </c>
      <c r="I367" s="222">
        <f>PRODUCT(I364:I366)</f>
        <v>0.0425905693881895</v>
      </c>
      <c r="J367" s="222">
        <f>PRODUCT(J364:J366)</f>
        <v>0.0413344295272783</v>
      </c>
      <c r="K367" s="222">
        <f>PRODUCT(K364:K366)</f>
        <v>0.0610488757474901</v>
      </c>
      <c r="L367" s="222">
        <f>PRODUCT(L364:L366)</f>
        <v>0.0425426290583486</v>
      </c>
      <c r="N367" s="222">
        <f>PRODUCT(N364:N366)</f>
        <v>0.0347958800092014</v>
      </c>
      <c r="O367" s="222">
        <f>PRODUCT(O364:O366)</f>
        <v>0.0324423831659842</v>
      </c>
      <c r="P367" s="222">
        <f>PRODUCT(P364:P366)</f>
        <v>0.0354289349825933</v>
      </c>
      <c r="Q367" s="222">
        <f>PRODUCT(Q364:Q366)</f>
        <v>0.0279279634979344</v>
      </c>
      <c r="S367" s="222">
        <f>PRODUCT(S364:S366)</f>
        <v>0.032540496422826</v>
      </c>
      <c r="T367" s="222">
        <f>PRODUCT(T364:T366)</f>
        <v>0.0348002423899107</v>
      </c>
      <c r="U367" s="222">
        <f>PRODUCT(U364:U366)</f>
        <v>0.0398336516733486</v>
      </c>
      <c r="V367" s="222">
        <f>PRODUCT(V364:V366)</f>
        <v>0.0323668238876661</v>
      </c>
      <c r="X367" s="222">
        <f>PRODUCT(X364:X366)</f>
        <v>0.0307366420315442</v>
      </c>
      <c r="Y367" s="222">
        <f>PRODUCT(Y364:Y366)</f>
        <v>0.0279429956094564</v>
      </c>
      <c r="Z367" s="222">
        <f>PRODUCT(Z364:Z366)</f>
        <v>0.0322443454144611</v>
      </c>
      <c r="AA367" s="222">
        <f>PRODUCT(AA364:AA366)</f>
        <v>0.0275745382716343</v>
      </c>
      <c r="AC367" s="222">
        <f>PRODUCT(AC364:AC366)</f>
        <v>0.0295686071495106</v>
      </c>
      <c r="AD367" s="222">
        <f>PRODUCT(AD364:AD366)</f>
        <v>0.0282464856916645</v>
      </c>
      <c r="AE367" s="222">
        <f>PRODUCT(AE364:AE366)</f>
        <v>0.0273001131284966</v>
      </c>
      <c r="AF367" s="222">
        <f>PRODUCT(AF364:AF366)</f>
        <v>0.0465574520813318</v>
      </c>
      <c r="AH367" s="222">
        <f>PRODUCT(AH364:AH366)</f>
        <v>0.0294026706199219</v>
      </c>
      <c r="AI367" s="222">
        <f>PRODUCT(AI364:AI366)</f>
        <v>0.0321264028975889</v>
      </c>
      <c r="AJ367" s="222">
        <f>PRODUCT(AJ364:AJ366)</f>
        <v>8.57628482454348e-05</v>
      </c>
      <c r="AK367" s="222">
        <f>PRODUCT(AK364:AK366)</f>
        <v>0.000503377662131949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0.0939031100165064</v>
      </c>
      <c r="E368" s="238">
        <f>E137/E271</f>
        <v>0.0946882607519611</v>
      </c>
      <c r="F368" s="238">
        <f>F137/F271</f>
        <v>0.112592388485477</v>
      </c>
      <c r="G368" s="238">
        <f>G137/G271</f>
        <v>0.118730612119537</v>
      </c>
      <c r="I368" s="222">
        <f>I137/I271</f>
        <v>0.114917661053492</v>
      </c>
      <c r="J368" s="222">
        <f>J137/J271</f>
        <v>0.115911203763698</v>
      </c>
      <c r="K368" s="222">
        <f>K137/K271</f>
        <v>0.13492084380634</v>
      </c>
      <c r="L368" s="222">
        <f>L137/L271</f>
        <v>0.117273920379976</v>
      </c>
      <c r="N368" s="222">
        <f>N137/N271</f>
        <v>0.102673639242837</v>
      </c>
      <c r="O368" s="222">
        <f>O137/O271</f>
        <v>0.100515185358648</v>
      </c>
      <c r="P368" s="222">
        <f>P137/P271</f>
        <v>0.101148842515239</v>
      </c>
      <c r="Q368" s="222">
        <f>Q137/Q271</f>
        <v>0.0896874453957715</v>
      </c>
      <c r="S368" s="222">
        <f>S137/S271</f>
        <v>0.0939938258605014</v>
      </c>
      <c r="T368" s="222">
        <f>T137/T271</f>
        <v>0.0973751715376073</v>
      </c>
      <c r="U368" s="222">
        <f>U137/U271</f>
        <v>0.100994952744275</v>
      </c>
      <c r="V368" s="222">
        <f>V137/V271</f>
        <v>0.0917873990632397</v>
      </c>
      <c r="X368" s="222">
        <f>X137/X271</f>
        <v>0.0866633485020857</v>
      </c>
      <c r="Y368" s="222">
        <f>Y137/Y271</f>
        <v>0.0820777943734473</v>
      </c>
      <c r="Z368" s="222">
        <f>Z137/Z271</f>
        <v>0.0857317628413439</v>
      </c>
      <c r="AA368" s="222">
        <f>AA137/AA271</f>
        <v>0.079644526668759</v>
      </c>
      <c r="AC368" s="222">
        <f>AC137/AC271</f>
        <v>0.0802259149836435</v>
      </c>
      <c r="AD368" s="222">
        <f>AD137/AD271</f>
        <v>0.0792857787521217</v>
      </c>
      <c r="AE368" s="222">
        <f>AE137/AE271</f>
        <v>0.0764220163271602</v>
      </c>
      <c r="AF368" s="222">
        <f>AF137/AF271</f>
        <v>0.0983895107131436</v>
      </c>
      <c r="AH368" s="222">
        <f>AH137/AH271</f>
        <v>0.0766904700422572</v>
      </c>
      <c r="AI368" s="222">
        <f>AI137/AI271</f>
        <v>0.0808477645138759</v>
      </c>
      <c r="AJ368" s="222">
        <f>AJ137/AJ271</f>
        <v>0.00387294053009748</v>
      </c>
      <c r="AK368" s="222">
        <f>AK137/AK271</f>
        <v>0.00955195254131448</v>
      </c>
      <c r="AM368" s="222">
        <f>AM137/AM271</f>
        <v>0.0094615760162413</v>
      </c>
      <c r="AN368" s="222">
        <f>AN137/AN271</f>
        <v>0.0258371908349635</v>
      </c>
      <c r="AO368" s="222">
        <f>AO137/AO271</f>
        <v>0.0091329361440799</v>
      </c>
      <c r="AP368" s="222">
        <f>AP137/AP271</f>
        <v>0.0249621596447165</v>
      </c>
      <c r="AR368" s="222">
        <f>AR137/AR271</f>
        <v>0.0243542255778195</v>
      </c>
      <c r="AS368" s="222">
        <f>AS137/AS271</f>
        <v>0.0619881572137486</v>
      </c>
      <c r="AT368" s="222">
        <f>AT137/AT271</f>
        <v>0.0223343341555702</v>
      </c>
      <c r="AU368" s="222">
        <f>AU137/AU271</f>
        <v>0.0571407523818878</v>
      </c>
      <c r="AW368" s="222">
        <f>AW137/AW271</f>
        <v>0.054052170681285</v>
      </c>
      <c r="AX368" s="222">
        <f>AX137/AX271</f>
        <v>0.128877467545044</v>
      </c>
      <c r="AY368" s="222">
        <f>AY137/AY271</f>
        <v>0.0449686663169809</v>
      </c>
      <c r="AZ368" s="222">
        <f>AZ137/AZ271</f>
        <v>0.109593081850674</v>
      </c>
      <c r="BB368" s="222">
        <f>BB137/BB271</f>
        <v>0.0987687140838019</v>
      </c>
      <c r="BC368" s="222">
        <f>BC137/BC271</f>
        <v>0.212417821699259</v>
      </c>
      <c r="BD368" s="222">
        <f>BD137/BD271</f>
        <v>0.07217416079569</v>
      </c>
      <c r="BE368" s="222">
        <f>BE137/BE271</f>
        <v>0.16463864855289</v>
      </c>
      <c r="BG368" s="222">
        <f>BG137/BG271</f>
        <v>0.141364575834282</v>
      </c>
      <c r="BH368" s="222">
        <f>BH137/BH271</f>
        <v>0.278637719033739</v>
      </c>
      <c r="BI368" s="222">
        <f>BI137/BI271</f>
        <v>0.0925384569778949</v>
      </c>
      <c r="BJ368" s="222">
        <f>BJ137/BJ271</f>
        <v>0.201821771221742</v>
      </c>
      <c r="BL368" s="222">
        <f>BL137/BL271</f>
        <v>0.167929867851017</v>
      </c>
      <c r="BM368" s="222">
        <f>BM137/BM271</f>
        <v>0.314494154873868</v>
      </c>
      <c r="BN368" s="222">
        <f>BN137/BN271</f>
        <v>0.103233038047826</v>
      </c>
      <c r="BO368" s="222">
        <f>BO137/BO271</f>
        <v>0.219985815362495</v>
      </c>
      <c r="BQ368" s="222">
        <f>BQ137/BQ271</f>
        <v>0.180318338617019</v>
      </c>
      <c r="BR368" s="222">
        <f>BR137/BR271</f>
        <v>0.330047669901287</v>
      </c>
      <c r="BS368" s="222">
        <f>BS137/BS271</f>
        <v>0.107783891407266</v>
      </c>
      <c r="BT368" s="222">
        <f>BT137/BT271</f>
        <v>0.227485358792723</v>
      </c>
      <c r="BV368" s="222">
        <f>BV137/BV271</f>
        <v>0.18532633172624</v>
      </c>
      <c r="BW368" s="222">
        <f>BW137/BW271</f>
        <v>0.336130293157027</v>
      </c>
      <c r="BX368" s="222">
        <f>BX137/BX271</f>
        <v>0.109553849424346</v>
      </c>
      <c r="BY368" s="222">
        <f>BY137/BY271</f>
        <v>0.23035831648932</v>
      </c>
      <c r="CA368" s="222">
        <f>CA137/CA271</f>
        <v>0.187228641772114</v>
      </c>
      <c r="CB368" s="222">
        <f>CB137/CB271</f>
        <v>0.338413658676039</v>
      </c>
      <c r="CC368" s="222">
        <f>CC137/CC271</f>
        <v>0.110215720875505</v>
      </c>
      <c r="CD368" s="222">
        <f>CD137/CD271</f>
        <v>0.231428519266775</v>
      </c>
      <c r="CF368" s="222">
        <f>CF137/CF271</f>
        <v>0.187935000404712</v>
      </c>
      <c r="CG368" s="222">
        <f>CG137/CG271</f>
        <v>0.339257059583844</v>
      </c>
      <c r="CH368" s="222">
        <f>CH137/CH271</f>
        <v>0.110460145667424</v>
      </c>
      <c r="CI368" s="222">
        <f>CI137/CI271</f>
        <v>0.231822623756489</v>
      </c>
      <c r="CK368" s="222">
        <f>CK137/CK271</f>
        <v>0.188194809289618</v>
      </c>
      <c r="CL368" s="222">
        <f>CL137/CL271</f>
        <v>0.339566856095907</v>
      </c>
      <c r="CM368" s="222">
        <f>CM137/CM271</f>
        <v>0.110549840044929</v>
      </c>
      <c r="CN368" s="222">
        <f>CN137/CN271</f>
        <v>0.23196724044812</v>
      </c>
      <c r="CP368" s="222">
        <f>CP137/CP271</f>
        <v>0.188290104502895</v>
      </c>
      <c r="CQ368" s="222">
        <f>CQ137/CQ271</f>
        <v>0.33968038069755</v>
      </c>
      <c r="CR368" s="222">
        <f>CR137/CR271</f>
        <v>0.11058271828431</v>
      </c>
      <c r="CS368" s="222">
        <f>CS137/CS271</f>
        <v>0.232020211273118</v>
      </c>
      <c r="CU368" s="222">
        <f>CU137/CU271</f>
        <v>0.188325004046288</v>
      </c>
      <c r="CV368" s="222">
        <f>CV137/CV271</f>
        <v>0.339721955320131</v>
      </c>
      <c r="CW368" s="222">
        <f>CW137/CW271</f>
        <v>0.110594754393513</v>
      </c>
      <c r="CX368" s="222">
        <f>CX137/CX271</f>
        <v>0.232039608045663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227583</v>
      </c>
      <c r="E18" s="83">
        <f>Model!AB15</f>
        <v>261802</v>
      </c>
      <c r="F18" s="83">
        <f>Model!AG15</f>
        <v>305453</v>
      </c>
      <c r="G18" s="83">
        <f>Model!AL15</f>
        <v>331839</v>
      </c>
      <c r="H18" s="83">
        <f>Model!AQ15</f>
        <v>331839</v>
      </c>
      <c r="I18" s="83">
        <f>Model!AV15</f>
        <v>331839</v>
      </c>
      <c r="J18" s="83">
        <f>Model!BA15</f>
        <v>331839</v>
      </c>
      <c r="K18" s="83">
        <f>Model!BF15</f>
        <v>331839</v>
      </c>
      <c r="L18" s="83">
        <f>Model!BK15</f>
        <v>331839</v>
      </c>
      <c r="M18" s="83">
        <f>Model!BP15</f>
        <v>331839</v>
      </c>
      <c r="N18" s="83">
        <f>Model!BU15</f>
        <v>331839</v>
      </c>
      <c r="O18" s="83">
        <f>Model!BZ15</f>
        <v>331839</v>
      </c>
      <c r="P18" s="83">
        <f>Model!CE15</f>
        <v>331839</v>
      </c>
      <c r="Q18" s="83">
        <f>Model!CJ15</f>
        <v>331839</v>
      </c>
      <c r="R18" s="83">
        <f>Model!CO15</f>
        <v>331839</v>
      </c>
      <c r="S18" s="83" t="n"/>
      <c r="T18" s="83" t="n"/>
      <c r="U18" s="83" t="n"/>
      <c r="V18" s="84" t="n"/>
      <c r="X18" s="85">
        <f>((L18/F18)^(1/6))-1</f>
        <v>0.0139047830939085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0.150358330806783</v>
      </c>
      <c r="F19" s="87">
        <f>F18/E18-1</f>
        <v>0.16673287446238</v>
      </c>
      <c r="G19" s="87">
        <f>G18/F18-1</f>
        <v>0.0863831751529696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117836</v>
      </c>
      <c r="E20" s="83">
        <f>Model!AB69</f>
        <v>144328</v>
      </c>
      <c r="F20" s="83">
        <f>Model!AG69</f>
        <v>184761</v>
      </c>
      <c r="G20" s="83">
        <f>Model!AL69</f>
        <v>100190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0.517771538295918</v>
      </c>
      <c r="E21" s="92">
        <f>E20/E18</f>
        <v>0.551286850367835</v>
      </c>
      <c r="F21" s="92">
        <f>F20/F18</f>
        <v>0.604875381809968</v>
      </c>
      <c r="G21" s="92">
        <f>G20/G18</f>
        <v>0.301923523154301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100533</v>
      </c>
      <c r="E22" s="83">
        <f>Model!AB73</f>
        <v>117711</v>
      </c>
      <c r="F22" s="83">
        <f>Model!AG73</f>
        <v>142559</v>
      </c>
      <c r="G22" s="83">
        <f>Model!AL73</f>
        <v>79001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0.441742133639156</v>
      </c>
      <c r="E23" s="92">
        <f>E22/E18</f>
        <v>0.44961841391586</v>
      </c>
      <c r="F23" s="92">
        <f>F22/F18</f>
        <v>0.466713373252186</v>
      </c>
      <c r="G23" s="92">
        <f>G22/G18</f>
        <v>0.238070269015999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0.184458057504199</v>
      </c>
      <c r="E24" s="95">
        <f>Model!AB132</f>
        <v>0.183617783489275</v>
      </c>
      <c r="F24" s="95">
        <f>Model!AG132</f>
        <v>0.186147127064283</v>
      </c>
      <c r="G24" s="95">
        <f>Model!AL132</f>
        <v>0.177234589998881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81988.8781049303</v>
      </c>
      <c r="E25" s="97">
        <f>E22*(1-E24)</f>
        <v>96097.167087694</v>
      </c>
      <c r="F25" s="97">
        <f>F22*(1-F24)</f>
        <v>116022.051712843</v>
      </c>
      <c r="G25" s="97">
        <f>G22*(1-G24)</f>
        <v>64999.2901554984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-17303</v>
      </c>
      <c r="E26" s="100">
        <f>Model!AB70</f>
        <v>-26617</v>
      </c>
      <c r="F26" s="100">
        <f>Model!AG70</f>
        <v>-42202</v>
      </c>
      <c r="G26" s="100">
        <f>Model!AL70</f>
        <v>-21189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1012</v>
      </c>
      <c r="E27" s="103">
        <f>SUM(E28:E39)</f>
        <v>9022</v>
      </c>
      <c r="F27" s="103">
        <f>SUM(F28:F39)</f>
        <v>26190</v>
      </c>
      <c r="G27" s="103">
        <f>SUM(G28:G39)</f>
        <v>8401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-6998</v>
      </c>
      <c r="E28" s="106">
        <f>Model!AB280</f>
        <v>-5357</v>
      </c>
      <c r="F28" s="106">
        <f>Model!AG280</f>
        <v>-8347</v>
      </c>
      <c r="G28" s="106">
        <f>Model!AL280</f>
        <v>56535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1365</v>
      </c>
      <c r="E29" s="106">
        <f>Model!AB281</f>
        <v>706</v>
      </c>
      <c r="F29" s="106">
        <f>Model!AG281</f>
        <v>-150</v>
      </c>
      <c r="G29" s="106">
        <f>Model!AL281</f>
        <v>1059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0</v>
      </c>
      <c r="E30" s="106">
        <f>Model!AB282</f>
        <v>0</v>
      </c>
      <c r="F30" s="106">
        <f>Model!AG282</f>
        <v>0</v>
      </c>
      <c r="G30" s="106">
        <f>Model!AL282</f>
        <v>0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-2428</v>
      </c>
      <c r="E32" s="106">
        <f>Model!AB284</f>
        <v>-4498</v>
      </c>
      <c r="F32" s="106">
        <f>Model!AG284</f>
        <v>-6706</v>
      </c>
      <c r="G32" s="106">
        <f>Model!AL284</f>
        <v>-15460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2341</v>
      </c>
      <c r="E33" s="106">
        <f>Model!AB285</f>
        <v>4913</v>
      </c>
      <c r="F33" s="106">
        <f>Model!AG285</f>
        <v>14720</v>
      </c>
      <c r="G33" s="106">
        <f>Model!AL285</f>
        <v>-37328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-217</v>
      </c>
      <c r="E34" s="106">
        <f>Model!AB286</f>
        <v>363</v>
      </c>
      <c r="F34" s="106">
        <f>Model!AG286</f>
        <v>927</v>
      </c>
      <c r="G34" s="106">
        <f>Model!AL286</f>
        <v>-10103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2234</v>
      </c>
      <c r="E35" s="106">
        <f>Model!AB287</f>
        <v>269</v>
      </c>
      <c r="F35" s="106">
        <f>Model!AG287</f>
        <v>-4006</v>
      </c>
      <c r="G35" s="106">
        <f>Model!AL287</f>
        <v>-2050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9646</v>
      </c>
      <c r="E36" s="106">
        <f>Model!AB288</f>
        <v>6364</v>
      </c>
      <c r="F36" s="106">
        <f>Model!AG288</f>
        <v>9893</v>
      </c>
      <c r="G36" s="106">
        <f>Model!AL288</f>
        <v>24016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2259</v>
      </c>
      <c r="E37" s="106">
        <f>Model!AB289</f>
        <v>-35</v>
      </c>
      <c r="F37" s="106">
        <f>Model!AG289</f>
        <v>363</v>
      </c>
      <c r="G37" s="106">
        <f>Model!AL289</f>
        <v>178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-13541</v>
      </c>
      <c r="E38" s="106">
        <f>(Model!AB189-Model!W189)*-1</f>
        <v>-6892</v>
      </c>
      <c r="F38" s="106">
        <f>(Model!AG189-Model!AB189)*-1</f>
        <v>-6448</v>
      </c>
      <c r="G38" s="106">
        <f>(Model!AL189-Model!AG189)*-1</f>
        <v>-16181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6351</v>
      </c>
      <c r="E39" s="106">
        <f>Model!AB240-Model!W240</f>
        <v>13189</v>
      </c>
      <c r="F39" s="106">
        <f>Model!AG240-Model!AB240</f>
        <v>25944</v>
      </c>
      <c r="G39" s="106">
        <f>Model!AL240-Model!AG240</f>
        <v>7735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-16291</v>
      </c>
      <c r="E44" s="103">
        <f>SUM(E27+E40+E41+E42+E26)</f>
        <v>-17595</v>
      </c>
      <c r="F44" s="103">
        <f>SUM(F27+F40+F41+F42+F26)</f>
        <v>-16012</v>
      </c>
      <c r="G44" s="103">
        <f>SUM(G27+G40+G41+G42+G26)</f>
        <v>-12788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248173</v>
      </c>
      <c r="E46" s="106">
        <f>Model!AB350</f>
        <v>295877</v>
      </c>
      <c r="F46" s="106">
        <f>Model!AG350</f>
        <v>361896</v>
      </c>
      <c r="G46" s="106">
        <f>Model!AL350</f>
        <v>384437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129242</v>
      </c>
      <c r="E47" s="106">
        <f>Model!AB351</f>
        <v>176686</v>
      </c>
      <c r="F47" s="106">
        <f>Model!AG351</f>
        <v>242274</v>
      </c>
      <c r="G47" s="106">
        <f>Model!AL351</f>
        <v>264786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1.0904724869608</v>
      </c>
      <c r="E48" s="92">
        <f>E46/E18</f>
        <v>1.13015561378446</v>
      </c>
      <c r="F48" s="92">
        <f>F46/F18</f>
        <v>1.18478456587429</v>
      </c>
      <c r="G48" s="92">
        <f>G46/G18</f>
        <v>1.15850457601427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0.174183079551617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0.917033682149146</v>
      </c>
      <c r="E51" s="124">
        <f>E18/E46</f>
        <v>0.884833900573549</v>
      </c>
      <c r="F51" s="124">
        <f>F18/F46</f>
        <v>0.844035302959966</v>
      </c>
      <c r="G51" s="124">
        <f>G18/G46</f>
        <v>0.863181743692725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65697.8781049303</v>
      </c>
      <c r="E53" s="125">
        <f>E25+E44</f>
        <v>78502.167087694</v>
      </c>
      <c r="F53" s="125">
        <f>F25+F44</f>
        <v>100010.051712843</v>
      </c>
      <c r="G53" s="126">
        <f>(G25+G44)*stub_year_fraction</f>
        <v>13589.2399034859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0.186147127064283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2026-10-14T11:09:00Z</dcterms:modified>
  <cp:lastModifiedBy>Lucas Nascimento</cp:lastModifiedBy>
</cp:coreProperties>
</file>