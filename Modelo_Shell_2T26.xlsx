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aaa" hidden="1" function="0" vbProcedure="0">{#N/A,#N/A,FALSE,"Aging Summary";#N/A,#N/A,FALSE,"Ratio Analysis";#N/A,#N/A,FALSE,"Test 120 Day Accts";#N/A,#N/A,FALSE,"Tickmarks"}</definedName>
    <definedName name="AAAA" hidden="1" function="0" vbProcedure="0">{#N/A,#N/A,FALSE,"Aging Summary";#N/A,#N/A,FALSE,"Ratio Analysis";#N/A,#N/A,FALSE,"Test 120 Day Accts";#N/A,#N/A,FALSE,"Tickmarks"}</definedName>
    <definedName name="AS2DocOpenMode" hidden="1" function="0" vbProcedure="0">"AS2DocumentEdit"</definedName>
    <definedName name="AS2NamedRange" hidden="1" function="0" vbProcedure="0">15</definedName>
    <definedName name="AS2ReportLS" hidden="1" function="0" vbProcedure="0">1</definedName>
    <definedName name="AS2StaticLS" hidden="1" function="0" vbProcedure="0">#REF!</definedName>
    <definedName name="AS2SyncStepLS" hidden="1" function="0" vbProcedure="0">0</definedName>
    <definedName name="AS2TickmarkLS" hidden="1" function="0" vbProcedure="0">#REF!</definedName>
    <definedName name="AS2VersionLS" hidden="1" function="0" vbProcedure="0">300</definedName>
    <definedName name="BalType" hidden="1" function="0" vbProcedure="0">TRUE()</definedName>
    <definedName name="beta_observed" hidden="0" function="0" vbProcedure="0">Valuation!$D$93</definedName>
    <definedName name="beta_observed_unlevered" hidden="0" function="0" vbProcedure="0">#REF!</definedName>
    <definedName name="beta_unlev_comps" hidden="0" function="0" vbProcedure="0">#REF!</definedName>
    <definedName name="BG_Del" hidden="1" function="0" vbProcedure="0">15</definedName>
    <definedName name="BG_Ins" hidden="1" function="0" vbProcedure="0">4</definedName>
    <definedName name="BG_Mod" hidden="1" function="0" vbProcedure="0">6</definedName>
    <definedName name="cirkbreak" hidden="0" function="0" vbProcedure="0">#REF!</definedName>
    <definedName name="costdebtfirm" hidden="0" function="0" vbProcedure="0">#REF!</definedName>
    <definedName name="costequity" hidden="0" function="0" vbProcedure="0">#REF!</definedName>
    <definedName name="Debt" hidden="0" function="0" vbProcedure="0">#REF!</definedName>
    <definedName name="debt_weight" hidden="0" function="0" vbProcedure="0">#REF!</definedName>
    <definedName name="GrpAcct1" hidden="1" function="0" vbProcedure="0">"5611"</definedName>
    <definedName name="GrpAcct2" hidden="1" function="0" vbProcedure="0">"5612"</definedName>
    <definedName name="GrpLevel" hidden="1" function="0" vbProcedure="0">2</definedName>
    <definedName name="IQ_ACCOUNTS_PAY" hidden="1" function="0" vbProcedure="0">"c1343"</definedName>
    <definedName name="IQ_ACCOUNT_CHANGE" hidden="1" function="0" vbProcedure="0">"c1449"</definedName>
    <definedName name="IQ_ACCRUED_EXP" hidden="1" function="0" vbProcedure="0">"c1341"</definedName>
    <definedName name="IQ_ACCR_INT_PAY" hidden="1" function="0" vbProcedure="0">"c1"</definedName>
    <definedName name="IQ_ACCR_INT_PAY_CF" hidden="1" function="0" vbProcedure="0">"c2"</definedName>
    <definedName name="IQ_ACCR_INT_RECEIV" hidden="1" function="0" vbProcedure="0">"c3"</definedName>
    <definedName name="IQ_ACCR_INT_RECEIV_CF" hidden="1" function="0" vbProcedure="0">"c4"</definedName>
    <definedName name="IQ_ACCT_RECV_10YR_ANN_GROWTH" hidden="1" function="0" vbProcedure="0">"c1924"</definedName>
    <definedName name="IQ_ACCT_RECV_1YR_ANN_GROWTH" hidden="1" function="0" vbProcedure="0">"c1919"</definedName>
    <definedName name="IQ_ACCT_RECV_2YR_ANN_GROWTH" hidden="1" function="0" vbProcedure="0">"c1920"</definedName>
    <definedName name="IQ_ACCT_RECV_3YR_ANN_GROWTH" hidden="1" function="0" vbProcedure="0">"c1921"</definedName>
    <definedName name="IQ_ACCT_RECV_5YR_ANN_GROWTH" hidden="1" function="0" vbProcedure="0">"c1922"</definedName>
    <definedName name="IQ_ACCT_RECV_7YR_ANN_GROWTH" hidden="1" function="0" vbProcedure="0">"c1923"</definedName>
    <definedName name="IQ_ACCUMULATED_PENSION_OBLIGATION" hidden="1" function="0" vbProcedure="0">"c2108"</definedName>
    <definedName name="IQ_ACCUM_DEP" hidden="1" function="0" vbProcedure="0">"c1340"</definedName>
    <definedName name="IQ_ACQUIRE_REAL_ESTATE_CF" hidden="1" function="0" vbProcedure="0">"c6"</definedName>
    <definedName name="IQ_ACQUISITION_RE_ASSETS" hidden="1" function="0" vbProcedure="0">"c1628"</definedName>
    <definedName name="IQ_ACQ_COSTS_CAPITALIZED" hidden="1" function="0" vbProcedure="0">"c5"</definedName>
    <definedName name="IQ_ACQ_COST_SUB" hidden="1" function="0" vbProcedure="0">"c2125"</definedName>
    <definedName name="IQ_AD" hidden="1" function="0" vbProcedure="0">"c7"</definedName>
    <definedName name="IQ_ADD_PAID_IN" hidden="1" function="0" vbProcedure="0">"c1344"</definedName>
    <definedName name="IQ_ADVERTISING_MARKETING" hidden="1" function="0" vbProcedure="0">"c1566"</definedName>
    <definedName name="IQ_AE" hidden="1" function="0" vbProcedure="0">"c8"</definedName>
    <definedName name="IQ_AE_BNK" hidden="1" function="0" vbProcedure="0">"c9"</definedName>
    <definedName name="IQ_AE_BR" hidden="1" function="0" vbProcedure="0">"c10"</definedName>
    <definedName name="IQ_AE_FIN" hidden="1" function="0" vbProcedure="0">"c11"</definedName>
    <definedName name="IQ_AE_INS" hidden="1" function="0" vbProcedure="0">"c12"</definedName>
    <definedName name="IQ_AE_REIT" hidden="1" function="0" vbProcedure="0">"c13"</definedName>
    <definedName name="IQ_AE_UTI" hidden="1" function="0" vbProcedure="0">"c14"</definedName>
    <definedName name="IQ_ALLOWANCE_10YR_ANN_GROWTH" hidden="1" function="0" vbProcedure="0">"c18"</definedName>
    <definedName name="IQ_ALLOWANCE_1YR_ANN_GROWTH" hidden="1" function="0" vbProcedure="0">"c19"</definedName>
    <definedName name="IQ_ALLOWANCE_2YR_ANN_GROWTH" hidden="1" function="0" vbProcedure="0">"c20"</definedName>
    <definedName name="IQ_ALLOWANCE_3YR_ANN_GROWTH" hidden="1" function="0" vbProcedure="0">"c21"</definedName>
    <definedName name="IQ_ALLOWANCE_5YR_ANN_GROWTH" hidden="1" function="0" vbProcedure="0">"c22"</definedName>
    <definedName name="IQ_ALLOWANCE_7YR_ANN_GROWTH" hidden="1" function="0" vbProcedure="0">"c23"</definedName>
    <definedName name="IQ_ALLOWANCE_CHARGE_OFFS" hidden="1" function="0" vbProcedure="0">"c24"</definedName>
    <definedName name="IQ_ALLOWANCE_NON_PERF_LOANS" hidden="1" function="0" vbProcedure="0">"c25"</definedName>
    <definedName name="IQ_ALLOWANCE_TOTAL_LOANS" hidden="1" function="0" vbProcedure="0">"c26"</definedName>
    <definedName name="IQ_ALLOW_BORROW_CONST" hidden="1" function="0" vbProcedure="0">"c15"</definedName>
    <definedName name="IQ_ALLOW_CONST" hidden="1" function="0" vbProcedure="0">"c1342"</definedName>
    <definedName name="IQ_ALLOW_DOUBT_ACCT" hidden="1" function="0" vbProcedure="0">"c2092"</definedName>
    <definedName name="IQ_ALLOW_EQUITY_CONST" hidden="1" function="0" vbProcedure="0">"c16"</definedName>
    <definedName name="IQ_ALLOW_LL" hidden="1" function="0" vbProcedure="0">"c17"</definedName>
    <definedName name="IQ_AMORTIZATION" hidden="1" function="0" vbProcedure="0">"c1591"</definedName>
    <definedName name="IQ_ANNUALIZED_DIVIDEND" hidden="1" function="0" vbProcedure="0">"c1579"</definedName>
    <definedName name="IQ_ANNUITY_LIAB" hidden="1" function="0" vbProcedure="0">"c27"</definedName>
    <definedName name="IQ_ANNUITY_PAY" hidden="1" function="0" vbProcedure="0">"c28"</definedName>
    <definedName name="IQ_ANNUITY_POLICY_EXP" hidden="1" function="0" vbProcedure="0">"c29"</definedName>
    <definedName name="IQ_ANNUITY_REC" hidden="1" function="0" vbProcedure="0">"c30"</definedName>
    <definedName name="IQ_ANNUITY_REV" hidden="1" function="0" vbProcedure="0">"c31"</definedName>
    <definedName name="IQ_AP" hidden="1" function="0" vbProcedure="0">"c32"</definedName>
    <definedName name="IQ_APIC" hidden="1" function="0" vbProcedure="0">"c39"</definedName>
    <definedName name="IQ_AP_BNK" hidden="1" function="0" vbProcedure="0">"c33"</definedName>
    <definedName name="IQ_AP_BR" hidden="1" function="0" vbProcedure="0">"c34"</definedName>
    <definedName name="IQ_AP_FIN" hidden="1" function="0" vbProcedure="0">"c35"</definedName>
    <definedName name="IQ_AP_INS" hidden="1" function="0" vbProcedure="0">"c36"</definedName>
    <definedName name="IQ_AP_REIT" hidden="1" function="0" vbProcedure="0">"c37"</definedName>
    <definedName name="IQ_AP_UTI" hidden="1" function="0" vbProcedure="0">"c38"</definedName>
    <definedName name="IQ_AR" hidden="1" function="0" vbProcedure="0">"c40"</definedName>
    <definedName name="IQ_ARPU" hidden="1" function="0" vbProcedure="0">"c2126"</definedName>
    <definedName name="IQ_AR_BR" hidden="1" function="0" vbProcedure="0">"c41"</definedName>
    <definedName name="IQ_AR_LT" hidden="1" function="0" vbProcedure="0">"c42"</definedName>
    <definedName name="IQ_AR_REIT" hidden="1" function="0" vbProcedure="0">"c43"</definedName>
    <definedName name="IQ_AR_TURNS" hidden="1" function="0" vbProcedure="0">"c44"</definedName>
    <definedName name="IQ_AR_UTI" hidden="1" function="0" vbProcedure="0">"c45"</definedName>
    <definedName name="IQ_ASSETS_CAP_LEASE_DEPR" hidden="1" function="0" vbProcedure="0">"c2068"</definedName>
    <definedName name="IQ_ASSETS_CAP_LEASE_GROSS" hidden="1" function="0" vbProcedure="0">"c2069"</definedName>
    <definedName name="IQ_ASSETS_OPER_LEASE_DEPR" hidden="1" function="0" vbProcedure="0">"c2070"</definedName>
    <definedName name="IQ_ASSETS_OPER_LEASE_GROSS" hidden="1" function="0" vbProcedure="0">"c2071"</definedName>
    <definedName name="IQ_ASSET_MGMT_FEE" hidden="1" function="0" vbProcedure="0">"c46"</definedName>
    <definedName name="IQ_ASSET_TURNS" hidden="1" function="0" vbProcedure="0">"c47"</definedName>
    <definedName name="IQ_ASSET_WRITEDOWN" hidden="1" function="0" vbProcedure="0">"c48"</definedName>
    <definedName name="IQ_ASSET_WRITEDOWN_BNK" hidden="1" function="0" vbProcedure="0">"c49"</definedName>
    <definedName name="IQ_ASSET_WRITEDOWN_BR" hidden="1" function="0" vbProcedure="0">"c50"</definedName>
    <definedName name="IQ_ASSET_WRITEDOWN_CF" hidden="1" function="0" vbProcedure="0">"c51"</definedName>
    <definedName name="IQ_ASSET_WRITEDOWN_CF_BNK" hidden="1" function="0" vbProcedure="0">"c52"</definedName>
    <definedName name="IQ_ASSET_WRITEDOWN_CF_BR" hidden="1" function="0" vbProcedure="0">"c53"</definedName>
    <definedName name="IQ_ASSET_WRITEDOWN_CF_FIN" hidden="1" function="0" vbProcedure="0">"c54"</definedName>
    <definedName name="IQ_ASSET_WRITEDOWN_CF_INS" hidden="1" function="0" vbProcedure="0">"c55"</definedName>
    <definedName name="IQ_ASSET_WRITEDOWN_CF_REIT" hidden="1" function="0" vbProcedure="0">"c56"</definedName>
    <definedName name="IQ_ASSET_WRITEDOWN_CF_UTI" hidden="1" function="0" vbProcedure="0">"c57"</definedName>
    <definedName name="IQ_ASSET_WRITEDOWN_FIN" hidden="1" function="0" vbProcedure="0">"c58"</definedName>
    <definedName name="IQ_ASSET_WRITEDOWN_INS" hidden="1" function="0" vbProcedure="0">"c59"</definedName>
    <definedName name="IQ_ASSET_WRITEDOWN_REIT" hidden="1" function="0" vbProcedure="0">"c60"</definedName>
    <definedName name="IQ_ASSET_WRITEDOWN_UTI" hidden="1" function="0" vbProcedure="0">"c61"</definedName>
    <definedName name="IQ_AUDITOR_NAME" hidden="1" function="0" vbProcedure="0">"c1539"</definedName>
    <definedName name="IQ_AUDITOR_OPINION" hidden="1" function="0" vbProcedure="0">"c1540"</definedName>
    <definedName name="IQ_AUTO_WRITTEN" hidden="1" function="0" vbProcedure="0">"c62"</definedName>
    <definedName name="IQ_AVG_BANK_ASSETS" hidden="1" function="0" vbProcedure="0">"c2072"</definedName>
    <definedName name="IQ_AVG_BANK_LOANS" hidden="1" function="0" vbProcedure="0">"c2073"</definedName>
    <definedName name="IQ_AVG_BROKER_REC" hidden="1" function="0" vbProcedure="0">"c63"</definedName>
    <definedName name="IQ_AVG_BROKER_REC_NO" hidden="1" function="0" vbProcedure="0">"c64"</definedName>
    <definedName name="IQ_AVG_DAILY_VOL" hidden="1" function="0" vbProcedure="0">"c65"</definedName>
    <definedName name="IQ_AVG_INT_BEAR_LIAB" hidden="1" function="0" vbProcedure="0">"c66"</definedName>
    <definedName name="IQ_AVG_INT_BEAR_LIAB_10YR_ANN_GROWTH" hidden="1" function="0" vbProcedure="0">"c67"</definedName>
    <definedName name="IQ_AVG_INT_BEAR_LIAB_1YR_ANN_GROWTH" hidden="1" function="0" vbProcedure="0">"c68"</definedName>
    <definedName name="IQ_AVG_INT_BEAR_LIAB_2YR_ANN_GROWTH" hidden="1" function="0" vbProcedure="0">"c69"</definedName>
    <definedName name="IQ_AVG_INT_BEAR_LIAB_3YR_ANN_GROWTH" hidden="1" function="0" vbProcedure="0">"c70"</definedName>
    <definedName name="IQ_AVG_INT_BEAR_LIAB_5YR_ANN_GROWTH" hidden="1" function="0" vbProcedure="0">"c71"</definedName>
    <definedName name="IQ_AVG_INT_BEAR_LIAB_7YR_ANN_GROWTH" hidden="1" function="0" vbProcedure="0">"c72"</definedName>
    <definedName name="IQ_AVG_INT_EARN_ASSETS" hidden="1" function="0" vbProcedure="0">"c73"</definedName>
    <definedName name="IQ_AVG_INT_EARN_ASSETS_10YR_ANN_GROWTH" hidden="1" function="0" vbProcedure="0">"c74"</definedName>
    <definedName name="IQ_AVG_INT_EARN_ASSETS_1YR_ANN_GROWTH" hidden="1" function="0" vbProcedure="0">"c75"</definedName>
    <definedName name="IQ_AVG_INT_EARN_ASSETS_2YR_ANN_GROWTH" hidden="1" function="0" vbProcedure="0">"c76"</definedName>
    <definedName name="IQ_AVG_INT_EARN_ASSETS_3YR_ANN_GROWTH" hidden="1" function="0" vbProcedure="0">"c77"</definedName>
    <definedName name="IQ_AVG_INT_EARN_ASSETS_5YR_ANN_GROWTH" hidden="1" function="0" vbProcedure="0">"c78"</definedName>
    <definedName name="IQ_AVG_INT_EARN_ASSETS_7YR_ANN_GROWTH" hidden="1" function="0" vbProcedure="0">"c79"</definedName>
    <definedName name="IQ_AVG_MKTCAP" hidden="1" function="0" vbProcedure="0">"c80"</definedName>
    <definedName name="IQ_AVG_PRICE" hidden="1" function="0" vbProcedure="0">"c81"</definedName>
    <definedName name="IQ_AVG_SHAREOUTSTANDING" hidden="1" function="0" vbProcedure="0">"c83"</definedName>
    <definedName name="IQ_AVG_TEV" hidden="1" function="0" vbProcedure="0">"c84"</definedName>
    <definedName name="IQ_AVG_VOLUME" hidden="1" function="0" vbProcedure="0">"c1346"</definedName>
    <definedName name="IQ_BASIC_EPS_EXCL" hidden="1" function="0" vbProcedure="0">"c85"</definedName>
    <definedName name="IQ_BASIC_EPS_INCL" hidden="1" function="0" vbProcedure="0">"c86"</definedName>
    <definedName name="IQ_BASIC_NORMAL_EPS" hidden="1" function="0" vbProcedure="0">"c1592"</definedName>
    <definedName name="IQ_BASIC_WEIGHT" hidden="1" function="0" vbProcedure="0">"c87"</definedName>
    <definedName name="IQ_BETA" hidden="1" function="0" vbProcedure="0">"c2133"</definedName>
    <definedName name="IQ_BETA_1YR" hidden="1" function="0" vbProcedure="0">"c1966"</definedName>
    <definedName name="IQ_BETA_1YR_RSQ" hidden="1" function="0" vbProcedure="0">"c2132"</definedName>
    <definedName name="IQ_BETA_2YR" hidden="1" function="0" vbProcedure="0">"c1965"</definedName>
    <definedName name="IQ_BETA_2YR_RSQ" hidden="1" function="0" vbProcedure="0">"c2131"</definedName>
    <definedName name="IQ_BETA_5YR" hidden="1" function="0" vbProcedure="0">"c88"</definedName>
    <definedName name="IQ_BETA_5YR_RSQ" hidden="1" function="0" vbProcedure="0">"c2130"</definedName>
    <definedName name="IQ_BIG_INT_BEAR_CD" hidden="1" function="0" vbProcedure="0">"c89"</definedName>
    <definedName name="IQ_BOARD_MEMBER" hidden="1" function="0" vbProcedure="0">"c96"</definedName>
    <definedName name="IQ_BOARD_MEMBER_BACKGROUND" hidden="1" function="0" vbProcedure="0">"c2101"</definedName>
    <definedName name="IQ_BOARD_MEMBER_TITLE" hidden="1" function="0" vbProcedure="0">"c97"</definedName>
    <definedName name="IQ_BROK_COMISSION" hidden="1" function="0" vbProcedure="0">"c98"</definedName>
    <definedName name="IQ_BUILDINGS" hidden="1" function="0" vbProcedure="0">"c99"</definedName>
    <definedName name="IQ_BUSINESS_DESCRIPTION" hidden="1" function="0" vbProcedure="0">"c322"</definedName>
    <definedName name="IQ_BV_OVER_SHARES" hidden="1" function="0" vbProcedure="0">"c1349"</definedName>
    <definedName name="IQ_BV_SHARE" hidden="1" function="0" vbProcedure="0">"c100"</definedName>
    <definedName name="IQ_CAL_Q" hidden="1" function="0" vbProcedure="0">"c101"</definedName>
    <definedName name="IQ_CAL_Y" hidden="1" function="0" vbProcedure="0">"c102"</definedName>
    <definedName name="IQ_CAPEX" hidden="1" function="0" vbProcedure="0">"c103"</definedName>
    <definedName name="IQ_CAPEX_10YR_ANN_GROWTH" hidden="1" function="0" vbProcedure="0">"c104"</definedName>
    <definedName name="IQ_CAPEX_1YR_ANN_GROWTH" hidden="1" function="0" vbProcedure="0">"c105"</definedName>
    <definedName name="IQ_CAPEX_2YR_ANN_GROWTH" hidden="1" function="0" vbProcedure="0">"c106"</definedName>
    <definedName name="IQ_CAPEX_3YR_ANN_GROWTH" hidden="1" function="0" vbProcedure="0">"c107"</definedName>
    <definedName name="IQ_CAPEX_5YR_ANN_GROWTH" hidden="1" function="0" vbProcedure="0">"c108"</definedName>
    <definedName name="IQ_CAPEX_7YR_ANN_GROWTH" hidden="1" function="0" vbProcedure="0">"c109"</definedName>
    <definedName name="IQ_CAPEX_BNK" hidden="1" function="0" vbProcedure="0">"c110"</definedName>
    <definedName name="IQ_CAPEX_BR" hidden="1" function="0" vbProcedure="0">"c111"</definedName>
    <definedName name="IQ_CAPEX_FIN" hidden="1" function="0" vbProcedure="0">"c112"</definedName>
    <definedName name="IQ_CAPEX_INS" hidden="1" function="0" vbProcedure="0">"c113"</definedName>
    <definedName name="IQ_CAPEX_UTI" hidden="1" function="0" vbProcedure="0">"c114"</definedName>
    <definedName name="IQ_CAPITALIZED_INTEREST" hidden="1" function="0" vbProcedure="0">"c2076"</definedName>
    <definedName name="IQ_CAPITAL_LEASE" hidden="1" function="0" vbProcedure="0">"c1350"</definedName>
    <definedName name="IQ_CAPITAL_LEASES" hidden="1" function="0" vbProcedure="0">"c115"</definedName>
    <definedName name="IQ_CASH" hidden="1" function="0" vbProcedure="0">"c1458"</definedName>
    <definedName name="IQ_CASH_ACQUIRE_CF" hidden="1" function="0" vbProcedure="0">"c1630"</definedName>
    <definedName name="IQ_CASH_CONVERSION" hidden="1" function="0" vbProcedure="0">"c117"</definedName>
    <definedName name="IQ_CASH_DUE_BANKS" hidden="1" function="0" vbProcedure="0">"c1351"</definedName>
    <definedName name="IQ_CASH_EQUIV" hidden="1" function="0" vbProcedure="0">"c118"</definedName>
    <definedName name="IQ_CASH_FINAN" hidden="1" function="0" vbProcedure="0">"c119"</definedName>
    <definedName name="IQ_CASH_INTEREST" hidden="1" function="0" vbProcedure="0">"c120"</definedName>
    <definedName name="IQ_CASH_INVEST" hidden="1" function="0" vbProcedure="0">"c121"</definedName>
    <definedName name="IQ_CASH_OPER" hidden="1" function="0" vbProcedure="0">"c122"</definedName>
    <definedName name="IQ_CASH_SEGREG" hidden="1" function="0" vbProcedure="0">"c123"</definedName>
    <definedName name="IQ_CASH_SHARE" hidden="1" function="0" vbProcedure="0">"c1911"</definedName>
    <definedName name="IQ_CASH_ST" hidden="1" function="0" vbProcedure="0">"c1355"</definedName>
    <definedName name="IQ_CASH_ST_INVEST" hidden="1" function="0" vbProcedure="0">"c124"</definedName>
    <definedName name="IQ_CASH_TAXES" hidden="1" function="0" vbProcedure="0">"c125"</definedName>
    <definedName name="IQ_CFO_10YR_ANN_GROWTH" hidden="1" function="0" vbProcedure="0">"c126"</definedName>
    <definedName name="IQ_CFO_1YR_ANN_GROWTH" hidden="1" function="0" vbProcedure="0">"c127"</definedName>
    <definedName name="IQ_CFO_2YR_ANN_GROWTH" hidden="1" function="0" vbProcedure="0">"c128"</definedName>
    <definedName name="IQ_CFO_3YR_ANN_GROWTH" hidden="1" function="0" vbProcedure="0">"c129"</definedName>
    <definedName name="IQ_CFO_5YR_ANN_GROWTH" hidden="1" function="0" vbProcedure="0">"c130"</definedName>
    <definedName name="IQ_CFO_7YR_ANN_GROWTH" hidden="1" function="0" vbProcedure="0">"c131"</definedName>
    <definedName name="IQ_CFO_CURRENT_LIAB" hidden="1" function="0" vbProcedure="0">"c132"</definedName>
    <definedName name="IQ_CHANGES_WORK_CAP" hidden="1" function="0" vbProcedure="0">"c1357"</definedName>
    <definedName name="IQ_CHANGE_AP" hidden="1" function="0" vbProcedure="0">"c133"</definedName>
    <definedName name="IQ_CHANGE_AP_BNK" hidden="1" function="0" vbProcedure="0">"c134"</definedName>
    <definedName name="IQ_CHANGE_AP_BR" hidden="1" function="0" vbProcedure="0">"c135"</definedName>
    <definedName name="IQ_CHANGE_AP_FIN" hidden="1" function="0" vbProcedure="0">"c136"</definedName>
    <definedName name="IQ_CHANGE_AP_INS" hidden="1" function="0" vbProcedure="0">"c137"</definedName>
    <definedName name="IQ_CHANGE_AP_REIT" hidden="1" function="0" vbProcedure="0">"c138"</definedName>
    <definedName name="IQ_CHANGE_AP_UTI" hidden="1" function="0" vbProcedure="0">"c139"</definedName>
    <definedName name="IQ_CHANGE_AR" hidden="1" function="0" vbProcedure="0">"c140"</definedName>
    <definedName name="IQ_CHANGE_AR_BNK" hidden="1" function="0" vbProcedure="0">"c141"</definedName>
    <definedName name="IQ_CHANGE_AR_BR" hidden="1" function="0" vbProcedure="0">"c142"</definedName>
    <definedName name="IQ_CHANGE_AR_FIN" hidden="1" function="0" vbProcedure="0">"c143"</definedName>
    <definedName name="IQ_CHANGE_AR_INS" hidden="1" function="0" vbProcedure="0">"c144"</definedName>
    <definedName name="IQ_CHANGE_AR_REIT" hidden="1" function="0" vbProcedure="0">"c145"</definedName>
    <definedName name="IQ_CHANGE_AR_UTI" hidden="1" function="0" vbProcedure="0">"c146"</definedName>
    <definedName name="IQ_CHANGE_DEF_TAX" hidden="1" function="0" vbProcedure="0">"c147"</definedName>
    <definedName name="IQ_CHANGE_DEPOSIT_ACCT" hidden="1" function="0" vbProcedure="0">"c148"</definedName>
    <definedName name="IQ_CHANGE_INC_TAX" hidden="1" function="0" vbProcedure="0">"c149"</definedName>
    <definedName name="IQ_CHANGE_INS_RES_LIAB" hidden="1" function="0" vbProcedure="0">"c150"</definedName>
    <definedName name="IQ_CHANGE_INVENTORY" hidden="1" function="0" vbProcedure="0">"c151"</definedName>
    <definedName name="IQ_CHANGE_NET_WORKING_CAPITAL" hidden="1" function="0" vbProcedure="0">"c1909"</definedName>
    <definedName name="IQ_CHANGE_OTHER_WORK_CAP" hidden="1" function="0" vbProcedure="0">"c152"</definedName>
    <definedName name="IQ_CHANGE_OTHER_WORK_CAP_BNK" hidden="1" function="0" vbProcedure="0">"c153"</definedName>
    <definedName name="IQ_CHANGE_OTHER_WORK_CAP_BR" hidden="1" function="0" vbProcedure="0">"c154"</definedName>
    <definedName name="IQ_CHANGE_OTHER_WORK_CAP_FIN" hidden="1" function="0" vbProcedure="0">"c155"</definedName>
    <definedName name="IQ_CHANGE_OTHER_WORK_CAP_INS" hidden="1" function="0" vbProcedure="0">"c156"</definedName>
    <definedName name="IQ_CHANGE_OTHER_WORK_CAP_REIT" hidden="1" function="0" vbProcedure="0">"c157"</definedName>
    <definedName name="IQ_CHANGE_OTHER_WORK_CAP_UTI" hidden="1" function="0" vbProcedure="0">"c158"</definedName>
    <definedName name="IQ_CHANGE_TRADING_ASSETS" hidden="1" function="0" vbProcedure="0">"c159"</definedName>
    <definedName name="IQ_CHANGE_UNEARN_REV" hidden="1" function="0" vbProcedure="0">"c160"</definedName>
    <definedName name="IQ_CHANGE_WORK_CAP" hidden="1" function="0" vbProcedure="0">"c161"</definedName>
    <definedName name="IQ_CHARGE_OFFS_GROSS" hidden="1" function="0" vbProcedure="0">"c162"</definedName>
    <definedName name="IQ_CHARGE_OFFS_NET" hidden="1" function="0" vbProcedure="0">"c163"</definedName>
    <definedName name="IQ_CHARGE_OFFS_RECOVERED" hidden="1" function="0" vbProcedure="0">"c164"</definedName>
    <definedName name="IQ_CHARGE_OFFS_TOTAL_AVG_LOANS" hidden="1" function="0" vbProcedure="0">"c165"</definedName>
    <definedName name="IQ_CITY" hidden="1" function="0" vbProcedure="0">"c166"</definedName>
    <definedName name="IQ_CLASSA_OUTSTANDING_BS_DATE" hidden="1" function="0" vbProcedure="0">"c1971"</definedName>
    <definedName name="IQ_CLASSA_OUTSTANDING_FILING_DATE" hidden="1" function="0" vbProcedure="0">"c1973"</definedName>
    <definedName name="IQ_CLOSEPRICE" hidden="1" function="0" vbProcedure="0">"c174"</definedName>
    <definedName name="IQ_CLOSEPRICE_ADJ" hidden="1" function="0" vbProcedure="0">"c2115"</definedName>
    <definedName name="IQ_CL_DUE_AFTER_FIVE" hidden="1" function="0" vbProcedure="0">"c167"</definedName>
    <definedName name="IQ_CL_DUE_CY" hidden="1" function="0" vbProcedure="0">"c168"</definedName>
    <definedName name="IQ_CL_DUE_CY1" hidden="1" function="0" vbProcedure="0">"c169"</definedName>
    <definedName name="IQ_CL_DUE_CY2" hidden="1" function="0" vbProcedure="0">"c170"</definedName>
    <definedName name="IQ_CL_DUE_CY3" hidden="1" function="0" vbProcedure="0">"c171"</definedName>
    <definedName name="IQ_CL_DUE_CY4" hidden="1" function="0" vbProcedure="0">"c172"</definedName>
    <definedName name="IQ_CL_DUE_NEXT_FIVE" hidden="1" function="0" vbProcedure="0">"c173"</definedName>
    <definedName name="IQ_COGS" hidden="1" function="0" vbProcedure="0">"c175"</definedName>
    <definedName name="IQ_COMBINED_RATIO" hidden="1" function="0" vbProcedure="0">"c176"</definedName>
    <definedName name="IQ_COMMERCIAL_DOM" hidden="1" function="0" vbProcedure="0">"c177"</definedName>
    <definedName name="IQ_COMMERCIAL_FIRE_WRITTEN" hidden="1" function="0" vbProcedure="0">"c178"</definedName>
    <definedName name="IQ_COMMERCIAL_MORT" hidden="1" function="0" vbProcedure="0">"c179"</definedName>
    <definedName name="IQ_COMMISSION_DEF" hidden="1" function="0" vbProcedure="0">"c181"</definedName>
    <definedName name="IQ_COMMISS_FEES" hidden="1" function="0" vbProcedure="0">"c180"</definedName>
    <definedName name="IQ_COMMON" hidden="1" function="0" vbProcedure="0">"c182"</definedName>
    <definedName name="IQ_COMMON_APIC" hidden="1" function="0" vbProcedure="0">"c183"</definedName>
    <definedName name="IQ_COMMON_APIC_BNK" hidden="1" function="0" vbProcedure="0">"c184"</definedName>
    <definedName name="IQ_COMMON_APIC_BR" hidden="1" function="0" vbProcedure="0">"c185"</definedName>
    <definedName name="IQ_COMMON_APIC_FIN" hidden="1" function="0" vbProcedure="0">"c186"</definedName>
    <definedName name="IQ_COMMON_APIC_INS" hidden="1" function="0" vbProcedure="0">"c187"</definedName>
    <definedName name="IQ_COMMON_APIC_REIT" hidden="1" function="0" vbProcedure="0">"c188"</definedName>
    <definedName name="IQ_COMMON_APIC_UTI" hidden="1" function="0" vbProcedure="0">"c189"</definedName>
    <definedName name="IQ_COMMON_DIV_CF" hidden="1" function="0" vbProcedure="0">"c190"</definedName>
    <definedName name="IQ_COMMON_EQUITY_10YR_ANN_GROWTH" hidden="1" function="0" vbProcedure="0">"c191"</definedName>
    <definedName name="IQ_COMMON_EQUITY_1YR_ANN_GROWTH" hidden="1" function="0" vbProcedure="0">"c192"</definedName>
    <definedName name="IQ_COMMON_EQUITY_2YR_ANN_GROWTH" hidden="1" function="0" vbProcedure="0">"c193"</definedName>
    <definedName name="IQ_COMMON_EQUITY_3YR_ANN_GROWTH" hidden="1" function="0" vbProcedure="0">"c194"</definedName>
    <definedName name="IQ_COMMON_EQUITY_5YR_ANN_GROWTH" hidden="1" function="0" vbProcedure="0">"c195"</definedName>
    <definedName name="IQ_COMMON_EQUITY_7YR_ANN_GROWTH" hidden="1" function="0" vbProcedure="0">"c196"</definedName>
    <definedName name="IQ_COMMON_ISSUED" hidden="1" function="0" vbProcedure="0">"c197"</definedName>
    <definedName name="IQ_COMMON_ISSUED_BNK" hidden="1" function="0" vbProcedure="0">"c198"</definedName>
    <definedName name="IQ_COMMON_ISSUED_BR" hidden="1" function="0" vbProcedure="0">"c199"</definedName>
    <definedName name="IQ_COMMON_ISSUED_FIN" hidden="1" function="0" vbProcedure="0">"c200"</definedName>
    <definedName name="IQ_COMMON_ISSUED_INS" hidden="1" function="0" vbProcedure="0">"c201"</definedName>
    <definedName name="IQ_COMMON_ISSUED_REIT" hidden="1" function="0" vbProcedure="0">"c202"</definedName>
    <definedName name="IQ_COMMON_ISSUED_UTI" hidden="1" function="0" vbProcedure="0">"c203"</definedName>
    <definedName name="IQ_COMMON_PER_ADR" hidden="1" function="0" vbProcedure="0">"c204"</definedName>
    <definedName name="IQ_COMMON_PREF_DIV_CF" hidden="1" function="0" vbProcedure="0">"c205"</definedName>
    <definedName name="IQ_COMMON_REP" hidden="1" function="0" vbProcedure="0">"c206"</definedName>
    <definedName name="IQ_COMMON_REP_BNK" hidden="1" function="0" vbProcedure="0">"c207"</definedName>
    <definedName name="IQ_COMMON_REP_BR" hidden="1" function="0" vbProcedure="0">"c208"</definedName>
    <definedName name="IQ_COMMON_REP_FIN" hidden="1" function="0" vbProcedure="0">"c209"</definedName>
    <definedName name="IQ_COMMON_REP_INS" hidden="1" function="0" vbProcedure="0">"c210"</definedName>
    <definedName name="IQ_COMMON_REP_REIT" hidden="1" function="0" vbProcedure="0">"c211"</definedName>
    <definedName name="IQ_COMMON_REP_UTI" hidden="1" function="0" vbProcedure="0">"c212"</definedName>
    <definedName name="IQ_COMMON_STOCK" hidden="1" function="0" vbProcedure="0">"c1358"</definedName>
    <definedName name="IQ_COMPANY_ADDRESS" hidden="1" function="0" vbProcedure="0">"c214"</definedName>
    <definedName name="IQ_COMPANY_NAME" hidden="1" function="0" vbProcedure="0">"c215"</definedName>
    <definedName name="IQ_COMPANY_NAME_LONG" hidden="1" function="0" vbProcedure="0">"c1585"</definedName>
    <definedName name="IQ_COMPANY_PHONE" hidden="1" function="0" vbProcedure="0">"c216"</definedName>
    <definedName name="IQ_COMPANY_STATUS" hidden="1" function="0" vbProcedure="0">"c2097"</definedName>
    <definedName name="IQ_COMPANY_STREET1" hidden="1" function="0" vbProcedure="0">"c217"</definedName>
    <definedName name="IQ_COMPANY_STREET2" hidden="1" function="0" vbProcedure="0">"c218"</definedName>
    <definedName name="IQ_COMPANY_TICKER" hidden="1" function="0" vbProcedure="0">"c219"</definedName>
    <definedName name="IQ_COMPANY_TYPE" hidden="1" function="0" vbProcedure="0">"c2096"</definedName>
    <definedName name="IQ_COMPANY_WEBSITE" hidden="1" function="0" vbProcedure="0">"c220"</definedName>
    <definedName name="IQ_COMPANY_ZIP" hidden="1" function="0" vbProcedure="0">"c221"</definedName>
    <definedName name="IQ_COMP_BENEFITS" hidden="1" function="0" vbProcedure="0">"c213"</definedName>
    <definedName name="IQ_CONSTRUCTION_LOANS" hidden="1" function="0" vbProcedure="0">"c222"</definedName>
    <definedName name="IQ_CONSUMER_LOANS" hidden="1" function="0" vbProcedure="0">"c223"</definedName>
    <definedName name="IQ_COST_BORROWINGS" hidden="1" function="0" vbProcedure="0">"c225"</definedName>
    <definedName name="IQ_COST_REV" hidden="1" function="0" vbProcedure="0">"c226"</definedName>
    <definedName name="IQ_COST_REVENUE" hidden="1" function="0" vbProcedure="0">"c1359"</definedName>
    <definedName name="IQ_COST_SAVINGS" hidden="1" function="0" vbProcedure="0">"c227"</definedName>
    <definedName name="IQ_COST_SERVICE" hidden="1" function="0" vbProcedure="0">"c228"</definedName>
    <definedName name="IQ_COST_TOTAL_BORROWINGS" hidden="1" function="0" vbProcedure="0">"c229"</definedName>
    <definedName name="IQ_COUNTRY_NAME" hidden="1" function="0" vbProcedure="0">"c230"</definedName>
    <definedName name="IQ_COVERED_POPS" hidden="1" function="0" vbProcedure="0">"c2124"</definedName>
    <definedName name="IQ_CQ" hidden="1" function="0" vbProcedure="0">5000</definedName>
    <definedName name="IQ_CREDIT_CARD_FEE_BNK" hidden="1" function="0" vbProcedure="0">"c231"</definedName>
    <definedName name="IQ_CREDIT_CARD_FEE_FIN" hidden="1" function="0" vbProcedure="0">"c1583"</definedName>
    <definedName name="IQ_CREDIT_LOSS_CF" hidden="1" function="0" vbProcedure="0">"c232"</definedName>
    <definedName name="IQ_CUMULATIVE_SPLIT_FACTOR" hidden="1" function="0" vbProcedure="0">"c2094"</definedName>
    <definedName name="IQ_CURRENCY_FACTOR_BS" hidden="1" function="0" vbProcedure="0">"c233"</definedName>
    <definedName name="IQ_CURRENCY_FACTOR_IS" hidden="1" function="0" vbProcedure="0">"c234"</definedName>
    <definedName name="IQ_CURRENCY_GAIN" hidden="1" function="0" vbProcedure="0">"c235"</definedName>
    <definedName name="IQ_CURRENCY_GAIN_BR" hidden="1" function="0" vbProcedure="0">"c236"</definedName>
    <definedName name="IQ_CURRENCY_GAIN_FIN" hidden="1" function="0" vbProcedure="0">"c237"</definedName>
    <definedName name="IQ_CURRENCY_GAIN_INS" hidden="1" function="0" vbProcedure="0">"c238"</definedName>
    <definedName name="IQ_CURRENCY_GAIN_REIT" hidden="1" function="0" vbProcedure="0">"c239"</definedName>
    <definedName name="IQ_CURRENCY_GAIN_UTI" hidden="1" function="0" vbProcedure="0">"c240"</definedName>
    <definedName name="IQ_CURRENT_PORT" hidden="1" function="0" vbProcedure="0">"c241"</definedName>
    <definedName name="IQ_CURRENT_PORT_BNK" hidden="1" function="0" vbProcedure="0">"c242"</definedName>
    <definedName name="IQ_CURRENT_PORT_DEBT" hidden="1" function="0" vbProcedure="0">"c243"</definedName>
    <definedName name="IQ_CURRENT_PORT_DEBT_BNK" hidden="1" function="0" vbProcedure="0">"c244"</definedName>
    <definedName name="IQ_CURRENT_PORT_DEBT_BR" hidden="1" function="0" vbProcedure="0">"c1567"</definedName>
    <definedName name="IQ_CURRENT_PORT_DEBT_FIN" hidden="1" function="0" vbProcedure="0">"c1568"</definedName>
    <definedName name="IQ_CURRENT_PORT_DEBT_INS" hidden="1" function="0" vbProcedure="0">"c1569"</definedName>
    <definedName name="IQ_CURRENT_PORT_DEBT_REIT" hidden="1" function="0" vbProcedure="0">"c1570"</definedName>
    <definedName name="IQ_CURRENT_PORT_DEBT_UTI" hidden="1" function="0" vbProcedure="0">"c1571"</definedName>
    <definedName name="IQ_CURRENT_PORT_LEASES" hidden="1" function="0" vbProcedure="0">"c245"</definedName>
    <definedName name="IQ_CURRENT_RATIO" hidden="1" function="0" vbProcedure="0">"c246"</definedName>
    <definedName name="IQ_CURR_DOMESTIC_TAXES" hidden="1" function="0" vbProcedure="0">"c2074"</definedName>
    <definedName name="IQ_CURR_FOREIGN_TAXES" hidden="1" function="0" vbProcedure="0">"c2075"</definedName>
    <definedName name="IQ_CY" hidden="1" function="0" vbProcedure="0">10000</definedName>
    <definedName name="IQ_DA" hidden="1" function="0" vbProcedure="0">"c247"</definedName>
    <definedName name="IQ_DAYS_COVER_SHORT" hidden="1" function="0" vbProcedure="0">"c1578"</definedName>
    <definedName name="IQ_DAYS_INVENTORY_OUT" hidden="1" function="0" vbProcedure="0">"c273"</definedName>
    <definedName name="IQ_DAYS_PAYABLE_OUT" hidden="1" function="0" vbProcedure="0">"c274"</definedName>
    <definedName name="IQ_DAYS_PAY_OUTST" hidden="1" function="0" vbProcedure="0">"c1362"</definedName>
    <definedName name="IQ_DAYS_SALES_OUT" hidden="1" function="0" vbProcedure="0">"c275"</definedName>
    <definedName name="IQ_DAYS_SALES_OUTST" hidden="1" function="0" vbProcedure="0">"c1363"</definedName>
    <definedName name="IQ_DA_BR" hidden="1" function="0" vbProcedure="0">"c248"</definedName>
    <definedName name="IQ_DA_CF" hidden="1" function="0" vbProcedure="0">"c249"</definedName>
    <definedName name="IQ_DA_CF_BNK" hidden="1" function="0" vbProcedure="0">"c250"</definedName>
    <definedName name="IQ_DA_CF_BR" hidden="1" function="0" vbProcedure="0">"c251"</definedName>
    <definedName name="IQ_DA_CF_FIN" hidden="1" function="0" vbProcedure="0">"c252"</definedName>
    <definedName name="IQ_DA_CF_INS" hidden="1" function="0" vbProcedure="0">"c253"</definedName>
    <definedName name="IQ_DA_CF_REIT" hidden="1" function="0" vbProcedure="0">"c254"</definedName>
    <definedName name="IQ_DA_CF_UTI" hidden="1" function="0" vbProcedure="0">"c255"</definedName>
    <definedName name="IQ_DA_FIN" hidden="1" function="0" vbProcedure="0">"c256"</definedName>
    <definedName name="IQ_DA_INS" hidden="1" function="0" vbProcedure="0">"c257"</definedName>
    <definedName name="IQ_DA_REIT" hidden="1" function="0" vbProcedure="0">"c258"</definedName>
    <definedName name="IQ_DA_SUPPL" hidden="1" function="0" vbProcedure="0">"c259"</definedName>
    <definedName name="IQ_DA_SUPPL_BR" hidden="1" function="0" vbProcedure="0">"c260"</definedName>
    <definedName name="IQ_DA_SUPPL_CF" hidden="1" function="0" vbProcedure="0">"c261"</definedName>
    <definedName name="IQ_DA_SUPPL_CF_BNK" hidden="1" function="0" vbProcedure="0">"c262"</definedName>
    <definedName name="IQ_DA_SUPPL_CF_BR" hidden="1" function="0" vbProcedure="0">"c263"</definedName>
    <definedName name="IQ_DA_SUPPL_CF_FIN" hidden="1" function="0" vbProcedure="0">"c264"</definedName>
    <definedName name="IQ_DA_SUPPL_CF_INS" hidden="1" function="0" vbProcedure="0">"c265"</definedName>
    <definedName name="IQ_DA_SUPPL_CF_REIT" hidden="1" function="0" vbProcedure="0">"c266"</definedName>
    <definedName name="IQ_DA_SUPPL_CF_UTI" hidden="1" function="0" vbProcedure="0">"c267"</definedName>
    <definedName name="IQ_DA_SUPPL_FIN" hidden="1" function="0" vbProcedure="0">"c268"</definedName>
    <definedName name="IQ_DA_SUPPL_INS" hidden="1" function="0" vbProcedure="0">"c269"</definedName>
    <definedName name="IQ_DA_SUPPL_REIT" hidden="1" function="0" vbProcedure="0">"c270"</definedName>
    <definedName name="IQ_DA_SUPPL_UTI" hidden="1" function="0" vbProcedure="0">"c271"</definedName>
    <definedName name="IQ_DA_UTI" hidden="1" function="0" vbProcedure="0">"c272"</definedName>
    <definedName name="IQ_DEFERRED_DOMESTIC_TAXES" hidden="1" function="0" vbProcedure="0">"c2077"</definedName>
    <definedName name="IQ_DEFERRED_FOREIGN_TAXES" hidden="1" function="0" vbProcedure="0">"c2078"</definedName>
    <definedName name="IQ_DEFERRED_INC_TAX" hidden="1" function="0" vbProcedure="0">"c1447"</definedName>
    <definedName name="IQ_DEFERRED_TAXES" hidden="1" function="0" vbProcedure="0">"c1356"</definedName>
    <definedName name="IQ_DEF_ACQ_CST" hidden="1" function="0" vbProcedure="0">"c1364"</definedName>
    <definedName name="IQ_DEF_AMORT" hidden="1" function="0" vbProcedure="0">"c276"</definedName>
    <definedName name="IQ_DEF_AMORT_BNK" hidden="1" function="0" vbProcedure="0">"c277"</definedName>
    <definedName name="IQ_DEF_AMORT_BR" hidden="1" function="0" vbProcedure="0">"c278"</definedName>
    <definedName name="IQ_DEF_AMORT_FIN" hidden="1" function="0" vbProcedure="0">"c279"</definedName>
    <definedName name="IQ_DEF_AMORT_INS" hidden="1" function="0" vbProcedure="0">"c280"</definedName>
    <definedName name="IQ_DEF_AMORT_REIT" hidden="1" function="0" vbProcedure="0">"c281"</definedName>
    <definedName name="IQ_DEF_AMORT_UTI" hidden="1" function="0" vbProcedure="0">"c282"</definedName>
    <definedName name="IQ_DEF_BENEFIT_INTEREST_COST" hidden="1" function="0" vbProcedure="0">"c283"</definedName>
    <definedName name="IQ_DEF_BENEFIT_OTHER_COST" hidden="1" function="0" vbProcedure="0">"c284"</definedName>
    <definedName name="IQ_DEF_BENEFIT_ROA" hidden="1" function="0" vbProcedure="0">"c285"</definedName>
    <definedName name="IQ_DEF_BENEFIT_SERVICE_COST" hidden="1" function="0" vbProcedure="0">"c286"</definedName>
    <definedName name="IQ_DEF_BENEFIT_TOTAL_COST" hidden="1" function="0" vbProcedure="0">"c287"</definedName>
    <definedName name="IQ_DEF_CHARGES_BR" hidden="1" function="0" vbProcedure="0">"c288"</definedName>
    <definedName name="IQ_DEF_CHARGES_CF" hidden="1" function="0" vbProcedure="0">"c289"</definedName>
    <definedName name="IQ_DEF_CHARGES_FIN" hidden="1" function="0" vbProcedure="0">"c290"</definedName>
    <definedName name="IQ_DEF_CHARGES_INS" hidden="1" function="0" vbProcedure="0">"c291"</definedName>
    <definedName name="IQ_DEF_CHARGES_LT" hidden="1" function="0" vbProcedure="0">"c292"</definedName>
    <definedName name="IQ_DEF_CHARGES_LT_BNK" hidden="1" function="0" vbProcedure="0">"c293"</definedName>
    <definedName name="IQ_DEF_CHARGES_LT_BR" hidden="1" function="0" vbProcedure="0">"c294"</definedName>
    <definedName name="IQ_DEF_CHARGES_LT_FIN" hidden="1" function="0" vbProcedure="0">"c295"</definedName>
    <definedName name="IQ_DEF_CHARGES_LT_INS" hidden="1" function="0" vbProcedure="0">"c296"</definedName>
    <definedName name="IQ_DEF_CHARGES_LT_REIT" hidden="1" function="0" vbProcedure="0">"c297"</definedName>
    <definedName name="IQ_DEF_CHARGES_LT_UTI" hidden="1" function="0" vbProcedure="0">"c298"</definedName>
    <definedName name="IQ_DEF_CHARGES_REIT" hidden="1" function="0" vbProcedure="0">"c299"</definedName>
    <definedName name="IQ_DEF_CONTRIBUTION_TOTAL_COST" hidden="1" function="0" vbProcedure="0">"c300"</definedName>
    <definedName name="IQ_DEF_INC_TAX" hidden="1" function="0" vbProcedure="0">"c1365"</definedName>
    <definedName name="IQ_DEF_POLICY_ACQ_COSTS" hidden="1" function="0" vbProcedure="0">"c301"</definedName>
    <definedName name="IQ_DEF_POLICY_ACQ_COSTS_CF" hidden="1" function="0" vbProcedure="0">"c302"</definedName>
    <definedName name="IQ_DEF_POLICY_AMORT" hidden="1" function="0" vbProcedure="0">"c303"</definedName>
    <definedName name="IQ_DEF_TAX_ASSETS_CURRENT" hidden="1" function="0" vbProcedure="0">"c309"</definedName>
    <definedName name="IQ_DEF_TAX_ASSETS_LT" hidden="1" function="0" vbProcedure="0">"c310"</definedName>
    <definedName name="IQ_DEF_TAX_ASSETS_LT_BNK" hidden="1" function="0" vbProcedure="0">"c311"</definedName>
    <definedName name="IQ_DEF_TAX_ASSET_LT_BR" hidden="1" function="0" vbProcedure="0">"c304"</definedName>
    <definedName name="IQ_DEF_TAX_ASSET_LT_FIN" hidden="1" function="0" vbProcedure="0">"c305"</definedName>
    <definedName name="IQ_DEF_TAX_ASSET_LT_INS" hidden="1" function="0" vbProcedure="0">"c306"</definedName>
    <definedName name="IQ_DEF_TAX_ASSET_LT_REIT" hidden="1" function="0" vbProcedure="0">"c307"</definedName>
    <definedName name="IQ_DEF_TAX_ASSET_LT_UTI" hidden="1" function="0" vbProcedure="0">"c308"</definedName>
    <definedName name="IQ_DEF_TAX_LIAB_CURRENT" hidden="1" function="0" vbProcedure="0">"c312"</definedName>
    <definedName name="IQ_DEF_TAX_LIAB_LT" hidden="1" function="0" vbProcedure="0">"c313"</definedName>
    <definedName name="IQ_DEF_TAX_LIAB_LT_BNK" hidden="1" function="0" vbProcedure="0">"c314"</definedName>
    <definedName name="IQ_DEF_TAX_LIAB_LT_BR" hidden="1" function="0" vbProcedure="0">"c315"</definedName>
    <definedName name="IQ_DEF_TAX_LIAB_LT_FIN" hidden="1" function="0" vbProcedure="0">"c316"</definedName>
    <definedName name="IQ_DEF_TAX_LIAB_LT_INS" hidden="1" function="0" vbProcedure="0">"c317"</definedName>
    <definedName name="IQ_DEF_TAX_LIAB_LT_REIT" hidden="1" function="0" vbProcedure="0">"c318"</definedName>
    <definedName name="IQ_DEF_TAX_LIAB_LT_UTI" hidden="1" function="0" vbProcedure="0">"c319"</definedName>
    <definedName name="IQ_DEMAND_DEP" hidden="1" function="0" vbProcedure="0">"c320"</definedName>
    <definedName name="IQ_DEPOSITS_FIN" hidden="1" function="0" vbProcedure="0">"c321"</definedName>
    <definedName name="IQ_DEPRE_AMORT" hidden="1" function="0" vbProcedure="0">"c1360"</definedName>
    <definedName name="IQ_DEPRE_AMORT_SUPPL" hidden="1" function="0" vbProcedure="0">"c1593"</definedName>
    <definedName name="IQ_DEPRE_DEPLE" hidden="1" function="0" vbProcedure="0">"c1361"</definedName>
    <definedName name="IQ_DEPRE_SUPP" hidden="1" function="0" vbProcedure="0">"c1443"</definedName>
    <definedName name="IQ_DESCRIPTION_LONG" hidden="1" function="0" vbProcedure="0">"c1520"</definedName>
    <definedName name="IQ_DEVELOP_LAND" hidden="1" function="0" vbProcedure="0">"c323"</definedName>
    <definedName name="IQ_DIFF_LASTCLOSE_TARGET_PRICE" hidden="1" function="0" vbProcedure="0">"c1854"</definedName>
    <definedName name="IQ_DILUT_ADJUST" hidden="1" function="0" vbProcedure="0">"c1621"</definedName>
    <definedName name="IQ_DILUT_EPS_EXCL" hidden="1" function="0" vbProcedure="0">"c324"</definedName>
    <definedName name="IQ_DILUT_EPS_INCL" hidden="1" function="0" vbProcedure="0">"c325"</definedName>
    <definedName name="IQ_DILUT_EPS_NORM" hidden="1" function="0" vbProcedure="0">"c1903"</definedName>
    <definedName name="IQ_DILUT_NI" hidden="1" function="0" vbProcedure="0">"c2079"</definedName>
    <definedName name="IQ_DILUT_NORMAL_EPS" hidden="1" function="0" vbProcedure="0">"c1594"</definedName>
    <definedName name="IQ_DILUT_WEIGHT" hidden="1" function="0" vbProcedure="0">"c326"</definedName>
    <definedName name="IQ_DISCONT_OPER" hidden="1" function="0" vbProcedure="0">"c1367"</definedName>
    <definedName name="IQ_DISCOUNT_RATE_PENSION_DOMESTIC" hidden="1" function="0" vbProcedure="0">"c327"</definedName>
    <definedName name="IQ_DISCOUNT_RATE_PENSION_FOREIGN" hidden="1" function="0" vbProcedure="0">"c328"</definedName>
    <definedName name="IQ_DISTR_EXCESS_EARN" hidden="1" function="0" vbProcedure="0">"c329"</definedName>
    <definedName name="IQ_DIVEST_CF" hidden="1" function="0" vbProcedure="0">"c331"</definedName>
    <definedName name="IQ_DIVIDEND_YIELD" hidden="1" function="0" vbProcedure="0">"c332"</definedName>
    <definedName name="IQ_DIVID_SHARE" hidden="1" function="0" vbProcedure="0">"c1366"</definedName>
    <definedName name="IQ_DIV_PAYMENT_DATE" hidden="1" function="0" vbProcedure="0">"c2106"</definedName>
    <definedName name="IQ_DIV_RECORD_DATE" hidden="1" function="0" vbProcedure="0">"c2105"</definedName>
    <definedName name="IQ_DIV_SHARE" hidden="1" function="0" vbProcedure="0">"c330"</definedName>
    <definedName name="IQ_DO" hidden="1" function="0" vbProcedure="0">"c333"</definedName>
    <definedName name="IQ_DO_ASSETS_CURRENT" hidden="1" function="0" vbProcedure="0">"c334"</definedName>
    <definedName name="IQ_DO_ASSETS_LT" hidden="1" function="0" vbProcedure="0">"c335"</definedName>
    <definedName name="IQ_DO_CF" hidden="1" function="0" vbProcedure="0">"c336"</definedName>
    <definedName name="IQ_DPS_10YR_ANN_GROWTH" hidden="1" function="0" vbProcedure="0">"c337"</definedName>
    <definedName name="IQ_DPS_1YR_ANN_GROWTH" hidden="1" function="0" vbProcedure="0">"c338"</definedName>
    <definedName name="IQ_DPS_2YR_ANN_GROWTH" hidden="1" function="0" vbProcedure="0">"c339"</definedName>
    <definedName name="IQ_DPS_3YR_ANN_GROWTH" hidden="1" function="0" vbProcedure="0">"c340"</definedName>
    <definedName name="IQ_DPS_5YR_ANN_GROWTH" hidden="1" function="0" vbProcedure="0">"c341"</definedName>
    <definedName name="IQ_DPS_7YR_ANN_GROWTH" hidden="1" function="0" vbProcedure="0">"c342"</definedName>
    <definedName name="IQ_EARNINGS_ANNOUNCE_DATE" hidden="1" function="0" vbProcedure="0">"c1649"</definedName>
    <definedName name="IQ_EARNING_ASSET_YIELD" hidden="1" function="0" vbProcedure="0">"c343"</definedName>
    <definedName name="IQ_EARNING_CO" hidden="1" function="0" vbProcedure="0">"c344"</definedName>
    <definedName name="IQ_EARNING_CO_10YR_ANN_GROWTH" hidden="1" function="0" vbProcedure="0">"c345"</definedName>
    <definedName name="IQ_EARNING_CO_1YR_ANN_GROWTH" hidden="1" function="0" vbProcedure="0">"c346"</definedName>
    <definedName name="IQ_EARNING_CO_2YR_ANN_GROWTH" hidden="1" function="0" vbProcedure="0">"c347"</definedName>
    <definedName name="IQ_EARNING_CO_3YR_ANN_GROWTH" hidden="1" function="0" vbProcedure="0">"c348"</definedName>
    <definedName name="IQ_EARNING_CO_5YR_ANN_GROWTH" hidden="1" function="0" vbProcedure="0">"c349"</definedName>
    <definedName name="IQ_EARNING_CO_7YR_ANN_GROWTH" hidden="1" function="0" vbProcedure="0">"c350"</definedName>
    <definedName name="IQ_EARNING_CO_MARGIN" hidden="1" function="0" vbProcedure="0">"c351"</definedName>
    <definedName name="IQ_EBIT" hidden="1" function="0" vbProcedure="0">"c352"</definedName>
    <definedName name="IQ_EBITA" hidden="1" function="0" vbProcedure="0">"c1910"</definedName>
    <definedName name="IQ_EBITA_10YR_ANN_GROWTH" hidden="1" function="0" vbProcedure="0">"c1954"</definedName>
    <definedName name="IQ_EBITA_1YR_ANN_GROWTH" hidden="1" function="0" vbProcedure="0">"c1949"</definedName>
    <definedName name="IQ_EBITA_2YR_ANN_GROWTH" hidden="1" function="0" vbProcedure="0">"c1950"</definedName>
    <definedName name="IQ_EBITA_3YR_ANN_GROWTH" hidden="1" function="0" vbProcedure="0">"c1951"</definedName>
    <definedName name="IQ_EBITA_5YR_ANN_GROWTH" hidden="1" function="0" vbProcedure="0">"c1952"</definedName>
    <definedName name="IQ_EBITA_7YR_ANN_GROWTH" hidden="1" function="0" vbProcedure="0">"c1953"</definedName>
    <definedName name="IQ_EBITA_MARGIN" hidden="1" function="0" vbProcedure="0">"c1963"</definedName>
    <definedName name="IQ_EBITDA" hidden="1" function="0" vbProcedure="0">"c361"</definedName>
    <definedName name="IQ_EBITDA_10YR_ANN_GROWTH" hidden="1" function="0" vbProcedure="0">"c362"</definedName>
    <definedName name="IQ_EBITDA_1YR_ANN_GROWTH" hidden="1" function="0" vbProcedure="0">"c363"</definedName>
    <definedName name="IQ_EBITDA_2YR_ANN_GROWTH" hidden="1" function="0" vbProcedure="0">"c364"</definedName>
    <definedName name="IQ_EBITDA_3YR_ANN_GROWTH" hidden="1" function="0" vbProcedure="0">"c365"</definedName>
    <definedName name="IQ_EBITDA_5YR_ANN_GROWTH" hidden="1" function="0" vbProcedure="0">"c366"</definedName>
    <definedName name="IQ_EBITDA_7YR_ANN_GROWTH" hidden="1" function="0" vbProcedure="0">"c367"</definedName>
    <definedName name="IQ_EBITDA_CAPEX_INT" hidden="1" function="0" vbProcedure="0">"c368"</definedName>
    <definedName name="IQ_EBITDA_CAPEX_OVER_TOTAL_IE" hidden="1" function="0" vbProcedure="0">"c1370"</definedName>
    <definedName name="IQ_EBITDA_INT" hidden="1" function="0" vbProcedure="0">"c373"</definedName>
    <definedName name="IQ_EBITDA_MARGIN" hidden="1" function="0" vbProcedure="0">"c372"</definedName>
    <definedName name="IQ_EBITDA_OVER_TOTAL_IE" hidden="1" function="0" vbProcedure="0">"c1371"</definedName>
    <definedName name="IQ_EBIT_10YR_ANN_GROWTH" hidden="1" function="0" vbProcedure="0">"c353"</definedName>
    <definedName name="IQ_EBIT_1YR_ANN_GROWTH" hidden="1" function="0" vbProcedure="0">"c354"</definedName>
    <definedName name="IQ_EBIT_2YR_ANN_GROWTH" hidden="1" function="0" vbProcedure="0">"c355"</definedName>
    <definedName name="IQ_EBIT_3YR_ANN_GROWTH" hidden="1" function="0" vbProcedure="0">"c356"</definedName>
    <definedName name="IQ_EBIT_5YR_ANN_GROWTH" hidden="1" function="0" vbProcedure="0">"c357"</definedName>
    <definedName name="IQ_EBIT_7YR_ANN_GROWTH" hidden="1" function="0" vbProcedure="0">"c358"</definedName>
    <definedName name="IQ_EBIT_INT" hidden="1" function="0" vbProcedure="0">"c360"</definedName>
    <definedName name="IQ_EBIT_MARGIN" hidden="1" function="0" vbProcedure="0">"c359"</definedName>
    <definedName name="IQ_EBIT_OVER_IE" hidden="1" function="0" vbProcedure="0">"c1369"</definedName>
    <definedName name="IQ_EBT" hidden="1" function="0" vbProcedure="0">"c376"</definedName>
    <definedName name="IQ_EBT_BNK" hidden="1" function="0" vbProcedure="0">"c377"</definedName>
    <definedName name="IQ_EBT_BR" hidden="1" function="0" vbProcedure="0">"c378"</definedName>
    <definedName name="IQ_EBT_EXCL" hidden="1" function="0" vbProcedure="0">"c379"</definedName>
    <definedName name="IQ_EBT_EXCL_BNK" hidden="1" function="0" vbProcedure="0">"c380"</definedName>
    <definedName name="IQ_EBT_EXCL_BR" hidden="1" function="0" vbProcedure="0">"c381"</definedName>
    <definedName name="IQ_EBT_EXCL_FIN" hidden="1" function="0" vbProcedure="0">"c382"</definedName>
    <definedName name="IQ_EBT_EXCL_INS" hidden="1" function="0" vbProcedure="0">"c383"</definedName>
    <definedName name="IQ_EBT_EXCL_MARGIN" hidden="1" function="0" vbProcedure="0">"c1462"</definedName>
    <definedName name="IQ_EBT_EXCL_REIT" hidden="1" function="0" vbProcedure="0">"c384"</definedName>
    <definedName name="IQ_EBT_EXCL_UTI" hidden="1" function="0" vbProcedure="0">"c385"</definedName>
    <definedName name="IQ_EBT_FIN" hidden="1" function="0" vbProcedure="0">"c386"</definedName>
    <definedName name="IQ_EBT_INCL_MARGIN" hidden="1" function="0" vbProcedure="0">"c387"</definedName>
    <definedName name="IQ_EBT_INS" hidden="1" function="0" vbProcedure="0">"c388"</definedName>
    <definedName name="IQ_EBT_REIT" hidden="1" function="0" vbProcedure="0">"c389"</definedName>
    <definedName name="IQ_EBT_UTI" hidden="1" function="0" vbProcedure="0">"c390"</definedName>
    <definedName name="IQ_EFFECT_SPECIAL_CHARGE" hidden="1" function="0" vbProcedure="0">"c1595"</definedName>
    <definedName name="IQ_EFFECT_TAX_RATE" hidden="1" function="0" vbProcedure="0">"c1899"</definedName>
    <definedName name="IQ_EFFICIENCY_RATIO" hidden="1" function="0" vbProcedure="0">"c391"</definedName>
    <definedName name="IQ_EMPLOYEES" hidden="1" function="0" vbProcedure="0">"c392"</definedName>
    <definedName name="IQ_ENTERPRISE_VALUE" hidden="1" function="0" vbProcedure="0">"c1348"</definedName>
    <definedName name="IQ_EPS_10YR_ANN_GROWTH" hidden="1" function="0" vbProcedure="0">"c393"</definedName>
    <definedName name="IQ_EPS_1YR_ANN_GROWTH" hidden="1" function="0" vbProcedure="0">"c394"</definedName>
    <definedName name="IQ_EPS_2YR_ANN_GROWTH" hidden="1" function="0" vbProcedure="0">"c395"</definedName>
    <definedName name="IQ_EPS_3YR_ANN_GROWTH" hidden="1" function="0" vbProcedure="0">"c396"</definedName>
    <definedName name="IQ_EPS_5YR_ANN_GROWTH" hidden="1" function="0" vbProcedure="0">"c397"</definedName>
    <definedName name="IQ_EPS_7YR_ANN_GROWTH" hidden="1" function="0" vbProcedure="0">"c398"</definedName>
    <definedName name="IQ_EPS_EST" hidden="1" function="0" vbProcedure="0">"c399"</definedName>
    <definedName name="IQ_EPS_HIGH_EST" hidden="1" function="0" vbProcedure="0">"c400"</definedName>
    <definedName name="IQ_EPS_LOW_EST" hidden="1" function="0" vbProcedure="0">"c401"</definedName>
    <definedName name="IQ_EPS_MEDIAN_EST" hidden="1" function="0" vbProcedure="0">"c1661"</definedName>
    <definedName name="IQ_EPS_NORM" hidden="1" function="0" vbProcedure="0">"c1902"</definedName>
    <definedName name="IQ_EPS_NUM_EST" hidden="1" function="0" vbProcedure="0">"c402"</definedName>
    <definedName name="IQ_EPS_STDDEV_EST" hidden="1" function="0" vbProcedure="0">"c403"</definedName>
    <definedName name="IQ_EQUITY_AFFIL" hidden="1" function="0" vbProcedure="0">"c1451"</definedName>
    <definedName name="IQ_EQUITY_METHOD" hidden="1" function="0" vbProcedure="0">"c404"</definedName>
    <definedName name="IQ_EQV_OVER_BV" hidden="1" function="0" vbProcedure="0">"c1596"</definedName>
    <definedName name="IQ_EQV_OVER_LTM_PRETAX_INC" hidden="1" function="0" vbProcedure="0">"c1390"</definedName>
    <definedName name="IQ_ESOP_DEBT" hidden="1" function="0" vbProcedure="0">"c1597"</definedName>
    <definedName name="IQ_EST_ACT_EPS" hidden="1" function="0" vbProcedure="0">"c1648"</definedName>
    <definedName name="IQ_EST_CURRENCY" hidden="1" function="0" vbProcedure="0">"c2140"</definedName>
    <definedName name="IQ_EST_DATE" hidden="1" function="0" vbProcedure="0">"c1634"</definedName>
    <definedName name="IQ_EST_EPS_DIFF" hidden="1" function="0" vbProcedure="0">"c1864"</definedName>
    <definedName name="IQ_EST_EPS_GROWTH_1YR" hidden="1" function="0" vbProcedure="0">"c1636"</definedName>
    <definedName name="IQ_EST_EPS_GROWTH_5YR" hidden="1" function="0" vbProcedure="0">"c1655"</definedName>
    <definedName name="IQ_EST_EPS_GROWTH_5YR_HIGH" hidden="1" function="0" vbProcedure="0">"c1657"</definedName>
    <definedName name="IQ_EST_EPS_GROWTH_5YR_LOW" hidden="1" function="0" vbProcedure="0">"c1658"</definedName>
    <definedName name="IQ_EST_EPS_GROWTH_5YR_MEDIAN" hidden="1" function="0" vbProcedure="0">"c1656"</definedName>
    <definedName name="IQ_EST_EPS_GROWTH_5YR_NUM" hidden="1" function="0" vbProcedure="0">"c1659"</definedName>
    <definedName name="IQ_EST_EPS_GROWTH_5YR_STDDEV" hidden="1" function="0" vbProcedure="0">"c1660"</definedName>
    <definedName name="IQ_EST_EPS_GROWTH_Q_1YR" hidden="1" function="0" vbProcedure="0">"c1641"</definedName>
    <definedName name="IQ_EV_OVER_EMPLOYEE" hidden="1" function="0" vbProcedure="0">"c1428"</definedName>
    <definedName name="IQ_EV_OVER_LTM_EBIT" hidden="1" function="0" vbProcedure="0">"c1426"</definedName>
    <definedName name="IQ_EV_OVER_LTM_EBITDA" hidden="1" function="0" vbProcedure="0">"c1427"</definedName>
    <definedName name="IQ_EV_OVER_LTM_REVENUE" hidden="1" function="0" vbProcedure="0">"c1429"</definedName>
    <definedName name="IQ_EXCHANGE" hidden="1" function="0" vbProcedure="0">"c405"</definedName>
    <definedName name="IQ_EXERCISED" hidden="1" function="0" vbProcedure="0">"c406"</definedName>
    <definedName name="IQ_EXERCISE_PRICE" hidden="1" function="0" vbProcedure="0">"c1897"</definedName>
    <definedName name="IQ_EXPLORE_DRILL" hidden="1" function="0" vbProcedure="0">"c409"</definedName>
    <definedName name="IQ_EXP_RETURN_PENSION_DOMESTIC" hidden="1" function="0" vbProcedure="0">"c407"</definedName>
    <definedName name="IQ_EXP_RETURN_PENSION_FOREIGN" hidden="1" function="0" vbProcedure="0">"c408"</definedName>
    <definedName name="IQ_EXTRA_ACC_ITEMS" hidden="1" function="0" vbProcedure="0">"c410"</definedName>
    <definedName name="IQ_EXTRA_ACC_ITEMS_BNK" hidden="1" function="0" vbProcedure="0">"c411"</definedName>
    <definedName name="IQ_EXTRA_ACC_ITEMS_BR" hidden="1" function="0" vbProcedure="0">"c412"</definedName>
    <definedName name="IQ_EXTRA_ACC_ITEMS_FIN" hidden="1" function="0" vbProcedure="0">"c413"</definedName>
    <definedName name="IQ_EXTRA_ACC_ITEMS_INS" hidden="1" function="0" vbProcedure="0">"c414"</definedName>
    <definedName name="IQ_EXTRA_ACC_ITEMS_REIT" hidden="1" function="0" vbProcedure="0">"c415"</definedName>
    <definedName name="IQ_EXTRA_ACC_ITEMS_UTI" hidden="1" function="0" vbProcedure="0">"c416"</definedName>
    <definedName name="IQ_EXTRA_ITEMS" hidden="1" function="0" vbProcedure="0">"c1459"</definedName>
    <definedName name="IQ_FDIC" hidden="1" function="0" vbProcedure="0">"c417"</definedName>
    <definedName name="IQ_FFO" hidden="1" function="0" vbProcedure="0">"c1574"</definedName>
    <definedName name="IQ_FHLB_DEBT" hidden="1" function="0" vbProcedure="0">"c423"</definedName>
    <definedName name="IQ_FHLB_DUE_CY" hidden="1" function="0" vbProcedure="0">"c2080"</definedName>
    <definedName name="IQ_FHLB_DUE_CY1" hidden="1" function="0" vbProcedure="0">"c2081"</definedName>
    <definedName name="IQ_FHLB_DUE_CY2" hidden="1" function="0" vbProcedure="0">"c2082"</definedName>
    <definedName name="IQ_FHLB_DUE_CY3" hidden="1" function="0" vbProcedure="0">"c2083"</definedName>
    <definedName name="IQ_FHLB_DUE_CY4" hidden="1" function="0" vbProcedure="0">"c2084"</definedName>
    <definedName name="IQ_FHLB_DUE_NEXT_FIVE" hidden="1" function="0" vbProcedure="0">"c2085"</definedName>
    <definedName name="IQ_FILINGDATE_BS" hidden="1" function="0" vbProcedure="0">"c424"</definedName>
    <definedName name="IQ_FILINGDATE_CF" hidden="1" function="0" vbProcedure="0">"c425"</definedName>
    <definedName name="IQ_FILINGDATE_IS" hidden="1" function="0" vbProcedure="0">"c426"</definedName>
    <definedName name="IQ_FILING_CURRENCY" hidden="1" function="0" vbProcedure="0">"c2129"</definedName>
    <definedName name="IQ_FINANCING_CASH" hidden="1" function="0" vbProcedure="0">"c1405"</definedName>
    <definedName name="IQ_FINANCING_CASH_SUPPL" hidden="1" function="0" vbProcedure="0">"c1406"</definedName>
    <definedName name="IQ_FINISHED_INV" hidden="1" function="0" vbProcedure="0">"c438"</definedName>
    <definedName name="IQ_FIN_DIV_ASSETS_CURRENT" hidden="1" function="0" vbProcedure="0">"c427"</definedName>
    <definedName name="IQ_FIN_DIV_ASSETS_LT" hidden="1" function="0" vbProcedure="0">"c428"</definedName>
    <definedName name="IQ_FIN_DIV_DEBT_CURRENT" hidden="1" function="0" vbProcedure="0">"c429"</definedName>
    <definedName name="IQ_FIN_DIV_DEBT_LT" hidden="1" function="0" vbProcedure="0">"c430"</definedName>
    <definedName name="IQ_FIN_DIV_EXP" hidden="1" function="0" vbProcedure="0">"c431"</definedName>
    <definedName name="IQ_FIN_DIV_INT_EXP" hidden="1" function="0" vbProcedure="0">"c432"</definedName>
    <definedName name="IQ_FIN_DIV_LIAB_CURRENT" hidden="1" function="0" vbProcedure="0">"c433"</definedName>
    <definedName name="IQ_FIN_DIV_LIAB_LT" hidden="1" function="0" vbProcedure="0">"c434"</definedName>
    <definedName name="IQ_FIN_DIV_LOANS_CURRENT" hidden="1" function="0" vbProcedure="0">"c435"</definedName>
    <definedName name="IQ_FIN_DIV_LOANS_LT" hidden="1" function="0" vbProcedure="0">"c436"</definedName>
    <definedName name="IQ_FIN_DIV_REV" hidden="1" function="0" vbProcedure="0">"c437"</definedName>
    <definedName name="IQ_FIRST_YEAR_LIFE" hidden="1" function="0" vbProcedure="0">"c439"</definedName>
    <definedName name="IQ_FISCAL_Q" hidden="1" function="0" vbProcedure="0">"c440"</definedName>
    <definedName name="IQ_FISCAL_Y" hidden="1" function="0" vbProcedure="0">"c441"</definedName>
    <definedName name="IQ_FIVEPERCENT_PERCENT" hidden="1" function="0" vbProcedure="0">"c443"</definedName>
    <definedName name="IQ_FIVEPERCENT_SHARES" hidden="1" function="0" vbProcedure="0">"c444"</definedName>
    <definedName name="IQ_FIVE_PERCENT_OWNER" hidden="1" function="0" vbProcedure="0">"c442"</definedName>
    <definedName name="IQ_FIXED_ASSET_TURNS" hidden="1" function="0" vbProcedure="0">"c445"</definedName>
    <definedName name="IQ_FLOAT_PERCENT" hidden="1" function="0" vbProcedure="0">"c1575"</definedName>
    <definedName name="IQ_FOREIGN_DEP_IB" hidden="1" function="0" vbProcedure="0">"c446"</definedName>
    <definedName name="IQ_FOREIGN_DEP_NON_IB" hidden="1" function="0" vbProcedure="0">"c447"</definedName>
    <definedName name="IQ_FOREIGN_EXCHANGE" hidden="1" function="0" vbProcedure="0">"c1376"</definedName>
    <definedName name="IQ_FOREIGN_LOANS" hidden="1" function="0" vbProcedure="0">"c448"</definedName>
    <definedName name="IQ_FQ" hidden="1" function="0" vbProcedure="0">500</definedName>
    <definedName name="IQ_FUEL" hidden="1" function="0" vbProcedure="0">"c449"</definedName>
    <definedName name="IQ_FULL_TIME" hidden="1" function="0" vbProcedure="0">"c450"</definedName>
    <definedName name="IQ_FWD_CY" hidden="1" function="0" vbProcedure="0">10001</definedName>
    <definedName name="IQ_FWD_CY1" hidden="1" function="0" vbProcedure="0">10002</definedName>
    <definedName name="IQ_FWD_CY2" hidden="1" function="0" vbProcedure="0">10003</definedName>
    <definedName name="IQ_FWD_FY" hidden="1" function="0" vbProcedure="0">1001</definedName>
    <definedName name="IQ_FWD_FY1" hidden="1" function="0" vbProcedure="0">1002</definedName>
    <definedName name="IQ_FWD_FY2" hidden="1" function="0" vbProcedure="0">1003</definedName>
    <definedName name="IQ_FWD_Q" hidden="1" function="0" vbProcedure="0">501</definedName>
    <definedName name="IQ_FWD_Q1" hidden="1" function="0" vbProcedure="0">502</definedName>
    <definedName name="IQ_FWD_Q2" hidden="1" function="0" vbProcedure="0">503</definedName>
    <definedName name="IQ_FX" hidden="1" function="0" vbProcedure="0">"c451"</definedName>
    <definedName name="IQ_FY" hidden="1" function="0" vbProcedure="0">1000</definedName>
    <definedName name="IQ_GAIN_ASSETS" hidden="1" function="0" vbProcedure="0">"c452"</definedName>
    <definedName name="IQ_GAIN_ASSETS_BNK" hidden="1" function="0" vbProcedure="0">"c453"</definedName>
    <definedName name="IQ_GAIN_ASSETS_BR" hidden="1" function="0" vbProcedure="0">"c454"</definedName>
    <definedName name="IQ_GAIN_ASSETS_CF" hidden="1" function="0" vbProcedure="0">"c455"</definedName>
    <definedName name="IQ_GAIN_ASSETS_CF_BNK" hidden="1" function="0" vbProcedure="0">"c456"</definedName>
    <definedName name="IQ_GAIN_ASSETS_CF_BR" hidden="1" function="0" vbProcedure="0">"c457"</definedName>
    <definedName name="IQ_GAIN_ASSETS_CF_FIN" hidden="1" function="0" vbProcedure="0">"c458"</definedName>
    <definedName name="IQ_GAIN_ASSETS_CF_INS" hidden="1" function="0" vbProcedure="0">"c459"</definedName>
    <definedName name="IQ_GAIN_ASSETS_CF_REIT" hidden="1" function="0" vbProcedure="0">"c460"</definedName>
    <definedName name="IQ_GAIN_ASSETS_CF_UTI" hidden="1" function="0" vbProcedure="0">"c461"</definedName>
    <definedName name="IQ_GAIN_ASSETS_FIN" hidden="1" function="0" vbProcedure="0">"c462"</definedName>
    <definedName name="IQ_GAIN_ASSETS_INS" hidden="1" function="0" vbProcedure="0">"c463"</definedName>
    <definedName name="IQ_GAIN_ASSETS_REIT" hidden="1" function="0" vbProcedure="0">"c471"</definedName>
    <definedName name="IQ_GAIN_ASSETS_REV" hidden="1" function="0" vbProcedure="0">"c472"</definedName>
    <definedName name="IQ_GAIN_ASSETS_REV_BNK" hidden="1" function="0" vbProcedure="0">"c473"</definedName>
    <definedName name="IQ_GAIN_ASSETS_REV_BR" hidden="1" function="0" vbProcedure="0">"c474"</definedName>
    <definedName name="IQ_GAIN_ASSETS_REV_FIN" hidden="1" function="0" vbProcedure="0">"c475"</definedName>
    <definedName name="IQ_GAIN_ASSETS_REV_INS" hidden="1" function="0" vbProcedure="0">"c476"</definedName>
    <definedName name="IQ_GAIN_ASSETS_REV_REIT" hidden="1" function="0" vbProcedure="0">"c477"</definedName>
    <definedName name="IQ_GAIN_ASSETS_REV_UTI" hidden="1" function="0" vbProcedure="0">"c478"</definedName>
    <definedName name="IQ_GAIN_ASSETS_UTI" hidden="1" function="0" vbProcedure="0">"c479"</definedName>
    <definedName name="IQ_GAIN_INVEST" hidden="1" function="0" vbProcedure="0">"c1463"</definedName>
    <definedName name="IQ_GAIN_INVEST_BNK" hidden="1" function="0" vbProcedure="0">"c1582"</definedName>
    <definedName name="IQ_GAIN_INVEST_BR" hidden="1" function="0" vbProcedure="0">"c1464"</definedName>
    <definedName name="IQ_GAIN_INVEST_CF" hidden="1" function="0" vbProcedure="0">"c480"</definedName>
    <definedName name="IQ_GAIN_INVEST_CF_BNK" hidden="1" function="0" vbProcedure="0">"c481"</definedName>
    <definedName name="IQ_GAIN_INVEST_CF_BR" hidden="1" function="0" vbProcedure="0">"c482"</definedName>
    <definedName name="IQ_GAIN_INVEST_CF_FIN" hidden="1" function="0" vbProcedure="0">"c483"</definedName>
    <definedName name="IQ_GAIN_INVEST_CF_INS" hidden="1" function="0" vbProcedure="0">"c484"</definedName>
    <definedName name="IQ_GAIN_INVEST_CF_REIT" hidden="1" function="0" vbProcedure="0">"c485"</definedName>
    <definedName name="IQ_GAIN_INVEST_CF_UTI" hidden="1" function="0" vbProcedure="0">"c486"</definedName>
    <definedName name="IQ_GAIN_INVEST_FIN" hidden="1" function="0" vbProcedure="0">"c1465"</definedName>
    <definedName name="IQ_GAIN_INVEST_INS" hidden="1" function="0" vbProcedure="0">"c1466"</definedName>
    <definedName name="IQ_GAIN_INVEST_REIT" hidden="1" function="0" vbProcedure="0">"c1467"</definedName>
    <definedName name="IQ_GAIN_INVEST_REV" hidden="1" function="0" vbProcedure="0">"c494"</definedName>
    <definedName name="IQ_GAIN_INVEST_REV_BNK" hidden="1" function="0" vbProcedure="0">"c495"</definedName>
    <definedName name="IQ_GAIN_INVEST_REV_BR" hidden="1" function="0" vbProcedure="0">"c496"</definedName>
    <definedName name="IQ_GAIN_INVEST_REV_FIN" hidden="1" function="0" vbProcedure="0">"c497"</definedName>
    <definedName name="IQ_GAIN_INVEST_REV_INS" hidden="1" function="0" vbProcedure="0">"c498"</definedName>
    <definedName name="IQ_GAIN_INVEST_REV_REIT" hidden="1" function="0" vbProcedure="0">"c499"</definedName>
    <definedName name="IQ_GAIN_INVEST_REV_UTI" hidden="1" function="0" vbProcedure="0">"c500"</definedName>
    <definedName name="IQ_GAIN_INVEST_UTI" hidden="1" function="0" vbProcedure="0">"c1468"</definedName>
    <definedName name="IQ_GAIN_LOANS_REC" hidden="1" function="0" vbProcedure="0">"c501"</definedName>
    <definedName name="IQ_GAIN_LOANS_RECEIV" hidden="1" function="0" vbProcedure="0">"c502"</definedName>
    <definedName name="IQ_GAIN_LOANS_RECEIV_REV_FIN" hidden="1" function="0" vbProcedure="0">"c503"</definedName>
    <definedName name="IQ_GAIN_LOANS_REV" hidden="1" function="0" vbProcedure="0">"c504"</definedName>
    <definedName name="IQ_GAIN_SALE_ASSETS" hidden="1" function="0" vbProcedure="0">"c1377"</definedName>
    <definedName name="IQ_GOODWILL_NET" hidden="1" function="0" vbProcedure="0">"c1380"</definedName>
    <definedName name="IQ_GP" hidden="1" function="0" vbProcedure="0">"c511"</definedName>
    <definedName name="IQ_GPPE" hidden="1" function="0" vbProcedure="0">"c518"</definedName>
    <definedName name="IQ_GP_10YR_ANN_GROWTH" hidden="1" function="0" vbProcedure="0">"c512"</definedName>
    <definedName name="IQ_GP_1YR_ANN_GROWTH" hidden="1" function="0" vbProcedure="0">"c513"</definedName>
    <definedName name="IQ_GP_2YR_ANN_GROWTH" hidden="1" function="0" vbProcedure="0">"c514"</definedName>
    <definedName name="IQ_GP_3YR_ANN_GROWTH" hidden="1" function="0" vbProcedure="0">"c515"</definedName>
    <definedName name="IQ_GP_5YR_ANN_GROWTH" hidden="1" function="0" vbProcedure="0">"c516"</definedName>
    <definedName name="IQ_GP_7YR_ANN_GROWTH" hidden="1" function="0" vbProcedure="0">"c517"</definedName>
    <definedName name="IQ_GROSS_DIVID" hidden="1" function="0" vbProcedure="0">"c1446"</definedName>
    <definedName name="IQ_GROSS_LOANS" hidden="1" function="0" vbProcedure="0">"c521"</definedName>
    <definedName name="IQ_GROSS_LOANS_10YR_ANN_GROWTH" hidden="1" function="0" vbProcedure="0">"c522"</definedName>
    <definedName name="IQ_GROSS_LOANS_1YR_ANN_GROWTH" hidden="1" function="0" vbProcedure="0">"c523"</definedName>
    <definedName name="IQ_GROSS_LOANS_2YR_ANN_GROWTH" hidden="1" function="0" vbProcedure="0">"c524"</definedName>
    <definedName name="IQ_GROSS_LOANS_3YR_ANN_GROWTH" hidden="1" function="0" vbProcedure="0">"c525"</definedName>
    <definedName name="IQ_GROSS_LOANS_5YR_ANN_GROWTH" hidden="1" function="0" vbProcedure="0">"c526"</definedName>
    <definedName name="IQ_GROSS_LOANS_7YR_ANN_GROWTH" hidden="1" function="0" vbProcedure="0">"c527"</definedName>
    <definedName name="IQ_GROSS_LOANS_TOTAL_DEPOSITS" hidden="1" function="0" vbProcedure="0">"c528"</definedName>
    <definedName name="IQ_GROSS_MARGIN" hidden="1" function="0" vbProcedure="0">"c529"</definedName>
    <definedName name="IQ_GROSS_PROFIT" hidden="1" function="0" vbProcedure="0">"c1378"</definedName>
    <definedName name="IQ_GW" hidden="1" function="0" vbProcedure="0">"c530"</definedName>
    <definedName name="IQ_GW_AMORT_BR" hidden="1" function="0" vbProcedure="0">"c532"</definedName>
    <definedName name="IQ_GW_AMORT_FIN" hidden="1" function="0" vbProcedure="0">"c540"</definedName>
    <definedName name="IQ_GW_AMORT_INS" hidden="1" function="0" vbProcedure="0">"c541"</definedName>
    <definedName name="IQ_GW_AMORT_REIT" hidden="1" function="0" vbProcedure="0">"c542"</definedName>
    <definedName name="IQ_GW_AMORT_UTI" hidden="1" function="0" vbProcedure="0">"c543"</definedName>
    <definedName name="IQ_GW_INTAN_AMORT" hidden="1" function="0" vbProcedure="0">"c1469"</definedName>
    <definedName name="IQ_GW_INTAN_AMORT_BNK" hidden="1" function="0" vbProcedure="0">"c544"</definedName>
    <definedName name="IQ_GW_INTAN_AMORT_BR" hidden="1" function="0" vbProcedure="0">"c1470"</definedName>
    <definedName name="IQ_GW_INTAN_AMORT_CF" hidden="1" function="0" vbProcedure="0">"c1471"</definedName>
    <definedName name="IQ_GW_INTAN_AMORT_CF_BNK" hidden="1" function="0" vbProcedure="0">"c1472"</definedName>
    <definedName name="IQ_GW_INTAN_AMORT_CF_BR" hidden="1" function="0" vbProcedure="0">"c1473"</definedName>
    <definedName name="IQ_GW_INTAN_AMORT_CF_FIN" hidden="1" function="0" vbProcedure="0">"c1474"</definedName>
    <definedName name="IQ_GW_INTAN_AMORT_CF_INS" hidden="1" function="0" vbProcedure="0">"c1475"</definedName>
    <definedName name="IQ_GW_INTAN_AMORT_CF_REIT" hidden="1" function="0" vbProcedure="0">"c1476"</definedName>
    <definedName name="IQ_GW_INTAN_AMORT_CF_UTI" hidden="1" function="0" vbProcedure="0">"c1477"</definedName>
    <definedName name="IQ_GW_INTAN_AMORT_FIN" hidden="1" function="0" vbProcedure="0">"c1478"</definedName>
    <definedName name="IQ_GW_INTAN_AMORT_INS" hidden="1" function="0" vbProcedure="0">"c1479"</definedName>
    <definedName name="IQ_GW_INTAN_AMORT_REIT" hidden="1" function="0" vbProcedure="0">"c1480"</definedName>
    <definedName name="IQ_GW_INTAN_AMORT_UTI" hidden="1" function="0" vbProcedure="0">"c1481"</definedName>
    <definedName name="IQ_HIGHPRICE" hidden="1" function="0" vbProcedure="0">"c545"</definedName>
    <definedName name="IQ_HOMEOWNERS_WRITTEN" hidden="1" function="0" vbProcedure="0">"c546"</definedName>
    <definedName name="IQ_IMPAIRMENT_GW" hidden="1" function="0" vbProcedure="0">"c548"</definedName>
    <definedName name="IQ_IMPAIR_OIL" hidden="1" function="0" vbProcedure="0">"c547"</definedName>
    <definedName name="IQ_INC_AFTER_TAX" hidden="1" function="0" vbProcedure="0">"c1598"</definedName>
    <definedName name="IQ_INC_AVAIL_EXCL" hidden="1" function="0" vbProcedure="0">"c1395"</definedName>
    <definedName name="IQ_INC_AVAIL_INCL" hidden="1" function="0" vbProcedure="0">"c1396"</definedName>
    <definedName name="IQ_INC_BEFORE_TAX" hidden="1" function="0" vbProcedure="0">"c1375"</definedName>
    <definedName name="IQ_INC_EQUITY" hidden="1" function="0" vbProcedure="0">"c549"</definedName>
    <definedName name="IQ_INC_EQUITY_BR" hidden="1" function="0" vbProcedure="0">"c550"</definedName>
    <definedName name="IQ_INC_EQUITY_CF" hidden="1" function="0" vbProcedure="0">"c551"</definedName>
    <definedName name="IQ_INC_EQUITY_FIN" hidden="1" function="0" vbProcedure="0">"c552"</definedName>
    <definedName name="IQ_INC_EQUITY_INS" hidden="1" function="0" vbProcedure="0">"c553"</definedName>
    <definedName name="IQ_INC_EQUITY_REC_BNK" hidden="1" function="0" vbProcedure="0">"c554"</definedName>
    <definedName name="IQ_INC_EQUITY_REIT" hidden="1" function="0" vbProcedure="0">"c555"</definedName>
    <definedName name="IQ_INC_EQUITY_REV_BNK" hidden="1" function="0" vbProcedure="0">"c556"</definedName>
    <definedName name="IQ_INC_EQUITY_UTI" hidden="1" function="0" vbProcedure="0">"c557"</definedName>
    <definedName name="IQ_INC_REAL_ESTATE_REC" hidden="1" function="0" vbProcedure="0">"c558"</definedName>
    <definedName name="IQ_INC_REAL_ESTATE_REV" hidden="1" function="0" vbProcedure="0">"c559"</definedName>
    <definedName name="IQ_INC_TAX" hidden="1" function="0" vbProcedure="0">"c560"</definedName>
    <definedName name="IQ_INC_TAX_EXCL" hidden="1" function="0" vbProcedure="0">"c1599"</definedName>
    <definedName name="IQ_INC_TAX_PAY_CURRENT" hidden="1" function="0" vbProcedure="0">"c561"</definedName>
    <definedName name="IQ_INC_TRADE_ACT" hidden="1" function="0" vbProcedure="0">"c562"</definedName>
    <definedName name="IQ_INSIDER_3MTH_BOUGHT_PCT" hidden="1" function="0" vbProcedure="0">"c1534"</definedName>
    <definedName name="IQ_INSIDER_3MTH_NET_PCT" hidden="1" function="0" vbProcedure="0">"c1535"</definedName>
    <definedName name="IQ_INSIDER_3MTH_SOLD_PCT" hidden="1" function="0" vbProcedure="0">"c1533"</definedName>
    <definedName name="IQ_INSIDER_6MTH_BOUGHT_PCT" hidden="1" function="0" vbProcedure="0">"c1537"</definedName>
    <definedName name="IQ_INSIDER_6MTH_NET_PCT" hidden="1" function="0" vbProcedure="0">"c1538"</definedName>
    <definedName name="IQ_INSIDER_6MTH_SOLD_PCT" hidden="1" function="0" vbProcedure="0">"c1536"</definedName>
    <definedName name="IQ_INSIDER_OVER_TOTAL" hidden="1" function="0" vbProcedure="0">"c1581"</definedName>
    <definedName name="IQ_INSIDER_OWNER" hidden="1" function="0" vbProcedure="0">"c577"</definedName>
    <definedName name="IQ_INSIDER_PERCENT" hidden="1" function="0" vbProcedure="0">"c578"</definedName>
    <definedName name="IQ_INSIDER_SHARES" hidden="1" function="0" vbProcedure="0">"c579"</definedName>
    <definedName name="IQ_INSTITUTIONAL_OVER_TOTAL" hidden="1" function="0" vbProcedure="0">"c1580"</definedName>
    <definedName name="IQ_INSTITUTIONAL_OWNER" hidden="1" function="0" vbProcedure="0">"c580"</definedName>
    <definedName name="IQ_INSTITUTIONAL_PERCENT" hidden="1" function="0" vbProcedure="0">"c581"</definedName>
    <definedName name="IQ_INSTITUTIONAL_SHARES" hidden="1" function="0" vbProcedure="0">"c582"</definedName>
    <definedName name="IQ_INSUR_RECEIV" hidden="1" function="0" vbProcedure="0">"c1600"</definedName>
    <definedName name="IQ_INS_ANNUITY_LIAB" hidden="1" function="0" vbProcedure="0">"c563"</definedName>
    <definedName name="IQ_INS_DIV_EXP" hidden="1" function="0" vbProcedure="0">"c564"</definedName>
    <definedName name="IQ_INS_DIV_REV" hidden="1" function="0" vbProcedure="0">"c565"</definedName>
    <definedName name="IQ_INS_IN_FORCE" hidden="1" function="0" vbProcedure="0">"c566"</definedName>
    <definedName name="IQ_INS_LIAB" hidden="1" function="0" vbProcedure="0">"c567"</definedName>
    <definedName name="IQ_INS_POLICY_EXP" hidden="1" function="0" vbProcedure="0">"c568"</definedName>
    <definedName name="IQ_INS_REV" hidden="1" function="0" vbProcedure="0">"c569"</definedName>
    <definedName name="IQ_INS_SETTLE" hidden="1" function="0" vbProcedure="0">"c570"</definedName>
    <definedName name="IQ_INS_SETTLE_BNK" hidden="1" function="0" vbProcedure="0">"c571"</definedName>
    <definedName name="IQ_INS_SETTLE_BR" hidden="1" function="0" vbProcedure="0">"c572"</definedName>
    <definedName name="IQ_INS_SETTLE_FIN" hidden="1" function="0" vbProcedure="0">"c573"</definedName>
    <definedName name="IQ_INS_SETTLE_INS" hidden="1" function="0" vbProcedure="0">"c574"</definedName>
    <definedName name="IQ_INS_SETTLE_REIT" hidden="1" function="0" vbProcedure="0">"c575"</definedName>
    <definedName name="IQ_INS_SETTLE_UTI" hidden="1" function="0" vbProcedure="0">"c576"</definedName>
    <definedName name="IQ_INTANGIBLES_NET" hidden="1" function="0" vbProcedure="0">"c1407"</definedName>
    <definedName name="IQ_INTEREST_EXP" hidden="1" function="0" vbProcedure="0">"c618"</definedName>
    <definedName name="IQ_INTEREST_EXP_NET" hidden="1" function="0" vbProcedure="0">"c1450"</definedName>
    <definedName name="IQ_INTEREST_EXP_NON" hidden="1" function="0" vbProcedure="0">"c1383"</definedName>
    <definedName name="IQ_INTEREST_EXP_SUPPL" hidden="1" function="0" vbProcedure="0">"c1460"</definedName>
    <definedName name="IQ_INTEREST_INC" hidden="1" function="0" vbProcedure="0">"c1393"</definedName>
    <definedName name="IQ_INTEREST_INC_NON" hidden="1" function="0" vbProcedure="0">"c1384"</definedName>
    <definedName name="IQ_INTEREST_INVEST_INC" hidden="1" function="0" vbProcedure="0">"c619"</definedName>
    <definedName name="IQ_INT_BORROW" hidden="1" function="0" vbProcedure="0">"c583"</definedName>
    <definedName name="IQ_INT_DEPOSITS" hidden="1" function="0" vbProcedure="0">"c584"</definedName>
    <definedName name="IQ_INT_DIV_INC" hidden="1" function="0" vbProcedure="0">"c585"</definedName>
    <definedName name="IQ_INT_EXP_BR" hidden="1" function="0" vbProcedure="0">"c586"</definedName>
    <definedName name="IQ_INT_EXP_COVERAGE" hidden="1" function="0" vbProcedure="0">"c587"</definedName>
    <definedName name="IQ_INT_EXP_FIN" hidden="1" function="0" vbProcedure="0">"c588"</definedName>
    <definedName name="IQ_INT_EXP_INS" hidden="1" function="0" vbProcedure="0">"c589"</definedName>
    <definedName name="IQ_INT_EXP_LTD" hidden="1" function="0" vbProcedure="0">"c2086"</definedName>
    <definedName name="IQ_INT_EXP_REIT" hidden="1" function="0" vbProcedure="0">"c590"</definedName>
    <definedName name="IQ_INT_EXP_TOTAL" hidden="1" function="0" vbProcedure="0">"c591"</definedName>
    <definedName name="IQ_INT_EXP_UTI" hidden="1" function="0" vbProcedure="0">"c592"</definedName>
    <definedName name="IQ_INT_INC_BR" hidden="1" function="0" vbProcedure="0">"c593"</definedName>
    <definedName name="IQ_INT_INC_FIN" hidden="1" function="0" vbProcedure="0">"c594"</definedName>
    <definedName name="IQ_INT_INC_INVEST" hidden="1" function="0" vbProcedure="0">"c595"</definedName>
    <definedName name="IQ_INT_INC_LOANS" hidden="1" function="0" vbProcedure="0">"c596"</definedName>
    <definedName name="IQ_INT_INC_REIT" hidden="1" function="0" vbProcedure="0">"c597"</definedName>
    <definedName name="IQ_INT_INC_TOTAL" hidden="1" function="0" vbProcedure="0">"c598"</definedName>
    <definedName name="IQ_INT_INC_UTI" hidden="1" function="0" vbProcedure="0">"c599"</definedName>
    <definedName name="IQ_INT_INV_INC" hidden="1" function="0" vbProcedure="0">"c600"</definedName>
    <definedName name="IQ_INT_INV_INC_REIT" hidden="1" function="0" vbProcedure="0">"c601"</definedName>
    <definedName name="IQ_INT_INV_INC_UTI" hidden="1" function="0" vbProcedure="0">"c602"</definedName>
    <definedName name="IQ_INT_ON_BORROWING_COVERAGE" hidden="1" function="0" vbProcedure="0">"c603"</definedName>
    <definedName name="IQ_INT_RATE_SPREAD" hidden="1" function="0" vbProcedure="0">"c604"</definedName>
    <definedName name="IQ_INVENTORY" hidden="1" function="0" vbProcedure="0">"c622"</definedName>
    <definedName name="IQ_INVENTORY_TURNS" hidden="1" function="0" vbProcedure="0">"c623"</definedName>
    <definedName name="IQ_INVENTORY_UTI" hidden="1" function="0" vbProcedure="0">"c624"</definedName>
    <definedName name="IQ_INVEST_DEBT" hidden="1" function="0" vbProcedure="0">"c625"</definedName>
    <definedName name="IQ_INVEST_EQUITY_PREF" hidden="1" function="0" vbProcedure="0">"c626"</definedName>
    <definedName name="IQ_INVEST_FHLB" hidden="1" function="0" vbProcedure="0">"c627"</definedName>
    <definedName name="IQ_INVEST_LOANS_CF" hidden="1" function="0" vbProcedure="0">"c628"</definedName>
    <definedName name="IQ_INVEST_LOANS_CF_BNK" hidden="1" function="0" vbProcedure="0">"c629"</definedName>
    <definedName name="IQ_INVEST_LOANS_CF_BR" hidden="1" function="0" vbProcedure="0">"c630"</definedName>
    <definedName name="IQ_INVEST_LOANS_CF_FIN" hidden="1" function="0" vbProcedure="0">"c631"</definedName>
    <definedName name="IQ_INVEST_LOANS_CF_INS" hidden="1" function="0" vbProcedure="0">"c632"</definedName>
    <definedName name="IQ_INVEST_LOANS_CF_REIT" hidden="1" function="0" vbProcedure="0">"c633"</definedName>
    <definedName name="IQ_INVEST_LOANS_CF_UTI" hidden="1" function="0" vbProcedure="0">"c634"</definedName>
    <definedName name="IQ_INVEST_REAL_ESTATE" hidden="1" function="0" vbProcedure="0">"c635"</definedName>
    <definedName name="IQ_INVEST_SECURITY" hidden="1" function="0" vbProcedure="0">"c636"</definedName>
    <definedName name="IQ_INVEST_SECURITY_CF" hidden="1" function="0" vbProcedure="0">"c637"</definedName>
    <definedName name="IQ_INVEST_SECURITY_CF_BNK" hidden="1" function="0" vbProcedure="0">"c638"</definedName>
    <definedName name="IQ_INVEST_SECURITY_CF_BR" hidden="1" function="0" vbProcedure="0">"c639"</definedName>
    <definedName name="IQ_INVEST_SECURITY_CF_FIN" hidden="1" function="0" vbProcedure="0">"c640"</definedName>
    <definedName name="IQ_INVEST_SECURITY_CF_INS" hidden="1" function="0" vbProcedure="0">"c641"</definedName>
    <definedName name="IQ_INVEST_SECURITY_CF_REIT" hidden="1" function="0" vbProcedure="0">"c642"</definedName>
    <definedName name="IQ_INVEST_SECURITY_CF_UTI" hidden="1" function="0" vbProcedure="0">"c643"</definedName>
    <definedName name="IQ_INV_10YR_ANN_GROWTH" hidden="1" function="0" vbProcedure="0">"c1930"</definedName>
    <definedName name="IQ_INV_1YR_ANN_GROWTH" hidden="1" function="0" vbProcedure="0">"c1925"</definedName>
    <definedName name="IQ_INV_2YR_ANN_GROWTH" hidden="1" function="0" vbProcedure="0">"c1926"</definedName>
    <definedName name="IQ_INV_3YR_ANN_GROWTH" hidden="1" function="0" vbProcedure="0">"c1927"</definedName>
    <definedName name="IQ_INV_5YR_ANN_GROWTH" hidden="1" function="0" vbProcedure="0">"c1928"</definedName>
    <definedName name="IQ_INV_7YR_ANN_GROWTH" hidden="1" function="0" vbProcedure="0">"c1929"</definedName>
    <definedName name="IQ_INV_BANKING_FEE" hidden="1" function="0" vbProcedure="0">"c620"</definedName>
    <definedName name="IQ_INV_METHOD" hidden="1" function="0" vbProcedure="0">"c621"</definedName>
    <definedName name="IQ_IPRD" hidden="1" function="0" vbProcedure="0">"c644"</definedName>
    <definedName name="IQ_ISS_DEBT_NET" hidden="1" function="0" vbProcedure="0">"c1391"</definedName>
    <definedName name="IQ_ISS_STOCK_NET" hidden="1" function="0" vbProcedure="0">"c1601"</definedName>
    <definedName name="IQ_LAND" hidden="1" function="0" vbProcedure="0">"c645"</definedName>
    <definedName name="IQ_LASTSALEPRICE" hidden="1" function="0" vbProcedure="0">"c646"</definedName>
    <definedName name="IQ_LASTSALEPRICE_DATE" hidden="1" function="0" vbProcedure="0">"c2109"</definedName>
    <definedName name="IQ_LAST_SPLIT_DATE" hidden="1" function="0" vbProcedure="0">"c2095"</definedName>
    <definedName name="IQ_LAST_SPLIT_FACTOR" hidden="1" function="0" vbProcedure="0">"c2093"</definedName>
    <definedName name="IQ_LATESTK" hidden="1" function="0" vbProcedure="0">1000</definedName>
    <definedName name="IQ_LATESTQ" hidden="1" function="0" vbProcedure="0">500</definedName>
    <definedName name="IQ_LEGAL_SETTLE" hidden="1" function="0" vbProcedure="0">"c647"</definedName>
    <definedName name="IQ_LEGAL_SETTLE_BNK" hidden="1" function="0" vbProcedure="0">"c648"</definedName>
    <definedName name="IQ_LEGAL_SETTLE_BR" hidden="1" function="0" vbProcedure="0">"c649"</definedName>
    <definedName name="IQ_LEGAL_SETTLE_FIN" hidden="1" function="0" vbProcedure="0">"c650"</definedName>
    <definedName name="IQ_LEGAL_SETTLE_INS" hidden="1" function="0" vbProcedure="0">"c651"</definedName>
    <definedName name="IQ_LEGAL_SETTLE_REIT" hidden="1" function="0" vbProcedure="0">"c652"</definedName>
    <definedName name="IQ_LEGAL_SETTLE_UTI" hidden="1" function="0" vbProcedure="0">"c653"</definedName>
    <definedName name="IQ_LEVERAGE_RATIO" hidden="1" function="0" vbProcedure="0">"c654"</definedName>
    <definedName name="IQ_LEVERED_FCF" hidden="1" function="0" vbProcedure="0">"c1907"</definedName>
    <definedName name="IQ_LFCF_10YR_ANN_GROWTH" hidden="1" function="0" vbProcedure="0">"c1942"</definedName>
    <definedName name="IQ_LFCF_1YR_ANN_GROWTH" hidden="1" function="0" vbProcedure="0">"c1937"</definedName>
    <definedName name="IQ_LFCF_2YR_ANN_GROWTH" hidden="1" function="0" vbProcedure="0">"c1938"</definedName>
    <definedName name="IQ_LFCF_3YR_ANN_GROWTH" hidden="1" function="0" vbProcedure="0">"c1939"</definedName>
    <definedName name="IQ_LFCF_5YR_ANN_GROWTH" hidden="1" function="0" vbProcedure="0">"c1940"</definedName>
    <definedName name="IQ_LFCF_7YR_ANN_GROWTH" hidden="1" function="0" vbProcedure="0">"c1941"</definedName>
    <definedName name="IQ_LFCF_MARGIN" hidden="1" function="0" vbProcedure="0">"c1961"</definedName>
    <definedName name="IQ_LICENSED_POPS" hidden="1" function="0" vbProcedure="0">"c2123"</definedName>
    <definedName name="IQ_LIFOR" hidden="1" function="0" vbProcedure="0">"c655"</definedName>
    <definedName name="IQ_LL" hidden="1" function="0" vbProcedure="0">"c656"</definedName>
    <definedName name="IQ_LOANS_CF" hidden="1" function="0" vbProcedure="0">"c659"</definedName>
    <definedName name="IQ_LOANS_CF_BNK" hidden="1" function="0" vbProcedure="0">"c660"</definedName>
    <definedName name="IQ_LOANS_CF_BR" hidden="1" function="0" vbProcedure="0">"c661"</definedName>
    <definedName name="IQ_LOANS_CF_FIN" hidden="1" function="0" vbProcedure="0">"c662"</definedName>
    <definedName name="IQ_LOANS_CF_INS" hidden="1" function="0" vbProcedure="0">"c663"</definedName>
    <definedName name="IQ_LOANS_CF_REIT" hidden="1" function="0" vbProcedure="0">"c664"</definedName>
    <definedName name="IQ_LOANS_CF_UTI" hidden="1" function="0" vbProcedure="0">"c665"</definedName>
    <definedName name="IQ_LOANS_FOR_SALE" hidden="1" function="0" vbProcedure="0">"c666"</definedName>
    <definedName name="IQ_LOANS_PAST_DUE" hidden="1" function="0" vbProcedure="0">"c667"</definedName>
    <definedName name="IQ_LOANS_RECEIV_CURRENT" hidden="1" function="0" vbProcedure="0">"c668"</definedName>
    <definedName name="IQ_LOANS_RECEIV_LT" hidden="1" function="0" vbProcedure="0">"c669"</definedName>
    <definedName name="IQ_LOANS_RECEIV_LT_UTI" hidden="1" function="0" vbProcedure="0">"c670"</definedName>
    <definedName name="IQ_LOAN_LEASE_RECEIV" hidden="1" function="0" vbProcedure="0">"c657"</definedName>
    <definedName name="IQ_LOAN_LOSS" hidden="1" function="0" vbProcedure="0">"c1386"</definedName>
    <definedName name="IQ_LOAN_SERVICE_REV" hidden="1" function="0" vbProcedure="0">"c658"</definedName>
    <definedName name="IQ_LONG_TERM_DEBT" hidden="1" function="0" vbProcedure="0">"c1387"</definedName>
    <definedName name="IQ_LONG_TERM_DEBT_OVER_TOTAL_CAP" hidden="1" function="0" vbProcedure="0">"c1388"</definedName>
    <definedName name="IQ_LONG_TERM_GROWTH" hidden="1" function="0" vbProcedure="0">"c671"</definedName>
    <definedName name="IQ_LONG_TERM_INV" hidden="1" function="0" vbProcedure="0">"c1389"</definedName>
    <definedName name="IQ_LOSS_LOSS_EXP" hidden="1" function="0" vbProcedure="0">"c672"</definedName>
    <definedName name="IQ_LOWPRICE" hidden="1" function="0" vbProcedure="0">"c673"</definedName>
    <definedName name="IQ_LTD_DUE_AFTER_FIVE" hidden="1" function="0" vbProcedure="0">"c704"</definedName>
    <definedName name="IQ_LTD_DUE_CY" hidden="1" function="0" vbProcedure="0">"c705"</definedName>
    <definedName name="IQ_LTD_DUE_CY1" hidden="1" function="0" vbProcedure="0">"c706"</definedName>
    <definedName name="IQ_LTD_DUE_CY2" hidden="1" function="0" vbProcedure="0">"c707"</definedName>
    <definedName name="IQ_LTD_DUE_CY3" hidden="1" function="0" vbProcedure="0">"c708"</definedName>
    <definedName name="IQ_LTD_DUE_CY4" hidden="1" function="0" vbProcedure="0">"c709"</definedName>
    <definedName name="IQ_LTD_DUE_NEXT_FIVE" hidden="1" function="0" vbProcedure="0">"c710"</definedName>
    <definedName name="IQ_LTM" hidden="1" function="0" vbProcedure="0">2000</definedName>
    <definedName name="IQ_LTM_REVENUE_OVER_EMPLOYEES" hidden="1" function="0" vbProcedure="0">"c1437"</definedName>
    <definedName name="IQ_LT_DEBT" hidden="1" function="0" vbProcedure="0">"c674"</definedName>
    <definedName name="IQ_LT_DEBT_BNK" hidden="1" function="0" vbProcedure="0">"c675"</definedName>
    <definedName name="IQ_LT_DEBT_BR" hidden="1" function="0" vbProcedure="0">"c676"</definedName>
    <definedName name="IQ_LT_DEBT_CAPITAL" hidden="1" function="0" vbProcedure="0">"c677"</definedName>
    <definedName name="IQ_LT_DEBT_EQUITY" hidden="1" function="0" vbProcedure="0">"c678"</definedName>
    <definedName name="IQ_LT_DEBT_FIN" hidden="1" function="0" vbProcedure="0">"c679"</definedName>
    <definedName name="IQ_LT_DEBT_INS" hidden="1" function="0" vbProcedure="0">"c680"</definedName>
    <definedName name="IQ_LT_DEBT_ISSUED" hidden="1" function="0" vbProcedure="0">"c681"</definedName>
    <definedName name="IQ_LT_DEBT_ISSUED_BNK" hidden="1" function="0" vbProcedure="0">"c682"</definedName>
    <definedName name="IQ_LT_DEBT_ISSUED_BR" hidden="1" function="0" vbProcedure="0">"c683"</definedName>
    <definedName name="IQ_LT_DEBT_ISSUED_FIN" hidden="1" function="0" vbProcedure="0">"c684"</definedName>
    <definedName name="IQ_LT_DEBT_ISSUED_INS" hidden="1" function="0" vbProcedure="0">"c685"</definedName>
    <definedName name="IQ_LT_DEBT_ISSUED_REIT" hidden="1" function="0" vbProcedure="0">"c686"</definedName>
    <definedName name="IQ_LT_DEBT_ISSUED_UTI" hidden="1" function="0" vbProcedure="0">"c687"</definedName>
    <definedName name="IQ_LT_DEBT_REIT" hidden="1" function="0" vbProcedure="0">"c688"</definedName>
    <definedName name="IQ_LT_DEBT_REPAID" hidden="1" function="0" vbProcedure="0">"c689"</definedName>
    <definedName name="IQ_LT_DEBT_REPAID_BNK" hidden="1" function="0" vbProcedure="0">"c690"</definedName>
    <definedName name="IQ_LT_DEBT_REPAID_BR" hidden="1" function="0" vbProcedure="0">"c691"</definedName>
    <definedName name="IQ_LT_DEBT_REPAID_FIN" hidden="1" function="0" vbProcedure="0">"c692"</definedName>
    <definedName name="IQ_LT_DEBT_REPAID_INS" hidden="1" function="0" vbProcedure="0">"c693"</definedName>
    <definedName name="IQ_LT_DEBT_REPAID_REIT" hidden="1" function="0" vbProcedure="0">"c694"</definedName>
    <definedName name="IQ_LT_DEBT_REPAID_UTI" hidden="1" function="0" vbProcedure="0">"c695"</definedName>
    <definedName name="IQ_LT_DEBT_UTI" hidden="1" function="0" vbProcedure="0">"c696"</definedName>
    <definedName name="IQ_LT_INVEST" hidden="1" function="0" vbProcedure="0">"c697"</definedName>
    <definedName name="IQ_LT_INVEST_BR" hidden="1" function="0" vbProcedure="0">"c698"</definedName>
    <definedName name="IQ_LT_INVEST_FIN" hidden="1" function="0" vbProcedure="0">"c699"</definedName>
    <definedName name="IQ_LT_INVEST_REIT" hidden="1" function="0" vbProcedure="0">"c700"</definedName>
    <definedName name="IQ_LT_INVEST_UTI" hidden="1" function="0" vbProcedure="0">"c701"</definedName>
    <definedName name="IQ_LT_NOTE_RECEIV" hidden="1" function="0" vbProcedure="0">"c1602"</definedName>
    <definedName name="IQ_MACHINERY" hidden="1" function="0" vbProcedure="0">"c711"</definedName>
    <definedName name="IQ_MAINT_REPAIR" hidden="1" function="0" vbProcedure="0">"c2087"</definedName>
    <definedName name="IQ_MARKETCAP" hidden="1" function="0" vbProcedure="0">"c712"</definedName>
    <definedName name="IQ_MERGER" hidden="1" function="0" vbProcedure="0">"c713"</definedName>
    <definedName name="IQ_MERGER_BNK" hidden="1" function="0" vbProcedure="0">"c714"</definedName>
    <definedName name="IQ_MERGER_BR" hidden="1" function="0" vbProcedure="0">"c715"</definedName>
    <definedName name="IQ_MERGER_FIN" hidden="1" function="0" vbProcedure="0">"c716"</definedName>
    <definedName name="IQ_MERGER_INS" hidden="1" function="0" vbProcedure="0">"c717"</definedName>
    <definedName name="IQ_MERGER_REIT" hidden="1" function="0" vbProcedure="0">"c718"</definedName>
    <definedName name="IQ_MERGER_RESTRUCTURE" hidden="1" function="0" vbProcedure="0">"c719"</definedName>
    <definedName name="IQ_MERGER_RESTRUCTURE_BNK" hidden="1" function="0" vbProcedure="0">"c720"</definedName>
    <definedName name="IQ_MERGER_RESTRUCTURE_BR" hidden="1" function="0" vbProcedure="0">"c721"</definedName>
    <definedName name="IQ_MERGER_RESTRUCTURE_FIN" hidden="1" function="0" vbProcedure="0">"c722"</definedName>
    <definedName name="IQ_MERGER_RESTRUCTURE_INS" hidden="1" function="0" vbProcedure="0">"c723"</definedName>
    <definedName name="IQ_MERGER_RESTRUCTURE_REIT" hidden="1" function="0" vbProcedure="0">"c724"</definedName>
    <definedName name="IQ_MERGER_RESTRUCTURE_UTI" hidden="1" function="0" vbProcedure="0">"c725"</definedName>
    <definedName name="IQ_MERGER_UTI" hidden="1" function="0" vbProcedure="0">"c726"</definedName>
    <definedName name="IQ_MINORITY_INTEREST" hidden="1" function="0" vbProcedure="0">"c727"</definedName>
    <definedName name="IQ_MINORITY_INTEREST_BNK" hidden="1" function="0" vbProcedure="0">"c728"</definedName>
    <definedName name="IQ_MINORITY_INTEREST_BR" hidden="1" function="0" vbProcedure="0">"c729"</definedName>
    <definedName name="IQ_MINORITY_INTEREST_CF" hidden="1" function="0" vbProcedure="0">"c730"</definedName>
    <definedName name="IQ_MINORITY_INTEREST_FIN" hidden="1" function="0" vbProcedure="0">"c731"</definedName>
    <definedName name="IQ_MINORITY_INTEREST_INS" hidden="1" function="0" vbProcedure="0">"c732"</definedName>
    <definedName name="IQ_MINORITY_INTEREST_IS" hidden="1" function="0" vbProcedure="0">"c733"</definedName>
    <definedName name="IQ_MINORITY_INTEREST_REIT" hidden="1" function="0" vbProcedure="0">"c734"</definedName>
    <definedName name="IQ_MINORITY_INTEREST_TOTAL" hidden="1" function="0" vbProcedure="0">"c1905"</definedName>
    <definedName name="IQ_MINORITY_INTEREST_UTI" hidden="1" function="0" vbProcedure="0">"c735"</definedName>
    <definedName name="IQ_MISC_ADJUST_CF" hidden="1" function="0" vbProcedure="0">"c736"</definedName>
    <definedName name="IQ_MISC_EARN_ADJ" hidden="1" function="0" vbProcedure="0">"c1603"</definedName>
    <definedName name="IQ_MKTCAP_EBT_EXCL" hidden="1" function="0" vbProcedure="0">"c737"</definedName>
    <definedName name="IQ_MKTCAP_EBT_EXCL_AVG" hidden="1" function="0" vbProcedure="0">"c738"</definedName>
    <definedName name="IQ_MKTCAP_EBT_INCL_AVG" hidden="1" function="0" vbProcedure="0">"c739"</definedName>
    <definedName name="IQ_MKTCAP_TOTAL_REV" hidden="1" function="0" vbProcedure="0">"c740"</definedName>
    <definedName name="IQ_MKTCAP_TOTAL_REV_AVG" hidden="1" function="0" vbProcedure="0">"c741"</definedName>
    <definedName name="IQ_MM_ACCOUNT" hidden="1" function="0" vbProcedure="0">"c743"</definedName>
    <definedName name="IQ_MORT_BANKING_FEE" hidden="1" function="0" vbProcedure="0">"c745"</definedName>
    <definedName name="IQ_MORT_BANK_ACT" hidden="1" function="0" vbProcedure="0">"c744"</definedName>
    <definedName name="IQ_MORT_INT_INC" hidden="1" function="0" vbProcedure="0">"c746"</definedName>
    <definedName name="IQ_MORT_LOANS" hidden="1" function="0" vbProcedure="0">"c747"</definedName>
    <definedName name="IQ_MORT_SECURITY" hidden="1" function="0" vbProcedure="0">"c748"</definedName>
    <definedName name="IQ_NET_CHANGE" hidden="1" function="0" vbProcedure="0">"c749"</definedName>
    <definedName name="IQ_NET_DEBT" hidden="1" function="0" vbProcedure="0">"c1584"</definedName>
    <definedName name="IQ_NET_DEBT_EBITDA" hidden="1" function="0" vbProcedure="0">"c750"</definedName>
    <definedName name="IQ_NET_DEBT_ISSUED" hidden="1" function="0" vbProcedure="0">"c751"</definedName>
    <definedName name="IQ_NET_DEBT_ISSUED_BNK" hidden="1" function="0" vbProcedure="0">"c752"</definedName>
    <definedName name="IQ_NET_DEBT_ISSUED_BR" hidden="1" function="0" vbProcedure="0">"c753"</definedName>
    <definedName name="IQ_NET_DEBT_ISSUED_FIN" hidden="1" function="0" vbProcedure="0">"c754"</definedName>
    <definedName name="IQ_NET_DEBT_ISSUED_INS" hidden="1" function="0" vbProcedure="0">"c755"</definedName>
    <definedName name="IQ_NET_DEBT_ISSUED_REIT" hidden="1" function="0" vbProcedure="0">"c756"</definedName>
    <definedName name="IQ_NET_DEBT_ISSUED_UTI" hidden="1" function="0" vbProcedure="0">"c757"</definedName>
    <definedName name="IQ_NET_INC" hidden="1" function="0" vbProcedure="0">"c1394"</definedName>
    <definedName name="IQ_NET_INC_BEFORE" hidden="1" function="0" vbProcedure="0">"c1368"</definedName>
    <definedName name="IQ_NET_INC_CF" hidden="1" function="0" vbProcedure="0">"c1397"</definedName>
    <definedName name="IQ_NET_INC_MARGIN" hidden="1" function="0" vbProcedure="0">"c1398"</definedName>
    <definedName name="IQ_NET_INTEREST_EXP" hidden="1" function="0" vbProcedure="0">"c769"</definedName>
    <definedName name="IQ_NET_INTEREST_EXP_REIT" hidden="1" function="0" vbProcedure="0">"c770"</definedName>
    <definedName name="IQ_NET_INTEREST_EXP_UTI" hidden="1" function="0" vbProcedure="0">"c771"</definedName>
    <definedName name="IQ_NET_INTEREST_INC" hidden="1" function="0" vbProcedure="0">"c1392"</definedName>
    <definedName name="IQ_NET_INTEREST_INC_AFTER_LL" hidden="1" function="0" vbProcedure="0">"c1604"</definedName>
    <definedName name="IQ_NET_INT_INC_10YR_ANN_GROWTH" hidden="1" function="0" vbProcedure="0">"c758"</definedName>
    <definedName name="IQ_NET_INT_INC_1YR_ANN_GROWTH" hidden="1" function="0" vbProcedure="0">"c759"</definedName>
    <definedName name="IQ_NET_INT_INC_2YR_ANN_GROWTH" hidden="1" function="0" vbProcedure="0">"c760"</definedName>
    <definedName name="IQ_NET_INT_INC_3YR_ANN_GROWTH" hidden="1" function="0" vbProcedure="0">"c761"</definedName>
    <definedName name="IQ_NET_INT_INC_5YR_ANN_GROWTH" hidden="1" function="0" vbProcedure="0">"c762"</definedName>
    <definedName name="IQ_NET_INT_INC_7YR_ANN_GROWTH" hidden="1" function="0" vbProcedure="0">"c763"</definedName>
    <definedName name="IQ_NET_INT_INC_BNK" hidden="1" function="0" vbProcedure="0">"c764"</definedName>
    <definedName name="IQ_NET_INT_INC_BR" hidden="1" function="0" vbProcedure="0">"c765"</definedName>
    <definedName name="IQ_NET_INT_INC_FIN" hidden="1" function="0" vbProcedure="0">"c766"</definedName>
    <definedName name="IQ_NET_INT_INC_TOTAL_REV" hidden="1" function="0" vbProcedure="0">"c767"</definedName>
    <definedName name="IQ_NET_INT_MARGIN" hidden="1" function="0" vbProcedure="0">"c768"</definedName>
    <definedName name="IQ_NET_LOANS" hidden="1" function="0" vbProcedure="0">"c772"</definedName>
    <definedName name="IQ_NET_LOANS_10YR_ANN_GROWTH" hidden="1" function="0" vbProcedure="0">"c773"</definedName>
    <definedName name="IQ_NET_LOANS_1YR_ANN_GROWTH" hidden="1" function="0" vbProcedure="0">"c774"</definedName>
    <definedName name="IQ_NET_LOANS_2YR_ANN_GROWTH" hidden="1" function="0" vbProcedure="0">"c775"</definedName>
    <definedName name="IQ_NET_LOANS_3YR_ANN_GROWTH" hidden="1" function="0" vbProcedure="0">"c776"</definedName>
    <definedName name="IQ_NET_LOANS_5YR_ANN_GROWTH" hidden="1" function="0" vbProcedure="0">"c777"</definedName>
    <definedName name="IQ_NET_LOANS_7YR_ANN_GROWTH" hidden="1" function="0" vbProcedure="0">"c778"</definedName>
    <definedName name="IQ_NET_LOANS_TOTAL_DEPOSITS" hidden="1" function="0" vbProcedure="0">"c779"</definedName>
    <definedName name="IQ_NET_RENTAL_EXP_FN" hidden="1" function="0" vbProcedure="0">"c780"</definedName>
    <definedName name="IQ_NI" hidden="1" function="0" vbProcedure="0">"c781"</definedName>
    <definedName name="IQ_NI_10YR_ANN_GROWTH" hidden="1" function="0" vbProcedure="0">"c782"</definedName>
    <definedName name="IQ_NI_1YR_ANN_GROWTH" hidden="1" function="0" vbProcedure="0">"c783"</definedName>
    <definedName name="IQ_NI_2YR_ANN_GROWTH" hidden="1" function="0" vbProcedure="0">"c784"</definedName>
    <definedName name="IQ_NI_3YR_ANN_GROWTH" hidden="1" function="0" vbProcedure="0">"c785"</definedName>
    <definedName name="IQ_NI_5YR_ANN_GROWTH" hidden="1" function="0" vbProcedure="0">"c786"</definedName>
    <definedName name="IQ_NI_7YR_ANN_GROWTH" hidden="1" function="0" vbProcedure="0">"c787"</definedName>
    <definedName name="IQ_NI_AFTER_CAPITALIZED" hidden="1" function="0" vbProcedure="0">"c788"</definedName>
    <definedName name="IQ_NI_AVAIL_EXCL" hidden="1" function="0" vbProcedure="0">"c789"</definedName>
    <definedName name="IQ_NI_AVAIL_EXCL_MARGIN" hidden="1" function="0" vbProcedure="0">"c790"</definedName>
    <definedName name="IQ_NI_AVAIL_INCL" hidden="1" function="0" vbProcedure="0">"c791"</definedName>
    <definedName name="IQ_NI_BEFORE_CAPITALIZED" hidden="1" function="0" vbProcedure="0">"c792"</definedName>
    <definedName name="IQ_NI_CF" hidden="1" function="0" vbProcedure="0">"c793"</definedName>
    <definedName name="IQ_NI_MARGIN" hidden="1" function="0" vbProcedure="0">"c794"</definedName>
    <definedName name="IQ_NI_NORM" hidden="1" function="0" vbProcedure="0">"c1901"</definedName>
    <definedName name="IQ_NI_NORM_10YR_ANN_GROWTH" hidden="1" function="0" vbProcedure="0">"c1960"</definedName>
    <definedName name="IQ_NI_NORM_1YR_ANN_GROWTH" hidden="1" function="0" vbProcedure="0">"c1955"</definedName>
    <definedName name="IQ_NI_NORM_2YR_ANN_GROWTH" hidden="1" function="0" vbProcedure="0">"c1956"</definedName>
    <definedName name="IQ_NI_NORM_3YR_ANN_GROWTH" hidden="1" function="0" vbProcedure="0">"c1957"</definedName>
    <definedName name="IQ_NI_NORM_5YR_ANN_GROWTH" hidden="1" function="0" vbProcedure="0">"c1958"</definedName>
    <definedName name="IQ_NI_NORM_7YR_ANN_GROWTH" hidden="1" function="0" vbProcedure="0">"c1959"</definedName>
    <definedName name="IQ_NI_NORM_MARGIN" hidden="1" function="0" vbProcedure="0">"c1964"</definedName>
    <definedName name="IQ_NI_SFAS" hidden="1" function="0" vbProcedure="0">"c795"</definedName>
    <definedName name="IQ_NONUTIL_REV" hidden="1" function="0" vbProcedure="0">"c2089"</definedName>
    <definedName name="IQ_NON_ACCRUAL_LOANS" hidden="1" function="0" vbProcedure="0">"c796"</definedName>
    <definedName name="IQ_NON_CASH" hidden="1" function="0" vbProcedure="0">"c1399"</definedName>
    <definedName name="IQ_NON_CASH_ITEMS" hidden="1" function="0" vbProcedure="0">"c797"</definedName>
    <definedName name="IQ_NON_INS_EXP" hidden="1" function="0" vbProcedure="0">"c798"</definedName>
    <definedName name="IQ_NON_INS_REV" hidden="1" function="0" vbProcedure="0">"c799"</definedName>
    <definedName name="IQ_NON_INTEREST_EXP" hidden="1" function="0" vbProcedure="0">"c1400"</definedName>
    <definedName name="IQ_NON_INTEREST_INC" hidden="1" function="0" vbProcedure="0">"c1401"</definedName>
    <definedName name="IQ_NON_INT_BEAR_CD" hidden="1" function="0" vbProcedure="0">"c800"</definedName>
    <definedName name="IQ_NON_INT_EXP" hidden="1" function="0" vbProcedure="0">"c801"</definedName>
    <definedName name="IQ_NON_INT_INC" hidden="1" function="0" vbProcedure="0">"c802"</definedName>
    <definedName name="IQ_NON_INT_INC_10YR_ANN_GROWTH" hidden="1" function="0" vbProcedure="0">"c803"</definedName>
    <definedName name="IQ_NON_INT_INC_1YR_ANN_GROWTH" hidden="1" function="0" vbProcedure="0">"c804"</definedName>
    <definedName name="IQ_NON_INT_INC_2YR_ANN_GROWTH" hidden="1" function="0" vbProcedure="0">"c805"</definedName>
    <definedName name="IQ_NON_INT_INC_3YR_ANN_GROWTH" hidden="1" function="0" vbProcedure="0">"c806"</definedName>
    <definedName name="IQ_NON_INT_INC_5YR_ANN_GROWTH" hidden="1" function="0" vbProcedure="0">"c807"</definedName>
    <definedName name="IQ_NON_INT_INC_7YR_ANN_GROWTH" hidden="1" function="0" vbProcedure="0">"c808"</definedName>
    <definedName name="IQ_NON_OPER_EXP" hidden="1" function="0" vbProcedure="0">"c809"</definedName>
    <definedName name="IQ_NON_OPER_INC" hidden="1" function="0" vbProcedure="0">"c810"</definedName>
    <definedName name="IQ_NON_PERFORMING_ASSETS" hidden="1" function="0" vbProcedure="0">"c826"</definedName>
    <definedName name="IQ_NON_PERFORMING_LOANS" hidden="1" function="0" vbProcedure="0">"c827"</definedName>
    <definedName name="IQ_NON_PERF_ASSETS_10YR_ANN_GROWTH" hidden="1" function="0" vbProcedure="0">"c811"</definedName>
    <definedName name="IQ_NON_PERF_ASSETS_1YR_ANN_GROWTH" hidden="1" function="0" vbProcedure="0">"c812"</definedName>
    <definedName name="IQ_NON_PERF_ASSETS_2YR_ANN_GROWTH" hidden="1" function="0" vbProcedure="0">"c813"</definedName>
    <definedName name="IQ_NON_PERF_ASSETS_3YR_ANN_GROWTH" hidden="1" function="0" vbProcedure="0">"c814"</definedName>
    <definedName name="IQ_NON_PERF_ASSETS_5YR_ANN_GROWTH" hidden="1" function="0" vbProcedure="0">"c815"</definedName>
    <definedName name="IQ_NON_PERF_ASSETS_7YR_ANN_GROWTH" hidden="1" function="0" vbProcedure="0">"c816"</definedName>
    <definedName name="IQ_NON_PERF_ASSETS_TOTAL_ASSETS" hidden="1" function="0" vbProcedure="0">"c817"</definedName>
    <definedName name="IQ_NON_PERF_LOANS_10YR_ANN_GROWTH" hidden="1" function="0" vbProcedure="0">"c818"</definedName>
    <definedName name="IQ_NON_PERF_LOANS_1YR_ANN_GROWTH" hidden="1" function="0" vbProcedure="0">"c819"</definedName>
    <definedName name="IQ_NON_PERF_LOANS_2YR_ANN_GROWTH" hidden="1" function="0" vbProcedure="0">"c820"</definedName>
    <definedName name="IQ_NON_PERF_LOANS_3YR_ANN_GROWTH" hidden="1" function="0" vbProcedure="0">"c821"</definedName>
    <definedName name="IQ_NON_PERF_LOANS_5YR_ANN_GROWTH" hidden="1" function="0" vbProcedure="0">"c822"</definedName>
    <definedName name="IQ_NON_PERF_LOANS_7YR_ANN_GROWTH" hidden="1" function="0" vbProcedure="0">"c823"</definedName>
    <definedName name="IQ_NON_PERF_LOANS_TOTAL_ASSETS" hidden="1" function="0" vbProcedure="0">"c824"</definedName>
    <definedName name="IQ_NON_PERF_LOANS_TOTAL_LOANS" hidden="1" function="0" vbProcedure="0">"c825"</definedName>
    <definedName name="IQ_NORMAL_INC_AFTER" hidden="1" function="0" vbProcedure="0">"c1605"</definedName>
    <definedName name="IQ_NORMAL_INC_AVAIL" hidden="1" function="0" vbProcedure="0">"c1606"</definedName>
    <definedName name="IQ_NORMAL_INC_BEFORE" hidden="1" function="0" vbProcedure="0">"c1607"</definedName>
    <definedName name="IQ_NOTES_PAY" hidden="1" function="0" vbProcedure="0">"c1423"</definedName>
    <definedName name="IQ_NOW_ACCOUNT" hidden="1" function="0" vbProcedure="0">"c828"</definedName>
    <definedName name="IQ_NPPE" hidden="1" function="0" vbProcedure="0">"c829"</definedName>
    <definedName name="IQ_NPPE_10YR_ANN_GROWTH" hidden="1" function="0" vbProcedure="0">"c830"</definedName>
    <definedName name="IQ_NPPE_1YR_ANN_GROWTH" hidden="1" function="0" vbProcedure="0">"c831"</definedName>
    <definedName name="IQ_NPPE_2YR_ANN_GROWTH" hidden="1" function="0" vbProcedure="0">"c832"</definedName>
    <definedName name="IQ_NPPE_3YR_ANN_GROWTH" hidden="1" function="0" vbProcedure="0">"c833"</definedName>
    <definedName name="IQ_NPPE_5YR_ANN_GROWTH" hidden="1" function="0" vbProcedure="0">"c834"</definedName>
    <definedName name="IQ_NPPE_7YR_ANN_GROWTH" hidden="1" function="0" vbProcedure="0">"c835"</definedName>
    <definedName name="IQ_NTM" hidden="1" function="0" vbProcedure="0">6000</definedName>
    <definedName name="IQ_NUKE" hidden="1" function="0" vbProcedure="0">"c836"</definedName>
    <definedName name="IQ_NUKE_CF" hidden="1" function="0" vbProcedure="0">"c837"</definedName>
    <definedName name="IQ_NUKE_CONTR" hidden="1" function="0" vbProcedure="0">"c838"</definedName>
    <definedName name="IQ_NUMBER_ADRHOLDERS" hidden="1" function="0" vbProcedure="0">"c1970"</definedName>
    <definedName name="IQ_NUMBER_DAYS" hidden="1" function="0" vbProcedure="0">"c1904"</definedName>
    <definedName name="IQ_NUMBER_SHAREHOLDERS" hidden="1" function="0" vbProcedure="0">"c1967"</definedName>
    <definedName name="IQ_NUMBER_SHAREHOLDERS_CLASSA" hidden="1" function="0" vbProcedure="0">"c1968"</definedName>
    <definedName name="IQ_NUMBER_SHAREHOLDERS_OTHER" hidden="1" function="0" vbProcedure="0">"c1969"</definedName>
    <definedName name="IQ_NUM_BRANCHES" hidden="1" function="0" vbProcedure="0">"c2088"</definedName>
    <definedName name="IQ_OCCUPY_EXP" hidden="1" function="0" vbProcedure="0">"c839"</definedName>
    <definedName name="IQ_OG_10DISC" hidden="1" function="0" vbProcedure="0">"c1998"</definedName>
    <definedName name="IQ_OG_10DISC_GAS" hidden="1" function="0" vbProcedure="0">"c2018"</definedName>
    <definedName name="IQ_OG_10DISC_OIL" hidden="1" function="0" vbProcedure="0">"c2008"</definedName>
    <definedName name="IQ_OG_ACQ_COST_PROVED" hidden="1" function="0" vbProcedure="0">"c1975"</definedName>
    <definedName name="IQ_OG_ACQ_COST_PROVED_GAS" hidden="1" function="0" vbProcedure="0">"c1987"</definedName>
    <definedName name="IQ_OG_ACQ_COST_PROVED_OIL" hidden="1" function="0" vbProcedure="0">"c1981"</definedName>
    <definedName name="IQ_OG_ACQ_COST_UNPROVED" hidden="1" function="0" vbProcedure="0">"c1976"</definedName>
    <definedName name="IQ_OG_ACQ_COST_UNPROVED_GAS" hidden="1" function="0" vbProcedure="0">"c1988"</definedName>
    <definedName name="IQ_OG_ACQ_COST_UNPROVED_OIL" hidden="1" function="0" vbProcedure="0">"c1982"</definedName>
    <definedName name="IQ_OG_CLOSE_BALANCE_GAS" hidden="1" function="0" vbProcedure="0">"c2049"</definedName>
    <definedName name="IQ_OG_CLOSE_BALANCE_OIL" hidden="1" function="0" vbProcedure="0">"c2037"</definedName>
    <definedName name="IQ_OG_DCF_BEFORE_TAXES" hidden="1" function="0" vbProcedure="0">"c2023"</definedName>
    <definedName name="IQ_OG_DCF_BEFORE_TAXES_GAS" hidden="1" function="0" vbProcedure="0">"c2025"</definedName>
    <definedName name="IQ_OG_DCF_BEFORE_TAXES_OIL" hidden="1" function="0" vbProcedure="0">"c2024"</definedName>
    <definedName name="IQ_OG_DEVELOPED_RESERVES_GAS" hidden="1" function="0" vbProcedure="0">"c2053"</definedName>
    <definedName name="IQ_OG_DEVELOPED_RESERVES_OIL" hidden="1" function="0" vbProcedure="0">"c2054"</definedName>
    <definedName name="IQ_OG_DEVELOPMENT_COSTS" hidden="1" function="0" vbProcedure="0">"c1978"</definedName>
    <definedName name="IQ_OG_DEVELOPMENT_COSTS_GAS" hidden="1" function="0" vbProcedure="0">"c1990"</definedName>
    <definedName name="IQ_OG_DEVELOPMENT_COSTS_OIL" hidden="1" function="0" vbProcedure="0">"c1984"</definedName>
    <definedName name="IQ_OG_EQUITY_DCF" hidden="1" function="0" vbProcedure="0">"c2002"</definedName>
    <definedName name="IQ_OG_EQUITY_DCF_GAS" hidden="1" function="0" vbProcedure="0">"c2022"</definedName>
    <definedName name="IQ_OG_EQUITY_DCF_OIL" hidden="1" function="0" vbProcedure="0">"c2012"</definedName>
    <definedName name="IQ_OG_EQUTY_RESERVES_GAS" hidden="1" function="0" vbProcedure="0">"c2050"</definedName>
    <definedName name="IQ_OG_EQUTY_RESERVES_OIL" hidden="1" function="0" vbProcedure="0">"c2038"</definedName>
    <definedName name="IQ_OG_EXPLORATION_COSTS" hidden="1" function="0" vbProcedure="0">"c1977"</definedName>
    <definedName name="IQ_OG_EXPLORATION_COSTS_GAS" hidden="1" function="0" vbProcedure="0">"c1989"</definedName>
    <definedName name="IQ_OG_EXPLORATION_COSTS_OIL" hidden="1" function="0" vbProcedure="0">"c1983"</definedName>
    <definedName name="IQ_OG_EXT_DISC_GAS" hidden="1" function="0" vbProcedure="0">"c2043"</definedName>
    <definedName name="IQ_OG_EXT_DISC_OIL" hidden="1" function="0" vbProcedure="0">"c2031"</definedName>
    <definedName name="IQ_OG_FUTURE_CASH_INFLOWS" hidden="1" function="0" vbProcedure="0">"c1993"</definedName>
    <definedName name="IQ_OG_FUTURE_CASH_INFLOWS_GAS" hidden="1" function="0" vbProcedure="0">"c2013"</definedName>
    <definedName name="IQ_OG_FUTURE_CASH_INFLOWS_OIL" hidden="1" function="0" vbProcedure="0">"c2003"</definedName>
    <definedName name="IQ_OG_FUTURE_DEVELOPMENT_COSTS" hidden="1" function="0" vbProcedure="0">"c1995"</definedName>
    <definedName name="IQ_OG_FUTURE_DEVELOPMENT_COSTS_GAS" hidden="1" function="0" vbProcedure="0">"c2015"</definedName>
    <definedName name="IQ_OG_FUTURE_DEVELOPMENT_COSTS_OIL" hidden="1" function="0" vbProcedure="0">"c2005"</definedName>
    <definedName name="IQ_OG_FUTURE_INC_TAXES" hidden="1" function="0" vbProcedure="0">"c1997"</definedName>
    <definedName name="IQ_OG_FUTURE_INC_TAXES_GAS" hidden="1" function="0" vbProcedure="0">"c2017"</definedName>
    <definedName name="IQ_OG_FUTURE_INC_TAXES_OIL" hidden="1" function="0" vbProcedure="0">"c2007"</definedName>
    <definedName name="IQ_OG_FUTURE_PRODUCTION_COSTS" hidden="1" function="0" vbProcedure="0">"c1994"</definedName>
    <definedName name="IQ_OG_FUTURE_PRODUCTION_COSTS_GAS" hidden="1" function="0" vbProcedure="0">"c2014"</definedName>
    <definedName name="IQ_OG_FUTURE_PRODUCTION_COSTS_OIL" hidden="1" function="0" vbProcedure="0">"c2004"</definedName>
    <definedName name="IQ_OG_GAS_PRICE_HEDGED" hidden="1" function="0" vbProcedure="0">"c2056"</definedName>
    <definedName name="IQ_OG_GAS_PRICE_UNHEDGED" hidden="1" function="0" vbProcedure="0">"c2058"</definedName>
    <definedName name="IQ_OG_IMPROVED_RECOVERY_GAS" hidden="1" function="0" vbProcedure="0">"c2044"</definedName>
    <definedName name="IQ_OG_IMPROVED_RECOVERY_OIL" hidden="1" function="0" vbProcedure="0">"c2032"</definedName>
    <definedName name="IQ_OG_NET_FUTURE_CASH_FLOWS" hidden="1" function="0" vbProcedure="0">"c1996"</definedName>
    <definedName name="IQ_OG_NET_FUTURE_CASH_FLOWS_GAS" hidden="1" function="0" vbProcedure="0">"c2016"</definedName>
    <definedName name="IQ_OG_NET_FUTURE_CASH_FLOWS_OIL" hidden="1" function="0" vbProcedure="0">"c2006"</definedName>
    <definedName name="IQ_OG_OIL_PRICE_HEDGED" hidden="1" function="0" vbProcedure="0">"c2055"</definedName>
    <definedName name="IQ_OG_OIL_PRICE_UNHEDGED" hidden="1" function="0" vbProcedure="0">"c2057"</definedName>
    <definedName name="IQ_OG_OPEN_BALANCE_GAS" hidden="1" function="0" vbProcedure="0">"c2041"</definedName>
    <definedName name="IQ_OG_OPEN_BALANCE_OIL" hidden="1" function="0" vbProcedure="0">"c2029"</definedName>
    <definedName name="IQ_OG_OTHER_ADJ_FCF" hidden="1" function="0" vbProcedure="0">"c1999"</definedName>
    <definedName name="IQ_OG_OTHER_ADJ_FCF_GAS" hidden="1" function="0" vbProcedure="0">"c2019"</definedName>
    <definedName name="IQ_OG_OTHER_ADJ_FCF_OIL" hidden="1" function="0" vbProcedure="0">"c2009"</definedName>
    <definedName name="IQ_OG_OTHER_ADJ_GAS" hidden="1" function="0" vbProcedure="0">"c2048"</definedName>
    <definedName name="IQ_OG_OTHER_ADJ_OIL" hidden="1" function="0" vbProcedure="0">"c2036"</definedName>
    <definedName name="IQ_OG_OTHER_COSTS" hidden="1" function="0" vbProcedure="0">"c1979"</definedName>
    <definedName name="IQ_OG_OTHER_COSTS_GAS" hidden="1" function="0" vbProcedure="0">"c1991"</definedName>
    <definedName name="IQ_OG_OTHER_COSTS_OIL" hidden="1" function="0" vbProcedure="0">"c1985"</definedName>
    <definedName name="IQ_OG_PRODUCTION_GAS" hidden="1" function="0" vbProcedure="0">"c2047"</definedName>
    <definedName name="IQ_OG_PRODUCTION_OIL" hidden="1" function="0" vbProcedure="0">"c2035"</definedName>
    <definedName name="IQ_OG_PURCHASES_GAS" hidden="1" function="0" vbProcedure="0">"c2045"</definedName>
    <definedName name="IQ_OG_PURCHASES_OIL" hidden="1" function="0" vbProcedure="0">"c2033"</definedName>
    <definedName name="IQ_OG_REVISIONS_GAS" hidden="1" function="0" vbProcedure="0">"c2042"</definedName>
    <definedName name="IQ_OG_REVISIONS_OIL" hidden="1" function="0" vbProcedure="0">"c2030"</definedName>
    <definedName name="IQ_OG_SALES_IN_PLACE_GAS" hidden="1" function="0" vbProcedure="0">"c2046"</definedName>
    <definedName name="IQ_OG_SALES_IN_PLACE_OIL" hidden="1" function="0" vbProcedure="0">"c2034"</definedName>
    <definedName name="IQ_OG_STANDARDIZED_DCF" hidden="1" function="0" vbProcedure="0">"c2000"</definedName>
    <definedName name="IQ_OG_STANDARDIZED_DCF_GAS" hidden="1" function="0" vbProcedure="0">"c2020"</definedName>
    <definedName name="IQ_OG_STANDARDIZED_DCF_HEDGED" hidden="1" function="0" vbProcedure="0">"c2001"</definedName>
    <definedName name="IQ_OG_STANDARDIZED_DCF_HEDGED_GAS" hidden="1" function="0" vbProcedure="0">"c2021"</definedName>
    <definedName name="IQ_OG_STANDARDIZED_DCF_HEDGED_OIL" hidden="1" function="0" vbProcedure="0">"c2011"</definedName>
    <definedName name="IQ_OG_STANDARDIZED_DCF_OIL" hidden="1" function="0" vbProcedure="0">"c2010"</definedName>
    <definedName name="IQ_OG_TAXES" hidden="1" function="0" vbProcedure="0">"c2026"</definedName>
    <definedName name="IQ_OG_TAXES_GAS" hidden="1" function="0" vbProcedure="0">"c2028"</definedName>
    <definedName name="IQ_OG_TAXES_OIL" hidden="1" function="0" vbProcedure="0">"c2027"</definedName>
    <definedName name="IQ_OG_TOTAL_COSTS" hidden="1" function="0" vbProcedure="0">"c1980"</definedName>
    <definedName name="IQ_OG_TOTAL_COSTS_GAS" hidden="1" function="0" vbProcedure="0">"c1992"</definedName>
    <definedName name="IQ_OG_TOTAL_COSTS_OIL" hidden="1" function="0" vbProcedure="0">"c1986"</definedName>
    <definedName name="IQ_OG_TOTAL_EST_PROVED_RESERVES_GAS" hidden="1" function="0" vbProcedure="0">"c2052"</definedName>
    <definedName name="IQ_OG_TOTAL_GAS_PRODUCTION" hidden="1" function="0" vbProcedure="0">"c2060"</definedName>
    <definedName name="IQ_OG_TOTAL_OIL_PRODUCTON" hidden="1" function="0" vbProcedure="0">"c2059"</definedName>
    <definedName name="IQ_OG_UNDEVELOPED_RESERVES_GAS" hidden="1" function="0" vbProcedure="0">"c2051"</definedName>
    <definedName name="IQ_OG_UNDEVELOPED_RESERVES_OIL" hidden="1" function="0" vbProcedure="0">"c2039"</definedName>
    <definedName name="IQ_OIL_IMPAIR" hidden="1" function="0" vbProcedure="0">"c840"</definedName>
    <definedName name="IQ_OL_COMM_AFTER_FIVE" hidden="1" function="0" vbProcedure="0">"c841"</definedName>
    <definedName name="IQ_OL_COMM_CY" hidden="1" function="0" vbProcedure="0">"c842"</definedName>
    <definedName name="IQ_OL_COMM_CY1" hidden="1" function="0" vbProcedure="0">"c843"</definedName>
    <definedName name="IQ_OL_COMM_CY2" hidden="1" function="0" vbProcedure="0">"c844"</definedName>
    <definedName name="IQ_OL_COMM_CY3" hidden="1" function="0" vbProcedure="0">"c845"</definedName>
    <definedName name="IQ_OL_COMM_CY4" hidden="1" function="0" vbProcedure="0">"c846"</definedName>
    <definedName name="IQ_OL_COMM_NEXT_FIVE" hidden="1" function="0" vbProcedure="0">"c847"</definedName>
    <definedName name="IQ_OPENPRICE" hidden="1" function="0" vbProcedure="0">"c848"</definedName>
    <definedName name="IQ_OPERATIONS_EXP" hidden="1" function="0" vbProcedure="0">"c855"</definedName>
    <definedName name="IQ_OPER_INC" hidden="1" function="0" vbProcedure="0">"c849"</definedName>
    <definedName name="IQ_OPER_INC_BR" hidden="1" function="0" vbProcedure="0">"c850"</definedName>
    <definedName name="IQ_OPER_INC_FIN" hidden="1" function="0" vbProcedure="0">"c851"</definedName>
    <definedName name="IQ_OPER_INC_INS" hidden="1" function="0" vbProcedure="0">"c852"</definedName>
    <definedName name="IQ_OPER_INC_MARGIN" hidden="1" function="0" vbProcedure="0">"c1448"</definedName>
    <definedName name="IQ_OPER_INC_REIT" hidden="1" function="0" vbProcedure="0">"c853"</definedName>
    <definedName name="IQ_OPER_INC_UTI" hidden="1" function="0" vbProcedure="0">"c854"</definedName>
    <definedName name="IQ_OPTIONS_BEG_OS" hidden="1" function="0" vbProcedure="0">"c1572"</definedName>
    <definedName name="IQ_OPTIONS_CANCELLED" hidden="1" function="0" vbProcedure="0">"c856"</definedName>
    <definedName name="IQ_OPTIONS_END_OS" hidden="1" function="0" vbProcedure="0">"c1573"</definedName>
    <definedName name="IQ_OPTIONS_EXERCISED" hidden="1" function="0" vbProcedure="0">"c2116"</definedName>
    <definedName name="IQ_OPTIONS_ISSUED" hidden="1" function="0" vbProcedure="0">"c857"</definedName>
    <definedName name="IQ_ORDER_BACKLOG" hidden="1" function="0" vbProcedure="0">"c2090"</definedName>
    <definedName name="IQ_OTHER_ADJUST_GROSS_LOANS" hidden="1" function="0" vbProcedure="0">"c859"</definedName>
    <definedName name="IQ_OTHER_ASSETS" hidden="1" function="0" vbProcedure="0">"c860"</definedName>
    <definedName name="IQ_OTHER_ASSETS_BNK" hidden="1" function="0" vbProcedure="0">"c861"</definedName>
    <definedName name="IQ_OTHER_ASSETS_BR" hidden="1" function="0" vbProcedure="0">"c862"</definedName>
    <definedName name="IQ_OTHER_ASSETS_FIN" hidden="1" function="0" vbProcedure="0">"c863"</definedName>
    <definedName name="IQ_OTHER_ASSETS_INS" hidden="1" function="0" vbProcedure="0">"c864"</definedName>
    <definedName name="IQ_OTHER_ASSETS_REIT" hidden="1" function="0" vbProcedure="0">"c865"</definedName>
    <definedName name="IQ_OTHER_ASSETS_UTI" hidden="1" function="0" vbProcedure="0">"c866"</definedName>
    <definedName name="IQ_OTHER_BEARING_LIAB" hidden="1" function="0" vbProcedure="0">"c1608"</definedName>
    <definedName name="IQ_OTHER_BENEFITS_OBLIGATION" hidden="1" function="0" vbProcedure="0">"c867"</definedName>
    <definedName name="IQ_OTHER_CA" hidden="1" function="0" vbProcedure="0">"c868"</definedName>
    <definedName name="IQ_OTHER_CA_SUPPL" hidden="1" function="0" vbProcedure="0">"c869"</definedName>
    <definedName name="IQ_OTHER_CA_SUPPL_BNK" hidden="1" function="0" vbProcedure="0">"c870"</definedName>
    <definedName name="IQ_OTHER_CA_SUPPL_BR" hidden="1" function="0" vbProcedure="0">"c871"</definedName>
    <definedName name="IQ_OTHER_CA_SUPPL_FIN" hidden="1" function="0" vbProcedure="0">"c872"</definedName>
    <definedName name="IQ_OTHER_CA_SUPPL_INS" hidden="1" function="0" vbProcedure="0">"c873"</definedName>
    <definedName name="IQ_OTHER_CA_SUPPL_REIT" hidden="1" function="0" vbProcedure="0">"c874"</definedName>
    <definedName name="IQ_OTHER_CA_SUPPL_UTI" hidden="1" function="0" vbProcedure="0">"c875"</definedName>
    <definedName name="IQ_OTHER_CA_UTI" hidden="1" function="0" vbProcedure="0">"c876"</definedName>
    <definedName name="IQ_OTHER_CL" hidden="1" function="0" vbProcedure="0">"c877"</definedName>
    <definedName name="IQ_OTHER_CL_SUPPL" hidden="1" function="0" vbProcedure="0">"c878"</definedName>
    <definedName name="IQ_OTHER_CL_SUPPL_BNK" hidden="1" function="0" vbProcedure="0">"c879"</definedName>
    <definedName name="IQ_OTHER_CL_SUPPL_BR" hidden="1" function="0" vbProcedure="0">"c880"</definedName>
    <definedName name="IQ_OTHER_CL_SUPPL_FIN" hidden="1" function="0" vbProcedure="0">"c881"</definedName>
    <definedName name="IQ_OTHER_CL_SUPPL_REIT" hidden="1" function="0" vbProcedure="0">"c882"</definedName>
    <definedName name="IQ_OTHER_CL_SUPPL_UTI" hidden="1" function="0" vbProcedure="0">"c883"</definedName>
    <definedName name="IQ_OTHER_CL_UTI" hidden="1" function="0" vbProcedure="0">"c884"</definedName>
    <definedName name="IQ_OTHER_CURRENT_ASSETS" hidden="1" function="0" vbProcedure="0">"c1403"</definedName>
    <definedName name="IQ_OTHER_CURRENT_LIAB" hidden="1" function="0" vbProcedure="0">"c1404"</definedName>
    <definedName name="IQ_OTHER_DEP" hidden="1" function="0" vbProcedure="0">"c885"</definedName>
    <definedName name="IQ_OTHER_EARNING" hidden="1" function="0" vbProcedure="0">"c1609"</definedName>
    <definedName name="IQ_OTHER_EQUITY" hidden="1" function="0" vbProcedure="0">"c886"</definedName>
    <definedName name="IQ_OTHER_EQUITY_BNK" hidden="1" function="0" vbProcedure="0">"c887"</definedName>
    <definedName name="IQ_OTHER_EQUITY_BR" hidden="1" function="0" vbProcedure="0">"c888"</definedName>
    <definedName name="IQ_OTHER_EQUITY_FIN" hidden="1" function="0" vbProcedure="0">"c889"</definedName>
    <definedName name="IQ_OTHER_EQUITY_INS" hidden="1" function="0" vbProcedure="0">"c890"</definedName>
    <definedName name="IQ_OTHER_EQUITY_REIT" hidden="1" function="0" vbProcedure="0">"c891"</definedName>
    <definedName name="IQ_OTHER_EQUITY_UTI" hidden="1" function="0" vbProcedure="0">"c892"</definedName>
    <definedName name="IQ_OTHER_FINANCE_ACT" hidden="1" function="0" vbProcedure="0">"c893"</definedName>
    <definedName name="IQ_OTHER_FINANCE_ACT_BNK" hidden="1" function="0" vbProcedure="0">"c894"</definedName>
    <definedName name="IQ_OTHER_FINANCE_ACT_BR" hidden="1" function="0" vbProcedure="0">"c895"</definedName>
    <definedName name="IQ_OTHER_FINANCE_ACT_FIN" hidden="1" function="0" vbProcedure="0">"c896"</definedName>
    <definedName name="IQ_OTHER_FINANCE_ACT_INS" hidden="1" function="0" vbProcedure="0">"c897"</definedName>
    <definedName name="IQ_OTHER_FINANCE_ACT_REIT" hidden="1" function="0" vbProcedure="0">"c898"</definedName>
    <definedName name="IQ_OTHER_FINANCE_ACT_SUPPL" hidden="1" function="0" vbProcedure="0">"c899"</definedName>
    <definedName name="IQ_OTHER_FINANCE_ACT_SUPPL_BNK" hidden="1" function="0" vbProcedure="0">"c900"</definedName>
    <definedName name="IQ_OTHER_FINANCE_ACT_SUPPL_BR" hidden="1" function="0" vbProcedure="0">"c901"</definedName>
    <definedName name="IQ_OTHER_FINANCE_ACT_SUPPL_FIN" hidden="1" function="0" vbProcedure="0">"c902"</definedName>
    <definedName name="IQ_OTHER_FINANCE_ACT_SUPPL_INS" hidden="1" function="0" vbProcedure="0">"c903"</definedName>
    <definedName name="IQ_OTHER_FINANCE_ACT_SUPPL_REIT" hidden="1" function="0" vbProcedure="0">"c904"</definedName>
    <definedName name="IQ_OTHER_FINANCE_ACT_SUPPL_UTI" hidden="1" function="0" vbProcedure="0">"c905"</definedName>
    <definedName name="IQ_OTHER_FINANCE_ACT_UTI" hidden="1" function="0" vbProcedure="0">"c906"</definedName>
    <definedName name="IQ_OTHER_INTAN" hidden="1" function="0" vbProcedure="0">"c907"</definedName>
    <definedName name="IQ_OTHER_INTAN_BNK" hidden="1" function="0" vbProcedure="0">"c908"</definedName>
    <definedName name="IQ_OTHER_INTAN_BR" hidden="1" function="0" vbProcedure="0">"c909"</definedName>
    <definedName name="IQ_OTHER_INTAN_FIN" hidden="1" function="0" vbProcedure="0">"c910"</definedName>
    <definedName name="IQ_OTHER_INTAN_INS" hidden="1" function="0" vbProcedure="0">"c911"</definedName>
    <definedName name="IQ_OTHER_INTAN_REIT" hidden="1" function="0" vbProcedure="0">"c912"</definedName>
    <definedName name="IQ_OTHER_INTAN_UTI" hidden="1" function="0" vbProcedure="0">"c913"</definedName>
    <definedName name="IQ_OTHER_INV" hidden="1" function="0" vbProcedure="0">"c914"</definedName>
    <definedName name="IQ_OTHER_INVEST" hidden="1" function="0" vbProcedure="0">"c915"</definedName>
    <definedName name="IQ_OTHER_INVESTING" hidden="1" function="0" vbProcedure="0">"c1408"</definedName>
    <definedName name="IQ_OTHER_INVEST_ACT" hidden="1" function="0" vbProcedure="0">"c916"</definedName>
    <definedName name="IQ_OTHER_INVEST_ACT_BNK" hidden="1" function="0" vbProcedure="0">"c917"</definedName>
    <definedName name="IQ_OTHER_INVEST_ACT_BR" hidden="1" function="0" vbProcedure="0">"c918"</definedName>
    <definedName name="IQ_OTHER_INVEST_ACT_FIN" hidden="1" function="0" vbProcedure="0">"c919"</definedName>
    <definedName name="IQ_OTHER_INVEST_ACT_INS" hidden="1" function="0" vbProcedure="0">"c920"</definedName>
    <definedName name="IQ_OTHER_INVEST_ACT_REIT" hidden="1" function="0" vbProcedure="0">"c921"</definedName>
    <definedName name="IQ_OTHER_INVEST_ACT_SUPPL" hidden="1" function="0" vbProcedure="0">"c922"</definedName>
    <definedName name="IQ_OTHER_INVEST_ACT_SUPPL_BNK" hidden="1" function="0" vbProcedure="0">"c923"</definedName>
    <definedName name="IQ_OTHER_INVEST_ACT_SUPPL_BR" hidden="1" function="0" vbProcedure="0">"c924"</definedName>
    <definedName name="IQ_OTHER_INVEST_ACT_SUPPL_FIN" hidden="1" function="0" vbProcedure="0">"c925"</definedName>
    <definedName name="IQ_OTHER_INVEST_ACT_SUPPL_INS" hidden="1" function="0" vbProcedure="0">"c926"</definedName>
    <definedName name="IQ_OTHER_INVEST_ACT_SUPPL_REIT" hidden="1" function="0" vbProcedure="0">"c927"</definedName>
    <definedName name="IQ_OTHER_INVEST_ACT_SUPPL_UTI" hidden="1" function="0" vbProcedure="0">"c928"</definedName>
    <definedName name="IQ_OTHER_INVEST_ACT_UTI" hidden="1" function="0" vbProcedure="0">"c929"</definedName>
    <definedName name="IQ_OTHER_LIAB" hidden="1" function="0" vbProcedure="0">"c930"</definedName>
    <definedName name="IQ_OTHER_LIAB_BNK" hidden="1" function="0" vbProcedure="0">"c931"</definedName>
    <definedName name="IQ_OTHER_LIAB_BR" hidden="1" function="0" vbProcedure="0">"c932"</definedName>
    <definedName name="IQ_OTHER_LIAB_FIN" hidden="1" function="0" vbProcedure="0">"c933"</definedName>
    <definedName name="IQ_OTHER_LIAB_INS" hidden="1" function="0" vbProcedure="0">"c934"</definedName>
    <definedName name="IQ_OTHER_LIAB_LT" hidden="1" function="0" vbProcedure="0">"c935"</definedName>
    <definedName name="IQ_OTHER_LIAB_LT_BNK" hidden="1" function="0" vbProcedure="0">"c936"</definedName>
    <definedName name="IQ_OTHER_LIAB_LT_BR" hidden="1" function="0" vbProcedure="0">"c937"</definedName>
    <definedName name="IQ_OTHER_LIAB_LT_FIN" hidden="1" function="0" vbProcedure="0">"c938"</definedName>
    <definedName name="IQ_OTHER_LIAB_LT_INS" hidden="1" function="0" vbProcedure="0">"c939"</definedName>
    <definedName name="IQ_OTHER_LIAB_LT_REIT" hidden="1" function="0" vbProcedure="0">"c940"</definedName>
    <definedName name="IQ_OTHER_LIAB_LT_UTI" hidden="1" function="0" vbProcedure="0">"c941"</definedName>
    <definedName name="IQ_OTHER_LIAB_REIT" hidden="1" function="0" vbProcedure="0">"c942"</definedName>
    <definedName name="IQ_OTHER_LIAB_UTI" hidden="1" function="0" vbProcedure="0">"c943"</definedName>
    <definedName name="IQ_OTHER_LIAB_WRITTEN" hidden="1" function="0" vbProcedure="0">"c944"</definedName>
    <definedName name="IQ_OTHER_LOANS" hidden="1" function="0" vbProcedure="0">"c945"</definedName>
    <definedName name="IQ_OTHER_LONG_TERM" hidden="1" function="0" vbProcedure="0">"c1409"</definedName>
    <definedName name="IQ_OTHER_LT_ASSETS" hidden="1" function="0" vbProcedure="0">"c946"</definedName>
    <definedName name="IQ_OTHER_LT_ASSETS_BNK" hidden="1" function="0" vbProcedure="0">"c947"</definedName>
    <definedName name="IQ_OTHER_LT_ASSETS_BR" hidden="1" function="0" vbProcedure="0">"c948"</definedName>
    <definedName name="IQ_OTHER_LT_ASSETS_FIN" hidden="1" function="0" vbProcedure="0">"c949"</definedName>
    <definedName name="IQ_OTHER_LT_ASSETS_INS" hidden="1" function="0" vbProcedure="0">"c950"</definedName>
    <definedName name="IQ_OTHER_LT_ASSETS_REIT" hidden="1" function="0" vbProcedure="0">"c951"</definedName>
    <definedName name="IQ_OTHER_LT_ASSETS_UTI" hidden="1" function="0" vbProcedure="0">"c952"</definedName>
    <definedName name="IQ_OTHER_NET" hidden="1" function="0" vbProcedure="0">"c1453"</definedName>
    <definedName name="IQ_OTHER_NON_INT_EXP" hidden="1" function="0" vbProcedure="0">"c953"</definedName>
    <definedName name="IQ_OTHER_NON_INT_EXP_TOTAL" hidden="1" function="0" vbProcedure="0">"c954"</definedName>
    <definedName name="IQ_OTHER_NON_INT_INC" hidden="1" function="0" vbProcedure="0">"c955"</definedName>
    <definedName name="IQ_OTHER_NON_OPER_EXP" hidden="1" function="0" vbProcedure="0">"c956"</definedName>
    <definedName name="IQ_OTHER_NON_OPER_EXP_BR" hidden="1" function="0" vbProcedure="0">"c957"</definedName>
    <definedName name="IQ_OTHER_NON_OPER_EXP_FIN" hidden="1" function="0" vbProcedure="0">"c958"</definedName>
    <definedName name="IQ_OTHER_NON_OPER_EXP_INS" hidden="1" function="0" vbProcedure="0">"c959"</definedName>
    <definedName name="IQ_OTHER_NON_OPER_EXP_REIT" hidden="1" function="0" vbProcedure="0">"c960"</definedName>
    <definedName name="IQ_OTHER_NON_OPER_EXP_SUPPL" hidden="1" function="0" vbProcedure="0">"c961"</definedName>
    <definedName name="IQ_OTHER_NON_OPER_EXP_SUPPL_BR" hidden="1" function="0" vbProcedure="0">"c962"</definedName>
    <definedName name="IQ_OTHER_NON_OPER_EXP_SUPPL_FIN" hidden="1" function="0" vbProcedure="0">"c963"</definedName>
    <definedName name="IQ_OTHER_NON_OPER_EXP_SUPPL_INS" hidden="1" function="0" vbProcedure="0">"c964"</definedName>
    <definedName name="IQ_OTHER_NON_OPER_EXP_SUPPL_REIT" hidden="1" function="0" vbProcedure="0">"c965"</definedName>
    <definedName name="IQ_OTHER_NON_OPER_EXP_SUPPL_UTI" hidden="1" function="0" vbProcedure="0">"c966"</definedName>
    <definedName name="IQ_OTHER_NON_OPER_EXP_UTI" hidden="1" function="0" vbProcedure="0">"c967"</definedName>
    <definedName name="IQ_OTHER_OPER" hidden="1" function="0" vbProcedure="0">"c982"</definedName>
    <definedName name="IQ_OTHER_OPER_ACT" hidden="1" function="0" vbProcedure="0">"c983"</definedName>
    <definedName name="IQ_OTHER_OPER_ACT_BNK" hidden="1" function="0" vbProcedure="0">"c984"</definedName>
    <definedName name="IQ_OTHER_OPER_ACT_BR" hidden="1" function="0" vbProcedure="0">"c985"</definedName>
    <definedName name="IQ_OTHER_OPER_ACT_FIN" hidden="1" function="0" vbProcedure="0">"c986"</definedName>
    <definedName name="IQ_OTHER_OPER_ACT_INS" hidden="1" function="0" vbProcedure="0">"c987"</definedName>
    <definedName name="IQ_OTHER_OPER_ACT_REIT" hidden="1" function="0" vbProcedure="0">"c988"</definedName>
    <definedName name="IQ_OTHER_OPER_ACT_UTI" hidden="1" function="0" vbProcedure="0">"c989"</definedName>
    <definedName name="IQ_OTHER_OPER_BR" hidden="1" function="0" vbProcedure="0">"c990"</definedName>
    <definedName name="IQ_OTHER_OPER_FIN" hidden="1" function="0" vbProcedure="0">"c991"</definedName>
    <definedName name="IQ_OTHER_OPER_INS" hidden="1" function="0" vbProcedure="0">"c992"</definedName>
    <definedName name="IQ_OTHER_OPER_REIT" hidden="1" function="0" vbProcedure="0">"c993"</definedName>
    <definedName name="IQ_OTHER_OPER_SUPPL_BR" hidden="1" function="0" vbProcedure="0">"c994"</definedName>
    <definedName name="IQ_OTHER_OPER_SUPPL_FIN" hidden="1" function="0" vbProcedure="0">"c995"</definedName>
    <definedName name="IQ_OTHER_OPER_SUPPL_INS" hidden="1" function="0" vbProcedure="0">"c996"</definedName>
    <definedName name="IQ_OTHER_OPER_SUPPL_REIT" hidden="1" function="0" vbProcedure="0">"c997"</definedName>
    <definedName name="IQ_OTHER_OPER_SUPPL_UTI" hidden="1" function="0" vbProcedure="0">"c998"</definedName>
    <definedName name="IQ_OTHER_OPER_TOT_BNK" hidden="1" function="0" vbProcedure="0">"c999"</definedName>
    <definedName name="IQ_OTHER_OPER_TOT_BR" hidden="1" function="0" vbProcedure="0">"c1000"</definedName>
    <definedName name="IQ_OTHER_OPER_TOT_FIN" hidden="1" function="0" vbProcedure="0">"c1001"</definedName>
    <definedName name="IQ_OTHER_OPER_TOT_INS" hidden="1" function="0" vbProcedure="0">"c1002"</definedName>
    <definedName name="IQ_OTHER_OPER_TOT_REIT" hidden="1" function="0" vbProcedure="0">"c1003"</definedName>
    <definedName name="IQ_OTHER_OPER_TOT_UTI" hidden="1" function="0" vbProcedure="0">"c1004"</definedName>
    <definedName name="IQ_OTHER_OPER_UTI" hidden="1" function="0" vbProcedure="0">"c1005"</definedName>
    <definedName name="IQ_OTHER_OUTSTANDING_BS_DATE" hidden="1" function="0" vbProcedure="0">"c1972"</definedName>
    <definedName name="IQ_OTHER_OUTSTANDING_FILING_DATE" hidden="1" function="0" vbProcedure="0">"c1974"</definedName>
    <definedName name="IQ_OTHER_PC_WRITTEN" hidden="1" function="0" vbProcedure="0">"c1006"</definedName>
    <definedName name="IQ_OTHER_REAL_ESTATE" hidden="1" function="0" vbProcedure="0">"c1007"</definedName>
    <definedName name="IQ_OTHER_RECEIV" hidden="1" function="0" vbProcedure="0">"c1008"</definedName>
    <definedName name="IQ_OTHER_RECEIV_INS" hidden="1" function="0" vbProcedure="0">"c1009"</definedName>
    <definedName name="IQ_OTHER_REV" hidden="1" function="0" vbProcedure="0">"c1010"</definedName>
    <definedName name="IQ_OTHER_REVENUE" hidden="1" function="0" vbProcedure="0">"c1410"</definedName>
    <definedName name="IQ_OTHER_REV_BR" hidden="1" function="0" vbProcedure="0">"c1011"</definedName>
    <definedName name="IQ_OTHER_REV_FIN" hidden="1" function="0" vbProcedure="0">"c1012"</definedName>
    <definedName name="IQ_OTHER_REV_INS" hidden="1" function="0" vbProcedure="0">"c1013"</definedName>
    <definedName name="IQ_OTHER_REV_REIT" hidden="1" function="0" vbProcedure="0">"c1014"</definedName>
    <definedName name="IQ_OTHER_REV_SUPPL" hidden="1" function="0" vbProcedure="0">"c1015"</definedName>
    <definedName name="IQ_OTHER_REV_SUPPL_BR" hidden="1" function="0" vbProcedure="0">"c1016"</definedName>
    <definedName name="IQ_OTHER_REV_SUPPL_FIN" hidden="1" function="0" vbProcedure="0">"c1017"</definedName>
    <definedName name="IQ_OTHER_REV_SUPPL_INS" hidden="1" function="0" vbProcedure="0">"c1018"</definedName>
    <definedName name="IQ_OTHER_REV_SUPPL_REIT" hidden="1" function="0" vbProcedure="0">"c1019"</definedName>
    <definedName name="IQ_OTHER_REV_SUPPL_UTI" hidden="1" function="0" vbProcedure="0">"c1020"</definedName>
    <definedName name="IQ_OTHER_REV_UTI" hidden="1" function="0" vbProcedure="0">"c1021"</definedName>
    <definedName name="IQ_OTHER_UNUSUAL" hidden="1" function="0" vbProcedure="0">"c1488"</definedName>
    <definedName name="IQ_OTHER_UNUSUAL_BNK" hidden="1" function="0" vbProcedure="0">"c1560"</definedName>
    <definedName name="IQ_OTHER_UNUSUAL_BR" hidden="1" function="0" vbProcedure="0">"c1561"</definedName>
    <definedName name="IQ_OTHER_UNUSUAL_FIN" hidden="1" function="0" vbProcedure="0">"c1562"</definedName>
    <definedName name="IQ_OTHER_UNUSUAL_INS" hidden="1" function="0" vbProcedure="0">"c1563"</definedName>
    <definedName name="IQ_OTHER_UNUSUAL_REIT" hidden="1" function="0" vbProcedure="0">"c1564"</definedName>
    <definedName name="IQ_OTHER_UNUSUAL_SUPPL" hidden="1" function="0" vbProcedure="0">"c1494"</definedName>
    <definedName name="IQ_OTHER_UNUSUAL_SUPPL_BNK" hidden="1" function="0" vbProcedure="0">"c1495"</definedName>
    <definedName name="IQ_OTHER_UNUSUAL_SUPPL_BR" hidden="1" function="0" vbProcedure="0">"c1496"</definedName>
    <definedName name="IQ_OTHER_UNUSUAL_SUPPL_FIN" hidden="1" function="0" vbProcedure="0">"c1497"</definedName>
    <definedName name="IQ_OTHER_UNUSUAL_SUPPL_INS" hidden="1" function="0" vbProcedure="0">"c1498"</definedName>
    <definedName name="IQ_OTHER_UNUSUAL_SUPPL_REIT" hidden="1" function="0" vbProcedure="0">"c1499"</definedName>
    <definedName name="IQ_OTHER_UNUSUAL_SUPPL_UTI" hidden="1" function="0" vbProcedure="0">"c1500"</definedName>
    <definedName name="IQ_OTHER_UNUSUAL_UTI" hidden="1" function="0" vbProcedure="0">"c1565"</definedName>
    <definedName name="IQ_OUTSTANDING_BS_DATE" hidden="1" function="0" vbProcedure="0">"c2128"</definedName>
    <definedName name="IQ_OUTSTANDING_FILING_DATE" hidden="1" function="0" vbProcedure="0">"c2127"</definedName>
    <definedName name="IQ_PART_TIME" hidden="1" function="0" vbProcedure="0">"c1024"</definedName>
    <definedName name="IQ_PAYOUT_RATIO" hidden="1" function="0" vbProcedure="0">"c1900"</definedName>
    <definedName name="IQ_PAY_ACCRUED" hidden="1" function="0" vbProcedure="0">"c1457"</definedName>
    <definedName name="IQ_PBV" hidden="1" function="0" vbProcedure="0">"c1025"</definedName>
    <definedName name="IQ_PBV_AVG" hidden="1" function="0" vbProcedure="0">"c1026"</definedName>
    <definedName name="IQ_PC_WRITTEN" hidden="1" function="0" vbProcedure="0">"c1027"</definedName>
    <definedName name="IQ_PENSION" hidden="1" function="0" vbProcedure="0">"c1031"</definedName>
    <definedName name="IQ_PERIODDATE" hidden="1" function="0" vbProcedure="0">"c1414"</definedName>
    <definedName name="IQ_PERIODDATE_BS" hidden="1" function="0" vbProcedure="0">"c1032"</definedName>
    <definedName name="IQ_PERIODDATE_CF" hidden="1" function="0" vbProcedure="0">"c1033"</definedName>
    <definedName name="IQ_PERIODDATE_IS" hidden="1" function="0" vbProcedure="0">"c1034"</definedName>
    <definedName name="IQ_PERIODLENGTH_CF" hidden="1" function="0" vbProcedure="0">"c1502"</definedName>
    <definedName name="IQ_PERIODLENGTH_IS" hidden="1" function="0" vbProcedure="0">"c1503"</definedName>
    <definedName name="IQ_PERTYPE" hidden="1" function="0" vbProcedure="0">"c1611"</definedName>
    <definedName name="IQ_PE_EXCL" hidden="1" function="0" vbProcedure="0">"c1028"</definedName>
    <definedName name="IQ_PE_EXCL_AVG" hidden="1" function="0" vbProcedure="0">"c1029"</definedName>
    <definedName name="IQ_PE_EXCL_FWD" hidden="1" function="0" vbProcedure="0">"c1030"</definedName>
    <definedName name="IQ_PE_RATIO" hidden="1" function="0" vbProcedure="0">"c1610"</definedName>
    <definedName name="IQ_PLL" hidden="1" function="0" vbProcedure="0">"c2114"</definedName>
    <definedName name="IQ_POLICY_BENEFITS" hidden="1" function="0" vbProcedure="0">"c1036"</definedName>
    <definedName name="IQ_POLICY_COST" hidden="1" function="0" vbProcedure="0">"c1037"</definedName>
    <definedName name="IQ_POLICY_LIAB" hidden="1" function="0" vbProcedure="0">"c1612"</definedName>
    <definedName name="IQ_POLICY_LOANS" hidden="1" function="0" vbProcedure="0">"c1038"</definedName>
    <definedName name="IQ_POSTPAID_CHURN" hidden="1" function="0" vbProcedure="0">"c2121"</definedName>
    <definedName name="IQ_POSTPAID_SUBS" hidden="1" function="0" vbProcedure="0">"c2118"</definedName>
    <definedName name="IQ_POST_RETIRE_EXP" hidden="1" function="0" vbProcedure="0">"c1039"</definedName>
    <definedName name="IQ_PREF_CONVERT" hidden="1" function="0" vbProcedure="0">"c1041"</definedName>
    <definedName name="IQ_PREF_DIVID" hidden="1" function="0" vbProcedure="0">"c1461"</definedName>
    <definedName name="IQ_PREF_DIV_CF" hidden="1" function="0" vbProcedure="0">"c1042"</definedName>
    <definedName name="IQ_PREF_DIV_OTHER" hidden="1" function="0" vbProcedure="0">"c1043"</definedName>
    <definedName name="IQ_PREF_EQUITY" hidden="1" function="0" vbProcedure="0">"c1044"</definedName>
    <definedName name="IQ_PREF_ISSUED" hidden="1" function="0" vbProcedure="0">"c1045"</definedName>
    <definedName name="IQ_PREF_ISSUED_BNK" hidden="1" function="0" vbProcedure="0">"c1046"</definedName>
    <definedName name="IQ_PREF_ISSUED_BR" hidden="1" function="0" vbProcedure="0">"c1047"</definedName>
    <definedName name="IQ_PREF_ISSUED_FIN" hidden="1" function="0" vbProcedure="0">"c1048"</definedName>
    <definedName name="IQ_PREF_ISSUED_INS" hidden="1" function="0" vbProcedure="0">"c1049"</definedName>
    <definedName name="IQ_PREF_ISSUED_REIT" hidden="1" function="0" vbProcedure="0">"c1050"</definedName>
    <definedName name="IQ_PREF_ISSUED_UTI" hidden="1" function="0" vbProcedure="0">"c1051"</definedName>
    <definedName name="IQ_PREF_NON_REDEEM" hidden="1" function="0" vbProcedure="0">"c1052"</definedName>
    <definedName name="IQ_PREF_OTHER" hidden="1" function="0" vbProcedure="0">"c1053"</definedName>
    <definedName name="IQ_PREF_OTHER_BNK" hidden="1" function="0" vbProcedure="0">"c1054"</definedName>
    <definedName name="IQ_PREF_OTHER_BR" hidden="1" function="0" vbProcedure="0">"c1055"</definedName>
    <definedName name="IQ_PREF_OTHER_FIN" hidden="1" function="0" vbProcedure="0">"c1056"</definedName>
    <definedName name="IQ_PREF_OTHER_INS" hidden="1" function="0" vbProcedure="0">"c1057"</definedName>
    <definedName name="IQ_PREF_OTHER_REIT" hidden="1" function="0" vbProcedure="0">"c1058"</definedName>
    <definedName name="IQ_PREF_REDEEM" hidden="1" function="0" vbProcedure="0">"c1059"</definedName>
    <definedName name="IQ_PREF_REP" hidden="1" function="0" vbProcedure="0">"c1060"</definedName>
    <definedName name="IQ_PREF_REP_BNK" hidden="1" function="0" vbProcedure="0">"c1061"</definedName>
    <definedName name="IQ_PREF_REP_BR" hidden="1" function="0" vbProcedure="0">"c1062"</definedName>
    <definedName name="IQ_PREF_REP_FIN" hidden="1" function="0" vbProcedure="0">"c1063"</definedName>
    <definedName name="IQ_PREF_REP_INS" hidden="1" function="0" vbProcedure="0">"c1064"</definedName>
    <definedName name="IQ_PREF_REP_REIT" hidden="1" function="0" vbProcedure="0">"c1065"</definedName>
    <definedName name="IQ_PREF_REP_UTI" hidden="1" function="0" vbProcedure="0">"c1066"</definedName>
    <definedName name="IQ_PREF_STOCK" hidden="1" function="0" vbProcedure="0">"c1416"</definedName>
    <definedName name="IQ_PREF_TOT" hidden="1" function="0" vbProcedure="0">"c1415"</definedName>
    <definedName name="IQ_PREMIUMS_ANNUITY_REV" hidden="1" function="0" vbProcedure="0">"c1067"</definedName>
    <definedName name="IQ_PREPAID_CHURN" hidden="1" function="0" vbProcedure="0">"c2120"</definedName>
    <definedName name="IQ_PREPAID_EXP" hidden="1" function="0" vbProcedure="0">"c1068"</definedName>
    <definedName name="IQ_PREPAID_EXPEN" hidden="1" function="0" vbProcedure="0">"c1418"</definedName>
    <definedName name="IQ_PREPAID_SUBS" hidden="1" function="0" vbProcedure="0">"c2117"</definedName>
    <definedName name="IQ_PRE_OPEN_COST" hidden="1" function="0" vbProcedure="0">"c1040"</definedName>
    <definedName name="IQ_PRICEDATE" hidden="1" function="0" vbProcedure="0">"c1069"</definedName>
    <definedName name="IQ_PRICE_OVER_BVPS" hidden="1" function="0" vbProcedure="0">"c1412"</definedName>
    <definedName name="IQ_PRICE_OVER_LTM_EPS" hidden="1" function="0" vbProcedure="0">"c1413"</definedName>
    <definedName name="IQ_PRICE_TARGET" hidden="1" function="0" vbProcedure="0">"c82"</definedName>
    <definedName name="IQ_PRICING_DATE" hidden="1" function="0" vbProcedure="0">"c1613"</definedName>
    <definedName name="IQ_PRIMARY_INDUSTRY" hidden="1" function="0" vbProcedure="0">"c1070"</definedName>
    <definedName name="IQ_PROFESSIONAL" hidden="1" function="0" vbProcedure="0">"c1071"</definedName>
    <definedName name="IQ_PROFESSIONAL_TITLE" hidden="1" function="0" vbProcedure="0">"c1072"</definedName>
    <definedName name="IQ_PROPERTY_EXP" hidden="1" function="0" vbProcedure="0">"c1073"</definedName>
    <definedName name="IQ_PROPERTY_GROSS" hidden="1" function="0" vbProcedure="0">"c1379"</definedName>
    <definedName name="IQ_PROPERTY_MGMT_FEE" hidden="1" function="0" vbProcedure="0">"c1074"</definedName>
    <definedName name="IQ_PROPERTY_NET" hidden="1" function="0" vbProcedure="0">"c1402"</definedName>
    <definedName name="IQ_PROVISION_10YR_ANN_GROWTH" hidden="1" function="0" vbProcedure="0">"c1077"</definedName>
    <definedName name="IQ_PROVISION_1YR_ANN_GROWTH" hidden="1" function="0" vbProcedure="0">"c1078"</definedName>
    <definedName name="IQ_PROVISION_2YR_ANN_GROWTH" hidden="1" function="0" vbProcedure="0">"c1079"</definedName>
    <definedName name="IQ_PROVISION_3YR_ANN_GROWTH" hidden="1" function="0" vbProcedure="0">"c1080"</definedName>
    <definedName name="IQ_PROVISION_5YR_ANN_GROWTH" hidden="1" function="0" vbProcedure="0">"c1081"</definedName>
    <definedName name="IQ_PROVISION_7YR_ANN_GROWTH" hidden="1" function="0" vbProcedure="0">"c1082"</definedName>
    <definedName name="IQ_PROVISION_CHARGE_OFFS" hidden="1" function="0" vbProcedure="0">"c1083"</definedName>
    <definedName name="IQ_PROV_BAD_DEBTS" hidden="1" function="0" vbProcedure="0">"c1075"</definedName>
    <definedName name="IQ_PROV_BAD_DEBTS_CF" hidden="1" function="0" vbProcedure="0">"c1076"</definedName>
    <definedName name="IQ_PRO_FORMA_BASIC_EPS" hidden="1" function="0" vbProcedure="0">"c1614"</definedName>
    <definedName name="IQ_PRO_FORMA_DILUT_EPS" hidden="1" function="0" vbProcedure="0">"c1615"</definedName>
    <definedName name="IQ_PRO_FORMA_NET_INC" hidden="1" function="0" vbProcedure="0">"c1452"</definedName>
    <definedName name="IQ_PTBV" hidden="1" function="0" vbProcedure="0">"c1084"</definedName>
    <definedName name="IQ_PTBV_AVG" hidden="1" function="0" vbProcedure="0">"c1085"</definedName>
    <definedName name="IQ_QUICK_RATIO" hidden="1" function="0" vbProcedure="0">"c1086"</definedName>
    <definedName name="IQ_RATE_COMP_GROWTH_DOMESTIC" hidden="1" function="0" vbProcedure="0">"c1087"</definedName>
    <definedName name="IQ_RATE_COMP_GROWTH_FOREIGN" hidden="1" function="0" vbProcedure="0">"c1088"</definedName>
    <definedName name="IQ_RAW_INV" hidden="1" function="0" vbProcedure="0">"c1089"</definedName>
    <definedName name="IQ_RD_EXP" hidden="1" function="0" vbProcedure="0">"c1090"</definedName>
    <definedName name="IQ_RD_EXP_FN" hidden="1" function="0" vbProcedure="0">"c1091"</definedName>
    <definedName name="IQ_RE" hidden="1" function="0" vbProcedure="0">"c1092"</definedName>
    <definedName name="IQ_REAL_ESTATE" hidden="1" function="0" vbProcedure="0">"c1093"</definedName>
    <definedName name="IQ_REAL_ESTATE_ASSETS" hidden="1" function="0" vbProcedure="0">"c1094"</definedName>
    <definedName name="IQ_REDEEM_PREF_STOCK" hidden="1" function="0" vbProcedure="0">"c1417"</definedName>
    <definedName name="IQ_REG_ASSETS" hidden="1" function="0" vbProcedure="0">"c1095"</definedName>
    <definedName name="IQ_REINSURANCE" hidden="1" function="0" vbProcedure="0">"c1100"</definedName>
    <definedName name="IQ_REINSUR_PAY" hidden="1" function="0" vbProcedure="0">"c1096"</definedName>
    <definedName name="IQ_REINSUR_PAY_CF" hidden="1" function="0" vbProcedure="0">"c1097"</definedName>
    <definedName name="IQ_REINSUR_RECOVER" hidden="1" function="0" vbProcedure="0">"c1098"</definedName>
    <definedName name="IQ_REINSUR_RECOVER_CF" hidden="1" function="0" vbProcedure="0">"c1099"</definedName>
    <definedName name="IQ_RENTAL_REV" hidden="1" function="0" vbProcedure="0">"c1101"</definedName>
    <definedName name="IQ_RESEARCH_DEV" hidden="1" function="0" vbProcedure="0">"c1419"</definedName>
    <definedName name="IQ_RESIDENTIAL_LOANS" hidden="1" function="0" vbProcedure="0">"c1102"</definedName>
    <definedName name="IQ_RESTATEMENT_BS" hidden="1" function="0" vbProcedure="0">"c1643"</definedName>
    <definedName name="IQ_RESTATEMENT_CF" hidden="1" function="0" vbProcedure="0">"c1644"</definedName>
    <definedName name="IQ_RESTATEMENT_IS" hidden="1" function="0" vbProcedure="0">"c1642"</definedName>
    <definedName name="IQ_RESTRICTED_CASH" hidden="1" function="0" vbProcedure="0">"c1103"</definedName>
    <definedName name="IQ_RESTRUCTURE" hidden="1" function="0" vbProcedure="0">"c1104"</definedName>
    <definedName name="IQ_RESTRUCTURED_LOANS" hidden="1" function="0" vbProcedure="0">"c1112"</definedName>
    <definedName name="IQ_RESTRUCTURE_BNK" hidden="1" function="0" vbProcedure="0">"c1105"</definedName>
    <definedName name="IQ_RESTRUCTURE_BR" hidden="1" function="0" vbProcedure="0">"c1106"</definedName>
    <definedName name="IQ_RESTRUCTURE_CF" hidden="1" function="0" vbProcedure="0">"c1107"</definedName>
    <definedName name="IQ_RESTRUCTURE_FIN" hidden="1" function="0" vbProcedure="0">"c1108"</definedName>
    <definedName name="IQ_RESTRUCTURE_INS" hidden="1" function="0" vbProcedure="0">"c1109"</definedName>
    <definedName name="IQ_RESTRUCTURE_REIT" hidden="1" function="0" vbProcedure="0">"c1110"</definedName>
    <definedName name="IQ_RESTRUCTURE_UTI" hidden="1" function="0" vbProcedure="0">"c1111"</definedName>
    <definedName name="IQ_RETAIL_AVG_STORE_SIZE_GROSS" hidden="1" function="0" vbProcedure="0">"c2066"</definedName>
    <definedName name="IQ_RETAIL_AVG_STORE_SIZE_NET" hidden="1" function="0" vbProcedure="0">"c2067"</definedName>
    <definedName name="IQ_RETAIL_CLOSED_STORES" hidden="1" function="0" vbProcedure="0">"c2063"</definedName>
    <definedName name="IQ_RETAIL_OPENED_STORES" hidden="1" function="0" vbProcedure="0">"c2062"</definedName>
    <definedName name="IQ_RETAIL_SALES_SQFT_ALL_GROSS" hidden="1" function="0" vbProcedure="0">"c2138"</definedName>
    <definedName name="IQ_RETAIL_SALES_SQFT_ALL_NET" hidden="1" function="0" vbProcedure="0">"c2139"</definedName>
    <definedName name="IQ_RETAIL_SALES_SQFT_COMPARABLE_GROSS" hidden="1" function="0" vbProcedure="0">"c2136"</definedName>
    <definedName name="IQ_RETAIL_SALES_SQFT_COMPARABLE_NET" hidden="1" function="0" vbProcedure="0">"c2137"</definedName>
    <definedName name="IQ_RETAIL_SALES_SQFT_OWNED_GROSS" hidden="1" function="0" vbProcedure="0">"c2134"</definedName>
    <definedName name="IQ_RETAIL_SALES_SQFT_OWNED_NET" hidden="1" function="0" vbProcedure="0">"c2135"</definedName>
    <definedName name="IQ_RETAIL_SQ_FOOTAGE" hidden="1" function="0" vbProcedure="0">"c2064"</definedName>
    <definedName name="IQ_RETAIL_STORE_SELLING_AREA" hidden="1" function="0" vbProcedure="0">"c2065"</definedName>
    <definedName name="IQ_RETAIL_TOTAL_STORES" hidden="1" function="0" vbProcedure="0">"c2061"</definedName>
    <definedName name="IQ_RETAINED_EARN" hidden="1" function="0" vbProcedure="0">"c1420"</definedName>
    <definedName name="IQ_RETURN_ASSETS" hidden="1" function="0" vbProcedure="0">"c1113"</definedName>
    <definedName name="IQ_RETURN_ASSETS_BANK" hidden="1" function="0" vbProcedure="0">"c1114"</definedName>
    <definedName name="IQ_RETURN_ASSETS_BROK" hidden="1" function="0" vbProcedure="0">"c1115"</definedName>
    <definedName name="IQ_RETURN_ASSETS_FS" hidden="1" function="0" vbProcedure="0">"c1116"</definedName>
    <definedName name="IQ_RETURN_CAPITAL" hidden="1" function="0" vbProcedure="0">"c1117"</definedName>
    <definedName name="IQ_RETURN_EQUITY" hidden="1" function="0" vbProcedure="0">"c1118"</definedName>
    <definedName name="IQ_RETURN_EQUITY_BANK" hidden="1" function="0" vbProcedure="0">"c1119"</definedName>
    <definedName name="IQ_RETURN_EQUITY_BROK" hidden="1" function="0" vbProcedure="0">"c1120"</definedName>
    <definedName name="IQ_RETURN_EQUITY_FS" hidden="1" function="0" vbProcedure="0">"c1121"</definedName>
    <definedName name="IQ_RETURN_INVESTMENT" hidden="1" function="0" vbProcedure="0">"c1421"</definedName>
    <definedName name="IQ_REV" hidden="1" function="0" vbProcedure="0">"c1122"</definedName>
    <definedName name="IQ_REVENUE" hidden="1" function="0" vbProcedure="0">"c1422"</definedName>
    <definedName name="IQ_REV_BEFORE_LL" hidden="1" function="0" vbProcedure="0">"c1123"</definedName>
    <definedName name="IQ_REV_UTI" hidden="1" function="0" vbProcedure="0">"c1125"</definedName>
    <definedName name="IQ_SALARY" hidden="1" function="0" vbProcedure="0">"c1130"</definedName>
    <definedName name="IQ_SALE_INTAN_CF" hidden="1" function="0" vbProcedure="0">"c1131"</definedName>
    <definedName name="IQ_SALE_INTAN_CF_BNK" hidden="1" function="0" vbProcedure="0">"c1132"</definedName>
    <definedName name="IQ_SALE_INTAN_CF_BR" hidden="1" function="0" vbProcedure="0">"c1133"</definedName>
    <definedName name="IQ_SALE_INTAN_CF_FIN" hidden="1" function="0" vbProcedure="0">"c1134"</definedName>
    <definedName name="IQ_SALE_INTAN_CF_INS" hidden="1" function="0" vbProcedure="0">"c1135"</definedName>
    <definedName name="IQ_SALE_INTAN_CF_REIT" hidden="1" function="0" vbProcedure="0">"c1627"</definedName>
    <definedName name="IQ_SALE_INTAN_CF_UTI" hidden="1" function="0" vbProcedure="0">"c1136"</definedName>
    <definedName name="IQ_SALE_PPE_CF" hidden="1" function="0" vbProcedure="0">"c1137"</definedName>
    <definedName name="IQ_SALE_PPE_CF_BNK" hidden="1" function="0" vbProcedure="0">"c1138"</definedName>
    <definedName name="IQ_SALE_PPE_CF_BR" hidden="1" function="0" vbProcedure="0">"c1139"</definedName>
    <definedName name="IQ_SALE_PPE_CF_FIN" hidden="1" function="0" vbProcedure="0">"c1140"</definedName>
    <definedName name="IQ_SALE_PPE_CF_INS" hidden="1" function="0" vbProcedure="0">"c1141"</definedName>
    <definedName name="IQ_SALE_PPE_CF_UTI" hidden="1" function="0" vbProcedure="0">"c1142"</definedName>
    <definedName name="IQ_SALE_REAL_ESTATE_CF" hidden="1" function="0" vbProcedure="0">"c1143"</definedName>
    <definedName name="IQ_SALE_REAL_ESTATE_CF_BNK" hidden="1" function="0" vbProcedure="0">"c1144"</definedName>
    <definedName name="IQ_SALE_REAL_ESTATE_CF_BR" hidden="1" function="0" vbProcedure="0">"c1145"</definedName>
    <definedName name="IQ_SALE_REAL_ESTATE_CF_FIN" hidden="1" function="0" vbProcedure="0">"c1146"</definedName>
    <definedName name="IQ_SALE_REAL_ESTATE_CF_INS" hidden="1" function="0" vbProcedure="0">"c1147"</definedName>
    <definedName name="IQ_SALE_REAL_ESTATE_CF_UTI" hidden="1" function="0" vbProcedure="0">"c1148"</definedName>
    <definedName name="IQ_SALE_RE_ASSETS" hidden="1" function="0" vbProcedure="0">"c1629"</definedName>
    <definedName name="IQ_SAME_STORE" hidden="1" function="0" vbProcedure="0">"c1149"</definedName>
    <definedName name="IQ_SAVING_DEP" hidden="1" function="0" vbProcedure="0">"c1150"</definedName>
    <definedName name="IQ_SECURITY_BORROW" hidden="1" function="0" vbProcedure="0">"c1152"</definedName>
    <definedName name="IQ_SECURITY_OWN" hidden="1" function="0" vbProcedure="0">"c1153"</definedName>
    <definedName name="IQ_SECURITY_RESELL" hidden="1" function="0" vbProcedure="0">"c1154"</definedName>
    <definedName name="IQ_SECUR_RECEIV" hidden="1" function="0" vbProcedure="0">"c1151"</definedName>
    <definedName name="IQ_SEPARATE_ACCT_ASSETS" hidden="1" function="0" vbProcedure="0">"c1155"</definedName>
    <definedName name="IQ_SEPARATE_ACCT_LIAB" hidden="1" function="0" vbProcedure="0">"c1156"</definedName>
    <definedName name="IQ_SERV_CHARGE_DEPOSITS" hidden="1" function="0" vbProcedure="0">"c1157"</definedName>
    <definedName name="IQ_SGA" hidden="1" function="0" vbProcedure="0">"c1158"</definedName>
    <definedName name="IQ_SGA_BNK" hidden="1" function="0" vbProcedure="0">"c1159"</definedName>
    <definedName name="IQ_SGA_INS" hidden="1" function="0" vbProcedure="0">"c1160"</definedName>
    <definedName name="IQ_SGA_MARGIN" hidden="1" function="0" vbProcedure="0">"c1898"</definedName>
    <definedName name="IQ_SGA_REIT" hidden="1" function="0" vbProcedure="0">"c1161"</definedName>
    <definedName name="IQ_SGA_SUPPL" hidden="1" function="0" vbProcedure="0">"c1162"</definedName>
    <definedName name="IQ_SGA_UTI" hidden="1" function="0" vbProcedure="0">"c1163"</definedName>
    <definedName name="IQ_SHAREOUTSTANDING" hidden="1" function="0" vbProcedure="0">"c1347"</definedName>
    <definedName name="IQ_SHARESOUTSTANDING" hidden="1" function="0" vbProcedure="0">"c1164"</definedName>
    <definedName name="IQ_SHORT_INTEREST" hidden="1" function="0" vbProcedure="0">"c1165"</definedName>
    <definedName name="IQ_SHORT_INTEREST_OVER_FLOAT" hidden="1" function="0" vbProcedure="0">"c1577"</definedName>
    <definedName name="IQ_SHORT_INTEREST_PERCENT" hidden="1" function="0" vbProcedure="0">"c1576"</definedName>
    <definedName name="IQ_SHORT_TERM_INVEST" hidden="1" function="0" vbProcedure="0">"c1425"</definedName>
    <definedName name="IQ_SMALL_INT_BEAR_CD" hidden="1" function="0" vbProcedure="0">"c1166"</definedName>
    <definedName name="IQ_SOFTWARE" hidden="1" function="0" vbProcedure="0">"c1167"</definedName>
    <definedName name="IQ_SOURCE" hidden="1" function="0" vbProcedure="0">"c1168"</definedName>
    <definedName name="IQ_SPECIAL_DIV_CF" hidden="1" function="0" vbProcedure="0">"c1169"</definedName>
    <definedName name="IQ_SPECIAL_DIV_CF_BNK" hidden="1" function="0" vbProcedure="0">"c1170"</definedName>
    <definedName name="IQ_SPECIAL_DIV_CF_BR" hidden="1" function="0" vbProcedure="0">"c1171"</definedName>
    <definedName name="IQ_SPECIAL_DIV_CF_FIN" hidden="1" function="0" vbProcedure="0">"c1172"</definedName>
    <definedName name="IQ_SPECIAL_DIV_CF_INS" hidden="1" function="0" vbProcedure="0">"c1173"</definedName>
    <definedName name="IQ_SPECIAL_DIV_CF_REIT" hidden="1" function="0" vbProcedure="0">"c1174"</definedName>
    <definedName name="IQ_SPECIAL_DIV_CF_UTI" hidden="1" function="0" vbProcedure="0">"c1175"</definedName>
    <definedName name="IQ_STATE" hidden="1" function="0" vbProcedure="0">"c1200"</definedName>
    <definedName name="IQ_STATUTORY_SURPLUS" hidden="1" function="0" vbProcedure="0">"c1201"</definedName>
    <definedName name="IQ_STOCK_BASED" hidden="1" function="0" vbProcedure="0">"c1202"</definedName>
    <definedName name="IQ_STOCK_BASED_CF" hidden="1" function="0" vbProcedure="0">"c1203"</definedName>
    <definedName name="IQ_STRIKE_PRICE_ISSUED" hidden="1" function="0" vbProcedure="0">"c1645"</definedName>
    <definedName name="IQ_STRIKE_PRICE_OS" hidden="1" function="0" vbProcedure="0">"c1646"</definedName>
    <definedName name="IQ_ST_DEBT" hidden="1" function="0" vbProcedure="0">"c1176"</definedName>
    <definedName name="IQ_ST_DEBT_BNK" hidden="1" function="0" vbProcedure="0">"c1177"</definedName>
    <definedName name="IQ_ST_DEBT_BR" hidden="1" function="0" vbProcedure="0">"c1178"</definedName>
    <definedName name="IQ_ST_DEBT_FIN" hidden="1" function="0" vbProcedure="0">"c1179"</definedName>
    <definedName name="IQ_ST_DEBT_INS" hidden="1" function="0" vbProcedure="0">"c1180"</definedName>
    <definedName name="IQ_ST_DEBT_ISSUED" hidden="1" function="0" vbProcedure="0">"c1181"</definedName>
    <definedName name="IQ_ST_DEBT_ISSUED_BNK" hidden="1" function="0" vbProcedure="0">"c1182"</definedName>
    <definedName name="IQ_ST_DEBT_ISSUED_BR" hidden="1" function="0" vbProcedure="0">"c1183"</definedName>
    <definedName name="IQ_ST_DEBT_ISSUED_FIN" hidden="1" function="0" vbProcedure="0">"c1184"</definedName>
    <definedName name="IQ_ST_DEBT_ISSUED_INS" hidden="1" function="0" vbProcedure="0">"c1185"</definedName>
    <definedName name="IQ_ST_DEBT_ISSUED_REIT" hidden="1" function="0" vbProcedure="0">"c1186"</definedName>
    <definedName name="IQ_ST_DEBT_ISSUED_UTI" hidden="1" function="0" vbProcedure="0">"c1187"</definedName>
    <definedName name="IQ_ST_DEBT_REIT" hidden="1" function="0" vbProcedure="0">"c1188"</definedName>
    <definedName name="IQ_ST_DEBT_REPAID" hidden="1" function="0" vbProcedure="0">"c1189"</definedName>
    <definedName name="IQ_ST_DEBT_REPAID_BNK" hidden="1" function="0" vbProcedure="0">"c1190"</definedName>
    <definedName name="IQ_ST_DEBT_REPAID_BR" hidden="1" function="0" vbProcedure="0">"c1191"</definedName>
    <definedName name="IQ_ST_DEBT_REPAID_FIN" hidden="1" function="0" vbProcedure="0">"c1192"</definedName>
    <definedName name="IQ_ST_DEBT_REPAID_INS" hidden="1" function="0" vbProcedure="0">"c1193"</definedName>
    <definedName name="IQ_ST_DEBT_REPAID_REIT" hidden="1" function="0" vbProcedure="0">"c1194"</definedName>
    <definedName name="IQ_ST_DEBT_REPAID_UTI" hidden="1" function="0" vbProcedure="0">"c1195"</definedName>
    <definedName name="IQ_ST_DEBT_UTI" hidden="1" function="0" vbProcedure="0">"c1196"</definedName>
    <definedName name="IQ_ST_INVEST" hidden="1" function="0" vbProcedure="0">"c1197"</definedName>
    <definedName name="IQ_ST_INVEST_UTI" hidden="1" function="0" vbProcedure="0">"c1198"</definedName>
    <definedName name="IQ_ST_NOTE_RECEIV" hidden="1" function="0" vbProcedure="0">"c1199"</definedName>
    <definedName name="IQ_SUB_LEASE_AFTER_FIVE" hidden="1" function="0" vbProcedure="0">"c1207"</definedName>
    <definedName name="IQ_SUB_LEASE_INC_CY" hidden="1" function="0" vbProcedure="0">"c1208"</definedName>
    <definedName name="IQ_SUB_LEASE_INC_CY1" hidden="1" function="0" vbProcedure="0">"c1209"</definedName>
    <definedName name="IQ_SUB_LEASE_INC_CY2" hidden="1" function="0" vbProcedure="0">"c1210"</definedName>
    <definedName name="IQ_SUB_LEASE_INC_CY3" hidden="1" function="0" vbProcedure="0">"c1211"</definedName>
    <definedName name="IQ_SUB_LEASE_INC_CY4" hidden="1" function="0" vbProcedure="0">"c1212"</definedName>
    <definedName name="IQ_SUB_LEASE_NEXT_FIVE" hidden="1" function="0" vbProcedure="0">"c1213"</definedName>
    <definedName name="IQ_SVA" hidden="1" function="0" vbProcedure="0">"c1214"</definedName>
    <definedName name="IQ_TAX_BENEFIT_OPTIONS" hidden="1" function="0" vbProcedure="0">"c1215"</definedName>
    <definedName name="IQ_TAX_EQUIV_NET_INT_INC" hidden="1" function="0" vbProcedure="0">"c1216"</definedName>
    <definedName name="IQ_TBV" hidden="1" function="0" vbProcedure="0">"c1906"</definedName>
    <definedName name="IQ_TBV_10YR_ANN_GROWTH" hidden="1" function="0" vbProcedure="0">"c1936"</definedName>
    <definedName name="IQ_TBV_1YR_ANN_GROWTH" hidden="1" function="0" vbProcedure="0">"c1931"</definedName>
    <definedName name="IQ_TBV_2YR_ANN_GROWTH" hidden="1" function="0" vbProcedure="0">"c1932"</definedName>
    <definedName name="IQ_TBV_3YR_ANN_GROWTH" hidden="1" function="0" vbProcedure="0">"c1933"</definedName>
    <definedName name="IQ_TBV_5YR_ANN_GROWTH" hidden="1" function="0" vbProcedure="0">"c1934"</definedName>
    <definedName name="IQ_TBV_7YR_ANN_GROWTH" hidden="1" function="0" vbProcedure="0">"c1935"</definedName>
    <definedName name="IQ_TBV_SHARE" hidden="1" function="0" vbProcedure="0">"c1217"</definedName>
    <definedName name="IQ_TEMPLATE" hidden="1" function="0" vbProcedure="0">"c1521"</definedName>
    <definedName name="IQ_TENANT" hidden="1" function="0" vbProcedure="0">"c1218"</definedName>
    <definedName name="IQ_TEV" hidden="1" function="0" vbProcedure="0">"c1219"</definedName>
    <definedName name="IQ_TEV_EBIT" hidden="1" function="0" vbProcedure="0">"c1220"</definedName>
    <definedName name="IQ_TEV_EBITDA" hidden="1" function="0" vbProcedure="0">"c1222"</definedName>
    <definedName name="IQ_TEV_EBITDA_AVG" hidden="1" function="0" vbProcedure="0">"c1223"</definedName>
    <definedName name="IQ_TEV_EBIT_AVG" hidden="1" function="0" vbProcedure="0">"c1221"</definedName>
    <definedName name="IQ_TEV_EMPLOYEE_AVG" hidden="1" function="0" vbProcedure="0">"c1225"</definedName>
    <definedName name="IQ_TEV_TOTAL_REV" hidden="1" function="0" vbProcedure="0">"c1226"</definedName>
    <definedName name="IQ_TEV_TOTAL_REV_AVG" hidden="1" function="0" vbProcedure="0">"c1227"</definedName>
    <definedName name="IQ_TIER_ONE_RATIO" hidden="1" function="0" vbProcedure="0">"c1229"</definedName>
    <definedName name="IQ_TIME_DEP" hidden="1" function="0" vbProcedure="0">"c1230"</definedName>
    <definedName name="IQ_TODAY" hidden="1" function="0" vbProcedure="0">0</definedName>
    <definedName name="IQ_TOTAL_AR_BR" hidden="1" function="0" vbProcedure="0">"c1231"</definedName>
    <definedName name="IQ_TOTAL_AR_REIT" hidden="1" function="0" vbProcedure="0">"c1232"</definedName>
    <definedName name="IQ_TOTAL_AR_UTI" hidden="1" function="0" vbProcedure="0">"c1233"</definedName>
    <definedName name="IQ_TOTAL_ASSETS" hidden="1" function="0" vbProcedure="0">"c1234"</definedName>
    <definedName name="IQ_TOTAL_ASSETS_10YR_ANN_GROWTH" hidden="1" function="0" vbProcedure="0">"c1235"</definedName>
    <definedName name="IQ_TOTAL_ASSETS_1YR_ANN_GROWTH" hidden="1" function="0" vbProcedure="0">"c1236"</definedName>
    <definedName name="IQ_TOTAL_ASSETS_2YR_ANN_GROWTH" hidden="1" function="0" vbProcedure="0">"c1237"</definedName>
    <definedName name="IQ_TOTAL_ASSETS_3YR_ANN_GROWTH" hidden="1" function="0" vbProcedure="0">"c1238"</definedName>
    <definedName name="IQ_TOTAL_ASSETS_5YR_ANN_GROWTH" hidden="1" function="0" vbProcedure="0">"c1239"</definedName>
    <definedName name="IQ_TOTAL_ASSETS_7YR_ANN_GROWTH" hidden="1" function="0" vbProcedure="0">"c1240"</definedName>
    <definedName name="IQ_TOTAL_AVG_CE_TOTAL_AVG_ASSETS" hidden="1" function="0" vbProcedure="0">"c1241"</definedName>
    <definedName name="IQ_TOTAL_AVG_EQUITY_TOTAL_AVG_ASSETS" hidden="1" function="0" vbProcedure="0">"c1242"</definedName>
    <definedName name="IQ_TOTAL_CA" hidden="1" function="0" vbProcedure="0">"c1243"</definedName>
    <definedName name="IQ_TOTAL_CAP" hidden="1" function="0" vbProcedure="0">"c1507"</definedName>
    <definedName name="IQ_TOTAL_CAPITAL_RATIO" hidden="1" function="0" vbProcedure="0">"c1244"</definedName>
    <definedName name="IQ_TOTAL_CASH_DIVID" hidden="1" function="0" vbProcedure="0">"c1455"</definedName>
    <definedName name="IQ_TOTAL_CASH_FINAN" hidden="1" function="0" vbProcedure="0">"c1352"</definedName>
    <definedName name="IQ_TOTAL_CASH_INVEST" hidden="1" function="0" vbProcedure="0">"c1353"</definedName>
    <definedName name="IQ_TOTAL_CASH_OPER" hidden="1" function="0" vbProcedure="0">"c1354"</definedName>
    <definedName name="IQ_TOTAL_CHURN" hidden="1" function="0" vbProcedure="0">"c2122"</definedName>
    <definedName name="IQ_TOTAL_CL" hidden="1" function="0" vbProcedure="0">"c1245"</definedName>
    <definedName name="IQ_TOTAL_COMMON" hidden="1" function="0" vbProcedure="0">"c1411"</definedName>
    <definedName name="IQ_TOTAL_COMMON_EQUITY" hidden="1" function="0" vbProcedure="0">"c1246"</definedName>
    <definedName name="IQ_TOTAL_CURRENT_ASSETS" hidden="1" function="0" vbProcedure="0">"c1430"</definedName>
    <definedName name="IQ_TOTAL_CURRENT_LIAB" hidden="1" function="0" vbProcedure="0">"c1431"</definedName>
    <definedName name="IQ_TOTAL_DEBT" hidden="1" function="0" vbProcedure="0">"c1247"</definedName>
    <definedName name="IQ_TOTAL_DEBT_CAPITAL" hidden="1" function="0" vbProcedure="0">"c1248"</definedName>
    <definedName name="IQ_TOTAL_DEBT_EBITDA" hidden="1" function="0" vbProcedure="0">"c1249"</definedName>
    <definedName name="IQ_TOTAL_DEBT_EQUITY" hidden="1" function="0" vbProcedure="0">"c1250"</definedName>
    <definedName name="IQ_TOTAL_DEBT_ISSUED" hidden="1" function="0" vbProcedure="0">"c1251"</definedName>
    <definedName name="IQ_TOTAL_DEBT_ISSUED_BNK" hidden="1" function="0" vbProcedure="0">"c1252"</definedName>
    <definedName name="IQ_TOTAL_DEBT_ISSUED_BR" hidden="1" function="0" vbProcedure="0">"c1253"</definedName>
    <definedName name="IQ_TOTAL_DEBT_ISSUED_FIN" hidden="1" function="0" vbProcedure="0">"c1254"</definedName>
    <definedName name="IQ_TOTAL_DEBT_ISSUED_REIT" hidden="1" function="0" vbProcedure="0">"c1255"</definedName>
    <definedName name="IQ_TOTAL_DEBT_ISSUED_UTI" hidden="1" function="0" vbProcedure="0">"c1256"</definedName>
    <definedName name="IQ_TOTAL_DEBT_ISSUES_INS" hidden="1" function="0" vbProcedure="0">"c1257"</definedName>
    <definedName name="IQ_TOTAL_DEBT_OVER_EBITDA" hidden="1" function="0" vbProcedure="0">"c1433"</definedName>
    <definedName name="IQ_TOTAL_DEBT_OVER_TOTAL_BV" hidden="1" function="0" vbProcedure="0">"c1434"</definedName>
    <definedName name="IQ_TOTAL_DEBT_OVER_TOTAL_CAP" hidden="1" function="0" vbProcedure="0">"c1432"</definedName>
    <definedName name="IQ_TOTAL_DEBT_REPAID" hidden="1" function="0" vbProcedure="0">"c1258"</definedName>
    <definedName name="IQ_TOTAL_DEBT_REPAID_BNK" hidden="1" function="0" vbProcedure="0">"c1259"</definedName>
    <definedName name="IQ_TOTAL_DEBT_REPAID_BR" hidden="1" function="0" vbProcedure="0">"c1260"</definedName>
    <definedName name="IQ_TOTAL_DEBT_REPAID_FIN" hidden="1" function="0" vbProcedure="0">"c1261"</definedName>
    <definedName name="IQ_TOTAL_DEBT_REPAID_INS" hidden="1" function="0" vbProcedure="0">"c1262"</definedName>
    <definedName name="IQ_TOTAL_DEBT_REPAID_REIT" hidden="1" function="0" vbProcedure="0">"c1263"</definedName>
    <definedName name="IQ_TOTAL_DEBT_REPAID_UTI" hidden="1" function="0" vbProcedure="0">"c1264"</definedName>
    <definedName name="IQ_TOTAL_DEPOSITS" hidden="1" function="0" vbProcedure="0">"c1265"</definedName>
    <definedName name="IQ_TOTAL_DIV_PAID_CF" hidden="1" function="0" vbProcedure="0">"c1266"</definedName>
    <definedName name="IQ_TOTAL_EMPLOYEES" hidden="1" function="0" vbProcedure="0">"c1522"</definedName>
    <definedName name="IQ_TOTAL_EQUITY" hidden="1" function="0" vbProcedure="0">"c1267"</definedName>
    <definedName name="IQ_TOTAL_EQUITY_10YR_ANN_GROWTH" hidden="1" function="0" vbProcedure="0">"c1268"</definedName>
    <definedName name="IQ_TOTAL_EQUITY_1YR_ANN_GROWTH" hidden="1" function="0" vbProcedure="0">"c1269"</definedName>
    <definedName name="IQ_TOTAL_EQUITY_2YR_ANN_GROWTH" hidden="1" function="0" vbProcedure="0">"c1270"</definedName>
    <definedName name="IQ_TOTAL_EQUITY_3YR_ANN_GROWTH" hidden="1" function="0" vbProcedure="0">"c1271"</definedName>
    <definedName name="IQ_TOTAL_EQUITY_5YR_ANN_GROWTH" hidden="1" function="0" vbProcedure="0">"c1272"</definedName>
    <definedName name="IQ_TOTAL_EQUITY_7YR_ANN_GROWTH" hidden="1" function="0" vbProcedure="0">"c1273"</definedName>
    <definedName name="IQ_TOTAL_EQUITY_ALLOWANCE_TOTAL_LOANS" hidden="1" function="0" vbProcedure="0">"c1274"</definedName>
    <definedName name="IQ_TOTAL_INTEREST_EXP" hidden="1" function="0" vbProcedure="0">"c1382"</definedName>
    <definedName name="IQ_TOTAL_INVENTORY" hidden="1" function="0" vbProcedure="0">"c1385"</definedName>
    <definedName name="IQ_TOTAL_INVEST" hidden="1" function="0" vbProcedure="0">"c1275"</definedName>
    <definedName name="IQ_TOTAL_LIAB" hidden="1" function="0" vbProcedure="0">"c1276"</definedName>
    <definedName name="IQ_TOTAL_LIAB_BNK" hidden="1" function="0" vbProcedure="0">"c1277"</definedName>
    <definedName name="IQ_TOTAL_LIAB_BR" hidden="1" function="0" vbProcedure="0">"c1278"</definedName>
    <definedName name="IQ_TOTAL_LIAB_EQUITY" hidden="1" function="0" vbProcedure="0">"c1279"</definedName>
    <definedName name="IQ_TOTAL_LIAB_FIN" hidden="1" function="0" vbProcedure="0">"c1280"</definedName>
    <definedName name="IQ_TOTAL_LIAB_INS" hidden="1" function="0" vbProcedure="0">"c1281"</definedName>
    <definedName name="IQ_TOTAL_LIAB_REIT" hidden="1" function="0" vbProcedure="0">"c1282"</definedName>
    <definedName name="IQ_TOTAL_LIAB_SHAREHOLD" hidden="1" function="0" vbProcedure="0">"c1435"</definedName>
    <definedName name="IQ_TOTAL_LIAB_TOTAL_ASSETS" hidden="1" function="0" vbProcedure="0">"c1283"</definedName>
    <definedName name="IQ_TOTAL_LONG_DEBT" hidden="1" function="0" vbProcedure="0">"c1617"</definedName>
    <definedName name="IQ_TOTAL_NON_REC" hidden="1" function="0" vbProcedure="0">"c1444"</definedName>
    <definedName name="IQ_TOTAL_OPER_EXPEN" hidden="1" function="0" vbProcedure="0">"c1445"</definedName>
    <definedName name="IQ_TOTAL_OPER_EXP_BR" hidden="1" function="0" vbProcedure="0">"c1284"</definedName>
    <definedName name="IQ_TOTAL_OPER_EXP_FIN" hidden="1" function="0" vbProcedure="0">"c1285"</definedName>
    <definedName name="IQ_TOTAL_OPER_EXP_INS" hidden="1" function="0" vbProcedure="0">"c1286"</definedName>
    <definedName name="IQ_TOTAL_OPER_EXP_REIT" hidden="1" function="0" vbProcedure="0">"c1287"</definedName>
    <definedName name="IQ_TOTAL_OPER_EXP_UTI" hidden="1" function="0" vbProcedure="0">"c1288"</definedName>
    <definedName name="IQ_TOTAL_OTHER_OPER" hidden="1" function="0" vbProcedure="0">"c1289"</definedName>
    <definedName name="IQ_TOTAL_OUTSTANDING_BS_DATE" hidden="1" function="0" vbProcedure="0">"c1022"</definedName>
    <definedName name="IQ_TOTAL_OUTSTANDING_FILING_DATE" hidden="1" function="0" vbProcedure="0">"c2107"</definedName>
    <definedName name="IQ_TOTAL_PENSION_ASSETS" hidden="1" function="0" vbProcedure="0">"c1290"</definedName>
    <definedName name="IQ_TOTAL_PENSION_EXP" hidden="1" function="0" vbProcedure="0">"c1291"</definedName>
    <definedName name="IQ_TOTAL_PENSION_OBLIGATION" hidden="1" function="0" vbProcedure="0">"c1292"</definedName>
    <definedName name="IQ_TOTAL_PROVED_RESERVES_OIL" hidden="1" function="0" vbProcedure="0">"c2040"</definedName>
    <definedName name="IQ_TOTAL_RECEIV" hidden="1" function="0" vbProcedure="0">"c1293"</definedName>
    <definedName name="IQ_TOTAL_REV" hidden="1" function="0" vbProcedure="0">"c1294"</definedName>
    <definedName name="IQ_TOTAL_REVENUE" hidden="1" function="0" vbProcedure="0">"c1436"</definedName>
    <definedName name="IQ_TOTAL_REV_10YR_ANN_GROWTH" hidden="1" function="0" vbProcedure="0">"c1295"</definedName>
    <definedName name="IQ_TOTAL_REV_1YR_ANN_GROWTH" hidden="1" function="0" vbProcedure="0">"c1296"</definedName>
    <definedName name="IQ_TOTAL_REV_2YR_ANN_GROWTH" hidden="1" function="0" vbProcedure="0">"c1297"</definedName>
    <definedName name="IQ_TOTAL_REV_3YR_ANN_GROWTH" hidden="1" function="0" vbProcedure="0">"c1298"</definedName>
    <definedName name="IQ_TOTAL_REV_5YR_ANN_GROWTH" hidden="1" function="0" vbProcedure="0">"c1299"</definedName>
    <definedName name="IQ_TOTAL_REV_7YR_ANN_GROWTH" hidden="1" function="0" vbProcedure="0">"c1300"</definedName>
    <definedName name="IQ_TOTAL_REV_AS_REPORTED" hidden="1" function="0" vbProcedure="0">"c1301"</definedName>
    <definedName name="IQ_TOTAL_REV_BNK" hidden="1" function="0" vbProcedure="0">"c1302"</definedName>
    <definedName name="IQ_TOTAL_REV_BR" hidden="1" function="0" vbProcedure="0">"c1303"</definedName>
    <definedName name="IQ_TOTAL_REV_EMPLOYEE" hidden="1" function="0" vbProcedure="0">"c1304"</definedName>
    <definedName name="IQ_TOTAL_REV_FIN" hidden="1" function="0" vbProcedure="0">"c1305"</definedName>
    <definedName name="IQ_TOTAL_REV_INS" hidden="1" function="0" vbProcedure="0">"c1306"</definedName>
    <definedName name="IQ_TOTAL_REV_REIT" hidden="1" function="0" vbProcedure="0">"c1307"</definedName>
    <definedName name="IQ_TOTAL_REV_SHARE" hidden="1" function="0" vbProcedure="0">"c1912"</definedName>
    <definedName name="IQ_TOTAL_REV_UTI" hidden="1" function="0" vbProcedure="0">"c1308"</definedName>
    <definedName name="IQ_TOTAL_SPECIAL" hidden="1" function="0" vbProcedure="0">"c1618"</definedName>
    <definedName name="IQ_TOTAL_ST_BORROW" hidden="1" function="0" vbProcedure="0">"c1424"</definedName>
    <definedName name="IQ_TOTAL_SUBS" hidden="1" function="0" vbProcedure="0">"c2119"</definedName>
    <definedName name="IQ_TOTAL_UNUSUAL" hidden="1" function="0" vbProcedure="0">"c1508"</definedName>
    <definedName name="IQ_TOT_ADJ_INC" hidden="1" function="0" vbProcedure="0">"c1616"</definedName>
    <definedName name="IQ_TRADE_AR" hidden="1" function="0" vbProcedure="0">"c1345"</definedName>
    <definedName name="IQ_TRADE_PRINCIPAL" hidden="1" function="0" vbProcedure="0">"c1309"</definedName>
    <definedName name="IQ_TRADING_ASSETS" hidden="1" function="0" vbProcedure="0">"c1310"</definedName>
    <definedName name="IQ_TREASURY" hidden="1" function="0" vbProcedure="0">"c1311"</definedName>
    <definedName name="IQ_TREASURY_OTHER_EQUITY" hidden="1" function="0" vbProcedure="0">"c1312"</definedName>
    <definedName name="IQ_TREASURY_OTHER_EQUITY_BNK" hidden="1" function="0" vbProcedure="0">"c1313"</definedName>
    <definedName name="IQ_TREASURY_OTHER_EQUITY_BR" hidden="1" function="0" vbProcedure="0">"c1314"</definedName>
    <definedName name="IQ_TREASURY_OTHER_EQUITY_FIN" hidden="1" function="0" vbProcedure="0">"c1315"</definedName>
    <definedName name="IQ_TREASURY_OTHER_EQUITY_INS" hidden="1" function="0" vbProcedure="0">"c1316"</definedName>
    <definedName name="IQ_TREASURY_OTHER_EQUITY_REIT" hidden="1" function="0" vbProcedure="0">"c1317"</definedName>
    <definedName name="IQ_TREASURY_OTHER_EQUITY_UTI" hidden="1" function="0" vbProcedure="0">"c1318"</definedName>
    <definedName name="IQ_TREASURY_STOCK" hidden="1" function="0" vbProcedure="0">"c1438"</definedName>
    <definedName name="IQ_TRUST_INC" hidden="1" function="0" vbProcedure="0">"c1319"</definedName>
    <definedName name="IQ_TRUST_PREF" hidden="1" function="0" vbProcedure="0">"c1320"</definedName>
    <definedName name="IQ_UFCF_10YR_ANN_GROWTH" hidden="1" function="0" vbProcedure="0">"c1948"</definedName>
    <definedName name="IQ_UFCF_1YR_ANN_GROWTH" hidden="1" function="0" vbProcedure="0">"c1943"</definedName>
    <definedName name="IQ_UFCF_2YR_ANN_GROWTH" hidden="1" function="0" vbProcedure="0">"c1944"</definedName>
    <definedName name="IQ_UFCF_3YR_ANN_GROWTH" hidden="1" function="0" vbProcedure="0">"c1945"</definedName>
    <definedName name="IQ_UFCF_5YR_ANN_GROWTH" hidden="1" function="0" vbProcedure="0">"c1946"</definedName>
    <definedName name="IQ_UFCF_7YR_ANN_GROWTH" hidden="1" function="0" vbProcedure="0">"c1947"</definedName>
    <definedName name="IQ_UFCF_MARGIN" hidden="1" function="0" vbProcedure="0">"c1962"</definedName>
    <definedName name="IQ_UNEARN_PREMIUM" hidden="1" function="0" vbProcedure="0">"c1321"</definedName>
    <definedName name="IQ_UNEARN_REV_CURRENT" hidden="1" function="0" vbProcedure="0">"c1322"</definedName>
    <definedName name="IQ_UNEARN_REV_CURRENT_BNK" hidden="1" function="0" vbProcedure="0">"c1323"</definedName>
    <definedName name="IQ_UNEARN_REV_CURRENT_BR" hidden="1" function="0" vbProcedure="0">"c1324"</definedName>
    <definedName name="IQ_UNEARN_REV_CURRENT_FIN" hidden="1" function="0" vbProcedure="0">"c1325"</definedName>
    <definedName name="IQ_UNEARN_REV_CURRENT_INS" hidden="1" function="0" vbProcedure="0">"c1326"</definedName>
    <definedName name="IQ_UNEARN_REV_CURRENT_REIT" hidden="1" function="0" vbProcedure="0">"c1327"</definedName>
    <definedName name="IQ_UNEARN_REV_CURRENT_UTI" hidden="1" function="0" vbProcedure="0">"c1328"</definedName>
    <definedName name="IQ_UNEARN_REV_LT" hidden="1" function="0" vbProcedure="0">"c1329"</definedName>
    <definedName name="IQ_UNLEVERED_FCF" hidden="1" function="0" vbProcedure="0">"c1908"</definedName>
    <definedName name="IQ_UNPAID_CLAIMS" hidden="1" function="0" vbProcedure="0">"c1330"</definedName>
    <definedName name="IQ_UNREALIZED_GAIN" hidden="1" function="0" vbProcedure="0">"c1619"</definedName>
    <definedName name="IQ_UNUSUAL_EXP" hidden="1" function="0" vbProcedure="0">"c1456"</definedName>
    <definedName name="IQ_US_GAAP" hidden="1" function="0" vbProcedure="0">"c1331"</definedName>
    <definedName name="IQ_UTIL_PPE_NET" hidden="1" function="0" vbProcedure="0">"c1620"</definedName>
    <definedName name="IQ_UTIL_REV" hidden="1" function="0" vbProcedure="0">"c2091"</definedName>
    <definedName name="IQ_UV_PENSION_LIAB" hidden="1" function="0" vbProcedure="0">"c1332"</definedName>
    <definedName name="IQ_VALUE_TRADED_LAST_3MTH" hidden="1" function="0" vbProcedure="0">"c1530"</definedName>
    <definedName name="IQ_VALUE_TRADED_LAST_6MTH" hidden="1" function="0" vbProcedure="0">"c1531"</definedName>
    <definedName name="IQ_VALUE_TRADED_LAST_MTH" hidden="1" function="0" vbProcedure="0">"c1529"</definedName>
    <definedName name="IQ_VALUE_TRADED_LAST_WK" hidden="1" function="0" vbProcedure="0">"c1528"</definedName>
    <definedName name="IQ_VALUE_TRADED_LAST_YR" hidden="1" function="0" vbProcedure="0">"c1532"</definedName>
    <definedName name="IQ_VOLUME" hidden="1" function="0" vbProcedure="0">"c1333"</definedName>
    <definedName name="IQ_VOL_LAST_3MTH" hidden="1" function="0" vbProcedure="0">"c1525"</definedName>
    <definedName name="IQ_VOL_LAST_6MTH" hidden="1" function="0" vbProcedure="0">"c1526"</definedName>
    <definedName name="IQ_VOL_LAST_MTH" hidden="1" function="0" vbProcedure="0">"c1524"</definedName>
    <definedName name="IQ_VOL_LAST_WK" hidden="1" function="0" vbProcedure="0">"c1523"</definedName>
    <definedName name="IQ_VOL_LAST_YR" hidden="1" function="0" vbProcedure="0">"c1527"</definedName>
    <definedName name="IQ_WEIGHTED_AVG_PRICE" hidden="1" function="0" vbProcedure="0">"c1334"</definedName>
    <definedName name="IQ_WIP_INV" hidden="1" function="0" vbProcedure="0">"c1335"</definedName>
    <definedName name="IQ_WORKMEN_WRITTEN" hidden="1" function="0" vbProcedure="0">"c1336"</definedName>
    <definedName name="IQ_XDIV_DATE" hidden="1" function="0" vbProcedure="0">"c2104"</definedName>
    <definedName name="IQ_YEARHIGH" hidden="1" function="0" vbProcedure="0">"c1337"</definedName>
    <definedName name="IQ_YEARLOW" hidden="1" function="0" vbProcedure="0">"c1338"</definedName>
    <definedName name="IQ_YTD" hidden="1" function="0" vbProcedure="0">3000</definedName>
    <definedName name="IQ_Z_SCORE" hidden="1" function="0" vbProcedure="0">"c1339"</definedName>
    <definedName name="last_close" hidden="0" function="0" vbProcedure="0">Valuation!$G$7</definedName>
    <definedName name="Market_Equity" hidden="0" function="0" vbProcedure="0">#REF!</definedName>
    <definedName name="midyear" hidden="0" function="0" vbProcedure="0">#REF!</definedName>
    <definedName name="Net_Debt" hidden="0" function="0" vbProcedure="0">#REF!</definedName>
    <definedName name="NumofGrpAccts" hidden="1" function="0" vbProcedure="0">2</definedName>
    <definedName name="nvnvnvnv" hidden="1" function="0" vbProcedure="0">{#N/A,#N/A,FALSE,"Aging Summary";#N/A,#N/A,FALSE,"Ratio Analysis";#N/A,#N/A,FALSE,"Test 120 Day Accts";#N/A,#N/A,FALSE,"Tickmarks"}</definedName>
    <definedName name="range" hidden="0" function="0" vbProcedure="0">#REF!</definedName>
    <definedName name="RowLevel" hidden="1" function="0" vbProcedure="0">1</definedName>
    <definedName name="Stub_year_fraction" hidden="0" function="0" vbProcedure="0">#REF!</definedName>
    <definedName name="TBdbName" hidden="1" function="0" vbProcedure="0">"88D5BF544BE111D2B8C5006097494125.mdb"</definedName>
    <definedName name="TextRefCopyRangeCount" hidden="1" function="0" vbProcedure="0">68</definedName>
    <definedName name="ticker" hidden="0" function="0" vbProcedure="0">Valuation!$D$7</definedName>
    <definedName name="Useful_Life_of_Depreciable_PP_E" hidden="0" function="0" vbProcedure="0">"PPElife"</definedName>
    <definedName name="wrn.Aging._.and._.Trend._.Analysis." hidden="1" function="0" vbProcedure="0">{#N/A,#N/A,FALSE,"Aging Summary";#N/A,#N/A,FALSE,"Ratio Analysis";#N/A,#N/A,FALSE,"Test 120 Day Accts";#N/A,#N/A,FALSE,"Tickmarks"}</definedName>
    <definedName name="wrn.EXPENSES._.98._.US." hidden="1" function="0" vbProcedure="0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 function="0" vbProcedure="0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 function="0" vbProcedure="0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 function="0" vbProcedure="0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 function="0" vbProcedure="0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 function="0" vbProcedure="0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 function="0" vbProcedure="0">{#N/A,#N/A,FALSE,"Graficos    ( 9 )"}</definedName>
    <definedName name="wrn.WORK._.PAPER." hidden="1" function="0" vbProcedure="0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 function="0" vbProcedure="0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ColumnsCount" hidden="1" function="0" vbProcedure="0">2</definedName>
    <definedName name="XRefCopy1" hidden="1" function="0" vbProcedure="0">#REF!</definedName>
    <definedName name="XRefCopy10" hidden="1" function="0" vbProcedure="0">#REF!</definedName>
    <definedName name="XRefCopy10Row" hidden="1" function="0" vbProcedure="0">#REF!</definedName>
    <definedName name="XRefCopy12" hidden="1" function="0" vbProcedure="0">#REF!</definedName>
    <definedName name="XRefCopy12Row" hidden="1" function="0" vbProcedure="0">#REF!</definedName>
    <definedName name="XRefCopy13" hidden="1" function="0" vbProcedure="0">#REF!</definedName>
    <definedName name="XRefCopy13Row" hidden="1" function="0" vbProcedure="0">#REF!</definedName>
    <definedName name="XRefCopy15" hidden="1" function="0" vbProcedure="0">#REF!</definedName>
    <definedName name="XRefCopy15Row" hidden="1" function="0" vbProcedure="0">#REF!</definedName>
    <definedName name="XRefCopy16Row" hidden="1" function="0" vbProcedure="0">#REF!</definedName>
    <definedName name="XRefCopy17" hidden="1" function="0" vbProcedure="0">#REF!</definedName>
    <definedName name="XRefCopy17Row" hidden="1" function="0" vbProcedure="0">#REF!</definedName>
    <definedName name="XRefCopy18" hidden="1" function="0" vbProcedure="0">#REF!</definedName>
    <definedName name="XRefCopy18Row" hidden="1" function="0" vbProcedure="0">#REF!</definedName>
    <definedName name="XRefCopy19" hidden="1" function="0" vbProcedure="0">#REF!</definedName>
    <definedName name="XRefCopy19Row" hidden="1" function="0" vbProcedure="0">#REF!</definedName>
    <definedName name="XRefCopy2" hidden="1" function="0" vbProcedure="0">#REF!</definedName>
    <definedName name="XRefCopy20" hidden="1" function="0" vbProcedure="0">#REF!</definedName>
    <definedName name="XRefCopy20Row" hidden="1" function="0" vbProcedure="0">#REF!</definedName>
    <definedName name="XRefCopy21" hidden="1" function="0" vbProcedure="0">#REF!</definedName>
    <definedName name="XRefCopy21Row" hidden="1" function="0" vbProcedure="0">#REF!</definedName>
    <definedName name="XRefCopy28" hidden="1" function="0" vbProcedure="0">#REF!</definedName>
    <definedName name="XRefCopy28Row" hidden="1" function="0" vbProcedure="0">#REF!</definedName>
    <definedName name="XRefCopy29" hidden="1" function="0" vbProcedure="0">#REF!</definedName>
    <definedName name="XRefCopy29Row" hidden="1" function="0" vbProcedure="0">#REF!</definedName>
    <definedName name="XRefCopy3" hidden="1" function="0" vbProcedure="0">#REF!</definedName>
    <definedName name="XRefCopy30Row" hidden="1" function="0" vbProcedure="0">#REF!</definedName>
    <definedName name="XRefCopy31" hidden="1" function="0" vbProcedure="0">#REF!</definedName>
    <definedName name="XRefCopy31Row" hidden="1" function="0" vbProcedure="0">#REF!</definedName>
    <definedName name="XRefCopy33Row" hidden="1" function="0" vbProcedure="0">#REF!</definedName>
    <definedName name="XRefCopy39" hidden="1" function="0" vbProcedure="0">#REF!</definedName>
    <definedName name="XRefCopy4" hidden="1" function="0" vbProcedure="0">#REF!</definedName>
    <definedName name="XRefCopy40Row" hidden="1" function="0" vbProcedure="0">#REF!</definedName>
    <definedName name="XRefCopy43Row" hidden="1" function="0" vbProcedure="0">#REF!</definedName>
    <definedName name="XRefCopy44Row" hidden="1" function="0" vbProcedure="0">#REF!</definedName>
    <definedName name="XRefCopy49Row" hidden="1" function="0" vbProcedure="0">#REF!</definedName>
    <definedName name="XRefCopy4Row" hidden="1" function="0" vbProcedure="0">#REF!</definedName>
    <definedName name="XRefCopy5" hidden="1" function="0" vbProcedure="0">#REF!</definedName>
    <definedName name="XRefCopy50Row" hidden="1" function="0" vbProcedure="0">#REF!</definedName>
    <definedName name="XRefCopy51Row" hidden="1" function="0" vbProcedure="0">#REF!</definedName>
    <definedName name="XRefCopy52Row" hidden="1" function="0" vbProcedure="0">#REF!</definedName>
    <definedName name="XRefCopy53Row" hidden="1" function="0" vbProcedure="0">#REF!</definedName>
    <definedName name="XRefCopy55Row" hidden="1" function="0" vbProcedure="0">#REF!</definedName>
    <definedName name="XRefCopy56" hidden="1" function="0" vbProcedure="0">#REF!</definedName>
    <definedName name="XRefCopy56Row" hidden="1" function="0" vbProcedure="0">#REF!</definedName>
    <definedName name="XRefCopy5Row" hidden="1" function="0" vbProcedure="0">#REF!</definedName>
    <definedName name="XRefCopy6" hidden="1" function="0" vbProcedure="0">#REF!</definedName>
    <definedName name="XRefCopy61" hidden="1" function="0" vbProcedure="0">#REF!</definedName>
    <definedName name="XRefCopy61Row" hidden="1" function="0" vbProcedure="0">#REF!</definedName>
    <definedName name="XRefCopy63Row" hidden="1" function="0" vbProcedure="0">#REF!</definedName>
    <definedName name="XRefCopy64Row" hidden="1" function="0" vbProcedure="0">#REF!</definedName>
    <definedName name="XRefCopy65Row" hidden="1" function="0" vbProcedure="0">#REF!</definedName>
    <definedName name="XRefCopy66" hidden="1" function="0" vbProcedure="0">#REF!</definedName>
    <definedName name="XRefCopy66Row" hidden="1" function="0" vbProcedure="0">#REF!</definedName>
    <definedName name="XRefCopy67Row" hidden="1" function="0" vbProcedure="0">#REF!</definedName>
    <definedName name="XRefCopy68Row" hidden="1" function="0" vbProcedure="0">#REF!</definedName>
    <definedName name="XRefCopy69Row" hidden="1" function="0" vbProcedure="0">#REF!</definedName>
    <definedName name="XRefCopy6Row" hidden="1" function="0" vbProcedure="0">#REF!</definedName>
    <definedName name="XRefCopy7" hidden="1" function="0" vbProcedure="0">#REF!</definedName>
    <definedName name="XRefCopy70Row" hidden="1" function="0" vbProcedure="0">#REF!</definedName>
    <definedName name="XRefCopy71Row" hidden="1" function="0" vbProcedure="0">#REF!</definedName>
    <definedName name="XRefCopy72Row" hidden="1" function="0" vbProcedure="0">#REF!</definedName>
    <definedName name="XRefCopy73Row" hidden="1" function="0" vbProcedure="0">#REF!</definedName>
    <definedName name="XRefCopy74Row" hidden="1" function="0" vbProcedure="0">#REF!</definedName>
    <definedName name="XRefCopy75Row" hidden="1" function="0" vbProcedure="0">#REF!</definedName>
    <definedName name="XRefCopy76Row" hidden="1" function="0" vbProcedure="0">#REF!</definedName>
    <definedName name="XRefCopy77Row" hidden="1" function="0" vbProcedure="0">#REF!</definedName>
    <definedName name="XRefCopy78Row" hidden="1" function="0" vbProcedure="0">#REF!</definedName>
    <definedName name="XRefCopy7Row" hidden="1" function="0" vbProcedure="0">#REF!</definedName>
    <definedName name="XRefCopy8" hidden="1" function="0" vbProcedure="0">#REF!</definedName>
    <definedName name="XRefCopy80Row" hidden="1" function="0" vbProcedure="0">#REF!</definedName>
    <definedName name="XRefCopy81" hidden="1" function="0" vbProcedure="0">#REF!</definedName>
    <definedName name="XRefCopy81Row" hidden="1" function="0" vbProcedure="0">#REF!</definedName>
    <definedName name="XRefCopy82Row" hidden="1" function="0" vbProcedure="0">#REF!</definedName>
    <definedName name="XRefCopy8Row" hidden="1" function="0" vbProcedure="0">#REF!</definedName>
    <definedName name="XRefCopy9" hidden="1" function="0" vbProcedure="0">#REF!</definedName>
    <definedName name="XRefCopy9Row" hidden="1" function="0" vbProcedure="0">#REF!</definedName>
    <definedName name="XRefCopyRangeCount" hidden="1" function="0" vbProcedure="0">5</definedName>
    <definedName name="XRefPaste1" hidden="1" function="0" vbProcedure="0">#REF!</definedName>
    <definedName name="XRefPaste10" hidden="1" function="0" vbProcedure="0">#REF!</definedName>
    <definedName name="XRefPaste101" hidden="1" function="0" vbProcedure="0">#REF!</definedName>
    <definedName name="XRefPaste101Row" hidden="1" function="0" vbProcedure="0">#REF!</definedName>
    <definedName name="XRefPaste102" hidden="1" function="0" vbProcedure="0">#REF!</definedName>
    <definedName name="XRefPaste102Row" hidden="1" function="0" vbProcedure="0">#REF!</definedName>
    <definedName name="XRefPaste103" hidden="1" function="0" vbProcedure="0">#REF!</definedName>
    <definedName name="XRefPaste103Row" hidden="1" function="0" vbProcedure="0">#REF!</definedName>
    <definedName name="XRefPaste104Row" hidden="1" function="0" vbProcedure="0">#REF!</definedName>
    <definedName name="XRefPaste105Row" hidden="1" function="0" vbProcedure="0">#REF!</definedName>
    <definedName name="XRefPaste106" hidden="1" function="0" vbProcedure="0">#REF!</definedName>
    <definedName name="XRefPaste106Row" hidden="1" function="0" vbProcedure="0">#REF!</definedName>
    <definedName name="XRefPaste107Row" hidden="1" function="0" vbProcedure="0">#REF!</definedName>
    <definedName name="XRefPaste108Row" hidden="1" function="0" vbProcedure="0">#REF!</definedName>
    <definedName name="XRefPaste11" hidden="1" function="0" vbProcedure="0">#REF!</definedName>
    <definedName name="XRefPaste111Row" hidden="1" function="0" vbProcedure="0">#REF!</definedName>
    <definedName name="XRefPaste112Row" hidden="1" function="0" vbProcedure="0">#REF!</definedName>
    <definedName name="XRefPaste117" hidden="1" function="0" vbProcedure="0">#REF!</definedName>
    <definedName name="XRefPaste117Row" hidden="1" function="0" vbProcedure="0">#REF!</definedName>
    <definedName name="XRefPaste118" hidden="1" function="0" vbProcedure="0">#REF!</definedName>
    <definedName name="XRefPaste118Row" hidden="1" function="0" vbProcedure="0">#REF!</definedName>
    <definedName name="XRefPaste119" hidden="1" function="0" vbProcedure="0">#REF!</definedName>
    <definedName name="XRefPaste119Row" hidden="1" function="0" vbProcedure="0">#REF!</definedName>
    <definedName name="XRefPaste12" hidden="1" function="0" vbProcedure="0">#REF!</definedName>
    <definedName name="XRefPaste120" hidden="1" function="0" vbProcedure="0">#REF!</definedName>
    <definedName name="XRefPaste120Row" hidden="1" function="0" vbProcedure="0">#REF!</definedName>
    <definedName name="XRefPaste121Row" hidden="1" function="0" vbProcedure="0">#REF!</definedName>
    <definedName name="XRefPaste122Row" hidden="1" function="0" vbProcedure="0">#REF!</definedName>
    <definedName name="XRefPaste123Row" hidden="1" function="0" vbProcedure="0">#REF!</definedName>
    <definedName name="XRefPaste124Row" hidden="1" function="0" vbProcedure="0">#REF!</definedName>
    <definedName name="XRefPaste126Row" hidden="1" function="0" vbProcedure="0">#REF!</definedName>
    <definedName name="XRefPaste127Row" hidden="1" function="0" vbProcedure="0">#REF!</definedName>
    <definedName name="XRefPaste128Row" hidden="1" function="0" vbProcedure="0">#REF!</definedName>
    <definedName name="XRefPaste129Row" hidden="1" function="0" vbProcedure="0">#REF!</definedName>
    <definedName name="XRefPaste13" hidden="1" function="0" vbProcedure="0">#REF!</definedName>
    <definedName name="XRefPaste130Row" hidden="1" function="0" vbProcedure="0">#REF!</definedName>
    <definedName name="XRefPaste131Row" hidden="1" function="0" vbProcedure="0">#REF!</definedName>
    <definedName name="XRefPaste132Row" hidden="1" function="0" vbProcedure="0">#REF!</definedName>
    <definedName name="XRefPaste133Row" hidden="1" function="0" vbProcedure="0">#REF!</definedName>
    <definedName name="XRefPaste134Row" hidden="1" function="0" vbProcedure="0">#REF!</definedName>
    <definedName name="XRefPaste135Row" hidden="1" function="0" vbProcedure="0">#REF!</definedName>
    <definedName name="XRefPaste136Row" hidden="1" function="0" vbProcedure="0">#REF!</definedName>
    <definedName name="XRefPaste137Row" hidden="1" function="0" vbProcedure="0">#REF!</definedName>
    <definedName name="XRefPaste138Row" hidden="1" function="0" vbProcedure="0">#REF!</definedName>
    <definedName name="XRefPaste139" hidden="1" function="0" vbProcedure="0">#REF!</definedName>
    <definedName name="XRefPaste139Row" hidden="1" function="0" vbProcedure="0">#REF!</definedName>
    <definedName name="XRefPaste14" hidden="1" function="0" vbProcedure="0">#REF!</definedName>
    <definedName name="XRefPaste15" hidden="1" function="0" vbProcedure="0">#REF!</definedName>
    <definedName name="XRefPaste15Row" hidden="1" function="0" vbProcedure="0">#REF!</definedName>
    <definedName name="XRefPaste16" hidden="1" function="0" vbProcedure="0">#REF!</definedName>
    <definedName name="XRefPaste16Row" hidden="1" function="0" vbProcedure="0">#REF!</definedName>
    <definedName name="XRefPaste17Row" hidden="1" function="0" vbProcedure="0">#REF!</definedName>
    <definedName name="XRefPaste18" hidden="1" function="0" vbProcedure="0">#REF!</definedName>
    <definedName name="XRefPaste18Row" hidden="1" function="0" vbProcedure="0">#REF!</definedName>
    <definedName name="XRefPaste19" hidden="1" function="0" vbProcedure="0">#REF!</definedName>
    <definedName name="XRefPaste19Row" hidden="1" function="0" vbProcedure="0">#REF!</definedName>
    <definedName name="XRefPaste1Row" hidden="1" function="0" vbProcedure="0">#REF!</definedName>
    <definedName name="XRefPaste2" hidden="1" function="0" vbProcedure="0">#REF!</definedName>
    <definedName name="XRefPaste26" hidden="1" function="0" vbProcedure="0">#REF!</definedName>
    <definedName name="XRefPaste26Row" hidden="1" function="0" vbProcedure="0">#REF!</definedName>
    <definedName name="XRefPaste27Row" hidden="1" function="0" vbProcedure="0">#REF!</definedName>
    <definedName name="XRefPaste28" hidden="1" function="0" vbProcedure="0">#REF!</definedName>
    <definedName name="XRefPaste28Row" hidden="1" function="0" vbProcedure="0">#REF!</definedName>
    <definedName name="XRefPaste29" hidden="1" function="0" vbProcedure="0">#REF!</definedName>
    <definedName name="XRefPaste29Row" hidden="1" function="0" vbProcedure="0">#REF!</definedName>
    <definedName name="XRefPaste2Row" hidden="1" function="0" vbProcedure="0">#REF!</definedName>
    <definedName name="XRefPaste3" hidden="1" function="0" vbProcedure="0">#REF!</definedName>
    <definedName name="XRefPaste31" hidden="1" function="0" vbProcedure="0">#REF!</definedName>
    <definedName name="XRefPaste31Row" hidden="1" function="0" vbProcedure="0">#REF!</definedName>
    <definedName name="XRefPaste32" hidden="1" function="0" vbProcedure="0">#REF!</definedName>
    <definedName name="XRefPaste32Row" hidden="1" function="0" vbProcedure="0">#REF!</definedName>
    <definedName name="XRefPaste35" hidden="1" function="0" vbProcedure="0">#REF!</definedName>
    <definedName name="XRefPaste35Row" hidden="1" function="0" vbProcedure="0">#REF!</definedName>
    <definedName name="XRefPaste37" hidden="1" function="0" vbProcedure="0">#REF!</definedName>
    <definedName name="XRefPaste37Row" hidden="1" function="0" vbProcedure="0">#REF!</definedName>
    <definedName name="XRefPaste38" hidden="1" function="0" vbProcedure="0">#REF!</definedName>
    <definedName name="XRefPaste38Row" hidden="1" function="0" vbProcedure="0">#REF!</definedName>
    <definedName name="XRefPaste39" hidden="1" function="0" vbProcedure="0">#REF!</definedName>
    <definedName name="XRefPaste39Row" hidden="1" function="0" vbProcedure="0">#REF!</definedName>
    <definedName name="XRefPaste3Row" hidden="1" function="0" vbProcedure="0">#REF!</definedName>
    <definedName name="XRefPaste4" hidden="1" function="0" vbProcedure="0">#REF!</definedName>
    <definedName name="XRefPaste44" hidden="1" function="0" vbProcedure="0">#REF!</definedName>
    <definedName name="XRefPaste44Row" hidden="1" function="0" vbProcedure="0">#REF!</definedName>
    <definedName name="XRefPaste45" hidden="1" function="0" vbProcedure="0">#REF!</definedName>
    <definedName name="XRefPaste45Row" hidden="1" function="0" vbProcedure="0">#REF!</definedName>
    <definedName name="XRefPaste4Row" hidden="1" function="0" vbProcedure="0">#REF!</definedName>
    <definedName name="XRefPaste5" hidden="1" function="0" vbProcedure="0">#REF!</definedName>
    <definedName name="XRefPaste56Row" hidden="1" function="0" vbProcedure="0">#REF!</definedName>
    <definedName name="XRefPaste57Row" hidden="1" function="0" vbProcedure="0">#REF!</definedName>
    <definedName name="XRefPaste59Row" hidden="1" function="0" vbProcedure="0">#REF!</definedName>
    <definedName name="XRefPaste5Row" hidden="1" function="0" vbProcedure="0">#REF!</definedName>
    <definedName name="XRefPaste6" hidden="1" function="0" vbProcedure="0">#REF!</definedName>
    <definedName name="XRefPaste62Row" hidden="1" function="0" vbProcedure="0">#REF!</definedName>
    <definedName name="XRefPaste63Row" hidden="1" function="0" vbProcedure="0">#REF!</definedName>
    <definedName name="XRefPaste64Row" hidden="1" function="0" vbProcedure="0">#REF!</definedName>
    <definedName name="XRefPaste65Row" hidden="1" function="0" vbProcedure="0">#REF!</definedName>
    <definedName name="XRefPaste67Row" hidden="1" function="0" vbProcedure="0">#REF!</definedName>
    <definedName name="XRefPaste68Row" hidden="1" function="0" vbProcedure="0">#REF!</definedName>
    <definedName name="XRefPaste69Row" hidden="1" function="0" vbProcedure="0">#REF!</definedName>
    <definedName name="XRefPaste6Row" hidden="1" function="0" vbProcedure="0">#REF!</definedName>
    <definedName name="XRefPaste7" hidden="1" function="0" vbProcedure="0">#REF!</definedName>
    <definedName name="XRefPaste70Row" hidden="1" function="0" vbProcedure="0">#REF!</definedName>
    <definedName name="XRefPaste71Row" hidden="1" function="0" vbProcedure="0">#REF!</definedName>
    <definedName name="XRefPaste75Row" hidden="1" function="0" vbProcedure="0">#REF!</definedName>
    <definedName name="XRefPaste7Row" hidden="1" function="0" vbProcedure="0">#REF!</definedName>
    <definedName name="XRefPaste8" hidden="1" function="0" vbProcedure="0">#REF!</definedName>
    <definedName name="XRefPaste9" hidden="1" function="0" vbProcedure="0">#REF!</definedName>
    <definedName name="XRefPaste99Row" hidden="1" function="0" vbProcedure="0">#REF!</definedName>
    <definedName name="XRefPasteRangeCount" hidden="1" function="0" vbProcedure="0">35</definedName>
    <definedName name="XREF_COLUMN_1" hidden="1" function="0" vbProcedure="0">#REF!</definedName>
    <definedName name="XREF_COLUMN_10" hidden="1" function="0" vbProcedure="0">#REF!</definedName>
    <definedName name="XREF_COLUMN_11" hidden="1" function="0" vbProcedure="0">#REF!</definedName>
    <definedName name="XREF_COLUMN_14" hidden="1" function="0" vbProcedure="0">#REF!</definedName>
    <definedName name="XREF_COLUMN_15" hidden="1" function="0" vbProcedure="0">#REF!</definedName>
    <definedName name="XREF_COLUMN_16" hidden="1" function="0" vbProcedure="0">#REF!</definedName>
    <definedName name="XREF_COLUMN_17" hidden="1" function="0" vbProcedure="0">#REF!</definedName>
    <definedName name="XREF_COLUMN_19" hidden="1" function="0" vbProcedure="0">#REF!</definedName>
    <definedName name="XREF_COLUMN_2" hidden="1" function="0" vbProcedure="0">#REF!</definedName>
    <definedName name="XREF_COLUMN_20" hidden="1" function="0" vbProcedure="0">#REF!</definedName>
    <definedName name="XREF_COLUMN_21" hidden="1" function="0" vbProcedure="0">#REF!</definedName>
    <definedName name="XREF_COLUMN_3" hidden="1" function="0" vbProcedure="0">#REF!</definedName>
    <definedName name="XREF_COLUMN_4" hidden="1" function="0" vbProcedure="0">#REF!</definedName>
    <definedName name="XREF_COLUMN_5" hidden="1" function="0" vbProcedure="0">#REF!</definedName>
    <definedName name="XREF_COLUMN_6" hidden="1" function="0" vbProcedure="0">#REF!</definedName>
    <definedName name="XREF_COLUMN_7" hidden="1" function="0" vbProcedure="0">#REF!</definedName>
    <definedName name="XREF_COLUMN_8" hidden="1" function="0" vbProcedure="0">#REF!</definedName>
    <definedName name="XREF_COLUMN_9" hidden="1" function="0" vbProcedure="0">#REF!</definedName>
    <definedName name="_Fill" hidden="1" function="0" vbProcedure="0">#REF!</definedName>
    <definedName name="beta_observed" localSheetId="1" hidden="0" function="0" vbProcedure="0">#REF!</definedName>
    <definedName name="ticker" localSheetId="1" hidden="0" function="0" vbProcedure="0">#REF!</definedName>
    <definedName name="costdebtfirm" localSheetId="3" hidden="0" function="0" vbProcedure="0">Valuation!$D$86</definedName>
    <definedName name="costequity" localSheetId="3" hidden="0" function="0" vbProcedure="0">Valuation!$D$94</definedName>
    <definedName name="debt" localSheetId="3" hidden="0" function="0" vbProcedure="0">Valuation!$G$88</definedName>
    <definedName name="debt_weight" localSheetId="3" hidden="0" function="0" vbProcedure="0">Valuation!$J$88</definedName>
    <definedName name="g" localSheetId="3" hidden="0" function="0" vbProcedure="0">Valuation!$D$63</definedName>
    <definedName name="market_equity" localSheetId="3" hidden="0" function="0" vbProcedure="0">Valuation!$G$89</definedName>
    <definedName name="noplat_t1" localSheetId="3" hidden="0" function="0" vbProcedure="0">Valuation!$D$65</definedName>
    <definedName name="relevered_beta" localSheetId="3" hidden="0" function="0" vbProcedure="0">Valuation!$M$102</definedName>
    <definedName name="risk_free_rate" localSheetId="3" hidden="0" function="0" vbProcedure="0">Valuation!$D$91</definedName>
    <definedName name="risk_premium" localSheetId="3" hidden="0" function="0" vbProcedure="0">Valuation!$D$92</definedName>
    <definedName name="ronic" localSheetId="3" hidden="0" function="0" vbProcedure="0">Valuation!$D$64</definedName>
    <definedName name="scenario" localSheetId="3" hidden="0" function="0" vbProcedure="0">Valuation!$E$8</definedName>
    <definedName name="stub_year_fraction" localSheetId="3" hidden="0" function="0" vbProcedure="0">Valuation!$D$11</definedName>
    <definedName name="totalcap" localSheetId="3" hidden="0" function="0" vbProcedure="0">Valuation!$G$90</definedName>
    <definedName name="wacc" localSheetId="3" hidden="0" function="0" vbProcedure="0">Valuation!$D$12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8">
    <numFmt numFmtId="164" formatCode="#,##0.0;\(#,##0.0\)"/>
    <numFmt numFmtId="165" formatCode="#,##0_ ;[RED]\-#,##0\ "/>
    <numFmt numFmtId="166" formatCode="#,##0_);[RED]\(#,##0\)"/>
    <numFmt numFmtId="167" formatCode="#,##0.0_);[RED]\(#,##0.0\)"/>
    <numFmt numFmtId="168" formatCode="#,##0.0_ ;[RED]\-#,##0.0\ "/>
    <numFmt numFmtId="169" formatCode="[$-409]d\-mmm;@"/>
    <numFmt numFmtId="170" formatCode="[$-409]d\-mmm"/>
    <numFmt numFmtId="171" formatCode="[$-416]d\-mmm"/>
    <numFmt numFmtId="172" formatCode="0.0%"/>
    <numFmt numFmtId="173" formatCode="#,##0.0;[RED]#,##0.0"/>
    <numFmt numFmtId="174" formatCode="#,##0.00_);[RED]\(#,##0.00\)"/>
    <numFmt numFmtId="175" formatCode="0.0\x"/>
    <numFmt numFmtId="176" formatCode="0.0"/>
    <numFmt numFmtId="177" formatCode="[$-409]d\-mmm\-yy;@"/>
    <numFmt numFmtId="178" formatCode="[$BRL]\ #,##0.00_);[RED]\([$BRL]\ #,##0.00\)"/>
    <numFmt numFmtId="179" formatCode="#,##0.0_);\(#,##0.0\)"/>
    <numFmt numFmtId="180" formatCode="#,##0.000_);\(#,##0.000\)"/>
    <numFmt numFmtId="181" formatCode="&quot;R$ &quot;#,##0.00"/>
    <numFmt numFmtId="182" formatCode="#,##0.0\x"/>
    <numFmt numFmtId="183" formatCode="\$#,##0.00_);&quot;($&quot;#,##0.00\)"/>
    <numFmt numFmtId="184" formatCode="#,##0.000_);[RED]\(#,##0.000\)"/>
    <numFmt numFmtId="185" formatCode="\$#,##0.00_);[RED]&quot;($&quot;#,##0.00\)"/>
    <numFmt numFmtId="186" formatCode="\$#,##0.0_);&quot;($&quot;#,##0.0\)"/>
    <numFmt numFmtId="187" formatCode="#,##0_);\(#,##0\)"/>
    <numFmt numFmtId="188" formatCode="0.0%;\(0.0%\)"/>
    <numFmt numFmtId="189" formatCode="0.000"/>
    <numFmt numFmtId="190" formatCode="#,##0.00_);\(#,##0.00\)"/>
    <numFmt numFmtId="191" formatCode="#,##0.0"/>
  </numFmts>
  <fonts count="28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Arial"/>
      <charset val="1"/>
      <family val="2"/>
      <b val="1"/>
      <sz val="8"/>
    </font>
    <font>
      <name val="Verdana"/>
      <charset val="1"/>
      <family val="2"/>
      <color theme="1"/>
      <sz val="10"/>
    </font>
    <font>
      <name val="Arial"/>
      <charset val="1"/>
      <family val="2"/>
      <sz val="8"/>
    </font>
    <font>
      <name val="Arial"/>
      <charset val="1"/>
      <family val="2"/>
      <b val="1"/>
      <color rgb="FF333333"/>
      <sz val="10"/>
    </font>
    <font>
      <name val="Calibri"/>
      <charset val="1"/>
      <family val="2"/>
      <color rgb="FF000000"/>
      <sz val="11"/>
    </font>
    <font>
      <name val="Cambria"/>
      <charset val="1"/>
      <family val="0"/>
      <b val="1"/>
      <sz val="11"/>
    </font>
    <font>
      <name val="Verdana"/>
      <charset val="1"/>
      <family val="0"/>
      <color rgb="FF808080"/>
      <sz val="10"/>
    </font>
    <font>
      <name val="Verdana"/>
      <charset val="1"/>
      <family val="2"/>
      <color rgb="FF0000FF"/>
      <sz val="10"/>
    </font>
    <font>
      <name val="Verdana"/>
      <charset val="1"/>
      <family val="2"/>
      <b val="1"/>
      <color theme="1"/>
      <sz val="10"/>
    </font>
    <font>
      <name val="Verdana"/>
      <charset val="1"/>
      <family val="2"/>
      <b val="1"/>
      <color rgb="FFFFFFFF"/>
      <sz val="10"/>
    </font>
    <font>
      <name val="Verdana"/>
      <charset val="1"/>
      <family val="2"/>
      <i val="1"/>
      <color theme="1"/>
      <sz val="10"/>
    </font>
    <font>
      <name val="Verdana"/>
      <charset val="1"/>
      <family val="2"/>
      <sz val="10"/>
    </font>
    <font>
      <name val="Verdana"/>
      <charset val="1"/>
      <family val="2"/>
      <b val="1"/>
      <color theme="0"/>
      <sz val="10"/>
    </font>
    <font>
      <name val="Verdana"/>
      <charset val="1"/>
      <family val="2"/>
      <b val="1"/>
      <sz val="10"/>
    </font>
    <font>
      <name val="Verdana"/>
      <charset val="1"/>
      <family val="2"/>
      <b val="1"/>
      <color theme="0" tint="-0.05"/>
      <sz val="10"/>
    </font>
    <font>
      <name val="Cambria"/>
      <charset val="1"/>
      <family val="0"/>
      <color rgb="FF808080"/>
      <sz val="11"/>
    </font>
    <font>
      <name val="Verdana"/>
      <charset val="1"/>
      <family val="2"/>
      <b val="1"/>
      <color rgb="FF333333"/>
      <sz val="10"/>
    </font>
    <font>
      <name val="Verdana"/>
      <charset val="1"/>
      <family val="2"/>
      <b val="1"/>
      <color rgb="FF0000FF"/>
      <sz val="10"/>
    </font>
    <font>
      <name val="Verdana"/>
      <charset val="1"/>
      <family val="2"/>
      <sz val="10"/>
      <u val="single"/>
    </font>
    <font>
      <name val="Verdana"/>
      <charset val="1"/>
      <family val="2"/>
      <color rgb="FF008000"/>
      <sz val="10"/>
    </font>
    <font>
      <name val="Arial"/>
      <family val="2"/>
      <sz val="10"/>
    </font>
    <font>
      <b val="1"/>
    </font>
    <font>
      <name val="Verdana"/>
      <b val="1"/>
      <sz val="10"/>
    </font>
  </fonts>
  <fills count="12">
    <fill>
      <patternFill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rgb="FFFFF2CC"/>
        <bgColor rgb="FFFFFFCC"/>
      </patternFill>
    </fill>
    <fill>
      <patternFill patternType="solid">
        <fgColor theme="4" tint="0.3999"/>
        <bgColor rgb="FF00B0F0"/>
      </patternFill>
    </fill>
    <fill>
      <patternFill patternType="solid">
        <fgColor rgb="FF00B0F0"/>
        <bgColor rgb="FF46B1E1"/>
      </patternFill>
    </fill>
    <fill>
      <patternFill patternType="solid">
        <fgColor theme="0" tint="-0.05"/>
        <bgColor rgb="FFFFFFFF"/>
      </patternFill>
    </fill>
  </fills>
  <borders count="30">
    <border>
      <left/>
      <right/>
      <top/>
      <bottom/>
      <diagonal/>
    </border>
    <border>
      <left/>
      <right/>
      <top/>
      <bottom style="thin"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hair">
        <color rgb="FF0000FF"/>
      </left>
      <right style="hair">
        <color rgb="FF0000FF"/>
      </right>
      <top style="thin"/>
      <bottom style="hair">
        <color rgb="FF0000FF"/>
      </bottom>
      <diagonal/>
    </border>
    <border>
      <left style="thin"/>
      <right/>
      <top style="thin"/>
      <bottom style="medium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/>
      <bottom style="thin"/>
      <diagonal/>
    </border>
    <border>
      <left style="thin">
        <color rgb="FFFFFF00"/>
      </left>
      <right/>
      <top/>
      <bottom style="thin"/>
      <diagonal/>
    </border>
    <border>
      <left style="medium">
        <color rgb="FF00B050"/>
      </left>
      <right style="thin"/>
      <top style="medium">
        <color rgb="FF00B050"/>
      </top>
      <bottom style="medium">
        <color rgb="FF00B050"/>
      </bottom>
      <diagonal/>
    </border>
    <border>
      <left/>
      <right style="thin"/>
      <top style="thin">
        <color rgb="FFFFFF00"/>
      </top>
      <bottom style="thin">
        <color rgb="FFFFFF00"/>
      </bottom>
      <diagonal/>
    </border>
    <border>
      <left/>
      <right style="thin"/>
      <top style="thin">
        <color rgb="FFFFFF00"/>
      </top>
      <bottom/>
      <diagonal/>
    </border>
    <border>
      <left style="thin"/>
      <right style="thin"/>
      <top style="thin"/>
      <bottom style="thin"/>
      <diagonal/>
    </border>
  </borders>
  <cellStyleXfs count="1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43" fontId="3" fillId="0" borderId="0"/>
  </cellStyleXfs>
  <cellXfs count="518"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23">
      <alignment horizontal="center" vertical="bottom"/>
    </xf>
    <xf numFmtId="165" fontId="6" fillId="3" borderId="0" applyAlignment="1" pivotButton="0" quotePrefix="0" xfId="23">
      <alignment horizontal="center" vertical="bottom"/>
    </xf>
    <xf numFmtId="0" fontId="11" fillId="0" borderId="0" applyAlignment="1" pivotButton="0" quotePrefix="0" xfId="23">
      <alignment horizontal="center" vertical="bottom"/>
    </xf>
    <xf numFmtId="165" fontId="11" fillId="3" borderId="0" applyAlignment="1" pivotButton="0" quotePrefix="0" xfId="23">
      <alignment horizontal="center" vertical="bottom"/>
    </xf>
    <xf numFmtId="166" fontId="12" fillId="4" borderId="0" applyAlignment="1" pivotButton="0" quotePrefix="0" xfId="0">
      <alignment horizontal="center" vertical="bottom"/>
    </xf>
    <xf numFmtId="0" fontId="6" fillId="5" borderId="0" applyAlignment="1" pivotButton="0" quotePrefix="0" xfId="22">
      <alignment horizontal="general" vertical="bottom"/>
    </xf>
    <xf numFmtId="167" fontId="12" fillId="4" borderId="0" applyAlignment="1" pivotButton="0" quotePrefix="0" xfId="0">
      <alignment horizontal="center" vertical="bottom"/>
    </xf>
    <xf numFmtId="167" fontId="6" fillId="0" borderId="0" applyAlignment="1" pivotButton="0" quotePrefix="0" xfId="0">
      <alignment horizontal="center" vertical="bottom"/>
    </xf>
    <xf numFmtId="168" fontId="6" fillId="5" borderId="0" applyAlignment="1" pivotButton="0" quotePrefix="0" xfId="22">
      <alignment horizontal="left" vertical="bottom"/>
    </xf>
    <xf numFmtId="0" fontId="6" fillId="5" borderId="0" applyAlignment="1" pivotButton="0" quotePrefix="0" xfId="22">
      <alignment horizontal="left" vertical="bottom"/>
    </xf>
    <xf numFmtId="0" fontId="6" fillId="5" borderId="1" applyAlignment="1" pivotButton="0" quotePrefix="0" xfId="22">
      <alignment horizontal="left" vertical="bottom"/>
    </xf>
    <xf numFmtId="167" fontId="6" fillId="0" borderId="0" applyAlignment="1" pivotButton="0" quotePrefix="0" xfId="0">
      <alignment horizontal="general" vertical="bottom"/>
    </xf>
    <xf numFmtId="0" fontId="13" fillId="0" borderId="0" applyAlignment="1" pivotButton="0" quotePrefix="0" xfId="22">
      <alignment horizontal="general" vertical="bottom"/>
    </xf>
    <xf numFmtId="0" fontId="6" fillId="0" borderId="0" applyAlignment="1" pivotButton="0" quotePrefix="0" xfId="22">
      <alignment horizontal="general" vertical="bottom"/>
    </xf>
    <xf numFmtId="0" fontId="13" fillId="5" borderId="0" applyAlignment="1" pivotButton="0" quotePrefix="0" xfId="22">
      <alignment horizontal="general" vertical="bottom"/>
    </xf>
    <xf numFmtId="167" fontId="13" fillId="0" borderId="0" applyAlignment="1" pivotButton="0" quotePrefix="0" xfId="0">
      <alignment horizontal="center" vertical="bottom"/>
    </xf>
    <xf numFmtId="169" fontId="12" fillId="4" borderId="0" applyAlignment="1" pivotButton="0" quotePrefix="0" xfId="0">
      <alignment horizontal="center" vertical="bottom"/>
    </xf>
    <xf numFmtId="170" fontId="12" fillId="4" borderId="0" applyAlignment="1" pivotButton="0" quotePrefix="0" xfId="23">
      <alignment horizontal="center" vertical="bottom"/>
    </xf>
    <xf numFmtId="171" fontId="6" fillId="5" borderId="0" applyAlignment="1" pivotButton="0" quotePrefix="0" xfId="23">
      <alignment horizontal="center" vertical="bottom"/>
    </xf>
    <xf numFmtId="171" fontId="13" fillId="5" borderId="0" applyAlignment="1" pivotButton="0" quotePrefix="0" xfId="23">
      <alignment horizontal="center" vertical="bottom"/>
    </xf>
    <xf numFmtId="169" fontId="12" fillId="0" borderId="0" applyAlignment="1" pivotButton="0" quotePrefix="0" xfId="0">
      <alignment horizontal="center" vertical="bottom"/>
    </xf>
    <xf numFmtId="165" fontId="6" fillId="0" borderId="0" applyAlignment="1" pivotButton="0" quotePrefix="0" xfId="23">
      <alignment horizontal="center" vertical="bottom"/>
    </xf>
    <xf numFmtId="0" fontId="13" fillId="3" borderId="0" applyAlignment="1" pivotButton="0" quotePrefix="0" xfId="23">
      <alignment horizontal="center" vertical="bottom"/>
    </xf>
    <xf numFmtId="10" fontId="13" fillId="0" borderId="0" applyAlignment="1" pivotButton="0" quotePrefix="0" xfId="19">
      <alignment horizontal="center" vertical="bottom"/>
    </xf>
    <xf numFmtId="0" fontId="13" fillId="0" borderId="0" applyAlignment="1" pivotButton="0" quotePrefix="0" xfId="23">
      <alignment horizontal="center" vertical="bottom"/>
    </xf>
    <xf numFmtId="10" fontId="13" fillId="0" borderId="0" applyAlignment="1" pivotButton="0" quotePrefix="0" xfId="23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left" vertical="bottom"/>
    </xf>
    <xf numFmtId="0" fontId="13" fillId="0" borderId="0" applyAlignment="1" pivotButton="0" quotePrefix="0" xfId="0">
      <alignment horizontal="general" vertical="bottom"/>
    </xf>
    <xf numFmtId="167" fontId="13" fillId="5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center" vertical="bottom"/>
    </xf>
    <xf numFmtId="0" fontId="6" fillId="7" borderId="0" applyAlignment="1" pivotButton="0" quotePrefix="0" xfId="0">
      <alignment horizontal="center" vertical="bottom"/>
    </xf>
    <xf numFmtId="172" fontId="6" fillId="7" borderId="0" applyAlignment="1" pivotButton="0" quotePrefix="0" xfId="22">
      <alignment horizontal="general" vertical="bottom"/>
    </xf>
    <xf numFmtId="167" fontId="13" fillId="7" borderId="0" applyAlignment="1" pivotButton="0" quotePrefix="0" xfId="0">
      <alignment horizontal="center" vertical="bottom"/>
    </xf>
    <xf numFmtId="9" fontId="6" fillId="7" borderId="0" applyAlignment="1" pivotButton="0" quotePrefix="0" xfId="19">
      <alignment horizontal="center" vertical="bottom"/>
    </xf>
    <xf numFmtId="10" fontId="12" fillId="4" borderId="0" applyAlignment="1" pivotButton="0" quotePrefix="0" xfId="0">
      <alignment horizontal="center" vertical="bottom"/>
    </xf>
    <xf numFmtId="167" fontId="6" fillId="7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general" vertical="bottom"/>
    </xf>
    <xf numFmtId="172" fontId="15" fillId="7" borderId="0" applyAlignment="1" pivotButton="0" quotePrefix="0" xfId="22">
      <alignment horizontal="general" vertical="bottom"/>
    </xf>
    <xf numFmtId="0" fontId="13" fillId="7" borderId="0" applyAlignment="1" pivotButton="0" quotePrefix="0" xfId="22">
      <alignment horizontal="general" vertical="bottom"/>
    </xf>
    <xf numFmtId="167" fontId="6" fillId="5" borderId="0" applyAlignment="1" pivotButton="0" quotePrefix="0" xfId="0">
      <alignment horizontal="center" vertical="bottom"/>
    </xf>
    <xf numFmtId="172" fontId="6" fillId="7" borderId="0" applyAlignment="1" pivotButton="0" quotePrefix="0" xfId="22">
      <alignment horizontal="left" vertical="bottom"/>
    </xf>
    <xf numFmtId="172" fontId="6" fillId="7" borderId="0" applyAlignment="1" pivotButton="0" quotePrefix="0" xfId="19">
      <alignment horizontal="center" vertical="bottom"/>
    </xf>
    <xf numFmtId="172" fontId="12" fillId="4" borderId="0" applyAlignment="1" pivotButton="0" quotePrefix="0" xfId="19">
      <alignment horizontal="center" vertical="bottom"/>
    </xf>
    <xf numFmtId="168" fontId="6" fillId="0" borderId="0" applyAlignment="1" pivotButton="0" quotePrefix="0" xfId="22">
      <alignment horizontal="left" vertical="bottom"/>
    </xf>
    <xf numFmtId="172" fontId="6" fillId="0" borderId="0" applyAlignment="1" pivotButton="0" quotePrefix="0" xfId="19">
      <alignment horizontal="center" vertical="bottom"/>
    </xf>
    <xf numFmtId="172" fontId="12" fillId="4" borderId="0" applyAlignment="1" pivotButton="0" quotePrefix="0" xfId="0">
      <alignment horizontal="center" vertical="bottom"/>
    </xf>
    <xf numFmtId="9" fontId="6" fillId="0" borderId="0" applyAlignment="1" pivotButton="0" quotePrefix="0" xfId="19">
      <alignment horizontal="center" vertical="bottom"/>
    </xf>
    <xf numFmtId="9" fontId="6" fillId="0" borderId="0" applyAlignment="1" pivotButton="0" quotePrefix="0" xfId="19">
      <alignment horizontal="left" vertical="bottom"/>
    </xf>
    <xf numFmtId="9" fontId="12" fillId="4" borderId="0" applyAlignment="1" pivotButton="0" quotePrefix="0" xfId="19">
      <alignment horizontal="center" vertical="bottom"/>
    </xf>
    <xf numFmtId="9" fontId="6" fillId="0" borderId="0" applyAlignment="1" pivotButton="0" quotePrefix="0" xfId="19">
      <alignment horizontal="general" vertical="bottom"/>
    </xf>
    <xf numFmtId="0" fontId="6" fillId="0" borderId="0" applyAlignment="1" pivotButton="0" quotePrefix="0" xfId="22">
      <alignment horizontal="left" vertical="bottom"/>
    </xf>
    <xf numFmtId="172" fontId="6" fillId="0" borderId="0" applyAlignment="1" pivotButton="0" quotePrefix="0" xfId="0">
      <alignment horizontal="center" vertical="bottom"/>
    </xf>
    <xf numFmtId="0" fontId="6" fillId="7" borderId="0" applyAlignment="1" pivotButton="0" quotePrefix="0" xfId="22">
      <alignment horizontal="left" vertical="bottom"/>
    </xf>
    <xf numFmtId="0" fontId="16" fillId="7" borderId="0" applyAlignment="1" pivotButton="0" quotePrefix="0" xfId="22">
      <alignment horizontal="left" vertical="bottom"/>
    </xf>
    <xf numFmtId="167" fontId="16" fillId="7" borderId="0" applyAlignment="1" pivotButton="0" quotePrefix="0" xfId="0">
      <alignment horizontal="center" vertical="bottom"/>
    </xf>
    <xf numFmtId="165" fontId="12" fillId="4" borderId="0" applyAlignment="1" pivotButton="0" quotePrefix="0" xfId="0">
      <alignment horizontal="center" vertical="bottom"/>
    </xf>
    <xf numFmtId="167" fontId="6" fillId="0" borderId="0" applyAlignment="1" pivotButton="0" quotePrefix="0" xfId="0">
      <alignment horizontal="center" vertical="center"/>
    </xf>
    <xf numFmtId="173" fontId="6" fillId="0" borderId="0" applyAlignment="1" pivotButton="0" quotePrefix="0" xfId="0">
      <alignment horizontal="center" vertical="bottom"/>
    </xf>
    <xf numFmtId="172" fontId="12" fillId="8" borderId="0" applyAlignment="1" pivotButton="0" quotePrefix="0" xfId="0">
      <alignment horizontal="center" vertical="bottom"/>
    </xf>
    <xf numFmtId="0" fontId="13" fillId="5" borderId="0" applyAlignment="1" pivotButton="0" quotePrefix="0" xfId="22">
      <alignment horizontal="left" vertical="bottom"/>
    </xf>
    <xf numFmtId="0" fontId="6" fillId="7" borderId="0" applyAlignment="1" pivotButton="0" quotePrefix="0" xfId="0">
      <alignment horizontal="general" vertical="bottom"/>
    </xf>
    <xf numFmtId="168" fontId="6" fillId="7" borderId="0" applyAlignment="1" pivotButton="0" quotePrefix="0" xfId="22">
      <alignment horizontal="left" vertical="bottom"/>
    </xf>
    <xf numFmtId="167" fontId="6" fillId="8" borderId="0" applyAlignment="1" pivotButton="0" quotePrefix="0" xfId="0">
      <alignment horizontal="center" vertical="bottom"/>
    </xf>
    <xf numFmtId="174" fontId="6" fillId="0" borderId="0" applyAlignment="1" pivotButton="0" quotePrefix="0" xfId="0">
      <alignment horizontal="center" vertical="bottom"/>
    </xf>
    <xf numFmtId="166" fontId="6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center" vertical="bottom"/>
    </xf>
    <xf numFmtId="0" fontId="6" fillId="5" borderId="1" applyAlignment="1" pivotButton="0" quotePrefix="0" xfId="22">
      <alignment horizontal="general" vertical="bottom"/>
    </xf>
    <xf numFmtId="173" fontId="6" fillId="0" borderId="0" applyAlignment="1" pivotButton="0" quotePrefix="0" xfId="0">
      <alignment horizontal="general" vertical="bottom"/>
    </xf>
    <xf numFmtId="0" fontId="17" fillId="9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9" fontId="6" fillId="0" borderId="0" applyAlignment="1" pivotButton="0" quotePrefix="0" xfId="19">
      <alignment horizontal="general" vertical="center"/>
    </xf>
    <xf numFmtId="9" fontId="6" fillId="0" borderId="0" applyAlignment="1" pivotButton="0" quotePrefix="0" xfId="19">
      <alignment horizontal="center" vertical="center"/>
    </xf>
    <xf numFmtId="172" fontId="6" fillId="0" borderId="0" applyAlignment="1" pivotButton="0" quotePrefix="0" xfId="0">
      <alignment horizontal="center" vertical="center"/>
    </xf>
    <xf numFmtId="172" fontId="6" fillId="0" borderId="0" applyAlignment="1" pivotButton="0" quotePrefix="0" xfId="19">
      <alignment horizontal="center" vertical="center"/>
    </xf>
    <xf numFmtId="175" fontId="6" fillId="0" borderId="0" applyAlignment="1" pivotButton="0" quotePrefix="0" xfId="0">
      <alignment horizontal="center" vertical="center"/>
    </xf>
    <xf numFmtId="175" fontId="6" fillId="0" borderId="0" applyAlignment="1" pivotButton="0" quotePrefix="0" xfId="0">
      <alignment horizontal="general" vertical="center"/>
    </xf>
    <xf numFmtId="172" fontId="6" fillId="0" borderId="0" applyAlignment="1" pivotButton="0" quotePrefix="0" xfId="19">
      <alignment horizontal="general" vertical="center"/>
    </xf>
    <xf numFmtId="176" fontId="6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center" vertical="center"/>
    </xf>
    <xf numFmtId="173" fontId="6" fillId="0" borderId="0" applyAlignment="1" pivotButton="0" quotePrefix="0" xfId="0">
      <alignment horizontal="general" vertical="center"/>
    </xf>
    <xf numFmtId="173" fontId="6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right" vertical="center"/>
    </xf>
    <xf numFmtId="0" fontId="16" fillId="0" borderId="0" applyAlignment="1" pivotButton="0" quotePrefix="0" xfId="24">
      <alignment horizontal="general" vertical="bottom"/>
    </xf>
    <xf numFmtId="0" fontId="14" fillId="0" borderId="0" applyAlignment="1" pivotButton="0" quotePrefix="0" xfId="24">
      <alignment horizontal="general" vertical="bottom"/>
    </xf>
    <xf numFmtId="0" fontId="16" fillId="0" borderId="3" applyAlignment="1" pivotButton="0" quotePrefix="0" xfId="24">
      <alignment horizontal="general" vertical="bottom"/>
    </xf>
    <xf numFmtId="177" fontId="12" fillId="4" borderId="4" applyAlignment="1" pivotButton="0" quotePrefix="0" xfId="21">
      <alignment horizontal="center" vertical="bottom"/>
    </xf>
    <xf numFmtId="178" fontId="12" fillId="4" borderId="0" applyAlignment="1" pivotButton="0" quotePrefix="0" xfId="24">
      <alignment horizontal="center" vertical="bottom"/>
    </xf>
    <xf numFmtId="172" fontId="16" fillId="0" borderId="0" applyAlignment="1" pivotButton="0" quotePrefix="0" xfId="24">
      <alignment horizontal="right" vertical="bottom"/>
    </xf>
    <xf numFmtId="0" fontId="0" fillId="8" borderId="0" applyAlignment="1" pivotButton="0" quotePrefix="0" xfId="0">
      <alignment horizontal="general" vertical="bottom"/>
    </xf>
    <xf numFmtId="177" fontId="12" fillId="4" borderId="4" applyAlignment="1" pivotButton="0" quotePrefix="0" xfId="21">
      <alignment horizontal="right" vertical="bottom"/>
    </xf>
    <xf numFmtId="172" fontId="16" fillId="0" borderId="0" applyAlignment="1" pivotButton="0" quotePrefix="0" xfId="24">
      <alignment horizontal="center" vertical="bottom"/>
    </xf>
    <xf numFmtId="179" fontId="12" fillId="0" borderId="0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center" vertical="bottom"/>
    </xf>
    <xf numFmtId="0" fontId="18" fillId="0" borderId="0" applyAlignment="1" pivotButton="0" quotePrefix="0" xfId="24">
      <alignment horizontal="general" vertical="bottom"/>
    </xf>
    <xf numFmtId="181" fontId="16" fillId="0" borderId="0" applyAlignment="1" pivotButton="0" quotePrefix="0" xfId="24">
      <alignment horizontal="general" vertical="bottom"/>
    </xf>
    <xf numFmtId="0" fontId="13" fillId="5" borderId="0" applyAlignment="1" pivotButton="0" quotePrefix="0" xfId="24">
      <alignment horizontal="general" vertical="bottom"/>
    </xf>
    <xf numFmtId="0" fontId="19" fillId="6" borderId="0" applyAlignment="1" pivotButton="0" quotePrefix="0" xfId="24">
      <alignment horizontal="center" vertical="bottom" wrapText="1"/>
    </xf>
    <xf numFmtId="0" fontId="13" fillId="5" borderId="1" applyAlignment="1" pivotButton="0" quotePrefix="0" xfId="24">
      <alignment horizontal="general" vertical="bottom"/>
    </xf>
    <xf numFmtId="0" fontId="17" fillId="6" borderId="1" applyAlignment="1" pivotButton="0" quotePrefix="0" xfId="24">
      <alignment horizontal="center" vertical="bottom"/>
    </xf>
    <xf numFmtId="0" fontId="17" fillId="10" borderId="1" applyAlignment="1" pivotButton="0" quotePrefix="0" xfId="24">
      <alignment horizontal="center" vertical="bottom"/>
    </xf>
    <xf numFmtId="0" fontId="20" fillId="10" borderId="1" applyAlignment="1" pivotButton="0" quotePrefix="0" xfId="24">
      <alignment horizontal="center" vertical="bottom"/>
    </xf>
    <xf numFmtId="0" fontId="18" fillId="0" borderId="0" applyAlignment="1" pivotButton="0" quotePrefix="0" xfId="24">
      <alignment horizontal="center" vertical="bottom"/>
    </xf>
    <xf numFmtId="0" fontId="16" fillId="0" borderId="0" applyAlignment="1" pivotButton="0" quotePrefix="0" xfId="24">
      <alignment horizontal="center" vertical="bottom"/>
    </xf>
    <xf numFmtId="1" fontId="18" fillId="0" borderId="0" applyAlignment="1" pivotButton="0" quotePrefix="0" xfId="24">
      <alignment horizontal="center" vertical="bottom"/>
    </xf>
    <xf numFmtId="1" fontId="20" fillId="0" borderId="0" applyAlignment="1" pivotButton="0" quotePrefix="0" xfId="24">
      <alignment horizontal="center" vertical="bottom"/>
    </xf>
    <xf numFmtId="0" fontId="16" fillId="0" borderId="1" applyAlignment="1" pivotButton="0" quotePrefix="0" xfId="24">
      <alignment horizontal="general" vertical="bottom"/>
    </xf>
    <xf numFmtId="169" fontId="16" fillId="0" borderId="1" applyAlignment="1" pivotButton="0" quotePrefix="0" xfId="24">
      <alignment horizontal="center" vertical="bottom"/>
    </xf>
    <xf numFmtId="169" fontId="16" fillId="0" borderId="0" applyAlignment="1" pivotButton="0" quotePrefix="0" xfId="24">
      <alignment horizontal="center" vertical="bottom"/>
    </xf>
    <xf numFmtId="0" fontId="16" fillId="0" borderId="5" applyAlignment="1" pivotButton="0" quotePrefix="0" xfId="24">
      <alignment horizontal="general" vertical="bottom"/>
    </xf>
    <xf numFmtId="179" fontId="16" fillId="11" borderId="6" applyAlignment="1" pivotButton="0" quotePrefix="0" xfId="24">
      <alignment horizontal="center" vertical="bottom"/>
    </xf>
    <xf numFmtId="179" fontId="16" fillId="11" borderId="7" applyAlignment="1" pivotButton="0" quotePrefix="0" xfId="24">
      <alignment horizontal="center" vertical="bottom"/>
    </xf>
    <xf numFmtId="172" fontId="18" fillId="0" borderId="0" applyAlignment="1" pivotButton="0" quotePrefix="0" xfId="28">
      <alignment horizontal="center" vertical="bottom"/>
    </xf>
    <xf numFmtId="0" fontId="16" fillId="0" borderId="8" applyAlignment="1" pivotButton="0" quotePrefix="0" xfId="24">
      <alignment horizontal="general" vertical="bottom"/>
    </xf>
    <xf numFmtId="172" fontId="18" fillId="0" borderId="1" applyAlignment="1" pivotButton="0" quotePrefix="0" xfId="28">
      <alignment horizontal="center" vertical="bottom"/>
    </xf>
    <xf numFmtId="172" fontId="18" fillId="0" borderId="9" applyAlignment="1" pivotButton="0" quotePrefix="0" xfId="28">
      <alignment horizontal="center" vertical="bottom"/>
    </xf>
    <xf numFmtId="179" fontId="16" fillId="0" borderId="5" applyAlignment="1" pivotButton="0" quotePrefix="0" xfId="24">
      <alignment horizontal="general" vertical="bottom"/>
    </xf>
    <xf numFmtId="0" fontId="16" fillId="0" borderId="6" applyAlignment="1" pivotButton="0" quotePrefix="0" xfId="24">
      <alignment horizontal="general" vertical="bottom"/>
    </xf>
    <xf numFmtId="0" fontId="16" fillId="0" borderId="7" applyAlignment="1" pivotButton="0" quotePrefix="0" xfId="24">
      <alignment horizontal="general" vertical="bottom"/>
    </xf>
    <xf numFmtId="172" fontId="16" fillId="0" borderId="1" applyAlignment="1" pivotButton="0" quotePrefix="0" xfId="28">
      <alignment horizontal="center" vertical="bottom"/>
    </xf>
    <xf numFmtId="0" fontId="16" fillId="0" borderId="9" applyAlignment="1" pivotButton="0" quotePrefix="0" xfId="24">
      <alignment horizontal="general" vertical="bottom"/>
    </xf>
    <xf numFmtId="172" fontId="16" fillId="0" borderId="9" applyAlignment="1" pivotButton="0" quotePrefix="0" xfId="28">
      <alignment horizontal="center" vertical="bottom"/>
    </xf>
    <xf numFmtId="172" fontId="16" fillId="11" borderId="6" applyAlignment="1" pivotButton="0" quotePrefix="0" xfId="24">
      <alignment horizontal="center" vertical="bottom"/>
    </xf>
    <xf numFmtId="172" fontId="16" fillId="11" borderId="7" applyAlignment="1" pivotButton="0" quotePrefix="0" xfId="24">
      <alignment horizontal="center" vertical="bottom"/>
    </xf>
    <xf numFmtId="179" fontId="16" fillId="0" borderId="1" applyAlignment="1" pivotButton="0" quotePrefix="0" xfId="24">
      <alignment horizontal="center" vertical="bottom"/>
    </xf>
    <xf numFmtId="179" fontId="16" fillId="0" borderId="9" applyAlignment="1" pivotButton="0" quotePrefix="0" xfId="24">
      <alignment horizontal="center" vertical="bottom"/>
    </xf>
    <xf numFmtId="179" fontId="16" fillId="0" borderId="10" applyAlignment="1" pivotButton="0" quotePrefix="0" xfId="24">
      <alignment horizontal="left" vertical="bottom"/>
    </xf>
    <xf numFmtId="179" fontId="16" fillId="11" borderId="11" applyAlignment="1" pivotButton="0" quotePrefix="0" xfId="24">
      <alignment horizontal="center" vertical="bottom"/>
    </xf>
    <xf numFmtId="179" fontId="16" fillId="11" borderId="12" applyAlignment="1" pivotButton="0" quotePrefix="0" xfId="24">
      <alignment horizontal="center" vertical="bottom"/>
    </xf>
    <xf numFmtId="179" fontId="16" fillId="0" borderId="5" applyAlignment="1" pivotButton="0" quotePrefix="0" xfId="24">
      <alignment horizontal="left" vertical="bottom"/>
    </xf>
    <xf numFmtId="179" fontId="16" fillId="0" borderId="6" applyAlignment="1" pivotButton="0" quotePrefix="0" xfId="24">
      <alignment horizontal="center" vertical="bottom"/>
    </xf>
    <xf numFmtId="179" fontId="16" fillId="0" borderId="7" applyAlignment="1" pivotButton="0" quotePrefix="0" xfId="24">
      <alignment horizontal="center" vertical="bottom"/>
    </xf>
    <xf numFmtId="179" fontId="16" fillId="0" borderId="13" applyAlignment="1" pivotButton="0" quotePrefix="0" xfId="24">
      <alignment horizontal="left" vertical="bottom"/>
    </xf>
    <xf numFmtId="179" fontId="16" fillId="11" borderId="0" applyAlignment="1" pivotButton="0" quotePrefix="0" xfId="24">
      <alignment horizontal="center" vertical="bottom"/>
    </xf>
    <xf numFmtId="179" fontId="16" fillId="11" borderId="14" applyAlignment="1" pivotButton="0" quotePrefix="0" xfId="24">
      <alignment horizontal="center" vertical="bottom"/>
    </xf>
    <xf numFmtId="179" fontId="16" fillId="0" borderId="8" applyAlignment="1" pivotButton="0" quotePrefix="0" xfId="24">
      <alignment horizontal="left" vertical="bottom"/>
    </xf>
    <xf numFmtId="179" fontId="16" fillId="11" borderId="1" applyAlignment="1" pivotButton="0" quotePrefix="0" xfId="24">
      <alignment horizontal="center" vertical="bottom"/>
    </xf>
    <xf numFmtId="179" fontId="16" fillId="11" borderId="9" applyAlignment="1" pivotButton="0" quotePrefix="0" xfId="24">
      <alignment horizontal="center" vertical="bottom"/>
    </xf>
    <xf numFmtId="179" fontId="16" fillId="0" borderId="0" applyAlignment="1" pivotButton="0" quotePrefix="0" xfId="24">
      <alignment horizontal="center" vertical="bottom"/>
    </xf>
    <xf numFmtId="179" fontId="16" fillId="0" borderId="15" applyAlignment="1" pivotButton="0" quotePrefix="0" xfId="24">
      <alignment horizontal="center" vertical="bottom"/>
    </xf>
    <xf numFmtId="0" fontId="16" fillId="0" borderId="13" applyAlignment="1" pivotButton="0" quotePrefix="0" xfId="24">
      <alignment horizontal="general" vertical="bottom"/>
    </xf>
    <xf numFmtId="0" fontId="16" fillId="0" borderId="14" applyAlignment="1" pivotButton="0" quotePrefix="0" xfId="24">
      <alignment horizontal="general" vertical="bottom"/>
    </xf>
    <xf numFmtId="179" fontId="6" fillId="0" borderId="0" applyAlignment="1" pivotButton="0" quotePrefix="0" xfId="24">
      <alignment horizontal="center" vertical="bottom"/>
    </xf>
    <xf numFmtId="179" fontId="6" fillId="0" borderId="14" applyAlignment="1" pivotButton="0" quotePrefix="0" xfId="24">
      <alignment horizontal="center" vertical="bottom"/>
    </xf>
    <xf numFmtId="172" fontId="12" fillId="4" borderId="1" applyAlignment="1" pivotButton="0" quotePrefix="0" xfId="28">
      <alignment horizontal="center" vertical="bottom"/>
    </xf>
    <xf numFmtId="172" fontId="12" fillId="4" borderId="9" applyAlignment="1" pivotButton="0" quotePrefix="0" xfId="28">
      <alignment horizontal="center" vertical="bottom"/>
    </xf>
    <xf numFmtId="1" fontId="16" fillId="0" borderId="0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general" vertical="bottom"/>
    </xf>
    <xf numFmtId="172" fontId="18" fillId="11" borderId="11" applyAlignment="1" pivotButton="0" quotePrefix="0" xfId="24">
      <alignment horizontal="center" vertical="bottom"/>
    </xf>
    <xf numFmtId="172" fontId="18" fillId="0" borderId="11" applyAlignment="1" pivotButton="0" quotePrefix="0" xfId="28">
      <alignment horizontal="center" vertical="bottom"/>
    </xf>
    <xf numFmtId="172" fontId="18" fillId="0" borderId="12" applyAlignment="1" pivotButton="0" quotePrefix="0" xfId="28">
      <alignment horizontal="center" vertical="bottom"/>
    </xf>
    <xf numFmtId="172" fontId="18" fillId="0" borderId="0" applyAlignment="1" pivotButton="0" quotePrefix="0" xfId="24">
      <alignment horizontal="center" vertical="bottom"/>
    </xf>
    <xf numFmtId="182" fontId="16" fillId="0" borderId="0" applyAlignment="1" pivotButton="0" quotePrefix="0" xfId="25">
      <alignment horizontal="center" vertical="center"/>
    </xf>
    <xf numFmtId="179" fontId="18" fillId="0" borderId="0" applyAlignment="1" pivotButton="0" quotePrefix="0" xfId="24">
      <alignment horizontal="center" vertical="bottom"/>
    </xf>
    <xf numFmtId="179" fontId="21" fillId="0" borderId="2" applyAlignment="1" pivotButton="0" quotePrefix="0" xfId="27">
      <alignment horizontal="center" vertical="bottom"/>
    </xf>
    <xf numFmtId="0" fontId="16" fillId="0" borderId="0" applyAlignment="1" pivotButton="0" quotePrefix="0" xfId="24">
      <alignment horizontal="left" vertical="bottom" indent="1"/>
    </xf>
    <xf numFmtId="174" fontId="16" fillId="0" borderId="0" applyAlignment="1" pivotButton="0" quotePrefix="0" xfId="24">
      <alignment horizontal="center" vertical="bottom"/>
    </xf>
    <xf numFmtId="174" fontId="21" fillId="0" borderId="2" applyAlignment="1" pivotButton="0" quotePrefix="0" xfId="27">
      <alignment horizontal="center" vertical="bottom"/>
    </xf>
    <xf numFmtId="10" fontId="16" fillId="0" borderId="0" applyAlignment="1" pivotButton="0" quotePrefix="0" xfId="24">
      <alignment horizontal="general" vertical="bottom"/>
    </xf>
    <xf numFmtId="179" fontId="18" fillId="0" borderId="0" applyAlignment="1" pivotButton="0" quotePrefix="0" xfId="24">
      <alignment horizontal="general" vertical="bottom"/>
    </xf>
    <xf numFmtId="180" fontId="16" fillId="0" borderId="0" applyAlignment="1" pivotButton="0" quotePrefix="0" xfId="24">
      <alignment horizontal="general" vertical="bottom"/>
    </xf>
    <xf numFmtId="0" fontId="13" fillId="5" borderId="5" applyAlignment="1" pivotButton="0" quotePrefix="0" xfId="24">
      <alignment horizontal="general" vertical="bottom"/>
    </xf>
    <xf numFmtId="172" fontId="6" fillId="5" borderId="7" applyAlignment="1" pivotButton="0" quotePrefix="0" xfId="24">
      <alignment horizontal="center" vertical="bottom"/>
    </xf>
    <xf numFmtId="0" fontId="13" fillId="5" borderId="6" applyAlignment="1" pivotButton="0" quotePrefix="0" xfId="24">
      <alignment horizontal="general" vertical="bottom"/>
    </xf>
    <xf numFmtId="0" fontId="6" fillId="5" borderId="6" applyAlignment="1" pivotButton="0" quotePrefix="0" xfId="24">
      <alignment horizontal="general" vertical="bottom"/>
    </xf>
    <xf numFmtId="0" fontId="13" fillId="5" borderId="16" applyAlignment="1" pivotButton="0" quotePrefix="0" xfId="24">
      <alignment horizontal="general" vertical="bottom"/>
    </xf>
    <xf numFmtId="172" fontId="6" fillId="5" borderId="17" applyAlignment="1" pivotButton="0" quotePrefix="0" xfId="24">
      <alignment horizontal="center" vertical="bottom"/>
    </xf>
    <xf numFmtId="0" fontId="6" fillId="5" borderId="17" applyAlignment="1" pivotButton="0" quotePrefix="0" xfId="24">
      <alignment horizontal="general" vertical="bottom"/>
    </xf>
    <xf numFmtId="0" fontId="6" fillId="5" borderId="18" applyAlignment="1" pivotButton="0" quotePrefix="0" xfId="24">
      <alignment horizontal="general" vertical="bottom"/>
    </xf>
    <xf numFmtId="0" fontId="18" fillId="0" borderId="13" applyAlignment="1" pivotButton="0" quotePrefix="0" xfId="24">
      <alignment horizontal="left" vertical="bottom" indent="1"/>
    </xf>
    <xf numFmtId="179" fontId="16" fillId="0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left" vertical="bottom" indent="1"/>
    </xf>
    <xf numFmtId="0" fontId="16" fillId="0" borderId="13" applyAlignment="1" pivotButton="0" quotePrefix="0" xfId="24">
      <alignment horizontal="left" vertical="bottom" indent="1"/>
    </xf>
    <xf numFmtId="179" fontId="6" fillId="11" borderId="14" applyAlignment="1" pivotButton="0" quotePrefix="0" xfId="24">
      <alignment horizontal="center" vertical="bottom"/>
    </xf>
    <xf numFmtId="172" fontId="22" fillId="4" borderId="14" applyAlignment="1" pivotButton="0" quotePrefix="0" xfId="24">
      <alignment horizontal="center" vertical="bottom"/>
    </xf>
    <xf numFmtId="0" fontId="23" fillId="0" borderId="0" applyAlignment="1" pivotButton="0" quotePrefix="0" xfId="24">
      <alignment horizontal="left" vertical="bottom" indent="1"/>
    </xf>
    <xf numFmtId="183" fontId="6" fillId="11" borderId="14" applyAlignment="1" pivotButton="0" quotePrefix="0" xfId="21">
      <alignment horizontal="center" vertical="bottom"/>
    </xf>
    <xf numFmtId="172" fontId="13" fillId="0" borderId="19" applyAlignment="1" pivotButton="0" quotePrefix="0" xfId="0">
      <alignment horizontal="center" vertical="bottom"/>
    </xf>
    <xf numFmtId="0" fontId="16" fillId="0" borderId="1" applyAlignment="1" pivotButton="0" quotePrefix="0" xfId="24">
      <alignment horizontal="left" vertical="bottom" indent="1"/>
    </xf>
    <xf numFmtId="0" fontId="16" fillId="0" borderId="9" applyAlignment="1" pivotButton="0" quotePrefix="0" xfId="24">
      <alignment horizontal="right" vertical="bottom" indent="1"/>
    </xf>
    <xf numFmtId="179" fontId="18" fillId="0" borderId="14" applyAlignment="1" pivotButton="0" quotePrefix="0" xfId="24">
      <alignment horizontal="center" vertical="bottom"/>
    </xf>
    <xf numFmtId="0" fontId="16" fillId="0" borderId="1" applyAlignment="1" pivotButton="0" quotePrefix="0" xfId="24">
      <alignment horizontal="right" vertical="bottom"/>
    </xf>
    <xf numFmtId="184" fontId="12" fillId="4" borderId="20" applyAlignment="1" pivotButton="0" quotePrefix="0" xfId="24">
      <alignment horizontal="general" vertical="bottom"/>
    </xf>
    <xf numFmtId="183" fontId="12" fillId="4" borderId="21" applyAlignment="1" pivotButton="0" quotePrefix="0" xfId="20">
      <alignment horizontal="general" vertical="bottom"/>
    </xf>
    <xf numFmtId="180" fontId="16" fillId="0" borderId="14" applyAlignment="1" pivotButton="0" quotePrefix="0" xfId="24">
      <alignment horizontal="right" vertical="bottom" indent="1"/>
    </xf>
    <xf numFmtId="184" fontId="12" fillId="4" borderId="22" applyAlignment="1" pivotButton="0" quotePrefix="0" xfId="24">
      <alignment horizontal="general" vertical="bottom"/>
    </xf>
    <xf numFmtId="183" fontId="12" fillId="4" borderId="23" applyAlignment="1" pivotButton="0" quotePrefix="0" xfId="20">
      <alignment horizontal="general" vertical="bottom"/>
    </xf>
    <xf numFmtId="179" fontId="16" fillId="0" borderId="14" applyAlignment="1" pivotButton="0" quotePrefix="0" xfId="24">
      <alignment horizontal="center" vertical="bottom"/>
    </xf>
    <xf numFmtId="184" fontId="12" fillId="4" borderId="24" applyAlignment="1" pivotButton="0" quotePrefix="0" xfId="24">
      <alignment horizontal="general" vertical="bottom"/>
    </xf>
    <xf numFmtId="183" fontId="12" fillId="4" borderId="25" applyAlignment="1" pivotButton="0" quotePrefix="0" xfId="20">
      <alignment horizontal="general" vertical="bottom"/>
    </xf>
    <xf numFmtId="180" fontId="16" fillId="0" borderId="9" applyAlignment="1" pivotButton="0" quotePrefix="0" xfId="24">
      <alignment horizontal="right" vertical="bottom" indent="1"/>
    </xf>
    <xf numFmtId="175" fontId="12" fillId="4" borderId="14" applyAlignment="1" pivotButton="0" quotePrefix="0" xfId="24">
      <alignment horizontal="center" vertical="bottom"/>
    </xf>
    <xf numFmtId="185" fontId="16" fillId="0" borderId="0" applyAlignment="1" pivotButton="0" quotePrefix="0" xfId="24">
      <alignment horizontal="right" vertical="bottom"/>
    </xf>
    <xf numFmtId="186" fontId="16" fillId="0" borderId="14" applyAlignment="1" pivotButton="0" quotePrefix="0" xfId="24">
      <alignment horizontal="right" vertical="bottom" indent="1"/>
    </xf>
    <xf numFmtId="0" fontId="16" fillId="0" borderId="0" applyAlignment="1" pivotButton="0" quotePrefix="0" xfId="24">
      <alignment horizontal="right" vertical="bottom"/>
    </xf>
    <xf numFmtId="179" fontId="24" fillId="0" borderId="0" applyAlignment="1" pivotButton="0" quotePrefix="0" xfId="24">
      <alignment horizontal="general" vertical="bottom"/>
    </xf>
    <xf numFmtId="179" fontId="16" fillId="0" borderId="14" applyAlignment="1" pivotButton="0" quotePrefix="0" xfId="24">
      <alignment horizontal="general" vertical="bottom"/>
    </xf>
    <xf numFmtId="183" fontId="18" fillId="0" borderId="26" applyAlignment="1" pivotButton="0" quotePrefix="0" xfId="24">
      <alignment horizontal="center" vertical="bottom"/>
    </xf>
    <xf numFmtId="184" fontId="12" fillId="4" borderId="27" applyAlignment="1" pivotButton="0" quotePrefix="0" xfId="24">
      <alignment horizontal="right" vertical="bottom" indent="1"/>
    </xf>
    <xf numFmtId="0" fontId="16" fillId="0" borderId="14" applyAlignment="1" pivotButton="0" quotePrefix="0" xfId="24">
      <alignment horizontal="right" vertical="bottom" indent="1"/>
    </xf>
    <xf numFmtId="183" fontId="18" fillId="0" borderId="14" applyAlignment="1" pivotButton="0" quotePrefix="0" xfId="24">
      <alignment horizontal="center" vertical="bottom"/>
    </xf>
    <xf numFmtId="184" fontId="12" fillId="4" borderId="28" applyAlignment="1" pivotButton="0" quotePrefix="0" xfId="24">
      <alignment horizontal="right" vertical="bottom" indent="1"/>
    </xf>
    <xf numFmtId="187" fontId="12" fillId="4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right" vertical="bottom"/>
    </xf>
    <xf numFmtId="179" fontId="18" fillId="0" borderId="14" applyAlignment="1" pivotButton="0" quotePrefix="0" xfId="26">
      <alignment horizontal="right" vertical="bottom" indent="1"/>
    </xf>
    <xf numFmtId="0" fontId="16" fillId="0" borderId="8" applyAlignment="1" pivotButton="0" quotePrefix="0" xfId="24">
      <alignment horizontal="left" vertical="bottom" indent="1"/>
    </xf>
    <xf numFmtId="172" fontId="16" fillId="0" borderId="9" applyAlignment="1" pivotButton="0" quotePrefix="0" xfId="24">
      <alignment horizontal="right" vertical="bottom" indent="1"/>
    </xf>
    <xf numFmtId="0" fontId="13" fillId="5" borderId="3" applyAlignment="1" pivotButton="0" quotePrefix="0" xfId="24">
      <alignment horizontal="general" vertical="bottom"/>
    </xf>
    <xf numFmtId="172" fontId="6" fillId="5" borderId="3" applyAlignment="1" pivotButton="0" quotePrefix="0" xfId="24">
      <alignment horizontal="center" vertical="bottom"/>
    </xf>
    <xf numFmtId="0" fontId="6" fillId="5" borderId="3" applyAlignment="1" pivotButton="0" quotePrefix="0" xfId="24">
      <alignment horizontal="general" vertical="bottom"/>
    </xf>
    <xf numFmtId="0" fontId="18" fillId="0" borderId="1" applyAlignment="1" pivotButton="0" quotePrefix="0" xfId="24">
      <alignment horizontal="general" vertical="bottom"/>
    </xf>
    <xf numFmtId="172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center" vertical="bottom"/>
    </xf>
    <xf numFmtId="0" fontId="16" fillId="0" borderId="11" applyAlignment="1" pivotButton="0" quotePrefix="0" xfId="24">
      <alignment horizontal="right" vertical="bottom"/>
    </xf>
    <xf numFmtId="179" fontId="16" fillId="0" borderId="0" applyAlignment="1" pivotButton="0" quotePrefix="0" xfId="24">
      <alignment horizontal="general" vertical="bottom"/>
    </xf>
    <xf numFmtId="9" fontId="16" fillId="0" borderId="0" applyAlignment="1" pivotButton="0" quotePrefix="0" xfId="24">
      <alignment horizontal="general" vertical="bottom"/>
    </xf>
    <xf numFmtId="188" fontId="16" fillId="0" borderId="0" applyAlignment="1" pivotButton="0" quotePrefix="0" xfId="24">
      <alignment horizontal="center" vertical="bottom"/>
    </xf>
    <xf numFmtId="179" fontId="16" fillId="0" borderId="0" applyAlignment="1" pivotButton="0" quotePrefix="0" xfId="24">
      <alignment horizontal="right" vertical="bottom"/>
    </xf>
    <xf numFmtId="189" fontId="16" fillId="0" borderId="0" applyAlignment="1" pivotButton="0" quotePrefix="0" xfId="24">
      <alignment horizontal="general" vertical="bottom"/>
    </xf>
    <xf numFmtId="179" fontId="23" fillId="0" borderId="0" applyAlignment="1" pivotButton="0" quotePrefix="0" xfId="24">
      <alignment horizontal="right" vertical="bottom"/>
    </xf>
    <xf numFmtId="0" fontId="23" fillId="0" borderId="0" applyAlignment="1" pivotButton="0" quotePrefix="0" xfId="24">
      <alignment horizontal="right" vertical="bottom"/>
    </xf>
    <xf numFmtId="190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left" vertical="bottom" wrapText="1"/>
    </xf>
    <xf numFmtId="0" fontId="18" fillId="0" borderId="1" applyAlignment="1" pivotButton="0" quotePrefix="0" xfId="24">
      <alignment horizontal="center" vertical="bottom" wrapText="1"/>
    </xf>
    <xf numFmtId="177" fontId="16" fillId="0" borderId="0" applyAlignment="1" pivotButton="0" quotePrefix="0" xfId="24">
      <alignment horizontal="general" vertical="bottom"/>
    </xf>
    <xf numFmtId="190" fontId="16" fillId="0" borderId="0" applyAlignment="1" pivotButton="0" quotePrefix="0" xfId="24">
      <alignment horizontal="center" vertical="bottom"/>
    </xf>
    <xf numFmtId="183" fontId="16" fillId="0" borderId="0" applyAlignment="1" pivotButton="0" quotePrefix="0" xfId="24">
      <alignment horizontal="center" vertical="bottom"/>
    </xf>
    <xf numFmtId="10" fontId="16" fillId="0" borderId="0" applyAlignment="1" pivotButton="0" quotePrefix="0" xfId="24">
      <alignment horizontal="center" vertical="bottom"/>
    </xf>
    <xf numFmtId="2" fontId="16" fillId="0" borderId="0" applyAlignment="1" pivotButton="0" quotePrefix="0" xfId="24">
      <alignment horizontal="center" vertical="bottom"/>
    </xf>
    <xf numFmtId="190" fontId="12" fillId="4" borderId="0" applyAlignment="1" pivotButton="0" quotePrefix="0" xfId="24">
      <alignment horizontal="left" vertical="bottom"/>
    </xf>
    <xf numFmtId="183" fontId="12" fillId="4" borderId="0" applyAlignment="1" pivotButton="0" quotePrefix="0" xfId="24">
      <alignment horizontal="center" vertical="bottom"/>
    </xf>
    <xf numFmtId="179" fontId="12" fillId="4" borderId="0" applyAlignment="1" pivotButton="0" quotePrefix="0" xfId="24">
      <alignment horizontal="center" vertical="bottom"/>
    </xf>
    <xf numFmtId="10" fontId="12" fillId="4" borderId="0" applyAlignment="1" pivotButton="0" quotePrefix="0" xfId="24">
      <alignment horizontal="center" vertical="bottom"/>
    </xf>
    <xf numFmtId="190" fontId="12" fillId="4" borderId="1" applyAlignment="1" pivotButton="0" quotePrefix="0" xfId="24">
      <alignment horizontal="left" vertical="bottom"/>
    </xf>
    <xf numFmtId="190" fontId="12" fillId="4" borderId="1" applyAlignment="1" pivotButton="0" quotePrefix="0" xfId="24">
      <alignment horizontal="center" vertical="bottom"/>
    </xf>
    <xf numFmtId="183" fontId="12" fillId="4" borderId="1" applyAlignment="1" pivotButton="0" quotePrefix="0" xfId="24">
      <alignment horizontal="center" vertical="bottom"/>
    </xf>
    <xf numFmtId="179" fontId="12" fillId="4" borderId="1" applyAlignment="1" pivotButton="0" quotePrefix="0" xfId="24">
      <alignment horizontal="center" vertical="bottom"/>
    </xf>
    <xf numFmtId="10" fontId="16" fillId="0" borderId="1" applyAlignment="1" pivotButton="0" quotePrefix="0" xfId="24">
      <alignment horizontal="center" vertical="bottom"/>
    </xf>
    <xf numFmtId="10" fontId="12" fillId="4" borderId="1" applyAlignment="1" pivotButton="0" quotePrefix="0" xfId="24">
      <alignment horizontal="center" vertical="bottom"/>
    </xf>
    <xf numFmtId="190" fontId="16" fillId="0" borderId="1" applyAlignment="1" pivotButton="0" quotePrefix="0" xfId="24">
      <alignment horizontal="center" vertical="bottom"/>
    </xf>
    <xf numFmtId="190" fontId="18" fillId="0" borderId="0" applyAlignment="1" pivotButton="0" quotePrefix="0" xfId="24">
      <alignment horizontal="right" vertical="bottom"/>
    </xf>
    <xf numFmtId="190" fontId="18" fillId="0" borderId="29" applyAlignment="1" pivotButton="0" quotePrefix="0" xfId="24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23">
      <alignment horizontal="center" vertical="bottom"/>
    </xf>
    <xf numFmtId="165" fontId="6" fillId="3" borderId="0" applyAlignment="1" pivotButton="0" quotePrefix="0" xfId="23">
      <alignment horizontal="center" vertical="bottom"/>
    </xf>
    <xf numFmtId="0" fontId="11" fillId="0" borderId="0" applyAlignment="1" pivotButton="0" quotePrefix="0" xfId="23">
      <alignment horizontal="center" vertical="bottom"/>
    </xf>
    <xf numFmtId="165" fontId="11" fillId="3" borderId="0" applyAlignment="1" pivotButton="0" quotePrefix="0" xfId="23">
      <alignment horizontal="center" vertical="bottom"/>
    </xf>
    <xf numFmtId="166" fontId="12" fillId="4" borderId="0" applyAlignment="1" pivotButton="0" quotePrefix="0" xfId="0">
      <alignment horizontal="center" vertical="bottom"/>
    </xf>
    <xf numFmtId="0" fontId="6" fillId="5" borderId="0" applyAlignment="1" pivotButton="0" quotePrefix="0" xfId="22">
      <alignment horizontal="general" vertical="bottom"/>
    </xf>
    <xf numFmtId="167" fontId="12" fillId="4" borderId="0" applyAlignment="1" pivotButton="0" quotePrefix="0" xfId="0">
      <alignment horizontal="center" vertical="bottom"/>
    </xf>
    <xf numFmtId="167" fontId="6" fillId="0" borderId="0" applyAlignment="1" pivotButton="0" quotePrefix="0" xfId="0">
      <alignment horizontal="center" vertical="bottom"/>
    </xf>
    <xf numFmtId="168" fontId="6" fillId="5" borderId="0" applyAlignment="1" pivotButton="0" quotePrefix="0" xfId="22">
      <alignment horizontal="left" vertical="bottom"/>
    </xf>
    <xf numFmtId="0" fontId="6" fillId="5" borderId="0" applyAlignment="1" pivotButton="0" quotePrefix="0" xfId="22">
      <alignment horizontal="left" vertical="bottom"/>
    </xf>
    <xf numFmtId="0" fontId="6" fillId="5" borderId="1" applyAlignment="1" pivotButton="0" quotePrefix="0" xfId="22">
      <alignment horizontal="left" vertical="bottom"/>
    </xf>
    <xf numFmtId="167" fontId="6" fillId="0" borderId="0" applyAlignment="1" pivotButton="0" quotePrefix="0" xfId="0">
      <alignment horizontal="general" vertical="bottom"/>
    </xf>
    <xf numFmtId="0" fontId="13" fillId="0" borderId="0" applyAlignment="1" pivotButton="0" quotePrefix="0" xfId="22">
      <alignment horizontal="general" vertical="bottom"/>
    </xf>
    <xf numFmtId="0" fontId="6" fillId="0" borderId="0" applyAlignment="1" pivotButton="0" quotePrefix="0" xfId="22">
      <alignment horizontal="general" vertical="bottom"/>
    </xf>
    <xf numFmtId="0" fontId="13" fillId="5" borderId="0" applyAlignment="1" pivotButton="0" quotePrefix="0" xfId="22">
      <alignment horizontal="general" vertical="bottom"/>
    </xf>
    <xf numFmtId="167" fontId="13" fillId="0" borderId="0" applyAlignment="1" pivotButton="0" quotePrefix="0" xfId="0">
      <alignment horizontal="center" vertical="bottom"/>
    </xf>
    <xf numFmtId="169" fontId="12" fillId="4" borderId="0" applyAlignment="1" pivotButton="0" quotePrefix="0" xfId="0">
      <alignment horizontal="center" vertical="bottom"/>
    </xf>
    <xf numFmtId="170" fontId="12" fillId="4" borderId="0" applyAlignment="1" pivotButton="0" quotePrefix="0" xfId="23">
      <alignment horizontal="center" vertical="bottom"/>
    </xf>
    <xf numFmtId="171" fontId="6" fillId="5" borderId="0" applyAlignment="1" pivotButton="0" quotePrefix="0" xfId="23">
      <alignment horizontal="center" vertical="bottom"/>
    </xf>
    <xf numFmtId="171" fontId="13" fillId="5" borderId="0" applyAlignment="1" pivotButton="0" quotePrefix="0" xfId="23">
      <alignment horizontal="center" vertical="bottom"/>
    </xf>
    <xf numFmtId="169" fontId="12" fillId="0" borderId="0" applyAlignment="1" pivotButton="0" quotePrefix="0" xfId="0">
      <alignment horizontal="center" vertical="bottom"/>
    </xf>
    <xf numFmtId="165" fontId="6" fillId="0" borderId="0" applyAlignment="1" pivotButton="0" quotePrefix="0" xfId="23">
      <alignment horizontal="center" vertical="bottom"/>
    </xf>
    <xf numFmtId="0" fontId="13" fillId="3" borderId="0" applyAlignment="1" pivotButton="0" quotePrefix="0" xfId="23">
      <alignment horizontal="center" vertical="bottom"/>
    </xf>
    <xf numFmtId="10" fontId="13" fillId="0" borderId="0" applyAlignment="1" pivotButton="0" quotePrefix="0" xfId="19">
      <alignment horizontal="center" vertical="bottom"/>
    </xf>
    <xf numFmtId="0" fontId="13" fillId="0" borderId="0" applyAlignment="1" pivotButton="0" quotePrefix="0" xfId="23">
      <alignment horizontal="center" vertical="bottom"/>
    </xf>
    <xf numFmtId="10" fontId="13" fillId="0" borderId="0" applyAlignment="1" pivotButton="0" quotePrefix="0" xfId="23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left" vertical="bottom"/>
    </xf>
    <xf numFmtId="167" fontId="13" fillId="5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general" vertical="bottom"/>
    </xf>
    <xf numFmtId="0" fontId="13" fillId="7" borderId="0" applyAlignment="1" pivotButton="0" quotePrefix="0" xfId="0">
      <alignment horizontal="center" vertical="bottom"/>
    </xf>
    <xf numFmtId="0" fontId="6" fillId="7" borderId="0" applyAlignment="1" pivotButton="0" quotePrefix="0" xfId="0">
      <alignment horizontal="center" vertical="bottom"/>
    </xf>
    <xf numFmtId="172" fontId="6" fillId="7" borderId="0" applyAlignment="1" pivotButton="0" quotePrefix="0" xfId="22">
      <alignment horizontal="general" vertical="bottom"/>
    </xf>
    <xf numFmtId="167" fontId="13" fillId="7" borderId="0" applyAlignment="1" pivotButton="0" quotePrefix="0" xfId="0">
      <alignment horizontal="center" vertical="bottom"/>
    </xf>
    <xf numFmtId="9" fontId="6" fillId="7" borderId="0" applyAlignment="1" pivotButton="0" quotePrefix="0" xfId="19">
      <alignment horizontal="center" vertical="bottom"/>
    </xf>
    <xf numFmtId="10" fontId="12" fillId="4" borderId="0" applyAlignment="1" pivotButton="0" quotePrefix="0" xfId="0">
      <alignment horizontal="center" vertical="bottom"/>
    </xf>
    <xf numFmtId="167" fontId="6" fillId="7" borderId="0" applyAlignment="1" pivotButton="0" quotePrefix="0" xfId="0">
      <alignment horizontal="center" vertical="bottom"/>
    </xf>
    <xf numFmtId="172" fontId="15" fillId="7" borderId="0" applyAlignment="1" pivotButton="0" quotePrefix="0" xfId="22">
      <alignment horizontal="general" vertical="bottom"/>
    </xf>
    <xf numFmtId="0" fontId="13" fillId="7" borderId="0" applyAlignment="1" pivotButton="0" quotePrefix="0" xfId="22">
      <alignment horizontal="general" vertical="bottom"/>
    </xf>
    <xf numFmtId="167" fontId="6" fillId="5" borderId="0" applyAlignment="1" pivotButton="0" quotePrefix="0" xfId="0">
      <alignment horizontal="center" vertical="bottom"/>
    </xf>
    <xf numFmtId="172" fontId="6" fillId="7" borderId="0" applyAlignment="1" pivotButton="0" quotePrefix="0" xfId="22">
      <alignment horizontal="left" vertical="bottom"/>
    </xf>
    <xf numFmtId="172" fontId="6" fillId="7" borderId="0" applyAlignment="1" pivotButton="0" quotePrefix="0" xfId="19">
      <alignment horizontal="center" vertical="bottom"/>
    </xf>
    <xf numFmtId="172" fontId="12" fillId="4" borderId="0" applyAlignment="1" pivotButton="0" quotePrefix="0" xfId="19">
      <alignment horizontal="center" vertical="bottom"/>
    </xf>
    <xf numFmtId="168" fontId="6" fillId="0" borderId="0" applyAlignment="1" pivotButton="0" quotePrefix="0" xfId="22">
      <alignment horizontal="left" vertical="bottom"/>
    </xf>
    <xf numFmtId="172" fontId="6" fillId="0" borderId="0" applyAlignment="1" pivotButton="0" quotePrefix="0" xfId="19">
      <alignment horizontal="center" vertical="bottom"/>
    </xf>
    <xf numFmtId="172" fontId="12" fillId="4" borderId="0" applyAlignment="1" pivotButton="0" quotePrefix="0" xfId="0">
      <alignment horizontal="center" vertical="bottom"/>
    </xf>
    <xf numFmtId="9" fontId="6" fillId="0" borderId="0" applyAlignment="1" pivotButton="0" quotePrefix="0" xfId="19">
      <alignment horizontal="general" vertical="bottom"/>
    </xf>
    <xf numFmtId="9" fontId="6" fillId="0" borderId="0" applyAlignment="1" pivotButton="0" quotePrefix="0" xfId="19">
      <alignment horizontal="center" vertical="bottom"/>
    </xf>
    <xf numFmtId="9" fontId="6" fillId="0" borderId="0" applyAlignment="1" pivotButton="0" quotePrefix="0" xfId="19">
      <alignment horizontal="left" vertical="bottom"/>
    </xf>
    <xf numFmtId="9" fontId="12" fillId="4" borderId="0" applyAlignment="1" pivotButton="0" quotePrefix="0" xfId="19">
      <alignment horizontal="center" vertical="bottom"/>
    </xf>
    <xf numFmtId="0" fontId="6" fillId="0" borderId="0" applyAlignment="1" pivotButton="0" quotePrefix="0" xfId="22">
      <alignment horizontal="left" vertical="bottom"/>
    </xf>
    <xf numFmtId="172" fontId="6" fillId="0" borderId="0" applyAlignment="1" pivotButton="0" quotePrefix="0" xfId="0">
      <alignment horizontal="center" vertical="bottom"/>
    </xf>
    <xf numFmtId="0" fontId="6" fillId="7" borderId="0" applyAlignment="1" pivotButton="0" quotePrefix="0" xfId="22">
      <alignment horizontal="left" vertical="bottom"/>
    </xf>
    <xf numFmtId="0" fontId="16" fillId="7" borderId="0" applyAlignment="1" pivotButton="0" quotePrefix="0" xfId="22">
      <alignment horizontal="left" vertical="bottom"/>
    </xf>
    <xf numFmtId="167" fontId="16" fillId="7" borderId="0" applyAlignment="1" pivotButton="0" quotePrefix="0" xfId="0">
      <alignment horizontal="center" vertical="bottom"/>
    </xf>
    <xf numFmtId="165" fontId="12" fillId="4" borderId="0" applyAlignment="1" pivotButton="0" quotePrefix="0" xfId="0">
      <alignment horizontal="center" vertical="bottom"/>
    </xf>
    <xf numFmtId="167" fontId="6" fillId="0" borderId="0" applyAlignment="1" pivotButton="0" quotePrefix="0" xfId="0">
      <alignment horizontal="center" vertical="center"/>
    </xf>
    <xf numFmtId="173" fontId="6" fillId="0" borderId="0" applyAlignment="1" pivotButton="0" quotePrefix="0" xfId="0">
      <alignment horizontal="center" vertical="bottom"/>
    </xf>
    <xf numFmtId="172" fontId="12" fillId="8" borderId="0" applyAlignment="1" pivotButton="0" quotePrefix="0" xfId="0">
      <alignment horizontal="center" vertical="bottom"/>
    </xf>
    <xf numFmtId="0" fontId="13" fillId="5" borderId="0" applyAlignment="1" pivotButton="0" quotePrefix="0" xfId="22">
      <alignment horizontal="left" vertical="bottom"/>
    </xf>
    <xf numFmtId="0" fontId="6" fillId="7" borderId="0" applyAlignment="1" pivotButton="0" quotePrefix="0" xfId="0">
      <alignment horizontal="general" vertical="bottom"/>
    </xf>
    <xf numFmtId="168" fontId="6" fillId="7" borderId="0" applyAlignment="1" pivotButton="0" quotePrefix="0" xfId="22">
      <alignment horizontal="left" vertical="bottom"/>
    </xf>
    <xf numFmtId="167" fontId="6" fillId="8" borderId="0" applyAlignment="1" pivotButton="0" quotePrefix="0" xfId="0">
      <alignment horizontal="center" vertical="bottom"/>
    </xf>
    <xf numFmtId="174" fontId="6" fillId="0" borderId="0" applyAlignment="1" pivotButton="0" quotePrefix="0" xfId="0">
      <alignment horizontal="center" vertical="bottom"/>
    </xf>
    <xf numFmtId="166" fontId="6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center" vertical="bottom"/>
    </xf>
    <xf numFmtId="0" fontId="6" fillId="5" borderId="1" applyAlignment="1" pivotButton="0" quotePrefix="0" xfId="22">
      <alignment horizontal="general" vertical="bottom"/>
    </xf>
    <xf numFmtId="173" fontId="6" fillId="0" borderId="0" applyAlignment="1" pivotButton="0" quotePrefix="0" xfId="0">
      <alignment horizontal="general" vertical="bottom"/>
    </xf>
    <xf numFmtId="0" fontId="17" fillId="9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9" fontId="6" fillId="0" borderId="0" applyAlignment="1" pivotButton="0" quotePrefix="0" xfId="19">
      <alignment horizontal="general" vertical="center"/>
    </xf>
    <xf numFmtId="9" fontId="6" fillId="0" borderId="0" applyAlignment="1" pivotButton="0" quotePrefix="0" xfId="19">
      <alignment horizontal="center" vertical="center"/>
    </xf>
    <xf numFmtId="172" fontId="6" fillId="0" borderId="0" applyAlignment="1" pivotButton="0" quotePrefix="0" xfId="0">
      <alignment horizontal="center" vertical="center"/>
    </xf>
    <xf numFmtId="172" fontId="6" fillId="0" borderId="0" applyAlignment="1" pivotButton="0" quotePrefix="0" xfId="19">
      <alignment horizontal="center" vertical="center"/>
    </xf>
    <xf numFmtId="175" fontId="6" fillId="0" borderId="0" applyAlignment="1" pivotButton="0" quotePrefix="0" xfId="0">
      <alignment horizontal="center" vertical="center"/>
    </xf>
    <xf numFmtId="175" fontId="6" fillId="0" borderId="0" applyAlignment="1" pivotButton="0" quotePrefix="0" xfId="0">
      <alignment horizontal="general" vertical="center"/>
    </xf>
    <xf numFmtId="172" fontId="6" fillId="0" borderId="0" applyAlignment="1" pivotButton="0" quotePrefix="0" xfId="19">
      <alignment horizontal="general" vertical="center"/>
    </xf>
    <xf numFmtId="176" fontId="6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center" vertical="center"/>
    </xf>
    <xf numFmtId="173" fontId="6" fillId="0" borderId="0" applyAlignment="1" pivotButton="0" quotePrefix="0" xfId="0">
      <alignment horizontal="general" vertical="center"/>
    </xf>
    <xf numFmtId="173" fontId="6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right" vertical="center"/>
    </xf>
    <xf numFmtId="0" fontId="16" fillId="0" borderId="0" applyAlignment="1" pivotButton="0" quotePrefix="0" xfId="24">
      <alignment horizontal="general" vertical="bottom"/>
    </xf>
    <xf numFmtId="0" fontId="14" fillId="0" borderId="0" applyAlignment="1" pivotButton="0" quotePrefix="0" xfId="24">
      <alignment horizontal="general" vertical="bottom"/>
    </xf>
    <xf numFmtId="0" fontId="16" fillId="0" borderId="3" applyAlignment="1" pivotButton="0" quotePrefix="0" xfId="24">
      <alignment horizontal="general" vertical="bottom"/>
    </xf>
    <xf numFmtId="177" fontId="12" fillId="4" borderId="4" applyAlignment="1" pivotButton="0" quotePrefix="0" xfId="21">
      <alignment horizontal="center" vertical="bottom"/>
    </xf>
    <xf numFmtId="178" fontId="12" fillId="4" borderId="0" applyAlignment="1" pivotButton="0" quotePrefix="0" xfId="24">
      <alignment horizontal="center" vertical="bottom"/>
    </xf>
    <xf numFmtId="172" fontId="16" fillId="0" borderId="0" applyAlignment="1" pivotButton="0" quotePrefix="0" xfId="24">
      <alignment horizontal="right" vertical="bottom"/>
    </xf>
    <xf numFmtId="0" fontId="0" fillId="8" borderId="0" applyAlignment="1" pivotButton="0" quotePrefix="0" xfId="0">
      <alignment horizontal="general" vertical="bottom"/>
    </xf>
    <xf numFmtId="177" fontId="12" fillId="4" borderId="4" applyAlignment="1" pivotButton="0" quotePrefix="0" xfId="21">
      <alignment horizontal="right" vertical="bottom"/>
    </xf>
    <xf numFmtId="172" fontId="16" fillId="0" borderId="0" applyAlignment="1" pivotButton="0" quotePrefix="0" xfId="24">
      <alignment horizontal="center" vertical="bottom"/>
    </xf>
    <xf numFmtId="179" fontId="12" fillId="0" borderId="0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center" vertical="bottom"/>
    </xf>
    <xf numFmtId="0" fontId="18" fillId="0" borderId="0" applyAlignment="1" pivotButton="0" quotePrefix="0" xfId="24">
      <alignment horizontal="general" vertical="bottom"/>
    </xf>
    <xf numFmtId="181" fontId="16" fillId="0" borderId="0" applyAlignment="1" pivotButton="0" quotePrefix="0" xfId="24">
      <alignment horizontal="general" vertical="bottom"/>
    </xf>
    <xf numFmtId="0" fontId="13" fillId="5" borderId="0" applyAlignment="1" pivotButton="0" quotePrefix="0" xfId="24">
      <alignment horizontal="general" vertical="bottom"/>
    </xf>
    <xf numFmtId="0" fontId="19" fillId="6" borderId="0" applyAlignment="1" pivotButton="0" quotePrefix="0" xfId="24">
      <alignment horizontal="center" vertical="bottom" wrapText="1"/>
    </xf>
    <xf numFmtId="0" fontId="13" fillId="5" borderId="1" applyAlignment="1" pivotButton="0" quotePrefix="0" xfId="24">
      <alignment horizontal="general" vertical="bottom"/>
    </xf>
    <xf numFmtId="0" fontId="17" fillId="6" borderId="1" applyAlignment="1" pivotButton="0" quotePrefix="0" xfId="24">
      <alignment horizontal="center" vertical="bottom"/>
    </xf>
    <xf numFmtId="0" fontId="0" fillId="0" borderId="1" pivotButton="0" quotePrefix="0" xfId="0"/>
    <xf numFmtId="0" fontId="17" fillId="10" borderId="1" applyAlignment="1" pivotButton="0" quotePrefix="0" xfId="24">
      <alignment horizontal="center" vertical="bottom"/>
    </xf>
    <xf numFmtId="0" fontId="20" fillId="10" borderId="1" applyAlignment="1" pivotButton="0" quotePrefix="0" xfId="24">
      <alignment horizontal="center" vertical="bottom"/>
    </xf>
    <xf numFmtId="0" fontId="18" fillId="0" borderId="0" applyAlignment="1" pivotButton="0" quotePrefix="0" xfId="24">
      <alignment horizontal="center" vertical="bottom"/>
    </xf>
    <xf numFmtId="0" fontId="16" fillId="0" borderId="0" applyAlignment="1" pivotButton="0" quotePrefix="0" xfId="24">
      <alignment horizontal="center" vertical="bottom"/>
    </xf>
    <xf numFmtId="1" fontId="18" fillId="0" borderId="0" applyAlignment="1" pivotButton="0" quotePrefix="0" xfId="24">
      <alignment horizontal="center" vertical="bottom"/>
    </xf>
    <xf numFmtId="1" fontId="20" fillId="0" borderId="0" applyAlignment="1" pivotButton="0" quotePrefix="0" xfId="24">
      <alignment horizontal="center" vertical="bottom"/>
    </xf>
    <xf numFmtId="0" fontId="16" fillId="0" borderId="1" applyAlignment="1" pivotButton="0" quotePrefix="0" xfId="24">
      <alignment horizontal="general" vertical="bottom"/>
    </xf>
    <xf numFmtId="169" fontId="16" fillId="0" borderId="1" applyAlignment="1" pivotButton="0" quotePrefix="0" xfId="24">
      <alignment horizontal="center" vertical="bottom"/>
    </xf>
    <xf numFmtId="169" fontId="16" fillId="0" borderId="0" applyAlignment="1" pivotButton="0" quotePrefix="0" xfId="24">
      <alignment horizontal="center" vertical="bottom"/>
    </xf>
    <xf numFmtId="0" fontId="16" fillId="0" borderId="5" applyAlignment="1" pivotButton="0" quotePrefix="0" xfId="24">
      <alignment horizontal="general" vertical="bottom"/>
    </xf>
    <xf numFmtId="179" fontId="16" fillId="11" borderId="6" applyAlignment="1" pivotButton="0" quotePrefix="0" xfId="24">
      <alignment horizontal="center" vertical="bottom"/>
    </xf>
    <xf numFmtId="179" fontId="16" fillId="11" borderId="7" applyAlignment="1" pivotButton="0" quotePrefix="0" xfId="24">
      <alignment horizontal="center" vertical="bottom"/>
    </xf>
    <xf numFmtId="172" fontId="18" fillId="0" borderId="0" applyAlignment="1" pivotButton="0" quotePrefix="0" xfId="28">
      <alignment horizontal="center" vertical="bottom"/>
    </xf>
    <xf numFmtId="0" fontId="16" fillId="0" borderId="8" applyAlignment="1" pivotButton="0" quotePrefix="0" xfId="24">
      <alignment horizontal="general" vertical="bottom"/>
    </xf>
    <xf numFmtId="172" fontId="18" fillId="0" borderId="1" applyAlignment="1" pivotButton="0" quotePrefix="0" xfId="28">
      <alignment horizontal="center" vertical="bottom"/>
    </xf>
    <xf numFmtId="172" fontId="18" fillId="0" borderId="9" applyAlignment="1" pivotButton="0" quotePrefix="0" xfId="28">
      <alignment horizontal="center" vertical="bottom"/>
    </xf>
    <xf numFmtId="179" fontId="16" fillId="0" borderId="5" applyAlignment="1" pivotButton="0" quotePrefix="0" xfId="24">
      <alignment horizontal="general" vertical="bottom"/>
    </xf>
    <xf numFmtId="0" fontId="16" fillId="0" borderId="6" applyAlignment="1" pivotButton="0" quotePrefix="0" xfId="24">
      <alignment horizontal="general" vertical="bottom"/>
    </xf>
    <xf numFmtId="0" fontId="16" fillId="0" borderId="7" applyAlignment="1" pivotButton="0" quotePrefix="0" xfId="24">
      <alignment horizontal="general" vertical="bottom"/>
    </xf>
    <xf numFmtId="172" fontId="16" fillId="0" borderId="1" applyAlignment="1" pivotButton="0" quotePrefix="0" xfId="28">
      <alignment horizontal="center" vertical="bottom"/>
    </xf>
    <xf numFmtId="0" fontId="16" fillId="0" borderId="9" applyAlignment="1" pivotButton="0" quotePrefix="0" xfId="24">
      <alignment horizontal="general" vertical="bottom"/>
    </xf>
    <xf numFmtId="172" fontId="16" fillId="0" borderId="9" applyAlignment="1" pivotButton="0" quotePrefix="0" xfId="28">
      <alignment horizontal="center" vertical="bottom"/>
    </xf>
    <xf numFmtId="172" fontId="16" fillId="11" borderId="6" applyAlignment="1" pivotButton="0" quotePrefix="0" xfId="24">
      <alignment horizontal="center" vertical="bottom"/>
    </xf>
    <xf numFmtId="172" fontId="16" fillId="11" borderId="7" applyAlignment="1" pivotButton="0" quotePrefix="0" xfId="24">
      <alignment horizontal="center" vertical="bottom"/>
    </xf>
    <xf numFmtId="179" fontId="16" fillId="0" borderId="1" applyAlignment="1" pivotButton="0" quotePrefix="0" xfId="24">
      <alignment horizontal="center" vertical="bottom"/>
    </xf>
    <xf numFmtId="179" fontId="16" fillId="0" borderId="9" applyAlignment="1" pivotButton="0" quotePrefix="0" xfId="24">
      <alignment horizontal="center" vertical="bottom"/>
    </xf>
    <xf numFmtId="179" fontId="16" fillId="0" borderId="10" applyAlignment="1" pivotButton="0" quotePrefix="0" xfId="24">
      <alignment horizontal="left" vertical="bottom"/>
    </xf>
    <xf numFmtId="179" fontId="16" fillId="11" borderId="11" applyAlignment="1" pivotButton="0" quotePrefix="0" xfId="24">
      <alignment horizontal="center" vertical="bottom"/>
    </xf>
    <xf numFmtId="179" fontId="16" fillId="11" borderId="12" applyAlignment="1" pivotButton="0" quotePrefix="0" xfId="24">
      <alignment horizontal="center" vertical="bottom"/>
    </xf>
    <xf numFmtId="179" fontId="16" fillId="0" borderId="5" applyAlignment="1" pivotButton="0" quotePrefix="0" xfId="24">
      <alignment horizontal="left" vertical="bottom"/>
    </xf>
    <xf numFmtId="179" fontId="16" fillId="0" borderId="6" applyAlignment="1" pivotButton="0" quotePrefix="0" xfId="24">
      <alignment horizontal="center" vertical="bottom"/>
    </xf>
    <xf numFmtId="179" fontId="16" fillId="0" borderId="7" applyAlignment="1" pivotButton="0" quotePrefix="0" xfId="24">
      <alignment horizontal="center" vertical="bottom"/>
    </xf>
    <xf numFmtId="179" fontId="16" fillId="0" borderId="13" applyAlignment="1" pivotButton="0" quotePrefix="0" xfId="24">
      <alignment horizontal="left" vertical="bottom"/>
    </xf>
    <xf numFmtId="179" fontId="16" fillId="11" borderId="0" applyAlignment="1" pivotButton="0" quotePrefix="0" xfId="24">
      <alignment horizontal="center" vertical="bottom"/>
    </xf>
    <xf numFmtId="179" fontId="16" fillId="11" borderId="14" applyAlignment="1" pivotButton="0" quotePrefix="0" xfId="24">
      <alignment horizontal="center" vertical="bottom"/>
    </xf>
    <xf numFmtId="179" fontId="16" fillId="0" borderId="8" applyAlignment="1" pivotButton="0" quotePrefix="0" xfId="24">
      <alignment horizontal="left" vertical="bottom"/>
    </xf>
    <xf numFmtId="179" fontId="16" fillId="11" borderId="1" applyAlignment="1" pivotButton="0" quotePrefix="0" xfId="24">
      <alignment horizontal="center" vertical="bottom"/>
    </xf>
    <xf numFmtId="179" fontId="16" fillId="11" borderId="9" applyAlignment="1" pivotButton="0" quotePrefix="0" xfId="24">
      <alignment horizontal="center" vertical="bottom"/>
    </xf>
    <xf numFmtId="179" fontId="16" fillId="0" borderId="0" applyAlignment="1" pivotButton="0" quotePrefix="0" xfId="24">
      <alignment horizontal="center" vertical="bottom"/>
    </xf>
    <xf numFmtId="179" fontId="16" fillId="0" borderId="15" applyAlignment="1" pivotButton="0" quotePrefix="0" xfId="24">
      <alignment horizontal="center" vertical="bottom"/>
    </xf>
    <xf numFmtId="0" fontId="16" fillId="0" borderId="13" applyAlignment="1" pivotButton="0" quotePrefix="0" xfId="24">
      <alignment horizontal="general" vertical="bottom"/>
    </xf>
    <xf numFmtId="0" fontId="16" fillId="0" borderId="14" applyAlignment="1" pivotButton="0" quotePrefix="0" xfId="24">
      <alignment horizontal="general" vertical="bottom"/>
    </xf>
    <xf numFmtId="179" fontId="6" fillId="0" borderId="0" applyAlignment="1" pivotButton="0" quotePrefix="0" xfId="24">
      <alignment horizontal="center" vertical="bottom"/>
    </xf>
    <xf numFmtId="179" fontId="6" fillId="0" borderId="14" applyAlignment="1" pivotButton="0" quotePrefix="0" xfId="24">
      <alignment horizontal="center" vertical="bottom"/>
    </xf>
    <xf numFmtId="172" fontId="12" fillId="4" borderId="1" applyAlignment="1" pivotButton="0" quotePrefix="0" xfId="28">
      <alignment horizontal="center" vertical="bottom"/>
    </xf>
    <xf numFmtId="172" fontId="12" fillId="4" borderId="9" applyAlignment="1" pivotButton="0" quotePrefix="0" xfId="28">
      <alignment horizontal="center" vertical="bottom"/>
    </xf>
    <xf numFmtId="1" fontId="16" fillId="0" borderId="0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general" vertical="bottom"/>
    </xf>
    <xf numFmtId="172" fontId="18" fillId="11" borderId="11" applyAlignment="1" pivotButton="0" quotePrefix="0" xfId="24">
      <alignment horizontal="center" vertical="bottom"/>
    </xf>
    <xf numFmtId="172" fontId="18" fillId="0" borderId="11" applyAlignment="1" pivotButton="0" quotePrefix="0" xfId="28">
      <alignment horizontal="center" vertical="bottom"/>
    </xf>
    <xf numFmtId="172" fontId="18" fillId="0" borderId="12" applyAlignment="1" pivotButton="0" quotePrefix="0" xfId="28">
      <alignment horizontal="center" vertical="bottom"/>
    </xf>
    <xf numFmtId="172" fontId="18" fillId="0" borderId="0" applyAlignment="1" pivotButton="0" quotePrefix="0" xfId="24">
      <alignment horizontal="center" vertical="bottom"/>
    </xf>
    <xf numFmtId="182" fontId="16" fillId="0" borderId="0" applyAlignment="1" pivotButton="0" quotePrefix="0" xfId="25">
      <alignment horizontal="center" vertical="center"/>
    </xf>
    <xf numFmtId="179" fontId="18" fillId="0" borderId="0" applyAlignment="1" pivotButton="0" quotePrefix="0" xfId="24">
      <alignment horizontal="center" vertical="bottom"/>
    </xf>
    <xf numFmtId="179" fontId="21" fillId="0" borderId="2" applyAlignment="1" pivotButton="0" quotePrefix="0" xfId="27">
      <alignment horizontal="center" vertical="bottom"/>
    </xf>
    <xf numFmtId="0" fontId="16" fillId="0" borderId="0" applyAlignment="1" pivotButton="0" quotePrefix="0" xfId="24">
      <alignment horizontal="left" vertical="bottom" indent="1"/>
    </xf>
    <xf numFmtId="174" fontId="16" fillId="0" borderId="0" applyAlignment="1" pivotButton="0" quotePrefix="0" xfId="24">
      <alignment horizontal="center" vertical="bottom"/>
    </xf>
    <xf numFmtId="174" fontId="21" fillId="0" borderId="2" applyAlignment="1" pivotButton="0" quotePrefix="0" xfId="27">
      <alignment horizontal="center" vertical="bottom"/>
    </xf>
    <xf numFmtId="10" fontId="16" fillId="0" borderId="0" applyAlignment="1" pivotButton="0" quotePrefix="0" xfId="24">
      <alignment horizontal="general" vertical="bottom"/>
    </xf>
    <xf numFmtId="179" fontId="18" fillId="0" borderId="0" applyAlignment="1" pivotButton="0" quotePrefix="0" xfId="24">
      <alignment horizontal="general" vertical="bottom"/>
    </xf>
    <xf numFmtId="180" fontId="16" fillId="0" borderId="0" applyAlignment="1" pivotButton="0" quotePrefix="0" xfId="24">
      <alignment horizontal="general" vertical="bottom"/>
    </xf>
    <xf numFmtId="0" fontId="13" fillId="5" borderId="5" applyAlignment="1" pivotButton="0" quotePrefix="0" xfId="24">
      <alignment horizontal="general" vertical="bottom"/>
    </xf>
    <xf numFmtId="172" fontId="6" fillId="5" borderId="7" applyAlignment="1" pivotButton="0" quotePrefix="0" xfId="24">
      <alignment horizontal="center" vertical="bottom"/>
    </xf>
    <xf numFmtId="0" fontId="13" fillId="5" borderId="6" applyAlignment="1" pivotButton="0" quotePrefix="0" xfId="24">
      <alignment horizontal="general" vertical="bottom"/>
    </xf>
    <xf numFmtId="0" fontId="6" fillId="5" borderId="6" applyAlignment="1" pivotButton="0" quotePrefix="0" xfId="24">
      <alignment horizontal="general" vertical="bottom"/>
    </xf>
    <xf numFmtId="0" fontId="13" fillId="5" borderId="16" applyAlignment="1" pivotButton="0" quotePrefix="0" xfId="24">
      <alignment horizontal="general" vertical="bottom"/>
    </xf>
    <xf numFmtId="172" fontId="6" fillId="5" borderId="17" applyAlignment="1" pivotButton="0" quotePrefix="0" xfId="24">
      <alignment horizontal="center" vertical="bottom"/>
    </xf>
    <xf numFmtId="0" fontId="6" fillId="5" borderId="17" applyAlignment="1" pivotButton="0" quotePrefix="0" xfId="24">
      <alignment horizontal="general" vertical="bottom"/>
    </xf>
    <xf numFmtId="0" fontId="6" fillId="5" borderId="18" applyAlignment="1" pivotButton="0" quotePrefix="0" xfId="24">
      <alignment horizontal="general" vertical="bottom"/>
    </xf>
    <xf numFmtId="0" fontId="18" fillId="0" borderId="13" applyAlignment="1" pivotButton="0" quotePrefix="0" xfId="24">
      <alignment horizontal="left" vertical="bottom" indent="1"/>
    </xf>
    <xf numFmtId="179" fontId="16" fillId="0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left" vertical="bottom" indent="1"/>
    </xf>
    <xf numFmtId="0" fontId="16" fillId="0" borderId="13" applyAlignment="1" pivotButton="0" quotePrefix="0" xfId="24">
      <alignment horizontal="left" vertical="bottom" indent="1"/>
    </xf>
    <xf numFmtId="179" fontId="6" fillId="11" borderId="14" applyAlignment="1" pivotButton="0" quotePrefix="0" xfId="24">
      <alignment horizontal="center" vertical="bottom"/>
    </xf>
    <xf numFmtId="172" fontId="22" fillId="4" borderId="14" applyAlignment="1" pivotButton="0" quotePrefix="0" xfId="24">
      <alignment horizontal="center" vertical="bottom"/>
    </xf>
    <xf numFmtId="0" fontId="23" fillId="0" borderId="0" applyAlignment="1" pivotButton="0" quotePrefix="0" xfId="24">
      <alignment horizontal="left" vertical="bottom" indent="1"/>
    </xf>
    <xf numFmtId="183" fontId="6" fillId="11" borderId="14" applyAlignment="1" pivotButton="0" quotePrefix="0" xfId="21">
      <alignment horizontal="center" vertical="bottom"/>
    </xf>
    <xf numFmtId="172" fontId="13" fillId="0" borderId="19" applyAlignment="1" pivotButton="0" quotePrefix="0" xfId="0">
      <alignment horizontal="center" vertical="bottom"/>
    </xf>
    <xf numFmtId="0" fontId="16" fillId="0" borderId="1" applyAlignment="1" pivotButton="0" quotePrefix="0" xfId="24">
      <alignment horizontal="left" vertical="bottom" indent="1"/>
    </xf>
    <xf numFmtId="0" fontId="16" fillId="0" borderId="9" applyAlignment="1" pivotButton="0" quotePrefix="0" xfId="24">
      <alignment horizontal="right" vertical="bottom" indent="1"/>
    </xf>
    <xf numFmtId="179" fontId="18" fillId="0" borderId="14" applyAlignment="1" pivotButton="0" quotePrefix="0" xfId="24">
      <alignment horizontal="center" vertical="bottom"/>
    </xf>
    <xf numFmtId="0" fontId="16" fillId="0" borderId="1" applyAlignment="1" pivotButton="0" quotePrefix="0" xfId="24">
      <alignment horizontal="right" vertical="bottom"/>
    </xf>
    <xf numFmtId="184" fontId="12" fillId="4" borderId="20" applyAlignment="1" pivotButton="0" quotePrefix="0" xfId="24">
      <alignment horizontal="general" vertical="bottom"/>
    </xf>
    <xf numFmtId="183" fontId="12" fillId="4" borderId="21" applyAlignment="1" pivotButton="0" quotePrefix="0" xfId="20">
      <alignment horizontal="general" vertical="bottom"/>
    </xf>
    <xf numFmtId="180" fontId="16" fillId="0" borderId="14" applyAlignment="1" pivotButton="0" quotePrefix="0" xfId="24">
      <alignment horizontal="right" vertical="bottom" indent="1"/>
    </xf>
    <xf numFmtId="184" fontId="12" fillId="4" borderId="22" applyAlignment="1" pivotButton="0" quotePrefix="0" xfId="24">
      <alignment horizontal="general" vertical="bottom"/>
    </xf>
    <xf numFmtId="183" fontId="12" fillId="4" borderId="23" applyAlignment="1" pivotButton="0" quotePrefix="0" xfId="20">
      <alignment horizontal="general" vertical="bottom"/>
    </xf>
    <xf numFmtId="179" fontId="16" fillId="0" borderId="14" applyAlignment="1" pivotButton="0" quotePrefix="0" xfId="24">
      <alignment horizontal="center" vertical="bottom"/>
    </xf>
    <xf numFmtId="184" fontId="12" fillId="4" borderId="24" applyAlignment="1" pivotButton="0" quotePrefix="0" xfId="24">
      <alignment horizontal="general" vertical="bottom"/>
    </xf>
    <xf numFmtId="183" fontId="12" fillId="4" borderId="25" applyAlignment="1" pivotButton="0" quotePrefix="0" xfId="20">
      <alignment horizontal="general" vertical="bottom"/>
    </xf>
    <xf numFmtId="180" fontId="16" fillId="0" borderId="9" applyAlignment="1" pivotButton="0" quotePrefix="0" xfId="24">
      <alignment horizontal="right" vertical="bottom" indent="1"/>
    </xf>
    <xf numFmtId="175" fontId="12" fillId="4" borderId="14" applyAlignment="1" pivotButton="0" quotePrefix="0" xfId="24">
      <alignment horizontal="center" vertical="bottom"/>
    </xf>
    <xf numFmtId="185" fontId="16" fillId="0" borderId="0" applyAlignment="1" pivotButton="0" quotePrefix="0" xfId="24">
      <alignment horizontal="right" vertical="bottom"/>
    </xf>
    <xf numFmtId="186" fontId="16" fillId="0" borderId="14" applyAlignment="1" pivotButton="0" quotePrefix="0" xfId="24">
      <alignment horizontal="right" vertical="bottom" indent="1"/>
    </xf>
    <xf numFmtId="0" fontId="16" fillId="0" borderId="0" applyAlignment="1" pivotButton="0" quotePrefix="0" xfId="24">
      <alignment horizontal="right" vertical="bottom"/>
    </xf>
    <xf numFmtId="179" fontId="24" fillId="0" borderId="0" applyAlignment="1" pivotButton="0" quotePrefix="0" xfId="24">
      <alignment horizontal="general" vertical="bottom"/>
    </xf>
    <xf numFmtId="179" fontId="16" fillId="0" borderId="14" applyAlignment="1" pivotButton="0" quotePrefix="0" xfId="24">
      <alignment horizontal="general" vertical="bottom"/>
    </xf>
    <xf numFmtId="183" fontId="18" fillId="0" borderId="26" applyAlignment="1" pivotButton="0" quotePrefix="0" xfId="24">
      <alignment horizontal="center" vertical="bottom"/>
    </xf>
    <xf numFmtId="184" fontId="12" fillId="4" borderId="27" applyAlignment="1" pivotButton="0" quotePrefix="0" xfId="24">
      <alignment horizontal="right" vertical="bottom" indent="1"/>
    </xf>
    <xf numFmtId="0" fontId="16" fillId="0" borderId="14" applyAlignment="1" pivotButton="0" quotePrefix="0" xfId="24">
      <alignment horizontal="right" vertical="bottom" indent="1"/>
    </xf>
    <xf numFmtId="183" fontId="18" fillId="0" borderId="14" applyAlignment="1" pivotButton="0" quotePrefix="0" xfId="24">
      <alignment horizontal="center" vertical="bottom"/>
    </xf>
    <xf numFmtId="184" fontId="12" fillId="4" borderId="28" applyAlignment="1" pivotButton="0" quotePrefix="0" xfId="24">
      <alignment horizontal="right" vertical="bottom" indent="1"/>
    </xf>
    <xf numFmtId="187" fontId="12" fillId="4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right" vertical="bottom"/>
    </xf>
    <xf numFmtId="179" fontId="18" fillId="0" borderId="14" applyAlignment="1" pivotButton="0" quotePrefix="0" xfId="26">
      <alignment horizontal="right" vertical="bottom" indent="1"/>
    </xf>
    <xf numFmtId="0" fontId="16" fillId="0" borderId="8" applyAlignment="1" pivotButton="0" quotePrefix="0" xfId="24">
      <alignment horizontal="left" vertical="bottom" indent="1"/>
    </xf>
    <xf numFmtId="172" fontId="16" fillId="0" borderId="9" applyAlignment="1" pivotButton="0" quotePrefix="0" xfId="24">
      <alignment horizontal="right" vertical="bottom" indent="1"/>
    </xf>
    <xf numFmtId="0" fontId="13" fillId="5" borderId="3" applyAlignment="1" pivotButton="0" quotePrefix="0" xfId="24">
      <alignment horizontal="general" vertical="bottom"/>
    </xf>
    <xf numFmtId="172" fontId="6" fillId="5" borderId="3" applyAlignment="1" pivotButton="0" quotePrefix="0" xfId="24">
      <alignment horizontal="center" vertical="bottom"/>
    </xf>
    <xf numFmtId="0" fontId="6" fillId="5" borderId="3" applyAlignment="1" pivotButton="0" quotePrefix="0" xfId="24">
      <alignment horizontal="general" vertical="bottom"/>
    </xf>
    <xf numFmtId="0" fontId="18" fillId="0" borderId="1" applyAlignment="1" pivotButton="0" quotePrefix="0" xfId="24">
      <alignment horizontal="general" vertical="bottom"/>
    </xf>
    <xf numFmtId="172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center" vertical="bottom"/>
    </xf>
    <xf numFmtId="0" fontId="0" fillId="0" borderId="11" pivotButton="0" quotePrefix="0" xfId="0"/>
    <xf numFmtId="0" fontId="16" fillId="0" borderId="11" applyAlignment="1" pivotButton="0" quotePrefix="0" xfId="24">
      <alignment horizontal="right" vertical="bottom"/>
    </xf>
    <xf numFmtId="179" fontId="16" fillId="0" borderId="0" applyAlignment="1" pivotButton="0" quotePrefix="0" xfId="24">
      <alignment horizontal="general" vertical="bottom"/>
    </xf>
    <xf numFmtId="9" fontId="16" fillId="0" borderId="0" applyAlignment="1" pivotButton="0" quotePrefix="0" xfId="24">
      <alignment horizontal="general" vertical="bottom"/>
    </xf>
    <xf numFmtId="188" fontId="16" fillId="0" borderId="0" applyAlignment="1" pivotButton="0" quotePrefix="0" xfId="24">
      <alignment horizontal="center" vertical="bottom"/>
    </xf>
    <xf numFmtId="179" fontId="16" fillId="0" borderId="0" applyAlignment="1" pivotButton="0" quotePrefix="0" xfId="24">
      <alignment horizontal="right" vertical="bottom"/>
    </xf>
    <xf numFmtId="189" fontId="16" fillId="0" borderId="0" applyAlignment="1" pivotButton="0" quotePrefix="0" xfId="24">
      <alignment horizontal="general" vertical="bottom"/>
    </xf>
    <xf numFmtId="179" fontId="23" fillId="0" borderId="0" applyAlignment="1" pivotButton="0" quotePrefix="0" xfId="24">
      <alignment horizontal="right" vertical="bottom"/>
    </xf>
    <xf numFmtId="0" fontId="23" fillId="0" borderId="0" applyAlignment="1" pivotButton="0" quotePrefix="0" xfId="24">
      <alignment horizontal="right" vertical="bottom"/>
    </xf>
    <xf numFmtId="190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left" vertical="bottom" wrapText="1"/>
    </xf>
    <xf numFmtId="0" fontId="18" fillId="0" borderId="1" applyAlignment="1" pivotButton="0" quotePrefix="0" xfId="24">
      <alignment horizontal="center" vertical="bottom" wrapText="1"/>
    </xf>
    <xf numFmtId="177" fontId="16" fillId="0" borderId="0" applyAlignment="1" pivotButton="0" quotePrefix="0" xfId="24">
      <alignment horizontal="general" vertical="bottom"/>
    </xf>
    <xf numFmtId="190" fontId="16" fillId="0" borderId="0" applyAlignment="1" pivotButton="0" quotePrefix="0" xfId="24">
      <alignment horizontal="center" vertical="bottom"/>
    </xf>
    <xf numFmtId="183" fontId="16" fillId="0" borderId="0" applyAlignment="1" pivotButton="0" quotePrefix="0" xfId="24">
      <alignment horizontal="center" vertical="bottom"/>
    </xf>
    <xf numFmtId="10" fontId="16" fillId="0" borderId="0" applyAlignment="1" pivotButton="0" quotePrefix="0" xfId="24">
      <alignment horizontal="center" vertical="bottom"/>
    </xf>
    <xf numFmtId="2" fontId="16" fillId="0" borderId="0" applyAlignment="1" pivotButton="0" quotePrefix="0" xfId="24">
      <alignment horizontal="center" vertical="bottom"/>
    </xf>
    <xf numFmtId="190" fontId="12" fillId="4" borderId="0" applyAlignment="1" pivotButton="0" quotePrefix="0" xfId="24">
      <alignment horizontal="left" vertical="bottom"/>
    </xf>
    <xf numFmtId="183" fontId="12" fillId="4" borderId="0" applyAlignment="1" pivotButton="0" quotePrefix="0" xfId="24">
      <alignment horizontal="center" vertical="bottom"/>
    </xf>
    <xf numFmtId="179" fontId="12" fillId="4" borderId="0" applyAlignment="1" pivotButton="0" quotePrefix="0" xfId="24">
      <alignment horizontal="center" vertical="bottom"/>
    </xf>
    <xf numFmtId="10" fontId="12" fillId="4" borderId="0" applyAlignment="1" pivotButton="0" quotePrefix="0" xfId="24">
      <alignment horizontal="center" vertical="bottom"/>
    </xf>
    <xf numFmtId="190" fontId="12" fillId="4" borderId="1" applyAlignment="1" pivotButton="0" quotePrefix="0" xfId="24">
      <alignment horizontal="left" vertical="bottom"/>
    </xf>
    <xf numFmtId="190" fontId="12" fillId="4" borderId="1" applyAlignment="1" pivotButton="0" quotePrefix="0" xfId="24">
      <alignment horizontal="center" vertical="bottom"/>
    </xf>
    <xf numFmtId="183" fontId="12" fillId="4" borderId="1" applyAlignment="1" pivotButton="0" quotePrefix="0" xfId="24">
      <alignment horizontal="center" vertical="bottom"/>
    </xf>
    <xf numFmtId="179" fontId="12" fillId="4" borderId="1" applyAlignment="1" pivotButton="0" quotePrefix="0" xfId="24">
      <alignment horizontal="center" vertical="bottom"/>
    </xf>
    <xf numFmtId="10" fontId="16" fillId="0" borderId="1" applyAlignment="1" pivotButton="0" quotePrefix="0" xfId="24">
      <alignment horizontal="center" vertical="bottom"/>
    </xf>
    <xf numFmtId="10" fontId="12" fillId="4" borderId="1" applyAlignment="1" pivotButton="0" quotePrefix="0" xfId="24">
      <alignment horizontal="center" vertical="bottom"/>
    </xf>
    <xf numFmtId="190" fontId="16" fillId="0" borderId="1" applyAlignment="1" pivotButton="0" quotePrefix="0" xfId="24">
      <alignment horizontal="center" vertical="bottom"/>
    </xf>
    <xf numFmtId="190" fontId="18" fillId="0" borderId="0" applyAlignment="1" pivotButton="0" quotePrefix="0" xfId="24">
      <alignment horizontal="right" vertical="bottom"/>
    </xf>
    <xf numFmtId="190" fontId="18" fillId="0" borderId="29" applyAlignment="1" pivotButton="0" quotePrefix="0" xfId="24">
      <alignment horizontal="center" vertical="bottom"/>
    </xf>
    <xf numFmtId="0" fontId="26" fillId="0" borderId="0" pivotButton="0" quotePrefix="0" xfId="0"/>
    <xf numFmtId="3" fontId="0" fillId="0" borderId="0" pivotButton="0" quotePrefix="0" xfId="0"/>
    <xf numFmtId="191" fontId="12" fillId="4" borderId="0" applyAlignment="1" pivotButton="0" quotePrefix="0" xfId="0">
      <alignment horizontal="center" vertical="bottom"/>
    </xf>
    <xf numFmtId="191" fontId="6" fillId="0" borderId="0" applyAlignment="1" pivotButton="0" quotePrefix="0" xfId="0">
      <alignment horizontal="center" vertical="bottom"/>
    </xf>
    <xf numFmtId="3" fontId="13" fillId="5" borderId="0" applyAlignment="1" pivotButton="0" quotePrefix="0" xfId="0">
      <alignment horizontal="center" vertical="bottom"/>
    </xf>
    <xf numFmtId="3" fontId="13" fillId="0" borderId="0" applyAlignment="1" pivotButton="0" quotePrefix="0" xfId="0">
      <alignment horizontal="center" vertical="bottom"/>
    </xf>
    <xf numFmtId="0" fontId="27" fillId="5" borderId="0" applyAlignment="1" pivotButton="0" quotePrefix="0" xfId="22">
      <alignment horizontal="general" vertical="bottom"/>
    </xf>
    <xf numFmtId="172" fontId="13" fillId="5" borderId="0" applyAlignment="1" pivotButton="0" quotePrefix="0" xfId="0">
      <alignment horizontal="center" vertical="bottom"/>
    </xf>
    <xf numFmtId="172" fontId="13" fillId="0" borderId="0" applyAlignment="1" pivotButton="0" quotePrefix="0" xfId="0">
      <alignment horizontal="center" vertical="bottom"/>
    </xf>
  </cellXfs>
  <cellStyles count="1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urrency 2" xfId="6"/>
    <cellStyle name="m/d/yy" xfId="7"/>
    <cellStyle name="Normal 2" xfId="8"/>
    <cellStyle name="Normal 2 2" xfId="9"/>
    <cellStyle name="Normal 2 3" xfId="10"/>
    <cellStyle name="Normal 4" xfId="11"/>
    <cellStyle name="Normal [3] 2" xfId="12"/>
    <cellStyle name="Output_dcfmodel" xfId="13"/>
    <cellStyle name="Porcentagem 3" xfId="14"/>
    <cellStyle name="Separador de milhares 2 17" xfId="15"/>
  </cellStyles>
  <dxfs count="4"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9D9D9"/>
      <rgbColor rgb="FFFFF2CC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J1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0" ySplit="4" topLeftCell="K5" activePane="bottomRight" state="frozen"/>
      <selection pane="topLeft" activeCell="A1" activeCellId="0" sqref="A1"/>
      <selection pane="topRight" activeCell="K1" activeCellId="0" sqref="K1"/>
      <selection pane="bottomLeft" activeCell="A5" activeCellId="0" sqref="A5"/>
      <selection pane="bottomRight" activeCell="A1" activeCellId="0" sqref="A1"/>
    </sheetView>
  </sheetViews>
  <sheetFormatPr baseColWidth="8" defaultColWidth="8.59765625" defaultRowHeight="15" zeroHeight="0" outlineLevelRow="0"/>
  <cols>
    <col width="6" customWidth="1" style="253" min="1" max="1"/>
    <col width="7" customWidth="1" style="253" min="2" max="2"/>
    <col width="6" customWidth="1" style="253" min="3" max="3"/>
    <col width="7" customWidth="1" style="253" min="4" max="4"/>
    <col width="6" customWidth="1" style="253" min="5" max="5"/>
    <col width="7" customWidth="1" style="253" min="6" max="6"/>
    <col width="8" customWidth="1" style="253" min="7" max="7"/>
    <col width="95" customWidth="1" style="253" min="8" max="8"/>
    <col width="20" customWidth="1" style="253" min="9" max="9"/>
    <col width="10" customWidth="1" style="253" min="10" max="10"/>
    <col width="13" customWidth="1" style="253" min="11" max="36"/>
  </cols>
  <sheetData>
    <row r="1" ht="15" customHeight="1" s="254">
      <c r="A1" s="253" t="inlineStr">
        <is>
          <t>Fator p/ milhões:</t>
        </is>
      </c>
      <c r="B1" s="253" t="n">
        <v>1</v>
      </c>
      <c r="D1" s="253" t="inlineStr">
        <is>
          <t>Shell plc (SHEL, CIK 1306965) - fonte: Quarterly Databook Q2 2026 do RI (shell.com/investors). Moeda: USD. Brutos já em USD milhões (fator = 1). Trimestre isolado (a soma dos quatro trimestres fecha o ano, arredondamento de US$ 1 mi). Série da fonte: 1T21 a 2T26. 1T20-4T20 ficam vazios: o databook vigente começa em Q1 2021. IFRS: DRE em etapa única, sem lucro operacional divulgado.</t>
        </is>
      </c>
    </row>
    <row r="2" ht="15" customHeight="1" s="254">
      <c r="J2" s="253" t="inlineStr">
        <is>
          <t>Trimestre</t>
        </is>
      </c>
      <c r="K2" s="253" t="inlineStr">
        <is>
          <t>1Q20</t>
        </is>
      </c>
      <c r="L2" s="253" t="inlineStr">
        <is>
          <t>2Q20</t>
        </is>
      </c>
      <c r="M2" s="253" t="inlineStr">
        <is>
          <t>3Q20</t>
        </is>
      </c>
      <c r="N2" s="253" t="inlineStr">
        <is>
          <t>4Q20</t>
        </is>
      </c>
      <c r="O2" s="253" t="inlineStr">
        <is>
          <t>1Q21</t>
        </is>
      </c>
      <c r="P2" s="253" t="inlineStr">
        <is>
          <t>2Q21</t>
        </is>
      </c>
      <c r="Q2" s="253" t="inlineStr">
        <is>
          <t>3Q21</t>
        </is>
      </c>
      <c r="R2" s="253" t="inlineStr">
        <is>
          <t>4Q21</t>
        </is>
      </c>
      <c r="S2" s="253" t="inlineStr">
        <is>
          <t>1Q22</t>
        </is>
      </c>
      <c r="T2" s="253" t="inlineStr">
        <is>
          <t>2Q22</t>
        </is>
      </c>
      <c r="U2" s="253" t="inlineStr">
        <is>
          <t>3Q22</t>
        </is>
      </c>
      <c r="V2" s="253" t="inlineStr">
        <is>
          <t>4Q22</t>
        </is>
      </c>
      <c r="W2" s="253" t="inlineStr">
        <is>
          <t>1Q23</t>
        </is>
      </c>
      <c r="X2" s="253" t="inlineStr">
        <is>
          <t>2Q23</t>
        </is>
      </c>
      <c r="Y2" s="253" t="inlineStr">
        <is>
          <t>3Q23</t>
        </is>
      </c>
      <c r="Z2" s="253" t="inlineStr">
        <is>
          <t>4Q23</t>
        </is>
      </c>
      <c r="AA2" s="253" t="inlineStr">
        <is>
          <t>1Q24</t>
        </is>
      </c>
      <c r="AB2" s="253" t="inlineStr">
        <is>
          <t>2Q24</t>
        </is>
      </c>
      <c r="AC2" s="253" t="inlineStr">
        <is>
          <t>3Q24</t>
        </is>
      </c>
      <c r="AD2" s="253" t="inlineStr">
        <is>
          <t>4Q24</t>
        </is>
      </c>
      <c r="AE2" s="253" t="inlineStr">
        <is>
          <t>1Q25</t>
        </is>
      </c>
      <c r="AF2" s="253" t="inlineStr">
        <is>
          <t>2Q25</t>
        </is>
      </c>
      <c r="AG2" s="253" t="inlineStr">
        <is>
          <t>3Q25</t>
        </is>
      </c>
      <c r="AH2" s="253" t="inlineStr">
        <is>
          <t>4Q25</t>
        </is>
      </c>
      <c r="AI2" s="253" t="inlineStr">
        <is>
          <t>1Q26</t>
        </is>
      </c>
      <c r="AJ2" s="253" t="inlineStr">
        <is>
          <t>2Q26</t>
        </is>
      </c>
    </row>
    <row r="4" ht="15" customHeight="1" s="254">
      <c r="A4" s="255" t="inlineStr">
        <is>
          <t>COD1</t>
        </is>
      </c>
      <c r="B4" s="255" t="inlineStr">
        <is>
          <t>SINAL1</t>
        </is>
      </c>
      <c r="C4" s="255" t="inlineStr">
        <is>
          <t>COD2</t>
        </is>
      </c>
      <c r="D4" s="255" t="inlineStr">
        <is>
          <t>SINAL2</t>
        </is>
      </c>
      <c r="E4" s="255" t="inlineStr">
        <is>
          <t>COD3</t>
        </is>
      </c>
      <c r="F4" s="255" t="inlineStr">
        <is>
          <t>SINAL3</t>
        </is>
      </c>
      <c r="G4" s="255" t="inlineStr">
        <is>
          <t>UNID</t>
        </is>
      </c>
      <c r="H4" s="255" t="inlineStr">
        <is>
          <t>Conta (PT) / origem</t>
        </is>
      </c>
      <c r="I4" s="255" t="inlineStr">
        <is>
          <t>Account (EN)</t>
        </is>
      </c>
      <c r="J4" s="255" t="inlineStr">
        <is>
          <t>ORIGEM</t>
        </is>
      </c>
      <c r="K4" s="255" t="inlineStr">
        <is>
          <t>1Q20</t>
        </is>
      </c>
      <c r="L4" s="255" t="inlineStr">
        <is>
          <t>2Q20</t>
        </is>
      </c>
      <c r="M4" s="255" t="inlineStr">
        <is>
          <t>3Q20</t>
        </is>
      </c>
      <c r="N4" s="255" t="inlineStr">
        <is>
          <t>4Q20</t>
        </is>
      </c>
      <c r="O4" s="255" t="inlineStr">
        <is>
          <t>1Q21</t>
        </is>
      </c>
      <c r="P4" s="255" t="inlineStr">
        <is>
          <t>2Q21</t>
        </is>
      </c>
      <c r="Q4" s="255" t="inlineStr">
        <is>
          <t>3Q21</t>
        </is>
      </c>
      <c r="R4" s="255" t="inlineStr">
        <is>
          <t>4Q21</t>
        </is>
      </c>
      <c r="S4" s="255" t="inlineStr">
        <is>
          <t>1Q22</t>
        </is>
      </c>
      <c r="T4" s="255" t="inlineStr">
        <is>
          <t>2Q22</t>
        </is>
      </c>
      <c r="U4" s="255" t="inlineStr">
        <is>
          <t>3Q22</t>
        </is>
      </c>
      <c r="V4" s="255" t="inlineStr">
        <is>
          <t>4Q22</t>
        </is>
      </c>
      <c r="W4" s="255" t="inlineStr">
        <is>
          <t>1Q23</t>
        </is>
      </c>
      <c r="X4" s="255" t="inlineStr">
        <is>
          <t>2Q23</t>
        </is>
      </c>
      <c r="Y4" s="255" t="inlineStr">
        <is>
          <t>3Q23</t>
        </is>
      </c>
      <c r="Z4" s="255" t="inlineStr">
        <is>
          <t>4Q23</t>
        </is>
      </c>
      <c r="AA4" s="255" t="inlineStr">
        <is>
          <t>1Q24</t>
        </is>
      </c>
      <c r="AB4" s="255" t="inlineStr">
        <is>
          <t>2Q24</t>
        </is>
      </c>
      <c r="AC4" s="255" t="inlineStr">
        <is>
          <t>3Q24</t>
        </is>
      </c>
      <c r="AD4" s="255" t="inlineStr">
        <is>
          <t>4Q24</t>
        </is>
      </c>
      <c r="AE4" s="255" t="inlineStr">
        <is>
          <t>1Q25</t>
        </is>
      </c>
      <c r="AF4" s="255" t="inlineStr">
        <is>
          <t>2Q25</t>
        </is>
      </c>
      <c r="AG4" s="255" t="inlineStr">
        <is>
          <t>3Q25</t>
        </is>
      </c>
      <c r="AH4" s="255" t="inlineStr">
        <is>
          <t>4Q25</t>
        </is>
      </c>
      <c r="AI4" s="255" t="inlineStr">
        <is>
          <t>1Q26</t>
        </is>
      </c>
      <c r="AJ4" s="255" t="inlineStr">
        <is>
          <t>2Q26</t>
        </is>
      </c>
    </row>
    <row r="5" ht="15" customHeight="1" s="254">
      <c r="H5" s="255" t="inlineStr">
        <is>
          <t>DRE - trimestre isolado (USD milhões). Fonte: aba Statement of Income do databook</t>
        </is>
      </c>
    </row>
    <row r="6" ht="15" customHeight="1" s="254">
      <c r="A6" s="253" t="n">
        <v>1</v>
      </c>
      <c r="B6" s="253" t="n">
        <v>1</v>
      </c>
      <c r="G6" s="253" t="inlineStr">
        <is>
          <t>moeda</t>
        </is>
      </c>
      <c r="H6" s="253" t="inlineStr">
        <is>
          <t>Receita [Revenue] databook Statement of Income</t>
        </is>
      </c>
      <c r="J6" s="253" t="inlineStr">
        <is>
          <t>fonte</t>
        </is>
      </c>
      <c r="K6" s="256" t="n"/>
      <c r="L6" s="256" t="n"/>
      <c r="M6" s="256" t="n"/>
      <c r="N6" s="256" t="n"/>
      <c r="O6" s="256" t="n">
        <v>55665</v>
      </c>
      <c r="P6" s="256" t="n">
        <v>60515</v>
      </c>
      <c r="Q6" s="256" t="n">
        <v>60044</v>
      </c>
      <c r="R6" s="256" t="n">
        <v>85280</v>
      </c>
      <c r="S6" s="256" t="n">
        <v>84204</v>
      </c>
      <c r="T6" s="256" t="n">
        <v>100059</v>
      </c>
      <c r="U6" s="256" t="n">
        <v>95749</v>
      </c>
      <c r="V6" s="256" t="n">
        <v>101303</v>
      </c>
      <c r="W6" s="256" t="n">
        <v>86959</v>
      </c>
      <c r="X6" s="256" t="n">
        <v>74578</v>
      </c>
      <c r="Y6" s="256" t="n">
        <v>76350</v>
      </c>
      <c r="Z6" s="256" t="n">
        <v>78732</v>
      </c>
      <c r="AA6" s="256" t="n">
        <v>72478</v>
      </c>
      <c r="AB6" s="256" t="n">
        <v>74463</v>
      </c>
      <c r="AC6" s="256" t="n">
        <v>71089</v>
      </c>
      <c r="AD6" s="256" t="n">
        <v>66281</v>
      </c>
      <c r="AE6" s="256" t="n">
        <v>69234</v>
      </c>
      <c r="AF6" s="256" t="n">
        <v>65406</v>
      </c>
      <c r="AG6" s="256" t="n">
        <v>68153</v>
      </c>
      <c r="AH6" s="256" t="n">
        <v>64093</v>
      </c>
      <c r="AI6" s="256" t="n">
        <v>69691</v>
      </c>
      <c r="AJ6" s="256" t="n">
        <v>94664</v>
      </c>
    </row>
    <row r="7" ht="15" customHeight="1" s="254">
      <c r="A7" s="253" t="n">
        <v>2</v>
      </c>
      <c r="B7" s="253" t="n">
        <v>-1</v>
      </c>
      <c r="G7" s="253" t="inlineStr">
        <is>
          <t>moeda</t>
        </is>
      </c>
      <c r="H7" s="253" t="inlineStr">
        <is>
          <t>Compras / custo da receita (divulgado positivo) [Purchases]</t>
        </is>
      </c>
      <c r="J7" s="253" t="inlineStr">
        <is>
          <t>fonte</t>
        </is>
      </c>
      <c r="K7" s="256" t="n"/>
      <c r="L7" s="256" t="n"/>
      <c r="M7" s="256" t="n"/>
      <c r="N7" s="256" t="n"/>
      <c r="O7" s="256" t="n">
        <v>34369</v>
      </c>
      <c r="P7" s="256" t="n">
        <v>39717</v>
      </c>
      <c r="Q7" s="256" t="n">
        <v>44260</v>
      </c>
      <c r="R7" s="256" t="n">
        <v>56566</v>
      </c>
      <c r="S7" s="256" t="n">
        <v>55657</v>
      </c>
      <c r="T7" s="256" t="n">
        <v>66658</v>
      </c>
      <c r="U7" s="256" t="n">
        <v>70684</v>
      </c>
      <c r="V7" s="256" t="n">
        <v>65489</v>
      </c>
      <c r="W7" s="256" t="n">
        <v>57502</v>
      </c>
      <c r="X7" s="256" t="n">
        <v>51492</v>
      </c>
      <c r="Y7" s="256" t="n">
        <v>49144</v>
      </c>
      <c r="Z7" s="256" t="n">
        <v>54745</v>
      </c>
      <c r="AA7" s="256" t="n">
        <v>46867</v>
      </c>
      <c r="AB7" s="256" t="n">
        <v>49417</v>
      </c>
      <c r="AC7" s="256" t="n">
        <v>48225</v>
      </c>
      <c r="AD7" s="256" t="n">
        <v>43610</v>
      </c>
      <c r="AE7" s="256" t="n">
        <v>45849</v>
      </c>
      <c r="AF7" s="256" t="n">
        <v>44099</v>
      </c>
      <c r="AG7" s="256" t="n">
        <v>45145</v>
      </c>
      <c r="AH7" s="256" t="n">
        <v>42102</v>
      </c>
      <c r="AI7" s="256" t="n">
        <v>44775</v>
      </c>
      <c r="AJ7" s="256" t="n">
        <v>64530</v>
      </c>
    </row>
    <row r="8" ht="15" customHeight="1" s="254">
      <c r="G8" s="253" t="inlineStr">
        <is>
          <t>moeda</t>
        </is>
      </c>
      <c r="H8" s="253" t="inlineStr">
        <is>
          <t>Despesas de produção e fabricação [Production and manufacturing expenses] (memória; entram nas despesas operacionais)</t>
        </is>
      </c>
      <c r="J8" s="253" t="inlineStr">
        <is>
          <t>memoria</t>
        </is>
      </c>
      <c r="K8" s="256" t="n"/>
      <c r="L8" s="256" t="n"/>
      <c r="M8" s="256" t="n"/>
      <c r="N8" s="256" t="n"/>
      <c r="O8" s="256" t="n">
        <v>6808</v>
      </c>
      <c r="P8" s="256" t="n">
        <v>5162</v>
      </c>
      <c r="Q8" s="256" t="n">
        <v>5322</v>
      </c>
      <c r="R8" s="256" t="n">
        <v>6530</v>
      </c>
      <c r="S8" s="256" t="n">
        <v>6029</v>
      </c>
      <c r="T8" s="256" t="n">
        <v>6359</v>
      </c>
      <c r="U8" s="256" t="n">
        <v>5910</v>
      </c>
      <c r="V8" s="256" t="n">
        <v>7220</v>
      </c>
      <c r="W8" s="256" t="n">
        <v>6008</v>
      </c>
      <c r="X8" s="256" t="n">
        <v>6041</v>
      </c>
      <c r="Y8" s="256" t="n">
        <v>6384</v>
      </c>
      <c r="Z8" s="256" t="n">
        <v>6807</v>
      </c>
      <c r="AA8" s="256" t="n">
        <v>5810</v>
      </c>
      <c r="AB8" s="256" t="n">
        <v>5593</v>
      </c>
      <c r="AC8" s="256" t="n">
        <v>6138</v>
      </c>
      <c r="AD8" s="256" t="n">
        <v>5839</v>
      </c>
      <c r="AE8" s="256" t="n">
        <v>5549</v>
      </c>
      <c r="AF8" s="256" t="n">
        <v>4909</v>
      </c>
      <c r="AG8" s="256" t="n">
        <v>5609</v>
      </c>
      <c r="AH8" s="256" t="n">
        <v>5830</v>
      </c>
      <c r="AI8" s="256" t="n">
        <v>5745</v>
      </c>
      <c r="AJ8" s="256" t="n">
        <v>5476</v>
      </c>
    </row>
    <row r="9" ht="15" customHeight="1" s="254">
      <c r="G9" s="253" t="inlineStr">
        <is>
          <t>moeda</t>
        </is>
      </c>
      <c r="H9" s="253" t="inlineStr">
        <is>
          <t>Despesas de vendas, distribuição e administrativas [Selling, distribution and administrative expenses]</t>
        </is>
      </c>
      <c r="J9" s="253" t="inlineStr">
        <is>
          <t>memoria</t>
        </is>
      </c>
      <c r="K9" s="256" t="n"/>
      <c r="L9" s="256" t="n"/>
      <c r="M9" s="256" t="n"/>
      <c r="N9" s="256" t="n"/>
      <c r="O9" s="256" t="n">
        <v>2462</v>
      </c>
      <c r="P9" s="256" t="n">
        <v>3107</v>
      </c>
      <c r="Q9" s="256" t="n">
        <v>2892</v>
      </c>
      <c r="R9" s="256" t="n">
        <v>2867</v>
      </c>
      <c r="S9" s="256" t="n">
        <v>3239</v>
      </c>
      <c r="T9" s="256" t="n">
        <v>2924</v>
      </c>
      <c r="U9" s="256" t="n">
        <v>3229</v>
      </c>
      <c r="V9" s="256" t="n">
        <v>3491</v>
      </c>
      <c r="W9" s="256" t="n">
        <v>3051</v>
      </c>
      <c r="X9" s="256" t="n">
        <v>3314</v>
      </c>
      <c r="Y9" s="256" t="n">
        <v>3447</v>
      </c>
      <c r="Z9" s="256" t="n">
        <v>3621</v>
      </c>
      <c r="AA9" s="256" t="n">
        <v>2975</v>
      </c>
      <c r="AB9" s="256" t="n">
        <v>3094</v>
      </c>
      <c r="AC9" s="256" t="n">
        <v>3139</v>
      </c>
      <c r="AD9" s="256" t="n">
        <v>3231</v>
      </c>
      <c r="AE9" s="256" t="n">
        <v>2840</v>
      </c>
      <c r="AF9" s="256" t="n">
        <v>3077</v>
      </c>
      <c r="AG9" s="256" t="n">
        <v>3258</v>
      </c>
      <c r="AH9" s="256" t="n">
        <v>3432</v>
      </c>
      <c r="AI9" s="256" t="n">
        <v>2803</v>
      </c>
      <c r="AJ9" s="256" t="n">
        <v>2911</v>
      </c>
    </row>
    <row r="10" ht="15" customHeight="1" s="254">
      <c r="G10" s="253" t="inlineStr">
        <is>
          <t>moeda</t>
        </is>
      </c>
      <c r="H10" s="253" t="inlineStr">
        <is>
          <t>P&amp;D [Research and development]</t>
        </is>
      </c>
      <c r="J10" s="253" t="inlineStr">
        <is>
          <t>memoria</t>
        </is>
      </c>
      <c r="K10" s="256" t="n"/>
      <c r="L10" s="256" t="n"/>
      <c r="M10" s="256" t="n"/>
      <c r="N10" s="256" t="n"/>
      <c r="O10" s="256" t="n">
        <v>166</v>
      </c>
      <c r="P10" s="256" t="n">
        <v>201</v>
      </c>
      <c r="Q10" s="256" t="n">
        <v>145</v>
      </c>
      <c r="R10" s="256" t="n">
        <v>304</v>
      </c>
      <c r="S10" s="256" t="n">
        <v>189</v>
      </c>
      <c r="T10" s="256" t="n">
        <v>264</v>
      </c>
      <c r="U10" s="256" t="n">
        <v>220</v>
      </c>
      <c r="V10" s="256" t="n">
        <v>403</v>
      </c>
      <c r="W10" s="256" t="n">
        <v>253</v>
      </c>
      <c r="X10" s="256" t="n">
        <v>297</v>
      </c>
      <c r="Y10" s="256" t="n">
        <v>267</v>
      </c>
      <c r="Z10" s="256" t="n">
        <v>469</v>
      </c>
      <c r="AA10" s="256" t="n">
        <v>212</v>
      </c>
      <c r="AB10" s="256" t="n">
        <v>263</v>
      </c>
      <c r="AC10" s="256" t="n">
        <v>294</v>
      </c>
      <c r="AD10" s="256" t="n">
        <v>331</v>
      </c>
      <c r="AE10" s="256" t="n">
        <v>185</v>
      </c>
      <c r="AF10" s="256" t="n">
        <v>278</v>
      </c>
      <c r="AG10" s="256" t="n">
        <v>409</v>
      </c>
      <c r="AH10" s="256" t="n">
        <v>298</v>
      </c>
      <c r="AI10" s="256" t="n">
        <v>167</v>
      </c>
      <c r="AJ10" s="256" t="n">
        <v>277</v>
      </c>
    </row>
    <row r="11" ht="15" customHeight="1" s="254">
      <c r="G11" s="253" t="inlineStr">
        <is>
          <t>moeda</t>
        </is>
      </c>
      <c r="H11" s="253" t="inlineStr">
        <is>
          <t>Exploração [Exploration]</t>
        </is>
      </c>
      <c r="J11" s="253" t="inlineStr">
        <is>
          <t>memoria</t>
        </is>
      </c>
      <c r="K11" s="256" t="n"/>
      <c r="L11" s="256" t="n"/>
      <c r="M11" s="256" t="n"/>
      <c r="N11" s="256" t="n"/>
      <c r="O11" s="256" t="n">
        <v>285</v>
      </c>
      <c r="P11" s="256" t="n">
        <v>332</v>
      </c>
      <c r="Q11" s="256" t="n">
        <v>526</v>
      </c>
      <c r="R11" s="256" t="n">
        <v>280</v>
      </c>
      <c r="S11" s="256" t="n">
        <v>269</v>
      </c>
      <c r="T11" s="256" t="n">
        <v>370</v>
      </c>
      <c r="U11" s="256" t="n">
        <v>424</v>
      </c>
      <c r="V11" s="256" t="n">
        <v>649</v>
      </c>
      <c r="W11" s="256" t="n">
        <v>404</v>
      </c>
      <c r="X11" s="256" t="n">
        <v>444</v>
      </c>
      <c r="Y11" s="256" t="n">
        <v>436</v>
      </c>
      <c r="Z11" s="256" t="n">
        <v>467</v>
      </c>
      <c r="AA11" s="256" t="n">
        <v>750</v>
      </c>
      <c r="AB11" s="256" t="n">
        <v>496</v>
      </c>
      <c r="AC11" s="256" t="n">
        <v>305</v>
      </c>
      <c r="AD11" s="256" t="n">
        <v>861</v>
      </c>
      <c r="AE11" s="256" t="n">
        <v>210</v>
      </c>
      <c r="AF11" s="256" t="n">
        <v>360</v>
      </c>
      <c r="AG11" s="256" t="n">
        <v>175</v>
      </c>
      <c r="AH11" s="256" t="n">
        <v>391</v>
      </c>
      <c r="AI11" s="256" t="n">
        <v>98</v>
      </c>
      <c r="AJ11" s="256" t="n">
        <v>110</v>
      </c>
    </row>
    <row r="12" ht="15" customHeight="1" s="254">
      <c r="G12" s="253" t="inlineStr">
        <is>
          <t>moeda</t>
        </is>
      </c>
      <c r="H12" s="253" t="inlineStr">
        <is>
          <t>Lucro operacional DERIVADO = receita − compras − produção − vendas/adm − P&amp;D − exploração − D&amp;A. A Shell não divulga EBIT; JV e outras receitas ficam no não operacional.</t>
        </is>
      </c>
      <c r="J12" s="253" t="inlineStr">
        <is>
          <t>memoria</t>
        </is>
      </c>
      <c r="K12" s="256" t="n"/>
      <c r="L12" s="256" t="n"/>
      <c r="M12" s="256" t="n"/>
      <c r="N12" s="256" t="n"/>
      <c r="O12" s="256" t="n">
        <v>5679</v>
      </c>
      <c r="P12" s="256" t="n">
        <v>3773</v>
      </c>
      <c r="Q12" s="256" t="n">
        <v>541</v>
      </c>
      <c r="R12" s="256" t="n">
        <v>12288</v>
      </c>
      <c r="S12" s="256" t="n">
        <v>12526</v>
      </c>
      <c r="T12" s="256" t="n">
        <v>23832</v>
      </c>
      <c r="U12" s="256" t="n">
        <v>9158</v>
      </c>
      <c r="V12" s="256" t="n">
        <v>17592</v>
      </c>
      <c r="W12" s="256" t="n">
        <v>13456</v>
      </c>
      <c r="X12" s="256" t="n">
        <v>5118</v>
      </c>
      <c r="Y12" s="256" t="n">
        <v>10761</v>
      </c>
      <c r="Z12" s="256" t="n">
        <v>1402</v>
      </c>
      <c r="AA12" s="256" t="n">
        <v>9983</v>
      </c>
      <c r="AB12" s="256" t="n">
        <v>8045</v>
      </c>
      <c r="AC12" s="256" t="n">
        <v>7072</v>
      </c>
      <c r="AD12" s="256" t="n">
        <v>4889</v>
      </c>
      <c r="AE12" s="256" t="n">
        <v>9160</v>
      </c>
      <c r="AF12" s="256" t="n">
        <v>6013</v>
      </c>
      <c r="AG12" s="256" t="n">
        <v>6950</v>
      </c>
      <c r="AH12" s="256" t="n">
        <v>5459</v>
      </c>
      <c r="AI12" s="256" t="n">
        <v>10360</v>
      </c>
      <c r="AJ12" s="256" t="n">
        <v>15177</v>
      </c>
    </row>
    <row r="13" ht="15" customHeight="1" s="254">
      <c r="A13" s="253" t="n">
        <v>3</v>
      </c>
      <c r="B13" s="253" t="n">
        <v>-1</v>
      </c>
      <c r="G13" s="253" t="inlineStr">
        <is>
          <t>moeda</t>
        </is>
      </c>
      <c r="H13" s="253" t="inlineStr">
        <is>
          <t>Despesas operacionais = receita − custo − lucro operacional (produção, vendas/adm, P&amp;D, exploração, D&amp;A)</t>
        </is>
      </c>
      <c r="J13" s="253" t="inlineStr">
        <is>
          <t>derivada</t>
        </is>
      </c>
      <c r="K13" s="256" t="n"/>
      <c r="L13" s="256" t="n"/>
      <c r="M13" s="256" t="n"/>
      <c r="N13" s="256" t="n"/>
      <c r="O13" s="256">
        <f>N(O6)-N(O7)-N(O12)</f>
        <v>15617</v>
      </c>
      <c r="P13" s="256">
        <f>N(P6)-N(P7)-N(P12)</f>
        <v>17025</v>
      </c>
      <c r="Q13" s="256">
        <f>N(Q6)-N(Q7)-N(Q12)</f>
        <v>15243</v>
      </c>
      <c r="R13" s="256">
        <f>N(R6)-N(R7)-N(R12)</f>
        <v>16426</v>
      </c>
      <c r="S13" s="256">
        <f>N(S6)-N(S7)-N(S12)</f>
        <v>16021</v>
      </c>
      <c r="T13" s="256">
        <f>N(T6)-N(T7)-N(T12)</f>
        <v>9569</v>
      </c>
      <c r="U13" s="256">
        <f>N(U6)-N(U7)-N(U12)</f>
        <v>15907</v>
      </c>
      <c r="V13" s="256">
        <f>N(V6)-N(V7)-N(V12)</f>
        <v>18222</v>
      </c>
      <c r="W13" s="256">
        <f>N(W6)-N(W7)-N(W12)</f>
        <v>16001</v>
      </c>
      <c r="X13" s="256">
        <f>N(X6)-N(X7)-N(X12)</f>
        <v>17968</v>
      </c>
      <c r="Y13" s="256">
        <f>N(Y6)-N(Y7)-N(Y12)</f>
        <v>16445</v>
      </c>
      <c r="Z13" s="256">
        <f>N(Z6)-N(Z7)-N(Z12)</f>
        <v>22585</v>
      </c>
      <c r="AA13" s="256">
        <f>N(AA6)-N(AA7)-N(AA12)</f>
        <v>15628</v>
      </c>
      <c r="AB13" s="256">
        <f>N(AB6)-N(AB7)-N(AB12)</f>
        <v>17001</v>
      </c>
      <c r="AC13" s="256">
        <f>N(AC6)-N(AC7)-N(AC12)</f>
        <v>15792</v>
      </c>
      <c r="AD13" s="256">
        <f>N(AD6)-N(AD7)-N(AD12)</f>
        <v>17782</v>
      </c>
      <c r="AE13" s="256">
        <f>N(AE6)-N(AE7)-N(AE12)</f>
        <v>14225</v>
      </c>
      <c r="AF13" s="256">
        <f>N(AF6)-N(AF7)-N(AF12)</f>
        <v>15294</v>
      </c>
      <c r="AG13" s="256">
        <f>N(AG6)-N(AG7)-N(AG12)</f>
        <v>16058</v>
      </c>
      <c r="AH13" s="256">
        <f>N(AH6)-N(AH7)-N(AH12)</f>
        <v>16532</v>
      </c>
      <c r="AI13" s="256">
        <f>N(AI6)-N(AI7)-N(AI12)</f>
        <v>14556</v>
      </c>
      <c r="AJ13" s="256">
        <f>N(AJ6)-N(AJ7)-N(AJ12)</f>
        <v>14957</v>
      </c>
    </row>
    <row r="14" ht="15" customHeight="1" s="254">
      <c r="G14" s="253" t="inlineStr">
        <is>
          <t>moeda</t>
        </is>
      </c>
      <c r="H14" s="253" t="inlineStr">
        <is>
          <t>Lucro antes do IR [Income/(loss) before taxation]</t>
        </is>
      </c>
      <c r="J14" s="253" t="inlineStr">
        <is>
          <t>memoria</t>
        </is>
      </c>
      <c r="K14" s="256" t="n"/>
      <c r="L14" s="256" t="n"/>
      <c r="M14" s="256" t="n"/>
      <c r="N14" s="256" t="n"/>
      <c r="O14" s="256" t="n">
        <v>8237</v>
      </c>
      <c r="P14" s="256" t="n">
        <v>4130</v>
      </c>
      <c r="Q14" s="256" t="n">
        <v>1193</v>
      </c>
      <c r="R14" s="256" t="n">
        <v>16269</v>
      </c>
      <c r="S14" s="256" t="n">
        <v>10776</v>
      </c>
      <c r="T14" s="256" t="n">
        <v>26160</v>
      </c>
      <c r="U14" s="256" t="n">
        <v>11435</v>
      </c>
      <c r="V14" s="256" t="n">
        <v>16443</v>
      </c>
      <c r="W14" s="256" t="n">
        <v>14354</v>
      </c>
      <c r="X14" s="256" t="n">
        <v>5348</v>
      </c>
      <c r="Y14" s="256" t="n">
        <v>11291</v>
      </c>
      <c r="Z14" s="256" t="n">
        <v>1635</v>
      </c>
      <c r="AA14" s="256" t="n">
        <v>11044</v>
      </c>
      <c r="AB14" s="256" t="n">
        <v>7404</v>
      </c>
      <c r="AC14" s="256" t="n">
        <v>7270</v>
      </c>
      <c r="AD14" s="256" t="n">
        <v>4205</v>
      </c>
      <c r="AE14" s="256" t="n">
        <v>8959</v>
      </c>
      <c r="AF14" s="256" t="n">
        <v>5975</v>
      </c>
      <c r="AG14" s="256" t="n">
        <v>7924</v>
      </c>
      <c r="AH14" s="256" t="n">
        <v>6898</v>
      </c>
      <c r="AI14" s="256" t="n">
        <v>9328</v>
      </c>
      <c r="AJ14" s="256" t="n">
        <v>15754</v>
      </c>
    </row>
    <row r="15" ht="15" customHeight="1" s="254">
      <c r="A15" s="253" t="n">
        <v>6</v>
      </c>
      <c r="B15" s="253" t="n">
        <v>1</v>
      </c>
      <c r="G15" s="253" t="inlineStr">
        <is>
          <t>moeda</t>
        </is>
      </c>
      <c r="H15" s="253" t="inlineStr">
        <is>
          <t>Resultado não operacional total = lucro antes do IR − lucro operacional (JV + outras receitas − juros)</t>
        </is>
      </c>
      <c r="J15" s="253" t="inlineStr">
        <is>
          <t>derivada</t>
        </is>
      </c>
      <c r="K15" s="256" t="n"/>
      <c r="L15" s="256" t="n"/>
      <c r="M15" s="256" t="n"/>
      <c r="N15" s="256" t="n"/>
      <c r="O15" s="256">
        <f>N(O14)-N(O12)</f>
        <v>2558</v>
      </c>
      <c r="P15" s="256">
        <f>N(P14)-N(P12)</f>
        <v>357</v>
      </c>
      <c r="Q15" s="256">
        <f>N(Q14)-N(Q12)</f>
        <v>652</v>
      </c>
      <c r="R15" s="256">
        <f>N(R14)-N(R12)</f>
        <v>3981</v>
      </c>
      <c r="S15" s="256">
        <f>N(S14)-N(S12)</f>
        <v>-1750</v>
      </c>
      <c r="T15" s="256">
        <f>N(T14)-N(T12)</f>
        <v>2328</v>
      </c>
      <c r="U15" s="256">
        <f>N(U14)-N(U12)</f>
        <v>2277</v>
      </c>
      <c r="V15" s="256">
        <f>N(V14)-N(V12)</f>
        <v>-1149</v>
      </c>
      <c r="W15" s="256">
        <f>N(W14)-N(W12)</f>
        <v>898</v>
      </c>
      <c r="X15" s="256">
        <f>N(X14)-N(X12)</f>
        <v>230</v>
      </c>
      <c r="Y15" s="256">
        <f>N(Y14)-N(Y12)</f>
        <v>530</v>
      </c>
      <c r="Z15" s="256">
        <f>N(Z14)-N(Z12)</f>
        <v>233</v>
      </c>
      <c r="AA15" s="256">
        <f>N(AA14)-N(AA12)</f>
        <v>1061</v>
      </c>
      <c r="AB15" s="256">
        <f>N(AB14)-N(AB12)</f>
        <v>-641</v>
      </c>
      <c r="AC15" s="256">
        <f>N(AC14)-N(AC12)</f>
        <v>198</v>
      </c>
      <c r="AD15" s="256">
        <f>N(AD14)-N(AD12)</f>
        <v>-684</v>
      </c>
      <c r="AE15" s="256">
        <f>N(AE14)-N(AE12)</f>
        <v>-201</v>
      </c>
      <c r="AF15" s="256">
        <f>N(AF14)-N(AF12)</f>
        <v>-38</v>
      </c>
      <c r="AG15" s="256">
        <f>N(AG14)-N(AG12)</f>
        <v>974</v>
      </c>
      <c r="AH15" s="256">
        <f>N(AH14)-N(AH12)</f>
        <v>1439</v>
      </c>
      <c r="AI15" s="256">
        <f>N(AI14)-N(AI12)</f>
        <v>-1032</v>
      </c>
      <c r="AJ15" s="256">
        <f>N(AJ14)-N(AJ12)</f>
        <v>577</v>
      </c>
    </row>
    <row r="16" ht="15" customHeight="1" s="254">
      <c r="G16" s="253" t="inlineStr">
        <is>
          <t>moeda</t>
        </is>
      </c>
      <c r="H16" s="253" t="inlineStr">
        <is>
          <t>Equivalência patrimonial [Share of profit/(loss) of joint ventures and associates] (memória; já está no código 6 via não operacional)</t>
        </is>
      </c>
      <c r="J16" s="253" t="inlineStr">
        <is>
          <t>memoria</t>
        </is>
      </c>
      <c r="K16" s="256" t="n"/>
      <c r="L16" s="256" t="n"/>
      <c r="M16" s="256" t="n"/>
      <c r="N16" s="256" t="n"/>
      <c r="O16" s="256" t="n">
        <v>995</v>
      </c>
      <c r="P16" s="256" t="n">
        <v>1114</v>
      </c>
      <c r="Q16" s="256" t="n">
        <v>1014</v>
      </c>
      <c r="R16" s="256" t="n">
        <v>975</v>
      </c>
      <c r="S16" s="256" t="n">
        <v>-303</v>
      </c>
      <c r="T16" s="256" t="n">
        <v>2031</v>
      </c>
      <c r="U16" s="256" t="n">
        <v>2512</v>
      </c>
      <c r="V16" s="256" t="n">
        <v>-268</v>
      </c>
      <c r="W16" s="256" t="n">
        <v>1581</v>
      </c>
      <c r="X16" s="256" t="n">
        <v>629</v>
      </c>
      <c r="Y16" s="256" t="n">
        <v>747</v>
      </c>
      <c r="Z16" s="256" t="n">
        <v>768</v>
      </c>
      <c r="AA16" s="256" t="n">
        <v>1318</v>
      </c>
      <c r="AB16" s="256" t="n">
        <v>898</v>
      </c>
      <c r="AC16" s="256" t="n">
        <v>933</v>
      </c>
      <c r="AD16" s="256" t="n">
        <v>-156</v>
      </c>
      <c r="AE16" s="256" t="n">
        <v>615</v>
      </c>
      <c r="AF16" s="256" t="n">
        <v>712</v>
      </c>
      <c r="AG16" s="256" t="n">
        <v>507</v>
      </c>
      <c r="AH16" s="256" t="n">
        <v>-215</v>
      </c>
      <c r="AI16" s="256" t="n">
        <v>-93</v>
      </c>
      <c r="AJ16" s="256" t="n">
        <v>642</v>
      </c>
    </row>
    <row r="17" ht="15" customHeight="1" s="254">
      <c r="G17" s="253" t="inlineStr">
        <is>
          <t>moeda</t>
        </is>
      </c>
      <c r="H17" s="253" t="inlineStr">
        <is>
          <t>Juros e outras receitas/(despesas) [Interest and other income/(expenses)] (memória; já está no código 6 via não operacional)</t>
        </is>
      </c>
      <c r="J17" s="253" t="inlineStr">
        <is>
          <t>memoria</t>
        </is>
      </c>
      <c r="K17" s="256" t="n"/>
      <c r="L17" s="256" t="n"/>
      <c r="M17" s="256" t="n"/>
      <c r="N17" s="256" t="n"/>
      <c r="O17" s="256" t="n">
        <v>2455</v>
      </c>
      <c r="P17" s="256" t="n">
        <v>134</v>
      </c>
      <c r="Q17" s="256" t="n">
        <v>497</v>
      </c>
      <c r="R17" s="256" t="n">
        <v>3968</v>
      </c>
      <c r="S17" s="256" t="n">
        <v>-737</v>
      </c>
      <c r="T17" s="256" t="n">
        <v>993</v>
      </c>
      <c r="U17" s="256" t="n">
        <v>498</v>
      </c>
      <c r="V17" s="256" t="n">
        <v>160</v>
      </c>
      <c r="W17" s="256" t="n">
        <v>481</v>
      </c>
      <c r="X17" s="256" t="n">
        <v>813</v>
      </c>
      <c r="Y17" s="256" t="n">
        <v>913</v>
      </c>
      <c r="Z17" s="256" t="n">
        <v>631</v>
      </c>
      <c r="AA17" s="256" t="n">
        <v>907</v>
      </c>
      <c r="AB17" s="256" t="n">
        <v>-305</v>
      </c>
      <c r="AC17" s="256" t="n">
        <v>440</v>
      </c>
      <c r="AD17" s="256" t="n">
        <v>683</v>
      </c>
      <c r="AE17" s="256" t="n">
        <v>302</v>
      </c>
      <c r="AF17" s="256" t="n">
        <v>326</v>
      </c>
      <c r="AG17" s="256" t="n">
        <v>1751</v>
      </c>
      <c r="AH17" s="256" t="n">
        <v>2848</v>
      </c>
      <c r="AI17" s="256" t="n">
        <v>535</v>
      </c>
      <c r="AJ17" s="256" t="n">
        <v>1048</v>
      </c>
    </row>
    <row r="18" ht="15" customHeight="1" s="254">
      <c r="A18" s="253" t="n">
        <v>5</v>
      </c>
      <c r="B18" s="253" t="n">
        <v>-1</v>
      </c>
      <c r="C18" s="253" t="n">
        <v>6</v>
      </c>
      <c r="D18" s="253" t="n">
        <v>1</v>
      </c>
      <c r="G18" s="253" t="inlineStr">
        <is>
          <t>moeda</t>
        </is>
      </c>
      <c r="H18" s="253" t="inlineStr">
        <is>
          <t>Despesa de juros (divulgado positivo): COD1=5 lança; COD2=6 devolve ao não operacional, que já a contém [Interest expense]</t>
        </is>
      </c>
      <c r="J18" s="253" t="inlineStr">
        <is>
          <t>fonte</t>
        </is>
      </c>
      <c r="K18" s="256" t="n"/>
      <c r="L18" s="256" t="n"/>
      <c r="M18" s="256" t="n"/>
      <c r="N18" s="256" t="n"/>
      <c r="O18" s="256" t="n">
        <v>892</v>
      </c>
      <c r="P18" s="256" t="n">
        <v>893</v>
      </c>
      <c r="Q18" s="256" t="n">
        <v>859</v>
      </c>
      <c r="R18" s="256" t="n">
        <v>963</v>
      </c>
      <c r="S18" s="256" t="n">
        <v>711</v>
      </c>
      <c r="T18" s="256" t="n">
        <v>695</v>
      </c>
      <c r="U18" s="256" t="n">
        <v>734</v>
      </c>
      <c r="V18" s="256" t="n">
        <v>1040</v>
      </c>
      <c r="W18" s="256" t="n">
        <v>1165</v>
      </c>
      <c r="X18" s="256" t="n">
        <v>1211</v>
      </c>
      <c r="Y18" s="256" t="n">
        <v>1131</v>
      </c>
      <c r="Z18" s="256" t="n">
        <v>1166</v>
      </c>
      <c r="AA18" s="256" t="n">
        <v>1164</v>
      </c>
      <c r="AB18" s="256" t="n">
        <v>1235</v>
      </c>
      <c r="AC18" s="256" t="n">
        <v>1174</v>
      </c>
      <c r="AD18" s="256" t="n">
        <v>1213</v>
      </c>
      <c r="AE18" s="256" t="n">
        <v>1120</v>
      </c>
      <c r="AF18" s="256" t="n">
        <v>1075</v>
      </c>
      <c r="AG18" s="256" t="n">
        <v>1284</v>
      </c>
      <c r="AH18" s="256" t="n">
        <v>1193</v>
      </c>
      <c r="AI18" s="256" t="n">
        <v>1473</v>
      </c>
      <c r="AJ18" s="256" t="n">
        <v>1114</v>
      </c>
    </row>
    <row r="19" ht="15" customHeight="1" s="254">
      <c r="A19" s="253" t="n">
        <v>7</v>
      </c>
      <c r="B19" s="253" t="n">
        <v>-1</v>
      </c>
      <c r="G19" s="253" t="inlineStr">
        <is>
          <t>moeda</t>
        </is>
      </c>
      <c r="H19" s="253" t="inlineStr">
        <is>
          <t>Imposto de renda (charge positivo / credit negativo) [Taxation charge/(credit)]</t>
        </is>
      </c>
      <c r="J19" s="253" t="inlineStr">
        <is>
          <t>fonte</t>
        </is>
      </c>
      <c r="K19" s="256" t="n"/>
      <c r="L19" s="256" t="n"/>
      <c r="M19" s="256" t="n"/>
      <c r="N19" s="256" t="n"/>
      <c r="O19" s="256" t="n">
        <v>2453</v>
      </c>
      <c r="P19" s="256" t="n">
        <v>571</v>
      </c>
      <c r="Q19" s="256" t="n">
        <v>1510</v>
      </c>
      <c r="R19" s="256" t="n">
        <v>4665</v>
      </c>
      <c r="S19" s="256" t="n">
        <v>3457</v>
      </c>
      <c r="T19" s="256" t="n">
        <v>7922</v>
      </c>
      <c r="U19" s="256" t="n">
        <v>4587</v>
      </c>
      <c r="V19" s="256" t="n">
        <v>5975</v>
      </c>
      <c r="W19" s="256" t="n">
        <v>5582</v>
      </c>
      <c r="X19" s="256" t="n">
        <v>2195</v>
      </c>
      <c r="Y19" s="256" t="n">
        <v>4115</v>
      </c>
      <c r="Z19" s="256" t="n">
        <v>1099</v>
      </c>
      <c r="AA19" s="256" t="n">
        <v>3604</v>
      </c>
      <c r="AB19" s="256" t="n">
        <v>3754</v>
      </c>
      <c r="AC19" s="256" t="n">
        <v>2879</v>
      </c>
      <c r="AD19" s="256" t="n">
        <v>3164</v>
      </c>
      <c r="AE19" s="256" t="n">
        <v>4083</v>
      </c>
      <c r="AF19" s="256" t="n">
        <v>2332</v>
      </c>
      <c r="AG19" s="256" t="n">
        <v>2504</v>
      </c>
      <c r="AH19" s="256" t="n">
        <v>2718</v>
      </c>
      <c r="AI19" s="256" t="n">
        <v>3570</v>
      </c>
      <c r="AJ19" s="256" t="n">
        <v>4949</v>
      </c>
    </row>
    <row r="20" ht="15" customHeight="1" s="254">
      <c r="A20" s="253" t="n">
        <v>9</v>
      </c>
      <c r="B20" s="253" t="n">
        <v>-1</v>
      </c>
      <c r="G20" s="253" t="inlineStr">
        <is>
          <t>moeda</t>
        </is>
      </c>
      <c r="H20" s="253" t="inlineStr">
        <is>
          <t>Lucro atribuído a não controladores [Income/(loss) attributable to non-controlling interest]</t>
        </is>
      </c>
      <c r="J20" s="253" t="inlineStr">
        <is>
          <t>fonte</t>
        </is>
      </c>
      <c r="K20" s="256" t="n"/>
      <c r="L20" s="256" t="n"/>
      <c r="M20" s="256" t="n"/>
      <c r="N20" s="256" t="n"/>
      <c r="O20" s="256" t="n">
        <v>124</v>
      </c>
      <c r="P20" s="256" t="n">
        <v>131</v>
      </c>
      <c r="Q20" s="256" t="n">
        <v>130</v>
      </c>
      <c r="R20" s="256" t="n">
        <v>144</v>
      </c>
      <c r="S20" s="256" t="n">
        <v>203</v>
      </c>
      <c r="T20" s="256" t="n">
        <v>198</v>
      </c>
      <c r="U20" s="256" t="n">
        <v>104</v>
      </c>
      <c r="V20" s="256" t="n">
        <v>59</v>
      </c>
      <c r="W20" s="256" t="n">
        <v>64</v>
      </c>
      <c r="X20" s="256" t="n">
        <v>20</v>
      </c>
      <c r="Y20" s="256" t="n">
        <v>132</v>
      </c>
      <c r="Z20" s="256" t="n">
        <v>62</v>
      </c>
      <c r="AA20" s="256" t="n">
        <v>82</v>
      </c>
      <c r="AB20" s="256" t="n">
        <v>133</v>
      </c>
      <c r="AC20" s="256" t="n">
        <v>100</v>
      </c>
      <c r="AD20" s="256" t="n">
        <v>113</v>
      </c>
      <c r="AE20" s="256" t="n">
        <v>95</v>
      </c>
      <c r="AF20" s="256" t="n">
        <v>43</v>
      </c>
      <c r="AG20" s="256" t="n">
        <v>98</v>
      </c>
      <c r="AH20" s="256" t="n">
        <v>46</v>
      </c>
      <c r="AI20" s="256" t="n">
        <v>64</v>
      </c>
      <c r="AJ20" s="256" t="n">
        <v>-16</v>
      </c>
    </row>
    <row r="21" ht="15" customHeight="1" s="254">
      <c r="G21" s="253" t="inlineStr">
        <is>
          <t>moeda</t>
        </is>
      </c>
      <c r="H21" s="253" t="inlineStr">
        <is>
          <t>Lucro líquido atribuído à Shell plc [Income/(loss) attributable to Shell plc shareholders]</t>
        </is>
      </c>
      <c r="J21" s="253" t="inlineStr">
        <is>
          <t>memoria</t>
        </is>
      </c>
      <c r="K21" s="256" t="n"/>
      <c r="L21" s="256" t="n"/>
      <c r="M21" s="256" t="n"/>
      <c r="N21" s="256" t="n"/>
      <c r="O21" s="256" t="n">
        <v>5660</v>
      </c>
      <c r="P21" s="256" t="n">
        <v>3428</v>
      </c>
      <c r="Q21" s="256" t="n">
        <v>-447</v>
      </c>
      <c r="R21" s="256" t="n">
        <v>11461</v>
      </c>
      <c r="S21" s="256" t="n">
        <v>7116</v>
      </c>
      <c r="T21" s="256" t="n">
        <v>18040</v>
      </c>
      <c r="U21" s="256" t="n">
        <v>6743</v>
      </c>
      <c r="V21" s="256" t="n">
        <v>10409</v>
      </c>
      <c r="W21" s="256" t="n">
        <v>8709</v>
      </c>
      <c r="X21" s="256" t="n">
        <v>3134</v>
      </c>
      <c r="Y21" s="256" t="n">
        <v>7044</v>
      </c>
      <c r="Z21" s="256" t="n">
        <v>474</v>
      </c>
      <c r="AA21" s="256" t="n">
        <v>7358</v>
      </c>
      <c r="AB21" s="256" t="n">
        <v>3517</v>
      </c>
      <c r="AC21" s="256" t="n">
        <v>4291</v>
      </c>
      <c r="AD21" s="256" t="n">
        <v>928</v>
      </c>
      <c r="AE21" s="256" t="n">
        <v>4780</v>
      </c>
      <c r="AF21" s="256" t="n">
        <v>3601</v>
      </c>
      <c r="AG21" s="256" t="n">
        <v>5322</v>
      </c>
      <c r="AH21" s="256" t="n">
        <v>4134</v>
      </c>
      <c r="AI21" s="256" t="n">
        <v>5694</v>
      </c>
      <c r="AJ21" s="256" t="n">
        <v>10821</v>
      </c>
    </row>
    <row r="22" ht="15" customHeight="1" s="254">
      <c r="A22" s="253" t="n">
        <v>8</v>
      </c>
      <c r="B22" s="253" t="n">
        <v>1</v>
      </c>
      <c r="G22" s="253" t="inlineStr">
        <is>
          <t>moeda</t>
        </is>
      </c>
      <c r="H22" s="253" t="inlineStr">
        <is>
          <t>Resultado após IR não classificado: lucro − (LAIR − IR − minoritários); absorve arredondamento de US$ 1 mi</t>
        </is>
      </c>
      <c r="J22" s="253" t="inlineStr">
        <is>
          <t>derivada</t>
        </is>
      </c>
      <c r="K22" s="256" t="n"/>
      <c r="L22" s="256" t="n"/>
      <c r="M22" s="256" t="n"/>
      <c r="N22" s="256" t="n"/>
      <c r="O22" s="256">
        <f>N(O21)-(N(O14)-N(O19)-N(O20))</f>
        <v>0</v>
      </c>
      <c r="P22" s="256">
        <f>N(P21)-(N(P14)-N(P19)-N(P20))</f>
        <v>0</v>
      </c>
      <c r="Q22" s="256">
        <f>N(Q21)-(N(Q14)-N(Q19)-N(Q20))</f>
        <v>0</v>
      </c>
      <c r="R22" s="256">
        <f>N(R21)-(N(R14)-N(R19)-N(R20))</f>
        <v>1</v>
      </c>
      <c r="S22" s="256">
        <f>N(S21)-(N(S14)-N(S19)-N(S20))</f>
        <v>0</v>
      </c>
      <c r="T22" s="256">
        <f>N(T21)-(N(T14)-N(T19)-N(T20))</f>
        <v>0</v>
      </c>
      <c r="U22" s="256">
        <f>N(U21)-(N(U14)-N(U19)-N(U20))</f>
        <v>-1</v>
      </c>
      <c r="V22" s="256">
        <f>N(V21)-(N(V14)-N(V19)-N(V20))</f>
        <v>0</v>
      </c>
      <c r="W22" s="256">
        <f>N(W21)-(N(W14)-N(W19)-N(W20))</f>
        <v>1</v>
      </c>
      <c r="X22" s="256">
        <f>N(X21)-(N(X14)-N(X19)-N(X20))</f>
        <v>1</v>
      </c>
      <c r="Y22" s="256">
        <f>N(Y21)-(N(Y14)-N(Y19)-N(Y20))</f>
        <v>0</v>
      </c>
      <c r="Z22" s="256">
        <f>N(Z21)-(N(Z14)-N(Z19)-N(Z20))</f>
        <v>0</v>
      </c>
      <c r="AA22" s="256">
        <f>N(AA21)-(N(AA14)-N(AA19)-N(AA20))</f>
        <v>0</v>
      </c>
      <c r="AB22" s="256">
        <f>N(AB21)-(N(AB14)-N(AB19)-N(AB20))</f>
        <v>0</v>
      </c>
      <c r="AC22" s="256">
        <f>N(AC21)-(N(AC14)-N(AC19)-N(AC20))</f>
        <v>0</v>
      </c>
      <c r="AD22" s="256">
        <f>N(AD21)-(N(AD14)-N(AD19)-N(AD20))</f>
        <v>0</v>
      </c>
      <c r="AE22" s="256">
        <f>N(AE21)-(N(AE14)-N(AE19)-N(AE20))</f>
        <v>-1</v>
      </c>
      <c r="AF22" s="256">
        <f>N(AF21)-(N(AF14)-N(AF19)-N(AF20))</f>
        <v>1</v>
      </c>
      <c r="AG22" s="256">
        <f>N(AG21)-(N(AG14)-N(AG19)-N(AG20))</f>
        <v>0</v>
      </c>
      <c r="AH22" s="256">
        <f>N(AH21)-(N(AH14)-N(AH19)-N(AH20))</f>
        <v>0</v>
      </c>
      <c r="AI22" s="256">
        <f>N(AI21)-(N(AI14)-N(AI19)-N(AI20))</f>
        <v>0</v>
      </c>
      <c r="AJ22" s="256">
        <f>N(AJ21)-(N(AJ14)-N(AJ19)-N(AJ20))</f>
        <v>0</v>
      </c>
    </row>
    <row r="23" ht="15" customHeight="1" s="254">
      <c r="A23" s="253" t="n">
        <v>44</v>
      </c>
      <c r="B23" s="253" t="n">
        <v>1</v>
      </c>
      <c r="G23" s="253" t="inlineStr">
        <is>
          <t>moeda</t>
        </is>
      </c>
      <c r="H23" s="253" t="inlineStr">
        <is>
          <t>Lucro líquido (check IS, código 44)</t>
        </is>
      </c>
      <c r="J23" s="253" t="inlineStr">
        <is>
          <t>derivada</t>
        </is>
      </c>
      <c r="K23" s="256" t="n"/>
      <c r="L23" s="256" t="n"/>
      <c r="M23" s="256" t="n"/>
      <c r="N23" s="256" t="n"/>
      <c r="O23" s="256">
        <f>N(O21)</f>
        <v>5660</v>
      </c>
      <c r="P23" s="256">
        <f>N(P21)</f>
        <v>3428</v>
      </c>
      <c r="Q23" s="256">
        <f>N(Q21)</f>
        <v>-447</v>
      </c>
      <c r="R23" s="256">
        <f>N(R21)</f>
        <v>11461</v>
      </c>
      <c r="S23" s="256">
        <f>N(S21)</f>
        <v>7116</v>
      </c>
      <c r="T23" s="256">
        <f>N(T21)</f>
        <v>18040</v>
      </c>
      <c r="U23" s="256">
        <f>N(U21)</f>
        <v>6743</v>
      </c>
      <c r="V23" s="256">
        <f>N(V21)</f>
        <v>10409</v>
      </c>
      <c r="W23" s="256">
        <f>N(W21)</f>
        <v>8709</v>
      </c>
      <c r="X23" s="256">
        <f>N(X21)</f>
        <v>3134</v>
      </c>
      <c r="Y23" s="256">
        <f>N(Y21)</f>
        <v>7044</v>
      </c>
      <c r="Z23" s="256">
        <f>N(Z21)</f>
        <v>474</v>
      </c>
      <c r="AA23" s="256">
        <f>N(AA21)</f>
        <v>7358</v>
      </c>
      <c r="AB23" s="256">
        <f>N(AB21)</f>
        <v>3517</v>
      </c>
      <c r="AC23" s="256">
        <f>N(AC21)</f>
        <v>4291</v>
      </c>
      <c r="AD23" s="256">
        <f>N(AD21)</f>
        <v>928</v>
      </c>
      <c r="AE23" s="256">
        <f>N(AE21)</f>
        <v>4780</v>
      </c>
      <c r="AF23" s="256">
        <f>N(AF21)</f>
        <v>3601</v>
      </c>
      <c r="AG23" s="256">
        <f>N(AG21)</f>
        <v>5322</v>
      </c>
      <c r="AH23" s="256">
        <f>N(AH21)</f>
        <v>4134</v>
      </c>
      <c r="AI23" s="256">
        <f>N(AI21)</f>
        <v>5694</v>
      </c>
      <c r="AJ23" s="256">
        <f>N(AJ21)</f>
        <v>10821</v>
      </c>
    </row>
    <row r="24" ht="15" customHeight="1" s="254">
      <c r="H24" s="255" t="inlineStr">
        <is>
          <t>DFC - trimestre isolado (USD milhões). Dividendos: databook negativo, lançados em valor absoluto</t>
        </is>
      </c>
    </row>
    <row r="25" ht="15" customHeight="1" s="254">
      <c r="A25" s="253" t="n">
        <v>4</v>
      </c>
      <c r="B25" s="253" t="n">
        <v>-1</v>
      </c>
      <c r="C25" s="253" t="n">
        <v>3</v>
      </c>
      <c r="D25" s="253" t="n">
        <v>1</v>
      </c>
      <c r="G25" s="253" t="inlineStr">
        <is>
          <t>moeda</t>
        </is>
      </c>
      <c r="H25" s="253" t="inlineStr">
        <is>
          <t>D&amp;A da DRE. COD1=4 lança; COD2=3 devolve às despesas operacionais (a D&amp;A vem em linha própria, não no custo) [Depreciation, depletion and amortisation]</t>
        </is>
      </c>
      <c r="J25" s="253" t="inlineStr">
        <is>
          <t>fonte</t>
        </is>
      </c>
      <c r="K25" s="256" t="n"/>
      <c r="L25" s="256" t="n"/>
      <c r="M25" s="256" t="n"/>
      <c r="N25" s="256" t="n"/>
      <c r="O25" s="256" t="n">
        <v>5896</v>
      </c>
      <c r="P25" s="256" t="n">
        <v>8223</v>
      </c>
      <c r="Q25" s="256" t="n">
        <v>6358</v>
      </c>
      <c r="R25" s="256" t="n">
        <v>6445</v>
      </c>
      <c r="S25" s="256" t="n">
        <v>6295</v>
      </c>
      <c r="T25" s="256" t="n">
        <v>-348</v>
      </c>
      <c r="U25" s="256" t="n">
        <v>6124</v>
      </c>
      <c r="V25" s="256" t="n">
        <v>6459</v>
      </c>
      <c r="W25" s="256" t="n">
        <v>6285</v>
      </c>
      <c r="X25" s="256" t="n">
        <v>7872</v>
      </c>
      <c r="Y25" s="256" t="n">
        <v>5911</v>
      </c>
      <c r="Z25" s="256" t="n">
        <v>11221</v>
      </c>
      <c r="AA25" s="256" t="n">
        <v>5881</v>
      </c>
      <c r="AB25" s="256" t="n">
        <v>7555</v>
      </c>
      <c r="AC25" s="256" t="n">
        <v>5916</v>
      </c>
      <c r="AD25" s="256" t="n">
        <v>7520</v>
      </c>
      <c r="AE25" s="256" t="n">
        <v>5441</v>
      </c>
      <c r="AF25" s="256" t="n">
        <v>6670</v>
      </c>
      <c r="AG25" s="256" t="n">
        <v>6607</v>
      </c>
      <c r="AH25" s="256" t="n">
        <v>6581</v>
      </c>
      <c r="AI25" s="256" t="n">
        <v>5743</v>
      </c>
      <c r="AJ25" s="256" t="n">
        <v>6183</v>
      </c>
    </row>
    <row r="26" ht="15" customHeight="1" s="254">
      <c r="A26" s="253" t="n">
        <v>10</v>
      </c>
      <c r="B26" s="253" t="n">
        <v>-1</v>
      </c>
      <c r="G26" s="253" t="inlineStr">
        <is>
          <t>moeda</t>
        </is>
      </c>
      <c r="H26" s="253" t="inlineStr">
        <is>
          <t>Dividendos pagos aos acionistas da Shell plc (valor absoluto do fluxo) [Cash dividends paid to Shell plc shareholders]</t>
        </is>
      </c>
      <c r="J26" s="253" t="inlineStr">
        <is>
          <t>fonte</t>
        </is>
      </c>
      <c r="K26" s="256" t="n"/>
      <c r="L26" s="256" t="n"/>
      <c r="M26" s="256" t="n"/>
      <c r="N26" s="256" t="n"/>
      <c r="O26" s="256" t="n">
        <v>1292</v>
      </c>
      <c r="P26" s="256" t="n">
        <v>1310</v>
      </c>
      <c r="Q26" s="256" t="n">
        <v>1812</v>
      </c>
      <c r="R26" s="256" t="n">
        <v>1838</v>
      </c>
      <c r="S26" s="256" t="n">
        <v>1950</v>
      </c>
      <c r="T26" s="256" t="n">
        <v>1851</v>
      </c>
      <c r="U26" s="256" t="n">
        <v>1818</v>
      </c>
      <c r="V26" s="256" t="n">
        <v>1785</v>
      </c>
      <c r="W26" s="256" t="n">
        <v>2029</v>
      </c>
      <c r="X26" s="256" t="n">
        <v>1983</v>
      </c>
      <c r="Y26" s="256" t="n">
        <v>2179</v>
      </c>
      <c r="Z26" s="256" t="n">
        <v>2201</v>
      </c>
      <c r="AA26" s="256" t="n">
        <v>2210</v>
      </c>
      <c r="AB26" s="256" t="n">
        <v>2177</v>
      </c>
      <c r="AC26" s="256" t="n">
        <v>2167</v>
      </c>
      <c r="AD26" s="256" t="n">
        <v>2114</v>
      </c>
      <c r="AE26" s="256" t="n">
        <v>2179</v>
      </c>
      <c r="AF26" s="256" t="n">
        <v>2122</v>
      </c>
      <c r="AG26" s="256" t="n">
        <v>2103</v>
      </c>
      <c r="AH26" s="256" t="n">
        <v>2068</v>
      </c>
      <c r="AI26" s="256" t="n">
        <v>2100</v>
      </c>
      <c r="AJ26" s="256" t="n">
        <v>2164</v>
      </c>
    </row>
    <row r="27" ht="15" customHeight="1" s="254">
      <c r="G27" s="253" t="inlineStr">
        <is>
          <t>moeda</t>
        </is>
      </c>
      <c r="H27" s="253" t="inlineStr">
        <is>
          <t>CFO [Cash flow from operating activities] memória</t>
        </is>
      </c>
      <c r="J27" s="253" t="inlineStr">
        <is>
          <t>memoria</t>
        </is>
      </c>
      <c r="K27" s="256" t="n"/>
      <c r="L27" s="256" t="n"/>
      <c r="M27" s="256" t="n"/>
      <c r="N27" s="256" t="n"/>
      <c r="O27" s="256" t="n">
        <v>8294</v>
      </c>
      <c r="P27" s="256" t="n">
        <v>12617</v>
      </c>
      <c r="Q27" s="256" t="n">
        <v>16025</v>
      </c>
      <c r="R27" s="256" t="n">
        <v>8170</v>
      </c>
      <c r="S27" s="256" t="n">
        <v>14815</v>
      </c>
      <c r="T27" s="256" t="n">
        <v>18655</v>
      </c>
      <c r="U27" s="256" t="n">
        <v>12539</v>
      </c>
      <c r="V27" s="256" t="n">
        <v>22404</v>
      </c>
      <c r="W27" s="256" t="n">
        <v>14159</v>
      </c>
      <c r="X27" s="256" t="n">
        <v>15130</v>
      </c>
      <c r="Y27" s="256" t="n">
        <v>12332</v>
      </c>
      <c r="Z27" s="256" t="n">
        <v>12575</v>
      </c>
      <c r="AA27" s="256" t="n">
        <v>13330</v>
      </c>
      <c r="AB27" s="256" t="n">
        <v>13508</v>
      </c>
      <c r="AC27" s="256" t="n">
        <v>14684</v>
      </c>
      <c r="AD27" s="256" t="n">
        <v>13162</v>
      </c>
      <c r="AE27" s="256" t="n">
        <v>9281</v>
      </c>
      <c r="AF27" s="256" t="n">
        <v>11937</v>
      </c>
      <c r="AG27" s="256" t="n">
        <v>12207</v>
      </c>
      <c r="AH27" s="256" t="n">
        <v>9438</v>
      </c>
      <c r="AI27" s="256" t="n">
        <v>6062</v>
      </c>
      <c r="AJ27" s="256" t="n">
        <v>21432</v>
      </c>
    </row>
    <row r="28" ht="15" customHeight="1" s="254">
      <c r="G28" s="253" t="inlineStr">
        <is>
          <t>moeda</t>
        </is>
      </c>
      <c r="H28" s="253" t="inlineStr">
        <is>
          <t>CFI [Cash flow from investing activities] memória</t>
        </is>
      </c>
      <c r="J28" s="253" t="inlineStr">
        <is>
          <t>memoria</t>
        </is>
      </c>
      <c r="K28" s="256" t="n"/>
      <c r="L28" s="256" t="n"/>
      <c r="M28" s="256" t="n"/>
      <c r="N28" s="256" t="n"/>
      <c r="O28" s="256" t="n">
        <v>-590</v>
      </c>
      <c r="P28" s="256" t="n">
        <v>-2946</v>
      </c>
      <c r="Q28" s="256" t="n">
        <v>-3804</v>
      </c>
      <c r="R28" s="256" t="n">
        <v>2579</v>
      </c>
      <c r="S28" s="256" t="n">
        <v>-4273</v>
      </c>
      <c r="T28" s="256" t="n">
        <v>-6207</v>
      </c>
      <c r="U28" s="256" t="n">
        <v>-5049</v>
      </c>
      <c r="V28" s="256" t="n">
        <v>-6918</v>
      </c>
      <c r="W28" s="256" t="n">
        <v>-4238</v>
      </c>
      <c r="X28" s="256" t="n">
        <v>-3015</v>
      </c>
      <c r="Y28" s="256" t="n">
        <v>-4827</v>
      </c>
      <c r="Z28" s="256" t="n">
        <v>-5657</v>
      </c>
      <c r="AA28" s="256" t="n">
        <v>-3528</v>
      </c>
      <c r="AB28" s="256" t="n">
        <v>-3338</v>
      </c>
      <c r="AC28" s="256" t="n">
        <v>-3857</v>
      </c>
      <c r="AD28" s="256" t="n">
        <v>-4431</v>
      </c>
      <c r="AE28" s="256" t="n">
        <v>-3959</v>
      </c>
      <c r="AF28" s="256" t="n">
        <v>-5406</v>
      </c>
      <c r="AG28" s="256" t="n">
        <v>-2257</v>
      </c>
      <c r="AH28" s="256" t="n">
        <v>-5190</v>
      </c>
      <c r="AI28" s="256" t="n">
        <v>-3136</v>
      </c>
      <c r="AJ28" s="256" t="n">
        <v>-3908</v>
      </c>
    </row>
    <row r="29" ht="15" customHeight="1" s="254">
      <c r="G29" s="253" t="inlineStr">
        <is>
          <t>moeda</t>
        </is>
      </c>
      <c r="H29" s="253" t="inlineStr">
        <is>
          <t>CFF [Cash flow from financing activities] memória</t>
        </is>
      </c>
      <c r="J29" s="253" t="inlineStr">
        <is>
          <t>memoria</t>
        </is>
      </c>
      <c r="K29" s="256" t="n"/>
      <c r="L29" s="256" t="n"/>
      <c r="M29" s="256" t="n"/>
      <c r="N29" s="256" t="n"/>
      <c r="O29" s="256" t="n">
        <v>-8420</v>
      </c>
      <c r="P29" s="256" t="n">
        <v>-6550</v>
      </c>
      <c r="Q29" s="256" t="n">
        <v>-7930</v>
      </c>
      <c r="R29" s="256" t="n">
        <v>-11764</v>
      </c>
      <c r="S29" s="256" t="n">
        <v>-9019</v>
      </c>
      <c r="T29" s="256" t="n">
        <v>-11150</v>
      </c>
      <c r="U29" s="256" t="n">
        <v>-9707</v>
      </c>
      <c r="V29" s="256" t="n">
        <v>-12078</v>
      </c>
      <c r="W29" s="256" t="n">
        <v>-8385</v>
      </c>
      <c r="X29" s="256" t="n">
        <v>-9003</v>
      </c>
      <c r="Y29" s="256" t="n">
        <v>-9147</v>
      </c>
      <c r="Z29" s="256" t="n">
        <v>-11703</v>
      </c>
      <c r="AA29" s="256" t="n">
        <v>-8248</v>
      </c>
      <c r="AB29" s="256" t="n">
        <v>-11846</v>
      </c>
      <c r="AC29" s="256" t="n">
        <v>-7452</v>
      </c>
      <c r="AD29" s="256" t="n">
        <v>-10889</v>
      </c>
      <c r="AE29" s="256" t="n">
        <v>-9183</v>
      </c>
      <c r="AF29" s="256" t="n">
        <v>-10106</v>
      </c>
      <c r="AG29" s="256" t="n">
        <v>-9473</v>
      </c>
      <c r="AH29" s="256" t="n">
        <v>-7049</v>
      </c>
      <c r="AI29" s="256" t="n">
        <v>-9820</v>
      </c>
      <c r="AJ29" s="256" t="n">
        <v>-9166</v>
      </c>
    </row>
    <row r="30" ht="15" customHeight="1" s="254">
      <c r="G30" s="253" t="inlineStr">
        <is>
          <t>moeda</t>
        </is>
      </c>
      <c r="H30" s="253" t="inlineStr">
        <is>
          <t>Capex (valor absoluto) [Capital expenditure] memória</t>
        </is>
      </c>
      <c r="J30" s="253" t="inlineStr">
        <is>
          <t>memoria</t>
        </is>
      </c>
      <c r="K30" s="256" t="n"/>
      <c r="L30" s="256" t="n"/>
      <c r="M30" s="256" t="n"/>
      <c r="N30" s="256" t="n"/>
      <c r="O30" s="256" t="n">
        <v>3885</v>
      </c>
      <c r="P30" s="256" t="n">
        <v>4232</v>
      </c>
      <c r="Q30" s="256" t="n">
        <v>4648</v>
      </c>
      <c r="R30" s="256" t="n">
        <v>6236</v>
      </c>
      <c r="S30" s="256" t="n">
        <v>4237</v>
      </c>
      <c r="T30" s="256" t="n">
        <v>6677</v>
      </c>
      <c r="U30" s="256" t="n">
        <v>5268</v>
      </c>
      <c r="V30" s="256" t="n">
        <v>6417</v>
      </c>
      <c r="W30" s="256" t="n">
        <v>6161</v>
      </c>
      <c r="X30" s="256" t="n">
        <v>4614</v>
      </c>
      <c r="Y30" s="256" t="n">
        <v>5259</v>
      </c>
      <c r="Z30" s="256" t="n">
        <v>6960</v>
      </c>
      <c r="AA30" s="256" t="n">
        <v>3980</v>
      </c>
      <c r="AB30" s="256" t="n">
        <v>4445</v>
      </c>
      <c r="AC30" s="256" t="n">
        <v>4690</v>
      </c>
      <c r="AD30" s="256" t="n">
        <v>6486</v>
      </c>
      <c r="AE30" s="256" t="n">
        <v>3748</v>
      </c>
      <c r="AF30" s="256" t="n">
        <v>5393</v>
      </c>
      <c r="AG30" s="256" t="n">
        <v>4557</v>
      </c>
      <c r="AH30" s="256" t="n">
        <v>5250</v>
      </c>
      <c r="AI30" s="256" t="n">
        <v>3757</v>
      </c>
      <c r="AJ30" s="256" t="n">
        <v>4031</v>
      </c>
    </row>
    <row r="31" ht="15" customHeight="1" s="254">
      <c r="H31" s="255" t="inlineStr">
        <is>
          <t>BALANÇO (USD milhões, saldo no fim do trimestre). IFRS: não circulante primeiro. Arrendamentos dentro de PPE e Debt.</t>
        </is>
      </c>
    </row>
    <row r="32" ht="15" customHeight="1" s="254">
      <c r="A32" s="253" t="n">
        <v>20</v>
      </c>
      <c r="B32" s="253" t="n">
        <v>1</v>
      </c>
      <c r="G32" s="253" t="inlineStr">
        <is>
          <t>moeda</t>
        </is>
      </c>
      <c r="H32" s="253" t="inlineStr">
        <is>
          <t>Goodwill</t>
        </is>
      </c>
      <c r="J32" s="253" t="inlineStr">
        <is>
          <t>fonte</t>
        </is>
      </c>
      <c r="K32" s="256" t="n"/>
      <c r="L32" s="256" t="n"/>
      <c r="M32" s="256" t="n"/>
      <c r="N32" s="256" t="n"/>
      <c r="O32" s="256" t="n">
        <v>14086</v>
      </c>
      <c r="P32" s="256" t="n">
        <v>14019</v>
      </c>
      <c r="Q32" s="256" t="n">
        <v>13858</v>
      </c>
      <c r="R32" s="256" t="n">
        <v>14920</v>
      </c>
      <c r="S32" s="256" t="n">
        <v>15200</v>
      </c>
      <c r="T32" s="256" t="n">
        <v>15810</v>
      </c>
      <c r="U32" s="256" t="n">
        <v>15423</v>
      </c>
      <c r="V32" s="256" t="n">
        <v>16039</v>
      </c>
      <c r="W32" s="256" t="n">
        <v>17651</v>
      </c>
      <c r="X32" s="256" t="n">
        <v>17655</v>
      </c>
      <c r="Y32" s="256" t="n">
        <v>17345</v>
      </c>
      <c r="Z32" s="256" t="n">
        <v>16660</v>
      </c>
      <c r="AA32" s="256" t="n">
        <v>16554</v>
      </c>
      <c r="AB32" s="256" t="n">
        <v>16538</v>
      </c>
      <c r="AC32" s="256" t="n">
        <v>16600</v>
      </c>
      <c r="AD32" s="256" t="n">
        <v>16032</v>
      </c>
      <c r="AE32" s="256" t="n">
        <v>16072</v>
      </c>
      <c r="AF32" s="256" t="n">
        <v>16332</v>
      </c>
      <c r="AG32" s="256" t="n">
        <v>16034</v>
      </c>
      <c r="AH32" s="256" t="n">
        <v>15662</v>
      </c>
      <c r="AI32" s="256" t="n">
        <v>15189</v>
      </c>
      <c r="AJ32" s="256" t="n">
        <v>14969</v>
      </c>
    </row>
    <row r="33" ht="15" customHeight="1" s="254">
      <c r="A33" s="253" t="n">
        <v>21</v>
      </c>
      <c r="B33" s="253" t="n">
        <v>1</v>
      </c>
      <c r="G33" s="253" t="inlineStr">
        <is>
          <t>moeda</t>
        </is>
      </c>
      <c r="H33" s="253" t="inlineStr">
        <is>
          <t>Outros intangíveis [Other intangible assets]</t>
        </is>
      </c>
      <c r="J33" s="253" t="inlineStr">
        <is>
          <t>fonte</t>
        </is>
      </c>
      <c r="K33" s="256" t="n"/>
      <c r="L33" s="256" t="n"/>
      <c r="M33" s="256" t="n"/>
      <c r="N33" s="256" t="n"/>
      <c r="O33" s="256" t="n">
        <v>8786</v>
      </c>
      <c r="P33" s="256" t="n">
        <v>8443</v>
      </c>
      <c r="Q33" s="256" t="n">
        <v>8486</v>
      </c>
      <c r="R33" s="256" t="n">
        <v>9773</v>
      </c>
      <c r="S33" s="256" t="n">
        <v>9735</v>
      </c>
      <c r="T33" s="256" t="n">
        <v>9730</v>
      </c>
      <c r="U33" s="256" t="n">
        <v>8939</v>
      </c>
      <c r="V33" s="256" t="n">
        <v>9662</v>
      </c>
      <c r="W33" s="256" t="n">
        <v>9751</v>
      </c>
      <c r="X33" s="256" t="n">
        <v>8642</v>
      </c>
      <c r="Y33" s="256" t="n">
        <v>8288</v>
      </c>
      <c r="Z33" s="256" t="n">
        <v>10253</v>
      </c>
      <c r="AA33" s="256" t="n">
        <v>9999</v>
      </c>
      <c r="AB33" s="256" t="n">
        <v>9387</v>
      </c>
      <c r="AC33" s="256" t="n">
        <v>8188</v>
      </c>
      <c r="AD33" s="256" t="n">
        <v>9480</v>
      </c>
      <c r="AE33" s="256" t="n">
        <v>11365</v>
      </c>
      <c r="AF33" s="256" t="n">
        <v>11338</v>
      </c>
      <c r="AG33" s="256" t="n">
        <v>9546</v>
      </c>
      <c r="AH33" s="256" t="n">
        <v>11010</v>
      </c>
      <c r="AI33" s="256" t="n">
        <v>10873</v>
      </c>
      <c r="AJ33" s="256" t="n">
        <v>10449</v>
      </c>
    </row>
    <row r="34" ht="15" customHeight="1" s="254">
      <c r="A34" s="253" t="n">
        <v>18</v>
      </c>
      <c r="B34" s="253" t="n">
        <v>1</v>
      </c>
      <c r="G34" s="253" t="inlineStr">
        <is>
          <t>moeda</t>
        </is>
      </c>
      <c r="H34" s="253" t="inlineStr">
        <is>
          <t>Imobilizado (inclui direito de uso IFRS 16) [Property, plant and equipment]</t>
        </is>
      </c>
      <c r="J34" s="253" t="inlineStr">
        <is>
          <t>fonte</t>
        </is>
      </c>
      <c r="K34" s="256" t="n"/>
      <c r="L34" s="256" t="n"/>
      <c r="M34" s="256" t="n"/>
      <c r="N34" s="256" t="n"/>
      <c r="O34" s="256" t="n">
        <v>208298</v>
      </c>
      <c r="P34" s="256" t="n">
        <v>205272</v>
      </c>
      <c r="Q34" s="256" t="n">
        <v>196261</v>
      </c>
      <c r="R34" s="256" t="n">
        <v>194932</v>
      </c>
      <c r="S34" s="256" t="n">
        <v>193301</v>
      </c>
      <c r="T34" s="256" t="n">
        <v>200122</v>
      </c>
      <c r="U34" s="256" t="n">
        <v>193681</v>
      </c>
      <c r="V34" s="256" t="n">
        <v>198642</v>
      </c>
      <c r="W34" s="256" t="n">
        <v>199209</v>
      </c>
      <c r="X34" s="256" t="n">
        <v>197177</v>
      </c>
      <c r="Y34" s="256" t="n">
        <v>197043</v>
      </c>
      <c r="Z34" s="256" t="n">
        <v>194835</v>
      </c>
      <c r="AA34" s="256" t="n">
        <v>191952</v>
      </c>
      <c r="AB34" s="256" t="n">
        <v>189656</v>
      </c>
      <c r="AC34" s="256" t="n">
        <v>191721</v>
      </c>
      <c r="AD34" s="256" t="n">
        <v>185219</v>
      </c>
      <c r="AE34" s="256" t="n">
        <v>183712</v>
      </c>
      <c r="AF34" s="256" t="n">
        <v>186461</v>
      </c>
      <c r="AG34" s="256" t="n">
        <v>183907</v>
      </c>
      <c r="AH34" s="256" t="n">
        <v>185077</v>
      </c>
      <c r="AI34" s="256" t="n">
        <v>185708</v>
      </c>
      <c r="AJ34" s="256" t="n">
        <v>182300</v>
      </c>
    </row>
    <row r="35" ht="15" customHeight="1" s="254">
      <c r="A35" s="253" t="n">
        <v>17</v>
      </c>
      <c r="B35" s="253" t="n">
        <v>1</v>
      </c>
      <c r="G35" s="253" t="inlineStr">
        <is>
          <t>moeda</t>
        </is>
      </c>
      <c r="H35" s="253" t="inlineStr">
        <is>
          <t>Investimentos em joint ventures e coligadas</t>
        </is>
      </c>
      <c r="J35" s="253" t="inlineStr">
        <is>
          <t>fonte</t>
        </is>
      </c>
      <c r="K35" s="256" t="n"/>
      <c r="L35" s="256" t="n"/>
      <c r="M35" s="256" t="n"/>
      <c r="N35" s="256" t="n"/>
      <c r="O35" s="256" t="n">
        <v>22537</v>
      </c>
      <c r="P35" s="256" t="n">
        <v>23248</v>
      </c>
      <c r="Q35" s="256" t="n">
        <v>23724</v>
      </c>
      <c r="R35" s="256" t="n">
        <v>23415</v>
      </c>
      <c r="S35" s="256" t="n">
        <v>23289</v>
      </c>
      <c r="T35" s="256" t="n">
        <v>23264</v>
      </c>
      <c r="U35" s="256" t="n">
        <v>24489</v>
      </c>
      <c r="V35" s="256" t="n">
        <v>23864</v>
      </c>
      <c r="W35" s="256" t="n">
        <v>24843</v>
      </c>
      <c r="X35" s="256" t="n">
        <v>24434</v>
      </c>
      <c r="Y35" s="256" t="n">
        <v>24477</v>
      </c>
      <c r="Z35" s="256" t="n">
        <v>24457</v>
      </c>
      <c r="AA35" s="256" t="n">
        <v>25113</v>
      </c>
      <c r="AB35" s="256" t="n">
        <v>25098</v>
      </c>
      <c r="AC35" s="256" t="n">
        <v>25764</v>
      </c>
      <c r="AD35" s="256" t="n">
        <v>23445</v>
      </c>
      <c r="AE35" s="256" t="n">
        <v>24236</v>
      </c>
      <c r="AF35" s="256" t="n">
        <v>23456</v>
      </c>
      <c r="AG35" s="256" t="n">
        <v>23729</v>
      </c>
      <c r="AH35" s="256" t="n">
        <v>27775</v>
      </c>
      <c r="AI35" s="256" t="n">
        <v>27579</v>
      </c>
      <c r="AJ35" s="256" t="n">
        <v>27997</v>
      </c>
    </row>
    <row r="36" ht="15" customHeight="1" s="254">
      <c r="A36" s="253" t="n">
        <v>22</v>
      </c>
      <c r="B36" s="253" t="n">
        <v>1</v>
      </c>
      <c r="G36" s="253" t="inlineStr">
        <is>
          <t>moeda</t>
        </is>
      </c>
      <c r="H36" s="253" t="inlineStr">
        <is>
          <t>Investimentos em títulos [Investments in securities]</t>
        </is>
      </c>
      <c r="J36" s="253" t="inlineStr">
        <is>
          <t>fonte</t>
        </is>
      </c>
      <c r="K36" s="256" t="n"/>
      <c r="L36" s="256" t="n"/>
      <c r="M36" s="256" t="n"/>
      <c r="N36" s="256" t="n"/>
      <c r="O36" s="256" t="n">
        <v>3341</v>
      </c>
      <c r="P36" s="256" t="n">
        <v>3554</v>
      </c>
      <c r="Q36" s="256" t="n">
        <v>3662</v>
      </c>
      <c r="R36" s="256" t="n">
        <v>3797</v>
      </c>
      <c r="S36" s="256" t="n">
        <v>3550</v>
      </c>
      <c r="T36" s="256" t="n">
        <v>3507</v>
      </c>
      <c r="U36" s="256" t="n">
        <v>3491</v>
      </c>
      <c r="V36" s="256" t="n">
        <v>3362</v>
      </c>
      <c r="W36" s="256" t="n">
        <v>3357</v>
      </c>
      <c r="X36" s="256" t="n">
        <v>3431</v>
      </c>
      <c r="Y36" s="256" t="n">
        <v>3329</v>
      </c>
      <c r="Z36" s="256" t="n">
        <v>3246</v>
      </c>
      <c r="AA36" s="256" t="n">
        <v>3033</v>
      </c>
      <c r="AB36" s="256" t="n">
        <v>2972</v>
      </c>
      <c r="AC36" s="256" t="n">
        <v>3062</v>
      </c>
      <c r="AD36" s="256" t="n">
        <v>2255</v>
      </c>
      <c r="AE36" s="256" t="n">
        <v>2284</v>
      </c>
      <c r="AF36" s="256" t="n">
        <v>2225</v>
      </c>
      <c r="AG36" s="256" t="n">
        <v>1592</v>
      </c>
      <c r="AH36" s="256" t="n">
        <v>1557</v>
      </c>
      <c r="AI36" s="256" t="n">
        <v>1554</v>
      </c>
      <c r="AJ36" s="256" t="n">
        <v>1479</v>
      </c>
    </row>
    <row r="37" ht="15" customHeight="1" s="254">
      <c r="A37" s="253" t="n">
        <v>14</v>
      </c>
      <c r="B37" s="253" t="n">
        <v>1</v>
      </c>
      <c r="G37" s="253" t="inlineStr">
        <is>
          <t>moeda</t>
        </is>
      </c>
      <c r="H37" s="253" t="inlineStr">
        <is>
          <t>IR diferido ativo [Deferred tax, não circulante]</t>
        </is>
      </c>
      <c r="J37" s="253" t="inlineStr">
        <is>
          <t>fonte</t>
        </is>
      </c>
      <c r="K37" s="256" t="n"/>
      <c r="L37" s="256" t="n"/>
      <c r="M37" s="256" t="n"/>
      <c r="N37" s="256" t="n"/>
      <c r="O37" s="256" t="n">
        <v>13871</v>
      </c>
      <c r="P37" s="256" t="n">
        <v>14392</v>
      </c>
      <c r="Q37" s="256" t="n">
        <v>14542</v>
      </c>
      <c r="R37" s="256" t="n">
        <v>12426</v>
      </c>
      <c r="S37" s="256" t="n">
        <v>11420</v>
      </c>
      <c r="T37" s="256" t="n">
        <v>8575</v>
      </c>
      <c r="U37" s="256" t="n">
        <v>7885</v>
      </c>
      <c r="V37" s="256" t="n">
        <v>7815</v>
      </c>
      <c r="W37" s="256" t="n">
        <v>6716</v>
      </c>
      <c r="X37" s="256" t="n">
        <v>6238</v>
      </c>
      <c r="Y37" s="256" t="n">
        <v>5537</v>
      </c>
      <c r="Z37" s="256" t="n">
        <v>6454</v>
      </c>
      <c r="AA37" s="256" t="n">
        <v>6217</v>
      </c>
      <c r="AB37" s="256" t="n">
        <v>5888</v>
      </c>
      <c r="AC37" s="256" t="n">
        <v>6114</v>
      </c>
      <c r="AD37" s="256" t="n">
        <v>6857</v>
      </c>
      <c r="AE37" s="256" t="n">
        <v>6989</v>
      </c>
      <c r="AF37" s="256" t="n">
        <v>7524</v>
      </c>
      <c r="AG37" s="256" t="n">
        <v>8088</v>
      </c>
      <c r="AH37" s="256" t="n">
        <v>8173</v>
      </c>
      <c r="AI37" s="256" t="n">
        <v>7474</v>
      </c>
      <c r="AJ37" s="256" t="n">
        <v>6606</v>
      </c>
    </row>
    <row r="38" ht="15" customHeight="1" s="254">
      <c r="A38" s="253" t="n">
        <v>22</v>
      </c>
      <c r="B38" s="253" t="n">
        <v>1</v>
      </c>
      <c r="G38" s="253" t="inlineStr">
        <is>
          <t>moeda</t>
        </is>
      </c>
      <c r="H38" s="253" t="inlineStr">
        <is>
          <t>Ativo de benefícios de aposentadoria [Retirement benefits]</t>
        </is>
      </c>
      <c r="J38" s="253" t="inlineStr">
        <is>
          <t>fonte</t>
        </is>
      </c>
      <c r="K38" s="256" t="n"/>
      <c r="L38" s="256" t="n"/>
      <c r="M38" s="256" t="n"/>
      <c r="N38" s="256" t="n"/>
      <c r="O38" s="256" t="n">
        <v>5845</v>
      </c>
      <c r="P38" s="256" t="n">
        <v>7941</v>
      </c>
      <c r="Q38" s="256" t="n">
        <v>8009</v>
      </c>
      <c r="R38" s="256" t="n">
        <v>8471</v>
      </c>
      <c r="S38" s="256" t="n">
        <v>9548</v>
      </c>
      <c r="T38" s="256" t="n">
        <v>14973</v>
      </c>
      <c r="U38" s="256" t="n">
        <v>13314</v>
      </c>
      <c r="V38" s="256" t="n">
        <v>10200</v>
      </c>
      <c r="W38" s="256" t="n">
        <v>10330</v>
      </c>
      <c r="X38" s="256" t="n">
        <v>10398</v>
      </c>
      <c r="Y38" s="256" t="n">
        <v>9654</v>
      </c>
      <c r="Z38" s="256" t="n">
        <v>9151</v>
      </c>
      <c r="AA38" s="256" t="n">
        <v>9151</v>
      </c>
      <c r="AB38" s="256" t="n">
        <v>9454</v>
      </c>
      <c r="AC38" s="256" t="n">
        <v>10564</v>
      </c>
      <c r="AD38" s="256" t="n">
        <v>10003</v>
      </c>
      <c r="AE38" s="256" t="n">
        <v>10266</v>
      </c>
      <c r="AF38" s="256" t="n">
        <v>10980</v>
      </c>
      <c r="AG38" s="256" t="n">
        <v>5527</v>
      </c>
      <c r="AH38" s="256" t="n">
        <v>5052</v>
      </c>
      <c r="AI38" s="256" t="n">
        <v>5192</v>
      </c>
      <c r="AJ38" s="256" t="n">
        <v>5306</v>
      </c>
    </row>
    <row r="39" ht="15" customHeight="1" s="254">
      <c r="A39" s="253" t="n">
        <v>22</v>
      </c>
      <c r="B39" s="253" t="n">
        <v>1</v>
      </c>
      <c r="G39" s="253" t="inlineStr">
        <is>
          <t>moeda</t>
        </is>
      </c>
      <c r="H39" s="253" t="inlineStr">
        <is>
          <t>Contas a receber não circulantes [Trade and other receivables]</t>
        </is>
      </c>
      <c r="J39" s="253" t="inlineStr">
        <is>
          <t>fonte</t>
        </is>
      </c>
      <c r="K39" s="256" t="n"/>
      <c r="L39" s="256" t="n"/>
      <c r="M39" s="256" t="n"/>
      <c r="N39" s="256" t="n"/>
      <c r="O39" s="256" t="n">
        <v>7396</v>
      </c>
      <c r="P39" s="256" t="n">
        <v>7798</v>
      </c>
      <c r="Q39" s="256" t="n">
        <v>7605</v>
      </c>
      <c r="R39" s="256" t="n">
        <v>7065</v>
      </c>
      <c r="S39" s="256" t="n">
        <v>6218</v>
      </c>
      <c r="T39" s="256" t="n">
        <v>5853</v>
      </c>
      <c r="U39" s="256" t="n">
        <v>5841</v>
      </c>
      <c r="V39" s="256" t="n">
        <v>6920</v>
      </c>
      <c r="W39" s="256" t="n">
        <v>6184</v>
      </c>
      <c r="X39" s="256" t="n">
        <v>6031</v>
      </c>
      <c r="Y39" s="256" t="n">
        <v>6049</v>
      </c>
      <c r="Z39" s="256" t="n">
        <v>6298</v>
      </c>
      <c r="AA39" s="256" t="n">
        <v>6548</v>
      </c>
      <c r="AB39" s="256" t="n">
        <v>6808</v>
      </c>
      <c r="AC39" s="256" t="n">
        <v>6883</v>
      </c>
      <c r="AD39" s="256" t="n">
        <v>6018</v>
      </c>
      <c r="AE39" s="256" t="n">
        <v>7269</v>
      </c>
      <c r="AF39" s="256" t="n">
        <v>7315</v>
      </c>
      <c r="AG39" s="256" t="n">
        <v>7472</v>
      </c>
      <c r="AH39" s="256" t="n">
        <v>8252</v>
      </c>
      <c r="AI39" s="256" t="n">
        <v>7294</v>
      </c>
      <c r="AJ39" s="256" t="n">
        <v>8017</v>
      </c>
    </row>
    <row r="40" ht="15" customHeight="1" s="254">
      <c r="A40" s="253" t="n">
        <v>22</v>
      </c>
      <c r="B40" s="253" t="n">
        <v>1</v>
      </c>
      <c r="G40" s="253" t="inlineStr">
        <is>
          <t>moeda</t>
        </is>
      </c>
      <c r="H40" s="253" t="inlineStr">
        <is>
          <t>Derivativos ativo não circulante</t>
        </is>
      </c>
      <c r="J40" s="253" t="inlineStr">
        <is>
          <t>fonte</t>
        </is>
      </c>
      <c r="K40" s="256" t="n"/>
      <c r="L40" s="256" t="n"/>
      <c r="M40" s="256" t="n"/>
      <c r="N40" s="256" t="n"/>
      <c r="O40" s="256" t="n">
        <v>1681</v>
      </c>
      <c r="P40" s="256" t="n">
        <v>1508</v>
      </c>
      <c r="Q40" s="256" t="n">
        <v>1052</v>
      </c>
      <c r="R40" s="256" t="n">
        <v>815</v>
      </c>
      <c r="S40" s="256" t="n">
        <v>705</v>
      </c>
      <c r="T40" s="256" t="n">
        <v>839</v>
      </c>
      <c r="U40" s="256" t="n">
        <v>978</v>
      </c>
      <c r="V40" s="256" t="n">
        <v>582</v>
      </c>
      <c r="W40" s="256" t="n">
        <v>540</v>
      </c>
      <c r="X40" s="256" t="n">
        <v>541</v>
      </c>
      <c r="Y40" s="256" t="n">
        <v>524</v>
      </c>
      <c r="Z40" s="256" t="n">
        <v>801</v>
      </c>
      <c r="AA40" s="256" t="n">
        <v>381</v>
      </c>
      <c r="AB40" s="256" t="n">
        <v>348</v>
      </c>
      <c r="AC40" s="256" t="n">
        <v>498</v>
      </c>
      <c r="AD40" s="256" t="n">
        <v>374</v>
      </c>
      <c r="AE40" s="256" t="n">
        <v>400</v>
      </c>
      <c r="AF40" s="256" t="n">
        <v>692</v>
      </c>
      <c r="AG40" s="256" t="n">
        <v>665</v>
      </c>
      <c r="AH40" s="256" t="n">
        <v>619</v>
      </c>
      <c r="AI40" s="256" t="n">
        <v>573</v>
      </c>
      <c r="AJ40" s="256" t="n">
        <v>558</v>
      </c>
    </row>
    <row r="41" ht="15" customHeight="1" s="254">
      <c r="A41" s="253" t="n">
        <v>13</v>
      </c>
      <c r="B41" s="253" t="n">
        <v>1</v>
      </c>
      <c r="G41" s="253" t="inlineStr">
        <is>
          <t>moeda</t>
        </is>
      </c>
      <c r="H41" s="253" t="inlineStr">
        <is>
          <t>Estoques [Inventories]</t>
        </is>
      </c>
      <c r="J41" s="253" t="inlineStr">
        <is>
          <t>fonte</t>
        </is>
      </c>
      <c r="K41" s="256" t="n"/>
      <c r="L41" s="256" t="n"/>
      <c r="M41" s="256" t="n"/>
      <c r="N41" s="256" t="n"/>
      <c r="O41" s="256" t="n">
        <v>22680</v>
      </c>
      <c r="P41" s="256" t="n">
        <v>25097</v>
      </c>
      <c r="Q41" s="256" t="n">
        <v>24596</v>
      </c>
      <c r="R41" s="256" t="n">
        <v>25258</v>
      </c>
      <c r="S41" s="256" t="n">
        <v>30008</v>
      </c>
      <c r="T41" s="256" t="n">
        <v>36087</v>
      </c>
      <c r="U41" s="256" t="n">
        <v>34721</v>
      </c>
      <c r="V41" s="256" t="n">
        <v>31894</v>
      </c>
      <c r="W41" s="256" t="n">
        <v>28579</v>
      </c>
      <c r="X41" s="256" t="n">
        <v>26975</v>
      </c>
      <c r="Y41" s="256" t="n">
        <v>30230</v>
      </c>
      <c r="Z41" s="256" t="n">
        <v>26019</v>
      </c>
      <c r="AA41" s="256" t="n">
        <v>26471</v>
      </c>
      <c r="AB41" s="256" t="n">
        <v>26449</v>
      </c>
      <c r="AC41" s="256" t="n">
        <v>24143</v>
      </c>
      <c r="AD41" s="256" t="n">
        <v>23426</v>
      </c>
      <c r="AE41" s="256" t="n">
        <v>22984</v>
      </c>
      <c r="AF41" s="256" t="n">
        <v>23283</v>
      </c>
      <c r="AG41" s="256" t="n">
        <v>22913</v>
      </c>
      <c r="AH41" s="256" t="n">
        <v>22216</v>
      </c>
      <c r="AI41" s="256" t="n">
        <v>28700</v>
      </c>
      <c r="AJ41" s="256" t="n">
        <v>26639</v>
      </c>
    </row>
    <row r="42" ht="15" customHeight="1" s="254">
      <c r="A42" s="253" t="n">
        <v>12</v>
      </c>
      <c r="B42" s="253" t="n">
        <v>1</v>
      </c>
      <c r="G42" s="253" t="inlineStr">
        <is>
          <t>moeda</t>
        </is>
      </c>
      <c r="H42" s="253" t="inlineStr">
        <is>
          <t>Contas a receber circulantes [Trade and other receivables]</t>
        </is>
      </c>
      <c r="J42" s="253" t="inlineStr">
        <is>
          <t>fonte</t>
        </is>
      </c>
      <c r="K42" s="256" t="n"/>
      <c r="L42" s="256" t="n"/>
      <c r="M42" s="256" t="n"/>
      <c r="N42" s="256" t="n"/>
      <c r="O42" s="256" t="n">
        <v>40142</v>
      </c>
      <c r="P42" s="256" t="n">
        <v>43694</v>
      </c>
      <c r="Q42" s="256" t="n">
        <v>46366</v>
      </c>
      <c r="R42" s="256" t="n">
        <v>53208</v>
      </c>
      <c r="S42" s="256" t="n">
        <v>63481</v>
      </c>
      <c r="T42" s="256" t="n">
        <v>66708</v>
      </c>
      <c r="U42" s="256" t="n">
        <v>66699</v>
      </c>
      <c r="V42" s="256" t="n">
        <v>66510</v>
      </c>
      <c r="W42" s="256" t="n">
        <v>61738</v>
      </c>
      <c r="X42" s="256" t="n">
        <v>52383</v>
      </c>
      <c r="Y42" s="256" t="n">
        <v>52077</v>
      </c>
      <c r="Z42" s="256" t="n">
        <v>53273</v>
      </c>
      <c r="AA42" s="256" t="n">
        <v>53178</v>
      </c>
      <c r="AB42" s="256" t="n">
        <v>50619</v>
      </c>
      <c r="AC42" s="256" t="n">
        <v>46782</v>
      </c>
      <c r="AD42" s="256" t="n">
        <v>45860</v>
      </c>
      <c r="AE42" s="256" t="n">
        <v>48247</v>
      </c>
      <c r="AF42" s="256" t="n">
        <v>45570</v>
      </c>
      <c r="AG42" s="256" t="n">
        <v>45287</v>
      </c>
      <c r="AH42" s="256" t="n">
        <v>44597</v>
      </c>
      <c r="AI42" s="256" t="n">
        <v>53891</v>
      </c>
      <c r="AJ42" s="256" t="n">
        <v>52938</v>
      </c>
    </row>
    <row r="43" ht="15" customHeight="1" s="254">
      <c r="A43" s="253" t="n">
        <v>16</v>
      </c>
      <c r="B43" s="253" t="n">
        <v>1</v>
      </c>
      <c r="G43" s="253" t="inlineStr">
        <is>
          <t>moeda</t>
        </is>
      </c>
      <c r="H43" s="253" t="inlineStr">
        <is>
          <t>Derivativos ativo circulante</t>
        </is>
      </c>
      <c r="J43" s="253" t="inlineStr">
        <is>
          <t>fonte</t>
        </is>
      </c>
      <c r="K43" s="256" t="n"/>
      <c r="L43" s="256" t="n"/>
      <c r="M43" s="256" t="n"/>
      <c r="N43" s="256" t="n"/>
      <c r="O43" s="256" t="n">
        <v>5752</v>
      </c>
      <c r="P43" s="256" t="n">
        <v>8787</v>
      </c>
      <c r="Q43" s="256" t="n">
        <v>14613</v>
      </c>
      <c r="R43" s="256" t="n">
        <v>11369</v>
      </c>
      <c r="S43" s="256" t="n">
        <v>18708</v>
      </c>
      <c r="T43" s="256" t="n">
        <v>23257</v>
      </c>
      <c r="U43" s="256" t="n">
        <v>23585</v>
      </c>
      <c r="V43" s="256" t="n">
        <v>24437</v>
      </c>
      <c r="W43" s="256" t="n">
        <v>18148</v>
      </c>
      <c r="X43" s="256" t="n">
        <v>15616</v>
      </c>
      <c r="Y43" s="256" t="n">
        <v>14724</v>
      </c>
      <c r="Z43" s="256" t="n">
        <v>15098</v>
      </c>
      <c r="AA43" s="256" t="n">
        <v>12730</v>
      </c>
      <c r="AB43" s="256" t="n">
        <v>11724</v>
      </c>
      <c r="AC43" s="256" t="n">
        <v>10233</v>
      </c>
      <c r="AD43" s="256" t="n">
        <v>9673</v>
      </c>
      <c r="AE43" s="256" t="n">
        <v>8941</v>
      </c>
      <c r="AF43" s="256" t="n">
        <v>9443</v>
      </c>
      <c r="AG43" s="256" t="n">
        <v>9103</v>
      </c>
      <c r="AH43" s="256" t="n">
        <v>9114</v>
      </c>
      <c r="AI43" s="256" t="n">
        <v>11086</v>
      </c>
      <c r="AJ43" s="256" t="n">
        <v>9487</v>
      </c>
    </row>
    <row r="44" ht="15" customHeight="1" s="254">
      <c r="A44" s="253" t="n">
        <v>11</v>
      </c>
      <c r="B44" s="253" t="n">
        <v>1</v>
      </c>
      <c r="G44" s="253" t="inlineStr">
        <is>
          <t>moeda</t>
        </is>
      </c>
      <c r="H44" s="253" t="inlineStr">
        <is>
          <t>Caixa e equivalentes [Cash and cash equivalents]</t>
        </is>
      </c>
      <c r="J44" s="253" t="inlineStr">
        <is>
          <t>fonte</t>
        </is>
      </c>
      <c r="K44" s="256" t="n"/>
      <c r="L44" s="256" t="n"/>
      <c r="M44" s="256" t="n"/>
      <c r="N44" s="256" t="n"/>
      <c r="O44" s="256" t="n">
        <v>30985</v>
      </c>
      <c r="P44" s="256" t="n">
        <v>34104</v>
      </c>
      <c r="Q44" s="256" t="n">
        <v>38073</v>
      </c>
      <c r="R44" s="256" t="n">
        <v>36970</v>
      </c>
      <c r="S44" s="256" t="n">
        <v>38360</v>
      </c>
      <c r="T44" s="256" t="n">
        <v>38970</v>
      </c>
      <c r="U44" s="256" t="n">
        <v>35978</v>
      </c>
      <c r="V44" s="256" t="n">
        <v>40246</v>
      </c>
      <c r="W44" s="256" t="n">
        <v>42074</v>
      </c>
      <c r="X44" s="256" t="n">
        <v>45094</v>
      </c>
      <c r="Y44" s="256" t="n">
        <v>43031</v>
      </c>
      <c r="Z44" s="256" t="n">
        <v>38774</v>
      </c>
      <c r="AA44" s="256" t="n">
        <v>39949</v>
      </c>
      <c r="AB44" s="256" t="n">
        <v>38148</v>
      </c>
      <c r="AC44" s="256" t="n">
        <v>42252</v>
      </c>
      <c r="AD44" s="256" t="n">
        <v>39110</v>
      </c>
      <c r="AE44" s="256" t="n">
        <v>35601</v>
      </c>
      <c r="AF44" s="256" t="n">
        <v>32682</v>
      </c>
      <c r="AG44" s="256" t="n">
        <v>33053</v>
      </c>
      <c r="AH44" s="256" t="n">
        <v>30216</v>
      </c>
      <c r="AI44" s="256" t="n">
        <v>23117</v>
      </c>
      <c r="AJ44" s="256" t="n">
        <v>31374</v>
      </c>
    </row>
    <row r="45" ht="15" customHeight="1" s="254">
      <c r="A45" s="253" t="n">
        <v>16</v>
      </c>
      <c r="B45" s="253" t="n">
        <v>1</v>
      </c>
      <c r="G45" s="253" t="inlineStr">
        <is>
          <t>moeda</t>
        </is>
      </c>
      <c r="H45" s="253" t="inlineStr">
        <is>
          <t>Ativos classificados como mantidos para venda</t>
        </is>
      </c>
      <c r="J45" s="253" t="inlineStr">
        <is>
          <t>fonte</t>
        </is>
      </c>
      <c r="K45" s="256" t="n"/>
      <c r="L45" s="256" t="n"/>
      <c r="M45" s="256" t="n"/>
      <c r="N45" s="256" t="n"/>
      <c r="O45" s="256" t="n"/>
      <c r="P45" s="256" t="n"/>
      <c r="Q45" s="256" t="n">
        <v>7922</v>
      </c>
      <c r="R45" s="256" t="n">
        <v>1960</v>
      </c>
      <c r="S45" s="256" t="n">
        <v>1464</v>
      </c>
      <c r="T45" s="256" t="n">
        <v>203</v>
      </c>
      <c r="U45" s="256" t="n">
        <v>2335</v>
      </c>
      <c r="V45" s="256" t="n">
        <v>2851</v>
      </c>
      <c r="W45" s="256" t="n">
        <v>33</v>
      </c>
      <c r="X45" s="256" t="n">
        <v>417</v>
      </c>
      <c r="Y45" s="256" t="n">
        <v>1189</v>
      </c>
      <c r="Z45" s="256" t="n">
        <v>951</v>
      </c>
      <c r="AA45" s="256" t="n">
        <v>762</v>
      </c>
      <c r="AB45" s="256" t="n">
        <v>1692</v>
      </c>
      <c r="AC45" s="256" t="n">
        <v>2144</v>
      </c>
      <c r="AD45" s="256" t="n">
        <v>9857</v>
      </c>
      <c r="AE45" s="256" t="n">
        <v>10881</v>
      </c>
      <c r="AF45" s="256" t="n">
        <v>10619</v>
      </c>
      <c r="AG45" s="256" t="n">
        <v>10819</v>
      </c>
      <c r="AH45" s="256" t="n">
        <v>1030</v>
      </c>
      <c r="AI45" s="256" t="n">
        <v>2367</v>
      </c>
      <c r="AJ45" s="256" t="n">
        <v>2395</v>
      </c>
    </row>
    <row r="46" ht="15" customHeight="1" s="254">
      <c r="A46" s="253" t="n">
        <v>30</v>
      </c>
      <c r="B46" s="253" t="n">
        <v>1</v>
      </c>
      <c r="G46" s="253" t="inlineStr">
        <is>
          <t>moeda</t>
        </is>
      </c>
      <c r="H46" s="253" t="inlineStr">
        <is>
          <t>Dívida não circulante (inclui arrendamentos) [Debt]</t>
        </is>
      </c>
      <c r="J46" s="253" t="inlineStr">
        <is>
          <t>fonte</t>
        </is>
      </c>
      <c r="K46" s="256" t="n"/>
      <c r="L46" s="256" t="n"/>
      <c r="M46" s="256" t="n"/>
      <c r="N46" s="256" t="n"/>
      <c r="O46" s="256" t="n">
        <v>87828</v>
      </c>
      <c r="P46" s="256" t="n">
        <v>87034</v>
      </c>
      <c r="Q46" s="256" t="n">
        <v>84705</v>
      </c>
      <c r="R46" s="256" t="n">
        <v>80868</v>
      </c>
      <c r="S46" s="256" t="n">
        <v>79021</v>
      </c>
      <c r="T46" s="256" t="n">
        <v>77220</v>
      </c>
      <c r="U46" s="256" t="n">
        <v>73944</v>
      </c>
      <c r="V46" s="256" t="n">
        <v>74794</v>
      </c>
      <c r="W46" s="256" t="n">
        <v>76098</v>
      </c>
      <c r="X46" s="256" t="n">
        <v>72252</v>
      </c>
      <c r="Y46" s="256" t="n">
        <v>72028</v>
      </c>
      <c r="Z46" s="256" t="n">
        <v>71610</v>
      </c>
      <c r="AA46" s="256" t="n">
        <v>68886</v>
      </c>
      <c r="AB46" s="256" t="n">
        <v>64619</v>
      </c>
      <c r="AC46" s="256" t="n">
        <v>64597</v>
      </c>
      <c r="AD46" s="256" t="n">
        <v>65448</v>
      </c>
      <c r="AE46" s="256" t="n">
        <v>65120</v>
      </c>
      <c r="AF46" s="256" t="n">
        <v>65218</v>
      </c>
      <c r="AG46" s="256" t="n">
        <v>63955</v>
      </c>
      <c r="AH46" s="256" t="n">
        <v>66515</v>
      </c>
      <c r="AI46" s="256" t="n">
        <v>65585</v>
      </c>
      <c r="AJ46" s="256" t="n">
        <v>64534</v>
      </c>
    </row>
    <row r="47" ht="15" customHeight="1" s="254">
      <c r="A47" s="253" t="n">
        <v>34</v>
      </c>
      <c r="B47" s="253" t="n">
        <v>1</v>
      </c>
      <c r="G47" s="253" t="inlineStr">
        <is>
          <t>moeda</t>
        </is>
      </c>
      <c r="H47" s="253" t="inlineStr">
        <is>
          <t>Fornecedores e outras contas não circulantes</t>
        </is>
      </c>
      <c r="J47" s="253" t="inlineStr">
        <is>
          <t>fonte</t>
        </is>
      </c>
      <c r="K47" s="256" t="n"/>
      <c r="L47" s="256" t="n"/>
      <c r="M47" s="256" t="n"/>
      <c r="N47" s="256" t="n"/>
      <c r="O47" s="256" t="n">
        <v>2670</v>
      </c>
      <c r="P47" s="256" t="n">
        <v>2885</v>
      </c>
      <c r="Q47" s="256" t="n">
        <v>2224</v>
      </c>
      <c r="R47" s="256" t="n">
        <v>2075</v>
      </c>
      <c r="S47" s="256" t="n">
        <v>2516</v>
      </c>
      <c r="T47" s="256" t="n">
        <v>3829</v>
      </c>
      <c r="U47" s="256" t="n">
        <v>3475</v>
      </c>
      <c r="V47" s="256" t="n">
        <v>3432</v>
      </c>
      <c r="W47" s="256" t="n">
        <v>4215</v>
      </c>
      <c r="X47" s="256" t="n">
        <v>4440</v>
      </c>
      <c r="Y47" s="256" t="n">
        <v>3920</v>
      </c>
      <c r="Z47" s="256" t="n">
        <v>3103</v>
      </c>
      <c r="AA47" s="256" t="n">
        <v>3909</v>
      </c>
      <c r="AB47" s="256" t="n">
        <v>4471</v>
      </c>
      <c r="AC47" s="256" t="n">
        <v>3864</v>
      </c>
      <c r="AD47" s="256" t="n">
        <v>3290</v>
      </c>
      <c r="AE47" s="256" t="n">
        <v>5487</v>
      </c>
      <c r="AF47" s="256" t="n">
        <v>5876</v>
      </c>
      <c r="AG47" s="256" t="n">
        <v>4671</v>
      </c>
      <c r="AH47" s="256" t="n">
        <v>4463</v>
      </c>
      <c r="AI47" s="256" t="n">
        <v>5119</v>
      </c>
      <c r="AJ47" s="256" t="n">
        <v>7290</v>
      </c>
    </row>
    <row r="48" ht="15" customHeight="1" s="254">
      <c r="A48" s="253" t="n">
        <v>34</v>
      </c>
      <c r="B48" s="253" t="n">
        <v>1</v>
      </c>
      <c r="G48" s="253" t="inlineStr">
        <is>
          <t>moeda</t>
        </is>
      </c>
      <c r="H48" s="253" t="inlineStr">
        <is>
          <t>Derivativos passivo não circulante</t>
        </is>
      </c>
      <c r="J48" s="253" t="inlineStr">
        <is>
          <t>fonte</t>
        </is>
      </c>
      <c r="K48" s="256" t="n"/>
      <c r="L48" s="256" t="n"/>
      <c r="M48" s="256" t="n"/>
      <c r="N48" s="256" t="n"/>
      <c r="O48" s="256" t="n">
        <v>554</v>
      </c>
      <c r="P48" s="256" t="n">
        <v>385</v>
      </c>
      <c r="Q48" s="256" t="n">
        <v>571</v>
      </c>
      <c r="R48" s="256" t="n">
        <v>887</v>
      </c>
      <c r="S48" s="256" t="n">
        <v>1551</v>
      </c>
      <c r="T48" s="256" t="n">
        <v>3238</v>
      </c>
      <c r="U48" s="256" t="n">
        <v>5110</v>
      </c>
      <c r="V48" s="256" t="n">
        <v>3563</v>
      </c>
      <c r="W48" s="256" t="n">
        <v>3099</v>
      </c>
      <c r="X48" s="256" t="n">
        <v>3080</v>
      </c>
      <c r="Y48" s="256" t="n">
        <v>3257</v>
      </c>
      <c r="Z48" s="256" t="n">
        <v>2301</v>
      </c>
      <c r="AA48" s="256" t="n">
        <v>2338</v>
      </c>
      <c r="AB48" s="256" t="n">
        <v>2438</v>
      </c>
      <c r="AC48" s="256" t="n">
        <v>1749</v>
      </c>
      <c r="AD48" s="256" t="n">
        <v>2185</v>
      </c>
      <c r="AE48" s="256" t="n">
        <v>1565</v>
      </c>
      <c r="AF48" s="256" t="n">
        <v>1037</v>
      </c>
      <c r="AG48" s="256" t="n">
        <v>885</v>
      </c>
      <c r="AH48" s="256" t="n">
        <v>1108</v>
      </c>
      <c r="AI48" s="256" t="n">
        <v>1161</v>
      </c>
      <c r="AJ48" s="256" t="n">
        <v>1069</v>
      </c>
    </row>
    <row r="49" ht="15" customHeight="1" s="254">
      <c r="A49" s="253" t="n">
        <v>33</v>
      </c>
      <c r="B49" s="253" t="n">
        <v>1</v>
      </c>
      <c r="G49" s="253" t="inlineStr">
        <is>
          <t>moeda</t>
        </is>
      </c>
      <c r="H49" s="253" t="inlineStr">
        <is>
          <t>IR diferido passivo</t>
        </is>
      </c>
      <c r="J49" s="253" t="inlineStr">
        <is>
          <t>fonte</t>
        </is>
      </c>
      <c r="K49" s="256" t="n"/>
      <c r="L49" s="256" t="n"/>
      <c r="M49" s="256" t="n"/>
      <c r="N49" s="256" t="n"/>
      <c r="O49" s="256" t="n">
        <v>11285</v>
      </c>
      <c r="P49" s="256" t="n">
        <v>11717</v>
      </c>
      <c r="Q49" s="256" t="n">
        <v>12159</v>
      </c>
      <c r="R49" s="256" t="n">
        <v>12547</v>
      </c>
      <c r="S49" s="256" t="n">
        <v>13021</v>
      </c>
      <c r="T49" s="256" t="n">
        <v>16145</v>
      </c>
      <c r="U49" s="256" t="n">
        <v>16893</v>
      </c>
      <c r="V49" s="256" t="n">
        <v>16186</v>
      </c>
      <c r="W49" s="256" t="n">
        <v>16464</v>
      </c>
      <c r="X49" s="256" t="n">
        <v>15955</v>
      </c>
      <c r="Y49" s="256" t="n">
        <v>15891</v>
      </c>
      <c r="Z49" s="256" t="n">
        <v>15347</v>
      </c>
      <c r="AA49" s="256" t="n">
        <v>15179</v>
      </c>
      <c r="AB49" s="256" t="n">
        <v>15293</v>
      </c>
      <c r="AC49" s="256" t="n">
        <v>15487</v>
      </c>
      <c r="AD49" s="256" t="n">
        <v>13505</v>
      </c>
      <c r="AE49" s="256" t="n">
        <v>13257</v>
      </c>
      <c r="AF49" s="256" t="n">
        <v>12921</v>
      </c>
      <c r="AG49" s="256" t="n">
        <v>11955</v>
      </c>
      <c r="AH49" s="256" t="n">
        <v>11983</v>
      </c>
      <c r="AI49" s="256" t="n">
        <v>11884</v>
      </c>
      <c r="AJ49" s="256" t="n">
        <v>11831</v>
      </c>
    </row>
    <row r="50" ht="15" customHeight="1" s="254">
      <c r="A50" s="253" t="n">
        <v>34</v>
      </c>
      <c r="B50" s="253" t="n">
        <v>1</v>
      </c>
      <c r="G50" s="253" t="inlineStr">
        <is>
          <t>moeda</t>
        </is>
      </c>
      <c r="H50" s="253" t="inlineStr">
        <is>
          <t>Passivo de benefícios de aposentadoria</t>
        </is>
      </c>
      <c r="J50" s="253" t="inlineStr">
        <is>
          <t>fonte</t>
        </is>
      </c>
      <c r="K50" s="256" t="n"/>
      <c r="L50" s="256" t="n"/>
      <c r="M50" s="256" t="n"/>
      <c r="N50" s="256" t="n"/>
      <c r="O50" s="256" t="n">
        <v>12348</v>
      </c>
      <c r="P50" s="256" t="n">
        <v>12435</v>
      </c>
      <c r="Q50" s="256" t="n">
        <v>11835</v>
      </c>
      <c r="R50" s="256" t="n">
        <v>11325</v>
      </c>
      <c r="S50" s="256" t="n">
        <v>10464</v>
      </c>
      <c r="T50" s="256" t="n">
        <v>8693</v>
      </c>
      <c r="U50" s="256" t="n">
        <v>7475</v>
      </c>
      <c r="V50" s="256" t="n">
        <v>7296</v>
      </c>
      <c r="W50" s="256" t="n">
        <v>7379</v>
      </c>
      <c r="X50" s="256" t="n">
        <v>7491</v>
      </c>
      <c r="Y50" s="256" t="n">
        <v>6837</v>
      </c>
      <c r="Z50" s="256" t="n">
        <v>7549</v>
      </c>
      <c r="AA50" s="256" t="n">
        <v>7101</v>
      </c>
      <c r="AB50" s="256" t="n">
        <v>6701</v>
      </c>
      <c r="AC50" s="256" t="n">
        <v>7110</v>
      </c>
      <c r="AD50" s="256" t="n">
        <v>6752</v>
      </c>
      <c r="AE50" s="256" t="n">
        <v>6756</v>
      </c>
      <c r="AF50" s="256" t="n">
        <v>6983</v>
      </c>
      <c r="AG50" s="256" t="n">
        <v>7632</v>
      </c>
      <c r="AH50" s="256" t="n">
        <v>7136</v>
      </c>
      <c r="AI50" s="256" t="n">
        <v>6876</v>
      </c>
      <c r="AJ50" s="256" t="n">
        <v>6635</v>
      </c>
    </row>
    <row r="51" ht="15" customHeight="1" s="254">
      <c r="A51" s="253" t="n">
        <v>34</v>
      </c>
      <c r="B51" s="253" t="n">
        <v>1</v>
      </c>
      <c r="G51" s="253" t="inlineStr">
        <is>
          <t>moeda</t>
        </is>
      </c>
      <c r="H51" s="253" t="inlineStr">
        <is>
          <t>Descomissionamento e outras provisões não circulantes</t>
        </is>
      </c>
      <c r="J51" s="253" t="inlineStr">
        <is>
          <t>fonte</t>
        </is>
      </c>
      <c r="K51" s="256" t="n"/>
      <c r="L51" s="256" t="n"/>
      <c r="M51" s="256" t="n"/>
      <c r="N51" s="256" t="n"/>
      <c r="O51" s="256" t="n">
        <v>27330</v>
      </c>
      <c r="P51" s="256" t="n">
        <v>27657</v>
      </c>
      <c r="Q51" s="256" t="n">
        <v>26361</v>
      </c>
      <c r="R51" s="256" t="n">
        <v>25804</v>
      </c>
      <c r="S51" s="256" t="n">
        <v>25583</v>
      </c>
      <c r="T51" s="256" t="n">
        <v>25798</v>
      </c>
      <c r="U51" s="256" t="n">
        <v>21551</v>
      </c>
      <c r="V51" s="256" t="n">
        <v>23845</v>
      </c>
      <c r="W51" s="256" t="n">
        <v>23691</v>
      </c>
      <c r="X51" s="256" t="n">
        <v>23592</v>
      </c>
      <c r="Y51" s="256" t="n">
        <v>23492</v>
      </c>
      <c r="Z51" s="256" t="n">
        <v>22531</v>
      </c>
      <c r="AA51" s="256" t="n">
        <v>22412</v>
      </c>
      <c r="AB51" s="256" t="n">
        <v>22574</v>
      </c>
      <c r="AC51" s="256" t="n">
        <v>22979</v>
      </c>
      <c r="AD51" s="256" t="n">
        <v>21227</v>
      </c>
      <c r="AE51" s="256" t="n">
        <v>20313</v>
      </c>
      <c r="AF51" s="256" t="n">
        <v>20777</v>
      </c>
      <c r="AG51" s="256" t="n">
        <v>21197</v>
      </c>
      <c r="AH51" s="256" t="n">
        <v>21411</v>
      </c>
      <c r="AI51" s="256" t="n">
        <v>21899</v>
      </c>
      <c r="AJ51" s="256" t="n">
        <v>21758</v>
      </c>
    </row>
    <row r="52" ht="15" customHeight="1" s="254">
      <c r="A52" s="253" t="n">
        <v>27</v>
      </c>
      <c r="B52" s="253" t="n">
        <v>1</v>
      </c>
      <c r="G52" s="253" t="inlineStr">
        <is>
          <t>moeda</t>
        </is>
      </c>
      <c r="H52" s="253" t="inlineStr">
        <is>
          <t>Dívida circulante (inclui arrendamentos) [Debt]</t>
        </is>
      </c>
      <c r="J52" s="253" t="inlineStr">
        <is>
          <t>fonte</t>
        </is>
      </c>
      <c r="K52" s="256" t="n"/>
      <c r="L52" s="256" t="n"/>
      <c r="M52" s="256" t="n"/>
      <c r="N52" s="256" t="n"/>
      <c r="O52" s="256" t="n">
        <v>14541</v>
      </c>
      <c r="P52" s="256" t="n">
        <v>13042</v>
      </c>
      <c r="Q52" s="256" t="n">
        <v>10686</v>
      </c>
      <c r="R52" s="256" t="n">
        <v>8218</v>
      </c>
      <c r="S52" s="256" t="n">
        <v>7027</v>
      </c>
      <c r="T52" s="256" t="n">
        <v>6521</v>
      </c>
      <c r="U52" s="256" t="n">
        <v>8046</v>
      </c>
      <c r="V52" s="256" t="n">
        <v>9001</v>
      </c>
      <c r="W52" s="256" t="n">
        <v>9044</v>
      </c>
      <c r="X52" s="256" t="n">
        <v>12114</v>
      </c>
      <c r="Y52" s="256" t="n">
        <v>10119</v>
      </c>
      <c r="Z52" s="256" t="n">
        <v>9931</v>
      </c>
      <c r="AA52" s="256" t="n">
        <v>11046</v>
      </c>
      <c r="AB52" s="256" t="n">
        <v>10849</v>
      </c>
      <c r="AC52" s="256" t="n">
        <v>12015</v>
      </c>
      <c r="AD52" s="256" t="n">
        <v>11630</v>
      </c>
      <c r="AE52" s="256" t="n">
        <v>11391</v>
      </c>
      <c r="AF52" s="256" t="n">
        <v>10457</v>
      </c>
      <c r="AG52" s="256" t="n">
        <v>10022</v>
      </c>
      <c r="AH52" s="256" t="n">
        <v>9128</v>
      </c>
      <c r="AI52" s="256" t="n">
        <v>10060</v>
      </c>
      <c r="AJ52" s="256" t="n">
        <v>8542</v>
      </c>
    </row>
    <row r="53" ht="15" customHeight="1" s="254">
      <c r="A53" s="253" t="n">
        <v>23</v>
      </c>
      <c r="B53" s="253" t="n">
        <v>1</v>
      </c>
      <c r="G53" s="253" t="inlineStr">
        <is>
          <t>moeda</t>
        </is>
      </c>
      <c r="H53" s="253" t="inlineStr">
        <is>
          <t>Fornecedores e outras contas circulantes</t>
        </is>
      </c>
      <c r="J53" s="253" t="inlineStr">
        <is>
          <t>fonte</t>
        </is>
      </c>
      <c r="K53" s="256" t="n"/>
      <c r="L53" s="256" t="n"/>
      <c r="M53" s="256" t="n"/>
      <c r="N53" s="256" t="n"/>
      <c r="O53" s="256" t="n">
        <v>49456</v>
      </c>
      <c r="P53" s="256" t="n">
        <v>54948</v>
      </c>
      <c r="Q53" s="256" t="n">
        <v>59722</v>
      </c>
      <c r="R53" s="256" t="n">
        <v>63173</v>
      </c>
      <c r="S53" s="256" t="n">
        <v>71741</v>
      </c>
      <c r="T53" s="256" t="n">
        <v>75445</v>
      </c>
      <c r="U53" s="256" t="n">
        <v>70341</v>
      </c>
      <c r="V53" s="256" t="n">
        <v>79357</v>
      </c>
      <c r="W53" s="256" t="n">
        <v>68857</v>
      </c>
      <c r="X53" s="256" t="n">
        <v>63996</v>
      </c>
      <c r="Y53" s="256" t="n">
        <v>67188</v>
      </c>
      <c r="Z53" s="256" t="n">
        <v>68237</v>
      </c>
      <c r="AA53" s="256" t="n">
        <v>65997</v>
      </c>
      <c r="AB53" s="256" t="n">
        <v>63943</v>
      </c>
      <c r="AC53" s="256" t="n">
        <v>61076</v>
      </c>
      <c r="AD53" s="256" t="n">
        <v>60693</v>
      </c>
      <c r="AE53" s="256" t="n">
        <v>60870</v>
      </c>
      <c r="AF53" s="256" t="n">
        <v>58379</v>
      </c>
      <c r="AG53" s="256" t="n">
        <v>56816</v>
      </c>
      <c r="AH53" s="256" t="n">
        <v>57770</v>
      </c>
      <c r="AI53" s="256" t="n">
        <v>64288</v>
      </c>
      <c r="AJ53" s="256" t="n">
        <v>60742</v>
      </c>
    </row>
    <row r="54" ht="15" customHeight="1" s="254">
      <c r="A54" s="253" t="n">
        <v>26</v>
      </c>
      <c r="B54" s="253" t="n">
        <v>1</v>
      </c>
      <c r="G54" s="253" t="inlineStr">
        <is>
          <t>moeda</t>
        </is>
      </c>
      <c r="H54" s="253" t="inlineStr">
        <is>
          <t>Derivativos passivo circulante</t>
        </is>
      </c>
      <c r="J54" s="253" t="inlineStr">
        <is>
          <t>fonte</t>
        </is>
      </c>
      <c r="K54" s="256" t="n"/>
      <c r="L54" s="256" t="n"/>
      <c r="M54" s="256" t="n"/>
      <c r="N54" s="256" t="n"/>
      <c r="O54" s="256" t="n">
        <v>5260</v>
      </c>
      <c r="P54" s="256" t="n">
        <v>10385</v>
      </c>
      <c r="Q54" s="256" t="n">
        <v>26118</v>
      </c>
      <c r="R54" s="256" t="n">
        <v>16311</v>
      </c>
      <c r="S54" s="256" t="n">
        <v>26496</v>
      </c>
      <c r="T54" s="256" t="n">
        <v>28881</v>
      </c>
      <c r="U54" s="256" t="n">
        <v>32011</v>
      </c>
      <c r="V54" s="256" t="n">
        <v>23779</v>
      </c>
      <c r="W54" s="256" t="n">
        <v>15863</v>
      </c>
      <c r="X54" s="256" t="n">
        <v>12513</v>
      </c>
      <c r="Y54" s="256" t="n">
        <v>9444</v>
      </c>
      <c r="Z54" s="256" t="n">
        <v>9529</v>
      </c>
      <c r="AA54" s="256" t="n">
        <v>8919</v>
      </c>
      <c r="AB54" s="256" t="n">
        <v>8138</v>
      </c>
      <c r="AC54" s="256" t="n">
        <v>6775</v>
      </c>
      <c r="AD54" s="256" t="n">
        <v>7391</v>
      </c>
      <c r="AE54" s="256" t="n">
        <v>6371</v>
      </c>
      <c r="AF54" s="256" t="n">
        <v>6451</v>
      </c>
      <c r="AG54" s="256" t="n">
        <v>5924</v>
      </c>
      <c r="AH54" s="256" t="n">
        <v>5664</v>
      </c>
      <c r="AI54" s="256" t="n">
        <v>10324</v>
      </c>
      <c r="AJ54" s="256" t="n">
        <v>7225</v>
      </c>
    </row>
    <row r="55" ht="15" customHeight="1" s="254">
      <c r="A55" s="253" t="n">
        <v>25</v>
      </c>
      <c r="B55" s="253" t="n">
        <v>1</v>
      </c>
      <c r="G55" s="253" t="inlineStr">
        <is>
          <t>moeda</t>
        </is>
      </c>
      <c r="H55" s="253" t="inlineStr">
        <is>
          <t>Impostos a pagar [Income taxes payable]</t>
        </is>
      </c>
      <c r="J55" s="253" t="inlineStr">
        <is>
          <t>fonte</t>
        </is>
      </c>
      <c r="K55" s="256" t="n"/>
      <c r="L55" s="256" t="n"/>
      <c r="M55" s="256" t="n"/>
      <c r="N55" s="256" t="n"/>
      <c r="O55" s="256" t="n">
        <v>3372</v>
      </c>
      <c r="P55" s="256" t="n">
        <v>2837</v>
      </c>
      <c r="Q55" s="256" t="n">
        <v>2809</v>
      </c>
      <c r="R55" s="256" t="n">
        <v>3254</v>
      </c>
      <c r="S55" s="256" t="n">
        <v>3752</v>
      </c>
      <c r="T55" s="256" t="n">
        <v>4506</v>
      </c>
      <c r="U55" s="256" t="n">
        <v>4332</v>
      </c>
      <c r="V55" s="256" t="n">
        <v>4869</v>
      </c>
      <c r="W55" s="256" t="n">
        <v>5924</v>
      </c>
      <c r="X55" s="256" t="n">
        <v>4462</v>
      </c>
      <c r="Y55" s="256" t="n">
        <v>4372</v>
      </c>
      <c r="Z55" s="256" t="n">
        <v>3422</v>
      </c>
      <c r="AA55" s="256" t="n">
        <v>3940</v>
      </c>
      <c r="AB55" s="256" t="n">
        <v>4087</v>
      </c>
      <c r="AC55" s="256" t="n">
        <v>4289</v>
      </c>
      <c r="AD55" s="256" t="n">
        <v>4648</v>
      </c>
      <c r="AE55" s="256" t="n">
        <v>4343</v>
      </c>
      <c r="AF55" s="256" t="n">
        <v>3642</v>
      </c>
      <c r="AG55" s="256" t="n">
        <v>3447</v>
      </c>
      <c r="AH55" s="256" t="n">
        <v>3150</v>
      </c>
      <c r="AI55" s="256" t="n">
        <v>3883</v>
      </c>
      <c r="AJ55" s="256" t="n">
        <v>4349</v>
      </c>
    </row>
    <row r="56" ht="15" customHeight="1" s="254">
      <c r="A56" s="253" t="n">
        <v>26</v>
      </c>
      <c r="B56" s="253" t="n">
        <v>1</v>
      </c>
      <c r="G56" s="253" t="inlineStr">
        <is>
          <t>moeda</t>
        </is>
      </c>
      <c r="H56" s="253" t="inlineStr">
        <is>
          <t>Descomissionamento e outras provisões circulantes</t>
        </is>
      </c>
      <c r="J56" s="253" t="inlineStr">
        <is>
          <t>fonte</t>
        </is>
      </c>
      <c r="K56" s="256" t="n"/>
      <c r="L56" s="256" t="n"/>
      <c r="M56" s="256" t="n"/>
      <c r="N56" s="256" t="n"/>
      <c r="O56" s="256" t="n">
        <v>3802</v>
      </c>
      <c r="P56" s="256" t="n">
        <v>3290</v>
      </c>
      <c r="Q56" s="256" t="n">
        <v>3139</v>
      </c>
      <c r="R56" s="256" t="n">
        <v>3338</v>
      </c>
      <c r="S56" s="256" t="n">
        <v>3225</v>
      </c>
      <c r="T56" s="256" t="n">
        <v>2943</v>
      </c>
      <c r="U56" s="256" t="n">
        <v>2459</v>
      </c>
      <c r="V56" s="256" t="n">
        <v>2910</v>
      </c>
      <c r="W56" s="256" t="n">
        <v>2989</v>
      </c>
      <c r="X56" s="256" t="n">
        <v>3037</v>
      </c>
      <c r="Y56" s="256" t="n">
        <v>3223</v>
      </c>
      <c r="Z56" s="256" t="n">
        <v>4041</v>
      </c>
      <c r="AA56" s="256" t="n">
        <v>3714</v>
      </c>
      <c r="AB56" s="256" t="n">
        <v>3622</v>
      </c>
      <c r="AC56" s="256" t="n">
        <v>4171</v>
      </c>
      <c r="AD56" s="256" t="n">
        <v>4469</v>
      </c>
      <c r="AE56" s="256" t="n">
        <v>5104</v>
      </c>
      <c r="AF56" s="256" t="n">
        <v>5234</v>
      </c>
      <c r="AG56" s="256" t="n">
        <v>5657</v>
      </c>
      <c r="AH56" s="256" t="n">
        <v>5884</v>
      </c>
      <c r="AI56" s="256" t="n">
        <v>3963</v>
      </c>
      <c r="AJ56" s="256" t="n">
        <v>3935</v>
      </c>
    </row>
    <row r="57" ht="15" customHeight="1" s="254">
      <c r="A57" s="253" t="n">
        <v>26</v>
      </c>
      <c r="B57" s="253" t="n">
        <v>1</v>
      </c>
      <c r="G57" s="253" t="inlineStr">
        <is>
          <t>moeda</t>
        </is>
      </c>
      <c r="H57" s="253" t="inlineStr">
        <is>
          <t>Passivos associados a ativos mantidos para venda</t>
        </is>
      </c>
      <c r="J57" s="253" t="inlineStr">
        <is>
          <t>fonte</t>
        </is>
      </c>
      <c r="K57" s="256" t="n"/>
      <c r="L57" s="256" t="n"/>
      <c r="M57" s="256" t="n"/>
      <c r="N57" s="256" t="n"/>
      <c r="O57" s="256" t="n"/>
      <c r="P57" s="256" t="n"/>
      <c r="Q57" s="256" t="n">
        <v>1758</v>
      </c>
      <c r="R57" s="256" t="n">
        <v>1253</v>
      </c>
      <c r="S57" s="256" t="n">
        <v>1057</v>
      </c>
      <c r="T57" s="256" t="n">
        <v>382</v>
      </c>
      <c r="U57" s="256" t="n">
        <v>1483</v>
      </c>
      <c r="V57" s="256" t="n">
        <v>1395</v>
      </c>
      <c r="W57" s="256" t="n">
        <v>0</v>
      </c>
      <c r="X57" s="256" t="n">
        <v>6</v>
      </c>
      <c r="Y57" s="256" t="n">
        <v>786</v>
      </c>
      <c r="Z57" s="256" t="n">
        <v>307</v>
      </c>
      <c r="AA57" s="256" t="n">
        <v>296</v>
      </c>
      <c r="AB57" s="256" t="n">
        <v>857</v>
      </c>
      <c r="AC57" s="256" t="n">
        <v>1298</v>
      </c>
      <c r="AD57" s="256" t="n">
        <v>6203</v>
      </c>
      <c r="AE57" s="256" t="n">
        <v>8001</v>
      </c>
      <c r="AF57" s="256" t="n">
        <v>7856</v>
      </c>
      <c r="AG57" s="256" t="n">
        <v>7755</v>
      </c>
      <c r="AH57" s="256" t="n">
        <v>820</v>
      </c>
      <c r="AI57" s="256" t="n">
        <v>955</v>
      </c>
      <c r="AJ57" s="256" t="n">
        <v>821</v>
      </c>
    </row>
    <row r="58" ht="15" customHeight="1" s="254">
      <c r="A58" s="253" t="n">
        <v>35</v>
      </c>
      <c r="B58" s="253" t="n">
        <v>1</v>
      </c>
      <c r="G58" s="253" t="inlineStr">
        <is>
          <t>moeda</t>
        </is>
      </c>
      <c r="H58" s="253" t="inlineStr">
        <is>
          <t>Participação de não controladores (balanço)</t>
        </is>
      </c>
      <c r="J58" s="253" t="inlineStr">
        <is>
          <t>fonte</t>
        </is>
      </c>
      <c r="K58" s="256" t="n"/>
      <c r="L58" s="256" t="n"/>
      <c r="M58" s="256" t="n"/>
      <c r="N58" s="256" t="n"/>
      <c r="O58" s="256" t="n">
        <v>3239</v>
      </c>
      <c r="P58" s="256" t="n">
        <v>3244</v>
      </c>
      <c r="Q58" s="256" t="n">
        <v>3293</v>
      </c>
      <c r="R58" s="256" t="n">
        <v>3360</v>
      </c>
      <c r="S58" s="256" t="n">
        <v>3535</v>
      </c>
      <c r="T58" s="256" t="n">
        <v>3799</v>
      </c>
      <c r="U58" s="256" t="n">
        <v>3715</v>
      </c>
      <c r="V58" s="256" t="n">
        <v>2125</v>
      </c>
      <c r="W58" s="256" t="n">
        <v>2214</v>
      </c>
      <c r="X58" s="256" t="n">
        <v>1633</v>
      </c>
      <c r="Y58" s="256" t="n">
        <v>1745</v>
      </c>
      <c r="Z58" s="256" t="n">
        <v>1755</v>
      </c>
      <c r="AA58" s="256" t="n">
        <v>1739</v>
      </c>
      <c r="AB58" s="256" t="n">
        <v>1783</v>
      </c>
      <c r="AC58" s="256" t="n">
        <v>1865</v>
      </c>
      <c r="AD58" s="256" t="n">
        <v>1861</v>
      </c>
      <c r="AE58" s="256" t="n">
        <v>1856</v>
      </c>
      <c r="AF58" s="256" t="n">
        <v>1951</v>
      </c>
      <c r="AG58" s="256" t="n">
        <v>1999</v>
      </c>
      <c r="AH58" s="256" t="n">
        <v>928</v>
      </c>
      <c r="AI58" s="256" t="n">
        <v>1018</v>
      </c>
      <c r="AJ58" s="256" t="n">
        <v>995</v>
      </c>
    </row>
    <row r="59" ht="15" customHeight="1" s="254">
      <c r="A59" s="253" t="n">
        <v>41</v>
      </c>
      <c r="B59" s="253" t="n">
        <v>1</v>
      </c>
      <c r="G59" s="253" t="inlineStr">
        <is>
          <t>moeda</t>
        </is>
      </c>
      <c r="H59" s="253" t="inlineStr">
        <is>
          <t>Patrimônio atribuível aos acionistas da Shell plc (capital, tesouraria e OCI não abertos na face condensada)</t>
        </is>
      </c>
      <c r="J59" s="253" t="inlineStr">
        <is>
          <t>fonte</t>
        </is>
      </c>
      <c r="K59" s="256" t="n"/>
      <c r="L59" s="256" t="n"/>
      <c r="M59" s="256" t="n"/>
      <c r="N59" s="256" t="n"/>
      <c r="O59" s="256" t="n">
        <v>163714</v>
      </c>
      <c r="P59" s="256" t="n">
        <v>167999</v>
      </c>
      <c r="Q59" s="256" t="n">
        <v>163390</v>
      </c>
      <c r="R59" s="256" t="n">
        <v>171966</v>
      </c>
      <c r="S59" s="256" t="n">
        <v>175998</v>
      </c>
      <c r="T59" s="256" t="n">
        <v>190500</v>
      </c>
      <c r="U59" s="256" t="n">
        <v>186523</v>
      </c>
      <c r="V59" s="256" t="n">
        <v>190472</v>
      </c>
      <c r="W59" s="256" t="n">
        <v>193317</v>
      </c>
      <c r="X59" s="256" t="n">
        <v>190461</v>
      </c>
      <c r="Y59" s="256" t="n">
        <v>191199</v>
      </c>
      <c r="Z59" s="256" t="n">
        <v>186607</v>
      </c>
      <c r="AA59" s="256" t="n">
        <v>186565</v>
      </c>
      <c r="AB59" s="256" t="n">
        <v>185407</v>
      </c>
      <c r="AC59" s="256" t="n">
        <v>187673</v>
      </c>
      <c r="AD59" s="256" t="n">
        <v>178303</v>
      </c>
      <c r="AE59" s="256" t="n">
        <v>178813</v>
      </c>
      <c r="AF59" s="256" t="n">
        <v>181137</v>
      </c>
      <c r="AG59" s="256" t="n">
        <v>175823</v>
      </c>
      <c r="AH59" s="256" t="n">
        <v>174392</v>
      </c>
      <c r="AI59" s="256" t="n">
        <v>173583</v>
      </c>
      <c r="AJ59" s="256" t="n">
        <v>180786</v>
      </c>
    </row>
    <row r="60" ht="15" customHeight="1" s="254">
      <c r="A60" s="253" t="n">
        <v>16</v>
      </c>
      <c r="B60" s="253" t="n">
        <v>1</v>
      </c>
      <c r="G60" s="253" t="inlineStr">
        <is>
          <t>moeda</t>
        </is>
      </c>
      <c r="H60" s="253" t="inlineStr">
        <is>
          <t>Diferença de arredondamento do ativo (total divulgado − soma das linhas; &lt; US$ 50 mi)</t>
        </is>
      </c>
      <c r="J60" s="253" t="inlineStr">
        <is>
          <t>derivada</t>
        </is>
      </c>
      <c r="K60" s="256" t="n"/>
      <c r="L60" s="256" t="n"/>
      <c r="M60" s="256" t="n"/>
      <c r="N60" s="256" t="n"/>
      <c r="O60" s="256" t="n"/>
      <c r="P60" s="256" t="n"/>
      <c r="Q60" s="256" t="n"/>
      <c r="R60" s="256" t="n"/>
      <c r="S60" s="256" t="n"/>
      <c r="T60" s="256" t="n"/>
      <c r="U60" s="256" t="n">
        <v>-1</v>
      </c>
      <c r="V60" s="256" t="n"/>
      <c r="W60" s="256" t="n">
        <v>1</v>
      </c>
      <c r="X60" s="256" t="n">
        <v>1</v>
      </c>
      <c r="Y60" s="256" t="n">
        <v>1</v>
      </c>
      <c r="Z60" s="256" t="n"/>
      <c r="AA60" s="256" t="n">
        <v>1</v>
      </c>
      <c r="AB60" s="256" t="n">
        <v>2</v>
      </c>
      <c r="AC60" s="256" t="n">
        <v>1</v>
      </c>
      <c r="AD60" s="256" t="n">
        <v>-2</v>
      </c>
      <c r="AE60" s="256" t="n">
        <v>1</v>
      </c>
      <c r="AF60" s="256" t="n"/>
      <c r="AG60" s="256" t="n">
        <v>3</v>
      </c>
      <c r="AH60" s="256" t="n">
        <v>1</v>
      </c>
      <c r="AI60" s="256" t="n">
        <v>1</v>
      </c>
      <c r="AJ60" s="256" t="n">
        <v>-1</v>
      </c>
    </row>
    <row r="61" ht="15" customHeight="1" s="254">
      <c r="A61" s="253" t="n">
        <v>26</v>
      </c>
      <c r="B61" s="253" t="n">
        <v>1</v>
      </c>
      <c r="G61" s="253" t="inlineStr">
        <is>
          <t>moeda</t>
        </is>
      </c>
      <c r="H61" s="253" t="inlineStr">
        <is>
          <t>Diferença de arredondamento do passivo + PL (total divulgado − soma das linhas; &lt; US$ 50 mi)</t>
        </is>
      </c>
      <c r="J61" s="253" t="inlineStr">
        <is>
          <t>derivada</t>
        </is>
      </c>
      <c r="K61" s="256" t="n"/>
      <c r="L61" s="256" t="n"/>
      <c r="M61" s="256" t="n"/>
      <c r="N61" s="256" t="n"/>
      <c r="O61" s="256" t="n">
        <v>1</v>
      </c>
      <c r="P61" s="256" t="n">
        <v>-1</v>
      </c>
      <c r="Q61" s="256" t="n">
        <v>-1</v>
      </c>
      <c r="R61" s="256" t="n"/>
      <c r="S61" s="256" t="n"/>
      <c r="T61" s="256" t="n">
        <v>-2</v>
      </c>
      <c r="U61" s="256" t="n"/>
      <c r="V61" s="256" t="n"/>
      <c r="W61" s="256" t="n"/>
      <c r="X61" s="256" t="n">
        <v>1</v>
      </c>
      <c r="Y61" s="256" t="n">
        <v>-3</v>
      </c>
      <c r="Z61" s="256" t="n"/>
      <c r="AA61" s="256" t="n">
        <v>-2</v>
      </c>
      <c r="AB61" s="256" t="n">
        <v>1</v>
      </c>
      <c r="AC61" s="256" t="n">
        <v>1</v>
      </c>
      <c r="AD61" s="256" t="n">
        <v>2</v>
      </c>
      <c r="AE61" s="256" t="n">
        <v>1</v>
      </c>
      <c r="AF61" s="256" t="n">
        <v>1</v>
      </c>
      <c r="AG61" s="256" t="n"/>
      <c r="AH61" s="256" t="n">
        <v>-1</v>
      </c>
      <c r="AI61" s="256" t="n"/>
      <c r="AJ61" s="256" t="n">
        <v>1</v>
      </c>
    </row>
    <row r="62" ht="15" customHeight="1" s="254">
      <c r="G62" s="253" t="inlineStr">
        <is>
          <t>moeda</t>
        </is>
      </c>
      <c r="H62" s="253" t="inlineStr">
        <is>
          <t>[vazio] código 15: Despesas antecipadas: não abertas na face condensada</t>
        </is>
      </c>
      <c r="J62" s="253" t="inlineStr">
        <is>
          <t>derivada</t>
        </is>
      </c>
      <c r="K62" s="256" t="n"/>
      <c r="L62" s="256" t="n"/>
      <c r="M62" s="256" t="n"/>
      <c r="N62" s="256" t="n"/>
      <c r="O62" s="256" t="n"/>
      <c r="P62" s="256" t="n"/>
      <c r="Q62" s="256" t="n"/>
      <c r="R62" s="256" t="n"/>
      <c r="S62" s="256" t="n"/>
      <c r="T62" s="256" t="n"/>
      <c r="U62" s="256" t="n"/>
      <c r="V62" s="256" t="n"/>
      <c r="W62" s="256" t="n"/>
      <c r="X62" s="256" t="n"/>
      <c r="Y62" s="256" t="n"/>
      <c r="Z62" s="256" t="n"/>
      <c r="AA62" s="256" t="n"/>
      <c r="AB62" s="256" t="n"/>
      <c r="AC62" s="256" t="n"/>
      <c r="AD62" s="256" t="n"/>
      <c r="AE62" s="256" t="n"/>
      <c r="AF62" s="256" t="n"/>
      <c r="AG62" s="256" t="n"/>
      <c r="AH62" s="256" t="n"/>
      <c r="AI62" s="256" t="n"/>
      <c r="AJ62" s="256" t="n"/>
    </row>
    <row r="63" ht="15" customHeight="1" s="254">
      <c r="G63" s="253" t="inlineStr">
        <is>
          <t>moeda</t>
        </is>
      </c>
      <c r="H63" s="253" t="inlineStr">
        <is>
          <t>[vazio] código 19: Direito de uso: dentro do imobilizado (IFRS 16)</t>
        </is>
      </c>
      <c r="J63" s="253" t="inlineStr">
        <is>
          <t>derivada</t>
        </is>
      </c>
      <c r="K63" s="256" t="n"/>
      <c r="L63" s="256" t="n"/>
      <c r="M63" s="256" t="n"/>
      <c r="N63" s="256" t="n"/>
      <c r="O63" s="256" t="n"/>
      <c r="P63" s="256" t="n"/>
      <c r="Q63" s="256" t="n"/>
      <c r="R63" s="256" t="n"/>
      <c r="S63" s="256" t="n"/>
      <c r="T63" s="256" t="n"/>
      <c r="U63" s="256" t="n"/>
      <c r="V63" s="256" t="n"/>
      <c r="W63" s="256" t="n"/>
      <c r="X63" s="256" t="n"/>
      <c r="Y63" s="256" t="n"/>
      <c r="Z63" s="256" t="n"/>
      <c r="AA63" s="256" t="n"/>
      <c r="AB63" s="256" t="n"/>
      <c r="AC63" s="256" t="n"/>
      <c r="AD63" s="256" t="n"/>
      <c r="AE63" s="256" t="n"/>
      <c r="AF63" s="256" t="n"/>
      <c r="AG63" s="256" t="n"/>
      <c r="AH63" s="256" t="n"/>
      <c r="AI63" s="256" t="n"/>
      <c r="AJ63" s="256" t="n"/>
    </row>
    <row r="64" ht="15" customHeight="1" s="254">
      <c r="G64" s="253" t="inlineStr">
        <is>
          <t>moeda</t>
        </is>
      </c>
      <c r="H64" s="253" t="inlineStr">
        <is>
          <t>[vazio] código 24: Despesas provisionadas: dentro de fornecedores</t>
        </is>
      </c>
      <c r="J64" s="253" t="inlineStr">
        <is>
          <t>derivada</t>
        </is>
      </c>
      <c r="K64" s="256" t="n"/>
      <c r="L64" s="256" t="n"/>
      <c r="M64" s="256" t="n"/>
      <c r="N64" s="256" t="n"/>
      <c r="O64" s="256" t="n"/>
      <c r="P64" s="256" t="n"/>
      <c r="Q64" s="256" t="n"/>
      <c r="R64" s="256" t="n"/>
      <c r="S64" s="256" t="n"/>
      <c r="T64" s="256" t="n"/>
      <c r="U64" s="256" t="n"/>
      <c r="V64" s="256" t="n"/>
      <c r="W64" s="256" t="n"/>
      <c r="X64" s="256" t="n"/>
      <c r="Y64" s="256" t="n"/>
      <c r="Z64" s="256" t="n"/>
      <c r="AA64" s="256" t="n"/>
      <c r="AB64" s="256" t="n"/>
      <c r="AC64" s="256" t="n"/>
      <c r="AD64" s="256" t="n"/>
      <c r="AE64" s="256" t="n"/>
      <c r="AF64" s="256" t="n"/>
      <c r="AG64" s="256" t="n"/>
      <c r="AH64" s="256" t="n"/>
      <c r="AI64" s="256" t="n"/>
      <c r="AJ64" s="256" t="n"/>
    </row>
    <row r="65" ht="15" customHeight="1" s="254">
      <c r="G65" s="253" t="inlineStr">
        <is>
          <t>moeda</t>
        </is>
      </c>
      <c r="H65" s="253" t="inlineStr">
        <is>
          <t>[vazio] código 28: Revolving: dentro da dívida</t>
        </is>
      </c>
      <c r="J65" s="253" t="inlineStr">
        <is>
          <t>derivada</t>
        </is>
      </c>
      <c r="K65" s="256" t="n"/>
      <c r="L65" s="256" t="n"/>
      <c r="M65" s="256" t="n"/>
      <c r="N65" s="256" t="n"/>
      <c r="O65" s="256" t="n"/>
      <c r="P65" s="256" t="n"/>
      <c r="Q65" s="256" t="n"/>
      <c r="R65" s="256" t="n"/>
      <c r="S65" s="256" t="n"/>
      <c r="T65" s="256" t="n"/>
      <c r="U65" s="256" t="n"/>
      <c r="V65" s="256" t="n"/>
      <c r="W65" s="256" t="n"/>
      <c r="X65" s="256" t="n"/>
      <c r="Y65" s="256" t="n"/>
      <c r="Z65" s="256" t="n"/>
      <c r="AA65" s="256" t="n"/>
      <c r="AB65" s="256" t="n"/>
      <c r="AC65" s="256" t="n"/>
      <c r="AD65" s="256" t="n"/>
      <c r="AE65" s="256" t="n"/>
      <c r="AF65" s="256" t="n"/>
      <c r="AG65" s="256" t="n"/>
      <c r="AH65" s="256" t="n"/>
      <c r="AI65" s="256" t="n"/>
      <c r="AJ65" s="256" t="n"/>
    </row>
    <row r="66" ht="15" customHeight="1" s="254">
      <c r="G66" s="253" t="inlineStr">
        <is>
          <t>moeda</t>
        </is>
      </c>
      <c r="H66" s="253" t="inlineStr">
        <is>
          <t>[vazio] código 29: Arrendamento CP: dentro da dívida circulante</t>
        </is>
      </c>
      <c r="J66" s="253" t="inlineStr">
        <is>
          <t>derivada</t>
        </is>
      </c>
      <c r="K66" s="256" t="n"/>
      <c r="L66" s="256" t="n"/>
      <c r="M66" s="256" t="n"/>
      <c r="N66" s="256" t="n"/>
      <c r="O66" s="256" t="n"/>
      <c r="P66" s="256" t="n"/>
      <c r="Q66" s="256" t="n"/>
      <c r="R66" s="256" t="n"/>
      <c r="S66" s="256" t="n"/>
      <c r="T66" s="256" t="n"/>
      <c r="U66" s="256" t="n"/>
      <c r="V66" s="256" t="n"/>
      <c r="W66" s="256" t="n"/>
      <c r="X66" s="256" t="n"/>
      <c r="Y66" s="256" t="n"/>
      <c r="Z66" s="256" t="n"/>
      <c r="AA66" s="256" t="n"/>
      <c r="AB66" s="256" t="n"/>
      <c r="AC66" s="256" t="n"/>
      <c r="AD66" s="256" t="n"/>
      <c r="AE66" s="256" t="n"/>
      <c r="AF66" s="256" t="n"/>
      <c r="AG66" s="256" t="n"/>
      <c r="AH66" s="256" t="n"/>
      <c r="AI66" s="256" t="n"/>
      <c r="AJ66" s="256" t="n"/>
    </row>
    <row r="67" ht="15" customHeight="1" s="254">
      <c r="G67" s="253" t="inlineStr">
        <is>
          <t>moeda</t>
        </is>
      </c>
      <c r="H67" s="253" t="inlineStr">
        <is>
          <t>[vazio] código 31: Arrendamento LP: dentro da dívida não circulante</t>
        </is>
      </c>
      <c r="J67" s="253" t="inlineStr">
        <is>
          <t>derivada</t>
        </is>
      </c>
      <c r="K67" s="256" t="n"/>
      <c r="L67" s="256" t="n"/>
      <c r="M67" s="256" t="n"/>
      <c r="N67" s="256" t="n"/>
      <c r="O67" s="256" t="n"/>
      <c r="P67" s="256" t="n"/>
      <c r="Q67" s="256" t="n"/>
      <c r="R67" s="256" t="n"/>
      <c r="S67" s="256" t="n"/>
      <c r="T67" s="256" t="n"/>
      <c r="U67" s="256" t="n"/>
      <c r="V67" s="256" t="n"/>
      <c r="W67" s="256" t="n"/>
      <c r="X67" s="256" t="n"/>
      <c r="Y67" s="256" t="n"/>
      <c r="Z67" s="256" t="n"/>
      <c r="AA67" s="256" t="n"/>
      <c r="AB67" s="256" t="n"/>
      <c r="AC67" s="256" t="n"/>
      <c r="AD67" s="256" t="n"/>
      <c r="AE67" s="256" t="n"/>
      <c r="AF67" s="256" t="n"/>
      <c r="AG67" s="256" t="n"/>
      <c r="AH67" s="256" t="n"/>
      <c r="AI67" s="256" t="n"/>
      <c r="AJ67" s="256" t="n"/>
    </row>
    <row r="68" ht="15" customHeight="1" s="254">
      <c r="G68" s="253" t="inlineStr">
        <is>
          <t>moeda</t>
        </is>
      </c>
      <c r="H68" s="253" t="inlineStr">
        <is>
          <t>[vazio] código 32: Dívida conversível: não divulgada</t>
        </is>
      </c>
      <c r="J68" s="253" t="inlineStr">
        <is>
          <t>derivada</t>
        </is>
      </c>
      <c r="K68" s="256" t="n"/>
      <c r="L68" s="256" t="n"/>
      <c r="M68" s="256" t="n"/>
      <c r="N68" s="256" t="n"/>
      <c r="O68" s="256" t="n"/>
      <c r="P68" s="256" t="n"/>
      <c r="Q68" s="256" t="n"/>
      <c r="R68" s="256" t="n"/>
      <c r="S68" s="256" t="n"/>
      <c r="T68" s="256" t="n"/>
      <c r="U68" s="256" t="n"/>
      <c r="V68" s="256" t="n"/>
      <c r="W68" s="256" t="n"/>
      <c r="X68" s="256" t="n"/>
      <c r="Y68" s="256" t="n"/>
      <c r="Z68" s="256" t="n"/>
      <c r="AA68" s="256" t="n"/>
      <c r="AB68" s="256" t="n"/>
      <c r="AC68" s="256" t="n"/>
      <c r="AD68" s="256" t="n"/>
      <c r="AE68" s="256" t="n"/>
      <c r="AF68" s="256" t="n"/>
      <c r="AG68" s="256" t="n"/>
      <c r="AH68" s="256" t="n"/>
      <c r="AI68" s="256" t="n"/>
      <c r="AJ68" s="256" t="n"/>
    </row>
    <row r="69" ht="15" customHeight="1" s="254">
      <c r="G69" s="253" t="inlineStr">
        <is>
          <t>moeda</t>
        </is>
      </c>
      <c r="H69" s="253" t="inlineStr">
        <is>
          <t>[vazio] código 37: Capital + APIC: não aberto (tudo no código 41)</t>
        </is>
      </c>
      <c r="J69" s="253" t="inlineStr">
        <is>
          <t>derivada</t>
        </is>
      </c>
      <c r="K69" s="256" t="n"/>
      <c r="L69" s="256" t="n"/>
      <c r="M69" s="256" t="n"/>
      <c r="N69" s="256" t="n"/>
      <c r="O69" s="256" t="n"/>
      <c r="P69" s="256" t="n"/>
      <c r="Q69" s="256" t="n"/>
      <c r="R69" s="256" t="n"/>
      <c r="S69" s="256" t="n"/>
      <c r="T69" s="256" t="n"/>
      <c r="U69" s="256" t="n"/>
      <c r="V69" s="256" t="n"/>
      <c r="W69" s="256" t="n"/>
      <c r="X69" s="256" t="n"/>
      <c r="Y69" s="256" t="n"/>
      <c r="Z69" s="256" t="n"/>
      <c r="AA69" s="256" t="n"/>
      <c r="AB69" s="256" t="n"/>
      <c r="AC69" s="256" t="n"/>
      <c r="AD69" s="256" t="n"/>
      <c r="AE69" s="256" t="n"/>
      <c r="AF69" s="256" t="n"/>
      <c r="AG69" s="256" t="n"/>
      <c r="AH69" s="256" t="n"/>
      <c r="AI69" s="256" t="n"/>
      <c r="AJ69" s="256" t="n"/>
    </row>
    <row r="70" ht="15" customHeight="1" s="254">
      <c r="G70" s="253" t="inlineStr">
        <is>
          <t>moeda</t>
        </is>
      </c>
      <c r="H70" s="253" t="inlineStr">
        <is>
          <t>[vazio] código 38: Tesouraria: não aberta (tudo no código 41)</t>
        </is>
      </c>
      <c r="J70" s="253" t="inlineStr">
        <is>
          <t>derivada</t>
        </is>
      </c>
      <c r="K70" s="256" t="n"/>
      <c r="L70" s="256" t="n"/>
      <c r="M70" s="256" t="n"/>
      <c r="N70" s="256" t="n"/>
      <c r="O70" s="256" t="n"/>
      <c r="P70" s="256" t="n"/>
      <c r="Q70" s="256" t="n"/>
      <c r="R70" s="256" t="n"/>
      <c r="S70" s="256" t="n"/>
      <c r="T70" s="256" t="n"/>
      <c r="U70" s="256" t="n"/>
      <c r="V70" s="256" t="n"/>
      <c r="W70" s="256" t="n"/>
      <c r="X70" s="256" t="n"/>
      <c r="Y70" s="256" t="n"/>
      <c r="Z70" s="256" t="n"/>
      <c r="AA70" s="256" t="n"/>
      <c r="AB70" s="256" t="n"/>
      <c r="AC70" s="256" t="n"/>
      <c r="AD70" s="256" t="n"/>
      <c r="AE70" s="256" t="n"/>
      <c r="AF70" s="256" t="n"/>
      <c r="AG70" s="256" t="n"/>
      <c r="AH70" s="256" t="n"/>
      <c r="AI70" s="256" t="n"/>
      <c r="AJ70" s="256" t="n"/>
    </row>
    <row r="71" ht="15" customHeight="1" s="254">
      <c r="G71" s="253" t="inlineStr">
        <is>
          <t>moeda</t>
        </is>
      </c>
      <c r="H71" s="253" t="inlineStr">
        <is>
          <t>[vazio] código 39: Outros resultados abrangentes: não abertos (tudo no código 41)</t>
        </is>
      </c>
      <c r="J71" s="253" t="inlineStr">
        <is>
          <t>derivada</t>
        </is>
      </c>
      <c r="K71" s="256" t="n"/>
      <c r="L71" s="256" t="n"/>
      <c r="M71" s="256" t="n"/>
      <c r="N71" s="256" t="n"/>
      <c r="O71" s="256" t="n"/>
      <c r="P71" s="256" t="n"/>
      <c r="Q71" s="256" t="n"/>
      <c r="R71" s="256" t="n"/>
      <c r="S71" s="256" t="n"/>
      <c r="T71" s="256" t="n"/>
      <c r="U71" s="256" t="n"/>
      <c r="V71" s="256" t="n"/>
      <c r="W71" s="256" t="n"/>
      <c r="X71" s="256" t="n"/>
      <c r="Y71" s="256" t="n"/>
      <c r="Z71" s="256" t="n"/>
      <c r="AA71" s="256" t="n"/>
      <c r="AB71" s="256" t="n"/>
      <c r="AC71" s="256" t="n"/>
      <c r="AD71" s="256" t="n"/>
      <c r="AE71" s="256" t="n"/>
      <c r="AF71" s="256" t="n"/>
      <c r="AG71" s="256" t="n"/>
      <c r="AH71" s="256" t="n"/>
      <c r="AI71" s="256" t="n"/>
      <c r="AJ71" s="256" t="n"/>
    </row>
    <row r="72" ht="15" customHeight="1" s="254">
      <c r="G72" s="253" t="inlineStr">
        <is>
          <t>moeda</t>
        </is>
      </c>
      <c r="H72" s="253" t="inlineStr">
        <is>
          <t>[vazio] código 40: Outras contas do PL</t>
        </is>
      </c>
      <c r="J72" s="253" t="inlineStr">
        <is>
          <t>derivada</t>
        </is>
      </c>
      <c r="K72" s="256" t="n"/>
      <c r="L72" s="256" t="n"/>
      <c r="M72" s="256" t="n"/>
      <c r="N72" s="256" t="n"/>
      <c r="O72" s="256" t="n"/>
      <c r="P72" s="256" t="n"/>
      <c r="Q72" s="256" t="n"/>
      <c r="R72" s="256" t="n"/>
      <c r="S72" s="256" t="n"/>
      <c r="T72" s="256" t="n"/>
      <c r="U72" s="256" t="n"/>
      <c r="V72" s="256" t="n"/>
      <c r="W72" s="256" t="n"/>
      <c r="X72" s="256" t="n"/>
      <c r="Y72" s="256" t="n"/>
      <c r="Z72" s="256" t="n"/>
      <c r="AA72" s="256" t="n"/>
      <c r="AB72" s="256" t="n"/>
      <c r="AC72" s="256" t="n"/>
      <c r="AD72" s="256" t="n"/>
      <c r="AE72" s="256" t="n"/>
      <c r="AF72" s="256" t="n"/>
      <c r="AG72" s="256" t="n"/>
      <c r="AH72" s="256" t="n"/>
      <c r="AI72" s="256" t="n"/>
      <c r="AJ72" s="256" t="n"/>
    </row>
    <row r="73" ht="15" customHeight="1" s="254">
      <c r="H73" s="255" t="inlineStr">
        <is>
          <t>BALANÇO - totais divulgados (memória)</t>
        </is>
      </c>
    </row>
    <row r="74" ht="15" customHeight="1" s="254">
      <c r="G74" s="253" t="inlineStr">
        <is>
          <t>moeda</t>
        </is>
      </c>
      <c r="H74" s="253" t="inlineStr">
        <is>
          <t>Total do ativo [Total assets]</t>
        </is>
      </c>
      <c r="J74" s="253" t="inlineStr">
        <is>
          <t>memoria</t>
        </is>
      </c>
      <c r="K74" s="256" t="n"/>
      <c r="L74" s="256" t="n"/>
      <c r="M74" s="256" t="n"/>
      <c r="N74" s="256" t="n"/>
      <c r="O74" s="256" t="n">
        <v>385400</v>
      </c>
      <c r="P74" s="256" t="n">
        <v>397857</v>
      </c>
      <c r="Q74" s="256" t="n">
        <v>408769</v>
      </c>
      <c r="R74" s="256" t="n">
        <v>404379</v>
      </c>
      <c r="S74" s="256" t="n">
        <v>424987</v>
      </c>
      <c r="T74" s="256" t="n">
        <v>447898</v>
      </c>
      <c r="U74" s="256" t="n">
        <v>437358</v>
      </c>
      <c r="V74" s="256" t="n">
        <v>443024</v>
      </c>
      <c r="W74" s="256" t="n">
        <v>429154</v>
      </c>
      <c r="X74" s="256" t="n">
        <v>415033</v>
      </c>
      <c r="Y74" s="256" t="n">
        <v>413498</v>
      </c>
      <c r="Z74" s="256" t="n">
        <v>406270</v>
      </c>
      <c r="AA74" s="256" t="n">
        <v>402039</v>
      </c>
      <c r="AB74" s="256" t="n">
        <v>394783</v>
      </c>
      <c r="AC74" s="256" t="n">
        <v>394949</v>
      </c>
      <c r="AD74" s="256" t="n">
        <v>387607</v>
      </c>
      <c r="AE74" s="256" t="n">
        <v>389248</v>
      </c>
      <c r="AF74" s="256" t="n">
        <v>387920</v>
      </c>
      <c r="AG74" s="256" t="n">
        <v>377738</v>
      </c>
      <c r="AH74" s="256" t="n">
        <v>370351</v>
      </c>
      <c r="AI74" s="256" t="n">
        <v>380598</v>
      </c>
      <c r="AJ74" s="256" t="n">
        <v>380513</v>
      </c>
    </row>
    <row r="75" ht="15" customHeight="1" s="254">
      <c r="G75" s="253" t="inlineStr">
        <is>
          <t>moeda</t>
        </is>
      </c>
      <c r="H75" s="253" t="inlineStr">
        <is>
          <t>Total do passivo + PL [Total liabilities and equity]</t>
        </is>
      </c>
      <c r="J75" s="253" t="inlineStr">
        <is>
          <t>memoria</t>
        </is>
      </c>
      <c r="K75" s="256" t="n"/>
      <c r="L75" s="256" t="n"/>
      <c r="M75" s="256" t="n"/>
      <c r="N75" s="256" t="n"/>
      <c r="O75" s="256" t="n">
        <v>385400</v>
      </c>
      <c r="P75" s="256" t="n">
        <v>397857</v>
      </c>
      <c r="Q75" s="256" t="n">
        <v>408769</v>
      </c>
      <c r="R75" s="256" t="n">
        <v>404379</v>
      </c>
      <c r="S75" s="256" t="n">
        <v>424987</v>
      </c>
      <c r="T75" s="256" t="n">
        <v>447898</v>
      </c>
      <c r="U75" s="256" t="n">
        <v>437358</v>
      </c>
      <c r="V75" s="256" t="n">
        <v>443024</v>
      </c>
      <c r="W75" s="256" t="n">
        <v>429154</v>
      </c>
      <c r="X75" s="256" t="n">
        <v>415033</v>
      </c>
      <c r="Y75" s="256" t="n">
        <v>413498</v>
      </c>
      <c r="Z75" s="256" t="n">
        <v>406270</v>
      </c>
      <c r="AA75" s="256" t="n">
        <v>402039</v>
      </c>
      <c r="AB75" s="256" t="n">
        <v>394783</v>
      </c>
      <c r="AC75" s="256" t="n">
        <v>394949</v>
      </c>
      <c r="AD75" s="256" t="n">
        <v>387607</v>
      </c>
      <c r="AE75" s="256" t="n">
        <v>389248</v>
      </c>
      <c r="AF75" s="256" t="n">
        <v>387920</v>
      </c>
      <c r="AG75" s="256" t="n">
        <v>377738</v>
      </c>
      <c r="AH75" s="256" t="n">
        <v>370351</v>
      </c>
      <c r="AI75" s="256" t="n">
        <v>380598</v>
      </c>
      <c r="AJ75" s="256" t="n">
        <v>380513</v>
      </c>
    </row>
    <row r="76" ht="15" customHeight="1" s="254">
      <c r="H76" s="255" t="inlineStr">
        <is>
          <t>CHECKS (devem ser 0)</t>
        </is>
      </c>
    </row>
    <row r="77" ht="15" customHeight="1" s="254">
      <c r="G77" s="253" t="inlineStr">
        <is>
          <t>moeda</t>
        </is>
      </c>
      <c r="H77" s="253" t="inlineStr">
        <is>
          <t>CHECK: contas de ativo - ativo total (USD milhões)</t>
        </is>
      </c>
      <c r="J77" s="253" t="inlineStr">
        <is>
          <t>derivada</t>
        </is>
      </c>
      <c r="O77" s="256">
        <f>ROUND(N(O32)+N(O33)+N(O34)+N(O35)+N(O36)+N(O37)+N(O38)+N(O39)+N(O40)+N(O41)+N(O42)+N(O43)+N(O44)+N(O45)+N(O60)-N(O74),1)</f>
        <v>0</v>
      </c>
      <c r="P77" s="256">
        <f>ROUND(N(P32)+N(P33)+N(P34)+N(P35)+N(P36)+N(P37)+N(P38)+N(P39)+N(P40)+N(P41)+N(P42)+N(P43)+N(P44)+N(P45)+N(P60)-N(P74),1)</f>
        <v>0</v>
      </c>
      <c r="Q77" s="256">
        <f>ROUND(N(Q32)+N(Q33)+N(Q34)+N(Q35)+N(Q36)+N(Q37)+N(Q38)+N(Q39)+N(Q40)+N(Q41)+N(Q42)+N(Q43)+N(Q44)+N(Q45)+N(Q60)-N(Q74),1)</f>
        <v>0</v>
      </c>
      <c r="R77" s="256">
        <f>ROUND(N(R32)+N(R33)+N(R34)+N(R35)+N(R36)+N(R37)+N(R38)+N(R39)+N(R40)+N(R41)+N(R42)+N(R43)+N(R44)+N(R45)+N(R60)-N(R74),1)</f>
        <v>0</v>
      </c>
      <c r="S77" s="256">
        <f>ROUND(N(S32)+N(S33)+N(S34)+N(S35)+N(S36)+N(S37)+N(S38)+N(S39)+N(S40)+N(S41)+N(S42)+N(S43)+N(S44)+N(S45)+N(S60)-N(S74),1)</f>
        <v>0</v>
      </c>
      <c r="T77" s="256">
        <f>ROUND(N(T32)+N(T33)+N(T34)+N(T35)+N(T36)+N(T37)+N(T38)+N(T39)+N(T40)+N(T41)+N(T42)+N(T43)+N(T44)+N(T45)+N(T60)-N(T74),1)</f>
        <v>0</v>
      </c>
      <c r="U77" s="256">
        <f>ROUND(N(U32)+N(U33)+N(U34)+N(U35)+N(U36)+N(U37)+N(U38)+N(U39)+N(U40)+N(U41)+N(U42)+N(U43)+N(U44)+N(U45)+N(U60)-N(U74),1)</f>
        <v>0</v>
      </c>
      <c r="V77" s="256">
        <f>ROUND(N(V32)+N(V33)+N(V34)+N(V35)+N(V36)+N(V37)+N(V38)+N(V39)+N(V40)+N(V41)+N(V42)+N(V43)+N(V44)+N(V45)+N(V60)-N(V74),1)</f>
        <v>0</v>
      </c>
      <c r="W77" s="256">
        <f>ROUND(N(W32)+N(W33)+N(W34)+N(W35)+N(W36)+N(W37)+N(W38)+N(W39)+N(W40)+N(W41)+N(W42)+N(W43)+N(W44)+N(W45)+N(W60)-N(W74),1)</f>
        <v>0</v>
      </c>
      <c r="X77" s="256">
        <f>ROUND(N(X32)+N(X33)+N(X34)+N(X35)+N(X36)+N(X37)+N(X38)+N(X39)+N(X40)+N(X41)+N(X42)+N(X43)+N(X44)+N(X45)+N(X60)-N(X74),1)</f>
        <v>0</v>
      </c>
      <c r="Y77" s="256">
        <f>ROUND(N(Y32)+N(Y33)+N(Y34)+N(Y35)+N(Y36)+N(Y37)+N(Y38)+N(Y39)+N(Y40)+N(Y41)+N(Y42)+N(Y43)+N(Y44)+N(Y45)+N(Y60)-N(Y74),1)</f>
        <v>0</v>
      </c>
      <c r="Z77" s="256">
        <f>ROUND(N(Z32)+N(Z33)+N(Z34)+N(Z35)+N(Z36)+N(Z37)+N(Z38)+N(Z39)+N(Z40)+N(Z41)+N(Z42)+N(Z43)+N(Z44)+N(Z45)+N(Z60)-N(Z74),1)</f>
        <v>0</v>
      </c>
      <c r="AA77" s="256">
        <f>ROUND(N(AA32)+N(AA33)+N(AA34)+N(AA35)+N(AA36)+N(AA37)+N(AA38)+N(AA39)+N(AA40)+N(AA41)+N(AA42)+N(AA43)+N(AA44)+N(AA45)+N(AA60)-N(AA74),1)</f>
        <v>0</v>
      </c>
      <c r="AB77" s="256">
        <f>ROUND(N(AB32)+N(AB33)+N(AB34)+N(AB35)+N(AB36)+N(AB37)+N(AB38)+N(AB39)+N(AB40)+N(AB41)+N(AB42)+N(AB43)+N(AB44)+N(AB45)+N(AB60)-N(AB74),1)</f>
        <v>0</v>
      </c>
      <c r="AC77" s="256">
        <f>ROUND(N(AC32)+N(AC33)+N(AC34)+N(AC35)+N(AC36)+N(AC37)+N(AC38)+N(AC39)+N(AC40)+N(AC41)+N(AC42)+N(AC43)+N(AC44)+N(AC45)+N(AC60)-N(AC74),1)</f>
        <v>0</v>
      </c>
      <c r="AD77" s="256">
        <f>ROUND(N(AD32)+N(AD33)+N(AD34)+N(AD35)+N(AD36)+N(AD37)+N(AD38)+N(AD39)+N(AD40)+N(AD41)+N(AD42)+N(AD43)+N(AD44)+N(AD45)+N(AD60)-N(AD74),1)</f>
        <v>0</v>
      </c>
      <c r="AE77" s="256">
        <f>ROUND(N(AE32)+N(AE33)+N(AE34)+N(AE35)+N(AE36)+N(AE37)+N(AE38)+N(AE39)+N(AE40)+N(AE41)+N(AE42)+N(AE43)+N(AE44)+N(AE45)+N(AE60)-N(AE74),1)</f>
        <v>0</v>
      </c>
      <c r="AF77" s="256">
        <f>ROUND(N(AF32)+N(AF33)+N(AF34)+N(AF35)+N(AF36)+N(AF37)+N(AF38)+N(AF39)+N(AF40)+N(AF41)+N(AF42)+N(AF43)+N(AF44)+N(AF45)+N(AF60)-N(AF74),1)</f>
        <v>0</v>
      </c>
      <c r="AG77" s="256">
        <f>ROUND(N(AG32)+N(AG33)+N(AG34)+N(AG35)+N(AG36)+N(AG37)+N(AG38)+N(AG39)+N(AG40)+N(AG41)+N(AG42)+N(AG43)+N(AG44)+N(AG45)+N(AG60)-N(AG74),1)</f>
        <v>0</v>
      </c>
      <c r="AH77" s="256">
        <f>ROUND(N(AH32)+N(AH33)+N(AH34)+N(AH35)+N(AH36)+N(AH37)+N(AH38)+N(AH39)+N(AH40)+N(AH41)+N(AH42)+N(AH43)+N(AH44)+N(AH45)+N(AH60)-N(AH74),1)</f>
        <v>0</v>
      </c>
      <c r="AI77" s="256">
        <f>ROUND(N(AI32)+N(AI33)+N(AI34)+N(AI35)+N(AI36)+N(AI37)+N(AI38)+N(AI39)+N(AI40)+N(AI41)+N(AI42)+N(AI43)+N(AI44)+N(AI45)+N(AI60)-N(AI74),1)</f>
        <v>0</v>
      </c>
      <c r="AJ77" s="256">
        <f>ROUND(N(AJ32)+N(AJ33)+N(AJ34)+N(AJ35)+N(AJ36)+N(AJ37)+N(AJ38)+N(AJ39)+N(AJ40)+N(AJ41)+N(AJ42)+N(AJ43)+N(AJ44)+N(AJ45)+N(AJ60)-N(AJ74),1)</f>
        <v>0</v>
      </c>
    </row>
    <row r="78" ht="15" customHeight="1" s="254">
      <c r="G78" s="253" t="inlineStr">
        <is>
          <t>moeda</t>
        </is>
      </c>
      <c r="H78" s="253" t="inlineStr">
        <is>
          <t>CHECK: passivo + PL (contas) - passivo + PL total</t>
        </is>
      </c>
      <c r="J78" s="253" t="inlineStr">
        <is>
          <t>derivada</t>
        </is>
      </c>
      <c r="O78" s="256">
        <f>ROUND(N(O46)+N(O47)+N(O48)+N(O49)+N(O50)+N(O51)+N(O52)+N(O53)+N(O54)+N(O55)+N(O56)+N(O57)+N(O58)+N(O59)+N(O61)-N(O75),1)</f>
        <v>0</v>
      </c>
      <c r="P78" s="256">
        <f>ROUND(N(P46)+N(P47)+N(P48)+N(P49)+N(P50)+N(P51)+N(P52)+N(P53)+N(P54)+N(P55)+N(P56)+N(P57)+N(P58)+N(P59)+N(P61)-N(P75),1)</f>
        <v>0</v>
      </c>
      <c r="Q78" s="256">
        <f>ROUND(N(Q46)+N(Q47)+N(Q48)+N(Q49)+N(Q50)+N(Q51)+N(Q52)+N(Q53)+N(Q54)+N(Q55)+N(Q56)+N(Q57)+N(Q58)+N(Q59)+N(Q61)-N(Q75),1)</f>
        <v>0</v>
      </c>
      <c r="R78" s="256">
        <f>ROUND(N(R46)+N(R47)+N(R48)+N(R49)+N(R50)+N(R51)+N(R52)+N(R53)+N(R54)+N(R55)+N(R56)+N(R57)+N(R58)+N(R59)+N(R61)-N(R75),1)</f>
        <v>0</v>
      </c>
      <c r="S78" s="256">
        <f>ROUND(N(S46)+N(S47)+N(S48)+N(S49)+N(S50)+N(S51)+N(S52)+N(S53)+N(S54)+N(S55)+N(S56)+N(S57)+N(S58)+N(S59)+N(S61)-N(S75),1)</f>
        <v>0</v>
      </c>
      <c r="T78" s="256">
        <f>ROUND(N(T46)+N(T47)+N(T48)+N(T49)+N(T50)+N(T51)+N(T52)+N(T53)+N(T54)+N(T55)+N(T56)+N(T57)+N(T58)+N(T59)+N(T61)-N(T75),1)</f>
        <v>0</v>
      </c>
      <c r="U78" s="256">
        <f>ROUND(N(U46)+N(U47)+N(U48)+N(U49)+N(U50)+N(U51)+N(U52)+N(U53)+N(U54)+N(U55)+N(U56)+N(U57)+N(U58)+N(U59)+N(U61)-N(U75),1)</f>
        <v>0</v>
      </c>
      <c r="V78" s="256">
        <f>ROUND(N(V46)+N(V47)+N(V48)+N(V49)+N(V50)+N(V51)+N(V52)+N(V53)+N(V54)+N(V55)+N(V56)+N(V57)+N(V58)+N(V59)+N(V61)-N(V75),1)</f>
        <v>0</v>
      </c>
      <c r="W78" s="256">
        <f>ROUND(N(W46)+N(W47)+N(W48)+N(W49)+N(W50)+N(W51)+N(W52)+N(W53)+N(W54)+N(W55)+N(W56)+N(W57)+N(W58)+N(W59)+N(W61)-N(W75),1)</f>
        <v>0</v>
      </c>
      <c r="X78" s="256">
        <f>ROUND(N(X46)+N(X47)+N(X48)+N(X49)+N(X50)+N(X51)+N(X52)+N(X53)+N(X54)+N(X55)+N(X56)+N(X57)+N(X58)+N(X59)+N(X61)-N(X75),1)</f>
        <v>0</v>
      </c>
      <c r="Y78" s="256">
        <f>ROUND(N(Y46)+N(Y47)+N(Y48)+N(Y49)+N(Y50)+N(Y51)+N(Y52)+N(Y53)+N(Y54)+N(Y55)+N(Y56)+N(Y57)+N(Y58)+N(Y59)+N(Y61)-N(Y75),1)</f>
        <v>0</v>
      </c>
      <c r="Z78" s="256">
        <f>ROUND(N(Z46)+N(Z47)+N(Z48)+N(Z49)+N(Z50)+N(Z51)+N(Z52)+N(Z53)+N(Z54)+N(Z55)+N(Z56)+N(Z57)+N(Z58)+N(Z59)+N(Z61)-N(Z75),1)</f>
        <v>0</v>
      </c>
      <c r="AA78" s="256">
        <f>ROUND(N(AA46)+N(AA47)+N(AA48)+N(AA49)+N(AA50)+N(AA51)+N(AA52)+N(AA53)+N(AA54)+N(AA55)+N(AA56)+N(AA57)+N(AA58)+N(AA59)+N(AA61)-N(AA75),1)</f>
        <v>0</v>
      </c>
      <c r="AB78" s="256">
        <f>ROUND(N(AB46)+N(AB47)+N(AB48)+N(AB49)+N(AB50)+N(AB51)+N(AB52)+N(AB53)+N(AB54)+N(AB55)+N(AB56)+N(AB57)+N(AB58)+N(AB59)+N(AB61)-N(AB75),1)</f>
        <v>0</v>
      </c>
      <c r="AC78" s="256">
        <f>ROUND(N(AC46)+N(AC47)+N(AC48)+N(AC49)+N(AC50)+N(AC51)+N(AC52)+N(AC53)+N(AC54)+N(AC55)+N(AC56)+N(AC57)+N(AC58)+N(AC59)+N(AC61)-N(AC75),1)</f>
        <v>0</v>
      </c>
      <c r="AD78" s="256">
        <f>ROUND(N(AD46)+N(AD47)+N(AD48)+N(AD49)+N(AD50)+N(AD51)+N(AD52)+N(AD53)+N(AD54)+N(AD55)+N(AD56)+N(AD57)+N(AD58)+N(AD59)+N(AD61)-N(AD75),1)</f>
        <v>0</v>
      </c>
      <c r="AE78" s="256">
        <f>ROUND(N(AE46)+N(AE47)+N(AE48)+N(AE49)+N(AE50)+N(AE51)+N(AE52)+N(AE53)+N(AE54)+N(AE55)+N(AE56)+N(AE57)+N(AE58)+N(AE59)+N(AE61)-N(AE75),1)</f>
        <v>0</v>
      </c>
      <c r="AF78" s="256">
        <f>ROUND(N(AF46)+N(AF47)+N(AF48)+N(AF49)+N(AF50)+N(AF51)+N(AF52)+N(AF53)+N(AF54)+N(AF55)+N(AF56)+N(AF57)+N(AF58)+N(AF59)+N(AF61)-N(AF75),1)</f>
        <v>0</v>
      </c>
      <c r="AG78" s="256">
        <f>ROUND(N(AG46)+N(AG47)+N(AG48)+N(AG49)+N(AG50)+N(AG51)+N(AG52)+N(AG53)+N(AG54)+N(AG55)+N(AG56)+N(AG57)+N(AG58)+N(AG59)+N(AG61)-N(AG75),1)</f>
        <v>0</v>
      </c>
      <c r="AH78" s="256">
        <f>ROUND(N(AH46)+N(AH47)+N(AH48)+N(AH49)+N(AH50)+N(AH51)+N(AH52)+N(AH53)+N(AH54)+N(AH55)+N(AH56)+N(AH57)+N(AH58)+N(AH59)+N(AH61)-N(AH75),1)</f>
        <v>0</v>
      </c>
      <c r="AI78" s="256">
        <f>ROUND(N(AI46)+N(AI47)+N(AI48)+N(AI49)+N(AI50)+N(AI51)+N(AI52)+N(AI53)+N(AI54)+N(AI55)+N(AI56)+N(AI57)+N(AI58)+N(AI59)+N(AI61)-N(AI75),1)</f>
        <v>0</v>
      </c>
      <c r="AJ78" s="256">
        <f>ROUND(N(AJ46)+N(AJ47)+N(AJ48)+N(AJ49)+N(AJ50)+N(AJ51)+N(AJ52)+N(AJ53)+N(AJ54)+N(AJ55)+N(AJ56)+N(AJ57)+N(AJ58)+N(AJ59)+N(AJ61)-N(AJ75),1)</f>
        <v>0</v>
      </c>
    </row>
    <row r="79" ht="15" customHeight="1" s="254">
      <c r="H79" s="253" t="inlineStr">
        <is>
          <t>CHECK: receita - custo - despesas + não operacional - IR - minoritários + outros após IR - lucro (deve ser 0)</t>
        </is>
      </c>
      <c r="J79" s="253" t="inlineStr">
        <is>
          <t>derivada</t>
        </is>
      </c>
      <c r="O79" s="253">
        <f>ROUND(N(O6)-N(O7)-N(O13)+N(O15)-N(O19)-N(O20)+N(O22)-N(O23),1)</f>
        <v>0</v>
      </c>
      <c r="P79" s="253">
        <f>ROUND(N(P6)-N(P7)-N(P13)+N(P15)-N(P19)-N(P20)+N(P22)-N(P23),1)</f>
        <v>0</v>
      </c>
      <c r="Q79" s="253">
        <f>ROUND(N(Q6)-N(Q7)-N(Q13)+N(Q15)-N(Q19)-N(Q20)+N(Q22)-N(Q23),1)</f>
        <v>0</v>
      </c>
      <c r="R79" s="253">
        <f>ROUND(N(R6)-N(R7)-N(R13)+N(R15)-N(R19)-N(R20)+N(R22)-N(R23),1)</f>
        <v>0</v>
      </c>
      <c r="S79" s="253">
        <f>ROUND(N(S6)-N(S7)-N(S13)+N(S15)-N(S19)-N(S20)+N(S22)-N(S23),1)</f>
        <v>0</v>
      </c>
      <c r="T79" s="253">
        <f>ROUND(N(T6)-N(T7)-N(T13)+N(T15)-N(T19)-N(T20)+N(T22)-N(T23),1)</f>
        <v>0</v>
      </c>
      <c r="U79" s="253">
        <f>ROUND(N(U6)-N(U7)-N(U13)+N(U15)-N(U19)-N(U20)+N(U22)-N(U23),1)</f>
        <v>0</v>
      </c>
      <c r="V79" s="253">
        <f>ROUND(N(V6)-N(V7)-N(V13)+N(V15)-N(V19)-N(V20)+N(V22)-N(V23),1)</f>
        <v>0</v>
      </c>
      <c r="W79" s="253">
        <f>ROUND(N(W6)-N(W7)-N(W13)+N(W15)-N(W19)-N(W20)+N(W22)-N(W23),1)</f>
        <v>0</v>
      </c>
      <c r="X79" s="253">
        <f>ROUND(N(X6)-N(X7)-N(X13)+N(X15)-N(X19)-N(X20)+N(X22)-N(X23),1)</f>
        <v>0</v>
      </c>
      <c r="Y79" s="253">
        <f>ROUND(N(Y6)-N(Y7)-N(Y13)+N(Y15)-N(Y19)-N(Y20)+N(Y22)-N(Y23),1)</f>
        <v>0</v>
      </c>
      <c r="Z79" s="253">
        <f>ROUND(N(Z6)-N(Z7)-N(Z13)+N(Z15)-N(Z19)-N(Z20)+N(Z22)-N(Z23),1)</f>
        <v>0</v>
      </c>
      <c r="AA79" s="253">
        <f>ROUND(N(AA6)-N(AA7)-N(AA13)+N(AA15)-N(AA19)-N(AA20)+N(AA22)-N(AA23),1)</f>
        <v>0</v>
      </c>
      <c r="AB79" s="253">
        <f>ROUND(N(AB6)-N(AB7)-N(AB13)+N(AB15)-N(AB19)-N(AB20)+N(AB22)-N(AB23),1)</f>
        <v>0</v>
      </c>
      <c r="AC79" s="253">
        <f>ROUND(N(AC6)-N(AC7)-N(AC13)+N(AC15)-N(AC19)-N(AC20)+N(AC22)-N(AC23),1)</f>
        <v>0</v>
      </c>
      <c r="AD79" s="253">
        <f>ROUND(N(AD6)-N(AD7)-N(AD13)+N(AD15)-N(AD19)-N(AD20)+N(AD22)-N(AD23),1)</f>
        <v>0</v>
      </c>
      <c r="AE79" s="253">
        <f>ROUND(N(AE6)-N(AE7)-N(AE13)+N(AE15)-N(AE19)-N(AE20)+N(AE22)-N(AE23),1)</f>
        <v>0</v>
      </c>
      <c r="AF79" s="253">
        <f>ROUND(N(AF6)-N(AF7)-N(AF13)+N(AF15)-N(AF19)-N(AF20)+N(AF22)-N(AF23),1)</f>
        <v>0</v>
      </c>
      <c r="AG79" s="253">
        <f>ROUND(N(AG6)-N(AG7)-N(AG13)+N(AG15)-N(AG19)-N(AG20)+N(AG22)-N(AG23),1)</f>
        <v>0</v>
      </c>
      <c r="AH79" s="253">
        <f>ROUND(N(AH6)-N(AH7)-N(AH13)+N(AH15)-N(AH19)-N(AH20)+N(AH22)-N(AH23),1)</f>
        <v>0</v>
      </c>
      <c r="AI79" s="253">
        <f>ROUND(N(AI6)-N(AI7)-N(AI13)+N(AI15)-N(AI19)-N(AI20)+N(AI22)-N(AI23),1)</f>
        <v>0</v>
      </c>
      <c r="AJ79" s="253">
        <f>ROUND(N(AJ6)-N(AJ7)-N(AJ13)+N(AJ15)-N(AJ19)-N(AJ20)+N(AJ22)-N(AJ23),1)</f>
        <v>0</v>
      </c>
    </row>
    <row r="80" ht="15" customHeight="1" s="254">
      <c r="H80" s="253" t="inlineStr">
        <is>
          <t>[vazio] 1T20-4T20: o Quarterly Databook Q2 2026 começa em Q1 2021. Não interpolar.</t>
        </is>
      </c>
    </row>
    <row r="81" ht="15" customHeight="1" s="254">
      <c r="H81" s="253" t="inlineStr">
        <is>
          <t>[vazio] Direito de uso e arrendamentos: a face condensada IFRS junta no imobilizado e na dívida.</t>
        </is>
      </c>
    </row>
    <row r="83">
      <c r="H83" s="509" t="inlineStr">
        <is>
          <t>DRIVERS DE RECEITA (codigos 45+): receita de terceiros por segmento (Integrated Gas, Upstream, Marketing, Chemicals &amp; Products, Renewables and Energy Solutions) e Adjusted Earnings por segmento — Quarterly Databook Q2 2026 do RI (USD milhões, fator 1).</t>
        </is>
      </c>
    </row>
    <row r="84">
      <c r="A84" t="n">
        <v>45</v>
      </c>
      <c r="B84" t="n">
        <v>1</v>
      </c>
      <c r="G84" t="inlineStr">
        <is>
          <t>moeda</t>
        </is>
      </c>
      <c r="H84" t="inlineStr">
        <is>
          <t>Integrated Gas - receita de terceiros (USD mi)</t>
        </is>
      </c>
      <c r="J84" t="inlineStr">
        <is>
          <t>fonte</t>
        </is>
      </c>
      <c r="K84" s="510" t="n"/>
      <c r="L84" s="510" t="n"/>
      <c r="M84" s="510" t="n"/>
      <c r="N84" s="510" t="n"/>
      <c r="O84" s="510" t="n">
        <v>6022</v>
      </c>
      <c r="P84" s="510" t="n">
        <v>5537</v>
      </c>
      <c r="Q84" s="510" t="n">
        <v>5661</v>
      </c>
      <c r="R84" s="510" t="n">
        <v>12702</v>
      </c>
      <c r="S84" s="510" t="n">
        <v>14074</v>
      </c>
      <c r="T84" s="510" t="n">
        <v>12403</v>
      </c>
      <c r="U84" s="510" t="n">
        <v>14471</v>
      </c>
      <c r="V84" s="510" t="n">
        <v>13802</v>
      </c>
      <c r="W84" s="510" t="n">
        <v>10932</v>
      </c>
      <c r="X84" s="510" t="n">
        <v>7938</v>
      </c>
      <c r="Y84" s="510" t="n">
        <v>8338</v>
      </c>
      <c r="Z84" s="510" t="n">
        <v>10437</v>
      </c>
      <c r="AA84" s="510" t="n">
        <v>9195</v>
      </c>
      <c r="AB84" s="510" t="n">
        <v>9052</v>
      </c>
      <c r="AC84" s="510" t="n">
        <v>9748</v>
      </c>
      <c r="AD84" s="510" t="n">
        <v>9294</v>
      </c>
      <c r="AE84" s="510" t="n">
        <v>9602</v>
      </c>
      <c r="AF84" s="510" t="n">
        <v>9576</v>
      </c>
      <c r="AG84" s="510" t="n">
        <v>9736</v>
      </c>
      <c r="AH84" s="510" t="n">
        <v>9542</v>
      </c>
      <c r="AI84" s="510" t="n">
        <v>7748</v>
      </c>
      <c r="AJ84" s="510" t="n">
        <v>11278</v>
      </c>
    </row>
    <row r="85">
      <c r="A85" t="n">
        <v>46</v>
      </c>
      <c r="B85" t="n">
        <v>1</v>
      </c>
      <c r="G85" t="inlineStr">
        <is>
          <t>moeda</t>
        </is>
      </c>
      <c r="H85" t="inlineStr">
        <is>
          <t>Upstream - receita de terceiros (USD mi)</t>
        </is>
      </c>
      <c r="J85" t="inlineStr">
        <is>
          <t>fonte</t>
        </is>
      </c>
      <c r="K85" s="510" t="n"/>
      <c r="L85" s="510" t="n"/>
      <c r="M85" s="510" t="n"/>
      <c r="N85" s="510" t="n"/>
      <c r="O85" s="510" t="n">
        <v>1936</v>
      </c>
      <c r="P85" s="510" t="n">
        <v>2281</v>
      </c>
      <c r="Q85" s="510" t="n">
        <v>2360</v>
      </c>
      <c r="R85" s="510" t="n">
        <v>2605</v>
      </c>
      <c r="S85" s="510" t="n">
        <v>1531</v>
      </c>
      <c r="T85" s="510" t="n">
        <v>2253</v>
      </c>
      <c r="U85" s="510" t="n">
        <v>1623</v>
      </c>
      <c r="V85" s="510" t="n">
        <v>2945</v>
      </c>
      <c r="W85" s="510" t="n">
        <v>2062</v>
      </c>
      <c r="X85" s="510" t="n">
        <v>1533</v>
      </c>
      <c r="Y85" s="510" t="n">
        <v>1617</v>
      </c>
      <c r="Z85" s="510" t="n">
        <v>1263</v>
      </c>
      <c r="AA85" s="510" t="n">
        <v>1759</v>
      </c>
      <c r="AB85" s="510" t="n">
        <v>1590</v>
      </c>
      <c r="AC85" s="510" t="n">
        <v>1605</v>
      </c>
      <c r="AD85" s="510" t="n">
        <v>1652</v>
      </c>
      <c r="AE85" s="510" t="n">
        <v>1510</v>
      </c>
      <c r="AF85" s="510" t="n">
        <v>1193</v>
      </c>
      <c r="AG85" s="510" t="n">
        <v>844</v>
      </c>
      <c r="AH85" s="510" t="n">
        <v>1559</v>
      </c>
      <c r="AI85" s="510" t="n">
        <v>1400</v>
      </c>
      <c r="AJ85" s="510" t="n">
        <v>1800</v>
      </c>
    </row>
    <row r="86">
      <c r="A86" t="n">
        <v>47</v>
      </c>
      <c r="B86" t="n">
        <v>1</v>
      </c>
      <c r="G86" t="inlineStr">
        <is>
          <t>moeda</t>
        </is>
      </c>
      <c r="H86" t="inlineStr">
        <is>
          <t>Marketing - receita de terceiros (USD mi)</t>
        </is>
      </c>
      <c r="J86" t="inlineStr">
        <is>
          <t>fonte</t>
        </is>
      </c>
      <c r="K86" s="510" t="n"/>
      <c r="L86" s="510" t="n"/>
      <c r="M86" s="510" t="n"/>
      <c r="N86" s="510" t="n"/>
      <c r="O86" s="510" t="n">
        <v>20111</v>
      </c>
      <c r="P86" s="510" t="n">
        <v>24745</v>
      </c>
      <c r="Q86" s="510" t="n">
        <v>27470</v>
      </c>
      <c r="R86" s="510" t="n">
        <v>29486</v>
      </c>
      <c r="S86" s="510" t="n">
        <v>32406</v>
      </c>
      <c r="T86" s="510" t="n">
        <v>42065</v>
      </c>
      <c r="U86" s="510" t="n">
        <v>39598</v>
      </c>
      <c r="V86" s="510" t="n">
        <v>35371</v>
      </c>
      <c r="W86" s="510" t="n">
        <v>32045</v>
      </c>
      <c r="X86" s="510" t="n">
        <v>31517</v>
      </c>
      <c r="Y86" s="510" t="n">
        <v>35236</v>
      </c>
      <c r="Z86" s="510" t="n">
        <v>31761</v>
      </c>
      <c r="AA86" s="510" t="n">
        <v>30041</v>
      </c>
      <c r="AB86" s="510" t="n">
        <v>32005</v>
      </c>
      <c r="AC86" s="510" t="n">
        <v>30519</v>
      </c>
      <c r="AD86" s="510" t="n">
        <v>27524</v>
      </c>
      <c r="AE86" s="510" t="n">
        <v>27083</v>
      </c>
      <c r="AF86" s="510" t="n">
        <v>28241</v>
      </c>
      <c r="AG86" s="510" t="n">
        <v>29648</v>
      </c>
      <c r="AH86" s="510" t="n">
        <v>26881</v>
      </c>
      <c r="AI86" s="510" t="n">
        <v>30695</v>
      </c>
      <c r="AJ86" s="510" t="n">
        <v>38015</v>
      </c>
    </row>
    <row r="87">
      <c r="A87" t="n">
        <v>48</v>
      </c>
      <c r="B87" t="n">
        <v>1</v>
      </c>
      <c r="G87" t="inlineStr">
        <is>
          <t>moeda</t>
        </is>
      </c>
      <c r="H87" t="inlineStr">
        <is>
          <t>Chemicals &amp; Products - receita de terceiros (USD mi)</t>
        </is>
      </c>
      <c r="J87" t="inlineStr">
        <is>
          <t>fonte</t>
        </is>
      </c>
      <c r="K87" s="510" t="n"/>
      <c r="L87" s="510" t="n"/>
      <c r="M87" s="510" t="n"/>
      <c r="N87" s="510" t="n"/>
      <c r="O87" s="510" t="n">
        <v>22356</v>
      </c>
      <c r="P87" s="510" t="n">
        <v>24282</v>
      </c>
      <c r="Q87" s="510" t="n">
        <v>23213</v>
      </c>
      <c r="R87" s="510" t="n">
        <v>28279</v>
      </c>
      <c r="S87" s="510" t="n">
        <v>27150</v>
      </c>
      <c r="T87" s="510" t="n">
        <v>31850</v>
      </c>
      <c r="U87" s="510" t="n">
        <v>30016</v>
      </c>
      <c r="V87" s="510" t="n">
        <v>26525</v>
      </c>
      <c r="W87" s="510" t="n">
        <v>26290</v>
      </c>
      <c r="X87" s="510" t="n">
        <v>23712</v>
      </c>
      <c r="Y87" s="510" t="n">
        <v>22119</v>
      </c>
      <c r="Z87" s="510" t="n">
        <v>24957</v>
      </c>
      <c r="AA87" s="510" t="n">
        <v>23735</v>
      </c>
      <c r="AB87" s="510" t="n">
        <v>24583</v>
      </c>
      <c r="AC87" s="510" t="n">
        <v>22608</v>
      </c>
      <c r="AD87" s="510" t="n">
        <v>19992</v>
      </c>
      <c r="AE87" s="510" t="n">
        <v>21610</v>
      </c>
      <c r="AF87" s="510" t="n">
        <v>18388</v>
      </c>
      <c r="AG87" s="510" t="n">
        <v>19418</v>
      </c>
      <c r="AH87" s="510" t="n">
        <v>17655</v>
      </c>
      <c r="AI87" s="510" t="n">
        <v>19221</v>
      </c>
      <c r="AJ87" s="510" t="n">
        <v>34235</v>
      </c>
    </row>
    <row r="88">
      <c r="A88" t="n">
        <v>49</v>
      </c>
      <c r="B88" t="n">
        <v>1</v>
      </c>
      <c r="G88" t="inlineStr">
        <is>
          <t>moeda</t>
        </is>
      </c>
      <c r="H88" t="inlineStr">
        <is>
          <t>Renewables and Energy Solutions - receita de terceiros (USD mi)</t>
        </is>
      </c>
      <c r="J88" t="inlineStr">
        <is>
          <t>fonte</t>
        </is>
      </c>
      <c r="K88" s="510" t="n"/>
      <c r="L88" s="510" t="n"/>
      <c r="M88" s="510" t="n"/>
      <c r="N88" s="510" t="n"/>
      <c r="O88" s="510" t="n">
        <v>5227</v>
      </c>
      <c r="P88" s="510" t="n">
        <v>3658</v>
      </c>
      <c r="Q88" s="510" t="n">
        <v>1330</v>
      </c>
      <c r="R88" s="510" t="n">
        <v>12200</v>
      </c>
      <c r="S88" s="510" t="n">
        <v>9026</v>
      </c>
      <c r="T88" s="510" t="n">
        <v>11477</v>
      </c>
      <c r="U88" s="510" t="n">
        <v>10031</v>
      </c>
      <c r="V88" s="510" t="n">
        <v>22656</v>
      </c>
      <c r="W88" s="510" t="n">
        <v>15619</v>
      </c>
      <c r="X88" s="510" t="n">
        <v>9866</v>
      </c>
      <c r="Y88" s="510" t="n">
        <v>9032</v>
      </c>
      <c r="Z88" s="510" t="n">
        <v>10302</v>
      </c>
      <c r="AA88" s="510" t="n">
        <v>7737</v>
      </c>
      <c r="AB88" s="510" t="n">
        <v>7222</v>
      </c>
      <c r="AC88" s="510" t="n">
        <v>6599</v>
      </c>
      <c r="AD88" s="510" t="n">
        <v>7808</v>
      </c>
      <c r="AE88" s="510" t="n">
        <v>9417</v>
      </c>
      <c r="AF88" s="510" t="n">
        <v>7996</v>
      </c>
      <c r="AG88" s="510" t="n">
        <v>8500</v>
      </c>
      <c r="AH88" s="510" t="n">
        <v>8446</v>
      </c>
      <c r="AI88" s="510" t="n">
        <v>10622</v>
      </c>
      <c r="AJ88" s="510" t="n">
        <v>9338</v>
      </c>
    </row>
    <row r="89">
      <c r="A89" t="n">
        <v>50</v>
      </c>
      <c r="B89" t="n">
        <v>1</v>
      </c>
      <c r="G89" t="inlineStr">
        <is>
          <t>moeda</t>
        </is>
      </c>
      <c r="H89" t="inlineStr">
        <is>
          <t>Integrated Gas - Adjusted Earnings (USD mi)</t>
        </is>
      </c>
      <c r="J89" t="inlineStr">
        <is>
          <t>fonte</t>
        </is>
      </c>
      <c r="K89" s="510" t="n"/>
      <c r="L89" s="510" t="n"/>
      <c r="M89" s="510" t="n"/>
      <c r="N89" s="510" t="n"/>
      <c r="O89" s="510" t="n">
        <v>1570</v>
      </c>
      <c r="P89" s="510" t="n">
        <v>1605</v>
      </c>
      <c r="Q89" s="510" t="n">
        <v>1837</v>
      </c>
      <c r="R89" s="510" t="n">
        <v>4036</v>
      </c>
      <c r="S89" s="510" t="n">
        <v>4094</v>
      </c>
      <c r="T89" s="510" t="n">
        <v>3760</v>
      </c>
      <c r="U89" s="510" t="n">
        <v>2321</v>
      </c>
      <c r="V89" s="510" t="n">
        <v>5971</v>
      </c>
      <c r="W89" s="510" t="n">
        <v>4919</v>
      </c>
      <c r="X89" s="510" t="n">
        <v>2500</v>
      </c>
      <c r="Y89" s="510" t="n">
        <v>2530</v>
      </c>
      <c r="Z89" s="510" t="n">
        <v>3968</v>
      </c>
      <c r="AA89" s="510" t="n">
        <v>3680</v>
      </c>
      <c r="AB89" s="510" t="n">
        <v>2675</v>
      </c>
      <c r="AC89" s="510" t="n">
        <v>2871</v>
      </c>
      <c r="AD89" s="510" t="n">
        <v>2165</v>
      </c>
      <c r="AE89" s="510" t="n">
        <v>2483</v>
      </c>
      <c r="AF89" s="510" t="n">
        <v>1737</v>
      </c>
      <c r="AG89" s="510" t="n">
        <v>2143</v>
      </c>
      <c r="AH89" s="510" t="n">
        <v>1661</v>
      </c>
      <c r="AI89" s="510" t="n">
        <v>1819</v>
      </c>
      <c r="AJ89" s="510" t="n">
        <v>2691</v>
      </c>
    </row>
    <row r="90">
      <c r="A90" t="n">
        <v>51</v>
      </c>
      <c r="B90" t="n">
        <v>1</v>
      </c>
      <c r="G90" t="inlineStr">
        <is>
          <t>moeda</t>
        </is>
      </c>
      <c r="H90" t="inlineStr">
        <is>
          <t>Upstream - Adjusted Earnings (USD mi)</t>
        </is>
      </c>
      <c r="J90" t="inlineStr">
        <is>
          <t>fonte</t>
        </is>
      </c>
      <c r="K90" s="510" t="n"/>
      <c r="L90" s="510" t="n"/>
      <c r="M90" s="510" t="n"/>
      <c r="N90" s="510" t="n"/>
      <c r="O90" s="510" t="n">
        <v>933</v>
      </c>
      <c r="P90" s="510" t="n">
        <v>2511</v>
      </c>
      <c r="Q90" s="510" t="n">
        <v>1734</v>
      </c>
      <c r="R90" s="510" t="n">
        <v>2838</v>
      </c>
      <c r="S90" s="510" t="n">
        <v>3454</v>
      </c>
      <c r="T90" s="510" t="n">
        <v>4917</v>
      </c>
      <c r="U90" s="510" t="n">
        <v>5903</v>
      </c>
      <c r="V90" s="510" t="n">
        <v>3080</v>
      </c>
      <c r="W90" s="510" t="n">
        <v>2810</v>
      </c>
      <c r="X90" s="510" t="n">
        <v>1699</v>
      </c>
      <c r="Y90" s="510" t="n">
        <v>2236</v>
      </c>
      <c r="Z90" s="510" t="n">
        <v>3060</v>
      </c>
      <c r="AA90" s="510" t="n">
        <v>1933</v>
      </c>
      <c r="AB90" s="510" t="n">
        <v>2336</v>
      </c>
      <c r="AC90" s="510" t="n">
        <v>2443</v>
      </c>
      <c r="AD90" s="510" t="n">
        <v>1682</v>
      </c>
      <c r="AE90" s="510" t="n">
        <v>2337</v>
      </c>
      <c r="AF90" s="510" t="n">
        <v>1732</v>
      </c>
      <c r="AG90" s="510" t="n">
        <v>1804</v>
      </c>
      <c r="AH90" s="510" t="n">
        <v>1570</v>
      </c>
      <c r="AI90" s="510" t="n">
        <v>2377</v>
      </c>
      <c r="AJ90" s="510" t="n">
        <v>3485</v>
      </c>
    </row>
    <row r="91">
      <c r="A91" t="n">
        <v>52</v>
      </c>
      <c r="B91" t="n">
        <v>1</v>
      </c>
      <c r="G91" t="inlineStr">
        <is>
          <t>moeda</t>
        </is>
      </c>
      <c r="H91" t="inlineStr">
        <is>
          <t>Marketing - Adjusted Earnings (USD mi)</t>
        </is>
      </c>
      <c r="J91" t="inlineStr">
        <is>
          <t>fonte</t>
        </is>
      </c>
      <c r="K91" s="510" t="n"/>
      <c r="L91" s="510" t="n"/>
      <c r="M91" s="510" t="n"/>
      <c r="N91" s="510" t="n"/>
      <c r="O91" s="510" t="n">
        <v>845</v>
      </c>
      <c r="P91" s="510" t="n">
        <v>982</v>
      </c>
      <c r="Q91" s="510" t="n">
        <v>1171</v>
      </c>
      <c r="R91" s="510" t="n">
        <v>616</v>
      </c>
      <c r="S91" s="510" t="n">
        <v>822</v>
      </c>
      <c r="T91" s="510" t="n">
        <v>637</v>
      </c>
      <c r="U91" s="510" t="n">
        <v>1028</v>
      </c>
      <c r="V91" s="510" t="n">
        <v>418</v>
      </c>
      <c r="W91" s="510" t="n">
        <v>946</v>
      </c>
      <c r="X91" s="510" t="n">
        <v>931</v>
      </c>
      <c r="Y91" s="510" t="n">
        <v>641</v>
      </c>
      <c r="Z91" s="510" t="n">
        <v>794</v>
      </c>
      <c r="AA91" s="510" t="n">
        <v>781</v>
      </c>
      <c r="AB91" s="510" t="n">
        <v>1082</v>
      </c>
      <c r="AC91" s="510" t="n">
        <v>1182</v>
      </c>
      <c r="AD91" s="510" t="n">
        <v>839</v>
      </c>
      <c r="AE91" s="510" t="n">
        <v>900</v>
      </c>
      <c r="AF91" s="510" t="n">
        <v>1199</v>
      </c>
      <c r="AG91" s="510" t="n">
        <v>1316</v>
      </c>
      <c r="AH91" s="510" t="n">
        <v>578</v>
      </c>
      <c r="AI91" s="510" t="n">
        <v>1334</v>
      </c>
      <c r="AJ91" s="510" t="n">
        <v>1329</v>
      </c>
    </row>
    <row r="92">
      <c r="A92" t="n">
        <v>53</v>
      </c>
      <c r="B92" t="n">
        <v>1</v>
      </c>
      <c r="G92" t="inlineStr">
        <is>
          <t>moeda</t>
        </is>
      </c>
      <c r="H92" t="inlineStr">
        <is>
          <t>Chemicals &amp; Products - Adjusted Earnings (USD mi)</t>
        </is>
      </c>
      <c r="J92" t="inlineStr">
        <is>
          <t>fonte</t>
        </is>
      </c>
      <c r="K92" s="510" t="n"/>
      <c r="L92" s="510" t="n"/>
      <c r="M92" s="510" t="n"/>
      <c r="N92" s="510" t="n"/>
      <c r="O92" s="510" t="n">
        <v>739</v>
      </c>
      <c r="P92" s="510" t="n">
        <v>962</v>
      </c>
      <c r="Q92" s="510" t="n">
        <v>404</v>
      </c>
      <c r="R92" s="510" t="n">
        <v>-135</v>
      </c>
      <c r="S92" s="510" t="n">
        <v>1086</v>
      </c>
      <c r="T92" s="510" t="n">
        <v>2154</v>
      </c>
      <c r="U92" s="510" t="n">
        <v>571</v>
      </c>
      <c r="V92" s="510" t="n">
        <v>782</v>
      </c>
      <c r="W92" s="510" t="n">
        <v>1707</v>
      </c>
      <c r="X92" s="510" t="n">
        <v>419</v>
      </c>
      <c r="Y92" s="510" t="n">
        <v>1463</v>
      </c>
      <c r="Z92" s="510" t="n">
        <v>29</v>
      </c>
      <c r="AA92" s="510" t="n">
        <v>1615</v>
      </c>
      <c r="AB92" s="510" t="n">
        <v>1085</v>
      </c>
      <c r="AC92" s="510" t="n">
        <v>463</v>
      </c>
      <c r="AD92" s="510" t="n">
        <v>-229</v>
      </c>
      <c r="AE92" s="510" t="n">
        <v>449</v>
      </c>
      <c r="AF92" s="510" t="n">
        <v>118</v>
      </c>
      <c r="AG92" s="510" t="n">
        <v>550</v>
      </c>
      <c r="AH92" s="510" t="n">
        <v>-66</v>
      </c>
      <c r="AI92" s="510" t="n">
        <v>1925</v>
      </c>
      <c r="AJ92" s="510" t="n">
        <v>2877</v>
      </c>
    </row>
    <row r="93">
      <c r="A93" t="n">
        <v>54</v>
      </c>
      <c r="B93" t="n">
        <v>1</v>
      </c>
      <c r="G93" t="inlineStr">
        <is>
          <t>moeda</t>
        </is>
      </c>
      <c r="H93" t="inlineStr">
        <is>
          <t>Renewables and Energy Solutions - Adjusted Earnings (USD mi)</t>
        </is>
      </c>
      <c r="J93" t="inlineStr">
        <is>
          <t>fonte</t>
        </is>
      </c>
      <c r="K93" s="510" t="n"/>
      <c r="L93" s="510" t="n"/>
      <c r="M93" s="510" t="n"/>
      <c r="N93" s="510" t="n"/>
      <c r="O93" s="510" t="n">
        <v>-102</v>
      </c>
      <c r="P93" s="510" t="n">
        <v>-13</v>
      </c>
      <c r="Q93" s="510" t="n">
        <v>-171</v>
      </c>
      <c r="R93" s="510" t="n">
        <v>43</v>
      </c>
      <c r="S93" s="510" t="n">
        <v>348</v>
      </c>
      <c r="T93" s="510" t="n">
        <v>730</v>
      </c>
      <c r="U93" s="510" t="n">
        <v>389</v>
      </c>
      <c r="V93" s="510" t="n">
        <v>310</v>
      </c>
      <c r="W93" s="510" t="n">
        <v>395</v>
      </c>
      <c r="X93" s="510" t="n">
        <v>238</v>
      </c>
      <c r="Y93" s="510" t="n">
        <v>-52</v>
      </c>
      <c r="Z93" s="510" t="n">
        <v>173</v>
      </c>
      <c r="AA93" s="510" t="n">
        <v>163</v>
      </c>
      <c r="AB93" s="510" t="n">
        <v>-187</v>
      </c>
      <c r="AC93" s="510" t="n">
        <v>-162</v>
      </c>
      <c r="AD93" s="510" t="n">
        <v>-311</v>
      </c>
      <c r="AE93" s="510" t="n">
        <v>-42</v>
      </c>
      <c r="AF93" s="510" t="n">
        <v>-9</v>
      </c>
      <c r="AG93" s="510" t="n">
        <v>92</v>
      </c>
      <c r="AH93" s="510" t="n">
        <v>131</v>
      </c>
      <c r="AI93" s="510" t="n">
        <v>348</v>
      </c>
      <c r="AJ93" s="510" t="n">
        <v>79</v>
      </c>
    </row>
    <row r="94">
      <c r="A94" t="n">
        <v>55</v>
      </c>
      <c r="B94" t="n">
        <v>1</v>
      </c>
      <c r="G94" t="inlineStr">
        <is>
          <t>moeda</t>
        </is>
      </c>
      <c r="H94" t="inlineStr">
        <is>
          <t>Corporate - Adjusted Earnings (USD mi)</t>
        </is>
      </c>
      <c r="J94" t="inlineStr">
        <is>
          <t>fonte</t>
        </is>
      </c>
      <c r="K94" s="510" t="n"/>
      <c r="L94" s="510" t="n"/>
      <c r="M94" s="510" t="n"/>
      <c r="N94" s="510" t="n"/>
      <c r="O94" s="510" t="n">
        <v>-666</v>
      </c>
      <c r="P94" s="510" t="n">
        <v>-399</v>
      </c>
      <c r="Q94" s="510" t="n">
        <v>-732</v>
      </c>
      <c r="R94" s="510" t="n">
        <v>-889</v>
      </c>
      <c r="S94" s="510" t="n">
        <v>-560</v>
      </c>
      <c r="T94" s="510" t="n">
        <v>-644</v>
      </c>
      <c r="U94" s="510" t="n">
        <v>-594</v>
      </c>
      <c r="V94" s="510" t="n">
        <v>-674</v>
      </c>
      <c r="W94" s="510" t="n">
        <v>-1057</v>
      </c>
      <c r="X94" s="510" t="n">
        <v>-689</v>
      </c>
      <c r="Y94" s="510" t="n">
        <v>-519</v>
      </c>
      <c r="Z94" s="510" t="n">
        <v>-609</v>
      </c>
      <c r="AA94" s="510" t="n">
        <v>-368</v>
      </c>
      <c r="AB94" s="510" t="n">
        <v>-576</v>
      </c>
      <c r="AC94" s="510" t="n">
        <v>-643</v>
      </c>
      <c r="AD94" s="510" t="n">
        <v>-380</v>
      </c>
      <c r="AE94" s="510" t="n">
        <v>-457</v>
      </c>
      <c r="AF94" s="510" t="n">
        <v>-463</v>
      </c>
      <c r="AG94" s="510" t="n">
        <v>-383</v>
      </c>
      <c r="AH94" s="510" t="n">
        <v>-567</v>
      </c>
      <c r="AI94" s="510" t="n">
        <v>-908</v>
      </c>
      <c r="AJ94" s="510" t="n">
        <v>-617</v>
      </c>
    </row>
    <row r="95">
      <c r="H95" t="inlineStr">
        <is>
          <t>Notas: receita de terceiros as reported (aba de cada segmento, linha Third-party abaixo de Revenue:). A soma dos cinco segmentos difere da receita do grupo em até US$ 17 mi (1T22); no 2T26 a diferença é de US$ −2 mi. Não interpolar o residual — a Shell não abre essa linha na face de segmentos (Corporate não tem receita de terceiros própria no databook). Intersegmento fica de fora (é eliminado na consolidação). Adjusted Earnings é a abertura de resultado que a Shell usa no release, não EBIT IFRS. Série: 1T21-2T26. 1T20-4T20 vazios: o databook vigente começa em Q1 2021.</t>
        </is>
      </c>
    </row>
    <row r="133">
      <c r="H133" s="509" t="inlineStr">
        <is>
          <t>CONVENCOES</t>
        </is>
      </c>
    </row>
    <row r="134">
      <c r="H134" t="inlineStr">
        <is>
          <t>Linhas de origem: 5 a 95. As formulas da Inputs (2) varrem as linhas 5 a 130; as linhas 96 a 130 estao livres para novas contas.</t>
        </is>
      </c>
    </row>
    <row r="135">
      <c r="H135" t="inlineStr">
        <is>
          <t>Periodos: colunas K a AJ = 1Q20 a 2Q26. Primeiro trimestre com dado = 1Q21.</t>
        </is>
      </c>
    </row>
    <row r="136">
      <c r="H136" t="inlineStr">
        <is>
          <t>Brutos em USD milhões: fator da célula B1 = 1. UNID = moeda.</t>
        </is>
      </c>
    </row>
    <row r="137">
      <c r="H137" t="inlineStr">
        <is>
          <t>ORIGEM: fonte = databook; memoria = como divulgado, sem codigo; derivada = formula nesta aba.</t>
        </is>
      </c>
    </row>
    <row r="138">
      <c r="H138" t="inlineStr">
        <is>
          <t>Balanço: PL dos controladores no código 41 (face condensada não abre capital/tesouraria/OCI).</t>
        </is>
      </c>
    </row>
    <row r="139">
      <c r="H139" t="inlineStr">
        <is>
          <t>Codigos 45 a 55: drivers de receita (memoria); alimentam o bloco logo abaixo da receita liquida no Model.</t>
        </is>
      </c>
    </row>
    <row r="153" ht="15" customHeight="1" s="254">
      <c r="H153" s="255" t="n"/>
    </row>
    <row r="154" ht="15" customHeight="1" s="254">
      <c r="H154" s="253" t="n"/>
    </row>
    <row r="155" ht="15" customHeight="1" s="254">
      <c r="H155" s="253" t="n"/>
    </row>
    <row r="156" ht="15" customHeight="1" s="254">
      <c r="H156" s="253" t="n"/>
    </row>
    <row r="157" ht="15" customHeight="1" s="254">
      <c r="H157" s="253" t="n"/>
    </row>
    <row r="158" ht="15" customHeight="1" s="254">
      <c r="H158" s="253" t="n"/>
    </row>
    <row r="159"/>
    <row r="160"/>
    <row r="161"/>
    <row r="162"/>
    <row r="163"/>
    <row r="164"/>
  </sheetData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N63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pane xSplit="3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G24" activeCellId="0" sqref="G24"/>
    </sheetView>
  </sheetViews>
  <sheetFormatPr baseColWidth="8" defaultColWidth="9.14453125" defaultRowHeight="12.75" zeroHeight="0" outlineLevelRow="0"/>
  <cols>
    <col width="2.29" customWidth="1" style="257" min="1" max="1"/>
    <col width="4.43" customWidth="1" style="257" min="2" max="2"/>
    <col width="53.14" customWidth="1" style="258" min="3" max="3"/>
    <col width="8.140000000000001" customWidth="1" style="257" min="4" max="4"/>
    <col width="9.289999999999999" customWidth="1" style="257" min="5" max="7"/>
    <col width="10" customWidth="1" style="257" min="8" max="8"/>
    <col width="8.140000000000001" customWidth="1" style="257" min="9" max="9"/>
    <col width="9.289999999999999" customWidth="1" style="257" min="10" max="12"/>
    <col width="10" customWidth="1" style="257" min="13" max="13"/>
    <col width="8.140000000000001" customWidth="1" style="257" min="14" max="14"/>
    <col width="9.289999999999999" customWidth="1" style="257" min="15" max="16"/>
    <col width="10" customWidth="1" style="257" min="17" max="18"/>
    <col width="8.140000000000001" customWidth="1" style="257" min="19" max="19"/>
    <col width="9.289999999999999" customWidth="1" style="257" min="20" max="20"/>
    <col width="10" customWidth="1" style="257" min="21" max="23"/>
    <col width="8.140000000000001" customWidth="1" style="257" min="24" max="24"/>
    <col width="10" customWidth="1" style="257" min="25" max="27"/>
    <col width="10.43" customWidth="1" style="257" min="28" max="28"/>
    <col width="9.289999999999999" customWidth="1" style="257" min="29" max="29"/>
    <col width="11.72" customWidth="1" style="257" min="30" max="31"/>
    <col width="12.72" customWidth="1" style="257" min="32" max="32"/>
    <col width="10.29" customWidth="1" style="257" min="33" max="33"/>
    <col width="9.289999999999999" customWidth="1" style="258" min="34" max="54"/>
    <col width="9.710000000000001" customWidth="1" style="258" min="55" max="55"/>
    <col width="9.140000000000001" customWidth="1" style="258" min="56" max="16384"/>
  </cols>
  <sheetData>
    <row r="1" ht="12.75" customFormat="1" customHeight="1" s="257">
      <c r="A1" s="257">
        <f>COUNTIF($B$3:$B$1048576,$B$1)</f>
        <v>1</v>
      </c>
      <c r="B1" s="257">
        <f>MAX($B$3:$B$1048576)</f>
        <v>55</v>
      </c>
    </row>
    <row r="2" ht="12.75" customFormat="1" customHeight="1" s="258">
      <c r="D2" s="259" t="inlineStr">
        <is>
          <t>1Q21</t>
        </is>
      </c>
      <c r="E2" s="259" t="inlineStr">
        <is>
          <t>2Q21</t>
        </is>
      </c>
      <c r="F2" s="259" t="inlineStr">
        <is>
          <t>3Q21</t>
        </is>
      </c>
      <c r="G2" s="259" t="inlineStr">
        <is>
          <t>4Q21</t>
        </is>
      </c>
      <c r="H2" s="260" t="n">
        <v>2021</v>
      </c>
      <c r="I2" s="259" t="inlineStr">
        <is>
          <t>1Q22</t>
        </is>
      </c>
      <c r="J2" s="259" t="inlineStr">
        <is>
          <t>2Q22</t>
        </is>
      </c>
      <c r="K2" s="259" t="inlineStr">
        <is>
          <t>3Q22</t>
        </is>
      </c>
      <c r="L2" s="259" t="inlineStr">
        <is>
          <t>4Q22</t>
        </is>
      </c>
      <c r="M2" s="260" t="n">
        <v>2022</v>
      </c>
      <c r="N2" s="259" t="inlineStr">
        <is>
          <t>1Q23</t>
        </is>
      </c>
      <c r="O2" s="259" t="inlineStr">
        <is>
          <t>2Q23</t>
        </is>
      </c>
      <c r="P2" s="259" t="inlineStr">
        <is>
          <t>3Q23</t>
        </is>
      </c>
      <c r="Q2" s="259" t="inlineStr">
        <is>
          <t>4Q23</t>
        </is>
      </c>
      <c r="R2" s="260" t="n">
        <v>2023</v>
      </c>
      <c r="S2" s="259" t="inlineStr">
        <is>
          <t>1Q24</t>
        </is>
      </c>
      <c r="T2" s="259" t="inlineStr">
        <is>
          <t>2Q24</t>
        </is>
      </c>
      <c r="U2" s="259" t="inlineStr">
        <is>
          <t>3Q24</t>
        </is>
      </c>
      <c r="V2" s="259" t="inlineStr">
        <is>
          <t>4Q24</t>
        </is>
      </c>
      <c r="W2" s="260" t="n">
        <v>2024</v>
      </c>
      <c r="X2" s="259" t="inlineStr">
        <is>
          <t>1Q25</t>
        </is>
      </c>
      <c r="Y2" s="259" t="inlineStr">
        <is>
          <t>2Q25</t>
        </is>
      </c>
      <c r="Z2" s="259" t="inlineStr">
        <is>
          <t>3Q25</t>
        </is>
      </c>
      <c r="AA2" s="259" t="inlineStr">
        <is>
          <t>4Q25</t>
        </is>
      </c>
      <c r="AB2" s="260" t="n">
        <v>2025</v>
      </c>
      <c r="AC2" s="259" t="inlineStr">
        <is>
          <t>1Q26</t>
        </is>
      </c>
      <c r="AD2" s="259" t="inlineStr">
        <is>
          <t>2Q26</t>
        </is>
      </c>
      <c r="AE2" s="261" t="inlineStr">
        <is>
          <t>3Q26</t>
        </is>
      </c>
      <c r="AF2" s="261" t="inlineStr">
        <is>
          <t>4Q26</t>
        </is>
      </c>
      <c r="AG2" s="262" t="n">
        <v>2026</v>
      </c>
      <c r="AH2" s="259" t="inlineStr">
        <is>
          <t>1Q20</t>
        </is>
      </c>
      <c r="AI2" s="259" t="inlineStr">
        <is>
          <t>2Q20</t>
        </is>
      </c>
      <c r="AJ2" s="259" t="inlineStr">
        <is>
          <t>3Q20</t>
        </is>
      </c>
      <c r="AK2" s="259" t="inlineStr">
        <is>
          <t>4Q20</t>
        </is>
      </c>
      <c r="AL2" s="260" t="n">
        <v>2020</v>
      </c>
      <c r="AN2" s="258" t="inlineStr">
        <is>
          <t>Sem dado na fonte: 1Q20-4Q20 (databook começa em 1Q21); 3Q26, 4Q26 e 2026 (rotulo em cinza).</t>
        </is>
      </c>
    </row>
    <row r="3"/>
    <row r="4" ht="12.75" customHeight="1" s="254">
      <c r="B4" s="263" t="n">
        <v>1</v>
      </c>
      <c r="C4" s="264" t="inlineStr">
        <is>
          <t>Net Revenues</t>
        </is>
      </c>
      <c r="D4" s="265">
        <f>IF(ISNA(MATCH(D$2,Inputs!$K$4:$AJ$4,0)),NA(),IF(SUMPRODUCT((Inputs!$A$5:$A$130=$B4)*ISNUMBER(INDEX(Inputs!$K$5:$AJ$130,0,MATCH(D$2,Inputs!$K$4:$AJ$4,0))))+SUMPRODUCT((Inputs!$C$5:$C$130=$B4)*ISNUMBER(INDEX(Inputs!$K$5:$AJ$130,0,MATCH(D$2,Inputs!$K$4:$AJ$4,0))))+SUMPRODUCT((Inputs!$E$5:$E$130=$B4)*ISNUMBER(INDEX(Inputs!$K$5:$AJ$130,0,MATCH(D$2,Inputs!$K$4:$AJ$4,0))))=0,NA(),SUMPRODUCT((Inputs!$A$5:$A$130=$B4)*Inputs!$B$5:$B$130*(((Inputs!$G$5:$G$130="moeda")+(Inputs!$G$5:$G$130="acoes"))*Inputs!$B$1+((Inputs!$G$5:$G$130&lt;&gt;"moeda")*(Inputs!$G$5:$G$130&lt;&gt;"acoes")))*INDEX(Inputs!$K$5:$AJ$130,0,MATCH(D$2,Inputs!$K$4:$AJ$4,0)))+SUMPRODUCT((Inputs!$C$5:$C$130=$B4)*Inputs!$D$5:$D$130*(((Inputs!$G$5:$G$130="moeda")+(Inputs!$G$5:$G$130="acoes"))*Inputs!$B$1+((Inputs!$G$5:$G$130&lt;&gt;"moeda")*(Inputs!$G$5:$G$130&lt;&gt;"acoes")))*INDEX(Inputs!$K$5:$AJ$130,0,MATCH(D$2,Inputs!$K$4:$AJ$4,0)))+SUMPRODUCT((Inputs!$E$5:$E$130=$B4)*Inputs!$F$5:$F$130*(((Inputs!$G$5:$G$130="moeda")+(Inputs!$G$5:$G$130="acoes"))*Inputs!$B$1+((Inputs!$G$5:$G$130&lt;&gt;"moeda")*(Inputs!$G$5:$G$130&lt;&gt;"acoes")))*INDEX(Inputs!$K$5:$AJ$130,0,MATCH(D$2,Inputs!$K$4:$AJ$4,0)))))</f>
        <v>55665</v>
      </c>
      <c r="E4" s="265">
        <f>IF(ISNA(MATCH(E$2,Inputs!$K$4:$AJ$4,0)),NA(),IF(SUMPRODUCT((Inputs!$A$5:$A$130=$B4)*ISNUMBER(INDEX(Inputs!$K$5:$AJ$130,0,MATCH(E$2,Inputs!$K$4:$AJ$4,0))))+SUMPRODUCT((Inputs!$C$5:$C$130=$B4)*ISNUMBER(INDEX(Inputs!$K$5:$AJ$130,0,MATCH(E$2,Inputs!$K$4:$AJ$4,0))))+SUMPRODUCT((Inputs!$E$5:$E$130=$B4)*ISNUMBER(INDEX(Inputs!$K$5:$AJ$130,0,MATCH(E$2,Inputs!$K$4:$AJ$4,0))))=0,NA(),SUMPRODUCT((Inputs!$A$5:$A$130=$B4)*Inputs!$B$5:$B$130*(((Inputs!$G$5:$G$130="moeda")+(Inputs!$G$5:$G$130="acoes"))*Inputs!$B$1+((Inputs!$G$5:$G$130&lt;&gt;"moeda")*(Inputs!$G$5:$G$130&lt;&gt;"acoes")))*INDEX(Inputs!$K$5:$AJ$130,0,MATCH(E$2,Inputs!$K$4:$AJ$4,0)))+SUMPRODUCT((Inputs!$C$5:$C$130=$B4)*Inputs!$D$5:$D$130*(((Inputs!$G$5:$G$130="moeda")+(Inputs!$G$5:$G$130="acoes"))*Inputs!$B$1+((Inputs!$G$5:$G$130&lt;&gt;"moeda")*(Inputs!$G$5:$G$130&lt;&gt;"acoes")))*INDEX(Inputs!$K$5:$AJ$130,0,MATCH(E$2,Inputs!$K$4:$AJ$4,0)))+SUMPRODUCT((Inputs!$E$5:$E$130=$B4)*Inputs!$F$5:$F$130*(((Inputs!$G$5:$G$130="moeda")+(Inputs!$G$5:$G$130="acoes"))*Inputs!$B$1+((Inputs!$G$5:$G$130&lt;&gt;"moeda")*(Inputs!$G$5:$G$130&lt;&gt;"acoes")))*INDEX(Inputs!$K$5:$AJ$130,0,MATCH(E$2,Inputs!$K$4:$AJ$4,0)))))</f>
        <v>60515</v>
      </c>
      <c r="F4" s="265">
        <f>IF(ISNA(MATCH(F$2,Inputs!$K$4:$AJ$4,0)),NA(),IF(SUMPRODUCT((Inputs!$A$5:$A$130=$B4)*ISNUMBER(INDEX(Inputs!$K$5:$AJ$130,0,MATCH(F$2,Inputs!$K$4:$AJ$4,0))))+SUMPRODUCT((Inputs!$C$5:$C$130=$B4)*ISNUMBER(INDEX(Inputs!$K$5:$AJ$130,0,MATCH(F$2,Inputs!$K$4:$AJ$4,0))))+SUMPRODUCT((Inputs!$E$5:$E$130=$B4)*ISNUMBER(INDEX(Inputs!$K$5:$AJ$130,0,MATCH(F$2,Inputs!$K$4:$AJ$4,0))))=0,NA(),SUMPRODUCT((Inputs!$A$5:$A$130=$B4)*Inputs!$B$5:$B$130*(((Inputs!$G$5:$G$130="moeda")+(Inputs!$G$5:$G$130="acoes"))*Inputs!$B$1+((Inputs!$G$5:$G$130&lt;&gt;"moeda")*(Inputs!$G$5:$G$130&lt;&gt;"acoes")))*INDEX(Inputs!$K$5:$AJ$130,0,MATCH(F$2,Inputs!$K$4:$AJ$4,0)))+SUMPRODUCT((Inputs!$C$5:$C$130=$B4)*Inputs!$D$5:$D$130*(((Inputs!$G$5:$G$130="moeda")+(Inputs!$G$5:$G$130="acoes"))*Inputs!$B$1+((Inputs!$G$5:$G$130&lt;&gt;"moeda")*(Inputs!$G$5:$G$130&lt;&gt;"acoes")))*INDEX(Inputs!$K$5:$AJ$130,0,MATCH(F$2,Inputs!$K$4:$AJ$4,0)))+SUMPRODUCT((Inputs!$E$5:$E$130=$B4)*Inputs!$F$5:$F$130*(((Inputs!$G$5:$G$130="moeda")+(Inputs!$G$5:$G$130="acoes"))*Inputs!$B$1+((Inputs!$G$5:$G$130&lt;&gt;"moeda")*(Inputs!$G$5:$G$130&lt;&gt;"acoes")))*INDEX(Inputs!$K$5:$AJ$130,0,MATCH(F$2,Inputs!$K$4:$AJ$4,0)))))</f>
        <v>60044</v>
      </c>
      <c r="G4" s="265">
        <f>IF(ISNA(MATCH(G$2,Inputs!$K$4:$AJ$4,0)),NA(),IF(SUMPRODUCT((Inputs!$A$5:$A$130=$B4)*ISNUMBER(INDEX(Inputs!$K$5:$AJ$130,0,MATCH(G$2,Inputs!$K$4:$AJ$4,0))))+SUMPRODUCT((Inputs!$C$5:$C$130=$B4)*ISNUMBER(INDEX(Inputs!$K$5:$AJ$130,0,MATCH(G$2,Inputs!$K$4:$AJ$4,0))))+SUMPRODUCT((Inputs!$E$5:$E$130=$B4)*ISNUMBER(INDEX(Inputs!$K$5:$AJ$130,0,MATCH(G$2,Inputs!$K$4:$AJ$4,0))))=0,NA(),SUMPRODUCT((Inputs!$A$5:$A$130=$B4)*Inputs!$B$5:$B$130*(((Inputs!$G$5:$G$130="moeda")+(Inputs!$G$5:$G$130="acoes"))*Inputs!$B$1+((Inputs!$G$5:$G$130&lt;&gt;"moeda")*(Inputs!$G$5:$G$130&lt;&gt;"acoes")))*INDEX(Inputs!$K$5:$AJ$130,0,MATCH(G$2,Inputs!$K$4:$AJ$4,0)))+SUMPRODUCT((Inputs!$C$5:$C$130=$B4)*Inputs!$D$5:$D$130*(((Inputs!$G$5:$G$130="moeda")+(Inputs!$G$5:$G$130="acoes"))*Inputs!$B$1+((Inputs!$G$5:$G$130&lt;&gt;"moeda")*(Inputs!$G$5:$G$130&lt;&gt;"acoes")))*INDEX(Inputs!$K$5:$AJ$130,0,MATCH(G$2,Inputs!$K$4:$AJ$4,0)))+SUMPRODUCT((Inputs!$E$5:$E$130=$B4)*Inputs!$F$5:$F$130*(((Inputs!$G$5:$G$130="moeda")+(Inputs!$G$5:$G$130="acoes"))*Inputs!$B$1+((Inputs!$G$5:$G$130&lt;&gt;"moeda")*(Inputs!$G$5:$G$130&lt;&gt;"acoes")))*INDEX(Inputs!$K$5:$AJ$130,0,MATCH(G$2,Inputs!$K$4:$AJ$4,0)))))</f>
        <v>85280</v>
      </c>
      <c r="H4" s="266">
        <f>SUM(D4:G4)</f>
        <v>261504</v>
      </c>
      <c r="I4" s="265">
        <f>IF(ISNA(MATCH(I$2,Inputs!$K$4:$AJ$4,0)),NA(),IF(SUMPRODUCT((Inputs!$A$5:$A$130=$B4)*ISNUMBER(INDEX(Inputs!$K$5:$AJ$130,0,MATCH(I$2,Inputs!$K$4:$AJ$4,0))))+SUMPRODUCT((Inputs!$C$5:$C$130=$B4)*ISNUMBER(INDEX(Inputs!$K$5:$AJ$130,0,MATCH(I$2,Inputs!$K$4:$AJ$4,0))))+SUMPRODUCT((Inputs!$E$5:$E$130=$B4)*ISNUMBER(INDEX(Inputs!$K$5:$AJ$130,0,MATCH(I$2,Inputs!$K$4:$AJ$4,0))))=0,NA(),SUMPRODUCT((Inputs!$A$5:$A$130=$B4)*Inputs!$B$5:$B$130*(((Inputs!$G$5:$G$130="moeda")+(Inputs!$G$5:$G$130="acoes"))*Inputs!$B$1+((Inputs!$G$5:$G$130&lt;&gt;"moeda")*(Inputs!$G$5:$G$130&lt;&gt;"acoes")))*INDEX(Inputs!$K$5:$AJ$130,0,MATCH(I$2,Inputs!$K$4:$AJ$4,0)))+SUMPRODUCT((Inputs!$C$5:$C$130=$B4)*Inputs!$D$5:$D$130*(((Inputs!$G$5:$G$130="moeda")+(Inputs!$G$5:$G$130="acoes"))*Inputs!$B$1+((Inputs!$G$5:$G$130&lt;&gt;"moeda")*(Inputs!$G$5:$G$130&lt;&gt;"acoes")))*INDEX(Inputs!$K$5:$AJ$130,0,MATCH(I$2,Inputs!$K$4:$AJ$4,0)))+SUMPRODUCT((Inputs!$E$5:$E$130=$B4)*Inputs!$F$5:$F$130*(((Inputs!$G$5:$G$130="moeda")+(Inputs!$G$5:$G$130="acoes"))*Inputs!$B$1+((Inputs!$G$5:$G$130&lt;&gt;"moeda")*(Inputs!$G$5:$G$130&lt;&gt;"acoes")))*INDEX(Inputs!$K$5:$AJ$130,0,MATCH(I$2,Inputs!$K$4:$AJ$4,0)))))</f>
        <v>84204</v>
      </c>
      <c r="J4" s="265">
        <f>IF(ISNA(MATCH(J$2,Inputs!$K$4:$AJ$4,0)),NA(),IF(SUMPRODUCT((Inputs!$A$5:$A$130=$B4)*ISNUMBER(INDEX(Inputs!$K$5:$AJ$130,0,MATCH(J$2,Inputs!$K$4:$AJ$4,0))))+SUMPRODUCT((Inputs!$C$5:$C$130=$B4)*ISNUMBER(INDEX(Inputs!$K$5:$AJ$130,0,MATCH(J$2,Inputs!$K$4:$AJ$4,0))))+SUMPRODUCT((Inputs!$E$5:$E$130=$B4)*ISNUMBER(INDEX(Inputs!$K$5:$AJ$130,0,MATCH(J$2,Inputs!$K$4:$AJ$4,0))))=0,NA(),SUMPRODUCT((Inputs!$A$5:$A$130=$B4)*Inputs!$B$5:$B$130*(((Inputs!$G$5:$G$130="moeda")+(Inputs!$G$5:$G$130="acoes"))*Inputs!$B$1+((Inputs!$G$5:$G$130&lt;&gt;"moeda")*(Inputs!$G$5:$G$130&lt;&gt;"acoes")))*INDEX(Inputs!$K$5:$AJ$130,0,MATCH(J$2,Inputs!$K$4:$AJ$4,0)))+SUMPRODUCT((Inputs!$C$5:$C$130=$B4)*Inputs!$D$5:$D$130*(((Inputs!$G$5:$G$130="moeda")+(Inputs!$G$5:$G$130="acoes"))*Inputs!$B$1+((Inputs!$G$5:$G$130&lt;&gt;"moeda")*(Inputs!$G$5:$G$130&lt;&gt;"acoes")))*INDEX(Inputs!$K$5:$AJ$130,0,MATCH(J$2,Inputs!$K$4:$AJ$4,0)))+SUMPRODUCT((Inputs!$E$5:$E$130=$B4)*Inputs!$F$5:$F$130*(((Inputs!$G$5:$G$130="moeda")+(Inputs!$G$5:$G$130="acoes"))*Inputs!$B$1+((Inputs!$G$5:$G$130&lt;&gt;"moeda")*(Inputs!$G$5:$G$130&lt;&gt;"acoes")))*INDEX(Inputs!$K$5:$AJ$130,0,MATCH(J$2,Inputs!$K$4:$AJ$4,0)))))</f>
        <v>100059</v>
      </c>
      <c r="K4" s="265">
        <f>IF(ISNA(MATCH(K$2,Inputs!$K$4:$AJ$4,0)),NA(),IF(SUMPRODUCT((Inputs!$A$5:$A$130=$B4)*ISNUMBER(INDEX(Inputs!$K$5:$AJ$130,0,MATCH(K$2,Inputs!$K$4:$AJ$4,0))))+SUMPRODUCT((Inputs!$C$5:$C$130=$B4)*ISNUMBER(INDEX(Inputs!$K$5:$AJ$130,0,MATCH(K$2,Inputs!$K$4:$AJ$4,0))))+SUMPRODUCT((Inputs!$E$5:$E$130=$B4)*ISNUMBER(INDEX(Inputs!$K$5:$AJ$130,0,MATCH(K$2,Inputs!$K$4:$AJ$4,0))))=0,NA(),SUMPRODUCT((Inputs!$A$5:$A$130=$B4)*Inputs!$B$5:$B$130*(((Inputs!$G$5:$G$130="moeda")+(Inputs!$G$5:$G$130="acoes"))*Inputs!$B$1+((Inputs!$G$5:$G$130&lt;&gt;"moeda")*(Inputs!$G$5:$G$130&lt;&gt;"acoes")))*INDEX(Inputs!$K$5:$AJ$130,0,MATCH(K$2,Inputs!$K$4:$AJ$4,0)))+SUMPRODUCT((Inputs!$C$5:$C$130=$B4)*Inputs!$D$5:$D$130*(((Inputs!$G$5:$G$130="moeda")+(Inputs!$G$5:$G$130="acoes"))*Inputs!$B$1+((Inputs!$G$5:$G$130&lt;&gt;"moeda")*(Inputs!$G$5:$G$130&lt;&gt;"acoes")))*INDEX(Inputs!$K$5:$AJ$130,0,MATCH(K$2,Inputs!$K$4:$AJ$4,0)))+SUMPRODUCT((Inputs!$E$5:$E$130=$B4)*Inputs!$F$5:$F$130*(((Inputs!$G$5:$G$130="moeda")+(Inputs!$G$5:$G$130="acoes"))*Inputs!$B$1+((Inputs!$G$5:$G$130&lt;&gt;"moeda")*(Inputs!$G$5:$G$130&lt;&gt;"acoes")))*INDEX(Inputs!$K$5:$AJ$130,0,MATCH(K$2,Inputs!$K$4:$AJ$4,0)))))</f>
        <v>95749</v>
      </c>
      <c r="L4" s="265">
        <f>IF(ISNA(MATCH(L$2,Inputs!$K$4:$AJ$4,0)),NA(),IF(SUMPRODUCT((Inputs!$A$5:$A$130=$B4)*ISNUMBER(INDEX(Inputs!$K$5:$AJ$130,0,MATCH(L$2,Inputs!$K$4:$AJ$4,0))))+SUMPRODUCT((Inputs!$C$5:$C$130=$B4)*ISNUMBER(INDEX(Inputs!$K$5:$AJ$130,0,MATCH(L$2,Inputs!$K$4:$AJ$4,0))))+SUMPRODUCT((Inputs!$E$5:$E$130=$B4)*ISNUMBER(INDEX(Inputs!$K$5:$AJ$130,0,MATCH(L$2,Inputs!$K$4:$AJ$4,0))))=0,NA(),SUMPRODUCT((Inputs!$A$5:$A$130=$B4)*Inputs!$B$5:$B$130*(((Inputs!$G$5:$G$130="moeda")+(Inputs!$G$5:$G$130="acoes"))*Inputs!$B$1+((Inputs!$G$5:$G$130&lt;&gt;"moeda")*(Inputs!$G$5:$G$130&lt;&gt;"acoes")))*INDEX(Inputs!$K$5:$AJ$130,0,MATCH(L$2,Inputs!$K$4:$AJ$4,0)))+SUMPRODUCT((Inputs!$C$5:$C$130=$B4)*Inputs!$D$5:$D$130*(((Inputs!$G$5:$G$130="moeda")+(Inputs!$G$5:$G$130="acoes"))*Inputs!$B$1+((Inputs!$G$5:$G$130&lt;&gt;"moeda")*(Inputs!$G$5:$G$130&lt;&gt;"acoes")))*INDEX(Inputs!$K$5:$AJ$130,0,MATCH(L$2,Inputs!$K$4:$AJ$4,0)))+SUMPRODUCT((Inputs!$E$5:$E$130=$B4)*Inputs!$F$5:$F$130*(((Inputs!$G$5:$G$130="moeda")+(Inputs!$G$5:$G$130="acoes"))*Inputs!$B$1+((Inputs!$G$5:$G$130&lt;&gt;"moeda")*(Inputs!$G$5:$G$130&lt;&gt;"acoes")))*INDEX(Inputs!$K$5:$AJ$130,0,MATCH(L$2,Inputs!$K$4:$AJ$4,0)))))</f>
        <v>101303</v>
      </c>
      <c r="M4" s="266">
        <f>SUM(I4:L4)</f>
        <v>381315</v>
      </c>
      <c r="N4" s="265">
        <f>IF(ISNA(MATCH(N$2,Inputs!$K$4:$AJ$4,0)),NA(),IF(SUMPRODUCT((Inputs!$A$5:$A$130=$B4)*ISNUMBER(INDEX(Inputs!$K$5:$AJ$130,0,MATCH(N$2,Inputs!$K$4:$AJ$4,0))))+SUMPRODUCT((Inputs!$C$5:$C$130=$B4)*ISNUMBER(INDEX(Inputs!$K$5:$AJ$130,0,MATCH(N$2,Inputs!$K$4:$AJ$4,0))))+SUMPRODUCT((Inputs!$E$5:$E$130=$B4)*ISNUMBER(INDEX(Inputs!$K$5:$AJ$130,0,MATCH(N$2,Inputs!$K$4:$AJ$4,0))))=0,NA(),SUMPRODUCT((Inputs!$A$5:$A$130=$B4)*Inputs!$B$5:$B$130*(((Inputs!$G$5:$G$130="moeda")+(Inputs!$G$5:$G$130="acoes"))*Inputs!$B$1+((Inputs!$G$5:$G$130&lt;&gt;"moeda")*(Inputs!$G$5:$G$130&lt;&gt;"acoes")))*INDEX(Inputs!$K$5:$AJ$130,0,MATCH(N$2,Inputs!$K$4:$AJ$4,0)))+SUMPRODUCT((Inputs!$C$5:$C$130=$B4)*Inputs!$D$5:$D$130*(((Inputs!$G$5:$G$130="moeda")+(Inputs!$G$5:$G$130="acoes"))*Inputs!$B$1+((Inputs!$G$5:$G$130&lt;&gt;"moeda")*(Inputs!$G$5:$G$130&lt;&gt;"acoes")))*INDEX(Inputs!$K$5:$AJ$130,0,MATCH(N$2,Inputs!$K$4:$AJ$4,0)))+SUMPRODUCT((Inputs!$E$5:$E$130=$B4)*Inputs!$F$5:$F$130*(((Inputs!$G$5:$G$130="moeda")+(Inputs!$G$5:$G$130="acoes"))*Inputs!$B$1+((Inputs!$G$5:$G$130&lt;&gt;"moeda")*(Inputs!$G$5:$G$130&lt;&gt;"acoes")))*INDEX(Inputs!$K$5:$AJ$130,0,MATCH(N$2,Inputs!$K$4:$AJ$4,0)))))</f>
        <v>86959</v>
      </c>
      <c r="O4" s="265">
        <f>IF(ISNA(MATCH(O$2,Inputs!$K$4:$AJ$4,0)),NA(),IF(SUMPRODUCT((Inputs!$A$5:$A$130=$B4)*ISNUMBER(INDEX(Inputs!$K$5:$AJ$130,0,MATCH(O$2,Inputs!$K$4:$AJ$4,0))))+SUMPRODUCT((Inputs!$C$5:$C$130=$B4)*ISNUMBER(INDEX(Inputs!$K$5:$AJ$130,0,MATCH(O$2,Inputs!$K$4:$AJ$4,0))))+SUMPRODUCT((Inputs!$E$5:$E$130=$B4)*ISNUMBER(INDEX(Inputs!$K$5:$AJ$130,0,MATCH(O$2,Inputs!$K$4:$AJ$4,0))))=0,NA(),SUMPRODUCT((Inputs!$A$5:$A$130=$B4)*Inputs!$B$5:$B$130*(((Inputs!$G$5:$G$130="moeda")+(Inputs!$G$5:$G$130="acoes"))*Inputs!$B$1+((Inputs!$G$5:$G$130&lt;&gt;"moeda")*(Inputs!$G$5:$G$130&lt;&gt;"acoes")))*INDEX(Inputs!$K$5:$AJ$130,0,MATCH(O$2,Inputs!$K$4:$AJ$4,0)))+SUMPRODUCT((Inputs!$C$5:$C$130=$B4)*Inputs!$D$5:$D$130*(((Inputs!$G$5:$G$130="moeda")+(Inputs!$G$5:$G$130="acoes"))*Inputs!$B$1+((Inputs!$G$5:$G$130&lt;&gt;"moeda")*(Inputs!$G$5:$G$130&lt;&gt;"acoes")))*INDEX(Inputs!$K$5:$AJ$130,0,MATCH(O$2,Inputs!$K$4:$AJ$4,0)))+SUMPRODUCT((Inputs!$E$5:$E$130=$B4)*Inputs!$F$5:$F$130*(((Inputs!$G$5:$G$130="moeda")+(Inputs!$G$5:$G$130="acoes"))*Inputs!$B$1+((Inputs!$G$5:$G$130&lt;&gt;"moeda")*(Inputs!$G$5:$G$130&lt;&gt;"acoes")))*INDEX(Inputs!$K$5:$AJ$130,0,MATCH(O$2,Inputs!$K$4:$AJ$4,0)))))</f>
        <v>74578</v>
      </c>
      <c r="P4" s="265">
        <f>IF(ISNA(MATCH(P$2,Inputs!$K$4:$AJ$4,0)),NA(),IF(SUMPRODUCT((Inputs!$A$5:$A$130=$B4)*ISNUMBER(INDEX(Inputs!$K$5:$AJ$130,0,MATCH(P$2,Inputs!$K$4:$AJ$4,0))))+SUMPRODUCT((Inputs!$C$5:$C$130=$B4)*ISNUMBER(INDEX(Inputs!$K$5:$AJ$130,0,MATCH(P$2,Inputs!$K$4:$AJ$4,0))))+SUMPRODUCT((Inputs!$E$5:$E$130=$B4)*ISNUMBER(INDEX(Inputs!$K$5:$AJ$130,0,MATCH(P$2,Inputs!$K$4:$AJ$4,0))))=0,NA(),SUMPRODUCT((Inputs!$A$5:$A$130=$B4)*Inputs!$B$5:$B$130*(((Inputs!$G$5:$G$130="moeda")+(Inputs!$G$5:$G$130="acoes"))*Inputs!$B$1+((Inputs!$G$5:$G$130&lt;&gt;"moeda")*(Inputs!$G$5:$G$130&lt;&gt;"acoes")))*INDEX(Inputs!$K$5:$AJ$130,0,MATCH(P$2,Inputs!$K$4:$AJ$4,0)))+SUMPRODUCT((Inputs!$C$5:$C$130=$B4)*Inputs!$D$5:$D$130*(((Inputs!$G$5:$G$130="moeda")+(Inputs!$G$5:$G$130="acoes"))*Inputs!$B$1+((Inputs!$G$5:$G$130&lt;&gt;"moeda")*(Inputs!$G$5:$G$130&lt;&gt;"acoes")))*INDEX(Inputs!$K$5:$AJ$130,0,MATCH(P$2,Inputs!$K$4:$AJ$4,0)))+SUMPRODUCT((Inputs!$E$5:$E$130=$B4)*Inputs!$F$5:$F$130*(((Inputs!$G$5:$G$130="moeda")+(Inputs!$G$5:$G$130="acoes"))*Inputs!$B$1+((Inputs!$G$5:$G$130&lt;&gt;"moeda")*(Inputs!$G$5:$G$130&lt;&gt;"acoes")))*INDEX(Inputs!$K$5:$AJ$130,0,MATCH(P$2,Inputs!$K$4:$AJ$4,0)))))</f>
        <v>76350</v>
      </c>
      <c r="Q4" s="265">
        <f>IF(ISNA(MATCH(Q$2,Inputs!$K$4:$AJ$4,0)),NA(),IF(SUMPRODUCT((Inputs!$A$5:$A$130=$B4)*ISNUMBER(INDEX(Inputs!$K$5:$AJ$130,0,MATCH(Q$2,Inputs!$K$4:$AJ$4,0))))+SUMPRODUCT((Inputs!$C$5:$C$130=$B4)*ISNUMBER(INDEX(Inputs!$K$5:$AJ$130,0,MATCH(Q$2,Inputs!$K$4:$AJ$4,0))))+SUMPRODUCT((Inputs!$E$5:$E$130=$B4)*ISNUMBER(INDEX(Inputs!$K$5:$AJ$130,0,MATCH(Q$2,Inputs!$K$4:$AJ$4,0))))=0,NA(),SUMPRODUCT((Inputs!$A$5:$A$130=$B4)*Inputs!$B$5:$B$130*(((Inputs!$G$5:$G$130="moeda")+(Inputs!$G$5:$G$130="acoes"))*Inputs!$B$1+((Inputs!$G$5:$G$130&lt;&gt;"moeda")*(Inputs!$G$5:$G$130&lt;&gt;"acoes")))*INDEX(Inputs!$K$5:$AJ$130,0,MATCH(Q$2,Inputs!$K$4:$AJ$4,0)))+SUMPRODUCT((Inputs!$C$5:$C$130=$B4)*Inputs!$D$5:$D$130*(((Inputs!$G$5:$G$130="moeda")+(Inputs!$G$5:$G$130="acoes"))*Inputs!$B$1+((Inputs!$G$5:$G$130&lt;&gt;"moeda")*(Inputs!$G$5:$G$130&lt;&gt;"acoes")))*INDEX(Inputs!$K$5:$AJ$130,0,MATCH(Q$2,Inputs!$K$4:$AJ$4,0)))+SUMPRODUCT((Inputs!$E$5:$E$130=$B4)*Inputs!$F$5:$F$130*(((Inputs!$G$5:$G$130="moeda")+(Inputs!$G$5:$G$130="acoes"))*Inputs!$B$1+((Inputs!$G$5:$G$130&lt;&gt;"moeda")*(Inputs!$G$5:$G$130&lt;&gt;"acoes")))*INDEX(Inputs!$K$5:$AJ$130,0,MATCH(Q$2,Inputs!$K$4:$AJ$4,0)))))</f>
        <v>78732</v>
      </c>
      <c r="R4" s="266">
        <f>SUM(N4:Q4)</f>
        <v>316619</v>
      </c>
      <c r="S4" s="265">
        <f>IF(ISNA(MATCH(S$2,Inputs!$K$4:$AJ$4,0)),NA(),IF(SUMPRODUCT((Inputs!$A$5:$A$130=$B4)*ISNUMBER(INDEX(Inputs!$K$5:$AJ$130,0,MATCH(S$2,Inputs!$K$4:$AJ$4,0))))+SUMPRODUCT((Inputs!$C$5:$C$130=$B4)*ISNUMBER(INDEX(Inputs!$K$5:$AJ$130,0,MATCH(S$2,Inputs!$K$4:$AJ$4,0))))+SUMPRODUCT((Inputs!$E$5:$E$130=$B4)*ISNUMBER(INDEX(Inputs!$K$5:$AJ$130,0,MATCH(S$2,Inputs!$K$4:$AJ$4,0))))=0,NA(),SUMPRODUCT((Inputs!$A$5:$A$130=$B4)*Inputs!$B$5:$B$130*(((Inputs!$G$5:$G$130="moeda")+(Inputs!$G$5:$G$130="acoes"))*Inputs!$B$1+((Inputs!$G$5:$G$130&lt;&gt;"moeda")*(Inputs!$G$5:$G$130&lt;&gt;"acoes")))*INDEX(Inputs!$K$5:$AJ$130,0,MATCH(S$2,Inputs!$K$4:$AJ$4,0)))+SUMPRODUCT((Inputs!$C$5:$C$130=$B4)*Inputs!$D$5:$D$130*(((Inputs!$G$5:$G$130="moeda")+(Inputs!$G$5:$G$130="acoes"))*Inputs!$B$1+((Inputs!$G$5:$G$130&lt;&gt;"moeda")*(Inputs!$G$5:$G$130&lt;&gt;"acoes")))*INDEX(Inputs!$K$5:$AJ$130,0,MATCH(S$2,Inputs!$K$4:$AJ$4,0)))+SUMPRODUCT((Inputs!$E$5:$E$130=$B4)*Inputs!$F$5:$F$130*(((Inputs!$G$5:$G$130="moeda")+(Inputs!$G$5:$G$130="acoes"))*Inputs!$B$1+((Inputs!$G$5:$G$130&lt;&gt;"moeda")*(Inputs!$G$5:$G$130&lt;&gt;"acoes")))*INDEX(Inputs!$K$5:$AJ$130,0,MATCH(S$2,Inputs!$K$4:$AJ$4,0)))))</f>
        <v>72478</v>
      </c>
      <c r="T4" s="265">
        <f>IF(ISNA(MATCH(T$2,Inputs!$K$4:$AJ$4,0)),NA(),IF(SUMPRODUCT((Inputs!$A$5:$A$130=$B4)*ISNUMBER(INDEX(Inputs!$K$5:$AJ$130,0,MATCH(T$2,Inputs!$K$4:$AJ$4,0))))+SUMPRODUCT((Inputs!$C$5:$C$130=$B4)*ISNUMBER(INDEX(Inputs!$K$5:$AJ$130,0,MATCH(T$2,Inputs!$K$4:$AJ$4,0))))+SUMPRODUCT((Inputs!$E$5:$E$130=$B4)*ISNUMBER(INDEX(Inputs!$K$5:$AJ$130,0,MATCH(T$2,Inputs!$K$4:$AJ$4,0))))=0,NA(),SUMPRODUCT((Inputs!$A$5:$A$130=$B4)*Inputs!$B$5:$B$130*(((Inputs!$G$5:$G$130="moeda")+(Inputs!$G$5:$G$130="acoes"))*Inputs!$B$1+((Inputs!$G$5:$G$130&lt;&gt;"moeda")*(Inputs!$G$5:$G$130&lt;&gt;"acoes")))*INDEX(Inputs!$K$5:$AJ$130,0,MATCH(T$2,Inputs!$K$4:$AJ$4,0)))+SUMPRODUCT((Inputs!$C$5:$C$130=$B4)*Inputs!$D$5:$D$130*(((Inputs!$G$5:$G$130="moeda")+(Inputs!$G$5:$G$130="acoes"))*Inputs!$B$1+((Inputs!$G$5:$G$130&lt;&gt;"moeda")*(Inputs!$G$5:$G$130&lt;&gt;"acoes")))*INDEX(Inputs!$K$5:$AJ$130,0,MATCH(T$2,Inputs!$K$4:$AJ$4,0)))+SUMPRODUCT((Inputs!$E$5:$E$130=$B4)*Inputs!$F$5:$F$130*(((Inputs!$G$5:$G$130="moeda")+(Inputs!$G$5:$G$130="acoes"))*Inputs!$B$1+((Inputs!$G$5:$G$130&lt;&gt;"moeda")*(Inputs!$G$5:$G$130&lt;&gt;"acoes")))*INDEX(Inputs!$K$5:$AJ$130,0,MATCH(T$2,Inputs!$K$4:$AJ$4,0)))))</f>
        <v>74463</v>
      </c>
      <c r="U4" s="265">
        <f>IF(ISNA(MATCH(U$2,Inputs!$K$4:$AJ$4,0)),NA(),IF(SUMPRODUCT((Inputs!$A$5:$A$130=$B4)*ISNUMBER(INDEX(Inputs!$K$5:$AJ$130,0,MATCH(U$2,Inputs!$K$4:$AJ$4,0))))+SUMPRODUCT((Inputs!$C$5:$C$130=$B4)*ISNUMBER(INDEX(Inputs!$K$5:$AJ$130,0,MATCH(U$2,Inputs!$K$4:$AJ$4,0))))+SUMPRODUCT((Inputs!$E$5:$E$130=$B4)*ISNUMBER(INDEX(Inputs!$K$5:$AJ$130,0,MATCH(U$2,Inputs!$K$4:$AJ$4,0))))=0,NA(),SUMPRODUCT((Inputs!$A$5:$A$130=$B4)*Inputs!$B$5:$B$130*(((Inputs!$G$5:$G$130="moeda")+(Inputs!$G$5:$G$130="acoes"))*Inputs!$B$1+((Inputs!$G$5:$G$130&lt;&gt;"moeda")*(Inputs!$G$5:$G$130&lt;&gt;"acoes")))*INDEX(Inputs!$K$5:$AJ$130,0,MATCH(U$2,Inputs!$K$4:$AJ$4,0)))+SUMPRODUCT((Inputs!$C$5:$C$130=$B4)*Inputs!$D$5:$D$130*(((Inputs!$G$5:$G$130="moeda")+(Inputs!$G$5:$G$130="acoes"))*Inputs!$B$1+((Inputs!$G$5:$G$130&lt;&gt;"moeda")*(Inputs!$G$5:$G$130&lt;&gt;"acoes")))*INDEX(Inputs!$K$5:$AJ$130,0,MATCH(U$2,Inputs!$K$4:$AJ$4,0)))+SUMPRODUCT((Inputs!$E$5:$E$130=$B4)*Inputs!$F$5:$F$130*(((Inputs!$G$5:$G$130="moeda")+(Inputs!$G$5:$G$130="acoes"))*Inputs!$B$1+((Inputs!$G$5:$G$130&lt;&gt;"moeda")*(Inputs!$G$5:$G$130&lt;&gt;"acoes")))*INDEX(Inputs!$K$5:$AJ$130,0,MATCH(U$2,Inputs!$K$4:$AJ$4,0)))))</f>
        <v>71089</v>
      </c>
      <c r="V4" s="265">
        <f>IF(ISNA(MATCH(V$2,Inputs!$K$4:$AJ$4,0)),NA(),IF(SUMPRODUCT((Inputs!$A$5:$A$130=$B4)*ISNUMBER(INDEX(Inputs!$K$5:$AJ$130,0,MATCH(V$2,Inputs!$K$4:$AJ$4,0))))+SUMPRODUCT((Inputs!$C$5:$C$130=$B4)*ISNUMBER(INDEX(Inputs!$K$5:$AJ$130,0,MATCH(V$2,Inputs!$K$4:$AJ$4,0))))+SUMPRODUCT((Inputs!$E$5:$E$130=$B4)*ISNUMBER(INDEX(Inputs!$K$5:$AJ$130,0,MATCH(V$2,Inputs!$K$4:$AJ$4,0))))=0,NA(),SUMPRODUCT((Inputs!$A$5:$A$130=$B4)*Inputs!$B$5:$B$130*(((Inputs!$G$5:$G$130="moeda")+(Inputs!$G$5:$G$130="acoes"))*Inputs!$B$1+((Inputs!$G$5:$G$130&lt;&gt;"moeda")*(Inputs!$G$5:$G$130&lt;&gt;"acoes")))*INDEX(Inputs!$K$5:$AJ$130,0,MATCH(V$2,Inputs!$K$4:$AJ$4,0)))+SUMPRODUCT((Inputs!$C$5:$C$130=$B4)*Inputs!$D$5:$D$130*(((Inputs!$G$5:$G$130="moeda")+(Inputs!$G$5:$G$130="acoes"))*Inputs!$B$1+((Inputs!$G$5:$G$130&lt;&gt;"moeda")*(Inputs!$G$5:$G$130&lt;&gt;"acoes")))*INDEX(Inputs!$K$5:$AJ$130,0,MATCH(V$2,Inputs!$K$4:$AJ$4,0)))+SUMPRODUCT((Inputs!$E$5:$E$130=$B4)*Inputs!$F$5:$F$130*(((Inputs!$G$5:$G$130="moeda")+(Inputs!$G$5:$G$130="acoes"))*Inputs!$B$1+((Inputs!$G$5:$G$130&lt;&gt;"moeda")*(Inputs!$G$5:$G$130&lt;&gt;"acoes")))*INDEX(Inputs!$K$5:$AJ$130,0,MATCH(V$2,Inputs!$K$4:$AJ$4,0)))))</f>
        <v>66281</v>
      </c>
      <c r="W4" s="266">
        <f>SUM(S4:V4)</f>
        <v>284311</v>
      </c>
      <c r="X4" s="265">
        <f>IF(ISNA(MATCH(X$2,Inputs!$K$4:$AJ$4,0)),NA(),IF(SUMPRODUCT((Inputs!$A$5:$A$130=$B4)*ISNUMBER(INDEX(Inputs!$K$5:$AJ$130,0,MATCH(X$2,Inputs!$K$4:$AJ$4,0))))+SUMPRODUCT((Inputs!$C$5:$C$130=$B4)*ISNUMBER(INDEX(Inputs!$K$5:$AJ$130,0,MATCH(X$2,Inputs!$K$4:$AJ$4,0))))+SUMPRODUCT((Inputs!$E$5:$E$130=$B4)*ISNUMBER(INDEX(Inputs!$K$5:$AJ$130,0,MATCH(X$2,Inputs!$K$4:$AJ$4,0))))=0,NA(),SUMPRODUCT((Inputs!$A$5:$A$130=$B4)*Inputs!$B$5:$B$130*(((Inputs!$G$5:$G$130="moeda")+(Inputs!$G$5:$G$130="acoes"))*Inputs!$B$1+((Inputs!$G$5:$G$130&lt;&gt;"moeda")*(Inputs!$G$5:$G$130&lt;&gt;"acoes")))*INDEX(Inputs!$K$5:$AJ$130,0,MATCH(X$2,Inputs!$K$4:$AJ$4,0)))+SUMPRODUCT((Inputs!$C$5:$C$130=$B4)*Inputs!$D$5:$D$130*(((Inputs!$G$5:$G$130="moeda")+(Inputs!$G$5:$G$130="acoes"))*Inputs!$B$1+((Inputs!$G$5:$G$130&lt;&gt;"moeda")*(Inputs!$G$5:$G$130&lt;&gt;"acoes")))*INDEX(Inputs!$K$5:$AJ$130,0,MATCH(X$2,Inputs!$K$4:$AJ$4,0)))+SUMPRODUCT((Inputs!$E$5:$E$130=$B4)*Inputs!$F$5:$F$130*(((Inputs!$G$5:$G$130="moeda")+(Inputs!$G$5:$G$130="acoes"))*Inputs!$B$1+((Inputs!$G$5:$G$130&lt;&gt;"moeda")*(Inputs!$G$5:$G$130&lt;&gt;"acoes")))*INDEX(Inputs!$K$5:$AJ$130,0,MATCH(X$2,Inputs!$K$4:$AJ$4,0)))))</f>
        <v>69234</v>
      </c>
      <c r="Y4" s="265">
        <f>IF(ISNA(MATCH(Y$2,Inputs!$K$4:$AJ$4,0)),NA(),IF(SUMPRODUCT((Inputs!$A$5:$A$130=$B4)*ISNUMBER(INDEX(Inputs!$K$5:$AJ$130,0,MATCH(Y$2,Inputs!$K$4:$AJ$4,0))))+SUMPRODUCT((Inputs!$C$5:$C$130=$B4)*ISNUMBER(INDEX(Inputs!$K$5:$AJ$130,0,MATCH(Y$2,Inputs!$K$4:$AJ$4,0))))+SUMPRODUCT((Inputs!$E$5:$E$130=$B4)*ISNUMBER(INDEX(Inputs!$K$5:$AJ$130,0,MATCH(Y$2,Inputs!$K$4:$AJ$4,0))))=0,NA(),SUMPRODUCT((Inputs!$A$5:$A$130=$B4)*Inputs!$B$5:$B$130*(((Inputs!$G$5:$G$130="moeda")+(Inputs!$G$5:$G$130="acoes"))*Inputs!$B$1+((Inputs!$G$5:$G$130&lt;&gt;"moeda")*(Inputs!$G$5:$G$130&lt;&gt;"acoes")))*INDEX(Inputs!$K$5:$AJ$130,0,MATCH(Y$2,Inputs!$K$4:$AJ$4,0)))+SUMPRODUCT((Inputs!$C$5:$C$130=$B4)*Inputs!$D$5:$D$130*(((Inputs!$G$5:$G$130="moeda")+(Inputs!$G$5:$G$130="acoes"))*Inputs!$B$1+((Inputs!$G$5:$G$130&lt;&gt;"moeda")*(Inputs!$G$5:$G$130&lt;&gt;"acoes")))*INDEX(Inputs!$K$5:$AJ$130,0,MATCH(Y$2,Inputs!$K$4:$AJ$4,0)))+SUMPRODUCT((Inputs!$E$5:$E$130=$B4)*Inputs!$F$5:$F$130*(((Inputs!$G$5:$G$130="moeda")+(Inputs!$G$5:$G$130="acoes"))*Inputs!$B$1+((Inputs!$G$5:$G$130&lt;&gt;"moeda")*(Inputs!$G$5:$G$130&lt;&gt;"acoes")))*INDEX(Inputs!$K$5:$AJ$130,0,MATCH(Y$2,Inputs!$K$4:$AJ$4,0)))))</f>
        <v>65406</v>
      </c>
      <c r="Z4" s="265">
        <f>IF(ISNA(MATCH(Z$2,Inputs!$K$4:$AJ$4,0)),NA(),IF(SUMPRODUCT((Inputs!$A$5:$A$130=$B4)*ISNUMBER(INDEX(Inputs!$K$5:$AJ$130,0,MATCH(Z$2,Inputs!$K$4:$AJ$4,0))))+SUMPRODUCT((Inputs!$C$5:$C$130=$B4)*ISNUMBER(INDEX(Inputs!$K$5:$AJ$130,0,MATCH(Z$2,Inputs!$K$4:$AJ$4,0))))+SUMPRODUCT((Inputs!$E$5:$E$130=$B4)*ISNUMBER(INDEX(Inputs!$K$5:$AJ$130,0,MATCH(Z$2,Inputs!$K$4:$AJ$4,0))))=0,NA(),SUMPRODUCT((Inputs!$A$5:$A$130=$B4)*Inputs!$B$5:$B$130*(((Inputs!$G$5:$G$130="moeda")+(Inputs!$G$5:$G$130="acoes"))*Inputs!$B$1+((Inputs!$G$5:$G$130&lt;&gt;"moeda")*(Inputs!$G$5:$G$130&lt;&gt;"acoes")))*INDEX(Inputs!$K$5:$AJ$130,0,MATCH(Z$2,Inputs!$K$4:$AJ$4,0)))+SUMPRODUCT((Inputs!$C$5:$C$130=$B4)*Inputs!$D$5:$D$130*(((Inputs!$G$5:$G$130="moeda")+(Inputs!$G$5:$G$130="acoes"))*Inputs!$B$1+((Inputs!$G$5:$G$130&lt;&gt;"moeda")*(Inputs!$G$5:$G$130&lt;&gt;"acoes")))*INDEX(Inputs!$K$5:$AJ$130,0,MATCH(Z$2,Inputs!$K$4:$AJ$4,0)))+SUMPRODUCT((Inputs!$E$5:$E$130=$B4)*Inputs!$F$5:$F$130*(((Inputs!$G$5:$G$130="moeda")+(Inputs!$G$5:$G$130="acoes"))*Inputs!$B$1+((Inputs!$G$5:$G$130&lt;&gt;"moeda")*(Inputs!$G$5:$G$130&lt;&gt;"acoes")))*INDEX(Inputs!$K$5:$AJ$130,0,MATCH(Z$2,Inputs!$K$4:$AJ$4,0)))))</f>
        <v>68153</v>
      </c>
      <c r="AA4" s="265">
        <f>IF(ISNA(MATCH(AA$2,Inputs!$K$4:$AJ$4,0)),NA(),IF(SUMPRODUCT((Inputs!$A$5:$A$130=$B4)*ISNUMBER(INDEX(Inputs!$K$5:$AJ$130,0,MATCH(AA$2,Inputs!$K$4:$AJ$4,0))))+SUMPRODUCT((Inputs!$C$5:$C$130=$B4)*ISNUMBER(INDEX(Inputs!$K$5:$AJ$130,0,MATCH(AA$2,Inputs!$K$4:$AJ$4,0))))+SUMPRODUCT((Inputs!$E$5:$E$130=$B4)*ISNUMBER(INDEX(Inputs!$K$5:$AJ$130,0,MATCH(AA$2,Inputs!$K$4:$AJ$4,0))))=0,NA(),SUMPRODUCT((Inputs!$A$5:$A$130=$B4)*Inputs!$B$5:$B$130*(((Inputs!$G$5:$G$130="moeda")+(Inputs!$G$5:$G$130="acoes"))*Inputs!$B$1+((Inputs!$G$5:$G$130&lt;&gt;"moeda")*(Inputs!$G$5:$G$130&lt;&gt;"acoes")))*INDEX(Inputs!$K$5:$AJ$130,0,MATCH(AA$2,Inputs!$K$4:$AJ$4,0)))+SUMPRODUCT((Inputs!$C$5:$C$130=$B4)*Inputs!$D$5:$D$130*(((Inputs!$G$5:$G$130="moeda")+(Inputs!$G$5:$G$130="acoes"))*Inputs!$B$1+((Inputs!$G$5:$G$130&lt;&gt;"moeda")*(Inputs!$G$5:$G$130&lt;&gt;"acoes")))*INDEX(Inputs!$K$5:$AJ$130,0,MATCH(AA$2,Inputs!$K$4:$AJ$4,0)))+SUMPRODUCT((Inputs!$E$5:$E$130=$B4)*Inputs!$F$5:$F$130*(((Inputs!$G$5:$G$130="moeda")+(Inputs!$G$5:$G$130="acoes"))*Inputs!$B$1+((Inputs!$G$5:$G$130&lt;&gt;"moeda")*(Inputs!$G$5:$G$130&lt;&gt;"acoes")))*INDEX(Inputs!$K$5:$AJ$130,0,MATCH(AA$2,Inputs!$K$4:$AJ$4,0)))))</f>
        <v>64093</v>
      </c>
      <c r="AB4" s="266">
        <f>SUM(X4:AA4)</f>
        <v>266886</v>
      </c>
      <c r="AC4" s="265">
        <f>IF(ISNA(MATCH(AC$2,Inputs!$K$4:$AJ$4,0)),NA(),IF(SUMPRODUCT((Inputs!$A$5:$A$130=$B4)*ISNUMBER(INDEX(Inputs!$K$5:$AJ$130,0,MATCH(AC$2,Inputs!$K$4:$AJ$4,0))))+SUMPRODUCT((Inputs!$C$5:$C$130=$B4)*ISNUMBER(INDEX(Inputs!$K$5:$AJ$130,0,MATCH(AC$2,Inputs!$K$4:$AJ$4,0))))+SUMPRODUCT((Inputs!$E$5:$E$130=$B4)*ISNUMBER(INDEX(Inputs!$K$5:$AJ$130,0,MATCH(AC$2,Inputs!$K$4:$AJ$4,0))))=0,NA(),SUMPRODUCT((Inputs!$A$5:$A$130=$B4)*Inputs!$B$5:$B$130*(((Inputs!$G$5:$G$130="moeda")+(Inputs!$G$5:$G$130="acoes"))*Inputs!$B$1+((Inputs!$G$5:$G$130&lt;&gt;"moeda")*(Inputs!$G$5:$G$130&lt;&gt;"acoes")))*INDEX(Inputs!$K$5:$AJ$130,0,MATCH(AC$2,Inputs!$K$4:$AJ$4,0)))+SUMPRODUCT((Inputs!$C$5:$C$130=$B4)*Inputs!$D$5:$D$130*(((Inputs!$G$5:$G$130="moeda")+(Inputs!$G$5:$G$130="acoes"))*Inputs!$B$1+((Inputs!$G$5:$G$130&lt;&gt;"moeda")*(Inputs!$G$5:$G$130&lt;&gt;"acoes")))*INDEX(Inputs!$K$5:$AJ$130,0,MATCH(AC$2,Inputs!$K$4:$AJ$4,0)))+SUMPRODUCT((Inputs!$E$5:$E$130=$B4)*Inputs!$F$5:$F$130*(((Inputs!$G$5:$G$130="moeda")+(Inputs!$G$5:$G$130="acoes"))*Inputs!$B$1+((Inputs!$G$5:$G$130&lt;&gt;"moeda")*(Inputs!$G$5:$G$130&lt;&gt;"acoes")))*INDEX(Inputs!$K$5:$AJ$130,0,MATCH(AC$2,Inputs!$K$4:$AJ$4,0)))))</f>
        <v>69691</v>
      </c>
      <c r="AD4" s="265">
        <f>IF(ISNA(MATCH(AD$2,Inputs!$K$4:$AJ$4,0)),NA(),IF(SUMPRODUCT((Inputs!$A$5:$A$130=$B4)*ISNUMBER(INDEX(Inputs!$K$5:$AJ$130,0,MATCH(AD$2,Inputs!$K$4:$AJ$4,0))))+SUMPRODUCT((Inputs!$C$5:$C$130=$B4)*ISNUMBER(INDEX(Inputs!$K$5:$AJ$130,0,MATCH(AD$2,Inputs!$K$4:$AJ$4,0))))+SUMPRODUCT((Inputs!$E$5:$E$130=$B4)*ISNUMBER(INDEX(Inputs!$K$5:$AJ$130,0,MATCH(AD$2,Inputs!$K$4:$AJ$4,0))))=0,NA(),SUMPRODUCT((Inputs!$A$5:$A$130=$B4)*Inputs!$B$5:$B$130*(((Inputs!$G$5:$G$130="moeda")+(Inputs!$G$5:$G$130="acoes"))*Inputs!$B$1+((Inputs!$G$5:$G$130&lt;&gt;"moeda")*(Inputs!$G$5:$G$130&lt;&gt;"acoes")))*INDEX(Inputs!$K$5:$AJ$130,0,MATCH(AD$2,Inputs!$K$4:$AJ$4,0)))+SUMPRODUCT((Inputs!$C$5:$C$130=$B4)*Inputs!$D$5:$D$130*(((Inputs!$G$5:$G$130="moeda")+(Inputs!$G$5:$G$130="acoes"))*Inputs!$B$1+((Inputs!$G$5:$G$130&lt;&gt;"moeda")*(Inputs!$G$5:$G$130&lt;&gt;"acoes")))*INDEX(Inputs!$K$5:$AJ$130,0,MATCH(AD$2,Inputs!$K$4:$AJ$4,0)))+SUMPRODUCT((Inputs!$E$5:$E$130=$B4)*Inputs!$F$5:$F$130*(((Inputs!$G$5:$G$130="moeda")+(Inputs!$G$5:$G$130="acoes"))*Inputs!$B$1+((Inputs!$G$5:$G$130&lt;&gt;"moeda")*(Inputs!$G$5:$G$130&lt;&gt;"acoes")))*INDEX(Inputs!$K$5:$AJ$130,0,MATCH(AD$2,Inputs!$K$4:$AJ$4,0)))))</f>
        <v>94664</v>
      </c>
      <c r="AE4" s="265" t="e">
        <f>IF(ISNA(MATCH(AE$2,Inputs!$K$4:$AJ$4,0)),NA(),IF(SUMPRODUCT((Inputs!$A$5:$A$130=$B4)*ISNUMBER(INDEX(Inputs!$K$5:$AJ$130,0,MATCH(AE$2,Inputs!$K$4:$AJ$4,0))))+SUMPRODUCT((Inputs!$C$5:$C$130=$B4)*ISNUMBER(INDEX(Inputs!$K$5:$AJ$130,0,MATCH(AE$2,Inputs!$K$4:$AJ$4,0))))+SUMPRODUCT((Inputs!$E$5:$E$130=$B4)*ISNUMBER(INDEX(Inputs!$K$5:$AJ$130,0,MATCH(AE$2,Inputs!$K$4:$AJ$4,0))))=0,NA(),SUMPRODUCT((Inputs!$A$5:$A$130=$B4)*Inputs!$B$5:$B$130*(((Inputs!$G$5:$G$130="moeda")+(Inputs!$G$5:$G$130="acoes"))*Inputs!$B$1+((Inputs!$G$5:$G$130&lt;&gt;"moeda")*(Inputs!$G$5:$G$130&lt;&gt;"acoes")))*INDEX(Inputs!$K$5:$AJ$130,0,MATCH(AE$2,Inputs!$K$4:$AJ$4,0)))+SUMPRODUCT((Inputs!$C$5:$C$130=$B4)*Inputs!$D$5:$D$130*(((Inputs!$G$5:$G$130="moeda")+(Inputs!$G$5:$G$130="acoes"))*Inputs!$B$1+((Inputs!$G$5:$G$130&lt;&gt;"moeda")*(Inputs!$G$5:$G$130&lt;&gt;"acoes")))*INDEX(Inputs!$K$5:$AJ$130,0,MATCH(AE$2,Inputs!$K$4:$AJ$4,0)))+SUMPRODUCT((Inputs!$E$5:$E$130=$B4)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" s="265" t="e">
        <f>IF(ISNA(MATCH(AF$2,Inputs!$K$4:$AJ$4,0)),NA(),IF(SUMPRODUCT((Inputs!$A$5:$A$130=$B4)*ISNUMBER(INDEX(Inputs!$K$5:$AJ$130,0,MATCH(AF$2,Inputs!$K$4:$AJ$4,0))))+SUMPRODUCT((Inputs!$C$5:$C$130=$B4)*ISNUMBER(INDEX(Inputs!$K$5:$AJ$130,0,MATCH(AF$2,Inputs!$K$4:$AJ$4,0))))+SUMPRODUCT((Inputs!$E$5:$E$130=$B4)*ISNUMBER(INDEX(Inputs!$K$5:$AJ$130,0,MATCH(AF$2,Inputs!$K$4:$AJ$4,0))))=0,NA(),SUMPRODUCT((Inputs!$A$5:$A$130=$B4)*Inputs!$B$5:$B$130*(((Inputs!$G$5:$G$130="moeda")+(Inputs!$G$5:$G$130="acoes"))*Inputs!$B$1+((Inputs!$G$5:$G$130&lt;&gt;"moeda")*(Inputs!$G$5:$G$130&lt;&gt;"acoes")))*INDEX(Inputs!$K$5:$AJ$130,0,MATCH(AF$2,Inputs!$K$4:$AJ$4,0)))+SUMPRODUCT((Inputs!$C$5:$C$130=$B4)*Inputs!$D$5:$D$130*(((Inputs!$G$5:$G$130="moeda")+(Inputs!$G$5:$G$130="acoes"))*Inputs!$B$1+((Inputs!$G$5:$G$130&lt;&gt;"moeda")*(Inputs!$G$5:$G$130&lt;&gt;"acoes")))*INDEX(Inputs!$K$5:$AJ$130,0,MATCH(AF$2,Inputs!$K$4:$AJ$4,0)))+SUMPRODUCT((Inputs!$E$5:$E$130=$B4)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" s="266" t="e">
        <f>SUM(AC4:AF4)</f>
        <v>#N/A</v>
      </c>
      <c r="AH4" s="265" t="e">
        <f>IF(ISNA(MATCH(AH$2,Inputs!$K$4:$AJ$4,0)),NA(),IF(SUMPRODUCT((Inputs!$A$5:$A$130=$B4)*ISNUMBER(INDEX(Inputs!$K$5:$AJ$130,0,MATCH(AH$2,Inputs!$K$4:$AJ$4,0))))+SUMPRODUCT((Inputs!$C$5:$C$130=$B4)*ISNUMBER(INDEX(Inputs!$K$5:$AJ$130,0,MATCH(AH$2,Inputs!$K$4:$AJ$4,0))))+SUMPRODUCT((Inputs!$E$5:$E$130=$B4)*ISNUMBER(INDEX(Inputs!$K$5:$AJ$130,0,MATCH(AH$2,Inputs!$K$4:$AJ$4,0))))=0,NA(),SUMPRODUCT((Inputs!$A$5:$A$130=$B4)*Inputs!$B$5:$B$130*(((Inputs!$G$5:$G$130="moeda")+(Inputs!$G$5:$G$130="acoes"))*Inputs!$B$1+((Inputs!$G$5:$G$130&lt;&gt;"moeda")*(Inputs!$G$5:$G$130&lt;&gt;"acoes")))*INDEX(Inputs!$K$5:$AJ$130,0,MATCH(AH$2,Inputs!$K$4:$AJ$4,0)))+SUMPRODUCT((Inputs!$C$5:$C$130=$B4)*Inputs!$D$5:$D$130*(((Inputs!$G$5:$G$130="moeda")+(Inputs!$G$5:$G$130="acoes"))*Inputs!$B$1+((Inputs!$G$5:$G$130&lt;&gt;"moeda")*(Inputs!$G$5:$G$130&lt;&gt;"acoes")))*INDEX(Inputs!$K$5:$AJ$130,0,MATCH(AH$2,Inputs!$K$4:$AJ$4,0)))+SUMPRODUCT((Inputs!$E$5:$E$130=$B4)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4" s="265" t="e">
        <f>IF(ISNA(MATCH(AI$2,Inputs!$K$4:$AJ$4,0)),NA(),IF(SUMPRODUCT((Inputs!$A$5:$A$130=$B4)*ISNUMBER(INDEX(Inputs!$K$5:$AJ$130,0,MATCH(AI$2,Inputs!$K$4:$AJ$4,0))))+SUMPRODUCT((Inputs!$C$5:$C$130=$B4)*ISNUMBER(INDEX(Inputs!$K$5:$AJ$130,0,MATCH(AI$2,Inputs!$K$4:$AJ$4,0))))+SUMPRODUCT((Inputs!$E$5:$E$130=$B4)*ISNUMBER(INDEX(Inputs!$K$5:$AJ$130,0,MATCH(AI$2,Inputs!$K$4:$AJ$4,0))))=0,NA(),SUMPRODUCT((Inputs!$A$5:$A$130=$B4)*Inputs!$B$5:$B$130*(((Inputs!$G$5:$G$130="moeda")+(Inputs!$G$5:$G$130="acoes"))*Inputs!$B$1+((Inputs!$G$5:$G$130&lt;&gt;"moeda")*(Inputs!$G$5:$G$130&lt;&gt;"acoes")))*INDEX(Inputs!$K$5:$AJ$130,0,MATCH(AI$2,Inputs!$K$4:$AJ$4,0)))+SUMPRODUCT((Inputs!$C$5:$C$130=$B4)*Inputs!$D$5:$D$130*(((Inputs!$G$5:$G$130="moeda")+(Inputs!$G$5:$G$130="acoes"))*Inputs!$B$1+((Inputs!$G$5:$G$130&lt;&gt;"moeda")*(Inputs!$G$5:$G$130&lt;&gt;"acoes")))*INDEX(Inputs!$K$5:$AJ$130,0,MATCH(AI$2,Inputs!$K$4:$AJ$4,0)))+SUMPRODUCT((Inputs!$E$5:$E$130=$B4)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4" s="265" t="e">
        <f>IF(ISNA(MATCH(AJ$2,Inputs!$K$4:$AJ$4,0)),NA(),IF(SUMPRODUCT((Inputs!$A$5:$A$130=$B4)*ISNUMBER(INDEX(Inputs!$K$5:$AJ$130,0,MATCH(AJ$2,Inputs!$K$4:$AJ$4,0))))+SUMPRODUCT((Inputs!$C$5:$C$130=$B4)*ISNUMBER(INDEX(Inputs!$K$5:$AJ$130,0,MATCH(AJ$2,Inputs!$K$4:$AJ$4,0))))+SUMPRODUCT((Inputs!$E$5:$E$130=$B4)*ISNUMBER(INDEX(Inputs!$K$5:$AJ$130,0,MATCH(AJ$2,Inputs!$K$4:$AJ$4,0))))=0,NA(),SUMPRODUCT((Inputs!$A$5:$A$130=$B4)*Inputs!$B$5:$B$130*(((Inputs!$G$5:$G$130="moeda")+(Inputs!$G$5:$G$130="acoes"))*Inputs!$B$1+((Inputs!$G$5:$G$130&lt;&gt;"moeda")*(Inputs!$G$5:$G$130&lt;&gt;"acoes")))*INDEX(Inputs!$K$5:$AJ$130,0,MATCH(AJ$2,Inputs!$K$4:$AJ$4,0)))+SUMPRODUCT((Inputs!$C$5:$C$130=$B4)*Inputs!$D$5:$D$130*(((Inputs!$G$5:$G$130="moeda")+(Inputs!$G$5:$G$130="acoes"))*Inputs!$B$1+((Inputs!$G$5:$G$130&lt;&gt;"moeda")*(Inputs!$G$5:$G$130&lt;&gt;"acoes")))*INDEX(Inputs!$K$5:$AJ$130,0,MATCH(AJ$2,Inputs!$K$4:$AJ$4,0)))+SUMPRODUCT((Inputs!$E$5:$E$130=$B4)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4" s="265" t="e">
        <f>IF(ISNA(MATCH(AK$2,Inputs!$K$4:$AJ$4,0)),NA(),IF(SUMPRODUCT((Inputs!$A$5:$A$130=$B4)*ISNUMBER(INDEX(Inputs!$K$5:$AJ$130,0,MATCH(AK$2,Inputs!$K$4:$AJ$4,0))))+SUMPRODUCT((Inputs!$C$5:$C$130=$B4)*ISNUMBER(INDEX(Inputs!$K$5:$AJ$130,0,MATCH(AK$2,Inputs!$K$4:$AJ$4,0))))+SUMPRODUCT((Inputs!$E$5:$E$130=$B4)*ISNUMBER(INDEX(Inputs!$K$5:$AJ$130,0,MATCH(AK$2,Inputs!$K$4:$AJ$4,0))))=0,NA(),SUMPRODUCT((Inputs!$A$5:$A$130=$B4)*Inputs!$B$5:$B$130*(((Inputs!$G$5:$G$130="moeda")+(Inputs!$G$5:$G$130="acoes"))*Inputs!$B$1+((Inputs!$G$5:$G$130&lt;&gt;"moeda")*(Inputs!$G$5:$G$130&lt;&gt;"acoes")))*INDEX(Inputs!$K$5:$AJ$130,0,MATCH(AK$2,Inputs!$K$4:$AJ$4,0)))+SUMPRODUCT((Inputs!$C$5:$C$130=$B4)*Inputs!$D$5:$D$130*(((Inputs!$G$5:$G$130="moeda")+(Inputs!$G$5:$G$130="acoes"))*Inputs!$B$1+((Inputs!$G$5:$G$130&lt;&gt;"moeda")*(Inputs!$G$5:$G$130&lt;&gt;"acoes")))*INDEX(Inputs!$K$5:$AJ$130,0,MATCH(AK$2,Inputs!$K$4:$AJ$4,0)))+SUMPRODUCT((Inputs!$E$5:$E$130=$B4)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4" s="266" t="e">
        <f>SUM(AH4:AK4)</f>
        <v>#N/A</v>
      </c>
    </row>
    <row r="5" ht="12.75" customHeight="1" s="254">
      <c r="B5" s="263" t="n">
        <v>2</v>
      </c>
      <c r="C5" s="267" t="inlineStr">
        <is>
          <t>COGS (cash)</t>
        </is>
      </c>
      <c r="D5" s="265">
        <f>IF(ISNA(MATCH(D$2,Inputs!$K$4:$AJ$4,0)),NA(),IF(SUMPRODUCT((Inputs!$A$5:$A$130=$B5)*ISNUMBER(INDEX(Inputs!$K$5:$AJ$130,0,MATCH(D$2,Inputs!$K$4:$AJ$4,0))))+SUMPRODUCT((Inputs!$C$5:$C$130=$B5)*ISNUMBER(INDEX(Inputs!$K$5:$AJ$130,0,MATCH(D$2,Inputs!$K$4:$AJ$4,0))))+SUMPRODUCT((Inputs!$E$5:$E$130=$B5)*ISNUMBER(INDEX(Inputs!$K$5:$AJ$130,0,MATCH(D$2,Inputs!$K$4:$AJ$4,0))))=0,NA(),SUMPRODUCT((Inputs!$A$5:$A$130=$B5)*Inputs!$B$5:$B$130*(((Inputs!$G$5:$G$130="moeda")+(Inputs!$G$5:$G$130="acoes"))*Inputs!$B$1+((Inputs!$G$5:$G$130&lt;&gt;"moeda")*(Inputs!$G$5:$G$130&lt;&gt;"acoes")))*INDEX(Inputs!$K$5:$AJ$130,0,MATCH(D$2,Inputs!$K$4:$AJ$4,0)))+SUMPRODUCT((Inputs!$C$5:$C$130=$B5)*Inputs!$D$5:$D$130*(((Inputs!$G$5:$G$130="moeda")+(Inputs!$G$5:$G$130="acoes"))*Inputs!$B$1+((Inputs!$G$5:$G$130&lt;&gt;"moeda")*(Inputs!$G$5:$G$130&lt;&gt;"acoes")))*INDEX(Inputs!$K$5:$AJ$130,0,MATCH(D$2,Inputs!$K$4:$AJ$4,0)))+SUMPRODUCT((Inputs!$E$5:$E$130=$B5)*Inputs!$F$5:$F$130*(((Inputs!$G$5:$G$130="moeda")+(Inputs!$G$5:$G$130="acoes"))*Inputs!$B$1+((Inputs!$G$5:$G$130&lt;&gt;"moeda")*(Inputs!$G$5:$G$130&lt;&gt;"acoes")))*INDEX(Inputs!$K$5:$AJ$130,0,MATCH(D$2,Inputs!$K$4:$AJ$4,0)))))</f>
        <v>-34369</v>
      </c>
      <c r="E5" s="265">
        <f>IF(ISNA(MATCH(E$2,Inputs!$K$4:$AJ$4,0)),NA(),IF(SUMPRODUCT((Inputs!$A$5:$A$130=$B5)*ISNUMBER(INDEX(Inputs!$K$5:$AJ$130,0,MATCH(E$2,Inputs!$K$4:$AJ$4,0))))+SUMPRODUCT((Inputs!$C$5:$C$130=$B5)*ISNUMBER(INDEX(Inputs!$K$5:$AJ$130,0,MATCH(E$2,Inputs!$K$4:$AJ$4,0))))+SUMPRODUCT((Inputs!$E$5:$E$130=$B5)*ISNUMBER(INDEX(Inputs!$K$5:$AJ$130,0,MATCH(E$2,Inputs!$K$4:$AJ$4,0))))=0,NA(),SUMPRODUCT((Inputs!$A$5:$A$130=$B5)*Inputs!$B$5:$B$130*(((Inputs!$G$5:$G$130="moeda")+(Inputs!$G$5:$G$130="acoes"))*Inputs!$B$1+((Inputs!$G$5:$G$130&lt;&gt;"moeda")*(Inputs!$G$5:$G$130&lt;&gt;"acoes")))*INDEX(Inputs!$K$5:$AJ$130,0,MATCH(E$2,Inputs!$K$4:$AJ$4,0)))+SUMPRODUCT((Inputs!$C$5:$C$130=$B5)*Inputs!$D$5:$D$130*(((Inputs!$G$5:$G$130="moeda")+(Inputs!$G$5:$G$130="acoes"))*Inputs!$B$1+((Inputs!$G$5:$G$130&lt;&gt;"moeda")*(Inputs!$G$5:$G$130&lt;&gt;"acoes")))*INDEX(Inputs!$K$5:$AJ$130,0,MATCH(E$2,Inputs!$K$4:$AJ$4,0)))+SUMPRODUCT((Inputs!$E$5:$E$130=$B5)*Inputs!$F$5:$F$130*(((Inputs!$G$5:$G$130="moeda")+(Inputs!$G$5:$G$130="acoes"))*Inputs!$B$1+((Inputs!$G$5:$G$130&lt;&gt;"moeda")*(Inputs!$G$5:$G$130&lt;&gt;"acoes")))*INDEX(Inputs!$K$5:$AJ$130,0,MATCH(E$2,Inputs!$K$4:$AJ$4,0)))))</f>
        <v>-39717</v>
      </c>
      <c r="F5" s="265">
        <f>IF(ISNA(MATCH(F$2,Inputs!$K$4:$AJ$4,0)),NA(),IF(SUMPRODUCT((Inputs!$A$5:$A$130=$B5)*ISNUMBER(INDEX(Inputs!$K$5:$AJ$130,0,MATCH(F$2,Inputs!$K$4:$AJ$4,0))))+SUMPRODUCT((Inputs!$C$5:$C$130=$B5)*ISNUMBER(INDEX(Inputs!$K$5:$AJ$130,0,MATCH(F$2,Inputs!$K$4:$AJ$4,0))))+SUMPRODUCT((Inputs!$E$5:$E$130=$B5)*ISNUMBER(INDEX(Inputs!$K$5:$AJ$130,0,MATCH(F$2,Inputs!$K$4:$AJ$4,0))))=0,NA(),SUMPRODUCT((Inputs!$A$5:$A$130=$B5)*Inputs!$B$5:$B$130*(((Inputs!$G$5:$G$130="moeda")+(Inputs!$G$5:$G$130="acoes"))*Inputs!$B$1+((Inputs!$G$5:$G$130&lt;&gt;"moeda")*(Inputs!$G$5:$G$130&lt;&gt;"acoes")))*INDEX(Inputs!$K$5:$AJ$130,0,MATCH(F$2,Inputs!$K$4:$AJ$4,0)))+SUMPRODUCT((Inputs!$C$5:$C$130=$B5)*Inputs!$D$5:$D$130*(((Inputs!$G$5:$G$130="moeda")+(Inputs!$G$5:$G$130="acoes"))*Inputs!$B$1+((Inputs!$G$5:$G$130&lt;&gt;"moeda")*(Inputs!$G$5:$G$130&lt;&gt;"acoes")))*INDEX(Inputs!$K$5:$AJ$130,0,MATCH(F$2,Inputs!$K$4:$AJ$4,0)))+SUMPRODUCT((Inputs!$E$5:$E$130=$B5)*Inputs!$F$5:$F$130*(((Inputs!$G$5:$G$130="moeda")+(Inputs!$G$5:$G$130="acoes"))*Inputs!$B$1+((Inputs!$G$5:$G$130&lt;&gt;"moeda")*(Inputs!$G$5:$G$130&lt;&gt;"acoes")))*INDEX(Inputs!$K$5:$AJ$130,0,MATCH(F$2,Inputs!$K$4:$AJ$4,0)))))</f>
        <v>-44260</v>
      </c>
      <c r="G5" s="265">
        <f>IF(ISNA(MATCH(G$2,Inputs!$K$4:$AJ$4,0)),NA(),IF(SUMPRODUCT((Inputs!$A$5:$A$130=$B5)*ISNUMBER(INDEX(Inputs!$K$5:$AJ$130,0,MATCH(G$2,Inputs!$K$4:$AJ$4,0))))+SUMPRODUCT((Inputs!$C$5:$C$130=$B5)*ISNUMBER(INDEX(Inputs!$K$5:$AJ$130,0,MATCH(G$2,Inputs!$K$4:$AJ$4,0))))+SUMPRODUCT((Inputs!$E$5:$E$130=$B5)*ISNUMBER(INDEX(Inputs!$K$5:$AJ$130,0,MATCH(G$2,Inputs!$K$4:$AJ$4,0))))=0,NA(),SUMPRODUCT((Inputs!$A$5:$A$130=$B5)*Inputs!$B$5:$B$130*(((Inputs!$G$5:$G$130="moeda")+(Inputs!$G$5:$G$130="acoes"))*Inputs!$B$1+((Inputs!$G$5:$G$130&lt;&gt;"moeda")*(Inputs!$G$5:$G$130&lt;&gt;"acoes")))*INDEX(Inputs!$K$5:$AJ$130,0,MATCH(G$2,Inputs!$K$4:$AJ$4,0)))+SUMPRODUCT((Inputs!$C$5:$C$130=$B5)*Inputs!$D$5:$D$130*(((Inputs!$G$5:$G$130="moeda")+(Inputs!$G$5:$G$130="acoes"))*Inputs!$B$1+((Inputs!$G$5:$G$130&lt;&gt;"moeda")*(Inputs!$G$5:$G$130&lt;&gt;"acoes")))*INDEX(Inputs!$K$5:$AJ$130,0,MATCH(G$2,Inputs!$K$4:$AJ$4,0)))+SUMPRODUCT((Inputs!$E$5:$E$130=$B5)*Inputs!$F$5:$F$130*(((Inputs!$G$5:$G$130="moeda")+(Inputs!$G$5:$G$130="acoes"))*Inputs!$B$1+((Inputs!$G$5:$G$130&lt;&gt;"moeda")*(Inputs!$G$5:$G$130&lt;&gt;"acoes")))*INDEX(Inputs!$K$5:$AJ$130,0,MATCH(G$2,Inputs!$K$4:$AJ$4,0)))))</f>
        <v>-56566</v>
      </c>
      <c r="H5" s="266">
        <f>SUM(D5:G5)</f>
        <v>-174912</v>
      </c>
      <c r="I5" s="265">
        <f>IF(ISNA(MATCH(I$2,Inputs!$K$4:$AJ$4,0)),NA(),IF(SUMPRODUCT((Inputs!$A$5:$A$130=$B5)*ISNUMBER(INDEX(Inputs!$K$5:$AJ$130,0,MATCH(I$2,Inputs!$K$4:$AJ$4,0))))+SUMPRODUCT((Inputs!$C$5:$C$130=$B5)*ISNUMBER(INDEX(Inputs!$K$5:$AJ$130,0,MATCH(I$2,Inputs!$K$4:$AJ$4,0))))+SUMPRODUCT((Inputs!$E$5:$E$130=$B5)*ISNUMBER(INDEX(Inputs!$K$5:$AJ$130,0,MATCH(I$2,Inputs!$K$4:$AJ$4,0))))=0,NA(),SUMPRODUCT((Inputs!$A$5:$A$130=$B5)*Inputs!$B$5:$B$130*(((Inputs!$G$5:$G$130="moeda")+(Inputs!$G$5:$G$130="acoes"))*Inputs!$B$1+((Inputs!$G$5:$G$130&lt;&gt;"moeda")*(Inputs!$G$5:$G$130&lt;&gt;"acoes")))*INDEX(Inputs!$K$5:$AJ$130,0,MATCH(I$2,Inputs!$K$4:$AJ$4,0)))+SUMPRODUCT((Inputs!$C$5:$C$130=$B5)*Inputs!$D$5:$D$130*(((Inputs!$G$5:$G$130="moeda")+(Inputs!$G$5:$G$130="acoes"))*Inputs!$B$1+((Inputs!$G$5:$G$130&lt;&gt;"moeda")*(Inputs!$G$5:$G$130&lt;&gt;"acoes")))*INDEX(Inputs!$K$5:$AJ$130,0,MATCH(I$2,Inputs!$K$4:$AJ$4,0)))+SUMPRODUCT((Inputs!$E$5:$E$130=$B5)*Inputs!$F$5:$F$130*(((Inputs!$G$5:$G$130="moeda")+(Inputs!$G$5:$G$130="acoes"))*Inputs!$B$1+((Inputs!$G$5:$G$130&lt;&gt;"moeda")*(Inputs!$G$5:$G$130&lt;&gt;"acoes")))*INDEX(Inputs!$K$5:$AJ$130,0,MATCH(I$2,Inputs!$K$4:$AJ$4,0)))))</f>
        <v>-55657</v>
      </c>
      <c r="J5" s="265">
        <f>IF(ISNA(MATCH(J$2,Inputs!$K$4:$AJ$4,0)),NA(),IF(SUMPRODUCT((Inputs!$A$5:$A$130=$B5)*ISNUMBER(INDEX(Inputs!$K$5:$AJ$130,0,MATCH(J$2,Inputs!$K$4:$AJ$4,0))))+SUMPRODUCT((Inputs!$C$5:$C$130=$B5)*ISNUMBER(INDEX(Inputs!$K$5:$AJ$130,0,MATCH(J$2,Inputs!$K$4:$AJ$4,0))))+SUMPRODUCT((Inputs!$E$5:$E$130=$B5)*ISNUMBER(INDEX(Inputs!$K$5:$AJ$130,0,MATCH(J$2,Inputs!$K$4:$AJ$4,0))))=0,NA(),SUMPRODUCT((Inputs!$A$5:$A$130=$B5)*Inputs!$B$5:$B$130*(((Inputs!$G$5:$G$130="moeda")+(Inputs!$G$5:$G$130="acoes"))*Inputs!$B$1+((Inputs!$G$5:$G$130&lt;&gt;"moeda")*(Inputs!$G$5:$G$130&lt;&gt;"acoes")))*INDEX(Inputs!$K$5:$AJ$130,0,MATCH(J$2,Inputs!$K$4:$AJ$4,0)))+SUMPRODUCT((Inputs!$C$5:$C$130=$B5)*Inputs!$D$5:$D$130*(((Inputs!$G$5:$G$130="moeda")+(Inputs!$G$5:$G$130="acoes"))*Inputs!$B$1+((Inputs!$G$5:$G$130&lt;&gt;"moeda")*(Inputs!$G$5:$G$130&lt;&gt;"acoes")))*INDEX(Inputs!$K$5:$AJ$130,0,MATCH(J$2,Inputs!$K$4:$AJ$4,0)))+SUMPRODUCT((Inputs!$E$5:$E$130=$B5)*Inputs!$F$5:$F$130*(((Inputs!$G$5:$G$130="moeda")+(Inputs!$G$5:$G$130="acoes"))*Inputs!$B$1+((Inputs!$G$5:$G$130&lt;&gt;"moeda")*(Inputs!$G$5:$G$130&lt;&gt;"acoes")))*INDEX(Inputs!$K$5:$AJ$130,0,MATCH(J$2,Inputs!$K$4:$AJ$4,0)))))</f>
        <v>-66658</v>
      </c>
      <c r="K5" s="265">
        <f>IF(ISNA(MATCH(K$2,Inputs!$K$4:$AJ$4,0)),NA(),IF(SUMPRODUCT((Inputs!$A$5:$A$130=$B5)*ISNUMBER(INDEX(Inputs!$K$5:$AJ$130,0,MATCH(K$2,Inputs!$K$4:$AJ$4,0))))+SUMPRODUCT((Inputs!$C$5:$C$130=$B5)*ISNUMBER(INDEX(Inputs!$K$5:$AJ$130,0,MATCH(K$2,Inputs!$K$4:$AJ$4,0))))+SUMPRODUCT((Inputs!$E$5:$E$130=$B5)*ISNUMBER(INDEX(Inputs!$K$5:$AJ$130,0,MATCH(K$2,Inputs!$K$4:$AJ$4,0))))=0,NA(),SUMPRODUCT((Inputs!$A$5:$A$130=$B5)*Inputs!$B$5:$B$130*(((Inputs!$G$5:$G$130="moeda")+(Inputs!$G$5:$G$130="acoes"))*Inputs!$B$1+((Inputs!$G$5:$G$130&lt;&gt;"moeda")*(Inputs!$G$5:$G$130&lt;&gt;"acoes")))*INDEX(Inputs!$K$5:$AJ$130,0,MATCH(K$2,Inputs!$K$4:$AJ$4,0)))+SUMPRODUCT((Inputs!$C$5:$C$130=$B5)*Inputs!$D$5:$D$130*(((Inputs!$G$5:$G$130="moeda")+(Inputs!$G$5:$G$130="acoes"))*Inputs!$B$1+((Inputs!$G$5:$G$130&lt;&gt;"moeda")*(Inputs!$G$5:$G$130&lt;&gt;"acoes")))*INDEX(Inputs!$K$5:$AJ$130,0,MATCH(K$2,Inputs!$K$4:$AJ$4,0)))+SUMPRODUCT((Inputs!$E$5:$E$130=$B5)*Inputs!$F$5:$F$130*(((Inputs!$G$5:$G$130="moeda")+(Inputs!$G$5:$G$130="acoes"))*Inputs!$B$1+((Inputs!$G$5:$G$130&lt;&gt;"moeda")*(Inputs!$G$5:$G$130&lt;&gt;"acoes")))*INDEX(Inputs!$K$5:$AJ$130,0,MATCH(K$2,Inputs!$K$4:$AJ$4,0)))))</f>
        <v>-70684</v>
      </c>
      <c r="L5" s="265">
        <f>IF(ISNA(MATCH(L$2,Inputs!$K$4:$AJ$4,0)),NA(),IF(SUMPRODUCT((Inputs!$A$5:$A$130=$B5)*ISNUMBER(INDEX(Inputs!$K$5:$AJ$130,0,MATCH(L$2,Inputs!$K$4:$AJ$4,0))))+SUMPRODUCT((Inputs!$C$5:$C$130=$B5)*ISNUMBER(INDEX(Inputs!$K$5:$AJ$130,0,MATCH(L$2,Inputs!$K$4:$AJ$4,0))))+SUMPRODUCT((Inputs!$E$5:$E$130=$B5)*ISNUMBER(INDEX(Inputs!$K$5:$AJ$130,0,MATCH(L$2,Inputs!$K$4:$AJ$4,0))))=0,NA(),SUMPRODUCT((Inputs!$A$5:$A$130=$B5)*Inputs!$B$5:$B$130*(((Inputs!$G$5:$G$130="moeda")+(Inputs!$G$5:$G$130="acoes"))*Inputs!$B$1+((Inputs!$G$5:$G$130&lt;&gt;"moeda")*(Inputs!$G$5:$G$130&lt;&gt;"acoes")))*INDEX(Inputs!$K$5:$AJ$130,0,MATCH(L$2,Inputs!$K$4:$AJ$4,0)))+SUMPRODUCT((Inputs!$C$5:$C$130=$B5)*Inputs!$D$5:$D$130*(((Inputs!$G$5:$G$130="moeda")+(Inputs!$G$5:$G$130="acoes"))*Inputs!$B$1+((Inputs!$G$5:$G$130&lt;&gt;"moeda")*(Inputs!$G$5:$G$130&lt;&gt;"acoes")))*INDEX(Inputs!$K$5:$AJ$130,0,MATCH(L$2,Inputs!$K$4:$AJ$4,0)))+SUMPRODUCT((Inputs!$E$5:$E$130=$B5)*Inputs!$F$5:$F$130*(((Inputs!$G$5:$G$130="moeda")+(Inputs!$G$5:$G$130="acoes"))*Inputs!$B$1+((Inputs!$G$5:$G$130&lt;&gt;"moeda")*(Inputs!$G$5:$G$130&lt;&gt;"acoes")))*INDEX(Inputs!$K$5:$AJ$130,0,MATCH(L$2,Inputs!$K$4:$AJ$4,0)))))</f>
        <v>-65489</v>
      </c>
      <c r="M5" s="266">
        <f>SUM(I5:L5)</f>
        <v>-258488</v>
      </c>
      <c r="N5" s="265">
        <f>IF(ISNA(MATCH(N$2,Inputs!$K$4:$AJ$4,0)),NA(),IF(SUMPRODUCT((Inputs!$A$5:$A$130=$B5)*ISNUMBER(INDEX(Inputs!$K$5:$AJ$130,0,MATCH(N$2,Inputs!$K$4:$AJ$4,0))))+SUMPRODUCT((Inputs!$C$5:$C$130=$B5)*ISNUMBER(INDEX(Inputs!$K$5:$AJ$130,0,MATCH(N$2,Inputs!$K$4:$AJ$4,0))))+SUMPRODUCT((Inputs!$E$5:$E$130=$B5)*ISNUMBER(INDEX(Inputs!$K$5:$AJ$130,0,MATCH(N$2,Inputs!$K$4:$AJ$4,0))))=0,NA(),SUMPRODUCT((Inputs!$A$5:$A$130=$B5)*Inputs!$B$5:$B$130*(((Inputs!$G$5:$G$130="moeda")+(Inputs!$G$5:$G$130="acoes"))*Inputs!$B$1+((Inputs!$G$5:$G$130&lt;&gt;"moeda")*(Inputs!$G$5:$G$130&lt;&gt;"acoes")))*INDEX(Inputs!$K$5:$AJ$130,0,MATCH(N$2,Inputs!$K$4:$AJ$4,0)))+SUMPRODUCT((Inputs!$C$5:$C$130=$B5)*Inputs!$D$5:$D$130*(((Inputs!$G$5:$G$130="moeda")+(Inputs!$G$5:$G$130="acoes"))*Inputs!$B$1+((Inputs!$G$5:$G$130&lt;&gt;"moeda")*(Inputs!$G$5:$G$130&lt;&gt;"acoes")))*INDEX(Inputs!$K$5:$AJ$130,0,MATCH(N$2,Inputs!$K$4:$AJ$4,0)))+SUMPRODUCT((Inputs!$E$5:$E$130=$B5)*Inputs!$F$5:$F$130*(((Inputs!$G$5:$G$130="moeda")+(Inputs!$G$5:$G$130="acoes"))*Inputs!$B$1+((Inputs!$G$5:$G$130&lt;&gt;"moeda")*(Inputs!$G$5:$G$130&lt;&gt;"acoes")))*INDEX(Inputs!$K$5:$AJ$130,0,MATCH(N$2,Inputs!$K$4:$AJ$4,0)))))</f>
        <v>-57502</v>
      </c>
      <c r="O5" s="265">
        <f>IF(ISNA(MATCH(O$2,Inputs!$K$4:$AJ$4,0)),NA(),IF(SUMPRODUCT((Inputs!$A$5:$A$130=$B5)*ISNUMBER(INDEX(Inputs!$K$5:$AJ$130,0,MATCH(O$2,Inputs!$K$4:$AJ$4,0))))+SUMPRODUCT((Inputs!$C$5:$C$130=$B5)*ISNUMBER(INDEX(Inputs!$K$5:$AJ$130,0,MATCH(O$2,Inputs!$K$4:$AJ$4,0))))+SUMPRODUCT((Inputs!$E$5:$E$130=$B5)*ISNUMBER(INDEX(Inputs!$K$5:$AJ$130,0,MATCH(O$2,Inputs!$K$4:$AJ$4,0))))=0,NA(),SUMPRODUCT((Inputs!$A$5:$A$130=$B5)*Inputs!$B$5:$B$130*(((Inputs!$G$5:$G$130="moeda")+(Inputs!$G$5:$G$130="acoes"))*Inputs!$B$1+((Inputs!$G$5:$G$130&lt;&gt;"moeda")*(Inputs!$G$5:$G$130&lt;&gt;"acoes")))*INDEX(Inputs!$K$5:$AJ$130,0,MATCH(O$2,Inputs!$K$4:$AJ$4,0)))+SUMPRODUCT((Inputs!$C$5:$C$130=$B5)*Inputs!$D$5:$D$130*(((Inputs!$G$5:$G$130="moeda")+(Inputs!$G$5:$G$130="acoes"))*Inputs!$B$1+((Inputs!$G$5:$G$130&lt;&gt;"moeda")*(Inputs!$G$5:$G$130&lt;&gt;"acoes")))*INDEX(Inputs!$K$5:$AJ$130,0,MATCH(O$2,Inputs!$K$4:$AJ$4,0)))+SUMPRODUCT((Inputs!$E$5:$E$130=$B5)*Inputs!$F$5:$F$130*(((Inputs!$G$5:$G$130="moeda")+(Inputs!$G$5:$G$130="acoes"))*Inputs!$B$1+((Inputs!$G$5:$G$130&lt;&gt;"moeda")*(Inputs!$G$5:$G$130&lt;&gt;"acoes")))*INDEX(Inputs!$K$5:$AJ$130,0,MATCH(O$2,Inputs!$K$4:$AJ$4,0)))))</f>
        <v>-51492</v>
      </c>
      <c r="P5" s="265">
        <f>IF(ISNA(MATCH(P$2,Inputs!$K$4:$AJ$4,0)),NA(),IF(SUMPRODUCT((Inputs!$A$5:$A$130=$B5)*ISNUMBER(INDEX(Inputs!$K$5:$AJ$130,0,MATCH(P$2,Inputs!$K$4:$AJ$4,0))))+SUMPRODUCT((Inputs!$C$5:$C$130=$B5)*ISNUMBER(INDEX(Inputs!$K$5:$AJ$130,0,MATCH(P$2,Inputs!$K$4:$AJ$4,0))))+SUMPRODUCT((Inputs!$E$5:$E$130=$B5)*ISNUMBER(INDEX(Inputs!$K$5:$AJ$130,0,MATCH(P$2,Inputs!$K$4:$AJ$4,0))))=0,NA(),SUMPRODUCT((Inputs!$A$5:$A$130=$B5)*Inputs!$B$5:$B$130*(((Inputs!$G$5:$G$130="moeda")+(Inputs!$G$5:$G$130="acoes"))*Inputs!$B$1+((Inputs!$G$5:$G$130&lt;&gt;"moeda")*(Inputs!$G$5:$G$130&lt;&gt;"acoes")))*INDEX(Inputs!$K$5:$AJ$130,0,MATCH(P$2,Inputs!$K$4:$AJ$4,0)))+SUMPRODUCT((Inputs!$C$5:$C$130=$B5)*Inputs!$D$5:$D$130*(((Inputs!$G$5:$G$130="moeda")+(Inputs!$G$5:$G$130="acoes"))*Inputs!$B$1+((Inputs!$G$5:$G$130&lt;&gt;"moeda")*(Inputs!$G$5:$G$130&lt;&gt;"acoes")))*INDEX(Inputs!$K$5:$AJ$130,0,MATCH(P$2,Inputs!$K$4:$AJ$4,0)))+SUMPRODUCT((Inputs!$E$5:$E$130=$B5)*Inputs!$F$5:$F$130*(((Inputs!$G$5:$G$130="moeda")+(Inputs!$G$5:$G$130="acoes"))*Inputs!$B$1+((Inputs!$G$5:$G$130&lt;&gt;"moeda")*(Inputs!$G$5:$G$130&lt;&gt;"acoes")))*INDEX(Inputs!$K$5:$AJ$130,0,MATCH(P$2,Inputs!$K$4:$AJ$4,0)))))</f>
        <v>-49144</v>
      </c>
      <c r="Q5" s="265">
        <f>IF(ISNA(MATCH(Q$2,Inputs!$K$4:$AJ$4,0)),NA(),IF(SUMPRODUCT((Inputs!$A$5:$A$130=$B5)*ISNUMBER(INDEX(Inputs!$K$5:$AJ$130,0,MATCH(Q$2,Inputs!$K$4:$AJ$4,0))))+SUMPRODUCT((Inputs!$C$5:$C$130=$B5)*ISNUMBER(INDEX(Inputs!$K$5:$AJ$130,0,MATCH(Q$2,Inputs!$K$4:$AJ$4,0))))+SUMPRODUCT((Inputs!$E$5:$E$130=$B5)*ISNUMBER(INDEX(Inputs!$K$5:$AJ$130,0,MATCH(Q$2,Inputs!$K$4:$AJ$4,0))))=0,NA(),SUMPRODUCT((Inputs!$A$5:$A$130=$B5)*Inputs!$B$5:$B$130*(((Inputs!$G$5:$G$130="moeda")+(Inputs!$G$5:$G$130="acoes"))*Inputs!$B$1+((Inputs!$G$5:$G$130&lt;&gt;"moeda")*(Inputs!$G$5:$G$130&lt;&gt;"acoes")))*INDEX(Inputs!$K$5:$AJ$130,0,MATCH(Q$2,Inputs!$K$4:$AJ$4,0)))+SUMPRODUCT((Inputs!$C$5:$C$130=$B5)*Inputs!$D$5:$D$130*(((Inputs!$G$5:$G$130="moeda")+(Inputs!$G$5:$G$130="acoes"))*Inputs!$B$1+((Inputs!$G$5:$G$130&lt;&gt;"moeda")*(Inputs!$G$5:$G$130&lt;&gt;"acoes")))*INDEX(Inputs!$K$5:$AJ$130,0,MATCH(Q$2,Inputs!$K$4:$AJ$4,0)))+SUMPRODUCT((Inputs!$E$5:$E$130=$B5)*Inputs!$F$5:$F$130*(((Inputs!$G$5:$G$130="moeda")+(Inputs!$G$5:$G$130="acoes"))*Inputs!$B$1+((Inputs!$G$5:$G$130&lt;&gt;"moeda")*(Inputs!$G$5:$G$130&lt;&gt;"acoes")))*INDEX(Inputs!$K$5:$AJ$130,0,MATCH(Q$2,Inputs!$K$4:$AJ$4,0)))))</f>
        <v>-54745</v>
      </c>
      <c r="R5" s="266">
        <f>SUM(N5:Q5)</f>
        <v>-212883</v>
      </c>
      <c r="S5" s="265">
        <f>IF(ISNA(MATCH(S$2,Inputs!$K$4:$AJ$4,0)),NA(),IF(SUMPRODUCT((Inputs!$A$5:$A$130=$B5)*ISNUMBER(INDEX(Inputs!$K$5:$AJ$130,0,MATCH(S$2,Inputs!$K$4:$AJ$4,0))))+SUMPRODUCT((Inputs!$C$5:$C$130=$B5)*ISNUMBER(INDEX(Inputs!$K$5:$AJ$130,0,MATCH(S$2,Inputs!$K$4:$AJ$4,0))))+SUMPRODUCT((Inputs!$E$5:$E$130=$B5)*ISNUMBER(INDEX(Inputs!$K$5:$AJ$130,0,MATCH(S$2,Inputs!$K$4:$AJ$4,0))))=0,NA(),SUMPRODUCT((Inputs!$A$5:$A$130=$B5)*Inputs!$B$5:$B$130*(((Inputs!$G$5:$G$130="moeda")+(Inputs!$G$5:$G$130="acoes"))*Inputs!$B$1+((Inputs!$G$5:$G$130&lt;&gt;"moeda")*(Inputs!$G$5:$G$130&lt;&gt;"acoes")))*INDEX(Inputs!$K$5:$AJ$130,0,MATCH(S$2,Inputs!$K$4:$AJ$4,0)))+SUMPRODUCT((Inputs!$C$5:$C$130=$B5)*Inputs!$D$5:$D$130*(((Inputs!$G$5:$G$130="moeda")+(Inputs!$G$5:$G$130="acoes"))*Inputs!$B$1+((Inputs!$G$5:$G$130&lt;&gt;"moeda")*(Inputs!$G$5:$G$130&lt;&gt;"acoes")))*INDEX(Inputs!$K$5:$AJ$130,0,MATCH(S$2,Inputs!$K$4:$AJ$4,0)))+SUMPRODUCT((Inputs!$E$5:$E$130=$B5)*Inputs!$F$5:$F$130*(((Inputs!$G$5:$G$130="moeda")+(Inputs!$G$5:$G$130="acoes"))*Inputs!$B$1+((Inputs!$G$5:$G$130&lt;&gt;"moeda")*(Inputs!$G$5:$G$130&lt;&gt;"acoes")))*INDEX(Inputs!$K$5:$AJ$130,0,MATCH(S$2,Inputs!$K$4:$AJ$4,0)))))</f>
        <v>-46867</v>
      </c>
      <c r="T5" s="265">
        <f>IF(ISNA(MATCH(T$2,Inputs!$K$4:$AJ$4,0)),NA(),IF(SUMPRODUCT((Inputs!$A$5:$A$130=$B5)*ISNUMBER(INDEX(Inputs!$K$5:$AJ$130,0,MATCH(T$2,Inputs!$K$4:$AJ$4,0))))+SUMPRODUCT((Inputs!$C$5:$C$130=$B5)*ISNUMBER(INDEX(Inputs!$K$5:$AJ$130,0,MATCH(T$2,Inputs!$K$4:$AJ$4,0))))+SUMPRODUCT((Inputs!$E$5:$E$130=$B5)*ISNUMBER(INDEX(Inputs!$K$5:$AJ$130,0,MATCH(T$2,Inputs!$K$4:$AJ$4,0))))=0,NA(),SUMPRODUCT((Inputs!$A$5:$A$130=$B5)*Inputs!$B$5:$B$130*(((Inputs!$G$5:$G$130="moeda")+(Inputs!$G$5:$G$130="acoes"))*Inputs!$B$1+((Inputs!$G$5:$G$130&lt;&gt;"moeda")*(Inputs!$G$5:$G$130&lt;&gt;"acoes")))*INDEX(Inputs!$K$5:$AJ$130,0,MATCH(T$2,Inputs!$K$4:$AJ$4,0)))+SUMPRODUCT((Inputs!$C$5:$C$130=$B5)*Inputs!$D$5:$D$130*(((Inputs!$G$5:$G$130="moeda")+(Inputs!$G$5:$G$130="acoes"))*Inputs!$B$1+((Inputs!$G$5:$G$130&lt;&gt;"moeda")*(Inputs!$G$5:$G$130&lt;&gt;"acoes")))*INDEX(Inputs!$K$5:$AJ$130,0,MATCH(T$2,Inputs!$K$4:$AJ$4,0)))+SUMPRODUCT((Inputs!$E$5:$E$130=$B5)*Inputs!$F$5:$F$130*(((Inputs!$G$5:$G$130="moeda")+(Inputs!$G$5:$G$130="acoes"))*Inputs!$B$1+((Inputs!$G$5:$G$130&lt;&gt;"moeda")*(Inputs!$G$5:$G$130&lt;&gt;"acoes")))*INDEX(Inputs!$K$5:$AJ$130,0,MATCH(T$2,Inputs!$K$4:$AJ$4,0)))))</f>
        <v>-49417</v>
      </c>
      <c r="U5" s="265">
        <f>IF(ISNA(MATCH(U$2,Inputs!$K$4:$AJ$4,0)),NA(),IF(SUMPRODUCT((Inputs!$A$5:$A$130=$B5)*ISNUMBER(INDEX(Inputs!$K$5:$AJ$130,0,MATCH(U$2,Inputs!$K$4:$AJ$4,0))))+SUMPRODUCT((Inputs!$C$5:$C$130=$B5)*ISNUMBER(INDEX(Inputs!$K$5:$AJ$130,0,MATCH(U$2,Inputs!$K$4:$AJ$4,0))))+SUMPRODUCT((Inputs!$E$5:$E$130=$B5)*ISNUMBER(INDEX(Inputs!$K$5:$AJ$130,0,MATCH(U$2,Inputs!$K$4:$AJ$4,0))))=0,NA(),SUMPRODUCT((Inputs!$A$5:$A$130=$B5)*Inputs!$B$5:$B$130*(((Inputs!$G$5:$G$130="moeda")+(Inputs!$G$5:$G$130="acoes"))*Inputs!$B$1+((Inputs!$G$5:$G$130&lt;&gt;"moeda")*(Inputs!$G$5:$G$130&lt;&gt;"acoes")))*INDEX(Inputs!$K$5:$AJ$130,0,MATCH(U$2,Inputs!$K$4:$AJ$4,0)))+SUMPRODUCT((Inputs!$C$5:$C$130=$B5)*Inputs!$D$5:$D$130*(((Inputs!$G$5:$G$130="moeda")+(Inputs!$G$5:$G$130="acoes"))*Inputs!$B$1+((Inputs!$G$5:$G$130&lt;&gt;"moeda")*(Inputs!$G$5:$G$130&lt;&gt;"acoes")))*INDEX(Inputs!$K$5:$AJ$130,0,MATCH(U$2,Inputs!$K$4:$AJ$4,0)))+SUMPRODUCT((Inputs!$E$5:$E$130=$B5)*Inputs!$F$5:$F$130*(((Inputs!$G$5:$G$130="moeda")+(Inputs!$G$5:$G$130="acoes"))*Inputs!$B$1+((Inputs!$G$5:$G$130&lt;&gt;"moeda")*(Inputs!$G$5:$G$130&lt;&gt;"acoes")))*INDEX(Inputs!$K$5:$AJ$130,0,MATCH(U$2,Inputs!$K$4:$AJ$4,0)))))</f>
        <v>-48225</v>
      </c>
      <c r="V5" s="265">
        <f>IF(ISNA(MATCH(V$2,Inputs!$K$4:$AJ$4,0)),NA(),IF(SUMPRODUCT((Inputs!$A$5:$A$130=$B5)*ISNUMBER(INDEX(Inputs!$K$5:$AJ$130,0,MATCH(V$2,Inputs!$K$4:$AJ$4,0))))+SUMPRODUCT((Inputs!$C$5:$C$130=$B5)*ISNUMBER(INDEX(Inputs!$K$5:$AJ$130,0,MATCH(V$2,Inputs!$K$4:$AJ$4,0))))+SUMPRODUCT((Inputs!$E$5:$E$130=$B5)*ISNUMBER(INDEX(Inputs!$K$5:$AJ$130,0,MATCH(V$2,Inputs!$K$4:$AJ$4,0))))=0,NA(),SUMPRODUCT((Inputs!$A$5:$A$130=$B5)*Inputs!$B$5:$B$130*(((Inputs!$G$5:$G$130="moeda")+(Inputs!$G$5:$G$130="acoes"))*Inputs!$B$1+((Inputs!$G$5:$G$130&lt;&gt;"moeda")*(Inputs!$G$5:$G$130&lt;&gt;"acoes")))*INDEX(Inputs!$K$5:$AJ$130,0,MATCH(V$2,Inputs!$K$4:$AJ$4,0)))+SUMPRODUCT((Inputs!$C$5:$C$130=$B5)*Inputs!$D$5:$D$130*(((Inputs!$G$5:$G$130="moeda")+(Inputs!$G$5:$G$130="acoes"))*Inputs!$B$1+((Inputs!$G$5:$G$130&lt;&gt;"moeda")*(Inputs!$G$5:$G$130&lt;&gt;"acoes")))*INDEX(Inputs!$K$5:$AJ$130,0,MATCH(V$2,Inputs!$K$4:$AJ$4,0)))+SUMPRODUCT((Inputs!$E$5:$E$130=$B5)*Inputs!$F$5:$F$130*(((Inputs!$G$5:$G$130="moeda")+(Inputs!$G$5:$G$130="acoes"))*Inputs!$B$1+((Inputs!$G$5:$G$130&lt;&gt;"moeda")*(Inputs!$G$5:$G$130&lt;&gt;"acoes")))*INDEX(Inputs!$K$5:$AJ$130,0,MATCH(V$2,Inputs!$K$4:$AJ$4,0)))))</f>
        <v>-43610</v>
      </c>
      <c r="W5" s="266">
        <f>SUM(S5:V5)</f>
        <v>-188119</v>
      </c>
      <c r="X5" s="265">
        <f>IF(ISNA(MATCH(X$2,Inputs!$K$4:$AJ$4,0)),NA(),IF(SUMPRODUCT((Inputs!$A$5:$A$130=$B5)*ISNUMBER(INDEX(Inputs!$K$5:$AJ$130,0,MATCH(X$2,Inputs!$K$4:$AJ$4,0))))+SUMPRODUCT((Inputs!$C$5:$C$130=$B5)*ISNUMBER(INDEX(Inputs!$K$5:$AJ$130,0,MATCH(X$2,Inputs!$K$4:$AJ$4,0))))+SUMPRODUCT((Inputs!$E$5:$E$130=$B5)*ISNUMBER(INDEX(Inputs!$K$5:$AJ$130,0,MATCH(X$2,Inputs!$K$4:$AJ$4,0))))=0,NA(),SUMPRODUCT((Inputs!$A$5:$A$130=$B5)*Inputs!$B$5:$B$130*(((Inputs!$G$5:$G$130="moeda")+(Inputs!$G$5:$G$130="acoes"))*Inputs!$B$1+((Inputs!$G$5:$G$130&lt;&gt;"moeda")*(Inputs!$G$5:$G$130&lt;&gt;"acoes")))*INDEX(Inputs!$K$5:$AJ$130,0,MATCH(X$2,Inputs!$K$4:$AJ$4,0)))+SUMPRODUCT((Inputs!$C$5:$C$130=$B5)*Inputs!$D$5:$D$130*(((Inputs!$G$5:$G$130="moeda")+(Inputs!$G$5:$G$130="acoes"))*Inputs!$B$1+((Inputs!$G$5:$G$130&lt;&gt;"moeda")*(Inputs!$G$5:$G$130&lt;&gt;"acoes")))*INDEX(Inputs!$K$5:$AJ$130,0,MATCH(X$2,Inputs!$K$4:$AJ$4,0)))+SUMPRODUCT((Inputs!$E$5:$E$130=$B5)*Inputs!$F$5:$F$130*(((Inputs!$G$5:$G$130="moeda")+(Inputs!$G$5:$G$130="acoes"))*Inputs!$B$1+((Inputs!$G$5:$G$130&lt;&gt;"moeda")*(Inputs!$G$5:$G$130&lt;&gt;"acoes")))*INDEX(Inputs!$K$5:$AJ$130,0,MATCH(X$2,Inputs!$K$4:$AJ$4,0)))))</f>
        <v>-45849</v>
      </c>
      <c r="Y5" s="265">
        <f>IF(ISNA(MATCH(Y$2,Inputs!$K$4:$AJ$4,0)),NA(),IF(SUMPRODUCT((Inputs!$A$5:$A$130=$B5)*ISNUMBER(INDEX(Inputs!$K$5:$AJ$130,0,MATCH(Y$2,Inputs!$K$4:$AJ$4,0))))+SUMPRODUCT((Inputs!$C$5:$C$130=$B5)*ISNUMBER(INDEX(Inputs!$K$5:$AJ$130,0,MATCH(Y$2,Inputs!$K$4:$AJ$4,0))))+SUMPRODUCT((Inputs!$E$5:$E$130=$B5)*ISNUMBER(INDEX(Inputs!$K$5:$AJ$130,0,MATCH(Y$2,Inputs!$K$4:$AJ$4,0))))=0,NA(),SUMPRODUCT((Inputs!$A$5:$A$130=$B5)*Inputs!$B$5:$B$130*(((Inputs!$G$5:$G$130="moeda")+(Inputs!$G$5:$G$130="acoes"))*Inputs!$B$1+((Inputs!$G$5:$G$130&lt;&gt;"moeda")*(Inputs!$G$5:$G$130&lt;&gt;"acoes")))*INDEX(Inputs!$K$5:$AJ$130,0,MATCH(Y$2,Inputs!$K$4:$AJ$4,0)))+SUMPRODUCT((Inputs!$C$5:$C$130=$B5)*Inputs!$D$5:$D$130*(((Inputs!$G$5:$G$130="moeda")+(Inputs!$G$5:$G$130="acoes"))*Inputs!$B$1+((Inputs!$G$5:$G$130&lt;&gt;"moeda")*(Inputs!$G$5:$G$130&lt;&gt;"acoes")))*INDEX(Inputs!$K$5:$AJ$130,0,MATCH(Y$2,Inputs!$K$4:$AJ$4,0)))+SUMPRODUCT((Inputs!$E$5:$E$130=$B5)*Inputs!$F$5:$F$130*(((Inputs!$G$5:$G$130="moeda")+(Inputs!$G$5:$G$130="acoes"))*Inputs!$B$1+((Inputs!$G$5:$G$130&lt;&gt;"moeda")*(Inputs!$G$5:$G$130&lt;&gt;"acoes")))*INDEX(Inputs!$K$5:$AJ$130,0,MATCH(Y$2,Inputs!$K$4:$AJ$4,0)))))</f>
        <v>-44099</v>
      </c>
      <c r="Z5" s="265">
        <f>IF(ISNA(MATCH(Z$2,Inputs!$K$4:$AJ$4,0)),NA(),IF(SUMPRODUCT((Inputs!$A$5:$A$130=$B5)*ISNUMBER(INDEX(Inputs!$K$5:$AJ$130,0,MATCH(Z$2,Inputs!$K$4:$AJ$4,0))))+SUMPRODUCT((Inputs!$C$5:$C$130=$B5)*ISNUMBER(INDEX(Inputs!$K$5:$AJ$130,0,MATCH(Z$2,Inputs!$K$4:$AJ$4,0))))+SUMPRODUCT((Inputs!$E$5:$E$130=$B5)*ISNUMBER(INDEX(Inputs!$K$5:$AJ$130,0,MATCH(Z$2,Inputs!$K$4:$AJ$4,0))))=0,NA(),SUMPRODUCT((Inputs!$A$5:$A$130=$B5)*Inputs!$B$5:$B$130*(((Inputs!$G$5:$G$130="moeda")+(Inputs!$G$5:$G$130="acoes"))*Inputs!$B$1+((Inputs!$G$5:$G$130&lt;&gt;"moeda")*(Inputs!$G$5:$G$130&lt;&gt;"acoes")))*INDEX(Inputs!$K$5:$AJ$130,0,MATCH(Z$2,Inputs!$K$4:$AJ$4,0)))+SUMPRODUCT((Inputs!$C$5:$C$130=$B5)*Inputs!$D$5:$D$130*(((Inputs!$G$5:$G$130="moeda")+(Inputs!$G$5:$G$130="acoes"))*Inputs!$B$1+((Inputs!$G$5:$G$130&lt;&gt;"moeda")*(Inputs!$G$5:$G$130&lt;&gt;"acoes")))*INDEX(Inputs!$K$5:$AJ$130,0,MATCH(Z$2,Inputs!$K$4:$AJ$4,0)))+SUMPRODUCT((Inputs!$E$5:$E$130=$B5)*Inputs!$F$5:$F$130*(((Inputs!$G$5:$G$130="moeda")+(Inputs!$G$5:$G$130="acoes"))*Inputs!$B$1+((Inputs!$G$5:$G$130&lt;&gt;"moeda")*(Inputs!$G$5:$G$130&lt;&gt;"acoes")))*INDEX(Inputs!$K$5:$AJ$130,0,MATCH(Z$2,Inputs!$K$4:$AJ$4,0)))))</f>
        <v>-45145</v>
      </c>
      <c r="AA5" s="265">
        <f>IF(ISNA(MATCH(AA$2,Inputs!$K$4:$AJ$4,0)),NA(),IF(SUMPRODUCT((Inputs!$A$5:$A$130=$B5)*ISNUMBER(INDEX(Inputs!$K$5:$AJ$130,0,MATCH(AA$2,Inputs!$K$4:$AJ$4,0))))+SUMPRODUCT((Inputs!$C$5:$C$130=$B5)*ISNUMBER(INDEX(Inputs!$K$5:$AJ$130,0,MATCH(AA$2,Inputs!$K$4:$AJ$4,0))))+SUMPRODUCT((Inputs!$E$5:$E$130=$B5)*ISNUMBER(INDEX(Inputs!$K$5:$AJ$130,0,MATCH(AA$2,Inputs!$K$4:$AJ$4,0))))=0,NA(),SUMPRODUCT((Inputs!$A$5:$A$130=$B5)*Inputs!$B$5:$B$130*(((Inputs!$G$5:$G$130="moeda")+(Inputs!$G$5:$G$130="acoes"))*Inputs!$B$1+((Inputs!$G$5:$G$130&lt;&gt;"moeda")*(Inputs!$G$5:$G$130&lt;&gt;"acoes")))*INDEX(Inputs!$K$5:$AJ$130,0,MATCH(AA$2,Inputs!$K$4:$AJ$4,0)))+SUMPRODUCT((Inputs!$C$5:$C$130=$B5)*Inputs!$D$5:$D$130*(((Inputs!$G$5:$G$130="moeda")+(Inputs!$G$5:$G$130="acoes"))*Inputs!$B$1+((Inputs!$G$5:$G$130&lt;&gt;"moeda")*(Inputs!$G$5:$G$130&lt;&gt;"acoes")))*INDEX(Inputs!$K$5:$AJ$130,0,MATCH(AA$2,Inputs!$K$4:$AJ$4,0)))+SUMPRODUCT((Inputs!$E$5:$E$130=$B5)*Inputs!$F$5:$F$130*(((Inputs!$G$5:$G$130="moeda")+(Inputs!$G$5:$G$130="acoes"))*Inputs!$B$1+((Inputs!$G$5:$G$130&lt;&gt;"moeda")*(Inputs!$G$5:$G$130&lt;&gt;"acoes")))*INDEX(Inputs!$K$5:$AJ$130,0,MATCH(AA$2,Inputs!$K$4:$AJ$4,0)))))</f>
        <v>-42102</v>
      </c>
      <c r="AB5" s="266">
        <f>SUM(X5:AA5)</f>
        <v>-177195</v>
      </c>
      <c r="AC5" s="265">
        <f>IF(ISNA(MATCH(AC$2,Inputs!$K$4:$AJ$4,0)),NA(),IF(SUMPRODUCT((Inputs!$A$5:$A$130=$B5)*ISNUMBER(INDEX(Inputs!$K$5:$AJ$130,0,MATCH(AC$2,Inputs!$K$4:$AJ$4,0))))+SUMPRODUCT((Inputs!$C$5:$C$130=$B5)*ISNUMBER(INDEX(Inputs!$K$5:$AJ$130,0,MATCH(AC$2,Inputs!$K$4:$AJ$4,0))))+SUMPRODUCT((Inputs!$E$5:$E$130=$B5)*ISNUMBER(INDEX(Inputs!$K$5:$AJ$130,0,MATCH(AC$2,Inputs!$K$4:$AJ$4,0))))=0,NA(),SUMPRODUCT((Inputs!$A$5:$A$130=$B5)*Inputs!$B$5:$B$130*(((Inputs!$G$5:$G$130="moeda")+(Inputs!$G$5:$G$130="acoes"))*Inputs!$B$1+((Inputs!$G$5:$G$130&lt;&gt;"moeda")*(Inputs!$G$5:$G$130&lt;&gt;"acoes")))*INDEX(Inputs!$K$5:$AJ$130,0,MATCH(AC$2,Inputs!$K$4:$AJ$4,0)))+SUMPRODUCT((Inputs!$C$5:$C$130=$B5)*Inputs!$D$5:$D$130*(((Inputs!$G$5:$G$130="moeda")+(Inputs!$G$5:$G$130="acoes"))*Inputs!$B$1+((Inputs!$G$5:$G$130&lt;&gt;"moeda")*(Inputs!$G$5:$G$130&lt;&gt;"acoes")))*INDEX(Inputs!$K$5:$AJ$130,0,MATCH(AC$2,Inputs!$K$4:$AJ$4,0)))+SUMPRODUCT((Inputs!$E$5:$E$130=$B5)*Inputs!$F$5:$F$130*(((Inputs!$G$5:$G$130="moeda")+(Inputs!$G$5:$G$130="acoes"))*Inputs!$B$1+((Inputs!$G$5:$G$130&lt;&gt;"moeda")*(Inputs!$G$5:$G$130&lt;&gt;"acoes")))*INDEX(Inputs!$K$5:$AJ$130,0,MATCH(AC$2,Inputs!$K$4:$AJ$4,0)))))</f>
        <v>-44775</v>
      </c>
      <c r="AD5" s="265">
        <f>IF(ISNA(MATCH(AD$2,Inputs!$K$4:$AJ$4,0)),NA(),IF(SUMPRODUCT((Inputs!$A$5:$A$130=$B5)*ISNUMBER(INDEX(Inputs!$K$5:$AJ$130,0,MATCH(AD$2,Inputs!$K$4:$AJ$4,0))))+SUMPRODUCT((Inputs!$C$5:$C$130=$B5)*ISNUMBER(INDEX(Inputs!$K$5:$AJ$130,0,MATCH(AD$2,Inputs!$K$4:$AJ$4,0))))+SUMPRODUCT((Inputs!$E$5:$E$130=$B5)*ISNUMBER(INDEX(Inputs!$K$5:$AJ$130,0,MATCH(AD$2,Inputs!$K$4:$AJ$4,0))))=0,NA(),SUMPRODUCT((Inputs!$A$5:$A$130=$B5)*Inputs!$B$5:$B$130*(((Inputs!$G$5:$G$130="moeda")+(Inputs!$G$5:$G$130="acoes"))*Inputs!$B$1+((Inputs!$G$5:$G$130&lt;&gt;"moeda")*(Inputs!$G$5:$G$130&lt;&gt;"acoes")))*INDEX(Inputs!$K$5:$AJ$130,0,MATCH(AD$2,Inputs!$K$4:$AJ$4,0)))+SUMPRODUCT((Inputs!$C$5:$C$130=$B5)*Inputs!$D$5:$D$130*(((Inputs!$G$5:$G$130="moeda")+(Inputs!$G$5:$G$130="acoes"))*Inputs!$B$1+((Inputs!$G$5:$G$130&lt;&gt;"moeda")*(Inputs!$G$5:$G$130&lt;&gt;"acoes")))*INDEX(Inputs!$K$5:$AJ$130,0,MATCH(AD$2,Inputs!$K$4:$AJ$4,0)))+SUMPRODUCT((Inputs!$E$5:$E$130=$B5)*Inputs!$F$5:$F$130*(((Inputs!$G$5:$G$130="moeda")+(Inputs!$G$5:$G$130="acoes"))*Inputs!$B$1+((Inputs!$G$5:$G$130&lt;&gt;"moeda")*(Inputs!$G$5:$G$130&lt;&gt;"acoes")))*INDEX(Inputs!$K$5:$AJ$130,0,MATCH(AD$2,Inputs!$K$4:$AJ$4,0)))))</f>
        <v>-64530</v>
      </c>
      <c r="AE5" s="265" t="e">
        <f>IF(ISNA(MATCH(AE$2,Inputs!$K$4:$AJ$4,0)),NA(),IF(SUMPRODUCT((Inputs!$A$5:$A$130=$B5)*ISNUMBER(INDEX(Inputs!$K$5:$AJ$130,0,MATCH(AE$2,Inputs!$K$4:$AJ$4,0))))+SUMPRODUCT((Inputs!$C$5:$C$130=$B5)*ISNUMBER(INDEX(Inputs!$K$5:$AJ$130,0,MATCH(AE$2,Inputs!$K$4:$AJ$4,0))))+SUMPRODUCT((Inputs!$E$5:$E$130=$B5)*ISNUMBER(INDEX(Inputs!$K$5:$AJ$130,0,MATCH(AE$2,Inputs!$K$4:$AJ$4,0))))=0,NA(),SUMPRODUCT((Inputs!$A$5:$A$130=$B5)*Inputs!$B$5:$B$130*(((Inputs!$G$5:$G$130="moeda")+(Inputs!$G$5:$G$130="acoes"))*Inputs!$B$1+((Inputs!$G$5:$G$130&lt;&gt;"moeda")*(Inputs!$G$5:$G$130&lt;&gt;"acoes")))*INDEX(Inputs!$K$5:$AJ$130,0,MATCH(AE$2,Inputs!$K$4:$AJ$4,0)))+SUMPRODUCT((Inputs!$C$5:$C$130=$B5)*Inputs!$D$5:$D$130*(((Inputs!$G$5:$G$130="moeda")+(Inputs!$G$5:$G$130="acoes"))*Inputs!$B$1+((Inputs!$G$5:$G$130&lt;&gt;"moeda")*(Inputs!$G$5:$G$130&lt;&gt;"acoes")))*INDEX(Inputs!$K$5:$AJ$130,0,MATCH(AE$2,Inputs!$K$4:$AJ$4,0)))+SUMPRODUCT((Inputs!$E$5:$E$130=$B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" s="265" t="e">
        <f>IF(ISNA(MATCH(AF$2,Inputs!$K$4:$AJ$4,0)),NA(),IF(SUMPRODUCT((Inputs!$A$5:$A$130=$B5)*ISNUMBER(INDEX(Inputs!$K$5:$AJ$130,0,MATCH(AF$2,Inputs!$K$4:$AJ$4,0))))+SUMPRODUCT((Inputs!$C$5:$C$130=$B5)*ISNUMBER(INDEX(Inputs!$K$5:$AJ$130,0,MATCH(AF$2,Inputs!$K$4:$AJ$4,0))))+SUMPRODUCT((Inputs!$E$5:$E$130=$B5)*ISNUMBER(INDEX(Inputs!$K$5:$AJ$130,0,MATCH(AF$2,Inputs!$K$4:$AJ$4,0))))=0,NA(),SUMPRODUCT((Inputs!$A$5:$A$130=$B5)*Inputs!$B$5:$B$130*(((Inputs!$G$5:$G$130="moeda")+(Inputs!$G$5:$G$130="acoes"))*Inputs!$B$1+((Inputs!$G$5:$G$130&lt;&gt;"moeda")*(Inputs!$G$5:$G$130&lt;&gt;"acoes")))*INDEX(Inputs!$K$5:$AJ$130,0,MATCH(AF$2,Inputs!$K$4:$AJ$4,0)))+SUMPRODUCT((Inputs!$C$5:$C$130=$B5)*Inputs!$D$5:$D$130*(((Inputs!$G$5:$G$130="moeda")+(Inputs!$G$5:$G$130="acoes"))*Inputs!$B$1+((Inputs!$G$5:$G$130&lt;&gt;"moeda")*(Inputs!$G$5:$G$130&lt;&gt;"acoes")))*INDEX(Inputs!$K$5:$AJ$130,0,MATCH(AF$2,Inputs!$K$4:$AJ$4,0)))+SUMPRODUCT((Inputs!$E$5:$E$130=$B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" s="266" t="e">
        <f>SUM(AC5:AF5)</f>
        <v>#N/A</v>
      </c>
      <c r="AH5" s="265" t="e">
        <f>IF(ISNA(MATCH(AH$2,Inputs!$K$4:$AJ$4,0)),NA(),IF(SUMPRODUCT((Inputs!$A$5:$A$130=$B5)*ISNUMBER(INDEX(Inputs!$K$5:$AJ$130,0,MATCH(AH$2,Inputs!$K$4:$AJ$4,0))))+SUMPRODUCT((Inputs!$C$5:$C$130=$B5)*ISNUMBER(INDEX(Inputs!$K$5:$AJ$130,0,MATCH(AH$2,Inputs!$K$4:$AJ$4,0))))+SUMPRODUCT((Inputs!$E$5:$E$130=$B5)*ISNUMBER(INDEX(Inputs!$K$5:$AJ$130,0,MATCH(AH$2,Inputs!$K$4:$AJ$4,0))))=0,NA(),SUMPRODUCT((Inputs!$A$5:$A$130=$B5)*Inputs!$B$5:$B$130*(((Inputs!$G$5:$G$130="moeda")+(Inputs!$G$5:$G$130="acoes"))*Inputs!$B$1+((Inputs!$G$5:$G$130&lt;&gt;"moeda")*(Inputs!$G$5:$G$130&lt;&gt;"acoes")))*INDEX(Inputs!$K$5:$AJ$130,0,MATCH(AH$2,Inputs!$K$4:$AJ$4,0)))+SUMPRODUCT((Inputs!$C$5:$C$130=$B5)*Inputs!$D$5:$D$130*(((Inputs!$G$5:$G$130="moeda")+(Inputs!$G$5:$G$130="acoes"))*Inputs!$B$1+((Inputs!$G$5:$G$130&lt;&gt;"moeda")*(Inputs!$G$5:$G$130&lt;&gt;"acoes")))*INDEX(Inputs!$K$5:$AJ$130,0,MATCH(AH$2,Inputs!$K$4:$AJ$4,0)))+SUMPRODUCT((Inputs!$E$5:$E$130=$B5)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5" s="265" t="e">
        <f>IF(ISNA(MATCH(AI$2,Inputs!$K$4:$AJ$4,0)),NA(),IF(SUMPRODUCT((Inputs!$A$5:$A$130=$B5)*ISNUMBER(INDEX(Inputs!$K$5:$AJ$130,0,MATCH(AI$2,Inputs!$K$4:$AJ$4,0))))+SUMPRODUCT((Inputs!$C$5:$C$130=$B5)*ISNUMBER(INDEX(Inputs!$K$5:$AJ$130,0,MATCH(AI$2,Inputs!$K$4:$AJ$4,0))))+SUMPRODUCT((Inputs!$E$5:$E$130=$B5)*ISNUMBER(INDEX(Inputs!$K$5:$AJ$130,0,MATCH(AI$2,Inputs!$K$4:$AJ$4,0))))=0,NA(),SUMPRODUCT((Inputs!$A$5:$A$130=$B5)*Inputs!$B$5:$B$130*(((Inputs!$G$5:$G$130="moeda")+(Inputs!$G$5:$G$130="acoes"))*Inputs!$B$1+((Inputs!$G$5:$G$130&lt;&gt;"moeda")*(Inputs!$G$5:$G$130&lt;&gt;"acoes")))*INDEX(Inputs!$K$5:$AJ$130,0,MATCH(AI$2,Inputs!$K$4:$AJ$4,0)))+SUMPRODUCT((Inputs!$C$5:$C$130=$B5)*Inputs!$D$5:$D$130*(((Inputs!$G$5:$G$130="moeda")+(Inputs!$G$5:$G$130="acoes"))*Inputs!$B$1+((Inputs!$G$5:$G$130&lt;&gt;"moeda")*(Inputs!$G$5:$G$130&lt;&gt;"acoes")))*INDEX(Inputs!$K$5:$AJ$130,0,MATCH(AI$2,Inputs!$K$4:$AJ$4,0)))+SUMPRODUCT((Inputs!$E$5:$E$130=$B5)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5" s="265" t="e">
        <f>IF(ISNA(MATCH(AJ$2,Inputs!$K$4:$AJ$4,0)),NA(),IF(SUMPRODUCT((Inputs!$A$5:$A$130=$B5)*ISNUMBER(INDEX(Inputs!$K$5:$AJ$130,0,MATCH(AJ$2,Inputs!$K$4:$AJ$4,0))))+SUMPRODUCT((Inputs!$C$5:$C$130=$B5)*ISNUMBER(INDEX(Inputs!$K$5:$AJ$130,0,MATCH(AJ$2,Inputs!$K$4:$AJ$4,0))))+SUMPRODUCT((Inputs!$E$5:$E$130=$B5)*ISNUMBER(INDEX(Inputs!$K$5:$AJ$130,0,MATCH(AJ$2,Inputs!$K$4:$AJ$4,0))))=0,NA(),SUMPRODUCT((Inputs!$A$5:$A$130=$B5)*Inputs!$B$5:$B$130*(((Inputs!$G$5:$G$130="moeda")+(Inputs!$G$5:$G$130="acoes"))*Inputs!$B$1+((Inputs!$G$5:$G$130&lt;&gt;"moeda")*(Inputs!$G$5:$G$130&lt;&gt;"acoes")))*INDEX(Inputs!$K$5:$AJ$130,0,MATCH(AJ$2,Inputs!$K$4:$AJ$4,0)))+SUMPRODUCT((Inputs!$C$5:$C$130=$B5)*Inputs!$D$5:$D$130*(((Inputs!$G$5:$G$130="moeda")+(Inputs!$G$5:$G$130="acoes"))*Inputs!$B$1+((Inputs!$G$5:$G$130&lt;&gt;"moeda")*(Inputs!$G$5:$G$130&lt;&gt;"acoes")))*INDEX(Inputs!$K$5:$AJ$130,0,MATCH(AJ$2,Inputs!$K$4:$AJ$4,0)))+SUMPRODUCT((Inputs!$E$5:$E$130=$B5)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5" s="265" t="e">
        <f>IF(ISNA(MATCH(AK$2,Inputs!$K$4:$AJ$4,0)),NA(),IF(SUMPRODUCT((Inputs!$A$5:$A$130=$B5)*ISNUMBER(INDEX(Inputs!$K$5:$AJ$130,0,MATCH(AK$2,Inputs!$K$4:$AJ$4,0))))+SUMPRODUCT((Inputs!$C$5:$C$130=$B5)*ISNUMBER(INDEX(Inputs!$K$5:$AJ$130,0,MATCH(AK$2,Inputs!$K$4:$AJ$4,0))))+SUMPRODUCT((Inputs!$E$5:$E$130=$B5)*ISNUMBER(INDEX(Inputs!$K$5:$AJ$130,0,MATCH(AK$2,Inputs!$K$4:$AJ$4,0))))=0,NA(),SUMPRODUCT((Inputs!$A$5:$A$130=$B5)*Inputs!$B$5:$B$130*(((Inputs!$G$5:$G$130="moeda")+(Inputs!$G$5:$G$130="acoes"))*Inputs!$B$1+((Inputs!$G$5:$G$130&lt;&gt;"moeda")*(Inputs!$G$5:$G$130&lt;&gt;"acoes")))*INDEX(Inputs!$K$5:$AJ$130,0,MATCH(AK$2,Inputs!$K$4:$AJ$4,0)))+SUMPRODUCT((Inputs!$C$5:$C$130=$B5)*Inputs!$D$5:$D$130*(((Inputs!$G$5:$G$130="moeda")+(Inputs!$G$5:$G$130="acoes"))*Inputs!$B$1+((Inputs!$G$5:$G$130&lt;&gt;"moeda")*(Inputs!$G$5:$G$130&lt;&gt;"acoes")))*INDEX(Inputs!$K$5:$AJ$130,0,MATCH(AK$2,Inputs!$K$4:$AJ$4,0)))+SUMPRODUCT((Inputs!$E$5:$E$130=$B5)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5" s="266" t="e">
        <f>SUM(AH5:AK5)</f>
        <v>#N/A</v>
      </c>
    </row>
    <row r="6" ht="12.75" customHeight="1" s="254">
      <c r="B6" s="263" t="n">
        <v>3</v>
      </c>
      <c r="C6" s="267" t="inlineStr">
        <is>
          <t>SG&amp;A and Other (cash)</t>
        </is>
      </c>
      <c r="D6" s="265">
        <f>IF(ISNA(MATCH(D$2,Inputs!$K$4:$AJ$4,0)),NA(),IF(SUMPRODUCT((Inputs!$A$5:$A$130=$B6)*ISNUMBER(INDEX(Inputs!$K$5:$AJ$130,0,MATCH(D$2,Inputs!$K$4:$AJ$4,0))))+SUMPRODUCT((Inputs!$C$5:$C$130=$B6)*ISNUMBER(INDEX(Inputs!$K$5:$AJ$130,0,MATCH(D$2,Inputs!$K$4:$AJ$4,0))))+SUMPRODUCT((Inputs!$E$5:$E$130=$B6)*ISNUMBER(INDEX(Inputs!$K$5:$AJ$130,0,MATCH(D$2,Inputs!$K$4:$AJ$4,0))))=0,NA(),SUMPRODUCT((Inputs!$A$5:$A$130=$B6)*Inputs!$B$5:$B$130*(((Inputs!$G$5:$G$130="moeda")+(Inputs!$G$5:$G$130="acoes"))*Inputs!$B$1+((Inputs!$G$5:$G$130&lt;&gt;"moeda")*(Inputs!$G$5:$G$130&lt;&gt;"acoes")))*INDEX(Inputs!$K$5:$AJ$130,0,MATCH(D$2,Inputs!$K$4:$AJ$4,0)))+SUMPRODUCT((Inputs!$C$5:$C$130=$B6)*Inputs!$D$5:$D$130*(((Inputs!$G$5:$G$130="moeda")+(Inputs!$G$5:$G$130="acoes"))*Inputs!$B$1+((Inputs!$G$5:$G$130&lt;&gt;"moeda")*(Inputs!$G$5:$G$130&lt;&gt;"acoes")))*INDEX(Inputs!$K$5:$AJ$130,0,MATCH(D$2,Inputs!$K$4:$AJ$4,0)))+SUMPRODUCT((Inputs!$E$5:$E$130=$B6)*Inputs!$F$5:$F$130*(((Inputs!$G$5:$G$130="moeda")+(Inputs!$G$5:$G$130="acoes"))*Inputs!$B$1+((Inputs!$G$5:$G$130&lt;&gt;"moeda")*(Inputs!$G$5:$G$130&lt;&gt;"acoes")))*INDEX(Inputs!$K$5:$AJ$130,0,MATCH(D$2,Inputs!$K$4:$AJ$4,0)))))</f>
        <v>-9721</v>
      </c>
      <c r="E6" s="265">
        <f>IF(ISNA(MATCH(E$2,Inputs!$K$4:$AJ$4,0)),NA(),IF(SUMPRODUCT((Inputs!$A$5:$A$130=$B6)*ISNUMBER(INDEX(Inputs!$K$5:$AJ$130,0,MATCH(E$2,Inputs!$K$4:$AJ$4,0))))+SUMPRODUCT((Inputs!$C$5:$C$130=$B6)*ISNUMBER(INDEX(Inputs!$K$5:$AJ$130,0,MATCH(E$2,Inputs!$K$4:$AJ$4,0))))+SUMPRODUCT((Inputs!$E$5:$E$130=$B6)*ISNUMBER(INDEX(Inputs!$K$5:$AJ$130,0,MATCH(E$2,Inputs!$K$4:$AJ$4,0))))=0,NA(),SUMPRODUCT((Inputs!$A$5:$A$130=$B6)*Inputs!$B$5:$B$130*(((Inputs!$G$5:$G$130="moeda")+(Inputs!$G$5:$G$130="acoes"))*Inputs!$B$1+((Inputs!$G$5:$G$130&lt;&gt;"moeda")*(Inputs!$G$5:$G$130&lt;&gt;"acoes")))*INDEX(Inputs!$K$5:$AJ$130,0,MATCH(E$2,Inputs!$K$4:$AJ$4,0)))+SUMPRODUCT((Inputs!$C$5:$C$130=$B6)*Inputs!$D$5:$D$130*(((Inputs!$G$5:$G$130="moeda")+(Inputs!$G$5:$G$130="acoes"))*Inputs!$B$1+((Inputs!$G$5:$G$130&lt;&gt;"moeda")*(Inputs!$G$5:$G$130&lt;&gt;"acoes")))*INDEX(Inputs!$K$5:$AJ$130,0,MATCH(E$2,Inputs!$K$4:$AJ$4,0)))+SUMPRODUCT((Inputs!$E$5:$E$130=$B6)*Inputs!$F$5:$F$130*(((Inputs!$G$5:$G$130="moeda")+(Inputs!$G$5:$G$130="acoes"))*Inputs!$B$1+((Inputs!$G$5:$G$130&lt;&gt;"moeda")*(Inputs!$G$5:$G$130&lt;&gt;"acoes")))*INDEX(Inputs!$K$5:$AJ$130,0,MATCH(E$2,Inputs!$K$4:$AJ$4,0)))))</f>
        <v>-8802</v>
      </c>
      <c r="F6" s="265">
        <f>IF(ISNA(MATCH(F$2,Inputs!$K$4:$AJ$4,0)),NA(),IF(SUMPRODUCT((Inputs!$A$5:$A$130=$B6)*ISNUMBER(INDEX(Inputs!$K$5:$AJ$130,0,MATCH(F$2,Inputs!$K$4:$AJ$4,0))))+SUMPRODUCT((Inputs!$C$5:$C$130=$B6)*ISNUMBER(INDEX(Inputs!$K$5:$AJ$130,0,MATCH(F$2,Inputs!$K$4:$AJ$4,0))))+SUMPRODUCT((Inputs!$E$5:$E$130=$B6)*ISNUMBER(INDEX(Inputs!$K$5:$AJ$130,0,MATCH(F$2,Inputs!$K$4:$AJ$4,0))))=0,NA(),SUMPRODUCT((Inputs!$A$5:$A$130=$B6)*Inputs!$B$5:$B$130*(((Inputs!$G$5:$G$130="moeda")+(Inputs!$G$5:$G$130="acoes"))*Inputs!$B$1+((Inputs!$G$5:$G$130&lt;&gt;"moeda")*(Inputs!$G$5:$G$130&lt;&gt;"acoes")))*INDEX(Inputs!$K$5:$AJ$130,0,MATCH(F$2,Inputs!$K$4:$AJ$4,0)))+SUMPRODUCT((Inputs!$C$5:$C$130=$B6)*Inputs!$D$5:$D$130*(((Inputs!$G$5:$G$130="moeda")+(Inputs!$G$5:$G$130="acoes"))*Inputs!$B$1+((Inputs!$G$5:$G$130&lt;&gt;"moeda")*(Inputs!$G$5:$G$130&lt;&gt;"acoes")))*INDEX(Inputs!$K$5:$AJ$130,0,MATCH(F$2,Inputs!$K$4:$AJ$4,0)))+SUMPRODUCT((Inputs!$E$5:$E$130=$B6)*Inputs!$F$5:$F$130*(((Inputs!$G$5:$G$130="moeda")+(Inputs!$G$5:$G$130="acoes"))*Inputs!$B$1+((Inputs!$G$5:$G$130&lt;&gt;"moeda")*(Inputs!$G$5:$G$130&lt;&gt;"acoes")))*INDEX(Inputs!$K$5:$AJ$130,0,MATCH(F$2,Inputs!$K$4:$AJ$4,0)))))</f>
        <v>-8885</v>
      </c>
      <c r="G6" s="265">
        <f>IF(ISNA(MATCH(G$2,Inputs!$K$4:$AJ$4,0)),NA(),IF(SUMPRODUCT((Inputs!$A$5:$A$130=$B6)*ISNUMBER(INDEX(Inputs!$K$5:$AJ$130,0,MATCH(G$2,Inputs!$K$4:$AJ$4,0))))+SUMPRODUCT((Inputs!$C$5:$C$130=$B6)*ISNUMBER(INDEX(Inputs!$K$5:$AJ$130,0,MATCH(G$2,Inputs!$K$4:$AJ$4,0))))+SUMPRODUCT((Inputs!$E$5:$E$130=$B6)*ISNUMBER(INDEX(Inputs!$K$5:$AJ$130,0,MATCH(G$2,Inputs!$K$4:$AJ$4,0))))=0,NA(),SUMPRODUCT((Inputs!$A$5:$A$130=$B6)*Inputs!$B$5:$B$130*(((Inputs!$G$5:$G$130="moeda")+(Inputs!$G$5:$G$130="acoes"))*Inputs!$B$1+((Inputs!$G$5:$G$130&lt;&gt;"moeda")*(Inputs!$G$5:$G$130&lt;&gt;"acoes")))*INDEX(Inputs!$K$5:$AJ$130,0,MATCH(G$2,Inputs!$K$4:$AJ$4,0)))+SUMPRODUCT((Inputs!$C$5:$C$130=$B6)*Inputs!$D$5:$D$130*(((Inputs!$G$5:$G$130="moeda")+(Inputs!$G$5:$G$130="acoes"))*Inputs!$B$1+((Inputs!$G$5:$G$130&lt;&gt;"moeda")*(Inputs!$G$5:$G$130&lt;&gt;"acoes")))*INDEX(Inputs!$K$5:$AJ$130,0,MATCH(G$2,Inputs!$K$4:$AJ$4,0)))+SUMPRODUCT((Inputs!$E$5:$E$130=$B6)*Inputs!$F$5:$F$130*(((Inputs!$G$5:$G$130="moeda")+(Inputs!$G$5:$G$130="acoes"))*Inputs!$B$1+((Inputs!$G$5:$G$130&lt;&gt;"moeda")*(Inputs!$G$5:$G$130&lt;&gt;"acoes")))*INDEX(Inputs!$K$5:$AJ$130,0,MATCH(G$2,Inputs!$K$4:$AJ$4,0)))))</f>
        <v>-9981</v>
      </c>
      <c r="H6" s="266">
        <f>SUM(D6:G6)</f>
        <v>-37389</v>
      </c>
      <c r="I6" s="265">
        <f>IF(ISNA(MATCH(I$2,Inputs!$K$4:$AJ$4,0)),NA(),IF(SUMPRODUCT((Inputs!$A$5:$A$130=$B6)*ISNUMBER(INDEX(Inputs!$K$5:$AJ$130,0,MATCH(I$2,Inputs!$K$4:$AJ$4,0))))+SUMPRODUCT((Inputs!$C$5:$C$130=$B6)*ISNUMBER(INDEX(Inputs!$K$5:$AJ$130,0,MATCH(I$2,Inputs!$K$4:$AJ$4,0))))+SUMPRODUCT((Inputs!$E$5:$E$130=$B6)*ISNUMBER(INDEX(Inputs!$K$5:$AJ$130,0,MATCH(I$2,Inputs!$K$4:$AJ$4,0))))=0,NA(),SUMPRODUCT((Inputs!$A$5:$A$130=$B6)*Inputs!$B$5:$B$130*(((Inputs!$G$5:$G$130="moeda")+(Inputs!$G$5:$G$130="acoes"))*Inputs!$B$1+((Inputs!$G$5:$G$130&lt;&gt;"moeda")*(Inputs!$G$5:$G$130&lt;&gt;"acoes")))*INDEX(Inputs!$K$5:$AJ$130,0,MATCH(I$2,Inputs!$K$4:$AJ$4,0)))+SUMPRODUCT((Inputs!$C$5:$C$130=$B6)*Inputs!$D$5:$D$130*(((Inputs!$G$5:$G$130="moeda")+(Inputs!$G$5:$G$130="acoes"))*Inputs!$B$1+((Inputs!$G$5:$G$130&lt;&gt;"moeda")*(Inputs!$G$5:$G$130&lt;&gt;"acoes")))*INDEX(Inputs!$K$5:$AJ$130,0,MATCH(I$2,Inputs!$K$4:$AJ$4,0)))+SUMPRODUCT((Inputs!$E$5:$E$130=$B6)*Inputs!$F$5:$F$130*(((Inputs!$G$5:$G$130="moeda")+(Inputs!$G$5:$G$130="acoes"))*Inputs!$B$1+((Inputs!$G$5:$G$130&lt;&gt;"moeda")*(Inputs!$G$5:$G$130&lt;&gt;"acoes")))*INDEX(Inputs!$K$5:$AJ$130,0,MATCH(I$2,Inputs!$K$4:$AJ$4,0)))))</f>
        <v>-9726</v>
      </c>
      <c r="J6" s="265">
        <f>IF(ISNA(MATCH(J$2,Inputs!$K$4:$AJ$4,0)),NA(),IF(SUMPRODUCT((Inputs!$A$5:$A$130=$B6)*ISNUMBER(INDEX(Inputs!$K$5:$AJ$130,0,MATCH(J$2,Inputs!$K$4:$AJ$4,0))))+SUMPRODUCT((Inputs!$C$5:$C$130=$B6)*ISNUMBER(INDEX(Inputs!$K$5:$AJ$130,0,MATCH(J$2,Inputs!$K$4:$AJ$4,0))))+SUMPRODUCT((Inputs!$E$5:$E$130=$B6)*ISNUMBER(INDEX(Inputs!$K$5:$AJ$130,0,MATCH(J$2,Inputs!$K$4:$AJ$4,0))))=0,NA(),SUMPRODUCT((Inputs!$A$5:$A$130=$B6)*Inputs!$B$5:$B$130*(((Inputs!$G$5:$G$130="moeda")+(Inputs!$G$5:$G$130="acoes"))*Inputs!$B$1+((Inputs!$G$5:$G$130&lt;&gt;"moeda")*(Inputs!$G$5:$G$130&lt;&gt;"acoes")))*INDEX(Inputs!$K$5:$AJ$130,0,MATCH(J$2,Inputs!$K$4:$AJ$4,0)))+SUMPRODUCT((Inputs!$C$5:$C$130=$B6)*Inputs!$D$5:$D$130*(((Inputs!$G$5:$G$130="moeda")+(Inputs!$G$5:$G$130="acoes"))*Inputs!$B$1+((Inputs!$G$5:$G$130&lt;&gt;"moeda")*(Inputs!$G$5:$G$130&lt;&gt;"acoes")))*INDEX(Inputs!$K$5:$AJ$130,0,MATCH(J$2,Inputs!$K$4:$AJ$4,0)))+SUMPRODUCT((Inputs!$E$5:$E$130=$B6)*Inputs!$F$5:$F$130*(((Inputs!$G$5:$G$130="moeda")+(Inputs!$G$5:$G$130="acoes"))*Inputs!$B$1+((Inputs!$G$5:$G$130&lt;&gt;"moeda")*(Inputs!$G$5:$G$130&lt;&gt;"acoes")))*INDEX(Inputs!$K$5:$AJ$130,0,MATCH(J$2,Inputs!$K$4:$AJ$4,0)))))</f>
        <v>-9917</v>
      </c>
      <c r="K6" s="265">
        <f>IF(ISNA(MATCH(K$2,Inputs!$K$4:$AJ$4,0)),NA(),IF(SUMPRODUCT((Inputs!$A$5:$A$130=$B6)*ISNUMBER(INDEX(Inputs!$K$5:$AJ$130,0,MATCH(K$2,Inputs!$K$4:$AJ$4,0))))+SUMPRODUCT((Inputs!$C$5:$C$130=$B6)*ISNUMBER(INDEX(Inputs!$K$5:$AJ$130,0,MATCH(K$2,Inputs!$K$4:$AJ$4,0))))+SUMPRODUCT((Inputs!$E$5:$E$130=$B6)*ISNUMBER(INDEX(Inputs!$K$5:$AJ$130,0,MATCH(K$2,Inputs!$K$4:$AJ$4,0))))=0,NA(),SUMPRODUCT((Inputs!$A$5:$A$130=$B6)*Inputs!$B$5:$B$130*(((Inputs!$G$5:$G$130="moeda")+(Inputs!$G$5:$G$130="acoes"))*Inputs!$B$1+((Inputs!$G$5:$G$130&lt;&gt;"moeda")*(Inputs!$G$5:$G$130&lt;&gt;"acoes")))*INDEX(Inputs!$K$5:$AJ$130,0,MATCH(K$2,Inputs!$K$4:$AJ$4,0)))+SUMPRODUCT((Inputs!$C$5:$C$130=$B6)*Inputs!$D$5:$D$130*(((Inputs!$G$5:$G$130="moeda")+(Inputs!$G$5:$G$130="acoes"))*Inputs!$B$1+((Inputs!$G$5:$G$130&lt;&gt;"moeda")*(Inputs!$G$5:$G$130&lt;&gt;"acoes")))*INDEX(Inputs!$K$5:$AJ$130,0,MATCH(K$2,Inputs!$K$4:$AJ$4,0)))+SUMPRODUCT((Inputs!$E$5:$E$130=$B6)*Inputs!$F$5:$F$130*(((Inputs!$G$5:$G$130="moeda")+(Inputs!$G$5:$G$130="acoes"))*Inputs!$B$1+((Inputs!$G$5:$G$130&lt;&gt;"moeda")*(Inputs!$G$5:$G$130&lt;&gt;"acoes")))*INDEX(Inputs!$K$5:$AJ$130,0,MATCH(K$2,Inputs!$K$4:$AJ$4,0)))))</f>
        <v>-9783</v>
      </c>
      <c r="L6" s="265">
        <f>IF(ISNA(MATCH(L$2,Inputs!$K$4:$AJ$4,0)),NA(),IF(SUMPRODUCT((Inputs!$A$5:$A$130=$B6)*ISNUMBER(INDEX(Inputs!$K$5:$AJ$130,0,MATCH(L$2,Inputs!$K$4:$AJ$4,0))))+SUMPRODUCT((Inputs!$C$5:$C$130=$B6)*ISNUMBER(INDEX(Inputs!$K$5:$AJ$130,0,MATCH(L$2,Inputs!$K$4:$AJ$4,0))))+SUMPRODUCT((Inputs!$E$5:$E$130=$B6)*ISNUMBER(INDEX(Inputs!$K$5:$AJ$130,0,MATCH(L$2,Inputs!$K$4:$AJ$4,0))))=0,NA(),SUMPRODUCT((Inputs!$A$5:$A$130=$B6)*Inputs!$B$5:$B$130*(((Inputs!$G$5:$G$130="moeda")+(Inputs!$G$5:$G$130="acoes"))*Inputs!$B$1+((Inputs!$G$5:$G$130&lt;&gt;"moeda")*(Inputs!$G$5:$G$130&lt;&gt;"acoes")))*INDEX(Inputs!$K$5:$AJ$130,0,MATCH(L$2,Inputs!$K$4:$AJ$4,0)))+SUMPRODUCT((Inputs!$C$5:$C$130=$B6)*Inputs!$D$5:$D$130*(((Inputs!$G$5:$G$130="moeda")+(Inputs!$G$5:$G$130="acoes"))*Inputs!$B$1+((Inputs!$G$5:$G$130&lt;&gt;"moeda")*(Inputs!$G$5:$G$130&lt;&gt;"acoes")))*INDEX(Inputs!$K$5:$AJ$130,0,MATCH(L$2,Inputs!$K$4:$AJ$4,0)))+SUMPRODUCT((Inputs!$E$5:$E$130=$B6)*Inputs!$F$5:$F$130*(((Inputs!$G$5:$G$130="moeda")+(Inputs!$G$5:$G$130="acoes"))*Inputs!$B$1+((Inputs!$G$5:$G$130&lt;&gt;"moeda")*(Inputs!$G$5:$G$130&lt;&gt;"acoes")))*INDEX(Inputs!$K$5:$AJ$130,0,MATCH(L$2,Inputs!$K$4:$AJ$4,0)))))</f>
        <v>-11763</v>
      </c>
      <c r="M6" s="266">
        <f>SUM(I6:L6)</f>
        <v>-41189</v>
      </c>
      <c r="N6" s="265">
        <f>IF(ISNA(MATCH(N$2,Inputs!$K$4:$AJ$4,0)),NA(),IF(SUMPRODUCT((Inputs!$A$5:$A$130=$B6)*ISNUMBER(INDEX(Inputs!$K$5:$AJ$130,0,MATCH(N$2,Inputs!$K$4:$AJ$4,0))))+SUMPRODUCT((Inputs!$C$5:$C$130=$B6)*ISNUMBER(INDEX(Inputs!$K$5:$AJ$130,0,MATCH(N$2,Inputs!$K$4:$AJ$4,0))))+SUMPRODUCT((Inputs!$E$5:$E$130=$B6)*ISNUMBER(INDEX(Inputs!$K$5:$AJ$130,0,MATCH(N$2,Inputs!$K$4:$AJ$4,0))))=0,NA(),SUMPRODUCT((Inputs!$A$5:$A$130=$B6)*Inputs!$B$5:$B$130*(((Inputs!$G$5:$G$130="moeda")+(Inputs!$G$5:$G$130="acoes"))*Inputs!$B$1+((Inputs!$G$5:$G$130&lt;&gt;"moeda")*(Inputs!$G$5:$G$130&lt;&gt;"acoes")))*INDEX(Inputs!$K$5:$AJ$130,0,MATCH(N$2,Inputs!$K$4:$AJ$4,0)))+SUMPRODUCT((Inputs!$C$5:$C$130=$B6)*Inputs!$D$5:$D$130*(((Inputs!$G$5:$G$130="moeda")+(Inputs!$G$5:$G$130="acoes"))*Inputs!$B$1+((Inputs!$G$5:$G$130&lt;&gt;"moeda")*(Inputs!$G$5:$G$130&lt;&gt;"acoes")))*INDEX(Inputs!$K$5:$AJ$130,0,MATCH(N$2,Inputs!$K$4:$AJ$4,0)))+SUMPRODUCT((Inputs!$E$5:$E$130=$B6)*Inputs!$F$5:$F$130*(((Inputs!$G$5:$G$130="moeda")+(Inputs!$G$5:$G$130="acoes"))*Inputs!$B$1+((Inputs!$G$5:$G$130&lt;&gt;"moeda")*(Inputs!$G$5:$G$130&lt;&gt;"acoes")))*INDEX(Inputs!$K$5:$AJ$130,0,MATCH(N$2,Inputs!$K$4:$AJ$4,0)))))</f>
        <v>-9716</v>
      </c>
      <c r="O6" s="265">
        <f>IF(ISNA(MATCH(O$2,Inputs!$K$4:$AJ$4,0)),NA(),IF(SUMPRODUCT((Inputs!$A$5:$A$130=$B6)*ISNUMBER(INDEX(Inputs!$K$5:$AJ$130,0,MATCH(O$2,Inputs!$K$4:$AJ$4,0))))+SUMPRODUCT((Inputs!$C$5:$C$130=$B6)*ISNUMBER(INDEX(Inputs!$K$5:$AJ$130,0,MATCH(O$2,Inputs!$K$4:$AJ$4,0))))+SUMPRODUCT((Inputs!$E$5:$E$130=$B6)*ISNUMBER(INDEX(Inputs!$K$5:$AJ$130,0,MATCH(O$2,Inputs!$K$4:$AJ$4,0))))=0,NA(),SUMPRODUCT((Inputs!$A$5:$A$130=$B6)*Inputs!$B$5:$B$130*(((Inputs!$G$5:$G$130="moeda")+(Inputs!$G$5:$G$130="acoes"))*Inputs!$B$1+((Inputs!$G$5:$G$130&lt;&gt;"moeda")*(Inputs!$G$5:$G$130&lt;&gt;"acoes")))*INDEX(Inputs!$K$5:$AJ$130,0,MATCH(O$2,Inputs!$K$4:$AJ$4,0)))+SUMPRODUCT((Inputs!$C$5:$C$130=$B6)*Inputs!$D$5:$D$130*(((Inputs!$G$5:$G$130="moeda")+(Inputs!$G$5:$G$130="acoes"))*Inputs!$B$1+((Inputs!$G$5:$G$130&lt;&gt;"moeda")*(Inputs!$G$5:$G$130&lt;&gt;"acoes")))*INDEX(Inputs!$K$5:$AJ$130,0,MATCH(O$2,Inputs!$K$4:$AJ$4,0)))+SUMPRODUCT((Inputs!$E$5:$E$130=$B6)*Inputs!$F$5:$F$130*(((Inputs!$G$5:$G$130="moeda")+(Inputs!$G$5:$G$130="acoes"))*Inputs!$B$1+((Inputs!$G$5:$G$130&lt;&gt;"moeda")*(Inputs!$G$5:$G$130&lt;&gt;"acoes")))*INDEX(Inputs!$K$5:$AJ$130,0,MATCH(O$2,Inputs!$K$4:$AJ$4,0)))))</f>
        <v>-10096</v>
      </c>
      <c r="P6" s="265">
        <f>IF(ISNA(MATCH(P$2,Inputs!$K$4:$AJ$4,0)),NA(),IF(SUMPRODUCT((Inputs!$A$5:$A$130=$B6)*ISNUMBER(INDEX(Inputs!$K$5:$AJ$130,0,MATCH(P$2,Inputs!$K$4:$AJ$4,0))))+SUMPRODUCT((Inputs!$C$5:$C$130=$B6)*ISNUMBER(INDEX(Inputs!$K$5:$AJ$130,0,MATCH(P$2,Inputs!$K$4:$AJ$4,0))))+SUMPRODUCT((Inputs!$E$5:$E$130=$B6)*ISNUMBER(INDEX(Inputs!$K$5:$AJ$130,0,MATCH(P$2,Inputs!$K$4:$AJ$4,0))))=0,NA(),SUMPRODUCT((Inputs!$A$5:$A$130=$B6)*Inputs!$B$5:$B$130*(((Inputs!$G$5:$G$130="moeda")+(Inputs!$G$5:$G$130="acoes"))*Inputs!$B$1+((Inputs!$G$5:$G$130&lt;&gt;"moeda")*(Inputs!$G$5:$G$130&lt;&gt;"acoes")))*INDEX(Inputs!$K$5:$AJ$130,0,MATCH(P$2,Inputs!$K$4:$AJ$4,0)))+SUMPRODUCT((Inputs!$C$5:$C$130=$B6)*Inputs!$D$5:$D$130*(((Inputs!$G$5:$G$130="moeda")+(Inputs!$G$5:$G$130="acoes"))*Inputs!$B$1+((Inputs!$G$5:$G$130&lt;&gt;"moeda")*(Inputs!$G$5:$G$130&lt;&gt;"acoes")))*INDEX(Inputs!$K$5:$AJ$130,0,MATCH(P$2,Inputs!$K$4:$AJ$4,0)))+SUMPRODUCT((Inputs!$E$5:$E$130=$B6)*Inputs!$F$5:$F$130*(((Inputs!$G$5:$G$130="moeda")+(Inputs!$G$5:$G$130="acoes"))*Inputs!$B$1+((Inputs!$G$5:$G$130&lt;&gt;"moeda")*(Inputs!$G$5:$G$130&lt;&gt;"acoes")))*INDEX(Inputs!$K$5:$AJ$130,0,MATCH(P$2,Inputs!$K$4:$AJ$4,0)))))</f>
        <v>-10534</v>
      </c>
      <c r="Q6" s="265">
        <f>IF(ISNA(MATCH(Q$2,Inputs!$K$4:$AJ$4,0)),NA(),IF(SUMPRODUCT((Inputs!$A$5:$A$130=$B6)*ISNUMBER(INDEX(Inputs!$K$5:$AJ$130,0,MATCH(Q$2,Inputs!$K$4:$AJ$4,0))))+SUMPRODUCT((Inputs!$C$5:$C$130=$B6)*ISNUMBER(INDEX(Inputs!$K$5:$AJ$130,0,MATCH(Q$2,Inputs!$K$4:$AJ$4,0))))+SUMPRODUCT((Inputs!$E$5:$E$130=$B6)*ISNUMBER(INDEX(Inputs!$K$5:$AJ$130,0,MATCH(Q$2,Inputs!$K$4:$AJ$4,0))))=0,NA(),SUMPRODUCT((Inputs!$A$5:$A$130=$B6)*Inputs!$B$5:$B$130*(((Inputs!$G$5:$G$130="moeda")+(Inputs!$G$5:$G$130="acoes"))*Inputs!$B$1+((Inputs!$G$5:$G$130&lt;&gt;"moeda")*(Inputs!$G$5:$G$130&lt;&gt;"acoes")))*INDEX(Inputs!$K$5:$AJ$130,0,MATCH(Q$2,Inputs!$K$4:$AJ$4,0)))+SUMPRODUCT((Inputs!$C$5:$C$130=$B6)*Inputs!$D$5:$D$130*(((Inputs!$G$5:$G$130="moeda")+(Inputs!$G$5:$G$130="acoes"))*Inputs!$B$1+((Inputs!$G$5:$G$130&lt;&gt;"moeda")*(Inputs!$G$5:$G$130&lt;&gt;"acoes")))*INDEX(Inputs!$K$5:$AJ$130,0,MATCH(Q$2,Inputs!$K$4:$AJ$4,0)))+SUMPRODUCT((Inputs!$E$5:$E$130=$B6)*Inputs!$F$5:$F$130*(((Inputs!$G$5:$G$130="moeda")+(Inputs!$G$5:$G$130="acoes"))*Inputs!$B$1+((Inputs!$G$5:$G$130&lt;&gt;"moeda")*(Inputs!$G$5:$G$130&lt;&gt;"acoes")))*INDEX(Inputs!$K$5:$AJ$130,0,MATCH(Q$2,Inputs!$K$4:$AJ$4,0)))))</f>
        <v>-11364</v>
      </c>
      <c r="R6" s="266">
        <f>SUM(N6:Q6)</f>
        <v>-41710</v>
      </c>
      <c r="S6" s="265">
        <f>IF(ISNA(MATCH(S$2,Inputs!$K$4:$AJ$4,0)),NA(),IF(SUMPRODUCT((Inputs!$A$5:$A$130=$B6)*ISNUMBER(INDEX(Inputs!$K$5:$AJ$130,0,MATCH(S$2,Inputs!$K$4:$AJ$4,0))))+SUMPRODUCT((Inputs!$C$5:$C$130=$B6)*ISNUMBER(INDEX(Inputs!$K$5:$AJ$130,0,MATCH(S$2,Inputs!$K$4:$AJ$4,0))))+SUMPRODUCT((Inputs!$E$5:$E$130=$B6)*ISNUMBER(INDEX(Inputs!$K$5:$AJ$130,0,MATCH(S$2,Inputs!$K$4:$AJ$4,0))))=0,NA(),SUMPRODUCT((Inputs!$A$5:$A$130=$B6)*Inputs!$B$5:$B$130*(((Inputs!$G$5:$G$130="moeda")+(Inputs!$G$5:$G$130="acoes"))*Inputs!$B$1+((Inputs!$G$5:$G$130&lt;&gt;"moeda")*(Inputs!$G$5:$G$130&lt;&gt;"acoes")))*INDEX(Inputs!$K$5:$AJ$130,0,MATCH(S$2,Inputs!$K$4:$AJ$4,0)))+SUMPRODUCT((Inputs!$C$5:$C$130=$B6)*Inputs!$D$5:$D$130*(((Inputs!$G$5:$G$130="moeda")+(Inputs!$G$5:$G$130="acoes"))*Inputs!$B$1+((Inputs!$G$5:$G$130&lt;&gt;"moeda")*(Inputs!$G$5:$G$130&lt;&gt;"acoes")))*INDEX(Inputs!$K$5:$AJ$130,0,MATCH(S$2,Inputs!$K$4:$AJ$4,0)))+SUMPRODUCT((Inputs!$E$5:$E$130=$B6)*Inputs!$F$5:$F$130*(((Inputs!$G$5:$G$130="moeda")+(Inputs!$G$5:$G$130="acoes"))*Inputs!$B$1+((Inputs!$G$5:$G$130&lt;&gt;"moeda")*(Inputs!$G$5:$G$130&lt;&gt;"acoes")))*INDEX(Inputs!$K$5:$AJ$130,0,MATCH(S$2,Inputs!$K$4:$AJ$4,0)))))</f>
        <v>-9747</v>
      </c>
      <c r="T6" s="265">
        <f>IF(ISNA(MATCH(T$2,Inputs!$K$4:$AJ$4,0)),NA(),IF(SUMPRODUCT((Inputs!$A$5:$A$130=$B6)*ISNUMBER(INDEX(Inputs!$K$5:$AJ$130,0,MATCH(T$2,Inputs!$K$4:$AJ$4,0))))+SUMPRODUCT((Inputs!$C$5:$C$130=$B6)*ISNUMBER(INDEX(Inputs!$K$5:$AJ$130,0,MATCH(T$2,Inputs!$K$4:$AJ$4,0))))+SUMPRODUCT((Inputs!$E$5:$E$130=$B6)*ISNUMBER(INDEX(Inputs!$K$5:$AJ$130,0,MATCH(T$2,Inputs!$K$4:$AJ$4,0))))=0,NA(),SUMPRODUCT((Inputs!$A$5:$A$130=$B6)*Inputs!$B$5:$B$130*(((Inputs!$G$5:$G$130="moeda")+(Inputs!$G$5:$G$130="acoes"))*Inputs!$B$1+((Inputs!$G$5:$G$130&lt;&gt;"moeda")*(Inputs!$G$5:$G$130&lt;&gt;"acoes")))*INDEX(Inputs!$K$5:$AJ$130,0,MATCH(T$2,Inputs!$K$4:$AJ$4,0)))+SUMPRODUCT((Inputs!$C$5:$C$130=$B6)*Inputs!$D$5:$D$130*(((Inputs!$G$5:$G$130="moeda")+(Inputs!$G$5:$G$130="acoes"))*Inputs!$B$1+((Inputs!$G$5:$G$130&lt;&gt;"moeda")*(Inputs!$G$5:$G$130&lt;&gt;"acoes")))*INDEX(Inputs!$K$5:$AJ$130,0,MATCH(T$2,Inputs!$K$4:$AJ$4,0)))+SUMPRODUCT((Inputs!$E$5:$E$130=$B6)*Inputs!$F$5:$F$130*(((Inputs!$G$5:$G$130="moeda")+(Inputs!$G$5:$G$130="acoes"))*Inputs!$B$1+((Inputs!$G$5:$G$130&lt;&gt;"moeda")*(Inputs!$G$5:$G$130&lt;&gt;"acoes")))*INDEX(Inputs!$K$5:$AJ$130,0,MATCH(T$2,Inputs!$K$4:$AJ$4,0)))))</f>
        <v>-9446</v>
      </c>
      <c r="U6" s="265">
        <f>IF(ISNA(MATCH(U$2,Inputs!$K$4:$AJ$4,0)),NA(),IF(SUMPRODUCT((Inputs!$A$5:$A$130=$B6)*ISNUMBER(INDEX(Inputs!$K$5:$AJ$130,0,MATCH(U$2,Inputs!$K$4:$AJ$4,0))))+SUMPRODUCT((Inputs!$C$5:$C$130=$B6)*ISNUMBER(INDEX(Inputs!$K$5:$AJ$130,0,MATCH(U$2,Inputs!$K$4:$AJ$4,0))))+SUMPRODUCT((Inputs!$E$5:$E$130=$B6)*ISNUMBER(INDEX(Inputs!$K$5:$AJ$130,0,MATCH(U$2,Inputs!$K$4:$AJ$4,0))))=0,NA(),SUMPRODUCT((Inputs!$A$5:$A$130=$B6)*Inputs!$B$5:$B$130*(((Inputs!$G$5:$G$130="moeda")+(Inputs!$G$5:$G$130="acoes"))*Inputs!$B$1+((Inputs!$G$5:$G$130&lt;&gt;"moeda")*(Inputs!$G$5:$G$130&lt;&gt;"acoes")))*INDEX(Inputs!$K$5:$AJ$130,0,MATCH(U$2,Inputs!$K$4:$AJ$4,0)))+SUMPRODUCT((Inputs!$C$5:$C$130=$B6)*Inputs!$D$5:$D$130*(((Inputs!$G$5:$G$130="moeda")+(Inputs!$G$5:$G$130="acoes"))*Inputs!$B$1+((Inputs!$G$5:$G$130&lt;&gt;"moeda")*(Inputs!$G$5:$G$130&lt;&gt;"acoes")))*INDEX(Inputs!$K$5:$AJ$130,0,MATCH(U$2,Inputs!$K$4:$AJ$4,0)))+SUMPRODUCT((Inputs!$E$5:$E$130=$B6)*Inputs!$F$5:$F$130*(((Inputs!$G$5:$G$130="moeda")+(Inputs!$G$5:$G$130="acoes"))*Inputs!$B$1+((Inputs!$G$5:$G$130&lt;&gt;"moeda")*(Inputs!$G$5:$G$130&lt;&gt;"acoes")))*INDEX(Inputs!$K$5:$AJ$130,0,MATCH(U$2,Inputs!$K$4:$AJ$4,0)))))</f>
        <v>-9876</v>
      </c>
      <c r="V6" s="265">
        <f>IF(ISNA(MATCH(V$2,Inputs!$K$4:$AJ$4,0)),NA(),IF(SUMPRODUCT((Inputs!$A$5:$A$130=$B6)*ISNUMBER(INDEX(Inputs!$K$5:$AJ$130,0,MATCH(V$2,Inputs!$K$4:$AJ$4,0))))+SUMPRODUCT((Inputs!$C$5:$C$130=$B6)*ISNUMBER(INDEX(Inputs!$K$5:$AJ$130,0,MATCH(V$2,Inputs!$K$4:$AJ$4,0))))+SUMPRODUCT((Inputs!$E$5:$E$130=$B6)*ISNUMBER(INDEX(Inputs!$K$5:$AJ$130,0,MATCH(V$2,Inputs!$K$4:$AJ$4,0))))=0,NA(),SUMPRODUCT((Inputs!$A$5:$A$130=$B6)*Inputs!$B$5:$B$130*(((Inputs!$G$5:$G$130="moeda")+(Inputs!$G$5:$G$130="acoes"))*Inputs!$B$1+((Inputs!$G$5:$G$130&lt;&gt;"moeda")*(Inputs!$G$5:$G$130&lt;&gt;"acoes")))*INDEX(Inputs!$K$5:$AJ$130,0,MATCH(V$2,Inputs!$K$4:$AJ$4,0)))+SUMPRODUCT((Inputs!$C$5:$C$130=$B6)*Inputs!$D$5:$D$130*(((Inputs!$G$5:$G$130="moeda")+(Inputs!$G$5:$G$130="acoes"))*Inputs!$B$1+((Inputs!$G$5:$G$130&lt;&gt;"moeda")*(Inputs!$G$5:$G$130&lt;&gt;"acoes")))*INDEX(Inputs!$K$5:$AJ$130,0,MATCH(V$2,Inputs!$K$4:$AJ$4,0)))+SUMPRODUCT((Inputs!$E$5:$E$130=$B6)*Inputs!$F$5:$F$130*(((Inputs!$G$5:$G$130="moeda")+(Inputs!$G$5:$G$130="acoes"))*Inputs!$B$1+((Inputs!$G$5:$G$130&lt;&gt;"moeda")*(Inputs!$G$5:$G$130&lt;&gt;"acoes")))*INDEX(Inputs!$K$5:$AJ$130,0,MATCH(V$2,Inputs!$K$4:$AJ$4,0)))))</f>
        <v>-10262</v>
      </c>
      <c r="W6" s="266">
        <f>SUM(S6:V6)</f>
        <v>-39331</v>
      </c>
      <c r="X6" s="265">
        <f>IF(ISNA(MATCH(X$2,Inputs!$K$4:$AJ$4,0)),NA(),IF(SUMPRODUCT((Inputs!$A$5:$A$130=$B6)*ISNUMBER(INDEX(Inputs!$K$5:$AJ$130,0,MATCH(X$2,Inputs!$K$4:$AJ$4,0))))+SUMPRODUCT((Inputs!$C$5:$C$130=$B6)*ISNUMBER(INDEX(Inputs!$K$5:$AJ$130,0,MATCH(X$2,Inputs!$K$4:$AJ$4,0))))+SUMPRODUCT((Inputs!$E$5:$E$130=$B6)*ISNUMBER(INDEX(Inputs!$K$5:$AJ$130,0,MATCH(X$2,Inputs!$K$4:$AJ$4,0))))=0,NA(),SUMPRODUCT((Inputs!$A$5:$A$130=$B6)*Inputs!$B$5:$B$130*(((Inputs!$G$5:$G$130="moeda")+(Inputs!$G$5:$G$130="acoes"))*Inputs!$B$1+((Inputs!$G$5:$G$130&lt;&gt;"moeda")*(Inputs!$G$5:$G$130&lt;&gt;"acoes")))*INDEX(Inputs!$K$5:$AJ$130,0,MATCH(X$2,Inputs!$K$4:$AJ$4,0)))+SUMPRODUCT((Inputs!$C$5:$C$130=$B6)*Inputs!$D$5:$D$130*(((Inputs!$G$5:$G$130="moeda")+(Inputs!$G$5:$G$130="acoes"))*Inputs!$B$1+((Inputs!$G$5:$G$130&lt;&gt;"moeda")*(Inputs!$G$5:$G$130&lt;&gt;"acoes")))*INDEX(Inputs!$K$5:$AJ$130,0,MATCH(X$2,Inputs!$K$4:$AJ$4,0)))+SUMPRODUCT((Inputs!$E$5:$E$130=$B6)*Inputs!$F$5:$F$130*(((Inputs!$G$5:$G$130="moeda")+(Inputs!$G$5:$G$130="acoes"))*Inputs!$B$1+((Inputs!$G$5:$G$130&lt;&gt;"moeda")*(Inputs!$G$5:$G$130&lt;&gt;"acoes")))*INDEX(Inputs!$K$5:$AJ$130,0,MATCH(X$2,Inputs!$K$4:$AJ$4,0)))))</f>
        <v>-8784</v>
      </c>
      <c r="Y6" s="265">
        <f>IF(ISNA(MATCH(Y$2,Inputs!$K$4:$AJ$4,0)),NA(),IF(SUMPRODUCT((Inputs!$A$5:$A$130=$B6)*ISNUMBER(INDEX(Inputs!$K$5:$AJ$130,0,MATCH(Y$2,Inputs!$K$4:$AJ$4,0))))+SUMPRODUCT((Inputs!$C$5:$C$130=$B6)*ISNUMBER(INDEX(Inputs!$K$5:$AJ$130,0,MATCH(Y$2,Inputs!$K$4:$AJ$4,0))))+SUMPRODUCT((Inputs!$E$5:$E$130=$B6)*ISNUMBER(INDEX(Inputs!$K$5:$AJ$130,0,MATCH(Y$2,Inputs!$K$4:$AJ$4,0))))=0,NA(),SUMPRODUCT((Inputs!$A$5:$A$130=$B6)*Inputs!$B$5:$B$130*(((Inputs!$G$5:$G$130="moeda")+(Inputs!$G$5:$G$130="acoes"))*Inputs!$B$1+((Inputs!$G$5:$G$130&lt;&gt;"moeda")*(Inputs!$G$5:$G$130&lt;&gt;"acoes")))*INDEX(Inputs!$K$5:$AJ$130,0,MATCH(Y$2,Inputs!$K$4:$AJ$4,0)))+SUMPRODUCT((Inputs!$C$5:$C$130=$B6)*Inputs!$D$5:$D$130*(((Inputs!$G$5:$G$130="moeda")+(Inputs!$G$5:$G$130="acoes"))*Inputs!$B$1+((Inputs!$G$5:$G$130&lt;&gt;"moeda")*(Inputs!$G$5:$G$130&lt;&gt;"acoes")))*INDEX(Inputs!$K$5:$AJ$130,0,MATCH(Y$2,Inputs!$K$4:$AJ$4,0)))+SUMPRODUCT((Inputs!$E$5:$E$130=$B6)*Inputs!$F$5:$F$130*(((Inputs!$G$5:$G$130="moeda")+(Inputs!$G$5:$G$130="acoes"))*Inputs!$B$1+((Inputs!$G$5:$G$130&lt;&gt;"moeda")*(Inputs!$G$5:$G$130&lt;&gt;"acoes")))*INDEX(Inputs!$K$5:$AJ$130,0,MATCH(Y$2,Inputs!$K$4:$AJ$4,0)))))</f>
        <v>-8624</v>
      </c>
      <c r="Z6" s="265">
        <f>IF(ISNA(MATCH(Z$2,Inputs!$K$4:$AJ$4,0)),NA(),IF(SUMPRODUCT((Inputs!$A$5:$A$130=$B6)*ISNUMBER(INDEX(Inputs!$K$5:$AJ$130,0,MATCH(Z$2,Inputs!$K$4:$AJ$4,0))))+SUMPRODUCT((Inputs!$C$5:$C$130=$B6)*ISNUMBER(INDEX(Inputs!$K$5:$AJ$130,0,MATCH(Z$2,Inputs!$K$4:$AJ$4,0))))+SUMPRODUCT((Inputs!$E$5:$E$130=$B6)*ISNUMBER(INDEX(Inputs!$K$5:$AJ$130,0,MATCH(Z$2,Inputs!$K$4:$AJ$4,0))))=0,NA(),SUMPRODUCT((Inputs!$A$5:$A$130=$B6)*Inputs!$B$5:$B$130*(((Inputs!$G$5:$G$130="moeda")+(Inputs!$G$5:$G$130="acoes"))*Inputs!$B$1+((Inputs!$G$5:$G$130&lt;&gt;"moeda")*(Inputs!$G$5:$G$130&lt;&gt;"acoes")))*INDEX(Inputs!$K$5:$AJ$130,0,MATCH(Z$2,Inputs!$K$4:$AJ$4,0)))+SUMPRODUCT((Inputs!$C$5:$C$130=$B6)*Inputs!$D$5:$D$130*(((Inputs!$G$5:$G$130="moeda")+(Inputs!$G$5:$G$130="acoes"))*Inputs!$B$1+((Inputs!$G$5:$G$130&lt;&gt;"moeda")*(Inputs!$G$5:$G$130&lt;&gt;"acoes")))*INDEX(Inputs!$K$5:$AJ$130,0,MATCH(Z$2,Inputs!$K$4:$AJ$4,0)))+SUMPRODUCT((Inputs!$E$5:$E$130=$B6)*Inputs!$F$5:$F$130*(((Inputs!$G$5:$G$130="moeda")+(Inputs!$G$5:$G$130="acoes"))*Inputs!$B$1+((Inputs!$G$5:$G$130&lt;&gt;"moeda")*(Inputs!$G$5:$G$130&lt;&gt;"acoes")))*INDEX(Inputs!$K$5:$AJ$130,0,MATCH(Z$2,Inputs!$K$4:$AJ$4,0)))))</f>
        <v>-9451</v>
      </c>
      <c r="AA6" s="265">
        <f>IF(ISNA(MATCH(AA$2,Inputs!$K$4:$AJ$4,0)),NA(),IF(SUMPRODUCT((Inputs!$A$5:$A$130=$B6)*ISNUMBER(INDEX(Inputs!$K$5:$AJ$130,0,MATCH(AA$2,Inputs!$K$4:$AJ$4,0))))+SUMPRODUCT((Inputs!$C$5:$C$130=$B6)*ISNUMBER(INDEX(Inputs!$K$5:$AJ$130,0,MATCH(AA$2,Inputs!$K$4:$AJ$4,0))))+SUMPRODUCT((Inputs!$E$5:$E$130=$B6)*ISNUMBER(INDEX(Inputs!$K$5:$AJ$130,0,MATCH(AA$2,Inputs!$K$4:$AJ$4,0))))=0,NA(),SUMPRODUCT((Inputs!$A$5:$A$130=$B6)*Inputs!$B$5:$B$130*(((Inputs!$G$5:$G$130="moeda")+(Inputs!$G$5:$G$130="acoes"))*Inputs!$B$1+((Inputs!$G$5:$G$130&lt;&gt;"moeda")*(Inputs!$G$5:$G$130&lt;&gt;"acoes")))*INDEX(Inputs!$K$5:$AJ$130,0,MATCH(AA$2,Inputs!$K$4:$AJ$4,0)))+SUMPRODUCT((Inputs!$C$5:$C$130=$B6)*Inputs!$D$5:$D$130*(((Inputs!$G$5:$G$130="moeda")+(Inputs!$G$5:$G$130="acoes"))*Inputs!$B$1+((Inputs!$G$5:$G$130&lt;&gt;"moeda")*(Inputs!$G$5:$G$130&lt;&gt;"acoes")))*INDEX(Inputs!$K$5:$AJ$130,0,MATCH(AA$2,Inputs!$K$4:$AJ$4,0)))+SUMPRODUCT((Inputs!$E$5:$E$130=$B6)*Inputs!$F$5:$F$130*(((Inputs!$G$5:$G$130="moeda")+(Inputs!$G$5:$G$130="acoes"))*Inputs!$B$1+((Inputs!$G$5:$G$130&lt;&gt;"moeda")*(Inputs!$G$5:$G$130&lt;&gt;"acoes")))*INDEX(Inputs!$K$5:$AJ$130,0,MATCH(AA$2,Inputs!$K$4:$AJ$4,0)))))</f>
        <v>-9951</v>
      </c>
      <c r="AB6" s="266">
        <f>SUM(X6:AA6)</f>
        <v>-36810</v>
      </c>
      <c r="AC6" s="265">
        <f>IF(ISNA(MATCH(AC$2,Inputs!$K$4:$AJ$4,0)),NA(),IF(SUMPRODUCT((Inputs!$A$5:$A$130=$B6)*ISNUMBER(INDEX(Inputs!$K$5:$AJ$130,0,MATCH(AC$2,Inputs!$K$4:$AJ$4,0))))+SUMPRODUCT((Inputs!$C$5:$C$130=$B6)*ISNUMBER(INDEX(Inputs!$K$5:$AJ$130,0,MATCH(AC$2,Inputs!$K$4:$AJ$4,0))))+SUMPRODUCT((Inputs!$E$5:$E$130=$B6)*ISNUMBER(INDEX(Inputs!$K$5:$AJ$130,0,MATCH(AC$2,Inputs!$K$4:$AJ$4,0))))=0,NA(),SUMPRODUCT((Inputs!$A$5:$A$130=$B6)*Inputs!$B$5:$B$130*(((Inputs!$G$5:$G$130="moeda")+(Inputs!$G$5:$G$130="acoes"))*Inputs!$B$1+((Inputs!$G$5:$G$130&lt;&gt;"moeda")*(Inputs!$G$5:$G$130&lt;&gt;"acoes")))*INDEX(Inputs!$K$5:$AJ$130,0,MATCH(AC$2,Inputs!$K$4:$AJ$4,0)))+SUMPRODUCT((Inputs!$C$5:$C$130=$B6)*Inputs!$D$5:$D$130*(((Inputs!$G$5:$G$130="moeda")+(Inputs!$G$5:$G$130="acoes"))*Inputs!$B$1+((Inputs!$G$5:$G$130&lt;&gt;"moeda")*(Inputs!$G$5:$G$130&lt;&gt;"acoes")))*INDEX(Inputs!$K$5:$AJ$130,0,MATCH(AC$2,Inputs!$K$4:$AJ$4,0)))+SUMPRODUCT((Inputs!$E$5:$E$130=$B6)*Inputs!$F$5:$F$130*(((Inputs!$G$5:$G$130="moeda")+(Inputs!$G$5:$G$130="acoes"))*Inputs!$B$1+((Inputs!$G$5:$G$130&lt;&gt;"moeda")*(Inputs!$G$5:$G$130&lt;&gt;"acoes")))*INDEX(Inputs!$K$5:$AJ$130,0,MATCH(AC$2,Inputs!$K$4:$AJ$4,0)))))</f>
        <v>-8813</v>
      </c>
      <c r="AD6" s="265">
        <f>IF(ISNA(MATCH(AD$2,Inputs!$K$4:$AJ$4,0)),NA(),IF(SUMPRODUCT((Inputs!$A$5:$A$130=$B6)*ISNUMBER(INDEX(Inputs!$K$5:$AJ$130,0,MATCH(AD$2,Inputs!$K$4:$AJ$4,0))))+SUMPRODUCT((Inputs!$C$5:$C$130=$B6)*ISNUMBER(INDEX(Inputs!$K$5:$AJ$130,0,MATCH(AD$2,Inputs!$K$4:$AJ$4,0))))+SUMPRODUCT((Inputs!$E$5:$E$130=$B6)*ISNUMBER(INDEX(Inputs!$K$5:$AJ$130,0,MATCH(AD$2,Inputs!$K$4:$AJ$4,0))))=0,NA(),SUMPRODUCT((Inputs!$A$5:$A$130=$B6)*Inputs!$B$5:$B$130*(((Inputs!$G$5:$G$130="moeda")+(Inputs!$G$5:$G$130="acoes"))*Inputs!$B$1+((Inputs!$G$5:$G$130&lt;&gt;"moeda")*(Inputs!$G$5:$G$130&lt;&gt;"acoes")))*INDEX(Inputs!$K$5:$AJ$130,0,MATCH(AD$2,Inputs!$K$4:$AJ$4,0)))+SUMPRODUCT((Inputs!$C$5:$C$130=$B6)*Inputs!$D$5:$D$130*(((Inputs!$G$5:$G$130="moeda")+(Inputs!$G$5:$G$130="acoes"))*Inputs!$B$1+((Inputs!$G$5:$G$130&lt;&gt;"moeda")*(Inputs!$G$5:$G$130&lt;&gt;"acoes")))*INDEX(Inputs!$K$5:$AJ$130,0,MATCH(AD$2,Inputs!$K$4:$AJ$4,0)))+SUMPRODUCT((Inputs!$E$5:$E$130=$B6)*Inputs!$F$5:$F$130*(((Inputs!$G$5:$G$130="moeda")+(Inputs!$G$5:$G$130="acoes"))*Inputs!$B$1+((Inputs!$G$5:$G$130&lt;&gt;"moeda")*(Inputs!$G$5:$G$130&lt;&gt;"acoes")))*INDEX(Inputs!$K$5:$AJ$130,0,MATCH(AD$2,Inputs!$K$4:$AJ$4,0)))))</f>
        <v>-8774</v>
      </c>
      <c r="AE6" s="265" t="e">
        <f>IF(ISNA(MATCH(AE$2,Inputs!$K$4:$AJ$4,0)),NA(),IF(SUMPRODUCT((Inputs!$A$5:$A$130=$B6)*ISNUMBER(INDEX(Inputs!$K$5:$AJ$130,0,MATCH(AE$2,Inputs!$K$4:$AJ$4,0))))+SUMPRODUCT((Inputs!$C$5:$C$130=$B6)*ISNUMBER(INDEX(Inputs!$K$5:$AJ$130,0,MATCH(AE$2,Inputs!$K$4:$AJ$4,0))))+SUMPRODUCT((Inputs!$E$5:$E$130=$B6)*ISNUMBER(INDEX(Inputs!$K$5:$AJ$130,0,MATCH(AE$2,Inputs!$K$4:$AJ$4,0))))=0,NA(),SUMPRODUCT((Inputs!$A$5:$A$130=$B6)*Inputs!$B$5:$B$130*(((Inputs!$G$5:$G$130="moeda")+(Inputs!$G$5:$G$130="acoes"))*Inputs!$B$1+((Inputs!$G$5:$G$130&lt;&gt;"moeda")*(Inputs!$G$5:$G$130&lt;&gt;"acoes")))*INDEX(Inputs!$K$5:$AJ$130,0,MATCH(AE$2,Inputs!$K$4:$AJ$4,0)))+SUMPRODUCT((Inputs!$C$5:$C$130=$B6)*Inputs!$D$5:$D$130*(((Inputs!$G$5:$G$130="moeda")+(Inputs!$G$5:$G$130="acoes"))*Inputs!$B$1+((Inputs!$G$5:$G$130&lt;&gt;"moeda")*(Inputs!$G$5:$G$130&lt;&gt;"acoes")))*INDEX(Inputs!$K$5:$AJ$130,0,MATCH(AE$2,Inputs!$K$4:$AJ$4,0)))+SUMPRODUCT((Inputs!$E$5:$E$130=$B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6" s="265" t="e">
        <f>IF(ISNA(MATCH(AF$2,Inputs!$K$4:$AJ$4,0)),NA(),IF(SUMPRODUCT((Inputs!$A$5:$A$130=$B6)*ISNUMBER(INDEX(Inputs!$K$5:$AJ$130,0,MATCH(AF$2,Inputs!$K$4:$AJ$4,0))))+SUMPRODUCT((Inputs!$C$5:$C$130=$B6)*ISNUMBER(INDEX(Inputs!$K$5:$AJ$130,0,MATCH(AF$2,Inputs!$K$4:$AJ$4,0))))+SUMPRODUCT((Inputs!$E$5:$E$130=$B6)*ISNUMBER(INDEX(Inputs!$K$5:$AJ$130,0,MATCH(AF$2,Inputs!$K$4:$AJ$4,0))))=0,NA(),SUMPRODUCT((Inputs!$A$5:$A$130=$B6)*Inputs!$B$5:$B$130*(((Inputs!$G$5:$G$130="moeda")+(Inputs!$G$5:$G$130="acoes"))*Inputs!$B$1+((Inputs!$G$5:$G$130&lt;&gt;"moeda")*(Inputs!$G$5:$G$130&lt;&gt;"acoes")))*INDEX(Inputs!$K$5:$AJ$130,0,MATCH(AF$2,Inputs!$K$4:$AJ$4,0)))+SUMPRODUCT((Inputs!$C$5:$C$130=$B6)*Inputs!$D$5:$D$130*(((Inputs!$G$5:$G$130="moeda")+(Inputs!$G$5:$G$130="acoes"))*Inputs!$B$1+((Inputs!$G$5:$G$130&lt;&gt;"moeda")*(Inputs!$G$5:$G$130&lt;&gt;"acoes")))*INDEX(Inputs!$K$5:$AJ$130,0,MATCH(AF$2,Inputs!$K$4:$AJ$4,0)))+SUMPRODUCT((Inputs!$E$5:$E$130=$B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6" s="266" t="e">
        <f>SUM(AC6:AF6)</f>
        <v>#N/A</v>
      </c>
      <c r="AH6" s="265" t="e">
        <f>IF(ISNA(MATCH(AH$2,Inputs!$K$4:$AJ$4,0)),NA(),IF(SUMPRODUCT((Inputs!$A$5:$A$130=$B6)*ISNUMBER(INDEX(Inputs!$K$5:$AJ$130,0,MATCH(AH$2,Inputs!$K$4:$AJ$4,0))))+SUMPRODUCT((Inputs!$C$5:$C$130=$B6)*ISNUMBER(INDEX(Inputs!$K$5:$AJ$130,0,MATCH(AH$2,Inputs!$K$4:$AJ$4,0))))+SUMPRODUCT((Inputs!$E$5:$E$130=$B6)*ISNUMBER(INDEX(Inputs!$K$5:$AJ$130,0,MATCH(AH$2,Inputs!$K$4:$AJ$4,0))))=0,NA(),SUMPRODUCT((Inputs!$A$5:$A$130=$B6)*Inputs!$B$5:$B$130*(((Inputs!$G$5:$G$130="moeda")+(Inputs!$G$5:$G$130="acoes"))*Inputs!$B$1+((Inputs!$G$5:$G$130&lt;&gt;"moeda")*(Inputs!$G$5:$G$130&lt;&gt;"acoes")))*INDEX(Inputs!$K$5:$AJ$130,0,MATCH(AH$2,Inputs!$K$4:$AJ$4,0)))+SUMPRODUCT((Inputs!$C$5:$C$130=$B6)*Inputs!$D$5:$D$130*(((Inputs!$G$5:$G$130="moeda")+(Inputs!$G$5:$G$130="acoes"))*Inputs!$B$1+((Inputs!$G$5:$G$130&lt;&gt;"moeda")*(Inputs!$G$5:$G$130&lt;&gt;"acoes")))*INDEX(Inputs!$K$5:$AJ$130,0,MATCH(AH$2,Inputs!$K$4:$AJ$4,0)))+SUMPRODUCT((Inputs!$E$5:$E$130=$B6)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6" s="265" t="e">
        <f>IF(ISNA(MATCH(AI$2,Inputs!$K$4:$AJ$4,0)),NA(),IF(SUMPRODUCT((Inputs!$A$5:$A$130=$B6)*ISNUMBER(INDEX(Inputs!$K$5:$AJ$130,0,MATCH(AI$2,Inputs!$K$4:$AJ$4,0))))+SUMPRODUCT((Inputs!$C$5:$C$130=$B6)*ISNUMBER(INDEX(Inputs!$K$5:$AJ$130,0,MATCH(AI$2,Inputs!$K$4:$AJ$4,0))))+SUMPRODUCT((Inputs!$E$5:$E$130=$B6)*ISNUMBER(INDEX(Inputs!$K$5:$AJ$130,0,MATCH(AI$2,Inputs!$K$4:$AJ$4,0))))=0,NA(),SUMPRODUCT((Inputs!$A$5:$A$130=$B6)*Inputs!$B$5:$B$130*(((Inputs!$G$5:$G$130="moeda")+(Inputs!$G$5:$G$130="acoes"))*Inputs!$B$1+((Inputs!$G$5:$G$130&lt;&gt;"moeda")*(Inputs!$G$5:$G$130&lt;&gt;"acoes")))*INDEX(Inputs!$K$5:$AJ$130,0,MATCH(AI$2,Inputs!$K$4:$AJ$4,0)))+SUMPRODUCT((Inputs!$C$5:$C$130=$B6)*Inputs!$D$5:$D$130*(((Inputs!$G$5:$G$130="moeda")+(Inputs!$G$5:$G$130="acoes"))*Inputs!$B$1+((Inputs!$G$5:$G$130&lt;&gt;"moeda")*(Inputs!$G$5:$G$130&lt;&gt;"acoes")))*INDEX(Inputs!$K$5:$AJ$130,0,MATCH(AI$2,Inputs!$K$4:$AJ$4,0)))+SUMPRODUCT((Inputs!$E$5:$E$130=$B6)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6" s="265" t="e">
        <f>IF(ISNA(MATCH(AJ$2,Inputs!$K$4:$AJ$4,0)),NA(),IF(SUMPRODUCT((Inputs!$A$5:$A$130=$B6)*ISNUMBER(INDEX(Inputs!$K$5:$AJ$130,0,MATCH(AJ$2,Inputs!$K$4:$AJ$4,0))))+SUMPRODUCT((Inputs!$C$5:$C$130=$B6)*ISNUMBER(INDEX(Inputs!$K$5:$AJ$130,0,MATCH(AJ$2,Inputs!$K$4:$AJ$4,0))))+SUMPRODUCT((Inputs!$E$5:$E$130=$B6)*ISNUMBER(INDEX(Inputs!$K$5:$AJ$130,0,MATCH(AJ$2,Inputs!$K$4:$AJ$4,0))))=0,NA(),SUMPRODUCT((Inputs!$A$5:$A$130=$B6)*Inputs!$B$5:$B$130*(((Inputs!$G$5:$G$130="moeda")+(Inputs!$G$5:$G$130="acoes"))*Inputs!$B$1+((Inputs!$G$5:$G$130&lt;&gt;"moeda")*(Inputs!$G$5:$G$130&lt;&gt;"acoes")))*INDEX(Inputs!$K$5:$AJ$130,0,MATCH(AJ$2,Inputs!$K$4:$AJ$4,0)))+SUMPRODUCT((Inputs!$C$5:$C$130=$B6)*Inputs!$D$5:$D$130*(((Inputs!$G$5:$G$130="moeda")+(Inputs!$G$5:$G$130="acoes"))*Inputs!$B$1+((Inputs!$G$5:$G$130&lt;&gt;"moeda")*(Inputs!$G$5:$G$130&lt;&gt;"acoes")))*INDEX(Inputs!$K$5:$AJ$130,0,MATCH(AJ$2,Inputs!$K$4:$AJ$4,0)))+SUMPRODUCT((Inputs!$E$5:$E$130=$B6)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6" s="265" t="e">
        <f>IF(ISNA(MATCH(AK$2,Inputs!$K$4:$AJ$4,0)),NA(),IF(SUMPRODUCT((Inputs!$A$5:$A$130=$B6)*ISNUMBER(INDEX(Inputs!$K$5:$AJ$130,0,MATCH(AK$2,Inputs!$K$4:$AJ$4,0))))+SUMPRODUCT((Inputs!$C$5:$C$130=$B6)*ISNUMBER(INDEX(Inputs!$K$5:$AJ$130,0,MATCH(AK$2,Inputs!$K$4:$AJ$4,0))))+SUMPRODUCT((Inputs!$E$5:$E$130=$B6)*ISNUMBER(INDEX(Inputs!$K$5:$AJ$130,0,MATCH(AK$2,Inputs!$K$4:$AJ$4,0))))=0,NA(),SUMPRODUCT((Inputs!$A$5:$A$130=$B6)*Inputs!$B$5:$B$130*(((Inputs!$G$5:$G$130="moeda")+(Inputs!$G$5:$G$130="acoes"))*Inputs!$B$1+((Inputs!$G$5:$G$130&lt;&gt;"moeda")*(Inputs!$G$5:$G$130&lt;&gt;"acoes")))*INDEX(Inputs!$K$5:$AJ$130,0,MATCH(AK$2,Inputs!$K$4:$AJ$4,0)))+SUMPRODUCT((Inputs!$C$5:$C$130=$B6)*Inputs!$D$5:$D$130*(((Inputs!$G$5:$G$130="moeda")+(Inputs!$G$5:$G$130="acoes"))*Inputs!$B$1+((Inputs!$G$5:$G$130&lt;&gt;"moeda")*(Inputs!$G$5:$G$130&lt;&gt;"acoes")))*INDEX(Inputs!$K$5:$AJ$130,0,MATCH(AK$2,Inputs!$K$4:$AJ$4,0)))+SUMPRODUCT((Inputs!$E$5:$E$130=$B6)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6" s="266" t="e">
        <f>SUM(AH6:AK6)</f>
        <v>#N/A</v>
      </c>
    </row>
    <row r="7" ht="12.75" customHeight="1" s="254">
      <c r="B7" s="263" t="n">
        <v>4</v>
      </c>
      <c r="C7" s="267" t="inlineStr">
        <is>
          <t>D&amp;A</t>
        </is>
      </c>
      <c r="D7" s="265">
        <f>IF(ISNA(MATCH(D$2,Inputs!$K$4:$AJ$4,0)),NA(),IF(SUMPRODUCT((Inputs!$A$5:$A$130=$B7)*ISNUMBER(INDEX(Inputs!$K$5:$AJ$130,0,MATCH(D$2,Inputs!$K$4:$AJ$4,0))))+SUMPRODUCT((Inputs!$C$5:$C$130=$B7)*ISNUMBER(INDEX(Inputs!$K$5:$AJ$130,0,MATCH(D$2,Inputs!$K$4:$AJ$4,0))))+SUMPRODUCT((Inputs!$E$5:$E$130=$B7)*ISNUMBER(INDEX(Inputs!$K$5:$AJ$130,0,MATCH(D$2,Inputs!$K$4:$AJ$4,0))))=0,NA(),SUMPRODUCT((Inputs!$A$5:$A$130=$B7)*Inputs!$B$5:$B$130*(((Inputs!$G$5:$G$130="moeda")+(Inputs!$G$5:$G$130="acoes"))*Inputs!$B$1+((Inputs!$G$5:$G$130&lt;&gt;"moeda")*(Inputs!$G$5:$G$130&lt;&gt;"acoes")))*INDEX(Inputs!$K$5:$AJ$130,0,MATCH(D$2,Inputs!$K$4:$AJ$4,0)))+SUMPRODUCT((Inputs!$C$5:$C$130=$B7)*Inputs!$D$5:$D$130*(((Inputs!$G$5:$G$130="moeda")+(Inputs!$G$5:$G$130="acoes"))*Inputs!$B$1+((Inputs!$G$5:$G$130&lt;&gt;"moeda")*(Inputs!$G$5:$G$130&lt;&gt;"acoes")))*INDEX(Inputs!$K$5:$AJ$130,0,MATCH(D$2,Inputs!$K$4:$AJ$4,0)))+SUMPRODUCT((Inputs!$E$5:$E$130=$B7)*Inputs!$F$5:$F$130*(((Inputs!$G$5:$G$130="moeda")+(Inputs!$G$5:$G$130="acoes"))*Inputs!$B$1+((Inputs!$G$5:$G$130&lt;&gt;"moeda")*(Inputs!$G$5:$G$130&lt;&gt;"acoes")))*INDEX(Inputs!$K$5:$AJ$130,0,MATCH(D$2,Inputs!$K$4:$AJ$4,0)))))</f>
        <v>-5896</v>
      </c>
      <c r="E7" s="265">
        <f>IF(ISNA(MATCH(E$2,Inputs!$K$4:$AJ$4,0)),NA(),IF(SUMPRODUCT((Inputs!$A$5:$A$130=$B7)*ISNUMBER(INDEX(Inputs!$K$5:$AJ$130,0,MATCH(E$2,Inputs!$K$4:$AJ$4,0))))+SUMPRODUCT((Inputs!$C$5:$C$130=$B7)*ISNUMBER(INDEX(Inputs!$K$5:$AJ$130,0,MATCH(E$2,Inputs!$K$4:$AJ$4,0))))+SUMPRODUCT((Inputs!$E$5:$E$130=$B7)*ISNUMBER(INDEX(Inputs!$K$5:$AJ$130,0,MATCH(E$2,Inputs!$K$4:$AJ$4,0))))=0,NA(),SUMPRODUCT((Inputs!$A$5:$A$130=$B7)*Inputs!$B$5:$B$130*(((Inputs!$G$5:$G$130="moeda")+(Inputs!$G$5:$G$130="acoes"))*Inputs!$B$1+((Inputs!$G$5:$G$130&lt;&gt;"moeda")*(Inputs!$G$5:$G$130&lt;&gt;"acoes")))*INDEX(Inputs!$K$5:$AJ$130,0,MATCH(E$2,Inputs!$K$4:$AJ$4,0)))+SUMPRODUCT((Inputs!$C$5:$C$130=$B7)*Inputs!$D$5:$D$130*(((Inputs!$G$5:$G$130="moeda")+(Inputs!$G$5:$G$130="acoes"))*Inputs!$B$1+((Inputs!$G$5:$G$130&lt;&gt;"moeda")*(Inputs!$G$5:$G$130&lt;&gt;"acoes")))*INDEX(Inputs!$K$5:$AJ$130,0,MATCH(E$2,Inputs!$K$4:$AJ$4,0)))+SUMPRODUCT((Inputs!$E$5:$E$130=$B7)*Inputs!$F$5:$F$130*(((Inputs!$G$5:$G$130="moeda")+(Inputs!$G$5:$G$130="acoes"))*Inputs!$B$1+((Inputs!$G$5:$G$130&lt;&gt;"moeda")*(Inputs!$G$5:$G$130&lt;&gt;"acoes")))*INDEX(Inputs!$K$5:$AJ$130,0,MATCH(E$2,Inputs!$K$4:$AJ$4,0)))))</f>
        <v>-8223</v>
      </c>
      <c r="F7" s="265">
        <f>IF(ISNA(MATCH(F$2,Inputs!$K$4:$AJ$4,0)),NA(),IF(SUMPRODUCT((Inputs!$A$5:$A$130=$B7)*ISNUMBER(INDEX(Inputs!$K$5:$AJ$130,0,MATCH(F$2,Inputs!$K$4:$AJ$4,0))))+SUMPRODUCT((Inputs!$C$5:$C$130=$B7)*ISNUMBER(INDEX(Inputs!$K$5:$AJ$130,0,MATCH(F$2,Inputs!$K$4:$AJ$4,0))))+SUMPRODUCT((Inputs!$E$5:$E$130=$B7)*ISNUMBER(INDEX(Inputs!$K$5:$AJ$130,0,MATCH(F$2,Inputs!$K$4:$AJ$4,0))))=0,NA(),SUMPRODUCT((Inputs!$A$5:$A$130=$B7)*Inputs!$B$5:$B$130*(((Inputs!$G$5:$G$130="moeda")+(Inputs!$G$5:$G$130="acoes"))*Inputs!$B$1+((Inputs!$G$5:$G$130&lt;&gt;"moeda")*(Inputs!$G$5:$G$130&lt;&gt;"acoes")))*INDEX(Inputs!$K$5:$AJ$130,0,MATCH(F$2,Inputs!$K$4:$AJ$4,0)))+SUMPRODUCT((Inputs!$C$5:$C$130=$B7)*Inputs!$D$5:$D$130*(((Inputs!$G$5:$G$130="moeda")+(Inputs!$G$5:$G$130="acoes"))*Inputs!$B$1+((Inputs!$G$5:$G$130&lt;&gt;"moeda")*(Inputs!$G$5:$G$130&lt;&gt;"acoes")))*INDEX(Inputs!$K$5:$AJ$130,0,MATCH(F$2,Inputs!$K$4:$AJ$4,0)))+SUMPRODUCT((Inputs!$E$5:$E$130=$B7)*Inputs!$F$5:$F$130*(((Inputs!$G$5:$G$130="moeda")+(Inputs!$G$5:$G$130="acoes"))*Inputs!$B$1+((Inputs!$G$5:$G$130&lt;&gt;"moeda")*(Inputs!$G$5:$G$130&lt;&gt;"acoes")))*INDEX(Inputs!$K$5:$AJ$130,0,MATCH(F$2,Inputs!$K$4:$AJ$4,0)))))</f>
        <v>-6358</v>
      </c>
      <c r="G7" s="265">
        <f>IF(ISNA(MATCH(G$2,Inputs!$K$4:$AJ$4,0)),NA(),IF(SUMPRODUCT((Inputs!$A$5:$A$130=$B7)*ISNUMBER(INDEX(Inputs!$K$5:$AJ$130,0,MATCH(G$2,Inputs!$K$4:$AJ$4,0))))+SUMPRODUCT((Inputs!$C$5:$C$130=$B7)*ISNUMBER(INDEX(Inputs!$K$5:$AJ$130,0,MATCH(G$2,Inputs!$K$4:$AJ$4,0))))+SUMPRODUCT((Inputs!$E$5:$E$130=$B7)*ISNUMBER(INDEX(Inputs!$K$5:$AJ$130,0,MATCH(G$2,Inputs!$K$4:$AJ$4,0))))=0,NA(),SUMPRODUCT((Inputs!$A$5:$A$130=$B7)*Inputs!$B$5:$B$130*(((Inputs!$G$5:$G$130="moeda")+(Inputs!$G$5:$G$130="acoes"))*Inputs!$B$1+((Inputs!$G$5:$G$130&lt;&gt;"moeda")*(Inputs!$G$5:$G$130&lt;&gt;"acoes")))*INDEX(Inputs!$K$5:$AJ$130,0,MATCH(G$2,Inputs!$K$4:$AJ$4,0)))+SUMPRODUCT((Inputs!$C$5:$C$130=$B7)*Inputs!$D$5:$D$130*(((Inputs!$G$5:$G$130="moeda")+(Inputs!$G$5:$G$130="acoes"))*Inputs!$B$1+((Inputs!$G$5:$G$130&lt;&gt;"moeda")*(Inputs!$G$5:$G$130&lt;&gt;"acoes")))*INDEX(Inputs!$K$5:$AJ$130,0,MATCH(G$2,Inputs!$K$4:$AJ$4,0)))+SUMPRODUCT((Inputs!$E$5:$E$130=$B7)*Inputs!$F$5:$F$130*(((Inputs!$G$5:$G$130="moeda")+(Inputs!$G$5:$G$130="acoes"))*Inputs!$B$1+((Inputs!$G$5:$G$130&lt;&gt;"moeda")*(Inputs!$G$5:$G$130&lt;&gt;"acoes")))*INDEX(Inputs!$K$5:$AJ$130,0,MATCH(G$2,Inputs!$K$4:$AJ$4,0)))))</f>
        <v>-6445</v>
      </c>
      <c r="H7" s="266">
        <f>SUM(D7:G7)</f>
        <v>-26922</v>
      </c>
      <c r="I7" s="265">
        <f>IF(ISNA(MATCH(I$2,Inputs!$K$4:$AJ$4,0)),NA(),IF(SUMPRODUCT((Inputs!$A$5:$A$130=$B7)*ISNUMBER(INDEX(Inputs!$K$5:$AJ$130,0,MATCH(I$2,Inputs!$K$4:$AJ$4,0))))+SUMPRODUCT((Inputs!$C$5:$C$130=$B7)*ISNUMBER(INDEX(Inputs!$K$5:$AJ$130,0,MATCH(I$2,Inputs!$K$4:$AJ$4,0))))+SUMPRODUCT((Inputs!$E$5:$E$130=$B7)*ISNUMBER(INDEX(Inputs!$K$5:$AJ$130,0,MATCH(I$2,Inputs!$K$4:$AJ$4,0))))=0,NA(),SUMPRODUCT((Inputs!$A$5:$A$130=$B7)*Inputs!$B$5:$B$130*(((Inputs!$G$5:$G$130="moeda")+(Inputs!$G$5:$G$130="acoes"))*Inputs!$B$1+((Inputs!$G$5:$G$130&lt;&gt;"moeda")*(Inputs!$G$5:$G$130&lt;&gt;"acoes")))*INDEX(Inputs!$K$5:$AJ$130,0,MATCH(I$2,Inputs!$K$4:$AJ$4,0)))+SUMPRODUCT((Inputs!$C$5:$C$130=$B7)*Inputs!$D$5:$D$130*(((Inputs!$G$5:$G$130="moeda")+(Inputs!$G$5:$G$130="acoes"))*Inputs!$B$1+((Inputs!$G$5:$G$130&lt;&gt;"moeda")*(Inputs!$G$5:$G$130&lt;&gt;"acoes")))*INDEX(Inputs!$K$5:$AJ$130,0,MATCH(I$2,Inputs!$K$4:$AJ$4,0)))+SUMPRODUCT((Inputs!$E$5:$E$130=$B7)*Inputs!$F$5:$F$130*(((Inputs!$G$5:$G$130="moeda")+(Inputs!$G$5:$G$130="acoes"))*Inputs!$B$1+((Inputs!$G$5:$G$130&lt;&gt;"moeda")*(Inputs!$G$5:$G$130&lt;&gt;"acoes")))*INDEX(Inputs!$K$5:$AJ$130,0,MATCH(I$2,Inputs!$K$4:$AJ$4,0)))))</f>
        <v>-6295</v>
      </c>
      <c r="J7" s="265">
        <f>IF(ISNA(MATCH(J$2,Inputs!$K$4:$AJ$4,0)),NA(),IF(SUMPRODUCT((Inputs!$A$5:$A$130=$B7)*ISNUMBER(INDEX(Inputs!$K$5:$AJ$130,0,MATCH(J$2,Inputs!$K$4:$AJ$4,0))))+SUMPRODUCT((Inputs!$C$5:$C$130=$B7)*ISNUMBER(INDEX(Inputs!$K$5:$AJ$130,0,MATCH(J$2,Inputs!$K$4:$AJ$4,0))))+SUMPRODUCT((Inputs!$E$5:$E$130=$B7)*ISNUMBER(INDEX(Inputs!$K$5:$AJ$130,0,MATCH(J$2,Inputs!$K$4:$AJ$4,0))))=0,NA(),SUMPRODUCT((Inputs!$A$5:$A$130=$B7)*Inputs!$B$5:$B$130*(((Inputs!$G$5:$G$130="moeda")+(Inputs!$G$5:$G$130="acoes"))*Inputs!$B$1+((Inputs!$G$5:$G$130&lt;&gt;"moeda")*(Inputs!$G$5:$G$130&lt;&gt;"acoes")))*INDEX(Inputs!$K$5:$AJ$130,0,MATCH(J$2,Inputs!$K$4:$AJ$4,0)))+SUMPRODUCT((Inputs!$C$5:$C$130=$B7)*Inputs!$D$5:$D$130*(((Inputs!$G$5:$G$130="moeda")+(Inputs!$G$5:$G$130="acoes"))*Inputs!$B$1+((Inputs!$G$5:$G$130&lt;&gt;"moeda")*(Inputs!$G$5:$G$130&lt;&gt;"acoes")))*INDEX(Inputs!$K$5:$AJ$130,0,MATCH(J$2,Inputs!$K$4:$AJ$4,0)))+SUMPRODUCT((Inputs!$E$5:$E$130=$B7)*Inputs!$F$5:$F$130*(((Inputs!$G$5:$G$130="moeda")+(Inputs!$G$5:$G$130="acoes"))*Inputs!$B$1+((Inputs!$G$5:$G$130&lt;&gt;"moeda")*(Inputs!$G$5:$G$130&lt;&gt;"acoes")))*INDEX(Inputs!$K$5:$AJ$130,0,MATCH(J$2,Inputs!$K$4:$AJ$4,0)))))</f>
        <v>348</v>
      </c>
      <c r="K7" s="265">
        <f>IF(ISNA(MATCH(K$2,Inputs!$K$4:$AJ$4,0)),NA(),IF(SUMPRODUCT((Inputs!$A$5:$A$130=$B7)*ISNUMBER(INDEX(Inputs!$K$5:$AJ$130,0,MATCH(K$2,Inputs!$K$4:$AJ$4,0))))+SUMPRODUCT((Inputs!$C$5:$C$130=$B7)*ISNUMBER(INDEX(Inputs!$K$5:$AJ$130,0,MATCH(K$2,Inputs!$K$4:$AJ$4,0))))+SUMPRODUCT((Inputs!$E$5:$E$130=$B7)*ISNUMBER(INDEX(Inputs!$K$5:$AJ$130,0,MATCH(K$2,Inputs!$K$4:$AJ$4,0))))=0,NA(),SUMPRODUCT((Inputs!$A$5:$A$130=$B7)*Inputs!$B$5:$B$130*(((Inputs!$G$5:$G$130="moeda")+(Inputs!$G$5:$G$130="acoes"))*Inputs!$B$1+((Inputs!$G$5:$G$130&lt;&gt;"moeda")*(Inputs!$G$5:$G$130&lt;&gt;"acoes")))*INDEX(Inputs!$K$5:$AJ$130,0,MATCH(K$2,Inputs!$K$4:$AJ$4,0)))+SUMPRODUCT((Inputs!$C$5:$C$130=$B7)*Inputs!$D$5:$D$130*(((Inputs!$G$5:$G$130="moeda")+(Inputs!$G$5:$G$130="acoes"))*Inputs!$B$1+((Inputs!$G$5:$G$130&lt;&gt;"moeda")*(Inputs!$G$5:$G$130&lt;&gt;"acoes")))*INDEX(Inputs!$K$5:$AJ$130,0,MATCH(K$2,Inputs!$K$4:$AJ$4,0)))+SUMPRODUCT((Inputs!$E$5:$E$130=$B7)*Inputs!$F$5:$F$130*(((Inputs!$G$5:$G$130="moeda")+(Inputs!$G$5:$G$130="acoes"))*Inputs!$B$1+((Inputs!$G$5:$G$130&lt;&gt;"moeda")*(Inputs!$G$5:$G$130&lt;&gt;"acoes")))*INDEX(Inputs!$K$5:$AJ$130,0,MATCH(K$2,Inputs!$K$4:$AJ$4,0)))))</f>
        <v>-6124</v>
      </c>
      <c r="L7" s="265">
        <f>IF(ISNA(MATCH(L$2,Inputs!$K$4:$AJ$4,0)),NA(),IF(SUMPRODUCT((Inputs!$A$5:$A$130=$B7)*ISNUMBER(INDEX(Inputs!$K$5:$AJ$130,0,MATCH(L$2,Inputs!$K$4:$AJ$4,0))))+SUMPRODUCT((Inputs!$C$5:$C$130=$B7)*ISNUMBER(INDEX(Inputs!$K$5:$AJ$130,0,MATCH(L$2,Inputs!$K$4:$AJ$4,0))))+SUMPRODUCT((Inputs!$E$5:$E$130=$B7)*ISNUMBER(INDEX(Inputs!$K$5:$AJ$130,0,MATCH(L$2,Inputs!$K$4:$AJ$4,0))))=0,NA(),SUMPRODUCT((Inputs!$A$5:$A$130=$B7)*Inputs!$B$5:$B$130*(((Inputs!$G$5:$G$130="moeda")+(Inputs!$G$5:$G$130="acoes"))*Inputs!$B$1+((Inputs!$G$5:$G$130&lt;&gt;"moeda")*(Inputs!$G$5:$G$130&lt;&gt;"acoes")))*INDEX(Inputs!$K$5:$AJ$130,0,MATCH(L$2,Inputs!$K$4:$AJ$4,0)))+SUMPRODUCT((Inputs!$C$5:$C$130=$B7)*Inputs!$D$5:$D$130*(((Inputs!$G$5:$G$130="moeda")+(Inputs!$G$5:$G$130="acoes"))*Inputs!$B$1+((Inputs!$G$5:$G$130&lt;&gt;"moeda")*(Inputs!$G$5:$G$130&lt;&gt;"acoes")))*INDEX(Inputs!$K$5:$AJ$130,0,MATCH(L$2,Inputs!$K$4:$AJ$4,0)))+SUMPRODUCT((Inputs!$E$5:$E$130=$B7)*Inputs!$F$5:$F$130*(((Inputs!$G$5:$G$130="moeda")+(Inputs!$G$5:$G$130="acoes"))*Inputs!$B$1+((Inputs!$G$5:$G$130&lt;&gt;"moeda")*(Inputs!$G$5:$G$130&lt;&gt;"acoes")))*INDEX(Inputs!$K$5:$AJ$130,0,MATCH(L$2,Inputs!$K$4:$AJ$4,0)))))</f>
        <v>-6459</v>
      </c>
      <c r="M7" s="266">
        <f>SUM(I7:L7)</f>
        <v>-18530</v>
      </c>
      <c r="N7" s="265">
        <f>IF(ISNA(MATCH(N$2,Inputs!$K$4:$AJ$4,0)),NA(),IF(SUMPRODUCT((Inputs!$A$5:$A$130=$B7)*ISNUMBER(INDEX(Inputs!$K$5:$AJ$130,0,MATCH(N$2,Inputs!$K$4:$AJ$4,0))))+SUMPRODUCT((Inputs!$C$5:$C$130=$B7)*ISNUMBER(INDEX(Inputs!$K$5:$AJ$130,0,MATCH(N$2,Inputs!$K$4:$AJ$4,0))))+SUMPRODUCT((Inputs!$E$5:$E$130=$B7)*ISNUMBER(INDEX(Inputs!$K$5:$AJ$130,0,MATCH(N$2,Inputs!$K$4:$AJ$4,0))))=0,NA(),SUMPRODUCT((Inputs!$A$5:$A$130=$B7)*Inputs!$B$5:$B$130*(((Inputs!$G$5:$G$130="moeda")+(Inputs!$G$5:$G$130="acoes"))*Inputs!$B$1+((Inputs!$G$5:$G$130&lt;&gt;"moeda")*(Inputs!$G$5:$G$130&lt;&gt;"acoes")))*INDEX(Inputs!$K$5:$AJ$130,0,MATCH(N$2,Inputs!$K$4:$AJ$4,0)))+SUMPRODUCT((Inputs!$C$5:$C$130=$B7)*Inputs!$D$5:$D$130*(((Inputs!$G$5:$G$130="moeda")+(Inputs!$G$5:$G$130="acoes"))*Inputs!$B$1+((Inputs!$G$5:$G$130&lt;&gt;"moeda")*(Inputs!$G$5:$G$130&lt;&gt;"acoes")))*INDEX(Inputs!$K$5:$AJ$130,0,MATCH(N$2,Inputs!$K$4:$AJ$4,0)))+SUMPRODUCT((Inputs!$E$5:$E$130=$B7)*Inputs!$F$5:$F$130*(((Inputs!$G$5:$G$130="moeda")+(Inputs!$G$5:$G$130="acoes"))*Inputs!$B$1+((Inputs!$G$5:$G$130&lt;&gt;"moeda")*(Inputs!$G$5:$G$130&lt;&gt;"acoes")))*INDEX(Inputs!$K$5:$AJ$130,0,MATCH(N$2,Inputs!$K$4:$AJ$4,0)))))</f>
        <v>-6285</v>
      </c>
      <c r="O7" s="265">
        <f>IF(ISNA(MATCH(O$2,Inputs!$K$4:$AJ$4,0)),NA(),IF(SUMPRODUCT((Inputs!$A$5:$A$130=$B7)*ISNUMBER(INDEX(Inputs!$K$5:$AJ$130,0,MATCH(O$2,Inputs!$K$4:$AJ$4,0))))+SUMPRODUCT((Inputs!$C$5:$C$130=$B7)*ISNUMBER(INDEX(Inputs!$K$5:$AJ$130,0,MATCH(O$2,Inputs!$K$4:$AJ$4,0))))+SUMPRODUCT((Inputs!$E$5:$E$130=$B7)*ISNUMBER(INDEX(Inputs!$K$5:$AJ$130,0,MATCH(O$2,Inputs!$K$4:$AJ$4,0))))=0,NA(),SUMPRODUCT((Inputs!$A$5:$A$130=$B7)*Inputs!$B$5:$B$130*(((Inputs!$G$5:$G$130="moeda")+(Inputs!$G$5:$G$130="acoes"))*Inputs!$B$1+((Inputs!$G$5:$G$130&lt;&gt;"moeda")*(Inputs!$G$5:$G$130&lt;&gt;"acoes")))*INDEX(Inputs!$K$5:$AJ$130,0,MATCH(O$2,Inputs!$K$4:$AJ$4,0)))+SUMPRODUCT((Inputs!$C$5:$C$130=$B7)*Inputs!$D$5:$D$130*(((Inputs!$G$5:$G$130="moeda")+(Inputs!$G$5:$G$130="acoes"))*Inputs!$B$1+((Inputs!$G$5:$G$130&lt;&gt;"moeda")*(Inputs!$G$5:$G$130&lt;&gt;"acoes")))*INDEX(Inputs!$K$5:$AJ$130,0,MATCH(O$2,Inputs!$K$4:$AJ$4,0)))+SUMPRODUCT((Inputs!$E$5:$E$130=$B7)*Inputs!$F$5:$F$130*(((Inputs!$G$5:$G$130="moeda")+(Inputs!$G$5:$G$130="acoes"))*Inputs!$B$1+((Inputs!$G$5:$G$130&lt;&gt;"moeda")*(Inputs!$G$5:$G$130&lt;&gt;"acoes")))*INDEX(Inputs!$K$5:$AJ$130,0,MATCH(O$2,Inputs!$K$4:$AJ$4,0)))))</f>
        <v>-7872</v>
      </c>
      <c r="P7" s="265">
        <f>IF(ISNA(MATCH(P$2,Inputs!$K$4:$AJ$4,0)),NA(),IF(SUMPRODUCT((Inputs!$A$5:$A$130=$B7)*ISNUMBER(INDEX(Inputs!$K$5:$AJ$130,0,MATCH(P$2,Inputs!$K$4:$AJ$4,0))))+SUMPRODUCT((Inputs!$C$5:$C$130=$B7)*ISNUMBER(INDEX(Inputs!$K$5:$AJ$130,0,MATCH(P$2,Inputs!$K$4:$AJ$4,0))))+SUMPRODUCT((Inputs!$E$5:$E$130=$B7)*ISNUMBER(INDEX(Inputs!$K$5:$AJ$130,0,MATCH(P$2,Inputs!$K$4:$AJ$4,0))))=0,NA(),SUMPRODUCT((Inputs!$A$5:$A$130=$B7)*Inputs!$B$5:$B$130*(((Inputs!$G$5:$G$130="moeda")+(Inputs!$G$5:$G$130="acoes"))*Inputs!$B$1+((Inputs!$G$5:$G$130&lt;&gt;"moeda")*(Inputs!$G$5:$G$130&lt;&gt;"acoes")))*INDEX(Inputs!$K$5:$AJ$130,0,MATCH(P$2,Inputs!$K$4:$AJ$4,0)))+SUMPRODUCT((Inputs!$C$5:$C$130=$B7)*Inputs!$D$5:$D$130*(((Inputs!$G$5:$G$130="moeda")+(Inputs!$G$5:$G$130="acoes"))*Inputs!$B$1+((Inputs!$G$5:$G$130&lt;&gt;"moeda")*(Inputs!$G$5:$G$130&lt;&gt;"acoes")))*INDEX(Inputs!$K$5:$AJ$130,0,MATCH(P$2,Inputs!$K$4:$AJ$4,0)))+SUMPRODUCT((Inputs!$E$5:$E$130=$B7)*Inputs!$F$5:$F$130*(((Inputs!$G$5:$G$130="moeda")+(Inputs!$G$5:$G$130="acoes"))*Inputs!$B$1+((Inputs!$G$5:$G$130&lt;&gt;"moeda")*(Inputs!$G$5:$G$130&lt;&gt;"acoes")))*INDEX(Inputs!$K$5:$AJ$130,0,MATCH(P$2,Inputs!$K$4:$AJ$4,0)))))</f>
        <v>-5911</v>
      </c>
      <c r="Q7" s="265">
        <f>IF(ISNA(MATCH(Q$2,Inputs!$K$4:$AJ$4,0)),NA(),IF(SUMPRODUCT((Inputs!$A$5:$A$130=$B7)*ISNUMBER(INDEX(Inputs!$K$5:$AJ$130,0,MATCH(Q$2,Inputs!$K$4:$AJ$4,0))))+SUMPRODUCT((Inputs!$C$5:$C$130=$B7)*ISNUMBER(INDEX(Inputs!$K$5:$AJ$130,0,MATCH(Q$2,Inputs!$K$4:$AJ$4,0))))+SUMPRODUCT((Inputs!$E$5:$E$130=$B7)*ISNUMBER(INDEX(Inputs!$K$5:$AJ$130,0,MATCH(Q$2,Inputs!$K$4:$AJ$4,0))))=0,NA(),SUMPRODUCT((Inputs!$A$5:$A$130=$B7)*Inputs!$B$5:$B$130*(((Inputs!$G$5:$G$130="moeda")+(Inputs!$G$5:$G$130="acoes"))*Inputs!$B$1+((Inputs!$G$5:$G$130&lt;&gt;"moeda")*(Inputs!$G$5:$G$130&lt;&gt;"acoes")))*INDEX(Inputs!$K$5:$AJ$130,0,MATCH(Q$2,Inputs!$K$4:$AJ$4,0)))+SUMPRODUCT((Inputs!$C$5:$C$130=$B7)*Inputs!$D$5:$D$130*(((Inputs!$G$5:$G$130="moeda")+(Inputs!$G$5:$G$130="acoes"))*Inputs!$B$1+((Inputs!$G$5:$G$130&lt;&gt;"moeda")*(Inputs!$G$5:$G$130&lt;&gt;"acoes")))*INDEX(Inputs!$K$5:$AJ$130,0,MATCH(Q$2,Inputs!$K$4:$AJ$4,0)))+SUMPRODUCT((Inputs!$E$5:$E$130=$B7)*Inputs!$F$5:$F$130*(((Inputs!$G$5:$G$130="moeda")+(Inputs!$G$5:$G$130="acoes"))*Inputs!$B$1+((Inputs!$G$5:$G$130&lt;&gt;"moeda")*(Inputs!$G$5:$G$130&lt;&gt;"acoes")))*INDEX(Inputs!$K$5:$AJ$130,0,MATCH(Q$2,Inputs!$K$4:$AJ$4,0)))))</f>
        <v>-11221</v>
      </c>
      <c r="R7" s="266">
        <f>SUM(N7:Q7)</f>
        <v>-31289</v>
      </c>
      <c r="S7" s="265">
        <f>IF(ISNA(MATCH(S$2,Inputs!$K$4:$AJ$4,0)),NA(),IF(SUMPRODUCT((Inputs!$A$5:$A$130=$B7)*ISNUMBER(INDEX(Inputs!$K$5:$AJ$130,0,MATCH(S$2,Inputs!$K$4:$AJ$4,0))))+SUMPRODUCT((Inputs!$C$5:$C$130=$B7)*ISNUMBER(INDEX(Inputs!$K$5:$AJ$130,0,MATCH(S$2,Inputs!$K$4:$AJ$4,0))))+SUMPRODUCT((Inputs!$E$5:$E$130=$B7)*ISNUMBER(INDEX(Inputs!$K$5:$AJ$130,0,MATCH(S$2,Inputs!$K$4:$AJ$4,0))))=0,NA(),SUMPRODUCT((Inputs!$A$5:$A$130=$B7)*Inputs!$B$5:$B$130*(((Inputs!$G$5:$G$130="moeda")+(Inputs!$G$5:$G$130="acoes"))*Inputs!$B$1+((Inputs!$G$5:$G$130&lt;&gt;"moeda")*(Inputs!$G$5:$G$130&lt;&gt;"acoes")))*INDEX(Inputs!$K$5:$AJ$130,0,MATCH(S$2,Inputs!$K$4:$AJ$4,0)))+SUMPRODUCT((Inputs!$C$5:$C$130=$B7)*Inputs!$D$5:$D$130*(((Inputs!$G$5:$G$130="moeda")+(Inputs!$G$5:$G$130="acoes"))*Inputs!$B$1+((Inputs!$G$5:$G$130&lt;&gt;"moeda")*(Inputs!$G$5:$G$130&lt;&gt;"acoes")))*INDEX(Inputs!$K$5:$AJ$130,0,MATCH(S$2,Inputs!$K$4:$AJ$4,0)))+SUMPRODUCT((Inputs!$E$5:$E$130=$B7)*Inputs!$F$5:$F$130*(((Inputs!$G$5:$G$130="moeda")+(Inputs!$G$5:$G$130="acoes"))*Inputs!$B$1+((Inputs!$G$5:$G$130&lt;&gt;"moeda")*(Inputs!$G$5:$G$130&lt;&gt;"acoes")))*INDEX(Inputs!$K$5:$AJ$130,0,MATCH(S$2,Inputs!$K$4:$AJ$4,0)))))</f>
        <v>-5881</v>
      </c>
      <c r="T7" s="265">
        <f>IF(ISNA(MATCH(T$2,Inputs!$K$4:$AJ$4,0)),NA(),IF(SUMPRODUCT((Inputs!$A$5:$A$130=$B7)*ISNUMBER(INDEX(Inputs!$K$5:$AJ$130,0,MATCH(T$2,Inputs!$K$4:$AJ$4,0))))+SUMPRODUCT((Inputs!$C$5:$C$130=$B7)*ISNUMBER(INDEX(Inputs!$K$5:$AJ$130,0,MATCH(T$2,Inputs!$K$4:$AJ$4,0))))+SUMPRODUCT((Inputs!$E$5:$E$130=$B7)*ISNUMBER(INDEX(Inputs!$K$5:$AJ$130,0,MATCH(T$2,Inputs!$K$4:$AJ$4,0))))=0,NA(),SUMPRODUCT((Inputs!$A$5:$A$130=$B7)*Inputs!$B$5:$B$130*(((Inputs!$G$5:$G$130="moeda")+(Inputs!$G$5:$G$130="acoes"))*Inputs!$B$1+((Inputs!$G$5:$G$130&lt;&gt;"moeda")*(Inputs!$G$5:$G$130&lt;&gt;"acoes")))*INDEX(Inputs!$K$5:$AJ$130,0,MATCH(T$2,Inputs!$K$4:$AJ$4,0)))+SUMPRODUCT((Inputs!$C$5:$C$130=$B7)*Inputs!$D$5:$D$130*(((Inputs!$G$5:$G$130="moeda")+(Inputs!$G$5:$G$130="acoes"))*Inputs!$B$1+((Inputs!$G$5:$G$130&lt;&gt;"moeda")*(Inputs!$G$5:$G$130&lt;&gt;"acoes")))*INDEX(Inputs!$K$5:$AJ$130,0,MATCH(T$2,Inputs!$K$4:$AJ$4,0)))+SUMPRODUCT((Inputs!$E$5:$E$130=$B7)*Inputs!$F$5:$F$130*(((Inputs!$G$5:$G$130="moeda")+(Inputs!$G$5:$G$130="acoes"))*Inputs!$B$1+((Inputs!$G$5:$G$130&lt;&gt;"moeda")*(Inputs!$G$5:$G$130&lt;&gt;"acoes")))*INDEX(Inputs!$K$5:$AJ$130,0,MATCH(T$2,Inputs!$K$4:$AJ$4,0)))))</f>
        <v>-7555</v>
      </c>
      <c r="U7" s="265">
        <f>IF(ISNA(MATCH(U$2,Inputs!$K$4:$AJ$4,0)),NA(),IF(SUMPRODUCT((Inputs!$A$5:$A$130=$B7)*ISNUMBER(INDEX(Inputs!$K$5:$AJ$130,0,MATCH(U$2,Inputs!$K$4:$AJ$4,0))))+SUMPRODUCT((Inputs!$C$5:$C$130=$B7)*ISNUMBER(INDEX(Inputs!$K$5:$AJ$130,0,MATCH(U$2,Inputs!$K$4:$AJ$4,0))))+SUMPRODUCT((Inputs!$E$5:$E$130=$B7)*ISNUMBER(INDEX(Inputs!$K$5:$AJ$130,0,MATCH(U$2,Inputs!$K$4:$AJ$4,0))))=0,NA(),SUMPRODUCT((Inputs!$A$5:$A$130=$B7)*Inputs!$B$5:$B$130*(((Inputs!$G$5:$G$130="moeda")+(Inputs!$G$5:$G$130="acoes"))*Inputs!$B$1+((Inputs!$G$5:$G$130&lt;&gt;"moeda")*(Inputs!$G$5:$G$130&lt;&gt;"acoes")))*INDEX(Inputs!$K$5:$AJ$130,0,MATCH(U$2,Inputs!$K$4:$AJ$4,0)))+SUMPRODUCT((Inputs!$C$5:$C$130=$B7)*Inputs!$D$5:$D$130*(((Inputs!$G$5:$G$130="moeda")+(Inputs!$G$5:$G$130="acoes"))*Inputs!$B$1+((Inputs!$G$5:$G$130&lt;&gt;"moeda")*(Inputs!$G$5:$G$130&lt;&gt;"acoes")))*INDEX(Inputs!$K$5:$AJ$130,0,MATCH(U$2,Inputs!$K$4:$AJ$4,0)))+SUMPRODUCT((Inputs!$E$5:$E$130=$B7)*Inputs!$F$5:$F$130*(((Inputs!$G$5:$G$130="moeda")+(Inputs!$G$5:$G$130="acoes"))*Inputs!$B$1+((Inputs!$G$5:$G$130&lt;&gt;"moeda")*(Inputs!$G$5:$G$130&lt;&gt;"acoes")))*INDEX(Inputs!$K$5:$AJ$130,0,MATCH(U$2,Inputs!$K$4:$AJ$4,0)))))</f>
        <v>-5916</v>
      </c>
      <c r="V7" s="265">
        <f>IF(ISNA(MATCH(V$2,Inputs!$K$4:$AJ$4,0)),NA(),IF(SUMPRODUCT((Inputs!$A$5:$A$130=$B7)*ISNUMBER(INDEX(Inputs!$K$5:$AJ$130,0,MATCH(V$2,Inputs!$K$4:$AJ$4,0))))+SUMPRODUCT((Inputs!$C$5:$C$130=$B7)*ISNUMBER(INDEX(Inputs!$K$5:$AJ$130,0,MATCH(V$2,Inputs!$K$4:$AJ$4,0))))+SUMPRODUCT((Inputs!$E$5:$E$130=$B7)*ISNUMBER(INDEX(Inputs!$K$5:$AJ$130,0,MATCH(V$2,Inputs!$K$4:$AJ$4,0))))=0,NA(),SUMPRODUCT((Inputs!$A$5:$A$130=$B7)*Inputs!$B$5:$B$130*(((Inputs!$G$5:$G$130="moeda")+(Inputs!$G$5:$G$130="acoes"))*Inputs!$B$1+((Inputs!$G$5:$G$130&lt;&gt;"moeda")*(Inputs!$G$5:$G$130&lt;&gt;"acoes")))*INDEX(Inputs!$K$5:$AJ$130,0,MATCH(V$2,Inputs!$K$4:$AJ$4,0)))+SUMPRODUCT((Inputs!$C$5:$C$130=$B7)*Inputs!$D$5:$D$130*(((Inputs!$G$5:$G$130="moeda")+(Inputs!$G$5:$G$130="acoes"))*Inputs!$B$1+((Inputs!$G$5:$G$130&lt;&gt;"moeda")*(Inputs!$G$5:$G$130&lt;&gt;"acoes")))*INDEX(Inputs!$K$5:$AJ$130,0,MATCH(V$2,Inputs!$K$4:$AJ$4,0)))+SUMPRODUCT((Inputs!$E$5:$E$130=$B7)*Inputs!$F$5:$F$130*(((Inputs!$G$5:$G$130="moeda")+(Inputs!$G$5:$G$130="acoes"))*Inputs!$B$1+((Inputs!$G$5:$G$130&lt;&gt;"moeda")*(Inputs!$G$5:$G$130&lt;&gt;"acoes")))*INDEX(Inputs!$K$5:$AJ$130,0,MATCH(V$2,Inputs!$K$4:$AJ$4,0)))))</f>
        <v>-7520</v>
      </c>
      <c r="W7" s="266">
        <f>SUM(S7:V7)</f>
        <v>-26872</v>
      </c>
      <c r="X7" s="265">
        <f>IF(ISNA(MATCH(X$2,Inputs!$K$4:$AJ$4,0)),NA(),IF(SUMPRODUCT((Inputs!$A$5:$A$130=$B7)*ISNUMBER(INDEX(Inputs!$K$5:$AJ$130,0,MATCH(X$2,Inputs!$K$4:$AJ$4,0))))+SUMPRODUCT((Inputs!$C$5:$C$130=$B7)*ISNUMBER(INDEX(Inputs!$K$5:$AJ$130,0,MATCH(X$2,Inputs!$K$4:$AJ$4,0))))+SUMPRODUCT((Inputs!$E$5:$E$130=$B7)*ISNUMBER(INDEX(Inputs!$K$5:$AJ$130,0,MATCH(X$2,Inputs!$K$4:$AJ$4,0))))=0,NA(),SUMPRODUCT((Inputs!$A$5:$A$130=$B7)*Inputs!$B$5:$B$130*(((Inputs!$G$5:$G$130="moeda")+(Inputs!$G$5:$G$130="acoes"))*Inputs!$B$1+((Inputs!$G$5:$G$130&lt;&gt;"moeda")*(Inputs!$G$5:$G$130&lt;&gt;"acoes")))*INDEX(Inputs!$K$5:$AJ$130,0,MATCH(X$2,Inputs!$K$4:$AJ$4,0)))+SUMPRODUCT((Inputs!$C$5:$C$130=$B7)*Inputs!$D$5:$D$130*(((Inputs!$G$5:$G$130="moeda")+(Inputs!$G$5:$G$130="acoes"))*Inputs!$B$1+((Inputs!$G$5:$G$130&lt;&gt;"moeda")*(Inputs!$G$5:$G$130&lt;&gt;"acoes")))*INDEX(Inputs!$K$5:$AJ$130,0,MATCH(X$2,Inputs!$K$4:$AJ$4,0)))+SUMPRODUCT((Inputs!$E$5:$E$130=$B7)*Inputs!$F$5:$F$130*(((Inputs!$G$5:$G$130="moeda")+(Inputs!$G$5:$G$130="acoes"))*Inputs!$B$1+((Inputs!$G$5:$G$130&lt;&gt;"moeda")*(Inputs!$G$5:$G$130&lt;&gt;"acoes")))*INDEX(Inputs!$K$5:$AJ$130,0,MATCH(X$2,Inputs!$K$4:$AJ$4,0)))))</f>
        <v>-5441</v>
      </c>
      <c r="Y7" s="265">
        <f>IF(ISNA(MATCH(Y$2,Inputs!$K$4:$AJ$4,0)),NA(),IF(SUMPRODUCT((Inputs!$A$5:$A$130=$B7)*ISNUMBER(INDEX(Inputs!$K$5:$AJ$130,0,MATCH(Y$2,Inputs!$K$4:$AJ$4,0))))+SUMPRODUCT((Inputs!$C$5:$C$130=$B7)*ISNUMBER(INDEX(Inputs!$K$5:$AJ$130,0,MATCH(Y$2,Inputs!$K$4:$AJ$4,0))))+SUMPRODUCT((Inputs!$E$5:$E$130=$B7)*ISNUMBER(INDEX(Inputs!$K$5:$AJ$130,0,MATCH(Y$2,Inputs!$K$4:$AJ$4,0))))=0,NA(),SUMPRODUCT((Inputs!$A$5:$A$130=$B7)*Inputs!$B$5:$B$130*(((Inputs!$G$5:$G$130="moeda")+(Inputs!$G$5:$G$130="acoes"))*Inputs!$B$1+((Inputs!$G$5:$G$130&lt;&gt;"moeda")*(Inputs!$G$5:$G$130&lt;&gt;"acoes")))*INDEX(Inputs!$K$5:$AJ$130,0,MATCH(Y$2,Inputs!$K$4:$AJ$4,0)))+SUMPRODUCT((Inputs!$C$5:$C$130=$B7)*Inputs!$D$5:$D$130*(((Inputs!$G$5:$G$130="moeda")+(Inputs!$G$5:$G$130="acoes"))*Inputs!$B$1+((Inputs!$G$5:$G$130&lt;&gt;"moeda")*(Inputs!$G$5:$G$130&lt;&gt;"acoes")))*INDEX(Inputs!$K$5:$AJ$130,0,MATCH(Y$2,Inputs!$K$4:$AJ$4,0)))+SUMPRODUCT((Inputs!$E$5:$E$130=$B7)*Inputs!$F$5:$F$130*(((Inputs!$G$5:$G$130="moeda")+(Inputs!$G$5:$G$130="acoes"))*Inputs!$B$1+((Inputs!$G$5:$G$130&lt;&gt;"moeda")*(Inputs!$G$5:$G$130&lt;&gt;"acoes")))*INDEX(Inputs!$K$5:$AJ$130,0,MATCH(Y$2,Inputs!$K$4:$AJ$4,0)))))</f>
        <v>-6670</v>
      </c>
      <c r="Z7" s="265">
        <f>IF(ISNA(MATCH(Z$2,Inputs!$K$4:$AJ$4,0)),NA(),IF(SUMPRODUCT((Inputs!$A$5:$A$130=$B7)*ISNUMBER(INDEX(Inputs!$K$5:$AJ$130,0,MATCH(Z$2,Inputs!$K$4:$AJ$4,0))))+SUMPRODUCT((Inputs!$C$5:$C$130=$B7)*ISNUMBER(INDEX(Inputs!$K$5:$AJ$130,0,MATCH(Z$2,Inputs!$K$4:$AJ$4,0))))+SUMPRODUCT((Inputs!$E$5:$E$130=$B7)*ISNUMBER(INDEX(Inputs!$K$5:$AJ$130,0,MATCH(Z$2,Inputs!$K$4:$AJ$4,0))))=0,NA(),SUMPRODUCT((Inputs!$A$5:$A$130=$B7)*Inputs!$B$5:$B$130*(((Inputs!$G$5:$G$130="moeda")+(Inputs!$G$5:$G$130="acoes"))*Inputs!$B$1+((Inputs!$G$5:$G$130&lt;&gt;"moeda")*(Inputs!$G$5:$G$130&lt;&gt;"acoes")))*INDEX(Inputs!$K$5:$AJ$130,0,MATCH(Z$2,Inputs!$K$4:$AJ$4,0)))+SUMPRODUCT((Inputs!$C$5:$C$130=$B7)*Inputs!$D$5:$D$130*(((Inputs!$G$5:$G$130="moeda")+(Inputs!$G$5:$G$130="acoes"))*Inputs!$B$1+((Inputs!$G$5:$G$130&lt;&gt;"moeda")*(Inputs!$G$5:$G$130&lt;&gt;"acoes")))*INDEX(Inputs!$K$5:$AJ$130,0,MATCH(Z$2,Inputs!$K$4:$AJ$4,0)))+SUMPRODUCT((Inputs!$E$5:$E$130=$B7)*Inputs!$F$5:$F$130*(((Inputs!$G$5:$G$130="moeda")+(Inputs!$G$5:$G$130="acoes"))*Inputs!$B$1+((Inputs!$G$5:$G$130&lt;&gt;"moeda")*(Inputs!$G$5:$G$130&lt;&gt;"acoes")))*INDEX(Inputs!$K$5:$AJ$130,0,MATCH(Z$2,Inputs!$K$4:$AJ$4,0)))))</f>
        <v>-6607</v>
      </c>
      <c r="AA7" s="265">
        <f>IF(ISNA(MATCH(AA$2,Inputs!$K$4:$AJ$4,0)),NA(),IF(SUMPRODUCT((Inputs!$A$5:$A$130=$B7)*ISNUMBER(INDEX(Inputs!$K$5:$AJ$130,0,MATCH(AA$2,Inputs!$K$4:$AJ$4,0))))+SUMPRODUCT((Inputs!$C$5:$C$130=$B7)*ISNUMBER(INDEX(Inputs!$K$5:$AJ$130,0,MATCH(AA$2,Inputs!$K$4:$AJ$4,0))))+SUMPRODUCT((Inputs!$E$5:$E$130=$B7)*ISNUMBER(INDEX(Inputs!$K$5:$AJ$130,0,MATCH(AA$2,Inputs!$K$4:$AJ$4,0))))=0,NA(),SUMPRODUCT((Inputs!$A$5:$A$130=$B7)*Inputs!$B$5:$B$130*(((Inputs!$G$5:$G$130="moeda")+(Inputs!$G$5:$G$130="acoes"))*Inputs!$B$1+((Inputs!$G$5:$G$130&lt;&gt;"moeda")*(Inputs!$G$5:$G$130&lt;&gt;"acoes")))*INDEX(Inputs!$K$5:$AJ$130,0,MATCH(AA$2,Inputs!$K$4:$AJ$4,0)))+SUMPRODUCT((Inputs!$C$5:$C$130=$B7)*Inputs!$D$5:$D$130*(((Inputs!$G$5:$G$130="moeda")+(Inputs!$G$5:$G$130="acoes"))*Inputs!$B$1+((Inputs!$G$5:$G$130&lt;&gt;"moeda")*(Inputs!$G$5:$G$130&lt;&gt;"acoes")))*INDEX(Inputs!$K$5:$AJ$130,0,MATCH(AA$2,Inputs!$K$4:$AJ$4,0)))+SUMPRODUCT((Inputs!$E$5:$E$130=$B7)*Inputs!$F$5:$F$130*(((Inputs!$G$5:$G$130="moeda")+(Inputs!$G$5:$G$130="acoes"))*Inputs!$B$1+((Inputs!$G$5:$G$130&lt;&gt;"moeda")*(Inputs!$G$5:$G$130&lt;&gt;"acoes")))*INDEX(Inputs!$K$5:$AJ$130,0,MATCH(AA$2,Inputs!$K$4:$AJ$4,0)))))</f>
        <v>-6581</v>
      </c>
      <c r="AB7" s="266">
        <f>SUM(X7:AA7)</f>
        <v>-25299</v>
      </c>
      <c r="AC7" s="265">
        <f>IF(ISNA(MATCH(AC$2,Inputs!$K$4:$AJ$4,0)),NA(),IF(SUMPRODUCT((Inputs!$A$5:$A$130=$B7)*ISNUMBER(INDEX(Inputs!$K$5:$AJ$130,0,MATCH(AC$2,Inputs!$K$4:$AJ$4,0))))+SUMPRODUCT((Inputs!$C$5:$C$130=$B7)*ISNUMBER(INDEX(Inputs!$K$5:$AJ$130,0,MATCH(AC$2,Inputs!$K$4:$AJ$4,0))))+SUMPRODUCT((Inputs!$E$5:$E$130=$B7)*ISNUMBER(INDEX(Inputs!$K$5:$AJ$130,0,MATCH(AC$2,Inputs!$K$4:$AJ$4,0))))=0,NA(),SUMPRODUCT((Inputs!$A$5:$A$130=$B7)*Inputs!$B$5:$B$130*(((Inputs!$G$5:$G$130="moeda")+(Inputs!$G$5:$G$130="acoes"))*Inputs!$B$1+((Inputs!$G$5:$G$130&lt;&gt;"moeda")*(Inputs!$G$5:$G$130&lt;&gt;"acoes")))*INDEX(Inputs!$K$5:$AJ$130,0,MATCH(AC$2,Inputs!$K$4:$AJ$4,0)))+SUMPRODUCT((Inputs!$C$5:$C$130=$B7)*Inputs!$D$5:$D$130*(((Inputs!$G$5:$G$130="moeda")+(Inputs!$G$5:$G$130="acoes"))*Inputs!$B$1+((Inputs!$G$5:$G$130&lt;&gt;"moeda")*(Inputs!$G$5:$G$130&lt;&gt;"acoes")))*INDEX(Inputs!$K$5:$AJ$130,0,MATCH(AC$2,Inputs!$K$4:$AJ$4,0)))+SUMPRODUCT((Inputs!$E$5:$E$130=$B7)*Inputs!$F$5:$F$130*(((Inputs!$G$5:$G$130="moeda")+(Inputs!$G$5:$G$130="acoes"))*Inputs!$B$1+((Inputs!$G$5:$G$130&lt;&gt;"moeda")*(Inputs!$G$5:$G$130&lt;&gt;"acoes")))*INDEX(Inputs!$K$5:$AJ$130,0,MATCH(AC$2,Inputs!$K$4:$AJ$4,0)))))</f>
        <v>-5743</v>
      </c>
      <c r="AD7" s="265">
        <f>IF(ISNA(MATCH(AD$2,Inputs!$K$4:$AJ$4,0)),NA(),IF(SUMPRODUCT((Inputs!$A$5:$A$130=$B7)*ISNUMBER(INDEX(Inputs!$K$5:$AJ$130,0,MATCH(AD$2,Inputs!$K$4:$AJ$4,0))))+SUMPRODUCT((Inputs!$C$5:$C$130=$B7)*ISNUMBER(INDEX(Inputs!$K$5:$AJ$130,0,MATCH(AD$2,Inputs!$K$4:$AJ$4,0))))+SUMPRODUCT((Inputs!$E$5:$E$130=$B7)*ISNUMBER(INDEX(Inputs!$K$5:$AJ$130,0,MATCH(AD$2,Inputs!$K$4:$AJ$4,0))))=0,NA(),SUMPRODUCT((Inputs!$A$5:$A$130=$B7)*Inputs!$B$5:$B$130*(((Inputs!$G$5:$G$130="moeda")+(Inputs!$G$5:$G$130="acoes"))*Inputs!$B$1+((Inputs!$G$5:$G$130&lt;&gt;"moeda")*(Inputs!$G$5:$G$130&lt;&gt;"acoes")))*INDEX(Inputs!$K$5:$AJ$130,0,MATCH(AD$2,Inputs!$K$4:$AJ$4,0)))+SUMPRODUCT((Inputs!$C$5:$C$130=$B7)*Inputs!$D$5:$D$130*(((Inputs!$G$5:$G$130="moeda")+(Inputs!$G$5:$G$130="acoes"))*Inputs!$B$1+((Inputs!$G$5:$G$130&lt;&gt;"moeda")*(Inputs!$G$5:$G$130&lt;&gt;"acoes")))*INDEX(Inputs!$K$5:$AJ$130,0,MATCH(AD$2,Inputs!$K$4:$AJ$4,0)))+SUMPRODUCT((Inputs!$E$5:$E$130=$B7)*Inputs!$F$5:$F$130*(((Inputs!$G$5:$G$130="moeda")+(Inputs!$G$5:$G$130="acoes"))*Inputs!$B$1+((Inputs!$G$5:$G$130&lt;&gt;"moeda")*(Inputs!$G$5:$G$130&lt;&gt;"acoes")))*INDEX(Inputs!$K$5:$AJ$130,0,MATCH(AD$2,Inputs!$K$4:$AJ$4,0)))))</f>
        <v>-6183</v>
      </c>
      <c r="AE7" s="265" t="e">
        <f>IF(ISNA(MATCH(AE$2,Inputs!$K$4:$AJ$4,0)),NA(),IF(SUMPRODUCT((Inputs!$A$5:$A$130=$B7)*ISNUMBER(INDEX(Inputs!$K$5:$AJ$130,0,MATCH(AE$2,Inputs!$K$4:$AJ$4,0))))+SUMPRODUCT((Inputs!$C$5:$C$130=$B7)*ISNUMBER(INDEX(Inputs!$K$5:$AJ$130,0,MATCH(AE$2,Inputs!$K$4:$AJ$4,0))))+SUMPRODUCT((Inputs!$E$5:$E$130=$B7)*ISNUMBER(INDEX(Inputs!$K$5:$AJ$130,0,MATCH(AE$2,Inputs!$K$4:$AJ$4,0))))=0,NA(),SUMPRODUCT((Inputs!$A$5:$A$130=$B7)*Inputs!$B$5:$B$130*(((Inputs!$G$5:$G$130="moeda")+(Inputs!$G$5:$G$130="acoes"))*Inputs!$B$1+((Inputs!$G$5:$G$130&lt;&gt;"moeda")*(Inputs!$G$5:$G$130&lt;&gt;"acoes")))*INDEX(Inputs!$K$5:$AJ$130,0,MATCH(AE$2,Inputs!$K$4:$AJ$4,0)))+SUMPRODUCT((Inputs!$C$5:$C$130=$B7)*Inputs!$D$5:$D$130*(((Inputs!$G$5:$G$130="moeda")+(Inputs!$G$5:$G$130="acoes"))*Inputs!$B$1+((Inputs!$G$5:$G$130&lt;&gt;"moeda")*(Inputs!$G$5:$G$130&lt;&gt;"acoes")))*INDEX(Inputs!$K$5:$AJ$130,0,MATCH(AE$2,Inputs!$K$4:$AJ$4,0)))+SUMPRODUCT((Inputs!$E$5:$E$130=$B7)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7" s="265" t="e">
        <f>IF(ISNA(MATCH(AF$2,Inputs!$K$4:$AJ$4,0)),NA(),IF(SUMPRODUCT((Inputs!$A$5:$A$130=$B7)*ISNUMBER(INDEX(Inputs!$K$5:$AJ$130,0,MATCH(AF$2,Inputs!$K$4:$AJ$4,0))))+SUMPRODUCT((Inputs!$C$5:$C$130=$B7)*ISNUMBER(INDEX(Inputs!$K$5:$AJ$130,0,MATCH(AF$2,Inputs!$K$4:$AJ$4,0))))+SUMPRODUCT((Inputs!$E$5:$E$130=$B7)*ISNUMBER(INDEX(Inputs!$K$5:$AJ$130,0,MATCH(AF$2,Inputs!$K$4:$AJ$4,0))))=0,NA(),SUMPRODUCT((Inputs!$A$5:$A$130=$B7)*Inputs!$B$5:$B$130*(((Inputs!$G$5:$G$130="moeda")+(Inputs!$G$5:$G$130="acoes"))*Inputs!$B$1+((Inputs!$G$5:$G$130&lt;&gt;"moeda")*(Inputs!$G$5:$G$130&lt;&gt;"acoes")))*INDEX(Inputs!$K$5:$AJ$130,0,MATCH(AF$2,Inputs!$K$4:$AJ$4,0)))+SUMPRODUCT((Inputs!$C$5:$C$130=$B7)*Inputs!$D$5:$D$130*(((Inputs!$G$5:$G$130="moeda")+(Inputs!$G$5:$G$130="acoes"))*Inputs!$B$1+((Inputs!$G$5:$G$130&lt;&gt;"moeda")*(Inputs!$G$5:$G$130&lt;&gt;"acoes")))*INDEX(Inputs!$K$5:$AJ$130,0,MATCH(AF$2,Inputs!$K$4:$AJ$4,0)))+SUMPRODUCT((Inputs!$E$5:$E$130=$B7)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7" s="266" t="e">
        <f>SUM(AC7:AF7)</f>
        <v>#N/A</v>
      </c>
      <c r="AH7" s="265" t="e">
        <f>IF(ISNA(MATCH(AH$2,Inputs!$K$4:$AJ$4,0)),NA(),IF(SUMPRODUCT((Inputs!$A$5:$A$130=$B7)*ISNUMBER(INDEX(Inputs!$K$5:$AJ$130,0,MATCH(AH$2,Inputs!$K$4:$AJ$4,0))))+SUMPRODUCT((Inputs!$C$5:$C$130=$B7)*ISNUMBER(INDEX(Inputs!$K$5:$AJ$130,0,MATCH(AH$2,Inputs!$K$4:$AJ$4,0))))+SUMPRODUCT((Inputs!$E$5:$E$130=$B7)*ISNUMBER(INDEX(Inputs!$K$5:$AJ$130,0,MATCH(AH$2,Inputs!$K$4:$AJ$4,0))))=0,NA(),SUMPRODUCT((Inputs!$A$5:$A$130=$B7)*Inputs!$B$5:$B$130*(((Inputs!$G$5:$G$130="moeda")+(Inputs!$G$5:$G$130="acoes"))*Inputs!$B$1+((Inputs!$G$5:$G$130&lt;&gt;"moeda")*(Inputs!$G$5:$G$130&lt;&gt;"acoes")))*INDEX(Inputs!$K$5:$AJ$130,0,MATCH(AH$2,Inputs!$K$4:$AJ$4,0)))+SUMPRODUCT((Inputs!$C$5:$C$130=$B7)*Inputs!$D$5:$D$130*(((Inputs!$G$5:$G$130="moeda")+(Inputs!$G$5:$G$130="acoes"))*Inputs!$B$1+((Inputs!$G$5:$G$130&lt;&gt;"moeda")*(Inputs!$G$5:$G$130&lt;&gt;"acoes")))*INDEX(Inputs!$K$5:$AJ$130,0,MATCH(AH$2,Inputs!$K$4:$AJ$4,0)))+SUMPRODUCT((Inputs!$E$5:$E$130=$B7)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7" s="265" t="e">
        <f>IF(ISNA(MATCH(AI$2,Inputs!$K$4:$AJ$4,0)),NA(),IF(SUMPRODUCT((Inputs!$A$5:$A$130=$B7)*ISNUMBER(INDEX(Inputs!$K$5:$AJ$130,0,MATCH(AI$2,Inputs!$K$4:$AJ$4,0))))+SUMPRODUCT((Inputs!$C$5:$C$130=$B7)*ISNUMBER(INDEX(Inputs!$K$5:$AJ$130,0,MATCH(AI$2,Inputs!$K$4:$AJ$4,0))))+SUMPRODUCT((Inputs!$E$5:$E$130=$B7)*ISNUMBER(INDEX(Inputs!$K$5:$AJ$130,0,MATCH(AI$2,Inputs!$K$4:$AJ$4,0))))=0,NA(),SUMPRODUCT((Inputs!$A$5:$A$130=$B7)*Inputs!$B$5:$B$130*(((Inputs!$G$5:$G$130="moeda")+(Inputs!$G$5:$G$130="acoes"))*Inputs!$B$1+((Inputs!$G$5:$G$130&lt;&gt;"moeda")*(Inputs!$G$5:$G$130&lt;&gt;"acoes")))*INDEX(Inputs!$K$5:$AJ$130,0,MATCH(AI$2,Inputs!$K$4:$AJ$4,0)))+SUMPRODUCT((Inputs!$C$5:$C$130=$B7)*Inputs!$D$5:$D$130*(((Inputs!$G$5:$G$130="moeda")+(Inputs!$G$5:$G$130="acoes"))*Inputs!$B$1+((Inputs!$G$5:$G$130&lt;&gt;"moeda")*(Inputs!$G$5:$G$130&lt;&gt;"acoes")))*INDEX(Inputs!$K$5:$AJ$130,0,MATCH(AI$2,Inputs!$K$4:$AJ$4,0)))+SUMPRODUCT((Inputs!$E$5:$E$130=$B7)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7" s="265" t="e">
        <f>IF(ISNA(MATCH(AJ$2,Inputs!$K$4:$AJ$4,0)),NA(),IF(SUMPRODUCT((Inputs!$A$5:$A$130=$B7)*ISNUMBER(INDEX(Inputs!$K$5:$AJ$130,0,MATCH(AJ$2,Inputs!$K$4:$AJ$4,0))))+SUMPRODUCT((Inputs!$C$5:$C$130=$B7)*ISNUMBER(INDEX(Inputs!$K$5:$AJ$130,0,MATCH(AJ$2,Inputs!$K$4:$AJ$4,0))))+SUMPRODUCT((Inputs!$E$5:$E$130=$B7)*ISNUMBER(INDEX(Inputs!$K$5:$AJ$130,0,MATCH(AJ$2,Inputs!$K$4:$AJ$4,0))))=0,NA(),SUMPRODUCT((Inputs!$A$5:$A$130=$B7)*Inputs!$B$5:$B$130*(((Inputs!$G$5:$G$130="moeda")+(Inputs!$G$5:$G$130="acoes"))*Inputs!$B$1+((Inputs!$G$5:$G$130&lt;&gt;"moeda")*(Inputs!$G$5:$G$130&lt;&gt;"acoes")))*INDEX(Inputs!$K$5:$AJ$130,0,MATCH(AJ$2,Inputs!$K$4:$AJ$4,0)))+SUMPRODUCT((Inputs!$C$5:$C$130=$B7)*Inputs!$D$5:$D$130*(((Inputs!$G$5:$G$130="moeda")+(Inputs!$G$5:$G$130="acoes"))*Inputs!$B$1+((Inputs!$G$5:$G$130&lt;&gt;"moeda")*(Inputs!$G$5:$G$130&lt;&gt;"acoes")))*INDEX(Inputs!$K$5:$AJ$130,0,MATCH(AJ$2,Inputs!$K$4:$AJ$4,0)))+SUMPRODUCT((Inputs!$E$5:$E$130=$B7)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7" s="265" t="e">
        <f>IF(ISNA(MATCH(AK$2,Inputs!$K$4:$AJ$4,0)),NA(),IF(SUMPRODUCT((Inputs!$A$5:$A$130=$B7)*ISNUMBER(INDEX(Inputs!$K$5:$AJ$130,0,MATCH(AK$2,Inputs!$K$4:$AJ$4,0))))+SUMPRODUCT((Inputs!$C$5:$C$130=$B7)*ISNUMBER(INDEX(Inputs!$K$5:$AJ$130,0,MATCH(AK$2,Inputs!$K$4:$AJ$4,0))))+SUMPRODUCT((Inputs!$E$5:$E$130=$B7)*ISNUMBER(INDEX(Inputs!$K$5:$AJ$130,0,MATCH(AK$2,Inputs!$K$4:$AJ$4,0))))=0,NA(),SUMPRODUCT((Inputs!$A$5:$A$130=$B7)*Inputs!$B$5:$B$130*(((Inputs!$G$5:$G$130="moeda")+(Inputs!$G$5:$G$130="acoes"))*Inputs!$B$1+((Inputs!$G$5:$G$130&lt;&gt;"moeda")*(Inputs!$G$5:$G$130&lt;&gt;"acoes")))*INDEX(Inputs!$K$5:$AJ$130,0,MATCH(AK$2,Inputs!$K$4:$AJ$4,0)))+SUMPRODUCT((Inputs!$C$5:$C$130=$B7)*Inputs!$D$5:$D$130*(((Inputs!$G$5:$G$130="moeda")+(Inputs!$G$5:$G$130="acoes"))*Inputs!$B$1+((Inputs!$G$5:$G$130&lt;&gt;"moeda")*(Inputs!$G$5:$G$130&lt;&gt;"acoes")))*INDEX(Inputs!$K$5:$AJ$130,0,MATCH(AK$2,Inputs!$K$4:$AJ$4,0)))+SUMPRODUCT((Inputs!$E$5:$E$130=$B7)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7" s="266" t="e">
        <f>SUM(AH7:AK7)</f>
        <v>#N/A</v>
      </c>
    </row>
    <row r="8" ht="12.75" customHeight="1" s="254">
      <c r="B8" s="263" t="n">
        <v>5</v>
      </c>
      <c r="C8" s="268" t="inlineStr">
        <is>
          <t>Interest Expense</t>
        </is>
      </c>
      <c r="D8" s="265">
        <f>IF(ISNA(MATCH(D$2,Inputs!$K$4:$AJ$4,0)),NA(),IF(SUMPRODUCT((Inputs!$A$5:$A$130=$B8)*ISNUMBER(INDEX(Inputs!$K$5:$AJ$130,0,MATCH(D$2,Inputs!$K$4:$AJ$4,0))))+SUMPRODUCT((Inputs!$C$5:$C$130=$B8)*ISNUMBER(INDEX(Inputs!$K$5:$AJ$130,0,MATCH(D$2,Inputs!$K$4:$AJ$4,0))))+SUMPRODUCT((Inputs!$E$5:$E$130=$B8)*ISNUMBER(INDEX(Inputs!$K$5:$AJ$130,0,MATCH(D$2,Inputs!$K$4:$AJ$4,0))))=0,NA(),SUMPRODUCT((Inputs!$A$5:$A$130=$B8)*Inputs!$B$5:$B$130*(((Inputs!$G$5:$G$130="moeda")+(Inputs!$G$5:$G$130="acoes"))*Inputs!$B$1+((Inputs!$G$5:$G$130&lt;&gt;"moeda")*(Inputs!$G$5:$G$130&lt;&gt;"acoes")))*INDEX(Inputs!$K$5:$AJ$130,0,MATCH(D$2,Inputs!$K$4:$AJ$4,0)))+SUMPRODUCT((Inputs!$C$5:$C$130=$B8)*Inputs!$D$5:$D$130*(((Inputs!$G$5:$G$130="moeda")+(Inputs!$G$5:$G$130="acoes"))*Inputs!$B$1+((Inputs!$G$5:$G$130&lt;&gt;"moeda")*(Inputs!$G$5:$G$130&lt;&gt;"acoes")))*INDEX(Inputs!$K$5:$AJ$130,0,MATCH(D$2,Inputs!$K$4:$AJ$4,0)))+SUMPRODUCT((Inputs!$E$5:$E$130=$B8)*Inputs!$F$5:$F$130*(((Inputs!$G$5:$G$130="moeda")+(Inputs!$G$5:$G$130="acoes"))*Inputs!$B$1+((Inputs!$G$5:$G$130&lt;&gt;"moeda")*(Inputs!$G$5:$G$130&lt;&gt;"acoes")))*INDEX(Inputs!$K$5:$AJ$130,0,MATCH(D$2,Inputs!$K$4:$AJ$4,0)))))</f>
        <v>-892</v>
      </c>
      <c r="E8" s="265">
        <f>IF(ISNA(MATCH(E$2,Inputs!$K$4:$AJ$4,0)),NA(),IF(SUMPRODUCT((Inputs!$A$5:$A$130=$B8)*ISNUMBER(INDEX(Inputs!$K$5:$AJ$130,0,MATCH(E$2,Inputs!$K$4:$AJ$4,0))))+SUMPRODUCT((Inputs!$C$5:$C$130=$B8)*ISNUMBER(INDEX(Inputs!$K$5:$AJ$130,0,MATCH(E$2,Inputs!$K$4:$AJ$4,0))))+SUMPRODUCT((Inputs!$E$5:$E$130=$B8)*ISNUMBER(INDEX(Inputs!$K$5:$AJ$130,0,MATCH(E$2,Inputs!$K$4:$AJ$4,0))))=0,NA(),SUMPRODUCT((Inputs!$A$5:$A$130=$B8)*Inputs!$B$5:$B$130*(((Inputs!$G$5:$G$130="moeda")+(Inputs!$G$5:$G$130="acoes"))*Inputs!$B$1+((Inputs!$G$5:$G$130&lt;&gt;"moeda")*(Inputs!$G$5:$G$130&lt;&gt;"acoes")))*INDEX(Inputs!$K$5:$AJ$130,0,MATCH(E$2,Inputs!$K$4:$AJ$4,0)))+SUMPRODUCT((Inputs!$C$5:$C$130=$B8)*Inputs!$D$5:$D$130*(((Inputs!$G$5:$G$130="moeda")+(Inputs!$G$5:$G$130="acoes"))*Inputs!$B$1+((Inputs!$G$5:$G$130&lt;&gt;"moeda")*(Inputs!$G$5:$G$130&lt;&gt;"acoes")))*INDEX(Inputs!$K$5:$AJ$130,0,MATCH(E$2,Inputs!$K$4:$AJ$4,0)))+SUMPRODUCT((Inputs!$E$5:$E$130=$B8)*Inputs!$F$5:$F$130*(((Inputs!$G$5:$G$130="moeda")+(Inputs!$G$5:$G$130="acoes"))*Inputs!$B$1+((Inputs!$G$5:$G$130&lt;&gt;"moeda")*(Inputs!$G$5:$G$130&lt;&gt;"acoes")))*INDEX(Inputs!$K$5:$AJ$130,0,MATCH(E$2,Inputs!$K$4:$AJ$4,0)))))</f>
        <v>-893</v>
      </c>
      <c r="F8" s="265">
        <f>IF(ISNA(MATCH(F$2,Inputs!$K$4:$AJ$4,0)),NA(),IF(SUMPRODUCT((Inputs!$A$5:$A$130=$B8)*ISNUMBER(INDEX(Inputs!$K$5:$AJ$130,0,MATCH(F$2,Inputs!$K$4:$AJ$4,0))))+SUMPRODUCT((Inputs!$C$5:$C$130=$B8)*ISNUMBER(INDEX(Inputs!$K$5:$AJ$130,0,MATCH(F$2,Inputs!$K$4:$AJ$4,0))))+SUMPRODUCT((Inputs!$E$5:$E$130=$B8)*ISNUMBER(INDEX(Inputs!$K$5:$AJ$130,0,MATCH(F$2,Inputs!$K$4:$AJ$4,0))))=0,NA(),SUMPRODUCT((Inputs!$A$5:$A$130=$B8)*Inputs!$B$5:$B$130*(((Inputs!$G$5:$G$130="moeda")+(Inputs!$G$5:$G$130="acoes"))*Inputs!$B$1+((Inputs!$G$5:$G$130&lt;&gt;"moeda")*(Inputs!$G$5:$G$130&lt;&gt;"acoes")))*INDEX(Inputs!$K$5:$AJ$130,0,MATCH(F$2,Inputs!$K$4:$AJ$4,0)))+SUMPRODUCT((Inputs!$C$5:$C$130=$B8)*Inputs!$D$5:$D$130*(((Inputs!$G$5:$G$130="moeda")+(Inputs!$G$5:$G$130="acoes"))*Inputs!$B$1+((Inputs!$G$5:$G$130&lt;&gt;"moeda")*(Inputs!$G$5:$G$130&lt;&gt;"acoes")))*INDEX(Inputs!$K$5:$AJ$130,0,MATCH(F$2,Inputs!$K$4:$AJ$4,0)))+SUMPRODUCT((Inputs!$E$5:$E$130=$B8)*Inputs!$F$5:$F$130*(((Inputs!$G$5:$G$130="moeda")+(Inputs!$G$5:$G$130="acoes"))*Inputs!$B$1+((Inputs!$G$5:$G$130&lt;&gt;"moeda")*(Inputs!$G$5:$G$130&lt;&gt;"acoes")))*INDEX(Inputs!$K$5:$AJ$130,0,MATCH(F$2,Inputs!$K$4:$AJ$4,0)))))</f>
        <v>-859</v>
      </c>
      <c r="G8" s="265">
        <f>IF(ISNA(MATCH(G$2,Inputs!$K$4:$AJ$4,0)),NA(),IF(SUMPRODUCT((Inputs!$A$5:$A$130=$B8)*ISNUMBER(INDEX(Inputs!$K$5:$AJ$130,0,MATCH(G$2,Inputs!$K$4:$AJ$4,0))))+SUMPRODUCT((Inputs!$C$5:$C$130=$B8)*ISNUMBER(INDEX(Inputs!$K$5:$AJ$130,0,MATCH(G$2,Inputs!$K$4:$AJ$4,0))))+SUMPRODUCT((Inputs!$E$5:$E$130=$B8)*ISNUMBER(INDEX(Inputs!$K$5:$AJ$130,0,MATCH(G$2,Inputs!$K$4:$AJ$4,0))))=0,NA(),SUMPRODUCT((Inputs!$A$5:$A$130=$B8)*Inputs!$B$5:$B$130*(((Inputs!$G$5:$G$130="moeda")+(Inputs!$G$5:$G$130="acoes"))*Inputs!$B$1+((Inputs!$G$5:$G$130&lt;&gt;"moeda")*(Inputs!$G$5:$G$130&lt;&gt;"acoes")))*INDEX(Inputs!$K$5:$AJ$130,0,MATCH(G$2,Inputs!$K$4:$AJ$4,0)))+SUMPRODUCT((Inputs!$C$5:$C$130=$B8)*Inputs!$D$5:$D$130*(((Inputs!$G$5:$G$130="moeda")+(Inputs!$G$5:$G$130="acoes"))*Inputs!$B$1+((Inputs!$G$5:$G$130&lt;&gt;"moeda")*(Inputs!$G$5:$G$130&lt;&gt;"acoes")))*INDEX(Inputs!$K$5:$AJ$130,0,MATCH(G$2,Inputs!$K$4:$AJ$4,0)))+SUMPRODUCT((Inputs!$E$5:$E$130=$B8)*Inputs!$F$5:$F$130*(((Inputs!$G$5:$G$130="moeda")+(Inputs!$G$5:$G$130="acoes"))*Inputs!$B$1+((Inputs!$G$5:$G$130&lt;&gt;"moeda")*(Inputs!$G$5:$G$130&lt;&gt;"acoes")))*INDEX(Inputs!$K$5:$AJ$130,0,MATCH(G$2,Inputs!$K$4:$AJ$4,0)))))</f>
        <v>-963</v>
      </c>
      <c r="H8" s="266">
        <f>SUM(D8:G8)</f>
        <v>-3607</v>
      </c>
      <c r="I8" s="265">
        <f>IF(ISNA(MATCH(I$2,Inputs!$K$4:$AJ$4,0)),NA(),IF(SUMPRODUCT((Inputs!$A$5:$A$130=$B8)*ISNUMBER(INDEX(Inputs!$K$5:$AJ$130,0,MATCH(I$2,Inputs!$K$4:$AJ$4,0))))+SUMPRODUCT((Inputs!$C$5:$C$130=$B8)*ISNUMBER(INDEX(Inputs!$K$5:$AJ$130,0,MATCH(I$2,Inputs!$K$4:$AJ$4,0))))+SUMPRODUCT((Inputs!$E$5:$E$130=$B8)*ISNUMBER(INDEX(Inputs!$K$5:$AJ$130,0,MATCH(I$2,Inputs!$K$4:$AJ$4,0))))=0,NA(),SUMPRODUCT((Inputs!$A$5:$A$130=$B8)*Inputs!$B$5:$B$130*(((Inputs!$G$5:$G$130="moeda")+(Inputs!$G$5:$G$130="acoes"))*Inputs!$B$1+((Inputs!$G$5:$G$130&lt;&gt;"moeda")*(Inputs!$G$5:$G$130&lt;&gt;"acoes")))*INDEX(Inputs!$K$5:$AJ$130,0,MATCH(I$2,Inputs!$K$4:$AJ$4,0)))+SUMPRODUCT((Inputs!$C$5:$C$130=$B8)*Inputs!$D$5:$D$130*(((Inputs!$G$5:$G$130="moeda")+(Inputs!$G$5:$G$130="acoes"))*Inputs!$B$1+((Inputs!$G$5:$G$130&lt;&gt;"moeda")*(Inputs!$G$5:$G$130&lt;&gt;"acoes")))*INDEX(Inputs!$K$5:$AJ$130,0,MATCH(I$2,Inputs!$K$4:$AJ$4,0)))+SUMPRODUCT((Inputs!$E$5:$E$130=$B8)*Inputs!$F$5:$F$130*(((Inputs!$G$5:$G$130="moeda")+(Inputs!$G$5:$G$130="acoes"))*Inputs!$B$1+((Inputs!$G$5:$G$130&lt;&gt;"moeda")*(Inputs!$G$5:$G$130&lt;&gt;"acoes")))*INDEX(Inputs!$K$5:$AJ$130,0,MATCH(I$2,Inputs!$K$4:$AJ$4,0)))))</f>
        <v>-711</v>
      </c>
      <c r="J8" s="265">
        <f>IF(ISNA(MATCH(J$2,Inputs!$K$4:$AJ$4,0)),NA(),IF(SUMPRODUCT((Inputs!$A$5:$A$130=$B8)*ISNUMBER(INDEX(Inputs!$K$5:$AJ$130,0,MATCH(J$2,Inputs!$K$4:$AJ$4,0))))+SUMPRODUCT((Inputs!$C$5:$C$130=$B8)*ISNUMBER(INDEX(Inputs!$K$5:$AJ$130,0,MATCH(J$2,Inputs!$K$4:$AJ$4,0))))+SUMPRODUCT((Inputs!$E$5:$E$130=$B8)*ISNUMBER(INDEX(Inputs!$K$5:$AJ$130,0,MATCH(J$2,Inputs!$K$4:$AJ$4,0))))=0,NA(),SUMPRODUCT((Inputs!$A$5:$A$130=$B8)*Inputs!$B$5:$B$130*(((Inputs!$G$5:$G$130="moeda")+(Inputs!$G$5:$G$130="acoes"))*Inputs!$B$1+((Inputs!$G$5:$G$130&lt;&gt;"moeda")*(Inputs!$G$5:$G$130&lt;&gt;"acoes")))*INDEX(Inputs!$K$5:$AJ$130,0,MATCH(J$2,Inputs!$K$4:$AJ$4,0)))+SUMPRODUCT((Inputs!$C$5:$C$130=$B8)*Inputs!$D$5:$D$130*(((Inputs!$G$5:$G$130="moeda")+(Inputs!$G$5:$G$130="acoes"))*Inputs!$B$1+((Inputs!$G$5:$G$130&lt;&gt;"moeda")*(Inputs!$G$5:$G$130&lt;&gt;"acoes")))*INDEX(Inputs!$K$5:$AJ$130,0,MATCH(J$2,Inputs!$K$4:$AJ$4,0)))+SUMPRODUCT((Inputs!$E$5:$E$130=$B8)*Inputs!$F$5:$F$130*(((Inputs!$G$5:$G$130="moeda")+(Inputs!$G$5:$G$130="acoes"))*Inputs!$B$1+((Inputs!$G$5:$G$130&lt;&gt;"moeda")*(Inputs!$G$5:$G$130&lt;&gt;"acoes")))*INDEX(Inputs!$K$5:$AJ$130,0,MATCH(J$2,Inputs!$K$4:$AJ$4,0)))))</f>
        <v>-695</v>
      </c>
      <c r="K8" s="265">
        <f>IF(ISNA(MATCH(K$2,Inputs!$K$4:$AJ$4,0)),NA(),IF(SUMPRODUCT((Inputs!$A$5:$A$130=$B8)*ISNUMBER(INDEX(Inputs!$K$5:$AJ$130,0,MATCH(K$2,Inputs!$K$4:$AJ$4,0))))+SUMPRODUCT((Inputs!$C$5:$C$130=$B8)*ISNUMBER(INDEX(Inputs!$K$5:$AJ$130,0,MATCH(K$2,Inputs!$K$4:$AJ$4,0))))+SUMPRODUCT((Inputs!$E$5:$E$130=$B8)*ISNUMBER(INDEX(Inputs!$K$5:$AJ$130,0,MATCH(K$2,Inputs!$K$4:$AJ$4,0))))=0,NA(),SUMPRODUCT((Inputs!$A$5:$A$130=$B8)*Inputs!$B$5:$B$130*(((Inputs!$G$5:$G$130="moeda")+(Inputs!$G$5:$G$130="acoes"))*Inputs!$B$1+((Inputs!$G$5:$G$130&lt;&gt;"moeda")*(Inputs!$G$5:$G$130&lt;&gt;"acoes")))*INDEX(Inputs!$K$5:$AJ$130,0,MATCH(K$2,Inputs!$K$4:$AJ$4,0)))+SUMPRODUCT((Inputs!$C$5:$C$130=$B8)*Inputs!$D$5:$D$130*(((Inputs!$G$5:$G$130="moeda")+(Inputs!$G$5:$G$130="acoes"))*Inputs!$B$1+((Inputs!$G$5:$G$130&lt;&gt;"moeda")*(Inputs!$G$5:$G$130&lt;&gt;"acoes")))*INDEX(Inputs!$K$5:$AJ$130,0,MATCH(K$2,Inputs!$K$4:$AJ$4,0)))+SUMPRODUCT((Inputs!$E$5:$E$130=$B8)*Inputs!$F$5:$F$130*(((Inputs!$G$5:$G$130="moeda")+(Inputs!$G$5:$G$130="acoes"))*Inputs!$B$1+((Inputs!$G$5:$G$130&lt;&gt;"moeda")*(Inputs!$G$5:$G$130&lt;&gt;"acoes")))*INDEX(Inputs!$K$5:$AJ$130,0,MATCH(K$2,Inputs!$K$4:$AJ$4,0)))))</f>
        <v>-734</v>
      </c>
      <c r="L8" s="265">
        <f>IF(ISNA(MATCH(L$2,Inputs!$K$4:$AJ$4,0)),NA(),IF(SUMPRODUCT((Inputs!$A$5:$A$130=$B8)*ISNUMBER(INDEX(Inputs!$K$5:$AJ$130,0,MATCH(L$2,Inputs!$K$4:$AJ$4,0))))+SUMPRODUCT((Inputs!$C$5:$C$130=$B8)*ISNUMBER(INDEX(Inputs!$K$5:$AJ$130,0,MATCH(L$2,Inputs!$K$4:$AJ$4,0))))+SUMPRODUCT((Inputs!$E$5:$E$130=$B8)*ISNUMBER(INDEX(Inputs!$K$5:$AJ$130,0,MATCH(L$2,Inputs!$K$4:$AJ$4,0))))=0,NA(),SUMPRODUCT((Inputs!$A$5:$A$130=$B8)*Inputs!$B$5:$B$130*(((Inputs!$G$5:$G$130="moeda")+(Inputs!$G$5:$G$130="acoes"))*Inputs!$B$1+((Inputs!$G$5:$G$130&lt;&gt;"moeda")*(Inputs!$G$5:$G$130&lt;&gt;"acoes")))*INDEX(Inputs!$K$5:$AJ$130,0,MATCH(L$2,Inputs!$K$4:$AJ$4,0)))+SUMPRODUCT((Inputs!$C$5:$C$130=$B8)*Inputs!$D$5:$D$130*(((Inputs!$G$5:$G$130="moeda")+(Inputs!$G$5:$G$130="acoes"))*Inputs!$B$1+((Inputs!$G$5:$G$130&lt;&gt;"moeda")*(Inputs!$G$5:$G$130&lt;&gt;"acoes")))*INDEX(Inputs!$K$5:$AJ$130,0,MATCH(L$2,Inputs!$K$4:$AJ$4,0)))+SUMPRODUCT((Inputs!$E$5:$E$130=$B8)*Inputs!$F$5:$F$130*(((Inputs!$G$5:$G$130="moeda")+(Inputs!$G$5:$G$130="acoes"))*Inputs!$B$1+((Inputs!$G$5:$G$130&lt;&gt;"moeda")*(Inputs!$G$5:$G$130&lt;&gt;"acoes")))*INDEX(Inputs!$K$5:$AJ$130,0,MATCH(L$2,Inputs!$K$4:$AJ$4,0)))))</f>
        <v>-1040</v>
      </c>
      <c r="M8" s="266">
        <f>SUM(I8:L8)</f>
        <v>-3180</v>
      </c>
      <c r="N8" s="265">
        <f>IF(ISNA(MATCH(N$2,Inputs!$K$4:$AJ$4,0)),NA(),IF(SUMPRODUCT((Inputs!$A$5:$A$130=$B8)*ISNUMBER(INDEX(Inputs!$K$5:$AJ$130,0,MATCH(N$2,Inputs!$K$4:$AJ$4,0))))+SUMPRODUCT((Inputs!$C$5:$C$130=$B8)*ISNUMBER(INDEX(Inputs!$K$5:$AJ$130,0,MATCH(N$2,Inputs!$K$4:$AJ$4,0))))+SUMPRODUCT((Inputs!$E$5:$E$130=$B8)*ISNUMBER(INDEX(Inputs!$K$5:$AJ$130,0,MATCH(N$2,Inputs!$K$4:$AJ$4,0))))=0,NA(),SUMPRODUCT((Inputs!$A$5:$A$130=$B8)*Inputs!$B$5:$B$130*(((Inputs!$G$5:$G$130="moeda")+(Inputs!$G$5:$G$130="acoes"))*Inputs!$B$1+((Inputs!$G$5:$G$130&lt;&gt;"moeda")*(Inputs!$G$5:$G$130&lt;&gt;"acoes")))*INDEX(Inputs!$K$5:$AJ$130,0,MATCH(N$2,Inputs!$K$4:$AJ$4,0)))+SUMPRODUCT((Inputs!$C$5:$C$130=$B8)*Inputs!$D$5:$D$130*(((Inputs!$G$5:$G$130="moeda")+(Inputs!$G$5:$G$130="acoes"))*Inputs!$B$1+((Inputs!$G$5:$G$130&lt;&gt;"moeda")*(Inputs!$G$5:$G$130&lt;&gt;"acoes")))*INDEX(Inputs!$K$5:$AJ$130,0,MATCH(N$2,Inputs!$K$4:$AJ$4,0)))+SUMPRODUCT((Inputs!$E$5:$E$130=$B8)*Inputs!$F$5:$F$130*(((Inputs!$G$5:$G$130="moeda")+(Inputs!$G$5:$G$130="acoes"))*Inputs!$B$1+((Inputs!$G$5:$G$130&lt;&gt;"moeda")*(Inputs!$G$5:$G$130&lt;&gt;"acoes")))*INDEX(Inputs!$K$5:$AJ$130,0,MATCH(N$2,Inputs!$K$4:$AJ$4,0)))))</f>
        <v>-1165</v>
      </c>
      <c r="O8" s="265">
        <f>IF(ISNA(MATCH(O$2,Inputs!$K$4:$AJ$4,0)),NA(),IF(SUMPRODUCT((Inputs!$A$5:$A$130=$B8)*ISNUMBER(INDEX(Inputs!$K$5:$AJ$130,0,MATCH(O$2,Inputs!$K$4:$AJ$4,0))))+SUMPRODUCT((Inputs!$C$5:$C$130=$B8)*ISNUMBER(INDEX(Inputs!$K$5:$AJ$130,0,MATCH(O$2,Inputs!$K$4:$AJ$4,0))))+SUMPRODUCT((Inputs!$E$5:$E$130=$B8)*ISNUMBER(INDEX(Inputs!$K$5:$AJ$130,0,MATCH(O$2,Inputs!$K$4:$AJ$4,0))))=0,NA(),SUMPRODUCT((Inputs!$A$5:$A$130=$B8)*Inputs!$B$5:$B$130*(((Inputs!$G$5:$G$130="moeda")+(Inputs!$G$5:$G$130="acoes"))*Inputs!$B$1+((Inputs!$G$5:$G$130&lt;&gt;"moeda")*(Inputs!$G$5:$G$130&lt;&gt;"acoes")))*INDEX(Inputs!$K$5:$AJ$130,0,MATCH(O$2,Inputs!$K$4:$AJ$4,0)))+SUMPRODUCT((Inputs!$C$5:$C$130=$B8)*Inputs!$D$5:$D$130*(((Inputs!$G$5:$G$130="moeda")+(Inputs!$G$5:$G$130="acoes"))*Inputs!$B$1+((Inputs!$G$5:$G$130&lt;&gt;"moeda")*(Inputs!$G$5:$G$130&lt;&gt;"acoes")))*INDEX(Inputs!$K$5:$AJ$130,0,MATCH(O$2,Inputs!$K$4:$AJ$4,0)))+SUMPRODUCT((Inputs!$E$5:$E$130=$B8)*Inputs!$F$5:$F$130*(((Inputs!$G$5:$G$130="moeda")+(Inputs!$G$5:$G$130="acoes"))*Inputs!$B$1+((Inputs!$G$5:$G$130&lt;&gt;"moeda")*(Inputs!$G$5:$G$130&lt;&gt;"acoes")))*INDEX(Inputs!$K$5:$AJ$130,0,MATCH(O$2,Inputs!$K$4:$AJ$4,0)))))</f>
        <v>-1211</v>
      </c>
      <c r="P8" s="265">
        <f>IF(ISNA(MATCH(P$2,Inputs!$K$4:$AJ$4,0)),NA(),IF(SUMPRODUCT((Inputs!$A$5:$A$130=$B8)*ISNUMBER(INDEX(Inputs!$K$5:$AJ$130,0,MATCH(P$2,Inputs!$K$4:$AJ$4,0))))+SUMPRODUCT((Inputs!$C$5:$C$130=$B8)*ISNUMBER(INDEX(Inputs!$K$5:$AJ$130,0,MATCH(P$2,Inputs!$K$4:$AJ$4,0))))+SUMPRODUCT((Inputs!$E$5:$E$130=$B8)*ISNUMBER(INDEX(Inputs!$K$5:$AJ$130,0,MATCH(P$2,Inputs!$K$4:$AJ$4,0))))=0,NA(),SUMPRODUCT((Inputs!$A$5:$A$130=$B8)*Inputs!$B$5:$B$130*(((Inputs!$G$5:$G$130="moeda")+(Inputs!$G$5:$G$130="acoes"))*Inputs!$B$1+((Inputs!$G$5:$G$130&lt;&gt;"moeda")*(Inputs!$G$5:$G$130&lt;&gt;"acoes")))*INDEX(Inputs!$K$5:$AJ$130,0,MATCH(P$2,Inputs!$K$4:$AJ$4,0)))+SUMPRODUCT((Inputs!$C$5:$C$130=$B8)*Inputs!$D$5:$D$130*(((Inputs!$G$5:$G$130="moeda")+(Inputs!$G$5:$G$130="acoes"))*Inputs!$B$1+((Inputs!$G$5:$G$130&lt;&gt;"moeda")*(Inputs!$G$5:$G$130&lt;&gt;"acoes")))*INDEX(Inputs!$K$5:$AJ$130,0,MATCH(P$2,Inputs!$K$4:$AJ$4,0)))+SUMPRODUCT((Inputs!$E$5:$E$130=$B8)*Inputs!$F$5:$F$130*(((Inputs!$G$5:$G$130="moeda")+(Inputs!$G$5:$G$130="acoes"))*Inputs!$B$1+((Inputs!$G$5:$G$130&lt;&gt;"moeda")*(Inputs!$G$5:$G$130&lt;&gt;"acoes")))*INDEX(Inputs!$K$5:$AJ$130,0,MATCH(P$2,Inputs!$K$4:$AJ$4,0)))))</f>
        <v>-1131</v>
      </c>
      <c r="Q8" s="265">
        <f>IF(ISNA(MATCH(Q$2,Inputs!$K$4:$AJ$4,0)),NA(),IF(SUMPRODUCT((Inputs!$A$5:$A$130=$B8)*ISNUMBER(INDEX(Inputs!$K$5:$AJ$130,0,MATCH(Q$2,Inputs!$K$4:$AJ$4,0))))+SUMPRODUCT((Inputs!$C$5:$C$130=$B8)*ISNUMBER(INDEX(Inputs!$K$5:$AJ$130,0,MATCH(Q$2,Inputs!$K$4:$AJ$4,0))))+SUMPRODUCT((Inputs!$E$5:$E$130=$B8)*ISNUMBER(INDEX(Inputs!$K$5:$AJ$130,0,MATCH(Q$2,Inputs!$K$4:$AJ$4,0))))=0,NA(),SUMPRODUCT((Inputs!$A$5:$A$130=$B8)*Inputs!$B$5:$B$130*(((Inputs!$G$5:$G$130="moeda")+(Inputs!$G$5:$G$130="acoes"))*Inputs!$B$1+((Inputs!$G$5:$G$130&lt;&gt;"moeda")*(Inputs!$G$5:$G$130&lt;&gt;"acoes")))*INDEX(Inputs!$K$5:$AJ$130,0,MATCH(Q$2,Inputs!$K$4:$AJ$4,0)))+SUMPRODUCT((Inputs!$C$5:$C$130=$B8)*Inputs!$D$5:$D$130*(((Inputs!$G$5:$G$130="moeda")+(Inputs!$G$5:$G$130="acoes"))*Inputs!$B$1+((Inputs!$G$5:$G$130&lt;&gt;"moeda")*(Inputs!$G$5:$G$130&lt;&gt;"acoes")))*INDEX(Inputs!$K$5:$AJ$130,0,MATCH(Q$2,Inputs!$K$4:$AJ$4,0)))+SUMPRODUCT((Inputs!$E$5:$E$130=$B8)*Inputs!$F$5:$F$130*(((Inputs!$G$5:$G$130="moeda")+(Inputs!$G$5:$G$130="acoes"))*Inputs!$B$1+((Inputs!$G$5:$G$130&lt;&gt;"moeda")*(Inputs!$G$5:$G$130&lt;&gt;"acoes")))*INDEX(Inputs!$K$5:$AJ$130,0,MATCH(Q$2,Inputs!$K$4:$AJ$4,0)))))</f>
        <v>-1166</v>
      </c>
      <c r="R8" s="266">
        <f>SUM(N8:Q8)</f>
        <v>-4673</v>
      </c>
      <c r="S8" s="265">
        <f>IF(ISNA(MATCH(S$2,Inputs!$K$4:$AJ$4,0)),NA(),IF(SUMPRODUCT((Inputs!$A$5:$A$130=$B8)*ISNUMBER(INDEX(Inputs!$K$5:$AJ$130,0,MATCH(S$2,Inputs!$K$4:$AJ$4,0))))+SUMPRODUCT((Inputs!$C$5:$C$130=$B8)*ISNUMBER(INDEX(Inputs!$K$5:$AJ$130,0,MATCH(S$2,Inputs!$K$4:$AJ$4,0))))+SUMPRODUCT((Inputs!$E$5:$E$130=$B8)*ISNUMBER(INDEX(Inputs!$K$5:$AJ$130,0,MATCH(S$2,Inputs!$K$4:$AJ$4,0))))=0,NA(),SUMPRODUCT((Inputs!$A$5:$A$130=$B8)*Inputs!$B$5:$B$130*(((Inputs!$G$5:$G$130="moeda")+(Inputs!$G$5:$G$130="acoes"))*Inputs!$B$1+((Inputs!$G$5:$G$130&lt;&gt;"moeda")*(Inputs!$G$5:$G$130&lt;&gt;"acoes")))*INDEX(Inputs!$K$5:$AJ$130,0,MATCH(S$2,Inputs!$K$4:$AJ$4,0)))+SUMPRODUCT((Inputs!$C$5:$C$130=$B8)*Inputs!$D$5:$D$130*(((Inputs!$G$5:$G$130="moeda")+(Inputs!$G$5:$G$130="acoes"))*Inputs!$B$1+((Inputs!$G$5:$G$130&lt;&gt;"moeda")*(Inputs!$G$5:$G$130&lt;&gt;"acoes")))*INDEX(Inputs!$K$5:$AJ$130,0,MATCH(S$2,Inputs!$K$4:$AJ$4,0)))+SUMPRODUCT((Inputs!$E$5:$E$130=$B8)*Inputs!$F$5:$F$130*(((Inputs!$G$5:$G$130="moeda")+(Inputs!$G$5:$G$130="acoes"))*Inputs!$B$1+((Inputs!$G$5:$G$130&lt;&gt;"moeda")*(Inputs!$G$5:$G$130&lt;&gt;"acoes")))*INDEX(Inputs!$K$5:$AJ$130,0,MATCH(S$2,Inputs!$K$4:$AJ$4,0)))))</f>
        <v>-1164</v>
      </c>
      <c r="T8" s="265">
        <f>IF(ISNA(MATCH(T$2,Inputs!$K$4:$AJ$4,0)),NA(),IF(SUMPRODUCT((Inputs!$A$5:$A$130=$B8)*ISNUMBER(INDEX(Inputs!$K$5:$AJ$130,0,MATCH(T$2,Inputs!$K$4:$AJ$4,0))))+SUMPRODUCT((Inputs!$C$5:$C$130=$B8)*ISNUMBER(INDEX(Inputs!$K$5:$AJ$130,0,MATCH(T$2,Inputs!$K$4:$AJ$4,0))))+SUMPRODUCT((Inputs!$E$5:$E$130=$B8)*ISNUMBER(INDEX(Inputs!$K$5:$AJ$130,0,MATCH(T$2,Inputs!$K$4:$AJ$4,0))))=0,NA(),SUMPRODUCT((Inputs!$A$5:$A$130=$B8)*Inputs!$B$5:$B$130*(((Inputs!$G$5:$G$130="moeda")+(Inputs!$G$5:$G$130="acoes"))*Inputs!$B$1+((Inputs!$G$5:$G$130&lt;&gt;"moeda")*(Inputs!$G$5:$G$130&lt;&gt;"acoes")))*INDEX(Inputs!$K$5:$AJ$130,0,MATCH(T$2,Inputs!$K$4:$AJ$4,0)))+SUMPRODUCT((Inputs!$C$5:$C$130=$B8)*Inputs!$D$5:$D$130*(((Inputs!$G$5:$G$130="moeda")+(Inputs!$G$5:$G$130="acoes"))*Inputs!$B$1+((Inputs!$G$5:$G$130&lt;&gt;"moeda")*(Inputs!$G$5:$G$130&lt;&gt;"acoes")))*INDEX(Inputs!$K$5:$AJ$130,0,MATCH(T$2,Inputs!$K$4:$AJ$4,0)))+SUMPRODUCT((Inputs!$E$5:$E$130=$B8)*Inputs!$F$5:$F$130*(((Inputs!$G$5:$G$130="moeda")+(Inputs!$G$5:$G$130="acoes"))*Inputs!$B$1+((Inputs!$G$5:$G$130&lt;&gt;"moeda")*(Inputs!$G$5:$G$130&lt;&gt;"acoes")))*INDEX(Inputs!$K$5:$AJ$130,0,MATCH(T$2,Inputs!$K$4:$AJ$4,0)))))</f>
        <v>-1235</v>
      </c>
      <c r="U8" s="265">
        <f>IF(ISNA(MATCH(U$2,Inputs!$K$4:$AJ$4,0)),NA(),IF(SUMPRODUCT((Inputs!$A$5:$A$130=$B8)*ISNUMBER(INDEX(Inputs!$K$5:$AJ$130,0,MATCH(U$2,Inputs!$K$4:$AJ$4,0))))+SUMPRODUCT((Inputs!$C$5:$C$130=$B8)*ISNUMBER(INDEX(Inputs!$K$5:$AJ$130,0,MATCH(U$2,Inputs!$K$4:$AJ$4,0))))+SUMPRODUCT((Inputs!$E$5:$E$130=$B8)*ISNUMBER(INDEX(Inputs!$K$5:$AJ$130,0,MATCH(U$2,Inputs!$K$4:$AJ$4,0))))=0,NA(),SUMPRODUCT((Inputs!$A$5:$A$130=$B8)*Inputs!$B$5:$B$130*(((Inputs!$G$5:$G$130="moeda")+(Inputs!$G$5:$G$130="acoes"))*Inputs!$B$1+((Inputs!$G$5:$G$130&lt;&gt;"moeda")*(Inputs!$G$5:$G$130&lt;&gt;"acoes")))*INDEX(Inputs!$K$5:$AJ$130,0,MATCH(U$2,Inputs!$K$4:$AJ$4,0)))+SUMPRODUCT((Inputs!$C$5:$C$130=$B8)*Inputs!$D$5:$D$130*(((Inputs!$G$5:$G$130="moeda")+(Inputs!$G$5:$G$130="acoes"))*Inputs!$B$1+((Inputs!$G$5:$G$130&lt;&gt;"moeda")*(Inputs!$G$5:$G$130&lt;&gt;"acoes")))*INDEX(Inputs!$K$5:$AJ$130,0,MATCH(U$2,Inputs!$K$4:$AJ$4,0)))+SUMPRODUCT((Inputs!$E$5:$E$130=$B8)*Inputs!$F$5:$F$130*(((Inputs!$G$5:$G$130="moeda")+(Inputs!$G$5:$G$130="acoes"))*Inputs!$B$1+((Inputs!$G$5:$G$130&lt;&gt;"moeda")*(Inputs!$G$5:$G$130&lt;&gt;"acoes")))*INDEX(Inputs!$K$5:$AJ$130,0,MATCH(U$2,Inputs!$K$4:$AJ$4,0)))))</f>
        <v>-1174</v>
      </c>
      <c r="V8" s="265">
        <f>IF(ISNA(MATCH(V$2,Inputs!$K$4:$AJ$4,0)),NA(),IF(SUMPRODUCT((Inputs!$A$5:$A$130=$B8)*ISNUMBER(INDEX(Inputs!$K$5:$AJ$130,0,MATCH(V$2,Inputs!$K$4:$AJ$4,0))))+SUMPRODUCT((Inputs!$C$5:$C$130=$B8)*ISNUMBER(INDEX(Inputs!$K$5:$AJ$130,0,MATCH(V$2,Inputs!$K$4:$AJ$4,0))))+SUMPRODUCT((Inputs!$E$5:$E$130=$B8)*ISNUMBER(INDEX(Inputs!$K$5:$AJ$130,0,MATCH(V$2,Inputs!$K$4:$AJ$4,0))))=0,NA(),SUMPRODUCT((Inputs!$A$5:$A$130=$B8)*Inputs!$B$5:$B$130*(((Inputs!$G$5:$G$130="moeda")+(Inputs!$G$5:$G$130="acoes"))*Inputs!$B$1+((Inputs!$G$5:$G$130&lt;&gt;"moeda")*(Inputs!$G$5:$G$130&lt;&gt;"acoes")))*INDEX(Inputs!$K$5:$AJ$130,0,MATCH(V$2,Inputs!$K$4:$AJ$4,0)))+SUMPRODUCT((Inputs!$C$5:$C$130=$B8)*Inputs!$D$5:$D$130*(((Inputs!$G$5:$G$130="moeda")+(Inputs!$G$5:$G$130="acoes"))*Inputs!$B$1+((Inputs!$G$5:$G$130&lt;&gt;"moeda")*(Inputs!$G$5:$G$130&lt;&gt;"acoes")))*INDEX(Inputs!$K$5:$AJ$130,0,MATCH(V$2,Inputs!$K$4:$AJ$4,0)))+SUMPRODUCT((Inputs!$E$5:$E$130=$B8)*Inputs!$F$5:$F$130*(((Inputs!$G$5:$G$130="moeda")+(Inputs!$G$5:$G$130="acoes"))*Inputs!$B$1+((Inputs!$G$5:$G$130&lt;&gt;"moeda")*(Inputs!$G$5:$G$130&lt;&gt;"acoes")))*INDEX(Inputs!$K$5:$AJ$130,0,MATCH(V$2,Inputs!$K$4:$AJ$4,0)))))</f>
        <v>-1213</v>
      </c>
      <c r="W8" s="266">
        <f>SUM(S8:V8)</f>
        <v>-4786</v>
      </c>
      <c r="X8" s="265">
        <f>IF(ISNA(MATCH(X$2,Inputs!$K$4:$AJ$4,0)),NA(),IF(SUMPRODUCT((Inputs!$A$5:$A$130=$B8)*ISNUMBER(INDEX(Inputs!$K$5:$AJ$130,0,MATCH(X$2,Inputs!$K$4:$AJ$4,0))))+SUMPRODUCT((Inputs!$C$5:$C$130=$B8)*ISNUMBER(INDEX(Inputs!$K$5:$AJ$130,0,MATCH(X$2,Inputs!$K$4:$AJ$4,0))))+SUMPRODUCT((Inputs!$E$5:$E$130=$B8)*ISNUMBER(INDEX(Inputs!$K$5:$AJ$130,0,MATCH(X$2,Inputs!$K$4:$AJ$4,0))))=0,NA(),SUMPRODUCT((Inputs!$A$5:$A$130=$B8)*Inputs!$B$5:$B$130*(((Inputs!$G$5:$G$130="moeda")+(Inputs!$G$5:$G$130="acoes"))*Inputs!$B$1+((Inputs!$G$5:$G$130&lt;&gt;"moeda")*(Inputs!$G$5:$G$130&lt;&gt;"acoes")))*INDEX(Inputs!$K$5:$AJ$130,0,MATCH(X$2,Inputs!$K$4:$AJ$4,0)))+SUMPRODUCT((Inputs!$C$5:$C$130=$B8)*Inputs!$D$5:$D$130*(((Inputs!$G$5:$G$130="moeda")+(Inputs!$G$5:$G$130="acoes"))*Inputs!$B$1+((Inputs!$G$5:$G$130&lt;&gt;"moeda")*(Inputs!$G$5:$G$130&lt;&gt;"acoes")))*INDEX(Inputs!$K$5:$AJ$130,0,MATCH(X$2,Inputs!$K$4:$AJ$4,0)))+SUMPRODUCT((Inputs!$E$5:$E$130=$B8)*Inputs!$F$5:$F$130*(((Inputs!$G$5:$G$130="moeda")+(Inputs!$G$5:$G$130="acoes"))*Inputs!$B$1+((Inputs!$G$5:$G$130&lt;&gt;"moeda")*(Inputs!$G$5:$G$130&lt;&gt;"acoes")))*INDEX(Inputs!$K$5:$AJ$130,0,MATCH(X$2,Inputs!$K$4:$AJ$4,0)))))</f>
        <v>-1120</v>
      </c>
      <c r="Y8" s="265">
        <f>IF(ISNA(MATCH(Y$2,Inputs!$K$4:$AJ$4,0)),NA(),IF(SUMPRODUCT((Inputs!$A$5:$A$130=$B8)*ISNUMBER(INDEX(Inputs!$K$5:$AJ$130,0,MATCH(Y$2,Inputs!$K$4:$AJ$4,0))))+SUMPRODUCT((Inputs!$C$5:$C$130=$B8)*ISNUMBER(INDEX(Inputs!$K$5:$AJ$130,0,MATCH(Y$2,Inputs!$K$4:$AJ$4,0))))+SUMPRODUCT((Inputs!$E$5:$E$130=$B8)*ISNUMBER(INDEX(Inputs!$K$5:$AJ$130,0,MATCH(Y$2,Inputs!$K$4:$AJ$4,0))))=0,NA(),SUMPRODUCT((Inputs!$A$5:$A$130=$B8)*Inputs!$B$5:$B$130*(((Inputs!$G$5:$G$130="moeda")+(Inputs!$G$5:$G$130="acoes"))*Inputs!$B$1+((Inputs!$G$5:$G$130&lt;&gt;"moeda")*(Inputs!$G$5:$G$130&lt;&gt;"acoes")))*INDEX(Inputs!$K$5:$AJ$130,0,MATCH(Y$2,Inputs!$K$4:$AJ$4,0)))+SUMPRODUCT((Inputs!$C$5:$C$130=$B8)*Inputs!$D$5:$D$130*(((Inputs!$G$5:$G$130="moeda")+(Inputs!$G$5:$G$130="acoes"))*Inputs!$B$1+((Inputs!$G$5:$G$130&lt;&gt;"moeda")*(Inputs!$G$5:$G$130&lt;&gt;"acoes")))*INDEX(Inputs!$K$5:$AJ$130,0,MATCH(Y$2,Inputs!$K$4:$AJ$4,0)))+SUMPRODUCT((Inputs!$E$5:$E$130=$B8)*Inputs!$F$5:$F$130*(((Inputs!$G$5:$G$130="moeda")+(Inputs!$G$5:$G$130="acoes"))*Inputs!$B$1+((Inputs!$G$5:$G$130&lt;&gt;"moeda")*(Inputs!$G$5:$G$130&lt;&gt;"acoes")))*INDEX(Inputs!$K$5:$AJ$130,0,MATCH(Y$2,Inputs!$K$4:$AJ$4,0)))))</f>
        <v>-1075</v>
      </c>
      <c r="Z8" s="265">
        <f>IF(ISNA(MATCH(Z$2,Inputs!$K$4:$AJ$4,0)),NA(),IF(SUMPRODUCT((Inputs!$A$5:$A$130=$B8)*ISNUMBER(INDEX(Inputs!$K$5:$AJ$130,0,MATCH(Z$2,Inputs!$K$4:$AJ$4,0))))+SUMPRODUCT((Inputs!$C$5:$C$130=$B8)*ISNUMBER(INDEX(Inputs!$K$5:$AJ$130,0,MATCH(Z$2,Inputs!$K$4:$AJ$4,0))))+SUMPRODUCT((Inputs!$E$5:$E$130=$B8)*ISNUMBER(INDEX(Inputs!$K$5:$AJ$130,0,MATCH(Z$2,Inputs!$K$4:$AJ$4,0))))=0,NA(),SUMPRODUCT((Inputs!$A$5:$A$130=$B8)*Inputs!$B$5:$B$130*(((Inputs!$G$5:$G$130="moeda")+(Inputs!$G$5:$G$130="acoes"))*Inputs!$B$1+((Inputs!$G$5:$G$130&lt;&gt;"moeda")*(Inputs!$G$5:$G$130&lt;&gt;"acoes")))*INDEX(Inputs!$K$5:$AJ$130,0,MATCH(Z$2,Inputs!$K$4:$AJ$4,0)))+SUMPRODUCT((Inputs!$C$5:$C$130=$B8)*Inputs!$D$5:$D$130*(((Inputs!$G$5:$G$130="moeda")+(Inputs!$G$5:$G$130="acoes"))*Inputs!$B$1+((Inputs!$G$5:$G$130&lt;&gt;"moeda")*(Inputs!$G$5:$G$130&lt;&gt;"acoes")))*INDEX(Inputs!$K$5:$AJ$130,0,MATCH(Z$2,Inputs!$K$4:$AJ$4,0)))+SUMPRODUCT((Inputs!$E$5:$E$130=$B8)*Inputs!$F$5:$F$130*(((Inputs!$G$5:$G$130="moeda")+(Inputs!$G$5:$G$130="acoes"))*Inputs!$B$1+((Inputs!$G$5:$G$130&lt;&gt;"moeda")*(Inputs!$G$5:$G$130&lt;&gt;"acoes")))*INDEX(Inputs!$K$5:$AJ$130,0,MATCH(Z$2,Inputs!$K$4:$AJ$4,0)))))</f>
        <v>-1284</v>
      </c>
      <c r="AA8" s="265">
        <f>IF(ISNA(MATCH(AA$2,Inputs!$K$4:$AJ$4,0)),NA(),IF(SUMPRODUCT((Inputs!$A$5:$A$130=$B8)*ISNUMBER(INDEX(Inputs!$K$5:$AJ$130,0,MATCH(AA$2,Inputs!$K$4:$AJ$4,0))))+SUMPRODUCT((Inputs!$C$5:$C$130=$B8)*ISNUMBER(INDEX(Inputs!$K$5:$AJ$130,0,MATCH(AA$2,Inputs!$K$4:$AJ$4,0))))+SUMPRODUCT((Inputs!$E$5:$E$130=$B8)*ISNUMBER(INDEX(Inputs!$K$5:$AJ$130,0,MATCH(AA$2,Inputs!$K$4:$AJ$4,0))))=0,NA(),SUMPRODUCT((Inputs!$A$5:$A$130=$B8)*Inputs!$B$5:$B$130*(((Inputs!$G$5:$G$130="moeda")+(Inputs!$G$5:$G$130="acoes"))*Inputs!$B$1+((Inputs!$G$5:$G$130&lt;&gt;"moeda")*(Inputs!$G$5:$G$130&lt;&gt;"acoes")))*INDEX(Inputs!$K$5:$AJ$130,0,MATCH(AA$2,Inputs!$K$4:$AJ$4,0)))+SUMPRODUCT((Inputs!$C$5:$C$130=$B8)*Inputs!$D$5:$D$130*(((Inputs!$G$5:$G$130="moeda")+(Inputs!$G$5:$G$130="acoes"))*Inputs!$B$1+((Inputs!$G$5:$G$130&lt;&gt;"moeda")*(Inputs!$G$5:$G$130&lt;&gt;"acoes")))*INDEX(Inputs!$K$5:$AJ$130,0,MATCH(AA$2,Inputs!$K$4:$AJ$4,0)))+SUMPRODUCT((Inputs!$E$5:$E$130=$B8)*Inputs!$F$5:$F$130*(((Inputs!$G$5:$G$130="moeda")+(Inputs!$G$5:$G$130="acoes"))*Inputs!$B$1+((Inputs!$G$5:$G$130&lt;&gt;"moeda")*(Inputs!$G$5:$G$130&lt;&gt;"acoes")))*INDEX(Inputs!$K$5:$AJ$130,0,MATCH(AA$2,Inputs!$K$4:$AJ$4,0)))))</f>
        <v>-1193</v>
      </c>
      <c r="AB8" s="266">
        <f>SUM(X8:AA8)</f>
        <v>-4672</v>
      </c>
      <c r="AC8" s="265">
        <f>IF(ISNA(MATCH(AC$2,Inputs!$K$4:$AJ$4,0)),NA(),IF(SUMPRODUCT((Inputs!$A$5:$A$130=$B8)*ISNUMBER(INDEX(Inputs!$K$5:$AJ$130,0,MATCH(AC$2,Inputs!$K$4:$AJ$4,0))))+SUMPRODUCT((Inputs!$C$5:$C$130=$B8)*ISNUMBER(INDEX(Inputs!$K$5:$AJ$130,0,MATCH(AC$2,Inputs!$K$4:$AJ$4,0))))+SUMPRODUCT((Inputs!$E$5:$E$130=$B8)*ISNUMBER(INDEX(Inputs!$K$5:$AJ$130,0,MATCH(AC$2,Inputs!$K$4:$AJ$4,0))))=0,NA(),SUMPRODUCT((Inputs!$A$5:$A$130=$B8)*Inputs!$B$5:$B$130*(((Inputs!$G$5:$G$130="moeda")+(Inputs!$G$5:$G$130="acoes"))*Inputs!$B$1+((Inputs!$G$5:$G$130&lt;&gt;"moeda")*(Inputs!$G$5:$G$130&lt;&gt;"acoes")))*INDEX(Inputs!$K$5:$AJ$130,0,MATCH(AC$2,Inputs!$K$4:$AJ$4,0)))+SUMPRODUCT((Inputs!$C$5:$C$130=$B8)*Inputs!$D$5:$D$130*(((Inputs!$G$5:$G$130="moeda")+(Inputs!$G$5:$G$130="acoes"))*Inputs!$B$1+((Inputs!$G$5:$G$130&lt;&gt;"moeda")*(Inputs!$G$5:$G$130&lt;&gt;"acoes")))*INDEX(Inputs!$K$5:$AJ$130,0,MATCH(AC$2,Inputs!$K$4:$AJ$4,0)))+SUMPRODUCT((Inputs!$E$5:$E$130=$B8)*Inputs!$F$5:$F$130*(((Inputs!$G$5:$G$130="moeda")+(Inputs!$G$5:$G$130="acoes"))*Inputs!$B$1+((Inputs!$G$5:$G$130&lt;&gt;"moeda")*(Inputs!$G$5:$G$130&lt;&gt;"acoes")))*INDEX(Inputs!$K$5:$AJ$130,0,MATCH(AC$2,Inputs!$K$4:$AJ$4,0)))))</f>
        <v>-1473</v>
      </c>
      <c r="AD8" s="265">
        <f>IF(ISNA(MATCH(AD$2,Inputs!$K$4:$AJ$4,0)),NA(),IF(SUMPRODUCT((Inputs!$A$5:$A$130=$B8)*ISNUMBER(INDEX(Inputs!$K$5:$AJ$130,0,MATCH(AD$2,Inputs!$K$4:$AJ$4,0))))+SUMPRODUCT((Inputs!$C$5:$C$130=$B8)*ISNUMBER(INDEX(Inputs!$K$5:$AJ$130,0,MATCH(AD$2,Inputs!$K$4:$AJ$4,0))))+SUMPRODUCT((Inputs!$E$5:$E$130=$B8)*ISNUMBER(INDEX(Inputs!$K$5:$AJ$130,0,MATCH(AD$2,Inputs!$K$4:$AJ$4,0))))=0,NA(),SUMPRODUCT((Inputs!$A$5:$A$130=$B8)*Inputs!$B$5:$B$130*(((Inputs!$G$5:$G$130="moeda")+(Inputs!$G$5:$G$130="acoes"))*Inputs!$B$1+((Inputs!$G$5:$G$130&lt;&gt;"moeda")*(Inputs!$G$5:$G$130&lt;&gt;"acoes")))*INDEX(Inputs!$K$5:$AJ$130,0,MATCH(AD$2,Inputs!$K$4:$AJ$4,0)))+SUMPRODUCT((Inputs!$C$5:$C$130=$B8)*Inputs!$D$5:$D$130*(((Inputs!$G$5:$G$130="moeda")+(Inputs!$G$5:$G$130="acoes"))*Inputs!$B$1+((Inputs!$G$5:$G$130&lt;&gt;"moeda")*(Inputs!$G$5:$G$130&lt;&gt;"acoes")))*INDEX(Inputs!$K$5:$AJ$130,0,MATCH(AD$2,Inputs!$K$4:$AJ$4,0)))+SUMPRODUCT((Inputs!$E$5:$E$130=$B8)*Inputs!$F$5:$F$130*(((Inputs!$G$5:$G$130="moeda")+(Inputs!$G$5:$G$130="acoes"))*Inputs!$B$1+((Inputs!$G$5:$G$130&lt;&gt;"moeda")*(Inputs!$G$5:$G$130&lt;&gt;"acoes")))*INDEX(Inputs!$K$5:$AJ$130,0,MATCH(AD$2,Inputs!$K$4:$AJ$4,0)))))</f>
        <v>-1114</v>
      </c>
      <c r="AE8" s="265" t="e">
        <f>IF(ISNA(MATCH(AE$2,Inputs!$K$4:$AJ$4,0)),NA(),IF(SUMPRODUCT((Inputs!$A$5:$A$130=$B8)*ISNUMBER(INDEX(Inputs!$K$5:$AJ$130,0,MATCH(AE$2,Inputs!$K$4:$AJ$4,0))))+SUMPRODUCT((Inputs!$C$5:$C$130=$B8)*ISNUMBER(INDEX(Inputs!$K$5:$AJ$130,0,MATCH(AE$2,Inputs!$K$4:$AJ$4,0))))+SUMPRODUCT((Inputs!$E$5:$E$130=$B8)*ISNUMBER(INDEX(Inputs!$K$5:$AJ$130,0,MATCH(AE$2,Inputs!$K$4:$AJ$4,0))))=0,NA(),SUMPRODUCT((Inputs!$A$5:$A$130=$B8)*Inputs!$B$5:$B$130*(((Inputs!$G$5:$G$130="moeda")+(Inputs!$G$5:$G$130="acoes"))*Inputs!$B$1+((Inputs!$G$5:$G$130&lt;&gt;"moeda")*(Inputs!$G$5:$G$130&lt;&gt;"acoes")))*INDEX(Inputs!$K$5:$AJ$130,0,MATCH(AE$2,Inputs!$K$4:$AJ$4,0)))+SUMPRODUCT((Inputs!$C$5:$C$130=$B8)*Inputs!$D$5:$D$130*(((Inputs!$G$5:$G$130="moeda")+(Inputs!$G$5:$G$130="acoes"))*Inputs!$B$1+((Inputs!$G$5:$G$130&lt;&gt;"moeda")*(Inputs!$G$5:$G$130&lt;&gt;"acoes")))*INDEX(Inputs!$K$5:$AJ$130,0,MATCH(AE$2,Inputs!$K$4:$AJ$4,0)))+SUMPRODUCT((Inputs!$E$5:$E$130=$B8)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8" s="265" t="e">
        <f>IF(ISNA(MATCH(AF$2,Inputs!$K$4:$AJ$4,0)),NA(),IF(SUMPRODUCT((Inputs!$A$5:$A$130=$B8)*ISNUMBER(INDEX(Inputs!$K$5:$AJ$130,0,MATCH(AF$2,Inputs!$K$4:$AJ$4,0))))+SUMPRODUCT((Inputs!$C$5:$C$130=$B8)*ISNUMBER(INDEX(Inputs!$K$5:$AJ$130,0,MATCH(AF$2,Inputs!$K$4:$AJ$4,0))))+SUMPRODUCT((Inputs!$E$5:$E$130=$B8)*ISNUMBER(INDEX(Inputs!$K$5:$AJ$130,0,MATCH(AF$2,Inputs!$K$4:$AJ$4,0))))=0,NA(),SUMPRODUCT((Inputs!$A$5:$A$130=$B8)*Inputs!$B$5:$B$130*(((Inputs!$G$5:$G$130="moeda")+(Inputs!$G$5:$G$130="acoes"))*Inputs!$B$1+((Inputs!$G$5:$G$130&lt;&gt;"moeda")*(Inputs!$G$5:$G$130&lt;&gt;"acoes")))*INDEX(Inputs!$K$5:$AJ$130,0,MATCH(AF$2,Inputs!$K$4:$AJ$4,0)))+SUMPRODUCT((Inputs!$C$5:$C$130=$B8)*Inputs!$D$5:$D$130*(((Inputs!$G$5:$G$130="moeda")+(Inputs!$G$5:$G$130="acoes"))*Inputs!$B$1+((Inputs!$G$5:$G$130&lt;&gt;"moeda")*(Inputs!$G$5:$G$130&lt;&gt;"acoes")))*INDEX(Inputs!$K$5:$AJ$130,0,MATCH(AF$2,Inputs!$K$4:$AJ$4,0)))+SUMPRODUCT((Inputs!$E$5:$E$130=$B8)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8" s="266" t="e">
        <f>SUM(AC8:AF8)</f>
        <v>#N/A</v>
      </c>
      <c r="AH8" s="265" t="e">
        <f>IF(ISNA(MATCH(AH$2,Inputs!$K$4:$AJ$4,0)),NA(),IF(SUMPRODUCT((Inputs!$A$5:$A$130=$B8)*ISNUMBER(INDEX(Inputs!$K$5:$AJ$130,0,MATCH(AH$2,Inputs!$K$4:$AJ$4,0))))+SUMPRODUCT((Inputs!$C$5:$C$130=$B8)*ISNUMBER(INDEX(Inputs!$K$5:$AJ$130,0,MATCH(AH$2,Inputs!$K$4:$AJ$4,0))))+SUMPRODUCT((Inputs!$E$5:$E$130=$B8)*ISNUMBER(INDEX(Inputs!$K$5:$AJ$130,0,MATCH(AH$2,Inputs!$K$4:$AJ$4,0))))=0,NA(),SUMPRODUCT((Inputs!$A$5:$A$130=$B8)*Inputs!$B$5:$B$130*(((Inputs!$G$5:$G$130="moeda")+(Inputs!$G$5:$G$130="acoes"))*Inputs!$B$1+((Inputs!$G$5:$G$130&lt;&gt;"moeda")*(Inputs!$G$5:$G$130&lt;&gt;"acoes")))*INDEX(Inputs!$K$5:$AJ$130,0,MATCH(AH$2,Inputs!$K$4:$AJ$4,0)))+SUMPRODUCT((Inputs!$C$5:$C$130=$B8)*Inputs!$D$5:$D$130*(((Inputs!$G$5:$G$130="moeda")+(Inputs!$G$5:$G$130="acoes"))*Inputs!$B$1+((Inputs!$G$5:$G$130&lt;&gt;"moeda")*(Inputs!$G$5:$G$130&lt;&gt;"acoes")))*INDEX(Inputs!$K$5:$AJ$130,0,MATCH(AH$2,Inputs!$K$4:$AJ$4,0)))+SUMPRODUCT((Inputs!$E$5:$E$130=$B8)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8" s="265" t="e">
        <f>IF(ISNA(MATCH(AI$2,Inputs!$K$4:$AJ$4,0)),NA(),IF(SUMPRODUCT((Inputs!$A$5:$A$130=$B8)*ISNUMBER(INDEX(Inputs!$K$5:$AJ$130,0,MATCH(AI$2,Inputs!$K$4:$AJ$4,0))))+SUMPRODUCT((Inputs!$C$5:$C$130=$B8)*ISNUMBER(INDEX(Inputs!$K$5:$AJ$130,0,MATCH(AI$2,Inputs!$K$4:$AJ$4,0))))+SUMPRODUCT((Inputs!$E$5:$E$130=$B8)*ISNUMBER(INDEX(Inputs!$K$5:$AJ$130,0,MATCH(AI$2,Inputs!$K$4:$AJ$4,0))))=0,NA(),SUMPRODUCT((Inputs!$A$5:$A$130=$B8)*Inputs!$B$5:$B$130*(((Inputs!$G$5:$G$130="moeda")+(Inputs!$G$5:$G$130="acoes"))*Inputs!$B$1+((Inputs!$G$5:$G$130&lt;&gt;"moeda")*(Inputs!$G$5:$G$130&lt;&gt;"acoes")))*INDEX(Inputs!$K$5:$AJ$130,0,MATCH(AI$2,Inputs!$K$4:$AJ$4,0)))+SUMPRODUCT((Inputs!$C$5:$C$130=$B8)*Inputs!$D$5:$D$130*(((Inputs!$G$5:$G$130="moeda")+(Inputs!$G$5:$G$130="acoes"))*Inputs!$B$1+((Inputs!$G$5:$G$130&lt;&gt;"moeda")*(Inputs!$G$5:$G$130&lt;&gt;"acoes")))*INDEX(Inputs!$K$5:$AJ$130,0,MATCH(AI$2,Inputs!$K$4:$AJ$4,0)))+SUMPRODUCT((Inputs!$E$5:$E$130=$B8)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8" s="265" t="e">
        <f>IF(ISNA(MATCH(AJ$2,Inputs!$K$4:$AJ$4,0)),NA(),IF(SUMPRODUCT((Inputs!$A$5:$A$130=$B8)*ISNUMBER(INDEX(Inputs!$K$5:$AJ$130,0,MATCH(AJ$2,Inputs!$K$4:$AJ$4,0))))+SUMPRODUCT((Inputs!$C$5:$C$130=$B8)*ISNUMBER(INDEX(Inputs!$K$5:$AJ$130,0,MATCH(AJ$2,Inputs!$K$4:$AJ$4,0))))+SUMPRODUCT((Inputs!$E$5:$E$130=$B8)*ISNUMBER(INDEX(Inputs!$K$5:$AJ$130,0,MATCH(AJ$2,Inputs!$K$4:$AJ$4,0))))=0,NA(),SUMPRODUCT((Inputs!$A$5:$A$130=$B8)*Inputs!$B$5:$B$130*(((Inputs!$G$5:$G$130="moeda")+(Inputs!$G$5:$G$130="acoes"))*Inputs!$B$1+((Inputs!$G$5:$G$130&lt;&gt;"moeda")*(Inputs!$G$5:$G$130&lt;&gt;"acoes")))*INDEX(Inputs!$K$5:$AJ$130,0,MATCH(AJ$2,Inputs!$K$4:$AJ$4,0)))+SUMPRODUCT((Inputs!$C$5:$C$130=$B8)*Inputs!$D$5:$D$130*(((Inputs!$G$5:$G$130="moeda")+(Inputs!$G$5:$G$130="acoes"))*Inputs!$B$1+((Inputs!$G$5:$G$130&lt;&gt;"moeda")*(Inputs!$G$5:$G$130&lt;&gt;"acoes")))*INDEX(Inputs!$K$5:$AJ$130,0,MATCH(AJ$2,Inputs!$K$4:$AJ$4,0)))+SUMPRODUCT((Inputs!$E$5:$E$130=$B8)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8" s="265" t="e">
        <f>IF(ISNA(MATCH(AK$2,Inputs!$K$4:$AJ$4,0)),NA(),IF(SUMPRODUCT((Inputs!$A$5:$A$130=$B8)*ISNUMBER(INDEX(Inputs!$K$5:$AJ$130,0,MATCH(AK$2,Inputs!$K$4:$AJ$4,0))))+SUMPRODUCT((Inputs!$C$5:$C$130=$B8)*ISNUMBER(INDEX(Inputs!$K$5:$AJ$130,0,MATCH(AK$2,Inputs!$K$4:$AJ$4,0))))+SUMPRODUCT((Inputs!$E$5:$E$130=$B8)*ISNUMBER(INDEX(Inputs!$K$5:$AJ$130,0,MATCH(AK$2,Inputs!$K$4:$AJ$4,0))))=0,NA(),SUMPRODUCT((Inputs!$A$5:$A$130=$B8)*Inputs!$B$5:$B$130*(((Inputs!$G$5:$G$130="moeda")+(Inputs!$G$5:$G$130="acoes"))*Inputs!$B$1+((Inputs!$G$5:$G$130&lt;&gt;"moeda")*(Inputs!$G$5:$G$130&lt;&gt;"acoes")))*INDEX(Inputs!$K$5:$AJ$130,0,MATCH(AK$2,Inputs!$K$4:$AJ$4,0)))+SUMPRODUCT((Inputs!$C$5:$C$130=$B8)*Inputs!$D$5:$D$130*(((Inputs!$G$5:$G$130="moeda")+(Inputs!$G$5:$G$130="acoes"))*Inputs!$B$1+((Inputs!$G$5:$G$130&lt;&gt;"moeda")*(Inputs!$G$5:$G$130&lt;&gt;"acoes")))*INDEX(Inputs!$K$5:$AJ$130,0,MATCH(AK$2,Inputs!$K$4:$AJ$4,0)))+SUMPRODUCT((Inputs!$E$5:$E$130=$B8)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8" s="266" t="e">
        <f>SUM(AH8:AK8)</f>
        <v>#N/A</v>
      </c>
    </row>
    <row r="9" ht="12.75" customHeight="1" s="254">
      <c r="B9" s="263" t="n">
        <v>6</v>
      </c>
      <c r="C9" s="268" t="inlineStr">
        <is>
          <t>Nonoperating Income / (Loss)</t>
        </is>
      </c>
      <c r="D9" s="265">
        <f>IF(ISNA(MATCH(D$2,Inputs!$K$4:$AJ$4,0)),NA(),IF(SUMPRODUCT((Inputs!$A$5:$A$130=$B9)*ISNUMBER(INDEX(Inputs!$K$5:$AJ$130,0,MATCH(D$2,Inputs!$K$4:$AJ$4,0))))+SUMPRODUCT((Inputs!$C$5:$C$130=$B9)*ISNUMBER(INDEX(Inputs!$K$5:$AJ$130,0,MATCH(D$2,Inputs!$K$4:$AJ$4,0))))+SUMPRODUCT((Inputs!$E$5:$E$130=$B9)*ISNUMBER(INDEX(Inputs!$K$5:$AJ$130,0,MATCH(D$2,Inputs!$K$4:$AJ$4,0))))=0,NA(),SUMPRODUCT((Inputs!$A$5:$A$130=$B9)*Inputs!$B$5:$B$130*(((Inputs!$G$5:$G$130="moeda")+(Inputs!$G$5:$G$130="acoes"))*Inputs!$B$1+((Inputs!$G$5:$G$130&lt;&gt;"moeda")*(Inputs!$G$5:$G$130&lt;&gt;"acoes")))*INDEX(Inputs!$K$5:$AJ$130,0,MATCH(D$2,Inputs!$K$4:$AJ$4,0)))+SUMPRODUCT((Inputs!$C$5:$C$130=$B9)*Inputs!$D$5:$D$130*(((Inputs!$G$5:$G$130="moeda")+(Inputs!$G$5:$G$130="acoes"))*Inputs!$B$1+((Inputs!$G$5:$G$130&lt;&gt;"moeda")*(Inputs!$G$5:$G$130&lt;&gt;"acoes")))*INDEX(Inputs!$K$5:$AJ$130,0,MATCH(D$2,Inputs!$K$4:$AJ$4,0)))+SUMPRODUCT((Inputs!$E$5:$E$130=$B9)*Inputs!$F$5:$F$130*(((Inputs!$G$5:$G$130="moeda")+(Inputs!$G$5:$G$130="acoes"))*Inputs!$B$1+((Inputs!$G$5:$G$130&lt;&gt;"moeda")*(Inputs!$G$5:$G$130&lt;&gt;"acoes")))*INDEX(Inputs!$K$5:$AJ$130,0,MATCH(D$2,Inputs!$K$4:$AJ$4,0)))))</f>
        <v>3450</v>
      </c>
      <c r="E9" s="265">
        <f>IF(ISNA(MATCH(E$2,Inputs!$K$4:$AJ$4,0)),NA(),IF(SUMPRODUCT((Inputs!$A$5:$A$130=$B9)*ISNUMBER(INDEX(Inputs!$K$5:$AJ$130,0,MATCH(E$2,Inputs!$K$4:$AJ$4,0))))+SUMPRODUCT((Inputs!$C$5:$C$130=$B9)*ISNUMBER(INDEX(Inputs!$K$5:$AJ$130,0,MATCH(E$2,Inputs!$K$4:$AJ$4,0))))+SUMPRODUCT((Inputs!$E$5:$E$130=$B9)*ISNUMBER(INDEX(Inputs!$K$5:$AJ$130,0,MATCH(E$2,Inputs!$K$4:$AJ$4,0))))=0,NA(),SUMPRODUCT((Inputs!$A$5:$A$130=$B9)*Inputs!$B$5:$B$130*(((Inputs!$G$5:$G$130="moeda")+(Inputs!$G$5:$G$130="acoes"))*Inputs!$B$1+((Inputs!$G$5:$G$130&lt;&gt;"moeda")*(Inputs!$G$5:$G$130&lt;&gt;"acoes")))*INDEX(Inputs!$K$5:$AJ$130,0,MATCH(E$2,Inputs!$K$4:$AJ$4,0)))+SUMPRODUCT((Inputs!$C$5:$C$130=$B9)*Inputs!$D$5:$D$130*(((Inputs!$G$5:$G$130="moeda")+(Inputs!$G$5:$G$130="acoes"))*Inputs!$B$1+((Inputs!$G$5:$G$130&lt;&gt;"moeda")*(Inputs!$G$5:$G$130&lt;&gt;"acoes")))*INDEX(Inputs!$K$5:$AJ$130,0,MATCH(E$2,Inputs!$K$4:$AJ$4,0)))+SUMPRODUCT((Inputs!$E$5:$E$130=$B9)*Inputs!$F$5:$F$130*(((Inputs!$G$5:$G$130="moeda")+(Inputs!$G$5:$G$130="acoes"))*Inputs!$B$1+((Inputs!$G$5:$G$130&lt;&gt;"moeda")*(Inputs!$G$5:$G$130&lt;&gt;"acoes")))*INDEX(Inputs!$K$5:$AJ$130,0,MATCH(E$2,Inputs!$K$4:$AJ$4,0)))))</f>
        <v>1250</v>
      </c>
      <c r="F9" s="265">
        <f>IF(ISNA(MATCH(F$2,Inputs!$K$4:$AJ$4,0)),NA(),IF(SUMPRODUCT((Inputs!$A$5:$A$130=$B9)*ISNUMBER(INDEX(Inputs!$K$5:$AJ$130,0,MATCH(F$2,Inputs!$K$4:$AJ$4,0))))+SUMPRODUCT((Inputs!$C$5:$C$130=$B9)*ISNUMBER(INDEX(Inputs!$K$5:$AJ$130,0,MATCH(F$2,Inputs!$K$4:$AJ$4,0))))+SUMPRODUCT((Inputs!$E$5:$E$130=$B9)*ISNUMBER(INDEX(Inputs!$K$5:$AJ$130,0,MATCH(F$2,Inputs!$K$4:$AJ$4,0))))=0,NA(),SUMPRODUCT((Inputs!$A$5:$A$130=$B9)*Inputs!$B$5:$B$130*(((Inputs!$G$5:$G$130="moeda")+(Inputs!$G$5:$G$130="acoes"))*Inputs!$B$1+((Inputs!$G$5:$G$130&lt;&gt;"moeda")*(Inputs!$G$5:$G$130&lt;&gt;"acoes")))*INDEX(Inputs!$K$5:$AJ$130,0,MATCH(F$2,Inputs!$K$4:$AJ$4,0)))+SUMPRODUCT((Inputs!$C$5:$C$130=$B9)*Inputs!$D$5:$D$130*(((Inputs!$G$5:$G$130="moeda")+(Inputs!$G$5:$G$130="acoes"))*Inputs!$B$1+((Inputs!$G$5:$G$130&lt;&gt;"moeda")*(Inputs!$G$5:$G$130&lt;&gt;"acoes")))*INDEX(Inputs!$K$5:$AJ$130,0,MATCH(F$2,Inputs!$K$4:$AJ$4,0)))+SUMPRODUCT((Inputs!$E$5:$E$130=$B9)*Inputs!$F$5:$F$130*(((Inputs!$G$5:$G$130="moeda")+(Inputs!$G$5:$G$130="acoes"))*Inputs!$B$1+((Inputs!$G$5:$G$130&lt;&gt;"moeda")*(Inputs!$G$5:$G$130&lt;&gt;"acoes")))*INDEX(Inputs!$K$5:$AJ$130,0,MATCH(F$2,Inputs!$K$4:$AJ$4,0)))))</f>
        <v>1511</v>
      </c>
      <c r="G9" s="265">
        <f>IF(ISNA(MATCH(G$2,Inputs!$K$4:$AJ$4,0)),NA(),IF(SUMPRODUCT((Inputs!$A$5:$A$130=$B9)*ISNUMBER(INDEX(Inputs!$K$5:$AJ$130,0,MATCH(G$2,Inputs!$K$4:$AJ$4,0))))+SUMPRODUCT((Inputs!$C$5:$C$130=$B9)*ISNUMBER(INDEX(Inputs!$K$5:$AJ$130,0,MATCH(G$2,Inputs!$K$4:$AJ$4,0))))+SUMPRODUCT((Inputs!$E$5:$E$130=$B9)*ISNUMBER(INDEX(Inputs!$K$5:$AJ$130,0,MATCH(G$2,Inputs!$K$4:$AJ$4,0))))=0,NA(),SUMPRODUCT((Inputs!$A$5:$A$130=$B9)*Inputs!$B$5:$B$130*(((Inputs!$G$5:$G$130="moeda")+(Inputs!$G$5:$G$130="acoes"))*Inputs!$B$1+((Inputs!$G$5:$G$130&lt;&gt;"moeda")*(Inputs!$G$5:$G$130&lt;&gt;"acoes")))*INDEX(Inputs!$K$5:$AJ$130,0,MATCH(G$2,Inputs!$K$4:$AJ$4,0)))+SUMPRODUCT((Inputs!$C$5:$C$130=$B9)*Inputs!$D$5:$D$130*(((Inputs!$G$5:$G$130="moeda")+(Inputs!$G$5:$G$130="acoes"))*Inputs!$B$1+((Inputs!$G$5:$G$130&lt;&gt;"moeda")*(Inputs!$G$5:$G$130&lt;&gt;"acoes")))*INDEX(Inputs!$K$5:$AJ$130,0,MATCH(G$2,Inputs!$K$4:$AJ$4,0)))+SUMPRODUCT((Inputs!$E$5:$E$130=$B9)*Inputs!$F$5:$F$130*(((Inputs!$G$5:$G$130="moeda")+(Inputs!$G$5:$G$130="acoes"))*Inputs!$B$1+((Inputs!$G$5:$G$130&lt;&gt;"moeda")*(Inputs!$G$5:$G$130&lt;&gt;"acoes")))*INDEX(Inputs!$K$5:$AJ$130,0,MATCH(G$2,Inputs!$K$4:$AJ$4,0)))))</f>
        <v>4944</v>
      </c>
      <c r="H9" s="266">
        <f>SUM(D9:G9)</f>
        <v>11155</v>
      </c>
      <c r="I9" s="265">
        <f>IF(ISNA(MATCH(I$2,Inputs!$K$4:$AJ$4,0)),NA(),IF(SUMPRODUCT((Inputs!$A$5:$A$130=$B9)*ISNUMBER(INDEX(Inputs!$K$5:$AJ$130,0,MATCH(I$2,Inputs!$K$4:$AJ$4,0))))+SUMPRODUCT((Inputs!$C$5:$C$130=$B9)*ISNUMBER(INDEX(Inputs!$K$5:$AJ$130,0,MATCH(I$2,Inputs!$K$4:$AJ$4,0))))+SUMPRODUCT((Inputs!$E$5:$E$130=$B9)*ISNUMBER(INDEX(Inputs!$K$5:$AJ$130,0,MATCH(I$2,Inputs!$K$4:$AJ$4,0))))=0,NA(),SUMPRODUCT((Inputs!$A$5:$A$130=$B9)*Inputs!$B$5:$B$130*(((Inputs!$G$5:$G$130="moeda")+(Inputs!$G$5:$G$130="acoes"))*Inputs!$B$1+((Inputs!$G$5:$G$130&lt;&gt;"moeda")*(Inputs!$G$5:$G$130&lt;&gt;"acoes")))*INDEX(Inputs!$K$5:$AJ$130,0,MATCH(I$2,Inputs!$K$4:$AJ$4,0)))+SUMPRODUCT((Inputs!$C$5:$C$130=$B9)*Inputs!$D$5:$D$130*(((Inputs!$G$5:$G$130="moeda")+(Inputs!$G$5:$G$130="acoes"))*Inputs!$B$1+((Inputs!$G$5:$G$130&lt;&gt;"moeda")*(Inputs!$G$5:$G$130&lt;&gt;"acoes")))*INDEX(Inputs!$K$5:$AJ$130,0,MATCH(I$2,Inputs!$K$4:$AJ$4,0)))+SUMPRODUCT((Inputs!$E$5:$E$130=$B9)*Inputs!$F$5:$F$130*(((Inputs!$G$5:$G$130="moeda")+(Inputs!$G$5:$G$130="acoes"))*Inputs!$B$1+((Inputs!$G$5:$G$130&lt;&gt;"moeda")*(Inputs!$G$5:$G$130&lt;&gt;"acoes")))*INDEX(Inputs!$K$5:$AJ$130,0,MATCH(I$2,Inputs!$K$4:$AJ$4,0)))))</f>
        <v>-1039</v>
      </c>
      <c r="J9" s="265">
        <f>IF(ISNA(MATCH(J$2,Inputs!$K$4:$AJ$4,0)),NA(),IF(SUMPRODUCT((Inputs!$A$5:$A$130=$B9)*ISNUMBER(INDEX(Inputs!$K$5:$AJ$130,0,MATCH(J$2,Inputs!$K$4:$AJ$4,0))))+SUMPRODUCT((Inputs!$C$5:$C$130=$B9)*ISNUMBER(INDEX(Inputs!$K$5:$AJ$130,0,MATCH(J$2,Inputs!$K$4:$AJ$4,0))))+SUMPRODUCT((Inputs!$E$5:$E$130=$B9)*ISNUMBER(INDEX(Inputs!$K$5:$AJ$130,0,MATCH(J$2,Inputs!$K$4:$AJ$4,0))))=0,NA(),SUMPRODUCT((Inputs!$A$5:$A$130=$B9)*Inputs!$B$5:$B$130*(((Inputs!$G$5:$G$130="moeda")+(Inputs!$G$5:$G$130="acoes"))*Inputs!$B$1+((Inputs!$G$5:$G$130&lt;&gt;"moeda")*(Inputs!$G$5:$G$130&lt;&gt;"acoes")))*INDEX(Inputs!$K$5:$AJ$130,0,MATCH(J$2,Inputs!$K$4:$AJ$4,0)))+SUMPRODUCT((Inputs!$C$5:$C$130=$B9)*Inputs!$D$5:$D$130*(((Inputs!$G$5:$G$130="moeda")+(Inputs!$G$5:$G$130="acoes"))*Inputs!$B$1+((Inputs!$G$5:$G$130&lt;&gt;"moeda")*(Inputs!$G$5:$G$130&lt;&gt;"acoes")))*INDEX(Inputs!$K$5:$AJ$130,0,MATCH(J$2,Inputs!$K$4:$AJ$4,0)))+SUMPRODUCT((Inputs!$E$5:$E$130=$B9)*Inputs!$F$5:$F$130*(((Inputs!$G$5:$G$130="moeda")+(Inputs!$G$5:$G$130="acoes"))*Inputs!$B$1+((Inputs!$G$5:$G$130&lt;&gt;"moeda")*(Inputs!$G$5:$G$130&lt;&gt;"acoes")))*INDEX(Inputs!$K$5:$AJ$130,0,MATCH(J$2,Inputs!$K$4:$AJ$4,0)))))</f>
        <v>3023</v>
      </c>
      <c r="K9" s="265">
        <f>IF(ISNA(MATCH(K$2,Inputs!$K$4:$AJ$4,0)),NA(),IF(SUMPRODUCT((Inputs!$A$5:$A$130=$B9)*ISNUMBER(INDEX(Inputs!$K$5:$AJ$130,0,MATCH(K$2,Inputs!$K$4:$AJ$4,0))))+SUMPRODUCT((Inputs!$C$5:$C$130=$B9)*ISNUMBER(INDEX(Inputs!$K$5:$AJ$130,0,MATCH(K$2,Inputs!$K$4:$AJ$4,0))))+SUMPRODUCT((Inputs!$E$5:$E$130=$B9)*ISNUMBER(INDEX(Inputs!$K$5:$AJ$130,0,MATCH(K$2,Inputs!$K$4:$AJ$4,0))))=0,NA(),SUMPRODUCT((Inputs!$A$5:$A$130=$B9)*Inputs!$B$5:$B$130*(((Inputs!$G$5:$G$130="moeda")+(Inputs!$G$5:$G$130="acoes"))*Inputs!$B$1+((Inputs!$G$5:$G$130&lt;&gt;"moeda")*(Inputs!$G$5:$G$130&lt;&gt;"acoes")))*INDEX(Inputs!$K$5:$AJ$130,0,MATCH(K$2,Inputs!$K$4:$AJ$4,0)))+SUMPRODUCT((Inputs!$C$5:$C$130=$B9)*Inputs!$D$5:$D$130*(((Inputs!$G$5:$G$130="moeda")+(Inputs!$G$5:$G$130="acoes"))*Inputs!$B$1+((Inputs!$G$5:$G$130&lt;&gt;"moeda")*(Inputs!$G$5:$G$130&lt;&gt;"acoes")))*INDEX(Inputs!$K$5:$AJ$130,0,MATCH(K$2,Inputs!$K$4:$AJ$4,0)))+SUMPRODUCT((Inputs!$E$5:$E$130=$B9)*Inputs!$F$5:$F$130*(((Inputs!$G$5:$G$130="moeda")+(Inputs!$G$5:$G$130="acoes"))*Inputs!$B$1+((Inputs!$G$5:$G$130&lt;&gt;"moeda")*(Inputs!$G$5:$G$130&lt;&gt;"acoes")))*INDEX(Inputs!$K$5:$AJ$130,0,MATCH(K$2,Inputs!$K$4:$AJ$4,0)))))</f>
        <v>3011</v>
      </c>
      <c r="L9" s="265">
        <f>IF(ISNA(MATCH(L$2,Inputs!$K$4:$AJ$4,0)),NA(),IF(SUMPRODUCT((Inputs!$A$5:$A$130=$B9)*ISNUMBER(INDEX(Inputs!$K$5:$AJ$130,0,MATCH(L$2,Inputs!$K$4:$AJ$4,0))))+SUMPRODUCT((Inputs!$C$5:$C$130=$B9)*ISNUMBER(INDEX(Inputs!$K$5:$AJ$130,0,MATCH(L$2,Inputs!$K$4:$AJ$4,0))))+SUMPRODUCT((Inputs!$E$5:$E$130=$B9)*ISNUMBER(INDEX(Inputs!$K$5:$AJ$130,0,MATCH(L$2,Inputs!$K$4:$AJ$4,0))))=0,NA(),SUMPRODUCT((Inputs!$A$5:$A$130=$B9)*Inputs!$B$5:$B$130*(((Inputs!$G$5:$G$130="moeda")+(Inputs!$G$5:$G$130="acoes"))*Inputs!$B$1+((Inputs!$G$5:$G$130&lt;&gt;"moeda")*(Inputs!$G$5:$G$130&lt;&gt;"acoes")))*INDEX(Inputs!$K$5:$AJ$130,0,MATCH(L$2,Inputs!$K$4:$AJ$4,0)))+SUMPRODUCT((Inputs!$C$5:$C$130=$B9)*Inputs!$D$5:$D$130*(((Inputs!$G$5:$G$130="moeda")+(Inputs!$G$5:$G$130="acoes"))*Inputs!$B$1+((Inputs!$G$5:$G$130&lt;&gt;"moeda")*(Inputs!$G$5:$G$130&lt;&gt;"acoes")))*INDEX(Inputs!$K$5:$AJ$130,0,MATCH(L$2,Inputs!$K$4:$AJ$4,0)))+SUMPRODUCT((Inputs!$E$5:$E$130=$B9)*Inputs!$F$5:$F$130*(((Inputs!$G$5:$G$130="moeda")+(Inputs!$G$5:$G$130="acoes"))*Inputs!$B$1+((Inputs!$G$5:$G$130&lt;&gt;"moeda")*(Inputs!$G$5:$G$130&lt;&gt;"acoes")))*INDEX(Inputs!$K$5:$AJ$130,0,MATCH(L$2,Inputs!$K$4:$AJ$4,0)))))</f>
        <v>-109</v>
      </c>
      <c r="M9" s="266">
        <f>SUM(I9:L9)</f>
        <v>4886</v>
      </c>
      <c r="N9" s="265">
        <f>IF(ISNA(MATCH(N$2,Inputs!$K$4:$AJ$4,0)),NA(),IF(SUMPRODUCT((Inputs!$A$5:$A$130=$B9)*ISNUMBER(INDEX(Inputs!$K$5:$AJ$130,0,MATCH(N$2,Inputs!$K$4:$AJ$4,0))))+SUMPRODUCT((Inputs!$C$5:$C$130=$B9)*ISNUMBER(INDEX(Inputs!$K$5:$AJ$130,0,MATCH(N$2,Inputs!$K$4:$AJ$4,0))))+SUMPRODUCT((Inputs!$E$5:$E$130=$B9)*ISNUMBER(INDEX(Inputs!$K$5:$AJ$130,0,MATCH(N$2,Inputs!$K$4:$AJ$4,0))))=0,NA(),SUMPRODUCT((Inputs!$A$5:$A$130=$B9)*Inputs!$B$5:$B$130*(((Inputs!$G$5:$G$130="moeda")+(Inputs!$G$5:$G$130="acoes"))*Inputs!$B$1+((Inputs!$G$5:$G$130&lt;&gt;"moeda")*(Inputs!$G$5:$G$130&lt;&gt;"acoes")))*INDEX(Inputs!$K$5:$AJ$130,0,MATCH(N$2,Inputs!$K$4:$AJ$4,0)))+SUMPRODUCT((Inputs!$C$5:$C$130=$B9)*Inputs!$D$5:$D$130*(((Inputs!$G$5:$G$130="moeda")+(Inputs!$G$5:$G$130="acoes"))*Inputs!$B$1+((Inputs!$G$5:$G$130&lt;&gt;"moeda")*(Inputs!$G$5:$G$130&lt;&gt;"acoes")))*INDEX(Inputs!$K$5:$AJ$130,0,MATCH(N$2,Inputs!$K$4:$AJ$4,0)))+SUMPRODUCT((Inputs!$E$5:$E$130=$B9)*Inputs!$F$5:$F$130*(((Inputs!$G$5:$G$130="moeda")+(Inputs!$G$5:$G$130="acoes"))*Inputs!$B$1+((Inputs!$G$5:$G$130&lt;&gt;"moeda")*(Inputs!$G$5:$G$130&lt;&gt;"acoes")))*INDEX(Inputs!$K$5:$AJ$130,0,MATCH(N$2,Inputs!$K$4:$AJ$4,0)))))</f>
        <v>2063</v>
      </c>
      <c r="O9" s="265">
        <f>IF(ISNA(MATCH(O$2,Inputs!$K$4:$AJ$4,0)),NA(),IF(SUMPRODUCT((Inputs!$A$5:$A$130=$B9)*ISNUMBER(INDEX(Inputs!$K$5:$AJ$130,0,MATCH(O$2,Inputs!$K$4:$AJ$4,0))))+SUMPRODUCT((Inputs!$C$5:$C$130=$B9)*ISNUMBER(INDEX(Inputs!$K$5:$AJ$130,0,MATCH(O$2,Inputs!$K$4:$AJ$4,0))))+SUMPRODUCT((Inputs!$E$5:$E$130=$B9)*ISNUMBER(INDEX(Inputs!$K$5:$AJ$130,0,MATCH(O$2,Inputs!$K$4:$AJ$4,0))))=0,NA(),SUMPRODUCT((Inputs!$A$5:$A$130=$B9)*Inputs!$B$5:$B$130*(((Inputs!$G$5:$G$130="moeda")+(Inputs!$G$5:$G$130="acoes"))*Inputs!$B$1+((Inputs!$G$5:$G$130&lt;&gt;"moeda")*(Inputs!$G$5:$G$130&lt;&gt;"acoes")))*INDEX(Inputs!$K$5:$AJ$130,0,MATCH(O$2,Inputs!$K$4:$AJ$4,0)))+SUMPRODUCT((Inputs!$C$5:$C$130=$B9)*Inputs!$D$5:$D$130*(((Inputs!$G$5:$G$130="moeda")+(Inputs!$G$5:$G$130="acoes"))*Inputs!$B$1+((Inputs!$G$5:$G$130&lt;&gt;"moeda")*(Inputs!$G$5:$G$130&lt;&gt;"acoes")))*INDEX(Inputs!$K$5:$AJ$130,0,MATCH(O$2,Inputs!$K$4:$AJ$4,0)))+SUMPRODUCT((Inputs!$E$5:$E$130=$B9)*Inputs!$F$5:$F$130*(((Inputs!$G$5:$G$130="moeda")+(Inputs!$G$5:$G$130="acoes"))*Inputs!$B$1+((Inputs!$G$5:$G$130&lt;&gt;"moeda")*(Inputs!$G$5:$G$130&lt;&gt;"acoes")))*INDEX(Inputs!$K$5:$AJ$130,0,MATCH(O$2,Inputs!$K$4:$AJ$4,0)))))</f>
        <v>1441</v>
      </c>
      <c r="P9" s="265">
        <f>IF(ISNA(MATCH(P$2,Inputs!$K$4:$AJ$4,0)),NA(),IF(SUMPRODUCT((Inputs!$A$5:$A$130=$B9)*ISNUMBER(INDEX(Inputs!$K$5:$AJ$130,0,MATCH(P$2,Inputs!$K$4:$AJ$4,0))))+SUMPRODUCT((Inputs!$C$5:$C$130=$B9)*ISNUMBER(INDEX(Inputs!$K$5:$AJ$130,0,MATCH(P$2,Inputs!$K$4:$AJ$4,0))))+SUMPRODUCT((Inputs!$E$5:$E$130=$B9)*ISNUMBER(INDEX(Inputs!$K$5:$AJ$130,0,MATCH(P$2,Inputs!$K$4:$AJ$4,0))))=0,NA(),SUMPRODUCT((Inputs!$A$5:$A$130=$B9)*Inputs!$B$5:$B$130*(((Inputs!$G$5:$G$130="moeda")+(Inputs!$G$5:$G$130="acoes"))*Inputs!$B$1+((Inputs!$G$5:$G$130&lt;&gt;"moeda")*(Inputs!$G$5:$G$130&lt;&gt;"acoes")))*INDEX(Inputs!$K$5:$AJ$130,0,MATCH(P$2,Inputs!$K$4:$AJ$4,0)))+SUMPRODUCT((Inputs!$C$5:$C$130=$B9)*Inputs!$D$5:$D$130*(((Inputs!$G$5:$G$130="moeda")+(Inputs!$G$5:$G$130="acoes"))*Inputs!$B$1+((Inputs!$G$5:$G$130&lt;&gt;"moeda")*(Inputs!$G$5:$G$130&lt;&gt;"acoes")))*INDEX(Inputs!$K$5:$AJ$130,0,MATCH(P$2,Inputs!$K$4:$AJ$4,0)))+SUMPRODUCT((Inputs!$E$5:$E$130=$B9)*Inputs!$F$5:$F$130*(((Inputs!$G$5:$G$130="moeda")+(Inputs!$G$5:$G$130="acoes"))*Inputs!$B$1+((Inputs!$G$5:$G$130&lt;&gt;"moeda")*(Inputs!$G$5:$G$130&lt;&gt;"acoes")))*INDEX(Inputs!$K$5:$AJ$130,0,MATCH(P$2,Inputs!$K$4:$AJ$4,0)))))</f>
        <v>1661</v>
      </c>
      <c r="Q9" s="265">
        <f>IF(ISNA(MATCH(Q$2,Inputs!$K$4:$AJ$4,0)),NA(),IF(SUMPRODUCT((Inputs!$A$5:$A$130=$B9)*ISNUMBER(INDEX(Inputs!$K$5:$AJ$130,0,MATCH(Q$2,Inputs!$K$4:$AJ$4,0))))+SUMPRODUCT((Inputs!$C$5:$C$130=$B9)*ISNUMBER(INDEX(Inputs!$K$5:$AJ$130,0,MATCH(Q$2,Inputs!$K$4:$AJ$4,0))))+SUMPRODUCT((Inputs!$E$5:$E$130=$B9)*ISNUMBER(INDEX(Inputs!$K$5:$AJ$130,0,MATCH(Q$2,Inputs!$K$4:$AJ$4,0))))=0,NA(),SUMPRODUCT((Inputs!$A$5:$A$130=$B9)*Inputs!$B$5:$B$130*(((Inputs!$G$5:$G$130="moeda")+(Inputs!$G$5:$G$130="acoes"))*Inputs!$B$1+((Inputs!$G$5:$G$130&lt;&gt;"moeda")*(Inputs!$G$5:$G$130&lt;&gt;"acoes")))*INDEX(Inputs!$K$5:$AJ$130,0,MATCH(Q$2,Inputs!$K$4:$AJ$4,0)))+SUMPRODUCT((Inputs!$C$5:$C$130=$B9)*Inputs!$D$5:$D$130*(((Inputs!$G$5:$G$130="moeda")+(Inputs!$G$5:$G$130="acoes"))*Inputs!$B$1+((Inputs!$G$5:$G$130&lt;&gt;"moeda")*(Inputs!$G$5:$G$130&lt;&gt;"acoes")))*INDEX(Inputs!$K$5:$AJ$130,0,MATCH(Q$2,Inputs!$K$4:$AJ$4,0)))+SUMPRODUCT((Inputs!$E$5:$E$130=$B9)*Inputs!$F$5:$F$130*(((Inputs!$G$5:$G$130="moeda")+(Inputs!$G$5:$G$130="acoes"))*Inputs!$B$1+((Inputs!$G$5:$G$130&lt;&gt;"moeda")*(Inputs!$G$5:$G$130&lt;&gt;"acoes")))*INDEX(Inputs!$K$5:$AJ$130,0,MATCH(Q$2,Inputs!$K$4:$AJ$4,0)))))</f>
        <v>1399</v>
      </c>
      <c r="R9" s="266">
        <f>SUM(N9:Q9)</f>
        <v>6564</v>
      </c>
      <c r="S9" s="265">
        <f>IF(ISNA(MATCH(S$2,Inputs!$K$4:$AJ$4,0)),NA(),IF(SUMPRODUCT((Inputs!$A$5:$A$130=$B9)*ISNUMBER(INDEX(Inputs!$K$5:$AJ$130,0,MATCH(S$2,Inputs!$K$4:$AJ$4,0))))+SUMPRODUCT((Inputs!$C$5:$C$130=$B9)*ISNUMBER(INDEX(Inputs!$K$5:$AJ$130,0,MATCH(S$2,Inputs!$K$4:$AJ$4,0))))+SUMPRODUCT((Inputs!$E$5:$E$130=$B9)*ISNUMBER(INDEX(Inputs!$K$5:$AJ$130,0,MATCH(S$2,Inputs!$K$4:$AJ$4,0))))=0,NA(),SUMPRODUCT((Inputs!$A$5:$A$130=$B9)*Inputs!$B$5:$B$130*(((Inputs!$G$5:$G$130="moeda")+(Inputs!$G$5:$G$130="acoes"))*Inputs!$B$1+((Inputs!$G$5:$G$130&lt;&gt;"moeda")*(Inputs!$G$5:$G$130&lt;&gt;"acoes")))*INDEX(Inputs!$K$5:$AJ$130,0,MATCH(S$2,Inputs!$K$4:$AJ$4,0)))+SUMPRODUCT((Inputs!$C$5:$C$130=$B9)*Inputs!$D$5:$D$130*(((Inputs!$G$5:$G$130="moeda")+(Inputs!$G$5:$G$130="acoes"))*Inputs!$B$1+((Inputs!$G$5:$G$130&lt;&gt;"moeda")*(Inputs!$G$5:$G$130&lt;&gt;"acoes")))*INDEX(Inputs!$K$5:$AJ$130,0,MATCH(S$2,Inputs!$K$4:$AJ$4,0)))+SUMPRODUCT((Inputs!$E$5:$E$130=$B9)*Inputs!$F$5:$F$130*(((Inputs!$G$5:$G$130="moeda")+(Inputs!$G$5:$G$130="acoes"))*Inputs!$B$1+((Inputs!$G$5:$G$130&lt;&gt;"moeda")*(Inputs!$G$5:$G$130&lt;&gt;"acoes")))*INDEX(Inputs!$K$5:$AJ$130,0,MATCH(S$2,Inputs!$K$4:$AJ$4,0)))))</f>
        <v>2225</v>
      </c>
      <c r="T9" s="265">
        <f>IF(ISNA(MATCH(T$2,Inputs!$K$4:$AJ$4,0)),NA(),IF(SUMPRODUCT((Inputs!$A$5:$A$130=$B9)*ISNUMBER(INDEX(Inputs!$K$5:$AJ$130,0,MATCH(T$2,Inputs!$K$4:$AJ$4,0))))+SUMPRODUCT((Inputs!$C$5:$C$130=$B9)*ISNUMBER(INDEX(Inputs!$K$5:$AJ$130,0,MATCH(T$2,Inputs!$K$4:$AJ$4,0))))+SUMPRODUCT((Inputs!$E$5:$E$130=$B9)*ISNUMBER(INDEX(Inputs!$K$5:$AJ$130,0,MATCH(T$2,Inputs!$K$4:$AJ$4,0))))=0,NA(),SUMPRODUCT((Inputs!$A$5:$A$130=$B9)*Inputs!$B$5:$B$130*(((Inputs!$G$5:$G$130="moeda")+(Inputs!$G$5:$G$130="acoes"))*Inputs!$B$1+((Inputs!$G$5:$G$130&lt;&gt;"moeda")*(Inputs!$G$5:$G$130&lt;&gt;"acoes")))*INDEX(Inputs!$K$5:$AJ$130,0,MATCH(T$2,Inputs!$K$4:$AJ$4,0)))+SUMPRODUCT((Inputs!$C$5:$C$130=$B9)*Inputs!$D$5:$D$130*(((Inputs!$G$5:$G$130="moeda")+(Inputs!$G$5:$G$130="acoes"))*Inputs!$B$1+((Inputs!$G$5:$G$130&lt;&gt;"moeda")*(Inputs!$G$5:$G$130&lt;&gt;"acoes")))*INDEX(Inputs!$K$5:$AJ$130,0,MATCH(T$2,Inputs!$K$4:$AJ$4,0)))+SUMPRODUCT((Inputs!$E$5:$E$130=$B9)*Inputs!$F$5:$F$130*(((Inputs!$G$5:$G$130="moeda")+(Inputs!$G$5:$G$130="acoes"))*Inputs!$B$1+((Inputs!$G$5:$G$130&lt;&gt;"moeda")*(Inputs!$G$5:$G$130&lt;&gt;"acoes")))*INDEX(Inputs!$K$5:$AJ$130,0,MATCH(T$2,Inputs!$K$4:$AJ$4,0)))))</f>
        <v>594</v>
      </c>
      <c r="U9" s="265">
        <f>IF(ISNA(MATCH(U$2,Inputs!$K$4:$AJ$4,0)),NA(),IF(SUMPRODUCT((Inputs!$A$5:$A$130=$B9)*ISNUMBER(INDEX(Inputs!$K$5:$AJ$130,0,MATCH(U$2,Inputs!$K$4:$AJ$4,0))))+SUMPRODUCT((Inputs!$C$5:$C$130=$B9)*ISNUMBER(INDEX(Inputs!$K$5:$AJ$130,0,MATCH(U$2,Inputs!$K$4:$AJ$4,0))))+SUMPRODUCT((Inputs!$E$5:$E$130=$B9)*ISNUMBER(INDEX(Inputs!$K$5:$AJ$130,0,MATCH(U$2,Inputs!$K$4:$AJ$4,0))))=0,NA(),SUMPRODUCT((Inputs!$A$5:$A$130=$B9)*Inputs!$B$5:$B$130*(((Inputs!$G$5:$G$130="moeda")+(Inputs!$G$5:$G$130="acoes"))*Inputs!$B$1+((Inputs!$G$5:$G$130&lt;&gt;"moeda")*(Inputs!$G$5:$G$130&lt;&gt;"acoes")))*INDEX(Inputs!$K$5:$AJ$130,0,MATCH(U$2,Inputs!$K$4:$AJ$4,0)))+SUMPRODUCT((Inputs!$C$5:$C$130=$B9)*Inputs!$D$5:$D$130*(((Inputs!$G$5:$G$130="moeda")+(Inputs!$G$5:$G$130="acoes"))*Inputs!$B$1+((Inputs!$G$5:$G$130&lt;&gt;"moeda")*(Inputs!$G$5:$G$130&lt;&gt;"acoes")))*INDEX(Inputs!$K$5:$AJ$130,0,MATCH(U$2,Inputs!$K$4:$AJ$4,0)))+SUMPRODUCT((Inputs!$E$5:$E$130=$B9)*Inputs!$F$5:$F$130*(((Inputs!$G$5:$G$130="moeda")+(Inputs!$G$5:$G$130="acoes"))*Inputs!$B$1+((Inputs!$G$5:$G$130&lt;&gt;"moeda")*(Inputs!$G$5:$G$130&lt;&gt;"acoes")))*INDEX(Inputs!$K$5:$AJ$130,0,MATCH(U$2,Inputs!$K$4:$AJ$4,0)))))</f>
        <v>1372</v>
      </c>
      <c r="V9" s="265">
        <f>IF(ISNA(MATCH(V$2,Inputs!$K$4:$AJ$4,0)),NA(),IF(SUMPRODUCT((Inputs!$A$5:$A$130=$B9)*ISNUMBER(INDEX(Inputs!$K$5:$AJ$130,0,MATCH(V$2,Inputs!$K$4:$AJ$4,0))))+SUMPRODUCT((Inputs!$C$5:$C$130=$B9)*ISNUMBER(INDEX(Inputs!$K$5:$AJ$130,0,MATCH(V$2,Inputs!$K$4:$AJ$4,0))))+SUMPRODUCT((Inputs!$E$5:$E$130=$B9)*ISNUMBER(INDEX(Inputs!$K$5:$AJ$130,0,MATCH(V$2,Inputs!$K$4:$AJ$4,0))))=0,NA(),SUMPRODUCT((Inputs!$A$5:$A$130=$B9)*Inputs!$B$5:$B$130*(((Inputs!$G$5:$G$130="moeda")+(Inputs!$G$5:$G$130="acoes"))*Inputs!$B$1+((Inputs!$G$5:$G$130&lt;&gt;"moeda")*(Inputs!$G$5:$G$130&lt;&gt;"acoes")))*INDEX(Inputs!$K$5:$AJ$130,0,MATCH(V$2,Inputs!$K$4:$AJ$4,0)))+SUMPRODUCT((Inputs!$C$5:$C$130=$B9)*Inputs!$D$5:$D$130*(((Inputs!$G$5:$G$130="moeda")+(Inputs!$G$5:$G$130="acoes"))*Inputs!$B$1+((Inputs!$G$5:$G$130&lt;&gt;"moeda")*(Inputs!$G$5:$G$130&lt;&gt;"acoes")))*INDEX(Inputs!$K$5:$AJ$130,0,MATCH(V$2,Inputs!$K$4:$AJ$4,0)))+SUMPRODUCT((Inputs!$E$5:$E$130=$B9)*Inputs!$F$5:$F$130*(((Inputs!$G$5:$G$130="moeda")+(Inputs!$G$5:$G$130="acoes"))*Inputs!$B$1+((Inputs!$G$5:$G$130&lt;&gt;"moeda")*(Inputs!$G$5:$G$130&lt;&gt;"acoes")))*INDEX(Inputs!$K$5:$AJ$130,0,MATCH(V$2,Inputs!$K$4:$AJ$4,0)))))</f>
        <v>529</v>
      </c>
      <c r="W9" s="266">
        <f>SUM(S9:V9)</f>
        <v>4720</v>
      </c>
      <c r="X9" s="265">
        <f>IF(ISNA(MATCH(X$2,Inputs!$K$4:$AJ$4,0)),NA(),IF(SUMPRODUCT((Inputs!$A$5:$A$130=$B9)*ISNUMBER(INDEX(Inputs!$K$5:$AJ$130,0,MATCH(X$2,Inputs!$K$4:$AJ$4,0))))+SUMPRODUCT((Inputs!$C$5:$C$130=$B9)*ISNUMBER(INDEX(Inputs!$K$5:$AJ$130,0,MATCH(X$2,Inputs!$K$4:$AJ$4,0))))+SUMPRODUCT((Inputs!$E$5:$E$130=$B9)*ISNUMBER(INDEX(Inputs!$K$5:$AJ$130,0,MATCH(X$2,Inputs!$K$4:$AJ$4,0))))=0,NA(),SUMPRODUCT((Inputs!$A$5:$A$130=$B9)*Inputs!$B$5:$B$130*(((Inputs!$G$5:$G$130="moeda")+(Inputs!$G$5:$G$130="acoes"))*Inputs!$B$1+((Inputs!$G$5:$G$130&lt;&gt;"moeda")*(Inputs!$G$5:$G$130&lt;&gt;"acoes")))*INDEX(Inputs!$K$5:$AJ$130,0,MATCH(X$2,Inputs!$K$4:$AJ$4,0)))+SUMPRODUCT((Inputs!$C$5:$C$130=$B9)*Inputs!$D$5:$D$130*(((Inputs!$G$5:$G$130="moeda")+(Inputs!$G$5:$G$130="acoes"))*Inputs!$B$1+((Inputs!$G$5:$G$130&lt;&gt;"moeda")*(Inputs!$G$5:$G$130&lt;&gt;"acoes")))*INDEX(Inputs!$K$5:$AJ$130,0,MATCH(X$2,Inputs!$K$4:$AJ$4,0)))+SUMPRODUCT((Inputs!$E$5:$E$130=$B9)*Inputs!$F$5:$F$130*(((Inputs!$G$5:$G$130="moeda")+(Inputs!$G$5:$G$130="acoes"))*Inputs!$B$1+((Inputs!$G$5:$G$130&lt;&gt;"moeda")*(Inputs!$G$5:$G$130&lt;&gt;"acoes")))*INDEX(Inputs!$K$5:$AJ$130,0,MATCH(X$2,Inputs!$K$4:$AJ$4,0)))))</f>
        <v>919</v>
      </c>
      <c r="Y9" s="265">
        <f>IF(ISNA(MATCH(Y$2,Inputs!$K$4:$AJ$4,0)),NA(),IF(SUMPRODUCT((Inputs!$A$5:$A$130=$B9)*ISNUMBER(INDEX(Inputs!$K$5:$AJ$130,0,MATCH(Y$2,Inputs!$K$4:$AJ$4,0))))+SUMPRODUCT((Inputs!$C$5:$C$130=$B9)*ISNUMBER(INDEX(Inputs!$K$5:$AJ$130,0,MATCH(Y$2,Inputs!$K$4:$AJ$4,0))))+SUMPRODUCT((Inputs!$E$5:$E$130=$B9)*ISNUMBER(INDEX(Inputs!$K$5:$AJ$130,0,MATCH(Y$2,Inputs!$K$4:$AJ$4,0))))=0,NA(),SUMPRODUCT((Inputs!$A$5:$A$130=$B9)*Inputs!$B$5:$B$130*(((Inputs!$G$5:$G$130="moeda")+(Inputs!$G$5:$G$130="acoes"))*Inputs!$B$1+((Inputs!$G$5:$G$130&lt;&gt;"moeda")*(Inputs!$G$5:$G$130&lt;&gt;"acoes")))*INDEX(Inputs!$K$5:$AJ$130,0,MATCH(Y$2,Inputs!$K$4:$AJ$4,0)))+SUMPRODUCT((Inputs!$C$5:$C$130=$B9)*Inputs!$D$5:$D$130*(((Inputs!$G$5:$G$130="moeda")+(Inputs!$G$5:$G$130="acoes"))*Inputs!$B$1+((Inputs!$G$5:$G$130&lt;&gt;"moeda")*(Inputs!$G$5:$G$130&lt;&gt;"acoes")))*INDEX(Inputs!$K$5:$AJ$130,0,MATCH(Y$2,Inputs!$K$4:$AJ$4,0)))+SUMPRODUCT((Inputs!$E$5:$E$130=$B9)*Inputs!$F$5:$F$130*(((Inputs!$G$5:$G$130="moeda")+(Inputs!$G$5:$G$130="acoes"))*Inputs!$B$1+((Inputs!$G$5:$G$130&lt;&gt;"moeda")*(Inputs!$G$5:$G$130&lt;&gt;"acoes")))*INDEX(Inputs!$K$5:$AJ$130,0,MATCH(Y$2,Inputs!$K$4:$AJ$4,0)))))</f>
        <v>1037</v>
      </c>
      <c r="Z9" s="265">
        <f>IF(ISNA(MATCH(Z$2,Inputs!$K$4:$AJ$4,0)),NA(),IF(SUMPRODUCT((Inputs!$A$5:$A$130=$B9)*ISNUMBER(INDEX(Inputs!$K$5:$AJ$130,0,MATCH(Z$2,Inputs!$K$4:$AJ$4,0))))+SUMPRODUCT((Inputs!$C$5:$C$130=$B9)*ISNUMBER(INDEX(Inputs!$K$5:$AJ$130,0,MATCH(Z$2,Inputs!$K$4:$AJ$4,0))))+SUMPRODUCT((Inputs!$E$5:$E$130=$B9)*ISNUMBER(INDEX(Inputs!$K$5:$AJ$130,0,MATCH(Z$2,Inputs!$K$4:$AJ$4,0))))=0,NA(),SUMPRODUCT((Inputs!$A$5:$A$130=$B9)*Inputs!$B$5:$B$130*(((Inputs!$G$5:$G$130="moeda")+(Inputs!$G$5:$G$130="acoes"))*Inputs!$B$1+((Inputs!$G$5:$G$130&lt;&gt;"moeda")*(Inputs!$G$5:$G$130&lt;&gt;"acoes")))*INDEX(Inputs!$K$5:$AJ$130,0,MATCH(Z$2,Inputs!$K$4:$AJ$4,0)))+SUMPRODUCT((Inputs!$C$5:$C$130=$B9)*Inputs!$D$5:$D$130*(((Inputs!$G$5:$G$130="moeda")+(Inputs!$G$5:$G$130="acoes"))*Inputs!$B$1+((Inputs!$G$5:$G$130&lt;&gt;"moeda")*(Inputs!$G$5:$G$130&lt;&gt;"acoes")))*INDEX(Inputs!$K$5:$AJ$130,0,MATCH(Z$2,Inputs!$K$4:$AJ$4,0)))+SUMPRODUCT((Inputs!$E$5:$E$130=$B9)*Inputs!$F$5:$F$130*(((Inputs!$G$5:$G$130="moeda")+(Inputs!$G$5:$G$130="acoes"))*Inputs!$B$1+((Inputs!$G$5:$G$130&lt;&gt;"moeda")*(Inputs!$G$5:$G$130&lt;&gt;"acoes")))*INDEX(Inputs!$K$5:$AJ$130,0,MATCH(Z$2,Inputs!$K$4:$AJ$4,0)))))</f>
        <v>2258</v>
      </c>
      <c r="AA9" s="265">
        <f>IF(ISNA(MATCH(AA$2,Inputs!$K$4:$AJ$4,0)),NA(),IF(SUMPRODUCT((Inputs!$A$5:$A$130=$B9)*ISNUMBER(INDEX(Inputs!$K$5:$AJ$130,0,MATCH(AA$2,Inputs!$K$4:$AJ$4,0))))+SUMPRODUCT((Inputs!$C$5:$C$130=$B9)*ISNUMBER(INDEX(Inputs!$K$5:$AJ$130,0,MATCH(AA$2,Inputs!$K$4:$AJ$4,0))))+SUMPRODUCT((Inputs!$E$5:$E$130=$B9)*ISNUMBER(INDEX(Inputs!$K$5:$AJ$130,0,MATCH(AA$2,Inputs!$K$4:$AJ$4,0))))=0,NA(),SUMPRODUCT((Inputs!$A$5:$A$130=$B9)*Inputs!$B$5:$B$130*(((Inputs!$G$5:$G$130="moeda")+(Inputs!$G$5:$G$130="acoes"))*Inputs!$B$1+((Inputs!$G$5:$G$130&lt;&gt;"moeda")*(Inputs!$G$5:$G$130&lt;&gt;"acoes")))*INDEX(Inputs!$K$5:$AJ$130,0,MATCH(AA$2,Inputs!$K$4:$AJ$4,0)))+SUMPRODUCT((Inputs!$C$5:$C$130=$B9)*Inputs!$D$5:$D$130*(((Inputs!$G$5:$G$130="moeda")+(Inputs!$G$5:$G$130="acoes"))*Inputs!$B$1+((Inputs!$G$5:$G$130&lt;&gt;"moeda")*(Inputs!$G$5:$G$130&lt;&gt;"acoes")))*INDEX(Inputs!$K$5:$AJ$130,0,MATCH(AA$2,Inputs!$K$4:$AJ$4,0)))+SUMPRODUCT((Inputs!$E$5:$E$130=$B9)*Inputs!$F$5:$F$130*(((Inputs!$G$5:$G$130="moeda")+(Inputs!$G$5:$G$130="acoes"))*Inputs!$B$1+((Inputs!$G$5:$G$130&lt;&gt;"moeda")*(Inputs!$G$5:$G$130&lt;&gt;"acoes")))*INDEX(Inputs!$K$5:$AJ$130,0,MATCH(AA$2,Inputs!$K$4:$AJ$4,0)))))</f>
        <v>2632</v>
      </c>
      <c r="AB9" s="266">
        <f>SUM(X9:AA9)</f>
        <v>6846</v>
      </c>
      <c r="AC9" s="265">
        <f>IF(ISNA(MATCH(AC$2,Inputs!$K$4:$AJ$4,0)),NA(),IF(SUMPRODUCT((Inputs!$A$5:$A$130=$B9)*ISNUMBER(INDEX(Inputs!$K$5:$AJ$130,0,MATCH(AC$2,Inputs!$K$4:$AJ$4,0))))+SUMPRODUCT((Inputs!$C$5:$C$130=$B9)*ISNUMBER(INDEX(Inputs!$K$5:$AJ$130,0,MATCH(AC$2,Inputs!$K$4:$AJ$4,0))))+SUMPRODUCT((Inputs!$E$5:$E$130=$B9)*ISNUMBER(INDEX(Inputs!$K$5:$AJ$130,0,MATCH(AC$2,Inputs!$K$4:$AJ$4,0))))=0,NA(),SUMPRODUCT((Inputs!$A$5:$A$130=$B9)*Inputs!$B$5:$B$130*(((Inputs!$G$5:$G$130="moeda")+(Inputs!$G$5:$G$130="acoes"))*Inputs!$B$1+((Inputs!$G$5:$G$130&lt;&gt;"moeda")*(Inputs!$G$5:$G$130&lt;&gt;"acoes")))*INDEX(Inputs!$K$5:$AJ$130,0,MATCH(AC$2,Inputs!$K$4:$AJ$4,0)))+SUMPRODUCT((Inputs!$C$5:$C$130=$B9)*Inputs!$D$5:$D$130*(((Inputs!$G$5:$G$130="moeda")+(Inputs!$G$5:$G$130="acoes"))*Inputs!$B$1+((Inputs!$G$5:$G$130&lt;&gt;"moeda")*(Inputs!$G$5:$G$130&lt;&gt;"acoes")))*INDEX(Inputs!$K$5:$AJ$130,0,MATCH(AC$2,Inputs!$K$4:$AJ$4,0)))+SUMPRODUCT((Inputs!$E$5:$E$130=$B9)*Inputs!$F$5:$F$130*(((Inputs!$G$5:$G$130="moeda")+(Inputs!$G$5:$G$130="acoes"))*Inputs!$B$1+((Inputs!$G$5:$G$130&lt;&gt;"moeda")*(Inputs!$G$5:$G$130&lt;&gt;"acoes")))*INDEX(Inputs!$K$5:$AJ$130,0,MATCH(AC$2,Inputs!$K$4:$AJ$4,0)))))</f>
        <v>441</v>
      </c>
      <c r="AD9" s="265">
        <f>IF(ISNA(MATCH(AD$2,Inputs!$K$4:$AJ$4,0)),NA(),IF(SUMPRODUCT((Inputs!$A$5:$A$130=$B9)*ISNUMBER(INDEX(Inputs!$K$5:$AJ$130,0,MATCH(AD$2,Inputs!$K$4:$AJ$4,0))))+SUMPRODUCT((Inputs!$C$5:$C$130=$B9)*ISNUMBER(INDEX(Inputs!$K$5:$AJ$130,0,MATCH(AD$2,Inputs!$K$4:$AJ$4,0))))+SUMPRODUCT((Inputs!$E$5:$E$130=$B9)*ISNUMBER(INDEX(Inputs!$K$5:$AJ$130,0,MATCH(AD$2,Inputs!$K$4:$AJ$4,0))))=0,NA(),SUMPRODUCT((Inputs!$A$5:$A$130=$B9)*Inputs!$B$5:$B$130*(((Inputs!$G$5:$G$130="moeda")+(Inputs!$G$5:$G$130="acoes"))*Inputs!$B$1+((Inputs!$G$5:$G$130&lt;&gt;"moeda")*(Inputs!$G$5:$G$130&lt;&gt;"acoes")))*INDEX(Inputs!$K$5:$AJ$130,0,MATCH(AD$2,Inputs!$K$4:$AJ$4,0)))+SUMPRODUCT((Inputs!$C$5:$C$130=$B9)*Inputs!$D$5:$D$130*(((Inputs!$G$5:$G$130="moeda")+(Inputs!$G$5:$G$130="acoes"))*Inputs!$B$1+((Inputs!$G$5:$G$130&lt;&gt;"moeda")*(Inputs!$G$5:$G$130&lt;&gt;"acoes")))*INDEX(Inputs!$K$5:$AJ$130,0,MATCH(AD$2,Inputs!$K$4:$AJ$4,0)))+SUMPRODUCT((Inputs!$E$5:$E$130=$B9)*Inputs!$F$5:$F$130*(((Inputs!$G$5:$G$130="moeda")+(Inputs!$G$5:$G$130="acoes"))*Inputs!$B$1+((Inputs!$G$5:$G$130&lt;&gt;"moeda")*(Inputs!$G$5:$G$130&lt;&gt;"acoes")))*INDEX(Inputs!$K$5:$AJ$130,0,MATCH(AD$2,Inputs!$K$4:$AJ$4,0)))))</f>
        <v>1691</v>
      </c>
      <c r="AE9" s="265" t="e">
        <f>IF(ISNA(MATCH(AE$2,Inputs!$K$4:$AJ$4,0)),NA(),IF(SUMPRODUCT((Inputs!$A$5:$A$130=$B9)*ISNUMBER(INDEX(Inputs!$K$5:$AJ$130,0,MATCH(AE$2,Inputs!$K$4:$AJ$4,0))))+SUMPRODUCT((Inputs!$C$5:$C$130=$B9)*ISNUMBER(INDEX(Inputs!$K$5:$AJ$130,0,MATCH(AE$2,Inputs!$K$4:$AJ$4,0))))+SUMPRODUCT((Inputs!$E$5:$E$130=$B9)*ISNUMBER(INDEX(Inputs!$K$5:$AJ$130,0,MATCH(AE$2,Inputs!$K$4:$AJ$4,0))))=0,NA(),SUMPRODUCT((Inputs!$A$5:$A$130=$B9)*Inputs!$B$5:$B$130*(((Inputs!$G$5:$G$130="moeda")+(Inputs!$G$5:$G$130="acoes"))*Inputs!$B$1+((Inputs!$G$5:$G$130&lt;&gt;"moeda")*(Inputs!$G$5:$G$130&lt;&gt;"acoes")))*INDEX(Inputs!$K$5:$AJ$130,0,MATCH(AE$2,Inputs!$K$4:$AJ$4,0)))+SUMPRODUCT((Inputs!$C$5:$C$130=$B9)*Inputs!$D$5:$D$130*(((Inputs!$G$5:$G$130="moeda")+(Inputs!$G$5:$G$130="acoes"))*Inputs!$B$1+((Inputs!$G$5:$G$130&lt;&gt;"moeda")*(Inputs!$G$5:$G$130&lt;&gt;"acoes")))*INDEX(Inputs!$K$5:$AJ$130,0,MATCH(AE$2,Inputs!$K$4:$AJ$4,0)))+SUMPRODUCT((Inputs!$E$5:$E$130=$B9)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9" s="265" t="e">
        <f>IF(ISNA(MATCH(AF$2,Inputs!$K$4:$AJ$4,0)),NA(),IF(SUMPRODUCT((Inputs!$A$5:$A$130=$B9)*ISNUMBER(INDEX(Inputs!$K$5:$AJ$130,0,MATCH(AF$2,Inputs!$K$4:$AJ$4,0))))+SUMPRODUCT((Inputs!$C$5:$C$130=$B9)*ISNUMBER(INDEX(Inputs!$K$5:$AJ$130,0,MATCH(AF$2,Inputs!$K$4:$AJ$4,0))))+SUMPRODUCT((Inputs!$E$5:$E$130=$B9)*ISNUMBER(INDEX(Inputs!$K$5:$AJ$130,0,MATCH(AF$2,Inputs!$K$4:$AJ$4,0))))=0,NA(),SUMPRODUCT((Inputs!$A$5:$A$130=$B9)*Inputs!$B$5:$B$130*(((Inputs!$G$5:$G$130="moeda")+(Inputs!$G$5:$G$130="acoes"))*Inputs!$B$1+((Inputs!$G$5:$G$130&lt;&gt;"moeda")*(Inputs!$G$5:$G$130&lt;&gt;"acoes")))*INDEX(Inputs!$K$5:$AJ$130,0,MATCH(AF$2,Inputs!$K$4:$AJ$4,0)))+SUMPRODUCT((Inputs!$C$5:$C$130=$B9)*Inputs!$D$5:$D$130*(((Inputs!$G$5:$G$130="moeda")+(Inputs!$G$5:$G$130="acoes"))*Inputs!$B$1+((Inputs!$G$5:$G$130&lt;&gt;"moeda")*(Inputs!$G$5:$G$130&lt;&gt;"acoes")))*INDEX(Inputs!$K$5:$AJ$130,0,MATCH(AF$2,Inputs!$K$4:$AJ$4,0)))+SUMPRODUCT((Inputs!$E$5:$E$130=$B9)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9" s="266" t="e">
        <f>SUM(AC9:AF9)</f>
        <v>#N/A</v>
      </c>
      <c r="AH9" s="265" t="e">
        <f>IF(ISNA(MATCH(AH$2,Inputs!$K$4:$AJ$4,0)),NA(),IF(SUMPRODUCT((Inputs!$A$5:$A$130=$B9)*ISNUMBER(INDEX(Inputs!$K$5:$AJ$130,0,MATCH(AH$2,Inputs!$K$4:$AJ$4,0))))+SUMPRODUCT((Inputs!$C$5:$C$130=$B9)*ISNUMBER(INDEX(Inputs!$K$5:$AJ$130,0,MATCH(AH$2,Inputs!$K$4:$AJ$4,0))))+SUMPRODUCT((Inputs!$E$5:$E$130=$B9)*ISNUMBER(INDEX(Inputs!$K$5:$AJ$130,0,MATCH(AH$2,Inputs!$K$4:$AJ$4,0))))=0,NA(),SUMPRODUCT((Inputs!$A$5:$A$130=$B9)*Inputs!$B$5:$B$130*(((Inputs!$G$5:$G$130="moeda")+(Inputs!$G$5:$G$130="acoes"))*Inputs!$B$1+((Inputs!$G$5:$G$130&lt;&gt;"moeda")*(Inputs!$G$5:$G$130&lt;&gt;"acoes")))*INDEX(Inputs!$K$5:$AJ$130,0,MATCH(AH$2,Inputs!$K$4:$AJ$4,0)))+SUMPRODUCT((Inputs!$C$5:$C$130=$B9)*Inputs!$D$5:$D$130*(((Inputs!$G$5:$G$130="moeda")+(Inputs!$G$5:$G$130="acoes"))*Inputs!$B$1+((Inputs!$G$5:$G$130&lt;&gt;"moeda")*(Inputs!$G$5:$G$130&lt;&gt;"acoes")))*INDEX(Inputs!$K$5:$AJ$130,0,MATCH(AH$2,Inputs!$K$4:$AJ$4,0)))+SUMPRODUCT((Inputs!$E$5:$E$130=$B9)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9" s="265" t="e">
        <f>IF(ISNA(MATCH(AI$2,Inputs!$K$4:$AJ$4,0)),NA(),IF(SUMPRODUCT((Inputs!$A$5:$A$130=$B9)*ISNUMBER(INDEX(Inputs!$K$5:$AJ$130,0,MATCH(AI$2,Inputs!$K$4:$AJ$4,0))))+SUMPRODUCT((Inputs!$C$5:$C$130=$B9)*ISNUMBER(INDEX(Inputs!$K$5:$AJ$130,0,MATCH(AI$2,Inputs!$K$4:$AJ$4,0))))+SUMPRODUCT((Inputs!$E$5:$E$130=$B9)*ISNUMBER(INDEX(Inputs!$K$5:$AJ$130,0,MATCH(AI$2,Inputs!$K$4:$AJ$4,0))))=0,NA(),SUMPRODUCT((Inputs!$A$5:$A$130=$B9)*Inputs!$B$5:$B$130*(((Inputs!$G$5:$G$130="moeda")+(Inputs!$G$5:$G$130="acoes"))*Inputs!$B$1+((Inputs!$G$5:$G$130&lt;&gt;"moeda")*(Inputs!$G$5:$G$130&lt;&gt;"acoes")))*INDEX(Inputs!$K$5:$AJ$130,0,MATCH(AI$2,Inputs!$K$4:$AJ$4,0)))+SUMPRODUCT((Inputs!$C$5:$C$130=$B9)*Inputs!$D$5:$D$130*(((Inputs!$G$5:$G$130="moeda")+(Inputs!$G$5:$G$130="acoes"))*Inputs!$B$1+((Inputs!$G$5:$G$130&lt;&gt;"moeda")*(Inputs!$G$5:$G$130&lt;&gt;"acoes")))*INDEX(Inputs!$K$5:$AJ$130,0,MATCH(AI$2,Inputs!$K$4:$AJ$4,0)))+SUMPRODUCT((Inputs!$E$5:$E$130=$B9)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9" s="265" t="e">
        <f>IF(ISNA(MATCH(AJ$2,Inputs!$K$4:$AJ$4,0)),NA(),IF(SUMPRODUCT((Inputs!$A$5:$A$130=$B9)*ISNUMBER(INDEX(Inputs!$K$5:$AJ$130,0,MATCH(AJ$2,Inputs!$K$4:$AJ$4,0))))+SUMPRODUCT((Inputs!$C$5:$C$130=$B9)*ISNUMBER(INDEX(Inputs!$K$5:$AJ$130,0,MATCH(AJ$2,Inputs!$K$4:$AJ$4,0))))+SUMPRODUCT((Inputs!$E$5:$E$130=$B9)*ISNUMBER(INDEX(Inputs!$K$5:$AJ$130,0,MATCH(AJ$2,Inputs!$K$4:$AJ$4,0))))=0,NA(),SUMPRODUCT((Inputs!$A$5:$A$130=$B9)*Inputs!$B$5:$B$130*(((Inputs!$G$5:$G$130="moeda")+(Inputs!$G$5:$G$130="acoes"))*Inputs!$B$1+((Inputs!$G$5:$G$130&lt;&gt;"moeda")*(Inputs!$G$5:$G$130&lt;&gt;"acoes")))*INDEX(Inputs!$K$5:$AJ$130,0,MATCH(AJ$2,Inputs!$K$4:$AJ$4,0)))+SUMPRODUCT((Inputs!$C$5:$C$130=$B9)*Inputs!$D$5:$D$130*(((Inputs!$G$5:$G$130="moeda")+(Inputs!$G$5:$G$130="acoes"))*Inputs!$B$1+((Inputs!$G$5:$G$130&lt;&gt;"moeda")*(Inputs!$G$5:$G$130&lt;&gt;"acoes")))*INDEX(Inputs!$K$5:$AJ$130,0,MATCH(AJ$2,Inputs!$K$4:$AJ$4,0)))+SUMPRODUCT((Inputs!$E$5:$E$130=$B9)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9" s="265" t="e">
        <f>IF(ISNA(MATCH(AK$2,Inputs!$K$4:$AJ$4,0)),NA(),IF(SUMPRODUCT((Inputs!$A$5:$A$130=$B9)*ISNUMBER(INDEX(Inputs!$K$5:$AJ$130,0,MATCH(AK$2,Inputs!$K$4:$AJ$4,0))))+SUMPRODUCT((Inputs!$C$5:$C$130=$B9)*ISNUMBER(INDEX(Inputs!$K$5:$AJ$130,0,MATCH(AK$2,Inputs!$K$4:$AJ$4,0))))+SUMPRODUCT((Inputs!$E$5:$E$130=$B9)*ISNUMBER(INDEX(Inputs!$K$5:$AJ$130,0,MATCH(AK$2,Inputs!$K$4:$AJ$4,0))))=0,NA(),SUMPRODUCT((Inputs!$A$5:$A$130=$B9)*Inputs!$B$5:$B$130*(((Inputs!$G$5:$G$130="moeda")+(Inputs!$G$5:$G$130="acoes"))*Inputs!$B$1+((Inputs!$G$5:$G$130&lt;&gt;"moeda")*(Inputs!$G$5:$G$130&lt;&gt;"acoes")))*INDEX(Inputs!$K$5:$AJ$130,0,MATCH(AK$2,Inputs!$K$4:$AJ$4,0)))+SUMPRODUCT((Inputs!$C$5:$C$130=$B9)*Inputs!$D$5:$D$130*(((Inputs!$G$5:$G$130="moeda")+(Inputs!$G$5:$G$130="acoes"))*Inputs!$B$1+((Inputs!$G$5:$G$130&lt;&gt;"moeda")*(Inputs!$G$5:$G$130&lt;&gt;"acoes")))*INDEX(Inputs!$K$5:$AJ$130,0,MATCH(AK$2,Inputs!$K$4:$AJ$4,0)))+SUMPRODUCT((Inputs!$E$5:$E$130=$B9)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9" s="266" t="e">
        <f>SUM(AH9:AK9)</f>
        <v>#N/A</v>
      </c>
    </row>
    <row r="10" ht="12.75" customHeight="1" s="254">
      <c r="B10" s="263" t="n">
        <v>7</v>
      </c>
      <c r="C10" s="268" t="inlineStr">
        <is>
          <t>Taxes</t>
        </is>
      </c>
      <c r="D10" s="265">
        <f>IF(ISNA(MATCH(D$2,Inputs!$K$4:$AJ$4,0)),NA(),IF(SUMPRODUCT((Inputs!$A$5:$A$130=$B10)*ISNUMBER(INDEX(Inputs!$K$5:$AJ$130,0,MATCH(D$2,Inputs!$K$4:$AJ$4,0))))+SUMPRODUCT((Inputs!$C$5:$C$130=$B10)*ISNUMBER(INDEX(Inputs!$K$5:$AJ$130,0,MATCH(D$2,Inputs!$K$4:$AJ$4,0))))+SUMPRODUCT((Inputs!$E$5:$E$130=$B10)*ISNUMBER(INDEX(Inputs!$K$5:$AJ$130,0,MATCH(D$2,Inputs!$K$4:$AJ$4,0))))=0,NA(),SUMPRODUCT((Inputs!$A$5:$A$130=$B10)*Inputs!$B$5:$B$130*(((Inputs!$G$5:$G$130="moeda")+(Inputs!$G$5:$G$130="acoes"))*Inputs!$B$1+((Inputs!$G$5:$G$130&lt;&gt;"moeda")*(Inputs!$G$5:$G$130&lt;&gt;"acoes")))*INDEX(Inputs!$K$5:$AJ$130,0,MATCH(D$2,Inputs!$K$4:$AJ$4,0)))+SUMPRODUCT((Inputs!$C$5:$C$130=$B10)*Inputs!$D$5:$D$130*(((Inputs!$G$5:$G$130="moeda")+(Inputs!$G$5:$G$130="acoes"))*Inputs!$B$1+((Inputs!$G$5:$G$130&lt;&gt;"moeda")*(Inputs!$G$5:$G$130&lt;&gt;"acoes")))*INDEX(Inputs!$K$5:$AJ$130,0,MATCH(D$2,Inputs!$K$4:$AJ$4,0)))+SUMPRODUCT((Inputs!$E$5:$E$130=$B10)*Inputs!$F$5:$F$130*(((Inputs!$G$5:$G$130="moeda")+(Inputs!$G$5:$G$130="acoes"))*Inputs!$B$1+((Inputs!$G$5:$G$130&lt;&gt;"moeda")*(Inputs!$G$5:$G$130&lt;&gt;"acoes")))*INDEX(Inputs!$K$5:$AJ$130,0,MATCH(D$2,Inputs!$K$4:$AJ$4,0)))))</f>
        <v>-2453</v>
      </c>
      <c r="E10" s="265">
        <f>IF(ISNA(MATCH(E$2,Inputs!$K$4:$AJ$4,0)),NA(),IF(SUMPRODUCT((Inputs!$A$5:$A$130=$B10)*ISNUMBER(INDEX(Inputs!$K$5:$AJ$130,0,MATCH(E$2,Inputs!$K$4:$AJ$4,0))))+SUMPRODUCT((Inputs!$C$5:$C$130=$B10)*ISNUMBER(INDEX(Inputs!$K$5:$AJ$130,0,MATCH(E$2,Inputs!$K$4:$AJ$4,0))))+SUMPRODUCT((Inputs!$E$5:$E$130=$B10)*ISNUMBER(INDEX(Inputs!$K$5:$AJ$130,0,MATCH(E$2,Inputs!$K$4:$AJ$4,0))))=0,NA(),SUMPRODUCT((Inputs!$A$5:$A$130=$B10)*Inputs!$B$5:$B$130*(((Inputs!$G$5:$G$130="moeda")+(Inputs!$G$5:$G$130="acoes"))*Inputs!$B$1+((Inputs!$G$5:$G$130&lt;&gt;"moeda")*(Inputs!$G$5:$G$130&lt;&gt;"acoes")))*INDEX(Inputs!$K$5:$AJ$130,0,MATCH(E$2,Inputs!$K$4:$AJ$4,0)))+SUMPRODUCT((Inputs!$C$5:$C$130=$B10)*Inputs!$D$5:$D$130*(((Inputs!$G$5:$G$130="moeda")+(Inputs!$G$5:$G$130="acoes"))*Inputs!$B$1+((Inputs!$G$5:$G$130&lt;&gt;"moeda")*(Inputs!$G$5:$G$130&lt;&gt;"acoes")))*INDEX(Inputs!$K$5:$AJ$130,0,MATCH(E$2,Inputs!$K$4:$AJ$4,0)))+SUMPRODUCT((Inputs!$E$5:$E$130=$B10)*Inputs!$F$5:$F$130*(((Inputs!$G$5:$G$130="moeda")+(Inputs!$G$5:$G$130="acoes"))*Inputs!$B$1+((Inputs!$G$5:$G$130&lt;&gt;"moeda")*(Inputs!$G$5:$G$130&lt;&gt;"acoes")))*INDEX(Inputs!$K$5:$AJ$130,0,MATCH(E$2,Inputs!$K$4:$AJ$4,0)))))</f>
        <v>-571</v>
      </c>
      <c r="F10" s="265">
        <f>IF(ISNA(MATCH(F$2,Inputs!$K$4:$AJ$4,0)),NA(),IF(SUMPRODUCT((Inputs!$A$5:$A$130=$B10)*ISNUMBER(INDEX(Inputs!$K$5:$AJ$130,0,MATCH(F$2,Inputs!$K$4:$AJ$4,0))))+SUMPRODUCT((Inputs!$C$5:$C$130=$B10)*ISNUMBER(INDEX(Inputs!$K$5:$AJ$130,0,MATCH(F$2,Inputs!$K$4:$AJ$4,0))))+SUMPRODUCT((Inputs!$E$5:$E$130=$B10)*ISNUMBER(INDEX(Inputs!$K$5:$AJ$130,0,MATCH(F$2,Inputs!$K$4:$AJ$4,0))))=0,NA(),SUMPRODUCT((Inputs!$A$5:$A$130=$B10)*Inputs!$B$5:$B$130*(((Inputs!$G$5:$G$130="moeda")+(Inputs!$G$5:$G$130="acoes"))*Inputs!$B$1+((Inputs!$G$5:$G$130&lt;&gt;"moeda")*(Inputs!$G$5:$G$130&lt;&gt;"acoes")))*INDEX(Inputs!$K$5:$AJ$130,0,MATCH(F$2,Inputs!$K$4:$AJ$4,0)))+SUMPRODUCT((Inputs!$C$5:$C$130=$B10)*Inputs!$D$5:$D$130*(((Inputs!$G$5:$G$130="moeda")+(Inputs!$G$5:$G$130="acoes"))*Inputs!$B$1+((Inputs!$G$5:$G$130&lt;&gt;"moeda")*(Inputs!$G$5:$G$130&lt;&gt;"acoes")))*INDEX(Inputs!$K$5:$AJ$130,0,MATCH(F$2,Inputs!$K$4:$AJ$4,0)))+SUMPRODUCT((Inputs!$E$5:$E$130=$B10)*Inputs!$F$5:$F$130*(((Inputs!$G$5:$G$130="moeda")+(Inputs!$G$5:$G$130="acoes"))*Inputs!$B$1+((Inputs!$G$5:$G$130&lt;&gt;"moeda")*(Inputs!$G$5:$G$130&lt;&gt;"acoes")))*INDEX(Inputs!$K$5:$AJ$130,0,MATCH(F$2,Inputs!$K$4:$AJ$4,0)))))</f>
        <v>-1510</v>
      </c>
      <c r="G10" s="265">
        <f>IF(ISNA(MATCH(G$2,Inputs!$K$4:$AJ$4,0)),NA(),IF(SUMPRODUCT((Inputs!$A$5:$A$130=$B10)*ISNUMBER(INDEX(Inputs!$K$5:$AJ$130,0,MATCH(G$2,Inputs!$K$4:$AJ$4,0))))+SUMPRODUCT((Inputs!$C$5:$C$130=$B10)*ISNUMBER(INDEX(Inputs!$K$5:$AJ$130,0,MATCH(G$2,Inputs!$K$4:$AJ$4,0))))+SUMPRODUCT((Inputs!$E$5:$E$130=$B10)*ISNUMBER(INDEX(Inputs!$K$5:$AJ$130,0,MATCH(G$2,Inputs!$K$4:$AJ$4,0))))=0,NA(),SUMPRODUCT((Inputs!$A$5:$A$130=$B10)*Inputs!$B$5:$B$130*(((Inputs!$G$5:$G$130="moeda")+(Inputs!$G$5:$G$130="acoes"))*Inputs!$B$1+((Inputs!$G$5:$G$130&lt;&gt;"moeda")*(Inputs!$G$5:$G$130&lt;&gt;"acoes")))*INDEX(Inputs!$K$5:$AJ$130,0,MATCH(G$2,Inputs!$K$4:$AJ$4,0)))+SUMPRODUCT((Inputs!$C$5:$C$130=$B10)*Inputs!$D$5:$D$130*(((Inputs!$G$5:$G$130="moeda")+(Inputs!$G$5:$G$130="acoes"))*Inputs!$B$1+((Inputs!$G$5:$G$130&lt;&gt;"moeda")*(Inputs!$G$5:$G$130&lt;&gt;"acoes")))*INDEX(Inputs!$K$5:$AJ$130,0,MATCH(G$2,Inputs!$K$4:$AJ$4,0)))+SUMPRODUCT((Inputs!$E$5:$E$130=$B10)*Inputs!$F$5:$F$130*(((Inputs!$G$5:$G$130="moeda")+(Inputs!$G$5:$G$130="acoes"))*Inputs!$B$1+((Inputs!$G$5:$G$130&lt;&gt;"moeda")*(Inputs!$G$5:$G$130&lt;&gt;"acoes")))*INDEX(Inputs!$K$5:$AJ$130,0,MATCH(G$2,Inputs!$K$4:$AJ$4,0)))))</f>
        <v>-4665</v>
      </c>
      <c r="H10" s="266">
        <f>SUM(D10:G10)</f>
        <v>-9199</v>
      </c>
      <c r="I10" s="265">
        <f>IF(ISNA(MATCH(I$2,Inputs!$K$4:$AJ$4,0)),NA(),IF(SUMPRODUCT((Inputs!$A$5:$A$130=$B10)*ISNUMBER(INDEX(Inputs!$K$5:$AJ$130,0,MATCH(I$2,Inputs!$K$4:$AJ$4,0))))+SUMPRODUCT((Inputs!$C$5:$C$130=$B10)*ISNUMBER(INDEX(Inputs!$K$5:$AJ$130,0,MATCH(I$2,Inputs!$K$4:$AJ$4,0))))+SUMPRODUCT((Inputs!$E$5:$E$130=$B10)*ISNUMBER(INDEX(Inputs!$K$5:$AJ$130,0,MATCH(I$2,Inputs!$K$4:$AJ$4,0))))=0,NA(),SUMPRODUCT((Inputs!$A$5:$A$130=$B10)*Inputs!$B$5:$B$130*(((Inputs!$G$5:$G$130="moeda")+(Inputs!$G$5:$G$130="acoes"))*Inputs!$B$1+((Inputs!$G$5:$G$130&lt;&gt;"moeda")*(Inputs!$G$5:$G$130&lt;&gt;"acoes")))*INDEX(Inputs!$K$5:$AJ$130,0,MATCH(I$2,Inputs!$K$4:$AJ$4,0)))+SUMPRODUCT((Inputs!$C$5:$C$130=$B10)*Inputs!$D$5:$D$130*(((Inputs!$G$5:$G$130="moeda")+(Inputs!$G$5:$G$130="acoes"))*Inputs!$B$1+((Inputs!$G$5:$G$130&lt;&gt;"moeda")*(Inputs!$G$5:$G$130&lt;&gt;"acoes")))*INDEX(Inputs!$K$5:$AJ$130,0,MATCH(I$2,Inputs!$K$4:$AJ$4,0)))+SUMPRODUCT((Inputs!$E$5:$E$130=$B10)*Inputs!$F$5:$F$130*(((Inputs!$G$5:$G$130="moeda")+(Inputs!$G$5:$G$130="acoes"))*Inputs!$B$1+((Inputs!$G$5:$G$130&lt;&gt;"moeda")*(Inputs!$G$5:$G$130&lt;&gt;"acoes")))*INDEX(Inputs!$K$5:$AJ$130,0,MATCH(I$2,Inputs!$K$4:$AJ$4,0)))))</f>
        <v>-3457</v>
      </c>
      <c r="J10" s="265">
        <f>IF(ISNA(MATCH(J$2,Inputs!$K$4:$AJ$4,0)),NA(),IF(SUMPRODUCT((Inputs!$A$5:$A$130=$B10)*ISNUMBER(INDEX(Inputs!$K$5:$AJ$130,0,MATCH(J$2,Inputs!$K$4:$AJ$4,0))))+SUMPRODUCT((Inputs!$C$5:$C$130=$B10)*ISNUMBER(INDEX(Inputs!$K$5:$AJ$130,0,MATCH(J$2,Inputs!$K$4:$AJ$4,0))))+SUMPRODUCT((Inputs!$E$5:$E$130=$B10)*ISNUMBER(INDEX(Inputs!$K$5:$AJ$130,0,MATCH(J$2,Inputs!$K$4:$AJ$4,0))))=0,NA(),SUMPRODUCT((Inputs!$A$5:$A$130=$B10)*Inputs!$B$5:$B$130*(((Inputs!$G$5:$G$130="moeda")+(Inputs!$G$5:$G$130="acoes"))*Inputs!$B$1+((Inputs!$G$5:$G$130&lt;&gt;"moeda")*(Inputs!$G$5:$G$130&lt;&gt;"acoes")))*INDEX(Inputs!$K$5:$AJ$130,0,MATCH(J$2,Inputs!$K$4:$AJ$4,0)))+SUMPRODUCT((Inputs!$C$5:$C$130=$B10)*Inputs!$D$5:$D$130*(((Inputs!$G$5:$G$130="moeda")+(Inputs!$G$5:$G$130="acoes"))*Inputs!$B$1+((Inputs!$G$5:$G$130&lt;&gt;"moeda")*(Inputs!$G$5:$G$130&lt;&gt;"acoes")))*INDEX(Inputs!$K$5:$AJ$130,0,MATCH(J$2,Inputs!$K$4:$AJ$4,0)))+SUMPRODUCT((Inputs!$E$5:$E$130=$B10)*Inputs!$F$5:$F$130*(((Inputs!$G$5:$G$130="moeda")+(Inputs!$G$5:$G$130="acoes"))*Inputs!$B$1+((Inputs!$G$5:$G$130&lt;&gt;"moeda")*(Inputs!$G$5:$G$130&lt;&gt;"acoes")))*INDEX(Inputs!$K$5:$AJ$130,0,MATCH(J$2,Inputs!$K$4:$AJ$4,0)))))</f>
        <v>-7922</v>
      </c>
      <c r="K10" s="265">
        <f>IF(ISNA(MATCH(K$2,Inputs!$K$4:$AJ$4,0)),NA(),IF(SUMPRODUCT((Inputs!$A$5:$A$130=$B10)*ISNUMBER(INDEX(Inputs!$K$5:$AJ$130,0,MATCH(K$2,Inputs!$K$4:$AJ$4,0))))+SUMPRODUCT((Inputs!$C$5:$C$130=$B10)*ISNUMBER(INDEX(Inputs!$K$5:$AJ$130,0,MATCH(K$2,Inputs!$K$4:$AJ$4,0))))+SUMPRODUCT((Inputs!$E$5:$E$130=$B10)*ISNUMBER(INDEX(Inputs!$K$5:$AJ$130,0,MATCH(K$2,Inputs!$K$4:$AJ$4,0))))=0,NA(),SUMPRODUCT((Inputs!$A$5:$A$130=$B10)*Inputs!$B$5:$B$130*(((Inputs!$G$5:$G$130="moeda")+(Inputs!$G$5:$G$130="acoes"))*Inputs!$B$1+((Inputs!$G$5:$G$130&lt;&gt;"moeda")*(Inputs!$G$5:$G$130&lt;&gt;"acoes")))*INDEX(Inputs!$K$5:$AJ$130,0,MATCH(K$2,Inputs!$K$4:$AJ$4,0)))+SUMPRODUCT((Inputs!$C$5:$C$130=$B10)*Inputs!$D$5:$D$130*(((Inputs!$G$5:$G$130="moeda")+(Inputs!$G$5:$G$130="acoes"))*Inputs!$B$1+((Inputs!$G$5:$G$130&lt;&gt;"moeda")*(Inputs!$G$5:$G$130&lt;&gt;"acoes")))*INDEX(Inputs!$K$5:$AJ$130,0,MATCH(K$2,Inputs!$K$4:$AJ$4,0)))+SUMPRODUCT((Inputs!$E$5:$E$130=$B10)*Inputs!$F$5:$F$130*(((Inputs!$G$5:$G$130="moeda")+(Inputs!$G$5:$G$130="acoes"))*Inputs!$B$1+((Inputs!$G$5:$G$130&lt;&gt;"moeda")*(Inputs!$G$5:$G$130&lt;&gt;"acoes")))*INDEX(Inputs!$K$5:$AJ$130,0,MATCH(K$2,Inputs!$K$4:$AJ$4,0)))))</f>
        <v>-4587</v>
      </c>
      <c r="L10" s="265">
        <f>IF(ISNA(MATCH(L$2,Inputs!$K$4:$AJ$4,0)),NA(),IF(SUMPRODUCT((Inputs!$A$5:$A$130=$B10)*ISNUMBER(INDEX(Inputs!$K$5:$AJ$130,0,MATCH(L$2,Inputs!$K$4:$AJ$4,0))))+SUMPRODUCT((Inputs!$C$5:$C$130=$B10)*ISNUMBER(INDEX(Inputs!$K$5:$AJ$130,0,MATCH(L$2,Inputs!$K$4:$AJ$4,0))))+SUMPRODUCT((Inputs!$E$5:$E$130=$B10)*ISNUMBER(INDEX(Inputs!$K$5:$AJ$130,0,MATCH(L$2,Inputs!$K$4:$AJ$4,0))))=0,NA(),SUMPRODUCT((Inputs!$A$5:$A$130=$B10)*Inputs!$B$5:$B$130*(((Inputs!$G$5:$G$130="moeda")+(Inputs!$G$5:$G$130="acoes"))*Inputs!$B$1+((Inputs!$G$5:$G$130&lt;&gt;"moeda")*(Inputs!$G$5:$G$130&lt;&gt;"acoes")))*INDEX(Inputs!$K$5:$AJ$130,0,MATCH(L$2,Inputs!$K$4:$AJ$4,0)))+SUMPRODUCT((Inputs!$C$5:$C$130=$B10)*Inputs!$D$5:$D$130*(((Inputs!$G$5:$G$130="moeda")+(Inputs!$G$5:$G$130="acoes"))*Inputs!$B$1+((Inputs!$G$5:$G$130&lt;&gt;"moeda")*(Inputs!$G$5:$G$130&lt;&gt;"acoes")))*INDEX(Inputs!$K$5:$AJ$130,0,MATCH(L$2,Inputs!$K$4:$AJ$4,0)))+SUMPRODUCT((Inputs!$E$5:$E$130=$B10)*Inputs!$F$5:$F$130*(((Inputs!$G$5:$G$130="moeda")+(Inputs!$G$5:$G$130="acoes"))*Inputs!$B$1+((Inputs!$G$5:$G$130&lt;&gt;"moeda")*(Inputs!$G$5:$G$130&lt;&gt;"acoes")))*INDEX(Inputs!$K$5:$AJ$130,0,MATCH(L$2,Inputs!$K$4:$AJ$4,0)))))</f>
        <v>-5975</v>
      </c>
      <c r="M10" s="266">
        <f>SUM(I10:L10)</f>
        <v>-21941</v>
      </c>
      <c r="N10" s="265">
        <f>IF(ISNA(MATCH(N$2,Inputs!$K$4:$AJ$4,0)),NA(),IF(SUMPRODUCT((Inputs!$A$5:$A$130=$B10)*ISNUMBER(INDEX(Inputs!$K$5:$AJ$130,0,MATCH(N$2,Inputs!$K$4:$AJ$4,0))))+SUMPRODUCT((Inputs!$C$5:$C$130=$B10)*ISNUMBER(INDEX(Inputs!$K$5:$AJ$130,0,MATCH(N$2,Inputs!$K$4:$AJ$4,0))))+SUMPRODUCT((Inputs!$E$5:$E$130=$B10)*ISNUMBER(INDEX(Inputs!$K$5:$AJ$130,0,MATCH(N$2,Inputs!$K$4:$AJ$4,0))))=0,NA(),SUMPRODUCT((Inputs!$A$5:$A$130=$B10)*Inputs!$B$5:$B$130*(((Inputs!$G$5:$G$130="moeda")+(Inputs!$G$5:$G$130="acoes"))*Inputs!$B$1+((Inputs!$G$5:$G$130&lt;&gt;"moeda")*(Inputs!$G$5:$G$130&lt;&gt;"acoes")))*INDEX(Inputs!$K$5:$AJ$130,0,MATCH(N$2,Inputs!$K$4:$AJ$4,0)))+SUMPRODUCT((Inputs!$C$5:$C$130=$B10)*Inputs!$D$5:$D$130*(((Inputs!$G$5:$G$130="moeda")+(Inputs!$G$5:$G$130="acoes"))*Inputs!$B$1+((Inputs!$G$5:$G$130&lt;&gt;"moeda")*(Inputs!$G$5:$G$130&lt;&gt;"acoes")))*INDEX(Inputs!$K$5:$AJ$130,0,MATCH(N$2,Inputs!$K$4:$AJ$4,0)))+SUMPRODUCT((Inputs!$E$5:$E$130=$B10)*Inputs!$F$5:$F$130*(((Inputs!$G$5:$G$130="moeda")+(Inputs!$G$5:$G$130="acoes"))*Inputs!$B$1+((Inputs!$G$5:$G$130&lt;&gt;"moeda")*(Inputs!$G$5:$G$130&lt;&gt;"acoes")))*INDEX(Inputs!$K$5:$AJ$130,0,MATCH(N$2,Inputs!$K$4:$AJ$4,0)))))</f>
        <v>-5582</v>
      </c>
      <c r="O10" s="265">
        <f>IF(ISNA(MATCH(O$2,Inputs!$K$4:$AJ$4,0)),NA(),IF(SUMPRODUCT((Inputs!$A$5:$A$130=$B10)*ISNUMBER(INDEX(Inputs!$K$5:$AJ$130,0,MATCH(O$2,Inputs!$K$4:$AJ$4,0))))+SUMPRODUCT((Inputs!$C$5:$C$130=$B10)*ISNUMBER(INDEX(Inputs!$K$5:$AJ$130,0,MATCH(O$2,Inputs!$K$4:$AJ$4,0))))+SUMPRODUCT((Inputs!$E$5:$E$130=$B10)*ISNUMBER(INDEX(Inputs!$K$5:$AJ$130,0,MATCH(O$2,Inputs!$K$4:$AJ$4,0))))=0,NA(),SUMPRODUCT((Inputs!$A$5:$A$130=$B10)*Inputs!$B$5:$B$130*(((Inputs!$G$5:$G$130="moeda")+(Inputs!$G$5:$G$130="acoes"))*Inputs!$B$1+((Inputs!$G$5:$G$130&lt;&gt;"moeda")*(Inputs!$G$5:$G$130&lt;&gt;"acoes")))*INDEX(Inputs!$K$5:$AJ$130,0,MATCH(O$2,Inputs!$K$4:$AJ$4,0)))+SUMPRODUCT((Inputs!$C$5:$C$130=$B10)*Inputs!$D$5:$D$130*(((Inputs!$G$5:$G$130="moeda")+(Inputs!$G$5:$G$130="acoes"))*Inputs!$B$1+((Inputs!$G$5:$G$130&lt;&gt;"moeda")*(Inputs!$G$5:$G$130&lt;&gt;"acoes")))*INDEX(Inputs!$K$5:$AJ$130,0,MATCH(O$2,Inputs!$K$4:$AJ$4,0)))+SUMPRODUCT((Inputs!$E$5:$E$130=$B10)*Inputs!$F$5:$F$130*(((Inputs!$G$5:$G$130="moeda")+(Inputs!$G$5:$G$130="acoes"))*Inputs!$B$1+((Inputs!$G$5:$G$130&lt;&gt;"moeda")*(Inputs!$G$5:$G$130&lt;&gt;"acoes")))*INDEX(Inputs!$K$5:$AJ$130,0,MATCH(O$2,Inputs!$K$4:$AJ$4,0)))))</f>
        <v>-2195</v>
      </c>
      <c r="P10" s="265">
        <f>IF(ISNA(MATCH(P$2,Inputs!$K$4:$AJ$4,0)),NA(),IF(SUMPRODUCT((Inputs!$A$5:$A$130=$B10)*ISNUMBER(INDEX(Inputs!$K$5:$AJ$130,0,MATCH(P$2,Inputs!$K$4:$AJ$4,0))))+SUMPRODUCT((Inputs!$C$5:$C$130=$B10)*ISNUMBER(INDEX(Inputs!$K$5:$AJ$130,0,MATCH(P$2,Inputs!$K$4:$AJ$4,0))))+SUMPRODUCT((Inputs!$E$5:$E$130=$B10)*ISNUMBER(INDEX(Inputs!$K$5:$AJ$130,0,MATCH(P$2,Inputs!$K$4:$AJ$4,0))))=0,NA(),SUMPRODUCT((Inputs!$A$5:$A$130=$B10)*Inputs!$B$5:$B$130*(((Inputs!$G$5:$G$130="moeda")+(Inputs!$G$5:$G$130="acoes"))*Inputs!$B$1+((Inputs!$G$5:$G$130&lt;&gt;"moeda")*(Inputs!$G$5:$G$130&lt;&gt;"acoes")))*INDEX(Inputs!$K$5:$AJ$130,0,MATCH(P$2,Inputs!$K$4:$AJ$4,0)))+SUMPRODUCT((Inputs!$C$5:$C$130=$B10)*Inputs!$D$5:$D$130*(((Inputs!$G$5:$G$130="moeda")+(Inputs!$G$5:$G$130="acoes"))*Inputs!$B$1+((Inputs!$G$5:$G$130&lt;&gt;"moeda")*(Inputs!$G$5:$G$130&lt;&gt;"acoes")))*INDEX(Inputs!$K$5:$AJ$130,0,MATCH(P$2,Inputs!$K$4:$AJ$4,0)))+SUMPRODUCT((Inputs!$E$5:$E$130=$B10)*Inputs!$F$5:$F$130*(((Inputs!$G$5:$G$130="moeda")+(Inputs!$G$5:$G$130="acoes"))*Inputs!$B$1+((Inputs!$G$5:$G$130&lt;&gt;"moeda")*(Inputs!$G$5:$G$130&lt;&gt;"acoes")))*INDEX(Inputs!$K$5:$AJ$130,0,MATCH(P$2,Inputs!$K$4:$AJ$4,0)))))</f>
        <v>-4115</v>
      </c>
      <c r="Q10" s="265">
        <f>IF(ISNA(MATCH(Q$2,Inputs!$K$4:$AJ$4,0)),NA(),IF(SUMPRODUCT((Inputs!$A$5:$A$130=$B10)*ISNUMBER(INDEX(Inputs!$K$5:$AJ$130,0,MATCH(Q$2,Inputs!$K$4:$AJ$4,0))))+SUMPRODUCT((Inputs!$C$5:$C$130=$B10)*ISNUMBER(INDEX(Inputs!$K$5:$AJ$130,0,MATCH(Q$2,Inputs!$K$4:$AJ$4,0))))+SUMPRODUCT((Inputs!$E$5:$E$130=$B10)*ISNUMBER(INDEX(Inputs!$K$5:$AJ$130,0,MATCH(Q$2,Inputs!$K$4:$AJ$4,0))))=0,NA(),SUMPRODUCT((Inputs!$A$5:$A$130=$B10)*Inputs!$B$5:$B$130*(((Inputs!$G$5:$G$130="moeda")+(Inputs!$G$5:$G$130="acoes"))*Inputs!$B$1+((Inputs!$G$5:$G$130&lt;&gt;"moeda")*(Inputs!$G$5:$G$130&lt;&gt;"acoes")))*INDEX(Inputs!$K$5:$AJ$130,0,MATCH(Q$2,Inputs!$K$4:$AJ$4,0)))+SUMPRODUCT((Inputs!$C$5:$C$130=$B10)*Inputs!$D$5:$D$130*(((Inputs!$G$5:$G$130="moeda")+(Inputs!$G$5:$G$130="acoes"))*Inputs!$B$1+((Inputs!$G$5:$G$130&lt;&gt;"moeda")*(Inputs!$G$5:$G$130&lt;&gt;"acoes")))*INDEX(Inputs!$K$5:$AJ$130,0,MATCH(Q$2,Inputs!$K$4:$AJ$4,0)))+SUMPRODUCT((Inputs!$E$5:$E$130=$B10)*Inputs!$F$5:$F$130*(((Inputs!$G$5:$G$130="moeda")+(Inputs!$G$5:$G$130="acoes"))*Inputs!$B$1+((Inputs!$G$5:$G$130&lt;&gt;"moeda")*(Inputs!$G$5:$G$130&lt;&gt;"acoes")))*INDEX(Inputs!$K$5:$AJ$130,0,MATCH(Q$2,Inputs!$K$4:$AJ$4,0)))))</f>
        <v>-1099</v>
      </c>
      <c r="R10" s="266">
        <f>SUM(N10:Q10)</f>
        <v>-12991</v>
      </c>
      <c r="S10" s="265">
        <f>IF(ISNA(MATCH(S$2,Inputs!$K$4:$AJ$4,0)),NA(),IF(SUMPRODUCT((Inputs!$A$5:$A$130=$B10)*ISNUMBER(INDEX(Inputs!$K$5:$AJ$130,0,MATCH(S$2,Inputs!$K$4:$AJ$4,0))))+SUMPRODUCT((Inputs!$C$5:$C$130=$B10)*ISNUMBER(INDEX(Inputs!$K$5:$AJ$130,0,MATCH(S$2,Inputs!$K$4:$AJ$4,0))))+SUMPRODUCT((Inputs!$E$5:$E$130=$B10)*ISNUMBER(INDEX(Inputs!$K$5:$AJ$130,0,MATCH(S$2,Inputs!$K$4:$AJ$4,0))))=0,NA(),SUMPRODUCT((Inputs!$A$5:$A$130=$B10)*Inputs!$B$5:$B$130*(((Inputs!$G$5:$G$130="moeda")+(Inputs!$G$5:$G$130="acoes"))*Inputs!$B$1+((Inputs!$G$5:$G$130&lt;&gt;"moeda")*(Inputs!$G$5:$G$130&lt;&gt;"acoes")))*INDEX(Inputs!$K$5:$AJ$130,0,MATCH(S$2,Inputs!$K$4:$AJ$4,0)))+SUMPRODUCT((Inputs!$C$5:$C$130=$B10)*Inputs!$D$5:$D$130*(((Inputs!$G$5:$G$130="moeda")+(Inputs!$G$5:$G$130="acoes"))*Inputs!$B$1+((Inputs!$G$5:$G$130&lt;&gt;"moeda")*(Inputs!$G$5:$G$130&lt;&gt;"acoes")))*INDEX(Inputs!$K$5:$AJ$130,0,MATCH(S$2,Inputs!$K$4:$AJ$4,0)))+SUMPRODUCT((Inputs!$E$5:$E$130=$B10)*Inputs!$F$5:$F$130*(((Inputs!$G$5:$G$130="moeda")+(Inputs!$G$5:$G$130="acoes"))*Inputs!$B$1+((Inputs!$G$5:$G$130&lt;&gt;"moeda")*(Inputs!$G$5:$G$130&lt;&gt;"acoes")))*INDEX(Inputs!$K$5:$AJ$130,0,MATCH(S$2,Inputs!$K$4:$AJ$4,0)))))</f>
        <v>-3604</v>
      </c>
      <c r="T10" s="265">
        <f>IF(ISNA(MATCH(T$2,Inputs!$K$4:$AJ$4,0)),NA(),IF(SUMPRODUCT((Inputs!$A$5:$A$130=$B10)*ISNUMBER(INDEX(Inputs!$K$5:$AJ$130,0,MATCH(T$2,Inputs!$K$4:$AJ$4,0))))+SUMPRODUCT((Inputs!$C$5:$C$130=$B10)*ISNUMBER(INDEX(Inputs!$K$5:$AJ$130,0,MATCH(T$2,Inputs!$K$4:$AJ$4,0))))+SUMPRODUCT((Inputs!$E$5:$E$130=$B10)*ISNUMBER(INDEX(Inputs!$K$5:$AJ$130,0,MATCH(T$2,Inputs!$K$4:$AJ$4,0))))=0,NA(),SUMPRODUCT((Inputs!$A$5:$A$130=$B10)*Inputs!$B$5:$B$130*(((Inputs!$G$5:$G$130="moeda")+(Inputs!$G$5:$G$130="acoes"))*Inputs!$B$1+((Inputs!$G$5:$G$130&lt;&gt;"moeda")*(Inputs!$G$5:$G$130&lt;&gt;"acoes")))*INDEX(Inputs!$K$5:$AJ$130,0,MATCH(T$2,Inputs!$K$4:$AJ$4,0)))+SUMPRODUCT((Inputs!$C$5:$C$130=$B10)*Inputs!$D$5:$D$130*(((Inputs!$G$5:$G$130="moeda")+(Inputs!$G$5:$G$130="acoes"))*Inputs!$B$1+((Inputs!$G$5:$G$130&lt;&gt;"moeda")*(Inputs!$G$5:$G$130&lt;&gt;"acoes")))*INDEX(Inputs!$K$5:$AJ$130,0,MATCH(T$2,Inputs!$K$4:$AJ$4,0)))+SUMPRODUCT((Inputs!$E$5:$E$130=$B10)*Inputs!$F$5:$F$130*(((Inputs!$G$5:$G$130="moeda")+(Inputs!$G$5:$G$130="acoes"))*Inputs!$B$1+((Inputs!$G$5:$G$130&lt;&gt;"moeda")*(Inputs!$G$5:$G$130&lt;&gt;"acoes")))*INDEX(Inputs!$K$5:$AJ$130,0,MATCH(T$2,Inputs!$K$4:$AJ$4,0)))))</f>
        <v>-3754</v>
      </c>
      <c r="U10" s="265">
        <f>IF(ISNA(MATCH(U$2,Inputs!$K$4:$AJ$4,0)),NA(),IF(SUMPRODUCT((Inputs!$A$5:$A$130=$B10)*ISNUMBER(INDEX(Inputs!$K$5:$AJ$130,0,MATCH(U$2,Inputs!$K$4:$AJ$4,0))))+SUMPRODUCT((Inputs!$C$5:$C$130=$B10)*ISNUMBER(INDEX(Inputs!$K$5:$AJ$130,0,MATCH(U$2,Inputs!$K$4:$AJ$4,0))))+SUMPRODUCT((Inputs!$E$5:$E$130=$B10)*ISNUMBER(INDEX(Inputs!$K$5:$AJ$130,0,MATCH(U$2,Inputs!$K$4:$AJ$4,0))))=0,NA(),SUMPRODUCT((Inputs!$A$5:$A$130=$B10)*Inputs!$B$5:$B$130*(((Inputs!$G$5:$G$130="moeda")+(Inputs!$G$5:$G$130="acoes"))*Inputs!$B$1+((Inputs!$G$5:$G$130&lt;&gt;"moeda")*(Inputs!$G$5:$G$130&lt;&gt;"acoes")))*INDEX(Inputs!$K$5:$AJ$130,0,MATCH(U$2,Inputs!$K$4:$AJ$4,0)))+SUMPRODUCT((Inputs!$C$5:$C$130=$B10)*Inputs!$D$5:$D$130*(((Inputs!$G$5:$G$130="moeda")+(Inputs!$G$5:$G$130="acoes"))*Inputs!$B$1+((Inputs!$G$5:$G$130&lt;&gt;"moeda")*(Inputs!$G$5:$G$130&lt;&gt;"acoes")))*INDEX(Inputs!$K$5:$AJ$130,0,MATCH(U$2,Inputs!$K$4:$AJ$4,0)))+SUMPRODUCT((Inputs!$E$5:$E$130=$B10)*Inputs!$F$5:$F$130*(((Inputs!$G$5:$G$130="moeda")+(Inputs!$G$5:$G$130="acoes"))*Inputs!$B$1+((Inputs!$G$5:$G$130&lt;&gt;"moeda")*(Inputs!$G$5:$G$130&lt;&gt;"acoes")))*INDEX(Inputs!$K$5:$AJ$130,0,MATCH(U$2,Inputs!$K$4:$AJ$4,0)))))</f>
        <v>-2879</v>
      </c>
      <c r="V10" s="265">
        <f>IF(ISNA(MATCH(V$2,Inputs!$K$4:$AJ$4,0)),NA(),IF(SUMPRODUCT((Inputs!$A$5:$A$130=$B10)*ISNUMBER(INDEX(Inputs!$K$5:$AJ$130,0,MATCH(V$2,Inputs!$K$4:$AJ$4,0))))+SUMPRODUCT((Inputs!$C$5:$C$130=$B10)*ISNUMBER(INDEX(Inputs!$K$5:$AJ$130,0,MATCH(V$2,Inputs!$K$4:$AJ$4,0))))+SUMPRODUCT((Inputs!$E$5:$E$130=$B10)*ISNUMBER(INDEX(Inputs!$K$5:$AJ$130,0,MATCH(V$2,Inputs!$K$4:$AJ$4,0))))=0,NA(),SUMPRODUCT((Inputs!$A$5:$A$130=$B10)*Inputs!$B$5:$B$130*(((Inputs!$G$5:$G$130="moeda")+(Inputs!$G$5:$G$130="acoes"))*Inputs!$B$1+((Inputs!$G$5:$G$130&lt;&gt;"moeda")*(Inputs!$G$5:$G$130&lt;&gt;"acoes")))*INDEX(Inputs!$K$5:$AJ$130,0,MATCH(V$2,Inputs!$K$4:$AJ$4,0)))+SUMPRODUCT((Inputs!$C$5:$C$130=$B10)*Inputs!$D$5:$D$130*(((Inputs!$G$5:$G$130="moeda")+(Inputs!$G$5:$G$130="acoes"))*Inputs!$B$1+((Inputs!$G$5:$G$130&lt;&gt;"moeda")*(Inputs!$G$5:$G$130&lt;&gt;"acoes")))*INDEX(Inputs!$K$5:$AJ$130,0,MATCH(V$2,Inputs!$K$4:$AJ$4,0)))+SUMPRODUCT((Inputs!$E$5:$E$130=$B10)*Inputs!$F$5:$F$130*(((Inputs!$G$5:$G$130="moeda")+(Inputs!$G$5:$G$130="acoes"))*Inputs!$B$1+((Inputs!$G$5:$G$130&lt;&gt;"moeda")*(Inputs!$G$5:$G$130&lt;&gt;"acoes")))*INDEX(Inputs!$K$5:$AJ$130,0,MATCH(V$2,Inputs!$K$4:$AJ$4,0)))))</f>
        <v>-3164</v>
      </c>
      <c r="W10" s="266">
        <f>SUM(S10:V10)</f>
        <v>-13401</v>
      </c>
      <c r="X10" s="265">
        <f>IF(ISNA(MATCH(X$2,Inputs!$K$4:$AJ$4,0)),NA(),IF(SUMPRODUCT((Inputs!$A$5:$A$130=$B10)*ISNUMBER(INDEX(Inputs!$K$5:$AJ$130,0,MATCH(X$2,Inputs!$K$4:$AJ$4,0))))+SUMPRODUCT((Inputs!$C$5:$C$130=$B10)*ISNUMBER(INDEX(Inputs!$K$5:$AJ$130,0,MATCH(X$2,Inputs!$K$4:$AJ$4,0))))+SUMPRODUCT((Inputs!$E$5:$E$130=$B10)*ISNUMBER(INDEX(Inputs!$K$5:$AJ$130,0,MATCH(X$2,Inputs!$K$4:$AJ$4,0))))=0,NA(),SUMPRODUCT((Inputs!$A$5:$A$130=$B10)*Inputs!$B$5:$B$130*(((Inputs!$G$5:$G$130="moeda")+(Inputs!$G$5:$G$130="acoes"))*Inputs!$B$1+((Inputs!$G$5:$G$130&lt;&gt;"moeda")*(Inputs!$G$5:$G$130&lt;&gt;"acoes")))*INDEX(Inputs!$K$5:$AJ$130,0,MATCH(X$2,Inputs!$K$4:$AJ$4,0)))+SUMPRODUCT((Inputs!$C$5:$C$130=$B10)*Inputs!$D$5:$D$130*(((Inputs!$G$5:$G$130="moeda")+(Inputs!$G$5:$G$130="acoes"))*Inputs!$B$1+((Inputs!$G$5:$G$130&lt;&gt;"moeda")*(Inputs!$G$5:$G$130&lt;&gt;"acoes")))*INDEX(Inputs!$K$5:$AJ$130,0,MATCH(X$2,Inputs!$K$4:$AJ$4,0)))+SUMPRODUCT((Inputs!$E$5:$E$130=$B10)*Inputs!$F$5:$F$130*(((Inputs!$G$5:$G$130="moeda")+(Inputs!$G$5:$G$130="acoes"))*Inputs!$B$1+((Inputs!$G$5:$G$130&lt;&gt;"moeda")*(Inputs!$G$5:$G$130&lt;&gt;"acoes")))*INDEX(Inputs!$K$5:$AJ$130,0,MATCH(X$2,Inputs!$K$4:$AJ$4,0)))))</f>
        <v>-4083</v>
      </c>
      <c r="Y10" s="265">
        <f>IF(ISNA(MATCH(Y$2,Inputs!$K$4:$AJ$4,0)),NA(),IF(SUMPRODUCT((Inputs!$A$5:$A$130=$B10)*ISNUMBER(INDEX(Inputs!$K$5:$AJ$130,0,MATCH(Y$2,Inputs!$K$4:$AJ$4,0))))+SUMPRODUCT((Inputs!$C$5:$C$130=$B10)*ISNUMBER(INDEX(Inputs!$K$5:$AJ$130,0,MATCH(Y$2,Inputs!$K$4:$AJ$4,0))))+SUMPRODUCT((Inputs!$E$5:$E$130=$B10)*ISNUMBER(INDEX(Inputs!$K$5:$AJ$130,0,MATCH(Y$2,Inputs!$K$4:$AJ$4,0))))=0,NA(),SUMPRODUCT((Inputs!$A$5:$A$130=$B10)*Inputs!$B$5:$B$130*(((Inputs!$G$5:$G$130="moeda")+(Inputs!$G$5:$G$130="acoes"))*Inputs!$B$1+((Inputs!$G$5:$G$130&lt;&gt;"moeda")*(Inputs!$G$5:$G$130&lt;&gt;"acoes")))*INDEX(Inputs!$K$5:$AJ$130,0,MATCH(Y$2,Inputs!$K$4:$AJ$4,0)))+SUMPRODUCT((Inputs!$C$5:$C$130=$B10)*Inputs!$D$5:$D$130*(((Inputs!$G$5:$G$130="moeda")+(Inputs!$G$5:$G$130="acoes"))*Inputs!$B$1+((Inputs!$G$5:$G$130&lt;&gt;"moeda")*(Inputs!$G$5:$G$130&lt;&gt;"acoes")))*INDEX(Inputs!$K$5:$AJ$130,0,MATCH(Y$2,Inputs!$K$4:$AJ$4,0)))+SUMPRODUCT((Inputs!$E$5:$E$130=$B10)*Inputs!$F$5:$F$130*(((Inputs!$G$5:$G$130="moeda")+(Inputs!$G$5:$G$130="acoes"))*Inputs!$B$1+((Inputs!$G$5:$G$130&lt;&gt;"moeda")*(Inputs!$G$5:$G$130&lt;&gt;"acoes")))*INDEX(Inputs!$K$5:$AJ$130,0,MATCH(Y$2,Inputs!$K$4:$AJ$4,0)))))</f>
        <v>-2332</v>
      </c>
      <c r="Z10" s="265">
        <f>IF(ISNA(MATCH(Z$2,Inputs!$K$4:$AJ$4,0)),NA(),IF(SUMPRODUCT((Inputs!$A$5:$A$130=$B10)*ISNUMBER(INDEX(Inputs!$K$5:$AJ$130,0,MATCH(Z$2,Inputs!$K$4:$AJ$4,0))))+SUMPRODUCT((Inputs!$C$5:$C$130=$B10)*ISNUMBER(INDEX(Inputs!$K$5:$AJ$130,0,MATCH(Z$2,Inputs!$K$4:$AJ$4,0))))+SUMPRODUCT((Inputs!$E$5:$E$130=$B10)*ISNUMBER(INDEX(Inputs!$K$5:$AJ$130,0,MATCH(Z$2,Inputs!$K$4:$AJ$4,0))))=0,NA(),SUMPRODUCT((Inputs!$A$5:$A$130=$B10)*Inputs!$B$5:$B$130*(((Inputs!$G$5:$G$130="moeda")+(Inputs!$G$5:$G$130="acoes"))*Inputs!$B$1+((Inputs!$G$5:$G$130&lt;&gt;"moeda")*(Inputs!$G$5:$G$130&lt;&gt;"acoes")))*INDEX(Inputs!$K$5:$AJ$130,0,MATCH(Z$2,Inputs!$K$4:$AJ$4,0)))+SUMPRODUCT((Inputs!$C$5:$C$130=$B10)*Inputs!$D$5:$D$130*(((Inputs!$G$5:$G$130="moeda")+(Inputs!$G$5:$G$130="acoes"))*Inputs!$B$1+((Inputs!$G$5:$G$130&lt;&gt;"moeda")*(Inputs!$G$5:$G$130&lt;&gt;"acoes")))*INDEX(Inputs!$K$5:$AJ$130,0,MATCH(Z$2,Inputs!$K$4:$AJ$4,0)))+SUMPRODUCT((Inputs!$E$5:$E$130=$B10)*Inputs!$F$5:$F$130*(((Inputs!$G$5:$G$130="moeda")+(Inputs!$G$5:$G$130="acoes"))*Inputs!$B$1+((Inputs!$G$5:$G$130&lt;&gt;"moeda")*(Inputs!$G$5:$G$130&lt;&gt;"acoes")))*INDEX(Inputs!$K$5:$AJ$130,0,MATCH(Z$2,Inputs!$K$4:$AJ$4,0)))))</f>
        <v>-2504</v>
      </c>
      <c r="AA10" s="265">
        <f>IF(ISNA(MATCH(AA$2,Inputs!$K$4:$AJ$4,0)),NA(),IF(SUMPRODUCT((Inputs!$A$5:$A$130=$B10)*ISNUMBER(INDEX(Inputs!$K$5:$AJ$130,0,MATCH(AA$2,Inputs!$K$4:$AJ$4,0))))+SUMPRODUCT((Inputs!$C$5:$C$130=$B10)*ISNUMBER(INDEX(Inputs!$K$5:$AJ$130,0,MATCH(AA$2,Inputs!$K$4:$AJ$4,0))))+SUMPRODUCT((Inputs!$E$5:$E$130=$B10)*ISNUMBER(INDEX(Inputs!$K$5:$AJ$130,0,MATCH(AA$2,Inputs!$K$4:$AJ$4,0))))=0,NA(),SUMPRODUCT((Inputs!$A$5:$A$130=$B10)*Inputs!$B$5:$B$130*(((Inputs!$G$5:$G$130="moeda")+(Inputs!$G$5:$G$130="acoes"))*Inputs!$B$1+((Inputs!$G$5:$G$130&lt;&gt;"moeda")*(Inputs!$G$5:$G$130&lt;&gt;"acoes")))*INDEX(Inputs!$K$5:$AJ$130,0,MATCH(AA$2,Inputs!$K$4:$AJ$4,0)))+SUMPRODUCT((Inputs!$C$5:$C$130=$B10)*Inputs!$D$5:$D$130*(((Inputs!$G$5:$G$130="moeda")+(Inputs!$G$5:$G$130="acoes"))*Inputs!$B$1+((Inputs!$G$5:$G$130&lt;&gt;"moeda")*(Inputs!$G$5:$G$130&lt;&gt;"acoes")))*INDEX(Inputs!$K$5:$AJ$130,0,MATCH(AA$2,Inputs!$K$4:$AJ$4,0)))+SUMPRODUCT((Inputs!$E$5:$E$130=$B10)*Inputs!$F$5:$F$130*(((Inputs!$G$5:$G$130="moeda")+(Inputs!$G$5:$G$130="acoes"))*Inputs!$B$1+((Inputs!$G$5:$G$130&lt;&gt;"moeda")*(Inputs!$G$5:$G$130&lt;&gt;"acoes")))*INDEX(Inputs!$K$5:$AJ$130,0,MATCH(AA$2,Inputs!$K$4:$AJ$4,0)))))</f>
        <v>-2718</v>
      </c>
      <c r="AB10" s="266">
        <f>SUM(X10:AA10)</f>
        <v>-11637</v>
      </c>
      <c r="AC10" s="265">
        <f>IF(ISNA(MATCH(AC$2,Inputs!$K$4:$AJ$4,0)),NA(),IF(SUMPRODUCT((Inputs!$A$5:$A$130=$B10)*ISNUMBER(INDEX(Inputs!$K$5:$AJ$130,0,MATCH(AC$2,Inputs!$K$4:$AJ$4,0))))+SUMPRODUCT((Inputs!$C$5:$C$130=$B10)*ISNUMBER(INDEX(Inputs!$K$5:$AJ$130,0,MATCH(AC$2,Inputs!$K$4:$AJ$4,0))))+SUMPRODUCT((Inputs!$E$5:$E$130=$B10)*ISNUMBER(INDEX(Inputs!$K$5:$AJ$130,0,MATCH(AC$2,Inputs!$K$4:$AJ$4,0))))=0,NA(),SUMPRODUCT((Inputs!$A$5:$A$130=$B10)*Inputs!$B$5:$B$130*(((Inputs!$G$5:$G$130="moeda")+(Inputs!$G$5:$G$130="acoes"))*Inputs!$B$1+((Inputs!$G$5:$G$130&lt;&gt;"moeda")*(Inputs!$G$5:$G$130&lt;&gt;"acoes")))*INDEX(Inputs!$K$5:$AJ$130,0,MATCH(AC$2,Inputs!$K$4:$AJ$4,0)))+SUMPRODUCT((Inputs!$C$5:$C$130=$B10)*Inputs!$D$5:$D$130*(((Inputs!$G$5:$G$130="moeda")+(Inputs!$G$5:$G$130="acoes"))*Inputs!$B$1+((Inputs!$G$5:$G$130&lt;&gt;"moeda")*(Inputs!$G$5:$G$130&lt;&gt;"acoes")))*INDEX(Inputs!$K$5:$AJ$130,0,MATCH(AC$2,Inputs!$K$4:$AJ$4,0)))+SUMPRODUCT((Inputs!$E$5:$E$130=$B10)*Inputs!$F$5:$F$130*(((Inputs!$G$5:$G$130="moeda")+(Inputs!$G$5:$G$130="acoes"))*Inputs!$B$1+((Inputs!$G$5:$G$130&lt;&gt;"moeda")*(Inputs!$G$5:$G$130&lt;&gt;"acoes")))*INDEX(Inputs!$K$5:$AJ$130,0,MATCH(AC$2,Inputs!$K$4:$AJ$4,0)))))</f>
        <v>-3570</v>
      </c>
      <c r="AD10" s="265">
        <f>IF(ISNA(MATCH(AD$2,Inputs!$K$4:$AJ$4,0)),NA(),IF(SUMPRODUCT((Inputs!$A$5:$A$130=$B10)*ISNUMBER(INDEX(Inputs!$K$5:$AJ$130,0,MATCH(AD$2,Inputs!$K$4:$AJ$4,0))))+SUMPRODUCT((Inputs!$C$5:$C$130=$B10)*ISNUMBER(INDEX(Inputs!$K$5:$AJ$130,0,MATCH(AD$2,Inputs!$K$4:$AJ$4,0))))+SUMPRODUCT((Inputs!$E$5:$E$130=$B10)*ISNUMBER(INDEX(Inputs!$K$5:$AJ$130,0,MATCH(AD$2,Inputs!$K$4:$AJ$4,0))))=0,NA(),SUMPRODUCT((Inputs!$A$5:$A$130=$B10)*Inputs!$B$5:$B$130*(((Inputs!$G$5:$G$130="moeda")+(Inputs!$G$5:$G$130="acoes"))*Inputs!$B$1+((Inputs!$G$5:$G$130&lt;&gt;"moeda")*(Inputs!$G$5:$G$130&lt;&gt;"acoes")))*INDEX(Inputs!$K$5:$AJ$130,0,MATCH(AD$2,Inputs!$K$4:$AJ$4,0)))+SUMPRODUCT((Inputs!$C$5:$C$130=$B10)*Inputs!$D$5:$D$130*(((Inputs!$G$5:$G$130="moeda")+(Inputs!$G$5:$G$130="acoes"))*Inputs!$B$1+((Inputs!$G$5:$G$130&lt;&gt;"moeda")*(Inputs!$G$5:$G$130&lt;&gt;"acoes")))*INDEX(Inputs!$K$5:$AJ$130,0,MATCH(AD$2,Inputs!$K$4:$AJ$4,0)))+SUMPRODUCT((Inputs!$E$5:$E$130=$B10)*Inputs!$F$5:$F$130*(((Inputs!$G$5:$G$130="moeda")+(Inputs!$G$5:$G$130="acoes"))*Inputs!$B$1+((Inputs!$G$5:$G$130&lt;&gt;"moeda")*(Inputs!$G$5:$G$130&lt;&gt;"acoes")))*INDEX(Inputs!$K$5:$AJ$130,0,MATCH(AD$2,Inputs!$K$4:$AJ$4,0)))))</f>
        <v>-4949</v>
      </c>
      <c r="AE10" s="265" t="e">
        <f>IF(ISNA(MATCH(AE$2,Inputs!$K$4:$AJ$4,0)),NA(),IF(SUMPRODUCT((Inputs!$A$5:$A$130=$B10)*ISNUMBER(INDEX(Inputs!$K$5:$AJ$130,0,MATCH(AE$2,Inputs!$K$4:$AJ$4,0))))+SUMPRODUCT((Inputs!$C$5:$C$130=$B10)*ISNUMBER(INDEX(Inputs!$K$5:$AJ$130,0,MATCH(AE$2,Inputs!$K$4:$AJ$4,0))))+SUMPRODUCT((Inputs!$E$5:$E$130=$B10)*ISNUMBER(INDEX(Inputs!$K$5:$AJ$130,0,MATCH(AE$2,Inputs!$K$4:$AJ$4,0))))=0,NA(),SUMPRODUCT((Inputs!$A$5:$A$130=$B10)*Inputs!$B$5:$B$130*(((Inputs!$G$5:$G$130="moeda")+(Inputs!$G$5:$G$130="acoes"))*Inputs!$B$1+((Inputs!$G$5:$G$130&lt;&gt;"moeda")*(Inputs!$G$5:$G$130&lt;&gt;"acoes")))*INDEX(Inputs!$K$5:$AJ$130,0,MATCH(AE$2,Inputs!$K$4:$AJ$4,0)))+SUMPRODUCT((Inputs!$C$5:$C$130=$B10)*Inputs!$D$5:$D$130*(((Inputs!$G$5:$G$130="moeda")+(Inputs!$G$5:$G$130="acoes"))*Inputs!$B$1+((Inputs!$G$5:$G$130&lt;&gt;"moeda")*(Inputs!$G$5:$G$130&lt;&gt;"acoes")))*INDEX(Inputs!$K$5:$AJ$130,0,MATCH(AE$2,Inputs!$K$4:$AJ$4,0)))+SUMPRODUCT((Inputs!$E$5:$E$130=$B10)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0" s="265" t="e">
        <f>IF(ISNA(MATCH(AF$2,Inputs!$K$4:$AJ$4,0)),NA(),IF(SUMPRODUCT((Inputs!$A$5:$A$130=$B10)*ISNUMBER(INDEX(Inputs!$K$5:$AJ$130,0,MATCH(AF$2,Inputs!$K$4:$AJ$4,0))))+SUMPRODUCT((Inputs!$C$5:$C$130=$B10)*ISNUMBER(INDEX(Inputs!$K$5:$AJ$130,0,MATCH(AF$2,Inputs!$K$4:$AJ$4,0))))+SUMPRODUCT((Inputs!$E$5:$E$130=$B10)*ISNUMBER(INDEX(Inputs!$K$5:$AJ$130,0,MATCH(AF$2,Inputs!$K$4:$AJ$4,0))))=0,NA(),SUMPRODUCT((Inputs!$A$5:$A$130=$B10)*Inputs!$B$5:$B$130*(((Inputs!$G$5:$G$130="moeda")+(Inputs!$G$5:$G$130="acoes"))*Inputs!$B$1+((Inputs!$G$5:$G$130&lt;&gt;"moeda")*(Inputs!$G$5:$G$130&lt;&gt;"acoes")))*INDEX(Inputs!$K$5:$AJ$130,0,MATCH(AF$2,Inputs!$K$4:$AJ$4,0)))+SUMPRODUCT((Inputs!$C$5:$C$130=$B10)*Inputs!$D$5:$D$130*(((Inputs!$G$5:$G$130="moeda")+(Inputs!$G$5:$G$130="acoes"))*Inputs!$B$1+((Inputs!$G$5:$G$130&lt;&gt;"moeda")*(Inputs!$G$5:$G$130&lt;&gt;"acoes")))*INDEX(Inputs!$K$5:$AJ$130,0,MATCH(AF$2,Inputs!$K$4:$AJ$4,0)))+SUMPRODUCT((Inputs!$E$5:$E$130=$B10)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0" s="266" t="e">
        <f>SUM(AC10:AF10)</f>
        <v>#N/A</v>
      </c>
      <c r="AH10" s="265" t="e">
        <f>IF(ISNA(MATCH(AH$2,Inputs!$K$4:$AJ$4,0)),NA(),IF(SUMPRODUCT((Inputs!$A$5:$A$130=$B10)*ISNUMBER(INDEX(Inputs!$K$5:$AJ$130,0,MATCH(AH$2,Inputs!$K$4:$AJ$4,0))))+SUMPRODUCT((Inputs!$C$5:$C$130=$B10)*ISNUMBER(INDEX(Inputs!$K$5:$AJ$130,0,MATCH(AH$2,Inputs!$K$4:$AJ$4,0))))+SUMPRODUCT((Inputs!$E$5:$E$130=$B10)*ISNUMBER(INDEX(Inputs!$K$5:$AJ$130,0,MATCH(AH$2,Inputs!$K$4:$AJ$4,0))))=0,NA(),SUMPRODUCT((Inputs!$A$5:$A$130=$B10)*Inputs!$B$5:$B$130*(((Inputs!$G$5:$G$130="moeda")+(Inputs!$G$5:$G$130="acoes"))*Inputs!$B$1+((Inputs!$G$5:$G$130&lt;&gt;"moeda")*(Inputs!$G$5:$G$130&lt;&gt;"acoes")))*INDEX(Inputs!$K$5:$AJ$130,0,MATCH(AH$2,Inputs!$K$4:$AJ$4,0)))+SUMPRODUCT((Inputs!$C$5:$C$130=$B10)*Inputs!$D$5:$D$130*(((Inputs!$G$5:$G$130="moeda")+(Inputs!$G$5:$G$130="acoes"))*Inputs!$B$1+((Inputs!$G$5:$G$130&lt;&gt;"moeda")*(Inputs!$G$5:$G$130&lt;&gt;"acoes")))*INDEX(Inputs!$K$5:$AJ$130,0,MATCH(AH$2,Inputs!$K$4:$AJ$4,0)))+SUMPRODUCT((Inputs!$E$5:$E$130=$B10)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10" s="265" t="e">
        <f>IF(ISNA(MATCH(AI$2,Inputs!$K$4:$AJ$4,0)),NA(),IF(SUMPRODUCT((Inputs!$A$5:$A$130=$B10)*ISNUMBER(INDEX(Inputs!$K$5:$AJ$130,0,MATCH(AI$2,Inputs!$K$4:$AJ$4,0))))+SUMPRODUCT((Inputs!$C$5:$C$130=$B10)*ISNUMBER(INDEX(Inputs!$K$5:$AJ$130,0,MATCH(AI$2,Inputs!$K$4:$AJ$4,0))))+SUMPRODUCT((Inputs!$E$5:$E$130=$B10)*ISNUMBER(INDEX(Inputs!$K$5:$AJ$130,0,MATCH(AI$2,Inputs!$K$4:$AJ$4,0))))=0,NA(),SUMPRODUCT((Inputs!$A$5:$A$130=$B10)*Inputs!$B$5:$B$130*(((Inputs!$G$5:$G$130="moeda")+(Inputs!$G$5:$G$130="acoes"))*Inputs!$B$1+((Inputs!$G$5:$G$130&lt;&gt;"moeda")*(Inputs!$G$5:$G$130&lt;&gt;"acoes")))*INDEX(Inputs!$K$5:$AJ$130,0,MATCH(AI$2,Inputs!$K$4:$AJ$4,0)))+SUMPRODUCT((Inputs!$C$5:$C$130=$B10)*Inputs!$D$5:$D$130*(((Inputs!$G$5:$G$130="moeda")+(Inputs!$G$5:$G$130="acoes"))*Inputs!$B$1+((Inputs!$G$5:$G$130&lt;&gt;"moeda")*(Inputs!$G$5:$G$130&lt;&gt;"acoes")))*INDEX(Inputs!$K$5:$AJ$130,0,MATCH(AI$2,Inputs!$K$4:$AJ$4,0)))+SUMPRODUCT((Inputs!$E$5:$E$130=$B10)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10" s="265" t="e">
        <f>IF(ISNA(MATCH(AJ$2,Inputs!$K$4:$AJ$4,0)),NA(),IF(SUMPRODUCT((Inputs!$A$5:$A$130=$B10)*ISNUMBER(INDEX(Inputs!$K$5:$AJ$130,0,MATCH(AJ$2,Inputs!$K$4:$AJ$4,0))))+SUMPRODUCT((Inputs!$C$5:$C$130=$B10)*ISNUMBER(INDEX(Inputs!$K$5:$AJ$130,0,MATCH(AJ$2,Inputs!$K$4:$AJ$4,0))))+SUMPRODUCT((Inputs!$E$5:$E$130=$B10)*ISNUMBER(INDEX(Inputs!$K$5:$AJ$130,0,MATCH(AJ$2,Inputs!$K$4:$AJ$4,0))))=0,NA(),SUMPRODUCT((Inputs!$A$5:$A$130=$B10)*Inputs!$B$5:$B$130*(((Inputs!$G$5:$G$130="moeda")+(Inputs!$G$5:$G$130="acoes"))*Inputs!$B$1+((Inputs!$G$5:$G$130&lt;&gt;"moeda")*(Inputs!$G$5:$G$130&lt;&gt;"acoes")))*INDEX(Inputs!$K$5:$AJ$130,0,MATCH(AJ$2,Inputs!$K$4:$AJ$4,0)))+SUMPRODUCT((Inputs!$C$5:$C$130=$B10)*Inputs!$D$5:$D$130*(((Inputs!$G$5:$G$130="moeda")+(Inputs!$G$5:$G$130="acoes"))*Inputs!$B$1+((Inputs!$G$5:$G$130&lt;&gt;"moeda")*(Inputs!$G$5:$G$130&lt;&gt;"acoes")))*INDEX(Inputs!$K$5:$AJ$130,0,MATCH(AJ$2,Inputs!$K$4:$AJ$4,0)))+SUMPRODUCT((Inputs!$E$5:$E$130=$B10)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10" s="265" t="e">
        <f>IF(ISNA(MATCH(AK$2,Inputs!$K$4:$AJ$4,0)),NA(),IF(SUMPRODUCT((Inputs!$A$5:$A$130=$B10)*ISNUMBER(INDEX(Inputs!$K$5:$AJ$130,0,MATCH(AK$2,Inputs!$K$4:$AJ$4,0))))+SUMPRODUCT((Inputs!$C$5:$C$130=$B10)*ISNUMBER(INDEX(Inputs!$K$5:$AJ$130,0,MATCH(AK$2,Inputs!$K$4:$AJ$4,0))))+SUMPRODUCT((Inputs!$E$5:$E$130=$B10)*ISNUMBER(INDEX(Inputs!$K$5:$AJ$130,0,MATCH(AK$2,Inputs!$K$4:$AJ$4,0))))=0,NA(),SUMPRODUCT((Inputs!$A$5:$A$130=$B10)*Inputs!$B$5:$B$130*(((Inputs!$G$5:$G$130="moeda")+(Inputs!$G$5:$G$130="acoes"))*Inputs!$B$1+((Inputs!$G$5:$G$130&lt;&gt;"moeda")*(Inputs!$G$5:$G$130&lt;&gt;"acoes")))*INDEX(Inputs!$K$5:$AJ$130,0,MATCH(AK$2,Inputs!$K$4:$AJ$4,0)))+SUMPRODUCT((Inputs!$C$5:$C$130=$B10)*Inputs!$D$5:$D$130*(((Inputs!$G$5:$G$130="moeda")+(Inputs!$G$5:$G$130="acoes"))*Inputs!$B$1+((Inputs!$G$5:$G$130&lt;&gt;"moeda")*(Inputs!$G$5:$G$130&lt;&gt;"acoes")))*INDEX(Inputs!$K$5:$AJ$130,0,MATCH(AK$2,Inputs!$K$4:$AJ$4,0)))+SUMPRODUCT((Inputs!$E$5:$E$130=$B10)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10" s="266" t="e">
        <f>SUM(AH10:AK10)</f>
        <v>#N/A</v>
      </c>
    </row>
    <row r="11" ht="12.75" customHeight="1" s="254">
      <c r="B11" s="263" t="n">
        <v>8</v>
      </c>
      <c r="C11" s="268" t="inlineStr">
        <is>
          <t>Equity in Income of Affiliates, after tax (enter as +)</t>
        </is>
      </c>
      <c r="D11" s="265">
        <f>IF(ISNA(MATCH(D$2,Inputs!$K$4:$AJ$4,0)),NA(),IF(SUMPRODUCT((Inputs!$A$5:$A$130=$B11)*ISNUMBER(INDEX(Inputs!$K$5:$AJ$130,0,MATCH(D$2,Inputs!$K$4:$AJ$4,0))))+SUMPRODUCT((Inputs!$C$5:$C$130=$B11)*ISNUMBER(INDEX(Inputs!$K$5:$AJ$130,0,MATCH(D$2,Inputs!$K$4:$AJ$4,0))))+SUMPRODUCT((Inputs!$E$5:$E$130=$B11)*ISNUMBER(INDEX(Inputs!$K$5:$AJ$130,0,MATCH(D$2,Inputs!$K$4:$AJ$4,0))))=0,NA(),SUMPRODUCT((Inputs!$A$5:$A$130=$B11)*Inputs!$B$5:$B$130*(((Inputs!$G$5:$G$130="moeda")+(Inputs!$G$5:$G$130="acoes"))*Inputs!$B$1+((Inputs!$G$5:$G$130&lt;&gt;"moeda")*(Inputs!$G$5:$G$130&lt;&gt;"acoes")))*INDEX(Inputs!$K$5:$AJ$130,0,MATCH(D$2,Inputs!$K$4:$AJ$4,0)))+SUMPRODUCT((Inputs!$C$5:$C$130=$B11)*Inputs!$D$5:$D$130*(((Inputs!$G$5:$G$130="moeda")+(Inputs!$G$5:$G$130="acoes"))*Inputs!$B$1+((Inputs!$G$5:$G$130&lt;&gt;"moeda")*(Inputs!$G$5:$G$130&lt;&gt;"acoes")))*INDEX(Inputs!$K$5:$AJ$130,0,MATCH(D$2,Inputs!$K$4:$AJ$4,0)))+SUMPRODUCT((Inputs!$E$5:$E$130=$B11)*Inputs!$F$5:$F$130*(((Inputs!$G$5:$G$130="moeda")+(Inputs!$G$5:$G$130="acoes"))*Inputs!$B$1+((Inputs!$G$5:$G$130&lt;&gt;"moeda")*(Inputs!$G$5:$G$130&lt;&gt;"acoes")))*INDEX(Inputs!$K$5:$AJ$130,0,MATCH(D$2,Inputs!$K$4:$AJ$4,0)))))</f>
        <v>0</v>
      </c>
      <c r="E11" s="265">
        <f>IF(ISNA(MATCH(E$2,Inputs!$K$4:$AJ$4,0)),NA(),IF(SUMPRODUCT((Inputs!$A$5:$A$130=$B11)*ISNUMBER(INDEX(Inputs!$K$5:$AJ$130,0,MATCH(E$2,Inputs!$K$4:$AJ$4,0))))+SUMPRODUCT((Inputs!$C$5:$C$130=$B11)*ISNUMBER(INDEX(Inputs!$K$5:$AJ$130,0,MATCH(E$2,Inputs!$K$4:$AJ$4,0))))+SUMPRODUCT((Inputs!$E$5:$E$130=$B11)*ISNUMBER(INDEX(Inputs!$K$5:$AJ$130,0,MATCH(E$2,Inputs!$K$4:$AJ$4,0))))=0,NA(),SUMPRODUCT((Inputs!$A$5:$A$130=$B11)*Inputs!$B$5:$B$130*(((Inputs!$G$5:$G$130="moeda")+(Inputs!$G$5:$G$130="acoes"))*Inputs!$B$1+((Inputs!$G$5:$G$130&lt;&gt;"moeda")*(Inputs!$G$5:$G$130&lt;&gt;"acoes")))*INDEX(Inputs!$K$5:$AJ$130,0,MATCH(E$2,Inputs!$K$4:$AJ$4,0)))+SUMPRODUCT((Inputs!$C$5:$C$130=$B11)*Inputs!$D$5:$D$130*(((Inputs!$G$5:$G$130="moeda")+(Inputs!$G$5:$G$130="acoes"))*Inputs!$B$1+((Inputs!$G$5:$G$130&lt;&gt;"moeda")*(Inputs!$G$5:$G$130&lt;&gt;"acoes")))*INDEX(Inputs!$K$5:$AJ$130,0,MATCH(E$2,Inputs!$K$4:$AJ$4,0)))+SUMPRODUCT((Inputs!$E$5:$E$130=$B11)*Inputs!$F$5:$F$130*(((Inputs!$G$5:$G$130="moeda")+(Inputs!$G$5:$G$130="acoes"))*Inputs!$B$1+((Inputs!$G$5:$G$130&lt;&gt;"moeda")*(Inputs!$G$5:$G$130&lt;&gt;"acoes")))*INDEX(Inputs!$K$5:$AJ$130,0,MATCH(E$2,Inputs!$K$4:$AJ$4,0)))))</f>
        <v>0</v>
      </c>
      <c r="F11" s="265">
        <f>IF(ISNA(MATCH(F$2,Inputs!$K$4:$AJ$4,0)),NA(),IF(SUMPRODUCT((Inputs!$A$5:$A$130=$B11)*ISNUMBER(INDEX(Inputs!$K$5:$AJ$130,0,MATCH(F$2,Inputs!$K$4:$AJ$4,0))))+SUMPRODUCT((Inputs!$C$5:$C$130=$B11)*ISNUMBER(INDEX(Inputs!$K$5:$AJ$130,0,MATCH(F$2,Inputs!$K$4:$AJ$4,0))))+SUMPRODUCT((Inputs!$E$5:$E$130=$B11)*ISNUMBER(INDEX(Inputs!$K$5:$AJ$130,0,MATCH(F$2,Inputs!$K$4:$AJ$4,0))))=0,NA(),SUMPRODUCT((Inputs!$A$5:$A$130=$B11)*Inputs!$B$5:$B$130*(((Inputs!$G$5:$G$130="moeda")+(Inputs!$G$5:$G$130="acoes"))*Inputs!$B$1+((Inputs!$G$5:$G$130&lt;&gt;"moeda")*(Inputs!$G$5:$G$130&lt;&gt;"acoes")))*INDEX(Inputs!$K$5:$AJ$130,0,MATCH(F$2,Inputs!$K$4:$AJ$4,0)))+SUMPRODUCT((Inputs!$C$5:$C$130=$B11)*Inputs!$D$5:$D$130*(((Inputs!$G$5:$G$130="moeda")+(Inputs!$G$5:$G$130="acoes"))*Inputs!$B$1+((Inputs!$G$5:$G$130&lt;&gt;"moeda")*(Inputs!$G$5:$G$130&lt;&gt;"acoes")))*INDEX(Inputs!$K$5:$AJ$130,0,MATCH(F$2,Inputs!$K$4:$AJ$4,0)))+SUMPRODUCT((Inputs!$E$5:$E$130=$B11)*Inputs!$F$5:$F$130*(((Inputs!$G$5:$G$130="moeda")+(Inputs!$G$5:$G$130="acoes"))*Inputs!$B$1+((Inputs!$G$5:$G$130&lt;&gt;"moeda")*(Inputs!$G$5:$G$130&lt;&gt;"acoes")))*INDEX(Inputs!$K$5:$AJ$130,0,MATCH(F$2,Inputs!$K$4:$AJ$4,0)))))</f>
        <v>0</v>
      </c>
      <c r="G11" s="265">
        <f>IF(ISNA(MATCH(G$2,Inputs!$K$4:$AJ$4,0)),NA(),IF(SUMPRODUCT((Inputs!$A$5:$A$130=$B11)*ISNUMBER(INDEX(Inputs!$K$5:$AJ$130,0,MATCH(G$2,Inputs!$K$4:$AJ$4,0))))+SUMPRODUCT((Inputs!$C$5:$C$130=$B11)*ISNUMBER(INDEX(Inputs!$K$5:$AJ$130,0,MATCH(G$2,Inputs!$K$4:$AJ$4,0))))+SUMPRODUCT((Inputs!$E$5:$E$130=$B11)*ISNUMBER(INDEX(Inputs!$K$5:$AJ$130,0,MATCH(G$2,Inputs!$K$4:$AJ$4,0))))=0,NA(),SUMPRODUCT((Inputs!$A$5:$A$130=$B11)*Inputs!$B$5:$B$130*(((Inputs!$G$5:$G$130="moeda")+(Inputs!$G$5:$G$130="acoes"))*Inputs!$B$1+((Inputs!$G$5:$G$130&lt;&gt;"moeda")*(Inputs!$G$5:$G$130&lt;&gt;"acoes")))*INDEX(Inputs!$K$5:$AJ$130,0,MATCH(G$2,Inputs!$K$4:$AJ$4,0)))+SUMPRODUCT((Inputs!$C$5:$C$130=$B11)*Inputs!$D$5:$D$130*(((Inputs!$G$5:$G$130="moeda")+(Inputs!$G$5:$G$130="acoes"))*Inputs!$B$1+((Inputs!$G$5:$G$130&lt;&gt;"moeda")*(Inputs!$G$5:$G$130&lt;&gt;"acoes")))*INDEX(Inputs!$K$5:$AJ$130,0,MATCH(G$2,Inputs!$K$4:$AJ$4,0)))+SUMPRODUCT((Inputs!$E$5:$E$130=$B11)*Inputs!$F$5:$F$130*(((Inputs!$G$5:$G$130="moeda")+(Inputs!$G$5:$G$130="acoes"))*Inputs!$B$1+((Inputs!$G$5:$G$130&lt;&gt;"moeda")*(Inputs!$G$5:$G$130&lt;&gt;"acoes")))*INDEX(Inputs!$K$5:$AJ$130,0,MATCH(G$2,Inputs!$K$4:$AJ$4,0)))))</f>
        <v>1</v>
      </c>
      <c r="H11" s="266">
        <f>SUM(D11:G11)</f>
        <v>1</v>
      </c>
      <c r="I11" s="265">
        <f>IF(ISNA(MATCH(I$2,Inputs!$K$4:$AJ$4,0)),NA(),IF(SUMPRODUCT((Inputs!$A$5:$A$130=$B11)*ISNUMBER(INDEX(Inputs!$K$5:$AJ$130,0,MATCH(I$2,Inputs!$K$4:$AJ$4,0))))+SUMPRODUCT((Inputs!$C$5:$C$130=$B11)*ISNUMBER(INDEX(Inputs!$K$5:$AJ$130,0,MATCH(I$2,Inputs!$K$4:$AJ$4,0))))+SUMPRODUCT((Inputs!$E$5:$E$130=$B11)*ISNUMBER(INDEX(Inputs!$K$5:$AJ$130,0,MATCH(I$2,Inputs!$K$4:$AJ$4,0))))=0,NA(),SUMPRODUCT((Inputs!$A$5:$A$130=$B11)*Inputs!$B$5:$B$130*(((Inputs!$G$5:$G$130="moeda")+(Inputs!$G$5:$G$130="acoes"))*Inputs!$B$1+((Inputs!$G$5:$G$130&lt;&gt;"moeda")*(Inputs!$G$5:$G$130&lt;&gt;"acoes")))*INDEX(Inputs!$K$5:$AJ$130,0,MATCH(I$2,Inputs!$K$4:$AJ$4,0)))+SUMPRODUCT((Inputs!$C$5:$C$130=$B11)*Inputs!$D$5:$D$130*(((Inputs!$G$5:$G$130="moeda")+(Inputs!$G$5:$G$130="acoes"))*Inputs!$B$1+((Inputs!$G$5:$G$130&lt;&gt;"moeda")*(Inputs!$G$5:$G$130&lt;&gt;"acoes")))*INDEX(Inputs!$K$5:$AJ$130,0,MATCH(I$2,Inputs!$K$4:$AJ$4,0)))+SUMPRODUCT((Inputs!$E$5:$E$130=$B11)*Inputs!$F$5:$F$130*(((Inputs!$G$5:$G$130="moeda")+(Inputs!$G$5:$G$130="acoes"))*Inputs!$B$1+((Inputs!$G$5:$G$130&lt;&gt;"moeda")*(Inputs!$G$5:$G$130&lt;&gt;"acoes")))*INDEX(Inputs!$K$5:$AJ$130,0,MATCH(I$2,Inputs!$K$4:$AJ$4,0)))))</f>
        <v>0</v>
      </c>
      <c r="J11" s="265">
        <f>IF(ISNA(MATCH(J$2,Inputs!$K$4:$AJ$4,0)),NA(),IF(SUMPRODUCT((Inputs!$A$5:$A$130=$B11)*ISNUMBER(INDEX(Inputs!$K$5:$AJ$130,0,MATCH(J$2,Inputs!$K$4:$AJ$4,0))))+SUMPRODUCT((Inputs!$C$5:$C$130=$B11)*ISNUMBER(INDEX(Inputs!$K$5:$AJ$130,0,MATCH(J$2,Inputs!$K$4:$AJ$4,0))))+SUMPRODUCT((Inputs!$E$5:$E$130=$B11)*ISNUMBER(INDEX(Inputs!$K$5:$AJ$130,0,MATCH(J$2,Inputs!$K$4:$AJ$4,0))))=0,NA(),SUMPRODUCT((Inputs!$A$5:$A$130=$B11)*Inputs!$B$5:$B$130*(((Inputs!$G$5:$G$130="moeda")+(Inputs!$G$5:$G$130="acoes"))*Inputs!$B$1+((Inputs!$G$5:$G$130&lt;&gt;"moeda")*(Inputs!$G$5:$G$130&lt;&gt;"acoes")))*INDEX(Inputs!$K$5:$AJ$130,0,MATCH(J$2,Inputs!$K$4:$AJ$4,0)))+SUMPRODUCT((Inputs!$C$5:$C$130=$B11)*Inputs!$D$5:$D$130*(((Inputs!$G$5:$G$130="moeda")+(Inputs!$G$5:$G$130="acoes"))*Inputs!$B$1+((Inputs!$G$5:$G$130&lt;&gt;"moeda")*(Inputs!$G$5:$G$130&lt;&gt;"acoes")))*INDEX(Inputs!$K$5:$AJ$130,0,MATCH(J$2,Inputs!$K$4:$AJ$4,0)))+SUMPRODUCT((Inputs!$E$5:$E$130=$B11)*Inputs!$F$5:$F$130*(((Inputs!$G$5:$G$130="moeda")+(Inputs!$G$5:$G$130="acoes"))*Inputs!$B$1+((Inputs!$G$5:$G$130&lt;&gt;"moeda")*(Inputs!$G$5:$G$130&lt;&gt;"acoes")))*INDEX(Inputs!$K$5:$AJ$130,0,MATCH(J$2,Inputs!$K$4:$AJ$4,0)))))</f>
        <v>0</v>
      </c>
      <c r="K11" s="265">
        <f>IF(ISNA(MATCH(K$2,Inputs!$K$4:$AJ$4,0)),NA(),IF(SUMPRODUCT((Inputs!$A$5:$A$130=$B11)*ISNUMBER(INDEX(Inputs!$K$5:$AJ$130,0,MATCH(K$2,Inputs!$K$4:$AJ$4,0))))+SUMPRODUCT((Inputs!$C$5:$C$130=$B11)*ISNUMBER(INDEX(Inputs!$K$5:$AJ$130,0,MATCH(K$2,Inputs!$K$4:$AJ$4,0))))+SUMPRODUCT((Inputs!$E$5:$E$130=$B11)*ISNUMBER(INDEX(Inputs!$K$5:$AJ$130,0,MATCH(K$2,Inputs!$K$4:$AJ$4,0))))=0,NA(),SUMPRODUCT((Inputs!$A$5:$A$130=$B11)*Inputs!$B$5:$B$130*(((Inputs!$G$5:$G$130="moeda")+(Inputs!$G$5:$G$130="acoes"))*Inputs!$B$1+((Inputs!$G$5:$G$130&lt;&gt;"moeda")*(Inputs!$G$5:$G$130&lt;&gt;"acoes")))*INDEX(Inputs!$K$5:$AJ$130,0,MATCH(K$2,Inputs!$K$4:$AJ$4,0)))+SUMPRODUCT((Inputs!$C$5:$C$130=$B11)*Inputs!$D$5:$D$130*(((Inputs!$G$5:$G$130="moeda")+(Inputs!$G$5:$G$130="acoes"))*Inputs!$B$1+((Inputs!$G$5:$G$130&lt;&gt;"moeda")*(Inputs!$G$5:$G$130&lt;&gt;"acoes")))*INDEX(Inputs!$K$5:$AJ$130,0,MATCH(K$2,Inputs!$K$4:$AJ$4,0)))+SUMPRODUCT((Inputs!$E$5:$E$130=$B11)*Inputs!$F$5:$F$130*(((Inputs!$G$5:$G$130="moeda")+(Inputs!$G$5:$G$130="acoes"))*Inputs!$B$1+((Inputs!$G$5:$G$130&lt;&gt;"moeda")*(Inputs!$G$5:$G$130&lt;&gt;"acoes")))*INDEX(Inputs!$K$5:$AJ$130,0,MATCH(K$2,Inputs!$K$4:$AJ$4,0)))))</f>
        <v>-1</v>
      </c>
      <c r="L11" s="265">
        <f>IF(ISNA(MATCH(L$2,Inputs!$K$4:$AJ$4,0)),NA(),IF(SUMPRODUCT((Inputs!$A$5:$A$130=$B11)*ISNUMBER(INDEX(Inputs!$K$5:$AJ$130,0,MATCH(L$2,Inputs!$K$4:$AJ$4,0))))+SUMPRODUCT((Inputs!$C$5:$C$130=$B11)*ISNUMBER(INDEX(Inputs!$K$5:$AJ$130,0,MATCH(L$2,Inputs!$K$4:$AJ$4,0))))+SUMPRODUCT((Inputs!$E$5:$E$130=$B11)*ISNUMBER(INDEX(Inputs!$K$5:$AJ$130,0,MATCH(L$2,Inputs!$K$4:$AJ$4,0))))=0,NA(),SUMPRODUCT((Inputs!$A$5:$A$130=$B11)*Inputs!$B$5:$B$130*(((Inputs!$G$5:$G$130="moeda")+(Inputs!$G$5:$G$130="acoes"))*Inputs!$B$1+((Inputs!$G$5:$G$130&lt;&gt;"moeda")*(Inputs!$G$5:$G$130&lt;&gt;"acoes")))*INDEX(Inputs!$K$5:$AJ$130,0,MATCH(L$2,Inputs!$K$4:$AJ$4,0)))+SUMPRODUCT((Inputs!$C$5:$C$130=$B11)*Inputs!$D$5:$D$130*(((Inputs!$G$5:$G$130="moeda")+(Inputs!$G$5:$G$130="acoes"))*Inputs!$B$1+((Inputs!$G$5:$G$130&lt;&gt;"moeda")*(Inputs!$G$5:$G$130&lt;&gt;"acoes")))*INDEX(Inputs!$K$5:$AJ$130,0,MATCH(L$2,Inputs!$K$4:$AJ$4,0)))+SUMPRODUCT((Inputs!$E$5:$E$130=$B11)*Inputs!$F$5:$F$130*(((Inputs!$G$5:$G$130="moeda")+(Inputs!$G$5:$G$130="acoes"))*Inputs!$B$1+((Inputs!$G$5:$G$130&lt;&gt;"moeda")*(Inputs!$G$5:$G$130&lt;&gt;"acoes")))*INDEX(Inputs!$K$5:$AJ$130,0,MATCH(L$2,Inputs!$K$4:$AJ$4,0)))))</f>
        <v>0</v>
      </c>
      <c r="M11" s="266">
        <f>SUM(I11:L11)</f>
        <v>-1</v>
      </c>
      <c r="N11" s="265">
        <f>IF(ISNA(MATCH(N$2,Inputs!$K$4:$AJ$4,0)),NA(),IF(SUMPRODUCT((Inputs!$A$5:$A$130=$B11)*ISNUMBER(INDEX(Inputs!$K$5:$AJ$130,0,MATCH(N$2,Inputs!$K$4:$AJ$4,0))))+SUMPRODUCT((Inputs!$C$5:$C$130=$B11)*ISNUMBER(INDEX(Inputs!$K$5:$AJ$130,0,MATCH(N$2,Inputs!$K$4:$AJ$4,0))))+SUMPRODUCT((Inputs!$E$5:$E$130=$B11)*ISNUMBER(INDEX(Inputs!$K$5:$AJ$130,0,MATCH(N$2,Inputs!$K$4:$AJ$4,0))))=0,NA(),SUMPRODUCT((Inputs!$A$5:$A$130=$B11)*Inputs!$B$5:$B$130*(((Inputs!$G$5:$G$130="moeda")+(Inputs!$G$5:$G$130="acoes"))*Inputs!$B$1+((Inputs!$G$5:$G$130&lt;&gt;"moeda")*(Inputs!$G$5:$G$130&lt;&gt;"acoes")))*INDEX(Inputs!$K$5:$AJ$130,0,MATCH(N$2,Inputs!$K$4:$AJ$4,0)))+SUMPRODUCT((Inputs!$C$5:$C$130=$B11)*Inputs!$D$5:$D$130*(((Inputs!$G$5:$G$130="moeda")+(Inputs!$G$5:$G$130="acoes"))*Inputs!$B$1+((Inputs!$G$5:$G$130&lt;&gt;"moeda")*(Inputs!$G$5:$G$130&lt;&gt;"acoes")))*INDEX(Inputs!$K$5:$AJ$130,0,MATCH(N$2,Inputs!$K$4:$AJ$4,0)))+SUMPRODUCT((Inputs!$E$5:$E$130=$B11)*Inputs!$F$5:$F$130*(((Inputs!$G$5:$G$130="moeda")+(Inputs!$G$5:$G$130="acoes"))*Inputs!$B$1+((Inputs!$G$5:$G$130&lt;&gt;"moeda")*(Inputs!$G$5:$G$130&lt;&gt;"acoes")))*INDEX(Inputs!$K$5:$AJ$130,0,MATCH(N$2,Inputs!$K$4:$AJ$4,0)))))</f>
        <v>1</v>
      </c>
      <c r="O11" s="265">
        <f>IF(ISNA(MATCH(O$2,Inputs!$K$4:$AJ$4,0)),NA(),IF(SUMPRODUCT((Inputs!$A$5:$A$130=$B11)*ISNUMBER(INDEX(Inputs!$K$5:$AJ$130,0,MATCH(O$2,Inputs!$K$4:$AJ$4,0))))+SUMPRODUCT((Inputs!$C$5:$C$130=$B11)*ISNUMBER(INDEX(Inputs!$K$5:$AJ$130,0,MATCH(O$2,Inputs!$K$4:$AJ$4,0))))+SUMPRODUCT((Inputs!$E$5:$E$130=$B11)*ISNUMBER(INDEX(Inputs!$K$5:$AJ$130,0,MATCH(O$2,Inputs!$K$4:$AJ$4,0))))=0,NA(),SUMPRODUCT((Inputs!$A$5:$A$130=$B11)*Inputs!$B$5:$B$130*(((Inputs!$G$5:$G$130="moeda")+(Inputs!$G$5:$G$130="acoes"))*Inputs!$B$1+((Inputs!$G$5:$G$130&lt;&gt;"moeda")*(Inputs!$G$5:$G$130&lt;&gt;"acoes")))*INDEX(Inputs!$K$5:$AJ$130,0,MATCH(O$2,Inputs!$K$4:$AJ$4,0)))+SUMPRODUCT((Inputs!$C$5:$C$130=$B11)*Inputs!$D$5:$D$130*(((Inputs!$G$5:$G$130="moeda")+(Inputs!$G$5:$G$130="acoes"))*Inputs!$B$1+((Inputs!$G$5:$G$130&lt;&gt;"moeda")*(Inputs!$G$5:$G$130&lt;&gt;"acoes")))*INDEX(Inputs!$K$5:$AJ$130,0,MATCH(O$2,Inputs!$K$4:$AJ$4,0)))+SUMPRODUCT((Inputs!$E$5:$E$130=$B11)*Inputs!$F$5:$F$130*(((Inputs!$G$5:$G$130="moeda")+(Inputs!$G$5:$G$130="acoes"))*Inputs!$B$1+((Inputs!$G$5:$G$130&lt;&gt;"moeda")*(Inputs!$G$5:$G$130&lt;&gt;"acoes")))*INDEX(Inputs!$K$5:$AJ$130,0,MATCH(O$2,Inputs!$K$4:$AJ$4,0)))))</f>
        <v>1</v>
      </c>
      <c r="P11" s="265">
        <f>IF(ISNA(MATCH(P$2,Inputs!$K$4:$AJ$4,0)),NA(),IF(SUMPRODUCT((Inputs!$A$5:$A$130=$B11)*ISNUMBER(INDEX(Inputs!$K$5:$AJ$130,0,MATCH(P$2,Inputs!$K$4:$AJ$4,0))))+SUMPRODUCT((Inputs!$C$5:$C$130=$B11)*ISNUMBER(INDEX(Inputs!$K$5:$AJ$130,0,MATCH(P$2,Inputs!$K$4:$AJ$4,0))))+SUMPRODUCT((Inputs!$E$5:$E$130=$B11)*ISNUMBER(INDEX(Inputs!$K$5:$AJ$130,0,MATCH(P$2,Inputs!$K$4:$AJ$4,0))))=0,NA(),SUMPRODUCT((Inputs!$A$5:$A$130=$B11)*Inputs!$B$5:$B$130*(((Inputs!$G$5:$G$130="moeda")+(Inputs!$G$5:$G$130="acoes"))*Inputs!$B$1+((Inputs!$G$5:$G$130&lt;&gt;"moeda")*(Inputs!$G$5:$G$130&lt;&gt;"acoes")))*INDEX(Inputs!$K$5:$AJ$130,0,MATCH(P$2,Inputs!$K$4:$AJ$4,0)))+SUMPRODUCT((Inputs!$C$5:$C$130=$B11)*Inputs!$D$5:$D$130*(((Inputs!$G$5:$G$130="moeda")+(Inputs!$G$5:$G$130="acoes"))*Inputs!$B$1+((Inputs!$G$5:$G$130&lt;&gt;"moeda")*(Inputs!$G$5:$G$130&lt;&gt;"acoes")))*INDEX(Inputs!$K$5:$AJ$130,0,MATCH(P$2,Inputs!$K$4:$AJ$4,0)))+SUMPRODUCT((Inputs!$E$5:$E$130=$B11)*Inputs!$F$5:$F$130*(((Inputs!$G$5:$G$130="moeda")+(Inputs!$G$5:$G$130="acoes"))*Inputs!$B$1+((Inputs!$G$5:$G$130&lt;&gt;"moeda")*(Inputs!$G$5:$G$130&lt;&gt;"acoes")))*INDEX(Inputs!$K$5:$AJ$130,0,MATCH(P$2,Inputs!$K$4:$AJ$4,0)))))</f>
        <v>0</v>
      </c>
      <c r="Q11" s="265">
        <f>IF(ISNA(MATCH(Q$2,Inputs!$K$4:$AJ$4,0)),NA(),IF(SUMPRODUCT((Inputs!$A$5:$A$130=$B11)*ISNUMBER(INDEX(Inputs!$K$5:$AJ$130,0,MATCH(Q$2,Inputs!$K$4:$AJ$4,0))))+SUMPRODUCT((Inputs!$C$5:$C$130=$B11)*ISNUMBER(INDEX(Inputs!$K$5:$AJ$130,0,MATCH(Q$2,Inputs!$K$4:$AJ$4,0))))+SUMPRODUCT((Inputs!$E$5:$E$130=$B11)*ISNUMBER(INDEX(Inputs!$K$5:$AJ$130,0,MATCH(Q$2,Inputs!$K$4:$AJ$4,0))))=0,NA(),SUMPRODUCT((Inputs!$A$5:$A$130=$B11)*Inputs!$B$5:$B$130*(((Inputs!$G$5:$G$130="moeda")+(Inputs!$G$5:$G$130="acoes"))*Inputs!$B$1+((Inputs!$G$5:$G$130&lt;&gt;"moeda")*(Inputs!$G$5:$G$130&lt;&gt;"acoes")))*INDEX(Inputs!$K$5:$AJ$130,0,MATCH(Q$2,Inputs!$K$4:$AJ$4,0)))+SUMPRODUCT((Inputs!$C$5:$C$130=$B11)*Inputs!$D$5:$D$130*(((Inputs!$G$5:$G$130="moeda")+(Inputs!$G$5:$G$130="acoes"))*Inputs!$B$1+((Inputs!$G$5:$G$130&lt;&gt;"moeda")*(Inputs!$G$5:$G$130&lt;&gt;"acoes")))*INDEX(Inputs!$K$5:$AJ$130,0,MATCH(Q$2,Inputs!$K$4:$AJ$4,0)))+SUMPRODUCT((Inputs!$E$5:$E$130=$B11)*Inputs!$F$5:$F$130*(((Inputs!$G$5:$G$130="moeda")+(Inputs!$G$5:$G$130="acoes"))*Inputs!$B$1+((Inputs!$G$5:$G$130&lt;&gt;"moeda")*(Inputs!$G$5:$G$130&lt;&gt;"acoes")))*INDEX(Inputs!$K$5:$AJ$130,0,MATCH(Q$2,Inputs!$K$4:$AJ$4,0)))))</f>
        <v>0</v>
      </c>
      <c r="R11" s="266">
        <f>SUM(N11:Q11)</f>
        <v>2</v>
      </c>
      <c r="S11" s="265">
        <f>IF(ISNA(MATCH(S$2,Inputs!$K$4:$AJ$4,0)),NA(),IF(SUMPRODUCT((Inputs!$A$5:$A$130=$B11)*ISNUMBER(INDEX(Inputs!$K$5:$AJ$130,0,MATCH(S$2,Inputs!$K$4:$AJ$4,0))))+SUMPRODUCT((Inputs!$C$5:$C$130=$B11)*ISNUMBER(INDEX(Inputs!$K$5:$AJ$130,0,MATCH(S$2,Inputs!$K$4:$AJ$4,0))))+SUMPRODUCT((Inputs!$E$5:$E$130=$B11)*ISNUMBER(INDEX(Inputs!$K$5:$AJ$130,0,MATCH(S$2,Inputs!$K$4:$AJ$4,0))))=0,NA(),SUMPRODUCT((Inputs!$A$5:$A$130=$B11)*Inputs!$B$5:$B$130*(((Inputs!$G$5:$G$130="moeda")+(Inputs!$G$5:$G$130="acoes"))*Inputs!$B$1+((Inputs!$G$5:$G$130&lt;&gt;"moeda")*(Inputs!$G$5:$G$130&lt;&gt;"acoes")))*INDEX(Inputs!$K$5:$AJ$130,0,MATCH(S$2,Inputs!$K$4:$AJ$4,0)))+SUMPRODUCT((Inputs!$C$5:$C$130=$B11)*Inputs!$D$5:$D$130*(((Inputs!$G$5:$G$130="moeda")+(Inputs!$G$5:$G$130="acoes"))*Inputs!$B$1+((Inputs!$G$5:$G$130&lt;&gt;"moeda")*(Inputs!$G$5:$G$130&lt;&gt;"acoes")))*INDEX(Inputs!$K$5:$AJ$130,0,MATCH(S$2,Inputs!$K$4:$AJ$4,0)))+SUMPRODUCT((Inputs!$E$5:$E$130=$B11)*Inputs!$F$5:$F$130*(((Inputs!$G$5:$G$130="moeda")+(Inputs!$G$5:$G$130="acoes"))*Inputs!$B$1+((Inputs!$G$5:$G$130&lt;&gt;"moeda")*(Inputs!$G$5:$G$130&lt;&gt;"acoes")))*INDEX(Inputs!$K$5:$AJ$130,0,MATCH(S$2,Inputs!$K$4:$AJ$4,0)))))</f>
        <v>0</v>
      </c>
      <c r="T11" s="265">
        <f>IF(ISNA(MATCH(T$2,Inputs!$K$4:$AJ$4,0)),NA(),IF(SUMPRODUCT((Inputs!$A$5:$A$130=$B11)*ISNUMBER(INDEX(Inputs!$K$5:$AJ$130,0,MATCH(T$2,Inputs!$K$4:$AJ$4,0))))+SUMPRODUCT((Inputs!$C$5:$C$130=$B11)*ISNUMBER(INDEX(Inputs!$K$5:$AJ$130,0,MATCH(T$2,Inputs!$K$4:$AJ$4,0))))+SUMPRODUCT((Inputs!$E$5:$E$130=$B11)*ISNUMBER(INDEX(Inputs!$K$5:$AJ$130,0,MATCH(T$2,Inputs!$K$4:$AJ$4,0))))=0,NA(),SUMPRODUCT((Inputs!$A$5:$A$130=$B11)*Inputs!$B$5:$B$130*(((Inputs!$G$5:$G$130="moeda")+(Inputs!$G$5:$G$130="acoes"))*Inputs!$B$1+((Inputs!$G$5:$G$130&lt;&gt;"moeda")*(Inputs!$G$5:$G$130&lt;&gt;"acoes")))*INDEX(Inputs!$K$5:$AJ$130,0,MATCH(T$2,Inputs!$K$4:$AJ$4,0)))+SUMPRODUCT((Inputs!$C$5:$C$130=$B11)*Inputs!$D$5:$D$130*(((Inputs!$G$5:$G$130="moeda")+(Inputs!$G$5:$G$130="acoes"))*Inputs!$B$1+((Inputs!$G$5:$G$130&lt;&gt;"moeda")*(Inputs!$G$5:$G$130&lt;&gt;"acoes")))*INDEX(Inputs!$K$5:$AJ$130,0,MATCH(T$2,Inputs!$K$4:$AJ$4,0)))+SUMPRODUCT((Inputs!$E$5:$E$130=$B11)*Inputs!$F$5:$F$130*(((Inputs!$G$5:$G$130="moeda")+(Inputs!$G$5:$G$130="acoes"))*Inputs!$B$1+((Inputs!$G$5:$G$130&lt;&gt;"moeda")*(Inputs!$G$5:$G$130&lt;&gt;"acoes")))*INDEX(Inputs!$K$5:$AJ$130,0,MATCH(T$2,Inputs!$K$4:$AJ$4,0)))))</f>
        <v>0</v>
      </c>
      <c r="U11" s="265">
        <f>IF(ISNA(MATCH(U$2,Inputs!$K$4:$AJ$4,0)),NA(),IF(SUMPRODUCT((Inputs!$A$5:$A$130=$B11)*ISNUMBER(INDEX(Inputs!$K$5:$AJ$130,0,MATCH(U$2,Inputs!$K$4:$AJ$4,0))))+SUMPRODUCT((Inputs!$C$5:$C$130=$B11)*ISNUMBER(INDEX(Inputs!$K$5:$AJ$130,0,MATCH(U$2,Inputs!$K$4:$AJ$4,0))))+SUMPRODUCT((Inputs!$E$5:$E$130=$B11)*ISNUMBER(INDEX(Inputs!$K$5:$AJ$130,0,MATCH(U$2,Inputs!$K$4:$AJ$4,0))))=0,NA(),SUMPRODUCT((Inputs!$A$5:$A$130=$B11)*Inputs!$B$5:$B$130*(((Inputs!$G$5:$G$130="moeda")+(Inputs!$G$5:$G$130="acoes"))*Inputs!$B$1+((Inputs!$G$5:$G$130&lt;&gt;"moeda")*(Inputs!$G$5:$G$130&lt;&gt;"acoes")))*INDEX(Inputs!$K$5:$AJ$130,0,MATCH(U$2,Inputs!$K$4:$AJ$4,0)))+SUMPRODUCT((Inputs!$C$5:$C$130=$B11)*Inputs!$D$5:$D$130*(((Inputs!$G$5:$G$130="moeda")+(Inputs!$G$5:$G$130="acoes"))*Inputs!$B$1+((Inputs!$G$5:$G$130&lt;&gt;"moeda")*(Inputs!$G$5:$G$130&lt;&gt;"acoes")))*INDEX(Inputs!$K$5:$AJ$130,0,MATCH(U$2,Inputs!$K$4:$AJ$4,0)))+SUMPRODUCT((Inputs!$E$5:$E$130=$B11)*Inputs!$F$5:$F$130*(((Inputs!$G$5:$G$130="moeda")+(Inputs!$G$5:$G$130="acoes"))*Inputs!$B$1+((Inputs!$G$5:$G$130&lt;&gt;"moeda")*(Inputs!$G$5:$G$130&lt;&gt;"acoes")))*INDEX(Inputs!$K$5:$AJ$130,0,MATCH(U$2,Inputs!$K$4:$AJ$4,0)))))</f>
        <v>0</v>
      </c>
      <c r="V11" s="265">
        <f>IF(ISNA(MATCH(V$2,Inputs!$K$4:$AJ$4,0)),NA(),IF(SUMPRODUCT((Inputs!$A$5:$A$130=$B11)*ISNUMBER(INDEX(Inputs!$K$5:$AJ$130,0,MATCH(V$2,Inputs!$K$4:$AJ$4,0))))+SUMPRODUCT((Inputs!$C$5:$C$130=$B11)*ISNUMBER(INDEX(Inputs!$K$5:$AJ$130,0,MATCH(V$2,Inputs!$K$4:$AJ$4,0))))+SUMPRODUCT((Inputs!$E$5:$E$130=$B11)*ISNUMBER(INDEX(Inputs!$K$5:$AJ$130,0,MATCH(V$2,Inputs!$K$4:$AJ$4,0))))=0,NA(),SUMPRODUCT((Inputs!$A$5:$A$130=$B11)*Inputs!$B$5:$B$130*(((Inputs!$G$5:$G$130="moeda")+(Inputs!$G$5:$G$130="acoes"))*Inputs!$B$1+((Inputs!$G$5:$G$130&lt;&gt;"moeda")*(Inputs!$G$5:$G$130&lt;&gt;"acoes")))*INDEX(Inputs!$K$5:$AJ$130,0,MATCH(V$2,Inputs!$K$4:$AJ$4,0)))+SUMPRODUCT((Inputs!$C$5:$C$130=$B11)*Inputs!$D$5:$D$130*(((Inputs!$G$5:$G$130="moeda")+(Inputs!$G$5:$G$130="acoes"))*Inputs!$B$1+((Inputs!$G$5:$G$130&lt;&gt;"moeda")*(Inputs!$G$5:$G$130&lt;&gt;"acoes")))*INDEX(Inputs!$K$5:$AJ$130,0,MATCH(V$2,Inputs!$K$4:$AJ$4,0)))+SUMPRODUCT((Inputs!$E$5:$E$130=$B11)*Inputs!$F$5:$F$130*(((Inputs!$G$5:$G$130="moeda")+(Inputs!$G$5:$G$130="acoes"))*Inputs!$B$1+((Inputs!$G$5:$G$130&lt;&gt;"moeda")*(Inputs!$G$5:$G$130&lt;&gt;"acoes")))*INDEX(Inputs!$K$5:$AJ$130,0,MATCH(V$2,Inputs!$K$4:$AJ$4,0)))))</f>
        <v>0</v>
      </c>
      <c r="W11" s="266">
        <f>SUM(S11:V11)</f>
        <v>0</v>
      </c>
      <c r="X11" s="265">
        <f>IF(ISNA(MATCH(X$2,Inputs!$K$4:$AJ$4,0)),NA(),IF(SUMPRODUCT((Inputs!$A$5:$A$130=$B11)*ISNUMBER(INDEX(Inputs!$K$5:$AJ$130,0,MATCH(X$2,Inputs!$K$4:$AJ$4,0))))+SUMPRODUCT((Inputs!$C$5:$C$130=$B11)*ISNUMBER(INDEX(Inputs!$K$5:$AJ$130,0,MATCH(X$2,Inputs!$K$4:$AJ$4,0))))+SUMPRODUCT((Inputs!$E$5:$E$130=$B11)*ISNUMBER(INDEX(Inputs!$K$5:$AJ$130,0,MATCH(X$2,Inputs!$K$4:$AJ$4,0))))=0,NA(),SUMPRODUCT((Inputs!$A$5:$A$130=$B11)*Inputs!$B$5:$B$130*(((Inputs!$G$5:$G$130="moeda")+(Inputs!$G$5:$G$130="acoes"))*Inputs!$B$1+((Inputs!$G$5:$G$130&lt;&gt;"moeda")*(Inputs!$G$5:$G$130&lt;&gt;"acoes")))*INDEX(Inputs!$K$5:$AJ$130,0,MATCH(X$2,Inputs!$K$4:$AJ$4,0)))+SUMPRODUCT((Inputs!$C$5:$C$130=$B11)*Inputs!$D$5:$D$130*(((Inputs!$G$5:$G$130="moeda")+(Inputs!$G$5:$G$130="acoes"))*Inputs!$B$1+((Inputs!$G$5:$G$130&lt;&gt;"moeda")*(Inputs!$G$5:$G$130&lt;&gt;"acoes")))*INDEX(Inputs!$K$5:$AJ$130,0,MATCH(X$2,Inputs!$K$4:$AJ$4,0)))+SUMPRODUCT((Inputs!$E$5:$E$130=$B11)*Inputs!$F$5:$F$130*(((Inputs!$G$5:$G$130="moeda")+(Inputs!$G$5:$G$130="acoes"))*Inputs!$B$1+((Inputs!$G$5:$G$130&lt;&gt;"moeda")*(Inputs!$G$5:$G$130&lt;&gt;"acoes")))*INDEX(Inputs!$K$5:$AJ$130,0,MATCH(X$2,Inputs!$K$4:$AJ$4,0)))))</f>
        <v>-1</v>
      </c>
      <c r="Y11" s="265">
        <f>IF(ISNA(MATCH(Y$2,Inputs!$K$4:$AJ$4,0)),NA(),IF(SUMPRODUCT((Inputs!$A$5:$A$130=$B11)*ISNUMBER(INDEX(Inputs!$K$5:$AJ$130,0,MATCH(Y$2,Inputs!$K$4:$AJ$4,0))))+SUMPRODUCT((Inputs!$C$5:$C$130=$B11)*ISNUMBER(INDEX(Inputs!$K$5:$AJ$130,0,MATCH(Y$2,Inputs!$K$4:$AJ$4,0))))+SUMPRODUCT((Inputs!$E$5:$E$130=$B11)*ISNUMBER(INDEX(Inputs!$K$5:$AJ$130,0,MATCH(Y$2,Inputs!$K$4:$AJ$4,0))))=0,NA(),SUMPRODUCT((Inputs!$A$5:$A$130=$B11)*Inputs!$B$5:$B$130*(((Inputs!$G$5:$G$130="moeda")+(Inputs!$G$5:$G$130="acoes"))*Inputs!$B$1+((Inputs!$G$5:$G$130&lt;&gt;"moeda")*(Inputs!$G$5:$G$130&lt;&gt;"acoes")))*INDEX(Inputs!$K$5:$AJ$130,0,MATCH(Y$2,Inputs!$K$4:$AJ$4,0)))+SUMPRODUCT((Inputs!$C$5:$C$130=$B11)*Inputs!$D$5:$D$130*(((Inputs!$G$5:$G$130="moeda")+(Inputs!$G$5:$G$130="acoes"))*Inputs!$B$1+((Inputs!$G$5:$G$130&lt;&gt;"moeda")*(Inputs!$G$5:$G$130&lt;&gt;"acoes")))*INDEX(Inputs!$K$5:$AJ$130,0,MATCH(Y$2,Inputs!$K$4:$AJ$4,0)))+SUMPRODUCT((Inputs!$E$5:$E$130=$B11)*Inputs!$F$5:$F$130*(((Inputs!$G$5:$G$130="moeda")+(Inputs!$G$5:$G$130="acoes"))*Inputs!$B$1+((Inputs!$G$5:$G$130&lt;&gt;"moeda")*(Inputs!$G$5:$G$130&lt;&gt;"acoes")))*INDEX(Inputs!$K$5:$AJ$130,0,MATCH(Y$2,Inputs!$K$4:$AJ$4,0)))))</f>
        <v>1</v>
      </c>
      <c r="Z11" s="265">
        <f>IF(ISNA(MATCH(Z$2,Inputs!$K$4:$AJ$4,0)),NA(),IF(SUMPRODUCT((Inputs!$A$5:$A$130=$B11)*ISNUMBER(INDEX(Inputs!$K$5:$AJ$130,0,MATCH(Z$2,Inputs!$K$4:$AJ$4,0))))+SUMPRODUCT((Inputs!$C$5:$C$130=$B11)*ISNUMBER(INDEX(Inputs!$K$5:$AJ$130,0,MATCH(Z$2,Inputs!$K$4:$AJ$4,0))))+SUMPRODUCT((Inputs!$E$5:$E$130=$B11)*ISNUMBER(INDEX(Inputs!$K$5:$AJ$130,0,MATCH(Z$2,Inputs!$K$4:$AJ$4,0))))=0,NA(),SUMPRODUCT((Inputs!$A$5:$A$130=$B11)*Inputs!$B$5:$B$130*(((Inputs!$G$5:$G$130="moeda")+(Inputs!$G$5:$G$130="acoes"))*Inputs!$B$1+((Inputs!$G$5:$G$130&lt;&gt;"moeda")*(Inputs!$G$5:$G$130&lt;&gt;"acoes")))*INDEX(Inputs!$K$5:$AJ$130,0,MATCH(Z$2,Inputs!$K$4:$AJ$4,0)))+SUMPRODUCT((Inputs!$C$5:$C$130=$B11)*Inputs!$D$5:$D$130*(((Inputs!$G$5:$G$130="moeda")+(Inputs!$G$5:$G$130="acoes"))*Inputs!$B$1+((Inputs!$G$5:$G$130&lt;&gt;"moeda")*(Inputs!$G$5:$G$130&lt;&gt;"acoes")))*INDEX(Inputs!$K$5:$AJ$130,0,MATCH(Z$2,Inputs!$K$4:$AJ$4,0)))+SUMPRODUCT((Inputs!$E$5:$E$130=$B11)*Inputs!$F$5:$F$130*(((Inputs!$G$5:$G$130="moeda")+(Inputs!$G$5:$G$130="acoes"))*Inputs!$B$1+((Inputs!$G$5:$G$130&lt;&gt;"moeda")*(Inputs!$G$5:$G$130&lt;&gt;"acoes")))*INDEX(Inputs!$K$5:$AJ$130,0,MATCH(Z$2,Inputs!$K$4:$AJ$4,0)))))</f>
        <v>0</v>
      </c>
      <c r="AA11" s="265">
        <f>IF(ISNA(MATCH(AA$2,Inputs!$K$4:$AJ$4,0)),NA(),IF(SUMPRODUCT((Inputs!$A$5:$A$130=$B11)*ISNUMBER(INDEX(Inputs!$K$5:$AJ$130,0,MATCH(AA$2,Inputs!$K$4:$AJ$4,0))))+SUMPRODUCT((Inputs!$C$5:$C$130=$B11)*ISNUMBER(INDEX(Inputs!$K$5:$AJ$130,0,MATCH(AA$2,Inputs!$K$4:$AJ$4,0))))+SUMPRODUCT((Inputs!$E$5:$E$130=$B11)*ISNUMBER(INDEX(Inputs!$K$5:$AJ$130,0,MATCH(AA$2,Inputs!$K$4:$AJ$4,0))))=0,NA(),SUMPRODUCT((Inputs!$A$5:$A$130=$B11)*Inputs!$B$5:$B$130*(((Inputs!$G$5:$G$130="moeda")+(Inputs!$G$5:$G$130="acoes"))*Inputs!$B$1+((Inputs!$G$5:$G$130&lt;&gt;"moeda")*(Inputs!$G$5:$G$130&lt;&gt;"acoes")))*INDEX(Inputs!$K$5:$AJ$130,0,MATCH(AA$2,Inputs!$K$4:$AJ$4,0)))+SUMPRODUCT((Inputs!$C$5:$C$130=$B11)*Inputs!$D$5:$D$130*(((Inputs!$G$5:$G$130="moeda")+(Inputs!$G$5:$G$130="acoes"))*Inputs!$B$1+((Inputs!$G$5:$G$130&lt;&gt;"moeda")*(Inputs!$G$5:$G$130&lt;&gt;"acoes")))*INDEX(Inputs!$K$5:$AJ$130,0,MATCH(AA$2,Inputs!$K$4:$AJ$4,0)))+SUMPRODUCT((Inputs!$E$5:$E$130=$B11)*Inputs!$F$5:$F$130*(((Inputs!$G$5:$G$130="moeda")+(Inputs!$G$5:$G$130="acoes"))*Inputs!$B$1+((Inputs!$G$5:$G$130&lt;&gt;"moeda")*(Inputs!$G$5:$G$130&lt;&gt;"acoes")))*INDEX(Inputs!$K$5:$AJ$130,0,MATCH(AA$2,Inputs!$K$4:$AJ$4,0)))))</f>
        <v>0</v>
      </c>
      <c r="AB11" s="266">
        <f>SUM(X11:AA11)</f>
        <v>0</v>
      </c>
      <c r="AC11" s="265">
        <f>IF(ISNA(MATCH(AC$2,Inputs!$K$4:$AJ$4,0)),NA(),IF(SUMPRODUCT((Inputs!$A$5:$A$130=$B11)*ISNUMBER(INDEX(Inputs!$K$5:$AJ$130,0,MATCH(AC$2,Inputs!$K$4:$AJ$4,0))))+SUMPRODUCT((Inputs!$C$5:$C$130=$B11)*ISNUMBER(INDEX(Inputs!$K$5:$AJ$130,0,MATCH(AC$2,Inputs!$K$4:$AJ$4,0))))+SUMPRODUCT((Inputs!$E$5:$E$130=$B11)*ISNUMBER(INDEX(Inputs!$K$5:$AJ$130,0,MATCH(AC$2,Inputs!$K$4:$AJ$4,0))))=0,NA(),SUMPRODUCT((Inputs!$A$5:$A$130=$B11)*Inputs!$B$5:$B$130*(((Inputs!$G$5:$G$130="moeda")+(Inputs!$G$5:$G$130="acoes"))*Inputs!$B$1+((Inputs!$G$5:$G$130&lt;&gt;"moeda")*(Inputs!$G$5:$G$130&lt;&gt;"acoes")))*INDEX(Inputs!$K$5:$AJ$130,0,MATCH(AC$2,Inputs!$K$4:$AJ$4,0)))+SUMPRODUCT((Inputs!$C$5:$C$130=$B11)*Inputs!$D$5:$D$130*(((Inputs!$G$5:$G$130="moeda")+(Inputs!$G$5:$G$130="acoes"))*Inputs!$B$1+((Inputs!$G$5:$G$130&lt;&gt;"moeda")*(Inputs!$G$5:$G$130&lt;&gt;"acoes")))*INDEX(Inputs!$K$5:$AJ$130,0,MATCH(AC$2,Inputs!$K$4:$AJ$4,0)))+SUMPRODUCT((Inputs!$E$5:$E$130=$B11)*Inputs!$F$5:$F$130*(((Inputs!$G$5:$G$130="moeda")+(Inputs!$G$5:$G$130="acoes"))*Inputs!$B$1+((Inputs!$G$5:$G$130&lt;&gt;"moeda")*(Inputs!$G$5:$G$130&lt;&gt;"acoes")))*INDEX(Inputs!$K$5:$AJ$130,0,MATCH(AC$2,Inputs!$K$4:$AJ$4,0)))))</f>
        <v>0</v>
      </c>
      <c r="AD11" s="265">
        <f>IF(ISNA(MATCH(AD$2,Inputs!$K$4:$AJ$4,0)),NA(),IF(SUMPRODUCT((Inputs!$A$5:$A$130=$B11)*ISNUMBER(INDEX(Inputs!$K$5:$AJ$130,0,MATCH(AD$2,Inputs!$K$4:$AJ$4,0))))+SUMPRODUCT((Inputs!$C$5:$C$130=$B11)*ISNUMBER(INDEX(Inputs!$K$5:$AJ$130,0,MATCH(AD$2,Inputs!$K$4:$AJ$4,0))))+SUMPRODUCT((Inputs!$E$5:$E$130=$B11)*ISNUMBER(INDEX(Inputs!$K$5:$AJ$130,0,MATCH(AD$2,Inputs!$K$4:$AJ$4,0))))=0,NA(),SUMPRODUCT((Inputs!$A$5:$A$130=$B11)*Inputs!$B$5:$B$130*(((Inputs!$G$5:$G$130="moeda")+(Inputs!$G$5:$G$130="acoes"))*Inputs!$B$1+((Inputs!$G$5:$G$130&lt;&gt;"moeda")*(Inputs!$G$5:$G$130&lt;&gt;"acoes")))*INDEX(Inputs!$K$5:$AJ$130,0,MATCH(AD$2,Inputs!$K$4:$AJ$4,0)))+SUMPRODUCT((Inputs!$C$5:$C$130=$B11)*Inputs!$D$5:$D$130*(((Inputs!$G$5:$G$130="moeda")+(Inputs!$G$5:$G$130="acoes"))*Inputs!$B$1+((Inputs!$G$5:$G$130&lt;&gt;"moeda")*(Inputs!$G$5:$G$130&lt;&gt;"acoes")))*INDEX(Inputs!$K$5:$AJ$130,0,MATCH(AD$2,Inputs!$K$4:$AJ$4,0)))+SUMPRODUCT((Inputs!$E$5:$E$130=$B11)*Inputs!$F$5:$F$130*(((Inputs!$G$5:$G$130="moeda")+(Inputs!$G$5:$G$130="acoes"))*Inputs!$B$1+((Inputs!$G$5:$G$130&lt;&gt;"moeda")*(Inputs!$G$5:$G$130&lt;&gt;"acoes")))*INDEX(Inputs!$K$5:$AJ$130,0,MATCH(AD$2,Inputs!$K$4:$AJ$4,0)))))</f>
        <v>0</v>
      </c>
      <c r="AE11" s="265" t="e">
        <f>IF(ISNA(MATCH(AE$2,Inputs!$K$4:$AJ$4,0)),NA(),IF(SUMPRODUCT((Inputs!$A$5:$A$130=$B11)*ISNUMBER(INDEX(Inputs!$K$5:$AJ$130,0,MATCH(AE$2,Inputs!$K$4:$AJ$4,0))))+SUMPRODUCT((Inputs!$C$5:$C$130=$B11)*ISNUMBER(INDEX(Inputs!$K$5:$AJ$130,0,MATCH(AE$2,Inputs!$K$4:$AJ$4,0))))+SUMPRODUCT((Inputs!$E$5:$E$130=$B11)*ISNUMBER(INDEX(Inputs!$K$5:$AJ$130,0,MATCH(AE$2,Inputs!$K$4:$AJ$4,0))))=0,NA(),SUMPRODUCT((Inputs!$A$5:$A$130=$B11)*Inputs!$B$5:$B$130*(((Inputs!$G$5:$G$130="moeda")+(Inputs!$G$5:$G$130="acoes"))*Inputs!$B$1+((Inputs!$G$5:$G$130&lt;&gt;"moeda")*(Inputs!$G$5:$G$130&lt;&gt;"acoes")))*INDEX(Inputs!$K$5:$AJ$130,0,MATCH(AE$2,Inputs!$K$4:$AJ$4,0)))+SUMPRODUCT((Inputs!$C$5:$C$130=$B11)*Inputs!$D$5:$D$130*(((Inputs!$G$5:$G$130="moeda")+(Inputs!$G$5:$G$130="acoes"))*Inputs!$B$1+((Inputs!$G$5:$G$130&lt;&gt;"moeda")*(Inputs!$G$5:$G$130&lt;&gt;"acoes")))*INDEX(Inputs!$K$5:$AJ$130,0,MATCH(AE$2,Inputs!$K$4:$AJ$4,0)))+SUMPRODUCT((Inputs!$E$5:$E$130=$B11)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1" s="265" t="e">
        <f>IF(ISNA(MATCH(AF$2,Inputs!$K$4:$AJ$4,0)),NA(),IF(SUMPRODUCT((Inputs!$A$5:$A$130=$B11)*ISNUMBER(INDEX(Inputs!$K$5:$AJ$130,0,MATCH(AF$2,Inputs!$K$4:$AJ$4,0))))+SUMPRODUCT((Inputs!$C$5:$C$130=$B11)*ISNUMBER(INDEX(Inputs!$K$5:$AJ$130,0,MATCH(AF$2,Inputs!$K$4:$AJ$4,0))))+SUMPRODUCT((Inputs!$E$5:$E$130=$B11)*ISNUMBER(INDEX(Inputs!$K$5:$AJ$130,0,MATCH(AF$2,Inputs!$K$4:$AJ$4,0))))=0,NA(),SUMPRODUCT((Inputs!$A$5:$A$130=$B11)*Inputs!$B$5:$B$130*(((Inputs!$G$5:$G$130="moeda")+(Inputs!$G$5:$G$130="acoes"))*Inputs!$B$1+((Inputs!$G$5:$G$130&lt;&gt;"moeda")*(Inputs!$G$5:$G$130&lt;&gt;"acoes")))*INDEX(Inputs!$K$5:$AJ$130,0,MATCH(AF$2,Inputs!$K$4:$AJ$4,0)))+SUMPRODUCT((Inputs!$C$5:$C$130=$B11)*Inputs!$D$5:$D$130*(((Inputs!$G$5:$G$130="moeda")+(Inputs!$G$5:$G$130="acoes"))*Inputs!$B$1+((Inputs!$G$5:$G$130&lt;&gt;"moeda")*(Inputs!$G$5:$G$130&lt;&gt;"acoes")))*INDEX(Inputs!$K$5:$AJ$130,0,MATCH(AF$2,Inputs!$K$4:$AJ$4,0)))+SUMPRODUCT((Inputs!$E$5:$E$130=$B11)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1" s="266" t="e">
        <f>SUM(AC11:AF11)</f>
        <v>#N/A</v>
      </c>
      <c r="AH11" s="265" t="e">
        <f>IF(ISNA(MATCH(AH$2,Inputs!$K$4:$AJ$4,0)),NA(),IF(SUMPRODUCT((Inputs!$A$5:$A$130=$B11)*ISNUMBER(INDEX(Inputs!$K$5:$AJ$130,0,MATCH(AH$2,Inputs!$K$4:$AJ$4,0))))+SUMPRODUCT((Inputs!$C$5:$C$130=$B11)*ISNUMBER(INDEX(Inputs!$K$5:$AJ$130,0,MATCH(AH$2,Inputs!$K$4:$AJ$4,0))))+SUMPRODUCT((Inputs!$E$5:$E$130=$B11)*ISNUMBER(INDEX(Inputs!$K$5:$AJ$130,0,MATCH(AH$2,Inputs!$K$4:$AJ$4,0))))=0,NA(),SUMPRODUCT((Inputs!$A$5:$A$130=$B11)*Inputs!$B$5:$B$130*(((Inputs!$G$5:$G$130="moeda")+(Inputs!$G$5:$G$130="acoes"))*Inputs!$B$1+((Inputs!$G$5:$G$130&lt;&gt;"moeda")*(Inputs!$G$5:$G$130&lt;&gt;"acoes")))*INDEX(Inputs!$K$5:$AJ$130,0,MATCH(AH$2,Inputs!$K$4:$AJ$4,0)))+SUMPRODUCT((Inputs!$C$5:$C$130=$B11)*Inputs!$D$5:$D$130*(((Inputs!$G$5:$G$130="moeda")+(Inputs!$G$5:$G$130="acoes"))*Inputs!$B$1+((Inputs!$G$5:$G$130&lt;&gt;"moeda")*(Inputs!$G$5:$G$130&lt;&gt;"acoes")))*INDEX(Inputs!$K$5:$AJ$130,0,MATCH(AH$2,Inputs!$K$4:$AJ$4,0)))+SUMPRODUCT((Inputs!$E$5:$E$130=$B11)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11" s="265" t="e">
        <f>IF(ISNA(MATCH(AI$2,Inputs!$K$4:$AJ$4,0)),NA(),IF(SUMPRODUCT((Inputs!$A$5:$A$130=$B11)*ISNUMBER(INDEX(Inputs!$K$5:$AJ$130,0,MATCH(AI$2,Inputs!$K$4:$AJ$4,0))))+SUMPRODUCT((Inputs!$C$5:$C$130=$B11)*ISNUMBER(INDEX(Inputs!$K$5:$AJ$130,0,MATCH(AI$2,Inputs!$K$4:$AJ$4,0))))+SUMPRODUCT((Inputs!$E$5:$E$130=$B11)*ISNUMBER(INDEX(Inputs!$K$5:$AJ$130,0,MATCH(AI$2,Inputs!$K$4:$AJ$4,0))))=0,NA(),SUMPRODUCT((Inputs!$A$5:$A$130=$B11)*Inputs!$B$5:$B$130*(((Inputs!$G$5:$G$130="moeda")+(Inputs!$G$5:$G$130="acoes"))*Inputs!$B$1+((Inputs!$G$5:$G$130&lt;&gt;"moeda")*(Inputs!$G$5:$G$130&lt;&gt;"acoes")))*INDEX(Inputs!$K$5:$AJ$130,0,MATCH(AI$2,Inputs!$K$4:$AJ$4,0)))+SUMPRODUCT((Inputs!$C$5:$C$130=$B11)*Inputs!$D$5:$D$130*(((Inputs!$G$5:$G$130="moeda")+(Inputs!$G$5:$G$130="acoes"))*Inputs!$B$1+((Inputs!$G$5:$G$130&lt;&gt;"moeda")*(Inputs!$G$5:$G$130&lt;&gt;"acoes")))*INDEX(Inputs!$K$5:$AJ$130,0,MATCH(AI$2,Inputs!$K$4:$AJ$4,0)))+SUMPRODUCT((Inputs!$E$5:$E$130=$B11)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11" s="265" t="e">
        <f>IF(ISNA(MATCH(AJ$2,Inputs!$K$4:$AJ$4,0)),NA(),IF(SUMPRODUCT((Inputs!$A$5:$A$130=$B11)*ISNUMBER(INDEX(Inputs!$K$5:$AJ$130,0,MATCH(AJ$2,Inputs!$K$4:$AJ$4,0))))+SUMPRODUCT((Inputs!$C$5:$C$130=$B11)*ISNUMBER(INDEX(Inputs!$K$5:$AJ$130,0,MATCH(AJ$2,Inputs!$K$4:$AJ$4,0))))+SUMPRODUCT((Inputs!$E$5:$E$130=$B11)*ISNUMBER(INDEX(Inputs!$K$5:$AJ$130,0,MATCH(AJ$2,Inputs!$K$4:$AJ$4,0))))=0,NA(),SUMPRODUCT((Inputs!$A$5:$A$130=$B11)*Inputs!$B$5:$B$130*(((Inputs!$G$5:$G$130="moeda")+(Inputs!$G$5:$G$130="acoes"))*Inputs!$B$1+((Inputs!$G$5:$G$130&lt;&gt;"moeda")*(Inputs!$G$5:$G$130&lt;&gt;"acoes")))*INDEX(Inputs!$K$5:$AJ$130,0,MATCH(AJ$2,Inputs!$K$4:$AJ$4,0)))+SUMPRODUCT((Inputs!$C$5:$C$130=$B11)*Inputs!$D$5:$D$130*(((Inputs!$G$5:$G$130="moeda")+(Inputs!$G$5:$G$130="acoes"))*Inputs!$B$1+((Inputs!$G$5:$G$130&lt;&gt;"moeda")*(Inputs!$G$5:$G$130&lt;&gt;"acoes")))*INDEX(Inputs!$K$5:$AJ$130,0,MATCH(AJ$2,Inputs!$K$4:$AJ$4,0)))+SUMPRODUCT((Inputs!$E$5:$E$130=$B11)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11" s="265" t="e">
        <f>IF(ISNA(MATCH(AK$2,Inputs!$K$4:$AJ$4,0)),NA(),IF(SUMPRODUCT((Inputs!$A$5:$A$130=$B11)*ISNUMBER(INDEX(Inputs!$K$5:$AJ$130,0,MATCH(AK$2,Inputs!$K$4:$AJ$4,0))))+SUMPRODUCT((Inputs!$C$5:$C$130=$B11)*ISNUMBER(INDEX(Inputs!$K$5:$AJ$130,0,MATCH(AK$2,Inputs!$K$4:$AJ$4,0))))+SUMPRODUCT((Inputs!$E$5:$E$130=$B11)*ISNUMBER(INDEX(Inputs!$K$5:$AJ$130,0,MATCH(AK$2,Inputs!$K$4:$AJ$4,0))))=0,NA(),SUMPRODUCT((Inputs!$A$5:$A$130=$B11)*Inputs!$B$5:$B$130*(((Inputs!$G$5:$G$130="moeda")+(Inputs!$G$5:$G$130="acoes"))*Inputs!$B$1+((Inputs!$G$5:$G$130&lt;&gt;"moeda")*(Inputs!$G$5:$G$130&lt;&gt;"acoes")))*INDEX(Inputs!$K$5:$AJ$130,0,MATCH(AK$2,Inputs!$K$4:$AJ$4,0)))+SUMPRODUCT((Inputs!$C$5:$C$130=$B11)*Inputs!$D$5:$D$130*(((Inputs!$G$5:$G$130="moeda")+(Inputs!$G$5:$G$130="acoes"))*Inputs!$B$1+((Inputs!$G$5:$G$130&lt;&gt;"moeda")*(Inputs!$G$5:$G$130&lt;&gt;"acoes")))*INDEX(Inputs!$K$5:$AJ$130,0,MATCH(AK$2,Inputs!$K$4:$AJ$4,0)))+SUMPRODUCT((Inputs!$E$5:$E$130=$B11)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11" s="266" t="e">
        <f>SUM(AH11:AK11)</f>
        <v>#N/A</v>
      </c>
    </row>
    <row r="12" ht="12.75" customHeight="1" s="254">
      <c r="B12" s="263" t="n">
        <v>9</v>
      </c>
      <c r="C12" s="268" t="inlineStr">
        <is>
          <t>Minority Interest Expense, after tax (enter as - )</t>
        </is>
      </c>
      <c r="D12" s="265">
        <f>IF(ISNA(MATCH(D$2,Inputs!$K$4:$AJ$4,0)),NA(),IF(SUMPRODUCT((Inputs!$A$5:$A$130=$B12)*ISNUMBER(INDEX(Inputs!$K$5:$AJ$130,0,MATCH(D$2,Inputs!$K$4:$AJ$4,0))))+SUMPRODUCT((Inputs!$C$5:$C$130=$B12)*ISNUMBER(INDEX(Inputs!$K$5:$AJ$130,0,MATCH(D$2,Inputs!$K$4:$AJ$4,0))))+SUMPRODUCT((Inputs!$E$5:$E$130=$B12)*ISNUMBER(INDEX(Inputs!$K$5:$AJ$130,0,MATCH(D$2,Inputs!$K$4:$AJ$4,0))))=0,NA(),SUMPRODUCT((Inputs!$A$5:$A$130=$B12)*Inputs!$B$5:$B$130*(((Inputs!$G$5:$G$130="moeda")+(Inputs!$G$5:$G$130="acoes"))*Inputs!$B$1+((Inputs!$G$5:$G$130&lt;&gt;"moeda")*(Inputs!$G$5:$G$130&lt;&gt;"acoes")))*INDEX(Inputs!$K$5:$AJ$130,0,MATCH(D$2,Inputs!$K$4:$AJ$4,0)))+SUMPRODUCT((Inputs!$C$5:$C$130=$B12)*Inputs!$D$5:$D$130*(((Inputs!$G$5:$G$130="moeda")+(Inputs!$G$5:$G$130="acoes"))*Inputs!$B$1+((Inputs!$G$5:$G$130&lt;&gt;"moeda")*(Inputs!$G$5:$G$130&lt;&gt;"acoes")))*INDEX(Inputs!$K$5:$AJ$130,0,MATCH(D$2,Inputs!$K$4:$AJ$4,0)))+SUMPRODUCT((Inputs!$E$5:$E$130=$B12)*Inputs!$F$5:$F$130*(((Inputs!$G$5:$G$130="moeda")+(Inputs!$G$5:$G$130="acoes"))*Inputs!$B$1+((Inputs!$G$5:$G$130&lt;&gt;"moeda")*(Inputs!$G$5:$G$130&lt;&gt;"acoes")))*INDEX(Inputs!$K$5:$AJ$130,0,MATCH(D$2,Inputs!$K$4:$AJ$4,0)))))</f>
        <v>-124</v>
      </c>
      <c r="E12" s="265">
        <f>IF(ISNA(MATCH(E$2,Inputs!$K$4:$AJ$4,0)),NA(),IF(SUMPRODUCT((Inputs!$A$5:$A$130=$B12)*ISNUMBER(INDEX(Inputs!$K$5:$AJ$130,0,MATCH(E$2,Inputs!$K$4:$AJ$4,0))))+SUMPRODUCT((Inputs!$C$5:$C$130=$B12)*ISNUMBER(INDEX(Inputs!$K$5:$AJ$130,0,MATCH(E$2,Inputs!$K$4:$AJ$4,0))))+SUMPRODUCT((Inputs!$E$5:$E$130=$B12)*ISNUMBER(INDEX(Inputs!$K$5:$AJ$130,0,MATCH(E$2,Inputs!$K$4:$AJ$4,0))))=0,NA(),SUMPRODUCT((Inputs!$A$5:$A$130=$B12)*Inputs!$B$5:$B$130*(((Inputs!$G$5:$G$130="moeda")+(Inputs!$G$5:$G$130="acoes"))*Inputs!$B$1+((Inputs!$G$5:$G$130&lt;&gt;"moeda")*(Inputs!$G$5:$G$130&lt;&gt;"acoes")))*INDEX(Inputs!$K$5:$AJ$130,0,MATCH(E$2,Inputs!$K$4:$AJ$4,0)))+SUMPRODUCT((Inputs!$C$5:$C$130=$B12)*Inputs!$D$5:$D$130*(((Inputs!$G$5:$G$130="moeda")+(Inputs!$G$5:$G$130="acoes"))*Inputs!$B$1+((Inputs!$G$5:$G$130&lt;&gt;"moeda")*(Inputs!$G$5:$G$130&lt;&gt;"acoes")))*INDEX(Inputs!$K$5:$AJ$130,0,MATCH(E$2,Inputs!$K$4:$AJ$4,0)))+SUMPRODUCT((Inputs!$E$5:$E$130=$B12)*Inputs!$F$5:$F$130*(((Inputs!$G$5:$G$130="moeda")+(Inputs!$G$5:$G$130="acoes"))*Inputs!$B$1+((Inputs!$G$5:$G$130&lt;&gt;"moeda")*(Inputs!$G$5:$G$130&lt;&gt;"acoes")))*INDEX(Inputs!$K$5:$AJ$130,0,MATCH(E$2,Inputs!$K$4:$AJ$4,0)))))</f>
        <v>-131</v>
      </c>
      <c r="F12" s="265">
        <f>IF(ISNA(MATCH(F$2,Inputs!$K$4:$AJ$4,0)),NA(),IF(SUMPRODUCT((Inputs!$A$5:$A$130=$B12)*ISNUMBER(INDEX(Inputs!$K$5:$AJ$130,0,MATCH(F$2,Inputs!$K$4:$AJ$4,0))))+SUMPRODUCT((Inputs!$C$5:$C$130=$B12)*ISNUMBER(INDEX(Inputs!$K$5:$AJ$130,0,MATCH(F$2,Inputs!$K$4:$AJ$4,0))))+SUMPRODUCT((Inputs!$E$5:$E$130=$B12)*ISNUMBER(INDEX(Inputs!$K$5:$AJ$130,0,MATCH(F$2,Inputs!$K$4:$AJ$4,0))))=0,NA(),SUMPRODUCT((Inputs!$A$5:$A$130=$B12)*Inputs!$B$5:$B$130*(((Inputs!$G$5:$G$130="moeda")+(Inputs!$G$5:$G$130="acoes"))*Inputs!$B$1+((Inputs!$G$5:$G$130&lt;&gt;"moeda")*(Inputs!$G$5:$G$130&lt;&gt;"acoes")))*INDEX(Inputs!$K$5:$AJ$130,0,MATCH(F$2,Inputs!$K$4:$AJ$4,0)))+SUMPRODUCT((Inputs!$C$5:$C$130=$B12)*Inputs!$D$5:$D$130*(((Inputs!$G$5:$G$130="moeda")+(Inputs!$G$5:$G$130="acoes"))*Inputs!$B$1+((Inputs!$G$5:$G$130&lt;&gt;"moeda")*(Inputs!$G$5:$G$130&lt;&gt;"acoes")))*INDEX(Inputs!$K$5:$AJ$130,0,MATCH(F$2,Inputs!$K$4:$AJ$4,0)))+SUMPRODUCT((Inputs!$E$5:$E$130=$B12)*Inputs!$F$5:$F$130*(((Inputs!$G$5:$G$130="moeda")+(Inputs!$G$5:$G$130="acoes"))*Inputs!$B$1+((Inputs!$G$5:$G$130&lt;&gt;"moeda")*(Inputs!$G$5:$G$130&lt;&gt;"acoes")))*INDEX(Inputs!$K$5:$AJ$130,0,MATCH(F$2,Inputs!$K$4:$AJ$4,0)))))</f>
        <v>-130</v>
      </c>
      <c r="G12" s="265">
        <f>IF(ISNA(MATCH(G$2,Inputs!$K$4:$AJ$4,0)),NA(),IF(SUMPRODUCT((Inputs!$A$5:$A$130=$B12)*ISNUMBER(INDEX(Inputs!$K$5:$AJ$130,0,MATCH(G$2,Inputs!$K$4:$AJ$4,0))))+SUMPRODUCT((Inputs!$C$5:$C$130=$B12)*ISNUMBER(INDEX(Inputs!$K$5:$AJ$130,0,MATCH(G$2,Inputs!$K$4:$AJ$4,0))))+SUMPRODUCT((Inputs!$E$5:$E$130=$B12)*ISNUMBER(INDEX(Inputs!$K$5:$AJ$130,0,MATCH(G$2,Inputs!$K$4:$AJ$4,0))))=0,NA(),SUMPRODUCT((Inputs!$A$5:$A$130=$B12)*Inputs!$B$5:$B$130*(((Inputs!$G$5:$G$130="moeda")+(Inputs!$G$5:$G$130="acoes"))*Inputs!$B$1+((Inputs!$G$5:$G$130&lt;&gt;"moeda")*(Inputs!$G$5:$G$130&lt;&gt;"acoes")))*INDEX(Inputs!$K$5:$AJ$130,0,MATCH(G$2,Inputs!$K$4:$AJ$4,0)))+SUMPRODUCT((Inputs!$C$5:$C$130=$B12)*Inputs!$D$5:$D$130*(((Inputs!$G$5:$G$130="moeda")+(Inputs!$G$5:$G$130="acoes"))*Inputs!$B$1+((Inputs!$G$5:$G$130&lt;&gt;"moeda")*(Inputs!$G$5:$G$130&lt;&gt;"acoes")))*INDEX(Inputs!$K$5:$AJ$130,0,MATCH(G$2,Inputs!$K$4:$AJ$4,0)))+SUMPRODUCT((Inputs!$E$5:$E$130=$B12)*Inputs!$F$5:$F$130*(((Inputs!$G$5:$G$130="moeda")+(Inputs!$G$5:$G$130="acoes"))*Inputs!$B$1+((Inputs!$G$5:$G$130&lt;&gt;"moeda")*(Inputs!$G$5:$G$130&lt;&gt;"acoes")))*INDEX(Inputs!$K$5:$AJ$130,0,MATCH(G$2,Inputs!$K$4:$AJ$4,0)))))</f>
        <v>-144</v>
      </c>
      <c r="H12" s="266">
        <f>SUM(D12:G12)</f>
        <v>-529</v>
      </c>
      <c r="I12" s="265">
        <f>IF(ISNA(MATCH(I$2,Inputs!$K$4:$AJ$4,0)),NA(),IF(SUMPRODUCT((Inputs!$A$5:$A$130=$B12)*ISNUMBER(INDEX(Inputs!$K$5:$AJ$130,0,MATCH(I$2,Inputs!$K$4:$AJ$4,0))))+SUMPRODUCT((Inputs!$C$5:$C$130=$B12)*ISNUMBER(INDEX(Inputs!$K$5:$AJ$130,0,MATCH(I$2,Inputs!$K$4:$AJ$4,0))))+SUMPRODUCT((Inputs!$E$5:$E$130=$B12)*ISNUMBER(INDEX(Inputs!$K$5:$AJ$130,0,MATCH(I$2,Inputs!$K$4:$AJ$4,0))))=0,NA(),SUMPRODUCT((Inputs!$A$5:$A$130=$B12)*Inputs!$B$5:$B$130*(((Inputs!$G$5:$G$130="moeda")+(Inputs!$G$5:$G$130="acoes"))*Inputs!$B$1+((Inputs!$G$5:$G$130&lt;&gt;"moeda")*(Inputs!$G$5:$G$130&lt;&gt;"acoes")))*INDEX(Inputs!$K$5:$AJ$130,0,MATCH(I$2,Inputs!$K$4:$AJ$4,0)))+SUMPRODUCT((Inputs!$C$5:$C$130=$B12)*Inputs!$D$5:$D$130*(((Inputs!$G$5:$G$130="moeda")+(Inputs!$G$5:$G$130="acoes"))*Inputs!$B$1+((Inputs!$G$5:$G$130&lt;&gt;"moeda")*(Inputs!$G$5:$G$130&lt;&gt;"acoes")))*INDEX(Inputs!$K$5:$AJ$130,0,MATCH(I$2,Inputs!$K$4:$AJ$4,0)))+SUMPRODUCT((Inputs!$E$5:$E$130=$B12)*Inputs!$F$5:$F$130*(((Inputs!$G$5:$G$130="moeda")+(Inputs!$G$5:$G$130="acoes"))*Inputs!$B$1+((Inputs!$G$5:$G$130&lt;&gt;"moeda")*(Inputs!$G$5:$G$130&lt;&gt;"acoes")))*INDEX(Inputs!$K$5:$AJ$130,0,MATCH(I$2,Inputs!$K$4:$AJ$4,0)))))</f>
        <v>-203</v>
      </c>
      <c r="J12" s="265">
        <f>IF(ISNA(MATCH(J$2,Inputs!$K$4:$AJ$4,0)),NA(),IF(SUMPRODUCT((Inputs!$A$5:$A$130=$B12)*ISNUMBER(INDEX(Inputs!$K$5:$AJ$130,0,MATCH(J$2,Inputs!$K$4:$AJ$4,0))))+SUMPRODUCT((Inputs!$C$5:$C$130=$B12)*ISNUMBER(INDEX(Inputs!$K$5:$AJ$130,0,MATCH(J$2,Inputs!$K$4:$AJ$4,0))))+SUMPRODUCT((Inputs!$E$5:$E$130=$B12)*ISNUMBER(INDEX(Inputs!$K$5:$AJ$130,0,MATCH(J$2,Inputs!$K$4:$AJ$4,0))))=0,NA(),SUMPRODUCT((Inputs!$A$5:$A$130=$B12)*Inputs!$B$5:$B$130*(((Inputs!$G$5:$G$130="moeda")+(Inputs!$G$5:$G$130="acoes"))*Inputs!$B$1+((Inputs!$G$5:$G$130&lt;&gt;"moeda")*(Inputs!$G$5:$G$130&lt;&gt;"acoes")))*INDEX(Inputs!$K$5:$AJ$130,0,MATCH(J$2,Inputs!$K$4:$AJ$4,0)))+SUMPRODUCT((Inputs!$C$5:$C$130=$B12)*Inputs!$D$5:$D$130*(((Inputs!$G$5:$G$130="moeda")+(Inputs!$G$5:$G$130="acoes"))*Inputs!$B$1+((Inputs!$G$5:$G$130&lt;&gt;"moeda")*(Inputs!$G$5:$G$130&lt;&gt;"acoes")))*INDEX(Inputs!$K$5:$AJ$130,0,MATCH(J$2,Inputs!$K$4:$AJ$4,0)))+SUMPRODUCT((Inputs!$E$5:$E$130=$B12)*Inputs!$F$5:$F$130*(((Inputs!$G$5:$G$130="moeda")+(Inputs!$G$5:$G$130="acoes"))*Inputs!$B$1+((Inputs!$G$5:$G$130&lt;&gt;"moeda")*(Inputs!$G$5:$G$130&lt;&gt;"acoes")))*INDEX(Inputs!$K$5:$AJ$130,0,MATCH(J$2,Inputs!$K$4:$AJ$4,0)))))</f>
        <v>-198</v>
      </c>
      <c r="K12" s="265">
        <f>IF(ISNA(MATCH(K$2,Inputs!$K$4:$AJ$4,0)),NA(),IF(SUMPRODUCT((Inputs!$A$5:$A$130=$B12)*ISNUMBER(INDEX(Inputs!$K$5:$AJ$130,0,MATCH(K$2,Inputs!$K$4:$AJ$4,0))))+SUMPRODUCT((Inputs!$C$5:$C$130=$B12)*ISNUMBER(INDEX(Inputs!$K$5:$AJ$130,0,MATCH(K$2,Inputs!$K$4:$AJ$4,0))))+SUMPRODUCT((Inputs!$E$5:$E$130=$B12)*ISNUMBER(INDEX(Inputs!$K$5:$AJ$130,0,MATCH(K$2,Inputs!$K$4:$AJ$4,0))))=0,NA(),SUMPRODUCT((Inputs!$A$5:$A$130=$B12)*Inputs!$B$5:$B$130*(((Inputs!$G$5:$G$130="moeda")+(Inputs!$G$5:$G$130="acoes"))*Inputs!$B$1+((Inputs!$G$5:$G$130&lt;&gt;"moeda")*(Inputs!$G$5:$G$130&lt;&gt;"acoes")))*INDEX(Inputs!$K$5:$AJ$130,0,MATCH(K$2,Inputs!$K$4:$AJ$4,0)))+SUMPRODUCT((Inputs!$C$5:$C$130=$B12)*Inputs!$D$5:$D$130*(((Inputs!$G$5:$G$130="moeda")+(Inputs!$G$5:$G$130="acoes"))*Inputs!$B$1+((Inputs!$G$5:$G$130&lt;&gt;"moeda")*(Inputs!$G$5:$G$130&lt;&gt;"acoes")))*INDEX(Inputs!$K$5:$AJ$130,0,MATCH(K$2,Inputs!$K$4:$AJ$4,0)))+SUMPRODUCT((Inputs!$E$5:$E$130=$B12)*Inputs!$F$5:$F$130*(((Inputs!$G$5:$G$130="moeda")+(Inputs!$G$5:$G$130="acoes"))*Inputs!$B$1+((Inputs!$G$5:$G$130&lt;&gt;"moeda")*(Inputs!$G$5:$G$130&lt;&gt;"acoes")))*INDEX(Inputs!$K$5:$AJ$130,0,MATCH(K$2,Inputs!$K$4:$AJ$4,0)))))</f>
        <v>-104</v>
      </c>
      <c r="L12" s="265">
        <f>IF(ISNA(MATCH(L$2,Inputs!$K$4:$AJ$4,0)),NA(),IF(SUMPRODUCT((Inputs!$A$5:$A$130=$B12)*ISNUMBER(INDEX(Inputs!$K$5:$AJ$130,0,MATCH(L$2,Inputs!$K$4:$AJ$4,0))))+SUMPRODUCT((Inputs!$C$5:$C$130=$B12)*ISNUMBER(INDEX(Inputs!$K$5:$AJ$130,0,MATCH(L$2,Inputs!$K$4:$AJ$4,0))))+SUMPRODUCT((Inputs!$E$5:$E$130=$B12)*ISNUMBER(INDEX(Inputs!$K$5:$AJ$130,0,MATCH(L$2,Inputs!$K$4:$AJ$4,0))))=0,NA(),SUMPRODUCT((Inputs!$A$5:$A$130=$B12)*Inputs!$B$5:$B$130*(((Inputs!$G$5:$G$130="moeda")+(Inputs!$G$5:$G$130="acoes"))*Inputs!$B$1+((Inputs!$G$5:$G$130&lt;&gt;"moeda")*(Inputs!$G$5:$G$130&lt;&gt;"acoes")))*INDEX(Inputs!$K$5:$AJ$130,0,MATCH(L$2,Inputs!$K$4:$AJ$4,0)))+SUMPRODUCT((Inputs!$C$5:$C$130=$B12)*Inputs!$D$5:$D$130*(((Inputs!$G$5:$G$130="moeda")+(Inputs!$G$5:$G$130="acoes"))*Inputs!$B$1+((Inputs!$G$5:$G$130&lt;&gt;"moeda")*(Inputs!$G$5:$G$130&lt;&gt;"acoes")))*INDEX(Inputs!$K$5:$AJ$130,0,MATCH(L$2,Inputs!$K$4:$AJ$4,0)))+SUMPRODUCT((Inputs!$E$5:$E$130=$B12)*Inputs!$F$5:$F$130*(((Inputs!$G$5:$G$130="moeda")+(Inputs!$G$5:$G$130="acoes"))*Inputs!$B$1+((Inputs!$G$5:$G$130&lt;&gt;"moeda")*(Inputs!$G$5:$G$130&lt;&gt;"acoes")))*INDEX(Inputs!$K$5:$AJ$130,0,MATCH(L$2,Inputs!$K$4:$AJ$4,0)))))</f>
        <v>-59</v>
      </c>
      <c r="M12" s="266">
        <f>SUM(I12:L12)</f>
        <v>-564</v>
      </c>
      <c r="N12" s="265">
        <f>IF(ISNA(MATCH(N$2,Inputs!$K$4:$AJ$4,0)),NA(),IF(SUMPRODUCT((Inputs!$A$5:$A$130=$B12)*ISNUMBER(INDEX(Inputs!$K$5:$AJ$130,0,MATCH(N$2,Inputs!$K$4:$AJ$4,0))))+SUMPRODUCT((Inputs!$C$5:$C$130=$B12)*ISNUMBER(INDEX(Inputs!$K$5:$AJ$130,0,MATCH(N$2,Inputs!$K$4:$AJ$4,0))))+SUMPRODUCT((Inputs!$E$5:$E$130=$B12)*ISNUMBER(INDEX(Inputs!$K$5:$AJ$130,0,MATCH(N$2,Inputs!$K$4:$AJ$4,0))))=0,NA(),SUMPRODUCT((Inputs!$A$5:$A$130=$B12)*Inputs!$B$5:$B$130*(((Inputs!$G$5:$G$130="moeda")+(Inputs!$G$5:$G$130="acoes"))*Inputs!$B$1+((Inputs!$G$5:$G$130&lt;&gt;"moeda")*(Inputs!$G$5:$G$130&lt;&gt;"acoes")))*INDEX(Inputs!$K$5:$AJ$130,0,MATCH(N$2,Inputs!$K$4:$AJ$4,0)))+SUMPRODUCT((Inputs!$C$5:$C$130=$B12)*Inputs!$D$5:$D$130*(((Inputs!$G$5:$G$130="moeda")+(Inputs!$G$5:$G$130="acoes"))*Inputs!$B$1+((Inputs!$G$5:$G$130&lt;&gt;"moeda")*(Inputs!$G$5:$G$130&lt;&gt;"acoes")))*INDEX(Inputs!$K$5:$AJ$130,0,MATCH(N$2,Inputs!$K$4:$AJ$4,0)))+SUMPRODUCT((Inputs!$E$5:$E$130=$B12)*Inputs!$F$5:$F$130*(((Inputs!$G$5:$G$130="moeda")+(Inputs!$G$5:$G$130="acoes"))*Inputs!$B$1+((Inputs!$G$5:$G$130&lt;&gt;"moeda")*(Inputs!$G$5:$G$130&lt;&gt;"acoes")))*INDEX(Inputs!$K$5:$AJ$130,0,MATCH(N$2,Inputs!$K$4:$AJ$4,0)))))</f>
        <v>-64</v>
      </c>
      <c r="O12" s="265">
        <f>IF(ISNA(MATCH(O$2,Inputs!$K$4:$AJ$4,0)),NA(),IF(SUMPRODUCT((Inputs!$A$5:$A$130=$B12)*ISNUMBER(INDEX(Inputs!$K$5:$AJ$130,0,MATCH(O$2,Inputs!$K$4:$AJ$4,0))))+SUMPRODUCT((Inputs!$C$5:$C$130=$B12)*ISNUMBER(INDEX(Inputs!$K$5:$AJ$130,0,MATCH(O$2,Inputs!$K$4:$AJ$4,0))))+SUMPRODUCT((Inputs!$E$5:$E$130=$B12)*ISNUMBER(INDEX(Inputs!$K$5:$AJ$130,0,MATCH(O$2,Inputs!$K$4:$AJ$4,0))))=0,NA(),SUMPRODUCT((Inputs!$A$5:$A$130=$B12)*Inputs!$B$5:$B$130*(((Inputs!$G$5:$G$130="moeda")+(Inputs!$G$5:$G$130="acoes"))*Inputs!$B$1+((Inputs!$G$5:$G$130&lt;&gt;"moeda")*(Inputs!$G$5:$G$130&lt;&gt;"acoes")))*INDEX(Inputs!$K$5:$AJ$130,0,MATCH(O$2,Inputs!$K$4:$AJ$4,0)))+SUMPRODUCT((Inputs!$C$5:$C$130=$B12)*Inputs!$D$5:$D$130*(((Inputs!$G$5:$G$130="moeda")+(Inputs!$G$5:$G$130="acoes"))*Inputs!$B$1+((Inputs!$G$5:$G$130&lt;&gt;"moeda")*(Inputs!$G$5:$G$130&lt;&gt;"acoes")))*INDEX(Inputs!$K$5:$AJ$130,0,MATCH(O$2,Inputs!$K$4:$AJ$4,0)))+SUMPRODUCT((Inputs!$E$5:$E$130=$B12)*Inputs!$F$5:$F$130*(((Inputs!$G$5:$G$130="moeda")+(Inputs!$G$5:$G$130="acoes"))*Inputs!$B$1+((Inputs!$G$5:$G$130&lt;&gt;"moeda")*(Inputs!$G$5:$G$130&lt;&gt;"acoes")))*INDEX(Inputs!$K$5:$AJ$130,0,MATCH(O$2,Inputs!$K$4:$AJ$4,0)))))</f>
        <v>-20</v>
      </c>
      <c r="P12" s="265">
        <f>IF(ISNA(MATCH(P$2,Inputs!$K$4:$AJ$4,0)),NA(),IF(SUMPRODUCT((Inputs!$A$5:$A$130=$B12)*ISNUMBER(INDEX(Inputs!$K$5:$AJ$130,0,MATCH(P$2,Inputs!$K$4:$AJ$4,0))))+SUMPRODUCT((Inputs!$C$5:$C$130=$B12)*ISNUMBER(INDEX(Inputs!$K$5:$AJ$130,0,MATCH(P$2,Inputs!$K$4:$AJ$4,0))))+SUMPRODUCT((Inputs!$E$5:$E$130=$B12)*ISNUMBER(INDEX(Inputs!$K$5:$AJ$130,0,MATCH(P$2,Inputs!$K$4:$AJ$4,0))))=0,NA(),SUMPRODUCT((Inputs!$A$5:$A$130=$B12)*Inputs!$B$5:$B$130*(((Inputs!$G$5:$G$130="moeda")+(Inputs!$G$5:$G$130="acoes"))*Inputs!$B$1+((Inputs!$G$5:$G$130&lt;&gt;"moeda")*(Inputs!$G$5:$G$130&lt;&gt;"acoes")))*INDEX(Inputs!$K$5:$AJ$130,0,MATCH(P$2,Inputs!$K$4:$AJ$4,0)))+SUMPRODUCT((Inputs!$C$5:$C$130=$B12)*Inputs!$D$5:$D$130*(((Inputs!$G$5:$G$130="moeda")+(Inputs!$G$5:$G$130="acoes"))*Inputs!$B$1+((Inputs!$G$5:$G$130&lt;&gt;"moeda")*(Inputs!$G$5:$G$130&lt;&gt;"acoes")))*INDEX(Inputs!$K$5:$AJ$130,0,MATCH(P$2,Inputs!$K$4:$AJ$4,0)))+SUMPRODUCT((Inputs!$E$5:$E$130=$B12)*Inputs!$F$5:$F$130*(((Inputs!$G$5:$G$130="moeda")+(Inputs!$G$5:$G$130="acoes"))*Inputs!$B$1+((Inputs!$G$5:$G$130&lt;&gt;"moeda")*(Inputs!$G$5:$G$130&lt;&gt;"acoes")))*INDEX(Inputs!$K$5:$AJ$130,0,MATCH(P$2,Inputs!$K$4:$AJ$4,0)))))</f>
        <v>-132</v>
      </c>
      <c r="Q12" s="265">
        <f>IF(ISNA(MATCH(Q$2,Inputs!$K$4:$AJ$4,0)),NA(),IF(SUMPRODUCT((Inputs!$A$5:$A$130=$B12)*ISNUMBER(INDEX(Inputs!$K$5:$AJ$130,0,MATCH(Q$2,Inputs!$K$4:$AJ$4,0))))+SUMPRODUCT((Inputs!$C$5:$C$130=$B12)*ISNUMBER(INDEX(Inputs!$K$5:$AJ$130,0,MATCH(Q$2,Inputs!$K$4:$AJ$4,0))))+SUMPRODUCT((Inputs!$E$5:$E$130=$B12)*ISNUMBER(INDEX(Inputs!$K$5:$AJ$130,0,MATCH(Q$2,Inputs!$K$4:$AJ$4,0))))=0,NA(),SUMPRODUCT((Inputs!$A$5:$A$130=$B12)*Inputs!$B$5:$B$130*(((Inputs!$G$5:$G$130="moeda")+(Inputs!$G$5:$G$130="acoes"))*Inputs!$B$1+((Inputs!$G$5:$G$130&lt;&gt;"moeda")*(Inputs!$G$5:$G$130&lt;&gt;"acoes")))*INDEX(Inputs!$K$5:$AJ$130,0,MATCH(Q$2,Inputs!$K$4:$AJ$4,0)))+SUMPRODUCT((Inputs!$C$5:$C$130=$B12)*Inputs!$D$5:$D$130*(((Inputs!$G$5:$G$130="moeda")+(Inputs!$G$5:$G$130="acoes"))*Inputs!$B$1+((Inputs!$G$5:$G$130&lt;&gt;"moeda")*(Inputs!$G$5:$G$130&lt;&gt;"acoes")))*INDEX(Inputs!$K$5:$AJ$130,0,MATCH(Q$2,Inputs!$K$4:$AJ$4,0)))+SUMPRODUCT((Inputs!$E$5:$E$130=$B12)*Inputs!$F$5:$F$130*(((Inputs!$G$5:$G$130="moeda")+(Inputs!$G$5:$G$130="acoes"))*Inputs!$B$1+((Inputs!$G$5:$G$130&lt;&gt;"moeda")*(Inputs!$G$5:$G$130&lt;&gt;"acoes")))*INDEX(Inputs!$K$5:$AJ$130,0,MATCH(Q$2,Inputs!$K$4:$AJ$4,0)))))</f>
        <v>-62</v>
      </c>
      <c r="R12" s="266">
        <f>SUM(N12:Q12)</f>
        <v>-278</v>
      </c>
      <c r="S12" s="265">
        <f>IF(ISNA(MATCH(S$2,Inputs!$K$4:$AJ$4,0)),NA(),IF(SUMPRODUCT((Inputs!$A$5:$A$130=$B12)*ISNUMBER(INDEX(Inputs!$K$5:$AJ$130,0,MATCH(S$2,Inputs!$K$4:$AJ$4,0))))+SUMPRODUCT((Inputs!$C$5:$C$130=$B12)*ISNUMBER(INDEX(Inputs!$K$5:$AJ$130,0,MATCH(S$2,Inputs!$K$4:$AJ$4,0))))+SUMPRODUCT((Inputs!$E$5:$E$130=$B12)*ISNUMBER(INDEX(Inputs!$K$5:$AJ$130,0,MATCH(S$2,Inputs!$K$4:$AJ$4,0))))=0,NA(),SUMPRODUCT((Inputs!$A$5:$A$130=$B12)*Inputs!$B$5:$B$130*(((Inputs!$G$5:$G$130="moeda")+(Inputs!$G$5:$G$130="acoes"))*Inputs!$B$1+((Inputs!$G$5:$G$130&lt;&gt;"moeda")*(Inputs!$G$5:$G$130&lt;&gt;"acoes")))*INDEX(Inputs!$K$5:$AJ$130,0,MATCH(S$2,Inputs!$K$4:$AJ$4,0)))+SUMPRODUCT((Inputs!$C$5:$C$130=$B12)*Inputs!$D$5:$D$130*(((Inputs!$G$5:$G$130="moeda")+(Inputs!$G$5:$G$130="acoes"))*Inputs!$B$1+((Inputs!$G$5:$G$130&lt;&gt;"moeda")*(Inputs!$G$5:$G$130&lt;&gt;"acoes")))*INDEX(Inputs!$K$5:$AJ$130,0,MATCH(S$2,Inputs!$K$4:$AJ$4,0)))+SUMPRODUCT((Inputs!$E$5:$E$130=$B12)*Inputs!$F$5:$F$130*(((Inputs!$G$5:$G$130="moeda")+(Inputs!$G$5:$G$130="acoes"))*Inputs!$B$1+((Inputs!$G$5:$G$130&lt;&gt;"moeda")*(Inputs!$G$5:$G$130&lt;&gt;"acoes")))*INDEX(Inputs!$K$5:$AJ$130,0,MATCH(S$2,Inputs!$K$4:$AJ$4,0)))))</f>
        <v>-82</v>
      </c>
      <c r="T12" s="265">
        <f>IF(ISNA(MATCH(T$2,Inputs!$K$4:$AJ$4,0)),NA(),IF(SUMPRODUCT((Inputs!$A$5:$A$130=$B12)*ISNUMBER(INDEX(Inputs!$K$5:$AJ$130,0,MATCH(T$2,Inputs!$K$4:$AJ$4,0))))+SUMPRODUCT((Inputs!$C$5:$C$130=$B12)*ISNUMBER(INDEX(Inputs!$K$5:$AJ$130,0,MATCH(T$2,Inputs!$K$4:$AJ$4,0))))+SUMPRODUCT((Inputs!$E$5:$E$130=$B12)*ISNUMBER(INDEX(Inputs!$K$5:$AJ$130,0,MATCH(T$2,Inputs!$K$4:$AJ$4,0))))=0,NA(),SUMPRODUCT((Inputs!$A$5:$A$130=$B12)*Inputs!$B$5:$B$130*(((Inputs!$G$5:$G$130="moeda")+(Inputs!$G$5:$G$130="acoes"))*Inputs!$B$1+((Inputs!$G$5:$G$130&lt;&gt;"moeda")*(Inputs!$G$5:$G$130&lt;&gt;"acoes")))*INDEX(Inputs!$K$5:$AJ$130,0,MATCH(T$2,Inputs!$K$4:$AJ$4,0)))+SUMPRODUCT((Inputs!$C$5:$C$130=$B12)*Inputs!$D$5:$D$130*(((Inputs!$G$5:$G$130="moeda")+(Inputs!$G$5:$G$130="acoes"))*Inputs!$B$1+((Inputs!$G$5:$G$130&lt;&gt;"moeda")*(Inputs!$G$5:$G$130&lt;&gt;"acoes")))*INDEX(Inputs!$K$5:$AJ$130,0,MATCH(T$2,Inputs!$K$4:$AJ$4,0)))+SUMPRODUCT((Inputs!$E$5:$E$130=$B12)*Inputs!$F$5:$F$130*(((Inputs!$G$5:$G$130="moeda")+(Inputs!$G$5:$G$130="acoes"))*Inputs!$B$1+((Inputs!$G$5:$G$130&lt;&gt;"moeda")*(Inputs!$G$5:$G$130&lt;&gt;"acoes")))*INDEX(Inputs!$K$5:$AJ$130,0,MATCH(T$2,Inputs!$K$4:$AJ$4,0)))))</f>
        <v>-133</v>
      </c>
      <c r="U12" s="265">
        <f>IF(ISNA(MATCH(U$2,Inputs!$K$4:$AJ$4,0)),NA(),IF(SUMPRODUCT((Inputs!$A$5:$A$130=$B12)*ISNUMBER(INDEX(Inputs!$K$5:$AJ$130,0,MATCH(U$2,Inputs!$K$4:$AJ$4,0))))+SUMPRODUCT((Inputs!$C$5:$C$130=$B12)*ISNUMBER(INDEX(Inputs!$K$5:$AJ$130,0,MATCH(U$2,Inputs!$K$4:$AJ$4,0))))+SUMPRODUCT((Inputs!$E$5:$E$130=$B12)*ISNUMBER(INDEX(Inputs!$K$5:$AJ$130,0,MATCH(U$2,Inputs!$K$4:$AJ$4,0))))=0,NA(),SUMPRODUCT((Inputs!$A$5:$A$130=$B12)*Inputs!$B$5:$B$130*(((Inputs!$G$5:$G$130="moeda")+(Inputs!$G$5:$G$130="acoes"))*Inputs!$B$1+((Inputs!$G$5:$G$130&lt;&gt;"moeda")*(Inputs!$G$5:$G$130&lt;&gt;"acoes")))*INDEX(Inputs!$K$5:$AJ$130,0,MATCH(U$2,Inputs!$K$4:$AJ$4,0)))+SUMPRODUCT((Inputs!$C$5:$C$130=$B12)*Inputs!$D$5:$D$130*(((Inputs!$G$5:$G$130="moeda")+(Inputs!$G$5:$G$130="acoes"))*Inputs!$B$1+((Inputs!$G$5:$G$130&lt;&gt;"moeda")*(Inputs!$G$5:$G$130&lt;&gt;"acoes")))*INDEX(Inputs!$K$5:$AJ$130,0,MATCH(U$2,Inputs!$K$4:$AJ$4,0)))+SUMPRODUCT((Inputs!$E$5:$E$130=$B12)*Inputs!$F$5:$F$130*(((Inputs!$G$5:$G$130="moeda")+(Inputs!$G$5:$G$130="acoes"))*Inputs!$B$1+((Inputs!$G$5:$G$130&lt;&gt;"moeda")*(Inputs!$G$5:$G$130&lt;&gt;"acoes")))*INDEX(Inputs!$K$5:$AJ$130,0,MATCH(U$2,Inputs!$K$4:$AJ$4,0)))))</f>
        <v>-100</v>
      </c>
      <c r="V12" s="265">
        <f>IF(ISNA(MATCH(V$2,Inputs!$K$4:$AJ$4,0)),NA(),IF(SUMPRODUCT((Inputs!$A$5:$A$130=$B12)*ISNUMBER(INDEX(Inputs!$K$5:$AJ$130,0,MATCH(V$2,Inputs!$K$4:$AJ$4,0))))+SUMPRODUCT((Inputs!$C$5:$C$130=$B12)*ISNUMBER(INDEX(Inputs!$K$5:$AJ$130,0,MATCH(V$2,Inputs!$K$4:$AJ$4,0))))+SUMPRODUCT((Inputs!$E$5:$E$130=$B12)*ISNUMBER(INDEX(Inputs!$K$5:$AJ$130,0,MATCH(V$2,Inputs!$K$4:$AJ$4,0))))=0,NA(),SUMPRODUCT((Inputs!$A$5:$A$130=$B12)*Inputs!$B$5:$B$130*(((Inputs!$G$5:$G$130="moeda")+(Inputs!$G$5:$G$130="acoes"))*Inputs!$B$1+((Inputs!$G$5:$G$130&lt;&gt;"moeda")*(Inputs!$G$5:$G$130&lt;&gt;"acoes")))*INDEX(Inputs!$K$5:$AJ$130,0,MATCH(V$2,Inputs!$K$4:$AJ$4,0)))+SUMPRODUCT((Inputs!$C$5:$C$130=$B12)*Inputs!$D$5:$D$130*(((Inputs!$G$5:$G$130="moeda")+(Inputs!$G$5:$G$130="acoes"))*Inputs!$B$1+((Inputs!$G$5:$G$130&lt;&gt;"moeda")*(Inputs!$G$5:$G$130&lt;&gt;"acoes")))*INDEX(Inputs!$K$5:$AJ$130,0,MATCH(V$2,Inputs!$K$4:$AJ$4,0)))+SUMPRODUCT((Inputs!$E$5:$E$130=$B12)*Inputs!$F$5:$F$130*(((Inputs!$G$5:$G$130="moeda")+(Inputs!$G$5:$G$130="acoes"))*Inputs!$B$1+((Inputs!$G$5:$G$130&lt;&gt;"moeda")*(Inputs!$G$5:$G$130&lt;&gt;"acoes")))*INDEX(Inputs!$K$5:$AJ$130,0,MATCH(V$2,Inputs!$K$4:$AJ$4,0)))))</f>
        <v>-113</v>
      </c>
      <c r="W12" s="266">
        <f>SUM(S12:V12)</f>
        <v>-428</v>
      </c>
      <c r="X12" s="265">
        <f>IF(ISNA(MATCH(X$2,Inputs!$K$4:$AJ$4,0)),NA(),IF(SUMPRODUCT((Inputs!$A$5:$A$130=$B12)*ISNUMBER(INDEX(Inputs!$K$5:$AJ$130,0,MATCH(X$2,Inputs!$K$4:$AJ$4,0))))+SUMPRODUCT((Inputs!$C$5:$C$130=$B12)*ISNUMBER(INDEX(Inputs!$K$5:$AJ$130,0,MATCH(X$2,Inputs!$K$4:$AJ$4,0))))+SUMPRODUCT((Inputs!$E$5:$E$130=$B12)*ISNUMBER(INDEX(Inputs!$K$5:$AJ$130,0,MATCH(X$2,Inputs!$K$4:$AJ$4,0))))=0,NA(),SUMPRODUCT((Inputs!$A$5:$A$130=$B12)*Inputs!$B$5:$B$130*(((Inputs!$G$5:$G$130="moeda")+(Inputs!$G$5:$G$130="acoes"))*Inputs!$B$1+((Inputs!$G$5:$G$130&lt;&gt;"moeda")*(Inputs!$G$5:$G$130&lt;&gt;"acoes")))*INDEX(Inputs!$K$5:$AJ$130,0,MATCH(X$2,Inputs!$K$4:$AJ$4,0)))+SUMPRODUCT((Inputs!$C$5:$C$130=$B12)*Inputs!$D$5:$D$130*(((Inputs!$G$5:$G$130="moeda")+(Inputs!$G$5:$G$130="acoes"))*Inputs!$B$1+((Inputs!$G$5:$G$130&lt;&gt;"moeda")*(Inputs!$G$5:$G$130&lt;&gt;"acoes")))*INDEX(Inputs!$K$5:$AJ$130,0,MATCH(X$2,Inputs!$K$4:$AJ$4,0)))+SUMPRODUCT((Inputs!$E$5:$E$130=$B12)*Inputs!$F$5:$F$130*(((Inputs!$G$5:$G$130="moeda")+(Inputs!$G$5:$G$130="acoes"))*Inputs!$B$1+((Inputs!$G$5:$G$130&lt;&gt;"moeda")*(Inputs!$G$5:$G$130&lt;&gt;"acoes")))*INDEX(Inputs!$K$5:$AJ$130,0,MATCH(X$2,Inputs!$K$4:$AJ$4,0)))))</f>
        <v>-95</v>
      </c>
      <c r="Y12" s="265">
        <f>IF(ISNA(MATCH(Y$2,Inputs!$K$4:$AJ$4,0)),NA(),IF(SUMPRODUCT((Inputs!$A$5:$A$130=$B12)*ISNUMBER(INDEX(Inputs!$K$5:$AJ$130,0,MATCH(Y$2,Inputs!$K$4:$AJ$4,0))))+SUMPRODUCT((Inputs!$C$5:$C$130=$B12)*ISNUMBER(INDEX(Inputs!$K$5:$AJ$130,0,MATCH(Y$2,Inputs!$K$4:$AJ$4,0))))+SUMPRODUCT((Inputs!$E$5:$E$130=$B12)*ISNUMBER(INDEX(Inputs!$K$5:$AJ$130,0,MATCH(Y$2,Inputs!$K$4:$AJ$4,0))))=0,NA(),SUMPRODUCT((Inputs!$A$5:$A$130=$B12)*Inputs!$B$5:$B$130*(((Inputs!$G$5:$G$130="moeda")+(Inputs!$G$5:$G$130="acoes"))*Inputs!$B$1+((Inputs!$G$5:$G$130&lt;&gt;"moeda")*(Inputs!$G$5:$G$130&lt;&gt;"acoes")))*INDEX(Inputs!$K$5:$AJ$130,0,MATCH(Y$2,Inputs!$K$4:$AJ$4,0)))+SUMPRODUCT((Inputs!$C$5:$C$130=$B12)*Inputs!$D$5:$D$130*(((Inputs!$G$5:$G$130="moeda")+(Inputs!$G$5:$G$130="acoes"))*Inputs!$B$1+((Inputs!$G$5:$G$130&lt;&gt;"moeda")*(Inputs!$G$5:$G$130&lt;&gt;"acoes")))*INDEX(Inputs!$K$5:$AJ$130,0,MATCH(Y$2,Inputs!$K$4:$AJ$4,0)))+SUMPRODUCT((Inputs!$E$5:$E$130=$B12)*Inputs!$F$5:$F$130*(((Inputs!$G$5:$G$130="moeda")+(Inputs!$G$5:$G$130="acoes"))*Inputs!$B$1+((Inputs!$G$5:$G$130&lt;&gt;"moeda")*(Inputs!$G$5:$G$130&lt;&gt;"acoes")))*INDEX(Inputs!$K$5:$AJ$130,0,MATCH(Y$2,Inputs!$K$4:$AJ$4,0)))))</f>
        <v>-43</v>
      </c>
      <c r="Z12" s="265">
        <f>IF(ISNA(MATCH(Z$2,Inputs!$K$4:$AJ$4,0)),NA(),IF(SUMPRODUCT((Inputs!$A$5:$A$130=$B12)*ISNUMBER(INDEX(Inputs!$K$5:$AJ$130,0,MATCH(Z$2,Inputs!$K$4:$AJ$4,0))))+SUMPRODUCT((Inputs!$C$5:$C$130=$B12)*ISNUMBER(INDEX(Inputs!$K$5:$AJ$130,0,MATCH(Z$2,Inputs!$K$4:$AJ$4,0))))+SUMPRODUCT((Inputs!$E$5:$E$130=$B12)*ISNUMBER(INDEX(Inputs!$K$5:$AJ$130,0,MATCH(Z$2,Inputs!$K$4:$AJ$4,0))))=0,NA(),SUMPRODUCT((Inputs!$A$5:$A$130=$B12)*Inputs!$B$5:$B$130*(((Inputs!$G$5:$G$130="moeda")+(Inputs!$G$5:$G$130="acoes"))*Inputs!$B$1+((Inputs!$G$5:$G$130&lt;&gt;"moeda")*(Inputs!$G$5:$G$130&lt;&gt;"acoes")))*INDEX(Inputs!$K$5:$AJ$130,0,MATCH(Z$2,Inputs!$K$4:$AJ$4,0)))+SUMPRODUCT((Inputs!$C$5:$C$130=$B12)*Inputs!$D$5:$D$130*(((Inputs!$G$5:$G$130="moeda")+(Inputs!$G$5:$G$130="acoes"))*Inputs!$B$1+((Inputs!$G$5:$G$130&lt;&gt;"moeda")*(Inputs!$G$5:$G$130&lt;&gt;"acoes")))*INDEX(Inputs!$K$5:$AJ$130,0,MATCH(Z$2,Inputs!$K$4:$AJ$4,0)))+SUMPRODUCT((Inputs!$E$5:$E$130=$B12)*Inputs!$F$5:$F$130*(((Inputs!$G$5:$G$130="moeda")+(Inputs!$G$5:$G$130="acoes"))*Inputs!$B$1+((Inputs!$G$5:$G$130&lt;&gt;"moeda")*(Inputs!$G$5:$G$130&lt;&gt;"acoes")))*INDEX(Inputs!$K$5:$AJ$130,0,MATCH(Z$2,Inputs!$K$4:$AJ$4,0)))))</f>
        <v>-98</v>
      </c>
      <c r="AA12" s="265">
        <f>IF(ISNA(MATCH(AA$2,Inputs!$K$4:$AJ$4,0)),NA(),IF(SUMPRODUCT((Inputs!$A$5:$A$130=$B12)*ISNUMBER(INDEX(Inputs!$K$5:$AJ$130,0,MATCH(AA$2,Inputs!$K$4:$AJ$4,0))))+SUMPRODUCT((Inputs!$C$5:$C$130=$B12)*ISNUMBER(INDEX(Inputs!$K$5:$AJ$130,0,MATCH(AA$2,Inputs!$K$4:$AJ$4,0))))+SUMPRODUCT((Inputs!$E$5:$E$130=$B12)*ISNUMBER(INDEX(Inputs!$K$5:$AJ$130,0,MATCH(AA$2,Inputs!$K$4:$AJ$4,0))))=0,NA(),SUMPRODUCT((Inputs!$A$5:$A$130=$B12)*Inputs!$B$5:$B$130*(((Inputs!$G$5:$G$130="moeda")+(Inputs!$G$5:$G$130="acoes"))*Inputs!$B$1+((Inputs!$G$5:$G$130&lt;&gt;"moeda")*(Inputs!$G$5:$G$130&lt;&gt;"acoes")))*INDEX(Inputs!$K$5:$AJ$130,0,MATCH(AA$2,Inputs!$K$4:$AJ$4,0)))+SUMPRODUCT((Inputs!$C$5:$C$130=$B12)*Inputs!$D$5:$D$130*(((Inputs!$G$5:$G$130="moeda")+(Inputs!$G$5:$G$130="acoes"))*Inputs!$B$1+((Inputs!$G$5:$G$130&lt;&gt;"moeda")*(Inputs!$G$5:$G$130&lt;&gt;"acoes")))*INDEX(Inputs!$K$5:$AJ$130,0,MATCH(AA$2,Inputs!$K$4:$AJ$4,0)))+SUMPRODUCT((Inputs!$E$5:$E$130=$B12)*Inputs!$F$5:$F$130*(((Inputs!$G$5:$G$130="moeda")+(Inputs!$G$5:$G$130="acoes"))*Inputs!$B$1+((Inputs!$G$5:$G$130&lt;&gt;"moeda")*(Inputs!$G$5:$G$130&lt;&gt;"acoes")))*INDEX(Inputs!$K$5:$AJ$130,0,MATCH(AA$2,Inputs!$K$4:$AJ$4,0)))))</f>
        <v>-46</v>
      </c>
      <c r="AB12" s="266">
        <f>SUM(X12:AA12)</f>
        <v>-282</v>
      </c>
      <c r="AC12" s="265">
        <f>IF(ISNA(MATCH(AC$2,Inputs!$K$4:$AJ$4,0)),NA(),IF(SUMPRODUCT((Inputs!$A$5:$A$130=$B12)*ISNUMBER(INDEX(Inputs!$K$5:$AJ$130,0,MATCH(AC$2,Inputs!$K$4:$AJ$4,0))))+SUMPRODUCT((Inputs!$C$5:$C$130=$B12)*ISNUMBER(INDEX(Inputs!$K$5:$AJ$130,0,MATCH(AC$2,Inputs!$K$4:$AJ$4,0))))+SUMPRODUCT((Inputs!$E$5:$E$130=$B12)*ISNUMBER(INDEX(Inputs!$K$5:$AJ$130,0,MATCH(AC$2,Inputs!$K$4:$AJ$4,0))))=0,NA(),SUMPRODUCT((Inputs!$A$5:$A$130=$B12)*Inputs!$B$5:$B$130*(((Inputs!$G$5:$G$130="moeda")+(Inputs!$G$5:$G$130="acoes"))*Inputs!$B$1+((Inputs!$G$5:$G$130&lt;&gt;"moeda")*(Inputs!$G$5:$G$130&lt;&gt;"acoes")))*INDEX(Inputs!$K$5:$AJ$130,0,MATCH(AC$2,Inputs!$K$4:$AJ$4,0)))+SUMPRODUCT((Inputs!$C$5:$C$130=$B12)*Inputs!$D$5:$D$130*(((Inputs!$G$5:$G$130="moeda")+(Inputs!$G$5:$G$130="acoes"))*Inputs!$B$1+((Inputs!$G$5:$G$130&lt;&gt;"moeda")*(Inputs!$G$5:$G$130&lt;&gt;"acoes")))*INDEX(Inputs!$K$5:$AJ$130,0,MATCH(AC$2,Inputs!$K$4:$AJ$4,0)))+SUMPRODUCT((Inputs!$E$5:$E$130=$B12)*Inputs!$F$5:$F$130*(((Inputs!$G$5:$G$130="moeda")+(Inputs!$G$5:$G$130="acoes"))*Inputs!$B$1+((Inputs!$G$5:$G$130&lt;&gt;"moeda")*(Inputs!$G$5:$G$130&lt;&gt;"acoes")))*INDEX(Inputs!$K$5:$AJ$130,0,MATCH(AC$2,Inputs!$K$4:$AJ$4,0)))))</f>
        <v>-64</v>
      </c>
      <c r="AD12" s="265">
        <f>IF(ISNA(MATCH(AD$2,Inputs!$K$4:$AJ$4,0)),NA(),IF(SUMPRODUCT((Inputs!$A$5:$A$130=$B12)*ISNUMBER(INDEX(Inputs!$K$5:$AJ$130,0,MATCH(AD$2,Inputs!$K$4:$AJ$4,0))))+SUMPRODUCT((Inputs!$C$5:$C$130=$B12)*ISNUMBER(INDEX(Inputs!$K$5:$AJ$130,0,MATCH(AD$2,Inputs!$K$4:$AJ$4,0))))+SUMPRODUCT((Inputs!$E$5:$E$130=$B12)*ISNUMBER(INDEX(Inputs!$K$5:$AJ$130,0,MATCH(AD$2,Inputs!$K$4:$AJ$4,0))))=0,NA(),SUMPRODUCT((Inputs!$A$5:$A$130=$B12)*Inputs!$B$5:$B$130*(((Inputs!$G$5:$G$130="moeda")+(Inputs!$G$5:$G$130="acoes"))*Inputs!$B$1+((Inputs!$G$5:$G$130&lt;&gt;"moeda")*(Inputs!$G$5:$G$130&lt;&gt;"acoes")))*INDEX(Inputs!$K$5:$AJ$130,0,MATCH(AD$2,Inputs!$K$4:$AJ$4,0)))+SUMPRODUCT((Inputs!$C$5:$C$130=$B12)*Inputs!$D$5:$D$130*(((Inputs!$G$5:$G$130="moeda")+(Inputs!$G$5:$G$130="acoes"))*Inputs!$B$1+((Inputs!$G$5:$G$130&lt;&gt;"moeda")*(Inputs!$G$5:$G$130&lt;&gt;"acoes")))*INDEX(Inputs!$K$5:$AJ$130,0,MATCH(AD$2,Inputs!$K$4:$AJ$4,0)))+SUMPRODUCT((Inputs!$E$5:$E$130=$B12)*Inputs!$F$5:$F$130*(((Inputs!$G$5:$G$130="moeda")+(Inputs!$G$5:$G$130="acoes"))*Inputs!$B$1+((Inputs!$G$5:$G$130&lt;&gt;"moeda")*(Inputs!$G$5:$G$130&lt;&gt;"acoes")))*INDEX(Inputs!$K$5:$AJ$130,0,MATCH(AD$2,Inputs!$K$4:$AJ$4,0)))))</f>
        <v>16</v>
      </c>
      <c r="AE12" s="265" t="e">
        <f>IF(ISNA(MATCH(AE$2,Inputs!$K$4:$AJ$4,0)),NA(),IF(SUMPRODUCT((Inputs!$A$5:$A$130=$B12)*ISNUMBER(INDEX(Inputs!$K$5:$AJ$130,0,MATCH(AE$2,Inputs!$K$4:$AJ$4,0))))+SUMPRODUCT((Inputs!$C$5:$C$130=$B12)*ISNUMBER(INDEX(Inputs!$K$5:$AJ$130,0,MATCH(AE$2,Inputs!$K$4:$AJ$4,0))))+SUMPRODUCT((Inputs!$E$5:$E$130=$B12)*ISNUMBER(INDEX(Inputs!$K$5:$AJ$130,0,MATCH(AE$2,Inputs!$K$4:$AJ$4,0))))=0,NA(),SUMPRODUCT((Inputs!$A$5:$A$130=$B12)*Inputs!$B$5:$B$130*(((Inputs!$G$5:$G$130="moeda")+(Inputs!$G$5:$G$130="acoes"))*Inputs!$B$1+((Inputs!$G$5:$G$130&lt;&gt;"moeda")*(Inputs!$G$5:$G$130&lt;&gt;"acoes")))*INDEX(Inputs!$K$5:$AJ$130,0,MATCH(AE$2,Inputs!$K$4:$AJ$4,0)))+SUMPRODUCT((Inputs!$C$5:$C$130=$B12)*Inputs!$D$5:$D$130*(((Inputs!$G$5:$G$130="moeda")+(Inputs!$G$5:$G$130="acoes"))*Inputs!$B$1+((Inputs!$G$5:$G$130&lt;&gt;"moeda")*(Inputs!$G$5:$G$130&lt;&gt;"acoes")))*INDEX(Inputs!$K$5:$AJ$130,0,MATCH(AE$2,Inputs!$K$4:$AJ$4,0)))+SUMPRODUCT((Inputs!$E$5:$E$130=$B12)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2" s="265" t="e">
        <f>IF(ISNA(MATCH(AF$2,Inputs!$K$4:$AJ$4,0)),NA(),IF(SUMPRODUCT((Inputs!$A$5:$A$130=$B12)*ISNUMBER(INDEX(Inputs!$K$5:$AJ$130,0,MATCH(AF$2,Inputs!$K$4:$AJ$4,0))))+SUMPRODUCT((Inputs!$C$5:$C$130=$B12)*ISNUMBER(INDEX(Inputs!$K$5:$AJ$130,0,MATCH(AF$2,Inputs!$K$4:$AJ$4,0))))+SUMPRODUCT((Inputs!$E$5:$E$130=$B12)*ISNUMBER(INDEX(Inputs!$K$5:$AJ$130,0,MATCH(AF$2,Inputs!$K$4:$AJ$4,0))))=0,NA(),SUMPRODUCT((Inputs!$A$5:$A$130=$B12)*Inputs!$B$5:$B$130*(((Inputs!$G$5:$G$130="moeda")+(Inputs!$G$5:$G$130="acoes"))*Inputs!$B$1+((Inputs!$G$5:$G$130&lt;&gt;"moeda")*(Inputs!$G$5:$G$130&lt;&gt;"acoes")))*INDEX(Inputs!$K$5:$AJ$130,0,MATCH(AF$2,Inputs!$K$4:$AJ$4,0)))+SUMPRODUCT((Inputs!$C$5:$C$130=$B12)*Inputs!$D$5:$D$130*(((Inputs!$G$5:$G$130="moeda")+(Inputs!$G$5:$G$130="acoes"))*Inputs!$B$1+((Inputs!$G$5:$G$130&lt;&gt;"moeda")*(Inputs!$G$5:$G$130&lt;&gt;"acoes")))*INDEX(Inputs!$K$5:$AJ$130,0,MATCH(AF$2,Inputs!$K$4:$AJ$4,0)))+SUMPRODUCT((Inputs!$E$5:$E$130=$B12)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2" s="266" t="e">
        <f>SUM(AC12:AF12)</f>
        <v>#N/A</v>
      </c>
      <c r="AH12" s="265" t="e">
        <f>IF(ISNA(MATCH(AH$2,Inputs!$K$4:$AJ$4,0)),NA(),IF(SUMPRODUCT((Inputs!$A$5:$A$130=$B12)*ISNUMBER(INDEX(Inputs!$K$5:$AJ$130,0,MATCH(AH$2,Inputs!$K$4:$AJ$4,0))))+SUMPRODUCT((Inputs!$C$5:$C$130=$B12)*ISNUMBER(INDEX(Inputs!$K$5:$AJ$130,0,MATCH(AH$2,Inputs!$K$4:$AJ$4,0))))+SUMPRODUCT((Inputs!$E$5:$E$130=$B12)*ISNUMBER(INDEX(Inputs!$K$5:$AJ$130,0,MATCH(AH$2,Inputs!$K$4:$AJ$4,0))))=0,NA(),SUMPRODUCT((Inputs!$A$5:$A$130=$B12)*Inputs!$B$5:$B$130*(((Inputs!$G$5:$G$130="moeda")+(Inputs!$G$5:$G$130="acoes"))*Inputs!$B$1+((Inputs!$G$5:$G$130&lt;&gt;"moeda")*(Inputs!$G$5:$G$130&lt;&gt;"acoes")))*INDEX(Inputs!$K$5:$AJ$130,0,MATCH(AH$2,Inputs!$K$4:$AJ$4,0)))+SUMPRODUCT((Inputs!$C$5:$C$130=$B12)*Inputs!$D$5:$D$130*(((Inputs!$G$5:$G$130="moeda")+(Inputs!$G$5:$G$130="acoes"))*Inputs!$B$1+((Inputs!$G$5:$G$130&lt;&gt;"moeda")*(Inputs!$G$5:$G$130&lt;&gt;"acoes")))*INDEX(Inputs!$K$5:$AJ$130,0,MATCH(AH$2,Inputs!$K$4:$AJ$4,0)))+SUMPRODUCT((Inputs!$E$5:$E$130=$B12)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12" s="265" t="e">
        <f>IF(ISNA(MATCH(AI$2,Inputs!$K$4:$AJ$4,0)),NA(),IF(SUMPRODUCT((Inputs!$A$5:$A$130=$B12)*ISNUMBER(INDEX(Inputs!$K$5:$AJ$130,0,MATCH(AI$2,Inputs!$K$4:$AJ$4,0))))+SUMPRODUCT((Inputs!$C$5:$C$130=$B12)*ISNUMBER(INDEX(Inputs!$K$5:$AJ$130,0,MATCH(AI$2,Inputs!$K$4:$AJ$4,0))))+SUMPRODUCT((Inputs!$E$5:$E$130=$B12)*ISNUMBER(INDEX(Inputs!$K$5:$AJ$130,0,MATCH(AI$2,Inputs!$K$4:$AJ$4,0))))=0,NA(),SUMPRODUCT((Inputs!$A$5:$A$130=$B12)*Inputs!$B$5:$B$130*(((Inputs!$G$5:$G$130="moeda")+(Inputs!$G$5:$G$130="acoes"))*Inputs!$B$1+((Inputs!$G$5:$G$130&lt;&gt;"moeda")*(Inputs!$G$5:$G$130&lt;&gt;"acoes")))*INDEX(Inputs!$K$5:$AJ$130,0,MATCH(AI$2,Inputs!$K$4:$AJ$4,0)))+SUMPRODUCT((Inputs!$C$5:$C$130=$B12)*Inputs!$D$5:$D$130*(((Inputs!$G$5:$G$130="moeda")+(Inputs!$G$5:$G$130="acoes"))*Inputs!$B$1+((Inputs!$G$5:$G$130&lt;&gt;"moeda")*(Inputs!$G$5:$G$130&lt;&gt;"acoes")))*INDEX(Inputs!$K$5:$AJ$130,0,MATCH(AI$2,Inputs!$K$4:$AJ$4,0)))+SUMPRODUCT((Inputs!$E$5:$E$130=$B12)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12" s="265" t="e">
        <f>IF(ISNA(MATCH(AJ$2,Inputs!$K$4:$AJ$4,0)),NA(),IF(SUMPRODUCT((Inputs!$A$5:$A$130=$B12)*ISNUMBER(INDEX(Inputs!$K$5:$AJ$130,0,MATCH(AJ$2,Inputs!$K$4:$AJ$4,0))))+SUMPRODUCT((Inputs!$C$5:$C$130=$B12)*ISNUMBER(INDEX(Inputs!$K$5:$AJ$130,0,MATCH(AJ$2,Inputs!$K$4:$AJ$4,0))))+SUMPRODUCT((Inputs!$E$5:$E$130=$B12)*ISNUMBER(INDEX(Inputs!$K$5:$AJ$130,0,MATCH(AJ$2,Inputs!$K$4:$AJ$4,0))))=0,NA(),SUMPRODUCT((Inputs!$A$5:$A$130=$B12)*Inputs!$B$5:$B$130*(((Inputs!$G$5:$G$130="moeda")+(Inputs!$G$5:$G$130="acoes"))*Inputs!$B$1+((Inputs!$G$5:$G$130&lt;&gt;"moeda")*(Inputs!$G$5:$G$130&lt;&gt;"acoes")))*INDEX(Inputs!$K$5:$AJ$130,0,MATCH(AJ$2,Inputs!$K$4:$AJ$4,0)))+SUMPRODUCT((Inputs!$C$5:$C$130=$B12)*Inputs!$D$5:$D$130*(((Inputs!$G$5:$G$130="moeda")+(Inputs!$G$5:$G$130="acoes"))*Inputs!$B$1+((Inputs!$G$5:$G$130&lt;&gt;"moeda")*(Inputs!$G$5:$G$130&lt;&gt;"acoes")))*INDEX(Inputs!$K$5:$AJ$130,0,MATCH(AJ$2,Inputs!$K$4:$AJ$4,0)))+SUMPRODUCT((Inputs!$E$5:$E$130=$B12)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12" s="265" t="e">
        <f>IF(ISNA(MATCH(AK$2,Inputs!$K$4:$AJ$4,0)),NA(),IF(SUMPRODUCT((Inputs!$A$5:$A$130=$B12)*ISNUMBER(INDEX(Inputs!$K$5:$AJ$130,0,MATCH(AK$2,Inputs!$K$4:$AJ$4,0))))+SUMPRODUCT((Inputs!$C$5:$C$130=$B12)*ISNUMBER(INDEX(Inputs!$K$5:$AJ$130,0,MATCH(AK$2,Inputs!$K$4:$AJ$4,0))))+SUMPRODUCT((Inputs!$E$5:$E$130=$B12)*ISNUMBER(INDEX(Inputs!$K$5:$AJ$130,0,MATCH(AK$2,Inputs!$K$4:$AJ$4,0))))=0,NA(),SUMPRODUCT((Inputs!$A$5:$A$130=$B12)*Inputs!$B$5:$B$130*(((Inputs!$G$5:$G$130="moeda")+(Inputs!$G$5:$G$130="acoes"))*Inputs!$B$1+((Inputs!$G$5:$G$130&lt;&gt;"moeda")*(Inputs!$G$5:$G$130&lt;&gt;"acoes")))*INDEX(Inputs!$K$5:$AJ$130,0,MATCH(AK$2,Inputs!$K$4:$AJ$4,0)))+SUMPRODUCT((Inputs!$C$5:$C$130=$B12)*Inputs!$D$5:$D$130*(((Inputs!$G$5:$G$130="moeda")+(Inputs!$G$5:$G$130="acoes"))*Inputs!$B$1+((Inputs!$G$5:$G$130&lt;&gt;"moeda")*(Inputs!$G$5:$G$130&lt;&gt;"acoes")))*INDEX(Inputs!$K$5:$AJ$130,0,MATCH(AK$2,Inputs!$K$4:$AJ$4,0)))+SUMPRODUCT((Inputs!$E$5:$E$130=$B12)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12" s="266" t="e">
        <f>SUM(AH12:AK12)</f>
        <v>#N/A</v>
      </c>
    </row>
    <row r="13" ht="12.75" customHeight="1" s="254">
      <c r="B13" s="263" t="n">
        <v>10</v>
      </c>
      <c r="C13" s="267" t="inlineStr">
        <is>
          <t>Common Dividends</t>
        </is>
      </c>
      <c r="D13" s="265">
        <f>IF(ISNA(MATCH(D$2,Inputs!$K$4:$AJ$4,0)),NA(),IF(SUMPRODUCT((Inputs!$A$5:$A$130=$B13)*ISNUMBER(INDEX(Inputs!$K$5:$AJ$130,0,MATCH(D$2,Inputs!$K$4:$AJ$4,0))))+SUMPRODUCT((Inputs!$C$5:$C$130=$B13)*ISNUMBER(INDEX(Inputs!$K$5:$AJ$130,0,MATCH(D$2,Inputs!$K$4:$AJ$4,0))))+SUMPRODUCT((Inputs!$E$5:$E$130=$B13)*ISNUMBER(INDEX(Inputs!$K$5:$AJ$130,0,MATCH(D$2,Inputs!$K$4:$AJ$4,0))))=0,NA(),SUMPRODUCT((Inputs!$A$5:$A$130=$B13)*Inputs!$B$5:$B$130*(((Inputs!$G$5:$G$130="moeda")+(Inputs!$G$5:$G$130="acoes"))*Inputs!$B$1+((Inputs!$G$5:$G$130&lt;&gt;"moeda")*(Inputs!$G$5:$G$130&lt;&gt;"acoes")))*INDEX(Inputs!$K$5:$AJ$130,0,MATCH(D$2,Inputs!$K$4:$AJ$4,0)))+SUMPRODUCT((Inputs!$C$5:$C$130=$B13)*Inputs!$D$5:$D$130*(((Inputs!$G$5:$G$130="moeda")+(Inputs!$G$5:$G$130="acoes"))*Inputs!$B$1+((Inputs!$G$5:$G$130&lt;&gt;"moeda")*(Inputs!$G$5:$G$130&lt;&gt;"acoes")))*INDEX(Inputs!$K$5:$AJ$130,0,MATCH(D$2,Inputs!$K$4:$AJ$4,0)))+SUMPRODUCT((Inputs!$E$5:$E$130=$B13)*Inputs!$F$5:$F$130*(((Inputs!$G$5:$G$130="moeda")+(Inputs!$G$5:$G$130="acoes"))*Inputs!$B$1+((Inputs!$G$5:$G$130&lt;&gt;"moeda")*(Inputs!$G$5:$G$130&lt;&gt;"acoes")))*INDEX(Inputs!$K$5:$AJ$130,0,MATCH(D$2,Inputs!$K$4:$AJ$4,0)))))</f>
        <v>-1292</v>
      </c>
      <c r="E13" s="265">
        <f>IF(ISNA(MATCH(E$2,Inputs!$K$4:$AJ$4,0)),NA(),IF(SUMPRODUCT((Inputs!$A$5:$A$130=$B13)*ISNUMBER(INDEX(Inputs!$K$5:$AJ$130,0,MATCH(E$2,Inputs!$K$4:$AJ$4,0))))+SUMPRODUCT((Inputs!$C$5:$C$130=$B13)*ISNUMBER(INDEX(Inputs!$K$5:$AJ$130,0,MATCH(E$2,Inputs!$K$4:$AJ$4,0))))+SUMPRODUCT((Inputs!$E$5:$E$130=$B13)*ISNUMBER(INDEX(Inputs!$K$5:$AJ$130,0,MATCH(E$2,Inputs!$K$4:$AJ$4,0))))=0,NA(),SUMPRODUCT((Inputs!$A$5:$A$130=$B13)*Inputs!$B$5:$B$130*(((Inputs!$G$5:$G$130="moeda")+(Inputs!$G$5:$G$130="acoes"))*Inputs!$B$1+((Inputs!$G$5:$G$130&lt;&gt;"moeda")*(Inputs!$G$5:$G$130&lt;&gt;"acoes")))*INDEX(Inputs!$K$5:$AJ$130,0,MATCH(E$2,Inputs!$K$4:$AJ$4,0)))+SUMPRODUCT((Inputs!$C$5:$C$130=$B13)*Inputs!$D$5:$D$130*(((Inputs!$G$5:$G$130="moeda")+(Inputs!$G$5:$G$130="acoes"))*Inputs!$B$1+((Inputs!$G$5:$G$130&lt;&gt;"moeda")*(Inputs!$G$5:$G$130&lt;&gt;"acoes")))*INDEX(Inputs!$K$5:$AJ$130,0,MATCH(E$2,Inputs!$K$4:$AJ$4,0)))+SUMPRODUCT((Inputs!$E$5:$E$130=$B13)*Inputs!$F$5:$F$130*(((Inputs!$G$5:$G$130="moeda")+(Inputs!$G$5:$G$130="acoes"))*Inputs!$B$1+((Inputs!$G$5:$G$130&lt;&gt;"moeda")*(Inputs!$G$5:$G$130&lt;&gt;"acoes")))*INDEX(Inputs!$K$5:$AJ$130,0,MATCH(E$2,Inputs!$K$4:$AJ$4,0)))))</f>
        <v>-1310</v>
      </c>
      <c r="F13" s="265">
        <f>IF(ISNA(MATCH(F$2,Inputs!$K$4:$AJ$4,0)),NA(),IF(SUMPRODUCT((Inputs!$A$5:$A$130=$B13)*ISNUMBER(INDEX(Inputs!$K$5:$AJ$130,0,MATCH(F$2,Inputs!$K$4:$AJ$4,0))))+SUMPRODUCT((Inputs!$C$5:$C$130=$B13)*ISNUMBER(INDEX(Inputs!$K$5:$AJ$130,0,MATCH(F$2,Inputs!$K$4:$AJ$4,0))))+SUMPRODUCT((Inputs!$E$5:$E$130=$B13)*ISNUMBER(INDEX(Inputs!$K$5:$AJ$130,0,MATCH(F$2,Inputs!$K$4:$AJ$4,0))))=0,NA(),SUMPRODUCT((Inputs!$A$5:$A$130=$B13)*Inputs!$B$5:$B$130*(((Inputs!$G$5:$G$130="moeda")+(Inputs!$G$5:$G$130="acoes"))*Inputs!$B$1+((Inputs!$G$5:$G$130&lt;&gt;"moeda")*(Inputs!$G$5:$G$130&lt;&gt;"acoes")))*INDEX(Inputs!$K$5:$AJ$130,0,MATCH(F$2,Inputs!$K$4:$AJ$4,0)))+SUMPRODUCT((Inputs!$C$5:$C$130=$B13)*Inputs!$D$5:$D$130*(((Inputs!$G$5:$G$130="moeda")+(Inputs!$G$5:$G$130="acoes"))*Inputs!$B$1+((Inputs!$G$5:$G$130&lt;&gt;"moeda")*(Inputs!$G$5:$G$130&lt;&gt;"acoes")))*INDEX(Inputs!$K$5:$AJ$130,0,MATCH(F$2,Inputs!$K$4:$AJ$4,0)))+SUMPRODUCT((Inputs!$E$5:$E$130=$B13)*Inputs!$F$5:$F$130*(((Inputs!$G$5:$G$130="moeda")+(Inputs!$G$5:$G$130="acoes"))*Inputs!$B$1+((Inputs!$G$5:$G$130&lt;&gt;"moeda")*(Inputs!$G$5:$G$130&lt;&gt;"acoes")))*INDEX(Inputs!$K$5:$AJ$130,0,MATCH(F$2,Inputs!$K$4:$AJ$4,0)))))</f>
        <v>-1812</v>
      </c>
      <c r="G13" s="265">
        <f>IF(ISNA(MATCH(G$2,Inputs!$K$4:$AJ$4,0)),NA(),IF(SUMPRODUCT((Inputs!$A$5:$A$130=$B13)*ISNUMBER(INDEX(Inputs!$K$5:$AJ$130,0,MATCH(G$2,Inputs!$K$4:$AJ$4,0))))+SUMPRODUCT((Inputs!$C$5:$C$130=$B13)*ISNUMBER(INDEX(Inputs!$K$5:$AJ$130,0,MATCH(G$2,Inputs!$K$4:$AJ$4,0))))+SUMPRODUCT((Inputs!$E$5:$E$130=$B13)*ISNUMBER(INDEX(Inputs!$K$5:$AJ$130,0,MATCH(G$2,Inputs!$K$4:$AJ$4,0))))=0,NA(),SUMPRODUCT((Inputs!$A$5:$A$130=$B13)*Inputs!$B$5:$B$130*(((Inputs!$G$5:$G$130="moeda")+(Inputs!$G$5:$G$130="acoes"))*Inputs!$B$1+((Inputs!$G$5:$G$130&lt;&gt;"moeda")*(Inputs!$G$5:$G$130&lt;&gt;"acoes")))*INDEX(Inputs!$K$5:$AJ$130,0,MATCH(G$2,Inputs!$K$4:$AJ$4,0)))+SUMPRODUCT((Inputs!$C$5:$C$130=$B13)*Inputs!$D$5:$D$130*(((Inputs!$G$5:$G$130="moeda")+(Inputs!$G$5:$G$130="acoes"))*Inputs!$B$1+((Inputs!$G$5:$G$130&lt;&gt;"moeda")*(Inputs!$G$5:$G$130&lt;&gt;"acoes")))*INDEX(Inputs!$K$5:$AJ$130,0,MATCH(G$2,Inputs!$K$4:$AJ$4,0)))+SUMPRODUCT((Inputs!$E$5:$E$130=$B13)*Inputs!$F$5:$F$130*(((Inputs!$G$5:$G$130="moeda")+(Inputs!$G$5:$G$130="acoes"))*Inputs!$B$1+((Inputs!$G$5:$G$130&lt;&gt;"moeda")*(Inputs!$G$5:$G$130&lt;&gt;"acoes")))*INDEX(Inputs!$K$5:$AJ$130,0,MATCH(G$2,Inputs!$K$4:$AJ$4,0)))))</f>
        <v>-1838</v>
      </c>
      <c r="H13" s="266">
        <f>SUM(D13:G13)</f>
        <v>-6252</v>
      </c>
      <c r="I13" s="265">
        <f>IF(ISNA(MATCH(I$2,Inputs!$K$4:$AJ$4,0)),NA(),IF(SUMPRODUCT((Inputs!$A$5:$A$130=$B13)*ISNUMBER(INDEX(Inputs!$K$5:$AJ$130,0,MATCH(I$2,Inputs!$K$4:$AJ$4,0))))+SUMPRODUCT((Inputs!$C$5:$C$130=$B13)*ISNUMBER(INDEX(Inputs!$K$5:$AJ$130,0,MATCH(I$2,Inputs!$K$4:$AJ$4,0))))+SUMPRODUCT((Inputs!$E$5:$E$130=$B13)*ISNUMBER(INDEX(Inputs!$K$5:$AJ$130,0,MATCH(I$2,Inputs!$K$4:$AJ$4,0))))=0,NA(),SUMPRODUCT((Inputs!$A$5:$A$130=$B13)*Inputs!$B$5:$B$130*(((Inputs!$G$5:$G$130="moeda")+(Inputs!$G$5:$G$130="acoes"))*Inputs!$B$1+((Inputs!$G$5:$G$130&lt;&gt;"moeda")*(Inputs!$G$5:$G$130&lt;&gt;"acoes")))*INDEX(Inputs!$K$5:$AJ$130,0,MATCH(I$2,Inputs!$K$4:$AJ$4,0)))+SUMPRODUCT((Inputs!$C$5:$C$130=$B13)*Inputs!$D$5:$D$130*(((Inputs!$G$5:$G$130="moeda")+(Inputs!$G$5:$G$130="acoes"))*Inputs!$B$1+((Inputs!$G$5:$G$130&lt;&gt;"moeda")*(Inputs!$G$5:$G$130&lt;&gt;"acoes")))*INDEX(Inputs!$K$5:$AJ$130,0,MATCH(I$2,Inputs!$K$4:$AJ$4,0)))+SUMPRODUCT((Inputs!$E$5:$E$130=$B13)*Inputs!$F$5:$F$130*(((Inputs!$G$5:$G$130="moeda")+(Inputs!$G$5:$G$130="acoes"))*Inputs!$B$1+((Inputs!$G$5:$G$130&lt;&gt;"moeda")*(Inputs!$G$5:$G$130&lt;&gt;"acoes")))*INDEX(Inputs!$K$5:$AJ$130,0,MATCH(I$2,Inputs!$K$4:$AJ$4,0)))))</f>
        <v>-1950</v>
      </c>
      <c r="J13" s="265">
        <f>IF(ISNA(MATCH(J$2,Inputs!$K$4:$AJ$4,0)),NA(),IF(SUMPRODUCT((Inputs!$A$5:$A$130=$B13)*ISNUMBER(INDEX(Inputs!$K$5:$AJ$130,0,MATCH(J$2,Inputs!$K$4:$AJ$4,0))))+SUMPRODUCT((Inputs!$C$5:$C$130=$B13)*ISNUMBER(INDEX(Inputs!$K$5:$AJ$130,0,MATCH(J$2,Inputs!$K$4:$AJ$4,0))))+SUMPRODUCT((Inputs!$E$5:$E$130=$B13)*ISNUMBER(INDEX(Inputs!$K$5:$AJ$130,0,MATCH(J$2,Inputs!$K$4:$AJ$4,0))))=0,NA(),SUMPRODUCT((Inputs!$A$5:$A$130=$B13)*Inputs!$B$5:$B$130*(((Inputs!$G$5:$G$130="moeda")+(Inputs!$G$5:$G$130="acoes"))*Inputs!$B$1+((Inputs!$G$5:$G$130&lt;&gt;"moeda")*(Inputs!$G$5:$G$130&lt;&gt;"acoes")))*INDEX(Inputs!$K$5:$AJ$130,0,MATCH(J$2,Inputs!$K$4:$AJ$4,0)))+SUMPRODUCT((Inputs!$C$5:$C$130=$B13)*Inputs!$D$5:$D$130*(((Inputs!$G$5:$G$130="moeda")+(Inputs!$G$5:$G$130="acoes"))*Inputs!$B$1+((Inputs!$G$5:$G$130&lt;&gt;"moeda")*(Inputs!$G$5:$G$130&lt;&gt;"acoes")))*INDEX(Inputs!$K$5:$AJ$130,0,MATCH(J$2,Inputs!$K$4:$AJ$4,0)))+SUMPRODUCT((Inputs!$E$5:$E$130=$B13)*Inputs!$F$5:$F$130*(((Inputs!$G$5:$G$130="moeda")+(Inputs!$G$5:$G$130="acoes"))*Inputs!$B$1+((Inputs!$G$5:$G$130&lt;&gt;"moeda")*(Inputs!$G$5:$G$130&lt;&gt;"acoes")))*INDEX(Inputs!$K$5:$AJ$130,0,MATCH(J$2,Inputs!$K$4:$AJ$4,0)))))</f>
        <v>-1851</v>
      </c>
      <c r="K13" s="265">
        <f>IF(ISNA(MATCH(K$2,Inputs!$K$4:$AJ$4,0)),NA(),IF(SUMPRODUCT((Inputs!$A$5:$A$130=$B13)*ISNUMBER(INDEX(Inputs!$K$5:$AJ$130,0,MATCH(K$2,Inputs!$K$4:$AJ$4,0))))+SUMPRODUCT((Inputs!$C$5:$C$130=$B13)*ISNUMBER(INDEX(Inputs!$K$5:$AJ$130,0,MATCH(K$2,Inputs!$K$4:$AJ$4,0))))+SUMPRODUCT((Inputs!$E$5:$E$130=$B13)*ISNUMBER(INDEX(Inputs!$K$5:$AJ$130,0,MATCH(K$2,Inputs!$K$4:$AJ$4,0))))=0,NA(),SUMPRODUCT((Inputs!$A$5:$A$130=$B13)*Inputs!$B$5:$B$130*(((Inputs!$G$5:$G$130="moeda")+(Inputs!$G$5:$G$130="acoes"))*Inputs!$B$1+((Inputs!$G$5:$G$130&lt;&gt;"moeda")*(Inputs!$G$5:$G$130&lt;&gt;"acoes")))*INDEX(Inputs!$K$5:$AJ$130,0,MATCH(K$2,Inputs!$K$4:$AJ$4,0)))+SUMPRODUCT((Inputs!$C$5:$C$130=$B13)*Inputs!$D$5:$D$130*(((Inputs!$G$5:$G$130="moeda")+(Inputs!$G$5:$G$130="acoes"))*Inputs!$B$1+((Inputs!$G$5:$G$130&lt;&gt;"moeda")*(Inputs!$G$5:$G$130&lt;&gt;"acoes")))*INDEX(Inputs!$K$5:$AJ$130,0,MATCH(K$2,Inputs!$K$4:$AJ$4,0)))+SUMPRODUCT((Inputs!$E$5:$E$130=$B13)*Inputs!$F$5:$F$130*(((Inputs!$G$5:$G$130="moeda")+(Inputs!$G$5:$G$130="acoes"))*Inputs!$B$1+((Inputs!$G$5:$G$130&lt;&gt;"moeda")*(Inputs!$G$5:$G$130&lt;&gt;"acoes")))*INDEX(Inputs!$K$5:$AJ$130,0,MATCH(K$2,Inputs!$K$4:$AJ$4,0)))))</f>
        <v>-1818</v>
      </c>
      <c r="L13" s="265">
        <f>IF(ISNA(MATCH(L$2,Inputs!$K$4:$AJ$4,0)),NA(),IF(SUMPRODUCT((Inputs!$A$5:$A$130=$B13)*ISNUMBER(INDEX(Inputs!$K$5:$AJ$130,0,MATCH(L$2,Inputs!$K$4:$AJ$4,0))))+SUMPRODUCT((Inputs!$C$5:$C$130=$B13)*ISNUMBER(INDEX(Inputs!$K$5:$AJ$130,0,MATCH(L$2,Inputs!$K$4:$AJ$4,0))))+SUMPRODUCT((Inputs!$E$5:$E$130=$B13)*ISNUMBER(INDEX(Inputs!$K$5:$AJ$130,0,MATCH(L$2,Inputs!$K$4:$AJ$4,0))))=0,NA(),SUMPRODUCT((Inputs!$A$5:$A$130=$B13)*Inputs!$B$5:$B$130*(((Inputs!$G$5:$G$130="moeda")+(Inputs!$G$5:$G$130="acoes"))*Inputs!$B$1+((Inputs!$G$5:$G$130&lt;&gt;"moeda")*(Inputs!$G$5:$G$130&lt;&gt;"acoes")))*INDEX(Inputs!$K$5:$AJ$130,0,MATCH(L$2,Inputs!$K$4:$AJ$4,0)))+SUMPRODUCT((Inputs!$C$5:$C$130=$B13)*Inputs!$D$5:$D$130*(((Inputs!$G$5:$G$130="moeda")+(Inputs!$G$5:$G$130="acoes"))*Inputs!$B$1+((Inputs!$G$5:$G$130&lt;&gt;"moeda")*(Inputs!$G$5:$G$130&lt;&gt;"acoes")))*INDEX(Inputs!$K$5:$AJ$130,0,MATCH(L$2,Inputs!$K$4:$AJ$4,0)))+SUMPRODUCT((Inputs!$E$5:$E$130=$B13)*Inputs!$F$5:$F$130*(((Inputs!$G$5:$G$130="moeda")+(Inputs!$G$5:$G$130="acoes"))*Inputs!$B$1+((Inputs!$G$5:$G$130&lt;&gt;"moeda")*(Inputs!$G$5:$G$130&lt;&gt;"acoes")))*INDEX(Inputs!$K$5:$AJ$130,0,MATCH(L$2,Inputs!$K$4:$AJ$4,0)))))</f>
        <v>-1785</v>
      </c>
      <c r="M13" s="266">
        <f>SUM(I13:L13)</f>
        <v>-7404</v>
      </c>
      <c r="N13" s="265">
        <f>IF(ISNA(MATCH(N$2,Inputs!$K$4:$AJ$4,0)),NA(),IF(SUMPRODUCT((Inputs!$A$5:$A$130=$B13)*ISNUMBER(INDEX(Inputs!$K$5:$AJ$130,0,MATCH(N$2,Inputs!$K$4:$AJ$4,0))))+SUMPRODUCT((Inputs!$C$5:$C$130=$B13)*ISNUMBER(INDEX(Inputs!$K$5:$AJ$130,0,MATCH(N$2,Inputs!$K$4:$AJ$4,0))))+SUMPRODUCT((Inputs!$E$5:$E$130=$B13)*ISNUMBER(INDEX(Inputs!$K$5:$AJ$130,0,MATCH(N$2,Inputs!$K$4:$AJ$4,0))))=0,NA(),SUMPRODUCT((Inputs!$A$5:$A$130=$B13)*Inputs!$B$5:$B$130*(((Inputs!$G$5:$G$130="moeda")+(Inputs!$G$5:$G$130="acoes"))*Inputs!$B$1+((Inputs!$G$5:$G$130&lt;&gt;"moeda")*(Inputs!$G$5:$G$130&lt;&gt;"acoes")))*INDEX(Inputs!$K$5:$AJ$130,0,MATCH(N$2,Inputs!$K$4:$AJ$4,0)))+SUMPRODUCT((Inputs!$C$5:$C$130=$B13)*Inputs!$D$5:$D$130*(((Inputs!$G$5:$G$130="moeda")+(Inputs!$G$5:$G$130="acoes"))*Inputs!$B$1+((Inputs!$G$5:$G$130&lt;&gt;"moeda")*(Inputs!$G$5:$G$130&lt;&gt;"acoes")))*INDEX(Inputs!$K$5:$AJ$130,0,MATCH(N$2,Inputs!$K$4:$AJ$4,0)))+SUMPRODUCT((Inputs!$E$5:$E$130=$B13)*Inputs!$F$5:$F$130*(((Inputs!$G$5:$G$130="moeda")+(Inputs!$G$5:$G$130="acoes"))*Inputs!$B$1+((Inputs!$G$5:$G$130&lt;&gt;"moeda")*(Inputs!$G$5:$G$130&lt;&gt;"acoes")))*INDEX(Inputs!$K$5:$AJ$130,0,MATCH(N$2,Inputs!$K$4:$AJ$4,0)))))</f>
        <v>-2029</v>
      </c>
      <c r="O13" s="265">
        <f>IF(ISNA(MATCH(O$2,Inputs!$K$4:$AJ$4,0)),NA(),IF(SUMPRODUCT((Inputs!$A$5:$A$130=$B13)*ISNUMBER(INDEX(Inputs!$K$5:$AJ$130,0,MATCH(O$2,Inputs!$K$4:$AJ$4,0))))+SUMPRODUCT((Inputs!$C$5:$C$130=$B13)*ISNUMBER(INDEX(Inputs!$K$5:$AJ$130,0,MATCH(O$2,Inputs!$K$4:$AJ$4,0))))+SUMPRODUCT((Inputs!$E$5:$E$130=$B13)*ISNUMBER(INDEX(Inputs!$K$5:$AJ$130,0,MATCH(O$2,Inputs!$K$4:$AJ$4,0))))=0,NA(),SUMPRODUCT((Inputs!$A$5:$A$130=$B13)*Inputs!$B$5:$B$130*(((Inputs!$G$5:$G$130="moeda")+(Inputs!$G$5:$G$130="acoes"))*Inputs!$B$1+((Inputs!$G$5:$G$130&lt;&gt;"moeda")*(Inputs!$G$5:$G$130&lt;&gt;"acoes")))*INDEX(Inputs!$K$5:$AJ$130,0,MATCH(O$2,Inputs!$K$4:$AJ$4,0)))+SUMPRODUCT((Inputs!$C$5:$C$130=$B13)*Inputs!$D$5:$D$130*(((Inputs!$G$5:$G$130="moeda")+(Inputs!$G$5:$G$130="acoes"))*Inputs!$B$1+((Inputs!$G$5:$G$130&lt;&gt;"moeda")*(Inputs!$G$5:$G$130&lt;&gt;"acoes")))*INDEX(Inputs!$K$5:$AJ$130,0,MATCH(O$2,Inputs!$K$4:$AJ$4,0)))+SUMPRODUCT((Inputs!$E$5:$E$130=$B13)*Inputs!$F$5:$F$130*(((Inputs!$G$5:$G$130="moeda")+(Inputs!$G$5:$G$130="acoes"))*Inputs!$B$1+((Inputs!$G$5:$G$130&lt;&gt;"moeda")*(Inputs!$G$5:$G$130&lt;&gt;"acoes")))*INDEX(Inputs!$K$5:$AJ$130,0,MATCH(O$2,Inputs!$K$4:$AJ$4,0)))))</f>
        <v>-1983</v>
      </c>
      <c r="P13" s="265">
        <f>IF(ISNA(MATCH(P$2,Inputs!$K$4:$AJ$4,0)),NA(),IF(SUMPRODUCT((Inputs!$A$5:$A$130=$B13)*ISNUMBER(INDEX(Inputs!$K$5:$AJ$130,0,MATCH(P$2,Inputs!$K$4:$AJ$4,0))))+SUMPRODUCT((Inputs!$C$5:$C$130=$B13)*ISNUMBER(INDEX(Inputs!$K$5:$AJ$130,0,MATCH(P$2,Inputs!$K$4:$AJ$4,0))))+SUMPRODUCT((Inputs!$E$5:$E$130=$B13)*ISNUMBER(INDEX(Inputs!$K$5:$AJ$130,0,MATCH(P$2,Inputs!$K$4:$AJ$4,0))))=0,NA(),SUMPRODUCT((Inputs!$A$5:$A$130=$B13)*Inputs!$B$5:$B$130*(((Inputs!$G$5:$G$130="moeda")+(Inputs!$G$5:$G$130="acoes"))*Inputs!$B$1+((Inputs!$G$5:$G$130&lt;&gt;"moeda")*(Inputs!$G$5:$G$130&lt;&gt;"acoes")))*INDEX(Inputs!$K$5:$AJ$130,0,MATCH(P$2,Inputs!$K$4:$AJ$4,0)))+SUMPRODUCT((Inputs!$C$5:$C$130=$B13)*Inputs!$D$5:$D$130*(((Inputs!$G$5:$G$130="moeda")+(Inputs!$G$5:$G$130="acoes"))*Inputs!$B$1+((Inputs!$G$5:$G$130&lt;&gt;"moeda")*(Inputs!$G$5:$G$130&lt;&gt;"acoes")))*INDEX(Inputs!$K$5:$AJ$130,0,MATCH(P$2,Inputs!$K$4:$AJ$4,0)))+SUMPRODUCT((Inputs!$E$5:$E$130=$B13)*Inputs!$F$5:$F$130*(((Inputs!$G$5:$G$130="moeda")+(Inputs!$G$5:$G$130="acoes"))*Inputs!$B$1+((Inputs!$G$5:$G$130&lt;&gt;"moeda")*(Inputs!$G$5:$G$130&lt;&gt;"acoes")))*INDEX(Inputs!$K$5:$AJ$130,0,MATCH(P$2,Inputs!$K$4:$AJ$4,0)))))</f>
        <v>-2179</v>
      </c>
      <c r="Q13" s="265">
        <f>IF(ISNA(MATCH(Q$2,Inputs!$K$4:$AJ$4,0)),NA(),IF(SUMPRODUCT((Inputs!$A$5:$A$130=$B13)*ISNUMBER(INDEX(Inputs!$K$5:$AJ$130,0,MATCH(Q$2,Inputs!$K$4:$AJ$4,0))))+SUMPRODUCT((Inputs!$C$5:$C$130=$B13)*ISNUMBER(INDEX(Inputs!$K$5:$AJ$130,0,MATCH(Q$2,Inputs!$K$4:$AJ$4,0))))+SUMPRODUCT((Inputs!$E$5:$E$130=$B13)*ISNUMBER(INDEX(Inputs!$K$5:$AJ$130,0,MATCH(Q$2,Inputs!$K$4:$AJ$4,0))))=0,NA(),SUMPRODUCT((Inputs!$A$5:$A$130=$B13)*Inputs!$B$5:$B$130*(((Inputs!$G$5:$G$130="moeda")+(Inputs!$G$5:$G$130="acoes"))*Inputs!$B$1+((Inputs!$G$5:$G$130&lt;&gt;"moeda")*(Inputs!$G$5:$G$130&lt;&gt;"acoes")))*INDEX(Inputs!$K$5:$AJ$130,0,MATCH(Q$2,Inputs!$K$4:$AJ$4,0)))+SUMPRODUCT((Inputs!$C$5:$C$130=$B13)*Inputs!$D$5:$D$130*(((Inputs!$G$5:$G$130="moeda")+(Inputs!$G$5:$G$130="acoes"))*Inputs!$B$1+((Inputs!$G$5:$G$130&lt;&gt;"moeda")*(Inputs!$G$5:$G$130&lt;&gt;"acoes")))*INDEX(Inputs!$K$5:$AJ$130,0,MATCH(Q$2,Inputs!$K$4:$AJ$4,0)))+SUMPRODUCT((Inputs!$E$5:$E$130=$B13)*Inputs!$F$5:$F$130*(((Inputs!$G$5:$G$130="moeda")+(Inputs!$G$5:$G$130="acoes"))*Inputs!$B$1+((Inputs!$G$5:$G$130&lt;&gt;"moeda")*(Inputs!$G$5:$G$130&lt;&gt;"acoes")))*INDEX(Inputs!$K$5:$AJ$130,0,MATCH(Q$2,Inputs!$K$4:$AJ$4,0)))))</f>
        <v>-2201</v>
      </c>
      <c r="R13" s="266">
        <f>SUM(N13:Q13)</f>
        <v>-8392</v>
      </c>
      <c r="S13" s="265">
        <f>IF(ISNA(MATCH(S$2,Inputs!$K$4:$AJ$4,0)),NA(),IF(SUMPRODUCT((Inputs!$A$5:$A$130=$B13)*ISNUMBER(INDEX(Inputs!$K$5:$AJ$130,0,MATCH(S$2,Inputs!$K$4:$AJ$4,0))))+SUMPRODUCT((Inputs!$C$5:$C$130=$B13)*ISNUMBER(INDEX(Inputs!$K$5:$AJ$130,0,MATCH(S$2,Inputs!$K$4:$AJ$4,0))))+SUMPRODUCT((Inputs!$E$5:$E$130=$B13)*ISNUMBER(INDEX(Inputs!$K$5:$AJ$130,0,MATCH(S$2,Inputs!$K$4:$AJ$4,0))))=0,NA(),SUMPRODUCT((Inputs!$A$5:$A$130=$B13)*Inputs!$B$5:$B$130*(((Inputs!$G$5:$G$130="moeda")+(Inputs!$G$5:$G$130="acoes"))*Inputs!$B$1+((Inputs!$G$5:$G$130&lt;&gt;"moeda")*(Inputs!$G$5:$G$130&lt;&gt;"acoes")))*INDEX(Inputs!$K$5:$AJ$130,0,MATCH(S$2,Inputs!$K$4:$AJ$4,0)))+SUMPRODUCT((Inputs!$C$5:$C$130=$B13)*Inputs!$D$5:$D$130*(((Inputs!$G$5:$G$130="moeda")+(Inputs!$G$5:$G$130="acoes"))*Inputs!$B$1+((Inputs!$G$5:$G$130&lt;&gt;"moeda")*(Inputs!$G$5:$G$130&lt;&gt;"acoes")))*INDEX(Inputs!$K$5:$AJ$130,0,MATCH(S$2,Inputs!$K$4:$AJ$4,0)))+SUMPRODUCT((Inputs!$E$5:$E$130=$B13)*Inputs!$F$5:$F$130*(((Inputs!$G$5:$G$130="moeda")+(Inputs!$G$5:$G$130="acoes"))*Inputs!$B$1+((Inputs!$G$5:$G$130&lt;&gt;"moeda")*(Inputs!$G$5:$G$130&lt;&gt;"acoes")))*INDEX(Inputs!$K$5:$AJ$130,0,MATCH(S$2,Inputs!$K$4:$AJ$4,0)))))</f>
        <v>-2210</v>
      </c>
      <c r="T13" s="265">
        <f>IF(ISNA(MATCH(T$2,Inputs!$K$4:$AJ$4,0)),NA(),IF(SUMPRODUCT((Inputs!$A$5:$A$130=$B13)*ISNUMBER(INDEX(Inputs!$K$5:$AJ$130,0,MATCH(T$2,Inputs!$K$4:$AJ$4,0))))+SUMPRODUCT((Inputs!$C$5:$C$130=$B13)*ISNUMBER(INDEX(Inputs!$K$5:$AJ$130,0,MATCH(T$2,Inputs!$K$4:$AJ$4,0))))+SUMPRODUCT((Inputs!$E$5:$E$130=$B13)*ISNUMBER(INDEX(Inputs!$K$5:$AJ$130,0,MATCH(T$2,Inputs!$K$4:$AJ$4,0))))=0,NA(),SUMPRODUCT((Inputs!$A$5:$A$130=$B13)*Inputs!$B$5:$B$130*(((Inputs!$G$5:$G$130="moeda")+(Inputs!$G$5:$G$130="acoes"))*Inputs!$B$1+((Inputs!$G$5:$G$130&lt;&gt;"moeda")*(Inputs!$G$5:$G$130&lt;&gt;"acoes")))*INDEX(Inputs!$K$5:$AJ$130,0,MATCH(T$2,Inputs!$K$4:$AJ$4,0)))+SUMPRODUCT((Inputs!$C$5:$C$130=$B13)*Inputs!$D$5:$D$130*(((Inputs!$G$5:$G$130="moeda")+(Inputs!$G$5:$G$130="acoes"))*Inputs!$B$1+((Inputs!$G$5:$G$130&lt;&gt;"moeda")*(Inputs!$G$5:$G$130&lt;&gt;"acoes")))*INDEX(Inputs!$K$5:$AJ$130,0,MATCH(T$2,Inputs!$K$4:$AJ$4,0)))+SUMPRODUCT((Inputs!$E$5:$E$130=$B13)*Inputs!$F$5:$F$130*(((Inputs!$G$5:$G$130="moeda")+(Inputs!$G$5:$G$130="acoes"))*Inputs!$B$1+((Inputs!$G$5:$G$130&lt;&gt;"moeda")*(Inputs!$G$5:$G$130&lt;&gt;"acoes")))*INDEX(Inputs!$K$5:$AJ$130,0,MATCH(T$2,Inputs!$K$4:$AJ$4,0)))))</f>
        <v>-2177</v>
      </c>
      <c r="U13" s="265">
        <f>IF(ISNA(MATCH(U$2,Inputs!$K$4:$AJ$4,0)),NA(),IF(SUMPRODUCT((Inputs!$A$5:$A$130=$B13)*ISNUMBER(INDEX(Inputs!$K$5:$AJ$130,0,MATCH(U$2,Inputs!$K$4:$AJ$4,0))))+SUMPRODUCT((Inputs!$C$5:$C$130=$B13)*ISNUMBER(INDEX(Inputs!$K$5:$AJ$130,0,MATCH(U$2,Inputs!$K$4:$AJ$4,0))))+SUMPRODUCT((Inputs!$E$5:$E$130=$B13)*ISNUMBER(INDEX(Inputs!$K$5:$AJ$130,0,MATCH(U$2,Inputs!$K$4:$AJ$4,0))))=0,NA(),SUMPRODUCT((Inputs!$A$5:$A$130=$B13)*Inputs!$B$5:$B$130*(((Inputs!$G$5:$G$130="moeda")+(Inputs!$G$5:$G$130="acoes"))*Inputs!$B$1+((Inputs!$G$5:$G$130&lt;&gt;"moeda")*(Inputs!$G$5:$G$130&lt;&gt;"acoes")))*INDEX(Inputs!$K$5:$AJ$130,0,MATCH(U$2,Inputs!$K$4:$AJ$4,0)))+SUMPRODUCT((Inputs!$C$5:$C$130=$B13)*Inputs!$D$5:$D$130*(((Inputs!$G$5:$G$130="moeda")+(Inputs!$G$5:$G$130="acoes"))*Inputs!$B$1+((Inputs!$G$5:$G$130&lt;&gt;"moeda")*(Inputs!$G$5:$G$130&lt;&gt;"acoes")))*INDEX(Inputs!$K$5:$AJ$130,0,MATCH(U$2,Inputs!$K$4:$AJ$4,0)))+SUMPRODUCT((Inputs!$E$5:$E$130=$B13)*Inputs!$F$5:$F$130*(((Inputs!$G$5:$G$130="moeda")+(Inputs!$G$5:$G$130="acoes"))*Inputs!$B$1+((Inputs!$G$5:$G$130&lt;&gt;"moeda")*(Inputs!$G$5:$G$130&lt;&gt;"acoes")))*INDEX(Inputs!$K$5:$AJ$130,0,MATCH(U$2,Inputs!$K$4:$AJ$4,0)))))</f>
        <v>-2167</v>
      </c>
      <c r="V13" s="265">
        <f>IF(ISNA(MATCH(V$2,Inputs!$K$4:$AJ$4,0)),NA(),IF(SUMPRODUCT((Inputs!$A$5:$A$130=$B13)*ISNUMBER(INDEX(Inputs!$K$5:$AJ$130,0,MATCH(V$2,Inputs!$K$4:$AJ$4,0))))+SUMPRODUCT((Inputs!$C$5:$C$130=$B13)*ISNUMBER(INDEX(Inputs!$K$5:$AJ$130,0,MATCH(V$2,Inputs!$K$4:$AJ$4,0))))+SUMPRODUCT((Inputs!$E$5:$E$130=$B13)*ISNUMBER(INDEX(Inputs!$K$5:$AJ$130,0,MATCH(V$2,Inputs!$K$4:$AJ$4,0))))=0,NA(),SUMPRODUCT((Inputs!$A$5:$A$130=$B13)*Inputs!$B$5:$B$130*(((Inputs!$G$5:$G$130="moeda")+(Inputs!$G$5:$G$130="acoes"))*Inputs!$B$1+((Inputs!$G$5:$G$130&lt;&gt;"moeda")*(Inputs!$G$5:$G$130&lt;&gt;"acoes")))*INDEX(Inputs!$K$5:$AJ$130,0,MATCH(V$2,Inputs!$K$4:$AJ$4,0)))+SUMPRODUCT((Inputs!$C$5:$C$130=$B13)*Inputs!$D$5:$D$130*(((Inputs!$G$5:$G$130="moeda")+(Inputs!$G$5:$G$130="acoes"))*Inputs!$B$1+((Inputs!$G$5:$G$130&lt;&gt;"moeda")*(Inputs!$G$5:$G$130&lt;&gt;"acoes")))*INDEX(Inputs!$K$5:$AJ$130,0,MATCH(V$2,Inputs!$K$4:$AJ$4,0)))+SUMPRODUCT((Inputs!$E$5:$E$130=$B13)*Inputs!$F$5:$F$130*(((Inputs!$G$5:$G$130="moeda")+(Inputs!$G$5:$G$130="acoes"))*Inputs!$B$1+((Inputs!$G$5:$G$130&lt;&gt;"moeda")*(Inputs!$G$5:$G$130&lt;&gt;"acoes")))*INDEX(Inputs!$K$5:$AJ$130,0,MATCH(V$2,Inputs!$K$4:$AJ$4,0)))))</f>
        <v>-2114</v>
      </c>
      <c r="W13" s="266">
        <f>SUM(S13:V13)</f>
        <v>-8668</v>
      </c>
      <c r="X13" s="265">
        <f>IF(ISNA(MATCH(X$2,Inputs!$K$4:$AJ$4,0)),NA(),IF(SUMPRODUCT((Inputs!$A$5:$A$130=$B13)*ISNUMBER(INDEX(Inputs!$K$5:$AJ$130,0,MATCH(X$2,Inputs!$K$4:$AJ$4,0))))+SUMPRODUCT((Inputs!$C$5:$C$130=$B13)*ISNUMBER(INDEX(Inputs!$K$5:$AJ$130,0,MATCH(X$2,Inputs!$K$4:$AJ$4,0))))+SUMPRODUCT((Inputs!$E$5:$E$130=$B13)*ISNUMBER(INDEX(Inputs!$K$5:$AJ$130,0,MATCH(X$2,Inputs!$K$4:$AJ$4,0))))=0,NA(),SUMPRODUCT((Inputs!$A$5:$A$130=$B13)*Inputs!$B$5:$B$130*(((Inputs!$G$5:$G$130="moeda")+(Inputs!$G$5:$G$130="acoes"))*Inputs!$B$1+((Inputs!$G$5:$G$130&lt;&gt;"moeda")*(Inputs!$G$5:$G$130&lt;&gt;"acoes")))*INDEX(Inputs!$K$5:$AJ$130,0,MATCH(X$2,Inputs!$K$4:$AJ$4,0)))+SUMPRODUCT((Inputs!$C$5:$C$130=$B13)*Inputs!$D$5:$D$130*(((Inputs!$G$5:$G$130="moeda")+(Inputs!$G$5:$G$130="acoes"))*Inputs!$B$1+((Inputs!$G$5:$G$130&lt;&gt;"moeda")*(Inputs!$G$5:$G$130&lt;&gt;"acoes")))*INDEX(Inputs!$K$5:$AJ$130,0,MATCH(X$2,Inputs!$K$4:$AJ$4,0)))+SUMPRODUCT((Inputs!$E$5:$E$130=$B13)*Inputs!$F$5:$F$130*(((Inputs!$G$5:$G$130="moeda")+(Inputs!$G$5:$G$130="acoes"))*Inputs!$B$1+((Inputs!$G$5:$G$130&lt;&gt;"moeda")*(Inputs!$G$5:$G$130&lt;&gt;"acoes")))*INDEX(Inputs!$K$5:$AJ$130,0,MATCH(X$2,Inputs!$K$4:$AJ$4,0)))))</f>
        <v>-2179</v>
      </c>
      <c r="Y13" s="265">
        <f>IF(ISNA(MATCH(Y$2,Inputs!$K$4:$AJ$4,0)),NA(),IF(SUMPRODUCT((Inputs!$A$5:$A$130=$B13)*ISNUMBER(INDEX(Inputs!$K$5:$AJ$130,0,MATCH(Y$2,Inputs!$K$4:$AJ$4,0))))+SUMPRODUCT((Inputs!$C$5:$C$130=$B13)*ISNUMBER(INDEX(Inputs!$K$5:$AJ$130,0,MATCH(Y$2,Inputs!$K$4:$AJ$4,0))))+SUMPRODUCT((Inputs!$E$5:$E$130=$B13)*ISNUMBER(INDEX(Inputs!$K$5:$AJ$130,0,MATCH(Y$2,Inputs!$K$4:$AJ$4,0))))=0,NA(),SUMPRODUCT((Inputs!$A$5:$A$130=$B13)*Inputs!$B$5:$B$130*(((Inputs!$G$5:$G$130="moeda")+(Inputs!$G$5:$G$130="acoes"))*Inputs!$B$1+((Inputs!$G$5:$G$130&lt;&gt;"moeda")*(Inputs!$G$5:$G$130&lt;&gt;"acoes")))*INDEX(Inputs!$K$5:$AJ$130,0,MATCH(Y$2,Inputs!$K$4:$AJ$4,0)))+SUMPRODUCT((Inputs!$C$5:$C$130=$B13)*Inputs!$D$5:$D$130*(((Inputs!$G$5:$G$130="moeda")+(Inputs!$G$5:$G$130="acoes"))*Inputs!$B$1+((Inputs!$G$5:$G$130&lt;&gt;"moeda")*(Inputs!$G$5:$G$130&lt;&gt;"acoes")))*INDEX(Inputs!$K$5:$AJ$130,0,MATCH(Y$2,Inputs!$K$4:$AJ$4,0)))+SUMPRODUCT((Inputs!$E$5:$E$130=$B13)*Inputs!$F$5:$F$130*(((Inputs!$G$5:$G$130="moeda")+(Inputs!$G$5:$G$130="acoes"))*Inputs!$B$1+((Inputs!$G$5:$G$130&lt;&gt;"moeda")*(Inputs!$G$5:$G$130&lt;&gt;"acoes")))*INDEX(Inputs!$K$5:$AJ$130,0,MATCH(Y$2,Inputs!$K$4:$AJ$4,0)))))</f>
        <v>-2122</v>
      </c>
      <c r="Z13" s="265">
        <f>IF(ISNA(MATCH(Z$2,Inputs!$K$4:$AJ$4,0)),NA(),IF(SUMPRODUCT((Inputs!$A$5:$A$130=$B13)*ISNUMBER(INDEX(Inputs!$K$5:$AJ$130,0,MATCH(Z$2,Inputs!$K$4:$AJ$4,0))))+SUMPRODUCT((Inputs!$C$5:$C$130=$B13)*ISNUMBER(INDEX(Inputs!$K$5:$AJ$130,0,MATCH(Z$2,Inputs!$K$4:$AJ$4,0))))+SUMPRODUCT((Inputs!$E$5:$E$130=$B13)*ISNUMBER(INDEX(Inputs!$K$5:$AJ$130,0,MATCH(Z$2,Inputs!$K$4:$AJ$4,0))))=0,NA(),SUMPRODUCT((Inputs!$A$5:$A$130=$B13)*Inputs!$B$5:$B$130*(((Inputs!$G$5:$G$130="moeda")+(Inputs!$G$5:$G$130="acoes"))*Inputs!$B$1+((Inputs!$G$5:$G$130&lt;&gt;"moeda")*(Inputs!$G$5:$G$130&lt;&gt;"acoes")))*INDEX(Inputs!$K$5:$AJ$130,0,MATCH(Z$2,Inputs!$K$4:$AJ$4,0)))+SUMPRODUCT((Inputs!$C$5:$C$130=$B13)*Inputs!$D$5:$D$130*(((Inputs!$G$5:$G$130="moeda")+(Inputs!$G$5:$G$130="acoes"))*Inputs!$B$1+((Inputs!$G$5:$G$130&lt;&gt;"moeda")*(Inputs!$G$5:$G$130&lt;&gt;"acoes")))*INDEX(Inputs!$K$5:$AJ$130,0,MATCH(Z$2,Inputs!$K$4:$AJ$4,0)))+SUMPRODUCT((Inputs!$E$5:$E$130=$B13)*Inputs!$F$5:$F$130*(((Inputs!$G$5:$G$130="moeda")+(Inputs!$G$5:$G$130="acoes"))*Inputs!$B$1+((Inputs!$G$5:$G$130&lt;&gt;"moeda")*(Inputs!$G$5:$G$130&lt;&gt;"acoes")))*INDEX(Inputs!$K$5:$AJ$130,0,MATCH(Z$2,Inputs!$K$4:$AJ$4,0)))))</f>
        <v>-2103</v>
      </c>
      <c r="AA13" s="265">
        <f>IF(ISNA(MATCH(AA$2,Inputs!$K$4:$AJ$4,0)),NA(),IF(SUMPRODUCT((Inputs!$A$5:$A$130=$B13)*ISNUMBER(INDEX(Inputs!$K$5:$AJ$130,0,MATCH(AA$2,Inputs!$K$4:$AJ$4,0))))+SUMPRODUCT((Inputs!$C$5:$C$130=$B13)*ISNUMBER(INDEX(Inputs!$K$5:$AJ$130,0,MATCH(AA$2,Inputs!$K$4:$AJ$4,0))))+SUMPRODUCT((Inputs!$E$5:$E$130=$B13)*ISNUMBER(INDEX(Inputs!$K$5:$AJ$130,0,MATCH(AA$2,Inputs!$K$4:$AJ$4,0))))=0,NA(),SUMPRODUCT((Inputs!$A$5:$A$130=$B13)*Inputs!$B$5:$B$130*(((Inputs!$G$5:$G$130="moeda")+(Inputs!$G$5:$G$130="acoes"))*Inputs!$B$1+((Inputs!$G$5:$G$130&lt;&gt;"moeda")*(Inputs!$G$5:$G$130&lt;&gt;"acoes")))*INDEX(Inputs!$K$5:$AJ$130,0,MATCH(AA$2,Inputs!$K$4:$AJ$4,0)))+SUMPRODUCT((Inputs!$C$5:$C$130=$B13)*Inputs!$D$5:$D$130*(((Inputs!$G$5:$G$130="moeda")+(Inputs!$G$5:$G$130="acoes"))*Inputs!$B$1+((Inputs!$G$5:$G$130&lt;&gt;"moeda")*(Inputs!$G$5:$G$130&lt;&gt;"acoes")))*INDEX(Inputs!$K$5:$AJ$130,0,MATCH(AA$2,Inputs!$K$4:$AJ$4,0)))+SUMPRODUCT((Inputs!$E$5:$E$130=$B13)*Inputs!$F$5:$F$130*(((Inputs!$G$5:$G$130="moeda")+(Inputs!$G$5:$G$130="acoes"))*Inputs!$B$1+((Inputs!$G$5:$G$130&lt;&gt;"moeda")*(Inputs!$G$5:$G$130&lt;&gt;"acoes")))*INDEX(Inputs!$K$5:$AJ$130,0,MATCH(AA$2,Inputs!$K$4:$AJ$4,0)))))</f>
        <v>-2068</v>
      </c>
      <c r="AB13" s="266">
        <f>SUM(X13:AA13)</f>
        <v>-8472</v>
      </c>
      <c r="AC13" s="265">
        <f>IF(ISNA(MATCH(AC$2,Inputs!$K$4:$AJ$4,0)),NA(),IF(SUMPRODUCT((Inputs!$A$5:$A$130=$B13)*ISNUMBER(INDEX(Inputs!$K$5:$AJ$130,0,MATCH(AC$2,Inputs!$K$4:$AJ$4,0))))+SUMPRODUCT((Inputs!$C$5:$C$130=$B13)*ISNUMBER(INDEX(Inputs!$K$5:$AJ$130,0,MATCH(AC$2,Inputs!$K$4:$AJ$4,0))))+SUMPRODUCT((Inputs!$E$5:$E$130=$B13)*ISNUMBER(INDEX(Inputs!$K$5:$AJ$130,0,MATCH(AC$2,Inputs!$K$4:$AJ$4,0))))=0,NA(),SUMPRODUCT((Inputs!$A$5:$A$130=$B13)*Inputs!$B$5:$B$130*(((Inputs!$G$5:$G$130="moeda")+(Inputs!$G$5:$G$130="acoes"))*Inputs!$B$1+((Inputs!$G$5:$G$130&lt;&gt;"moeda")*(Inputs!$G$5:$G$130&lt;&gt;"acoes")))*INDEX(Inputs!$K$5:$AJ$130,0,MATCH(AC$2,Inputs!$K$4:$AJ$4,0)))+SUMPRODUCT((Inputs!$C$5:$C$130=$B13)*Inputs!$D$5:$D$130*(((Inputs!$G$5:$G$130="moeda")+(Inputs!$G$5:$G$130="acoes"))*Inputs!$B$1+((Inputs!$G$5:$G$130&lt;&gt;"moeda")*(Inputs!$G$5:$G$130&lt;&gt;"acoes")))*INDEX(Inputs!$K$5:$AJ$130,0,MATCH(AC$2,Inputs!$K$4:$AJ$4,0)))+SUMPRODUCT((Inputs!$E$5:$E$130=$B13)*Inputs!$F$5:$F$130*(((Inputs!$G$5:$G$130="moeda")+(Inputs!$G$5:$G$130="acoes"))*Inputs!$B$1+((Inputs!$G$5:$G$130&lt;&gt;"moeda")*(Inputs!$G$5:$G$130&lt;&gt;"acoes")))*INDEX(Inputs!$K$5:$AJ$130,0,MATCH(AC$2,Inputs!$K$4:$AJ$4,0)))))</f>
        <v>-2100</v>
      </c>
      <c r="AD13" s="265">
        <f>IF(ISNA(MATCH(AD$2,Inputs!$K$4:$AJ$4,0)),NA(),IF(SUMPRODUCT((Inputs!$A$5:$A$130=$B13)*ISNUMBER(INDEX(Inputs!$K$5:$AJ$130,0,MATCH(AD$2,Inputs!$K$4:$AJ$4,0))))+SUMPRODUCT((Inputs!$C$5:$C$130=$B13)*ISNUMBER(INDEX(Inputs!$K$5:$AJ$130,0,MATCH(AD$2,Inputs!$K$4:$AJ$4,0))))+SUMPRODUCT((Inputs!$E$5:$E$130=$B13)*ISNUMBER(INDEX(Inputs!$K$5:$AJ$130,0,MATCH(AD$2,Inputs!$K$4:$AJ$4,0))))=0,NA(),SUMPRODUCT((Inputs!$A$5:$A$130=$B13)*Inputs!$B$5:$B$130*(((Inputs!$G$5:$G$130="moeda")+(Inputs!$G$5:$G$130="acoes"))*Inputs!$B$1+((Inputs!$G$5:$G$130&lt;&gt;"moeda")*(Inputs!$G$5:$G$130&lt;&gt;"acoes")))*INDEX(Inputs!$K$5:$AJ$130,0,MATCH(AD$2,Inputs!$K$4:$AJ$4,0)))+SUMPRODUCT((Inputs!$C$5:$C$130=$B13)*Inputs!$D$5:$D$130*(((Inputs!$G$5:$G$130="moeda")+(Inputs!$G$5:$G$130="acoes"))*Inputs!$B$1+((Inputs!$G$5:$G$130&lt;&gt;"moeda")*(Inputs!$G$5:$G$130&lt;&gt;"acoes")))*INDEX(Inputs!$K$5:$AJ$130,0,MATCH(AD$2,Inputs!$K$4:$AJ$4,0)))+SUMPRODUCT((Inputs!$E$5:$E$130=$B13)*Inputs!$F$5:$F$130*(((Inputs!$G$5:$G$130="moeda")+(Inputs!$G$5:$G$130="acoes"))*Inputs!$B$1+((Inputs!$G$5:$G$130&lt;&gt;"moeda")*(Inputs!$G$5:$G$130&lt;&gt;"acoes")))*INDEX(Inputs!$K$5:$AJ$130,0,MATCH(AD$2,Inputs!$K$4:$AJ$4,0)))))</f>
        <v>-2164</v>
      </c>
      <c r="AE13" s="265" t="e">
        <f>IF(ISNA(MATCH(AE$2,Inputs!$K$4:$AJ$4,0)),NA(),IF(SUMPRODUCT((Inputs!$A$5:$A$130=$B13)*ISNUMBER(INDEX(Inputs!$K$5:$AJ$130,0,MATCH(AE$2,Inputs!$K$4:$AJ$4,0))))+SUMPRODUCT((Inputs!$C$5:$C$130=$B13)*ISNUMBER(INDEX(Inputs!$K$5:$AJ$130,0,MATCH(AE$2,Inputs!$K$4:$AJ$4,0))))+SUMPRODUCT((Inputs!$E$5:$E$130=$B13)*ISNUMBER(INDEX(Inputs!$K$5:$AJ$130,0,MATCH(AE$2,Inputs!$K$4:$AJ$4,0))))=0,NA(),SUMPRODUCT((Inputs!$A$5:$A$130=$B13)*Inputs!$B$5:$B$130*(((Inputs!$G$5:$G$130="moeda")+(Inputs!$G$5:$G$130="acoes"))*Inputs!$B$1+((Inputs!$G$5:$G$130&lt;&gt;"moeda")*(Inputs!$G$5:$G$130&lt;&gt;"acoes")))*INDEX(Inputs!$K$5:$AJ$130,0,MATCH(AE$2,Inputs!$K$4:$AJ$4,0)))+SUMPRODUCT((Inputs!$C$5:$C$130=$B13)*Inputs!$D$5:$D$130*(((Inputs!$G$5:$G$130="moeda")+(Inputs!$G$5:$G$130="acoes"))*Inputs!$B$1+((Inputs!$G$5:$G$130&lt;&gt;"moeda")*(Inputs!$G$5:$G$130&lt;&gt;"acoes")))*INDEX(Inputs!$K$5:$AJ$130,0,MATCH(AE$2,Inputs!$K$4:$AJ$4,0)))+SUMPRODUCT((Inputs!$E$5:$E$130=$B13)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3" s="265" t="e">
        <f>IF(ISNA(MATCH(AF$2,Inputs!$K$4:$AJ$4,0)),NA(),IF(SUMPRODUCT((Inputs!$A$5:$A$130=$B13)*ISNUMBER(INDEX(Inputs!$K$5:$AJ$130,0,MATCH(AF$2,Inputs!$K$4:$AJ$4,0))))+SUMPRODUCT((Inputs!$C$5:$C$130=$B13)*ISNUMBER(INDEX(Inputs!$K$5:$AJ$130,0,MATCH(AF$2,Inputs!$K$4:$AJ$4,0))))+SUMPRODUCT((Inputs!$E$5:$E$130=$B13)*ISNUMBER(INDEX(Inputs!$K$5:$AJ$130,0,MATCH(AF$2,Inputs!$K$4:$AJ$4,0))))=0,NA(),SUMPRODUCT((Inputs!$A$5:$A$130=$B13)*Inputs!$B$5:$B$130*(((Inputs!$G$5:$G$130="moeda")+(Inputs!$G$5:$G$130="acoes"))*Inputs!$B$1+((Inputs!$G$5:$G$130&lt;&gt;"moeda")*(Inputs!$G$5:$G$130&lt;&gt;"acoes")))*INDEX(Inputs!$K$5:$AJ$130,0,MATCH(AF$2,Inputs!$K$4:$AJ$4,0)))+SUMPRODUCT((Inputs!$C$5:$C$130=$B13)*Inputs!$D$5:$D$130*(((Inputs!$G$5:$G$130="moeda")+(Inputs!$G$5:$G$130="acoes"))*Inputs!$B$1+((Inputs!$G$5:$G$130&lt;&gt;"moeda")*(Inputs!$G$5:$G$130&lt;&gt;"acoes")))*INDEX(Inputs!$K$5:$AJ$130,0,MATCH(AF$2,Inputs!$K$4:$AJ$4,0)))+SUMPRODUCT((Inputs!$E$5:$E$130=$B13)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3" s="266" t="e">
        <f>SUM(AC13:AF13)</f>
        <v>#N/A</v>
      </c>
      <c r="AH13" s="265" t="e">
        <f>IF(ISNA(MATCH(AH$2,Inputs!$K$4:$AJ$4,0)),NA(),IF(SUMPRODUCT((Inputs!$A$5:$A$130=$B13)*ISNUMBER(INDEX(Inputs!$K$5:$AJ$130,0,MATCH(AH$2,Inputs!$K$4:$AJ$4,0))))+SUMPRODUCT((Inputs!$C$5:$C$130=$B13)*ISNUMBER(INDEX(Inputs!$K$5:$AJ$130,0,MATCH(AH$2,Inputs!$K$4:$AJ$4,0))))+SUMPRODUCT((Inputs!$E$5:$E$130=$B13)*ISNUMBER(INDEX(Inputs!$K$5:$AJ$130,0,MATCH(AH$2,Inputs!$K$4:$AJ$4,0))))=0,NA(),SUMPRODUCT((Inputs!$A$5:$A$130=$B13)*Inputs!$B$5:$B$130*(((Inputs!$G$5:$G$130="moeda")+(Inputs!$G$5:$G$130="acoes"))*Inputs!$B$1+((Inputs!$G$5:$G$130&lt;&gt;"moeda")*(Inputs!$G$5:$G$130&lt;&gt;"acoes")))*INDEX(Inputs!$K$5:$AJ$130,0,MATCH(AH$2,Inputs!$K$4:$AJ$4,0)))+SUMPRODUCT((Inputs!$C$5:$C$130=$B13)*Inputs!$D$5:$D$130*(((Inputs!$G$5:$G$130="moeda")+(Inputs!$G$5:$G$130="acoes"))*Inputs!$B$1+((Inputs!$G$5:$G$130&lt;&gt;"moeda")*(Inputs!$G$5:$G$130&lt;&gt;"acoes")))*INDEX(Inputs!$K$5:$AJ$130,0,MATCH(AH$2,Inputs!$K$4:$AJ$4,0)))+SUMPRODUCT((Inputs!$E$5:$E$130=$B13)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13" s="265" t="e">
        <f>IF(ISNA(MATCH(AI$2,Inputs!$K$4:$AJ$4,0)),NA(),IF(SUMPRODUCT((Inputs!$A$5:$A$130=$B13)*ISNUMBER(INDEX(Inputs!$K$5:$AJ$130,0,MATCH(AI$2,Inputs!$K$4:$AJ$4,0))))+SUMPRODUCT((Inputs!$C$5:$C$130=$B13)*ISNUMBER(INDEX(Inputs!$K$5:$AJ$130,0,MATCH(AI$2,Inputs!$K$4:$AJ$4,0))))+SUMPRODUCT((Inputs!$E$5:$E$130=$B13)*ISNUMBER(INDEX(Inputs!$K$5:$AJ$130,0,MATCH(AI$2,Inputs!$K$4:$AJ$4,0))))=0,NA(),SUMPRODUCT((Inputs!$A$5:$A$130=$B13)*Inputs!$B$5:$B$130*(((Inputs!$G$5:$G$130="moeda")+(Inputs!$G$5:$G$130="acoes"))*Inputs!$B$1+((Inputs!$G$5:$G$130&lt;&gt;"moeda")*(Inputs!$G$5:$G$130&lt;&gt;"acoes")))*INDEX(Inputs!$K$5:$AJ$130,0,MATCH(AI$2,Inputs!$K$4:$AJ$4,0)))+SUMPRODUCT((Inputs!$C$5:$C$130=$B13)*Inputs!$D$5:$D$130*(((Inputs!$G$5:$G$130="moeda")+(Inputs!$G$5:$G$130="acoes"))*Inputs!$B$1+((Inputs!$G$5:$G$130&lt;&gt;"moeda")*(Inputs!$G$5:$G$130&lt;&gt;"acoes")))*INDEX(Inputs!$K$5:$AJ$130,0,MATCH(AI$2,Inputs!$K$4:$AJ$4,0)))+SUMPRODUCT((Inputs!$E$5:$E$130=$B13)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13" s="265" t="e">
        <f>IF(ISNA(MATCH(AJ$2,Inputs!$K$4:$AJ$4,0)),NA(),IF(SUMPRODUCT((Inputs!$A$5:$A$130=$B13)*ISNUMBER(INDEX(Inputs!$K$5:$AJ$130,0,MATCH(AJ$2,Inputs!$K$4:$AJ$4,0))))+SUMPRODUCT((Inputs!$C$5:$C$130=$B13)*ISNUMBER(INDEX(Inputs!$K$5:$AJ$130,0,MATCH(AJ$2,Inputs!$K$4:$AJ$4,0))))+SUMPRODUCT((Inputs!$E$5:$E$130=$B13)*ISNUMBER(INDEX(Inputs!$K$5:$AJ$130,0,MATCH(AJ$2,Inputs!$K$4:$AJ$4,0))))=0,NA(),SUMPRODUCT((Inputs!$A$5:$A$130=$B13)*Inputs!$B$5:$B$130*(((Inputs!$G$5:$G$130="moeda")+(Inputs!$G$5:$G$130="acoes"))*Inputs!$B$1+((Inputs!$G$5:$G$130&lt;&gt;"moeda")*(Inputs!$G$5:$G$130&lt;&gt;"acoes")))*INDEX(Inputs!$K$5:$AJ$130,0,MATCH(AJ$2,Inputs!$K$4:$AJ$4,0)))+SUMPRODUCT((Inputs!$C$5:$C$130=$B13)*Inputs!$D$5:$D$130*(((Inputs!$G$5:$G$130="moeda")+(Inputs!$G$5:$G$130="acoes"))*Inputs!$B$1+((Inputs!$G$5:$G$130&lt;&gt;"moeda")*(Inputs!$G$5:$G$130&lt;&gt;"acoes")))*INDEX(Inputs!$K$5:$AJ$130,0,MATCH(AJ$2,Inputs!$K$4:$AJ$4,0)))+SUMPRODUCT((Inputs!$E$5:$E$130=$B13)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13" s="265" t="e">
        <f>IF(ISNA(MATCH(AK$2,Inputs!$K$4:$AJ$4,0)),NA(),IF(SUMPRODUCT((Inputs!$A$5:$A$130=$B13)*ISNUMBER(INDEX(Inputs!$K$5:$AJ$130,0,MATCH(AK$2,Inputs!$K$4:$AJ$4,0))))+SUMPRODUCT((Inputs!$C$5:$C$130=$B13)*ISNUMBER(INDEX(Inputs!$K$5:$AJ$130,0,MATCH(AK$2,Inputs!$K$4:$AJ$4,0))))+SUMPRODUCT((Inputs!$E$5:$E$130=$B13)*ISNUMBER(INDEX(Inputs!$K$5:$AJ$130,0,MATCH(AK$2,Inputs!$K$4:$AJ$4,0))))=0,NA(),SUMPRODUCT((Inputs!$A$5:$A$130=$B13)*Inputs!$B$5:$B$130*(((Inputs!$G$5:$G$130="moeda")+(Inputs!$G$5:$G$130="acoes"))*Inputs!$B$1+((Inputs!$G$5:$G$130&lt;&gt;"moeda")*(Inputs!$G$5:$G$130&lt;&gt;"acoes")))*INDEX(Inputs!$K$5:$AJ$130,0,MATCH(AK$2,Inputs!$K$4:$AJ$4,0)))+SUMPRODUCT((Inputs!$C$5:$C$130=$B13)*Inputs!$D$5:$D$130*(((Inputs!$G$5:$G$130="moeda")+(Inputs!$G$5:$G$130="acoes"))*Inputs!$B$1+((Inputs!$G$5:$G$130&lt;&gt;"moeda")*(Inputs!$G$5:$G$130&lt;&gt;"acoes")))*INDEX(Inputs!$K$5:$AJ$130,0,MATCH(AK$2,Inputs!$K$4:$AJ$4,0)))+SUMPRODUCT((Inputs!$E$5:$E$130=$B13)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13" s="266" t="e">
        <f>SUM(AH13:AK13)</f>
        <v>#N/A</v>
      </c>
    </row>
    <row r="14" ht="12.75" customHeight="1" s="254">
      <c r="D14" s="266" t="n"/>
    </row>
    <row r="15" ht="12.75" customHeight="1" s="254">
      <c r="B15" s="263" t="n">
        <v>11</v>
      </c>
      <c r="C15" s="267" t="inlineStr">
        <is>
          <t>Cash and equivalents (inc. investment securities)</t>
        </is>
      </c>
      <c r="D15" s="265">
        <f>IF(ISNA(MATCH(D$2,Inputs!$K$4:$AJ$4,0)),NA(),IF(SUMPRODUCT((Inputs!$A$5:$A$130=$B15)*ISNUMBER(INDEX(Inputs!$K$5:$AJ$130,0,MATCH(D$2,Inputs!$K$4:$AJ$4,0))))+SUMPRODUCT((Inputs!$C$5:$C$130=$B15)*ISNUMBER(INDEX(Inputs!$K$5:$AJ$130,0,MATCH(D$2,Inputs!$K$4:$AJ$4,0))))+SUMPRODUCT((Inputs!$E$5:$E$130=$B15)*ISNUMBER(INDEX(Inputs!$K$5:$AJ$130,0,MATCH(D$2,Inputs!$K$4:$AJ$4,0))))=0,NA(),SUMPRODUCT((Inputs!$A$5:$A$130=$B15)*Inputs!$B$5:$B$130*(((Inputs!$G$5:$G$130="moeda")+(Inputs!$G$5:$G$130="acoes"))*Inputs!$B$1+((Inputs!$G$5:$G$130&lt;&gt;"moeda")*(Inputs!$G$5:$G$130&lt;&gt;"acoes")))*INDEX(Inputs!$K$5:$AJ$130,0,MATCH(D$2,Inputs!$K$4:$AJ$4,0)))+SUMPRODUCT((Inputs!$C$5:$C$130=$B15)*Inputs!$D$5:$D$130*(((Inputs!$G$5:$G$130="moeda")+(Inputs!$G$5:$G$130="acoes"))*Inputs!$B$1+((Inputs!$G$5:$G$130&lt;&gt;"moeda")*(Inputs!$G$5:$G$130&lt;&gt;"acoes")))*INDEX(Inputs!$K$5:$AJ$130,0,MATCH(D$2,Inputs!$K$4:$AJ$4,0)))+SUMPRODUCT((Inputs!$E$5:$E$130=$B15)*Inputs!$F$5:$F$130*(((Inputs!$G$5:$G$130="moeda")+(Inputs!$G$5:$G$130="acoes"))*Inputs!$B$1+((Inputs!$G$5:$G$130&lt;&gt;"moeda")*(Inputs!$G$5:$G$130&lt;&gt;"acoes")))*INDEX(Inputs!$K$5:$AJ$130,0,MATCH(D$2,Inputs!$K$4:$AJ$4,0)))))</f>
        <v>30985</v>
      </c>
      <c r="E15" s="265">
        <f>IF(ISNA(MATCH(E$2,Inputs!$K$4:$AJ$4,0)),NA(),IF(SUMPRODUCT((Inputs!$A$5:$A$130=$B15)*ISNUMBER(INDEX(Inputs!$K$5:$AJ$130,0,MATCH(E$2,Inputs!$K$4:$AJ$4,0))))+SUMPRODUCT((Inputs!$C$5:$C$130=$B15)*ISNUMBER(INDEX(Inputs!$K$5:$AJ$130,0,MATCH(E$2,Inputs!$K$4:$AJ$4,0))))+SUMPRODUCT((Inputs!$E$5:$E$130=$B15)*ISNUMBER(INDEX(Inputs!$K$5:$AJ$130,0,MATCH(E$2,Inputs!$K$4:$AJ$4,0))))=0,NA(),SUMPRODUCT((Inputs!$A$5:$A$130=$B15)*Inputs!$B$5:$B$130*(((Inputs!$G$5:$G$130="moeda")+(Inputs!$G$5:$G$130="acoes"))*Inputs!$B$1+((Inputs!$G$5:$G$130&lt;&gt;"moeda")*(Inputs!$G$5:$G$130&lt;&gt;"acoes")))*INDEX(Inputs!$K$5:$AJ$130,0,MATCH(E$2,Inputs!$K$4:$AJ$4,0)))+SUMPRODUCT((Inputs!$C$5:$C$130=$B15)*Inputs!$D$5:$D$130*(((Inputs!$G$5:$G$130="moeda")+(Inputs!$G$5:$G$130="acoes"))*Inputs!$B$1+((Inputs!$G$5:$G$130&lt;&gt;"moeda")*(Inputs!$G$5:$G$130&lt;&gt;"acoes")))*INDEX(Inputs!$K$5:$AJ$130,0,MATCH(E$2,Inputs!$K$4:$AJ$4,0)))+SUMPRODUCT((Inputs!$E$5:$E$130=$B15)*Inputs!$F$5:$F$130*(((Inputs!$G$5:$G$130="moeda")+(Inputs!$G$5:$G$130="acoes"))*Inputs!$B$1+((Inputs!$G$5:$G$130&lt;&gt;"moeda")*(Inputs!$G$5:$G$130&lt;&gt;"acoes")))*INDEX(Inputs!$K$5:$AJ$130,0,MATCH(E$2,Inputs!$K$4:$AJ$4,0)))))</f>
        <v>34104</v>
      </c>
      <c r="F15" s="265">
        <f>IF(ISNA(MATCH(F$2,Inputs!$K$4:$AJ$4,0)),NA(),IF(SUMPRODUCT((Inputs!$A$5:$A$130=$B15)*ISNUMBER(INDEX(Inputs!$K$5:$AJ$130,0,MATCH(F$2,Inputs!$K$4:$AJ$4,0))))+SUMPRODUCT((Inputs!$C$5:$C$130=$B15)*ISNUMBER(INDEX(Inputs!$K$5:$AJ$130,0,MATCH(F$2,Inputs!$K$4:$AJ$4,0))))+SUMPRODUCT((Inputs!$E$5:$E$130=$B15)*ISNUMBER(INDEX(Inputs!$K$5:$AJ$130,0,MATCH(F$2,Inputs!$K$4:$AJ$4,0))))=0,NA(),SUMPRODUCT((Inputs!$A$5:$A$130=$B15)*Inputs!$B$5:$B$130*(((Inputs!$G$5:$G$130="moeda")+(Inputs!$G$5:$G$130="acoes"))*Inputs!$B$1+((Inputs!$G$5:$G$130&lt;&gt;"moeda")*(Inputs!$G$5:$G$130&lt;&gt;"acoes")))*INDEX(Inputs!$K$5:$AJ$130,0,MATCH(F$2,Inputs!$K$4:$AJ$4,0)))+SUMPRODUCT((Inputs!$C$5:$C$130=$B15)*Inputs!$D$5:$D$130*(((Inputs!$G$5:$G$130="moeda")+(Inputs!$G$5:$G$130="acoes"))*Inputs!$B$1+((Inputs!$G$5:$G$130&lt;&gt;"moeda")*(Inputs!$G$5:$G$130&lt;&gt;"acoes")))*INDEX(Inputs!$K$5:$AJ$130,0,MATCH(F$2,Inputs!$K$4:$AJ$4,0)))+SUMPRODUCT((Inputs!$E$5:$E$130=$B15)*Inputs!$F$5:$F$130*(((Inputs!$G$5:$G$130="moeda")+(Inputs!$G$5:$G$130="acoes"))*Inputs!$B$1+((Inputs!$G$5:$G$130&lt;&gt;"moeda")*(Inputs!$G$5:$G$130&lt;&gt;"acoes")))*INDEX(Inputs!$K$5:$AJ$130,0,MATCH(F$2,Inputs!$K$4:$AJ$4,0)))))</f>
        <v>38073</v>
      </c>
      <c r="G15" s="265">
        <f>IF(ISNA(MATCH(G$2,Inputs!$K$4:$AJ$4,0)),NA(),IF(SUMPRODUCT((Inputs!$A$5:$A$130=$B15)*ISNUMBER(INDEX(Inputs!$K$5:$AJ$130,0,MATCH(G$2,Inputs!$K$4:$AJ$4,0))))+SUMPRODUCT((Inputs!$C$5:$C$130=$B15)*ISNUMBER(INDEX(Inputs!$K$5:$AJ$130,0,MATCH(G$2,Inputs!$K$4:$AJ$4,0))))+SUMPRODUCT((Inputs!$E$5:$E$130=$B15)*ISNUMBER(INDEX(Inputs!$K$5:$AJ$130,0,MATCH(G$2,Inputs!$K$4:$AJ$4,0))))=0,NA(),SUMPRODUCT((Inputs!$A$5:$A$130=$B15)*Inputs!$B$5:$B$130*(((Inputs!$G$5:$G$130="moeda")+(Inputs!$G$5:$G$130="acoes"))*Inputs!$B$1+((Inputs!$G$5:$G$130&lt;&gt;"moeda")*(Inputs!$G$5:$G$130&lt;&gt;"acoes")))*INDEX(Inputs!$K$5:$AJ$130,0,MATCH(G$2,Inputs!$K$4:$AJ$4,0)))+SUMPRODUCT((Inputs!$C$5:$C$130=$B15)*Inputs!$D$5:$D$130*(((Inputs!$G$5:$G$130="moeda")+(Inputs!$G$5:$G$130="acoes"))*Inputs!$B$1+((Inputs!$G$5:$G$130&lt;&gt;"moeda")*(Inputs!$G$5:$G$130&lt;&gt;"acoes")))*INDEX(Inputs!$K$5:$AJ$130,0,MATCH(G$2,Inputs!$K$4:$AJ$4,0)))+SUMPRODUCT((Inputs!$E$5:$E$130=$B15)*Inputs!$F$5:$F$130*(((Inputs!$G$5:$G$130="moeda")+(Inputs!$G$5:$G$130="acoes"))*Inputs!$B$1+((Inputs!$G$5:$G$130&lt;&gt;"moeda")*(Inputs!$G$5:$G$130&lt;&gt;"acoes")))*INDEX(Inputs!$K$5:$AJ$130,0,MATCH(G$2,Inputs!$K$4:$AJ$4,0)))))</f>
        <v>36970</v>
      </c>
      <c r="H15" s="266">
        <f>G15</f>
        <v>36970</v>
      </c>
      <c r="I15" s="265">
        <f>IF(ISNA(MATCH(I$2,Inputs!$K$4:$AJ$4,0)),NA(),IF(SUMPRODUCT((Inputs!$A$5:$A$130=$B15)*ISNUMBER(INDEX(Inputs!$K$5:$AJ$130,0,MATCH(I$2,Inputs!$K$4:$AJ$4,0))))+SUMPRODUCT((Inputs!$C$5:$C$130=$B15)*ISNUMBER(INDEX(Inputs!$K$5:$AJ$130,0,MATCH(I$2,Inputs!$K$4:$AJ$4,0))))+SUMPRODUCT((Inputs!$E$5:$E$130=$B15)*ISNUMBER(INDEX(Inputs!$K$5:$AJ$130,0,MATCH(I$2,Inputs!$K$4:$AJ$4,0))))=0,NA(),SUMPRODUCT((Inputs!$A$5:$A$130=$B15)*Inputs!$B$5:$B$130*(((Inputs!$G$5:$G$130="moeda")+(Inputs!$G$5:$G$130="acoes"))*Inputs!$B$1+((Inputs!$G$5:$G$130&lt;&gt;"moeda")*(Inputs!$G$5:$G$130&lt;&gt;"acoes")))*INDEX(Inputs!$K$5:$AJ$130,0,MATCH(I$2,Inputs!$K$4:$AJ$4,0)))+SUMPRODUCT((Inputs!$C$5:$C$130=$B15)*Inputs!$D$5:$D$130*(((Inputs!$G$5:$G$130="moeda")+(Inputs!$G$5:$G$130="acoes"))*Inputs!$B$1+((Inputs!$G$5:$G$130&lt;&gt;"moeda")*(Inputs!$G$5:$G$130&lt;&gt;"acoes")))*INDEX(Inputs!$K$5:$AJ$130,0,MATCH(I$2,Inputs!$K$4:$AJ$4,0)))+SUMPRODUCT((Inputs!$E$5:$E$130=$B15)*Inputs!$F$5:$F$130*(((Inputs!$G$5:$G$130="moeda")+(Inputs!$G$5:$G$130="acoes"))*Inputs!$B$1+((Inputs!$G$5:$G$130&lt;&gt;"moeda")*(Inputs!$G$5:$G$130&lt;&gt;"acoes")))*INDEX(Inputs!$K$5:$AJ$130,0,MATCH(I$2,Inputs!$K$4:$AJ$4,0)))))</f>
        <v>38360</v>
      </c>
      <c r="J15" s="265">
        <f>IF(ISNA(MATCH(J$2,Inputs!$K$4:$AJ$4,0)),NA(),IF(SUMPRODUCT((Inputs!$A$5:$A$130=$B15)*ISNUMBER(INDEX(Inputs!$K$5:$AJ$130,0,MATCH(J$2,Inputs!$K$4:$AJ$4,0))))+SUMPRODUCT((Inputs!$C$5:$C$130=$B15)*ISNUMBER(INDEX(Inputs!$K$5:$AJ$130,0,MATCH(J$2,Inputs!$K$4:$AJ$4,0))))+SUMPRODUCT((Inputs!$E$5:$E$130=$B15)*ISNUMBER(INDEX(Inputs!$K$5:$AJ$130,0,MATCH(J$2,Inputs!$K$4:$AJ$4,0))))=0,NA(),SUMPRODUCT((Inputs!$A$5:$A$130=$B15)*Inputs!$B$5:$B$130*(((Inputs!$G$5:$G$130="moeda")+(Inputs!$G$5:$G$130="acoes"))*Inputs!$B$1+((Inputs!$G$5:$G$130&lt;&gt;"moeda")*(Inputs!$G$5:$G$130&lt;&gt;"acoes")))*INDEX(Inputs!$K$5:$AJ$130,0,MATCH(J$2,Inputs!$K$4:$AJ$4,0)))+SUMPRODUCT((Inputs!$C$5:$C$130=$B15)*Inputs!$D$5:$D$130*(((Inputs!$G$5:$G$130="moeda")+(Inputs!$G$5:$G$130="acoes"))*Inputs!$B$1+((Inputs!$G$5:$G$130&lt;&gt;"moeda")*(Inputs!$G$5:$G$130&lt;&gt;"acoes")))*INDEX(Inputs!$K$5:$AJ$130,0,MATCH(J$2,Inputs!$K$4:$AJ$4,0)))+SUMPRODUCT((Inputs!$E$5:$E$130=$B15)*Inputs!$F$5:$F$130*(((Inputs!$G$5:$G$130="moeda")+(Inputs!$G$5:$G$130="acoes"))*Inputs!$B$1+((Inputs!$G$5:$G$130&lt;&gt;"moeda")*(Inputs!$G$5:$G$130&lt;&gt;"acoes")))*INDEX(Inputs!$K$5:$AJ$130,0,MATCH(J$2,Inputs!$K$4:$AJ$4,0)))))</f>
        <v>38970</v>
      </c>
      <c r="K15" s="265">
        <f>IF(ISNA(MATCH(K$2,Inputs!$K$4:$AJ$4,0)),NA(),IF(SUMPRODUCT((Inputs!$A$5:$A$130=$B15)*ISNUMBER(INDEX(Inputs!$K$5:$AJ$130,0,MATCH(K$2,Inputs!$K$4:$AJ$4,0))))+SUMPRODUCT((Inputs!$C$5:$C$130=$B15)*ISNUMBER(INDEX(Inputs!$K$5:$AJ$130,0,MATCH(K$2,Inputs!$K$4:$AJ$4,0))))+SUMPRODUCT((Inputs!$E$5:$E$130=$B15)*ISNUMBER(INDEX(Inputs!$K$5:$AJ$130,0,MATCH(K$2,Inputs!$K$4:$AJ$4,0))))=0,NA(),SUMPRODUCT((Inputs!$A$5:$A$130=$B15)*Inputs!$B$5:$B$130*(((Inputs!$G$5:$G$130="moeda")+(Inputs!$G$5:$G$130="acoes"))*Inputs!$B$1+((Inputs!$G$5:$G$130&lt;&gt;"moeda")*(Inputs!$G$5:$G$130&lt;&gt;"acoes")))*INDEX(Inputs!$K$5:$AJ$130,0,MATCH(K$2,Inputs!$K$4:$AJ$4,0)))+SUMPRODUCT((Inputs!$C$5:$C$130=$B15)*Inputs!$D$5:$D$130*(((Inputs!$G$5:$G$130="moeda")+(Inputs!$G$5:$G$130="acoes"))*Inputs!$B$1+((Inputs!$G$5:$G$130&lt;&gt;"moeda")*(Inputs!$G$5:$G$130&lt;&gt;"acoes")))*INDEX(Inputs!$K$5:$AJ$130,0,MATCH(K$2,Inputs!$K$4:$AJ$4,0)))+SUMPRODUCT((Inputs!$E$5:$E$130=$B15)*Inputs!$F$5:$F$130*(((Inputs!$G$5:$G$130="moeda")+(Inputs!$G$5:$G$130="acoes"))*Inputs!$B$1+((Inputs!$G$5:$G$130&lt;&gt;"moeda")*(Inputs!$G$5:$G$130&lt;&gt;"acoes")))*INDEX(Inputs!$K$5:$AJ$130,0,MATCH(K$2,Inputs!$K$4:$AJ$4,0)))))</f>
        <v>35978</v>
      </c>
      <c r="L15" s="265">
        <f>IF(ISNA(MATCH(L$2,Inputs!$K$4:$AJ$4,0)),NA(),IF(SUMPRODUCT((Inputs!$A$5:$A$130=$B15)*ISNUMBER(INDEX(Inputs!$K$5:$AJ$130,0,MATCH(L$2,Inputs!$K$4:$AJ$4,0))))+SUMPRODUCT((Inputs!$C$5:$C$130=$B15)*ISNUMBER(INDEX(Inputs!$K$5:$AJ$130,0,MATCH(L$2,Inputs!$K$4:$AJ$4,0))))+SUMPRODUCT((Inputs!$E$5:$E$130=$B15)*ISNUMBER(INDEX(Inputs!$K$5:$AJ$130,0,MATCH(L$2,Inputs!$K$4:$AJ$4,0))))=0,NA(),SUMPRODUCT((Inputs!$A$5:$A$130=$B15)*Inputs!$B$5:$B$130*(((Inputs!$G$5:$G$130="moeda")+(Inputs!$G$5:$G$130="acoes"))*Inputs!$B$1+((Inputs!$G$5:$G$130&lt;&gt;"moeda")*(Inputs!$G$5:$G$130&lt;&gt;"acoes")))*INDEX(Inputs!$K$5:$AJ$130,0,MATCH(L$2,Inputs!$K$4:$AJ$4,0)))+SUMPRODUCT((Inputs!$C$5:$C$130=$B15)*Inputs!$D$5:$D$130*(((Inputs!$G$5:$G$130="moeda")+(Inputs!$G$5:$G$130="acoes"))*Inputs!$B$1+((Inputs!$G$5:$G$130&lt;&gt;"moeda")*(Inputs!$G$5:$G$130&lt;&gt;"acoes")))*INDEX(Inputs!$K$5:$AJ$130,0,MATCH(L$2,Inputs!$K$4:$AJ$4,0)))+SUMPRODUCT((Inputs!$E$5:$E$130=$B15)*Inputs!$F$5:$F$130*(((Inputs!$G$5:$G$130="moeda")+(Inputs!$G$5:$G$130="acoes"))*Inputs!$B$1+((Inputs!$G$5:$G$130&lt;&gt;"moeda")*(Inputs!$G$5:$G$130&lt;&gt;"acoes")))*INDEX(Inputs!$K$5:$AJ$130,0,MATCH(L$2,Inputs!$K$4:$AJ$4,0)))))</f>
        <v>40246</v>
      </c>
      <c r="M15" s="266">
        <f>L15</f>
        <v>40246</v>
      </c>
      <c r="N15" s="265">
        <f>IF(ISNA(MATCH(N$2,Inputs!$K$4:$AJ$4,0)),NA(),IF(SUMPRODUCT((Inputs!$A$5:$A$130=$B15)*ISNUMBER(INDEX(Inputs!$K$5:$AJ$130,0,MATCH(N$2,Inputs!$K$4:$AJ$4,0))))+SUMPRODUCT((Inputs!$C$5:$C$130=$B15)*ISNUMBER(INDEX(Inputs!$K$5:$AJ$130,0,MATCH(N$2,Inputs!$K$4:$AJ$4,0))))+SUMPRODUCT((Inputs!$E$5:$E$130=$B15)*ISNUMBER(INDEX(Inputs!$K$5:$AJ$130,0,MATCH(N$2,Inputs!$K$4:$AJ$4,0))))=0,NA(),SUMPRODUCT((Inputs!$A$5:$A$130=$B15)*Inputs!$B$5:$B$130*(((Inputs!$G$5:$G$130="moeda")+(Inputs!$G$5:$G$130="acoes"))*Inputs!$B$1+((Inputs!$G$5:$G$130&lt;&gt;"moeda")*(Inputs!$G$5:$G$130&lt;&gt;"acoes")))*INDEX(Inputs!$K$5:$AJ$130,0,MATCH(N$2,Inputs!$K$4:$AJ$4,0)))+SUMPRODUCT((Inputs!$C$5:$C$130=$B15)*Inputs!$D$5:$D$130*(((Inputs!$G$5:$G$130="moeda")+(Inputs!$G$5:$G$130="acoes"))*Inputs!$B$1+((Inputs!$G$5:$G$130&lt;&gt;"moeda")*(Inputs!$G$5:$G$130&lt;&gt;"acoes")))*INDEX(Inputs!$K$5:$AJ$130,0,MATCH(N$2,Inputs!$K$4:$AJ$4,0)))+SUMPRODUCT((Inputs!$E$5:$E$130=$B15)*Inputs!$F$5:$F$130*(((Inputs!$G$5:$G$130="moeda")+(Inputs!$G$5:$G$130="acoes"))*Inputs!$B$1+((Inputs!$G$5:$G$130&lt;&gt;"moeda")*(Inputs!$G$5:$G$130&lt;&gt;"acoes")))*INDEX(Inputs!$K$5:$AJ$130,0,MATCH(N$2,Inputs!$K$4:$AJ$4,0)))))</f>
        <v>42074</v>
      </c>
      <c r="O15" s="265">
        <f>IF(ISNA(MATCH(O$2,Inputs!$K$4:$AJ$4,0)),NA(),IF(SUMPRODUCT((Inputs!$A$5:$A$130=$B15)*ISNUMBER(INDEX(Inputs!$K$5:$AJ$130,0,MATCH(O$2,Inputs!$K$4:$AJ$4,0))))+SUMPRODUCT((Inputs!$C$5:$C$130=$B15)*ISNUMBER(INDEX(Inputs!$K$5:$AJ$130,0,MATCH(O$2,Inputs!$K$4:$AJ$4,0))))+SUMPRODUCT((Inputs!$E$5:$E$130=$B15)*ISNUMBER(INDEX(Inputs!$K$5:$AJ$130,0,MATCH(O$2,Inputs!$K$4:$AJ$4,0))))=0,NA(),SUMPRODUCT((Inputs!$A$5:$A$130=$B15)*Inputs!$B$5:$B$130*(((Inputs!$G$5:$G$130="moeda")+(Inputs!$G$5:$G$130="acoes"))*Inputs!$B$1+((Inputs!$G$5:$G$130&lt;&gt;"moeda")*(Inputs!$G$5:$G$130&lt;&gt;"acoes")))*INDEX(Inputs!$K$5:$AJ$130,0,MATCH(O$2,Inputs!$K$4:$AJ$4,0)))+SUMPRODUCT((Inputs!$C$5:$C$130=$B15)*Inputs!$D$5:$D$130*(((Inputs!$G$5:$G$130="moeda")+(Inputs!$G$5:$G$130="acoes"))*Inputs!$B$1+((Inputs!$G$5:$G$130&lt;&gt;"moeda")*(Inputs!$G$5:$G$130&lt;&gt;"acoes")))*INDEX(Inputs!$K$5:$AJ$130,0,MATCH(O$2,Inputs!$K$4:$AJ$4,0)))+SUMPRODUCT((Inputs!$E$5:$E$130=$B15)*Inputs!$F$5:$F$130*(((Inputs!$G$5:$G$130="moeda")+(Inputs!$G$5:$G$130="acoes"))*Inputs!$B$1+((Inputs!$G$5:$G$130&lt;&gt;"moeda")*(Inputs!$G$5:$G$130&lt;&gt;"acoes")))*INDEX(Inputs!$K$5:$AJ$130,0,MATCH(O$2,Inputs!$K$4:$AJ$4,0)))))</f>
        <v>45094</v>
      </c>
      <c r="P15" s="265">
        <f>IF(ISNA(MATCH(P$2,Inputs!$K$4:$AJ$4,0)),NA(),IF(SUMPRODUCT((Inputs!$A$5:$A$130=$B15)*ISNUMBER(INDEX(Inputs!$K$5:$AJ$130,0,MATCH(P$2,Inputs!$K$4:$AJ$4,0))))+SUMPRODUCT((Inputs!$C$5:$C$130=$B15)*ISNUMBER(INDEX(Inputs!$K$5:$AJ$130,0,MATCH(P$2,Inputs!$K$4:$AJ$4,0))))+SUMPRODUCT((Inputs!$E$5:$E$130=$B15)*ISNUMBER(INDEX(Inputs!$K$5:$AJ$130,0,MATCH(P$2,Inputs!$K$4:$AJ$4,0))))=0,NA(),SUMPRODUCT((Inputs!$A$5:$A$130=$B15)*Inputs!$B$5:$B$130*(((Inputs!$G$5:$G$130="moeda")+(Inputs!$G$5:$G$130="acoes"))*Inputs!$B$1+((Inputs!$G$5:$G$130&lt;&gt;"moeda")*(Inputs!$G$5:$G$130&lt;&gt;"acoes")))*INDEX(Inputs!$K$5:$AJ$130,0,MATCH(P$2,Inputs!$K$4:$AJ$4,0)))+SUMPRODUCT((Inputs!$C$5:$C$130=$B15)*Inputs!$D$5:$D$130*(((Inputs!$G$5:$G$130="moeda")+(Inputs!$G$5:$G$130="acoes"))*Inputs!$B$1+((Inputs!$G$5:$G$130&lt;&gt;"moeda")*(Inputs!$G$5:$G$130&lt;&gt;"acoes")))*INDEX(Inputs!$K$5:$AJ$130,0,MATCH(P$2,Inputs!$K$4:$AJ$4,0)))+SUMPRODUCT((Inputs!$E$5:$E$130=$B15)*Inputs!$F$5:$F$130*(((Inputs!$G$5:$G$130="moeda")+(Inputs!$G$5:$G$130="acoes"))*Inputs!$B$1+((Inputs!$G$5:$G$130&lt;&gt;"moeda")*(Inputs!$G$5:$G$130&lt;&gt;"acoes")))*INDEX(Inputs!$K$5:$AJ$130,0,MATCH(P$2,Inputs!$K$4:$AJ$4,0)))))</f>
        <v>43031</v>
      </c>
      <c r="Q15" s="265">
        <f>IF(ISNA(MATCH(Q$2,Inputs!$K$4:$AJ$4,0)),NA(),IF(SUMPRODUCT((Inputs!$A$5:$A$130=$B15)*ISNUMBER(INDEX(Inputs!$K$5:$AJ$130,0,MATCH(Q$2,Inputs!$K$4:$AJ$4,0))))+SUMPRODUCT((Inputs!$C$5:$C$130=$B15)*ISNUMBER(INDEX(Inputs!$K$5:$AJ$130,0,MATCH(Q$2,Inputs!$K$4:$AJ$4,0))))+SUMPRODUCT((Inputs!$E$5:$E$130=$B15)*ISNUMBER(INDEX(Inputs!$K$5:$AJ$130,0,MATCH(Q$2,Inputs!$K$4:$AJ$4,0))))=0,NA(),SUMPRODUCT((Inputs!$A$5:$A$130=$B15)*Inputs!$B$5:$B$130*(((Inputs!$G$5:$G$130="moeda")+(Inputs!$G$5:$G$130="acoes"))*Inputs!$B$1+((Inputs!$G$5:$G$130&lt;&gt;"moeda")*(Inputs!$G$5:$G$130&lt;&gt;"acoes")))*INDEX(Inputs!$K$5:$AJ$130,0,MATCH(Q$2,Inputs!$K$4:$AJ$4,0)))+SUMPRODUCT((Inputs!$C$5:$C$130=$B15)*Inputs!$D$5:$D$130*(((Inputs!$G$5:$G$130="moeda")+(Inputs!$G$5:$G$130="acoes"))*Inputs!$B$1+((Inputs!$G$5:$G$130&lt;&gt;"moeda")*(Inputs!$G$5:$G$130&lt;&gt;"acoes")))*INDEX(Inputs!$K$5:$AJ$130,0,MATCH(Q$2,Inputs!$K$4:$AJ$4,0)))+SUMPRODUCT((Inputs!$E$5:$E$130=$B15)*Inputs!$F$5:$F$130*(((Inputs!$G$5:$G$130="moeda")+(Inputs!$G$5:$G$130="acoes"))*Inputs!$B$1+((Inputs!$G$5:$G$130&lt;&gt;"moeda")*(Inputs!$G$5:$G$130&lt;&gt;"acoes")))*INDEX(Inputs!$K$5:$AJ$130,0,MATCH(Q$2,Inputs!$K$4:$AJ$4,0)))))</f>
        <v>38774</v>
      </c>
      <c r="R15" s="266">
        <f>Q15</f>
        <v>38774</v>
      </c>
      <c r="S15" s="265">
        <f>IF(ISNA(MATCH(S$2,Inputs!$K$4:$AJ$4,0)),NA(),IF(SUMPRODUCT((Inputs!$A$5:$A$130=$B15)*ISNUMBER(INDEX(Inputs!$K$5:$AJ$130,0,MATCH(S$2,Inputs!$K$4:$AJ$4,0))))+SUMPRODUCT((Inputs!$C$5:$C$130=$B15)*ISNUMBER(INDEX(Inputs!$K$5:$AJ$130,0,MATCH(S$2,Inputs!$K$4:$AJ$4,0))))+SUMPRODUCT((Inputs!$E$5:$E$130=$B15)*ISNUMBER(INDEX(Inputs!$K$5:$AJ$130,0,MATCH(S$2,Inputs!$K$4:$AJ$4,0))))=0,NA(),SUMPRODUCT((Inputs!$A$5:$A$130=$B15)*Inputs!$B$5:$B$130*(((Inputs!$G$5:$G$130="moeda")+(Inputs!$G$5:$G$130="acoes"))*Inputs!$B$1+((Inputs!$G$5:$G$130&lt;&gt;"moeda")*(Inputs!$G$5:$G$130&lt;&gt;"acoes")))*INDEX(Inputs!$K$5:$AJ$130,0,MATCH(S$2,Inputs!$K$4:$AJ$4,0)))+SUMPRODUCT((Inputs!$C$5:$C$130=$B15)*Inputs!$D$5:$D$130*(((Inputs!$G$5:$G$130="moeda")+(Inputs!$G$5:$G$130="acoes"))*Inputs!$B$1+((Inputs!$G$5:$G$130&lt;&gt;"moeda")*(Inputs!$G$5:$G$130&lt;&gt;"acoes")))*INDEX(Inputs!$K$5:$AJ$130,0,MATCH(S$2,Inputs!$K$4:$AJ$4,0)))+SUMPRODUCT((Inputs!$E$5:$E$130=$B15)*Inputs!$F$5:$F$130*(((Inputs!$G$5:$G$130="moeda")+(Inputs!$G$5:$G$130="acoes"))*Inputs!$B$1+((Inputs!$G$5:$G$130&lt;&gt;"moeda")*(Inputs!$G$5:$G$130&lt;&gt;"acoes")))*INDEX(Inputs!$K$5:$AJ$130,0,MATCH(S$2,Inputs!$K$4:$AJ$4,0)))))</f>
        <v>39949</v>
      </c>
      <c r="T15" s="265">
        <f>IF(ISNA(MATCH(T$2,Inputs!$K$4:$AJ$4,0)),NA(),IF(SUMPRODUCT((Inputs!$A$5:$A$130=$B15)*ISNUMBER(INDEX(Inputs!$K$5:$AJ$130,0,MATCH(T$2,Inputs!$K$4:$AJ$4,0))))+SUMPRODUCT((Inputs!$C$5:$C$130=$B15)*ISNUMBER(INDEX(Inputs!$K$5:$AJ$130,0,MATCH(T$2,Inputs!$K$4:$AJ$4,0))))+SUMPRODUCT((Inputs!$E$5:$E$130=$B15)*ISNUMBER(INDEX(Inputs!$K$5:$AJ$130,0,MATCH(T$2,Inputs!$K$4:$AJ$4,0))))=0,NA(),SUMPRODUCT((Inputs!$A$5:$A$130=$B15)*Inputs!$B$5:$B$130*(((Inputs!$G$5:$G$130="moeda")+(Inputs!$G$5:$G$130="acoes"))*Inputs!$B$1+((Inputs!$G$5:$G$130&lt;&gt;"moeda")*(Inputs!$G$5:$G$130&lt;&gt;"acoes")))*INDEX(Inputs!$K$5:$AJ$130,0,MATCH(T$2,Inputs!$K$4:$AJ$4,0)))+SUMPRODUCT((Inputs!$C$5:$C$130=$B15)*Inputs!$D$5:$D$130*(((Inputs!$G$5:$G$130="moeda")+(Inputs!$G$5:$G$130="acoes"))*Inputs!$B$1+((Inputs!$G$5:$G$130&lt;&gt;"moeda")*(Inputs!$G$5:$G$130&lt;&gt;"acoes")))*INDEX(Inputs!$K$5:$AJ$130,0,MATCH(T$2,Inputs!$K$4:$AJ$4,0)))+SUMPRODUCT((Inputs!$E$5:$E$130=$B15)*Inputs!$F$5:$F$130*(((Inputs!$G$5:$G$130="moeda")+(Inputs!$G$5:$G$130="acoes"))*Inputs!$B$1+((Inputs!$G$5:$G$130&lt;&gt;"moeda")*(Inputs!$G$5:$G$130&lt;&gt;"acoes")))*INDEX(Inputs!$K$5:$AJ$130,0,MATCH(T$2,Inputs!$K$4:$AJ$4,0)))))</f>
        <v>38148</v>
      </c>
      <c r="U15" s="265">
        <f>IF(ISNA(MATCH(U$2,Inputs!$K$4:$AJ$4,0)),NA(),IF(SUMPRODUCT((Inputs!$A$5:$A$130=$B15)*ISNUMBER(INDEX(Inputs!$K$5:$AJ$130,0,MATCH(U$2,Inputs!$K$4:$AJ$4,0))))+SUMPRODUCT((Inputs!$C$5:$C$130=$B15)*ISNUMBER(INDEX(Inputs!$K$5:$AJ$130,0,MATCH(U$2,Inputs!$K$4:$AJ$4,0))))+SUMPRODUCT((Inputs!$E$5:$E$130=$B15)*ISNUMBER(INDEX(Inputs!$K$5:$AJ$130,0,MATCH(U$2,Inputs!$K$4:$AJ$4,0))))=0,NA(),SUMPRODUCT((Inputs!$A$5:$A$130=$B15)*Inputs!$B$5:$B$130*(((Inputs!$G$5:$G$130="moeda")+(Inputs!$G$5:$G$130="acoes"))*Inputs!$B$1+((Inputs!$G$5:$G$130&lt;&gt;"moeda")*(Inputs!$G$5:$G$130&lt;&gt;"acoes")))*INDEX(Inputs!$K$5:$AJ$130,0,MATCH(U$2,Inputs!$K$4:$AJ$4,0)))+SUMPRODUCT((Inputs!$C$5:$C$130=$B15)*Inputs!$D$5:$D$130*(((Inputs!$G$5:$G$130="moeda")+(Inputs!$G$5:$G$130="acoes"))*Inputs!$B$1+((Inputs!$G$5:$G$130&lt;&gt;"moeda")*(Inputs!$G$5:$G$130&lt;&gt;"acoes")))*INDEX(Inputs!$K$5:$AJ$130,0,MATCH(U$2,Inputs!$K$4:$AJ$4,0)))+SUMPRODUCT((Inputs!$E$5:$E$130=$B15)*Inputs!$F$5:$F$130*(((Inputs!$G$5:$G$130="moeda")+(Inputs!$G$5:$G$130="acoes"))*Inputs!$B$1+((Inputs!$G$5:$G$130&lt;&gt;"moeda")*(Inputs!$G$5:$G$130&lt;&gt;"acoes")))*INDEX(Inputs!$K$5:$AJ$130,0,MATCH(U$2,Inputs!$K$4:$AJ$4,0)))))</f>
        <v>42252</v>
      </c>
      <c r="V15" s="265">
        <f>IF(ISNA(MATCH(V$2,Inputs!$K$4:$AJ$4,0)),NA(),IF(SUMPRODUCT((Inputs!$A$5:$A$130=$B15)*ISNUMBER(INDEX(Inputs!$K$5:$AJ$130,0,MATCH(V$2,Inputs!$K$4:$AJ$4,0))))+SUMPRODUCT((Inputs!$C$5:$C$130=$B15)*ISNUMBER(INDEX(Inputs!$K$5:$AJ$130,0,MATCH(V$2,Inputs!$K$4:$AJ$4,0))))+SUMPRODUCT((Inputs!$E$5:$E$130=$B15)*ISNUMBER(INDEX(Inputs!$K$5:$AJ$130,0,MATCH(V$2,Inputs!$K$4:$AJ$4,0))))=0,NA(),SUMPRODUCT((Inputs!$A$5:$A$130=$B15)*Inputs!$B$5:$B$130*(((Inputs!$G$5:$G$130="moeda")+(Inputs!$G$5:$G$130="acoes"))*Inputs!$B$1+((Inputs!$G$5:$G$130&lt;&gt;"moeda")*(Inputs!$G$5:$G$130&lt;&gt;"acoes")))*INDEX(Inputs!$K$5:$AJ$130,0,MATCH(V$2,Inputs!$K$4:$AJ$4,0)))+SUMPRODUCT((Inputs!$C$5:$C$130=$B15)*Inputs!$D$5:$D$130*(((Inputs!$G$5:$G$130="moeda")+(Inputs!$G$5:$G$130="acoes"))*Inputs!$B$1+((Inputs!$G$5:$G$130&lt;&gt;"moeda")*(Inputs!$G$5:$G$130&lt;&gt;"acoes")))*INDEX(Inputs!$K$5:$AJ$130,0,MATCH(V$2,Inputs!$K$4:$AJ$4,0)))+SUMPRODUCT((Inputs!$E$5:$E$130=$B15)*Inputs!$F$5:$F$130*(((Inputs!$G$5:$G$130="moeda")+(Inputs!$G$5:$G$130="acoes"))*Inputs!$B$1+((Inputs!$G$5:$G$130&lt;&gt;"moeda")*(Inputs!$G$5:$G$130&lt;&gt;"acoes")))*INDEX(Inputs!$K$5:$AJ$130,0,MATCH(V$2,Inputs!$K$4:$AJ$4,0)))))</f>
        <v>39110</v>
      </c>
      <c r="W15" s="266">
        <f>V15</f>
        <v>39110</v>
      </c>
      <c r="X15" s="265">
        <f>IF(ISNA(MATCH(X$2,Inputs!$K$4:$AJ$4,0)),NA(),IF(SUMPRODUCT((Inputs!$A$5:$A$130=$B15)*ISNUMBER(INDEX(Inputs!$K$5:$AJ$130,0,MATCH(X$2,Inputs!$K$4:$AJ$4,0))))+SUMPRODUCT((Inputs!$C$5:$C$130=$B15)*ISNUMBER(INDEX(Inputs!$K$5:$AJ$130,0,MATCH(X$2,Inputs!$K$4:$AJ$4,0))))+SUMPRODUCT((Inputs!$E$5:$E$130=$B15)*ISNUMBER(INDEX(Inputs!$K$5:$AJ$130,0,MATCH(X$2,Inputs!$K$4:$AJ$4,0))))=0,NA(),SUMPRODUCT((Inputs!$A$5:$A$130=$B15)*Inputs!$B$5:$B$130*(((Inputs!$G$5:$G$130="moeda")+(Inputs!$G$5:$G$130="acoes"))*Inputs!$B$1+((Inputs!$G$5:$G$130&lt;&gt;"moeda")*(Inputs!$G$5:$G$130&lt;&gt;"acoes")))*INDEX(Inputs!$K$5:$AJ$130,0,MATCH(X$2,Inputs!$K$4:$AJ$4,0)))+SUMPRODUCT((Inputs!$C$5:$C$130=$B15)*Inputs!$D$5:$D$130*(((Inputs!$G$5:$G$130="moeda")+(Inputs!$G$5:$G$130="acoes"))*Inputs!$B$1+((Inputs!$G$5:$G$130&lt;&gt;"moeda")*(Inputs!$G$5:$G$130&lt;&gt;"acoes")))*INDEX(Inputs!$K$5:$AJ$130,0,MATCH(X$2,Inputs!$K$4:$AJ$4,0)))+SUMPRODUCT((Inputs!$E$5:$E$130=$B15)*Inputs!$F$5:$F$130*(((Inputs!$G$5:$G$130="moeda")+(Inputs!$G$5:$G$130="acoes"))*Inputs!$B$1+((Inputs!$G$5:$G$130&lt;&gt;"moeda")*(Inputs!$G$5:$G$130&lt;&gt;"acoes")))*INDEX(Inputs!$K$5:$AJ$130,0,MATCH(X$2,Inputs!$K$4:$AJ$4,0)))))</f>
        <v>35601</v>
      </c>
      <c r="Y15" s="265">
        <f>IF(ISNA(MATCH(Y$2,Inputs!$K$4:$AJ$4,0)),NA(),IF(SUMPRODUCT((Inputs!$A$5:$A$130=$B15)*ISNUMBER(INDEX(Inputs!$K$5:$AJ$130,0,MATCH(Y$2,Inputs!$K$4:$AJ$4,0))))+SUMPRODUCT((Inputs!$C$5:$C$130=$B15)*ISNUMBER(INDEX(Inputs!$K$5:$AJ$130,0,MATCH(Y$2,Inputs!$K$4:$AJ$4,0))))+SUMPRODUCT((Inputs!$E$5:$E$130=$B15)*ISNUMBER(INDEX(Inputs!$K$5:$AJ$130,0,MATCH(Y$2,Inputs!$K$4:$AJ$4,0))))=0,NA(),SUMPRODUCT((Inputs!$A$5:$A$130=$B15)*Inputs!$B$5:$B$130*(((Inputs!$G$5:$G$130="moeda")+(Inputs!$G$5:$G$130="acoes"))*Inputs!$B$1+((Inputs!$G$5:$G$130&lt;&gt;"moeda")*(Inputs!$G$5:$G$130&lt;&gt;"acoes")))*INDEX(Inputs!$K$5:$AJ$130,0,MATCH(Y$2,Inputs!$K$4:$AJ$4,0)))+SUMPRODUCT((Inputs!$C$5:$C$130=$B15)*Inputs!$D$5:$D$130*(((Inputs!$G$5:$G$130="moeda")+(Inputs!$G$5:$G$130="acoes"))*Inputs!$B$1+((Inputs!$G$5:$G$130&lt;&gt;"moeda")*(Inputs!$G$5:$G$130&lt;&gt;"acoes")))*INDEX(Inputs!$K$5:$AJ$130,0,MATCH(Y$2,Inputs!$K$4:$AJ$4,0)))+SUMPRODUCT((Inputs!$E$5:$E$130=$B15)*Inputs!$F$5:$F$130*(((Inputs!$G$5:$G$130="moeda")+(Inputs!$G$5:$G$130="acoes"))*Inputs!$B$1+((Inputs!$G$5:$G$130&lt;&gt;"moeda")*(Inputs!$G$5:$G$130&lt;&gt;"acoes")))*INDEX(Inputs!$K$5:$AJ$130,0,MATCH(Y$2,Inputs!$K$4:$AJ$4,0)))))</f>
        <v>32682</v>
      </c>
      <c r="Z15" s="265">
        <f>IF(ISNA(MATCH(Z$2,Inputs!$K$4:$AJ$4,0)),NA(),IF(SUMPRODUCT((Inputs!$A$5:$A$130=$B15)*ISNUMBER(INDEX(Inputs!$K$5:$AJ$130,0,MATCH(Z$2,Inputs!$K$4:$AJ$4,0))))+SUMPRODUCT((Inputs!$C$5:$C$130=$B15)*ISNUMBER(INDEX(Inputs!$K$5:$AJ$130,0,MATCH(Z$2,Inputs!$K$4:$AJ$4,0))))+SUMPRODUCT((Inputs!$E$5:$E$130=$B15)*ISNUMBER(INDEX(Inputs!$K$5:$AJ$130,0,MATCH(Z$2,Inputs!$K$4:$AJ$4,0))))=0,NA(),SUMPRODUCT((Inputs!$A$5:$A$130=$B15)*Inputs!$B$5:$B$130*(((Inputs!$G$5:$G$130="moeda")+(Inputs!$G$5:$G$130="acoes"))*Inputs!$B$1+((Inputs!$G$5:$G$130&lt;&gt;"moeda")*(Inputs!$G$5:$G$130&lt;&gt;"acoes")))*INDEX(Inputs!$K$5:$AJ$130,0,MATCH(Z$2,Inputs!$K$4:$AJ$4,0)))+SUMPRODUCT((Inputs!$C$5:$C$130=$B15)*Inputs!$D$5:$D$130*(((Inputs!$G$5:$G$130="moeda")+(Inputs!$G$5:$G$130="acoes"))*Inputs!$B$1+((Inputs!$G$5:$G$130&lt;&gt;"moeda")*(Inputs!$G$5:$G$130&lt;&gt;"acoes")))*INDEX(Inputs!$K$5:$AJ$130,0,MATCH(Z$2,Inputs!$K$4:$AJ$4,0)))+SUMPRODUCT((Inputs!$E$5:$E$130=$B15)*Inputs!$F$5:$F$130*(((Inputs!$G$5:$G$130="moeda")+(Inputs!$G$5:$G$130="acoes"))*Inputs!$B$1+((Inputs!$G$5:$G$130&lt;&gt;"moeda")*(Inputs!$G$5:$G$130&lt;&gt;"acoes")))*INDEX(Inputs!$K$5:$AJ$130,0,MATCH(Z$2,Inputs!$K$4:$AJ$4,0)))))</f>
        <v>33053</v>
      </c>
      <c r="AA15" s="265">
        <f>IF(ISNA(MATCH(AA$2,Inputs!$K$4:$AJ$4,0)),NA(),IF(SUMPRODUCT((Inputs!$A$5:$A$130=$B15)*ISNUMBER(INDEX(Inputs!$K$5:$AJ$130,0,MATCH(AA$2,Inputs!$K$4:$AJ$4,0))))+SUMPRODUCT((Inputs!$C$5:$C$130=$B15)*ISNUMBER(INDEX(Inputs!$K$5:$AJ$130,0,MATCH(AA$2,Inputs!$K$4:$AJ$4,0))))+SUMPRODUCT((Inputs!$E$5:$E$130=$B15)*ISNUMBER(INDEX(Inputs!$K$5:$AJ$130,0,MATCH(AA$2,Inputs!$K$4:$AJ$4,0))))=0,NA(),SUMPRODUCT((Inputs!$A$5:$A$130=$B15)*Inputs!$B$5:$B$130*(((Inputs!$G$5:$G$130="moeda")+(Inputs!$G$5:$G$130="acoes"))*Inputs!$B$1+((Inputs!$G$5:$G$130&lt;&gt;"moeda")*(Inputs!$G$5:$G$130&lt;&gt;"acoes")))*INDEX(Inputs!$K$5:$AJ$130,0,MATCH(AA$2,Inputs!$K$4:$AJ$4,0)))+SUMPRODUCT((Inputs!$C$5:$C$130=$B15)*Inputs!$D$5:$D$130*(((Inputs!$G$5:$G$130="moeda")+(Inputs!$G$5:$G$130="acoes"))*Inputs!$B$1+((Inputs!$G$5:$G$130&lt;&gt;"moeda")*(Inputs!$G$5:$G$130&lt;&gt;"acoes")))*INDEX(Inputs!$K$5:$AJ$130,0,MATCH(AA$2,Inputs!$K$4:$AJ$4,0)))+SUMPRODUCT((Inputs!$E$5:$E$130=$B15)*Inputs!$F$5:$F$130*(((Inputs!$G$5:$G$130="moeda")+(Inputs!$G$5:$G$130="acoes"))*Inputs!$B$1+((Inputs!$G$5:$G$130&lt;&gt;"moeda")*(Inputs!$G$5:$G$130&lt;&gt;"acoes")))*INDEX(Inputs!$K$5:$AJ$130,0,MATCH(AA$2,Inputs!$K$4:$AJ$4,0)))))</f>
        <v>30216</v>
      </c>
      <c r="AB15" s="266">
        <f>AA15</f>
        <v>30216</v>
      </c>
      <c r="AC15" s="265">
        <f>IF(ISNA(MATCH(AC$2,Inputs!$K$4:$AJ$4,0)),NA(),IF(SUMPRODUCT((Inputs!$A$5:$A$130=$B15)*ISNUMBER(INDEX(Inputs!$K$5:$AJ$130,0,MATCH(AC$2,Inputs!$K$4:$AJ$4,0))))+SUMPRODUCT((Inputs!$C$5:$C$130=$B15)*ISNUMBER(INDEX(Inputs!$K$5:$AJ$130,0,MATCH(AC$2,Inputs!$K$4:$AJ$4,0))))+SUMPRODUCT((Inputs!$E$5:$E$130=$B15)*ISNUMBER(INDEX(Inputs!$K$5:$AJ$130,0,MATCH(AC$2,Inputs!$K$4:$AJ$4,0))))=0,NA(),SUMPRODUCT((Inputs!$A$5:$A$130=$B15)*Inputs!$B$5:$B$130*(((Inputs!$G$5:$G$130="moeda")+(Inputs!$G$5:$G$130="acoes"))*Inputs!$B$1+((Inputs!$G$5:$G$130&lt;&gt;"moeda")*(Inputs!$G$5:$G$130&lt;&gt;"acoes")))*INDEX(Inputs!$K$5:$AJ$130,0,MATCH(AC$2,Inputs!$K$4:$AJ$4,0)))+SUMPRODUCT((Inputs!$C$5:$C$130=$B15)*Inputs!$D$5:$D$130*(((Inputs!$G$5:$G$130="moeda")+(Inputs!$G$5:$G$130="acoes"))*Inputs!$B$1+((Inputs!$G$5:$G$130&lt;&gt;"moeda")*(Inputs!$G$5:$G$130&lt;&gt;"acoes")))*INDEX(Inputs!$K$5:$AJ$130,0,MATCH(AC$2,Inputs!$K$4:$AJ$4,0)))+SUMPRODUCT((Inputs!$E$5:$E$130=$B15)*Inputs!$F$5:$F$130*(((Inputs!$G$5:$G$130="moeda")+(Inputs!$G$5:$G$130="acoes"))*Inputs!$B$1+((Inputs!$G$5:$G$130&lt;&gt;"moeda")*(Inputs!$G$5:$G$130&lt;&gt;"acoes")))*INDEX(Inputs!$K$5:$AJ$130,0,MATCH(AC$2,Inputs!$K$4:$AJ$4,0)))))</f>
        <v>23117</v>
      </c>
      <c r="AD15" s="265">
        <f>IF(ISNA(MATCH(AD$2,Inputs!$K$4:$AJ$4,0)),NA(),IF(SUMPRODUCT((Inputs!$A$5:$A$130=$B15)*ISNUMBER(INDEX(Inputs!$K$5:$AJ$130,0,MATCH(AD$2,Inputs!$K$4:$AJ$4,0))))+SUMPRODUCT((Inputs!$C$5:$C$130=$B15)*ISNUMBER(INDEX(Inputs!$K$5:$AJ$130,0,MATCH(AD$2,Inputs!$K$4:$AJ$4,0))))+SUMPRODUCT((Inputs!$E$5:$E$130=$B15)*ISNUMBER(INDEX(Inputs!$K$5:$AJ$130,0,MATCH(AD$2,Inputs!$K$4:$AJ$4,0))))=0,NA(),SUMPRODUCT((Inputs!$A$5:$A$130=$B15)*Inputs!$B$5:$B$130*(((Inputs!$G$5:$G$130="moeda")+(Inputs!$G$5:$G$130="acoes"))*Inputs!$B$1+((Inputs!$G$5:$G$130&lt;&gt;"moeda")*(Inputs!$G$5:$G$130&lt;&gt;"acoes")))*INDEX(Inputs!$K$5:$AJ$130,0,MATCH(AD$2,Inputs!$K$4:$AJ$4,0)))+SUMPRODUCT((Inputs!$C$5:$C$130=$B15)*Inputs!$D$5:$D$130*(((Inputs!$G$5:$G$130="moeda")+(Inputs!$G$5:$G$130="acoes"))*Inputs!$B$1+((Inputs!$G$5:$G$130&lt;&gt;"moeda")*(Inputs!$G$5:$G$130&lt;&gt;"acoes")))*INDEX(Inputs!$K$5:$AJ$130,0,MATCH(AD$2,Inputs!$K$4:$AJ$4,0)))+SUMPRODUCT((Inputs!$E$5:$E$130=$B15)*Inputs!$F$5:$F$130*(((Inputs!$G$5:$G$130="moeda")+(Inputs!$G$5:$G$130="acoes"))*Inputs!$B$1+((Inputs!$G$5:$G$130&lt;&gt;"moeda")*(Inputs!$G$5:$G$130&lt;&gt;"acoes")))*INDEX(Inputs!$K$5:$AJ$130,0,MATCH(AD$2,Inputs!$K$4:$AJ$4,0)))))</f>
        <v>31374</v>
      </c>
      <c r="AE15" s="265" t="e">
        <f>IF(ISNA(MATCH(AE$2,Inputs!$K$4:$AJ$4,0)),NA(),IF(SUMPRODUCT((Inputs!$A$5:$A$130=$B15)*ISNUMBER(INDEX(Inputs!$K$5:$AJ$130,0,MATCH(AE$2,Inputs!$K$4:$AJ$4,0))))+SUMPRODUCT((Inputs!$C$5:$C$130=$B15)*ISNUMBER(INDEX(Inputs!$K$5:$AJ$130,0,MATCH(AE$2,Inputs!$K$4:$AJ$4,0))))+SUMPRODUCT((Inputs!$E$5:$E$130=$B15)*ISNUMBER(INDEX(Inputs!$K$5:$AJ$130,0,MATCH(AE$2,Inputs!$K$4:$AJ$4,0))))=0,NA(),SUMPRODUCT((Inputs!$A$5:$A$130=$B15)*Inputs!$B$5:$B$130*(((Inputs!$G$5:$G$130="moeda")+(Inputs!$G$5:$G$130="acoes"))*Inputs!$B$1+((Inputs!$G$5:$G$130&lt;&gt;"moeda")*(Inputs!$G$5:$G$130&lt;&gt;"acoes")))*INDEX(Inputs!$K$5:$AJ$130,0,MATCH(AE$2,Inputs!$K$4:$AJ$4,0)))+SUMPRODUCT((Inputs!$C$5:$C$130=$B15)*Inputs!$D$5:$D$130*(((Inputs!$G$5:$G$130="moeda")+(Inputs!$G$5:$G$130="acoes"))*Inputs!$B$1+((Inputs!$G$5:$G$130&lt;&gt;"moeda")*(Inputs!$G$5:$G$130&lt;&gt;"acoes")))*INDEX(Inputs!$K$5:$AJ$130,0,MATCH(AE$2,Inputs!$K$4:$AJ$4,0)))+SUMPRODUCT((Inputs!$E$5:$E$130=$B15)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5" s="265" t="e">
        <f>IF(ISNA(MATCH(AF$2,Inputs!$K$4:$AJ$4,0)),NA(),IF(SUMPRODUCT((Inputs!$A$5:$A$130=$B15)*ISNUMBER(INDEX(Inputs!$K$5:$AJ$130,0,MATCH(AF$2,Inputs!$K$4:$AJ$4,0))))+SUMPRODUCT((Inputs!$C$5:$C$130=$B15)*ISNUMBER(INDEX(Inputs!$K$5:$AJ$130,0,MATCH(AF$2,Inputs!$K$4:$AJ$4,0))))+SUMPRODUCT((Inputs!$E$5:$E$130=$B15)*ISNUMBER(INDEX(Inputs!$K$5:$AJ$130,0,MATCH(AF$2,Inputs!$K$4:$AJ$4,0))))=0,NA(),SUMPRODUCT((Inputs!$A$5:$A$130=$B15)*Inputs!$B$5:$B$130*(((Inputs!$G$5:$G$130="moeda")+(Inputs!$G$5:$G$130="acoes"))*Inputs!$B$1+((Inputs!$G$5:$G$130&lt;&gt;"moeda")*(Inputs!$G$5:$G$130&lt;&gt;"acoes")))*INDEX(Inputs!$K$5:$AJ$130,0,MATCH(AF$2,Inputs!$K$4:$AJ$4,0)))+SUMPRODUCT((Inputs!$C$5:$C$130=$B15)*Inputs!$D$5:$D$130*(((Inputs!$G$5:$G$130="moeda")+(Inputs!$G$5:$G$130="acoes"))*Inputs!$B$1+((Inputs!$G$5:$G$130&lt;&gt;"moeda")*(Inputs!$G$5:$G$130&lt;&gt;"acoes")))*INDEX(Inputs!$K$5:$AJ$130,0,MATCH(AF$2,Inputs!$K$4:$AJ$4,0)))+SUMPRODUCT((Inputs!$E$5:$E$130=$B15)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5" s="266" t="e">
        <f>AF15</f>
        <v>#N/A</v>
      </c>
      <c r="AH15" s="265" t="e">
        <f>IF(ISNA(MATCH(AH$2,Inputs!$K$4:$AJ$4,0)),NA(),IF(SUMPRODUCT((Inputs!$A$5:$A$130=$B15)*ISNUMBER(INDEX(Inputs!$K$5:$AJ$130,0,MATCH(AH$2,Inputs!$K$4:$AJ$4,0))))+SUMPRODUCT((Inputs!$C$5:$C$130=$B15)*ISNUMBER(INDEX(Inputs!$K$5:$AJ$130,0,MATCH(AH$2,Inputs!$K$4:$AJ$4,0))))+SUMPRODUCT((Inputs!$E$5:$E$130=$B15)*ISNUMBER(INDEX(Inputs!$K$5:$AJ$130,0,MATCH(AH$2,Inputs!$K$4:$AJ$4,0))))=0,NA(),SUMPRODUCT((Inputs!$A$5:$A$130=$B15)*Inputs!$B$5:$B$130*(((Inputs!$G$5:$G$130="moeda")+(Inputs!$G$5:$G$130="acoes"))*Inputs!$B$1+((Inputs!$G$5:$G$130&lt;&gt;"moeda")*(Inputs!$G$5:$G$130&lt;&gt;"acoes")))*INDEX(Inputs!$K$5:$AJ$130,0,MATCH(AH$2,Inputs!$K$4:$AJ$4,0)))+SUMPRODUCT((Inputs!$C$5:$C$130=$B15)*Inputs!$D$5:$D$130*(((Inputs!$G$5:$G$130="moeda")+(Inputs!$G$5:$G$130="acoes"))*Inputs!$B$1+((Inputs!$G$5:$G$130&lt;&gt;"moeda")*(Inputs!$G$5:$G$130&lt;&gt;"acoes")))*INDEX(Inputs!$K$5:$AJ$130,0,MATCH(AH$2,Inputs!$K$4:$AJ$4,0)))+SUMPRODUCT((Inputs!$E$5:$E$130=$B15)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15" s="265" t="e">
        <f>IF(ISNA(MATCH(AI$2,Inputs!$K$4:$AJ$4,0)),NA(),IF(SUMPRODUCT((Inputs!$A$5:$A$130=$B15)*ISNUMBER(INDEX(Inputs!$K$5:$AJ$130,0,MATCH(AI$2,Inputs!$K$4:$AJ$4,0))))+SUMPRODUCT((Inputs!$C$5:$C$130=$B15)*ISNUMBER(INDEX(Inputs!$K$5:$AJ$130,0,MATCH(AI$2,Inputs!$K$4:$AJ$4,0))))+SUMPRODUCT((Inputs!$E$5:$E$130=$B15)*ISNUMBER(INDEX(Inputs!$K$5:$AJ$130,0,MATCH(AI$2,Inputs!$K$4:$AJ$4,0))))=0,NA(),SUMPRODUCT((Inputs!$A$5:$A$130=$B15)*Inputs!$B$5:$B$130*(((Inputs!$G$5:$G$130="moeda")+(Inputs!$G$5:$G$130="acoes"))*Inputs!$B$1+((Inputs!$G$5:$G$130&lt;&gt;"moeda")*(Inputs!$G$5:$G$130&lt;&gt;"acoes")))*INDEX(Inputs!$K$5:$AJ$130,0,MATCH(AI$2,Inputs!$K$4:$AJ$4,0)))+SUMPRODUCT((Inputs!$C$5:$C$130=$B15)*Inputs!$D$5:$D$130*(((Inputs!$G$5:$G$130="moeda")+(Inputs!$G$5:$G$130="acoes"))*Inputs!$B$1+((Inputs!$G$5:$G$130&lt;&gt;"moeda")*(Inputs!$G$5:$G$130&lt;&gt;"acoes")))*INDEX(Inputs!$K$5:$AJ$130,0,MATCH(AI$2,Inputs!$K$4:$AJ$4,0)))+SUMPRODUCT((Inputs!$E$5:$E$130=$B15)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15" s="265" t="e">
        <f>IF(ISNA(MATCH(AJ$2,Inputs!$K$4:$AJ$4,0)),NA(),IF(SUMPRODUCT((Inputs!$A$5:$A$130=$B15)*ISNUMBER(INDEX(Inputs!$K$5:$AJ$130,0,MATCH(AJ$2,Inputs!$K$4:$AJ$4,0))))+SUMPRODUCT((Inputs!$C$5:$C$130=$B15)*ISNUMBER(INDEX(Inputs!$K$5:$AJ$130,0,MATCH(AJ$2,Inputs!$K$4:$AJ$4,0))))+SUMPRODUCT((Inputs!$E$5:$E$130=$B15)*ISNUMBER(INDEX(Inputs!$K$5:$AJ$130,0,MATCH(AJ$2,Inputs!$K$4:$AJ$4,0))))=0,NA(),SUMPRODUCT((Inputs!$A$5:$A$130=$B15)*Inputs!$B$5:$B$130*(((Inputs!$G$5:$G$130="moeda")+(Inputs!$G$5:$G$130="acoes"))*Inputs!$B$1+((Inputs!$G$5:$G$130&lt;&gt;"moeda")*(Inputs!$G$5:$G$130&lt;&gt;"acoes")))*INDEX(Inputs!$K$5:$AJ$130,0,MATCH(AJ$2,Inputs!$K$4:$AJ$4,0)))+SUMPRODUCT((Inputs!$C$5:$C$130=$B15)*Inputs!$D$5:$D$130*(((Inputs!$G$5:$G$130="moeda")+(Inputs!$G$5:$G$130="acoes"))*Inputs!$B$1+((Inputs!$G$5:$G$130&lt;&gt;"moeda")*(Inputs!$G$5:$G$130&lt;&gt;"acoes")))*INDEX(Inputs!$K$5:$AJ$130,0,MATCH(AJ$2,Inputs!$K$4:$AJ$4,0)))+SUMPRODUCT((Inputs!$E$5:$E$130=$B15)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15" s="265" t="e">
        <f>IF(ISNA(MATCH(AK$2,Inputs!$K$4:$AJ$4,0)),NA(),IF(SUMPRODUCT((Inputs!$A$5:$A$130=$B15)*ISNUMBER(INDEX(Inputs!$K$5:$AJ$130,0,MATCH(AK$2,Inputs!$K$4:$AJ$4,0))))+SUMPRODUCT((Inputs!$C$5:$C$130=$B15)*ISNUMBER(INDEX(Inputs!$K$5:$AJ$130,0,MATCH(AK$2,Inputs!$K$4:$AJ$4,0))))+SUMPRODUCT((Inputs!$E$5:$E$130=$B15)*ISNUMBER(INDEX(Inputs!$K$5:$AJ$130,0,MATCH(AK$2,Inputs!$K$4:$AJ$4,0))))=0,NA(),SUMPRODUCT((Inputs!$A$5:$A$130=$B15)*Inputs!$B$5:$B$130*(((Inputs!$G$5:$G$130="moeda")+(Inputs!$G$5:$G$130="acoes"))*Inputs!$B$1+((Inputs!$G$5:$G$130&lt;&gt;"moeda")*(Inputs!$G$5:$G$130&lt;&gt;"acoes")))*INDEX(Inputs!$K$5:$AJ$130,0,MATCH(AK$2,Inputs!$K$4:$AJ$4,0)))+SUMPRODUCT((Inputs!$C$5:$C$130=$B15)*Inputs!$D$5:$D$130*(((Inputs!$G$5:$G$130="moeda")+(Inputs!$G$5:$G$130="acoes"))*Inputs!$B$1+((Inputs!$G$5:$G$130&lt;&gt;"moeda")*(Inputs!$G$5:$G$130&lt;&gt;"acoes")))*INDEX(Inputs!$K$5:$AJ$130,0,MATCH(AK$2,Inputs!$K$4:$AJ$4,0)))+SUMPRODUCT((Inputs!$E$5:$E$130=$B15)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15" s="266" t="e">
        <f>AK15</f>
        <v>#N/A</v>
      </c>
    </row>
    <row r="16" ht="12.75" customHeight="1" s="254">
      <c r="B16" s="263" t="n">
        <v>12</v>
      </c>
      <c r="C16" s="268" t="inlineStr">
        <is>
          <t>Accounts receivable</t>
        </is>
      </c>
      <c r="D16" s="265">
        <f>IF(ISNA(MATCH(D$2,Inputs!$K$4:$AJ$4,0)),NA(),IF(SUMPRODUCT((Inputs!$A$5:$A$130=$B16)*ISNUMBER(INDEX(Inputs!$K$5:$AJ$130,0,MATCH(D$2,Inputs!$K$4:$AJ$4,0))))+SUMPRODUCT((Inputs!$C$5:$C$130=$B16)*ISNUMBER(INDEX(Inputs!$K$5:$AJ$130,0,MATCH(D$2,Inputs!$K$4:$AJ$4,0))))+SUMPRODUCT((Inputs!$E$5:$E$130=$B16)*ISNUMBER(INDEX(Inputs!$K$5:$AJ$130,0,MATCH(D$2,Inputs!$K$4:$AJ$4,0))))=0,NA(),SUMPRODUCT((Inputs!$A$5:$A$130=$B16)*Inputs!$B$5:$B$130*(((Inputs!$G$5:$G$130="moeda")+(Inputs!$G$5:$G$130="acoes"))*Inputs!$B$1+((Inputs!$G$5:$G$130&lt;&gt;"moeda")*(Inputs!$G$5:$G$130&lt;&gt;"acoes")))*INDEX(Inputs!$K$5:$AJ$130,0,MATCH(D$2,Inputs!$K$4:$AJ$4,0)))+SUMPRODUCT((Inputs!$C$5:$C$130=$B16)*Inputs!$D$5:$D$130*(((Inputs!$G$5:$G$130="moeda")+(Inputs!$G$5:$G$130="acoes"))*Inputs!$B$1+((Inputs!$G$5:$G$130&lt;&gt;"moeda")*(Inputs!$G$5:$G$130&lt;&gt;"acoes")))*INDEX(Inputs!$K$5:$AJ$130,0,MATCH(D$2,Inputs!$K$4:$AJ$4,0)))+SUMPRODUCT((Inputs!$E$5:$E$130=$B16)*Inputs!$F$5:$F$130*(((Inputs!$G$5:$G$130="moeda")+(Inputs!$G$5:$G$130="acoes"))*Inputs!$B$1+((Inputs!$G$5:$G$130&lt;&gt;"moeda")*(Inputs!$G$5:$G$130&lt;&gt;"acoes")))*INDEX(Inputs!$K$5:$AJ$130,0,MATCH(D$2,Inputs!$K$4:$AJ$4,0)))))</f>
        <v>40142</v>
      </c>
      <c r="E16" s="265">
        <f>IF(ISNA(MATCH(E$2,Inputs!$K$4:$AJ$4,0)),NA(),IF(SUMPRODUCT((Inputs!$A$5:$A$130=$B16)*ISNUMBER(INDEX(Inputs!$K$5:$AJ$130,0,MATCH(E$2,Inputs!$K$4:$AJ$4,0))))+SUMPRODUCT((Inputs!$C$5:$C$130=$B16)*ISNUMBER(INDEX(Inputs!$K$5:$AJ$130,0,MATCH(E$2,Inputs!$K$4:$AJ$4,0))))+SUMPRODUCT((Inputs!$E$5:$E$130=$B16)*ISNUMBER(INDEX(Inputs!$K$5:$AJ$130,0,MATCH(E$2,Inputs!$K$4:$AJ$4,0))))=0,NA(),SUMPRODUCT((Inputs!$A$5:$A$130=$B16)*Inputs!$B$5:$B$130*(((Inputs!$G$5:$G$130="moeda")+(Inputs!$G$5:$G$130="acoes"))*Inputs!$B$1+((Inputs!$G$5:$G$130&lt;&gt;"moeda")*(Inputs!$G$5:$G$130&lt;&gt;"acoes")))*INDEX(Inputs!$K$5:$AJ$130,0,MATCH(E$2,Inputs!$K$4:$AJ$4,0)))+SUMPRODUCT((Inputs!$C$5:$C$130=$B16)*Inputs!$D$5:$D$130*(((Inputs!$G$5:$G$130="moeda")+(Inputs!$G$5:$G$130="acoes"))*Inputs!$B$1+((Inputs!$G$5:$G$130&lt;&gt;"moeda")*(Inputs!$G$5:$G$130&lt;&gt;"acoes")))*INDEX(Inputs!$K$5:$AJ$130,0,MATCH(E$2,Inputs!$K$4:$AJ$4,0)))+SUMPRODUCT((Inputs!$E$5:$E$130=$B16)*Inputs!$F$5:$F$130*(((Inputs!$G$5:$G$130="moeda")+(Inputs!$G$5:$G$130="acoes"))*Inputs!$B$1+((Inputs!$G$5:$G$130&lt;&gt;"moeda")*(Inputs!$G$5:$G$130&lt;&gt;"acoes")))*INDEX(Inputs!$K$5:$AJ$130,0,MATCH(E$2,Inputs!$K$4:$AJ$4,0)))))</f>
        <v>43694</v>
      </c>
      <c r="F16" s="265">
        <f>IF(ISNA(MATCH(F$2,Inputs!$K$4:$AJ$4,0)),NA(),IF(SUMPRODUCT((Inputs!$A$5:$A$130=$B16)*ISNUMBER(INDEX(Inputs!$K$5:$AJ$130,0,MATCH(F$2,Inputs!$K$4:$AJ$4,0))))+SUMPRODUCT((Inputs!$C$5:$C$130=$B16)*ISNUMBER(INDEX(Inputs!$K$5:$AJ$130,0,MATCH(F$2,Inputs!$K$4:$AJ$4,0))))+SUMPRODUCT((Inputs!$E$5:$E$130=$B16)*ISNUMBER(INDEX(Inputs!$K$5:$AJ$130,0,MATCH(F$2,Inputs!$K$4:$AJ$4,0))))=0,NA(),SUMPRODUCT((Inputs!$A$5:$A$130=$B16)*Inputs!$B$5:$B$130*(((Inputs!$G$5:$G$130="moeda")+(Inputs!$G$5:$G$130="acoes"))*Inputs!$B$1+((Inputs!$G$5:$G$130&lt;&gt;"moeda")*(Inputs!$G$5:$G$130&lt;&gt;"acoes")))*INDEX(Inputs!$K$5:$AJ$130,0,MATCH(F$2,Inputs!$K$4:$AJ$4,0)))+SUMPRODUCT((Inputs!$C$5:$C$130=$B16)*Inputs!$D$5:$D$130*(((Inputs!$G$5:$G$130="moeda")+(Inputs!$G$5:$G$130="acoes"))*Inputs!$B$1+((Inputs!$G$5:$G$130&lt;&gt;"moeda")*(Inputs!$G$5:$G$130&lt;&gt;"acoes")))*INDEX(Inputs!$K$5:$AJ$130,0,MATCH(F$2,Inputs!$K$4:$AJ$4,0)))+SUMPRODUCT((Inputs!$E$5:$E$130=$B16)*Inputs!$F$5:$F$130*(((Inputs!$G$5:$G$130="moeda")+(Inputs!$G$5:$G$130="acoes"))*Inputs!$B$1+((Inputs!$G$5:$G$130&lt;&gt;"moeda")*(Inputs!$G$5:$G$130&lt;&gt;"acoes")))*INDEX(Inputs!$K$5:$AJ$130,0,MATCH(F$2,Inputs!$K$4:$AJ$4,0)))))</f>
        <v>46366</v>
      </c>
      <c r="G16" s="265">
        <f>IF(ISNA(MATCH(G$2,Inputs!$K$4:$AJ$4,0)),NA(),IF(SUMPRODUCT((Inputs!$A$5:$A$130=$B16)*ISNUMBER(INDEX(Inputs!$K$5:$AJ$130,0,MATCH(G$2,Inputs!$K$4:$AJ$4,0))))+SUMPRODUCT((Inputs!$C$5:$C$130=$B16)*ISNUMBER(INDEX(Inputs!$K$5:$AJ$130,0,MATCH(G$2,Inputs!$K$4:$AJ$4,0))))+SUMPRODUCT((Inputs!$E$5:$E$130=$B16)*ISNUMBER(INDEX(Inputs!$K$5:$AJ$130,0,MATCH(G$2,Inputs!$K$4:$AJ$4,0))))=0,NA(),SUMPRODUCT((Inputs!$A$5:$A$130=$B16)*Inputs!$B$5:$B$130*(((Inputs!$G$5:$G$130="moeda")+(Inputs!$G$5:$G$130="acoes"))*Inputs!$B$1+((Inputs!$G$5:$G$130&lt;&gt;"moeda")*(Inputs!$G$5:$G$130&lt;&gt;"acoes")))*INDEX(Inputs!$K$5:$AJ$130,0,MATCH(G$2,Inputs!$K$4:$AJ$4,0)))+SUMPRODUCT((Inputs!$C$5:$C$130=$B16)*Inputs!$D$5:$D$130*(((Inputs!$G$5:$G$130="moeda")+(Inputs!$G$5:$G$130="acoes"))*Inputs!$B$1+((Inputs!$G$5:$G$130&lt;&gt;"moeda")*(Inputs!$G$5:$G$130&lt;&gt;"acoes")))*INDEX(Inputs!$K$5:$AJ$130,0,MATCH(G$2,Inputs!$K$4:$AJ$4,0)))+SUMPRODUCT((Inputs!$E$5:$E$130=$B16)*Inputs!$F$5:$F$130*(((Inputs!$G$5:$G$130="moeda")+(Inputs!$G$5:$G$130="acoes"))*Inputs!$B$1+((Inputs!$G$5:$G$130&lt;&gt;"moeda")*(Inputs!$G$5:$G$130&lt;&gt;"acoes")))*INDEX(Inputs!$K$5:$AJ$130,0,MATCH(G$2,Inputs!$K$4:$AJ$4,0)))))</f>
        <v>53208</v>
      </c>
      <c r="H16" s="266">
        <f>G16</f>
        <v>53208</v>
      </c>
      <c r="I16" s="265">
        <f>IF(ISNA(MATCH(I$2,Inputs!$K$4:$AJ$4,0)),NA(),IF(SUMPRODUCT((Inputs!$A$5:$A$130=$B16)*ISNUMBER(INDEX(Inputs!$K$5:$AJ$130,0,MATCH(I$2,Inputs!$K$4:$AJ$4,0))))+SUMPRODUCT((Inputs!$C$5:$C$130=$B16)*ISNUMBER(INDEX(Inputs!$K$5:$AJ$130,0,MATCH(I$2,Inputs!$K$4:$AJ$4,0))))+SUMPRODUCT((Inputs!$E$5:$E$130=$B16)*ISNUMBER(INDEX(Inputs!$K$5:$AJ$130,0,MATCH(I$2,Inputs!$K$4:$AJ$4,0))))=0,NA(),SUMPRODUCT((Inputs!$A$5:$A$130=$B16)*Inputs!$B$5:$B$130*(((Inputs!$G$5:$G$130="moeda")+(Inputs!$G$5:$G$130="acoes"))*Inputs!$B$1+((Inputs!$G$5:$G$130&lt;&gt;"moeda")*(Inputs!$G$5:$G$130&lt;&gt;"acoes")))*INDEX(Inputs!$K$5:$AJ$130,0,MATCH(I$2,Inputs!$K$4:$AJ$4,0)))+SUMPRODUCT((Inputs!$C$5:$C$130=$B16)*Inputs!$D$5:$D$130*(((Inputs!$G$5:$G$130="moeda")+(Inputs!$G$5:$G$130="acoes"))*Inputs!$B$1+((Inputs!$G$5:$G$130&lt;&gt;"moeda")*(Inputs!$G$5:$G$130&lt;&gt;"acoes")))*INDEX(Inputs!$K$5:$AJ$130,0,MATCH(I$2,Inputs!$K$4:$AJ$4,0)))+SUMPRODUCT((Inputs!$E$5:$E$130=$B16)*Inputs!$F$5:$F$130*(((Inputs!$G$5:$G$130="moeda")+(Inputs!$G$5:$G$130="acoes"))*Inputs!$B$1+((Inputs!$G$5:$G$130&lt;&gt;"moeda")*(Inputs!$G$5:$G$130&lt;&gt;"acoes")))*INDEX(Inputs!$K$5:$AJ$130,0,MATCH(I$2,Inputs!$K$4:$AJ$4,0)))))</f>
        <v>63481</v>
      </c>
      <c r="J16" s="265">
        <f>IF(ISNA(MATCH(J$2,Inputs!$K$4:$AJ$4,0)),NA(),IF(SUMPRODUCT((Inputs!$A$5:$A$130=$B16)*ISNUMBER(INDEX(Inputs!$K$5:$AJ$130,0,MATCH(J$2,Inputs!$K$4:$AJ$4,0))))+SUMPRODUCT((Inputs!$C$5:$C$130=$B16)*ISNUMBER(INDEX(Inputs!$K$5:$AJ$130,0,MATCH(J$2,Inputs!$K$4:$AJ$4,0))))+SUMPRODUCT((Inputs!$E$5:$E$130=$B16)*ISNUMBER(INDEX(Inputs!$K$5:$AJ$130,0,MATCH(J$2,Inputs!$K$4:$AJ$4,0))))=0,NA(),SUMPRODUCT((Inputs!$A$5:$A$130=$B16)*Inputs!$B$5:$B$130*(((Inputs!$G$5:$G$130="moeda")+(Inputs!$G$5:$G$130="acoes"))*Inputs!$B$1+((Inputs!$G$5:$G$130&lt;&gt;"moeda")*(Inputs!$G$5:$G$130&lt;&gt;"acoes")))*INDEX(Inputs!$K$5:$AJ$130,0,MATCH(J$2,Inputs!$K$4:$AJ$4,0)))+SUMPRODUCT((Inputs!$C$5:$C$130=$B16)*Inputs!$D$5:$D$130*(((Inputs!$G$5:$G$130="moeda")+(Inputs!$G$5:$G$130="acoes"))*Inputs!$B$1+((Inputs!$G$5:$G$130&lt;&gt;"moeda")*(Inputs!$G$5:$G$130&lt;&gt;"acoes")))*INDEX(Inputs!$K$5:$AJ$130,0,MATCH(J$2,Inputs!$K$4:$AJ$4,0)))+SUMPRODUCT((Inputs!$E$5:$E$130=$B16)*Inputs!$F$5:$F$130*(((Inputs!$G$5:$G$130="moeda")+(Inputs!$G$5:$G$130="acoes"))*Inputs!$B$1+((Inputs!$G$5:$G$130&lt;&gt;"moeda")*(Inputs!$G$5:$G$130&lt;&gt;"acoes")))*INDEX(Inputs!$K$5:$AJ$130,0,MATCH(J$2,Inputs!$K$4:$AJ$4,0)))))</f>
        <v>66708</v>
      </c>
      <c r="K16" s="265">
        <f>IF(ISNA(MATCH(K$2,Inputs!$K$4:$AJ$4,0)),NA(),IF(SUMPRODUCT((Inputs!$A$5:$A$130=$B16)*ISNUMBER(INDEX(Inputs!$K$5:$AJ$130,0,MATCH(K$2,Inputs!$K$4:$AJ$4,0))))+SUMPRODUCT((Inputs!$C$5:$C$130=$B16)*ISNUMBER(INDEX(Inputs!$K$5:$AJ$130,0,MATCH(K$2,Inputs!$K$4:$AJ$4,0))))+SUMPRODUCT((Inputs!$E$5:$E$130=$B16)*ISNUMBER(INDEX(Inputs!$K$5:$AJ$130,0,MATCH(K$2,Inputs!$K$4:$AJ$4,0))))=0,NA(),SUMPRODUCT((Inputs!$A$5:$A$130=$B16)*Inputs!$B$5:$B$130*(((Inputs!$G$5:$G$130="moeda")+(Inputs!$G$5:$G$130="acoes"))*Inputs!$B$1+((Inputs!$G$5:$G$130&lt;&gt;"moeda")*(Inputs!$G$5:$G$130&lt;&gt;"acoes")))*INDEX(Inputs!$K$5:$AJ$130,0,MATCH(K$2,Inputs!$K$4:$AJ$4,0)))+SUMPRODUCT((Inputs!$C$5:$C$130=$B16)*Inputs!$D$5:$D$130*(((Inputs!$G$5:$G$130="moeda")+(Inputs!$G$5:$G$130="acoes"))*Inputs!$B$1+((Inputs!$G$5:$G$130&lt;&gt;"moeda")*(Inputs!$G$5:$G$130&lt;&gt;"acoes")))*INDEX(Inputs!$K$5:$AJ$130,0,MATCH(K$2,Inputs!$K$4:$AJ$4,0)))+SUMPRODUCT((Inputs!$E$5:$E$130=$B16)*Inputs!$F$5:$F$130*(((Inputs!$G$5:$G$130="moeda")+(Inputs!$G$5:$G$130="acoes"))*Inputs!$B$1+((Inputs!$G$5:$G$130&lt;&gt;"moeda")*(Inputs!$G$5:$G$130&lt;&gt;"acoes")))*INDEX(Inputs!$K$5:$AJ$130,0,MATCH(K$2,Inputs!$K$4:$AJ$4,0)))))</f>
        <v>66699</v>
      </c>
      <c r="L16" s="265">
        <f>IF(ISNA(MATCH(L$2,Inputs!$K$4:$AJ$4,0)),NA(),IF(SUMPRODUCT((Inputs!$A$5:$A$130=$B16)*ISNUMBER(INDEX(Inputs!$K$5:$AJ$130,0,MATCH(L$2,Inputs!$K$4:$AJ$4,0))))+SUMPRODUCT((Inputs!$C$5:$C$130=$B16)*ISNUMBER(INDEX(Inputs!$K$5:$AJ$130,0,MATCH(L$2,Inputs!$K$4:$AJ$4,0))))+SUMPRODUCT((Inputs!$E$5:$E$130=$B16)*ISNUMBER(INDEX(Inputs!$K$5:$AJ$130,0,MATCH(L$2,Inputs!$K$4:$AJ$4,0))))=0,NA(),SUMPRODUCT((Inputs!$A$5:$A$130=$B16)*Inputs!$B$5:$B$130*(((Inputs!$G$5:$G$130="moeda")+(Inputs!$G$5:$G$130="acoes"))*Inputs!$B$1+((Inputs!$G$5:$G$130&lt;&gt;"moeda")*(Inputs!$G$5:$G$130&lt;&gt;"acoes")))*INDEX(Inputs!$K$5:$AJ$130,0,MATCH(L$2,Inputs!$K$4:$AJ$4,0)))+SUMPRODUCT((Inputs!$C$5:$C$130=$B16)*Inputs!$D$5:$D$130*(((Inputs!$G$5:$G$130="moeda")+(Inputs!$G$5:$G$130="acoes"))*Inputs!$B$1+((Inputs!$G$5:$G$130&lt;&gt;"moeda")*(Inputs!$G$5:$G$130&lt;&gt;"acoes")))*INDEX(Inputs!$K$5:$AJ$130,0,MATCH(L$2,Inputs!$K$4:$AJ$4,0)))+SUMPRODUCT((Inputs!$E$5:$E$130=$B16)*Inputs!$F$5:$F$130*(((Inputs!$G$5:$G$130="moeda")+(Inputs!$G$5:$G$130="acoes"))*Inputs!$B$1+((Inputs!$G$5:$G$130&lt;&gt;"moeda")*(Inputs!$G$5:$G$130&lt;&gt;"acoes")))*INDEX(Inputs!$K$5:$AJ$130,0,MATCH(L$2,Inputs!$K$4:$AJ$4,0)))))</f>
        <v>66510</v>
      </c>
      <c r="M16" s="266">
        <f>L16</f>
        <v>66510</v>
      </c>
      <c r="N16" s="265">
        <f>IF(ISNA(MATCH(N$2,Inputs!$K$4:$AJ$4,0)),NA(),IF(SUMPRODUCT((Inputs!$A$5:$A$130=$B16)*ISNUMBER(INDEX(Inputs!$K$5:$AJ$130,0,MATCH(N$2,Inputs!$K$4:$AJ$4,0))))+SUMPRODUCT((Inputs!$C$5:$C$130=$B16)*ISNUMBER(INDEX(Inputs!$K$5:$AJ$130,0,MATCH(N$2,Inputs!$K$4:$AJ$4,0))))+SUMPRODUCT((Inputs!$E$5:$E$130=$B16)*ISNUMBER(INDEX(Inputs!$K$5:$AJ$130,0,MATCH(N$2,Inputs!$K$4:$AJ$4,0))))=0,NA(),SUMPRODUCT((Inputs!$A$5:$A$130=$B16)*Inputs!$B$5:$B$130*(((Inputs!$G$5:$G$130="moeda")+(Inputs!$G$5:$G$130="acoes"))*Inputs!$B$1+((Inputs!$G$5:$G$130&lt;&gt;"moeda")*(Inputs!$G$5:$G$130&lt;&gt;"acoes")))*INDEX(Inputs!$K$5:$AJ$130,0,MATCH(N$2,Inputs!$K$4:$AJ$4,0)))+SUMPRODUCT((Inputs!$C$5:$C$130=$B16)*Inputs!$D$5:$D$130*(((Inputs!$G$5:$G$130="moeda")+(Inputs!$G$5:$G$130="acoes"))*Inputs!$B$1+((Inputs!$G$5:$G$130&lt;&gt;"moeda")*(Inputs!$G$5:$G$130&lt;&gt;"acoes")))*INDEX(Inputs!$K$5:$AJ$130,0,MATCH(N$2,Inputs!$K$4:$AJ$4,0)))+SUMPRODUCT((Inputs!$E$5:$E$130=$B16)*Inputs!$F$5:$F$130*(((Inputs!$G$5:$G$130="moeda")+(Inputs!$G$5:$G$130="acoes"))*Inputs!$B$1+((Inputs!$G$5:$G$130&lt;&gt;"moeda")*(Inputs!$G$5:$G$130&lt;&gt;"acoes")))*INDEX(Inputs!$K$5:$AJ$130,0,MATCH(N$2,Inputs!$K$4:$AJ$4,0)))))</f>
        <v>61738</v>
      </c>
      <c r="O16" s="265">
        <f>IF(ISNA(MATCH(O$2,Inputs!$K$4:$AJ$4,0)),NA(),IF(SUMPRODUCT((Inputs!$A$5:$A$130=$B16)*ISNUMBER(INDEX(Inputs!$K$5:$AJ$130,0,MATCH(O$2,Inputs!$K$4:$AJ$4,0))))+SUMPRODUCT((Inputs!$C$5:$C$130=$B16)*ISNUMBER(INDEX(Inputs!$K$5:$AJ$130,0,MATCH(O$2,Inputs!$K$4:$AJ$4,0))))+SUMPRODUCT((Inputs!$E$5:$E$130=$B16)*ISNUMBER(INDEX(Inputs!$K$5:$AJ$130,0,MATCH(O$2,Inputs!$K$4:$AJ$4,0))))=0,NA(),SUMPRODUCT((Inputs!$A$5:$A$130=$B16)*Inputs!$B$5:$B$130*(((Inputs!$G$5:$G$130="moeda")+(Inputs!$G$5:$G$130="acoes"))*Inputs!$B$1+((Inputs!$G$5:$G$130&lt;&gt;"moeda")*(Inputs!$G$5:$G$130&lt;&gt;"acoes")))*INDEX(Inputs!$K$5:$AJ$130,0,MATCH(O$2,Inputs!$K$4:$AJ$4,0)))+SUMPRODUCT((Inputs!$C$5:$C$130=$B16)*Inputs!$D$5:$D$130*(((Inputs!$G$5:$G$130="moeda")+(Inputs!$G$5:$G$130="acoes"))*Inputs!$B$1+((Inputs!$G$5:$G$130&lt;&gt;"moeda")*(Inputs!$G$5:$G$130&lt;&gt;"acoes")))*INDEX(Inputs!$K$5:$AJ$130,0,MATCH(O$2,Inputs!$K$4:$AJ$4,0)))+SUMPRODUCT((Inputs!$E$5:$E$130=$B16)*Inputs!$F$5:$F$130*(((Inputs!$G$5:$G$130="moeda")+(Inputs!$G$5:$G$130="acoes"))*Inputs!$B$1+((Inputs!$G$5:$G$130&lt;&gt;"moeda")*(Inputs!$G$5:$G$130&lt;&gt;"acoes")))*INDEX(Inputs!$K$5:$AJ$130,0,MATCH(O$2,Inputs!$K$4:$AJ$4,0)))))</f>
        <v>52383</v>
      </c>
      <c r="P16" s="265">
        <f>IF(ISNA(MATCH(P$2,Inputs!$K$4:$AJ$4,0)),NA(),IF(SUMPRODUCT((Inputs!$A$5:$A$130=$B16)*ISNUMBER(INDEX(Inputs!$K$5:$AJ$130,0,MATCH(P$2,Inputs!$K$4:$AJ$4,0))))+SUMPRODUCT((Inputs!$C$5:$C$130=$B16)*ISNUMBER(INDEX(Inputs!$K$5:$AJ$130,0,MATCH(P$2,Inputs!$K$4:$AJ$4,0))))+SUMPRODUCT((Inputs!$E$5:$E$130=$B16)*ISNUMBER(INDEX(Inputs!$K$5:$AJ$130,0,MATCH(P$2,Inputs!$K$4:$AJ$4,0))))=0,NA(),SUMPRODUCT((Inputs!$A$5:$A$130=$B16)*Inputs!$B$5:$B$130*(((Inputs!$G$5:$G$130="moeda")+(Inputs!$G$5:$G$130="acoes"))*Inputs!$B$1+((Inputs!$G$5:$G$130&lt;&gt;"moeda")*(Inputs!$G$5:$G$130&lt;&gt;"acoes")))*INDEX(Inputs!$K$5:$AJ$130,0,MATCH(P$2,Inputs!$K$4:$AJ$4,0)))+SUMPRODUCT((Inputs!$C$5:$C$130=$B16)*Inputs!$D$5:$D$130*(((Inputs!$G$5:$G$130="moeda")+(Inputs!$G$5:$G$130="acoes"))*Inputs!$B$1+((Inputs!$G$5:$G$130&lt;&gt;"moeda")*(Inputs!$G$5:$G$130&lt;&gt;"acoes")))*INDEX(Inputs!$K$5:$AJ$130,0,MATCH(P$2,Inputs!$K$4:$AJ$4,0)))+SUMPRODUCT((Inputs!$E$5:$E$130=$B16)*Inputs!$F$5:$F$130*(((Inputs!$G$5:$G$130="moeda")+(Inputs!$G$5:$G$130="acoes"))*Inputs!$B$1+((Inputs!$G$5:$G$130&lt;&gt;"moeda")*(Inputs!$G$5:$G$130&lt;&gt;"acoes")))*INDEX(Inputs!$K$5:$AJ$130,0,MATCH(P$2,Inputs!$K$4:$AJ$4,0)))))</f>
        <v>52077</v>
      </c>
      <c r="Q16" s="265">
        <f>IF(ISNA(MATCH(Q$2,Inputs!$K$4:$AJ$4,0)),NA(),IF(SUMPRODUCT((Inputs!$A$5:$A$130=$B16)*ISNUMBER(INDEX(Inputs!$K$5:$AJ$130,0,MATCH(Q$2,Inputs!$K$4:$AJ$4,0))))+SUMPRODUCT((Inputs!$C$5:$C$130=$B16)*ISNUMBER(INDEX(Inputs!$K$5:$AJ$130,0,MATCH(Q$2,Inputs!$K$4:$AJ$4,0))))+SUMPRODUCT((Inputs!$E$5:$E$130=$B16)*ISNUMBER(INDEX(Inputs!$K$5:$AJ$130,0,MATCH(Q$2,Inputs!$K$4:$AJ$4,0))))=0,NA(),SUMPRODUCT((Inputs!$A$5:$A$130=$B16)*Inputs!$B$5:$B$130*(((Inputs!$G$5:$G$130="moeda")+(Inputs!$G$5:$G$130="acoes"))*Inputs!$B$1+((Inputs!$G$5:$G$130&lt;&gt;"moeda")*(Inputs!$G$5:$G$130&lt;&gt;"acoes")))*INDEX(Inputs!$K$5:$AJ$130,0,MATCH(Q$2,Inputs!$K$4:$AJ$4,0)))+SUMPRODUCT((Inputs!$C$5:$C$130=$B16)*Inputs!$D$5:$D$130*(((Inputs!$G$5:$G$130="moeda")+(Inputs!$G$5:$G$130="acoes"))*Inputs!$B$1+((Inputs!$G$5:$G$130&lt;&gt;"moeda")*(Inputs!$G$5:$G$130&lt;&gt;"acoes")))*INDEX(Inputs!$K$5:$AJ$130,0,MATCH(Q$2,Inputs!$K$4:$AJ$4,0)))+SUMPRODUCT((Inputs!$E$5:$E$130=$B16)*Inputs!$F$5:$F$130*(((Inputs!$G$5:$G$130="moeda")+(Inputs!$G$5:$G$130="acoes"))*Inputs!$B$1+((Inputs!$G$5:$G$130&lt;&gt;"moeda")*(Inputs!$G$5:$G$130&lt;&gt;"acoes")))*INDEX(Inputs!$K$5:$AJ$130,0,MATCH(Q$2,Inputs!$K$4:$AJ$4,0)))))</f>
        <v>53273</v>
      </c>
      <c r="R16" s="266">
        <f>Q16</f>
        <v>53273</v>
      </c>
      <c r="S16" s="265">
        <f>IF(ISNA(MATCH(S$2,Inputs!$K$4:$AJ$4,0)),NA(),IF(SUMPRODUCT((Inputs!$A$5:$A$130=$B16)*ISNUMBER(INDEX(Inputs!$K$5:$AJ$130,0,MATCH(S$2,Inputs!$K$4:$AJ$4,0))))+SUMPRODUCT((Inputs!$C$5:$C$130=$B16)*ISNUMBER(INDEX(Inputs!$K$5:$AJ$130,0,MATCH(S$2,Inputs!$K$4:$AJ$4,0))))+SUMPRODUCT((Inputs!$E$5:$E$130=$B16)*ISNUMBER(INDEX(Inputs!$K$5:$AJ$130,0,MATCH(S$2,Inputs!$K$4:$AJ$4,0))))=0,NA(),SUMPRODUCT((Inputs!$A$5:$A$130=$B16)*Inputs!$B$5:$B$130*(((Inputs!$G$5:$G$130="moeda")+(Inputs!$G$5:$G$130="acoes"))*Inputs!$B$1+((Inputs!$G$5:$G$130&lt;&gt;"moeda")*(Inputs!$G$5:$G$130&lt;&gt;"acoes")))*INDEX(Inputs!$K$5:$AJ$130,0,MATCH(S$2,Inputs!$K$4:$AJ$4,0)))+SUMPRODUCT((Inputs!$C$5:$C$130=$B16)*Inputs!$D$5:$D$130*(((Inputs!$G$5:$G$130="moeda")+(Inputs!$G$5:$G$130="acoes"))*Inputs!$B$1+((Inputs!$G$5:$G$130&lt;&gt;"moeda")*(Inputs!$G$5:$G$130&lt;&gt;"acoes")))*INDEX(Inputs!$K$5:$AJ$130,0,MATCH(S$2,Inputs!$K$4:$AJ$4,0)))+SUMPRODUCT((Inputs!$E$5:$E$130=$B16)*Inputs!$F$5:$F$130*(((Inputs!$G$5:$G$130="moeda")+(Inputs!$G$5:$G$130="acoes"))*Inputs!$B$1+((Inputs!$G$5:$G$130&lt;&gt;"moeda")*(Inputs!$G$5:$G$130&lt;&gt;"acoes")))*INDEX(Inputs!$K$5:$AJ$130,0,MATCH(S$2,Inputs!$K$4:$AJ$4,0)))))</f>
        <v>53178</v>
      </c>
      <c r="T16" s="265">
        <f>IF(ISNA(MATCH(T$2,Inputs!$K$4:$AJ$4,0)),NA(),IF(SUMPRODUCT((Inputs!$A$5:$A$130=$B16)*ISNUMBER(INDEX(Inputs!$K$5:$AJ$130,0,MATCH(T$2,Inputs!$K$4:$AJ$4,0))))+SUMPRODUCT((Inputs!$C$5:$C$130=$B16)*ISNUMBER(INDEX(Inputs!$K$5:$AJ$130,0,MATCH(T$2,Inputs!$K$4:$AJ$4,0))))+SUMPRODUCT((Inputs!$E$5:$E$130=$B16)*ISNUMBER(INDEX(Inputs!$K$5:$AJ$130,0,MATCH(T$2,Inputs!$K$4:$AJ$4,0))))=0,NA(),SUMPRODUCT((Inputs!$A$5:$A$130=$B16)*Inputs!$B$5:$B$130*(((Inputs!$G$5:$G$130="moeda")+(Inputs!$G$5:$G$130="acoes"))*Inputs!$B$1+((Inputs!$G$5:$G$130&lt;&gt;"moeda")*(Inputs!$G$5:$G$130&lt;&gt;"acoes")))*INDEX(Inputs!$K$5:$AJ$130,0,MATCH(T$2,Inputs!$K$4:$AJ$4,0)))+SUMPRODUCT((Inputs!$C$5:$C$130=$B16)*Inputs!$D$5:$D$130*(((Inputs!$G$5:$G$130="moeda")+(Inputs!$G$5:$G$130="acoes"))*Inputs!$B$1+((Inputs!$G$5:$G$130&lt;&gt;"moeda")*(Inputs!$G$5:$G$130&lt;&gt;"acoes")))*INDEX(Inputs!$K$5:$AJ$130,0,MATCH(T$2,Inputs!$K$4:$AJ$4,0)))+SUMPRODUCT((Inputs!$E$5:$E$130=$B16)*Inputs!$F$5:$F$130*(((Inputs!$G$5:$G$130="moeda")+(Inputs!$G$5:$G$130="acoes"))*Inputs!$B$1+((Inputs!$G$5:$G$130&lt;&gt;"moeda")*(Inputs!$G$5:$G$130&lt;&gt;"acoes")))*INDEX(Inputs!$K$5:$AJ$130,0,MATCH(T$2,Inputs!$K$4:$AJ$4,0)))))</f>
        <v>50619</v>
      </c>
      <c r="U16" s="265">
        <f>IF(ISNA(MATCH(U$2,Inputs!$K$4:$AJ$4,0)),NA(),IF(SUMPRODUCT((Inputs!$A$5:$A$130=$B16)*ISNUMBER(INDEX(Inputs!$K$5:$AJ$130,0,MATCH(U$2,Inputs!$K$4:$AJ$4,0))))+SUMPRODUCT((Inputs!$C$5:$C$130=$B16)*ISNUMBER(INDEX(Inputs!$K$5:$AJ$130,0,MATCH(U$2,Inputs!$K$4:$AJ$4,0))))+SUMPRODUCT((Inputs!$E$5:$E$130=$B16)*ISNUMBER(INDEX(Inputs!$K$5:$AJ$130,0,MATCH(U$2,Inputs!$K$4:$AJ$4,0))))=0,NA(),SUMPRODUCT((Inputs!$A$5:$A$130=$B16)*Inputs!$B$5:$B$130*(((Inputs!$G$5:$G$130="moeda")+(Inputs!$G$5:$G$130="acoes"))*Inputs!$B$1+((Inputs!$G$5:$G$130&lt;&gt;"moeda")*(Inputs!$G$5:$G$130&lt;&gt;"acoes")))*INDEX(Inputs!$K$5:$AJ$130,0,MATCH(U$2,Inputs!$K$4:$AJ$4,0)))+SUMPRODUCT((Inputs!$C$5:$C$130=$B16)*Inputs!$D$5:$D$130*(((Inputs!$G$5:$G$130="moeda")+(Inputs!$G$5:$G$130="acoes"))*Inputs!$B$1+((Inputs!$G$5:$G$130&lt;&gt;"moeda")*(Inputs!$G$5:$G$130&lt;&gt;"acoes")))*INDEX(Inputs!$K$5:$AJ$130,0,MATCH(U$2,Inputs!$K$4:$AJ$4,0)))+SUMPRODUCT((Inputs!$E$5:$E$130=$B16)*Inputs!$F$5:$F$130*(((Inputs!$G$5:$G$130="moeda")+(Inputs!$G$5:$G$130="acoes"))*Inputs!$B$1+((Inputs!$G$5:$G$130&lt;&gt;"moeda")*(Inputs!$G$5:$G$130&lt;&gt;"acoes")))*INDEX(Inputs!$K$5:$AJ$130,0,MATCH(U$2,Inputs!$K$4:$AJ$4,0)))))</f>
        <v>46782</v>
      </c>
      <c r="V16" s="265">
        <f>IF(ISNA(MATCH(V$2,Inputs!$K$4:$AJ$4,0)),NA(),IF(SUMPRODUCT((Inputs!$A$5:$A$130=$B16)*ISNUMBER(INDEX(Inputs!$K$5:$AJ$130,0,MATCH(V$2,Inputs!$K$4:$AJ$4,0))))+SUMPRODUCT((Inputs!$C$5:$C$130=$B16)*ISNUMBER(INDEX(Inputs!$K$5:$AJ$130,0,MATCH(V$2,Inputs!$K$4:$AJ$4,0))))+SUMPRODUCT((Inputs!$E$5:$E$130=$B16)*ISNUMBER(INDEX(Inputs!$K$5:$AJ$130,0,MATCH(V$2,Inputs!$K$4:$AJ$4,0))))=0,NA(),SUMPRODUCT((Inputs!$A$5:$A$130=$B16)*Inputs!$B$5:$B$130*(((Inputs!$G$5:$G$130="moeda")+(Inputs!$G$5:$G$130="acoes"))*Inputs!$B$1+((Inputs!$G$5:$G$130&lt;&gt;"moeda")*(Inputs!$G$5:$G$130&lt;&gt;"acoes")))*INDEX(Inputs!$K$5:$AJ$130,0,MATCH(V$2,Inputs!$K$4:$AJ$4,0)))+SUMPRODUCT((Inputs!$C$5:$C$130=$B16)*Inputs!$D$5:$D$130*(((Inputs!$G$5:$G$130="moeda")+(Inputs!$G$5:$G$130="acoes"))*Inputs!$B$1+((Inputs!$G$5:$G$130&lt;&gt;"moeda")*(Inputs!$G$5:$G$130&lt;&gt;"acoes")))*INDEX(Inputs!$K$5:$AJ$130,0,MATCH(V$2,Inputs!$K$4:$AJ$4,0)))+SUMPRODUCT((Inputs!$E$5:$E$130=$B16)*Inputs!$F$5:$F$130*(((Inputs!$G$5:$G$130="moeda")+(Inputs!$G$5:$G$130="acoes"))*Inputs!$B$1+((Inputs!$G$5:$G$130&lt;&gt;"moeda")*(Inputs!$G$5:$G$130&lt;&gt;"acoes")))*INDEX(Inputs!$K$5:$AJ$130,0,MATCH(V$2,Inputs!$K$4:$AJ$4,0)))))</f>
        <v>45860</v>
      </c>
      <c r="W16" s="266">
        <f>V16</f>
        <v>45860</v>
      </c>
      <c r="X16" s="265">
        <f>IF(ISNA(MATCH(X$2,Inputs!$K$4:$AJ$4,0)),NA(),IF(SUMPRODUCT((Inputs!$A$5:$A$130=$B16)*ISNUMBER(INDEX(Inputs!$K$5:$AJ$130,0,MATCH(X$2,Inputs!$K$4:$AJ$4,0))))+SUMPRODUCT((Inputs!$C$5:$C$130=$B16)*ISNUMBER(INDEX(Inputs!$K$5:$AJ$130,0,MATCH(X$2,Inputs!$K$4:$AJ$4,0))))+SUMPRODUCT((Inputs!$E$5:$E$130=$B16)*ISNUMBER(INDEX(Inputs!$K$5:$AJ$130,0,MATCH(X$2,Inputs!$K$4:$AJ$4,0))))=0,NA(),SUMPRODUCT((Inputs!$A$5:$A$130=$B16)*Inputs!$B$5:$B$130*(((Inputs!$G$5:$G$130="moeda")+(Inputs!$G$5:$G$130="acoes"))*Inputs!$B$1+((Inputs!$G$5:$G$130&lt;&gt;"moeda")*(Inputs!$G$5:$G$130&lt;&gt;"acoes")))*INDEX(Inputs!$K$5:$AJ$130,0,MATCH(X$2,Inputs!$K$4:$AJ$4,0)))+SUMPRODUCT((Inputs!$C$5:$C$130=$B16)*Inputs!$D$5:$D$130*(((Inputs!$G$5:$G$130="moeda")+(Inputs!$G$5:$G$130="acoes"))*Inputs!$B$1+((Inputs!$G$5:$G$130&lt;&gt;"moeda")*(Inputs!$G$5:$G$130&lt;&gt;"acoes")))*INDEX(Inputs!$K$5:$AJ$130,0,MATCH(X$2,Inputs!$K$4:$AJ$4,0)))+SUMPRODUCT((Inputs!$E$5:$E$130=$B16)*Inputs!$F$5:$F$130*(((Inputs!$G$5:$G$130="moeda")+(Inputs!$G$5:$G$130="acoes"))*Inputs!$B$1+((Inputs!$G$5:$G$130&lt;&gt;"moeda")*(Inputs!$G$5:$G$130&lt;&gt;"acoes")))*INDEX(Inputs!$K$5:$AJ$130,0,MATCH(X$2,Inputs!$K$4:$AJ$4,0)))))</f>
        <v>48247</v>
      </c>
      <c r="Y16" s="265">
        <f>IF(ISNA(MATCH(Y$2,Inputs!$K$4:$AJ$4,0)),NA(),IF(SUMPRODUCT((Inputs!$A$5:$A$130=$B16)*ISNUMBER(INDEX(Inputs!$K$5:$AJ$130,0,MATCH(Y$2,Inputs!$K$4:$AJ$4,0))))+SUMPRODUCT((Inputs!$C$5:$C$130=$B16)*ISNUMBER(INDEX(Inputs!$K$5:$AJ$130,0,MATCH(Y$2,Inputs!$K$4:$AJ$4,0))))+SUMPRODUCT((Inputs!$E$5:$E$130=$B16)*ISNUMBER(INDEX(Inputs!$K$5:$AJ$130,0,MATCH(Y$2,Inputs!$K$4:$AJ$4,0))))=0,NA(),SUMPRODUCT((Inputs!$A$5:$A$130=$B16)*Inputs!$B$5:$B$130*(((Inputs!$G$5:$G$130="moeda")+(Inputs!$G$5:$G$130="acoes"))*Inputs!$B$1+((Inputs!$G$5:$G$130&lt;&gt;"moeda")*(Inputs!$G$5:$G$130&lt;&gt;"acoes")))*INDEX(Inputs!$K$5:$AJ$130,0,MATCH(Y$2,Inputs!$K$4:$AJ$4,0)))+SUMPRODUCT((Inputs!$C$5:$C$130=$B16)*Inputs!$D$5:$D$130*(((Inputs!$G$5:$G$130="moeda")+(Inputs!$G$5:$G$130="acoes"))*Inputs!$B$1+((Inputs!$G$5:$G$130&lt;&gt;"moeda")*(Inputs!$G$5:$G$130&lt;&gt;"acoes")))*INDEX(Inputs!$K$5:$AJ$130,0,MATCH(Y$2,Inputs!$K$4:$AJ$4,0)))+SUMPRODUCT((Inputs!$E$5:$E$130=$B16)*Inputs!$F$5:$F$130*(((Inputs!$G$5:$G$130="moeda")+(Inputs!$G$5:$G$130="acoes"))*Inputs!$B$1+((Inputs!$G$5:$G$130&lt;&gt;"moeda")*(Inputs!$G$5:$G$130&lt;&gt;"acoes")))*INDEX(Inputs!$K$5:$AJ$130,0,MATCH(Y$2,Inputs!$K$4:$AJ$4,0)))))</f>
        <v>45570</v>
      </c>
      <c r="Z16" s="265">
        <f>IF(ISNA(MATCH(Z$2,Inputs!$K$4:$AJ$4,0)),NA(),IF(SUMPRODUCT((Inputs!$A$5:$A$130=$B16)*ISNUMBER(INDEX(Inputs!$K$5:$AJ$130,0,MATCH(Z$2,Inputs!$K$4:$AJ$4,0))))+SUMPRODUCT((Inputs!$C$5:$C$130=$B16)*ISNUMBER(INDEX(Inputs!$K$5:$AJ$130,0,MATCH(Z$2,Inputs!$K$4:$AJ$4,0))))+SUMPRODUCT((Inputs!$E$5:$E$130=$B16)*ISNUMBER(INDEX(Inputs!$K$5:$AJ$130,0,MATCH(Z$2,Inputs!$K$4:$AJ$4,0))))=0,NA(),SUMPRODUCT((Inputs!$A$5:$A$130=$B16)*Inputs!$B$5:$B$130*(((Inputs!$G$5:$G$130="moeda")+(Inputs!$G$5:$G$130="acoes"))*Inputs!$B$1+((Inputs!$G$5:$G$130&lt;&gt;"moeda")*(Inputs!$G$5:$G$130&lt;&gt;"acoes")))*INDEX(Inputs!$K$5:$AJ$130,0,MATCH(Z$2,Inputs!$K$4:$AJ$4,0)))+SUMPRODUCT((Inputs!$C$5:$C$130=$B16)*Inputs!$D$5:$D$130*(((Inputs!$G$5:$G$130="moeda")+(Inputs!$G$5:$G$130="acoes"))*Inputs!$B$1+((Inputs!$G$5:$G$130&lt;&gt;"moeda")*(Inputs!$G$5:$G$130&lt;&gt;"acoes")))*INDEX(Inputs!$K$5:$AJ$130,0,MATCH(Z$2,Inputs!$K$4:$AJ$4,0)))+SUMPRODUCT((Inputs!$E$5:$E$130=$B16)*Inputs!$F$5:$F$130*(((Inputs!$G$5:$G$130="moeda")+(Inputs!$G$5:$G$130="acoes"))*Inputs!$B$1+((Inputs!$G$5:$G$130&lt;&gt;"moeda")*(Inputs!$G$5:$G$130&lt;&gt;"acoes")))*INDEX(Inputs!$K$5:$AJ$130,0,MATCH(Z$2,Inputs!$K$4:$AJ$4,0)))))</f>
        <v>45287</v>
      </c>
      <c r="AA16" s="265">
        <f>IF(ISNA(MATCH(AA$2,Inputs!$K$4:$AJ$4,0)),NA(),IF(SUMPRODUCT((Inputs!$A$5:$A$130=$B16)*ISNUMBER(INDEX(Inputs!$K$5:$AJ$130,0,MATCH(AA$2,Inputs!$K$4:$AJ$4,0))))+SUMPRODUCT((Inputs!$C$5:$C$130=$B16)*ISNUMBER(INDEX(Inputs!$K$5:$AJ$130,0,MATCH(AA$2,Inputs!$K$4:$AJ$4,0))))+SUMPRODUCT((Inputs!$E$5:$E$130=$B16)*ISNUMBER(INDEX(Inputs!$K$5:$AJ$130,0,MATCH(AA$2,Inputs!$K$4:$AJ$4,0))))=0,NA(),SUMPRODUCT((Inputs!$A$5:$A$130=$B16)*Inputs!$B$5:$B$130*(((Inputs!$G$5:$G$130="moeda")+(Inputs!$G$5:$G$130="acoes"))*Inputs!$B$1+((Inputs!$G$5:$G$130&lt;&gt;"moeda")*(Inputs!$G$5:$G$130&lt;&gt;"acoes")))*INDEX(Inputs!$K$5:$AJ$130,0,MATCH(AA$2,Inputs!$K$4:$AJ$4,0)))+SUMPRODUCT((Inputs!$C$5:$C$130=$B16)*Inputs!$D$5:$D$130*(((Inputs!$G$5:$G$130="moeda")+(Inputs!$G$5:$G$130="acoes"))*Inputs!$B$1+((Inputs!$G$5:$G$130&lt;&gt;"moeda")*(Inputs!$G$5:$G$130&lt;&gt;"acoes")))*INDEX(Inputs!$K$5:$AJ$130,0,MATCH(AA$2,Inputs!$K$4:$AJ$4,0)))+SUMPRODUCT((Inputs!$E$5:$E$130=$B16)*Inputs!$F$5:$F$130*(((Inputs!$G$5:$G$130="moeda")+(Inputs!$G$5:$G$130="acoes"))*Inputs!$B$1+((Inputs!$G$5:$G$130&lt;&gt;"moeda")*(Inputs!$G$5:$G$130&lt;&gt;"acoes")))*INDEX(Inputs!$K$5:$AJ$130,0,MATCH(AA$2,Inputs!$K$4:$AJ$4,0)))))</f>
        <v>44597</v>
      </c>
      <c r="AB16" s="266">
        <f>AA16</f>
        <v>44597</v>
      </c>
      <c r="AC16" s="265">
        <f>IF(ISNA(MATCH(AC$2,Inputs!$K$4:$AJ$4,0)),NA(),IF(SUMPRODUCT((Inputs!$A$5:$A$130=$B16)*ISNUMBER(INDEX(Inputs!$K$5:$AJ$130,0,MATCH(AC$2,Inputs!$K$4:$AJ$4,0))))+SUMPRODUCT((Inputs!$C$5:$C$130=$B16)*ISNUMBER(INDEX(Inputs!$K$5:$AJ$130,0,MATCH(AC$2,Inputs!$K$4:$AJ$4,0))))+SUMPRODUCT((Inputs!$E$5:$E$130=$B16)*ISNUMBER(INDEX(Inputs!$K$5:$AJ$130,0,MATCH(AC$2,Inputs!$K$4:$AJ$4,0))))=0,NA(),SUMPRODUCT((Inputs!$A$5:$A$130=$B16)*Inputs!$B$5:$B$130*(((Inputs!$G$5:$G$130="moeda")+(Inputs!$G$5:$G$130="acoes"))*Inputs!$B$1+((Inputs!$G$5:$G$130&lt;&gt;"moeda")*(Inputs!$G$5:$G$130&lt;&gt;"acoes")))*INDEX(Inputs!$K$5:$AJ$130,0,MATCH(AC$2,Inputs!$K$4:$AJ$4,0)))+SUMPRODUCT((Inputs!$C$5:$C$130=$B16)*Inputs!$D$5:$D$130*(((Inputs!$G$5:$G$130="moeda")+(Inputs!$G$5:$G$130="acoes"))*Inputs!$B$1+((Inputs!$G$5:$G$130&lt;&gt;"moeda")*(Inputs!$G$5:$G$130&lt;&gt;"acoes")))*INDEX(Inputs!$K$5:$AJ$130,0,MATCH(AC$2,Inputs!$K$4:$AJ$4,0)))+SUMPRODUCT((Inputs!$E$5:$E$130=$B16)*Inputs!$F$5:$F$130*(((Inputs!$G$5:$G$130="moeda")+(Inputs!$G$5:$G$130="acoes"))*Inputs!$B$1+((Inputs!$G$5:$G$130&lt;&gt;"moeda")*(Inputs!$G$5:$G$130&lt;&gt;"acoes")))*INDEX(Inputs!$K$5:$AJ$130,0,MATCH(AC$2,Inputs!$K$4:$AJ$4,0)))))</f>
        <v>53891</v>
      </c>
      <c r="AD16" s="265">
        <f>IF(ISNA(MATCH(AD$2,Inputs!$K$4:$AJ$4,0)),NA(),IF(SUMPRODUCT((Inputs!$A$5:$A$130=$B16)*ISNUMBER(INDEX(Inputs!$K$5:$AJ$130,0,MATCH(AD$2,Inputs!$K$4:$AJ$4,0))))+SUMPRODUCT((Inputs!$C$5:$C$130=$B16)*ISNUMBER(INDEX(Inputs!$K$5:$AJ$130,0,MATCH(AD$2,Inputs!$K$4:$AJ$4,0))))+SUMPRODUCT((Inputs!$E$5:$E$130=$B16)*ISNUMBER(INDEX(Inputs!$K$5:$AJ$130,0,MATCH(AD$2,Inputs!$K$4:$AJ$4,0))))=0,NA(),SUMPRODUCT((Inputs!$A$5:$A$130=$B16)*Inputs!$B$5:$B$130*(((Inputs!$G$5:$G$130="moeda")+(Inputs!$G$5:$G$130="acoes"))*Inputs!$B$1+((Inputs!$G$5:$G$130&lt;&gt;"moeda")*(Inputs!$G$5:$G$130&lt;&gt;"acoes")))*INDEX(Inputs!$K$5:$AJ$130,0,MATCH(AD$2,Inputs!$K$4:$AJ$4,0)))+SUMPRODUCT((Inputs!$C$5:$C$130=$B16)*Inputs!$D$5:$D$130*(((Inputs!$G$5:$G$130="moeda")+(Inputs!$G$5:$G$130="acoes"))*Inputs!$B$1+((Inputs!$G$5:$G$130&lt;&gt;"moeda")*(Inputs!$G$5:$G$130&lt;&gt;"acoes")))*INDEX(Inputs!$K$5:$AJ$130,0,MATCH(AD$2,Inputs!$K$4:$AJ$4,0)))+SUMPRODUCT((Inputs!$E$5:$E$130=$B16)*Inputs!$F$5:$F$130*(((Inputs!$G$5:$G$130="moeda")+(Inputs!$G$5:$G$130="acoes"))*Inputs!$B$1+((Inputs!$G$5:$G$130&lt;&gt;"moeda")*(Inputs!$G$5:$G$130&lt;&gt;"acoes")))*INDEX(Inputs!$K$5:$AJ$130,0,MATCH(AD$2,Inputs!$K$4:$AJ$4,0)))))</f>
        <v>52938</v>
      </c>
      <c r="AE16" s="265" t="e">
        <f>IF(ISNA(MATCH(AE$2,Inputs!$K$4:$AJ$4,0)),NA(),IF(SUMPRODUCT((Inputs!$A$5:$A$130=$B16)*ISNUMBER(INDEX(Inputs!$K$5:$AJ$130,0,MATCH(AE$2,Inputs!$K$4:$AJ$4,0))))+SUMPRODUCT((Inputs!$C$5:$C$130=$B16)*ISNUMBER(INDEX(Inputs!$K$5:$AJ$130,0,MATCH(AE$2,Inputs!$K$4:$AJ$4,0))))+SUMPRODUCT((Inputs!$E$5:$E$130=$B16)*ISNUMBER(INDEX(Inputs!$K$5:$AJ$130,0,MATCH(AE$2,Inputs!$K$4:$AJ$4,0))))=0,NA(),SUMPRODUCT((Inputs!$A$5:$A$130=$B16)*Inputs!$B$5:$B$130*(((Inputs!$G$5:$G$130="moeda")+(Inputs!$G$5:$G$130="acoes"))*Inputs!$B$1+((Inputs!$G$5:$G$130&lt;&gt;"moeda")*(Inputs!$G$5:$G$130&lt;&gt;"acoes")))*INDEX(Inputs!$K$5:$AJ$130,0,MATCH(AE$2,Inputs!$K$4:$AJ$4,0)))+SUMPRODUCT((Inputs!$C$5:$C$130=$B16)*Inputs!$D$5:$D$130*(((Inputs!$G$5:$G$130="moeda")+(Inputs!$G$5:$G$130="acoes"))*Inputs!$B$1+((Inputs!$G$5:$G$130&lt;&gt;"moeda")*(Inputs!$G$5:$G$130&lt;&gt;"acoes")))*INDEX(Inputs!$K$5:$AJ$130,0,MATCH(AE$2,Inputs!$K$4:$AJ$4,0)))+SUMPRODUCT((Inputs!$E$5:$E$130=$B16)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6" s="265" t="e">
        <f>IF(ISNA(MATCH(AF$2,Inputs!$K$4:$AJ$4,0)),NA(),IF(SUMPRODUCT((Inputs!$A$5:$A$130=$B16)*ISNUMBER(INDEX(Inputs!$K$5:$AJ$130,0,MATCH(AF$2,Inputs!$K$4:$AJ$4,0))))+SUMPRODUCT((Inputs!$C$5:$C$130=$B16)*ISNUMBER(INDEX(Inputs!$K$5:$AJ$130,0,MATCH(AF$2,Inputs!$K$4:$AJ$4,0))))+SUMPRODUCT((Inputs!$E$5:$E$130=$B16)*ISNUMBER(INDEX(Inputs!$K$5:$AJ$130,0,MATCH(AF$2,Inputs!$K$4:$AJ$4,0))))=0,NA(),SUMPRODUCT((Inputs!$A$5:$A$130=$B16)*Inputs!$B$5:$B$130*(((Inputs!$G$5:$G$130="moeda")+(Inputs!$G$5:$G$130="acoes"))*Inputs!$B$1+((Inputs!$G$5:$G$130&lt;&gt;"moeda")*(Inputs!$G$5:$G$130&lt;&gt;"acoes")))*INDEX(Inputs!$K$5:$AJ$130,0,MATCH(AF$2,Inputs!$K$4:$AJ$4,0)))+SUMPRODUCT((Inputs!$C$5:$C$130=$B16)*Inputs!$D$5:$D$130*(((Inputs!$G$5:$G$130="moeda")+(Inputs!$G$5:$G$130="acoes"))*Inputs!$B$1+((Inputs!$G$5:$G$130&lt;&gt;"moeda")*(Inputs!$G$5:$G$130&lt;&gt;"acoes")))*INDEX(Inputs!$K$5:$AJ$130,0,MATCH(AF$2,Inputs!$K$4:$AJ$4,0)))+SUMPRODUCT((Inputs!$E$5:$E$130=$B16)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6" s="266" t="e">
        <f>AF16</f>
        <v>#N/A</v>
      </c>
      <c r="AH16" s="265" t="e">
        <f>IF(ISNA(MATCH(AH$2,Inputs!$K$4:$AJ$4,0)),NA(),IF(SUMPRODUCT((Inputs!$A$5:$A$130=$B16)*ISNUMBER(INDEX(Inputs!$K$5:$AJ$130,0,MATCH(AH$2,Inputs!$K$4:$AJ$4,0))))+SUMPRODUCT((Inputs!$C$5:$C$130=$B16)*ISNUMBER(INDEX(Inputs!$K$5:$AJ$130,0,MATCH(AH$2,Inputs!$K$4:$AJ$4,0))))+SUMPRODUCT((Inputs!$E$5:$E$130=$B16)*ISNUMBER(INDEX(Inputs!$K$5:$AJ$130,0,MATCH(AH$2,Inputs!$K$4:$AJ$4,0))))=0,NA(),SUMPRODUCT((Inputs!$A$5:$A$130=$B16)*Inputs!$B$5:$B$130*(((Inputs!$G$5:$G$130="moeda")+(Inputs!$G$5:$G$130="acoes"))*Inputs!$B$1+((Inputs!$G$5:$G$130&lt;&gt;"moeda")*(Inputs!$G$5:$G$130&lt;&gt;"acoes")))*INDEX(Inputs!$K$5:$AJ$130,0,MATCH(AH$2,Inputs!$K$4:$AJ$4,0)))+SUMPRODUCT((Inputs!$C$5:$C$130=$B16)*Inputs!$D$5:$D$130*(((Inputs!$G$5:$G$130="moeda")+(Inputs!$G$5:$G$130="acoes"))*Inputs!$B$1+((Inputs!$G$5:$G$130&lt;&gt;"moeda")*(Inputs!$G$5:$G$130&lt;&gt;"acoes")))*INDEX(Inputs!$K$5:$AJ$130,0,MATCH(AH$2,Inputs!$K$4:$AJ$4,0)))+SUMPRODUCT((Inputs!$E$5:$E$130=$B16)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16" s="265" t="e">
        <f>IF(ISNA(MATCH(AI$2,Inputs!$K$4:$AJ$4,0)),NA(),IF(SUMPRODUCT((Inputs!$A$5:$A$130=$B16)*ISNUMBER(INDEX(Inputs!$K$5:$AJ$130,0,MATCH(AI$2,Inputs!$K$4:$AJ$4,0))))+SUMPRODUCT((Inputs!$C$5:$C$130=$B16)*ISNUMBER(INDEX(Inputs!$K$5:$AJ$130,0,MATCH(AI$2,Inputs!$K$4:$AJ$4,0))))+SUMPRODUCT((Inputs!$E$5:$E$130=$B16)*ISNUMBER(INDEX(Inputs!$K$5:$AJ$130,0,MATCH(AI$2,Inputs!$K$4:$AJ$4,0))))=0,NA(),SUMPRODUCT((Inputs!$A$5:$A$130=$B16)*Inputs!$B$5:$B$130*(((Inputs!$G$5:$G$130="moeda")+(Inputs!$G$5:$G$130="acoes"))*Inputs!$B$1+((Inputs!$G$5:$G$130&lt;&gt;"moeda")*(Inputs!$G$5:$G$130&lt;&gt;"acoes")))*INDEX(Inputs!$K$5:$AJ$130,0,MATCH(AI$2,Inputs!$K$4:$AJ$4,0)))+SUMPRODUCT((Inputs!$C$5:$C$130=$B16)*Inputs!$D$5:$D$130*(((Inputs!$G$5:$G$130="moeda")+(Inputs!$G$5:$G$130="acoes"))*Inputs!$B$1+((Inputs!$G$5:$G$130&lt;&gt;"moeda")*(Inputs!$G$5:$G$130&lt;&gt;"acoes")))*INDEX(Inputs!$K$5:$AJ$130,0,MATCH(AI$2,Inputs!$K$4:$AJ$4,0)))+SUMPRODUCT((Inputs!$E$5:$E$130=$B16)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16" s="265" t="e">
        <f>IF(ISNA(MATCH(AJ$2,Inputs!$K$4:$AJ$4,0)),NA(),IF(SUMPRODUCT((Inputs!$A$5:$A$130=$B16)*ISNUMBER(INDEX(Inputs!$K$5:$AJ$130,0,MATCH(AJ$2,Inputs!$K$4:$AJ$4,0))))+SUMPRODUCT((Inputs!$C$5:$C$130=$B16)*ISNUMBER(INDEX(Inputs!$K$5:$AJ$130,0,MATCH(AJ$2,Inputs!$K$4:$AJ$4,0))))+SUMPRODUCT((Inputs!$E$5:$E$130=$B16)*ISNUMBER(INDEX(Inputs!$K$5:$AJ$130,0,MATCH(AJ$2,Inputs!$K$4:$AJ$4,0))))=0,NA(),SUMPRODUCT((Inputs!$A$5:$A$130=$B16)*Inputs!$B$5:$B$130*(((Inputs!$G$5:$G$130="moeda")+(Inputs!$G$5:$G$130="acoes"))*Inputs!$B$1+((Inputs!$G$5:$G$130&lt;&gt;"moeda")*(Inputs!$G$5:$G$130&lt;&gt;"acoes")))*INDEX(Inputs!$K$5:$AJ$130,0,MATCH(AJ$2,Inputs!$K$4:$AJ$4,0)))+SUMPRODUCT((Inputs!$C$5:$C$130=$B16)*Inputs!$D$5:$D$130*(((Inputs!$G$5:$G$130="moeda")+(Inputs!$G$5:$G$130="acoes"))*Inputs!$B$1+((Inputs!$G$5:$G$130&lt;&gt;"moeda")*(Inputs!$G$5:$G$130&lt;&gt;"acoes")))*INDEX(Inputs!$K$5:$AJ$130,0,MATCH(AJ$2,Inputs!$K$4:$AJ$4,0)))+SUMPRODUCT((Inputs!$E$5:$E$130=$B16)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16" s="265" t="e">
        <f>IF(ISNA(MATCH(AK$2,Inputs!$K$4:$AJ$4,0)),NA(),IF(SUMPRODUCT((Inputs!$A$5:$A$130=$B16)*ISNUMBER(INDEX(Inputs!$K$5:$AJ$130,0,MATCH(AK$2,Inputs!$K$4:$AJ$4,0))))+SUMPRODUCT((Inputs!$C$5:$C$130=$B16)*ISNUMBER(INDEX(Inputs!$K$5:$AJ$130,0,MATCH(AK$2,Inputs!$K$4:$AJ$4,0))))+SUMPRODUCT((Inputs!$E$5:$E$130=$B16)*ISNUMBER(INDEX(Inputs!$K$5:$AJ$130,0,MATCH(AK$2,Inputs!$K$4:$AJ$4,0))))=0,NA(),SUMPRODUCT((Inputs!$A$5:$A$130=$B16)*Inputs!$B$5:$B$130*(((Inputs!$G$5:$G$130="moeda")+(Inputs!$G$5:$G$130="acoes"))*Inputs!$B$1+((Inputs!$G$5:$G$130&lt;&gt;"moeda")*(Inputs!$G$5:$G$130&lt;&gt;"acoes")))*INDEX(Inputs!$K$5:$AJ$130,0,MATCH(AK$2,Inputs!$K$4:$AJ$4,0)))+SUMPRODUCT((Inputs!$C$5:$C$130=$B16)*Inputs!$D$5:$D$130*(((Inputs!$G$5:$G$130="moeda")+(Inputs!$G$5:$G$130="acoes"))*Inputs!$B$1+((Inputs!$G$5:$G$130&lt;&gt;"moeda")*(Inputs!$G$5:$G$130&lt;&gt;"acoes")))*INDEX(Inputs!$K$5:$AJ$130,0,MATCH(AK$2,Inputs!$K$4:$AJ$4,0)))+SUMPRODUCT((Inputs!$E$5:$E$130=$B16)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16" s="266" t="e">
        <f>AK16</f>
        <v>#N/A</v>
      </c>
    </row>
    <row r="17" ht="12.75" customHeight="1" s="254">
      <c r="B17" s="263" t="n">
        <v>13</v>
      </c>
      <c r="C17" s="268" t="inlineStr">
        <is>
          <t>Inventories</t>
        </is>
      </c>
      <c r="D17" s="265">
        <f>IF(ISNA(MATCH(D$2,Inputs!$K$4:$AJ$4,0)),NA(),IF(SUMPRODUCT((Inputs!$A$5:$A$130=$B17)*ISNUMBER(INDEX(Inputs!$K$5:$AJ$130,0,MATCH(D$2,Inputs!$K$4:$AJ$4,0))))+SUMPRODUCT((Inputs!$C$5:$C$130=$B17)*ISNUMBER(INDEX(Inputs!$K$5:$AJ$130,0,MATCH(D$2,Inputs!$K$4:$AJ$4,0))))+SUMPRODUCT((Inputs!$E$5:$E$130=$B17)*ISNUMBER(INDEX(Inputs!$K$5:$AJ$130,0,MATCH(D$2,Inputs!$K$4:$AJ$4,0))))=0,NA(),SUMPRODUCT((Inputs!$A$5:$A$130=$B17)*Inputs!$B$5:$B$130*(((Inputs!$G$5:$G$130="moeda")+(Inputs!$G$5:$G$130="acoes"))*Inputs!$B$1+((Inputs!$G$5:$G$130&lt;&gt;"moeda")*(Inputs!$G$5:$G$130&lt;&gt;"acoes")))*INDEX(Inputs!$K$5:$AJ$130,0,MATCH(D$2,Inputs!$K$4:$AJ$4,0)))+SUMPRODUCT((Inputs!$C$5:$C$130=$B17)*Inputs!$D$5:$D$130*(((Inputs!$G$5:$G$130="moeda")+(Inputs!$G$5:$G$130="acoes"))*Inputs!$B$1+((Inputs!$G$5:$G$130&lt;&gt;"moeda")*(Inputs!$G$5:$G$130&lt;&gt;"acoes")))*INDEX(Inputs!$K$5:$AJ$130,0,MATCH(D$2,Inputs!$K$4:$AJ$4,0)))+SUMPRODUCT((Inputs!$E$5:$E$130=$B17)*Inputs!$F$5:$F$130*(((Inputs!$G$5:$G$130="moeda")+(Inputs!$G$5:$G$130="acoes"))*Inputs!$B$1+((Inputs!$G$5:$G$130&lt;&gt;"moeda")*(Inputs!$G$5:$G$130&lt;&gt;"acoes")))*INDEX(Inputs!$K$5:$AJ$130,0,MATCH(D$2,Inputs!$K$4:$AJ$4,0)))))</f>
        <v>22680</v>
      </c>
      <c r="E17" s="265">
        <f>IF(ISNA(MATCH(E$2,Inputs!$K$4:$AJ$4,0)),NA(),IF(SUMPRODUCT((Inputs!$A$5:$A$130=$B17)*ISNUMBER(INDEX(Inputs!$K$5:$AJ$130,0,MATCH(E$2,Inputs!$K$4:$AJ$4,0))))+SUMPRODUCT((Inputs!$C$5:$C$130=$B17)*ISNUMBER(INDEX(Inputs!$K$5:$AJ$130,0,MATCH(E$2,Inputs!$K$4:$AJ$4,0))))+SUMPRODUCT((Inputs!$E$5:$E$130=$B17)*ISNUMBER(INDEX(Inputs!$K$5:$AJ$130,0,MATCH(E$2,Inputs!$K$4:$AJ$4,0))))=0,NA(),SUMPRODUCT((Inputs!$A$5:$A$130=$B17)*Inputs!$B$5:$B$130*(((Inputs!$G$5:$G$130="moeda")+(Inputs!$G$5:$G$130="acoes"))*Inputs!$B$1+((Inputs!$G$5:$G$130&lt;&gt;"moeda")*(Inputs!$G$5:$G$130&lt;&gt;"acoes")))*INDEX(Inputs!$K$5:$AJ$130,0,MATCH(E$2,Inputs!$K$4:$AJ$4,0)))+SUMPRODUCT((Inputs!$C$5:$C$130=$B17)*Inputs!$D$5:$D$130*(((Inputs!$G$5:$G$130="moeda")+(Inputs!$G$5:$G$130="acoes"))*Inputs!$B$1+((Inputs!$G$5:$G$130&lt;&gt;"moeda")*(Inputs!$G$5:$G$130&lt;&gt;"acoes")))*INDEX(Inputs!$K$5:$AJ$130,0,MATCH(E$2,Inputs!$K$4:$AJ$4,0)))+SUMPRODUCT((Inputs!$E$5:$E$130=$B17)*Inputs!$F$5:$F$130*(((Inputs!$G$5:$G$130="moeda")+(Inputs!$G$5:$G$130="acoes"))*Inputs!$B$1+((Inputs!$G$5:$G$130&lt;&gt;"moeda")*(Inputs!$G$5:$G$130&lt;&gt;"acoes")))*INDEX(Inputs!$K$5:$AJ$130,0,MATCH(E$2,Inputs!$K$4:$AJ$4,0)))))</f>
        <v>25097</v>
      </c>
      <c r="F17" s="265">
        <f>IF(ISNA(MATCH(F$2,Inputs!$K$4:$AJ$4,0)),NA(),IF(SUMPRODUCT((Inputs!$A$5:$A$130=$B17)*ISNUMBER(INDEX(Inputs!$K$5:$AJ$130,0,MATCH(F$2,Inputs!$K$4:$AJ$4,0))))+SUMPRODUCT((Inputs!$C$5:$C$130=$B17)*ISNUMBER(INDEX(Inputs!$K$5:$AJ$130,0,MATCH(F$2,Inputs!$K$4:$AJ$4,0))))+SUMPRODUCT((Inputs!$E$5:$E$130=$B17)*ISNUMBER(INDEX(Inputs!$K$5:$AJ$130,0,MATCH(F$2,Inputs!$K$4:$AJ$4,0))))=0,NA(),SUMPRODUCT((Inputs!$A$5:$A$130=$B17)*Inputs!$B$5:$B$130*(((Inputs!$G$5:$G$130="moeda")+(Inputs!$G$5:$G$130="acoes"))*Inputs!$B$1+((Inputs!$G$5:$G$130&lt;&gt;"moeda")*(Inputs!$G$5:$G$130&lt;&gt;"acoes")))*INDEX(Inputs!$K$5:$AJ$130,0,MATCH(F$2,Inputs!$K$4:$AJ$4,0)))+SUMPRODUCT((Inputs!$C$5:$C$130=$B17)*Inputs!$D$5:$D$130*(((Inputs!$G$5:$G$130="moeda")+(Inputs!$G$5:$G$130="acoes"))*Inputs!$B$1+((Inputs!$G$5:$G$130&lt;&gt;"moeda")*(Inputs!$G$5:$G$130&lt;&gt;"acoes")))*INDEX(Inputs!$K$5:$AJ$130,0,MATCH(F$2,Inputs!$K$4:$AJ$4,0)))+SUMPRODUCT((Inputs!$E$5:$E$130=$B17)*Inputs!$F$5:$F$130*(((Inputs!$G$5:$G$130="moeda")+(Inputs!$G$5:$G$130="acoes"))*Inputs!$B$1+((Inputs!$G$5:$G$130&lt;&gt;"moeda")*(Inputs!$G$5:$G$130&lt;&gt;"acoes")))*INDEX(Inputs!$K$5:$AJ$130,0,MATCH(F$2,Inputs!$K$4:$AJ$4,0)))))</f>
        <v>24596</v>
      </c>
      <c r="G17" s="265">
        <f>IF(ISNA(MATCH(G$2,Inputs!$K$4:$AJ$4,0)),NA(),IF(SUMPRODUCT((Inputs!$A$5:$A$130=$B17)*ISNUMBER(INDEX(Inputs!$K$5:$AJ$130,0,MATCH(G$2,Inputs!$K$4:$AJ$4,0))))+SUMPRODUCT((Inputs!$C$5:$C$130=$B17)*ISNUMBER(INDEX(Inputs!$K$5:$AJ$130,0,MATCH(G$2,Inputs!$K$4:$AJ$4,0))))+SUMPRODUCT((Inputs!$E$5:$E$130=$B17)*ISNUMBER(INDEX(Inputs!$K$5:$AJ$130,0,MATCH(G$2,Inputs!$K$4:$AJ$4,0))))=0,NA(),SUMPRODUCT((Inputs!$A$5:$A$130=$B17)*Inputs!$B$5:$B$130*(((Inputs!$G$5:$G$130="moeda")+(Inputs!$G$5:$G$130="acoes"))*Inputs!$B$1+((Inputs!$G$5:$G$130&lt;&gt;"moeda")*(Inputs!$G$5:$G$130&lt;&gt;"acoes")))*INDEX(Inputs!$K$5:$AJ$130,0,MATCH(G$2,Inputs!$K$4:$AJ$4,0)))+SUMPRODUCT((Inputs!$C$5:$C$130=$B17)*Inputs!$D$5:$D$130*(((Inputs!$G$5:$G$130="moeda")+(Inputs!$G$5:$G$130="acoes"))*Inputs!$B$1+((Inputs!$G$5:$G$130&lt;&gt;"moeda")*(Inputs!$G$5:$G$130&lt;&gt;"acoes")))*INDEX(Inputs!$K$5:$AJ$130,0,MATCH(G$2,Inputs!$K$4:$AJ$4,0)))+SUMPRODUCT((Inputs!$E$5:$E$130=$B17)*Inputs!$F$5:$F$130*(((Inputs!$G$5:$G$130="moeda")+(Inputs!$G$5:$G$130="acoes"))*Inputs!$B$1+((Inputs!$G$5:$G$130&lt;&gt;"moeda")*(Inputs!$G$5:$G$130&lt;&gt;"acoes")))*INDEX(Inputs!$K$5:$AJ$130,0,MATCH(G$2,Inputs!$K$4:$AJ$4,0)))))</f>
        <v>25258</v>
      </c>
      <c r="H17" s="266">
        <f>G17</f>
        <v>25258</v>
      </c>
      <c r="I17" s="265">
        <f>IF(ISNA(MATCH(I$2,Inputs!$K$4:$AJ$4,0)),NA(),IF(SUMPRODUCT((Inputs!$A$5:$A$130=$B17)*ISNUMBER(INDEX(Inputs!$K$5:$AJ$130,0,MATCH(I$2,Inputs!$K$4:$AJ$4,0))))+SUMPRODUCT((Inputs!$C$5:$C$130=$B17)*ISNUMBER(INDEX(Inputs!$K$5:$AJ$130,0,MATCH(I$2,Inputs!$K$4:$AJ$4,0))))+SUMPRODUCT((Inputs!$E$5:$E$130=$B17)*ISNUMBER(INDEX(Inputs!$K$5:$AJ$130,0,MATCH(I$2,Inputs!$K$4:$AJ$4,0))))=0,NA(),SUMPRODUCT((Inputs!$A$5:$A$130=$B17)*Inputs!$B$5:$B$130*(((Inputs!$G$5:$G$130="moeda")+(Inputs!$G$5:$G$130="acoes"))*Inputs!$B$1+((Inputs!$G$5:$G$130&lt;&gt;"moeda")*(Inputs!$G$5:$G$130&lt;&gt;"acoes")))*INDEX(Inputs!$K$5:$AJ$130,0,MATCH(I$2,Inputs!$K$4:$AJ$4,0)))+SUMPRODUCT((Inputs!$C$5:$C$130=$B17)*Inputs!$D$5:$D$130*(((Inputs!$G$5:$G$130="moeda")+(Inputs!$G$5:$G$130="acoes"))*Inputs!$B$1+((Inputs!$G$5:$G$130&lt;&gt;"moeda")*(Inputs!$G$5:$G$130&lt;&gt;"acoes")))*INDEX(Inputs!$K$5:$AJ$130,0,MATCH(I$2,Inputs!$K$4:$AJ$4,0)))+SUMPRODUCT((Inputs!$E$5:$E$130=$B17)*Inputs!$F$5:$F$130*(((Inputs!$G$5:$G$130="moeda")+(Inputs!$G$5:$G$130="acoes"))*Inputs!$B$1+((Inputs!$G$5:$G$130&lt;&gt;"moeda")*(Inputs!$G$5:$G$130&lt;&gt;"acoes")))*INDEX(Inputs!$K$5:$AJ$130,0,MATCH(I$2,Inputs!$K$4:$AJ$4,0)))))</f>
        <v>30008</v>
      </c>
      <c r="J17" s="265">
        <f>IF(ISNA(MATCH(J$2,Inputs!$K$4:$AJ$4,0)),NA(),IF(SUMPRODUCT((Inputs!$A$5:$A$130=$B17)*ISNUMBER(INDEX(Inputs!$K$5:$AJ$130,0,MATCH(J$2,Inputs!$K$4:$AJ$4,0))))+SUMPRODUCT((Inputs!$C$5:$C$130=$B17)*ISNUMBER(INDEX(Inputs!$K$5:$AJ$130,0,MATCH(J$2,Inputs!$K$4:$AJ$4,0))))+SUMPRODUCT((Inputs!$E$5:$E$130=$B17)*ISNUMBER(INDEX(Inputs!$K$5:$AJ$130,0,MATCH(J$2,Inputs!$K$4:$AJ$4,0))))=0,NA(),SUMPRODUCT((Inputs!$A$5:$A$130=$B17)*Inputs!$B$5:$B$130*(((Inputs!$G$5:$G$130="moeda")+(Inputs!$G$5:$G$130="acoes"))*Inputs!$B$1+((Inputs!$G$5:$G$130&lt;&gt;"moeda")*(Inputs!$G$5:$G$130&lt;&gt;"acoes")))*INDEX(Inputs!$K$5:$AJ$130,0,MATCH(J$2,Inputs!$K$4:$AJ$4,0)))+SUMPRODUCT((Inputs!$C$5:$C$130=$B17)*Inputs!$D$5:$D$130*(((Inputs!$G$5:$G$130="moeda")+(Inputs!$G$5:$G$130="acoes"))*Inputs!$B$1+((Inputs!$G$5:$G$130&lt;&gt;"moeda")*(Inputs!$G$5:$G$130&lt;&gt;"acoes")))*INDEX(Inputs!$K$5:$AJ$130,0,MATCH(J$2,Inputs!$K$4:$AJ$4,0)))+SUMPRODUCT((Inputs!$E$5:$E$130=$B17)*Inputs!$F$5:$F$130*(((Inputs!$G$5:$G$130="moeda")+(Inputs!$G$5:$G$130="acoes"))*Inputs!$B$1+((Inputs!$G$5:$G$130&lt;&gt;"moeda")*(Inputs!$G$5:$G$130&lt;&gt;"acoes")))*INDEX(Inputs!$K$5:$AJ$130,0,MATCH(J$2,Inputs!$K$4:$AJ$4,0)))))</f>
        <v>36087</v>
      </c>
      <c r="K17" s="265">
        <f>IF(ISNA(MATCH(K$2,Inputs!$K$4:$AJ$4,0)),NA(),IF(SUMPRODUCT((Inputs!$A$5:$A$130=$B17)*ISNUMBER(INDEX(Inputs!$K$5:$AJ$130,0,MATCH(K$2,Inputs!$K$4:$AJ$4,0))))+SUMPRODUCT((Inputs!$C$5:$C$130=$B17)*ISNUMBER(INDEX(Inputs!$K$5:$AJ$130,0,MATCH(K$2,Inputs!$K$4:$AJ$4,0))))+SUMPRODUCT((Inputs!$E$5:$E$130=$B17)*ISNUMBER(INDEX(Inputs!$K$5:$AJ$130,0,MATCH(K$2,Inputs!$K$4:$AJ$4,0))))=0,NA(),SUMPRODUCT((Inputs!$A$5:$A$130=$B17)*Inputs!$B$5:$B$130*(((Inputs!$G$5:$G$130="moeda")+(Inputs!$G$5:$G$130="acoes"))*Inputs!$B$1+((Inputs!$G$5:$G$130&lt;&gt;"moeda")*(Inputs!$G$5:$G$130&lt;&gt;"acoes")))*INDEX(Inputs!$K$5:$AJ$130,0,MATCH(K$2,Inputs!$K$4:$AJ$4,0)))+SUMPRODUCT((Inputs!$C$5:$C$130=$B17)*Inputs!$D$5:$D$130*(((Inputs!$G$5:$G$130="moeda")+(Inputs!$G$5:$G$130="acoes"))*Inputs!$B$1+((Inputs!$G$5:$G$130&lt;&gt;"moeda")*(Inputs!$G$5:$G$130&lt;&gt;"acoes")))*INDEX(Inputs!$K$5:$AJ$130,0,MATCH(K$2,Inputs!$K$4:$AJ$4,0)))+SUMPRODUCT((Inputs!$E$5:$E$130=$B17)*Inputs!$F$5:$F$130*(((Inputs!$G$5:$G$130="moeda")+(Inputs!$G$5:$G$130="acoes"))*Inputs!$B$1+((Inputs!$G$5:$G$130&lt;&gt;"moeda")*(Inputs!$G$5:$G$130&lt;&gt;"acoes")))*INDEX(Inputs!$K$5:$AJ$130,0,MATCH(K$2,Inputs!$K$4:$AJ$4,0)))))</f>
        <v>34721</v>
      </c>
      <c r="L17" s="265">
        <f>IF(ISNA(MATCH(L$2,Inputs!$K$4:$AJ$4,0)),NA(),IF(SUMPRODUCT((Inputs!$A$5:$A$130=$B17)*ISNUMBER(INDEX(Inputs!$K$5:$AJ$130,0,MATCH(L$2,Inputs!$K$4:$AJ$4,0))))+SUMPRODUCT((Inputs!$C$5:$C$130=$B17)*ISNUMBER(INDEX(Inputs!$K$5:$AJ$130,0,MATCH(L$2,Inputs!$K$4:$AJ$4,0))))+SUMPRODUCT((Inputs!$E$5:$E$130=$B17)*ISNUMBER(INDEX(Inputs!$K$5:$AJ$130,0,MATCH(L$2,Inputs!$K$4:$AJ$4,0))))=0,NA(),SUMPRODUCT((Inputs!$A$5:$A$130=$B17)*Inputs!$B$5:$B$130*(((Inputs!$G$5:$G$130="moeda")+(Inputs!$G$5:$G$130="acoes"))*Inputs!$B$1+((Inputs!$G$5:$G$130&lt;&gt;"moeda")*(Inputs!$G$5:$G$130&lt;&gt;"acoes")))*INDEX(Inputs!$K$5:$AJ$130,0,MATCH(L$2,Inputs!$K$4:$AJ$4,0)))+SUMPRODUCT((Inputs!$C$5:$C$130=$B17)*Inputs!$D$5:$D$130*(((Inputs!$G$5:$G$130="moeda")+(Inputs!$G$5:$G$130="acoes"))*Inputs!$B$1+((Inputs!$G$5:$G$130&lt;&gt;"moeda")*(Inputs!$G$5:$G$130&lt;&gt;"acoes")))*INDEX(Inputs!$K$5:$AJ$130,0,MATCH(L$2,Inputs!$K$4:$AJ$4,0)))+SUMPRODUCT((Inputs!$E$5:$E$130=$B17)*Inputs!$F$5:$F$130*(((Inputs!$G$5:$G$130="moeda")+(Inputs!$G$5:$G$130="acoes"))*Inputs!$B$1+((Inputs!$G$5:$G$130&lt;&gt;"moeda")*(Inputs!$G$5:$G$130&lt;&gt;"acoes")))*INDEX(Inputs!$K$5:$AJ$130,0,MATCH(L$2,Inputs!$K$4:$AJ$4,0)))))</f>
        <v>31894</v>
      </c>
      <c r="M17" s="266">
        <f>L17</f>
        <v>31894</v>
      </c>
      <c r="N17" s="265">
        <f>IF(ISNA(MATCH(N$2,Inputs!$K$4:$AJ$4,0)),NA(),IF(SUMPRODUCT((Inputs!$A$5:$A$130=$B17)*ISNUMBER(INDEX(Inputs!$K$5:$AJ$130,0,MATCH(N$2,Inputs!$K$4:$AJ$4,0))))+SUMPRODUCT((Inputs!$C$5:$C$130=$B17)*ISNUMBER(INDEX(Inputs!$K$5:$AJ$130,0,MATCH(N$2,Inputs!$K$4:$AJ$4,0))))+SUMPRODUCT((Inputs!$E$5:$E$130=$B17)*ISNUMBER(INDEX(Inputs!$K$5:$AJ$130,0,MATCH(N$2,Inputs!$K$4:$AJ$4,0))))=0,NA(),SUMPRODUCT((Inputs!$A$5:$A$130=$B17)*Inputs!$B$5:$B$130*(((Inputs!$G$5:$G$130="moeda")+(Inputs!$G$5:$G$130="acoes"))*Inputs!$B$1+((Inputs!$G$5:$G$130&lt;&gt;"moeda")*(Inputs!$G$5:$G$130&lt;&gt;"acoes")))*INDEX(Inputs!$K$5:$AJ$130,0,MATCH(N$2,Inputs!$K$4:$AJ$4,0)))+SUMPRODUCT((Inputs!$C$5:$C$130=$B17)*Inputs!$D$5:$D$130*(((Inputs!$G$5:$G$130="moeda")+(Inputs!$G$5:$G$130="acoes"))*Inputs!$B$1+((Inputs!$G$5:$G$130&lt;&gt;"moeda")*(Inputs!$G$5:$G$130&lt;&gt;"acoes")))*INDEX(Inputs!$K$5:$AJ$130,0,MATCH(N$2,Inputs!$K$4:$AJ$4,0)))+SUMPRODUCT((Inputs!$E$5:$E$130=$B17)*Inputs!$F$5:$F$130*(((Inputs!$G$5:$G$130="moeda")+(Inputs!$G$5:$G$130="acoes"))*Inputs!$B$1+((Inputs!$G$5:$G$130&lt;&gt;"moeda")*(Inputs!$G$5:$G$130&lt;&gt;"acoes")))*INDEX(Inputs!$K$5:$AJ$130,0,MATCH(N$2,Inputs!$K$4:$AJ$4,0)))))</f>
        <v>28579</v>
      </c>
      <c r="O17" s="265">
        <f>IF(ISNA(MATCH(O$2,Inputs!$K$4:$AJ$4,0)),NA(),IF(SUMPRODUCT((Inputs!$A$5:$A$130=$B17)*ISNUMBER(INDEX(Inputs!$K$5:$AJ$130,0,MATCH(O$2,Inputs!$K$4:$AJ$4,0))))+SUMPRODUCT((Inputs!$C$5:$C$130=$B17)*ISNUMBER(INDEX(Inputs!$K$5:$AJ$130,0,MATCH(O$2,Inputs!$K$4:$AJ$4,0))))+SUMPRODUCT((Inputs!$E$5:$E$130=$B17)*ISNUMBER(INDEX(Inputs!$K$5:$AJ$130,0,MATCH(O$2,Inputs!$K$4:$AJ$4,0))))=0,NA(),SUMPRODUCT((Inputs!$A$5:$A$130=$B17)*Inputs!$B$5:$B$130*(((Inputs!$G$5:$G$130="moeda")+(Inputs!$G$5:$G$130="acoes"))*Inputs!$B$1+((Inputs!$G$5:$G$130&lt;&gt;"moeda")*(Inputs!$G$5:$G$130&lt;&gt;"acoes")))*INDEX(Inputs!$K$5:$AJ$130,0,MATCH(O$2,Inputs!$K$4:$AJ$4,0)))+SUMPRODUCT((Inputs!$C$5:$C$130=$B17)*Inputs!$D$5:$D$130*(((Inputs!$G$5:$G$130="moeda")+(Inputs!$G$5:$G$130="acoes"))*Inputs!$B$1+((Inputs!$G$5:$G$130&lt;&gt;"moeda")*(Inputs!$G$5:$G$130&lt;&gt;"acoes")))*INDEX(Inputs!$K$5:$AJ$130,0,MATCH(O$2,Inputs!$K$4:$AJ$4,0)))+SUMPRODUCT((Inputs!$E$5:$E$130=$B17)*Inputs!$F$5:$F$130*(((Inputs!$G$5:$G$130="moeda")+(Inputs!$G$5:$G$130="acoes"))*Inputs!$B$1+((Inputs!$G$5:$G$130&lt;&gt;"moeda")*(Inputs!$G$5:$G$130&lt;&gt;"acoes")))*INDEX(Inputs!$K$5:$AJ$130,0,MATCH(O$2,Inputs!$K$4:$AJ$4,0)))))</f>
        <v>26975</v>
      </c>
      <c r="P17" s="265">
        <f>IF(ISNA(MATCH(P$2,Inputs!$K$4:$AJ$4,0)),NA(),IF(SUMPRODUCT((Inputs!$A$5:$A$130=$B17)*ISNUMBER(INDEX(Inputs!$K$5:$AJ$130,0,MATCH(P$2,Inputs!$K$4:$AJ$4,0))))+SUMPRODUCT((Inputs!$C$5:$C$130=$B17)*ISNUMBER(INDEX(Inputs!$K$5:$AJ$130,0,MATCH(P$2,Inputs!$K$4:$AJ$4,0))))+SUMPRODUCT((Inputs!$E$5:$E$130=$B17)*ISNUMBER(INDEX(Inputs!$K$5:$AJ$130,0,MATCH(P$2,Inputs!$K$4:$AJ$4,0))))=0,NA(),SUMPRODUCT((Inputs!$A$5:$A$130=$B17)*Inputs!$B$5:$B$130*(((Inputs!$G$5:$G$130="moeda")+(Inputs!$G$5:$G$130="acoes"))*Inputs!$B$1+((Inputs!$G$5:$G$130&lt;&gt;"moeda")*(Inputs!$G$5:$G$130&lt;&gt;"acoes")))*INDEX(Inputs!$K$5:$AJ$130,0,MATCH(P$2,Inputs!$K$4:$AJ$4,0)))+SUMPRODUCT((Inputs!$C$5:$C$130=$B17)*Inputs!$D$5:$D$130*(((Inputs!$G$5:$G$130="moeda")+(Inputs!$G$5:$G$130="acoes"))*Inputs!$B$1+((Inputs!$G$5:$G$130&lt;&gt;"moeda")*(Inputs!$G$5:$G$130&lt;&gt;"acoes")))*INDEX(Inputs!$K$5:$AJ$130,0,MATCH(P$2,Inputs!$K$4:$AJ$4,0)))+SUMPRODUCT((Inputs!$E$5:$E$130=$B17)*Inputs!$F$5:$F$130*(((Inputs!$G$5:$G$130="moeda")+(Inputs!$G$5:$G$130="acoes"))*Inputs!$B$1+((Inputs!$G$5:$G$130&lt;&gt;"moeda")*(Inputs!$G$5:$G$130&lt;&gt;"acoes")))*INDEX(Inputs!$K$5:$AJ$130,0,MATCH(P$2,Inputs!$K$4:$AJ$4,0)))))</f>
        <v>30230</v>
      </c>
      <c r="Q17" s="265">
        <f>IF(ISNA(MATCH(Q$2,Inputs!$K$4:$AJ$4,0)),NA(),IF(SUMPRODUCT((Inputs!$A$5:$A$130=$B17)*ISNUMBER(INDEX(Inputs!$K$5:$AJ$130,0,MATCH(Q$2,Inputs!$K$4:$AJ$4,0))))+SUMPRODUCT((Inputs!$C$5:$C$130=$B17)*ISNUMBER(INDEX(Inputs!$K$5:$AJ$130,0,MATCH(Q$2,Inputs!$K$4:$AJ$4,0))))+SUMPRODUCT((Inputs!$E$5:$E$130=$B17)*ISNUMBER(INDEX(Inputs!$K$5:$AJ$130,0,MATCH(Q$2,Inputs!$K$4:$AJ$4,0))))=0,NA(),SUMPRODUCT((Inputs!$A$5:$A$130=$B17)*Inputs!$B$5:$B$130*(((Inputs!$G$5:$G$130="moeda")+(Inputs!$G$5:$G$130="acoes"))*Inputs!$B$1+((Inputs!$G$5:$G$130&lt;&gt;"moeda")*(Inputs!$G$5:$G$130&lt;&gt;"acoes")))*INDEX(Inputs!$K$5:$AJ$130,0,MATCH(Q$2,Inputs!$K$4:$AJ$4,0)))+SUMPRODUCT((Inputs!$C$5:$C$130=$B17)*Inputs!$D$5:$D$130*(((Inputs!$G$5:$G$130="moeda")+(Inputs!$G$5:$G$130="acoes"))*Inputs!$B$1+((Inputs!$G$5:$G$130&lt;&gt;"moeda")*(Inputs!$G$5:$G$130&lt;&gt;"acoes")))*INDEX(Inputs!$K$5:$AJ$130,0,MATCH(Q$2,Inputs!$K$4:$AJ$4,0)))+SUMPRODUCT((Inputs!$E$5:$E$130=$B17)*Inputs!$F$5:$F$130*(((Inputs!$G$5:$G$130="moeda")+(Inputs!$G$5:$G$130="acoes"))*Inputs!$B$1+((Inputs!$G$5:$G$130&lt;&gt;"moeda")*(Inputs!$G$5:$G$130&lt;&gt;"acoes")))*INDEX(Inputs!$K$5:$AJ$130,0,MATCH(Q$2,Inputs!$K$4:$AJ$4,0)))))</f>
        <v>26019</v>
      </c>
      <c r="R17" s="266">
        <f>Q17</f>
        <v>26019</v>
      </c>
      <c r="S17" s="265">
        <f>IF(ISNA(MATCH(S$2,Inputs!$K$4:$AJ$4,0)),NA(),IF(SUMPRODUCT((Inputs!$A$5:$A$130=$B17)*ISNUMBER(INDEX(Inputs!$K$5:$AJ$130,0,MATCH(S$2,Inputs!$K$4:$AJ$4,0))))+SUMPRODUCT((Inputs!$C$5:$C$130=$B17)*ISNUMBER(INDEX(Inputs!$K$5:$AJ$130,0,MATCH(S$2,Inputs!$K$4:$AJ$4,0))))+SUMPRODUCT((Inputs!$E$5:$E$130=$B17)*ISNUMBER(INDEX(Inputs!$K$5:$AJ$130,0,MATCH(S$2,Inputs!$K$4:$AJ$4,0))))=0,NA(),SUMPRODUCT((Inputs!$A$5:$A$130=$B17)*Inputs!$B$5:$B$130*(((Inputs!$G$5:$G$130="moeda")+(Inputs!$G$5:$G$130="acoes"))*Inputs!$B$1+((Inputs!$G$5:$G$130&lt;&gt;"moeda")*(Inputs!$G$5:$G$130&lt;&gt;"acoes")))*INDEX(Inputs!$K$5:$AJ$130,0,MATCH(S$2,Inputs!$K$4:$AJ$4,0)))+SUMPRODUCT((Inputs!$C$5:$C$130=$B17)*Inputs!$D$5:$D$130*(((Inputs!$G$5:$G$130="moeda")+(Inputs!$G$5:$G$130="acoes"))*Inputs!$B$1+((Inputs!$G$5:$G$130&lt;&gt;"moeda")*(Inputs!$G$5:$G$130&lt;&gt;"acoes")))*INDEX(Inputs!$K$5:$AJ$130,0,MATCH(S$2,Inputs!$K$4:$AJ$4,0)))+SUMPRODUCT((Inputs!$E$5:$E$130=$B17)*Inputs!$F$5:$F$130*(((Inputs!$G$5:$G$130="moeda")+(Inputs!$G$5:$G$130="acoes"))*Inputs!$B$1+((Inputs!$G$5:$G$130&lt;&gt;"moeda")*(Inputs!$G$5:$G$130&lt;&gt;"acoes")))*INDEX(Inputs!$K$5:$AJ$130,0,MATCH(S$2,Inputs!$K$4:$AJ$4,0)))))</f>
        <v>26471</v>
      </c>
      <c r="T17" s="265">
        <f>IF(ISNA(MATCH(T$2,Inputs!$K$4:$AJ$4,0)),NA(),IF(SUMPRODUCT((Inputs!$A$5:$A$130=$B17)*ISNUMBER(INDEX(Inputs!$K$5:$AJ$130,0,MATCH(T$2,Inputs!$K$4:$AJ$4,0))))+SUMPRODUCT((Inputs!$C$5:$C$130=$B17)*ISNUMBER(INDEX(Inputs!$K$5:$AJ$130,0,MATCH(T$2,Inputs!$K$4:$AJ$4,0))))+SUMPRODUCT((Inputs!$E$5:$E$130=$B17)*ISNUMBER(INDEX(Inputs!$K$5:$AJ$130,0,MATCH(T$2,Inputs!$K$4:$AJ$4,0))))=0,NA(),SUMPRODUCT((Inputs!$A$5:$A$130=$B17)*Inputs!$B$5:$B$130*(((Inputs!$G$5:$G$130="moeda")+(Inputs!$G$5:$G$130="acoes"))*Inputs!$B$1+((Inputs!$G$5:$G$130&lt;&gt;"moeda")*(Inputs!$G$5:$G$130&lt;&gt;"acoes")))*INDEX(Inputs!$K$5:$AJ$130,0,MATCH(T$2,Inputs!$K$4:$AJ$4,0)))+SUMPRODUCT((Inputs!$C$5:$C$130=$B17)*Inputs!$D$5:$D$130*(((Inputs!$G$5:$G$130="moeda")+(Inputs!$G$5:$G$130="acoes"))*Inputs!$B$1+((Inputs!$G$5:$G$130&lt;&gt;"moeda")*(Inputs!$G$5:$G$130&lt;&gt;"acoes")))*INDEX(Inputs!$K$5:$AJ$130,0,MATCH(T$2,Inputs!$K$4:$AJ$4,0)))+SUMPRODUCT((Inputs!$E$5:$E$130=$B17)*Inputs!$F$5:$F$130*(((Inputs!$G$5:$G$130="moeda")+(Inputs!$G$5:$G$130="acoes"))*Inputs!$B$1+((Inputs!$G$5:$G$130&lt;&gt;"moeda")*(Inputs!$G$5:$G$130&lt;&gt;"acoes")))*INDEX(Inputs!$K$5:$AJ$130,0,MATCH(T$2,Inputs!$K$4:$AJ$4,0)))))</f>
        <v>26449</v>
      </c>
      <c r="U17" s="265">
        <f>IF(ISNA(MATCH(U$2,Inputs!$K$4:$AJ$4,0)),NA(),IF(SUMPRODUCT((Inputs!$A$5:$A$130=$B17)*ISNUMBER(INDEX(Inputs!$K$5:$AJ$130,0,MATCH(U$2,Inputs!$K$4:$AJ$4,0))))+SUMPRODUCT((Inputs!$C$5:$C$130=$B17)*ISNUMBER(INDEX(Inputs!$K$5:$AJ$130,0,MATCH(U$2,Inputs!$K$4:$AJ$4,0))))+SUMPRODUCT((Inputs!$E$5:$E$130=$B17)*ISNUMBER(INDEX(Inputs!$K$5:$AJ$130,0,MATCH(U$2,Inputs!$K$4:$AJ$4,0))))=0,NA(),SUMPRODUCT((Inputs!$A$5:$A$130=$B17)*Inputs!$B$5:$B$130*(((Inputs!$G$5:$G$130="moeda")+(Inputs!$G$5:$G$130="acoes"))*Inputs!$B$1+((Inputs!$G$5:$G$130&lt;&gt;"moeda")*(Inputs!$G$5:$G$130&lt;&gt;"acoes")))*INDEX(Inputs!$K$5:$AJ$130,0,MATCH(U$2,Inputs!$K$4:$AJ$4,0)))+SUMPRODUCT((Inputs!$C$5:$C$130=$B17)*Inputs!$D$5:$D$130*(((Inputs!$G$5:$G$130="moeda")+(Inputs!$G$5:$G$130="acoes"))*Inputs!$B$1+((Inputs!$G$5:$G$130&lt;&gt;"moeda")*(Inputs!$G$5:$G$130&lt;&gt;"acoes")))*INDEX(Inputs!$K$5:$AJ$130,0,MATCH(U$2,Inputs!$K$4:$AJ$4,0)))+SUMPRODUCT((Inputs!$E$5:$E$130=$B17)*Inputs!$F$5:$F$130*(((Inputs!$G$5:$G$130="moeda")+(Inputs!$G$5:$G$130="acoes"))*Inputs!$B$1+((Inputs!$G$5:$G$130&lt;&gt;"moeda")*(Inputs!$G$5:$G$130&lt;&gt;"acoes")))*INDEX(Inputs!$K$5:$AJ$130,0,MATCH(U$2,Inputs!$K$4:$AJ$4,0)))))</f>
        <v>24143</v>
      </c>
      <c r="V17" s="265">
        <f>IF(ISNA(MATCH(V$2,Inputs!$K$4:$AJ$4,0)),NA(),IF(SUMPRODUCT((Inputs!$A$5:$A$130=$B17)*ISNUMBER(INDEX(Inputs!$K$5:$AJ$130,0,MATCH(V$2,Inputs!$K$4:$AJ$4,0))))+SUMPRODUCT((Inputs!$C$5:$C$130=$B17)*ISNUMBER(INDEX(Inputs!$K$5:$AJ$130,0,MATCH(V$2,Inputs!$K$4:$AJ$4,0))))+SUMPRODUCT((Inputs!$E$5:$E$130=$B17)*ISNUMBER(INDEX(Inputs!$K$5:$AJ$130,0,MATCH(V$2,Inputs!$K$4:$AJ$4,0))))=0,NA(),SUMPRODUCT((Inputs!$A$5:$A$130=$B17)*Inputs!$B$5:$B$130*(((Inputs!$G$5:$G$130="moeda")+(Inputs!$G$5:$G$130="acoes"))*Inputs!$B$1+((Inputs!$G$5:$G$130&lt;&gt;"moeda")*(Inputs!$G$5:$G$130&lt;&gt;"acoes")))*INDEX(Inputs!$K$5:$AJ$130,0,MATCH(V$2,Inputs!$K$4:$AJ$4,0)))+SUMPRODUCT((Inputs!$C$5:$C$130=$B17)*Inputs!$D$5:$D$130*(((Inputs!$G$5:$G$130="moeda")+(Inputs!$G$5:$G$130="acoes"))*Inputs!$B$1+((Inputs!$G$5:$G$130&lt;&gt;"moeda")*(Inputs!$G$5:$G$130&lt;&gt;"acoes")))*INDEX(Inputs!$K$5:$AJ$130,0,MATCH(V$2,Inputs!$K$4:$AJ$4,0)))+SUMPRODUCT((Inputs!$E$5:$E$130=$B17)*Inputs!$F$5:$F$130*(((Inputs!$G$5:$G$130="moeda")+(Inputs!$G$5:$G$130="acoes"))*Inputs!$B$1+((Inputs!$G$5:$G$130&lt;&gt;"moeda")*(Inputs!$G$5:$G$130&lt;&gt;"acoes")))*INDEX(Inputs!$K$5:$AJ$130,0,MATCH(V$2,Inputs!$K$4:$AJ$4,0)))))</f>
        <v>23426</v>
      </c>
      <c r="W17" s="266">
        <f>V17</f>
        <v>23426</v>
      </c>
      <c r="X17" s="265">
        <f>IF(ISNA(MATCH(X$2,Inputs!$K$4:$AJ$4,0)),NA(),IF(SUMPRODUCT((Inputs!$A$5:$A$130=$B17)*ISNUMBER(INDEX(Inputs!$K$5:$AJ$130,0,MATCH(X$2,Inputs!$K$4:$AJ$4,0))))+SUMPRODUCT((Inputs!$C$5:$C$130=$B17)*ISNUMBER(INDEX(Inputs!$K$5:$AJ$130,0,MATCH(X$2,Inputs!$K$4:$AJ$4,0))))+SUMPRODUCT((Inputs!$E$5:$E$130=$B17)*ISNUMBER(INDEX(Inputs!$K$5:$AJ$130,0,MATCH(X$2,Inputs!$K$4:$AJ$4,0))))=0,NA(),SUMPRODUCT((Inputs!$A$5:$A$130=$B17)*Inputs!$B$5:$B$130*(((Inputs!$G$5:$G$130="moeda")+(Inputs!$G$5:$G$130="acoes"))*Inputs!$B$1+((Inputs!$G$5:$G$130&lt;&gt;"moeda")*(Inputs!$G$5:$G$130&lt;&gt;"acoes")))*INDEX(Inputs!$K$5:$AJ$130,0,MATCH(X$2,Inputs!$K$4:$AJ$4,0)))+SUMPRODUCT((Inputs!$C$5:$C$130=$B17)*Inputs!$D$5:$D$130*(((Inputs!$G$5:$G$130="moeda")+(Inputs!$G$5:$G$130="acoes"))*Inputs!$B$1+((Inputs!$G$5:$G$130&lt;&gt;"moeda")*(Inputs!$G$5:$G$130&lt;&gt;"acoes")))*INDEX(Inputs!$K$5:$AJ$130,0,MATCH(X$2,Inputs!$K$4:$AJ$4,0)))+SUMPRODUCT((Inputs!$E$5:$E$130=$B17)*Inputs!$F$5:$F$130*(((Inputs!$G$5:$G$130="moeda")+(Inputs!$G$5:$G$130="acoes"))*Inputs!$B$1+((Inputs!$G$5:$G$130&lt;&gt;"moeda")*(Inputs!$G$5:$G$130&lt;&gt;"acoes")))*INDEX(Inputs!$K$5:$AJ$130,0,MATCH(X$2,Inputs!$K$4:$AJ$4,0)))))</f>
        <v>22984</v>
      </c>
      <c r="Y17" s="265">
        <f>IF(ISNA(MATCH(Y$2,Inputs!$K$4:$AJ$4,0)),NA(),IF(SUMPRODUCT((Inputs!$A$5:$A$130=$B17)*ISNUMBER(INDEX(Inputs!$K$5:$AJ$130,0,MATCH(Y$2,Inputs!$K$4:$AJ$4,0))))+SUMPRODUCT((Inputs!$C$5:$C$130=$B17)*ISNUMBER(INDEX(Inputs!$K$5:$AJ$130,0,MATCH(Y$2,Inputs!$K$4:$AJ$4,0))))+SUMPRODUCT((Inputs!$E$5:$E$130=$B17)*ISNUMBER(INDEX(Inputs!$K$5:$AJ$130,0,MATCH(Y$2,Inputs!$K$4:$AJ$4,0))))=0,NA(),SUMPRODUCT((Inputs!$A$5:$A$130=$B17)*Inputs!$B$5:$B$130*(((Inputs!$G$5:$G$130="moeda")+(Inputs!$G$5:$G$130="acoes"))*Inputs!$B$1+((Inputs!$G$5:$G$130&lt;&gt;"moeda")*(Inputs!$G$5:$G$130&lt;&gt;"acoes")))*INDEX(Inputs!$K$5:$AJ$130,0,MATCH(Y$2,Inputs!$K$4:$AJ$4,0)))+SUMPRODUCT((Inputs!$C$5:$C$130=$B17)*Inputs!$D$5:$D$130*(((Inputs!$G$5:$G$130="moeda")+(Inputs!$G$5:$G$130="acoes"))*Inputs!$B$1+((Inputs!$G$5:$G$130&lt;&gt;"moeda")*(Inputs!$G$5:$G$130&lt;&gt;"acoes")))*INDEX(Inputs!$K$5:$AJ$130,0,MATCH(Y$2,Inputs!$K$4:$AJ$4,0)))+SUMPRODUCT((Inputs!$E$5:$E$130=$B17)*Inputs!$F$5:$F$130*(((Inputs!$G$5:$G$130="moeda")+(Inputs!$G$5:$G$130="acoes"))*Inputs!$B$1+((Inputs!$G$5:$G$130&lt;&gt;"moeda")*(Inputs!$G$5:$G$130&lt;&gt;"acoes")))*INDEX(Inputs!$K$5:$AJ$130,0,MATCH(Y$2,Inputs!$K$4:$AJ$4,0)))))</f>
        <v>23283</v>
      </c>
      <c r="Z17" s="265">
        <f>IF(ISNA(MATCH(Z$2,Inputs!$K$4:$AJ$4,0)),NA(),IF(SUMPRODUCT((Inputs!$A$5:$A$130=$B17)*ISNUMBER(INDEX(Inputs!$K$5:$AJ$130,0,MATCH(Z$2,Inputs!$K$4:$AJ$4,0))))+SUMPRODUCT((Inputs!$C$5:$C$130=$B17)*ISNUMBER(INDEX(Inputs!$K$5:$AJ$130,0,MATCH(Z$2,Inputs!$K$4:$AJ$4,0))))+SUMPRODUCT((Inputs!$E$5:$E$130=$B17)*ISNUMBER(INDEX(Inputs!$K$5:$AJ$130,0,MATCH(Z$2,Inputs!$K$4:$AJ$4,0))))=0,NA(),SUMPRODUCT((Inputs!$A$5:$A$130=$B17)*Inputs!$B$5:$B$130*(((Inputs!$G$5:$G$130="moeda")+(Inputs!$G$5:$G$130="acoes"))*Inputs!$B$1+((Inputs!$G$5:$G$130&lt;&gt;"moeda")*(Inputs!$G$5:$G$130&lt;&gt;"acoes")))*INDEX(Inputs!$K$5:$AJ$130,0,MATCH(Z$2,Inputs!$K$4:$AJ$4,0)))+SUMPRODUCT((Inputs!$C$5:$C$130=$B17)*Inputs!$D$5:$D$130*(((Inputs!$G$5:$G$130="moeda")+(Inputs!$G$5:$G$130="acoes"))*Inputs!$B$1+((Inputs!$G$5:$G$130&lt;&gt;"moeda")*(Inputs!$G$5:$G$130&lt;&gt;"acoes")))*INDEX(Inputs!$K$5:$AJ$130,0,MATCH(Z$2,Inputs!$K$4:$AJ$4,0)))+SUMPRODUCT((Inputs!$E$5:$E$130=$B17)*Inputs!$F$5:$F$130*(((Inputs!$G$5:$G$130="moeda")+(Inputs!$G$5:$G$130="acoes"))*Inputs!$B$1+((Inputs!$G$5:$G$130&lt;&gt;"moeda")*(Inputs!$G$5:$G$130&lt;&gt;"acoes")))*INDEX(Inputs!$K$5:$AJ$130,0,MATCH(Z$2,Inputs!$K$4:$AJ$4,0)))))</f>
        <v>22913</v>
      </c>
      <c r="AA17" s="265">
        <f>IF(ISNA(MATCH(AA$2,Inputs!$K$4:$AJ$4,0)),NA(),IF(SUMPRODUCT((Inputs!$A$5:$A$130=$B17)*ISNUMBER(INDEX(Inputs!$K$5:$AJ$130,0,MATCH(AA$2,Inputs!$K$4:$AJ$4,0))))+SUMPRODUCT((Inputs!$C$5:$C$130=$B17)*ISNUMBER(INDEX(Inputs!$K$5:$AJ$130,0,MATCH(AA$2,Inputs!$K$4:$AJ$4,0))))+SUMPRODUCT((Inputs!$E$5:$E$130=$B17)*ISNUMBER(INDEX(Inputs!$K$5:$AJ$130,0,MATCH(AA$2,Inputs!$K$4:$AJ$4,0))))=0,NA(),SUMPRODUCT((Inputs!$A$5:$A$130=$B17)*Inputs!$B$5:$B$130*(((Inputs!$G$5:$G$130="moeda")+(Inputs!$G$5:$G$130="acoes"))*Inputs!$B$1+((Inputs!$G$5:$G$130&lt;&gt;"moeda")*(Inputs!$G$5:$G$130&lt;&gt;"acoes")))*INDEX(Inputs!$K$5:$AJ$130,0,MATCH(AA$2,Inputs!$K$4:$AJ$4,0)))+SUMPRODUCT((Inputs!$C$5:$C$130=$B17)*Inputs!$D$5:$D$130*(((Inputs!$G$5:$G$130="moeda")+(Inputs!$G$5:$G$130="acoes"))*Inputs!$B$1+((Inputs!$G$5:$G$130&lt;&gt;"moeda")*(Inputs!$G$5:$G$130&lt;&gt;"acoes")))*INDEX(Inputs!$K$5:$AJ$130,0,MATCH(AA$2,Inputs!$K$4:$AJ$4,0)))+SUMPRODUCT((Inputs!$E$5:$E$130=$B17)*Inputs!$F$5:$F$130*(((Inputs!$G$5:$G$130="moeda")+(Inputs!$G$5:$G$130="acoes"))*Inputs!$B$1+((Inputs!$G$5:$G$130&lt;&gt;"moeda")*(Inputs!$G$5:$G$130&lt;&gt;"acoes")))*INDEX(Inputs!$K$5:$AJ$130,0,MATCH(AA$2,Inputs!$K$4:$AJ$4,0)))))</f>
        <v>22216</v>
      </c>
      <c r="AB17" s="266">
        <f>AA17</f>
        <v>22216</v>
      </c>
      <c r="AC17" s="265">
        <f>IF(ISNA(MATCH(AC$2,Inputs!$K$4:$AJ$4,0)),NA(),IF(SUMPRODUCT((Inputs!$A$5:$A$130=$B17)*ISNUMBER(INDEX(Inputs!$K$5:$AJ$130,0,MATCH(AC$2,Inputs!$K$4:$AJ$4,0))))+SUMPRODUCT((Inputs!$C$5:$C$130=$B17)*ISNUMBER(INDEX(Inputs!$K$5:$AJ$130,0,MATCH(AC$2,Inputs!$K$4:$AJ$4,0))))+SUMPRODUCT((Inputs!$E$5:$E$130=$B17)*ISNUMBER(INDEX(Inputs!$K$5:$AJ$130,0,MATCH(AC$2,Inputs!$K$4:$AJ$4,0))))=0,NA(),SUMPRODUCT((Inputs!$A$5:$A$130=$B17)*Inputs!$B$5:$B$130*(((Inputs!$G$5:$G$130="moeda")+(Inputs!$G$5:$G$130="acoes"))*Inputs!$B$1+((Inputs!$G$5:$G$130&lt;&gt;"moeda")*(Inputs!$G$5:$G$130&lt;&gt;"acoes")))*INDEX(Inputs!$K$5:$AJ$130,0,MATCH(AC$2,Inputs!$K$4:$AJ$4,0)))+SUMPRODUCT((Inputs!$C$5:$C$130=$B17)*Inputs!$D$5:$D$130*(((Inputs!$G$5:$G$130="moeda")+(Inputs!$G$5:$G$130="acoes"))*Inputs!$B$1+((Inputs!$G$5:$G$130&lt;&gt;"moeda")*(Inputs!$G$5:$G$130&lt;&gt;"acoes")))*INDEX(Inputs!$K$5:$AJ$130,0,MATCH(AC$2,Inputs!$K$4:$AJ$4,0)))+SUMPRODUCT((Inputs!$E$5:$E$130=$B17)*Inputs!$F$5:$F$130*(((Inputs!$G$5:$G$130="moeda")+(Inputs!$G$5:$G$130="acoes"))*Inputs!$B$1+((Inputs!$G$5:$G$130&lt;&gt;"moeda")*(Inputs!$G$5:$G$130&lt;&gt;"acoes")))*INDEX(Inputs!$K$5:$AJ$130,0,MATCH(AC$2,Inputs!$K$4:$AJ$4,0)))))</f>
        <v>28700</v>
      </c>
      <c r="AD17" s="265">
        <f>IF(ISNA(MATCH(AD$2,Inputs!$K$4:$AJ$4,0)),NA(),IF(SUMPRODUCT((Inputs!$A$5:$A$130=$B17)*ISNUMBER(INDEX(Inputs!$K$5:$AJ$130,0,MATCH(AD$2,Inputs!$K$4:$AJ$4,0))))+SUMPRODUCT((Inputs!$C$5:$C$130=$B17)*ISNUMBER(INDEX(Inputs!$K$5:$AJ$130,0,MATCH(AD$2,Inputs!$K$4:$AJ$4,0))))+SUMPRODUCT((Inputs!$E$5:$E$130=$B17)*ISNUMBER(INDEX(Inputs!$K$5:$AJ$130,0,MATCH(AD$2,Inputs!$K$4:$AJ$4,0))))=0,NA(),SUMPRODUCT((Inputs!$A$5:$A$130=$B17)*Inputs!$B$5:$B$130*(((Inputs!$G$5:$G$130="moeda")+(Inputs!$G$5:$G$130="acoes"))*Inputs!$B$1+((Inputs!$G$5:$G$130&lt;&gt;"moeda")*(Inputs!$G$5:$G$130&lt;&gt;"acoes")))*INDEX(Inputs!$K$5:$AJ$130,0,MATCH(AD$2,Inputs!$K$4:$AJ$4,0)))+SUMPRODUCT((Inputs!$C$5:$C$130=$B17)*Inputs!$D$5:$D$130*(((Inputs!$G$5:$G$130="moeda")+(Inputs!$G$5:$G$130="acoes"))*Inputs!$B$1+((Inputs!$G$5:$G$130&lt;&gt;"moeda")*(Inputs!$G$5:$G$130&lt;&gt;"acoes")))*INDEX(Inputs!$K$5:$AJ$130,0,MATCH(AD$2,Inputs!$K$4:$AJ$4,0)))+SUMPRODUCT((Inputs!$E$5:$E$130=$B17)*Inputs!$F$5:$F$130*(((Inputs!$G$5:$G$130="moeda")+(Inputs!$G$5:$G$130="acoes"))*Inputs!$B$1+((Inputs!$G$5:$G$130&lt;&gt;"moeda")*(Inputs!$G$5:$G$130&lt;&gt;"acoes")))*INDEX(Inputs!$K$5:$AJ$130,0,MATCH(AD$2,Inputs!$K$4:$AJ$4,0)))))</f>
        <v>26639</v>
      </c>
      <c r="AE17" s="265" t="e">
        <f>IF(ISNA(MATCH(AE$2,Inputs!$K$4:$AJ$4,0)),NA(),IF(SUMPRODUCT((Inputs!$A$5:$A$130=$B17)*ISNUMBER(INDEX(Inputs!$K$5:$AJ$130,0,MATCH(AE$2,Inputs!$K$4:$AJ$4,0))))+SUMPRODUCT((Inputs!$C$5:$C$130=$B17)*ISNUMBER(INDEX(Inputs!$K$5:$AJ$130,0,MATCH(AE$2,Inputs!$K$4:$AJ$4,0))))+SUMPRODUCT((Inputs!$E$5:$E$130=$B17)*ISNUMBER(INDEX(Inputs!$K$5:$AJ$130,0,MATCH(AE$2,Inputs!$K$4:$AJ$4,0))))=0,NA(),SUMPRODUCT((Inputs!$A$5:$A$130=$B17)*Inputs!$B$5:$B$130*(((Inputs!$G$5:$G$130="moeda")+(Inputs!$G$5:$G$130="acoes"))*Inputs!$B$1+((Inputs!$G$5:$G$130&lt;&gt;"moeda")*(Inputs!$G$5:$G$130&lt;&gt;"acoes")))*INDEX(Inputs!$K$5:$AJ$130,0,MATCH(AE$2,Inputs!$K$4:$AJ$4,0)))+SUMPRODUCT((Inputs!$C$5:$C$130=$B17)*Inputs!$D$5:$D$130*(((Inputs!$G$5:$G$130="moeda")+(Inputs!$G$5:$G$130="acoes"))*Inputs!$B$1+((Inputs!$G$5:$G$130&lt;&gt;"moeda")*(Inputs!$G$5:$G$130&lt;&gt;"acoes")))*INDEX(Inputs!$K$5:$AJ$130,0,MATCH(AE$2,Inputs!$K$4:$AJ$4,0)))+SUMPRODUCT((Inputs!$E$5:$E$130=$B17)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7" s="265" t="e">
        <f>IF(ISNA(MATCH(AF$2,Inputs!$K$4:$AJ$4,0)),NA(),IF(SUMPRODUCT((Inputs!$A$5:$A$130=$B17)*ISNUMBER(INDEX(Inputs!$K$5:$AJ$130,0,MATCH(AF$2,Inputs!$K$4:$AJ$4,0))))+SUMPRODUCT((Inputs!$C$5:$C$130=$B17)*ISNUMBER(INDEX(Inputs!$K$5:$AJ$130,0,MATCH(AF$2,Inputs!$K$4:$AJ$4,0))))+SUMPRODUCT((Inputs!$E$5:$E$130=$B17)*ISNUMBER(INDEX(Inputs!$K$5:$AJ$130,0,MATCH(AF$2,Inputs!$K$4:$AJ$4,0))))=0,NA(),SUMPRODUCT((Inputs!$A$5:$A$130=$B17)*Inputs!$B$5:$B$130*(((Inputs!$G$5:$G$130="moeda")+(Inputs!$G$5:$G$130="acoes"))*Inputs!$B$1+((Inputs!$G$5:$G$130&lt;&gt;"moeda")*(Inputs!$G$5:$G$130&lt;&gt;"acoes")))*INDEX(Inputs!$K$5:$AJ$130,0,MATCH(AF$2,Inputs!$K$4:$AJ$4,0)))+SUMPRODUCT((Inputs!$C$5:$C$130=$B17)*Inputs!$D$5:$D$130*(((Inputs!$G$5:$G$130="moeda")+(Inputs!$G$5:$G$130="acoes"))*Inputs!$B$1+((Inputs!$G$5:$G$130&lt;&gt;"moeda")*(Inputs!$G$5:$G$130&lt;&gt;"acoes")))*INDEX(Inputs!$K$5:$AJ$130,0,MATCH(AF$2,Inputs!$K$4:$AJ$4,0)))+SUMPRODUCT((Inputs!$E$5:$E$130=$B17)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7" s="266" t="e">
        <f>AF17</f>
        <v>#N/A</v>
      </c>
      <c r="AH17" s="265" t="e">
        <f>IF(ISNA(MATCH(AH$2,Inputs!$K$4:$AJ$4,0)),NA(),IF(SUMPRODUCT((Inputs!$A$5:$A$130=$B17)*ISNUMBER(INDEX(Inputs!$K$5:$AJ$130,0,MATCH(AH$2,Inputs!$K$4:$AJ$4,0))))+SUMPRODUCT((Inputs!$C$5:$C$130=$B17)*ISNUMBER(INDEX(Inputs!$K$5:$AJ$130,0,MATCH(AH$2,Inputs!$K$4:$AJ$4,0))))+SUMPRODUCT((Inputs!$E$5:$E$130=$B17)*ISNUMBER(INDEX(Inputs!$K$5:$AJ$130,0,MATCH(AH$2,Inputs!$K$4:$AJ$4,0))))=0,NA(),SUMPRODUCT((Inputs!$A$5:$A$130=$B17)*Inputs!$B$5:$B$130*(((Inputs!$G$5:$G$130="moeda")+(Inputs!$G$5:$G$130="acoes"))*Inputs!$B$1+((Inputs!$G$5:$G$130&lt;&gt;"moeda")*(Inputs!$G$5:$G$130&lt;&gt;"acoes")))*INDEX(Inputs!$K$5:$AJ$130,0,MATCH(AH$2,Inputs!$K$4:$AJ$4,0)))+SUMPRODUCT((Inputs!$C$5:$C$130=$B17)*Inputs!$D$5:$D$130*(((Inputs!$G$5:$G$130="moeda")+(Inputs!$G$5:$G$130="acoes"))*Inputs!$B$1+((Inputs!$G$5:$G$130&lt;&gt;"moeda")*(Inputs!$G$5:$G$130&lt;&gt;"acoes")))*INDEX(Inputs!$K$5:$AJ$130,0,MATCH(AH$2,Inputs!$K$4:$AJ$4,0)))+SUMPRODUCT((Inputs!$E$5:$E$130=$B17)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17" s="265" t="e">
        <f>IF(ISNA(MATCH(AI$2,Inputs!$K$4:$AJ$4,0)),NA(),IF(SUMPRODUCT((Inputs!$A$5:$A$130=$B17)*ISNUMBER(INDEX(Inputs!$K$5:$AJ$130,0,MATCH(AI$2,Inputs!$K$4:$AJ$4,0))))+SUMPRODUCT((Inputs!$C$5:$C$130=$B17)*ISNUMBER(INDEX(Inputs!$K$5:$AJ$130,0,MATCH(AI$2,Inputs!$K$4:$AJ$4,0))))+SUMPRODUCT((Inputs!$E$5:$E$130=$B17)*ISNUMBER(INDEX(Inputs!$K$5:$AJ$130,0,MATCH(AI$2,Inputs!$K$4:$AJ$4,0))))=0,NA(),SUMPRODUCT((Inputs!$A$5:$A$130=$B17)*Inputs!$B$5:$B$130*(((Inputs!$G$5:$G$130="moeda")+(Inputs!$G$5:$G$130="acoes"))*Inputs!$B$1+((Inputs!$G$5:$G$130&lt;&gt;"moeda")*(Inputs!$G$5:$G$130&lt;&gt;"acoes")))*INDEX(Inputs!$K$5:$AJ$130,0,MATCH(AI$2,Inputs!$K$4:$AJ$4,0)))+SUMPRODUCT((Inputs!$C$5:$C$130=$B17)*Inputs!$D$5:$D$130*(((Inputs!$G$5:$G$130="moeda")+(Inputs!$G$5:$G$130="acoes"))*Inputs!$B$1+((Inputs!$G$5:$G$130&lt;&gt;"moeda")*(Inputs!$G$5:$G$130&lt;&gt;"acoes")))*INDEX(Inputs!$K$5:$AJ$130,0,MATCH(AI$2,Inputs!$K$4:$AJ$4,0)))+SUMPRODUCT((Inputs!$E$5:$E$130=$B17)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17" s="265" t="e">
        <f>IF(ISNA(MATCH(AJ$2,Inputs!$K$4:$AJ$4,0)),NA(),IF(SUMPRODUCT((Inputs!$A$5:$A$130=$B17)*ISNUMBER(INDEX(Inputs!$K$5:$AJ$130,0,MATCH(AJ$2,Inputs!$K$4:$AJ$4,0))))+SUMPRODUCT((Inputs!$C$5:$C$130=$B17)*ISNUMBER(INDEX(Inputs!$K$5:$AJ$130,0,MATCH(AJ$2,Inputs!$K$4:$AJ$4,0))))+SUMPRODUCT((Inputs!$E$5:$E$130=$B17)*ISNUMBER(INDEX(Inputs!$K$5:$AJ$130,0,MATCH(AJ$2,Inputs!$K$4:$AJ$4,0))))=0,NA(),SUMPRODUCT((Inputs!$A$5:$A$130=$B17)*Inputs!$B$5:$B$130*(((Inputs!$G$5:$G$130="moeda")+(Inputs!$G$5:$G$130="acoes"))*Inputs!$B$1+((Inputs!$G$5:$G$130&lt;&gt;"moeda")*(Inputs!$G$5:$G$130&lt;&gt;"acoes")))*INDEX(Inputs!$K$5:$AJ$130,0,MATCH(AJ$2,Inputs!$K$4:$AJ$4,0)))+SUMPRODUCT((Inputs!$C$5:$C$130=$B17)*Inputs!$D$5:$D$130*(((Inputs!$G$5:$G$130="moeda")+(Inputs!$G$5:$G$130="acoes"))*Inputs!$B$1+((Inputs!$G$5:$G$130&lt;&gt;"moeda")*(Inputs!$G$5:$G$130&lt;&gt;"acoes")))*INDEX(Inputs!$K$5:$AJ$130,0,MATCH(AJ$2,Inputs!$K$4:$AJ$4,0)))+SUMPRODUCT((Inputs!$E$5:$E$130=$B17)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17" s="265" t="e">
        <f>IF(ISNA(MATCH(AK$2,Inputs!$K$4:$AJ$4,0)),NA(),IF(SUMPRODUCT((Inputs!$A$5:$A$130=$B17)*ISNUMBER(INDEX(Inputs!$K$5:$AJ$130,0,MATCH(AK$2,Inputs!$K$4:$AJ$4,0))))+SUMPRODUCT((Inputs!$C$5:$C$130=$B17)*ISNUMBER(INDEX(Inputs!$K$5:$AJ$130,0,MATCH(AK$2,Inputs!$K$4:$AJ$4,0))))+SUMPRODUCT((Inputs!$E$5:$E$130=$B17)*ISNUMBER(INDEX(Inputs!$K$5:$AJ$130,0,MATCH(AK$2,Inputs!$K$4:$AJ$4,0))))=0,NA(),SUMPRODUCT((Inputs!$A$5:$A$130=$B17)*Inputs!$B$5:$B$130*(((Inputs!$G$5:$G$130="moeda")+(Inputs!$G$5:$G$130="acoes"))*Inputs!$B$1+((Inputs!$G$5:$G$130&lt;&gt;"moeda")*(Inputs!$G$5:$G$130&lt;&gt;"acoes")))*INDEX(Inputs!$K$5:$AJ$130,0,MATCH(AK$2,Inputs!$K$4:$AJ$4,0)))+SUMPRODUCT((Inputs!$C$5:$C$130=$B17)*Inputs!$D$5:$D$130*(((Inputs!$G$5:$G$130="moeda")+(Inputs!$G$5:$G$130="acoes"))*Inputs!$B$1+((Inputs!$G$5:$G$130&lt;&gt;"moeda")*(Inputs!$G$5:$G$130&lt;&gt;"acoes")))*INDEX(Inputs!$K$5:$AJ$130,0,MATCH(AK$2,Inputs!$K$4:$AJ$4,0)))+SUMPRODUCT((Inputs!$E$5:$E$130=$B17)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17" s="266" t="e">
        <f>AK17</f>
        <v>#N/A</v>
      </c>
    </row>
    <row r="18" ht="12.75" customHeight="1" s="254">
      <c r="B18" s="263" t="n">
        <v>14</v>
      </c>
      <c r="C18" s="268" t="inlineStr">
        <is>
          <t>Deferred income taxes</t>
        </is>
      </c>
      <c r="D18" s="265">
        <f>IF(ISNA(MATCH(D$2,Inputs!$K$4:$AJ$4,0)),NA(),IF(SUMPRODUCT((Inputs!$A$5:$A$130=$B18)*ISNUMBER(INDEX(Inputs!$K$5:$AJ$130,0,MATCH(D$2,Inputs!$K$4:$AJ$4,0))))+SUMPRODUCT((Inputs!$C$5:$C$130=$B18)*ISNUMBER(INDEX(Inputs!$K$5:$AJ$130,0,MATCH(D$2,Inputs!$K$4:$AJ$4,0))))+SUMPRODUCT((Inputs!$E$5:$E$130=$B18)*ISNUMBER(INDEX(Inputs!$K$5:$AJ$130,0,MATCH(D$2,Inputs!$K$4:$AJ$4,0))))=0,NA(),SUMPRODUCT((Inputs!$A$5:$A$130=$B18)*Inputs!$B$5:$B$130*(((Inputs!$G$5:$G$130="moeda")+(Inputs!$G$5:$G$130="acoes"))*Inputs!$B$1+((Inputs!$G$5:$G$130&lt;&gt;"moeda")*(Inputs!$G$5:$G$130&lt;&gt;"acoes")))*INDEX(Inputs!$K$5:$AJ$130,0,MATCH(D$2,Inputs!$K$4:$AJ$4,0)))+SUMPRODUCT((Inputs!$C$5:$C$130=$B18)*Inputs!$D$5:$D$130*(((Inputs!$G$5:$G$130="moeda")+(Inputs!$G$5:$G$130="acoes"))*Inputs!$B$1+((Inputs!$G$5:$G$130&lt;&gt;"moeda")*(Inputs!$G$5:$G$130&lt;&gt;"acoes")))*INDEX(Inputs!$K$5:$AJ$130,0,MATCH(D$2,Inputs!$K$4:$AJ$4,0)))+SUMPRODUCT((Inputs!$E$5:$E$130=$B18)*Inputs!$F$5:$F$130*(((Inputs!$G$5:$G$130="moeda")+(Inputs!$G$5:$G$130="acoes"))*Inputs!$B$1+((Inputs!$G$5:$G$130&lt;&gt;"moeda")*(Inputs!$G$5:$G$130&lt;&gt;"acoes")))*INDEX(Inputs!$K$5:$AJ$130,0,MATCH(D$2,Inputs!$K$4:$AJ$4,0)))))</f>
        <v>13871</v>
      </c>
      <c r="E18" s="265">
        <f>IF(ISNA(MATCH(E$2,Inputs!$K$4:$AJ$4,0)),NA(),IF(SUMPRODUCT((Inputs!$A$5:$A$130=$B18)*ISNUMBER(INDEX(Inputs!$K$5:$AJ$130,0,MATCH(E$2,Inputs!$K$4:$AJ$4,0))))+SUMPRODUCT((Inputs!$C$5:$C$130=$B18)*ISNUMBER(INDEX(Inputs!$K$5:$AJ$130,0,MATCH(E$2,Inputs!$K$4:$AJ$4,0))))+SUMPRODUCT((Inputs!$E$5:$E$130=$B18)*ISNUMBER(INDEX(Inputs!$K$5:$AJ$130,0,MATCH(E$2,Inputs!$K$4:$AJ$4,0))))=0,NA(),SUMPRODUCT((Inputs!$A$5:$A$130=$B18)*Inputs!$B$5:$B$130*(((Inputs!$G$5:$G$130="moeda")+(Inputs!$G$5:$G$130="acoes"))*Inputs!$B$1+((Inputs!$G$5:$G$130&lt;&gt;"moeda")*(Inputs!$G$5:$G$130&lt;&gt;"acoes")))*INDEX(Inputs!$K$5:$AJ$130,0,MATCH(E$2,Inputs!$K$4:$AJ$4,0)))+SUMPRODUCT((Inputs!$C$5:$C$130=$B18)*Inputs!$D$5:$D$130*(((Inputs!$G$5:$G$130="moeda")+(Inputs!$G$5:$G$130="acoes"))*Inputs!$B$1+((Inputs!$G$5:$G$130&lt;&gt;"moeda")*(Inputs!$G$5:$G$130&lt;&gt;"acoes")))*INDEX(Inputs!$K$5:$AJ$130,0,MATCH(E$2,Inputs!$K$4:$AJ$4,0)))+SUMPRODUCT((Inputs!$E$5:$E$130=$B18)*Inputs!$F$5:$F$130*(((Inputs!$G$5:$G$130="moeda")+(Inputs!$G$5:$G$130="acoes"))*Inputs!$B$1+((Inputs!$G$5:$G$130&lt;&gt;"moeda")*(Inputs!$G$5:$G$130&lt;&gt;"acoes")))*INDEX(Inputs!$K$5:$AJ$130,0,MATCH(E$2,Inputs!$K$4:$AJ$4,0)))))</f>
        <v>14392</v>
      </c>
      <c r="F18" s="265">
        <f>IF(ISNA(MATCH(F$2,Inputs!$K$4:$AJ$4,0)),NA(),IF(SUMPRODUCT((Inputs!$A$5:$A$130=$B18)*ISNUMBER(INDEX(Inputs!$K$5:$AJ$130,0,MATCH(F$2,Inputs!$K$4:$AJ$4,0))))+SUMPRODUCT((Inputs!$C$5:$C$130=$B18)*ISNUMBER(INDEX(Inputs!$K$5:$AJ$130,0,MATCH(F$2,Inputs!$K$4:$AJ$4,0))))+SUMPRODUCT((Inputs!$E$5:$E$130=$B18)*ISNUMBER(INDEX(Inputs!$K$5:$AJ$130,0,MATCH(F$2,Inputs!$K$4:$AJ$4,0))))=0,NA(),SUMPRODUCT((Inputs!$A$5:$A$130=$B18)*Inputs!$B$5:$B$130*(((Inputs!$G$5:$G$130="moeda")+(Inputs!$G$5:$G$130="acoes"))*Inputs!$B$1+((Inputs!$G$5:$G$130&lt;&gt;"moeda")*(Inputs!$G$5:$G$130&lt;&gt;"acoes")))*INDEX(Inputs!$K$5:$AJ$130,0,MATCH(F$2,Inputs!$K$4:$AJ$4,0)))+SUMPRODUCT((Inputs!$C$5:$C$130=$B18)*Inputs!$D$5:$D$130*(((Inputs!$G$5:$G$130="moeda")+(Inputs!$G$5:$G$130="acoes"))*Inputs!$B$1+((Inputs!$G$5:$G$130&lt;&gt;"moeda")*(Inputs!$G$5:$G$130&lt;&gt;"acoes")))*INDEX(Inputs!$K$5:$AJ$130,0,MATCH(F$2,Inputs!$K$4:$AJ$4,0)))+SUMPRODUCT((Inputs!$E$5:$E$130=$B18)*Inputs!$F$5:$F$130*(((Inputs!$G$5:$G$130="moeda")+(Inputs!$G$5:$G$130="acoes"))*Inputs!$B$1+((Inputs!$G$5:$G$130&lt;&gt;"moeda")*(Inputs!$G$5:$G$130&lt;&gt;"acoes")))*INDEX(Inputs!$K$5:$AJ$130,0,MATCH(F$2,Inputs!$K$4:$AJ$4,0)))))</f>
        <v>14542</v>
      </c>
      <c r="G18" s="265">
        <f>IF(ISNA(MATCH(G$2,Inputs!$K$4:$AJ$4,0)),NA(),IF(SUMPRODUCT((Inputs!$A$5:$A$130=$B18)*ISNUMBER(INDEX(Inputs!$K$5:$AJ$130,0,MATCH(G$2,Inputs!$K$4:$AJ$4,0))))+SUMPRODUCT((Inputs!$C$5:$C$130=$B18)*ISNUMBER(INDEX(Inputs!$K$5:$AJ$130,0,MATCH(G$2,Inputs!$K$4:$AJ$4,0))))+SUMPRODUCT((Inputs!$E$5:$E$130=$B18)*ISNUMBER(INDEX(Inputs!$K$5:$AJ$130,0,MATCH(G$2,Inputs!$K$4:$AJ$4,0))))=0,NA(),SUMPRODUCT((Inputs!$A$5:$A$130=$B18)*Inputs!$B$5:$B$130*(((Inputs!$G$5:$G$130="moeda")+(Inputs!$G$5:$G$130="acoes"))*Inputs!$B$1+((Inputs!$G$5:$G$130&lt;&gt;"moeda")*(Inputs!$G$5:$G$130&lt;&gt;"acoes")))*INDEX(Inputs!$K$5:$AJ$130,0,MATCH(G$2,Inputs!$K$4:$AJ$4,0)))+SUMPRODUCT((Inputs!$C$5:$C$130=$B18)*Inputs!$D$5:$D$130*(((Inputs!$G$5:$G$130="moeda")+(Inputs!$G$5:$G$130="acoes"))*Inputs!$B$1+((Inputs!$G$5:$G$130&lt;&gt;"moeda")*(Inputs!$G$5:$G$130&lt;&gt;"acoes")))*INDEX(Inputs!$K$5:$AJ$130,0,MATCH(G$2,Inputs!$K$4:$AJ$4,0)))+SUMPRODUCT((Inputs!$E$5:$E$130=$B18)*Inputs!$F$5:$F$130*(((Inputs!$G$5:$G$130="moeda")+(Inputs!$G$5:$G$130="acoes"))*Inputs!$B$1+((Inputs!$G$5:$G$130&lt;&gt;"moeda")*(Inputs!$G$5:$G$130&lt;&gt;"acoes")))*INDEX(Inputs!$K$5:$AJ$130,0,MATCH(G$2,Inputs!$K$4:$AJ$4,0)))))</f>
        <v>12426</v>
      </c>
      <c r="H18" s="266">
        <f>G18</f>
        <v>12426</v>
      </c>
      <c r="I18" s="265">
        <f>IF(ISNA(MATCH(I$2,Inputs!$K$4:$AJ$4,0)),NA(),IF(SUMPRODUCT((Inputs!$A$5:$A$130=$B18)*ISNUMBER(INDEX(Inputs!$K$5:$AJ$130,0,MATCH(I$2,Inputs!$K$4:$AJ$4,0))))+SUMPRODUCT((Inputs!$C$5:$C$130=$B18)*ISNUMBER(INDEX(Inputs!$K$5:$AJ$130,0,MATCH(I$2,Inputs!$K$4:$AJ$4,0))))+SUMPRODUCT((Inputs!$E$5:$E$130=$B18)*ISNUMBER(INDEX(Inputs!$K$5:$AJ$130,0,MATCH(I$2,Inputs!$K$4:$AJ$4,0))))=0,NA(),SUMPRODUCT((Inputs!$A$5:$A$130=$B18)*Inputs!$B$5:$B$130*(((Inputs!$G$5:$G$130="moeda")+(Inputs!$G$5:$G$130="acoes"))*Inputs!$B$1+((Inputs!$G$5:$G$130&lt;&gt;"moeda")*(Inputs!$G$5:$G$130&lt;&gt;"acoes")))*INDEX(Inputs!$K$5:$AJ$130,0,MATCH(I$2,Inputs!$K$4:$AJ$4,0)))+SUMPRODUCT((Inputs!$C$5:$C$130=$B18)*Inputs!$D$5:$D$130*(((Inputs!$G$5:$G$130="moeda")+(Inputs!$G$5:$G$130="acoes"))*Inputs!$B$1+((Inputs!$G$5:$G$130&lt;&gt;"moeda")*(Inputs!$G$5:$G$130&lt;&gt;"acoes")))*INDEX(Inputs!$K$5:$AJ$130,0,MATCH(I$2,Inputs!$K$4:$AJ$4,0)))+SUMPRODUCT((Inputs!$E$5:$E$130=$B18)*Inputs!$F$5:$F$130*(((Inputs!$G$5:$G$130="moeda")+(Inputs!$G$5:$G$130="acoes"))*Inputs!$B$1+((Inputs!$G$5:$G$130&lt;&gt;"moeda")*(Inputs!$G$5:$G$130&lt;&gt;"acoes")))*INDEX(Inputs!$K$5:$AJ$130,0,MATCH(I$2,Inputs!$K$4:$AJ$4,0)))))</f>
        <v>11420</v>
      </c>
      <c r="J18" s="265">
        <f>IF(ISNA(MATCH(J$2,Inputs!$K$4:$AJ$4,0)),NA(),IF(SUMPRODUCT((Inputs!$A$5:$A$130=$B18)*ISNUMBER(INDEX(Inputs!$K$5:$AJ$130,0,MATCH(J$2,Inputs!$K$4:$AJ$4,0))))+SUMPRODUCT((Inputs!$C$5:$C$130=$B18)*ISNUMBER(INDEX(Inputs!$K$5:$AJ$130,0,MATCH(J$2,Inputs!$K$4:$AJ$4,0))))+SUMPRODUCT((Inputs!$E$5:$E$130=$B18)*ISNUMBER(INDEX(Inputs!$K$5:$AJ$130,0,MATCH(J$2,Inputs!$K$4:$AJ$4,0))))=0,NA(),SUMPRODUCT((Inputs!$A$5:$A$130=$B18)*Inputs!$B$5:$B$130*(((Inputs!$G$5:$G$130="moeda")+(Inputs!$G$5:$G$130="acoes"))*Inputs!$B$1+((Inputs!$G$5:$G$130&lt;&gt;"moeda")*(Inputs!$G$5:$G$130&lt;&gt;"acoes")))*INDEX(Inputs!$K$5:$AJ$130,0,MATCH(J$2,Inputs!$K$4:$AJ$4,0)))+SUMPRODUCT((Inputs!$C$5:$C$130=$B18)*Inputs!$D$5:$D$130*(((Inputs!$G$5:$G$130="moeda")+(Inputs!$G$5:$G$130="acoes"))*Inputs!$B$1+((Inputs!$G$5:$G$130&lt;&gt;"moeda")*(Inputs!$G$5:$G$130&lt;&gt;"acoes")))*INDEX(Inputs!$K$5:$AJ$130,0,MATCH(J$2,Inputs!$K$4:$AJ$4,0)))+SUMPRODUCT((Inputs!$E$5:$E$130=$B18)*Inputs!$F$5:$F$130*(((Inputs!$G$5:$G$130="moeda")+(Inputs!$G$5:$G$130="acoes"))*Inputs!$B$1+((Inputs!$G$5:$G$130&lt;&gt;"moeda")*(Inputs!$G$5:$G$130&lt;&gt;"acoes")))*INDEX(Inputs!$K$5:$AJ$130,0,MATCH(J$2,Inputs!$K$4:$AJ$4,0)))))</f>
        <v>8575</v>
      </c>
      <c r="K18" s="265">
        <f>IF(ISNA(MATCH(K$2,Inputs!$K$4:$AJ$4,0)),NA(),IF(SUMPRODUCT((Inputs!$A$5:$A$130=$B18)*ISNUMBER(INDEX(Inputs!$K$5:$AJ$130,0,MATCH(K$2,Inputs!$K$4:$AJ$4,0))))+SUMPRODUCT((Inputs!$C$5:$C$130=$B18)*ISNUMBER(INDEX(Inputs!$K$5:$AJ$130,0,MATCH(K$2,Inputs!$K$4:$AJ$4,0))))+SUMPRODUCT((Inputs!$E$5:$E$130=$B18)*ISNUMBER(INDEX(Inputs!$K$5:$AJ$130,0,MATCH(K$2,Inputs!$K$4:$AJ$4,0))))=0,NA(),SUMPRODUCT((Inputs!$A$5:$A$130=$B18)*Inputs!$B$5:$B$130*(((Inputs!$G$5:$G$130="moeda")+(Inputs!$G$5:$G$130="acoes"))*Inputs!$B$1+((Inputs!$G$5:$G$130&lt;&gt;"moeda")*(Inputs!$G$5:$G$130&lt;&gt;"acoes")))*INDEX(Inputs!$K$5:$AJ$130,0,MATCH(K$2,Inputs!$K$4:$AJ$4,0)))+SUMPRODUCT((Inputs!$C$5:$C$130=$B18)*Inputs!$D$5:$D$130*(((Inputs!$G$5:$G$130="moeda")+(Inputs!$G$5:$G$130="acoes"))*Inputs!$B$1+((Inputs!$G$5:$G$130&lt;&gt;"moeda")*(Inputs!$G$5:$G$130&lt;&gt;"acoes")))*INDEX(Inputs!$K$5:$AJ$130,0,MATCH(K$2,Inputs!$K$4:$AJ$4,0)))+SUMPRODUCT((Inputs!$E$5:$E$130=$B18)*Inputs!$F$5:$F$130*(((Inputs!$G$5:$G$130="moeda")+(Inputs!$G$5:$G$130="acoes"))*Inputs!$B$1+((Inputs!$G$5:$G$130&lt;&gt;"moeda")*(Inputs!$G$5:$G$130&lt;&gt;"acoes")))*INDEX(Inputs!$K$5:$AJ$130,0,MATCH(K$2,Inputs!$K$4:$AJ$4,0)))))</f>
        <v>7885</v>
      </c>
      <c r="L18" s="265">
        <f>IF(ISNA(MATCH(L$2,Inputs!$K$4:$AJ$4,0)),NA(),IF(SUMPRODUCT((Inputs!$A$5:$A$130=$B18)*ISNUMBER(INDEX(Inputs!$K$5:$AJ$130,0,MATCH(L$2,Inputs!$K$4:$AJ$4,0))))+SUMPRODUCT((Inputs!$C$5:$C$130=$B18)*ISNUMBER(INDEX(Inputs!$K$5:$AJ$130,0,MATCH(L$2,Inputs!$K$4:$AJ$4,0))))+SUMPRODUCT((Inputs!$E$5:$E$130=$B18)*ISNUMBER(INDEX(Inputs!$K$5:$AJ$130,0,MATCH(L$2,Inputs!$K$4:$AJ$4,0))))=0,NA(),SUMPRODUCT((Inputs!$A$5:$A$130=$B18)*Inputs!$B$5:$B$130*(((Inputs!$G$5:$G$130="moeda")+(Inputs!$G$5:$G$130="acoes"))*Inputs!$B$1+((Inputs!$G$5:$G$130&lt;&gt;"moeda")*(Inputs!$G$5:$G$130&lt;&gt;"acoes")))*INDEX(Inputs!$K$5:$AJ$130,0,MATCH(L$2,Inputs!$K$4:$AJ$4,0)))+SUMPRODUCT((Inputs!$C$5:$C$130=$B18)*Inputs!$D$5:$D$130*(((Inputs!$G$5:$G$130="moeda")+(Inputs!$G$5:$G$130="acoes"))*Inputs!$B$1+((Inputs!$G$5:$G$130&lt;&gt;"moeda")*(Inputs!$G$5:$G$130&lt;&gt;"acoes")))*INDEX(Inputs!$K$5:$AJ$130,0,MATCH(L$2,Inputs!$K$4:$AJ$4,0)))+SUMPRODUCT((Inputs!$E$5:$E$130=$B18)*Inputs!$F$5:$F$130*(((Inputs!$G$5:$G$130="moeda")+(Inputs!$G$5:$G$130="acoes"))*Inputs!$B$1+((Inputs!$G$5:$G$130&lt;&gt;"moeda")*(Inputs!$G$5:$G$130&lt;&gt;"acoes")))*INDEX(Inputs!$K$5:$AJ$130,0,MATCH(L$2,Inputs!$K$4:$AJ$4,0)))))</f>
        <v>7815</v>
      </c>
      <c r="M18" s="266">
        <f>L18</f>
        <v>7815</v>
      </c>
      <c r="N18" s="265">
        <f>IF(ISNA(MATCH(N$2,Inputs!$K$4:$AJ$4,0)),NA(),IF(SUMPRODUCT((Inputs!$A$5:$A$130=$B18)*ISNUMBER(INDEX(Inputs!$K$5:$AJ$130,0,MATCH(N$2,Inputs!$K$4:$AJ$4,0))))+SUMPRODUCT((Inputs!$C$5:$C$130=$B18)*ISNUMBER(INDEX(Inputs!$K$5:$AJ$130,0,MATCH(N$2,Inputs!$K$4:$AJ$4,0))))+SUMPRODUCT((Inputs!$E$5:$E$130=$B18)*ISNUMBER(INDEX(Inputs!$K$5:$AJ$130,0,MATCH(N$2,Inputs!$K$4:$AJ$4,0))))=0,NA(),SUMPRODUCT((Inputs!$A$5:$A$130=$B18)*Inputs!$B$5:$B$130*(((Inputs!$G$5:$G$130="moeda")+(Inputs!$G$5:$G$130="acoes"))*Inputs!$B$1+((Inputs!$G$5:$G$130&lt;&gt;"moeda")*(Inputs!$G$5:$G$130&lt;&gt;"acoes")))*INDEX(Inputs!$K$5:$AJ$130,0,MATCH(N$2,Inputs!$K$4:$AJ$4,0)))+SUMPRODUCT((Inputs!$C$5:$C$130=$B18)*Inputs!$D$5:$D$130*(((Inputs!$G$5:$G$130="moeda")+(Inputs!$G$5:$G$130="acoes"))*Inputs!$B$1+((Inputs!$G$5:$G$130&lt;&gt;"moeda")*(Inputs!$G$5:$G$130&lt;&gt;"acoes")))*INDEX(Inputs!$K$5:$AJ$130,0,MATCH(N$2,Inputs!$K$4:$AJ$4,0)))+SUMPRODUCT((Inputs!$E$5:$E$130=$B18)*Inputs!$F$5:$F$130*(((Inputs!$G$5:$G$130="moeda")+(Inputs!$G$5:$G$130="acoes"))*Inputs!$B$1+((Inputs!$G$5:$G$130&lt;&gt;"moeda")*(Inputs!$G$5:$G$130&lt;&gt;"acoes")))*INDEX(Inputs!$K$5:$AJ$130,0,MATCH(N$2,Inputs!$K$4:$AJ$4,0)))))</f>
        <v>6716</v>
      </c>
      <c r="O18" s="265">
        <f>IF(ISNA(MATCH(O$2,Inputs!$K$4:$AJ$4,0)),NA(),IF(SUMPRODUCT((Inputs!$A$5:$A$130=$B18)*ISNUMBER(INDEX(Inputs!$K$5:$AJ$130,0,MATCH(O$2,Inputs!$K$4:$AJ$4,0))))+SUMPRODUCT((Inputs!$C$5:$C$130=$B18)*ISNUMBER(INDEX(Inputs!$K$5:$AJ$130,0,MATCH(O$2,Inputs!$K$4:$AJ$4,0))))+SUMPRODUCT((Inputs!$E$5:$E$130=$B18)*ISNUMBER(INDEX(Inputs!$K$5:$AJ$130,0,MATCH(O$2,Inputs!$K$4:$AJ$4,0))))=0,NA(),SUMPRODUCT((Inputs!$A$5:$A$130=$B18)*Inputs!$B$5:$B$130*(((Inputs!$G$5:$G$130="moeda")+(Inputs!$G$5:$G$130="acoes"))*Inputs!$B$1+((Inputs!$G$5:$G$130&lt;&gt;"moeda")*(Inputs!$G$5:$G$130&lt;&gt;"acoes")))*INDEX(Inputs!$K$5:$AJ$130,0,MATCH(O$2,Inputs!$K$4:$AJ$4,0)))+SUMPRODUCT((Inputs!$C$5:$C$130=$B18)*Inputs!$D$5:$D$130*(((Inputs!$G$5:$G$130="moeda")+(Inputs!$G$5:$G$130="acoes"))*Inputs!$B$1+((Inputs!$G$5:$G$130&lt;&gt;"moeda")*(Inputs!$G$5:$G$130&lt;&gt;"acoes")))*INDEX(Inputs!$K$5:$AJ$130,0,MATCH(O$2,Inputs!$K$4:$AJ$4,0)))+SUMPRODUCT((Inputs!$E$5:$E$130=$B18)*Inputs!$F$5:$F$130*(((Inputs!$G$5:$G$130="moeda")+(Inputs!$G$5:$G$130="acoes"))*Inputs!$B$1+((Inputs!$G$5:$G$130&lt;&gt;"moeda")*(Inputs!$G$5:$G$130&lt;&gt;"acoes")))*INDEX(Inputs!$K$5:$AJ$130,0,MATCH(O$2,Inputs!$K$4:$AJ$4,0)))))</f>
        <v>6238</v>
      </c>
      <c r="P18" s="265">
        <f>IF(ISNA(MATCH(P$2,Inputs!$K$4:$AJ$4,0)),NA(),IF(SUMPRODUCT((Inputs!$A$5:$A$130=$B18)*ISNUMBER(INDEX(Inputs!$K$5:$AJ$130,0,MATCH(P$2,Inputs!$K$4:$AJ$4,0))))+SUMPRODUCT((Inputs!$C$5:$C$130=$B18)*ISNUMBER(INDEX(Inputs!$K$5:$AJ$130,0,MATCH(P$2,Inputs!$K$4:$AJ$4,0))))+SUMPRODUCT((Inputs!$E$5:$E$130=$B18)*ISNUMBER(INDEX(Inputs!$K$5:$AJ$130,0,MATCH(P$2,Inputs!$K$4:$AJ$4,0))))=0,NA(),SUMPRODUCT((Inputs!$A$5:$A$130=$B18)*Inputs!$B$5:$B$130*(((Inputs!$G$5:$G$130="moeda")+(Inputs!$G$5:$G$130="acoes"))*Inputs!$B$1+((Inputs!$G$5:$G$130&lt;&gt;"moeda")*(Inputs!$G$5:$G$130&lt;&gt;"acoes")))*INDEX(Inputs!$K$5:$AJ$130,0,MATCH(P$2,Inputs!$K$4:$AJ$4,0)))+SUMPRODUCT((Inputs!$C$5:$C$130=$B18)*Inputs!$D$5:$D$130*(((Inputs!$G$5:$G$130="moeda")+(Inputs!$G$5:$G$130="acoes"))*Inputs!$B$1+((Inputs!$G$5:$G$130&lt;&gt;"moeda")*(Inputs!$G$5:$G$130&lt;&gt;"acoes")))*INDEX(Inputs!$K$5:$AJ$130,0,MATCH(P$2,Inputs!$K$4:$AJ$4,0)))+SUMPRODUCT((Inputs!$E$5:$E$130=$B18)*Inputs!$F$5:$F$130*(((Inputs!$G$5:$G$130="moeda")+(Inputs!$G$5:$G$130="acoes"))*Inputs!$B$1+((Inputs!$G$5:$G$130&lt;&gt;"moeda")*(Inputs!$G$5:$G$130&lt;&gt;"acoes")))*INDEX(Inputs!$K$5:$AJ$130,0,MATCH(P$2,Inputs!$K$4:$AJ$4,0)))))</f>
        <v>5537</v>
      </c>
      <c r="Q18" s="265">
        <f>IF(ISNA(MATCH(Q$2,Inputs!$K$4:$AJ$4,0)),NA(),IF(SUMPRODUCT((Inputs!$A$5:$A$130=$B18)*ISNUMBER(INDEX(Inputs!$K$5:$AJ$130,0,MATCH(Q$2,Inputs!$K$4:$AJ$4,0))))+SUMPRODUCT((Inputs!$C$5:$C$130=$B18)*ISNUMBER(INDEX(Inputs!$K$5:$AJ$130,0,MATCH(Q$2,Inputs!$K$4:$AJ$4,0))))+SUMPRODUCT((Inputs!$E$5:$E$130=$B18)*ISNUMBER(INDEX(Inputs!$K$5:$AJ$130,0,MATCH(Q$2,Inputs!$K$4:$AJ$4,0))))=0,NA(),SUMPRODUCT((Inputs!$A$5:$A$130=$B18)*Inputs!$B$5:$B$130*(((Inputs!$G$5:$G$130="moeda")+(Inputs!$G$5:$G$130="acoes"))*Inputs!$B$1+((Inputs!$G$5:$G$130&lt;&gt;"moeda")*(Inputs!$G$5:$G$130&lt;&gt;"acoes")))*INDEX(Inputs!$K$5:$AJ$130,0,MATCH(Q$2,Inputs!$K$4:$AJ$4,0)))+SUMPRODUCT((Inputs!$C$5:$C$130=$B18)*Inputs!$D$5:$D$130*(((Inputs!$G$5:$G$130="moeda")+(Inputs!$G$5:$G$130="acoes"))*Inputs!$B$1+((Inputs!$G$5:$G$130&lt;&gt;"moeda")*(Inputs!$G$5:$G$130&lt;&gt;"acoes")))*INDEX(Inputs!$K$5:$AJ$130,0,MATCH(Q$2,Inputs!$K$4:$AJ$4,0)))+SUMPRODUCT((Inputs!$E$5:$E$130=$B18)*Inputs!$F$5:$F$130*(((Inputs!$G$5:$G$130="moeda")+(Inputs!$G$5:$G$130="acoes"))*Inputs!$B$1+((Inputs!$G$5:$G$130&lt;&gt;"moeda")*(Inputs!$G$5:$G$130&lt;&gt;"acoes")))*INDEX(Inputs!$K$5:$AJ$130,0,MATCH(Q$2,Inputs!$K$4:$AJ$4,0)))))</f>
        <v>6454</v>
      </c>
      <c r="R18" s="266">
        <f>Q18</f>
        <v>6454</v>
      </c>
      <c r="S18" s="265">
        <f>IF(ISNA(MATCH(S$2,Inputs!$K$4:$AJ$4,0)),NA(),IF(SUMPRODUCT((Inputs!$A$5:$A$130=$B18)*ISNUMBER(INDEX(Inputs!$K$5:$AJ$130,0,MATCH(S$2,Inputs!$K$4:$AJ$4,0))))+SUMPRODUCT((Inputs!$C$5:$C$130=$B18)*ISNUMBER(INDEX(Inputs!$K$5:$AJ$130,0,MATCH(S$2,Inputs!$K$4:$AJ$4,0))))+SUMPRODUCT((Inputs!$E$5:$E$130=$B18)*ISNUMBER(INDEX(Inputs!$K$5:$AJ$130,0,MATCH(S$2,Inputs!$K$4:$AJ$4,0))))=0,NA(),SUMPRODUCT((Inputs!$A$5:$A$130=$B18)*Inputs!$B$5:$B$130*(((Inputs!$G$5:$G$130="moeda")+(Inputs!$G$5:$G$130="acoes"))*Inputs!$B$1+((Inputs!$G$5:$G$130&lt;&gt;"moeda")*(Inputs!$G$5:$G$130&lt;&gt;"acoes")))*INDEX(Inputs!$K$5:$AJ$130,0,MATCH(S$2,Inputs!$K$4:$AJ$4,0)))+SUMPRODUCT((Inputs!$C$5:$C$130=$B18)*Inputs!$D$5:$D$130*(((Inputs!$G$5:$G$130="moeda")+(Inputs!$G$5:$G$130="acoes"))*Inputs!$B$1+((Inputs!$G$5:$G$130&lt;&gt;"moeda")*(Inputs!$G$5:$G$130&lt;&gt;"acoes")))*INDEX(Inputs!$K$5:$AJ$130,0,MATCH(S$2,Inputs!$K$4:$AJ$4,0)))+SUMPRODUCT((Inputs!$E$5:$E$130=$B18)*Inputs!$F$5:$F$130*(((Inputs!$G$5:$G$130="moeda")+(Inputs!$G$5:$G$130="acoes"))*Inputs!$B$1+((Inputs!$G$5:$G$130&lt;&gt;"moeda")*(Inputs!$G$5:$G$130&lt;&gt;"acoes")))*INDEX(Inputs!$K$5:$AJ$130,0,MATCH(S$2,Inputs!$K$4:$AJ$4,0)))))</f>
        <v>6217</v>
      </c>
      <c r="T18" s="265">
        <f>IF(ISNA(MATCH(T$2,Inputs!$K$4:$AJ$4,0)),NA(),IF(SUMPRODUCT((Inputs!$A$5:$A$130=$B18)*ISNUMBER(INDEX(Inputs!$K$5:$AJ$130,0,MATCH(T$2,Inputs!$K$4:$AJ$4,0))))+SUMPRODUCT((Inputs!$C$5:$C$130=$B18)*ISNUMBER(INDEX(Inputs!$K$5:$AJ$130,0,MATCH(T$2,Inputs!$K$4:$AJ$4,0))))+SUMPRODUCT((Inputs!$E$5:$E$130=$B18)*ISNUMBER(INDEX(Inputs!$K$5:$AJ$130,0,MATCH(T$2,Inputs!$K$4:$AJ$4,0))))=0,NA(),SUMPRODUCT((Inputs!$A$5:$A$130=$B18)*Inputs!$B$5:$B$130*(((Inputs!$G$5:$G$130="moeda")+(Inputs!$G$5:$G$130="acoes"))*Inputs!$B$1+((Inputs!$G$5:$G$130&lt;&gt;"moeda")*(Inputs!$G$5:$G$130&lt;&gt;"acoes")))*INDEX(Inputs!$K$5:$AJ$130,0,MATCH(T$2,Inputs!$K$4:$AJ$4,0)))+SUMPRODUCT((Inputs!$C$5:$C$130=$B18)*Inputs!$D$5:$D$130*(((Inputs!$G$5:$G$130="moeda")+(Inputs!$G$5:$G$130="acoes"))*Inputs!$B$1+((Inputs!$G$5:$G$130&lt;&gt;"moeda")*(Inputs!$G$5:$G$130&lt;&gt;"acoes")))*INDEX(Inputs!$K$5:$AJ$130,0,MATCH(T$2,Inputs!$K$4:$AJ$4,0)))+SUMPRODUCT((Inputs!$E$5:$E$130=$B18)*Inputs!$F$5:$F$130*(((Inputs!$G$5:$G$130="moeda")+(Inputs!$G$5:$G$130="acoes"))*Inputs!$B$1+((Inputs!$G$5:$G$130&lt;&gt;"moeda")*(Inputs!$G$5:$G$130&lt;&gt;"acoes")))*INDEX(Inputs!$K$5:$AJ$130,0,MATCH(T$2,Inputs!$K$4:$AJ$4,0)))))</f>
        <v>5888</v>
      </c>
      <c r="U18" s="265">
        <f>IF(ISNA(MATCH(U$2,Inputs!$K$4:$AJ$4,0)),NA(),IF(SUMPRODUCT((Inputs!$A$5:$A$130=$B18)*ISNUMBER(INDEX(Inputs!$K$5:$AJ$130,0,MATCH(U$2,Inputs!$K$4:$AJ$4,0))))+SUMPRODUCT((Inputs!$C$5:$C$130=$B18)*ISNUMBER(INDEX(Inputs!$K$5:$AJ$130,0,MATCH(U$2,Inputs!$K$4:$AJ$4,0))))+SUMPRODUCT((Inputs!$E$5:$E$130=$B18)*ISNUMBER(INDEX(Inputs!$K$5:$AJ$130,0,MATCH(U$2,Inputs!$K$4:$AJ$4,0))))=0,NA(),SUMPRODUCT((Inputs!$A$5:$A$130=$B18)*Inputs!$B$5:$B$130*(((Inputs!$G$5:$G$130="moeda")+(Inputs!$G$5:$G$130="acoes"))*Inputs!$B$1+((Inputs!$G$5:$G$130&lt;&gt;"moeda")*(Inputs!$G$5:$G$130&lt;&gt;"acoes")))*INDEX(Inputs!$K$5:$AJ$130,0,MATCH(U$2,Inputs!$K$4:$AJ$4,0)))+SUMPRODUCT((Inputs!$C$5:$C$130=$B18)*Inputs!$D$5:$D$130*(((Inputs!$G$5:$G$130="moeda")+(Inputs!$G$5:$G$130="acoes"))*Inputs!$B$1+((Inputs!$G$5:$G$130&lt;&gt;"moeda")*(Inputs!$G$5:$G$130&lt;&gt;"acoes")))*INDEX(Inputs!$K$5:$AJ$130,0,MATCH(U$2,Inputs!$K$4:$AJ$4,0)))+SUMPRODUCT((Inputs!$E$5:$E$130=$B18)*Inputs!$F$5:$F$130*(((Inputs!$G$5:$G$130="moeda")+(Inputs!$G$5:$G$130="acoes"))*Inputs!$B$1+((Inputs!$G$5:$G$130&lt;&gt;"moeda")*(Inputs!$G$5:$G$130&lt;&gt;"acoes")))*INDEX(Inputs!$K$5:$AJ$130,0,MATCH(U$2,Inputs!$K$4:$AJ$4,0)))))</f>
        <v>6114</v>
      </c>
      <c r="V18" s="265">
        <f>IF(ISNA(MATCH(V$2,Inputs!$K$4:$AJ$4,0)),NA(),IF(SUMPRODUCT((Inputs!$A$5:$A$130=$B18)*ISNUMBER(INDEX(Inputs!$K$5:$AJ$130,0,MATCH(V$2,Inputs!$K$4:$AJ$4,0))))+SUMPRODUCT((Inputs!$C$5:$C$130=$B18)*ISNUMBER(INDEX(Inputs!$K$5:$AJ$130,0,MATCH(V$2,Inputs!$K$4:$AJ$4,0))))+SUMPRODUCT((Inputs!$E$5:$E$130=$B18)*ISNUMBER(INDEX(Inputs!$K$5:$AJ$130,0,MATCH(V$2,Inputs!$K$4:$AJ$4,0))))=0,NA(),SUMPRODUCT((Inputs!$A$5:$A$130=$B18)*Inputs!$B$5:$B$130*(((Inputs!$G$5:$G$130="moeda")+(Inputs!$G$5:$G$130="acoes"))*Inputs!$B$1+((Inputs!$G$5:$G$130&lt;&gt;"moeda")*(Inputs!$G$5:$G$130&lt;&gt;"acoes")))*INDEX(Inputs!$K$5:$AJ$130,0,MATCH(V$2,Inputs!$K$4:$AJ$4,0)))+SUMPRODUCT((Inputs!$C$5:$C$130=$B18)*Inputs!$D$5:$D$130*(((Inputs!$G$5:$G$130="moeda")+(Inputs!$G$5:$G$130="acoes"))*Inputs!$B$1+((Inputs!$G$5:$G$130&lt;&gt;"moeda")*(Inputs!$G$5:$G$130&lt;&gt;"acoes")))*INDEX(Inputs!$K$5:$AJ$130,0,MATCH(V$2,Inputs!$K$4:$AJ$4,0)))+SUMPRODUCT((Inputs!$E$5:$E$130=$B18)*Inputs!$F$5:$F$130*(((Inputs!$G$5:$G$130="moeda")+(Inputs!$G$5:$G$130="acoes"))*Inputs!$B$1+((Inputs!$G$5:$G$130&lt;&gt;"moeda")*(Inputs!$G$5:$G$130&lt;&gt;"acoes")))*INDEX(Inputs!$K$5:$AJ$130,0,MATCH(V$2,Inputs!$K$4:$AJ$4,0)))))</f>
        <v>6857</v>
      </c>
      <c r="W18" s="266">
        <f>V18</f>
        <v>6857</v>
      </c>
      <c r="X18" s="265">
        <f>IF(ISNA(MATCH(X$2,Inputs!$K$4:$AJ$4,0)),NA(),IF(SUMPRODUCT((Inputs!$A$5:$A$130=$B18)*ISNUMBER(INDEX(Inputs!$K$5:$AJ$130,0,MATCH(X$2,Inputs!$K$4:$AJ$4,0))))+SUMPRODUCT((Inputs!$C$5:$C$130=$B18)*ISNUMBER(INDEX(Inputs!$K$5:$AJ$130,0,MATCH(X$2,Inputs!$K$4:$AJ$4,0))))+SUMPRODUCT((Inputs!$E$5:$E$130=$B18)*ISNUMBER(INDEX(Inputs!$K$5:$AJ$130,0,MATCH(X$2,Inputs!$K$4:$AJ$4,0))))=0,NA(),SUMPRODUCT((Inputs!$A$5:$A$130=$B18)*Inputs!$B$5:$B$130*(((Inputs!$G$5:$G$130="moeda")+(Inputs!$G$5:$G$130="acoes"))*Inputs!$B$1+((Inputs!$G$5:$G$130&lt;&gt;"moeda")*(Inputs!$G$5:$G$130&lt;&gt;"acoes")))*INDEX(Inputs!$K$5:$AJ$130,0,MATCH(X$2,Inputs!$K$4:$AJ$4,0)))+SUMPRODUCT((Inputs!$C$5:$C$130=$B18)*Inputs!$D$5:$D$130*(((Inputs!$G$5:$G$130="moeda")+(Inputs!$G$5:$G$130="acoes"))*Inputs!$B$1+((Inputs!$G$5:$G$130&lt;&gt;"moeda")*(Inputs!$G$5:$G$130&lt;&gt;"acoes")))*INDEX(Inputs!$K$5:$AJ$130,0,MATCH(X$2,Inputs!$K$4:$AJ$4,0)))+SUMPRODUCT((Inputs!$E$5:$E$130=$B18)*Inputs!$F$5:$F$130*(((Inputs!$G$5:$G$130="moeda")+(Inputs!$G$5:$G$130="acoes"))*Inputs!$B$1+((Inputs!$G$5:$G$130&lt;&gt;"moeda")*(Inputs!$G$5:$G$130&lt;&gt;"acoes")))*INDEX(Inputs!$K$5:$AJ$130,0,MATCH(X$2,Inputs!$K$4:$AJ$4,0)))))</f>
        <v>6989</v>
      </c>
      <c r="Y18" s="265">
        <f>IF(ISNA(MATCH(Y$2,Inputs!$K$4:$AJ$4,0)),NA(),IF(SUMPRODUCT((Inputs!$A$5:$A$130=$B18)*ISNUMBER(INDEX(Inputs!$K$5:$AJ$130,0,MATCH(Y$2,Inputs!$K$4:$AJ$4,0))))+SUMPRODUCT((Inputs!$C$5:$C$130=$B18)*ISNUMBER(INDEX(Inputs!$K$5:$AJ$130,0,MATCH(Y$2,Inputs!$K$4:$AJ$4,0))))+SUMPRODUCT((Inputs!$E$5:$E$130=$B18)*ISNUMBER(INDEX(Inputs!$K$5:$AJ$130,0,MATCH(Y$2,Inputs!$K$4:$AJ$4,0))))=0,NA(),SUMPRODUCT((Inputs!$A$5:$A$130=$B18)*Inputs!$B$5:$B$130*(((Inputs!$G$5:$G$130="moeda")+(Inputs!$G$5:$G$130="acoes"))*Inputs!$B$1+((Inputs!$G$5:$G$130&lt;&gt;"moeda")*(Inputs!$G$5:$G$130&lt;&gt;"acoes")))*INDEX(Inputs!$K$5:$AJ$130,0,MATCH(Y$2,Inputs!$K$4:$AJ$4,0)))+SUMPRODUCT((Inputs!$C$5:$C$130=$B18)*Inputs!$D$5:$D$130*(((Inputs!$G$5:$G$130="moeda")+(Inputs!$G$5:$G$130="acoes"))*Inputs!$B$1+((Inputs!$G$5:$G$130&lt;&gt;"moeda")*(Inputs!$G$5:$G$130&lt;&gt;"acoes")))*INDEX(Inputs!$K$5:$AJ$130,0,MATCH(Y$2,Inputs!$K$4:$AJ$4,0)))+SUMPRODUCT((Inputs!$E$5:$E$130=$B18)*Inputs!$F$5:$F$130*(((Inputs!$G$5:$G$130="moeda")+(Inputs!$G$5:$G$130="acoes"))*Inputs!$B$1+((Inputs!$G$5:$G$130&lt;&gt;"moeda")*(Inputs!$G$5:$G$130&lt;&gt;"acoes")))*INDEX(Inputs!$K$5:$AJ$130,0,MATCH(Y$2,Inputs!$K$4:$AJ$4,0)))))</f>
        <v>7524</v>
      </c>
      <c r="Z18" s="265">
        <f>IF(ISNA(MATCH(Z$2,Inputs!$K$4:$AJ$4,0)),NA(),IF(SUMPRODUCT((Inputs!$A$5:$A$130=$B18)*ISNUMBER(INDEX(Inputs!$K$5:$AJ$130,0,MATCH(Z$2,Inputs!$K$4:$AJ$4,0))))+SUMPRODUCT((Inputs!$C$5:$C$130=$B18)*ISNUMBER(INDEX(Inputs!$K$5:$AJ$130,0,MATCH(Z$2,Inputs!$K$4:$AJ$4,0))))+SUMPRODUCT((Inputs!$E$5:$E$130=$B18)*ISNUMBER(INDEX(Inputs!$K$5:$AJ$130,0,MATCH(Z$2,Inputs!$K$4:$AJ$4,0))))=0,NA(),SUMPRODUCT((Inputs!$A$5:$A$130=$B18)*Inputs!$B$5:$B$130*(((Inputs!$G$5:$G$130="moeda")+(Inputs!$G$5:$G$130="acoes"))*Inputs!$B$1+((Inputs!$G$5:$G$130&lt;&gt;"moeda")*(Inputs!$G$5:$G$130&lt;&gt;"acoes")))*INDEX(Inputs!$K$5:$AJ$130,0,MATCH(Z$2,Inputs!$K$4:$AJ$4,0)))+SUMPRODUCT((Inputs!$C$5:$C$130=$B18)*Inputs!$D$5:$D$130*(((Inputs!$G$5:$G$130="moeda")+(Inputs!$G$5:$G$130="acoes"))*Inputs!$B$1+((Inputs!$G$5:$G$130&lt;&gt;"moeda")*(Inputs!$G$5:$G$130&lt;&gt;"acoes")))*INDEX(Inputs!$K$5:$AJ$130,0,MATCH(Z$2,Inputs!$K$4:$AJ$4,0)))+SUMPRODUCT((Inputs!$E$5:$E$130=$B18)*Inputs!$F$5:$F$130*(((Inputs!$G$5:$G$130="moeda")+(Inputs!$G$5:$G$130="acoes"))*Inputs!$B$1+((Inputs!$G$5:$G$130&lt;&gt;"moeda")*(Inputs!$G$5:$G$130&lt;&gt;"acoes")))*INDEX(Inputs!$K$5:$AJ$130,0,MATCH(Z$2,Inputs!$K$4:$AJ$4,0)))))</f>
        <v>8088</v>
      </c>
      <c r="AA18" s="265">
        <f>IF(ISNA(MATCH(AA$2,Inputs!$K$4:$AJ$4,0)),NA(),IF(SUMPRODUCT((Inputs!$A$5:$A$130=$B18)*ISNUMBER(INDEX(Inputs!$K$5:$AJ$130,0,MATCH(AA$2,Inputs!$K$4:$AJ$4,0))))+SUMPRODUCT((Inputs!$C$5:$C$130=$B18)*ISNUMBER(INDEX(Inputs!$K$5:$AJ$130,0,MATCH(AA$2,Inputs!$K$4:$AJ$4,0))))+SUMPRODUCT((Inputs!$E$5:$E$130=$B18)*ISNUMBER(INDEX(Inputs!$K$5:$AJ$130,0,MATCH(AA$2,Inputs!$K$4:$AJ$4,0))))=0,NA(),SUMPRODUCT((Inputs!$A$5:$A$130=$B18)*Inputs!$B$5:$B$130*(((Inputs!$G$5:$G$130="moeda")+(Inputs!$G$5:$G$130="acoes"))*Inputs!$B$1+((Inputs!$G$5:$G$130&lt;&gt;"moeda")*(Inputs!$G$5:$G$130&lt;&gt;"acoes")))*INDEX(Inputs!$K$5:$AJ$130,0,MATCH(AA$2,Inputs!$K$4:$AJ$4,0)))+SUMPRODUCT((Inputs!$C$5:$C$130=$B18)*Inputs!$D$5:$D$130*(((Inputs!$G$5:$G$130="moeda")+(Inputs!$G$5:$G$130="acoes"))*Inputs!$B$1+((Inputs!$G$5:$G$130&lt;&gt;"moeda")*(Inputs!$G$5:$G$130&lt;&gt;"acoes")))*INDEX(Inputs!$K$5:$AJ$130,0,MATCH(AA$2,Inputs!$K$4:$AJ$4,0)))+SUMPRODUCT((Inputs!$E$5:$E$130=$B18)*Inputs!$F$5:$F$130*(((Inputs!$G$5:$G$130="moeda")+(Inputs!$G$5:$G$130="acoes"))*Inputs!$B$1+((Inputs!$G$5:$G$130&lt;&gt;"moeda")*(Inputs!$G$5:$G$130&lt;&gt;"acoes")))*INDEX(Inputs!$K$5:$AJ$130,0,MATCH(AA$2,Inputs!$K$4:$AJ$4,0)))))</f>
        <v>8173</v>
      </c>
      <c r="AB18" s="266">
        <f>AA18</f>
        <v>8173</v>
      </c>
      <c r="AC18" s="265">
        <f>IF(ISNA(MATCH(AC$2,Inputs!$K$4:$AJ$4,0)),NA(),IF(SUMPRODUCT((Inputs!$A$5:$A$130=$B18)*ISNUMBER(INDEX(Inputs!$K$5:$AJ$130,0,MATCH(AC$2,Inputs!$K$4:$AJ$4,0))))+SUMPRODUCT((Inputs!$C$5:$C$130=$B18)*ISNUMBER(INDEX(Inputs!$K$5:$AJ$130,0,MATCH(AC$2,Inputs!$K$4:$AJ$4,0))))+SUMPRODUCT((Inputs!$E$5:$E$130=$B18)*ISNUMBER(INDEX(Inputs!$K$5:$AJ$130,0,MATCH(AC$2,Inputs!$K$4:$AJ$4,0))))=0,NA(),SUMPRODUCT((Inputs!$A$5:$A$130=$B18)*Inputs!$B$5:$B$130*(((Inputs!$G$5:$G$130="moeda")+(Inputs!$G$5:$G$130="acoes"))*Inputs!$B$1+((Inputs!$G$5:$G$130&lt;&gt;"moeda")*(Inputs!$G$5:$G$130&lt;&gt;"acoes")))*INDEX(Inputs!$K$5:$AJ$130,0,MATCH(AC$2,Inputs!$K$4:$AJ$4,0)))+SUMPRODUCT((Inputs!$C$5:$C$130=$B18)*Inputs!$D$5:$D$130*(((Inputs!$G$5:$G$130="moeda")+(Inputs!$G$5:$G$130="acoes"))*Inputs!$B$1+((Inputs!$G$5:$G$130&lt;&gt;"moeda")*(Inputs!$G$5:$G$130&lt;&gt;"acoes")))*INDEX(Inputs!$K$5:$AJ$130,0,MATCH(AC$2,Inputs!$K$4:$AJ$4,0)))+SUMPRODUCT((Inputs!$E$5:$E$130=$B18)*Inputs!$F$5:$F$130*(((Inputs!$G$5:$G$130="moeda")+(Inputs!$G$5:$G$130="acoes"))*Inputs!$B$1+((Inputs!$G$5:$G$130&lt;&gt;"moeda")*(Inputs!$G$5:$G$130&lt;&gt;"acoes")))*INDEX(Inputs!$K$5:$AJ$130,0,MATCH(AC$2,Inputs!$K$4:$AJ$4,0)))))</f>
        <v>7474</v>
      </c>
      <c r="AD18" s="265">
        <f>IF(ISNA(MATCH(AD$2,Inputs!$K$4:$AJ$4,0)),NA(),IF(SUMPRODUCT((Inputs!$A$5:$A$130=$B18)*ISNUMBER(INDEX(Inputs!$K$5:$AJ$130,0,MATCH(AD$2,Inputs!$K$4:$AJ$4,0))))+SUMPRODUCT((Inputs!$C$5:$C$130=$B18)*ISNUMBER(INDEX(Inputs!$K$5:$AJ$130,0,MATCH(AD$2,Inputs!$K$4:$AJ$4,0))))+SUMPRODUCT((Inputs!$E$5:$E$130=$B18)*ISNUMBER(INDEX(Inputs!$K$5:$AJ$130,0,MATCH(AD$2,Inputs!$K$4:$AJ$4,0))))=0,NA(),SUMPRODUCT((Inputs!$A$5:$A$130=$B18)*Inputs!$B$5:$B$130*(((Inputs!$G$5:$G$130="moeda")+(Inputs!$G$5:$G$130="acoes"))*Inputs!$B$1+((Inputs!$G$5:$G$130&lt;&gt;"moeda")*(Inputs!$G$5:$G$130&lt;&gt;"acoes")))*INDEX(Inputs!$K$5:$AJ$130,0,MATCH(AD$2,Inputs!$K$4:$AJ$4,0)))+SUMPRODUCT((Inputs!$C$5:$C$130=$B18)*Inputs!$D$5:$D$130*(((Inputs!$G$5:$G$130="moeda")+(Inputs!$G$5:$G$130="acoes"))*Inputs!$B$1+((Inputs!$G$5:$G$130&lt;&gt;"moeda")*(Inputs!$G$5:$G$130&lt;&gt;"acoes")))*INDEX(Inputs!$K$5:$AJ$130,0,MATCH(AD$2,Inputs!$K$4:$AJ$4,0)))+SUMPRODUCT((Inputs!$E$5:$E$130=$B18)*Inputs!$F$5:$F$130*(((Inputs!$G$5:$G$130="moeda")+(Inputs!$G$5:$G$130="acoes"))*Inputs!$B$1+((Inputs!$G$5:$G$130&lt;&gt;"moeda")*(Inputs!$G$5:$G$130&lt;&gt;"acoes")))*INDEX(Inputs!$K$5:$AJ$130,0,MATCH(AD$2,Inputs!$K$4:$AJ$4,0)))))</f>
        <v>6606</v>
      </c>
      <c r="AE18" s="265" t="e">
        <f>IF(ISNA(MATCH(AE$2,Inputs!$K$4:$AJ$4,0)),NA(),IF(SUMPRODUCT((Inputs!$A$5:$A$130=$B18)*ISNUMBER(INDEX(Inputs!$K$5:$AJ$130,0,MATCH(AE$2,Inputs!$K$4:$AJ$4,0))))+SUMPRODUCT((Inputs!$C$5:$C$130=$B18)*ISNUMBER(INDEX(Inputs!$K$5:$AJ$130,0,MATCH(AE$2,Inputs!$K$4:$AJ$4,0))))+SUMPRODUCT((Inputs!$E$5:$E$130=$B18)*ISNUMBER(INDEX(Inputs!$K$5:$AJ$130,0,MATCH(AE$2,Inputs!$K$4:$AJ$4,0))))=0,NA(),SUMPRODUCT((Inputs!$A$5:$A$130=$B18)*Inputs!$B$5:$B$130*(((Inputs!$G$5:$G$130="moeda")+(Inputs!$G$5:$G$130="acoes"))*Inputs!$B$1+((Inputs!$G$5:$G$130&lt;&gt;"moeda")*(Inputs!$G$5:$G$130&lt;&gt;"acoes")))*INDEX(Inputs!$K$5:$AJ$130,0,MATCH(AE$2,Inputs!$K$4:$AJ$4,0)))+SUMPRODUCT((Inputs!$C$5:$C$130=$B18)*Inputs!$D$5:$D$130*(((Inputs!$G$5:$G$130="moeda")+(Inputs!$G$5:$G$130="acoes"))*Inputs!$B$1+((Inputs!$G$5:$G$130&lt;&gt;"moeda")*(Inputs!$G$5:$G$130&lt;&gt;"acoes")))*INDEX(Inputs!$K$5:$AJ$130,0,MATCH(AE$2,Inputs!$K$4:$AJ$4,0)))+SUMPRODUCT((Inputs!$E$5:$E$130=$B18)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8" s="265" t="e">
        <f>IF(ISNA(MATCH(AF$2,Inputs!$K$4:$AJ$4,0)),NA(),IF(SUMPRODUCT((Inputs!$A$5:$A$130=$B18)*ISNUMBER(INDEX(Inputs!$K$5:$AJ$130,0,MATCH(AF$2,Inputs!$K$4:$AJ$4,0))))+SUMPRODUCT((Inputs!$C$5:$C$130=$B18)*ISNUMBER(INDEX(Inputs!$K$5:$AJ$130,0,MATCH(AF$2,Inputs!$K$4:$AJ$4,0))))+SUMPRODUCT((Inputs!$E$5:$E$130=$B18)*ISNUMBER(INDEX(Inputs!$K$5:$AJ$130,0,MATCH(AF$2,Inputs!$K$4:$AJ$4,0))))=0,NA(),SUMPRODUCT((Inputs!$A$5:$A$130=$B18)*Inputs!$B$5:$B$130*(((Inputs!$G$5:$G$130="moeda")+(Inputs!$G$5:$G$130="acoes"))*Inputs!$B$1+((Inputs!$G$5:$G$130&lt;&gt;"moeda")*(Inputs!$G$5:$G$130&lt;&gt;"acoes")))*INDEX(Inputs!$K$5:$AJ$130,0,MATCH(AF$2,Inputs!$K$4:$AJ$4,0)))+SUMPRODUCT((Inputs!$C$5:$C$130=$B18)*Inputs!$D$5:$D$130*(((Inputs!$G$5:$G$130="moeda")+(Inputs!$G$5:$G$130="acoes"))*Inputs!$B$1+((Inputs!$G$5:$G$130&lt;&gt;"moeda")*(Inputs!$G$5:$G$130&lt;&gt;"acoes")))*INDEX(Inputs!$K$5:$AJ$130,0,MATCH(AF$2,Inputs!$K$4:$AJ$4,0)))+SUMPRODUCT((Inputs!$E$5:$E$130=$B18)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8" s="266" t="e">
        <f>AF18</f>
        <v>#N/A</v>
      </c>
      <c r="AH18" s="265" t="e">
        <f>IF(ISNA(MATCH(AH$2,Inputs!$K$4:$AJ$4,0)),NA(),IF(SUMPRODUCT((Inputs!$A$5:$A$130=$B18)*ISNUMBER(INDEX(Inputs!$K$5:$AJ$130,0,MATCH(AH$2,Inputs!$K$4:$AJ$4,0))))+SUMPRODUCT((Inputs!$C$5:$C$130=$B18)*ISNUMBER(INDEX(Inputs!$K$5:$AJ$130,0,MATCH(AH$2,Inputs!$K$4:$AJ$4,0))))+SUMPRODUCT((Inputs!$E$5:$E$130=$B18)*ISNUMBER(INDEX(Inputs!$K$5:$AJ$130,0,MATCH(AH$2,Inputs!$K$4:$AJ$4,0))))=0,NA(),SUMPRODUCT((Inputs!$A$5:$A$130=$B18)*Inputs!$B$5:$B$130*(((Inputs!$G$5:$G$130="moeda")+(Inputs!$G$5:$G$130="acoes"))*Inputs!$B$1+((Inputs!$G$5:$G$130&lt;&gt;"moeda")*(Inputs!$G$5:$G$130&lt;&gt;"acoes")))*INDEX(Inputs!$K$5:$AJ$130,0,MATCH(AH$2,Inputs!$K$4:$AJ$4,0)))+SUMPRODUCT((Inputs!$C$5:$C$130=$B18)*Inputs!$D$5:$D$130*(((Inputs!$G$5:$G$130="moeda")+(Inputs!$G$5:$G$130="acoes"))*Inputs!$B$1+((Inputs!$G$5:$G$130&lt;&gt;"moeda")*(Inputs!$G$5:$G$130&lt;&gt;"acoes")))*INDEX(Inputs!$K$5:$AJ$130,0,MATCH(AH$2,Inputs!$K$4:$AJ$4,0)))+SUMPRODUCT((Inputs!$E$5:$E$130=$B18)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18" s="265" t="e">
        <f>IF(ISNA(MATCH(AI$2,Inputs!$K$4:$AJ$4,0)),NA(),IF(SUMPRODUCT((Inputs!$A$5:$A$130=$B18)*ISNUMBER(INDEX(Inputs!$K$5:$AJ$130,0,MATCH(AI$2,Inputs!$K$4:$AJ$4,0))))+SUMPRODUCT((Inputs!$C$5:$C$130=$B18)*ISNUMBER(INDEX(Inputs!$K$5:$AJ$130,0,MATCH(AI$2,Inputs!$K$4:$AJ$4,0))))+SUMPRODUCT((Inputs!$E$5:$E$130=$B18)*ISNUMBER(INDEX(Inputs!$K$5:$AJ$130,0,MATCH(AI$2,Inputs!$K$4:$AJ$4,0))))=0,NA(),SUMPRODUCT((Inputs!$A$5:$A$130=$B18)*Inputs!$B$5:$B$130*(((Inputs!$G$5:$G$130="moeda")+(Inputs!$G$5:$G$130="acoes"))*Inputs!$B$1+((Inputs!$G$5:$G$130&lt;&gt;"moeda")*(Inputs!$G$5:$G$130&lt;&gt;"acoes")))*INDEX(Inputs!$K$5:$AJ$130,0,MATCH(AI$2,Inputs!$K$4:$AJ$4,0)))+SUMPRODUCT((Inputs!$C$5:$C$130=$B18)*Inputs!$D$5:$D$130*(((Inputs!$G$5:$G$130="moeda")+(Inputs!$G$5:$G$130="acoes"))*Inputs!$B$1+((Inputs!$G$5:$G$130&lt;&gt;"moeda")*(Inputs!$G$5:$G$130&lt;&gt;"acoes")))*INDEX(Inputs!$K$5:$AJ$130,0,MATCH(AI$2,Inputs!$K$4:$AJ$4,0)))+SUMPRODUCT((Inputs!$E$5:$E$130=$B18)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18" s="265" t="e">
        <f>IF(ISNA(MATCH(AJ$2,Inputs!$K$4:$AJ$4,0)),NA(),IF(SUMPRODUCT((Inputs!$A$5:$A$130=$B18)*ISNUMBER(INDEX(Inputs!$K$5:$AJ$130,0,MATCH(AJ$2,Inputs!$K$4:$AJ$4,0))))+SUMPRODUCT((Inputs!$C$5:$C$130=$B18)*ISNUMBER(INDEX(Inputs!$K$5:$AJ$130,0,MATCH(AJ$2,Inputs!$K$4:$AJ$4,0))))+SUMPRODUCT((Inputs!$E$5:$E$130=$B18)*ISNUMBER(INDEX(Inputs!$K$5:$AJ$130,0,MATCH(AJ$2,Inputs!$K$4:$AJ$4,0))))=0,NA(),SUMPRODUCT((Inputs!$A$5:$A$130=$B18)*Inputs!$B$5:$B$130*(((Inputs!$G$5:$G$130="moeda")+(Inputs!$G$5:$G$130="acoes"))*Inputs!$B$1+((Inputs!$G$5:$G$130&lt;&gt;"moeda")*(Inputs!$G$5:$G$130&lt;&gt;"acoes")))*INDEX(Inputs!$K$5:$AJ$130,0,MATCH(AJ$2,Inputs!$K$4:$AJ$4,0)))+SUMPRODUCT((Inputs!$C$5:$C$130=$B18)*Inputs!$D$5:$D$130*(((Inputs!$G$5:$G$130="moeda")+(Inputs!$G$5:$G$130="acoes"))*Inputs!$B$1+((Inputs!$G$5:$G$130&lt;&gt;"moeda")*(Inputs!$G$5:$G$130&lt;&gt;"acoes")))*INDEX(Inputs!$K$5:$AJ$130,0,MATCH(AJ$2,Inputs!$K$4:$AJ$4,0)))+SUMPRODUCT((Inputs!$E$5:$E$130=$B18)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18" s="265" t="e">
        <f>IF(ISNA(MATCH(AK$2,Inputs!$K$4:$AJ$4,0)),NA(),IF(SUMPRODUCT((Inputs!$A$5:$A$130=$B18)*ISNUMBER(INDEX(Inputs!$K$5:$AJ$130,0,MATCH(AK$2,Inputs!$K$4:$AJ$4,0))))+SUMPRODUCT((Inputs!$C$5:$C$130=$B18)*ISNUMBER(INDEX(Inputs!$K$5:$AJ$130,0,MATCH(AK$2,Inputs!$K$4:$AJ$4,0))))+SUMPRODUCT((Inputs!$E$5:$E$130=$B18)*ISNUMBER(INDEX(Inputs!$K$5:$AJ$130,0,MATCH(AK$2,Inputs!$K$4:$AJ$4,0))))=0,NA(),SUMPRODUCT((Inputs!$A$5:$A$130=$B18)*Inputs!$B$5:$B$130*(((Inputs!$G$5:$G$130="moeda")+(Inputs!$G$5:$G$130="acoes"))*Inputs!$B$1+((Inputs!$G$5:$G$130&lt;&gt;"moeda")*(Inputs!$G$5:$G$130&lt;&gt;"acoes")))*INDEX(Inputs!$K$5:$AJ$130,0,MATCH(AK$2,Inputs!$K$4:$AJ$4,0)))+SUMPRODUCT((Inputs!$C$5:$C$130=$B18)*Inputs!$D$5:$D$130*(((Inputs!$G$5:$G$130="moeda")+(Inputs!$G$5:$G$130="acoes"))*Inputs!$B$1+((Inputs!$G$5:$G$130&lt;&gt;"moeda")*(Inputs!$G$5:$G$130&lt;&gt;"acoes")))*INDEX(Inputs!$K$5:$AJ$130,0,MATCH(AK$2,Inputs!$K$4:$AJ$4,0)))+SUMPRODUCT((Inputs!$E$5:$E$130=$B18)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18" s="266" t="e">
        <f>AK18</f>
        <v>#N/A</v>
      </c>
    </row>
    <row r="19" ht="12.75" customHeight="1" s="254">
      <c r="B19" s="263" t="n">
        <v>15</v>
      </c>
      <c r="C19" s="268" t="inlineStr">
        <is>
          <t>Prepaid expenses</t>
        </is>
      </c>
      <c r="D19" s="265" t="e">
        <f>IF(ISNA(MATCH(D$2,Inputs!$K$4:$AJ$4,0)),NA(),IF(SUMPRODUCT((Inputs!$A$5:$A$130=$B19)*ISNUMBER(INDEX(Inputs!$K$5:$AJ$130,0,MATCH(D$2,Inputs!$K$4:$AJ$4,0))))+SUMPRODUCT((Inputs!$C$5:$C$130=$B19)*ISNUMBER(INDEX(Inputs!$K$5:$AJ$130,0,MATCH(D$2,Inputs!$K$4:$AJ$4,0))))+SUMPRODUCT((Inputs!$E$5:$E$130=$B19)*ISNUMBER(INDEX(Inputs!$K$5:$AJ$130,0,MATCH(D$2,Inputs!$K$4:$AJ$4,0))))=0,NA(),SUMPRODUCT((Inputs!$A$5:$A$130=$B19)*Inputs!$B$5:$B$130*(((Inputs!$G$5:$G$130="moeda")+(Inputs!$G$5:$G$130="acoes"))*Inputs!$B$1+((Inputs!$G$5:$G$130&lt;&gt;"moeda")*(Inputs!$G$5:$G$130&lt;&gt;"acoes")))*INDEX(Inputs!$K$5:$AJ$130,0,MATCH(D$2,Inputs!$K$4:$AJ$4,0)))+SUMPRODUCT((Inputs!$C$5:$C$130=$B19)*Inputs!$D$5:$D$130*(((Inputs!$G$5:$G$130="moeda")+(Inputs!$G$5:$G$130="acoes"))*Inputs!$B$1+((Inputs!$G$5:$G$130&lt;&gt;"moeda")*(Inputs!$G$5:$G$130&lt;&gt;"acoes")))*INDEX(Inputs!$K$5:$AJ$130,0,MATCH(D$2,Inputs!$K$4:$AJ$4,0)))+SUMPRODUCT((Inputs!$E$5:$E$130=$B19)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19" s="265" t="e">
        <f>IF(ISNA(MATCH(E$2,Inputs!$K$4:$AJ$4,0)),NA(),IF(SUMPRODUCT((Inputs!$A$5:$A$130=$B19)*ISNUMBER(INDEX(Inputs!$K$5:$AJ$130,0,MATCH(E$2,Inputs!$K$4:$AJ$4,0))))+SUMPRODUCT((Inputs!$C$5:$C$130=$B19)*ISNUMBER(INDEX(Inputs!$K$5:$AJ$130,0,MATCH(E$2,Inputs!$K$4:$AJ$4,0))))+SUMPRODUCT((Inputs!$E$5:$E$130=$B19)*ISNUMBER(INDEX(Inputs!$K$5:$AJ$130,0,MATCH(E$2,Inputs!$K$4:$AJ$4,0))))=0,NA(),SUMPRODUCT((Inputs!$A$5:$A$130=$B19)*Inputs!$B$5:$B$130*(((Inputs!$G$5:$G$130="moeda")+(Inputs!$G$5:$G$130="acoes"))*Inputs!$B$1+((Inputs!$G$5:$G$130&lt;&gt;"moeda")*(Inputs!$G$5:$G$130&lt;&gt;"acoes")))*INDEX(Inputs!$K$5:$AJ$130,0,MATCH(E$2,Inputs!$K$4:$AJ$4,0)))+SUMPRODUCT((Inputs!$C$5:$C$130=$B19)*Inputs!$D$5:$D$130*(((Inputs!$G$5:$G$130="moeda")+(Inputs!$G$5:$G$130="acoes"))*Inputs!$B$1+((Inputs!$G$5:$G$130&lt;&gt;"moeda")*(Inputs!$G$5:$G$130&lt;&gt;"acoes")))*INDEX(Inputs!$K$5:$AJ$130,0,MATCH(E$2,Inputs!$K$4:$AJ$4,0)))+SUMPRODUCT((Inputs!$E$5:$E$130=$B19)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19" s="265" t="e">
        <f>IF(ISNA(MATCH(F$2,Inputs!$K$4:$AJ$4,0)),NA(),IF(SUMPRODUCT((Inputs!$A$5:$A$130=$B19)*ISNUMBER(INDEX(Inputs!$K$5:$AJ$130,0,MATCH(F$2,Inputs!$K$4:$AJ$4,0))))+SUMPRODUCT((Inputs!$C$5:$C$130=$B19)*ISNUMBER(INDEX(Inputs!$K$5:$AJ$130,0,MATCH(F$2,Inputs!$K$4:$AJ$4,0))))+SUMPRODUCT((Inputs!$E$5:$E$130=$B19)*ISNUMBER(INDEX(Inputs!$K$5:$AJ$130,0,MATCH(F$2,Inputs!$K$4:$AJ$4,0))))=0,NA(),SUMPRODUCT((Inputs!$A$5:$A$130=$B19)*Inputs!$B$5:$B$130*(((Inputs!$G$5:$G$130="moeda")+(Inputs!$G$5:$G$130="acoes"))*Inputs!$B$1+((Inputs!$G$5:$G$130&lt;&gt;"moeda")*(Inputs!$G$5:$G$130&lt;&gt;"acoes")))*INDEX(Inputs!$K$5:$AJ$130,0,MATCH(F$2,Inputs!$K$4:$AJ$4,0)))+SUMPRODUCT((Inputs!$C$5:$C$130=$B19)*Inputs!$D$5:$D$130*(((Inputs!$G$5:$G$130="moeda")+(Inputs!$G$5:$G$130="acoes"))*Inputs!$B$1+((Inputs!$G$5:$G$130&lt;&gt;"moeda")*(Inputs!$G$5:$G$130&lt;&gt;"acoes")))*INDEX(Inputs!$K$5:$AJ$130,0,MATCH(F$2,Inputs!$K$4:$AJ$4,0)))+SUMPRODUCT((Inputs!$E$5:$E$130=$B19)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19" s="265" t="e">
        <f>IF(ISNA(MATCH(G$2,Inputs!$K$4:$AJ$4,0)),NA(),IF(SUMPRODUCT((Inputs!$A$5:$A$130=$B19)*ISNUMBER(INDEX(Inputs!$K$5:$AJ$130,0,MATCH(G$2,Inputs!$K$4:$AJ$4,0))))+SUMPRODUCT((Inputs!$C$5:$C$130=$B19)*ISNUMBER(INDEX(Inputs!$K$5:$AJ$130,0,MATCH(G$2,Inputs!$K$4:$AJ$4,0))))+SUMPRODUCT((Inputs!$E$5:$E$130=$B19)*ISNUMBER(INDEX(Inputs!$K$5:$AJ$130,0,MATCH(G$2,Inputs!$K$4:$AJ$4,0))))=0,NA(),SUMPRODUCT((Inputs!$A$5:$A$130=$B19)*Inputs!$B$5:$B$130*(((Inputs!$G$5:$G$130="moeda")+(Inputs!$G$5:$G$130="acoes"))*Inputs!$B$1+((Inputs!$G$5:$G$130&lt;&gt;"moeda")*(Inputs!$G$5:$G$130&lt;&gt;"acoes")))*INDEX(Inputs!$K$5:$AJ$130,0,MATCH(G$2,Inputs!$K$4:$AJ$4,0)))+SUMPRODUCT((Inputs!$C$5:$C$130=$B19)*Inputs!$D$5:$D$130*(((Inputs!$G$5:$G$130="moeda")+(Inputs!$G$5:$G$130="acoes"))*Inputs!$B$1+((Inputs!$G$5:$G$130&lt;&gt;"moeda")*(Inputs!$G$5:$G$130&lt;&gt;"acoes")))*INDEX(Inputs!$K$5:$AJ$130,0,MATCH(G$2,Inputs!$K$4:$AJ$4,0)))+SUMPRODUCT((Inputs!$E$5:$E$130=$B19)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19" s="266" t="e">
        <f>G19</f>
        <v>#N/A</v>
      </c>
      <c r="I19" s="265" t="e">
        <f>IF(ISNA(MATCH(I$2,Inputs!$K$4:$AJ$4,0)),NA(),IF(SUMPRODUCT((Inputs!$A$5:$A$130=$B19)*ISNUMBER(INDEX(Inputs!$K$5:$AJ$130,0,MATCH(I$2,Inputs!$K$4:$AJ$4,0))))+SUMPRODUCT((Inputs!$C$5:$C$130=$B19)*ISNUMBER(INDEX(Inputs!$K$5:$AJ$130,0,MATCH(I$2,Inputs!$K$4:$AJ$4,0))))+SUMPRODUCT((Inputs!$E$5:$E$130=$B19)*ISNUMBER(INDEX(Inputs!$K$5:$AJ$130,0,MATCH(I$2,Inputs!$K$4:$AJ$4,0))))=0,NA(),SUMPRODUCT((Inputs!$A$5:$A$130=$B19)*Inputs!$B$5:$B$130*(((Inputs!$G$5:$G$130="moeda")+(Inputs!$G$5:$G$130="acoes"))*Inputs!$B$1+((Inputs!$G$5:$G$130&lt;&gt;"moeda")*(Inputs!$G$5:$G$130&lt;&gt;"acoes")))*INDEX(Inputs!$K$5:$AJ$130,0,MATCH(I$2,Inputs!$K$4:$AJ$4,0)))+SUMPRODUCT((Inputs!$C$5:$C$130=$B19)*Inputs!$D$5:$D$130*(((Inputs!$G$5:$G$130="moeda")+(Inputs!$G$5:$G$130="acoes"))*Inputs!$B$1+((Inputs!$G$5:$G$130&lt;&gt;"moeda")*(Inputs!$G$5:$G$130&lt;&gt;"acoes")))*INDEX(Inputs!$K$5:$AJ$130,0,MATCH(I$2,Inputs!$K$4:$AJ$4,0)))+SUMPRODUCT((Inputs!$E$5:$E$130=$B19)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19" s="265" t="e">
        <f>IF(ISNA(MATCH(J$2,Inputs!$K$4:$AJ$4,0)),NA(),IF(SUMPRODUCT((Inputs!$A$5:$A$130=$B19)*ISNUMBER(INDEX(Inputs!$K$5:$AJ$130,0,MATCH(J$2,Inputs!$K$4:$AJ$4,0))))+SUMPRODUCT((Inputs!$C$5:$C$130=$B19)*ISNUMBER(INDEX(Inputs!$K$5:$AJ$130,0,MATCH(J$2,Inputs!$K$4:$AJ$4,0))))+SUMPRODUCT((Inputs!$E$5:$E$130=$B19)*ISNUMBER(INDEX(Inputs!$K$5:$AJ$130,0,MATCH(J$2,Inputs!$K$4:$AJ$4,0))))=0,NA(),SUMPRODUCT((Inputs!$A$5:$A$130=$B19)*Inputs!$B$5:$B$130*(((Inputs!$G$5:$G$130="moeda")+(Inputs!$G$5:$G$130="acoes"))*Inputs!$B$1+((Inputs!$G$5:$G$130&lt;&gt;"moeda")*(Inputs!$G$5:$G$130&lt;&gt;"acoes")))*INDEX(Inputs!$K$5:$AJ$130,0,MATCH(J$2,Inputs!$K$4:$AJ$4,0)))+SUMPRODUCT((Inputs!$C$5:$C$130=$B19)*Inputs!$D$5:$D$130*(((Inputs!$G$5:$G$130="moeda")+(Inputs!$G$5:$G$130="acoes"))*Inputs!$B$1+((Inputs!$G$5:$G$130&lt;&gt;"moeda")*(Inputs!$G$5:$G$130&lt;&gt;"acoes")))*INDEX(Inputs!$K$5:$AJ$130,0,MATCH(J$2,Inputs!$K$4:$AJ$4,0)))+SUMPRODUCT((Inputs!$E$5:$E$130=$B19)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19" s="265" t="e">
        <f>IF(ISNA(MATCH(K$2,Inputs!$K$4:$AJ$4,0)),NA(),IF(SUMPRODUCT((Inputs!$A$5:$A$130=$B19)*ISNUMBER(INDEX(Inputs!$K$5:$AJ$130,0,MATCH(K$2,Inputs!$K$4:$AJ$4,0))))+SUMPRODUCT((Inputs!$C$5:$C$130=$B19)*ISNUMBER(INDEX(Inputs!$K$5:$AJ$130,0,MATCH(K$2,Inputs!$K$4:$AJ$4,0))))+SUMPRODUCT((Inputs!$E$5:$E$130=$B19)*ISNUMBER(INDEX(Inputs!$K$5:$AJ$130,0,MATCH(K$2,Inputs!$K$4:$AJ$4,0))))=0,NA(),SUMPRODUCT((Inputs!$A$5:$A$130=$B19)*Inputs!$B$5:$B$130*(((Inputs!$G$5:$G$130="moeda")+(Inputs!$G$5:$G$130="acoes"))*Inputs!$B$1+((Inputs!$G$5:$G$130&lt;&gt;"moeda")*(Inputs!$G$5:$G$130&lt;&gt;"acoes")))*INDEX(Inputs!$K$5:$AJ$130,0,MATCH(K$2,Inputs!$K$4:$AJ$4,0)))+SUMPRODUCT((Inputs!$C$5:$C$130=$B19)*Inputs!$D$5:$D$130*(((Inputs!$G$5:$G$130="moeda")+(Inputs!$G$5:$G$130="acoes"))*Inputs!$B$1+((Inputs!$G$5:$G$130&lt;&gt;"moeda")*(Inputs!$G$5:$G$130&lt;&gt;"acoes")))*INDEX(Inputs!$K$5:$AJ$130,0,MATCH(K$2,Inputs!$K$4:$AJ$4,0)))+SUMPRODUCT((Inputs!$E$5:$E$130=$B19)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19" s="265" t="e">
        <f>IF(ISNA(MATCH(L$2,Inputs!$K$4:$AJ$4,0)),NA(),IF(SUMPRODUCT((Inputs!$A$5:$A$130=$B19)*ISNUMBER(INDEX(Inputs!$K$5:$AJ$130,0,MATCH(L$2,Inputs!$K$4:$AJ$4,0))))+SUMPRODUCT((Inputs!$C$5:$C$130=$B19)*ISNUMBER(INDEX(Inputs!$K$5:$AJ$130,0,MATCH(L$2,Inputs!$K$4:$AJ$4,0))))+SUMPRODUCT((Inputs!$E$5:$E$130=$B19)*ISNUMBER(INDEX(Inputs!$K$5:$AJ$130,0,MATCH(L$2,Inputs!$K$4:$AJ$4,0))))=0,NA(),SUMPRODUCT((Inputs!$A$5:$A$130=$B19)*Inputs!$B$5:$B$130*(((Inputs!$G$5:$G$130="moeda")+(Inputs!$G$5:$G$130="acoes"))*Inputs!$B$1+((Inputs!$G$5:$G$130&lt;&gt;"moeda")*(Inputs!$G$5:$G$130&lt;&gt;"acoes")))*INDEX(Inputs!$K$5:$AJ$130,0,MATCH(L$2,Inputs!$K$4:$AJ$4,0)))+SUMPRODUCT((Inputs!$C$5:$C$130=$B19)*Inputs!$D$5:$D$130*(((Inputs!$G$5:$G$130="moeda")+(Inputs!$G$5:$G$130="acoes"))*Inputs!$B$1+((Inputs!$G$5:$G$130&lt;&gt;"moeda")*(Inputs!$G$5:$G$130&lt;&gt;"acoes")))*INDEX(Inputs!$K$5:$AJ$130,0,MATCH(L$2,Inputs!$K$4:$AJ$4,0)))+SUMPRODUCT((Inputs!$E$5:$E$130=$B19)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19" s="266" t="e">
        <f>L19</f>
        <v>#N/A</v>
      </c>
      <c r="N19" s="265" t="e">
        <f>IF(ISNA(MATCH(N$2,Inputs!$K$4:$AJ$4,0)),NA(),IF(SUMPRODUCT((Inputs!$A$5:$A$130=$B19)*ISNUMBER(INDEX(Inputs!$K$5:$AJ$130,0,MATCH(N$2,Inputs!$K$4:$AJ$4,0))))+SUMPRODUCT((Inputs!$C$5:$C$130=$B19)*ISNUMBER(INDEX(Inputs!$K$5:$AJ$130,0,MATCH(N$2,Inputs!$K$4:$AJ$4,0))))+SUMPRODUCT((Inputs!$E$5:$E$130=$B19)*ISNUMBER(INDEX(Inputs!$K$5:$AJ$130,0,MATCH(N$2,Inputs!$K$4:$AJ$4,0))))=0,NA(),SUMPRODUCT((Inputs!$A$5:$A$130=$B19)*Inputs!$B$5:$B$130*(((Inputs!$G$5:$G$130="moeda")+(Inputs!$G$5:$G$130="acoes"))*Inputs!$B$1+((Inputs!$G$5:$G$130&lt;&gt;"moeda")*(Inputs!$G$5:$G$130&lt;&gt;"acoes")))*INDEX(Inputs!$K$5:$AJ$130,0,MATCH(N$2,Inputs!$K$4:$AJ$4,0)))+SUMPRODUCT((Inputs!$C$5:$C$130=$B19)*Inputs!$D$5:$D$130*(((Inputs!$G$5:$G$130="moeda")+(Inputs!$G$5:$G$130="acoes"))*Inputs!$B$1+((Inputs!$G$5:$G$130&lt;&gt;"moeda")*(Inputs!$G$5:$G$130&lt;&gt;"acoes")))*INDEX(Inputs!$K$5:$AJ$130,0,MATCH(N$2,Inputs!$K$4:$AJ$4,0)))+SUMPRODUCT((Inputs!$E$5:$E$130=$B19)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19" s="265" t="e">
        <f>IF(ISNA(MATCH(O$2,Inputs!$K$4:$AJ$4,0)),NA(),IF(SUMPRODUCT((Inputs!$A$5:$A$130=$B19)*ISNUMBER(INDEX(Inputs!$K$5:$AJ$130,0,MATCH(O$2,Inputs!$K$4:$AJ$4,0))))+SUMPRODUCT((Inputs!$C$5:$C$130=$B19)*ISNUMBER(INDEX(Inputs!$K$5:$AJ$130,0,MATCH(O$2,Inputs!$K$4:$AJ$4,0))))+SUMPRODUCT((Inputs!$E$5:$E$130=$B19)*ISNUMBER(INDEX(Inputs!$K$5:$AJ$130,0,MATCH(O$2,Inputs!$K$4:$AJ$4,0))))=0,NA(),SUMPRODUCT((Inputs!$A$5:$A$130=$B19)*Inputs!$B$5:$B$130*(((Inputs!$G$5:$G$130="moeda")+(Inputs!$G$5:$G$130="acoes"))*Inputs!$B$1+((Inputs!$G$5:$G$130&lt;&gt;"moeda")*(Inputs!$G$5:$G$130&lt;&gt;"acoes")))*INDEX(Inputs!$K$5:$AJ$130,0,MATCH(O$2,Inputs!$K$4:$AJ$4,0)))+SUMPRODUCT((Inputs!$C$5:$C$130=$B19)*Inputs!$D$5:$D$130*(((Inputs!$G$5:$G$130="moeda")+(Inputs!$G$5:$G$130="acoes"))*Inputs!$B$1+((Inputs!$G$5:$G$130&lt;&gt;"moeda")*(Inputs!$G$5:$G$130&lt;&gt;"acoes")))*INDEX(Inputs!$K$5:$AJ$130,0,MATCH(O$2,Inputs!$K$4:$AJ$4,0)))+SUMPRODUCT((Inputs!$E$5:$E$130=$B19)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19" s="265" t="e">
        <f>IF(ISNA(MATCH(P$2,Inputs!$K$4:$AJ$4,0)),NA(),IF(SUMPRODUCT((Inputs!$A$5:$A$130=$B19)*ISNUMBER(INDEX(Inputs!$K$5:$AJ$130,0,MATCH(P$2,Inputs!$K$4:$AJ$4,0))))+SUMPRODUCT((Inputs!$C$5:$C$130=$B19)*ISNUMBER(INDEX(Inputs!$K$5:$AJ$130,0,MATCH(P$2,Inputs!$K$4:$AJ$4,0))))+SUMPRODUCT((Inputs!$E$5:$E$130=$B19)*ISNUMBER(INDEX(Inputs!$K$5:$AJ$130,0,MATCH(P$2,Inputs!$K$4:$AJ$4,0))))=0,NA(),SUMPRODUCT((Inputs!$A$5:$A$130=$B19)*Inputs!$B$5:$B$130*(((Inputs!$G$5:$G$130="moeda")+(Inputs!$G$5:$G$130="acoes"))*Inputs!$B$1+((Inputs!$G$5:$G$130&lt;&gt;"moeda")*(Inputs!$G$5:$G$130&lt;&gt;"acoes")))*INDEX(Inputs!$K$5:$AJ$130,0,MATCH(P$2,Inputs!$K$4:$AJ$4,0)))+SUMPRODUCT((Inputs!$C$5:$C$130=$B19)*Inputs!$D$5:$D$130*(((Inputs!$G$5:$G$130="moeda")+(Inputs!$G$5:$G$130="acoes"))*Inputs!$B$1+((Inputs!$G$5:$G$130&lt;&gt;"moeda")*(Inputs!$G$5:$G$130&lt;&gt;"acoes")))*INDEX(Inputs!$K$5:$AJ$130,0,MATCH(P$2,Inputs!$K$4:$AJ$4,0)))+SUMPRODUCT((Inputs!$E$5:$E$130=$B19)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19" s="265" t="e">
        <f>IF(ISNA(MATCH(Q$2,Inputs!$K$4:$AJ$4,0)),NA(),IF(SUMPRODUCT((Inputs!$A$5:$A$130=$B19)*ISNUMBER(INDEX(Inputs!$K$5:$AJ$130,0,MATCH(Q$2,Inputs!$K$4:$AJ$4,0))))+SUMPRODUCT((Inputs!$C$5:$C$130=$B19)*ISNUMBER(INDEX(Inputs!$K$5:$AJ$130,0,MATCH(Q$2,Inputs!$K$4:$AJ$4,0))))+SUMPRODUCT((Inputs!$E$5:$E$130=$B19)*ISNUMBER(INDEX(Inputs!$K$5:$AJ$130,0,MATCH(Q$2,Inputs!$K$4:$AJ$4,0))))=0,NA(),SUMPRODUCT((Inputs!$A$5:$A$130=$B19)*Inputs!$B$5:$B$130*(((Inputs!$G$5:$G$130="moeda")+(Inputs!$G$5:$G$130="acoes"))*Inputs!$B$1+((Inputs!$G$5:$G$130&lt;&gt;"moeda")*(Inputs!$G$5:$G$130&lt;&gt;"acoes")))*INDEX(Inputs!$K$5:$AJ$130,0,MATCH(Q$2,Inputs!$K$4:$AJ$4,0)))+SUMPRODUCT((Inputs!$C$5:$C$130=$B19)*Inputs!$D$5:$D$130*(((Inputs!$G$5:$G$130="moeda")+(Inputs!$G$5:$G$130="acoes"))*Inputs!$B$1+((Inputs!$G$5:$G$130&lt;&gt;"moeda")*(Inputs!$G$5:$G$130&lt;&gt;"acoes")))*INDEX(Inputs!$K$5:$AJ$130,0,MATCH(Q$2,Inputs!$K$4:$AJ$4,0)))+SUMPRODUCT((Inputs!$E$5:$E$130=$B19)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19" s="266" t="e">
        <f>Q19</f>
        <v>#N/A</v>
      </c>
      <c r="S19" s="265" t="e">
        <f>IF(ISNA(MATCH(S$2,Inputs!$K$4:$AJ$4,0)),NA(),IF(SUMPRODUCT((Inputs!$A$5:$A$130=$B19)*ISNUMBER(INDEX(Inputs!$K$5:$AJ$130,0,MATCH(S$2,Inputs!$K$4:$AJ$4,0))))+SUMPRODUCT((Inputs!$C$5:$C$130=$B19)*ISNUMBER(INDEX(Inputs!$K$5:$AJ$130,0,MATCH(S$2,Inputs!$K$4:$AJ$4,0))))+SUMPRODUCT((Inputs!$E$5:$E$130=$B19)*ISNUMBER(INDEX(Inputs!$K$5:$AJ$130,0,MATCH(S$2,Inputs!$K$4:$AJ$4,0))))=0,NA(),SUMPRODUCT((Inputs!$A$5:$A$130=$B19)*Inputs!$B$5:$B$130*(((Inputs!$G$5:$G$130="moeda")+(Inputs!$G$5:$G$130="acoes"))*Inputs!$B$1+((Inputs!$G$5:$G$130&lt;&gt;"moeda")*(Inputs!$G$5:$G$130&lt;&gt;"acoes")))*INDEX(Inputs!$K$5:$AJ$130,0,MATCH(S$2,Inputs!$K$4:$AJ$4,0)))+SUMPRODUCT((Inputs!$C$5:$C$130=$B19)*Inputs!$D$5:$D$130*(((Inputs!$G$5:$G$130="moeda")+(Inputs!$G$5:$G$130="acoes"))*Inputs!$B$1+((Inputs!$G$5:$G$130&lt;&gt;"moeda")*(Inputs!$G$5:$G$130&lt;&gt;"acoes")))*INDEX(Inputs!$K$5:$AJ$130,0,MATCH(S$2,Inputs!$K$4:$AJ$4,0)))+SUMPRODUCT((Inputs!$E$5:$E$130=$B19)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19" s="265" t="e">
        <f>IF(ISNA(MATCH(T$2,Inputs!$K$4:$AJ$4,0)),NA(),IF(SUMPRODUCT((Inputs!$A$5:$A$130=$B19)*ISNUMBER(INDEX(Inputs!$K$5:$AJ$130,0,MATCH(T$2,Inputs!$K$4:$AJ$4,0))))+SUMPRODUCT((Inputs!$C$5:$C$130=$B19)*ISNUMBER(INDEX(Inputs!$K$5:$AJ$130,0,MATCH(T$2,Inputs!$K$4:$AJ$4,0))))+SUMPRODUCT((Inputs!$E$5:$E$130=$B19)*ISNUMBER(INDEX(Inputs!$K$5:$AJ$130,0,MATCH(T$2,Inputs!$K$4:$AJ$4,0))))=0,NA(),SUMPRODUCT((Inputs!$A$5:$A$130=$B19)*Inputs!$B$5:$B$130*(((Inputs!$G$5:$G$130="moeda")+(Inputs!$G$5:$G$130="acoes"))*Inputs!$B$1+((Inputs!$G$5:$G$130&lt;&gt;"moeda")*(Inputs!$G$5:$G$130&lt;&gt;"acoes")))*INDEX(Inputs!$K$5:$AJ$130,0,MATCH(T$2,Inputs!$K$4:$AJ$4,0)))+SUMPRODUCT((Inputs!$C$5:$C$130=$B19)*Inputs!$D$5:$D$130*(((Inputs!$G$5:$G$130="moeda")+(Inputs!$G$5:$G$130="acoes"))*Inputs!$B$1+((Inputs!$G$5:$G$130&lt;&gt;"moeda")*(Inputs!$G$5:$G$130&lt;&gt;"acoes")))*INDEX(Inputs!$K$5:$AJ$130,0,MATCH(T$2,Inputs!$K$4:$AJ$4,0)))+SUMPRODUCT((Inputs!$E$5:$E$130=$B19)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19" s="265" t="e">
        <f>IF(ISNA(MATCH(U$2,Inputs!$K$4:$AJ$4,0)),NA(),IF(SUMPRODUCT((Inputs!$A$5:$A$130=$B19)*ISNUMBER(INDEX(Inputs!$K$5:$AJ$130,0,MATCH(U$2,Inputs!$K$4:$AJ$4,0))))+SUMPRODUCT((Inputs!$C$5:$C$130=$B19)*ISNUMBER(INDEX(Inputs!$K$5:$AJ$130,0,MATCH(U$2,Inputs!$K$4:$AJ$4,0))))+SUMPRODUCT((Inputs!$E$5:$E$130=$B19)*ISNUMBER(INDEX(Inputs!$K$5:$AJ$130,0,MATCH(U$2,Inputs!$K$4:$AJ$4,0))))=0,NA(),SUMPRODUCT((Inputs!$A$5:$A$130=$B19)*Inputs!$B$5:$B$130*(((Inputs!$G$5:$G$130="moeda")+(Inputs!$G$5:$G$130="acoes"))*Inputs!$B$1+((Inputs!$G$5:$G$130&lt;&gt;"moeda")*(Inputs!$G$5:$G$130&lt;&gt;"acoes")))*INDEX(Inputs!$K$5:$AJ$130,0,MATCH(U$2,Inputs!$K$4:$AJ$4,0)))+SUMPRODUCT((Inputs!$C$5:$C$130=$B19)*Inputs!$D$5:$D$130*(((Inputs!$G$5:$G$130="moeda")+(Inputs!$G$5:$G$130="acoes"))*Inputs!$B$1+((Inputs!$G$5:$G$130&lt;&gt;"moeda")*(Inputs!$G$5:$G$130&lt;&gt;"acoes")))*INDEX(Inputs!$K$5:$AJ$130,0,MATCH(U$2,Inputs!$K$4:$AJ$4,0)))+SUMPRODUCT((Inputs!$E$5:$E$130=$B19)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19" s="265" t="e">
        <f>IF(ISNA(MATCH(V$2,Inputs!$K$4:$AJ$4,0)),NA(),IF(SUMPRODUCT((Inputs!$A$5:$A$130=$B19)*ISNUMBER(INDEX(Inputs!$K$5:$AJ$130,0,MATCH(V$2,Inputs!$K$4:$AJ$4,0))))+SUMPRODUCT((Inputs!$C$5:$C$130=$B19)*ISNUMBER(INDEX(Inputs!$K$5:$AJ$130,0,MATCH(V$2,Inputs!$K$4:$AJ$4,0))))+SUMPRODUCT((Inputs!$E$5:$E$130=$B19)*ISNUMBER(INDEX(Inputs!$K$5:$AJ$130,0,MATCH(V$2,Inputs!$K$4:$AJ$4,0))))=0,NA(),SUMPRODUCT((Inputs!$A$5:$A$130=$B19)*Inputs!$B$5:$B$130*(((Inputs!$G$5:$G$130="moeda")+(Inputs!$G$5:$G$130="acoes"))*Inputs!$B$1+((Inputs!$G$5:$G$130&lt;&gt;"moeda")*(Inputs!$G$5:$G$130&lt;&gt;"acoes")))*INDEX(Inputs!$K$5:$AJ$130,0,MATCH(V$2,Inputs!$K$4:$AJ$4,0)))+SUMPRODUCT((Inputs!$C$5:$C$130=$B19)*Inputs!$D$5:$D$130*(((Inputs!$G$5:$G$130="moeda")+(Inputs!$G$5:$G$130="acoes"))*Inputs!$B$1+((Inputs!$G$5:$G$130&lt;&gt;"moeda")*(Inputs!$G$5:$G$130&lt;&gt;"acoes")))*INDEX(Inputs!$K$5:$AJ$130,0,MATCH(V$2,Inputs!$K$4:$AJ$4,0)))+SUMPRODUCT((Inputs!$E$5:$E$130=$B19)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19" s="266" t="e">
        <f>V19</f>
        <v>#N/A</v>
      </c>
      <c r="X19" s="265" t="e">
        <f>IF(ISNA(MATCH(X$2,Inputs!$K$4:$AJ$4,0)),NA(),IF(SUMPRODUCT((Inputs!$A$5:$A$130=$B19)*ISNUMBER(INDEX(Inputs!$K$5:$AJ$130,0,MATCH(X$2,Inputs!$K$4:$AJ$4,0))))+SUMPRODUCT((Inputs!$C$5:$C$130=$B19)*ISNUMBER(INDEX(Inputs!$K$5:$AJ$130,0,MATCH(X$2,Inputs!$K$4:$AJ$4,0))))+SUMPRODUCT((Inputs!$E$5:$E$130=$B19)*ISNUMBER(INDEX(Inputs!$K$5:$AJ$130,0,MATCH(X$2,Inputs!$K$4:$AJ$4,0))))=0,NA(),SUMPRODUCT((Inputs!$A$5:$A$130=$B19)*Inputs!$B$5:$B$130*(((Inputs!$G$5:$G$130="moeda")+(Inputs!$G$5:$G$130="acoes"))*Inputs!$B$1+((Inputs!$G$5:$G$130&lt;&gt;"moeda")*(Inputs!$G$5:$G$130&lt;&gt;"acoes")))*INDEX(Inputs!$K$5:$AJ$130,0,MATCH(X$2,Inputs!$K$4:$AJ$4,0)))+SUMPRODUCT((Inputs!$C$5:$C$130=$B19)*Inputs!$D$5:$D$130*(((Inputs!$G$5:$G$130="moeda")+(Inputs!$G$5:$G$130="acoes"))*Inputs!$B$1+((Inputs!$G$5:$G$130&lt;&gt;"moeda")*(Inputs!$G$5:$G$130&lt;&gt;"acoes")))*INDEX(Inputs!$K$5:$AJ$130,0,MATCH(X$2,Inputs!$K$4:$AJ$4,0)))+SUMPRODUCT((Inputs!$E$5:$E$130=$B19)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19" s="265" t="e">
        <f>IF(ISNA(MATCH(Y$2,Inputs!$K$4:$AJ$4,0)),NA(),IF(SUMPRODUCT((Inputs!$A$5:$A$130=$B19)*ISNUMBER(INDEX(Inputs!$K$5:$AJ$130,0,MATCH(Y$2,Inputs!$K$4:$AJ$4,0))))+SUMPRODUCT((Inputs!$C$5:$C$130=$B19)*ISNUMBER(INDEX(Inputs!$K$5:$AJ$130,0,MATCH(Y$2,Inputs!$K$4:$AJ$4,0))))+SUMPRODUCT((Inputs!$E$5:$E$130=$B19)*ISNUMBER(INDEX(Inputs!$K$5:$AJ$130,0,MATCH(Y$2,Inputs!$K$4:$AJ$4,0))))=0,NA(),SUMPRODUCT((Inputs!$A$5:$A$130=$B19)*Inputs!$B$5:$B$130*(((Inputs!$G$5:$G$130="moeda")+(Inputs!$G$5:$G$130="acoes"))*Inputs!$B$1+((Inputs!$G$5:$G$130&lt;&gt;"moeda")*(Inputs!$G$5:$G$130&lt;&gt;"acoes")))*INDEX(Inputs!$K$5:$AJ$130,0,MATCH(Y$2,Inputs!$K$4:$AJ$4,0)))+SUMPRODUCT((Inputs!$C$5:$C$130=$B19)*Inputs!$D$5:$D$130*(((Inputs!$G$5:$G$130="moeda")+(Inputs!$G$5:$G$130="acoes"))*Inputs!$B$1+((Inputs!$G$5:$G$130&lt;&gt;"moeda")*(Inputs!$G$5:$G$130&lt;&gt;"acoes")))*INDEX(Inputs!$K$5:$AJ$130,0,MATCH(Y$2,Inputs!$K$4:$AJ$4,0)))+SUMPRODUCT((Inputs!$E$5:$E$130=$B19)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19" s="265" t="e">
        <f>IF(ISNA(MATCH(Z$2,Inputs!$K$4:$AJ$4,0)),NA(),IF(SUMPRODUCT((Inputs!$A$5:$A$130=$B19)*ISNUMBER(INDEX(Inputs!$K$5:$AJ$130,0,MATCH(Z$2,Inputs!$K$4:$AJ$4,0))))+SUMPRODUCT((Inputs!$C$5:$C$130=$B19)*ISNUMBER(INDEX(Inputs!$K$5:$AJ$130,0,MATCH(Z$2,Inputs!$K$4:$AJ$4,0))))+SUMPRODUCT((Inputs!$E$5:$E$130=$B19)*ISNUMBER(INDEX(Inputs!$K$5:$AJ$130,0,MATCH(Z$2,Inputs!$K$4:$AJ$4,0))))=0,NA(),SUMPRODUCT((Inputs!$A$5:$A$130=$B19)*Inputs!$B$5:$B$130*(((Inputs!$G$5:$G$130="moeda")+(Inputs!$G$5:$G$130="acoes"))*Inputs!$B$1+((Inputs!$G$5:$G$130&lt;&gt;"moeda")*(Inputs!$G$5:$G$130&lt;&gt;"acoes")))*INDEX(Inputs!$K$5:$AJ$130,0,MATCH(Z$2,Inputs!$K$4:$AJ$4,0)))+SUMPRODUCT((Inputs!$C$5:$C$130=$B19)*Inputs!$D$5:$D$130*(((Inputs!$G$5:$G$130="moeda")+(Inputs!$G$5:$G$130="acoes"))*Inputs!$B$1+((Inputs!$G$5:$G$130&lt;&gt;"moeda")*(Inputs!$G$5:$G$130&lt;&gt;"acoes")))*INDEX(Inputs!$K$5:$AJ$130,0,MATCH(Z$2,Inputs!$K$4:$AJ$4,0)))+SUMPRODUCT((Inputs!$E$5:$E$130=$B19)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19" s="265" t="e">
        <f>IF(ISNA(MATCH(AA$2,Inputs!$K$4:$AJ$4,0)),NA(),IF(SUMPRODUCT((Inputs!$A$5:$A$130=$B19)*ISNUMBER(INDEX(Inputs!$K$5:$AJ$130,0,MATCH(AA$2,Inputs!$K$4:$AJ$4,0))))+SUMPRODUCT((Inputs!$C$5:$C$130=$B19)*ISNUMBER(INDEX(Inputs!$K$5:$AJ$130,0,MATCH(AA$2,Inputs!$K$4:$AJ$4,0))))+SUMPRODUCT((Inputs!$E$5:$E$130=$B19)*ISNUMBER(INDEX(Inputs!$K$5:$AJ$130,0,MATCH(AA$2,Inputs!$K$4:$AJ$4,0))))=0,NA(),SUMPRODUCT((Inputs!$A$5:$A$130=$B19)*Inputs!$B$5:$B$130*(((Inputs!$G$5:$G$130="moeda")+(Inputs!$G$5:$G$130="acoes"))*Inputs!$B$1+((Inputs!$G$5:$G$130&lt;&gt;"moeda")*(Inputs!$G$5:$G$130&lt;&gt;"acoes")))*INDEX(Inputs!$K$5:$AJ$130,0,MATCH(AA$2,Inputs!$K$4:$AJ$4,0)))+SUMPRODUCT((Inputs!$C$5:$C$130=$B19)*Inputs!$D$5:$D$130*(((Inputs!$G$5:$G$130="moeda")+(Inputs!$G$5:$G$130="acoes"))*Inputs!$B$1+((Inputs!$G$5:$G$130&lt;&gt;"moeda")*(Inputs!$G$5:$G$130&lt;&gt;"acoes")))*INDEX(Inputs!$K$5:$AJ$130,0,MATCH(AA$2,Inputs!$K$4:$AJ$4,0)))+SUMPRODUCT((Inputs!$E$5:$E$130=$B19)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19" s="266" t="e">
        <f>AA19</f>
        <v>#N/A</v>
      </c>
      <c r="AC19" s="265" t="e">
        <f>IF(ISNA(MATCH(AC$2,Inputs!$K$4:$AJ$4,0)),NA(),IF(SUMPRODUCT((Inputs!$A$5:$A$130=$B19)*ISNUMBER(INDEX(Inputs!$K$5:$AJ$130,0,MATCH(AC$2,Inputs!$K$4:$AJ$4,0))))+SUMPRODUCT((Inputs!$C$5:$C$130=$B19)*ISNUMBER(INDEX(Inputs!$K$5:$AJ$130,0,MATCH(AC$2,Inputs!$K$4:$AJ$4,0))))+SUMPRODUCT((Inputs!$E$5:$E$130=$B19)*ISNUMBER(INDEX(Inputs!$K$5:$AJ$130,0,MATCH(AC$2,Inputs!$K$4:$AJ$4,0))))=0,NA(),SUMPRODUCT((Inputs!$A$5:$A$130=$B19)*Inputs!$B$5:$B$130*(((Inputs!$G$5:$G$130="moeda")+(Inputs!$G$5:$G$130="acoes"))*Inputs!$B$1+((Inputs!$G$5:$G$130&lt;&gt;"moeda")*(Inputs!$G$5:$G$130&lt;&gt;"acoes")))*INDEX(Inputs!$K$5:$AJ$130,0,MATCH(AC$2,Inputs!$K$4:$AJ$4,0)))+SUMPRODUCT((Inputs!$C$5:$C$130=$B19)*Inputs!$D$5:$D$130*(((Inputs!$G$5:$G$130="moeda")+(Inputs!$G$5:$G$130="acoes"))*Inputs!$B$1+((Inputs!$G$5:$G$130&lt;&gt;"moeda")*(Inputs!$G$5:$G$130&lt;&gt;"acoes")))*INDEX(Inputs!$K$5:$AJ$130,0,MATCH(AC$2,Inputs!$K$4:$AJ$4,0)))+SUMPRODUCT((Inputs!$E$5:$E$130=$B19)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19" s="265" t="e">
        <f>IF(ISNA(MATCH(AD$2,Inputs!$K$4:$AJ$4,0)),NA(),IF(SUMPRODUCT((Inputs!$A$5:$A$130=$B19)*ISNUMBER(INDEX(Inputs!$K$5:$AJ$130,0,MATCH(AD$2,Inputs!$K$4:$AJ$4,0))))+SUMPRODUCT((Inputs!$C$5:$C$130=$B19)*ISNUMBER(INDEX(Inputs!$K$5:$AJ$130,0,MATCH(AD$2,Inputs!$K$4:$AJ$4,0))))+SUMPRODUCT((Inputs!$E$5:$E$130=$B19)*ISNUMBER(INDEX(Inputs!$K$5:$AJ$130,0,MATCH(AD$2,Inputs!$K$4:$AJ$4,0))))=0,NA(),SUMPRODUCT((Inputs!$A$5:$A$130=$B19)*Inputs!$B$5:$B$130*(((Inputs!$G$5:$G$130="moeda")+(Inputs!$G$5:$G$130="acoes"))*Inputs!$B$1+((Inputs!$G$5:$G$130&lt;&gt;"moeda")*(Inputs!$G$5:$G$130&lt;&gt;"acoes")))*INDEX(Inputs!$K$5:$AJ$130,0,MATCH(AD$2,Inputs!$K$4:$AJ$4,0)))+SUMPRODUCT((Inputs!$C$5:$C$130=$B19)*Inputs!$D$5:$D$130*(((Inputs!$G$5:$G$130="moeda")+(Inputs!$G$5:$G$130="acoes"))*Inputs!$B$1+((Inputs!$G$5:$G$130&lt;&gt;"moeda")*(Inputs!$G$5:$G$130&lt;&gt;"acoes")))*INDEX(Inputs!$K$5:$AJ$130,0,MATCH(AD$2,Inputs!$K$4:$AJ$4,0)))+SUMPRODUCT((Inputs!$E$5:$E$130=$B19)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19" s="265" t="e">
        <f>IF(ISNA(MATCH(AE$2,Inputs!$K$4:$AJ$4,0)),NA(),IF(SUMPRODUCT((Inputs!$A$5:$A$130=$B19)*ISNUMBER(INDEX(Inputs!$K$5:$AJ$130,0,MATCH(AE$2,Inputs!$K$4:$AJ$4,0))))+SUMPRODUCT((Inputs!$C$5:$C$130=$B19)*ISNUMBER(INDEX(Inputs!$K$5:$AJ$130,0,MATCH(AE$2,Inputs!$K$4:$AJ$4,0))))+SUMPRODUCT((Inputs!$E$5:$E$130=$B19)*ISNUMBER(INDEX(Inputs!$K$5:$AJ$130,0,MATCH(AE$2,Inputs!$K$4:$AJ$4,0))))=0,NA(),SUMPRODUCT((Inputs!$A$5:$A$130=$B19)*Inputs!$B$5:$B$130*(((Inputs!$G$5:$G$130="moeda")+(Inputs!$G$5:$G$130="acoes"))*Inputs!$B$1+((Inputs!$G$5:$G$130&lt;&gt;"moeda")*(Inputs!$G$5:$G$130&lt;&gt;"acoes")))*INDEX(Inputs!$K$5:$AJ$130,0,MATCH(AE$2,Inputs!$K$4:$AJ$4,0)))+SUMPRODUCT((Inputs!$C$5:$C$130=$B19)*Inputs!$D$5:$D$130*(((Inputs!$G$5:$G$130="moeda")+(Inputs!$G$5:$G$130="acoes"))*Inputs!$B$1+((Inputs!$G$5:$G$130&lt;&gt;"moeda")*(Inputs!$G$5:$G$130&lt;&gt;"acoes")))*INDEX(Inputs!$K$5:$AJ$130,0,MATCH(AE$2,Inputs!$K$4:$AJ$4,0)))+SUMPRODUCT((Inputs!$E$5:$E$130=$B19)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19" s="265" t="e">
        <f>IF(ISNA(MATCH(AF$2,Inputs!$K$4:$AJ$4,0)),NA(),IF(SUMPRODUCT((Inputs!$A$5:$A$130=$B19)*ISNUMBER(INDEX(Inputs!$K$5:$AJ$130,0,MATCH(AF$2,Inputs!$K$4:$AJ$4,0))))+SUMPRODUCT((Inputs!$C$5:$C$130=$B19)*ISNUMBER(INDEX(Inputs!$K$5:$AJ$130,0,MATCH(AF$2,Inputs!$K$4:$AJ$4,0))))+SUMPRODUCT((Inputs!$E$5:$E$130=$B19)*ISNUMBER(INDEX(Inputs!$K$5:$AJ$130,0,MATCH(AF$2,Inputs!$K$4:$AJ$4,0))))=0,NA(),SUMPRODUCT((Inputs!$A$5:$A$130=$B19)*Inputs!$B$5:$B$130*(((Inputs!$G$5:$G$130="moeda")+(Inputs!$G$5:$G$130="acoes"))*Inputs!$B$1+((Inputs!$G$5:$G$130&lt;&gt;"moeda")*(Inputs!$G$5:$G$130&lt;&gt;"acoes")))*INDEX(Inputs!$K$5:$AJ$130,0,MATCH(AF$2,Inputs!$K$4:$AJ$4,0)))+SUMPRODUCT((Inputs!$C$5:$C$130=$B19)*Inputs!$D$5:$D$130*(((Inputs!$G$5:$G$130="moeda")+(Inputs!$G$5:$G$130="acoes"))*Inputs!$B$1+((Inputs!$G$5:$G$130&lt;&gt;"moeda")*(Inputs!$G$5:$G$130&lt;&gt;"acoes")))*INDEX(Inputs!$K$5:$AJ$130,0,MATCH(AF$2,Inputs!$K$4:$AJ$4,0)))+SUMPRODUCT((Inputs!$E$5:$E$130=$B19)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19" s="266" t="e">
        <f>AF19</f>
        <v>#N/A</v>
      </c>
      <c r="AH19" s="265" t="e">
        <f>IF(ISNA(MATCH(AH$2,Inputs!$K$4:$AJ$4,0)),NA(),IF(SUMPRODUCT((Inputs!$A$5:$A$130=$B19)*ISNUMBER(INDEX(Inputs!$K$5:$AJ$130,0,MATCH(AH$2,Inputs!$K$4:$AJ$4,0))))+SUMPRODUCT((Inputs!$C$5:$C$130=$B19)*ISNUMBER(INDEX(Inputs!$K$5:$AJ$130,0,MATCH(AH$2,Inputs!$K$4:$AJ$4,0))))+SUMPRODUCT((Inputs!$E$5:$E$130=$B19)*ISNUMBER(INDEX(Inputs!$K$5:$AJ$130,0,MATCH(AH$2,Inputs!$K$4:$AJ$4,0))))=0,NA(),SUMPRODUCT((Inputs!$A$5:$A$130=$B19)*Inputs!$B$5:$B$130*(((Inputs!$G$5:$G$130="moeda")+(Inputs!$G$5:$G$130="acoes"))*Inputs!$B$1+((Inputs!$G$5:$G$130&lt;&gt;"moeda")*(Inputs!$G$5:$G$130&lt;&gt;"acoes")))*INDEX(Inputs!$K$5:$AJ$130,0,MATCH(AH$2,Inputs!$K$4:$AJ$4,0)))+SUMPRODUCT((Inputs!$C$5:$C$130=$B19)*Inputs!$D$5:$D$130*(((Inputs!$G$5:$G$130="moeda")+(Inputs!$G$5:$G$130="acoes"))*Inputs!$B$1+((Inputs!$G$5:$G$130&lt;&gt;"moeda")*(Inputs!$G$5:$G$130&lt;&gt;"acoes")))*INDEX(Inputs!$K$5:$AJ$130,0,MATCH(AH$2,Inputs!$K$4:$AJ$4,0)))+SUMPRODUCT((Inputs!$E$5:$E$130=$B19)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19" s="265" t="e">
        <f>IF(ISNA(MATCH(AI$2,Inputs!$K$4:$AJ$4,0)),NA(),IF(SUMPRODUCT((Inputs!$A$5:$A$130=$B19)*ISNUMBER(INDEX(Inputs!$K$5:$AJ$130,0,MATCH(AI$2,Inputs!$K$4:$AJ$4,0))))+SUMPRODUCT((Inputs!$C$5:$C$130=$B19)*ISNUMBER(INDEX(Inputs!$K$5:$AJ$130,0,MATCH(AI$2,Inputs!$K$4:$AJ$4,0))))+SUMPRODUCT((Inputs!$E$5:$E$130=$B19)*ISNUMBER(INDEX(Inputs!$K$5:$AJ$130,0,MATCH(AI$2,Inputs!$K$4:$AJ$4,0))))=0,NA(),SUMPRODUCT((Inputs!$A$5:$A$130=$B19)*Inputs!$B$5:$B$130*(((Inputs!$G$5:$G$130="moeda")+(Inputs!$G$5:$G$130="acoes"))*Inputs!$B$1+((Inputs!$G$5:$G$130&lt;&gt;"moeda")*(Inputs!$G$5:$G$130&lt;&gt;"acoes")))*INDEX(Inputs!$K$5:$AJ$130,0,MATCH(AI$2,Inputs!$K$4:$AJ$4,0)))+SUMPRODUCT((Inputs!$C$5:$C$130=$B19)*Inputs!$D$5:$D$130*(((Inputs!$G$5:$G$130="moeda")+(Inputs!$G$5:$G$130="acoes"))*Inputs!$B$1+((Inputs!$G$5:$G$130&lt;&gt;"moeda")*(Inputs!$G$5:$G$130&lt;&gt;"acoes")))*INDEX(Inputs!$K$5:$AJ$130,0,MATCH(AI$2,Inputs!$K$4:$AJ$4,0)))+SUMPRODUCT((Inputs!$E$5:$E$130=$B19)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19" s="265" t="e">
        <f>IF(ISNA(MATCH(AJ$2,Inputs!$K$4:$AJ$4,0)),NA(),IF(SUMPRODUCT((Inputs!$A$5:$A$130=$B19)*ISNUMBER(INDEX(Inputs!$K$5:$AJ$130,0,MATCH(AJ$2,Inputs!$K$4:$AJ$4,0))))+SUMPRODUCT((Inputs!$C$5:$C$130=$B19)*ISNUMBER(INDEX(Inputs!$K$5:$AJ$130,0,MATCH(AJ$2,Inputs!$K$4:$AJ$4,0))))+SUMPRODUCT((Inputs!$E$5:$E$130=$B19)*ISNUMBER(INDEX(Inputs!$K$5:$AJ$130,0,MATCH(AJ$2,Inputs!$K$4:$AJ$4,0))))=0,NA(),SUMPRODUCT((Inputs!$A$5:$A$130=$B19)*Inputs!$B$5:$B$130*(((Inputs!$G$5:$G$130="moeda")+(Inputs!$G$5:$G$130="acoes"))*Inputs!$B$1+((Inputs!$G$5:$G$130&lt;&gt;"moeda")*(Inputs!$G$5:$G$130&lt;&gt;"acoes")))*INDEX(Inputs!$K$5:$AJ$130,0,MATCH(AJ$2,Inputs!$K$4:$AJ$4,0)))+SUMPRODUCT((Inputs!$C$5:$C$130=$B19)*Inputs!$D$5:$D$130*(((Inputs!$G$5:$G$130="moeda")+(Inputs!$G$5:$G$130="acoes"))*Inputs!$B$1+((Inputs!$G$5:$G$130&lt;&gt;"moeda")*(Inputs!$G$5:$G$130&lt;&gt;"acoes")))*INDEX(Inputs!$K$5:$AJ$130,0,MATCH(AJ$2,Inputs!$K$4:$AJ$4,0)))+SUMPRODUCT((Inputs!$E$5:$E$130=$B19)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19" s="265" t="e">
        <f>IF(ISNA(MATCH(AK$2,Inputs!$K$4:$AJ$4,0)),NA(),IF(SUMPRODUCT((Inputs!$A$5:$A$130=$B19)*ISNUMBER(INDEX(Inputs!$K$5:$AJ$130,0,MATCH(AK$2,Inputs!$K$4:$AJ$4,0))))+SUMPRODUCT((Inputs!$C$5:$C$130=$B19)*ISNUMBER(INDEX(Inputs!$K$5:$AJ$130,0,MATCH(AK$2,Inputs!$K$4:$AJ$4,0))))+SUMPRODUCT((Inputs!$E$5:$E$130=$B19)*ISNUMBER(INDEX(Inputs!$K$5:$AJ$130,0,MATCH(AK$2,Inputs!$K$4:$AJ$4,0))))=0,NA(),SUMPRODUCT((Inputs!$A$5:$A$130=$B19)*Inputs!$B$5:$B$130*(((Inputs!$G$5:$G$130="moeda")+(Inputs!$G$5:$G$130="acoes"))*Inputs!$B$1+((Inputs!$G$5:$G$130&lt;&gt;"moeda")*(Inputs!$G$5:$G$130&lt;&gt;"acoes")))*INDEX(Inputs!$K$5:$AJ$130,0,MATCH(AK$2,Inputs!$K$4:$AJ$4,0)))+SUMPRODUCT((Inputs!$C$5:$C$130=$B19)*Inputs!$D$5:$D$130*(((Inputs!$G$5:$G$130="moeda")+(Inputs!$G$5:$G$130="acoes"))*Inputs!$B$1+((Inputs!$G$5:$G$130&lt;&gt;"moeda")*(Inputs!$G$5:$G$130&lt;&gt;"acoes")))*INDEX(Inputs!$K$5:$AJ$130,0,MATCH(AK$2,Inputs!$K$4:$AJ$4,0)))+SUMPRODUCT((Inputs!$E$5:$E$130=$B19)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19" s="266" t="e">
        <f>AK19</f>
        <v>#N/A</v>
      </c>
    </row>
    <row r="20" ht="12.75" customHeight="1" s="254">
      <c r="B20" s="263" t="n">
        <v>16</v>
      </c>
      <c r="C20" s="268" t="inlineStr">
        <is>
          <t>Other current assets</t>
        </is>
      </c>
      <c r="D20" s="265">
        <f>IF(ISNA(MATCH(D$2,Inputs!$K$4:$AJ$4,0)),NA(),IF(SUMPRODUCT((Inputs!$A$5:$A$130=$B20)*ISNUMBER(INDEX(Inputs!$K$5:$AJ$130,0,MATCH(D$2,Inputs!$K$4:$AJ$4,0))))+SUMPRODUCT((Inputs!$C$5:$C$130=$B20)*ISNUMBER(INDEX(Inputs!$K$5:$AJ$130,0,MATCH(D$2,Inputs!$K$4:$AJ$4,0))))+SUMPRODUCT((Inputs!$E$5:$E$130=$B20)*ISNUMBER(INDEX(Inputs!$K$5:$AJ$130,0,MATCH(D$2,Inputs!$K$4:$AJ$4,0))))=0,NA(),SUMPRODUCT((Inputs!$A$5:$A$130=$B20)*Inputs!$B$5:$B$130*(((Inputs!$G$5:$G$130="moeda")+(Inputs!$G$5:$G$130="acoes"))*Inputs!$B$1+((Inputs!$G$5:$G$130&lt;&gt;"moeda")*(Inputs!$G$5:$G$130&lt;&gt;"acoes")))*INDEX(Inputs!$K$5:$AJ$130,0,MATCH(D$2,Inputs!$K$4:$AJ$4,0)))+SUMPRODUCT((Inputs!$C$5:$C$130=$B20)*Inputs!$D$5:$D$130*(((Inputs!$G$5:$G$130="moeda")+(Inputs!$G$5:$G$130="acoes"))*Inputs!$B$1+((Inputs!$G$5:$G$130&lt;&gt;"moeda")*(Inputs!$G$5:$G$130&lt;&gt;"acoes")))*INDEX(Inputs!$K$5:$AJ$130,0,MATCH(D$2,Inputs!$K$4:$AJ$4,0)))+SUMPRODUCT((Inputs!$E$5:$E$130=$B20)*Inputs!$F$5:$F$130*(((Inputs!$G$5:$G$130="moeda")+(Inputs!$G$5:$G$130="acoes"))*Inputs!$B$1+((Inputs!$G$5:$G$130&lt;&gt;"moeda")*(Inputs!$G$5:$G$130&lt;&gt;"acoes")))*INDEX(Inputs!$K$5:$AJ$130,0,MATCH(D$2,Inputs!$K$4:$AJ$4,0)))))</f>
        <v>5752</v>
      </c>
      <c r="E20" s="265">
        <f>IF(ISNA(MATCH(E$2,Inputs!$K$4:$AJ$4,0)),NA(),IF(SUMPRODUCT((Inputs!$A$5:$A$130=$B20)*ISNUMBER(INDEX(Inputs!$K$5:$AJ$130,0,MATCH(E$2,Inputs!$K$4:$AJ$4,0))))+SUMPRODUCT((Inputs!$C$5:$C$130=$B20)*ISNUMBER(INDEX(Inputs!$K$5:$AJ$130,0,MATCH(E$2,Inputs!$K$4:$AJ$4,0))))+SUMPRODUCT((Inputs!$E$5:$E$130=$B20)*ISNUMBER(INDEX(Inputs!$K$5:$AJ$130,0,MATCH(E$2,Inputs!$K$4:$AJ$4,0))))=0,NA(),SUMPRODUCT((Inputs!$A$5:$A$130=$B20)*Inputs!$B$5:$B$130*(((Inputs!$G$5:$G$130="moeda")+(Inputs!$G$5:$G$130="acoes"))*Inputs!$B$1+((Inputs!$G$5:$G$130&lt;&gt;"moeda")*(Inputs!$G$5:$G$130&lt;&gt;"acoes")))*INDEX(Inputs!$K$5:$AJ$130,0,MATCH(E$2,Inputs!$K$4:$AJ$4,0)))+SUMPRODUCT((Inputs!$C$5:$C$130=$B20)*Inputs!$D$5:$D$130*(((Inputs!$G$5:$G$130="moeda")+(Inputs!$G$5:$G$130="acoes"))*Inputs!$B$1+((Inputs!$G$5:$G$130&lt;&gt;"moeda")*(Inputs!$G$5:$G$130&lt;&gt;"acoes")))*INDEX(Inputs!$K$5:$AJ$130,0,MATCH(E$2,Inputs!$K$4:$AJ$4,0)))+SUMPRODUCT((Inputs!$E$5:$E$130=$B20)*Inputs!$F$5:$F$130*(((Inputs!$G$5:$G$130="moeda")+(Inputs!$G$5:$G$130="acoes"))*Inputs!$B$1+((Inputs!$G$5:$G$130&lt;&gt;"moeda")*(Inputs!$G$5:$G$130&lt;&gt;"acoes")))*INDEX(Inputs!$K$5:$AJ$130,0,MATCH(E$2,Inputs!$K$4:$AJ$4,0)))))</f>
        <v>8787</v>
      </c>
      <c r="F20" s="265">
        <f>IF(ISNA(MATCH(F$2,Inputs!$K$4:$AJ$4,0)),NA(),IF(SUMPRODUCT((Inputs!$A$5:$A$130=$B20)*ISNUMBER(INDEX(Inputs!$K$5:$AJ$130,0,MATCH(F$2,Inputs!$K$4:$AJ$4,0))))+SUMPRODUCT((Inputs!$C$5:$C$130=$B20)*ISNUMBER(INDEX(Inputs!$K$5:$AJ$130,0,MATCH(F$2,Inputs!$K$4:$AJ$4,0))))+SUMPRODUCT((Inputs!$E$5:$E$130=$B20)*ISNUMBER(INDEX(Inputs!$K$5:$AJ$130,0,MATCH(F$2,Inputs!$K$4:$AJ$4,0))))=0,NA(),SUMPRODUCT((Inputs!$A$5:$A$130=$B20)*Inputs!$B$5:$B$130*(((Inputs!$G$5:$G$130="moeda")+(Inputs!$G$5:$G$130="acoes"))*Inputs!$B$1+((Inputs!$G$5:$G$130&lt;&gt;"moeda")*(Inputs!$G$5:$G$130&lt;&gt;"acoes")))*INDEX(Inputs!$K$5:$AJ$130,0,MATCH(F$2,Inputs!$K$4:$AJ$4,0)))+SUMPRODUCT((Inputs!$C$5:$C$130=$B20)*Inputs!$D$5:$D$130*(((Inputs!$G$5:$G$130="moeda")+(Inputs!$G$5:$G$130="acoes"))*Inputs!$B$1+((Inputs!$G$5:$G$130&lt;&gt;"moeda")*(Inputs!$G$5:$G$130&lt;&gt;"acoes")))*INDEX(Inputs!$K$5:$AJ$130,0,MATCH(F$2,Inputs!$K$4:$AJ$4,0)))+SUMPRODUCT((Inputs!$E$5:$E$130=$B20)*Inputs!$F$5:$F$130*(((Inputs!$G$5:$G$130="moeda")+(Inputs!$G$5:$G$130="acoes"))*Inputs!$B$1+((Inputs!$G$5:$G$130&lt;&gt;"moeda")*(Inputs!$G$5:$G$130&lt;&gt;"acoes")))*INDEX(Inputs!$K$5:$AJ$130,0,MATCH(F$2,Inputs!$K$4:$AJ$4,0)))))</f>
        <v>22535</v>
      </c>
      <c r="G20" s="265">
        <f>IF(ISNA(MATCH(G$2,Inputs!$K$4:$AJ$4,0)),NA(),IF(SUMPRODUCT((Inputs!$A$5:$A$130=$B20)*ISNUMBER(INDEX(Inputs!$K$5:$AJ$130,0,MATCH(G$2,Inputs!$K$4:$AJ$4,0))))+SUMPRODUCT((Inputs!$C$5:$C$130=$B20)*ISNUMBER(INDEX(Inputs!$K$5:$AJ$130,0,MATCH(G$2,Inputs!$K$4:$AJ$4,0))))+SUMPRODUCT((Inputs!$E$5:$E$130=$B20)*ISNUMBER(INDEX(Inputs!$K$5:$AJ$130,0,MATCH(G$2,Inputs!$K$4:$AJ$4,0))))=0,NA(),SUMPRODUCT((Inputs!$A$5:$A$130=$B20)*Inputs!$B$5:$B$130*(((Inputs!$G$5:$G$130="moeda")+(Inputs!$G$5:$G$130="acoes"))*Inputs!$B$1+((Inputs!$G$5:$G$130&lt;&gt;"moeda")*(Inputs!$G$5:$G$130&lt;&gt;"acoes")))*INDEX(Inputs!$K$5:$AJ$130,0,MATCH(G$2,Inputs!$K$4:$AJ$4,0)))+SUMPRODUCT((Inputs!$C$5:$C$130=$B20)*Inputs!$D$5:$D$130*(((Inputs!$G$5:$G$130="moeda")+(Inputs!$G$5:$G$130="acoes"))*Inputs!$B$1+((Inputs!$G$5:$G$130&lt;&gt;"moeda")*(Inputs!$G$5:$G$130&lt;&gt;"acoes")))*INDEX(Inputs!$K$5:$AJ$130,0,MATCH(G$2,Inputs!$K$4:$AJ$4,0)))+SUMPRODUCT((Inputs!$E$5:$E$130=$B20)*Inputs!$F$5:$F$130*(((Inputs!$G$5:$G$130="moeda")+(Inputs!$G$5:$G$130="acoes"))*Inputs!$B$1+((Inputs!$G$5:$G$130&lt;&gt;"moeda")*(Inputs!$G$5:$G$130&lt;&gt;"acoes")))*INDEX(Inputs!$K$5:$AJ$130,0,MATCH(G$2,Inputs!$K$4:$AJ$4,0)))))</f>
        <v>13329</v>
      </c>
      <c r="H20" s="266">
        <f>G20</f>
        <v>13329</v>
      </c>
      <c r="I20" s="265">
        <f>IF(ISNA(MATCH(I$2,Inputs!$K$4:$AJ$4,0)),NA(),IF(SUMPRODUCT((Inputs!$A$5:$A$130=$B20)*ISNUMBER(INDEX(Inputs!$K$5:$AJ$130,0,MATCH(I$2,Inputs!$K$4:$AJ$4,0))))+SUMPRODUCT((Inputs!$C$5:$C$130=$B20)*ISNUMBER(INDEX(Inputs!$K$5:$AJ$130,0,MATCH(I$2,Inputs!$K$4:$AJ$4,0))))+SUMPRODUCT((Inputs!$E$5:$E$130=$B20)*ISNUMBER(INDEX(Inputs!$K$5:$AJ$130,0,MATCH(I$2,Inputs!$K$4:$AJ$4,0))))=0,NA(),SUMPRODUCT((Inputs!$A$5:$A$130=$B20)*Inputs!$B$5:$B$130*(((Inputs!$G$5:$G$130="moeda")+(Inputs!$G$5:$G$130="acoes"))*Inputs!$B$1+((Inputs!$G$5:$G$130&lt;&gt;"moeda")*(Inputs!$G$5:$G$130&lt;&gt;"acoes")))*INDEX(Inputs!$K$5:$AJ$130,0,MATCH(I$2,Inputs!$K$4:$AJ$4,0)))+SUMPRODUCT((Inputs!$C$5:$C$130=$B20)*Inputs!$D$5:$D$130*(((Inputs!$G$5:$G$130="moeda")+(Inputs!$G$5:$G$130="acoes"))*Inputs!$B$1+((Inputs!$G$5:$G$130&lt;&gt;"moeda")*(Inputs!$G$5:$G$130&lt;&gt;"acoes")))*INDEX(Inputs!$K$5:$AJ$130,0,MATCH(I$2,Inputs!$K$4:$AJ$4,0)))+SUMPRODUCT((Inputs!$E$5:$E$130=$B20)*Inputs!$F$5:$F$130*(((Inputs!$G$5:$G$130="moeda")+(Inputs!$G$5:$G$130="acoes"))*Inputs!$B$1+((Inputs!$G$5:$G$130&lt;&gt;"moeda")*(Inputs!$G$5:$G$130&lt;&gt;"acoes")))*INDEX(Inputs!$K$5:$AJ$130,0,MATCH(I$2,Inputs!$K$4:$AJ$4,0)))))</f>
        <v>20172</v>
      </c>
      <c r="J20" s="265">
        <f>IF(ISNA(MATCH(J$2,Inputs!$K$4:$AJ$4,0)),NA(),IF(SUMPRODUCT((Inputs!$A$5:$A$130=$B20)*ISNUMBER(INDEX(Inputs!$K$5:$AJ$130,0,MATCH(J$2,Inputs!$K$4:$AJ$4,0))))+SUMPRODUCT((Inputs!$C$5:$C$130=$B20)*ISNUMBER(INDEX(Inputs!$K$5:$AJ$130,0,MATCH(J$2,Inputs!$K$4:$AJ$4,0))))+SUMPRODUCT((Inputs!$E$5:$E$130=$B20)*ISNUMBER(INDEX(Inputs!$K$5:$AJ$130,0,MATCH(J$2,Inputs!$K$4:$AJ$4,0))))=0,NA(),SUMPRODUCT((Inputs!$A$5:$A$130=$B20)*Inputs!$B$5:$B$130*(((Inputs!$G$5:$G$130="moeda")+(Inputs!$G$5:$G$130="acoes"))*Inputs!$B$1+((Inputs!$G$5:$G$130&lt;&gt;"moeda")*(Inputs!$G$5:$G$130&lt;&gt;"acoes")))*INDEX(Inputs!$K$5:$AJ$130,0,MATCH(J$2,Inputs!$K$4:$AJ$4,0)))+SUMPRODUCT((Inputs!$C$5:$C$130=$B20)*Inputs!$D$5:$D$130*(((Inputs!$G$5:$G$130="moeda")+(Inputs!$G$5:$G$130="acoes"))*Inputs!$B$1+((Inputs!$G$5:$G$130&lt;&gt;"moeda")*(Inputs!$G$5:$G$130&lt;&gt;"acoes")))*INDEX(Inputs!$K$5:$AJ$130,0,MATCH(J$2,Inputs!$K$4:$AJ$4,0)))+SUMPRODUCT((Inputs!$E$5:$E$130=$B20)*Inputs!$F$5:$F$130*(((Inputs!$G$5:$G$130="moeda")+(Inputs!$G$5:$G$130="acoes"))*Inputs!$B$1+((Inputs!$G$5:$G$130&lt;&gt;"moeda")*(Inputs!$G$5:$G$130&lt;&gt;"acoes")))*INDEX(Inputs!$K$5:$AJ$130,0,MATCH(J$2,Inputs!$K$4:$AJ$4,0)))))</f>
        <v>23460</v>
      </c>
      <c r="K20" s="265">
        <f>IF(ISNA(MATCH(K$2,Inputs!$K$4:$AJ$4,0)),NA(),IF(SUMPRODUCT((Inputs!$A$5:$A$130=$B20)*ISNUMBER(INDEX(Inputs!$K$5:$AJ$130,0,MATCH(K$2,Inputs!$K$4:$AJ$4,0))))+SUMPRODUCT((Inputs!$C$5:$C$130=$B20)*ISNUMBER(INDEX(Inputs!$K$5:$AJ$130,0,MATCH(K$2,Inputs!$K$4:$AJ$4,0))))+SUMPRODUCT((Inputs!$E$5:$E$130=$B20)*ISNUMBER(INDEX(Inputs!$K$5:$AJ$130,0,MATCH(K$2,Inputs!$K$4:$AJ$4,0))))=0,NA(),SUMPRODUCT((Inputs!$A$5:$A$130=$B20)*Inputs!$B$5:$B$130*(((Inputs!$G$5:$G$130="moeda")+(Inputs!$G$5:$G$130="acoes"))*Inputs!$B$1+((Inputs!$G$5:$G$130&lt;&gt;"moeda")*(Inputs!$G$5:$G$130&lt;&gt;"acoes")))*INDEX(Inputs!$K$5:$AJ$130,0,MATCH(K$2,Inputs!$K$4:$AJ$4,0)))+SUMPRODUCT((Inputs!$C$5:$C$130=$B20)*Inputs!$D$5:$D$130*(((Inputs!$G$5:$G$130="moeda")+(Inputs!$G$5:$G$130="acoes"))*Inputs!$B$1+((Inputs!$G$5:$G$130&lt;&gt;"moeda")*(Inputs!$G$5:$G$130&lt;&gt;"acoes")))*INDEX(Inputs!$K$5:$AJ$130,0,MATCH(K$2,Inputs!$K$4:$AJ$4,0)))+SUMPRODUCT((Inputs!$E$5:$E$130=$B20)*Inputs!$F$5:$F$130*(((Inputs!$G$5:$G$130="moeda")+(Inputs!$G$5:$G$130="acoes"))*Inputs!$B$1+((Inputs!$G$5:$G$130&lt;&gt;"moeda")*(Inputs!$G$5:$G$130&lt;&gt;"acoes")))*INDEX(Inputs!$K$5:$AJ$130,0,MATCH(K$2,Inputs!$K$4:$AJ$4,0)))))</f>
        <v>25919</v>
      </c>
      <c r="L20" s="265">
        <f>IF(ISNA(MATCH(L$2,Inputs!$K$4:$AJ$4,0)),NA(),IF(SUMPRODUCT((Inputs!$A$5:$A$130=$B20)*ISNUMBER(INDEX(Inputs!$K$5:$AJ$130,0,MATCH(L$2,Inputs!$K$4:$AJ$4,0))))+SUMPRODUCT((Inputs!$C$5:$C$130=$B20)*ISNUMBER(INDEX(Inputs!$K$5:$AJ$130,0,MATCH(L$2,Inputs!$K$4:$AJ$4,0))))+SUMPRODUCT((Inputs!$E$5:$E$130=$B20)*ISNUMBER(INDEX(Inputs!$K$5:$AJ$130,0,MATCH(L$2,Inputs!$K$4:$AJ$4,0))))=0,NA(),SUMPRODUCT((Inputs!$A$5:$A$130=$B20)*Inputs!$B$5:$B$130*(((Inputs!$G$5:$G$130="moeda")+(Inputs!$G$5:$G$130="acoes"))*Inputs!$B$1+((Inputs!$G$5:$G$130&lt;&gt;"moeda")*(Inputs!$G$5:$G$130&lt;&gt;"acoes")))*INDEX(Inputs!$K$5:$AJ$130,0,MATCH(L$2,Inputs!$K$4:$AJ$4,0)))+SUMPRODUCT((Inputs!$C$5:$C$130=$B20)*Inputs!$D$5:$D$130*(((Inputs!$G$5:$G$130="moeda")+(Inputs!$G$5:$G$130="acoes"))*Inputs!$B$1+((Inputs!$G$5:$G$130&lt;&gt;"moeda")*(Inputs!$G$5:$G$130&lt;&gt;"acoes")))*INDEX(Inputs!$K$5:$AJ$130,0,MATCH(L$2,Inputs!$K$4:$AJ$4,0)))+SUMPRODUCT((Inputs!$E$5:$E$130=$B20)*Inputs!$F$5:$F$130*(((Inputs!$G$5:$G$130="moeda")+(Inputs!$G$5:$G$130="acoes"))*Inputs!$B$1+((Inputs!$G$5:$G$130&lt;&gt;"moeda")*(Inputs!$G$5:$G$130&lt;&gt;"acoes")))*INDEX(Inputs!$K$5:$AJ$130,0,MATCH(L$2,Inputs!$K$4:$AJ$4,0)))))</f>
        <v>27288</v>
      </c>
      <c r="M20" s="266">
        <f>L20</f>
        <v>27288</v>
      </c>
      <c r="N20" s="265">
        <f>IF(ISNA(MATCH(N$2,Inputs!$K$4:$AJ$4,0)),NA(),IF(SUMPRODUCT((Inputs!$A$5:$A$130=$B20)*ISNUMBER(INDEX(Inputs!$K$5:$AJ$130,0,MATCH(N$2,Inputs!$K$4:$AJ$4,0))))+SUMPRODUCT((Inputs!$C$5:$C$130=$B20)*ISNUMBER(INDEX(Inputs!$K$5:$AJ$130,0,MATCH(N$2,Inputs!$K$4:$AJ$4,0))))+SUMPRODUCT((Inputs!$E$5:$E$130=$B20)*ISNUMBER(INDEX(Inputs!$K$5:$AJ$130,0,MATCH(N$2,Inputs!$K$4:$AJ$4,0))))=0,NA(),SUMPRODUCT((Inputs!$A$5:$A$130=$B20)*Inputs!$B$5:$B$130*(((Inputs!$G$5:$G$130="moeda")+(Inputs!$G$5:$G$130="acoes"))*Inputs!$B$1+((Inputs!$G$5:$G$130&lt;&gt;"moeda")*(Inputs!$G$5:$G$130&lt;&gt;"acoes")))*INDEX(Inputs!$K$5:$AJ$130,0,MATCH(N$2,Inputs!$K$4:$AJ$4,0)))+SUMPRODUCT((Inputs!$C$5:$C$130=$B20)*Inputs!$D$5:$D$130*(((Inputs!$G$5:$G$130="moeda")+(Inputs!$G$5:$G$130="acoes"))*Inputs!$B$1+((Inputs!$G$5:$G$130&lt;&gt;"moeda")*(Inputs!$G$5:$G$130&lt;&gt;"acoes")))*INDEX(Inputs!$K$5:$AJ$130,0,MATCH(N$2,Inputs!$K$4:$AJ$4,0)))+SUMPRODUCT((Inputs!$E$5:$E$130=$B20)*Inputs!$F$5:$F$130*(((Inputs!$G$5:$G$130="moeda")+(Inputs!$G$5:$G$130="acoes"))*Inputs!$B$1+((Inputs!$G$5:$G$130&lt;&gt;"moeda")*(Inputs!$G$5:$G$130&lt;&gt;"acoes")))*INDEX(Inputs!$K$5:$AJ$130,0,MATCH(N$2,Inputs!$K$4:$AJ$4,0)))))</f>
        <v>18182</v>
      </c>
      <c r="O20" s="265">
        <f>IF(ISNA(MATCH(O$2,Inputs!$K$4:$AJ$4,0)),NA(),IF(SUMPRODUCT((Inputs!$A$5:$A$130=$B20)*ISNUMBER(INDEX(Inputs!$K$5:$AJ$130,0,MATCH(O$2,Inputs!$K$4:$AJ$4,0))))+SUMPRODUCT((Inputs!$C$5:$C$130=$B20)*ISNUMBER(INDEX(Inputs!$K$5:$AJ$130,0,MATCH(O$2,Inputs!$K$4:$AJ$4,0))))+SUMPRODUCT((Inputs!$E$5:$E$130=$B20)*ISNUMBER(INDEX(Inputs!$K$5:$AJ$130,0,MATCH(O$2,Inputs!$K$4:$AJ$4,0))))=0,NA(),SUMPRODUCT((Inputs!$A$5:$A$130=$B20)*Inputs!$B$5:$B$130*(((Inputs!$G$5:$G$130="moeda")+(Inputs!$G$5:$G$130="acoes"))*Inputs!$B$1+((Inputs!$G$5:$G$130&lt;&gt;"moeda")*(Inputs!$G$5:$G$130&lt;&gt;"acoes")))*INDEX(Inputs!$K$5:$AJ$130,0,MATCH(O$2,Inputs!$K$4:$AJ$4,0)))+SUMPRODUCT((Inputs!$C$5:$C$130=$B20)*Inputs!$D$5:$D$130*(((Inputs!$G$5:$G$130="moeda")+(Inputs!$G$5:$G$130="acoes"))*Inputs!$B$1+((Inputs!$G$5:$G$130&lt;&gt;"moeda")*(Inputs!$G$5:$G$130&lt;&gt;"acoes")))*INDEX(Inputs!$K$5:$AJ$130,0,MATCH(O$2,Inputs!$K$4:$AJ$4,0)))+SUMPRODUCT((Inputs!$E$5:$E$130=$B20)*Inputs!$F$5:$F$130*(((Inputs!$G$5:$G$130="moeda")+(Inputs!$G$5:$G$130="acoes"))*Inputs!$B$1+((Inputs!$G$5:$G$130&lt;&gt;"moeda")*(Inputs!$G$5:$G$130&lt;&gt;"acoes")))*INDEX(Inputs!$K$5:$AJ$130,0,MATCH(O$2,Inputs!$K$4:$AJ$4,0)))))</f>
        <v>16034</v>
      </c>
      <c r="P20" s="265">
        <f>IF(ISNA(MATCH(P$2,Inputs!$K$4:$AJ$4,0)),NA(),IF(SUMPRODUCT((Inputs!$A$5:$A$130=$B20)*ISNUMBER(INDEX(Inputs!$K$5:$AJ$130,0,MATCH(P$2,Inputs!$K$4:$AJ$4,0))))+SUMPRODUCT((Inputs!$C$5:$C$130=$B20)*ISNUMBER(INDEX(Inputs!$K$5:$AJ$130,0,MATCH(P$2,Inputs!$K$4:$AJ$4,0))))+SUMPRODUCT((Inputs!$E$5:$E$130=$B20)*ISNUMBER(INDEX(Inputs!$K$5:$AJ$130,0,MATCH(P$2,Inputs!$K$4:$AJ$4,0))))=0,NA(),SUMPRODUCT((Inputs!$A$5:$A$130=$B20)*Inputs!$B$5:$B$130*(((Inputs!$G$5:$G$130="moeda")+(Inputs!$G$5:$G$130="acoes"))*Inputs!$B$1+((Inputs!$G$5:$G$130&lt;&gt;"moeda")*(Inputs!$G$5:$G$130&lt;&gt;"acoes")))*INDEX(Inputs!$K$5:$AJ$130,0,MATCH(P$2,Inputs!$K$4:$AJ$4,0)))+SUMPRODUCT((Inputs!$C$5:$C$130=$B20)*Inputs!$D$5:$D$130*(((Inputs!$G$5:$G$130="moeda")+(Inputs!$G$5:$G$130="acoes"))*Inputs!$B$1+((Inputs!$G$5:$G$130&lt;&gt;"moeda")*(Inputs!$G$5:$G$130&lt;&gt;"acoes")))*INDEX(Inputs!$K$5:$AJ$130,0,MATCH(P$2,Inputs!$K$4:$AJ$4,0)))+SUMPRODUCT((Inputs!$E$5:$E$130=$B20)*Inputs!$F$5:$F$130*(((Inputs!$G$5:$G$130="moeda")+(Inputs!$G$5:$G$130="acoes"))*Inputs!$B$1+((Inputs!$G$5:$G$130&lt;&gt;"moeda")*(Inputs!$G$5:$G$130&lt;&gt;"acoes")))*INDEX(Inputs!$K$5:$AJ$130,0,MATCH(P$2,Inputs!$K$4:$AJ$4,0)))))</f>
        <v>15914</v>
      </c>
      <c r="Q20" s="265">
        <f>IF(ISNA(MATCH(Q$2,Inputs!$K$4:$AJ$4,0)),NA(),IF(SUMPRODUCT((Inputs!$A$5:$A$130=$B20)*ISNUMBER(INDEX(Inputs!$K$5:$AJ$130,0,MATCH(Q$2,Inputs!$K$4:$AJ$4,0))))+SUMPRODUCT((Inputs!$C$5:$C$130=$B20)*ISNUMBER(INDEX(Inputs!$K$5:$AJ$130,0,MATCH(Q$2,Inputs!$K$4:$AJ$4,0))))+SUMPRODUCT((Inputs!$E$5:$E$130=$B20)*ISNUMBER(INDEX(Inputs!$K$5:$AJ$130,0,MATCH(Q$2,Inputs!$K$4:$AJ$4,0))))=0,NA(),SUMPRODUCT((Inputs!$A$5:$A$130=$B20)*Inputs!$B$5:$B$130*(((Inputs!$G$5:$G$130="moeda")+(Inputs!$G$5:$G$130="acoes"))*Inputs!$B$1+((Inputs!$G$5:$G$130&lt;&gt;"moeda")*(Inputs!$G$5:$G$130&lt;&gt;"acoes")))*INDEX(Inputs!$K$5:$AJ$130,0,MATCH(Q$2,Inputs!$K$4:$AJ$4,0)))+SUMPRODUCT((Inputs!$C$5:$C$130=$B20)*Inputs!$D$5:$D$130*(((Inputs!$G$5:$G$130="moeda")+(Inputs!$G$5:$G$130="acoes"))*Inputs!$B$1+((Inputs!$G$5:$G$130&lt;&gt;"moeda")*(Inputs!$G$5:$G$130&lt;&gt;"acoes")))*INDEX(Inputs!$K$5:$AJ$130,0,MATCH(Q$2,Inputs!$K$4:$AJ$4,0)))+SUMPRODUCT((Inputs!$E$5:$E$130=$B20)*Inputs!$F$5:$F$130*(((Inputs!$G$5:$G$130="moeda")+(Inputs!$G$5:$G$130="acoes"))*Inputs!$B$1+((Inputs!$G$5:$G$130&lt;&gt;"moeda")*(Inputs!$G$5:$G$130&lt;&gt;"acoes")))*INDEX(Inputs!$K$5:$AJ$130,0,MATCH(Q$2,Inputs!$K$4:$AJ$4,0)))))</f>
        <v>16049</v>
      </c>
      <c r="R20" s="266">
        <f>Q20</f>
        <v>16049</v>
      </c>
      <c r="S20" s="265">
        <f>IF(ISNA(MATCH(S$2,Inputs!$K$4:$AJ$4,0)),NA(),IF(SUMPRODUCT((Inputs!$A$5:$A$130=$B20)*ISNUMBER(INDEX(Inputs!$K$5:$AJ$130,0,MATCH(S$2,Inputs!$K$4:$AJ$4,0))))+SUMPRODUCT((Inputs!$C$5:$C$130=$B20)*ISNUMBER(INDEX(Inputs!$K$5:$AJ$130,0,MATCH(S$2,Inputs!$K$4:$AJ$4,0))))+SUMPRODUCT((Inputs!$E$5:$E$130=$B20)*ISNUMBER(INDEX(Inputs!$K$5:$AJ$130,0,MATCH(S$2,Inputs!$K$4:$AJ$4,0))))=0,NA(),SUMPRODUCT((Inputs!$A$5:$A$130=$B20)*Inputs!$B$5:$B$130*(((Inputs!$G$5:$G$130="moeda")+(Inputs!$G$5:$G$130="acoes"))*Inputs!$B$1+((Inputs!$G$5:$G$130&lt;&gt;"moeda")*(Inputs!$G$5:$G$130&lt;&gt;"acoes")))*INDEX(Inputs!$K$5:$AJ$130,0,MATCH(S$2,Inputs!$K$4:$AJ$4,0)))+SUMPRODUCT((Inputs!$C$5:$C$130=$B20)*Inputs!$D$5:$D$130*(((Inputs!$G$5:$G$130="moeda")+(Inputs!$G$5:$G$130="acoes"))*Inputs!$B$1+((Inputs!$G$5:$G$130&lt;&gt;"moeda")*(Inputs!$G$5:$G$130&lt;&gt;"acoes")))*INDEX(Inputs!$K$5:$AJ$130,0,MATCH(S$2,Inputs!$K$4:$AJ$4,0)))+SUMPRODUCT((Inputs!$E$5:$E$130=$B20)*Inputs!$F$5:$F$130*(((Inputs!$G$5:$G$130="moeda")+(Inputs!$G$5:$G$130="acoes"))*Inputs!$B$1+((Inputs!$G$5:$G$130&lt;&gt;"moeda")*(Inputs!$G$5:$G$130&lt;&gt;"acoes")))*INDEX(Inputs!$K$5:$AJ$130,0,MATCH(S$2,Inputs!$K$4:$AJ$4,0)))))</f>
        <v>13493</v>
      </c>
      <c r="T20" s="265">
        <f>IF(ISNA(MATCH(T$2,Inputs!$K$4:$AJ$4,0)),NA(),IF(SUMPRODUCT((Inputs!$A$5:$A$130=$B20)*ISNUMBER(INDEX(Inputs!$K$5:$AJ$130,0,MATCH(T$2,Inputs!$K$4:$AJ$4,0))))+SUMPRODUCT((Inputs!$C$5:$C$130=$B20)*ISNUMBER(INDEX(Inputs!$K$5:$AJ$130,0,MATCH(T$2,Inputs!$K$4:$AJ$4,0))))+SUMPRODUCT((Inputs!$E$5:$E$130=$B20)*ISNUMBER(INDEX(Inputs!$K$5:$AJ$130,0,MATCH(T$2,Inputs!$K$4:$AJ$4,0))))=0,NA(),SUMPRODUCT((Inputs!$A$5:$A$130=$B20)*Inputs!$B$5:$B$130*(((Inputs!$G$5:$G$130="moeda")+(Inputs!$G$5:$G$130="acoes"))*Inputs!$B$1+((Inputs!$G$5:$G$130&lt;&gt;"moeda")*(Inputs!$G$5:$G$130&lt;&gt;"acoes")))*INDEX(Inputs!$K$5:$AJ$130,0,MATCH(T$2,Inputs!$K$4:$AJ$4,0)))+SUMPRODUCT((Inputs!$C$5:$C$130=$B20)*Inputs!$D$5:$D$130*(((Inputs!$G$5:$G$130="moeda")+(Inputs!$G$5:$G$130="acoes"))*Inputs!$B$1+((Inputs!$G$5:$G$130&lt;&gt;"moeda")*(Inputs!$G$5:$G$130&lt;&gt;"acoes")))*INDEX(Inputs!$K$5:$AJ$130,0,MATCH(T$2,Inputs!$K$4:$AJ$4,0)))+SUMPRODUCT((Inputs!$E$5:$E$130=$B20)*Inputs!$F$5:$F$130*(((Inputs!$G$5:$G$130="moeda")+(Inputs!$G$5:$G$130="acoes"))*Inputs!$B$1+((Inputs!$G$5:$G$130&lt;&gt;"moeda")*(Inputs!$G$5:$G$130&lt;&gt;"acoes")))*INDEX(Inputs!$K$5:$AJ$130,0,MATCH(T$2,Inputs!$K$4:$AJ$4,0)))))</f>
        <v>13418</v>
      </c>
      <c r="U20" s="265">
        <f>IF(ISNA(MATCH(U$2,Inputs!$K$4:$AJ$4,0)),NA(),IF(SUMPRODUCT((Inputs!$A$5:$A$130=$B20)*ISNUMBER(INDEX(Inputs!$K$5:$AJ$130,0,MATCH(U$2,Inputs!$K$4:$AJ$4,0))))+SUMPRODUCT((Inputs!$C$5:$C$130=$B20)*ISNUMBER(INDEX(Inputs!$K$5:$AJ$130,0,MATCH(U$2,Inputs!$K$4:$AJ$4,0))))+SUMPRODUCT((Inputs!$E$5:$E$130=$B20)*ISNUMBER(INDEX(Inputs!$K$5:$AJ$130,0,MATCH(U$2,Inputs!$K$4:$AJ$4,0))))=0,NA(),SUMPRODUCT((Inputs!$A$5:$A$130=$B20)*Inputs!$B$5:$B$130*(((Inputs!$G$5:$G$130="moeda")+(Inputs!$G$5:$G$130="acoes"))*Inputs!$B$1+((Inputs!$G$5:$G$130&lt;&gt;"moeda")*(Inputs!$G$5:$G$130&lt;&gt;"acoes")))*INDEX(Inputs!$K$5:$AJ$130,0,MATCH(U$2,Inputs!$K$4:$AJ$4,0)))+SUMPRODUCT((Inputs!$C$5:$C$130=$B20)*Inputs!$D$5:$D$130*(((Inputs!$G$5:$G$130="moeda")+(Inputs!$G$5:$G$130="acoes"))*Inputs!$B$1+((Inputs!$G$5:$G$130&lt;&gt;"moeda")*(Inputs!$G$5:$G$130&lt;&gt;"acoes")))*INDEX(Inputs!$K$5:$AJ$130,0,MATCH(U$2,Inputs!$K$4:$AJ$4,0)))+SUMPRODUCT((Inputs!$E$5:$E$130=$B20)*Inputs!$F$5:$F$130*(((Inputs!$G$5:$G$130="moeda")+(Inputs!$G$5:$G$130="acoes"))*Inputs!$B$1+((Inputs!$G$5:$G$130&lt;&gt;"moeda")*(Inputs!$G$5:$G$130&lt;&gt;"acoes")))*INDEX(Inputs!$K$5:$AJ$130,0,MATCH(U$2,Inputs!$K$4:$AJ$4,0)))))</f>
        <v>12378</v>
      </c>
      <c r="V20" s="265">
        <f>IF(ISNA(MATCH(V$2,Inputs!$K$4:$AJ$4,0)),NA(),IF(SUMPRODUCT((Inputs!$A$5:$A$130=$B20)*ISNUMBER(INDEX(Inputs!$K$5:$AJ$130,0,MATCH(V$2,Inputs!$K$4:$AJ$4,0))))+SUMPRODUCT((Inputs!$C$5:$C$130=$B20)*ISNUMBER(INDEX(Inputs!$K$5:$AJ$130,0,MATCH(V$2,Inputs!$K$4:$AJ$4,0))))+SUMPRODUCT((Inputs!$E$5:$E$130=$B20)*ISNUMBER(INDEX(Inputs!$K$5:$AJ$130,0,MATCH(V$2,Inputs!$K$4:$AJ$4,0))))=0,NA(),SUMPRODUCT((Inputs!$A$5:$A$130=$B20)*Inputs!$B$5:$B$130*(((Inputs!$G$5:$G$130="moeda")+(Inputs!$G$5:$G$130="acoes"))*Inputs!$B$1+((Inputs!$G$5:$G$130&lt;&gt;"moeda")*(Inputs!$G$5:$G$130&lt;&gt;"acoes")))*INDEX(Inputs!$K$5:$AJ$130,0,MATCH(V$2,Inputs!$K$4:$AJ$4,0)))+SUMPRODUCT((Inputs!$C$5:$C$130=$B20)*Inputs!$D$5:$D$130*(((Inputs!$G$5:$G$130="moeda")+(Inputs!$G$5:$G$130="acoes"))*Inputs!$B$1+((Inputs!$G$5:$G$130&lt;&gt;"moeda")*(Inputs!$G$5:$G$130&lt;&gt;"acoes")))*INDEX(Inputs!$K$5:$AJ$130,0,MATCH(V$2,Inputs!$K$4:$AJ$4,0)))+SUMPRODUCT((Inputs!$E$5:$E$130=$B20)*Inputs!$F$5:$F$130*(((Inputs!$G$5:$G$130="moeda")+(Inputs!$G$5:$G$130="acoes"))*Inputs!$B$1+((Inputs!$G$5:$G$130&lt;&gt;"moeda")*(Inputs!$G$5:$G$130&lt;&gt;"acoes")))*INDEX(Inputs!$K$5:$AJ$130,0,MATCH(V$2,Inputs!$K$4:$AJ$4,0)))))</f>
        <v>19528</v>
      </c>
      <c r="W20" s="266">
        <f>V20</f>
        <v>19528</v>
      </c>
      <c r="X20" s="265">
        <f>IF(ISNA(MATCH(X$2,Inputs!$K$4:$AJ$4,0)),NA(),IF(SUMPRODUCT((Inputs!$A$5:$A$130=$B20)*ISNUMBER(INDEX(Inputs!$K$5:$AJ$130,0,MATCH(X$2,Inputs!$K$4:$AJ$4,0))))+SUMPRODUCT((Inputs!$C$5:$C$130=$B20)*ISNUMBER(INDEX(Inputs!$K$5:$AJ$130,0,MATCH(X$2,Inputs!$K$4:$AJ$4,0))))+SUMPRODUCT((Inputs!$E$5:$E$130=$B20)*ISNUMBER(INDEX(Inputs!$K$5:$AJ$130,0,MATCH(X$2,Inputs!$K$4:$AJ$4,0))))=0,NA(),SUMPRODUCT((Inputs!$A$5:$A$130=$B20)*Inputs!$B$5:$B$130*(((Inputs!$G$5:$G$130="moeda")+(Inputs!$G$5:$G$130="acoes"))*Inputs!$B$1+((Inputs!$G$5:$G$130&lt;&gt;"moeda")*(Inputs!$G$5:$G$130&lt;&gt;"acoes")))*INDEX(Inputs!$K$5:$AJ$130,0,MATCH(X$2,Inputs!$K$4:$AJ$4,0)))+SUMPRODUCT((Inputs!$C$5:$C$130=$B20)*Inputs!$D$5:$D$130*(((Inputs!$G$5:$G$130="moeda")+(Inputs!$G$5:$G$130="acoes"))*Inputs!$B$1+((Inputs!$G$5:$G$130&lt;&gt;"moeda")*(Inputs!$G$5:$G$130&lt;&gt;"acoes")))*INDEX(Inputs!$K$5:$AJ$130,0,MATCH(X$2,Inputs!$K$4:$AJ$4,0)))+SUMPRODUCT((Inputs!$E$5:$E$130=$B20)*Inputs!$F$5:$F$130*(((Inputs!$G$5:$G$130="moeda")+(Inputs!$G$5:$G$130="acoes"))*Inputs!$B$1+((Inputs!$G$5:$G$130&lt;&gt;"moeda")*(Inputs!$G$5:$G$130&lt;&gt;"acoes")))*INDEX(Inputs!$K$5:$AJ$130,0,MATCH(X$2,Inputs!$K$4:$AJ$4,0)))))</f>
        <v>19823</v>
      </c>
      <c r="Y20" s="265">
        <f>IF(ISNA(MATCH(Y$2,Inputs!$K$4:$AJ$4,0)),NA(),IF(SUMPRODUCT((Inputs!$A$5:$A$130=$B20)*ISNUMBER(INDEX(Inputs!$K$5:$AJ$130,0,MATCH(Y$2,Inputs!$K$4:$AJ$4,0))))+SUMPRODUCT((Inputs!$C$5:$C$130=$B20)*ISNUMBER(INDEX(Inputs!$K$5:$AJ$130,0,MATCH(Y$2,Inputs!$K$4:$AJ$4,0))))+SUMPRODUCT((Inputs!$E$5:$E$130=$B20)*ISNUMBER(INDEX(Inputs!$K$5:$AJ$130,0,MATCH(Y$2,Inputs!$K$4:$AJ$4,0))))=0,NA(),SUMPRODUCT((Inputs!$A$5:$A$130=$B20)*Inputs!$B$5:$B$130*(((Inputs!$G$5:$G$130="moeda")+(Inputs!$G$5:$G$130="acoes"))*Inputs!$B$1+((Inputs!$G$5:$G$130&lt;&gt;"moeda")*(Inputs!$G$5:$G$130&lt;&gt;"acoes")))*INDEX(Inputs!$K$5:$AJ$130,0,MATCH(Y$2,Inputs!$K$4:$AJ$4,0)))+SUMPRODUCT((Inputs!$C$5:$C$130=$B20)*Inputs!$D$5:$D$130*(((Inputs!$G$5:$G$130="moeda")+(Inputs!$G$5:$G$130="acoes"))*Inputs!$B$1+((Inputs!$G$5:$G$130&lt;&gt;"moeda")*(Inputs!$G$5:$G$130&lt;&gt;"acoes")))*INDEX(Inputs!$K$5:$AJ$130,0,MATCH(Y$2,Inputs!$K$4:$AJ$4,0)))+SUMPRODUCT((Inputs!$E$5:$E$130=$B20)*Inputs!$F$5:$F$130*(((Inputs!$G$5:$G$130="moeda")+(Inputs!$G$5:$G$130="acoes"))*Inputs!$B$1+((Inputs!$G$5:$G$130&lt;&gt;"moeda")*(Inputs!$G$5:$G$130&lt;&gt;"acoes")))*INDEX(Inputs!$K$5:$AJ$130,0,MATCH(Y$2,Inputs!$K$4:$AJ$4,0)))))</f>
        <v>20062</v>
      </c>
      <c r="Z20" s="265">
        <f>IF(ISNA(MATCH(Z$2,Inputs!$K$4:$AJ$4,0)),NA(),IF(SUMPRODUCT((Inputs!$A$5:$A$130=$B20)*ISNUMBER(INDEX(Inputs!$K$5:$AJ$130,0,MATCH(Z$2,Inputs!$K$4:$AJ$4,0))))+SUMPRODUCT((Inputs!$C$5:$C$130=$B20)*ISNUMBER(INDEX(Inputs!$K$5:$AJ$130,0,MATCH(Z$2,Inputs!$K$4:$AJ$4,0))))+SUMPRODUCT((Inputs!$E$5:$E$130=$B20)*ISNUMBER(INDEX(Inputs!$K$5:$AJ$130,0,MATCH(Z$2,Inputs!$K$4:$AJ$4,0))))=0,NA(),SUMPRODUCT((Inputs!$A$5:$A$130=$B20)*Inputs!$B$5:$B$130*(((Inputs!$G$5:$G$130="moeda")+(Inputs!$G$5:$G$130="acoes"))*Inputs!$B$1+((Inputs!$G$5:$G$130&lt;&gt;"moeda")*(Inputs!$G$5:$G$130&lt;&gt;"acoes")))*INDEX(Inputs!$K$5:$AJ$130,0,MATCH(Z$2,Inputs!$K$4:$AJ$4,0)))+SUMPRODUCT((Inputs!$C$5:$C$130=$B20)*Inputs!$D$5:$D$130*(((Inputs!$G$5:$G$130="moeda")+(Inputs!$G$5:$G$130="acoes"))*Inputs!$B$1+((Inputs!$G$5:$G$130&lt;&gt;"moeda")*(Inputs!$G$5:$G$130&lt;&gt;"acoes")))*INDEX(Inputs!$K$5:$AJ$130,0,MATCH(Z$2,Inputs!$K$4:$AJ$4,0)))+SUMPRODUCT((Inputs!$E$5:$E$130=$B20)*Inputs!$F$5:$F$130*(((Inputs!$G$5:$G$130="moeda")+(Inputs!$G$5:$G$130="acoes"))*Inputs!$B$1+((Inputs!$G$5:$G$130&lt;&gt;"moeda")*(Inputs!$G$5:$G$130&lt;&gt;"acoes")))*INDEX(Inputs!$K$5:$AJ$130,0,MATCH(Z$2,Inputs!$K$4:$AJ$4,0)))))</f>
        <v>19925</v>
      </c>
      <c r="AA20" s="265">
        <f>IF(ISNA(MATCH(AA$2,Inputs!$K$4:$AJ$4,0)),NA(),IF(SUMPRODUCT((Inputs!$A$5:$A$130=$B20)*ISNUMBER(INDEX(Inputs!$K$5:$AJ$130,0,MATCH(AA$2,Inputs!$K$4:$AJ$4,0))))+SUMPRODUCT((Inputs!$C$5:$C$130=$B20)*ISNUMBER(INDEX(Inputs!$K$5:$AJ$130,0,MATCH(AA$2,Inputs!$K$4:$AJ$4,0))))+SUMPRODUCT((Inputs!$E$5:$E$130=$B20)*ISNUMBER(INDEX(Inputs!$K$5:$AJ$130,0,MATCH(AA$2,Inputs!$K$4:$AJ$4,0))))=0,NA(),SUMPRODUCT((Inputs!$A$5:$A$130=$B20)*Inputs!$B$5:$B$130*(((Inputs!$G$5:$G$130="moeda")+(Inputs!$G$5:$G$130="acoes"))*Inputs!$B$1+((Inputs!$G$5:$G$130&lt;&gt;"moeda")*(Inputs!$G$5:$G$130&lt;&gt;"acoes")))*INDEX(Inputs!$K$5:$AJ$130,0,MATCH(AA$2,Inputs!$K$4:$AJ$4,0)))+SUMPRODUCT((Inputs!$C$5:$C$130=$B20)*Inputs!$D$5:$D$130*(((Inputs!$G$5:$G$130="moeda")+(Inputs!$G$5:$G$130="acoes"))*Inputs!$B$1+((Inputs!$G$5:$G$130&lt;&gt;"moeda")*(Inputs!$G$5:$G$130&lt;&gt;"acoes")))*INDEX(Inputs!$K$5:$AJ$130,0,MATCH(AA$2,Inputs!$K$4:$AJ$4,0)))+SUMPRODUCT((Inputs!$E$5:$E$130=$B20)*Inputs!$F$5:$F$130*(((Inputs!$G$5:$G$130="moeda")+(Inputs!$G$5:$G$130="acoes"))*Inputs!$B$1+((Inputs!$G$5:$G$130&lt;&gt;"moeda")*(Inputs!$G$5:$G$130&lt;&gt;"acoes")))*INDEX(Inputs!$K$5:$AJ$130,0,MATCH(AA$2,Inputs!$K$4:$AJ$4,0)))))</f>
        <v>10145</v>
      </c>
      <c r="AB20" s="266">
        <f>AA20</f>
        <v>10145</v>
      </c>
      <c r="AC20" s="265">
        <f>IF(ISNA(MATCH(AC$2,Inputs!$K$4:$AJ$4,0)),NA(),IF(SUMPRODUCT((Inputs!$A$5:$A$130=$B20)*ISNUMBER(INDEX(Inputs!$K$5:$AJ$130,0,MATCH(AC$2,Inputs!$K$4:$AJ$4,0))))+SUMPRODUCT((Inputs!$C$5:$C$130=$B20)*ISNUMBER(INDEX(Inputs!$K$5:$AJ$130,0,MATCH(AC$2,Inputs!$K$4:$AJ$4,0))))+SUMPRODUCT((Inputs!$E$5:$E$130=$B20)*ISNUMBER(INDEX(Inputs!$K$5:$AJ$130,0,MATCH(AC$2,Inputs!$K$4:$AJ$4,0))))=0,NA(),SUMPRODUCT((Inputs!$A$5:$A$130=$B20)*Inputs!$B$5:$B$130*(((Inputs!$G$5:$G$130="moeda")+(Inputs!$G$5:$G$130="acoes"))*Inputs!$B$1+((Inputs!$G$5:$G$130&lt;&gt;"moeda")*(Inputs!$G$5:$G$130&lt;&gt;"acoes")))*INDEX(Inputs!$K$5:$AJ$130,0,MATCH(AC$2,Inputs!$K$4:$AJ$4,0)))+SUMPRODUCT((Inputs!$C$5:$C$130=$B20)*Inputs!$D$5:$D$130*(((Inputs!$G$5:$G$130="moeda")+(Inputs!$G$5:$G$130="acoes"))*Inputs!$B$1+((Inputs!$G$5:$G$130&lt;&gt;"moeda")*(Inputs!$G$5:$G$130&lt;&gt;"acoes")))*INDEX(Inputs!$K$5:$AJ$130,0,MATCH(AC$2,Inputs!$K$4:$AJ$4,0)))+SUMPRODUCT((Inputs!$E$5:$E$130=$B20)*Inputs!$F$5:$F$130*(((Inputs!$G$5:$G$130="moeda")+(Inputs!$G$5:$G$130="acoes"))*Inputs!$B$1+((Inputs!$G$5:$G$130&lt;&gt;"moeda")*(Inputs!$G$5:$G$130&lt;&gt;"acoes")))*INDEX(Inputs!$K$5:$AJ$130,0,MATCH(AC$2,Inputs!$K$4:$AJ$4,0)))))</f>
        <v>13454</v>
      </c>
      <c r="AD20" s="265">
        <f>IF(ISNA(MATCH(AD$2,Inputs!$K$4:$AJ$4,0)),NA(),IF(SUMPRODUCT((Inputs!$A$5:$A$130=$B20)*ISNUMBER(INDEX(Inputs!$K$5:$AJ$130,0,MATCH(AD$2,Inputs!$K$4:$AJ$4,0))))+SUMPRODUCT((Inputs!$C$5:$C$130=$B20)*ISNUMBER(INDEX(Inputs!$K$5:$AJ$130,0,MATCH(AD$2,Inputs!$K$4:$AJ$4,0))))+SUMPRODUCT((Inputs!$E$5:$E$130=$B20)*ISNUMBER(INDEX(Inputs!$K$5:$AJ$130,0,MATCH(AD$2,Inputs!$K$4:$AJ$4,0))))=0,NA(),SUMPRODUCT((Inputs!$A$5:$A$130=$B20)*Inputs!$B$5:$B$130*(((Inputs!$G$5:$G$130="moeda")+(Inputs!$G$5:$G$130="acoes"))*Inputs!$B$1+((Inputs!$G$5:$G$130&lt;&gt;"moeda")*(Inputs!$G$5:$G$130&lt;&gt;"acoes")))*INDEX(Inputs!$K$5:$AJ$130,0,MATCH(AD$2,Inputs!$K$4:$AJ$4,0)))+SUMPRODUCT((Inputs!$C$5:$C$130=$B20)*Inputs!$D$5:$D$130*(((Inputs!$G$5:$G$130="moeda")+(Inputs!$G$5:$G$130="acoes"))*Inputs!$B$1+((Inputs!$G$5:$G$130&lt;&gt;"moeda")*(Inputs!$G$5:$G$130&lt;&gt;"acoes")))*INDEX(Inputs!$K$5:$AJ$130,0,MATCH(AD$2,Inputs!$K$4:$AJ$4,0)))+SUMPRODUCT((Inputs!$E$5:$E$130=$B20)*Inputs!$F$5:$F$130*(((Inputs!$G$5:$G$130="moeda")+(Inputs!$G$5:$G$130="acoes"))*Inputs!$B$1+((Inputs!$G$5:$G$130&lt;&gt;"moeda")*(Inputs!$G$5:$G$130&lt;&gt;"acoes")))*INDEX(Inputs!$K$5:$AJ$130,0,MATCH(AD$2,Inputs!$K$4:$AJ$4,0)))))</f>
        <v>11881</v>
      </c>
      <c r="AE20" s="265" t="e">
        <f>IF(ISNA(MATCH(AE$2,Inputs!$K$4:$AJ$4,0)),NA(),IF(SUMPRODUCT((Inputs!$A$5:$A$130=$B20)*ISNUMBER(INDEX(Inputs!$K$5:$AJ$130,0,MATCH(AE$2,Inputs!$K$4:$AJ$4,0))))+SUMPRODUCT((Inputs!$C$5:$C$130=$B20)*ISNUMBER(INDEX(Inputs!$K$5:$AJ$130,0,MATCH(AE$2,Inputs!$K$4:$AJ$4,0))))+SUMPRODUCT((Inputs!$E$5:$E$130=$B20)*ISNUMBER(INDEX(Inputs!$K$5:$AJ$130,0,MATCH(AE$2,Inputs!$K$4:$AJ$4,0))))=0,NA(),SUMPRODUCT((Inputs!$A$5:$A$130=$B20)*Inputs!$B$5:$B$130*(((Inputs!$G$5:$G$130="moeda")+(Inputs!$G$5:$G$130="acoes"))*Inputs!$B$1+((Inputs!$G$5:$G$130&lt;&gt;"moeda")*(Inputs!$G$5:$G$130&lt;&gt;"acoes")))*INDEX(Inputs!$K$5:$AJ$130,0,MATCH(AE$2,Inputs!$K$4:$AJ$4,0)))+SUMPRODUCT((Inputs!$C$5:$C$130=$B20)*Inputs!$D$5:$D$130*(((Inputs!$G$5:$G$130="moeda")+(Inputs!$G$5:$G$130="acoes"))*Inputs!$B$1+((Inputs!$G$5:$G$130&lt;&gt;"moeda")*(Inputs!$G$5:$G$130&lt;&gt;"acoes")))*INDEX(Inputs!$K$5:$AJ$130,0,MATCH(AE$2,Inputs!$K$4:$AJ$4,0)))+SUMPRODUCT((Inputs!$E$5:$E$130=$B20)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0" s="265" t="e">
        <f>IF(ISNA(MATCH(AF$2,Inputs!$K$4:$AJ$4,0)),NA(),IF(SUMPRODUCT((Inputs!$A$5:$A$130=$B20)*ISNUMBER(INDEX(Inputs!$K$5:$AJ$130,0,MATCH(AF$2,Inputs!$K$4:$AJ$4,0))))+SUMPRODUCT((Inputs!$C$5:$C$130=$B20)*ISNUMBER(INDEX(Inputs!$K$5:$AJ$130,0,MATCH(AF$2,Inputs!$K$4:$AJ$4,0))))+SUMPRODUCT((Inputs!$E$5:$E$130=$B20)*ISNUMBER(INDEX(Inputs!$K$5:$AJ$130,0,MATCH(AF$2,Inputs!$K$4:$AJ$4,0))))=0,NA(),SUMPRODUCT((Inputs!$A$5:$A$130=$B20)*Inputs!$B$5:$B$130*(((Inputs!$G$5:$G$130="moeda")+(Inputs!$G$5:$G$130="acoes"))*Inputs!$B$1+((Inputs!$G$5:$G$130&lt;&gt;"moeda")*(Inputs!$G$5:$G$130&lt;&gt;"acoes")))*INDEX(Inputs!$K$5:$AJ$130,0,MATCH(AF$2,Inputs!$K$4:$AJ$4,0)))+SUMPRODUCT((Inputs!$C$5:$C$130=$B20)*Inputs!$D$5:$D$130*(((Inputs!$G$5:$G$130="moeda")+(Inputs!$G$5:$G$130="acoes"))*Inputs!$B$1+((Inputs!$G$5:$G$130&lt;&gt;"moeda")*(Inputs!$G$5:$G$130&lt;&gt;"acoes")))*INDEX(Inputs!$K$5:$AJ$130,0,MATCH(AF$2,Inputs!$K$4:$AJ$4,0)))+SUMPRODUCT((Inputs!$E$5:$E$130=$B20)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0" s="266" t="e">
        <f>AF20</f>
        <v>#N/A</v>
      </c>
      <c r="AH20" s="265" t="e">
        <f>IF(ISNA(MATCH(AH$2,Inputs!$K$4:$AJ$4,0)),NA(),IF(SUMPRODUCT((Inputs!$A$5:$A$130=$B20)*ISNUMBER(INDEX(Inputs!$K$5:$AJ$130,0,MATCH(AH$2,Inputs!$K$4:$AJ$4,0))))+SUMPRODUCT((Inputs!$C$5:$C$130=$B20)*ISNUMBER(INDEX(Inputs!$K$5:$AJ$130,0,MATCH(AH$2,Inputs!$K$4:$AJ$4,0))))+SUMPRODUCT((Inputs!$E$5:$E$130=$B20)*ISNUMBER(INDEX(Inputs!$K$5:$AJ$130,0,MATCH(AH$2,Inputs!$K$4:$AJ$4,0))))=0,NA(),SUMPRODUCT((Inputs!$A$5:$A$130=$B20)*Inputs!$B$5:$B$130*(((Inputs!$G$5:$G$130="moeda")+(Inputs!$G$5:$G$130="acoes"))*Inputs!$B$1+((Inputs!$G$5:$G$130&lt;&gt;"moeda")*(Inputs!$G$5:$G$130&lt;&gt;"acoes")))*INDEX(Inputs!$K$5:$AJ$130,0,MATCH(AH$2,Inputs!$K$4:$AJ$4,0)))+SUMPRODUCT((Inputs!$C$5:$C$130=$B20)*Inputs!$D$5:$D$130*(((Inputs!$G$5:$G$130="moeda")+(Inputs!$G$5:$G$130="acoes"))*Inputs!$B$1+((Inputs!$G$5:$G$130&lt;&gt;"moeda")*(Inputs!$G$5:$G$130&lt;&gt;"acoes")))*INDEX(Inputs!$K$5:$AJ$130,0,MATCH(AH$2,Inputs!$K$4:$AJ$4,0)))+SUMPRODUCT((Inputs!$E$5:$E$130=$B20)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20" s="265" t="e">
        <f>IF(ISNA(MATCH(AI$2,Inputs!$K$4:$AJ$4,0)),NA(),IF(SUMPRODUCT((Inputs!$A$5:$A$130=$B20)*ISNUMBER(INDEX(Inputs!$K$5:$AJ$130,0,MATCH(AI$2,Inputs!$K$4:$AJ$4,0))))+SUMPRODUCT((Inputs!$C$5:$C$130=$B20)*ISNUMBER(INDEX(Inputs!$K$5:$AJ$130,0,MATCH(AI$2,Inputs!$K$4:$AJ$4,0))))+SUMPRODUCT((Inputs!$E$5:$E$130=$B20)*ISNUMBER(INDEX(Inputs!$K$5:$AJ$130,0,MATCH(AI$2,Inputs!$K$4:$AJ$4,0))))=0,NA(),SUMPRODUCT((Inputs!$A$5:$A$130=$B20)*Inputs!$B$5:$B$130*(((Inputs!$G$5:$G$130="moeda")+(Inputs!$G$5:$G$130="acoes"))*Inputs!$B$1+((Inputs!$G$5:$G$130&lt;&gt;"moeda")*(Inputs!$G$5:$G$130&lt;&gt;"acoes")))*INDEX(Inputs!$K$5:$AJ$130,0,MATCH(AI$2,Inputs!$K$4:$AJ$4,0)))+SUMPRODUCT((Inputs!$C$5:$C$130=$B20)*Inputs!$D$5:$D$130*(((Inputs!$G$5:$G$130="moeda")+(Inputs!$G$5:$G$130="acoes"))*Inputs!$B$1+((Inputs!$G$5:$G$130&lt;&gt;"moeda")*(Inputs!$G$5:$G$130&lt;&gt;"acoes")))*INDEX(Inputs!$K$5:$AJ$130,0,MATCH(AI$2,Inputs!$K$4:$AJ$4,0)))+SUMPRODUCT((Inputs!$E$5:$E$130=$B20)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20" s="265" t="e">
        <f>IF(ISNA(MATCH(AJ$2,Inputs!$K$4:$AJ$4,0)),NA(),IF(SUMPRODUCT((Inputs!$A$5:$A$130=$B20)*ISNUMBER(INDEX(Inputs!$K$5:$AJ$130,0,MATCH(AJ$2,Inputs!$K$4:$AJ$4,0))))+SUMPRODUCT((Inputs!$C$5:$C$130=$B20)*ISNUMBER(INDEX(Inputs!$K$5:$AJ$130,0,MATCH(AJ$2,Inputs!$K$4:$AJ$4,0))))+SUMPRODUCT((Inputs!$E$5:$E$130=$B20)*ISNUMBER(INDEX(Inputs!$K$5:$AJ$130,0,MATCH(AJ$2,Inputs!$K$4:$AJ$4,0))))=0,NA(),SUMPRODUCT((Inputs!$A$5:$A$130=$B20)*Inputs!$B$5:$B$130*(((Inputs!$G$5:$G$130="moeda")+(Inputs!$G$5:$G$130="acoes"))*Inputs!$B$1+((Inputs!$G$5:$G$130&lt;&gt;"moeda")*(Inputs!$G$5:$G$130&lt;&gt;"acoes")))*INDEX(Inputs!$K$5:$AJ$130,0,MATCH(AJ$2,Inputs!$K$4:$AJ$4,0)))+SUMPRODUCT((Inputs!$C$5:$C$130=$B20)*Inputs!$D$5:$D$130*(((Inputs!$G$5:$G$130="moeda")+(Inputs!$G$5:$G$130="acoes"))*Inputs!$B$1+((Inputs!$G$5:$G$130&lt;&gt;"moeda")*(Inputs!$G$5:$G$130&lt;&gt;"acoes")))*INDEX(Inputs!$K$5:$AJ$130,0,MATCH(AJ$2,Inputs!$K$4:$AJ$4,0)))+SUMPRODUCT((Inputs!$E$5:$E$130=$B20)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20" s="265" t="e">
        <f>IF(ISNA(MATCH(AK$2,Inputs!$K$4:$AJ$4,0)),NA(),IF(SUMPRODUCT((Inputs!$A$5:$A$130=$B20)*ISNUMBER(INDEX(Inputs!$K$5:$AJ$130,0,MATCH(AK$2,Inputs!$K$4:$AJ$4,0))))+SUMPRODUCT((Inputs!$C$5:$C$130=$B20)*ISNUMBER(INDEX(Inputs!$K$5:$AJ$130,0,MATCH(AK$2,Inputs!$K$4:$AJ$4,0))))+SUMPRODUCT((Inputs!$E$5:$E$130=$B20)*ISNUMBER(INDEX(Inputs!$K$5:$AJ$130,0,MATCH(AK$2,Inputs!$K$4:$AJ$4,0))))=0,NA(),SUMPRODUCT((Inputs!$A$5:$A$130=$B20)*Inputs!$B$5:$B$130*(((Inputs!$G$5:$G$130="moeda")+(Inputs!$G$5:$G$130="acoes"))*Inputs!$B$1+((Inputs!$G$5:$G$130&lt;&gt;"moeda")*(Inputs!$G$5:$G$130&lt;&gt;"acoes")))*INDEX(Inputs!$K$5:$AJ$130,0,MATCH(AK$2,Inputs!$K$4:$AJ$4,0)))+SUMPRODUCT((Inputs!$C$5:$C$130=$B20)*Inputs!$D$5:$D$130*(((Inputs!$G$5:$G$130="moeda")+(Inputs!$G$5:$G$130="acoes"))*Inputs!$B$1+((Inputs!$G$5:$G$130&lt;&gt;"moeda")*(Inputs!$G$5:$G$130&lt;&gt;"acoes")))*INDEX(Inputs!$K$5:$AJ$130,0,MATCH(AK$2,Inputs!$K$4:$AJ$4,0)))+SUMPRODUCT((Inputs!$E$5:$E$130=$B20)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20" s="266" t="e">
        <f>AK20</f>
        <v>#N/A</v>
      </c>
    </row>
    <row r="21" ht="12.75" customHeight="1" s="254">
      <c r="B21" s="263" t="n">
        <v>17</v>
      </c>
      <c r="C21" s="268" t="inlineStr">
        <is>
          <t>Equity in affiliates</t>
        </is>
      </c>
      <c r="D21" s="265">
        <f>IF(ISNA(MATCH(D$2,Inputs!$K$4:$AJ$4,0)),NA(),IF(SUMPRODUCT((Inputs!$A$5:$A$130=$B21)*ISNUMBER(INDEX(Inputs!$K$5:$AJ$130,0,MATCH(D$2,Inputs!$K$4:$AJ$4,0))))+SUMPRODUCT((Inputs!$C$5:$C$130=$B21)*ISNUMBER(INDEX(Inputs!$K$5:$AJ$130,0,MATCH(D$2,Inputs!$K$4:$AJ$4,0))))+SUMPRODUCT((Inputs!$E$5:$E$130=$B21)*ISNUMBER(INDEX(Inputs!$K$5:$AJ$130,0,MATCH(D$2,Inputs!$K$4:$AJ$4,0))))=0,NA(),SUMPRODUCT((Inputs!$A$5:$A$130=$B21)*Inputs!$B$5:$B$130*(((Inputs!$G$5:$G$130="moeda")+(Inputs!$G$5:$G$130="acoes"))*Inputs!$B$1+((Inputs!$G$5:$G$130&lt;&gt;"moeda")*(Inputs!$G$5:$G$130&lt;&gt;"acoes")))*INDEX(Inputs!$K$5:$AJ$130,0,MATCH(D$2,Inputs!$K$4:$AJ$4,0)))+SUMPRODUCT((Inputs!$C$5:$C$130=$B21)*Inputs!$D$5:$D$130*(((Inputs!$G$5:$G$130="moeda")+(Inputs!$G$5:$G$130="acoes"))*Inputs!$B$1+((Inputs!$G$5:$G$130&lt;&gt;"moeda")*(Inputs!$G$5:$G$130&lt;&gt;"acoes")))*INDEX(Inputs!$K$5:$AJ$130,0,MATCH(D$2,Inputs!$K$4:$AJ$4,0)))+SUMPRODUCT((Inputs!$E$5:$E$130=$B21)*Inputs!$F$5:$F$130*(((Inputs!$G$5:$G$130="moeda")+(Inputs!$G$5:$G$130="acoes"))*Inputs!$B$1+((Inputs!$G$5:$G$130&lt;&gt;"moeda")*(Inputs!$G$5:$G$130&lt;&gt;"acoes")))*INDEX(Inputs!$K$5:$AJ$130,0,MATCH(D$2,Inputs!$K$4:$AJ$4,0)))))</f>
        <v>22537</v>
      </c>
      <c r="E21" s="265">
        <f>IF(ISNA(MATCH(E$2,Inputs!$K$4:$AJ$4,0)),NA(),IF(SUMPRODUCT((Inputs!$A$5:$A$130=$B21)*ISNUMBER(INDEX(Inputs!$K$5:$AJ$130,0,MATCH(E$2,Inputs!$K$4:$AJ$4,0))))+SUMPRODUCT((Inputs!$C$5:$C$130=$B21)*ISNUMBER(INDEX(Inputs!$K$5:$AJ$130,0,MATCH(E$2,Inputs!$K$4:$AJ$4,0))))+SUMPRODUCT((Inputs!$E$5:$E$130=$B21)*ISNUMBER(INDEX(Inputs!$K$5:$AJ$130,0,MATCH(E$2,Inputs!$K$4:$AJ$4,0))))=0,NA(),SUMPRODUCT((Inputs!$A$5:$A$130=$B21)*Inputs!$B$5:$B$130*(((Inputs!$G$5:$G$130="moeda")+(Inputs!$G$5:$G$130="acoes"))*Inputs!$B$1+((Inputs!$G$5:$G$130&lt;&gt;"moeda")*(Inputs!$G$5:$G$130&lt;&gt;"acoes")))*INDEX(Inputs!$K$5:$AJ$130,0,MATCH(E$2,Inputs!$K$4:$AJ$4,0)))+SUMPRODUCT((Inputs!$C$5:$C$130=$B21)*Inputs!$D$5:$D$130*(((Inputs!$G$5:$G$130="moeda")+(Inputs!$G$5:$G$130="acoes"))*Inputs!$B$1+((Inputs!$G$5:$G$130&lt;&gt;"moeda")*(Inputs!$G$5:$G$130&lt;&gt;"acoes")))*INDEX(Inputs!$K$5:$AJ$130,0,MATCH(E$2,Inputs!$K$4:$AJ$4,0)))+SUMPRODUCT((Inputs!$E$5:$E$130=$B21)*Inputs!$F$5:$F$130*(((Inputs!$G$5:$G$130="moeda")+(Inputs!$G$5:$G$130="acoes"))*Inputs!$B$1+((Inputs!$G$5:$G$130&lt;&gt;"moeda")*(Inputs!$G$5:$G$130&lt;&gt;"acoes")))*INDEX(Inputs!$K$5:$AJ$130,0,MATCH(E$2,Inputs!$K$4:$AJ$4,0)))))</f>
        <v>23248</v>
      </c>
      <c r="F21" s="265">
        <f>IF(ISNA(MATCH(F$2,Inputs!$K$4:$AJ$4,0)),NA(),IF(SUMPRODUCT((Inputs!$A$5:$A$130=$B21)*ISNUMBER(INDEX(Inputs!$K$5:$AJ$130,0,MATCH(F$2,Inputs!$K$4:$AJ$4,0))))+SUMPRODUCT((Inputs!$C$5:$C$130=$B21)*ISNUMBER(INDEX(Inputs!$K$5:$AJ$130,0,MATCH(F$2,Inputs!$K$4:$AJ$4,0))))+SUMPRODUCT((Inputs!$E$5:$E$130=$B21)*ISNUMBER(INDEX(Inputs!$K$5:$AJ$130,0,MATCH(F$2,Inputs!$K$4:$AJ$4,0))))=0,NA(),SUMPRODUCT((Inputs!$A$5:$A$130=$B21)*Inputs!$B$5:$B$130*(((Inputs!$G$5:$G$130="moeda")+(Inputs!$G$5:$G$130="acoes"))*Inputs!$B$1+((Inputs!$G$5:$G$130&lt;&gt;"moeda")*(Inputs!$G$5:$G$130&lt;&gt;"acoes")))*INDEX(Inputs!$K$5:$AJ$130,0,MATCH(F$2,Inputs!$K$4:$AJ$4,0)))+SUMPRODUCT((Inputs!$C$5:$C$130=$B21)*Inputs!$D$5:$D$130*(((Inputs!$G$5:$G$130="moeda")+(Inputs!$G$5:$G$130="acoes"))*Inputs!$B$1+((Inputs!$G$5:$G$130&lt;&gt;"moeda")*(Inputs!$G$5:$G$130&lt;&gt;"acoes")))*INDEX(Inputs!$K$5:$AJ$130,0,MATCH(F$2,Inputs!$K$4:$AJ$4,0)))+SUMPRODUCT((Inputs!$E$5:$E$130=$B21)*Inputs!$F$5:$F$130*(((Inputs!$G$5:$G$130="moeda")+(Inputs!$G$5:$G$130="acoes"))*Inputs!$B$1+((Inputs!$G$5:$G$130&lt;&gt;"moeda")*(Inputs!$G$5:$G$130&lt;&gt;"acoes")))*INDEX(Inputs!$K$5:$AJ$130,0,MATCH(F$2,Inputs!$K$4:$AJ$4,0)))))</f>
        <v>23724</v>
      </c>
      <c r="G21" s="265">
        <f>IF(ISNA(MATCH(G$2,Inputs!$K$4:$AJ$4,0)),NA(),IF(SUMPRODUCT((Inputs!$A$5:$A$130=$B21)*ISNUMBER(INDEX(Inputs!$K$5:$AJ$130,0,MATCH(G$2,Inputs!$K$4:$AJ$4,0))))+SUMPRODUCT((Inputs!$C$5:$C$130=$B21)*ISNUMBER(INDEX(Inputs!$K$5:$AJ$130,0,MATCH(G$2,Inputs!$K$4:$AJ$4,0))))+SUMPRODUCT((Inputs!$E$5:$E$130=$B21)*ISNUMBER(INDEX(Inputs!$K$5:$AJ$130,0,MATCH(G$2,Inputs!$K$4:$AJ$4,0))))=0,NA(),SUMPRODUCT((Inputs!$A$5:$A$130=$B21)*Inputs!$B$5:$B$130*(((Inputs!$G$5:$G$130="moeda")+(Inputs!$G$5:$G$130="acoes"))*Inputs!$B$1+((Inputs!$G$5:$G$130&lt;&gt;"moeda")*(Inputs!$G$5:$G$130&lt;&gt;"acoes")))*INDEX(Inputs!$K$5:$AJ$130,0,MATCH(G$2,Inputs!$K$4:$AJ$4,0)))+SUMPRODUCT((Inputs!$C$5:$C$130=$B21)*Inputs!$D$5:$D$130*(((Inputs!$G$5:$G$130="moeda")+(Inputs!$G$5:$G$130="acoes"))*Inputs!$B$1+((Inputs!$G$5:$G$130&lt;&gt;"moeda")*(Inputs!$G$5:$G$130&lt;&gt;"acoes")))*INDEX(Inputs!$K$5:$AJ$130,0,MATCH(G$2,Inputs!$K$4:$AJ$4,0)))+SUMPRODUCT((Inputs!$E$5:$E$130=$B21)*Inputs!$F$5:$F$130*(((Inputs!$G$5:$G$130="moeda")+(Inputs!$G$5:$G$130="acoes"))*Inputs!$B$1+((Inputs!$G$5:$G$130&lt;&gt;"moeda")*(Inputs!$G$5:$G$130&lt;&gt;"acoes")))*INDEX(Inputs!$K$5:$AJ$130,0,MATCH(G$2,Inputs!$K$4:$AJ$4,0)))))</f>
        <v>23415</v>
      </c>
      <c r="H21" s="266">
        <f>G21</f>
        <v>23415</v>
      </c>
      <c r="I21" s="265">
        <f>IF(ISNA(MATCH(I$2,Inputs!$K$4:$AJ$4,0)),NA(),IF(SUMPRODUCT((Inputs!$A$5:$A$130=$B21)*ISNUMBER(INDEX(Inputs!$K$5:$AJ$130,0,MATCH(I$2,Inputs!$K$4:$AJ$4,0))))+SUMPRODUCT((Inputs!$C$5:$C$130=$B21)*ISNUMBER(INDEX(Inputs!$K$5:$AJ$130,0,MATCH(I$2,Inputs!$K$4:$AJ$4,0))))+SUMPRODUCT((Inputs!$E$5:$E$130=$B21)*ISNUMBER(INDEX(Inputs!$K$5:$AJ$130,0,MATCH(I$2,Inputs!$K$4:$AJ$4,0))))=0,NA(),SUMPRODUCT((Inputs!$A$5:$A$130=$B21)*Inputs!$B$5:$B$130*(((Inputs!$G$5:$G$130="moeda")+(Inputs!$G$5:$G$130="acoes"))*Inputs!$B$1+((Inputs!$G$5:$G$130&lt;&gt;"moeda")*(Inputs!$G$5:$G$130&lt;&gt;"acoes")))*INDEX(Inputs!$K$5:$AJ$130,0,MATCH(I$2,Inputs!$K$4:$AJ$4,0)))+SUMPRODUCT((Inputs!$C$5:$C$130=$B21)*Inputs!$D$5:$D$130*(((Inputs!$G$5:$G$130="moeda")+(Inputs!$G$5:$G$130="acoes"))*Inputs!$B$1+((Inputs!$G$5:$G$130&lt;&gt;"moeda")*(Inputs!$G$5:$G$130&lt;&gt;"acoes")))*INDEX(Inputs!$K$5:$AJ$130,0,MATCH(I$2,Inputs!$K$4:$AJ$4,0)))+SUMPRODUCT((Inputs!$E$5:$E$130=$B21)*Inputs!$F$5:$F$130*(((Inputs!$G$5:$G$130="moeda")+(Inputs!$G$5:$G$130="acoes"))*Inputs!$B$1+((Inputs!$G$5:$G$130&lt;&gt;"moeda")*(Inputs!$G$5:$G$130&lt;&gt;"acoes")))*INDEX(Inputs!$K$5:$AJ$130,0,MATCH(I$2,Inputs!$K$4:$AJ$4,0)))))</f>
        <v>23289</v>
      </c>
      <c r="J21" s="265">
        <f>IF(ISNA(MATCH(J$2,Inputs!$K$4:$AJ$4,0)),NA(),IF(SUMPRODUCT((Inputs!$A$5:$A$130=$B21)*ISNUMBER(INDEX(Inputs!$K$5:$AJ$130,0,MATCH(J$2,Inputs!$K$4:$AJ$4,0))))+SUMPRODUCT((Inputs!$C$5:$C$130=$B21)*ISNUMBER(INDEX(Inputs!$K$5:$AJ$130,0,MATCH(J$2,Inputs!$K$4:$AJ$4,0))))+SUMPRODUCT((Inputs!$E$5:$E$130=$B21)*ISNUMBER(INDEX(Inputs!$K$5:$AJ$130,0,MATCH(J$2,Inputs!$K$4:$AJ$4,0))))=0,NA(),SUMPRODUCT((Inputs!$A$5:$A$130=$B21)*Inputs!$B$5:$B$130*(((Inputs!$G$5:$G$130="moeda")+(Inputs!$G$5:$G$130="acoes"))*Inputs!$B$1+((Inputs!$G$5:$G$130&lt;&gt;"moeda")*(Inputs!$G$5:$G$130&lt;&gt;"acoes")))*INDEX(Inputs!$K$5:$AJ$130,0,MATCH(J$2,Inputs!$K$4:$AJ$4,0)))+SUMPRODUCT((Inputs!$C$5:$C$130=$B21)*Inputs!$D$5:$D$130*(((Inputs!$G$5:$G$130="moeda")+(Inputs!$G$5:$G$130="acoes"))*Inputs!$B$1+((Inputs!$G$5:$G$130&lt;&gt;"moeda")*(Inputs!$G$5:$G$130&lt;&gt;"acoes")))*INDEX(Inputs!$K$5:$AJ$130,0,MATCH(J$2,Inputs!$K$4:$AJ$4,0)))+SUMPRODUCT((Inputs!$E$5:$E$130=$B21)*Inputs!$F$5:$F$130*(((Inputs!$G$5:$G$130="moeda")+(Inputs!$G$5:$G$130="acoes"))*Inputs!$B$1+((Inputs!$G$5:$G$130&lt;&gt;"moeda")*(Inputs!$G$5:$G$130&lt;&gt;"acoes")))*INDEX(Inputs!$K$5:$AJ$130,0,MATCH(J$2,Inputs!$K$4:$AJ$4,0)))))</f>
        <v>23264</v>
      </c>
      <c r="K21" s="265">
        <f>IF(ISNA(MATCH(K$2,Inputs!$K$4:$AJ$4,0)),NA(),IF(SUMPRODUCT((Inputs!$A$5:$A$130=$B21)*ISNUMBER(INDEX(Inputs!$K$5:$AJ$130,0,MATCH(K$2,Inputs!$K$4:$AJ$4,0))))+SUMPRODUCT((Inputs!$C$5:$C$130=$B21)*ISNUMBER(INDEX(Inputs!$K$5:$AJ$130,0,MATCH(K$2,Inputs!$K$4:$AJ$4,0))))+SUMPRODUCT((Inputs!$E$5:$E$130=$B21)*ISNUMBER(INDEX(Inputs!$K$5:$AJ$130,0,MATCH(K$2,Inputs!$K$4:$AJ$4,0))))=0,NA(),SUMPRODUCT((Inputs!$A$5:$A$130=$B21)*Inputs!$B$5:$B$130*(((Inputs!$G$5:$G$130="moeda")+(Inputs!$G$5:$G$130="acoes"))*Inputs!$B$1+((Inputs!$G$5:$G$130&lt;&gt;"moeda")*(Inputs!$G$5:$G$130&lt;&gt;"acoes")))*INDEX(Inputs!$K$5:$AJ$130,0,MATCH(K$2,Inputs!$K$4:$AJ$4,0)))+SUMPRODUCT((Inputs!$C$5:$C$130=$B21)*Inputs!$D$5:$D$130*(((Inputs!$G$5:$G$130="moeda")+(Inputs!$G$5:$G$130="acoes"))*Inputs!$B$1+((Inputs!$G$5:$G$130&lt;&gt;"moeda")*(Inputs!$G$5:$G$130&lt;&gt;"acoes")))*INDEX(Inputs!$K$5:$AJ$130,0,MATCH(K$2,Inputs!$K$4:$AJ$4,0)))+SUMPRODUCT((Inputs!$E$5:$E$130=$B21)*Inputs!$F$5:$F$130*(((Inputs!$G$5:$G$130="moeda")+(Inputs!$G$5:$G$130="acoes"))*Inputs!$B$1+((Inputs!$G$5:$G$130&lt;&gt;"moeda")*(Inputs!$G$5:$G$130&lt;&gt;"acoes")))*INDEX(Inputs!$K$5:$AJ$130,0,MATCH(K$2,Inputs!$K$4:$AJ$4,0)))))</f>
        <v>24489</v>
      </c>
      <c r="L21" s="265">
        <f>IF(ISNA(MATCH(L$2,Inputs!$K$4:$AJ$4,0)),NA(),IF(SUMPRODUCT((Inputs!$A$5:$A$130=$B21)*ISNUMBER(INDEX(Inputs!$K$5:$AJ$130,0,MATCH(L$2,Inputs!$K$4:$AJ$4,0))))+SUMPRODUCT((Inputs!$C$5:$C$130=$B21)*ISNUMBER(INDEX(Inputs!$K$5:$AJ$130,0,MATCH(L$2,Inputs!$K$4:$AJ$4,0))))+SUMPRODUCT((Inputs!$E$5:$E$130=$B21)*ISNUMBER(INDEX(Inputs!$K$5:$AJ$130,0,MATCH(L$2,Inputs!$K$4:$AJ$4,0))))=0,NA(),SUMPRODUCT((Inputs!$A$5:$A$130=$B21)*Inputs!$B$5:$B$130*(((Inputs!$G$5:$G$130="moeda")+(Inputs!$G$5:$G$130="acoes"))*Inputs!$B$1+((Inputs!$G$5:$G$130&lt;&gt;"moeda")*(Inputs!$G$5:$G$130&lt;&gt;"acoes")))*INDEX(Inputs!$K$5:$AJ$130,0,MATCH(L$2,Inputs!$K$4:$AJ$4,0)))+SUMPRODUCT((Inputs!$C$5:$C$130=$B21)*Inputs!$D$5:$D$130*(((Inputs!$G$5:$G$130="moeda")+(Inputs!$G$5:$G$130="acoes"))*Inputs!$B$1+((Inputs!$G$5:$G$130&lt;&gt;"moeda")*(Inputs!$G$5:$G$130&lt;&gt;"acoes")))*INDEX(Inputs!$K$5:$AJ$130,0,MATCH(L$2,Inputs!$K$4:$AJ$4,0)))+SUMPRODUCT((Inputs!$E$5:$E$130=$B21)*Inputs!$F$5:$F$130*(((Inputs!$G$5:$G$130="moeda")+(Inputs!$G$5:$G$130="acoes"))*Inputs!$B$1+((Inputs!$G$5:$G$130&lt;&gt;"moeda")*(Inputs!$G$5:$G$130&lt;&gt;"acoes")))*INDEX(Inputs!$K$5:$AJ$130,0,MATCH(L$2,Inputs!$K$4:$AJ$4,0)))))</f>
        <v>23864</v>
      </c>
      <c r="M21" s="266">
        <f>L21</f>
        <v>23864</v>
      </c>
      <c r="N21" s="265">
        <f>IF(ISNA(MATCH(N$2,Inputs!$K$4:$AJ$4,0)),NA(),IF(SUMPRODUCT((Inputs!$A$5:$A$130=$B21)*ISNUMBER(INDEX(Inputs!$K$5:$AJ$130,0,MATCH(N$2,Inputs!$K$4:$AJ$4,0))))+SUMPRODUCT((Inputs!$C$5:$C$130=$B21)*ISNUMBER(INDEX(Inputs!$K$5:$AJ$130,0,MATCH(N$2,Inputs!$K$4:$AJ$4,0))))+SUMPRODUCT((Inputs!$E$5:$E$130=$B21)*ISNUMBER(INDEX(Inputs!$K$5:$AJ$130,0,MATCH(N$2,Inputs!$K$4:$AJ$4,0))))=0,NA(),SUMPRODUCT((Inputs!$A$5:$A$130=$B21)*Inputs!$B$5:$B$130*(((Inputs!$G$5:$G$130="moeda")+(Inputs!$G$5:$G$130="acoes"))*Inputs!$B$1+((Inputs!$G$5:$G$130&lt;&gt;"moeda")*(Inputs!$G$5:$G$130&lt;&gt;"acoes")))*INDEX(Inputs!$K$5:$AJ$130,0,MATCH(N$2,Inputs!$K$4:$AJ$4,0)))+SUMPRODUCT((Inputs!$C$5:$C$130=$B21)*Inputs!$D$5:$D$130*(((Inputs!$G$5:$G$130="moeda")+(Inputs!$G$5:$G$130="acoes"))*Inputs!$B$1+((Inputs!$G$5:$G$130&lt;&gt;"moeda")*(Inputs!$G$5:$G$130&lt;&gt;"acoes")))*INDEX(Inputs!$K$5:$AJ$130,0,MATCH(N$2,Inputs!$K$4:$AJ$4,0)))+SUMPRODUCT((Inputs!$E$5:$E$130=$B21)*Inputs!$F$5:$F$130*(((Inputs!$G$5:$G$130="moeda")+(Inputs!$G$5:$G$130="acoes"))*Inputs!$B$1+((Inputs!$G$5:$G$130&lt;&gt;"moeda")*(Inputs!$G$5:$G$130&lt;&gt;"acoes")))*INDEX(Inputs!$K$5:$AJ$130,0,MATCH(N$2,Inputs!$K$4:$AJ$4,0)))))</f>
        <v>24843</v>
      </c>
      <c r="O21" s="265">
        <f>IF(ISNA(MATCH(O$2,Inputs!$K$4:$AJ$4,0)),NA(),IF(SUMPRODUCT((Inputs!$A$5:$A$130=$B21)*ISNUMBER(INDEX(Inputs!$K$5:$AJ$130,0,MATCH(O$2,Inputs!$K$4:$AJ$4,0))))+SUMPRODUCT((Inputs!$C$5:$C$130=$B21)*ISNUMBER(INDEX(Inputs!$K$5:$AJ$130,0,MATCH(O$2,Inputs!$K$4:$AJ$4,0))))+SUMPRODUCT((Inputs!$E$5:$E$130=$B21)*ISNUMBER(INDEX(Inputs!$K$5:$AJ$130,0,MATCH(O$2,Inputs!$K$4:$AJ$4,0))))=0,NA(),SUMPRODUCT((Inputs!$A$5:$A$130=$B21)*Inputs!$B$5:$B$130*(((Inputs!$G$5:$G$130="moeda")+(Inputs!$G$5:$G$130="acoes"))*Inputs!$B$1+((Inputs!$G$5:$G$130&lt;&gt;"moeda")*(Inputs!$G$5:$G$130&lt;&gt;"acoes")))*INDEX(Inputs!$K$5:$AJ$130,0,MATCH(O$2,Inputs!$K$4:$AJ$4,0)))+SUMPRODUCT((Inputs!$C$5:$C$130=$B21)*Inputs!$D$5:$D$130*(((Inputs!$G$5:$G$130="moeda")+(Inputs!$G$5:$G$130="acoes"))*Inputs!$B$1+((Inputs!$G$5:$G$130&lt;&gt;"moeda")*(Inputs!$G$5:$G$130&lt;&gt;"acoes")))*INDEX(Inputs!$K$5:$AJ$130,0,MATCH(O$2,Inputs!$K$4:$AJ$4,0)))+SUMPRODUCT((Inputs!$E$5:$E$130=$B21)*Inputs!$F$5:$F$130*(((Inputs!$G$5:$G$130="moeda")+(Inputs!$G$5:$G$130="acoes"))*Inputs!$B$1+((Inputs!$G$5:$G$130&lt;&gt;"moeda")*(Inputs!$G$5:$G$130&lt;&gt;"acoes")))*INDEX(Inputs!$K$5:$AJ$130,0,MATCH(O$2,Inputs!$K$4:$AJ$4,0)))))</f>
        <v>24434</v>
      </c>
      <c r="P21" s="265">
        <f>IF(ISNA(MATCH(P$2,Inputs!$K$4:$AJ$4,0)),NA(),IF(SUMPRODUCT((Inputs!$A$5:$A$130=$B21)*ISNUMBER(INDEX(Inputs!$K$5:$AJ$130,0,MATCH(P$2,Inputs!$K$4:$AJ$4,0))))+SUMPRODUCT((Inputs!$C$5:$C$130=$B21)*ISNUMBER(INDEX(Inputs!$K$5:$AJ$130,0,MATCH(P$2,Inputs!$K$4:$AJ$4,0))))+SUMPRODUCT((Inputs!$E$5:$E$130=$B21)*ISNUMBER(INDEX(Inputs!$K$5:$AJ$130,0,MATCH(P$2,Inputs!$K$4:$AJ$4,0))))=0,NA(),SUMPRODUCT((Inputs!$A$5:$A$130=$B21)*Inputs!$B$5:$B$130*(((Inputs!$G$5:$G$130="moeda")+(Inputs!$G$5:$G$130="acoes"))*Inputs!$B$1+((Inputs!$G$5:$G$130&lt;&gt;"moeda")*(Inputs!$G$5:$G$130&lt;&gt;"acoes")))*INDEX(Inputs!$K$5:$AJ$130,0,MATCH(P$2,Inputs!$K$4:$AJ$4,0)))+SUMPRODUCT((Inputs!$C$5:$C$130=$B21)*Inputs!$D$5:$D$130*(((Inputs!$G$5:$G$130="moeda")+(Inputs!$G$5:$G$130="acoes"))*Inputs!$B$1+((Inputs!$G$5:$G$130&lt;&gt;"moeda")*(Inputs!$G$5:$G$130&lt;&gt;"acoes")))*INDEX(Inputs!$K$5:$AJ$130,0,MATCH(P$2,Inputs!$K$4:$AJ$4,0)))+SUMPRODUCT((Inputs!$E$5:$E$130=$B21)*Inputs!$F$5:$F$130*(((Inputs!$G$5:$G$130="moeda")+(Inputs!$G$5:$G$130="acoes"))*Inputs!$B$1+((Inputs!$G$5:$G$130&lt;&gt;"moeda")*(Inputs!$G$5:$G$130&lt;&gt;"acoes")))*INDEX(Inputs!$K$5:$AJ$130,0,MATCH(P$2,Inputs!$K$4:$AJ$4,0)))))</f>
        <v>24477</v>
      </c>
      <c r="Q21" s="265">
        <f>IF(ISNA(MATCH(Q$2,Inputs!$K$4:$AJ$4,0)),NA(),IF(SUMPRODUCT((Inputs!$A$5:$A$130=$B21)*ISNUMBER(INDEX(Inputs!$K$5:$AJ$130,0,MATCH(Q$2,Inputs!$K$4:$AJ$4,0))))+SUMPRODUCT((Inputs!$C$5:$C$130=$B21)*ISNUMBER(INDEX(Inputs!$K$5:$AJ$130,0,MATCH(Q$2,Inputs!$K$4:$AJ$4,0))))+SUMPRODUCT((Inputs!$E$5:$E$130=$B21)*ISNUMBER(INDEX(Inputs!$K$5:$AJ$130,0,MATCH(Q$2,Inputs!$K$4:$AJ$4,0))))=0,NA(),SUMPRODUCT((Inputs!$A$5:$A$130=$B21)*Inputs!$B$5:$B$130*(((Inputs!$G$5:$G$130="moeda")+(Inputs!$G$5:$G$130="acoes"))*Inputs!$B$1+((Inputs!$G$5:$G$130&lt;&gt;"moeda")*(Inputs!$G$5:$G$130&lt;&gt;"acoes")))*INDEX(Inputs!$K$5:$AJ$130,0,MATCH(Q$2,Inputs!$K$4:$AJ$4,0)))+SUMPRODUCT((Inputs!$C$5:$C$130=$B21)*Inputs!$D$5:$D$130*(((Inputs!$G$5:$G$130="moeda")+(Inputs!$G$5:$G$130="acoes"))*Inputs!$B$1+((Inputs!$G$5:$G$130&lt;&gt;"moeda")*(Inputs!$G$5:$G$130&lt;&gt;"acoes")))*INDEX(Inputs!$K$5:$AJ$130,0,MATCH(Q$2,Inputs!$K$4:$AJ$4,0)))+SUMPRODUCT((Inputs!$E$5:$E$130=$B21)*Inputs!$F$5:$F$130*(((Inputs!$G$5:$G$130="moeda")+(Inputs!$G$5:$G$130="acoes"))*Inputs!$B$1+((Inputs!$G$5:$G$130&lt;&gt;"moeda")*(Inputs!$G$5:$G$130&lt;&gt;"acoes")))*INDEX(Inputs!$K$5:$AJ$130,0,MATCH(Q$2,Inputs!$K$4:$AJ$4,0)))))</f>
        <v>24457</v>
      </c>
      <c r="R21" s="266">
        <f>Q21</f>
        <v>24457</v>
      </c>
      <c r="S21" s="265">
        <f>IF(ISNA(MATCH(S$2,Inputs!$K$4:$AJ$4,0)),NA(),IF(SUMPRODUCT((Inputs!$A$5:$A$130=$B21)*ISNUMBER(INDEX(Inputs!$K$5:$AJ$130,0,MATCH(S$2,Inputs!$K$4:$AJ$4,0))))+SUMPRODUCT((Inputs!$C$5:$C$130=$B21)*ISNUMBER(INDEX(Inputs!$K$5:$AJ$130,0,MATCH(S$2,Inputs!$K$4:$AJ$4,0))))+SUMPRODUCT((Inputs!$E$5:$E$130=$B21)*ISNUMBER(INDEX(Inputs!$K$5:$AJ$130,0,MATCH(S$2,Inputs!$K$4:$AJ$4,0))))=0,NA(),SUMPRODUCT((Inputs!$A$5:$A$130=$B21)*Inputs!$B$5:$B$130*(((Inputs!$G$5:$G$130="moeda")+(Inputs!$G$5:$G$130="acoes"))*Inputs!$B$1+((Inputs!$G$5:$G$130&lt;&gt;"moeda")*(Inputs!$G$5:$G$130&lt;&gt;"acoes")))*INDEX(Inputs!$K$5:$AJ$130,0,MATCH(S$2,Inputs!$K$4:$AJ$4,0)))+SUMPRODUCT((Inputs!$C$5:$C$130=$B21)*Inputs!$D$5:$D$130*(((Inputs!$G$5:$G$130="moeda")+(Inputs!$G$5:$G$130="acoes"))*Inputs!$B$1+((Inputs!$G$5:$G$130&lt;&gt;"moeda")*(Inputs!$G$5:$G$130&lt;&gt;"acoes")))*INDEX(Inputs!$K$5:$AJ$130,0,MATCH(S$2,Inputs!$K$4:$AJ$4,0)))+SUMPRODUCT((Inputs!$E$5:$E$130=$B21)*Inputs!$F$5:$F$130*(((Inputs!$G$5:$G$130="moeda")+(Inputs!$G$5:$G$130="acoes"))*Inputs!$B$1+((Inputs!$G$5:$G$130&lt;&gt;"moeda")*(Inputs!$G$5:$G$130&lt;&gt;"acoes")))*INDEX(Inputs!$K$5:$AJ$130,0,MATCH(S$2,Inputs!$K$4:$AJ$4,0)))))</f>
        <v>25113</v>
      </c>
      <c r="T21" s="265">
        <f>IF(ISNA(MATCH(T$2,Inputs!$K$4:$AJ$4,0)),NA(),IF(SUMPRODUCT((Inputs!$A$5:$A$130=$B21)*ISNUMBER(INDEX(Inputs!$K$5:$AJ$130,0,MATCH(T$2,Inputs!$K$4:$AJ$4,0))))+SUMPRODUCT((Inputs!$C$5:$C$130=$B21)*ISNUMBER(INDEX(Inputs!$K$5:$AJ$130,0,MATCH(T$2,Inputs!$K$4:$AJ$4,0))))+SUMPRODUCT((Inputs!$E$5:$E$130=$B21)*ISNUMBER(INDEX(Inputs!$K$5:$AJ$130,0,MATCH(T$2,Inputs!$K$4:$AJ$4,0))))=0,NA(),SUMPRODUCT((Inputs!$A$5:$A$130=$B21)*Inputs!$B$5:$B$130*(((Inputs!$G$5:$G$130="moeda")+(Inputs!$G$5:$G$130="acoes"))*Inputs!$B$1+((Inputs!$G$5:$G$130&lt;&gt;"moeda")*(Inputs!$G$5:$G$130&lt;&gt;"acoes")))*INDEX(Inputs!$K$5:$AJ$130,0,MATCH(T$2,Inputs!$K$4:$AJ$4,0)))+SUMPRODUCT((Inputs!$C$5:$C$130=$B21)*Inputs!$D$5:$D$130*(((Inputs!$G$5:$G$130="moeda")+(Inputs!$G$5:$G$130="acoes"))*Inputs!$B$1+((Inputs!$G$5:$G$130&lt;&gt;"moeda")*(Inputs!$G$5:$G$130&lt;&gt;"acoes")))*INDEX(Inputs!$K$5:$AJ$130,0,MATCH(T$2,Inputs!$K$4:$AJ$4,0)))+SUMPRODUCT((Inputs!$E$5:$E$130=$B21)*Inputs!$F$5:$F$130*(((Inputs!$G$5:$G$130="moeda")+(Inputs!$G$5:$G$130="acoes"))*Inputs!$B$1+((Inputs!$G$5:$G$130&lt;&gt;"moeda")*(Inputs!$G$5:$G$130&lt;&gt;"acoes")))*INDEX(Inputs!$K$5:$AJ$130,0,MATCH(T$2,Inputs!$K$4:$AJ$4,0)))))</f>
        <v>25098</v>
      </c>
      <c r="U21" s="265">
        <f>IF(ISNA(MATCH(U$2,Inputs!$K$4:$AJ$4,0)),NA(),IF(SUMPRODUCT((Inputs!$A$5:$A$130=$B21)*ISNUMBER(INDEX(Inputs!$K$5:$AJ$130,0,MATCH(U$2,Inputs!$K$4:$AJ$4,0))))+SUMPRODUCT((Inputs!$C$5:$C$130=$B21)*ISNUMBER(INDEX(Inputs!$K$5:$AJ$130,0,MATCH(U$2,Inputs!$K$4:$AJ$4,0))))+SUMPRODUCT((Inputs!$E$5:$E$130=$B21)*ISNUMBER(INDEX(Inputs!$K$5:$AJ$130,0,MATCH(U$2,Inputs!$K$4:$AJ$4,0))))=0,NA(),SUMPRODUCT((Inputs!$A$5:$A$130=$B21)*Inputs!$B$5:$B$130*(((Inputs!$G$5:$G$130="moeda")+(Inputs!$G$5:$G$130="acoes"))*Inputs!$B$1+((Inputs!$G$5:$G$130&lt;&gt;"moeda")*(Inputs!$G$5:$G$130&lt;&gt;"acoes")))*INDEX(Inputs!$K$5:$AJ$130,0,MATCH(U$2,Inputs!$K$4:$AJ$4,0)))+SUMPRODUCT((Inputs!$C$5:$C$130=$B21)*Inputs!$D$5:$D$130*(((Inputs!$G$5:$G$130="moeda")+(Inputs!$G$5:$G$130="acoes"))*Inputs!$B$1+((Inputs!$G$5:$G$130&lt;&gt;"moeda")*(Inputs!$G$5:$G$130&lt;&gt;"acoes")))*INDEX(Inputs!$K$5:$AJ$130,0,MATCH(U$2,Inputs!$K$4:$AJ$4,0)))+SUMPRODUCT((Inputs!$E$5:$E$130=$B21)*Inputs!$F$5:$F$130*(((Inputs!$G$5:$G$130="moeda")+(Inputs!$G$5:$G$130="acoes"))*Inputs!$B$1+((Inputs!$G$5:$G$130&lt;&gt;"moeda")*(Inputs!$G$5:$G$130&lt;&gt;"acoes")))*INDEX(Inputs!$K$5:$AJ$130,0,MATCH(U$2,Inputs!$K$4:$AJ$4,0)))))</f>
        <v>25764</v>
      </c>
      <c r="V21" s="265">
        <f>IF(ISNA(MATCH(V$2,Inputs!$K$4:$AJ$4,0)),NA(),IF(SUMPRODUCT((Inputs!$A$5:$A$130=$B21)*ISNUMBER(INDEX(Inputs!$K$5:$AJ$130,0,MATCH(V$2,Inputs!$K$4:$AJ$4,0))))+SUMPRODUCT((Inputs!$C$5:$C$130=$B21)*ISNUMBER(INDEX(Inputs!$K$5:$AJ$130,0,MATCH(V$2,Inputs!$K$4:$AJ$4,0))))+SUMPRODUCT((Inputs!$E$5:$E$130=$B21)*ISNUMBER(INDEX(Inputs!$K$5:$AJ$130,0,MATCH(V$2,Inputs!$K$4:$AJ$4,0))))=0,NA(),SUMPRODUCT((Inputs!$A$5:$A$130=$B21)*Inputs!$B$5:$B$130*(((Inputs!$G$5:$G$130="moeda")+(Inputs!$G$5:$G$130="acoes"))*Inputs!$B$1+((Inputs!$G$5:$G$130&lt;&gt;"moeda")*(Inputs!$G$5:$G$130&lt;&gt;"acoes")))*INDEX(Inputs!$K$5:$AJ$130,0,MATCH(V$2,Inputs!$K$4:$AJ$4,0)))+SUMPRODUCT((Inputs!$C$5:$C$130=$B21)*Inputs!$D$5:$D$130*(((Inputs!$G$5:$G$130="moeda")+(Inputs!$G$5:$G$130="acoes"))*Inputs!$B$1+((Inputs!$G$5:$G$130&lt;&gt;"moeda")*(Inputs!$G$5:$G$130&lt;&gt;"acoes")))*INDEX(Inputs!$K$5:$AJ$130,0,MATCH(V$2,Inputs!$K$4:$AJ$4,0)))+SUMPRODUCT((Inputs!$E$5:$E$130=$B21)*Inputs!$F$5:$F$130*(((Inputs!$G$5:$G$130="moeda")+(Inputs!$G$5:$G$130="acoes"))*Inputs!$B$1+((Inputs!$G$5:$G$130&lt;&gt;"moeda")*(Inputs!$G$5:$G$130&lt;&gt;"acoes")))*INDEX(Inputs!$K$5:$AJ$130,0,MATCH(V$2,Inputs!$K$4:$AJ$4,0)))))</f>
        <v>23445</v>
      </c>
      <c r="W21" s="266">
        <f>V21</f>
        <v>23445</v>
      </c>
      <c r="X21" s="265">
        <f>IF(ISNA(MATCH(X$2,Inputs!$K$4:$AJ$4,0)),NA(),IF(SUMPRODUCT((Inputs!$A$5:$A$130=$B21)*ISNUMBER(INDEX(Inputs!$K$5:$AJ$130,0,MATCH(X$2,Inputs!$K$4:$AJ$4,0))))+SUMPRODUCT((Inputs!$C$5:$C$130=$B21)*ISNUMBER(INDEX(Inputs!$K$5:$AJ$130,0,MATCH(X$2,Inputs!$K$4:$AJ$4,0))))+SUMPRODUCT((Inputs!$E$5:$E$130=$B21)*ISNUMBER(INDEX(Inputs!$K$5:$AJ$130,0,MATCH(X$2,Inputs!$K$4:$AJ$4,0))))=0,NA(),SUMPRODUCT((Inputs!$A$5:$A$130=$B21)*Inputs!$B$5:$B$130*(((Inputs!$G$5:$G$130="moeda")+(Inputs!$G$5:$G$130="acoes"))*Inputs!$B$1+((Inputs!$G$5:$G$130&lt;&gt;"moeda")*(Inputs!$G$5:$G$130&lt;&gt;"acoes")))*INDEX(Inputs!$K$5:$AJ$130,0,MATCH(X$2,Inputs!$K$4:$AJ$4,0)))+SUMPRODUCT((Inputs!$C$5:$C$130=$B21)*Inputs!$D$5:$D$130*(((Inputs!$G$5:$G$130="moeda")+(Inputs!$G$5:$G$130="acoes"))*Inputs!$B$1+((Inputs!$G$5:$G$130&lt;&gt;"moeda")*(Inputs!$G$5:$G$130&lt;&gt;"acoes")))*INDEX(Inputs!$K$5:$AJ$130,0,MATCH(X$2,Inputs!$K$4:$AJ$4,0)))+SUMPRODUCT((Inputs!$E$5:$E$130=$B21)*Inputs!$F$5:$F$130*(((Inputs!$G$5:$G$130="moeda")+(Inputs!$G$5:$G$130="acoes"))*Inputs!$B$1+((Inputs!$G$5:$G$130&lt;&gt;"moeda")*(Inputs!$G$5:$G$130&lt;&gt;"acoes")))*INDEX(Inputs!$K$5:$AJ$130,0,MATCH(X$2,Inputs!$K$4:$AJ$4,0)))))</f>
        <v>24236</v>
      </c>
      <c r="Y21" s="265">
        <f>IF(ISNA(MATCH(Y$2,Inputs!$K$4:$AJ$4,0)),NA(),IF(SUMPRODUCT((Inputs!$A$5:$A$130=$B21)*ISNUMBER(INDEX(Inputs!$K$5:$AJ$130,0,MATCH(Y$2,Inputs!$K$4:$AJ$4,0))))+SUMPRODUCT((Inputs!$C$5:$C$130=$B21)*ISNUMBER(INDEX(Inputs!$K$5:$AJ$130,0,MATCH(Y$2,Inputs!$K$4:$AJ$4,0))))+SUMPRODUCT((Inputs!$E$5:$E$130=$B21)*ISNUMBER(INDEX(Inputs!$K$5:$AJ$130,0,MATCH(Y$2,Inputs!$K$4:$AJ$4,0))))=0,NA(),SUMPRODUCT((Inputs!$A$5:$A$130=$B21)*Inputs!$B$5:$B$130*(((Inputs!$G$5:$G$130="moeda")+(Inputs!$G$5:$G$130="acoes"))*Inputs!$B$1+((Inputs!$G$5:$G$130&lt;&gt;"moeda")*(Inputs!$G$5:$G$130&lt;&gt;"acoes")))*INDEX(Inputs!$K$5:$AJ$130,0,MATCH(Y$2,Inputs!$K$4:$AJ$4,0)))+SUMPRODUCT((Inputs!$C$5:$C$130=$B21)*Inputs!$D$5:$D$130*(((Inputs!$G$5:$G$130="moeda")+(Inputs!$G$5:$G$130="acoes"))*Inputs!$B$1+((Inputs!$G$5:$G$130&lt;&gt;"moeda")*(Inputs!$G$5:$G$130&lt;&gt;"acoes")))*INDEX(Inputs!$K$5:$AJ$130,0,MATCH(Y$2,Inputs!$K$4:$AJ$4,0)))+SUMPRODUCT((Inputs!$E$5:$E$130=$B21)*Inputs!$F$5:$F$130*(((Inputs!$G$5:$G$130="moeda")+(Inputs!$G$5:$G$130="acoes"))*Inputs!$B$1+((Inputs!$G$5:$G$130&lt;&gt;"moeda")*(Inputs!$G$5:$G$130&lt;&gt;"acoes")))*INDEX(Inputs!$K$5:$AJ$130,0,MATCH(Y$2,Inputs!$K$4:$AJ$4,0)))))</f>
        <v>23456</v>
      </c>
      <c r="Z21" s="265">
        <f>IF(ISNA(MATCH(Z$2,Inputs!$K$4:$AJ$4,0)),NA(),IF(SUMPRODUCT((Inputs!$A$5:$A$130=$B21)*ISNUMBER(INDEX(Inputs!$K$5:$AJ$130,0,MATCH(Z$2,Inputs!$K$4:$AJ$4,0))))+SUMPRODUCT((Inputs!$C$5:$C$130=$B21)*ISNUMBER(INDEX(Inputs!$K$5:$AJ$130,0,MATCH(Z$2,Inputs!$K$4:$AJ$4,0))))+SUMPRODUCT((Inputs!$E$5:$E$130=$B21)*ISNUMBER(INDEX(Inputs!$K$5:$AJ$130,0,MATCH(Z$2,Inputs!$K$4:$AJ$4,0))))=0,NA(),SUMPRODUCT((Inputs!$A$5:$A$130=$B21)*Inputs!$B$5:$B$130*(((Inputs!$G$5:$G$130="moeda")+(Inputs!$G$5:$G$130="acoes"))*Inputs!$B$1+((Inputs!$G$5:$G$130&lt;&gt;"moeda")*(Inputs!$G$5:$G$130&lt;&gt;"acoes")))*INDEX(Inputs!$K$5:$AJ$130,0,MATCH(Z$2,Inputs!$K$4:$AJ$4,0)))+SUMPRODUCT((Inputs!$C$5:$C$130=$B21)*Inputs!$D$5:$D$130*(((Inputs!$G$5:$G$130="moeda")+(Inputs!$G$5:$G$130="acoes"))*Inputs!$B$1+((Inputs!$G$5:$G$130&lt;&gt;"moeda")*(Inputs!$G$5:$G$130&lt;&gt;"acoes")))*INDEX(Inputs!$K$5:$AJ$130,0,MATCH(Z$2,Inputs!$K$4:$AJ$4,0)))+SUMPRODUCT((Inputs!$E$5:$E$130=$B21)*Inputs!$F$5:$F$130*(((Inputs!$G$5:$G$130="moeda")+(Inputs!$G$5:$G$130="acoes"))*Inputs!$B$1+((Inputs!$G$5:$G$130&lt;&gt;"moeda")*(Inputs!$G$5:$G$130&lt;&gt;"acoes")))*INDEX(Inputs!$K$5:$AJ$130,0,MATCH(Z$2,Inputs!$K$4:$AJ$4,0)))))</f>
        <v>23729</v>
      </c>
      <c r="AA21" s="265">
        <f>IF(ISNA(MATCH(AA$2,Inputs!$K$4:$AJ$4,0)),NA(),IF(SUMPRODUCT((Inputs!$A$5:$A$130=$B21)*ISNUMBER(INDEX(Inputs!$K$5:$AJ$130,0,MATCH(AA$2,Inputs!$K$4:$AJ$4,0))))+SUMPRODUCT((Inputs!$C$5:$C$130=$B21)*ISNUMBER(INDEX(Inputs!$K$5:$AJ$130,0,MATCH(AA$2,Inputs!$K$4:$AJ$4,0))))+SUMPRODUCT((Inputs!$E$5:$E$130=$B21)*ISNUMBER(INDEX(Inputs!$K$5:$AJ$130,0,MATCH(AA$2,Inputs!$K$4:$AJ$4,0))))=0,NA(),SUMPRODUCT((Inputs!$A$5:$A$130=$B21)*Inputs!$B$5:$B$130*(((Inputs!$G$5:$G$130="moeda")+(Inputs!$G$5:$G$130="acoes"))*Inputs!$B$1+((Inputs!$G$5:$G$130&lt;&gt;"moeda")*(Inputs!$G$5:$G$130&lt;&gt;"acoes")))*INDEX(Inputs!$K$5:$AJ$130,0,MATCH(AA$2,Inputs!$K$4:$AJ$4,0)))+SUMPRODUCT((Inputs!$C$5:$C$130=$B21)*Inputs!$D$5:$D$130*(((Inputs!$G$5:$G$130="moeda")+(Inputs!$G$5:$G$130="acoes"))*Inputs!$B$1+((Inputs!$G$5:$G$130&lt;&gt;"moeda")*(Inputs!$G$5:$G$130&lt;&gt;"acoes")))*INDEX(Inputs!$K$5:$AJ$130,0,MATCH(AA$2,Inputs!$K$4:$AJ$4,0)))+SUMPRODUCT((Inputs!$E$5:$E$130=$B21)*Inputs!$F$5:$F$130*(((Inputs!$G$5:$G$130="moeda")+(Inputs!$G$5:$G$130="acoes"))*Inputs!$B$1+((Inputs!$G$5:$G$130&lt;&gt;"moeda")*(Inputs!$G$5:$G$130&lt;&gt;"acoes")))*INDEX(Inputs!$K$5:$AJ$130,0,MATCH(AA$2,Inputs!$K$4:$AJ$4,0)))))</f>
        <v>27775</v>
      </c>
      <c r="AB21" s="266">
        <f>AA21</f>
        <v>27775</v>
      </c>
      <c r="AC21" s="265">
        <f>IF(ISNA(MATCH(AC$2,Inputs!$K$4:$AJ$4,0)),NA(),IF(SUMPRODUCT((Inputs!$A$5:$A$130=$B21)*ISNUMBER(INDEX(Inputs!$K$5:$AJ$130,0,MATCH(AC$2,Inputs!$K$4:$AJ$4,0))))+SUMPRODUCT((Inputs!$C$5:$C$130=$B21)*ISNUMBER(INDEX(Inputs!$K$5:$AJ$130,0,MATCH(AC$2,Inputs!$K$4:$AJ$4,0))))+SUMPRODUCT((Inputs!$E$5:$E$130=$B21)*ISNUMBER(INDEX(Inputs!$K$5:$AJ$130,0,MATCH(AC$2,Inputs!$K$4:$AJ$4,0))))=0,NA(),SUMPRODUCT((Inputs!$A$5:$A$130=$B21)*Inputs!$B$5:$B$130*(((Inputs!$G$5:$G$130="moeda")+(Inputs!$G$5:$G$130="acoes"))*Inputs!$B$1+((Inputs!$G$5:$G$130&lt;&gt;"moeda")*(Inputs!$G$5:$G$130&lt;&gt;"acoes")))*INDEX(Inputs!$K$5:$AJ$130,0,MATCH(AC$2,Inputs!$K$4:$AJ$4,0)))+SUMPRODUCT((Inputs!$C$5:$C$130=$B21)*Inputs!$D$5:$D$130*(((Inputs!$G$5:$G$130="moeda")+(Inputs!$G$5:$G$130="acoes"))*Inputs!$B$1+((Inputs!$G$5:$G$130&lt;&gt;"moeda")*(Inputs!$G$5:$G$130&lt;&gt;"acoes")))*INDEX(Inputs!$K$5:$AJ$130,0,MATCH(AC$2,Inputs!$K$4:$AJ$4,0)))+SUMPRODUCT((Inputs!$E$5:$E$130=$B21)*Inputs!$F$5:$F$130*(((Inputs!$G$5:$G$130="moeda")+(Inputs!$G$5:$G$130="acoes"))*Inputs!$B$1+((Inputs!$G$5:$G$130&lt;&gt;"moeda")*(Inputs!$G$5:$G$130&lt;&gt;"acoes")))*INDEX(Inputs!$K$5:$AJ$130,0,MATCH(AC$2,Inputs!$K$4:$AJ$4,0)))))</f>
        <v>27579</v>
      </c>
      <c r="AD21" s="265">
        <f>IF(ISNA(MATCH(AD$2,Inputs!$K$4:$AJ$4,0)),NA(),IF(SUMPRODUCT((Inputs!$A$5:$A$130=$B21)*ISNUMBER(INDEX(Inputs!$K$5:$AJ$130,0,MATCH(AD$2,Inputs!$K$4:$AJ$4,0))))+SUMPRODUCT((Inputs!$C$5:$C$130=$B21)*ISNUMBER(INDEX(Inputs!$K$5:$AJ$130,0,MATCH(AD$2,Inputs!$K$4:$AJ$4,0))))+SUMPRODUCT((Inputs!$E$5:$E$130=$B21)*ISNUMBER(INDEX(Inputs!$K$5:$AJ$130,0,MATCH(AD$2,Inputs!$K$4:$AJ$4,0))))=0,NA(),SUMPRODUCT((Inputs!$A$5:$A$130=$B21)*Inputs!$B$5:$B$130*(((Inputs!$G$5:$G$130="moeda")+(Inputs!$G$5:$G$130="acoes"))*Inputs!$B$1+((Inputs!$G$5:$G$130&lt;&gt;"moeda")*(Inputs!$G$5:$G$130&lt;&gt;"acoes")))*INDEX(Inputs!$K$5:$AJ$130,0,MATCH(AD$2,Inputs!$K$4:$AJ$4,0)))+SUMPRODUCT((Inputs!$C$5:$C$130=$B21)*Inputs!$D$5:$D$130*(((Inputs!$G$5:$G$130="moeda")+(Inputs!$G$5:$G$130="acoes"))*Inputs!$B$1+((Inputs!$G$5:$G$130&lt;&gt;"moeda")*(Inputs!$G$5:$G$130&lt;&gt;"acoes")))*INDEX(Inputs!$K$5:$AJ$130,0,MATCH(AD$2,Inputs!$K$4:$AJ$4,0)))+SUMPRODUCT((Inputs!$E$5:$E$130=$B21)*Inputs!$F$5:$F$130*(((Inputs!$G$5:$G$130="moeda")+(Inputs!$G$5:$G$130="acoes"))*Inputs!$B$1+((Inputs!$G$5:$G$130&lt;&gt;"moeda")*(Inputs!$G$5:$G$130&lt;&gt;"acoes")))*INDEX(Inputs!$K$5:$AJ$130,0,MATCH(AD$2,Inputs!$K$4:$AJ$4,0)))))</f>
        <v>27997</v>
      </c>
      <c r="AE21" s="265" t="e">
        <f>IF(ISNA(MATCH(AE$2,Inputs!$K$4:$AJ$4,0)),NA(),IF(SUMPRODUCT((Inputs!$A$5:$A$130=$B21)*ISNUMBER(INDEX(Inputs!$K$5:$AJ$130,0,MATCH(AE$2,Inputs!$K$4:$AJ$4,0))))+SUMPRODUCT((Inputs!$C$5:$C$130=$B21)*ISNUMBER(INDEX(Inputs!$K$5:$AJ$130,0,MATCH(AE$2,Inputs!$K$4:$AJ$4,0))))+SUMPRODUCT((Inputs!$E$5:$E$130=$B21)*ISNUMBER(INDEX(Inputs!$K$5:$AJ$130,0,MATCH(AE$2,Inputs!$K$4:$AJ$4,0))))=0,NA(),SUMPRODUCT((Inputs!$A$5:$A$130=$B21)*Inputs!$B$5:$B$130*(((Inputs!$G$5:$G$130="moeda")+(Inputs!$G$5:$G$130="acoes"))*Inputs!$B$1+((Inputs!$G$5:$G$130&lt;&gt;"moeda")*(Inputs!$G$5:$G$130&lt;&gt;"acoes")))*INDEX(Inputs!$K$5:$AJ$130,0,MATCH(AE$2,Inputs!$K$4:$AJ$4,0)))+SUMPRODUCT((Inputs!$C$5:$C$130=$B21)*Inputs!$D$5:$D$130*(((Inputs!$G$5:$G$130="moeda")+(Inputs!$G$5:$G$130="acoes"))*Inputs!$B$1+((Inputs!$G$5:$G$130&lt;&gt;"moeda")*(Inputs!$G$5:$G$130&lt;&gt;"acoes")))*INDEX(Inputs!$K$5:$AJ$130,0,MATCH(AE$2,Inputs!$K$4:$AJ$4,0)))+SUMPRODUCT((Inputs!$E$5:$E$130=$B21)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1" s="265" t="e">
        <f>IF(ISNA(MATCH(AF$2,Inputs!$K$4:$AJ$4,0)),NA(),IF(SUMPRODUCT((Inputs!$A$5:$A$130=$B21)*ISNUMBER(INDEX(Inputs!$K$5:$AJ$130,0,MATCH(AF$2,Inputs!$K$4:$AJ$4,0))))+SUMPRODUCT((Inputs!$C$5:$C$130=$B21)*ISNUMBER(INDEX(Inputs!$K$5:$AJ$130,0,MATCH(AF$2,Inputs!$K$4:$AJ$4,0))))+SUMPRODUCT((Inputs!$E$5:$E$130=$B21)*ISNUMBER(INDEX(Inputs!$K$5:$AJ$130,0,MATCH(AF$2,Inputs!$K$4:$AJ$4,0))))=0,NA(),SUMPRODUCT((Inputs!$A$5:$A$130=$B21)*Inputs!$B$5:$B$130*(((Inputs!$G$5:$G$130="moeda")+(Inputs!$G$5:$G$130="acoes"))*Inputs!$B$1+((Inputs!$G$5:$G$130&lt;&gt;"moeda")*(Inputs!$G$5:$G$130&lt;&gt;"acoes")))*INDEX(Inputs!$K$5:$AJ$130,0,MATCH(AF$2,Inputs!$K$4:$AJ$4,0)))+SUMPRODUCT((Inputs!$C$5:$C$130=$B21)*Inputs!$D$5:$D$130*(((Inputs!$G$5:$G$130="moeda")+(Inputs!$G$5:$G$130="acoes"))*Inputs!$B$1+((Inputs!$G$5:$G$130&lt;&gt;"moeda")*(Inputs!$G$5:$G$130&lt;&gt;"acoes")))*INDEX(Inputs!$K$5:$AJ$130,0,MATCH(AF$2,Inputs!$K$4:$AJ$4,0)))+SUMPRODUCT((Inputs!$E$5:$E$130=$B21)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1" s="266" t="e">
        <f>AF21</f>
        <v>#N/A</v>
      </c>
      <c r="AH21" s="265" t="e">
        <f>IF(ISNA(MATCH(AH$2,Inputs!$K$4:$AJ$4,0)),NA(),IF(SUMPRODUCT((Inputs!$A$5:$A$130=$B21)*ISNUMBER(INDEX(Inputs!$K$5:$AJ$130,0,MATCH(AH$2,Inputs!$K$4:$AJ$4,0))))+SUMPRODUCT((Inputs!$C$5:$C$130=$B21)*ISNUMBER(INDEX(Inputs!$K$5:$AJ$130,0,MATCH(AH$2,Inputs!$K$4:$AJ$4,0))))+SUMPRODUCT((Inputs!$E$5:$E$130=$B21)*ISNUMBER(INDEX(Inputs!$K$5:$AJ$130,0,MATCH(AH$2,Inputs!$K$4:$AJ$4,0))))=0,NA(),SUMPRODUCT((Inputs!$A$5:$A$130=$B21)*Inputs!$B$5:$B$130*(((Inputs!$G$5:$G$130="moeda")+(Inputs!$G$5:$G$130="acoes"))*Inputs!$B$1+((Inputs!$G$5:$G$130&lt;&gt;"moeda")*(Inputs!$G$5:$G$130&lt;&gt;"acoes")))*INDEX(Inputs!$K$5:$AJ$130,0,MATCH(AH$2,Inputs!$K$4:$AJ$4,0)))+SUMPRODUCT((Inputs!$C$5:$C$130=$B21)*Inputs!$D$5:$D$130*(((Inputs!$G$5:$G$130="moeda")+(Inputs!$G$5:$G$130="acoes"))*Inputs!$B$1+((Inputs!$G$5:$G$130&lt;&gt;"moeda")*(Inputs!$G$5:$G$130&lt;&gt;"acoes")))*INDEX(Inputs!$K$5:$AJ$130,0,MATCH(AH$2,Inputs!$K$4:$AJ$4,0)))+SUMPRODUCT((Inputs!$E$5:$E$130=$B21)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21" s="265" t="e">
        <f>IF(ISNA(MATCH(AI$2,Inputs!$K$4:$AJ$4,0)),NA(),IF(SUMPRODUCT((Inputs!$A$5:$A$130=$B21)*ISNUMBER(INDEX(Inputs!$K$5:$AJ$130,0,MATCH(AI$2,Inputs!$K$4:$AJ$4,0))))+SUMPRODUCT((Inputs!$C$5:$C$130=$B21)*ISNUMBER(INDEX(Inputs!$K$5:$AJ$130,0,MATCH(AI$2,Inputs!$K$4:$AJ$4,0))))+SUMPRODUCT((Inputs!$E$5:$E$130=$B21)*ISNUMBER(INDEX(Inputs!$K$5:$AJ$130,0,MATCH(AI$2,Inputs!$K$4:$AJ$4,0))))=0,NA(),SUMPRODUCT((Inputs!$A$5:$A$130=$B21)*Inputs!$B$5:$B$130*(((Inputs!$G$5:$G$130="moeda")+(Inputs!$G$5:$G$130="acoes"))*Inputs!$B$1+((Inputs!$G$5:$G$130&lt;&gt;"moeda")*(Inputs!$G$5:$G$130&lt;&gt;"acoes")))*INDEX(Inputs!$K$5:$AJ$130,0,MATCH(AI$2,Inputs!$K$4:$AJ$4,0)))+SUMPRODUCT((Inputs!$C$5:$C$130=$B21)*Inputs!$D$5:$D$130*(((Inputs!$G$5:$G$130="moeda")+(Inputs!$G$5:$G$130="acoes"))*Inputs!$B$1+((Inputs!$G$5:$G$130&lt;&gt;"moeda")*(Inputs!$G$5:$G$130&lt;&gt;"acoes")))*INDEX(Inputs!$K$5:$AJ$130,0,MATCH(AI$2,Inputs!$K$4:$AJ$4,0)))+SUMPRODUCT((Inputs!$E$5:$E$130=$B21)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21" s="265" t="e">
        <f>IF(ISNA(MATCH(AJ$2,Inputs!$K$4:$AJ$4,0)),NA(),IF(SUMPRODUCT((Inputs!$A$5:$A$130=$B21)*ISNUMBER(INDEX(Inputs!$K$5:$AJ$130,0,MATCH(AJ$2,Inputs!$K$4:$AJ$4,0))))+SUMPRODUCT((Inputs!$C$5:$C$130=$B21)*ISNUMBER(INDEX(Inputs!$K$5:$AJ$130,0,MATCH(AJ$2,Inputs!$K$4:$AJ$4,0))))+SUMPRODUCT((Inputs!$E$5:$E$130=$B21)*ISNUMBER(INDEX(Inputs!$K$5:$AJ$130,0,MATCH(AJ$2,Inputs!$K$4:$AJ$4,0))))=0,NA(),SUMPRODUCT((Inputs!$A$5:$A$130=$B21)*Inputs!$B$5:$B$130*(((Inputs!$G$5:$G$130="moeda")+(Inputs!$G$5:$G$130="acoes"))*Inputs!$B$1+((Inputs!$G$5:$G$130&lt;&gt;"moeda")*(Inputs!$G$5:$G$130&lt;&gt;"acoes")))*INDEX(Inputs!$K$5:$AJ$130,0,MATCH(AJ$2,Inputs!$K$4:$AJ$4,0)))+SUMPRODUCT((Inputs!$C$5:$C$130=$B21)*Inputs!$D$5:$D$130*(((Inputs!$G$5:$G$130="moeda")+(Inputs!$G$5:$G$130="acoes"))*Inputs!$B$1+((Inputs!$G$5:$G$130&lt;&gt;"moeda")*(Inputs!$G$5:$G$130&lt;&gt;"acoes")))*INDEX(Inputs!$K$5:$AJ$130,0,MATCH(AJ$2,Inputs!$K$4:$AJ$4,0)))+SUMPRODUCT((Inputs!$E$5:$E$130=$B21)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21" s="265" t="e">
        <f>IF(ISNA(MATCH(AK$2,Inputs!$K$4:$AJ$4,0)),NA(),IF(SUMPRODUCT((Inputs!$A$5:$A$130=$B21)*ISNUMBER(INDEX(Inputs!$K$5:$AJ$130,0,MATCH(AK$2,Inputs!$K$4:$AJ$4,0))))+SUMPRODUCT((Inputs!$C$5:$C$130=$B21)*ISNUMBER(INDEX(Inputs!$K$5:$AJ$130,0,MATCH(AK$2,Inputs!$K$4:$AJ$4,0))))+SUMPRODUCT((Inputs!$E$5:$E$130=$B21)*ISNUMBER(INDEX(Inputs!$K$5:$AJ$130,0,MATCH(AK$2,Inputs!$K$4:$AJ$4,0))))=0,NA(),SUMPRODUCT((Inputs!$A$5:$A$130=$B21)*Inputs!$B$5:$B$130*(((Inputs!$G$5:$G$130="moeda")+(Inputs!$G$5:$G$130="acoes"))*Inputs!$B$1+((Inputs!$G$5:$G$130&lt;&gt;"moeda")*(Inputs!$G$5:$G$130&lt;&gt;"acoes")))*INDEX(Inputs!$K$5:$AJ$130,0,MATCH(AK$2,Inputs!$K$4:$AJ$4,0)))+SUMPRODUCT((Inputs!$C$5:$C$130=$B21)*Inputs!$D$5:$D$130*(((Inputs!$G$5:$G$130="moeda")+(Inputs!$G$5:$G$130="acoes"))*Inputs!$B$1+((Inputs!$G$5:$G$130&lt;&gt;"moeda")*(Inputs!$G$5:$G$130&lt;&gt;"acoes")))*INDEX(Inputs!$K$5:$AJ$130,0,MATCH(AK$2,Inputs!$K$4:$AJ$4,0)))+SUMPRODUCT((Inputs!$E$5:$E$130=$B21)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21" s="266" t="e">
        <f>AK21</f>
        <v>#N/A</v>
      </c>
    </row>
    <row r="22" ht="12.75" customHeight="1" s="254">
      <c r="B22" s="263" t="n">
        <v>18</v>
      </c>
      <c r="C22" s="268" t="inlineStr">
        <is>
          <t>PP&amp;E</t>
        </is>
      </c>
      <c r="D22" s="265">
        <f>IF(ISNA(MATCH(D$2,Inputs!$K$4:$AJ$4,0)),NA(),IF(SUMPRODUCT((Inputs!$A$5:$A$130=$B22)*ISNUMBER(INDEX(Inputs!$K$5:$AJ$130,0,MATCH(D$2,Inputs!$K$4:$AJ$4,0))))+SUMPRODUCT((Inputs!$C$5:$C$130=$B22)*ISNUMBER(INDEX(Inputs!$K$5:$AJ$130,0,MATCH(D$2,Inputs!$K$4:$AJ$4,0))))+SUMPRODUCT((Inputs!$E$5:$E$130=$B22)*ISNUMBER(INDEX(Inputs!$K$5:$AJ$130,0,MATCH(D$2,Inputs!$K$4:$AJ$4,0))))=0,NA(),SUMPRODUCT((Inputs!$A$5:$A$130=$B22)*Inputs!$B$5:$B$130*(((Inputs!$G$5:$G$130="moeda")+(Inputs!$G$5:$G$130="acoes"))*Inputs!$B$1+((Inputs!$G$5:$G$130&lt;&gt;"moeda")*(Inputs!$G$5:$G$130&lt;&gt;"acoes")))*INDEX(Inputs!$K$5:$AJ$130,0,MATCH(D$2,Inputs!$K$4:$AJ$4,0)))+SUMPRODUCT((Inputs!$C$5:$C$130=$B22)*Inputs!$D$5:$D$130*(((Inputs!$G$5:$G$130="moeda")+(Inputs!$G$5:$G$130="acoes"))*Inputs!$B$1+((Inputs!$G$5:$G$130&lt;&gt;"moeda")*(Inputs!$G$5:$G$130&lt;&gt;"acoes")))*INDEX(Inputs!$K$5:$AJ$130,0,MATCH(D$2,Inputs!$K$4:$AJ$4,0)))+SUMPRODUCT((Inputs!$E$5:$E$130=$B22)*Inputs!$F$5:$F$130*(((Inputs!$G$5:$G$130="moeda")+(Inputs!$G$5:$G$130="acoes"))*Inputs!$B$1+((Inputs!$G$5:$G$130&lt;&gt;"moeda")*(Inputs!$G$5:$G$130&lt;&gt;"acoes")))*INDEX(Inputs!$K$5:$AJ$130,0,MATCH(D$2,Inputs!$K$4:$AJ$4,0)))))</f>
        <v>208298</v>
      </c>
      <c r="E22" s="265">
        <f>IF(ISNA(MATCH(E$2,Inputs!$K$4:$AJ$4,0)),NA(),IF(SUMPRODUCT((Inputs!$A$5:$A$130=$B22)*ISNUMBER(INDEX(Inputs!$K$5:$AJ$130,0,MATCH(E$2,Inputs!$K$4:$AJ$4,0))))+SUMPRODUCT((Inputs!$C$5:$C$130=$B22)*ISNUMBER(INDEX(Inputs!$K$5:$AJ$130,0,MATCH(E$2,Inputs!$K$4:$AJ$4,0))))+SUMPRODUCT((Inputs!$E$5:$E$130=$B22)*ISNUMBER(INDEX(Inputs!$K$5:$AJ$130,0,MATCH(E$2,Inputs!$K$4:$AJ$4,0))))=0,NA(),SUMPRODUCT((Inputs!$A$5:$A$130=$B22)*Inputs!$B$5:$B$130*(((Inputs!$G$5:$G$130="moeda")+(Inputs!$G$5:$G$130="acoes"))*Inputs!$B$1+((Inputs!$G$5:$G$130&lt;&gt;"moeda")*(Inputs!$G$5:$G$130&lt;&gt;"acoes")))*INDEX(Inputs!$K$5:$AJ$130,0,MATCH(E$2,Inputs!$K$4:$AJ$4,0)))+SUMPRODUCT((Inputs!$C$5:$C$130=$B22)*Inputs!$D$5:$D$130*(((Inputs!$G$5:$G$130="moeda")+(Inputs!$G$5:$G$130="acoes"))*Inputs!$B$1+((Inputs!$G$5:$G$130&lt;&gt;"moeda")*(Inputs!$G$5:$G$130&lt;&gt;"acoes")))*INDEX(Inputs!$K$5:$AJ$130,0,MATCH(E$2,Inputs!$K$4:$AJ$4,0)))+SUMPRODUCT((Inputs!$E$5:$E$130=$B22)*Inputs!$F$5:$F$130*(((Inputs!$G$5:$G$130="moeda")+(Inputs!$G$5:$G$130="acoes"))*Inputs!$B$1+((Inputs!$G$5:$G$130&lt;&gt;"moeda")*(Inputs!$G$5:$G$130&lt;&gt;"acoes")))*INDEX(Inputs!$K$5:$AJ$130,0,MATCH(E$2,Inputs!$K$4:$AJ$4,0)))))</f>
        <v>205272</v>
      </c>
      <c r="F22" s="265">
        <f>IF(ISNA(MATCH(F$2,Inputs!$K$4:$AJ$4,0)),NA(),IF(SUMPRODUCT((Inputs!$A$5:$A$130=$B22)*ISNUMBER(INDEX(Inputs!$K$5:$AJ$130,0,MATCH(F$2,Inputs!$K$4:$AJ$4,0))))+SUMPRODUCT((Inputs!$C$5:$C$130=$B22)*ISNUMBER(INDEX(Inputs!$K$5:$AJ$130,0,MATCH(F$2,Inputs!$K$4:$AJ$4,0))))+SUMPRODUCT((Inputs!$E$5:$E$130=$B22)*ISNUMBER(INDEX(Inputs!$K$5:$AJ$130,0,MATCH(F$2,Inputs!$K$4:$AJ$4,0))))=0,NA(),SUMPRODUCT((Inputs!$A$5:$A$130=$B22)*Inputs!$B$5:$B$130*(((Inputs!$G$5:$G$130="moeda")+(Inputs!$G$5:$G$130="acoes"))*Inputs!$B$1+((Inputs!$G$5:$G$130&lt;&gt;"moeda")*(Inputs!$G$5:$G$130&lt;&gt;"acoes")))*INDEX(Inputs!$K$5:$AJ$130,0,MATCH(F$2,Inputs!$K$4:$AJ$4,0)))+SUMPRODUCT((Inputs!$C$5:$C$130=$B22)*Inputs!$D$5:$D$130*(((Inputs!$G$5:$G$130="moeda")+(Inputs!$G$5:$G$130="acoes"))*Inputs!$B$1+((Inputs!$G$5:$G$130&lt;&gt;"moeda")*(Inputs!$G$5:$G$130&lt;&gt;"acoes")))*INDEX(Inputs!$K$5:$AJ$130,0,MATCH(F$2,Inputs!$K$4:$AJ$4,0)))+SUMPRODUCT((Inputs!$E$5:$E$130=$B22)*Inputs!$F$5:$F$130*(((Inputs!$G$5:$G$130="moeda")+(Inputs!$G$5:$G$130="acoes"))*Inputs!$B$1+((Inputs!$G$5:$G$130&lt;&gt;"moeda")*(Inputs!$G$5:$G$130&lt;&gt;"acoes")))*INDEX(Inputs!$K$5:$AJ$130,0,MATCH(F$2,Inputs!$K$4:$AJ$4,0)))))</f>
        <v>196261</v>
      </c>
      <c r="G22" s="265">
        <f>IF(ISNA(MATCH(G$2,Inputs!$K$4:$AJ$4,0)),NA(),IF(SUMPRODUCT((Inputs!$A$5:$A$130=$B22)*ISNUMBER(INDEX(Inputs!$K$5:$AJ$130,0,MATCH(G$2,Inputs!$K$4:$AJ$4,0))))+SUMPRODUCT((Inputs!$C$5:$C$130=$B22)*ISNUMBER(INDEX(Inputs!$K$5:$AJ$130,0,MATCH(G$2,Inputs!$K$4:$AJ$4,0))))+SUMPRODUCT((Inputs!$E$5:$E$130=$B22)*ISNUMBER(INDEX(Inputs!$K$5:$AJ$130,0,MATCH(G$2,Inputs!$K$4:$AJ$4,0))))=0,NA(),SUMPRODUCT((Inputs!$A$5:$A$130=$B22)*Inputs!$B$5:$B$130*(((Inputs!$G$5:$G$130="moeda")+(Inputs!$G$5:$G$130="acoes"))*Inputs!$B$1+((Inputs!$G$5:$G$130&lt;&gt;"moeda")*(Inputs!$G$5:$G$130&lt;&gt;"acoes")))*INDEX(Inputs!$K$5:$AJ$130,0,MATCH(G$2,Inputs!$K$4:$AJ$4,0)))+SUMPRODUCT((Inputs!$C$5:$C$130=$B22)*Inputs!$D$5:$D$130*(((Inputs!$G$5:$G$130="moeda")+(Inputs!$G$5:$G$130="acoes"))*Inputs!$B$1+((Inputs!$G$5:$G$130&lt;&gt;"moeda")*(Inputs!$G$5:$G$130&lt;&gt;"acoes")))*INDEX(Inputs!$K$5:$AJ$130,0,MATCH(G$2,Inputs!$K$4:$AJ$4,0)))+SUMPRODUCT((Inputs!$E$5:$E$130=$B22)*Inputs!$F$5:$F$130*(((Inputs!$G$5:$G$130="moeda")+(Inputs!$G$5:$G$130="acoes"))*Inputs!$B$1+((Inputs!$G$5:$G$130&lt;&gt;"moeda")*(Inputs!$G$5:$G$130&lt;&gt;"acoes")))*INDEX(Inputs!$K$5:$AJ$130,0,MATCH(G$2,Inputs!$K$4:$AJ$4,0)))))</f>
        <v>194932</v>
      </c>
      <c r="H22" s="266">
        <f>G22</f>
        <v>194932</v>
      </c>
      <c r="I22" s="265">
        <f>IF(ISNA(MATCH(I$2,Inputs!$K$4:$AJ$4,0)),NA(),IF(SUMPRODUCT((Inputs!$A$5:$A$130=$B22)*ISNUMBER(INDEX(Inputs!$K$5:$AJ$130,0,MATCH(I$2,Inputs!$K$4:$AJ$4,0))))+SUMPRODUCT((Inputs!$C$5:$C$130=$B22)*ISNUMBER(INDEX(Inputs!$K$5:$AJ$130,0,MATCH(I$2,Inputs!$K$4:$AJ$4,0))))+SUMPRODUCT((Inputs!$E$5:$E$130=$B22)*ISNUMBER(INDEX(Inputs!$K$5:$AJ$130,0,MATCH(I$2,Inputs!$K$4:$AJ$4,0))))=0,NA(),SUMPRODUCT((Inputs!$A$5:$A$130=$B22)*Inputs!$B$5:$B$130*(((Inputs!$G$5:$G$130="moeda")+(Inputs!$G$5:$G$130="acoes"))*Inputs!$B$1+((Inputs!$G$5:$G$130&lt;&gt;"moeda")*(Inputs!$G$5:$G$130&lt;&gt;"acoes")))*INDEX(Inputs!$K$5:$AJ$130,0,MATCH(I$2,Inputs!$K$4:$AJ$4,0)))+SUMPRODUCT((Inputs!$C$5:$C$130=$B22)*Inputs!$D$5:$D$130*(((Inputs!$G$5:$G$130="moeda")+(Inputs!$G$5:$G$130="acoes"))*Inputs!$B$1+((Inputs!$G$5:$G$130&lt;&gt;"moeda")*(Inputs!$G$5:$G$130&lt;&gt;"acoes")))*INDEX(Inputs!$K$5:$AJ$130,0,MATCH(I$2,Inputs!$K$4:$AJ$4,0)))+SUMPRODUCT((Inputs!$E$5:$E$130=$B22)*Inputs!$F$5:$F$130*(((Inputs!$G$5:$G$130="moeda")+(Inputs!$G$5:$G$130="acoes"))*Inputs!$B$1+((Inputs!$G$5:$G$130&lt;&gt;"moeda")*(Inputs!$G$5:$G$130&lt;&gt;"acoes")))*INDEX(Inputs!$K$5:$AJ$130,0,MATCH(I$2,Inputs!$K$4:$AJ$4,0)))))</f>
        <v>193301</v>
      </c>
      <c r="J22" s="265">
        <f>IF(ISNA(MATCH(J$2,Inputs!$K$4:$AJ$4,0)),NA(),IF(SUMPRODUCT((Inputs!$A$5:$A$130=$B22)*ISNUMBER(INDEX(Inputs!$K$5:$AJ$130,0,MATCH(J$2,Inputs!$K$4:$AJ$4,0))))+SUMPRODUCT((Inputs!$C$5:$C$130=$B22)*ISNUMBER(INDEX(Inputs!$K$5:$AJ$130,0,MATCH(J$2,Inputs!$K$4:$AJ$4,0))))+SUMPRODUCT((Inputs!$E$5:$E$130=$B22)*ISNUMBER(INDEX(Inputs!$K$5:$AJ$130,0,MATCH(J$2,Inputs!$K$4:$AJ$4,0))))=0,NA(),SUMPRODUCT((Inputs!$A$5:$A$130=$B22)*Inputs!$B$5:$B$130*(((Inputs!$G$5:$G$130="moeda")+(Inputs!$G$5:$G$130="acoes"))*Inputs!$B$1+((Inputs!$G$5:$G$130&lt;&gt;"moeda")*(Inputs!$G$5:$G$130&lt;&gt;"acoes")))*INDEX(Inputs!$K$5:$AJ$130,0,MATCH(J$2,Inputs!$K$4:$AJ$4,0)))+SUMPRODUCT((Inputs!$C$5:$C$130=$B22)*Inputs!$D$5:$D$130*(((Inputs!$G$5:$G$130="moeda")+(Inputs!$G$5:$G$130="acoes"))*Inputs!$B$1+((Inputs!$G$5:$G$130&lt;&gt;"moeda")*(Inputs!$G$5:$G$130&lt;&gt;"acoes")))*INDEX(Inputs!$K$5:$AJ$130,0,MATCH(J$2,Inputs!$K$4:$AJ$4,0)))+SUMPRODUCT((Inputs!$E$5:$E$130=$B22)*Inputs!$F$5:$F$130*(((Inputs!$G$5:$G$130="moeda")+(Inputs!$G$5:$G$130="acoes"))*Inputs!$B$1+((Inputs!$G$5:$G$130&lt;&gt;"moeda")*(Inputs!$G$5:$G$130&lt;&gt;"acoes")))*INDEX(Inputs!$K$5:$AJ$130,0,MATCH(J$2,Inputs!$K$4:$AJ$4,0)))))</f>
        <v>200122</v>
      </c>
      <c r="K22" s="265">
        <f>IF(ISNA(MATCH(K$2,Inputs!$K$4:$AJ$4,0)),NA(),IF(SUMPRODUCT((Inputs!$A$5:$A$130=$B22)*ISNUMBER(INDEX(Inputs!$K$5:$AJ$130,0,MATCH(K$2,Inputs!$K$4:$AJ$4,0))))+SUMPRODUCT((Inputs!$C$5:$C$130=$B22)*ISNUMBER(INDEX(Inputs!$K$5:$AJ$130,0,MATCH(K$2,Inputs!$K$4:$AJ$4,0))))+SUMPRODUCT((Inputs!$E$5:$E$130=$B22)*ISNUMBER(INDEX(Inputs!$K$5:$AJ$130,0,MATCH(K$2,Inputs!$K$4:$AJ$4,0))))=0,NA(),SUMPRODUCT((Inputs!$A$5:$A$130=$B22)*Inputs!$B$5:$B$130*(((Inputs!$G$5:$G$130="moeda")+(Inputs!$G$5:$G$130="acoes"))*Inputs!$B$1+((Inputs!$G$5:$G$130&lt;&gt;"moeda")*(Inputs!$G$5:$G$130&lt;&gt;"acoes")))*INDEX(Inputs!$K$5:$AJ$130,0,MATCH(K$2,Inputs!$K$4:$AJ$4,0)))+SUMPRODUCT((Inputs!$C$5:$C$130=$B22)*Inputs!$D$5:$D$130*(((Inputs!$G$5:$G$130="moeda")+(Inputs!$G$5:$G$130="acoes"))*Inputs!$B$1+((Inputs!$G$5:$G$130&lt;&gt;"moeda")*(Inputs!$G$5:$G$130&lt;&gt;"acoes")))*INDEX(Inputs!$K$5:$AJ$130,0,MATCH(K$2,Inputs!$K$4:$AJ$4,0)))+SUMPRODUCT((Inputs!$E$5:$E$130=$B22)*Inputs!$F$5:$F$130*(((Inputs!$G$5:$G$130="moeda")+(Inputs!$G$5:$G$130="acoes"))*Inputs!$B$1+((Inputs!$G$5:$G$130&lt;&gt;"moeda")*(Inputs!$G$5:$G$130&lt;&gt;"acoes")))*INDEX(Inputs!$K$5:$AJ$130,0,MATCH(K$2,Inputs!$K$4:$AJ$4,0)))))</f>
        <v>193681</v>
      </c>
      <c r="L22" s="265">
        <f>IF(ISNA(MATCH(L$2,Inputs!$K$4:$AJ$4,0)),NA(),IF(SUMPRODUCT((Inputs!$A$5:$A$130=$B22)*ISNUMBER(INDEX(Inputs!$K$5:$AJ$130,0,MATCH(L$2,Inputs!$K$4:$AJ$4,0))))+SUMPRODUCT((Inputs!$C$5:$C$130=$B22)*ISNUMBER(INDEX(Inputs!$K$5:$AJ$130,0,MATCH(L$2,Inputs!$K$4:$AJ$4,0))))+SUMPRODUCT((Inputs!$E$5:$E$130=$B22)*ISNUMBER(INDEX(Inputs!$K$5:$AJ$130,0,MATCH(L$2,Inputs!$K$4:$AJ$4,0))))=0,NA(),SUMPRODUCT((Inputs!$A$5:$A$130=$B22)*Inputs!$B$5:$B$130*(((Inputs!$G$5:$G$130="moeda")+(Inputs!$G$5:$G$130="acoes"))*Inputs!$B$1+((Inputs!$G$5:$G$130&lt;&gt;"moeda")*(Inputs!$G$5:$G$130&lt;&gt;"acoes")))*INDEX(Inputs!$K$5:$AJ$130,0,MATCH(L$2,Inputs!$K$4:$AJ$4,0)))+SUMPRODUCT((Inputs!$C$5:$C$130=$B22)*Inputs!$D$5:$D$130*(((Inputs!$G$5:$G$130="moeda")+(Inputs!$G$5:$G$130="acoes"))*Inputs!$B$1+((Inputs!$G$5:$G$130&lt;&gt;"moeda")*(Inputs!$G$5:$G$130&lt;&gt;"acoes")))*INDEX(Inputs!$K$5:$AJ$130,0,MATCH(L$2,Inputs!$K$4:$AJ$4,0)))+SUMPRODUCT((Inputs!$E$5:$E$130=$B22)*Inputs!$F$5:$F$130*(((Inputs!$G$5:$G$130="moeda")+(Inputs!$G$5:$G$130="acoes"))*Inputs!$B$1+((Inputs!$G$5:$G$130&lt;&gt;"moeda")*(Inputs!$G$5:$G$130&lt;&gt;"acoes")))*INDEX(Inputs!$K$5:$AJ$130,0,MATCH(L$2,Inputs!$K$4:$AJ$4,0)))))</f>
        <v>198642</v>
      </c>
      <c r="M22" s="266">
        <f>L22</f>
        <v>198642</v>
      </c>
      <c r="N22" s="265">
        <f>IF(ISNA(MATCH(N$2,Inputs!$K$4:$AJ$4,0)),NA(),IF(SUMPRODUCT((Inputs!$A$5:$A$130=$B22)*ISNUMBER(INDEX(Inputs!$K$5:$AJ$130,0,MATCH(N$2,Inputs!$K$4:$AJ$4,0))))+SUMPRODUCT((Inputs!$C$5:$C$130=$B22)*ISNUMBER(INDEX(Inputs!$K$5:$AJ$130,0,MATCH(N$2,Inputs!$K$4:$AJ$4,0))))+SUMPRODUCT((Inputs!$E$5:$E$130=$B22)*ISNUMBER(INDEX(Inputs!$K$5:$AJ$130,0,MATCH(N$2,Inputs!$K$4:$AJ$4,0))))=0,NA(),SUMPRODUCT((Inputs!$A$5:$A$130=$B22)*Inputs!$B$5:$B$130*(((Inputs!$G$5:$G$130="moeda")+(Inputs!$G$5:$G$130="acoes"))*Inputs!$B$1+((Inputs!$G$5:$G$130&lt;&gt;"moeda")*(Inputs!$G$5:$G$130&lt;&gt;"acoes")))*INDEX(Inputs!$K$5:$AJ$130,0,MATCH(N$2,Inputs!$K$4:$AJ$4,0)))+SUMPRODUCT((Inputs!$C$5:$C$130=$B22)*Inputs!$D$5:$D$130*(((Inputs!$G$5:$G$130="moeda")+(Inputs!$G$5:$G$130="acoes"))*Inputs!$B$1+((Inputs!$G$5:$G$130&lt;&gt;"moeda")*(Inputs!$G$5:$G$130&lt;&gt;"acoes")))*INDEX(Inputs!$K$5:$AJ$130,0,MATCH(N$2,Inputs!$K$4:$AJ$4,0)))+SUMPRODUCT((Inputs!$E$5:$E$130=$B22)*Inputs!$F$5:$F$130*(((Inputs!$G$5:$G$130="moeda")+(Inputs!$G$5:$G$130="acoes"))*Inputs!$B$1+((Inputs!$G$5:$G$130&lt;&gt;"moeda")*(Inputs!$G$5:$G$130&lt;&gt;"acoes")))*INDEX(Inputs!$K$5:$AJ$130,0,MATCH(N$2,Inputs!$K$4:$AJ$4,0)))))</f>
        <v>199209</v>
      </c>
      <c r="O22" s="265">
        <f>IF(ISNA(MATCH(O$2,Inputs!$K$4:$AJ$4,0)),NA(),IF(SUMPRODUCT((Inputs!$A$5:$A$130=$B22)*ISNUMBER(INDEX(Inputs!$K$5:$AJ$130,0,MATCH(O$2,Inputs!$K$4:$AJ$4,0))))+SUMPRODUCT((Inputs!$C$5:$C$130=$B22)*ISNUMBER(INDEX(Inputs!$K$5:$AJ$130,0,MATCH(O$2,Inputs!$K$4:$AJ$4,0))))+SUMPRODUCT((Inputs!$E$5:$E$130=$B22)*ISNUMBER(INDEX(Inputs!$K$5:$AJ$130,0,MATCH(O$2,Inputs!$K$4:$AJ$4,0))))=0,NA(),SUMPRODUCT((Inputs!$A$5:$A$130=$B22)*Inputs!$B$5:$B$130*(((Inputs!$G$5:$G$130="moeda")+(Inputs!$G$5:$G$130="acoes"))*Inputs!$B$1+((Inputs!$G$5:$G$130&lt;&gt;"moeda")*(Inputs!$G$5:$G$130&lt;&gt;"acoes")))*INDEX(Inputs!$K$5:$AJ$130,0,MATCH(O$2,Inputs!$K$4:$AJ$4,0)))+SUMPRODUCT((Inputs!$C$5:$C$130=$B22)*Inputs!$D$5:$D$130*(((Inputs!$G$5:$G$130="moeda")+(Inputs!$G$5:$G$130="acoes"))*Inputs!$B$1+((Inputs!$G$5:$G$130&lt;&gt;"moeda")*(Inputs!$G$5:$G$130&lt;&gt;"acoes")))*INDEX(Inputs!$K$5:$AJ$130,0,MATCH(O$2,Inputs!$K$4:$AJ$4,0)))+SUMPRODUCT((Inputs!$E$5:$E$130=$B22)*Inputs!$F$5:$F$130*(((Inputs!$G$5:$G$130="moeda")+(Inputs!$G$5:$G$130="acoes"))*Inputs!$B$1+((Inputs!$G$5:$G$130&lt;&gt;"moeda")*(Inputs!$G$5:$G$130&lt;&gt;"acoes")))*INDEX(Inputs!$K$5:$AJ$130,0,MATCH(O$2,Inputs!$K$4:$AJ$4,0)))))</f>
        <v>197177</v>
      </c>
      <c r="P22" s="265">
        <f>IF(ISNA(MATCH(P$2,Inputs!$K$4:$AJ$4,0)),NA(),IF(SUMPRODUCT((Inputs!$A$5:$A$130=$B22)*ISNUMBER(INDEX(Inputs!$K$5:$AJ$130,0,MATCH(P$2,Inputs!$K$4:$AJ$4,0))))+SUMPRODUCT((Inputs!$C$5:$C$130=$B22)*ISNUMBER(INDEX(Inputs!$K$5:$AJ$130,0,MATCH(P$2,Inputs!$K$4:$AJ$4,0))))+SUMPRODUCT((Inputs!$E$5:$E$130=$B22)*ISNUMBER(INDEX(Inputs!$K$5:$AJ$130,0,MATCH(P$2,Inputs!$K$4:$AJ$4,0))))=0,NA(),SUMPRODUCT((Inputs!$A$5:$A$130=$B22)*Inputs!$B$5:$B$130*(((Inputs!$G$5:$G$130="moeda")+(Inputs!$G$5:$G$130="acoes"))*Inputs!$B$1+((Inputs!$G$5:$G$130&lt;&gt;"moeda")*(Inputs!$G$5:$G$130&lt;&gt;"acoes")))*INDEX(Inputs!$K$5:$AJ$130,0,MATCH(P$2,Inputs!$K$4:$AJ$4,0)))+SUMPRODUCT((Inputs!$C$5:$C$130=$B22)*Inputs!$D$5:$D$130*(((Inputs!$G$5:$G$130="moeda")+(Inputs!$G$5:$G$130="acoes"))*Inputs!$B$1+((Inputs!$G$5:$G$130&lt;&gt;"moeda")*(Inputs!$G$5:$G$130&lt;&gt;"acoes")))*INDEX(Inputs!$K$5:$AJ$130,0,MATCH(P$2,Inputs!$K$4:$AJ$4,0)))+SUMPRODUCT((Inputs!$E$5:$E$130=$B22)*Inputs!$F$5:$F$130*(((Inputs!$G$5:$G$130="moeda")+(Inputs!$G$5:$G$130="acoes"))*Inputs!$B$1+((Inputs!$G$5:$G$130&lt;&gt;"moeda")*(Inputs!$G$5:$G$130&lt;&gt;"acoes")))*INDEX(Inputs!$K$5:$AJ$130,0,MATCH(P$2,Inputs!$K$4:$AJ$4,0)))))</f>
        <v>197043</v>
      </c>
      <c r="Q22" s="265">
        <f>IF(ISNA(MATCH(Q$2,Inputs!$K$4:$AJ$4,0)),NA(),IF(SUMPRODUCT((Inputs!$A$5:$A$130=$B22)*ISNUMBER(INDEX(Inputs!$K$5:$AJ$130,0,MATCH(Q$2,Inputs!$K$4:$AJ$4,0))))+SUMPRODUCT((Inputs!$C$5:$C$130=$B22)*ISNUMBER(INDEX(Inputs!$K$5:$AJ$130,0,MATCH(Q$2,Inputs!$K$4:$AJ$4,0))))+SUMPRODUCT((Inputs!$E$5:$E$130=$B22)*ISNUMBER(INDEX(Inputs!$K$5:$AJ$130,0,MATCH(Q$2,Inputs!$K$4:$AJ$4,0))))=0,NA(),SUMPRODUCT((Inputs!$A$5:$A$130=$B22)*Inputs!$B$5:$B$130*(((Inputs!$G$5:$G$130="moeda")+(Inputs!$G$5:$G$130="acoes"))*Inputs!$B$1+((Inputs!$G$5:$G$130&lt;&gt;"moeda")*(Inputs!$G$5:$G$130&lt;&gt;"acoes")))*INDEX(Inputs!$K$5:$AJ$130,0,MATCH(Q$2,Inputs!$K$4:$AJ$4,0)))+SUMPRODUCT((Inputs!$C$5:$C$130=$B22)*Inputs!$D$5:$D$130*(((Inputs!$G$5:$G$130="moeda")+(Inputs!$G$5:$G$130="acoes"))*Inputs!$B$1+((Inputs!$G$5:$G$130&lt;&gt;"moeda")*(Inputs!$G$5:$G$130&lt;&gt;"acoes")))*INDEX(Inputs!$K$5:$AJ$130,0,MATCH(Q$2,Inputs!$K$4:$AJ$4,0)))+SUMPRODUCT((Inputs!$E$5:$E$130=$B22)*Inputs!$F$5:$F$130*(((Inputs!$G$5:$G$130="moeda")+(Inputs!$G$5:$G$130="acoes"))*Inputs!$B$1+((Inputs!$G$5:$G$130&lt;&gt;"moeda")*(Inputs!$G$5:$G$130&lt;&gt;"acoes")))*INDEX(Inputs!$K$5:$AJ$130,0,MATCH(Q$2,Inputs!$K$4:$AJ$4,0)))))</f>
        <v>194835</v>
      </c>
      <c r="R22" s="266">
        <f>Q22</f>
        <v>194835</v>
      </c>
      <c r="S22" s="265">
        <f>IF(ISNA(MATCH(S$2,Inputs!$K$4:$AJ$4,0)),NA(),IF(SUMPRODUCT((Inputs!$A$5:$A$130=$B22)*ISNUMBER(INDEX(Inputs!$K$5:$AJ$130,0,MATCH(S$2,Inputs!$K$4:$AJ$4,0))))+SUMPRODUCT((Inputs!$C$5:$C$130=$B22)*ISNUMBER(INDEX(Inputs!$K$5:$AJ$130,0,MATCH(S$2,Inputs!$K$4:$AJ$4,0))))+SUMPRODUCT((Inputs!$E$5:$E$130=$B22)*ISNUMBER(INDEX(Inputs!$K$5:$AJ$130,0,MATCH(S$2,Inputs!$K$4:$AJ$4,0))))=0,NA(),SUMPRODUCT((Inputs!$A$5:$A$130=$B22)*Inputs!$B$5:$B$130*(((Inputs!$G$5:$G$130="moeda")+(Inputs!$G$5:$G$130="acoes"))*Inputs!$B$1+((Inputs!$G$5:$G$130&lt;&gt;"moeda")*(Inputs!$G$5:$G$130&lt;&gt;"acoes")))*INDEX(Inputs!$K$5:$AJ$130,0,MATCH(S$2,Inputs!$K$4:$AJ$4,0)))+SUMPRODUCT((Inputs!$C$5:$C$130=$B22)*Inputs!$D$5:$D$130*(((Inputs!$G$5:$G$130="moeda")+(Inputs!$G$5:$G$130="acoes"))*Inputs!$B$1+((Inputs!$G$5:$G$130&lt;&gt;"moeda")*(Inputs!$G$5:$G$130&lt;&gt;"acoes")))*INDEX(Inputs!$K$5:$AJ$130,0,MATCH(S$2,Inputs!$K$4:$AJ$4,0)))+SUMPRODUCT((Inputs!$E$5:$E$130=$B22)*Inputs!$F$5:$F$130*(((Inputs!$G$5:$G$130="moeda")+(Inputs!$G$5:$G$130="acoes"))*Inputs!$B$1+((Inputs!$G$5:$G$130&lt;&gt;"moeda")*(Inputs!$G$5:$G$130&lt;&gt;"acoes")))*INDEX(Inputs!$K$5:$AJ$130,0,MATCH(S$2,Inputs!$K$4:$AJ$4,0)))))</f>
        <v>191952</v>
      </c>
      <c r="T22" s="265">
        <f>IF(ISNA(MATCH(T$2,Inputs!$K$4:$AJ$4,0)),NA(),IF(SUMPRODUCT((Inputs!$A$5:$A$130=$B22)*ISNUMBER(INDEX(Inputs!$K$5:$AJ$130,0,MATCH(T$2,Inputs!$K$4:$AJ$4,0))))+SUMPRODUCT((Inputs!$C$5:$C$130=$B22)*ISNUMBER(INDEX(Inputs!$K$5:$AJ$130,0,MATCH(T$2,Inputs!$K$4:$AJ$4,0))))+SUMPRODUCT((Inputs!$E$5:$E$130=$B22)*ISNUMBER(INDEX(Inputs!$K$5:$AJ$130,0,MATCH(T$2,Inputs!$K$4:$AJ$4,0))))=0,NA(),SUMPRODUCT((Inputs!$A$5:$A$130=$B22)*Inputs!$B$5:$B$130*(((Inputs!$G$5:$G$130="moeda")+(Inputs!$G$5:$G$130="acoes"))*Inputs!$B$1+((Inputs!$G$5:$G$130&lt;&gt;"moeda")*(Inputs!$G$5:$G$130&lt;&gt;"acoes")))*INDEX(Inputs!$K$5:$AJ$130,0,MATCH(T$2,Inputs!$K$4:$AJ$4,0)))+SUMPRODUCT((Inputs!$C$5:$C$130=$B22)*Inputs!$D$5:$D$130*(((Inputs!$G$5:$G$130="moeda")+(Inputs!$G$5:$G$130="acoes"))*Inputs!$B$1+((Inputs!$G$5:$G$130&lt;&gt;"moeda")*(Inputs!$G$5:$G$130&lt;&gt;"acoes")))*INDEX(Inputs!$K$5:$AJ$130,0,MATCH(T$2,Inputs!$K$4:$AJ$4,0)))+SUMPRODUCT((Inputs!$E$5:$E$130=$B22)*Inputs!$F$5:$F$130*(((Inputs!$G$5:$G$130="moeda")+(Inputs!$G$5:$G$130="acoes"))*Inputs!$B$1+((Inputs!$G$5:$G$130&lt;&gt;"moeda")*(Inputs!$G$5:$G$130&lt;&gt;"acoes")))*INDEX(Inputs!$K$5:$AJ$130,0,MATCH(T$2,Inputs!$K$4:$AJ$4,0)))))</f>
        <v>189656</v>
      </c>
      <c r="U22" s="265">
        <f>IF(ISNA(MATCH(U$2,Inputs!$K$4:$AJ$4,0)),NA(),IF(SUMPRODUCT((Inputs!$A$5:$A$130=$B22)*ISNUMBER(INDEX(Inputs!$K$5:$AJ$130,0,MATCH(U$2,Inputs!$K$4:$AJ$4,0))))+SUMPRODUCT((Inputs!$C$5:$C$130=$B22)*ISNUMBER(INDEX(Inputs!$K$5:$AJ$130,0,MATCH(U$2,Inputs!$K$4:$AJ$4,0))))+SUMPRODUCT((Inputs!$E$5:$E$130=$B22)*ISNUMBER(INDEX(Inputs!$K$5:$AJ$130,0,MATCH(U$2,Inputs!$K$4:$AJ$4,0))))=0,NA(),SUMPRODUCT((Inputs!$A$5:$A$130=$B22)*Inputs!$B$5:$B$130*(((Inputs!$G$5:$G$130="moeda")+(Inputs!$G$5:$G$130="acoes"))*Inputs!$B$1+((Inputs!$G$5:$G$130&lt;&gt;"moeda")*(Inputs!$G$5:$G$130&lt;&gt;"acoes")))*INDEX(Inputs!$K$5:$AJ$130,0,MATCH(U$2,Inputs!$K$4:$AJ$4,0)))+SUMPRODUCT((Inputs!$C$5:$C$130=$B22)*Inputs!$D$5:$D$130*(((Inputs!$G$5:$G$130="moeda")+(Inputs!$G$5:$G$130="acoes"))*Inputs!$B$1+((Inputs!$G$5:$G$130&lt;&gt;"moeda")*(Inputs!$G$5:$G$130&lt;&gt;"acoes")))*INDEX(Inputs!$K$5:$AJ$130,0,MATCH(U$2,Inputs!$K$4:$AJ$4,0)))+SUMPRODUCT((Inputs!$E$5:$E$130=$B22)*Inputs!$F$5:$F$130*(((Inputs!$G$5:$G$130="moeda")+(Inputs!$G$5:$G$130="acoes"))*Inputs!$B$1+((Inputs!$G$5:$G$130&lt;&gt;"moeda")*(Inputs!$G$5:$G$130&lt;&gt;"acoes")))*INDEX(Inputs!$K$5:$AJ$130,0,MATCH(U$2,Inputs!$K$4:$AJ$4,0)))))</f>
        <v>191721</v>
      </c>
      <c r="V22" s="265">
        <f>IF(ISNA(MATCH(V$2,Inputs!$K$4:$AJ$4,0)),NA(),IF(SUMPRODUCT((Inputs!$A$5:$A$130=$B22)*ISNUMBER(INDEX(Inputs!$K$5:$AJ$130,0,MATCH(V$2,Inputs!$K$4:$AJ$4,0))))+SUMPRODUCT((Inputs!$C$5:$C$130=$B22)*ISNUMBER(INDEX(Inputs!$K$5:$AJ$130,0,MATCH(V$2,Inputs!$K$4:$AJ$4,0))))+SUMPRODUCT((Inputs!$E$5:$E$130=$B22)*ISNUMBER(INDEX(Inputs!$K$5:$AJ$130,0,MATCH(V$2,Inputs!$K$4:$AJ$4,0))))=0,NA(),SUMPRODUCT((Inputs!$A$5:$A$130=$B22)*Inputs!$B$5:$B$130*(((Inputs!$G$5:$G$130="moeda")+(Inputs!$G$5:$G$130="acoes"))*Inputs!$B$1+((Inputs!$G$5:$G$130&lt;&gt;"moeda")*(Inputs!$G$5:$G$130&lt;&gt;"acoes")))*INDEX(Inputs!$K$5:$AJ$130,0,MATCH(V$2,Inputs!$K$4:$AJ$4,0)))+SUMPRODUCT((Inputs!$C$5:$C$130=$B22)*Inputs!$D$5:$D$130*(((Inputs!$G$5:$G$130="moeda")+(Inputs!$G$5:$G$130="acoes"))*Inputs!$B$1+((Inputs!$G$5:$G$130&lt;&gt;"moeda")*(Inputs!$G$5:$G$130&lt;&gt;"acoes")))*INDEX(Inputs!$K$5:$AJ$130,0,MATCH(V$2,Inputs!$K$4:$AJ$4,0)))+SUMPRODUCT((Inputs!$E$5:$E$130=$B22)*Inputs!$F$5:$F$130*(((Inputs!$G$5:$G$130="moeda")+(Inputs!$G$5:$G$130="acoes"))*Inputs!$B$1+((Inputs!$G$5:$G$130&lt;&gt;"moeda")*(Inputs!$G$5:$G$130&lt;&gt;"acoes")))*INDEX(Inputs!$K$5:$AJ$130,0,MATCH(V$2,Inputs!$K$4:$AJ$4,0)))))</f>
        <v>185219</v>
      </c>
      <c r="W22" s="266">
        <f>V22</f>
        <v>185219</v>
      </c>
      <c r="X22" s="265">
        <f>IF(ISNA(MATCH(X$2,Inputs!$K$4:$AJ$4,0)),NA(),IF(SUMPRODUCT((Inputs!$A$5:$A$130=$B22)*ISNUMBER(INDEX(Inputs!$K$5:$AJ$130,0,MATCH(X$2,Inputs!$K$4:$AJ$4,0))))+SUMPRODUCT((Inputs!$C$5:$C$130=$B22)*ISNUMBER(INDEX(Inputs!$K$5:$AJ$130,0,MATCH(X$2,Inputs!$K$4:$AJ$4,0))))+SUMPRODUCT((Inputs!$E$5:$E$130=$B22)*ISNUMBER(INDEX(Inputs!$K$5:$AJ$130,0,MATCH(X$2,Inputs!$K$4:$AJ$4,0))))=0,NA(),SUMPRODUCT((Inputs!$A$5:$A$130=$B22)*Inputs!$B$5:$B$130*(((Inputs!$G$5:$G$130="moeda")+(Inputs!$G$5:$G$130="acoes"))*Inputs!$B$1+((Inputs!$G$5:$G$130&lt;&gt;"moeda")*(Inputs!$G$5:$G$130&lt;&gt;"acoes")))*INDEX(Inputs!$K$5:$AJ$130,0,MATCH(X$2,Inputs!$K$4:$AJ$4,0)))+SUMPRODUCT((Inputs!$C$5:$C$130=$B22)*Inputs!$D$5:$D$130*(((Inputs!$G$5:$G$130="moeda")+(Inputs!$G$5:$G$130="acoes"))*Inputs!$B$1+((Inputs!$G$5:$G$130&lt;&gt;"moeda")*(Inputs!$G$5:$G$130&lt;&gt;"acoes")))*INDEX(Inputs!$K$5:$AJ$130,0,MATCH(X$2,Inputs!$K$4:$AJ$4,0)))+SUMPRODUCT((Inputs!$E$5:$E$130=$B22)*Inputs!$F$5:$F$130*(((Inputs!$G$5:$G$130="moeda")+(Inputs!$G$5:$G$130="acoes"))*Inputs!$B$1+((Inputs!$G$5:$G$130&lt;&gt;"moeda")*(Inputs!$G$5:$G$130&lt;&gt;"acoes")))*INDEX(Inputs!$K$5:$AJ$130,0,MATCH(X$2,Inputs!$K$4:$AJ$4,0)))))</f>
        <v>183712</v>
      </c>
      <c r="Y22" s="265">
        <f>IF(ISNA(MATCH(Y$2,Inputs!$K$4:$AJ$4,0)),NA(),IF(SUMPRODUCT((Inputs!$A$5:$A$130=$B22)*ISNUMBER(INDEX(Inputs!$K$5:$AJ$130,0,MATCH(Y$2,Inputs!$K$4:$AJ$4,0))))+SUMPRODUCT((Inputs!$C$5:$C$130=$B22)*ISNUMBER(INDEX(Inputs!$K$5:$AJ$130,0,MATCH(Y$2,Inputs!$K$4:$AJ$4,0))))+SUMPRODUCT((Inputs!$E$5:$E$130=$B22)*ISNUMBER(INDEX(Inputs!$K$5:$AJ$130,0,MATCH(Y$2,Inputs!$K$4:$AJ$4,0))))=0,NA(),SUMPRODUCT((Inputs!$A$5:$A$130=$B22)*Inputs!$B$5:$B$130*(((Inputs!$G$5:$G$130="moeda")+(Inputs!$G$5:$G$130="acoes"))*Inputs!$B$1+((Inputs!$G$5:$G$130&lt;&gt;"moeda")*(Inputs!$G$5:$G$130&lt;&gt;"acoes")))*INDEX(Inputs!$K$5:$AJ$130,0,MATCH(Y$2,Inputs!$K$4:$AJ$4,0)))+SUMPRODUCT((Inputs!$C$5:$C$130=$B22)*Inputs!$D$5:$D$130*(((Inputs!$G$5:$G$130="moeda")+(Inputs!$G$5:$G$130="acoes"))*Inputs!$B$1+((Inputs!$G$5:$G$130&lt;&gt;"moeda")*(Inputs!$G$5:$G$130&lt;&gt;"acoes")))*INDEX(Inputs!$K$5:$AJ$130,0,MATCH(Y$2,Inputs!$K$4:$AJ$4,0)))+SUMPRODUCT((Inputs!$E$5:$E$130=$B22)*Inputs!$F$5:$F$130*(((Inputs!$G$5:$G$130="moeda")+(Inputs!$G$5:$G$130="acoes"))*Inputs!$B$1+((Inputs!$G$5:$G$130&lt;&gt;"moeda")*(Inputs!$G$5:$G$130&lt;&gt;"acoes")))*INDEX(Inputs!$K$5:$AJ$130,0,MATCH(Y$2,Inputs!$K$4:$AJ$4,0)))))</f>
        <v>186461</v>
      </c>
      <c r="Z22" s="265">
        <f>IF(ISNA(MATCH(Z$2,Inputs!$K$4:$AJ$4,0)),NA(),IF(SUMPRODUCT((Inputs!$A$5:$A$130=$B22)*ISNUMBER(INDEX(Inputs!$K$5:$AJ$130,0,MATCH(Z$2,Inputs!$K$4:$AJ$4,0))))+SUMPRODUCT((Inputs!$C$5:$C$130=$B22)*ISNUMBER(INDEX(Inputs!$K$5:$AJ$130,0,MATCH(Z$2,Inputs!$K$4:$AJ$4,0))))+SUMPRODUCT((Inputs!$E$5:$E$130=$B22)*ISNUMBER(INDEX(Inputs!$K$5:$AJ$130,0,MATCH(Z$2,Inputs!$K$4:$AJ$4,0))))=0,NA(),SUMPRODUCT((Inputs!$A$5:$A$130=$B22)*Inputs!$B$5:$B$130*(((Inputs!$G$5:$G$130="moeda")+(Inputs!$G$5:$G$130="acoes"))*Inputs!$B$1+((Inputs!$G$5:$G$130&lt;&gt;"moeda")*(Inputs!$G$5:$G$130&lt;&gt;"acoes")))*INDEX(Inputs!$K$5:$AJ$130,0,MATCH(Z$2,Inputs!$K$4:$AJ$4,0)))+SUMPRODUCT((Inputs!$C$5:$C$130=$B22)*Inputs!$D$5:$D$130*(((Inputs!$G$5:$G$130="moeda")+(Inputs!$G$5:$G$130="acoes"))*Inputs!$B$1+((Inputs!$G$5:$G$130&lt;&gt;"moeda")*(Inputs!$G$5:$G$130&lt;&gt;"acoes")))*INDEX(Inputs!$K$5:$AJ$130,0,MATCH(Z$2,Inputs!$K$4:$AJ$4,0)))+SUMPRODUCT((Inputs!$E$5:$E$130=$B22)*Inputs!$F$5:$F$130*(((Inputs!$G$5:$G$130="moeda")+(Inputs!$G$5:$G$130="acoes"))*Inputs!$B$1+((Inputs!$G$5:$G$130&lt;&gt;"moeda")*(Inputs!$G$5:$G$130&lt;&gt;"acoes")))*INDEX(Inputs!$K$5:$AJ$130,0,MATCH(Z$2,Inputs!$K$4:$AJ$4,0)))))</f>
        <v>183907</v>
      </c>
      <c r="AA22" s="265">
        <f>IF(ISNA(MATCH(AA$2,Inputs!$K$4:$AJ$4,0)),NA(),IF(SUMPRODUCT((Inputs!$A$5:$A$130=$B22)*ISNUMBER(INDEX(Inputs!$K$5:$AJ$130,0,MATCH(AA$2,Inputs!$K$4:$AJ$4,0))))+SUMPRODUCT((Inputs!$C$5:$C$130=$B22)*ISNUMBER(INDEX(Inputs!$K$5:$AJ$130,0,MATCH(AA$2,Inputs!$K$4:$AJ$4,0))))+SUMPRODUCT((Inputs!$E$5:$E$130=$B22)*ISNUMBER(INDEX(Inputs!$K$5:$AJ$130,0,MATCH(AA$2,Inputs!$K$4:$AJ$4,0))))=0,NA(),SUMPRODUCT((Inputs!$A$5:$A$130=$B22)*Inputs!$B$5:$B$130*(((Inputs!$G$5:$G$130="moeda")+(Inputs!$G$5:$G$130="acoes"))*Inputs!$B$1+((Inputs!$G$5:$G$130&lt;&gt;"moeda")*(Inputs!$G$5:$G$130&lt;&gt;"acoes")))*INDEX(Inputs!$K$5:$AJ$130,0,MATCH(AA$2,Inputs!$K$4:$AJ$4,0)))+SUMPRODUCT((Inputs!$C$5:$C$130=$B22)*Inputs!$D$5:$D$130*(((Inputs!$G$5:$G$130="moeda")+(Inputs!$G$5:$G$130="acoes"))*Inputs!$B$1+((Inputs!$G$5:$G$130&lt;&gt;"moeda")*(Inputs!$G$5:$G$130&lt;&gt;"acoes")))*INDEX(Inputs!$K$5:$AJ$130,0,MATCH(AA$2,Inputs!$K$4:$AJ$4,0)))+SUMPRODUCT((Inputs!$E$5:$E$130=$B22)*Inputs!$F$5:$F$130*(((Inputs!$G$5:$G$130="moeda")+(Inputs!$G$5:$G$130="acoes"))*Inputs!$B$1+((Inputs!$G$5:$G$130&lt;&gt;"moeda")*(Inputs!$G$5:$G$130&lt;&gt;"acoes")))*INDEX(Inputs!$K$5:$AJ$130,0,MATCH(AA$2,Inputs!$K$4:$AJ$4,0)))))</f>
        <v>185077</v>
      </c>
      <c r="AB22" s="266">
        <f>AA22</f>
        <v>185077</v>
      </c>
      <c r="AC22" s="265">
        <f>IF(ISNA(MATCH(AC$2,Inputs!$K$4:$AJ$4,0)),NA(),IF(SUMPRODUCT((Inputs!$A$5:$A$130=$B22)*ISNUMBER(INDEX(Inputs!$K$5:$AJ$130,0,MATCH(AC$2,Inputs!$K$4:$AJ$4,0))))+SUMPRODUCT((Inputs!$C$5:$C$130=$B22)*ISNUMBER(INDEX(Inputs!$K$5:$AJ$130,0,MATCH(AC$2,Inputs!$K$4:$AJ$4,0))))+SUMPRODUCT((Inputs!$E$5:$E$130=$B22)*ISNUMBER(INDEX(Inputs!$K$5:$AJ$130,0,MATCH(AC$2,Inputs!$K$4:$AJ$4,0))))=0,NA(),SUMPRODUCT((Inputs!$A$5:$A$130=$B22)*Inputs!$B$5:$B$130*(((Inputs!$G$5:$G$130="moeda")+(Inputs!$G$5:$G$130="acoes"))*Inputs!$B$1+((Inputs!$G$5:$G$130&lt;&gt;"moeda")*(Inputs!$G$5:$G$130&lt;&gt;"acoes")))*INDEX(Inputs!$K$5:$AJ$130,0,MATCH(AC$2,Inputs!$K$4:$AJ$4,0)))+SUMPRODUCT((Inputs!$C$5:$C$130=$B22)*Inputs!$D$5:$D$130*(((Inputs!$G$5:$G$130="moeda")+(Inputs!$G$5:$G$130="acoes"))*Inputs!$B$1+((Inputs!$G$5:$G$130&lt;&gt;"moeda")*(Inputs!$G$5:$G$130&lt;&gt;"acoes")))*INDEX(Inputs!$K$5:$AJ$130,0,MATCH(AC$2,Inputs!$K$4:$AJ$4,0)))+SUMPRODUCT((Inputs!$E$5:$E$130=$B22)*Inputs!$F$5:$F$130*(((Inputs!$G$5:$G$130="moeda")+(Inputs!$G$5:$G$130="acoes"))*Inputs!$B$1+((Inputs!$G$5:$G$130&lt;&gt;"moeda")*(Inputs!$G$5:$G$130&lt;&gt;"acoes")))*INDEX(Inputs!$K$5:$AJ$130,0,MATCH(AC$2,Inputs!$K$4:$AJ$4,0)))))</f>
        <v>185708</v>
      </c>
      <c r="AD22" s="265">
        <f>IF(ISNA(MATCH(AD$2,Inputs!$K$4:$AJ$4,0)),NA(),IF(SUMPRODUCT((Inputs!$A$5:$A$130=$B22)*ISNUMBER(INDEX(Inputs!$K$5:$AJ$130,0,MATCH(AD$2,Inputs!$K$4:$AJ$4,0))))+SUMPRODUCT((Inputs!$C$5:$C$130=$B22)*ISNUMBER(INDEX(Inputs!$K$5:$AJ$130,0,MATCH(AD$2,Inputs!$K$4:$AJ$4,0))))+SUMPRODUCT((Inputs!$E$5:$E$130=$B22)*ISNUMBER(INDEX(Inputs!$K$5:$AJ$130,0,MATCH(AD$2,Inputs!$K$4:$AJ$4,0))))=0,NA(),SUMPRODUCT((Inputs!$A$5:$A$130=$B22)*Inputs!$B$5:$B$130*(((Inputs!$G$5:$G$130="moeda")+(Inputs!$G$5:$G$130="acoes"))*Inputs!$B$1+((Inputs!$G$5:$G$130&lt;&gt;"moeda")*(Inputs!$G$5:$G$130&lt;&gt;"acoes")))*INDEX(Inputs!$K$5:$AJ$130,0,MATCH(AD$2,Inputs!$K$4:$AJ$4,0)))+SUMPRODUCT((Inputs!$C$5:$C$130=$B22)*Inputs!$D$5:$D$130*(((Inputs!$G$5:$G$130="moeda")+(Inputs!$G$5:$G$130="acoes"))*Inputs!$B$1+((Inputs!$G$5:$G$130&lt;&gt;"moeda")*(Inputs!$G$5:$G$130&lt;&gt;"acoes")))*INDEX(Inputs!$K$5:$AJ$130,0,MATCH(AD$2,Inputs!$K$4:$AJ$4,0)))+SUMPRODUCT((Inputs!$E$5:$E$130=$B22)*Inputs!$F$5:$F$130*(((Inputs!$G$5:$G$130="moeda")+(Inputs!$G$5:$G$130="acoes"))*Inputs!$B$1+((Inputs!$G$5:$G$130&lt;&gt;"moeda")*(Inputs!$G$5:$G$130&lt;&gt;"acoes")))*INDEX(Inputs!$K$5:$AJ$130,0,MATCH(AD$2,Inputs!$K$4:$AJ$4,0)))))</f>
        <v>182300</v>
      </c>
      <c r="AE22" s="265" t="e">
        <f>IF(ISNA(MATCH(AE$2,Inputs!$K$4:$AJ$4,0)),NA(),IF(SUMPRODUCT((Inputs!$A$5:$A$130=$B22)*ISNUMBER(INDEX(Inputs!$K$5:$AJ$130,0,MATCH(AE$2,Inputs!$K$4:$AJ$4,0))))+SUMPRODUCT((Inputs!$C$5:$C$130=$B22)*ISNUMBER(INDEX(Inputs!$K$5:$AJ$130,0,MATCH(AE$2,Inputs!$K$4:$AJ$4,0))))+SUMPRODUCT((Inputs!$E$5:$E$130=$B22)*ISNUMBER(INDEX(Inputs!$K$5:$AJ$130,0,MATCH(AE$2,Inputs!$K$4:$AJ$4,0))))=0,NA(),SUMPRODUCT((Inputs!$A$5:$A$130=$B22)*Inputs!$B$5:$B$130*(((Inputs!$G$5:$G$130="moeda")+(Inputs!$G$5:$G$130="acoes"))*Inputs!$B$1+((Inputs!$G$5:$G$130&lt;&gt;"moeda")*(Inputs!$G$5:$G$130&lt;&gt;"acoes")))*INDEX(Inputs!$K$5:$AJ$130,0,MATCH(AE$2,Inputs!$K$4:$AJ$4,0)))+SUMPRODUCT((Inputs!$C$5:$C$130=$B22)*Inputs!$D$5:$D$130*(((Inputs!$G$5:$G$130="moeda")+(Inputs!$G$5:$G$130="acoes"))*Inputs!$B$1+((Inputs!$G$5:$G$130&lt;&gt;"moeda")*(Inputs!$G$5:$G$130&lt;&gt;"acoes")))*INDEX(Inputs!$K$5:$AJ$130,0,MATCH(AE$2,Inputs!$K$4:$AJ$4,0)))+SUMPRODUCT((Inputs!$E$5:$E$130=$B22)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2" s="265" t="e">
        <f>IF(ISNA(MATCH(AF$2,Inputs!$K$4:$AJ$4,0)),NA(),IF(SUMPRODUCT((Inputs!$A$5:$A$130=$B22)*ISNUMBER(INDEX(Inputs!$K$5:$AJ$130,0,MATCH(AF$2,Inputs!$K$4:$AJ$4,0))))+SUMPRODUCT((Inputs!$C$5:$C$130=$B22)*ISNUMBER(INDEX(Inputs!$K$5:$AJ$130,0,MATCH(AF$2,Inputs!$K$4:$AJ$4,0))))+SUMPRODUCT((Inputs!$E$5:$E$130=$B22)*ISNUMBER(INDEX(Inputs!$K$5:$AJ$130,0,MATCH(AF$2,Inputs!$K$4:$AJ$4,0))))=0,NA(),SUMPRODUCT((Inputs!$A$5:$A$130=$B22)*Inputs!$B$5:$B$130*(((Inputs!$G$5:$G$130="moeda")+(Inputs!$G$5:$G$130="acoes"))*Inputs!$B$1+((Inputs!$G$5:$G$130&lt;&gt;"moeda")*(Inputs!$G$5:$G$130&lt;&gt;"acoes")))*INDEX(Inputs!$K$5:$AJ$130,0,MATCH(AF$2,Inputs!$K$4:$AJ$4,0)))+SUMPRODUCT((Inputs!$C$5:$C$130=$B22)*Inputs!$D$5:$D$130*(((Inputs!$G$5:$G$130="moeda")+(Inputs!$G$5:$G$130="acoes"))*Inputs!$B$1+((Inputs!$G$5:$G$130&lt;&gt;"moeda")*(Inputs!$G$5:$G$130&lt;&gt;"acoes")))*INDEX(Inputs!$K$5:$AJ$130,0,MATCH(AF$2,Inputs!$K$4:$AJ$4,0)))+SUMPRODUCT((Inputs!$E$5:$E$130=$B22)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2" s="266" t="e">
        <f>AF22</f>
        <v>#N/A</v>
      </c>
      <c r="AH22" s="265" t="e">
        <f>IF(ISNA(MATCH(AH$2,Inputs!$K$4:$AJ$4,0)),NA(),IF(SUMPRODUCT((Inputs!$A$5:$A$130=$B22)*ISNUMBER(INDEX(Inputs!$K$5:$AJ$130,0,MATCH(AH$2,Inputs!$K$4:$AJ$4,0))))+SUMPRODUCT((Inputs!$C$5:$C$130=$B22)*ISNUMBER(INDEX(Inputs!$K$5:$AJ$130,0,MATCH(AH$2,Inputs!$K$4:$AJ$4,0))))+SUMPRODUCT((Inputs!$E$5:$E$130=$B22)*ISNUMBER(INDEX(Inputs!$K$5:$AJ$130,0,MATCH(AH$2,Inputs!$K$4:$AJ$4,0))))=0,NA(),SUMPRODUCT((Inputs!$A$5:$A$130=$B22)*Inputs!$B$5:$B$130*(((Inputs!$G$5:$G$130="moeda")+(Inputs!$G$5:$G$130="acoes"))*Inputs!$B$1+((Inputs!$G$5:$G$130&lt;&gt;"moeda")*(Inputs!$G$5:$G$130&lt;&gt;"acoes")))*INDEX(Inputs!$K$5:$AJ$130,0,MATCH(AH$2,Inputs!$K$4:$AJ$4,0)))+SUMPRODUCT((Inputs!$C$5:$C$130=$B22)*Inputs!$D$5:$D$130*(((Inputs!$G$5:$G$130="moeda")+(Inputs!$G$5:$G$130="acoes"))*Inputs!$B$1+((Inputs!$G$5:$G$130&lt;&gt;"moeda")*(Inputs!$G$5:$G$130&lt;&gt;"acoes")))*INDEX(Inputs!$K$5:$AJ$130,0,MATCH(AH$2,Inputs!$K$4:$AJ$4,0)))+SUMPRODUCT((Inputs!$E$5:$E$130=$B22)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22" s="265" t="e">
        <f>IF(ISNA(MATCH(AI$2,Inputs!$K$4:$AJ$4,0)),NA(),IF(SUMPRODUCT((Inputs!$A$5:$A$130=$B22)*ISNUMBER(INDEX(Inputs!$K$5:$AJ$130,0,MATCH(AI$2,Inputs!$K$4:$AJ$4,0))))+SUMPRODUCT((Inputs!$C$5:$C$130=$B22)*ISNUMBER(INDEX(Inputs!$K$5:$AJ$130,0,MATCH(AI$2,Inputs!$K$4:$AJ$4,0))))+SUMPRODUCT((Inputs!$E$5:$E$130=$B22)*ISNUMBER(INDEX(Inputs!$K$5:$AJ$130,0,MATCH(AI$2,Inputs!$K$4:$AJ$4,0))))=0,NA(),SUMPRODUCT((Inputs!$A$5:$A$130=$B22)*Inputs!$B$5:$B$130*(((Inputs!$G$5:$G$130="moeda")+(Inputs!$G$5:$G$130="acoes"))*Inputs!$B$1+((Inputs!$G$5:$G$130&lt;&gt;"moeda")*(Inputs!$G$5:$G$130&lt;&gt;"acoes")))*INDEX(Inputs!$K$5:$AJ$130,0,MATCH(AI$2,Inputs!$K$4:$AJ$4,0)))+SUMPRODUCT((Inputs!$C$5:$C$130=$B22)*Inputs!$D$5:$D$130*(((Inputs!$G$5:$G$130="moeda")+(Inputs!$G$5:$G$130="acoes"))*Inputs!$B$1+((Inputs!$G$5:$G$130&lt;&gt;"moeda")*(Inputs!$G$5:$G$130&lt;&gt;"acoes")))*INDEX(Inputs!$K$5:$AJ$130,0,MATCH(AI$2,Inputs!$K$4:$AJ$4,0)))+SUMPRODUCT((Inputs!$E$5:$E$130=$B22)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22" s="265" t="e">
        <f>IF(ISNA(MATCH(AJ$2,Inputs!$K$4:$AJ$4,0)),NA(),IF(SUMPRODUCT((Inputs!$A$5:$A$130=$B22)*ISNUMBER(INDEX(Inputs!$K$5:$AJ$130,0,MATCH(AJ$2,Inputs!$K$4:$AJ$4,0))))+SUMPRODUCT((Inputs!$C$5:$C$130=$B22)*ISNUMBER(INDEX(Inputs!$K$5:$AJ$130,0,MATCH(AJ$2,Inputs!$K$4:$AJ$4,0))))+SUMPRODUCT((Inputs!$E$5:$E$130=$B22)*ISNUMBER(INDEX(Inputs!$K$5:$AJ$130,0,MATCH(AJ$2,Inputs!$K$4:$AJ$4,0))))=0,NA(),SUMPRODUCT((Inputs!$A$5:$A$130=$B22)*Inputs!$B$5:$B$130*(((Inputs!$G$5:$G$130="moeda")+(Inputs!$G$5:$G$130="acoes"))*Inputs!$B$1+((Inputs!$G$5:$G$130&lt;&gt;"moeda")*(Inputs!$G$5:$G$130&lt;&gt;"acoes")))*INDEX(Inputs!$K$5:$AJ$130,0,MATCH(AJ$2,Inputs!$K$4:$AJ$4,0)))+SUMPRODUCT((Inputs!$C$5:$C$130=$B22)*Inputs!$D$5:$D$130*(((Inputs!$G$5:$G$130="moeda")+(Inputs!$G$5:$G$130="acoes"))*Inputs!$B$1+((Inputs!$G$5:$G$130&lt;&gt;"moeda")*(Inputs!$G$5:$G$130&lt;&gt;"acoes")))*INDEX(Inputs!$K$5:$AJ$130,0,MATCH(AJ$2,Inputs!$K$4:$AJ$4,0)))+SUMPRODUCT((Inputs!$E$5:$E$130=$B22)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22" s="265" t="e">
        <f>IF(ISNA(MATCH(AK$2,Inputs!$K$4:$AJ$4,0)),NA(),IF(SUMPRODUCT((Inputs!$A$5:$A$130=$B22)*ISNUMBER(INDEX(Inputs!$K$5:$AJ$130,0,MATCH(AK$2,Inputs!$K$4:$AJ$4,0))))+SUMPRODUCT((Inputs!$C$5:$C$130=$B22)*ISNUMBER(INDEX(Inputs!$K$5:$AJ$130,0,MATCH(AK$2,Inputs!$K$4:$AJ$4,0))))+SUMPRODUCT((Inputs!$E$5:$E$130=$B22)*ISNUMBER(INDEX(Inputs!$K$5:$AJ$130,0,MATCH(AK$2,Inputs!$K$4:$AJ$4,0))))=0,NA(),SUMPRODUCT((Inputs!$A$5:$A$130=$B22)*Inputs!$B$5:$B$130*(((Inputs!$G$5:$G$130="moeda")+(Inputs!$G$5:$G$130="acoes"))*Inputs!$B$1+((Inputs!$G$5:$G$130&lt;&gt;"moeda")*(Inputs!$G$5:$G$130&lt;&gt;"acoes")))*INDEX(Inputs!$K$5:$AJ$130,0,MATCH(AK$2,Inputs!$K$4:$AJ$4,0)))+SUMPRODUCT((Inputs!$C$5:$C$130=$B22)*Inputs!$D$5:$D$130*(((Inputs!$G$5:$G$130="moeda")+(Inputs!$G$5:$G$130="acoes"))*Inputs!$B$1+((Inputs!$G$5:$G$130&lt;&gt;"moeda")*(Inputs!$G$5:$G$130&lt;&gt;"acoes")))*INDEX(Inputs!$K$5:$AJ$130,0,MATCH(AK$2,Inputs!$K$4:$AJ$4,0)))+SUMPRODUCT((Inputs!$E$5:$E$130=$B22)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22" s="266" t="e">
        <f>AK22</f>
        <v>#N/A</v>
      </c>
    </row>
    <row r="23" ht="12.75" customHeight="1" s="254">
      <c r="B23" s="263" t="n">
        <v>19</v>
      </c>
      <c r="C23" s="268" t="inlineStr">
        <is>
          <t>Right-of-use-assets</t>
        </is>
      </c>
      <c r="D23" s="265" t="e">
        <f>IF(ISNA(MATCH(D$2,Inputs!$K$4:$AJ$4,0)),NA(),IF(SUMPRODUCT((Inputs!$A$5:$A$130=$B23)*ISNUMBER(INDEX(Inputs!$K$5:$AJ$130,0,MATCH(D$2,Inputs!$K$4:$AJ$4,0))))+SUMPRODUCT((Inputs!$C$5:$C$130=$B23)*ISNUMBER(INDEX(Inputs!$K$5:$AJ$130,0,MATCH(D$2,Inputs!$K$4:$AJ$4,0))))+SUMPRODUCT((Inputs!$E$5:$E$130=$B23)*ISNUMBER(INDEX(Inputs!$K$5:$AJ$130,0,MATCH(D$2,Inputs!$K$4:$AJ$4,0))))=0,NA(),SUMPRODUCT((Inputs!$A$5:$A$130=$B23)*Inputs!$B$5:$B$130*(((Inputs!$G$5:$G$130="moeda")+(Inputs!$G$5:$G$130="acoes"))*Inputs!$B$1+((Inputs!$G$5:$G$130&lt;&gt;"moeda")*(Inputs!$G$5:$G$130&lt;&gt;"acoes")))*INDEX(Inputs!$K$5:$AJ$130,0,MATCH(D$2,Inputs!$K$4:$AJ$4,0)))+SUMPRODUCT((Inputs!$C$5:$C$130=$B23)*Inputs!$D$5:$D$130*(((Inputs!$G$5:$G$130="moeda")+(Inputs!$G$5:$G$130="acoes"))*Inputs!$B$1+((Inputs!$G$5:$G$130&lt;&gt;"moeda")*(Inputs!$G$5:$G$130&lt;&gt;"acoes")))*INDEX(Inputs!$K$5:$AJ$130,0,MATCH(D$2,Inputs!$K$4:$AJ$4,0)))+SUMPRODUCT((Inputs!$E$5:$E$130=$B23)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23" s="265" t="e">
        <f>IF(ISNA(MATCH(E$2,Inputs!$K$4:$AJ$4,0)),NA(),IF(SUMPRODUCT((Inputs!$A$5:$A$130=$B23)*ISNUMBER(INDEX(Inputs!$K$5:$AJ$130,0,MATCH(E$2,Inputs!$K$4:$AJ$4,0))))+SUMPRODUCT((Inputs!$C$5:$C$130=$B23)*ISNUMBER(INDEX(Inputs!$K$5:$AJ$130,0,MATCH(E$2,Inputs!$K$4:$AJ$4,0))))+SUMPRODUCT((Inputs!$E$5:$E$130=$B23)*ISNUMBER(INDEX(Inputs!$K$5:$AJ$130,0,MATCH(E$2,Inputs!$K$4:$AJ$4,0))))=0,NA(),SUMPRODUCT((Inputs!$A$5:$A$130=$B23)*Inputs!$B$5:$B$130*(((Inputs!$G$5:$G$130="moeda")+(Inputs!$G$5:$G$130="acoes"))*Inputs!$B$1+((Inputs!$G$5:$G$130&lt;&gt;"moeda")*(Inputs!$G$5:$G$130&lt;&gt;"acoes")))*INDEX(Inputs!$K$5:$AJ$130,0,MATCH(E$2,Inputs!$K$4:$AJ$4,0)))+SUMPRODUCT((Inputs!$C$5:$C$130=$B23)*Inputs!$D$5:$D$130*(((Inputs!$G$5:$G$130="moeda")+(Inputs!$G$5:$G$130="acoes"))*Inputs!$B$1+((Inputs!$G$5:$G$130&lt;&gt;"moeda")*(Inputs!$G$5:$G$130&lt;&gt;"acoes")))*INDEX(Inputs!$K$5:$AJ$130,0,MATCH(E$2,Inputs!$K$4:$AJ$4,0)))+SUMPRODUCT((Inputs!$E$5:$E$130=$B23)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23" s="265" t="e">
        <f>IF(ISNA(MATCH(F$2,Inputs!$K$4:$AJ$4,0)),NA(),IF(SUMPRODUCT((Inputs!$A$5:$A$130=$B23)*ISNUMBER(INDEX(Inputs!$K$5:$AJ$130,0,MATCH(F$2,Inputs!$K$4:$AJ$4,0))))+SUMPRODUCT((Inputs!$C$5:$C$130=$B23)*ISNUMBER(INDEX(Inputs!$K$5:$AJ$130,0,MATCH(F$2,Inputs!$K$4:$AJ$4,0))))+SUMPRODUCT((Inputs!$E$5:$E$130=$B23)*ISNUMBER(INDEX(Inputs!$K$5:$AJ$130,0,MATCH(F$2,Inputs!$K$4:$AJ$4,0))))=0,NA(),SUMPRODUCT((Inputs!$A$5:$A$130=$B23)*Inputs!$B$5:$B$130*(((Inputs!$G$5:$G$130="moeda")+(Inputs!$G$5:$G$130="acoes"))*Inputs!$B$1+((Inputs!$G$5:$G$130&lt;&gt;"moeda")*(Inputs!$G$5:$G$130&lt;&gt;"acoes")))*INDEX(Inputs!$K$5:$AJ$130,0,MATCH(F$2,Inputs!$K$4:$AJ$4,0)))+SUMPRODUCT((Inputs!$C$5:$C$130=$B23)*Inputs!$D$5:$D$130*(((Inputs!$G$5:$G$130="moeda")+(Inputs!$G$5:$G$130="acoes"))*Inputs!$B$1+((Inputs!$G$5:$G$130&lt;&gt;"moeda")*(Inputs!$G$5:$G$130&lt;&gt;"acoes")))*INDEX(Inputs!$K$5:$AJ$130,0,MATCH(F$2,Inputs!$K$4:$AJ$4,0)))+SUMPRODUCT((Inputs!$E$5:$E$130=$B23)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23" s="265" t="e">
        <f>IF(ISNA(MATCH(G$2,Inputs!$K$4:$AJ$4,0)),NA(),IF(SUMPRODUCT((Inputs!$A$5:$A$130=$B23)*ISNUMBER(INDEX(Inputs!$K$5:$AJ$130,0,MATCH(G$2,Inputs!$K$4:$AJ$4,0))))+SUMPRODUCT((Inputs!$C$5:$C$130=$B23)*ISNUMBER(INDEX(Inputs!$K$5:$AJ$130,0,MATCH(G$2,Inputs!$K$4:$AJ$4,0))))+SUMPRODUCT((Inputs!$E$5:$E$130=$B23)*ISNUMBER(INDEX(Inputs!$K$5:$AJ$130,0,MATCH(G$2,Inputs!$K$4:$AJ$4,0))))=0,NA(),SUMPRODUCT((Inputs!$A$5:$A$130=$B23)*Inputs!$B$5:$B$130*(((Inputs!$G$5:$G$130="moeda")+(Inputs!$G$5:$G$130="acoes"))*Inputs!$B$1+((Inputs!$G$5:$G$130&lt;&gt;"moeda")*(Inputs!$G$5:$G$130&lt;&gt;"acoes")))*INDEX(Inputs!$K$5:$AJ$130,0,MATCH(G$2,Inputs!$K$4:$AJ$4,0)))+SUMPRODUCT((Inputs!$C$5:$C$130=$B23)*Inputs!$D$5:$D$130*(((Inputs!$G$5:$G$130="moeda")+(Inputs!$G$5:$G$130="acoes"))*Inputs!$B$1+((Inputs!$G$5:$G$130&lt;&gt;"moeda")*(Inputs!$G$5:$G$130&lt;&gt;"acoes")))*INDEX(Inputs!$K$5:$AJ$130,0,MATCH(G$2,Inputs!$K$4:$AJ$4,0)))+SUMPRODUCT((Inputs!$E$5:$E$130=$B23)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23" s="266" t="e">
        <f>G23</f>
        <v>#N/A</v>
      </c>
      <c r="I23" s="265" t="e">
        <f>IF(ISNA(MATCH(I$2,Inputs!$K$4:$AJ$4,0)),NA(),IF(SUMPRODUCT((Inputs!$A$5:$A$130=$B23)*ISNUMBER(INDEX(Inputs!$K$5:$AJ$130,0,MATCH(I$2,Inputs!$K$4:$AJ$4,0))))+SUMPRODUCT((Inputs!$C$5:$C$130=$B23)*ISNUMBER(INDEX(Inputs!$K$5:$AJ$130,0,MATCH(I$2,Inputs!$K$4:$AJ$4,0))))+SUMPRODUCT((Inputs!$E$5:$E$130=$B23)*ISNUMBER(INDEX(Inputs!$K$5:$AJ$130,0,MATCH(I$2,Inputs!$K$4:$AJ$4,0))))=0,NA(),SUMPRODUCT((Inputs!$A$5:$A$130=$B23)*Inputs!$B$5:$B$130*(((Inputs!$G$5:$G$130="moeda")+(Inputs!$G$5:$G$130="acoes"))*Inputs!$B$1+((Inputs!$G$5:$G$130&lt;&gt;"moeda")*(Inputs!$G$5:$G$130&lt;&gt;"acoes")))*INDEX(Inputs!$K$5:$AJ$130,0,MATCH(I$2,Inputs!$K$4:$AJ$4,0)))+SUMPRODUCT((Inputs!$C$5:$C$130=$B23)*Inputs!$D$5:$D$130*(((Inputs!$G$5:$G$130="moeda")+(Inputs!$G$5:$G$130="acoes"))*Inputs!$B$1+((Inputs!$G$5:$G$130&lt;&gt;"moeda")*(Inputs!$G$5:$G$130&lt;&gt;"acoes")))*INDEX(Inputs!$K$5:$AJ$130,0,MATCH(I$2,Inputs!$K$4:$AJ$4,0)))+SUMPRODUCT((Inputs!$E$5:$E$130=$B23)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23" s="265" t="e">
        <f>IF(ISNA(MATCH(J$2,Inputs!$K$4:$AJ$4,0)),NA(),IF(SUMPRODUCT((Inputs!$A$5:$A$130=$B23)*ISNUMBER(INDEX(Inputs!$K$5:$AJ$130,0,MATCH(J$2,Inputs!$K$4:$AJ$4,0))))+SUMPRODUCT((Inputs!$C$5:$C$130=$B23)*ISNUMBER(INDEX(Inputs!$K$5:$AJ$130,0,MATCH(J$2,Inputs!$K$4:$AJ$4,0))))+SUMPRODUCT((Inputs!$E$5:$E$130=$B23)*ISNUMBER(INDEX(Inputs!$K$5:$AJ$130,0,MATCH(J$2,Inputs!$K$4:$AJ$4,0))))=0,NA(),SUMPRODUCT((Inputs!$A$5:$A$130=$B23)*Inputs!$B$5:$B$130*(((Inputs!$G$5:$G$130="moeda")+(Inputs!$G$5:$G$130="acoes"))*Inputs!$B$1+((Inputs!$G$5:$G$130&lt;&gt;"moeda")*(Inputs!$G$5:$G$130&lt;&gt;"acoes")))*INDEX(Inputs!$K$5:$AJ$130,0,MATCH(J$2,Inputs!$K$4:$AJ$4,0)))+SUMPRODUCT((Inputs!$C$5:$C$130=$B23)*Inputs!$D$5:$D$130*(((Inputs!$G$5:$G$130="moeda")+(Inputs!$G$5:$G$130="acoes"))*Inputs!$B$1+((Inputs!$G$5:$G$130&lt;&gt;"moeda")*(Inputs!$G$5:$G$130&lt;&gt;"acoes")))*INDEX(Inputs!$K$5:$AJ$130,0,MATCH(J$2,Inputs!$K$4:$AJ$4,0)))+SUMPRODUCT((Inputs!$E$5:$E$130=$B23)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23" s="265" t="e">
        <f>IF(ISNA(MATCH(K$2,Inputs!$K$4:$AJ$4,0)),NA(),IF(SUMPRODUCT((Inputs!$A$5:$A$130=$B23)*ISNUMBER(INDEX(Inputs!$K$5:$AJ$130,0,MATCH(K$2,Inputs!$K$4:$AJ$4,0))))+SUMPRODUCT((Inputs!$C$5:$C$130=$B23)*ISNUMBER(INDEX(Inputs!$K$5:$AJ$130,0,MATCH(K$2,Inputs!$K$4:$AJ$4,0))))+SUMPRODUCT((Inputs!$E$5:$E$130=$B23)*ISNUMBER(INDEX(Inputs!$K$5:$AJ$130,0,MATCH(K$2,Inputs!$K$4:$AJ$4,0))))=0,NA(),SUMPRODUCT((Inputs!$A$5:$A$130=$B23)*Inputs!$B$5:$B$130*(((Inputs!$G$5:$G$130="moeda")+(Inputs!$G$5:$G$130="acoes"))*Inputs!$B$1+((Inputs!$G$5:$G$130&lt;&gt;"moeda")*(Inputs!$G$5:$G$130&lt;&gt;"acoes")))*INDEX(Inputs!$K$5:$AJ$130,0,MATCH(K$2,Inputs!$K$4:$AJ$4,0)))+SUMPRODUCT((Inputs!$C$5:$C$130=$B23)*Inputs!$D$5:$D$130*(((Inputs!$G$5:$G$130="moeda")+(Inputs!$G$5:$G$130="acoes"))*Inputs!$B$1+((Inputs!$G$5:$G$130&lt;&gt;"moeda")*(Inputs!$G$5:$G$130&lt;&gt;"acoes")))*INDEX(Inputs!$K$5:$AJ$130,0,MATCH(K$2,Inputs!$K$4:$AJ$4,0)))+SUMPRODUCT((Inputs!$E$5:$E$130=$B23)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23" s="265" t="e">
        <f>IF(ISNA(MATCH(L$2,Inputs!$K$4:$AJ$4,0)),NA(),IF(SUMPRODUCT((Inputs!$A$5:$A$130=$B23)*ISNUMBER(INDEX(Inputs!$K$5:$AJ$130,0,MATCH(L$2,Inputs!$K$4:$AJ$4,0))))+SUMPRODUCT((Inputs!$C$5:$C$130=$B23)*ISNUMBER(INDEX(Inputs!$K$5:$AJ$130,0,MATCH(L$2,Inputs!$K$4:$AJ$4,0))))+SUMPRODUCT((Inputs!$E$5:$E$130=$B23)*ISNUMBER(INDEX(Inputs!$K$5:$AJ$130,0,MATCH(L$2,Inputs!$K$4:$AJ$4,0))))=0,NA(),SUMPRODUCT((Inputs!$A$5:$A$130=$B23)*Inputs!$B$5:$B$130*(((Inputs!$G$5:$G$130="moeda")+(Inputs!$G$5:$G$130="acoes"))*Inputs!$B$1+((Inputs!$G$5:$G$130&lt;&gt;"moeda")*(Inputs!$G$5:$G$130&lt;&gt;"acoes")))*INDEX(Inputs!$K$5:$AJ$130,0,MATCH(L$2,Inputs!$K$4:$AJ$4,0)))+SUMPRODUCT((Inputs!$C$5:$C$130=$B23)*Inputs!$D$5:$D$130*(((Inputs!$G$5:$G$130="moeda")+(Inputs!$G$5:$G$130="acoes"))*Inputs!$B$1+((Inputs!$G$5:$G$130&lt;&gt;"moeda")*(Inputs!$G$5:$G$130&lt;&gt;"acoes")))*INDEX(Inputs!$K$5:$AJ$130,0,MATCH(L$2,Inputs!$K$4:$AJ$4,0)))+SUMPRODUCT((Inputs!$E$5:$E$130=$B23)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23" s="266" t="e">
        <f>L23</f>
        <v>#N/A</v>
      </c>
      <c r="N23" s="265" t="e">
        <f>IF(ISNA(MATCH(N$2,Inputs!$K$4:$AJ$4,0)),NA(),IF(SUMPRODUCT((Inputs!$A$5:$A$130=$B23)*ISNUMBER(INDEX(Inputs!$K$5:$AJ$130,0,MATCH(N$2,Inputs!$K$4:$AJ$4,0))))+SUMPRODUCT((Inputs!$C$5:$C$130=$B23)*ISNUMBER(INDEX(Inputs!$K$5:$AJ$130,0,MATCH(N$2,Inputs!$K$4:$AJ$4,0))))+SUMPRODUCT((Inputs!$E$5:$E$130=$B23)*ISNUMBER(INDEX(Inputs!$K$5:$AJ$130,0,MATCH(N$2,Inputs!$K$4:$AJ$4,0))))=0,NA(),SUMPRODUCT((Inputs!$A$5:$A$130=$B23)*Inputs!$B$5:$B$130*(((Inputs!$G$5:$G$130="moeda")+(Inputs!$G$5:$G$130="acoes"))*Inputs!$B$1+((Inputs!$G$5:$G$130&lt;&gt;"moeda")*(Inputs!$G$5:$G$130&lt;&gt;"acoes")))*INDEX(Inputs!$K$5:$AJ$130,0,MATCH(N$2,Inputs!$K$4:$AJ$4,0)))+SUMPRODUCT((Inputs!$C$5:$C$130=$B23)*Inputs!$D$5:$D$130*(((Inputs!$G$5:$G$130="moeda")+(Inputs!$G$5:$G$130="acoes"))*Inputs!$B$1+((Inputs!$G$5:$G$130&lt;&gt;"moeda")*(Inputs!$G$5:$G$130&lt;&gt;"acoes")))*INDEX(Inputs!$K$5:$AJ$130,0,MATCH(N$2,Inputs!$K$4:$AJ$4,0)))+SUMPRODUCT((Inputs!$E$5:$E$130=$B23)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23" s="265" t="e">
        <f>IF(ISNA(MATCH(O$2,Inputs!$K$4:$AJ$4,0)),NA(),IF(SUMPRODUCT((Inputs!$A$5:$A$130=$B23)*ISNUMBER(INDEX(Inputs!$K$5:$AJ$130,0,MATCH(O$2,Inputs!$K$4:$AJ$4,0))))+SUMPRODUCT((Inputs!$C$5:$C$130=$B23)*ISNUMBER(INDEX(Inputs!$K$5:$AJ$130,0,MATCH(O$2,Inputs!$K$4:$AJ$4,0))))+SUMPRODUCT((Inputs!$E$5:$E$130=$B23)*ISNUMBER(INDEX(Inputs!$K$5:$AJ$130,0,MATCH(O$2,Inputs!$K$4:$AJ$4,0))))=0,NA(),SUMPRODUCT((Inputs!$A$5:$A$130=$B23)*Inputs!$B$5:$B$130*(((Inputs!$G$5:$G$130="moeda")+(Inputs!$G$5:$G$130="acoes"))*Inputs!$B$1+((Inputs!$G$5:$G$130&lt;&gt;"moeda")*(Inputs!$G$5:$G$130&lt;&gt;"acoes")))*INDEX(Inputs!$K$5:$AJ$130,0,MATCH(O$2,Inputs!$K$4:$AJ$4,0)))+SUMPRODUCT((Inputs!$C$5:$C$130=$B23)*Inputs!$D$5:$D$130*(((Inputs!$G$5:$G$130="moeda")+(Inputs!$G$5:$G$130="acoes"))*Inputs!$B$1+((Inputs!$G$5:$G$130&lt;&gt;"moeda")*(Inputs!$G$5:$G$130&lt;&gt;"acoes")))*INDEX(Inputs!$K$5:$AJ$130,0,MATCH(O$2,Inputs!$K$4:$AJ$4,0)))+SUMPRODUCT((Inputs!$E$5:$E$130=$B23)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23" s="265" t="e">
        <f>IF(ISNA(MATCH(P$2,Inputs!$K$4:$AJ$4,0)),NA(),IF(SUMPRODUCT((Inputs!$A$5:$A$130=$B23)*ISNUMBER(INDEX(Inputs!$K$5:$AJ$130,0,MATCH(P$2,Inputs!$K$4:$AJ$4,0))))+SUMPRODUCT((Inputs!$C$5:$C$130=$B23)*ISNUMBER(INDEX(Inputs!$K$5:$AJ$130,0,MATCH(P$2,Inputs!$K$4:$AJ$4,0))))+SUMPRODUCT((Inputs!$E$5:$E$130=$B23)*ISNUMBER(INDEX(Inputs!$K$5:$AJ$130,0,MATCH(P$2,Inputs!$K$4:$AJ$4,0))))=0,NA(),SUMPRODUCT((Inputs!$A$5:$A$130=$B23)*Inputs!$B$5:$B$130*(((Inputs!$G$5:$G$130="moeda")+(Inputs!$G$5:$G$130="acoes"))*Inputs!$B$1+((Inputs!$G$5:$G$130&lt;&gt;"moeda")*(Inputs!$G$5:$G$130&lt;&gt;"acoes")))*INDEX(Inputs!$K$5:$AJ$130,0,MATCH(P$2,Inputs!$K$4:$AJ$4,0)))+SUMPRODUCT((Inputs!$C$5:$C$130=$B23)*Inputs!$D$5:$D$130*(((Inputs!$G$5:$G$130="moeda")+(Inputs!$G$5:$G$130="acoes"))*Inputs!$B$1+((Inputs!$G$5:$G$130&lt;&gt;"moeda")*(Inputs!$G$5:$G$130&lt;&gt;"acoes")))*INDEX(Inputs!$K$5:$AJ$130,0,MATCH(P$2,Inputs!$K$4:$AJ$4,0)))+SUMPRODUCT((Inputs!$E$5:$E$130=$B23)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23" s="265" t="e">
        <f>IF(ISNA(MATCH(Q$2,Inputs!$K$4:$AJ$4,0)),NA(),IF(SUMPRODUCT((Inputs!$A$5:$A$130=$B23)*ISNUMBER(INDEX(Inputs!$K$5:$AJ$130,0,MATCH(Q$2,Inputs!$K$4:$AJ$4,0))))+SUMPRODUCT((Inputs!$C$5:$C$130=$B23)*ISNUMBER(INDEX(Inputs!$K$5:$AJ$130,0,MATCH(Q$2,Inputs!$K$4:$AJ$4,0))))+SUMPRODUCT((Inputs!$E$5:$E$130=$B23)*ISNUMBER(INDEX(Inputs!$K$5:$AJ$130,0,MATCH(Q$2,Inputs!$K$4:$AJ$4,0))))=0,NA(),SUMPRODUCT((Inputs!$A$5:$A$130=$B23)*Inputs!$B$5:$B$130*(((Inputs!$G$5:$G$130="moeda")+(Inputs!$G$5:$G$130="acoes"))*Inputs!$B$1+((Inputs!$G$5:$G$130&lt;&gt;"moeda")*(Inputs!$G$5:$G$130&lt;&gt;"acoes")))*INDEX(Inputs!$K$5:$AJ$130,0,MATCH(Q$2,Inputs!$K$4:$AJ$4,0)))+SUMPRODUCT((Inputs!$C$5:$C$130=$B23)*Inputs!$D$5:$D$130*(((Inputs!$G$5:$G$130="moeda")+(Inputs!$G$5:$G$130="acoes"))*Inputs!$B$1+((Inputs!$G$5:$G$130&lt;&gt;"moeda")*(Inputs!$G$5:$G$130&lt;&gt;"acoes")))*INDEX(Inputs!$K$5:$AJ$130,0,MATCH(Q$2,Inputs!$K$4:$AJ$4,0)))+SUMPRODUCT((Inputs!$E$5:$E$130=$B23)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23" s="266" t="e">
        <f>Q23</f>
        <v>#N/A</v>
      </c>
      <c r="S23" s="265" t="e">
        <f>IF(ISNA(MATCH(S$2,Inputs!$K$4:$AJ$4,0)),NA(),IF(SUMPRODUCT((Inputs!$A$5:$A$130=$B23)*ISNUMBER(INDEX(Inputs!$K$5:$AJ$130,0,MATCH(S$2,Inputs!$K$4:$AJ$4,0))))+SUMPRODUCT((Inputs!$C$5:$C$130=$B23)*ISNUMBER(INDEX(Inputs!$K$5:$AJ$130,0,MATCH(S$2,Inputs!$K$4:$AJ$4,0))))+SUMPRODUCT((Inputs!$E$5:$E$130=$B23)*ISNUMBER(INDEX(Inputs!$K$5:$AJ$130,0,MATCH(S$2,Inputs!$K$4:$AJ$4,0))))=0,NA(),SUMPRODUCT((Inputs!$A$5:$A$130=$B23)*Inputs!$B$5:$B$130*(((Inputs!$G$5:$G$130="moeda")+(Inputs!$G$5:$G$130="acoes"))*Inputs!$B$1+((Inputs!$G$5:$G$130&lt;&gt;"moeda")*(Inputs!$G$5:$G$130&lt;&gt;"acoes")))*INDEX(Inputs!$K$5:$AJ$130,0,MATCH(S$2,Inputs!$K$4:$AJ$4,0)))+SUMPRODUCT((Inputs!$C$5:$C$130=$B23)*Inputs!$D$5:$D$130*(((Inputs!$G$5:$G$130="moeda")+(Inputs!$G$5:$G$130="acoes"))*Inputs!$B$1+((Inputs!$G$5:$G$130&lt;&gt;"moeda")*(Inputs!$G$5:$G$130&lt;&gt;"acoes")))*INDEX(Inputs!$K$5:$AJ$130,0,MATCH(S$2,Inputs!$K$4:$AJ$4,0)))+SUMPRODUCT((Inputs!$E$5:$E$130=$B23)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23" s="265" t="e">
        <f>IF(ISNA(MATCH(T$2,Inputs!$K$4:$AJ$4,0)),NA(),IF(SUMPRODUCT((Inputs!$A$5:$A$130=$B23)*ISNUMBER(INDEX(Inputs!$K$5:$AJ$130,0,MATCH(T$2,Inputs!$K$4:$AJ$4,0))))+SUMPRODUCT((Inputs!$C$5:$C$130=$B23)*ISNUMBER(INDEX(Inputs!$K$5:$AJ$130,0,MATCH(T$2,Inputs!$K$4:$AJ$4,0))))+SUMPRODUCT((Inputs!$E$5:$E$130=$B23)*ISNUMBER(INDEX(Inputs!$K$5:$AJ$130,0,MATCH(T$2,Inputs!$K$4:$AJ$4,0))))=0,NA(),SUMPRODUCT((Inputs!$A$5:$A$130=$B23)*Inputs!$B$5:$B$130*(((Inputs!$G$5:$G$130="moeda")+(Inputs!$G$5:$G$130="acoes"))*Inputs!$B$1+((Inputs!$G$5:$G$130&lt;&gt;"moeda")*(Inputs!$G$5:$G$130&lt;&gt;"acoes")))*INDEX(Inputs!$K$5:$AJ$130,0,MATCH(T$2,Inputs!$K$4:$AJ$4,0)))+SUMPRODUCT((Inputs!$C$5:$C$130=$B23)*Inputs!$D$5:$D$130*(((Inputs!$G$5:$G$130="moeda")+(Inputs!$G$5:$G$130="acoes"))*Inputs!$B$1+((Inputs!$G$5:$G$130&lt;&gt;"moeda")*(Inputs!$G$5:$G$130&lt;&gt;"acoes")))*INDEX(Inputs!$K$5:$AJ$130,0,MATCH(T$2,Inputs!$K$4:$AJ$4,0)))+SUMPRODUCT((Inputs!$E$5:$E$130=$B23)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23" s="265" t="e">
        <f>IF(ISNA(MATCH(U$2,Inputs!$K$4:$AJ$4,0)),NA(),IF(SUMPRODUCT((Inputs!$A$5:$A$130=$B23)*ISNUMBER(INDEX(Inputs!$K$5:$AJ$130,0,MATCH(U$2,Inputs!$K$4:$AJ$4,0))))+SUMPRODUCT((Inputs!$C$5:$C$130=$B23)*ISNUMBER(INDEX(Inputs!$K$5:$AJ$130,0,MATCH(U$2,Inputs!$K$4:$AJ$4,0))))+SUMPRODUCT((Inputs!$E$5:$E$130=$B23)*ISNUMBER(INDEX(Inputs!$K$5:$AJ$130,0,MATCH(U$2,Inputs!$K$4:$AJ$4,0))))=0,NA(),SUMPRODUCT((Inputs!$A$5:$A$130=$B23)*Inputs!$B$5:$B$130*(((Inputs!$G$5:$G$130="moeda")+(Inputs!$G$5:$G$130="acoes"))*Inputs!$B$1+((Inputs!$G$5:$G$130&lt;&gt;"moeda")*(Inputs!$G$5:$G$130&lt;&gt;"acoes")))*INDEX(Inputs!$K$5:$AJ$130,0,MATCH(U$2,Inputs!$K$4:$AJ$4,0)))+SUMPRODUCT((Inputs!$C$5:$C$130=$B23)*Inputs!$D$5:$D$130*(((Inputs!$G$5:$G$130="moeda")+(Inputs!$G$5:$G$130="acoes"))*Inputs!$B$1+((Inputs!$G$5:$G$130&lt;&gt;"moeda")*(Inputs!$G$5:$G$130&lt;&gt;"acoes")))*INDEX(Inputs!$K$5:$AJ$130,0,MATCH(U$2,Inputs!$K$4:$AJ$4,0)))+SUMPRODUCT((Inputs!$E$5:$E$130=$B23)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23" s="265" t="e">
        <f>IF(ISNA(MATCH(V$2,Inputs!$K$4:$AJ$4,0)),NA(),IF(SUMPRODUCT((Inputs!$A$5:$A$130=$B23)*ISNUMBER(INDEX(Inputs!$K$5:$AJ$130,0,MATCH(V$2,Inputs!$K$4:$AJ$4,0))))+SUMPRODUCT((Inputs!$C$5:$C$130=$B23)*ISNUMBER(INDEX(Inputs!$K$5:$AJ$130,0,MATCH(V$2,Inputs!$K$4:$AJ$4,0))))+SUMPRODUCT((Inputs!$E$5:$E$130=$B23)*ISNUMBER(INDEX(Inputs!$K$5:$AJ$130,0,MATCH(V$2,Inputs!$K$4:$AJ$4,0))))=0,NA(),SUMPRODUCT((Inputs!$A$5:$A$130=$B23)*Inputs!$B$5:$B$130*(((Inputs!$G$5:$G$130="moeda")+(Inputs!$G$5:$G$130="acoes"))*Inputs!$B$1+((Inputs!$G$5:$G$130&lt;&gt;"moeda")*(Inputs!$G$5:$G$130&lt;&gt;"acoes")))*INDEX(Inputs!$K$5:$AJ$130,0,MATCH(V$2,Inputs!$K$4:$AJ$4,0)))+SUMPRODUCT((Inputs!$C$5:$C$130=$B23)*Inputs!$D$5:$D$130*(((Inputs!$G$5:$G$130="moeda")+(Inputs!$G$5:$G$130="acoes"))*Inputs!$B$1+((Inputs!$G$5:$G$130&lt;&gt;"moeda")*(Inputs!$G$5:$G$130&lt;&gt;"acoes")))*INDEX(Inputs!$K$5:$AJ$130,0,MATCH(V$2,Inputs!$K$4:$AJ$4,0)))+SUMPRODUCT((Inputs!$E$5:$E$130=$B23)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23" s="266" t="e">
        <f>V23</f>
        <v>#N/A</v>
      </c>
      <c r="X23" s="265" t="e">
        <f>IF(ISNA(MATCH(X$2,Inputs!$K$4:$AJ$4,0)),NA(),IF(SUMPRODUCT((Inputs!$A$5:$A$130=$B23)*ISNUMBER(INDEX(Inputs!$K$5:$AJ$130,0,MATCH(X$2,Inputs!$K$4:$AJ$4,0))))+SUMPRODUCT((Inputs!$C$5:$C$130=$B23)*ISNUMBER(INDEX(Inputs!$K$5:$AJ$130,0,MATCH(X$2,Inputs!$K$4:$AJ$4,0))))+SUMPRODUCT((Inputs!$E$5:$E$130=$B23)*ISNUMBER(INDEX(Inputs!$K$5:$AJ$130,0,MATCH(X$2,Inputs!$K$4:$AJ$4,0))))=0,NA(),SUMPRODUCT((Inputs!$A$5:$A$130=$B23)*Inputs!$B$5:$B$130*(((Inputs!$G$5:$G$130="moeda")+(Inputs!$G$5:$G$130="acoes"))*Inputs!$B$1+((Inputs!$G$5:$G$130&lt;&gt;"moeda")*(Inputs!$G$5:$G$130&lt;&gt;"acoes")))*INDEX(Inputs!$K$5:$AJ$130,0,MATCH(X$2,Inputs!$K$4:$AJ$4,0)))+SUMPRODUCT((Inputs!$C$5:$C$130=$B23)*Inputs!$D$5:$D$130*(((Inputs!$G$5:$G$130="moeda")+(Inputs!$G$5:$G$130="acoes"))*Inputs!$B$1+((Inputs!$G$5:$G$130&lt;&gt;"moeda")*(Inputs!$G$5:$G$130&lt;&gt;"acoes")))*INDEX(Inputs!$K$5:$AJ$130,0,MATCH(X$2,Inputs!$K$4:$AJ$4,0)))+SUMPRODUCT((Inputs!$E$5:$E$130=$B23)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23" s="265" t="e">
        <f>IF(ISNA(MATCH(Y$2,Inputs!$K$4:$AJ$4,0)),NA(),IF(SUMPRODUCT((Inputs!$A$5:$A$130=$B23)*ISNUMBER(INDEX(Inputs!$K$5:$AJ$130,0,MATCH(Y$2,Inputs!$K$4:$AJ$4,0))))+SUMPRODUCT((Inputs!$C$5:$C$130=$B23)*ISNUMBER(INDEX(Inputs!$K$5:$AJ$130,0,MATCH(Y$2,Inputs!$K$4:$AJ$4,0))))+SUMPRODUCT((Inputs!$E$5:$E$130=$B23)*ISNUMBER(INDEX(Inputs!$K$5:$AJ$130,0,MATCH(Y$2,Inputs!$K$4:$AJ$4,0))))=0,NA(),SUMPRODUCT((Inputs!$A$5:$A$130=$B23)*Inputs!$B$5:$B$130*(((Inputs!$G$5:$G$130="moeda")+(Inputs!$G$5:$G$130="acoes"))*Inputs!$B$1+((Inputs!$G$5:$G$130&lt;&gt;"moeda")*(Inputs!$G$5:$G$130&lt;&gt;"acoes")))*INDEX(Inputs!$K$5:$AJ$130,0,MATCH(Y$2,Inputs!$K$4:$AJ$4,0)))+SUMPRODUCT((Inputs!$C$5:$C$130=$B23)*Inputs!$D$5:$D$130*(((Inputs!$G$5:$G$130="moeda")+(Inputs!$G$5:$G$130="acoes"))*Inputs!$B$1+((Inputs!$G$5:$G$130&lt;&gt;"moeda")*(Inputs!$G$5:$G$130&lt;&gt;"acoes")))*INDEX(Inputs!$K$5:$AJ$130,0,MATCH(Y$2,Inputs!$K$4:$AJ$4,0)))+SUMPRODUCT((Inputs!$E$5:$E$130=$B23)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23" s="265" t="e">
        <f>IF(ISNA(MATCH(Z$2,Inputs!$K$4:$AJ$4,0)),NA(),IF(SUMPRODUCT((Inputs!$A$5:$A$130=$B23)*ISNUMBER(INDEX(Inputs!$K$5:$AJ$130,0,MATCH(Z$2,Inputs!$K$4:$AJ$4,0))))+SUMPRODUCT((Inputs!$C$5:$C$130=$B23)*ISNUMBER(INDEX(Inputs!$K$5:$AJ$130,0,MATCH(Z$2,Inputs!$K$4:$AJ$4,0))))+SUMPRODUCT((Inputs!$E$5:$E$130=$B23)*ISNUMBER(INDEX(Inputs!$K$5:$AJ$130,0,MATCH(Z$2,Inputs!$K$4:$AJ$4,0))))=0,NA(),SUMPRODUCT((Inputs!$A$5:$A$130=$B23)*Inputs!$B$5:$B$130*(((Inputs!$G$5:$G$130="moeda")+(Inputs!$G$5:$G$130="acoes"))*Inputs!$B$1+((Inputs!$G$5:$G$130&lt;&gt;"moeda")*(Inputs!$G$5:$G$130&lt;&gt;"acoes")))*INDEX(Inputs!$K$5:$AJ$130,0,MATCH(Z$2,Inputs!$K$4:$AJ$4,0)))+SUMPRODUCT((Inputs!$C$5:$C$130=$B23)*Inputs!$D$5:$D$130*(((Inputs!$G$5:$G$130="moeda")+(Inputs!$G$5:$G$130="acoes"))*Inputs!$B$1+((Inputs!$G$5:$G$130&lt;&gt;"moeda")*(Inputs!$G$5:$G$130&lt;&gt;"acoes")))*INDEX(Inputs!$K$5:$AJ$130,0,MATCH(Z$2,Inputs!$K$4:$AJ$4,0)))+SUMPRODUCT((Inputs!$E$5:$E$130=$B23)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23" s="265" t="e">
        <f>IF(ISNA(MATCH(AA$2,Inputs!$K$4:$AJ$4,0)),NA(),IF(SUMPRODUCT((Inputs!$A$5:$A$130=$B23)*ISNUMBER(INDEX(Inputs!$K$5:$AJ$130,0,MATCH(AA$2,Inputs!$K$4:$AJ$4,0))))+SUMPRODUCT((Inputs!$C$5:$C$130=$B23)*ISNUMBER(INDEX(Inputs!$K$5:$AJ$130,0,MATCH(AA$2,Inputs!$K$4:$AJ$4,0))))+SUMPRODUCT((Inputs!$E$5:$E$130=$B23)*ISNUMBER(INDEX(Inputs!$K$5:$AJ$130,0,MATCH(AA$2,Inputs!$K$4:$AJ$4,0))))=0,NA(),SUMPRODUCT((Inputs!$A$5:$A$130=$B23)*Inputs!$B$5:$B$130*(((Inputs!$G$5:$G$130="moeda")+(Inputs!$G$5:$G$130="acoes"))*Inputs!$B$1+((Inputs!$G$5:$G$130&lt;&gt;"moeda")*(Inputs!$G$5:$G$130&lt;&gt;"acoes")))*INDEX(Inputs!$K$5:$AJ$130,0,MATCH(AA$2,Inputs!$K$4:$AJ$4,0)))+SUMPRODUCT((Inputs!$C$5:$C$130=$B23)*Inputs!$D$5:$D$130*(((Inputs!$G$5:$G$130="moeda")+(Inputs!$G$5:$G$130="acoes"))*Inputs!$B$1+((Inputs!$G$5:$G$130&lt;&gt;"moeda")*(Inputs!$G$5:$G$130&lt;&gt;"acoes")))*INDEX(Inputs!$K$5:$AJ$130,0,MATCH(AA$2,Inputs!$K$4:$AJ$4,0)))+SUMPRODUCT((Inputs!$E$5:$E$130=$B23)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23" s="266" t="e">
        <f>AA23</f>
        <v>#N/A</v>
      </c>
      <c r="AC23" s="265" t="e">
        <f>IF(ISNA(MATCH(AC$2,Inputs!$K$4:$AJ$4,0)),NA(),IF(SUMPRODUCT((Inputs!$A$5:$A$130=$B23)*ISNUMBER(INDEX(Inputs!$K$5:$AJ$130,0,MATCH(AC$2,Inputs!$K$4:$AJ$4,0))))+SUMPRODUCT((Inputs!$C$5:$C$130=$B23)*ISNUMBER(INDEX(Inputs!$K$5:$AJ$130,0,MATCH(AC$2,Inputs!$K$4:$AJ$4,0))))+SUMPRODUCT((Inputs!$E$5:$E$130=$B23)*ISNUMBER(INDEX(Inputs!$K$5:$AJ$130,0,MATCH(AC$2,Inputs!$K$4:$AJ$4,0))))=0,NA(),SUMPRODUCT((Inputs!$A$5:$A$130=$B23)*Inputs!$B$5:$B$130*(((Inputs!$G$5:$G$130="moeda")+(Inputs!$G$5:$G$130="acoes"))*Inputs!$B$1+((Inputs!$G$5:$G$130&lt;&gt;"moeda")*(Inputs!$G$5:$G$130&lt;&gt;"acoes")))*INDEX(Inputs!$K$5:$AJ$130,0,MATCH(AC$2,Inputs!$K$4:$AJ$4,0)))+SUMPRODUCT((Inputs!$C$5:$C$130=$B23)*Inputs!$D$5:$D$130*(((Inputs!$G$5:$G$130="moeda")+(Inputs!$G$5:$G$130="acoes"))*Inputs!$B$1+((Inputs!$G$5:$G$130&lt;&gt;"moeda")*(Inputs!$G$5:$G$130&lt;&gt;"acoes")))*INDEX(Inputs!$K$5:$AJ$130,0,MATCH(AC$2,Inputs!$K$4:$AJ$4,0)))+SUMPRODUCT((Inputs!$E$5:$E$130=$B23)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23" s="265" t="e">
        <f>IF(ISNA(MATCH(AD$2,Inputs!$K$4:$AJ$4,0)),NA(),IF(SUMPRODUCT((Inputs!$A$5:$A$130=$B23)*ISNUMBER(INDEX(Inputs!$K$5:$AJ$130,0,MATCH(AD$2,Inputs!$K$4:$AJ$4,0))))+SUMPRODUCT((Inputs!$C$5:$C$130=$B23)*ISNUMBER(INDEX(Inputs!$K$5:$AJ$130,0,MATCH(AD$2,Inputs!$K$4:$AJ$4,0))))+SUMPRODUCT((Inputs!$E$5:$E$130=$B23)*ISNUMBER(INDEX(Inputs!$K$5:$AJ$130,0,MATCH(AD$2,Inputs!$K$4:$AJ$4,0))))=0,NA(),SUMPRODUCT((Inputs!$A$5:$A$130=$B23)*Inputs!$B$5:$B$130*(((Inputs!$G$5:$G$130="moeda")+(Inputs!$G$5:$G$130="acoes"))*Inputs!$B$1+((Inputs!$G$5:$G$130&lt;&gt;"moeda")*(Inputs!$G$5:$G$130&lt;&gt;"acoes")))*INDEX(Inputs!$K$5:$AJ$130,0,MATCH(AD$2,Inputs!$K$4:$AJ$4,0)))+SUMPRODUCT((Inputs!$C$5:$C$130=$B23)*Inputs!$D$5:$D$130*(((Inputs!$G$5:$G$130="moeda")+(Inputs!$G$5:$G$130="acoes"))*Inputs!$B$1+((Inputs!$G$5:$G$130&lt;&gt;"moeda")*(Inputs!$G$5:$G$130&lt;&gt;"acoes")))*INDEX(Inputs!$K$5:$AJ$130,0,MATCH(AD$2,Inputs!$K$4:$AJ$4,0)))+SUMPRODUCT((Inputs!$E$5:$E$130=$B23)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23" s="265" t="e">
        <f>IF(ISNA(MATCH(AE$2,Inputs!$K$4:$AJ$4,0)),NA(),IF(SUMPRODUCT((Inputs!$A$5:$A$130=$B23)*ISNUMBER(INDEX(Inputs!$K$5:$AJ$130,0,MATCH(AE$2,Inputs!$K$4:$AJ$4,0))))+SUMPRODUCT((Inputs!$C$5:$C$130=$B23)*ISNUMBER(INDEX(Inputs!$K$5:$AJ$130,0,MATCH(AE$2,Inputs!$K$4:$AJ$4,0))))+SUMPRODUCT((Inputs!$E$5:$E$130=$B23)*ISNUMBER(INDEX(Inputs!$K$5:$AJ$130,0,MATCH(AE$2,Inputs!$K$4:$AJ$4,0))))=0,NA(),SUMPRODUCT((Inputs!$A$5:$A$130=$B23)*Inputs!$B$5:$B$130*(((Inputs!$G$5:$G$130="moeda")+(Inputs!$G$5:$G$130="acoes"))*Inputs!$B$1+((Inputs!$G$5:$G$130&lt;&gt;"moeda")*(Inputs!$G$5:$G$130&lt;&gt;"acoes")))*INDEX(Inputs!$K$5:$AJ$130,0,MATCH(AE$2,Inputs!$K$4:$AJ$4,0)))+SUMPRODUCT((Inputs!$C$5:$C$130=$B23)*Inputs!$D$5:$D$130*(((Inputs!$G$5:$G$130="moeda")+(Inputs!$G$5:$G$130="acoes"))*Inputs!$B$1+((Inputs!$G$5:$G$130&lt;&gt;"moeda")*(Inputs!$G$5:$G$130&lt;&gt;"acoes")))*INDEX(Inputs!$K$5:$AJ$130,0,MATCH(AE$2,Inputs!$K$4:$AJ$4,0)))+SUMPRODUCT((Inputs!$E$5:$E$130=$B23)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3" s="265" t="e">
        <f>IF(ISNA(MATCH(AF$2,Inputs!$K$4:$AJ$4,0)),NA(),IF(SUMPRODUCT((Inputs!$A$5:$A$130=$B23)*ISNUMBER(INDEX(Inputs!$K$5:$AJ$130,0,MATCH(AF$2,Inputs!$K$4:$AJ$4,0))))+SUMPRODUCT((Inputs!$C$5:$C$130=$B23)*ISNUMBER(INDEX(Inputs!$K$5:$AJ$130,0,MATCH(AF$2,Inputs!$K$4:$AJ$4,0))))+SUMPRODUCT((Inputs!$E$5:$E$130=$B23)*ISNUMBER(INDEX(Inputs!$K$5:$AJ$130,0,MATCH(AF$2,Inputs!$K$4:$AJ$4,0))))=0,NA(),SUMPRODUCT((Inputs!$A$5:$A$130=$B23)*Inputs!$B$5:$B$130*(((Inputs!$G$5:$G$130="moeda")+(Inputs!$G$5:$G$130="acoes"))*Inputs!$B$1+((Inputs!$G$5:$G$130&lt;&gt;"moeda")*(Inputs!$G$5:$G$130&lt;&gt;"acoes")))*INDEX(Inputs!$K$5:$AJ$130,0,MATCH(AF$2,Inputs!$K$4:$AJ$4,0)))+SUMPRODUCT((Inputs!$C$5:$C$130=$B23)*Inputs!$D$5:$D$130*(((Inputs!$G$5:$G$130="moeda")+(Inputs!$G$5:$G$130="acoes"))*Inputs!$B$1+((Inputs!$G$5:$G$130&lt;&gt;"moeda")*(Inputs!$G$5:$G$130&lt;&gt;"acoes")))*INDEX(Inputs!$K$5:$AJ$130,0,MATCH(AF$2,Inputs!$K$4:$AJ$4,0)))+SUMPRODUCT((Inputs!$E$5:$E$130=$B23)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3" s="266" t="e">
        <f>AF23</f>
        <v>#N/A</v>
      </c>
      <c r="AH23" s="265" t="e">
        <f>IF(ISNA(MATCH(AH$2,Inputs!$K$4:$AJ$4,0)),NA(),IF(SUMPRODUCT((Inputs!$A$5:$A$130=$B23)*ISNUMBER(INDEX(Inputs!$K$5:$AJ$130,0,MATCH(AH$2,Inputs!$K$4:$AJ$4,0))))+SUMPRODUCT((Inputs!$C$5:$C$130=$B23)*ISNUMBER(INDEX(Inputs!$K$5:$AJ$130,0,MATCH(AH$2,Inputs!$K$4:$AJ$4,0))))+SUMPRODUCT((Inputs!$E$5:$E$130=$B23)*ISNUMBER(INDEX(Inputs!$K$5:$AJ$130,0,MATCH(AH$2,Inputs!$K$4:$AJ$4,0))))=0,NA(),SUMPRODUCT((Inputs!$A$5:$A$130=$B23)*Inputs!$B$5:$B$130*(((Inputs!$G$5:$G$130="moeda")+(Inputs!$G$5:$G$130="acoes"))*Inputs!$B$1+((Inputs!$G$5:$G$130&lt;&gt;"moeda")*(Inputs!$G$5:$G$130&lt;&gt;"acoes")))*INDEX(Inputs!$K$5:$AJ$130,0,MATCH(AH$2,Inputs!$K$4:$AJ$4,0)))+SUMPRODUCT((Inputs!$C$5:$C$130=$B23)*Inputs!$D$5:$D$130*(((Inputs!$G$5:$G$130="moeda")+(Inputs!$G$5:$G$130="acoes"))*Inputs!$B$1+((Inputs!$G$5:$G$130&lt;&gt;"moeda")*(Inputs!$G$5:$G$130&lt;&gt;"acoes")))*INDEX(Inputs!$K$5:$AJ$130,0,MATCH(AH$2,Inputs!$K$4:$AJ$4,0)))+SUMPRODUCT((Inputs!$E$5:$E$130=$B23)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23" s="265" t="e">
        <f>IF(ISNA(MATCH(AI$2,Inputs!$K$4:$AJ$4,0)),NA(),IF(SUMPRODUCT((Inputs!$A$5:$A$130=$B23)*ISNUMBER(INDEX(Inputs!$K$5:$AJ$130,0,MATCH(AI$2,Inputs!$K$4:$AJ$4,0))))+SUMPRODUCT((Inputs!$C$5:$C$130=$B23)*ISNUMBER(INDEX(Inputs!$K$5:$AJ$130,0,MATCH(AI$2,Inputs!$K$4:$AJ$4,0))))+SUMPRODUCT((Inputs!$E$5:$E$130=$B23)*ISNUMBER(INDEX(Inputs!$K$5:$AJ$130,0,MATCH(AI$2,Inputs!$K$4:$AJ$4,0))))=0,NA(),SUMPRODUCT((Inputs!$A$5:$A$130=$B23)*Inputs!$B$5:$B$130*(((Inputs!$G$5:$G$130="moeda")+(Inputs!$G$5:$G$130="acoes"))*Inputs!$B$1+((Inputs!$G$5:$G$130&lt;&gt;"moeda")*(Inputs!$G$5:$G$130&lt;&gt;"acoes")))*INDEX(Inputs!$K$5:$AJ$130,0,MATCH(AI$2,Inputs!$K$4:$AJ$4,0)))+SUMPRODUCT((Inputs!$C$5:$C$130=$B23)*Inputs!$D$5:$D$130*(((Inputs!$G$5:$G$130="moeda")+(Inputs!$G$5:$G$130="acoes"))*Inputs!$B$1+((Inputs!$G$5:$G$130&lt;&gt;"moeda")*(Inputs!$G$5:$G$130&lt;&gt;"acoes")))*INDEX(Inputs!$K$5:$AJ$130,0,MATCH(AI$2,Inputs!$K$4:$AJ$4,0)))+SUMPRODUCT((Inputs!$E$5:$E$130=$B23)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23" s="265" t="e">
        <f>IF(ISNA(MATCH(AJ$2,Inputs!$K$4:$AJ$4,0)),NA(),IF(SUMPRODUCT((Inputs!$A$5:$A$130=$B23)*ISNUMBER(INDEX(Inputs!$K$5:$AJ$130,0,MATCH(AJ$2,Inputs!$K$4:$AJ$4,0))))+SUMPRODUCT((Inputs!$C$5:$C$130=$B23)*ISNUMBER(INDEX(Inputs!$K$5:$AJ$130,0,MATCH(AJ$2,Inputs!$K$4:$AJ$4,0))))+SUMPRODUCT((Inputs!$E$5:$E$130=$B23)*ISNUMBER(INDEX(Inputs!$K$5:$AJ$130,0,MATCH(AJ$2,Inputs!$K$4:$AJ$4,0))))=0,NA(),SUMPRODUCT((Inputs!$A$5:$A$130=$B23)*Inputs!$B$5:$B$130*(((Inputs!$G$5:$G$130="moeda")+(Inputs!$G$5:$G$130="acoes"))*Inputs!$B$1+((Inputs!$G$5:$G$130&lt;&gt;"moeda")*(Inputs!$G$5:$G$130&lt;&gt;"acoes")))*INDEX(Inputs!$K$5:$AJ$130,0,MATCH(AJ$2,Inputs!$K$4:$AJ$4,0)))+SUMPRODUCT((Inputs!$C$5:$C$130=$B23)*Inputs!$D$5:$D$130*(((Inputs!$G$5:$G$130="moeda")+(Inputs!$G$5:$G$130="acoes"))*Inputs!$B$1+((Inputs!$G$5:$G$130&lt;&gt;"moeda")*(Inputs!$G$5:$G$130&lt;&gt;"acoes")))*INDEX(Inputs!$K$5:$AJ$130,0,MATCH(AJ$2,Inputs!$K$4:$AJ$4,0)))+SUMPRODUCT((Inputs!$E$5:$E$130=$B23)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23" s="265" t="e">
        <f>IF(ISNA(MATCH(AK$2,Inputs!$K$4:$AJ$4,0)),NA(),IF(SUMPRODUCT((Inputs!$A$5:$A$130=$B23)*ISNUMBER(INDEX(Inputs!$K$5:$AJ$130,0,MATCH(AK$2,Inputs!$K$4:$AJ$4,0))))+SUMPRODUCT((Inputs!$C$5:$C$130=$B23)*ISNUMBER(INDEX(Inputs!$K$5:$AJ$130,0,MATCH(AK$2,Inputs!$K$4:$AJ$4,0))))+SUMPRODUCT((Inputs!$E$5:$E$130=$B23)*ISNUMBER(INDEX(Inputs!$K$5:$AJ$130,0,MATCH(AK$2,Inputs!$K$4:$AJ$4,0))))=0,NA(),SUMPRODUCT((Inputs!$A$5:$A$130=$B23)*Inputs!$B$5:$B$130*(((Inputs!$G$5:$G$130="moeda")+(Inputs!$G$5:$G$130="acoes"))*Inputs!$B$1+((Inputs!$G$5:$G$130&lt;&gt;"moeda")*(Inputs!$G$5:$G$130&lt;&gt;"acoes")))*INDEX(Inputs!$K$5:$AJ$130,0,MATCH(AK$2,Inputs!$K$4:$AJ$4,0)))+SUMPRODUCT((Inputs!$C$5:$C$130=$B23)*Inputs!$D$5:$D$130*(((Inputs!$G$5:$G$130="moeda")+(Inputs!$G$5:$G$130="acoes"))*Inputs!$B$1+((Inputs!$G$5:$G$130&lt;&gt;"moeda")*(Inputs!$G$5:$G$130&lt;&gt;"acoes")))*INDEX(Inputs!$K$5:$AJ$130,0,MATCH(AK$2,Inputs!$K$4:$AJ$4,0)))+SUMPRODUCT((Inputs!$E$5:$E$130=$B23)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23" s="266" t="e">
        <f>AK23</f>
        <v>#N/A</v>
      </c>
    </row>
    <row r="24" ht="12.75" customHeight="1" s="254">
      <c r="B24" s="263" t="n">
        <v>20</v>
      </c>
      <c r="C24" s="268" t="inlineStr">
        <is>
          <t>Goodwill</t>
        </is>
      </c>
      <c r="D24" s="265">
        <f>IF(ISNA(MATCH(D$2,Inputs!$K$4:$AJ$4,0)),NA(),IF(SUMPRODUCT((Inputs!$A$5:$A$130=$B24)*ISNUMBER(INDEX(Inputs!$K$5:$AJ$130,0,MATCH(D$2,Inputs!$K$4:$AJ$4,0))))+SUMPRODUCT((Inputs!$C$5:$C$130=$B24)*ISNUMBER(INDEX(Inputs!$K$5:$AJ$130,0,MATCH(D$2,Inputs!$K$4:$AJ$4,0))))+SUMPRODUCT((Inputs!$E$5:$E$130=$B24)*ISNUMBER(INDEX(Inputs!$K$5:$AJ$130,0,MATCH(D$2,Inputs!$K$4:$AJ$4,0))))=0,NA(),SUMPRODUCT((Inputs!$A$5:$A$130=$B24)*Inputs!$B$5:$B$130*(((Inputs!$G$5:$G$130="moeda")+(Inputs!$G$5:$G$130="acoes"))*Inputs!$B$1+((Inputs!$G$5:$G$130&lt;&gt;"moeda")*(Inputs!$G$5:$G$130&lt;&gt;"acoes")))*INDEX(Inputs!$K$5:$AJ$130,0,MATCH(D$2,Inputs!$K$4:$AJ$4,0)))+SUMPRODUCT((Inputs!$C$5:$C$130=$B24)*Inputs!$D$5:$D$130*(((Inputs!$G$5:$G$130="moeda")+(Inputs!$G$5:$G$130="acoes"))*Inputs!$B$1+((Inputs!$G$5:$G$130&lt;&gt;"moeda")*(Inputs!$G$5:$G$130&lt;&gt;"acoes")))*INDEX(Inputs!$K$5:$AJ$130,0,MATCH(D$2,Inputs!$K$4:$AJ$4,0)))+SUMPRODUCT((Inputs!$E$5:$E$130=$B24)*Inputs!$F$5:$F$130*(((Inputs!$G$5:$G$130="moeda")+(Inputs!$G$5:$G$130="acoes"))*Inputs!$B$1+((Inputs!$G$5:$G$130&lt;&gt;"moeda")*(Inputs!$G$5:$G$130&lt;&gt;"acoes")))*INDEX(Inputs!$K$5:$AJ$130,0,MATCH(D$2,Inputs!$K$4:$AJ$4,0)))))</f>
        <v>14086</v>
      </c>
      <c r="E24" s="265">
        <f>IF(ISNA(MATCH(E$2,Inputs!$K$4:$AJ$4,0)),NA(),IF(SUMPRODUCT((Inputs!$A$5:$A$130=$B24)*ISNUMBER(INDEX(Inputs!$K$5:$AJ$130,0,MATCH(E$2,Inputs!$K$4:$AJ$4,0))))+SUMPRODUCT((Inputs!$C$5:$C$130=$B24)*ISNUMBER(INDEX(Inputs!$K$5:$AJ$130,0,MATCH(E$2,Inputs!$K$4:$AJ$4,0))))+SUMPRODUCT((Inputs!$E$5:$E$130=$B24)*ISNUMBER(INDEX(Inputs!$K$5:$AJ$130,0,MATCH(E$2,Inputs!$K$4:$AJ$4,0))))=0,NA(),SUMPRODUCT((Inputs!$A$5:$A$130=$B24)*Inputs!$B$5:$B$130*(((Inputs!$G$5:$G$130="moeda")+(Inputs!$G$5:$G$130="acoes"))*Inputs!$B$1+((Inputs!$G$5:$G$130&lt;&gt;"moeda")*(Inputs!$G$5:$G$130&lt;&gt;"acoes")))*INDEX(Inputs!$K$5:$AJ$130,0,MATCH(E$2,Inputs!$K$4:$AJ$4,0)))+SUMPRODUCT((Inputs!$C$5:$C$130=$B24)*Inputs!$D$5:$D$130*(((Inputs!$G$5:$G$130="moeda")+(Inputs!$G$5:$G$130="acoes"))*Inputs!$B$1+((Inputs!$G$5:$G$130&lt;&gt;"moeda")*(Inputs!$G$5:$G$130&lt;&gt;"acoes")))*INDEX(Inputs!$K$5:$AJ$130,0,MATCH(E$2,Inputs!$K$4:$AJ$4,0)))+SUMPRODUCT((Inputs!$E$5:$E$130=$B24)*Inputs!$F$5:$F$130*(((Inputs!$G$5:$G$130="moeda")+(Inputs!$G$5:$G$130="acoes"))*Inputs!$B$1+((Inputs!$G$5:$G$130&lt;&gt;"moeda")*(Inputs!$G$5:$G$130&lt;&gt;"acoes")))*INDEX(Inputs!$K$5:$AJ$130,0,MATCH(E$2,Inputs!$K$4:$AJ$4,0)))))</f>
        <v>14019</v>
      </c>
      <c r="F24" s="265">
        <f>IF(ISNA(MATCH(F$2,Inputs!$K$4:$AJ$4,0)),NA(),IF(SUMPRODUCT((Inputs!$A$5:$A$130=$B24)*ISNUMBER(INDEX(Inputs!$K$5:$AJ$130,0,MATCH(F$2,Inputs!$K$4:$AJ$4,0))))+SUMPRODUCT((Inputs!$C$5:$C$130=$B24)*ISNUMBER(INDEX(Inputs!$K$5:$AJ$130,0,MATCH(F$2,Inputs!$K$4:$AJ$4,0))))+SUMPRODUCT((Inputs!$E$5:$E$130=$B24)*ISNUMBER(INDEX(Inputs!$K$5:$AJ$130,0,MATCH(F$2,Inputs!$K$4:$AJ$4,0))))=0,NA(),SUMPRODUCT((Inputs!$A$5:$A$130=$B24)*Inputs!$B$5:$B$130*(((Inputs!$G$5:$G$130="moeda")+(Inputs!$G$5:$G$130="acoes"))*Inputs!$B$1+((Inputs!$G$5:$G$130&lt;&gt;"moeda")*(Inputs!$G$5:$G$130&lt;&gt;"acoes")))*INDEX(Inputs!$K$5:$AJ$130,0,MATCH(F$2,Inputs!$K$4:$AJ$4,0)))+SUMPRODUCT((Inputs!$C$5:$C$130=$B24)*Inputs!$D$5:$D$130*(((Inputs!$G$5:$G$130="moeda")+(Inputs!$G$5:$G$130="acoes"))*Inputs!$B$1+((Inputs!$G$5:$G$130&lt;&gt;"moeda")*(Inputs!$G$5:$G$130&lt;&gt;"acoes")))*INDEX(Inputs!$K$5:$AJ$130,0,MATCH(F$2,Inputs!$K$4:$AJ$4,0)))+SUMPRODUCT((Inputs!$E$5:$E$130=$B24)*Inputs!$F$5:$F$130*(((Inputs!$G$5:$G$130="moeda")+(Inputs!$G$5:$G$130="acoes"))*Inputs!$B$1+((Inputs!$G$5:$G$130&lt;&gt;"moeda")*(Inputs!$G$5:$G$130&lt;&gt;"acoes")))*INDEX(Inputs!$K$5:$AJ$130,0,MATCH(F$2,Inputs!$K$4:$AJ$4,0)))))</f>
        <v>13858</v>
      </c>
      <c r="G24" s="265">
        <f>IF(ISNA(MATCH(G$2,Inputs!$K$4:$AJ$4,0)),NA(),IF(SUMPRODUCT((Inputs!$A$5:$A$130=$B24)*ISNUMBER(INDEX(Inputs!$K$5:$AJ$130,0,MATCH(G$2,Inputs!$K$4:$AJ$4,0))))+SUMPRODUCT((Inputs!$C$5:$C$130=$B24)*ISNUMBER(INDEX(Inputs!$K$5:$AJ$130,0,MATCH(G$2,Inputs!$K$4:$AJ$4,0))))+SUMPRODUCT((Inputs!$E$5:$E$130=$B24)*ISNUMBER(INDEX(Inputs!$K$5:$AJ$130,0,MATCH(G$2,Inputs!$K$4:$AJ$4,0))))=0,NA(),SUMPRODUCT((Inputs!$A$5:$A$130=$B24)*Inputs!$B$5:$B$130*(((Inputs!$G$5:$G$130="moeda")+(Inputs!$G$5:$G$130="acoes"))*Inputs!$B$1+((Inputs!$G$5:$G$130&lt;&gt;"moeda")*(Inputs!$G$5:$G$130&lt;&gt;"acoes")))*INDEX(Inputs!$K$5:$AJ$130,0,MATCH(G$2,Inputs!$K$4:$AJ$4,0)))+SUMPRODUCT((Inputs!$C$5:$C$130=$B24)*Inputs!$D$5:$D$130*(((Inputs!$G$5:$G$130="moeda")+(Inputs!$G$5:$G$130="acoes"))*Inputs!$B$1+((Inputs!$G$5:$G$130&lt;&gt;"moeda")*(Inputs!$G$5:$G$130&lt;&gt;"acoes")))*INDEX(Inputs!$K$5:$AJ$130,0,MATCH(G$2,Inputs!$K$4:$AJ$4,0)))+SUMPRODUCT((Inputs!$E$5:$E$130=$B24)*Inputs!$F$5:$F$130*(((Inputs!$G$5:$G$130="moeda")+(Inputs!$G$5:$G$130="acoes"))*Inputs!$B$1+((Inputs!$G$5:$G$130&lt;&gt;"moeda")*(Inputs!$G$5:$G$130&lt;&gt;"acoes")))*INDEX(Inputs!$K$5:$AJ$130,0,MATCH(G$2,Inputs!$K$4:$AJ$4,0)))))</f>
        <v>14920</v>
      </c>
      <c r="H24" s="266">
        <f>G24</f>
        <v>14920</v>
      </c>
      <c r="I24" s="265">
        <f>IF(ISNA(MATCH(I$2,Inputs!$K$4:$AJ$4,0)),NA(),IF(SUMPRODUCT((Inputs!$A$5:$A$130=$B24)*ISNUMBER(INDEX(Inputs!$K$5:$AJ$130,0,MATCH(I$2,Inputs!$K$4:$AJ$4,0))))+SUMPRODUCT((Inputs!$C$5:$C$130=$B24)*ISNUMBER(INDEX(Inputs!$K$5:$AJ$130,0,MATCH(I$2,Inputs!$K$4:$AJ$4,0))))+SUMPRODUCT((Inputs!$E$5:$E$130=$B24)*ISNUMBER(INDEX(Inputs!$K$5:$AJ$130,0,MATCH(I$2,Inputs!$K$4:$AJ$4,0))))=0,NA(),SUMPRODUCT((Inputs!$A$5:$A$130=$B24)*Inputs!$B$5:$B$130*(((Inputs!$G$5:$G$130="moeda")+(Inputs!$G$5:$G$130="acoes"))*Inputs!$B$1+((Inputs!$G$5:$G$130&lt;&gt;"moeda")*(Inputs!$G$5:$G$130&lt;&gt;"acoes")))*INDEX(Inputs!$K$5:$AJ$130,0,MATCH(I$2,Inputs!$K$4:$AJ$4,0)))+SUMPRODUCT((Inputs!$C$5:$C$130=$B24)*Inputs!$D$5:$D$130*(((Inputs!$G$5:$G$130="moeda")+(Inputs!$G$5:$G$130="acoes"))*Inputs!$B$1+((Inputs!$G$5:$G$130&lt;&gt;"moeda")*(Inputs!$G$5:$G$130&lt;&gt;"acoes")))*INDEX(Inputs!$K$5:$AJ$130,0,MATCH(I$2,Inputs!$K$4:$AJ$4,0)))+SUMPRODUCT((Inputs!$E$5:$E$130=$B24)*Inputs!$F$5:$F$130*(((Inputs!$G$5:$G$130="moeda")+(Inputs!$G$5:$G$130="acoes"))*Inputs!$B$1+((Inputs!$G$5:$G$130&lt;&gt;"moeda")*(Inputs!$G$5:$G$130&lt;&gt;"acoes")))*INDEX(Inputs!$K$5:$AJ$130,0,MATCH(I$2,Inputs!$K$4:$AJ$4,0)))))</f>
        <v>15200</v>
      </c>
      <c r="J24" s="265">
        <f>IF(ISNA(MATCH(J$2,Inputs!$K$4:$AJ$4,0)),NA(),IF(SUMPRODUCT((Inputs!$A$5:$A$130=$B24)*ISNUMBER(INDEX(Inputs!$K$5:$AJ$130,0,MATCH(J$2,Inputs!$K$4:$AJ$4,0))))+SUMPRODUCT((Inputs!$C$5:$C$130=$B24)*ISNUMBER(INDEX(Inputs!$K$5:$AJ$130,0,MATCH(J$2,Inputs!$K$4:$AJ$4,0))))+SUMPRODUCT((Inputs!$E$5:$E$130=$B24)*ISNUMBER(INDEX(Inputs!$K$5:$AJ$130,0,MATCH(J$2,Inputs!$K$4:$AJ$4,0))))=0,NA(),SUMPRODUCT((Inputs!$A$5:$A$130=$B24)*Inputs!$B$5:$B$130*(((Inputs!$G$5:$G$130="moeda")+(Inputs!$G$5:$G$130="acoes"))*Inputs!$B$1+((Inputs!$G$5:$G$130&lt;&gt;"moeda")*(Inputs!$G$5:$G$130&lt;&gt;"acoes")))*INDEX(Inputs!$K$5:$AJ$130,0,MATCH(J$2,Inputs!$K$4:$AJ$4,0)))+SUMPRODUCT((Inputs!$C$5:$C$130=$B24)*Inputs!$D$5:$D$130*(((Inputs!$G$5:$G$130="moeda")+(Inputs!$G$5:$G$130="acoes"))*Inputs!$B$1+((Inputs!$G$5:$G$130&lt;&gt;"moeda")*(Inputs!$G$5:$G$130&lt;&gt;"acoes")))*INDEX(Inputs!$K$5:$AJ$130,0,MATCH(J$2,Inputs!$K$4:$AJ$4,0)))+SUMPRODUCT((Inputs!$E$5:$E$130=$B24)*Inputs!$F$5:$F$130*(((Inputs!$G$5:$G$130="moeda")+(Inputs!$G$5:$G$130="acoes"))*Inputs!$B$1+((Inputs!$G$5:$G$130&lt;&gt;"moeda")*(Inputs!$G$5:$G$130&lt;&gt;"acoes")))*INDEX(Inputs!$K$5:$AJ$130,0,MATCH(J$2,Inputs!$K$4:$AJ$4,0)))))</f>
        <v>15810</v>
      </c>
      <c r="K24" s="265">
        <f>IF(ISNA(MATCH(K$2,Inputs!$K$4:$AJ$4,0)),NA(),IF(SUMPRODUCT((Inputs!$A$5:$A$130=$B24)*ISNUMBER(INDEX(Inputs!$K$5:$AJ$130,0,MATCH(K$2,Inputs!$K$4:$AJ$4,0))))+SUMPRODUCT((Inputs!$C$5:$C$130=$B24)*ISNUMBER(INDEX(Inputs!$K$5:$AJ$130,0,MATCH(K$2,Inputs!$K$4:$AJ$4,0))))+SUMPRODUCT((Inputs!$E$5:$E$130=$B24)*ISNUMBER(INDEX(Inputs!$K$5:$AJ$130,0,MATCH(K$2,Inputs!$K$4:$AJ$4,0))))=0,NA(),SUMPRODUCT((Inputs!$A$5:$A$130=$B24)*Inputs!$B$5:$B$130*(((Inputs!$G$5:$G$130="moeda")+(Inputs!$G$5:$G$130="acoes"))*Inputs!$B$1+((Inputs!$G$5:$G$130&lt;&gt;"moeda")*(Inputs!$G$5:$G$130&lt;&gt;"acoes")))*INDEX(Inputs!$K$5:$AJ$130,0,MATCH(K$2,Inputs!$K$4:$AJ$4,0)))+SUMPRODUCT((Inputs!$C$5:$C$130=$B24)*Inputs!$D$5:$D$130*(((Inputs!$G$5:$G$130="moeda")+(Inputs!$G$5:$G$130="acoes"))*Inputs!$B$1+((Inputs!$G$5:$G$130&lt;&gt;"moeda")*(Inputs!$G$5:$G$130&lt;&gt;"acoes")))*INDEX(Inputs!$K$5:$AJ$130,0,MATCH(K$2,Inputs!$K$4:$AJ$4,0)))+SUMPRODUCT((Inputs!$E$5:$E$130=$B24)*Inputs!$F$5:$F$130*(((Inputs!$G$5:$G$130="moeda")+(Inputs!$G$5:$G$130="acoes"))*Inputs!$B$1+((Inputs!$G$5:$G$130&lt;&gt;"moeda")*(Inputs!$G$5:$G$130&lt;&gt;"acoes")))*INDEX(Inputs!$K$5:$AJ$130,0,MATCH(K$2,Inputs!$K$4:$AJ$4,0)))))</f>
        <v>15423</v>
      </c>
      <c r="L24" s="265">
        <f>IF(ISNA(MATCH(L$2,Inputs!$K$4:$AJ$4,0)),NA(),IF(SUMPRODUCT((Inputs!$A$5:$A$130=$B24)*ISNUMBER(INDEX(Inputs!$K$5:$AJ$130,0,MATCH(L$2,Inputs!$K$4:$AJ$4,0))))+SUMPRODUCT((Inputs!$C$5:$C$130=$B24)*ISNUMBER(INDEX(Inputs!$K$5:$AJ$130,0,MATCH(L$2,Inputs!$K$4:$AJ$4,0))))+SUMPRODUCT((Inputs!$E$5:$E$130=$B24)*ISNUMBER(INDEX(Inputs!$K$5:$AJ$130,0,MATCH(L$2,Inputs!$K$4:$AJ$4,0))))=0,NA(),SUMPRODUCT((Inputs!$A$5:$A$130=$B24)*Inputs!$B$5:$B$130*(((Inputs!$G$5:$G$130="moeda")+(Inputs!$G$5:$G$130="acoes"))*Inputs!$B$1+((Inputs!$G$5:$G$130&lt;&gt;"moeda")*(Inputs!$G$5:$G$130&lt;&gt;"acoes")))*INDEX(Inputs!$K$5:$AJ$130,0,MATCH(L$2,Inputs!$K$4:$AJ$4,0)))+SUMPRODUCT((Inputs!$C$5:$C$130=$B24)*Inputs!$D$5:$D$130*(((Inputs!$G$5:$G$130="moeda")+(Inputs!$G$5:$G$130="acoes"))*Inputs!$B$1+((Inputs!$G$5:$G$130&lt;&gt;"moeda")*(Inputs!$G$5:$G$130&lt;&gt;"acoes")))*INDEX(Inputs!$K$5:$AJ$130,0,MATCH(L$2,Inputs!$K$4:$AJ$4,0)))+SUMPRODUCT((Inputs!$E$5:$E$130=$B24)*Inputs!$F$5:$F$130*(((Inputs!$G$5:$G$130="moeda")+(Inputs!$G$5:$G$130="acoes"))*Inputs!$B$1+((Inputs!$G$5:$G$130&lt;&gt;"moeda")*(Inputs!$G$5:$G$130&lt;&gt;"acoes")))*INDEX(Inputs!$K$5:$AJ$130,0,MATCH(L$2,Inputs!$K$4:$AJ$4,0)))))</f>
        <v>16039</v>
      </c>
      <c r="M24" s="266">
        <f>L24</f>
        <v>16039</v>
      </c>
      <c r="N24" s="265">
        <f>IF(ISNA(MATCH(N$2,Inputs!$K$4:$AJ$4,0)),NA(),IF(SUMPRODUCT((Inputs!$A$5:$A$130=$B24)*ISNUMBER(INDEX(Inputs!$K$5:$AJ$130,0,MATCH(N$2,Inputs!$K$4:$AJ$4,0))))+SUMPRODUCT((Inputs!$C$5:$C$130=$B24)*ISNUMBER(INDEX(Inputs!$K$5:$AJ$130,0,MATCH(N$2,Inputs!$K$4:$AJ$4,0))))+SUMPRODUCT((Inputs!$E$5:$E$130=$B24)*ISNUMBER(INDEX(Inputs!$K$5:$AJ$130,0,MATCH(N$2,Inputs!$K$4:$AJ$4,0))))=0,NA(),SUMPRODUCT((Inputs!$A$5:$A$130=$B24)*Inputs!$B$5:$B$130*(((Inputs!$G$5:$G$130="moeda")+(Inputs!$G$5:$G$130="acoes"))*Inputs!$B$1+((Inputs!$G$5:$G$130&lt;&gt;"moeda")*(Inputs!$G$5:$G$130&lt;&gt;"acoes")))*INDEX(Inputs!$K$5:$AJ$130,0,MATCH(N$2,Inputs!$K$4:$AJ$4,0)))+SUMPRODUCT((Inputs!$C$5:$C$130=$B24)*Inputs!$D$5:$D$130*(((Inputs!$G$5:$G$130="moeda")+(Inputs!$G$5:$G$130="acoes"))*Inputs!$B$1+((Inputs!$G$5:$G$130&lt;&gt;"moeda")*(Inputs!$G$5:$G$130&lt;&gt;"acoes")))*INDEX(Inputs!$K$5:$AJ$130,0,MATCH(N$2,Inputs!$K$4:$AJ$4,0)))+SUMPRODUCT((Inputs!$E$5:$E$130=$B24)*Inputs!$F$5:$F$130*(((Inputs!$G$5:$G$130="moeda")+(Inputs!$G$5:$G$130="acoes"))*Inputs!$B$1+((Inputs!$G$5:$G$130&lt;&gt;"moeda")*(Inputs!$G$5:$G$130&lt;&gt;"acoes")))*INDEX(Inputs!$K$5:$AJ$130,0,MATCH(N$2,Inputs!$K$4:$AJ$4,0)))))</f>
        <v>17651</v>
      </c>
      <c r="O24" s="265">
        <f>IF(ISNA(MATCH(O$2,Inputs!$K$4:$AJ$4,0)),NA(),IF(SUMPRODUCT((Inputs!$A$5:$A$130=$B24)*ISNUMBER(INDEX(Inputs!$K$5:$AJ$130,0,MATCH(O$2,Inputs!$K$4:$AJ$4,0))))+SUMPRODUCT((Inputs!$C$5:$C$130=$B24)*ISNUMBER(INDEX(Inputs!$K$5:$AJ$130,0,MATCH(O$2,Inputs!$K$4:$AJ$4,0))))+SUMPRODUCT((Inputs!$E$5:$E$130=$B24)*ISNUMBER(INDEX(Inputs!$K$5:$AJ$130,0,MATCH(O$2,Inputs!$K$4:$AJ$4,0))))=0,NA(),SUMPRODUCT((Inputs!$A$5:$A$130=$B24)*Inputs!$B$5:$B$130*(((Inputs!$G$5:$G$130="moeda")+(Inputs!$G$5:$G$130="acoes"))*Inputs!$B$1+((Inputs!$G$5:$G$130&lt;&gt;"moeda")*(Inputs!$G$5:$G$130&lt;&gt;"acoes")))*INDEX(Inputs!$K$5:$AJ$130,0,MATCH(O$2,Inputs!$K$4:$AJ$4,0)))+SUMPRODUCT((Inputs!$C$5:$C$130=$B24)*Inputs!$D$5:$D$130*(((Inputs!$G$5:$G$130="moeda")+(Inputs!$G$5:$G$130="acoes"))*Inputs!$B$1+((Inputs!$G$5:$G$130&lt;&gt;"moeda")*(Inputs!$G$5:$G$130&lt;&gt;"acoes")))*INDEX(Inputs!$K$5:$AJ$130,0,MATCH(O$2,Inputs!$K$4:$AJ$4,0)))+SUMPRODUCT((Inputs!$E$5:$E$130=$B24)*Inputs!$F$5:$F$130*(((Inputs!$G$5:$G$130="moeda")+(Inputs!$G$5:$G$130="acoes"))*Inputs!$B$1+((Inputs!$G$5:$G$130&lt;&gt;"moeda")*(Inputs!$G$5:$G$130&lt;&gt;"acoes")))*INDEX(Inputs!$K$5:$AJ$130,0,MATCH(O$2,Inputs!$K$4:$AJ$4,0)))))</f>
        <v>17655</v>
      </c>
      <c r="P24" s="265">
        <f>IF(ISNA(MATCH(P$2,Inputs!$K$4:$AJ$4,0)),NA(),IF(SUMPRODUCT((Inputs!$A$5:$A$130=$B24)*ISNUMBER(INDEX(Inputs!$K$5:$AJ$130,0,MATCH(P$2,Inputs!$K$4:$AJ$4,0))))+SUMPRODUCT((Inputs!$C$5:$C$130=$B24)*ISNUMBER(INDEX(Inputs!$K$5:$AJ$130,0,MATCH(P$2,Inputs!$K$4:$AJ$4,0))))+SUMPRODUCT((Inputs!$E$5:$E$130=$B24)*ISNUMBER(INDEX(Inputs!$K$5:$AJ$130,0,MATCH(P$2,Inputs!$K$4:$AJ$4,0))))=0,NA(),SUMPRODUCT((Inputs!$A$5:$A$130=$B24)*Inputs!$B$5:$B$130*(((Inputs!$G$5:$G$130="moeda")+(Inputs!$G$5:$G$130="acoes"))*Inputs!$B$1+((Inputs!$G$5:$G$130&lt;&gt;"moeda")*(Inputs!$G$5:$G$130&lt;&gt;"acoes")))*INDEX(Inputs!$K$5:$AJ$130,0,MATCH(P$2,Inputs!$K$4:$AJ$4,0)))+SUMPRODUCT((Inputs!$C$5:$C$130=$B24)*Inputs!$D$5:$D$130*(((Inputs!$G$5:$G$130="moeda")+(Inputs!$G$5:$G$130="acoes"))*Inputs!$B$1+((Inputs!$G$5:$G$130&lt;&gt;"moeda")*(Inputs!$G$5:$G$130&lt;&gt;"acoes")))*INDEX(Inputs!$K$5:$AJ$130,0,MATCH(P$2,Inputs!$K$4:$AJ$4,0)))+SUMPRODUCT((Inputs!$E$5:$E$130=$B24)*Inputs!$F$5:$F$130*(((Inputs!$G$5:$G$130="moeda")+(Inputs!$G$5:$G$130="acoes"))*Inputs!$B$1+((Inputs!$G$5:$G$130&lt;&gt;"moeda")*(Inputs!$G$5:$G$130&lt;&gt;"acoes")))*INDEX(Inputs!$K$5:$AJ$130,0,MATCH(P$2,Inputs!$K$4:$AJ$4,0)))))</f>
        <v>17345</v>
      </c>
      <c r="Q24" s="265">
        <f>IF(ISNA(MATCH(Q$2,Inputs!$K$4:$AJ$4,0)),NA(),IF(SUMPRODUCT((Inputs!$A$5:$A$130=$B24)*ISNUMBER(INDEX(Inputs!$K$5:$AJ$130,0,MATCH(Q$2,Inputs!$K$4:$AJ$4,0))))+SUMPRODUCT((Inputs!$C$5:$C$130=$B24)*ISNUMBER(INDEX(Inputs!$K$5:$AJ$130,0,MATCH(Q$2,Inputs!$K$4:$AJ$4,0))))+SUMPRODUCT((Inputs!$E$5:$E$130=$B24)*ISNUMBER(INDEX(Inputs!$K$5:$AJ$130,0,MATCH(Q$2,Inputs!$K$4:$AJ$4,0))))=0,NA(),SUMPRODUCT((Inputs!$A$5:$A$130=$B24)*Inputs!$B$5:$B$130*(((Inputs!$G$5:$G$130="moeda")+(Inputs!$G$5:$G$130="acoes"))*Inputs!$B$1+((Inputs!$G$5:$G$130&lt;&gt;"moeda")*(Inputs!$G$5:$G$130&lt;&gt;"acoes")))*INDEX(Inputs!$K$5:$AJ$130,0,MATCH(Q$2,Inputs!$K$4:$AJ$4,0)))+SUMPRODUCT((Inputs!$C$5:$C$130=$B24)*Inputs!$D$5:$D$130*(((Inputs!$G$5:$G$130="moeda")+(Inputs!$G$5:$G$130="acoes"))*Inputs!$B$1+((Inputs!$G$5:$G$130&lt;&gt;"moeda")*(Inputs!$G$5:$G$130&lt;&gt;"acoes")))*INDEX(Inputs!$K$5:$AJ$130,0,MATCH(Q$2,Inputs!$K$4:$AJ$4,0)))+SUMPRODUCT((Inputs!$E$5:$E$130=$B24)*Inputs!$F$5:$F$130*(((Inputs!$G$5:$G$130="moeda")+(Inputs!$G$5:$G$130="acoes"))*Inputs!$B$1+((Inputs!$G$5:$G$130&lt;&gt;"moeda")*(Inputs!$G$5:$G$130&lt;&gt;"acoes")))*INDEX(Inputs!$K$5:$AJ$130,0,MATCH(Q$2,Inputs!$K$4:$AJ$4,0)))))</f>
        <v>16660</v>
      </c>
      <c r="R24" s="266">
        <f>Q24</f>
        <v>16660</v>
      </c>
      <c r="S24" s="265">
        <f>IF(ISNA(MATCH(S$2,Inputs!$K$4:$AJ$4,0)),NA(),IF(SUMPRODUCT((Inputs!$A$5:$A$130=$B24)*ISNUMBER(INDEX(Inputs!$K$5:$AJ$130,0,MATCH(S$2,Inputs!$K$4:$AJ$4,0))))+SUMPRODUCT((Inputs!$C$5:$C$130=$B24)*ISNUMBER(INDEX(Inputs!$K$5:$AJ$130,0,MATCH(S$2,Inputs!$K$4:$AJ$4,0))))+SUMPRODUCT((Inputs!$E$5:$E$130=$B24)*ISNUMBER(INDEX(Inputs!$K$5:$AJ$130,0,MATCH(S$2,Inputs!$K$4:$AJ$4,0))))=0,NA(),SUMPRODUCT((Inputs!$A$5:$A$130=$B24)*Inputs!$B$5:$B$130*(((Inputs!$G$5:$G$130="moeda")+(Inputs!$G$5:$G$130="acoes"))*Inputs!$B$1+((Inputs!$G$5:$G$130&lt;&gt;"moeda")*(Inputs!$G$5:$G$130&lt;&gt;"acoes")))*INDEX(Inputs!$K$5:$AJ$130,0,MATCH(S$2,Inputs!$K$4:$AJ$4,0)))+SUMPRODUCT((Inputs!$C$5:$C$130=$B24)*Inputs!$D$5:$D$130*(((Inputs!$G$5:$G$130="moeda")+(Inputs!$G$5:$G$130="acoes"))*Inputs!$B$1+((Inputs!$G$5:$G$130&lt;&gt;"moeda")*(Inputs!$G$5:$G$130&lt;&gt;"acoes")))*INDEX(Inputs!$K$5:$AJ$130,0,MATCH(S$2,Inputs!$K$4:$AJ$4,0)))+SUMPRODUCT((Inputs!$E$5:$E$130=$B24)*Inputs!$F$5:$F$130*(((Inputs!$G$5:$G$130="moeda")+(Inputs!$G$5:$G$130="acoes"))*Inputs!$B$1+((Inputs!$G$5:$G$130&lt;&gt;"moeda")*(Inputs!$G$5:$G$130&lt;&gt;"acoes")))*INDEX(Inputs!$K$5:$AJ$130,0,MATCH(S$2,Inputs!$K$4:$AJ$4,0)))))</f>
        <v>16554</v>
      </c>
      <c r="T24" s="265">
        <f>IF(ISNA(MATCH(T$2,Inputs!$K$4:$AJ$4,0)),NA(),IF(SUMPRODUCT((Inputs!$A$5:$A$130=$B24)*ISNUMBER(INDEX(Inputs!$K$5:$AJ$130,0,MATCH(T$2,Inputs!$K$4:$AJ$4,0))))+SUMPRODUCT((Inputs!$C$5:$C$130=$B24)*ISNUMBER(INDEX(Inputs!$K$5:$AJ$130,0,MATCH(T$2,Inputs!$K$4:$AJ$4,0))))+SUMPRODUCT((Inputs!$E$5:$E$130=$B24)*ISNUMBER(INDEX(Inputs!$K$5:$AJ$130,0,MATCH(T$2,Inputs!$K$4:$AJ$4,0))))=0,NA(),SUMPRODUCT((Inputs!$A$5:$A$130=$B24)*Inputs!$B$5:$B$130*(((Inputs!$G$5:$G$130="moeda")+(Inputs!$G$5:$G$130="acoes"))*Inputs!$B$1+((Inputs!$G$5:$G$130&lt;&gt;"moeda")*(Inputs!$G$5:$G$130&lt;&gt;"acoes")))*INDEX(Inputs!$K$5:$AJ$130,0,MATCH(T$2,Inputs!$K$4:$AJ$4,0)))+SUMPRODUCT((Inputs!$C$5:$C$130=$B24)*Inputs!$D$5:$D$130*(((Inputs!$G$5:$G$130="moeda")+(Inputs!$G$5:$G$130="acoes"))*Inputs!$B$1+((Inputs!$G$5:$G$130&lt;&gt;"moeda")*(Inputs!$G$5:$G$130&lt;&gt;"acoes")))*INDEX(Inputs!$K$5:$AJ$130,0,MATCH(T$2,Inputs!$K$4:$AJ$4,0)))+SUMPRODUCT((Inputs!$E$5:$E$130=$B24)*Inputs!$F$5:$F$130*(((Inputs!$G$5:$G$130="moeda")+(Inputs!$G$5:$G$130="acoes"))*Inputs!$B$1+((Inputs!$G$5:$G$130&lt;&gt;"moeda")*(Inputs!$G$5:$G$130&lt;&gt;"acoes")))*INDEX(Inputs!$K$5:$AJ$130,0,MATCH(T$2,Inputs!$K$4:$AJ$4,0)))))</f>
        <v>16538</v>
      </c>
      <c r="U24" s="265">
        <f>IF(ISNA(MATCH(U$2,Inputs!$K$4:$AJ$4,0)),NA(),IF(SUMPRODUCT((Inputs!$A$5:$A$130=$B24)*ISNUMBER(INDEX(Inputs!$K$5:$AJ$130,0,MATCH(U$2,Inputs!$K$4:$AJ$4,0))))+SUMPRODUCT((Inputs!$C$5:$C$130=$B24)*ISNUMBER(INDEX(Inputs!$K$5:$AJ$130,0,MATCH(U$2,Inputs!$K$4:$AJ$4,0))))+SUMPRODUCT((Inputs!$E$5:$E$130=$B24)*ISNUMBER(INDEX(Inputs!$K$5:$AJ$130,0,MATCH(U$2,Inputs!$K$4:$AJ$4,0))))=0,NA(),SUMPRODUCT((Inputs!$A$5:$A$130=$B24)*Inputs!$B$5:$B$130*(((Inputs!$G$5:$G$130="moeda")+(Inputs!$G$5:$G$130="acoes"))*Inputs!$B$1+((Inputs!$G$5:$G$130&lt;&gt;"moeda")*(Inputs!$G$5:$G$130&lt;&gt;"acoes")))*INDEX(Inputs!$K$5:$AJ$130,0,MATCH(U$2,Inputs!$K$4:$AJ$4,0)))+SUMPRODUCT((Inputs!$C$5:$C$130=$B24)*Inputs!$D$5:$D$130*(((Inputs!$G$5:$G$130="moeda")+(Inputs!$G$5:$G$130="acoes"))*Inputs!$B$1+((Inputs!$G$5:$G$130&lt;&gt;"moeda")*(Inputs!$G$5:$G$130&lt;&gt;"acoes")))*INDEX(Inputs!$K$5:$AJ$130,0,MATCH(U$2,Inputs!$K$4:$AJ$4,0)))+SUMPRODUCT((Inputs!$E$5:$E$130=$B24)*Inputs!$F$5:$F$130*(((Inputs!$G$5:$G$130="moeda")+(Inputs!$G$5:$G$130="acoes"))*Inputs!$B$1+((Inputs!$G$5:$G$130&lt;&gt;"moeda")*(Inputs!$G$5:$G$130&lt;&gt;"acoes")))*INDEX(Inputs!$K$5:$AJ$130,0,MATCH(U$2,Inputs!$K$4:$AJ$4,0)))))</f>
        <v>16600</v>
      </c>
      <c r="V24" s="265">
        <f>IF(ISNA(MATCH(V$2,Inputs!$K$4:$AJ$4,0)),NA(),IF(SUMPRODUCT((Inputs!$A$5:$A$130=$B24)*ISNUMBER(INDEX(Inputs!$K$5:$AJ$130,0,MATCH(V$2,Inputs!$K$4:$AJ$4,0))))+SUMPRODUCT((Inputs!$C$5:$C$130=$B24)*ISNUMBER(INDEX(Inputs!$K$5:$AJ$130,0,MATCH(V$2,Inputs!$K$4:$AJ$4,0))))+SUMPRODUCT((Inputs!$E$5:$E$130=$B24)*ISNUMBER(INDEX(Inputs!$K$5:$AJ$130,0,MATCH(V$2,Inputs!$K$4:$AJ$4,0))))=0,NA(),SUMPRODUCT((Inputs!$A$5:$A$130=$B24)*Inputs!$B$5:$B$130*(((Inputs!$G$5:$G$130="moeda")+(Inputs!$G$5:$G$130="acoes"))*Inputs!$B$1+((Inputs!$G$5:$G$130&lt;&gt;"moeda")*(Inputs!$G$5:$G$130&lt;&gt;"acoes")))*INDEX(Inputs!$K$5:$AJ$130,0,MATCH(V$2,Inputs!$K$4:$AJ$4,0)))+SUMPRODUCT((Inputs!$C$5:$C$130=$B24)*Inputs!$D$5:$D$130*(((Inputs!$G$5:$G$130="moeda")+(Inputs!$G$5:$G$130="acoes"))*Inputs!$B$1+((Inputs!$G$5:$G$130&lt;&gt;"moeda")*(Inputs!$G$5:$G$130&lt;&gt;"acoes")))*INDEX(Inputs!$K$5:$AJ$130,0,MATCH(V$2,Inputs!$K$4:$AJ$4,0)))+SUMPRODUCT((Inputs!$E$5:$E$130=$B24)*Inputs!$F$5:$F$130*(((Inputs!$G$5:$G$130="moeda")+(Inputs!$G$5:$G$130="acoes"))*Inputs!$B$1+((Inputs!$G$5:$G$130&lt;&gt;"moeda")*(Inputs!$G$5:$G$130&lt;&gt;"acoes")))*INDEX(Inputs!$K$5:$AJ$130,0,MATCH(V$2,Inputs!$K$4:$AJ$4,0)))))</f>
        <v>16032</v>
      </c>
      <c r="W24" s="266">
        <f>V24</f>
        <v>16032</v>
      </c>
      <c r="X24" s="265">
        <f>IF(ISNA(MATCH(X$2,Inputs!$K$4:$AJ$4,0)),NA(),IF(SUMPRODUCT((Inputs!$A$5:$A$130=$B24)*ISNUMBER(INDEX(Inputs!$K$5:$AJ$130,0,MATCH(X$2,Inputs!$K$4:$AJ$4,0))))+SUMPRODUCT((Inputs!$C$5:$C$130=$B24)*ISNUMBER(INDEX(Inputs!$K$5:$AJ$130,0,MATCH(X$2,Inputs!$K$4:$AJ$4,0))))+SUMPRODUCT((Inputs!$E$5:$E$130=$B24)*ISNUMBER(INDEX(Inputs!$K$5:$AJ$130,0,MATCH(X$2,Inputs!$K$4:$AJ$4,0))))=0,NA(),SUMPRODUCT((Inputs!$A$5:$A$130=$B24)*Inputs!$B$5:$B$130*(((Inputs!$G$5:$G$130="moeda")+(Inputs!$G$5:$G$130="acoes"))*Inputs!$B$1+((Inputs!$G$5:$G$130&lt;&gt;"moeda")*(Inputs!$G$5:$G$130&lt;&gt;"acoes")))*INDEX(Inputs!$K$5:$AJ$130,0,MATCH(X$2,Inputs!$K$4:$AJ$4,0)))+SUMPRODUCT((Inputs!$C$5:$C$130=$B24)*Inputs!$D$5:$D$130*(((Inputs!$G$5:$G$130="moeda")+(Inputs!$G$5:$G$130="acoes"))*Inputs!$B$1+((Inputs!$G$5:$G$130&lt;&gt;"moeda")*(Inputs!$G$5:$G$130&lt;&gt;"acoes")))*INDEX(Inputs!$K$5:$AJ$130,0,MATCH(X$2,Inputs!$K$4:$AJ$4,0)))+SUMPRODUCT((Inputs!$E$5:$E$130=$B24)*Inputs!$F$5:$F$130*(((Inputs!$G$5:$G$130="moeda")+(Inputs!$G$5:$G$130="acoes"))*Inputs!$B$1+((Inputs!$G$5:$G$130&lt;&gt;"moeda")*(Inputs!$G$5:$G$130&lt;&gt;"acoes")))*INDEX(Inputs!$K$5:$AJ$130,0,MATCH(X$2,Inputs!$K$4:$AJ$4,0)))))</f>
        <v>16072</v>
      </c>
      <c r="Y24" s="265">
        <f>IF(ISNA(MATCH(Y$2,Inputs!$K$4:$AJ$4,0)),NA(),IF(SUMPRODUCT((Inputs!$A$5:$A$130=$B24)*ISNUMBER(INDEX(Inputs!$K$5:$AJ$130,0,MATCH(Y$2,Inputs!$K$4:$AJ$4,0))))+SUMPRODUCT((Inputs!$C$5:$C$130=$B24)*ISNUMBER(INDEX(Inputs!$K$5:$AJ$130,0,MATCH(Y$2,Inputs!$K$4:$AJ$4,0))))+SUMPRODUCT((Inputs!$E$5:$E$130=$B24)*ISNUMBER(INDEX(Inputs!$K$5:$AJ$130,0,MATCH(Y$2,Inputs!$K$4:$AJ$4,0))))=0,NA(),SUMPRODUCT((Inputs!$A$5:$A$130=$B24)*Inputs!$B$5:$B$130*(((Inputs!$G$5:$G$130="moeda")+(Inputs!$G$5:$G$130="acoes"))*Inputs!$B$1+((Inputs!$G$5:$G$130&lt;&gt;"moeda")*(Inputs!$G$5:$G$130&lt;&gt;"acoes")))*INDEX(Inputs!$K$5:$AJ$130,0,MATCH(Y$2,Inputs!$K$4:$AJ$4,0)))+SUMPRODUCT((Inputs!$C$5:$C$130=$B24)*Inputs!$D$5:$D$130*(((Inputs!$G$5:$G$130="moeda")+(Inputs!$G$5:$G$130="acoes"))*Inputs!$B$1+((Inputs!$G$5:$G$130&lt;&gt;"moeda")*(Inputs!$G$5:$G$130&lt;&gt;"acoes")))*INDEX(Inputs!$K$5:$AJ$130,0,MATCH(Y$2,Inputs!$K$4:$AJ$4,0)))+SUMPRODUCT((Inputs!$E$5:$E$130=$B24)*Inputs!$F$5:$F$130*(((Inputs!$G$5:$G$130="moeda")+(Inputs!$G$5:$G$130="acoes"))*Inputs!$B$1+((Inputs!$G$5:$G$130&lt;&gt;"moeda")*(Inputs!$G$5:$G$130&lt;&gt;"acoes")))*INDEX(Inputs!$K$5:$AJ$130,0,MATCH(Y$2,Inputs!$K$4:$AJ$4,0)))))</f>
        <v>16332</v>
      </c>
      <c r="Z24" s="265">
        <f>IF(ISNA(MATCH(Z$2,Inputs!$K$4:$AJ$4,0)),NA(),IF(SUMPRODUCT((Inputs!$A$5:$A$130=$B24)*ISNUMBER(INDEX(Inputs!$K$5:$AJ$130,0,MATCH(Z$2,Inputs!$K$4:$AJ$4,0))))+SUMPRODUCT((Inputs!$C$5:$C$130=$B24)*ISNUMBER(INDEX(Inputs!$K$5:$AJ$130,0,MATCH(Z$2,Inputs!$K$4:$AJ$4,0))))+SUMPRODUCT((Inputs!$E$5:$E$130=$B24)*ISNUMBER(INDEX(Inputs!$K$5:$AJ$130,0,MATCH(Z$2,Inputs!$K$4:$AJ$4,0))))=0,NA(),SUMPRODUCT((Inputs!$A$5:$A$130=$B24)*Inputs!$B$5:$B$130*(((Inputs!$G$5:$G$130="moeda")+(Inputs!$G$5:$G$130="acoes"))*Inputs!$B$1+((Inputs!$G$5:$G$130&lt;&gt;"moeda")*(Inputs!$G$5:$G$130&lt;&gt;"acoes")))*INDEX(Inputs!$K$5:$AJ$130,0,MATCH(Z$2,Inputs!$K$4:$AJ$4,0)))+SUMPRODUCT((Inputs!$C$5:$C$130=$B24)*Inputs!$D$5:$D$130*(((Inputs!$G$5:$G$130="moeda")+(Inputs!$G$5:$G$130="acoes"))*Inputs!$B$1+((Inputs!$G$5:$G$130&lt;&gt;"moeda")*(Inputs!$G$5:$G$130&lt;&gt;"acoes")))*INDEX(Inputs!$K$5:$AJ$130,0,MATCH(Z$2,Inputs!$K$4:$AJ$4,0)))+SUMPRODUCT((Inputs!$E$5:$E$130=$B24)*Inputs!$F$5:$F$130*(((Inputs!$G$5:$G$130="moeda")+(Inputs!$G$5:$G$130="acoes"))*Inputs!$B$1+((Inputs!$G$5:$G$130&lt;&gt;"moeda")*(Inputs!$G$5:$G$130&lt;&gt;"acoes")))*INDEX(Inputs!$K$5:$AJ$130,0,MATCH(Z$2,Inputs!$K$4:$AJ$4,0)))))</f>
        <v>16034</v>
      </c>
      <c r="AA24" s="265">
        <f>IF(ISNA(MATCH(AA$2,Inputs!$K$4:$AJ$4,0)),NA(),IF(SUMPRODUCT((Inputs!$A$5:$A$130=$B24)*ISNUMBER(INDEX(Inputs!$K$5:$AJ$130,0,MATCH(AA$2,Inputs!$K$4:$AJ$4,0))))+SUMPRODUCT((Inputs!$C$5:$C$130=$B24)*ISNUMBER(INDEX(Inputs!$K$5:$AJ$130,0,MATCH(AA$2,Inputs!$K$4:$AJ$4,0))))+SUMPRODUCT((Inputs!$E$5:$E$130=$B24)*ISNUMBER(INDEX(Inputs!$K$5:$AJ$130,0,MATCH(AA$2,Inputs!$K$4:$AJ$4,0))))=0,NA(),SUMPRODUCT((Inputs!$A$5:$A$130=$B24)*Inputs!$B$5:$B$130*(((Inputs!$G$5:$G$130="moeda")+(Inputs!$G$5:$G$130="acoes"))*Inputs!$B$1+((Inputs!$G$5:$G$130&lt;&gt;"moeda")*(Inputs!$G$5:$G$130&lt;&gt;"acoes")))*INDEX(Inputs!$K$5:$AJ$130,0,MATCH(AA$2,Inputs!$K$4:$AJ$4,0)))+SUMPRODUCT((Inputs!$C$5:$C$130=$B24)*Inputs!$D$5:$D$130*(((Inputs!$G$5:$G$130="moeda")+(Inputs!$G$5:$G$130="acoes"))*Inputs!$B$1+((Inputs!$G$5:$G$130&lt;&gt;"moeda")*(Inputs!$G$5:$G$130&lt;&gt;"acoes")))*INDEX(Inputs!$K$5:$AJ$130,0,MATCH(AA$2,Inputs!$K$4:$AJ$4,0)))+SUMPRODUCT((Inputs!$E$5:$E$130=$B24)*Inputs!$F$5:$F$130*(((Inputs!$G$5:$G$130="moeda")+(Inputs!$G$5:$G$130="acoes"))*Inputs!$B$1+((Inputs!$G$5:$G$130&lt;&gt;"moeda")*(Inputs!$G$5:$G$130&lt;&gt;"acoes")))*INDEX(Inputs!$K$5:$AJ$130,0,MATCH(AA$2,Inputs!$K$4:$AJ$4,0)))))</f>
        <v>15662</v>
      </c>
      <c r="AB24" s="266">
        <f>AA24</f>
        <v>15662</v>
      </c>
      <c r="AC24" s="265">
        <f>IF(ISNA(MATCH(AC$2,Inputs!$K$4:$AJ$4,0)),NA(),IF(SUMPRODUCT((Inputs!$A$5:$A$130=$B24)*ISNUMBER(INDEX(Inputs!$K$5:$AJ$130,0,MATCH(AC$2,Inputs!$K$4:$AJ$4,0))))+SUMPRODUCT((Inputs!$C$5:$C$130=$B24)*ISNUMBER(INDEX(Inputs!$K$5:$AJ$130,0,MATCH(AC$2,Inputs!$K$4:$AJ$4,0))))+SUMPRODUCT((Inputs!$E$5:$E$130=$B24)*ISNUMBER(INDEX(Inputs!$K$5:$AJ$130,0,MATCH(AC$2,Inputs!$K$4:$AJ$4,0))))=0,NA(),SUMPRODUCT((Inputs!$A$5:$A$130=$B24)*Inputs!$B$5:$B$130*(((Inputs!$G$5:$G$130="moeda")+(Inputs!$G$5:$G$130="acoes"))*Inputs!$B$1+((Inputs!$G$5:$G$130&lt;&gt;"moeda")*(Inputs!$G$5:$G$130&lt;&gt;"acoes")))*INDEX(Inputs!$K$5:$AJ$130,0,MATCH(AC$2,Inputs!$K$4:$AJ$4,0)))+SUMPRODUCT((Inputs!$C$5:$C$130=$B24)*Inputs!$D$5:$D$130*(((Inputs!$G$5:$G$130="moeda")+(Inputs!$G$5:$G$130="acoes"))*Inputs!$B$1+((Inputs!$G$5:$G$130&lt;&gt;"moeda")*(Inputs!$G$5:$G$130&lt;&gt;"acoes")))*INDEX(Inputs!$K$5:$AJ$130,0,MATCH(AC$2,Inputs!$K$4:$AJ$4,0)))+SUMPRODUCT((Inputs!$E$5:$E$130=$B24)*Inputs!$F$5:$F$130*(((Inputs!$G$5:$G$130="moeda")+(Inputs!$G$5:$G$130="acoes"))*Inputs!$B$1+((Inputs!$G$5:$G$130&lt;&gt;"moeda")*(Inputs!$G$5:$G$130&lt;&gt;"acoes")))*INDEX(Inputs!$K$5:$AJ$130,0,MATCH(AC$2,Inputs!$K$4:$AJ$4,0)))))</f>
        <v>15189</v>
      </c>
      <c r="AD24" s="265">
        <f>IF(ISNA(MATCH(AD$2,Inputs!$K$4:$AJ$4,0)),NA(),IF(SUMPRODUCT((Inputs!$A$5:$A$130=$B24)*ISNUMBER(INDEX(Inputs!$K$5:$AJ$130,0,MATCH(AD$2,Inputs!$K$4:$AJ$4,0))))+SUMPRODUCT((Inputs!$C$5:$C$130=$B24)*ISNUMBER(INDEX(Inputs!$K$5:$AJ$130,0,MATCH(AD$2,Inputs!$K$4:$AJ$4,0))))+SUMPRODUCT((Inputs!$E$5:$E$130=$B24)*ISNUMBER(INDEX(Inputs!$K$5:$AJ$130,0,MATCH(AD$2,Inputs!$K$4:$AJ$4,0))))=0,NA(),SUMPRODUCT((Inputs!$A$5:$A$130=$B24)*Inputs!$B$5:$B$130*(((Inputs!$G$5:$G$130="moeda")+(Inputs!$G$5:$G$130="acoes"))*Inputs!$B$1+((Inputs!$G$5:$G$130&lt;&gt;"moeda")*(Inputs!$G$5:$G$130&lt;&gt;"acoes")))*INDEX(Inputs!$K$5:$AJ$130,0,MATCH(AD$2,Inputs!$K$4:$AJ$4,0)))+SUMPRODUCT((Inputs!$C$5:$C$130=$B24)*Inputs!$D$5:$D$130*(((Inputs!$G$5:$G$130="moeda")+(Inputs!$G$5:$G$130="acoes"))*Inputs!$B$1+((Inputs!$G$5:$G$130&lt;&gt;"moeda")*(Inputs!$G$5:$G$130&lt;&gt;"acoes")))*INDEX(Inputs!$K$5:$AJ$130,0,MATCH(AD$2,Inputs!$K$4:$AJ$4,0)))+SUMPRODUCT((Inputs!$E$5:$E$130=$B24)*Inputs!$F$5:$F$130*(((Inputs!$G$5:$G$130="moeda")+(Inputs!$G$5:$G$130="acoes"))*Inputs!$B$1+((Inputs!$G$5:$G$130&lt;&gt;"moeda")*(Inputs!$G$5:$G$130&lt;&gt;"acoes")))*INDEX(Inputs!$K$5:$AJ$130,0,MATCH(AD$2,Inputs!$K$4:$AJ$4,0)))))</f>
        <v>14969</v>
      </c>
      <c r="AE24" s="265" t="e">
        <f>IF(ISNA(MATCH(AE$2,Inputs!$K$4:$AJ$4,0)),NA(),IF(SUMPRODUCT((Inputs!$A$5:$A$130=$B24)*ISNUMBER(INDEX(Inputs!$K$5:$AJ$130,0,MATCH(AE$2,Inputs!$K$4:$AJ$4,0))))+SUMPRODUCT((Inputs!$C$5:$C$130=$B24)*ISNUMBER(INDEX(Inputs!$K$5:$AJ$130,0,MATCH(AE$2,Inputs!$K$4:$AJ$4,0))))+SUMPRODUCT((Inputs!$E$5:$E$130=$B24)*ISNUMBER(INDEX(Inputs!$K$5:$AJ$130,0,MATCH(AE$2,Inputs!$K$4:$AJ$4,0))))=0,NA(),SUMPRODUCT((Inputs!$A$5:$A$130=$B24)*Inputs!$B$5:$B$130*(((Inputs!$G$5:$G$130="moeda")+(Inputs!$G$5:$G$130="acoes"))*Inputs!$B$1+((Inputs!$G$5:$G$130&lt;&gt;"moeda")*(Inputs!$G$5:$G$130&lt;&gt;"acoes")))*INDEX(Inputs!$K$5:$AJ$130,0,MATCH(AE$2,Inputs!$K$4:$AJ$4,0)))+SUMPRODUCT((Inputs!$C$5:$C$130=$B24)*Inputs!$D$5:$D$130*(((Inputs!$G$5:$G$130="moeda")+(Inputs!$G$5:$G$130="acoes"))*Inputs!$B$1+((Inputs!$G$5:$G$130&lt;&gt;"moeda")*(Inputs!$G$5:$G$130&lt;&gt;"acoes")))*INDEX(Inputs!$K$5:$AJ$130,0,MATCH(AE$2,Inputs!$K$4:$AJ$4,0)))+SUMPRODUCT((Inputs!$E$5:$E$130=$B24)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4" s="265" t="e">
        <f>IF(ISNA(MATCH(AF$2,Inputs!$K$4:$AJ$4,0)),NA(),IF(SUMPRODUCT((Inputs!$A$5:$A$130=$B24)*ISNUMBER(INDEX(Inputs!$K$5:$AJ$130,0,MATCH(AF$2,Inputs!$K$4:$AJ$4,0))))+SUMPRODUCT((Inputs!$C$5:$C$130=$B24)*ISNUMBER(INDEX(Inputs!$K$5:$AJ$130,0,MATCH(AF$2,Inputs!$K$4:$AJ$4,0))))+SUMPRODUCT((Inputs!$E$5:$E$130=$B24)*ISNUMBER(INDEX(Inputs!$K$5:$AJ$130,0,MATCH(AF$2,Inputs!$K$4:$AJ$4,0))))=0,NA(),SUMPRODUCT((Inputs!$A$5:$A$130=$B24)*Inputs!$B$5:$B$130*(((Inputs!$G$5:$G$130="moeda")+(Inputs!$G$5:$G$130="acoes"))*Inputs!$B$1+((Inputs!$G$5:$G$130&lt;&gt;"moeda")*(Inputs!$G$5:$G$130&lt;&gt;"acoes")))*INDEX(Inputs!$K$5:$AJ$130,0,MATCH(AF$2,Inputs!$K$4:$AJ$4,0)))+SUMPRODUCT((Inputs!$C$5:$C$130=$B24)*Inputs!$D$5:$D$130*(((Inputs!$G$5:$G$130="moeda")+(Inputs!$G$5:$G$130="acoes"))*Inputs!$B$1+((Inputs!$G$5:$G$130&lt;&gt;"moeda")*(Inputs!$G$5:$G$130&lt;&gt;"acoes")))*INDEX(Inputs!$K$5:$AJ$130,0,MATCH(AF$2,Inputs!$K$4:$AJ$4,0)))+SUMPRODUCT((Inputs!$E$5:$E$130=$B24)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4" s="266" t="e">
        <f>AF24</f>
        <v>#N/A</v>
      </c>
      <c r="AH24" s="265" t="e">
        <f>IF(ISNA(MATCH(AH$2,Inputs!$K$4:$AJ$4,0)),NA(),IF(SUMPRODUCT((Inputs!$A$5:$A$130=$B24)*ISNUMBER(INDEX(Inputs!$K$5:$AJ$130,0,MATCH(AH$2,Inputs!$K$4:$AJ$4,0))))+SUMPRODUCT((Inputs!$C$5:$C$130=$B24)*ISNUMBER(INDEX(Inputs!$K$5:$AJ$130,0,MATCH(AH$2,Inputs!$K$4:$AJ$4,0))))+SUMPRODUCT((Inputs!$E$5:$E$130=$B24)*ISNUMBER(INDEX(Inputs!$K$5:$AJ$130,0,MATCH(AH$2,Inputs!$K$4:$AJ$4,0))))=0,NA(),SUMPRODUCT((Inputs!$A$5:$A$130=$B24)*Inputs!$B$5:$B$130*(((Inputs!$G$5:$G$130="moeda")+(Inputs!$G$5:$G$130="acoes"))*Inputs!$B$1+((Inputs!$G$5:$G$130&lt;&gt;"moeda")*(Inputs!$G$5:$G$130&lt;&gt;"acoes")))*INDEX(Inputs!$K$5:$AJ$130,0,MATCH(AH$2,Inputs!$K$4:$AJ$4,0)))+SUMPRODUCT((Inputs!$C$5:$C$130=$B24)*Inputs!$D$5:$D$130*(((Inputs!$G$5:$G$130="moeda")+(Inputs!$G$5:$G$130="acoes"))*Inputs!$B$1+((Inputs!$G$5:$G$130&lt;&gt;"moeda")*(Inputs!$G$5:$G$130&lt;&gt;"acoes")))*INDEX(Inputs!$K$5:$AJ$130,0,MATCH(AH$2,Inputs!$K$4:$AJ$4,0)))+SUMPRODUCT((Inputs!$E$5:$E$130=$B24)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24" s="265" t="e">
        <f>IF(ISNA(MATCH(AI$2,Inputs!$K$4:$AJ$4,0)),NA(),IF(SUMPRODUCT((Inputs!$A$5:$A$130=$B24)*ISNUMBER(INDEX(Inputs!$K$5:$AJ$130,0,MATCH(AI$2,Inputs!$K$4:$AJ$4,0))))+SUMPRODUCT((Inputs!$C$5:$C$130=$B24)*ISNUMBER(INDEX(Inputs!$K$5:$AJ$130,0,MATCH(AI$2,Inputs!$K$4:$AJ$4,0))))+SUMPRODUCT((Inputs!$E$5:$E$130=$B24)*ISNUMBER(INDEX(Inputs!$K$5:$AJ$130,0,MATCH(AI$2,Inputs!$K$4:$AJ$4,0))))=0,NA(),SUMPRODUCT((Inputs!$A$5:$A$130=$B24)*Inputs!$B$5:$B$130*(((Inputs!$G$5:$G$130="moeda")+(Inputs!$G$5:$G$130="acoes"))*Inputs!$B$1+((Inputs!$G$5:$G$130&lt;&gt;"moeda")*(Inputs!$G$5:$G$130&lt;&gt;"acoes")))*INDEX(Inputs!$K$5:$AJ$130,0,MATCH(AI$2,Inputs!$K$4:$AJ$4,0)))+SUMPRODUCT((Inputs!$C$5:$C$130=$B24)*Inputs!$D$5:$D$130*(((Inputs!$G$5:$G$130="moeda")+(Inputs!$G$5:$G$130="acoes"))*Inputs!$B$1+((Inputs!$G$5:$G$130&lt;&gt;"moeda")*(Inputs!$G$5:$G$130&lt;&gt;"acoes")))*INDEX(Inputs!$K$5:$AJ$130,0,MATCH(AI$2,Inputs!$K$4:$AJ$4,0)))+SUMPRODUCT((Inputs!$E$5:$E$130=$B24)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24" s="265" t="e">
        <f>IF(ISNA(MATCH(AJ$2,Inputs!$K$4:$AJ$4,0)),NA(),IF(SUMPRODUCT((Inputs!$A$5:$A$130=$B24)*ISNUMBER(INDEX(Inputs!$K$5:$AJ$130,0,MATCH(AJ$2,Inputs!$K$4:$AJ$4,0))))+SUMPRODUCT((Inputs!$C$5:$C$130=$B24)*ISNUMBER(INDEX(Inputs!$K$5:$AJ$130,0,MATCH(AJ$2,Inputs!$K$4:$AJ$4,0))))+SUMPRODUCT((Inputs!$E$5:$E$130=$B24)*ISNUMBER(INDEX(Inputs!$K$5:$AJ$130,0,MATCH(AJ$2,Inputs!$K$4:$AJ$4,0))))=0,NA(),SUMPRODUCT((Inputs!$A$5:$A$130=$B24)*Inputs!$B$5:$B$130*(((Inputs!$G$5:$G$130="moeda")+(Inputs!$G$5:$G$130="acoes"))*Inputs!$B$1+((Inputs!$G$5:$G$130&lt;&gt;"moeda")*(Inputs!$G$5:$G$130&lt;&gt;"acoes")))*INDEX(Inputs!$K$5:$AJ$130,0,MATCH(AJ$2,Inputs!$K$4:$AJ$4,0)))+SUMPRODUCT((Inputs!$C$5:$C$130=$B24)*Inputs!$D$5:$D$130*(((Inputs!$G$5:$G$130="moeda")+(Inputs!$G$5:$G$130="acoes"))*Inputs!$B$1+((Inputs!$G$5:$G$130&lt;&gt;"moeda")*(Inputs!$G$5:$G$130&lt;&gt;"acoes")))*INDEX(Inputs!$K$5:$AJ$130,0,MATCH(AJ$2,Inputs!$K$4:$AJ$4,0)))+SUMPRODUCT((Inputs!$E$5:$E$130=$B24)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24" s="265" t="e">
        <f>IF(ISNA(MATCH(AK$2,Inputs!$K$4:$AJ$4,0)),NA(),IF(SUMPRODUCT((Inputs!$A$5:$A$130=$B24)*ISNUMBER(INDEX(Inputs!$K$5:$AJ$130,0,MATCH(AK$2,Inputs!$K$4:$AJ$4,0))))+SUMPRODUCT((Inputs!$C$5:$C$130=$B24)*ISNUMBER(INDEX(Inputs!$K$5:$AJ$130,0,MATCH(AK$2,Inputs!$K$4:$AJ$4,0))))+SUMPRODUCT((Inputs!$E$5:$E$130=$B24)*ISNUMBER(INDEX(Inputs!$K$5:$AJ$130,0,MATCH(AK$2,Inputs!$K$4:$AJ$4,0))))=0,NA(),SUMPRODUCT((Inputs!$A$5:$A$130=$B24)*Inputs!$B$5:$B$130*(((Inputs!$G$5:$G$130="moeda")+(Inputs!$G$5:$G$130="acoes"))*Inputs!$B$1+((Inputs!$G$5:$G$130&lt;&gt;"moeda")*(Inputs!$G$5:$G$130&lt;&gt;"acoes")))*INDEX(Inputs!$K$5:$AJ$130,0,MATCH(AK$2,Inputs!$K$4:$AJ$4,0)))+SUMPRODUCT((Inputs!$C$5:$C$130=$B24)*Inputs!$D$5:$D$130*(((Inputs!$G$5:$G$130="moeda")+(Inputs!$G$5:$G$130="acoes"))*Inputs!$B$1+((Inputs!$G$5:$G$130&lt;&gt;"moeda")*(Inputs!$G$5:$G$130&lt;&gt;"acoes")))*INDEX(Inputs!$K$5:$AJ$130,0,MATCH(AK$2,Inputs!$K$4:$AJ$4,0)))+SUMPRODUCT((Inputs!$E$5:$E$130=$B24)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24" s="266" t="e">
        <f>AK24</f>
        <v>#N/A</v>
      </c>
    </row>
    <row r="25" ht="12.75" customHeight="1" s="254">
      <c r="B25" s="263" t="n">
        <v>21</v>
      </c>
      <c r="C25" s="268" t="inlineStr">
        <is>
          <t>Intangibles</t>
        </is>
      </c>
      <c r="D25" s="265">
        <f>IF(ISNA(MATCH(D$2,Inputs!$K$4:$AJ$4,0)),NA(),IF(SUMPRODUCT((Inputs!$A$5:$A$130=$B25)*ISNUMBER(INDEX(Inputs!$K$5:$AJ$130,0,MATCH(D$2,Inputs!$K$4:$AJ$4,0))))+SUMPRODUCT((Inputs!$C$5:$C$130=$B25)*ISNUMBER(INDEX(Inputs!$K$5:$AJ$130,0,MATCH(D$2,Inputs!$K$4:$AJ$4,0))))+SUMPRODUCT((Inputs!$E$5:$E$130=$B25)*ISNUMBER(INDEX(Inputs!$K$5:$AJ$130,0,MATCH(D$2,Inputs!$K$4:$AJ$4,0))))=0,NA(),SUMPRODUCT((Inputs!$A$5:$A$130=$B25)*Inputs!$B$5:$B$130*(((Inputs!$G$5:$G$130="moeda")+(Inputs!$G$5:$G$130="acoes"))*Inputs!$B$1+((Inputs!$G$5:$G$130&lt;&gt;"moeda")*(Inputs!$G$5:$G$130&lt;&gt;"acoes")))*INDEX(Inputs!$K$5:$AJ$130,0,MATCH(D$2,Inputs!$K$4:$AJ$4,0)))+SUMPRODUCT((Inputs!$C$5:$C$130=$B25)*Inputs!$D$5:$D$130*(((Inputs!$G$5:$G$130="moeda")+(Inputs!$G$5:$G$130="acoes"))*Inputs!$B$1+((Inputs!$G$5:$G$130&lt;&gt;"moeda")*(Inputs!$G$5:$G$130&lt;&gt;"acoes")))*INDEX(Inputs!$K$5:$AJ$130,0,MATCH(D$2,Inputs!$K$4:$AJ$4,0)))+SUMPRODUCT((Inputs!$E$5:$E$130=$B25)*Inputs!$F$5:$F$130*(((Inputs!$G$5:$G$130="moeda")+(Inputs!$G$5:$G$130="acoes"))*Inputs!$B$1+((Inputs!$G$5:$G$130&lt;&gt;"moeda")*(Inputs!$G$5:$G$130&lt;&gt;"acoes")))*INDEX(Inputs!$K$5:$AJ$130,0,MATCH(D$2,Inputs!$K$4:$AJ$4,0)))))</f>
        <v>8786</v>
      </c>
      <c r="E25" s="265">
        <f>IF(ISNA(MATCH(E$2,Inputs!$K$4:$AJ$4,0)),NA(),IF(SUMPRODUCT((Inputs!$A$5:$A$130=$B25)*ISNUMBER(INDEX(Inputs!$K$5:$AJ$130,0,MATCH(E$2,Inputs!$K$4:$AJ$4,0))))+SUMPRODUCT((Inputs!$C$5:$C$130=$B25)*ISNUMBER(INDEX(Inputs!$K$5:$AJ$130,0,MATCH(E$2,Inputs!$K$4:$AJ$4,0))))+SUMPRODUCT((Inputs!$E$5:$E$130=$B25)*ISNUMBER(INDEX(Inputs!$K$5:$AJ$130,0,MATCH(E$2,Inputs!$K$4:$AJ$4,0))))=0,NA(),SUMPRODUCT((Inputs!$A$5:$A$130=$B25)*Inputs!$B$5:$B$130*(((Inputs!$G$5:$G$130="moeda")+(Inputs!$G$5:$G$130="acoes"))*Inputs!$B$1+((Inputs!$G$5:$G$130&lt;&gt;"moeda")*(Inputs!$G$5:$G$130&lt;&gt;"acoes")))*INDEX(Inputs!$K$5:$AJ$130,0,MATCH(E$2,Inputs!$K$4:$AJ$4,0)))+SUMPRODUCT((Inputs!$C$5:$C$130=$B25)*Inputs!$D$5:$D$130*(((Inputs!$G$5:$G$130="moeda")+(Inputs!$G$5:$G$130="acoes"))*Inputs!$B$1+((Inputs!$G$5:$G$130&lt;&gt;"moeda")*(Inputs!$G$5:$G$130&lt;&gt;"acoes")))*INDEX(Inputs!$K$5:$AJ$130,0,MATCH(E$2,Inputs!$K$4:$AJ$4,0)))+SUMPRODUCT((Inputs!$E$5:$E$130=$B25)*Inputs!$F$5:$F$130*(((Inputs!$G$5:$G$130="moeda")+(Inputs!$G$5:$G$130="acoes"))*Inputs!$B$1+((Inputs!$G$5:$G$130&lt;&gt;"moeda")*(Inputs!$G$5:$G$130&lt;&gt;"acoes")))*INDEX(Inputs!$K$5:$AJ$130,0,MATCH(E$2,Inputs!$K$4:$AJ$4,0)))))</f>
        <v>8443</v>
      </c>
      <c r="F25" s="265">
        <f>IF(ISNA(MATCH(F$2,Inputs!$K$4:$AJ$4,0)),NA(),IF(SUMPRODUCT((Inputs!$A$5:$A$130=$B25)*ISNUMBER(INDEX(Inputs!$K$5:$AJ$130,0,MATCH(F$2,Inputs!$K$4:$AJ$4,0))))+SUMPRODUCT((Inputs!$C$5:$C$130=$B25)*ISNUMBER(INDEX(Inputs!$K$5:$AJ$130,0,MATCH(F$2,Inputs!$K$4:$AJ$4,0))))+SUMPRODUCT((Inputs!$E$5:$E$130=$B25)*ISNUMBER(INDEX(Inputs!$K$5:$AJ$130,0,MATCH(F$2,Inputs!$K$4:$AJ$4,0))))=0,NA(),SUMPRODUCT((Inputs!$A$5:$A$130=$B25)*Inputs!$B$5:$B$130*(((Inputs!$G$5:$G$130="moeda")+(Inputs!$G$5:$G$130="acoes"))*Inputs!$B$1+((Inputs!$G$5:$G$130&lt;&gt;"moeda")*(Inputs!$G$5:$G$130&lt;&gt;"acoes")))*INDEX(Inputs!$K$5:$AJ$130,0,MATCH(F$2,Inputs!$K$4:$AJ$4,0)))+SUMPRODUCT((Inputs!$C$5:$C$130=$B25)*Inputs!$D$5:$D$130*(((Inputs!$G$5:$G$130="moeda")+(Inputs!$G$5:$G$130="acoes"))*Inputs!$B$1+((Inputs!$G$5:$G$130&lt;&gt;"moeda")*(Inputs!$G$5:$G$130&lt;&gt;"acoes")))*INDEX(Inputs!$K$5:$AJ$130,0,MATCH(F$2,Inputs!$K$4:$AJ$4,0)))+SUMPRODUCT((Inputs!$E$5:$E$130=$B25)*Inputs!$F$5:$F$130*(((Inputs!$G$5:$G$130="moeda")+(Inputs!$G$5:$G$130="acoes"))*Inputs!$B$1+((Inputs!$G$5:$G$130&lt;&gt;"moeda")*(Inputs!$G$5:$G$130&lt;&gt;"acoes")))*INDEX(Inputs!$K$5:$AJ$130,0,MATCH(F$2,Inputs!$K$4:$AJ$4,0)))))</f>
        <v>8486</v>
      </c>
      <c r="G25" s="265">
        <f>IF(ISNA(MATCH(G$2,Inputs!$K$4:$AJ$4,0)),NA(),IF(SUMPRODUCT((Inputs!$A$5:$A$130=$B25)*ISNUMBER(INDEX(Inputs!$K$5:$AJ$130,0,MATCH(G$2,Inputs!$K$4:$AJ$4,0))))+SUMPRODUCT((Inputs!$C$5:$C$130=$B25)*ISNUMBER(INDEX(Inputs!$K$5:$AJ$130,0,MATCH(G$2,Inputs!$K$4:$AJ$4,0))))+SUMPRODUCT((Inputs!$E$5:$E$130=$B25)*ISNUMBER(INDEX(Inputs!$K$5:$AJ$130,0,MATCH(G$2,Inputs!$K$4:$AJ$4,0))))=0,NA(),SUMPRODUCT((Inputs!$A$5:$A$130=$B25)*Inputs!$B$5:$B$130*(((Inputs!$G$5:$G$130="moeda")+(Inputs!$G$5:$G$130="acoes"))*Inputs!$B$1+((Inputs!$G$5:$G$130&lt;&gt;"moeda")*(Inputs!$G$5:$G$130&lt;&gt;"acoes")))*INDEX(Inputs!$K$5:$AJ$130,0,MATCH(G$2,Inputs!$K$4:$AJ$4,0)))+SUMPRODUCT((Inputs!$C$5:$C$130=$B25)*Inputs!$D$5:$D$130*(((Inputs!$G$5:$G$130="moeda")+(Inputs!$G$5:$G$130="acoes"))*Inputs!$B$1+((Inputs!$G$5:$G$130&lt;&gt;"moeda")*(Inputs!$G$5:$G$130&lt;&gt;"acoes")))*INDEX(Inputs!$K$5:$AJ$130,0,MATCH(G$2,Inputs!$K$4:$AJ$4,0)))+SUMPRODUCT((Inputs!$E$5:$E$130=$B25)*Inputs!$F$5:$F$130*(((Inputs!$G$5:$G$130="moeda")+(Inputs!$G$5:$G$130="acoes"))*Inputs!$B$1+((Inputs!$G$5:$G$130&lt;&gt;"moeda")*(Inputs!$G$5:$G$130&lt;&gt;"acoes")))*INDEX(Inputs!$K$5:$AJ$130,0,MATCH(G$2,Inputs!$K$4:$AJ$4,0)))))</f>
        <v>9773</v>
      </c>
      <c r="H25" s="266">
        <f>G25</f>
        <v>9773</v>
      </c>
      <c r="I25" s="265">
        <f>IF(ISNA(MATCH(I$2,Inputs!$K$4:$AJ$4,0)),NA(),IF(SUMPRODUCT((Inputs!$A$5:$A$130=$B25)*ISNUMBER(INDEX(Inputs!$K$5:$AJ$130,0,MATCH(I$2,Inputs!$K$4:$AJ$4,0))))+SUMPRODUCT((Inputs!$C$5:$C$130=$B25)*ISNUMBER(INDEX(Inputs!$K$5:$AJ$130,0,MATCH(I$2,Inputs!$K$4:$AJ$4,0))))+SUMPRODUCT((Inputs!$E$5:$E$130=$B25)*ISNUMBER(INDEX(Inputs!$K$5:$AJ$130,0,MATCH(I$2,Inputs!$K$4:$AJ$4,0))))=0,NA(),SUMPRODUCT((Inputs!$A$5:$A$130=$B25)*Inputs!$B$5:$B$130*(((Inputs!$G$5:$G$130="moeda")+(Inputs!$G$5:$G$130="acoes"))*Inputs!$B$1+((Inputs!$G$5:$G$130&lt;&gt;"moeda")*(Inputs!$G$5:$G$130&lt;&gt;"acoes")))*INDEX(Inputs!$K$5:$AJ$130,0,MATCH(I$2,Inputs!$K$4:$AJ$4,0)))+SUMPRODUCT((Inputs!$C$5:$C$130=$B25)*Inputs!$D$5:$D$130*(((Inputs!$G$5:$G$130="moeda")+(Inputs!$G$5:$G$130="acoes"))*Inputs!$B$1+((Inputs!$G$5:$G$130&lt;&gt;"moeda")*(Inputs!$G$5:$G$130&lt;&gt;"acoes")))*INDEX(Inputs!$K$5:$AJ$130,0,MATCH(I$2,Inputs!$K$4:$AJ$4,0)))+SUMPRODUCT((Inputs!$E$5:$E$130=$B25)*Inputs!$F$5:$F$130*(((Inputs!$G$5:$G$130="moeda")+(Inputs!$G$5:$G$130="acoes"))*Inputs!$B$1+((Inputs!$G$5:$G$130&lt;&gt;"moeda")*(Inputs!$G$5:$G$130&lt;&gt;"acoes")))*INDEX(Inputs!$K$5:$AJ$130,0,MATCH(I$2,Inputs!$K$4:$AJ$4,0)))))</f>
        <v>9735</v>
      </c>
      <c r="J25" s="265">
        <f>IF(ISNA(MATCH(J$2,Inputs!$K$4:$AJ$4,0)),NA(),IF(SUMPRODUCT((Inputs!$A$5:$A$130=$B25)*ISNUMBER(INDEX(Inputs!$K$5:$AJ$130,0,MATCH(J$2,Inputs!$K$4:$AJ$4,0))))+SUMPRODUCT((Inputs!$C$5:$C$130=$B25)*ISNUMBER(INDEX(Inputs!$K$5:$AJ$130,0,MATCH(J$2,Inputs!$K$4:$AJ$4,0))))+SUMPRODUCT((Inputs!$E$5:$E$130=$B25)*ISNUMBER(INDEX(Inputs!$K$5:$AJ$130,0,MATCH(J$2,Inputs!$K$4:$AJ$4,0))))=0,NA(),SUMPRODUCT((Inputs!$A$5:$A$130=$B25)*Inputs!$B$5:$B$130*(((Inputs!$G$5:$G$130="moeda")+(Inputs!$G$5:$G$130="acoes"))*Inputs!$B$1+((Inputs!$G$5:$G$130&lt;&gt;"moeda")*(Inputs!$G$5:$G$130&lt;&gt;"acoes")))*INDEX(Inputs!$K$5:$AJ$130,0,MATCH(J$2,Inputs!$K$4:$AJ$4,0)))+SUMPRODUCT((Inputs!$C$5:$C$130=$B25)*Inputs!$D$5:$D$130*(((Inputs!$G$5:$G$130="moeda")+(Inputs!$G$5:$G$130="acoes"))*Inputs!$B$1+((Inputs!$G$5:$G$130&lt;&gt;"moeda")*(Inputs!$G$5:$G$130&lt;&gt;"acoes")))*INDEX(Inputs!$K$5:$AJ$130,0,MATCH(J$2,Inputs!$K$4:$AJ$4,0)))+SUMPRODUCT((Inputs!$E$5:$E$130=$B25)*Inputs!$F$5:$F$130*(((Inputs!$G$5:$G$130="moeda")+(Inputs!$G$5:$G$130="acoes"))*Inputs!$B$1+((Inputs!$G$5:$G$130&lt;&gt;"moeda")*(Inputs!$G$5:$G$130&lt;&gt;"acoes")))*INDEX(Inputs!$K$5:$AJ$130,0,MATCH(J$2,Inputs!$K$4:$AJ$4,0)))))</f>
        <v>9730</v>
      </c>
      <c r="K25" s="265">
        <f>IF(ISNA(MATCH(K$2,Inputs!$K$4:$AJ$4,0)),NA(),IF(SUMPRODUCT((Inputs!$A$5:$A$130=$B25)*ISNUMBER(INDEX(Inputs!$K$5:$AJ$130,0,MATCH(K$2,Inputs!$K$4:$AJ$4,0))))+SUMPRODUCT((Inputs!$C$5:$C$130=$B25)*ISNUMBER(INDEX(Inputs!$K$5:$AJ$130,0,MATCH(K$2,Inputs!$K$4:$AJ$4,0))))+SUMPRODUCT((Inputs!$E$5:$E$130=$B25)*ISNUMBER(INDEX(Inputs!$K$5:$AJ$130,0,MATCH(K$2,Inputs!$K$4:$AJ$4,0))))=0,NA(),SUMPRODUCT((Inputs!$A$5:$A$130=$B25)*Inputs!$B$5:$B$130*(((Inputs!$G$5:$G$130="moeda")+(Inputs!$G$5:$G$130="acoes"))*Inputs!$B$1+((Inputs!$G$5:$G$130&lt;&gt;"moeda")*(Inputs!$G$5:$G$130&lt;&gt;"acoes")))*INDEX(Inputs!$K$5:$AJ$130,0,MATCH(K$2,Inputs!$K$4:$AJ$4,0)))+SUMPRODUCT((Inputs!$C$5:$C$130=$B25)*Inputs!$D$5:$D$130*(((Inputs!$G$5:$G$130="moeda")+(Inputs!$G$5:$G$130="acoes"))*Inputs!$B$1+((Inputs!$G$5:$G$130&lt;&gt;"moeda")*(Inputs!$G$5:$G$130&lt;&gt;"acoes")))*INDEX(Inputs!$K$5:$AJ$130,0,MATCH(K$2,Inputs!$K$4:$AJ$4,0)))+SUMPRODUCT((Inputs!$E$5:$E$130=$B25)*Inputs!$F$5:$F$130*(((Inputs!$G$5:$G$130="moeda")+(Inputs!$G$5:$G$130="acoes"))*Inputs!$B$1+((Inputs!$G$5:$G$130&lt;&gt;"moeda")*(Inputs!$G$5:$G$130&lt;&gt;"acoes")))*INDEX(Inputs!$K$5:$AJ$130,0,MATCH(K$2,Inputs!$K$4:$AJ$4,0)))))</f>
        <v>8939</v>
      </c>
      <c r="L25" s="265">
        <f>IF(ISNA(MATCH(L$2,Inputs!$K$4:$AJ$4,0)),NA(),IF(SUMPRODUCT((Inputs!$A$5:$A$130=$B25)*ISNUMBER(INDEX(Inputs!$K$5:$AJ$130,0,MATCH(L$2,Inputs!$K$4:$AJ$4,0))))+SUMPRODUCT((Inputs!$C$5:$C$130=$B25)*ISNUMBER(INDEX(Inputs!$K$5:$AJ$130,0,MATCH(L$2,Inputs!$K$4:$AJ$4,0))))+SUMPRODUCT((Inputs!$E$5:$E$130=$B25)*ISNUMBER(INDEX(Inputs!$K$5:$AJ$130,0,MATCH(L$2,Inputs!$K$4:$AJ$4,0))))=0,NA(),SUMPRODUCT((Inputs!$A$5:$A$130=$B25)*Inputs!$B$5:$B$130*(((Inputs!$G$5:$G$130="moeda")+(Inputs!$G$5:$G$130="acoes"))*Inputs!$B$1+((Inputs!$G$5:$G$130&lt;&gt;"moeda")*(Inputs!$G$5:$G$130&lt;&gt;"acoes")))*INDEX(Inputs!$K$5:$AJ$130,0,MATCH(L$2,Inputs!$K$4:$AJ$4,0)))+SUMPRODUCT((Inputs!$C$5:$C$130=$B25)*Inputs!$D$5:$D$130*(((Inputs!$G$5:$G$130="moeda")+(Inputs!$G$5:$G$130="acoes"))*Inputs!$B$1+((Inputs!$G$5:$G$130&lt;&gt;"moeda")*(Inputs!$G$5:$G$130&lt;&gt;"acoes")))*INDEX(Inputs!$K$5:$AJ$130,0,MATCH(L$2,Inputs!$K$4:$AJ$4,0)))+SUMPRODUCT((Inputs!$E$5:$E$130=$B25)*Inputs!$F$5:$F$130*(((Inputs!$G$5:$G$130="moeda")+(Inputs!$G$5:$G$130="acoes"))*Inputs!$B$1+((Inputs!$G$5:$G$130&lt;&gt;"moeda")*(Inputs!$G$5:$G$130&lt;&gt;"acoes")))*INDEX(Inputs!$K$5:$AJ$130,0,MATCH(L$2,Inputs!$K$4:$AJ$4,0)))))</f>
        <v>9662</v>
      </c>
      <c r="M25" s="266">
        <f>L25</f>
        <v>9662</v>
      </c>
      <c r="N25" s="265">
        <f>IF(ISNA(MATCH(N$2,Inputs!$K$4:$AJ$4,0)),NA(),IF(SUMPRODUCT((Inputs!$A$5:$A$130=$B25)*ISNUMBER(INDEX(Inputs!$K$5:$AJ$130,0,MATCH(N$2,Inputs!$K$4:$AJ$4,0))))+SUMPRODUCT((Inputs!$C$5:$C$130=$B25)*ISNUMBER(INDEX(Inputs!$K$5:$AJ$130,0,MATCH(N$2,Inputs!$K$4:$AJ$4,0))))+SUMPRODUCT((Inputs!$E$5:$E$130=$B25)*ISNUMBER(INDEX(Inputs!$K$5:$AJ$130,0,MATCH(N$2,Inputs!$K$4:$AJ$4,0))))=0,NA(),SUMPRODUCT((Inputs!$A$5:$A$130=$B25)*Inputs!$B$5:$B$130*(((Inputs!$G$5:$G$130="moeda")+(Inputs!$G$5:$G$130="acoes"))*Inputs!$B$1+((Inputs!$G$5:$G$130&lt;&gt;"moeda")*(Inputs!$G$5:$G$130&lt;&gt;"acoes")))*INDEX(Inputs!$K$5:$AJ$130,0,MATCH(N$2,Inputs!$K$4:$AJ$4,0)))+SUMPRODUCT((Inputs!$C$5:$C$130=$B25)*Inputs!$D$5:$D$130*(((Inputs!$G$5:$G$130="moeda")+(Inputs!$G$5:$G$130="acoes"))*Inputs!$B$1+((Inputs!$G$5:$G$130&lt;&gt;"moeda")*(Inputs!$G$5:$G$130&lt;&gt;"acoes")))*INDEX(Inputs!$K$5:$AJ$130,0,MATCH(N$2,Inputs!$K$4:$AJ$4,0)))+SUMPRODUCT((Inputs!$E$5:$E$130=$B25)*Inputs!$F$5:$F$130*(((Inputs!$G$5:$G$130="moeda")+(Inputs!$G$5:$G$130="acoes"))*Inputs!$B$1+((Inputs!$G$5:$G$130&lt;&gt;"moeda")*(Inputs!$G$5:$G$130&lt;&gt;"acoes")))*INDEX(Inputs!$K$5:$AJ$130,0,MATCH(N$2,Inputs!$K$4:$AJ$4,0)))))</f>
        <v>9751</v>
      </c>
      <c r="O25" s="265">
        <f>IF(ISNA(MATCH(O$2,Inputs!$K$4:$AJ$4,0)),NA(),IF(SUMPRODUCT((Inputs!$A$5:$A$130=$B25)*ISNUMBER(INDEX(Inputs!$K$5:$AJ$130,0,MATCH(O$2,Inputs!$K$4:$AJ$4,0))))+SUMPRODUCT((Inputs!$C$5:$C$130=$B25)*ISNUMBER(INDEX(Inputs!$K$5:$AJ$130,0,MATCH(O$2,Inputs!$K$4:$AJ$4,0))))+SUMPRODUCT((Inputs!$E$5:$E$130=$B25)*ISNUMBER(INDEX(Inputs!$K$5:$AJ$130,0,MATCH(O$2,Inputs!$K$4:$AJ$4,0))))=0,NA(),SUMPRODUCT((Inputs!$A$5:$A$130=$B25)*Inputs!$B$5:$B$130*(((Inputs!$G$5:$G$130="moeda")+(Inputs!$G$5:$G$130="acoes"))*Inputs!$B$1+((Inputs!$G$5:$G$130&lt;&gt;"moeda")*(Inputs!$G$5:$G$130&lt;&gt;"acoes")))*INDEX(Inputs!$K$5:$AJ$130,0,MATCH(O$2,Inputs!$K$4:$AJ$4,0)))+SUMPRODUCT((Inputs!$C$5:$C$130=$B25)*Inputs!$D$5:$D$130*(((Inputs!$G$5:$G$130="moeda")+(Inputs!$G$5:$G$130="acoes"))*Inputs!$B$1+((Inputs!$G$5:$G$130&lt;&gt;"moeda")*(Inputs!$G$5:$G$130&lt;&gt;"acoes")))*INDEX(Inputs!$K$5:$AJ$130,0,MATCH(O$2,Inputs!$K$4:$AJ$4,0)))+SUMPRODUCT((Inputs!$E$5:$E$130=$B25)*Inputs!$F$5:$F$130*(((Inputs!$G$5:$G$130="moeda")+(Inputs!$G$5:$G$130="acoes"))*Inputs!$B$1+((Inputs!$G$5:$G$130&lt;&gt;"moeda")*(Inputs!$G$5:$G$130&lt;&gt;"acoes")))*INDEX(Inputs!$K$5:$AJ$130,0,MATCH(O$2,Inputs!$K$4:$AJ$4,0)))))</f>
        <v>8642</v>
      </c>
      <c r="P25" s="265">
        <f>IF(ISNA(MATCH(P$2,Inputs!$K$4:$AJ$4,0)),NA(),IF(SUMPRODUCT((Inputs!$A$5:$A$130=$B25)*ISNUMBER(INDEX(Inputs!$K$5:$AJ$130,0,MATCH(P$2,Inputs!$K$4:$AJ$4,0))))+SUMPRODUCT((Inputs!$C$5:$C$130=$B25)*ISNUMBER(INDEX(Inputs!$K$5:$AJ$130,0,MATCH(P$2,Inputs!$K$4:$AJ$4,0))))+SUMPRODUCT((Inputs!$E$5:$E$130=$B25)*ISNUMBER(INDEX(Inputs!$K$5:$AJ$130,0,MATCH(P$2,Inputs!$K$4:$AJ$4,0))))=0,NA(),SUMPRODUCT((Inputs!$A$5:$A$130=$B25)*Inputs!$B$5:$B$130*(((Inputs!$G$5:$G$130="moeda")+(Inputs!$G$5:$G$130="acoes"))*Inputs!$B$1+((Inputs!$G$5:$G$130&lt;&gt;"moeda")*(Inputs!$G$5:$G$130&lt;&gt;"acoes")))*INDEX(Inputs!$K$5:$AJ$130,0,MATCH(P$2,Inputs!$K$4:$AJ$4,0)))+SUMPRODUCT((Inputs!$C$5:$C$130=$B25)*Inputs!$D$5:$D$130*(((Inputs!$G$5:$G$130="moeda")+(Inputs!$G$5:$G$130="acoes"))*Inputs!$B$1+((Inputs!$G$5:$G$130&lt;&gt;"moeda")*(Inputs!$G$5:$G$130&lt;&gt;"acoes")))*INDEX(Inputs!$K$5:$AJ$130,0,MATCH(P$2,Inputs!$K$4:$AJ$4,0)))+SUMPRODUCT((Inputs!$E$5:$E$130=$B25)*Inputs!$F$5:$F$130*(((Inputs!$G$5:$G$130="moeda")+(Inputs!$G$5:$G$130="acoes"))*Inputs!$B$1+((Inputs!$G$5:$G$130&lt;&gt;"moeda")*(Inputs!$G$5:$G$130&lt;&gt;"acoes")))*INDEX(Inputs!$K$5:$AJ$130,0,MATCH(P$2,Inputs!$K$4:$AJ$4,0)))))</f>
        <v>8288</v>
      </c>
      <c r="Q25" s="265">
        <f>IF(ISNA(MATCH(Q$2,Inputs!$K$4:$AJ$4,0)),NA(),IF(SUMPRODUCT((Inputs!$A$5:$A$130=$B25)*ISNUMBER(INDEX(Inputs!$K$5:$AJ$130,0,MATCH(Q$2,Inputs!$K$4:$AJ$4,0))))+SUMPRODUCT((Inputs!$C$5:$C$130=$B25)*ISNUMBER(INDEX(Inputs!$K$5:$AJ$130,0,MATCH(Q$2,Inputs!$K$4:$AJ$4,0))))+SUMPRODUCT((Inputs!$E$5:$E$130=$B25)*ISNUMBER(INDEX(Inputs!$K$5:$AJ$130,0,MATCH(Q$2,Inputs!$K$4:$AJ$4,0))))=0,NA(),SUMPRODUCT((Inputs!$A$5:$A$130=$B25)*Inputs!$B$5:$B$130*(((Inputs!$G$5:$G$130="moeda")+(Inputs!$G$5:$G$130="acoes"))*Inputs!$B$1+((Inputs!$G$5:$G$130&lt;&gt;"moeda")*(Inputs!$G$5:$G$130&lt;&gt;"acoes")))*INDEX(Inputs!$K$5:$AJ$130,0,MATCH(Q$2,Inputs!$K$4:$AJ$4,0)))+SUMPRODUCT((Inputs!$C$5:$C$130=$B25)*Inputs!$D$5:$D$130*(((Inputs!$G$5:$G$130="moeda")+(Inputs!$G$5:$G$130="acoes"))*Inputs!$B$1+((Inputs!$G$5:$G$130&lt;&gt;"moeda")*(Inputs!$G$5:$G$130&lt;&gt;"acoes")))*INDEX(Inputs!$K$5:$AJ$130,0,MATCH(Q$2,Inputs!$K$4:$AJ$4,0)))+SUMPRODUCT((Inputs!$E$5:$E$130=$B25)*Inputs!$F$5:$F$130*(((Inputs!$G$5:$G$130="moeda")+(Inputs!$G$5:$G$130="acoes"))*Inputs!$B$1+((Inputs!$G$5:$G$130&lt;&gt;"moeda")*(Inputs!$G$5:$G$130&lt;&gt;"acoes")))*INDEX(Inputs!$K$5:$AJ$130,0,MATCH(Q$2,Inputs!$K$4:$AJ$4,0)))))</f>
        <v>10253</v>
      </c>
      <c r="R25" s="266">
        <f>Q25</f>
        <v>10253</v>
      </c>
      <c r="S25" s="265">
        <f>IF(ISNA(MATCH(S$2,Inputs!$K$4:$AJ$4,0)),NA(),IF(SUMPRODUCT((Inputs!$A$5:$A$130=$B25)*ISNUMBER(INDEX(Inputs!$K$5:$AJ$130,0,MATCH(S$2,Inputs!$K$4:$AJ$4,0))))+SUMPRODUCT((Inputs!$C$5:$C$130=$B25)*ISNUMBER(INDEX(Inputs!$K$5:$AJ$130,0,MATCH(S$2,Inputs!$K$4:$AJ$4,0))))+SUMPRODUCT((Inputs!$E$5:$E$130=$B25)*ISNUMBER(INDEX(Inputs!$K$5:$AJ$130,0,MATCH(S$2,Inputs!$K$4:$AJ$4,0))))=0,NA(),SUMPRODUCT((Inputs!$A$5:$A$130=$B25)*Inputs!$B$5:$B$130*(((Inputs!$G$5:$G$130="moeda")+(Inputs!$G$5:$G$130="acoes"))*Inputs!$B$1+((Inputs!$G$5:$G$130&lt;&gt;"moeda")*(Inputs!$G$5:$G$130&lt;&gt;"acoes")))*INDEX(Inputs!$K$5:$AJ$130,0,MATCH(S$2,Inputs!$K$4:$AJ$4,0)))+SUMPRODUCT((Inputs!$C$5:$C$130=$B25)*Inputs!$D$5:$D$130*(((Inputs!$G$5:$G$130="moeda")+(Inputs!$G$5:$G$130="acoes"))*Inputs!$B$1+((Inputs!$G$5:$G$130&lt;&gt;"moeda")*(Inputs!$G$5:$G$130&lt;&gt;"acoes")))*INDEX(Inputs!$K$5:$AJ$130,0,MATCH(S$2,Inputs!$K$4:$AJ$4,0)))+SUMPRODUCT((Inputs!$E$5:$E$130=$B25)*Inputs!$F$5:$F$130*(((Inputs!$G$5:$G$130="moeda")+(Inputs!$G$5:$G$130="acoes"))*Inputs!$B$1+((Inputs!$G$5:$G$130&lt;&gt;"moeda")*(Inputs!$G$5:$G$130&lt;&gt;"acoes")))*INDEX(Inputs!$K$5:$AJ$130,0,MATCH(S$2,Inputs!$K$4:$AJ$4,0)))))</f>
        <v>9999</v>
      </c>
      <c r="T25" s="265">
        <f>IF(ISNA(MATCH(T$2,Inputs!$K$4:$AJ$4,0)),NA(),IF(SUMPRODUCT((Inputs!$A$5:$A$130=$B25)*ISNUMBER(INDEX(Inputs!$K$5:$AJ$130,0,MATCH(T$2,Inputs!$K$4:$AJ$4,0))))+SUMPRODUCT((Inputs!$C$5:$C$130=$B25)*ISNUMBER(INDEX(Inputs!$K$5:$AJ$130,0,MATCH(T$2,Inputs!$K$4:$AJ$4,0))))+SUMPRODUCT((Inputs!$E$5:$E$130=$B25)*ISNUMBER(INDEX(Inputs!$K$5:$AJ$130,0,MATCH(T$2,Inputs!$K$4:$AJ$4,0))))=0,NA(),SUMPRODUCT((Inputs!$A$5:$A$130=$B25)*Inputs!$B$5:$B$130*(((Inputs!$G$5:$G$130="moeda")+(Inputs!$G$5:$G$130="acoes"))*Inputs!$B$1+((Inputs!$G$5:$G$130&lt;&gt;"moeda")*(Inputs!$G$5:$G$130&lt;&gt;"acoes")))*INDEX(Inputs!$K$5:$AJ$130,0,MATCH(T$2,Inputs!$K$4:$AJ$4,0)))+SUMPRODUCT((Inputs!$C$5:$C$130=$B25)*Inputs!$D$5:$D$130*(((Inputs!$G$5:$G$130="moeda")+(Inputs!$G$5:$G$130="acoes"))*Inputs!$B$1+((Inputs!$G$5:$G$130&lt;&gt;"moeda")*(Inputs!$G$5:$G$130&lt;&gt;"acoes")))*INDEX(Inputs!$K$5:$AJ$130,0,MATCH(T$2,Inputs!$K$4:$AJ$4,0)))+SUMPRODUCT((Inputs!$E$5:$E$130=$B25)*Inputs!$F$5:$F$130*(((Inputs!$G$5:$G$130="moeda")+(Inputs!$G$5:$G$130="acoes"))*Inputs!$B$1+((Inputs!$G$5:$G$130&lt;&gt;"moeda")*(Inputs!$G$5:$G$130&lt;&gt;"acoes")))*INDEX(Inputs!$K$5:$AJ$130,0,MATCH(T$2,Inputs!$K$4:$AJ$4,0)))))</f>
        <v>9387</v>
      </c>
      <c r="U25" s="265">
        <f>IF(ISNA(MATCH(U$2,Inputs!$K$4:$AJ$4,0)),NA(),IF(SUMPRODUCT((Inputs!$A$5:$A$130=$B25)*ISNUMBER(INDEX(Inputs!$K$5:$AJ$130,0,MATCH(U$2,Inputs!$K$4:$AJ$4,0))))+SUMPRODUCT((Inputs!$C$5:$C$130=$B25)*ISNUMBER(INDEX(Inputs!$K$5:$AJ$130,0,MATCH(U$2,Inputs!$K$4:$AJ$4,0))))+SUMPRODUCT((Inputs!$E$5:$E$130=$B25)*ISNUMBER(INDEX(Inputs!$K$5:$AJ$130,0,MATCH(U$2,Inputs!$K$4:$AJ$4,0))))=0,NA(),SUMPRODUCT((Inputs!$A$5:$A$130=$B25)*Inputs!$B$5:$B$130*(((Inputs!$G$5:$G$130="moeda")+(Inputs!$G$5:$G$130="acoes"))*Inputs!$B$1+((Inputs!$G$5:$G$130&lt;&gt;"moeda")*(Inputs!$G$5:$G$130&lt;&gt;"acoes")))*INDEX(Inputs!$K$5:$AJ$130,0,MATCH(U$2,Inputs!$K$4:$AJ$4,0)))+SUMPRODUCT((Inputs!$C$5:$C$130=$B25)*Inputs!$D$5:$D$130*(((Inputs!$G$5:$G$130="moeda")+(Inputs!$G$5:$G$130="acoes"))*Inputs!$B$1+((Inputs!$G$5:$G$130&lt;&gt;"moeda")*(Inputs!$G$5:$G$130&lt;&gt;"acoes")))*INDEX(Inputs!$K$5:$AJ$130,0,MATCH(U$2,Inputs!$K$4:$AJ$4,0)))+SUMPRODUCT((Inputs!$E$5:$E$130=$B25)*Inputs!$F$5:$F$130*(((Inputs!$G$5:$G$130="moeda")+(Inputs!$G$5:$G$130="acoes"))*Inputs!$B$1+((Inputs!$G$5:$G$130&lt;&gt;"moeda")*(Inputs!$G$5:$G$130&lt;&gt;"acoes")))*INDEX(Inputs!$K$5:$AJ$130,0,MATCH(U$2,Inputs!$K$4:$AJ$4,0)))))</f>
        <v>8188</v>
      </c>
      <c r="V25" s="265">
        <f>IF(ISNA(MATCH(V$2,Inputs!$K$4:$AJ$4,0)),NA(),IF(SUMPRODUCT((Inputs!$A$5:$A$130=$B25)*ISNUMBER(INDEX(Inputs!$K$5:$AJ$130,0,MATCH(V$2,Inputs!$K$4:$AJ$4,0))))+SUMPRODUCT((Inputs!$C$5:$C$130=$B25)*ISNUMBER(INDEX(Inputs!$K$5:$AJ$130,0,MATCH(V$2,Inputs!$K$4:$AJ$4,0))))+SUMPRODUCT((Inputs!$E$5:$E$130=$B25)*ISNUMBER(INDEX(Inputs!$K$5:$AJ$130,0,MATCH(V$2,Inputs!$K$4:$AJ$4,0))))=0,NA(),SUMPRODUCT((Inputs!$A$5:$A$130=$B25)*Inputs!$B$5:$B$130*(((Inputs!$G$5:$G$130="moeda")+(Inputs!$G$5:$G$130="acoes"))*Inputs!$B$1+((Inputs!$G$5:$G$130&lt;&gt;"moeda")*(Inputs!$G$5:$G$130&lt;&gt;"acoes")))*INDEX(Inputs!$K$5:$AJ$130,0,MATCH(V$2,Inputs!$K$4:$AJ$4,0)))+SUMPRODUCT((Inputs!$C$5:$C$130=$B25)*Inputs!$D$5:$D$130*(((Inputs!$G$5:$G$130="moeda")+(Inputs!$G$5:$G$130="acoes"))*Inputs!$B$1+((Inputs!$G$5:$G$130&lt;&gt;"moeda")*(Inputs!$G$5:$G$130&lt;&gt;"acoes")))*INDEX(Inputs!$K$5:$AJ$130,0,MATCH(V$2,Inputs!$K$4:$AJ$4,0)))+SUMPRODUCT((Inputs!$E$5:$E$130=$B25)*Inputs!$F$5:$F$130*(((Inputs!$G$5:$G$130="moeda")+(Inputs!$G$5:$G$130="acoes"))*Inputs!$B$1+((Inputs!$G$5:$G$130&lt;&gt;"moeda")*(Inputs!$G$5:$G$130&lt;&gt;"acoes")))*INDEX(Inputs!$K$5:$AJ$130,0,MATCH(V$2,Inputs!$K$4:$AJ$4,0)))))</f>
        <v>9480</v>
      </c>
      <c r="W25" s="266">
        <f>V25</f>
        <v>9480</v>
      </c>
      <c r="X25" s="265">
        <f>IF(ISNA(MATCH(X$2,Inputs!$K$4:$AJ$4,0)),NA(),IF(SUMPRODUCT((Inputs!$A$5:$A$130=$B25)*ISNUMBER(INDEX(Inputs!$K$5:$AJ$130,0,MATCH(X$2,Inputs!$K$4:$AJ$4,0))))+SUMPRODUCT((Inputs!$C$5:$C$130=$B25)*ISNUMBER(INDEX(Inputs!$K$5:$AJ$130,0,MATCH(X$2,Inputs!$K$4:$AJ$4,0))))+SUMPRODUCT((Inputs!$E$5:$E$130=$B25)*ISNUMBER(INDEX(Inputs!$K$5:$AJ$130,0,MATCH(X$2,Inputs!$K$4:$AJ$4,0))))=0,NA(),SUMPRODUCT((Inputs!$A$5:$A$130=$B25)*Inputs!$B$5:$B$130*(((Inputs!$G$5:$G$130="moeda")+(Inputs!$G$5:$G$130="acoes"))*Inputs!$B$1+((Inputs!$G$5:$G$130&lt;&gt;"moeda")*(Inputs!$G$5:$G$130&lt;&gt;"acoes")))*INDEX(Inputs!$K$5:$AJ$130,0,MATCH(X$2,Inputs!$K$4:$AJ$4,0)))+SUMPRODUCT((Inputs!$C$5:$C$130=$B25)*Inputs!$D$5:$D$130*(((Inputs!$G$5:$G$130="moeda")+(Inputs!$G$5:$G$130="acoes"))*Inputs!$B$1+((Inputs!$G$5:$G$130&lt;&gt;"moeda")*(Inputs!$G$5:$G$130&lt;&gt;"acoes")))*INDEX(Inputs!$K$5:$AJ$130,0,MATCH(X$2,Inputs!$K$4:$AJ$4,0)))+SUMPRODUCT((Inputs!$E$5:$E$130=$B25)*Inputs!$F$5:$F$130*(((Inputs!$G$5:$G$130="moeda")+(Inputs!$G$5:$G$130="acoes"))*Inputs!$B$1+((Inputs!$G$5:$G$130&lt;&gt;"moeda")*(Inputs!$G$5:$G$130&lt;&gt;"acoes")))*INDEX(Inputs!$K$5:$AJ$130,0,MATCH(X$2,Inputs!$K$4:$AJ$4,0)))))</f>
        <v>11365</v>
      </c>
      <c r="Y25" s="265">
        <f>IF(ISNA(MATCH(Y$2,Inputs!$K$4:$AJ$4,0)),NA(),IF(SUMPRODUCT((Inputs!$A$5:$A$130=$B25)*ISNUMBER(INDEX(Inputs!$K$5:$AJ$130,0,MATCH(Y$2,Inputs!$K$4:$AJ$4,0))))+SUMPRODUCT((Inputs!$C$5:$C$130=$B25)*ISNUMBER(INDEX(Inputs!$K$5:$AJ$130,0,MATCH(Y$2,Inputs!$K$4:$AJ$4,0))))+SUMPRODUCT((Inputs!$E$5:$E$130=$B25)*ISNUMBER(INDEX(Inputs!$K$5:$AJ$130,0,MATCH(Y$2,Inputs!$K$4:$AJ$4,0))))=0,NA(),SUMPRODUCT((Inputs!$A$5:$A$130=$B25)*Inputs!$B$5:$B$130*(((Inputs!$G$5:$G$130="moeda")+(Inputs!$G$5:$G$130="acoes"))*Inputs!$B$1+((Inputs!$G$5:$G$130&lt;&gt;"moeda")*(Inputs!$G$5:$G$130&lt;&gt;"acoes")))*INDEX(Inputs!$K$5:$AJ$130,0,MATCH(Y$2,Inputs!$K$4:$AJ$4,0)))+SUMPRODUCT((Inputs!$C$5:$C$130=$B25)*Inputs!$D$5:$D$130*(((Inputs!$G$5:$G$130="moeda")+(Inputs!$G$5:$G$130="acoes"))*Inputs!$B$1+((Inputs!$G$5:$G$130&lt;&gt;"moeda")*(Inputs!$G$5:$G$130&lt;&gt;"acoes")))*INDEX(Inputs!$K$5:$AJ$130,0,MATCH(Y$2,Inputs!$K$4:$AJ$4,0)))+SUMPRODUCT((Inputs!$E$5:$E$130=$B25)*Inputs!$F$5:$F$130*(((Inputs!$G$5:$G$130="moeda")+(Inputs!$G$5:$G$130="acoes"))*Inputs!$B$1+((Inputs!$G$5:$G$130&lt;&gt;"moeda")*(Inputs!$G$5:$G$130&lt;&gt;"acoes")))*INDEX(Inputs!$K$5:$AJ$130,0,MATCH(Y$2,Inputs!$K$4:$AJ$4,0)))))</f>
        <v>11338</v>
      </c>
      <c r="Z25" s="265">
        <f>IF(ISNA(MATCH(Z$2,Inputs!$K$4:$AJ$4,0)),NA(),IF(SUMPRODUCT((Inputs!$A$5:$A$130=$B25)*ISNUMBER(INDEX(Inputs!$K$5:$AJ$130,0,MATCH(Z$2,Inputs!$K$4:$AJ$4,0))))+SUMPRODUCT((Inputs!$C$5:$C$130=$B25)*ISNUMBER(INDEX(Inputs!$K$5:$AJ$130,0,MATCH(Z$2,Inputs!$K$4:$AJ$4,0))))+SUMPRODUCT((Inputs!$E$5:$E$130=$B25)*ISNUMBER(INDEX(Inputs!$K$5:$AJ$130,0,MATCH(Z$2,Inputs!$K$4:$AJ$4,0))))=0,NA(),SUMPRODUCT((Inputs!$A$5:$A$130=$B25)*Inputs!$B$5:$B$130*(((Inputs!$G$5:$G$130="moeda")+(Inputs!$G$5:$G$130="acoes"))*Inputs!$B$1+((Inputs!$G$5:$G$130&lt;&gt;"moeda")*(Inputs!$G$5:$G$130&lt;&gt;"acoes")))*INDEX(Inputs!$K$5:$AJ$130,0,MATCH(Z$2,Inputs!$K$4:$AJ$4,0)))+SUMPRODUCT((Inputs!$C$5:$C$130=$B25)*Inputs!$D$5:$D$130*(((Inputs!$G$5:$G$130="moeda")+(Inputs!$G$5:$G$130="acoes"))*Inputs!$B$1+((Inputs!$G$5:$G$130&lt;&gt;"moeda")*(Inputs!$G$5:$G$130&lt;&gt;"acoes")))*INDEX(Inputs!$K$5:$AJ$130,0,MATCH(Z$2,Inputs!$K$4:$AJ$4,0)))+SUMPRODUCT((Inputs!$E$5:$E$130=$B25)*Inputs!$F$5:$F$130*(((Inputs!$G$5:$G$130="moeda")+(Inputs!$G$5:$G$130="acoes"))*Inputs!$B$1+((Inputs!$G$5:$G$130&lt;&gt;"moeda")*(Inputs!$G$5:$G$130&lt;&gt;"acoes")))*INDEX(Inputs!$K$5:$AJ$130,0,MATCH(Z$2,Inputs!$K$4:$AJ$4,0)))))</f>
        <v>9546</v>
      </c>
      <c r="AA25" s="265">
        <f>IF(ISNA(MATCH(AA$2,Inputs!$K$4:$AJ$4,0)),NA(),IF(SUMPRODUCT((Inputs!$A$5:$A$130=$B25)*ISNUMBER(INDEX(Inputs!$K$5:$AJ$130,0,MATCH(AA$2,Inputs!$K$4:$AJ$4,0))))+SUMPRODUCT((Inputs!$C$5:$C$130=$B25)*ISNUMBER(INDEX(Inputs!$K$5:$AJ$130,0,MATCH(AA$2,Inputs!$K$4:$AJ$4,0))))+SUMPRODUCT((Inputs!$E$5:$E$130=$B25)*ISNUMBER(INDEX(Inputs!$K$5:$AJ$130,0,MATCH(AA$2,Inputs!$K$4:$AJ$4,0))))=0,NA(),SUMPRODUCT((Inputs!$A$5:$A$130=$B25)*Inputs!$B$5:$B$130*(((Inputs!$G$5:$G$130="moeda")+(Inputs!$G$5:$G$130="acoes"))*Inputs!$B$1+((Inputs!$G$5:$G$130&lt;&gt;"moeda")*(Inputs!$G$5:$G$130&lt;&gt;"acoes")))*INDEX(Inputs!$K$5:$AJ$130,0,MATCH(AA$2,Inputs!$K$4:$AJ$4,0)))+SUMPRODUCT((Inputs!$C$5:$C$130=$B25)*Inputs!$D$5:$D$130*(((Inputs!$G$5:$G$130="moeda")+(Inputs!$G$5:$G$130="acoes"))*Inputs!$B$1+((Inputs!$G$5:$G$130&lt;&gt;"moeda")*(Inputs!$G$5:$G$130&lt;&gt;"acoes")))*INDEX(Inputs!$K$5:$AJ$130,0,MATCH(AA$2,Inputs!$K$4:$AJ$4,0)))+SUMPRODUCT((Inputs!$E$5:$E$130=$B25)*Inputs!$F$5:$F$130*(((Inputs!$G$5:$G$130="moeda")+(Inputs!$G$5:$G$130="acoes"))*Inputs!$B$1+((Inputs!$G$5:$G$130&lt;&gt;"moeda")*(Inputs!$G$5:$G$130&lt;&gt;"acoes")))*INDEX(Inputs!$K$5:$AJ$130,0,MATCH(AA$2,Inputs!$K$4:$AJ$4,0)))))</f>
        <v>11010</v>
      </c>
      <c r="AB25" s="266">
        <f>AA25</f>
        <v>11010</v>
      </c>
      <c r="AC25" s="265">
        <f>IF(ISNA(MATCH(AC$2,Inputs!$K$4:$AJ$4,0)),NA(),IF(SUMPRODUCT((Inputs!$A$5:$A$130=$B25)*ISNUMBER(INDEX(Inputs!$K$5:$AJ$130,0,MATCH(AC$2,Inputs!$K$4:$AJ$4,0))))+SUMPRODUCT((Inputs!$C$5:$C$130=$B25)*ISNUMBER(INDEX(Inputs!$K$5:$AJ$130,0,MATCH(AC$2,Inputs!$K$4:$AJ$4,0))))+SUMPRODUCT((Inputs!$E$5:$E$130=$B25)*ISNUMBER(INDEX(Inputs!$K$5:$AJ$130,0,MATCH(AC$2,Inputs!$K$4:$AJ$4,0))))=0,NA(),SUMPRODUCT((Inputs!$A$5:$A$130=$B25)*Inputs!$B$5:$B$130*(((Inputs!$G$5:$G$130="moeda")+(Inputs!$G$5:$G$130="acoes"))*Inputs!$B$1+((Inputs!$G$5:$G$130&lt;&gt;"moeda")*(Inputs!$G$5:$G$130&lt;&gt;"acoes")))*INDEX(Inputs!$K$5:$AJ$130,0,MATCH(AC$2,Inputs!$K$4:$AJ$4,0)))+SUMPRODUCT((Inputs!$C$5:$C$130=$B25)*Inputs!$D$5:$D$130*(((Inputs!$G$5:$G$130="moeda")+(Inputs!$G$5:$G$130="acoes"))*Inputs!$B$1+((Inputs!$G$5:$G$130&lt;&gt;"moeda")*(Inputs!$G$5:$G$130&lt;&gt;"acoes")))*INDEX(Inputs!$K$5:$AJ$130,0,MATCH(AC$2,Inputs!$K$4:$AJ$4,0)))+SUMPRODUCT((Inputs!$E$5:$E$130=$B25)*Inputs!$F$5:$F$130*(((Inputs!$G$5:$G$130="moeda")+(Inputs!$G$5:$G$130="acoes"))*Inputs!$B$1+((Inputs!$G$5:$G$130&lt;&gt;"moeda")*(Inputs!$G$5:$G$130&lt;&gt;"acoes")))*INDEX(Inputs!$K$5:$AJ$130,0,MATCH(AC$2,Inputs!$K$4:$AJ$4,0)))))</f>
        <v>10873</v>
      </c>
      <c r="AD25" s="265">
        <f>IF(ISNA(MATCH(AD$2,Inputs!$K$4:$AJ$4,0)),NA(),IF(SUMPRODUCT((Inputs!$A$5:$A$130=$B25)*ISNUMBER(INDEX(Inputs!$K$5:$AJ$130,0,MATCH(AD$2,Inputs!$K$4:$AJ$4,0))))+SUMPRODUCT((Inputs!$C$5:$C$130=$B25)*ISNUMBER(INDEX(Inputs!$K$5:$AJ$130,0,MATCH(AD$2,Inputs!$K$4:$AJ$4,0))))+SUMPRODUCT((Inputs!$E$5:$E$130=$B25)*ISNUMBER(INDEX(Inputs!$K$5:$AJ$130,0,MATCH(AD$2,Inputs!$K$4:$AJ$4,0))))=0,NA(),SUMPRODUCT((Inputs!$A$5:$A$130=$B25)*Inputs!$B$5:$B$130*(((Inputs!$G$5:$G$130="moeda")+(Inputs!$G$5:$G$130="acoes"))*Inputs!$B$1+((Inputs!$G$5:$G$130&lt;&gt;"moeda")*(Inputs!$G$5:$G$130&lt;&gt;"acoes")))*INDEX(Inputs!$K$5:$AJ$130,0,MATCH(AD$2,Inputs!$K$4:$AJ$4,0)))+SUMPRODUCT((Inputs!$C$5:$C$130=$B25)*Inputs!$D$5:$D$130*(((Inputs!$G$5:$G$130="moeda")+(Inputs!$G$5:$G$130="acoes"))*Inputs!$B$1+((Inputs!$G$5:$G$130&lt;&gt;"moeda")*(Inputs!$G$5:$G$130&lt;&gt;"acoes")))*INDEX(Inputs!$K$5:$AJ$130,0,MATCH(AD$2,Inputs!$K$4:$AJ$4,0)))+SUMPRODUCT((Inputs!$E$5:$E$130=$B25)*Inputs!$F$5:$F$130*(((Inputs!$G$5:$G$130="moeda")+(Inputs!$G$5:$G$130="acoes"))*Inputs!$B$1+((Inputs!$G$5:$G$130&lt;&gt;"moeda")*(Inputs!$G$5:$G$130&lt;&gt;"acoes")))*INDEX(Inputs!$K$5:$AJ$130,0,MATCH(AD$2,Inputs!$K$4:$AJ$4,0)))))</f>
        <v>10449</v>
      </c>
      <c r="AE25" s="265" t="e">
        <f>IF(ISNA(MATCH(AE$2,Inputs!$K$4:$AJ$4,0)),NA(),IF(SUMPRODUCT((Inputs!$A$5:$A$130=$B25)*ISNUMBER(INDEX(Inputs!$K$5:$AJ$130,0,MATCH(AE$2,Inputs!$K$4:$AJ$4,0))))+SUMPRODUCT((Inputs!$C$5:$C$130=$B25)*ISNUMBER(INDEX(Inputs!$K$5:$AJ$130,0,MATCH(AE$2,Inputs!$K$4:$AJ$4,0))))+SUMPRODUCT((Inputs!$E$5:$E$130=$B25)*ISNUMBER(INDEX(Inputs!$K$5:$AJ$130,0,MATCH(AE$2,Inputs!$K$4:$AJ$4,0))))=0,NA(),SUMPRODUCT((Inputs!$A$5:$A$130=$B25)*Inputs!$B$5:$B$130*(((Inputs!$G$5:$G$130="moeda")+(Inputs!$G$5:$G$130="acoes"))*Inputs!$B$1+((Inputs!$G$5:$G$130&lt;&gt;"moeda")*(Inputs!$G$5:$G$130&lt;&gt;"acoes")))*INDEX(Inputs!$K$5:$AJ$130,0,MATCH(AE$2,Inputs!$K$4:$AJ$4,0)))+SUMPRODUCT((Inputs!$C$5:$C$130=$B25)*Inputs!$D$5:$D$130*(((Inputs!$G$5:$G$130="moeda")+(Inputs!$G$5:$G$130="acoes"))*Inputs!$B$1+((Inputs!$G$5:$G$130&lt;&gt;"moeda")*(Inputs!$G$5:$G$130&lt;&gt;"acoes")))*INDEX(Inputs!$K$5:$AJ$130,0,MATCH(AE$2,Inputs!$K$4:$AJ$4,0)))+SUMPRODUCT((Inputs!$E$5:$E$130=$B25)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5" s="265" t="e">
        <f>IF(ISNA(MATCH(AF$2,Inputs!$K$4:$AJ$4,0)),NA(),IF(SUMPRODUCT((Inputs!$A$5:$A$130=$B25)*ISNUMBER(INDEX(Inputs!$K$5:$AJ$130,0,MATCH(AF$2,Inputs!$K$4:$AJ$4,0))))+SUMPRODUCT((Inputs!$C$5:$C$130=$B25)*ISNUMBER(INDEX(Inputs!$K$5:$AJ$130,0,MATCH(AF$2,Inputs!$K$4:$AJ$4,0))))+SUMPRODUCT((Inputs!$E$5:$E$130=$B25)*ISNUMBER(INDEX(Inputs!$K$5:$AJ$130,0,MATCH(AF$2,Inputs!$K$4:$AJ$4,0))))=0,NA(),SUMPRODUCT((Inputs!$A$5:$A$130=$B25)*Inputs!$B$5:$B$130*(((Inputs!$G$5:$G$130="moeda")+(Inputs!$G$5:$G$130="acoes"))*Inputs!$B$1+((Inputs!$G$5:$G$130&lt;&gt;"moeda")*(Inputs!$G$5:$G$130&lt;&gt;"acoes")))*INDEX(Inputs!$K$5:$AJ$130,0,MATCH(AF$2,Inputs!$K$4:$AJ$4,0)))+SUMPRODUCT((Inputs!$C$5:$C$130=$B25)*Inputs!$D$5:$D$130*(((Inputs!$G$5:$G$130="moeda")+(Inputs!$G$5:$G$130="acoes"))*Inputs!$B$1+((Inputs!$G$5:$G$130&lt;&gt;"moeda")*(Inputs!$G$5:$G$130&lt;&gt;"acoes")))*INDEX(Inputs!$K$5:$AJ$130,0,MATCH(AF$2,Inputs!$K$4:$AJ$4,0)))+SUMPRODUCT((Inputs!$E$5:$E$130=$B25)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5" s="266" t="e">
        <f>AF25</f>
        <v>#N/A</v>
      </c>
      <c r="AH25" s="265" t="e">
        <f>IF(ISNA(MATCH(AH$2,Inputs!$K$4:$AJ$4,0)),NA(),IF(SUMPRODUCT((Inputs!$A$5:$A$130=$B25)*ISNUMBER(INDEX(Inputs!$K$5:$AJ$130,0,MATCH(AH$2,Inputs!$K$4:$AJ$4,0))))+SUMPRODUCT((Inputs!$C$5:$C$130=$B25)*ISNUMBER(INDEX(Inputs!$K$5:$AJ$130,0,MATCH(AH$2,Inputs!$K$4:$AJ$4,0))))+SUMPRODUCT((Inputs!$E$5:$E$130=$B25)*ISNUMBER(INDEX(Inputs!$K$5:$AJ$130,0,MATCH(AH$2,Inputs!$K$4:$AJ$4,0))))=0,NA(),SUMPRODUCT((Inputs!$A$5:$A$130=$B25)*Inputs!$B$5:$B$130*(((Inputs!$G$5:$G$130="moeda")+(Inputs!$G$5:$G$130="acoes"))*Inputs!$B$1+((Inputs!$G$5:$G$130&lt;&gt;"moeda")*(Inputs!$G$5:$G$130&lt;&gt;"acoes")))*INDEX(Inputs!$K$5:$AJ$130,0,MATCH(AH$2,Inputs!$K$4:$AJ$4,0)))+SUMPRODUCT((Inputs!$C$5:$C$130=$B25)*Inputs!$D$5:$D$130*(((Inputs!$G$5:$G$130="moeda")+(Inputs!$G$5:$G$130="acoes"))*Inputs!$B$1+((Inputs!$G$5:$G$130&lt;&gt;"moeda")*(Inputs!$G$5:$G$130&lt;&gt;"acoes")))*INDEX(Inputs!$K$5:$AJ$130,0,MATCH(AH$2,Inputs!$K$4:$AJ$4,0)))+SUMPRODUCT((Inputs!$E$5:$E$130=$B25)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25" s="265" t="e">
        <f>IF(ISNA(MATCH(AI$2,Inputs!$K$4:$AJ$4,0)),NA(),IF(SUMPRODUCT((Inputs!$A$5:$A$130=$B25)*ISNUMBER(INDEX(Inputs!$K$5:$AJ$130,0,MATCH(AI$2,Inputs!$K$4:$AJ$4,0))))+SUMPRODUCT((Inputs!$C$5:$C$130=$B25)*ISNUMBER(INDEX(Inputs!$K$5:$AJ$130,0,MATCH(AI$2,Inputs!$K$4:$AJ$4,0))))+SUMPRODUCT((Inputs!$E$5:$E$130=$B25)*ISNUMBER(INDEX(Inputs!$K$5:$AJ$130,0,MATCH(AI$2,Inputs!$K$4:$AJ$4,0))))=0,NA(),SUMPRODUCT((Inputs!$A$5:$A$130=$B25)*Inputs!$B$5:$B$130*(((Inputs!$G$5:$G$130="moeda")+(Inputs!$G$5:$G$130="acoes"))*Inputs!$B$1+((Inputs!$G$5:$G$130&lt;&gt;"moeda")*(Inputs!$G$5:$G$130&lt;&gt;"acoes")))*INDEX(Inputs!$K$5:$AJ$130,0,MATCH(AI$2,Inputs!$K$4:$AJ$4,0)))+SUMPRODUCT((Inputs!$C$5:$C$130=$B25)*Inputs!$D$5:$D$130*(((Inputs!$G$5:$G$130="moeda")+(Inputs!$G$5:$G$130="acoes"))*Inputs!$B$1+((Inputs!$G$5:$G$130&lt;&gt;"moeda")*(Inputs!$G$5:$G$130&lt;&gt;"acoes")))*INDEX(Inputs!$K$5:$AJ$130,0,MATCH(AI$2,Inputs!$K$4:$AJ$4,0)))+SUMPRODUCT((Inputs!$E$5:$E$130=$B25)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25" s="265" t="e">
        <f>IF(ISNA(MATCH(AJ$2,Inputs!$K$4:$AJ$4,0)),NA(),IF(SUMPRODUCT((Inputs!$A$5:$A$130=$B25)*ISNUMBER(INDEX(Inputs!$K$5:$AJ$130,0,MATCH(AJ$2,Inputs!$K$4:$AJ$4,0))))+SUMPRODUCT((Inputs!$C$5:$C$130=$B25)*ISNUMBER(INDEX(Inputs!$K$5:$AJ$130,0,MATCH(AJ$2,Inputs!$K$4:$AJ$4,0))))+SUMPRODUCT((Inputs!$E$5:$E$130=$B25)*ISNUMBER(INDEX(Inputs!$K$5:$AJ$130,0,MATCH(AJ$2,Inputs!$K$4:$AJ$4,0))))=0,NA(),SUMPRODUCT((Inputs!$A$5:$A$130=$B25)*Inputs!$B$5:$B$130*(((Inputs!$G$5:$G$130="moeda")+(Inputs!$G$5:$G$130="acoes"))*Inputs!$B$1+((Inputs!$G$5:$G$130&lt;&gt;"moeda")*(Inputs!$G$5:$G$130&lt;&gt;"acoes")))*INDEX(Inputs!$K$5:$AJ$130,0,MATCH(AJ$2,Inputs!$K$4:$AJ$4,0)))+SUMPRODUCT((Inputs!$C$5:$C$130=$B25)*Inputs!$D$5:$D$130*(((Inputs!$G$5:$G$130="moeda")+(Inputs!$G$5:$G$130="acoes"))*Inputs!$B$1+((Inputs!$G$5:$G$130&lt;&gt;"moeda")*(Inputs!$G$5:$G$130&lt;&gt;"acoes")))*INDEX(Inputs!$K$5:$AJ$130,0,MATCH(AJ$2,Inputs!$K$4:$AJ$4,0)))+SUMPRODUCT((Inputs!$E$5:$E$130=$B25)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25" s="265" t="e">
        <f>IF(ISNA(MATCH(AK$2,Inputs!$K$4:$AJ$4,0)),NA(),IF(SUMPRODUCT((Inputs!$A$5:$A$130=$B25)*ISNUMBER(INDEX(Inputs!$K$5:$AJ$130,0,MATCH(AK$2,Inputs!$K$4:$AJ$4,0))))+SUMPRODUCT((Inputs!$C$5:$C$130=$B25)*ISNUMBER(INDEX(Inputs!$K$5:$AJ$130,0,MATCH(AK$2,Inputs!$K$4:$AJ$4,0))))+SUMPRODUCT((Inputs!$E$5:$E$130=$B25)*ISNUMBER(INDEX(Inputs!$K$5:$AJ$130,0,MATCH(AK$2,Inputs!$K$4:$AJ$4,0))))=0,NA(),SUMPRODUCT((Inputs!$A$5:$A$130=$B25)*Inputs!$B$5:$B$130*(((Inputs!$G$5:$G$130="moeda")+(Inputs!$G$5:$G$130="acoes"))*Inputs!$B$1+((Inputs!$G$5:$G$130&lt;&gt;"moeda")*(Inputs!$G$5:$G$130&lt;&gt;"acoes")))*INDEX(Inputs!$K$5:$AJ$130,0,MATCH(AK$2,Inputs!$K$4:$AJ$4,0)))+SUMPRODUCT((Inputs!$C$5:$C$130=$B25)*Inputs!$D$5:$D$130*(((Inputs!$G$5:$G$130="moeda")+(Inputs!$G$5:$G$130="acoes"))*Inputs!$B$1+((Inputs!$G$5:$G$130&lt;&gt;"moeda")*(Inputs!$G$5:$G$130&lt;&gt;"acoes")))*INDEX(Inputs!$K$5:$AJ$130,0,MATCH(AK$2,Inputs!$K$4:$AJ$4,0)))+SUMPRODUCT((Inputs!$E$5:$E$130=$B25)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25" s="266" t="e">
        <f>AK25</f>
        <v>#N/A</v>
      </c>
    </row>
    <row r="26" ht="12.75" customHeight="1" s="254">
      <c r="B26" s="263" t="n">
        <v>22</v>
      </c>
      <c r="C26" s="268" t="inlineStr">
        <is>
          <t>Other non-current assets</t>
        </is>
      </c>
      <c r="D26" s="265">
        <f>IF(ISNA(MATCH(D$2,Inputs!$K$4:$AJ$4,0)),NA(),IF(SUMPRODUCT((Inputs!$A$5:$A$130=$B26)*ISNUMBER(INDEX(Inputs!$K$5:$AJ$130,0,MATCH(D$2,Inputs!$K$4:$AJ$4,0))))+SUMPRODUCT((Inputs!$C$5:$C$130=$B26)*ISNUMBER(INDEX(Inputs!$K$5:$AJ$130,0,MATCH(D$2,Inputs!$K$4:$AJ$4,0))))+SUMPRODUCT((Inputs!$E$5:$E$130=$B26)*ISNUMBER(INDEX(Inputs!$K$5:$AJ$130,0,MATCH(D$2,Inputs!$K$4:$AJ$4,0))))=0,NA(),SUMPRODUCT((Inputs!$A$5:$A$130=$B26)*Inputs!$B$5:$B$130*(((Inputs!$G$5:$G$130="moeda")+(Inputs!$G$5:$G$130="acoes"))*Inputs!$B$1+((Inputs!$G$5:$G$130&lt;&gt;"moeda")*(Inputs!$G$5:$G$130&lt;&gt;"acoes")))*INDEX(Inputs!$K$5:$AJ$130,0,MATCH(D$2,Inputs!$K$4:$AJ$4,0)))+SUMPRODUCT((Inputs!$C$5:$C$130=$B26)*Inputs!$D$5:$D$130*(((Inputs!$G$5:$G$130="moeda")+(Inputs!$G$5:$G$130="acoes"))*Inputs!$B$1+((Inputs!$G$5:$G$130&lt;&gt;"moeda")*(Inputs!$G$5:$G$130&lt;&gt;"acoes")))*INDEX(Inputs!$K$5:$AJ$130,0,MATCH(D$2,Inputs!$K$4:$AJ$4,0)))+SUMPRODUCT((Inputs!$E$5:$E$130=$B26)*Inputs!$F$5:$F$130*(((Inputs!$G$5:$G$130="moeda")+(Inputs!$G$5:$G$130="acoes"))*Inputs!$B$1+((Inputs!$G$5:$G$130&lt;&gt;"moeda")*(Inputs!$G$5:$G$130&lt;&gt;"acoes")))*INDEX(Inputs!$K$5:$AJ$130,0,MATCH(D$2,Inputs!$K$4:$AJ$4,0)))))</f>
        <v>18263</v>
      </c>
      <c r="E26" s="265">
        <f>IF(ISNA(MATCH(E$2,Inputs!$K$4:$AJ$4,0)),NA(),IF(SUMPRODUCT((Inputs!$A$5:$A$130=$B26)*ISNUMBER(INDEX(Inputs!$K$5:$AJ$130,0,MATCH(E$2,Inputs!$K$4:$AJ$4,0))))+SUMPRODUCT((Inputs!$C$5:$C$130=$B26)*ISNUMBER(INDEX(Inputs!$K$5:$AJ$130,0,MATCH(E$2,Inputs!$K$4:$AJ$4,0))))+SUMPRODUCT((Inputs!$E$5:$E$130=$B26)*ISNUMBER(INDEX(Inputs!$K$5:$AJ$130,0,MATCH(E$2,Inputs!$K$4:$AJ$4,0))))=0,NA(),SUMPRODUCT((Inputs!$A$5:$A$130=$B26)*Inputs!$B$5:$B$130*(((Inputs!$G$5:$G$130="moeda")+(Inputs!$G$5:$G$130="acoes"))*Inputs!$B$1+((Inputs!$G$5:$G$130&lt;&gt;"moeda")*(Inputs!$G$5:$G$130&lt;&gt;"acoes")))*INDEX(Inputs!$K$5:$AJ$130,0,MATCH(E$2,Inputs!$K$4:$AJ$4,0)))+SUMPRODUCT((Inputs!$C$5:$C$130=$B26)*Inputs!$D$5:$D$130*(((Inputs!$G$5:$G$130="moeda")+(Inputs!$G$5:$G$130="acoes"))*Inputs!$B$1+((Inputs!$G$5:$G$130&lt;&gt;"moeda")*(Inputs!$G$5:$G$130&lt;&gt;"acoes")))*INDEX(Inputs!$K$5:$AJ$130,0,MATCH(E$2,Inputs!$K$4:$AJ$4,0)))+SUMPRODUCT((Inputs!$E$5:$E$130=$B26)*Inputs!$F$5:$F$130*(((Inputs!$G$5:$G$130="moeda")+(Inputs!$G$5:$G$130="acoes"))*Inputs!$B$1+((Inputs!$G$5:$G$130&lt;&gt;"moeda")*(Inputs!$G$5:$G$130&lt;&gt;"acoes")))*INDEX(Inputs!$K$5:$AJ$130,0,MATCH(E$2,Inputs!$K$4:$AJ$4,0)))))</f>
        <v>20801</v>
      </c>
      <c r="F26" s="265">
        <f>IF(ISNA(MATCH(F$2,Inputs!$K$4:$AJ$4,0)),NA(),IF(SUMPRODUCT((Inputs!$A$5:$A$130=$B26)*ISNUMBER(INDEX(Inputs!$K$5:$AJ$130,0,MATCH(F$2,Inputs!$K$4:$AJ$4,0))))+SUMPRODUCT((Inputs!$C$5:$C$130=$B26)*ISNUMBER(INDEX(Inputs!$K$5:$AJ$130,0,MATCH(F$2,Inputs!$K$4:$AJ$4,0))))+SUMPRODUCT((Inputs!$E$5:$E$130=$B26)*ISNUMBER(INDEX(Inputs!$K$5:$AJ$130,0,MATCH(F$2,Inputs!$K$4:$AJ$4,0))))=0,NA(),SUMPRODUCT((Inputs!$A$5:$A$130=$B26)*Inputs!$B$5:$B$130*(((Inputs!$G$5:$G$130="moeda")+(Inputs!$G$5:$G$130="acoes"))*Inputs!$B$1+((Inputs!$G$5:$G$130&lt;&gt;"moeda")*(Inputs!$G$5:$G$130&lt;&gt;"acoes")))*INDEX(Inputs!$K$5:$AJ$130,0,MATCH(F$2,Inputs!$K$4:$AJ$4,0)))+SUMPRODUCT((Inputs!$C$5:$C$130=$B26)*Inputs!$D$5:$D$130*(((Inputs!$G$5:$G$130="moeda")+(Inputs!$G$5:$G$130="acoes"))*Inputs!$B$1+((Inputs!$G$5:$G$130&lt;&gt;"moeda")*(Inputs!$G$5:$G$130&lt;&gt;"acoes")))*INDEX(Inputs!$K$5:$AJ$130,0,MATCH(F$2,Inputs!$K$4:$AJ$4,0)))+SUMPRODUCT((Inputs!$E$5:$E$130=$B26)*Inputs!$F$5:$F$130*(((Inputs!$G$5:$G$130="moeda")+(Inputs!$G$5:$G$130="acoes"))*Inputs!$B$1+((Inputs!$G$5:$G$130&lt;&gt;"moeda")*(Inputs!$G$5:$G$130&lt;&gt;"acoes")))*INDEX(Inputs!$K$5:$AJ$130,0,MATCH(F$2,Inputs!$K$4:$AJ$4,0)))))</f>
        <v>20328</v>
      </c>
      <c r="G26" s="265">
        <f>IF(ISNA(MATCH(G$2,Inputs!$K$4:$AJ$4,0)),NA(),IF(SUMPRODUCT((Inputs!$A$5:$A$130=$B26)*ISNUMBER(INDEX(Inputs!$K$5:$AJ$130,0,MATCH(G$2,Inputs!$K$4:$AJ$4,0))))+SUMPRODUCT((Inputs!$C$5:$C$130=$B26)*ISNUMBER(INDEX(Inputs!$K$5:$AJ$130,0,MATCH(G$2,Inputs!$K$4:$AJ$4,0))))+SUMPRODUCT((Inputs!$E$5:$E$130=$B26)*ISNUMBER(INDEX(Inputs!$K$5:$AJ$130,0,MATCH(G$2,Inputs!$K$4:$AJ$4,0))))=0,NA(),SUMPRODUCT((Inputs!$A$5:$A$130=$B26)*Inputs!$B$5:$B$130*(((Inputs!$G$5:$G$130="moeda")+(Inputs!$G$5:$G$130="acoes"))*Inputs!$B$1+((Inputs!$G$5:$G$130&lt;&gt;"moeda")*(Inputs!$G$5:$G$130&lt;&gt;"acoes")))*INDEX(Inputs!$K$5:$AJ$130,0,MATCH(G$2,Inputs!$K$4:$AJ$4,0)))+SUMPRODUCT((Inputs!$C$5:$C$130=$B26)*Inputs!$D$5:$D$130*(((Inputs!$G$5:$G$130="moeda")+(Inputs!$G$5:$G$130="acoes"))*Inputs!$B$1+((Inputs!$G$5:$G$130&lt;&gt;"moeda")*(Inputs!$G$5:$G$130&lt;&gt;"acoes")))*INDEX(Inputs!$K$5:$AJ$130,0,MATCH(G$2,Inputs!$K$4:$AJ$4,0)))+SUMPRODUCT((Inputs!$E$5:$E$130=$B26)*Inputs!$F$5:$F$130*(((Inputs!$G$5:$G$130="moeda")+(Inputs!$G$5:$G$130="acoes"))*Inputs!$B$1+((Inputs!$G$5:$G$130&lt;&gt;"moeda")*(Inputs!$G$5:$G$130&lt;&gt;"acoes")))*INDEX(Inputs!$K$5:$AJ$130,0,MATCH(G$2,Inputs!$K$4:$AJ$4,0)))))</f>
        <v>20148</v>
      </c>
      <c r="H26" s="266">
        <f>G26</f>
        <v>20148</v>
      </c>
      <c r="I26" s="265">
        <f>IF(ISNA(MATCH(I$2,Inputs!$K$4:$AJ$4,0)),NA(),IF(SUMPRODUCT((Inputs!$A$5:$A$130=$B26)*ISNUMBER(INDEX(Inputs!$K$5:$AJ$130,0,MATCH(I$2,Inputs!$K$4:$AJ$4,0))))+SUMPRODUCT((Inputs!$C$5:$C$130=$B26)*ISNUMBER(INDEX(Inputs!$K$5:$AJ$130,0,MATCH(I$2,Inputs!$K$4:$AJ$4,0))))+SUMPRODUCT((Inputs!$E$5:$E$130=$B26)*ISNUMBER(INDEX(Inputs!$K$5:$AJ$130,0,MATCH(I$2,Inputs!$K$4:$AJ$4,0))))=0,NA(),SUMPRODUCT((Inputs!$A$5:$A$130=$B26)*Inputs!$B$5:$B$130*(((Inputs!$G$5:$G$130="moeda")+(Inputs!$G$5:$G$130="acoes"))*Inputs!$B$1+((Inputs!$G$5:$G$130&lt;&gt;"moeda")*(Inputs!$G$5:$G$130&lt;&gt;"acoes")))*INDEX(Inputs!$K$5:$AJ$130,0,MATCH(I$2,Inputs!$K$4:$AJ$4,0)))+SUMPRODUCT((Inputs!$C$5:$C$130=$B26)*Inputs!$D$5:$D$130*(((Inputs!$G$5:$G$130="moeda")+(Inputs!$G$5:$G$130="acoes"))*Inputs!$B$1+((Inputs!$G$5:$G$130&lt;&gt;"moeda")*(Inputs!$G$5:$G$130&lt;&gt;"acoes")))*INDEX(Inputs!$K$5:$AJ$130,0,MATCH(I$2,Inputs!$K$4:$AJ$4,0)))+SUMPRODUCT((Inputs!$E$5:$E$130=$B26)*Inputs!$F$5:$F$130*(((Inputs!$G$5:$G$130="moeda")+(Inputs!$G$5:$G$130="acoes"))*Inputs!$B$1+((Inputs!$G$5:$G$130&lt;&gt;"moeda")*(Inputs!$G$5:$G$130&lt;&gt;"acoes")))*INDEX(Inputs!$K$5:$AJ$130,0,MATCH(I$2,Inputs!$K$4:$AJ$4,0)))))</f>
        <v>20021</v>
      </c>
      <c r="J26" s="265">
        <f>IF(ISNA(MATCH(J$2,Inputs!$K$4:$AJ$4,0)),NA(),IF(SUMPRODUCT((Inputs!$A$5:$A$130=$B26)*ISNUMBER(INDEX(Inputs!$K$5:$AJ$130,0,MATCH(J$2,Inputs!$K$4:$AJ$4,0))))+SUMPRODUCT((Inputs!$C$5:$C$130=$B26)*ISNUMBER(INDEX(Inputs!$K$5:$AJ$130,0,MATCH(J$2,Inputs!$K$4:$AJ$4,0))))+SUMPRODUCT((Inputs!$E$5:$E$130=$B26)*ISNUMBER(INDEX(Inputs!$K$5:$AJ$130,0,MATCH(J$2,Inputs!$K$4:$AJ$4,0))))=0,NA(),SUMPRODUCT((Inputs!$A$5:$A$130=$B26)*Inputs!$B$5:$B$130*(((Inputs!$G$5:$G$130="moeda")+(Inputs!$G$5:$G$130="acoes"))*Inputs!$B$1+((Inputs!$G$5:$G$130&lt;&gt;"moeda")*(Inputs!$G$5:$G$130&lt;&gt;"acoes")))*INDEX(Inputs!$K$5:$AJ$130,0,MATCH(J$2,Inputs!$K$4:$AJ$4,0)))+SUMPRODUCT((Inputs!$C$5:$C$130=$B26)*Inputs!$D$5:$D$130*(((Inputs!$G$5:$G$130="moeda")+(Inputs!$G$5:$G$130="acoes"))*Inputs!$B$1+((Inputs!$G$5:$G$130&lt;&gt;"moeda")*(Inputs!$G$5:$G$130&lt;&gt;"acoes")))*INDEX(Inputs!$K$5:$AJ$130,0,MATCH(J$2,Inputs!$K$4:$AJ$4,0)))+SUMPRODUCT((Inputs!$E$5:$E$130=$B26)*Inputs!$F$5:$F$130*(((Inputs!$G$5:$G$130="moeda")+(Inputs!$G$5:$G$130="acoes"))*Inputs!$B$1+((Inputs!$G$5:$G$130&lt;&gt;"moeda")*(Inputs!$G$5:$G$130&lt;&gt;"acoes")))*INDEX(Inputs!$K$5:$AJ$130,0,MATCH(J$2,Inputs!$K$4:$AJ$4,0)))))</f>
        <v>25172</v>
      </c>
      <c r="K26" s="265">
        <f>IF(ISNA(MATCH(K$2,Inputs!$K$4:$AJ$4,0)),NA(),IF(SUMPRODUCT((Inputs!$A$5:$A$130=$B26)*ISNUMBER(INDEX(Inputs!$K$5:$AJ$130,0,MATCH(K$2,Inputs!$K$4:$AJ$4,0))))+SUMPRODUCT((Inputs!$C$5:$C$130=$B26)*ISNUMBER(INDEX(Inputs!$K$5:$AJ$130,0,MATCH(K$2,Inputs!$K$4:$AJ$4,0))))+SUMPRODUCT((Inputs!$E$5:$E$130=$B26)*ISNUMBER(INDEX(Inputs!$K$5:$AJ$130,0,MATCH(K$2,Inputs!$K$4:$AJ$4,0))))=0,NA(),SUMPRODUCT((Inputs!$A$5:$A$130=$B26)*Inputs!$B$5:$B$130*(((Inputs!$G$5:$G$130="moeda")+(Inputs!$G$5:$G$130="acoes"))*Inputs!$B$1+((Inputs!$G$5:$G$130&lt;&gt;"moeda")*(Inputs!$G$5:$G$130&lt;&gt;"acoes")))*INDEX(Inputs!$K$5:$AJ$130,0,MATCH(K$2,Inputs!$K$4:$AJ$4,0)))+SUMPRODUCT((Inputs!$C$5:$C$130=$B26)*Inputs!$D$5:$D$130*(((Inputs!$G$5:$G$130="moeda")+(Inputs!$G$5:$G$130="acoes"))*Inputs!$B$1+((Inputs!$G$5:$G$130&lt;&gt;"moeda")*(Inputs!$G$5:$G$130&lt;&gt;"acoes")))*INDEX(Inputs!$K$5:$AJ$130,0,MATCH(K$2,Inputs!$K$4:$AJ$4,0)))+SUMPRODUCT((Inputs!$E$5:$E$130=$B26)*Inputs!$F$5:$F$130*(((Inputs!$G$5:$G$130="moeda")+(Inputs!$G$5:$G$130="acoes"))*Inputs!$B$1+((Inputs!$G$5:$G$130&lt;&gt;"moeda")*(Inputs!$G$5:$G$130&lt;&gt;"acoes")))*INDEX(Inputs!$K$5:$AJ$130,0,MATCH(K$2,Inputs!$K$4:$AJ$4,0)))))</f>
        <v>23624</v>
      </c>
      <c r="L26" s="265">
        <f>IF(ISNA(MATCH(L$2,Inputs!$K$4:$AJ$4,0)),NA(),IF(SUMPRODUCT((Inputs!$A$5:$A$130=$B26)*ISNUMBER(INDEX(Inputs!$K$5:$AJ$130,0,MATCH(L$2,Inputs!$K$4:$AJ$4,0))))+SUMPRODUCT((Inputs!$C$5:$C$130=$B26)*ISNUMBER(INDEX(Inputs!$K$5:$AJ$130,0,MATCH(L$2,Inputs!$K$4:$AJ$4,0))))+SUMPRODUCT((Inputs!$E$5:$E$130=$B26)*ISNUMBER(INDEX(Inputs!$K$5:$AJ$130,0,MATCH(L$2,Inputs!$K$4:$AJ$4,0))))=0,NA(),SUMPRODUCT((Inputs!$A$5:$A$130=$B26)*Inputs!$B$5:$B$130*(((Inputs!$G$5:$G$130="moeda")+(Inputs!$G$5:$G$130="acoes"))*Inputs!$B$1+((Inputs!$G$5:$G$130&lt;&gt;"moeda")*(Inputs!$G$5:$G$130&lt;&gt;"acoes")))*INDEX(Inputs!$K$5:$AJ$130,0,MATCH(L$2,Inputs!$K$4:$AJ$4,0)))+SUMPRODUCT((Inputs!$C$5:$C$130=$B26)*Inputs!$D$5:$D$130*(((Inputs!$G$5:$G$130="moeda")+(Inputs!$G$5:$G$130="acoes"))*Inputs!$B$1+((Inputs!$G$5:$G$130&lt;&gt;"moeda")*(Inputs!$G$5:$G$130&lt;&gt;"acoes")))*INDEX(Inputs!$K$5:$AJ$130,0,MATCH(L$2,Inputs!$K$4:$AJ$4,0)))+SUMPRODUCT((Inputs!$E$5:$E$130=$B26)*Inputs!$F$5:$F$130*(((Inputs!$G$5:$G$130="moeda")+(Inputs!$G$5:$G$130="acoes"))*Inputs!$B$1+((Inputs!$G$5:$G$130&lt;&gt;"moeda")*(Inputs!$G$5:$G$130&lt;&gt;"acoes")))*INDEX(Inputs!$K$5:$AJ$130,0,MATCH(L$2,Inputs!$K$4:$AJ$4,0)))))</f>
        <v>21064</v>
      </c>
      <c r="M26" s="266">
        <f>L26</f>
        <v>21064</v>
      </c>
      <c r="N26" s="265">
        <f>IF(ISNA(MATCH(N$2,Inputs!$K$4:$AJ$4,0)),NA(),IF(SUMPRODUCT((Inputs!$A$5:$A$130=$B26)*ISNUMBER(INDEX(Inputs!$K$5:$AJ$130,0,MATCH(N$2,Inputs!$K$4:$AJ$4,0))))+SUMPRODUCT((Inputs!$C$5:$C$130=$B26)*ISNUMBER(INDEX(Inputs!$K$5:$AJ$130,0,MATCH(N$2,Inputs!$K$4:$AJ$4,0))))+SUMPRODUCT((Inputs!$E$5:$E$130=$B26)*ISNUMBER(INDEX(Inputs!$K$5:$AJ$130,0,MATCH(N$2,Inputs!$K$4:$AJ$4,0))))=0,NA(),SUMPRODUCT((Inputs!$A$5:$A$130=$B26)*Inputs!$B$5:$B$130*(((Inputs!$G$5:$G$130="moeda")+(Inputs!$G$5:$G$130="acoes"))*Inputs!$B$1+((Inputs!$G$5:$G$130&lt;&gt;"moeda")*(Inputs!$G$5:$G$130&lt;&gt;"acoes")))*INDEX(Inputs!$K$5:$AJ$130,0,MATCH(N$2,Inputs!$K$4:$AJ$4,0)))+SUMPRODUCT((Inputs!$C$5:$C$130=$B26)*Inputs!$D$5:$D$130*(((Inputs!$G$5:$G$130="moeda")+(Inputs!$G$5:$G$130="acoes"))*Inputs!$B$1+((Inputs!$G$5:$G$130&lt;&gt;"moeda")*(Inputs!$G$5:$G$130&lt;&gt;"acoes")))*INDEX(Inputs!$K$5:$AJ$130,0,MATCH(N$2,Inputs!$K$4:$AJ$4,0)))+SUMPRODUCT((Inputs!$E$5:$E$130=$B26)*Inputs!$F$5:$F$130*(((Inputs!$G$5:$G$130="moeda")+(Inputs!$G$5:$G$130="acoes"))*Inputs!$B$1+((Inputs!$G$5:$G$130&lt;&gt;"moeda")*(Inputs!$G$5:$G$130&lt;&gt;"acoes")))*INDEX(Inputs!$K$5:$AJ$130,0,MATCH(N$2,Inputs!$K$4:$AJ$4,0)))))</f>
        <v>20411</v>
      </c>
      <c r="O26" s="265">
        <f>IF(ISNA(MATCH(O$2,Inputs!$K$4:$AJ$4,0)),NA(),IF(SUMPRODUCT((Inputs!$A$5:$A$130=$B26)*ISNUMBER(INDEX(Inputs!$K$5:$AJ$130,0,MATCH(O$2,Inputs!$K$4:$AJ$4,0))))+SUMPRODUCT((Inputs!$C$5:$C$130=$B26)*ISNUMBER(INDEX(Inputs!$K$5:$AJ$130,0,MATCH(O$2,Inputs!$K$4:$AJ$4,0))))+SUMPRODUCT((Inputs!$E$5:$E$130=$B26)*ISNUMBER(INDEX(Inputs!$K$5:$AJ$130,0,MATCH(O$2,Inputs!$K$4:$AJ$4,0))))=0,NA(),SUMPRODUCT((Inputs!$A$5:$A$130=$B26)*Inputs!$B$5:$B$130*(((Inputs!$G$5:$G$130="moeda")+(Inputs!$G$5:$G$130="acoes"))*Inputs!$B$1+((Inputs!$G$5:$G$130&lt;&gt;"moeda")*(Inputs!$G$5:$G$130&lt;&gt;"acoes")))*INDEX(Inputs!$K$5:$AJ$130,0,MATCH(O$2,Inputs!$K$4:$AJ$4,0)))+SUMPRODUCT((Inputs!$C$5:$C$130=$B26)*Inputs!$D$5:$D$130*(((Inputs!$G$5:$G$130="moeda")+(Inputs!$G$5:$G$130="acoes"))*Inputs!$B$1+((Inputs!$G$5:$G$130&lt;&gt;"moeda")*(Inputs!$G$5:$G$130&lt;&gt;"acoes")))*INDEX(Inputs!$K$5:$AJ$130,0,MATCH(O$2,Inputs!$K$4:$AJ$4,0)))+SUMPRODUCT((Inputs!$E$5:$E$130=$B26)*Inputs!$F$5:$F$130*(((Inputs!$G$5:$G$130="moeda")+(Inputs!$G$5:$G$130="acoes"))*Inputs!$B$1+((Inputs!$G$5:$G$130&lt;&gt;"moeda")*(Inputs!$G$5:$G$130&lt;&gt;"acoes")))*INDEX(Inputs!$K$5:$AJ$130,0,MATCH(O$2,Inputs!$K$4:$AJ$4,0)))))</f>
        <v>20401</v>
      </c>
      <c r="P26" s="265">
        <f>IF(ISNA(MATCH(P$2,Inputs!$K$4:$AJ$4,0)),NA(),IF(SUMPRODUCT((Inputs!$A$5:$A$130=$B26)*ISNUMBER(INDEX(Inputs!$K$5:$AJ$130,0,MATCH(P$2,Inputs!$K$4:$AJ$4,0))))+SUMPRODUCT((Inputs!$C$5:$C$130=$B26)*ISNUMBER(INDEX(Inputs!$K$5:$AJ$130,0,MATCH(P$2,Inputs!$K$4:$AJ$4,0))))+SUMPRODUCT((Inputs!$E$5:$E$130=$B26)*ISNUMBER(INDEX(Inputs!$K$5:$AJ$130,0,MATCH(P$2,Inputs!$K$4:$AJ$4,0))))=0,NA(),SUMPRODUCT((Inputs!$A$5:$A$130=$B26)*Inputs!$B$5:$B$130*(((Inputs!$G$5:$G$130="moeda")+(Inputs!$G$5:$G$130="acoes"))*Inputs!$B$1+((Inputs!$G$5:$G$130&lt;&gt;"moeda")*(Inputs!$G$5:$G$130&lt;&gt;"acoes")))*INDEX(Inputs!$K$5:$AJ$130,0,MATCH(P$2,Inputs!$K$4:$AJ$4,0)))+SUMPRODUCT((Inputs!$C$5:$C$130=$B26)*Inputs!$D$5:$D$130*(((Inputs!$G$5:$G$130="moeda")+(Inputs!$G$5:$G$130="acoes"))*Inputs!$B$1+((Inputs!$G$5:$G$130&lt;&gt;"moeda")*(Inputs!$G$5:$G$130&lt;&gt;"acoes")))*INDEX(Inputs!$K$5:$AJ$130,0,MATCH(P$2,Inputs!$K$4:$AJ$4,0)))+SUMPRODUCT((Inputs!$E$5:$E$130=$B26)*Inputs!$F$5:$F$130*(((Inputs!$G$5:$G$130="moeda")+(Inputs!$G$5:$G$130="acoes"))*Inputs!$B$1+((Inputs!$G$5:$G$130&lt;&gt;"moeda")*(Inputs!$G$5:$G$130&lt;&gt;"acoes")))*INDEX(Inputs!$K$5:$AJ$130,0,MATCH(P$2,Inputs!$K$4:$AJ$4,0)))))</f>
        <v>19556</v>
      </c>
      <c r="Q26" s="265">
        <f>IF(ISNA(MATCH(Q$2,Inputs!$K$4:$AJ$4,0)),NA(),IF(SUMPRODUCT((Inputs!$A$5:$A$130=$B26)*ISNUMBER(INDEX(Inputs!$K$5:$AJ$130,0,MATCH(Q$2,Inputs!$K$4:$AJ$4,0))))+SUMPRODUCT((Inputs!$C$5:$C$130=$B26)*ISNUMBER(INDEX(Inputs!$K$5:$AJ$130,0,MATCH(Q$2,Inputs!$K$4:$AJ$4,0))))+SUMPRODUCT((Inputs!$E$5:$E$130=$B26)*ISNUMBER(INDEX(Inputs!$K$5:$AJ$130,0,MATCH(Q$2,Inputs!$K$4:$AJ$4,0))))=0,NA(),SUMPRODUCT((Inputs!$A$5:$A$130=$B26)*Inputs!$B$5:$B$130*(((Inputs!$G$5:$G$130="moeda")+(Inputs!$G$5:$G$130="acoes"))*Inputs!$B$1+((Inputs!$G$5:$G$130&lt;&gt;"moeda")*(Inputs!$G$5:$G$130&lt;&gt;"acoes")))*INDEX(Inputs!$K$5:$AJ$130,0,MATCH(Q$2,Inputs!$K$4:$AJ$4,0)))+SUMPRODUCT((Inputs!$C$5:$C$130=$B26)*Inputs!$D$5:$D$130*(((Inputs!$G$5:$G$130="moeda")+(Inputs!$G$5:$G$130="acoes"))*Inputs!$B$1+((Inputs!$G$5:$G$130&lt;&gt;"moeda")*(Inputs!$G$5:$G$130&lt;&gt;"acoes")))*INDEX(Inputs!$K$5:$AJ$130,0,MATCH(Q$2,Inputs!$K$4:$AJ$4,0)))+SUMPRODUCT((Inputs!$E$5:$E$130=$B26)*Inputs!$F$5:$F$130*(((Inputs!$G$5:$G$130="moeda")+(Inputs!$G$5:$G$130="acoes"))*Inputs!$B$1+((Inputs!$G$5:$G$130&lt;&gt;"moeda")*(Inputs!$G$5:$G$130&lt;&gt;"acoes")))*INDEX(Inputs!$K$5:$AJ$130,0,MATCH(Q$2,Inputs!$K$4:$AJ$4,0)))))</f>
        <v>19496</v>
      </c>
      <c r="R26" s="266">
        <f>Q26</f>
        <v>19496</v>
      </c>
      <c r="S26" s="265">
        <f>IF(ISNA(MATCH(S$2,Inputs!$K$4:$AJ$4,0)),NA(),IF(SUMPRODUCT((Inputs!$A$5:$A$130=$B26)*ISNUMBER(INDEX(Inputs!$K$5:$AJ$130,0,MATCH(S$2,Inputs!$K$4:$AJ$4,0))))+SUMPRODUCT((Inputs!$C$5:$C$130=$B26)*ISNUMBER(INDEX(Inputs!$K$5:$AJ$130,0,MATCH(S$2,Inputs!$K$4:$AJ$4,0))))+SUMPRODUCT((Inputs!$E$5:$E$130=$B26)*ISNUMBER(INDEX(Inputs!$K$5:$AJ$130,0,MATCH(S$2,Inputs!$K$4:$AJ$4,0))))=0,NA(),SUMPRODUCT((Inputs!$A$5:$A$130=$B26)*Inputs!$B$5:$B$130*(((Inputs!$G$5:$G$130="moeda")+(Inputs!$G$5:$G$130="acoes"))*Inputs!$B$1+((Inputs!$G$5:$G$130&lt;&gt;"moeda")*(Inputs!$G$5:$G$130&lt;&gt;"acoes")))*INDEX(Inputs!$K$5:$AJ$130,0,MATCH(S$2,Inputs!$K$4:$AJ$4,0)))+SUMPRODUCT((Inputs!$C$5:$C$130=$B26)*Inputs!$D$5:$D$130*(((Inputs!$G$5:$G$130="moeda")+(Inputs!$G$5:$G$130="acoes"))*Inputs!$B$1+((Inputs!$G$5:$G$130&lt;&gt;"moeda")*(Inputs!$G$5:$G$130&lt;&gt;"acoes")))*INDEX(Inputs!$K$5:$AJ$130,0,MATCH(S$2,Inputs!$K$4:$AJ$4,0)))+SUMPRODUCT((Inputs!$E$5:$E$130=$B26)*Inputs!$F$5:$F$130*(((Inputs!$G$5:$G$130="moeda")+(Inputs!$G$5:$G$130="acoes"))*Inputs!$B$1+((Inputs!$G$5:$G$130&lt;&gt;"moeda")*(Inputs!$G$5:$G$130&lt;&gt;"acoes")))*INDEX(Inputs!$K$5:$AJ$130,0,MATCH(S$2,Inputs!$K$4:$AJ$4,0)))))</f>
        <v>19113</v>
      </c>
      <c r="T26" s="265">
        <f>IF(ISNA(MATCH(T$2,Inputs!$K$4:$AJ$4,0)),NA(),IF(SUMPRODUCT((Inputs!$A$5:$A$130=$B26)*ISNUMBER(INDEX(Inputs!$K$5:$AJ$130,0,MATCH(T$2,Inputs!$K$4:$AJ$4,0))))+SUMPRODUCT((Inputs!$C$5:$C$130=$B26)*ISNUMBER(INDEX(Inputs!$K$5:$AJ$130,0,MATCH(T$2,Inputs!$K$4:$AJ$4,0))))+SUMPRODUCT((Inputs!$E$5:$E$130=$B26)*ISNUMBER(INDEX(Inputs!$K$5:$AJ$130,0,MATCH(T$2,Inputs!$K$4:$AJ$4,0))))=0,NA(),SUMPRODUCT((Inputs!$A$5:$A$130=$B26)*Inputs!$B$5:$B$130*(((Inputs!$G$5:$G$130="moeda")+(Inputs!$G$5:$G$130="acoes"))*Inputs!$B$1+((Inputs!$G$5:$G$130&lt;&gt;"moeda")*(Inputs!$G$5:$G$130&lt;&gt;"acoes")))*INDEX(Inputs!$K$5:$AJ$130,0,MATCH(T$2,Inputs!$K$4:$AJ$4,0)))+SUMPRODUCT((Inputs!$C$5:$C$130=$B26)*Inputs!$D$5:$D$130*(((Inputs!$G$5:$G$130="moeda")+(Inputs!$G$5:$G$130="acoes"))*Inputs!$B$1+((Inputs!$G$5:$G$130&lt;&gt;"moeda")*(Inputs!$G$5:$G$130&lt;&gt;"acoes")))*INDEX(Inputs!$K$5:$AJ$130,0,MATCH(T$2,Inputs!$K$4:$AJ$4,0)))+SUMPRODUCT((Inputs!$E$5:$E$130=$B26)*Inputs!$F$5:$F$130*(((Inputs!$G$5:$G$130="moeda")+(Inputs!$G$5:$G$130="acoes"))*Inputs!$B$1+((Inputs!$G$5:$G$130&lt;&gt;"moeda")*(Inputs!$G$5:$G$130&lt;&gt;"acoes")))*INDEX(Inputs!$K$5:$AJ$130,0,MATCH(T$2,Inputs!$K$4:$AJ$4,0)))))</f>
        <v>19582</v>
      </c>
      <c r="U26" s="265">
        <f>IF(ISNA(MATCH(U$2,Inputs!$K$4:$AJ$4,0)),NA(),IF(SUMPRODUCT((Inputs!$A$5:$A$130=$B26)*ISNUMBER(INDEX(Inputs!$K$5:$AJ$130,0,MATCH(U$2,Inputs!$K$4:$AJ$4,0))))+SUMPRODUCT((Inputs!$C$5:$C$130=$B26)*ISNUMBER(INDEX(Inputs!$K$5:$AJ$130,0,MATCH(U$2,Inputs!$K$4:$AJ$4,0))))+SUMPRODUCT((Inputs!$E$5:$E$130=$B26)*ISNUMBER(INDEX(Inputs!$K$5:$AJ$130,0,MATCH(U$2,Inputs!$K$4:$AJ$4,0))))=0,NA(),SUMPRODUCT((Inputs!$A$5:$A$130=$B26)*Inputs!$B$5:$B$130*(((Inputs!$G$5:$G$130="moeda")+(Inputs!$G$5:$G$130="acoes"))*Inputs!$B$1+((Inputs!$G$5:$G$130&lt;&gt;"moeda")*(Inputs!$G$5:$G$130&lt;&gt;"acoes")))*INDEX(Inputs!$K$5:$AJ$130,0,MATCH(U$2,Inputs!$K$4:$AJ$4,0)))+SUMPRODUCT((Inputs!$C$5:$C$130=$B26)*Inputs!$D$5:$D$130*(((Inputs!$G$5:$G$130="moeda")+(Inputs!$G$5:$G$130="acoes"))*Inputs!$B$1+((Inputs!$G$5:$G$130&lt;&gt;"moeda")*(Inputs!$G$5:$G$130&lt;&gt;"acoes")))*INDEX(Inputs!$K$5:$AJ$130,0,MATCH(U$2,Inputs!$K$4:$AJ$4,0)))+SUMPRODUCT((Inputs!$E$5:$E$130=$B26)*Inputs!$F$5:$F$130*(((Inputs!$G$5:$G$130="moeda")+(Inputs!$G$5:$G$130="acoes"))*Inputs!$B$1+((Inputs!$G$5:$G$130&lt;&gt;"moeda")*(Inputs!$G$5:$G$130&lt;&gt;"acoes")))*INDEX(Inputs!$K$5:$AJ$130,0,MATCH(U$2,Inputs!$K$4:$AJ$4,0)))))</f>
        <v>21007</v>
      </c>
      <c r="V26" s="265">
        <f>IF(ISNA(MATCH(V$2,Inputs!$K$4:$AJ$4,0)),NA(),IF(SUMPRODUCT((Inputs!$A$5:$A$130=$B26)*ISNUMBER(INDEX(Inputs!$K$5:$AJ$130,0,MATCH(V$2,Inputs!$K$4:$AJ$4,0))))+SUMPRODUCT((Inputs!$C$5:$C$130=$B26)*ISNUMBER(INDEX(Inputs!$K$5:$AJ$130,0,MATCH(V$2,Inputs!$K$4:$AJ$4,0))))+SUMPRODUCT((Inputs!$E$5:$E$130=$B26)*ISNUMBER(INDEX(Inputs!$K$5:$AJ$130,0,MATCH(V$2,Inputs!$K$4:$AJ$4,0))))=0,NA(),SUMPRODUCT((Inputs!$A$5:$A$130=$B26)*Inputs!$B$5:$B$130*(((Inputs!$G$5:$G$130="moeda")+(Inputs!$G$5:$G$130="acoes"))*Inputs!$B$1+((Inputs!$G$5:$G$130&lt;&gt;"moeda")*(Inputs!$G$5:$G$130&lt;&gt;"acoes")))*INDEX(Inputs!$K$5:$AJ$130,0,MATCH(V$2,Inputs!$K$4:$AJ$4,0)))+SUMPRODUCT((Inputs!$C$5:$C$130=$B26)*Inputs!$D$5:$D$130*(((Inputs!$G$5:$G$130="moeda")+(Inputs!$G$5:$G$130="acoes"))*Inputs!$B$1+((Inputs!$G$5:$G$130&lt;&gt;"moeda")*(Inputs!$G$5:$G$130&lt;&gt;"acoes")))*INDEX(Inputs!$K$5:$AJ$130,0,MATCH(V$2,Inputs!$K$4:$AJ$4,0)))+SUMPRODUCT((Inputs!$E$5:$E$130=$B26)*Inputs!$F$5:$F$130*(((Inputs!$G$5:$G$130="moeda")+(Inputs!$G$5:$G$130="acoes"))*Inputs!$B$1+((Inputs!$G$5:$G$130&lt;&gt;"moeda")*(Inputs!$G$5:$G$130&lt;&gt;"acoes")))*INDEX(Inputs!$K$5:$AJ$130,0,MATCH(V$2,Inputs!$K$4:$AJ$4,0)))))</f>
        <v>18650</v>
      </c>
      <c r="W26" s="266">
        <f>V26</f>
        <v>18650</v>
      </c>
      <c r="X26" s="265">
        <f>IF(ISNA(MATCH(X$2,Inputs!$K$4:$AJ$4,0)),NA(),IF(SUMPRODUCT((Inputs!$A$5:$A$130=$B26)*ISNUMBER(INDEX(Inputs!$K$5:$AJ$130,0,MATCH(X$2,Inputs!$K$4:$AJ$4,0))))+SUMPRODUCT((Inputs!$C$5:$C$130=$B26)*ISNUMBER(INDEX(Inputs!$K$5:$AJ$130,0,MATCH(X$2,Inputs!$K$4:$AJ$4,0))))+SUMPRODUCT((Inputs!$E$5:$E$130=$B26)*ISNUMBER(INDEX(Inputs!$K$5:$AJ$130,0,MATCH(X$2,Inputs!$K$4:$AJ$4,0))))=0,NA(),SUMPRODUCT((Inputs!$A$5:$A$130=$B26)*Inputs!$B$5:$B$130*(((Inputs!$G$5:$G$130="moeda")+(Inputs!$G$5:$G$130="acoes"))*Inputs!$B$1+((Inputs!$G$5:$G$130&lt;&gt;"moeda")*(Inputs!$G$5:$G$130&lt;&gt;"acoes")))*INDEX(Inputs!$K$5:$AJ$130,0,MATCH(X$2,Inputs!$K$4:$AJ$4,0)))+SUMPRODUCT((Inputs!$C$5:$C$130=$B26)*Inputs!$D$5:$D$130*(((Inputs!$G$5:$G$130="moeda")+(Inputs!$G$5:$G$130="acoes"))*Inputs!$B$1+((Inputs!$G$5:$G$130&lt;&gt;"moeda")*(Inputs!$G$5:$G$130&lt;&gt;"acoes")))*INDEX(Inputs!$K$5:$AJ$130,0,MATCH(X$2,Inputs!$K$4:$AJ$4,0)))+SUMPRODUCT((Inputs!$E$5:$E$130=$B26)*Inputs!$F$5:$F$130*(((Inputs!$G$5:$G$130="moeda")+(Inputs!$G$5:$G$130="acoes"))*Inputs!$B$1+((Inputs!$G$5:$G$130&lt;&gt;"moeda")*(Inputs!$G$5:$G$130&lt;&gt;"acoes")))*INDEX(Inputs!$K$5:$AJ$130,0,MATCH(X$2,Inputs!$K$4:$AJ$4,0)))))</f>
        <v>20219</v>
      </c>
      <c r="Y26" s="265">
        <f>IF(ISNA(MATCH(Y$2,Inputs!$K$4:$AJ$4,0)),NA(),IF(SUMPRODUCT((Inputs!$A$5:$A$130=$B26)*ISNUMBER(INDEX(Inputs!$K$5:$AJ$130,0,MATCH(Y$2,Inputs!$K$4:$AJ$4,0))))+SUMPRODUCT((Inputs!$C$5:$C$130=$B26)*ISNUMBER(INDEX(Inputs!$K$5:$AJ$130,0,MATCH(Y$2,Inputs!$K$4:$AJ$4,0))))+SUMPRODUCT((Inputs!$E$5:$E$130=$B26)*ISNUMBER(INDEX(Inputs!$K$5:$AJ$130,0,MATCH(Y$2,Inputs!$K$4:$AJ$4,0))))=0,NA(),SUMPRODUCT((Inputs!$A$5:$A$130=$B26)*Inputs!$B$5:$B$130*(((Inputs!$G$5:$G$130="moeda")+(Inputs!$G$5:$G$130="acoes"))*Inputs!$B$1+((Inputs!$G$5:$G$130&lt;&gt;"moeda")*(Inputs!$G$5:$G$130&lt;&gt;"acoes")))*INDEX(Inputs!$K$5:$AJ$130,0,MATCH(Y$2,Inputs!$K$4:$AJ$4,0)))+SUMPRODUCT((Inputs!$C$5:$C$130=$B26)*Inputs!$D$5:$D$130*(((Inputs!$G$5:$G$130="moeda")+(Inputs!$G$5:$G$130="acoes"))*Inputs!$B$1+((Inputs!$G$5:$G$130&lt;&gt;"moeda")*(Inputs!$G$5:$G$130&lt;&gt;"acoes")))*INDEX(Inputs!$K$5:$AJ$130,0,MATCH(Y$2,Inputs!$K$4:$AJ$4,0)))+SUMPRODUCT((Inputs!$E$5:$E$130=$B26)*Inputs!$F$5:$F$130*(((Inputs!$G$5:$G$130="moeda")+(Inputs!$G$5:$G$130="acoes"))*Inputs!$B$1+((Inputs!$G$5:$G$130&lt;&gt;"moeda")*(Inputs!$G$5:$G$130&lt;&gt;"acoes")))*INDEX(Inputs!$K$5:$AJ$130,0,MATCH(Y$2,Inputs!$K$4:$AJ$4,0)))))</f>
        <v>21212</v>
      </c>
      <c r="Z26" s="265">
        <f>IF(ISNA(MATCH(Z$2,Inputs!$K$4:$AJ$4,0)),NA(),IF(SUMPRODUCT((Inputs!$A$5:$A$130=$B26)*ISNUMBER(INDEX(Inputs!$K$5:$AJ$130,0,MATCH(Z$2,Inputs!$K$4:$AJ$4,0))))+SUMPRODUCT((Inputs!$C$5:$C$130=$B26)*ISNUMBER(INDEX(Inputs!$K$5:$AJ$130,0,MATCH(Z$2,Inputs!$K$4:$AJ$4,0))))+SUMPRODUCT((Inputs!$E$5:$E$130=$B26)*ISNUMBER(INDEX(Inputs!$K$5:$AJ$130,0,MATCH(Z$2,Inputs!$K$4:$AJ$4,0))))=0,NA(),SUMPRODUCT((Inputs!$A$5:$A$130=$B26)*Inputs!$B$5:$B$130*(((Inputs!$G$5:$G$130="moeda")+(Inputs!$G$5:$G$130="acoes"))*Inputs!$B$1+((Inputs!$G$5:$G$130&lt;&gt;"moeda")*(Inputs!$G$5:$G$130&lt;&gt;"acoes")))*INDEX(Inputs!$K$5:$AJ$130,0,MATCH(Z$2,Inputs!$K$4:$AJ$4,0)))+SUMPRODUCT((Inputs!$C$5:$C$130=$B26)*Inputs!$D$5:$D$130*(((Inputs!$G$5:$G$130="moeda")+(Inputs!$G$5:$G$130="acoes"))*Inputs!$B$1+((Inputs!$G$5:$G$130&lt;&gt;"moeda")*(Inputs!$G$5:$G$130&lt;&gt;"acoes")))*INDEX(Inputs!$K$5:$AJ$130,0,MATCH(Z$2,Inputs!$K$4:$AJ$4,0)))+SUMPRODUCT((Inputs!$E$5:$E$130=$B26)*Inputs!$F$5:$F$130*(((Inputs!$G$5:$G$130="moeda")+(Inputs!$G$5:$G$130="acoes"))*Inputs!$B$1+((Inputs!$G$5:$G$130&lt;&gt;"moeda")*(Inputs!$G$5:$G$130&lt;&gt;"acoes")))*INDEX(Inputs!$K$5:$AJ$130,0,MATCH(Z$2,Inputs!$K$4:$AJ$4,0)))))</f>
        <v>15256</v>
      </c>
      <c r="AA26" s="265">
        <f>IF(ISNA(MATCH(AA$2,Inputs!$K$4:$AJ$4,0)),NA(),IF(SUMPRODUCT((Inputs!$A$5:$A$130=$B26)*ISNUMBER(INDEX(Inputs!$K$5:$AJ$130,0,MATCH(AA$2,Inputs!$K$4:$AJ$4,0))))+SUMPRODUCT((Inputs!$C$5:$C$130=$B26)*ISNUMBER(INDEX(Inputs!$K$5:$AJ$130,0,MATCH(AA$2,Inputs!$K$4:$AJ$4,0))))+SUMPRODUCT((Inputs!$E$5:$E$130=$B26)*ISNUMBER(INDEX(Inputs!$K$5:$AJ$130,0,MATCH(AA$2,Inputs!$K$4:$AJ$4,0))))=0,NA(),SUMPRODUCT((Inputs!$A$5:$A$130=$B26)*Inputs!$B$5:$B$130*(((Inputs!$G$5:$G$130="moeda")+(Inputs!$G$5:$G$130="acoes"))*Inputs!$B$1+((Inputs!$G$5:$G$130&lt;&gt;"moeda")*(Inputs!$G$5:$G$130&lt;&gt;"acoes")))*INDEX(Inputs!$K$5:$AJ$130,0,MATCH(AA$2,Inputs!$K$4:$AJ$4,0)))+SUMPRODUCT((Inputs!$C$5:$C$130=$B26)*Inputs!$D$5:$D$130*(((Inputs!$G$5:$G$130="moeda")+(Inputs!$G$5:$G$130="acoes"))*Inputs!$B$1+((Inputs!$G$5:$G$130&lt;&gt;"moeda")*(Inputs!$G$5:$G$130&lt;&gt;"acoes")))*INDEX(Inputs!$K$5:$AJ$130,0,MATCH(AA$2,Inputs!$K$4:$AJ$4,0)))+SUMPRODUCT((Inputs!$E$5:$E$130=$B26)*Inputs!$F$5:$F$130*(((Inputs!$G$5:$G$130="moeda")+(Inputs!$G$5:$G$130="acoes"))*Inputs!$B$1+((Inputs!$G$5:$G$130&lt;&gt;"moeda")*(Inputs!$G$5:$G$130&lt;&gt;"acoes")))*INDEX(Inputs!$K$5:$AJ$130,0,MATCH(AA$2,Inputs!$K$4:$AJ$4,0)))))</f>
        <v>15480</v>
      </c>
      <c r="AB26" s="266">
        <f>AA26</f>
        <v>15480</v>
      </c>
      <c r="AC26" s="265">
        <f>IF(ISNA(MATCH(AC$2,Inputs!$K$4:$AJ$4,0)),NA(),IF(SUMPRODUCT((Inputs!$A$5:$A$130=$B26)*ISNUMBER(INDEX(Inputs!$K$5:$AJ$130,0,MATCH(AC$2,Inputs!$K$4:$AJ$4,0))))+SUMPRODUCT((Inputs!$C$5:$C$130=$B26)*ISNUMBER(INDEX(Inputs!$K$5:$AJ$130,0,MATCH(AC$2,Inputs!$K$4:$AJ$4,0))))+SUMPRODUCT((Inputs!$E$5:$E$130=$B26)*ISNUMBER(INDEX(Inputs!$K$5:$AJ$130,0,MATCH(AC$2,Inputs!$K$4:$AJ$4,0))))=0,NA(),SUMPRODUCT((Inputs!$A$5:$A$130=$B26)*Inputs!$B$5:$B$130*(((Inputs!$G$5:$G$130="moeda")+(Inputs!$G$5:$G$130="acoes"))*Inputs!$B$1+((Inputs!$G$5:$G$130&lt;&gt;"moeda")*(Inputs!$G$5:$G$130&lt;&gt;"acoes")))*INDEX(Inputs!$K$5:$AJ$130,0,MATCH(AC$2,Inputs!$K$4:$AJ$4,0)))+SUMPRODUCT((Inputs!$C$5:$C$130=$B26)*Inputs!$D$5:$D$130*(((Inputs!$G$5:$G$130="moeda")+(Inputs!$G$5:$G$130="acoes"))*Inputs!$B$1+((Inputs!$G$5:$G$130&lt;&gt;"moeda")*(Inputs!$G$5:$G$130&lt;&gt;"acoes")))*INDEX(Inputs!$K$5:$AJ$130,0,MATCH(AC$2,Inputs!$K$4:$AJ$4,0)))+SUMPRODUCT((Inputs!$E$5:$E$130=$B26)*Inputs!$F$5:$F$130*(((Inputs!$G$5:$G$130="moeda")+(Inputs!$G$5:$G$130="acoes"))*Inputs!$B$1+((Inputs!$G$5:$G$130&lt;&gt;"moeda")*(Inputs!$G$5:$G$130&lt;&gt;"acoes")))*INDEX(Inputs!$K$5:$AJ$130,0,MATCH(AC$2,Inputs!$K$4:$AJ$4,0)))))</f>
        <v>14613</v>
      </c>
      <c r="AD26" s="265">
        <f>IF(ISNA(MATCH(AD$2,Inputs!$K$4:$AJ$4,0)),NA(),IF(SUMPRODUCT((Inputs!$A$5:$A$130=$B26)*ISNUMBER(INDEX(Inputs!$K$5:$AJ$130,0,MATCH(AD$2,Inputs!$K$4:$AJ$4,0))))+SUMPRODUCT((Inputs!$C$5:$C$130=$B26)*ISNUMBER(INDEX(Inputs!$K$5:$AJ$130,0,MATCH(AD$2,Inputs!$K$4:$AJ$4,0))))+SUMPRODUCT((Inputs!$E$5:$E$130=$B26)*ISNUMBER(INDEX(Inputs!$K$5:$AJ$130,0,MATCH(AD$2,Inputs!$K$4:$AJ$4,0))))=0,NA(),SUMPRODUCT((Inputs!$A$5:$A$130=$B26)*Inputs!$B$5:$B$130*(((Inputs!$G$5:$G$130="moeda")+(Inputs!$G$5:$G$130="acoes"))*Inputs!$B$1+((Inputs!$G$5:$G$130&lt;&gt;"moeda")*(Inputs!$G$5:$G$130&lt;&gt;"acoes")))*INDEX(Inputs!$K$5:$AJ$130,0,MATCH(AD$2,Inputs!$K$4:$AJ$4,0)))+SUMPRODUCT((Inputs!$C$5:$C$130=$B26)*Inputs!$D$5:$D$130*(((Inputs!$G$5:$G$130="moeda")+(Inputs!$G$5:$G$130="acoes"))*Inputs!$B$1+((Inputs!$G$5:$G$130&lt;&gt;"moeda")*(Inputs!$G$5:$G$130&lt;&gt;"acoes")))*INDEX(Inputs!$K$5:$AJ$130,0,MATCH(AD$2,Inputs!$K$4:$AJ$4,0)))+SUMPRODUCT((Inputs!$E$5:$E$130=$B26)*Inputs!$F$5:$F$130*(((Inputs!$G$5:$G$130="moeda")+(Inputs!$G$5:$G$130="acoes"))*Inputs!$B$1+((Inputs!$G$5:$G$130&lt;&gt;"moeda")*(Inputs!$G$5:$G$130&lt;&gt;"acoes")))*INDEX(Inputs!$K$5:$AJ$130,0,MATCH(AD$2,Inputs!$K$4:$AJ$4,0)))))</f>
        <v>15360</v>
      </c>
      <c r="AE26" s="265" t="e">
        <f>IF(ISNA(MATCH(AE$2,Inputs!$K$4:$AJ$4,0)),NA(),IF(SUMPRODUCT((Inputs!$A$5:$A$130=$B26)*ISNUMBER(INDEX(Inputs!$K$5:$AJ$130,0,MATCH(AE$2,Inputs!$K$4:$AJ$4,0))))+SUMPRODUCT((Inputs!$C$5:$C$130=$B26)*ISNUMBER(INDEX(Inputs!$K$5:$AJ$130,0,MATCH(AE$2,Inputs!$K$4:$AJ$4,0))))+SUMPRODUCT((Inputs!$E$5:$E$130=$B26)*ISNUMBER(INDEX(Inputs!$K$5:$AJ$130,0,MATCH(AE$2,Inputs!$K$4:$AJ$4,0))))=0,NA(),SUMPRODUCT((Inputs!$A$5:$A$130=$B26)*Inputs!$B$5:$B$130*(((Inputs!$G$5:$G$130="moeda")+(Inputs!$G$5:$G$130="acoes"))*Inputs!$B$1+((Inputs!$G$5:$G$130&lt;&gt;"moeda")*(Inputs!$G$5:$G$130&lt;&gt;"acoes")))*INDEX(Inputs!$K$5:$AJ$130,0,MATCH(AE$2,Inputs!$K$4:$AJ$4,0)))+SUMPRODUCT((Inputs!$C$5:$C$130=$B26)*Inputs!$D$5:$D$130*(((Inputs!$G$5:$G$130="moeda")+(Inputs!$G$5:$G$130="acoes"))*Inputs!$B$1+((Inputs!$G$5:$G$130&lt;&gt;"moeda")*(Inputs!$G$5:$G$130&lt;&gt;"acoes")))*INDEX(Inputs!$K$5:$AJ$130,0,MATCH(AE$2,Inputs!$K$4:$AJ$4,0)))+SUMPRODUCT((Inputs!$E$5:$E$130=$B26)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6" s="265" t="e">
        <f>IF(ISNA(MATCH(AF$2,Inputs!$K$4:$AJ$4,0)),NA(),IF(SUMPRODUCT((Inputs!$A$5:$A$130=$B26)*ISNUMBER(INDEX(Inputs!$K$5:$AJ$130,0,MATCH(AF$2,Inputs!$K$4:$AJ$4,0))))+SUMPRODUCT((Inputs!$C$5:$C$130=$B26)*ISNUMBER(INDEX(Inputs!$K$5:$AJ$130,0,MATCH(AF$2,Inputs!$K$4:$AJ$4,0))))+SUMPRODUCT((Inputs!$E$5:$E$130=$B26)*ISNUMBER(INDEX(Inputs!$K$5:$AJ$130,0,MATCH(AF$2,Inputs!$K$4:$AJ$4,0))))=0,NA(),SUMPRODUCT((Inputs!$A$5:$A$130=$B26)*Inputs!$B$5:$B$130*(((Inputs!$G$5:$G$130="moeda")+(Inputs!$G$5:$G$130="acoes"))*Inputs!$B$1+((Inputs!$G$5:$G$130&lt;&gt;"moeda")*(Inputs!$G$5:$G$130&lt;&gt;"acoes")))*INDEX(Inputs!$K$5:$AJ$130,0,MATCH(AF$2,Inputs!$K$4:$AJ$4,0)))+SUMPRODUCT((Inputs!$C$5:$C$130=$B26)*Inputs!$D$5:$D$130*(((Inputs!$G$5:$G$130="moeda")+(Inputs!$G$5:$G$130="acoes"))*Inputs!$B$1+((Inputs!$G$5:$G$130&lt;&gt;"moeda")*(Inputs!$G$5:$G$130&lt;&gt;"acoes")))*INDEX(Inputs!$K$5:$AJ$130,0,MATCH(AF$2,Inputs!$K$4:$AJ$4,0)))+SUMPRODUCT((Inputs!$E$5:$E$130=$B26)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6" s="266" t="e">
        <f>AF26</f>
        <v>#N/A</v>
      </c>
      <c r="AH26" s="265" t="e">
        <f>IF(ISNA(MATCH(AH$2,Inputs!$K$4:$AJ$4,0)),NA(),IF(SUMPRODUCT((Inputs!$A$5:$A$130=$B26)*ISNUMBER(INDEX(Inputs!$K$5:$AJ$130,0,MATCH(AH$2,Inputs!$K$4:$AJ$4,0))))+SUMPRODUCT((Inputs!$C$5:$C$130=$B26)*ISNUMBER(INDEX(Inputs!$K$5:$AJ$130,0,MATCH(AH$2,Inputs!$K$4:$AJ$4,0))))+SUMPRODUCT((Inputs!$E$5:$E$130=$B26)*ISNUMBER(INDEX(Inputs!$K$5:$AJ$130,0,MATCH(AH$2,Inputs!$K$4:$AJ$4,0))))=0,NA(),SUMPRODUCT((Inputs!$A$5:$A$130=$B26)*Inputs!$B$5:$B$130*(((Inputs!$G$5:$G$130="moeda")+(Inputs!$G$5:$G$130="acoes"))*Inputs!$B$1+((Inputs!$G$5:$G$130&lt;&gt;"moeda")*(Inputs!$G$5:$G$130&lt;&gt;"acoes")))*INDEX(Inputs!$K$5:$AJ$130,0,MATCH(AH$2,Inputs!$K$4:$AJ$4,0)))+SUMPRODUCT((Inputs!$C$5:$C$130=$B26)*Inputs!$D$5:$D$130*(((Inputs!$G$5:$G$130="moeda")+(Inputs!$G$5:$G$130="acoes"))*Inputs!$B$1+((Inputs!$G$5:$G$130&lt;&gt;"moeda")*(Inputs!$G$5:$G$130&lt;&gt;"acoes")))*INDEX(Inputs!$K$5:$AJ$130,0,MATCH(AH$2,Inputs!$K$4:$AJ$4,0)))+SUMPRODUCT((Inputs!$E$5:$E$130=$B26)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26" s="265" t="e">
        <f>IF(ISNA(MATCH(AI$2,Inputs!$K$4:$AJ$4,0)),NA(),IF(SUMPRODUCT((Inputs!$A$5:$A$130=$B26)*ISNUMBER(INDEX(Inputs!$K$5:$AJ$130,0,MATCH(AI$2,Inputs!$K$4:$AJ$4,0))))+SUMPRODUCT((Inputs!$C$5:$C$130=$B26)*ISNUMBER(INDEX(Inputs!$K$5:$AJ$130,0,MATCH(AI$2,Inputs!$K$4:$AJ$4,0))))+SUMPRODUCT((Inputs!$E$5:$E$130=$B26)*ISNUMBER(INDEX(Inputs!$K$5:$AJ$130,0,MATCH(AI$2,Inputs!$K$4:$AJ$4,0))))=0,NA(),SUMPRODUCT((Inputs!$A$5:$A$130=$B26)*Inputs!$B$5:$B$130*(((Inputs!$G$5:$G$130="moeda")+(Inputs!$G$5:$G$130="acoes"))*Inputs!$B$1+((Inputs!$G$5:$G$130&lt;&gt;"moeda")*(Inputs!$G$5:$G$130&lt;&gt;"acoes")))*INDEX(Inputs!$K$5:$AJ$130,0,MATCH(AI$2,Inputs!$K$4:$AJ$4,0)))+SUMPRODUCT((Inputs!$C$5:$C$130=$B26)*Inputs!$D$5:$D$130*(((Inputs!$G$5:$G$130="moeda")+(Inputs!$G$5:$G$130="acoes"))*Inputs!$B$1+((Inputs!$G$5:$G$130&lt;&gt;"moeda")*(Inputs!$G$5:$G$130&lt;&gt;"acoes")))*INDEX(Inputs!$K$5:$AJ$130,0,MATCH(AI$2,Inputs!$K$4:$AJ$4,0)))+SUMPRODUCT((Inputs!$E$5:$E$130=$B26)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26" s="265" t="e">
        <f>IF(ISNA(MATCH(AJ$2,Inputs!$K$4:$AJ$4,0)),NA(),IF(SUMPRODUCT((Inputs!$A$5:$A$130=$B26)*ISNUMBER(INDEX(Inputs!$K$5:$AJ$130,0,MATCH(AJ$2,Inputs!$K$4:$AJ$4,0))))+SUMPRODUCT((Inputs!$C$5:$C$130=$B26)*ISNUMBER(INDEX(Inputs!$K$5:$AJ$130,0,MATCH(AJ$2,Inputs!$K$4:$AJ$4,0))))+SUMPRODUCT((Inputs!$E$5:$E$130=$B26)*ISNUMBER(INDEX(Inputs!$K$5:$AJ$130,0,MATCH(AJ$2,Inputs!$K$4:$AJ$4,0))))=0,NA(),SUMPRODUCT((Inputs!$A$5:$A$130=$B26)*Inputs!$B$5:$B$130*(((Inputs!$G$5:$G$130="moeda")+(Inputs!$G$5:$G$130="acoes"))*Inputs!$B$1+((Inputs!$G$5:$G$130&lt;&gt;"moeda")*(Inputs!$G$5:$G$130&lt;&gt;"acoes")))*INDEX(Inputs!$K$5:$AJ$130,0,MATCH(AJ$2,Inputs!$K$4:$AJ$4,0)))+SUMPRODUCT((Inputs!$C$5:$C$130=$B26)*Inputs!$D$5:$D$130*(((Inputs!$G$5:$G$130="moeda")+(Inputs!$G$5:$G$130="acoes"))*Inputs!$B$1+((Inputs!$G$5:$G$130&lt;&gt;"moeda")*(Inputs!$G$5:$G$130&lt;&gt;"acoes")))*INDEX(Inputs!$K$5:$AJ$130,0,MATCH(AJ$2,Inputs!$K$4:$AJ$4,0)))+SUMPRODUCT((Inputs!$E$5:$E$130=$B26)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26" s="265" t="e">
        <f>IF(ISNA(MATCH(AK$2,Inputs!$K$4:$AJ$4,0)),NA(),IF(SUMPRODUCT((Inputs!$A$5:$A$130=$B26)*ISNUMBER(INDEX(Inputs!$K$5:$AJ$130,0,MATCH(AK$2,Inputs!$K$4:$AJ$4,0))))+SUMPRODUCT((Inputs!$C$5:$C$130=$B26)*ISNUMBER(INDEX(Inputs!$K$5:$AJ$130,0,MATCH(AK$2,Inputs!$K$4:$AJ$4,0))))+SUMPRODUCT((Inputs!$E$5:$E$130=$B26)*ISNUMBER(INDEX(Inputs!$K$5:$AJ$130,0,MATCH(AK$2,Inputs!$K$4:$AJ$4,0))))=0,NA(),SUMPRODUCT((Inputs!$A$5:$A$130=$B26)*Inputs!$B$5:$B$130*(((Inputs!$G$5:$G$130="moeda")+(Inputs!$G$5:$G$130="acoes"))*Inputs!$B$1+((Inputs!$G$5:$G$130&lt;&gt;"moeda")*(Inputs!$G$5:$G$130&lt;&gt;"acoes")))*INDEX(Inputs!$K$5:$AJ$130,0,MATCH(AK$2,Inputs!$K$4:$AJ$4,0)))+SUMPRODUCT((Inputs!$C$5:$C$130=$B26)*Inputs!$D$5:$D$130*(((Inputs!$G$5:$G$130="moeda")+(Inputs!$G$5:$G$130="acoes"))*Inputs!$B$1+((Inputs!$G$5:$G$130&lt;&gt;"moeda")*(Inputs!$G$5:$G$130&lt;&gt;"acoes")))*INDEX(Inputs!$K$5:$AJ$130,0,MATCH(AK$2,Inputs!$K$4:$AJ$4,0)))+SUMPRODUCT((Inputs!$E$5:$E$130=$B26)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26" s="266" t="e">
        <f>AK26</f>
        <v>#N/A</v>
      </c>
    </row>
    <row r="27" ht="12.75" customHeight="1" s="254">
      <c r="C27" s="257" t="n"/>
    </row>
    <row r="28" ht="12.75" customHeight="1" s="254">
      <c r="B28" s="263" t="n">
        <v>23</v>
      </c>
      <c r="C28" s="268" t="inlineStr">
        <is>
          <t>Accounts payable</t>
        </is>
      </c>
      <c r="D28" s="265">
        <f>IF(ISNA(MATCH(D$2,Inputs!$K$4:$AJ$4,0)),NA(),IF(SUMPRODUCT((Inputs!$A$5:$A$130=$B28)*ISNUMBER(INDEX(Inputs!$K$5:$AJ$130,0,MATCH(D$2,Inputs!$K$4:$AJ$4,0))))+SUMPRODUCT((Inputs!$C$5:$C$130=$B28)*ISNUMBER(INDEX(Inputs!$K$5:$AJ$130,0,MATCH(D$2,Inputs!$K$4:$AJ$4,0))))+SUMPRODUCT((Inputs!$E$5:$E$130=$B28)*ISNUMBER(INDEX(Inputs!$K$5:$AJ$130,0,MATCH(D$2,Inputs!$K$4:$AJ$4,0))))=0,NA(),SUMPRODUCT((Inputs!$A$5:$A$130=$B28)*Inputs!$B$5:$B$130*(((Inputs!$G$5:$G$130="moeda")+(Inputs!$G$5:$G$130="acoes"))*Inputs!$B$1+((Inputs!$G$5:$G$130&lt;&gt;"moeda")*(Inputs!$G$5:$G$130&lt;&gt;"acoes")))*INDEX(Inputs!$K$5:$AJ$130,0,MATCH(D$2,Inputs!$K$4:$AJ$4,0)))+SUMPRODUCT((Inputs!$C$5:$C$130=$B28)*Inputs!$D$5:$D$130*(((Inputs!$G$5:$G$130="moeda")+(Inputs!$G$5:$G$130="acoes"))*Inputs!$B$1+((Inputs!$G$5:$G$130&lt;&gt;"moeda")*(Inputs!$G$5:$G$130&lt;&gt;"acoes")))*INDEX(Inputs!$K$5:$AJ$130,0,MATCH(D$2,Inputs!$K$4:$AJ$4,0)))+SUMPRODUCT((Inputs!$E$5:$E$130=$B28)*Inputs!$F$5:$F$130*(((Inputs!$G$5:$G$130="moeda")+(Inputs!$G$5:$G$130="acoes"))*Inputs!$B$1+((Inputs!$G$5:$G$130&lt;&gt;"moeda")*(Inputs!$G$5:$G$130&lt;&gt;"acoes")))*INDEX(Inputs!$K$5:$AJ$130,0,MATCH(D$2,Inputs!$K$4:$AJ$4,0)))))</f>
        <v>49456</v>
      </c>
      <c r="E28" s="265">
        <f>IF(ISNA(MATCH(E$2,Inputs!$K$4:$AJ$4,0)),NA(),IF(SUMPRODUCT((Inputs!$A$5:$A$130=$B28)*ISNUMBER(INDEX(Inputs!$K$5:$AJ$130,0,MATCH(E$2,Inputs!$K$4:$AJ$4,0))))+SUMPRODUCT((Inputs!$C$5:$C$130=$B28)*ISNUMBER(INDEX(Inputs!$K$5:$AJ$130,0,MATCH(E$2,Inputs!$K$4:$AJ$4,0))))+SUMPRODUCT((Inputs!$E$5:$E$130=$B28)*ISNUMBER(INDEX(Inputs!$K$5:$AJ$130,0,MATCH(E$2,Inputs!$K$4:$AJ$4,0))))=0,NA(),SUMPRODUCT((Inputs!$A$5:$A$130=$B28)*Inputs!$B$5:$B$130*(((Inputs!$G$5:$G$130="moeda")+(Inputs!$G$5:$G$130="acoes"))*Inputs!$B$1+((Inputs!$G$5:$G$130&lt;&gt;"moeda")*(Inputs!$G$5:$G$130&lt;&gt;"acoes")))*INDEX(Inputs!$K$5:$AJ$130,0,MATCH(E$2,Inputs!$K$4:$AJ$4,0)))+SUMPRODUCT((Inputs!$C$5:$C$130=$B28)*Inputs!$D$5:$D$130*(((Inputs!$G$5:$G$130="moeda")+(Inputs!$G$5:$G$130="acoes"))*Inputs!$B$1+((Inputs!$G$5:$G$130&lt;&gt;"moeda")*(Inputs!$G$5:$G$130&lt;&gt;"acoes")))*INDEX(Inputs!$K$5:$AJ$130,0,MATCH(E$2,Inputs!$K$4:$AJ$4,0)))+SUMPRODUCT((Inputs!$E$5:$E$130=$B28)*Inputs!$F$5:$F$130*(((Inputs!$G$5:$G$130="moeda")+(Inputs!$G$5:$G$130="acoes"))*Inputs!$B$1+((Inputs!$G$5:$G$130&lt;&gt;"moeda")*(Inputs!$G$5:$G$130&lt;&gt;"acoes")))*INDEX(Inputs!$K$5:$AJ$130,0,MATCH(E$2,Inputs!$K$4:$AJ$4,0)))))</f>
        <v>54948</v>
      </c>
      <c r="F28" s="265">
        <f>IF(ISNA(MATCH(F$2,Inputs!$K$4:$AJ$4,0)),NA(),IF(SUMPRODUCT((Inputs!$A$5:$A$130=$B28)*ISNUMBER(INDEX(Inputs!$K$5:$AJ$130,0,MATCH(F$2,Inputs!$K$4:$AJ$4,0))))+SUMPRODUCT((Inputs!$C$5:$C$130=$B28)*ISNUMBER(INDEX(Inputs!$K$5:$AJ$130,0,MATCH(F$2,Inputs!$K$4:$AJ$4,0))))+SUMPRODUCT((Inputs!$E$5:$E$130=$B28)*ISNUMBER(INDEX(Inputs!$K$5:$AJ$130,0,MATCH(F$2,Inputs!$K$4:$AJ$4,0))))=0,NA(),SUMPRODUCT((Inputs!$A$5:$A$130=$B28)*Inputs!$B$5:$B$130*(((Inputs!$G$5:$G$130="moeda")+(Inputs!$G$5:$G$130="acoes"))*Inputs!$B$1+((Inputs!$G$5:$G$130&lt;&gt;"moeda")*(Inputs!$G$5:$G$130&lt;&gt;"acoes")))*INDEX(Inputs!$K$5:$AJ$130,0,MATCH(F$2,Inputs!$K$4:$AJ$4,0)))+SUMPRODUCT((Inputs!$C$5:$C$130=$B28)*Inputs!$D$5:$D$130*(((Inputs!$G$5:$G$130="moeda")+(Inputs!$G$5:$G$130="acoes"))*Inputs!$B$1+((Inputs!$G$5:$G$130&lt;&gt;"moeda")*(Inputs!$G$5:$G$130&lt;&gt;"acoes")))*INDEX(Inputs!$K$5:$AJ$130,0,MATCH(F$2,Inputs!$K$4:$AJ$4,0)))+SUMPRODUCT((Inputs!$E$5:$E$130=$B28)*Inputs!$F$5:$F$130*(((Inputs!$G$5:$G$130="moeda")+(Inputs!$G$5:$G$130="acoes"))*Inputs!$B$1+((Inputs!$G$5:$G$130&lt;&gt;"moeda")*(Inputs!$G$5:$G$130&lt;&gt;"acoes")))*INDEX(Inputs!$K$5:$AJ$130,0,MATCH(F$2,Inputs!$K$4:$AJ$4,0)))))</f>
        <v>59722</v>
      </c>
      <c r="G28" s="265">
        <f>IF(ISNA(MATCH(G$2,Inputs!$K$4:$AJ$4,0)),NA(),IF(SUMPRODUCT((Inputs!$A$5:$A$130=$B28)*ISNUMBER(INDEX(Inputs!$K$5:$AJ$130,0,MATCH(G$2,Inputs!$K$4:$AJ$4,0))))+SUMPRODUCT((Inputs!$C$5:$C$130=$B28)*ISNUMBER(INDEX(Inputs!$K$5:$AJ$130,0,MATCH(G$2,Inputs!$K$4:$AJ$4,0))))+SUMPRODUCT((Inputs!$E$5:$E$130=$B28)*ISNUMBER(INDEX(Inputs!$K$5:$AJ$130,0,MATCH(G$2,Inputs!$K$4:$AJ$4,0))))=0,NA(),SUMPRODUCT((Inputs!$A$5:$A$130=$B28)*Inputs!$B$5:$B$130*(((Inputs!$G$5:$G$130="moeda")+(Inputs!$G$5:$G$130="acoes"))*Inputs!$B$1+((Inputs!$G$5:$G$130&lt;&gt;"moeda")*(Inputs!$G$5:$G$130&lt;&gt;"acoes")))*INDEX(Inputs!$K$5:$AJ$130,0,MATCH(G$2,Inputs!$K$4:$AJ$4,0)))+SUMPRODUCT((Inputs!$C$5:$C$130=$B28)*Inputs!$D$5:$D$130*(((Inputs!$G$5:$G$130="moeda")+(Inputs!$G$5:$G$130="acoes"))*Inputs!$B$1+((Inputs!$G$5:$G$130&lt;&gt;"moeda")*(Inputs!$G$5:$G$130&lt;&gt;"acoes")))*INDEX(Inputs!$K$5:$AJ$130,0,MATCH(G$2,Inputs!$K$4:$AJ$4,0)))+SUMPRODUCT((Inputs!$E$5:$E$130=$B28)*Inputs!$F$5:$F$130*(((Inputs!$G$5:$G$130="moeda")+(Inputs!$G$5:$G$130="acoes"))*Inputs!$B$1+((Inputs!$G$5:$G$130&lt;&gt;"moeda")*(Inputs!$G$5:$G$130&lt;&gt;"acoes")))*INDEX(Inputs!$K$5:$AJ$130,0,MATCH(G$2,Inputs!$K$4:$AJ$4,0)))))</f>
        <v>63173</v>
      </c>
      <c r="H28" s="266">
        <f>G28</f>
        <v>63173</v>
      </c>
      <c r="I28" s="265">
        <f>IF(ISNA(MATCH(I$2,Inputs!$K$4:$AJ$4,0)),NA(),IF(SUMPRODUCT((Inputs!$A$5:$A$130=$B28)*ISNUMBER(INDEX(Inputs!$K$5:$AJ$130,0,MATCH(I$2,Inputs!$K$4:$AJ$4,0))))+SUMPRODUCT((Inputs!$C$5:$C$130=$B28)*ISNUMBER(INDEX(Inputs!$K$5:$AJ$130,0,MATCH(I$2,Inputs!$K$4:$AJ$4,0))))+SUMPRODUCT((Inputs!$E$5:$E$130=$B28)*ISNUMBER(INDEX(Inputs!$K$5:$AJ$130,0,MATCH(I$2,Inputs!$K$4:$AJ$4,0))))=0,NA(),SUMPRODUCT((Inputs!$A$5:$A$130=$B28)*Inputs!$B$5:$B$130*(((Inputs!$G$5:$G$130="moeda")+(Inputs!$G$5:$G$130="acoes"))*Inputs!$B$1+((Inputs!$G$5:$G$130&lt;&gt;"moeda")*(Inputs!$G$5:$G$130&lt;&gt;"acoes")))*INDEX(Inputs!$K$5:$AJ$130,0,MATCH(I$2,Inputs!$K$4:$AJ$4,0)))+SUMPRODUCT((Inputs!$C$5:$C$130=$B28)*Inputs!$D$5:$D$130*(((Inputs!$G$5:$G$130="moeda")+(Inputs!$G$5:$G$130="acoes"))*Inputs!$B$1+((Inputs!$G$5:$G$130&lt;&gt;"moeda")*(Inputs!$G$5:$G$130&lt;&gt;"acoes")))*INDEX(Inputs!$K$5:$AJ$130,0,MATCH(I$2,Inputs!$K$4:$AJ$4,0)))+SUMPRODUCT((Inputs!$E$5:$E$130=$B28)*Inputs!$F$5:$F$130*(((Inputs!$G$5:$G$130="moeda")+(Inputs!$G$5:$G$130="acoes"))*Inputs!$B$1+((Inputs!$G$5:$G$130&lt;&gt;"moeda")*(Inputs!$G$5:$G$130&lt;&gt;"acoes")))*INDEX(Inputs!$K$5:$AJ$130,0,MATCH(I$2,Inputs!$K$4:$AJ$4,0)))))</f>
        <v>71741</v>
      </c>
      <c r="J28" s="265">
        <f>IF(ISNA(MATCH(J$2,Inputs!$K$4:$AJ$4,0)),NA(),IF(SUMPRODUCT((Inputs!$A$5:$A$130=$B28)*ISNUMBER(INDEX(Inputs!$K$5:$AJ$130,0,MATCH(J$2,Inputs!$K$4:$AJ$4,0))))+SUMPRODUCT((Inputs!$C$5:$C$130=$B28)*ISNUMBER(INDEX(Inputs!$K$5:$AJ$130,0,MATCH(J$2,Inputs!$K$4:$AJ$4,0))))+SUMPRODUCT((Inputs!$E$5:$E$130=$B28)*ISNUMBER(INDEX(Inputs!$K$5:$AJ$130,0,MATCH(J$2,Inputs!$K$4:$AJ$4,0))))=0,NA(),SUMPRODUCT((Inputs!$A$5:$A$130=$B28)*Inputs!$B$5:$B$130*(((Inputs!$G$5:$G$130="moeda")+(Inputs!$G$5:$G$130="acoes"))*Inputs!$B$1+((Inputs!$G$5:$G$130&lt;&gt;"moeda")*(Inputs!$G$5:$G$130&lt;&gt;"acoes")))*INDEX(Inputs!$K$5:$AJ$130,0,MATCH(J$2,Inputs!$K$4:$AJ$4,0)))+SUMPRODUCT((Inputs!$C$5:$C$130=$B28)*Inputs!$D$5:$D$130*(((Inputs!$G$5:$G$130="moeda")+(Inputs!$G$5:$G$130="acoes"))*Inputs!$B$1+((Inputs!$G$5:$G$130&lt;&gt;"moeda")*(Inputs!$G$5:$G$130&lt;&gt;"acoes")))*INDEX(Inputs!$K$5:$AJ$130,0,MATCH(J$2,Inputs!$K$4:$AJ$4,0)))+SUMPRODUCT((Inputs!$E$5:$E$130=$B28)*Inputs!$F$5:$F$130*(((Inputs!$G$5:$G$130="moeda")+(Inputs!$G$5:$G$130="acoes"))*Inputs!$B$1+((Inputs!$G$5:$G$130&lt;&gt;"moeda")*(Inputs!$G$5:$G$130&lt;&gt;"acoes")))*INDEX(Inputs!$K$5:$AJ$130,0,MATCH(J$2,Inputs!$K$4:$AJ$4,0)))))</f>
        <v>75445</v>
      </c>
      <c r="K28" s="265">
        <f>IF(ISNA(MATCH(K$2,Inputs!$K$4:$AJ$4,0)),NA(),IF(SUMPRODUCT((Inputs!$A$5:$A$130=$B28)*ISNUMBER(INDEX(Inputs!$K$5:$AJ$130,0,MATCH(K$2,Inputs!$K$4:$AJ$4,0))))+SUMPRODUCT((Inputs!$C$5:$C$130=$B28)*ISNUMBER(INDEX(Inputs!$K$5:$AJ$130,0,MATCH(K$2,Inputs!$K$4:$AJ$4,0))))+SUMPRODUCT((Inputs!$E$5:$E$130=$B28)*ISNUMBER(INDEX(Inputs!$K$5:$AJ$130,0,MATCH(K$2,Inputs!$K$4:$AJ$4,0))))=0,NA(),SUMPRODUCT((Inputs!$A$5:$A$130=$B28)*Inputs!$B$5:$B$130*(((Inputs!$G$5:$G$130="moeda")+(Inputs!$G$5:$G$130="acoes"))*Inputs!$B$1+((Inputs!$G$5:$G$130&lt;&gt;"moeda")*(Inputs!$G$5:$G$130&lt;&gt;"acoes")))*INDEX(Inputs!$K$5:$AJ$130,0,MATCH(K$2,Inputs!$K$4:$AJ$4,0)))+SUMPRODUCT((Inputs!$C$5:$C$130=$B28)*Inputs!$D$5:$D$130*(((Inputs!$G$5:$G$130="moeda")+(Inputs!$G$5:$G$130="acoes"))*Inputs!$B$1+((Inputs!$G$5:$G$130&lt;&gt;"moeda")*(Inputs!$G$5:$G$130&lt;&gt;"acoes")))*INDEX(Inputs!$K$5:$AJ$130,0,MATCH(K$2,Inputs!$K$4:$AJ$4,0)))+SUMPRODUCT((Inputs!$E$5:$E$130=$B28)*Inputs!$F$5:$F$130*(((Inputs!$G$5:$G$130="moeda")+(Inputs!$G$5:$G$130="acoes"))*Inputs!$B$1+((Inputs!$G$5:$G$130&lt;&gt;"moeda")*(Inputs!$G$5:$G$130&lt;&gt;"acoes")))*INDEX(Inputs!$K$5:$AJ$130,0,MATCH(K$2,Inputs!$K$4:$AJ$4,0)))))</f>
        <v>70341</v>
      </c>
      <c r="L28" s="265">
        <f>IF(ISNA(MATCH(L$2,Inputs!$K$4:$AJ$4,0)),NA(),IF(SUMPRODUCT((Inputs!$A$5:$A$130=$B28)*ISNUMBER(INDEX(Inputs!$K$5:$AJ$130,0,MATCH(L$2,Inputs!$K$4:$AJ$4,0))))+SUMPRODUCT((Inputs!$C$5:$C$130=$B28)*ISNUMBER(INDEX(Inputs!$K$5:$AJ$130,0,MATCH(L$2,Inputs!$K$4:$AJ$4,0))))+SUMPRODUCT((Inputs!$E$5:$E$130=$B28)*ISNUMBER(INDEX(Inputs!$K$5:$AJ$130,0,MATCH(L$2,Inputs!$K$4:$AJ$4,0))))=0,NA(),SUMPRODUCT((Inputs!$A$5:$A$130=$B28)*Inputs!$B$5:$B$130*(((Inputs!$G$5:$G$130="moeda")+(Inputs!$G$5:$G$130="acoes"))*Inputs!$B$1+((Inputs!$G$5:$G$130&lt;&gt;"moeda")*(Inputs!$G$5:$G$130&lt;&gt;"acoes")))*INDEX(Inputs!$K$5:$AJ$130,0,MATCH(L$2,Inputs!$K$4:$AJ$4,0)))+SUMPRODUCT((Inputs!$C$5:$C$130=$B28)*Inputs!$D$5:$D$130*(((Inputs!$G$5:$G$130="moeda")+(Inputs!$G$5:$G$130="acoes"))*Inputs!$B$1+((Inputs!$G$5:$G$130&lt;&gt;"moeda")*(Inputs!$G$5:$G$130&lt;&gt;"acoes")))*INDEX(Inputs!$K$5:$AJ$130,0,MATCH(L$2,Inputs!$K$4:$AJ$4,0)))+SUMPRODUCT((Inputs!$E$5:$E$130=$B28)*Inputs!$F$5:$F$130*(((Inputs!$G$5:$G$130="moeda")+(Inputs!$G$5:$G$130="acoes"))*Inputs!$B$1+((Inputs!$G$5:$G$130&lt;&gt;"moeda")*(Inputs!$G$5:$G$130&lt;&gt;"acoes")))*INDEX(Inputs!$K$5:$AJ$130,0,MATCH(L$2,Inputs!$K$4:$AJ$4,0)))))</f>
        <v>79357</v>
      </c>
      <c r="M28" s="266">
        <f>L28</f>
        <v>79357</v>
      </c>
      <c r="N28" s="265">
        <f>IF(ISNA(MATCH(N$2,Inputs!$K$4:$AJ$4,0)),NA(),IF(SUMPRODUCT((Inputs!$A$5:$A$130=$B28)*ISNUMBER(INDEX(Inputs!$K$5:$AJ$130,0,MATCH(N$2,Inputs!$K$4:$AJ$4,0))))+SUMPRODUCT((Inputs!$C$5:$C$130=$B28)*ISNUMBER(INDEX(Inputs!$K$5:$AJ$130,0,MATCH(N$2,Inputs!$K$4:$AJ$4,0))))+SUMPRODUCT((Inputs!$E$5:$E$130=$B28)*ISNUMBER(INDEX(Inputs!$K$5:$AJ$130,0,MATCH(N$2,Inputs!$K$4:$AJ$4,0))))=0,NA(),SUMPRODUCT((Inputs!$A$5:$A$130=$B28)*Inputs!$B$5:$B$130*(((Inputs!$G$5:$G$130="moeda")+(Inputs!$G$5:$G$130="acoes"))*Inputs!$B$1+((Inputs!$G$5:$G$130&lt;&gt;"moeda")*(Inputs!$G$5:$G$130&lt;&gt;"acoes")))*INDEX(Inputs!$K$5:$AJ$130,0,MATCH(N$2,Inputs!$K$4:$AJ$4,0)))+SUMPRODUCT((Inputs!$C$5:$C$130=$B28)*Inputs!$D$5:$D$130*(((Inputs!$G$5:$G$130="moeda")+(Inputs!$G$5:$G$130="acoes"))*Inputs!$B$1+((Inputs!$G$5:$G$130&lt;&gt;"moeda")*(Inputs!$G$5:$G$130&lt;&gt;"acoes")))*INDEX(Inputs!$K$5:$AJ$130,0,MATCH(N$2,Inputs!$K$4:$AJ$4,0)))+SUMPRODUCT((Inputs!$E$5:$E$130=$B28)*Inputs!$F$5:$F$130*(((Inputs!$G$5:$G$130="moeda")+(Inputs!$G$5:$G$130="acoes"))*Inputs!$B$1+((Inputs!$G$5:$G$130&lt;&gt;"moeda")*(Inputs!$G$5:$G$130&lt;&gt;"acoes")))*INDEX(Inputs!$K$5:$AJ$130,0,MATCH(N$2,Inputs!$K$4:$AJ$4,0)))))</f>
        <v>68857</v>
      </c>
      <c r="O28" s="265">
        <f>IF(ISNA(MATCH(O$2,Inputs!$K$4:$AJ$4,0)),NA(),IF(SUMPRODUCT((Inputs!$A$5:$A$130=$B28)*ISNUMBER(INDEX(Inputs!$K$5:$AJ$130,0,MATCH(O$2,Inputs!$K$4:$AJ$4,0))))+SUMPRODUCT((Inputs!$C$5:$C$130=$B28)*ISNUMBER(INDEX(Inputs!$K$5:$AJ$130,0,MATCH(O$2,Inputs!$K$4:$AJ$4,0))))+SUMPRODUCT((Inputs!$E$5:$E$130=$B28)*ISNUMBER(INDEX(Inputs!$K$5:$AJ$130,0,MATCH(O$2,Inputs!$K$4:$AJ$4,0))))=0,NA(),SUMPRODUCT((Inputs!$A$5:$A$130=$B28)*Inputs!$B$5:$B$130*(((Inputs!$G$5:$G$130="moeda")+(Inputs!$G$5:$G$130="acoes"))*Inputs!$B$1+((Inputs!$G$5:$G$130&lt;&gt;"moeda")*(Inputs!$G$5:$G$130&lt;&gt;"acoes")))*INDEX(Inputs!$K$5:$AJ$130,0,MATCH(O$2,Inputs!$K$4:$AJ$4,0)))+SUMPRODUCT((Inputs!$C$5:$C$130=$B28)*Inputs!$D$5:$D$130*(((Inputs!$G$5:$G$130="moeda")+(Inputs!$G$5:$G$130="acoes"))*Inputs!$B$1+((Inputs!$G$5:$G$130&lt;&gt;"moeda")*(Inputs!$G$5:$G$130&lt;&gt;"acoes")))*INDEX(Inputs!$K$5:$AJ$130,0,MATCH(O$2,Inputs!$K$4:$AJ$4,0)))+SUMPRODUCT((Inputs!$E$5:$E$130=$B28)*Inputs!$F$5:$F$130*(((Inputs!$G$5:$G$130="moeda")+(Inputs!$G$5:$G$130="acoes"))*Inputs!$B$1+((Inputs!$G$5:$G$130&lt;&gt;"moeda")*(Inputs!$G$5:$G$130&lt;&gt;"acoes")))*INDEX(Inputs!$K$5:$AJ$130,0,MATCH(O$2,Inputs!$K$4:$AJ$4,0)))))</f>
        <v>63996</v>
      </c>
      <c r="P28" s="265">
        <f>IF(ISNA(MATCH(P$2,Inputs!$K$4:$AJ$4,0)),NA(),IF(SUMPRODUCT((Inputs!$A$5:$A$130=$B28)*ISNUMBER(INDEX(Inputs!$K$5:$AJ$130,0,MATCH(P$2,Inputs!$K$4:$AJ$4,0))))+SUMPRODUCT((Inputs!$C$5:$C$130=$B28)*ISNUMBER(INDEX(Inputs!$K$5:$AJ$130,0,MATCH(P$2,Inputs!$K$4:$AJ$4,0))))+SUMPRODUCT((Inputs!$E$5:$E$130=$B28)*ISNUMBER(INDEX(Inputs!$K$5:$AJ$130,0,MATCH(P$2,Inputs!$K$4:$AJ$4,0))))=0,NA(),SUMPRODUCT((Inputs!$A$5:$A$130=$B28)*Inputs!$B$5:$B$130*(((Inputs!$G$5:$G$130="moeda")+(Inputs!$G$5:$G$130="acoes"))*Inputs!$B$1+((Inputs!$G$5:$G$130&lt;&gt;"moeda")*(Inputs!$G$5:$G$130&lt;&gt;"acoes")))*INDEX(Inputs!$K$5:$AJ$130,0,MATCH(P$2,Inputs!$K$4:$AJ$4,0)))+SUMPRODUCT((Inputs!$C$5:$C$130=$B28)*Inputs!$D$5:$D$130*(((Inputs!$G$5:$G$130="moeda")+(Inputs!$G$5:$G$130="acoes"))*Inputs!$B$1+((Inputs!$G$5:$G$130&lt;&gt;"moeda")*(Inputs!$G$5:$G$130&lt;&gt;"acoes")))*INDEX(Inputs!$K$5:$AJ$130,0,MATCH(P$2,Inputs!$K$4:$AJ$4,0)))+SUMPRODUCT((Inputs!$E$5:$E$130=$B28)*Inputs!$F$5:$F$130*(((Inputs!$G$5:$G$130="moeda")+(Inputs!$G$5:$G$130="acoes"))*Inputs!$B$1+((Inputs!$G$5:$G$130&lt;&gt;"moeda")*(Inputs!$G$5:$G$130&lt;&gt;"acoes")))*INDEX(Inputs!$K$5:$AJ$130,0,MATCH(P$2,Inputs!$K$4:$AJ$4,0)))))</f>
        <v>67188</v>
      </c>
      <c r="Q28" s="265">
        <f>IF(ISNA(MATCH(Q$2,Inputs!$K$4:$AJ$4,0)),NA(),IF(SUMPRODUCT((Inputs!$A$5:$A$130=$B28)*ISNUMBER(INDEX(Inputs!$K$5:$AJ$130,0,MATCH(Q$2,Inputs!$K$4:$AJ$4,0))))+SUMPRODUCT((Inputs!$C$5:$C$130=$B28)*ISNUMBER(INDEX(Inputs!$K$5:$AJ$130,0,MATCH(Q$2,Inputs!$K$4:$AJ$4,0))))+SUMPRODUCT((Inputs!$E$5:$E$130=$B28)*ISNUMBER(INDEX(Inputs!$K$5:$AJ$130,0,MATCH(Q$2,Inputs!$K$4:$AJ$4,0))))=0,NA(),SUMPRODUCT((Inputs!$A$5:$A$130=$B28)*Inputs!$B$5:$B$130*(((Inputs!$G$5:$G$130="moeda")+(Inputs!$G$5:$G$130="acoes"))*Inputs!$B$1+((Inputs!$G$5:$G$130&lt;&gt;"moeda")*(Inputs!$G$5:$G$130&lt;&gt;"acoes")))*INDEX(Inputs!$K$5:$AJ$130,0,MATCH(Q$2,Inputs!$K$4:$AJ$4,0)))+SUMPRODUCT((Inputs!$C$5:$C$130=$B28)*Inputs!$D$5:$D$130*(((Inputs!$G$5:$G$130="moeda")+(Inputs!$G$5:$G$130="acoes"))*Inputs!$B$1+((Inputs!$G$5:$G$130&lt;&gt;"moeda")*(Inputs!$G$5:$G$130&lt;&gt;"acoes")))*INDEX(Inputs!$K$5:$AJ$130,0,MATCH(Q$2,Inputs!$K$4:$AJ$4,0)))+SUMPRODUCT((Inputs!$E$5:$E$130=$B28)*Inputs!$F$5:$F$130*(((Inputs!$G$5:$G$130="moeda")+(Inputs!$G$5:$G$130="acoes"))*Inputs!$B$1+((Inputs!$G$5:$G$130&lt;&gt;"moeda")*(Inputs!$G$5:$G$130&lt;&gt;"acoes")))*INDEX(Inputs!$K$5:$AJ$130,0,MATCH(Q$2,Inputs!$K$4:$AJ$4,0)))))</f>
        <v>68237</v>
      </c>
      <c r="R28" s="266">
        <f>Q28</f>
        <v>68237</v>
      </c>
      <c r="S28" s="265">
        <f>IF(ISNA(MATCH(S$2,Inputs!$K$4:$AJ$4,0)),NA(),IF(SUMPRODUCT((Inputs!$A$5:$A$130=$B28)*ISNUMBER(INDEX(Inputs!$K$5:$AJ$130,0,MATCH(S$2,Inputs!$K$4:$AJ$4,0))))+SUMPRODUCT((Inputs!$C$5:$C$130=$B28)*ISNUMBER(INDEX(Inputs!$K$5:$AJ$130,0,MATCH(S$2,Inputs!$K$4:$AJ$4,0))))+SUMPRODUCT((Inputs!$E$5:$E$130=$B28)*ISNUMBER(INDEX(Inputs!$K$5:$AJ$130,0,MATCH(S$2,Inputs!$K$4:$AJ$4,0))))=0,NA(),SUMPRODUCT((Inputs!$A$5:$A$130=$B28)*Inputs!$B$5:$B$130*(((Inputs!$G$5:$G$130="moeda")+(Inputs!$G$5:$G$130="acoes"))*Inputs!$B$1+((Inputs!$G$5:$G$130&lt;&gt;"moeda")*(Inputs!$G$5:$G$130&lt;&gt;"acoes")))*INDEX(Inputs!$K$5:$AJ$130,0,MATCH(S$2,Inputs!$K$4:$AJ$4,0)))+SUMPRODUCT((Inputs!$C$5:$C$130=$B28)*Inputs!$D$5:$D$130*(((Inputs!$G$5:$G$130="moeda")+(Inputs!$G$5:$G$130="acoes"))*Inputs!$B$1+((Inputs!$G$5:$G$130&lt;&gt;"moeda")*(Inputs!$G$5:$G$130&lt;&gt;"acoes")))*INDEX(Inputs!$K$5:$AJ$130,0,MATCH(S$2,Inputs!$K$4:$AJ$4,0)))+SUMPRODUCT((Inputs!$E$5:$E$130=$B28)*Inputs!$F$5:$F$130*(((Inputs!$G$5:$G$130="moeda")+(Inputs!$G$5:$G$130="acoes"))*Inputs!$B$1+((Inputs!$G$5:$G$130&lt;&gt;"moeda")*(Inputs!$G$5:$G$130&lt;&gt;"acoes")))*INDEX(Inputs!$K$5:$AJ$130,0,MATCH(S$2,Inputs!$K$4:$AJ$4,0)))))</f>
        <v>65997</v>
      </c>
      <c r="T28" s="265">
        <f>IF(ISNA(MATCH(T$2,Inputs!$K$4:$AJ$4,0)),NA(),IF(SUMPRODUCT((Inputs!$A$5:$A$130=$B28)*ISNUMBER(INDEX(Inputs!$K$5:$AJ$130,0,MATCH(T$2,Inputs!$K$4:$AJ$4,0))))+SUMPRODUCT((Inputs!$C$5:$C$130=$B28)*ISNUMBER(INDEX(Inputs!$K$5:$AJ$130,0,MATCH(T$2,Inputs!$K$4:$AJ$4,0))))+SUMPRODUCT((Inputs!$E$5:$E$130=$B28)*ISNUMBER(INDEX(Inputs!$K$5:$AJ$130,0,MATCH(T$2,Inputs!$K$4:$AJ$4,0))))=0,NA(),SUMPRODUCT((Inputs!$A$5:$A$130=$B28)*Inputs!$B$5:$B$130*(((Inputs!$G$5:$G$130="moeda")+(Inputs!$G$5:$G$130="acoes"))*Inputs!$B$1+((Inputs!$G$5:$G$130&lt;&gt;"moeda")*(Inputs!$G$5:$G$130&lt;&gt;"acoes")))*INDEX(Inputs!$K$5:$AJ$130,0,MATCH(T$2,Inputs!$K$4:$AJ$4,0)))+SUMPRODUCT((Inputs!$C$5:$C$130=$B28)*Inputs!$D$5:$D$130*(((Inputs!$G$5:$G$130="moeda")+(Inputs!$G$5:$G$130="acoes"))*Inputs!$B$1+((Inputs!$G$5:$G$130&lt;&gt;"moeda")*(Inputs!$G$5:$G$130&lt;&gt;"acoes")))*INDEX(Inputs!$K$5:$AJ$130,0,MATCH(T$2,Inputs!$K$4:$AJ$4,0)))+SUMPRODUCT((Inputs!$E$5:$E$130=$B28)*Inputs!$F$5:$F$130*(((Inputs!$G$5:$G$130="moeda")+(Inputs!$G$5:$G$130="acoes"))*Inputs!$B$1+((Inputs!$G$5:$G$130&lt;&gt;"moeda")*(Inputs!$G$5:$G$130&lt;&gt;"acoes")))*INDEX(Inputs!$K$5:$AJ$130,0,MATCH(T$2,Inputs!$K$4:$AJ$4,0)))))</f>
        <v>63943</v>
      </c>
      <c r="U28" s="265">
        <f>IF(ISNA(MATCH(U$2,Inputs!$K$4:$AJ$4,0)),NA(),IF(SUMPRODUCT((Inputs!$A$5:$A$130=$B28)*ISNUMBER(INDEX(Inputs!$K$5:$AJ$130,0,MATCH(U$2,Inputs!$K$4:$AJ$4,0))))+SUMPRODUCT((Inputs!$C$5:$C$130=$B28)*ISNUMBER(INDEX(Inputs!$K$5:$AJ$130,0,MATCH(U$2,Inputs!$K$4:$AJ$4,0))))+SUMPRODUCT((Inputs!$E$5:$E$130=$B28)*ISNUMBER(INDEX(Inputs!$K$5:$AJ$130,0,MATCH(U$2,Inputs!$K$4:$AJ$4,0))))=0,NA(),SUMPRODUCT((Inputs!$A$5:$A$130=$B28)*Inputs!$B$5:$B$130*(((Inputs!$G$5:$G$130="moeda")+(Inputs!$G$5:$G$130="acoes"))*Inputs!$B$1+((Inputs!$G$5:$G$130&lt;&gt;"moeda")*(Inputs!$G$5:$G$130&lt;&gt;"acoes")))*INDEX(Inputs!$K$5:$AJ$130,0,MATCH(U$2,Inputs!$K$4:$AJ$4,0)))+SUMPRODUCT((Inputs!$C$5:$C$130=$B28)*Inputs!$D$5:$D$130*(((Inputs!$G$5:$G$130="moeda")+(Inputs!$G$5:$G$130="acoes"))*Inputs!$B$1+((Inputs!$G$5:$G$130&lt;&gt;"moeda")*(Inputs!$G$5:$G$130&lt;&gt;"acoes")))*INDEX(Inputs!$K$5:$AJ$130,0,MATCH(U$2,Inputs!$K$4:$AJ$4,0)))+SUMPRODUCT((Inputs!$E$5:$E$130=$B28)*Inputs!$F$5:$F$130*(((Inputs!$G$5:$G$130="moeda")+(Inputs!$G$5:$G$130="acoes"))*Inputs!$B$1+((Inputs!$G$5:$G$130&lt;&gt;"moeda")*(Inputs!$G$5:$G$130&lt;&gt;"acoes")))*INDEX(Inputs!$K$5:$AJ$130,0,MATCH(U$2,Inputs!$K$4:$AJ$4,0)))))</f>
        <v>61076</v>
      </c>
      <c r="V28" s="265">
        <f>IF(ISNA(MATCH(V$2,Inputs!$K$4:$AJ$4,0)),NA(),IF(SUMPRODUCT((Inputs!$A$5:$A$130=$B28)*ISNUMBER(INDEX(Inputs!$K$5:$AJ$130,0,MATCH(V$2,Inputs!$K$4:$AJ$4,0))))+SUMPRODUCT((Inputs!$C$5:$C$130=$B28)*ISNUMBER(INDEX(Inputs!$K$5:$AJ$130,0,MATCH(V$2,Inputs!$K$4:$AJ$4,0))))+SUMPRODUCT((Inputs!$E$5:$E$130=$B28)*ISNUMBER(INDEX(Inputs!$K$5:$AJ$130,0,MATCH(V$2,Inputs!$K$4:$AJ$4,0))))=0,NA(),SUMPRODUCT((Inputs!$A$5:$A$130=$B28)*Inputs!$B$5:$B$130*(((Inputs!$G$5:$G$130="moeda")+(Inputs!$G$5:$G$130="acoes"))*Inputs!$B$1+((Inputs!$G$5:$G$130&lt;&gt;"moeda")*(Inputs!$G$5:$G$130&lt;&gt;"acoes")))*INDEX(Inputs!$K$5:$AJ$130,0,MATCH(V$2,Inputs!$K$4:$AJ$4,0)))+SUMPRODUCT((Inputs!$C$5:$C$130=$B28)*Inputs!$D$5:$D$130*(((Inputs!$G$5:$G$130="moeda")+(Inputs!$G$5:$G$130="acoes"))*Inputs!$B$1+((Inputs!$G$5:$G$130&lt;&gt;"moeda")*(Inputs!$G$5:$G$130&lt;&gt;"acoes")))*INDEX(Inputs!$K$5:$AJ$130,0,MATCH(V$2,Inputs!$K$4:$AJ$4,0)))+SUMPRODUCT((Inputs!$E$5:$E$130=$B28)*Inputs!$F$5:$F$130*(((Inputs!$G$5:$G$130="moeda")+(Inputs!$G$5:$G$130="acoes"))*Inputs!$B$1+((Inputs!$G$5:$G$130&lt;&gt;"moeda")*(Inputs!$G$5:$G$130&lt;&gt;"acoes")))*INDEX(Inputs!$K$5:$AJ$130,0,MATCH(V$2,Inputs!$K$4:$AJ$4,0)))))</f>
        <v>60693</v>
      </c>
      <c r="W28" s="266">
        <f>V28</f>
        <v>60693</v>
      </c>
      <c r="X28" s="265">
        <f>IF(ISNA(MATCH(X$2,Inputs!$K$4:$AJ$4,0)),NA(),IF(SUMPRODUCT((Inputs!$A$5:$A$130=$B28)*ISNUMBER(INDEX(Inputs!$K$5:$AJ$130,0,MATCH(X$2,Inputs!$K$4:$AJ$4,0))))+SUMPRODUCT((Inputs!$C$5:$C$130=$B28)*ISNUMBER(INDEX(Inputs!$K$5:$AJ$130,0,MATCH(X$2,Inputs!$K$4:$AJ$4,0))))+SUMPRODUCT((Inputs!$E$5:$E$130=$B28)*ISNUMBER(INDEX(Inputs!$K$5:$AJ$130,0,MATCH(X$2,Inputs!$K$4:$AJ$4,0))))=0,NA(),SUMPRODUCT((Inputs!$A$5:$A$130=$B28)*Inputs!$B$5:$B$130*(((Inputs!$G$5:$G$130="moeda")+(Inputs!$G$5:$G$130="acoes"))*Inputs!$B$1+((Inputs!$G$5:$G$130&lt;&gt;"moeda")*(Inputs!$G$5:$G$130&lt;&gt;"acoes")))*INDEX(Inputs!$K$5:$AJ$130,0,MATCH(X$2,Inputs!$K$4:$AJ$4,0)))+SUMPRODUCT((Inputs!$C$5:$C$130=$B28)*Inputs!$D$5:$D$130*(((Inputs!$G$5:$G$130="moeda")+(Inputs!$G$5:$G$130="acoes"))*Inputs!$B$1+((Inputs!$G$5:$G$130&lt;&gt;"moeda")*(Inputs!$G$5:$G$130&lt;&gt;"acoes")))*INDEX(Inputs!$K$5:$AJ$130,0,MATCH(X$2,Inputs!$K$4:$AJ$4,0)))+SUMPRODUCT((Inputs!$E$5:$E$130=$B28)*Inputs!$F$5:$F$130*(((Inputs!$G$5:$G$130="moeda")+(Inputs!$G$5:$G$130="acoes"))*Inputs!$B$1+((Inputs!$G$5:$G$130&lt;&gt;"moeda")*(Inputs!$G$5:$G$130&lt;&gt;"acoes")))*INDEX(Inputs!$K$5:$AJ$130,0,MATCH(X$2,Inputs!$K$4:$AJ$4,0)))))</f>
        <v>60870</v>
      </c>
      <c r="Y28" s="265">
        <f>IF(ISNA(MATCH(Y$2,Inputs!$K$4:$AJ$4,0)),NA(),IF(SUMPRODUCT((Inputs!$A$5:$A$130=$B28)*ISNUMBER(INDEX(Inputs!$K$5:$AJ$130,0,MATCH(Y$2,Inputs!$K$4:$AJ$4,0))))+SUMPRODUCT((Inputs!$C$5:$C$130=$B28)*ISNUMBER(INDEX(Inputs!$K$5:$AJ$130,0,MATCH(Y$2,Inputs!$K$4:$AJ$4,0))))+SUMPRODUCT((Inputs!$E$5:$E$130=$B28)*ISNUMBER(INDEX(Inputs!$K$5:$AJ$130,0,MATCH(Y$2,Inputs!$K$4:$AJ$4,0))))=0,NA(),SUMPRODUCT((Inputs!$A$5:$A$130=$B28)*Inputs!$B$5:$B$130*(((Inputs!$G$5:$G$130="moeda")+(Inputs!$G$5:$G$130="acoes"))*Inputs!$B$1+((Inputs!$G$5:$G$130&lt;&gt;"moeda")*(Inputs!$G$5:$G$130&lt;&gt;"acoes")))*INDEX(Inputs!$K$5:$AJ$130,0,MATCH(Y$2,Inputs!$K$4:$AJ$4,0)))+SUMPRODUCT((Inputs!$C$5:$C$130=$B28)*Inputs!$D$5:$D$130*(((Inputs!$G$5:$G$130="moeda")+(Inputs!$G$5:$G$130="acoes"))*Inputs!$B$1+((Inputs!$G$5:$G$130&lt;&gt;"moeda")*(Inputs!$G$5:$G$130&lt;&gt;"acoes")))*INDEX(Inputs!$K$5:$AJ$130,0,MATCH(Y$2,Inputs!$K$4:$AJ$4,0)))+SUMPRODUCT((Inputs!$E$5:$E$130=$B28)*Inputs!$F$5:$F$130*(((Inputs!$G$5:$G$130="moeda")+(Inputs!$G$5:$G$130="acoes"))*Inputs!$B$1+((Inputs!$G$5:$G$130&lt;&gt;"moeda")*(Inputs!$G$5:$G$130&lt;&gt;"acoes")))*INDEX(Inputs!$K$5:$AJ$130,0,MATCH(Y$2,Inputs!$K$4:$AJ$4,0)))))</f>
        <v>58379</v>
      </c>
      <c r="Z28" s="265">
        <f>IF(ISNA(MATCH(Z$2,Inputs!$K$4:$AJ$4,0)),NA(),IF(SUMPRODUCT((Inputs!$A$5:$A$130=$B28)*ISNUMBER(INDEX(Inputs!$K$5:$AJ$130,0,MATCH(Z$2,Inputs!$K$4:$AJ$4,0))))+SUMPRODUCT((Inputs!$C$5:$C$130=$B28)*ISNUMBER(INDEX(Inputs!$K$5:$AJ$130,0,MATCH(Z$2,Inputs!$K$4:$AJ$4,0))))+SUMPRODUCT((Inputs!$E$5:$E$130=$B28)*ISNUMBER(INDEX(Inputs!$K$5:$AJ$130,0,MATCH(Z$2,Inputs!$K$4:$AJ$4,0))))=0,NA(),SUMPRODUCT((Inputs!$A$5:$A$130=$B28)*Inputs!$B$5:$B$130*(((Inputs!$G$5:$G$130="moeda")+(Inputs!$G$5:$G$130="acoes"))*Inputs!$B$1+((Inputs!$G$5:$G$130&lt;&gt;"moeda")*(Inputs!$G$5:$G$130&lt;&gt;"acoes")))*INDEX(Inputs!$K$5:$AJ$130,0,MATCH(Z$2,Inputs!$K$4:$AJ$4,0)))+SUMPRODUCT((Inputs!$C$5:$C$130=$B28)*Inputs!$D$5:$D$130*(((Inputs!$G$5:$G$130="moeda")+(Inputs!$G$5:$G$130="acoes"))*Inputs!$B$1+((Inputs!$G$5:$G$130&lt;&gt;"moeda")*(Inputs!$G$5:$G$130&lt;&gt;"acoes")))*INDEX(Inputs!$K$5:$AJ$130,0,MATCH(Z$2,Inputs!$K$4:$AJ$4,0)))+SUMPRODUCT((Inputs!$E$5:$E$130=$B28)*Inputs!$F$5:$F$130*(((Inputs!$G$5:$G$130="moeda")+(Inputs!$G$5:$G$130="acoes"))*Inputs!$B$1+((Inputs!$G$5:$G$130&lt;&gt;"moeda")*(Inputs!$G$5:$G$130&lt;&gt;"acoes")))*INDEX(Inputs!$K$5:$AJ$130,0,MATCH(Z$2,Inputs!$K$4:$AJ$4,0)))))</f>
        <v>56816</v>
      </c>
      <c r="AA28" s="265">
        <f>IF(ISNA(MATCH(AA$2,Inputs!$K$4:$AJ$4,0)),NA(),IF(SUMPRODUCT((Inputs!$A$5:$A$130=$B28)*ISNUMBER(INDEX(Inputs!$K$5:$AJ$130,0,MATCH(AA$2,Inputs!$K$4:$AJ$4,0))))+SUMPRODUCT((Inputs!$C$5:$C$130=$B28)*ISNUMBER(INDEX(Inputs!$K$5:$AJ$130,0,MATCH(AA$2,Inputs!$K$4:$AJ$4,0))))+SUMPRODUCT((Inputs!$E$5:$E$130=$B28)*ISNUMBER(INDEX(Inputs!$K$5:$AJ$130,0,MATCH(AA$2,Inputs!$K$4:$AJ$4,0))))=0,NA(),SUMPRODUCT((Inputs!$A$5:$A$130=$B28)*Inputs!$B$5:$B$130*(((Inputs!$G$5:$G$130="moeda")+(Inputs!$G$5:$G$130="acoes"))*Inputs!$B$1+((Inputs!$G$5:$G$130&lt;&gt;"moeda")*(Inputs!$G$5:$G$130&lt;&gt;"acoes")))*INDEX(Inputs!$K$5:$AJ$130,0,MATCH(AA$2,Inputs!$K$4:$AJ$4,0)))+SUMPRODUCT((Inputs!$C$5:$C$130=$B28)*Inputs!$D$5:$D$130*(((Inputs!$G$5:$G$130="moeda")+(Inputs!$G$5:$G$130="acoes"))*Inputs!$B$1+((Inputs!$G$5:$G$130&lt;&gt;"moeda")*(Inputs!$G$5:$G$130&lt;&gt;"acoes")))*INDEX(Inputs!$K$5:$AJ$130,0,MATCH(AA$2,Inputs!$K$4:$AJ$4,0)))+SUMPRODUCT((Inputs!$E$5:$E$130=$B28)*Inputs!$F$5:$F$130*(((Inputs!$G$5:$G$130="moeda")+(Inputs!$G$5:$G$130="acoes"))*Inputs!$B$1+((Inputs!$G$5:$G$130&lt;&gt;"moeda")*(Inputs!$G$5:$G$130&lt;&gt;"acoes")))*INDEX(Inputs!$K$5:$AJ$130,0,MATCH(AA$2,Inputs!$K$4:$AJ$4,0)))))</f>
        <v>57770</v>
      </c>
      <c r="AB28" s="266">
        <f>AA28</f>
        <v>57770</v>
      </c>
      <c r="AC28" s="265">
        <f>IF(ISNA(MATCH(AC$2,Inputs!$K$4:$AJ$4,0)),NA(),IF(SUMPRODUCT((Inputs!$A$5:$A$130=$B28)*ISNUMBER(INDEX(Inputs!$K$5:$AJ$130,0,MATCH(AC$2,Inputs!$K$4:$AJ$4,0))))+SUMPRODUCT((Inputs!$C$5:$C$130=$B28)*ISNUMBER(INDEX(Inputs!$K$5:$AJ$130,0,MATCH(AC$2,Inputs!$K$4:$AJ$4,0))))+SUMPRODUCT((Inputs!$E$5:$E$130=$B28)*ISNUMBER(INDEX(Inputs!$K$5:$AJ$130,0,MATCH(AC$2,Inputs!$K$4:$AJ$4,0))))=0,NA(),SUMPRODUCT((Inputs!$A$5:$A$130=$B28)*Inputs!$B$5:$B$130*(((Inputs!$G$5:$G$130="moeda")+(Inputs!$G$5:$G$130="acoes"))*Inputs!$B$1+((Inputs!$G$5:$G$130&lt;&gt;"moeda")*(Inputs!$G$5:$G$130&lt;&gt;"acoes")))*INDEX(Inputs!$K$5:$AJ$130,0,MATCH(AC$2,Inputs!$K$4:$AJ$4,0)))+SUMPRODUCT((Inputs!$C$5:$C$130=$B28)*Inputs!$D$5:$D$130*(((Inputs!$G$5:$G$130="moeda")+(Inputs!$G$5:$G$130="acoes"))*Inputs!$B$1+((Inputs!$G$5:$G$130&lt;&gt;"moeda")*(Inputs!$G$5:$G$130&lt;&gt;"acoes")))*INDEX(Inputs!$K$5:$AJ$130,0,MATCH(AC$2,Inputs!$K$4:$AJ$4,0)))+SUMPRODUCT((Inputs!$E$5:$E$130=$B28)*Inputs!$F$5:$F$130*(((Inputs!$G$5:$G$130="moeda")+(Inputs!$G$5:$G$130="acoes"))*Inputs!$B$1+((Inputs!$G$5:$G$130&lt;&gt;"moeda")*(Inputs!$G$5:$G$130&lt;&gt;"acoes")))*INDEX(Inputs!$K$5:$AJ$130,0,MATCH(AC$2,Inputs!$K$4:$AJ$4,0)))))</f>
        <v>64288</v>
      </c>
      <c r="AD28" s="265">
        <f>IF(ISNA(MATCH(AD$2,Inputs!$K$4:$AJ$4,0)),NA(),IF(SUMPRODUCT((Inputs!$A$5:$A$130=$B28)*ISNUMBER(INDEX(Inputs!$K$5:$AJ$130,0,MATCH(AD$2,Inputs!$K$4:$AJ$4,0))))+SUMPRODUCT((Inputs!$C$5:$C$130=$B28)*ISNUMBER(INDEX(Inputs!$K$5:$AJ$130,0,MATCH(AD$2,Inputs!$K$4:$AJ$4,0))))+SUMPRODUCT((Inputs!$E$5:$E$130=$B28)*ISNUMBER(INDEX(Inputs!$K$5:$AJ$130,0,MATCH(AD$2,Inputs!$K$4:$AJ$4,0))))=0,NA(),SUMPRODUCT((Inputs!$A$5:$A$130=$B28)*Inputs!$B$5:$B$130*(((Inputs!$G$5:$G$130="moeda")+(Inputs!$G$5:$G$130="acoes"))*Inputs!$B$1+((Inputs!$G$5:$G$130&lt;&gt;"moeda")*(Inputs!$G$5:$G$130&lt;&gt;"acoes")))*INDEX(Inputs!$K$5:$AJ$130,0,MATCH(AD$2,Inputs!$K$4:$AJ$4,0)))+SUMPRODUCT((Inputs!$C$5:$C$130=$B28)*Inputs!$D$5:$D$130*(((Inputs!$G$5:$G$130="moeda")+(Inputs!$G$5:$G$130="acoes"))*Inputs!$B$1+((Inputs!$G$5:$G$130&lt;&gt;"moeda")*(Inputs!$G$5:$G$130&lt;&gt;"acoes")))*INDEX(Inputs!$K$5:$AJ$130,0,MATCH(AD$2,Inputs!$K$4:$AJ$4,0)))+SUMPRODUCT((Inputs!$E$5:$E$130=$B28)*Inputs!$F$5:$F$130*(((Inputs!$G$5:$G$130="moeda")+(Inputs!$G$5:$G$130="acoes"))*Inputs!$B$1+((Inputs!$G$5:$G$130&lt;&gt;"moeda")*(Inputs!$G$5:$G$130&lt;&gt;"acoes")))*INDEX(Inputs!$K$5:$AJ$130,0,MATCH(AD$2,Inputs!$K$4:$AJ$4,0)))))</f>
        <v>60742</v>
      </c>
      <c r="AE28" s="265" t="e">
        <f>IF(ISNA(MATCH(AE$2,Inputs!$K$4:$AJ$4,0)),NA(),IF(SUMPRODUCT((Inputs!$A$5:$A$130=$B28)*ISNUMBER(INDEX(Inputs!$K$5:$AJ$130,0,MATCH(AE$2,Inputs!$K$4:$AJ$4,0))))+SUMPRODUCT((Inputs!$C$5:$C$130=$B28)*ISNUMBER(INDEX(Inputs!$K$5:$AJ$130,0,MATCH(AE$2,Inputs!$K$4:$AJ$4,0))))+SUMPRODUCT((Inputs!$E$5:$E$130=$B28)*ISNUMBER(INDEX(Inputs!$K$5:$AJ$130,0,MATCH(AE$2,Inputs!$K$4:$AJ$4,0))))=0,NA(),SUMPRODUCT((Inputs!$A$5:$A$130=$B28)*Inputs!$B$5:$B$130*(((Inputs!$G$5:$G$130="moeda")+(Inputs!$G$5:$G$130="acoes"))*Inputs!$B$1+((Inputs!$G$5:$G$130&lt;&gt;"moeda")*(Inputs!$G$5:$G$130&lt;&gt;"acoes")))*INDEX(Inputs!$K$5:$AJ$130,0,MATCH(AE$2,Inputs!$K$4:$AJ$4,0)))+SUMPRODUCT((Inputs!$C$5:$C$130=$B28)*Inputs!$D$5:$D$130*(((Inputs!$G$5:$G$130="moeda")+(Inputs!$G$5:$G$130="acoes"))*Inputs!$B$1+((Inputs!$G$5:$G$130&lt;&gt;"moeda")*(Inputs!$G$5:$G$130&lt;&gt;"acoes")))*INDEX(Inputs!$K$5:$AJ$130,0,MATCH(AE$2,Inputs!$K$4:$AJ$4,0)))+SUMPRODUCT((Inputs!$E$5:$E$130=$B28)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8" s="265" t="e">
        <f>IF(ISNA(MATCH(AF$2,Inputs!$K$4:$AJ$4,0)),NA(),IF(SUMPRODUCT((Inputs!$A$5:$A$130=$B28)*ISNUMBER(INDEX(Inputs!$K$5:$AJ$130,0,MATCH(AF$2,Inputs!$K$4:$AJ$4,0))))+SUMPRODUCT((Inputs!$C$5:$C$130=$B28)*ISNUMBER(INDEX(Inputs!$K$5:$AJ$130,0,MATCH(AF$2,Inputs!$K$4:$AJ$4,0))))+SUMPRODUCT((Inputs!$E$5:$E$130=$B28)*ISNUMBER(INDEX(Inputs!$K$5:$AJ$130,0,MATCH(AF$2,Inputs!$K$4:$AJ$4,0))))=0,NA(),SUMPRODUCT((Inputs!$A$5:$A$130=$B28)*Inputs!$B$5:$B$130*(((Inputs!$G$5:$G$130="moeda")+(Inputs!$G$5:$G$130="acoes"))*Inputs!$B$1+((Inputs!$G$5:$G$130&lt;&gt;"moeda")*(Inputs!$G$5:$G$130&lt;&gt;"acoes")))*INDEX(Inputs!$K$5:$AJ$130,0,MATCH(AF$2,Inputs!$K$4:$AJ$4,0)))+SUMPRODUCT((Inputs!$C$5:$C$130=$B28)*Inputs!$D$5:$D$130*(((Inputs!$G$5:$G$130="moeda")+(Inputs!$G$5:$G$130="acoes"))*Inputs!$B$1+((Inputs!$G$5:$G$130&lt;&gt;"moeda")*(Inputs!$G$5:$G$130&lt;&gt;"acoes")))*INDEX(Inputs!$K$5:$AJ$130,0,MATCH(AF$2,Inputs!$K$4:$AJ$4,0)))+SUMPRODUCT((Inputs!$E$5:$E$130=$B28)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8" s="266" t="e">
        <f>AF28</f>
        <v>#N/A</v>
      </c>
      <c r="AH28" s="265" t="e">
        <f>IF(ISNA(MATCH(AH$2,Inputs!$K$4:$AJ$4,0)),NA(),IF(SUMPRODUCT((Inputs!$A$5:$A$130=$B28)*ISNUMBER(INDEX(Inputs!$K$5:$AJ$130,0,MATCH(AH$2,Inputs!$K$4:$AJ$4,0))))+SUMPRODUCT((Inputs!$C$5:$C$130=$B28)*ISNUMBER(INDEX(Inputs!$K$5:$AJ$130,0,MATCH(AH$2,Inputs!$K$4:$AJ$4,0))))+SUMPRODUCT((Inputs!$E$5:$E$130=$B28)*ISNUMBER(INDEX(Inputs!$K$5:$AJ$130,0,MATCH(AH$2,Inputs!$K$4:$AJ$4,0))))=0,NA(),SUMPRODUCT((Inputs!$A$5:$A$130=$B28)*Inputs!$B$5:$B$130*(((Inputs!$G$5:$G$130="moeda")+(Inputs!$G$5:$G$130="acoes"))*Inputs!$B$1+((Inputs!$G$5:$G$130&lt;&gt;"moeda")*(Inputs!$G$5:$G$130&lt;&gt;"acoes")))*INDEX(Inputs!$K$5:$AJ$130,0,MATCH(AH$2,Inputs!$K$4:$AJ$4,0)))+SUMPRODUCT((Inputs!$C$5:$C$130=$B28)*Inputs!$D$5:$D$130*(((Inputs!$G$5:$G$130="moeda")+(Inputs!$G$5:$G$130="acoes"))*Inputs!$B$1+((Inputs!$G$5:$G$130&lt;&gt;"moeda")*(Inputs!$G$5:$G$130&lt;&gt;"acoes")))*INDEX(Inputs!$K$5:$AJ$130,0,MATCH(AH$2,Inputs!$K$4:$AJ$4,0)))+SUMPRODUCT((Inputs!$E$5:$E$130=$B28)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28" s="265" t="e">
        <f>IF(ISNA(MATCH(AI$2,Inputs!$K$4:$AJ$4,0)),NA(),IF(SUMPRODUCT((Inputs!$A$5:$A$130=$B28)*ISNUMBER(INDEX(Inputs!$K$5:$AJ$130,0,MATCH(AI$2,Inputs!$K$4:$AJ$4,0))))+SUMPRODUCT((Inputs!$C$5:$C$130=$B28)*ISNUMBER(INDEX(Inputs!$K$5:$AJ$130,0,MATCH(AI$2,Inputs!$K$4:$AJ$4,0))))+SUMPRODUCT((Inputs!$E$5:$E$130=$B28)*ISNUMBER(INDEX(Inputs!$K$5:$AJ$130,0,MATCH(AI$2,Inputs!$K$4:$AJ$4,0))))=0,NA(),SUMPRODUCT((Inputs!$A$5:$A$130=$B28)*Inputs!$B$5:$B$130*(((Inputs!$G$5:$G$130="moeda")+(Inputs!$G$5:$G$130="acoes"))*Inputs!$B$1+((Inputs!$G$5:$G$130&lt;&gt;"moeda")*(Inputs!$G$5:$G$130&lt;&gt;"acoes")))*INDEX(Inputs!$K$5:$AJ$130,0,MATCH(AI$2,Inputs!$K$4:$AJ$4,0)))+SUMPRODUCT((Inputs!$C$5:$C$130=$B28)*Inputs!$D$5:$D$130*(((Inputs!$G$5:$G$130="moeda")+(Inputs!$G$5:$G$130="acoes"))*Inputs!$B$1+((Inputs!$G$5:$G$130&lt;&gt;"moeda")*(Inputs!$G$5:$G$130&lt;&gt;"acoes")))*INDEX(Inputs!$K$5:$AJ$130,0,MATCH(AI$2,Inputs!$K$4:$AJ$4,0)))+SUMPRODUCT((Inputs!$E$5:$E$130=$B28)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28" s="265" t="e">
        <f>IF(ISNA(MATCH(AJ$2,Inputs!$K$4:$AJ$4,0)),NA(),IF(SUMPRODUCT((Inputs!$A$5:$A$130=$B28)*ISNUMBER(INDEX(Inputs!$K$5:$AJ$130,0,MATCH(AJ$2,Inputs!$K$4:$AJ$4,0))))+SUMPRODUCT((Inputs!$C$5:$C$130=$B28)*ISNUMBER(INDEX(Inputs!$K$5:$AJ$130,0,MATCH(AJ$2,Inputs!$K$4:$AJ$4,0))))+SUMPRODUCT((Inputs!$E$5:$E$130=$B28)*ISNUMBER(INDEX(Inputs!$K$5:$AJ$130,0,MATCH(AJ$2,Inputs!$K$4:$AJ$4,0))))=0,NA(),SUMPRODUCT((Inputs!$A$5:$A$130=$B28)*Inputs!$B$5:$B$130*(((Inputs!$G$5:$G$130="moeda")+(Inputs!$G$5:$G$130="acoes"))*Inputs!$B$1+((Inputs!$G$5:$G$130&lt;&gt;"moeda")*(Inputs!$G$5:$G$130&lt;&gt;"acoes")))*INDEX(Inputs!$K$5:$AJ$130,0,MATCH(AJ$2,Inputs!$K$4:$AJ$4,0)))+SUMPRODUCT((Inputs!$C$5:$C$130=$B28)*Inputs!$D$5:$D$130*(((Inputs!$G$5:$G$130="moeda")+(Inputs!$G$5:$G$130="acoes"))*Inputs!$B$1+((Inputs!$G$5:$G$130&lt;&gt;"moeda")*(Inputs!$G$5:$G$130&lt;&gt;"acoes")))*INDEX(Inputs!$K$5:$AJ$130,0,MATCH(AJ$2,Inputs!$K$4:$AJ$4,0)))+SUMPRODUCT((Inputs!$E$5:$E$130=$B28)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28" s="265" t="e">
        <f>IF(ISNA(MATCH(AK$2,Inputs!$K$4:$AJ$4,0)),NA(),IF(SUMPRODUCT((Inputs!$A$5:$A$130=$B28)*ISNUMBER(INDEX(Inputs!$K$5:$AJ$130,0,MATCH(AK$2,Inputs!$K$4:$AJ$4,0))))+SUMPRODUCT((Inputs!$C$5:$C$130=$B28)*ISNUMBER(INDEX(Inputs!$K$5:$AJ$130,0,MATCH(AK$2,Inputs!$K$4:$AJ$4,0))))+SUMPRODUCT((Inputs!$E$5:$E$130=$B28)*ISNUMBER(INDEX(Inputs!$K$5:$AJ$130,0,MATCH(AK$2,Inputs!$K$4:$AJ$4,0))))=0,NA(),SUMPRODUCT((Inputs!$A$5:$A$130=$B28)*Inputs!$B$5:$B$130*(((Inputs!$G$5:$G$130="moeda")+(Inputs!$G$5:$G$130="acoes"))*Inputs!$B$1+((Inputs!$G$5:$G$130&lt;&gt;"moeda")*(Inputs!$G$5:$G$130&lt;&gt;"acoes")))*INDEX(Inputs!$K$5:$AJ$130,0,MATCH(AK$2,Inputs!$K$4:$AJ$4,0)))+SUMPRODUCT((Inputs!$C$5:$C$130=$B28)*Inputs!$D$5:$D$130*(((Inputs!$G$5:$G$130="moeda")+(Inputs!$G$5:$G$130="acoes"))*Inputs!$B$1+((Inputs!$G$5:$G$130&lt;&gt;"moeda")*(Inputs!$G$5:$G$130&lt;&gt;"acoes")))*INDEX(Inputs!$K$5:$AJ$130,0,MATCH(AK$2,Inputs!$K$4:$AJ$4,0)))+SUMPRODUCT((Inputs!$E$5:$E$130=$B28)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28" s="266" t="e">
        <f>AK28</f>
        <v>#N/A</v>
      </c>
    </row>
    <row r="29" ht="12.75" customHeight="1" s="254">
      <c r="B29" s="263" t="n">
        <v>24</v>
      </c>
      <c r="C29" s="268" t="inlineStr">
        <is>
          <t>Accrued expenses</t>
        </is>
      </c>
      <c r="D29" s="265" t="e">
        <f>IF(ISNA(MATCH(D$2,Inputs!$K$4:$AJ$4,0)),NA(),IF(SUMPRODUCT((Inputs!$A$5:$A$130=$B29)*ISNUMBER(INDEX(Inputs!$K$5:$AJ$130,0,MATCH(D$2,Inputs!$K$4:$AJ$4,0))))+SUMPRODUCT((Inputs!$C$5:$C$130=$B29)*ISNUMBER(INDEX(Inputs!$K$5:$AJ$130,0,MATCH(D$2,Inputs!$K$4:$AJ$4,0))))+SUMPRODUCT((Inputs!$E$5:$E$130=$B29)*ISNUMBER(INDEX(Inputs!$K$5:$AJ$130,0,MATCH(D$2,Inputs!$K$4:$AJ$4,0))))=0,NA(),SUMPRODUCT((Inputs!$A$5:$A$130=$B29)*Inputs!$B$5:$B$130*(((Inputs!$G$5:$G$130="moeda")+(Inputs!$G$5:$G$130="acoes"))*Inputs!$B$1+((Inputs!$G$5:$G$130&lt;&gt;"moeda")*(Inputs!$G$5:$G$130&lt;&gt;"acoes")))*INDEX(Inputs!$K$5:$AJ$130,0,MATCH(D$2,Inputs!$K$4:$AJ$4,0)))+SUMPRODUCT((Inputs!$C$5:$C$130=$B29)*Inputs!$D$5:$D$130*(((Inputs!$G$5:$G$130="moeda")+(Inputs!$G$5:$G$130="acoes"))*Inputs!$B$1+((Inputs!$G$5:$G$130&lt;&gt;"moeda")*(Inputs!$G$5:$G$130&lt;&gt;"acoes")))*INDEX(Inputs!$K$5:$AJ$130,0,MATCH(D$2,Inputs!$K$4:$AJ$4,0)))+SUMPRODUCT((Inputs!$E$5:$E$130=$B29)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29" s="265" t="e">
        <f>IF(ISNA(MATCH(E$2,Inputs!$K$4:$AJ$4,0)),NA(),IF(SUMPRODUCT((Inputs!$A$5:$A$130=$B29)*ISNUMBER(INDEX(Inputs!$K$5:$AJ$130,0,MATCH(E$2,Inputs!$K$4:$AJ$4,0))))+SUMPRODUCT((Inputs!$C$5:$C$130=$B29)*ISNUMBER(INDEX(Inputs!$K$5:$AJ$130,0,MATCH(E$2,Inputs!$K$4:$AJ$4,0))))+SUMPRODUCT((Inputs!$E$5:$E$130=$B29)*ISNUMBER(INDEX(Inputs!$K$5:$AJ$130,0,MATCH(E$2,Inputs!$K$4:$AJ$4,0))))=0,NA(),SUMPRODUCT((Inputs!$A$5:$A$130=$B29)*Inputs!$B$5:$B$130*(((Inputs!$G$5:$G$130="moeda")+(Inputs!$G$5:$G$130="acoes"))*Inputs!$B$1+((Inputs!$G$5:$G$130&lt;&gt;"moeda")*(Inputs!$G$5:$G$130&lt;&gt;"acoes")))*INDEX(Inputs!$K$5:$AJ$130,0,MATCH(E$2,Inputs!$K$4:$AJ$4,0)))+SUMPRODUCT((Inputs!$C$5:$C$130=$B29)*Inputs!$D$5:$D$130*(((Inputs!$G$5:$G$130="moeda")+(Inputs!$G$5:$G$130="acoes"))*Inputs!$B$1+((Inputs!$G$5:$G$130&lt;&gt;"moeda")*(Inputs!$G$5:$G$130&lt;&gt;"acoes")))*INDEX(Inputs!$K$5:$AJ$130,0,MATCH(E$2,Inputs!$K$4:$AJ$4,0)))+SUMPRODUCT((Inputs!$E$5:$E$130=$B29)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29" s="265" t="e">
        <f>IF(ISNA(MATCH(F$2,Inputs!$K$4:$AJ$4,0)),NA(),IF(SUMPRODUCT((Inputs!$A$5:$A$130=$B29)*ISNUMBER(INDEX(Inputs!$K$5:$AJ$130,0,MATCH(F$2,Inputs!$K$4:$AJ$4,0))))+SUMPRODUCT((Inputs!$C$5:$C$130=$B29)*ISNUMBER(INDEX(Inputs!$K$5:$AJ$130,0,MATCH(F$2,Inputs!$K$4:$AJ$4,0))))+SUMPRODUCT((Inputs!$E$5:$E$130=$B29)*ISNUMBER(INDEX(Inputs!$K$5:$AJ$130,0,MATCH(F$2,Inputs!$K$4:$AJ$4,0))))=0,NA(),SUMPRODUCT((Inputs!$A$5:$A$130=$B29)*Inputs!$B$5:$B$130*(((Inputs!$G$5:$G$130="moeda")+(Inputs!$G$5:$G$130="acoes"))*Inputs!$B$1+((Inputs!$G$5:$G$130&lt;&gt;"moeda")*(Inputs!$G$5:$G$130&lt;&gt;"acoes")))*INDEX(Inputs!$K$5:$AJ$130,0,MATCH(F$2,Inputs!$K$4:$AJ$4,0)))+SUMPRODUCT((Inputs!$C$5:$C$130=$B29)*Inputs!$D$5:$D$130*(((Inputs!$G$5:$G$130="moeda")+(Inputs!$G$5:$G$130="acoes"))*Inputs!$B$1+((Inputs!$G$5:$G$130&lt;&gt;"moeda")*(Inputs!$G$5:$G$130&lt;&gt;"acoes")))*INDEX(Inputs!$K$5:$AJ$130,0,MATCH(F$2,Inputs!$K$4:$AJ$4,0)))+SUMPRODUCT((Inputs!$E$5:$E$130=$B29)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29" s="265" t="e">
        <f>IF(ISNA(MATCH(G$2,Inputs!$K$4:$AJ$4,0)),NA(),IF(SUMPRODUCT((Inputs!$A$5:$A$130=$B29)*ISNUMBER(INDEX(Inputs!$K$5:$AJ$130,0,MATCH(G$2,Inputs!$K$4:$AJ$4,0))))+SUMPRODUCT((Inputs!$C$5:$C$130=$B29)*ISNUMBER(INDEX(Inputs!$K$5:$AJ$130,0,MATCH(G$2,Inputs!$K$4:$AJ$4,0))))+SUMPRODUCT((Inputs!$E$5:$E$130=$B29)*ISNUMBER(INDEX(Inputs!$K$5:$AJ$130,0,MATCH(G$2,Inputs!$K$4:$AJ$4,0))))=0,NA(),SUMPRODUCT((Inputs!$A$5:$A$130=$B29)*Inputs!$B$5:$B$130*(((Inputs!$G$5:$G$130="moeda")+(Inputs!$G$5:$G$130="acoes"))*Inputs!$B$1+((Inputs!$G$5:$G$130&lt;&gt;"moeda")*(Inputs!$G$5:$G$130&lt;&gt;"acoes")))*INDEX(Inputs!$K$5:$AJ$130,0,MATCH(G$2,Inputs!$K$4:$AJ$4,0)))+SUMPRODUCT((Inputs!$C$5:$C$130=$B29)*Inputs!$D$5:$D$130*(((Inputs!$G$5:$G$130="moeda")+(Inputs!$G$5:$G$130="acoes"))*Inputs!$B$1+((Inputs!$G$5:$G$130&lt;&gt;"moeda")*(Inputs!$G$5:$G$130&lt;&gt;"acoes")))*INDEX(Inputs!$K$5:$AJ$130,0,MATCH(G$2,Inputs!$K$4:$AJ$4,0)))+SUMPRODUCT((Inputs!$E$5:$E$130=$B29)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29" s="266" t="e">
        <f>G29</f>
        <v>#N/A</v>
      </c>
      <c r="I29" s="265" t="e">
        <f>IF(ISNA(MATCH(I$2,Inputs!$K$4:$AJ$4,0)),NA(),IF(SUMPRODUCT((Inputs!$A$5:$A$130=$B29)*ISNUMBER(INDEX(Inputs!$K$5:$AJ$130,0,MATCH(I$2,Inputs!$K$4:$AJ$4,0))))+SUMPRODUCT((Inputs!$C$5:$C$130=$B29)*ISNUMBER(INDEX(Inputs!$K$5:$AJ$130,0,MATCH(I$2,Inputs!$K$4:$AJ$4,0))))+SUMPRODUCT((Inputs!$E$5:$E$130=$B29)*ISNUMBER(INDEX(Inputs!$K$5:$AJ$130,0,MATCH(I$2,Inputs!$K$4:$AJ$4,0))))=0,NA(),SUMPRODUCT((Inputs!$A$5:$A$130=$B29)*Inputs!$B$5:$B$130*(((Inputs!$G$5:$G$130="moeda")+(Inputs!$G$5:$G$130="acoes"))*Inputs!$B$1+((Inputs!$G$5:$G$130&lt;&gt;"moeda")*(Inputs!$G$5:$G$130&lt;&gt;"acoes")))*INDEX(Inputs!$K$5:$AJ$130,0,MATCH(I$2,Inputs!$K$4:$AJ$4,0)))+SUMPRODUCT((Inputs!$C$5:$C$130=$B29)*Inputs!$D$5:$D$130*(((Inputs!$G$5:$G$130="moeda")+(Inputs!$G$5:$G$130="acoes"))*Inputs!$B$1+((Inputs!$G$5:$G$130&lt;&gt;"moeda")*(Inputs!$G$5:$G$130&lt;&gt;"acoes")))*INDEX(Inputs!$K$5:$AJ$130,0,MATCH(I$2,Inputs!$K$4:$AJ$4,0)))+SUMPRODUCT((Inputs!$E$5:$E$130=$B29)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29" s="265" t="e">
        <f>IF(ISNA(MATCH(J$2,Inputs!$K$4:$AJ$4,0)),NA(),IF(SUMPRODUCT((Inputs!$A$5:$A$130=$B29)*ISNUMBER(INDEX(Inputs!$K$5:$AJ$130,0,MATCH(J$2,Inputs!$K$4:$AJ$4,0))))+SUMPRODUCT((Inputs!$C$5:$C$130=$B29)*ISNUMBER(INDEX(Inputs!$K$5:$AJ$130,0,MATCH(J$2,Inputs!$K$4:$AJ$4,0))))+SUMPRODUCT((Inputs!$E$5:$E$130=$B29)*ISNUMBER(INDEX(Inputs!$K$5:$AJ$130,0,MATCH(J$2,Inputs!$K$4:$AJ$4,0))))=0,NA(),SUMPRODUCT((Inputs!$A$5:$A$130=$B29)*Inputs!$B$5:$B$130*(((Inputs!$G$5:$G$130="moeda")+(Inputs!$G$5:$G$130="acoes"))*Inputs!$B$1+((Inputs!$G$5:$G$130&lt;&gt;"moeda")*(Inputs!$G$5:$G$130&lt;&gt;"acoes")))*INDEX(Inputs!$K$5:$AJ$130,0,MATCH(J$2,Inputs!$K$4:$AJ$4,0)))+SUMPRODUCT((Inputs!$C$5:$C$130=$B29)*Inputs!$D$5:$D$130*(((Inputs!$G$5:$G$130="moeda")+(Inputs!$G$5:$G$130="acoes"))*Inputs!$B$1+((Inputs!$G$5:$G$130&lt;&gt;"moeda")*(Inputs!$G$5:$G$130&lt;&gt;"acoes")))*INDEX(Inputs!$K$5:$AJ$130,0,MATCH(J$2,Inputs!$K$4:$AJ$4,0)))+SUMPRODUCT((Inputs!$E$5:$E$130=$B29)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29" s="265" t="e">
        <f>IF(ISNA(MATCH(K$2,Inputs!$K$4:$AJ$4,0)),NA(),IF(SUMPRODUCT((Inputs!$A$5:$A$130=$B29)*ISNUMBER(INDEX(Inputs!$K$5:$AJ$130,0,MATCH(K$2,Inputs!$K$4:$AJ$4,0))))+SUMPRODUCT((Inputs!$C$5:$C$130=$B29)*ISNUMBER(INDEX(Inputs!$K$5:$AJ$130,0,MATCH(K$2,Inputs!$K$4:$AJ$4,0))))+SUMPRODUCT((Inputs!$E$5:$E$130=$B29)*ISNUMBER(INDEX(Inputs!$K$5:$AJ$130,0,MATCH(K$2,Inputs!$K$4:$AJ$4,0))))=0,NA(),SUMPRODUCT((Inputs!$A$5:$A$130=$B29)*Inputs!$B$5:$B$130*(((Inputs!$G$5:$G$130="moeda")+(Inputs!$G$5:$G$130="acoes"))*Inputs!$B$1+((Inputs!$G$5:$G$130&lt;&gt;"moeda")*(Inputs!$G$5:$G$130&lt;&gt;"acoes")))*INDEX(Inputs!$K$5:$AJ$130,0,MATCH(K$2,Inputs!$K$4:$AJ$4,0)))+SUMPRODUCT((Inputs!$C$5:$C$130=$B29)*Inputs!$D$5:$D$130*(((Inputs!$G$5:$G$130="moeda")+(Inputs!$G$5:$G$130="acoes"))*Inputs!$B$1+((Inputs!$G$5:$G$130&lt;&gt;"moeda")*(Inputs!$G$5:$G$130&lt;&gt;"acoes")))*INDEX(Inputs!$K$5:$AJ$130,0,MATCH(K$2,Inputs!$K$4:$AJ$4,0)))+SUMPRODUCT((Inputs!$E$5:$E$130=$B29)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29" s="265" t="e">
        <f>IF(ISNA(MATCH(L$2,Inputs!$K$4:$AJ$4,0)),NA(),IF(SUMPRODUCT((Inputs!$A$5:$A$130=$B29)*ISNUMBER(INDEX(Inputs!$K$5:$AJ$130,0,MATCH(L$2,Inputs!$K$4:$AJ$4,0))))+SUMPRODUCT((Inputs!$C$5:$C$130=$B29)*ISNUMBER(INDEX(Inputs!$K$5:$AJ$130,0,MATCH(L$2,Inputs!$K$4:$AJ$4,0))))+SUMPRODUCT((Inputs!$E$5:$E$130=$B29)*ISNUMBER(INDEX(Inputs!$K$5:$AJ$130,0,MATCH(L$2,Inputs!$K$4:$AJ$4,0))))=0,NA(),SUMPRODUCT((Inputs!$A$5:$A$130=$B29)*Inputs!$B$5:$B$130*(((Inputs!$G$5:$G$130="moeda")+(Inputs!$G$5:$G$130="acoes"))*Inputs!$B$1+((Inputs!$G$5:$G$130&lt;&gt;"moeda")*(Inputs!$G$5:$G$130&lt;&gt;"acoes")))*INDEX(Inputs!$K$5:$AJ$130,0,MATCH(L$2,Inputs!$K$4:$AJ$4,0)))+SUMPRODUCT((Inputs!$C$5:$C$130=$B29)*Inputs!$D$5:$D$130*(((Inputs!$G$5:$G$130="moeda")+(Inputs!$G$5:$G$130="acoes"))*Inputs!$B$1+((Inputs!$G$5:$G$130&lt;&gt;"moeda")*(Inputs!$G$5:$G$130&lt;&gt;"acoes")))*INDEX(Inputs!$K$5:$AJ$130,0,MATCH(L$2,Inputs!$K$4:$AJ$4,0)))+SUMPRODUCT((Inputs!$E$5:$E$130=$B29)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29" s="266" t="e">
        <f>L29</f>
        <v>#N/A</v>
      </c>
      <c r="N29" s="265" t="e">
        <f>IF(ISNA(MATCH(N$2,Inputs!$K$4:$AJ$4,0)),NA(),IF(SUMPRODUCT((Inputs!$A$5:$A$130=$B29)*ISNUMBER(INDEX(Inputs!$K$5:$AJ$130,0,MATCH(N$2,Inputs!$K$4:$AJ$4,0))))+SUMPRODUCT((Inputs!$C$5:$C$130=$B29)*ISNUMBER(INDEX(Inputs!$K$5:$AJ$130,0,MATCH(N$2,Inputs!$K$4:$AJ$4,0))))+SUMPRODUCT((Inputs!$E$5:$E$130=$B29)*ISNUMBER(INDEX(Inputs!$K$5:$AJ$130,0,MATCH(N$2,Inputs!$K$4:$AJ$4,0))))=0,NA(),SUMPRODUCT((Inputs!$A$5:$A$130=$B29)*Inputs!$B$5:$B$130*(((Inputs!$G$5:$G$130="moeda")+(Inputs!$G$5:$G$130="acoes"))*Inputs!$B$1+((Inputs!$G$5:$G$130&lt;&gt;"moeda")*(Inputs!$G$5:$G$130&lt;&gt;"acoes")))*INDEX(Inputs!$K$5:$AJ$130,0,MATCH(N$2,Inputs!$K$4:$AJ$4,0)))+SUMPRODUCT((Inputs!$C$5:$C$130=$B29)*Inputs!$D$5:$D$130*(((Inputs!$G$5:$G$130="moeda")+(Inputs!$G$5:$G$130="acoes"))*Inputs!$B$1+((Inputs!$G$5:$G$130&lt;&gt;"moeda")*(Inputs!$G$5:$G$130&lt;&gt;"acoes")))*INDEX(Inputs!$K$5:$AJ$130,0,MATCH(N$2,Inputs!$K$4:$AJ$4,0)))+SUMPRODUCT((Inputs!$E$5:$E$130=$B29)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29" s="265" t="e">
        <f>IF(ISNA(MATCH(O$2,Inputs!$K$4:$AJ$4,0)),NA(),IF(SUMPRODUCT((Inputs!$A$5:$A$130=$B29)*ISNUMBER(INDEX(Inputs!$K$5:$AJ$130,0,MATCH(O$2,Inputs!$K$4:$AJ$4,0))))+SUMPRODUCT((Inputs!$C$5:$C$130=$B29)*ISNUMBER(INDEX(Inputs!$K$5:$AJ$130,0,MATCH(O$2,Inputs!$K$4:$AJ$4,0))))+SUMPRODUCT((Inputs!$E$5:$E$130=$B29)*ISNUMBER(INDEX(Inputs!$K$5:$AJ$130,0,MATCH(O$2,Inputs!$K$4:$AJ$4,0))))=0,NA(),SUMPRODUCT((Inputs!$A$5:$A$130=$B29)*Inputs!$B$5:$B$130*(((Inputs!$G$5:$G$130="moeda")+(Inputs!$G$5:$G$130="acoes"))*Inputs!$B$1+((Inputs!$G$5:$G$130&lt;&gt;"moeda")*(Inputs!$G$5:$G$130&lt;&gt;"acoes")))*INDEX(Inputs!$K$5:$AJ$130,0,MATCH(O$2,Inputs!$K$4:$AJ$4,0)))+SUMPRODUCT((Inputs!$C$5:$C$130=$B29)*Inputs!$D$5:$D$130*(((Inputs!$G$5:$G$130="moeda")+(Inputs!$G$5:$G$130="acoes"))*Inputs!$B$1+((Inputs!$G$5:$G$130&lt;&gt;"moeda")*(Inputs!$G$5:$G$130&lt;&gt;"acoes")))*INDEX(Inputs!$K$5:$AJ$130,0,MATCH(O$2,Inputs!$K$4:$AJ$4,0)))+SUMPRODUCT((Inputs!$E$5:$E$130=$B29)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29" s="265" t="e">
        <f>IF(ISNA(MATCH(P$2,Inputs!$K$4:$AJ$4,0)),NA(),IF(SUMPRODUCT((Inputs!$A$5:$A$130=$B29)*ISNUMBER(INDEX(Inputs!$K$5:$AJ$130,0,MATCH(P$2,Inputs!$K$4:$AJ$4,0))))+SUMPRODUCT((Inputs!$C$5:$C$130=$B29)*ISNUMBER(INDEX(Inputs!$K$5:$AJ$130,0,MATCH(P$2,Inputs!$K$4:$AJ$4,0))))+SUMPRODUCT((Inputs!$E$5:$E$130=$B29)*ISNUMBER(INDEX(Inputs!$K$5:$AJ$130,0,MATCH(P$2,Inputs!$K$4:$AJ$4,0))))=0,NA(),SUMPRODUCT((Inputs!$A$5:$A$130=$B29)*Inputs!$B$5:$B$130*(((Inputs!$G$5:$G$130="moeda")+(Inputs!$G$5:$G$130="acoes"))*Inputs!$B$1+((Inputs!$G$5:$G$130&lt;&gt;"moeda")*(Inputs!$G$5:$G$130&lt;&gt;"acoes")))*INDEX(Inputs!$K$5:$AJ$130,0,MATCH(P$2,Inputs!$K$4:$AJ$4,0)))+SUMPRODUCT((Inputs!$C$5:$C$130=$B29)*Inputs!$D$5:$D$130*(((Inputs!$G$5:$G$130="moeda")+(Inputs!$G$5:$G$130="acoes"))*Inputs!$B$1+((Inputs!$G$5:$G$130&lt;&gt;"moeda")*(Inputs!$G$5:$G$130&lt;&gt;"acoes")))*INDEX(Inputs!$K$5:$AJ$130,0,MATCH(P$2,Inputs!$K$4:$AJ$4,0)))+SUMPRODUCT((Inputs!$E$5:$E$130=$B29)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29" s="265" t="e">
        <f>IF(ISNA(MATCH(Q$2,Inputs!$K$4:$AJ$4,0)),NA(),IF(SUMPRODUCT((Inputs!$A$5:$A$130=$B29)*ISNUMBER(INDEX(Inputs!$K$5:$AJ$130,0,MATCH(Q$2,Inputs!$K$4:$AJ$4,0))))+SUMPRODUCT((Inputs!$C$5:$C$130=$B29)*ISNUMBER(INDEX(Inputs!$K$5:$AJ$130,0,MATCH(Q$2,Inputs!$K$4:$AJ$4,0))))+SUMPRODUCT((Inputs!$E$5:$E$130=$B29)*ISNUMBER(INDEX(Inputs!$K$5:$AJ$130,0,MATCH(Q$2,Inputs!$K$4:$AJ$4,0))))=0,NA(),SUMPRODUCT((Inputs!$A$5:$A$130=$B29)*Inputs!$B$5:$B$130*(((Inputs!$G$5:$G$130="moeda")+(Inputs!$G$5:$G$130="acoes"))*Inputs!$B$1+((Inputs!$G$5:$G$130&lt;&gt;"moeda")*(Inputs!$G$5:$G$130&lt;&gt;"acoes")))*INDEX(Inputs!$K$5:$AJ$130,0,MATCH(Q$2,Inputs!$K$4:$AJ$4,0)))+SUMPRODUCT((Inputs!$C$5:$C$130=$B29)*Inputs!$D$5:$D$130*(((Inputs!$G$5:$G$130="moeda")+(Inputs!$G$5:$G$130="acoes"))*Inputs!$B$1+((Inputs!$G$5:$G$130&lt;&gt;"moeda")*(Inputs!$G$5:$G$130&lt;&gt;"acoes")))*INDEX(Inputs!$K$5:$AJ$130,0,MATCH(Q$2,Inputs!$K$4:$AJ$4,0)))+SUMPRODUCT((Inputs!$E$5:$E$130=$B29)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29" s="266" t="e">
        <f>Q29</f>
        <v>#N/A</v>
      </c>
      <c r="S29" s="265" t="e">
        <f>IF(ISNA(MATCH(S$2,Inputs!$K$4:$AJ$4,0)),NA(),IF(SUMPRODUCT((Inputs!$A$5:$A$130=$B29)*ISNUMBER(INDEX(Inputs!$K$5:$AJ$130,0,MATCH(S$2,Inputs!$K$4:$AJ$4,0))))+SUMPRODUCT((Inputs!$C$5:$C$130=$B29)*ISNUMBER(INDEX(Inputs!$K$5:$AJ$130,0,MATCH(S$2,Inputs!$K$4:$AJ$4,0))))+SUMPRODUCT((Inputs!$E$5:$E$130=$B29)*ISNUMBER(INDEX(Inputs!$K$5:$AJ$130,0,MATCH(S$2,Inputs!$K$4:$AJ$4,0))))=0,NA(),SUMPRODUCT((Inputs!$A$5:$A$130=$B29)*Inputs!$B$5:$B$130*(((Inputs!$G$5:$G$130="moeda")+(Inputs!$G$5:$G$130="acoes"))*Inputs!$B$1+((Inputs!$G$5:$G$130&lt;&gt;"moeda")*(Inputs!$G$5:$G$130&lt;&gt;"acoes")))*INDEX(Inputs!$K$5:$AJ$130,0,MATCH(S$2,Inputs!$K$4:$AJ$4,0)))+SUMPRODUCT((Inputs!$C$5:$C$130=$B29)*Inputs!$D$5:$D$130*(((Inputs!$G$5:$G$130="moeda")+(Inputs!$G$5:$G$130="acoes"))*Inputs!$B$1+((Inputs!$G$5:$G$130&lt;&gt;"moeda")*(Inputs!$G$5:$G$130&lt;&gt;"acoes")))*INDEX(Inputs!$K$5:$AJ$130,0,MATCH(S$2,Inputs!$K$4:$AJ$4,0)))+SUMPRODUCT((Inputs!$E$5:$E$130=$B29)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29" s="265" t="e">
        <f>IF(ISNA(MATCH(T$2,Inputs!$K$4:$AJ$4,0)),NA(),IF(SUMPRODUCT((Inputs!$A$5:$A$130=$B29)*ISNUMBER(INDEX(Inputs!$K$5:$AJ$130,0,MATCH(T$2,Inputs!$K$4:$AJ$4,0))))+SUMPRODUCT((Inputs!$C$5:$C$130=$B29)*ISNUMBER(INDEX(Inputs!$K$5:$AJ$130,0,MATCH(T$2,Inputs!$K$4:$AJ$4,0))))+SUMPRODUCT((Inputs!$E$5:$E$130=$B29)*ISNUMBER(INDEX(Inputs!$K$5:$AJ$130,0,MATCH(T$2,Inputs!$K$4:$AJ$4,0))))=0,NA(),SUMPRODUCT((Inputs!$A$5:$A$130=$B29)*Inputs!$B$5:$B$130*(((Inputs!$G$5:$G$130="moeda")+(Inputs!$G$5:$G$130="acoes"))*Inputs!$B$1+((Inputs!$G$5:$G$130&lt;&gt;"moeda")*(Inputs!$G$5:$G$130&lt;&gt;"acoes")))*INDEX(Inputs!$K$5:$AJ$130,0,MATCH(T$2,Inputs!$K$4:$AJ$4,0)))+SUMPRODUCT((Inputs!$C$5:$C$130=$B29)*Inputs!$D$5:$D$130*(((Inputs!$G$5:$G$130="moeda")+(Inputs!$G$5:$G$130="acoes"))*Inputs!$B$1+((Inputs!$G$5:$G$130&lt;&gt;"moeda")*(Inputs!$G$5:$G$130&lt;&gt;"acoes")))*INDEX(Inputs!$K$5:$AJ$130,0,MATCH(T$2,Inputs!$K$4:$AJ$4,0)))+SUMPRODUCT((Inputs!$E$5:$E$130=$B29)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29" s="265" t="e">
        <f>IF(ISNA(MATCH(U$2,Inputs!$K$4:$AJ$4,0)),NA(),IF(SUMPRODUCT((Inputs!$A$5:$A$130=$B29)*ISNUMBER(INDEX(Inputs!$K$5:$AJ$130,0,MATCH(U$2,Inputs!$K$4:$AJ$4,0))))+SUMPRODUCT((Inputs!$C$5:$C$130=$B29)*ISNUMBER(INDEX(Inputs!$K$5:$AJ$130,0,MATCH(U$2,Inputs!$K$4:$AJ$4,0))))+SUMPRODUCT((Inputs!$E$5:$E$130=$B29)*ISNUMBER(INDEX(Inputs!$K$5:$AJ$130,0,MATCH(U$2,Inputs!$K$4:$AJ$4,0))))=0,NA(),SUMPRODUCT((Inputs!$A$5:$A$130=$B29)*Inputs!$B$5:$B$130*(((Inputs!$G$5:$G$130="moeda")+(Inputs!$G$5:$G$130="acoes"))*Inputs!$B$1+((Inputs!$G$5:$G$130&lt;&gt;"moeda")*(Inputs!$G$5:$G$130&lt;&gt;"acoes")))*INDEX(Inputs!$K$5:$AJ$130,0,MATCH(U$2,Inputs!$K$4:$AJ$4,0)))+SUMPRODUCT((Inputs!$C$5:$C$130=$B29)*Inputs!$D$5:$D$130*(((Inputs!$G$5:$G$130="moeda")+(Inputs!$G$5:$G$130="acoes"))*Inputs!$B$1+((Inputs!$G$5:$G$130&lt;&gt;"moeda")*(Inputs!$G$5:$G$130&lt;&gt;"acoes")))*INDEX(Inputs!$K$5:$AJ$130,0,MATCH(U$2,Inputs!$K$4:$AJ$4,0)))+SUMPRODUCT((Inputs!$E$5:$E$130=$B29)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29" s="265" t="e">
        <f>IF(ISNA(MATCH(V$2,Inputs!$K$4:$AJ$4,0)),NA(),IF(SUMPRODUCT((Inputs!$A$5:$A$130=$B29)*ISNUMBER(INDEX(Inputs!$K$5:$AJ$130,0,MATCH(V$2,Inputs!$K$4:$AJ$4,0))))+SUMPRODUCT((Inputs!$C$5:$C$130=$B29)*ISNUMBER(INDEX(Inputs!$K$5:$AJ$130,0,MATCH(V$2,Inputs!$K$4:$AJ$4,0))))+SUMPRODUCT((Inputs!$E$5:$E$130=$B29)*ISNUMBER(INDEX(Inputs!$K$5:$AJ$130,0,MATCH(V$2,Inputs!$K$4:$AJ$4,0))))=0,NA(),SUMPRODUCT((Inputs!$A$5:$A$130=$B29)*Inputs!$B$5:$B$130*(((Inputs!$G$5:$G$130="moeda")+(Inputs!$G$5:$G$130="acoes"))*Inputs!$B$1+((Inputs!$G$5:$G$130&lt;&gt;"moeda")*(Inputs!$G$5:$G$130&lt;&gt;"acoes")))*INDEX(Inputs!$K$5:$AJ$130,0,MATCH(V$2,Inputs!$K$4:$AJ$4,0)))+SUMPRODUCT((Inputs!$C$5:$C$130=$B29)*Inputs!$D$5:$D$130*(((Inputs!$G$5:$G$130="moeda")+(Inputs!$G$5:$G$130="acoes"))*Inputs!$B$1+((Inputs!$G$5:$G$130&lt;&gt;"moeda")*(Inputs!$G$5:$G$130&lt;&gt;"acoes")))*INDEX(Inputs!$K$5:$AJ$130,0,MATCH(V$2,Inputs!$K$4:$AJ$4,0)))+SUMPRODUCT((Inputs!$E$5:$E$130=$B29)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29" s="266" t="e">
        <f>V29</f>
        <v>#N/A</v>
      </c>
      <c r="X29" s="265" t="e">
        <f>IF(ISNA(MATCH(X$2,Inputs!$K$4:$AJ$4,0)),NA(),IF(SUMPRODUCT((Inputs!$A$5:$A$130=$B29)*ISNUMBER(INDEX(Inputs!$K$5:$AJ$130,0,MATCH(X$2,Inputs!$K$4:$AJ$4,0))))+SUMPRODUCT((Inputs!$C$5:$C$130=$B29)*ISNUMBER(INDEX(Inputs!$K$5:$AJ$130,0,MATCH(X$2,Inputs!$K$4:$AJ$4,0))))+SUMPRODUCT((Inputs!$E$5:$E$130=$B29)*ISNUMBER(INDEX(Inputs!$K$5:$AJ$130,0,MATCH(X$2,Inputs!$K$4:$AJ$4,0))))=0,NA(),SUMPRODUCT((Inputs!$A$5:$A$130=$B29)*Inputs!$B$5:$B$130*(((Inputs!$G$5:$G$130="moeda")+(Inputs!$G$5:$G$130="acoes"))*Inputs!$B$1+((Inputs!$G$5:$G$130&lt;&gt;"moeda")*(Inputs!$G$5:$G$130&lt;&gt;"acoes")))*INDEX(Inputs!$K$5:$AJ$130,0,MATCH(X$2,Inputs!$K$4:$AJ$4,0)))+SUMPRODUCT((Inputs!$C$5:$C$130=$B29)*Inputs!$D$5:$D$130*(((Inputs!$G$5:$G$130="moeda")+(Inputs!$G$5:$G$130="acoes"))*Inputs!$B$1+((Inputs!$G$5:$G$130&lt;&gt;"moeda")*(Inputs!$G$5:$G$130&lt;&gt;"acoes")))*INDEX(Inputs!$K$5:$AJ$130,0,MATCH(X$2,Inputs!$K$4:$AJ$4,0)))+SUMPRODUCT((Inputs!$E$5:$E$130=$B29)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29" s="265" t="e">
        <f>IF(ISNA(MATCH(Y$2,Inputs!$K$4:$AJ$4,0)),NA(),IF(SUMPRODUCT((Inputs!$A$5:$A$130=$B29)*ISNUMBER(INDEX(Inputs!$K$5:$AJ$130,0,MATCH(Y$2,Inputs!$K$4:$AJ$4,0))))+SUMPRODUCT((Inputs!$C$5:$C$130=$B29)*ISNUMBER(INDEX(Inputs!$K$5:$AJ$130,0,MATCH(Y$2,Inputs!$K$4:$AJ$4,0))))+SUMPRODUCT((Inputs!$E$5:$E$130=$B29)*ISNUMBER(INDEX(Inputs!$K$5:$AJ$130,0,MATCH(Y$2,Inputs!$K$4:$AJ$4,0))))=0,NA(),SUMPRODUCT((Inputs!$A$5:$A$130=$B29)*Inputs!$B$5:$B$130*(((Inputs!$G$5:$G$130="moeda")+(Inputs!$G$5:$G$130="acoes"))*Inputs!$B$1+((Inputs!$G$5:$G$130&lt;&gt;"moeda")*(Inputs!$G$5:$G$130&lt;&gt;"acoes")))*INDEX(Inputs!$K$5:$AJ$130,0,MATCH(Y$2,Inputs!$K$4:$AJ$4,0)))+SUMPRODUCT((Inputs!$C$5:$C$130=$B29)*Inputs!$D$5:$D$130*(((Inputs!$G$5:$G$130="moeda")+(Inputs!$G$5:$G$130="acoes"))*Inputs!$B$1+((Inputs!$G$5:$G$130&lt;&gt;"moeda")*(Inputs!$G$5:$G$130&lt;&gt;"acoes")))*INDEX(Inputs!$K$5:$AJ$130,0,MATCH(Y$2,Inputs!$K$4:$AJ$4,0)))+SUMPRODUCT((Inputs!$E$5:$E$130=$B29)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29" s="265" t="e">
        <f>IF(ISNA(MATCH(Z$2,Inputs!$K$4:$AJ$4,0)),NA(),IF(SUMPRODUCT((Inputs!$A$5:$A$130=$B29)*ISNUMBER(INDEX(Inputs!$K$5:$AJ$130,0,MATCH(Z$2,Inputs!$K$4:$AJ$4,0))))+SUMPRODUCT((Inputs!$C$5:$C$130=$B29)*ISNUMBER(INDEX(Inputs!$K$5:$AJ$130,0,MATCH(Z$2,Inputs!$K$4:$AJ$4,0))))+SUMPRODUCT((Inputs!$E$5:$E$130=$B29)*ISNUMBER(INDEX(Inputs!$K$5:$AJ$130,0,MATCH(Z$2,Inputs!$K$4:$AJ$4,0))))=0,NA(),SUMPRODUCT((Inputs!$A$5:$A$130=$B29)*Inputs!$B$5:$B$130*(((Inputs!$G$5:$G$130="moeda")+(Inputs!$G$5:$G$130="acoes"))*Inputs!$B$1+((Inputs!$G$5:$G$130&lt;&gt;"moeda")*(Inputs!$G$5:$G$130&lt;&gt;"acoes")))*INDEX(Inputs!$K$5:$AJ$130,0,MATCH(Z$2,Inputs!$K$4:$AJ$4,0)))+SUMPRODUCT((Inputs!$C$5:$C$130=$B29)*Inputs!$D$5:$D$130*(((Inputs!$G$5:$G$130="moeda")+(Inputs!$G$5:$G$130="acoes"))*Inputs!$B$1+((Inputs!$G$5:$G$130&lt;&gt;"moeda")*(Inputs!$G$5:$G$130&lt;&gt;"acoes")))*INDEX(Inputs!$K$5:$AJ$130,0,MATCH(Z$2,Inputs!$K$4:$AJ$4,0)))+SUMPRODUCT((Inputs!$E$5:$E$130=$B29)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29" s="265" t="e">
        <f>IF(ISNA(MATCH(AA$2,Inputs!$K$4:$AJ$4,0)),NA(),IF(SUMPRODUCT((Inputs!$A$5:$A$130=$B29)*ISNUMBER(INDEX(Inputs!$K$5:$AJ$130,0,MATCH(AA$2,Inputs!$K$4:$AJ$4,0))))+SUMPRODUCT((Inputs!$C$5:$C$130=$B29)*ISNUMBER(INDEX(Inputs!$K$5:$AJ$130,0,MATCH(AA$2,Inputs!$K$4:$AJ$4,0))))+SUMPRODUCT((Inputs!$E$5:$E$130=$B29)*ISNUMBER(INDEX(Inputs!$K$5:$AJ$130,0,MATCH(AA$2,Inputs!$K$4:$AJ$4,0))))=0,NA(),SUMPRODUCT((Inputs!$A$5:$A$130=$B29)*Inputs!$B$5:$B$130*(((Inputs!$G$5:$G$130="moeda")+(Inputs!$G$5:$G$130="acoes"))*Inputs!$B$1+((Inputs!$G$5:$G$130&lt;&gt;"moeda")*(Inputs!$G$5:$G$130&lt;&gt;"acoes")))*INDEX(Inputs!$K$5:$AJ$130,0,MATCH(AA$2,Inputs!$K$4:$AJ$4,0)))+SUMPRODUCT((Inputs!$C$5:$C$130=$B29)*Inputs!$D$5:$D$130*(((Inputs!$G$5:$G$130="moeda")+(Inputs!$G$5:$G$130="acoes"))*Inputs!$B$1+((Inputs!$G$5:$G$130&lt;&gt;"moeda")*(Inputs!$G$5:$G$130&lt;&gt;"acoes")))*INDEX(Inputs!$K$5:$AJ$130,0,MATCH(AA$2,Inputs!$K$4:$AJ$4,0)))+SUMPRODUCT((Inputs!$E$5:$E$130=$B29)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29" s="266" t="e">
        <f>AA29</f>
        <v>#N/A</v>
      </c>
      <c r="AC29" s="265" t="e">
        <f>IF(ISNA(MATCH(AC$2,Inputs!$K$4:$AJ$4,0)),NA(),IF(SUMPRODUCT((Inputs!$A$5:$A$130=$B29)*ISNUMBER(INDEX(Inputs!$K$5:$AJ$130,0,MATCH(AC$2,Inputs!$K$4:$AJ$4,0))))+SUMPRODUCT((Inputs!$C$5:$C$130=$B29)*ISNUMBER(INDEX(Inputs!$K$5:$AJ$130,0,MATCH(AC$2,Inputs!$K$4:$AJ$4,0))))+SUMPRODUCT((Inputs!$E$5:$E$130=$B29)*ISNUMBER(INDEX(Inputs!$K$5:$AJ$130,0,MATCH(AC$2,Inputs!$K$4:$AJ$4,0))))=0,NA(),SUMPRODUCT((Inputs!$A$5:$A$130=$B29)*Inputs!$B$5:$B$130*(((Inputs!$G$5:$G$130="moeda")+(Inputs!$G$5:$G$130="acoes"))*Inputs!$B$1+((Inputs!$G$5:$G$130&lt;&gt;"moeda")*(Inputs!$G$5:$G$130&lt;&gt;"acoes")))*INDEX(Inputs!$K$5:$AJ$130,0,MATCH(AC$2,Inputs!$K$4:$AJ$4,0)))+SUMPRODUCT((Inputs!$C$5:$C$130=$B29)*Inputs!$D$5:$D$130*(((Inputs!$G$5:$G$130="moeda")+(Inputs!$G$5:$G$130="acoes"))*Inputs!$B$1+((Inputs!$G$5:$G$130&lt;&gt;"moeda")*(Inputs!$G$5:$G$130&lt;&gt;"acoes")))*INDEX(Inputs!$K$5:$AJ$130,0,MATCH(AC$2,Inputs!$K$4:$AJ$4,0)))+SUMPRODUCT((Inputs!$E$5:$E$130=$B29)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29" s="265" t="e">
        <f>IF(ISNA(MATCH(AD$2,Inputs!$K$4:$AJ$4,0)),NA(),IF(SUMPRODUCT((Inputs!$A$5:$A$130=$B29)*ISNUMBER(INDEX(Inputs!$K$5:$AJ$130,0,MATCH(AD$2,Inputs!$K$4:$AJ$4,0))))+SUMPRODUCT((Inputs!$C$5:$C$130=$B29)*ISNUMBER(INDEX(Inputs!$K$5:$AJ$130,0,MATCH(AD$2,Inputs!$K$4:$AJ$4,0))))+SUMPRODUCT((Inputs!$E$5:$E$130=$B29)*ISNUMBER(INDEX(Inputs!$K$5:$AJ$130,0,MATCH(AD$2,Inputs!$K$4:$AJ$4,0))))=0,NA(),SUMPRODUCT((Inputs!$A$5:$A$130=$B29)*Inputs!$B$5:$B$130*(((Inputs!$G$5:$G$130="moeda")+(Inputs!$G$5:$G$130="acoes"))*Inputs!$B$1+((Inputs!$G$5:$G$130&lt;&gt;"moeda")*(Inputs!$G$5:$G$130&lt;&gt;"acoes")))*INDEX(Inputs!$K$5:$AJ$130,0,MATCH(AD$2,Inputs!$K$4:$AJ$4,0)))+SUMPRODUCT((Inputs!$C$5:$C$130=$B29)*Inputs!$D$5:$D$130*(((Inputs!$G$5:$G$130="moeda")+(Inputs!$G$5:$G$130="acoes"))*Inputs!$B$1+((Inputs!$G$5:$G$130&lt;&gt;"moeda")*(Inputs!$G$5:$G$130&lt;&gt;"acoes")))*INDEX(Inputs!$K$5:$AJ$130,0,MATCH(AD$2,Inputs!$K$4:$AJ$4,0)))+SUMPRODUCT((Inputs!$E$5:$E$130=$B29)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29" s="265" t="e">
        <f>IF(ISNA(MATCH(AE$2,Inputs!$K$4:$AJ$4,0)),NA(),IF(SUMPRODUCT((Inputs!$A$5:$A$130=$B29)*ISNUMBER(INDEX(Inputs!$K$5:$AJ$130,0,MATCH(AE$2,Inputs!$K$4:$AJ$4,0))))+SUMPRODUCT((Inputs!$C$5:$C$130=$B29)*ISNUMBER(INDEX(Inputs!$K$5:$AJ$130,0,MATCH(AE$2,Inputs!$K$4:$AJ$4,0))))+SUMPRODUCT((Inputs!$E$5:$E$130=$B29)*ISNUMBER(INDEX(Inputs!$K$5:$AJ$130,0,MATCH(AE$2,Inputs!$K$4:$AJ$4,0))))=0,NA(),SUMPRODUCT((Inputs!$A$5:$A$130=$B29)*Inputs!$B$5:$B$130*(((Inputs!$G$5:$G$130="moeda")+(Inputs!$G$5:$G$130="acoes"))*Inputs!$B$1+((Inputs!$G$5:$G$130&lt;&gt;"moeda")*(Inputs!$G$5:$G$130&lt;&gt;"acoes")))*INDEX(Inputs!$K$5:$AJ$130,0,MATCH(AE$2,Inputs!$K$4:$AJ$4,0)))+SUMPRODUCT((Inputs!$C$5:$C$130=$B29)*Inputs!$D$5:$D$130*(((Inputs!$G$5:$G$130="moeda")+(Inputs!$G$5:$G$130="acoes"))*Inputs!$B$1+((Inputs!$G$5:$G$130&lt;&gt;"moeda")*(Inputs!$G$5:$G$130&lt;&gt;"acoes")))*INDEX(Inputs!$K$5:$AJ$130,0,MATCH(AE$2,Inputs!$K$4:$AJ$4,0)))+SUMPRODUCT((Inputs!$E$5:$E$130=$B29)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29" s="265" t="e">
        <f>IF(ISNA(MATCH(AF$2,Inputs!$K$4:$AJ$4,0)),NA(),IF(SUMPRODUCT((Inputs!$A$5:$A$130=$B29)*ISNUMBER(INDEX(Inputs!$K$5:$AJ$130,0,MATCH(AF$2,Inputs!$K$4:$AJ$4,0))))+SUMPRODUCT((Inputs!$C$5:$C$130=$B29)*ISNUMBER(INDEX(Inputs!$K$5:$AJ$130,0,MATCH(AF$2,Inputs!$K$4:$AJ$4,0))))+SUMPRODUCT((Inputs!$E$5:$E$130=$B29)*ISNUMBER(INDEX(Inputs!$K$5:$AJ$130,0,MATCH(AF$2,Inputs!$K$4:$AJ$4,0))))=0,NA(),SUMPRODUCT((Inputs!$A$5:$A$130=$B29)*Inputs!$B$5:$B$130*(((Inputs!$G$5:$G$130="moeda")+(Inputs!$G$5:$G$130="acoes"))*Inputs!$B$1+((Inputs!$G$5:$G$130&lt;&gt;"moeda")*(Inputs!$G$5:$G$130&lt;&gt;"acoes")))*INDEX(Inputs!$K$5:$AJ$130,0,MATCH(AF$2,Inputs!$K$4:$AJ$4,0)))+SUMPRODUCT((Inputs!$C$5:$C$130=$B29)*Inputs!$D$5:$D$130*(((Inputs!$G$5:$G$130="moeda")+(Inputs!$G$5:$G$130="acoes"))*Inputs!$B$1+((Inputs!$G$5:$G$130&lt;&gt;"moeda")*(Inputs!$G$5:$G$130&lt;&gt;"acoes")))*INDEX(Inputs!$K$5:$AJ$130,0,MATCH(AF$2,Inputs!$K$4:$AJ$4,0)))+SUMPRODUCT((Inputs!$E$5:$E$130=$B29)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29" s="266" t="e">
        <f>AF29</f>
        <v>#N/A</v>
      </c>
      <c r="AH29" s="265" t="e">
        <f>IF(ISNA(MATCH(AH$2,Inputs!$K$4:$AJ$4,0)),NA(),IF(SUMPRODUCT((Inputs!$A$5:$A$130=$B29)*ISNUMBER(INDEX(Inputs!$K$5:$AJ$130,0,MATCH(AH$2,Inputs!$K$4:$AJ$4,0))))+SUMPRODUCT((Inputs!$C$5:$C$130=$B29)*ISNUMBER(INDEX(Inputs!$K$5:$AJ$130,0,MATCH(AH$2,Inputs!$K$4:$AJ$4,0))))+SUMPRODUCT((Inputs!$E$5:$E$130=$B29)*ISNUMBER(INDEX(Inputs!$K$5:$AJ$130,0,MATCH(AH$2,Inputs!$K$4:$AJ$4,0))))=0,NA(),SUMPRODUCT((Inputs!$A$5:$A$130=$B29)*Inputs!$B$5:$B$130*(((Inputs!$G$5:$G$130="moeda")+(Inputs!$G$5:$G$130="acoes"))*Inputs!$B$1+((Inputs!$G$5:$G$130&lt;&gt;"moeda")*(Inputs!$G$5:$G$130&lt;&gt;"acoes")))*INDEX(Inputs!$K$5:$AJ$130,0,MATCH(AH$2,Inputs!$K$4:$AJ$4,0)))+SUMPRODUCT((Inputs!$C$5:$C$130=$B29)*Inputs!$D$5:$D$130*(((Inputs!$G$5:$G$130="moeda")+(Inputs!$G$5:$G$130="acoes"))*Inputs!$B$1+((Inputs!$G$5:$G$130&lt;&gt;"moeda")*(Inputs!$G$5:$G$130&lt;&gt;"acoes")))*INDEX(Inputs!$K$5:$AJ$130,0,MATCH(AH$2,Inputs!$K$4:$AJ$4,0)))+SUMPRODUCT((Inputs!$E$5:$E$130=$B29)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29" s="265" t="e">
        <f>IF(ISNA(MATCH(AI$2,Inputs!$K$4:$AJ$4,0)),NA(),IF(SUMPRODUCT((Inputs!$A$5:$A$130=$B29)*ISNUMBER(INDEX(Inputs!$K$5:$AJ$130,0,MATCH(AI$2,Inputs!$K$4:$AJ$4,0))))+SUMPRODUCT((Inputs!$C$5:$C$130=$B29)*ISNUMBER(INDEX(Inputs!$K$5:$AJ$130,0,MATCH(AI$2,Inputs!$K$4:$AJ$4,0))))+SUMPRODUCT((Inputs!$E$5:$E$130=$B29)*ISNUMBER(INDEX(Inputs!$K$5:$AJ$130,0,MATCH(AI$2,Inputs!$K$4:$AJ$4,0))))=0,NA(),SUMPRODUCT((Inputs!$A$5:$A$130=$B29)*Inputs!$B$5:$B$130*(((Inputs!$G$5:$G$130="moeda")+(Inputs!$G$5:$G$130="acoes"))*Inputs!$B$1+((Inputs!$G$5:$G$130&lt;&gt;"moeda")*(Inputs!$G$5:$G$130&lt;&gt;"acoes")))*INDEX(Inputs!$K$5:$AJ$130,0,MATCH(AI$2,Inputs!$K$4:$AJ$4,0)))+SUMPRODUCT((Inputs!$C$5:$C$130=$B29)*Inputs!$D$5:$D$130*(((Inputs!$G$5:$G$130="moeda")+(Inputs!$G$5:$G$130="acoes"))*Inputs!$B$1+((Inputs!$G$5:$G$130&lt;&gt;"moeda")*(Inputs!$G$5:$G$130&lt;&gt;"acoes")))*INDEX(Inputs!$K$5:$AJ$130,0,MATCH(AI$2,Inputs!$K$4:$AJ$4,0)))+SUMPRODUCT((Inputs!$E$5:$E$130=$B29)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29" s="265" t="e">
        <f>IF(ISNA(MATCH(AJ$2,Inputs!$K$4:$AJ$4,0)),NA(),IF(SUMPRODUCT((Inputs!$A$5:$A$130=$B29)*ISNUMBER(INDEX(Inputs!$K$5:$AJ$130,0,MATCH(AJ$2,Inputs!$K$4:$AJ$4,0))))+SUMPRODUCT((Inputs!$C$5:$C$130=$B29)*ISNUMBER(INDEX(Inputs!$K$5:$AJ$130,0,MATCH(AJ$2,Inputs!$K$4:$AJ$4,0))))+SUMPRODUCT((Inputs!$E$5:$E$130=$B29)*ISNUMBER(INDEX(Inputs!$K$5:$AJ$130,0,MATCH(AJ$2,Inputs!$K$4:$AJ$4,0))))=0,NA(),SUMPRODUCT((Inputs!$A$5:$A$130=$B29)*Inputs!$B$5:$B$130*(((Inputs!$G$5:$G$130="moeda")+(Inputs!$G$5:$G$130="acoes"))*Inputs!$B$1+((Inputs!$G$5:$G$130&lt;&gt;"moeda")*(Inputs!$G$5:$G$130&lt;&gt;"acoes")))*INDEX(Inputs!$K$5:$AJ$130,0,MATCH(AJ$2,Inputs!$K$4:$AJ$4,0)))+SUMPRODUCT((Inputs!$C$5:$C$130=$B29)*Inputs!$D$5:$D$130*(((Inputs!$G$5:$G$130="moeda")+(Inputs!$G$5:$G$130="acoes"))*Inputs!$B$1+((Inputs!$G$5:$G$130&lt;&gt;"moeda")*(Inputs!$G$5:$G$130&lt;&gt;"acoes")))*INDEX(Inputs!$K$5:$AJ$130,0,MATCH(AJ$2,Inputs!$K$4:$AJ$4,0)))+SUMPRODUCT((Inputs!$E$5:$E$130=$B29)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29" s="265" t="e">
        <f>IF(ISNA(MATCH(AK$2,Inputs!$K$4:$AJ$4,0)),NA(),IF(SUMPRODUCT((Inputs!$A$5:$A$130=$B29)*ISNUMBER(INDEX(Inputs!$K$5:$AJ$130,0,MATCH(AK$2,Inputs!$K$4:$AJ$4,0))))+SUMPRODUCT((Inputs!$C$5:$C$130=$B29)*ISNUMBER(INDEX(Inputs!$K$5:$AJ$130,0,MATCH(AK$2,Inputs!$K$4:$AJ$4,0))))+SUMPRODUCT((Inputs!$E$5:$E$130=$B29)*ISNUMBER(INDEX(Inputs!$K$5:$AJ$130,0,MATCH(AK$2,Inputs!$K$4:$AJ$4,0))))=0,NA(),SUMPRODUCT((Inputs!$A$5:$A$130=$B29)*Inputs!$B$5:$B$130*(((Inputs!$G$5:$G$130="moeda")+(Inputs!$G$5:$G$130="acoes"))*Inputs!$B$1+((Inputs!$G$5:$G$130&lt;&gt;"moeda")*(Inputs!$G$5:$G$130&lt;&gt;"acoes")))*INDEX(Inputs!$K$5:$AJ$130,0,MATCH(AK$2,Inputs!$K$4:$AJ$4,0)))+SUMPRODUCT((Inputs!$C$5:$C$130=$B29)*Inputs!$D$5:$D$130*(((Inputs!$G$5:$G$130="moeda")+(Inputs!$G$5:$G$130="acoes"))*Inputs!$B$1+((Inputs!$G$5:$G$130&lt;&gt;"moeda")*(Inputs!$G$5:$G$130&lt;&gt;"acoes")))*INDEX(Inputs!$K$5:$AJ$130,0,MATCH(AK$2,Inputs!$K$4:$AJ$4,0)))+SUMPRODUCT((Inputs!$E$5:$E$130=$B29)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29" s="266" t="e">
        <f>AK29</f>
        <v>#N/A</v>
      </c>
    </row>
    <row r="30" ht="12.75" customHeight="1" s="254">
      <c r="B30" s="263" t="n">
        <v>25</v>
      </c>
      <c r="C30" s="268" t="inlineStr">
        <is>
          <t>Taxes payable</t>
        </is>
      </c>
      <c r="D30" s="265">
        <f>IF(ISNA(MATCH(D$2,Inputs!$K$4:$AJ$4,0)),NA(),IF(SUMPRODUCT((Inputs!$A$5:$A$130=$B30)*ISNUMBER(INDEX(Inputs!$K$5:$AJ$130,0,MATCH(D$2,Inputs!$K$4:$AJ$4,0))))+SUMPRODUCT((Inputs!$C$5:$C$130=$B30)*ISNUMBER(INDEX(Inputs!$K$5:$AJ$130,0,MATCH(D$2,Inputs!$K$4:$AJ$4,0))))+SUMPRODUCT((Inputs!$E$5:$E$130=$B30)*ISNUMBER(INDEX(Inputs!$K$5:$AJ$130,0,MATCH(D$2,Inputs!$K$4:$AJ$4,0))))=0,NA(),SUMPRODUCT((Inputs!$A$5:$A$130=$B30)*Inputs!$B$5:$B$130*(((Inputs!$G$5:$G$130="moeda")+(Inputs!$G$5:$G$130="acoes"))*Inputs!$B$1+((Inputs!$G$5:$G$130&lt;&gt;"moeda")*(Inputs!$G$5:$G$130&lt;&gt;"acoes")))*INDEX(Inputs!$K$5:$AJ$130,0,MATCH(D$2,Inputs!$K$4:$AJ$4,0)))+SUMPRODUCT((Inputs!$C$5:$C$130=$B30)*Inputs!$D$5:$D$130*(((Inputs!$G$5:$G$130="moeda")+(Inputs!$G$5:$G$130="acoes"))*Inputs!$B$1+((Inputs!$G$5:$G$130&lt;&gt;"moeda")*(Inputs!$G$5:$G$130&lt;&gt;"acoes")))*INDEX(Inputs!$K$5:$AJ$130,0,MATCH(D$2,Inputs!$K$4:$AJ$4,0)))+SUMPRODUCT((Inputs!$E$5:$E$130=$B30)*Inputs!$F$5:$F$130*(((Inputs!$G$5:$G$130="moeda")+(Inputs!$G$5:$G$130="acoes"))*Inputs!$B$1+((Inputs!$G$5:$G$130&lt;&gt;"moeda")*(Inputs!$G$5:$G$130&lt;&gt;"acoes")))*INDEX(Inputs!$K$5:$AJ$130,0,MATCH(D$2,Inputs!$K$4:$AJ$4,0)))))</f>
        <v>3372</v>
      </c>
      <c r="E30" s="265">
        <f>IF(ISNA(MATCH(E$2,Inputs!$K$4:$AJ$4,0)),NA(),IF(SUMPRODUCT((Inputs!$A$5:$A$130=$B30)*ISNUMBER(INDEX(Inputs!$K$5:$AJ$130,0,MATCH(E$2,Inputs!$K$4:$AJ$4,0))))+SUMPRODUCT((Inputs!$C$5:$C$130=$B30)*ISNUMBER(INDEX(Inputs!$K$5:$AJ$130,0,MATCH(E$2,Inputs!$K$4:$AJ$4,0))))+SUMPRODUCT((Inputs!$E$5:$E$130=$B30)*ISNUMBER(INDEX(Inputs!$K$5:$AJ$130,0,MATCH(E$2,Inputs!$K$4:$AJ$4,0))))=0,NA(),SUMPRODUCT((Inputs!$A$5:$A$130=$B30)*Inputs!$B$5:$B$130*(((Inputs!$G$5:$G$130="moeda")+(Inputs!$G$5:$G$130="acoes"))*Inputs!$B$1+((Inputs!$G$5:$G$130&lt;&gt;"moeda")*(Inputs!$G$5:$G$130&lt;&gt;"acoes")))*INDEX(Inputs!$K$5:$AJ$130,0,MATCH(E$2,Inputs!$K$4:$AJ$4,0)))+SUMPRODUCT((Inputs!$C$5:$C$130=$B30)*Inputs!$D$5:$D$130*(((Inputs!$G$5:$G$130="moeda")+(Inputs!$G$5:$G$130="acoes"))*Inputs!$B$1+((Inputs!$G$5:$G$130&lt;&gt;"moeda")*(Inputs!$G$5:$G$130&lt;&gt;"acoes")))*INDEX(Inputs!$K$5:$AJ$130,0,MATCH(E$2,Inputs!$K$4:$AJ$4,0)))+SUMPRODUCT((Inputs!$E$5:$E$130=$B30)*Inputs!$F$5:$F$130*(((Inputs!$G$5:$G$130="moeda")+(Inputs!$G$5:$G$130="acoes"))*Inputs!$B$1+((Inputs!$G$5:$G$130&lt;&gt;"moeda")*(Inputs!$G$5:$G$130&lt;&gt;"acoes")))*INDEX(Inputs!$K$5:$AJ$130,0,MATCH(E$2,Inputs!$K$4:$AJ$4,0)))))</f>
        <v>2837</v>
      </c>
      <c r="F30" s="265">
        <f>IF(ISNA(MATCH(F$2,Inputs!$K$4:$AJ$4,0)),NA(),IF(SUMPRODUCT((Inputs!$A$5:$A$130=$B30)*ISNUMBER(INDEX(Inputs!$K$5:$AJ$130,0,MATCH(F$2,Inputs!$K$4:$AJ$4,0))))+SUMPRODUCT((Inputs!$C$5:$C$130=$B30)*ISNUMBER(INDEX(Inputs!$K$5:$AJ$130,0,MATCH(F$2,Inputs!$K$4:$AJ$4,0))))+SUMPRODUCT((Inputs!$E$5:$E$130=$B30)*ISNUMBER(INDEX(Inputs!$K$5:$AJ$130,0,MATCH(F$2,Inputs!$K$4:$AJ$4,0))))=0,NA(),SUMPRODUCT((Inputs!$A$5:$A$130=$B30)*Inputs!$B$5:$B$130*(((Inputs!$G$5:$G$130="moeda")+(Inputs!$G$5:$G$130="acoes"))*Inputs!$B$1+((Inputs!$G$5:$G$130&lt;&gt;"moeda")*(Inputs!$G$5:$G$130&lt;&gt;"acoes")))*INDEX(Inputs!$K$5:$AJ$130,0,MATCH(F$2,Inputs!$K$4:$AJ$4,0)))+SUMPRODUCT((Inputs!$C$5:$C$130=$B30)*Inputs!$D$5:$D$130*(((Inputs!$G$5:$G$130="moeda")+(Inputs!$G$5:$G$130="acoes"))*Inputs!$B$1+((Inputs!$G$5:$G$130&lt;&gt;"moeda")*(Inputs!$G$5:$G$130&lt;&gt;"acoes")))*INDEX(Inputs!$K$5:$AJ$130,0,MATCH(F$2,Inputs!$K$4:$AJ$4,0)))+SUMPRODUCT((Inputs!$E$5:$E$130=$B30)*Inputs!$F$5:$F$130*(((Inputs!$G$5:$G$130="moeda")+(Inputs!$G$5:$G$130="acoes"))*Inputs!$B$1+((Inputs!$G$5:$G$130&lt;&gt;"moeda")*(Inputs!$G$5:$G$130&lt;&gt;"acoes")))*INDEX(Inputs!$K$5:$AJ$130,0,MATCH(F$2,Inputs!$K$4:$AJ$4,0)))))</f>
        <v>2809</v>
      </c>
      <c r="G30" s="265">
        <f>IF(ISNA(MATCH(G$2,Inputs!$K$4:$AJ$4,0)),NA(),IF(SUMPRODUCT((Inputs!$A$5:$A$130=$B30)*ISNUMBER(INDEX(Inputs!$K$5:$AJ$130,0,MATCH(G$2,Inputs!$K$4:$AJ$4,0))))+SUMPRODUCT((Inputs!$C$5:$C$130=$B30)*ISNUMBER(INDEX(Inputs!$K$5:$AJ$130,0,MATCH(G$2,Inputs!$K$4:$AJ$4,0))))+SUMPRODUCT((Inputs!$E$5:$E$130=$B30)*ISNUMBER(INDEX(Inputs!$K$5:$AJ$130,0,MATCH(G$2,Inputs!$K$4:$AJ$4,0))))=0,NA(),SUMPRODUCT((Inputs!$A$5:$A$130=$B30)*Inputs!$B$5:$B$130*(((Inputs!$G$5:$G$130="moeda")+(Inputs!$G$5:$G$130="acoes"))*Inputs!$B$1+((Inputs!$G$5:$G$130&lt;&gt;"moeda")*(Inputs!$G$5:$G$130&lt;&gt;"acoes")))*INDEX(Inputs!$K$5:$AJ$130,0,MATCH(G$2,Inputs!$K$4:$AJ$4,0)))+SUMPRODUCT((Inputs!$C$5:$C$130=$B30)*Inputs!$D$5:$D$130*(((Inputs!$G$5:$G$130="moeda")+(Inputs!$G$5:$G$130="acoes"))*Inputs!$B$1+((Inputs!$G$5:$G$130&lt;&gt;"moeda")*(Inputs!$G$5:$G$130&lt;&gt;"acoes")))*INDEX(Inputs!$K$5:$AJ$130,0,MATCH(G$2,Inputs!$K$4:$AJ$4,0)))+SUMPRODUCT((Inputs!$E$5:$E$130=$B30)*Inputs!$F$5:$F$130*(((Inputs!$G$5:$G$130="moeda")+(Inputs!$G$5:$G$130="acoes"))*Inputs!$B$1+((Inputs!$G$5:$G$130&lt;&gt;"moeda")*(Inputs!$G$5:$G$130&lt;&gt;"acoes")))*INDEX(Inputs!$K$5:$AJ$130,0,MATCH(G$2,Inputs!$K$4:$AJ$4,0)))))</f>
        <v>3254</v>
      </c>
      <c r="H30" s="266">
        <f>G30</f>
        <v>3254</v>
      </c>
      <c r="I30" s="265">
        <f>IF(ISNA(MATCH(I$2,Inputs!$K$4:$AJ$4,0)),NA(),IF(SUMPRODUCT((Inputs!$A$5:$A$130=$B30)*ISNUMBER(INDEX(Inputs!$K$5:$AJ$130,0,MATCH(I$2,Inputs!$K$4:$AJ$4,0))))+SUMPRODUCT((Inputs!$C$5:$C$130=$B30)*ISNUMBER(INDEX(Inputs!$K$5:$AJ$130,0,MATCH(I$2,Inputs!$K$4:$AJ$4,0))))+SUMPRODUCT((Inputs!$E$5:$E$130=$B30)*ISNUMBER(INDEX(Inputs!$K$5:$AJ$130,0,MATCH(I$2,Inputs!$K$4:$AJ$4,0))))=0,NA(),SUMPRODUCT((Inputs!$A$5:$A$130=$B30)*Inputs!$B$5:$B$130*(((Inputs!$G$5:$G$130="moeda")+(Inputs!$G$5:$G$130="acoes"))*Inputs!$B$1+((Inputs!$G$5:$G$130&lt;&gt;"moeda")*(Inputs!$G$5:$G$130&lt;&gt;"acoes")))*INDEX(Inputs!$K$5:$AJ$130,0,MATCH(I$2,Inputs!$K$4:$AJ$4,0)))+SUMPRODUCT((Inputs!$C$5:$C$130=$B30)*Inputs!$D$5:$D$130*(((Inputs!$G$5:$G$130="moeda")+(Inputs!$G$5:$G$130="acoes"))*Inputs!$B$1+((Inputs!$G$5:$G$130&lt;&gt;"moeda")*(Inputs!$G$5:$G$130&lt;&gt;"acoes")))*INDEX(Inputs!$K$5:$AJ$130,0,MATCH(I$2,Inputs!$K$4:$AJ$4,0)))+SUMPRODUCT((Inputs!$E$5:$E$130=$B30)*Inputs!$F$5:$F$130*(((Inputs!$G$5:$G$130="moeda")+(Inputs!$G$5:$G$130="acoes"))*Inputs!$B$1+((Inputs!$G$5:$G$130&lt;&gt;"moeda")*(Inputs!$G$5:$G$130&lt;&gt;"acoes")))*INDEX(Inputs!$K$5:$AJ$130,0,MATCH(I$2,Inputs!$K$4:$AJ$4,0)))))</f>
        <v>3752</v>
      </c>
      <c r="J30" s="265">
        <f>IF(ISNA(MATCH(J$2,Inputs!$K$4:$AJ$4,0)),NA(),IF(SUMPRODUCT((Inputs!$A$5:$A$130=$B30)*ISNUMBER(INDEX(Inputs!$K$5:$AJ$130,0,MATCH(J$2,Inputs!$K$4:$AJ$4,0))))+SUMPRODUCT((Inputs!$C$5:$C$130=$B30)*ISNUMBER(INDEX(Inputs!$K$5:$AJ$130,0,MATCH(J$2,Inputs!$K$4:$AJ$4,0))))+SUMPRODUCT((Inputs!$E$5:$E$130=$B30)*ISNUMBER(INDEX(Inputs!$K$5:$AJ$130,0,MATCH(J$2,Inputs!$K$4:$AJ$4,0))))=0,NA(),SUMPRODUCT((Inputs!$A$5:$A$130=$B30)*Inputs!$B$5:$B$130*(((Inputs!$G$5:$G$130="moeda")+(Inputs!$G$5:$G$130="acoes"))*Inputs!$B$1+((Inputs!$G$5:$G$130&lt;&gt;"moeda")*(Inputs!$G$5:$G$130&lt;&gt;"acoes")))*INDEX(Inputs!$K$5:$AJ$130,0,MATCH(J$2,Inputs!$K$4:$AJ$4,0)))+SUMPRODUCT((Inputs!$C$5:$C$130=$B30)*Inputs!$D$5:$D$130*(((Inputs!$G$5:$G$130="moeda")+(Inputs!$G$5:$G$130="acoes"))*Inputs!$B$1+((Inputs!$G$5:$G$130&lt;&gt;"moeda")*(Inputs!$G$5:$G$130&lt;&gt;"acoes")))*INDEX(Inputs!$K$5:$AJ$130,0,MATCH(J$2,Inputs!$K$4:$AJ$4,0)))+SUMPRODUCT((Inputs!$E$5:$E$130=$B30)*Inputs!$F$5:$F$130*(((Inputs!$G$5:$G$130="moeda")+(Inputs!$G$5:$G$130="acoes"))*Inputs!$B$1+((Inputs!$G$5:$G$130&lt;&gt;"moeda")*(Inputs!$G$5:$G$130&lt;&gt;"acoes")))*INDEX(Inputs!$K$5:$AJ$130,0,MATCH(J$2,Inputs!$K$4:$AJ$4,0)))))</f>
        <v>4506</v>
      </c>
      <c r="K30" s="265">
        <f>IF(ISNA(MATCH(K$2,Inputs!$K$4:$AJ$4,0)),NA(),IF(SUMPRODUCT((Inputs!$A$5:$A$130=$B30)*ISNUMBER(INDEX(Inputs!$K$5:$AJ$130,0,MATCH(K$2,Inputs!$K$4:$AJ$4,0))))+SUMPRODUCT((Inputs!$C$5:$C$130=$B30)*ISNUMBER(INDEX(Inputs!$K$5:$AJ$130,0,MATCH(K$2,Inputs!$K$4:$AJ$4,0))))+SUMPRODUCT((Inputs!$E$5:$E$130=$B30)*ISNUMBER(INDEX(Inputs!$K$5:$AJ$130,0,MATCH(K$2,Inputs!$K$4:$AJ$4,0))))=0,NA(),SUMPRODUCT((Inputs!$A$5:$A$130=$B30)*Inputs!$B$5:$B$130*(((Inputs!$G$5:$G$130="moeda")+(Inputs!$G$5:$G$130="acoes"))*Inputs!$B$1+((Inputs!$G$5:$G$130&lt;&gt;"moeda")*(Inputs!$G$5:$G$130&lt;&gt;"acoes")))*INDEX(Inputs!$K$5:$AJ$130,0,MATCH(K$2,Inputs!$K$4:$AJ$4,0)))+SUMPRODUCT((Inputs!$C$5:$C$130=$B30)*Inputs!$D$5:$D$130*(((Inputs!$G$5:$G$130="moeda")+(Inputs!$G$5:$G$130="acoes"))*Inputs!$B$1+((Inputs!$G$5:$G$130&lt;&gt;"moeda")*(Inputs!$G$5:$G$130&lt;&gt;"acoes")))*INDEX(Inputs!$K$5:$AJ$130,0,MATCH(K$2,Inputs!$K$4:$AJ$4,0)))+SUMPRODUCT((Inputs!$E$5:$E$130=$B30)*Inputs!$F$5:$F$130*(((Inputs!$G$5:$G$130="moeda")+(Inputs!$G$5:$G$130="acoes"))*Inputs!$B$1+((Inputs!$G$5:$G$130&lt;&gt;"moeda")*(Inputs!$G$5:$G$130&lt;&gt;"acoes")))*INDEX(Inputs!$K$5:$AJ$130,0,MATCH(K$2,Inputs!$K$4:$AJ$4,0)))))</f>
        <v>4332</v>
      </c>
      <c r="L30" s="265">
        <f>IF(ISNA(MATCH(L$2,Inputs!$K$4:$AJ$4,0)),NA(),IF(SUMPRODUCT((Inputs!$A$5:$A$130=$B30)*ISNUMBER(INDEX(Inputs!$K$5:$AJ$130,0,MATCH(L$2,Inputs!$K$4:$AJ$4,0))))+SUMPRODUCT((Inputs!$C$5:$C$130=$B30)*ISNUMBER(INDEX(Inputs!$K$5:$AJ$130,0,MATCH(L$2,Inputs!$K$4:$AJ$4,0))))+SUMPRODUCT((Inputs!$E$5:$E$130=$B30)*ISNUMBER(INDEX(Inputs!$K$5:$AJ$130,0,MATCH(L$2,Inputs!$K$4:$AJ$4,0))))=0,NA(),SUMPRODUCT((Inputs!$A$5:$A$130=$B30)*Inputs!$B$5:$B$130*(((Inputs!$G$5:$G$130="moeda")+(Inputs!$G$5:$G$130="acoes"))*Inputs!$B$1+((Inputs!$G$5:$G$130&lt;&gt;"moeda")*(Inputs!$G$5:$G$130&lt;&gt;"acoes")))*INDEX(Inputs!$K$5:$AJ$130,0,MATCH(L$2,Inputs!$K$4:$AJ$4,0)))+SUMPRODUCT((Inputs!$C$5:$C$130=$B30)*Inputs!$D$5:$D$130*(((Inputs!$G$5:$G$130="moeda")+(Inputs!$G$5:$G$130="acoes"))*Inputs!$B$1+((Inputs!$G$5:$G$130&lt;&gt;"moeda")*(Inputs!$G$5:$G$130&lt;&gt;"acoes")))*INDEX(Inputs!$K$5:$AJ$130,0,MATCH(L$2,Inputs!$K$4:$AJ$4,0)))+SUMPRODUCT((Inputs!$E$5:$E$130=$B30)*Inputs!$F$5:$F$130*(((Inputs!$G$5:$G$130="moeda")+(Inputs!$G$5:$G$130="acoes"))*Inputs!$B$1+((Inputs!$G$5:$G$130&lt;&gt;"moeda")*(Inputs!$G$5:$G$130&lt;&gt;"acoes")))*INDEX(Inputs!$K$5:$AJ$130,0,MATCH(L$2,Inputs!$K$4:$AJ$4,0)))))</f>
        <v>4869</v>
      </c>
      <c r="M30" s="266">
        <f>L30</f>
        <v>4869</v>
      </c>
      <c r="N30" s="265">
        <f>IF(ISNA(MATCH(N$2,Inputs!$K$4:$AJ$4,0)),NA(),IF(SUMPRODUCT((Inputs!$A$5:$A$130=$B30)*ISNUMBER(INDEX(Inputs!$K$5:$AJ$130,0,MATCH(N$2,Inputs!$K$4:$AJ$4,0))))+SUMPRODUCT((Inputs!$C$5:$C$130=$B30)*ISNUMBER(INDEX(Inputs!$K$5:$AJ$130,0,MATCH(N$2,Inputs!$K$4:$AJ$4,0))))+SUMPRODUCT((Inputs!$E$5:$E$130=$B30)*ISNUMBER(INDEX(Inputs!$K$5:$AJ$130,0,MATCH(N$2,Inputs!$K$4:$AJ$4,0))))=0,NA(),SUMPRODUCT((Inputs!$A$5:$A$130=$B30)*Inputs!$B$5:$B$130*(((Inputs!$G$5:$G$130="moeda")+(Inputs!$G$5:$G$130="acoes"))*Inputs!$B$1+((Inputs!$G$5:$G$130&lt;&gt;"moeda")*(Inputs!$G$5:$G$130&lt;&gt;"acoes")))*INDEX(Inputs!$K$5:$AJ$130,0,MATCH(N$2,Inputs!$K$4:$AJ$4,0)))+SUMPRODUCT((Inputs!$C$5:$C$130=$B30)*Inputs!$D$5:$D$130*(((Inputs!$G$5:$G$130="moeda")+(Inputs!$G$5:$G$130="acoes"))*Inputs!$B$1+((Inputs!$G$5:$G$130&lt;&gt;"moeda")*(Inputs!$G$5:$G$130&lt;&gt;"acoes")))*INDEX(Inputs!$K$5:$AJ$130,0,MATCH(N$2,Inputs!$K$4:$AJ$4,0)))+SUMPRODUCT((Inputs!$E$5:$E$130=$B30)*Inputs!$F$5:$F$130*(((Inputs!$G$5:$G$130="moeda")+(Inputs!$G$5:$G$130="acoes"))*Inputs!$B$1+((Inputs!$G$5:$G$130&lt;&gt;"moeda")*(Inputs!$G$5:$G$130&lt;&gt;"acoes")))*INDEX(Inputs!$K$5:$AJ$130,0,MATCH(N$2,Inputs!$K$4:$AJ$4,0)))))</f>
        <v>5924</v>
      </c>
      <c r="O30" s="265">
        <f>IF(ISNA(MATCH(O$2,Inputs!$K$4:$AJ$4,0)),NA(),IF(SUMPRODUCT((Inputs!$A$5:$A$130=$B30)*ISNUMBER(INDEX(Inputs!$K$5:$AJ$130,0,MATCH(O$2,Inputs!$K$4:$AJ$4,0))))+SUMPRODUCT((Inputs!$C$5:$C$130=$B30)*ISNUMBER(INDEX(Inputs!$K$5:$AJ$130,0,MATCH(O$2,Inputs!$K$4:$AJ$4,0))))+SUMPRODUCT((Inputs!$E$5:$E$130=$B30)*ISNUMBER(INDEX(Inputs!$K$5:$AJ$130,0,MATCH(O$2,Inputs!$K$4:$AJ$4,0))))=0,NA(),SUMPRODUCT((Inputs!$A$5:$A$130=$B30)*Inputs!$B$5:$B$130*(((Inputs!$G$5:$G$130="moeda")+(Inputs!$G$5:$G$130="acoes"))*Inputs!$B$1+((Inputs!$G$5:$G$130&lt;&gt;"moeda")*(Inputs!$G$5:$G$130&lt;&gt;"acoes")))*INDEX(Inputs!$K$5:$AJ$130,0,MATCH(O$2,Inputs!$K$4:$AJ$4,0)))+SUMPRODUCT((Inputs!$C$5:$C$130=$B30)*Inputs!$D$5:$D$130*(((Inputs!$G$5:$G$130="moeda")+(Inputs!$G$5:$G$130="acoes"))*Inputs!$B$1+((Inputs!$G$5:$G$130&lt;&gt;"moeda")*(Inputs!$G$5:$G$130&lt;&gt;"acoes")))*INDEX(Inputs!$K$5:$AJ$130,0,MATCH(O$2,Inputs!$K$4:$AJ$4,0)))+SUMPRODUCT((Inputs!$E$5:$E$130=$B30)*Inputs!$F$5:$F$130*(((Inputs!$G$5:$G$130="moeda")+(Inputs!$G$5:$G$130="acoes"))*Inputs!$B$1+((Inputs!$G$5:$G$130&lt;&gt;"moeda")*(Inputs!$G$5:$G$130&lt;&gt;"acoes")))*INDEX(Inputs!$K$5:$AJ$130,0,MATCH(O$2,Inputs!$K$4:$AJ$4,0)))))</f>
        <v>4462</v>
      </c>
      <c r="P30" s="265">
        <f>IF(ISNA(MATCH(P$2,Inputs!$K$4:$AJ$4,0)),NA(),IF(SUMPRODUCT((Inputs!$A$5:$A$130=$B30)*ISNUMBER(INDEX(Inputs!$K$5:$AJ$130,0,MATCH(P$2,Inputs!$K$4:$AJ$4,0))))+SUMPRODUCT((Inputs!$C$5:$C$130=$B30)*ISNUMBER(INDEX(Inputs!$K$5:$AJ$130,0,MATCH(P$2,Inputs!$K$4:$AJ$4,0))))+SUMPRODUCT((Inputs!$E$5:$E$130=$B30)*ISNUMBER(INDEX(Inputs!$K$5:$AJ$130,0,MATCH(P$2,Inputs!$K$4:$AJ$4,0))))=0,NA(),SUMPRODUCT((Inputs!$A$5:$A$130=$B30)*Inputs!$B$5:$B$130*(((Inputs!$G$5:$G$130="moeda")+(Inputs!$G$5:$G$130="acoes"))*Inputs!$B$1+((Inputs!$G$5:$G$130&lt;&gt;"moeda")*(Inputs!$G$5:$G$130&lt;&gt;"acoes")))*INDEX(Inputs!$K$5:$AJ$130,0,MATCH(P$2,Inputs!$K$4:$AJ$4,0)))+SUMPRODUCT((Inputs!$C$5:$C$130=$B30)*Inputs!$D$5:$D$130*(((Inputs!$G$5:$G$130="moeda")+(Inputs!$G$5:$G$130="acoes"))*Inputs!$B$1+((Inputs!$G$5:$G$130&lt;&gt;"moeda")*(Inputs!$G$5:$G$130&lt;&gt;"acoes")))*INDEX(Inputs!$K$5:$AJ$130,0,MATCH(P$2,Inputs!$K$4:$AJ$4,0)))+SUMPRODUCT((Inputs!$E$5:$E$130=$B30)*Inputs!$F$5:$F$130*(((Inputs!$G$5:$G$130="moeda")+(Inputs!$G$5:$G$130="acoes"))*Inputs!$B$1+((Inputs!$G$5:$G$130&lt;&gt;"moeda")*(Inputs!$G$5:$G$130&lt;&gt;"acoes")))*INDEX(Inputs!$K$5:$AJ$130,0,MATCH(P$2,Inputs!$K$4:$AJ$4,0)))))</f>
        <v>4372</v>
      </c>
      <c r="Q30" s="265">
        <f>IF(ISNA(MATCH(Q$2,Inputs!$K$4:$AJ$4,0)),NA(),IF(SUMPRODUCT((Inputs!$A$5:$A$130=$B30)*ISNUMBER(INDEX(Inputs!$K$5:$AJ$130,0,MATCH(Q$2,Inputs!$K$4:$AJ$4,0))))+SUMPRODUCT((Inputs!$C$5:$C$130=$B30)*ISNUMBER(INDEX(Inputs!$K$5:$AJ$130,0,MATCH(Q$2,Inputs!$K$4:$AJ$4,0))))+SUMPRODUCT((Inputs!$E$5:$E$130=$B30)*ISNUMBER(INDEX(Inputs!$K$5:$AJ$130,0,MATCH(Q$2,Inputs!$K$4:$AJ$4,0))))=0,NA(),SUMPRODUCT((Inputs!$A$5:$A$130=$B30)*Inputs!$B$5:$B$130*(((Inputs!$G$5:$G$130="moeda")+(Inputs!$G$5:$G$130="acoes"))*Inputs!$B$1+((Inputs!$G$5:$G$130&lt;&gt;"moeda")*(Inputs!$G$5:$G$130&lt;&gt;"acoes")))*INDEX(Inputs!$K$5:$AJ$130,0,MATCH(Q$2,Inputs!$K$4:$AJ$4,0)))+SUMPRODUCT((Inputs!$C$5:$C$130=$B30)*Inputs!$D$5:$D$130*(((Inputs!$G$5:$G$130="moeda")+(Inputs!$G$5:$G$130="acoes"))*Inputs!$B$1+((Inputs!$G$5:$G$130&lt;&gt;"moeda")*(Inputs!$G$5:$G$130&lt;&gt;"acoes")))*INDEX(Inputs!$K$5:$AJ$130,0,MATCH(Q$2,Inputs!$K$4:$AJ$4,0)))+SUMPRODUCT((Inputs!$E$5:$E$130=$B30)*Inputs!$F$5:$F$130*(((Inputs!$G$5:$G$130="moeda")+(Inputs!$G$5:$G$130="acoes"))*Inputs!$B$1+((Inputs!$G$5:$G$130&lt;&gt;"moeda")*(Inputs!$G$5:$G$130&lt;&gt;"acoes")))*INDEX(Inputs!$K$5:$AJ$130,0,MATCH(Q$2,Inputs!$K$4:$AJ$4,0)))))</f>
        <v>3422</v>
      </c>
      <c r="R30" s="266">
        <f>Q30</f>
        <v>3422</v>
      </c>
      <c r="S30" s="265">
        <f>IF(ISNA(MATCH(S$2,Inputs!$K$4:$AJ$4,0)),NA(),IF(SUMPRODUCT((Inputs!$A$5:$A$130=$B30)*ISNUMBER(INDEX(Inputs!$K$5:$AJ$130,0,MATCH(S$2,Inputs!$K$4:$AJ$4,0))))+SUMPRODUCT((Inputs!$C$5:$C$130=$B30)*ISNUMBER(INDEX(Inputs!$K$5:$AJ$130,0,MATCH(S$2,Inputs!$K$4:$AJ$4,0))))+SUMPRODUCT((Inputs!$E$5:$E$130=$B30)*ISNUMBER(INDEX(Inputs!$K$5:$AJ$130,0,MATCH(S$2,Inputs!$K$4:$AJ$4,0))))=0,NA(),SUMPRODUCT((Inputs!$A$5:$A$130=$B30)*Inputs!$B$5:$B$130*(((Inputs!$G$5:$G$130="moeda")+(Inputs!$G$5:$G$130="acoes"))*Inputs!$B$1+((Inputs!$G$5:$G$130&lt;&gt;"moeda")*(Inputs!$G$5:$G$130&lt;&gt;"acoes")))*INDEX(Inputs!$K$5:$AJ$130,0,MATCH(S$2,Inputs!$K$4:$AJ$4,0)))+SUMPRODUCT((Inputs!$C$5:$C$130=$B30)*Inputs!$D$5:$D$130*(((Inputs!$G$5:$G$130="moeda")+(Inputs!$G$5:$G$130="acoes"))*Inputs!$B$1+((Inputs!$G$5:$G$130&lt;&gt;"moeda")*(Inputs!$G$5:$G$130&lt;&gt;"acoes")))*INDEX(Inputs!$K$5:$AJ$130,0,MATCH(S$2,Inputs!$K$4:$AJ$4,0)))+SUMPRODUCT((Inputs!$E$5:$E$130=$B30)*Inputs!$F$5:$F$130*(((Inputs!$G$5:$G$130="moeda")+(Inputs!$G$5:$G$130="acoes"))*Inputs!$B$1+((Inputs!$G$5:$G$130&lt;&gt;"moeda")*(Inputs!$G$5:$G$130&lt;&gt;"acoes")))*INDEX(Inputs!$K$5:$AJ$130,0,MATCH(S$2,Inputs!$K$4:$AJ$4,0)))))</f>
        <v>3940</v>
      </c>
      <c r="T30" s="265">
        <f>IF(ISNA(MATCH(T$2,Inputs!$K$4:$AJ$4,0)),NA(),IF(SUMPRODUCT((Inputs!$A$5:$A$130=$B30)*ISNUMBER(INDEX(Inputs!$K$5:$AJ$130,0,MATCH(T$2,Inputs!$K$4:$AJ$4,0))))+SUMPRODUCT((Inputs!$C$5:$C$130=$B30)*ISNUMBER(INDEX(Inputs!$K$5:$AJ$130,0,MATCH(T$2,Inputs!$K$4:$AJ$4,0))))+SUMPRODUCT((Inputs!$E$5:$E$130=$B30)*ISNUMBER(INDEX(Inputs!$K$5:$AJ$130,0,MATCH(T$2,Inputs!$K$4:$AJ$4,0))))=0,NA(),SUMPRODUCT((Inputs!$A$5:$A$130=$B30)*Inputs!$B$5:$B$130*(((Inputs!$G$5:$G$130="moeda")+(Inputs!$G$5:$G$130="acoes"))*Inputs!$B$1+((Inputs!$G$5:$G$130&lt;&gt;"moeda")*(Inputs!$G$5:$G$130&lt;&gt;"acoes")))*INDEX(Inputs!$K$5:$AJ$130,0,MATCH(T$2,Inputs!$K$4:$AJ$4,0)))+SUMPRODUCT((Inputs!$C$5:$C$130=$B30)*Inputs!$D$5:$D$130*(((Inputs!$G$5:$G$130="moeda")+(Inputs!$G$5:$G$130="acoes"))*Inputs!$B$1+((Inputs!$G$5:$G$130&lt;&gt;"moeda")*(Inputs!$G$5:$G$130&lt;&gt;"acoes")))*INDEX(Inputs!$K$5:$AJ$130,0,MATCH(T$2,Inputs!$K$4:$AJ$4,0)))+SUMPRODUCT((Inputs!$E$5:$E$130=$B30)*Inputs!$F$5:$F$130*(((Inputs!$G$5:$G$130="moeda")+(Inputs!$G$5:$G$130="acoes"))*Inputs!$B$1+((Inputs!$G$5:$G$130&lt;&gt;"moeda")*(Inputs!$G$5:$G$130&lt;&gt;"acoes")))*INDEX(Inputs!$K$5:$AJ$130,0,MATCH(T$2,Inputs!$K$4:$AJ$4,0)))))</f>
        <v>4087</v>
      </c>
      <c r="U30" s="265">
        <f>IF(ISNA(MATCH(U$2,Inputs!$K$4:$AJ$4,0)),NA(),IF(SUMPRODUCT((Inputs!$A$5:$A$130=$B30)*ISNUMBER(INDEX(Inputs!$K$5:$AJ$130,0,MATCH(U$2,Inputs!$K$4:$AJ$4,0))))+SUMPRODUCT((Inputs!$C$5:$C$130=$B30)*ISNUMBER(INDEX(Inputs!$K$5:$AJ$130,0,MATCH(U$2,Inputs!$K$4:$AJ$4,0))))+SUMPRODUCT((Inputs!$E$5:$E$130=$B30)*ISNUMBER(INDEX(Inputs!$K$5:$AJ$130,0,MATCH(U$2,Inputs!$K$4:$AJ$4,0))))=0,NA(),SUMPRODUCT((Inputs!$A$5:$A$130=$B30)*Inputs!$B$5:$B$130*(((Inputs!$G$5:$G$130="moeda")+(Inputs!$G$5:$G$130="acoes"))*Inputs!$B$1+((Inputs!$G$5:$G$130&lt;&gt;"moeda")*(Inputs!$G$5:$G$130&lt;&gt;"acoes")))*INDEX(Inputs!$K$5:$AJ$130,0,MATCH(U$2,Inputs!$K$4:$AJ$4,0)))+SUMPRODUCT((Inputs!$C$5:$C$130=$B30)*Inputs!$D$5:$D$130*(((Inputs!$G$5:$G$130="moeda")+(Inputs!$G$5:$G$130="acoes"))*Inputs!$B$1+((Inputs!$G$5:$G$130&lt;&gt;"moeda")*(Inputs!$G$5:$G$130&lt;&gt;"acoes")))*INDEX(Inputs!$K$5:$AJ$130,0,MATCH(U$2,Inputs!$K$4:$AJ$4,0)))+SUMPRODUCT((Inputs!$E$5:$E$130=$B30)*Inputs!$F$5:$F$130*(((Inputs!$G$5:$G$130="moeda")+(Inputs!$G$5:$G$130="acoes"))*Inputs!$B$1+((Inputs!$G$5:$G$130&lt;&gt;"moeda")*(Inputs!$G$5:$G$130&lt;&gt;"acoes")))*INDEX(Inputs!$K$5:$AJ$130,0,MATCH(U$2,Inputs!$K$4:$AJ$4,0)))))</f>
        <v>4289</v>
      </c>
      <c r="V30" s="265">
        <f>IF(ISNA(MATCH(V$2,Inputs!$K$4:$AJ$4,0)),NA(),IF(SUMPRODUCT((Inputs!$A$5:$A$130=$B30)*ISNUMBER(INDEX(Inputs!$K$5:$AJ$130,0,MATCH(V$2,Inputs!$K$4:$AJ$4,0))))+SUMPRODUCT((Inputs!$C$5:$C$130=$B30)*ISNUMBER(INDEX(Inputs!$K$5:$AJ$130,0,MATCH(V$2,Inputs!$K$4:$AJ$4,0))))+SUMPRODUCT((Inputs!$E$5:$E$130=$B30)*ISNUMBER(INDEX(Inputs!$K$5:$AJ$130,0,MATCH(V$2,Inputs!$K$4:$AJ$4,0))))=0,NA(),SUMPRODUCT((Inputs!$A$5:$A$130=$B30)*Inputs!$B$5:$B$130*(((Inputs!$G$5:$G$130="moeda")+(Inputs!$G$5:$G$130="acoes"))*Inputs!$B$1+((Inputs!$G$5:$G$130&lt;&gt;"moeda")*(Inputs!$G$5:$G$130&lt;&gt;"acoes")))*INDEX(Inputs!$K$5:$AJ$130,0,MATCH(V$2,Inputs!$K$4:$AJ$4,0)))+SUMPRODUCT((Inputs!$C$5:$C$130=$B30)*Inputs!$D$5:$D$130*(((Inputs!$G$5:$G$130="moeda")+(Inputs!$G$5:$G$130="acoes"))*Inputs!$B$1+((Inputs!$G$5:$G$130&lt;&gt;"moeda")*(Inputs!$G$5:$G$130&lt;&gt;"acoes")))*INDEX(Inputs!$K$5:$AJ$130,0,MATCH(V$2,Inputs!$K$4:$AJ$4,0)))+SUMPRODUCT((Inputs!$E$5:$E$130=$B30)*Inputs!$F$5:$F$130*(((Inputs!$G$5:$G$130="moeda")+(Inputs!$G$5:$G$130="acoes"))*Inputs!$B$1+((Inputs!$G$5:$G$130&lt;&gt;"moeda")*(Inputs!$G$5:$G$130&lt;&gt;"acoes")))*INDEX(Inputs!$K$5:$AJ$130,0,MATCH(V$2,Inputs!$K$4:$AJ$4,0)))))</f>
        <v>4648</v>
      </c>
      <c r="W30" s="266">
        <f>V30</f>
        <v>4648</v>
      </c>
      <c r="X30" s="265">
        <f>IF(ISNA(MATCH(X$2,Inputs!$K$4:$AJ$4,0)),NA(),IF(SUMPRODUCT((Inputs!$A$5:$A$130=$B30)*ISNUMBER(INDEX(Inputs!$K$5:$AJ$130,0,MATCH(X$2,Inputs!$K$4:$AJ$4,0))))+SUMPRODUCT((Inputs!$C$5:$C$130=$B30)*ISNUMBER(INDEX(Inputs!$K$5:$AJ$130,0,MATCH(X$2,Inputs!$K$4:$AJ$4,0))))+SUMPRODUCT((Inputs!$E$5:$E$130=$B30)*ISNUMBER(INDEX(Inputs!$K$5:$AJ$130,0,MATCH(X$2,Inputs!$K$4:$AJ$4,0))))=0,NA(),SUMPRODUCT((Inputs!$A$5:$A$130=$B30)*Inputs!$B$5:$B$130*(((Inputs!$G$5:$G$130="moeda")+(Inputs!$G$5:$G$130="acoes"))*Inputs!$B$1+((Inputs!$G$5:$G$130&lt;&gt;"moeda")*(Inputs!$G$5:$G$130&lt;&gt;"acoes")))*INDEX(Inputs!$K$5:$AJ$130,0,MATCH(X$2,Inputs!$K$4:$AJ$4,0)))+SUMPRODUCT((Inputs!$C$5:$C$130=$B30)*Inputs!$D$5:$D$130*(((Inputs!$G$5:$G$130="moeda")+(Inputs!$G$5:$G$130="acoes"))*Inputs!$B$1+((Inputs!$G$5:$G$130&lt;&gt;"moeda")*(Inputs!$G$5:$G$130&lt;&gt;"acoes")))*INDEX(Inputs!$K$5:$AJ$130,0,MATCH(X$2,Inputs!$K$4:$AJ$4,0)))+SUMPRODUCT((Inputs!$E$5:$E$130=$B30)*Inputs!$F$5:$F$130*(((Inputs!$G$5:$G$130="moeda")+(Inputs!$G$5:$G$130="acoes"))*Inputs!$B$1+((Inputs!$G$5:$G$130&lt;&gt;"moeda")*(Inputs!$G$5:$G$130&lt;&gt;"acoes")))*INDEX(Inputs!$K$5:$AJ$130,0,MATCH(X$2,Inputs!$K$4:$AJ$4,0)))))</f>
        <v>4343</v>
      </c>
      <c r="Y30" s="265">
        <f>IF(ISNA(MATCH(Y$2,Inputs!$K$4:$AJ$4,0)),NA(),IF(SUMPRODUCT((Inputs!$A$5:$A$130=$B30)*ISNUMBER(INDEX(Inputs!$K$5:$AJ$130,0,MATCH(Y$2,Inputs!$K$4:$AJ$4,0))))+SUMPRODUCT((Inputs!$C$5:$C$130=$B30)*ISNUMBER(INDEX(Inputs!$K$5:$AJ$130,0,MATCH(Y$2,Inputs!$K$4:$AJ$4,0))))+SUMPRODUCT((Inputs!$E$5:$E$130=$B30)*ISNUMBER(INDEX(Inputs!$K$5:$AJ$130,0,MATCH(Y$2,Inputs!$K$4:$AJ$4,0))))=0,NA(),SUMPRODUCT((Inputs!$A$5:$A$130=$B30)*Inputs!$B$5:$B$130*(((Inputs!$G$5:$G$130="moeda")+(Inputs!$G$5:$G$130="acoes"))*Inputs!$B$1+((Inputs!$G$5:$G$130&lt;&gt;"moeda")*(Inputs!$G$5:$G$130&lt;&gt;"acoes")))*INDEX(Inputs!$K$5:$AJ$130,0,MATCH(Y$2,Inputs!$K$4:$AJ$4,0)))+SUMPRODUCT((Inputs!$C$5:$C$130=$B30)*Inputs!$D$5:$D$130*(((Inputs!$G$5:$G$130="moeda")+(Inputs!$G$5:$G$130="acoes"))*Inputs!$B$1+((Inputs!$G$5:$G$130&lt;&gt;"moeda")*(Inputs!$G$5:$G$130&lt;&gt;"acoes")))*INDEX(Inputs!$K$5:$AJ$130,0,MATCH(Y$2,Inputs!$K$4:$AJ$4,0)))+SUMPRODUCT((Inputs!$E$5:$E$130=$B30)*Inputs!$F$5:$F$130*(((Inputs!$G$5:$G$130="moeda")+(Inputs!$G$5:$G$130="acoes"))*Inputs!$B$1+((Inputs!$G$5:$G$130&lt;&gt;"moeda")*(Inputs!$G$5:$G$130&lt;&gt;"acoes")))*INDEX(Inputs!$K$5:$AJ$130,0,MATCH(Y$2,Inputs!$K$4:$AJ$4,0)))))</f>
        <v>3642</v>
      </c>
      <c r="Z30" s="265">
        <f>IF(ISNA(MATCH(Z$2,Inputs!$K$4:$AJ$4,0)),NA(),IF(SUMPRODUCT((Inputs!$A$5:$A$130=$B30)*ISNUMBER(INDEX(Inputs!$K$5:$AJ$130,0,MATCH(Z$2,Inputs!$K$4:$AJ$4,0))))+SUMPRODUCT((Inputs!$C$5:$C$130=$B30)*ISNUMBER(INDEX(Inputs!$K$5:$AJ$130,0,MATCH(Z$2,Inputs!$K$4:$AJ$4,0))))+SUMPRODUCT((Inputs!$E$5:$E$130=$B30)*ISNUMBER(INDEX(Inputs!$K$5:$AJ$130,0,MATCH(Z$2,Inputs!$K$4:$AJ$4,0))))=0,NA(),SUMPRODUCT((Inputs!$A$5:$A$130=$B30)*Inputs!$B$5:$B$130*(((Inputs!$G$5:$G$130="moeda")+(Inputs!$G$5:$G$130="acoes"))*Inputs!$B$1+((Inputs!$G$5:$G$130&lt;&gt;"moeda")*(Inputs!$G$5:$G$130&lt;&gt;"acoes")))*INDEX(Inputs!$K$5:$AJ$130,0,MATCH(Z$2,Inputs!$K$4:$AJ$4,0)))+SUMPRODUCT((Inputs!$C$5:$C$130=$B30)*Inputs!$D$5:$D$130*(((Inputs!$G$5:$G$130="moeda")+(Inputs!$G$5:$G$130="acoes"))*Inputs!$B$1+((Inputs!$G$5:$G$130&lt;&gt;"moeda")*(Inputs!$G$5:$G$130&lt;&gt;"acoes")))*INDEX(Inputs!$K$5:$AJ$130,0,MATCH(Z$2,Inputs!$K$4:$AJ$4,0)))+SUMPRODUCT((Inputs!$E$5:$E$130=$B30)*Inputs!$F$5:$F$130*(((Inputs!$G$5:$G$130="moeda")+(Inputs!$G$5:$G$130="acoes"))*Inputs!$B$1+((Inputs!$G$5:$G$130&lt;&gt;"moeda")*(Inputs!$G$5:$G$130&lt;&gt;"acoes")))*INDEX(Inputs!$K$5:$AJ$130,0,MATCH(Z$2,Inputs!$K$4:$AJ$4,0)))))</f>
        <v>3447</v>
      </c>
      <c r="AA30" s="265">
        <f>IF(ISNA(MATCH(AA$2,Inputs!$K$4:$AJ$4,0)),NA(),IF(SUMPRODUCT((Inputs!$A$5:$A$130=$B30)*ISNUMBER(INDEX(Inputs!$K$5:$AJ$130,0,MATCH(AA$2,Inputs!$K$4:$AJ$4,0))))+SUMPRODUCT((Inputs!$C$5:$C$130=$B30)*ISNUMBER(INDEX(Inputs!$K$5:$AJ$130,0,MATCH(AA$2,Inputs!$K$4:$AJ$4,0))))+SUMPRODUCT((Inputs!$E$5:$E$130=$B30)*ISNUMBER(INDEX(Inputs!$K$5:$AJ$130,0,MATCH(AA$2,Inputs!$K$4:$AJ$4,0))))=0,NA(),SUMPRODUCT((Inputs!$A$5:$A$130=$B30)*Inputs!$B$5:$B$130*(((Inputs!$G$5:$G$130="moeda")+(Inputs!$G$5:$G$130="acoes"))*Inputs!$B$1+((Inputs!$G$5:$G$130&lt;&gt;"moeda")*(Inputs!$G$5:$G$130&lt;&gt;"acoes")))*INDEX(Inputs!$K$5:$AJ$130,0,MATCH(AA$2,Inputs!$K$4:$AJ$4,0)))+SUMPRODUCT((Inputs!$C$5:$C$130=$B30)*Inputs!$D$5:$D$130*(((Inputs!$G$5:$G$130="moeda")+(Inputs!$G$5:$G$130="acoes"))*Inputs!$B$1+((Inputs!$G$5:$G$130&lt;&gt;"moeda")*(Inputs!$G$5:$G$130&lt;&gt;"acoes")))*INDEX(Inputs!$K$5:$AJ$130,0,MATCH(AA$2,Inputs!$K$4:$AJ$4,0)))+SUMPRODUCT((Inputs!$E$5:$E$130=$B30)*Inputs!$F$5:$F$130*(((Inputs!$G$5:$G$130="moeda")+(Inputs!$G$5:$G$130="acoes"))*Inputs!$B$1+((Inputs!$G$5:$G$130&lt;&gt;"moeda")*(Inputs!$G$5:$G$130&lt;&gt;"acoes")))*INDEX(Inputs!$K$5:$AJ$130,0,MATCH(AA$2,Inputs!$K$4:$AJ$4,0)))))</f>
        <v>3150</v>
      </c>
      <c r="AB30" s="266">
        <f>AA30</f>
        <v>3150</v>
      </c>
      <c r="AC30" s="265">
        <f>IF(ISNA(MATCH(AC$2,Inputs!$K$4:$AJ$4,0)),NA(),IF(SUMPRODUCT((Inputs!$A$5:$A$130=$B30)*ISNUMBER(INDEX(Inputs!$K$5:$AJ$130,0,MATCH(AC$2,Inputs!$K$4:$AJ$4,0))))+SUMPRODUCT((Inputs!$C$5:$C$130=$B30)*ISNUMBER(INDEX(Inputs!$K$5:$AJ$130,0,MATCH(AC$2,Inputs!$K$4:$AJ$4,0))))+SUMPRODUCT((Inputs!$E$5:$E$130=$B30)*ISNUMBER(INDEX(Inputs!$K$5:$AJ$130,0,MATCH(AC$2,Inputs!$K$4:$AJ$4,0))))=0,NA(),SUMPRODUCT((Inputs!$A$5:$A$130=$B30)*Inputs!$B$5:$B$130*(((Inputs!$G$5:$G$130="moeda")+(Inputs!$G$5:$G$130="acoes"))*Inputs!$B$1+((Inputs!$G$5:$G$130&lt;&gt;"moeda")*(Inputs!$G$5:$G$130&lt;&gt;"acoes")))*INDEX(Inputs!$K$5:$AJ$130,0,MATCH(AC$2,Inputs!$K$4:$AJ$4,0)))+SUMPRODUCT((Inputs!$C$5:$C$130=$B30)*Inputs!$D$5:$D$130*(((Inputs!$G$5:$G$130="moeda")+(Inputs!$G$5:$G$130="acoes"))*Inputs!$B$1+((Inputs!$G$5:$G$130&lt;&gt;"moeda")*(Inputs!$G$5:$G$130&lt;&gt;"acoes")))*INDEX(Inputs!$K$5:$AJ$130,0,MATCH(AC$2,Inputs!$K$4:$AJ$4,0)))+SUMPRODUCT((Inputs!$E$5:$E$130=$B30)*Inputs!$F$5:$F$130*(((Inputs!$G$5:$G$130="moeda")+(Inputs!$G$5:$G$130="acoes"))*Inputs!$B$1+((Inputs!$G$5:$G$130&lt;&gt;"moeda")*(Inputs!$G$5:$G$130&lt;&gt;"acoes")))*INDEX(Inputs!$K$5:$AJ$130,0,MATCH(AC$2,Inputs!$K$4:$AJ$4,0)))))</f>
        <v>3883</v>
      </c>
      <c r="AD30" s="265">
        <f>IF(ISNA(MATCH(AD$2,Inputs!$K$4:$AJ$4,0)),NA(),IF(SUMPRODUCT((Inputs!$A$5:$A$130=$B30)*ISNUMBER(INDEX(Inputs!$K$5:$AJ$130,0,MATCH(AD$2,Inputs!$K$4:$AJ$4,0))))+SUMPRODUCT((Inputs!$C$5:$C$130=$B30)*ISNUMBER(INDEX(Inputs!$K$5:$AJ$130,0,MATCH(AD$2,Inputs!$K$4:$AJ$4,0))))+SUMPRODUCT((Inputs!$E$5:$E$130=$B30)*ISNUMBER(INDEX(Inputs!$K$5:$AJ$130,0,MATCH(AD$2,Inputs!$K$4:$AJ$4,0))))=0,NA(),SUMPRODUCT((Inputs!$A$5:$A$130=$B30)*Inputs!$B$5:$B$130*(((Inputs!$G$5:$G$130="moeda")+(Inputs!$G$5:$G$130="acoes"))*Inputs!$B$1+((Inputs!$G$5:$G$130&lt;&gt;"moeda")*(Inputs!$G$5:$G$130&lt;&gt;"acoes")))*INDEX(Inputs!$K$5:$AJ$130,0,MATCH(AD$2,Inputs!$K$4:$AJ$4,0)))+SUMPRODUCT((Inputs!$C$5:$C$130=$B30)*Inputs!$D$5:$D$130*(((Inputs!$G$5:$G$130="moeda")+(Inputs!$G$5:$G$130="acoes"))*Inputs!$B$1+((Inputs!$G$5:$G$130&lt;&gt;"moeda")*(Inputs!$G$5:$G$130&lt;&gt;"acoes")))*INDEX(Inputs!$K$5:$AJ$130,0,MATCH(AD$2,Inputs!$K$4:$AJ$4,0)))+SUMPRODUCT((Inputs!$E$5:$E$130=$B30)*Inputs!$F$5:$F$130*(((Inputs!$G$5:$G$130="moeda")+(Inputs!$G$5:$G$130="acoes"))*Inputs!$B$1+((Inputs!$G$5:$G$130&lt;&gt;"moeda")*(Inputs!$G$5:$G$130&lt;&gt;"acoes")))*INDEX(Inputs!$K$5:$AJ$130,0,MATCH(AD$2,Inputs!$K$4:$AJ$4,0)))))</f>
        <v>4349</v>
      </c>
      <c r="AE30" s="265" t="e">
        <f>IF(ISNA(MATCH(AE$2,Inputs!$K$4:$AJ$4,0)),NA(),IF(SUMPRODUCT((Inputs!$A$5:$A$130=$B30)*ISNUMBER(INDEX(Inputs!$K$5:$AJ$130,0,MATCH(AE$2,Inputs!$K$4:$AJ$4,0))))+SUMPRODUCT((Inputs!$C$5:$C$130=$B30)*ISNUMBER(INDEX(Inputs!$K$5:$AJ$130,0,MATCH(AE$2,Inputs!$K$4:$AJ$4,0))))+SUMPRODUCT((Inputs!$E$5:$E$130=$B30)*ISNUMBER(INDEX(Inputs!$K$5:$AJ$130,0,MATCH(AE$2,Inputs!$K$4:$AJ$4,0))))=0,NA(),SUMPRODUCT((Inputs!$A$5:$A$130=$B30)*Inputs!$B$5:$B$130*(((Inputs!$G$5:$G$130="moeda")+(Inputs!$G$5:$G$130="acoes"))*Inputs!$B$1+((Inputs!$G$5:$G$130&lt;&gt;"moeda")*(Inputs!$G$5:$G$130&lt;&gt;"acoes")))*INDEX(Inputs!$K$5:$AJ$130,0,MATCH(AE$2,Inputs!$K$4:$AJ$4,0)))+SUMPRODUCT((Inputs!$C$5:$C$130=$B30)*Inputs!$D$5:$D$130*(((Inputs!$G$5:$G$130="moeda")+(Inputs!$G$5:$G$130="acoes"))*Inputs!$B$1+((Inputs!$G$5:$G$130&lt;&gt;"moeda")*(Inputs!$G$5:$G$130&lt;&gt;"acoes")))*INDEX(Inputs!$K$5:$AJ$130,0,MATCH(AE$2,Inputs!$K$4:$AJ$4,0)))+SUMPRODUCT((Inputs!$E$5:$E$130=$B30)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0" s="265" t="e">
        <f>IF(ISNA(MATCH(AF$2,Inputs!$K$4:$AJ$4,0)),NA(),IF(SUMPRODUCT((Inputs!$A$5:$A$130=$B30)*ISNUMBER(INDEX(Inputs!$K$5:$AJ$130,0,MATCH(AF$2,Inputs!$K$4:$AJ$4,0))))+SUMPRODUCT((Inputs!$C$5:$C$130=$B30)*ISNUMBER(INDEX(Inputs!$K$5:$AJ$130,0,MATCH(AF$2,Inputs!$K$4:$AJ$4,0))))+SUMPRODUCT((Inputs!$E$5:$E$130=$B30)*ISNUMBER(INDEX(Inputs!$K$5:$AJ$130,0,MATCH(AF$2,Inputs!$K$4:$AJ$4,0))))=0,NA(),SUMPRODUCT((Inputs!$A$5:$A$130=$B30)*Inputs!$B$5:$B$130*(((Inputs!$G$5:$G$130="moeda")+(Inputs!$G$5:$G$130="acoes"))*Inputs!$B$1+((Inputs!$G$5:$G$130&lt;&gt;"moeda")*(Inputs!$G$5:$G$130&lt;&gt;"acoes")))*INDEX(Inputs!$K$5:$AJ$130,0,MATCH(AF$2,Inputs!$K$4:$AJ$4,0)))+SUMPRODUCT((Inputs!$C$5:$C$130=$B30)*Inputs!$D$5:$D$130*(((Inputs!$G$5:$G$130="moeda")+(Inputs!$G$5:$G$130="acoes"))*Inputs!$B$1+((Inputs!$G$5:$G$130&lt;&gt;"moeda")*(Inputs!$G$5:$G$130&lt;&gt;"acoes")))*INDEX(Inputs!$K$5:$AJ$130,0,MATCH(AF$2,Inputs!$K$4:$AJ$4,0)))+SUMPRODUCT((Inputs!$E$5:$E$130=$B30)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0" s="266" t="e">
        <f>AF30</f>
        <v>#N/A</v>
      </c>
      <c r="AH30" s="265" t="e">
        <f>IF(ISNA(MATCH(AH$2,Inputs!$K$4:$AJ$4,0)),NA(),IF(SUMPRODUCT((Inputs!$A$5:$A$130=$B30)*ISNUMBER(INDEX(Inputs!$K$5:$AJ$130,0,MATCH(AH$2,Inputs!$K$4:$AJ$4,0))))+SUMPRODUCT((Inputs!$C$5:$C$130=$B30)*ISNUMBER(INDEX(Inputs!$K$5:$AJ$130,0,MATCH(AH$2,Inputs!$K$4:$AJ$4,0))))+SUMPRODUCT((Inputs!$E$5:$E$130=$B30)*ISNUMBER(INDEX(Inputs!$K$5:$AJ$130,0,MATCH(AH$2,Inputs!$K$4:$AJ$4,0))))=0,NA(),SUMPRODUCT((Inputs!$A$5:$A$130=$B30)*Inputs!$B$5:$B$130*(((Inputs!$G$5:$G$130="moeda")+(Inputs!$G$5:$G$130="acoes"))*Inputs!$B$1+((Inputs!$G$5:$G$130&lt;&gt;"moeda")*(Inputs!$G$5:$G$130&lt;&gt;"acoes")))*INDEX(Inputs!$K$5:$AJ$130,0,MATCH(AH$2,Inputs!$K$4:$AJ$4,0)))+SUMPRODUCT((Inputs!$C$5:$C$130=$B30)*Inputs!$D$5:$D$130*(((Inputs!$G$5:$G$130="moeda")+(Inputs!$G$5:$G$130="acoes"))*Inputs!$B$1+((Inputs!$G$5:$G$130&lt;&gt;"moeda")*(Inputs!$G$5:$G$130&lt;&gt;"acoes")))*INDEX(Inputs!$K$5:$AJ$130,0,MATCH(AH$2,Inputs!$K$4:$AJ$4,0)))+SUMPRODUCT((Inputs!$E$5:$E$130=$B30)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30" s="265" t="e">
        <f>IF(ISNA(MATCH(AI$2,Inputs!$K$4:$AJ$4,0)),NA(),IF(SUMPRODUCT((Inputs!$A$5:$A$130=$B30)*ISNUMBER(INDEX(Inputs!$K$5:$AJ$130,0,MATCH(AI$2,Inputs!$K$4:$AJ$4,0))))+SUMPRODUCT((Inputs!$C$5:$C$130=$B30)*ISNUMBER(INDEX(Inputs!$K$5:$AJ$130,0,MATCH(AI$2,Inputs!$K$4:$AJ$4,0))))+SUMPRODUCT((Inputs!$E$5:$E$130=$B30)*ISNUMBER(INDEX(Inputs!$K$5:$AJ$130,0,MATCH(AI$2,Inputs!$K$4:$AJ$4,0))))=0,NA(),SUMPRODUCT((Inputs!$A$5:$A$130=$B30)*Inputs!$B$5:$B$130*(((Inputs!$G$5:$G$130="moeda")+(Inputs!$G$5:$G$130="acoes"))*Inputs!$B$1+((Inputs!$G$5:$G$130&lt;&gt;"moeda")*(Inputs!$G$5:$G$130&lt;&gt;"acoes")))*INDEX(Inputs!$K$5:$AJ$130,0,MATCH(AI$2,Inputs!$K$4:$AJ$4,0)))+SUMPRODUCT((Inputs!$C$5:$C$130=$B30)*Inputs!$D$5:$D$130*(((Inputs!$G$5:$G$130="moeda")+(Inputs!$G$5:$G$130="acoes"))*Inputs!$B$1+((Inputs!$G$5:$G$130&lt;&gt;"moeda")*(Inputs!$G$5:$G$130&lt;&gt;"acoes")))*INDEX(Inputs!$K$5:$AJ$130,0,MATCH(AI$2,Inputs!$K$4:$AJ$4,0)))+SUMPRODUCT((Inputs!$E$5:$E$130=$B30)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30" s="265" t="e">
        <f>IF(ISNA(MATCH(AJ$2,Inputs!$K$4:$AJ$4,0)),NA(),IF(SUMPRODUCT((Inputs!$A$5:$A$130=$B30)*ISNUMBER(INDEX(Inputs!$K$5:$AJ$130,0,MATCH(AJ$2,Inputs!$K$4:$AJ$4,0))))+SUMPRODUCT((Inputs!$C$5:$C$130=$B30)*ISNUMBER(INDEX(Inputs!$K$5:$AJ$130,0,MATCH(AJ$2,Inputs!$K$4:$AJ$4,0))))+SUMPRODUCT((Inputs!$E$5:$E$130=$B30)*ISNUMBER(INDEX(Inputs!$K$5:$AJ$130,0,MATCH(AJ$2,Inputs!$K$4:$AJ$4,0))))=0,NA(),SUMPRODUCT((Inputs!$A$5:$A$130=$B30)*Inputs!$B$5:$B$130*(((Inputs!$G$5:$G$130="moeda")+(Inputs!$G$5:$G$130="acoes"))*Inputs!$B$1+((Inputs!$G$5:$G$130&lt;&gt;"moeda")*(Inputs!$G$5:$G$130&lt;&gt;"acoes")))*INDEX(Inputs!$K$5:$AJ$130,0,MATCH(AJ$2,Inputs!$K$4:$AJ$4,0)))+SUMPRODUCT((Inputs!$C$5:$C$130=$B30)*Inputs!$D$5:$D$130*(((Inputs!$G$5:$G$130="moeda")+(Inputs!$G$5:$G$130="acoes"))*Inputs!$B$1+((Inputs!$G$5:$G$130&lt;&gt;"moeda")*(Inputs!$G$5:$G$130&lt;&gt;"acoes")))*INDEX(Inputs!$K$5:$AJ$130,0,MATCH(AJ$2,Inputs!$K$4:$AJ$4,0)))+SUMPRODUCT((Inputs!$E$5:$E$130=$B30)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30" s="265" t="e">
        <f>IF(ISNA(MATCH(AK$2,Inputs!$K$4:$AJ$4,0)),NA(),IF(SUMPRODUCT((Inputs!$A$5:$A$130=$B30)*ISNUMBER(INDEX(Inputs!$K$5:$AJ$130,0,MATCH(AK$2,Inputs!$K$4:$AJ$4,0))))+SUMPRODUCT((Inputs!$C$5:$C$130=$B30)*ISNUMBER(INDEX(Inputs!$K$5:$AJ$130,0,MATCH(AK$2,Inputs!$K$4:$AJ$4,0))))+SUMPRODUCT((Inputs!$E$5:$E$130=$B30)*ISNUMBER(INDEX(Inputs!$K$5:$AJ$130,0,MATCH(AK$2,Inputs!$K$4:$AJ$4,0))))=0,NA(),SUMPRODUCT((Inputs!$A$5:$A$130=$B30)*Inputs!$B$5:$B$130*(((Inputs!$G$5:$G$130="moeda")+(Inputs!$G$5:$G$130="acoes"))*Inputs!$B$1+((Inputs!$G$5:$G$130&lt;&gt;"moeda")*(Inputs!$G$5:$G$130&lt;&gt;"acoes")))*INDEX(Inputs!$K$5:$AJ$130,0,MATCH(AK$2,Inputs!$K$4:$AJ$4,0)))+SUMPRODUCT((Inputs!$C$5:$C$130=$B30)*Inputs!$D$5:$D$130*(((Inputs!$G$5:$G$130="moeda")+(Inputs!$G$5:$G$130="acoes"))*Inputs!$B$1+((Inputs!$G$5:$G$130&lt;&gt;"moeda")*(Inputs!$G$5:$G$130&lt;&gt;"acoes")))*INDEX(Inputs!$K$5:$AJ$130,0,MATCH(AK$2,Inputs!$K$4:$AJ$4,0)))+SUMPRODUCT((Inputs!$E$5:$E$130=$B30)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30" s="266" t="e">
        <f>AK30</f>
        <v>#N/A</v>
      </c>
    </row>
    <row r="31" ht="12.75" customHeight="1" s="254">
      <c r="B31" s="263" t="n">
        <v>26</v>
      </c>
      <c r="C31" s="268" t="inlineStr">
        <is>
          <t>Other current liabilities (non-debt)</t>
        </is>
      </c>
      <c r="D31" s="265">
        <f>IF(ISNA(MATCH(D$2,Inputs!$K$4:$AJ$4,0)),NA(),IF(SUMPRODUCT((Inputs!$A$5:$A$130=$B31)*ISNUMBER(INDEX(Inputs!$K$5:$AJ$130,0,MATCH(D$2,Inputs!$K$4:$AJ$4,0))))+SUMPRODUCT((Inputs!$C$5:$C$130=$B31)*ISNUMBER(INDEX(Inputs!$K$5:$AJ$130,0,MATCH(D$2,Inputs!$K$4:$AJ$4,0))))+SUMPRODUCT((Inputs!$E$5:$E$130=$B31)*ISNUMBER(INDEX(Inputs!$K$5:$AJ$130,0,MATCH(D$2,Inputs!$K$4:$AJ$4,0))))=0,NA(),SUMPRODUCT((Inputs!$A$5:$A$130=$B31)*Inputs!$B$5:$B$130*(((Inputs!$G$5:$G$130="moeda")+(Inputs!$G$5:$G$130="acoes"))*Inputs!$B$1+((Inputs!$G$5:$G$130&lt;&gt;"moeda")*(Inputs!$G$5:$G$130&lt;&gt;"acoes")))*INDEX(Inputs!$K$5:$AJ$130,0,MATCH(D$2,Inputs!$K$4:$AJ$4,0)))+SUMPRODUCT((Inputs!$C$5:$C$130=$B31)*Inputs!$D$5:$D$130*(((Inputs!$G$5:$G$130="moeda")+(Inputs!$G$5:$G$130="acoes"))*Inputs!$B$1+((Inputs!$G$5:$G$130&lt;&gt;"moeda")*(Inputs!$G$5:$G$130&lt;&gt;"acoes")))*INDEX(Inputs!$K$5:$AJ$130,0,MATCH(D$2,Inputs!$K$4:$AJ$4,0)))+SUMPRODUCT((Inputs!$E$5:$E$130=$B31)*Inputs!$F$5:$F$130*(((Inputs!$G$5:$G$130="moeda")+(Inputs!$G$5:$G$130="acoes"))*Inputs!$B$1+((Inputs!$G$5:$G$130&lt;&gt;"moeda")*(Inputs!$G$5:$G$130&lt;&gt;"acoes")))*INDEX(Inputs!$K$5:$AJ$130,0,MATCH(D$2,Inputs!$K$4:$AJ$4,0)))))</f>
        <v>9063</v>
      </c>
      <c r="E31" s="265">
        <f>IF(ISNA(MATCH(E$2,Inputs!$K$4:$AJ$4,0)),NA(),IF(SUMPRODUCT((Inputs!$A$5:$A$130=$B31)*ISNUMBER(INDEX(Inputs!$K$5:$AJ$130,0,MATCH(E$2,Inputs!$K$4:$AJ$4,0))))+SUMPRODUCT((Inputs!$C$5:$C$130=$B31)*ISNUMBER(INDEX(Inputs!$K$5:$AJ$130,0,MATCH(E$2,Inputs!$K$4:$AJ$4,0))))+SUMPRODUCT((Inputs!$E$5:$E$130=$B31)*ISNUMBER(INDEX(Inputs!$K$5:$AJ$130,0,MATCH(E$2,Inputs!$K$4:$AJ$4,0))))=0,NA(),SUMPRODUCT((Inputs!$A$5:$A$130=$B31)*Inputs!$B$5:$B$130*(((Inputs!$G$5:$G$130="moeda")+(Inputs!$G$5:$G$130="acoes"))*Inputs!$B$1+((Inputs!$G$5:$G$130&lt;&gt;"moeda")*(Inputs!$G$5:$G$130&lt;&gt;"acoes")))*INDEX(Inputs!$K$5:$AJ$130,0,MATCH(E$2,Inputs!$K$4:$AJ$4,0)))+SUMPRODUCT((Inputs!$C$5:$C$130=$B31)*Inputs!$D$5:$D$130*(((Inputs!$G$5:$G$130="moeda")+(Inputs!$G$5:$G$130="acoes"))*Inputs!$B$1+((Inputs!$G$5:$G$130&lt;&gt;"moeda")*(Inputs!$G$5:$G$130&lt;&gt;"acoes")))*INDEX(Inputs!$K$5:$AJ$130,0,MATCH(E$2,Inputs!$K$4:$AJ$4,0)))+SUMPRODUCT((Inputs!$E$5:$E$130=$B31)*Inputs!$F$5:$F$130*(((Inputs!$G$5:$G$130="moeda")+(Inputs!$G$5:$G$130="acoes"))*Inputs!$B$1+((Inputs!$G$5:$G$130&lt;&gt;"moeda")*(Inputs!$G$5:$G$130&lt;&gt;"acoes")))*INDEX(Inputs!$K$5:$AJ$130,0,MATCH(E$2,Inputs!$K$4:$AJ$4,0)))))</f>
        <v>13674</v>
      </c>
      <c r="F31" s="265">
        <f>IF(ISNA(MATCH(F$2,Inputs!$K$4:$AJ$4,0)),NA(),IF(SUMPRODUCT((Inputs!$A$5:$A$130=$B31)*ISNUMBER(INDEX(Inputs!$K$5:$AJ$130,0,MATCH(F$2,Inputs!$K$4:$AJ$4,0))))+SUMPRODUCT((Inputs!$C$5:$C$130=$B31)*ISNUMBER(INDEX(Inputs!$K$5:$AJ$130,0,MATCH(F$2,Inputs!$K$4:$AJ$4,0))))+SUMPRODUCT((Inputs!$E$5:$E$130=$B31)*ISNUMBER(INDEX(Inputs!$K$5:$AJ$130,0,MATCH(F$2,Inputs!$K$4:$AJ$4,0))))=0,NA(),SUMPRODUCT((Inputs!$A$5:$A$130=$B31)*Inputs!$B$5:$B$130*(((Inputs!$G$5:$G$130="moeda")+(Inputs!$G$5:$G$130="acoes"))*Inputs!$B$1+((Inputs!$G$5:$G$130&lt;&gt;"moeda")*(Inputs!$G$5:$G$130&lt;&gt;"acoes")))*INDEX(Inputs!$K$5:$AJ$130,0,MATCH(F$2,Inputs!$K$4:$AJ$4,0)))+SUMPRODUCT((Inputs!$C$5:$C$130=$B31)*Inputs!$D$5:$D$130*(((Inputs!$G$5:$G$130="moeda")+(Inputs!$G$5:$G$130="acoes"))*Inputs!$B$1+((Inputs!$G$5:$G$130&lt;&gt;"moeda")*(Inputs!$G$5:$G$130&lt;&gt;"acoes")))*INDEX(Inputs!$K$5:$AJ$130,0,MATCH(F$2,Inputs!$K$4:$AJ$4,0)))+SUMPRODUCT((Inputs!$E$5:$E$130=$B31)*Inputs!$F$5:$F$130*(((Inputs!$G$5:$G$130="moeda")+(Inputs!$G$5:$G$130="acoes"))*Inputs!$B$1+((Inputs!$G$5:$G$130&lt;&gt;"moeda")*(Inputs!$G$5:$G$130&lt;&gt;"acoes")))*INDEX(Inputs!$K$5:$AJ$130,0,MATCH(F$2,Inputs!$K$4:$AJ$4,0)))))</f>
        <v>31014</v>
      </c>
      <c r="G31" s="265">
        <f>IF(ISNA(MATCH(G$2,Inputs!$K$4:$AJ$4,0)),NA(),IF(SUMPRODUCT((Inputs!$A$5:$A$130=$B31)*ISNUMBER(INDEX(Inputs!$K$5:$AJ$130,0,MATCH(G$2,Inputs!$K$4:$AJ$4,0))))+SUMPRODUCT((Inputs!$C$5:$C$130=$B31)*ISNUMBER(INDEX(Inputs!$K$5:$AJ$130,0,MATCH(G$2,Inputs!$K$4:$AJ$4,0))))+SUMPRODUCT((Inputs!$E$5:$E$130=$B31)*ISNUMBER(INDEX(Inputs!$K$5:$AJ$130,0,MATCH(G$2,Inputs!$K$4:$AJ$4,0))))=0,NA(),SUMPRODUCT((Inputs!$A$5:$A$130=$B31)*Inputs!$B$5:$B$130*(((Inputs!$G$5:$G$130="moeda")+(Inputs!$G$5:$G$130="acoes"))*Inputs!$B$1+((Inputs!$G$5:$G$130&lt;&gt;"moeda")*(Inputs!$G$5:$G$130&lt;&gt;"acoes")))*INDEX(Inputs!$K$5:$AJ$130,0,MATCH(G$2,Inputs!$K$4:$AJ$4,0)))+SUMPRODUCT((Inputs!$C$5:$C$130=$B31)*Inputs!$D$5:$D$130*(((Inputs!$G$5:$G$130="moeda")+(Inputs!$G$5:$G$130="acoes"))*Inputs!$B$1+((Inputs!$G$5:$G$130&lt;&gt;"moeda")*(Inputs!$G$5:$G$130&lt;&gt;"acoes")))*INDEX(Inputs!$K$5:$AJ$130,0,MATCH(G$2,Inputs!$K$4:$AJ$4,0)))+SUMPRODUCT((Inputs!$E$5:$E$130=$B31)*Inputs!$F$5:$F$130*(((Inputs!$G$5:$G$130="moeda")+(Inputs!$G$5:$G$130="acoes"))*Inputs!$B$1+((Inputs!$G$5:$G$130&lt;&gt;"moeda")*(Inputs!$G$5:$G$130&lt;&gt;"acoes")))*INDEX(Inputs!$K$5:$AJ$130,0,MATCH(G$2,Inputs!$K$4:$AJ$4,0)))))</f>
        <v>20902</v>
      </c>
      <c r="H31" s="266">
        <f>G31</f>
        <v>20902</v>
      </c>
      <c r="I31" s="265">
        <f>IF(ISNA(MATCH(I$2,Inputs!$K$4:$AJ$4,0)),NA(),IF(SUMPRODUCT((Inputs!$A$5:$A$130=$B31)*ISNUMBER(INDEX(Inputs!$K$5:$AJ$130,0,MATCH(I$2,Inputs!$K$4:$AJ$4,0))))+SUMPRODUCT((Inputs!$C$5:$C$130=$B31)*ISNUMBER(INDEX(Inputs!$K$5:$AJ$130,0,MATCH(I$2,Inputs!$K$4:$AJ$4,0))))+SUMPRODUCT((Inputs!$E$5:$E$130=$B31)*ISNUMBER(INDEX(Inputs!$K$5:$AJ$130,0,MATCH(I$2,Inputs!$K$4:$AJ$4,0))))=0,NA(),SUMPRODUCT((Inputs!$A$5:$A$130=$B31)*Inputs!$B$5:$B$130*(((Inputs!$G$5:$G$130="moeda")+(Inputs!$G$5:$G$130="acoes"))*Inputs!$B$1+((Inputs!$G$5:$G$130&lt;&gt;"moeda")*(Inputs!$G$5:$G$130&lt;&gt;"acoes")))*INDEX(Inputs!$K$5:$AJ$130,0,MATCH(I$2,Inputs!$K$4:$AJ$4,0)))+SUMPRODUCT((Inputs!$C$5:$C$130=$B31)*Inputs!$D$5:$D$130*(((Inputs!$G$5:$G$130="moeda")+(Inputs!$G$5:$G$130="acoes"))*Inputs!$B$1+((Inputs!$G$5:$G$130&lt;&gt;"moeda")*(Inputs!$G$5:$G$130&lt;&gt;"acoes")))*INDEX(Inputs!$K$5:$AJ$130,0,MATCH(I$2,Inputs!$K$4:$AJ$4,0)))+SUMPRODUCT((Inputs!$E$5:$E$130=$B31)*Inputs!$F$5:$F$130*(((Inputs!$G$5:$G$130="moeda")+(Inputs!$G$5:$G$130="acoes"))*Inputs!$B$1+((Inputs!$G$5:$G$130&lt;&gt;"moeda")*(Inputs!$G$5:$G$130&lt;&gt;"acoes")))*INDEX(Inputs!$K$5:$AJ$130,0,MATCH(I$2,Inputs!$K$4:$AJ$4,0)))))</f>
        <v>30778</v>
      </c>
      <c r="J31" s="265">
        <f>IF(ISNA(MATCH(J$2,Inputs!$K$4:$AJ$4,0)),NA(),IF(SUMPRODUCT((Inputs!$A$5:$A$130=$B31)*ISNUMBER(INDEX(Inputs!$K$5:$AJ$130,0,MATCH(J$2,Inputs!$K$4:$AJ$4,0))))+SUMPRODUCT((Inputs!$C$5:$C$130=$B31)*ISNUMBER(INDEX(Inputs!$K$5:$AJ$130,0,MATCH(J$2,Inputs!$K$4:$AJ$4,0))))+SUMPRODUCT((Inputs!$E$5:$E$130=$B31)*ISNUMBER(INDEX(Inputs!$K$5:$AJ$130,0,MATCH(J$2,Inputs!$K$4:$AJ$4,0))))=0,NA(),SUMPRODUCT((Inputs!$A$5:$A$130=$B31)*Inputs!$B$5:$B$130*(((Inputs!$G$5:$G$130="moeda")+(Inputs!$G$5:$G$130="acoes"))*Inputs!$B$1+((Inputs!$G$5:$G$130&lt;&gt;"moeda")*(Inputs!$G$5:$G$130&lt;&gt;"acoes")))*INDEX(Inputs!$K$5:$AJ$130,0,MATCH(J$2,Inputs!$K$4:$AJ$4,0)))+SUMPRODUCT((Inputs!$C$5:$C$130=$B31)*Inputs!$D$5:$D$130*(((Inputs!$G$5:$G$130="moeda")+(Inputs!$G$5:$G$130="acoes"))*Inputs!$B$1+((Inputs!$G$5:$G$130&lt;&gt;"moeda")*(Inputs!$G$5:$G$130&lt;&gt;"acoes")))*INDEX(Inputs!$K$5:$AJ$130,0,MATCH(J$2,Inputs!$K$4:$AJ$4,0)))+SUMPRODUCT((Inputs!$E$5:$E$130=$B31)*Inputs!$F$5:$F$130*(((Inputs!$G$5:$G$130="moeda")+(Inputs!$G$5:$G$130="acoes"))*Inputs!$B$1+((Inputs!$G$5:$G$130&lt;&gt;"moeda")*(Inputs!$G$5:$G$130&lt;&gt;"acoes")))*INDEX(Inputs!$K$5:$AJ$130,0,MATCH(J$2,Inputs!$K$4:$AJ$4,0)))))</f>
        <v>32204</v>
      </c>
      <c r="K31" s="265">
        <f>IF(ISNA(MATCH(K$2,Inputs!$K$4:$AJ$4,0)),NA(),IF(SUMPRODUCT((Inputs!$A$5:$A$130=$B31)*ISNUMBER(INDEX(Inputs!$K$5:$AJ$130,0,MATCH(K$2,Inputs!$K$4:$AJ$4,0))))+SUMPRODUCT((Inputs!$C$5:$C$130=$B31)*ISNUMBER(INDEX(Inputs!$K$5:$AJ$130,0,MATCH(K$2,Inputs!$K$4:$AJ$4,0))))+SUMPRODUCT((Inputs!$E$5:$E$130=$B31)*ISNUMBER(INDEX(Inputs!$K$5:$AJ$130,0,MATCH(K$2,Inputs!$K$4:$AJ$4,0))))=0,NA(),SUMPRODUCT((Inputs!$A$5:$A$130=$B31)*Inputs!$B$5:$B$130*(((Inputs!$G$5:$G$130="moeda")+(Inputs!$G$5:$G$130="acoes"))*Inputs!$B$1+((Inputs!$G$5:$G$130&lt;&gt;"moeda")*(Inputs!$G$5:$G$130&lt;&gt;"acoes")))*INDEX(Inputs!$K$5:$AJ$130,0,MATCH(K$2,Inputs!$K$4:$AJ$4,0)))+SUMPRODUCT((Inputs!$C$5:$C$130=$B31)*Inputs!$D$5:$D$130*(((Inputs!$G$5:$G$130="moeda")+(Inputs!$G$5:$G$130="acoes"))*Inputs!$B$1+((Inputs!$G$5:$G$130&lt;&gt;"moeda")*(Inputs!$G$5:$G$130&lt;&gt;"acoes")))*INDEX(Inputs!$K$5:$AJ$130,0,MATCH(K$2,Inputs!$K$4:$AJ$4,0)))+SUMPRODUCT((Inputs!$E$5:$E$130=$B31)*Inputs!$F$5:$F$130*(((Inputs!$G$5:$G$130="moeda")+(Inputs!$G$5:$G$130="acoes"))*Inputs!$B$1+((Inputs!$G$5:$G$130&lt;&gt;"moeda")*(Inputs!$G$5:$G$130&lt;&gt;"acoes")))*INDEX(Inputs!$K$5:$AJ$130,0,MATCH(K$2,Inputs!$K$4:$AJ$4,0)))))</f>
        <v>35953</v>
      </c>
      <c r="L31" s="265">
        <f>IF(ISNA(MATCH(L$2,Inputs!$K$4:$AJ$4,0)),NA(),IF(SUMPRODUCT((Inputs!$A$5:$A$130=$B31)*ISNUMBER(INDEX(Inputs!$K$5:$AJ$130,0,MATCH(L$2,Inputs!$K$4:$AJ$4,0))))+SUMPRODUCT((Inputs!$C$5:$C$130=$B31)*ISNUMBER(INDEX(Inputs!$K$5:$AJ$130,0,MATCH(L$2,Inputs!$K$4:$AJ$4,0))))+SUMPRODUCT((Inputs!$E$5:$E$130=$B31)*ISNUMBER(INDEX(Inputs!$K$5:$AJ$130,0,MATCH(L$2,Inputs!$K$4:$AJ$4,0))))=0,NA(),SUMPRODUCT((Inputs!$A$5:$A$130=$B31)*Inputs!$B$5:$B$130*(((Inputs!$G$5:$G$130="moeda")+(Inputs!$G$5:$G$130="acoes"))*Inputs!$B$1+((Inputs!$G$5:$G$130&lt;&gt;"moeda")*(Inputs!$G$5:$G$130&lt;&gt;"acoes")))*INDEX(Inputs!$K$5:$AJ$130,0,MATCH(L$2,Inputs!$K$4:$AJ$4,0)))+SUMPRODUCT((Inputs!$C$5:$C$130=$B31)*Inputs!$D$5:$D$130*(((Inputs!$G$5:$G$130="moeda")+(Inputs!$G$5:$G$130="acoes"))*Inputs!$B$1+((Inputs!$G$5:$G$130&lt;&gt;"moeda")*(Inputs!$G$5:$G$130&lt;&gt;"acoes")))*INDEX(Inputs!$K$5:$AJ$130,0,MATCH(L$2,Inputs!$K$4:$AJ$4,0)))+SUMPRODUCT((Inputs!$E$5:$E$130=$B31)*Inputs!$F$5:$F$130*(((Inputs!$G$5:$G$130="moeda")+(Inputs!$G$5:$G$130="acoes"))*Inputs!$B$1+((Inputs!$G$5:$G$130&lt;&gt;"moeda")*(Inputs!$G$5:$G$130&lt;&gt;"acoes")))*INDEX(Inputs!$K$5:$AJ$130,0,MATCH(L$2,Inputs!$K$4:$AJ$4,0)))))</f>
        <v>28084</v>
      </c>
      <c r="M31" s="266">
        <f>L31</f>
        <v>28084</v>
      </c>
      <c r="N31" s="265">
        <f>IF(ISNA(MATCH(N$2,Inputs!$K$4:$AJ$4,0)),NA(),IF(SUMPRODUCT((Inputs!$A$5:$A$130=$B31)*ISNUMBER(INDEX(Inputs!$K$5:$AJ$130,0,MATCH(N$2,Inputs!$K$4:$AJ$4,0))))+SUMPRODUCT((Inputs!$C$5:$C$130=$B31)*ISNUMBER(INDEX(Inputs!$K$5:$AJ$130,0,MATCH(N$2,Inputs!$K$4:$AJ$4,0))))+SUMPRODUCT((Inputs!$E$5:$E$130=$B31)*ISNUMBER(INDEX(Inputs!$K$5:$AJ$130,0,MATCH(N$2,Inputs!$K$4:$AJ$4,0))))=0,NA(),SUMPRODUCT((Inputs!$A$5:$A$130=$B31)*Inputs!$B$5:$B$130*(((Inputs!$G$5:$G$130="moeda")+(Inputs!$G$5:$G$130="acoes"))*Inputs!$B$1+((Inputs!$G$5:$G$130&lt;&gt;"moeda")*(Inputs!$G$5:$G$130&lt;&gt;"acoes")))*INDEX(Inputs!$K$5:$AJ$130,0,MATCH(N$2,Inputs!$K$4:$AJ$4,0)))+SUMPRODUCT((Inputs!$C$5:$C$130=$B31)*Inputs!$D$5:$D$130*(((Inputs!$G$5:$G$130="moeda")+(Inputs!$G$5:$G$130="acoes"))*Inputs!$B$1+((Inputs!$G$5:$G$130&lt;&gt;"moeda")*(Inputs!$G$5:$G$130&lt;&gt;"acoes")))*INDEX(Inputs!$K$5:$AJ$130,0,MATCH(N$2,Inputs!$K$4:$AJ$4,0)))+SUMPRODUCT((Inputs!$E$5:$E$130=$B31)*Inputs!$F$5:$F$130*(((Inputs!$G$5:$G$130="moeda")+(Inputs!$G$5:$G$130="acoes"))*Inputs!$B$1+((Inputs!$G$5:$G$130&lt;&gt;"moeda")*(Inputs!$G$5:$G$130&lt;&gt;"acoes")))*INDEX(Inputs!$K$5:$AJ$130,0,MATCH(N$2,Inputs!$K$4:$AJ$4,0)))))</f>
        <v>18852</v>
      </c>
      <c r="O31" s="265">
        <f>IF(ISNA(MATCH(O$2,Inputs!$K$4:$AJ$4,0)),NA(),IF(SUMPRODUCT((Inputs!$A$5:$A$130=$B31)*ISNUMBER(INDEX(Inputs!$K$5:$AJ$130,0,MATCH(O$2,Inputs!$K$4:$AJ$4,0))))+SUMPRODUCT((Inputs!$C$5:$C$130=$B31)*ISNUMBER(INDEX(Inputs!$K$5:$AJ$130,0,MATCH(O$2,Inputs!$K$4:$AJ$4,0))))+SUMPRODUCT((Inputs!$E$5:$E$130=$B31)*ISNUMBER(INDEX(Inputs!$K$5:$AJ$130,0,MATCH(O$2,Inputs!$K$4:$AJ$4,0))))=0,NA(),SUMPRODUCT((Inputs!$A$5:$A$130=$B31)*Inputs!$B$5:$B$130*(((Inputs!$G$5:$G$130="moeda")+(Inputs!$G$5:$G$130="acoes"))*Inputs!$B$1+((Inputs!$G$5:$G$130&lt;&gt;"moeda")*(Inputs!$G$5:$G$130&lt;&gt;"acoes")))*INDEX(Inputs!$K$5:$AJ$130,0,MATCH(O$2,Inputs!$K$4:$AJ$4,0)))+SUMPRODUCT((Inputs!$C$5:$C$130=$B31)*Inputs!$D$5:$D$130*(((Inputs!$G$5:$G$130="moeda")+(Inputs!$G$5:$G$130="acoes"))*Inputs!$B$1+((Inputs!$G$5:$G$130&lt;&gt;"moeda")*(Inputs!$G$5:$G$130&lt;&gt;"acoes")))*INDEX(Inputs!$K$5:$AJ$130,0,MATCH(O$2,Inputs!$K$4:$AJ$4,0)))+SUMPRODUCT((Inputs!$E$5:$E$130=$B31)*Inputs!$F$5:$F$130*(((Inputs!$G$5:$G$130="moeda")+(Inputs!$G$5:$G$130="acoes"))*Inputs!$B$1+((Inputs!$G$5:$G$130&lt;&gt;"moeda")*(Inputs!$G$5:$G$130&lt;&gt;"acoes")))*INDEX(Inputs!$K$5:$AJ$130,0,MATCH(O$2,Inputs!$K$4:$AJ$4,0)))))</f>
        <v>15557</v>
      </c>
      <c r="P31" s="265">
        <f>IF(ISNA(MATCH(P$2,Inputs!$K$4:$AJ$4,0)),NA(),IF(SUMPRODUCT((Inputs!$A$5:$A$130=$B31)*ISNUMBER(INDEX(Inputs!$K$5:$AJ$130,0,MATCH(P$2,Inputs!$K$4:$AJ$4,0))))+SUMPRODUCT((Inputs!$C$5:$C$130=$B31)*ISNUMBER(INDEX(Inputs!$K$5:$AJ$130,0,MATCH(P$2,Inputs!$K$4:$AJ$4,0))))+SUMPRODUCT((Inputs!$E$5:$E$130=$B31)*ISNUMBER(INDEX(Inputs!$K$5:$AJ$130,0,MATCH(P$2,Inputs!$K$4:$AJ$4,0))))=0,NA(),SUMPRODUCT((Inputs!$A$5:$A$130=$B31)*Inputs!$B$5:$B$130*(((Inputs!$G$5:$G$130="moeda")+(Inputs!$G$5:$G$130="acoes"))*Inputs!$B$1+((Inputs!$G$5:$G$130&lt;&gt;"moeda")*(Inputs!$G$5:$G$130&lt;&gt;"acoes")))*INDEX(Inputs!$K$5:$AJ$130,0,MATCH(P$2,Inputs!$K$4:$AJ$4,0)))+SUMPRODUCT((Inputs!$C$5:$C$130=$B31)*Inputs!$D$5:$D$130*(((Inputs!$G$5:$G$130="moeda")+(Inputs!$G$5:$G$130="acoes"))*Inputs!$B$1+((Inputs!$G$5:$G$130&lt;&gt;"moeda")*(Inputs!$G$5:$G$130&lt;&gt;"acoes")))*INDEX(Inputs!$K$5:$AJ$130,0,MATCH(P$2,Inputs!$K$4:$AJ$4,0)))+SUMPRODUCT((Inputs!$E$5:$E$130=$B31)*Inputs!$F$5:$F$130*(((Inputs!$G$5:$G$130="moeda")+(Inputs!$G$5:$G$130="acoes"))*Inputs!$B$1+((Inputs!$G$5:$G$130&lt;&gt;"moeda")*(Inputs!$G$5:$G$130&lt;&gt;"acoes")))*INDEX(Inputs!$K$5:$AJ$130,0,MATCH(P$2,Inputs!$K$4:$AJ$4,0)))))</f>
        <v>13450</v>
      </c>
      <c r="Q31" s="265">
        <f>IF(ISNA(MATCH(Q$2,Inputs!$K$4:$AJ$4,0)),NA(),IF(SUMPRODUCT((Inputs!$A$5:$A$130=$B31)*ISNUMBER(INDEX(Inputs!$K$5:$AJ$130,0,MATCH(Q$2,Inputs!$K$4:$AJ$4,0))))+SUMPRODUCT((Inputs!$C$5:$C$130=$B31)*ISNUMBER(INDEX(Inputs!$K$5:$AJ$130,0,MATCH(Q$2,Inputs!$K$4:$AJ$4,0))))+SUMPRODUCT((Inputs!$E$5:$E$130=$B31)*ISNUMBER(INDEX(Inputs!$K$5:$AJ$130,0,MATCH(Q$2,Inputs!$K$4:$AJ$4,0))))=0,NA(),SUMPRODUCT((Inputs!$A$5:$A$130=$B31)*Inputs!$B$5:$B$130*(((Inputs!$G$5:$G$130="moeda")+(Inputs!$G$5:$G$130="acoes"))*Inputs!$B$1+((Inputs!$G$5:$G$130&lt;&gt;"moeda")*(Inputs!$G$5:$G$130&lt;&gt;"acoes")))*INDEX(Inputs!$K$5:$AJ$130,0,MATCH(Q$2,Inputs!$K$4:$AJ$4,0)))+SUMPRODUCT((Inputs!$C$5:$C$130=$B31)*Inputs!$D$5:$D$130*(((Inputs!$G$5:$G$130="moeda")+(Inputs!$G$5:$G$130="acoes"))*Inputs!$B$1+((Inputs!$G$5:$G$130&lt;&gt;"moeda")*(Inputs!$G$5:$G$130&lt;&gt;"acoes")))*INDEX(Inputs!$K$5:$AJ$130,0,MATCH(Q$2,Inputs!$K$4:$AJ$4,0)))+SUMPRODUCT((Inputs!$E$5:$E$130=$B31)*Inputs!$F$5:$F$130*(((Inputs!$G$5:$G$130="moeda")+(Inputs!$G$5:$G$130="acoes"))*Inputs!$B$1+((Inputs!$G$5:$G$130&lt;&gt;"moeda")*(Inputs!$G$5:$G$130&lt;&gt;"acoes")))*INDEX(Inputs!$K$5:$AJ$130,0,MATCH(Q$2,Inputs!$K$4:$AJ$4,0)))))</f>
        <v>13877</v>
      </c>
      <c r="R31" s="266">
        <f>Q31</f>
        <v>13877</v>
      </c>
      <c r="S31" s="265">
        <f>IF(ISNA(MATCH(S$2,Inputs!$K$4:$AJ$4,0)),NA(),IF(SUMPRODUCT((Inputs!$A$5:$A$130=$B31)*ISNUMBER(INDEX(Inputs!$K$5:$AJ$130,0,MATCH(S$2,Inputs!$K$4:$AJ$4,0))))+SUMPRODUCT((Inputs!$C$5:$C$130=$B31)*ISNUMBER(INDEX(Inputs!$K$5:$AJ$130,0,MATCH(S$2,Inputs!$K$4:$AJ$4,0))))+SUMPRODUCT((Inputs!$E$5:$E$130=$B31)*ISNUMBER(INDEX(Inputs!$K$5:$AJ$130,0,MATCH(S$2,Inputs!$K$4:$AJ$4,0))))=0,NA(),SUMPRODUCT((Inputs!$A$5:$A$130=$B31)*Inputs!$B$5:$B$130*(((Inputs!$G$5:$G$130="moeda")+(Inputs!$G$5:$G$130="acoes"))*Inputs!$B$1+((Inputs!$G$5:$G$130&lt;&gt;"moeda")*(Inputs!$G$5:$G$130&lt;&gt;"acoes")))*INDEX(Inputs!$K$5:$AJ$130,0,MATCH(S$2,Inputs!$K$4:$AJ$4,0)))+SUMPRODUCT((Inputs!$C$5:$C$130=$B31)*Inputs!$D$5:$D$130*(((Inputs!$G$5:$G$130="moeda")+(Inputs!$G$5:$G$130="acoes"))*Inputs!$B$1+((Inputs!$G$5:$G$130&lt;&gt;"moeda")*(Inputs!$G$5:$G$130&lt;&gt;"acoes")))*INDEX(Inputs!$K$5:$AJ$130,0,MATCH(S$2,Inputs!$K$4:$AJ$4,0)))+SUMPRODUCT((Inputs!$E$5:$E$130=$B31)*Inputs!$F$5:$F$130*(((Inputs!$G$5:$G$130="moeda")+(Inputs!$G$5:$G$130="acoes"))*Inputs!$B$1+((Inputs!$G$5:$G$130&lt;&gt;"moeda")*(Inputs!$G$5:$G$130&lt;&gt;"acoes")))*INDEX(Inputs!$K$5:$AJ$130,0,MATCH(S$2,Inputs!$K$4:$AJ$4,0)))))</f>
        <v>12927</v>
      </c>
      <c r="T31" s="265">
        <f>IF(ISNA(MATCH(T$2,Inputs!$K$4:$AJ$4,0)),NA(),IF(SUMPRODUCT((Inputs!$A$5:$A$130=$B31)*ISNUMBER(INDEX(Inputs!$K$5:$AJ$130,0,MATCH(T$2,Inputs!$K$4:$AJ$4,0))))+SUMPRODUCT((Inputs!$C$5:$C$130=$B31)*ISNUMBER(INDEX(Inputs!$K$5:$AJ$130,0,MATCH(T$2,Inputs!$K$4:$AJ$4,0))))+SUMPRODUCT((Inputs!$E$5:$E$130=$B31)*ISNUMBER(INDEX(Inputs!$K$5:$AJ$130,0,MATCH(T$2,Inputs!$K$4:$AJ$4,0))))=0,NA(),SUMPRODUCT((Inputs!$A$5:$A$130=$B31)*Inputs!$B$5:$B$130*(((Inputs!$G$5:$G$130="moeda")+(Inputs!$G$5:$G$130="acoes"))*Inputs!$B$1+((Inputs!$G$5:$G$130&lt;&gt;"moeda")*(Inputs!$G$5:$G$130&lt;&gt;"acoes")))*INDEX(Inputs!$K$5:$AJ$130,0,MATCH(T$2,Inputs!$K$4:$AJ$4,0)))+SUMPRODUCT((Inputs!$C$5:$C$130=$B31)*Inputs!$D$5:$D$130*(((Inputs!$G$5:$G$130="moeda")+(Inputs!$G$5:$G$130="acoes"))*Inputs!$B$1+((Inputs!$G$5:$G$130&lt;&gt;"moeda")*(Inputs!$G$5:$G$130&lt;&gt;"acoes")))*INDEX(Inputs!$K$5:$AJ$130,0,MATCH(T$2,Inputs!$K$4:$AJ$4,0)))+SUMPRODUCT((Inputs!$E$5:$E$130=$B31)*Inputs!$F$5:$F$130*(((Inputs!$G$5:$G$130="moeda")+(Inputs!$G$5:$G$130="acoes"))*Inputs!$B$1+((Inputs!$G$5:$G$130&lt;&gt;"moeda")*(Inputs!$G$5:$G$130&lt;&gt;"acoes")))*INDEX(Inputs!$K$5:$AJ$130,0,MATCH(T$2,Inputs!$K$4:$AJ$4,0)))))</f>
        <v>12618</v>
      </c>
      <c r="U31" s="265">
        <f>IF(ISNA(MATCH(U$2,Inputs!$K$4:$AJ$4,0)),NA(),IF(SUMPRODUCT((Inputs!$A$5:$A$130=$B31)*ISNUMBER(INDEX(Inputs!$K$5:$AJ$130,0,MATCH(U$2,Inputs!$K$4:$AJ$4,0))))+SUMPRODUCT((Inputs!$C$5:$C$130=$B31)*ISNUMBER(INDEX(Inputs!$K$5:$AJ$130,0,MATCH(U$2,Inputs!$K$4:$AJ$4,0))))+SUMPRODUCT((Inputs!$E$5:$E$130=$B31)*ISNUMBER(INDEX(Inputs!$K$5:$AJ$130,0,MATCH(U$2,Inputs!$K$4:$AJ$4,0))))=0,NA(),SUMPRODUCT((Inputs!$A$5:$A$130=$B31)*Inputs!$B$5:$B$130*(((Inputs!$G$5:$G$130="moeda")+(Inputs!$G$5:$G$130="acoes"))*Inputs!$B$1+((Inputs!$G$5:$G$130&lt;&gt;"moeda")*(Inputs!$G$5:$G$130&lt;&gt;"acoes")))*INDEX(Inputs!$K$5:$AJ$130,0,MATCH(U$2,Inputs!$K$4:$AJ$4,0)))+SUMPRODUCT((Inputs!$C$5:$C$130=$B31)*Inputs!$D$5:$D$130*(((Inputs!$G$5:$G$130="moeda")+(Inputs!$G$5:$G$130="acoes"))*Inputs!$B$1+((Inputs!$G$5:$G$130&lt;&gt;"moeda")*(Inputs!$G$5:$G$130&lt;&gt;"acoes")))*INDEX(Inputs!$K$5:$AJ$130,0,MATCH(U$2,Inputs!$K$4:$AJ$4,0)))+SUMPRODUCT((Inputs!$E$5:$E$130=$B31)*Inputs!$F$5:$F$130*(((Inputs!$G$5:$G$130="moeda")+(Inputs!$G$5:$G$130="acoes"))*Inputs!$B$1+((Inputs!$G$5:$G$130&lt;&gt;"moeda")*(Inputs!$G$5:$G$130&lt;&gt;"acoes")))*INDEX(Inputs!$K$5:$AJ$130,0,MATCH(U$2,Inputs!$K$4:$AJ$4,0)))))</f>
        <v>12245</v>
      </c>
      <c r="V31" s="265">
        <f>IF(ISNA(MATCH(V$2,Inputs!$K$4:$AJ$4,0)),NA(),IF(SUMPRODUCT((Inputs!$A$5:$A$130=$B31)*ISNUMBER(INDEX(Inputs!$K$5:$AJ$130,0,MATCH(V$2,Inputs!$K$4:$AJ$4,0))))+SUMPRODUCT((Inputs!$C$5:$C$130=$B31)*ISNUMBER(INDEX(Inputs!$K$5:$AJ$130,0,MATCH(V$2,Inputs!$K$4:$AJ$4,0))))+SUMPRODUCT((Inputs!$E$5:$E$130=$B31)*ISNUMBER(INDEX(Inputs!$K$5:$AJ$130,0,MATCH(V$2,Inputs!$K$4:$AJ$4,0))))=0,NA(),SUMPRODUCT((Inputs!$A$5:$A$130=$B31)*Inputs!$B$5:$B$130*(((Inputs!$G$5:$G$130="moeda")+(Inputs!$G$5:$G$130="acoes"))*Inputs!$B$1+((Inputs!$G$5:$G$130&lt;&gt;"moeda")*(Inputs!$G$5:$G$130&lt;&gt;"acoes")))*INDEX(Inputs!$K$5:$AJ$130,0,MATCH(V$2,Inputs!$K$4:$AJ$4,0)))+SUMPRODUCT((Inputs!$C$5:$C$130=$B31)*Inputs!$D$5:$D$130*(((Inputs!$G$5:$G$130="moeda")+(Inputs!$G$5:$G$130="acoes"))*Inputs!$B$1+((Inputs!$G$5:$G$130&lt;&gt;"moeda")*(Inputs!$G$5:$G$130&lt;&gt;"acoes")))*INDEX(Inputs!$K$5:$AJ$130,0,MATCH(V$2,Inputs!$K$4:$AJ$4,0)))+SUMPRODUCT((Inputs!$E$5:$E$130=$B31)*Inputs!$F$5:$F$130*(((Inputs!$G$5:$G$130="moeda")+(Inputs!$G$5:$G$130="acoes"))*Inputs!$B$1+((Inputs!$G$5:$G$130&lt;&gt;"moeda")*(Inputs!$G$5:$G$130&lt;&gt;"acoes")))*INDEX(Inputs!$K$5:$AJ$130,0,MATCH(V$2,Inputs!$K$4:$AJ$4,0)))))</f>
        <v>18065</v>
      </c>
      <c r="W31" s="266">
        <f>V31</f>
        <v>18065</v>
      </c>
      <c r="X31" s="265">
        <f>IF(ISNA(MATCH(X$2,Inputs!$K$4:$AJ$4,0)),NA(),IF(SUMPRODUCT((Inputs!$A$5:$A$130=$B31)*ISNUMBER(INDEX(Inputs!$K$5:$AJ$130,0,MATCH(X$2,Inputs!$K$4:$AJ$4,0))))+SUMPRODUCT((Inputs!$C$5:$C$130=$B31)*ISNUMBER(INDEX(Inputs!$K$5:$AJ$130,0,MATCH(X$2,Inputs!$K$4:$AJ$4,0))))+SUMPRODUCT((Inputs!$E$5:$E$130=$B31)*ISNUMBER(INDEX(Inputs!$K$5:$AJ$130,0,MATCH(X$2,Inputs!$K$4:$AJ$4,0))))=0,NA(),SUMPRODUCT((Inputs!$A$5:$A$130=$B31)*Inputs!$B$5:$B$130*(((Inputs!$G$5:$G$130="moeda")+(Inputs!$G$5:$G$130="acoes"))*Inputs!$B$1+((Inputs!$G$5:$G$130&lt;&gt;"moeda")*(Inputs!$G$5:$G$130&lt;&gt;"acoes")))*INDEX(Inputs!$K$5:$AJ$130,0,MATCH(X$2,Inputs!$K$4:$AJ$4,0)))+SUMPRODUCT((Inputs!$C$5:$C$130=$B31)*Inputs!$D$5:$D$130*(((Inputs!$G$5:$G$130="moeda")+(Inputs!$G$5:$G$130="acoes"))*Inputs!$B$1+((Inputs!$G$5:$G$130&lt;&gt;"moeda")*(Inputs!$G$5:$G$130&lt;&gt;"acoes")))*INDEX(Inputs!$K$5:$AJ$130,0,MATCH(X$2,Inputs!$K$4:$AJ$4,0)))+SUMPRODUCT((Inputs!$E$5:$E$130=$B31)*Inputs!$F$5:$F$130*(((Inputs!$G$5:$G$130="moeda")+(Inputs!$G$5:$G$130="acoes"))*Inputs!$B$1+((Inputs!$G$5:$G$130&lt;&gt;"moeda")*(Inputs!$G$5:$G$130&lt;&gt;"acoes")))*INDEX(Inputs!$K$5:$AJ$130,0,MATCH(X$2,Inputs!$K$4:$AJ$4,0)))))</f>
        <v>19477</v>
      </c>
      <c r="Y31" s="265">
        <f>IF(ISNA(MATCH(Y$2,Inputs!$K$4:$AJ$4,0)),NA(),IF(SUMPRODUCT((Inputs!$A$5:$A$130=$B31)*ISNUMBER(INDEX(Inputs!$K$5:$AJ$130,0,MATCH(Y$2,Inputs!$K$4:$AJ$4,0))))+SUMPRODUCT((Inputs!$C$5:$C$130=$B31)*ISNUMBER(INDEX(Inputs!$K$5:$AJ$130,0,MATCH(Y$2,Inputs!$K$4:$AJ$4,0))))+SUMPRODUCT((Inputs!$E$5:$E$130=$B31)*ISNUMBER(INDEX(Inputs!$K$5:$AJ$130,0,MATCH(Y$2,Inputs!$K$4:$AJ$4,0))))=0,NA(),SUMPRODUCT((Inputs!$A$5:$A$130=$B31)*Inputs!$B$5:$B$130*(((Inputs!$G$5:$G$130="moeda")+(Inputs!$G$5:$G$130="acoes"))*Inputs!$B$1+((Inputs!$G$5:$G$130&lt;&gt;"moeda")*(Inputs!$G$5:$G$130&lt;&gt;"acoes")))*INDEX(Inputs!$K$5:$AJ$130,0,MATCH(Y$2,Inputs!$K$4:$AJ$4,0)))+SUMPRODUCT((Inputs!$C$5:$C$130=$B31)*Inputs!$D$5:$D$130*(((Inputs!$G$5:$G$130="moeda")+(Inputs!$G$5:$G$130="acoes"))*Inputs!$B$1+((Inputs!$G$5:$G$130&lt;&gt;"moeda")*(Inputs!$G$5:$G$130&lt;&gt;"acoes")))*INDEX(Inputs!$K$5:$AJ$130,0,MATCH(Y$2,Inputs!$K$4:$AJ$4,0)))+SUMPRODUCT((Inputs!$E$5:$E$130=$B31)*Inputs!$F$5:$F$130*(((Inputs!$G$5:$G$130="moeda")+(Inputs!$G$5:$G$130="acoes"))*Inputs!$B$1+((Inputs!$G$5:$G$130&lt;&gt;"moeda")*(Inputs!$G$5:$G$130&lt;&gt;"acoes")))*INDEX(Inputs!$K$5:$AJ$130,0,MATCH(Y$2,Inputs!$K$4:$AJ$4,0)))))</f>
        <v>19542</v>
      </c>
      <c r="Z31" s="265">
        <f>IF(ISNA(MATCH(Z$2,Inputs!$K$4:$AJ$4,0)),NA(),IF(SUMPRODUCT((Inputs!$A$5:$A$130=$B31)*ISNUMBER(INDEX(Inputs!$K$5:$AJ$130,0,MATCH(Z$2,Inputs!$K$4:$AJ$4,0))))+SUMPRODUCT((Inputs!$C$5:$C$130=$B31)*ISNUMBER(INDEX(Inputs!$K$5:$AJ$130,0,MATCH(Z$2,Inputs!$K$4:$AJ$4,0))))+SUMPRODUCT((Inputs!$E$5:$E$130=$B31)*ISNUMBER(INDEX(Inputs!$K$5:$AJ$130,0,MATCH(Z$2,Inputs!$K$4:$AJ$4,0))))=0,NA(),SUMPRODUCT((Inputs!$A$5:$A$130=$B31)*Inputs!$B$5:$B$130*(((Inputs!$G$5:$G$130="moeda")+(Inputs!$G$5:$G$130="acoes"))*Inputs!$B$1+((Inputs!$G$5:$G$130&lt;&gt;"moeda")*(Inputs!$G$5:$G$130&lt;&gt;"acoes")))*INDEX(Inputs!$K$5:$AJ$130,0,MATCH(Z$2,Inputs!$K$4:$AJ$4,0)))+SUMPRODUCT((Inputs!$C$5:$C$130=$B31)*Inputs!$D$5:$D$130*(((Inputs!$G$5:$G$130="moeda")+(Inputs!$G$5:$G$130="acoes"))*Inputs!$B$1+((Inputs!$G$5:$G$130&lt;&gt;"moeda")*(Inputs!$G$5:$G$130&lt;&gt;"acoes")))*INDEX(Inputs!$K$5:$AJ$130,0,MATCH(Z$2,Inputs!$K$4:$AJ$4,0)))+SUMPRODUCT((Inputs!$E$5:$E$130=$B31)*Inputs!$F$5:$F$130*(((Inputs!$G$5:$G$130="moeda")+(Inputs!$G$5:$G$130="acoes"))*Inputs!$B$1+((Inputs!$G$5:$G$130&lt;&gt;"moeda")*(Inputs!$G$5:$G$130&lt;&gt;"acoes")))*INDEX(Inputs!$K$5:$AJ$130,0,MATCH(Z$2,Inputs!$K$4:$AJ$4,0)))))</f>
        <v>19336</v>
      </c>
      <c r="AA31" s="265">
        <f>IF(ISNA(MATCH(AA$2,Inputs!$K$4:$AJ$4,0)),NA(),IF(SUMPRODUCT((Inputs!$A$5:$A$130=$B31)*ISNUMBER(INDEX(Inputs!$K$5:$AJ$130,0,MATCH(AA$2,Inputs!$K$4:$AJ$4,0))))+SUMPRODUCT((Inputs!$C$5:$C$130=$B31)*ISNUMBER(INDEX(Inputs!$K$5:$AJ$130,0,MATCH(AA$2,Inputs!$K$4:$AJ$4,0))))+SUMPRODUCT((Inputs!$E$5:$E$130=$B31)*ISNUMBER(INDEX(Inputs!$K$5:$AJ$130,0,MATCH(AA$2,Inputs!$K$4:$AJ$4,0))))=0,NA(),SUMPRODUCT((Inputs!$A$5:$A$130=$B31)*Inputs!$B$5:$B$130*(((Inputs!$G$5:$G$130="moeda")+(Inputs!$G$5:$G$130="acoes"))*Inputs!$B$1+((Inputs!$G$5:$G$130&lt;&gt;"moeda")*(Inputs!$G$5:$G$130&lt;&gt;"acoes")))*INDEX(Inputs!$K$5:$AJ$130,0,MATCH(AA$2,Inputs!$K$4:$AJ$4,0)))+SUMPRODUCT((Inputs!$C$5:$C$130=$B31)*Inputs!$D$5:$D$130*(((Inputs!$G$5:$G$130="moeda")+(Inputs!$G$5:$G$130="acoes"))*Inputs!$B$1+((Inputs!$G$5:$G$130&lt;&gt;"moeda")*(Inputs!$G$5:$G$130&lt;&gt;"acoes")))*INDEX(Inputs!$K$5:$AJ$130,0,MATCH(AA$2,Inputs!$K$4:$AJ$4,0)))+SUMPRODUCT((Inputs!$E$5:$E$130=$B31)*Inputs!$F$5:$F$130*(((Inputs!$G$5:$G$130="moeda")+(Inputs!$G$5:$G$130="acoes"))*Inputs!$B$1+((Inputs!$G$5:$G$130&lt;&gt;"moeda")*(Inputs!$G$5:$G$130&lt;&gt;"acoes")))*INDEX(Inputs!$K$5:$AJ$130,0,MATCH(AA$2,Inputs!$K$4:$AJ$4,0)))))</f>
        <v>12367</v>
      </c>
      <c r="AB31" s="266">
        <f>AA31</f>
        <v>12367</v>
      </c>
      <c r="AC31" s="265">
        <f>IF(ISNA(MATCH(AC$2,Inputs!$K$4:$AJ$4,0)),NA(),IF(SUMPRODUCT((Inputs!$A$5:$A$130=$B31)*ISNUMBER(INDEX(Inputs!$K$5:$AJ$130,0,MATCH(AC$2,Inputs!$K$4:$AJ$4,0))))+SUMPRODUCT((Inputs!$C$5:$C$130=$B31)*ISNUMBER(INDEX(Inputs!$K$5:$AJ$130,0,MATCH(AC$2,Inputs!$K$4:$AJ$4,0))))+SUMPRODUCT((Inputs!$E$5:$E$130=$B31)*ISNUMBER(INDEX(Inputs!$K$5:$AJ$130,0,MATCH(AC$2,Inputs!$K$4:$AJ$4,0))))=0,NA(),SUMPRODUCT((Inputs!$A$5:$A$130=$B31)*Inputs!$B$5:$B$130*(((Inputs!$G$5:$G$130="moeda")+(Inputs!$G$5:$G$130="acoes"))*Inputs!$B$1+((Inputs!$G$5:$G$130&lt;&gt;"moeda")*(Inputs!$G$5:$G$130&lt;&gt;"acoes")))*INDEX(Inputs!$K$5:$AJ$130,0,MATCH(AC$2,Inputs!$K$4:$AJ$4,0)))+SUMPRODUCT((Inputs!$C$5:$C$130=$B31)*Inputs!$D$5:$D$130*(((Inputs!$G$5:$G$130="moeda")+(Inputs!$G$5:$G$130="acoes"))*Inputs!$B$1+((Inputs!$G$5:$G$130&lt;&gt;"moeda")*(Inputs!$G$5:$G$130&lt;&gt;"acoes")))*INDEX(Inputs!$K$5:$AJ$130,0,MATCH(AC$2,Inputs!$K$4:$AJ$4,0)))+SUMPRODUCT((Inputs!$E$5:$E$130=$B31)*Inputs!$F$5:$F$130*(((Inputs!$G$5:$G$130="moeda")+(Inputs!$G$5:$G$130="acoes"))*Inputs!$B$1+((Inputs!$G$5:$G$130&lt;&gt;"moeda")*(Inputs!$G$5:$G$130&lt;&gt;"acoes")))*INDEX(Inputs!$K$5:$AJ$130,0,MATCH(AC$2,Inputs!$K$4:$AJ$4,0)))))</f>
        <v>15242</v>
      </c>
      <c r="AD31" s="265">
        <f>IF(ISNA(MATCH(AD$2,Inputs!$K$4:$AJ$4,0)),NA(),IF(SUMPRODUCT((Inputs!$A$5:$A$130=$B31)*ISNUMBER(INDEX(Inputs!$K$5:$AJ$130,0,MATCH(AD$2,Inputs!$K$4:$AJ$4,0))))+SUMPRODUCT((Inputs!$C$5:$C$130=$B31)*ISNUMBER(INDEX(Inputs!$K$5:$AJ$130,0,MATCH(AD$2,Inputs!$K$4:$AJ$4,0))))+SUMPRODUCT((Inputs!$E$5:$E$130=$B31)*ISNUMBER(INDEX(Inputs!$K$5:$AJ$130,0,MATCH(AD$2,Inputs!$K$4:$AJ$4,0))))=0,NA(),SUMPRODUCT((Inputs!$A$5:$A$130=$B31)*Inputs!$B$5:$B$130*(((Inputs!$G$5:$G$130="moeda")+(Inputs!$G$5:$G$130="acoes"))*Inputs!$B$1+((Inputs!$G$5:$G$130&lt;&gt;"moeda")*(Inputs!$G$5:$G$130&lt;&gt;"acoes")))*INDEX(Inputs!$K$5:$AJ$130,0,MATCH(AD$2,Inputs!$K$4:$AJ$4,0)))+SUMPRODUCT((Inputs!$C$5:$C$130=$B31)*Inputs!$D$5:$D$130*(((Inputs!$G$5:$G$130="moeda")+(Inputs!$G$5:$G$130="acoes"))*Inputs!$B$1+((Inputs!$G$5:$G$130&lt;&gt;"moeda")*(Inputs!$G$5:$G$130&lt;&gt;"acoes")))*INDEX(Inputs!$K$5:$AJ$130,0,MATCH(AD$2,Inputs!$K$4:$AJ$4,0)))+SUMPRODUCT((Inputs!$E$5:$E$130=$B31)*Inputs!$F$5:$F$130*(((Inputs!$G$5:$G$130="moeda")+(Inputs!$G$5:$G$130="acoes"))*Inputs!$B$1+((Inputs!$G$5:$G$130&lt;&gt;"moeda")*(Inputs!$G$5:$G$130&lt;&gt;"acoes")))*INDEX(Inputs!$K$5:$AJ$130,0,MATCH(AD$2,Inputs!$K$4:$AJ$4,0)))))</f>
        <v>11982</v>
      </c>
      <c r="AE31" s="265" t="e">
        <f>IF(ISNA(MATCH(AE$2,Inputs!$K$4:$AJ$4,0)),NA(),IF(SUMPRODUCT((Inputs!$A$5:$A$130=$B31)*ISNUMBER(INDEX(Inputs!$K$5:$AJ$130,0,MATCH(AE$2,Inputs!$K$4:$AJ$4,0))))+SUMPRODUCT((Inputs!$C$5:$C$130=$B31)*ISNUMBER(INDEX(Inputs!$K$5:$AJ$130,0,MATCH(AE$2,Inputs!$K$4:$AJ$4,0))))+SUMPRODUCT((Inputs!$E$5:$E$130=$B31)*ISNUMBER(INDEX(Inputs!$K$5:$AJ$130,0,MATCH(AE$2,Inputs!$K$4:$AJ$4,0))))=0,NA(),SUMPRODUCT((Inputs!$A$5:$A$130=$B31)*Inputs!$B$5:$B$130*(((Inputs!$G$5:$G$130="moeda")+(Inputs!$G$5:$G$130="acoes"))*Inputs!$B$1+((Inputs!$G$5:$G$130&lt;&gt;"moeda")*(Inputs!$G$5:$G$130&lt;&gt;"acoes")))*INDEX(Inputs!$K$5:$AJ$130,0,MATCH(AE$2,Inputs!$K$4:$AJ$4,0)))+SUMPRODUCT((Inputs!$C$5:$C$130=$B31)*Inputs!$D$5:$D$130*(((Inputs!$G$5:$G$130="moeda")+(Inputs!$G$5:$G$130="acoes"))*Inputs!$B$1+((Inputs!$G$5:$G$130&lt;&gt;"moeda")*(Inputs!$G$5:$G$130&lt;&gt;"acoes")))*INDEX(Inputs!$K$5:$AJ$130,0,MATCH(AE$2,Inputs!$K$4:$AJ$4,0)))+SUMPRODUCT((Inputs!$E$5:$E$130=$B31)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1" s="265" t="e">
        <f>IF(ISNA(MATCH(AF$2,Inputs!$K$4:$AJ$4,0)),NA(),IF(SUMPRODUCT((Inputs!$A$5:$A$130=$B31)*ISNUMBER(INDEX(Inputs!$K$5:$AJ$130,0,MATCH(AF$2,Inputs!$K$4:$AJ$4,0))))+SUMPRODUCT((Inputs!$C$5:$C$130=$B31)*ISNUMBER(INDEX(Inputs!$K$5:$AJ$130,0,MATCH(AF$2,Inputs!$K$4:$AJ$4,0))))+SUMPRODUCT((Inputs!$E$5:$E$130=$B31)*ISNUMBER(INDEX(Inputs!$K$5:$AJ$130,0,MATCH(AF$2,Inputs!$K$4:$AJ$4,0))))=0,NA(),SUMPRODUCT((Inputs!$A$5:$A$130=$B31)*Inputs!$B$5:$B$130*(((Inputs!$G$5:$G$130="moeda")+(Inputs!$G$5:$G$130="acoes"))*Inputs!$B$1+((Inputs!$G$5:$G$130&lt;&gt;"moeda")*(Inputs!$G$5:$G$130&lt;&gt;"acoes")))*INDEX(Inputs!$K$5:$AJ$130,0,MATCH(AF$2,Inputs!$K$4:$AJ$4,0)))+SUMPRODUCT((Inputs!$C$5:$C$130=$B31)*Inputs!$D$5:$D$130*(((Inputs!$G$5:$G$130="moeda")+(Inputs!$G$5:$G$130="acoes"))*Inputs!$B$1+((Inputs!$G$5:$G$130&lt;&gt;"moeda")*(Inputs!$G$5:$G$130&lt;&gt;"acoes")))*INDEX(Inputs!$K$5:$AJ$130,0,MATCH(AF$2,Inputs!$K$4:$AJ$4,0)))+SUMPRODUCT((Inputs!$E$5:$E$130=$B31)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1" s="266" t="e">
        <f>AF31</f>
        <v>#N/A</v>
      </c>
      <c r="AH31" s="265" t="e">
        <f>IF(ISNA(MATCH(AH$2,Inputs!$K$4:$AJ$4,0)),NA(),IF(SUMPRODUCT((Inputs!$A$5:$A$130=$B31)*ISNUMBER(INDEX(Inputs!$K$5:$AJ$130,0,MATCH(AH$2,Inputs!$K$4:$AJ$4,0))))+SUMPRODUCT((Inputs!$C$5:$C$130=$B31)*ISNUMBER(INDEX(Inputs!$K$5:$AJ$130,0,MATCH(AH$2,Inputs!$K$4:$AJ$4,0))))+SUMPRODUCT((Inputs!$E$5:$E$130=$B31)*ISNUMBER(INDEX(Inputs!$K$5:$AJ$130,0,MATCH(AH$2,Inputs!$K$4:$AJ$4,0))))=0,NA(),SUMPRODUCT((Inputs!$A$5:$A$130=$B31)*Inputs!$B$5:$B$130*(((Inputs!$G$5:$G$130="moeda")+(Inputs!$G$5:$G$130="acoes"))*Inputs!$B$1+((Inputs!$G$5:$G$130&lt;&gt;"moeda")*(Inputs!$G$5:$G$130&lt;&gt;"acoes")))*INDEX(Inputs!$K$5:$AJ$130,0,MATCH(AH$2,Inputs!$K$4:$AJ$4,0)))+SUMPRODUCT((Inputs!$C$5:$C$130=$B31)*Inputs!$D$5:$D$130*(((Inputs!$G$5:$G$130="moeda")+(Inputs!$G$5:$G$130="acoes"))*Inputs!$B$1+((Inputs!$G$5:$G$130&lt;&gt;"moeda")*(Inputs!$G$5:$G$130&lt;&gt;"acoes")))*INDEX(Inputs!$K$5:$AJ$130,0,MATCH(AH$2,Inputs!$K$4:$AJ$4,0)))+SUMPRODUCT((Inputs!$E$5:$E$130=$B31)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31" s="265" t="e">
        <f>IF(ISNA(MATCH(AI$2,Inputs!$K$4:$AJ$4,0)),NA(),IF(SUMPRODUCT((Inputs!$A$5:$A$130=$B31)*ISNUMBER(INDEX(Inputs!$K$5:$AJ$130,0,MATCH(AI$2,Inputs!$K$4:$AJ$4,0))))+SUMPRODUCT((Inputs!$C$5:$C$130=$B31)*ISNUMBER(INDEX(Inputs!$K$5:$AJ$130,0,MATCH(AI$2,Inputs!$K$4:$AJ$4,0))))+SUMPRODUCT((Inputs!$E$5:$E$130=$B31)*ISNUMBER(INDEX(Inputs!$K$5:$AJ$130,0,MATCH(AI$2,Inputs!$K$4:$AJ$4,0))))=0,NA(),SUMPRODUCT((Inputs!$A$5:$A$130=$B31)*Inputs!$B$5:$B$130*(((Inputs!$G$5:$G$130="moeda")+(Inputs!$G$5:$G$130="acoes"))*Inputs!$B$1+((Inputs!$G$5:$G$130&lt;&gt;"moeda")*(Inputs!$G$5:$G$130&lt;&gt;"acoes")))*INDEX(Inputs!$K$5:$AJ$130,0,MATCH(AI$2,Inputs!$K$4:$AJ$4,0)))+SUMPRODUCT((Inputs!$C$5:$C$130=$B31)*Inputs!$D$5:$D$130*(((Inputs!$G$5:$G$130="moeda")+(Inputs!$G$5:$G$130="acoes"))*Inputs!$B$1+((Inputs!$G$5:$G$130&lt;&gt;"moeda")*(Inputs!$G$5:$G$130&lt;&gt;"acoes")))*INDEX(Inputs!$K$5:$AJ$130,0,MATCH(AI$2,Inputs!$K$4:$AJ$4,0)))+SUMPRODUCT((Inputs!$E$5:$E$130=$B31)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31" s="265" t="e">
        <f>IF(ISNA(MATCH(AJ$2,Inputs!$K$4:$AJ$4,0)),NA(),IF(SUMPRODUCT((Inputs!$A$5:$A$130=$B31)*ISNUMBER(INDEX(Inputs!$K$5:$AJ$130,0,MATCH(AJ$2,Inputs!$K$4:$AJ$4,0))))+SUMPRODUCT((Inputs!$C$5:$C$130=$B31)*ISNUMBER(INDEX(Inputs!$K$5:$AJ$130,0,MATCH(AJ$2,Inputs!$K$4:$AJ$4,0))))+SUMPRODUCT((Inputs!$E$5:$E$130=$B31)*ISNUMBER(INDEX(Inputs!$K$5:$AJ$130,0,MATCH(AJ$2,Inputs!$K$4:$AJ$4,0))))=0,NA(),SUMPRODUCT((Inputs!$A$5:$A$130=$B31)*Inputs!$B$5:$B$130*(((Inputs!$G$5:$G$130="moeda")+(Inputs!$G$5:$G$130="acoes"))*Inputs!$B$1+((Inputs!$G$5:$G$130&lt;&gt;"moeda")*(Inputs!$G$5:$G$130&lt;&gt;"acoes")))*INDEX(Inputs!$K$5:$AJ$130,0,MATCH(AJ$2,Inputs!$K$4:$AJ$4,0)))+SUMPRODUCT((Inputs!$C$5:$C$130=$B31)*Inputs!$D$5:$D$130*(((Inputs!$G$5:$G$130="moeda")+(Inputs!$G$5:$G$130="acoes"))*Inputs!$B$1+((Inputs!$G$5:$G$130&lt;&gt;"moeda")*(Inputs!$G$5:$G$130&lt;&gt;"acoes")))*INDEX(Inputs!$K$5:$AJ$130,0,MATCH(AJ$2,Inputs!$K$4:$AJ$4,0)))+SUMPRODUCT((Inputs!$E$5:$E$130=$B31)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31" s="265" t="e">
        <f>IF(ISNA(MATCH(AK$2,Inputs!$K$4:$AJ$4,0)),NA(),IF(SUMPRODUCT((Inputs!$A$5:$A$130=$B31)*ISNUMBER(INDEX(Inputs!$K$5:$AJ$130,0,MATCH(AK$2,Inputs!$K$4:$AJ$4,0))))+SUMPRODUCT((Inputs!$C$5:$C$130=$B31)*ISNUMBER(INDEX(Inputs!$K$5:$AJ$130,0,MATCH(AK$2,Inputs!$K$4:$AJ$4,0))))+SUMPRODUCT((Inputs!$E$5:$E$130=$B31)*ISNUMBER(INDEX(Inputs!$K$5:$AJ$130,0,MATCH(AK$2,Inputs!$K$4:$AJ$4,0))))=0,NA(),SUMPRODUCT((Inputs!$A$5:$A$130=$B31)*Inputs!$B$5:$B$130*(((Inputs!$G$5:$G$130="moeda")+(Inputs!$G$5:$G$130="acoes"))*Inputs!$B$1+((Inputs!$G$5:$G$130&lt;&gt;"moeda")*(Inputs!$G$5:$G$130&lt;&gt;"acoes")))*INDEX(Inputs!$K$5:$AJ$130,0,MATCH(AK$2,Inputs!$K$4:$AJ$4,0)))+SUMPRODUCT((Inputs!$C$5:$C$130=$B31)*Inputs!$D$5:$D$130*(((Inputs!$G$5:$G$130="moeda")+(Inputs!$G$5:$G$130="acoes"))*Inputs!$B$1+((Inputs!$G$5:$G$130&lt;&gt;"moeda")*(Inputs!$G$5:$G$130&lt;&gt;"acoes")))*INDEX(Inputs!$K$5:$AJ$130,0,MATCH(AK$2,Inputs!$K$4:$AJ$4,0)))+SUMPRODUCT((Inputs!$E$5:$E$130=$B31)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31" s="266" t="e">
        <f>AK31</f>
        <v>#N/A</v>
      </c>
    </row>
    <row r="32" ht="12.75" customHeight="1" s="254">
      <c r="B32" s="263" t="n">
        <v>27</v>
      </c>
      <c r="C32" s="268" t="inlineStr">
        <is>
          <t>Current portion of long-term debt</t>
        </is>
      </c>
      <c r="D32" s="265">
        <f>IF(ISNA(MATCH(D$2,Inputs!$K$4:$AJ$4,0)),NA(),IF(SUMPRODUCT((Inputs!$A$5:$A$130=$B32)*ISNUMBER(INDEX(Inputs!$K$5:$AJ$130,0,MATCH(D$2,Inputs!$K$4:$AJ$4,0))))+SUMPRODUCT((Inputs!$C$5:$C$130=$B32)*ISNUMBER(INDEX(Inputs!$K$5:$AJ$130,0,MATCH(D$2,Inputs!$K$4:$AJ$4,0))))+SUMPRODUCT((Inputs!$E$5:$E$130=$B32)*ISNUMBER(INDEX(Inputs!$K$5:$AJ$130,0,MATCH(D$2,Inputs!$K$4:$AJ$4,0))))=0,NA(),SUMPRODUCT((Inputs!$A$5:$A$130=$B32)*Inputs!$B$5:$B$130*(((Inputs!$G$5:$G$130="moeda")+(Inputs!$G$5:$G$130="acoes"))*Inputs!$B$1+((Inputs!$G$5:$G$130&lt;&gt;"moeda")*(Inputs!$G$5:$G$130&lt;&gt;"acoes")))*INDEX(Inputs!$K$5:$AJ$130,0,MATCH(D$2,Inputs!$K$4:$AJ$4,0)))+SUMPRODUCT((Inputs!$C$5:$C$130=$B32)*Inputs!$D$5:$D$130*(((Inputs!$G$5:$G$130="moeda")+(Inputs!$G$5:$G$130="acoes"))*Inputs!$B$1+((Inputs!$G$5:$G$130&lt;&gt;"moeda")*(Inputs!$G$5:$G$130&lt;&gt;"acoes")))*INDEX(Inputs!$K$5:$AJ$130,0,MATCH(D$2,Inputs!$K$4:$AJ$4,0)))+SUMPRODUCT((Inputs!$E$5:$E$130=$B32)*Inputs!$F$5:$F$130*(((Inputs!$G$5:$G$130="moeda")+(Inputs!$G$5:$G$130="acoes"))*Inputs!$B$1+((Inputs!$G$5:$G$130&lt;&gt;"moeda")*(Inputs!$G$5:$G$130&lt;&gt;"acoes")))*INDEX(Inputs!$K$5:$AJ$130,0,MATCH(D$2,Inputs!$K$4:$AJ$4,0)))))</f>
        <v>14541</v>
      </c>
      <c r="E32" s="265">
        <f>IF(ISNA(MATCH(E$2,Inputs!$K$4:$AJ$4,0)),NA(),IF(SUMPRODUCT((Inputs!$A$5:$A$130=$B32)*ISNUMBER(INDEX(Inputs!$K$5:$AJ$130,0,MATCH(E$2,Inputs!$K$4:$AJ$4,0))))+SUMPRODUCT((Inputs!$C$5:$C$130=$B32)*ISNUMBER(INDEX(Inputs!$K$5:$AJ$130,0,MATCH(E$2,Inputs!$K$4:$AJ$4,0))))+SUMPRODUCT((Inputs!$E$5:$E$130=$B32)*ISNUMBER(INDEX(Inputs!$K$5:$AJ$130,0,MATCH(E$2,Inputs!$K$4:$AJ$4,0))))=0,NA(),SUMPRODUCT((Inputs!$A$5:$A$130=$B32)*Inputs!$B$5:$B$130*(((Inputs!$G$5:$G$130="moeda")+(Inputs!$G$5:$G$130="acoes"))*Inputs!$B$1+((Inputs!$G$5:$G$130&lt;&gt;"moeda")*(Inputs!$G$5:$G$130&lt;&gt;"acoes")))*INDEX(Inputs!$K$5:$AJ$130,0,MATCH(E$2,Inputs!$K$4:$AJ$4,0)))+SUMPRODUCT((Inputs!$C$5:$C$130=$B32)*Inputs!$D$5:$D$130*(((Inputs!$G$5:$G$130="moeda")+(Inputs!$G$5:$G$130="acoes"))*Inputs!$B$1+((Inputs!$G$5:$G$130&lt;&gt;"moeda")*(Inputs!$G$5:$G$130&lt;&gt;"acoes")))*INDEX(Inputs!$K$5:$AJ$130,0,MATCH(E$2,Inputs!$K$4:$AJ$4,0)))+SUMPRODUCT((Inputs!$E$5:$E$130=$B32)*Inputs!$F$5:$F$130*(((Inputs!$G$5:$G$130="moeda")+(Inputs!$G$5:$G$130="acoes"))*Inputs!$B$1+((Inputs!$G$5:$G$130&lt;&gt;"moeda")*(Inputs!$G$5:$G$130&lt;&gt;"acoes")))*INDEX(Inputs!$K$5:$AJ$130,0,MATCH(E$2,Inputs!$K$4:$AJ$4,0)))))</f>
        <v>13042</v>
      </c>
      <c r="F32" s="265">
        <f>IF(ISNA(MATCH(F$2,Inputs!$K$4:$AJ$4,0)),NA(),IF(SUMPRODUCT((Inputs!$A$5:$A$130=$B32)*ISNUMBER(INDEX(Inputs!$K$5:$AJ$130,0,MATCH(F$2,Inputs!$K$4:$AJ$4,0))))+SUMPRODUCT((Inputs!$C$5:$C$130=$B32)*ISNUMBER(INDEX(Inputs!$K$5:$AJ$130,0,MATCH(F$2,Inputs!$K$4:$AJ$4,0))))+SUMPRODUCT((Inputs!$E$5:$E$130=$B32)*ISNUMBER(INDEX(Inputs!$K$5:$AJ$130,0,MATCH(F$2,Inputs!$K$4:$AJ$4,0))))=0,NA(),SUMPRODUCT((Inputs!$A$5:$A$130=$B32)*Inputs!$B$5:$B$130*(((Inputs!$G$5:$G$130="moeda")+(Inputs!$G$5:$G$130="acoes"))*Inputs!$B$1+((Inputs!$G$5:$G$130&lt;&gt;"moeda")*(Inputs!$G$5:$G$130&lt;&gt;"acoes")))*INDEX(Inputs!$K$5:$AJ$130,0,MATCH(F$2,Inputs!$K$4:$AJ$4,0)))+SUMPRODUCT((Inputs!$C$5:$C$130=$B32)*Inputs!$D$5:$D$130*(((Inputs!$G$5:$G$130="moeda")+(Inputs!$G$5:$G$130="acoes"))*Inputs!$B$1+((Inputs!$G$5:$G$130&lt;&gt;"moeda")*(Inputs!$G$5:$G$130&lt;&gt;"acoes")))*INDEX(Inputs!$K$5:$AJ$130,0,MATCH(F$2,Inputs!$K$4:$AJ$4,0)))+SUMPRODUCT((Inputs!$E$5:$E$130=$B32)*Inputs!$F$5:$F$130*(((Inputs!$G$5:$G$130="moeda")+(Inputs!$G$5:$G$130="acoes"))*Inputs!$B$1+((Inputs!$G$5:$G$130&lt;&gt;"moeda")*(Inputs!$G$5:$G$130&lt;&gt;"acoes")))*INDEX(Inputs!$K$5:$AJ$130,0,MATCH(F$2,Inputs!$K$4:$AJ$4,0)))))</f>
        <v>10686</v>
      </c>
      <c r="G32" s="265">
        <f>IF(ISNA(MATCH(G$2,Inputs!$K$4:$AJ$4,0)),NA(),IF(SUMPRODUCT((Inputs!$A$5:$A$130=$B32)*ISNUMBER(INDEX(Inputs!$K$5:$AJ$130,0,MATCH(G$2,Inputs!$K$4:$AJ$4,0))))+SUMPRODUCT((Inputs!$C$5:$C$130=$B32)*ISNUMBER(INDEX(Inputs!$K$5:$AJ$130,0,MATCH(G$2,Inputs!$K$4:$AJ$4,0))))+SUMPRODUCT((Inputs!$E$5:$E$130=$B32)*ISNUMBER(INDEX(Inputs!$K$5:$AJ$130,0,MATCH(G$2,Inputs!$K$4:$AJ$4,0))))=0,NA(),SUMPRODUCT((Inputs!$A$5:$A$130=$B32)*Inputs!$B$5:$B$130*(((Inputs!$G$5:$G$130="moeda")+(Inputs!$G$5:$G$130="acoes"))*Inputs!$B$1+((Inputs!$G$5:$G$130&lt;&gt;"moeda")*(Inputs!$G$5:$G$130&lt;&gt;"acoes")))*INDEX(Inputs!$K$5:$AJ$130,0,MATCH(G$2,Inputs!$K$4:$AJ$4,0)))+SUMPRODUCT((Inputs!$C$5:$C$130=$B32)*Inputs!$D$5:$D$130*(((Inputs!$G$5:$G$130="moeda")+(Inputs!$G$5:$G$130="acoes"))*Inputs!$B$1+((Inputs!$G$5:$G$130&lt;&gt;"moeda")*(Inputs!$G$5:$G$130&lt;&gt;"acoes")))*INDEX(Inputs!$K$5:$AJ$130,0,MATCH(G$2,Inputs!$K$4:$AJ$4,0)))+SUMPRODUCT((Inputs!$E$5:$E$130=$B32)*Inputs!$F$5:$F$130*(((Inputs!$G$5:$G$130="moeda")+(Inputs!$G$5:$G$130="acoes"))*Inputs!$B$1+((Inputs!$G$5:$G$130&lt;&gt;"moeda")*(Inputs!$G$5:$G$130&lt;&gt;"acoes")))*INDEX(Inputs!$K$5:$AJ$130,0,MATCH(G$2,Inputs!$K$4:$AJ$4,0)))))</f>
        <v>8218</v>
      </c>
      <c r="H32" s="266">
        <f>G32</f>
        <v>8218</v>
      </c>
      <c r="I32" s="265">
        <f>IF(ISNA(MATCH(I$2,Inputs!$K$4:$AJ$4,0)),NA(),IF(SUMPRODUCT((Inputs!$A$5:$A$130=$B32)*ISNUMBER(INDEX(Inputs!$K$5:$AJ$130,0,MATCH(I$2,Inputs!$K$4:$AJ$4,0))))+SUMPRODUCT((Inputs!$C$5:$C$130=$B32)*ISNUMBER(INDEX(Inputs!$K$5:$AJ$130,0,MATCH(I$2,Inputs!$K$4:$AJ$4,0))))+SUMPRODUCT((Inputs!$E$5:$E$130=$B32)*ISNUMBER(INDEX(Inputs!$K$5:$AJ$130,0,MATCH(I$2,Inputs!$K$4:$AJ$4,0))))=0,NA(),SUMPRODUCT((Inputs!$A$5:$A$130=$B32)*Inputs!$B$5:$B$130*(((Inputs!$G$5:$G$130="moeda")+(Inputs!$G$5:$G$130="acoes"))*Inputs!$B$1+((Inputs!$G$5:$G$130&lt;&gt;"moeda")*(Inputs!$G$5:$G$130&lt;&gt;"acoes")))*INDEX(Inputs!$K$5:$AJ$130,0,MATCH(I$2,Inputs!$K$4:$AJ$4,0)))+SUMPRODUCT((Inputs!$C$5:$C$130=$B32)*Inputs!$D$5:$D$130*(((Inputs!$G$5:$G$130="moeda")+(Inputs!$G$5:$G$130="acoes"))*Inputs!$B$1+((Inputs!$G$5:$G$130&lt;&gt;"moeda")*(Inputs!$G$5:$G$130&lt;&gt;"acoes")))*INDEX(Inputs!$K$5:$AJ$130,0,MATCH(I$2,Inputs!$K$4:$AJ$4,0)))+SUMPRODUCT((Inputs!$E$5:$E$130=$B32)*Inputs!$F$5:$F$130*(((Inputs!$G$5:$G$130="moeda")+(Inputs!$G$5:$G$130="acoes"))*Inputs!$B$1+((Inputs!$G$5:$G$130&lt;&gt;"moeda")*(Inputs!$G$5:$G$130&lt;&gt;"acoes")))*INDEX(Inputs!$K$5:$AJ$130,0,MATCH(I$2,Inputs!$K$4:$AJ$4,0)))))</f>
        <v>7027</v>
      </c>
      <c r="J32" s="265">
        <f>IF(ISNA(MATCH(J$2,Inputs!$K$4:$AJ$4,0)),NA(),IF(SUMPRODUCT((Inputs!$A$5:$A$130=$B32)*ISNUMBER(INDEX(Inputs!$K$5:$AJ$130,0,MATCH(J$2,Inputs!$K$4:$AJ$4,0))))+SUMPRODUCT((Inputs!$C$5:$C$130=$B32)*ISNUMBER(INDEX(Inputs!$K$5:$AJ$130,0,MATCH(J$2,Inputs!$K$4:$AJ$4,0))))+SUMPRODUCT((Inputs!$E$5:$E$130=$B32)*ISNUMBER(INDEX(Inputs!$K$5:$AJ$130,0,MATCH(J$2,Inputs!$K$4:$AJ$4,0))))=0,NA(),SUMPRODUCT((Inputs!$A$5:$A$130=$B32)*Inputs!$B$5:$B$130*(((Inputs!$G$5:$G$130="moeda")+(Inputs!$G$5:$G$130="acoes"))*Inputs!$B$1+((Inputs!$G$5:$G$130&lt;&gt;"moeda")*(Inputs!$G$5:$G$130&lt;&gt;"acoes")))*INDEX(Inputs!$K$5:$AJ$130,0,MATCH(J$2,Inputs!$K$4:$AJ$4,0)))+SUMPRODUCT((Inputs!$C$5:$C$130=$B32)*Inputs!$D$5:$D$130*(((Inputs!$G$5:$G$130="moeda")+(Inputs!$G$5:$G$130="acoes"))*Inputs!$B$1+((Inputs!$G$5:$G$130&lt;&gt;"moeda")*(Inputs!$G$5:$G$130&lt;&gt;"acoes")))*INDEX(Inputs!$K$5:$AJ$130,0,MATCH(J$2,Inputs!$K$4:$AJ$4,0)))+SUMPRODUCT((Inputs!$E$5:$E$130=$B32)*Inputs!$F$5:$F$130*(((Inputs!$G$5:$G$130="moeda")+(Inputs!$G$5:$G$130="acoes"))*Inputs!$B$1+((Inputs!$G$5:$G$130&lt;&gt;"moeda")*(Inputs!$G$5:$G$130&lt;&gt;"acoes")))*INDEX(Inputs!$K$5:$AJ$130,0,MATCH(J$2,Inputs!$K$4:$AJ$4,0)))))</f>
        <v>6521</v>
      </c>
      <c r="K32" s="265">
        <f>IF(ISNA(MATCH(K$2,Inputs!$K$4:$AJ$4,0)),NA(),IF(SUMPRODUCT((Inputs!$A$5:$A$130=$B32)*ISNUMBER(INDEX(Inputs!$K$5:$AJ$130,0,MATCH(K$2,Inputs!$K$4:$AJ$4,0))))+SUMPRODUCT((Inputs!$C$5:$C$130=$B32)*ISNUMBER(INDEX(Inputs!$K$5:$AJ$130,0,MATCH(K$2,Inputs!$K$4:$AJ$4,0))))+SUMPRODUCT((Inputs!$E$5:$E$130=$B32)*ISNUMBER(INDEX(Inputs!$K$5:$AJ$130,0,MATCH(K$2,Inputs!$K$4:$AJ$4,0))))=0,NA(),SUMPRODUCT((Inputs!$A$5:$A$130=$B32)*Inputs!$B$5:$B$130*(((Inputs!$G$5:$G$130="moeda")+(Inputs!$G$5:$G$130="acoes"))*Inputs!$B$1+((Inputs!$G$5:$G$130&lt;&gt;"moeda")*(Inputs!$G$5:$G$130&lt;&gt;"acoes")))*INDEX(Inputs!$K$5:$AJ$130,0,MATCH(K$2,Inputs!$K$4:$AJ$4,0)))+SUMPRODUCT((Inputs!$C$5:$C$130=$B32)*Inputs!$D$5:$D$130*(((Inputs!$G$5:$G$130="moeda")+(Inputs!$G$5:$G$130="acoes"))*Inputs!$B$1+((Inputs!$G$5:$G$130&lt;&gt;"moeda")*(Inputs!$G$5:$G$130&lt;&gt;"acoes")))*INDEX(Inputs!$K$5:$AJ$130,0,MATCH(K$2,Inputs!$K$4:$AJ$4,0)))+SUMPRODUCT((Inputs!$E$5:$E$130=$B32)*Inputs!$F$5:$F$130*(((Inputs!$G$5:$G$130="moeda")+(Inputs!$G$5:$G$130="acoes"))*Inputs!$B$1+((Inputs!$G$5:$G$130&lt;&gt;"moeda")*(Inputs!$G$5:$G$130&lt;&gt;"acoes")))*INDEX(Inputs!$K$5:$AJ$130,0,MATCH(K$2,Inputs!$K$4:$AJ$4,0)))))</f>
        <v>8046</v>
      </c>
      <c r="L32" s="265">
        <f>IF(ISNA(MATCH(L$2,Inputs!$K$4:$AJ$4,0)),NA(),IF(SUMPRODUCT((Inputs!$A$5:$A$130=$B32)*ISNUMBER(INDEX(Inputs!$K$5:$AJ$130,0,MATCH(L$2,Inputs!$K$4:$AJ$4,0))))+SUMPRODUCT((Inputs!$C$5:$C$130=$B32)*ISNUMBER(INDEX(Inputs!$K$5:$AJ$130,0,MATCH(L$2,Inputs!$K$4:$AJ$4,0))))+SUMPRODUCT((Inputs!$E$5:$E$130=$B32)*ISNUMBER(INDEX(Inputs!$K$5:$AJ$130,0,MATCH(L$2,Inputs!$K$4:$AJ$4,0))))=0,NA(),SUMPRODUCT((Inputs!$A$5:$A$130=$B32)*Inputs!$B$5:$B$130*(((Inputs!$G$5:$G$130="moeda")+(Inputs!$G$5:$G$130="acoes"))*Inputs!$B$1+((Inputs!$G$5:$G$130&lt;&gt;"moeda")*(Inputs!$G$5:$G$130&lt;&gt;"acoes")))*INDEX(Inputs!$K$5:$AJ$130,0,MATCH(L$2,Inputs!$K$4:$AJ$4,0)))+SUMPRODUCT((Inputs!$C$5:$C$130=$B32)*Inputs!$D$5:$D$130*(((Inputs!$G$5:$G$130="moeda")+(Inputs!$G$5:$G$130="acoes"))*Inputs!$B$1+((Inputs!$G$5:$G$130&lt;&gt;"moeda")*(Inputs!$G$5:$G$130&lt;&gt;"acoes")))*INDEX(Inputs!$K$5:$AJ$130,0,MATCH(L$2,Inputs!$K$4:$AJ$4,0)))+SUMPRODUCT((Inputs!$E$5:$E$130=$B32)*Inputs!$F$5:$F$130*(((Inputs!$G$5:$G$130="moeda")+(Inputs!$G$5:$G$130="acoes"))*Inputs!$B$1+((Inputs!$G$5:$G$130&lt;&gt;"moeda")*(Inputs!$G$5:$G$130&lt;&gt;"acoes")))*INDEX(Inputs!$K$5:$AJ$130,0,MATCH(L$2,Inputs!$K$4:$AJ$4,0)))))</f>
        <v>9001</v>
      </c>
      <c r="M32" s="266">
        <f>L32</f>
        <v>9001</v>
      </c>
      <c r="N32" s="265">
        <f>IF(ISNA(MATCH(N$2,Inputs!$K$4:$AJ$4,0)),NA(),IF(SUMPRODUCT((Inputs!$A$5:$A$130=$B32)*ISNUMBER(INDEX(Inputs!$K$5:$AJ$130,0,MATCH(N$2,Inputs!$K$4:$AJ$4,0))))+SUMPRODUCT((Inputs!$C$5:$C$130=$B32)*ISNUMBER(INDEX(Inputs!$K$5:$AJ$130,0,MATCH(N$2,Inputs!$K$4:$AJ$4,0))))+SUMPRODUCT((Inputs!$E$5:$E$130=$B32)*ISNUMBER(INDEX(Inputs!$K$5:$AJ$130,0,MATCH(N$2,Inputs!$K$4:$AJ$4,0))))=0,NA(),SUMPRODUCT((Inputs!$A$5:$A$130=$B32)*Inputs!$B$5:$B$130*(((Inputs!$G$5:$G$130="moeda")+(Inputs!$G$5:$G$130="acoes"))*Inputs!$B$1+((Inputs!$G$5:$G$130&lt;&gt;"moeda")*(Inputs!$G$5:$G$130&lt;&gt;"acoes")))*INDEX(Inputs!$K$5:$AJ$130,0,MATCH(N$2,Inputs!$K$4:$AJ$4,0)))+SUMPRODUCT((Inputs!$C$5:$C$130=$B32)*Inputs!$D$5:$D$130*(((Inputs!$G$5:$G$130="moeda")+(Inputs!$G$5:$G$130="acoes"))*Inputs!$B$1+((Inputs!$G$5:$G$130&lt;&gt;"moeda")*(Inputs!$G$5:$G$130&lt;&gt;"acoes")))*INDEX(Inputs!$K$5:$AJ$130,0,MATCH(N$2,Inputs!$K$4:$AJ$4,0)))+SUMPRODUCT((Inputs!$E$5:$E$130=$B32)*Inputs!$F$5:$F$130*(((Inputs!$G$5:$G$130="moeda")+(Inputs!$G$5:$G$130="acoes"))*Inputs!$B$1+((Inputs!$G$5:$G$130&lt;&gt;"moeda")*(Inputs!$G$5:$G$130&lt;&gt;"acoes")))*INDEX(Inputs!$K$5:$AJ$130,0,MATCH(N$2,Inputs!$K$4:$AJ$4,0)))))</f>
        <v>9044</v>
      </c>
      <c r="O32" s="265">
        <f>IF(ISNA(MATCH(O$2,Inputs!$K$4:$AJ$4,0)),NA(),IF(SUMPRODUCT((Inputs!$A$5:$A$130=$B32)*ISNUMBER(INDEX(Inputs!$K$5:$AJ$130,0,MATCH(O$2,Inputs!$K$4:$AJ$4,0))))+SUMPRODUCT((Inputs!$C$5:$C$130=$B32)*ISNUMBER(INDEX(Inputs!$K$5:$AJ$130,0,MATCH(O$2,Inputs!$K$4:$AJ$4,0))))+SUMPRODUCT((Inputs!$E$5:$E$130=$B32)*ISNUMBER(INDEX(Inputs!$K$5:$AJ$130,0,MATCH(O$2,Inputs!$K$4:$AJ$4,0))))=0,NA(),SUMPRODUCT((Inputs!$A$5:$A$130=$B32)*Inputs!$B$5:$B$130*(((Inputs!$G$5:$G$130="moeda")+(Inputs!$G$5:$G$130="acoes"))*Inputs!$B$1+((Inputs!$G$5:$G$130&lt;&gt;"moeda")*(Inputs!$G$5:$G$130&lt;&gt;"acoes")))*INDEX(Inputs!$K$5:$AJ$130,0,MATCH(O$2,Inputs!$K$4:$AJ$4,0)))+SUMPRODUCT((Inputs!$C$5:$C$130=$B32)*Inputs!$D$5:$D$130*(((Inputs!$G$5:$G$130="moeda")+(Inputs!$G$5:$G$130="acoes"))*Inputs!$B$1+((Inputs!$G$5:$G$130&lt;&gt;"moeda")*(Inputs!$G$5:$G$130&lt;&gt;"acoes")))*INDEX(Inputs!$K$5:$AJ$130,0,MATCH(O$2,Inputs!$K$4:$AJ$4,0)))+SUMPRODUCT((Inputs!$E$5:$E$130=$B32)*Inputs!$F$5:$F$130*(((Inputs!$G$5:$G$130="moeda")+(Inputs!$G$5:$G$130="acoes"))*Inputs!$B$1+((Inputs!$G$5:$G$130&lt;&gt;"moeda")*(Inputs!$G$5:$G$130&lt;&gt;"acoes")))*INDEX(Inputs!$K$5:$AJ$130,0,MATCH(O$2,Inputs!$K$4:$AJ$4,0)))))</f>
        <v>12114</v>
      </c>
      <c r="P32" s="265">
        <f>IF(ISNA(MATCH(P$2,Inputs!$K$4:$AJ$4,0)),NA(),IF(SUMPRODUCT((Inputs!$A$5:$A$130=$B32)*ISNUMBER(INDEX(Inputs!$K$5:$AJ$130,0,MATCH(P$2,Inputs!$K$4:$AJ$4,0))))+SUMPRODUCT((Inputs!$C$5:$C$130=$B32)*ISNUMBER(INDEX(Inputs!$K$5:$AJ$130,0,MATCH(P$2,Inputs!$K$4:$AJ$4,0))))+SUMPRODUCT((Inputs!$E$5:$E$130=$B32)*ISNUMBER(INDEX(Inputs!$K$5:$AJ$130,0,MATCH(P$2,Inputs!$K$4:$AJ$4,0))))=0,NA(),SUMPRODUCT((Inputs!$A$5:$A$130=$B32)*Inputs!$B$5:$B$130*(((Inputs!$G$5:$G$130="moeda")+(Inputs!$G$5:$G$130="acoes"))*Inputs!$B$1+((Inputs!$G$5:$G$130&lt;&gt;"moeda")*(Inputs!$G$5:$G$130&lt;&gt;"acoes")))*INDEX(Inputs!$K$5:$AJ$130,0,MATCH(P$2,Inputs!$K$4:$AJ$4,0)))+SUMPRODUCT((Inputs!$C$5:$C$130=$B32)*Inputs!$D$5:$D$130*(((Inputs!$G$5:$G$130="moeda")+(Inputs!$G$5:$G$130="acoes"))*Inputs!$B$1+((Inputs!$G$5:$G$130&lt;&gt;"moeda")*(Inputs!$G$5:$G$130&lt;&gt;"acoes")))*INDEX(Inputs!$K$5:$AJ$130,0,MATCH(P$2,Inputs!$K$4:$AJ$4,0)))+SUMPRODUCT((Inputs!$E$5:$E$130=$B32)*Inputs!$F$5:$F$130*(((Inputs!$G$5:$G$130="moeda")+(Inputs!$G$5:$G$130="acoes"))*Inputs!$B$1+((Inputs!$G$5:$G$130&lt;&gt;"moeda")*(Inputs!$G$5:$G$130&lt;&gt;"acoes")))*INDEX(Inputs!$K$5:$AJ$130,0,MATCH(P$2,Inputs!$K$4:$AJ$4,0)))))</f>
        <v>10119</v>
      </c>
      <c r="Q32" s="265">
        <f>IF(ISNA(MATCH(Q$2,Inputs!$K$4:$AJ$4,0)),NA(),IF(SUMPRODUCT((Inputs!$A$5:$A$130=$B32)*ISNUMBER(INDEX(Inputs!$K$5:$AJ$130,0,MATCH(Q$2,Inputs!$K$4:$AJ$4,0))))+SUMPRODUCT((Inputs!$C$5:$C$130=$B32)*ISNUMBER(INDEX(Inputs!$K$5:$AJ$130,0,MATCH(Q$2,Inputs!$K$4:$AJ$4,0))))+SUMPRODUCT((Inputs!$E$5:$E$130=$B32)*ISNUMBER(INDEX(Inputs!$K$5:$AJ$130,0,MATCH(Q$2,Inputs!$K$4:$AJ$4,0))))=0,NA(),SUMPRODUCT((Inputs!$A$5:$A$130=$B32)*Inputs!$B$5:$B$130*(((Inputs!$G$5:$G$130="moeda")+(Inputs!$G$5:$G$130="acoes"))*Inputs!$B$1+((Inputs!$G$5:$G$130&lt;&gt;"moeda")*(Inputs!$G$5:$G$130&lt;&gt;"acoes")))*INDEX(Inputs!$K$5:$AJ$130,0,MATCH(Q$2,Inputs!$K$4:$AJ$4,0)))+SUMPRODUCT((Inputs!$C$5:$C$130=$B32)*Inputs!$D$5:$D$130*(((Inputs!$G$5:$G$130="moeda")+(Inputs!$G$5:$G$130="acoes"))*Inputs!$B$1+((Inputs!$G$5:$G$130&lt;&gt;"moeda")*(Inputs!$G$5:$G$130&lt;&gt;"acoes")))*INDEX(Inputs!$K$5:$AJ$130,0,MATCH(Q$2,Inputs!$K$4:$AJ$4,0)))+SUMPRODUCT((Inputs!$E$5:$E$130=$B32)*Inputs!$F$5:$F$130*(((Inputs!$G$5:$G$130="moeda")+(Inputs!$G$5:$G$130="acoes"))*Inputs!$B$1+((Inputs!$G$5:$G$130&lt;&gt;"moeda")*(Inputs!$G$5:$G$130&lt;&gt;"acoes")))*INDEX(Inputs!$K$5:$AJ$130,0,MATCH(Q$2,Inputs!$K$4:$AJ$4,0)))))</f>
        <v>9931</v>
      </c>
      <c r="R32" s="266">
        <f>Q32</f>
        <v>9931</v>
      </c>
      <c r="S32" s="265">
        <f>IF(ISNA(MATCH(S$2,Inputs!$K$4:$AJ$4,0)),NA(),IF(SUMPRODUCT((Inputs!$A$5:$A$130=$B32)*ISNUMBER(INDEX(Inputs!$K$5:$AJ$130,0,MATCH(S$2,Inputs!$K$4:$AJ$4,0))))+SUMPRODUCT((Inputs!$C$5:$C$130=$B32)*ISNUMBER(INDEX(Inputs!$K$5:$AJ$130,0,MATCH(S$2,Inputs!$K$4:$AJ$4,0))))+SUMPRODUCT((Inputs!$E$5:$E$130=$B32)*ISNUMBER(INDEX(Inputs!$K$5:$AJ$130,0,MATCH(S$2,Inputs!$K$4:$AJ$4,0))))=0,NA(),SUMPRODUCT((Inputs!$A$5:$A$130=$B32)*Inputs!$B$5:$B$130*(((Inputs!$G$5:$G$130="moeda")+(Inputs!$G$5:$G$130="acoes"))*Inputs!$B$1+((Inputs!$G$5:$G$130&lt;&gt;"moeda")*(Inputs!$G$5:$G$130&lt;&gt;"acoes")))*INDEX(Inputs!$K$5:$AJ$130,0,MATCH(S$2,Inputs!$K$4:$AJ$4,0)))+SUMPRODUCT((Inputs!$C$5:$C$130=$B32)*Inputs!$D$5:$D$130*(((Inputs!$G$5:$G$130="moeda")+(Inputs!$G$5:$G$130="acoes"))*Inputs!$B$1+((Inputs!$G$5:$G$130&lt;&gt;"moeda")*(Inputs!$G$5:$G$130&lt;&gt;"acoes")))*INDEX(Inputs!$K$5:$AJ$130,0,MATCH(S$2,Inputs!$K$4:$AJ$4,0)))+SUMPRODUCT((Inputs!$E$5:$E$130=$B32)*Inputs!$F$5:$F$130*(((Inputs!$G$5:$G$130="moeda")+(Inputs!$G$5:$G$130="acoes"))*Inputs!$B$1+((Inputs!$G$5:$G$130&lt;&gt;"moeda")*(Inputs!$G$5:$G$130&lt;&gt;"acoes")))*INDEX(Inputs!$K$5:$AJ$130,0,MATCH(S$2,Inputs!$K$4:$AJ$4,0)))))</f>
        <v>11046</v>
      </c>
      <c r="T32" s="265">
        <f>IF(ISNA(MATCH(T$2,Inputs!$K$4:$AJ$4,0)),NA(),IF(SUMPRODUCT((Inputs!$A$5:$A$130=$B32)*ISNUMBER(INDEX(Inputs!$K$5:$AJ$130,0,MATCH(T$2,Inputs!$K$4:$AJ$4,0))))+SUMPRODUCT((Inputs!$C$5:$C$130=$B32)*ISNUMBER(INDEX(Inputs!$K$5:$AJ$130,0,MATCH(T$2,Inputs!$K$4:$AJ$4,0))))+SUMPRODUCT((Inputs!$E$5:$E$130=$B32)*ISNUMBER(INDEX(Inputs!$K$5:$AJ$130,0,MATCH(T$2,Inputs!$K$4:$AJ$4,0))))=0,NA(),SUMPRODUCT((Inputs!$A$5:$A$130=$B32)*Inputs!$B$5:$B$130*(((Inputs!$G$5:$G$130="moeda")+(Inputs!$G$5:$G$130="acoes"))*Inputs!$B$1+((Inputs!$G$5:$G$130&lt;&gt;"moeda")*(Inputs!$G$5:$G$130&lt;&gt;"acoes")))*INDEX(Inputs!$K$5:$AJ$130,0,MATCH(T$2,Inputs!$K$4:$AJ$4,0)))+SUMPRODUCT((Inputs!$C$5:$C$130=$B32)*Inputs!$D$5:$D$130*(((Inputs!$G$5:$G$130="moeda")+(Inputs!$G$5:$G$130="acoes"))*Inputs!$B$1+((Inputs!$G$5:$G$130&lt;&gt;"moeda")*(Inputs!$G$5:$G$130&lt;&gt;"acoes")))*INDEX(Inputs!$K$5:$AJ$130,0,MATCH(T$2,Inputs!$K$4:$AJ$4,0)))+SUMPRODUCT((Inputs!$E$5:$E$130=$B32)*Inputs!$F$5:$F$130*(((Inputs!$G$5:$G$130="moeda")+(Inputs!$G$5:$G$130="acoes"))*Inputs!$B$1+((Inputs!$G$5:$G$130&lt;&gt;"moeda")*(Inputs!$G$5:$G$130&lt;&gt;"acoes")))*INDEX(Inputs!$K$5:$AJ$130,0,MATCH(T$2,Inputs!$K$4:$AJ$4,0)))))</f>
        <v>10849</v>
      </c>
      <c r="U32" s="265">
        <f>IF(ISNA(MATCH(U$2,Inputs!$K$4:$AJ$4,0)),NA(),IF(SUMPRODUCT((Inputs!$A$5:$A$130=$B32)*ISNUMBER(INDEX(Inputs!$K$5:$AJ$130,0,MATCH(U$2,Inputs!$K$4:$AJ$4,0))))+SUMPRODUCT((Inputs!$C$5:$C$130=$B32)*ISNUMBER(INDEX(Inputs!$K$5:$AJ$130,0,MATCH(U$2,Inputs!$K$4:$AJ$4,0))))+SUMPRODUCT((Inputs!$E$5:$E$130=$B32)*ISNUMBER(INDEX(Inputs!$K$5:$AJ$130,0,MATCH(U$2,Inputs!$K$4:$AJ$4,0))))=0,NA(),SUMPRODUCT((Inputs!$A$5:$A$130=$B32)*Inputs!$B$5:$B$130*(((Inputs!$G$5:$G$130="moeda")+(Inputs!$G$5:$G$130="acoes"))*Inputs!$B$1+((Inputs!$G$5:$G$130&lt;&gt;"moeda")*(Inputs!$G$5:$G$130&lt;&gt;"acoes")))*INDEX(Inputs!$K$5:$AJ$130,0,MATCH(U$2,Inputs!$K$4:$AJ$4,0)))+SUMPRODUCT((Inputs!$C$5:$C$130=$B32)*Inputs!$D$5:$D$130*(((Inputs!$G$5:$G$130="moeda")+(Inputs!$G$5:$G$130="acoes"))*Inputs!$B$1+((Inputs!$G$5:$G$130&lt;&gt;"moeda")*(Inputs!$G$5:$G$130&lt;&gt;"acoes")))*INDEX(Inputs!$K$5:$AJ$130,0,MATCH(U$2,Inputs!$K$4:$AJ$4,0)))+SUMPRODUCT((Inputs!$E$5:$E$130=$B32)*Inputs!$F$5:$F$130*(((Inputs!$G$5:$G$130="moeda")+(Inputs!$G$5:$G$130="acoes"))*Inputs!$B$1+((Inputs!$G$5:$G$130&lt;&gt;"moeda")*(Inputs!$G$5:$G$130&lt;&gt;"acoes")))*INDEX(Inputs!$K$5:$AJ$130,0,MATCH(U$2,Inputs!$K$4:$AJ$4,0)))))</f>
        <v>12015</v>
      </c>
      <c r="V32" s="265">
        <f>IF(ISNA(MATCH(V$2,Inputs!$K$4:$AJ$4,0)),NA(),IF(SUMPRODUCT((Inputs!$A$5:$A$130=$B32)*ISNUMBER(INDEX(Inputs!$K$5:$AJ$130,0,MATCH(V$2,Inputs!$K$4:$AJ$4,0))))+SUMPRODUCT((Inputs!$C$5:$C$130=$B32)*ISNUMBER(INDEX(Inputs!$K$5:$AJ$130,0,MATCH(V$2,Inputs!$K$4:$AJ$4,0))))+SUMPRODUCT((Inputs!$E$5:$E$130=$B32)*ISNUMBER(INDEX(Inputs!$K$5:$AJ$130,0,MATCH(V$2,Inputs!$K$4:$AJ$4,0))))=0,NA(),SUMPRODUCT((Inputs!$A$5:$A$130=$B32)*Inputs!$B$5:$B$130*(((Inputs!$G$5:$G$130="moeda")+(Inputs!$G$5:$G$130="acoes"))*Inputs!$B$1+((Inputs!$G$5:$G$130&lt;&gt;"moeda")*(Inputs!$G$5:$G$130&lt;&gt;"acoes")))*INDEX(Inputs!$K$5:$AJ$130,0,MATCH(V$2,Inputs!$K$4:$AJ$4,0)))+SUMPRODUCT((Inputs!$C$5:$C$130=$B32)*Inputs!$D$5:$D$130*(((Inputs!$G$5:$G$130="moeda")+(Inputs!$G$5:$G$130="acoes"))*Inputs!$B$1+((Inputs!$G$5:$G$130&lt;&gt;"moeda")*(Inputs!$G$5:$G$130&lt;&gt;"acoes")))*INDEX(Inputs!$K$5:$AJ$130,0,MATCH(V$2,Inputs!$K$4:$AJ$4,0)))+SUMPRODUCT((Inputs!$E$5:$E$130=$B32)*Inputs!$F$5:$F$130*(((Inputs!$G$5:$G$130="moeda")+(Inputs!$G$5:$G$130="acoes"))*Inputs!$B$1+((Inputs!$G$5:$G$130&lt;&gt;"moeda")*(Inputs!$G$5:$G$130&lt;&gt;"acoes")))*INDEX(Inputs!$K$5:$AJ$130,0,MATCH(V$2,Inputs!$K$4:$AJ$4,0)))))</f>
        <v>11630</v>
      </c>
      <c r="W32" s="266">
        <f>V32</f>
        <v>11630</v>
      </c>
      <c r="X32" s="265">
        <f>IF(ISNA(MATCH(X$2,Inputs!$K$4:$AJ$4,0)),NA(),IF(SUMPRODUCT((Inputs!$A$5:$A$130=$B32)*ISNUMBER(INDEX(Inputs!$K$5:$AJ$130,0,MATCH(X$2,Inputs!$K$4:$AJ$4,0))))+SUMPRODUCT((Inputs!$C$5:$C$130=$B32)*ISNUMBER(INDEX(Inputs!$K$5:$AJ$130,0,MATCH(X$2,Inputs!$K$4:$AJ$4,0))))+SUMPRODUCT((Inputs!$E$5:$E$130=$B32)*ISNUMBER(INDEX(Inputs!$K$5:$AJ$130,0,MATCH(X$2,Inputs!$K$4:$AJ$4,0))))=0,NA(),SUMPRODUCT((Inputs!$A$5:$A$130=$B32)*Inputs!$B$5:$B$130*(((Inputs!$G$5:$G$130="moeda")+(Inputs!$G$5:$G$130="acoes"))*Inputs!$B$1+((Inputs!$G$5:$G$130&lt;&gt;"moeda")*(Inputs!$G$5:$G$130&lt;&gt;"acoes")))*INDEX(Inputs!$K$5:$AJ$130,0,MATCH(X$2,Inputs!$K$4:$AJ$4,0)))+SUMPRODUCT((Inputs!$C$5:$C$130=$B32)*Inputs!$D$5:$D$130*(((Inputs!$G$5:$G$130="moeda")+(Inputs!$G$5:$G$130="acoes"))*Inputs!$B$1+((Inputs!$G$5:$G$130&lt;&gt;"moeda")*(Inputs!$G$5:$G$130&lt;&gt;"acoes")))*INDEX(Inputs!$K$5:$AJ$130,0,MATCH(X$2,Inputs!$K$4:$AJ$4,0)))+SUMPRODUCT((Inputs!$E$5:$E$130=$B32)*Inputs!$F$5:$F$130*(((Inputs!$G$5:$G$130="moeda")+(Inputs!$G$5:$G$130="acoes"))*Inputs!$B$1+((Inputs!$G$5:$G$130&lt;&gt;"moeda")*(Inputs!$G$5:$G$130&lt;&gt;"acoes")))*INDEX(Inputs!$K$5:$AJ$130,0,MATCH(X$2,Inputs!$K$4:$AJ$4,0)))))</f>
        <v>11391</v>
      </c>
      <c r="Y32" s="265">
        <f>IF(ISNA(MATCH(Y$2,Inputs!$K$4:$AJ$4,0)),NA(),IF(SUMPRODUCT((Inputs!$A$5:$A$130=$B32)*ISNUMBER(INDEX(Inputs!$K$5:$AJ$130,0,MATCH(Y$2,Inputs!$K$4:$AJ$4,0))))+SUMPRODUCT((Inputs!$C$5:$C$130=$B32)*ISNUMBER(INDEX(Inputs!$K$5:$AJ$130,0,MATCH(Y$2,Inputs!$K$4:$AJ$4,0))))+SUMPRODUCT((Inputs!$E$5:$E$130=$B32)*ISNUMBER(INDEX(Inputs!$K$5:$AJ$130,0,MATCH(Y$2,Inputs!$K$4:$AJ$4,0))))=0,NA(),SUMPRODUCT((Inputs!$A$5:$A$130=$B32)*Inputs!$B$5:$B$130*(((Inputs!$G$5:$G$130="moeda")+(Inputs!$G$5:$G$130="acoes"))*Inputs!$B$1+((Inputs!$G$5:$G$130&lt;&gt;"moeda")*(Inputs!$G$5:$G$130&lt;&gt;"acoes")))*INDEX(Inputs!$K$5:$AJ$130,0,MATCH(Y$2,Inputs!$K$4:$AJ$4,0)))+SUMPRODUCT((Inputs!$C$5:$C$130=$B32)*Inputs!$D$5:$D$130*(((Inputs!$G$5:$G$130="moeda")+(Inputs!$G$5:$G$130="acoes"))*Inputs!$B$1+((Inputs!$G$5:$G$130&lt;&gt;"moeda")*(Inputs!$G$5:$G$130&lt;&gt;"acoes")))*INDEX(Inputs!$K$5:$AJ$130,0,MATCH(Y$2,Inputs!$K$4:$AJ$4,0)))+SUMPRODUCT((Inputs!$E$5:$E$130=$B32)*Inputs!$F$5:$F$130*(((Inputs!$G$5:$G$130="moeda")+(Inputs!$G$5:$G$130="acoes"))*Inputs!$B$1+((Inputs!$G$5:$G$130&lt;&gt;"moeda")*(Inputs!$G$5:$G$130&lt;&gt;"acoes")))*INDEX(Inputs!$K$5:$AJ$130,0,MATCH(Y$2,Inputs!$K$4:$AJ$4,0)))))</f>
        <v>10457</v>
      </c>
      <c r="Z32" s="265">
        <f>IF(ISNA(MATCH(Z$2,Inputs!$K$4:$AJ$4,0)),NA(),IF(SUMPRODUCT((Inputs!$A$5:$A$130=$B32)*ISNUMBER(INDEX(Inputs!$K$5:$AJ$130,0,MATCH(Z$2,Inputs!$K$4:$AJ$4,0))))+SUMPRODUCT((Inputs!$C$5:$C$130=$B32)*ISNUMBER(INDEX(Inputs!$K$5:$AJ$130,0,MATCH(Z$2,Inputs!$K$4:$AJ$4,0))))+SUMPRODUCT((Inputs!$E$5:$E$130=$B32)*ISNUMBER(INDEX(Inputs!$K$5:$AJ$130,0,MATCH(Z$2,Inputs!$K$4:$AJ$4,0))))=0,NA(),SUMPRODUCT((Inputs!$A$5:$A$130=$B32)*Inputs!$B$5:$B$130*(((Inputs!$G$5:$G$130="moeda")+(Inputs!$G$5:$G$130="acoes"))*Inputs!$B$1+((Inputs!$G$5:$G$130&lt;&gt;"moeda")*(Inputs!$G$5:$G$130&lt;&gt;"acoes")))*INDEX(Inputs!$K$5:$AJ$130,0,MATCH(Z$2,Inputs!$K$4:$AJ$4,0)))+SUMPRODUCT((Inputs!$C$5:$C$130=$B32)*Inputs!$D$5:$D$130*(((Inputs!$G$5:$G$130="moeda")+(Inputs!$G$5:$G$130="acoes"))*Inputs!$B$1+((Inputs!$G$5:$G$130&lt;&gt;"moeda")*(Inputs!$G$5:$G$130&lt;&gt;"acoes")))*INDEX(Inputs!$K$5:$AJ$130,0,MATCH(Z$2,Inputs!$K$4:$AJ$4,0)))+SUMPRODUCT((Inputs!$E$5:$E$130=$B32)*Inputs!$F$5:$F$130*(((Inputs!$G$5:$G$130="moeda")+(Inputs!$G$5:$G$130="acoes"))*Inputs!$B$1+((Inputs!$G$5:$G$130&lt;&gt;"moeda")*(Inputs!$G$5:$G$130&lt;&gt;"acoes")))*INDEX(Inputs!$K$5:$AJ$130,0,MATCH(Z$2,Inputs!$K$4:$AJ$4,0)))))</f>
        <v>10022</v>
      </c>
      <c r="AA32" s="265">
        <f>IF(ISNA(MATCH(AA$2,Inputs!$K$4:$AJ$4,0)),NA(),IF(SUMPRODUCT((Inputs!$A$5:$A$130=$B32)*ISNUMBER(INDEX(Inputs!$K$5:$AJ$130,0,MATCH(AA$2,Inputs!$K$4:$AJ$4,0))))+SUMPRODUCT((Inputs!$C$5:$C$130=$B32)*ISNUMBER(INDEX(Inputs!$K$5:$AJ$130,0,MATCH(AA$2,Inputs!$K$4:$AJ$4,0))))+SUMPRODUCT((Inputs!$E$5:$E$130=$B32)*ISNUMBER(INDEX(Inputs!$K$5:$AJ$130,0,MATCH(AA$2,Inputs!$K$4:$AJ$4,0))))=0,NA(),SUMPRODUCT((Inputs!$A$5:$A$130=$B32)*Inputs!$B$5:$B$130*(((Inputs!$G$5:$G$130="moeda")+(Inputs!$G$5:$G$130="acoes"))*Inputs!$B$1+((Inputs!$G$5:$G$130&lt;&gt;"moeda")*(Inputs!$G$5:$G$130&lt;&gt;"acoes")))*INDEX(Inputs!$K$5:$AJ$130,0,MATCH(AA$2,Inputs!$K$4:$AJ$4,0)))+SUMPRODUCT((Inputs!$C$5:$C$130=$B32)*Inputs!$D$5:$D$130*(((Inputs!$G$5:$G$130="moeda")+(Inputs!$G$5:$G$130="acoes"))*Inputs!$B$1+((Inputs!$G$5:$G$130&lt;&gt;"moeda")*(Inputs!$G$5:$G$130&lt;&gt;"acoes")))*INDEX(Inputs!$K$5:$AJ$130,0,MATCH(AA$2,Inputs!$K$4:$AJ$4,0)))+SUMPRODUCT((Inputs!$E$5:$E$130=$B32)*Inputs!$F$5:$F$130*(((Inputs!$G$5:$G$130="moeda")+(Inputs!$G$5:$G$130="acoes"))*Inputs!$B$1+((Inputs!$G$5:$G$130&lt;&gt;"moeda")*(Inputs!$G$5:$G$130&lt;&gt;"acoes")))*INDEX(Inputs!$K$5:$AJ$130,0,MATCH(AA$2,Inputs!$K$4:$AJ$4,0)))))</f>
        <v>9128</v>
      </c>
      <c r="AB32" s="266">
        <f>AA32</f>
        <v>9128</v>
      </c>
      <c r="AC32" s="265">
        <f>IF(ISNA(MATCH(AC$2,Inputs!$K$4:$AJ$4,0)),NA(),IF(SUMPRODUCT((Inputs!$A$5:$A$130=$B32)*ISNUMBER(INDEX(Inputs!$K$5:$AJ$130,0,MATCH(AC$2,Inputs!$K$4:$AJ$4,0))))+SUMPRODUCT((Inputs!$C$5:$C$130=$B32)*ISNUMBER(INDEX(Inputs!$K$5:$AJ$130,0,MATCH(AC$2,Inputs!$K$4:$AJ$4,0))))+SUMPRODUCT((Inputs!$E$5:$E$130=$B32)*ISNUMBER(INDEX(Inputs!$K$5:$AJ$130,0,MATCH(AC$2,Inputs!$K$4:$AJ$4,0))))=0,NA(),SUMPRODUCT((Inputs!$A$5:$A$130=$B32)*Inputs!$B$5:$B$130*(((Inputs!$G$5:$G$130="moeda")+(Inputs!$G$5:$G$130="acoes"))*Inputs!$B$1+((Inputs!$G$5:$G$130&lt;&gt;"moeda")*(Inputs!$G$5:$G$130&lt;&gt;"acoes")))*INDEX(Inputs!$K$5:$AJ$130,0,MATCH(AC$2,Inputs!$K$4:$AJ$4,0)))+SUMPRODUCT((Inputs!$C$5:$C$130=$B32)*Inputs!$D$5:$D$130*(((Inputs!$G$5:$G$130="moeda")+(Inputs!$G$5:$G$130="acoes"))*Inputs!$B$1+((Inputs!$G$5:$G$130&lt;&gt;"moeda")*(Inputs!$G$5:$G$130&lt;&gt;"acoes")))*INDEX(Inputs!$K$5:$AJ$130,0,MATCH(AC$2,Inputs!$K$4:$AJ$4,0)))+SUMPRODUCT((Inputs!$E$5:$E$130=$B32)*Inputs!$F$5:$F$130*(((Inputs!$G$5:$G$130="moeda")+(Inputs!$G$5:$G$130="acoes"))*Inputs!$B$1+((Inputs!$G$5:$G$130&lt;&gt;"moeda")*(Inputs!$G$5:$G$130&lt;&gt;"acoes")))*INDEX(Inputs!$K$5:$AJ$130,0,MATCH(AC$2,Inputs!$K$4:$AJ$4,0)))))</f>
        <v>10060</v>
      </c>
      <c r="AD32" s="265">
        <f>IF(ISNA(MATCH(AD$2,Inputs!$K$4:$AJ$4,0)),NA(),IF(SUMPRODUCT((Inputs!$A$5:$A$130=$B32)*ISNUMBER(INDEX(Inputs!$K$5:$AJ$130,0,MATCH(AD$2,Inputs!$K$4:$AJ$4,0))))+SUMPRODUCT((Inputs!$C$5:$C$130=$B32)*ISNUMBER(INDEX(Inputs!$K$5:$AJ$130,0,MATCH(AD$2,Inputs!$K$4:$AJ$4,0))))+SUMPRODUCT((Inputs!$E$5:$E$130=$B32)*ISNUMBER(INDEX(Inputs!$K$5:$AJ$130,0,MATCH(AD$2,Inputs!$K$4:$AJ$4,0))))=0,NA(),SUMPRODUCT((Inputs!$A$5:$A$130=$B32)*Inputs!$B$5:$B$130*(((Inputs!$G$5:$G$130="moeda")+(Inputs!$G$5:$G$130="acoes"))*Inputs!$B$1+((Inputs!$G$5:$G$130&lt;&gt;"moeda")*(Inputs!$G$5:$G$130&lt;&gt;"acoes")))*INDEX(Inputs!$K$5:$AJ$130,0,MATCH(AD$2,Inputs!$K$4:$AJ$4,0)))+SUMPRODUCT((Inputs!$C$5:$C$130=$B32)*Inputs!$D$5:$D$130*(((Inputs!$G$5:$G$130="moeda")+(Inputs!$G$5:$G$130="acoes"))*Inputs!$B$1+((Inputs!$G$5:$G$130&lt;&gt;"moeda")*(Inputs!$G$5:$G$130&lt;&gt;"acoes")))*INDEX(Inputs!$K$5:$AJ$130,0,MATCH(AD$2,Inputs!$K$4:$AJ$4,0)))+SUMPRODUCT((Inputs!$E$5:$E$130=$B32)*Inputs!$F$5:$F$130*(((Inputs!$G$5:$G$130="moeda")+(Inputs!$G$5:$G$130="acoes"))*Inputs!$B$1+((Inputs!$G$5:$G$130&lt;&gt;"moeda")*(Inputs!$G$5:$G$130&lt;&gt;"acoes")))*INDEX(Inputs!$K$5:$AJ$130,0,MATCH(AD$2,Inputs!$K$4:$AJ$4,0)))))</f>
        <v>8542</v>
      </c>
      <c r="AE32" s="265" t="e">
        <f>IF(ISNA(MATCH(AE$2,Inputs!$K$4:$AJ$4,0)),NA(),IF(SUMPRODUCT((Inputs!$A$5:$A$130=$B32)*ISNUMBER(INDEX(Inputs!$K$5:$AJ$130,0,MATCH(AE$2,Inputs!$K$4:$AJ$4,0))))+SUMPRODUCT((Inputs!$C$5:$C$130=$B32)*ISNUMBER(INDEX(Inputs!$K$5:$AJ$130,0,MATCH(AE$2,Inputs!$K$4:$AJ$4,0))))+SUMPRODUCT((Inputs!$E$5:$E$130=$B32)*ISNUMBER(INDEX(Inputs!$K$5:$AJ$130,0,MATCH(AE$2,Inputs!$K$4:$AJ$4,0))))=0,NA(),SUMPRODUCT((Inputs!$A$5:$A$130=$B32)*Inputs!$B$5:$B$130*(((Inputs!$G$5:$G$130="moeda")+(Inputs!$G$5:$G$130="acoes"))*Inputs!$B$1+((Inputs!$G$5:$G$130&lt;&gt;"moeda")*(Inputs!$G$5:$G$130&lt;&gt;"acoes")))*INDEX(Inputs!$K$5:$AJ$130,0,MATCH(AE$2,Inputs!$K$4:$AJ$4,0)))+SUMPRODUCT((Inputs!$C$5:$C$130=$B32)*Inputs!$D$5:$D$130*(((Inputs!$G$5:$G$130="moeda")+(Inputs!$G$5:$G$130="acoes"))*Inputs!$B$1+((Inputs!$G$5:$G$130&lt;&gt;"moeda")*(Inputs!$G$5:$G$130&lt;&gt;"acoes")))*INDEX(Inputs!$K$5:$AJ$130,0,MATCH(AE$2,Inputs!$K$4:$AJ$4,0)))+SUMPRODUCT((Inputs!$E$5:$E$130=$B32)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2" s="265" t="e">
        <f>IF(ISNA(MATCH(AF$2,Inputs!$K$4:$AJ$4,0)),NA(),IF(SUMPRODUCT((Inputs!$A$5:$A$130=$B32)*ISNUMBER(INDEX(Inputs!$K$5:$AJ$130,0,MATCH(AF$2,Inputs!$K$4:$AJ$4,0))))+SUMPRODUCT((Inputs!$C$5:$C$130=$B32)*ISNUMBER(INDEX(Inputs!$K$5:$AJ$130,0,MATCH(AF$2,Inputs!$K$4:$AJ$4,0))))+SUMPRODUCT((Inputs!$E$5:$E$130=$B32)*ISNUMBER(INDEX(Inputs!$K$5:$AJ$130,0,MATCH(AF$2,Inputs!$K$4:$AJ$4,0))))=0,NA(),SUMPRODUCT((Inputs!$A$5:$A$130=$B32)*Inputs!$B$5:$B$130*(((Inputs!$G$5:$G$130="moeda")+(Inputs!$G$5:$G$130="acoes"))*Inputs!$B$1+((Inputs!$G$5:$G$130&lt;&gt;"moeda")*(Inputs!$G$5:$G$130&lt;&gt;"acoes")))*INDEX(Inputs!$K$5:$AJ$130,0,MATCH(AF$2,Inputs!$K$4:$AJ$4,0)))+SUMPRODUCT((Inputs!$C$5:$C$130=$B32)*Inputs!$D$5:$D$130*(((Inputs!$G$5:$G$130="moeda")+(Inputs!$G$5:$G$130="acoes"))*Inputs!$B$1+((Inputs!$G$5:$G$130&lt;&gt;"moeda")*(Inputs!$G$5:$G$130&lt;&gt;"acoes")))*INDEX(Inputs!$K$5:$AJ$130,0,MATCH(AF$2,Inputs!$K$4:$AJ$4,0)))+SUMPRODUCT((Inputs!$E$5:$E$130=$B32)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2" s="266" t="e">
        <f>AF32</f>
        <v>#N/A</v>
      </c>
      <c r="AH32" s="265" t="e">
        <f>IF(ISNA(MATCH(AH$2,Inputs!$K$4:$AJ$4,0)),NA(),IF(SUMPRODUCT((Inputs!$A$5:$A$130=$B32)*ISNUMBER(INDEX(Inputs!$K$5:$AJ$130,0,MATCH(AH$2,Inputs!$K$4:$AJ$4,0))))+SUMPRODUCT((Inputs!$C$5:$C$130=$B32)*ISNUMBER(INDEX(Inputs!$K$5:$AJ$130,0,MATCH(AH$2,Inputs!$K$4:$AJ$4,0))))+SUMPRODUCT((Inputs!$E$5:$E$130=$B32)*ISNUMBER(INDEX(Inputs!$K$5:$AJ$130,0,MATCH(AH$2,Inputs!$K$4:$AJ$4,0))))=0,NA(),SUMPRODUCT((Inputs!$A$5:$A$130=$B32)*Inputs!$B$5:$B$130*(((Inputs!$G$5:$G$130="moeda")+(Inputs!$G$5:$G$130="acoes"))*Inputs!$B$1+((Inputs!$G$5:$G$130&lt;&gt;"moeda")*(Inputs!$G$5:$G$130&lt;&gt;"acoes")))*INDEX(Inputs!$K$5:$AJ$130,0,MATCH(AH$2,Inputs!$K$4:$AJ$4,0)))+SUMPRODUCT((Inputs!$C$5:$C$130=$B32)*Inputs!$D$5:$D$130*(((Inputs!$G$5:$G$130="moeda")+(Inputs!$G$5:$G$130="acoes"))*Inputs!$B$1+((Inputs!$G$5:$G$130&lt;&gt;"moeda")*(Inputs!$G$5:$G$130&lt;&gt;"acoes")))*INDEX(Inputs!$K$5:$AJ$130,0,MATCH(AH$2,Inputs!$K$4:$AJ$4,0)))+SUMPRODUCT((Inputs!$E$5:$E$130=$B32)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32" s="265" t="e">
        <f>IF(ISNA(MATCH(AI$2,Inputs!$K$4:$AJ$4,0)),NA(),IF(SUMPRODUCT((Inputs!$A$5:$A$130=$B32)*ISNUMBER(INDEX(Inputs!$K$5:$AJ$130,0,MATCH(AI$2,Inputs!$K$4:$AJ$4,0))))+SUMPRODUCT((Inputs!$C$5:$C$130=$B32)*ISNUMBER(INDEX(Inputs!$K$5:$AJ$130,0,MATCH(AI$2,Inputs!$K$4:$AJ$4,0))))+SUMPRODUCT((Inputs!$E$5:$E$130=$B32)*ISNUMBER(INDEX(Inputs!$K$5:$AJ$130,0,MATCH(AI$2,Inputs!$K$4:$AJ$4,0))))=0,NA(),SUMPRODUCT((Inputs!$A$5:$A$130=$B32)*Inputs!$B$5:$B$130*(((Inputs!$G$5:$G$130="moeda")+(Inputs!$G$5:$G$130="acoes"))*Inputs!$B$1+((Inputs!$G$5:$G$130&lt;&gt;"moeda")*(Inputs!$G$5:$G$130&lt;&gt;"acoes")))*INDEX(Inputs!$K$5:$AJ$130,0,MATCH(AI$2,Inputs!$K$4:$AJ$4,0)))+SUMPRODUCT((Inputs!$C$5:$C$130=$B32)*Inputs!$D$5:$D$130*(((Inputs!$G$5:$G$130="moeda")+(Inputs!$G$5:$G$130="acoes"))*Inputs!$B$1+((Inputs!$G$5:$G$130&lt;&gt;"moeda")*(Inputs!$G$5:$G$130&lt;&gt;"acoes")))*INDEX(Inputs!$K$5:$AJ$130,0,MATCH(AI$2,Inputs!$K$4:$AJ$4,0)))+SUMPRODUCT((Inputs!$E$5:$E$130=$B32)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32" s="265" t="e">
        <f>IF(ISNA(MATCH(AJ$2,Inputs!$K$4:$AJ$4,0)),NA(),IF(SUMPRODUCT((Inputs!$A$5:$A$130=$B32)*ISNUMBER(INDEX(Inputs!$K$5:$AJ$130,0,MATCH(AJ$2,Inputs!$K$4:$AJ$4,0))))+SUMPRODUCT((Inputs!$C$5:$C$130=$B32)*ISNUMBER(INDEX(Inputs!$K$5:$AJ$130,0,MATCH(AJ$2,Inputs!$K$4:$AJ$4,0))))+SUMPRODUCT((Inputs!$E$5:$E$130=$B32)*ISNUMBER(INDEX(Inputs!$K$5:$AJ$130,0,MATCH(AJ$2,Inputs!$K$4:$AJ$4,0))))=0,NA(),SUMPRODUCT((Inputs!$A$5:$A$130=$B32)*Inputs!$B$5:$B$130*(((Inputs!$G$5:$G$130="moeda")+(Inputs!$G$5:$G$130="acoes"))*Inputs!$B$1+((Inputs!$G$5:$G$130&lt;&gt;"moeda")*(Inputs!$G$5:$G$130&lt;&gt;"acoes")))*INDEX(Inputs!$K$5:$AJ$130,0,MATCH(AJ$2,Inputs!$K$4:$AJ$4,0)))+SUMPRODUCT((Inputs!$C$5:$C$130=$B32)*Inputs!$D$5:$D$130*(((Inputs!$G$5:$G$130="moeda")+(Inputs!$G$5:$G$130="acoes"))*Inputs!$B$1+((Inputs!$G$5:$G$130&lt;&gt;"moeda")*(Inputs!$G$5:$G$130&lt;&gt;"acoes")))*INDEX(Inputs!$K$5:$AJ$130,0,MATCH(AJ$2,Inputs!$K$4:$AJ$4,0)))+SUMPRODUCT((Inputs!$E$5:$E$130=$B32)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32" s="265" t="e">
        <f>IF(ISNA(MATCH(AK$2,Inputs!$K$4:$AJ$4,0)),NA(),IF(SUMPRODUCT((Inputs!$A$5:$A$130=$B32)*ISNUMBER(INDEX(Inputs!$K$5:$AJ$130,0,MATCH(AK$2,Inputs!$K$4:$AJ$4,0))))+SUMPRODUCT((Inputs!$C$5:$C$130=$B32)*ISNUMBER(INDEX(Inputs!$K$5:$AJ$130,0,MATCH(AK$2,Inputs!$K$4:$AJ$4,0))))+SUMPRODUCT((Inputs!$E$5:$E$130=$B32)*ISNUMBER(INDEX(Inputs!$K$5:$AJ$130,0,MATCH(AK$2,Inputs!$K$4:$AJ$4,0))))=0,NA(),SUMPRODUCT((Inputs!$A$5:$A$130=$B32)*Inputs!$B$5:$B$130*(((Inputs!$G$5:$G$130="moeda")+(Inputs!$G$5:$G$130="acoes"))*Inputs!$B$1+((Inputs!$G$5:$G$130&lt;&gt;"moeda")*(Inputs!$G$5:$G$130&lt;&gt;"acoes")))*INDEX(Inputs!$K$5:$AJ$130,0,MATCH(AK$2,Inputs!$K$4:$AJ$4,0)))+SUMPRODUCT((Inputs!$C$5:$C$130=$B32)*Inputs!$D$5:$D$130*(((Inputs!$G$5:$G$130="moeda")+(Inputs!$G$5:$G$130="acoes"))*Inputs!$B$1+((Inputs!$G$5:$G$130&lt;&gt;"moeda")*(Inputs!$G$5:$G$130&lt;&gt;"acoes")))*INDEX(Inputs!$K$5:$AJ$130,0,MATCH(AK$2,Inputs!$K$4:$AJ$4,0)))+SUMPRODUCT((Inputs!$E$5:$E$130=$B32)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32" s="266" t="e">
        <f>AK32</f>
        <v>#N/A</v>
      </c>
    </row>
    <row r="33" ht="12.75" customHeight="1" s="254">
      <c r="B33" s="263" t="n">
        <v>28</v>
      </c>
      <c r="C33" s="268" t="inlineStr">
        <is>
          <t>Short term debt (Revolving credit facility)</t>
        </is>
      </c>
      <c r="D33" s="265" t="e">
        <f>IF(ISNA(MATCH(D$2,Inputs!$K$4:$AJ$4,0)),NA(),IF(SUMPRODUCT((Inputs!$A$5:$A$130=$B33)*ISNUMBER(INDEX(Inputs!$K$5:$AJ$130,0,MATCH(D$2,Inputs!$K$4:$AJ$4,0))))+SUMPRODUCT((Inputs!$C$5:$C$130=$B33)*ISNUMBER(INDEX(Inputs!$K$5:$AJ$130,0,MATCH(D$2,Inputs!$K$4:$AJ$4,0))))+SUMPRODUCT((Inputs!$E$5:$E$130=$B33)*ISNUMBER(INDEX(Inputs!$K$5:$AJ$130,0,MATCH(D$2,Inputs!$K$4:$AJ$4,0))))=0,NA(),SUMPRODUCT((Inputs!$A$5:$A$130=$B33)*Inputs!$B$5:$B$130*(((Inputs!$G$5:$G$130="moeda")+(Inputs!$G$5:$G$130="acoes"))*Inputs!$B$1+((Inputs!$G$5:$G$130&lt;&gt;"moeda")*(Inputs!$G$5:$G$130&lt;&gt;"acoes")))*INDEX(Inputs!$K$5:$AJ$130,0,MATCH(D$2,Inputs!$K$4:$AJ$4,0)))+SUMPRODUCT((Inputs!$C$5:$C$130=$B33)*Inputs!$D$5:$D$130*(((Inputs!$G$5:$G$130="moeda")+(Inputs!$G$5:$G$130="acoes"))*Inputs!$B$1+((Inputs!$G$5:$G$130&lt;&gt;"moeda")*(Inputs!$G$5:$G$130&lt;&gt;"acoes")))*INDEX(Inputs!$K$5:$AJ$130,0,MATCH(D$2,Inputs!$K$4:$AJ$4,0)))+SUMPRODUCT((Inputs!$E$5:$E$130=$B33)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33" s="265" t="e">
        <f>IF(ISNA(MATCH(E$2,Inputs!$K$4:$AJ$4,0)),NA(),IF(SUMPRODUCT((Inputs!$A$5:$A$130=$B33)*ISNUMBER(INDEX(Inputs!$K$5:$AJ$130,0,MATCH(E$2,Inputs!$K$4:$AJ$4,0))))+SUMPRODUCT((Inputs!$C$5:$C$130=$B33)*ISNUMBER(INDEX(Inputs!$K$5:$AJ$130,0,MATCH(E$2,Inputs!$K$4:$AJ$4,0))))+SUMPRODUCT((Inputs!$E$5:$E$130=$B33)*ISNUMBER(INDEX(Inputs!$K$5:$AJ$130,0,MATCH(E$2,Inputs!$K$4:$AJ$4,0))))=0,NA(),SUMPRODUCT((Inputs!$A$5:$A$130=$B33)*Inputs!$B$5:$B$130*(((Inputs!$G$5:$G$130="moeda")+(Inputs!$G$5:$G$130="acoes"))*Inputs!$B$1+((Inputs!$G$5:$G$130&lt;&gt;"moeda")*(Inputs!$G$5:$G$130&lt;&gt;"acoes")))*INDEX(Inputs!$K$5:$AJ$130,0,MATCH(E$2,Inputs!$K$4:$AJ$4,0)))+SUMPRODUCT((Inputs!$C$5:$C$130=$B33)*Inputs!$D$5:$D$130*(((Inputs!$G$5:$G$130="moeda")+(Inputs!$G$5:$G$130="acoes"))*Inputs!$B$1+((Inputs!$G$5:$G$130&lt;&gt;"moeda")*(Inputs!$G$5:$G$130&lt;&gt;"acoes")))*INDEX(Inputs!$K$5:$AJ$130,0,MATCH(E$2,Inputs!$K$4:$AJ$4,0)))+SUMPRODUCT((Inputs!$E$5:$E$130=$B33)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33" s="265" t="e">
        <f>IF(ISNA(MATCH(F$2,Inputs!$K$4:$AJ$4,0)),NA(),IF(SUMPRODUCT((Inputs!$A$5:$A$130=$B33)*ISNUMBER(INDEX(Inputs!$K$5:$AJ$130,0,MATCH(F$2,Inputs!$K$4:$AJ$4,0))))+SUMPRODUCT((Inputs!$C$5:$C$130=$B33)*ISNUMBER(INDEX(Inputs!$K$5:$AJ$130,0,MATCH(F$2,Inputs!$K$4:$AJ$4,0))))+SUMPRODUCT((Inputs!$E$5:$E$130=$B33)*ISNUMBER(INDEX(Inputs!$K$5:$AJ$130,0,MATCH(F$2,Inputs!$K$4:$AJ$4,0))))=0,NA(),SUMPRODUCT((Inputs!$A$5:$A$130=$B33)*Inputs!$B$5:$B$130*(((Inputs!$G$5:$G$130="moeda")+(Inputs!$G$5:$G$130="acoes"))*Inputs!$B$1+((Inputs!$G$5:$G$130&lt;&gt;"moeda")*(Inputs!$G$5:$G$130&lt;&gt;"acoes")))*INDEX(Inputs!$K$5:$AJ$130,0,MATCH(F$2,Inputs!$K$4:$AJ$4,0)))+SUMPRODUCT((Inputs!$C$5:$C$130=$B33)*Inputs!$D$5:$D$130*(((Inputs!$G$5:$G$130="moeda")+(Inputs!$G$5:$G$130="acoes"))*Inputs!$B$1+((Inputs!$G$5:$G$130&lt;&gt;"moeda")*(Inputs!$G$5:$G$130&lt;&gt;"acoes")))*INDEX(Inputs!$K$5:$AJ$130,0,MATCH(F$2,Inputs!$K$4:$AJ$4,0)))+SUMPRODUCT((Inputs!$E$5:$E$130=$B33)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33" s="265" t="e">
        <f>IF(ISNA(MATCH(G$2,Inputs!$K$4:$AJ$4,0)),NA(),IF(SUMPRODUCT((Inputs!$A$5:$A$130=$B33)*ISNUMBER(INDEX(Inputs!$K$5:$AJ$130,0,MATCH(G$2,Inputs!$K$4:$AJ$4,0))))+SUMPRODUCT((Inputs!$C$5:$C$130=$B33)*ISNUMBER(INDEX(Inputs!$K$5:$AJ$130,0,MATCH(G$2,Inputs!$K$4:$AJ$4,0))))+SUMPRODUCT((Inputs!$E$5:$E$130=$B33)*ISNUMBER(INDEX(Inputs!$K$5:$AJ$130,0,MATCH(G$2,Inputs!$K$4:$AJ$4,0))))=0,NA(),SUMPRODUCT((Inputs!$A$5:$A$130=$B33)*Inputs!$B$5:$B$130*(((Inputs!$G$5:$G$130="moeda")+(Inputs!$G$5:$G$130="acoes"))*Inputs!$B$1+((Inputs!$G$5:$G$130&lt;&gt;"moeda")*(Inputs!$G$5:$G$130&lt;&gt;"acoes")))*INDEX(Inputs!$K$5:$AJ$130,0,MATCH(G$2,Inputs!$K$4:$AJ$4,0)))+SUMPRODUCT((Inputs!$C$5:$C$130=$B33)*Inputs!$D$5:$D$130*(((Inputs!$G$5:$G$130="moeda")+(Inputs!$G$5:$G$130="acoes"))*Inputs!$B$1+((Inputs!$G$5:$G$130&lt;&gt;"moeda")*(Inputs!$G$5:$G$130&lt;&gt;"acoes")))*INDEX(Inputs!$K$5:$AJ$130,0,MATCH(G$2,Inputs!$K$4:$AJ$4,0)))+SUMPRODUCT((Inputs!$E$5:$E$130=$B33)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33" s="266" t="e">
        <f>G33</f>
        <v>#N/A</v>
      </c>
      <c r="I33" s="265" t="e">
        <f>IF(ISNA(MATCH(I$2,Inputs!$K$4:$AJ$4,0)),NA(),IF(SUMPRODUCT((Inputs!$A$5:$A$130=$B33)*ISNUMBER(INDEX(Inputs!$K$5:$AJ$130,0,MATCH(I$2,Inputs!$K$4:$AJ$4,0))))+SUMPRODUCT((Inputs!$C$5:$C$130=$B33)*ISNUMBER(INDEX(Inputs!$K$5:$AJ$130,0,MATCH(I$2,Inputs!$K$4:$AJ$4,0))))+SUMPRODUCT((Inputs!$E$5:$E$130=$B33)*ISNUMBER(INDEX(Inputs!$K$5:$AJ$130,0,MATCH(I$2,Inputs!$K$4:$AJ$4,0))))=0,NA(),SUMPRODUCT((Inputs!$A$5:$A$130=$B33)*Inputs!$B$5:$B$130*(((Inputs!$G$5:$G$130="moeda")+(Inputs!$G$5:$G$130="acoes"))*Inputs!$B$1+((Inputs!$G$5:$G$130&lt;&gt;"moeda")*(Inputs!$G$5:$G$130&lt;&gt;"acoes")))*INDEX(Inputs!$K$5:$AJ$130,0,MATCH(I$2,Inputs!$K$4:$AJ$4,0)))+SUMPRODUCT((Inputs!$C$5:$C$130=$B33)*Inputs!$D$5:$D$130*(((Inputs!$G$5:$G$130="moeda")+(Inputs!$G$5:$G$130="acoes"))*Inputs!$B$1+((Inputs!$G$5:$G$130&lt;&gt;"moeda")*(Inputs!$G$5:$G$130&lt;&gt;"acoes")))*INDEX(Inputs!$K$5:$AJ$130,0,MATCH(I$2,Inputs!$K$4:$AJ$4,0)))+SUMPRODUCT((Inputs!$E$5:$E$130=$B33)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33" s="265" t="e">
        <f>IF(ISNA(MATCH(J$2,Inputs!$K$4:$AJ$4,0)),NA(),IF(SUMPRODUCT((Inputs!$A$5:$A$130=$B33)*ISNUMBER(INDEX(Inputs!$K$5:$AJ$130,0,MATCH(J$2,Inputs!$K$4:$AJ$4,0))))+SUMPRODUCT((Inputs!$C$5:$C$130=$B33)*ISNUMBER(INDEX(Inputs!$K$5:$AJ$130,0,MATCH(J$2,Inputs!$K$4:$AJ$4,0))))+SUMPRODUCT((Inputs!$E$5:$E$130=$B33)*ISNUMBER(INDEX(Inputs!$K$5:$AJ$130,0,MATCH(J$2,Inputs!$K$4:$AJ$4,0))))=0,NA(),SUMPRODUCT((Inputs!$A$5:$A$130=$B33)*Inputs!$B$5:$B$130*(((Inputs!$G$5:$G$130="moeda")+(Inputs!$G$5:$G$130="acoes"))*Inputs!$B$1+((Inputs!$G$5:$G$130&lt;&gt;"moeda")*(Inputs!$G$5:$G$130&lt;&gt;"acoes")))*INDEX(Inputs!$K$5:$AJ$130,0,MATCH(J$2,Inputs!$K$4:$AJ$4,0)))+SUMPRODUCT((Inputs!$C$5:$C$130=$B33)*Inputs!$D$5:$D$130*(((Inputs!$G$5:$G$130="moeda")+(Inputs!$G$5:$G$130="acoes"))*Inputs!$B$1+((Inputs!$G$5:$G$130&lt;&gt;"moeda")*(Inputs!$G$5:$G$130&lt;&gt;"acoes")))*INDEX(Inputs!$K$5:$AJ$130,0,MATCH(J$2,Inputs!$K$4:$AJ$4,0)))+SUMPRODUCT((Inputs!$E$5:$E$130=$B33)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33" s="265" t="e">
        <f>IF(ISNA(MATCH(K$2,Inputs!$K$4:$AJ$4,0)),NA(),IF(SUMPRODUCT((Inputs!$A$5:$A$130=$B33)*ISNUMBER(INDEX(Inputs!$K$5:$AJ$130,0,MATCH(K$2,Inputs!$K$4:$AJ$4,0))))+SUMPRODUCT((Inputs!$C$5:$C$130=$B33)*ISNUMBER(INDEX(Inputs!$K$5:$AJ$130,0,MATCH(K$2,Inputs!$K$4:$AJ$4,0))))+SUMPRODUCT((Inputs!$E$5:$E$130=$B33)*ISNUMBER(INDEX(Inputs!$K$5:$AJ$130,0,MATCH(K$2,Inputs!$K$4:$AJ$4,0))))=0,NA(),SUMPRODUCT((Inputs!$A$5:$A$130=$B33)*Inputs!$B$5:$B$130*(((Inputs!$G$5:$G$130="moeda")+(Inputs!$G$5:$G$130="acoes"))*Inputs!$B$1+((Inputs!$G$5:$G$130&lt;&gt;"moeda")*(Inputs!$G$5:$G$130&lt;&gt;"acoes")))*INDEX(Inputs!$K$5:$AJ$130,0,MATCH(K$2,Inputs!$K$4:$AJ$4,0)))+SUMPRODUCT((Inputs!$C$5:$C$130=$B33)*Inputs!$D$5:$D$130*(((Inputs!$G$5:$G$130="moeda")+(Inputs!$G$5:$G$130="acoes"))*Inputs!$B$1+((Inputs!$G$5:$G$130&lt;&gt;"moeda")*(Inputs!$G$5:$G$130&lt;&gt;"acoes")))*INDEX(Inputs!$K$5:$AJ$130,0,MATCH(K$2,Inputs!$K$4:$AJ$4,0)))+SUMPRODUCT((Inputs!$E$5:$E$130=$B33)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33" s="265" t="e">
        <f>IF(ISNA(MATCH(L$2,Inputs!$K$4:$AJ$4,0)),NA(),IF(SUMPRODUCT((Inputs!$A$5:$A$130=$B33)*ISNUMBER(INDEX(Inputs!$K$5:$AJ$130,0,MATCH(L$2,Inputs!$K$4:$AJ$4,0))))+SUMPRODUCT((Inputs!$C$5:$C$130=$B33)*ISNUMBER(INDEX(Inputs!$K$5:$AJ$130,0,MATCH(L$2,Inputs!$K$4:$AJ$4,0))))+SUMPRODUCT((Inputs!$E$5:$E$130=$B33)*ISNUMBER(INDEX(Inputs!$K$5:$AJ$130,0,MATCH(L$2,Inputs!$K$4:$AJ$4,0))))=0,NA(),SUMPRODUCT((Inputs!$A$5:$A$130=$B33)*Inputs!$B$5:$B$130*(((Inputs!$G$5:$G$130="moeda")+(Inputs!$G$5:$G$130="acoes"))*Inputs!$B$1+((Inputs!$G$5:$G$130&lt;&gt;"moeda")*(Inputs!$G$5:$G$130&lt;&gt;"acoes")))*INDEX(Inputs!$K$5:$AJ$130,0,MATCH(L$2,Inputs!$K$4:$AJ$4,0)))+SUMPRODUCT((Inputs!$C$5:$C$130=$B33)*Inputs!$D$5:$D$130*(((Inputs!$G$5:$G$130="moeda")+(Inputs!$G$5:$G$130="acoes"))*Inputs!$B$1+((Inputs!$G$5:$G$130&lt;&gt;"moeda")*(Inputs!$G$5:$G$130&lt;&gt;"acoes")))*INDEX(Inputs!$K$5:$AJ$130,0,MATCH(L$2,Inputs!$K$4:$AJ$4,0)))+SUMPRODUCT((Inputs!$E$5:$E$130=$B33)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33" s="266" t="e">
        <f>L33</f>
        <v>#N/A</v>
      </c>
      <c r="N33" s="265" t="e">
        <f>IF(ISNA(MATCH(N$2,Inputs!$K$4:$AJ$4,0)),NA(),IF(SUMPRODUCT((Inputs!$A$5:$A$130=$B33)*ISNUMBER(INDEX(Inputs!$K$5:$AJ$130,0,MATCH(N$2,Inputs!$K$4:$AJ$4,0))))+SUMPRODUCT((Inputs!$C$5:$C$130=$B33)*ISNUMBER(INDEX(Inputs!$K$5:$AJ$130,0,MATCH(N$2,Inputs!$K$4:$AJ$4,0))))+SUMPRODUCT((Inputs!$E$5:$E$130=$B33)*ISNUMBER(INDEX(Inputs!$K$5:$AJ$130,0,MATCH(N$2,Inputs!$K$4:$AJ$4,0))))=0,NA(),SUMPRODUCT((Inputs!$A$5:$A$130=$B33)*Inputs!$B$5:$B$130*(((Inputs!$G$5:$G$130="moeda")+(Inputs!$G$5:$G$130="acoes"))*Inputs!$B$1+((Inputs!$G$5:$G$130&lt;&gt;"moeda")*(Inputs!$G$5:$G$130&lt;&gt;"acoes")))*INDEX(Inputs!$K$5:$AJ$130,0,MATCH(N$2,Inputs!$K$4:$AJ$4,0)))+SUMPRODUCT((Inputs!$C$5:$C$130=$B33)*Inputs!$D$5:$D$130*(((Inputs!$G$5:$G$130="moeda")+(Inputs!$G$5:$G$130="acoes"))*Inputs!$B$1+((Inputs!$G$5:$G$130&lt;&gt;"moeda")*(Inputs!$G$5:$G$130&lt;&gt;"acoes")))*INDEX(Inputs!$K$5:$AJ$130,0,MATCH(N$2,Inputs!$K$4:$AJ$4,0)))+SUMPRODUCT((Inputs!$E$5:$E$130=$B33)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33" s="265" t="e">
        <f>IF(ISNA(MATCH(O$2,Inputs!$K$4:$AJ$4,0)),NA(),IF(SUMPRODUCT((Inputs!$A$5:$A$130=$B33)*ISNUMBER(INDEX(Inputs!$K$5:$AJ$130,0,MATCH(O$2,Inputs!$K$4:$AJ$4,0))))+SUMPRODUCT((Inputs!$C$5:$C$130=$B33)*ISNUMBER(INDEX(Inputs!$K$5:$AJ$130,0,MATCH(O$2,Inputs!$K$4:$AJ$4,0))))+SUMPRODUCT((Inputs!$E$5:$E$130=$B33)*ISNUMBER(INDEX(Inputs!$K$5:$AJ$130,0,MATCH(O$2,Inputs!$K$4:$AJ$4,0))))=0,NA(),SUMPRODUCT((Inputs!$A$5:$A$130=$B33)*Inputs!$B$5:$B$130*(((Inputs!$G$5:$G$130="moeda")+(Inputs!$G$5:$G$130="acoes"))*Inputs!$B$1+((Inputs!$G$5:$G$130&lt;&gt;"moeda")*(Inputs!$G$5:$G$130&lt;&gt;"acoes")))*INDEX(Inputs!$K$5:$AJ$130,0,MATCH(O$2,Inputs!$K$4:$AJ$4,0)))+SUMPRODUCT((Inputs!$C$5:$C$130=$B33)*Inputs!$D$5:$D$130*(((Inputs!$G$5:$G$130="moeda")+(Inputs!$G$5:$G$130="acoes"))*Inputs!$B$1+((Inputs!$G$5:$G$130&lt;&gt;"moeda")*(Inputs!$G$5:$G$130&lt;&gt;"acoes")))*INDEX(Inputs!$K$5:$AJ$130,0,MATCH(O$2,Inputs!$K$4:$AJ$4,0)))+SUMPRODUCT((Inputs!$E$5:$E$130=$B33)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33" s="265" t="e">
        <f>IF(ISNA(MATCH(P$2,Inputs!$K$4:$AJ$4,0)),NA(),IF(SUMPRODUCT((Inputs!$A$5:$A$130=$B33)*ISNUMBER(INDEX(Inputs!$K$5:$AJ$130,0,MATCH(P$2,Inputs!$K$4:$AJ$4,0))))+SUMPRODUCT((Inputs!$C$5:$C$130=$B33)*ISNUMBER(INDEX(Inputs!$K$5:$AJ$130,0,MATCH(P$2,Inputs!$K$4:$AJ$4,0))))+SUMPRODUCT((Inputs!$E$5:$E$130=$B33)*ISNUMBER(INDEX(Inputs!$K$5:$AJ$130,0,MATCH(P$2,Inputs!$K$4:$AJ$4,0))))=0,NA(),SUMPRODUCT((Inputs!$A$5:$A$130=$B33)*Inputs!$B$5:$B$130*(((Inputs!$G$5:$G$130="moeda")+(Inputs!$G$5:$G$130="acoes"))*Inputs!$B$1+((Inputs!$G$5:$G$130&lt;&gt;"moeda")*(Inputs!$G$5:$G$130&lt;&gt;"acoes")))*INDEX(Inputs!$K$5:$AJ$130,0,MATCH(P$2,Inputs!$K$4:$AJ$4,0)))+SUMPRODUCT((Inputs!$C$5:$C$130=$B33)*Inputs!$D$5:$D$130*(((Inputs!$G$5:$G$130="moeda")+(Inputs!$G$5:$G$130="acoes"))*Inputs!$B$1+((Inputs!$G$5:$G$130&lt;&gt;"moeda")*(Inputs!$G$5:$G$130&lt;&gt;"acoes")))*INDEX(Inputs!$K$5:$AJ$130,0,MATCH(P$2,Inputs!$K$4:$AJ$4,0)))+SUMPRODUCT((Inputs!$E$5:$E$130=$B33)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33" s="265" t="e">
        <f>IF(ISNA(MATCH(Q$2,Inputs!$K$4:$AJ$4,0)),NA(),IF(SUMPRODUCT((Inputs!$A$5:$A$130=$B33)*ISNUMBER(INDEX(Inputs!$K$5:$AJ$130,0,MATCH(Q$2,Inputs!$K$4:$AJ$4,0))))+SUMPRODUCT((Inputs!$C$5:$C$130=$B33)*ISNUMBER(INDEX(Inputs!$K$5:$AJ$130,0,MATCH(Q$2,Inputs!$K$4:$AJ$4,0))))+SUMPRODUCT((Inputs!$E$5:$E$130=$B33)*ISNUMBER(INDEX(Inputs!$K$5:$AJ$130,0,MATCH(Q$2,Inputs!$K$4:$AJ$4,0))))=0,NA(),SUMPRODUCT((Inputs!$A$5:$A$130=$B33)*Inputs!$B$5:$B$130*(((Inputs!$G$5:$G$130="moeda")+(Inputs!$G$5:$G$130="acoes"))*Inputs!$B$1+((Inputs!$G$5:$G$130&lt;&gt;"moeda")*(Inputs!$G$5:$G$130&lt;&gt;"acoes")))*INDEX(Inputs!$K$5:$AJ$130,0,MATCH(Q$2,Inputs!$K$4:$AJ$4,0)))+SUMPRODUCT((Inputs!$C$5:$C$130=$B33)*Inputs!$D$5:$D$130*(((Inputs!$G$5:$G$130="moeda")+(Inputs!$G$5:$G$130="acoes"))*Inputs!$B$1+((Inputs!$G$5:$G$130&lt;&gt;"moeda")*(Inputs!$G$5:$G$130&lt;&gt;"acoes")))*INDEX(Inputs!$K$5:$AJ$130,0,MATCH(Q$2,Inputs!$K$4:$AJ$4,0)))+SUMPRODUCT((Inputs!$E$5:$E$130=$B33)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33" s="266" t="e">
        <f>Q33</f>
        <v>#N/A</v>
      </c>
      <c r="S33" s="265" t="e">
        <f>IF(ISNA(MATCH(S$2,Inputs!$K$4:$AJ$4,0)),NA(),IF(SUMPRODUCT((Inputs!$A$5:$A$130=$B33)*ISNUMBER(INDEX(Inputs!$K$5:$AJ$130,0,MATCH(S$2,Inputs!$K$4:$AJ$4,0))))+SUMPRODUCT((Inputs!$C$5:$C$130=$B33)*ISNUMBER(INDEX(Inputs!$K$5:$AJ$130,0,MATCH(S$2,Inputs!$K$4:$AJ$4,0))))+SUMPRODUCT((Inputs!$E$5:$E$130=$B33)*ISNUMBER(INDEX(Inputs!$K$5:$AJ$130,0,MATCH(S$2,Inputs!$K$4:$AJ$4,0))))=0,NA(),SUMPRODUCT((Inputs!$A$5:$A$130=$B33)*Inputs!$B$5:$B$130*(((Inputs!$G$5:$G$130="moeda")+(Inputs!$G$5:$G$130="acoes"))*Inputs!$B$1+((Inputs!$G$5:$G$130&lt;&gt;"moeda")*(Inputs!$G$5:$G$130&lt;&gt;"acoes")))*INDEX(Inputs!$K$5:$AJ$130,0,MATCH(S$2,Inputs!$K$4:$AJ$4,0)))+SUMPRODUCT((Inputs!$C$5:$C$130=$B33)*Inputs!$D$5:$D$130*(((Inputs!$G$5:$G$130="moeda")+(Inputs!$G$5:$G$130="acoes"))*Inputs!$B$1+((Inputs!$G$5:$G$130&lt;&gt;"moeda")*(Inputs!$G$5:$G$130&lt;&gt;"acoes")))*INDEX(Inputs!$K$5:$AJ$130,0,MATCH(S$2,Inputs!$K$4:$AJ$4,0)))+SUMPRODUCT((Inputs!$E$5:$E$130=$B33)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33" s="265" t="e">
        <f>IF(ISNA(MATCH(T$2,Inputs!$K$4:$AJ$4,0)),NA(),IF(SUMPRODUCT((Inputs!$A$5:$A$130=$B33)*ISNUMBER(INDEX(Inputs!$K$5:$AJ$130,0,MATCH(T$2,Inputs!$K$4:$AJ$4,0))))+SUMPRODUCT((Inputs!$C$5:$C$130=$B33)*ISNUMBER(INDEX(Inputs!$K$5:$AJ$130,0,MATCH(T$2,Inputs!$K$4:$AJ$4,0))))+SUMPRODUCT((Inputs!$E$5:$E$130=$B33)*ISNUMBER(INDEX(Inputs!$K$5:$AJ$130,0,MATCH(T$2,Inputs!$K$4:$AJ$4,0))))=0,NA(),SUMPRODUCT((Inputs!$A$5:$A$130=$B33)*Inputs!$B$5:$B$130*(((Inputs!$G$5:$G$130="moeda")+(Inputs!$G$5:$G$130="acoes"))*Inputs!$B$1+((Inputs!$G$5:$G$130&lt;&gt;"moeda")*(Inputs!$G$5:$G$130&lt;&gt;"acoes")))*INDEX(Inputs!$K$5:$AJ$130,0,MATCH(T$2,Inputs!$K$4:$AJ$4,0)))+SUMPRODUCT((Inputs!$C$5:$C$130=$B33)*Inputs!$D$5:$D$130*(((Inputs!$G$5:$G$130="moeda")+(Inputs!$G$5:$G$130="acoes"))*Inputs!$B$1+((Inputs!$G$5:$G$130&lt;&gt;"moeda")*(Inputs!$G$5:$G$130&lt;&gt;"acoes")))*INDEX(Inputs!$K$5:$AJ$130,0,MATCH(T$2,Inputs!$K$4:$AJ$4,0)))+SUMPRODUCT((Inputs!$E$5:$E$130=$B33)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33" s="265" t="e">
        <f>IF(ISNA(MATCH(U$2,Inputs!$K$4:$AJ$4,0)),NA(),IF(SUMPRODUCT((Inputs!$A$5:$A$130=$B33)*ISNUMBER(INDEX(Inputs!$K$5:$AJ$130,0,MATCH(U$2,Inputs!$K$4:$AJ$4,0))))+SUMPRODUCT((Inputs!$C$5:$C$130=$B33)*ISNUMBER(INDEX(Inputs!$K$5:$AJ$130,0,MATCH(U$2,Inputs!$K$4:$AJ$4,0))))+SUMPRODUCT((Inputs!$E$5:$E$130=$B33)*ISNUMBER(INDEX(Inputs!$K$5:$AJ$130,0,MATCH(U$2,Inputs!$K$4:$AJ$4,0))))=0,NA(),SUMPRODUCT((Inputs!$A$5:$A$130=$B33)*Inputs!$B$5:$B$130*(((Inputs!$G$5:$G$130="moeda")+(Inputs!$G$5:$G$130="acoes"))*Inputs!$B$1+((Inputs!$G$5:$G$130&lt;&gt;"moeda")*(Inputs!$G$5:$G$130&lt;&gt;"acoes")))*INDEX(Inputs!$K$5:$AJ$130,0,MATCH(U$2,Inputs!$K$4:$AJ$4,0)))+SUMPRODUCT((Inputs!$C$5:$C$130=$B33)*Inputs!$D$5:$D$130*(((Inputs!$G$5:$G$130="moeda")+(Inputs!$G$5:$G$130="acoes"))*Inputs!$B$1+((Inputs!$G$5:$G$130&lt;&gt;"moeda")*(Inputs!$G$5:$G$130&lt;&gt;"acoes")))*INDEX(Inputs!$K$5:$AJ$130,0,MATCH(U$2,Inputs!$K$4:$AJ$4,0)))+SUMPRODUCT((Inputs!$E$5:$E$130=$B33)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33" s="265" t="e">
        <f>IF(ISNA(MATCH(V$2,Inputs!$K$4:$AJ$4,0)),NA(),IF(SUMPRODUCT((Inputs!$A$5:$A$130=$B33)*ISNUMBER(INDEX(Inputs!$K$5:$AJ$130,0,MATCH(V$2,Inputs!$K$4:$AJ$4,0))))+SUMPRODUCT((Inputs!$C$5:$C$130=$B33)*ISNUMBER(INDEX(Inputs!$K$5:$AJ$130,0,MATCH(V$2,Inputs!$K$4:$AJ$4,0))))+SUMPRODUCT((Inputs!$E$5:$E$130=$B33)*ISNUMBER(INDEX(Inputs!$K$5:$AJ$130,0,MATCH(V$2,Inputs!$K$4:$AJ$4,0))))=0,NA(),SUMPRODUCT((Inputs!$A$5:$A$130=$B33)*Inputs!$B$5:$B$130*(((Inputs!$G$5:$G$130="moeda")+(Inputs!$G$5:$G$130="acoes"))*Inputs!$B$1+((Inputs!$G$5:$G$130&lt;&gt;"moeda")*(Inputs!$G$5:$G$130&lt;&gt;"acoes")))*INDEX(Inputs!$K$5:$AJ$130,0,MATCH(V$2,Inputs!$K$4:$AJ$4,0)))+SUMPRODUCT((Inputs!$C$5:$C$130=$B33)*Inputs!$D$5:$D$130*(((Inputs!$G$5:$G$130="moeda")+(Inputs!$G$5:$G$130="acoes"))*Inputs!$B$1+((Inputs!$G$5:$G$130&lt;&gt;"moeda")*(Inputs!$G$5:$G$130&lt;&gt;"acoes")))*INDEX(Inputs!$K$5:$AJ$130,0,MATCH(V$2,Inputs!$K$4:$AJ$4,0)))+SUMPRODUCT((Inputs!$E$5:$E$130=$B33)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33" s="266" t="e">
        <f>V33</f>
        <v>#N/A</v>
      </c>
      <c r="X33" s="265" t="e">
        <f>IF(ISNA(MATCH(X$2,Inputs!$K$4:$AJ$4,0)),NA(),IF(SUMPRODUCT((Inputs!$A$5:$A$130=$B33)*ISNUMBER(INDEX(Inputs!$K$5:$AJ$130,0,MATCH(X$2,Inputs!$K$4:$AJ$4,0))))+SUMPRODUCT((Inputs!$C$5:$C$130=$B33)*ISNUMBER(INDEX(Inputs!$K$5:$AJ$130,0,MATCH(X$2,Inputs!$K$4:$AJ$4,0))))+SUMPRODUCT((Inputs!$E$5:$E$130=$B33)*ISNUMBER(INDEX(Inputs!$K$5:$AJ$130,0,MATCH(X$2,Inputs!$K$4:$AJ$4,0))))=0,NA(),SUMPRODUCT((Inputs!$A$5:$A$130=$B33)*Inputs!$B$5:$B$130*(((Inputs!$G$5:$G$130="moeda")+(Inputs!$G$5:$G$130="acoes"))*Inputs!$B$1+((Inputs!$G$5:$G$130&lt;&gt;"moeda")*(Inputs!$G$5:$G$130&lt;&gt;"acoes")))*INDEX(Inputs!$K$5:$AJ$130,0,MATCH(X$2,Inputs!$K$4:$AJ$4,0)))+SUMPRODUCT((Inputs!$C$5:$C$130=$B33)*Inputs!$D$5:$D$130*(((Inputs!$G$5:$G$130="moeda")+(Inputs!$G$5:$G$130="acoes"))*Inputs!$B$1+((Inputs!$G$5:$G$130&lt;&gt;"moeda")*(Inputs!$G$5:$G$130&lt;&gt;"acoes")))*INDEX(Inputs!$K$5:$AJ$130,0,MATCH(X$2,Inputs!$K$4:$AJ$4,0)))+SUMPRODUCT((Inputs!$E$5:$E$130=$B33)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33" s="265" t="e">
        <f>IF(ISNA(MATCH(Y$2,Inputs!$K$4:$AJ$4,0)),NA(),IF(SUMPRODUCT((Inputs!$A$5:$A$130=$B33)*ISNUMBER(INDEX(Inputs!$K$5:$AJ$130,0,MATCH(Y$2,Inputs!$K$4:$AJ$4,0))))+SUMPRODUCT((Inputs!$C$5:$C$130=$B33)*ISNUMBER(INDEX(Inputs!$K$5:$AJ$130,0,MATCH(Y$2,Inputs!$K$4:$AJ$4,0))))+SUMPRODUCT((Inputs!$E$5:$E$130=$B33)*ISNUMBER(INDEX(Inputs!$K$5:$AJ$130,0,MATCH(Y$2,Inputs!$K$4:$AJ$4,0))))=0,NA(),SUMPRODUCT((Inputs!$A$5:$A$130=$B33)*Inputs!$B$5:$B$130*(((Inputs!$G$5:$G$130="moeda")+(Inputs!$G$5:$G$130="acoes"))*Inputs!$B$1+((Inputs!$G$5:$G$130&lt;&gt;"moeda")*(Inputs!$G$5:$G$130&lt;&gt;"acoes")))*INDEX(Inputs!$K$5:$AJ$130,0,MATCH(Y$2,Inputs!$K$4:$AJ$4,0)))+SUMPRODUCT((Inputs!$C$5:$C$130=$B33)*Inputs!$D$5:$D$130*(((Inputs!$G$5:$G$130="moeda")+(Inputs!$G$5:$G$130="acoes"))*Inputs!$B$1+((Inputs!$G$5:$G$130&lt;&gt;"moeda")*(Inputs!$G$5:$G$130&lt;&gt;"acoes")))*INDEX(Inputs!$K$5:$AJ$130,0,MATCH(Y$2,Inputs!$K$4:$AJ$4,0)))+SUMPRODUCT((Inputs!$E$5:$E$130=$B33)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33" s="265" t="e">
        <f>IF(ISNA(MATCH(Z$2,Inputs!$K$4:$AJ$4,0)),NA(),IF(SUMPRODUCT((Inputs!$A$5:$A$130=$B33)*ISNUMBER(INDEX(Inputs!$K$5:$AJ$130,0,MATCH(Z$2,Inputs!$K$4:$AJ$4,0))))+SUMPRODUCT((Inputs!$C$5:$C$130=$B33)*ISNUMBER(INDEX(Inputs!$K$5:$AJ$130,0,MATCH(Z$2,Inputs!$K$4:$AJ$4,0))))+SUMPRODUCT((Inputs!$E$5:$E$130=$B33)*ISNUMBER(INDEX(Inputs!$K$5:$AJ$130,0,MATCH(Z$2,Inputs!$K$4:$AJ$4,0))))=0,NA(),SUMPRODUCT((Inputs!$A$5:$A$130=$B33)*Inputs!$B$5:$B$130*(((Inputs!$G$5:$G$130="moeda")+(Inputs!$G$5:$G$130="acoes"))*Inputs!$B$1+((Inputs!$G$5:$G$130&lt;&gt;"moeda")*(Inputs!$G$5:$G$130&lt;&gt;"acoes")))*INDEX(Inputs!$K$5:$AJ$130,0,MATCH(Z$2,Inputs!$K$4:$AJ$4,0)))+SUMPRODUCT((Inputs!$C$5:$C$130=$B33)*Inputs!$D$5:$D$130*(((Inputs!$G$5:$G$130="moeda")+(Inputs!$G$5:$G$130="acoes"))*Inputs!$B$1+((Inputs!$G$5:$G$130&lt;&gt;"moeda")*(Inputs!$G$5:$G$130&lt;&gt;"acoes")))*INDEX(Inputs!$K$5:$AJ$130,0,MATCH(Z$2,Inputs!$K$4:$AJ$4,0)))+SUMPRODUCT((Inputs!$E$5:$E$130=$B33)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33" s="265" t="e">
        <f>IF(ISNA(MATCH(AA$2,Inputs!$K$4:$AJ$4,0)),NA(),IF(SUMPRODUCT((Inputs!$A$5:$A$130=$B33)*ISNUMBER(INDEX(Inputs!$K$5:$AJ$130,0,MATCH(AA$2,Inputs!$K$4:$AJ$4,0))))+SUMPRODUCT((Inputs!$C$5:$C$130=$B33)*ISNUMBER(INDEX(Inputs!$K$5:$AJ$130,0,MATCH(AA$2,Inputs!$K$4:$AJ$4,0))))+SUMPRODUCT((Inputs!$E$5:$E$130=$B33)*ISNUMBER(INDEX(Inputs!$K$5:$AJ$130,0,MATCH(AA$2,Inputs!$K$4:$AJ$4,0))))=0,NA(),SUMPRODUCT((Inputs!$A$5:$A$130=$B33)*Inputs!$B$5:$B$130*(((Inputs!$G$5:$G$130="moeda")+(Inputs!$G$5:$G$130="acoes"))*Inputs!$B$1+((Inputs!$G$5:$G$130&lt;&gt;"moeda")*(Inputs!$G$5:$G$130&lt;&gt;"acoes")))*INDEX(Inputs!$K$5:$AJ$130,0,MATCH(AA$2,Inputs!$K$4:$AJ$4,0)))+SUMPRODUCT((Inputs!$C$5:$C$130=$B33)*Inputs!$D$5:$D$130*(((Inputs!$G$5:$G$130="moeda")+(Inputs!$G$5:$G$130="acoes"))*Inputs!$B$1+((Inputs!$G$5:$G$130&lt;&gt;"moeda")*(Inputs!$G$5:$G$130&lt;&gt;"acoes")))*INDEX(Inputs!$K$5:$AJ$130,0,MATCH(AA$2,Inputs!$K$4:$AJ$4,0)))+SUMPRODUCT((Inputs!$E$5:$E$130=$B33)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33" s="266" t="e">
        <f>AA33</f>
        <v>#N/A</v>
      </c>
      <c r="AC33" s="265" t="e">
        <f>IF(ISNA(MATCH(AC$2,Inputs!$K$4:$AJ$4,0)),NA(),IF(SUMPRODUCT((Inputs!$A$5:$A$130=$B33)*ISNUMBER(INDEX(Inputs!$K$5:$AJ$130,0,MATCH(AC$2,Inputs!$K$4:$AJ$4,0))))+SUMPRODUCT((Inputs!$C$5:$C$130=$B33)*ISNUMBER(INDEX(Inputs!$K$5:$AJ$130,0,MATCH(AC$2,Inputs!$K$4:$AJ$4,0))))+SUMPRODUCT((Inputs!$E$5:$E$130=$B33)*ISNUMBER(INDEX(Inputs!$K$5:$AJ$130,0,MATCH(AC$2,Inputs!$K$4:$AJ$4,0))))=0,NA(),SUMPRODUCT((Inputs!$A$5:$A$130=$B33)*Inputs!$B$5:$B$130*(((Inputs!$G$5:$G$130="moeda")+(Inputs!$G$5:$G$130="acoes"))*Inputs!$B$1+((Inputs!$G$5:$G$130&lt;&gt;"moeda")*(Inputs!$G$5:$G$130&lt;&gt;"acoes")))*INDEX(Inputs!$K$5:$AJ$130,0,MATCH(AC$2,Inputs!$K$4:$AJ$4,0)))+SUMPRODUCT((Inputs!$C$5:$C$130=$B33)*Inputs!$D$5:$D$130*(((Inputs!$G$5:$G$130="moeda")+(Inputs!$G$5:$G$130="acoes"))*Inputs!$B$1+((Inputs!$G$5:$G$130&lt;&gt;"moeda")*(Inputs!$G$5:$G$130&lt;&gt;"acoes")))*INDEX(Inputs!$K$5:$AJ$130,0,MATCH(AC$2,Inputs!$K$4:$AJ$4,0)))+SUMPRODUCT((Inputs!$E$5:$E$130=$B33)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33" s="265" t="e">
        <f>IF(ISNA(MATCH(AD$2,Inputs!$K$4:$AJ$4,0)),NA(),IF(SUMPRODUCT((Inputs!$A$5:$A$130=$B33)*ISNUMBER(INDEX(Inputs!$K$5:$AJ$130,0,MATCH(AD$2,Inputs!$K$4:$AJ$4,0))))+SUMPRODUCT((Inputs!$C$5:$C$130=$B33)*ISNUMBER(INDEX(Inputs!$K$5:$AJ$130,0,MATCH(AD$2,Inputs!$K$4:$AJ$4,0))))+SUMPRODUCT((Inputs!$E$5:$E$130=$B33)*ISNUMBER(INDEX(Inputs!$K$5:$AJ$130,0,MATCH(AD$2,Inputs!$K$4:$AJ$4,0))))=0,NA(),SUMPRODUCT((Inputs!$A$5:$A$130=$B33)*Inputs!$B$5:$B$130*(((Inputs!$G$5:$G$130="moeda")+(Inputs!$G$5:$G$130="acoes"))*Inputs!$B$1+((Inputs!$G$5:$G$130&lt;&gt;"moeda")*(Inputs!$G$5:$G$130&lt;&gt;"acoes")))*INDEX(Inputs!$K$5:$AJ$130,0,MATCH(AD$2,Inputs!$K$4:$AJ$4,0)))+SUMPRODUCT((Inputs!$C$5:$C$130=$B33)*Inputs!$D$5:$D$130*(((Inputs!$G$5:$G$130="moeda")+(Inputs!$G$5:$G$130="acoes"))*Inputs!$B$1+((Inputs!$G$5:$G$130&lt;&gt;"moeda")*(Inputs!$G$5:$G$130&lt;&gt;"acoes")))*INDEX(Inputs!$K$5:$AJ$130,0,MATCH(AD$2,Inputs!$K$4:$AJ$4,0)))+SUMPRODUCT((Inputs!$E$5:$E$130=$B33)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33" s="265" t="e">
        <f>IF(ISNA(MATCH(AE$2,Inputs!$K$4:$AJ$4,0)),NA(),IF(SUMPRODUCT((Inputs!$A$5:$A$130=$B33)*ISNUMBER(INDEX(Inputs!$K$5:$AJ$130,0,MATCH(AE$2,Inputs!$K$4:$AJ$4,0))))+SUMPRODUCT((Inputs!$C$5:$C$130=$B33)*ISNUMBER(INDEX(Inputs!$K$5:$AJ$130,0,MATCH(AE$2,Inputs!$K$4:$AJ$4,0))))+SUMPRODUCT((Inputs!$E$5:$E$130=$B33)*ISNUMBER(INDEX(Inputs!$K$5:$AJ$130,0,MATCH(AE$2,Inputs!$K$4:$AJ$4,0))))=0,NA(),SUMPRODUCT((Inputs!$A$5:$A$130=$B33)*Inputs!$B$5:$B$130*(((Inputs!$G$5:$G$130="moeda")+(Inputs!$G$5:$G$130="acoes"))*Inputs!$B$1+((Inputs!$G$5:$G$130&lt;&gt;"moeda")*(Inputs!$G$5:$G$130&lt;&gt;"acoes")))*INDEX(Inputs!$K$5:$AJ$130,0,MATCH(AE$2,Inputs!$K$4:$AJ$4,0)))+SUMPRODUCT((Inputs!$C$5:$C$130=$B33)*Inputs!$D$5:$D$130*(((Inputs!$G$5:$G$130="moeda")+(Inputs!$G$5:$G$130="acoes"))*Inputs!$B$1+((Inputs!$G$5:$G$130&lt;&gt;"moeda")*(Inputs!$G$5:$G$130&lt;&gt;"acoes")))*INDEX(Inputs!$K$5:$AJ$130,0,MATCH(AE$2,Inputs!$K$4:$AJ$4,0)))+SUMPRODUCT((Inputs!$E$5:$E$130=$B33)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3" s="265" t="e">
        <f>IF(ISNA(MATCH(AF$2,Inputs!$K$4:$AJ$4,0)),NA(),IF(SUMPRODUCT((Inputs!$A$5:$A$130=$B33)*ISNUMBER(INDEX(Inputs!$K$5:$AJ$130,0,MATCH(AF$2,Inputs!$K$4:$AJ$4,0))))+SUMPRODUCT((Inputs!$C$5:$C$130=$B33)*ISNUMBER(INDEX(Inputs!$K$5:$AJ$130,0,MATCH(AF$2,Inputs!$K$4:$AJ$4,0))))+SUMPRODUCT((Inputs!$E$5:$E$130=$B33)*ISNUMBER(INDEX(Inputs!$K$5:$AJ$130,0,MATCH(AF$2,Inputs!$K$4:$AJ$4,0))))=0,NA(),SUMPRODUCT((Inputs!$A$5:$A$130=$B33)*Inputs!$B$5:$B$130*(((Inputs!$G$5:$G$130="moeda")+(Inputs!$G$5:$G$130="acoes"))*Inputs!$B$1+((Inputs!$G$5:$G$130&lt;&gt;"moeda")*(Inputs!$G$5:$G$130&lt;&gt;"acoes")))*INDEX(Inputs!$K$5:$AJ$130,0,MATCH(AF$2,Inputs!$K$4:$AJ$4,0)))+SUMPRODUCT((Inputs!$C$5:$C$130=$B33)*Inputs!$D$5:$D$130*(((Inputs!$G$5:$G$130="moeda")+(Inputs!$G$5:$G$130="acoes"))*Inputs!$B$1+((Inputs!$G$5:$G$130&lt;&gt;"moeda")*(Inputs!$G$5:$G$130&lt;&gt;"acoes")))*INDEX(Inputs!$K$5:$AJ$130,0,MATCH(AF$2,Inputs!$K$4:$AJ$4,0)))+SUMPRODUCT((Inputs!$E$5:$E$130=$B33)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3" s="266" t="e">
        <f>AF33</f>
        <v>#N/A</v>
      </c>
      <c r="AH33" s="265" t="e">
        <f>IF(ISNA(MATCH(AH$2,Inputs!$K$4:$AJ$4,0)),NA(),IF(SUMPRODUCT((Inputs!$A$5:$A$130=$B33)*ISNUMBER(INDEX(Inputs!$K$5:$AJ$130,0,MATCH(AH$2,Inputs!$K$4:$AJ$4,0))))+SUMPRODUCT((Inputs!$C$5:$C$130=$B33)*ISNUMBER(INDEX(Inputs!$K$5:$AJ$130,0,MATCH(AH$2,Inputs!$K$4:$AJ$4,0))))+SUMPRODUCT((Inputs!$E$5:$E$130=$B33)*ISNUMBER(INDEX(Inputs!$K$5:$AJ$130,0,MATCH(AH$2,Inputs!$K$4:$AJ$4,0))))=0,NA(),SUMPRODUCT((Inputs!$A$5:$A$130=$B33)*Inputs!$B$5:$B$130*(((Inputs!$G$5:$G$130="moeda")+(Inputs!$G$5:$G$130="acoes"))*Inputs!$B$1+((Inputs!$G$5:$G$130&lt;&gt;"moeda")*(Inputs!$G$5:$G$130&lt;&gt;"acoes")))*INDEX(Inputs!$K$5:$AJ$130,0,MATCH(AH$2,Inputs!$K$4:$AJ$4,0)))+SUMPRODUCT((Inputs!$C$5:$C$130=$B33)*Inputs!$D$5:$D$130*(((Inputs!$G$5:$G$130="moeda")+(Inputs!$G$5:$G$130="acoes"))*Inputs!$B$1+((Inputs!$G$5:$G$130&lt;&gt;"moeda")*(Inputs!$G$5:$G$130&lt;&gt;"acoes")))*INDEX(Inputs!$K$5:$AJ$130,0,MATCH(AH$2,Inputs!$K$4:$AJ$4,0)))+SUMPRODUCT((Inputs!$E$5:$E$130=$B33)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33" s="265" t="e">
        <f>IF(ISNA(MATCH(AI$2,Inputs!$K$4:$AJ$4,0)),NA(),IF(SUMPRODUCT((Inputs!$A$5:$A$130=$B33)*ISNUMBER(INDEX(Inputs!$K$5:$AJ$130,0,MATCH(AI$2,Inputs!$K$4:$AJ$4,0))))+SUMPRODUCT((Inputs!$C$5:$C$130=$B33)*ISNUMBER(INDEX(Inputs!$K$5:$AJ$130,0,MATCH(AI$2,Inputs!$K$4:$AJ$4,0))))+SUMPRODUCT((Inputs!$E$5:$E$130=$B33)*ISNUMBER(INDEX(Inputs!$K$5:$AJ$130,0,MATCH(AI$2,Inputs!$K$4:$AJ$4,0))))=0,NA(),SUMPRODUCT((Inputs!$A$5:$A$130=$B33)*Inputs!$B$5:$B$130*(((Inputs!$G$5:$G$130="moeda")+(Inputs!$G$5:$G$130="acoes"))*Inputs!$B$1+((Inputs!$G$5:$G$130&lt;&gt;"moeda")*(Inputs!$G$5:$G$130&lt;&gt;"acoes")))*INDEX(Inputs!$K$5:$AJ$130,0,MATCH(AI$2,Inputs!$K$4:$AJ$4,0)))+SUMPRODUCT((Inputs!$C$5:$C$130=$B33)*Inputs!$D$5:$D$130*(((Inputs!$G$5:$G$130="moeda")+(Inputs!$G$5:$G$130="acoes"))*Inputs!$B$1+((Inputs!$G$5:$G$130&lt;&gt;"moeda")*(Inputs!$G$5:$G$130&lt;&gt;"acoes")))*INDEX(Inputs!$K$5:$AJ$130,0,MATCH(AI$2,Inputs!$K$4:$AJ$4,0)))+SUMPRODUCT((Inputs!$E$5:$E$130=$B33)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33" s="265" t="e">
        <f>IF(ISNA(MATCH(AJ$2,Inputs!$K$4:$AJ$4,0)),NA(),IF(SUMPRODUCT((Inputs!$A$5:$A$130=$B33)*ISNUMBER(INDEX(Inputs!$K$5:$AJ$130,0,MATCH(AJ$2,Inputs!$K$4:$AJ$4,0))))+SUMPRODUCT((Inputs!$C$5:$C$130=$B33)*ISNUMBER(INDEX(Inputs!$K$5:$AJ$130,0,MATCH(AJ$2,Inputs!$K$4:$AJ$4,0))))+SUMPRODUCT((Inputs!$E$5:$E$130=$B33)*ISNUMBER(INDEX(Inputs!$K$5:$AJ$130,0,MATCH(AJ$2,Inputs!$K$4:$AJ$4,0))))=0,NA(),SUMPRODUCT((Inputs!$A$5:$A$130=$B33)*Inputs!$B$5:$B$130*(((Inputs!$G$5:$G$130="moeda")+(Inputs!$G$5:$G$130="acoes"))*Inputs!$B$1+((Inputs!$G$5:$G$130&lt;&gt;"moeda")*(Inputs!$G$5:$G$130&lt;&gt;"acoes")))*INDEX(Inputs!$K$5:$AJ$130,0,MATCH(AJ$2,Inputs!$K$4:$AJ$4,0)))+SUMPRODUCT((Inputs!$C$5:$C$130=$B33)*Inputs!$D$5:$D$130*(((Inputs!$G$5:$G$130="moeda")+(Inputs!$G$5:$G$130="acoes"))*Inputs!$B$1+((Inputs!$G$5:$G$130&lt;&gt;"moeda")*(Inputs!$G$5:$G$130&lt;&gt;"acoes")))*INDEX(Inputs!$K$5:$AJ$130,0,MATCH(AJ$2,Inputs!$K$4:$AJ$4,0)))+SUMPRODUCT((Inputs!$E$5:$E$130=$B33)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33" s="265" t="e">
        <f>IF(ISNA(MATCH(AK$2,Inputs!$K$4:$AJ$4,0)),NA(),IF(SUMPRODUCT((Inputs!$A$5:$A$130=$B33)*ISNUMBER(INDEX(Inputs!$K$5:$AJ$130,0,MATCH(AK$2,Inputs!$K$4:$AJ$4,0))))+SUMPRODUCT((Inputs!$C$5:$C$130=$B33)*ISNUMBER(INDEX(Inputs!$K$5:$AJ$130,0,MATCH(AK$2,Inputs!$K$4:$AJ$4,0))))+SUMPRODUCT((Inputs!$E$5:$E$130=$B33)*ISNUMBER(INDEX(Inputs!$K$5:$AJ$130,0,MATCH(AK$2,Inputs!$K$4:$AJ$4,0))))=0,NA(),SUMPRODUCT((Inputs!$A$5:$A$130=$B33)*Inputs!$B$5:$B$130*(((Inputs!$G$5:$G$130="moeda")+(Inputs!$G$5:$G$130="acoes"))*Inputs!$B$1+((Inputs!$G$5:$G$130&lt;&gt;"moeda")*(Inputs!$G$5:$G$130&lt;&gt;"acoes")))*INDEX(Inputs!$K$5:$AJ$130,0,MATCH(AK$2,Inputs!$K$4:$AJ$4,0)))+SUMPRODUCT((Inputs!$C$5:$C$130=$B33)*Inputs!$D$5:$D$130*(((Inputs!$G$5:$G$130="moeda")+(Inputs!$G$5:$G$130="acoes"))*Inputs!$B$1+((Inputs!$G$5:$G$130&lt;&gt;"moeda")*(Inputs!$G$5:$G$130&lt;&gt;"acoes")))*INDEX(Inputs!$K$5:$AJ$130,0,MATCH(AK$2,Inputs!$K$4:$AJ$4,0)))+SUMPRODUCT((Inputs!$E$5:$E$130=$B33)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33" s="266" t="e">
        <f>AK33</f>
        <v>#N/A</v>
      </c>
    </row>
    <row r="34" ht="12.75" customHeight="1" s="254">
      <c r="B34" s="263" t="n">
        <v>29</v>
      </c>
      <c r="C34" s="268" t="inlineStr">
        <is>
          <t>Short term operating leases</t>
        </is>
      </c>
      <c r="D34" s="265" t="e">
        <f>IF(ISNA(MATCH(D$2,Inputs!$K$4:$AJ$4,0)),NA(),IF(SUMPRODUCT((Inputs!$A$5:$A$130=$B34)*ISNUMBER(INDEX(Inputs!$K$5:$AJ$130,0,MATCH(D$2,Inputs!$K$4:$AJ$4,0))))+SUMPRODUCT((Inputs!$C$5:$C$130=$B34)*ISNUMBER(INDEX(Inputs!$K$5:$AJ$130,0,MATCH(D$2,Inputs!$K$4:$AJ$4,0))))+SUMPRODUCT((Inputs!$E$5:$E$130=$B34)*ISNUMBER(INDEX(Inputs!$K$5:$AJ$130,0,MATCH(D$2,Inputs!$K$4:$AJ$4,0))))=0,NA(),SUMPRODUCT((Inputs!$A$5:$A$130=$B34)*Inputs!$B$5:$B$130*(((Inputs!$G$5:$G$130="moeda")+(Inputs!$G$5:$G$130="acoes"))*Inputs!$B$1+((Inputs!$G$5:$G$130&lt;&gt;"moeda")*(Inputs!$G$5:$G$130&lt;&gt;"acoes")))*INDEX(Inputs!$K$5:$AJ$130,0,MATCH(D$2,Inputs!$K$4:$AJ$4,0)))+SUMPRODUCT((Inputs!$C$5:$C$130=$B34)*Inputs!$D$5:$D$130*(((Inputs!$G$5:$G$130="moeda")+(Inputs!$G$5:$G$130="acoes"))*Inputs!$B$1+((Inputs!$G$5:$G$130&lt;&gt;"moeda")*(Inputs!$G$5:$G$130&lt;&gt;"acoes")))*INDEX(Inputs!$K$5:$AJ$130,0,MATCH(D$2,Inputs!$K$4:$AJ$4,0)))+SUMPRODUCT((Inputs!$E$5:$E$130=$B34)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34" s="265" t="e">
        <f>IF(ISNA(MATCH(E$2,Inputs!$K$4:$AJ$4,0)),NA(),IF(SUMPRODUCT((Inputs!$A$5:$A$130=$B34)*ISNUMBER(INDEX(Inputs!$K$5:$AJ$130,0,MATCH(E$2,Inputs!$K$4:$AJ$4,0))))+SUMPRODUCT((Inputs!$C$5:$C$130=$B34)*ISNUMBER(INDEX(Inputs!$K$5:$AJ$130,0,MATCH(E$2,Inputs!$K$4:$AJ$4,0))))+SUMPRODUCT((Inputs!$E$5:$E$130=$B34)*ISNUMBER(INDEX(Inputs!$K$5:$AJ$130,0,MATCH(E$2,Inputs!$K$4:$AJ$4,0))))=0,NA(),SUMPRODUCT((Inputs!$A$5:$A$130=$B34)*Inputs!$B$5:$B$130*(((Inputs!$G$5:$G$130="moeda")+(Inputs!$G$5:$G$130="acoes"))*Inputs!$B$1+((Inputs!$G$5:$G$130&lt;&gt;"moeda")*(Inputs!$G$5:$G$130&lt;&gt;"acoes")))*INDEX(Inputs!$K$5:$AJ$130,0,MATCH(E$2,Inputs!$K$4:$AJ$4,0)))+SUMPRODUCT((Inputs!$C$5:$C$130=$B34)*Inputs!$D$5:$D$130*(((Inputs!$G$5:$G$130="moeda")+(Inputs!$G$5:$G$130="acoes"))*Inputs!$B$1+((Inputs!$G$5:$G$130&lt;&gt;"moeda")*(Inputs!$G$5:$G$130&lt;&gt;"acoes")))*INDEX(Inputs!$K$5:$AJ$130,0,MATCH(E$2,Inputs!$K$4:$AJ$4,0)))+SUMPRODUCT((Inputs!$E$5:$E$130=$B34)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34" s="265" t="e">
        <f>IF(ISNA(MATCH(F$2,Inputs!$K$4:$AJ$4,0)),NA(),IF(SUMPRODUCT((Inputs!$A$5:$A$130=$B34)*ISNUMBER(INDEX(Inputs!$K$5:$AJ$130,0,MATCH(F$2,Inputs!$K$4:$AJ$4,0))))+SUMPRODUCT((Inputs!$C$5:$C$130=$B34)*ISNUMBER(INDEX(Inputs!$K$5:$AJ$130,0,MATCH(F$2,Inputs!$K$4:$AJ$4,0))))+SUMPRODUCT((Inputs!$E$5:$E$130=$B34)*ISNUMBER(INDEX(Inputs!$K$5:$AJ$130,0,MATCH(F$2,Inputs!$K$4:$AJ$4,0))))=0,NA(),SUMPRODUCT((Inputs!$A$5:$A$130=$B34)*Inputs!$B$5:$B$130*(((Inputs!$G$5:$G$130="moeda")+(Inputs!$G$5:$G$130="acoes"))*Inputs!$B$1+((Inputs!$G$5:$G$130&lt;&gt;"moeda")*(Inputs!$G$5:$G$130&lt;&gt;"acoes")))*INDEX(Inputs!$K$5:$AJ$130,0,MATCH(F$2,Inputs!$K$4:$AJ$4,0)))+SUMPRODUCT((Inputs!$C$5:$C$130=$B34)*Inputs!$D$5:$D$130*(((Inputs!$G$5:$G$130="moeda")+(Inputs!$G$5:$G$130="acoes"))*Inputs!$B$1+((Inputs!$G$5:$G$130&lt;&gt;"moeda")*(Inputs!$G$5:$G$130&lt;&gt;"acoes")))*INDEX(Inputs!$K$5:$AJ$130,0,MATCH(F$2,Inputs!$K$4:$AJ$4,0)))+SUMPRODUCT((Inputs!$E$5:$E$130=$B34)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34" s="265" t="e">
        <f>IF(ISNA(MATCH(G$2,Inputs!$K$4:$AJ$4,0)),NA(),IF(SUMPRODUCT((Inputs!$A$5:$A$130=$B34)*ISNUMBER(INDEX(Inputs!$K$5:$AJ$130,0,MATCH(G$2,Inputs!$K$4:$AJ$4,0))))+SUMPRODUCT((Inputs!$C$5:$C$130=$B34)*ISNUMBER(INDEX(Inputs!$K$5:$AJ$130,0,MATCH(G$2,Inputs!$K$4:$AJ$4,0))))+SUMPRODUCT((Inputs!$E$5:$E$130=$B34)*ISNUMBER(INDEX(Inputs!$K$5:$AJ$130,0,MATCH(G$2,Inputs!$K$4:$AJ$4,0))))=0,NA(),SUMPRODUCT((Inputs!$A$5:$A$130=$B34)*Inputs!$B$5:$B$130*(((Inputs!$G$5:$G$130="moeda")+(Inputs!$G$5:$G$130="acoes"))*Inputs!$B$1+((Inputs!$G$5:$G$130&lt;&gt;"moeda")*(Inputs!$G$5:$G$130&lt;&gt;"acoes")))*INDEX(Inputs!$K$5:$AJ$130,0,MATCH(G$2,Inputs!$K$4:$AJ$4,0)))+SUMPRODUCT((Inputs!$C$5:$C$130=$B34)*Inputs!$D$5:$D$130*(((Inputs!$G$5:$G$130="moeda")+(Inputs!$G$5:$G$130="acoes"))*Inputs!$B$1+((Inputs!$G$5:$G$130&lt;&gt;"moeda")*(Inputs!$G$5:$G$130&lt;&gt;"acoes")))*INDEX(Inputs!$K$5:$AJ$130,0,MATCH(G$2,Inputs!$K$4:$AJ$4,0)))+SUMPRODUCT((Inputs!$E$5:$E$130=$B34)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34" s="266" t="e">
        <f>G34</f>
        <v>#N/A</v>
      </c>
      <c r="I34" s="265" t="e">
        <f>IF(ISNA(MATCH(I$2,Inputs!$K$4:$AJ$4,0)),NA(),IF(SUMPRODUCT((Inputs!$A$5:$A$130=$B34)*ISNUMBER(INDEX(Inputs!$K$5:$AJ$130,0,MATCH(I$2,Inputs!$K$4:$AJ$4,0))))+SUMPRODUCT((Inputs!$C$5:$C$130=$B34)*ISNUMBER(INDEX(Inputs!$K$5:$AJ$130,0,MATCH(I$2,Inputs!$K$4:$AJ$4,0))))+SUMPRODUCT((Inputs!$E$5:$E$130=$B34)*ISNUMBER(INDEX(Inputs!$K$5:$AJ$130,0,MATCH(I$2,Inputs!$K$4:$AJ$4,0))))=0,NA(),SUMPRODUCT((Inputs!$A$5:$A$130=$B34)*Inputs!$B$5:$B$130*(((Inputs!$G$5:$G$130="moeda")+(Inputs!$G$5:$G$130="acoes"))*Inputs!$B$1+((Inputs!$G$5:$G$130&lt;&gt;"moeda")*(Inputs!$G$5:$G$130&lt;&gt;"acoes")))*INDEX(Inputs!$K$5:$AJ$130,0,MATCH(I$2,Inputs!$K$4:$AJ$4,0)))+SUMPRODUCT((Inputs!$C$5:$C$130=$B34)*Inputs!$D$5:$D$130*(((Inputs!$G$5:$G$130="moeda")+(Inputs!$G$5:$G$130="acoes"))*Inputs!$B$1+((Inputs!$G$5:$G$130&lt;&gt;"moeda")*(Inputs!$G$5:$G$130&lt;&gt;"acoes")))*INDEX(Inputs!$K$5:$AJ$130,0,MATCH(I$2,Inputs!$K$4:$AJ$4,0)))+SUMPRODUCT((Inputs!$E$5:$E$130=$B34)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34" s="265" t="e">
        <f>IF(ISNA(MATCH(J$2,Inputs!$K$4:$AJ$4,0)),NA(),IF(SUMPRODUCT((Inputs!$A$5:$A$130=$B34)*ISNUMBER(INDEX(Inputs!$K$5:$AJ$130,0,MATCH(J$2,Inputs!$K$4:$AJ$4,0))))+SUMPRODUCT((Inputs!$C$5:$C$130=$B34)*ISNUMBER(INDEX(Inputs!$K$5:$AJ$130,0,MATCH(J$2,Inputs!$K$4:$AJ$4,0))))+SUMPRODUCT((Inputs!$E$5:$E$130=$B34)*ISNUMBER(INDEX(Inputs!$K$5:$AJ$130,0,MATCH(J$2,Inputs!$K$4:$AJ$4,0))))=0,NA(),SUMPRODUCT((Inputs!$A$5:$A$130=$B34)*Inputs!$B$5:$B$130*(((Inputs!$G$5:$G$130="moeda")+(Inputs!$G$5:$G$130="acoes"))*Inputs!$B$1+((Inputs!$G$5:$G$130&lt;&gt;"moeda")*(Inputs!$G$5:$G$130&lt;&gt;"acoes")))*INDEX(Inputs!$K$5:$AJ$130,0,MATCH(J$2,Inputs!$K$4:$AJ$4,0)))+SUMPRODUCT((Inputs!$C$5:$C$130=$B34)*Inputs!$D$5:$D$130*(((Inputs!$G$5:$G$130="moeda")+(Inputs!$G$5:$G$130="acoes"))*Inputs!$B$1+((Inputs!$G$5:$G$130&lt;&gt;"moeda")*(Inputs!$G$5:$G$130&lt;&gt;"acoes")))*INDEX(Inputs!$K$5:$AJ$130,0,MATCH(J$2,Inputs!$K$4:$AJ$4,0)))+SUMPRODUCT((Inputs!$E$5:$E$130=$B34)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34" s="265" t="e">
        <f>IF(ISNA(MATCH(K$2,Inputs!$K$4:$AJ$4,0)),NA(),IF(SUMPRODUCT((Inputs!$A$5:$A$130=$B34)*ISNUMBER(INDEX(Inputs!$K$5:$AJ$130,0,MATCH(K$2,Inputs!$K$4:$AJ$4,0))))+SUMPRODUCT((Inputs!$C$5:$C$130=$B34)*ISNUMBER(INDEX(Inputs!$K$5:$AJ$130,0,MATCH(K$2,Inputs!$K$4:$AJ$4,0))))+SUMPRODUCT((Inputs!$E$5:$E$130=$B34)*ISNUMBER(INDEX(Inputs!$K$5:$AJ$130,0,MATCH(K$2,Inputs!$K$4:$AJ$4,0))))=0,NA(),SUMPRODUCT((Inputs!$A$5:$A$130=$B34)*Inputs!$B$5:$B$130*(((Inputs!$G$5:$G$130="moeda")+(Inputs!$G$5:$G$130="acoes"))*Inputs!$B$1+((Inputs!$G$5:$G$130&lt;&gt;"moeda")*(Inputs!$G$5:$G$130&lt;&gt;"acoes")))*INDEX(Inputs!$K$5:$AJ$130,0,MATCH(K$2,Inputs!$K$4:$AJ$4,0)))+SUMPRODUCT((Inputs!$C$5:$C$130=$B34)*Inputs!$D$5:$D$130*(((Inputs!$G$5:$G$130="moeda")+(Inputs!$G$5:$G$130="acoes"))*Inputs!$B$1+((Inputs!$G$5:$G$130&lt;&gt;"moeda")*(Inputs!$G$5:$G$130&lt;&gt;"acoes")))*INDEX(Inputs!$K$5:$AJ$130,0,MATCH(K$2,Inputs!$K$4:$AJ$4,0)))+SUMPRODUCT((Inputs!$E$5:$E$130=$B34)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34" s="265" t="e">
        <f>IF(ISNA(MATCH(L$2,Inputs!$K$4:$AJ$4,0)),NA(),IF(SUMPRODUCT((Inputs!$A$5:$A$130=$B34)*ISNUMBER(INDEX(Inputs!$K$5:$AJ$130,0,MATCH(L$2,Inputs!$K$4:$AJ$4,0))))+SUMPRODUCT((Inputs!$C$5:$C$130=$B34)*ISNUMBER(INDEX(Inputs!$K$5:$AJ$130,0,MATCH(L$2,Inputs!$K$4:$AJ$4,0))))+SUMPRODUCT((Inputs!$E$5:$E$130=$B34)*ISNUMBER(INDEX(Inputs!$K$5:$AJ$130,0,MATCH(L$2,Inputs!$K$4:$AJ$4,0))))=0,NA(),SUMPRODUCT((Inputs!$A$5:$A$130=$B34)*Inputs!$B$5:$B$130*(((Inputs!$G$5:$G$130="moeda")+(Inputs!$G$5:$G$130="acoes"))*Inputs!$B$1+((Inputs!$G$5:$G$130&lt;&gt;"moeda")*(Inputs!$G$5:$G$130&lt;&gt;"acoes")))*INDEX(Inputs!$K$5:$AJ$130,0,MATCH(L$2,Inputs!$K$4:$AJ$4,0)))+SUMPRODUCT((Inputs!$C$5:$C$130=$B34)*Inputs!$D$5:$D$130*(((Inputs!$G$5:$G$130="moeda")+(Inputs!$G$5:$G$130="acoes"))*Inputs!$B$1+((Inputs!$G$5:$G$130&lt;&gt;"moeda")*(Inputs!$G$5:$G$130&lt;&gt;"acoes")))*INDEX(Inputs!$K$5:$AJ$130,0,MATCH(L$2,Inputs!$K$4:$AJ$4,0)))+SUMPRODUCT((Inputs!$E$5:$E$130=$B34)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34" s="266" t="e">
        <f>L34</f>
        <v>#N/A</v>
      </c>
      <c r="N34" s="265" t="e">
        <f>IF(ISNA(MATCH(N$2,Inputs!$K$4:$AJ$4,0)),NA(),IF(SUMPRODUCT((Inputs!$A$5:$A$130=$B34)*ISNUMBER(INDEX(Inputs!$K$5:$AJ$130,0,MATCH(N$2,Inputs!$K$4:$AJ$4,0))))+SUMPRODUCT((Inputs!$C$5:$C$130=$B34)*ISNUMBER(INDEX(Inputs!$K$5:$AJ$130,0,MATCH(N$2,Inputs!$K$4:$AJ$4,0))))+SUMPRODUCT((Inputs!$E$5:$E$130=$B34)*ISNUMBER(INDEX(Inputs!$K$5:$AJ$130,0,MATCH(N$2,Inputs!$K$4:$AJ$4,0))))=0,NA(),SUMPRODUCT((Inputs!$A$5:$A$130=$B34)*Inputs!$B$5:$B$130*(((Inputs!$G$5:$G$130="moeda")+(Inputs!$G$5:$G$130="acoes"))*Inputs!$B$1+((Inputs!$G$5:$G$130&lt;&gt;"moeda")*(Inputs!$G$5:$G$130&lt;&gt;"acoes")))*INDEX(Inputs!$K$5:$AJ$130,0,MATCH(N$2,Inputs!$K$4:$AJ$4,0)))+SUMPRODUCT((Inputs!$C$5:$C$130=$B34)*Inputs!$D$5:$D$130*(((Inputs!$G$5:$G$130="moeda")+(Inputs!$G$5:$G$130="acoes"))*Inputs!$B$1+((Inputs!$G$5:$G$130&lt;&gt;"moeda")*(Inputs!$G$5:$G$130&lt;&gt;"acoes")))*INDEX(Inputs!$K$5:$AJ$130,0,MATCH(N$2,Inputs!$K$4:$AJ$4,0)))+SUMPRODUCT((Inputs!$E$5:$E$130=$B34)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34" s="265" t="e">
        <f>IF(ISNA(MATCH(O$2,Inputs!$K$4:$AJ$4,0)),NA(),IF(SUMPRODUCT((Inputs!$A$5:$A$130=$B34)*ISNUMBER(INDEX(Inputs!$K$5:$AJ$130,0,MATCH(O$2,Inputs!$K$4:$AJ$4,0))))+SUMPRODUCT((Inputs!$C$5:$C$130=$B34)*ISNUMBER(INDEX(Inputs!$K$5:$AJ$130,0,MATCH(O$2,Inputs!$K$4:$AJ$4,0))))+SUMPRODUCT((Inputs!$E$5:$E$130=$B34)*ISNUMBER(INDEX(Inputs!$K$5:$AJ$130,0,MATCH(O$2,Inputs!$K$4:$AJ$4,0))))=0,NA(),SUMPRODUCT((Inputs!$A$5:$A$130=$B34)*Inputs!$B$5:$B$130*(((Inputs!$G$5:$G$130="moeda")+(Inputs!$G$5:$G$130="acoes"))*Inputs!$B$1+((Inputs!$G$5:$G$130&lt;&gt;"moeda")*(Inputs!$G$5:$G$130&lt;&gt;"acoes")))*INDEX(Inputs!$K$5:$AJ$130,0,MATCH(O$2,Inputs!$K$4:$AJ$4,0)))+SUMPRODUCT((Inputs!$C$5:$C$130=$B34)*Inputs!$D$5:$D$130*(((Inputs!$G$5:$G$130="moeda")+(Inputs!$G$5:$G$130="acoes"))*Inputs!$B$1+((Inputs!$G$5:$G$130&lt;&gt;"moeda")*(Inputs!$G$5:$G$130&lt;&gt;"acoes")))*INDEX(Inputs!$K$5:$AJ$130,0,MATCH(O$2,Inputs!$K$4:$AJ$4,0)))+SUMPRODUCT((Inputs!$E$5:$E$130=$B34)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34" s="265" t="e">
        <f>IF(ISNA(MATCH(P$2,Inputs!$K$4:$AJ$4,0)),NA(),IF(SUMPRODUCT((Inputs!$A$5:$A$130=$B34)*ISNUMBER(INDEX(Inputs!$K$5:$AJ$130,0,MATCH(P$2,Inputs!$K$4:$AJ$4,0))))+SUMPRODUCT((Inputs!$C$5:$C$130=$B34)*ISNUMBER(INDEX(Inputs!$K$5:$AJ$130,0,MATCH(P$2,Inputs!$K$4:$AJ$4,0))))+SUMPRODUCT((Inputs!$E$5:$E$130=$B34)*ISNUMBER(INDEX(Inputs!$K$5:$AJ$130,0,MATCH(P$2,Inputs!$K$4:$AJ$4,0))))=0,NA(),SUMPRODUCT((Inputs!$A$5:$A$130=$B34)*Inputs!$B$5:$B$130*(((Inputs!$G$5:$G$130="moeda")+(Inputs!$G$5:$G$130="acoes"))*Inputs!$B$1+((Inputs!$G$5:$G$130&lt;&gt;"moeda")*(Inputs!$G$5:$G$130&lt;&gt;"acoes")))*INDEX(Inputs!$K$5:$AJ$130,0,MATCH(P$2,Inputs!$K$4:$AJ$4,0)))+SUMPRODUCT((Inputs!$C$5:$C$130=$B34)*Inputs!$D$5:$D$130*(((Inputs!$G$5:$G$130="moeda")+(Inputs!$G$5:$G$130="acoes"))*Inputs!$B$1+((Inputs!$G$5:$G$130&lt;&gt;"moeda")*(Inputs!$G$5:$G$130&lt;&gt;"acoes")))*INDEX(Inputs!$K$5:$AJ$130,0,MATCH(P$2,Inputs!$K$4:$AJ$4,0)))+SUMPRODUCT((Inputs!$E$5:$E$130=$B34)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34" s="265" t="e">
        <f>IF(ISNA(MATCH(Q$2,Inputs!$K$4:$AJ$4,0)),NA(),IF(SUMPRODUCT((Inputs!$A$5:$A$130=$B34)*ISNUMBER(INDEX(Inputs!$K$5:$AJ$130,0,MATCH(Q$2,Inputs!$K$4:$AJ$4,0))))+SUMPRODUCT((Inputs!$C$5:$C$130=$B34)*ISNUMBER(INDEX(Inputs!$K$5:$AJ$130,0,MATCH(Q$2,Inputs!$K$4:$AJ$4,0))))+SUMPRODUCT((Inputs!$E$5:$E$130=$B34)*ISNUMBER(INDEX(Inputs!$K$5:$AJ$130,0,MATCH(Q$2,Inputs!$K$4:$AJ$4,0))))=0,NA(),SUMPRODUCT((Inputs!$A$5:$A$130=$B34)*Inputs!$B$5:$B$130*(((Inputs!$G$5:$G$130="moeda")+(Inputs!$G$5:$G$130="acoes"))*Inputs!$B$1+((Inputs!$G$5:$G$130&lt;&gt;"moeda")*(Inputs!$G$5:$G$130&lt;&gt;"acoes")))*INDEX(Inputs!$K$5:$AJ$130,0,MATCH(Q$2,Inputs!$K$4:$AJ$4,0)))+SUMPRODUCT((Inputs!$C$5:$C$130=$B34)*Inputs!$D$5:$D$130*(((Inputs!$G$5:$G$130="moeda")+(Inputs!$G$5:$G$130="acoes"))*Inputs!$B$1+((Inputs!$G$5:$G$130&lt;&gt;"moeda")*(Inputs!$G$5:$G$130&lt;&gt;"acoes")))*INDEX(Inputs!$K$5:$AJ$130,0,MATCH(Q$2,Inputs!$K$4:$AJ$4,0)))+SUMPRODUCT((Inputs!$E$5:$E$130=$B34)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34" s="266" t="e">
        <f>Q34</f>
        <v>#N/A</v>
      </c>
      <c r="S34" s="265" t="e">
        <f>IF(ISNA(MATCH(S$2,Inputs!$K$4:$AJ$4,0)),NA(),IF(SUMPRODUCT((Inputs!$A$5:$A$130=$B34)*ISNUMBER(INDEX(Inputs!$K$5:$AJ$130,0,MATCH(S$2,Inputs!$K$4:$AJ$4,0))))+SUMPRODUCT((Inputs!$C$5:$C$130=$B34)*ISNUMBER(INDEX(Inputs!$K$5:$AJ$130,0,MATCH(S$2,Inputs!$K$4:$AJ$4,0))))+SUMPRODUCT((Inputs!$E$5:$E$130=$B34)*ISNUMBER(INDEX(Inputs!$K$5:$AJ$130,0,MATCH(S$2,Inputs!$K$4:$AJ$4,0))))=0,NA(),SUMPRODUCT((Inputs!$A$5:$A$130=$B34)*Inputs!$B$5:$B$130*(((Inputs!$G$5:$G$130="moeda")+(Inputs!$G$5:$G$130="acoes"))*Inputs!$B$1+((Inputs!$G$5:$G$130&lt;&gt;"moeda")*(Inputs!$G$5:$G$130&lt;&gt;"acoes")))*INDEX(Inputs!$K$5:$AJ$130,0,MATCH(S$2,Inputs!$K$4:$AJ$4,0)))+SUMPRODUCT((Inputs!$C$5:$C$130=$B34)*Inputs!$D$5:$D$130*(((Inputs!$G$5:$G$130="moeda")+(Inputs!$G$5:$G$130="acoes"))*Inputs!$B$1+((Inputs!$G$5:$G$130&lt;&gt;"moeda")*(Inputs!$G$5:$G$130&lt;&gt;"acoes")))*INDEX(Inputs!$K$5:$AJ$130,0,MATCH(S$2,Inputs!$K$4:$AJ$4,0)))+SUMPRODUCT((Inputs!$E$5:$E$130=$B34)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34" s="265" t="e">
        <f>IF(ISNA(MATCH(T$2,Inputs!$K$4:$AJ$4,0)),NA(),IF(SUMPRODUCT((Inputs!$A$5:$A$130=$B34)*ISNUMBER(INDEX(Inputs!$K$5:$AJ$130,0,MATCH(T$2,Inputs!$K$4:$AJ$4,0))))+SUMPRODUCT((Inputs!$C$5:$C$130=$B34)*ISNUMBER(INDEX(Inputs!$K$5:$AJ$130,0,MATCH(T$2,Inputs!$K$4:$AJ$4,0))))+SUMPRODUCT((Inputs!$E$5:$E$130=$B34)*ISNUMBER(INDEX(Inputs!$K$5:$AJ$130,0,MATCH(T$2,Inputs!$K$4:$AJ$4,0))))=0,NA(),SUMPRODUCT((Inputs!$A$5:$A$130=$B34)*Inputs!$B$5:$B$130*(((Inputs!$G$5:$G$130="moeda")+(Inputs!$G$5:$G$130="acoes"))*Inputs!$B$1+((Inputs!$G$5:$G$130&lt;&gt;"moeda")*(Inputs!$G$5:$G$130&lt;&gt;"acoes")))*INDEX(Inputs!$K$5:$AJ$130,0,MATCH(T$2,Inputs!$K$4:$AJ$4,0)))+SUMPRODUCT((Inputs!$C$5:$C$130=$B34)*Inputs!$D$5:$D$130*(((Inputs!$G$5:$G$130="moeda")+(Inputs!$G$5:$G$130="acoes"))*Inputs!$B$1+((Inputs!$G$5:$G$130&lt;&gt;"moeda")*(Inputs!$G$5:$G$130&lt;&gt;"acoes")))*INDEX(Inputs!$K$5:$AJ$130,0,MATCH(T$2,Inputs!$K$4:$AJ$4,0)))+SUMPRODUCT((Inputs!$E$5:$E$130=$B34)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34" s="265" t="e">
        <f>IF(ISNA(MATCH(U$2,Inputs!$K$4:$AJ$4,0)),NA(),IF(SUMPRODUCT((Inputs!$A$5:$A$130=$B34)*ISNUMBER(INDEX(Inputs!$K$5:$AJ$130,0,MATCH(U$2,Inputs!$K$4:$AJ$4,0))))+SUMPRODUCT((Inputs!$C$5:$C$130=$B34)*ISNUMBER(INDEX(Inputs!$K$5:$AJ$130,0,MATCH(U$2,Inputs!$K$4:$AJ$4,0))))+SUMPRODUCT((Inputs!$E$5:$E$130=$B34)*ISNUMBER(INDEX(Inputs!$K$5:$AJ$130,0,MATCH(U$2,Inputs!$K$4:$AJ$4,0))))=0,NA(),SUMPRODUCT((Inputs!$A$5:$A$130=$B34)*Inputs!$B$5:$B$130*(((Inputs!$G$5:$G$130="moeda")+(Inputs!$G$5:$G$130="acoes"))*Inputs!$B$1+((Inputs!$G$5:$G$130&lt;&gt;"moeda")*(Inputs!$G$5:$G$130&lt;&gt;"acoes")))*INDEX(Inputs!$K$5:$AJ$130,0,MATCH(U$2,Inputs!$K$4:$AJ$4,0)))+SUMPRODUCT((Inputs!$C$5:$C$130=$B34)*Inputs!$D$5:$D$130*(((Inputs!$G$5:$G$130="moeda")+(Inputs!$G$5:$G$130="acoes"))*Inputs!$B$1+((Inputs!$G$5:$G$130&lt;&gt;"moeda")*(Inputs!$G$5:$G$130&lt;&gt;"acoes")))*INDEX(Inputs!$K$5:$AJ$130,0,MATCH(U$2,Inputs!$K$4:$AJ$4,0)))+SUMPRODUCT((Inputs!$E$5:$E$130=$B34)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34" s="265" t="e">
        <f>IF(ISNA(MATCH(V$2,Inputs!$K$4:$AJ$4,0)),NA(),IF(SUMPRODUCT((Inputs!$A$5:$A$130=$B34)*ISNUMBER(INDEX(Inputs!$K$5:$AJ$130,0,MATCH(V$2,Inputs!$K$4:$AJ$4,0))))+SUMPRODUCT((Inputs!$C$5:$C$130=$B34)*ISNUMBER(INDEX(Inputs!$K$5:$AJ$130,0,MATCH(V$2,Inputs!$K$4:$AJ$4,0))))+SUMPRODUCT((Inputs!$E$5:$E$130=$B34)*ISNUMBER(INDEX(Inputs!$K$5:$AJ$130,0,MATCH(V$2,Inputs!$K$4:$AJ$4,0))))=0,NA(),SUMPRODUCT((Inputs!$A$5:$A$130=$B34)*Inputs!$B$5:$B$130*(((Inputs!$G$5:$G$130="moeda")+(Inputs!$G$5:$G$130="acoes"))*Inputs!$B$1+((Inputs!$G$5:$G$130&lt;&gt;"moeda")*(Inputs!$G$5:$G$130&lt;&gt;"acoes")))*INDEX(Inputs!$K$5:$AJ$130,0,MATCH(V$2,Inputs!$K$4:$AJ$4,0)))+SUMPRODUCT((Inputs!$C$5:$C$130=$B34)*Inputs!$D$5:$D$130*(((Inputs!$G$5:$G$130="moeda")+(Inputs!$G$5:$G$130="acoes"))*Inputs!$B$1+((Inputs!$G$5:$G$130&lt;&gt;"moeda")*(Inputs!$G$5:$G$130&lt;&gt;"acoes")))*INDEX(Inputs!$K$5:$AJ$130,0,MATCH(V$2,Inputs!$K$4:$AJ$4,0)))+SUMPRODUCT((Inputs!$E$5:$E$130=$B34)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34" s="266" t="e">
        <f>V34</f>
        <v>#N/A</v>
      </c>
      <c r="X34" s="265" t="e">
        <f>IF(ISNA(MATCH(X$2,Inputs!$K$4:$AJ$4,0)),NA(),IF(SUMPRODUCT((Inputs!$A$5:$A$130=$B34)*ISNUMBER(INDEX(Inputs!$K$5:$AJ$130,0,MATCH(X$2,Inputs!$K$4:$AJ$4,0))))+SUMPRODUCT((Inputs!$C$5:$C$130=$B34)*ISNUMBER(INDEX(Inputs!$K$5:$AJ$130,0,MATCH(X$2,Inputs!$K$4:$AJ$4,0))))+SUMPRODUCT((Inputs!$E$5:$E$130=$B34)*ISNUMBER(INDEX(Inputs!$K$5:$AJ$130,0,MATCH(X$2,Inputs!$K$4:$AJ$4,0))))=0,NA(),SUMPRODUCT((Inputs!$A$5:$A$130=$B34)*Inputs!$B$5:$B$130*(((Inputs!$G$5:$G$130="moeda")+(Inputs!$G$5:$G$130="acoes"))*Inputs!$B$1+((Inputs!$G$5:$G$130&lt;&gt;"moeda")*(Inputs!$G$5:$G$130&lt;&gt;"acoes")))*INDEX(Inputs!$K$5:$AJ$130,0,MATCH(X$2,Inputs!$K$4:$AJ$4,0)))+SUMPRODUCT((Inputs!$C$5:$C$130=$B34)*Inputs!$D$5:$D$130*(((Inputs!$G$5:$G$130="moeda")+(Inputs!$G$5:$G$130="acoes"))*Inputs!$B$1+((Inputs!$G$5:$G$130&lt;&gt;"moeda")*(Inputs!$G$5:$G$130&lt;&gt;"acoes")))*INDEX(Inputs!$K$5:$AJ$130,0,MATCH(X$2,Inputs!$K$4:$AJ$4,0)))+SUMPRODUCT((Inputs!$E$5:$E$130=$B34)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34" s="265" t="e">
        <f>IF(ISNA(MATCH(Y$2,Inputs!$K$4:$AJ$4,0)),NA(),IF(SUMPRODUCT((Inputs!$A$5:$A$130=$B34)*ISNUMBER(INDEX(Inputs!$K$5:$AJ$130,0,MATCH(Y$2,Inputs!$K$4:$AJ$4,0))))+SUMPRODUCT((Inputs!$C$5:$C$130=$B34)*ISNUMBER(INDEX(Inputs!$K$5:$AJ$130,0,MATCH(Y$2,Inputs!$K$4:$AJ$4,0))))+SUMPRODUCT((Inputs!$E$5:$E$130=$B34)*ISNUMBER(INDEX(Inputs!$K$5:$AJ$130,0,MATCH(Y$2,Inputs!$K$4:$AJ$4,0))))=0,NA(),SUMPRODUCT((Inputs!$A$5:$A$130=$B34)*Inputs!$B$5:$B$130*(((Inputs!$G$5:$G$130="moeda")+(Inputs!$G$5:$G$130="acoes"))*Inputs!$B$1+((Inputs!$G$5:$G$130&lt;&gt;"moeda")*(Inputs!$G$5:$G$130&lt;&gt;"acoes")))*INDEX(Inputs!$K$5:$AJ$130,0,MATCH(Y$2,Inputs!$K$4:$AJ$4,0)))+SUMPRODUCT((Inputs!$C$5:$C$130=$B34)*Inputs!$D$5:$D$130*(((Inputs!$G$5:$G$130="moeda")+(Inputs!$G$5:$G$130="acoes"))*Inputs!$B$1+((Inputs!$G$5:$G$130&lt;&gt;"moeda")*(Inputs!$G$5:$G$130&lt;&gt;"acoes")))*INDEX(Inputs!$K$5:$AJ$130,0,MATCH(Y$2,Inputs!$K$4:$AJ$4,0)))+SUMPRODUCT((Inputs!$E$5:$E$130=$B34)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34" s="265" t="e">
        <f>IF(ISNA(MATCH(Z$2,Inputs!$K$4:$AJ$4,0)),NA(),IF(SUMPRODUCT((Inputs!$A$5:$A$130=$B34)*ISNUMBER(INDEX(Inputs!$K$5:$AJ$130,0,MATCH(Z$2,Inputs!$K$4:$AJ$4,0))))+SUMPRODUCT((Inputs!$C$5:$C$130=$B34)*ISNUMBER(INDEX(Inputs!$K$5:$AJ$130,0,MATCH(Z$2,Inputs!$K$4:$AJ$4,0))))+SUMPRODUCT((Inputs!$E$5:$E$130=$B34)*ISNUMBER(INDEX(Inputs!$K$5:$AJ$130,0,MATCH(Z$2,Inputs!$K$4:$AJ$4,0))))=0,NA(),SUMPRODUCT((Inputs!$A$5:$A$130=$B34)*Inputs!$B$5:$B$130*(((Inputs!$G$5:$G$130="moeda")+(Inputs!$G$5:$G$130="acoes"))*Inputs!$B$1+((Inputs!$G$5:$G$130&lt;&gt;"moeda")*(Inputs!$G$5:$G$130&lt;&gt;"acoes")))*INDEX(Inputs!$K$5:$AJ$130,0,MATCH(Z$2,Inputs!$K$4:$AJ$4,0)))+SUMPRODUCT((Inputs!$C$5:$C$130=$B34)*Inputs!$D$5:$D$130*(((Inputs!$G$5:$G$130="moeda")+(Inputs!$G$5:$G$130="acoes"))*Inputs!$B$1+((Inputs!$G$5:$G$130&lt;&gt;"moeda")*(Inputs!$G$5:$G$130&lt;&gt;"acoes")))*INDEX(Inputs!$K$5:$AJ$130,0,MATCH(Z$2,Inputs!$K$4:$AJ$4,0)))+SUMPRODUCT((Inputs!$E$5:$E$130=$B34)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34" s="265" t="e">
        <f>IF(ISNA(MATCH(AA$2,Inputs!$K$4:$AJ$4,0)),NA(),IF(SUMPRODUCT((Inputs!$A$5:$A$130=$B34)*ISNUMBER(INDEX(Inputs!$K$5:$AJ$130,0,MATCH(AA$2,Inputs!$K$4:$AJ$4,0))))+SUMPRODUCT((Inputs!$C$5:$C$130=$B34)*ISNUMBER(INDEX(Inputs!$K$5:$AJ$130,0,MATCH(AA$2,Inputs!$K$4:$AJ$4,0))))+SUMPRODUCT((Inputs!$E$5:$E$130=$B34)*ISNUMBER(INDEX(Inputs!$K$5:$AJ$130,0,MATCH(AA$2,Inputs!$K$4:$AJ$4,0))))=0,NA(),SUMPRODUCT((Inputs!$A$5:$A$130=$B34)*Inputs!$B$5:$B$130*(((Inputs!$G$5:$G$130="moeda")+(Inputs!$G$5:$G$130="acoes"))*Inputs!$B$1+((Inputs!$G$5:$G$130&lt;&gt;"moeda")*(Inputs!$G$5:$G$130&lt;&gt;"acoes")))*INDEX(Inputs!$K$5:$AJ$130,0,MATCH(AA$2,Inputs!$K$4:$AJ$4,0)))+SUMPRODUCT((Inputs!$C$5:$C$130=$B34)*Inputs!$D$5:$D$130*(((Inputs!$G$5:$G$130="moeda")+(Inputs!$G$5:$G$130="acoes"))*Inputs!$B$1+((Inputs!$G$5:$G$130&lt;&gt;"moeda")*(Inputs!$G$5:$G$130&lt;&gt;"acoes")))*INDEX(Inputs!$K$5:$AJ$130,0,MATCH(AA$2,Inputs!$K$4:$AJ$4,0)))+SUMPRODUCT((Inputs!$E$5:$E$130=$B34)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34" s="266" t="e">
        <f>AA34</f>
        <v>#N/A</v>
      </c>
      <c r="AC34" s="265" t="e">
        <f>IF(ISNA(MATCH(AC$2,Inputs!$K$4:$AJ$4,0)),NA(),IF(SUMPRODUCT((Inputs!$A$5:$A$130=$B34)*ISNUMBER(INDEX(Inputs!$K$5:$AJ$130,0,MATCH(AC$2,Inputs!$K$4:$AJ$4,0))))+SUMPRODUCT((Inputs!$C$5:$C$130=$B34)*ISNUMBER(INDEX(Inputs!$K$5:$AJ$130,0,MATCH(AC$2,Inputs!$K$4:$AJ$4,0))))+SUMPRODUCT((Inputs!$E$5:$E$130=$B34)*ISNUMBER(INDEX(Inputs!$K$5:$AJ$130,0,MATCH(AC$2,Inputs!$K$4:$AJ$4,0))))=0,NA(),SUMPRODUCT((Inputs!$A$5:$A$130=$B34)*Inputs!$B$5:$B$130*(((Inputs!$G$5:$G$130="moeda")+(Inputs!$G$5:$G$130="acoes"))*Inputs!$B$1+((Inputs!$G$5:$G$130&lt;&gt;"moeda")*(Inputs!$G$5:$G$130&lt;&gt;"acoes")))*INDEX(Inputs!$K$5:$AJ$130,0,MATCH(AC$2,Inputs!$K$4:$AJ$4,0)))+SUMPRODUCT((Inputs!$C$5:$C$130=$B34)*Inputs!$D$5:$D$130*(((Inputs!$G$5:$G$130="moeda")+(Inputs!$G$5:$G$130="acoes"))*Inputs!$B$1+((Inputs!$G$5:$G$130&lt;&gt;"moeda")*(Inputs!$G$5:$G$130&lt;&gt;"acoes")))*INDEX(Inputs!$K$5:$AJ$130,0,MATCH(AC$2,Inputs!$K$4:$AJ$4,0)))+SUMPRODUCT((Inputs!$E$5:$E$130=$B34)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34" s="265" t="e">
        <f>IF(ISNA(MATCH(AD$2,Inputs!$K$4:$AJ$4,0)),NA(),IF(SUMPRODUCT((Inputs!$A$5:$A$130=$B34)*ISNUMBER(INDEX(Inputs!$K$5:$AJ$130,0,MATCH(AD$2,Inputs!$K$4:$AJ$4,0))))+SUMPRODUCT((Inputs!$C$5:$C$130=$B34)*ISNUMBER(INDEX(Inputs!$K$5:$AJ$130,0,MATCH(AD$2,Inputs!$K$4:$AJ$4,0))))+SUMPRODUCT((Inputs!$E$5:$E$130=$B34)*ISNUMBER(INDEX(Inputs!$K$5:$AJ$130,0,MATCH(AD$2,Inputs!$K$4:$AJ$4,0))))=0,NA(),SUMPRODUCT((Inputs!$A$5:$A$130=$B34)*Inputs!$B$5:$B$130*(((Inputs!$G$5:$G$130="moeda")+(Inputs!$G$5:$G$130="acoes"))*Inputs!$B$1+((Inputs!$G$5:$G$130&lt;&gt;"moeda")*(Inputs!$G$5:$G$130&lt;&gt;"acoes")))*INDEX(Inputs!$K$5:$AJ$130,0,MATCH(AD$2,Inputs!$K$4:$AJ$4,0)))+SUMPRODUCT((Inputs!$C$5:$C$130=$B34)*Inputs!$D$5:$D$130*(((Inputs!$G$5:$G$130="moeda")+(Inputs!$G$5:$G$130="acoes"))*Inputs!$B$1+((Inputs!$G$5:$G$130&lt;&gt;"moeda")*(Inputs!$G$5:$G$130&lt;&gt;"acoes")))*INDEX(Inputs!$K$5:$AJ$130,0,MATCH(AD$2,Inputs!$K$4:$AJ$4,0)))+SUMPRODUCT((Inputs!$E$5:$E$130=$B34)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34" s="265" t="e">
        <f>IF(ISNA(MATCH(AE$2,Inputs!$K$4:$AJ$4,0)),NA(),IF(SUMPRODUCT((Inputs!$A$5:$A$130=$B34)*ISNUMBER(INDEX(Inputs!$K$5:$AJ$130,0,MATCH(AE$2,Inputs!$K$4:$AJ$4,0))))+SUMPRODUCT((Inputs!$C$5:$C$130=$B34)*ISNUMBER(INDEX(Inputs!$K$5:$AJ$130,0,MATCH(AE$2,Inputs!$K$4:$AJ$4,0))))+SUMPRODUCT((Inputs!$E$5:$E$130=$B34)*ISNUMBER(INDEX(Inputs!$K$5:$AJ$130,0,MATCH(AE$2,Inputs!$K$4:$AJ$4,0))))=0,NA(),SUMPRODUCT((Inputs!$A$5:$A$130=$B34)*Inputs!$B$5:$B$130*(((Inputs!$G$5:$G$130="moeda")+(Inputs!$G$5:$G$130="acoes"))*Inputs!$B$1+((Inputs!$G$5:$G$130&lt;&gt;"moeda")*(Inputs!$G$5:$G$130&lt;&gt;"acoes")))*INDEX(Inputs!$K$5:$AJ$130,0,MATCH(AE$2,Inputs!$K$4:$AJ$4,0)))+SUMPRODUCT((Inputs!$C$5:$C$130=$B34)*Inputs!$D$5:$D$130*(((Inputs!$G$5:$G$130="moeda")+(Inputs!$G$5:$G$130="acoes"))*Inputs!$B$1+((Inputs!$G$5:$G$130&lt;&gt;"moeda")*(Inputs!$G$5:$G$130&lt;&gt;"acoes")))*INDEX(Inputs!$K$5:$AJ$130,0,MATCH(AE$2,Inputs!$K$4:$AJ$4,0)))+SUMPRODUCT((Inputs!$E$5:$E$130=$B34)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4" s="265" t="e">
        <f>IF(ISNA(MATCH(AF$2,Inputs!$K$4:$AJ$4,0)),NA(),IF(SUMPRODUCT((Inputs!$A$5:$A$130=$B34)*ISNUMBER(INDEX(Inputs!$K$5:$AJ$130,0,MATCH(AF$2,Inputs!$K$4:$AJ$4,0))))+SUMPRODUCT((Inputs!$C$5:$C$130=$B34)*ISNUMBER(INDEX(Inputs!$K$5:$AJ$130,0,MATCH(AF$2,Inputs!$K$4:$AJ$4,0))))+SUMPRODUCT((Inputs!$E$5:$E$130=$B34)*ISNUMBER(INDEX(Inputs!$K$5:$AJ$130,0,MATCH(AF$2,Inputs!$K$4:$AJ$4,0))))=0,NA(),SUMPRODUCT((Inputs!$A$5:$A$130=$B34)*Inputs!$B$5:$B$130*(((Inputs!$G$5:$G$130="moeda")+(Inputs!$G$5:$G$130="acoes"))*Inputs!$B$1+((Inputs!$G$5:$G$130&lt;&gt;"moeda")*(Inputs!$G$5:$G$130&lt;&gt;"acoes")))*INDEX(Inputs!$K$5:$AJ$130,0,MATCH(AF$2,Inputs!$K$4:$AJ$4,0)))+SUMPRODUCT((Inputs!$C$5:$C$130=$B34)*Inputs!$D$5:$D$130*(((Inputs!$G$5:$G$130="moeda")+(Inputs!$G$5:$G$130="acoes"))*Inputs!$B$1+((Inputs!$G$5:$G$130&lt;&gt;"moeda")*(Inputs!$G$5:$G$130&lt;&gt;"acoes")))*INDEX(Inputs!$K$5:$AJ$130,0,MATCH(AF$2,Inputs!$K$4:$AJ$4,0)))+SUMPRODUCT((Inputs!$E$5:$E$130=$B34)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4" s="266" t="e">
        <f>AF34</f>
        <v>#N/A</v>
      </c>
      <c r="AH34" s="265" t="e">
        <f>IF(ISNA(MATCH(AH$2,Inputs!$K$4:$AJ$4,0)),NA(),IF(SUMPRODUCT((Inputs!$A$5:$A$130=$B34)*ISNUMBER(INDEX(Inputs!$K$5:$AJ$130,0,MATCH(AH$2,Inputs!$K$4:$AJ$4,0))))+SUMPRODUCT((Inputs!$C$5:$C$130=$B34)*ISNUMBER(INDEX(Inputs!$K$5:$AJ$130,0,MATCH(AH$2,Inputs!$K$4:$AJ$4,0))))+SUMPRODUCT((Inputs!$E$5:$E$130=$B34)*ISNUMBER(INDEX(Inputs!$K$5:$AJ$130,0,MATCH(AH$2,Inputs!$K$4:$AJ$4,0))))=0,NA(),SUMPRODUCT((Inputs!$A$5:$A$130=$B34)*Inputs!$B$5:$B$130*(((Inputs!$G$5:$G$130="moeda")+(Inputs!$G$5:$G$130="acoes"))*Inputs!$B$1+((Inputs!$G$5:$G$130&lt;&gt;"moeda")*(Inputs!$G$5:$G$130&lt;&gt;"acoes")))*INDEX(Inputs!$K$5:$AJ$130,0,MATCH(AH$2,Inputs!$K$4:$AJ$4,0)))+SUMPRODUCT((Inputs!$C$5:$C$130=$B34)*Inputs!$D$5:$D$130*(((Inputs!$G$5:$G$130="moeda")+(Inputs!$G$5:$G$130="acoes"))*Inputs!$B$1+((Inputs!$G$5:$G$130&lt;&gt;"moeda")*(Inputs!$G$5:$G$130&lt;&gt;"acoes")))*INDEX(Inputs!$K$5:$AJ$130,0,MATCH(AH$2,Inputs!$K$4:$AJ$4,0)))+SUMPRODUCT((Inputs!$E$5:$E$130=$B34)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34" s="265" t="e">
        <f>IF(ISNA(MATCH(AI$2,Inputs!$K$4:$AJ$4,0)),NA(),IF(SUMPRODUCT((Inputs!$A$5:$A$130=$B34)*ISNUMBER(INDEX(Inputs!$K$5:$AJ$130,0,MATCH(AI$2,Inputs!$K$4:$AJ$4,0))))+SUMPRODUCT((Inputs!$C$5:$C$130=$B34)*ISNUMBER(INDEX(Inputs!$K$5:$AJ$130,0,MATCH(AI$2,Inputs!$K$4:$AJ$4,0))))+SUMPRODUCT((Inputs!$E$5:$E$130=$B34)*ISNUMBER(INDEX(Inputs!$K$5:$AJ$130,0,MATCH(AI$2,Inputs!$K$4:$AJ$4,0))))=0,NA(),SUMPRODUCT((Inputs!$A$5:$A$130=$B34)*Inputs!$B$5:$B$130*(((Inputs!$G$5:$G$130="moeda")+(Inputs!$G$5:$G$130="acoes"))*Inputs!$B$1+((Inputs!$G$5:$G$130&lt;&gt;"moeda")*(Inputs!$G$5:$G$130&lt;&gt;"acoes")))*INDEX(Inputs!$K$5:$AJ$130,0,MATCH(AI$2,Inputs!$K$4:$AJ$4,0)))+SUMPRODUCT((Inputs!$C$5:$C$130=$B34)*Inputs!$D$5:$D$130*(((Inputs!$G$5:$G$130="moeda")+(Inputs!$G$5:$G$130="acoes"))*Inputs!$B$1+((Inputs!$G$5:$G$130&lt;&gt;"moeda")*(Inputs!$G$5:$G$130&lt;&gt;"acoes")))*INDEX(Inputs!$K$5:$AJ$130,0,MATCH(AI$2,Inputs!$K$4:$AJ$4,0)))+SUMPRODUCT((Inputs!$E$5:$E$130=$B34)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34" s="265" t="e">
        <f>IF(ISNA(MATCH(AJ$2,Inputs!$K$4:$AJ$4,0)),NA(),IF(SUMPRODUCT((Inputs!$A$5:$A$130=$B34)*ISNUMBER(INDEX(Inputs!$K$5:$AJ$130,0,MATCH(AJ$2,Inputs!$K$4:$AJ$4,0))))+SUMPRODUCT((Inputs!$C$5:$C$130=$B34)*ISNUMBER(INDEX(Inputs!$K$5:$AJ$130,0,MATCH(AJ$2,Inputs!$K$4:$AJ$4,0))))+SUMPRODUCT((Inputs!$E$5:$E$130=$B34)*ISNUMBER(INDEX(Inputs!$K$5:$AJ$130,0,MATCH(AJ$2,Inputs!$K$4:$AJ$4,0))))=0,NA(),SUMPRODUCT((Inputs!$A$5:$A$130=$B34)*Inputs!$B$5:$B$130*(((Inputs!$G$5:$G$130="moeda")+(Inputs!$G$5:$G$130="acoes"))*Inputs!$B$1+((Inputs!$G$5:$G$130&lt;&gt;"moeda")*(Inputs!$G$5:$G$130&lt;&gt;"acoes")))*INDEX(Inputs!$K$5:$AJ$130,0,MATCH(AJ$2,Inputs!$K$4:$AJ$4,0)))+SUMPRODUCT((Inputs!$C$5:$C$130=$B34)*Inputs!$D$5:$D$130*(((Inputs!$G$5:$G$130="moeda")+(Inputs!$G$5:$G$130="acoes"))*Inputs!$B$1+((Inputs!$G$5:$G$130&lt;&gt;"moeda")*(Inputs!$G$5:$G$130&lt;&gt;"acoes")))*INDEX(Inputs!$K$5:$AJ$130,0,MATCH(AJ$2,Inputs!$K$4:$AJ$4,0)))+SUMPRODUCT((Inputs!$E$5:$E$130=$B34)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34" s="265" t="e">
        <f>IF(ISNA(MATCH(AK$2,Inputs!$K$4:$AJ$4,0)),NA(),IF(SUMPRODUCT((Inputs!$A$5:$A$130=$B34)*ISNUMBER(INDEX(Inputs!$K$5:$AJ$130,0,MATCH(AK$2,Inputs!$K$4:$AJ$4,0))))+SUMPRODUCT((Inputs!$C$5:$C$130=$B34)*ISNUMBER(INDEX(Inputs!$K$5:$AJ$130,0,MATCH(AK$2,Inputs!$K$4:$AJ$4,0))))+SUMPRODUCT((Inputs!$E$5:$E$130=$B34)*ISNUMBER(INDEX(Inputs!$K$5:$AJ$130,0,MATCH(AK$2,Inputs!$K$4:$AJ$4,0))))=0,NA(),SUMPRODUCT((Inputs!$A$5:$A$130=$B34)*Inputs!$B$5:$B$130*(((Inputs!$G$5:$G$130="moeda")+(Inputs!$G$5:$G$130="acoes"))*Inputs!$B$1+((Inputs!$G$5:$G$130&lt;&gt;"moeda")*(Inputs!$G$5:$G$130&lt;&gt;"acoes")))*INDEX(Inputs!$K$5:$AJ$130,0,MATCH(AK$2,Inputs!$K$4:$AJ$4,0)))+SUMPRODUCT((Inputs!$C$5:$C$130=$B34)*Inputs!$D$5:$D$130*(((Inputs!$G$5:$G$130="moeda")+(Inputs!$G$5:$G$130="acoes"))*Inputs!$B$1+((Inputs!$G$5:$G$130&lt;&gt;"moeda")*(Inputs!$G$5:$G$130&lt;&gt;"acoes")))*INDEX(Inputs!$K$5:$AJ$130,0,MATCH(AK$2,Inputs!$K$4:$AJ$4,0)))+SUMPRODUCT((Inputs!$E$5:$E$130=$B34)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34" s="266" t="e">
        <f>AK34</f>
        <v>#N/A</v>
      </c>
    </row>
    <row r="35" ht="12.75" customHeight="1" s="254">
      <c r="B35" s="263" t="n">
        <v>30</v>
      </c>
      <c r="C35" s="268" t="inlineStr">
        <is>
          <t>Long term debt</t>
        </is>
      </c>
      <c r="D35" s="265">
        <f>IF(ISNA(MATCH(D$2,Inputs!$K$4:$AJ$4,0)),NA(),IF(SUMPRODUCT((Inputs!$A$5:$A$130=$B35)*ISNUMBER(INDEX(Inputs!$K$5:$AJ$130,0,MATCH(D$2,Inputs!$K$4:$AJ$4,0))))+SUMPRODUCT((Inputs!$C$5:$C$130=$B35)*ISNUMBER(INDEX(Inputs!$K$5:$AJ$130,0,MATCH(D$2,Inputs!$K$4:$AJ$4,0))))+SUMPRODUCT((Inputs!$E$5:$E$130=$B35)*ISNUMBER(INDEX(Inputs!$K$5:$AJ$130,0,MATCH(D$2,Inputs!$K$4:$AJ$4,0))))=0,NA(),SUMPRODUCT((Inputs!$A$5:$A$130=$B35)*Inputs!$B$5:$B$130*(((Inputs!$G$5:$G$130="moeda")+(Inputs!$G$5:$G$130="acoes"))*Inputs!$B$1+((Inputs!$G$5:$G$130&lt;&gt;"moeda")*(Inputs!$G$5:$G$130&lt;&gt;"acoes")))*INDEX(Inputs!$K$5:$AJ$130,0,MATCH(D$2,Inputs!$K$4:$AJ$4,0)))+SUMPRODUCT((Inputs!$C$5:$C$130=$B35)*Inputs!$D$5:$D$130*(((Inputs!$G$5:$G$130="moeda")+(Inputs!$G$5:$G$130="acoes"))*Inputs!$B$1+((Inputs!$G$5:$G$130&lt;&gt;"moeda")*(Inputs!$G$5:$G$130&lt;&gt;"acoes")))*INDEX(Inputs!$K$5:$AJ$130,0,MATCH(D$2,Inputs!$K$4:$AJ$4,0)))+SUMPRODUCT((Inputs!$E$5:$E$130=$B35)*Inputs!$F$5:$F$130*(((Inputs!$G$5:$G$130="moeda")+(Inputs!$G$5:$G$130="acoes"))*Inputs!$B$1+((Inputs!$G$5:$G$130&lt;&gt;"moeda")*(Inputs!$G$5:$G$130&lt;&gt;"acoes")))*INDEX(Inputs!$K$5:$AJ$130,0,MATCH(D$2,Inputs!$K$4:$AJ$4,0)))))</f>
        <v>87828</v>
      </c>
      <c r="E35" s="265">
        <f>IF(ISNA(MATCH(E$2,Inputs!$K$4:$AJ$4,0)),NA(),IF(SUMPRODUCT((Inputs!$A$5:$A$130=$B35)*ISNUMBER(INDEX(Inputs!$K$5:$AJ$130,0,MATCH(E$2,Inputs!$K$4:$AJ$4,0))))+SUMPRODUCT((Inputs!$C$5:$C$130=$B35)*ISNUMBER(INDEX(Inputs!$K$5:$AJ$130,0,MATCH(E$2,Inputs!$K$4:$AJ$4,0))))+SUMPRODUCT((Inputs!$E$5:$E$130=$B35)*ISNUMBER(INDEX(Inputs!$K$5:$AJ$130,0,MATCH(E$2,Inputs!$K$4:$AJ$4,0))))=0,NA(),SUMPRODUCT((Inputs!$A$5:$A$130=$B35)*Inputs!$B$5:$B$130*(((Inputs!$G$5:$G$130="moeda")+(Inputs!$G$5:$G$130="acoes"))*Inputs!$B$1+((Inputs!$G$5:$G$130&lt;&gt;"moeda")*(Inputs!$G$5:$G$130&lt;&gt;"acoes")))*INDEX(Inputs!$K$5:$AJ$130,0,MATCH(E$2,Inputs!$K$4:$AJ$4,0)))+SUMPRODUCT((Inputs!$C$5:$C$130=$B35)*Inputs!$D$5:$D$130*(((Inputs!$G$5:$G$130="moeda")+(Inputs!$G$5:$G$130="acoes"))*Inputs!$B$1+((Inputs!$G$5:$G$130&lt;&gt;"moeda")*(Inputs!$G$5:$G$130&lt;&gt;"acoes")))*INDEX(Inputs!$K$5:$AJ$130,0,MATCH(E$2,Inputs!$K$4:$AJ$4,0)))+SUMPRODUCT((Inputs!$E$5:$E$130=$B35)*Inputs!$F$5:$F$130*(((Inputs!$G$5:$G$130="moeda")+(Inputs!$G$5:$G$130="acoes"))*Inputs!$B$1+((Inputs!$G$5:$G$130&lt;&gt;"moeda")*(Inputs!$G$5:$G$130&lt;&gt;"acoes")))*INDEX(Inputs!$K$5:$AJ$130,0,MATCH(E$2,Inputs!$K$4:$AJ$4,0)))))</f>
        <v>87034</v>
      </c>
      <c r="F35" s="265">
        <f>IF(ISNA(MATCH(F$2,Inputs!$K$4:$AJ$4,0)),NA(),IF(SUMPRODUCT((Inputs!$A$5:$A$130=$B35)*ISNUMBER(INDEX(Inputs!$K$5:$AJ$130,0,MATCH(F$2,Inputs!$K$4:$AJ$4,0))))+SUMPRODUCT((Inputs!$C$5:$C$130=$B35)*ISNUMBER(INDEX(Inputs!$K$5:$AJ$130,0,MATCH(F$2,Inputs!$K$4:$AJ$4,0))))+SUMPRODUCT((Inputs!$E$5:$E$130=$B35)*ISNUMBER(INDEX(Inputs!$K$5:$AJ$130,0,MATCH(F$2,Inputs!$K$4:$AJ$4,0))))=0,NA(),SUMPRODUCT((Inputs!$A$5:$A$130=$B35)*Inputs!$B$5:$B$130*(((Inputs!$G$5:$G$130="moeda")+(Inputs!$G$5:$G$130="acoes"))*Inputs!$B$1+((Inputs!$G$5:$G$130&lt;&gt;"moeda")*(Inputs!$G$5:$G$130&lt;&gt;"acoes")))*INDEX(Inputs!$K$5:$AJ$130,0,MATCH(F$2,Inputs!$K$4:$AJ$4,0)))+SUMPRODUCT((Inputs!$C$5:$C$130=$B35)*Inputs!$D$5:$D$130*(((Inputs!$G$5:$G$130="moeda")+(Inputs!$G$5:$G$130="acoes"))*Inputs!$B$1+((Inputs!$G$5:$G$130&lt;&gt;"moeda")*(Inputs!$G$5:$G$130&lt;&gt;"acoes")))*INDEX(Inputs!$K$5:$AJ$130,0,MATCH(F$2,Inputs!$K$4:$AJ$4,0)))+SUMPRODUCT((Inputs!$E$5:$E$130=$B35)*Inputs!$F$5:$F$130*(((Inputs!$G$5:$G$130="moeda")+(Inputs!$G$5:$G$130="acoes"))*Inputs!$B$1+((Inputs!$G$5:$G$130&lt;&gt;"moeda")*(Inputs!$G$5:$G$130&lt;&gt;"acoes")))*INDEX(Inputs!$K$5:$AJ$130,0,MATCH(F$2,Inputs!$K$4:$AJ$4,0)))))</f>
        <v>84705</v>
      </c>
      <c r="G35" s="265">
        <f>IF(ISNA(MATCH(G$2,Inputs!$K$4:$AJ$4,0)),NA(),IF(SUMPRODUCT((Inputs!$A$5:$A$130=$B35)*ISNUMBER(INDEX(Inputs!$K$5:$AJ$130,0,MATCH(G$2,Inputs!$K$4:$AJ$4,0))))+SUMPRODUCT((Inputs!$C$5:$C$130=$B35)*ISNUMBER(INDEX(Inputs!$K$5:$AJ$130,0,MATCH(G$2,Inputs!$K$4:$AJ$4,0))))+SUMPRODUCT((Inputs!$E$5:$E$130=$B35)*ISNUMBER(INDEX(Inputs!$K$5:$AJ$130,0,MATCH(G$2,Inputs!$K$4:$AJ$4,0))))=0,NA(),SUMPRODUCT((Inputs!$A$5:$A$130=$B35)*Inputs!$B$5:$B$130*(((Inputs!$G$5:$G$130="moeda")+(Inputs!$G$5:$G$130="acoes"))*Inputs!$B$1+((Inputs!$G$5:$G$130&lt;&gt;"moeda")*(Inputs!$G$5:$G$130&lt;&gt;"acoes")))*INDEX(Inputs!$K$5:$AJ$130,0,MATCH(G$2,Inputs!$K$4:$AJ$4,0)))+SUMPRODUCT((Inputs!$C$5:$C$130=$B35)*Inputs!$D$5:$D$130*(((Inputs!$G$5:$G$130="moeda")+(Inputs!$G$5:$G$130="acoes"))*Inputs!$B$1+((Inputs!$G$5:$G$130&lt;&gt;"moeda")*(Inputs!$G$5:$G$130&lt;&gt;"acoes")))*INDEX(Inputs!$K$5:$AJ$130,0,MATCH(G$2,Inputs!$K$4:$AJ$4,0)))+SUMPRODUCT((Inputs!$E$5:$E$130=$B35)*Inputs!$F$5:$F$130*(((Inputs!$G$5:$G$130="moeda")+(Inputs!$G$5:$G$130="acoes"))*Inputs!$B$1+((Inputs!$G$5:$G$130&lt;&gt;"moeda")*(Inputs!$G$5:$G$130&lt;&gt;"acoes")))*INDEX(Inputs!$K$5:$AJ$130,0,MATCH(G$2,Inputs!$K$4:$AJ$4,0)))))</f>
        <v>80868</v>
      </c>
      <c r="H35" s="266">
        <f>G35</f>
        <v>80868</v>
      </c>
      <c r="I35" s="265">
        <f>IF(ISNA(MATCH(I$2,Inputs!$K$4:$AJ$4,0)),NA(),IF(SUMPRODUCT((Inputs!$A$5:$A$130=$B35)*ISNUMBER(INDEX(Inputs!$K$5:$AJ$130,0,MATCH(I$2,Inputs!$K$4:$AJ$4,0))))+SUMPRODUCT((Inputs!$C$5:$C$130=$B35)*ISNUMBER(INDEX(Inputs!$K$5:$AJ$130,0,MATCH(I$2,Inputs!$K$4:$AJ$4,0))))+SUMPRODUCT((Inputs!$E$5:$E$130=$B35)*ISNUMBER(INDEX(Inputs!$K$5:$AJ$130,0,MATCH(I$2,Inputs!$K$4:$AJ$4,0))))=0,NA(),SUMPRODUCT((Inputs!$A$5:$A$130=$B35)*Inputs!$B$5:$B$130*(((Inputs!$G$5:$G$130="moeda")+(Inputs!$G$5:$G$130="acoes"))*Inputs!$B$1+((Inputs!$G$5:$G$130&lt;&gt;"moeda")*(Inputs!$G$5:$G$130&lt;&gt;"acoes")))*INDEX(Inputs!$K$5:$AJ$130,0,MATCH(I$2,Inputs!$K$4:$AJ$4,0)))+SUMPRODUCT((Inputs!$C$5:$C$130=$B35)*Inputs!$D$5:$D$130*(((Inputs!$G$5:$G$130="moeda")+(Inputs!$G$5:$G$130="acoes"))*Inputs!$B$1+((Inputs!$G$5:$G$130&lt;&gt;"moeda")*(Inputs!$G$5:$G$130&lt;&gt;"acoes")))*INDEX(Inputs!$K$5:$AJ$130,0,MATCH(I$2,Inputs!$K$4:$AJ$4,0)))+SUMPRODUCT((Inputs!$E$5:$E$130=$B35)*Inputs!$F$5:$F$130*(((Inputs!$G$5:$G$130="moeda")+(Inputs!$G$5:$G$130="acoes"))*Inputs!$B$1+((Inputs!$G$5:$G$130&lt;&gt;"moeda")*(Inputs!$G$5:$G$130&lt;&gt;"acoes")))*INDEX(Inputs!$K$5:$AJ$130,0,MATCH(I$2,Inputs!$K$4:$AJ$4,0)))))</f>
        <v>79021</v>
      </c>
      <c r="J35" s="265">
        <f>IF(ISNA(MATCH(J$2,Inputs!$K$4:$AJ$4,0)),NA(),IF(SUMPRODUCT((Inputs!$A$5:$A$130=$B35)*ISNUMBER(INDEX(Inputs!$K$5:$AJ$130,0,MATCH(J$2,Inputs!$K$4:$AJ$4,0))))+SUMPRODUCT((Inputs!$C$5:$C$130=$B35)*ISNUMBER(INDEX(Inputs!$K$5:$AJ$130,0,MATCH(J$2,Inputs!$K$4:$AJ$4,0))))+SUMPRODUCT((Inputs!$E$5:$E$130=$B35)*ISNUMBER(INDEX(Inputs!$K$5:$AJ$130,0,MATCH(J$2,Inputs!$K$4:$AJ$4,0))))=0,NA(),SUMPRODUCT((Inputs!$A$5:$A$130=$B35)*Inputs!$B$5:$B$130*(((Inputs!$G$5:$G$130="moeda")+(Inputs!$G$5:$G$130="acoes"))*Inputs!$B$1+((Inputs!$G$5:$G$130&lt;&gt;"moeda")*(Inputs!$G$5:$G$130&lt;&gt;"acoes")))*INDEX(Inputs!$K$5:$AJ$130,0,MATCH(J$2,Inputs!$K$4:$AJ$4,0)))+SUMPRODUCT((Inputs!$C$5:$C$130=$B35)*Inputs!$D$5:$D$130*(((Inputs!$G$5:$G$130="moeda")+(Inputs!$G$5:$G$130="acoes"))*Inputs!$B$1+((Inputs!$G$5:$G$130&lt;&gt;"moeda")*(Inputs!$G$5:$G$130&lt;&gt;"acoes")))*INDEX(Inputs!$K$5:$AJ$130,0,MATCH(J$2,Inputs!$K$4:$AJ$4,0)))+SUMPRODUCT((Inputs!$E$5:$E$130=$B35)*Inputs!$F$5:$F$130*(((Inputs!$G$5:$G$130="moeda")+(Inputs!$G$5:$G$130="acoes"))*Inputs!$B$1+((Inputs!$G$5:$G$130&lt;&gt;"moeda")*(Inputs!$G$5:$G$130&lt;&gt;"acoes")))*INDEX(Inputs!$K$5:$AJ$130,0,MATCH(J$2,Inputs!$K$4:$AJ$4,0)))))</f>
        <v>77220</v>
      </c>
      <c r="K35" s="265">
        <f>IF(ISNA(MATCH(K$2,Inputs!$K$4:$AJ$4,0)),NA(),IF(SUMPRODUCT((Inputs!$A$5:$A$130=$B35)*ISNUMBER(INDEX(Inputs!$K$5:$AJ$130,0,MATCH(K$2,Inputs!$K$4:$AJ$4,0))))+SUMPRODUCT((Inputs!$C$5:$C$130=$B35)*ISNUMBER(INDEX(Inputs!$K$5:$AJ$130,0,MATCH(K$2,Inputs!$K$4:$AJ$4,0))))+SUMPRODUCT((Inputs!$E$5:$E$130=$B35)*ISNUMBER(INDEX(Inputs!$K$5:$AJ$130,0,MATCH(K$2,Inputs!$K$4:$AJ$4,0))))=0,NA(),SUMPRODUCT((Inputs!$A$5:$A$130=$B35)*Inputs!$B$5:$B$130*(((Inputs!$G$5:$G$130="moeda")+(Inputs!$G$5:$G$130="acoes"))*Inputs!$B$1+((Inputs!$G$5:$G$130&lt;&gt;"moeda")*(Inputs!$G$5:$G$130&lt;&gt;"acoes")))*INDEX(Inputs!$K$5:$AJ$130,0,MATCH(K$2,Inputs!$K$4:$AJ$4,0)))+SUMPRODUCT((Inputs!$C$5:$C$130=$B35)*Inputs!$D$5:$D$130*(((Inputs!$G$5:$G$130="moeda")+(Inputs!$G$5:$G$130="acoes"))*Inputs!$B$1+((Inputs!$G$5:$G$130&lt;&gt;"moeda")*(Inputs!$G$5:$G$130&lt;&gt;"acoes")))*INDEX(Inputs!$K$5:$AJ$130,0,MATCH(K$2,Inputs!$K$4:$AJ$4,0)))+SUMPRODUCT((Inputs!$E$5:$E$130=$B35)*Inputs!$F$5:$F$130*(((Inputs!$G$5:$G$130="moeda")+(Inputs!$G$5:$G$130="acoes"))*Inputs!$B$1+((Inputs!$G$5:$G$130&lt;&gt;"moeda")*(Inputs!$G$5:$G$130&lt;&gt;"acoes")))*INDEX(Inputs!$K$5:$AJ$130,0,MATCH(K$2,Inputs!$K$4:$AJ$4,0)))))</f>
        <v>73944</v>
      </c>
      <c r="L35" s="265">
        <f>IF(ISNA(MATCH(L$2,Inputs!$K$4:$AJ$4,0)),NA(),IF(SUMPRODUCT((Inputs!$A$5:$A$130=$B35)*ISNUMBER(INDEX(Inputs!$K$5:$AJ$130,0,MATCH(L$2,Inputs!$K$4:$AJ$4,0))))+SUMPRODUCT((Inputs!$C$5:$C$130=$B35)*ISNUMBER(INDEX(Inputs!$K$5:$AJ$130,0,MATCH(L$2,Inputs!$K$4:$AJ$4,0))))+SUMPRODUCT((Inputs!$E$5:$E$130=$B35)*ISNUMBER(INDEX(Inputs!$K$5:$AJ$130,0,MATCH(L$2,Inputs!$K$4:$AJ$4,0))))=0,NA(),SUMPRODUCT((Inputs!$A$5:$A$130=$B35)*Inputs!$B$5:$B$130*(((Inputs!$G$5:$G$130="moeda")+(Inputs!$G$5:$G$130="acoes"))*Inputs!$B$1+((Inputs!$G$5:$G$130&lt;&gt;"moeda")*(Inputs!$G$5:$G$130&lt;&gt;"acoes")))*INDEX(Inputs!$K$5:$AJ$130,0,MATCH(L$2,Inputs!$K$4:$AJ$4,0)))+SUMPRODUCT((Inputs!$C$5:$C$130=$B35)*Inputs!$D$5:$D$130*(((Inputs!$G$5:$G$130="moeda")+(Inputs!$G$5:$G$130="acoes"))*Inputs!$B$1+((Inputs!$G$5:$G$130&lt;&gt;"moeda")*(Inputs!$G$5:$G$130&lt;&gt;"acoes")))*INDEX(Inputs!$K$5:$AJ$130,0,MATCH(L$2,Inputs!$K$4:$AJ$4,0)))+SUMPRODUCT((Inputs!$E$5:$E$130=$B35)*Inputs!$F$5:$F$130*(((Inputs!$G$5:$G$130="moeda")+(Inputs!$G$5:$G$130="acoes"))*Inputs!$B$1+((Inputs!$G$5:$G$130&lt;&gt;"moeda")*(Inputs!$G$5:$G$130&lt;&gt;"acoes")))*INDEX(Inputs!$K$5:$AJ$130,0,MATCH(L$2,Inputs!$K$4:$AJ$4,0)))))</f>
        <v>74794</v>
      </c>
      <c r="M35" s="266">
        <f>L35</f>
        <v>74794</v>
      </c>
      <c r="N35" s="265">
        <f>IF(ISNA(MATCH(N$2,Inputs!$K$4:$AJ$4,0)),NA(),IF(SUMPRODUCT((Inputs!$A$5:$A$130=$B35)*ISNUMBER(INDEX(Inputs!$K$5:$AJ$130,0,MATCH(N$2,Inputs!$K$4:$AJ$4,0))))+SUMPRODUCT((Inputs!$C$5:$C$130=$B35)*ISNUMBER(INDEX(Inputs!$K$5:$AJ$130,0,MATCH(N$2,Inputs!$K$4:$AJ$4,0))))+SUMPRODUCT((Inputs!$E$5:$E$130=$B35)*ISNUMBER(INDEX(Inputs!$K$5:$AJ$130,0,MATCH(N$2,Inputs!$K$4:$AJ$4,0))))=0,NA(),SUMPRODUCT((Inputs!$A$5:$A$130=$B35)*Inputs!$B$5:$B$130*(((Inputs!$G$5:$G$130="moeda")+(Inputs!$G$5:$G$130="acoes"))*Inputs!$B$1+((Inputs!$G$5:$G$130&lt;&gt;"moeda")*(Inputs!$G$5:$G$130&lt;&gt;"acoes")))*INDEX(Inputs!$K$5:$AJ$130,0,MATCH(N$2,Inputs!$K$4:$AJ$4,0)))+SUMPRODUCT((Inputs!$C$5:$C$130=$B35)*Inputs!$D$5:$D$130*(((Inputs!$G$5:$G$130="moeda")+(Inputs!$G$5:$G$130="acoes"))*Inputs!$B$1+((Inputs!$G$5:$G$130&lt;&gt;"moeda")*(Inputs!$G$5:$G$130&lt;&gt;"acoes")))*INDEX(Inputs!$K$5:$AJ$130,0,MATCH(N$2,Inputs!$K$4:$AJ$4,0)))+SUMPRODUCT((Inputs!$E$5:$E$130=$B35)*Inputs!$F$5:$F$130*(((Inputs!$G$5:$G$130="moeda")+(Inputs!$G$5:$G$130="acoes"))*Inputs!$B$1+((Inputs!$G$5:$G$130&lt;&gt;"moeda")*(Inputs!$G$5:$G$130&lt;&gt;"acoes")))*INDEX(Inputs!$K$5:$AJ$130,0,MATCH(N$2,Inputs!$K$4:$AJ$4,0)))))</f>
        <v>76098</v>
      </c>
      <c r="O35" s="265">
        <f>IF(ISNA(MATCH(O$2,Inputs!$K$4:$AJ$4,0)),NA(),IF(SUMPRODUCT((Inputs!$A$5:$A$130=$B35)*ISNUMBER(INDEX(Inputs!$K$5:$AJ$130,0,MATCH(O$2,Inputs!$K$4:$AJ$4,0))))+SUMPRODUCT((Inputs!$C$5:$C$130=$B35)*ISNUMBER(INDEX(Inputs!$K$5:$AJ$130,0,MATCH(O$2,Inputs!$K$4:$AJ$4,0))))+SUMPRODUCT((Inputs!$E$5:$E$130=$B35)*ISNUMBER(INDEX(Inputs!$K$5:$AJ$130,0,MATCH(O$2,Inputs!$K$4:$AJ$4,0))))=0,NA(),SUMPRODUCT((Inputs!$A$5:$A$130=$B35)*Inputs!$B$5:$B$130*(((Inputs!$G$5:$G$130="moeda")+(Inputs!$G$5:$G$130="acoes"))*Inputs!$B$1+((Inputs!$G$5:$G$130&lt;&gt;"moeda")*(Inputs!$G$5:$G$130&lt;&gt;"acoes")))*INDEX(Inputs!$K$5:$AJ$130,0,MATCH(O$2,Inputs!$K$4:$AJ$4,0)))+SUMPRODUCT((Inputs!$C$5:$C$130=$B35)*Inputs!$D$5:$D$130*(((Inputs!$G$5:$G$130="moeda")+(Inputs!$G$5:$G$130="acoes"))*Inputs!$B$1+((Inputs!$G$5:$G$130&lt;&gt;"moeda")*(Inputs!$G$5:$G$130&lt;&gt;"acoes")))*INDEX(Inputs!$K$5:$AJ$130,0,MATCH(O$2,Inputs!$K$4:$AJ$4,0)))+SUMPRODUCT((Inputs!$E$5:$E$130=$B35)*Inputs!$F$5:$F$130*(((Inputs!$G$5:$G$130="moeda")+(Inputs!$G$5:$G$130="acoes"))*Inputs!$B$1+((Inputs!$G$5:$G$130&lt;&gt;"moeda")*(Inputs!$G$5:$G$130&lt;&gt;"acoes")))*INDEX(Inputs!$K$5:$AJ$130,0,MATCH(O$2,Inputs!$K$4:$AJ$4,0)))))</f>
        <v>72252</v>
      </c>
      <c r="P35" s="265">
        <f>IF(ISNA(MATCH(P$2,Inputs!$K$4:$AJ$4,0)),NA(),IF(SUMPRODUCT((Inputs!$A$5:$A$130=$B35)*ISNUMBER(INDEX(Inputs!$K$5:$AJ$130,0,MATCH(P$2,Inputs!$K$4:$AJ$4,0))))+SUMPRODUCT((Inputs!$C$5:$C$130=$B35)*ISNUMBER(INDEX(Inputs!$K$5:$AJ$130,0,MATCH(P$2,Inputs!$K$4:$AJ$4,0))))+SUMPRODUCT((Inputs!$E$5:$E$130=$B35)*ISNUMBER(INDEX(Inputs!$K$5:$AJ$130,0,MATCH(P$2,Inputs!$K$4:$AJ$4,0))))=0,NA(),SUMPRODUCT((Inputs!$A$5:$A$130=$B35)*Inputs!$B$5:$B$130*(((Inputs!$G$5:$G$130="moeda")+(Inputs!$G$5:$G$130="acoes"))*Inputs!$B$1+((Inputs!$G$5:$G$130&lt;&gt;"moeda")*(Inputs!$G$5:$G$130&lt;&gt;"acoes")))*INDEX(Inputs!$K$5:$AJ$130,0,MATCH(P$2,Inputs!$K$4:$AJ$4,0)))+SUMPRODUCT((Inputs!$C$5:$C$130=$B35)*Inputs!$D$5:$D$130*(((Inputs!$G$5:$G$130="moeda")+(Inputs!$G$5:$G$130="acoes"))*Inputs!$B$1+((Inputs!$G$5:$G$130&lt;&gt;"moeda")*(Inputs!$G$5:$G$130&lt;&gt;"acoes")))*INDEX(Inputs!$K$5:$AJ$130,0,MATCH(P$2,Inputs!$K$4:$AJ$4,0)))+SUMPRODUCT((Inputs!$E$5:$E$130=$B35)*Inputs!$F$5:$F$130*(((Inputs!$G$5:$G$130="moeda")+(Inputs!$G$5:$G$130="acoes"))*Inputs!$B$1+((Inputs!$G$5:$G$130&lt;&gt;"moeda")*(Inputs!$G$5:$G$130&lt;&gt;"acoes")))*INDEX(Inputs!$K$5:$AJ$130,0,MATCH(P$2,Inputs!$K$4:$AJ$4,0)))))</f>
        <v>72028</v>
      </c>
      <c r="Q35" s="265">
        <f>IF(ISNA(MATCH(Q$2,Inputs!$K$4:$AJ$4,0)),NA(),IF(SUMPRODUCT((Inputs!$A$5:$A$130=$B35)*ISNUMBER(INDEX(Inputs!$K$5:$AJ$130,0,MATCH(Q$2,Inputs!$K$4:$AJ$4,0))))+SUMPRODUCT((Inputs!$C$5:$C$130=$B35)*ISNUMBER(INDEX(Inputs!$K$5:$AJ$130,0,MATCH(Q$2,Inputs!$K$4:$AJ$4,0))))+SUMPRODUCT((Inputs!$E$5:$E$130=$B35)*ISNUMBER(INDEX(Inputs!$K$5:$AJ$130,0,MATCH(Q$2,Inputs!$K$4:$AJ$4,0))))=0,NA(),SUMPRODUCT((Inputs!$A$5:$A$130=$B35)*Inputs!$B$5:$B$130*(((Inputs!$G$5:$G$130="moeda")+(Inputs!$G$5:$G$130="acoes"))*Inputs!$B$1+((Inputs!$G$5:$G$130&lt;&gt;"moeda")*(Inputs!$G$5:$G$130&lt;&gt;"acoes")))*INDEX(Inputs!$K$5:$AJ$130,0,MATCH(Q$2,Inputs!$K$4:$AJ$4,0)))+SUMPRODUCT((Inputs!$C$5:$C$130=$B35)*Inputs!$D$5:$D$130*(((Inputs!$G$5:$G$130="moeda")+(Inputs!$G$5:$G$130="acoes"))*Inputs!$B$1+((Inputs!$G$5:$G$130&lt;&gt;"moeda")*(Inputs!$G$5:$G$130&lt;&gt;"acoes")))*INDEX(Inputs!$K$5:$AJ$130,0,MATCH(Q$2,Inputs!$K$4:$AJ$4,0)))+SUMPRODUCT((Inputs!$E$5:$E$130=$B35)*Inputs!$F$5:$F$130*(((Inputs!$G$5:$G$130="moeda")+(Inputs!$G$5:$G$130="acoes"))*Inputs!$B$1+((Inputs!$G$5:$G$130&lt;&gt;"moeda")*(Inputs!$G$5:$G$130&lt;&gt;"acoes")))*INDEX(Inputs!$K$5:$AJ$130,0,MATCH(Q$2,Inputs!$K$4:$AJ$4,0)))))</f>
        <v>71610</v>
      </c>
      <c r="R35" s="266">
        <f>Q35</f>
        <v>71610</v>
      </c>
      <c r="S35" s="265">
        <f>IF(ISNA(MATCH(S$2,Inputs!$K$4:$AJ$4,0)),NA(),IF(SUMPRODUCT((Inputs!$A$5:$A$130=$B35)*ISNUMBER(INDEX(Inputs!$K$5:$AJ$130,0,MATCH(S$2,Inputs!$K$4:$AJ$4,0))))+SUMPRODUCT((Inputs!$C$5:$C$130=$B35)*ISNUMBER(INDEX(Inputs!$K$5:$AJ$130,0,MATCH(S$2,Inputs!$K$4:$AJ$4,0))))+SUMPRODUCT((Inputs!$E$5:$E$130=$B35)*ISNUMBER(INDEX(Inputs!$K$5:$AJ$130,0,MATCH(S$2,Inputs!$K$4:$AJ$4,0))))=0,NA(),SUMPRODUCT((Inputs!$A$5:$A$130=$B35)*Inputs!$B$5:$B$130*(((Inputs!$G$5:$G$130="moeda")+(Inputs!$G$5:$G$130="acoes"))*Inputs!$B$1+((Inputs!$G$5:$G$130&lt;&gt;"moeda")*(Inputs!$G$5:$G$130&lt;&gt;"acoes")))*INDEX(Inputs!$K$5:$AJ$130,0,MATCH(S$2,Inputs!$K$4:$AJ$4,0)))+SUMPRODUCT((Inputs!$C$5:$C$130=$B35)*Inputs!$D$5:$D$130*(((Inputs!$G$5:$G$130="moeda")+(Inputs!$G$5:$G$130="acoes"))*Inputs!$B$1+((Inputs!$G$5:$G$130&lt;&gt;"moeda")*(Inputs!$G$5:$G$130&lt;&gt;"acoes")))*INDEX(Inputs!$K$5:$AJ$130,0,MATCH(S$2,Inputs!$K$4:$AJ$4,0)))+SUMPRODUCT((Inputs!$E$5:$E$130=$B35)*Inputs!$F$5:$F$130*(((Inputs!$G$5:$G$130="moeda")+(Inputs!$G$5:$G$130="acoes"))*Inputs!$B$1+((Inputs!$G$5:$G$130&lt;&gt;"moeda")*(Inputs!$G$5:$G$130&lt;&gt;"acoes")))*INDEX(Inputs!$K$5:$AJ$130,0,MATCH(S$2,Inputs!$K$4:$AJ$4,0)))))</f>
        <v>68886</v>
      </c>
      <c r="T35" s="265">
        <f>IF(ISNA(MATCH(T$2,Inputs!$K$4:$AJ$4,0)),NA(),IF(SUMPRODUCT((Inputs!$A$5:$A$130=$B35)*ISNUMBER(INDEX(Inputs!$K$5:$AJ$130,0,MATCH(T$2,Inputs!$K$4:$AJ$4,0))))+SUMPRODUCT((Inputs!$C$5:$C$130=$B35)*ISNUMBER(INDEX(Inputs!$K$5:$AJ$130,0,MATCH(T$2,Inputs!$K$4:$AJ$4,0))))+SUMPRODUCT((Inputs!$E$5:$E$130=$B35)*ISNUMBER(INDEX(Inputs!$K$5:$AJ$130,0,MATCH(T$2,Inputs!$K$4:$AJ$4,0))))=0,NA(),SUMPRODUCT((Inputs!$A$5:$A$130=$B35)*Inputs!$B$5:$B$130*(((Inputs!$G$5:$G$130="moeda")+(Inputs!$G$5:$G$130="acoes"))*Inputs!$B$1+((Inputs!$G$5:$G$130&lt;&gt;"moeda")*(Inputs!$G$5:$G$130&lt;&gt;"acoes")))*INDEX(Inputs!$K$5:$AJ$130,0,MATCH(T$2,Inputs!$K$4:$AJ$4,0)))+SUMPRODUCT((Inputs!$C$5:$C$130=$B35)*Inputs!$D$5:$D$130*(((Inputs!$G$5:$G$130="moeda")+(Inputs!$G$5:$G$130="acoes"))*Inputs!$B$1+((Inputs!$G$5:$G$130&lt;&gt;"moeda")*(Inputs!$G$5:$G$130&lt;&gt;"acoes")))*INDEX(Inputs!$K$5:$AJ$130,0,MATCH(T$2,Inputs!$K$4:$AJ$4,0)))+SUMPRODUCT((Inputs!$E$5:$E$130=$B35)*Inputs!$F$5:$F$130*(((Inputs!$G$5:$G$130="moeda")+(Inputs!$G$5:$G$130="acoes"))*Inputs!$B$1+((Inputs!$G$5:$G$130&lt;&gt;"moeda")*(Inputs!$G$5:$G$130&lt;&gt;"acoes")))*INDEX(Inputs!$K$5:$AJ$130,0,MATCH(T$2,Inputs!$K$4:$AJ$4,0)))))</f>
        <v>64619</v>
      </c>
      <c r="U35" s="265">
        <f>IF(ISNA(MATCH(U$2,Inputs!$K$4:$AJ$4,0)),NA(),IF(SUMPRODUCT((Inputs!$A$5:$A$130=$B35)*ISNUMBER(INDEX(Inputs!$K$5:$AJ$130,0,MATCH(U$2,Inputs!$K$4:$AJ$4,0))))+SUMPRODUCT((Inputs!$C$5:$C$130=$B35)*ISNUMBER(INDEX(Inputs!$K$5:$AJ$130,0,MATCH(U$2,Inputs!$K$4:$AJ$4,0))))+SUMPRODUCT((Inputs!$E$5:$E$130=$B35)*ISNUMBER(INDEX(Inputs!$K$5:$AJ$130,0,MATCH(U$2,Inputs!$K$4:$AJ$4,0))))=0,NA(),SUMPRODUCT((Inputs!$A$5:$A$130=$B35)*Inputs!$B$5:$B$130*(((Inputs!$G$5:$G$130="moeda")+(Inputs!$G$5:$G$130="acoes"))*Inputs!$B$1+((Inputs!$G$5:$G$130&lt;&gt;"moeda")*(Inputs!$G$5:$G$130&lt;&gt;"acoes")))*INDEX(Inputs!$K$5:$AJ$130,0,MATCH(U$2,Inputs!$K$4:$AJ$4,0)))+SUMPRODUCT((Inputs!$C$5:$C$130=$B35)*Inputs!$D$5:$D$130*(((Inputs!$G$5:$G$130="moeda")+(Inputs!$G$5:$G$130="acoes"))*Inputs!$B$1+((Inputs!$G$5:$G$130&lt;&gt;"moeda")*(Inputs!$G$5:$G$130&lt;&gt;"acoes")))*INDEX(Inputs!$K$5:$AJ$130,0,MATCH(U$2,Inputs!$K$4:$AJ$4,0)))+SUMPRODUCT((Inputs!$E$5:$E$130=$B35)*Inputs!$F$5:$F$130*(((Inputs!$G$5:$G$130="moeda")+(Inputs!$G$5:$G$130="acoes"))*Inputs!$B$1+((Inputs!$G$5:$G$130&lt;&gt;"moeda")*(Inputs!$G$5:$G$130&lt;&gt;"acoes")))*INDEX(Inputs!$K$5:$AJ$130,0,MATCH(U$2,Inputs!$K$4:$AJ$4,0)))))</f>
        <v>64597</v>
      </c>
      <c r="V35" s="265">
        <f>IF(ISNA(MATCH(V$2,Inputs!$K$4:$AJ$4,0)),NA(),IF(SUMPRODUCT((Inputs!$A$5:$A$130=$B35)*ISNUMBER(INDEX(Inputs!$K$5:$AJ$130,0,MATCH(V$2,Inputs!$K$4:$AJ$4,0))))+SUMPRODUCT((Inputs!$C$5:$C$130=$B35)*ISNUMBER(INDEX(Inputs!$K$5:$AJ$130,0,MATCH(V$2,Inputs!$K$4:$AJ$4,0))))+SUMPRODUCT((Inputs!$E$5:$E$130=$B35)*ISNUMBER(INDEX(Inputs!$K$5:$AJ$130,0,MATCH(V$2,Inputs!$K$4:$AJ$4,0))))=0,NA(),SUMPRODUCT((Inputs!$A$5:$A$130=$B35)*Inputs!$B$5:$B$130*(((Inputs!$G$5:$G$130="moeda")+(Inputs!$G$5:$G$130="acoes"))*Inputs!$B$1+((Inputs!$G$5:$G$130&lt;&gt;"moeda")*(Inputs!$G$5:$G$130&lt;&gt;"acoes")))*INDEX(Inputs!$K$5:$AJ$130,0,MATCH(V$2,Inputs!$K$4:$AJ$4,0)))+SUMPRODUCT((Inputs!$C$5:$C$130=$B35)*Inputs!$D$5:$D$130*(((Inputs!$G$5:$G$130="moeda")+(Inputs!$G$5:$G$130="acoes"))*Inputs!$B$1+((Inputs!$G$5:$G$130&lt;&gt;"moeda")*(Inputs!$G$5:$G$130&lt;&gt;"acoes")))*INDEX(Inputs!$K$5:$AJ$130,0,MATCH(V$2,Inputs!$K$4:$AJ$4,0)))+SUMPRODUCT((Inputs!$E$5:$E$130=$B35)*Inputs!$F$5:$F$130*(((Inputs!$G$5:$G$130="moeda")+(Inputs!$G$5:$G$130="acoes"))*Inputs!$B$1+((Inputs!$G$5:$G$130&lt;&gt;"moeda")*(Inputs!$G$5:$G$130&lt;&gt;"acoes")))*INDEX(Inputs!$K$5:$AJ$130,0,MATCH(V$2,Inputs!$K$4:$AJ$4,0)))))</f>
        <v>65448</v>
      </c>
      <c r="W35" s="266">
        <f>V35</f>
        <v>65448</v>
      </c>
      <c r="X35" s="265">
        <f>IF(ISNA(MATCH(X$2,Inputs!$K$4:$AJ$4,0)),NA(),IF(SUMPRODUCT((Inputs!$A$5:$A$130=$B35)*ISNUMBER(INDEX(Inputs!$K$5:$AJ$130,0,MATCH(X$2,Inputs!$K$4:$AJ$4,0))))+SUMPRODUCT((Inputs!$C$5:$C$130=$B35)*ISNUMBER(INDEX(Inputs!$K$5:$AJ$130,0,MATCH(X$2,Inputs!$K$4:$AJ$4,0))))+SUMPRODUCT((Inputs!$E$5:$E$130=$B35)*ISNUMBER(INDEX(Inputs!$K$5:$AJ$130,0,MATCH(X$2,Inputs!$K$4:$AJ$4,0))))=0,NA(),SUMPRODUCT((Inputs!$A$5:$A$130=$B35)*Inputs!$B$5:$B$130*(((Inputs!$G$5:$G$130="moeda")+(Inputs!$G$5:$G$130="acoes"))*Inputs!$B$1+((Inputs!$G$5:$G$130&lt;&gt;"moeda")*(Inputs!$G$5:$G$130&lt;&gt;"acoes")))*INDEX(Inputs!$K$5:$AJ$130,0,MATCH(X$2,Inputs!$K$4:$AJ$4,0)))+SUMPRODUCT((Inputs!$C$5:$C$130=$B35)*Inputs!$D$5:$D$130*(((Inputs!$G$5:$G$130="moeda")+(Inputs!$G$5:$G$130="acoes"))*Inputs!$B$1+((Inputs!$G$5:$G$130&lt;&gt;"moeda")*(Inputs!$G$5:$G$130&lt;&gt;"acoes")))*INDEX(Inputs!$K$5:$AJ$130,0,MATCH(X$2,Inputs!$K$4:$AJ$4,0)))+SUMPRODUCT((Inputs!$E$5:$E$130=$B35)*Inputs!$F$5:$F$130*(((Inputs!$G$5:$G$130="moeda")+(Inputs!$G$5:$G$130="acoes"))*Inputs!$B$1+((Inputs!$G$5:$G$130&lt;&gt;"moeda")*(Inputs!$G$5:$G$130&lt;&gt;"acoes")))*INDEX(Inputs!$K$5:$AJ$130,0,MATCH(X$2,Inputs!$K$4:$AJ$4,0)))))</f>
        <v>65120</v>
      </c>
      <c r="Y35" s="265">
        <f>IF(ISNA(MATCH(Y$2,Inputs!$K$4:$AJ$4,0)),NA(),IF(SUMPRODUCT((Inputs!$A$5:$A$130=$B35)*ISNUMBER(INDEX(Inputs!$K$5:$AJ$130,0,MATCH(Y$2,Inputs!$K$4:$AJ$4,0))))+SUMPRODUCT((Inputs!$C$5:$C$130=$B35)*ISNUMBER(INDEX(Inputs!$K$5:$AJ$130,0,MATCH(Y$2,Inputs!$K$4:$AJ$4,0))))+SUMPRODUCT((Inputs!$E$5:$E$130=$B35)*ISNUMBER(INDEX(Inputs!$K$5:$AJ$130,0,MATCH(Y$2,Inputs!$K$4:$AJ$4,0))))=0,NA(),SUMPRODUCT((Inputs!$A$5:$A$130=$B35)*Inputs!$B$5:$B$130*(((Inputs!$G$5:$G$130="moeda")+(Inputs!$G$5:$G$130="acoes"))*Inputs!$B$1+((Inputs!$G$5:$G$130&lt;&gt;"moeda")*(Inputs!$G$5:$G$130&lt;&gt;"acoes")))*INDEX(Inputs!$K$5:$AJ$130,0,MATCH(Y$2,Inputs!$K$4:$AJ$4,0)))+SUMPRODUCT((Inputs!$C$5:$C$130=$B35)*Inputs!$D$5:$D$130*(((Inputs!$G$5:$G$130="moeda")+(Inputs!$G$5:$G$130="acoes"))*Inputs!$B$1+((Inputs!$G$5:$G$130&lt;&gt;"moeda")*(Inputs!$G$5:$G$130&lt;&gt;"acoes")))*INDEX(Inputs!$K$5:$AJ$130,0,MATCH(Y$2,Inputs!$K$4:$AJ$4,0)))+SUMPRODUCT((Inputs!$E$5:$E$130=$B35)*Inputs!$F$5:$F$130*(((Inputs!$G$5:$G$130="moeda")+(Inputs!$G$5:$G$130="acoes"))*Inputs!$B$1+((Inputs!$G$5:$G$130&lt;&gt;"moeda")*(Inputs!$G$5:$G$130&lt;&gt;"acoes")))*INDEX(Inputs!$K$5:$AJ$130,0,MATCH(Y$2,Inputs!$K$4:$AJ$4,0)))))</f>
        <v>65218</v>
      </c>
      <c r="Z35" s="265">
        <f>IF(ISNA(MATCH(Z$2,Inputs!$K$4:$AJ$4,0)),NA(),IF(SUMPRODUCT((Inputs!$A$5:$A$130=$B35)*ISNUMBER(INDEX(Inputs!$K$5:$AJ$130,0,MATCH(Z$2,Inputs!$K$4:$AJ$4,0))))+SUMPRODUCT((Inputs!$C$5:$C$130=$B35)*ISNUMBER(INDEX(Inputs!$K$5:$AJ$130,0,MATCH(Z$2,Inputs!$K$4:$AJ$4,0))))+SUMPRODUCT((Inputs!$E$5:$E$130=$B35)*ISNUMBER(INDEX(Inputs!$K$5:$AJ$130,0,MATCH(Z$2,Inputs!$K$4:$AJ$4,0))))=0,NA(),SUMPRODUCT((Inputs!$A$5:$A$130=$B35)*Inputs!$B$5:$B$130*(((Inputs!$G$5:$G$130="moeda")+(Inputs!$G$5:$G$130="acoes"))*Inputs!$B$1+((Inputs!$G$5:$G$130&lt;&gt;"moeda")*(Inputs!$G$5:$G$130&lt;&gt;"acoes")))*INDEX(Inputs!$K$5:$AJ$130,0,MATCH(Z$2,Inputs!$K$4:$AJ$4,0)))+SUMPRODUCT((Inputs!$C$5:$C$130=$B35)*Inputs!$D$5:$D$130*(((Inputs!$G$5:$G$130="moeda")+(Inputs!$G$5:$G$130="acoes"))*Inputs!$B$1+((Inputs!$G$5:$G$130&lt;&gt;"moeda")*(Inputs!$G$5:$G$130&lt;&gt;"acoes")))*INDEX(Inputs!$K$5:$AJ$130,0,MATCH(Z$2,Inputs!$K$4:$AJ$4,0)))+SUMPRODUCT((Inputs!$E$5:$E$130=$B35)*Inputs!$F$5:$F$130*(((Inputs!$G$5:$G$130="moeda")+(Inputs!$G$5:$G$130="acoes"))*Inputs!$B$1+((Inputs!$G$5:$G$130&lt;&gt;"moeda")*(Inputs!$G$5:$G$130&lt;&gt;"acoes")))*INDEX(Inputs!$K$5:$AJ$130,0,MATCH(Z$2,Inputs!$K$4:$AJ$4,0)))))</f>
        <v>63955</v>
      </c>
      <c r="AA35" s="265">
        <f>IF(ISNA(MATCH(AA$2,Inputs!$K$4:$AJ$4,0)),NA(),IF(SUMPRODUCT((Inputs!$A$5:$A$130=$B35)*ISNUMBER(INDEX(Inputs!$K$5:$AJ$130,0,MATCH(AA$2,Inputs!$K$4:$AJ$4,0))))+SUMPRODUCT((Inputs!$C$5:$C$130=$B35)*ISNUMBER(INDEX(Inputs!$K$5:$AJ$130,0,MATCH(AA$2,Inputs!$K$4:$AJ$4,0))))+SUMPRODUCT((Inputs!$E$5:$E$130=$B35)*ISNUMBER(INDEX(Inputs!$K$5:$AJ$130,0,MATCH(AA$2,Inputs!$K$4:$AJ$4,0))))=0,NA(),SUMPRODUCT((Inputs!$A$5:$A$130=$B35)*Inputs!$B$5:$B$130*(((Inputs!$G$5:$G$130="moeda")+(Inputs!$G$5:$G$130="acoes"))*Inputs!$B$1+((Inputs!$G$5:$G$130&lt;&gt;"moeda")*(Inputs!$G$5:$G$130&lt;&gt;"acoes")))*INDEX(Inputs!$K$5:$AJ$130,0,MATCH(AA$2,Inputs!$K$4:$AJ$4,0)))+SUMPRODUCT((Inputs!$C$5:$C$130=$B35)*Inputs!$D$5:$D$130*(((Inputs!$G$5:$G$130="moeda")+(Inputs!$G$5:$G$130="acoes"))*Inputs!$B$1+((Inputs!$G$5:$G$130&lt;&gt;"moeda")*(Inputs!$G$5:$G$130&lt;&gt;"acoes")))*INDEX(Inputs!$K$5:$AJ$130,0,MATCH(AA$2,Inputs!$K$4:$AJ$4,0)))+SUMPRODUCT((Inputs!$E$5:$E$130=$B35)*Inputs!$F$5:$F$130*(((Inputs!$G$5:$G$130="moeda")+(Inputs!$G$5:$G$130="acoes"))*Inputs!$B$1+((Inputs!$G$5:$G$130&lt;&gt;"moeda")*(Inputs!$G$5:$G$130&lt;&gt;"acoes")))*INDEX(Inputs!$K$5:$AJ$130,0,MATCH(AA$2,Inputs!$K$4:$AJ$4,0)))))</f>
        <v>66515</v>
      </c>
      <c r="AB35" s="266">
        <f>AA35</f>
        <v>66515</v>
      </c>
      <c r="AC35" s="265">
        <f>IF(ISNA(MATCH(AC$2,Inputs!$K$4:$AJ$4,0)),NA(),IF(SUMPRODUCT((Inputs!$A$5:$A$130=$B35)*ISNUMBER(INDEX(Inputs!$K$5:$AJ$130,0,MATCH(AC$2,Inputs!$K$4:$AJ$4,0))))+SUMPRODUCT((Inputs!$C$5:$C$130=$B35)*ISNUMBER(INDEX(Inputs!$K$5:$AJ$130,0,MATCH(AC$2,Inputs!$K$4:$AJ$4,0))))+SUMPRODUCT((Inputs!$E$5:$E$130=$B35)*ISNUMBER(INDEX(Inputs!$K$5:$AJ$130,0,MATCH(AC$2,Inputs!$K$4:$AJ$4,0))))=0,NA(),SUMPRODUCT((Inputs!$A$5:$A$130=$B35)*Inputs!$B$5:$B$130*(((Inputs!$G$5:$G$130="moeda")+(Inputs!$G$5:$G$130="acoes"))*Inputs!$B$1+((Inputs!$G$5:$G$130&lt;&gt;"moeda")*(Inputs!$G$5:$G$130&lt;&gt;"acoes")))*INDEX(Inputs!$K$5:$AJ$130,0,MATCH(AC$2,Inputs!$K$4:$AJ$4,0)))+SUMPRODUCT((Inputs!$C$5:$C$130=$B35)*Inputs!$D$5:$D$130*(((Inputs!$G$5:$G$130="moeda")+(Inputs!$G$5:$G$130="acoes"))*Inputs!$B$1+((Inputs!$G$5:$G$130&lt;&gt;"moeda")*(Inputs!$G$5:$G$130&lt;&gt;"acoes")))*INDEX(Inputs!$K$5:$AJ$130,0,MATCH(AC$2,Inputs!$K$4:$AJ$4,0)))+SUMPRODUCT((Inputs!$E$5:$E$130=$B35)*Inputs!$F$5:$F$130*(((Inputs!$G$5:$G$130="moeda")+(Inputs!$G$5:$G$130="acoes"))*Inputs!$B$1+((Inputs!$G$5:$G$130&lt;&gt;"moeda")*(Inputs!$G$5:$G$130&lt;&gt;"acoes")))*INDEX(Inputs!$K$5:$AJ$130,0,MATCH(AC$2,Inputs!$K$4:$AJ$4,0)))))</f>
        <v>65585</v>
      </c>
      <c r="AD35" s="265">
        <f>IF(ISNA(MATCH(AD$2,Inputs!$K$4:$AJ$4,0)),NA(),IF(SUMPRODUCT((Inputs!$A$5:$A$130=$B35)*ISNUMBER(INDEX(Inputs!$K$5:$AJ$130,0,MATCH(AD$2,Inputs!$K$4:$AJ$4,0))))+SUMPRODUCT((Inputs!$C$5:$C$130=$B35)*ISNUMBER(INDEX(Inputs!$K$5:$AJ$130,0,MATCH(AD$2,Inputs!$K$4:$AJ$4,0))))+SUMPRODUCT((Inputs!$E$5:$E$130=$B35)*ISNUMBER(INDEX(Inputs!$K$5:$AJ$130,0,MATCH(AD$2,Inputs!$K$4:$AJ$4,0))))=0,NA(),SUMPRODUCT((Inputs!$A$5:$A$130=$B35)*Inputs!$B$5:$B$130*(((Inputs!$G$5:$G$130="moeda")+(Inputs!$G$5:$G$130="acoes"))*Inputs!$B$1+((Inputs!$G$5:$G$130&lt;&gt;"moeda")*(Inputs!$G$5:$G$130&lt;&gt;"acoes")))*INDEX(Inputs!$K$5:$AJ$130,0,MATCH(AD$2,Inputs!$K$4:$AJ$4,0)))+SUMPRODUCT((Inputs!$C$5:$C$130=$B35)*Inputs!$D$5:$D$130*(((Inputs!$G$5:$G$130="moeda")+(Inputs!$G$5:$G$130="acoes"))*Inputs!$B$1+((Inputs!$G$5:$G$130&lt;&gt;"moeda")*(Inputs!$G$5:$G$130&lt;&gt;"acoes")))*INDEX(Inputs!$K$5:$AJ$130,0,MATCH(AD$2,Inputs!$K$4:$AJ$4,0)))+SUMPRODUCT((Inputs!$E$5:$E$130=$B35)*Inputs!$F$5:$F$130*(((Inputs!$G$5:$G$130="moeda")+(Inputs!$G$5:$G$130="acoes"))*Inputs!$B$1+((Inputs!$G$5:$G$130&lt;&gt;"moeda")*(Inputs!$G$5:$G$130&lt;&gt;"acoes")))*INDEX(Inputs!$K$5:$AJ$130,0,MATCH(AD$2,Inputs!$K$4:$AJ$4,0)))))</f>
        <v>64534</v>
      </c>
      <c r="AE35" s="265" t="e">
        <f>IF(ISNA(MATCH(AE$2,Inputs!$K$4:$AJ$4,0)),NA(),IF(SUMPRODUCT((Inputs!$A$5:$A$130=$B35)*ISNUMBER(INDEX(Inputs!$K$5:$AJ$130,0,MATCH(AE$2,Inputs!$K$4:$AJ$4,0))))+SUMPRODUCT((Inputs!$C$5:$C$130=$B35)*ISNUMBER(INDEX(Inputs!$K$5:$AJ$130,0,MATCH(AE$2,Inputs!$K$4:$AJ$4,0))))+SUMPRODUCT((Inputs!$E$5:$E$130=$B35)*ISNUMBER(INDEX(Inputs!$K$5:$AJ$130,0,MATCH(AE$2,Inputs!$K$4:$AJ$4,0))))=0,NA(),SUMPRODUCT((Inputs!$A$5:$A$130=$B35)*Inputs!$B$5:$B$130*(((Inputs!$G$5:$G$130="moeda")+(Inputs!$G$5:$G$130="acoes"))*Inputs!$B$1+((Inputs!$G$5:$G$130&lt;&gt;"moeda")*(Inputs!$G$5:$G$130&lt;&gt;"acoes")))*INDEX(Inputs!$K$5:$AJ$130,0,MATCH(AE$2,Inputs!$K$4:$AJ$4,0)))+SUMPRODUCT((Inputs!$C$5:$C$130=$B35)*Inputs!$D$5:$D$130*(((Inputs!$G$5:$G$130="moeda")+(Inputs!$G$5:$G$130="acoes"))*Inputs!$B$1+((Inputs!$G$5:$G$130&lt;&gt;"moeda")*(Inputs!$G$5:$G$130&lt;&gt;"acoes")))*INDEX(Inputs!$K$5:$AJ$130,0,MATCH(AE$2,Inputs!$K$4:$AJ$4,0)))+SUMPRODUCT((Inputs!$E$5:$E$130=$B35)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5" s="265" t="e">
        <f>IF(ISNA(MATCH(AF$2,Inputs!$K$4:$AJ$4,0)),NA(),IF(SUMPRODUCT((Inputs!$A$5:$A$130=$B35)*ISNUMBER(INDEX(Inputs!$K$5:$AJ$130,0,MATCH(AF$2,Inputs!$K$4:$AJ$4,0))))+SUMPRODUCT((Inputs!$C$5:$C$130=$B35)*ISNUMBER(INDEX(Inputs!$K$5:$AJ$130,0,MATCH(AF$2,Inputs!$K$4:$AJ$4,0))))+SUMPRODUCT((Inputs!$E$5:$E$130=$B35)*ISNUMBER(INDEX(Inputs!$K$5:$AJ$130,0,MATCH(AF$2,Inputs!$K$4:$AJ$4,0))))=0,NA(),SUMPRODUCT((Inputs!$A$5:$A$130=$B35)*Inputs!$B$5:$B$130*(((Inputs!$G$5:$G$130="moeda")+(Inputs!$G$5:$G$130="acoes"))*Inputs!$B$1+((Inputs!$G$5:$G$130&lt;&gt;"moeda")*(Inputs!$G$5:$G$130&lt;&gt;"acoes")))*INDEX(Inputs!$K$5:$AJ$130,0,MATCH(AF$2,Inputs!$K$4:$AJ$4,0)))+SUMPRODUCT((Inputs!$C$5:$C$130=$B35)*Inputs!$D$5:$D$130*(((Inputs!$G$5:$G$130="moeda")+(Inputs!$G$5:$G$130="acoes"))*Inputs!$B$1+((Inputs!$G$5:$G$130&lt;&gt;"moeda")*(Inputs!$G$5:$G$130&lt;&gt;"acoes")))*INDEX(Inputs!$K$5:$AJ$130,0,MATCH(AF$2,Inputs!$K$4:$AJ$4,0)))+SUMPRODUCT((Inputs!$E$5:$E$130=$B35)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5" s="266" t="e">
        <f>AF35</f>
        <v>#N/A</v>
      </c>
      <c r="AH35" s="265" t="e">
        <f>IF(ISNA(MATCH(AH$2,Inputs!$K$4:$AJ$4,0)),NA(),IF(SUMPRODUCT((Inputs!$A$5:$A$130=$B35)*ISNUMBER(INDEX(Inputs!$K$5:$AJ$130,0,MATCH(AH$2,Inputs!$K$4:$AJ$4,0))))+SUMPRODUCT((Inputs!$C$5:$C$130=$B35)*ISNUMBER(INDEX(Inputs!$K$5:$AJ$130,0,MATCH(AH$2,Inputs!$K$4:$AJ$4,0))))+SUMPRODUCT((Inputs!$E$5:$E$130=$B35)*ISNUMBER(INDEX(Inputs!$K$5:$AJ$130,0,MATCH(AH$2,Inputs!$K$4:$AJ$4,0))))=0,NA(),SUMPRODUCT((Inputs!$A$5:$A$130=$B35)*Inputs!$B$5:$B$130*(((Inputs!$G$5:$G$130="moeda")+(Inputs!$G$5:$G$130="acoes"))*Inputs!$B$1+((Inputs!$G$5:$G$130&lt;&gt;"moeda")*(Inputs!$G$5:$G$130&lt;&gt;"acoes")))*INDEX(Inputs!$K$5:$AJ$130,0,MATCH(AH$2,Inputs!$K$4:$AJ$4,0)))+SUMPRODUCT((Inputs!$C$5:$C$130=$B35)*Inputs!$D$5:$D$130*(((Inputs!$G$5:$G$130="moeda")+(Inputs!$G$5:$G$130="acoes"))*Inputs!$B$1+((Inputs!$G$5:$G$130&lt;&gt;"moeda")*(Inputs!$G$5:$G$130&lt;&gt;"acoes")))*INDEX(Inputs!$K$5:$AJ$130,0,MATCH(AH$2,Inputs!$K$4:$AJ$4,0)))+SUMPRODUCT((Inputs!$E$5:$E$130=$B35)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35" s="265" t="e">
        <f>IF(ISNA(MATCH(AI$2,Inputs!$K$4:$AJ$4,0)),NA(),IF(SUMPRODUCT((Inputs!$A$5:$A$130=$B35)*ISNUMBER(INDEX(Inputs!$K$5:$AJ$130,0,MATCH(AI$2,Inputs!$K$4:$AJ$4,0))))+SUMPRODUCT((Inputs!$C$5:$C$130=$B35)*ISNUMBER(INDEX(Inputs!$K$5:$AJ$130,0,MATCH(AI$2,Inputs!$K$4:$AJ$4,0))))+SUMPRODUCT((Inputs!$E$5:$E$130=$B35)*ISNUMBER(INDEX(Inputs!$K$5:$AJ$130,0,MATCH(AI$2,Inputs!$K$4:$AJ$4,0))))=0,NA(),SUMPRODUCT((Inputs!$A$5:$A$130=$B35)*Inputs!$B$5:$B$130*(((Inputs!$G$5:$G$130="moeda")+(Inputs!$G$5:$G$130="acoes"))*Inputs!$B$1+((Inputs!$G$5:$G$130&lt;&gt;"moeda")*(Inputs!$G$5:$G$130&lt;&gt;"acoes")))*INDEX(Inputs!$K$5:$AJ$130,0,MATCH(AI$2,Inputs!$K$4:$AJ$4,0)))+SUMPRODUCT((Inputs!$C$5:$C$130=$B35)*Inputs!$D$5:$D$130*(((Inputs!$G$5:$G$130="moeda")+(Inputs!$G$5:$G$130="acoes"))*Inputs!$B$1+((Inputs!$G$5:$G$130&lt;&gt;"moeda")*(Inputs!$G$5:$G$130&lt;&gt;"acoes")))*INDEX(Inputs!$K$5:$AJ$130,0,MATCH(AI$2,Inputs!$K$4:$AJ$4,0)))+SUMPRODUCT((Inputs!$E$5:$E$130=$B35)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35" s="265" t="e">
        <f>IF(ISNA(MATCH(AJ$2,Inputs!$K$4:$AJ$4,0)),NA(),IF(SUMPRODUCT((Inputs!$A$5:$A$130=$B35)*ISNUMBER(INDEX(Inputs!$K$5:$AJ$130,0,MATCH(AJ$2,Inputs!$K$4:$AJ$4,0))))+SUMPRODUCT((Inputs!$C$5:$C$130=$B35)*ISNUMBER(INDEX(Inputs!$K$5:$AJ$130,0,MATCH(AJ$2,Inputs!$K$4:$AJ$4,0))))+SUMPRODUCT((Inputs!$E$5:$E$130=$B35)*ISNUMBER(INDEX(Inputs!$K$5:$AJ$130,0,MATCH(AJ$2,Inputs!$K$4:$AJ$4,0))))=0,NA(),SUMPRODUCT((Inputs!$A$5:$A$130=$B35)*Inputs!$B$5:$B$130*(((Inputs!$G$5:$G$130="moeda")+(Inputs!$G$5:$G$130="acoes"))*Inputs!$B$1+((Inputs!$G$5:$G$130&lt;&gt;"moeda")*(Inputs!$G$5:$G$130&lt;&gt;"acoes")))*INDEX(Inputs!$K$5:$AJ$130,0,MATCH(AJ$2,Inputs!$K$4:$AJ$4,0)))+SUMPRODUCT((Inputs!$C$5:$C$130=$B35)*Inputs!$D$5:$D$130*(((Inputs!$G$5:$G$130="moeda")+(Inputs!$G$5:$G$130="acoes"))*Inputs!$B$1+((Inputs!$G$5:$G$130&lt;&gt;"moeda")*(Inputs!$G$5:$G$130&lt;&gt;"acoes")))*INDEX(Inputs!$K$5:$AJ$130,0,MATCH(AJ$2,Inputs!$K$4:$AJ$4,0)))+SUMPRODUCT((Inputs!$E$5:$E$130=$B35)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35" s="265" t="e">
        <f>IF(ISNA(MATCH(AK$2,Inputs!$K$4:$AJ$4,0)),NA(),IF(SUMPRODUCT((Inputs!$A$5:$A$130=$B35)*ISNUMBER(INDEX(Inputs!$K$5:$AJ$130,0,MATCH(AK$2,Inputs!$K$4:$AJ$4,0))))+SUMPRODUCT((Inputs!$C$5:$C$130=$B35)*ISNUMBER(INDEX(Inputs!$K$5:$AJ$130,0,MATCH(AK$2,Inputs!$K$4:$AJ$4,0))))+SUMPRODUCT((Inputs!$E$5:$E$130=$B35)*ISNUMBER(INDEX(Inputs!$K$5:$AJ$130,0,MATCH(AK$2,Inputs!$K$4:$AJ$4,0))))=0,NA(),SUMPRODUCT((Inputs!$A$5:$A$130=$B35)*Inputs!$B$5:$B$130*(((Inputs!$G$5:$G$130="moeda")+(Inputs!$G$5:$G$130="acoes"))*Inputs!$B$1+((Inputs!$G$5:$G$130&lt;&gt;"moeda")*(Inputs!$G$5:$G$130&lt;&gt;"acoes")))*INDEX(Inputs!$K$5:$AJ$130,0,MATCH(AK$2,Inputs!$K$4:$AJ$4,0)))+SUMPRODUCT((Inputs!$C$5:$C$130=$B35)*Inputs!$D$5:$D$130*(((Inputs!$G$5:$G$130="moeda")+(Inputs!$G$5:$G$130="acoes"))*Inputs!$B$1+((Inputs!$G$5:$G$130&lt;&gt;"moeda")*(Inputs!$G$5:$G$130&lt;&gt;"acoes")))*INDEX(Inputs!$K$5:$AJ$130,0,MATCH(AK$2,Inputs!$K$4:$AJ$4,0)))+SUMPRODUCT((Inputs!$E$5:$E$130=$B35)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35" s="266" t="e">
        <f>AK35</f>
        <v>#N/A</v>
      </c>
    </row>
    <row r="36" ht="12.75" customHeight="1" s="254">
      <c r="B36" s="263" t="n">
        <v>31</v>
      </c>
      <c r="C36" s="268" t="inlineStr">
        <is>
          <t>Long term operating leases</t>
        </is>
      </c>
      <c r="D36" s="265" t="e">
        <f>IF(ISNA(MATCH(D$2,Inputs!$K$4:$AJ$4,0)),NA(),IF(SUMPRODUCT((Inputs!$A$5:$A$130=$B36)*ISNUMBER(INDEX(Inputs!$K$5:$AJ$130,0,MATCH(D$2,Inputs!$K$4:$AJ$4,0))))+SUMPRODUCT((Inputs!$C$5:$C$130=$B36)*ISNUMBER(INDEX(Inputs!$K$5:$AJ$130,0,MATCH(D$2,Inputs!$K$4:$AJ$4,0))))+SUMPRODUCT((Inputs!$E$5:$E$130=$B36)*ISNUMBER(INDEX(Inputs!$K$5:$AJ$130,0,MATCH(D$2,Inputs!$K$4:$AJ$4,0))))=0,NA(),SUMPRODUCT((Inputs!$A$5:$A$130=$B36)*Inputs!$B$5:$B$130*(((Inputs!$G$5:$G$130="moeda")+(Inputs!$G$5:$G$130="acoes"))*Inputs!$B$1+((Inputs!$G$5:$G$130&lt;&gt;"moeda")*(Inputs!$G$5:$G$130&lt;&gt;"acoes")))*INDEX(Inputs!$K$5:$AJ$130,0,MATCH(D$2,Inputs!$K$4:$AJ$4,0)))+SUMPRODUCT((Inputs!$C$5:$C$130=$B36)*Inputs!$D$5:$D$130*(((Inputs!$G$5:$G$130="moeda")+(Inputs!$G$5:$G$130="acoes"))*Inputs!$B$1+((Inputs!$G$5:$G$130&lt;&gt;"moeda")*(Inputs!$G$5:$G$130&lt;&gt;"acoes")))*INDEX(Inputs!$K$5:$AJ$130,0,MATCH(D$2,Inputs!$K$4:$AJ$4,0)))+SUMPRODUCT((Inputs!$E$5:$E$130=$B36)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36" s="265" t="e">
        <f>IF(ISNA(MATCH(E$2,Inputs!$K$4:$AJ$4,0)),NA(),IF(SUMPRODUCT((Inputs!$A$5:$A$130=$B36)*ISNUMBER(INDEX(Inputs!$K$5:$AJ$130,0,MATCH(E$2,Inputs!$K$4:$AJ$4,0))))+SUMPRODUCT((Inputs!$C$5:$C$130=$B36)*ISNUMBER(INDEX(Inputs!$K$5:$AJ$130,0,MATCH(E$2,Inputs!$K$4:$AJ$4,0))))+SUMPRODUCT((Inputs!$E$5:$E$130=$B36)*ISNUMBER(INDEX(Inputs!$K$5:$AJ$130,0,MATCH(E$2,Inputs!$K$4:$AJ$4,0))))=0,NA(),SUMPRODUCT((Inputs!$A$5:$A$130=$B36)*Inputs!$B$5:$B$130*(((Inputs!$G$5:$G$130="moeda")+(Inputs!$G$5:$G$130="acoes"))*Inputs!$B$1+((Inputs!$G$5:$G$130&lt;&gt;"moeda")*(Inputs!$G$5:$G$130&lt;&gt;"acoes")))*INDEX(Inputs!$K$5:$AJ$130,0,MATCH(E$2,Inputs!$K$4:$AJ$4,0)))+SUMPRODUCT((Inputs!$C$5:$C$130=$B36)*Inputs!$D$5:$D$130*(((Inputs!$G$5:$G$130="moeda")+(Inputs!$G$5:$G$130="acoes"))*Inputs!$B$1+((Inputs!$G$5:$G$130&lt;&gt;"moeda")*(Inputs!$G$5:$G$130&lt;&gt;"acoes")))*INDEX(Inputs!$K$5:$AJ$130,0,MATCH(E$2,Inputs!$K$4:$AJ$4,0)))+SUMPRODUCT((Inputs!$E$5:$E$130=$B36)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36" s="265" t="e">
        <f>IF(ISNA(MATCH(F$2,Inputs!$K$4:$AJ$4,0)),NA(),IF(SUMPRODUCT((Inputs!$A$5:$A$130=$B36)*ISNUMBER(INDEX(Inputs!$K$5:$AJ$130,0,MATCH(F$2,Inputs!$K$4:$AJ$4,0))))+SUMPRODUCT((Inputs!$C$5:$C$130=$B36)*ISNUMBER(INDEX(Inputs!$K$5:$AJ$130,0,MATCH(F$2,Inputs!$K$4:$AJ$4,0))))+SUMPRODUCT((Inputs!$E$5:$E$130=$B36)*ISNUMBER(INDEX(Inputs!$K$5:$AJ$130,0,MATCH(F$2,Inputs!$K$4:$AJ$4,0))))=0,NA(),SUMPRODUCT((Inputs!$A$5:$A$130=$B36)*Inputs!$B$5:$B$130*(((Inputs!$G$5:$G$130="moeda")+(Inputs!$G$5:$G$130="acoes"))*Inputs!$B$1+((Inputs!$G$5:$G$130&lt;&gt;"moeda")*(Inputs!$G$5:$G$130&lt;&gt;"acoes")))*INDEX(Inputs!$K$5:$AJ$130,0,MATCH(F$2,Inputs!$K$4:$AJ$4,0)))+SUMPRODUCT((Inputs!$C$5:$C$130=$B36)*Inputs!$D$5:$D$130*(((Inputs!$G$5:$G$130="moeda")+(Inputs!$G$5:$G$130="acoes"))*Inputs!$B$1+((Inputs!$G$5:$G$130&lt;&gt;"moeda")*(Inputs!$G$5:$G$130&lt;&gt;"acoes")))*INDEX(Inputs!$K$5:$AJ$130,0,MATCH(F$2,Inputs!$K$4:$AJ$4,0)))+SUMPRODUCT((Inputs!$E$5:$E$130=$B36)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36" s="265" t="e">
        <f>IF(ISNA(MATCH(G$2,Inputs!$K$4:$AJ$4,0)),NA(),IF(SUMPRODUCT((Inputs!$A$5:$A$130=$B36)*ISNUMBER(INDEX(Inputs!$K$5:$AJ$130,0,MATCH(G$2,Inputs!$K$4:$AJ$4,0))))+SUMPRODUCT((Inputs!$C$5:$C$130=$B36)*ISNUMBER(INDEX(Inputs!$K$5:$AJ$130,0,MATCH(G$2,Inputs!$K$4:$AJ$4,0))))+SUMPRODUCT((Inputs!$E$5:$E$130=$B36)*ISNUMBER(INDEX(Inputs!$K$5:$AJ$130,0,MATCH(G$2,Inputs!$K$4:$AJ$4,0))))=0,NA(),SUMPRODUCT((Inputs!$A$5:$A$130=$B36)*Inputs!$B$5:$B$130*(((Inputs!$G$5:$G$130="moeda")+(Inputs!$G$5:$G$130="acoes"))*Inputs!$B$1+((Inputs!$G$5:$G$130&lt;&gt;"moeda")*(Inputs!$G$5:$G$130&lt;&gt;"acoes")))*INDEX(Inputs!$K$5:$AJ$130,0,MATCH(G$2,Inputs!$K$4:$AJ$4,0)))+SUMPRODUCT((Inputs!$C$5:$C$130=$B36)*Inputs!$D$5:$D$130*(((Inputs!$G$5:$G$130="moeda")+(Inputs!$G$5:$G$130="acoes"))*Inputs!$B$1+((Inputs!$G$5:$G$130&lt;&gt;"moeda")*(Inputs!$G$5:$G$130&lt;&gt;"acoes")))*INDEX(Inputs!$K$5:$AJ$130,0,MATCH(G$2,Inputs!$K$4:$AJ$4,0)))+SUMPRODUCT((Inputs!$E$5:$E$130=$B36)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36" s="266" t="e">
        <f>G36</f>
        <v>#N/A</v>
      </c>
      <c r="I36" s="265" t="e">
        <f>IF(ISNA(MATCH(I$2,Inputs!$K$4:$AJ$4,0)),NA(),IF(SUMPRODUCT((Inputs!$A$5:$A$130=$B36)*ISNUMBER(INDEX(Inputs!$K$5:$AJ$130,0,MATCH(I$2,Inputs!$K$4:$AJ$4,0))))+SUMPRODUCT((Inputs!$C$5:$C$130=$B36)*ISNUMBER(INDEX(Inputs!$K$5:$AJ$130,0,MATCH(I$2,Inputs!$K$4:$AJ$4,0))))+SUMPRODUCT((Inputs!$E$5:$E$130=$B36)*ISNUMBER(INDEX(Inputs!$K$5:$AJ$130,0,MATCH(I$2,Inputs!$K$4:$AJ$4,0))))=0,NA(),SUMPRODUCT((Inputs!$A$5:$A$130=$B36)*Inputs!$B$5:$B$130*(((Inputs!$G$5:$G$130="moeda")+(Inputs!$G$5:$G$130="acoes"))*Inputs!$B$1+((Inputs!$G$5:$G$130&lt;&gt;"moeda")*(Inputs!$G$5:$G$130&lt;&gt;"acoes")))*INDEX(Inputs!$K$5:$AJ$130,0,MATCH(I$2,Inputs!$K$4:$AJ$4,0)))+SUMPRODUCT((Inputs!$C$5:$C$130=$B36)*Inputs!$D$5:$D$130*(((Inputs!$G$5:$G$130="moeda")+(Inputs!$G$5:$G$130="acoes"))*Inputs!$B$1+((Inputs!$G$5:$G$130&lt;&gt;"moeda")*(Inputs!$G$5:$G$130&lt;&gt;"acoes")))*INDEX(Inputs!$K$5:$AJ$130,0,MATCH(I$2,Inputs!$K$4:$AJ$4,0)))+SUMPRODUCT((Inputs!$E$5:$E$130=$B36)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36" s="265" t="e">
        <f>IF(ISNA(MATCH(J$2,Inputs!$K$4:$AJ$4,0)),NA(),IF(SUMPRODUCT((Inputs!$A$5:$A$130=$B36)*ISNUMBER(INDEX(Inputs!$K$5:$AJ$130,0,MATCH(J$2,Inputs!$K$4:$AJ$4,0))))+SUMPRODUCT((Inputs!$C$5:$C$130=$B36)*ISNUMBER(INDEX(Inputs!$K$5:$AJ$130,0,MATCH(J$2,Inputs!$K$4:$AJ$4,0))))+SUMPRODUCT((Inputs!$E$5:$E$130=$B36)*ISNUMBER(INDEX(Inputs!$K$5:$AJ$130,0,MATCH(J$2,Inputs!$K$4:$AJ$4,0))))=0,NA(),SUMPRODUCT((Inputs!$A$5:$A$130=$B36)*Inputs!$B$5:$B$130*(((Inputs!$G$5:$G$130="moeda")+(Inputs!$G$5:$G$130="acoes"))*Inputs!$B$1+((Inputs!$G$5:$G$130&lt;&gt;"moeda")*(Inputs!$G$5:$G$130&lt;&gt;"acoes")))*INDEX(Inputs!$K$5:$AJ$130,0,MATCH(J$2,Inputs!$K$4:$AJ$4,0)))+SUMPRODUCT((Inputs!$C$5:$C$130=$B36)*Inputs!$D$5:$D$130*(((Inputs!$G$5:$G$130="moeda")+(Inputs!$G$5:$G$130="acoes"))*Inputs!$B$1+((Inputs!$G$5:$G$130&lt;&gt;"moeda")*(Inputs!$G$5:$G$130&lt;&gt;"acoes")))*INDEX(Inputs!$K$5:$AJ$130,0,MATCH(J$2,Inputs!$K$4:$AJ$4,0)))+SUMPRODUCT((Inputs!$E$5:$E$130=$B36)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36" s="265" t="e">
        <f>IF(ISNA(MATCH(K$2,Inputs!$K$4:$AJ$4,0)),NA(),IF(SUMPRODUCT((Inputs!$A$5:$A$130=$B36)*ISNUMBER(INDEX(Inputs!$K$5:$AJ$130,0,MATCH(K$2,Inputs!$K$4:$AJ$4,0))))+SUMPRODUCT((Inputs!$C$5:$C$130=$B36)*ISNUMBER(INDEX(Inputs!$K$5:$AJ$130,0,MATCH(K$2,Inputs!$K$4:$AJ$4,0))))+SUMPRODUCT((Inputs!$E$5:$E$130=$B36)*ISNUMBER(INDEX(Inputs!$K$5:$AJ$130,0,MATCH(K$2,Inputs!$K$4:$AJ$4,0))))=0,NA(),SUMPRODUCT((Inputs!$A$5:$A$130=$B36)*Inputs!$B$5:$B$130*(((Inputs!$G$5:$G$130="moeda")+(Inputs!$G$5:$G$130="acoes"))*Inputs!$B$1+((Inputs!$G$5:$G$130&lt;&gt;"moeda")*(Inputs!$G$5:$G$130&lt;&gt;"acoes")))*INDEX(Inputs!$K$5:$AJ$130,0,MATCH(K$2,Inputs!$K$4:$AJ$4,0)))+SUMPRODUCT((Inputs!$C$5:$C$130=$B36)*Inputs!$D$5:$D$130*(((Inputs!$G$5:$G$130="moeda")+(Inputs!$G$5:$G$130="acoes"))*Inputs!$B$1+((Inputs!$G$5:$G$130&lt;&gt;"moeda")*(Inputs!$G$5:$G$130&lt;&gt;"acoes")))*INDEX(Inputs!$K$5:$AJ$130,0,MATCH(K$2,Inputs!$K$4:$AJ$4,0)))+SUMPRODUCT((Inputs!$E$5:$E$130=$B36)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36" s="265" t="e">
        <f>IF(ISNA(MATCH(L$2,Inputs!$K$4:$AJ$4,0)),NA(),IF(SUMPRODUCT((Inputs!$A$5:$A$130=$B36)*ISNUMBER(INDEX(Inputs!$K$5:$AJ$130,0,MATCH(L$2,Inputs!$K$4:$AJ$4,0))))+SUMPRODUCT((Inputs!$C$5:$C$130=$B36)*ISNUMBER(INDEX(Inputs!$K$5:$AJ$130,0,MATCH(L$2,Inputs!$K$4:$AJ$4,0))))+SUMPRODUCT((Inputs!$E$5:$E$130=$B36)*ISNUMBER(INDEX(Inputs!$K$5:$AJ$130,0,MATCH(L$2,Inputs!$K$4:$AJ$4,0))))=0,NA(),SUMPRODUCT((Inputs!$A$5:$A$130=$B36)*Inputs!$B$5:$B$130*(((Inputs!$G$5:$G$130="moeda")+(Inputs!$G$5:$G$130="acoes"))*Inputs!$B$1+((Inputs!$G$5:$G$130&lt;&gt;"moeda")*(Inputs!$G$5:$G$130&lt;&gt;"acoes")))*INDEX(Inputs!$K$5:$AJ$130,0,MATCH(L$2,Inputs!$K$4:$AJ$4,0)))+SUMPRODUCT((Inputs!$C$5:$C$130=$B36)*Inputs!$D$5:$D$130*(((Inputs!$G$5:$G$130="moeda")+(Inputs!$G$5:$G$130="acoes"))*Inputs!$B$1+((Inputs!$G$5:$G$130&lt;&gt;"moeda")*(Inputs!$G$5:$G$130&lt;&gt;"acoes")))*INDEX(Inputs!$K$5:$AJ$130,0,MATCH(L$2,Inputs!$K$4:$AJ$4,0)))+SUMPRODUCT((Inputs!$E$5:$E$130=$B36)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36" s="266" t="e">
        <f>L36</f>
        <v>#N/A</v>
      </c>
      <c r="N36" s="265" t="e">
        <f>IF(ISNA(MATCH(N$2,Inputs!$K$4:$AJ$4,0)),NA(),IF(SUMPRODUCT((Inputs!$A$5:$A$130=$B36)*ISNUMBER(INDEX(Inputs!$K$5:$AJ$130,0,MATCH(N$2,Inputs!$K$4:$AJ$4,0))))+SUMPRODUCT((Inputs!$C$5:$C$130=$B36)*ISNUMBER(INDEX(Inputs!$K$5:$AJ$130,0,MATCH(N$2,Inputs!$K$4:$AJ$4,0))))+SUMPRODUCT((Inputs!$E$5:$E$130=$B36)*ISNUMBER(INDEX(Inputs!$K$5:$AJ$130,0,MATCH(N$2,Inputs!$K$4:$AJ$4,0))))=0,NA(),SUMPRODUCT((Inputs!$A$5:$A$130=$B36)*Inputs!$B$5:$B$130*(((Inputs!$G$5:$G$130="moeda")+(Inputs!$G$5:$G$130="acoes"))*Inputs!$B$1+((Inputs!$G$5:$G$130&lt;&gt;"moeda")*(Inputs!$G$5:$G$130&lt;&gt;"acoes")))*INDEX(Inputs!$K$5:$AJ$130,0,MATCH(N$2,Inputs!$K$4:$AJ$4,0)))+SUMPRODUCT((Inputs!$C$5:$C$130=$B36)*Inputs!$D$5:$D$130*(((Inputs!$G$5:$G$130="moeda")+(Inputs!$G$5:$G$130="acoes"))*Inputs!$B$1+((Inputs!$G$5:$G$130&lt;&gt;"moeda")*(Inputs!$G$5:$G$130&lt;&gt;"acoes")))*INDEX(Inputs!$K$5:$AJ$130,0,MATCH(N$2,Inputs!$K$4:$AJ$4,0)))+SUMPRODUCT((Inputs!$E$5:$E$130=$B36)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36" s="265" t="e">
        <f>IF(ISNA(MATCH(O$2,Inputs!$K$4:$AJ$4,0)),NA(),IF(SUMPRODUCT((Inputs!$A$5:$A$130=$B36)*ISNUMBER(INDEX(Inputs!$K$5:$AJ$130,0,MATCH(O$2,Inputs!$K$4:$AJ$4,0))))+SUMPRODUCT((Inputs!$C$5:$C$130=$B36)*ISNUMBER(INDEX(Inputs!$K$5:$AJ$130,0,MATCH(O$2,Inputs!$K$4:$AJ$4,0))))+SUMPRODUCT((Inputs!$E$5:$E$130=$B36)*ISNUMBER(INDEX(Inputs!$K$5:$AJ$130,0,MATCH(O$2,Inputs!$K$4:$AJ$4,0))))=0,NA(),SUMPRODUCT((Inputs!$A$5:$A$130=$B36)*Inputs!$B$5:$B$130*(((Inputs!$G$5:$G$130="moeda")+(Inputs!$G$5:$G$130="acoes"))*Inputs!$B$1+((Inputs!$G$5:$G$130&lt;&gt;"moeda")*(Inputs!$G$5:$G$130&lt;&gt;"acoes")))*INDEX(Inputs!$K$5:$AJ$130,0,MATCH(O$2,Inputs!$K$4:$AJ$4,0)))+SUMPRODUCT((Inputs!$C$5:$C$130=$B36)*Inputs!$D$5:$D$130*(((Inputs!$G$5:$G$130="moeda")+(Inputs!$G$5:$G$130="acoes"))*Inputs!$B$1+((Inputs!$G$5:$G$130&lt;&gt;"moeda")*(Inputs!$G$5:$G$130&lt;&gt;"acoes")))*INDEX(Inputs!$K$5:$AJ$130,0,MATCH(O$2,Inputs!$K$4:$AJ$4,0)))+SUMPRODUCT((Inputs!$E$5:$E$130=$B36)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36" s="265" t="e">
        <f>IF(ISNA(MATCH(P$2,Inputs!$K$4:$AJ$4,0)),NA(),IF(SUMPRODUCT((Inputs!$A$5:$A$130=$B36)*ISNUMBER(INDEX(Inputs!$K$5:$AJ$130,0,MATCH(P$2,Inputs!$K$4:$AJ$4,0))))+SUMPRODUCT((Inputs!$C$5:$C$130=$B36)*ISNUMBER(INDEX(Inputs!$K$5:$AJ$130,0,MATCH(P$2,Inputs!$K$4:$AJ$4,0))))+SUMPRODUCT((Inputs!$E$5:$E$130=$B36)*ISNUMBER(INDEX(Inputs!$K$5:$AJ$130,0,MATCH(P$2,Inputs!$K$4:$AJ$4,0))))=0,NA(),SUMPRODUCT((Inputs!$A$5:$A$130=$B36)*Inputs!$B$5:$B$130*(((Inputs!$G$5:$G$130="moeda")+(Inputs!$G$5:$G$130="acoes"))*Inputs!$B$1+((Inputs!$G$5:$G$130&lt;&gt;"moeda")*(Inputs!$G$5:$G$130&lt;&gt;"acoes")))*INDEX(Inputs!$K$5:$AJ$130,0,MATCH(P$2,Inputs!$K$4:$AJ$4,0)))+SUMPRODUCT((Inputs!$C$5:$C$130=$B36)*Inputs!$D$5:$D$130*(((Inputs!$G$5:$G$130="moeda")+(Inputs!$G$5:$G$130="acoes"))*Inputs!$B$1+((Inputs!$G$5:$G$130&lt;&gt;"moeda")*(Inputs!$G$5:$G$130&lt;&gt;"acoes")))*INDEX(Inputs!$K$5:$AJ$130,0,MATCH(P$2,Inputs!$K$4:$AJ$4,0)))+SUMPRODUCT((Inputs!$E$5:$E$130=$B36)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36" s="265" t="e">
        <f>IF(ISNA(MATCH(Q$2,Inputs!$K$4:$AJ$4,0)),NA(),IF(SUMPRODUCT((Inputs!$A$5:$A$130=$B36)*ISNUMBER(INDEX(Inputs!$K$5:$AJ$130,0,MATCH(Q$2,Inputs!$K$4:$AJ$4,0))))+SUMPRODUCT((Inputs!$C$5:$C$130=$B36)*ISNUMBER(INDEX(Inputs!$K$5:$AJ$130,0,MATCH(Q$2,Inputs!$K$4:$AJ$4,0))))+SUMPRODUCT((Inputs!$E$5:$E$130=$B36)*ISNUMBER(INDEX(Inputs!$K$5:$AJ$130,0,MATCH(Q$2,Inputs!$K$4:$AJ$4,0))))=0,NA(),SUMPRODUCT((Inputs!$A$5:$A$130=$B36)*Inputs!$B$5:$B$130*(((Inputs!$G$5:$G$130="moeda")+(Inputs!$G$5:$G$130="acoes"))*Inputs!$B$1+((Inputs!$G$5:$G$130&lt;&gt;"moeda")*(Inputs!$G$5:$G$130&lt;&gt;"acoes")))*INDEX(Inputs!$K$5:$AJ$130,0,MATCH(Q$2,Inputs!$K$4:$AJ$4,0)))+SUMPRODUCT((Inputs!$C$5:$C$130=$B36)*Inputs!$D$5:$D$130*(((Inputs!$G$5:$G$130="moeda")+(Inputs!$G$5:$G$130="acoes"))*Inputs!$B$1+((Inputs!$G$5:$G$130&lt;&gt;"moeda")*(Inputs!$G$5:$G$130&lt;&gt;"acoes")))*INDEX(Inputs!$K$5:$AJ$130,0,MATCH(Q$2,Inputs!$K$4:$AJ$4,0)))+SUMPRODUCT((Inputs!$E$5:$E$130=$B36)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36" s="266" t="e">
        <f>Q36</f>
        <v>#N/A</v>
      </c>
      <c r="S36" s="265" t="e">
        <f>IF(ISNA(MATCH(S$2,Inputs!$K$4:$AJ$4,0)),NA(),IF(SUMPRODUCT((Inputs!$A$5:$A$130=$B36)*ISNUMBER(INDEX(Inputs!$K$5:$AJ$130,0,MATCH(S$2,Inputs!$K$4:$AJ$4,0))))+SUMPRODUCT((Inputs!$C$5:$C$130=$B36)*ISNUMBER(INDEX(Inputs!$K$5:$AJ$130,0,MATCH(S$2,Inputs!$K$4:$AJ$4,0))))+SUMPRODUCT((Inputs!$E$5:$E$130=$B36)*ISNUMBER(INDEX(Inputs!$K$5:$AJ$130,0,MATCH(S$2,Inputs!$K$4:$AJ$4,0))))=0,NA(),SUMPRODUCT((Inputs!$A$5:$A$130=$B36)*Inputs!$B$5:$B$130*(((Inputs!$G$5:$G$130="moeda")+(Inputs!$G$5:$G$130="acoes"))*Inputs!$B$1+((Inputs!$G$5:$G$130&lt;&gt;"moeda")*(Inputs!$G$5:$G$130&lt;&gt;"acoes")))*INDEX(Inputs!$K$5:$AJ$130,0,MATCH(S$2,Inputs!$K$4:$AJ$4,0)))+SUMPRODUCT((Inputs!$C$5:$C$130=$B36)*Inputs!$D$5:$D$130*(((Inputs!$G$5:$G$130="moeda")+(Inputs!$G$5:$G$130="acoes"))*Inputs!$B$1+((Inputs!$G$5:$G$130&lt;&gt;"moeda")*(Inputs!$G$5:$G$130&lt;&gt;"acoes")))*INDEX(Inputs!$K$5:$AJ$130,0,MATCH(S$2,Inputs!$K$4:$AJ$4,0)))+SUMPRODUCT((Inputs!$E$5:$E$130=$B36)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36" s="265" t="e">
        <f>IF(ISNA(MATCH(T$2,Inputs!$K$4:$AJ$4,0)),NA(),IF(SUMPRODUCT((Inputs!$A$5:$A$130=$B36)*ISNUMBER(INDEX(Inputs!$K$5:$AJ$130,0,MATCH(T$2,Inputs!$K$4:$AJ$4,0))))+SUMPRODUCT((Inputs!$C$5:$C$130=$B36)*ISNUMBER(INDEX(Inputs!$K$5:$AJ$130,0,MATCH(T$2,Inputs!$K$4:$AJ$4,0))))+SUMPRODUCT((Inputs!$E$5:$E$130=$B36)*ISNUMBER(INDEX(Inputs!$K$5:$AJ$130,0,MATCH(T$2,Inputs!$K$4:$AJ$4,0))))=0,NA(),SUMPRODUCT((Inputs!$A$5:$A$130=$B36)*Inputs!$B$5:$B$130*(((Inputs!$G$5:$G$130="moeda")+(Inputs!$G$5:$G$130="acoes"))*Inputs!$B$1+((Inputs!$G$5:$G$130&lt;&gt;"moeda")*(Inputs!$G$5:$G$130&lt;&gt;"acoes")))*INDEX(Inputs!$K$5:$AJ$130,0,MATCH(T$2,Inputs!$K$4:$AJ$4,0)))+SUMPRODUCT((Inputs!$C$5:$C$130=$B36)*Inputs!$D$5:$D$130*(((Inputs!$G$5:$G$130="moeda")+(Inputs!$G$5:$G$130="acoes"))*Inputs!$B$1+((Inputs!$G$5:$G$130&lt;&gt;"moeda")*(Inputs!$G$5:$G$130&lt;&gt;"acoes")))*INDEX(Inputs!$K$5:$AJ$130,0,MATCH(T$2,Inputs!$K$4:$AJ$4,0)))+SUMPRODUCT((Inputs!$E$5:$E$130=$B36)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36" s="265" t="e">
        <f>IF(ISNA(MATCH(U$2,Inputs!$K$4:$AJ$4,0)),NA(),IF(SUMPRODUCT((Inputs!$A$5:$A$130=$B36)*ISNUMBER(INDEX(Inputs!$K$5:$AJ$130,0,MATCH(U$2,Inputs!$K$4:$AJ$4,0))))+SUMPRODUCT((Inputs!$C$5:$C$130=$B36)*ISNUMBER(INDEX(Inputs!$K$5:$AJ$130,0,MATCH(U$2,Inputs!$K$4:$AJ$4,0))))+SUMPRODUCT((Inputs!$E$5:$E$130=$B36)*ISNUMBER(INDEX(Inputs!$K$5:$AJ$130,0,MATCH(U$2,Inputs!$K$4:$AJ$4,0))))=0,NA(),SUMPRODUCT((Inputs!$A$5:$A$130=$B36)*Inputs!$B$5:$B$130*(((Inputs!$G$5:$G$130="moeda")+(Inputs!$G$5:$G$130="acoes"))*Inputs!$B$1+((Inputs!$G$5:$G$130&lt;&gt;"moeda")*(Inputs!$G$5:$G$130&lt;&gt;"acoes")))*INDEX(Inputs!$K$5:$AJ$130,0,MATCH(U$2,Inputs!$K$4:$AJ$4,0)))+SUMPRODUCT((Inputs!$C$5:$C$130=$B36)*Inputs!$D$5:$D$130*(((Inputs!$G$5:$G$130="moeda")+(Inputs!$G$5:$G$130="acoes"))*Inputs!$B$1+((Inputs!$G$5:$G$130&lt;&gt;"moeda")*(Inputs!$G$5:$G$130&lt;&gt;"acoes")))*INDEX(Inputs!$K$5:$AJ$130,0,MATCH(U$2,Inputs!$K$4:$AJ$4,0)))+SUMPRODUCT((Inputs!$E$5:$E$130=$B36)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36" s="265" t="e">
        <f>IF(ISNA(MATCH(V$2,Inputs!$K$4:$AJ$4,0)),NA(),IF(SUMPRODUCT((Inputs!$A$5:$A$130=$B36)*ISNUMBER(INDEX(Inputs!$K$5:$AJ$130,0,MATCH(V$2,Inputs!$K$4:$AJ$4,0))))+SUMPRODUCT((Inputs!$C$5:$C$130=$B36)*ISNUMBER(INDEX(Inputs!$K$5:$AJ$130,0,MATCH(V$2,Inputs!$K$4:$AJ$4,0))))+SUMPRODUCT((Inputs!$E$5:$E$130=$B36)*ISNUMBER(INDEX(Inputs!$K$5:$AJ$130,0,MATCH(V$2,Inputs!$K$4:$AJ$4,0))))=0,NA(),SUMPRODUCT((Inputs!$A$5:$A$130=$B36)*Inputs!$B$5:$B$130*(((Inputs!$G$5:$G$130="moeda")+(Inputs!$G$5:$G$130="acoes"))*Inputs!$B$1+((Inputs!$G$5:$G$130&lt;&gt;"moeda")*(Inputs!$G$5:$G$130&lt;&gt;"acoes")))*INDEX(Inputs!$K$5:$AJ$130,0,MATCH(V$2,Inputs!$K$4:$AJ$4,0)))+SUMPRODUCT((Inputs!$C$5:$C$130=$B36)*Inputs!$D$5:$D$130*(((Inputs!$G$5:$G$130="moeda")+(Inputs!$G$5:$G$130="acoes"))*Inputs!$B$1+((Inputs!$G$5:$G$130&lt;&gt;"moeda")*(Inputs!$G$5:$G$130&lt;&gt;"acoes")))*INDEX(Inputs!$K$5:$AJ$130,0,MATCH(V$2,Inputs!$K$4:$AJ$4,0)))+SUMPRODUCT((Inputs!$E$5:$E$130=$B36)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36" s="266" t="e">
        <f>V36</f>
        <v>#N/A</v>
      </c>
      <c r="X36" s="265" t="e">
        <f>IF(ISNA(MATCH(X$2,Inputs!$K$4:$AJ$4,0)),NA(),IF(SUMPRODUCT((Inputs!$A$5:$A$130=$B36)*ISNUMBER(INDEX(Inputs!$K$5:$AJ$130,0,MATCH(X$2,Inputs!$K$4:$AJ$4,0))))+SUMPRODUCT((Inputs!$C$5:$C$130=$B36)*ISNUMBER(INDEX(Inputs!$K$5:$AJ$130,0,MATCH(X$2,Inputs!$K$4:$AJ$4,0))))+SUMPRODUCT((Inputs!$E$5:$E$130=$B36)*ISNUMBER(INDEX(Inputs!$K$5:$AJ$130,0,MATCH(X$2,Inputs!$K$4:$AJ$4,0))))=0,NA(),SUMPRODUCT((Inputs!$A$5:$A$130=$B36)*Inputs!$B$5:$B$130*(((Inputs!$G$5:$G$130="moeda")+(Inputs!$G$5:$G$130="acoes"))*Inputs!$B$1+((Inputs!$G$5:$G$130&lt;&gt;"moeda")*(Inputs!$G$5:$G$130&lt;&gt;"acoes")))*INDEX(Inputs!$K$5:$AJ$130,0,MATCH(X$2,Inputs!$K$4:$AJ$4,0)))+SUMPRODUCT((Inputs!$C$5:$C$130=$B36)*Inputs!$D$5:$D$130*(((Inputs!$G$5:$G$130="moeda")+(Inputs!$G$5:$G$130="acoes"))*Inputs!$B$1+((Inputs!$G$5:$G$130&lt;&gt;"moeda")*(Inputs!$G$5:$G$130&lt;&gt;"acoes")))*INDEX(Inputs!$K$5:$AJ$130,0,MATCH(X$2,Inputs!$K$4:$AJ$4,0)))+SUMPRODUCT((Inputs!$E$5:$E$130=$B36)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36" s="265" t="e">
        <f>IF(ISNA(MATCH(Y$2,Inputs!$K$4:$AJ$4,0)),NA(),IF(SUMPRODUCT((Inputs!$A$5:$A$130=$B36)*ISNUMBER(INDEX(Inputs!$K$5:$AJ$130,0,MATCH(Y$2,Inputs!$K$4:$AJ$4,0))))+SUMPRODUCT((Inputs!$C$5:$C$130=$B36)*ISNUMBER(INDEX(Inputs!$K$5:$AJ$130,0,MATCH(Y$2,Inputs!$K$4:$AJ$4,0))))+SUMPRODUCT((Inputs!$E$5:$E$130=$B36)*ISNUMBER(INDEX(Inputs!$K$5:$AJ$130,0,MATCH(Y$2,Inputs!$K$4:$AJ$4,0))))=0,NA(),SUMPRODUCT((Inputs!$A$5:$A$130=$B36)*Inputs!$B$5:$B$130*(((Inputs!$G$5:$G$130="moeda")+(Inputs!$G$5:$G$130="acoes"))*Inputs!$B$1+((Inputs!$G$5:$G$130&lt;&gt;"moeda")*(Inputs!$G$5:$G$130&lt;&gt;"acoes")))*INDEX(Inputs!$K$5:$AJ$130,0,MATCH(Y$2,Inputs!$K$4:$AJ$4,0)))+SUMPRODUCT((Inputs!$C$5:$C$130=$B36)*Inputs!$D$5:$D$130*(((Inputs!$G$5:$G$130="moeda")+(Inputs!$G$5:$G$130="acoes"))*Inputs!$B$1+((Inputs!$G$5:$G$130&lt;&gt;"moeda")*(Inputs!$G$5:$G$130&lt;&gt;"acoes")))*INDEX(Inputs!$K$5:$AJ$130,0,MATCH(Y$2,Inputs!$K$4:$AJ$4,0)))+SUMPRODUCT((Inputs!$E$5:$E$130=$B36)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36" s="265" t="e">
        <f>IF(ISNA(MATCH(Z$2,Inputs!$K$4:$AJ$4,0)),NA(),IF(SUMPRODUCT((Inputs!$A$5:$A$130=$B36)*ISNUMBER(INDEX(Inputs!$K$5:$AJ$130,0,MATCH(Z$2,Inputs!$K$4:$AJ$4,0))))+SUMPRODUCT((Inputs!$C$5:$C$130=$B36)*ISNUMBER(INDEX(Inputs!$K$5:$AJ$130,0,MATCH(Z$2,Inputs!$K$4:$AJ$4,0))))+SUMPRODUCT((Inputs!$E$5:$E$130=$B36)*ISNUMBER(INDEX(Inputs!$K$5:$AJ$130,0,MATCH(Z$2,Inputs!$K$4:$AJ$4,0))))=0,NA(),SUMPRODUCT((Inputs!$A$5:$A$130=$B36)*Inputs!$B$5:$B$130*(((Inputs!$G$5:$G$130="moeda")+(Inputs!$G$5:$G$130="acoes"))*Inputs!$B$1+((Inputs!$G$5:$G$130&lt;&gt;"moeda")*(Inputs!$G$5:$G$130&lt;&gt;"acoes")))*INDEX(Inputs!$K$5:$AJ$130,0,MATCH(Z$2,Inputs!$K$4:$AJ$4,0)))+SUMPRODUCT((Inputs!$C$5:$C$130=$B36)*Inputs!$D$5:$D$130*(((Inputs!$G$5:$G$130="moeda")+(Inputs!$G$5:$G$130="acoes"))*Inputs!$B$1+((Inputs!$G$5:$G$130&lt;&gt;"moeda")*(Inputs!$G$5:$G$130&lt;&gt;"acoes")))*INDEX(Inputs!$K$5:$AJ$130,0,MATCH(Z$2,Inputs!$K$4:$AJ$4,0)))+SUMPRODUCT((Inputs!$E$5:$E$130=$B36)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36" s="265" t="e">
        <f>IF(ISNA(MATCH(AA$2,Inputs!$K$4:$AJ$4,0)),NA(),IF(SUMPRODUCT((Inputs!$A$5:$A$130=$B36)*ISNUMBER(INDEX(Inputs!$K$5:$AJ$130,0,MATCH(AA$2,Inputs!$K$4:$AJ$4,0))))+SUMPRODUCT((Inputs!$C$5:$C$130=$B36)*ISNUMBER(INDEX(Inputs!$K$5:$AJ$130,0,MATCH(AA$2,Inputs!$K$4:$AJ$4,0))))+SUMPRODUCT((Inputs!$E$5:$E$130=$B36)*ISNUMBER(INDEX(Inputs!$K$5:$AJ$130,0,MATCH(AA$2,Inputs!$K$4:$AJ$4,0))))=0,NA(),SUMPRODUCT((Inputs!$A$5:$A$130=$B36)*Inputs!$B$5:$B$130*(((Inputs!$G$5:$G$130="moeda")+(Inputs!$G$5:$G$130="acoes"))*Inputs!$B$1+((Inputs!$G$5:$G$130&lt;&gt;"moeda")*(Inputs!$G$5:$G$130&lt;&gt;"acoes")))*INDEX(Inputs!$K$5:$AJ$130,0,MATCH(AA$2,Inputs!$K$4:$AJ$4,0)))+SUMPRODUCT((Inputs!$C$5:$C$130=$B36)*Inputs!$D$5:$D$130*(((Inputs!$G$5:$G$130="moeda")+(Inputs!$G$5:$G$130="acoes"))*Inputs!$B$1+((Inputs!$G$5:$G$130&lt;&gt;"moeda")*(Inputs!$G$5:$G$130&lt;&gt;"acoes")))*INDEX(Inputs!$K$5:$AJ$130,0,MATCH(AA$2,Inputs!$K$4:$AJ$4,0)))+SUMPRODUCT((Inputs!$E$5:$E$130=$B36)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36" s="266" t="e">
        <f>AA36</f>
        <v>#N/A</v>
      </c>
      <c r="AC36" s="265" t="e">
        <f>IF(ISNA(MATCH(AC$2,Inputs!$K$4:$AJ$4,0)),NA(),IF(SUMPRODUCT((Inputs!$A$5:$A$130=$B36)*ISNUMBER(INDEX(Inputs!$K$5:$AJ$130,0,MATCH(AC$2,Inputs!$K$4:$AJ$4,0))))+SUMPRODUCT((Inputs!$C$5:$C$130=$B36)*ISNUMBER(INDEX(Inputs!$K$5:$AJ$130,0,MATCH(AC$2,Inputs!$K$4:$AJ$4,0))))+SUMPRODUCT((Inputs!$E$5:$E$130=$B36)*ISNUMBER(INDEX(Inputs!$K$5:$AJ$130,0,MATCH(AC$2,Inputs!$K$4:$AJ$4,0))))=0,NA(),SUMPRODUCT((Inputs!$A$5:$A$130=$B36)*Inputs!$B$5:$B$130*(((Inputs!$G$5:$G$130="moeda")+(Inputs!$G$5:$G$130="acoes"))*Inputs!$B$1+((Inputs!$G$5:$G$130&lt;&gt;"moeda")*(Inputs!$G$5:$G$130&lt;&gt;"acoes")))*INDEX(Inputs!$K$5:$AJ$130,0,MATCH(AC$2,Inputs!$K$4:$AJ$4,0)))+SUMPRODUCT((Inputs!$C$5:$C$130=$B36)*Inputs!$D$5:$D$130*(((Inputs!$G$5:$G$130="moeda")+(Inputs!$G$5:$G$130="acoes"))*Inputs!$B$1+((Inputs!$G$5:$G$130&lt;&gt;"moeda")*(Inputs!$G$5:$G$130&lt;&gt;"acoes")))*INDEX(Inputs!$K$5:$AJ$130,0,MATCH(AC$2,Inputs!$K$4:$AJ$4,0)))+SUMPRODUCT((Inputs!$E$5:$E$130=$B36)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36" s="265" t="e">
        <f>IF(ISNA(MATCH(AD$2,Inputs!$K$4:$AJ$4,0)),NA(),IF(SUMPRODUCT((Inputs!$A$5:$A$130=$B36)*ISNUMBER(INDEX(Inputs!$K$5:$AJ$130,0,MATCH(AD$2,Inputs!$K$4:$AJ$4,0))))+SUMPRODUCT((Inputs!$C$5:$C$130=$B36)*ISNUMBER(INDEX(Inputs!$K$5:$AJ$130,0,MATCH(AD$2,Inputs!$K$4:$AJ$4,0))))+SUMPRODUCT((Inputs!$E$5:$E$130=$B36)*ISNUMBER(INDEX(Inputs!$K$5:$AJ$130,0,MATCH(AD$2,Inputs!$K$4:$AJ$4,0))))=0,NA(),SUMPRODUCT((Inputs!$A$5:$A$130=$B36)*Inputs!$B$5:$B$130*(((Inputs!$G$5:$G$130="moeda")+(Inputs!$G$5:$G$130="acoes"))*Inputs!$B$1+((Inputs!$G$5:$G$130&lt;&gt;"moeda")*(Inputs!$G$5:$G$130&lt;&gt;"acoes")))*INDEX(Inputs!$K$5:$AJ$130,0,MATCH(AD$2,Inputs!$K$4:$AJ$4,0)))+SUMPRODUCT((Inputs!$C$5:$C$130=$B36)*Inputs!$D$5:$D$130*(((Inputs!$G$5:$G$130="moeda")+(Inputs!$G$5:$G$130="acoes"))*Inputs!$B$1+((Inputs!$G$5:$G$130&lt;&gt;"moeda")*(Inputs!$G$5:$G$130&lt;&gt;"acoes")))*INDEX(Inputs!$K$5:$AJ$130,0,MATCH(AD$2,Inputs!$K$4:$AJ$4,0)))+SUMPRODUCT((Inputs!$E$5:$E$130=$B36)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36" s="265" t="e">
        <f>IF(ISNA(MATCH(AE$2,Inputs!$K$4:$AJ$4,0)),NA(),IF(SUMPRODUCT((Inputs!$A$5:$A$130=$B36)*ISNUMBER(INDEX(Inputs!$K$5:$AJ$130,0,MATCH(AE$2,Inputs!$K$4:$AJ$4,0))))+SUMPRODUCT((Inputs!$C$5:$C$130=$B36)*ISNUMBER(INDEX(Inputs!$K$5:$AJ$130,0,MATCH(AE$2,Inputs!$K$4:$AJ$4,0))))+SUMPRODUCT((Inputs!$E$5:$E$130=$B36)*ISNUMBER(INDEX(Inputs!$K$5:$AJ$130,0,MATCH(AE$2,Inputs!$K$4:$AJ$4,0))))=0,NA(),SUMPRODUCT((Inputs!$A$5:$A$130=$B36)*Inputs!$B$5:$B$130*(((Inputs!$G$5:$G$130="moeda")+(Inputs!$G$5:$G$130="acoes"))*Inputs!$B$1+((Inputs!$G$5:$G$130&lt;&gt;"moeda")*(Inputs!$G$5:$G$130&lt;&gt;"acoes")))*INDEX(Inputs!$K$5:$AJ$130,0,MATCH(AE$2,Inputs!$K$4:$AJ$4,0)))+SUMPRODUCT((Inputs!$C$5:$C$130=$B36)*Inputs!$D$5:$D$130*(((Inputs!$G$5:$G$130="moeda")+(Inputs!$G$5:$G$130="acoes"))*Inputs!$B$1+((Inputs!$G$5:$G$130&lt;&gt;"moeda")*(Inputs!$G$5:$G$130&lt;&gt;"acoes")))*INDEX(Inputs!$K$5:$AJ$130,0,MATCH(AE$2,Inputs!$K$4:$AJ$4,0)))+SUMPRODUCT((Inputs!$E$5:$E$130=$B36)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6" s="265" t="e">
        <f>IF(ISNA(MATCH(AF$2,Inputs!$K$4:$AJ$4,0)),NA(),IF(SUMPRODUCT((Inputs!$A$5:$A$130=$B36)*ISNUMBER(INDEX(Inputs!$K$5:$AJ$130,0,MATCH(AF$2,Inputs!$K$4:$AJ$4,0))))+SUMPRODUCT((Inputs!$C$5:$C$130=$B36)*ISNUMBER(INDEX(Inputs!$K$5:$AJ$130,0,MATCH(AF$2,Inputs!$K$4:$AJ$4,0))))+SUMPRODUCT((Inputs!$E$5:$E$130=$B36)*ISNUMBER(INDEX(Inputs!$K$5:$AJ$130,0,MATCH(AF$2,Inputs!$K$4:$AJ$4,0))))=0,NA(),SUMPRODUCT((Inputs!$A$5:$A$130=$B36)*Inputs!$B$5:$B$130*(((Inputs!$G$5:$G$130="moeda")+(Inputs!$G$5:$G$130="acoes"))*Inputs!$B$1+((Inputs!$G$5:$G$130&lt;&gt;"moeda")*(Inputs!$G$5:$G$130&lt;&gt;"acoes")))*INDEX(Inputs!$K$5:$AJ$130,0,MATCH(AF$2,Inputs!$K$4:$AJ$4,0)))+SUMPRODUCT((Inputs!$C$5:$C$130=$B36)*Inputs!$D$5:$D$130*(((Inputs!$G$5:$G$130="moeda")+(Inputs!$G$5:$G$130="acoes"))*Inputs!$B$1+((Inputs!$G$5:$G$130&lt;&gt;"moeda")*(Inputs!$G$5:$G$130&lt;&gt;"acoes")))*INDEX(Inputs!$K$5:$AJ$130,0,MATCH(AF$2,Inputs!$K$4:$AJ$4,0)))+SUMPRODUCT((Inputs!$E$5:$E$130=$B36)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6" s="266" t="e">
        <f>AF36</f>
        <v>#N/A</v>
      </c>
      <c r="AH36" s="265" t="e">
        <f>IF(ISNA(MATCH(AH$2,Inputs!$K$4:$AJ$4,0)),NA(),IF(SUMPRODUCT((Inputs!$A$5:$A$130=$B36)*ISNUMBER(INDEX(Inputs!$K$5:$AJ$130,0,MATCH(AH$2,Inputs!$K$4:$AJ$4,0))))+SUMPRODUCT((Inputs!$C$5:$C$130=$B36)*ISNUMBER(INDEX(Inputs!$K$5:$AJ$130,0,MATCH(AH$2,Inputs!$K$4:$AJ$4,0))))+SUMPRODUCT((Inputs!$E$5:$E$130=$B36)*ISNUMBER(INDEX(Inputs!$K$5:$AJ$130,0,MATCH(AH$2,Inputs!$K$4:$AJ$4,0))))=0,NA(),SUMPRODUCT((Inputs!$A$5:$A$130=$B36)*Inputs!$B$5:$B$130*(((Inputs!$G$5:$G$130="moeda")+(Inputs!$G$5:$G$130="acoes"))*Inputs!$B$1+((Inputs!$G$5:$G$130&lt;&gt;"moeda")*(Inputs!$G$5:$G$130&lt;&gt;"acoes")))*INDEX(Inputs!$K$5:$AJ$130,0,MATCH(AH$2,Inputs!$K$4:$AJ$4,0)))+SUMPRODUCT((Inputs!$C$5:$C$130=$B36)*Inputs!$D$5:$D$130*(((Inputs!$G$5:$G$130="moeda")+(Inputs!$G$5:$G$130="acoes"))*Inputs!$B$1+((Inputs!$G$5:$G$130&lt;&gt;"moeda")*(Inputs!$G$5:$G$130&lt;&gt;"acoes")))*INDEX(Inputs!$K$5:$AJ$130,0,MATCH(AH$2,Inputs!$K$4:$AJ$4,0)))+SUMPRODUCT((Inputs!$E$5:$E$130=$B36)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36" s="265" t="e">
        <f>IF(ISNA(MATCH(AI$2,Inputs!$K$4:$AJ$4,0)),NA(),IF(SUMPRODUCT((Inputs!$A$5:$A$130=$B36)*ISNUMBER(INDEX(Inputs!$K$5:$AJ$130,0,MATCH(AI$2,Inputs!$K$4:$AJ$4,0))))+SUMPRODUCT((Inputs!$C$5:$C$130=$B36)*ISNUMBER(INDEX(Inputs!$K$5:$AJ$130,0,MATCH(AI$2,Inputs!$K$4:$AJ$4,0))))+SUMPRODUCT((Inputs!$E$5:$E$130=$B36)*ISNUMBER(INDEX(Inputs!$K$5:$AJ$130,0,MATCH(AI$2,Inputs!$K$4:$AJ$4,0))))=0,NA(),SUMPRODUCT((Inputs!$A$5:$A$130=$B36)*Inputs!$B$5:$B$130*(((Inputs!$G$5:$G$130="moeda")+(Inputs!$G$5:$G$130="acoes"))*Inputs!$B$1+((Inputs!$G$5:$G$130&lt;&gt;"moeda")*(Inputs!$G$5:$G$130&lt;&gt;"acoes")))*INDEX(Inputs!$K$5:$AJ$130,0,MATCH(AI$2,Inputs!$K$4:$AJ$4,0)))+SUMPRODUCT((Inputs!$C$5:$C$130=$B36)*Inputs!$D$5:$D$130*(((Inputs!$G$5:$G$130="moeda")+(Inputs!$G$5:$G$130="acoes"))*Inputs!$B$1+((Inputs!$G$5:$G$130&lt;&gt;"moeda")*(Inputs!$G$5:$G$130&lt;&gt;"acoes")))*INDEX(Inputs!$K$5:$AJ$130,0,MATCH(AI$2,Inputs!$K$4:$AJ$4,0)))+SUMPRODUCT((Inputs!$E$5:$E$130=$B36)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36" s="265" t="e">
        <f>IF(ISNA(MATCH(AJ$2,Inputs!$K$4:$AJ$4,0)),NA(),IF(SUMPRODUCT((Inputs!$A$5:$A$130=$B36)*ISNUMBER(INDEX(Inputs!$K$5:$AJ$130,0,MATCH(AJ$2,Inputs!$K$4:$AJ$4,0))))+SUMPRODUCT((Inputs!$C$5:$C$130=$B36)*ISNUMBER(INDEX(Inputs!$K$5:$AJ$130,0,MATCH(AJ$2,Inputs!$K$4:$AJ$4,0))))+SUMPRODUCT((Inputs!$E$5:$E$130=$B36)*ISNUMBER(INDEX(Inputs!$K$5:$AJ$130,0,MATCH(AJ$2,Inputs!$K$4:$AJ$4,0))))=0,NA(),SUMPRODUCT((Inputs!$A$5:$A$130=$B36)*Inputs!$B$5:$B$130*(((Inputs!$G$5:$G$130="moeda")+(Inputs!$G$5:$G$130="acoes"))*Inputs!$B$1+((Inputs!$G$5:$G$130&lt;&gt;"moeda")*(Inputs!$G$5:$G$130&lt;&gt;"acoes")))*INDEX(Inputs!$K$5:$AJ$130,0,MATCH(AJ$2,Inputs!$K$4:$AJ$4,0)))+SUMPRODUCT((Inputs!$C$5:$C$130=$B36)*Inputs!$D$5:$D$130*(((Inputs!$G$5:$G$130="moeda")+(Inputs!$G$5:$G$130="acoes"))*Inputs!$B$1+((Inputs!$G$5:$G$130&lt;&gt;"moeda")*(Inputs!$G$5:$G$130&lt;&gt;"acoes")))*INDEX(Inputs!$K$5:$AJ$130,0,MATCH(AJ$2,Inputs!$K$4:$AJ$4,0)))+SUMPRODUCT((Inputs!$E$5:$E$130=$B36)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36" s="265" t="e">
        <f>IF(ISNA(MATCH(AK$2,Inputs!$K$4:$AJ$4,0)),NA(),IF(SUMPRODUCT((Inputs!$A$5:$A$130=$B36)*ISNUMBER(INDEX(Inputs!$K$5:$AJ$130,0,MATCH(AK$2,Inputs!$K$4:$AJ$4,0))))+SUMPRODUCT((Inputs!$C$5:$C$130=$B36)*ISNUMBER(INDEX(Inputs!$K$5:$AJ$130,0,MATCH(AK$2,Inputs!$K$4:$AJ$4,0))))+SUMPRODUCT((Inputs!$E$5:$E$130=$B36)*ISNUMBER(INDEX(Inputs!$K$5:$AJ$130,0,MATCH(AK$2,Inputs!$K$4:$AJ$4,0))))=0,NA(),SUMPRODUCT((Inputs!$A$5:$A$130=$B36)*Inputs!$B$5:$B$130*(((Inputs!$G$5:$G$130="moeda")+(Inputs!$G$5:$G$130="acoes"))*Inputs!$B$1+((Inputs!$G$5:$G$130&lt;&gt;"moeda")*(Inputs!$G$5:$G$130&lt;&gt;"acoes")))*INDEX(Inputs!$K$5:$AJ$130,0,MATCH(AK$2,Inputs!$K$4:$AJ$4,0)))+SUMPRODUCT((Inputs!$C$5:$C$130=$B36)*Inputs!$D$5:$D$130*(((Inputs!$G$5:$G$130="moeda")+(Inputs!$G$5:$G$130="acoes"))*Inputs!$B$1+((Inputs!$G$5:$G$130&lt;&gt;"moeda")*(Inputs!$G$5:$G$130&lt;&gt;"acoes")))*INDEX(Inputs!$K$5:$AJ$130,0,MATCH(AK$2,Inputs!$K$4:$AJ$4,0)))+SUMPRODUCT((Inputs!$E$5:$E$130=$B36)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36" s="266" t="e">
        <f>AK36</f>
        <v>#N/A</v>
      </c>
    </row>
    <row r="37" ht="12.75" customHeight="1" s="254">
      <c r="B37" s="263" t="n">
        <v>32</v>
      </c>
      <c r="C37" s="268" t="inlineStr">
        <is>
          <t>Convertible debt</t>
        </is>
      </c>
      <c r="D37" s="265" t="e">
        <f>IF(ISNA(MATCH(D$2,Inputs!$K$4:$AJ$4,0)),NA(),IF(SUMPRODUCT((Inputs!$A$5:$A$130=$B37)*ISNUMBER(INDEX(Inputs!$K$5:$AJ$130,0,MATCH(D$2,Inputs!$K$4:$AJ$4,0))))+SUMPRODUCT((Inputs!$C$5:$C$130=$B37)*ISNUMBER(INDEX(Inputs!$K$5:$AJ$130,0,MATCH(D$2,Inputs!$K$4:$AJ$4,0))))+SUMPRODUCT((Inputs!$E$5:$E$130=$B37)*ISNUMBER(INDEX(Inputs!$K$5:$AJ$130,0,MATCH(D$2,Inputs!$K$4:$AJ$4,0))))=0,NA(),SUMPRODUCT((Inputs!$A$5:$A$130=$B37)*Inputs!$B$5:$B$130*(((Inputs!$G$5:$G$130="moeda")+(Inputs!$G$5:$G$130="acoes"))*Inputs!$B$1+((Inputs!$G$5:$G$130&lt;&gt;"moeda")*(Inputs!$G$5:$G$130&lt;&gt;"acoes")))*INDEX(Inputs!$K$5:$AJ$130,0,MATCH(D$2,Inputs!$K$4:$AJ$4,0)))+SUMPRODUCT((Inputs!$C$5:$C$130=$B37)*Inputs!$D$5:$D$130*(((Inputs!$G$5:$G$130="moeda")+(Inputs!$G$5:$G$130="acoes"))*Inputs!$B$1+((Inputs!$G$5:$G$130&lt;&gt;"moeda")*(Inputs!$G$5:$G$130&lt;&gt;"acoes")))*INDEX(Inputs!$K$5:$AJ$130,0,MATCH(D$2,Inputs!$K$4:$AJ$4,0)))+SUMPRODUCT((Inputs!$E$5:$E$130=$B37)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37" s="265" t="e">
        <f>IF(ISNA(MATCH(E$2,Inputs!$K$4:$AJ$4,0)),NA(),IF(SUMPRODUCT((Inputs!$A$5:$A$130=$B37)*ISNUMBER(INDEX(Inputs!$K$5:$AJ$130,0,MATCH(E$2,Inputs!$K$4:$AJ$4,0))))+SUMPRODUCT((Inputs!$C$5:$C$130=$B37)*ISNUMBER(INDEX(Inputs!$K$5:$AJ$130,0,MATCH(E$2,Inputs!$K$4:$AJ$4,0))))+SUMPRODUCT((Inputs!$E$5:$E$130=$B37)*ISNUMBER(INDEX(Inputs!$K$5:$AJ$130,0,MATCH(E$2,Inputs!$K$4:$AJ$4,0))))=0,NA(),SUMPRODUCT((Inputs!$A$5:$A$130=$B37)*Inputs!$B$5:$B$130*(((Inputs!$G$5:$G$130="moeda")+(Inputs!$G$5:$G$130="acoes"))*Inputs!$B$1+((Inputs!$G$5:$G$130&lt;&gt;"moeda")*(Inputs!$G$5:$G$130&lt;&gt;"acoes")))*INDEX(Inputs!$K$5:$AJ$130,0,MATCH(E$2,Inputs!$K$4:$AJ$4,0)))+SUMPRODUCT((Inputs!$C$5:$C$130=$B37)*Inputs!$D$5:$D$130*(((Inputs!$G$5:$G$130="moeda")+(Inputs!$G$5:$G$130="acoes"))*Inputs!$B$1+((Inputs!$G$5:$G$130&lt;&gt;"moeda")*(Inputs!$G$5:$G$130&lt;&gt;"acoes")))*INDEX(Inputs!$K$5:$AJ$130,0,MATCH(E$2,Inputs!$K$4:$AJ$4,0)))+SUMPRODUCT((Inputs!$E$5:$E$130=$B37)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37" s="265" t="e">
        <f>IF(ISNA(MATCH(F$2,Inputs!$K$4:$AJ$4,0)),NA(),IF(SUMPRODUCT((Inputs!$A$5:$A$130=$B37)*ISNUMBER(INDEX(Inputs!$K$5:$AJ$130,0,MATCH(F$2,Inputs!$K$4:$AJ$4,0))))+SUMPRODUCT((Inputs!$C$5:$C$130=$B37)*ISNUMBER(INDEX(Inputs!$K$5:$AJ$130,0,MATCH(F$2,Inputs!$K$4:$AJ$4,0))))+SUMPRODUCT((Inputs!$E$5:$E$130=$B37)*ISNUMBER(INDEX(Inputs!$K$5:$AJ$130,0,MATCH(F$2,Inputs!$K$4:$AJ$4,0))))=0,NA(),SUMPRODUCT((Inputs!$A$5:$A$130=$B37)*Inputs!$B$5:$B$130*(((Inputs!$G$5:$G$130="moeda")+(Inputs!$G$5:$G$130="acoes"))*Inputs!$B$1+((Inputs!$G$5:$G$130&lt;&gt;"moeda")*(Inputs!$G$5:$G$130&lt;&gt;"acoes")))*INDEX(Inputs!$K$5:$AJ$130,0,MATCH(F$2,Inputs!$K$4:$AJ$4,0)))+SUMPRODUCT((Inputs!$C$5:$C$130=$B37)*Inputs!$D$5:$D$130*(((Inputs!$G$5:$G$130="moeda")+(Inputs!$G$5:$G$130="acoes"))*Inputs!$B$1+((Inputs!$G$5:$G$130&lt;&gt;"moeda")*(Inputs!$G$5:$G$130&lt;&gt;"acoes")))*INDEX(Inputs!$K$5:$AJ$130,0,MATCH(F$2,Inputs!$K$4:$AJ$4,0)))+SUMPRODUCT((Inputs!$E$5:$E$130=$B37)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37" s="265" t="e">
        <f>IF(ISNA(MATCH(G$2,Inputs!$K$4:$AJ$4,0)),NA(),IF(SUMPRODUCT((Inputs!$A$5:$A$130=$B37)*ISNUMBER(INDEX(Inputs!$K$5:$AJ$130,0,MATCH(G$2,Inputs!$K$4:$AJ$4,0))))+SUMPRODUCT((Inputs!$C$5:$C$130=$B37)*ISNUMBER(INDEX(Inputs!$K$5:$AJ$130,0,MATCH(G$2,Inputs!$K$4:$AJ$4,0))))+SUMPRODUCT((Inputs!$E$5:$E$130=$B37)*ISNUMBER(INDEX(Inputs!$K$5:$AJ$130,0,MATCH(G$2,Inputs!$K$4:$AJ$4,0))))=0,NA(),SUMPRODUCT((Inputs!$A$5:$A$130=$B37)*Inputs!$B$5:$B$130*(((Inputs!$G$5:$G$130="moeda")+(Inputs!$G$5:$G$130="acoes"))*Inputs!$B$1+((Inputs!$G$5:$G$130&lt;&gt;"moeda")*(Inputs!$G$5:$G$130&lt;&gt;"acoes")))*INDEX(Inputs!$K$5:$AJ$130,0,MATCH(G$2,Inputs!$K$4:$AJ$4,0)))+SUMPRODUCT((Inputs!$C$5:$C$130=$B37)*Inputs!$D$5:$D$130*(((Inputs!$G$5:$G$130="moeda")+(Inputs!$G$5:$G$130="acoes"))*Inputs!$B$1+((Inputs!$G$5:$G$130&lt;&gt;"moeda")*(Inputs!$G$5:$G$130&lt;&gt;"acoes")))*INDEX(Inputs!$K$5:$AJ$130,0,MATCH(G$2,Inputs!$K$4:$AJ$4,0)))+SUMPRODUCT((Inputs!$E$5:$E$130=$B37)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37" s="266" t="e">
        <f>G37</f>
        <v>#N/A</v>
      </c>
      <c r="I37" s="265" t="e">
        <f>IF(ISNA(MATCH(I$2,Inputs!$K$4:$AJ$4,0)),NA(),IF(SUMPRODUCT((Inputs!$A$5:$A$130=$B37)*ISNUMBER(INDEX(Inputs!$K$5:$AJ$130,0,MATCH(I$2,Inputs!$K$4:$AJ$4,0))))+SUMPRODUCT((Inputs!$C$5:$C$130=$B37)*ISNUMBER(INDEX(Inputs!$K$5:$AJ$130,0,MATCH(I$2,Inputs!$K$4:$AJ$4,0))))+SUMPRODUCT((Inputs!$E$5:$E$130=$B37)*ISNUMBER(INDEX(Inputs!$K$5:$AJ$130,0,MATCH(I$2,Inputs!$K$4:$AJ$4,0))))=0,NA(),SUMPRODUCT((Inputs!$A$5:$A$130=$B37)*Inputs!$B$5:$B$130*(((Inputs!$G$5:$G$130="moeda")+(Inputs!$G$5:$G$130="acoes"))*Inputs!$B$1+((Inputs!$G$5:$G$130&lt;&gt;"moeda")*(Inputs!$G$5:$G$130&lt;&gt;"acoes")))*INDEX(Inputs!$K$5:$AJ$130,0,MATCH(I$2,Inputs!$K$4:$AJ$4,0)))+SUMPRODUCT((Inputs!$C$5:$C$130=$B37)*Inputs!$D$5:$D$130*(((Inputs!$G$5:$G$130="moeda")+(Inputs!$G$5:$G$130="acoes"))*Inputs!$B$1+((Inputs!$G$5:$G$130&lt;&gt;"moeda")*(Inputs!$G$5:$G$130&lt;&gt;"acoes")))*INDEX(Inputs!$K$5:$AJ$130,0,MATCH(I$2,Inputs!$K$4:$AJ$4,0)))+SUMPRODUCT((Inputs!$E$5:$E$130=$B37)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37" s="265" t="e">
        <f>IF(ISNA(MATCH(J$2,Inputs!$K$4:$AJ$4,0)),NA(),IF(SUMPRODUCT((Inputs!$A$5:$A$130=$B37)*ISNUMBER(INDEX(Inputs!$K$5:$AJ$130,0,MATCH(J$2,Inputs!$K$4:$AJ$4,0))))+SUMPRODUCT((Inputs!$C$5:$C$130=$B37)*ISNUMBER(INDEX(Inputs!$K$5:$AJ$130,0,MATCH(J$2,Inputs!$K$4:$AJ$4,0))))+SUMPRODUCT((Inputs!$E$5:$E$130=$B37)*ISNUMBER(INDEX(Inputs!$K$5:$AJ$130,0,MATCH(J$2,Inputs!$K$4:$AJ$4,0))))=0,NA(),SUMPRODUCT((Inputs!$A$5:$A$130=$B37)*Inputs!$B$5:$B$130*(((Inputs!$G$5:$G$130="moeda")+(Inputs!$G$5:$G$130="acoes"))*Inputs!$B$1+((Inputs!$G$5:$G$130&lt;&gt;"moeda")*(Inputs!$G$5:$G$130&lt;&gt;"acoes")))*INDEX(Inputs!$K$5:$AJ$130,0,MATCH(J$2,Inputs!$K$4:$AJ$4,0)))+SUMPRODUCT((Inputs!$C$5:$C$130=$B37)*Inputs!$D$5:$D$130*(((Inputs!$G$5:$G$130="moeda")+(Inputs!$G$5:$G$130="acoes"))*Inputs!$B$1+((Inputs!$G$5:$G$130&lt;&gt;"moeda")*(Inputs!$G$5:$G$130&lt;&gt;"acoes")))*INDEX(Inputs!$K$5:$AJ$130,0,MATCH(J$2,Inputs!$K$4:$AJ$4,0)))+SUMPRODUCT((Inputs!$E$5:$E$130=$B37)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37" s="265" t="e">
        <f>IF(ISNA(MATCH(K$2,Inputs!$K$4:$AJ$4,0)),NA(),IF(SUMPRODUCT((Inputs!$A$5:$A$130=$B37)*ISNUMBER(INDEX(Inputs!$K$5:$AJ$130,0,MATCH(K$2,Inputs!$K$4:$AJ$4,0))))+SUMPRODUCT((Inputs!$C$5:$C$130=$B37)*ISNUMBER(INDEX(Inputs!$K$5:$AJ$130,0,MATCH(K$2,Inputs!$K$4:$AJ$4,0))))+SUMPRODUCT((Inputs!$E$5:$E$130=$B37)*ISNUMBER(INDEX(Inputs!$K$5:$AJ$130,0,MATCH(K$2,Inputs!$K$4:$AJ$4,0))))=0,NA(),SUMPRODUCT((Inputs!$A$5:$A$130=$B37)*Inputs!$B$5:$B$130*(((Inputs!$G$5:$G$130="moeda")+(Inputs!$G$5:$G$130="acoes"))*Inputs!$B$1+((Inputs!$G$5:$G$130&lt;&gt;"moeda")*(Inputs!$G$5:$G$130&lt;&gt;"acoes")))*INDEX(Inputs!$K$5:$AJ$130,0,MATCH(K$2,Inputs!$K$4:$AJ$4,0)))+SUMPRODUCT((Inputs!$C$5:$C$130=$B37)*Inputs!$D$5:$D$130*(((Inputs!$G$5:$G$130="moeda")+(Inputs!$G$5:$G$130="acoes"))*Inputs!$B$1+((Inputs!$G$5:$G$130&lt;&gt;"moeda")*(Inputs!$G$5:$G$130&lt;&gt;"acoes")))*INDEX(Inputs!$K$5:$AJ$130,0,MATCH(K$2,Inputs!$K$4:$AJ$4,0)))+SUMPRODUCT((Inputs!$E$5:$E$130=$B37)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37" s="265" t="e">
        <f>IF(ISNA(MATCH(L$2,Inputs!$K$4:$AJ$4,0)),NA(),IF(SUMPRODUCT((Inputs!$A$5:$A$130=$B37)*ISNUMBER(INDEX(Inputs!$K$5:$AJ$130,0,MATCH(L$2,Inputs!$K$4:$AJ$4,0))))+SUMPRODUCT((Inputs!$C$5:$C$130=$B37)*ISNUMBER(INDEX(Inputs!$K$5:$AJ$130,0,MATCH(L$2,Inputs!$K$4:$AJ$4,0))))+SUMPRODUCT((Inputs!$E$5:$E$130=$B37)*ISNUMBER(INDEX(Inputs!$K$5:$AJ$130,0,MATCH(L$2,Inputs!$K$4:$AJ$4,0))))=0,NA(),SUMPRODUCT((Inputs!$A$5:$A$130=$B37)*Inputs!$B$5:$B$130*(((Inputs!$G$5:$G$130="moeda")+(Inputs!$G$5:$G$130="acoes"))*Inputs!$B$1+((Inputs!$G$5:$G$130&lt;&gt;"moeda")*(Inputs!$G$5:$G$130&lt;&gt;"acoes")))*INDEX(Inputs!$K$5:$AJ$130,0,MATCH(L$2,Inputs!$K$4:$AJ$4,0)))+SUMPRODUCT((Inputs!$C$5:$C$130=$B37)*Inputs!$D$5:$D$130*(((Inputs!$G$5:$G$130="moeda")+(Inputs!$G$5:$G$130="acoes"))*Inputs!$B$1+((Inputs!$G$5:$G$130&lt;&gt;"moeda")*(Inputs!$G$5:$G$130&lt;&gt;"acoes")))*INDEX(Inputs!$K$5:$AJ$130,0,MATCH(L$2,Inputs!$K$4:$AJ$4,0)))+SUMPRODUCT((Inputs!$E$5:$E$130=$B37)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37" s="266" t="e">
        <f>L37</f>
        <v>#N/A</v>
      </c>
      <c r="N37" s="265" t="e">
        <f>IF(ISNA(MATCH(N$2,Inputs!$K$4:$AJ$4,0)),NA(),IF(SUMPRODUCT((Inputs!$A$5:$A$130=$B37)*ISNUMBER(INDEX(Inputs!$K$5:$AJ$130,0,MATCH(N$2,Inputs!$K$4:$AJ$4,0))))+SUMPRODUCT((Inputs!$C$5:$C$130=$B37)*ISNUMBER(INDEX(Inputs!$K$5:$AJ$130,0,MATCH(N$2,Inputs!$K$4:$AJ$4,0))))+SUMPRODUCT((Inputs!$E$5:$E$130=$B37)*ISNUMBER(INDEX(Inputs!$K$5:$AJ$130,0,MATCH(N$2,Inputs!$K$4:$AJ$4,0))))=0,NA(),SUMPRODUCT((Inputs!$A$5:$A$130=$B37)*Inputs!$B$5:$B$130*(((Inputs!$G$5:$G$130="moeda")+(Inputs!$G$5:$G$130="acoes"))*Inputs!$B$1+((Inputs!$G$5:$G$130&lt;&gt;"moeda")*(Inputs!$G$5:$G$130&lt;&gt;"acoes")))*INDEX(Inputs!$K$5:$AJ$130,0,MATCH(N$2,Inputs!$K$4:$AJ$4,0)))+SUMPRODUCT((Inputs!$C$5:$C$130=$B37)*Inputs!$D$5:$D$130*(((Inputs!$G$5:$G$130="moeda")+(Inputs!$G$5:$G$130="acoes"))*Inputs!$B$1+((Inputs!$G$5:$G$130&lt;&gt;"moeda")*(Inputs!$G$5:$G$130&lt;&gt;"acoes")))*INDEX(Inputs!$K$5:$AJ$130,0,MATCH(N$2,Inputs!$K$4:$AJ$4,0)))+SUMPRODUCT((Inputs!$E$5:$E$130=$B37)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37" s="265" t="e">
        <f>IF(ISNA(MATCH(O$2,Inputs!$K$4:$AJ$4,0)),NA(),IF(SUMPRODUCT((Inputs!$A$5:$A$130=$B37)*ISNUMBER(INDEX(Inputs!$K$5:$AJ$130,0,MATCH(O$2,Inputs!$K$4:$AJ$4,0))))+SUMPRODUCT((Inputs!$C$5:$C$130=$B37)*ISNUMBER(INDEX(Inputs!$K$5:$AJ$130,0,MATCH(O$2,Inputs!$K$4:$AJ$4,0))))+SUMPRODUCT((Inputs!$E$5:$E$130=$B37)*ISNUMBER(INDEX(Inputs!$K$5:$AJ$130,0,MATCH(O$2,Inputs!$K$4:$AJ$4,0))))=0,NA(),SUMPRODUCT((Inputs!$A$5:$A$130=$B37)*Inputs!$B$5:$B$130*(((Inputs!$G$5:$G$130="moeda")+(Inputs!$G$5:$G$130="acoes"))*Inputs!$B$1+((Inputs!$G$5:$G$130&lt;&gt;"moeda")*(Inputs!$G$5:$G$130&lt;&gt;"acoes")))*INDEX(Inputs!$K$5:$AJ$130,0,MATCH(O$2,Inputs!$K$4:$AJ$4,0)))+SUMPRODUCT((Inputs!$C$5:$C$130=$B37)*Inputs!$D$5:$D$130*(((Inputs!$G$5:$G$130="moeda")+(Inputs!$G$5:$G$130="acoes"))*Inputs!$B$1+((Inputs!$G$5:$G$130&lt;&gt;"moeda")*(Inputs!$G$5:$G$130&lt;&gt;"acoes")))*INDEX(Inputs!$K$5:$AJ$130,0,MATCH(O$2,Inputs!$K$4:$AJ$4,0)))+SUMPRODUCT((Inputs!$E$5:$E$130=$B37)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37" s="265" t="e">
        <f>IF(ISNA(MATCH(P$2,Inputs!$K$4:$AJ$4,0)),NA(),IF(SUMPRODUCT((Inputs!$A$5:$A$130=$B37)*ISNUMBER(INDEX(Inputs!$K$5:$AJ$130,0,MATCH(P$2,Inputs!$K$4:$AJ$4,0))))+SUMPRODUCT((Inputs!$C$5:$C$130=$B37)*ISNUMBER(INDEX(Inputs!$K$5:$AJ$130,0,MATCH(P$2,Inputs!$K$4:$AJ$4,0))))+SUMPRODUCT((Inputs!$E$5:$E$130=$B37)*ISNUMBER(INDEX(Inputs!$K$5:$AJ$130,0,MATCH(P$2,Inputs!$K$4:$AJ$4,0))))=0,NA(),SUMPRODUCT((Inputs!$A$5:$A$130=$B37)*Inputs!$B$5:$B$130*(((Inputs!$G$5:$G$130="moeda")+(Inputs!$G$5:$G$130="acoes"))*Inputs!$B$1+((Inputs!$G$5:$G$130&lt;&gt;"moeda")*(Inputs!$G$5:$G$130&lt;&gt;"acoes")))*INDEX(Inputs!$K$5:$AJ$130,0,MATCH(P$2,Inputs!$K$4:$AJ$4,0)))+SUMPRODUCT((Inputs!$C$5:$C$130=$B37)*Inputs!$D$5:$D$130*(((Inputs!$G$5:$G$130="moeda")+(Inputs!$G$5:$G$130="acoes"))*Inputs!$B$1+((Inputs!$G$5:$G$130&lt;&gt;"moeda")*(Inputs!$G$5:$G$130&lt;&gt;"acoes")))*INDEX(Inputs!$K$5:$AJ$130,0,MATCH(P$2,Inputs!$K$4:$AJ$4,0)))+SUMPRODUCT((Inputs!$E$5:$E$130=$B37)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37" s="265" t="e">
        <f>IF(ISNA(MATCH(Q$2,Inputs!$K$4:$AJ$4,0)),NA(),IF(SUMPRODUCT((Inputs!$A$5:$A$130=$B37)*ISNUMBER(INDEX(Inputs!$K$5:$AJ$130,0,MATCH(Q$2,Inputs!$K$4:$AJ$4,0))))+SUMPRODUCT((Inputs!$C$5:$C$130=$B37)*ISNUMBER(INDEX(Inputs!$K$5:$AJ$130,0,MATCH(Q$2,Inputs!$K$4:$AJ$4,0))))+SUMPRODUCT((Inputs!$E$5:$E$130=$B37)*ISNUMBER(INDEX(Inputs!$K$5:$AJ$130,0,MATCH(Q$2,Inputs!$K$4:$AJ$4,0))))=0,NA(),SUMPRODUCT((Inputs!$A$5:$A$130=$B37)*Inputs!$B$5:$B$130*(((Inputs!$G$5:$G$130="moeda")+(Inputs!$G$5:$G$130="acoes"))*Inputs!$B$1+((Inputs!$G$5:$G$130&lt;&gt;"moeda")*(Inputs!$G$5:$G$130&lt;&gt;"acoes")))*INDEX(Inputs!$K$5:$AJ$130,0,MATCH(Q$2,Inputs!$K$4:$AJ$4,0)))+SUMPRODUCT((Inputs!$C$5:$C$130=$B37)*Inputs!$D$5:$D$130*(((Inputs!$G$5:$G$130="moeda")+(Inputs!$G$5:$G$130="acoes"))*Inputs!$B$1+((Inputs!$G$5:$G$130&lt;&gt;"moeda")*(Inputs!$G$5:$G$130&lt;&gt;"acoes")))*INDEX(Inputs!$K$5:$AJ$130,0,MATCH(Q$2,Inputs!$K$4:$AJ$4,0)))+SUMPRODUCT((Inputs!$E$5:$E$130=$B37)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37" s="266" t="e">
        <f>Q37</f>
        <v>#N/A</v>
      </c>
      <c r="S37" s="265" t="e">
        <f>IF(ISNA(MATCH(S$2,Inputs!$K$4:$AJ$4,0)),NA(),IF(SUMPRODUCT((Inputs!$A$5:$A$130=$B37)*ISNUMBER(INDEX(Inputs!$K$5:$AJ$130,0,MATCH(S$2,Inputs!$K$4:$AJ$4,0))))+SUMPRODUCT((Inputs!$C$5:$C$130=$B37)*ISNUMBER(INDEX(Inputs!$K$5:$AJ$130,0,MATCH(S$2,Inputs!$K$4:$AJ$4,0))))+SUMPRODUCT((Inputs!$E$5:$E$130=$B37)*ISNUMBER(INDEX(Inputs!$K$5:$AJ$130,0,MATCH(S$2,Inputs!$K$4:$AJ$4,0))))=0,NA(),SUMPRODUCT((Inputs!$A$5:$A$130=$B37)*Inputs!$B$5:$B$130*(((Inputs!$G$5:$G$130="moeda")+(Inputs!$G$5:$G$130="acoes"))*Inputs!$B$1+((Inputs!$G$5:$G$130&lt;&gt;"moeda")*(Inputs!$G$5:$G$130&lt;&gt;"acoes")))*INDEX(Inputs!$K$5:$AJ$130,0,MATCH(S$2,Inputs!$K$4:$AJ$4,0)))+SUMPRODUCT((Inputs!$C$5:$C$130=$B37)*Inputs!$D$5:$D$130*(((Inputs!$G$5:$G$130="moeda")+(Inputs!$G$5:$G$130="acoes"))*Inputs!$B$1+((Inputs!$G$5:$G$130&lt;&gt;"moeda")*(Inputs!$G$5:$G$130&lt;&gt;"acoes")))*INDEX(Inputs!$K$5:$AJ$130,0,MATCH(S$2,Inputs!$K$4:$AJ$4,0)))+SUMPRODUCT((Inputs!$E$5:$E$130=$B37)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37" s="265" t="e">
        <f>IF(ISNA(MATCH(T$2,Inputs!$K$4:$AJ$4,0)),NA(),IF(SUMPRODUCT((Inputs!$A$5:$A$130=$B37)*ISNUMBER(INDEX(Inputs!$K$5:$AJ$130,0,MATCH(T$2,Inputs!$K$4:$AJ$4,0))))+SUMPRODUCT((Inputs!$C$5:$C$130=$B37)*ISNUMBER(INDEX(Inputs!$K$5:$AJ$130,0,MATCH(T$2,Inputs!$K$4:$AJ$4,0))))+SUMPRODUCT((Inputs!$E$5:$E$130=$B37)*ISNUMBER(INDEX(Inputs!$K$5:$AJ$130,0,MATCH(T$2,Inputs!$K$4:$AJ$4,0))))=0,NA(),SUMPRODUCT((Inputs!$A$5:$A$130=$B37)*Inputs!$B$5:$B$130*(((Inputs!$G$5:$G$130="moeda")+(Inputs!$G$5:$G$130="acoes"))*Inputs!$B$1+((Inputs!$G$5:$G$130&lt;&gt;"moeda")*(Inputs!$G$5:$G$130&lt;&gt;"acoes")))*INDEX(Inputs!$K$5:$AJ$130,0,MATCH(T$2,Inputs!$K$4:$AJ$4,0)))+SUMPRODUCT((Inputs!$C$5:$C$130=$B37)*Inputs!$D$5:$D$130*(((Inputs!$G$5:$G$130="moeda")+(Inputs!$G$5:$G$130="acoes"))*Inputs!$B$1+((Inputs!$G$5:$G$130&lt;&gt;"moeda")*(Inputs!$G$5:$G$130&lt;&gt;"acoes")))*INDEX(Inputs!$K$5:$AJ$130,0,MATCH(T$2,Inputs!$K$4:$AJ$4,0)))+SUMPRODUCT((Inputs!$E$5:$E$130=$B37)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37" s="265" t="e">
        <f>IF(ISNA(MATCH(U$2,Inputs!$K$4:$AJ$4,0)),NA(),IF(SUMPRODUCT((Inputs!$A$5:$A$130=$B37)*ISNUMBER(INDEX(Inputs!$K$5:$AJ$130,0,MATCH(U$2,Inputs!$K$4:$AJ$4,0))))+SUMPRODUCT((Inputs!$C$5:$C$130=$B37)*ISNUMBER(INDEX(Inputs!$K$5:$AJ$130,0,MATCH(U$2,Inputs!$K$4:$AJ$4,0))))+SUMPRODUCT((Inputs!$E$5:$E$130=$B37)*ISNUMBER(INDEX(Inputs!$K$5:$AJ$130,0,MATCH(U$2,Inputs!$K$4:$AJ$4,0))))=0,NA(),SUMPRODUCT((Inputs!$A$5:$A$130=$B37)*Inputs!$B$5:$B$130*(((Inputs!$G$5:$G$130="moeda")+(Inputs!$G$5:$G$130="acoes"))*Inputs!$B$1+((Inputs!$G$5:$G$130&lt;&gt;"moeda")*(Inputs!$G$5:$G$130&lt;&gt;"acoes")))*INDEX(Inputs!$K$5:$AJ$130,0,MATCH(U$2,Inputs!$K$4:$AJ$4,0)))+SUMPRODUCT((Inputs!$C$5:$C$130=$B37)*Inputs!$D$5:$D$130*(((Inputs!$G$5:$G$130="moeda")+(Inputs!$G$5:$G$130="acoes"))*Inputs!$B$1+((Inputs!$G$5:$G$130&lt;&gt;"moeda")*(Inputs!$G$5:$G$130&lt;&gt;"acoes")))*INDEX(Inputs!$K$5:$AJ$130,0,MATCH(U$2,Inputs!$K$4:$AJ$4,0)))+SUMPRODUCT((Inputs!$E$5:$E$130=$B37)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37" s="265" t="e">
        <f>IF(ISNA(MATCH(V$2,Inputs!$K$4:$AJ$4,0)),NA(),IF(SUMPRODUCT((Inputs!$A$5:$A$130=$B37)*ISNUMBER(INDEX(Inputs!$K$5:$AJ$130,0,MATCH(V$2,Inputs!$K$4:$AJ$4,0))))+SUMPRODUCT((Inputs!$C$5:$C$130=$B37)*ISNUMBER(INDEX(Inputs!$K$5:$AJ$130,0,MATCH(V$2,Inputs!$K$4:$AJ$4,0))))+SUMPRODUCT((Inputs!$E$5:$E$130=$B37)*ISNUMBER(INDEX(Inputs!$K$5:$AJ$130,0,MATCH(V$2,Inputs!$K$4:$AJ$4,0))))=0,NA(),SUMPRODUCT((Inputs!$A$5:$A$130=$B37)*Inputs!$B$5:$B$130*(((Inputs!$G$5:$G$130="moeda")+(Inputs!$G$5:$G$130="acoes"))*Inputs!$B$1+((Inputs!$G$5:$G$130&lt;&gt;"moeda")*(Inputs!$G$5:$G$130&lt;&gt;"acoes")))*INDEX(Inputs!$K$5:$AJ$130,0,MATCH(V$2,Inputs!$K$4:$AJ$4,0)))+SUMPRODUCT((Inputs!$C$5:$C$130=$B37)*Inputs!$D$5:$D$130*(((Inputs!$G$5:$G$130="moeda")+(Inputs!$G$5:$G$130="acoes"))*Inputs!$B$1+((Inputs!$G$5:$G$130&lt;&gt;"moeda")*(Inputs!$G$5:$G$130&lt;&gt;"acoes")))*INDEX(Inputs!$K$5:$AJ$130,0,MATCH(V$2,Inputs!$K$4:$AJ$4,0)))+SUMPRODUCT((Inputs!$E$5:$E$130=$B37)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37" s="266" t="e">
        <f>V37</f>
        <v>#N/A</v>
      </c>
      <c r="X37" s="265" t="e">
        <f>IF(ISNA(MATCH(X$2,Inputs!$K$4:$AJ$4,0)),NA(),IF(SUMPRODUCT((Inputs!$A$5:$A$130=$B37)*ISNUMBER(INDEX(Inputs!$K$5:$AJ$130,0,MATCH(X$2,Inputs!$K$4:$AJ$4,0))))+SUMPRODUCT((Inputs!$C$5:$C$130=$B37)*ISNUMBER(INDEX(Inputs!$K$5:$AJ$130,0,MATCH(X$2,Inputs!$K$4:$AJ$4,0))))+SUMPRODUCT((Inputs!$E$5:$E$130=$B37)*ISNUMBER(INDEX(Inputs!$K$5:$AJ$130,0,MATCH(X$2,Inputs!$K$4:$AJ$4,0))))=0,NA(),SUMPRODUCT((Inputs!$A$5:$A$130=$B37)*Inputs!$B$5:$B$130*(((Inputs!$G$5:$G$130="moeda")+(Inputs!$G$5:$G$130="acoes"))*Inputs!$B$1+((Inputs!$G$5:$G$130&lt;&gt;"moeda")*(Inputs!$G$5:$G$130&lt;&gt;"acoes")))*INDEX(Inputs!$K$5:$AJ$130,0,MATCH(X$2,Inputs!$K$4:$AJ$4,0)))+SUMPRODUCT((Inputs!$C$5:$C$130=$B37)*Inputs!$D$5:$D$130*(((Inputs!$G$5:$G$130="moeda")+(Inputs!$G$5:$G$130="acoes"))*Inputs!$B$1+((Inputs!$G$5:$G$130&lt;&gt;"moeda")*(Inputs!$G$5:$G$130&lt;&gt;"acoes")))*INDEX(Inputs!$K$5:$AJ$130,0,MATCH(X$2,Inputs!$K$4:$AJ$4,0)))+SUMPRODUCT((Inputs!$E$5:$E$130=$B37)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37" s="265" t="e">
        <f>IF(ISNA(MATCH(Y$2,Inputs!$K$4:$AJ$4,0)),NA(),IF(SUMPRODUCT((Inputs!$A$5:$A$130=$B37)*ISNUMBER(INDEX(Inputs!$K$5:$AJ$130,0,MATCH(Y$2,Inputs!$K$4:$AJ$4,0))))+SUMPRODUCT((Inputs!$C$5:$C$130=$B37)*ISNUMBER(INDEX(Inputs!$K$5:$AJ$130,0,MATCH(Y$2,Inputs!$K$4:$AJ$4,0))))+SUMPRODUCT((Inputs!$E$5:$E$130=$B37)*ISNUMBER(INDEX(Inputs!$K$5:$AJ$130,0,MATCH(Y$2,Inputs!$K$4:$AJ$4,0))))=0,NA(),SUMPRODUCT((Inputs!$A$5:$A$130=$B37)*Inputs!$B$5:$B$130*(((Inputs!$G$5:$G$130="moeda")+(Inputs!$G$5:$G$130="acoes"))*Inputs!$B$1+((Inputs!$G$5:$G$130&lt;&gt;"moeda")*(Inputs!$G$5:$G$130&lt;&gt;"acoes")))*INDEX(Inputs!$K$5:$AJ$130,0,MATCH(Y$2,Inputs!$K$4:$AJ$4,0)))+SUMPRODUCT((Inputs!$C$5:$C$130=$B37)*Inputs!$D$5:$D$130*(((Inputs!$G$5:$G$130="moeda")+(Inputs!$G$5:$G$130="acoes"))*Inputs!$B$1+((Inputs!$G$5:$G$130&lt;&gt;"moeda")*(Inputs!$G$5:$G$130&lt;&gt;"acoes")))*INDEX(Inputs!$K$5:$AJ$130,0,MATCH(Y$2,Inputs!$K$4:$AJ$4,0)))+SUMPRODUCT((Inputs!$E$5:$E$130=$B37)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37" s="265" t="e">
        <f>IF(ISNA(MATCH(Z$2,Inputs!$K$4:$AJ$4,0)),NA(),IF(SUMPRODUCT((Inputs!$A$5:$A$130=$B37)*ISNUMBER(INDEX(Inputs!$K$5:$AJ$130,0,MATCH(Z$2,Inputs!$K$4:$AJ$4,0))))+SUMPRODUCT((Inputs!$C$5:$C$130=$B37)*ISNUMBER(INDEX(Inputs!$K$5:$AJ$130,0,MATCH(Z$2,Inputs!$K$4:$AJ$4,0))))+SUMPRODUCT((Inputs!$E$5:$E$130=$B37)*ISNUMBER(INDEX(Inputs!$K$5:$AJ$130,0,MATCH(Z$2,Inputs!$K$4:$AJ$4,0))))=0,NA(),SUMPRODUCT((Inputs!$A$5:$A$130=$B37)*Inputs!$B$5:$B$130*(((Inputs!$G$5:$G$130="moeda")+(Inputs!$G$5:$G$130="acoes"))*Inputs!$B$1+((Inputs!$G$5:$G$130&lt;&gt;"moeda")*(Inputs!$G$5:$G$130&lt;&gt;"acoes")))*INDEX(Inputs!$K$5:$AJ$130,0,MATCH(Z$2,Inputs!$K$4:$AJ$4,0)))+SUMPRODUCT((Inputs!$C$5:$C$130=$B37)*Inputs!$D$5:$D$130*(((Inputs!$G$5:$G$130="moeda")+(Inputs!$G$5:$G$130="acoes"))*Inputs!$B$1+((Inputs!$G$5:$G$130&lt;&gt;"moeda")*(Inputs!$G$5:$G$130&lt;&gt;"acoes")))*INDEX(Inputs!$K$5:$AJ$130,0,MATCH(Z$2,Inputs!$K$4:$AJ$4,0)))+SUMPRODUCT((Inputs!$E$5:$E$130=$B37)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37" s="265" t="e">
        <f>IF(ISNA(MATCH(AA$2,Inputs!$K$4:$AJ$4,0)),NA(),IF(SUMPRODUCT((Inputs!$A$5:$A$130=$B37)*ISNUMBER(INDEX(Inputs!$K$5:$AJ$130,0,MATCH(AA$2,Inputs!$K$4:$AJ$4,0))))+SUMPRODUCT((Inputs!$C$5:$C$130=$B37)*ISNUMBER(INDEX(Inputs!$K$5:$AJ$130,0,MATCH(AA$2,Inputs!$K$4:$AJ$4,0))))+SUMPRODUCT((Inputs!$E$5:$E$130=$B37)*ISNUMBER(INDEX(Inputs!$K$5:$AJ$130,0,MATCH(AA$2,Inputs!$K$4:$AJ$4,0))))=0,NA(),SUMPRODUCT((Inputs!$A$5:$A$130=$B37)*Inputs!$B$5:$B$130*(((Inputs!$G$5:$G$130="moeda")+(Inputs!$G$5:$G$130="acoes"))*Inputs!$B$1+((Inputs!$G$5:$G$130&lt;&gt;"moeda")*(Inputs!$G$5:$G$130&lt;&gt;"acoes")))*INDEX(Inputs!$K$5:$AJ$130,0,MATCH(AA$2,Inputs!$K$4:$AJ$4,0)))+SUMPRODUCT((Inputs!$C$5:$C$130=$B37)*Inputs!$D$5:$D$130*(((Inputs!$G$5:$G$130="moeda")+(Inputs!$G$5:$G$130="acoes"))*Inputs!$B$1+((Inputs!$G$5:$G$130&lt;&gt;"moeda")*(Inputs!$G$5:$G$130&lt;&gt;"acoes")))*INDEX(Inputs!$K$5:$AJ$130,0,MATCH(AA$2,Inputs!$K$4:$AJ$4,0)))+SUMPRODUCT((Inputs!$E$5:$E$130=$B37)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37" s="266" t="e">
        <f>AA37</f>
        <v>#N/A</v>
      </c>
      <c r="AC37" s="265" t="e">
        <f>IF(ISNA(MATCH(AC$2,Inputs!$K$4:$AJ$4,0)),NA(),IF(SUMPRODUCT((Inputs!$A$5:$A$130=$B37)*ISNUMBER(INDEX(Inputs!$K$5:$AJ$130,0,MATCH(AC$2,Inputs!$K$4:$AJ$4,0))))+SUMPRODUCT((Inputs!$C$5:$C$130=$B37)*ISNUMBER(INDEX(Inputs!$K$5:$AJ$130,0,MATCH(AC$2,Inputs!$K$4:$AJ$4,0))))+SUMPRODUCT((Inputs!$E$5:$E$130=$B37)*ISNUMBER(INDEX(Inputs!$K$5:$AJ$130,0,MATCH(AC$2,Inputs!$K$4:$AJ$4,0))))=0,NA(),SUMPRODUCT((Inputs!$A$5:$A$130=$B37)*Inputs!$B$5:$B$130*(((Inputs!$G$5:$G$130="moeda")+(Inputs!$G$5:$G$130="acoes"))*Inputs!$B$1+((Inputs!$G$5:$G$130&lt;&gt;"moeda")*(Inputs!$G$5:$G$130&lt;&gt;"acoes")))*INDEX(Inputs!$K$5:$AJ$130,0,MATCH(AC$2,Inputs!$K$4:$AJ$4,0)))+SUMPRODUCT((Inputs!$C$5:$C$130=$B37)*Inputs!$D$5:$D$130*(((Inputs!$G$5:$G$130="moeda")+(Inputs!$G$5:$G$130="acoes"))*Inputs!$B$1+((Inputs!$G$5:$G$130&lt;&gt;"moeda")*(Inputs!$G$5:$G$130&lt;&gt;"acoes")))*INDEX(Inputs!$K$5:$AJ$130,0,MATCH(AC$2,Inputs!$K$4:$AJ$4,0)))+SUMPRODUCT((Inputs!$E$5:$E$130=$B37)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37" s="265" t="e">
        <f>IF(ISNA(MATCH(AD$2,Inputs!$K$4:$AJ$4,0)),NA(),IF(SUMPRODUCT((Inputs!$A$5:$A$130=$B37)*ISNUMBER(INDEX(Inputs!$K$5:$AJ$130,0,MATCH(AD$2,Inputs!$K$4:$AJ$4,0))))+SUMPRODUCT((Inputs!$C$5:$C$130=$B37)*ISNUMBER(INDEX(Inputs!$K$5:$AJ$130,0,MATCH(AD$2,Inputs!$K$4:$AJ$4,0))))+SUMPRODUCT((Inputs!$E$5:$E$130=$B37)*ISNUMBER(INDEX(Inputs!$K$5:$AJ$130,0,MATCH(AD$2,Inputs!$K$4:$AJ$4,0))))=0,NA(),SUMPRODUCT((Inputs!$A$5:$A$130=$B37)*Inputs!$B$5:$B$130*(((Inputs!$G$5:$G$130="moeda")+(Inputs!$G$5:$G$130="acoes"))*Inputs!$B$1+((Inputs!$G$5:$G$130&lt;&gt;"moeda")*(Inputs!$G$5:$G$130&lt;&gt;"acoes")))*INDEX(Inputs!$K$5:$AJ$130,0,MATCH(AD$2,Inputs!$K$4:$AJ$4,0)))+SUMPRODUCT((Inputs!$C$5:$C$130=$B37)*Inputs!$D$5:$D$130*(((Inputs!$G$5:$G$130="moeda")+(Inputs!$G$5:$G$130="acoes"))*Inputs!$B$1+((Inputs!$G$5:$G$130&lt;&gt;"moeda")*(Inputs!$G$5:$G$130&lt;&gt;"acoes")))*INDEX(Inputs!$K$5:$AJ$130,0,MATCH(AD$2,Inputs!$K$4:$AJ$4,0)))+SUMPRODUCT((Inputs!$E$5:$E$130=$B37)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37" s="265" t="e">
        <f>IF(ISNA(MATCH(AE$2,Inputs!$K$4:$AJ$4,0)),NA(),IF(SUMPRODUCT((Inputs!$A$5:$A$130=$B37)*ISNUMBER(INDEX(Inputs!$K$5:$AJ$130,0,MATCH(AE$2,Inputs!$K$4:$AJ$4,0))))+SUMPRODUCT((Inputs!$C$5:$C$130=$B37)*ISNUMBER(INDEX(Inputs!$K$5:$AJ$130,0,MATCH(AE$2,Inputs!$K$4:$AJ$4,0))))+SUMPRODUCT((Inputs!$E$5:$E$130=$B37)*ISNUMBER(INDEX(Inputs!$K$5:$AJ$130,0,MATCH(AE$2,Inputs!$K$4:$AJ$4,0))))=0,NA(),SUMPRODUCT((Inputs!$A$5:$A$130=$B37)*Inputs!$B$5:$B$130*(((Inputs!$G$5:$G$130="moeda")+(Inputs!$G$5:$G$130="acoes"))*Inputs!$B$1+((Inputs!$G$5:$G$130&lt;&gt;"moeda")*(Inputs!$G$5:$G$130&lt;&gt;"acoes")))*INDEX(Inputs!$K$5:$AJ$130,0,MATCH(AE$2,Inputs!$K$4:$AJ$4,0)))+SUMPRODUCT((Inputs!$C$5:$C$130=$B37)*Inputs!$D$5:$D$130*(((Inputs!$G$5:$G$130="moeda")+(Inputs!$G$5:$G$130="acoes"))*Inputs!$B$1+((Inputs!$G$5:$G$130&lt;&gt;"moeda")*(Inputs!$G$5:$G$130&lt;&gt;"acoes")))*INDEX(Inputs!$K$5:$AJ$130,0,MATCH(AE$2,Inputs!$K$4:$AJ$4,0)))+SUMPRODUCT((Inputs!$E$5:$E$130=$B37)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7" s="265" t="e">
        <f>IF(ISNA(MATCH(AF$2,Inputs!$K$4:$AJ$4,0)),NA(),IF(SUMPRODUCT((Inputs!$A$5:$A$130=$B37)*ISNUMBER(INDEX(Inputs!$K$5:$AJ$130,0,MATCH(AF$2,Inputs!$K$4:$AJ$4,0))))+SUMPRODUCT((Inputs!$C$5:$C$130=$B37)*ISNUMBER(INDEX(Inputs!$K$5:$AJ$130,0,MATCH(AF$2,Inputs!$K$4:$AJ$4,0))))+SUMPRODUCT((Inputs!$E$5:$E$130=$B37)*ISNUMBER(INDEX(Inputs!$K$5:$AJ$130,0,MATCH(AF$2,Inputs!$K$4:$AJ$4,0))))=0,NA(),SUMPRODUCT((Inputs!$A$5:$A$130=$B37)*Inputs!$B$5:$B$130*(((Inputs!$G$5:$G$130="moeda")+(Inputs!$G$5:$G$130="acoes"))*Inputs!$B$1+((Inputs!$G$5:$G$130&lt;&gt;"moeda")*(Inputs!$G$5:$G$130&lt;&gt;"acoes")))*INDEX(Inputs!$K$5:$AJ$130,0,MATCH(AF$2,Inputs!$K$4:$AJ$4,0)))+SUMPRODUCT((Inputs!$C$5:$C$130=$B37)*Inputs!$D$5:$D$130*(((Inputs!$G$5:$G$130="moeda")+(Inputs!$G$5:$G$130="acoes"))*Inputs!$B$1+((Inputs!$G$5:$G$130&lt;&gt;"moeda")*(Inputs!$G$5:$G$130&lt;&gt;"acoes")))*INDEX(Inputs!$K$5:$AJ$130,0,MATCH(AF$2,Inputs!$K$4:$AJ$4,0)))+SUMPRODUCT((Inputs!$E$5:$E$130=$B37)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7" s="266" t="e">
        <f>AF37</f>
        <v>#N/A</v>
      </c>
      <c r="AH37" s="265" t="e">
        <f>IF(ISNA(MATCH(AH$2,Inputs!$K$4:$AJ$4,0)),NA(),IF(SUMPRODUCT((Inputs!$A$5:$A$130=$B37)*ISNUMBER(INDEX(Inputs!$K$5:$AJ$130,0,MATCH(AH$2,Inputs!$K$4:$AJ$4,0))))+SUMPRODUCT((Inputs!$C$5:$C$130=$B37)*ISNUMBER(INDEX(Inputs!$K$5:$AJ$130,0,MATCH(AH$2,Inputs!$K$4:$AJ$4,0))))+SUMPRODUCT((Inputs!$E$5:$E$130=$B37)*ISNUMBER(INDEX(Inputs!$K$5:$AJ$130,0,MATCH(AH$2,Inputs!$K$4:$AJ$4,0))))=0,NA(),SUMPRODUCT((Inputs!$A$5:$A$130=$B37)*Inputs!$B$5:$B$130*(((Inputs!$G$5:$G$130="moeda")+(Inputs!$G$5:$G$130="acoes"))*Inputs!$B$1+((Inputs!$G$5:$G$130&lt;&gt;"moeda")*(Inputs!$G$5:$G$130&lt;&gt;"acoes")))*INDEX(Inputs!$K$5:$AJ$130,0,MATCH(AH$2,Inputs!$K$4:$AJ$4,0)))+SUMPRODUCT((Inputs!$C$5:$C$130=$B37)*Inputs!$D$5:$D$130*(((Inputs!$G$5:$G$130="moeda")+(Inputs!$G$5:$G$130="acoes"))*Inputs!$B$1+((Inputs!$G$5:$G$130&lt;&gt;"moeda")*(Inputs!$G$5:$G$130&lt;&gt;"acoes")))*INDEX(Inputs!$K$5:$AJ$130,0,MATCH(AH$2,Inputs!$K$4:$AJ$4,0)))+SUMPRODUCT((Inputs!$E$5:$E$130=$B37)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37" s="265" t="e">
        <f>IF(ISNA(MATCH(AI$2,Inputs!$K$4:$AJ$4,0)),NA(),IF(SUMPRODUCT((Inputs!$A$5:$A$130=$B37)*ISNUMBER(INDEX(Inputs!$K$5:$AJ$130,0,MATCH(AI$2,Inputs!$K$4:$AJ$4,0))))+SUMPRODUCT((Inputs!$C$5:$C$130=$B37)*ISNUMBER(INDEX(Inputs!$K$5:$AJ$130,0,MATCH(AI$2,Inputs!$K$4:$AJ$4,0))))+SUMPRODUCT((Inputs!$E$5:$E$130=$B37)*ISNUMBER(INDEX(Inputs!$K$5:$AJ$130,0,MATCH(AI$2,Inputs!$K$4:$AJ$4,0))))=0,NA(),SUMPRODUCT((Inputs!$A$5:$A$130=$B37)*Inputs!$B$5:$B$130*(((Inputs!$G$5:$G$130="moeda")+(Inputs!$G$5:$G$130="acoes"))*Inputs!$B$1+((Inputs!$G$5:$G$130&lt;&gt;"moeda")*(Inputs!$G$5:$G$130&lt;&gt;"acoes")))*INDEX(Inputs!$K$5:$AJ$130,0,MATCH(AI$2,Inputs!$K$4:$AJ$4,0)))+SUMPRODUCT((Inputs!$C$5:$C$130=$B37)*Inputs!$D$5:$D$130*(((Inputs!$G$5:$G$130="moeda")+(Inputs!$G$5:$G$130="acoes"))*Inputs!$B$1+((Inputs!$G$5:$G$130&lt;&gt;"moeda")*(Inputs!$G$5:$G$130&lt;&gt;"acoes")))*INDEX(Inputs!$K$5:$AJ$130,0,MATCH(AI$2,Inputs!$K$4:$AJ$4,0)))+SUMPRODUCT((Inputs!$E$5:$E$130=$B37)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37" s="265" t="e">
        <f>IF(ISNA(MATCH(AJ$2,Inputs!$K$4:$AJ$4,0)),NA(),IF(SUMPRODUCT((Inputs!$A$5:$A$130=$B37)*ISNUMBER(INDEX(Inputs!$K$5:$AJ$130,0,MATCH(AJ$2,Inputs!$K$4:$AJ$4,0))))+SUMPRODUCT((Inputs!$C$5:$C$130=$B37)*ISNUMBER(INDEX(Inputs!$K$5:$AJ$130,0,MATCH(AJ$2,Inputs!$K$4:$AJ$4,0))))+SUMPRODUCT((Inputs!$E$5:$E$130=$B37)*ISNUMBER(INDEX(Inputs!$K$5:$AJ$130,0,MATCH(AJ$2,Inputs!$K$4:$AJ$4,0))))=0,NA(),SUMPRODUCT((Inputs!$A$5:$A$130=$B37)*Inputs!$B$5:$B$130*(((Inputs!$G$5:$G$130="moeda")+(Inputs!$G$5:$G$130="acoes"))*Inputs!$B$1+((Inputs!$G$5:$G$130&lt;&gt;"moeda")*(Inputs!$G$5:$G$130&lt;&gt;"acoes")))*INDEX(Inputs!$K$5:$AJ$130,0,MATCH(AJ$2,Inputs!$K$4:$AJ$4,0)))+SUMPRODUCT((Inputs!$C$5:$C$130=$B37)*Inputs!$D$5:$D$130*(((Inputs!$G$5:$G$130="moeda")+(Inputs!$G$5:$G$130="acoes"))*Inputs!$B$1+((Inputs!$G$5:$G$130&lt;&gt;"moeda")*(Inputs!$G$5:$G$130&lt;&gt;"acoes")))*INDEX(Inputs!$K$5:$AJ$130,0,MATCH(AJ$2,Inputs!$K$4:$AJ$4,0)))+SUMPRODUCT((Inputs!$E$5:$E$130=$B37)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37" s="265" t="e">
        <f>IF(ISNA(MATCH(AK$2,Inputs!$K$4:$AJ$4,0)),NA(),IF(SUMPRODUCT((Inputs!$A$5:$A$130=$B37)*ISNUMBER(INDEX(Inputs!$K$5:$AJ$130,0,MATCH(AK$2,Inputs!$K$4:$AJ$4,0))))+SUMPRODUCT((Inputs!$C$5:$C$130=$B37)*ISNUMBER(INDEX(Inputs!$K$5:$AJ$130,0,MATCH(AK$2,Inputs!$K$4:$AJ$4,0))))+SUMPRODUCT((Inputs!$E$5:$E$130=$B37)*ISNUMBER(INDEX(Inputs!$K$5:$AJ$130,0,MATCH(AK$2,Inputs!$K$4:$AJ$4,0))))=0,NA(),SUMPRODUCT((Inputs!$A$5:$A$130=$B37)*Inputs!$B$5:$B$130*(((Inputs!$G$5:$G$130="moeda")+(Inputs!$G$5:$G$130="acoes"))*Inputs!$B$1+((Inputs!$G$5:$G$130&lt;&gt;"moeda")*(Inputs!$G$5:$G$130&lt;&gt;"acoes")))*INDEX(Inputs!$K$5:$AJ$130,0,MATCH(AK$2,Inputs!$K$4:$AJ$4,0)))+SUMPRODUCT((Inputs!$C$5:$C$130=$B37)*Inputs!$D$5:$D$130*(((Inputs!$G$5:$G$130="moeda")+(Inputs!$G$5:$G$130="acoes"))*Inputs!$B$1+((Inputs!$G$5:$G$130&lt;&gt;"moeda")*(Inputs!$G$5:$G$130&lt;&gt;"acoes")))*INDEX(Inputs!$K$5:$AJ$130,0,MATCH(AK$2,Inputs!$K$4:$AJ$4,0)))+SUMPRODUCT((Inputs!$E$5:$E$130=$B37)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37" s="266" t="e">
        <f>AK37</f>
        <v>#N/A</v>
      </c>
    </row>
    <row r="38" ht="12.75" customHeight="1" s="254">
      <c r="B38" s="263" t="n">
        <v>33</v>
      </c>
      <c r="C38" s="268" t="inlineStr">
        <is>
          <t>Deferred income taxes</t>
        </is>
      </c>
      <c r="D38" s="265">
        <f>IF(ISNA(MATCH(D$2,Inputs!$K$4:$AJ$4,0)),NA(),IF(SUMPRODUCT((Inputs!$A$5:$A$130=$B38)*ISNUMBER(INDEX(Inputs!$K$5:$AJ$130,0,MATCH(D$2,Inputs!$K$4:$AJ$4,0))))+SUMPRODUCT((Inputs!$C$5:$C$130=$B38)*ISNUMBER(INDEX(Inputs!$K$5:$AJ$130,0,MATCH(D$2,Inputs!$K$4:$AJ$4,0))))+SUMPRODUCT((Inputs!$E$5:$E$130=$B38)*ISNUMBER(INDEX(Inputs!$K$5:$AJ$130,0,MATCH(D$2,Inputs!$K$4:$AJ$4,0))))=0,NA(),SUMPRODUCT((Inputs!$A$5:$A$130=$B38)*Inputs!$B$5:$B$130*(((Inputs!$G$5:$G$130="moeda")+(Inputs!$G$5:$G$130="acoes"))*Inputs!$B$1+((Inputs!$G$5:$G$130&lt;&gt;"moeda")*(Inputs!$G$5:$G$130&lt;&gt;"acoes")))*INDEX(Inputs!$K$5:$AJ$130,0,MATCH(D$2,Inputs!$K$4:$AJ$4,0)))+SUMPRODUCT((Inputs!$C$5:$C$130=$B38)*Inputs!$D$5:$D$130*(((Inputs!$G$5:$G$130="moeda")+(Inputs!$G$5:$G$130="acoes"))*Inputs!$B$1+((Inputs!$G$5:$G$130&lt;&gt;"moeda")*(Inputs!$G$5:$G$130&lt;&gt;"acoes")))*INDEX(Inputs!$K$5:$AJ$130,0,MATCH(D$2,Inputs!$K$4:$AJ$4,0)))+SUMPRODUCT((Inputs!$E$5:$E$130=$B38)*Inputs!$F$5:$F$130*(((Inputs!$G$5:$G$130="moeda")+(Inputs!$G$5:$G$130="acoes"))*Inputs!$B$1+((Inputs!$G$5:$G$130&lt;&gt;"moeda")*(Inputs!$G$5:$G$130&lt;&gt;"acoes")))*INDEX(Inputs!$K$5:$AJ$130,0,MATCH(D$2,Inputs!$K$4:$AJ$4,0)))))</f>
        <v>11285</v>
      </c>
      <c r="E38" s="265">
        <f>IF(ISNA(MATCH(E$2,Inputs!$K$4:$AJ$4,0)),NA(),IF(SUMPRODUCT((Inputs!$A$5:$A$130=$B38)*ISNUMBER(INDEX(Inputs!$K$5:$AJ$130,0,MATCH(E$2,Inputs!$K$4:$AJ$4,0))))+SUMPRODUCT((Inputs!$C$5:$C$130=$B38)*ISNUMBER(INDEX(Inputs!$K$5:$AJ$130,0,MATCH(E$2,Inputs!$K$4:$AJ$4,0))))+SUMPRODUCT((Inputs!$E$5:$E$130=$B38)*ISNUMBER(INDEX(Inputs!$K$5:$AJ$130,0,MATCH(E$2,Inputs!$K$4:$AJ$4,0))))=0,NA(),SUMPRODUCT((Inputs!$A$5:$A$130=$B38)*Inputs!$B$5:$B$130*(((Inputs!$G$5:$G$130="moeda")+(Inputs!$G$5:$G$130="acoes"))*Inputs!$B$1+((Inputs!$G$5:$G$130&lt;&gt;"moeda")*(Inputs!$G$5:$G$130&lt;&gt;"acoes")))*INDEX(Inputs!$K$5:$AJ$130,0,MATCH(E$2,Inputs!$K$4:$AJ$4,0)))+SUMPRODUCT((Inputs!$C$5:$C$130=$B38)*Inputs!$D$5:$D$130*(((Inputs!$G$5:$G$130="moeda")+(Inputs!$G$5:$G$130="acoes"))*Inputs!$B$1+((Inputs!$G$5:$G$130&lt;&gt;"moeda")*(Inputs!$G$5:$G$130&lt;&gt;"acoes")))*INDEX(Inputs!$K$5:$AJ$130,0,MATCH(E$2,Inputs!$K$4:$AJ$4,0)))+SUMPRODUCT((Inputs!$E$5:$E$130=$B38)*Inputs!$F$5:$F$130*(((Inputs!$G$5:$G$130="moeda")+(Inputs!$G$5:$G$130="acoes"))*Inputs!$B$1+((Inputs!$G$5:$G$130&lt;&gt;"moeda")*(Inputs!$G$5:$G$130&lt;&gt;"acoes")))*INDEX(Inputs!$K$5:$AJ$130,0,MATCH(E$2,Inputs!$K$4:$AJ$4,0)))))</f>
        <v>11717</v>
      </c>
      <c r="F38" s="265">
        <f>IF(ISNA(MATCH(F$2,Inputs!$K$4:$AJ$4,0)),NA(),IF(SUMPRODUCT((Inputs!$A$5:$A$130=$B38)*ISNUMBER(INDEX(Inputs!$K$5:$AJ$130,0,MATCH(F$2,Inputs!$K$4:$AJ$4,0))))+SUMPRODUCT((Inputs!$C$5:$C$130=$B38)*ISNUMBER(INDEX(Inputs!$K$5:$AJ$130,0,MATCH(F$2,Inputs!$K$4:$AJ$4,0))))+SUMPRODUCT((Inputs!$E$5:$E$130=$B38)*ISNUMBER(INDEX(Inputs!$K$5:$AJ$130,0,MATCH(F$2,Inputs!$K$4:$AJ$4,0))))=0,NA(),SUMPRODUCT((Inputs!$A$5:$A$130=$B38)*Inputs!$B$5:$B$130*(((Inputs!$G$5:$G$130="moeda")+(Inputs!$G$5:$G$130="acoes"))*Inputs!$B$1+((Inputs!$G$5:$G$130&lt;&gt;"moeda")*(Inputs!$G$5:$G$130&lt;&gt;"acoes")))*INDEX(Inputs!$K$5:$AJ$130,0,MATCH(F$2,Inputs!$K$4:$AJ$4,0)))+SUMPRODUCT((Inputs!$C$5:$C$130=$B38)*Inputs!$D$5:$D$130*(((Inputs!$G$5:$G$130="moeda")+(Inputs!$G$5:$G$130="acoes"))*Inputs!$B$1+((Inputs!$G$5:$G$130&lt;&gt;"moeda")*(Inputs!$G$5:$G$130&lt;&gt;"acoes")))*INDEX(Inputs!$K$5:$AJ$130,0,MATCH(F$2,Inputs!$K$4:$AJ$4,0)))+SUMPRODUCT((Inputs!$E$5:$E$130=$B38)*Inputs!$F$5:$F$130*(((Inputs!$G$5:$G$130="moeda")+(Inputs!$G$5:$G$130="acoes"))*Inputs!$B$1+((Inputs!$G$5:$G$130&lt;&gt;"moeda")*(Inputs!$G$5:$G$130&lt;&gt;"acoes")))*INDEX(Inputs!$K$5:$AJ$130,0,MATCH(F$2,Inputs!$K$4:$AJ$4,0)))))</f>
        <v>12159</v>
      </c>
      <c r="G38" s="265">
        <f>IF(ISNA(MATCH(G$2,Inputs!$K$4:$AJ$4,0)),NA(),IF(SUMPRODUCT((Inputs!$A$5:$A$130=$B38)*ISNUMBER(INDEX(Inputs!$K$5:$AJ$130,0,MATCH(G$2,Inputs!$K$4:$AJ$4,0))))+SUMPRODUCT((Inputs!$C$5:$C$130=$B38)*ISNUMBER(INDEX(Inputs!$K$5:$AJ$130,0,MATCH(G$2,Inputs!$K$4:$AJ$4,0))))+SUMPRODUCT((Inputs!$E$5:$E$130=$B38)*ISNUMBER(INDEX(Inputs!$K$5:$AJ$130,0,MATCH(G$2,Inputs!$K$4:$AJ$4,0))))=0,NA(),SUMPRODUCT((Inputs!$A$5:$A$130=$B38)*Inputs!$B$5:$B$130*(((Inputs!$G$5:$G$130="moeda")+(Inputs!$G$5:$G$130="acoes"))*Inputs!$B$1+((Inputs!$G$5:$G$130&lt;&gt;"moeda")*(Inputs!$G$5:$G$130&lt;&gt;"acoes")))*INDEX(Inputs!$K$5:$AJ$130,0,MATCH(G$2,Inputs!$K$4:$AJ$4,0)))+SUMPRODUCT((Inputs!$C$5:$C$130=$B38)*Inputs!$D$5:$D$130*(((Inputs!$G$5:$G$130="moeda")+(Inputs!$G$5:$G$130="acoes"))*Inputs!$B$1+((Inputs!$G$5:$G$130&lt;&gt;"moeda")*(Inputs!$G$5:$G$130&lt;&gt;"acoes")))*INDEX(Inputs!$K$5:$AJ$130,0,MATCH(G$2,Inputs!$K$4:$AJ$4,0)))+SUMPRODUCT((Inputs!$E$5:$E$130=$B38)*Inputs!$F$5:$F$130*(((Inputs!$G$5:$G$130="moeda")+(Inputs!$G$5:$G$130="acoes"))*Inputs!$B$1+((Inputs!$G$5:$G$130&lt;&gt;"moeda")*(Inputs!$G$5:$G$130&lt;&gt;"acoes")))*INDEX(Inputs!$K$5:$AJ$130,0,MATCH(G$2,Inputs!$K$4:$AJ$4,0)))))</f>
        <v>12547</v>
      </c>
      <c r="H38" s="266">
        <f>G38</f>
        <v>12547</v>
      </c>
      <c r="I38" s="265">
        <f>IF(ISNA(MATCH(I$2,Inputs!$K$4:$AJ$4,0)),NA(),IF(SUMPRODUCT((Inputs!$A$5:$A$130=$B38)*ISNUMBER(INDEX(Inputs!$K$5:$AJ$130,0,MATCH(I$2,Inputs!$K$4:$AJ$4,0))))+SUMPRODUCT((Inputs!$C$5:$C$130=$B38)*ISNUMBER(INDEX(Inputs!$K$5:$AJ$130,0,MATCH(I$2,Inputs!$K$4:$AJ$4,0))))+SUMPRODUCT((Inputs!$E$5:$E$130=$B38)*ISNUMBER(INDEX(Inputs!$K$5:$AJ$130,0,MATCH(I$2,Inputs!$K$4:$AJ$4,0))))=0,NA(),SUMPRODUCT((Inputs!$A$5:$A$130=$B38)*Inputs!$B$5:$B$130*(((Inputs!$G$5:$G$130="moeda")+(Inputs!$G$5:$G$130="acoes"))*Inputs!$B$1+((Inputs!$G$5:$G$130&lt;&gt;"moeda")*(Inputs!$G$5:$G$130&lt;&gt;"acoes")))*INDEX(Inputs!$K$5:$AJ$130,0,MATCH(I$2,Inputs!$K$4:$AJ$4,0)))+SUMPRODUCT((Inputs!$C$5:$C$130=$B38)*Inputs!$D$5:$D$130*(((Inputs!$G$5:$G$130="moeda")+(Inputs!$G$5:$G$130="acoes"))*Inputs!$B$1+((Inputs!$G$5:$G$130&lt;&gt;"moeda")*(Inputs!$G$5:$G$130&lt;&gt;"acoes")))*INDEX(Inputs!$K$5:$AJ$130,0,MATCH(I$2,Inputs!$K$4:$AJ$4,0)))+SUMPRODUCT((Inputs!$E$5:$E$130=$B38)*Inputs!$F$5:$F$130*(((Inputs!$G$5:$G$130="moeda")+(Inputs!$G$5:$G$130="acoes"))*Inputs!$B$1+((Inputs!$G$5:$G$130&lt;&gt;"moeda")*(Inputs!$G$5:$G$130&lt;&gt;"acoes")))*INDEX(Inputs!$K$5:$AJ$130,0,MATCH(I$2,Inputs!$K$4:$AJ$4,0)))))</f>
        <v>13021</v>
      </c>
      <c r="J38" s="265">
        <f>IF(ISNA(MATCH(J$2,Inputs!$K$4:$AJ$4,0)),NA(),IF(SUMPRODUCT((Inputs!$A$5:$A$130=$B38)*ISNUMBER(INDEX(Inputs!$K$5:$AJ$130,0,MATCH(J$2,Inputs!$K$4:$AJ$4,0))))+SUMPRODUCT((Inputs!$C$5:$C$130=$B38)*ISNUMBER(INDEX(Inputs!$K$5:$AJ$130,0,MATCH(J$2,Inputs!$K$4:$AJ$4,0))))+SUMPRODUCT((Inputs!$E$5:$E$130=$B38)*ISNUMBER(INDEX(Inputs!$K$5:$AJ$130,0,MATCH(J$2,Inputs!$K$4:$AJ$4,0))))=0,NA(),SUMPRODUCT((Inputs!$A$5:$A$130=$B38)*Inputs!$B$5:$B$130*(((Inputs!$G$5:$G$130="moeda")+(Inputs!$G$5:$G$130="acoes"))*Inputs!$B$1+((Inputs!$G$5:$G$130&lt;&gt;"moeda")*(Inputs!$G$5:$G$130&lt;&gt;"acoes")))*INDEX(Inputs!$K$5:$AJ$130,0,MATCH(J$2,Inputs!$K$4:$AJ$4,0)))+SUMPRODUCT((Inputs!$C$5:$C$130=$B38)*Inputs!$D$5:$D$130*(((Inputs!$G$5:$G$130="moeda")+(Inputs!$G$5:$G$130="acoes"))*Inputs!$B$1+((Inputs!$G$5:$G$130&lt;&gt;"moeda")*(Inputs!$G$5:$G$130&lt;&gt;"acoes")))*INDEX(Inputs!$K$5:$AJ$130,0,MATCH(J$2,Inputs!$K$4:$AJ$4,0)))+SUMPRODUCT((Inputs!$E$5:$E$130=$B38)*Inputs!$F$5:$F$130*(((Inputs!$G$5:$G$130="moeda")+(Inputs!$G$5:$G$130="acoes"))*Inputs!$B$1+((Inputs!$G$5:$G$130&lt;&gt;"moeda")*(Inputs!$G$5:$G$130&lt;&gt;"acoes")))*INDEX(Inputs!$K$5:$AJ$130,0,MATCH(J$2,Inputs!$K$4:$AJ$4,0)))))</f>
        <v>16145</v>
      </c>
      <c r="K38" s="265">
        <f>IF(ISNA(MATCH(K$2,Inputs!$K$4:$AJ$4,0)),NA(),IF(SUMPRODUCT((Inputs!$A$5:$A$130=$B38)*ISNUMBER(INDEX(Inputs!$K$5:$AJ$130,0,MATCH(K$2,Inputs!$K$4:$AJ$4,0))))+SUMPRODUCT((Inputs!$C$5:$C$130=$B38)*ISNUMBER(INDEX(Inputs!$K$5:$AJ$130,0,MATCH(K$2,Inputs!$K$4:$AJ$4,0))))+SUMPRODUCT((Inputs!$E$5:$E$130=$B38)*ISNUMBER(INDEX(Inputs!$K$5:$AJ$130,0,MATCH(K$2,Inputs!$K$4:$AJ$4,0))))=0,NA(),SUMPRODUCT((Inputs!$A$5:$A$130=$B38)*Inputs!$B$5:$B$130*(((Inputs!$G$5:$G$130="moeda")+(Inputs!$G$5:$G$130="acoes"))*Inputs!$B$1+((Inputs!$G$5:$G$130&lt;&gt;"moeda")*(Inputs!$G$5:$G$130&lt;&gt;"acoes")))*INDEX(Inputs!$K$5:$AJ$130,0,MATCH(K$2,Inputs!$K$4:$AJ$4,0)))+SUMPRODUCT((Inputs!$C$5:$C$130=$B38)*Inputs!$D$5:$D$130*(((Inputs!$G$5:$G$130="moeda")+(Inputs!$G$5:$G$130="acoes"))*Inputs!$B$1+((Inputs!$G$5:$G$130&lt;&gt;"moeda")*(Inputs!$G$5:$G$130&lt;&gt;"acoes")))*INDEX(Inputs!$K$5:$AJ$130,0,MATCH(K$2,Inputs!$K$4:$AJ$4,0)))+SUMPRODUCT((Inputs!$E$5:$E$130=$B38)*Inputs!$F$5:$F$130*(((Inputs!$G$5:$G$130="moeda")+(Inputs!$G$5:$G$130="acoes"))*Inputs!$B$1+((Inputs!$G$5:$G$130&lt;&gt;"moeda")*(Inputs!$G$5:$G$130&lt;&gt;"acoes")))*INDEX(Inputs!$K$5:$AJ$130,0,MATCH(K$2,Inputs!$K$4:$AJ$4,0)))))</f>
        <v>16893</v>
      </c>
      <c r="L38" s="265">
        <f>IF(ISNA(MATCH(L$2,Inputs!$K$4:$AJ$4,0)),NA(),IF(SUMPRODUCT((Inputs!$A$5:$A$130=$B38)*ISNUMBER(INDEX(Inputs!$K$5:$AJ$130,0,MATCH(L$2,Inputs!$K$4:$AJ$4,0))))+SUMPRODUCT((Inputs!$C$5:$C$130=$B38)*ISNUMBER(INDEX(Inputs!$K$5:$AJ$130,0,MATCH(L$2,Inputs!$K$4:$AJ$4,0))))+SUMPRODUCT((Inputs!$E$5:$E$130=$B38)*ISNUMBER(INDEX(Inputs!$K$5:$AJ$130,0,MATCH(L$2,Inputs!$K$4:$AJ$4,0))))=0,NA(),SUMPRODUCT((Inputs!$A$5:$A$130=$B38)*Inputs!$B$5:$B$130*(((Inputs!$G$5:$G$130="moeda")+(Inputs!$G$5:$G$130="acoes"))*Inputs!$B$1+((Inputs!$G$5:$G$130&lt;&gt;"moeda")*(Inputs!$G$5:$G$130&lt;&gt;"acoes")))*INDEX(Inputs!$K$5:$AJ$130,0,MATCH(L$2,Inputs!$K$4:$AJ$4,0)))+SUMPRODUCT((Inputs!$C$5:$C$130=$B38)*Inputs!$D$5:$D$130*(((Inputs!$G$5:$G$130="moeda")+(Inputs!$G$5:$G$130="acoes"))*Inputs!$B$1+((Inputs!$G$5:$G$130&lt;&gt;"moeda")*(Inputs!$G$5:$G$130&lt;&gt;"acoes")))*INDEX(Inputs!$K$5:$AJ$130,0,MATCH(L$2,Inputs!$K$4:$AJ$4,0)))+SUMPRODUCT((Inputs!$E$5:$E$130=$B38)*Inputs!$F$5:$F$130*(((Inputs!$G$5:$G$130="moeda")+(Inputs!$G$5:$G$130="acoes"))*Inputs!$B$1+((Inputs!$G$5:$G$130&lt;&gt;"moeda")*(Inputs!$G$5:$G$130&lt;&gt;"acoes")))*INDEX(Inputs!$K$5:$AJ$130,0,MATCH(L$2,Inputs!$K$4:$AJ$4,0)))))</f>
        <v>16186</v>
      </c>
      <c r="M38" s="266">
        <f>L38</f>
        <v>16186</v>
      </c>
      <c r="N38" s="265">
        <f>IF(ISNA(MATCH(N$2,Inputs!$K$4:$AJ$4,0)),NA(),IF(SUMPRODUCT((Inputs!$A$5:$A$130=$B38)*ISNUMBER(INDEX(Inputs!$K$5:$AJ$130,0,MATCH(N$2,Inputs!$K$4:$AJ$4,0))))+SUMPRODUCT((Inputs!$C$5:$C$130=$B38)*ISNUMBER(INDEX(Inputs!$K$5:$AJ$130,0,MATCH(N$2,Inputs!$K$4:$AJ$4,0))))+SUMPRODUCT((Inputs!$E$5:$E$130=$B38)*ISNUMBER(INDEX(Inputs!$K$5:$AJ$130,0,MATCH(N$2,Inputs!$K$4:$AJ$4,0))))=0,NA(),SUMPRODUCT((Inputs!$A$5:$A$130=$B38)*Inputs!$B$5:$B$130*(((Inputs!$G$5:$G$130="moeda")+(Inputs!$G$5:$G$130="acoes"))*Inputs!$B$1+((Inputs!$G$5:$G$130&lt;&gt;"moeda")*(Inputs!$G$5:$G$130&lt;&gt;"acoes")))*INDEX(Inputs!$K$5:$AJ$130,0,MATCH(N$2,Inputs!$K$4:$AJ$4,0)))+SUMPRODUCT((Inputs!$C$5:$C$130=$B38)*Inputs!$D$5:$D$130*(((Inputs!$G$5:$G$130="moeda")+(Inputs!$G$5:$G$130="acoes"))*Inputs!$B$1+((Inputs!$G$5:$G$130&lt;&gt;"moeda")*(Inputs!$G$5:$G$130&lt;&gt;"acoes")))*INDEX(Inputs!$K$5:$AJ$130,0,MATCH(N$2,Inputs!$K$4:$AJ$4,0)))+SUMPRODUCT((Inputs!$E$5:$E$130=$B38)*Inputs!$F$5:$F$130*(((Inputs!$G$5:$G$130="moeda")+(Inputs!$G$5:$G$130="acoes"))*Inputs!$B$1+((Inputs!$G$5:$G$130&lt;&gt;"moeda")*(Inputs!$G$5:$G$130&lt;&gt;"acoes")))*INDEX(Inputs!$K$5:$AJ$130,0,MATCH(N$2,Inputs!$K$4:$AJ$4,0)))))</f>
        <v>16464</v>
      </c>
      <c r="O38" s="265">
        <f>IF(ISNA(MATCH(O$2,Inputs!$K$4:$AJ$4,0)),NA(),IF(SUMPRODUCT((Inputs!$A$5:$A$130=$B38)*ISNUMBER(INDEX(Inputs!$K$5:$AJ$130,0,MATCH(O$2,Inputs!$K$4:$AJ$4,0))))+SUMPRODUCT((Inputs!$C$5:$C$130=$B38)*ISNUMBER(INDEX(Inputs!$K$5:$AJ$130,0,MATCH(O$2,Inputs!$K$4:$AJ$4,0))))+SUMPRODUCT((Inputs!$E$5:$E$130=$B38)*ISNUMBER(INDEX(Inputs!$K$5:$AJ$130,0,MATCH(O$2,Inputs!$K$4:$AJ$4,0))))=0,NA(),SUMPRODUCT((Inputs!$A$5:$A$130=$B38)*Inputs!$B$5:$B$130*(((Inputs!$G$5:$G$130="moeda")+(Inputs!$G$5:$G$130="acoes"))*Inputs!$B$1+((Inputs!$G$5:$G$130&lt;&gt;"moeda")*(Inputs!$G$5:$G$130&lt;&gt;"acoes")))*INDEX(Inputs!$K$5:$AJ$130,0,MATCH(O$2,Inputs!$K$4:$AJ$4,0)))+SUMPRODUCT((Inputs!$C$5:$C$130=$B38)*Inputs!$D$5:$D$130*(((Inputs!$G$5:$G$130="moeda")+(Inputs!$G$5:$G$130="acoes"))*Inputs!$B$1+((Inputs!$G$5:$G$130&lt;&gt;"moeda")*(Inputs!$G$5:$G$130&lt;&gt;"acoes")))*INDEX(Inputs!$K$5:$AJ$130,0,MATCH(O$2,Inputs!$K$4:$AJ$4,0)))+SUMPRODUCT((Inputs!$E$5:$E$130=$B38)*Inputs!$F$5:$F$130*(((Inputs!$G$5:$G$130="moeda")+(Inputs!$G$5:$G$130="acoes"))*Inputs!$B$1+((Inputs!$G$5:$G$130&lt;&gt;"moeda")*(Inputs!$G$5:$G$130&lt;&gt;"acoes")))*INDEX(Inputs!$K$5:$AJ$130,0,MATCH(O$2,Inputs!$K$4:$AJ$4,0)))))</f>
        <v>15955</v>
      </c>
      <c r="P38" s="265">
        <f>IF(ISNA(MATCH(P$2,Inputs!$K$4:$AJ$4,0)),NA(),IF(SUMPRODUCT((Inputs!$A$5:$A$130=$B38)*ISNUMBER(INDEX(Inputs!$K$5:$AJ$130,0,MATCH(P$2,Inputs!$K$4:$AJ$4,0))))+SUMPRODUCT((Inputs!$C$5:$C$130=$B38)*ISNUMBER(INDEX(Inputs!$K$5:$AJ$130,0,MATCH(P$2,Inputs!$K$4:$AJ$4,0))))+SUMPRODUCT((Inputs!$E$5:$E$130=$B38)*ISNUMBER(INDEX(Inputs!$K$5:$AJ$130,0,MATCH(P$2,Inputs!$K$4:$AJ$4,0))))=0,NA(),SUMPRODUCT((Inputs!$A$5:$A$130=$B38)*Inputs!$B$5:$B$130*(((Inputs!$G$5:$G$130="moeda")+(Inputs!$G$5:$G$130="acoes"))*Inputs!$B$1+((Inputs!$G$5:$G$130&lt;&gt;"moeda")*(Inputs!$G$5:$G$130&lt;&gt;"acoes")))*INDEX(Inputs!$K$5:$AJ$130,0,MATCH(P$2,Inputs!$K$4:$AJ$4,0)))+SUMPRODUCT((Inputs!$C$5:$C$130=$B38)*Inputs!$D$5:$D$130*(((Inputs!$G$5:$G$130="moeda")+(Inputs!$G$5:$G$130="acoes"))*Inputs!$B$1+((Inputs!$G$5:$G$130&lt;&gt;"moeda")*(Inputs!$G$5:$G$130&lt;&gt;"acoes")))*INDEX(Inputs!$K$5:$AJ$130,0,MATCH(P$2,Inputs!$K$4:$AJ$4,0)))+SUMPRODUCT((Inputs!$E$5:$E$130=$B38)*Inputs!$F$5:$F$130*(((Inputs!$G$5:$G$130="moeda")+(Inputs!$G$5:$G$130="acoes"))*Inputs!$B$1+((Inputs!$G$5:$G$130&lt;&gt;"moeda")*(Inputs!$G$5:$G$130&lt;&gt;"acoes")))*INDEX(Inputs!$K$5:$AJ$130,0,MATCH(P$2,Inputs!$K$4:$AJ$4,0)))))</f>
        <v>15891</v>
      </c>
      <c r="Q38" s="265">
        <f>IF(ISNA(MATCH(Q$2,Inputs!$K$4:$AJ$4,0)),NA(),IF(SUMPRODUCT((Inputs!$A$5:$A$130=$B38)*ISNUMBER(INDEX(Inputs!$K$5:$AJ$130,0,MATCH(Q$2,Inputs!$K$4:$AJ$4,0))))+SUMPRODUCT((Inputs!$C$5:$C$130=$B38)*ISNUMBER(INDEX(Inputs!$K$5:$AJ$130,0,MATCH(Q$2,Inputs!$K$4:$AJ$4,0))))+SUMPRODUCT((Inputs!$E$5:$E$130=$B38)*ISNUMBER(INDEX(Inputs!$K$5:$AJ$130,0,MATCH(Q$2,Inputs!$K$4:$AJ$4,0))))=0,NA(),SUMPRODUCT((Inputs!$A$5:$A$130=$B38)*Inputs!$B$5:$B$130*(((Inputs!$G$5:$G$130="moeda")+(Inputs!$G$5:$G$130="acoes"))*Inputs!$B$1+((Inputs!$G$5:$G$130&lt;&gt;"moeda")*(Inputs!$G$5:$G$130&lt;&gt;"acoes")))*INDEX(Inputs!$K$5:$AJ$130,0,MATCH(Q$2,Inputs!$K$4:$AJ$4,0)))+SUMPRODUCT((Inputs!$C$5:$C$130=$B38)*Inputs!$D$5:$D$130*(((Inputs!$G$5:$G$130="moeda")+(Inputs!$G$5:$G$130="acoes"))*Inputs!$B$1+((Inputs!$G$5:$G$130&lt;&gt;"moeda")*(Inputs!$G$5:$G$130&lt;&gt;"acoes")))*INDEX(Inputs!$K$5:$AJ$130,0,MATCH(Q$2,Inputs!$K$4:$AJ$4,0)))+SUMPRODUCT((Inputs!$E$5:$E$130=$B38)*Inputs!$F$5:$F$130*(((Inputs!$G$5:$G$130="moeda")+(Inputs!$G$5:$G$130="acoes"))*Inputs!$B$1+((Inputs!$G$5:$G$130&lt;&gt;"moeda")*(Inputs!$G$5:$G$130&lt;&gt;"acoes")))*INDEX(Inputs!$K$5:$AJ$130,0,MATCH(Q$2,Inputs!$K$4:$AJ$4,0)))))</f>
        <v>15347</v>
      </c>
      <c r="R38" s="266">
        <f>Q38</f>
        <v>15347</v>
      </c>
      <c r="S38" s="265">
        <f>IF(ISNA(MATCH(S$2,Inputs!$K$4:$AJ$4,0)),NA(),IF(SUMPRODUCT((Inputs!$A$5:$A$130=$B38)*ISNUMBER(INDEX(Inputs!$K$5:$AJ$130,0,MATCH(S$2,Inputs!$K$4:$AJ$4,0))))+SUMPRODUCT((Inputs!$C$5:$C$130=$B38)*ISNUMBER(INDEX(Inputs!$K$5:$AJ$130,0,MATCH(S$2,Inputs!$K$4:$AJ$4,0))))+SUMPRODUCT((Inputs!$E$5:$E$130=$B38)*ISNUMBER(INDEX(Inputs!$K$5:$AJ$130,0,MATCH(S$2,Inputs!$K$4:$AJ$4,0))))=0,NA(),SUMPRODUCT((Inputs!$A$5:$A$130=$B38)*Inputs!$B$5:$B$130*(((Inputs!$G$5:$G$130="moeda")+(Inputs!$G$5:$G$130="acoes"))*Inputs!$B$1+((Inputs!$G$5:$G$130&lt;&gt;"moeda")*(Inputs!$G$5:$G$130&lt;&gt;"acoes")))*INDEX(Inputs!$K$5:$AJ$130,0,MATCH(S$2,Inputs!$K$4:$AJ$4,0)))+SUMPRODUCT((Inputs!$C$5:$C$130=$B38)*Inputs!$D$5:$D$130*(((Inputs!$G$5:$G$130="moeda")+(Inputs!$G$5:$G$130="acoes"))*Inputs!$B$1+((Inputs!$G$5:$G$130&lt;&gt;"moeda")*(Inputs!$G$5:$G$130&lt;&gt;"acoes")))*INDEX(Inputs!$K$5:$AJ$130,0,MATCH(S$2,Inputs!$K$4:$AJ$4,0)))+SUMPRODUCT((Inputs!$E$5:$E$130=$B38)*Inputs!$F$5:$F$130*(((Inputs!$G$5:$G$130="moeda")+(Inputs!$G$5:$G$130="acoes"))*Inputs!$B$1+((Inputs!$G$5:$G$130&lt;&gt;"moeda")*(Inputs!$G$5:$G$130&lt;&gt;"acoes")))*INDEX(Inputs!$K$5:$AJ$130,0,MATCH(S$2,Inputs!$K$4:$AJ$4,0)))))</f>
        <v>15179</v>
      </c>
      <c r="T38" s="265">
        <f>IF(ISNA(MATCH(T$2,Inputs!$K$4:$AJ$4,0)),NA(),IF(SUMPRODUCT((Inputs!$A$5:$A$130=$B38)*ISNUMBER(INDEX(Inputs!$K$5:$AJ$130,0,MATCH(T$2,Inputs!$K$4:$AJ$4,0))))+SUMPRODUCT((Inputs!$C$5:$C$130=$B38)*ISNUMBER(INDEX(Inputs!$K$5:$AJ$130,0,MATCH(T$2,Inputs!$K$4:$AJ$4,0))))+SUMPRODUCT((Inputs!$E$5:$E$130=$B38)*ISNUMBER(INDEX(Inputs!$K$5:$AJ$130,0,MATCH(T$2,Inputs!$K$4:$AJ$4,0))))=0,NA(),SUMPRODUCT((Inputs!$A$5:$A$130=$B38)*Inputs!$B$5:$B$130*(((Inputs!$G$5:$G$130="moeda")+(Inputs!$G$5:$G$130="acoes"))*Inputs!$B$1+((Inputs!$G$5:$G$130&lt;&gt;"moeda")*(Inputs!$G$5:$G$130&lt;&gt;"acoes")))*INDEX(Inputs!$K$5:$AJ$130,0,MATCH(T$2,Inputs!$K$4:$AJ$4,0)))+SUMPRODUCT((Inputs!$C$5:$C$130=$B38)*Inputs!$D$5:$D$130*(((Inputs!$G$5:$G$130="moeda")+(Inputs!$G$5:$G$130="acoes"))*Inputs!$B$1+((Inputs!$G$5:$G$130&lt;&gt;"moeda")*(Inputs!$G$5:$G$130&lt;&gt;"acoes")))*INDEX(Inputs!$K$5:$AJ$130,0,MATCH(T$2,Inputs!$K$4:$AJ$4,0)))+SUMPRODUCT((Inputs!$E$5:$E$130=$B38)*Inputs!$F$5:$F$130*(((Inputs!$G$5:$G$130="moeda")+(Inputs!$G$5:$G$130="acoes"))*Inputs!$B$1+((Inputs!$G$5:$G$130&lt;&gt;"moeda")*(Inputs!$G$5:$G$130&lt;&gt;"acoes")))*INDEX(Inputs!$K$5:$AJ$130,0,MATCH(T$2,Inputs!$K$4:$AJ$4,0)))))</f>
        <v>15293</v>
      </c>
      <c r="U38" s="265">
        <f>IF(ISNA(MATCH(U$2,Inputs!$K$4:$AJ$4,0)),NA(),IF(SUMPRODUCT((Inputs!$A$5:$A$130=$B38)*ISNUMBER(INDEX(Inputs!$K$5:$AJ$130,0,MATCH(U$2,Inputs!$K$4:$AJ$4,0))))+SUMPRODUCT((Inputs!$C$5:$C$130=$B38)*ISNUMBER(INDEX(Inputs!$K$5:$AJ$130,0,MATCH(U$2,Inputs!$K$4:$AJ$4,0))))+SUMPRODUCT((Inputs!$E$5:$E$130=$B38)*ISNUMBER(INDEX(Inputs!$K$5:$AJ$130,0,MATCH(U$2,Inputs!$K$4:$AJ$4,0))))=0,NA(),SUMPRODUCT((Inputs!$A$5:$A$130=$B38)*Inputs!$B$5:$B$130*(((Inputs!$G$5:$G$130="moeda")+(Inputs!$G$5:$G$130="acoes"))*Inputs!$B$1+((Inputs!$G$5:$G$130&lt;&gt;"moeda")*(Inputs!$G$5:$G$130&lt;&gt;"acoes")))*INDEX(Inputs!$K$5:$AJ$130,0,MATCH(U$2,Inputs!$K$4:$AJ$4,0)))+SUMPRODUCT((Inputs!$C$5:$C$130=$B38)*Inputs!$D$5:$D$130*(((Inputs!$G$5:$G$130="moeda")+(Inputs!$G$5:$G$130="acoes"))*Inputs!$B$1+((Inputs!$G$5:$G$130&lt;&gt;"moeda")*(Inputs!$G$5:$G$130&lt;&gt;"acoes")))*INDEX(Inputs!$K$5:$AJ$130,0,MATCH(U$2,Inputs!$K$4:$AJ$4,0)))+SUMPRODUCT((Inputs!$E$5:$E$130=$B38)*Inputs!$F$5:$F$130*(((Inputs!$G$5:$G$130="moeda")+(Inputs!$G$5:$G$130="acoes"))*Inputs!$B$1+((Inputs!$G$5:$G$130&lt;&gt;"moeda")*(Inputs!$G$5:$G$130&lt;&gt;"acoes")))*INDEX(Inputs!$K$5:$AJ$130,0,MATCH(U$2,Inputs!$K$4:$AJ$4,0)))))</f>
        <v>15487</v>
      </c>
      <c r="V38" s="265">
        <f>IF(ISNA(MATCH(V$2,Inputs!$K$4:$AJ$4,0)),NA(),IF(SUMPRODUCT((Inputs!$A$5:$A$130=$B38)*ISNUMBER(INDEX(Inputs!$K$5:$AJ$130,0,MATCH(V$2,Inputs!$K$4:$AJ$4,0))))+SUMPRODUCT((Inputs!$C$5:$C$130=$B38)*ISNUMBER(INDEX(Inputs!$K$5:$AJ$130,0,MATCH(V$2,Inputs!$K$4:$AJ$4,0))))+SUMPRODUCT((Inputs!$E$5:$E$130=$B38)*ISNUMBER(INDEX(Inputs!$K$5:$AJ$130,0,MATCH(V$2,Inputs!$K$4:$AJ$4,0))))=0,NA(),SUMPRODUCT((Inputs!$A$5:$A$130=$B38)*Inputs!$B$5:$B$130*(((Inputs!$G$5:$G$130="moeda")+(Inputs!$G$5:$G$130="acoes"))*Inputs!$B$1+((Inputs!$G$5:$G$130&lt;&gt;"moeda")*(Inputs!$G$5:$G$130&lt;&gt;"acoes")))*INDEX(Inputs!$K$5:$AJ$130,0,MATCH(V$2,Inputs!$K$4:$AJ$4,0)))+SUMPRODUCT((Inputs!$C$5:$C$130=$B38)*Inputs!$D$5:$D$130*(((Inputs!$G$5:$G$130="moeda")+(Inputs!$G$5:$G$130="acoes"))*Inputs!$B$1+((Inputs!$G$5:$G$130&lt;&gt;"moeda")*(Inputs!$G$5:$G$130&lt;&gt;"acoes")))*INDEX(Inputs!$K$5:$AJ$130,0,MATCH(V$2,Inputs!$K$4:$AJ$4,0)))+SUMPRODUCT((Inputs!$E$5:$E$130=$B38)*Inputs!$F$5:$F$130*(((Inputs!$G$5:$G$130="moeda")+(Inputs!$G$5:$G$130="acoes"))*Inputs!$B$1+((Inputs!$G$5:$G$130&lt;&gt;"moeda")*(Inputs!$G$5:$G$130&lt;&gt;"acoes")))*INDEX(Inputs!$K$5:$AJ$130,0,MATCH(V$2,Inputs!$K$4:$AJ$4,0)))))</f>
        <v>13505</v>
      </c>
      <c r="W38" s="266">
        <f>V38</f>
        <v>13505</v>
      </c>
      <c r="X38" s="265">
        <f>IF(ISNA(MATCH(X$2,Inputs!$K$4:$AJ$4,0)),NA(),IF(SUMPRODUCT((Inputs!$A$5:$A$130=$B38)*ISNUMBER(INDEX(Inputs!$K$5:$AJ$130,0,MATCH(X$2,Inputs!$K$4:$AJ$4,0))))+SUMPRODUCT((Inputs!$C$5:$C$130=$B38)*ISNUMBER(INDEX(Inputs!$K$5:$AJ$130,0,MATCH(X$2,Inputs!$K$4:$AJ$4,0))))+SUMPRODUCT((Inputs!$E$5:$E$130=$B38)*ISNUMBER(INDEX(Inputs!$K$5:$AJ$130,0,MATCH(X$2,Inputs!$K$4:$AJ$4,0))))=0,NA(),SUMPRODUCT((Inputs!$A$5:$A$130=$B38)*Inputs!$B$5:$B$130*(((Inputs!$G$5:$G$130="moeda")+(Inputs!$G$5:$G$130="acoes"))*Inputs!$B$1+((Inputs!$G$5:$G$130&lt;&gt;"moeda")*(Inputs!$G$5:$G$130&lt;&gt;"acoes")))*INDEX(Inputs!$K$5:$AJ$130,0,MATCH(X$2,Inputs!$K$4:$AJ$4,0)))+SUMPRODUCT((Inputs!$C$5:$C$130=$B38)*Inputs!$D$5:$D$130*(((Inputs!$G$5:$G$130="moeda")+(Inputs!$G$5:$G$130="acoes"))*Inputs!$B$1+((Inputs!$G$5:$G$130&lt;&gt;"moeda")*(Inputs!$G$5:$G$130&lt;&gt;"acoes")))*INDEX(Inputs!$K$5:$AJ$130,0,MATCH(X$2,Inputs!$K$4:$AJ$4,0)))+SUMPRODUCT((Inputs!$E$5:$E$130=$B38)*Inputs!$F$5:$F$130*(((Inputs!$G$5:$G$130="moeda")+(Inputs!$G$5:$G$130="acoes"))*Inputs!$B$1+((Inputs!$G$5:$G$130&lt;&gt;"moeda")*(Inputs!$G$5:$G$130&lt;&gt;"acoes")))*INDEX(Inputs!$K$5:$AJ$130,0,MATCH(X$2,Inputs!$K$4:$AJ$4,0)))))</f>
        <v>13257</v>
      </c>
      <c r="Y38" s="265">
        <f>IF(ISNA(MATCH(Y$2,Inputs!$K$4:$AJ$4,0)),NA(),IF(SUMPRODUCT((Inputs!$A$5:$A$130=$B38)*ISNUMBER(INDEX(Inputs!$K$5:$AJ$130,0,MATCH(Y$2,Inputs!$K$4:$AJ$4,0))))+SUMPRODUCT((Inputs!$C$5:$C$130=$B38)*ISNUMBER(INDEX(Inputs!$K$5:$AJ$130,0,MATCH(Y$2,Inputs!$K$4:$AJ$4,0))))+SUMPRODUCT((Inputs!$E$5:$E$130=$B38)*ISNUMBER(INDEX(Inputs!$K$5:$AJ$130,0,MATCH(Y$2,Inputs!$K$4:$AJ$4,0))))=0,NA(),SUMPRODUCT((Inputs!$A$5:$A$130=$B38)*Inputs!$B$5:$B$130*(((Inputs!$G$5:$G$130="moeda")+(Inputs!$G$5:$G$130="acoes"))*Inputs!$B$1+((Inputs!$G$5:$G$130&lt;&gt;"moeda")*(Inputs!$G$5:$G$130&lt;&gt;"acoes")))*INDEX(Inputs!$K$5:$AJ$130,0,MATCH(Y$2,Inputs!$K$4:$AJ$4,0)))+SUMPRODUCT((Inputs!$C$5:$C$130=$B38)*Inputs!$D$5:$D$130*(((Inputs!$G$5:$G$130="moeda")+(Inputs!$G$5:$G$130="acoes"))*Inputs!$B$1+((Inputs!$G$5:$G$130&lt;&gt;"moeda")*(Inputs!$G$5:$G$130&lt;&gt;"acoes")))*INDEX(Inputs!$K$5:$AJ$130,0,MATCH(Y$2,Inputs!$K$4:$AJ$4,0)))+SUMPRODUCT((Inputs!$E$5:$E$130=$B38)*Inputs!$F$5:$F$130*(((Inputs!$G$5:$G$130="moeda")+(Inputs!$G$5:$G$130="acoes"))*Inputs!$B$1+((Inputs!$G$5:$G$130&lt;&gt;"moeda")*(Inputs!$G$5:$G$130&lt;&gt;"acoes")))*INDEX(Inputs!$K$5:$AJ$130,0,MATCH(Y$2,Inputs!$K$4:$AJ$4,0)))))</f>
        <v>12921</v>
      </c>
      <c r="Z38" s="265">
        <f>IF(ISNA(MATCH(Z$2,Inputs!$K$4:$AJ$4,0)),NA(),IF(SUMPRODUCT((Inputs!$A$5:$A$130=$B38)*ISNUMBER(INDEX(Inputs!$K$5:$AJ$130,0,MATCH(Z$2,Inputs!$K$4:$AJ$4,0))))+SUMPRODUCT((Inputs!$C$5:$C$130=$B38)*ISNUMBER(INDEX(Inputs!$K$5:$AJ$130,0,MATCH(Z$2,Inputs!$K$4:$AJ$4,0))))+SUMPRODUCT((Inputs!$E$5:$E$130=$B38)*ISNUMBER(INDEX(Inputs!$K$5:$AJ$130,0,MATCH(Z$2,Inputs!$K$4:$AJ$4,0))))=0,NA(),SUMPRODUCT((Inputs!$A$5:$A$130=$B38)*Inputs!$B$5:$B$130*(((Inputs!$G$5:$G$130="moeda")+(Inputs!$G$5:$G$130="acoes"))*Inputs!$B$1+((Inputs!$G$5:$G$130&lt;&gt;"moeda")*(Inputs!$G$5:$G$130&lt;&gt;"acoes")))*INDEX(Inputs!$K$5:$AJ$130,0,MATCH(Z$2,Inputs!$K$4:$AJ$4,0)))+SUMPRODUCT((Inputs!$C$5:$C$130=$B38)*Inputs!$D$5:$D$130*(((Inputs!$G$5:$G$130="moeda")+(Inputs!$G$5:$G$130="acoes"))*Inputs!$B$1+((Inputs!$G$5:$G$130&lt;&gt;"moeda")*(Inputs!$G$5:$G$130&lt;&gt;"acoes")))*INDEX(Inputs!$K$5:$AJ$130,0,MATCH(Z$2,Inputs!$K$4:$AJ$4,0)))+SUMPRODUCT((Inputs!$E$5:$E$130=$B38)*Inputs!$F$5:$F$130*(((Inputs!$G$5:$G$130="moeda")+(Inputs!$G$5:$G$130="acoes"))*Inputs!$B$1+((Inputs!$G$5:$G$130&lt;&gt;"moeda")*(Inputs!$G$5:$G$130&lt;&gt;"acoes")))*INDEX(Inputs!$K$5:$AJ$130,0,MATCH(Z$2,Inputs!$K$4:$AJ$4,0)))))</f>
        <v>11955</v>
      </c>
      <c r="AA38" s="265">
        <f>IF(ISNA(MATCH(AA$2,Inputs!$K$4:$AJ$4,0)),NA(),IF(SUMPRODUCT((Inputs!$A$5:$A$130=$B38)*ISNUMBER(INDEX(Inputs!$K$5:$AJ$130,0,MATCH(AA$2,Inputs!$K$4:$AJ$4,0))))+SUMPRODUCT((Inputs!$C$5:$C$130=$B38)*ISNUMBER(INDEX(Inputs!$K$5:$AJ$130,0,MATCH(AA$2,Inputs!$K$4:$AJ$4,0))))+SUMPRODUCT((Inputs!$E$5:$E$130=$B38)*ISNUMBER(INDEX(Inputs!$K$5:$AJ$130,0,MATCH(AA$2,Inputs!$K$4:$AJ$4,0))))=0,NA(),SUMPRODUCT((Inputs!$A$5:$A$130=$B38)*Inputs!$B$5:$B$130*(((Inputs!$G$5:$G$130="moeda")+(Inputs!$G$5:$G$130="acoes"))*Inputs!$B$1+((Inputs!$G$5:$G$130&lt;&gt;"moeda")*(Inputs!$G$5:$G$130&lt;&gt;"acoes")))*INDEX(Inputs!$K$5:$AJ$130,0,MATCH(AA$2,Inputs!$K$4:$AJ$4,0)))+SUMPRODUCT((Inputs!$C$5:$C$130=$B38)*Inputs!$D$5:$D$130*(((Inputs!$G$5:$G$130="moeda")+(Inputs!$G$5:$G$130="acoes"))*Inputs!$B$1+((Inputs!$G$5:$G$130&lt;&gt;"moeda")*(Inputs!$G$5:$G$130&lt;&gt;"acoes")))*INDEX(Inputs!$K$5:$AJ$130,0,MATCH(AA$2,Inputs!$K$4:$AJ$4,0)))+SUMPRODUCT((Inputs!$E$5:$E$130=$B38)*Inputs!$F$5:$F$130*(((Inputs!$G$5:$G$130="moeda")+(Inputs!$G$5:$G$130="acoes"))*Inputs!$B$1+((Inputs!$G$5:$G$130&lt;&gt;"moeda")*(Inputs!$G$5:$G$130&lt;&gt;"acoes")))*INDEX(Inputs!$K$5:$AJ$130,0,MATCH(AA$2,Inputs!$K$4:$AJ$4,0)))))</f>
        <v>11983</v>
      </c>
      <c r="AB38" s="266">
        <f>AA38</f>
        <v>11983</v>
      </c>
      <c r="AC38" s="265">
        <f>IF(ISNA(MATCH(AC$2,Inputs!$K$4:$AJ$4,0)),NA(),IF(SUMPRODUCT((Inputs!$A$5:$A$130=$B38)*ISNUMBER(INDEX(Inputs!$K$5:$AJ$130,0,MATCH(AC$2,Inputs!$K$4:$AJ$4,0))))+SUMPRODUCT((Inputs!$C$5:$C$130=$B38)*ISNUMBER(INDEX(Inputs!$K$5:$AJ$130,0,MATCH(AC$2,Inputs!$K$4:$AJ$4,0))))+SUMPRODUCT((Inputs!$E$5:$E$130=$B38)*ISNUMBER(INDEX(Inputs!$K$5:$AJ$130,0,MATCH(AC$2,Inputs!$K$4:$AJ$4,0))))=0,NA(),SUMPRODUCT((Inputs!$A$5:$A$130=$B38)*Inputs!$B$5:$B$130*(((Inputs!$G$5:$G$130="moeda")+(Inputs!$G$5:$G$130="acoes"))*Inputs!$B$1+((Inputs!$G$5:$G$130&lt;&gt;"moeda")*(Inputs!$G$5:$G$130&lt;&gt;"acoes")))*INDEX(Inputs!$K$5:$AJ$130,0,MATCH(AC$2,Inputs!$K$4:$AJ$4,0)))+SUMPRODUCT((Inputs!$C$5:$C$130=$B38)*Inputs!$D$5:$D$130*(((Inputs!$G$5:$G$130="moeda")+(Inputs!$G$5:$G$130="acoes"))*Inputs!$B$1+((Inputs!$G$5:$G$130&lt;&gt;"moeda")*(Inputs!$G$5:$G$130&lt;&gt;"acoes")))*INDEX(Inputs!$K$5:$AJ$130,0,MATCH(AC$2,Inputs!$K$4:$AJ$4,0)))+SUMPRODUCT((Inputs!$E$5:$E$130=$B38)*Inputs!$F$5:$F$130*(((Inputs!$G$5:$G$130="moeda")+(Inputs!$G$5:$G$130="acoes"))*Inputs!$B$1+((Inputs!$G$5:$G$130&lt;&gt;"moeda")*(Inputs!$G$5:$G$130&lt;&gt;"acoes")))*INDEX(Inputs!$K$5:$AJ$130,0,MATCH(AC$2,Inputs!$K$4:$AJ$4,0)))))</f>
        <v>11884</v>
      </c>
      <c r="AD38" s="265">
        <f>IF(ISNA(MATCH(AD$2,Inputs!$K$4:$AJ$4,0)),NA(),IF(SUMPRODUCT((Inputs!$A$5:$A$130=$B38)*ISNUMBER(INDEX(Inputs!$K$5:$AJ$130,0,MATCH(AD$2,Inputs!$K$4:$AJ$4,0))))+SUMPRODUCT((Inputs!$C$5:$C$130=$B38)*ISNUMBER(INDEX(Inputs!$K$5:$AJ$130,0,MATCH(AD$2,Inputs!$K$4:$AJ$4,0))))+SUMPRODUCT((Inputs!$E$5:$E$130=$B38)*ISNUMBER(INDEX(Inputs!$K$5:$AJ$130,0,MATCH(AD$2,Inputs!$K$4:$AJ$4,0))))=0,NA(),SUMPRODUCT((Inputs!$A$5:$A$130=$B38)*Inputs!$B$5:$B$130*(((Inputs!$G$5:$G$130="moeda")+(Inputs!$G$5:$G$130="acoes"))*Inputs!$B$1+((Inputs!$G$5:$G$130&lt;&gt;"moeda")*(Inputs!$G$5:$G$130&lt;&gt;"acoes")))*INDEX(Inputs!$K$5:$AJ$130,0,MATCH(AD$2,Inputs!$K$4:$AJ$4,0)))+SUMPRODUCT((Inputs!$C$5:$C$130=$B38)*Inputs!$D$5:$D$130*(((Inputs!$G$5:$G$130="moeda")+(Inputs!$G$5:$G$130="acoes"))*Inputs!$B$1+((Inputs!$G$5:$G$130&lt;&gt;"moeda")*(Inputs!$G$5:$G$130&lt;&gt;"acoes")))*INDEX(Inputs!$K$5:$AJ$130,0,MATCH(AD$2,Inputs!$K$4:$AJ$4,0)))+SUMPRODUCT((Inputs!$E$5:$E$130=$B38)*Inputs!$F$5:$F$130*(((Inputs!$G$5:$G$130="moeda")+(Inputs!$G$5:$G$130="acoes"))*Inputs!$B$1+((Inputs!$G$5:$G$130&lt;&gt;"moeda")*(Inputs!$G$5:$G$130&lt;&gt;"acoes")))*INDEX(Inputs!$K$5:$AJ$130,0,MATCH(AD$2,Inputs!$K$4:$AJ$4,0)))))</f>
        <v>11831</v>
      </c>
      <c r="AE38" s="265" t="e">
        <f>IF(ISNA(MATCH(AE$2,Inputs!$K$4:$AJ$4,0)),NA(),IF(SUMPRODUCT((Inputs!$A$5:$A$130=$B38)*ISNUMBER(INDEX(Inputs!$K$5:$AJ$130,0,MATCH(AE$2,Inputs!$K$4:$AJ$4,0))))+SUMPRODUCT((Inputs!$C$5:$C$130=$B38)*ISNUMBER(INDEX(Inputs!$K$5:$AJ$130,0,MATCH(AE$2,Inputs!$K$4:$AJ$4,0))))+SUMPRODUCT((Inputs!$E$5:$E$130=$B38)*ISNUMBER(INDEX(Inputs!$K$5:$AJ$130,0,MATCH(AE$2,Inputs!$K$4:$AJ$4,0))))=0,NA(),SUMPRODUCT((Inputs!$A$5:$A$130=$B38)*Inputs!$B$5:$B$130*(((Inputs!$G$5:$G$130="moeda")+(Inputs!$G$5:$G$130="acoes"))*Inputs!$B$1+((Inputs!$G$5:$G$130&lt;&gt;"moeda")*(Inputs!$G$5:$G$130&lt;&gt;"acoes")))*INDEX(Inputs!$K$5:$AJ$130,0,MATCH(AE$2,Inputs!$K$4:$AJ$4,0)))+SUMPRODUCT((Inputs!$C$5:$C$130=$B38)*Inputs!$D$5:$D$130*(((Inputs!$G$5:$G$130="moeda")+(Inputs!$G$5:$G$130="acoes"))*Inputs!$B$1+((Inputs!$G$5:$G$130&lt;&gt;"moeda")*(Inputs!$G$5:$G$130&lt;&gt;"acoes")))*INDEX(Inputs!$K$5:$AJ$130,0,MATCH(AE$2,Inputs!$K$4:$AJ$4,0)))+SUMPRODUCT((Inputs!$E$5:$E$130=$B38)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8" s="265" t="e">
        <f>IF(ISNA(MATCH(AF$2,Inputs!$K$4:$AJ$4,0)),NA(),IF(SUMPRODUCT((Inputs!$A$5:$A$130=$B38)*ISNUMBER(INDEX(Inputs!$K$5:$AJ$130,0,MATCH(AF$2,Inputs!$K$4:$AJ$4,0))))+SUMPRODUCT((Inputs!$C$5:$C$130=$B38)*ISNUMBER(INDEX(Inputs!$K$5:$AJ$130,0,MATCH(AF$2,Inputs!$K$4:$AJ$4,0))))+SUMPRODUCT((Inputs!$E$5:$E$130=$B38)*ISNUMBER(INDEX(Inputs!$K$5:$AJ$130,0,MATCH(AF$2,Inputs!$K$4:$AJ$4,0))))=0,NA(),SUMPRODUCT((Inputs!$A$5:$A$130=$B38)*Inputs!$B$5:$B$130*(((Inputs!$G$5:$G$130="moeda")+(Inputs!$G$5:$G$130="acoes"))*Inputs!$B$1+((Inputs!$G$5:$G$130&lt;&gt;"moeda")*(Inputs!$G$5:$G$130&lt;&gt;"acoes")))*INDEX(Inputs!$K$5:$AJ$130,0,MATCH(AF$2,Inputs!$K$4:$AJ$4,0)))+SUMPRODUCT((Inputs!$C$5:$C$130=$B38)*Inputs!$D$5:$D$130*(((Inputs!$G$5:$G$130="moeda")+(Inputs!$G$5:$G$130="acoes"))*Inputs!$B$1+((Inputs!$G$5:$G$130&lt;&gt;"moeda")*(Inputs!$G$5:$G$130&lt;&gt;"acoes")))*INDEX(Inputs!$K$5:$AJ$130,0,MATCH(AF$2,Inputs!$K$4:$AJ$4,0)))+SUMPRODUCT((Inputs!$E$5:$E$130=$B38)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8" s="266" t="e">
        <f>AF38</f>
        <v>#N/A</v>
      </c>
      <c r="AH38" s="265" t="e">
        <f>IF(ISNA(MATCH(AH$2,Inputs!$K$4:$AJ$4,0)),NA(),IF(SUMPRODUCT((Inputs!$A$5:$A$130=$B38)*ISNUMBER(INDEX(Inputs!$K$5:$AJ$130,0,MATCH(AH$2,Inputs!$K$4:$AJ$4,0))))+SUMPRODUCT((Inputs!$C$5:$C$130=$B38)*ISNUMBER(INDEX(Inputs!$K$5:$AJ$130,0,MATCH(AH$2,Inputs!$K$4:$AJ$4,0))))+SUMPRODUCT((Inputs!$E$5:$E$130=$B38)*ISNUMBER(INDEX(Inputs!$K$5:$AJ$130,0,MATCH(AH$2,Inputs!$K$4:$AJ$4,0))))=0,NA(),SUMPRODUCT((Inputs!$A$5:$A$130=$B38)*Inputs!$B$5:$B$130*(((Inputs!$G$5:$G$130="moeda")+(Inputs!$G$5:$G$130="acoes"))*Inputs!$B$1+((Inputs!$G$5:$G$130&lt;&gt;"moeda")*(Inputs!$G$5:$G$130&lt;&gt;"acoes")))*INDEX(Inputs!$K$5:$AJ$130,0,MATCH(AH$2,Inputs!$K$4:$AJ$4,0)))+SUMPRODUCT((Inputs!$C$5:$C$130=$B38)*Inputs!$D$5:$D$130*(((Inputs!$G$5:$G$130="moeda")+(Inputs!$G$5:$G$130="acoes"))*Inputs!$B$1+((Inputs!$G$5:$G$130&lt;&gt;"moeda")*(Inputs!$G$5:$G$130&lt;&gt;"acoes")))*INDEX(Inputs!$K$5:$AJ$130,0,MATCH(AH$2,Inputs!$K$4:$AJ$4,0)))+SUMPRODUCT((Inputs!$E$5:$E$130=$B38)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38" s="265" t="e">
        <f>IF(ISNA(MATCH(AI$2,Inputs!$K$4:$AJ$4,0)),NA(),IF(SUMPRODUCT((Inputs!$A$5:$A$130=$B38)*ISNUMBER(INDEX(Inputs!$K$5:$AJ$130,0,MATCH(AI$2,Inputs!$K$4:$AJ$4,0))))+SUMPRODUCT((Inputs!$C$5:$C$130=$B38)*ISNUMBER(INDEX(Inputs!$K$5:$AJ$130,0,MATCH(AI$2,Inputs!$K$4:$AJ$4,0))))+SUMPRODUCT((Inputs!$E$5:$E$130=$B38)*ISNUMBER(INDEX(Inputs!$K$5:$AJ$130,0,MATCH(AI$2,Inputs!$K$4:$AJ$4,0))))=0,NA(),SUMPRODUCT((Inputs!$A$5:$A$130=$B38)*Inputs!$B$5:$B$130*(((Inputs!$G$5:$G$130="moeda")+(Inputs!$G$5:$G$130="acoes"))*Inputs!$B$1+((Inputs!$G$5:$G$130&lt;&gt;"moeda")*(Inputs!$G$5:$G$130&lt;&gt;"acoes")))*INDEX(Inputs!$K$5:$AJ$130,0,MATCH(AI$2,Inputs!$K$4:$AJ$4,0)))+SUMPRODUCT((Inputs!$C$5:$C$130=$B38)*Inputs!$D$5:$D$130*(((Inputs!$G$5:$G$130="moeda")+(Inputs!$G$5:$G$130="acoes"))*Inputs!$B$1+((Inputs!$G$5:$G$130&lt;&gt;"moeda")*(Inputs!$G$5:$G$130&lt;&gt;"acoes")))*INDEX(Inputs!$K$5:$AJ$130,0,MATCH(AI$2,Inputs!$K$4:$AJ$4,0)))+SUMPRODUCT((Inputs!$E$5:$E$130=$B38)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38" s="265" t="e">
        <f>IF(ISNA(MATCH(AJ$2,Inputs!$K$4:$AJ$4,0)),NA(),IF(SUMPRODUCT((Inputs!$A$5:$A$130=$B38)*ISNUMBER(INDEX(Inputs!$K$5:$AJ$130,0,MATCH(AJ$2,Inputs!$K$4:$AJ$4,0))))+SUMPRODUCT((Inputs!$C$5:$C$130=$B38)*ISNUMBER(INDEX(Inputs!$K$5:$AJ$130,0,MATCH(AJ$2,Inputs!$K$4:$AJ$4,0))))+SUMPRODUCT((Inputs!$E$5:$E$130=$B38)*ISNUMBER(INDEX(Inputs!$K$5:$AJ$130,0,MATCH(AJ$2,Inputs!$K$4:$AJ$4,0))))=0,NA(),SUMPRODUCT((Inputs!$A$5:$A$130=$B38)*Inputs!$B$5:$B$130*(((Inputs!$G$5:$G$130="moeda")+(Inputs!$G$5:$G$130="acoes"))*Inputs!$B$1+((Inputs!$G$5:$G$130&lt;&gt;"moeda")*(Inputs!$G$5:$G$130&lt;&gt;"acoes")))*INDEX(Inputs!$K$5:$AJ$130,0,MATCH(AJ$2,Inputs!$K$4:$AJ$4,0)))+SUMPRODUCT((Inputs!$C$5:$C$130=$B38)*Inputs!$D$5:$D$130*(((Inputs!$G$5:$G$130="moeda")+(Inputs!$G$5:$G$130="acoes"))*Inputs!$B$1+((Inputs!$G$5:$G$130&lt;&gt;"moeda")*(Inputs!$G$5:$G$130&lt;&gt;"acoes")))*INDEX(Inputs!$K$5:$AJ$130,0,MATCH(AJ$2,Inputs!$K$4:$AJ$4,0)))+SUMPRODUCT((Inputs!$E$5:$E$130=$B38)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38" s="265" t="e">
        <f>IF(ISNA(MATCH(AK$2,Inputs!$K$4:$AJ$4,0)),NA(),IF(SUMPRODUCT((Inputs!$A$5:$A$130=$B38)*ISNUMBER(INDEX(Inputs!$K$5:$AJ$130,0,MATCH(AK$2,Inputs!$K$4:$AJ$4,0))))+SUMPRODUCT((Inputs!$C$5:$C$130=$B38)*ISNUMBER(INDEX(Inputs!$K$5:$AJ$130,0,MATCH(AK$2,Inputs!$K$4:$AJ$4,0))))+SUMPRODUCT((Inputs!$E$5:$E$130=$B38)*ISNUMBER(INDEX(Inputs!$K$5:$AJ$130,0,MATCH(AK$2,Inputs!$K$4:$AJ$4,0))))=0,NA(),SUMPRODUCT((Inputs!$A$5:$A$130=$B38)*Inputs!$B$5:$B$130*(((Inputs!$G$5:$G$130="moeda")+(Inputs!$G$5:$G$130="acoes"))*Inputs!$B$1+((Inputs!$G$5:$G$130&lt;&gt;"moeda")*(Inputs!$G$5:$G$130&lt;&gt;"acoes")))*INDEX(Inputs!$K$5:$AJ$130,0,MATCH(AK$2,Inputs!$K$4:$AJ$4,0)))+SUMPRODUCT((Inputs!$C$5:$C$130=$B38)*Inputs!$D$5:$D$130*(((Inputs!$G$5:$G$130="moeda")+(Inputs!$G$5:$G$130="acoes"))*Inputs!$B$1+((Inputs!$G$5:$G$130&lt;&gt;"moeda")*(Inputs!$G$5:$G$130&lt;&gt;"acoes")))*INDEX(Inputs!$K$5:$AJ$130,0,MATCH(AK$2,Inputs!$K$4:$AJ$4,0)))+SUMPRODUCT((Inputs!$E$5:$E$130=$B38)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38" s="266" t="e">
        <f>AK38</f>
        <v>#N/A</v>
      </c>
    </row>
    <row r="39" ht="12.75" customHeight="1" s="254">
      <c r="B39" s="263" t="n">
        <v>34</v>
      </c>
      <c r="C39" s="268" t="inlineStr">
        <is>
          <t>Other non-current liabilities</t>
        </is>
      </c>
      <c r="D39" s="265">
        <f>IF(ISNA(MATCH(D$2,Inputs!$K$4:$AJ$4,0)),NA(),IF(SUMPRODUCT((Inputs!$A$5:$A$130=$B39)*ISNUMBER(INDEX(Inputs!$K$5:$AJ$130,0,MATCH(D$2,Inputs!$K$4:$AJ$4,0))))+SUMPRODUCT((Inputs!$C$5:$C$130=$B39)*ISNUMBER(INDEX(Inputs!$K$5:$AJ$130,0,MATCH(D$2,Inputs!$K$4:$AJ$4,0))))+SUMPRODUCT((Inputs!$E$5:$E$130=$B39)*ISNUMBER(INDEX(Inputs!$K$5:$AJ$130,0,MATCH(D$2,Inputs!$K$4:$AJ$4,0))))=0,NA(),SUMPRODUCT((Inputs!$A$5:$A$130=$B39)*Inputs!$B$5:$B$130*(((Inputs!$G$5:$G$130="moeda")+(Inputs!$G$5:$G$130="acoes"))*Inputs!$B$1+((Inputs!$G$5:$G$130&lt;&gt;"moeda")*(Inputs!$G$5:$G$130&lt;&gt;"acoes")))*INDEX(Inputs!$K$5:$AJ$130,0,MATCH(D$2,Inputs!$K$4:$AJ$4,0)))+SUMPRODUCT((Inputs!$C$5:$C$130=$B39)*Inputs!$D$5:$D$130*(((Inputs!$G$5:$G$130="moeda")+(Inputs!$G$5:$G$130="acoes"))*Inputs!$B$1+((Inputs!$G$5:$G$130&lt;&gt;"moeda")*(Inputs!$G$5:$G$130&lt;&gt;"acoes")))*INDEX(Inputs!$K$5:$AJ$130,0,MATCH(D$2,Inputs!$K$4:$AJ$4,0)))+SUMPRODUCT((Inputs!$E$5:$E$130=$B39)*Inputs!$F$5:$F$130*(((Inputs!$G$5:$G$130="moeda")+(Inputs!$G$5:$G$130="acoes"))*Inputs!$B$1+((Inputs!$G$5:$G$130&lt;&gt;"moeda")*(Inputs!$G$5:$G$130&lt;&gt;"acoes")))*INDEX(Inputs!$K$5:$AJ$130,0,MATCH(D$2,Inputs!$K$4:$AJ$4,0)))))</f>
        <v>42902</v>
      </c>
      <c r="E39" s="265">
        <f>IF(ISNA(MATCH(E$2,Inputs!$K$4:$AJ$4,0)),NA(),IF(SUMPRODUCT((Inputs!$A$5:$A$130=$B39)*ISNUMBER(INDEX(Inputs!$K$5:$AJ$130,0,MATCH(E$2,Inputs!$K$4:$AJ$4,0))))+SUMPRODUCT((Inputs!$C$5:$C$130=$B39)*ISNUMBER(INDEX(Inputs!$K$5:$AJ$130,0,MATCH(E$2,Inputs!$K$4:$AJ$4,0))))+SUMPRODUCT((Inputs!$E$5:$E$130=$B39)*ISNUMBER(INDEX(Inputs!$K$5:$AJ$130,0,MATCH(E$2,Inputs!$K$4:$AJ$4,0))))=0,NA(),SUMPRODUCT((Inputs!$A$5:$A$130=$B39)*Inputs!$B$5:$B$130*(((Inputs!$G$5:$G$130="moeda")+(Inputs!$G$5:$G$130="acoes"))*Inputs!$B$1+((Inputs!$G$5:$G$130&lt;&gt;"moeda")*(Inputs!$G$5:$G$130&lt;&gt;"acoes")))*INDEX(Inputs!$K$5:$AJ$130,0,MATCH(E$2,Inputs!$K$4:$AJ$4,0)))+SUMPRODUCT((Inputs!$C$5:$C$130=$B39)*Inputs!$D$5:$D$130*(((Inputs!$G$5:$G$130="moeda")+(Inputs!$G$5:$G$130="acoes"))*Inputs!$B$1+((Inputs!$G$5:$G$130&lt;&gt;"moeda")*(Inputs!$G$5:$G$130&lt;&gt;"acoes")))*INDEX(Inputs!$K$5:$AJ$130,0,MATCH(E$2,Inputs!$K$4:$AJ$4,0)))+SUMPRODUCT((Inputs!$E$5:$E$130=$B39)*Inputs!$F$5:$F$130*(((Inputs!$G$5:$G$130="moeda")+(Inputs!$G$5:$G$130="acoes"))*Inputs!$B$1+((Inputs!$G$5:$G$130&lt;&gt;"moeda")*(Inputs!$G$5:$G$130&lt;&gt;"acoes")))*INDEX(Inputs!$K$5:$AJ$130,0,MATCH(E$2,Inputs!$K$4:$AJ$4,0)))))</f>
        <v>43362</v>
      </c>
      <c r="F39" s="265">
        <f>IF(ISNA(MATCH(F$2,Inputs!$K$4:$AJ$4,0)),NA(),IF(SUMPRODUCT((Inputs!$A$5:$A$130=$B39)*ISNUMBER(INDEX(Inputs!$K$5:$AJ$130,0,MATCH(F$2,Inputs!$K$4:$AJ$4,0))))+SUMPRODUCT((Inputs!$C$5:$C$130=$B39)*ISNUMBER(INDEX(Inputs!$K$5:$AJ$130,0,MATCH(F$2,Inputs!$K$4:$AJ$4,0))))+SUMPRODUCT((Inputs!$E$5:$E$130=$B39)*ISNUMBER(INDEX(Inputs!$K$5:$AJ$130,0,MATCH(F$2,Inputs!$K$4:$AJ$4,0))))=0,NA(),SUMPRODUCT((Inputs!$A$5:$A$130=$B39)*Inputs!$B$5:$B$130*(((Inputs!$G$5:$G$130="moeda")+(Inputs!$G$5:$G$130="acoes"))*Inputs!$B$1+((Inputs!$G$5:$G$130&lt;&gt;"moeda")*(Inputs!$G$5:$G$130&lt;&gt;"acoes")))*INDEX(Inputs!$K$5:$AJ$130,0,MATCH(F$2,Inputs!$K$4:$AJ$4,0)))+SUMPRODUCT((Inputs!$C$5:$C$130=$B39)*Inputs!$D$5:$D$130*(((Inputs!$G$5:$G$130="moeda")+(Inputs!$G$5:$G$130="acoes"))*Inputs!$B$1+((Inputs!$G$5:$G$130&lt;&gt;"moeda")*(Inputs!$G$5:$G$130&lt;&gt;"acoes")))*INDEX(Inputs!$K$5:$AJ$130,0,MATCH(F$2,Inputs!$K$4:$AJ$4,0)))+SUMPRODUCT((Inputs!$E$5:$E$130=$B39)*Inputs!$F$5:$F$130*(((Inputs!$G$5:$G$130="moeda")+(Inputs!$G$5:$G$130="acoes"))*Inputs!$B$1+((Inputs!$G$5:$G$130&lt;&gt;"moeda")*(Inputs!$G$5:$G$130&lt;&gt;"acoes")))*INDEX(Inputs!$K$5:$AJ$130,0,MATCH(F$2,Inputs!$K$4:$AJ$4,0)))))</f>
        <v>40991</v>
      </c>
      <c r="G39" s="265">
        <f>IF(ISNA(MATCH(G$2,Inputs!$K$4:$AJ$4,0)),NA(),IF(SUMPRODUCT((Inputs!$A$5:$A$130=$B39)*ISNUMBER(INDEX(Inputs!$K$5:$AJ$130,0,MATCH(G$2,Inputs!$K$4:$AJ$4,0))))+SUMPRODUCT((Inputs!$C$5:$C$130=$B39)*ISNUMBER(INDEX(Inputs!$K$5:$AJ$130,0,MATCH(G$2,Inputs!$K$4:$AJ$4,0))))+SUMPRODUCT((Inputs!$E$5:$E$130=$B39)*ISNUMBER(INDEX(Inputs!$K$5:$AJ$130,0,MATCH(G$2,Inputs!$K$4:$AJ$4,0))))=0,NA(),SUMPRODUCT((Inputs!$A$5:$A$130=$B39)*Inputs!$B$5:$B$130*(((Inputs!$G$5:$G$130="moeda")+(Inputs!$G$5:$G$130="acoes"))*Inputs!$B$1+((Inputs!$G$5:$G$130&lt;&gt;"moeda")*(Inputs!$G$5:$G$130&lt;&gt;"acoes")))*INDEX(Inputs!$K$5:$AJ$130,0,MATCH(G$2,Inputs!$K$4:$AJ$4,0)))+SUMPRODUCT((Inputs!$C$5:$C$130=$B39)*Inputs!$D$5:$D$130*(((Inputs!$G$5:$G$130="moeda")+(Inputs!$G$5:$G$130="acoes"))*Inputs!$B$1+((Inputs!$G$5:$G$130&lt;&gt;"moeda")*(Inputs!$G$5:$G$130&lt;&gt;"acoes")))*INDEX(Inputs!$K$5:$AJ$130,0,MATCH(G$2,Inputs!$K$4:$AJ$4,0)))+SUMPRODUCT((Inputs!$E$5:$E$130=$B39)*Inputs!$F$5:$F$130*(((Inputs!$G$5:$G$130="moeda")+(Inputs!$G$5:$G$130="acoes"))*Inputs!$B$1+((Inputs!$G$5:$G$130&lt;&gt;"moeda")*(Inputs!$G$5:$G$130&lt;&gt;"acoes")))*INDEX(Inputs!$K$5:$AJ$130,0,MATCH(G$2,Inputs!$K$4:$AJ$4,0)))))</f>
        <v>40091</v>
      </c>
      <c r="H39" s="266">
        <f>G39</f>
        <v>40091</v>
      </c>
      <c r="I39" s="265">
        <f>IF(ISNA(MATCH(I$2,Inputs!$K$4:$AJ$4,0)),NA(),IF(SUMPRODUCT((Inputs!$A$5:$A$130=$B39)*ISNUMBER(INDEX(Inputs!$K$5:$AJ$130,0,MATCH(I$2,Inputs!$K$4:$AJ$4,0))))+SUMPRODUCT((Inputs!$C$5:$C$130=$B39)*ISNUMBER(INDEX(Inputs!$K$5:$AJ$130,0,MATCH(I$2,Inputs!$K$4:$AJ$4,0))))+SUMPRODUCT((Inputs!$E$5:$E$130=$B39)*ISNUMBER(INDEX(Inputs!$K$5:$AJ$130,0,MATCH(I$2,Inputs!$K$4:$AJ$4,0))))=0,NA(),SUMPRODUCT((Inputs!$A$5:$A$130=$B39)*Inputs!$B$5:$B$130*(((Inputs!$G$5:$G$130="moeda")+(Inputs!$G$5:$G$130="acoes"))*Inputs!$B$1+((Inputs!$G$5:$G$130&lt;&gt;"moeda")*(Inputs!$G$5:$G$130&lt;&gt;"acoes")))*INDEX(Inputs!$K$5:$AJ$130,0,MATCH(I$2,Inputs!$K$4:$AJ$4,0)))+SUMPRODUCT((Inputs!$C$5:$C$130=$B39)*Inputs!$D$5:$D$130*(((Inputs!$G$5:$G$130="moeda")+(Inputs!$G$5:$G$130="acoes"))*Inputs!$B$1+((Inputs!$G$5:$G$130&lt;&gt;"moeda")*(Inputs!$G$5:$G$130&lt;&gt;"acoes")))*INDEX(Inputs!$K$5:$AJ$130,0,MATCH(I$2,Inputs!$K$4:$AJ$4,0)))+SUMPRODUCT((Inputs!$E$5:$E$130=$B39)*Inputs!$F$5:$F$130*(((Inputs!$G$5:$G$130="moeda")+(Inputs!$G$5:$G$130="acoes"))*Inputs!$B$1+((Inputs!$G$5:$G$130&lt;&gt;"moeda")*(Inputs!$G$5:$G$130&lt;&gt;"acoes")))*INDEX(Inputs!$K$5:$AJ$130,0,MATCH(I$2,Inputs!$K$4:$AJ$4,0)))))</f>
        <v>40114</v>
      </c>
      <c r="J39" s="265">
        <f>IF(ISNA(MATCH(J$2,Inputs!$K$4:$AJ$4,0)),NA(),IF(SUMPRODUCT((Inputs!$A$5:$A$130=$B39)*ISNUMBER(INDEX(Inputs!$K$5:$AJ$130,0,MATCH(J$2,Inputs!$K$4:$AJ$4,0))))+SUMPRODUCT((Inputs!$C$5:$C$130=$B39)*ISNUMBER(INDEX(Inputs!$K$5:$AJ$130,0,MATCH(J$2,Inputs!$K$4:$AJ$4,0))))+SUMPRODUCT((Inputs!$E$5:$E$130=$B39)*ISNUMBER(INDEX(Inputs!$K$5:$AJ$130,0,MATCH(J$2,Inputs!$K$4:$AJ$4,0))))=0,NA(),SUMPRODUCT((Inputs!$A$5:$A$130=$B39)*Inputs!$B$5:$B$130*(((Inputs!$G$5:$G$130="moeda")+(Inputs!$G$5:$G$130="acoes"))*Inputs!$B$1+((Inputs!$G$5:$G$130&lt;&gt;"moeda")*(Inputs!$G$5:$G$130&lt;&gt;"acoes")))*INDEX(Inputs!$K$5:$AJ$130,0,MATCH(J$2,Inputs!$K$4:$AJ$4,0)))+SUMPRODUCT((Inputs!$C$5:$C$130=$B39)*Inputs!$D$5:$D$130*(((Inputs!$G$5:$G$130="moeda")+(Inputs!$G$5:$G$130="acoes"))*Inputs!$B$1+((Inputs!$G$5:$G$130&lt;&gt;"moeda")*(Inputs!$G$5:$G$130&lt;&gt;"acoes")))*INDEX(Inputs!$K$5:$AJ$130,0,MATCH(J$2,Inputs!$K$4:$AJ$4,0)))+SUMPRODUCT((Inputs!$E$5:$E$130=$B39)*Inputs!$F$5:$F$130*(((Inputs!$G$5:$G$130="moeda")+(Inputs!$G$5:$G$130="acoes"))*Inputs!$B$1+((Inputs!$G$5:$G$130&lt;&gt;"moeda")*(Inputs!$G$5:$G$130&lt;&gt;"acoes")))*INDEX(Inputs!$K$5:$AJ$130,0,MATCH(J$2,Inputs!$K$4:$AJ$4,0)))))</f>
        <v>41558</v>
      </c>
      <c r="K39" s="265">
        <f>IF(ISNA(MATCH(K$2,Inputs!$K$4:$AJ$4,0)),NA(),IF(SUMPRODUCT((Inputs!$A$5:$A$130=$B39)*ISNUMBER(INDEX(Inputs!$K$5:$AJ$130,0,MATCH(K$2,Inputs!$K$4:$AJ$4,0))))+SUMPRODUCT((Inputs!$C$5:$C$130=$B39)*ISNUMBER(INDEX(Inputs!$K$5:$AJ$130,0,MATCH(K$2,Inputs!$K$4:$AJ$4,0))))+SUMPRODUCT((Inputs!$E$5:$E$130=$B39)*ISNUMBER(INDEX(Inputs!$K$5:$AJ$130,0,MATCH(K$2,Inputs!$K$4:$AJ$4,0))))=0,NA(),SUMPRODUCT((Inputs!$A$5:$A$130=$B39)*Inputs!$B$5:$B$130*(((Inputs!$G$5:$G$130="moeda")+(Inputs!$G$5:$G$130="acoes"))*Inputs!$B$1+((Inputs!$G$5:$G$130&lt;&gt;"moeda")*(Inputs!$G$5:$G$130&lt;&gt;"acoes")))*INDEX(Inputs!$K$5:$AJ$130,0,MATCH(K$2,Inputs!$K$4:$AJ$4,0)))+SUMPRODUCT((Inputs!$C$5:$C$130=$B39)*Inputs!$D$5:$D$130*(((Inputs!$G$5:$G$130="moeda")+(Inputs!$G$5:$G$130="acoes"))*Inputs!$B$1+((Inputs!$G$5:$G$130&lt;&gt;"moeda")*(Inputs!$G$5:$G$130&lt;&gt;"acoes")))*INDEX(Inputs!$K$5:$AJ$130,0,MATCH(K$2,Inputs!$K$4:$AJ$4,0)))+SUMPRODUCT((Inputs!$E$5:$E$130=$B39)*Inputs!$F$5:$F$130*(((Inputs!$G$5:$G$130="moeda")+(Inputs!$G$5:$G$130="acoes"))*Inputs!$B$1+((Inputs!$G$5:$G$130&lt;&gt;"moeda")*(Inputs!$G$5:$G$130&lt;&gt;"acoes")))*INDEX(Inputs!$K$5:$AJ$130,0,MATCH(K$2,Inputs!$K$4:$AJ$4,0)))))</f>
        <v>37611</v>
      </c>
      <c r="L39" s="265">
        <f>IF(ISNA(MATCH(L$2,Inputs!$K$4:$AJ$4,0)),NA(),IF(SUMPRODUCT((Inputs!$A$5:$A$130=$B39)*ISNUMBER(INDEX(Inputs!$K$5:$AJ$130,0,MATCH(L$2,Inputs!$K$4:$AJ$4,0))))+SUMPRODUCT((Inputs!$C$5:$C$130=$B39)*ISNUMBER(INDEX(Inputs!$K$5:$AJ$130,0,MATCH(L$2,Inputs!$K$4:$AJ$4,0))))+SUMPRODUCT((Inputs!$E$5:$E$130=$B39)*ISNUMBER(INDEX(Inputs!$K$5:$AJ$130,0,MATCH(L$2,Inputs!$K$4:$AJ$4,0))))=0,NA(),SUMPRODUCT((Inputs!$A$5:$A$130=$B39)*Inputs!$B$5:$B$130*(((Inputs!$G$5:$G$130="moeda")+(Inputs!$G$5:$G$130="acoes"))*Inputs!$B$1+((Inputs!$G$5:$G$130&lt;&gt;"moeda")*(Inputs!$G$5:$G$130&lt;&gt;"acoes")))*INDEX(Inputs!$K$5:$AJ$130,0,MATCH(L$2,Inputs!$K$4:$AJ$4,0)))+SUMPRODUCT((Inputs!$C$5:$C$130=$B39)*Inputs!$D$5:$D$130*(((Inputs!$G$5:$G$130="moeda")+(Inputs!$G$5:$G$130="acoes"))*Inputs!$B$1+((Inputs!$G$5:$G$130&lt;&gt;"moeda")*(Inputs!$G$5:$G$130&lt;&gt;"acoes")))*INDEX(Inputs!$K$5:$AJ$130,0,MATCH(L$2,Inputs!$K$4:$AJ$4,0)))+SUMPRODUCT((Inputs!$E$5:$E$130=$B39)*Inputs!$F$5:$F$130*(((Inputs!$G$5:$G$130="moeda")+(Inputs!$G$5:$G$130="acoes"))*Inputs!$B$1+((Inputs!$G$5:$G$130&lt;&gt;"moeda")*(Inputs!$G$5:$G$130&lt;&gt;"acoes")))*INDEX(Inputs!$K$5:$AJ$130,0,MATCH(L$2,Inputs!$K$4:$AJ$4,0)))))</f>
        <v>38136</v>
      </c>
      <c r="M39" s="266">
        <f>L39</f>
        <v>38136</v>
      </c>
      <c r="N39" s="265">
        <f>IF(ISNA(MATCH(N$2,Inputs!$K$4:$AJ$4,0)),NA(),IF(SUMPRODUCT((Inputs!$A$5:$A$130=$B39)*ISNUMBER(INDEX(Inputs!$K$5:$AJ$130,0,MATCH(N$2,Inputs!$K$4:$AJ$4,0))))+SUMPRODUCT((Inputs!$C$5:$C$130=$B39)*ISNUMBER(INDEX(Inputs!$K$5:$AJ$130,0,MATCH(N$2,Inputs!$K$4:$AJ$4,0))))+SUMPRODUCT((Inputs!$E$5:$E$130=$B39)*ISNUMBER(INDEX(Inputs!$K$5:$AJ$130,0,MATCH(N$2,Inputs!$K$4:$AJ$4,0))))=0,NA(),SUMPRODUCT((Inputs!$A$5:$A$130=$B39)*Inputs!$B$5:$B$130*(((Inputs!$G$5:$G$130="moeda")+(Inputs!$G$5:$G$130="acoes"))*Inputs!$B$1+((Inputs!$G$5:$G$130&lt;&gt;"moeda")*(Inputs!$G$5:$G$130&lt;&gt;"acoes")))*INDEX(Inputs!$K$5:$AJ$130,0,MATCH(N$2,Inputs!$K$4:$AJ$4,0)))+SUMPRODUCT((Inputs!$C$5:$C$130=$B39)*Inputs!$D$5:$D$130*(((Inputs!$G$5:$G$130="moeda")+(Inputs!$G$5:$G$130="acoes"))*Inputs!$B$1+((Inputs!$G$5:$G$130&lt;&gt;"moeda")*(Inputs!$G$5:$G$130&lt;&gt;"acoes")))*INDEX(Inputs!$K$5:$AJ$130,0,MATCH(N$2,Inputs!$K$4:$AJ$4,0)))+SUMPRODUCT((Inputs!$E$5:$E$130=$B39)*Inputs!$F$5:$F$130*(((Inputs!$G$5:$G$130="moeda")+(Inputs!$G$5:$G$130="acoes"))*Inputs!$B$1+((Inputs!$G$5:$G$130&lt;&gt;"moeda")*(Inputs!$G$5:$G$130&lt;&gt;"acoes")))*INDEX(Inputs!$K$5:$AJ$130,0,MATCH(N$2,Inputs!$K$4:$AJ$4,0)))))</f>
        <v>38384</v>
      </c>
      <c r="O39" s="265">
        <f>IF(ISNA(MATCH(O$2,Inputs!$K$4:$AJ$4,0)),NA(),IF(SUMPRODUCT((Inputs!$A$5:$A$130=$B39)*ISNUMBER(INDEX(Inputs!$K$5:$AJ$130,0,MATCH(O$2,Inputs!$K$4:$AJ$4,0))))+SUMPRODUCT((Inputs!$C$5:$C$130=$B39)*ISNUMBER(INDEX(Inputs!$K$5:$AJ$130,0,MATCH(O$2,Inputs!$K$4:$AJ$4,0))))+SUMPRODUCT((Inputs!$E$5:$E$130=$B39)*ISNUMBER(INDEX(Inputs!$K$5:$AJ$130,0,MATCH(O$2,Inputs!$K$4:$AJ$4,0))))=0,NA(),SUMPRODUCT((Inputs!$A$5:$A$130=$B39)*Inputs!$B$5:$B$130*(((Inputs!$G$5:$G$130="moeda")+(Inputs!$G$5:$G$130="acoes"))*Inputs!$B$1+((Inputs!$G$5:$G$130&lt;&gt;"moeda")*(Inputs!$G$5:$G$130&lt;&gt;"acoes")))*INDEX(Inputs!$K$5:$AJ$130,0,MATCH(O$2,Inputs!$K$4:$AJ$4,0)))+SUMPRODUCT((Inputs!$C$5:$C$130=$B39)*Inputs!$D$5:$D$130*(((Inputs!$G$5:$G$130="moeda")+(Inputs!$G$5:$G$130="acoes"))*Inputs!$B$1+((Inputs!$G$5:$G$130&lt;&gt;"moeda")*(Inputs!$G$5:$G$130&lt;&gt;"acoes")))*INDEX(Inputs!$K$5:$AJ$130,0,MATCH(O$2,Inputs!$K$4:$AJ$4,0)))+SUMPRODUCT((Inputs!$E$5:$E$130=$B39)*Inputs!$F$5:$F$130*(((Inputs!$G$5:$G$130="moeda")+(Inputs!$G$5:$G$130="acoes"))*Inputs!$B$1+((Inputs!$G$5:$G$130&lt;&gt;"moeda")*(Inputs!$G$5:$G$130&lt;&gt;"acoes")))*INDEX(Inputs!$K$5:$AJ$130,0,MATCH(O$2,Inputs!$K$4:$AJ$4,0)))))</f>
        <v>38603</v>
      </c>
      <c r="P39" s="265">
        <f>IF(ISNA(MATCH(P$2,Inputs!$K$4:$AJ$4,0)),NA(),IF(SUMPRODUCT((Inputs!$A$5:$A$130=$B39)*ISNUMBER(INDEX(Inputs!$K$5:$AJ$130,0,MATCH(P$2,Inputs!$K$4:$AJ$4,0))))+SUMPRODUCT((Inputs!$C$5:$C$130=$B39)*ISNUMBER(INDEX(Inputs!$K$5:$AJ$130,0,MATCH(P$2,Inputs!$K$4:$AJ$4,0))))+SUMPRODUCT((Inputs!$E$5:$E$130=$B39)*ISNUMBER(INDEX(Inputs!$K$5:$AJ$130,0,MATCH(P$2,Inputs!$K$4:$AJ$4,0))))=0,NA(),SUMPRODUCT((Inputs!$A$5:$A$130=$B39)*Inputs!$B$5:$B$130*(((Inputs!$G$5:$G$130="moeda")+(Inputs!$G$5:$G$130="acoes"))*Inputs!$B$1+((Inputs!$G$5:$G$130&lt;&gt;"moeda")*(Inputs!$G$5:$G$130&lt;&gt;"acoes")))*INDEX(Inputs!$K$5:$AJ$130,0,MATCH(P$2,Inputs!$K$4:$AJ$4,0)))+SUMPRODUCT((Inputs!$C$5:$C$130=$B39)*Inputs!$D$5:$D$130*(((Inputs!$G$5:$G$130="moeda")+(Inputs!$G$5:$G$130="acoes"))*Inputs!$B$1+((Inputs!$G$5:$G$130&lt;&gt;"moeda")*(Inputs!$G$5:$G$130&lt;&gt;"acoes")))*INDEX(Inputs!$K$5:$AJ$130,0,MATCH(P$2,Inputs!$K$4:$AJ$4,0)))+SUMPRODUCT((Inputs!$E$5:$E$130=$B39)*Inputs!$F$5:$F$130*(((Inputs!$G$5:$G$130="moeda")+(Inputs!$G$5:$G$130="acoes"))*Inputs!$B$1+((Inputs!$G$5:$G$130&lt;&gt;"moeda")*(Inputs!$G$5:$G$130&lt;&gt;"acoes")))*INDEX(Inputs!$K$5:$AJ$130,0,MATCH(P$2,Inputs!$K$4:$AJ$4,0)))))</f>
        <v>37506</v>
      </c>
      <c r="Q39" s="265">
        <f>IF(ISNA(MATCH(Q$2,Inputs!$K$4:$AJ$4,0)),NA(),IF(SUMPRODUCT((Inputs!$A$5:$A$130=$B39)*ISNUMBER(INDEX(Inputs!$K$5:$AJ$130,0,MATCH(Q$2,Inputs!$K$4:$AJ$4,0))))+SUMPRODUCT((Inputs!$C$5:$C$130=$B39)*ISNUMBER(INDEX(Inputs!$K$5:$AJ$130,0,MATCH(Q$2,Inputs!$K$4:$AJ$4,0))))+SUMPRODUCT((Inputs!$E$5:$E$130=$B39)*ISNUMBER(INDEX(Inputs!$K$5:$AJ$130,0,MATCH(Q$2,Inputs!$K$4:$AJ$4,0))))=0,NA(),SUMPRODUCT((Inputs!$A$5:$A$130=$B39)*Inputs!$B$5:$B$130*(((Inputs!$G$5:$G$130="moeda")+(Inputs!$G$5:$G$130="acoes"))*Inputs!$B$1+((Inputs!$G$5:$G$130&lt;&gt;"moeda")*(Inputs!$G$5:$G$130&lt;&gt;"acoes")))*INDEX(Inputs!$K$5:$AJ$130,0,MATCH(Q$2,Inputs!$K$4:$AJ$4,0)))+SUMPRODUCT((Inputs!$C$5:$C$130=$B39)*Inputs!$D$5:$D$130*(((Inputs!$G$5:$G$130="moeda")+(Inputs!$G$5:$G$130="acoes"))*Inputs!$B$1+((Inputs!$G$5:$G$130&lt;&gt;"moeda")*(Inputs!$G$5:$G$130&lt;&gt;"acoes")))*INDEX(Inputs!$K$5:$AJ$130,0,MATCH(Q$2,Inputs!$K$4:$AJ$4,0)))+SUMPRODUCT((Inputs!$E$5:$E$130=$B39)*Inputs!$F$5:$F$130*(((Inputs!$G$5:$G$130="moeda")+(Inputs!$G$5:$G$130="acoes"))*Inputs!$B$1+((Inputs!$G$5:$G$130&lt;&gt;"moeda")*(Inputs!$G$5:$G$130&lt;&gt;"acoes")))*INDEX(Inputs!$K$5:$AJ$130,0,MATCH(Q$2,Inputs!$K$4:$AJ$4,0)))))</f>
        <v>35484</v>
      </c>
      <c r="R39" s="266">
        <f>Q39</f>
        <v>35484</v>
      </c>
      <c r="S39" s="265">
        <f>IF(ISNA(MATCH(S$2,Inputs!$K$4:$AJ$4,0)),NA(),IF(SUMPRODUCT((Inputs!$A$5:$A$130=$B39)*ISNUMBER(INDEX(Inputs!$K$5:$AJ$130,0,MATCH(S$2,Inputs!$K$4:$AJ$4,0))))+SUMPRODUCT((Inputs!$C$5:$C$130=$B39)*ISNUMBER(INDEX(Inputs!$K$5:$AJ$130,0,MATCH(S$2,Inputs!$K$4:$AJ$4,0))))+SUMPRODUCT((Inputs!$E$5:$E$130=$B39)*ISNUMBER(INDEX(Inputs!$K$5:$AJ$130,0,MATCH(S$2,Inputs!$K$4:$AJ$4,0))))=0,NA(),SUMPRODUCT((Inputs!$A$5:$A$130=$B39)*Inputs!$B$5:$B$130*(((Inputs!$G$5:$G$130="moeda")+(Inputs!$G$5:$G$130="acoes"))*Inputs!$B$1+((Inputs!$G$5:$G$130&lt;&gt;"moeda")*(Inputs!$G$5:$G$130&lt;&gt;"acoes")))*INDEX(Inputs!$K$5:$AJ$130,0,MATCH(S$2,Inputs!$K$4:$AJ$4,0)))+SUMPRODUCT((Inputs!$C$5:$C$130=$B39)*Inputs!$D$5:$D$130*(((Inputs!$G$5:$G$130="moeda")+(Inputs!$G$5:$G$130="acoes"))*Inputs!$B$1+((Inputs!$G$5:$G$130&lt;&gt;"moeda")*(Inputs!$G$5:$G$130&lt;&gt;"acoes")))*INDEX(Inputs!$K$5:$AJ$130,0,MATCH(S$2,Inputs!$K$4:$AJ$4,0)))+SUMPRODUCT((Inputs!$E$5:$E$130=$B39)*Inputs!$F$5:$F$130*(((Inputs!$G$5:$G$130="moeda")+(Inputs!$G$5:$G$130="acoes"))*Inputs!$B$1+((Inputs!$G$5:$G$130&lt;&gt;"moeda")*(Inputs!$G$5:$G$130&lt;&gt;"acoes")))*INDEX(Inputs!$K$5:$AJ$130,0,MATCH(S$2,Inputs!$K$4:$AJ$4,0)))))</f>
        <v>35760</v>
      </c>
      <c r="T39" s="265">
        <f>IF(ISNA(MATCH(T$2,Inputs!$K$4:$AJ$4,0)),NA(),IF(SUMPRODUCT((Inputs!$A$5:$A$130=$B39)*ISNUMBER(INDEX(Inputs!$K$5:$AJ$130,0,MATCH(T$2,Inputs!$K$4:$AJ$4,0))))+SUMPRODUCT((Inputs!$C$5:$C$130=$B39)*ISNUMBER(INDEX(Inputs!$K$5:$AJ$130,0,MATCH(T$2,Inputs!$K$4:$AJ$4,0))))+SUMPRODUCT((Inputs!$E$5:$E$130=$B39)*ISNUMBER(INDEX(Inputs!$K$5:$AJ$130,0,MATCH(T$2,Inputs!$K$4:$AJ$4,0))))=0,NA(),SUMPRODUCT((Inputs!$A$5:$A$130=$B39)*Inputs!$B$5:$B$130*(((Inputs!$G$5:$G$130="moeda")+(Inputs!$G$5:$G$130="acoes"))*Inputs!$B$1+((Inputs!$G$5:$G$130&lt;&gt;"moeda")*(Inputs!$G$5:$G$130&lt;&gt;"acoes")))*INDEX(Inputs!$K$5:$AJ$130,0,MATCH(T$2,Inputs!$K$4:$AJ$4,0)))+SUMPRODUCT((Inputs!$C$5:$C$130=$B39)*Inputs!$D$5:$D$130*(((Inputs!$G$5:$G$130="moeda")+(Inputs!$G$5:$G$130="acoes"))*Inputs!$B$1+((Inputs!$G$5:$G$130&lt;&gt;"moeda")*(Inputs!$G$5:$G$130&lt;&gt;"acoes")))*INDEX(Inputs!$K$5:$AJ$130,0,MATCH(T$2,Inputs!$K$4:$AJ$4,0)))+SUMPRODUCT((Inputs!$E$5:$E$130=$B39)*Inputs!$F$5:$F$130*(((Inputs!$G$5:$G$130="moeda")+(Inputs!$G$5:$G$130="acoes"))*Inputs!$B$1+((Inputs!$G$5:$G$130&lt;&gt;"moeda")*(Inputs!$G$5:$G$130&lt;&gt;"acoes")))*INDEX(Inputs!$K$5:$AJ$130,0,MATCH(T$2,Inputs!$K$4:$AJ$4,0)))))</f>
        <v>36184</v>
      </c>
      <c r="U39" s="265">
        <f>IF(ISNA(MATCH(U$2,Inputs!$K$4:$AJ$4,0)),NA(),IF(SUMPRODUCT((Inputs!$A$5:$A$130=$B39)*ISNUMBER(INDEX(Inputs!$K$5:$AJ$130,0,MATCH(U$2,Inputs!$K$4:$AJ$4,0))))+SUMPRODUCT((Inputs!$C$5:$C$130=$B39)*ISNUMBER(INDEX(Inputs!$K$5:$AJ$130,0,MATCH(U$2,Inputs!$K$4:$AJ$4,0))))+SUMPRODUCT((Inputs!$E$5:$E$130=$B39)*ISNUMBER(INDEX(Inputs!$K$5:$AJ$130,0,MATCH(U$2,Inputs!$K$4:$AJ$4,0))))=0,NA(),SUMPRODUCT((Inputs!$A$5:$A$130=$B39)*Inputs!$B$5:$B$130*(((Inputs!$G$5:$G$130="moeda")+(Inputs!$G$5:$G$130="acoes"))*Inputs!$B$1+((Inputs!$G$5:$G$130&lt;&gt;"moeda")*(Inputs!$G$5:$G$130&lt;&gt;"acoes")))*INDEX(Inputs!$K$5:$AJ$130,0,MATCH(U$2,Inputs!$K$4:$AJ$4,0)))+SUMPRODUCT((Inputs!$C$5:$C$130=$B39)*Inputs!$D$5:$D$130*(((Inputs!$G$5:$G$130="moeda")+(Inputs!$G$5:$G$130="acoes"))*Inputs!$B$1+((Inputs!$G$5:$G$130&lt;&gt;"moeda")*(Inputs!$G$5:$G$130&lt;&gt;"acoes")))*INDEX(Inputs!$K$5:$AJ$130,0,MATCH(U$2,Inputs!$K$4:$AJ$4,0)))+SUMPRODUCT((Inputs!$E$5:$E$130=$B39)*Inputs!$F$5:$F$130*(((Inputs!$G$5:$G$130="moeda")+(Inputs!$G$5:$G$130="acoes"))*Inputs!$B$1+((Inputs!$G$5:$G$130&lt;&gt;"moeda")*(Inputs!$G$5:$G$130&lt;&gt;"acoes")))*INDEX(Inputs!$K$5:$AJ$130,0,MATCH(U$2,Inputs!$K$4:$AJ$4,0)))))</f>
        <v>35702</v>
      </c>
      <c r="V39" s="265">
        <f>IF(ISNA(MATCH(V$2,Inputs!$K$4:$AJ$4,0)),NA(),IF(SUMPRODUCT((Inputs!$A$5:$A$130=$B39)*ISNUMBER(INDEX(Inputs!$K$5:$AJ$130,0,MATCH(V$2,Inputs!$K$4:$AJ$4,0))))+SUMPRODUCT((Inputs!$C$5:$C$130=$B39)*ISNUMBER(INDEX(Inputs!$K$5:$AJ$130,0,MATCH(V$2,Inputs!$K$4:$AJ$4,0))))+SUMPRODUCT((Inputs!$E$5:$E$130=$B39)*ISNUMBER(INDEX(Inputs!$K$5:$AJ$130,0,MATCH(V$2,Inputs!$K$4:$AJ$4,0))))=0,NA(),SUMPRODUCT((Inputs!$A$5:$A$130=$B39)*Inputs!$B$5:$B$130*(((Inputs!$G$5:$G$130="moeda")+(Inputs!$G$5:$G$130="acoes"))*Inputs!$B$1+((Inputs!$G$5:$G$130&lt;&gt;"moeda")*(Inputs!$G$5:$G$130&lt;&gt;"acoes")))*INDEX(Inputs!$K$5:$AJ$130,0,MATCH(V$2,Inputs!$K$4:$AJ$4,0)))+SUMPRODUCT((Inputs!$C$5:$C$130=$B39)*Inputs!$D$5:$D$130*(((Inputs!$G$5:$G$130="moeda")+(Inputs!$G$5:$G$130="acoes"))*Inputs!$B$1+((Inputs!$G$5:$G$130&lt;&gt;"moeda")*(Inputs!$G$5:$G$130&lt;&gt;"acoes")))*INDEX(Inputs!$K$5:$AJ$130,0,MATCH(V$2,Inputs!$K$4:$AJ$4,0)))+SUMPRODUCT((Inputs!$E$5:$E$130=$B39)*Inputs!$F$5:$F$130*(((Inputs!$G$5:$G$130="moeda")+(Inputs!$G$5:$G$130="acoes"))*Inputs!$B$1+((Inputs!$G$5:$G$130&lt;&gt;"moeda")*(Inputs!$G$5:$G$130&lt;&gt;"acoes")))*INDEX(Inputs!$K$5:$AJ$130,0,MATCH(V$2,Inputs!$K$4:$AJ$4,0)))))</f>
        <v>33454</v>
      </c>
      <c r="W39" s="266">
        <f>V39</f>
        <v>33454</v>
      </c>
      <c r="X39" s="265">
        <f>IF(ISNA(MATCH(X$2,Inputs!$K$4:$AJ$4,0)),NA(),IF(SUMPRODUCT((Inputs!$A$5:$A$130=$B39)*ISNUMBER(INDEX(Inputs!$K$5:$AJ$130,0,MATCH(X$2,Inputs!$K$4:$AJ$4,0))))+SUMPRODUCT((Inputs!$C$5:$C$130=$B39)*ISNUMBER(INDEX(Inputs!$K$5:$AJ$130,0,MATCH(X$2,Inputs!$K$4:$AJ$4,0))))+SUMPRODUCT((Inputs!$E$5:$E$130=$B39)*ISNUMBER(INDEX(Inputs!$K$5:$AJ$130,0,MATCH(X$2,Inputs!$K$4:$AJ$4,0))))=0,NA(),SUMPRODUCT((Inputs!$A$5:$A$130=$B39)*Inputs!$B$5:$B$130*(((Inputs!$G$5:$G$130="moeda")+(Inputs!$G$5:$G$130="acoes"))*Inputs!$B$1+((Inputs!$G$5:$G$130&lt;&gt;"moeda")*(Inputs!$G$5:$G$130&lt;&gt;"acoes")))*INDEX(Inputs!$K$5:$AJ$130,0,MATCH(X$2,Inputs!$K$4:$AJ$4,0)))+SUMPRODUCT((Inputs!$C$5:$C$130=$B39)*Inputs!$D$5:$D$130*(((Inputs!$G$5:$G$130="moeda")+(Inputs!$G$5:$G$130="acoes"))*Inputs!$B$1+((Inputs!$G$5:$G$130&lt;&gt;"moeda")*(Inputs!$G$5:$G$130&lt;&gt;"acoes")))*INDEX(Inputs!$K$5:$AJ$130,0,MATCH(X$2,Inputs!$K$4:$AJ$4,0)))+SUMPRODUCT((Inputs!$E$5:$E$130=$B39)*Inputs!$F$5:$F$130*(((Inputs!$G$5:$G$130="moeda")+(Inputs!$G$5:$G$130="acoes"))*Inputs!$B$1+((Inputs!$G$5:$G$130&lt;&gt;"moeda")*(Inputs!$G$5:$G$130&lt;&gt;"acoes")))*INDEX(Inputs!$K$5:$AJ$130,0,MATCH(X$2,Inputs!$K$4:$AJ$4,0)))))</f>
        <v>34121</v>
      </c>
      <c r="Y39" s="265">
        <f>IF(ISNA(MATCH(Y$2,Inputs!$K$4:$AJ$4,0)),NA(),IF(SUMPRODUCT((Inputs!$A$5:$A$130=$B39)*ISNUMBER(INDEX(Inputs!$K$5:$AJ$130,0,MATCH(Y$2,Inputs!$K$4:$AJ$4,0))))+SUMPRODUCT((Inputs!$C$5:$C$130=$B39)*ISNUMBER(INDEX(Inputs!$K$5:$AJ$130,0,MATCH(Y$2,Inputs!$K$4:$AJ$4,0))))+SUMPRODUCT((Inputs!$E$5:$E$130=$B39)*ISNUMBER(INDEX(Inputs!$K$5:$AJ$130,0,MATCH(Y$2,Inputs!$K$4:$AJ$4,0))))=0,NA(),SUMPRODUCT((Inputs!$A$5:$A$130=$B39)*Inputs!$B$5:$B$130*(((Inputs!$G$5:$G$130="moeda")+(Inputs!$G$5:$G$130="acoes"))*Inputs!$B$1+((Inputs!$G$5:$G$130&lt;&gt;"moeda")*(Inputs!$G$5:$G$130&lt;&gt;"acoes")))*INDEX(Inputs!$K$5:$AJ$130,0,MATCH(Y$2,Inputs!$K$4:$AJ$4,0)))+SUMPRODUCT((Inputs!$C$5:$C$130=$B39)*Inputs!$D$5:$D$130*(((Inputs!$G$5:$G$130="moeda")+(Inputs!$G$5:$G$130="acoes"))*Inputs!$B$1+((Inputs!$G$5:$G$130&lt;&gt;"moeda")*(Inputs!$G$5:$G$130&lt;&gt;"acoes")))*INDEX(Inputs!$K$5:$AJ$130,0,MATCH(Y$2,Inputs!$K$4:$AJ$4,0)))+SUMPRODUCT((Inputs!$E$5:$E$130=$B39)*Inputs!$F$5:$F$130*(((Inputs!$G$5:$G$130="moeda")+(Inputs!$G$5:$G$130="acoes"))*Inputs!$B$1+((Inputs!$G$5:$G$130&lt;&gt;"moeda")*(Inputs!$G$5:$G$130&lt;&gt;"acoes")))*INDEX(Inputs!$K$5:$AJ$130,0,MATCH(Y$2,Inputs!$K$4:$AJ$4,0)))))</f>
        <v>34673</v>
      </c>
      <c r="Z39" s="265">
        <f>IF(ISNA(MATCH(Z$2,Inputs!$K$4:$AJ$4,0)),NA(),IF(SUMPRODUCT((Inputs!$A$5:$A$130=$B39)*ISNUMBER(INDEX(Inputs!$K$5:$AJ$130,0,MATCH(Z$2,Inputs!$K$4:$AJ$4,0))))+SUMPRODUCT((Inputs!$C$5:$C$130=$B39)*ISNUMBER(INDEX(Inputs!$K$5:$AJ$130,0,MATCH(Z$2,Inputs!$K$4:$AJ$4,0))))+SUMPRODUCT((Inputs!$E$5:$E$130=$B39)*ISNUMBER(INDEX(Inputs!$K$5:$AJ$130,0,MATCH(Z$2,Inputs!$K$4:$AJ$4,0))))=0,NA(),SUMPRODUCT((Inputs!$A$5:$A$130=$B39)*Inputs!$B$5:$B$130*(((Inputs!$G$5:$G$130="moeda")+(Inputs!$G$5:$G$130="acoes"))*Inputs!$B$1+((Inputs!$G$5:$G$130&lt;&gt;"moeda")*(Inputs!$G$5:$G$130&lt;&gt;"acoes")))*INDEX(Inputs!$K$5:$AJ$130,0,MATCH(Z$2,Inputs!$K$4:$AJ$4,0)))+SUMPRODUCT((Inputs!$C$5:$C$130=$B39)*Inputs!$D$5:$D$130*(((Inputs!$G$5:$G$130="moeda")+(Inputs!$G$5:$G$130="acoes"))*Inputs!$B$1+((Inputs!$G$5:$G$130&lt;&gt;"moeda")*(Inputs!$G$5:$G$130&lt;&gt;"acoes")))*INDEX(Inputs!$K$5:$AJ$130,0,MATCH(Z$2,Inputs!$K$4:$AJ$4,0)))+SUMPRODUCT((Inputs!$E$5:$E$130=$B39)*Inputs!$F$5:$F$130*(((Inputs!$G$5:$G$130="moeda")+(Inputs!$G$5:$G$130="acoes"))*Inputs!$B$1+((Inputs!$G$5:$G$130&lt;&gt;"moeda")*(Inputs!$G$5:$G$130&lt;&gt;"acoes")))*INDEX(Inputs!$K$5:$AJ$130,0,MATCH(Z$2,Inputs!$K$4:$AJ$4,0)))))</f>
        <v>34385</v>
      </c>
      <c r="AA39" s="265">
        <f>IF(ISNA(MATCH(AA$2,Inputs!$K$4:$AJ$4,0)),NA(),IF(SUMPRODUCT((Inputs!$A$5:$A$130=$B39)*ISNUMBER(INDEX(Inputs!$K$5:$AJ$130,0,MATCH(AA$2,Inputs!$K$4:$AJ$4,0))))+SUMPRODUCT((Inputs!$C$5:$C$130=$B39)*ISNUMBER(INDEX(Inputs!$K$5:$AJ$130,0,MATCH(AA$2,Inputs!$K$4:$AJ$4,0))))+SUMPRODUCT((Inputs!$E$5:$E$130=$B39)*ISNUMBER(INDEX(Inputs!$K$5:$AJ$130,0,MATCH(AA$2,Inputs!$K$4:$AJ$4,0))))=0,NA(),SUMPRODUCT((Inputs!$A$5:$A$130=$B39)*Inputs!$B$5:$B$130*(((Inputs!$G$5:$G$130="moeda")+(Inputs!$G$5:$G$130="acoes"))*Inputs!$B$1+((Inputs!$G$5:$G$130&lt;&gt;"moeda")*(Inputs!$G$5:$G$130&lt;&gt;"acoes")))*INDEX(Inputs!$K$5:$AJ$130,0,MATCH(AA$2,Inputs!$K$4:$AJ$4,0)))+SUMPRODUCT((Inputs!$C$5:$C$130=$B39)*Inputs!$D$5:$D$130*(((Inputs!$G$5:$G$130="moeda")+(Inputs!$G$5:$G$130="acoes"))*Inputs!$B$1+((Inputs!$G$5:$G$130&lt;&gt;"moeda")*(Inputs!$G$5:$G$130&lt;&gt;"acoes")))*INDEX(Inputs!$K$5:$AJ$130,0,MATCH(AA$2,Inputs!$K$4:$AJ$4,0)))+SUMPRODUCT((Inputs!$E$5:$E$130=$B39)*Inputs!$F$5:$F$130*(((Inputs!$G$5:$G$130="moeda")+(Inputs!$G$5:$G$130="acoes"))*Inputs!$B$1+((Inputs!$G$5:$G$130&lt;&gt;"moeda")*(Inputs!$G$5:$G$130&lt;&gt;"acoes")))*INDEX(Inputs!$K$5:$AJ$130,0,MATCH(AA$2,Inputs!$K$4:$AJ$4,0)))))</f>
        <v>34118</v>
      </c>
      <c r="AB39" s="266">
        <f>AA39</f>
        <v>34118</v>
      </c>
      <c r="AC39" s="265">
        <f>IF(ISNA(MATCH(AC$2,Inputs!$K$4:$AJ$4,0)),NA(),IF(SUMPRODUCT((Inputs!$A$5:$A$130=$B39)*ISNUMBER(INDEX(Inputs!$K$5:$AJ$130,0,MATCH(AC$2,Inputs!$K$4:$AJ$4,0))))+SUMPRODUCT((Inputs!$C$5:$C$130=$B39)*ISNUMBER(INDEX(Inputs!$K$5:$AJ$130,0,MATCH(AC$2,Inputs!$K$4:$AJ$4,0))))+SUMPRODUCT((Inputs!$E$5:$E$130=$B39)*ISNUMBER(INDEX(Inputs!$K$5:$AJ$130,0,MATCH(AC$2,Inputs!$K$4:$AJ$4,0))))=0,NA(),SUMPRODUCT((Inputs!$A$5:$A$130=$B39)*Inputs!$B$5:$B$130*(((Inputs!$G$5:$G$130="moeda")+(Inputs!$G$5:$G$130="acoes"))*Inputs!$B$1+((Inputs!$G$5:$G$130&lt;&gt;"moeda")*(Inputs!$G$5:$G$130&lt;&gt;"acoes")))*INDEX(Inputs!$K$5:$AJ$130,0,MATCH(AC$2,Inputs!$K$4:$AJ$4,0)))+SUMPRODUCT((Inputs!$C$5:$C$130=$B39)*Inputs!$D$5:$D$130*(((Inputs!$G$5:$G$130="moeda")+(Inputs!$G$5:$G$130="acoes"))*Inputs!$B$1+((Inputs!$G$5:$G$130&lt;&gt;"moeda")*(Inputs!$G$5:$G$130&lt;&gt;"acoes")))*INDEX(Inputs!$K$5:$AJ$130,0,MATCH(AC$2,Inputs!$K$4:$AJ$4,0)))+SUMPRODUCT((Inputs!$E$5:$E$130=$B39)*Inputs!$F$5:$F$130*(((Inputs!$G$5:$G$130="moeda")+(Inputs!$G$5:$G$130="acoes"))*Inputs!$B$1+((Inputs!$G$5:$G$130&lt;&gt;"moeda")*(Inputs!$G$5:$G$130&lt;&gt;"acoes")))*INDEX(Inputs!$K$5:$AJ$130,0,MATCH(AC$2,Inputs!$K$4:$AJ$4,0)))))</f>
        <v>35055</v>
      </c>
      <c r="AD39" s="265">
        <f>IF(ISNA(MATCH(AD$2,Inputs!$K$4:$AJ$4,0)),NA(),IF(SUMPRODUCT((Inputs!$A$5:$A$130=$B39)*ISNUMBER(INDEX(Inputs!$K$5:$AJ$130,0,MATCH(AD$2,Inputs!$K$4:$AJ$4,0))))+SUMPRODUCT((Inputs!$C$5:$C$130=$B39)*ISNUMBER(INDEX(Inputs!$K$5:$AJ$130,0,MATCH(AD$2,Inputs!$K$4:$AJ$4,0))))+SUMPRODUCT((Inputs!$E$5:$E$130=$B39)*ISNUMBER(INDEX(Inputs!$K$5:$AJ$130,0,MATCH(AD$2,Inputs!$K$4:$AJ$4,0))))=0,NA(),SUMPRODUCT((Inputs!$A$5:$A$130=$B39)*Inputs!$B$5:$B$130*(((Inputs!$G$5:$G$130="moeda")+(Inputs!$G$5:$G$130="acoes"))*Inputs!$B$1+((Inputs!$G$5:$G$130&lt;&gt;"moeda")*(Inputs!$G$5:$G$130&lt;&gt;"acoes")))*INDEX(Inputs!$K$5:$AJ$130,0,MATCH(AD$2,Inputs!$K$4:$AJ$4,0)))+SUMPRODUCT((Inputs!$C$5:$C$130=$B39)*Inputs!$D$5:$D$130*(((Inputs!$G$5:$G$130="moeda")+(Inputs!$G$5:$G$130="acoes"))*Inputs!$B$1+((Inputs!$G$5:$G$130&lt;&gt;"moeda")*(Inputs!$G$5:$G$130&lt;&gt;"acoes")))*INDEX(Inputs!$K$5:$AJ$130,0,MATCH(AD$2,Inputs!$K$4:$AJ$4,0)))+SUMPRODUCT((Inputs!$E$5:$E$130=$B39)*Inputs!$F$5:$F$130*(((Inputs!$G$5:$G$130="moeda")+(Inputs!$G$5:$G$130="acoes"))*Inputs!$B$1+((Inputs!$G$5:$G$130&lt;&gt;"moeda")*(Inputs!$G$5:$G$130&lt;&gt;"acoes")))*INDEX(Inputs!$K$5:$AJ$130,0,MATCH(AD$2,Inputs!$K$4:$AJ$4,0)))))</f>
        <v>36752</v>
      </c>
      <c r="AE39" s="265" t="e">
        <f>IF(ISNA(MATCH(AE$2,Inputs!$K$4:$AJ$4,0)),NA(),IF(SUMPRODUCT((Inputs!$A$5:$A$130=$B39)*ISNUMBER(INDEX(Inputs!$K$5:$AJ$130,0,MATCH(AE$2,Inputs!$K$4:$AJ$4,0))))+SUMPRODUCT((Inputs!$C$5:$C$130=$B39)*ISNUMBER(INDEX(Inputs!$K$5:$AJ$130,0,MATCH(AE$2,Inputs!$K$4:$AJ$4,0))))+SUMPRODUCT((Inputs!$E$5:$E$130=$B39)*ISNUMBER(INDEX(Inputs!$K$5:$AJ$130,0,MATCH(AE$2,Inputs!$K$4:$AJ$4,0))))=0,NA(),SUMPRODUCT((Inputs!$A$5:$A$130=$B39)*Inputs!$B$5:$B$130*(((Inputs!$G$5:$G$130="moeda")+(Inputs!$G$5:$G$130="acoes"))*Inputs!$B$1+((Inputs!$G$5:$G$130&lt;&gt;"moeda")*(Inputs!$G$5:$G$130&lt;&gt;"acoes")))*INDEX(Inputs!$K$5:$AJ$130,0,MATCH(AE$2,Inputs!$K$4:$AJ$4,0)))+SUMPRODUCT((Inputs!$C$5:$C$130=$B39)*Inputs!$D$5:$D$130*(((Inputs!$G$5:$G$130="moeda")+(Inputs!$G$5:$G$130="acoes"))*Inputs!$B$1+((Inputs!$G$5:$G$130&lt;&gt;"moeda")*(Inputs!$G$5:$G$130&lt;&gt;"acoes")))*INDEX(Inputs!$K$5:$AJ$130,0,MATCH(AE$2,Inputs!$K$4:$AJ$4,0)))+SUMPRODUCT((Inputs!$E$5:$E$130=$B39)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39" s="265" t="e">
        <f>IF(ISNA(MATCH(AF$2,Inputs!$K$4:$AJ$4,0)),NA(),IF(SUMPRODUCT((Inputs!$A$5:$A$130=$B39)*ISNUMBER(INDEX(Inputs!$K$5:$AJ$130,0,MATCH(AF$2,Inputs!$K$4:$AJ$4,0))))+SUMPRODUCT((Inputs!$C$5:$C$130=$B39)*ISNUMBER(INDEX(Inputs!$K$5:$AJ$130,0,MATCH(AF$2,Inputs!$K$4:$AJ$4,0))))+SUMPRODUCT((Inputs!$E$5:$E$130=$B39)*ISNUMBER(INDEX(Inputs!$K$5:$AJ$130,0,MATCH(AF$2,Inputs!$K$4:$AJ$4,0))))=0,NA(),SUMPRODUCT((Inputs!$A$5:$A$130=$B39)*Inputs!$B$5:$B$130*(((Inputs!$G$5:$G$130="moeda")+(Inputs!$G$5:$G$130="acoes"))*Inputs!$B$1+((Inputs!$G$5:$G$130&lt;&gt;"moeda")*(Inputs!$G$5:$G$130&lt;&gt;"acoes")))*INDEX(Inputs!$K$5:$AJ$130,0,MATCH(AF$2,Inputs!$K$4:$AJ$4,0)))+SUMPRODUCT((Inputs!$C$5:$C$130=$B39)*Inputs!$D$5:$D$130*(((Inputs!$G$5:$G$130="moeda")+(Inputs!$G$5:$G$130="acoes"))*Inputs!$B$1+((Inputs!$G$5:$G$130&lt;&gt;"moeda")*(Inputs!$G$5:$G$130&lt;&gt;"acoes")))*INDEX(Inputs!$K$5:$AJ$130,0,MATCH(AF$2,Inputs!$K$4:$AJ$4,0)))+SUMPRODUCT((Inputs!$E$5:$E$130=$B39)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39" s="266" t="e">
        <f>AF39</f>
        <v>#N/A</v>
      </c>
      <c r="AH39" s="265" t="e">
        <f>IF(ISNA(MATCH(AH$2,Inputs!$K$4:$AJ$4,0)),NA(),IF(SUMPRODUCT((Inputs!$A$5:$A$130=$B39)*ISNUMBER(INDEX(Inputs!$K$5:$AJ$130,0,MATCH(AH$2,Inputs!$K$4:$AJ$4,0))))+SUMPRODUCT((Inputs!$C$5:$C$130=$B39)*ISNUMBER(INDEX(Inputs!$K$5:$AJ$130,0,MATCH(AH$2,Inputs!$K$4:$AJ$4,0))))+SUMPRODUCT((Inputs!$E$5:$E$130=$B39)*ISNUMBER(INDEX(Inputs!$K$5:$AJ$130,0,MATCH(AH$2,Inputs!$K$4:$AJ$4,0))))=0,NA(),SUMPRODUCT((Inputs!$A$5:$A$130=$B39)*Inputs!$B$5:$B$130*(((Inputs!$G$5:$G$130="moeda")+(Inputs!$G$5:$G$130="acoes"))*Inputs!$B$1+((Inputs!$G$5:$G$130&lt;&gt;"moeda")*(Inputs!$G$5:$G$130&lt;&gt;"acoes")))*INDEX(Inputs!$K$5:$AJ$130,0,MATCH(AH$2,Inputs!$K$4:$AJ$4,0)))+SUMPRODUCT((Inputs!$C$5:$C$130=$B39)*Inputs!$D$5:$D$130*(((Inputs!$G$5:$G$130="moeda")+(Inputs!$G$5:$G$130="acoes"))*Inputs!$B$1+((Inputs!$G$5:$G$130&lt;&gt;"moeda")*(Inputs!$G$5:$G$130&lt;&gt;"acoes")))*INDEX(Inputs!$K$5:$AJ$130,0,MATCH(AH$2,Inputs!$K$4:$AJ$4,0)))+SUMPRODUCT((Inputs!$E$5:$E$130=$B39)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39" s="265" t="e">
        <f>IF(ISNA(MATCH(AI$2,Inputs!$K$4:$AJ$4,0)),NA(),IF(SUMPRODUCT((Inputs!$A$5:$A$130=$B39)*ISNUMBER(INDEX(Inputs!$K$5:$AJ$130,0,MATCH(AI$2,Inputs!$K$4:$AJ$4,0))))+SUMPRODUCT((Inputs!$C$5:$C$130=$B39)*ISNUMBER(INDEX(Inputs!$K$5:$AJ$130,0,MATCH(AI$2,Inputs!$K$4:$AJ$4,0))))+SUMPRODUCT((Inputs!$E$5:$E$130=$B39)*ISNUMBER(INDEX(Inputs!$K$5:$AJ$130,0,MATCH(AI$2,Inputs!$K$4:$AJ$4,0))))=0,NA(),SUMPRODUCT((Inputs!$A$5:$A$130=$B39)*Inputs!$B$5:$B$130*(((Inputs!$G$5:$G$130="moeda")+(Inputs!$G$5:$G$130="acoes"))*Inputs!$B$1+((Inputs!$G$5:$G$130&lt;&gt;"moeda")*(Inputs!$G$5:$G$130&lt;&gt;"acoes")))*INDEX(Inputs!$K$5:$AJ$130,0,MATCH(AI$2,Inputs!$K$4:$AJ$4,0)))+SUMPRODUCT((Inputs!$C$5:$C$130=$B39)*Inputs!$D$5:$D$130*(((Inputs!$G$5:$G$130="moeda")+(Inputs!$G$5:$G$130="acoes"))*Inputs!$B$1+((Inputs!$G$5:$G$130&lt;&gt;"moeda")*(Inputs!$G$5:$G$130&lt;&gt;"acoes")))*INDEX(Inputs!$K$5:$AJ$130,0,MATCH(AI$2,Inputs!$K$4:$AJ$4,0)))+SUMPRODUCT((Inputs!$E$5:$E$130=$B39)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39" s="265" t="e">
        <f>IF(ISNA(MATCH(AJ$2,Inputs!$K$4:$AJ$4,0)),NA(),IF(SUMPRODUCT((Inputs!$A$5:$A$130=$B39)*ISNUMBER(INDEX(Inputs!$K$5:$AJ$130,0,MATCH(AJ$2,Inputs!$K$4:$AJ$4,0))))+SUMPRODUCT((Inputs!$C$5:$C$130=$B39)*ISNUMBER(INDEX(Inputs!$K$5:$AJ$130,0,MATCH(AJ$2,Inputs!$K$4:$AJ$4,0))))+SUMPRODUCT((Inputs!$E$5:$E$130=$B39)*ISNUMBER(INDEX(Inputs!$K$5:$AJ$130,0,MATCH(AJ$2,Inputs!$K$4:$AJ$4,0))))=0,NA(),SUMPRODUCT((Inputs!$A$5:$A$130=$B39)*Inputs!$B$5:$B$130*(((Inputs!$G$5:$G$130="moeda")+(Inputs!$G$5:$G$130="acoes"))*Inputs!$B$1+((Inputs!$G$5:$G$130&lt;&gt;"moeda")*(Inputs!$G$5:$G$130&lt;&gt;"acoes")))*INDEX(Inputs!$K$5:$AJ$130,0,MATCH(AJ$2,Inputs!$K$4:$AJ$4,0)))+SUMPRODUCT((Inputs!$C$5:$C$130=$B39)*Inputs!$D$5:$D$130*(((Inputs!$G$5:$G$130="moeda")+(Inputs!$G$5:$G$130="acoes"))*Inputs!$B$1+((Inputs!$G$5:$G$130&lt;&gt;"moeda")*(Inputs!$G$5:$G$130&lt;&gt;"acoes")))*INDEX(Inputs!$K$5:$AJ$130,0,MATCH(AJ$2,Inputs!$K$4:$AJ$4,0)))+SUMPRODUCT((Inputs!$E$5:$E$130=$B39)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39" s="265" t="e">
        <f>IF(ISNA(MATCH(AK$2,Inputs!$K$4:$AJ$4,0)),NA(),IF(SUMPRODUCT((Inputs!$A$5:$A$130=$B39)*ISNUMBER(INDEX(Inputs!$K$5:$AJ$130,0,MATCH(AK$2,Inputs!$K$4:$AJ$4,0))))+SUMPRODUCT((Inputs!$C$5:$C$130=$B39)*ISNUMBER(INDEX(Inputs!$K$5:$AJ$130,0,MATCH(AK$2,Inputs!$K$4:$AJ$4,0))))+SUMPRODUCT((Inputs!$E$5:$E$130=$B39)*ISNUMBER(INDEX(Inputs!$K$5:$AJ$130,0,MATCH(AK$2,Inputs!$K$4:$AJ$4,0))))=0,NA(),SUMPRODUCT((Inputs!$A$5:$A$130=$B39)*Inputs!$B$5:$B$130*(((Inputs!$G$5:$G$130="moeda")+(Inputs!$G$5:$G$130="acoes"))*Inputs!$B$1+((Inputs!$G$5:$G$130&lt;&gt;"moeda")*(Inputs!$G$5:$G$130&lt;&gt;"acoes")))*INDEX(Inputs!$K$5:$AJ$130,0,MATCH(AK$2,Inputs!$K$4:$AJ$4,0)))+SUMPRODUCT((Inputs!$C$5:$C$130=$B39)*Inputs!$D$5:$D$130*(((Inputs!$G$5:$G$130="moeda")+(Inputs!$G$5:$G$130="acoes"))*Inputs!$B$1+((Inputs!$G$5:$G$130&lt;&gt;"moeda")*(Inputs!$G$5:$G$130&lt;&gt;"acoes")))*INDEX(Inputs!$K$5:$AJ$130,0,MATCH(AK$2,Inputs!$K$4:$AJ$4,0)))+SUMPRODUCT((Inputs!$E$5:$E$130=$B39)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39" s="266" t="e">
        <f>AK39</f>
        <v>#N/A</v>
      </c>
    </row>
    <row r="40" ht="12.75" customHeight="1" s="254">
      <c r="C40" s="257" t="n"/>
    </row>
    <row r="41" ht="12.75" customHeight="1" s="254">
      <c r="B41" s="263" t="n">
        <v>35</v>
      </c>
      <c r="C41" s="268" t="inlineStr">
        <is>
          <t>Minority interest</t>
        </is>
      </c>
      <c r="D41" s="265">
        <f>IF(ISNA(MATCH(D$2,Inputs!$K$4:$AJ$4,0)),NA(),IF(SUMPRODUCT((Inputs!$A$5:$A$130=$B41)*ISNUMBER(INDEX(Inputs!$K$5:$AJ$130,0,MATCH(D$2,Inputs!$K$4:$AJ$4,0))))+SUMPRODUCT((Inputs!$C$5:$C$130=$B41)*ISNUMBER(INDEX(Inputs!$K$5:$AJ$130,0,MATCH(D$2,Inputs!$K$4:$AJ$4,0))))+SUMPRODUCT((Inputs!$E$5:$E$130=$B41)*ISNUMBER(INDEX(Inputs!$K$5:$AJ$130,0,MATCH(D$2,Inputs!$K$4:$AJ$4,0))))=0,NA(),SUMPRODUCT((Inputs!$A$5:$A$130=$B41)*Inputs!$B$5:$B$130*(((Inputs!$G$5:$G$130="moeda")+(Inputs!$G$5:$G$130="acoes"))*Inputs!$B$1+((Inputs!$G$5:$G$130&lt;&gt;"moeda")*(Inputs!$G$5:$G$130&lt;&gt;"acoes")))*INDEX(Inputs!$K$5:$AJ$130,0,MATCH(D$2,Inputs!$K$4:$AJ$4,0)))+SUMPRODUCT((Inputs!$C$5:$C$130=$B41)*Inputs!$D$5:$D$130*(((Inputs!$G$5:$G$130="moeda")+(Inputs!$G$5:$G$130="acoes"))*Inputs!$B$1+((Inputs!$G$5:$G$130&lt;&gt;"moeda")*(Inputs!$G$5:$G$130&lt;&gt;"acoes")))*INDEX(Inputs!$K$5:$AJ$130,0,MATCH(D$2,Inputs!$K$4:$AJ$4,0)))+SUMPRODUCT((Inputs!$E$5:$E$130=$B41)*Inputs!$F$5:$F$130*(((Inputs!$G$5:$G$130="moeda")+(Inputs!$G$5:$G$130="acoes"))*Inputs!$B$1+((Inputs!$G$5:$G$130&lt;&gt;"moeda")*(Inputs!$G$5:$G$130&lt;&gt;"acoes")))*INDEX(Inputs!$K$5:$AJ$130,0,MATCH(D$2,Inputs!$K$4:$AJ$4,0)))))</f>
        <v>3239</v>
      </c>
      <c r="E41" s="265">
        <f>IF(ISNA(MATCH(E$2,Inputs!$K$4:$AJ$4,0)),NA(),IF(SUMPRODUCT((Inputs!$A$5:$A$130=$B41)*ISNUMBER(INDEX(Inputs!$K$5:$AJ$130,0,MATCH(E$2,Inputs!$K$4:$AJ$4,0))))+SUMPRODUCT((Inputs!$C$5:$C$130=$B41)*ISNUMBER(INDEX(Inputs!$K$5:$AJ$130,0,MATCH(E$2,Inputs!$K$4:$AJ$4,0))))+SUMPRODUCT((Inputs!$E$5:$E$130=$B41)*ISNUMBER(INDEX(Inputs!$K$5:$AJ$130,0,MATCH(E$2,Inputs!$K$4:$AJ$4,0))))=0,NA(),SUMPRODUCT((Inputs!$A$5:$A$130=$B41)*Inputs!$B$5:$B$130*(((Inputs!$G$5:$G$130="moeda")+(Inputs!$G$5:$G$130="acoes"))*Inputs!$B$1+((Inputs!$G$5:$G$130&lt;&gt;"moeda")*(Inputs!$G$5:$G$130&lt;&gt;"acoes")))*INDEX(Inputs!$K$5:$AJ$130,0,MATCH(E$2,Inputs!$K$4:$AJ$4,0)))+SUMPRODUCT((Inputs!$C$5:$C$130=$B41)*Inputs!$D$5:$D$130*(((Inputs!$G$5:$G$130="moeda")+(Inputs!$G$5:$G$130="acoes"))*Inputs!$B$1+((Inputs!$G$5:$G$130&lt;&gt;"moeda")*(Inputs!$G$5:$G$130&lt;&gt;"acoes")))*INDEX(Inputs!$K$5:$AJ$130,0,MATCH(E$2,Inputs!$K$4:$AJ$4,0)))+SUMPRODUCT((Inputs!$E$5:$E$130=$B41)*Inputs!$F$5:$F$130*(((Inputs!$G$5:$G$130="moeda")+(Inputs!$G$5:$G$130="acoes"))*Inputs!$B$1+((Inputs!$G$5:$G$130&lt;&gt;"moeda")*(Inputs!$G$5:$G$130&lt;&gt;"acoes")))*INDEX(Inputs!$K$5:$AJ$130,0,MATCH(E$2,Inputs!$K$4:$AJ$4,0)))))</f>
        <v>3244</v>
      </c>
      <c r="F41" s="265">
        <f>IF(ISNA(MATCH(F$2,Inputs!$K$4:$AJ$4,0)),NA(),IF(SUMPRODUCT((Inputs!$A$5:$A$130=$B41)*ISNUMBER(INDEX(Inputs!$K$5:$AJ$130,0,MATCH(F$2,Inputs!$K$4:$AJ$4,0))))+SUMPRODUCT((Inputs!$C$5:$C$130=$B41)*ISNUMBER(INDEX(Inputs!$K$5:$AJ$130,0,MATCH(F$2,Inputs!$K$4:$AJ$4,0))))+SUMPRODUCT((Inputs!$E$5:$E$130=$B41)*ISNUMBER(INDEX(Inputs!$K$5:$AJ$130,0,MATCH(F$2,Inputs!$K$4:$AJ$4,0))))=0,NA(),SUMPRODUCT((Inputs!$A$5:$A$130=$B41)*Inputs!$B$5:$B$130*(((Inputs!$G$5:$G$130="moeda")+(Inputs!$G$5:$G$130="acoes"))*Inputs!$B$1+((Inputs!$G$5:$G$130&lt;&gt;"moeda")*(Inputs!$G$5:$G$130&lt;&gt;"acoes")))*INDEX(Inputs!$K$5:$AJ$130,0,MATCH(F$2,Inputs!$K$4:$AJ$4,0)))+SUMPRODUCT((Inputs!$C$5:$C$130=$B41)*Inputs!$D$5:$D$130*(((Inputs!$G$5:$G$130="moeda")+(Inputs!$G$5:$G$130="acoes"))*Inputs!$B$1+((Inputs!$G$5:$G$130&lt;&gt;"moeda")*(Inputs!$G$5:$G$130&lt;&gt;"acoes")))*INDEX(Inputs!$K$5:$AJ$130,0,MATCH(F$2,Inputs!$K$4:$AJ$4,0)))+SUMPRODUCT((Inputs!$E$5:$E$130=$B41)*Inputs!$F$5:$F$130*(((Inputs!$G$5:$G$130="moeda")+(Inputs!$G$5:$G$130="acoes"))*Inputs!$B$1+((Inputs!$G$5:$G$130&lt;&gt;"moeda")*(Inputs!$G$5:$G$130&lt;&gt;"acoes")))*INDEX(Inputs!$K$5:$AJ$130,0,MATCH(F$2,Inputs!$K$4:$AJ$4,0)))))</f>
        <v>3293</v>
      </c>
      <c r="G41" s="265">
        <f>IF(ISNA(MATCH(G$2,Inputs!$K$4:$AJ$4,0)),NA(),IF(SUMPRODUCT((Inputs!$A$5:$A$130=$B41)*ISNUMBER(INDEX(Inputs!$K$5:$AJ$130,0,MATCH(G$2,Inputs!$K$4:$AJ$4,0))))+SUMPRODUCT((Inputs!$C$5:$C$130=$B41)*ISNUMBER(INDEX(Inputs!$K$5:$AJ$130,0,MATCH(G$2,Inputs!$K$4:$AJ$4,0))))+SUMPRODUCT((Inputs!$E$5:$E$130=$B41)*ISNUMBER(INDEX(Inputs!$K$5:$AJ$130,0,MATCH(G$2,Inputs!$K$4:$AJ$4,0))))=0,NA(),SUMPRODUCT((Inputs!$A$5:$A$130=$B41)*Inputs!$B$5:$B$130*(((Inputs!$G$5:$G$130="moeda")+(Inputs!$G$5:$G$130="acoes"))*Inputs!$B$1+((Inputs!$G$5:$G$130&lt;&gt;"moeda")*(Inputs!$G$5:$G$130&lt;&gt;"acoes")))*INDEX(Inputs!$K$5:$AJ$130,0,MATCH(G$2,Inputs!$K$4:$AJ$4,0)))+SUMPRODUCT((Inputs!$C$5:$C$130=$B41)*Inputs!$D$5:$D$130*(((Inputs!$G$5:$G$130="moeda")+(Inputs!$G$5:$G$130="acoes"))*Inputs!$B$1+((Inputs!$G$5:$G$130&lt;&gt;"moeda")*(Inputs!$G$5:$G$130&lt;&gt;"acoes")))*INDEX(Inputs!$K$5:$AJ$130,0,MATCH(G$2,Inputs!$K$4:$AJ$4,0)))+SUMPRODUCT((Inputs!$E$5:$E$130=$B41)*Inputs!$F$5:$F$130*(((Inputs!$G$5:$G$130="moeda")+(Inputs!$G$5:$G$130="acoes"))*Inputs!$B$1+((Inputs!$G$5:$G$130&lt;&gt;"moeda")*(Inputs!$G$5:$G$130&lt;&gt;"acoes")))*INDEX(Inputs!$K$5:$AJ$130,0,MATCH(G$2,Inputs!$K$4:$AJ$4,0)))))</f>
        <v>3360</v>
      </c>
      <c r="H41" s="266">
        <f>G41</f>
        <v>3360</v>
      </c>
      <c r="I41" s="265">
        <f>IF(ISNA(MATCH(I$2,Inputs!$K$4:$AJ$4,0)),NA(),IF(SUMPRODUCT((Inputs!$A$5:$A$130=$B41)*ISNUMBER(INDEX(Inputs!$K$5:$AJ$130,0,MATCH(I$2,Inputs!$K$4:$AJ$4,0))))+SUMPRODUCT((Inputs!$C$5:$C$130=$B41)*ISNUMBER(INDEX(Inputs!$K$5:$AJ$130,0,MATCH(I$2,Inputs!$K$4:$AJ$4,0))))+SUMPRODUCT((Inputs!$E$5:$E$130=$B41)*ISNUMBER(INDEX(Inputs!$K$5:$AJ$130,0,MATCH(I$2,Inputs!$K$4:$AJ$4,0))))=0,NA(),SUMPRODUCT((Inputs!$A$5:$A$130=$B41)*Inputs!$B$5:$B$130*(((Inputs!$G$5:$G$130="moeda")+(Inputs!$G$5:$G$130="acoes"))*Inputs!$B$1+((Inputs!$G$5:$G$130&lt;&gt;"moeda")*(Inputs!$G$5:$G$130&lt;&gt;"acoes")))*INDEX(Inputs!$K$5:$AJ$130,0,MATCH(I$2,Inputs!$K$4:$AJ$4,0)))+SUMPRODUCT((Inputs!$C$5:$C$130=$B41)*Inputs!$D$5:$D$130*(((Inputs!$G$5:$G$130="moeda")+(Inputs!$G$5:$G$130="acoes"))*Inputs!$B$1+((Inputs!$G$5:$G$130&lt;&gt;"moeda")*(Inputs!$G$5:$G$130&lt;&gt;"acoes")))*INDEX(Inputs!$K$5:$AJ$130,0,MATCH(I$2,Inputs!$K$4:$AJ$4,0)))+SUMPRODUCT((Inputs!$E$5:$E$130=$B41)*Inputs!$F$5:$F$130*(((Inputs!$G$5:$G$130="moeda")+(Inputs!$G$5:$G$130="acoes"))*Inputs!$B$1+((Inputs!$G$5:$G$130&lt;&gt;"moeda")*(Inputs!$G$5:$G$130&lt;&gt;"acoes")))*INDEX(Inputs!$K$5:$AJ$130,0,MATCH(I$2,Inputs!$K$4:$AJ$4,0)))))</f>
        <v>3535</v>
      </c>
      <c r="J41" s="265">
        <f>IF(ISNA(MATCH(J$2,Inputs!$K$4:$AJ$4,0)),NA(),IF(SUMPRODUCT((Inputs!$A$5:$A$130=$B41)*ISNUMBER(INDEX(Inputs!$K$5:$AJ$130,0,MATCH(J$2,Inputs!$K$4:$AJ$4,0))))+SUMPRODUCT((Inputs!$C$5:$C$130=$B41)*ISNUMBER(INDEX(Inputs!$K$5:$AJ$130,0,MATCH(J$2,Inputs!$K$4:$AJ$4,0))))+SUMPRODUCT((Inputs!$E$5:$E$130=$B41)*ISNUMBER(INDEX(Inputs!$K$5:$AJ$130,0,MATCH(J$2,Inputs!$K$4:$AJ$4,0))))=0,NA(),SUMPRODUCT((Inputs!$A$5:$A$130=$B41)*Inputs!$B$5:$B$130*(((Inputs!$G$5:$G$130="moeda")+(Inputs!$G$5:$G$130="acoes"))*Inputs!$B$1+((Inputs!$G$5:$G$130&lt;&gt;"moeda")*(Inputs!$G$5:$G$130&lt;&gt;"acoes")))*INDEX(Inputs!$K$5:$AJ$130,0,MATCH(J$2,Inputs!$K$4:$AJ$4,0)))+SUMPRODUCT((Inputs!$C$5:$C$130=$B41)*Inputs!$D$5:$D$130*(((Inputs!$G$5:$G$130="moeda")+(Inputs!$G$5:$G$130="acoes"))*Inputs!$B$1+((Inputs!$G$5:$G$130&lt;&gt;"moeda")*(Inputs!$G$5:$G$130&lt;&gt;"acoes")))*INDEX(Inputs!$K$5:$AJ$130,0,MATCH(J$2,Inputs!$K$4:$AJ$4,0)))+SUMPRODUCT((Inputs!$E$5:$E$130=$B41)*Inputs!$F$5:$F$130*(((Inputs!$G$5:$G$130="moeda")+(Inputs!$G$5:$G$130="acoes"))*Inputs!$B$1+((Inputs!$G$5:$G$130&lt;&gt;"moeda")*(Inputs!$G$5:$G$130&lt;&gt;"acoes")))*INDEX(Inputs!$K$5:$AJ$130,0,MATCH(J$2,Inputs!$K$4:$AJ$4,0)))))</f>
        <v>3799</v>
      </c>
      <c r="K41" s="265">
        <f>IF(ISNA(MATCH(K$2,Inputs!$K$4:$AJ$4,0)),NA(),IF(SUMPRODUCT((Inputs!$A$5:$A$130=$B41)*ISNUMBER(INDEX(Inputs!$K$5:$AJ$130,0,MATCH(K$2,Inputs!$K$4:$AJ$4,0))))+SUMPRODUCT((Inputs!$C$5:$C$130=$B41)*ISNUMBER(INDEX(Inputs!$K$5:$AJ$130,0,MATCH(K$2,Inputs!$K$4:$AJ$4,0))))+SUMPRODUCT((Inputs!$E$5:$E$130=$B41)*ISNUMBER(INDEX(Inputs!$K$5:$AJ$130,0,MATCH(K$2,Inputs!$K$4:$AJ$4,0))))=0,NA(),SUMPRODUCT((Inputs!$A$5:$A$130=$B41)*Inputs!$B$5:$B$130*(((Inputs!$G$5:$G$130="moeda")+(Inputs!$G$5:$G$130="acoes"))*Inputs!$B$1+((Inputs!$G$5:$G$130&lt;&gt;"moeda")*(Inputs!$G$5:$G$130&lt;&gt;"acoes")))*INDEX(Inputs!$K$5:$AJ$130,0,MATCH(K$2,Inputs!$K$4:$AJ$4,0)))+SUMPRODUCT((Inputs!$C$5:$C$130=$B41)*Inputs!$D$5:$D$130*(((Inputs!$G$5:$G$130="moeda")+(Inputs!$G$5:$G$130="acoes"))*Inputs!$B$1+((Inputs!$G$5:$G$130&lt;&gt;"moeda")*(Inputs!$G$5:$G$130&lt;&gt;"acoes")))*INDEX(Inputs!$K$5:$AJ$130,0,MATCH(K$2,Inputs!$K$4:$AJ$4,0)))+SUMPRODUCT((Inputs!$E$5:$E$130=$B41)*Inputs!$F$5:$F$130*(((Inputs!$G$5:$G$130="moeda")+(Inputs!$G$5:$G$130="acoes"))*Inputs!$B$1+((Inputs!$G$5:$G$130&lt;&gt;"moeda")*(Inputs!$G$5:$G$130&lt;&gt;"acoes")))*INDEX(Inputs!$K$5:$AJ$130,0,MATCH(K$2,Inputs!$K$4:$AJ$4,0)))))</f>
        <v>3715</v>
      </c>
      <c r="L41" s="265">
        <f>IF(ISNA(MATCH(L$2,Inputs!$K$4:$AJ$4,0)),NA(),IF(SUMPRODUCT((Inputs!$A$5:$A$130=$B41)*ISNUMBER(INDEX(Inputs!$K$5:$AJ$130,0,MATCH(L$2,Inputs!$K$4:$AJ$4,0))))+SUMPRODUCT((Inputs!$C$5:$C$130=$B41)*ISNUMBER(INDEX(Inputs!$K$5:$AJ$130,0,MATCH(L$2,Inputs!$K$4:$AJ$4,0))))+SUMPRODUCT((Inputs!$E$5:$E$130=$B41)*ISNUMBER(INDEX(Inputs!$K$5:$AJ$130,0,MATCH(L$2,Inputs!$K$4:$AJ$4,0))))=0,NA(),SUMPRODUCT((Inputs!$A$5:$A$130=$B41)*Inputs!$B$5:$B$130*(((Inputs!$G$5:$G$130="moeda")+(Inputs!$G$5:$G$130="acoes"))*Inputs!$B$1+((Inputs!$G$5:$G$130&lt;&gt;"moeda")*(Inputs!$G$5:$G$130&lt;&gt;"acoes")))*INDEX(Inputs!$K$5:$AJ$130,0,MATCH(L$2,Inputs!$K$4:$AJ$4,0)))+SUMPRODUCT((Inputs!$C$5:$C$130=$B41)*Inputs!$D$5:$D$130*(((Inputs!$G$5:$G$130="moeda")+(Inputs!$G$5:$G$130="acoes"))*Inputs!$B$1+((Inputs!$G$5:$G$130&lt;&gt;"moeda")*(Inputs!$G$5:$G$130&lt;&gt;"acoes")))*INDEX(Inputs!$K$5:$AJ$130,0,MATCH(L$2,Inputs!$K$4:$AJ$4,0)))+SUMPRODUCT((Inputs!$E$5:$E$130=$B41)*Inputs!$F$5:$F$130*(((Inputs!$G$5:$G$130="moeda")+(Inputs!$G$5:$G$130="acoes"))*Inputs!$B$1+((Inputs!$G$5:$G$130&lt;&gt;"moeda")*(Inputs!$G$5:$G$130&lt;&gt;"acoes")))*INDEX(Inputs!$K$5:$AJ$130,0,MATCH(L$2,Inputs!$K$4:$AJ$4,0)))))</f>
        <v>2125</v>
      </c>
      <c r="M41" s="266">
        <f>L41</f>
        <v>2125</v>
      </c>
      <c r="N41" s="265">
        <f>IF(ISNA(MATCH(N$2,Inputs!$K$4:$AJ$4,0)),NA(),IF(SUMPRODUCT((Inputs!$A$5:$A$130=$B41)*ISNUMBER(INDEX(Inputs!$K$5:$AJ$130,0,MATCH(N$2,Inputs!$K$4:$AJ$4,0))))+SUMPRODUCT((Inputs!$C$5:$C$130=$B41)*ISNUMBER(INDEX(Inputs!$K$5:$AJ$130,0,MATCH(N$2,Inputs!$K$4:$AJ$4,0))))+SUMPRODUCT((Inputs!$E$5:$E$130=$B41)*ISNUMBER(INDEX(Inputs!$K$5:$AJ$130,0,MATCH(N$2,Inputs!$K$4:$AJ$4,0))))=0,NA(),SUMPRODUCT((Inputs!$A$5:$A$130=$B41)*Inputs!$B$5:$B$130*(((Inputs!$G$5:$G$130="moeda")+(Inputs!$G$5:$G$130="acoes"))*Inputs!$B$1+((Inputs!$G$5:$G$130&lt;&gt;"moeda")*(Inputs!$G$5:$G$130&lt;&gt;"acoes")))*INDEX(Inputs!$K$5:$AJ$130,0,MATCH(N$2,Inputs!$K$4:$AJ$4,0)))+SUMPRODUCT((Inputs!$C$5:$C$130=$B41)*Inputs!$D$5:$D$130*(((Inputs!$G$5:$G$130="moeda")+(Inputs!$G$5:$G$130="acoes"))*Inputs!$B$1+((Inputs!$G$5:$G$130&lt;&gt;"moeda")*(Inputs!$G$5:$G$130&lt;&gt;"acoes")))*INDEX(Inputs!$K$5:$AJ$130,0,MATCH(N$2,Inputs!$K$4:$AJ$4,0)))+SUMPRODUCT((Inputs!$E$5:$E$130=$B41)*Inputs!$F$5:$F$130*(((Inputs!$G$5:$G$130="moeda")+(Inputs!$G$5:$G$130="acoes"))*Inputs!$B$1+((Inputs!$G$5:$G$130&lt;&gt;"moeda")*(Inputs!$G$5:$G$130&lt;&gt;"acoes")))*INDEX(Inputs!$K$5:$AJ$130,0,MATCH(N$2,Inputs!$K$4:$AJ$4,0)))))</f>
        <v>2214</v>
      </c>
      <c r="O41" s="265">
        <f>IF(ISNA(MATCH(O$2,Inputs!$K$4:$AJ$4,0)),NA(),IF(SUMPRODUCT((Inputs!$A$5:$A$130=$B41)*ISNUMBER(INDEX(Inputs!$K$5:$AJ$130,0,MATCH(O$2,Inputs!$K$4:$AJ$4,0))))+SUMPRODUCT((Inputs!$C$5:$C$130=$B41)*ISNUMBER(INDEX(Inputs!$K$5:$AJ$130,0,MATCH(O$2,Inputs!$K$4:$AJ$4,0))))+SUMPRODUCT((Inputs!$E$5:$E$130=$B41)*ISNUMBER(INDEX(Inputs!$K$5:$AJ$130,0,MATCH(O$2,Inputs!$K$4:$AJ$4,0))))=0,NA(),SUMPRODUCT((Inputs!$A$5:$A$130=$B41)*Inputs!$B$5:$B$130*(((Inputs!$G$5:$G$130="moeda")+(Inputs!$G$5:$G$130="acoes"))*Inputs!$B$1+((Inputs!$G$5:$G$130&lt;&gt;"moeda")*(Inputs!$G$5:$G$130&lt;&gt;"acoes")))*INDEX(Inputs!$K$5:$AJ$130,0,MATCH(O$2,Inputs!$K$4:$AJ$4,0)))+SUMPRODUCT((Inputs!$C$5:$C$130=$B41)*Inputs!$D$5:$D$130*(((Inputs!$G$5:$G$130="moeda")+(Inputs!$G$5:$G$130="acoes"))*Inputs!$B$1+((Inputs!$G$5:$G$130&lt;&gt;"moeda")*(Inputs!$G$5:$G$130&lt;&gt;"acoes")))*INDEX(Inputs!$K$5:$AJ$130,0,MATCH(O$2,Inputs!$K$4:$AJ$4,0)))+SUMPRODUCT((Inputs!$E$5:$E$130=$B41)*Inputs!$F$5:$F$130*(((Inputs!$G$5:$G$130="moeda")+(Inputs!$G$5:$G$130="acoes"))*Inputs!$B$1+((Inputs!$G$5:$G$130&lt;&gt;"moeda")*(Inputs!$G$5:$G$130&lt;&gt;"acoes")))*INDEX(Inputs!$K$5:$AJ$130,0,MATCH(O$2,Inputs!$K$4:$AJ$4,0)))))</f>
        <v>1633</v>
      </c>
      <c r="P41" s="265">
        <f>IF(ISNA(MATCH(P$2,Inputs!$K$4:$AJ$4,0)),NA(),IF(SUMPRODUCT((Inputs!$A$5:$A$130=$B41)*ISNUMBER(INDEX(Inputs!$K$5:$AJ$130,0,MATCH(P$2,Inputs!$K$4:$AJ$4,0))))+SUMPRODUCT((Inputs!$C$5:$C$130=$B41)*ISNUMBER(INDEX(Inputs!$K$5:$AJ$130,0,MATCH(P$2,Inputs!$K$4:$AJ$4,0))))+SUMPRODUCT((Inputs!$E$5:$E$130=$B41)*ISNUMBER(INDEX(Inputs!$K$5:$AJ$130,0,MATCH(P$2,Inputs!$K$4:$AJ$4,0))))=0,NA(),SUMPRODUCT((Inputs!$A$5:$A$130=$B41)*Inputs!$B$5:$B$130*(((Inputs!$G$5:$G$130="moeda")+(Inputs!$G$5:$G$130="acoes"))*Inputs!$B$1+((Inputs!$G$5:$G$130&lt;&gt;"moeda")*(Inputs!$G$5:$G$130&lt;&gt;"acoes")))*INDEX(Inputs!$K$5:$AJ$130,0,MATCH(P$2,Inputs!$K$4:$AJ$4,0)))+SUMPRODUCT((Inputs!$C$5:$C$130=$B41)*Inputs!$D$5:$D$130*(((Inputs!$G$5:$G$130="moeda")+(Inputs!$G$5:$G$130="acoes"))*Inputs!$B$1+((Inputs!$G$5:$G$130&lt;&gt;"moeda")*(Inputs!$G$5:$G$130&lt;&gt;"acoes")))*INDEX(Inputs!$K$5:$AJ$130,0,MATCH(P$2,Inputs!$K$4:$AJ$4,0)))+SUMPRODUCT((Inputs!$E$5:$E$130=$B41)*Inputs!$F$5:$F$130*(((Inputs!$G$5:$G$130="moeda")+(Inputs!$G$5:$G$130="acoes"))*Inputs!$B$1+((Inputs!$G$5:$G$130&lt;&gt;"moeda")*(Inputs!$G$5:$G$130&lt;&gt;"acoes")))*INDEX(Inputs!$K$5:$AJ$130,0,MATCH(P$2,Inputs!$K$4:$AJ$4,0)))))</f>
        <v>1745</v>
      </c>
      <c r="Q41" s="265">
        <f>IF(ISNA(MATCH(Q$2,Inputs!$K$4:$AJ$4,0)),NA(),IF(SUMPRODUCT((Inputs!$A$5:$A$130=$B41)*ISNUMBER(INDEX(Inputs!$K$5:$AJ$130,0,MATCH(Q$2,Inputs!$K$4:$AJ$4,0))))+SUMPRODUCT((Inputs!$C$5:$C$130=$B41)*ISNUMBER(INDEX(Inputs!$K$5:$AJ$130,0,MATCH(Q$2,Inputs!$K$4:$AJ$4,0))))+SUMPRODUCT((Inputs!$E$5:$E$130=$B41)*ISNUMBER(INDEX(Inputs!$K$5:$AJ$130,0,MATCH(Q$2,Inputs!$K$4:$AJ$4,0))))=0,NA(),SUMPRODUCT((Inputs!$A$5:$A$130=$B41)*Inputs!$B$5:$B$130*(((Inputs!$G$5:$G$130="moeda")+(Inputs!$G$5:$G$130="acoes"))*Inputs!$B$1+((Inputs!$G$5:$G$130&lt;&gt;"moeda")*(Inputs!$G$5:$G$130&lt;&gt;"acoes")))*INDEX(Inputs!$K$5:$AJ$130,0,MATCH(Q$2,Inputs!$K$4:$AJ$4,0)))+SUMPRODUCT((Inputs!$C$5:$C$130=$B41)*Inputs!$D$5:$D$130*(((Inputs!$G$5:$G$130="moeda")+(Inputs!$G$5:$G$130="acoes"))*Inputs!$B$1+((Inputs!$G$5:$G$130&lt;&gt;"moeda")*(Inputs!$G$5:$G$130&lt;&gt;"acoes")))*INDEX(Inputs!$K$5:$AJ$130,0,MATCH(Q$2,Inputs!$K$4:$AJ$4,0)))+SUMPRODUCT((Inputs!$E$5:$E$130=$B41)*Inputs!$F$5:$F$130*(((Inputs!$G$5:$G$130="moeda")+(Inputs!$G$5:$G$130="acoes"))*Inputs!$B$1+((Inputs!$G$5:$G$130&lt;&gt;"moeda")*(Inputs!$G$5:$G$130&lt;&gt;"acoes")))*INDEX(Inputs!$K$5:$AJ$130,0,MATCH(Q$2,Inputs!$K$4:$AJ$4,0)))))</f>
        <v>1755</v>
      </c>
      <c r="R41" s="266">
        <f>Q41</f>
        <v>1755</v>
      </c>
      <c r="S41" s="265">
        <f>IF(ISNA(MATCH(S$2,Inputs!$K$4:$AJ$4,0)),NA(),IF(SUMPRODUCT((Inputs!$A$5:$A$130=$B41)*ISNUMBER(INDEX(Inputs!$K$5:$AJ$130,0,MATCH(S$2,Inputs!$K$4:$AJ$4,0))))+SUMPRODUCT((Inputs!$C$5:$C$130=$B41)*ISNUMBER(INDEX(Inputs!$K$5:$AJ$130,0,MATCH(S$2,Inputs!$K$4:$AJ$4,0))))+SUMPRODUCT((Inputs!$E$5:$E$130=$B41)*ISNUMBER(INDEX(Inputs!$K$5:$AJ$130,0,MATCH(S$2,Inputs!$K$4:$AJ$4,0))))=0,NA(),SUMPRODUCT((Inputs!$A$5:$A$130=$B41)*Inputs!$B$5:$B$130*(((Inputs!$G$5:$G$130="moeda")+(Inputs!$G$5:$G$130="acoes"))*Inputs!$B$1+((Inputs!$G$5:$G$130&lt;&gt;"moeda")*(Inputs!$G$5:$G$130&lt;&gt;"acoes")))*INDEX(Inputs!$K$5:$AJ$130,0,MATCH(S$2,Inputs!$K$4:$AJ$4,0)))+SUMPRODUCT((Inputs!$C$5:$C$130=$B41)*Inputs!$D$5:$D$130*(((Inputs!$G$5:$G$130="moeda")+(Inputs!$G$5:$G$130="acoes"))*Inputs!$B$1+((Inputs!$G$5:$G$130&lt;&gt;"moeda")*(Inputs!$G$5:$G$130&lt;&gt;"acoes")))*INDEX(Inputs!$K$5:$AJ$130,0,MATCH(S$2,Inputs!$K$4:$AJ$4,0)))+SUMPRODUCT((Inputs!$E$5:$E$130=$B41)*Inputs!$F$5:$F$130*(((Inputs!$G$5:$G$130="moeda")+(Inputs!$G$5:$G$130="acoes"))*Inputs!$B$1+((Inputs!$G$5:$G$130&lt;&gt;"moeda")*(Inputs!$G$5:$G$130&lt;&gt;"acoes")))*INDEX(Inputs!$K$5:$AJ$130,0,MATCH(S$2,Inputs!$K$4:$AJ$4,0)))))</f>
        <v>1739</v>
      </c>
      <c r="T41" s="265">
        <f>IF(ISNA(MATCH(T$2,Inputs!$K$4:$AJ$4,0)),NA(),IF(SUMPRODUCT((Inputs!$A$5:$A$130=$B41)*ISNUMBER(INDEX(Inputs!$K$5:$AJ$130,0,MATCH(T$2,Inputs!$K$4:$AJ$4,0))))+SUMPRODUCT((Inputs!$C$5:$C$130=$B41)*ISNUMBER(INDEX(Inputs!$K$5:$AJ$130,0,MATCH(T$2,Inputs!$K$4:$AJ$4,0))))+SUMPRODUCT((Inputs!$E$5:$E$130=$B41)*ISNUMBER(INDEX(Inputs!$K$5:$AJ$130,0,MATCH(T$2,Inputs!$K$4:$AJ$4,0))))=0,NA(),SUMPRODUCT((Inputs!$A$5:$A$130=$B41)*Inputs!$B$5:$B$130*(((Inputs!$G$5:$G$130="moeda")+(Inputs!$G$5:$G$130="acoes"))*Inputs!$B$1+((Inputs!$G$5:$G$130&lt;&gt;"moeda")*(Inputs!$G$5:$G$130&lt;&gt;"acoes")))*INDEX(Inputs!$K$5:$AJ$130,0,MATCH(T$2,Inputs!$K$4:$AJ$4,0)))+SUMPRODUCT((Inputs!$C$5:$C$130=$B41)*Inputs!$D$5:$D$130*(((Inputs!$G$5:$G$130="moeda")+(Inputs!$G$5:$G$130="acoes"))*Inputs!$B$1+((Inputs!$G$5:$G$130&lt;&gt;"moeda")*(Inputs!$G$5:$G$130&lt;&gt;"acoes")))*INDEX(Inputs!$K$5:$AJ$130,0,MATCH(T$2,Inputs!$K$4:$AJ$4,0)))+SUMPRODUCT((Inputs!$E$5:$E$130=$B41)*Inputs!$F$5:$F$130*(((Inputs!$G$5:$G$130="moeda")+(Inputs!$G$5:$G$130="acoes"))*Inputs!$B$1+((Inputs!$G$5:$G$130&lt;&gt;"moeda")*(Inputs!$G$5:$G$130&lt;&gt;"acoes")))*INDEX(Inputs!$K$5:$AJ$130,0,MATCH(T$2,Inputs!$K$4:$AJ$4,0)))))</f>
        <v>1783</v>
      </c>
      <c r="U41" s="265">
        <f>IF(ISNA(MATCH(U$2,Inputs!$K$4:$AJ$4,0)),NA(),IF(SUMPRODUCT((Inputs!$A$5:$A$130=$B41)*ISNUMBER(INDEX(Inputs!$K$5:$AJ$130,0,MATCH(U$2,Inputs!$K$4:$AJ$4,0))))+SUMPRODUCT((Inputs!$C$5:$C$130=$B41)*ISNUMBER(INDEX(Inputs!$K$5:$AJ$130,0,MATCH(U$2,Inputs!$K$4:$AJ$4,0))))+SUMPRODUCT((Inputs!$E$5:$E$130=$B41)*ISNUMBER(INDEX(Inputs!$K$5:$AJ$130,0,MATCH(U$2,Inputs!$K$4:$AJ$4,0))))=0,NA(),SUMPRODUCT((Inputs!$A$5:$A$130=$B41)*Inputs!$B$5:$B$130*(((Inputs!$G$5:$G$130="moeda")+(Inputs!$G$5:$G$130="acoes"))*Inputs!$B$1+((Inputs!$G$5:$G$130&lt;&gt;"moeda")*(Inputs!$G$5:$G$130&lt;&gt;"acoes")))*INDEX(Inputs!$K$5:$AJ$130,0,MATCH(U$2,Inputs!$K$4:$AJ$4,0)))+SUMPRODUCT((Inputs!$C$5:$C$130=$B41)*Inputs!$D$5:$D$130*(((Inputs!$G$5:$G$130="moeda")+(Inputs!$G$5:$G$130="acoes"))*Inputs!$B$1+((Inputs!$G$5:$G$130&lt;&gt;"moeda")*(Inputs!$G$5:$G$130&lt;&gt;"acoes")))*INDEX(Inputs!$K$5:$AJ$130,0,MATCH(U$2,Inputs!$K$4:$AJ$4,0)))+SUMPRODUCT((Inputs!$E$5:$E$130=$B41)*Inputs!$F$5:$F$130*(((Inputs!$G$5:$G$130="moeda")+(Inputs!$G$5:$G$130="acoes"))*Inputs!$B$1+((Inputs!$G$5:$G$130&lt;&gt;"moeda")*(Inputs!$G$5:$G$130&lt;&gt;"acoes")))*INDEX(Inputs!$K$5:$AJ$130,0,MATCH(U$2,Inputs!$K$4:$AJ$4,0)))))</f>
        <v>1865</v>
      </c>
      <c r="V41" s="265">
        <f>IF(ISNA(MATCH(V$2,Inputs!$K$4:$AJ$4,0)),NA(),IF(SUMPRODUCT((Inputs!$A$5:$A$130=$B41)*ISNUMBER(INDEX(Inputs!$K$5:$AJ$130,0,MATCH(V$2,Inputs!$K$4:$AJ$4,0))))+SUMPRODUCT((Inputs!$C$5:$C$130=$B41)*ISNUMBER(INDEX(Inputs!$K$5:$AJ$130,0,MATCH(V$2,Inputs!$K$4:$AJ$4,0))))+SUMPRODUCT((Inputs!$E$5:$E$130=$B41)*ISNUMBER(INDEX(Inputs!$K$5:$AJ$130,0,MATCH(V$2,Inputs!$K$4:$AJ$4,0))))=0,NA(),SUMPRODUCT((Inputs!$A$5:$A$130=$B41)*Inputs!$B$5:$B$130*(((Inputs!$G$5:$G$130="moeda")+(Inputs!$G$5:$G$130="acoes"))*Inputs!$B$1+((Inputs!$G$5:$G$130&lt;&gt;"moeda")*(Inputs!$G$5:$G$130&lt;&gt;"acoes")))*INDEX(Inputs!$K$5:$AJ$130,0,MATCH(V$2,Inputs!$K$4:$AJ$4,0)))+SUMPRODUCT((Inputs!$C$5:$C$130=$B41)*Inputs!$D$5:$D$130*(((Inputs!$G$5:$G$130="moeda")+(Inputs!$G$5:$G$130="acoes"))*Inputs!$B$1+((Inputs!$G$5:$G$130&lt;&gt;"moeda")*(Inputs!$G$5:$G$130&lt;&gt;"acoes")))*INDEX(Inputs!$K$5:$AJ$130,0,MATCH(V$2,Inputs!$K$4:$AJ$4,0)))+SUMPRODUCT((Inputs!$E$5:$E$130=$B41)*Inputs!$F$5:$F$130*(((Inputs!$G$5:$G$130="moeda")+(Inputs!$G$5:$G$130="acoes"))*Inputs!$B$1+((Inputs!$G$5:$G$130&lt;&gt;"moeda")*(Inputs!$G$5:$G$130&lt;&gt;"acoes")))*INDEX(Inputs!$K$5:$AJ$130,0,MATCH(V$2,Inputs!$K$4:$AJ$4,0)))))</f>
        <v>1861</v>
      </c>
      <c r="W41" s="266">
        <f>V41</f>
        <v>1861</v>
      </c>
      <c r="X41" s="265">
        <f>IF(ISNA(MATCH(X$2,Inputs!$K$4:$AJ$4,0)),NA(),IF(SUMPRODUCT((Inputs!$A$5:$A$130=$B41)*ISNUMBER(INDEX(Inputs!$K$5:$AJ$130,0,MATCH(X$2,Inputs!$K$4:$AJ$4,0))))+SUMPRODUCT((Inputs!$C$5:$C$130=$B41)*ISNUMBER(INDEX(Inputs!$K$5:$AJ$130,0,MATCH(X$2,Inputs!$K$4:$AJ$4,0))))+SUMPRODUCT((Inputs!$E$5:$E$130=$B41)*ISNUMBER(INDEX(Inputs!$K$5:$AJ$130,0,MATCH(X$2,Inputs!$K$4:$AJ$4,0))))=0,NA(),SUMPRODUCT((Inputs!$A$5:$A$130=$B41)*Inputs!$B$5:$B$130*(((Inputs!$G$5:$G$130="moeda")+(Inputs!$G$5:$G$130="acoes"))*Inputs!$B$1+((Inputs!$G$5:$G$130&lt;&gt;"moeda")*(Inputs!$G$5:$G$130&lt;&gt;"acoes")))*INDEX(Inputs!$K$5:$AJ$130,0,MATCH(X$2,Inputs!$K$4:$AJ$4,0)))+SUMPRODUCT((Inputs!$C$5:$C$130=$B41)*Inputs!$D$5:$D$130*(((Inputs!$G$5:$G$130="moeda")+(Inputs!$G$5:$G$130="acoes"))*Inputs!$B$1+((Inputs!$G$5:$G$130&lt;&gt;"moeda")*(Inputs!$G$5:$G$130&lt;&gt;"acoes")))*INDEX(Inputs!$K$5:$AJ$130,0,MATCH(X$2,Inputs!$K$4:$AJ$4,0)))+SUMPRODUCT((Inputs!$E$5:$E$130=$B41)*Inputs!$F$5:$F$130*(((Inputs!$G$5:$G$130="moeda")+(Inputs!$G$5:$G$130="acoes"))*Inputs!$B$1+((Inputs!$G$5:$G$130&lt;&gt;"moeda")*(Inputs!$G$5:$G$130&lt;&gt;"acoes")))*INDEX(Inputs!$K$5:$AJ$130,0,MATCH(X$2,Inputs!$K$4:$AJ$4,0)))))</f>
        <v>1856</v>
      </c>
      <c r="Y41" s="265">
        <f>IF(ISNA(MATCH(Y$2,Inputs!$K$4:$AJ$4,0)),NA(),IF(SUMPRODUCT((Inputs!$A$5:$A$130=$B41)*ISNUMBER(INDEX(Inputs!$K$5:$AJ$130,0,MATCH(Y$2,Inputs!$K$4:$AJ$4,0))))+SUMPRODUCT((Inputs!$C$5:$C$130=$B41)*ISNUMBER(INDEX(Inputs!$K$5:$AJ$130,0,MATCH(Y$2,Inputs!$K$4:$AJ$4,0))))+SUMPRODUCT((Inputs!$E$5:$E$130=$B41)*ISNUMBER(INDEX(Inputs!$K$5:$AJ$130,0,MATCH(Y$2,Inputs!$K$4:$AJ$4,0))))=0,NA(),SUMPRODUCT((Inputs!$A$5:$A$130=$B41)*Inputs!$B$5:$B$130*(((Inputs!$G$5:$G$130="moeda")+(Inputs!$G$5:$G$130="acoes"))*Inputs!$B$1+((Inputs!$G$5:$G$130&lt;&gt;"moeda")*(Inputs!$G$5:$G$130&lt;&gt;"acoes")))*INDEX(Inputs!$K$5:$AJ$130,0,MATCH(Y$2,Inputs!$K$4:$AJ$4,0)))+SUMPRODUCT((Inputs!$C$5:$C$130=$B41)*Inputs!$D$5:$D$130*(((Inputs!$G$5:$G$130="moeda")+(Inputs!$G$5:$G$130="acoes"))*Inputs!$B$1+((Inputs!$G$5:$G$130&lt;&gt;"moeda")*(Inputs!$G$5:$G$130&lt;&gt;"acoes")))*INDEX(Inputs!$K$5:$AJ$130,0,MATCH(Y$2,Inputs!$K$4:$AJ$4,0)))+SUMPRODUCT((Inputs!$E$5:$E$130=$B41)*Inputs!$F$5:$F$130*(((Inputs!$G$5:$G$130="moeda")+(Inputs!$G$5:$G$130="acoes"))*Inputs!$B$1+((Inputs!$G$5:$G$130&lt;&gt;"moeda")*(Inputs!$G$5:$G$130&lt;&gt;"acoes")))*INDEX(Inputs!$K$5:$AJ$130,0,MATCH(Y$2,Inputs!$K$4:$AJ$4,0)))))</f>
        <v>1951</v>
      </c>
      <c r="Z41" s="265">
        <f>IF(ISNA(MATCH(Z$2,Inputs!$K$4:$AJ$4,0)),NA(),IF(SUMPRODUCT((Inputs!$A$5:$A$130=$B41)*ISNUMBER(INDEX(Inputs!$K$5:$AJ$130,0,MATCH(Z$2,Inputs!$K$4:$AJ$4,0))))+SUMPRODUCT((Inputs!$C$5:$C$130=$B41)*ISNUMBER(INDEX(Inputs!$K$5:$AJ$130,0,MATCH(Z$2,Inputs!$K$4:$AJ$4,0))))+SUMPRODUCT((Inputs!$E$5:$E$130=$B41)*ISNUMBER(INDEX(Inputs!$K$5:$AJ$130,0,MATCH(Z$2,Inputs!$K$4:$AJ$4,0))))=0,NA(),SUMPRODUCT((Inputs!$A$5:$A$130=$B41)*Inputs!$B$5:$B$130*(((Inputs!$G$5:$G$130="moeda")+(Inputs!$G$5:$G$130="acoes"))*Inputs!$B$1+((Inputs!$G$5:$G$130&lt;&gt;"moeda")*(Inputs!$G$5:$G$130&lt;&gt;"acoes")))*INDEX(Inputs!$K$5:$AJ$130,0,MATCH(Z$2,Inputs!$K$4:$AJ$4,0)))+SUMPRODUCT((Inputs!$C$5:$C$130=$B41)*Inputs!$D$5:$D$130*(((Inputs!$G$5:$G$130="moeda")+(Inputs!$G$5:$G$130="acoes"))*Inputs!$B$1+((Inputs!$G$5:$G$130&lt;&gt;"moeda")*(Inputs!$G$5:$G$130&lt;&gt;"acoes")))*INDEX(Inputs!$K$5:$AJ$130,0,MATCH(Z$2,Inputs!$K$4:$AJ$4,0)))+SUMPRODUCT((Inputs!$E$5:$E$130=$B41)*Inputs!$F$5:$F$130*(((Inputs!$G$5:$G$130="moeda")+(Inputs!$G$5:$G$130="acoes"))*Inputs!$B$1+((Inputs!$G$5:$G$130&lt;&gt;"moeda")*(Inputs!$G$5:$G$130&lt;&gt;"acoes")))*INDEX(Inputs!$K$5:$AJ$130,0,MATCH(Z$2,Inputs!$K$4:$AJ$4,0)))))</f>
        <v>1999</v>
      </c>
      <c r="AA41" s="265">
        <f>IF(ISNA(MATCH(AA$2,Inputs!$K$4:$AJ$4,0)),NA(),IF(SUMPRODUCT((Inputs!$A$5:$A$130=$B41)*ISNUMBER(INDEX(Inputs!$K$5:$AJ$130,0,MATCH(AA$2,Inputs!$K$4:$AJ$4,0))))+SUMPRODUCT((Inputs!$C$5:$C$130=$B41)*ISNUMBER(INDEX(Inputs!$K$5:$AJ$130,0,MATCH(AA$2,Inputs!$K$4:$AJ$4,0))))+SUMPRODUCT((Inputs!$E$5:$E$130=$B41)*ISNUMBER(INDEX(Inputs!$K$5:$AJ$130,0,MATCH(AA$2,Inputs!$K$4:$AJ$4,0))))=0,NA(),SUMPRODUCT((Inputs!$A$5:$A$130=$B41)*Inputs!$B$5:$B$130*(((Inputs!$G$5:$G$130="moeda")+(Inputs!$G$5:$G$130="acoes"))*Inputs!$B$1+((Inputs!$G$5:$G$130&lt;&gt;"moeda")*(Inputs!$G$5:$G$130&lt;&gt;"acoes")))*INDEX(Inputs!$K$5:$AJ$130,0,MATCH(AA$2,Inputs!$K$4:$AJ$4,0)))+SUMPRODUCT((Inputs!$C$5:$C$130=$B41)*Inputs!$D$5:$D$130*(((Inputs!$G$5:$G$130="moeda")+(Inputs!$G$5:$G$130="acoes"))*Inputs!$B$1+((Inputs!$G$5:$G$130&lt;&gt;"moeda")*(Inputs!$G$5:$G$130&lt;&gt;"acoes")))*INDEX(Inputs!$K$5:$AJ$130,0,MATCH(AA$2,Inputs!$K$4:$AJ$4,0)))+SUMPRODUCT((Inputs!$E$5:$E$130=$B41)*Inputs!$F$5:$F$130*(((Inputs!$G$5:$G$130="moeda")+(Inputs!$G$5:$G$130="acoes"))*Inputs!$B$1+((Inputs!$G$5:$G$130&lt;&gt;"moeda")*(Inputs!$G$5:$G$130&lt;&gt;"acoes")))*INDEX(Inputs!$K$5:$AJ$130,0,MATCH(AA$2,Inputs!$K$4:$AJ$4,0)))))</f>
        <v>928</v>
      </c>
      <c r="AB41" s="266">
        <f>AA41</f>
        <v>928</v>
      </c>
      <c r="AC41" s="265">
        <f>IF(ISNA(MATCH(AC$2,Inputs!$K$4:$AJ$4,0)),NA(),IF(SUMPRODUCT((Inputs!$A$5:$A$130=$B41)*ISNUMBER(INDEX(Inputs!$K$5:$AJ$130,0,MATCH(AC$2,Inputs!$K$4:$AJ$4,0))))+SUMPRODUCT((Inputs!$C$5:$C$130=$B41)*ISNUMBER(INDEX(Inputs!$K$5:$AJ$130,0,MATCH(AC$2,Inputs!$K$4:$AJ$4,0))))+SUMPRODUCT((Inputs!$E$5:$E$130=$B41)*ISNUMBER(INDEX(Inputs!$K$5:$AJ$130,0,MATCH(AC$2,Inputs!$K$4:$AJ$4,0))))=0,NA(),SUMPRODUCT((Inputs!$A$5:$A$130=$B41)*Inputs!$B$5:$B$130*(((Inputs!$G$5:$G$130="moeda")+(Inputs!$G$5:$G$130="acoes"))*Inputs!$B$1+((Inputs!$G$5:$G$130&lt;&gt;"moeda")*(Inputs!$G$5:$G$130&lt;&gt;"acoes")))*INDEX(Inputs!$K$5:$AJ$130,0,MATCH(AC$2,Inputs!$K$4:$AJ$4,0)))+SUMPRODUCT((Inputs!$C$5:$C$130=$B41)*Inputs!$D$5:$D$130*(((Inputs!$G$5:$G$130="moeda")+(Inputs!$G$5:$G$130="acoes"))*Inputs!$B$1+((Inputs!$G$5:$G$130&lt;&gt;"moeda")*(Inputs!$G$5:$G$130&lt;&gt;"acoes")))*INDEX(Inputs!$K$5:$AJ$130,0,MATCH(AC$2,Inputs!$K$4:$AJ$4,0)))+SUMPRODUCT((Inputs!$E$5:$E$130=$B41)*Inputs!$F$5:$F$130*(((Inputs!$G$5:$G$130="moeda")+(Inputs!$G$5:$G$130="acoes"))*Inputs!$B$1+((Inputs!$G$5:$G$130&lt;&gt;"moeda")*(Inputs!$G$5:$G$130&lt;&gt;"acoes")))*INDEX(Inputs!$K$5:$AJ$130,0,MATCH(AC$2,Inputs!$K$4:$AJ$4,0)))))</f>
        <v>1018</v>
      </c>
      <c r="AD41" s="265">
        <f>IF(ISNA(MATCH(AD$2,Inputs!$K$4:$AJ$4,0)),NA(),IF(SUMPRODUCT((Inputs!$A$5:$A$130=$B41)*ISNUMBER(INDEX(Inputs!$K$5:$AJ$130,0,MATCH(AD$2,Inputs!$K$4:$AJ$4,0))))+SUMPRODUCT((Inputs!$C$5:$C$130=$B41)*ISNUMBER(INDEX(Inputs!$K$5:$AJ$130,0,MATCH(AD$2,Inputs!$K$4:$AJ$4,0))))+SUMPRODUCT((Inputs!$E$5:$E$130=$B41)*ISNUMBER(INDEX(Inputs!$K$5:$AJ$130,0,MATCH(AD$2,Inputs!$K$4:$AJ$4,0))))=0,NA(),SUMPRODUCT((Inputs!$A$5:$A$130=$B41)*Inputs!$B$5:$B$130*(((Inputs!$G$5:$G$130="moeda")+(Inputs!$G$5:$G$130="acoes"))*Inputs!$B$1+((Inputs!$G$5:$G$130&lt;&gt;"moeda")*(Inputs!$G$5:$G$130&lt;&gt;"acoes")))*INDEX(Inputs!$K$5:$AJ$130,0,MATCH(AD$2,Inputs!$K$4:$AJ$4,0)))+SUMPRODUCT((Inputs!$C$5:$C$130=$B41)*Inputs!$D$5:$D$130*(((Inputs!$G$5:$G$130="moeda")+(Inputs!$G$5:$G$130="acoes"))*Inputs!$B$1+((Inputs!$G$5:$G$130&lt;&gt;"moeda")*(Inputs!$G$5:$G$130&lt;&gt;"acoes")))*INDEX(Inputs!$K$5:$AJ$130,0,MATCH(AD$2,Inputs!$K$4:$AJ$4,0)))+SUMPRODUCT((Inputs!$E$5:$E$130=$B41)*Inputs!$F$5:$F$130*(((Inputs!$G$5:$G$130="moeda")+(Inputs!$G$5:$G$130="acoes"))*Inputs!$B$1+((Inputs!$G$5:$G$130&lt;&gt;"moeda")*(Inputs!$G$5:$G$130&lt;&gt;"acoes")))*INDEX(Inputs!$K$5:$AJ$130,0,MATCH(AD$2,Inputs!$K$4:$AJ$4,0)))))</f>
        <v>995</v>
      </c>
      <c r="AE41" s="265" t="e">
        <f>IF(ISNA(MATCH(AE$2,Inputs!$K$4:$AJ$4,0)),NA(),IF(SUMPRODUCT((Inputs!$A$5:$A$130=$B41)*ISNUMBER(INDEX(Inputs!$K$5:$AJ$130,0,MATCH(AE$2,Inputs!$K$4:$AJ$4,0))))+SUMPRODUCT((Inputs!$C$5:$C$130=$B41)*ISNUMBER(INDEX(Inputs!$K$5:$AJ$130,0,MATCH(AE$2,Inputs!$K$4:$AJ$4,0))))+SUMPRODUCT((Inputs!$E$5:$E$130=$B41)*ISNUMBER(INDEX(Inputs!$K$5:$AJ$130,0,MATCH(AE$2,Inputs!$K$4:$AJ$4,0))))=0,NA(),SUMPRODUCT((Inputs!$A$5:$A$130=$B41)*Inputs!$B$5:$B$130*(((Inputs!$G$5:$G$130="moeda")+(Inputs!$G$5:$G$130="acoes"))*Inputs!$B$1+((Inputs!$G$5:$G$130&lt;&gt;"moeda")*(Inputs!$G$5:$G$130&lt;&gt;"acoes")))*INDEX(Inputs!$K$5:$AJ$130,0,MATCH(AE$2,Inputs!$K$4:$AJ$4,0)))+SUMPRODUCT((Inputs!$C$5:$C$130=$B41)*Inputs!$D$5:$D$130*(((Inputs!$G$5:$G$130="moeda")+(Inputs!$G$5:$G$130="acoes"))*Inputs!$B$1+((Inputs!$G$5:$G$130&lt;&gt;"moeda")*(Inputs!$G$5:$G$130&lt;&gt;"acoes")))*INDEX(Inputs!$K$5:$AJ$130,0,MATCH(AE$2,Inputs!$K$4:$AJ$4,0)))+SUMPRODUCT((Inputs!$E$5:$E$130=$B41)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1" s="265" t="e">
        <f>IF(ISNA(MATCH(AF$2,Inputs!$K$4:$AJ$4,0)),NA(),IF(SUMPRODUCT((Inputs!$A$5:$A$130=$B41)*ISNUMBER(INDEX(Inputs!$K$5:$AJ$130,0,MATCH(AF$2,Inputs!$K$4:$AJ$4,0))))+SUMPRODUCT((Inputs!$C$5:$C$130=$B41)*ISNUMBER(INDEX(Inputs!$K$5:$AJ$130,0,MATCH(AF$2,Inputs!$K$4:$AJ$4,0))))+SUMPRODUCT((Inputs!$E$5:$E$130=$B41)*ISNUMBER(INDEX(Inputs!$K$5:$AJ$130,0,MATCH(AF$2,Inputs!$K$4:$AJ$4,0))))=0,NA(),SUMPRODUCT((Inputs!$A$5:$A$130=$B41)*Inputs!$B$5:$B$130*(((Inputs!$G$5:$G$130="moeda")+(Inputs!$G$5:$G$130="acoes"))*Inputs!$B$1+((Inputs!$G$5:$G$130&lt;&gt;"moeda")*(Inputs!$G$5:$G$130&lt;&gt;"acoes")))*INDEX(Inputs!$K$5:$AJ$130,0,MATCH(AF$2,Inputs!$K$4:$AJ$4,0)))+SUMPRODUCT((Inputs!$C$5:$C$130=$B41)*Inputs!$D$5:$D$130*(((Inputs!$G$5:$G$130="moeda")+(Inputs!$G$5:$G$130="acoes"))*Inputs!$B$1+((Inputs!$G$5:$G$130&lt;&gt;"moeda")*(Inputs!$G$5:$G$130&lt;&gt;"acoes")))*INDEX(Inputs!$K$5:$AJ$130,0,MATCH(AF$2,Inputs!$K$4:$AJ$4,0)))+SUMPRODUCT((Inputs!$E$5:$E$130=$B41)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1" s="266" t="e">
        <f>AF41</f>
        <v>#N/A</v>
      </c>
      <c r="AH41" s="265" t="e">
        <f>IF(ISNA(MATCH(AH$2,Inputs!$K$4:$AJ$4,0)),NA(),IF(SUMPRODUCT((Inputs!$A$5:$A$130=$B41)*ISNUMBER(INDEX(Inputs!$K$5:$AJ$130,0,MATCH(AH$2,Inputs!$K$4:$AJ$4,0))))+SUMPRODUCT((Inputs!$C$5:$C$130=$B41)*ISNUMBER(INDEX(Inputs!$K$5:$AJ$130,0,MATCH(AH$2,Inputs!$K$4:$AJ$4,0))))+SUMPRODUCT((Inputs!$E$5:$E$130=$B41)*ISNUMBER(INDEX(Inputs!$K$5:$AJ$130,0,MATCH(AH$2,Inputs!$K$4:$AJ$4,0))))=0,NA(),SUMPRODUCT((Inputs!$A$5:$A$130=$B41)*Inputs!$B$5:$B$130*(((Inputs!$G$5:$G$130="moeda")+(Inputs!$G$5:$G$130="acoes"))*Inputs!$B$1+((Inputs!$G$5:$G$130&lt;&gt;"moeda")*(Inputs!$G$5:$G$130&lt;&gt;"acoes")))*INDEX(Inputs!$K$5:$AJ$130,0,MATCH(AH$2,Inputs!$K$4:$AJ$4,0)))+SUMPRODUCT((Inputs!$C$5:$C$130=$B41)*Inputs!$D$5:$D$130*(((Inputs!$G$5:$G$130="moeda")+(Inputs!$G$5:$G$130="acoes"))*Inputs!$B$1+((Inputs!$G$5:$G$130&lt;&gt;"moeda")*(Inputs!$G$5:$G$130&lt;&gt;"acoes")))*INDEX(Inputs!$K$5:$AJ$130,0,MATCH(AH$2,Inputs!$K$4:$AJ$4,0)))+SUMPRODUCT((Inputs!$E$5:$E$130=$B41)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41" s="265" t="e">
        <f>IF(ISNA(MATCH(AI$2,Inputs!$K$4:$AJ$4,0)),NA(),IF(SUMPRODUCT((Inputs!$A$5:$A$130=$B41)*ISNUMBER(INDEX(Inputs!$K$5:$AJ$130,0,MATCH(AI$2,Inputs!$K$4:$AJ$4,0))))+SUMPRODUCT((Inputs!$C$5:$C$130=$B41)*ISNUMBER(INDEX(Inputs!$K$5:$AJ$130,0,MATCH(AI$2,Inputs!$K$4:$AJ$4,0))))+SUMPRODUCT((Inputs!$E$5:$E$130=$B41)*ISNUMBER(INDEX(Inputs!$K$5:$AJ$130,0,MATCH(AI$2,Inputs!$K$4:$AJ$4,0))))=0,NA(),SUMPRODUCT((Inputs!$A$5:$A$130=$B41)*Inputs!$B$5:$B$130*(((Inputs!$G$5:$G$130="moeda")+(Inputs!$G$5:$G$130="acoes"))*Inputs!$B$1+((Inputs!$G$5:$G$130&lt;&gt;"moeda")*(Inputs!$G$5:$G$130&lt;&gt;"acoes")))*INDEX(Inputs!$K$5:$AJ$130,0,MATCH(AI$2,Inputs!$K$4:$AJ$4,0)))+SUMPRODUCT((Inputs!$C$5:$C$130=$B41)*Inputs!$D$5:$D$130*(((Inputs!$G$5:$G$130="moeda")+(Inputs!$G$5:$G$130="acoes"))*Inputs!$B$1+((Inputs!$G$5:$G$130&lt;&gt;"moeda")*(Inputs!$G$5:$G$130&lt;&gt;"acoes")))*INDEX(Inputs!$K$5:$AJ$130,0,MATCH(AI$2,Inputs!$K$4:$AJ$4,0)))+SUMPRODUCT((Inputs!$E$5:$E$130=$B41)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41" s="265" t="e">
        <f>IF(ISNA(MATCH(AJ$2,Inputs!$K$4:$AJ$4,0)),NA(),IF(SUMPRODUCT((Inputs!$A$5:$A$130=$B41)*ISNUMBER(INDEX(Inputs!$K$5:$AJ$130,0,MATCH(AJ$2,Inputs!$K$4:$AJ$4,0))))+SUMPRODUCT((Inputs!$C$5:$C$130=$B41)*ISNUMBER(INDEX(Inputs!$K$5:$AJ$130,0,MATCH(AJ$2,Inputs!$K$4:$AJ$4,0))))+SUMPRODUCT((Inputs!$E$5:$E$130=$B41)*ISNUMBER(INDEX(Inputs!$K$5:$AJ$130,0,MATCH(AJ$2,Inputs!$K$4:$AJ$4,0))))=0,NA(),SUMPRODUCT((Inputs!$A$5:$A$130=$B41)*Inputs!$B$5:$B$130*(((Inputs!$G$5:$G$130="moeda")+(Inputs!$G$5:$G$130="acoes"))*Inputs!$B$1+((Inputs!$G$5:$G$130&lt;&gt;"moeda")*(Inputs!$G$5:$G$130&lt;&gt;"acoes")))*INDEX(Inputs!$K$5:$AJ$130,0,MATCH(AJ$2,Inputs!$K$4:$AJ$4,0)))+SUMPRODUCT((Inputs!$C$5:$C$130=$B41)*Inputs!$D$5:$D$130*(((Inputs!$G$5:$G$130="moeda")+(Inputs!$G$5:$G$130="acoes"))*Inputs!$B$1+((Inputs!$G$5:$G$130&lt;&gt;"moeda")*(Inputs!$G$5:$G$130&lt;&gt;"acoes")))*INDEX(Inputs!$K$5:$AJ$130,0,MATCH(AJ$2,Inputs!$K$4:$AJ$4,0)))+SUMPRODUCT((Inputs!$E$5:$E$130=$B41)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41" s="265" t="e">
        <f>IF(ISNA(MATCH(AK$2,Inputs!$K$4:$AJ$4,0)),NA(),IF(SUMPRODUCT((Inputs!$A$5:$A$130=$B41)*ISNUMBER(INDEX(Inputs!$K$5:$AJ$130,0,MATCH(AK$2,Inputs!$K$4:$AJ$4,0))))+SUMPRODUCT((Inputs!$C$5:$C$130=$B41)*ISNUMBER(INDEX(Inputs!$K$5:$AJ$130,0,MATCH(AK$2,Inputs!$K$4:$AJ$4,0))))+SUMPRODUCT((Inputs!$E$5:$E$130=$B41)*ISNUMBER(INDEX(Inputs!$K$5:$AJ$130,0,MATCH(AK$2,Inputs!$K$4:$AJ$4,0))))=0,NA(),SUMPRODUCT((Inputs!$A$5:$A$130=$B41)*Inputs!$B$5:$B$130*(((Inputs!$G$5:$G$130="moeda")+(Inputs!$G$5:$G$130="acoes"))*Inputs!$B$1+((Inputs!$G$5:$G$130&lt;&gt;"moeda")*(Inputs!$G$5:$G$130&lt;&gt;"acoes")))*INDEX(Inputs!$K$5:$AJ$130,0,MATCH(AK$2,Inputs!$K$4:$AJ$4,0)))+SUMPRODUCT((Inputs!$C$5:$C$130=$B41)*Inputs!$D$5:$D$130*(((Inputs!$G$5:$G$130="moeda")+(Inputs!$G$5:$G$130="acoes"))*Inputs!$B$1+((Inputs!$G$5:$G$130&lt;&gt;"moeda")*(Inputs!$G$5:$G$130&lt;&gt;"acoes")))*INDEX(Inputs!$K$5:$AJ$130,0,MATCH(AK$2,Inputs!$K$4:$AJ$4,0)))+SUMPRODUCT((Inputs!$E$5:$E$130=$B41)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41" s="266" t="e">
        <f>AK41</f>
        <v>#N/A</v>
      </c>
    </row>
    <row r="42" ht="12.75" customHeight="1" s="254">
      <c r="B42" s="263" t="n">
        <v>36</v>
      </c>
      <c r="C42" s="268" t="inlineStr">
        <is>
          <t>Convertible Preferred Stock</t>
        </is>
      </c>
      <c r="D42" s="265" t="e">
        <f>IF(ISNA(MATCH(D$2,Inputs!$K$4:$AJ$4,0)),NA(),IF(SUMPRODUCT((Inputs!$A$5:$A$130=$B42)*ISNUMBER(INDEX(Inputs!$K$5:$AJ$130,0,MATCH(D$2,Inputs!$K$4:$AJ$4,0))))+SUMPRODUCT((Inputs!$C$5:$C$130=$B42)*ISNUMBER(INDEX(Inputs!$K$5:$AJ$130,0,MATCH(D$2,Inputs!$K$4:$AJ$4,0))))+SUMPRODUCT((Inputs!$E$5:$E$130=$B42)*ISNUMBER(INDEX(Inputs!$K$5:$AJ$130,0,MATCH(D$2,Inputs!$K$4:$AJ$4,0))))=0,NA(),SUMPRODUCT((Inputs!$A$5:$A$130=$B42)*Inputs!$B$5:$B$130*(((Inputs!$G$5:$G$130="moeda")+(Inputs!$G$5:$G$130="acoes"))*Inputs!$B$1+((Inputs!$G$5:$G$130&lt;&gt;"moeda")*(Inputs!$G$5:$G$130&lt;&gt;"acoes")))*INDEX(Inputs!$K$5:$AJ$130,0,MATCH(D$2,Inputs!$K$4:$AJ$4,0)))+SUMPRODUCT((Inputs!$C$5:$C$130=$B42)*Inputs!$D$5:$D$130*(((Inputs!$G$5:$G$130="moeda")+(Inputs!$G$5:$G$130="acoes"))*Inputs!$B$1+((Inputs!$G$5:$G$130&lt;&gt;"moeda")*(Inputs!$G$5:$G$130&lt;&gt;"acoes")))*INDEX(Inputs!$K$5:$AJ$130,0,MATCH(D$2,Inputs!$K$4:$AJ$4,0)))+SUMPRODUCT((Inputs!$E$5:$E$130=$B42)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42" s="265" t="e">
        <f>IF(ISNA(MATCH(E$2,Inputs!$K$4:$AJ$4,0)),NA(),IF(SUMPRODUCT((Inputs!$A$5:$A$130=$B42)*ISNUMBER(INDEX(Inputs!$K$5:$AJ$130,0,MATCH(E$2,Inputs!$K$4:$AJ$4,0))))+SUMPRODUCT((Inputs!$C$5:$C$130=$B42)*ISNUMBER(INDEX(Inputs!$K$5:$AJ$130,0,MATCH(E$2,Inputs!$K$4:$AJ$4,0))))+SUMPRODUCT((Inputs!$E$5:$E$130=$B42)*ISNUMBER(INDEX(Inputs!$K$5:$AJ$130,0,MATCH(E$2,Inputs!$K$4:$AJ$4,0))))=0,NA(),SUMPRODUCT((Inputs!$A$5:$A$130=$B42)*Inputs!$B$5:$B$130*(((Inputs!$G$5:$G$130="moeda")+(Inputs!$G$5:$G$130="acoes"))*Inputs!$B$1+((Inputs!$G$5:$G$130&lt;&gt;"moeda")*(Inputs!$G$5:$G$130&lt;&gt;"acoes")))*INDEX(Inputs!$K$5:$AJ$130,0,MATCH(E$2,Inputs!$K$4:$AJ$4,0)))+SUMPRODUCT((Inputs!$C$5:$C$130=$B42)*Inputs!$D$5:$D$130*(((Inputs!$G$5:$G$130="moeda")+(Inputs!$G$5:$G$130="acoes"))*Inputs!$B$1+((Inputs!$G$5:$G$130&lt;&gt;"moeda")*(Inputs!$G$5:$G$130&lt;&gt;"acoes")))*INDEX(Inputs!$K$5:$AJ$130,0,MATCH(E$2,Inputs!$K$4:$AJ$4,0)))+SUMPRODUCT((Inputs!$E$5:$E$130=$B42)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42" s="265" t="e">
        <f>IF(ISNA(MATCH(F$2,Inputs!$K$4:$AJ$4,0)),NA(),IF(SUMPRODUCT((Inputs!$A$5:$A$130=$B42)*ISNUMBER(INDEX(Inputs!$K$5:$AJ$130,0,MATCH(F$2,Inputs!$K$4:$AJ$4,0))))+SUMPRODUCT((Inputs!$C$5:$C$130=$B42)*ISNUMBER(INDEX(Inputs!$K$5:$AJ$130,0,MATCH(F$2,Inputs!$K$4:$AJ$4,0))))+SUMPRODUCT((Inputs!$E$5:$E$130=$B42)*ISNUMBER(INDEX(Inputs!$K$5:$AJ$130,0,MATCH(F$2,Inputs!$K$4:$AJ$4,0))))=0,NA(),SUMPRODUCT((Inputs!$A$5:$A$130=$B42)*Inputs!$B$5:$B$130*(((Inputs!$G$5:$G$130="moeda")+(Inputs!$G$5:$G$130="acoes"))*Inputs!$B$1+((Inputs!$G$5:$G$130&lt;&gt;"moeda")*(Inputs!$G$5:$G$130&lt;&gt;"acoes")))*INDEX(Inputs!$K$5:$AJ$130,0,MATCH(F$2,Inputs!$K$4:$AJ$4,0)))+SUMPRODUCT((Inputs!$C$5:$C$130=$B42)*Inputs!$D$5:$D$130*(((Inputs!$G$5:$G$130="moeda")+(Inputs!$G$5:$G$130="acoes"))*Inputs!$B$1+((Inputs!$G$5:$G$130&lt;&gt;"moeda")*(Inputs!$G$5:$G$130&lt;&gt;"acoes")))*INDEX(Inputs!$K$5:$AJ$130,0,MATCH(F$2,Inputs!$K$4:$AJ$4,0)))+SUMPRODUCT((Inputs!$E$5:$E$130=$B42)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42" s="265" t="e">
        <f>IF(ISNA(MATCH(G$2,Inputs!$K$4:$AJ$4,0)),NA(),IF(SUMPRODUCT((Inputs!$A$5:$A$130=$B42)*ISNUMBER(INDEX(Inputs!$K$5:$AJ$130,0,MATCH(G$2,Inputs!$K$4:$AJ$4,0))))+SUMPRODUCT((Inputs!$C$5:$C$130=$B42)*ISNUMBER(INDEX(Inputs!$K$5:$AJ$130,0,MATCH(G$2,Inputs!$K$4:$AJ$4,0))))+SUMPRODUCT((Inputs!$E$5:$E$130=$B42)*ISNUMBER(INDEX(Inputs!$K$5:$AJ$130,0,MATCH(G$2,Inputs!$K$4:$AJ$4,0))))=0,NA(),SUMPRODUCT((Inputs!$A$5:$A$130=$B42)*Inputs!$B$5:$B$130*(((Inputs!$G$5:$G$130="moeda")+(Inputs!$G$5:$G$130="acoes"))*Inputs!$B$1+((Inputs!$G$5:$G$130&lt;&gt;"moeda")*(Inputs!$G$5:$G$130&lt;&gt;"acoes")))*INDEX(Inputs!$K$5:$AJ$130,0,MATCH(G$2,Inputs!$K$4:$AJ$4,0)))+SUMPRODUCT((Inputs!$C$5:$C$130=$B42)*Inputs!$D$5:$D$130*(((Inputs!$G$5:$G$130="moeda")+(Inputs!$G$5:$G$130="acoes"))*Inputs!$B$1+((Inputs!$G$5:$G$130&lt;&gt;"moeda")*(Inputs!$G$5:$G$130&lt;&gt;"acoes")))*INDEX(Inputs!$K$5:$AJ$130,0,MATCH(G$2,Inputs!$K$4:$AJ$4,0)))+SUMPRODUCT((Inputs!$E$5:$E$130=$B42)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42" s="266" t="e">
        <f>G42</f>
        <v>#N/A</v>
      </c>
      <c r="I42" s="265" t="e">
        <f>IF(ISNA(MATCH(I$2,Inputs!$K$4:$AJ$4,0)),NA(),IF(SUMPRODUCT((Inputs!$A$5:$A$130=$B42)*ISNUMBER(INDEX(Inputs!$K$5:$AJ$130,0,MATCH(I$2,Inputs!$K$4:$AJ$4,0))))+SUMPRODUCT((Inputs!$C$5:$C$130=$B42)*ISNUMBER(INDEX(Inputs!$K$5:$AJ$130,0,MATCH(I$2,Inputs!$K$4:$AJ$4,0))))+SUMPRODUCT((Inputs!$E$5:$E$130=$B42)*ISNUMBER(INDEX(Inputs!$K$5:$AJ$130,0,MATCH(I$2,Inputs!$K$4:$AJ$4,0))))=0,NA(),SUMPRODUCT((Inputs!$A$5:$A$130=$B42)*Inputs!$B$5:$B$130*(((Inputs!$G$5:$G$130="moeda")+(Inputs!$G$5:$G$130="acoes"))*Inputs!$B$1+((Inputs!$G$5:$G$130&lt;&gt;"moeda")*(Inputs!$G$5:$G$130&lt;&gt;"acoes")))*INDEX(Inputs!$K$5:$AJ$130,0,MATCH(I$2,Inputs!$K$4:$AJ$4,0)))+SUMPRODUCT((Inputs!$C$5:$C$130=$B42)*Inputs!$D$5:$D$130*(((Inputs!$G$5:$G$130="moeda")+(Inputs!$G$5:$G$130="acoes"))*Inputs!$B$1+((Inputs!$G$5:$G$130&lt;&gt;"moeda")*(Inputs!$G$5:$G$130&lt;&gt;"acoes")))*INDEX(Inputs!$K$5:$AJ$130,0,MATCH(I$2,Inputs!$K$4:$AJ$4,0)))+SUMPRODUCT((Inputs!$E$5:$E$130=$B42)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42" s="265" t="e">
        <f>IF(ISNA(MATCH(J$2,Inputs!$K$4:$AJ$4,0)),NA(),IF(SUMPRODUCT((Inputs!$A$5:$A$130=$B42)*ISNUMBER(INDEX(Inputs!$K$5:$AJ$130,0,MATCH(J$2,Inputs!$K$4:$AJ$4,0))))+SUMPRODUCT((Inputs!$C$5:$C$130=$B42)*ISNUMBER(INDEX(Inputs!$K$5:$AJ$130,0,MATCH(J$2,Inputs!$K$4:$AJ$4,0))))+SUMPRODUCT((Inputs!$E$5:$E$130=$B42)*ISNUMBER(INDEX(Inputs!$K$5:$AJ$130,0,MATCH(J$2,Inputs!$K$4:$AJ$4,0))))=0,NA(),SUMPRODUCT((Inputs!$A$5:$A$130=$B42)*Inputs!$B$5:$B$130*(((Inputs!$G$5:$G$130="moeda")+(Inputs!$G$5:$G$130="acoes"))*Inputs!$B$1+((Inputs!$G$5:$G$130&lt;&gt;"moeda")*(Inputs!$G$5:$G$130&lt;&gt;"acoes")))*INDEX(Inputs!$K$5:$AJ$130,0,MATCH(J$2,Inputs!$K$4:$AJ$4,0)))+SUMPRODUCT((Inputs!$C$5:$C$130=$B42)*Inputs!$D$5:$D$130*(((Inputs!$G$5:$G$130="moeda")+(Inputs!$G$5:$G$130="acoes"))*Inputs!$B$1+((Inputs!$G$5:$G$130&lt;&gt;"moeda")*(Inputs!$G$5:$G$130&lt;&gt;"acoes")))*INDEX(Inputs!$K$5:$AJ$130,0,MATCH(J$2,Inputs!$K$4:$AJ$4,0)))+SUMPRODUCT((Inputs!$E$5:$E$130=$B42)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42" s="265" t="e">
        <f>IF(ISNA(MATCH(K$2,Inputs!$K$4:$AJ$4,0)),NA(),IF(SUMPRODUCT((Inputs!$A$5:$A$130=$B42)*ISNUMBER(INDEX(Inputs!$K$5:$AJ$130,0,MATCH(K$2,Inputs!$K$4:$AJ$4,0))))+SUMPRODUCT((Inputs!$C$5:$C$130=$B42)*ISNUMBER(INDEX(Inputs!$K$5:$AJ$130,0,MATCH(K$2,Inputs!$K$4:$AJ$4,0))))+SUMPRODUCT((Inputs!$E$5:$E$130=$B42)*ISNUMBER(INDEX(Inputs!$K$5:$AJ$130,0,MATCH(K$2,Inputs!$K$4:$AJ$4,0))))=0,NA(),SUMPRODUCT((Inputs!$A$5:$A$130=$B42)*Inputs!$B$5:$B$130*(((Inputs!$G$5:$G$130="moeda")+(Inputs!$G$5:$G$130="acoes"))*Inputs!$B$1+((Inputs!$G$5:$G$130&lt;&gt;"moeda")*(Inputs!$G$5:$G$130&lt;&gt;"acoes")))*INDEX(Inputs!$K$5:$AJ$130,0,MATCH(K$2,Inputs!$K$4:$AJ$4,0)))+SUMPRODUCT((Inputs!$C$5:$C$130=$B42)*Inputs!$D$5:$D$130*(((Inputs!$G$5:$G$130="moeda")+(Inputs!$G$5:$G$130="acoes"))*Inputs!$B$1+((Inputs!$G$5:$G$130&lt;&gt;"moeda")*(Inputs!$G$5:$G$130&lt;&gt;"acoes")))*INDEX(Inputs!$K$5:$AJ$130,0,MATCH(K$2,Inputs!$K$4:$AJ$4,0)))+SUMPRODUCT((Inputs!$E$5:$E$130=$B42)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42" s="265" t="e">
        <f>IF(ISNA(MATCH(L$2,Inputs!$K$4:$AJ$4,0)),NA(),IF(SUMPRODUCT((Inputs!$A$5:$A$130=$B42)*ISNUMBER(INDEX(Inputs!$K$5:$AJ$130,0,MATCH(L$2,Inputs!$K$4:$AJ$4,0))))+SUMPRODUCT((Inputs!$C$5:$C$130=$B42)*ISNUMBER(INDEX(Inputs!$K$5:$AJ$130,0,MATCH(L$2,Inputs!$K$4:$AJ$4,0))))+SUMPRODUCT((Inputs!$E$5:$E$130=$B42)*ISNUMBER(INDEX(Inputs!$K$5:$AJ$130,0,MATCH(L$2,Inputs!$K$4:$AJ$4,0))))=0,NA(),SUMPRODUCT((Inputs!$A$5:$A$130=$B42)*Inputs!$B$5:$B$130*(((Inputs!$G$5:$G$130="moeda")+(Inputs!$G$5:$G$130="acoes"))*Inputs!$B$1+((Inputs!$G$5:$G$130&lt;&gt;"moeda")*(Inputs!$G$5:$G$130&lt;&gt;"acoes")))*INDEX(Inputs!$K$5:$AJ$130,0,MATCH(L$2,Inputs!$K$4:$AJ$4,0)))+SUMPRODUCT((Inputs!$C$5:$C$130=$B42)*Inputs!$D$5:$D$130*(((Inputs!$G$5:$G$130="moeda")+(Inputs!$G$5:$G$130="acoes"))*Inputs!$B$1+((Inputs!$G$5:$G$130&lt;&gt;"moeda")*(Inputs!$G$5:$G$130&lt;&gt;"acoes")))*INDEX(Inputs!$K$5:$AJ$130,0,MATCH(L$2,Inputs!$K$4:$AJ$4,0)))+SUMPRODUCT((Inputs!$E$5:$E$130=$B42)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42" s="266" t="e">
        <f>L42</f>
        <v>#N/A</v>
      </c>
      <c r="N42" s="265" t="e">
        <f>IF(ISNA(MATCH(N$2,Inputs!$K$4:$AJ$4,0)),NA(),IF(SUMPRODUCT((Inputs!$A$5:$A$130=$B42)*ISNUMBER(INDEX(Inputs!$K$5:$AJ$130,0,MATCH(N$2,Inputs!$K$4:$AJ$4,0))))+SUMPRODUCT((Inputs!$C$5:$C$130=$B42)*ISNUMBER(INDEX(Inputs!$K$5:$AJ$130,0,MATCH(N$2,Inputs!$K$4:$AJ$4,0))))+SUMPRODUCT((Inputs!$E$5:$E$130=$B42)*ISNUMBER(INDEX(Inputs!$K$5:$AJ$130,0,MATCH(N$2,Inputs!$K$4:$AJ$4,0))))=0,NA(),SUMPRODUCT((Inputs!$A$5:$A$130=$B42)*Inputs!$B$5:$B$130*(((Inputs!$G$5:$G$130="moeda")+(Inputs!$G$5:$G$130="acoes"))*Inputs!$B$1+((Inputs!$G$5:$G$130&lt;&gt;"moeda")*(Inputs!$G$5:$G$130&lt;&gt;"acoes")))*INDEX(Inputs!$K$5:$AJ$130,0,MATCH(N$2,Inputs!$K$4:$AJ$4,0)))+SUMPRODUCT((Inputs!$C$5:$C$130=$B42)*Inputs!$D$5:$D$130*(((Inputs!$G$5:$G$130="moeda")+(Inputs!$G$5:$G$130="acoes"))*Inputs!$B$1+((Inputs!$G$5:$G$130&lt;&gt;"moeda")*(Inputs!$G$5:$G$130&lt;&gt;"acoes")))*INDEX(Inputs!$K$5:$AJ$130,0,MATCH(N$2,Inputs!$K$4:$AJ$4,0)))+SUMPRODUCT((Inputs!$E$5:$E$130=$B42)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42" s="265" t="e">
        <f>IF(ISNA(MATCH(O$2,Inputs!$K$4:$AJ$4,0)),NA(),IF(SUMPRODUCT((Inputs!$A$5:$A$130=$B42)*ISNUMBER(INDEX(Inputs!$K$5:$AJ$130,0,MATCH(O$2,Inputs!$K$4:$AJ$4,0))))+SUMPRODUCT((Inputs!$C$5:$C$130=$B42)*ISNUMBER(INDEX(Inputs!$K$5:$AJ$130,0,MATCH(O$2,Inputs!$K$4:$AJ$4,0))))+SUMPRODUCT((Inputs!$E$5:$E$130=$B42)*ISNUMBER(INDEX(Inputs!$K$5:$AJ$130,0,MATCH(O$2,Inputs!$K$4:$AJ$4,0))))=0,NA(),SUMPRODUCT((Inputs!$A$5:$A$130=$B42)*Inputs!$B$5:$B$130*(((Inputs!$G$5:$G$130="moeda")+(Inputs!$G$5:$G$130="acoes"))*Inputs!$B$1+((Inputs!$G$5:$G$130&lt;&gt;"moeda")*(Inputs!$G$5:$G$130&lt;&gt;"acoes")))*INDEX(Inputs!$K$5:$AJ$130,0,MATCH(O$2,Inputs!$K$4:$AJ$4,0)))+SUMPRODUCT((Inputs!$C$5:$C$130=$B42)*Inputs!$D$5:$D$130*(((Inputs!$G$5:$G$130="moeda")+(Inputs!$G$5:$G$130="acoes"))*Inputs!$B$1+((Inputs!$G$5:$G$130&lt;&gt;"moeda")*(Inputs!$G$5:$G$130&lt;&gt;"acoes")))*INDEX(Inputs!$K$5:$AJ$130,0,MATCH(O$2,Inputs!$K$4:$AJ$4,0)))+SUMPRODUCT((Inputs!$E$5:$E$130=$B42)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42" s="265" t="e">
        <f>IF(ISNA(MATCH(P$2,Inputs!$K$4:$AJ$4,0)),NA(),IF(SUMPRODUCT((Inputs!$A$5:$A$130=$B42)*ISNUMBER(INDEX(Inputs!$K$5:$AJ$130,0,MATCH(P$2,Inputs!$K$4:$AJ$4,0))))+SUMPRODUCT((Inputs!$C$5:$C$130=$B42)*ISNUMBER(INDEX(Inputs!$K$5:$AJ$130,0,MATCH(P$2,Inputs!$K$4:$AJ$4,0))))+SUMPRODUCT((Inputs!$E$5:$E$130=$B42)*ISNUMBER(INDEX(Inputs!$K$5:$AJ$130,0,MATCH(P$2,Inputs!$K$4:$AJ$4,0))))=0,NA(),SUMPRODUCT((Inputs!$A$5:$A$130=$B42)*Inputs!$B$5:$B$130*(((Inputs!$G$5:$G$130="moeda")+(Inputs!$G$5:$G$130="acoes"))*Inputs!$B$1+((Inputs!$G$5:$G$130&lt;&gt;"moeda")*(Inputs!$G$5:$G$130&lt;&gt;"acoes")))*INDEX(Inputs!$K$5:$AJ$130,0,MATCH(P$2,Inputs!$K$4:$AJ$4,0)))+SUMPRODUCT((Inputs!$C$5:$C$130=$B42)*Inputs!$D$5:$D$130*(((Inputs!$G$5:$G$130="moeda")+(Inputs!$G$5:$G$130="acoes"))*Inputs!$B$1+((Inputs!$G$5:$G$130&lt;&gt;"moeda")*(Inputs!$G$5:$G$130&lt;&gt;"acoes")))*INDEX(Inputs!$K$5:$AJ$130,0,MATCH(P$2,Inputs!$K$4:$AJ$4,0)))+SUMPRODUCT((Inputs!$E$5:$E$130=$B42)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42" s="265" t="e">
        <f>IF(ISNA(MATCH(Q$2,Inputs!$K$4:$AJ$4,0)),NA(),IF(SUMPRODUCT((Inputs!$A$5:$A$130=$B42)*ISNUMBER(INDEX(Inputs!$K$5:$AJ$130,0,MATCH(Q$2,Inputs!$K$4:$AJ$4,0))))+SUMPRODUCT((Inputs!$C$5:$C$130=$B42)*ISNUMBER(INDEX(Inputs!$K$5:$AJ$130,0,MATCH(Q$2,Inputs!$K$4:$AJ$4,0))))+SUMPRODUCT((Inputs!$E$5:$E$130=$B42)*ISNUMBER(INDEX(Inputs!$K$5:$AJ$130,0,MATCH(Q$2,Inputs!$K$4:$AJ$4,0))))=0,NA(),SUMPRODUCT((Inputs!$A$5:$A$130=$B42)*Inputs!$B$5:$B$130*(((Inputs!$G$5:$G$130="moeda")+(Inputs!$G$5:$G$130="acoes"))*Inputs!$B$1+((Inputs!$G$5:$G$130&lt;&gt;"moeda")*(Inputs!$G$5:$G$130&lt;&gt;"acoes")))*INDEX(Inputs!$K$5:$AJ$130,0,MATCH(Q$2,Inputs!$K$4:$AJ$4,0)))+SUMPRODUCT((Inputs!$C$5:$C$130=$B42)*Inputs!$D$5:$D$130*(((Inputs!$G$5:$G$130="moeda")+(Inputs!$G$5:$G$130="acoes"))*Inputs!$B$1+((Inputs!$G$5:$G$130&lt;&gt;"moeda")*(Inputs!$G$5:$G$130&lt;&gt;"acoes")))*INDEX(Inputs!$K$5:$AJ$130,0,MATCH(Q$2,Inputs!$K$4:$AJ$4,0)))+SUMPRODUCT((Inputs!$E$5:$E$130=$B42)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42" s="266" t="e">
        <f>Q42</f>
        <v>#N/A</v>
      </c>
      <c r="S42" s="265" t="e">
        <f>IF(ISNA(MATCH(S$2,Inputs!$K$4:$AJ$4,0)),NA(),IF(SUMPRODUCT((Inputs!$A$5:$A$130=$B42)*ISNUMBER(INDEX(Inputs!$K$5:$AJ$130,0,MATCH(S$2,Inputs!$K$4:$AJ$4,0))))+SUMPRODUCT((Inputs!$C$5:$C$130=$B42)*ISNUMBER(INDEX(Inputs!$K$5:$AJ$130,0,MATCH(S$2,Inputs!$K$4:$AJ$4,0))))+SUMPRODUCT((Inputs!$E$5:$E$130=$B42)*ISNUMBER(INDEX(Inputs!$K$5:$AJ$130,0,MATCH(S$2,Inputs!$K$4:$AJ$4,0))))=0,NA(),SUMPRODUCT((Inputs!$A$5:$A$130=$B42)*Inputs!$B$5:$B$130*(((Inputs!$G$5:$G$130="moeda")+(Inputs!$G$5:$G$130="acoes"))*Inputs!$B$1+((Inputs!$G$5:$G$130&lt;&gt;"moeda")*(Inputs!$G$5:$G$130&lt;&gt;"acoes")))*INDEX(Inputs!$K$5:$AJ$130,0,MATCH(S$2,Inputs!$K$4:$AJ$4,0)))+SUMPRODUCT((Inputs!$C$5:$C$130=$B42)*Inputs!$D$5:$D$130*(((Inputs!$G$5:$G$130="moeda")+(Inputs!$G$5:$G$130="acoes"))*Inputs!$B$1+((Inputs!$G$5:$G$130&lt;&gt;"moeda")*(Inputs!$G$5:$G$130&lt;&gt;"acoes")))*INDEX(Inputs!$K$5:$AJ$130,0,MATCH(S$2,Inputs!$K$4:$AJ$4,0)))+SUMPRODUCT((Inputs!$E$5:$E$130=$B42)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42" s="265" t="e">
        <f>IF(ISNA(MATCH(T$2,Inputs!$K$4:$AJ$4,0)),NA(),IF(SUMPRODUCT((Inputs!$A$5:$A$130=$B42)*ISNUMBER(INDEX(Inputs!$K$5:$AJ$130,0,MATCH(T$2,Inputs!$K$4:$AJ$4,0))))+SUMPRODUCT((Inputs!$C$5:$C$130=$B42)*ISNUMBER(INDEX(Inputs!$K$5:$AJ$130,0,MATCH(T$2,Inputs!$K$4:$AJ$4,0))))+SUMPRODUCT((Inputs!$E$5:$E$130=$B42)*ISNUMBER(INDEX(Inputs!$K$5:$AJ$130,0,MATCH(T$2,Inputs!$K$4:$AJ$4,0))))=0,NA(),SUMPRODUCT((Inputs!$A$5:$A$130=$B42)*Inputs!$B$5:$B$130*(((Inputs!$G$5:$G$130="moeda")+(Inputs!$G$5:$G$130="acoes"))*Inputs!$B$1+((Inputs!$G$5:$G$130&lt;&gt;"moeda")*(Inputs!$G$5:$G$130&lt;&gt;"acoes")))*INDEX(Inputs!$K$5:$AJ$130,0,MATCH(T$2,Inputs!$K$4:$AJ$4,0)))+SUMPRODUCT((Inputs!$C$5:$C$130=$B42)*Inputs!$D$5:$D$130*(((Inputs!$G$5:$G$130="moeda")+(Inputs!$G$5:$G$130="acoes"))*Inputs!$B$1+((Inputs!$G$5:$G$130&lt;&gt;"moeda")*(Inputs!$G$5:$G$130&lt;&gt;"acoes")))*INDEX(Inputs!$K$5:$AJ$130,0,MATCH(T$2,Inputs!$K$4:$AJ$4,0)))+SUMPRODUCT((Inputs!$E$5:$E$130=$B42)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42" s="265" t="e">
        <f>IF(ISNA(MATCH(U$2,Inputs!$K$4:$AJ$4,0)),NA(),IF(SUMPRODUCT((Inputs!$A$5:$A$130=$B42)*ISNUMBER(INDEX(Inputs!$K$5:$AJ$130,0,MATCH(U$2,Inputs!$K$4:$AJ$4,0))))+SUMPRODUCT((Inputs!$C$5:$C$130=$B42)*ISNUMBER(INDEX(Inputs!$K$5:$AJ$130,0,MATCH(U$2,Inputs!$K$4:$AJ$4,0))))+SUMPRODUCT((Inputs!$E$5:$E$130=$B42)*ISNUMBER(INDEX(Inputs!$K$5:$AJ$130,0,MATCH(U$2,Inputs!$K$4:$AJ$4,0))))=0,NA(),SUMPRODUCT((Inputs!$A$5:$A$130=$B42)*Inputs!$B$5:$B$130*(((Inputs!$G$5:$G$130="moeda")+(Inputs!$G$5:$G$130="acoes"))*Inputs!$B$1+((Inputs!$G$5:$G$130&lt;&gt;"moeda")*(Inputs!$G$5:$G$130&lt;&gt;"acoes")))*INDEX(Inputs!$K$5:$AJ$130,0,MATCH(U$2,Inputs!$K$4:$AJ$4,0)))+SUMPRODUCT((Inputs!$C$5:$C$130=$B42)*Inputs!$D$5:$D$130*(((Inputs!$G$5:$G$130="moeda")+(Inputs!$G$5:$G$130="acoes"))*Inputs!$B$1+((Inputs!$G$5:$G$130&lt;&gt;"moeda")*(Inputs!$G$5:$G$130&lt;&gt;"acoes")))*INDEX(Inputs!$K$5:$AJ$130,0,MATCH(U$2,Inputs!$K$4:$AJ$4,0)))+SUMPRODUCT((Inputs!$E$5:$E$130=$B42)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42" s="265" t="e">
        <f>IF(ISNA(MATCH(V$2,Inputs!$K$4:$AJ$4,0)),NA(),IF(SUMPRODUCT((Inputs!$A$5:$A$130=$B42)*ISNUMBER(INDEX(Inputs!$K$5:$AJ$130,0,MATCH(V$2,Inputs!$K$4:$AJ$4,0))))+SUMPRODUCT((Inputs!$C$5:$C$130=$B42)*ISNUMBER(INDEX(Inputs!$K$5:$AJ$130,0,MATCH(V$2,Inputs!$K$4:$AJ$4,0))))+SUMPRODUCT((Inputs!$E$5:$E$130=$B42)*ISNUMBER(INDEX(Inputs!$K$5:$AJ$130,0,MATCH(V$2,Inputs!$K$4:$AJ$4,0))))=0,NA(),SUMPRODUCT((Inputs!$A$5:$A$130=$B42)*Inputs!$B$5:$B$130*(((Inputs!$G$5:$G$130="moeda")+(Inputs!$G$5:$G$130="acoes"))*Inputs!$B$1+((Inputs!$G$5:$G$130&lt;&gt;"moeda")*(Inputs!$G$5:$G$130&lt;&gt;"acoes")))*INDEX(Inputs!$K$5:$AJ$130,0,MATCH(V$2,Inputs!$K$4:$AJ$4,0)))+SUMPRODUCT((Inputs!$C$5:$C$130=$B42)*Inputs!$D$5:$D$130*(((Inputs!$G$5:$G$130="moeda")+(Inputs!$G$5:$G$130="acoes"))*Inputs!$B$1+((Inputs!$G$5:$G$130&lt;&gt;"moeda")*(Inputs!$G$5:$G$130&lt;&gt;"acoes")))*INDEX(Inputs!$K$5:$AJ$130,0,MATCH(V$2,Inputs!$K$4:$AJ$4,0)))+SUMPRODUCT((Inputs!$E$5:$E$130=$B42)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42" s="266" t="e">
        <f>V42</f>
        <v>#N/A</v>
      </c>
      <c r="X42" s="265" t="e">
        <f>IF(ISNA(MATCH(X$2,Inputs!$K$4:$AJ$4,0)),NA(),IF(SUMPRODUCT((Inputs!$A$5:$A$130=$B42)*ISNUMBER(INDEX(Inputs!$K$5:$AJ$130,0,MATCH(X$2,Inputs!$K$4:$AJ$4,0))))+SUMPRODUCT((Inputs!$C$5:$C$130=$B42)*ISNUMBER(INDEX(Inputs!$K$5:$AJ$130,0,MATCH(X$2,Inputs!$K$4:$AJ$4,0))))+SUMPRODUCT((Inputs!$E$5:$E$130=$B42)*ISNUMBER(INDEX(Inputs!$K$5:$AJ$130,0,MATCH(X$2,Inputs!$K$4:$AJ$4,0))))=0,NA(),SUMPRODUCT((Inputs!$A$5:$A$130=$B42)*Inputs!$B$5:$B$130*(((Inputs!$G$5:$G$130="moeda")+(Inputs!$G$5:$G$130="acoes"))*Inputs!$B$1+((Inputs!$G$5:$G$130&lt;&gt;"moeda")*(Inputs!$G$5:$G$130&lt;&gt;"acoes")))*INDEX(Inputs!$K$5:$AJ$130,0,MATCH(X$2,Inputs!$K$4:$AJ$4,0)))+SUMPRODUCT((Inputs!$C$5:$C$130=$B42)*Inputs!$D$5:$D$130*(((Inputs!$G$5:$G$130="moeda")+(Inputs!$G$5:$G$130="acoes"))*Inputs!$B$1+((Inputs!$G$5:$G$130&lt;&gt;"moeda")*(Inputs!$G$5:$G$130&lt;&gt;"acoes")))*INDEX(Inputs!$K$5:$AJ$130,0,MATCH(X$2,Inputs!$K$4:$AJ$4,0)))+SUMPRODUCT((Inputs!$E$5:$E$130=$B42)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42" s="265" t="e">
        <f>IF(ISNA(MATCH(Y$2,Inputs!$K$4:$AJ$4,0)),NA(),IF(SUMPRODUCT((Inputs!$A$5:$A$130=$B42)*ISNUMBER(INDEX(Inputs!$K$5:$AJ$130,0,MATCH(Y$2,Inputs!$K$4:$AJ$4,0))))+SUMPRODUCT((Inputs!$C$5:$C$130=$B42)*ISNUMBER(INDEX(Inputs!$K$5:$AJ$130,0,MATCH(Y$2,Inputs!$K$4:$AJ$4,0))))+SUMPRODUCT((Inputs!$E$5:$E$130=$B42)*ISNUMBER(INDEX(Inputs!$K$5:$AJ$130,0,MATCH(Y$2,Inputs!$K$4:$AJ$4,0))))=0,NA(),SUMPRODUCT((Inputs!$A$5:$A$130=$B42)*Inputs!$B$5:$B$130*(((Inputs!$G$5:$G$130="moeda")+(Inputs!$G$5:$G$130="acoes"))*Inputs!$B$1+((Inputs!$G$5:$G$130&lt;&gt;"moeda")*(Inputs!$G$5:$G$130&lt;&gt;"acoes")))*INDEX(Inputs!$K$5:$AJ$130,0,MATCH(Y$2,Inputs!$K$4:$AJ$4,0)))+SUMPRODUCT((Inputs!$C$5:$C$130=$B42)*Inputs!$D$5:$D$130*(((Inputs!$G$5:$G$130="moeda")+(Inputs!$G$5:$G$130="acoes"))*Inputs!$B$1+((Inputs!$G$5:$G$130&lt;&gt;"moeda")*(Inputs!$G$5:$G$130&lt;&gt;"acoes")))*INDEX(Inputs!$K$5:$AJ$130,0,MATCH(Y$2,Inputs!$K$4:$AJ$4,0)))+SUMPRODUCT((Inputs!$E$5:$E$130=$B42)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42" s="265" t="e">
        <f>IF(ISNA(MATCH(Z$2,Inputs!$K$4:$AJ$4,0)),NA(),IF(SUMPRODUCT((Inputs!$A$5:$A$130=$B42)*ISNUMBER(INDEX(Inputs!$K$5:$AJ$130,0,MATCH(Z$2,Inputs!$K$4:$AJ$4,0))))+SUMPRODUCT((Inputs!$C$5:$C$130=$B42)*ISNUMBER(INDEX(Inputs!$K$5:$AJ$130,0,MATCH(Z$2,Inputs!$K$4:$AJ$4,0))))+SUMPRODUCT((Inputs!$E$5:$E$130=$B42)*ISNUMBER(INDEX(Inputs!$K$5:$AJ$130,0,MATCH(Z$2,Inputs!$K$4:$AJ$4,0))))=0,NA(),SUMPRODUCT((Inputs!$A$5:$A$130=$B42)*Inputs!$B$5:$B$130*(((Inputs!$G$5:$G$130="moeda")+(Inputs!$G$5:$G$130="acoes"))*Inputs!$B$1+((Inputs!$G$5:$G$130&lt;&gt;"moeda")*(Inputs!$G$5:$G$130&lt;&gt;"acoes")))*INDEX(Inputs!$K$5:$AJ$130,0,MATCH(Z$2,Inputs!$K$4:$AJ$4,0)))+SUMPRODUCT((Inputs!$C$5:$C$130=$B42)*Inputs!$D$5:$D$130*(((Inputs!$G$5:$G$130="moeda")+(Inputs!$G$5:$G$130="acoes"))*Inputs!$B$1+((Inputs!$G$5:$G$130&lt;&gt;"moeda")*(Inputs!$G$5:$G$130&lt;&gt;"acoes")))*INDEX(Inputs!$K$5:$AJ$130,0,MATCH(Z$2,Inputs!$K$4:$AJ$4,0)))+SUMPRODUCT((Inputs!$E$5:$E$130=$B42)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42" s="265" t="e">
        <f>IF(ISNA(MATCH(AA$2,Inputs!$K$4:$AJ$4,0)),NA(),IF(SUMPRODUCT((Inputs!$A$5:$A$130=$B42)*ISNUMBER(INDEX(Inputs!$K$5:$AJ$130,0,MATCH(AA$2,Inputs!$K$4:$AJ$4,0))))+SUMPRODUCT((Inputs!$C$5:$C$130=$B42)*ISNUMBER(INDEX(Inputs!$K$5:$AJ$130,0,MATCH(AA$2,Inputs!$K$4:$AJ$4,0))))+SUMPRODUCT((Inputs!$E$5:$E$130=$B42)*ISNUMBER(INDEX(Inputs!$K$5:$AJ$130,0,MATCH(AA$2,Inputs!$K$4:$AJ$4,0))))=0,NA(),SUMPRODUCT((Inputs!$A$5:$A$130=$B42)*Inputs!$B$5:$B$130*(((Inputs!$G$5:$G$130="moeda")+(Inputs!$G$5:$G$130="acoes"))*Inputs!$B$1+((Inputs!$G$5:$G$130&lt;&gt;"moeda")*(Inputs!$G$5:$G$130&lt;&gt;"acoes")))*INDEX(Inputs!$K$5:$AJ$130,0,MATCH(AA$2,Inputs!$K$4:$AJ$4,0)))+SUMPRODUCT((Inputs!$C$5:$C$130=$B42)*Inputs!$D$5:$D$130*(((Inputs!$G$5:$G$130="moeda")+(Inputs!$G$5:$G$130="acoes"))*Inputs!$B$1+((Inputs!$G$5:$G$130&lt;&gt;"moeda")*(Inputs!$G$5:$G$130&lt;&gt;"acoes")))*INDEX(Inputs!$K$5:$AJ$130,0,MATCH(AA$2,Inputs!$K$4:$AJ$4,0)))+SUMPRODUCT((Inputs!$E$5:$E$130=$B42)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42" s="266" t="e">
        <f>AA42</f>
        <v>#N/A</v>
      </c>
      <c r="AC42" s="265" t="e">
        <f>IF(ISNA(MATCH(AC$2,Inputs!$K$4:$AJ$4,0)),NA(),IF(SUMPRODUCT((Inputs!$A$5:$A$130=$B42)*ISNUMBER(INDEX(Inputs!$K$5:$AJ$130,0,MATCH(AC$2,Inputs!$K$4:$AJ$4,0))))+SUMPRODUCT((Inputs!$C$5:$C$130=$B42)*ISNUMBER(INDEX(Inputs!$K$5:$AJ$130,0,MATCH(AC$2,Inputs!$K$4:$AJ$4,0))))+SUMPRODUCT((Inputs!$E$5:$E$130=$B42)*ISNUMBER(INDEX(Inputs!$K$5:$AJ$130,0,MATCH(AC$2,Inputs!$K$4:$AJ$4,0))))=0,NA(),SUMPRODUCT((Inputs!$A$5:$A$130=$B42)*Inputs!$B$5:$B$130*(((Inputs!$G$5:$G$130="moeda")+(Inputs!$G$5:$G$130="acoes"))*Inputs!$B$1+((Inputs!$G$5:$G$130&lt;&gt;"moeda")*(Inputs!$G$5:$G$130&lt;&gt;"acoes")))*INDEX(Inputs!$K$5:$AJ$130,0,MATCH(AC$2,Inputs!$K$4:$AJ$4,0)))+SUMPRODUCT((Inputs!$C$5:$C$130=$B42)*Inputs!$D$5:$D$130*(((Inputs!$G$5:$G$130="moeda")+(Inputs!$G$5:$G$130="acoes"))*Inputs!$B$1+((Inputs!$G$5:$G$130&lt;&gt;"moeda")*(Inputs!$G$5:$G$130&lt;&gt;"acoes")))*INDEX(Inputs!$K$5:$AJ$130,0,MATCH(AC$2,Inputs!$K$4:$AJ$4,0)))+SUMPRODUCT((Inputs!$E$5:$E$130=$B42)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42" s="265" t="e">
        <f>IF(ISNA(MATCH(AD$2,Inputs!$K$4:$AJ$4,0)),NA(),IF(SUMPRODUCT((Inputs!$A$5:$A$130=$B42)*ISNUMBER(INDEX(Inputs!$K$5:$AJ$130,0,MATCH(AD$2,Inputs!$K$4:$AJ$4,0))))+SUMPRODUCT((Inputs!$C$5:$C$130=$B42)*ISNUMBER(INDEX(Inputs!$K$5:$AJ$130,0,MATCH(AD$2,Inputs!$K$4:$AJ$4,0))))+SUMPRODUCT((Inputs!$E$5:$E$130=$B42)*ISNUMBER(INDEX(Inputs!$K$5:$AJ$130,0,MATCH(AD$2,Inputs!$K$4:$AJ$4,0))))=0,NA(),SUMPRODUCT((Inputs!$A$5:$A$130=$B42)*Inputs!$B$5:$B$130*(((Inputs!$G$5:$G$130="moeda")+(Inputs!$G$5:$G$130="acoes"))*Inputs!$B$1+((Inputs!$G$5:$G$130&lt;&gt;"moeda")*(Inputs!$G$5:$G$130&lt;&gt;"acoes")))*INDEX(Inputs!$K$5:$AJ$130,0,MATCH(AD$2,Inputs!$K$4:$AJ$4,0)))+SUMPRODUCT((Inputs!$C$5:$C$130=$B42)*Inputs!$D$5:$D$130*(((Inputs!$G$5:$G$130="moeda")+(Inputs!$G$5:$G$130="acoes"))*Inputs!$B$1+((Inputs!$G$5:$G$130&lt;&gt;"moeda")*(Inputs!$G$5:$G$130&lt;&gt;"acoes")))*INDEX(Inputs!$K$5:$AJ$130,0,MATCH(AD$2,Inputs!$K$4:$AJ$4,0)))+SUMPRODUCT((Inputs!$E$5:$E$130=$B42)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42" s="265" t="e">
        <f>IF(ISNA(MATCH(AE$2,Inputs!$K$4:$AJ$4,0)),NA(),IF(SUMPRODUCT((Inputs!$A$5:$A$130=$B42)*ISNUMBER(INDEX(Inputs!$K$5:$AJ$130,0,MATCH(AE$2,Inputs!$K$4:$AJ$4,0))))+SUMPRODUCT((Inputs!$C$5:$C$130=$B42)*ISNUMBER(INDEX(Inputs!$K$5:$AJ$130,0,MATCH(AE$2,Inputs!$K$4:$AJ$4,0))))+SUMPRODUCT((Inputs!$E$5:$E$130=$B42)*ISNUMBER(INDEX(Inputs!$K$5:$AJ$130,0,MATCH(AE$2,Inputs!$K$4:$AJ$4,0))))=0,NA(),SUMPRODUCT((Inputs!$A$5:$A$130=$B42)*Inputs!$B$5:$B$130*(((Inputs!$G$5:$G$130="moeda")+(Inputs!$G$5:$G$130="acoes"))*Inputs!$B$1+((Inputs!$G$5:$G$130&lt;&gt;"moeda")*(Inputs!$G$5:$G$130&lt;&gt;"acoes")))*INDEX(Inputs!$K$5:$AJ$130,0,MATCH(AE$2,Inputs!$K$4:$AJ$4,0)))+SUMPRODUCT((Inputs!$C$5:$C$130=$B42)*Inputs!$D$5:$D$130*(((Inputs!$G$5:$G$130="moeda")+(Inputs!$G$5:$G$130="acoes"))*Inputs!$B$1+((Inputs!$G$5:$G$130&lt;&gt;"moeda")*(Inputs!$G$5:$G$130&lt;&gt;"acoes")))*INDEX(Inputs!$K$5:$AJ$130,0,MATCH(AE$2,Inputs!$K$4:$AJ$4,0)))+SUMPRODUCT((Inputs!$E$5:$E$130=$B42)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2" s="265" t="e">
        <f>IF(ISNA(MATCH(AF$2,Inputs!$K$4:$AJ$4,0)),NA(),IF(SUMPRODUCT((Inputs!$A$5:$A$130=$B42)*ISNUMBER(INDEX(Inputs!$K$5:$AJ$130,0,MATCH(AF$2,Inputs!$K$4:$AJ$4,0))))+SUMPRODUCT((Inputs!$C$5:$C$130=$B42)*ISNUMBER(INDEX(Inputs!$K$5:$AJ$130,0,MATCH(AF$2,Inputs!$K$4:$AJ$4,0))))+SUMPRODUCT((Inputs!$E$5:$E$130=$B42)*ISNUMBER(INDEX(Inputs!$K$5:$AJ$130,0,MATCH(AF$2,Inputs!$K$4:$AJ$4,0))))=0,NA(),SUMPRODUCT((Inputs!$A$5:$A$130=$B42)*Inputs!$B$5:$B$130*(((Inputs!$G$5:$G$130="moeda")+(Inputs!$G$5:$G$130="acoes"))*Inputs!$B$1+((Inputs!$G$5:$G$130&lt;&gt;"moeda")*(Inputs!$G$5:$G$130&lt;&gt;"acoes")))*INDEX(Inputs!$K$5:$AJ$130,0,MATCH(AF$2,Inputs!$K$4:$AJ$4,0)))+SUMPRODUCT((Inputs!$C$5:$C$130=$B42)*Inputs!$D$5:$D$130*(((Inputs!$G$5:$G$130="moeda")+(Inputs!$G$5:$G$130="acoes"))*Inputs!$B$1+((Inputs!$G$5:$G$130&lt;&gt;"moeda")*(Inputs!$G$5:$G$130&lt;&gt;"acoes")))*INDEX(Inputs!$K$5:$AJ$130,0,MATCH(AF$2,Inputs!$K$4:$AJ$4,0)))+SUMPRODUCT((Inputs!$E$5:$E$130=$B42)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2" s="266" t="e">
        <f>AF42</f>
        <v>#N/A</v>
      </c>
      <c r="AH42" s="265" t="e">
        <f>IF(ISNA(MATCH(AH$2,Inputs!$K$4:$AJ$4,0)),NA(),IF(SUMPRODUCT((Inputs!$A$5:$A$130=$B42)*ISNUMBER(INDEX(Inputs!$K$5:$AJ$130,0,MATCH(AH$2,Inputs!$K$4:$AJ$4,0))))+SUMPRODUCT((Inputs!$C$5:$C$130=$B42)*ISNUMBER(INDEX(Inputs!$K$5:$AJ$130,0,MATCH(AH$2,Inputs!$K$4:$AJ$4,0))))+SUMPRODUCT((Inputs!$E$5:$E$130=$B42)*ISNUMBER(INDEX(Inputs!$K$5:$AJ$130,0,MATCH(AH$2,Inputs!$K$4:$AJ$4,0))))=0,NA(),SUMPRODUCT((Inputs!$A$5:$A$130=$B42)*Inputs!$B$5:$B$130*(((Inputs!$G$5:$G$130="moeda")+(Inputs!$G$5:$G$130="acoes"))*Inputs!$B$1+((Inputs!$G$5:$G$130&lt;&gt;"moeda")*(Inputs!$G$5:$G$130&lt;&gt;"acoes")))*INDEX(Inputs!$K$5:$AJ$130,0,MATCH(AH$2,Inputs!$K$4:$AJ$4,0)))+SUMPRODUCT((Inputs!$C$5:$C$130=$B42)*Inputs!$D$5:$D$130*(((Inputs!$G$5:$G$130="moeda")+(Inputs!$G$5:$G$130="acoes"))*Inputs!$B$1+((Inputs!$G$5:$G$130&lt;&gt;"moeda")*(Inputs!$G$5:$G$130&lt;&gt;"acoes")))*INDEX(Inputs!$K$5:$AJ$130,0,MATCH(AH$2,Inputs!$K$4:$AJ$4,0)))+SUMPRODUCT((Inputs!$E$5:$E$130=$B42)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42" s="265" t="e">
        <f>IF(ISNA(MATCH(AI$2,Inputs!$K$4:$AJ$4,0)),NA(),IF(SUMPRODUCT((Inputs!$A$5:$A$130=$B42)*ISNUMBER(INDEX(Inputs!$K$5:$AJ$130,0,MATCH(AI$2,Inputs!$K$4:$AJ$4,0))))+SUMPRODUCT((Inputs!$C$5:$C$130=$B42)*ISNUMBER(INDEX(Inputs!$K$5:$AJ$130,0,MATCH(AI$2,Inputs!$K$4:$AJ$4,0))))+SUMPRODUCT((Inputs!$E$5:$E$130=$B42)*ISNUMBER(INDEX(Inputs!$K$5:$AJ$130,0,MATCH(AI$2,Inputs!$K$4:$AJ$4,0))))=0,NA(),SUMPRODUCT((Inputs!$A$5:$A$130=$B42)*Inputs!$B$5:$B$130*(((Inputs!$G$5:$G$130="moeda")+(Inputs!$G$5:$G$130="acoes"))*Inputs!$B$1+((Inputs!$G$5:$G$130&lt;&gt;"moeda")*(Inputs!$G$5:$G$130&lt;&gt;"acoes")))*INDEX(Inputs!$K$5:$AJ$130,0,MATCH(AI$2,Inputs!$K$4:$AJ$4,0)))+SUMPRODUCT((Inputs!$C$5:$C$130=$B42)*Inputs!$D$5:$D$130*(((Inputs!$G$5:$G$130="moeda")+(Inputs!$G$5:$G$130="acoes"))*Inputs!$B$1+((Inputs!$G$5:$G$130&lt;&gt;"moeda")*(Inputs!$G$5:$G$130&lt;&gt;"acoes")))*INDEX(Inputs!$K$5:$AJ$130,0,MATCH(AI$2,Inputs!$K$4:$AJ$4,0)))+SUMPRODUCT((Inputs!$E$5:$E$130=$B42)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42" s="265" t="e">
        <f>IF(ISNA(MATCH(AJ$2,Inputs!$K$4:$AJ$4,0)),NA(),IF(SUMPRODUCT((Inputs!$A$5:$A$130=$B42)*ISNUMBER(INDEX(Inputs!$K$5:$AJ$130,0,MATCH(AJ$2,Inputs!$K$4:$AJ$4,0))))+SUMPRODUCT((Inputs!$C$5:$C$130=$B42)*ISNUMBER(INDEX(Inputs!$K$5:$AJ$130,0,MATCH(AJ$2,Inputs!$K$4:$AJ$4,0))))+SUMPRODUCT((Inputs!$E$5:$E$130=$B42)*ISNUMBER(INDEX(Inputs!$K$5:$AJ$130,0,MATCH(AJ$2,Inputs!$K$4:$AJ$4,0))))=0,NA(),SUMPRODUCT((Inputs!$A$5:$A$130=$B42)*Inputs!$B$5:$B$130*(((Inputs!$G$5:$G$130="moeda")+(Inputs!$G$5:$G$130="acoes"))*Inputs!$B$1+((Inputs!$G$5:$G$130&lt;&gt;"moeda")*(Inputs!$G$5:$G$130&lt;&gt;"acoes")))*INDEX(Inputs!$K$5:$AJ$130,0,MATCH(AJ$2,Inputs!$K$4:$AJ$4,0)))+SUMPRODUCT((Inputs!$C$5:$C$130=$B42)*Inputs!$D$5:$D$130*(((Inputs!$G$5:$G$130="moeda")+(Inputs!$G$5:$G$130="acoes"))*Inputs!$B$1+((Inputs!$G$5:$G$130&lt;&gt;"moeda")*(Inputs!$G$5:$G$130&lt;&gt;"acoes")))*INDEX(Inputs!$K$5:$AJ$130,0,MATCH(AJ$2,Inputs!$K$4:$AJ$4,0)))+SUMPRODUCT((Inputs!$E$5:$E$130=$B42)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42" s="265" t="e">
        <f>IF(ISNA(MATCH(AK$2,Inputs!$K$4:$AJ$4,0)),NA(),IF(SUMPRODUCT((Inputs!$A$5:$A$130=$B42)*ISNUMBER(INDEX(Inputs!$K$5:$AJ$130,0,MATCH(AK$2,Inputs!$K$4:$AJ$4,0))))+SUMPRODUCT((Inputs!$C$5:$C$130=$B42)*ISNUMBER(INDEX(Inputs!$K$5:$AJ$130,0,MATCH(AK$2,Inputs!$K$4:$AJ$4,0))))+SUMPRODUCT((Inputs!$E$5:$E$130=$B42)*ISNUMBER(INDEX(Inputs!$K$5:$AJ$130,0,MATCH(AK$2,Inputs!$K$4:$AJ$4,0))))=0,NA(),SUMPRODUCT((Inputs!$A$5:$A$130=$B42)*Inputs!$B$5:$B$130*(((Inputs!$G$5:$G$130="moeda")+(Inputs!$G$5:$G$130="acoes"))*Inputs!$B$1+((Inputs!$G$5:$G$130&lt;&gt;"moeda")*(Inputs!$G$5:$G$130&lt;&gt;"acoes")))*INDEX(Inputs!$K$5:$AJ$130,0,MATCH(AK$2,Inputs!$K$4:$AJ$4,0)))+SUMPRODUCT((Inputs!$C$5:$C$130=$B42)*Inputs!$D$5:$D$130*(((Inputs!$G$5:$G$130="moeda")+(Inputs!$G$5:$G$130="acoes"))*Inputs!$B$1+((Inputs!$G$5:$G$130&lt;&gt;"moeda")*(Inputs!$G$5:$G$130&lt;&gt;"acoes")))*INDEX(Inputs!$K$5:$AJ$130,0,MATCH(AK$2,Inputs!$K$4:$AJ$4,0)))+SUMPRODUCT((Inputs!$E$5:$E$130=$B42)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42" s="266" t="e">
        <f>AK42</f>
        <v>#N/A</v>
      </c>
    </row>
    <row r="43" ht="12.75" customHeight="1" s="254">
      <c r="B43" s="263" t="n">
        <v>37</v>
      </c>
      <c r="C43" s="267" t="inlineStr">
        <is>
          <t>Common Stock and APIC</t>
        </is>
      </c>
      <c r="D43" s="265" t="e">
        <f>IF(ISNA(MATCH(D$2,Inputs!$K$4:$AJ$4,0)),NA(),IF(SUMPRODUCT((Inputs!$A$5:$A$130=$B43)*ISNUMBER(INDEX(Inputs!$K$5:$AJ$130,0,MATCH(D$2,Inputs!$K$4:$AJ$4,0))))+SUMPRODUCT((Inputs!$C$5:$C$130=$B43)*ISNUMBER(INDEX(Inputs!$K$5:$AJ$130,0,MATCH(D$2,Inputs!$K$4:$AJ$4,0))))+SUMPRODUCT((Inputs!$E$5:$E$130=$B43)*ISNUMBER(INDEX(Inputs!$K$5:$AJ$130,0,MATCH(D$2,Inputs!$K$4:$AJ$4,0))))=0,NA(),SUMPRODUCT((Inputs!$A$5:$A$130=$B43)*Inputs!$B$5:$B$130*(((Inputs!$G$5:$G$130="moeda")+(Inputs!$G$5:$G$130="acoes"))*Inputs!$B$1+((Inputs!$G$5:$G$130&lt;&gt;"moeda")*(Inputs!$G$5:$G$130&lt;&gt;"acoes")))*INDEX(Inputs!$K$5:$AJ$130,0,MATCH(D$2,Inputs!$K$4:$AJ$4,0)))+SUMPRODUCT((Inputs!$C$5:$C$130=$B43)*Inputs!$D$5:$D$130*(((Inputs!$G$5:$G$130="moeda")+(Inputs!$G$5:$G$130="acoes"))*Inputs!$B$1+((Inputs!$G$5:$G$130&lt;&gt;"moeda")*(Inputs!$G$5:$G$130&lt;&gt;"acoes")))*INDEX(Inputs!$K$5:$AJ$130,0,MATCH(D$2,Inputs!$K$4:$AJ$4,0)))+SUMPRODUCT((Inputs!$E$5:$E$130=$B43)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43" s="265" t="e">
        <f>IF(ISNA(MATCH(E$2,Inputs!$K$4:$AJ$4,0)),NA(),IF(SUMPRODUCT((Inputs!$A$5:$A$130=$B43)*ISNUMBER(INDEX(Inputs!$K$5:$AJ$130,0,MATCH(E$2,Inputs!$K$4:$AJ$4,0))))+SUMPRODUCT((Inputs!$C$5:$C$130=$B43)*ISNUMBER(INDEX(Inputs!$K$5:$AJ$130,0,MATCH(E$2,Inputs!$K$4:$AJ$4,0))))+SUMPRODUCT((Inputs!$E$5:$E$130=$B43)*ISNUMBER(INDEX(Inputs!$K$5:$AJ$130,0,MATCH(E$2,Inputs!$K$4:$AJ$4,0))))=0,NA(),SUMPRODUCT((Inputs!$A$5:$A$130=$B43)*Inputs!$B$5:$B$130*(((Inputs!$G$5:$G$130="moeda")+(Inputs!$G$5:$G$130="acoes"))*Inputs!$B$1+((Inputs!$G$5:$G$130&lt;&gt;"moeda")*(Inputs!$G$5:$G$130&lt;&gt;"acoes")))*INDEX(Inputs!$K$5:$AJ$130,0,MATCH(E$2,Inputs!$K$4:$AJ$4,0)))+SUMPRODUCT((Inputs!$C$5:$C$130=$B43)*Inputs!$D$5:$D$130*(((Inputs!$G$5:$G$130="moeda")+(Inputs!$G$5:$G$130="acoes"))*Inputs!$B$1+((Inputs!$G$5:$G$130&lt;&gt;"moeda")*(Inputs!$G$5:$G$130&lt;&gt;"acoes")))*INDEX(Inputs!$K$5:$AJ$130,0,MATCH(E$2,Inputs!$K$4:$AJ$4,0)))+SUMPRODUCT((Inputs!$E$5:$E$130=$B43)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43" s="265" t="e">
        <f>IF(ISNA(MATCH(F$2,Inputs!$K$4:$AJ$4,0)),NA(),IF(SUMPRODUCT((Inputs!$A$5:$A$130=$B43)*ISNUMBER(INDEX(Inputs!$K$5:$AJ$130,0,MATCH(F$2,Inputs!$K$4:$AJ$4,0))))+SUMPRODUCT((Inputs!$C$5:$C$130=$B43)*ISNUMBER(INDEX(Inputs!$K$5:$AJ$130,0,MATCH(F$2,Inputs!$K$4:$AJ$4,0))))+SUMPRODUCT((Inputs!$E$5:$E$130=$B43)*ISNUMBER(INDEX(Inputs!$K$5:$AJ$130,0,MATCH(F$2,Inputs!$K$4:$AJ$4,0))))=0,NA(),SUMPRODUCT((Inputs!$A$5:$A$130=$B43)*Inputs!$B$5:$B$130*(((Inputs!$G$5:$G$130="moeda")+(Inputs!$G$5:$G$130="acoes"))*Inputs!$B$1+((Inputs!$G$5:$G$130&lt;&gt;"moeda")*(Inputs!$G$5:$G$130&lt;&gt;"acoes")))*INDEX(Inputs!$K$5:$AJ$130,0,MATCH(F$2,Inputs!$K$4:$AJ$4,0)))+SUMPRODUCT((Inputs!$C$5:$C$130=$B43)*Inputs!$D$5:$D$130*(((Inputs!$G$5:$G$130="moeda")+(Inputs!$G$5:$G$130="acoes"))*Inputs!$B$1+((Inputs!$G$5:$G$130&lt;&gt;"moeda")*(Inputs!$G$5:$G$130&lt;&gt;"acoes")))*INDEX(Inputs!$K$5:$AJ$130,0,MATCH(F$2,Inputs!$K$4:$AJ$4,0)))+SUMPRODUCT((Inputs!$E$5:$E$130=$B43)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43" s="265" t="e">
        <f>IF(ISNA(MATCH(G$2,Inputs!$K$4:$AJ$4,0)),NA(),IF(SUMPRODUCT((Inputs!$A$5:$A$130=$B43)*ISNUMBER(INDEX(Inputs!$K$5:$AJ$130,0,MATCH(G$2,Inputs!$K$4:$AJ$4,0))))+SUMPRODUCT((Inputs!$C$5:$C$130=$B43)*ISNUMBER(INDEX(Inputs!$K$5:$AJ$130,0,MATCH(G$2,Inputs!$K$4:$AJ$4,0))))+SUMPRODUCT((Inputs!$E$5:$E$130=$B43)*ISNUMBER(INDEX(Inputs!$K$5:$AJ$130,0,MATCH(G$2,Inputs!$K$4:$AJ$4,0))))=0,NA(),SUMPRODUCT((Inputs!$A$5:$A$130=$B43)*Inputs!$B$5:$B$130*(((Inputs!$G$5:$G$130="moeda")+(Inputs!$G$5:$G$130="acoes"))*Inputs!$B$1+((Inputs!$G$5:$G$130&lt;&gt;"moeda")*(Inputs!$G$5:$G$130&lt;&gt;"acoes")))*INDEX(Inputs!$K$5:$AJ$130,0,MATCH(G$2,Inputs!$K$4:$AJ$4,0)))+SUMPRODUCT((Inputs!$C$5:$C$130=$B43)*Inputs!$D$5:$D$130*(((Inputs!$G$5:$G$130="moeda")+(Inputs!$G$5:$G$130="acoes"))*Inputs!$B$1+((Inputs!$G$5:$G$130&lt;&gt;"moeda")*(Inputs!$G$5:$G$130&lt;&gt;"acoes")))*INDEX(Inputs!$K$5:$AJ$130,0,MATCH(G$2,Inputs!$K$4:$AJ$4,0)))+SUMPRODUCT((Inputs!$E$5:$E$130=$B43)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43" s="266" t="e">
        <f>G43</f>
        <v>#N/A</v>
      </c>
      <c r="I43" s="265" t="e">
        <f>IF(ISNA(MATCH(I$2,Inputs!$K$4:$AJ$4,0)),NA(),IF(SUMPRODUCT((Inputs!$A$5:$A$130=$B43)*ISNUMBER(INDEX(Inputs!$K$5:$AJ$130,0,MATCH(I$2,Inputs!$K$4:$AJ$4,0))))+SUMPRODUCT((Inputs!$C$5:$C$130=$B43)*ISNUMBER(INDEX(Inputs!$K$5:$AJ$130,0,MATCH(I$2,Inputs!$K$4:$AJ$4,0))))+SUMPRODUCT((Inputs!$E$5:$E$130=$B43)*ISNUMBER(INDEX(Inputs!$K$5:$AJ$130,0,MATCH(I$2,Inputs!$K$4:$AJ$4,0))))=0,NA(),SUMPRODUCT((Inputs!$A$5:$A$130=$B43)*Inputs!$B$5:$B$130*(((Inputs!$G$5:$G$130="moeda")+(Inputs!$G$5:$G$130="acoes"))*Inputs!$B$1+((Inputs!$G$5:$G$130&lt;&gt;"moeda")*(Inputs!$G$5:$G$130&lt;&gt;"acoes")))*INDEX(Inputs!$K$5:$AJ$130,0,MATCH(I$2,Inputs!$K$4:$AJ$4,0)))+SUMPRODUCT((Inputs!$C$5:$C$130=$B43)*Inputs!$D$5:$D$130*(((Inputs!$G$5:$G$130="moeda")+(Inputs!$G$5:$G$130="acoes"))*Inputs!$B$1+((Inputs!$G$5:$G$130&lt;&gt;"moeda")*(Inputs!$G$5:$G$130&lt;&gt;"acoes")))*INDEX(Inputs!$K$5:$AJ$130,0,MATCH(I$2,Inputs!$K$4:$AJ$4,0)))+SUMPRODUCT((Inputs!$E$5:$E$130=$B43)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43" s="265" t="e">
        <f>IF(ISNA(MATCH(J$2,Inputs!$K$4:$AJ$4,0)),NA(),IF(SUMPRODUCT((Inputs!$A$5:$A$130=$B43)*ISNUMBER(INDEX(Inputs!$K$5:$AJ$130,0,MATCH(J$2,Inputs!$K$4:$AJ$4,0))))+SUMPRODUCT((Inputs!$C$5:$C$130=$B43)*ISNUMBER(INDEX(Inputs!$K$5:$AJ$130,0,MATCH(J$2,Inputs!$K$4:$AJ$4,0))))+SUMPRODUCT((Inputs!$E$5:$E$130=$B43)*ISNUMBER(INDEX(Inputs!$K$5:$AJ$130,0,MATCH(J$2,Inputs!$K$4:$AJ$4,0))))=0,NA(),SUMPRODUCT((Inputs!$A$5:$A$130=$B43)*Inputs!$B$5:$B$130*(((Inputs!$G$5:$G$130="moeda")+(Inputs!$G$5:$G$130="acoes"))*Inputs!$B$1+((Inputs!$G$5:$G$130&lt;&gt;"moeda")*(Inputs!$G$5:$G$130&lt;&gt;"acoes")))*INDEX(Inputs!$K$5:$AJ$130,0,MATCH(J$2,Inputs!$K$4:$AJ$4,0)))+SUMPRODUCT((Inputs!$C$5:$C$130=$B43)*Inputs!$D$5:$D$130*(((Inputs!$G$5:$G$130="moeda")+(Inputs!$G$5:$G$130="acoes"))*Inputs!$B$1+((Inputs!$G$5:$G$130&lt;&gt;"moeda")*(Inputs!$G$5:$G$130&lt;&gt;"acoes")))*INDEX(Inputs!$K$5:$AJ$130,0,MATCH(J$2,Inputs!$K$4:$AJ$4,0)))+SUMPRODUCT((Inputs!$E$5:$E$130=$B43)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43" s="265" t="e">
        <f>IF(ISNA(MATCH(K$2,Inputs!$K$4:$AJ$4,0)),NA(),IF(SUMPRODUCT((Inputs!$A$5:$A$130=$B43)*ISNUMBER(INDEX(Inputs!$K$5:$AJ$130,0,MATCH(K$2,Inputs!$K$4:$AJ$4,0))))+SUMPRODUCT((Inputs!$C$5:$C$130=$B43)*ISNUMBER(INDEX(Inputs!$K$5:$AJ$130,0,MATCH(K$2,Inputs!$K$4:$AJ$4,0))))+SUMPRODUCT((Inputs!$E$5:$E$130=$B43)*ISNUMBER(INDEX(Inputs!$K$5:$AJ$130,0,MATCH(K$2,Inputs!$K$4:$AJ$4,0))))=0,NA(),SUMPRODUCT((Inputs!$A$5:$A$130=$B43)*Inputs!$B$5:$B$130*(((Inputs!$G$5:$G$130="moeda")+(Inputs!$G$5:$G$130="acoes"))*Inputs!$B$1+((Inputs!$G$5:$G$130&lt;&gt;"moeda")*(Inputs!$G$5:$G$130&lt;&gt;"acoes")))*INDEX(Inputs!$K$5:$AJ$130,0,MATCH(K$2,Inputs!$K$4:$AJ$4,0)))+SUMPRODUCT((Inputs!$C$5:$C$130=$B43)*Inputs!$D$5:$D$130*(((Inputs!$G$5:$G$130="moeda")+(Inputs!$G$5:$G$130="acoes"))*Inputs!$B$1+((Inputs!$G$5:$G$130&lt;&gt;"moeda")*(Inputs!$G$5:$G$130&lt;&gt;"acoes")))*INDEX(Inputs!$K$5:$AJ$130,0,MATCH(K$2,Inputs!$K$4:$AJ$4,0)))+SUMPRODUCT((Inputs!$E$5:$E$130=$B43)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43" s="265" t="e">
        <f>IF(ISNA(MATCH(L$2,Inputs!$K$4:$AJ$4,0)),NA(),IF(SUMPRODUCT((Inputs!$A$5:$A$130=$B43)*ISNUMBER(INDEX(Inputs!$K$5:$AJ$130,0,MATCH(L$2,Inputs!$K$4:$AJ$4,0))))+SUMPRODUCT((Inputs!$C$5:$C$130=$B43)*ISNUMBER(INDEX(Inputs!$K$5:$AJ$130,0,MATCH(L$2,Inputs!$K$4:$AJ$4,0))))+SUMPRODUCT((Inputs!$E$5:$E$130=$B43)*ISNUMBER(INDEX(Inputs!$K$5:$AJ$130,0,MATCH(L$2,Inputs!$K$4:$AJ$4,0))))=0,NA(),SUMPRODUCT((Inputs!$A$5:$A$130=$B43)*Inputs!$B$5:$B$130*(((Inputs!$G$5:$G$130="moeda")+(Inputs!$G$5:$G$130="acoes"))*Inputs!$B$1+((Inputs!$G$5:$G$130&lt;&gt;"moeda")*(Inputs!$G$5:$G$130&lt;&gt;"acoes")))*INDEX(Inputs!$K$5:$AJ$130,0,MATCH(L$2,Inputs!$K$4:$AJ$4,0)))+SUMPRODUCT((Inputs!$C$5:$C$130=$B43)*Inputs!$D$5:$D$130*(((Inputs!$G$5:$G$130="moeda")+(Inputs!$G$5:$G$130="acoes"))*Inputs!$B$1+((Inputs!$G$5:$G$130&lt;&gt;"moeda")*(Inputs!$G$5:$G$130&lt;&gt;"acoes")))*INDEX(Inputs!$K$5:$AJ$130,0,MATCH(L$2,Inputs!$K$4:$AJ$4,0)))+SUMPRODUCT((Inputs!$E$5:$E$130=$B43)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43" s="266" t="e">
        <f>L43</f>
        <v>#N/A</v>
      </c>
      <c r="N43" s="265" t="e">
        <f>IF(ISNA(MATCH(N$2,Inputs!$K$4:$AJ$4,0)),NA(),IF(SUMPRODUCT((Inputs!$A$5:$A$130=$B43)*ISNUMBER(INDEX(Inputs!$K$5:$AJ$130,0,MATCH(N$2,Inputs!$K$4:$AJ$4,0))))+SUMPRODUCT((Inputs!$C$5:$C$130=$B43)*ISNUMBER(INDEX(Inputs!$K$5:$AJ$130,0,MATCH(N$2,Inputs!$K$4:$AJ$4,0))))+SUMPRODUCT((Inputs!$E$5:$E$130=$B43)*ISNUMBER(INDEX(Inputs!$K$5:$AJ$130,0,MATCH(N$2,Inputs!$K$4:$AJ$4,0))))=0,NA(),SUMPRODUCT((Inputs!$A$5:$A$130=$B43)*Inputs!$B$5:$B$130*(((Inputs!$G$5:$G$130="moeda")+(Inputs!$G$5:$G$130="acoes"))*Inputs!$B$1+((Inputs!$G$5:$G$130&lt;&gt;"moeda")*(Inputs!$G$5:$G$130&lt;&gt;"acoes")))*INDEX(Inputs!$K$5:$AJ$130,0,MATCH(N$2,Inputs!$K$4:$AJ$4,0)))+SUMPRODUCT((Inputs!$C$5:$C$130=$B43)*Inputs!$D$5:$D$130*(((Inputs!$G$5:$G$130="moeda")+(Inputs!$G$5:$G$130="acoes"))*Inputs!$B$1+((Inputs!$G$5:$G$130&lt;&gt;"moeda")*(Inputs!$G$5:$G$130&lt;&gt;"acoes")))*INDEX(Inputs!$K$5:$AJ$130,0,MATCH(N$2,Inputs!$K$4:$AJ$4,0)))+SUMPRODUCT((Inputs!$E$5:$E$130=$B43)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43" s="265" t="e">
        <f>IF(ISNA(MATCH(O$2,Inputs!$K$4:$AJ$4,0)),NA(),IF(SUMPRODUCT((Inputs!$A$5:$A$130=$B43)*ISNUMBER(INDEX(Inputs!$K$5:$AJ$130,0,MATCH(O$2,Inputs!$K$4:$AJ$4,0))))+SUMPRODUCT((Inputs!$C$5:$C$130=$B43)*ISNUMBER(INDEX(Inputs!$K$5:$AJ$130,0,MATCH(O$2,Inputs!$K$4:$AJ$4,0))))+SUMPRODUCT((Inputs!$E$5:$E$130=$B43)*ISNUMBER(INDEX(Inputs!$K$5:$AJ$130,0,MATCH(O$2,Inputs!$K$4:$AJ$4,0))))=0,NA(),SUMPRODUCT((Inputs!$A$5:$A$130=$B43)*Inputs!$B$5:$B$130*(((Inputs!$G$5:$G$130="moeda")+(Inputs!$G$5:$G$130="acoes"))*Inputs!$B$1+((Inputs!$G$5:$G$130&lt;&gt;"moeda")*(Inputs!$G$5:$G$130&lt;&gt;"acoes")))*INDEX(Inputs!$K$5:$AJ$130,0,MATCH(O$2,Inputs!$K$4:$AJ$4,0)))+SUMPRODUCT((Inputs!$C$5:$C$130=$B43)*Inputs!$D$5:$D$130*(((Inputs!$G$5:$G$130="moeda")+(Inputs!$G$5:$G$130="acoes"))*Inputs!$B$1+((Inputs!$G$5:$G$130&lt;&gt;"moeda")*(Inputs!$G$5:$G$130&lt;&gt;"acoes")))*INDEX(Inputs!$K$5:$AJ$130,0,MATCH(O$2,Inputs!$K$4:$AJ$4,0)))+SUMPRODUCT((Inputs!$E$5:$E$130=$B43)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43" s="265" t="e">
        <f>IF(ISNA(MATCH(P$2,Inputs!$K$4:$AJ$4,0)),NA(),IF(SUMPRODUCT((Inputs!$A$5:$A$130=$B43)*ISNUMBER(INDEX(Inputs!$K$5:$AJ$130,0,MATCH(P$2,Inputs!$K$4:$AJ$4,0))))+SUMPRODUCT((Inputs!$C$5:$C$130=$B43)*ISNUMBER(INDEX(Inputs!$K$5:$AJ$130,0,MATCH(P$2,Inputs!$K$4:$AJ$4,0))))+SUMPRODUCT((Inputs!$E$5:$E$130=$B43)*ISNUMBER(INDEX(Inputs!$K$5:$AJ$130,0,MATCH(P$2,Inputs!$K$4:$AJ$4,0))))=0,NA(),SUMPRODUCT((Inputs!$A$5:$A$130=$B43)*Inputs!$B$5:$B$130*(((Inputs!$G$5:$G$130="moeda")+(Inputs!$G$5:$G$130="acoes"))*Inputs!$B$1+((Inputs!$G$5:$G$130&lt;&gt;"moeda")*(Inputs!$G$5:$G$130&lt;&gt;"acoes")))*INDEX(Inputs!$K$5:$AJ$130,0,MATCH(P$2,Inputs!$K$4:$AJ$4,0)))+SUMPRODUCT((Inputs!$C$5:$C$130=$B43)*Inputs!$D$5:$D$130*(((Inputs!$G$5:$G$130="moeda")+(Inputs!$G$5:$G$130="acoes"))*Inputs!$B$1+((Inputs!$G$5:$G$130&lt;&gt;"moeda")*(Inputs!$G$5:$G$130&lt;&gt;"acoes")))*INDEX(Inputs!$K$5:$AJ$130,0,MATCH(P$2,Inputs!$K$4:$AJ$4,0)))+SUMPRODUCT((Inputs!$E$5:$E$130=$B43)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43" s="265" t="e">
        <f>IF(ISNA(MATCH(Q$2,Inputs!$K$4:$AJ$4,0)),NA(),IF(SUMPRODUCT((Inputs!$A$5:$A$130=$B43)*ISNUMBER(INDEX(Inputs!$K$5:$AJ$130,0,MATCH(Q$2,Inputs!$K$4:$AJ$4,0))))+SUMPRODUCT((Inputs!$C$5:$C$130=$B43)*ISNUMBER(INDEX(Inputs!$K$5:$AJ$130,0,MATCH(Q$2,Inputs!$K$4:$AJ$4,0))))+SUMPRODUCT((Inputs!$E$5:$E$130=$B43)*ISNUMBER(INDEX(Inputs!$K$5:$AJ$130,0,MATCH(Q$2,Inputs!$K$4:$AJ$4,0))))=0,NA(),SUMPRODUCT((Inputs!$A$5:$A$130=$B43)*Inputs!$B$5:$B$130*(((Inputs!$G$5:$G$130="moeda")+(Inputs!$G$5:$G$130="acoes"))*Inputs!$B$1+((Inputs!$G$5:$G$130&lt;&gt;"moeda")*(Inputs!$G$5:$G$130&lt;&gt;"acoes")))*INDEX(Inputs!$K$5:$AJ$130,0,MATCH(Q$2,Inputs!$K$4:$AJ$4,0)))+SUMPRODUCT((Inputs!$C$5:$C$130=$B43)*Inputs!$D$5:$D$130*(((Inputs!$G$5:$G$130="moeda")+(Inputs!$G$5:$G$130="acoes"))*Inputs!$B$1+((Inputs!$G$5:$G$130&lt;&gt;"moeda")*(Inputs!$G$5:$G$130&lt;&gt;"acoes")))*INDEX(Inputs!$K$5:$AJ$130,0,MATCH(Q$2,Inputs!$K$4:$AJ$4,0)))+SUMPRODUCT((Inputs!$E$5:$E$130=$B43)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43" s="266" t="e">
        <f>Q43</f>
        <v>#N/A</v>
      </c>
      <c r="S43" s="265" t="e">
        <f>IF(ISNA(MATCH(S$2,Inputs!$K$4:$AJ$4,0)),NA(),IF(SUMPRODUCT((Inputs!$A$5:$A$130=$B43)*ISNUMBER(INDEX(Inputs!$K$5:$AJ$130,0,MATCH(S$2,Inputs!$K$4:$AJ$4,0))))+SUMPRODUCT((Inputs!$C$5:$C$130=$B43)*ISNUMBER(INDEX(Inputs!$K$5:$AJ$130,0,MATCH(S$2,Inputs!$K$4:$AJ$4,0))))+SUMPRODUCT((Inputs!$E$5:$E$130=$B43)*ISNUMBER(INDEX(Inputs!$K$5:$AJ$130,0,MATCH(S$2,Inputs!$K$4:$AJ$4,0))))=0,NA(),SUMPRODUCT((Inputs!$A$5:$A$130=$B43)*Inputs!$B$5:$B$130*(((Inputs!$G$5:$G$130="moeda")+(Inputs!$G$5:$G$130="acoes"))*Inputs!$B$1+((Inputs!$G$5:$G$130&lt;&gt;"moeda")*(Inputs!$G$5:$G$130&lt;&gt;"acoes")))*INDEX(Inputs!$K$5:$AJ$130,0,MATCH(S$2,Inputs!$K$4:$AJ$4,0)))+SUMPRODUCT((Inputs!$C$5:$C$130=$B43)*Inputs!$D$5:$D$130*(((Inputs!$G$5:$G$130="moeda")+(Inputs!$G$5:$G$130="acoes"))*Inputs!$B$1+((Inputs!$G$5:$G$130&lt;&gt;"moeda")*(Inputs!$G$5:$G$130&lt;&gt;"acoes")))*INDEX(Inputs!$K$5:$AJ$130,0,MATCH(S$2,Inputs!$K$4:$AJ$4,0)))+SUMPRODUCT((Inputs!$E$5:$E$130=$B43)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43" s="265" t="e">
        <f>IF(ISNA(MATCH(T$2,Inputs!$K$4:$AJ$4,0)),NA(),IF(SUMPRODUCT((Inputs!$A$5:$A$130=$B43)*ISNUMBER(INDEX(Inputs!$K$5:$AJ$130,0,MATCH(T$2,Inputs!$K$4:$AJ$4,0))))+SUMPRODUCT((Inputs!$C$5:$C$130=$B43)*ISNUMBER(INDEX(Inputs!$K$5:$AJ$130,0,MATCH(T$2,Inputs!$K$4:$AJ$4,0))))+SUMPRODUCT((Inputs!$E$5:$E$130=$B43)*ISNUMBER(INDEX(Inputs!$K$5:$AJ$130,0,MATCH(T$2,Inputs!$K$4:$AJ$4,0))))=0,NA(),SUMPRODUCT((Inputs!$A$5:$A$130=$B43)*Inputs!$B$5:$B$130*(((Inputs!$G$5:$G$130="moeda")+(Inputs!$G$5:$G$130="acoes"))*Inputs!$B$1+((Inputs!$G$5:$G$130&lt;&gt;"moeda")*(Inputs!$G$5:$G$130&lt;&gt;"acoes")))*INDEX(Inputs!$K$5:$AJ$130,0,MATCH(T$2,Inputs!$K$4:$AJ$4,0)))+SUMPRODUCT((Inputs!$C$5:$C$130=$B43)*Inputs!$D$5:$D$130*(((Inputs!$G$5:$G$130="moeda")+(Inputs!$G$5:$G$130="acoes"))*Inputs!$B$1+((Inputs!$G$5:$G$130&lt;&gt;"moeda")*(Inputs!$G$5:$G$130&lt;&gt;"acoes")))*INDEX(Inputs!$K$5:$AJ$130,0,MATCH(T$2,Inputs!$K$4:$AJ$4,0)))+SUMPRODUCT((Inputs!$E$5:$E$130=$B43)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43" s="265" t="e">
        <f>IF(ISNA(MATCH(U$2,Inputs!$K$4:$AJ$4,0)),NA(),IF(SUMPRODUCT((Inputs!$A$5:$A$130=$B43)*ISNUMBER(INDEX(Inputs!$K$5:$AJ$130,0,MATCH(U$2,Inputs!$K$4:$AJ$4,0))))+SUMPRODUCT((Inputs!$C$5:$C$130=$B43)*ISNUMBER(INDEX(Inputs!$K$5:$AJ$130,0,MATCH(U$2,Inputs!$K$4:$AJ$4,0))))+SUMPRODUCT((Inputs!$E$5:$E$130=$B43)*ISNUMBER(INDEX(Inputs!$K$5:$AJ$130,0,MATCH(U$2,Inputs!$K$4:$AJ$4,0))))=0,NA(),SUMPRODUCT((Inputs!$A$5:$A$130=$B43)*Inputs!$B$5:$B$130*(((Inputs!$G$5:$G$130="moeda")+(Inputs!$G$5:$G$130="acoes"))*Inputs!$B$1+((Inputs!$G$5:$G$130&lt;&gt;"moeda")*(Inputs!$G$5:$G$130&lt;&gt;"acoes")))*INDEX(Inputs!$K$5:$AJ$130,0,MATCH(U$2,Inputs!$K$4:$AJ$4,0)))+SUMPRODUCT((Inputs!$C$5:$C$130=$B43)*Inputs!$D$5:$D$130*(((Inputs!$G$5:$G$130="moeda")+(Inputs!$G$5:$G$130="acoes"))*Inputs!$B$1+((Inputs!$G$5:$G$130&lt;&gt;"moeda")*(Inputs!$G$5:$G$130&lt;&gt;"acoes")))*INDEX(Inputs!$K$5:$AJ$130,0,MATCH(U$2,Inputs!$K$4:$AJ$4,0)))+SUMPRODUCT((Inputs!$E$5:$E$130=$B43)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43" s="265" t="e">
        <f>IF(ISNA(MATCH(V$2,Inputs!$K$4:$AJ$4,0)),NA(),IF(SUMPRODUCT((Inputs!$A$5:$A$130=$B43)*ISNUMBER(INDEX(Inputs!$K$5:$AJ$130,0,MATCH(V$2,Inputs!$K$4:$AJ$4,0))))+SUMPRODUCT((Inputs!$C$5:$C$130=$B43)*ISNUMBER(INDEX(Inputs!$K$5:$AJ$130,0,MATCH(V$2,Inputs!$K$4:$AJ$4,0))))+SUMPRODUCT((Inputs!$E$5:$E$130=$B43)*ISNUMBER(INDEX(Inputs!$K$5:$AJ$130,0,MATCH(V$2,Inputs!$K$4:$AJ$4,0))))=0,NA(),SUMPRODUCT((Inputs!$A$5:$A$130=$B43)*Inputs!$B$5:$B$130*(((Inputs!$G$5:$G$130="moeda")+(Inputs!$G$5:$G$130="acoes"))*Inputs!$B$1+((Inputs!$G$5:$G$130&lt;&gt;"moeda")*(Inputs!$G$5:$G$130&lt;&gt;"acoes")))*INDEX(Inputs!$K$5:$AJ$130,0,MATCH(V$2,Inputs!$K$4:$AJ$4,0)))+SUMPRODUCT((Inputs!$C$5:$C$130=$B43)*Inputs!$D$5:$D$130*(((Inputs!$G$5:$G$130="moeda")+(Inputs!$G$5:$G$130="acoes"))*Inputs!$B$1+((Inputs!$G$5:$G$130&lt;&gt;"moeda")*(Inputs!$G$5:$G$130&lt;&gt;"acoes")))*INDEX(Inputs!$K$5:$AJ$130,0,MATCH(V$2,Inputs!$K$4:$AJ$4,0)))+SUMPRODUCT((Inputs!$E$5:$E$130=$B43)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43" s="266" t="e">
        <f>V43</f>
        <v>#N/A</v>
      </c>
      <c r="X43" s="265" t="e">
        <f>IF(ISNA(MATCH(X$2,Inputs!$K$4:$AJ$4,0)),NA(),IF(SUMPRODUCT((Inputs!$A$5:$A$130=$B43)*ISNUMBER(INDEX(Inputs!$K$5:$AJ$130,0,MATCH(X$2,Inputs!$K$4:$AJ$4,0))))+SUMPRODUCT((Inputs!$C$5:$C$130=$B43)*ISNUMBER(INDEX(Inputs!$K$5:$AJ$130,0,MATCH(X$2,Inputs!$K$4:$AJ$4,0))))+SUMPRODUCT((Inputs!$E$5:$E$130=$B43)*ISNUMBER(INDEX(Inputs!$K$5:$AJ$130,0,MATCH(X$2,Inputs!$K$4:$AJ$4,0))))=0,NA(),SUMPRODUCT((Inputs!$A$5:$A$130=$B43)*Inputs!$B$5:$B$130*(((Inputs!$G$5:$G$130="moeda")+(Inputs!$G$5:$G$130="acoes"))*Inputs!$B$1+((Inputs!$G$5:$G$130&lt;&gt;"moeda")*(Inputs!$G$5:$G$130&lt;&gt;"acoes")))*INDEX(Inputs!$K$5:$AJ$130,0,MATCH(X$2,Inputs!$K$4:$AJ$4,0)))+SUMPRODUCT((Inputs!$C$5:$C$130=$B43)*Inputs!$D$5:$D$130*(((Inputs!$G$5:$G$130="moeda")+(Inputs!$G$5:$G$130="acoes"))*Inputs!$B$1+((Inputs!$G$5:$G$130&lt;&gt;"moeda")*(Inputs!$G$5:$G$130&lt;&gt;"acoes")))*INDEX(Inputs!$K$5:$AJ$130,0,MATCH(X$2,Inputs!$K$4:$AJ$4,0)))+SUMPRODUCT((Inputs!$E$5:$E$130=$B43)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43" s="265" t="e">
        <f>IF(ISNA(MATCH(Y$2,Inputs!$K$4:$AJ$4,0)),NA(),IF(SUMPRODUCT((Inputs!$A$5:$A$130=$B43)*ISNUMBER(INDEX(Inputs!$K$5:$AJ$130,0,MATCH(Y$2,Inputs!$K$4:$AJ$4,0))))+SUMPRODUCT((Inputs!$C$5:$C$130=$B43)*ISNUMBER(INDEX(Inputs!$K$5:$AJ$130,0,MATCH(Y$2,Inputs!$K$4:$AJ$4,0))))+SUMPRODUCT((Inputs!$E$5:$E$130=$B43)*ISNUMBER(INDEX(Inputs!$K$5:$AJ$130,0,MATCH(Y$2,Inputs!$K$4:$AJ$4,0))))=0,NA(),SUMPRODUCT((Inputs!$A$5:$A$130=$B43)*Inputs!$B$5:$B$130*(((Inputs!$G$5:$G$130="moeda")+(Inputs!$G$5:$G$130="acoes"))*Inputs!$B$1+((Inputs!$G$5:$G$130&lt;&gt;"moeda")*(Inputs!$G$5:$G$130&lt;&gt;"acoes")))*INDEX(Inputs!$K$5:$AJ$130,0,MATCH(Y$2,Inputs!$K$4:$AJ$4,0)))+SUMPRODUCT((Inputs!$C$5:$C$130=$B43)*Inputs!$D$5:$D$130*(((Inputs!$G$5:$G$130="moeda")+(Inputs!$G$5:$G$130="acoes"))*Inputs!$B$1+((Inputs!$G$5:$G$130&lt;&gt;"moeda")*(Inputs!$G$5:$G$130&lt;&gt;"acoes")))*INDEX(Inputs!$K$5:$AJ$130,0,MATCH(Y$2,Inputs!$K$4:$AJ$4,0)))+SUMPRODUCT((Inputs!$E$5:$E$130=$B43)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43" s="265" t="e">
        <f>IF(ISNA(MATCH(Z$2,Inputs!$K$4:$AJ$4,0)),NA(),IF(SUMPRODUCT((Inputs!$A$5:$A$130=$B43)*ISNUMBER(INDEX(Inputs!$K$5:$AJ$130,0,MATCH(Z$2,Inputs!$K$4:$AJ$4,0))))+SUMPRODUCT((Inputs!$C$5:$C$130=$B43)*ISNUMBER(INDEX(Inputs!$K$5:$AJ$130,0,MATCH(Z$2,Inputs!$K$4:$AJ$4,0))))+SUMPRODUCT((Inputs!$E$5:$E$130=$B43)*ISNUMBER(INDEX(Inputs!$K$5:$AJ$130,0,MATCH(Z$2,Inputs!$K$4:$AJ$4,0))))=0,NA(),SUMPRODUCT((Inputs!$A$5:$A$130=$B43)*Inputs!$B$5:$B$130*(((Inputs!$G$5:$G$130="moeda")+(Inputs!$G$5:$G$130="acoes"))*Inputs!$B$1+((Inputs!$G$5:$G$130&lt;&gt;"moeda")*(Inputs!$G$5:$G$130&lt;&gt;"acoes")))*INDEX(Inputs!$K$5:$AJ$130,0,MATCH(Z$2,Inputs!$K$4:$AJ$4,0)))+SUMPRODUCT((Inputs!$C$5:$C$130=$B43)*Inputs!$D$5:$D$130*(((Inputs!$G$5:$G$130="moeda")+(Inputs!$G$5:$G$130="acoes"))*Inputs!$B$1+((Inputs!$G$5:$G$130&lt;&gt;"moeda")*(Inputs!$G$5:$G$130&lt;&gt;"acoes")))*INDEX(Inputs!$K$5:$AJ$130,0,MATCH(Z$2,Inputs!$K$4:$AJ$4,0)))+SUMPRODUCT((Inputs!$E$5:$E$130=$B43)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43" s="265" t="e">
        <f>IF(ISNA(MATCH(AA$2,Inputs!$K$4:$AJ$4,0)),NA(),IF(SUMPRODUCT((Inputs!$A$5:$A$130=$B43)*ISNUMBER(INDEX(Inputs!$K$5:$AJ$130,0,MATCH(AA$2,Inputs!$K$4:$AJ$4,0))))+SUMPRODUCT((Inputs!$C$5:$C$130=$B43)*ISNUMBER(INDEX(Inputs!$K$5:$AJ$130,0,MATCH(AA$2,Inputs!$K$4:$AJ$4,0))))+SUMPRODUCT((Inputs!$E$5:$E$130=$B43)*ISNUMBER(INDEX(Inputs!$K$5:$AJ$130,0,MATCH(AA$2,Inputs!$K$4:$AJ$4,0))))=0,NA(),SUMPRODUCT((Inputs!$A$5:$A$130=$B43)*Inputs!$B$5:$B$130*(((Inputs!$G$5:$G$130="moeda")+(Inputs!$G$5:$G$130="acoes"))*Inputs!$B$1+((Inputs!$G$5:$G$130&lt;&gt;"moeda")*(Inputs!$G$5:$G$130&lt;&gt;"acoes")))*INDEX(Inputs!$K$5:$AJ$130,0,MATCH(AA$2,Inputs!$K$4:$AJ$4,0)))+SUMPRODUCT((Inputs!$C$5:$C$130=$B43)*Inputs!$D$5:$D$130*(((Inputs!$G$5:$G$130="moeda")+(Inputs!$G$5:$G$130="acoes"))*Inputs!$B$1+((Inputs!$G$5:$G$130&lt;&gt;"moeda")*(Inputs!$G$5:$G$130&lt;&gt;"acoes")))*INDEX(Inputs!$K$5:$AJ$130,0,MATCH(AA$2,Inputs!$K$4:$AJ$4,0)))+SUMPRODUCT((Inputs!$E$5:$E$130=$B43)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43" s="266" t="e">
        <f>AA43</f>
        <v>#N/A</v>
      </c>
      <c r="AC43" s="265" t="e">
        <f>IF(ISNA(MATCH(AC$2,Inputs!$K$4:$AJ$4,0)),NA(),IF(SUMPRODUCT((Inputs!$A$5:$A$130=$B43)*ISNUMBER(INDEX(Inputs!$K$5:$AJ$130,0,MATCH(AC$2,Inputs!$K$4:$AJ$4,0))))+SUMPRODUCT((Inputs!$C$5:$C$130=$B43)*ISNUMBER(INDEX(Inputs!$K$5:$AJ$130,0,MATCH(AC$2,Inputs!$K$4:$AJ$4,0))))+SUMPRODUCT((Inputs!$E$5:$E$130=$B43)*ISNUMBER(INDEX(Inputs!$K$5:$AJ$130,0,MATCH(AC$2,Inputs!$K$4:$AJ$4,0))))=0,NA(),SUMPRODUCT((Inputs!$A$5:$A$130=$B43)*Inputs!$B$5:$B$130*(((Inputs!$G$5:$G$130="moeda")+(Inputs!$G$5:$G$130="acoes"))*Inputs!$B$1+((Inputs!$G$5:$G$130&lt;&gt;"moeda")*(Inputs!$G$5:$G$130&lt;&gt;"acoes")))*INDEX(Inputs!$K$5:$AJ$130,0,MATCH(AC$2,Inputs!$K$4:$AJ$4,0)))+SUMPRODUCT((Inputs!$C$5:$C$130=$B43)*Inputs!$D$5:$D$130*(((Inputs!$G$5:$G$130="moeda")+(Inputs!$G$5:$G$130="acoes"))*Inputs!$B$1+((Inputs!$G$5:$G$130&lt;&gt;"moeda")*(Inputs!$G$5:$G$130&lt;&gt;"acoes")))*INDEX(Inputs!$K$5:$AJ$130,0,MATCH(AC$2,Inputs!$K$4:$AJ$4,0)))+SUMPRODUCT((Inputs!$E$5:$E$130=$B43)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43" s="265" t="e">
        <f>IF(ISNA(MATCH(AD$2,Inputs!$K$4:$AJ$4,0)),NA(),IF(SUMPRODUCT((Inputs!$A$5:$A$130=$B43)*ISNUMBER(INDEX(Inputs!$K$5:$AJ$130,0,MATCH(AD$2,Inputs!$K$4:$AJ$4,0))))+SUMPRODUCT((Inputs!$C$5:$C$130=$B43)*ISNUMBER(INDEX(Inputs!$K$5:$AJ$130,0,MATCH(AD$2,Inputs!$K$4:$AJ$4,0))))+SUMPRODUCT((Inputs!$E$5:$E$130=$B43)*ISNUMBER(INDEX(Inputs!$K$5:$AJ$130,0,MATCH(AD$2,Inputs!$K$4:$AJ$4,0))))=0,NA(),SUMPRODUCT((Inputs!$A$5:$A$130=$B43)*Inputs!$B$5:$B$130*(((Inputs!$G$5:$G$130="moeda")+(Inputs!$G$5:$G$130="acoes"))*Inputs!$B$1+((Inputs!$G$5:$G$130&lt;&gt;"moeda")*(Inputs!$G$5:$G$130&lt;&gt;"acoes")))*INDEX(Inputs!$K$5:$AJ$130,0,MATCH(AD$2,Inputs!$K$4:$AJ$4,0)))+SUMPRODUCT((Inputs!$C$5:$C$130=$B43)*Inputs!$D$5:$D$130*(((Inputs!$G$5:$G$130="moeda")+(Inputs!$G$5:$G$130="acoes"))*Inputs!$B$1+((Inputs!$G$5:$G$130&lt;&gt;"moeda")*(Inputs!$G$5:$G$130&lt;&gt;"acoes")))*INDEX(Inputs!$K$5:$AJ$130,0,MATCH(AD$2,Inputs!$K$4:$AJ$4,0)))+SUMPRODUCT((Inputs!$E$5:$E$130=$B43)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43" s="265" t="e">
        <f>IF(ISNA(MATCH(AE$2,Inputs!$K$4:$AJ$4,0)),NA(),IF(SUMPRODUCT((Inputs!$A$5:$A$130=$B43)*ISNUMBER(INDEX(Inputs!$K$5:$AJ$130,0,MATCH(AE$2,Inputs!$K$4:$AJ$4,0))))+SUMPRODUCT((Inputs!$C$5:$C$130=$B43)*ISNUMBER(INDEX(Inputs!$K$5:$AJ$130,0,MATCH(AE$2,Inputs!$K$4:$AJ$4,0))))+SUMPRODUCT((Inputs!$E$5:$E$130=$B43)*ISNUMBER(INDEX(Inputs!$K$5:$AJ$130,0,MATCH(AE$2,Inputs!$K$4:$AJ$4,0))))=0,NA(),SUMPRODUCT((Inputs!$A$5:$A$130=$B43)*Inputs!$B$5:$B$130*(((Inputs!$G$5:$G$130="moeda")+(Inputs!$G$5:$G$130="acoes"))*Inputs!$B$1+((Inputs!$G$5:$G$130&lt;&gt;"moeda")*(Inputs!$G$5:$G$130&lt;&gt;"acoes")))*INDEX(Inputs!$K$5:$AJ$130,0,MATCH(AE$2,Inputs!$K$4:$AJ$4,0)))+SUMPRODUCT((Inputs!$C$5:$C$130=$B43)*Inputs!$D$5:$D$130*(((Inputs!$G$5:$G$130="moeda")+(Inputs!$G$5:$G$130="acoes"))*Inputs!$B$1+((Inputs!$G$5:$G$130&lt;&gt;"moeda")*(Inputs!$G$5:$G$130&lt;&gt;"acoes")))*INDEX(Inputs!$K$5:$AJ$130,0,MATCH(AE$2,Inputs!$K$4:$AJ$4,0)))+SUMPRODUCT((Inputs!$E$5:$E$130=$B43)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3" s="265" t="e">
        <f>IF(ISNA(MATCH(AF$2,Inputs!$K$4:$AJ$4,0)),NA(),IF(SUMPRODUCT((Inputs!$A$5:$A$130=$B43)*ISNUMBER(INDEX(Inputs!$K$5:$AJ$130,0,MATCH(AF$2,Inputs!$K$4:$AJ$4,0))))+SUMPRODUCT((Inputs!$C$5:$C$130=$B43)*ISNUMBER(INDEX(Inputs!$K$5:$AJ$130,0,MATCH(AF$2,Inputs!$K$4:$AJ$4,0))))+SUMPRODUCT((Inputs!$E$5:$E$130=$B43)*ISNUMBER(INDEX(Inputs!$K$5:$AJ$130,0,MATCH(AF$2,Inputs!$K$4:$AJ$4,0))))=0,NA(),SUMPRODUCT((Inputs!$A$5:$A$130=$B43)*Inputs!$B$5:$B$130*(((Inputs!$G$5:$G$130="moeda")+(Inputs!$G$5:$G$130="acoes"))*Inputs!$B$1+((Inputs!$G$5:$G$130&lt;&gt;"moeda")*(Inputs!$G$5:$G$130&lt;&gt;"acoes")))*INDEX(Inputs!$K$5:$AJ$130,0,MATCH(AF$2,Inputs!$K$4:$AJ$4,0)))+SUMPRODUCT((Inputs!$C$5:$C$130=$B43)*Inputs!$D$5:$D$130*(((Inputs!$G$5:$G$130="moeda")+(Inputs!$G$5:$G$130="acoes"))*Inputs!$B$1+((Inputs!$G$5:$G$130&lt;&gt;"moeda")*(Inputs!$G$5:$G$130&lt;&gt;"acoes")))*INDEX(Inputs!$K$5:$AJ$130,0,MATCH(AF$2,Inputs!$K$4:$AJ$4,0)))+SUMPRODUCT((Inputs!$E$5:$E$130=$B43)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3" s="266" t="e">
        <f>AF43</f>
        <v>#N/A</v>
      </c>
      <c r="AH43" s="265" t="e">
        <f>IF(ISNA(MATCH(AH$2,Inputs!$K$4:$AJ$4,0)),NA(),IF(SUMPRODUCT((Inputs!$A$5:$A$130=$B43)*ISNUMBER(INDEX(Inputs!$K$5:$AJ$130,0,MATCH(AH$2,Inputs!$K$4:$AJ$4,0))))+SUMPRODUCT((Inputs!$C$5:$C$130=$B43)*ISNUMBER(INDEX(Inputs!$K$5:$AJ$130,0,MATCH(AH$2,Inputs!$K$4:$AJ$4,0))))+SUMPRODUCT((Inputs!$E$5:$E$130=$B43)*ISNUMBER(INDEX(Inputs!$K$5:$AJ$130,0,MATCH(AH$2,Inputs!$K$4:$AJ$4,0))))=0,NA(),SUMPRODUCT((Inputs!$A$5:$A$130=$B43)*Inputs!$B$5:$B$130*(((Inputs!$G$5:$G$130="moeda")+(Inputs!$G$5:$G$130="acoes"))*Inputs!$B$1+((Inputs!$G$5:$G$130&lt;&gt;"moeda")*(Inputs!$G$5:$G$130&lt;&gt;"acoes")))*INDEX(Inputs!$K$5:$AJ$130,0,MATCH(AH$2,Inputs!$K$4:$AJ$4,0)))+SUMPRODUCT((Inputs!$C$5:$C$130=$B43)*Inputs!$D$5:$D$130*(((Inputs!$G$5:$G$130="moeda")+(Inputs!$G$5:$G$130="acoes"))*Inputs!$B$1+((Inputs!$G$5:$G$130&lt;&gt;"moeda")*(Inputs!$G$5:$G$130&lt;&gt;"acoes")))*INDEX(Inputs!$K$5:$AJ$130,0,MATCH(AH$2,Inputs!$K$4:$AJ$4,0)))+SUMPRODUCT((Inputs!$E$5:$E$130=$B43)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43" s="265" t="e">
        <f>IF(ISNA(MATCH(AI$2,Inputs!$K$4:$AJ$4,0)),NA(),IF(SUMPRODUCT((Inputs!$A$5:$A$130=$B43)*ISNUMBER(INDEX(Inputs!$K$5:$AJ$130,0,MATCH(AI$2,Inputs!$K$4:$AJ$4,0))))+SUMPRODUCT((Inputs!$C$5:$C$130=$B43)*ISNUMBER(INDEX(Inputs!$K$5:$AJ$130,0,MATCH(AI$2,Inputs!$K$4:$AJ$4,0))))+SUMPRODUCT((Inputs!$E$5:$E$130=$B43)*ISNUMBER(INDEX(Inputs!$K$5:$AJ$130,0,MATCH(AI$2,Inputs!$K$4:$AJ$4,0))))=0,NA(),SUMPRODUCT((Inputs!$A$5:$A$130=$B43)*Inputs!$B$5:$B$130*(((Inputs!$G$5:$G$130="moeda")+(Inputs!$G$5:$G$130="acoes"))*Inputs!$B$1+((Inputs!$G$5:$G$130&lt;&gt;"moeda")*(Inputs!$G$5:$G$130&lt;&gt;"acoes")))*INDEX(Inputs!$K$5:$AJ$130,0,MATCH(AI$2,Inputs!$K$4:$AJ$4,0)))+SUMPRODUCT((Inputs!$C$5:$C$130=$B43)*Inputs!$D$5:$D$130*(((Inputs!$G$5:$G$130="moeda")+(Inputs!$G$5:$G$130="acoes"))*Inputs!$B$1+((Inputs!$G$5:$G$130&lt;&gt;"moeda")*(Inputs!$G$5:$G$130&lt;&gt;"acoes")))*INDEX(Inputs!$K$5:$AJ$130,0,MATCH(AI$2,Inputs!$K$4:$AJ$4,0)))+SUMPRODUCT((Inputs!$E$5:$E$130=$B43)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43" s="265" t="e">
        <f>IF(ISNA(MATCH(AJ$2,Inputs!$K$4:$AJ$4,0)),NA(),IF(SUMPRODUCT((Inputs!$A$5:$A$130=$B43)*ISNUMBER(INDEX(Inputs!$K$5:$AJ$130,0,MATCH(AJ$2,Inputs!$K$4:$AJ$4,0))))+SUMPRODUCT((Inputs!$C$5:$C$130=$B43)*ISNUMBER(INDEX(Inputs!$K$5:$AJ$130,0,MATCH(AJ$2,Inputs!$K$4:$AJ$4,0))))+SUMPRODUCT((Inputs!$E$5:$E$130=$B43)*ISNUMBER(INDEX(Inputs!$K$5:$AJ$130,0,MATCH(AJ$2,Inputs!$K$4:$AJ$4,0))))=0,NA(),SUMPRODUCT((Inputs!$A$5:$A$130=$B43)*Inputs!$B$5:$B$130*(((Inputs!$G$5:$G$130="moeda")+(Inputs!$G$5:$G$130="acoes"))*Inputs!$B$1+((Inputs!$G$5:$G$130&lt;&gt;"moeda")*(Inputs!$G$5:$G$130&lt;&gt;"acoes")))*INDEX(Inputs!$K$5:$AJ$130,0,MATCH(AJ$2,Inputs!$K$4:$AJ$4,0)))+SUMPRODUCT((Inputs!$C$5:$C$130=$B43)*Inputs!$D$5:$D$130*(((Inputs!$G$5:$G$130="moeda")+(Inputs!$G$5:$G$130="acoes"))*Inputs!$B$1+((Inputs!$G$5:$G$130&lt;&gt;"moeda")*(Inputs!$G$5:$G$130&lt;&gt;"acoes")))*INDEX(Inputs!$K$5:$AJ$130,0,MATCH(AJ$2,Inputs!$K$4:$AJ$4,0)))+SUMPRODUCT((Inputs!$E$5:$E$130=$B43)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43" s="265" t="e">
        <f>IF(ISNA(MATCH(AK$2,Inputs!$K$4:$AJ$4,0)),NA(),IF(SUMPRODUCT((Inputs!$A$5:$A$130=$B43)*ISNUMBER(INDEX(Inputs!$K$5:$AJ$130,0,MATCH(AK$2,Inputs!$K$4:$AJ$4,0))))+SUMPRODUCT((Inputs!$C$5:$C$130=$B43)*ISNUMBER(INDEX(Inputs!$K$5:$AJ$130,0,MATCH(AK$2,Inputs!$K$4:$AJ$4,0))))+SUMPRODUCT((Inputs!$E$5:$E$130=$B43)*ISNUMBER(INDEX(Inputs!$K$5:$AJ$130,0,MATCH(AK$2,Inputs!$K$4:$AJ$4,0))))=0,NA(),SUMPRODUCT((Inputs!$A$5:$A$130=$B43)*Inputs!$B$5:$B$130*(((Inputs!$G$5:$G$130="moeda")+(Inputs!$G$5:$G$130="acoes"))*Inputs!$B$1+((Inputs!$G$5:$G$130&lt;&gt;"moeda")*(Inputs!$G$5:$G$130&lt;&gt;"acoes")))*INDEX(Inputs!$K$5:$AJ$130,0,MATCH(AK$2,Inputs!$K$4:$AJ$4,0)))+SUMPRODUCT((Inputs!$C$5:$C$130=$B43)*Inputs!$D$5:$D$130*(((Inputs!$G$5:$G$130="moeda")+(Inputs!$G$5:$G$130="acoes"))*Inputs!$B$1+((Inputs!$G$5:$G$130&lt;&gt;"moeda")*(Inputs!$G$5:$G$130&lt;&gt;"acoes")))*INDEX(Inputs!$K$5:$AJ$130,0,MATCH(AK$2,Inputs!$K$4:$AJ$4,0)))+SUMPRODUCT((Inputs!$E$5:$E$130=$B43)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43" s="266" t="e">
        <f>AK43</f>
        <v>#N/A</v>
      </c>
    </row>
    <row r="44" ht="12.75" customHeight="1" s="254">
      <c r="B44" s="263" t="n">
        <v>38</v>
      </c>
      <c r="C44" s="268" t="inlineStr">
        <is>
          <t>Treasury stock (contra account)</t>
        </is>
      </c>
      <c r="D44" s="265" t="e">
        <f>IF(ISNA(MATCH(D$2,Inputs!$K$4:$AJ$4,0)),NA(),IF(SUMPRODUCT((Inputs!$A$5:$A$130=$B44)*ISNUMBER(INDEX(Inputs!$K$5:$AJ$130,0,MATCH(D$2,Inputs!$K$4:$AJ$4,0))))+SUMPRODUCT((Inputs!$C$5:$C$130=$B44)*ISNUMBER(INDEX(Inputs!$K$5:$AJ$130,0,MATCH(D$2,Inputs!$K$4:$AJ$4,0))))+SUMPRODUCT((Inputs!$E$5:$E$130=$B44)*ISNUMBER(INDEX(Inputs!$K$5:$AJ$130,0,MATCH(D$2,Inputs!$K$4:$AJ$4,0))))=0,NA(),SUMPRODUCT((Inputs!$A$5:$A$130=$B44)*Inputs!$B$5:$B$130*(((Inputs!$G$5:$G$130="moeda")+(Inputs!$G$5:$G$130="acoes"))*Inputs!$B$1+((Inputs!$G$5:$G$130&lt;&gt;"moeda")*(Inputs!$G$5:$G$130&lt;&gt;"acoes")))*INDEX(Inputs!$K$5:$AJ$130,0,MATCH(D$2,Inputs!$K$4:$AJ$4,0)))+SUMPRODUCT((Inputs!$C$5:$C$130=$B44)*Inputs!$D$5:$D$130*(((Inputs!$G$5:$G$130="moeda")+(Inputs!$G$5:$G$130="acoes"))*Inputs!$B$1+((Inputs!$G$5:$G$130&lt;&gt;"moeda")*(Inputs!$G$5:$G$130&lt;&gt;"acoes")))*INDEX(Inputs!$K$5:$AJ$130,0,MATCH(D$2,Inputs!$K$4:$AJ$4,0)))+SUMPRODUCT((Inputs!$E$5:$E$130=$B44)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44" s="265" t="e">
        <f>IF(ISNA(MATCH(E$2,Inputs!$K$4:$AJ$4,0)),NA(),IF(SUMPRODUCT((Inputs!$A$5:$A$130=$B44)*ISNUMBER(INDEX(Inputs!$K$5:$AJ$130,0,MATCH(E$2,Inputs!$K$4:$AJ$4,0))))+SUMPRODUCT((Inputs!$C$5:$C$130=$B44)*ISNUMBER(INDEX(Inputs!$K$5:$AJ$130,0,MATCH(E$2,Inputs!$K$4:$AJ$4,0))))+SUMPRODUCT((Inputs!$E$5:$E$130=$B44)*ISNUMBER(INDEX(Inputs!$K$5:$AJ$130,0,MATCH(E$2,Inputs!$K$4:$AJ$4,0))))=0,NA(),SUMPRODUCT((Inputs!$A$5:$A$130=$B44)*Inputs!$B$5:$B$130*(((Inputs!$G$5:$G$130="moeda")+(Inputs!$G$5:$G$130="acoes"))*Inputs!$B$1+((Inputs!$G$5:$G$130&lt;&gt;"moeda")*(Inputs!$G$5:$G$130&lt;&gt;"acoes")))*INDEX(Inputs!$K$5:$AJ$130,0,MATCH(E$2,Inputs!$K$4:$AJ$4,0)))+SUMPRODUCT((Inputs!$C$5:$C$130=$B44)*Inputs!$D$5:$D$130*(((Inputs!$G$5:$G$130="moeda")+(Inputs!$G$5:$G$130="acoes"))*Inputs!$B$1+((Inputs!$G$5:$G$130&lt;&gt;"moeda")*(Inputs!$G$5:$G$130&lt;&gt;"acoes")))*INDEX(Inputs!$K$5:$AJ$130,0,MATCH(E$2,Inputs!$K$4:$AJ$4,0)))+SUMPRODUCT((Inputs!$E$5:$E$130=$B44)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44" s="265" t="e">
        <f>IF(ISNA(MATCH(F$2,Inputs!$K$4:$AJ$4,0)),NA(),IF(SUMPRODUCT((Inputs!$A$5:$A$130=$B44)*ISNUMBER(INDEX(Inputs!$K$5:$AJ$130,0,MATCH(F$2,Inputs!$K$4:$AJ$4,0))))+SUMPRODUCT((Inputs!$C$5:$C$130=$B44)*ISNUMBER(INDEX(Inputs!$K$5:$AJ$130,0,MATCH(F$2,Inputs!$K$4:$AJ$4,0))))+SUMPRODUCT((Inputs!$E$5:$E$130=$B44)*ISNUMBER(INDEX(Inputs!$K$5:$AJ$130,0,MATCH(F$2,Inputs!$K$4:$AJ$4,0))))=0,NA(),SUMPRODUCT((Inputs!$A$5:$A$130=$B44)*Inputs!$B$5:$B$130*(((Inputs!$G$5:$G$130="moeda")+(Inputs!$G$5:$G$130="acoes"))*Inputs!$B$1+((Inputs!$G$5:$G$130&lt;&gt;"moeda")*(Inputs!$G$5:$G$130&lt;&gt;"acoes")))*INDEX(Inputs!$K$5:$AJ$130,0,MATCH(F$2,Inputs!$K$4:$AJ$4,0)))+SUMPRODUCT((Inputs!$C$5:$C$130=$B44)*Inputs!$D$5:$D$130*(((Inputs!$G$5:$G$130="moeda")+(Inputs!$G$5:$G$130="acoes"))*Inputs!$B$1+((Inputs!$G$5:$G$130&lt;&gt;"moeda")*(Inputs!$G$5:$G$130&lt;&gt;"acoes")))*INDEX(Inputs!$K$5:$AJ$130,0,MATCH(F$2,Inputs!$K$4:$AJ$4,0)))+SUMPRODUCT((Inputs!$E$5:$E$130=$B44)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44" s="265" t="e">
        <f>IF(ISNA(MATCH(G$2,Inputs!$K$4:$AJ$4,0)),NA(),IF(SUMPRODUCT((Inputs!$A$5:$A$130=$B44)*ISNUMBER(INDEX(Inputs!$K$5:$AJ$130,0,MATCH(G$2,Inputs!$K$4:$AJ$4,0))))+SUMPRODUCT((Inputs!$C$5:$C$130=$B44)*ISNUMBER(INDEX(Inputs!$K$5:$AJ$130,0,MATCH(G$2,Inputs!$K$4:$AJ$4,0))))+SUMPRODUCT((Inputs!$E$5:$E$130=$B44)*ISNUMBER(INDEX(Inputs!$K$5:$AJ$130,0,MATCH(G$2,Inputs!$K$4:$AJ$4,0))))=0,NA(),SUMPRODUCT((Inputs!$A$5:$A$130=$B44)*Inputs!$B$5:$B$130*(((Inputs!$G$5:$G$130="moeda")+(Inputs!$G$5:$G$130="acoes"))*Inputs!$B$1+((Inputs!$G$5:$G$130&lt;&gt;"moeda")*(Inputs!$G$5:$G$130&lt;&gt;"acoes")))*INDEX(Inputs!$K$5:$AJ$130,0,MATCH(G$2,Inputs!$K$4:$AJ$4,0)))+SUMPRODUCT((Inputs!$C$5:$C$130=$B44)*Inputs!$D$5:$D$130*(((Inputs!$G$5:$G$130="moeda")+(Inputs!$G$5:$G$130="acoes"))*Inputs!$B$1+((Inputs!$G$5:$G$130&lt;&gt;"moeda")*(Inputs!$G$5:$G$130&lt;&gt;"acoes")))*INDEX(Inputs!$K$5:$AJ$130,0,MATCH(G$2,Inputs!$K$4:$AJ$4,0)))+SUMPRODUCT((Inputs!$E$5:$E$130=$B44)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44" s="266" t="e">
        <f>G44</f>
        <v>#N/A</v>
      </c>
      <c r="I44" s="265" t="e">
        <f>IF(ISNA(MATCH(I$2,Inputs!$K$4:$AJ$4,0)),NA(),IF(SUMPRODUCT((Inputs!$A$5:$A$130=$B44)*ISNUMBER(INDEX(Inputs!$K$5:$AJ$130,0,MATCH(I$2,Inputs!$K$4:$AJ$4,0))))+SUMPRODUCT((Inputs!$C$5:$C$130=$B44)*ISNUMBER(INDEX(Inputs!$K$5:$AJ$130,0,MATCH(I$2,Inputs!$K$4:$AJ$4,0))))+SUMPRODUCT((Inputs!$E$5:$E$130=$B44)*ISNUMBER(INDEX(Inputs!$K$5:$AJ$130,0,MATCH(I$2,Inputs!$K$4:$AJ$4,0))))=0,NA(),SUMPRODUCT((Inputs!$A$5:$A$130=$B44)*Inputs!$B$5:$B$130*(((Inputs!$G$5:$G$130="moeda")+(Inputs!$G$5:$G$130="acoes"))*Inputs!$B$1+((Inputs!$G$5:$G$130&lt;&gt;"moeda")*(Inputs!$G$5:$G$130&lt;&gt;"acoes")))*INDEX(Inputs!$K$5:$AJ$130,0,MATCH(I$2,Inputs!$K$4:$AJ$4,0)))+SUMPRODUCT((Inputs!$C$5:$C$130=$B44)*Inputs!$D$5:$D$130*(((Inputs!$G$5:$G$130="moeda")+(Inputs!$G$5:$G$130="acoes"))*Inputs!$B$1+((Inputs!$G$5:$G$130&lt;&gt;"moeda")*(Inputs!$G$5:$G$130&lt;&gt;"acoes")))*INDEX(Inputs!$K$5:$AJ$130,0,MATCH(I$2,Inputs!$K$4:$AJ$4,0)))+SUMPRODUCT((Inputs!$E$5:$E$130=$B44)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44" s="265" t="e">
        <f>IF(ISNA(MATCH(J$2,Inputs!$K$4:$AJ$4,0)),NA(),IF(SUMPRODUCT((Inputs!$A$5:$A$130=$B44)*ISNUMBER(INDEX(Inputs!$K$5:$AJ$130,0,MATCH(J$2,Inputs!$K$4:$AJ$4,0))))+SUMPRODUCT((Inputs!$C$5:$C$130=$B44)*ISNUMBER(INDEX(Inputs!$K$5:$AJ$130,0,MATCH(J$2,Inputs!$K$4:$AJ$4,0))))+SUMPRODUCT((Inputs!$E$5:$E$130=$B44)*ISNUMBER(INDEX(Inputs!$K$5:$AJ$130,0,MATCH(J$2,Inputs!$K$4:$AJ$4,0))))=0,NA(),SUMPRODUCT((Inputs!$A$5:$A$130=$B44)*Inputs!$B$5:$B$130*(((Inputs!$G$5:$G$130="moeda")+(Inputs!$G$5:$G$130="acoes"))*Inputs!$B$1+((Inputs!$G$5:$G$130&lt;&gt;"moeda")*(Inputs!$G$5:$G$130&lt;&gt;"acoes")))*INDEX(Inputs!$K$5:$AJ$130,0,MATCH(J$2,Inputs!$K$4:$AJ$4,0)))+SUMPRODUCT((Inputs!$C$5:$C$130=$B44)*Inputs!$D$5:$D$130*(((Inputs!$G$5:$G$130="moeda")+(Inputs!$G$5:$G$130="acoes"))*Inputs!$B$1+((Inputs!$G$5:$G$130&lt;&gt;"moeda")*(Inputs!$G$5:$G$130&lt;&gt;"acoes")))*INDEX(Inputs!$K$5:$AJ$130,0,MATCH(J$2,Inputs!$K$4:$AJ$4,0)))+SUMPRODUCT((Inputs!$E$5:$E$130=$B44)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44" s="265" t="e">
        <f>IF(ISNA(MATCH(K$2,Inputs!$K$4:$AJ$4,0)),NA(),IF(SUMPRODUCT((Inputs!$A$5:$A$130=$B44)*ISNUMBER(INDEX(Inputs!$K$5:$AJ$130,0,MATCH(K$2,Inputs!$K$4:$AJ$4,0))))+SUMPRODUCT((Inputs!$C$5:$C$130=$B44)*ISNUMBER(INDEX(Inputs!$K$5:$AJ$130,0,MATCH(K$2,Inputs!$K$4:$AJ$4,0))))+SUMPRODUCT((Inputs!$E$5:$E$130=$B44)*ISNUMBER(INDEX(Inputs!$K$5:$AJ$130,0,MATCH(K$2,Inputs!$K$4:$AJ$4,0))))=0,NA(),SUMPRODUCT((Inputs!$A$5:$A$130=$B44)*Inputs!$B$5:$B$130*(((Inputs!$G$5:$G$130="moeda")+(Inputs!$G$5:$G$130="acoes"))*Inputs!$B$1+((Inputs!$G$5:$G$130&lt;&gt;"moeda")*(Inputs!$G$5:$G$130&lt;&gt;"acoes")))*INDEX(Inputs!$K$5:$AJ$130,0,MATCH(K$2,Inputs!$K$4:$AJ$4,0)))+SUMPRODUCT((Inputs!$C$5:$C$130=$B44)*Inputs!$D$5:$D$130*(((Inputs!$G$5:$G$130="moeda")+(Inputs!$G$5:$G$130="acoes"))*Inputs!$B$1+((Inputs!$G$5:$G$130&lt;&gt;"moeda")*(Inputs!$G$5:$G$130&lt;&gt;"acoes")))*INDEX(Inputs!$K$5:$AJ$130,0,MATCH(K$2,Inputs!$K$4:$AJ$4,0)))+SUMPRODUCT((Inputs!$E$5:$E$130=$B44)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44" s="265" t="e">
        <f>IF(ISNA(MATCH(L$2,Inputs!$K$4:$AJ$4,0)),NA(),IF(SUMPRODUCT((Inputs!$A$5:$A$130=$B44)*ISNUMBER(INDEX(Inputs!$K$5:$AJ$130,0,MATCH(L$2,Inputs!$K$4:$AJ$4,0))))+SUMPRODUCT((Inputs!$C$5:$C$130=$B44)*ISNUMBER(INDEX(Inputs!$K$5:$AJ$130,0,MATCH(L$2,Inputs!$K$4:$AJ$4,0))))+SUMPRODUCT((Inputs!$E$5:$E$130=$B44)*ISNUMBER(INDEX(Inputs!$K$5:$AJ$130,0,MATCH(L$2,Inputs!$K$4:$AJ$4,0))))=0,NA(),SUMPRODUCT((Inputs!$A$5:$A$130=$B44)*Inputs!$B$5:$B$130*(((Inputs!$G$5:$G$130="moeda")+(Inputs!$G$5:$G$130="acoes"))*Inputs!$B$1+((Inputs!$G$5:$G$130&lt;&gt;"moeda")*(Inputs!$G$5:$G$130&lt;&gt;"acoes")))*INDEX(Inputs!$K$5:$AJ$130,0,MATCH(L$2,Inputs!$K$4:$AJ$4,0)))+SUMPRODUCT((Inputs!$C$5:$C$130=$B44)*Inputs!$D$5:$D$130*(((Inputs!$G$5:$G$130="moeda")+(Inputs!$G$5:$G$130="acoes"))*Inputs!$B$1+((Inputs!$G$5:$G$130&lt;&gt;"moeda")*(Inputs!$G$5:$G$130&lt;&gt;"acoes")))*INDEX(Inputs!$K$5:$AJ$130,0,MATCH(L$2,Inputs!$K$4:$AJ$4,0)))+SUMPRODUCT((Inputs!$E$5:$E$130=$B44)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44" s="266" t="e">
        <f>L44</f>
        <v>#N/A</v>
      </c>
      <c r="N44" s="265" t="e">
        <f>IF(ISNA(MATCH(N$2,Inputs!$K$4:$AJ$4,0)),NA(),IF(SUMPRODUCT((Inputs!$A$5:$A$130=$B44)*ISNUMBER(INDEX(Inputs!$K$5:$AJ$130,0,MATCH(N$2,Inputs!$K$4:$AJ$4,0))))+SUMPRODUCT((Inputs!$C$5:$C$130=$B44)*ISNUMBER(INDEX(Inputs!$K$5:$AJ$130,0,MATCH(N$2,Inputs!$K$4:$AJ$4,0))))+SUMPRODUCT((Inputs!$E$5:$E$130=$B44)*ISNUMBER(INDEX(Inputs!$K$5:$AJ$130,0,MATCH(N$2,Inputs!$K$4:$AJ$4,0))))=0,NA(),SUMPRODUCT((Inputs!$A$5:$A$130=$B44)*Inputs!$B$5:$B$130*(((Inputs!$G$5:$G$130="moeda")+(Inputs!$G$5:$G$130="acoes"))*Inputs!$B$1+((Inputs!$G$5:$G$130&lt;&gt;"moeda")*(Inputs!$G$5:$G$130&lt;&gt;"acoes")))*INDEX(Inputs!$K$5:$AJ$130,0,MATCH(N$2,Inputs!$K$4:$AJ$4,0)))+SUMPRODUCT((Inputs!$C$5:$C$130=$B44)*Inputs!$D$5:$D$130*(((Inputs!$G$5:$G$130="moeda")+(Inputs!$G$5:$G$130="acoes"))*Inputs!$B$1+((Inputs!$G$5:$G$130&lt;&gt;"moeda")*(Inputs!$G$5:$G$130&lt;&gt;"acoes")))*INDEX(Inputs!$K$5:$AJ$130,0,MATCH(N$2,Inputs!$K$4:$AJ$4,0)))+SUMPRODUCT((Inputs!$E$5:$E$130=$B44)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44" s="265" t="e">
        <f>IF(ISNA(MATCH(O$2,Inputs!$K$4:$AJ$4,0)),NA(),IF(SUMPRODUCT((Inputs!$A$5:$A$130=$B44)*ISNUMBER(INDEX(Inputs!$K$5:$AJ$130,0,MATCH(O$2,Inputs!$K$4:$AJ$4,0))))+SUMPRODUCT((Inputs!$C$5:$C$130=$B44)*ISNUMBER(INDEX(Inputs!$K$5:$AJ$130,0,MATCH(O$2,Inputs!$K$4:$AJ$4,0))))+SUMPRODUCT((Inputs!$E$5:$E$130=$B44)*ISNUMBER(INDEX(Inputs!$K$5:$AJ$130,0,MATCH(O$2,Inputs!$K$4:$AJ$4,0))))=0,NA(),SUMPRODUCT((Inputs!$A$5:$A$130=$B44)*Inputs!$B$5:$B$130*(((Inputs!$G$5:$G$130="moeda")+(Inputs!$G$5:$G$130="acoes"))*Inputs!$B$1+((Inputs!$G$5:$G$130&lt;&gt;"moeda")*(Inputs!$G$5:$G$130&lt;&gt;"acoes")))*INDEX(Inputs!$K$5:$AJ$130,0,MATCH(O$2,Inputs!$K$4:$AJ$4,0)))+SUMPRODUCT((Inputs!$C$5:$C$130=$B44)*Inputs!$D$5:$D$130*(((Inputs!$G$5:$G$130="moeda")+(Inputs!$G$5:$G$130="acoes"))*Inputs!$B$1+((Inputs!$G$5:$G$130&lt;&gt;"moeda")*(Inputs!$G$5:$G$130&lt;&gt;"acoes")))*INDEX(Inputs!$K$5:$AJ$130,0,MATCH(O$2,Inputs!$K$4:$AJ$4,0)))+SUMPRODUCT((Inputs!$E$5:$E$130=$B44)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44" s="265" t="e">
        <f>IF(ISNA(MATCH(P$2,Inputs!$K$4:$AJ$4,0)),NA(),IF(SUMPRODUCT((Inputs!$A$5:$A$130=$B44)*ISNUMBER(INDEX(Inputs!$K$5:$AJ$130,0,MATCH(P$2,Inputs!$K$4:$AJ$4,0))))+SUMPRODUCT((Inputs!$C$5:$C$130=$B44)*ISNUMBER(INDEX(Inputs!$K$5:$AJ$130,0,MATCH(P$2,Inputs!$K$4:$AJ$4,0))))+SUMPRODUCT((Inputs!$E$5:$E$130=$B44)*ISNUMBER(INDEX(Inputs!$K$5:$AJ$130,0,MATCH(P$2,Inputs!$K$4:$AJ$4,0))))=0,NA(),SUMPRODUCT((Inputs!$A$5:$A$130=$B44)*Inputs!$B$5:$B$130*(((Inputs!$G$5:$G$130="moeda")+(Inputs!$G$5:$G$130="acoes"))*Inputs!$B$1+((Inputs!$G$5:$G$130&lt;&gt;"moeda")*(Inputs!$G$5:$G$130&lt;&gt;"acoes")))*INDEX(Inputs!$K$5:$AJ$130,0,MATCH(P$2,Inputs!$K$4:$AJ$4,0)))+SUMPRODUCT((Inputs!$C$5:$C$130=$B44)*Inputs!$D$5:$D$130*(((Inputs!$G$5:$G$130="moeda")+(Inputs!$G$5:$G$130="acoes"))*Inputs!$B$1+((Inputs!$G$5:$G$130&lt;&gt;"moeda")*(Inputs!$G$5:$G$130&lt;&gt;"acoes")))*INDEX(Inputs!$K$5:$AJ$130,0,MATCH(P$2,Inputs!$K$4:$AJ$4,0)))+SUMPRODUCT((Inputs!$E$5:$E$130=$B44)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44" s="265" t="e">
        <f>IF(ISNA(MATCH(Q$2,Inputs!$K$4:$AJ$4,0)),NA(),IF(SUMPRODUCT((Inputs!$A$5:$A$130=$B44)*ISNUMBER(INDEX(Inputs!$K$5:$AJ$130,0,MATCH(Q$2,Inputs!$K$4:$AJ$4,0))))+SUMPRODUCT((Inputs!$C$5:$C$130=$B44)*ISNUMBER(INDEX(Inputs!$K$5:$AJ$130,0,MATCH(Q$2,Inputs!$K$4:$AJ$4,0))))+SUMPRODUCT((Inputs!$E$5:$E$130=$B44)*ISNUMBER(INDEX(Inputs!$K$5:$AJ$130,0,MATCH(Q$2,Inputs!$K$4:$AJ$4,0))))=0,NA(),SUMPRODUCT((Inputs!$A$5:$A$130=$B44)*Inputs!$B$5:$B$130*(((Inputs!$G$5:$G$130="moeda")+(Inputs!$G$5:$G$130="acoes"))*Inputs!$B$1+((Inputs!$G$5:$G$130&lt;&gt;"moeda")*(Inputs!$G$5:$G$130&lt;&gt;"acoes")))*INDEX(Inputs!$K$5:$AJ$130,0,MATCH(Q$2,Inputs!$K$4:$AJ$4,0)))+SUMPRODUCT((Inputs!$C$5:$C$130=$B44)*Inputs!$D$5:$D$130*(((Inputs!$G$5:$G$130="moeda")+(Inputs!$G$5:$G$130="acoes"))*Inputs!$B$1+((Inputs!$G$5:$G$130&lt;&gt;"moeda")*(Inputs!$G$5:$G$130&lt;&gt;"acoes")))*INDEX(Inputs!$K$5:$AJ$130,0,MATCH(Q$2,Inputs!$K$4:$AJ$4,0)))+SUMPRODUCT((Inputs!$E$5:$E$130=$B44)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44" s="266" t="e">
        <f>Q44</f>
        <v>#N/A</v>
      </c>
      <c r="S44" s="265" t="e">
        <f>IF(ISNA(MATCH(S$2,Inputs!$K$4:$AJ$4,0)),NA(),IF(SUMPRODUCT((Inputs!$A$5:$A$130=$B44)*ISNUMBER(INDEX(Inputs!$K$5:$AJ$130,0,MATCH(S$2,Inputs!$K$4:$AJ$4,0))))+SUMPRODUCT((Inputs!$C$5:$C$130=$B44)*ISNUMBER(INDEX(Inputs!$K$5:$AJ$130,0,MATCH(S$2,Inputs!$K$4:$AJ$4,0))))+SUMPRODUCT((Inputs!$E$5:$E$130=$B44)*ISNUMBER(INDEX(Inputs!$K$5:$AJ$130,0,MATCH(S$2,Inputs!$K$4:$AJ$4,0))))=0,NA(),SUMPRODUCT((Inputs!$A$5:$A$130=$B44)*Inputs!$B$5:$B$130*(((Inputs!$G$5:$G$130="moeda")+(Inputs!$G$5:$G$130="acoes"))*Inputs!$B$1+((Inputs!$G$5:$G$130&lt;&gt;"moeda")*(Inputs!$G$5:$G$130&lt;&gt;"acoes")))*INDEX(Inputs!$K$5:$AJ$130,0,MATCH(S$2,Inputs!$K$4:$AJ$4,0)))+SUMPRODUCT((Inputs!$C$5:$C$130=$B44)*Inputs!$D$5:$D$130*(((Inputs!$G$5:$G$130="moeda")+(Inputs!$G$5:$G$130="acoes"))*Inputs!$B$1+((Inputs!$G$5:$G$130&lt;&gt;"moeda")*(Inputs!$G$5:$G$130&lt;&gt;"acoes")))*INDEX(Inputs!$K$5:$AJ$130,0,MATCH(S$2,Inputs!$K$4:$AJ$4,0)))+SUMPRODUCT((Inputs!$E$5:$E$130=$B44)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44" s="265" t="e">
        <f>IF(ISNA(MATCH(T$2,Inputs!$K$4:$AJ$4,0)),NA(),IF(SUMPRODUCT((Inputs!$A$5:$A$130=$B44)*ISNUMBER(INDEX(Inputs!$K$5:$AJ$130,0,MATCH(T$2,Inputs!$K$4:$AJ$4,0))))+SUMPRODUCT((Inputs!$C$5:$C$130=$B44)*ISNUMBER(INDEX(Inputs!$K$5:$AJ$130,0,MATCH(T$2,Inputs!$K$4:$AJ$4,0))))+SUMPRODUCT((Inputs!$E$5:$E$130=$B44)*ISNUMBER(INDEX(Inputs!$K$5:$AJ$130,0,MATCH(T$2,Inputs!$K$4:$AJ$4,0))))=0,NA(),SUMPRODUCT((Inputs!$A$5:$A$130=$B44)*Inputs!$B$5:$B$130*(((Inputs!$G$5:$G$130="moeda")+(Inputs!$G$5:$G$130="acoes"))*Inputs!$B$1+((Inputs!$G$5:$G$130&lt;&gt;"moeda")*(Inputs!$G$5:$G$130&lt;&gt;"acoes")))*INDEX(Inputs!$K$5:$AJ$130,0,MATCH(T$2,Inputs!$K$4:$AJ$4,0)))+SUMPRODUCT((Inputs!$C$5:$C$130=$B44)*Inputs!$D$5:$D$130*(((Inputs!$G$5:$G$130="moeda")+(Inputs!$G$5:$G$130="acoes"))*Inputs!$B$1+((Inputs!$G$5:$G$130&lt;&gt;"moeda")*(Inputs!$G$5:$G$130&lt;&gt;"acoes")))*INDEX(Inputs!$K$5:$AJ$130,0,MATCH(T$2,Inputs!$K$4:$AJ$4,0)))+SUMPRODUCT((Inputs!$E$5:$E$130=$B44)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44" s="265" t="e">
        <f>IF(ISNA(MATCH(U$2,Inputs!$K$4:$AJ$4,0)),NA(),IF(SUMPRODUCT((Inputs!$A$5:$A$130=$B44)*ISNUMBER(INDEX(Inputs!$K$5:$AJ$130,0,MATCH(U$2,Inputs!$K$4:$AJ$4,0))))+SUMPRODUCT((Inputs!$C$5:$C$130=$B44)*ISNUMBER(INDEX(Inputs!$K$5:$AJ$130,0,MATCH(U$2,Inputs!$K$4:$AJ$4,0))))+SUMPRODUCT((Inputs!$E$5:$E$130=$B44)*ISNUMBER(INDEX(Inputs!$K$5:$AJ$130,0,MATCH(U$2,Inputs!$K$4:$AJ$4,0))))=0,NA(),SUMPRODUCT((Inputs!$A$5:$A$130=$B44)*Inputs!$B$5:$B$130*(((Inputs!$G$5:$G$130="moeda")+(Inputs!$G$5:$G$130="acoes"))*Inputs!$B$1+((Inputs!$G$5:$G$130&lt;&gt;"moeda")*(Inputs!$G$5:$G$130&lt;&gt;"acoes")))*INDEX(Inputs!$K$5:$AJ$130,0,MATCH(U$2,Inputs!$K$4:$AJ$4,0)))+SUMPRODUCT((Inputs!$C$5:$C$130=$B44)*Inputs!$D$5:$D$130*(((Inputs!$G$5:$G$130="moeda")+(Inputs!$G$5:$G$130="acoes"))*Inputs!$B$1+((Inputs!$G$5:$G$130&lt;&gt;"moeda")*(Inputs!$G$5:$G$130&lt;&gt;"acoes")))*INDEX(Inputs!$K$5:$AJ$130,0,MATCH(U$2,Inputs!$K$4:$AJ$4,0)))+SUMPRODUCT((Inputs!$E$5:$E$130=$B44)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44" s="265" t="e">
        <f>IF(ISNA(MATCH(V$2,Inputs!$K$4:$AJ$4,0)),NA(),IF(SUMPRODUCT((Inputs!$A$5:$A$130=$B44)*ISNUMBER(INDEX(Inputs!$K$5:$AJ$130,0,MATCH(V$2,Inputs!$K$4:$AJ$4,0))))+SUMPRODUCT((Inputs!$C$5:$C$130=$B44)*ISNUMBER(INDEX(Inputs!$K$5:$AJ$130,0,MATCH(V$2,Inputs!$K$4:$AJ$4,0))))+SUMPRODUCT((Inputs!$E$5:$E$130=$B44)*ISNUMBER(INDEX(Inputs!$K$5:$AJ$130,0,MATCH(V$2,Inputs!$K$4:$AJ$4,0))))=0,NA(),SUMPRODUCT((Inputs!$A$5:$A$130=$B44)*Inputs!$B$5:$B$130*(((Inputs!$G$5:$G$130="moeda")+(Inputs!$G$5:$G$130="acoes"))*Inputs!$B$1+((Inputs!$G$5:$G$130&lt;&gt;"moeda")*(Inputs!$G$5:$G$130&lt;&gt;"acoes")))*INDEX(Inputs!$K$5:$AJ$130,0,MATCH(V$2,Inputs!$K$4:$AJ$4,0)))+SUMPRODUCT((Inputs!$C$5:$C$130=$B44)*Inputs!$D$5:$D$130*(((Inputs!$G$5:$G$130="moeda")+(Inputs!$G$5:$G$130="acoes"))*Inputs!$B$1+((Inputs!$G$5:$G$130&lt;&gt;"moeda")*(Inputs!$G$5:$G$130&lt;&gt;"acoes")))*INDEX(Inputs!$K$5:$AJ$130,0,MATCH(V$2,Inputs!$K$4:$AJ$4,0)))+SUMPRODUCT((Inputs!$E$5:$E$130=$B44)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44" s="266" t="e">
        <f>V44</f>
        <v>#N/A</v>
      </c>
      <c r="X44" s="265" t="e">
        <f>IF(ISNA(MATCH(X$2,Inputs!$K$4:$AJ$4,0)),NA(),IF(SUMPRODUCT((Inputs!$A$5:$A$130=$B44)*ISNUMBER(INDEX(Inputs!$K$5:$AJ$130,0,MATCH(X$2,Inputs!$K$4:$AJ$4,0))))+SUMPRODUCT((Inputs!$C$5:$C$130=$B44)*ISNUMBER(INDEX(Inputs!$K$5:$AJ$130,0,MATCH(X$2,Inputs!$K$4:$AJ$4,0))))+SUMPRODUCT((Inputs!$E$5:$E$130=$B44)*ISNUMBER(INDEX(Inputs!$K$5:$AJ$130,0,MATCH(X$2,Inputs!$K$4:$AJ$4,0))))=0,NA(),SUMPRODUCT((Inputs!$A$5:$A$130=$B44)*Inputs!$B$5:$B$130*(((Inputs!$G$5:$G$130="moeda")+(Inputs!$G$5:$G$130="acoes"))*Inputs!$B$1+((Inputs!$G$5:$G$130&lt;&gt;"moeda")*(Inputs!$G$5:$G$130&lt;&gt;"acoes")))*INDEX(Inputs!$K$5:$AJ$130,0,MATCH(X$2,Inputs!$K$4:$AJ$4,0)))+SUMPRODUCT((Inputs!$C$5:$C$130=$B44)*Inputs!$D$5:$D$130*(((Inputs!$G$5:$G$130="moeda")+(Inputs!$G$5:$G$130="acoes"))*Inputs!$B$1+((Inputs!$G$5:$G$130&lt;&gt;"moeda")*(Inputs!$G$5:$G$130&lt;&gt;"acoes")))*INDEX(Inputs!$K$5:$AJ$130,0,MATCH(X$2,Inputs!$K$4:$AJ$4,0)))+SUMPRODUCT((Inputs!$E$5:$E$130=$B44)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44" s="265" t="e">
        <f>IF(ISNA(MATCH(Y$2,Inputs!$K$4:$AJ$4,0)),NA(),IF(SUMPRODUCT((Inputs!$A$5:$A$130=$B44)*ISNUMBER(INDEX(Inputs!$K$5:$AJ$130,0,MATCH(Y$2,Inputs!$K$4:$AJ$4,0))))+SUMPRODUCT((Inputs!$C$5:$C$130=$B44)*ISNUMBER(INDEX(Inputs!$K$5:$AJ$130,0,MATCH(Y$2,Inputs!$K$4:$AJ$4,0))))+SUMPRODUCT((Inputs!$E$5:$E$130=$B44)*ISNUMBER(INDEX(Inputs!$K$5:$AJ$130,0,MATCH(Y$2,Inputs!$K$4:$AJ$4,0))))=0,NA(),SUMPRODUCT((Inputs!$A$5:$A$130=$B44)*Inputs!$B$5:$B$130*(((Inputs!$G$5:$G$130="moeda")+(Inputs!$G$5:$G$130="acoes"))*Inputs!$B$1+((Inputs!$G$5:$G$130&lt;&gt;"moeda")*(Inputs!$G$5:$G$130&lt;&gt;"acoes")))*INDEX(Inputs!$K$5:$AJ$130,0,MATCH(Y$2,Inputs!$K$4:$AJ$4,0)))+SUMPRODUCT((Inputs!$C$5:$C$130=$B44)*Inputs!$D$5:$D$130*(((Inputs!$G$5:$G$130="moeda")+(Inputs!$G$5:$G$130="acoes"))*Inputs!$B$1+((Inputs!$G$5:$G$130&lt;&gt;"moeda")*(Inputs!$G$5:$G$130&lt;&gt;"acoes")))*INDEX(Inputs!$K$5:$AJ$130,0,MATCH(Y$2,Inputs!$K$4:$AJ$4,0)))+SUMPRODUCT((Inputs!$E$5:$E$130=$B44)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44" s="265" t="e">
        <f>IF(ISNA(MATCH(Z$2,Inputs!$K$4:$AJ$4,0)),NA(),IF(SUMPRODUCT((Inputs!$A$5:$A$130=$B44)*ISNUMBER(INDEX(Inputs!$K$5:$AJ$130,0,MATCH(Z$2,Inputs!$K$4:$AJ$4,0))))+SUMPRODUCT((Inputs!$C$5:$C$130=$B44)*ISNUMBER(INDEX(Inputs!$K$5:$AJ$130,0,MATCH(Z$2,Inputs!$K$4:$AJ$4,0))))+SUMPRODUCT((Inputs!$E$5:$E$130=$B44)*ISNUMBER(INDEX(Inputs!$K$5:$AJ$130,0,MATCH(Z$2,Inputs!$K$4:$AJ$4,0))))=0,NA(),SUMPRODUCT((Inputs!$A$5:$A$130=$B44)*Inputs!$B$5:$B$130*(((Inputs!$G$5:$G$130="moeda")+(Inputs!$G$5:$G$130="acoes"))*Inputs!$B$1+((Inputs!$G$5:$G$130&lt;&gt;"moeda")*(Inputs!$G$5:$G$130&lt;&gt;"acoes")))*INDEX(Inputs!$K$5:$AJ$130,0,MATCH(Z$2,Inputs!$K$4:$AJ$4,0)))+SUMPRODUCT((Inputs!$C$5:$C$130=$B44)*Inputs!$D$5:$D$130*(((Inputs!$G$5:$G$130="moeda")+(Inputs!$G$5:$G$130="acoes"))*Inputs!$B$1+((Inputs!$G$5:$G$130&lt;&gt;"moeda")*(Inputs!$G$5:$G$130&lt;&gt;"acoes")))*INDEX(Inputs!$K$5:$AJ$130,0,MATCH(Z$2,Inputs!$K$4:$AJ$4,0)))+SUMPRODUCT((Inputs!$E$5:$E$130=$B44)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44" s="265" t="e">
        <f>IF(ISNA(MATCH(AA$2,Inputs!$K$4:$AJ$4,0)),NA(),IF(SUMPRODUCT((Inputs!$A$5:$A$130=$B44)*ISNUMBER(INDEX(Inputs!$K$5:$AJ$130,0,MATCH(AA$2,Inputs!$K$4:$AJ$4,0))))+SUMPRODUCT((Inputs!$C$5:$C$130=$B44)*ISNUMBER(INDEX(Inputs!$K$5:$AJ$130,0,MATCH(AA$2,Inputs!$K$4:$AJ$4,0))))+SUMPRODUCT((Inputs!$E$5:$E$130=$B44)*ISNUMBER(INDEX(Inputs!$K$5:$AJ$130,0,MATCH(AA$2,Inputs!$K$4:$AJ$4,0))))=0,NA(),SUMPRODUCT((Inputs!$A$5:$A$130=$B44)*Inputs!$B$5:$B$130*(((Inputs!$G$5:$G$130="moeda")+(Inputs!$G$5:$G$130="acoes"))*Inputs!$B$1+((Inputs!$G$5:$G$130&lt;&gt;"moeda")*(Inputs!$G$5:$G$130&lt;&gt;"acoes")))*INDEX(Inputs!$K$5:$AJ$130,0,MATCH(AA$2,Inputs!$K$4:$AJ$4,0)))+SUMPRODUCT((Inputs!$C$5:$C$130=$B44)*Inputs!$D$5:$D$130*(((Inputs!$G$5:$G$130="moeda")+(Inputs!$G$5:$G$130="acoes"))*Inputs!$B$1+((Inputs!$G$5:$G$130&lt;&gt;"moeda")*(Inputs!$G$5:$G$130&lt;&gt;"acoes")))*INDEX(Inputs!$K$5:$AJ$130,0,MATCH(AA$2,Inputs!$K$4:$AJ$4,0)))+SUMPRODUCT((Inputs!$E$5:$E$130=$B44)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44" s="266" t="e">
        <f>AA44</f>
        <v>#N/A</v>
      </c>
      <c r="AC44" s="265" t="e">
        <f>IF(ISNA(MATCH(AC$2,Inputs!$K$4:$AJ$4,0)),NA(),IF(SUMPRODUCT((Inputs!$A$5:$A$130=$B44)*ISNUMBER(INDEX(Inputs!$K$5:$AJ$130,0,MATCH(AC$2,Inputs!$K$4:$AJ$4,0))))+SUMPRODUCT((Inputs!$C$5:$C$130=$B44)*ISNUMBER(INDEX(Inputs!$K$5:$AJ$130,0,MATCH(AC$2,Inputs!$K$4:$AJ$4,0))))+SUMPRODUCT((Inputs!$E$5:$E$130=$B44)*ISNUMBER(INDEX(Inputs!$K$5:$AJ$130,0,MATCH(AC$2,Inputs!$K$4:$AJ$4,0))))=0,NA(),SUMPRODUCT((Inputs!$A$5:$A$130=$B44)*Inputs!$B$5:$B$130*(((Inputs!$G$5:$G$130="moeda")+(Inputs!$G$5:$G$130="acoes"))*Inputs!$B$1+((Inputs!$G$5:$G$130&lt;&gt;"moeda")*(Inputs!$G$5:$G$130&lt;&gt;"acoes")))*INDEX(Inputs!$K$5:$AJ$130,0,MATCH(AC$2,Inputs!$K$4:$AJ$4,0)))+SUMPRODUCT((Inputs!$C$5:$C$130=$B44)*Inputs!$D$5:$D$130*(((Inputs!$G$5:$G$130="moeda")+(Inputs!$G$5:$G$130="acoes"))*Inputs!$B$1+((Inputs!$G$5:$G$130&lt;&gt;"moeda")*(Inputs!$G$5:$G$130&lt;&gt;"acoes")))*INDEX(Inputs!$K$5:$AJ$130,0,MATCH(AC$2,Inputs!$K$4:$AJ$4,0)))+SUMPRODUCT((Inputs!$E$5:$E$130=$B44)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44" s="265" t="e">
        <f>IF(ISNA(MATCH(AD$2,Inputs!$K$4:$AJ$4,0)),NA(),IF(SUMPRODUCT((Inputs!$A$5:$A$130=$B44)*ISNUMBER(INDEX(Inputs!$K$5:$AJ$130,0,MATCH(AD$2,Inputs!$K$4:$AJ$4,0))))+SUMPRODUCT((Inputs!$C$5:$C$130=$B44)*ISNUMBER(INDEX(Inputs!$K$5:$AJ$130,0,MATCH(AD$2,Inputs!$K$4:$AJ$4,0))))+SUMPRODUCT((Inputs!$E$5:$E$130=$B44)*ISNUMBER(INDEX(Inputs!$K$5:$AJ$130,0,MATCH(AD$2,Inputs!$K$4:$AJ$4,0))))=0,NA(),SUMPRODUCT((Inputs!$A$5:$A$130=$B44)*Inputs!$B$5:$B$130*(((Inputs!$G$5:$G$130="moeda")+(Inputs!$G$5:$G$130="acoes"))*Inputs!$B$1+((Inputs!$G$5:$G$130&lt;&gt;"moeda")*(Inputs!$G$5:$G$130&lt;&gt;"acoes")))*INDEX(Inputs!$K$5:$AJ$130,0,MATCH(AD$2,Inputs!$K$4:$AJ$4,0)))+SUMPRODUCT((Inputs!$C$5:$C$130=$B44)*Inputs!$D$5:$D$130*(((Inputs!$G$5:$G$130="moeda")+(Inputs!$G$5:$G$130="acoes"))*Inputs!$B$1+((Inputs!$G$5:$G$130&lt;&gt;"moeda")*(Inputs!$G$5:$G$130&lt;&gt;"acoes")))*INDEX(Inputs!$K$5:$AJ$130,0,MATCH(AD$2,Inputs!$K$4:$AJ$4,0)))+SUMPRODUCT((Inputs!$E$5:$E$130=$B44)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44" s="265" t="e">
        <f>IF(ISNA(MATCH(AE$2,Inputs!$K$4:$AJ$4,0)),NA(),IF(SUMPRODUCT((Inputs!$A$5:$A$130=$B44)*ISNUMBER(INDEX(Inputs!$K$5:$AJ$130,0,MATCH(AE$2,Inputs!$K$4:$AJ$4,0))))+SUMPRODUCT((Inputs!$C$5:$C$130=$B44)*ISNUMBER(INDEX(Inputs!$K$5:$AJ$130,0,MATCH(AE$2,Inputs!$K$4:$AJ$4,0))))+SUMPRODUCT((Inputs!$E$5:$E$130=$B44)*ISNUMBER(INDEX(Inputs!$K$5:$AJ$130,0,MATCH(AE$2,Inputs!$K$4:$AJ$4,0))))=0,NA(),SUMPRODUCT((Inputs!$A$5:$A$130=$B44)*Inputs!$B$5:$B$130*(((Inputs!$G$5:$G$130="moeda")+(Inputs!$G$5:$G$130="acoes"))*Inputs!$B$1+((Inputs!$G$5:$G$130&lt;&gt;"moeda")*(Inputs!$G$5:$G$130&lt;&gt;"acoes")))*INDEX(Inputs!$K$5:$AJ$130,0,MATCH(AE$2,Inputs!$K$4:$AJ$4,0)))+SUMPRODUCT((Inputs!$C$5:$C$130=$B44)*Inputs!$D$5:$D$130*(((Inputs!$G$5:$G$130="moeda")+(Inputs!$G$5:$G$130="acoes"))*Inputs!$B$1+((Inputs!$G$5:$G$130&lt;&gt;"moeda")*(Inputs!$G$5:$G$130&lt;&gt;"acoes")))*INDEX(Inputs!$K$5:$AJ$130,0,MATCH(AE$2,Inputs!$K$4:$AJ$4,0)))+SUMPRODUCT((Inputs!$E$5:$E$130=$B44)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4" s="265" t="e">
        <f>IF(ISNA(MATCH(AF$2,Inputs!$K$4:$AJ$4,0)),NA(),IF(SUMPRODUCT((Inputs!$A$5:$A$130=$B44)*ISNUMBER(INDEX(Inputs!$K$5:$AJ$130,0,MATCH(AF$2,Inputs!$K$4:$AJ$4,0))))+SUMPRODUCT((Inputs!$C$5:$C$130=$B44)*ISNUMBER(INDEX(Inputs!$K$5:$AJ$130,0,MATCH(AF$2,Inputs!$K$4:$AJ$4,0))))+SUMPRODUCT((Inputs!$E$5:$E$130=$B44)*ISNUMBER(INDEX(Inputs!$K$5:$AJ$130,0,MATCH(AF$2,Inputs!$K$4:$AJ$4,0))))=0,NA(),SUMPRODUCT((Inputs!$A$5:$A$130=$B44)*Inputs!$B$5:$B$130*(((Inputs!$G$5:$G$130="moeda")+(Inputs!$G$5:$G$130="acoes"))*Inputs!$B$1+((Inputs!$G$5:$G$130&lt;&gt;"moeda")*(Inputs!$G$5:$G$130&lt;&gt;"acoes")))*INDEX(Inputs!$K$5:$AJ$130,0,MATCH(AF$2,Inputs!$K$4:$AJ$4,0)))+SUMPRODUCT((Inputs!$C$5:$C$130=$B44)*Inputs!$D$5:$D$130*(((Inputs!$G$5:$G$130="moeda")+(Inputs!$G$5:$G$130="acoes"))*Inputs!$B$1+((Inputs!$G$5:$G$130&lt;&gt;"moeda")*(Inputs!$G$5:$G$130&lt;&gt;"acoes")))*INDEX(Inputs!$K$5:$AJ$130,0,MATCH(AF$2,Inputs!$K$4:$AJ$4,0)))+SUMPRODUCT((Inputs!$E$5:$E$130=$B44)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4" s="266" t="e">
        <f>AF44</f>
        <v>#N/A</v>
      </c>
      <c r="AH44" s="265" t="e">
        <f>IF(ISNA(MATCH(AH$2,Inputs!$K$4:$AJ$4,0)),NA(),IF(SUMPRODUCT((Inputs!$A$5:$A$130=$B44)*ISNUMBER(INDEX(Inputs!$K$5:$AJ$130,0,MATCH(AH$2,Inputs!$K$4:$AJ$4,0))))+SUMPRODUCT((Inputs!$C$5:$C$130=$B44)*ISNUMBER(INDEX(Inputs!$K$5:$AJ$130,0,MATCH(AH$2,Inputs!$K$4:$AJ$4,0))))+SUMPRODUCT((Inputs!$E$5:$E$130=$B44)*ISNUMBER(INDEX(Inputs!$K$5:$AJ$130,0,MATCH(AH$2,Inputs!$K$4:$AJ$4,0))))=0,NA(),SUMPRODUCT((Inputs!$A$5:$A$130=$B44)*Inputs!$B$5:$B$130*(((Inputs!$G$5:$G$130="moeda")+(Inputs!$G$5:$G$130="acoes"))*Inputs!$B$1+((Inputs!$G$5:$G$130&lt;&gt;"moeda")*(Inputs!$G$5:$G$130&lt;&gt;"acoes")))*INDEX(Inputs!$K$5:$AJ$130,0,MATCH(AH$2,Inputs!$K$4:$AJ$4,0)))+SUMPRODUCT((Inputs!$C$5:$C$130=$B44)*Inputs!$D$5:$D$130*(((Inputs!$G$5:$G$130="moeda")+(Inputs!$G$5:$G$130="acoes"))*Inputs!$B$1+((Inputs!$G$5:$G$130&lt;&gt;"moeda")*(Inputs!$G$5:$G$130&lt;&gt;"acoes")))*INDEX(Inputs!$K$5:$AJ$130,0,MATCH(AH$2,Inputs!$K$4:$AJ$4,0)))+SUMPRODUCT((Inputs!$E$5:$E$130=$B44)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44" s="265" t="e">
        <f>IF(ISNA(MATCH(AI$2,Inputs!$K$4:$AJ$4,0)),NA(),IF(SUMPRODUCT((Inputs!$A$5:$A$130=$B44)*ISNUMBER(INDEX(Inputs!$K$5:$AJ$130,0,MATCH(AI$2,Inputs!$K$4:$AJ$4,0))))+SUMPRODUCT((Inputs!$C$5:$C$130=$B44)*ISNUMBER(INDEX(Inputs!$K$5:$AJ$130,0,MATCH(AI$2,Inputs!$K$4:$AJ$4,0))))+SUMPRODUCT((Inputs!$E$5:$E$130=$B44)*ISNUMBER(INDEX(Inputs!$K$5:$AJ$130,0,MATCH(AI$2,Inputs!$K$4:$AJ$4,0))))=0,NA(),SUMPRODUCT((Inputs!$A$5:$A$130=$B44)*Inputs!$B$5:$B$130*(((Inputs!$G$5:$G$130="moeda")+(Inputs!$G$5:$G$130="acoes"))*Inputs!$B$1+((Inputs!$G$5:$G$130&lt;&gt;"moeda")*(Inputs!$G$5:$G$130&lt;&gt;"acoes")))*INDEX(Inputs!$K$5:$AJ$130,0,MATCH(AI$2,Inputs!$K$4:$AJ$4,0)))+SUMPRODUCT((Inputs!$C$5:$C$130=$B44)*Inputs!$D$5:$D$130*(((Inputs!$G$5:$G$130="moeda")+(Inputs!$G$5:$G$130="acoes"))*Inputs!$B$1+((Inputs!$G$5:$G$130&lt;&gt;"moeda")*(Inputs!$G$5:$G$130&lt;&gt;"acoes")))*INDEX(Inputs!$K$5:$AJ$130,0,MATCH(AI$2,Inputs!$K$4:$AJ$4,0)))+SUMPRODUCT((Inputs!$E$5:$E$130=$B44)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44" s="265" t="e">
        <f>IF(ISNA(MATCH(AJ$2,Inputs!$K$4:$AJ$4,0)),NA(),IF(SUMPRODUCT((Inputs!$A$5:$A$130=$B44)*ISNUMBER(INDEX(Inputs!$K$5:$AJ$130,0,MATCH(AJ$2,Inputs!$K$4:$AJ$4,0))))+SUMPRODUCT((Inputs!$C$5:$C$130=$B44)*ISNUMBER(INDEX(Inputs!$K$5:$AJ$130,0,MATCH(AJ$2,Inputs!$K$4:$AJ$4,0))))+SUMPRODUCT((Inputs!$E$5:$E$130=$B44)*ISNUMBER(INDEX(Inputs!$K$5:$AJ$130,0,MATCH(AJ$2,Inputs!$K$4:$AJ$4,0))))=0,NA(),SUMPRODUCT((Inputs!$A$5:$A$130=$B44)*Inputs!$B$5:$B$130*(((Inputs!$G$5:$G$130="moeda")+(Inputs!$G$5:$G$130="acoes"))*Inputs!$B$1+((Inputs!$G$5:$G$130&lt;&gt;"moeda")*(Inputs!$G$5:$G$130&lt;&gt;"acoes")))*INDEX(Inputs!$K$5:$AJ$130,0,MATCH(AJ$2,Inputs!$K$4:$AJ$4,0)))+SUMPRODUCT((Inputs!$C$5:$C$130=$B44)*Inputs!$D$5:$D$130*(((Inputs!$G$5:$G$130="moeda")+(Inputs!$G$5:$G$130="acoes"))*Inputs!$B$1+((Inputs!$G$5:$G$130&lt;&gt;"moeda")*(Inputs!$G$5:$G$130&lt;&gt;"acoes")))*INDEX(Inputs!$K$5:$AJ$130,0,MATCH(AJ$2,Inputs!$K$4:$AJ$4,0)))+SUMPRODUCT((Inputs!$E$5:$E$130=$B44)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44" s="265" t="e">
        <f>IF(ISNA(MATCH(AK$2,Inputs!$K$4:$AJ$4,0)),NA(),IF(SUMPRODUCT((Inputs!$A$5:$A$130=$B44)*ISNUMBER(INDEX(Inputs!$K$5:$AJ$130,0,MATCH(AK$2,Inputs!$K$4:$AJ$4,0))))+SUMPRODUCT((Inputs!$C$5:$C$130=$B44)*ISNUMBER(INDEX(Inputs!$K$5:$AJ$130,0,MATCH(AK$2,Inputs!$K$4:$AJ$4,0))))+SUMPRODUCT((Inputs!$E$5:$E$130=$B44)*ISNUMBER(INDEX(Inputs!$K$5:$AJ$130,0,MATCH(AK$2,Inputs!$K$4:$AJ$4,0))))=0,NA(),SUMPRODUCT((Inputs!$A$5:$A$130=$B44)*Inputs!$B$5:$B$130*(((Inputs!$G$5:$G$130="moeda")+(Inputs!$G$5:$G$130="acoes"))*Inputs!$B$1+((Inputs!$G$5:$G$130&lt;&gt;"moeda")*(Inputs!$G$5:$G$130&lt;&gt;"acoes")))*INDEX(Inputs!$K$5:$AJ$130,0,MATCH(AK$2,Inputs!$K$4:$AJ$4,0)))+SUMPRODUCT((Inputs!$C$5:$C$130=$B44)*Inputs!$D$5:$D$130*(((Inputs!$G$5:$G$130="moeda")+(Inputs!$G$5:$G$130="acoes"))*Inputs!$B$1+((Inputs!$G$5:$G$130&lt;&gt;"moeda")*(Inputs!$G$5:$G$130&lt;&gt;"acoes")))*INDEX(Inputs!$K$5:$AJ$130,0,MATCH(AK$2,Inputs!$K$4:$AJ$4,0)))+SUMPRODUCT((Inputs!$E$5:$E$130=$B44)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44" s="266" t="e">
        <f>AK44</f>
        <v>#N/A</v>
      </c>
    </row>
    <row r="45" ht="12.75" customHeight="1" s="254">
      <c r="B45" s="263" t="n">
        <v>39</v>
      </c>
      <c r="C45" s="268" t="inlineStr">
        <is>
          <t>Comprehensive (accumulated) loss</t>
        </is>
      </c>
      <c r="D45" s="265" t="e">
        <f>IF(ISNA(MATCH(D$2,Inputs!$K$4:$AJ$4,0)),NA(),IF(SUMPRODUCT((Inputs!$A$5:$A$130=$B45)*ISNUMBER(INDEX(Inputs!$K$5:$AJ$130,0,MATCH(D$2,Inputs!$K$4:$AJ$4,0))))+SUMPRODUCT((Inputs!$C$5:$C$130=$B45)*ISNUMBER(INDEX(Inputs!$K$5:$AJ$130,0,MATCH(D$2,Inputs!$K$4:$AJ$4,0))))+SUMPRODUCT((Inputs!$E$5:$E$130=$B45)*ISNUMBER(INDEX(Inputs!$K$5:$AJ$130,0,MATCH(D$2,Inputs!$K$4:$AJ$4,0))))=0,NA(),SUMPRODUCT((Inputs!$A$5:$A$130=$B45)*Inputs!$B$5:$B$130*(((Inputs!$G$5:$G$130="moeda")+(Inputs!$G$5:$G$130="acoes"))*Inputs!$B$1+((Inputs!$G$5:$G$130&lt;&gt;"moeda")*(Inputs!$G$5:$G$130&lt;&gt;"acoes")))*INDEX(Inputs!$K$5:$AJ$130,0,MATCH(D$2,Inputs!$K$4:$AJ$4,0)))+SUMPRODUCT((Inputs!$C$5:$C$130=$B45)*Inputs!$D$5:$D$130*(((Inputs!$G$5:$G$130="moeda")+(Inputs!$G$5:$G$130="acoes"))*Inputs!$B$1+((Inputs!$G$5:$G$130&lt;&gt;"moeda")*(Inputs!$G$5:$G$130&lt;&gt;"acoes")))*INDEX(Inputs!$K$5:$AJ$130,0,MATCH(D$2,Inputs!$K$4:$AJ$4,0)))+SUMPRODUCT((Inputs!$E$5:$E$130=$B45)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45" s="265" t="e">
        <f>IF(ISNA(MATCH(E$2,Inputs!$K$4:$AJ$4,0)),NA(),IF(SUMPRODUCT((Inputs!$A$5:$A$130=$B45)*ISNUMBER(INDEX(Inputs!$K$5:$AJ$130,0,MATCH(E$2,Inputs!$K$4:$AJ$4,0))))+SUMPRODUCT((Inputs!$C$5:$C$130=$B45)*ISNUMBER(INDEX(Inputs!$K$5:$AJ$130,0,MATCH(E$2,Inputs!$K$4:$AJ$4,0))))+SUMPRODUCT((Inputs!$E$5:$E$130=$B45)*ISNUMBER(INDEX(Inputs!$K$5:$AJ$130,0,MATCH(E$2,Inputs!$K$4:$AJ$4,0))))=0,NA(),SUMPRODUCT((Inputs!$A$5:$A$130=$B45)*Inputs!$B$5:$B$130*(((Inputs!$G$5:$G$130="moeda")+(Inputs!$G$5:$G$130="acoes"))*Inputs!$B$1+((Inputs!$G$5:$G$130&lt;&gt;"moeda")*(Inputs!$G$5:$G$130&lt;&gt;"acoes")))*INDEX(Inputs!$K$5:$AJ$130,0,MATCH(E$2,Inputs!$K$4:$AJ$4,0)))+SUMPRODUCT((Inputs!$C$5:$C$130=$B45)*Inputs!$D$5:$D$130*(((Inputs!$G$5:$G$130="moeda")+(Inputs!$G$5:$G$130="acoes"))*Inputs!$B$1+((Inputs!$G$5:$G$130&lt;&gt;"moeda")*(Inputs!$G$5:$G$130&lt;&gt;"acoes")))*INDEX(Inputs!$K$5:$AJ$130,0,MATCH(E$2,Inputs!$K$4:$AJ$4,0)))+SUMPRODUCT((Inputs!$E$5:$E$130=$B45)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45" s="265" t="e">
        <f>IF(ISNA(MATCH(F$2,Inputs!$K$4:$AJ$4,0)),NA(),IF(SUMPRODUCT((Inputs!$A$5:$A$130=$B45)*ISNUMBER(INDEX(Inputs!$K$5:$AJ$130,0,MATCH(F$2,Inputs!$K$4:$AJ$4,0))))+SUMPRODUCT((Inputs!$C$5:$C$130=$B45)*ISNUMBER(INDEX(Inputs!$K$5:$AJ$130,0,MATCH(F$2,Inputs!$K$4:$AJ$4,0))))+SUMPRODUCT((Inputs!$E$5:$E$130=$B45)*ISNUMBER(INDEX(Inputs!$K$5:$AJ$130,0,MATCH(F$2,Inputs!$K$4:$AJ$4,0))))=0,NA(),SUMPRODUCT((Inputs!$A$5:$A$130=$B45)*Inputs!$B$5:$B$130*(((Inputs!$G$5:$G$130="moeda")+(Inputs!$G$5:$G$130="acoes"))*Inputs!$B$1+((Inputs!$G$5:$G$130&lt;&gt;"moeda")*(Inputs!$G$5:$G$130&lt;&gt;"acoes")))*INDEX(Inputs!$K$5:$AJ$130,0,MATCH(F$2,Inputs!$K$4:$AJ$4,0)))+SUMPRODUCT((Inputs!$C$5:$C$130=$B45)*Inputs!$D$5:$D$130*(((Inputs!$G$5:$G$130="moeda")+(Inputs!$G$5:$G$130="acoes"))*Inputs!$B$1+((Inputs!$G$5:$G$130&lt;&gt;"moeda")*(Inputs!$G$5:$G$130&lt;&gt;"acoes")))*INDEX(Inputs!$K$5:$AJ$130,0,MATCH(F$2,Inputs!$K$4:$AJ$4,0)))+SUMPRODUCT((Inputs!$E$5:$E$130=$B45)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45" s="265" t="e">
        <f>IF(ISNA(MATCH(G$2,Inputs!$K$4:$AJ$4,0)),NA(),IF(SUMPRODUCT((Inputs!$A$5:$A$130=$B45)*ISNUMBER(INDEX(Inputs!$K$5:$AJ$130,0,MATCH(G$2,Inputs!$K$4:$AJ$4,0))))+SUMPRODUCT((Inputs!$C$5:$C$130=$B45)*ISNUMBER(INDEX(Inputs!$K$5:$AJ$130,0,MATCH(G$2,Inputs!$K$4:$AJ$4,0))))+SUMPRODUCT((Inputs!$E$5:$E$130=$B45)*ISNUMBER(INDEX(Inputs!$K$5:$AJ$130,0,MATCH(G$2,Inputs!$K$4:$AJ$4,0))))=0,NA(),SUMPRODUCT((Inputs!$A$5:$A$130=$B45)*Inputs!$B$5:$B$130*(((Inputs!$G$5:$G$130="moeda")+(Inputs!$G$5:$G$130="acoes"))*Inputs!$B$1+((Inputs!$G$5:$G$130&lt;&gt;"moeda")*(Inputs!$G$5:$G$130&lt;&gt;"acoes")))*INDEX(Inputs!$K$5:$AJ$130,0,MATCH(G$2,Inputs!$K$4:$AJ$4,0)))+SUMPRODUCT((Inputs!$C$5:$C$130=$B45)*Inputs!$D$5:$D$130*(((Inputs!$G$5:$G$130="moeda")+(Inputs!$G$5:$G$130="acoes"))*Inputs!$B$1+((Inputs!$G$5:$G$130&lt;&gt;"moeda")*(Inputs!$G$5:$G$130&lt;&gt;"acoes")))*INDEX(Inputs!$K$5:$AJ$130,0,MATCH(G$2,Inputs!$K$4:$AJ$4,0)))+SUMPRODUCT((Inputs!$E$5:$E$130=$B45)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45" s="266" t="e">
        <f>G45</f>
        <v>#N/A</v>
      </c>
      <c r="I45" s="265" t="e">
        <f>IF(ISNA(MATCH(I$2,Inputs!$K$4:$AJ$4,0)),NA(),IF(SUMPRODUCT((Inputs!$A$5:$A$130=$B45)*ISNUMBER(INDEX(Inputs!$K$5:$AJ$130,0,MATCH(I$2,Inputs!$K$4:$AJ$4,0))))+SUMPRODUCT((Inputs!$C$5:$C$130=$B45)*ISNUMBER(INDEX(Inputs!$K$5:$AJ$130,0,MATCH(I$2,Inputs!$K$4:$AJ$4,0))))+SUMPRODUCT((Inputs!$E$5:$E$130=$B45)*ISNUMBER(INDEX(Inputs!$K$5:$AJ$130,0,MATCH(I$2,Inputs!$K$4:$AJ$4,0))))=0,NA(),SUMPRODUCT((Inputs!$A$5:$A$130=$B45)*Inputs!$B$5:$B$130*(((Inputs!$G$5:$G$130="moeda")+(Inputs!$G$5:$G$130="acoes"))*Inputs!$B$1+((Inputs!$G$5:$G$130&lt;&gt;"moeda")*(Inputs!$G$5:$G$130&lt;&gt;"acoes")))*INDEX(Inputs!$K$5:$AJ$130,0,MATCH(I$2,Inputs!$K$4:$AJ$4,0)))+SUMPRODUCT((Inputs!$C$5:$C$130=$B45)*Inputs!$D$5:$D$130*(((Inputs!$G$5:$G$130="moeda")+(Inputs!$G$5:$G$130="acoes"))*Inputs!$B$1+((Inputs!$G$5:$G$130&lt;&gt;"moeda")*(Inputs!$G$5:$G$130&lt;&gt;"acoes")))*INDEX(Inputs!$K$5:$AJ$130,0,MATCH(I$2,Inputs!$K$4:$AJ$4,0)))+SUMPRODUCT((Inputs!$E$5:$E$130=$B45)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45" s="265" t="e">
        <f>IF(ISNA(MATCH(J$2,Inputs!$K$4:$AJ$4,0)),NA(),IF(SUMPRODUCT((Inputs!$A$5:$A$130=$B45)*ISNUMBER(INDEX(Inputs!$K$5:$AJ$130,0,MATCH(J$2,Inputs!$K$4:$AJ$4,0))))+SUMPRODUCT((Inputs!$C$5:$C$130=$B45)*ISNUMBER(INDEX(Inputs!$K$5:$AJ$130,0,MATCH(J$2,Inputs!$K$4:$AJ$4,0))))+SUMPRODUCT((Inputs!$E$5:$E$130=$B45)*ISNUMBER(INDEX(Inputs!$K$5:$AJ$130,0,MATCH(J$2,Inputs!$K$4:$AJ$4,0))))=0,NA(),SUMPRODUCT((Inputs!$A$5:$A$130=$B45)*Inputs!$B$5:$B$130*(((Inputs!$G$5:$G$130="moeda")+(Inputs!$G$5:$G$130="acoes"))*Inputs!$B$1+((Inputs!$G$5:$G$130&lt;&gt;"moeda")*(Inputs!$G$5:$G$130&lt;&gt;"acoes")))*INDEX(Inputs!$K$5:$AJ$130,0,MATCH(J$2,Inputs!$K$4:$AJ$4,0)))+SUMPRODUCT((Inputs!$C$5:$C$130=$B45)*Inputs!$D$5:$D$130*(((Inputs!$G$5:$G$130="moeda")+(Inputs!$G$5:$G$130="acoes"))*Inputs!$B$1+((Inputs!$G$5:$G$130&lt;&gt;"moeda")*(Inputs!$G$5:$G$130&lt;&gt;"acoes")))*INDEX(Inputs!$K$5:$AJ$130,0,MATCH(J$2,Inputs!$K$4:$AJ$4,0)))+SUMPRODUCT((Inputs!$E$5:$E$130=$B45)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45" s="265" t="e">
        <f>IF(ISNA(MATCH(K$2,Inputs!$K$4:$AJ$4,0)),NA(),IF(SUMPRODUCT((Inputs!$A$5:$A$130=$B45)*ISNUMBER(INDEX(Inputs!$K$5:$AJ$130,0,MATCH(K$2,Inputs!$K$4:$AJ$4,0))))+SUMPRODUCT((Inputs!$C$5:$C$130=$B45)*ISNUMBER(INDEX(Inputs!$K$5:$AJ$130,0,MATCH(K$2,Inputs!$K$4:$AJ$4,0))))+SUMPRODUCT((Inputs!$E$5:$E$130=$B45)*ISNUMBER(INDEX(Inputs!$K$5:$AJ$130,0,MATCH(K$2,Inputs!$K$4:$AJ$4,0))))=0,NA(),SUMPRODUCT((Inputs!$A$5:$A$130=$B45)*Inputs!$B$5:$B$130*(((Inputs!$G$5:$G$130="moeda")+(Inputs!$G$5:$G$130="acoes"))*Inputs!$B$1+((Inputs!$G$5:$G$130&lt;&gt;"moeda")*(Inputs!$G$5:$G$130&lt;&gt;"acoes")))*INDEX(Inputs!$K$5:$AJ$130,0,MATCH(K$2,Inputs!$K$4:$AJ$4,0)))+SUMPRODUCT((Inputs!$C$5:$C$130=$B45)*Inputs!$D$5:$D$130*(((Inputs!$G$5:$G$130="moeda")+(Inputs!$G$5:$G$130="acoes"))*Inputs!$B$1+((Inputs!$G$5:$G$130&lt;&gt;"moeda")*(Inputs!$G$5:$G$130&lt;&gt;"acoes")))*INDEX(Inputs!$K$5:$AJ$130,0,MATCH(K$2,Inputs!$K$4:$AJ$4,0)))+SUMPRODUCT((Inputs!$E$5:$E$130=$B45)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45" s="265" t="e">
        <f>IF(ISNA(MATCH(L$2,Inputs!$K$4:$AJ$4,0)),NA(),IF(SUMPRODUCT((Inputs!$A$5:$A$130=$B45)*ISNUMBER(INDEX(Inputs!$K$5:$AJ$130,0,MATCH(L$2,Inputs!$K$4:$AJ$4,0))))+SUMPRODUCT((Inputs!$C$5:$C$130=$B45)*ISNUMBER(INDEX(Inputs!$K$5:$AJ$130,0,MATCH(L$2,Inputs!$K$4:$AJ$4,0))))+SUMPRODUCT((Inputs!$E$5:$E$130=$B45)*ISNUMBER(INDEX(Inputs!$K$5:$AJ$130,0,MATCH(L$2,Inputs!$K$4:$AJ$4,0))))=0,NA(),SUMPRODUCT((Inputs!$A$5:$A$130=$B45)*Inputs!$B$5:$B$130*(((Inputs!$G$5:$G$130="moeda")+(Inputs!$G$5:$G$130="acoes"))*Inputs!$B$1+((Inputs!$G$5:$G$130&lt;&gt;"moeda")*(Inputs!$G$5:$G$130&lt;&gt;"acoes")))*INDEX(Inputs!$K$5:$AJ$130,0,MATCH(L$2,Inputs!$K$4:$AJ$4,0)))+SUMPRODUCT((Inputs!$C$5:$C$130=$B45)*Inputs!$D$5:$D$130*(((Inputs!$G$5:$G$130="moeda")+(Inputs!$G$5:$G$130="acoes"))*Inputs!$B$1+((Inputs!$G$5:$G$130&lt;&gt;"moeda")*(Inputs!$G$5:$G$130&lt;&gt;"acoes")))*INDEX(Inputs!$K$5:$AJ$130,0,MATCH(L$2,Inputs!$K$4:$AJ$4,0)))+SUMPRODUCT((Inputs!$E$5:$E$130=$B45)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45" s="266" t="e">
        <f>L45</f>
        <v>#N/A</v>
      </c>
      <c r="N45" s="265" t="e">
        <f>IF(ISNA(MATCH(N$2,Inputs!$K$4:$AJ$4,0)),NA(),IF(SUMPRODUCT((Inputs!$A$5:$A$130=$B45)*ISNUMBER(INDEX(Inputs!$K$5:$AJ$130,0,MATCH(N$2,Inputs!$K$4:$AJ$4,0))))+SUMPRODUCT((Inputs!$C$5:$C$130=$B45)*ISNUMBER(INDEX(Inputs!$K$5:$AJ$130,0,MATCH(N$2,Inputs!$K$4:$AJ$4,0))))+SUMPRODUCT((Inputs!$E$5:$E$130=$B45)*ISNUMBER(INDEX(Inputs!$K$5:$AJ$130,0,MATCH(N$2,Inputs!$K$4:$AJ$4,0))))=0,NA(),SUMPRODUCT((Inputs!$A$5:$A$130=$B45)*Inputs!$B$5:$B$130*(((Inputs!$G$5:$G$130="moeda")+(Inputs!$G$5:$G$130="acoes"))*Inputs!$B$1+((Inputs!$G$5:$G$130&lt;&gt;"moeda")*(Inputs!$G$5:$G$130&lt;&gt;"acoes")))*INDEX(Inputs!$K$5:$AJ$130,0,MATCH(N$2,Inputs!$K$4:$AJ$4,0)))+SUMPRODUCT((Inputs!$C$5:$C$130=$B45)*Inputs!$D$5:$D$130*(((Inputs!$G$5:$G$130="moeda")+(Inputs!$G$5:$G$130="acoes"))*Inputs!$B$1+((Inputs!$G$5:$G$130&lt;&gt;"moeda")*(Inputs!$G$5:$G$130&lt;&gt;"acoes")))*INDEX(Inputs!$K$5:$AJ$130,0,MATCH(N$2,Inputs!$K$4:$AJ$4,0)))+SUMPRODUCT((Inputs!$E$5:$E$130=$B45)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45" s="265" t="e">
        <f>IF(ISNA(MATCH(O$2,Inputs!$K$4:$AJ$4,0)),NA(),IF(SUMPRODUCT((Inputs!$A$5:$A$130=$B45)*ISNUMBER(INDEX(Inputs!$K$5:$AJ$130,0,MATCH(O$2,Inputs!$K$4:$AJ$4,0))))+SUMPRODUCT((Inputs!$C$5:$C$130=$B45)*ISNUMBER(INDEX(Inputs!$K$5:$AJ$130,0,MATCH(O$2,Inputs!$K$4:$AJ$4,0))))+SUMPRODUCT((Inputs!$E$5:$E$130=$B45)*ISNUMBER(INDEX(Inputs!$K$5:$AJ$130,0,MATCH(O$2,Inputs!$K$4:$AJ$4,0))))=0,NA(),SUMPRODUCT((Inputs!$A$5:$A$130=$B45)*Inputs!$B$5:$B$130*(((Inputs!$G$5:$G$130="moeda")+(Inputs!$G$5:$G$130="acoes"))*Inputs!$B$1+((Inputs!$G$5:$G$130&lt;&gt;"moeda")*(Inputs!$G$5:$G$130&lt;&gt;"acoes")))*INDEX(Inputs!$K$5:$AJ$130,0,MATCH(O$2,Inputs!$K$4:$AJ$4,0)))+SUMPRODUCT((Inputs!$C$5:$C$130=$B45)*Inputs!$D$5:$D$130*(((Inputs!$G$5:$G$130="moeda")+(Inputs!$G$5:$G$130="acoes"))*Inputs!$B$1+((Inputs!$G$5:$G$130&lt;&gt;"moeda")*(Inputs!$G$5:$G$130&lt;&gt;"acoes")))*INDEX(Inputs!$K$5:$AJ$130,0,MATCH(O$2,Inputs!$K$4:$AJ$4,0)))+SUMPRODUCT((Inputs!$E$5:$E$130=$B45)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45" s="265" t="e">
        <f>IF(ISNA(MATCH(P$2,Inputs!$K$4:$AJ$4,0)),NA(),IF(SUMPRODUCT((Inputs!$A$5:$A$130=$B45)*ISNUMBER(INDEX(Inputs!$K$5:$AJ$130,0,MATCH(P$2,Inputs!$K$4:$AJ$4,0))))+SUMPRODUCT((Inputs!$C$5:$C$130=$B45)*ISNUMBER(INDEX(Inputs!$K$5:$AJ$130,0,MATCH(P$2,Inputs!$K$4:$AJ$4,0))))+SUMPRODUCT((Inputs!$E$5:$E$130=$B45)*ISNUMBER(INDEX(Inputs!$K$5:$AJ$130,0,MATCH(P$2,Inputs!$K$4:$AJ$4,0))))=0,NA(),SUMPRODUCT((Inputs!$A$5:$A$130=$B45)*Inputs!$B$5:$B$130*(((Inputs!$G$5:$G$130="moeda")+(Inputs!$G$5:$G$130="acoes"))*Inputs!$B$1+((Inputs!$G$5:$G$130&lt;&gt;"moeda")*(Inputs!$G$5:$G$130&lt;&gt;"acoes")))*INDEX(Inputs!$K$5:$AJ$130,0,MATCH(P$2,Inputs!$K$4:$AJ$4,0)))+SUMPRODUCT((Inputs!$C$5:$C$130=$B45)*Inputs!$D$5:$D$130*(((Inputs!$G$5:$G$130="moeda")+(Inputs!$G$5:$G$130="acoes"))*Inputs!$B$1+((Inputs!$G$5:$G$130&lt;&gt;"moeda")*(Inputs!$G$5:$G$130&lt;&gt;"acoes")))*INDEX(Inputs!$K$5:$AJ$130,0,MATCH(P$2,Inputs!$K$4:$AJ$4,0)))+SUMPRODUCT((Inputs!$E$5:$E$130=$B45)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45" s="265" t="e">
        <f>IF(ISNA(MATCH(Q$2,Inputs!$K$4:$AJ$4,0)),NA(),IF(SUMPRODUCT((Inputs!$A$5:$A$130=$B45)*ISNUMBER(INDEX(Inputs!$K$5:$AJ$130,0,MATCH(Q$2,Inputs!$K$4:$AJ$4,0))))+SUMPRODUCT((Inputs!$C$5:$C$130=$B45)*ISNUMBER(INDEX(Inputs!$K$5:$AJ$130,0,MATCH(Q$2,Inputs!$K$4:$AJ$4,0))))+SUMPRODUCT((Inputs!$E$5:$E$130=$B45)*ISNUMBER(INDEX(Inputs!$K$5:$AJ$130,0,MATCH(Q$2,Inputs!$K$4:$AJ$4,0))))=0,NA(),SUMPRODUCT((Inputs!$A$5:$A$130=$B45)*Inputs!$B$5:$B$130*(((Inputs!$G$5:$G$130="moeda")+(Inputs!$G$5:$G$130="acoes"))*Inputs!$B$1+((Inputs!$G$5:$G$130&lt;&gt;"moeda")*(Inputs!$G$5:$G$130&lt;&gt;"acoes")))*INDEX(Inputs!$K$5:$AJ$130,0,MATCH(Q$2,Inputs!$K$4:$AJ$4,0)))+SUMPRODUCT((Inputs!$C$5:$C$130=$B45)*Inputs!$D$5:$D$130*(((Inputs!$G$5:$G$130="moeda")+(Inputs!$G$5:$G$130="acoes"))*Inputs!$B$1+((Inputs!$G$5:$G$130&lt;&gt;"moeda")*(Inputs!$G$5:$G$130&lt;&gt;"acoes")))*INDEX(Inputs!$K$5:$AJ$130,0,MATCH(Q$2,Inputs!$K$4:$AJ$4,0)))+SUMPRODUCT((Inputs!$E$5:$E$130=$B45)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45" s="266" t="e">
        <f>Q45</f>
        <v>#N/A</v>
      </c>
      <c r="S45" s="265" t="e">
        <f>IF(ISNA(MATCH(S$2,Inputs!$K$4:$AJ$4,0)),NA(),IF(SUMPRODUCT((Inputs!$A$5:$A$130=$B45)*ISNUMBER(INDEX(Inputs!$K$5:$AJ$130,0,MATCH(S$2,Inputs!$K$4:$AJ$4,0))))+SUMPRODUCT((Inputs!$C$5:$C$130=$B45)*ISNUMBER(INDEX(Inputs!$K$5:$AJ$130,0,MATCH(S$2,Inputs!$K$4:$AJ$4,0))))+SUMPRODUCT((Inputs!$E$5:$E$130=$B45)*ISNUMBER(INDEX(Inputs!$K$5:$AJ$130,0,MATCH(S$2,Inputs!$K$4:$AJ$4,0))))=0,NA(),SUMPRODUCT((Inputs!$A$5:$A$130=$B45)*Inputs!$B$5:$B$130*(((Inputs!$G$5:$G$130="moeda")+(Inputs!$G$5:$G$130="acoes"))*Inputs!$B$1+((Inputs!$G$5:$G$130&lt;&gt;"moeda")*(Inputs!$G$5:$G$130&lt;&gt;"acoes")))*INDEX(Inputs!$K$5:$AJ$130,0,MATCH(S$2,Inputs!$K$4:$AJ$4,0)))+SUMPRODUCT((Inputs!$C$5:$C$130=$B45)*Inputs!$D$5:$D$130*(((Inputs!$G$5:$G$130="moeda")+(Inputs!$G$5:$G$130="acoes"))*Inputs!$B$1+((Inputs!$G$5:$G$130&lt;&gt;"moeda")*(Inputs!$G$5:$G$130&lt;&gt;"acoes")))*INDEX(Inputs!$K$5:$AJ$130,0,MATCH(S$2,Inputs!$K$4:$AJ$4,0)))+SUMPRODUCT((Inputs!$E$5:$E$130=$B45)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45" s="265" t="e">
        <f>IF(ISNA(MATCH(T$2,Inputs!$K$4:$AJ$4,0)),NA(),IF(SUMPRODUCT((Inputs!$A$5:$A$130=$B45)*ISNUMBER(INDEX(Inputs!$K$5:$AJ$130,0,MATCH(T$2,Inputs!$K$4:$AJ$4,0))))+SUMPRODUCT((Inputs!$C$5:$C$130=$B45)*ISNUMBER(INDEX(Inputs!$K$5:$AJ$130,0,MATCH(T$2,Inputs!$K$4:$AJ$4,0))))+SUMPRODUCT((Inputs!$E$5:$E$130=$B45)*ISNUMBER(INDEX(Inputs!$K$5:$AJ$130,0,MATCH(T$2,Inputs!$K$4:$AJ$4,0))))=0,NA(),SUMPRODUCT((Inputs!$A$5:$A$130=$B45)*Inputs!$B$5:$B$130*(((Inputs!$G$5:$G$130="moeda")+(Inputs!$G$5:$G$130="acoes"))*Inputs!$B$1+((Inputs!$G$5:$G$130&lt;&gt;"moeda")*(Inputs!$G$5:$G$130&lt;&gt;"acoes")))*INDEX(Inputs!$K$5:$AJ$130,0,MATCH(T$2,Inputs!$K$4:$AJ$4,0)))+SUMPRODUCT((Inputs!$C$5:$C$130=$B45)*Inputs!$D$5:$D$130*(((Inputs!$G$5:$G$130="moeda")+(Inputs!$G$5:$G$130="acoes"))*Inputs!$B$1+((Inputs!$G$5:$G$130&lt;&gt;"moeda")*(Inputs!$G$5:$G$130&lt;&gt;"acoes")))*INDEX(Inputs!$K$5:$AJ$130,0,MATCH(T$2,Inputs!$K$4:$AJ$4,0)))+SUMPRODUCT((Inputs!$E$5:$E$130=$B45)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45" s="265" t="e">
        <f>IF(ISNA(MATCH(U$2,Inputs!$K$4:$AJ$4,0)),NA(),IF(SUMPRODUCT((Inputs!$A$5:$A$130=$B45)*ISNUMBER(INDEX(Inputs!$K$5:$AJ$130,0,MATCH(U$2,Inputs!$K$4:$AJ$4,0))))+SUMPRODUCT((Inputs!$C$5:$C$130=$B45)*ISNUMBER(INDEX(Inputs!$K$5:$AJ$130,0,MATCH(U$2,Inputs!$K$4:$AJ$4,0))))+SUMPRODUCT((Inputs!$E$5:$E$130=$B45)*ISNUMBER(INDEX(Inputs!$K$5:$AJ$130,0,MATCH(U$2,Inputs!$K$4:$AJ$4,0))))=0,NA(),SUMPRODUCT((Inputs!$A$5:$A$130=$B45)*Inputs!$B$5:$B$130*(((Inputs!$G$5:$G$130="moeda")+(Inputs!$G$5:$G$130="acoes"))*Inputs!$B$1+((Inputs!$G$5:$G$130&lt;&gt;"moeda")*(Inputs!$G$5:$G$130&lt;&gt;"acoes")))*INDEX(Inputs!$K$5:$AJ$130,0,MATCH(U$2,Inputs!$K$4:$AJ$4,0)))+SUMPRODUCT((Inputs!$C$5:$C$130=$B45)*Inputs!$D$5:$D$130*(((Inputs!$G$5:$G$130="moeda")+(Inputs!$G$5:$G$130="acoes"))*Inputs!$B$1+((Inputs!$G$5:$G$130&lt;&gt;"moeda")*(Inputs!$G$5:$G$130&lt;&gt;"acoes")))*INDEX(Inputs!$K$5:$AJ$130,0,MATCH(U$2,Inputs!$K$4:$AJ$4,0)))+SUMPRODUCT((Inputs!$E$5:$E$130=$B45)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45" s="265" t="e">
        <f>IF(ISNA(MATCH(V$2,Inputs!$K$4:$AJ$4,0)),NA(),IF(SUMPRODUCT((Inputs!$A$5:$A$130=$B45)*ISNUMBER(INDEX(Inputs!$K$5:$AJ$130,0,MATCH(V$2,Inputs!$K$4:$AJ$4,0))))+SUMPRODUCT((Inputs!$C$5:$C$130=$B45)*ISNUMBER(INDEX(Inputs!$K$5:$AJ$130,0,MATCH(V$2,Inputs!$K$4:$AJ$4,0))))+SUMPRODUCT((Inputs!$E$5:$E$130=$B45)*ISNUMBER(INDEX(Inputs!$K$5:$AJ$130,0,MATCH(V$2,Inputs!$K$4:$AJ$4,0))))=0,NA(),SUMPRODUCT((Inputs!$A$5:$A$130=$B45)*Inputs!$B$5:$B$130*(((Inputs!$G$5:$G$130="moeda")+(Inputs!$G$5:$G$130="acoes"))*Inputs!$B$1+((Inputs!$G$5:$G$130&lt;&gt;"moeda")*(Inputs!$G$5:$G$130&lt;&gt;"acoes")))*INDEX(Inputs!$K$5:$AJ$130,0,MATCH(V$2,Inputs!$K$4:$AJ$4,0)))+SUMPRODUCT((Inputs!$C$5:$C$130=$B45)*Inputs!$D$5:$D$130*(((Inputs!$G$5:$G$130="moeda")+(Inputs!$G$5:$G$130="acoes"))*Inputs!$B$1+((Inputs!$G$5:$G$130&lt;&gt;"moeda")*(Inputs!$G$5:$G$130&lt;&gt;"acoes")))*INDEX(Inputs!$K$5:$AJ$130,0,MATCH(V$2,Inputs!$K$4:$AJ$4,0)))+SUMPRODUCT((Inputs!$E$5:$E$130=$B45)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45" s="266" t="e">
        <f>V45</f>
        <v>#N/A</v>
      </c>
      <c r="X45" s="265" t="e">
        <f>IF(ISNA(MATCH(X$2,Inputs!$K$4:$AJ$4,0)),NA(),IF(SUMPRODUCT((Inputs!$A$5:$A$130=$B45)*ISNUMBER(INDEX(Inputs!$K$5:$AJ$130,0,MATCH(X$2,Inputs!$K$4:$AJ$4,0))))+SUMPRODUCT((Inputs!$C$5:$C$130=$B45)*ISNUMBER(INDEX(Inputs!$K$5:$AJ$130,0,MATCH(X$2,Inputs!$K$4:$AJ$4,0))))+SUMPRODUCT((Inputs!$E$5:$E$130=$B45)*ISNUMBER(INDEX(Inputs!$K$5:$AJ$130,0,MATCH(X$2,Inputs!$K$4:$AJ$4,0))))=0,NA(),SUMPRODUCT((Inputs!$A$5:$A$130=$B45)*Inputs!$B$5:$B$130*(((Inputs!$G$5:$G$130="moeda")+(Inputs!$G$5:$G$130="acoes"))*Inputs!$B$1+((Inputs!$G$5:$G$130&lt;&gt;"moeda")*(Inputs!$G$5:$G$130&lt;&gt;"acoes")))*INDEX(Inputs!$K$5:$AJ$130,0,MATCH(X$2,Inputs!$K$4:$AJ$4,0)))+SUMPRODUCT((Inputs!$C$5:$C$130=$B45)*Inputs!$D$5:$D$130*(((Inputs!$G$5:$G$130="moeda")+(Inputs!$G$5:$G$130="acoes"))*Inputs!$B$1+((Inputs!$G$5:$G$130&lt;&gt;"moeda")*(Inputs!$G$5:$G$130&lt;&gt;"acoes")))*INDEX(Inputs!$K$5:$AJ$130,0,MATCH(X$2,Inputs!$K$4:$AJ$4,0)))+SUMPRODUCT((Inputs!$E$5:$E$130=$B45)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45" s="265" t="e">
        <f>IF(ISNA(MATCH(Y$2,Inputs!$K$4:$AJ$4,0)),NA(),IF(SUMPRODUCT((Inputs!$A$5:$A$130=$B45)*ISNUMBER(INDEX(Inputs!$K$5:$AJ$130,0,MATCH(Y$2,Inputs!$K$4:$AJ$4,0))))+SUMPRODUCT((Inputs!$C$5:$C$130=$B45)*ISNUMBER(INDEX(Inputs!$K$5:$AJ$130,0,MATCH(Y$2,Inputs!$K$4:$AJ$4,0))))+SUMPRODUCT((Inputs!$E$5:$E$130=$B45)*ISNUMBER(INDEX(Inputs!$K$5:$AJ$130,0,MATCH(Y$2,Inputs!$K$4:$AJ$4,0))))=0,NA(),SUMPRODUCT((Inputs!$A$5:$A$130=$B45)*Inputs!$B$5:$B$130*(((Inputs!$G$5:$G$130="moeda")+(Inputs!$G$5:$G$130="acoes"))*Inputs!$B$1+((Inputs!$G$5:$G$130&lt;&gt;"moeda")*(Inputs!$G$5:$G$130&lt;&gt;"acoes")))*INDEX(Inputs!$K$5:$AJ$130,0,MATCH(Y$2,Inputs!$K$4:$AJ$4,0)))+SUMPRODUCT((Inputs!$C$5:$C$130=$B45)*Inputs!$D$5:$D$130*(((Inputs!$G$5:$G$130="moeda")+(Inputs!$G$5:$G$130="acoes"))*Inputs!$B$1+((Inputs!$G$5:$G$130&lt;&gt;"moeda")*(Inputs!$G$5:$G$130&lt;&gt;"acoes")))*INDEX(Inputs!$K$5:$AJ$130,0,MATCH(Y$2,Inputs!$K$4:$AJ$4,0)))+SUMPRODUCT((Inputs!$E$5:$E$130=$B45)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45" s="265" t="e">
        <f>IF(ISNA(MATCH(Z$2,Inputs!$K$4:$AJ$4,0)),NA(),IF(SUMPRODUCT((Inputs!$A$5:$A$130=$B45)*ISNUMBER(INDEX(Inputs!$K$5:$AJ$130,0,MATCH(Z$2,Inputs!$K$4:$AJ$4,0))))+SUMPRODUCT((Inputs!$C$5:$C$130=$B45)*ISNUMBER(INDEX(Inputs!$K$5:$AJ$130,0,MATCH(Z$2,Inputs!$K$4:$AJ$4,0))))+SUMPRODUCT((Inputs!$E$5:$E$130=$B45)*ISNUMBER(INDEX(Inputs!$K$5:$AJ$130,0,MATCH(Z$2,Inputs!$K$4:$AJ$4,0))))=0,NA(),SUMPRODUCT((Inputs!$A$5:$A$130=$B45)*Inputs!$B$5:$B$130*(((Inputs!$G$5:$G$130="moeda")+(Inputs!$G$5:$G$130="acoes"))*Inputs!$B$1+((Inputs!$G$5:$G$130&lt;&gt;"moeda")*(Inputs!$G$5:$G$130&lt;&gt;"acoes")))*INDEX(Inputs!$K$5:$AJ$130,0,MATCH(Z$2,Inputs!$K$4:$AJ$4,0)))+SUMPRODUCT((Inputs!$C$5:$C$130=$B45)*Inputs!$D$5:$D$130*(((Inputs!$G$5:$G$130="moeda")+(Inputs!$G$5:$G$130="acoes"))*Inputs!$B$1+((Inputs!$G$5:$G$130&lt;&gt;"moeda")*(Inputs!$G$5:$G$130&lt;&gt;"acoes")))*INDEX(Inputs!$K$5:$AJ$130,0,MATCH(Z$2,Inputs!$K$4:$AJ$4,0)))+SUMPRODUCT((Inputs!$E$5:$E$130=$B45)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45" s="265" t="e">
        <f>IF(ISNA(MATCH(AA$2,Inputs!$K$4:$AJ$4,0)),NA(),IF(SUMPRODUCT((Inputs!$A$5:$A$130=$B45)*ISNUMBER(INDEX(Inputs!$K$5:$AJ$130,0,MATCH(AA$2,Inputs!$K$4:$AJ$4,0))))+SUMPRODUCT((Inputs!$C$5:$C$130=$B45)*ISNUMBER(INDEX(Inputs!$K$5:$AJ$130,0,MATCH(AA$2,Inputs!$K$4:$AJ$4,0))))+SUMPRODUCT((Inputs!$E$5:$E$130=$B45)*ISNUMBER(INDEX(Inputs!$K$5:$AJ$130,0,MATCH(AA$2,Inputs!$K$4:$AJ$4,0))))=0,NA(),SUMPRODUCT((Inputs!$A$5:$A$130=$B45)*Inputs!$B$5:$B$130*(((Inputs!$G$5:$G$130="moeda")+(Inputs!$G$5:$G$130="acoes"))*Inputs!$B$1+((Inputs!$G$5:$G$130&lt;&gt;"moeda")*(Inputs!$G$5:$G$130&lt;&gt;"acoes")))*INDEX(Inputs!$K$5:$AJ$130,0,MATCH(AA$2,Inputs!$K$4:$AJ$4,0)))+SUMPRODUCT((Inputs!$C$5:$C$130=$B45)*Inputs!$D$5:$D$130*(((Inputs!$G$5:$G$130="moeda")+(Inputs!$G$5:$G$130="acoes"))*Inputs!$B$1+((Inputs!$G$5:$G$130&lt;&gt;"moeda")*(Inputs!$G$5:$G$130&lt;&gt;"acoes")))*INDEX(Inputs!$K$5:$AJ$130,0,MATCH(AA$2,Inputs!$K$4:$AJ$4,0)))+SUMPRODUCT((Inputs!$E$5:$E$130=$B45)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45" s="266" t="e">
        <f>AA45</f>
        <v>#N/A</v>
      </c>
      <c r="AC45" s="265" t="e">
        <f>IF(ISNA(MATCH(AC$2,Inputs!$K$4:$AJ$4,0)),NA(),IF(SUMPRODUCT((Inputs!$A$5:$A$130=$B45)*ISNUMBER(INDEX(Inputs!$K$5:$AJ$130,0,MATCH(AC$2,Inputs!$K$4:$AJ$4,0))))+SUMPRODUCT((Inputs!$C$5:$C$130=$B45)*ISNUMBER(INDEX(Inputs!$K$5:$AJ$130,0,MATCH(AC$2,Inputs!$K$4:$AJ$4,0))))+SUMPRODUCT((Inputs!$E$5:$E$130=$B45)*ISNUMBER(INDEX(Inputs!$K$5:$AJ$130,0,MATCH(AC$2,Inputs!$K$4:$AJ$4,0))))=0,NA(),SUMPRODUCT((Inputs!$A$5:$A$130=$B45)*Inputs!$B$5:$B$130*(((Inputs!$G$5:$G$130="moeda")+(Inputs!$G$5:$G$130="acoes"))*Inputs!$B$1+((Inputs!$G$5:$G$130&lt;&gt;"moeda")*(Inputs!$G$5:$G$130&lt;&gt;"acoes")))*INDEX(Inputs!$K$5:$AJ$130,0,MATCH(AC$2,Inputs!$K$4:$AJ$4,0)))+SUMPRODUCT((Inputs!$C$5:$C$130=$B45)*Inputs!$D$5:$D$130*(((Inputs!$G$5:$G$130="moeda")+(Inputs!$G$5:$G$130="acoes"))*Inputs!$B$1+((Inputs!$G$5:$G$130&lt;&gt;"moeda")*(Inputs!$G$5:$G$130&lt;&gt;"acoes")))*INDEX(Inputs!$K$5:$AJ$130,0,MATCH(AC$2,Inputs!$K$4:$AJ$4,0)))+SUMPRODUCT((Inputs!$E$5:$E$130=$B45)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45" s="265" t="e">
        <f>IF(ISNA(MATCH(AD$2,Inputs!$K$4:$AJ$4,0)),NA(),IF(SUMPRODUCT((Inputs!$A$5:$A$130=$B45)*ISNUMBER(INDEX(Inputs!$K$5:$AJ$130,0,MATCH(AD$2,Inputs!$K$4:$AJ$4,0))))+SUMPRODUCT((Inputs!$C$5:$C$130=$B45)*ISNUMBER(INDEX(Inputs!$K$5:$AJ$130,0,MATCH(AD$2,Inputs!$K$4:$AJ$4,0))))+SUMPRODUCT((Inputs!$E$5:$E$130=$B45)*ISNUMBER(INDEX(Inputs!$K$5:$AJ$130,0,MATCH(AD$2,Inputs!$K$4:$AJ$4,0))))=0,NA(),SUMPRODUCT((Inputs!$A$5:$A$130=$B45)*Inputs!$B$5:$B$130*(((Inputs!$G$5:$G$130="moeda")+(Inputs!$G$5:$G$130="acoes"))*Inputs!$B$1+((Inputs!$G$5:$G$130&lt;&gt;"moeda")*(Inputs!$G$5:$G$130&lt;&gt;"acoes")))*INDEX(Inputs!$K$5:$AJ$130,0,MATCH(AD$2,Inputs!$K$4:$AJ$4,0)))+SUMPRODUCT((Inputs!$C$5:$C$130=$B45)*Inputs!$D$5:$D$130*(((Inputs!$G$5:$G$130="moeda")+(Inputs!$G$5:$G$130="acoes"))*Inputs!$B$1+((Inputs!$G$5:$G$130&lt;&gt;"moeda")*(Inputs!$G$5:$G$130&lt;&gt;"acoes")))*INDEX(Inputs!$K$5:$AJ$130,0,MATCH(AD$2,Inputs!$K$4:$AJ$4,0)))+SUMPRODUCT((Inputs!$E$5:$E$130=$B45)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45" s="265" t="e">
        <f>IF(ISNA(MATCH(AE$2,Inputs!$K$4:$AJ$4,0)),NA(),IF(SUMPRODUCT((Inputs!$A$5:$A$130=$B45)*ISNUMBER(INDEX(Inputs!$K$5:$AJ$130,0,MATCH(AE$2,Inputs!$K$4:$AJ$4,0))))+SUMPRODUCT((Inputs!$C$5:$C$130=$B45)*ISNUMBER(INDEX(Inputs!$K$5:$AJ$130,0,MATCH(AE$2,Inputs!$K$4:$AJ$4,0))))+SUMPRODUCT((Inputs!$E$5:$E$130=$B45)*ISNUMBER(INDEX(Inputs!$K$5:$AJ$130,0,MATCH(AE$2,Inputs!$K$4:$AJ$4,0))))=0,NA(),SUMPRODUCT((Inputs!$A$5:$A$130=$B45)*Inputs!$B$5:$B$130*(((Inputs!$G$5:$G$130="moeda")+(Inputs!$G$5:$G$130="acoes"))*Inputs!$B$1+((Inputs!$G$5:$G$130&lt;&gt;"moeda")*(Inputs!$G$5:$G$130&lt;&gt;"acoes")))*INDEX(Inputs!$K$5:$AJ$130,0,MATCH(AE$2,Inputs!$K$4:$AJ$4,0)))+SUMPRODUCT((Inputs!$C$5:$C$130=$B45)*Inputs!$D$5:$D$130*(((Inputs!$G$5:$G$130="moeda")+(Inputs!$G$5:$G$130="acoes"))*Inputs!$B$1+((Inputs!$G$5:$G$130&lt;&gt;"moeda")*(Inputs!$G$5:$G$130&lt;&gt;"acoes")))*INDEX(Inputs!$K$5:$AJ$130,0,MATCH(AE$2,Inputs!$K$4:$AJ$4,0)))+SUMPRODUCT((Inputs!$E$5:$E$130=$B45)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5" s="265" t="e">
        <f>IF(ISNA(MATCH(AF$2,Inputs!$K$4:$AJ$4,0)),NA(),IF(SUMPRODUCT((Inputs!$A$5:$A$130=$B45)*ISNUMBER(INDEX(Inputs!$K$5:$AJ$130,0,MATCH(AF$2,Inputs!$K$4:$AJ$4,0))))+SUMPRODUCT((Inputs!$C$5:$C$130=$B45)*ISNUMBER(INDEX(Inputs!$K$5:$AJ$130,0,MATCH(AF$2,Inputs!$K$4:$AJ$4,0))))+SUMPRODUCT((Inputs!$E$5:$E$130=$B45)*ISNUMBER(INDEX(Inputs!$K$5:$AJ$130,0,MATCH(AF$2,Inputs!$K$4:$AJ$4,0))))=0,NA(),SUMPRODUCT((Inputs!$A$5:$A$130=$B45)*Inputs!$B$5:$B$130*(((Inputs!$G$5:$G$130="moeda")+(Inputs!$G$5:$G$130="acoes"))*Inputs!$B$1+((Inputs!$G$5:$G$130&lt;&gt;"moeda")*(Inputs!$G$5:$G$130&lt;&gt;"acoes")))*INDEX(Inputs!$K$5:$AJ$130,0,MATCH(AF$2,Inputs!$K$4:$AJ$4,0)))+SUMPRODUCT((Inputs!$C$5:$C$130=$B45)*Inputs!$D$5:$D$130*(((Inputs!$G$5:$G$130="moeda")+(Inputs!$G$5:$G$130="acoes"))*Inputs!$B$1+((Inputs!$G$5:$G$130&lt;&gt;"moeda")*(Inputs!$G$5:$G$130&lt;&gt;"acoes")))*INDEX(Inputs!$K$5:$AJ$130,0,MATCH(AF$2,Inputs!$K$4:$AJ$4,0)))+SUMPRODUCT((Inputs!$E$5:$E$130=$B45)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5" s="266" t="e">
        <f>AF45</f>
        <v>#N/A</v>
      </c>
      <c r="AH45" s="265" t="e">
        <f>IF(ISNA(MATCH(AH$2,Inputs!$K$4:$AJ$4,0)),NA(),IF(SUMPRODUCT((Inputs!$A$5:$A$130=$B45)*ISNUMBER(INDEX(Inputs!$K$5:$AJ$130,0,MATCH(AH$2,Inputs!$K$4:$AJ$4,0))))+SUMPRODUCT((Inputs!$C$5:$C$130=$B45)*ISNUMBER(INDEX(Inputs!$K$5:$AJ$130,0,MATCH(AH$2,Inputs!$K$4:$AJ$4,0))))+SUMPRODUCT((Inputs!$E$5:$E$130=$B45)*ISNUMBER(INDEX(Inputs!$K$5:$AJ$130,0,MATCH(AH$2,Inputs!$K$4:$AJ$4,0))))=0,NA(),SUMPRODUCT((Inputs!$A$5:$A$130=$B45)*Inputs!$B$5:$B$130*(((Inputs!$G$5:$G$130="moeda")+(Inputs!$G$5:$G$130="acoes"))*Inputs!$B$1+((Inputs!$G$5:$G$130&lt;&gt;"moeda")*(Inputs!$G$5:$G$130&lt;&gt;"acoes")))*INDEX(Inputs!$K$5:$AJ$130,0,MATCH(AH$2,Inputs!$K$4:$AJ$4,0)))+SUMPRODUCT((Inputs!$C$5:$C$130=$B45)*Inputs!$D$5:$D$130*(((Inputs!$G$5:$G$130="moeda")+(Inputs!$G$5:$G$130="acoes"))*Inputs!$B$1+((Inputs!$G$5:$G$130&lt;&gt;"moeda")*(Inputs!$G$5:$G$130&lt;&gt;"acoes")))*INDEX(Inputs!$K$5:$AJ$130,0,MATCH(AH$2,Inputs!$K$4:$AJ$4,0)))+SUMPRODUCT((Inputs!$E$5:$E$130=$B45)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45" s="265" t="e">
        <f>IF(ISNA(MATCH(AI$2,Inputs!$K$4:$AJ$4,0)),NA(),IF(SUMPRODUCT((Inputs!$A$5:$A$130=$B45)*ISNUMBER(INDEX(Inputs!$K$5:$AJ$130,0,MATCH(AI$2,Inputs!$K$4:$AJ$4,0))))+SUMPRODUCT((Inputs!$C$5:$C$130=$B45)*ISNUMBER(INDEX(Inputs!$K$5:$AJ$130,0,MATCH(AI$2,Inputs!$K$4:$AJ$4,0))))+SUMPRODUCT((Inputs!$E$5:$E$130=$B45)*ISNUMBER(INDEX(Inputs!$K$5:$AJ$130,0,MATCH(AI$2,Inputs!$K$4:$AJ$4,0))))=0,NA(),SUMPRODUCT((Inputs!$A$5:$A$130=$B45)*Inputs!$B$5:$B$130*(((Inputs!$G$5:$G$130="moeda")+(Inputs!$G$5:$G$130="acoes"))*Inputs!$B$1+((Inputs!$G$5:$G$130&lt;&gt;"moeda")*(Inputs!$G$5:$G$130&lt;&gt;"acoes")))*INDEX(Inputs!$K$5:$AJ$130,0,MATCH(AI$2,Inputs!$K$4:$AJ$4,0)))+SUMPRODUCT((Inputs!$C$5:$C$130=$B45)*Inputs!$D$5:$D$130*(((Inputs!$G$5:$G$130="moeda")+(Inputs!$G$5:$G$130="acoes"))*Inputs!$B$1+((Inputs!$G$5:$G$130&lt;&gt;"moeda")*(Inputs!$G$5:$G$130&lt;&gt;"acoes")))*INDEX(Inputs!$K$5:$AJ$130,0,MATCH(AI$2,Inputs!$K$4:$AJ$4,0)))+SUMPRODUCT((Inputs!$E$5:$E$130=$B45)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45" s="265" t="e">
        <f>IF(ISNA(MATCH(AJ$2,Inputs!$K$4:$AJ$4,0)),NA(),IF(SUMPRODUCT((Inputs!$A$5:$A$130=$B45)*ISNUMBER(INDEX(Inputs!$K$5:$AJ$130,0,MATCH(AJ$2,Inputs!$K$4:$AJ$4,0))))+SUMPRODUCT((Inputs!$C$5:$C$130=$B45)*ISNUMBER(INDEX(Inputs!$K$5:$AJ$130,0,MATCH(AJ$2,Inputs!$K$4:$AJ$4,0))))+SUMPRODUCT((Inputs!$E$5:$E$130=$B45)*ISNUMBER(INDEX(Inputs!$K$5:$AJ$130,0,MATCH(AJ$2,Inputs!$K$4:$AJ$4,0))))=0,NA(),SUMPRODUCT((Inputs!$A$5:$A$130=$B45)*Inputs!$B$5:$B$130*(((Inputs!$G$5:$G$130="moeda")+(Inputs!$G$5:$G$130="acoes"))*Inputs!$B$1+((Inputs!$G$5:$G$130&lt;&gt;"moeda")*(Inputs!$G$5:$G$130&lt;&gt;"acoes")))*INDEX(Inputs!$K$5:$AJ$130,0,MATCH(AJ$2,Inputs!$K$4:$AJ$4,0)))+SUMPRODUCT((Inputs!$C$5:$C$130=$B45)*Inputs!$D$5:$D$130*(((Inputs!$G$5:$G$130="moeda")+(Inputs!$G$5:$G$130="acoes"))*Inputs!$B$1+((Inputs!$G$5:$G$130&lt;&gt;"moeda")*(Inputs!$G$5:$G$130&lt;&gt;"acoes")))*INDEX(Inputs!$K$5:$AJ$130,0,MATCH(AJ$2,Inputs!$K$4:$AJ$4,0)))+SUMPRODUCT((Inputs!$E$5:$E$130=$B45)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45" s="265" t="e">
        <f>IF(ISNA(MATCH(AK$2,Inputs!$K$4:$AJ$4,0)),NA(),IF(SUMPRODUCT((Inputs!$A$5:$A$130=$B45)*ISNUMBER(INDEX(Inputs!$K$5:$AJ$130,0,MATCH(AK$2,Inputs!$K$4:$AJ$4,0))))+SUMPRODUCT((Inputs!$C$5:$C$130=$B45)*ISNUMBER(INDEX(Inputs!$K$5:$AJ$130,0,MATCH(AK$2,Inputs!$K$4:$AJ$4,0))))+SUMPRODUCT((Inputs!$E$5:$E$130=$B45)*ISNUMBER(INDEX(Inputs!$K$5:$AJ$130,0,MATCH(AK$2,Inputs!$K$4:$AJ$4,0))))=0,NA(),SUMPRODUCT((Inputs!$A$5:$A$130=$B45)*Inputs!$B$5:$B$130*(((Inputs!$G$5:$G$130="moeda")+(Inputs!$G$5:$G$130="acoes"))*Inputs!$B$1+((Inputs!$G$5:$G$130&lt;&gt;"moeda")*(Inputs!$G$5:$G$130&lt;&gt;"acoes")))*INDEX(Inputs!$K$5:$AJ$130,0,MATCH(AK$2,Inputs!$K$4:$AJ$4,0)))+SUMPRODUCT((Inputs!$C$5:$C$130=$B45)*Inputs!$D$5:$D$130*(((Inputs!$G$5:$G$130="moeda")+(Inputs!$G$5:$G$130="acoes"))*Inputs!$B$1+((Inputs!$G$5:$G$130&lt;&gt;"moeda")*(Inputs!$G$5:$G$130&lt;&gt;"acoes")))*INDEX(Inputs!$K$5:$AJ$130,0,MATCH(AK$2,Inputs!$K$4:$AJ$4,0)))+SUMPRODUCT((Inputs!$E$5:$E$130=$B45)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45" s="266" t="e">
        <f>AK45</f>
        <v>#N/A</v>
      </c>
    </row>
    <row r="46" ht="12.75" customHeight="1" s="254">
      <c r="B46" s="263" t="n">
        <v>40</v>
      </c>
      <c r="C46" s="268" t="inlineStr">
        <is>
          <t>Other equity account</t>
        </is>
      </c>
      <c r="D46" s="265" t="e">
        <f>IF(ISNA(MATCH(D$2,Inputs!$K$4:$AJ$4,0)),NA(),IF(SUMPRODUCT((Inputs!$A$5:$A$130=$B46)*ISNUMBER(INDEX(Inputs!$K$5:$AJ$130,0,MATCH(D$2,Inputs!$K$4:$AJ$4,0))))+SUMPRODUCT((Inputs!$C$5:$C$130=$B46)*ISNUMBER(INDEX(Inputs!$K$5:$AJ$130,0,MATCH(D$2,Inputs!$K$4:$AJ$4,0))))+SUMPRODUCT((Inputs!$E$5:$E$130=$B46)*ISNUMBER(INDEX(Inputs!$K$5:$AJ$130,0,MATCH(D$2,Inputs!$K$4:$AJ$4,0))))=0,NA(),SUMPRODUCT((Inputs!$A$5:$A$130=$B46)*Inputs!$B$5:$B$130*(((Inputs!$G$5:$G$130="moeda")+(Inputs!$G$5:$G$130="acoes"))*Inputs!$B$1+((Inputs!$G$5:$G$130&lt;&gt;"moeda")*(Inputs!$G$5:$G$130&lt;&gt;"acoes")))*INDEX(Inputs!$K$5:$AJ$130,0,MATCH(D$2,Inputs!$K$4:$AJ$4,0)))+SUMPRODUCT((Inputs!$C$5:$C$130=$B46)*Inputs!$D$5:$D$130*(((Inputs!$G$5:$G$130="moeda")+(Inputs!$G$5:$G$130="acoes"))*Inputs!$B$1+((Inputs!$G$5:$G$130&lt;&gt;"moeda")*(Inputs!$G$5:$G$130&lt;&gt;"acoes")))*INDEX(Inputs!$K$5:$AJ$130,0,MATCH(D$2,Inputs!$K$4:$AJ$4,0)))+SUMPRODUCT((Inputs!$E$5:$E$130=$B46)*Inputs!$F$5:$F$130*(((Inputs!$G$5:$G$130="moeda")+(Inputs!$G$5:$G$130="acoes"))*Inputs!$B$1+((Inputs!$G$5:$G$130&lt;&gt;"moeda")*(Inputs!$G$5:$G$130&lt;&gt;"acoes")))*INDEX(Inputs!$K$5:$AJ$130,0,MATCH(D$2,Inputs!$K$4:$AJ$4,0)))))</f>
        <v>#N/A</v>
      </c>
      <c r="E46" s="265" t="e">
        <f>IF(ISNA(MATCH(E$2,Inputs!$K$4:$AJ$4,0)),NA(),IF(SUMPRODUCT((Inputs!$A$5:$A$130=$B46)*ISNUMBER(INDEX(Inputs!$K$5:$AJ$130,0,MATCH(E$2,Inputs!$K$4:$AJ$4,0))))+SUMPRODUCT((Inputs!$C$5:$C$130=$B46)*ISNUMBER(INDEX(Inputs!$K$5:$AJ$130,0,MATCH(E$2,Inputs!$K$4:$AJ$4,0))))+SUMPRODUCT((Inputs!$E$5:$E$130=$B46)*ISNUMBER(INDEX(Inputs!$K$5:$AJ$130,0,MATCH(E$2,Inputs!$K$4:$AJ$4,0))))=0,NA(),SUMPRODUCT((Inputs!$A$5:$A$130=$B46)*Inputs!$B$5:$B$130*(((Inputs!$G$5:$G$130="moeda")+(Inputs!$G$5:$G$130="acoes"))*Inputs!$B$1+((Inputs!$G$5:$G$130&lt;&gt;"moeda")*(Inputs!$G$5:$G$130&lt;&gt;"acoes")))*INDEX(Inputs!$K$5:$AJ$130,0,MATCH(E$2,Inputs!$K$4:$AJ$4,0)))+SUMPRODUCT((Inputs!$C$5:$C$130=$B46)*Inputs!$D$5:$D$130*(((Inputs!$G$5:$G$130="moeda")+(Inputs!$G$5:$G$130="acoes"))*Inputs!$B$1+((Inputs!$G$5:$G$130&lt;&gt;"moeda")*(Inputs!$G$5:$G$130&lt;&gt;"acoes")))*INDEX(Inputs!$K$5:$AJ$130,0,MATCH(E$2,Inputs!$K$4:$AJ$4,0)))+SUMPRODUCT((Inputs!$E$5:$E$130=$B46)*Inputs!$F$5:$F$130*(((Inputs!$G$5:$G$130="moeda")+(Inputs!$G$5:$G$130="acoes"))*Inputs!$B$1+((Inputs!$G$5:$G$130&lt;&gt;"moeda")*(Inputs!$G$5:$G$130&lt;&gt;"acoes")))*INDEX(Inputs!$K$5:$AJ$130,0,MATCH(E$2,Inputs!$K$4:$AJ$4,0)))))</f>
        <v>#N/A</v>
      </c>
      <c r="F46" s="265" t="e">
        <f>IF(ISNA(MATCH(F$2,Inputs!$K$4:$AJ$4,0)),NA(),IF(SUMPRODUCT((Inputs!$A$5:$A$130=$B46)*ISNUMBER(INDEX(Inputs!$K$5:$AJ$130,0,MATCH(F$2,Inputs!$K$4:$AJ$4,0))))+SUMPRODUCT((Inputs!$C$5:$C$130=$B46)*ISNUMBER(INDEX(Inputs!$K$5:$AJ$130,0,MATCH(F$2,Inputs!$K$4:$AJ$4,0))))+SUMPRODUCT((Inputs!$E$5:$E$130=$B46)*ISNUMBER(INDEX(Inputs!$K$5:$AJ$130,0,MATCH(F$2,Inputs!$K$4:$AJ$4,0))))=0,NA(),SUMPRODUCT((Inputs!$A$5:$A$130=$B46)*Inputs!$B$5:$B$130*(((Inputs!$G$5:$G$130="moeda")+(Inputs!$G$5:$G$130="acoes"))*Inputs!$B$1+((Inputs!$G$5:$G$130&lt;&gt;"moeda")*(Inputs!$G$5:$G$130&lt;&gt;"acoes")))*INDEX(Inputs!$K$5:$AJ$130,0,MATCH(F$2,Inputs!$K$4:$AJ$4,0)))+SUMPRODUCT((Inputs!$C$5:$C$130=$B46)*Inputs!$D$5:$D$130*(((Inputs!$G$5:$G$130="moeda")+(Inputs!$G$5:$G$130="acoes"))*Inputs!$B$1+((Inputs!$G$5:$G$130&lt;&gt;"moeda")*(Inputs!$G$5:$G$130&lt;&gt;"acoes")))*INDEX(Inputs!$K$5:$AJ$130,0,MATCH(F$2,Inputs!$K$4:$AJ$4,0)))+SUMPRODUCT((Inputs!$E$5:$E$130=$B46)*Inputs!$F$5:$F$130*(((Inputs!$G$5:$G$130="moeda")+(Inputs!$G$5:$G$130="acoes"))*Inputs!$B$1+((Inputs!$G$5:$G$130&lt;&gt;"moeda")*(Inputs!$G$5:$G$130&lt;&gt;"acoes")))*INDEX(Inputs!$K$5:$AJ$130,0,MATCH(F$2,Inputs!$K$4:$AJ$4,0)))))</f>
        <v>#N/A</v>
      </c>
      <c r="G46" s="265" t="e">
        <f>IF(ISNA(MATCH(G$2,Inputs!$K$4:$AJ$4,0)),NA(),IF(SUMPRODUCT((Inputs!$A$5:$A$130=$B46)*ISNUMBER(INDEX(Inputs!$K$5:$AJ$130,0,MATCH(G$2,Inputs!$K$4:$AJ$4,0))))+SUMPRODUCT((Inputs!$C$5:$C$130=$B46)*ISNUMBER(INDEX(Inputs!$K$5:$AJ$130,0,MATCH(G$2,Inputs!$K$4:$AJ$4,0))))+SUMPRODUCT((Inputs!$E$5:$E$130=$B46)*ISNUMBER(INDEX(Inputs!$K$5:$AJ$130,0,MATCH(G$2,Inputs!$K$4:$AJ$4,0))))=0,NA(),SUMPRODUCT((Inputs!$A$5:$A$130=$B46)*Inputs!$B$5:$B$130*(((Inputs!$G$5:$G$130="moeda")+(Inputs!$G$5:$G$130="acoes"))*Inputs!$B$1+((Inputs!$G$5:$G$130&lt;&gt;"moeda")*(Inputs!$G$5:$G$130&lt;&gt;"acoes")))*INDEX(Inputs!$K$5:$AJ$130,0,MATCH(G$2,Inputs!$K$4:$AJ$4,0)))+SUMPRODUCT((Inputs!$C$5:$C$130=$B46)*Inputs!$D$5:$D$130*(((Inputs!$G$5:$G$130="moeda")+(Inputs!$G$5:$G$130="acoes"))*Inputs!$B$1+((Inputs!$G$5:$G$130&lt;&gt;"moeda")*(Inputs!$G$5:$G$130&lt;&gt;"acoes")))*INDEX(Inputs!$K$5:$AJ$130,0,MATCH(G$2,Inputs!$K$4:$AJ$4,0)))+SUMPRODUCT((Inputs!$E$5:$E$130=$B46)*Inputs!$F$5:$F$130*(((Inputs!$G$5:$G$130="moeda")+(Inputs!$G$5:$G$130="acoes"))*Inputs!$B$1+((Inputs!$G$5:$G$130&lt;&gt;"moeda")*(Inputs!$G$5:$G$130&lt;&gt;"acoes")))*INDEX(Inputs!$K$5:$AJ$130,0,MATCH(G$2,Inputs!$K$4:$AJ$4,0)))))</f>
        <v>#N/A</v>
      </c>
      <c r="H46" s="266" t="e">
        <f>G46</f>
        <v>#N/A</v>
      </c>
      <c r="I46" s="265" t="e">
        <f>IF(ISNA(MATCH(I$2,Inputs!$K$4:$AJ$4,0)),NA(),IF(SUMPRODUCT((Inputs!$A$5:$A$130=$B46)*ISNUMBER(INDEX(Inputs!$K$5:$AJ$130,0,MATCH(I$2,Inputs!$K$4:$AJ$4,0))))+SUMPRODUCT((Inputs!$C$5:$C$130=$B46)*ISNUMBER(INDEX(Inputs!$K$5:$AJ$130,0,MATCH(I$2,Inputs!$K$4:$AJ$4,0))))+SUMPRODUCT((Inputs!$E$5:$E$130=$B46)*ISNUMBER(INDEX(Inputs!$K$5:$AJ$130,0,MATCH(I$2,Inputs!$K$4:$AJ$4,0))))=0,NA(),SUMPRODUCT((Inputs!$A$5:$A$130=$B46)*Inputs!$B$5:$B$130*(((Inputs!$G$5:$G$130="moeda")+(Inputs!$G$5:$G$130="acoes"))*Inputs!$B$1+((Inputs!$G$5:$G$130&lt;&gt;"moeda")*(Inputs!$G$5:$G$130&lt;&gt;"acoes")))*INDEX(Inputs!$K$5:$AJ$130,0,MATCH(I$2,Inputs!$K$4:$AJ$4,0)))+SUMPRODUCT((Inputs!$C$5:$C$130=$B46)*Inputs!$D$5:$D$130*(((Inputs!$G$5:$G$130="moeda")+(Inputs!$G$5:$G$130="acoes"))*Inputs!$B$1+((Inputs!$G$5:$G$130&lt;&gt;"moeda")*(Inputs!$G$5:$G$130&lt;&gt;"acoes")))*INDEX(Inputs!$K$5:$AJ$130,0,MATCH(I$2,Inputs!$K$4:$AJ$4,0)))+SUMPRODUCT((Inputs!$E$5:$E$130=$B46)*Inputs!$F$5:$F$130*(((Inputs!$G$5:$G$130="moeda")+(Inputs!$G$5:$G$130="acoes"))*Inputs!$B$1+((Inputs!$G$5:$G$130&lt;&gt;"moeda")*(Inputs!$G$5:$G$130&lt;&gt;"acoes")))*INDEX(Inputs!$K$5:$AJ$130,0,MATCH(I$2,Inputs!$K$4:$AJ$4,0)))))</f>
        <v>#N/A</v>
      </c>
      <c r="J46" s="265" t="e">
        <f>IF(ISNA(MATCH(J$2,Inputs!$K$4:$AJ$4,0)),NA(),IF(SUMPRODUCT((Inputs!$A$5:$A$130=$B46)*ISNUMBER(INDEX(Inputs!$K$5:$AJ$130,0,MATCH(J$2,Inputs!$K$4:$AJ$4,0))))+SUMPRODUCT((Inputs!$C$5:$C$130=$B46)*ISNUMBER(INDEX(Inputs!$K$5:$AJ$130,0,MATCH(J$2,Inputs!$K$4:$AJ$4,0))))+SUMPRODUCT((Inputs!$E$5:$E$130=$B46)*ISNUMBER(INDEX(Inputs!$K$5:$AJ$130,0,MATCH(J$2,Inputs!$K$4:$AJ$4,0))))=0,NA(),SUMPRODUCT((Inputs!$A$5:$A$130=$B46)*Inputs!$B$5:$B$130*(((Inputs!$G$5:$G$130="moeda")+(Inputs!$G$5:$G$130="acoes"))*Inputs!$B$1+((Inputs!$G$5:$G$130&lt;&gt;"moeda")*(Inputs!$G$5:$G$130&lt;&gt;"acoes")))*INDEX(Inputs!$K$5:$AJ$130,0,MATCH(J$2,Inputs!$K$4:$AJ$4,0)))+SUMPRODUCT((Inputs!$C$5:$C$130=$B46)*Inputs!$D$5:$D$130*(((Inputs!$G$5:$G$130="moeda")+(Inputs!$G$5:$G$130="acoes"))*Inputs!$B$1+((Inputs!$G$5:$G$130&lt;&gt;"moeda")*(Inputs!$G$5:$G$130&lt;&gt;"acoes")))*INDEX(Inputs!$K$5:$AJ$130,0,MATCH(J$2,Inputs!$K$4:$AJ$4,0)))+SUMPRODUCT((Inputs!$E$5:$E$130=$B46)*Inputs!$F$5:$F$130*(((Inputs!$G$5:$G$130="moeda")+(Inputs!$G$5:$G$130="acoes"))*Inputs!$B$1+((Inputs!$G$5:$G$130&lt;&gt;"moeda")*(Inputs!$G$5:$G$130&lt;&gt;"acoes")))*INDEX(Inputs!$K$5:$AJ$130,0,MATCH(J$2,Inputs!$K$4:$AJ$4,0)))))</f>
        <v>#N/A</v>
      </c>
      <c r="K46" s="265" t="e">
        <f>IF(ISNA(MATCH(K$2,Inputs!$K$4:$AJ$4,0)),NA(),IF(SUMPRODUCT((Inputs!$A$5:$A$130=$B46)*ISNUMBER(INDEX(Inputs!$K$5:$AJ$130,0,MATCH(K$2,Inputs!$K$4:$AJ$4,0))))+SUMPRODUCT((Inputs!$C$5:$C$130=$B46)*ISNUMBER(INDEX(Inputs!$K$5:$AJ$130,0,MATCH(K$2,Inputs!$K$4:$AJ$4,0))))+SUMPRODUCT((Inputs!$E$5:$E$130=$B46)*ISNUMBER(INDEX(Inputs!$K$5:$AJ$130,0,MATCH(K$2,Inputs!$K$4:$AJ$4,0))))=0,NA(),SUMPRODUCT((Inputs!$A$5:$A$130=$B46)*Inputs!$B$5:$B$130*(((Inputs!$G$5:$G$130="moeda")+(Inputs!$G$5:$G$130="acoes"))*Inputs!$B$1+((Inputs!$G$5:$G$130&lt;&gt;"moeda")*(Inputs!$G$5:$G$130&lt;&gt;"acoes")))*INDEX(Inputs!$K$5:$AJ$130,0,MATCH(K$2,Inputs!$K$4:$AJ$4,0)))+SUMPRODUCT((Inputs!$C$5:$C$130=$B46)*Inputs!$D$5:$D$130*(((Inputs!$G$5:$G$130="moeda")+(Inputs!$G$5:$G$130="acoes"))*Inputs!$B$1+((Inputs!$G$5:$G$130&lt;&gt;"moeda")*(Inputs!$G$5:$G$130&lt;&gt;"acoes")))*INDEX(Inputs!$K$5:$AJ$130,0,MATCH(K$2,Inputs!$K$4:$AJ$4,0)))+SUMPRODUCT((Inputs!$E$5:$E$130=$B46)*Inputs!$F$5:$F$130*(((Inputs!$G$5:$G$130="moeda")+(Inputs!$G$5:$G$130="acoes"))*Inputs!$B$1+((Inputs!$G$5:$G$130&lt;&gt;"moeda")*(Inputs!$G$5:$G$130&lt;&gt;"acoes")))*INDEX(Inputs!$K$5:$AJ$130,0,MATCH(K$2,Inputs!$K$4:$AJ$4,0)))))</f>
        <v>#N/A</v>
      </c>
      <c r="L46" s="265" t="e">
        <f>IF(ISNA(MATCH(L$2,Inputs!$K$4:$AJ$4,0)),NA(),IF(SUMPRODUCT((Inputs!$A$5:$A$130=$B46)*ISNUMBER(INDEX(Inputs!$K$5:$AJ$130,0,MATCH(L$2,Inputs!$K$4:$AJ$4,0))))+SUMPRODUCT((Inputs!$C$5:$C$130=$B46)*ISNUMBER(INDEX(Inputs!$K$5:$AJ$130,0,MATCH(L$2,Inputs!$K$4:$AJ$4,0))))+SUMPRODUCT((Inputs!$E$5:$E$130=$B46)*ISNUMBER(INDEX(Inputs!$K$5:$AJ$130,0,MATCH(L$2,Inputs!$K$4:$AJ$4,0))))=0,NA(),SUMPRODUCT((Inputs!$A$5:$A$130=$B46)*Inputs!$B$5:$B$130*(((Inputs!$G$5:$G$130="moeda")+(Inputs!$G$5:$G$130="acoes"))*Inputs!$B$1+((Inputs!$G$5:$G$130&lt;&gt;"moeda")*(Inputs!$G$5:$G$130&lt;&gt;"acoes")))*INDEX(Inputs!$K$5:$AJ$130,0,MATCH(L$2,Inputs!$K$4:$AJ$4,0)))+SUMPRODUCT((Inputs!$C$5:$C$130=$B46)*Inputs!$D$5:$D$130*(((Inputs!$G$5:$G$130="moeda")+(Inputs!$G$5:$G$130="acoes"))*Inputs!$B$1+((Inputs!$G$5:$G$130&lt;&gt;"moeda")*(Inputs!$G$5:$G$130&lt;&gt;"acoes")))*INDEX(Inputs!$K$5:$AJ$130,0,MATCH(L$2,Inputs!$K$4:$AJ$4,0)))+SUMPRODUCT((Inputs!$E$5:$E$130=$B46)*Inputs!$F$5:$F$130*(((Inputs!$G$5:$G$130="moeda")+(Inputs!$G$5:$G$130="acoes"))*Inputs!$B$1+((Inputs!$G$5:$G$130&lt;&gt;"moeda")*(Inputs!$G$5:$G$130&lt;&gt;"acoes")))*INDEX(Inputs!$K$5:$AJ$130,0,MATCH(L$2,Inputs!$K$4:$AJ$4,0)))))</f>
        <v>#N/A</v>
      </c>
      <c r="M46" s="266" t="e">
        <f>L46</f>
        <v>#N/A</v>
      </c>
      <c r="N46" s="265" t="e">
        <f>IF(ISNA(MATCH(N$2,Inputs!$K$4:$AJ$4,0)),NA(),IF(SUMPRODUCT((Inputs!$A$5:$A$130=$B46)*ISNUMBER(INDEX(Inputs!$K$5:$AJ$130,0,MATCH(N$2,Inputs!$K$4:$AJ$4,0))))+SUMPRODUCT((Inputs!$C$5:$C$130=$B46)*ISNUMBER(INDEX(Inputs!$K$5:$AJ$130,0,MATCH(N$2,Inputs!$K$4:$AJ$4,0))))+SUMPRODUCT((Inputs!$E$5:$E$130=$B46)*ISNUMBER(INDEX(Inputs!$K$5:$AJ$130,0,MATCH(N$2,Inputs!$K$4:$AJ$4,0))))=0,NA(),SUMPRODUCT((Inputs!$A$5:$A$130=$B46)*Inputs!$B$5:$B$130*(((Inputs!$G$5:$G$130="moeda")+(Inputs!$G$5:$G$130="acoes"))*Inputs!$B$1+((Inputs!$G$5:$G$130&lt;&gt;"moeda")*(Inputs!$G$5:$G$130&lt;&gt;"acoes")))*INDEX(Inputs!$K$5:$AJ$130,0,MATCH(N$2,Inputs!$K$4:$AJ$4,0)))+SUMPRODUCT((Inputs!$C$5:$C$130=$B46)*Inputs!$D$5:$D$130*(((Inputs!$G$5:$G$130="moeda")+(Inputs!$G$5:$G$130="acoes"))*Inputs!$B$1+((Inputs!$G$5:$G$130&lt;&gt;"moeda")*(Inputs!$G$5:$G$130&lt;&gt;"acoes")))*INDEX(Inputs!$K$5:$AJ$130,0,MATCH(N$2,Inputs!$K$4:$AJ$4,0)))+SUMPRODUCT((Inputs!$E$5:$E$130=$B46)*Inputs!$F$5:$F$130*(((Inputs!$G$5:$G$130="moeda")+(Inputs!$G$5:$G$130="acoes"))*Inputs!$B$1+((Inputs!$G$5:$G$130&lt;&gt;"moeda")*(Inputs!$G$5:$G$130&lt;&gt;"acoes")))*INDEX(Inputs!$K$5:$AJ$130,0,MATCH(N$2,Inputs!$K$4:$AJ$4,0)))))</f>
        <v>#N/A</v>
      </c>
      <c r="O46" s="265" t="e">
        <f>IF(ISNA(MATCH(O$2,Inputs!$K$4:$AJ$4,0)),NA(),IF(SUMPRODUCT((Inputs!$A$5:$A$130=$B46)*ISNUMBER(INDEX(Inputs!$K$5:$AJ$130,0,MATCH(O$2,Inputs!$K$4:$AJ$4,0))))+SUMPRODUCT((Inputs!$C$5:$C$130=$B46)*ISNUMBER(INDEX(Inputs!$K$5:$AJ$130,0,MATCH(O$2,Inputs!$K$4:$AJ$4,0))))+SUMPRODUCT((Inputs!$E$5:$E$130=$B46)*ISNUMBER(INDEX(Inputs!$K$5:$AJ$130,0,MATCH(O$2,Inputs!$K$4:$AJ$4,0))))=0,NA(),SUMPRODUCT((Inputs!$A$5:$A$130=$B46)*Inputs!$B$5:$B$130*(((Inputs!$G$5:$G$130="moeda")+(Inputs!$G$5:$G$130="acoes"))*Inputs!$B$1+((Inputs!$G$5:$G$130&lt;&gt;"moeda")*(Inputs!$G$5:$G$130&lt;&gt;"acoes")))*INDEX(Inputs!$K$5:$AJ$130,0,MATCH(O$2,Inputs!$K$4:$AJ$4,0)))+SUMPRODUCT((Inputs!$C$5:$C$130=$B46)*Inputs!$D$5:$D$130*(((Inputs!$G$5:$G$130="moeda")+(Inputs!$G$5:$G$130="acoes"))*Inputs!$B$1+((Inputs!$G$5:$G$130&lt;&gt;"moeda")*(Inputs!$G$5:$G$130&lt;&gt;"acoes")))*INDEX(Inputs!$K$5:$AJ$130,0,MATCH(O$2,Inputs!$K$4:$AJ$4,0)))+SUMPRODUCT((Inputs!$E$5:$E$130=$B46)*Inputs!$F$5:$F$130*(((Inputs!$G$5:$G$130="moeda")+(Inputs!$G$5:$G$130="acoes"))*Inputs!$B$1+((Inputs!$G$5:$G$130&lt;&gt;"moeda")*(Inputs!$G$5:$G$130&lt;&gt;"acoes")))*INDEX(Inputs!$K$5:$AJ$130,0,MATCH(O$2,Inputs!$K$4:$AJ$4,0)))))</f>
        <v>#N/A</v>
      </c>
      <c r="P46" s="265" t="e">
        <f>IF(ISNA(MATCH(P$2,Inputs!$K$4:$AJ$4,0)),NA(),IF(SUMPRODUCT((Inputs!$A$5:$A$130=$B46)*ISNUMBER(INDEX(Inputs!$K$5:$AJ$130,0,MATCH(P$2,Inputs!$K$4:$AJ$4,0))))+SUMPRODUCT((Inputs!$C$5:$C$130=$B46)*ISNUMBER(INDEX(Inputs!$K$5:$AJ$130,0,MATCH(P$2,Inputs!$K$4:$AJ$4,0))))+SUMPRODUCT((Inputs!$E$5:$E$130=$B46)*ISNUMBER(INDEX(Inputs!$K$5:$AJ$130,0,MATCH(P$2,Inputs!$K$4:$AJ$4,0))))=0,NA(),SUMPRODUCT((Inputs!$A$5:$A$130=$B46)*Inputs!$B$5:$B$130*(((Inputs!$G$5:$G$130="moeda")+(Inputs!$G$5:$G$130="acoes"))*Inputs!$B$1+((Inputs!$G$5:$G$130&lt;&gt;"moeda")*(Inputs!$G$5:$G$130&lt;&gt;"acoes")))*INDEX(Inputs!$K$5:$AJ$130,0,MATCH(P$2,Inputs!$K$4:$AJ$4,0)))+SUMPRODUCT((Inputs!$C$5:$C$130=$B46)*Inputs!$D$5:$D$130*(((Inputs!$G$5:$G$130="moeda")+(Inputs!$G$5:$G$130="acoes"))*Inputs!$B$1+((Inputs!$G$5:$G$130&lt;&gt;"moeda")*(Inputs!$G$5:$G$130&lt;&gt;"acoes")))*INDEX(Inputs!$K$5:$AJ$130,0,MATCH(P$2,Inputs!$K$4:$AJ$4,0)))+SUMPRODUCT((Inputs!$E$5:$E$130=$B46)*Inputs!$F$5:$F$130*(((Inputs!$G$5:$G$130="moeda")+(Inputs!$G$5:$G$130="acoes"))*Inputs!$B$1+((Inputs!$G$5:$G$130&lt;&gt;"moeda")*(Inputs!$G$5:$G$130&lt;&gt;"acoes")))*INDEX(Inputs!$K$5:$AJ$130,0,MATCH(P$2,Inputs!$K$4:$AJ$4,0)))))</f>
        <v>#N/A</v>
      </c>
      <c r="Q46" s="265" t="e">
        <f>IF(ISNA(MATCH(Q$2,Inputs!$K$4:$AJ$4,0)),NA(),IF(SUMPRODUCT((Inputs!$A$5:$A$130=$B46)*ISNUMBER(INDEX(Inputs!$K$5:$AJ$130,0,MATCH(Q$2,Inputs!$K$4:$AJ$4,0))))+SUMPRODUCT((Inputs!$C$5:$C$130=$B46)*ISNUMBER(INDEX(Inputs!$K$5:$AJ$130,0,MATCH(Q$2,Inputs!$K$4:$AJ$4,0))))+SUMPRODUCT((Inputs!$E$5:$E$130=$B46)*ISNUMBER(INDEX(Inputs!$K$5:$AJ$130,0,MATCH(Q$2,Inputs!$K$4:$AJ$4,0))))=0,NA(),SUMPRODUCT((Inputs!$A$5:$A$130=$B46)*Inputs!$B$5:$B$130*(((Inputs!$G$5:$G$130="moeda")+(Inputs!$G$5:$G$130="acoes"))*Inputs!$B$1+((Inputs!$G$5:$G$130&lt;&gt;"moeda")*(Inputs!$G$5:$G$130&lt;&gt;"acoes")))*INDEX(Inputs!$K$5:$AJ$130,0,MATCH(Q$2,Inputs!$K$4:$AJ$4,0)))+SUMPRODUCT((Inputs!$C$5:$C$130=$B46)*Inputs!$D$5:$D$130*(((Inputs!$G$5:$G$130="moeda")+(Inputs!$G$5:$G$130="acoes"))*Inputs!$B$1+((Inputs!$G$5:$G$130&lt;&gt;"moeda")*(Inputs!$G$5:$G$130&lt;&gt;"acoes")))*INDEX(Inputs!$K$5:$AJ$130,0,MATCH(Q$2,Inputs!$K$4:$AJ$4,0)))+SUMPRODUCT((Inputs!$E$5:$E$130=$B46)*Inputs!$F$5:$F$130*(((Inputs!$G$5:$G$130="moeda")+(Inputs!$G$5:$G$130="acoes"))*Inputs!$B$1+((Inputs!$G$5:$G$130&lt;&gt;"moeda")*(Inputs!$G$5:$G$130&lt;&gt;"acoes")))*INDEX(Inputs!$K$5:$AJ$130,0,MATCH(Q$2,Inputs!$K$4:$AJ$4,0)))))</f>
        <v>#N/A</v>
      </c>
      <c r="R46" s="266" t="e">
        <f>Q46</f>
        <v>#N/A</v>
      </c>
      <c r="S46" s="265" t="e">
        <f>IF(ISNA(MATCH(S$2,Inputs!$K$4:$AJ$4,0)),NA(),IF(SUMPRODUCT((Inputs!$A$5:$A$130=$B46)*ISNUMBER(INDEX(Inputs!$K$5:$AJ$130,0,MATCH(S$2,Inputs!$K$4:$AJ$4,0))))+SUMPRODUCT((Inputs!$C$5:$C$130=$B46)*ISNUMBER(INDEX(Inputs!$K$5:$AJ$130,0,MATCH(S$2,Inputs!$K$4:$AJ$4,0))))+SUMPRODUCT((Inputs!$E$5:$E$130=$B46)*ISNUMBER(INDEX(Inputs!$K$5:$AJ$130,0,MATCH(S$2,Inputs!$K$4:$AJ$4,0))))=0,NA(),SUMPRODUCT((Inputs!$A$5:$A$130=$B46)*Inputs!$B$5:$B$130*(((Inputs!$G$5:$G$130="moeda")+(Inputs!$G$5:$G$130="acoes"))*Inputs!$B$1+((Inputs!$G$5:$G$130&lt;&gt;"moeda")*(Inputs!$G$5:$G$130&lt;&gt;"acoes")))*INDEX(Inputs!$K$5:$AJ$130,0,MATCH(S$2,Inputs!$K$4:$AJ$4,0)))+SUMPRODUCT((Inputs!$C$5:$C$130=$B46)*Inputs!$D$5:$D$130*(((Inputs!$G$5:$G$130="moeda")+(Inputs!$G$5:$G$130="acoes"))*Inputs!$B$1+((Inputs!$G$5:$G$130&lt;&gt;"moeda")*(Inputs!$G$5:$G$130&lt;&gt;"acoes")))*INDEX(Inputs!$K$5:$AJ$130,0,MATCH(S$2,Inputs!$K$4:$AJ$4,0)))+SUMPRODUCT((Inputs!$E$5:$E$130=$B46)*Inputs!$F$5:$F$130*(((Inputs!$G$5:$G$130="moeda")+(Inputs!$G$5:$G$130="acoes"))*Inputs!$B$1+((Inputs!$G$5:$G$130&lt;&gt;"moeda")*(Inputs!$G$5:$G$130&lt;&gt;"acoes")))*INDEX(Inputs!$K$5:$AJ$130,0,MATCH(S$2,Inputs!$K$4:$AJ$4,0)))))</f>
        <v>#N/A</v>
      </c>
      <c r="T46" s="265" t="e">
        <f>IF(ISNA(MATCH(T$2,Inputs!$K$4:$AJ$4,0)),NA(),IF(SUMPRODUCT((Inputs!$A$5:$A$130=$B46)*ISNUMBER(INDEX(Inputs!$K$5:$AJ$130,0,MATCH(T$2,Inputs!$K$4:$AJ$4,0))))+SUMPRODUCT((Inputs!$C$5:$C$130=$B46)*ISNUMBER(INDEX(Inputs!$K$5:$AJ$130,0,MATCH(T$2,Inputs!$K$4:$AJ$4,0))))+SUMPRODUCT((Inputs!$E$5:$E$130=$B46)*ISNUMBER(INDEX(Inputs!$K$5:$AJ$130,0,MATCH(T$2,Inputs!$K$4:$AJ$4,0))))=0,NA(),SUMPRODUCT((Inputs!$A$5:$A$130=$B46)*Inputs!$B$5:$B$130*(((Inputs!$G$5:$G$130="moeda")+(Inputs!$G$5:$G$130="acoes"))*Inputs!$B$1+((Inputs!$G$5:$G$130&lt;&gt;"moeda")*(Inputs!$G$5:$G$130&lt;&gt;"acoes")))*INDEX(Inputs!$K$5:$AJ$130,0,MATCH(T$2,Inputs!$K$4:$AJ$4,0)))+SUMPRODUCT((Inputs!$C$5:$C$130=$B46)*Inputs!$D$5:$D$130*(((Inputs!$G$5:$G$130="moeda")+(Inputs!$G$5:$G$130="acoes"))*Inputs!$B$1+((Inputs!$G$5:$G$130&lt;&gt;"moeda")*(Inputs!$G$5:$G$130&lt;&gt;"acoes")))*INDEX(Inputs!$K$5:$AJ$130,0,MATCH(T$2,Inputs!$K$4:$AJ$4,0)))+SUMPRODUCT((Inputs!$E$5:$E$130=$B46)*Inputs!$F$5:$F$130*(((Inputs!$G$5:$G$130="moeda")+(Inputs!$G$5:$G$130="acoes"))*Inputs!$B$1+((Inputs!$G$5:$G$130&lt;&gt;"moeda")*(Inputs!$G$5:$G$130&lt;&gt;"acoes")))*INDEX(Inputs!$K$5:$AJ$130,0,MATCH(T$2,Inputs!$K$4:$AJ$4,0)))))</f>
        <v>#N/A</v>
      </c>
      <c r="U46" s="265" t="e">
        <f>IF(ISNA(MATCH(U$2,Inputs!$K$4:$AJ$4,0)),NA(),IF(SUMPRODUCT((Inputs!$A$5:$A$130=$B46)*ISNUMBER(INDEX(Inputs!$K$5:$AJ$130,0,MATCH(U$2,Inputs!$K$4:$AJ$4,0))))+SUMPRODUCT((Inputs!$C$5:$C$130=$B46)*ISNUMBER(INDEX(Inputs!$K$5:$AJ$130,0,MATCH(U$2,Inputs!$K$4:$AJ$4,0))))+SUMPRODUCT((Inputs!$E$5:$E$130=$B46)*ISNUMBER(INDEX(Inputs!$K$5:$AJ$130,0,MATCH(U$2,Inputs!$K$4:$AJ$4,0))))=0,NA(),SUMPRODUCT((Inputs!$A$5:$A$130=$B46)*Inputs!$B$5:$B$130*(((Inputs!$G$5:$G$130="moeda")+(Inputs!$G$5:$G$130="acoes"))*Inputs!$B$1+((Inputs!$G$5:$G$130&lt;&gt;"moeda")*(Inputs!$G$5:$G$130&lt;&gt;"acoes")))*INDEX(Inputs!$K$5:$AJ$130,0,MATCH(U$2,Inputs!$K$4:$AJ$4,0)))+SUMPRODUCT((Inputs!$C$5:$C$130=$B46)*Inputs!$D$5:$D$130*(((Inputs!$G$5:$G$130="moeda")+(Inputs!$G$5:$G$130="acoes"))*Inputs!$B$1+((Inputs!$G$5:$G$130&lt;&gt;"moeda")*(Inputs!$G$5:$G$130&lt;&gt;"acoes")))*INDEX(Inputs!$K$5:$AJ$130,0,MATCH(U$2,Inputs!$K$4:$AJ$4,0)))+SUMPRODUCT((Inputs!$E$5:$E$130=$B46)*Inputs!$F$5:$F$130*(((Inputs!$G$5:$G$130="moeda")+(Inputs!$G$5:$G$130="acoes"))*Inputs!$B$1+((Inputs!$G$5:$G$130&lt;&gt;"moeda")*(Inputs!$G$5:$G$130&lt;&gt;"acoes")))*INDEX(Inputs!$K$5:$AJ$130,0,MATCH(U$2,Inputs!$K$4:$AJ$4,0)))))</f>
        <v>#N/A</v>
      </c>
      <c r="V46" s="265" t="e">
        <f>IF(ISNA(MATCH(V$2,Inputs!$K$4:$AJ$4,0)),NA(),IF(SUMPRODUCT((Inputs!$A$5:$A$130=$B46)*ISNUMBER(INDEX(Inputs!$K$5:$AJ$130,0,MATCH(V$2,Inputs!$K$4:$AJ$4,0))))+SUMPRODUCT((Inputs!$C$5:$C$130=$B46)*ISNUMBER(INDEX(Inputs!$K$5:$AJ$130,0,MATCH(V$2,Inputs!$K$4:$AJ$4,0))))+SUMPRODUCT((Inputs!$E$5:$E$130=$B46)*ISNUMBER(INDEX(Inputs!$K$5:$AJ$130,0,MATCH(V$2,Inputs!$K$4:$AJ$4,0))))=0,NA(),SUMPRODUCT((Inputs!$A$5:$A$130=$B46)*Inputs!$B$5:$B$130*(((Inputs!$G$5:$G$130="moeda")+(Inputs!$G$5:$G$130="acoes"))*Inputs!$B$1+((Inputs!$G$5:$G$130&lt;&gt;"moeda")*(Inputs!$G$5:$G$130&lt;&gt;"acoes")))*INDEX(Inputs!$K$5:$AJ$130,0,MATCH(V$2,Inputs!$K$4:$AJ$4,0)))+SUMPRODUCT((Inputs!$C$5:$C$130=$B46)*Inputs!$D$5:$D$130*(((Inputs!$G$5:$G$130="moeda")+(Inputs!$G$5:$G$130="acoes"))*Inputs!$B$1+((Inputs!$G$5:$G$130&lt;&gt;"moeda")*(Inputs!$G$5:$G$130&lt;&gt;"acoes")))*INDEX(Inputs!$K$5:$AJ$130,0,MATCH(V$2,Inputs!$K$4:$AJ$4,0)))+SUMPRODUCT((Inputs!$E$5:$E$130=$B46)*Inputs!$F$5:$F$130*(((Inputs!$G$5:$G$130="moeda")+(Inputs!$G$5:$G$130="acoes"))*Inputs!$B$1+((Inputs!$G$5:$G$130&lt;&gt;"moeda")*(Inputs!$G$5:$G$130&lt;&gt;"acoes")))*INDEX(Inputs!$K$5:$AJ$130,0,MATCH(V$2,Inputs!$K$4:$AJ$4,0)))))</f>
        <v>#N/A</v>
      </c>
      <c r="W46" s="266" t="e">
        <f>V46</f>
        <v>#N/A</v>
      </c>
      <c r="X46" s="265" t="e">
        <f>IF(ISNA(MATCH(X$2,Inputs!$K$4:$AJ$4,0)),NA(),IF(SUMPRODUCT((Inputs!$A$5:$A$130=$B46)*ISNUMBER(INDEX(Inputs!$K$5:$AJ$130,0,MATCH(X$2,Inputs!$K$4:$AJ$4,0))))+SUMPRODUCT((Inputs!$C$5:$C$130=$B46)*ISNUMBER(INDEX(Inputs!$K$5:$AJ$130,0,MATCH(X$2,Inputs!$K$4:$AJ$4,0))))+SUMPRODUCT((Inputs!$E$5:$E$130=$B46)*ISNUMBER(INDEX(Inputs!$K$5:$AJ$130,0,MATCH(X$2,Inputs!$K$4:$AJ$4,0))))=0,NA(),SUMPRODUCT((Inputs!$A$5:$A$130=$B46)*Inputs!$B$5:$B$130*(((Inputs!$G$5:$G$130="moeda")+(Inputs!$G$5:$G$130="acoes"))*Inputs!$B$1+((Inputs!$G$5:$G$130&lt;&gt;"moeda")*(Inputs!$G$5:$G$130&lt;&gt;"acoes")))*INDEX(Inputs!$K$5:$AJ$130,0,MATCH(X$2,Inputs!$K$4:$AJ$4,0)))+SUMPRODUCT((Inputs!$C$5:$C$130=$B46)*Inputs!$D$5:$D$130*(((Inputs!$G$5:$G$130="moeda")+(Inputs!$G$5:$G$130="acoes"))*Inputs!$B$1+((Inputs!$G$5:$G$130&lt;&gt;"moeda")*(Inputs!$G$5:$G$130&lt;&gt;"acoes")))*INDEX(Inputs!$K$5:$AJ$130,0,MATCH(X$2,Inputs!$K$4:$AJ$4,0)))+SUMPRODUCT((Inputs!$E$5:$E$130=$B46)*Inputs!$F$5:$F$130*(((Inputs!$G$5:$G$130="moeda")+(Inputs!$G$5:$G$130="acoes"))*Inputs!$B$1+((Inputs!$G$5:$G$130&lt;&gt;"moeda")*(Inputs!$G$5:$G$130&lt;&gt;"acoes")))*INDEX(Inputs!$K$5:$AJ$130,0,MATCH(X$2,Inputs!$K$4:$AJ$4,0)))))</f>
        <v>#N/A</v>
      </c>
      <c r="Y46" s="265" t="e">
        <f>IF(ISNA(MATCH(Y$2,Inputs!$K$4:$AJ$4,0)),NA(),IF(SUMPRODUCT((Inputs!$A$5:$A$130=$B46)*ISNUMBER(INDEX(Inputs!$K$5:$AJ$130,0,MATCH(Y$2,Inputs!$K$4:$AJ$4,0))))+SUMPRODUCT((Inputs!$C$5:$C$130=$B46)*ISNUMBER(INDEX(Inputs!$K$5:$AJ$130,0,MATCH(Y$2,Inputs!$K$4:$AJ$4,0))))+SUMPRODUCT((Inputs!$E$5:$E$130=$B46)*ISNUMBER(INDEX(Inputs!$K$5:$AJ$130,0,MATCH(Y$2,Inputs!$K$4:$AJ$4,0))))=0,NA(),SUMPRODUCT((Inputs!$A$5:$A$130=$B46)*Inputs!$B$5:$B$130*(((Inputs!$G$5:$G$130="moeda")+(Inputs!$G$5:$G$130="acoes"))*Inputs!$B$1+((Inputs!$G$5:$G$130&lt;&gt;"moeda")*(Inputs!$G$5:$G$130&lt;&gt;"acoes")))*INDEX(Inputs!$K$5:$AJ$130,0,MATCH(Y$2,Inputs!$K$4:$AJ$4,0)))+SUMPRODUCT((Inputs!$C$5:$C$130=$B46)*Inputs!$D$5:$D$130*(((Inputs!$G$5:$G$130="moeda")+(Inputs!$G$5:$G$130="acoes"))*Inputs!$B$1+((Inputs!$G$5:$G$130&lt;&gt;"moeda")*(Inputs!$G$5:$G$130&lt;&gt;"acoes")))*INDEX(Inputs!$K$5:$AJ$130,0,MATCH(Y$2,Inputs!$K$4:$AJ$4,0)))+SUMPRODUCT((Inputs!$E$5:$E$130=$B46)*Inputs!$F$5:$F$130*(((Inputs!$G$5:$G$130="moeda")+(Inputs!$G$5:$G$130="acoes"))*Inputs!$B$1+((Inputs!$G$5:$G$130&lt;&gt;"moeda")*(Inputs!$G$5:$G$130&lt;&gt;"acoes")))*INDEX(Inputs!$K$5:$AJ$130,0,MATCH(Y$2,Inputs!$K$4:$AJ$4,0)))))</f>
        <v>#N/A</v>
      </c>
      <c r="Z46" s="265" t="e">
        <f>IF(ISNA(MATCH(Z$2,Inputs!$K$4:$AJ$4,0)),NA(),IF(SUMPRODUCT((Inputs!$A$5:$A$130=$B46)*ISNUMBER(INDEX(Inputs!$K$5:$AJ$130,0,MATCH(Z$2,Inputs!$K$4:$AJ$4,0))))+SUMPRODUCT((Inputs!$C$5:$C$130=$B46)*ISNUMBER(INDEX(Inputs!$K$5:$AJ$130,0,MATCH(Z$2,Inputs!$K$4:$AJ$4,0))))+SUMPRODUCT((Inputs!$E$5:$E$130=$B46)*ISNUMBER(INDEX(Inputs!$K$5:$AJ$130,0,MATCH(Z$2,Inputs!$K$4:$AJ$4,0))))=0,NA(),SUMPRODUCT((Inputs!$A$5:$A$130=$B46)*Inputs!$B$5:$B$130*(((Inputs!$G$5:$G$130="moeda")+(Inputs!$G$5:$G$130="acoes"))*Inputs!$B$1+((Inputs!$G$5:$G$130&lt;&gt;"moeda")*(Inputs!$G$5:$G$130&lt;&gt;"acoes")))*INDEX(Inputs!$K$5:$AJ$130,0,MATCH(Z$2,Inputs!$K$4:$AJ$4,0)))+SUMPRODUCT((Inputs!$C$5:$C$130=$B46)*Inputs!$D$5:$D$130*(((Inputs!$G$5:$G$130="moeda")+(Inputs!$G$5:$G$130="acoes"))*Inputs!$B$1+((Inputs!$G$5:$G$130&lt;&gt;"moeda")*(Inputs!$G$5:$G$130&lt;&gt;"acoes")))*INDEX(Inputs!$K$5:$AJ$130,0,MATCH(Z$2,Inputs!$K$4:$AJ$4,0)))+SUMPRODUCT((Inputs!$E$5:$E$130=$B46)*Inputs!$F$5:$F$130*(((Inputs!$G$5:$G$130="moeda")+(Inputs!$G$5:$G$130="acoes"))*Inputs!$B$1+((Inputs!$G$5:$G$130&lt;&gt;"moeda")*(Inputs!$G$5:$G$130&lt;&gt;"acoes")))*INDEX(Inputs!$K$5:$AJ$130,0,MATCH(Z$2,Inputs!$K$4:$AJ$4,0)))))</f>
        <v>#N/A</v>
      </c>
      <c r="AA46" s="265" t="e">
        <f>IF(ISNA(MATCH(AA$2,Inputs!$K$4:$AJ$4,0)),NA(),IF(SUMPRODUCT((Inputs!$A$5:$A$130=$B46)*ISNUMBER(INDEX(Inputs!$K$5:$AJ$130,0,MATCH(AA$2,Inputs!$K$4:$AJ$4,0))))+SUMPRODUCT((Inputs!$C$5:$C$130=$B46)*ISNUMBER(INDEX(Inputs!$K$5:$AJ$130,0,MATCH(AA$2,Inputs!$K$4:$AJ$4,0))))+SUMPRODUCT((Inputs!$E$5:$E$130=$B46)*ISNUMBER(INDEX(Inputs!$K$5:$AJ$130,0,MATCH(AA$2,Inputs!$K$4:$AJ$4,0))))=0,NA(),SUMPRODUCT((Inputs!$A$5:$A$130=$B46)*Inputs!$B$5:$B$130*(((Inputs!$G$5:$G$130="moeda")+(Inputs!$G$5:$G$130="acoes"))*Inputs!$B$1+((Inputs!$G$5:$G$130&lt;&gt;"moeda")*(Inputs!$G$5:$G$130&lt;&gt;"acoes")))*INDEX(Inputs!$K$5:$AJ$130,0,MATCH(AA$2,Inputs!$K$4:$AJ$4,0)))+SUMPRODUCT((Inputs!$C$5:$C$130=$B46)*Inputs!$D$5:$D$130*(((Inputs!$G$5:$G$130="moeda")+(Inputs!$G$5:$G$130="acoes"))*Inputs!$B$1+((Inputs!$G$5:$G$130&lt;&gt;"moeda")*(Inputs!$G$5:$G$130&lt;&gt;"acoes")))*INDEX(Inputs!$K$5:$AJ$130,0,MATCH(AA$2,Inputs!$K$4:$AJ$4,0)))+SUMPRODUCT((Inputs!$E$5:$E$130=$B46)*Inputs!$F$5:$F$130*(((Inputs!$G$5:$G$130="moeda")+(Inputs!$G$5:$G$130="acoes"))*Inputs!$B$1+((Inputs!$G$5:$G$130&lt;&gt;"moeda")*(Inputs!$G$5:$G$130&lt;&gt;"acoes")))*INDEX(Inputs!$K$5:$AJ$130,0,MATCH(AA$2,Inputs!$K$4:$AJ$4,0)))))</f>
        <v>#N/A</v>
      </c>
      <c r="AB46" s="266" t="e">
        <f>AA46</f>
        <v>#N/A</v>
      </c>
      <c r="AC46" s="265" t="e">
        <f>IF(ISNA(MATCH(AC$2,Inputs!$K$4:$AJ$4,0)),NA(),IF(SUMPRODUCT((Inputs!$A$5:$A$130=$B46)*ISNUMBER(INDEX(Inputs!$K$5:$AJ$130,0,MATCH(AC$2,Inputs!$K$4:$AJ$4,0))))+SUMPRODUCT((Inputs!$C$5:$C$130=$B46)*ISNUMBER(INDEX(Inputs!$K$5:$AJ$130,0,MATCH(AC$2,Inputs!$K$4:$AJ$4,0))))+SUMPRODUCT((Inputs!$E$5:$E$130=$B46)*ISNUMBER(INDEX(Inputs!$K$5:$AJ$130,0,MATCH(AC$2,Inputs!$K$4:$AJ$4,0))))=0,NA(),SUMPRODUCT((Inputs!$A$5:$A$130=$B46)*Inputs!$B$5:$B$130*(((Inputs!$G$5:$G$130="moeda")+(Inputs!$G$5:$G$130="acoes"))*Inputs!$B$1+((Inputs!$G$5:$G$130&lt;&gt;"moeda")*(Inputs!$G$5:$G$130&lt;&gt;"acoes")))*INDEX(Inputs!$K$5:$AJ$130,0,MATCH(AC$2,Inputs!$K$4:$AJ$4,0)))+SUMPRODUCT((Inputs!$C$5:$C$130=$B46)*Inputs!$D$5:$D$130*(((Inputs!$G$5:$G$130="moeda")+(Inputs!$G$5:$G$130="acoes"))*Inputs!$B$1+((Inputs!$G$5:$G$130&lt;&gt;"moeda")*(Inputs!$G$5:$G$130&lt;&gt;"acoes")))*INDEX(Inputs!$K$5:$AJ$130,0,MATCH(AC$2,Inputs!$K$4:$AJ$4,0)))+SUMPRODUCT((Inputs!$E$5:$E$130=$B46)*Inputs!$F$5:$F$130*(((Inputs!$G$5:$G$130="moeda")+(Inputs!$G$5:$G$130="acoes"))*Inputs!$B$1+((Inputs!$G$5:$G$130&lt;&gt;"moeda")*(Inputs!$G$5:$G$130&lt;&gt;"acoes")))*INDEX(Inputs!$K$5:$AJ$130,0,MATCH(AC$2,Inputs!$K$4:$AJ$4,0)))))</f>
        <v>#N/A</v>
      </c>
      <c r="AD46" s="265" t="e">
        <f>IF(ISNA(MATCH(AD$2,Inputs!$K$4:$AJ$4,0)),NA(),IF(SUMPRODUCT((Inputs!$A$5:$A$130=$B46)*ISNUMBER(INDEX(Inputs!$K$5:$AJ$130,0,MATCH(AD$2,Inputs!$K$4:$AJ$4,0))))+SUMPRODUCT((Inputs!$C$5:$C$130=$B46)*ISNUMBER(INDEX(Inputs!$K$5:$AJ$130,0,MATCH(AD$2,Inputs!$K$4:$AJ$4,0))))+SUMPRODUCT((Inputs!$E$5:$E$130=$B46)*ISNUMBER(INDEX(Inputs!$K$5:$AJ$130,0,MATCH(AD$2,Inputs!$K$4:$AJ$4,0))))=0,NA(),SUMPRODUCT((Inputs!$A$5:$A$130=$B46)*Inputs!$B$5:$B$130*(((Inputs!$G$5:$G$130="moeda")+(Inputs!$G$5:$G$130="acoes"))*Inputs!$B$1+((Inputs!$G$5:$G$130&lt;&gt;"moeda")*(Inputs!$G$5:$G$130&lt;&gt;"acoes")))*INDEX(Inputs!$K$5:$AJ$130,0,MATCH(AD$2,Inputs!$K$4:$AJ$4,0)))+SUMPRODUCT((Inputs!$C$5:$C$130=$B46)*Inputs!$D$5:$D$130*(((Inputs!$G$5:$G$130="moeda")+(Inputs!$G$5:$G$130="acoes"))*Inputs!$B$1+((Inputs!$G$5:$G$130&lt;&gt;"moeda")*(Inputs!$G$5:$G$130&lt;&gt;"acoes")))*INDEX(Inputs!$K$5:$AJ$130,0,MATCH(AD$2,Inputs!$K$4:$AJ$4,0)))+SUMPRODUCT((Inputs!$E$5:$E$130=$B46)*Inputs!$F$5:$F$130*(((Inputs!$G$5:$G$130="moeda")+(Inputs!$G$5:$G$130="acoes"))*Inputs!$B$1+((Inputs!$G$5:$G$130&lt;&gt;"moeda")*(Inputs!$G$5:$G$130&lt;&gt;"acoes")))*INDEX(Inputs!$K$5:$AJ$130,0,MATCH(AD$2,Inputs!$K$4:$AJ$4,0)))))</f>
        <v>#N/A</v>
      </c>
      <c r="AE46" s="265" t="e">
        <f>IF(ISNA(MATCH(AE$2,Inputs!$K$4:$AJ$4,0)),NA(),IF(SUMPRODUCT((Inputs!$A$5:$A$130=$B46)*ISNUMBER(INDEX(Inputs!$K$5:$AJ$130,0,MATCH(AE$2,Inputs!$K$4:$AJ$4,0))))+SUMPRODUCT((Inputs!$C$5:$C$130=$B46)*ISNUMBER(INDEX(Inputs!$K$5:$AJ$130,0,MATCH(AE$2,Inputs!$K$4:$AJ$4,0))))+SUMPRODUCT((Inputs!$E$5:$E$130=$B46)*ISNUMBER(INDEX(Inputs!$K$5:$AJ$130,0,MATCH(AE$2,Inputs!$K$4:$AJ$4,0))))=0,NA(),SUMPRODUCT((Inputs!$A$5:$A$130=$B46)*Inputs!$B$5:$B$130*(((Inputs!$G$5:$G$130="moeda")+(Inputs!$G$5:$G$130="acoes"))*Inputs!$B$1+((Inputs!$G$5:$G$130&lt;&gt;"moeda")*(Inputs!$G$5:$G$130&lt;&gt;"acoes")))*INDEX(Inputs!$K$5:$AJ$130,0,MATCH(AE$2,Inputs!$K$4:$AJ$4,0)))+SUMPRODUCT((Inputs!$C$5:$C$130=$B46)*Inputs!$D$5:$D$130*(((Inputs!$G$5:$G$130="moeda")+(Inputs!$G$5:$G$130="acoes"))*Inputs!$B$1+((Inputs!$G$5:$G$130&lt;&gt;"moeda")*(Inputs!$G$5:$G$130&lt;&gt;"acoes")))*INDEX(Inputs!$K$5:$AJ$130,0,MATCH(AE$2,Inputs!$K$4:$AJ$4,0)))+SUMPRODUCT((Inputs!$E$5:$E$130=$B46)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6" s="265" t="e">
        <f>IF(ISNA(MATCH(AF$2,Inputs!$K$4:$AJ$4,0)),NA(),IF(SUMPRODUCT((Inputs!$A$5:$A$130=$B46)*ISNUMBER(INDEX(Inputs!$K$5:$AJ$130,0,MATCH(AF$2,Inputs!$K$4:$AJ$4,0))))+SUMPRODUCT((Inputs!$C$5:$C$130=$B46)*ISNUMBER(INDEX(Inputs!$K$5:$AJ$130,0,MATCH(AF$2,Inputs!$K$4:$AJ$4,0))))+SUMPRODUCT((Inputs!$E$5:$E$130=$B46)*ISNUMBER(INDEX(Inputs!$K$5:$AJ$130,0,MATCH(AF$2,Inputs!$K$4:$AJ$4,0))))=0,NA(),SUMPRODUCT((Inputs!$A$5:$A$130=$B46)*Inputs!$B$5:$B$130*(((Inputs!$G$5:$G$130="moeda")+(Inputs!$G$5:$G$130="acoes"))*Inputs!$B$1+((Inputs!$G$5:$G$130&lt;&gt;"moeda")*(Inputs!$G$5:$G$130&lt;&gt;"acoes")))*INDEX(Inputs!$K$5:$AJ$130,0,MATCH(AF$2,Inputs!$K$4:$AJ$4,0)))+SUMPRODUCT((Inputs!$C$5:$C$130=$B46)*Inputs!$D$5:$D$130*(((Inputs!$G$5:$G$130="moeda")+(Inputs!$G$5:$G$130="acoes"))*Inputs!$B$1+((Inputs!$G$5:$G$130&lt;&gt;"moeda")*(Inputs!$G$5:$G$130&lt;&gt;"acoes")))*INDEX(Inputs!$K$5:$AJ$130,0,MATCH(AF$2,Inputs!$K$4:$AJ$4,0)))+SUMPRODUCT((Inputs!$E$5:$E$130=$B46)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6" s="266" t="e">
        <f>AF46</f>
        <v>#N/A</v>
      </c>
      <c r="AH46" s="265" t="e">
        <f>IF(ISNA(MATCH(AH$2,Inputs!$K$4:$AJ$4,0)),NA(),IF(SUMPRODUCT((Inputs!$A$5:$A$130=$B46)*ISNUMBER(INDEX(Inputs!$K$5:$AJ$130,0,MATCH(AH$2,Inputs!$K$4:$AJ$4,0))))+SUMPRODUCT((Inputs!$C$5:$C$130=$B46)*ISNUMBER(INDEX(Inputs!$K$5:$AJ$130,0,MATCH(AH$2,Inputs!$K$4:$AJ$4,0))))+SUMPRODUCT((Inputs!$E$5:$E$130=$B46)*ISNUMBER(INDEX(Inputs!$K$5:$AJ$130,0,MATCH(AH$2,Inputs!$K$4:$AJ$4,0))))=0,NA(),SUMPRODUCT((Inputs!$A$5:$A$130=$B46)*Inputs!$B$5:$B$130*(((Inputs!$G$5:$G$130="moeda")+(Inputs!$G$5:$G$130="acoes"))*Inputs!$B$1+((Inputs!$G$5:$G$130&lt;&gt;"moeda")*(Inputs!$G$5:$G$130&lt;&gt;"acoes")))*INDEX(Inputs!$K$5:$AJ$130,0,MATCH(AH$2,Inputs!$K$4:$AJ$4,0)))+SUMPRODUCT((Inputs!$C$5:$C$130=$B46)*Inputs!$D$5:$D$130*(((Inputs!$G$5:$G$130="moeda")+(Inputs!$G$5:$G$130="acoes"))*Inputs!$B$1+((Inputs!$G$5:$G$130&lt;&gt;"moeda")*(Inputs!$G$5:$G$130&lt;&gt;"acoes")))*INDEX(Inputs!$K$5:$AJ$130,0,MATCH(AH$2,Inputs!$K$4:$AJ$4,0)))+SUMPRODUCT((Inputs!$E$5:$E$130=$B46)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46" s="265" t="e">
        <f>IF(ISNA(MATCH(AI$2,Inputs!$K$4:$AJ$4,0)),NA(),IF(SUMPRODUCT((Inputs!$A$5:$A$130=$B46)*ISNUMBER(INDEX(Inputs!$K$5:$AJ$130,0,MATCH(AI$2,Inputs!$K$4:$AJ$4,0))))+SUMPRODUCT((Inputs!$C$5:$C$130=$B46)*ISNUMBER(INDEX(Inputs!$K$5:$AJ$130,0,MATCH(AI$2,Inputs!$K$4:$AJ$4,0))))+SUMPRODUCT((Inputs!$E$5:$E$130=$B46)*ISNUMBER(INDEX(Inputs!$K$5:$AJ$130,0,MATCH(AI$2,Inputs!$K$4:$AJ$4,0))))=0,NA(),SUMPRODUCT((Inputs!$A$5:$A$130=$B46)*Inputs!$B$5:$B$130*(((Inputs!$G$5:$G$130="moeda")+(Inputs!$G$5:$G$130="acoes"))*Inputs!$B$1+((Inputs!$G$5:$G$130&lt;&gt;"moeda")*(Inputs!$G$5:$G$130&lt;&gt;"acoes")))*INDEX(Inputs!$K$5:$AJ$130,0,MATCH(AI$2,Inputs!$K$4:$AJ$4,0)))+SUMPRODUCT((Inputs!$C$5:$C$130=$B46)*Inputs!$D$5:$D$130*(((Inputs!$G$5:$G$130="moeda")+(Inputs!$G$5:$G$130="acoes"))*Inputs!$B$1+((Inputs!$G$5:$G$130&lt;&gt;"moeda")*(Inputs!$G$5:$G$130&lt;&gt;"acoes")))*INDEX(Inputs!$K$5:$AJ$130,0,MATCH(AI$2,Inputs!$K$4:$AJ$4,0)))+SUMPRODUCT((Inputs!$E$5:$E$130=$B46)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46" s="265" t="e">
        <f>IF(ISNA(MATCH(AJ$2,Inputs!$K$4:$AJ$4,0)),NA(),IF(SUMPRODUCT((Inputs!$A$5:$A$130=$B46)*ISNUMBER(INDEX(Inputs!$K$5:$AJ$130,0,MATCH(AJ$2,Inputs!$K$4:$AJ$4,0))))+SUMPRODUCT((Inputs!$C$5:$C$130=$B46)*ISNUMBER(INDEX(Inputs!$K$5:$AJ$130,0,MATCH(AJ$2,Inputs!$K$4:$AJ$4,0))))+SUMPRODUCT((Inputs!$E$5:$E$130=$B46)*ISNUMBER(INDEX(Inputs!$K$5:$AJ$130,0,MATCH(AJ$2,Inputs!$K$4:$AJ$4,0))))=0,NA(),SUMPRODUCT((Inputs!$A$5:$A$130=$B46)*Inputs!$B$5:$B$130*(((Inputs!$G$5:$G$130="moeda")+(Inputs!$G$5:$G$130="acoes"))*Inputs!$B$1+((Inputs!$G$5:$G$130&lt;&gt;"moeda")*(Inputs!$G$5:$G$130&lt;&gt;"acoes")))*INDEX(Inputs!$K$5:$AJ$130,0,MATCH(AJ$2,Inputs!$K$4:$AJ$4,0)))+SUMPRODUCT((Inputs!$C$5:$C$130=$B46)*Inputs!$D$5:$D$130*(((Inputs!$G$5:$G$130="moeda")+(Inputs!$G$5:$G$130="acoes"))*Inputs!$B$1+((Inputs!$G$5:$G$130&lt;&gt;"moeda")*(Inputs!$G$5:$G$130&lt;&gt;"acoes")))*INDEX(Inputs!$K$5:$AJ$130,0,MATCH(AJ$2,Inputs!$K$4:$AJ$4,0)))+SUMPRODUCT((Inputs!$E$5:$E$130=$B46)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46" s="265" t="e">
        <f>IF(ISNA(MATCH(AK$2,Inputs!$K$4:$AJ$4,0)),NA(),IF(SUMPRODUCT((Inputs!$A$5:$A$130=$B46)*ISNUMBER(INDEX(Inputs!$K$5:$AJ$130,0,MATCH(AK$2,Inputs!$K$4:$AJ$4,0))))+SUMPRODUCT((Inputs!$C$5:$C$130=$B46)*ISNUMBER(INDEX(Inputs!$K$5:$AJ$130,0,MATCH(AK$2,Inputs!$K$4:$AJ$4,0))))+SUMPRODUCT((Inputs!$E$5:$E$130=$B46)*ISNUMBER(INDEX(Inputs!$K$5:$AJ$130,0,MATCH(AK$2,Inputs!$K$4:$AJ$4,0))))=0,NA(),SUMPRODUCT((Inputs!$A$5:$A$130=$B46)*Inputs!$B$5:$B$130*(((Inputs!$G$5:$G$130="moeda")+(Inputs!$G$5:$G$130="acoes"))*Inputs!$B$1+((Inputs!$G$5:$G$130&lt;&gt;"moeda")*(Inputs!$G$5:$G$130&lt;&gt;"acoes")))*INDEX(Inputs!$K$5:$AJ$130,0,MATCH(AK$2,Inputs!$K$4:$AJ$4,0)))+SUMPRODUCT((Inputs!$C$5:$C$130=$B46)*Inputs!$D$5:$D$130*(((Inputs!$G$5:$G$130="moeda")+(Inputs!$G$5:$G$130="acoes"))*Inputs!$B$1+((Inputs!$G$5:$G$130&lt;&gt;"moeda")*(Inputs!$G$5:$G$130&lt;&gt;"acoes")))*INDEX(Inputs!$K$5:$AJ$130,0,MATCH(AK$2,Inputs!$K$4:$AJ$4,0)))+SUMPRODUCT((Inputs!$E$5:$E$130=$B46)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46" s="266" t="e">
        <f>AK46</f>
        <v>#N/A</v>
      </c>
    </row>
    <row r="47" ht="12.75" customHeight="1" s="254">
      <c r="B47" s="263" t="n">
        <v>41</v>
      </c>
      <c r="C47" s="269" t="inlineStr">
        <is>
          <t>Retained earnings</t>
        </is>
      </c>
      <c r="D47" s="265">
        <f>IF(ISNA(MATCH(D$2,Inputs!$K$4:$AJ$4,0)),NA(),IF(SUMPRODUCT((Inputs!$A$5:$A$130=$B47)*ISNUMBER(INDEX(Inputs!$K$5:$AJ$130,0,MATCH(D$2,Inputs!$K$4:$AJ$4,0))))+SUMPRODUCT((Inputs!$C$5:$C$130=$B47)*ISNUMBER(INDEX(Inputs!$K$5:$AJ$130,0,MATCH(D$2,Inputs!$K$4:$AJ$4,0))))+SUMPRODUCT((Inputs!$E$5:$E$130=$B47)*ISNUMBER(INDEX(Inputs!$K$5:$AJ$130,0,MATCH(D$2,Inputs!$K$4:$AJ$4,0))))=0,NA(),SUMPRODUCT((Inputs!$A$5:$A$130=$B47)*Inputs!$B$5:$B$130*(((Inputs!$G$5:$G$130="moeda")+(Inputs!$G$5:$G$130="acoes"))*Inputs!$B$1+((Inputs!$G$5:$G$130&lt;&gt;"moeda")*(Inputs!$G$5:$G$130&lt;&gt;"acoes")))*INDEX(Inputs!$K$5:$AJ$130,0,MATCH(D$2,Inputs!$K$4:$AJ$4,0)))+SUMPRODUCT((Inputs!$C$5:$C$130=$B47)*Inputs!$D$5:$D$130*(((Inputs!$G$5:$G$130="moeda")+(Inputs!$G$5:$G$130="acoes"))*Inputs!$B$1+((Inputs!$G$5:$G$130&lt;&gt;"moeda")*(Inputs!$G$5:$G$130&lt;&gt;"acoes")))*INDEX(Inputs!$K$5:$AJ$130,0,MATCH(D$2,Inputs!$K$4:$AJ$4,0)))+SUMPRODUCT((Inputs!$E$5:$E$130=$B47)*Inputs!$F$5:$F$130*(((Inputs!$G$5:$G$130="moeda")+(Inputs!$G$5:$G$130="acoes"))*Inputs!$B$1+((Inputs!$G$5:$G$130&lt;&gt;"moeda")*(Inputs!$G$5:$G$130&lt;&gt;"acoes")))*INDEX(Inputs!$K$5:$AJ$130,0,MATCH(D$2,Inputs!$K$4:$AJ$4,0)))))</f>
        <v>163714</v>
      </c>
      <c r="E47" s="265">
        <f>IF(ISNA(MATCH(E$2,Inputs!$K$4:$AJ$4,0)),NA(),IF(SUMPRODUCT((Inputs!$A$5:$A$130=$B47)*ISNUMBER(INDEX(Inputs!$K$5:$AJ$130,0,MATCH(E$2,Inputs!$K$4:$AJ$4,0))))+SUMPRODUCT((Inputs!$C$5:$C$130=$B47)*ISNUMBER(INDEX(Inputs!$K$5:$AJ$130,0,MATCH(E$2,Inputs!$K$4:$AJ$4,0))))+SUMPRODUCT((Inputs!$E$5:$E$130=$B47)*ISNUMBER(INDEX(Inputs!$K$5:$AJ$130,0,MATCH(E$2,Inputs!$K$4:$AJ$4,0))))=0,NA(),SUMPRODUCT((Inputs!$A$5:$A$130=$B47)*Inputs!$B$5:$B$130*(((Inputs!$G$5:$G$130="moeda")+(Inputs!$G$5:$G$130="acoes"))*Inputs!$B$1+((Inputs!$G$5:$G$130&lt;&gt;"moeda")*(Inputs!$G$5:$G$130&lt;&gt;"acoes")))*INDEX(Inputs!$K$5:$AJ$130,0,MATCH(E$2,Inputs!$K$4:$AJ$4,0)))+SUMPRODUCT((Inputs!$C$5:$C$130=$B47)*Inputs!$D$5:$D$130*(((Inputs!$G$5:$G$130="moeda")+(Inputs!$G$5:$G$130="acoes"))*Inputs!$B$1+((Inputs!$G$5:$G$130&lt;&gt;"moeda")*(Inputs!$G$5:$G$130&lt;&gt;"acoes")))*INDEX(Inputs!$K$5:$AJ$130,0,MATCH(E$2,Inputs!$K$4:$AJ$4,0)))+SUMPRODUCT((Inputs!$E$5:$E$130=$B47)*Inputs!$F$5:$F$130*(((Inputs!$G$5:$G$130="moeda")+(Inputs!$G$5:$G$130="acoes"))*Inputs!$B$1+((Inputs!$G$5:$G$130&lt;&gt;"moeda")*(Inputs!$G$5:$G$130&lt;&gt;"acoes")))*INDEX(Inputs!$K$5:$AJ$130,0,MATCH(E$2,Inputs!$K$4:$AJ$4,0)))))</f>
        <v>167999</v>
      </c>
      <c r="F47" s="265">
        <f>IF(ISNA(MATCH(F$2,Inputs!$K$4:$AJ$4,0)),NA(),IF(SUMPRODUCT((Inputs!$A$5:$A$130=$B47)*ISNUMBER(INDEX(Inputs!$K$5:$AJ$130,0,MATCH(F$2,Inputs!$K$4:$AJ$4,0))))+SUMPRODUCT((Inputs!$C$5:$C$130=$B47)*ISNUMBER(INDEX(Inputs!$K$5:$AJ$130,0,MATCH(F$2,Inputs!$K$4:$AJ$4,0))))+SUMPRODUCT((Inputs!$E$5:$E$130=$B47)*ISNUMBER(INDEX(Inputs!$K$5:$AJ$130,0,MATCH(F$2,Inputs!$K$4:$AJ$4,0))))=0,NA(),SUMPRODUCT((Inputs!$A$5:$A$130=$B47)*Inputs!$B$5:$B$130*(((Inputs!$G$5:$G$130="moeda")+(Inputs!$G$5:$G$130="acoes"))*Inputs!$B$1+((Inputs!$G$5:$G$130&lt;&gt;"moeda")*(Inputs!$G$5:$G$130&lt;&gt;"acoes")))*INDEX(Inputs!$K$5:$AJ$130,0,MATCH(F$2,Inputs!$K$4:$AJ$4,0)))+SUMPRODUCT((Inputs!$C$5:$C$130=$B47)*Inputs!$D$5:$D$130*(((Inputs!$G$5:$G$130="moeda")+(Inputs!$G$5:$G$130="acoes"))*Inputs!$B$1+((Inputs!$G$5:$G$130&lt;&gt;"moeda")*(Inputs!$G$5:$G$130&lt;&gt;"acoes")))*INDEX(Inputs!$K$5:$AJ$130,0,MATCH(F$2,Inputs!$K$4:$AJ$4,0)))+SUMPRODUCT((Inputs!$E$5:$E$130=$B47)*Inputs!$F$5:$F$130*(((Inputs!$G$5:$G$130="moeda")+(Inputs!$G$5:$G$130="acoes"))*Inputs!$B$1+((Inputs!$G$5:$G$130&lt;&gt;"moeda")*(Inputs!$G$5:$G$130&lt;&gt;"acoes")))*INDEX(Inputs!$K$5:$AJ$130,0,MATCH(F$2,Inputs!$K$4:$AJ$4,0)))))</f>
        <v>163390</v>
      </c>
      <c r="G47" s="265">
        <f>IF(ISNA(MATCH(G$2,Inputs!$K$4:$AJ$4,0)),NA(),IF(SUMPRODUCT((Inputs!$A$5:$A$130=$B47)*ISNUMBER(INDEX(Inputs!$K$5:$AJ$130,0,MATCH(G$2,Inputs!$K$4:$AJ$4,0))))+SUMPRODUCT((Inputs!$C$5:$C$130=$B47)*ISNUMBER(INDEX(Inputs!$K$5:$AJ$130,0,MATCH(G$2,Inputs!$K$4:$AJ$4,0))))+SUMPRODUCT((Inputs!$E$5:$E$130=$B47)*ISNUMBER(INDEX(Inputs!$K$5:$AJ$130,0,MATCH(G$2,Inputs!$K$4:$AJ$4,0))))=0,NA(),SUMPRODUCT((Inputs!$A$5:$A$130=$B47)*Inputs!$B$5:$B$130*(((Inputs!$G$5:$G$130="moeda")+(Inputs!$G$5:$G$130="acoes"))*Inputs!$B$1+((Inputs!$G$5:$G$130&lt;&gt;"moeda")*(Inputs!$G$5:$G$130&lt;&gt;"acoes")))*INDEX(Inputs!$K$5:$AJ$130,0,MATCH(G$2,Inputs!$K$4:$AJ$4,0)))+SUMPRODUCT((Inputs!$C$5:$C$130=$B47)*Inputs!$D$5:$D$130*(((Inputs!$G$5:$G$130="moeda")+(Inputs!$G$5:$G$130="acoes"))*Inputs!$B$1+((Inputs!$G$5:$G$130&lt;&gt;"moeda")*(Inputs!$G$5:$G$130&lt;&gt;"acoes")))*INDEX(Inputs!$K$5:$AJ$130,0,MATCH(G$2,Inputs!$K$4:$AJ$4,0)))+SUMPRODUCT((Inputs!$E$5:$E$130=$B47)*Inputs!$F$5:$F$130*(((Inputs!$G$5:$G$130="moeda")+(Inputs!$G$5:$G$130="acoes"))*Inputs!$B$1+((Inputs!$G$5:$G$130&lt;&gt;"moeda")*(Inputs!$G$5:$G$130&lt;&gt;"acoes")))*INDEX(Inputs!$K$5:$AJ$130,0,MATCH(G$2,Inputs!$K$4:$AJ$4,0)))))</f>
        <v>171966</v>
      </c>
      <c r="H47" s="266">
        <f>G47</f>
        <v>171966</v>
      </c>
      <c r="I47" s="265">
        <f>IF(ISNA(MATCH(I$2,Inputs!$K$4:$AJ$4,0)),NA(),IF(SUMPRODUCT((Inputs!$A$5:$A$130=$B47)*ISNUMBER(INDEX(Inputs!$K$5:$AJ$130,0,MATCH(I$2,Inputs!$K$4:$AJ$4,0))))+SUMPRODUCT((Inputs!$C$5:$C$130=$B47)*ISNUMBER(INDEX(Inputs!$K$5:$AJ$130,0,MATCH(I$2,Inputs!$K$4:$AJ$4,0))))+SUMPRODUCT((Inputs!$E$5:$E$130=$B47)*ISNUMBER(INDEX(Inputs!$K$5:$AJ$130,0,MATCH(I$2,Inputs!$K$4:$AJ$4,0))))=0,NA(),SUMPRODUCT((Inputs!$A$5:$A$130=$B47)*Inputs!$B$5:$B$130*(((Inputs!$G$5:$G$130="moeda")+(Inputs!$G$5:$G$130="acoes"))*Inputs!$B$1+((Inputs!$G$5:$G$130&lt;&gt;"moeda")*(Inputs!$G$5:$G$130&lt;&gt;"acoes")))*INDEX(Inputs!$K$5:$AJ$130,0,MATCH(I$2,Inputs!$K$4:$AJ$4,0)))+SUMPRODUCT((Inputs!$C$5:$C$130=$B47)*Inputs!$D$5:$D$130*(((Inputs!$G$5:$G$130="moeda")+(Inputs!$G$5:$G$130="acoes"))*Inputs!$B$1+((Inputs!$G$5:$G$130&lt;&gt;"moeda")*(Inputs!$G$5:$G$130&lt;&gt;"acoes")))*INDEX(Inputs!$K$5:$AJ$130,0,MATCH(I$2,Inputs!$K$4:$AJ$4,0)))+SUMPRODUCT((Inputs!$E$5:$E$130=$B47)*Inputs!$F$5:$F$130*(((Inputs!$G$5:$G$130="moeda")+(Inputs!$G$5:$G$130="acoes"))*Inputs!$B$1+((Inputs!$G$5:$G$130&lt;&gt;"moeda")*(Inputs!$G$5:$G$130&lt;&gt;"acoes")))*INDEX(Inputs!$K$5:$AJ$130,0,MATCH(I$2,Inputs!$K$4:$AJ$4,0)))))</f>
        <v>175998</v>
      </c>
      <c r="J47" s="265">
        <f>IF(ISNA(MATCH(J$2,Inputs!$K$4:$AJ$4,0)),NA(),IF(SUMPRODUCT((Inputs!$A$5:$A$130=$B47)*ISNUMBER(INDEX(Inputs!$K$5:$AJ$130,0,MATCH(J$2,Inputs!$K$4:$AJ$4,0))))+SUMPRODUCT((Inputs!$C$5:$C$130=$B47)*ISNUMBER(INDEX(Inputs!$K$5:$AJ$130,0,MATCH(J$2,Inputs!$K$4:$AJ$4,0))))+SUMPRODUCT((Inputs!$E$5:$E$130=$B47)*ISNUMBER(INDEX(Inputs!$K$5:$AJ$130,0,MATCH(J$2,Inputs!$K$4:$AJ$4,0))))=0,NA(),SUMPRODUCT((Inputs!$A$5:$A$130=$B47)*Inputs!$B$5:$B$130*(((Inputs!$G$5:$G$130="moeda")+(Inputs!$G$5:$G$130="acoes"))*Inputs!$B$1+((Inputs!$G$5:$G$130&lt;&gt;"moeda")*(Inputs!$G$5:$G$130&lt;&gt;"acoes")))*INDEX(Inputs!$K$5:$AJ$130,0,MATCH(J$2,Inputs!$K$4:$AJ$4,0)))+SUMPRODUCT((Inputs!$C$5:$C$130=$B47)*Inputs!$D$5:$D$130*(((Inputs!$G$5:$G$130="moeda")+(Inputs!$G$5:$G$130="acoes"))*Inputs!$B$1+((Inputs!$G$5:$G$130&lt;&gt;"moeda")*(Inputs!$G$5:$G$130&lt;&gt;"acoes")))*INDEX(Inputs!$K$5:$AJ$130,0,MATCH(J$2,Inputs!$K$4:$AJ$4,0)))+SUMPRODUCT((Inputs!$E$5:$E$130=$B47)*Inputs!$F$5:$F$130*(((Inputs!$G$5:$G$130="moeda")+(Inputs!$G$5:$G$130="acoes"))*Inputs!$B$1+((Inputs!$G$5:$G$130&lt;&gt;"moeda")*(Inputs!$G$5:$G$130&lt;&gt;"acoes")))*INDEX(Inputs!$K$5:$AJ$130,0,MATCH(J$2,Inputs!$K$4:$AJ$4,0)))))</f>
        <v>190500</v>
      </c>
      <c r="K47" s="265">
        <f>IF(ISNA(MATCH(K$2,Inputs!$K$4:$AJ$4,0)),NA(),IF(SUMPRODUCT((Inputs!$A$5:$A$130=$B47)*ISNUMBER(INDEX(Inputs!$K$5:$AJ$130,0,MATCH(K$2,Inputs!$K$4:$AJ$4,0))))+SUMPRODUCT((Inputs!$C$5:$C$130=$B47)*ISNUMBER(INDEX(Inputs!$K$5:$AJ$130,0,MATCH(K$2,Inputs!$K$4:$AJ$4,0))))+SUMPRODUCT((Inputs!$E$5:$E$130=$B47)*ISNUMBER(INDEX(Inputs!$K$5:$AJ$130,0,MATCH(K$2,Inputs!$K$4:$AJ$4,0))))=0,NA(),SUMPRODUCT((Inputs!$A$5:$A$130=$B47)*Inputs!$B$5:$B$130*(((Inputs!$G$5:$G$130="moeda")+(Inputs!$G$5:$G$130="acoes"))*Inputs!$B$1+((Inputs!$G$5:$G$130&lt;&gt;"moeda")*(Inputs!$G$5:$G$130&lt;&gt;"acoes")))*INDEX(Inputs!$K$5:$AJ$130,0,MATCH(K$2,Inputs!$K$4:$AJ$4,0)))+SUMPRODUCT((Inputs!$C$5:$C$130=$B47)*Inputs!$D$5:$D$130*(((Inputs!$G$5:$G$130="moeda")+(Inputs!$G$5:$G$130="acoes"))*Inputs!$B$1+((Inputs!$G$5:$G$130&lt;&gt;"moeda")*(Inputs!$G$5:$G$130&lt;&gt;"acoes")))*INDEX(Inputs!$K$5:$AJ$130,0,MATCH(K$2,Inputs!$K$4:$AJ$4,0)))+SUMPRODUCT((Inputs!$E$5:$E$130=$B47)*Inputs!$F$5:$F$130*(((Inputs!$G$5:$G$130="moeda")+(Inputs!$G$5:$G$130="acoes"))*Inputs!$B$1+((Inputs!$G$5:$G$130&lt;&gt;"moeda")*(Inputs!$G$5:$G$130&lt;&gt;"acoes")))*INDEX(Inputs!$K$5:$AJ$130,0,MATCH(K$2,Inputs!$K$4:$AJ$4,0)))))</f>
        <v>186523</v>
      </c>
      <c r="L47" s="265">
        <f>IF(ISNA(MATCH(L$2,Inputs!$K$4:$AJ$4,0)),NA(),IF(SUMPRODUCT((Inputs!$A$5:$A$130=$B47)*ISNUMBER(INDEX(Inputs!$K$5:$AJ$130,0,MATCH(L$2,Inputs!$K$4:$AJ$4,0))))+SUMPRODUCT((Inputs!$C$5:$C$130=$B47)*ISNUMBER(INDEX(Inputs!$K$5:$AJ$130,0,MATCH(L$2,Inputs!$K$4:$AJ$4,0))))+SUMPRODUCT((Inputs!$E$5:$E$130=$B47)*ISNUMBER(INDEX(Inputs!$K$5:$AJ$130,0,MATCH(L$2,Inputs!$K$4:$AJ$4,0))))=0,NA(),SUMPRODUCT((Inputs!$A$5:$A$130=$B47)*Inputs!$B$5:$B$130*(((Inputs!$G$5:$G$130="moeda")+(Inputs!$G$5:$G$130="acoes"))*Inputs!$B$1+((Inputs!$G$5:$G$130&lt;&gt;"moeda")*(Inputs!$G$5:$G$130&lt;&gt;"acoes")))*INDEX(Inputs!$K$5:$AJ$130,0,MATCH(L$2,Inputs!$K$4:$AJ$4,0)))+SUMPRODUCT((Inputs!$C$5:$C$130=$B47)*Inputs!$D$5:$D$130*(((Inputs!$G$5:$G$130="moeda")+(Inputs!$G$5:$G$130="acoes"))*Inputs!$B$1+((Inputs!$G$5:$G$130&lt;&gt;"moeda")*(Inputs!$G$5:$G$130&lt;&gt;"acoes")))*INDEX(Inputs!$K$5:$AJ$130,0,MATCH(L$2,Inputs!$K$4:$AJ$4,0)))+SUMPRODUCT((Inputs!$E$5:$E$130=$B47)*Inputs!$F$5:$F$130*(((Inputs!$G$5:$G$130="moeda")+(Inputs!$G$5:$G$130="acoes"))*Inputs!$B$1+((Inputs!$G$5:$G$130&lt;&gt;"moeda")*(Inputs!$G$5:$G$130&lt;&gt;"acoes")))*INDEX(Inputs!$K$5:$AJ$130,0,MATCH(L$2,Inputs!$K$4:$AJ$4,0)))))</f>
        <v>190472</v>
      </c>
      <c r="M47" s="266">
        <f>L47</f>
        <v>190472</v>
      </c>
      <c r="N47" s="265">
        <f>IF(ISNA(MATCH(N$2,Inputs!$K$4:$AJ$4,0)),NA(),IF(SUMPRODUCT((Inputs!$A$5:$A$130=$B47)*ISNUMBER(INDEX(Inputs!$K$5:$AJ$130,0,MATCH(N$2,Inputs!$K$4:$AJ$4,0))))+SUMPRODUCT((Inputs!$C$5:$C$130=$B47)*ISNUMBER(INDEX(Inputs!$K$5:$AJ$130,0,MATCH(N$2,Inputs!$K$4:$AJ$4,0))))+SUMPRODUCT((Inputs!$E$5:$E$130=$B47)*ISNUMBER(INDEX(Inputs!$K$5:$AJ$130,0,MATCH(N$2,Inputs!$K$4:$AJ$4,0))))=0,NA(),SUMPRODUCT((Inputs!$A$5:$A$130=$B47)*Inputs!$B$5:$B$130*(((Inputs!$G$5:$G$130="moeda")+(Inputs!$G$5:$G$130="acoes"))*Inputs!$B$1+((Inputs!$G$5:$G$130&lt;&gt;"moeda")*(Inputs!$G$5:$G$130&lt;&gt;"acoes")))*INDEX(Inputs!$K$5:$AJ$130,0,MATCH(N$2,Inputs!$K$4:$AJ$4,0)))+SUMPRODUCT((Inputs!$C$5:$C$130=$B47)*Inputs!$D$5:$D$130*(((Inputs!$G$5:$G$130="moeda")+(Inputs!$G$5:$G$130="acoes"))*Inputs!$B$1+((Inputs!$G$5:$G$130&lt;&gt;"moeda")*(Inputs!$G$5:$G$130&lt;&gt;"acoes")))*INDEX(Inputs!$K$5:$AJ$130,0,MATCH(N$2,Inputs!$K$4:$AJ$4,0)))+SUMPRODUCT((Inputs!$E$5:$E$130=$B47)*Inputs!$F$5:$F$130*(((Inputs!$G$5:$G$130="moeda")+(Inputs!$G$5:$G$130="acoes"))*Inputs!$B$1+((Inputs!$G$5:$G$130&lt;&gt;"moeda")*(Inputs!$G$5:$G$130&lt;&gt;"acoes")))*INDEX(Inputs!$K$5:$AJ$130,0,MATCH(N$2,Inputs!$K$4:$AJ$4,0)))))</f>
        <v>193317</v>
      </c>
      <c r="O47" s="265">
        <f>IF(ISNA(MATCH(O$2,Inputs!$K$4:$AJ$4,0)),NA(),IF(SUMPRODUCT((Inputs!$A$5:$A$130=$B47)*ISNUMBER(INDEX(Inputs!$K$5:$AJ$130,0,MATCH(O$2,Inputs!$K$4:$AJ$4,0))))+SUMPRODUCT((Inputs!$C$5:$C$130=$B47)*ISNUMBER(INDEX(Inputs!$K$5:$AJ$130,0,MATCH(O$2,Inputs!$K$4:$AJ$4,0))))+SUMPRODUCT((Inputs!$E$5:$E$130=$B47)*ISNUMBER(INDEX(Inputs!$K$5:$AJ$130,0,MATCH(O$2,Inputs!$K$4:$AJ$4,0))))=0,NA(),SUMPRODUCT((Inputs!$A$5:$A$130=$B47)*Inputs!$B$5:$B$130*(((Inputs!$G$5:$G$130="moeda")+(Inputs!$G$5:$G$130="acoes"))*Inputs!$B$1+((Inputs!$G$5:$G$130&lt;&gt;"moeda")*(Inputs!$G$5:$G$130&lt;&gt;"acoes")))*INDEX(Inputs!$K$5:$AJ$130,0,MATCH(O$2,Inputs!$K$4:$AJ$4,0)))+SUMPRODUCT((Inputs!$C$5:$C$130=$B47)*Inputs!$D$5:$D$130*(((Inputs!$G$5:$G$130="moeda")+(Inputs!$G$5:$G$130="acoes"))*Inputs!$B$1+((Inputs!$G$5:$G$130&lt;&gt;"moeda")*(Inputs!$G$5:$G$130&lt;&gt;"acoes")))*INDEX(Inputs!$K$5:$AJ$130,0,MATCH(O$2,Inputs!$K$4:$AJ$4,0)))+SUMPRODUCT((Inputs!$E$5:$E$130=$B47)*Inputs!$F$5:$F$130*(((Inputs!$G$5:$G$130="moeda")+(Inputs!$G$5:$G$130="acoes"))*Inputs!$B$1+((Inputs!$G$5:$G$130&lt;&gt;"moeda")*(Inputs!$G$5:$G$130&lt;&gt;"acoes")))*INDEX(Inputs!$K$5:$AJ$130,0,MATCH(O$2,Inputs!$K$4:$AJ$4,0)))))</f>
        <v>190461</v>
      </c>
      <c r="P47" s="265">
        <f>IF(ISNA(MATCH(P$2,Inputs!$K$4:$AJ$4,0)),NA(),IF(SUMPRODUCT((Inputs!$A$5:$A$130=$B47)*ISNUMBER(INDEX(Inputs!$K$5:$AJ$130,0,MATCH(P$2,Inputs!$K$4:$AJ$4,0))))+SUMPRODUCT((Inputs!$C$5:$C$130=$B47)*ISNUMBER(INDEX(Inputs!$K$5:$AJ$130,0,MATCH(P$2,Inputs!$K$4:$AJ$4,0))))+SUMPRODUCT((Inputs!$E$5:$E$130=$B47)*ISNUMBER(INDEX(Inputs!$K$5:$AJ$130,0,MATCH(P$2,Inputs!$K$4:$AJ$4,0))))=0,NA(),SUMPRODUCT((Inputs!$A$5:$A$130=$B47)*Inputs!$B$5:$B$130*(((Inputs!$G$5:$G$130="moeda")+(Inputs!$G$5:$G$130="acoes"))*Inputs!$B$1+((Inputs!$G$5:$G$130&lt;&gt;"moeda")*(Inputs!$G$5:$G$130&lt;&gt;"acoes")))*INDEX(Inputs!$K$5:$AJ$130,0,MATCH(P$2,Inputs!$K$4:$AJ$4,0)))+SUMPRODUCT((Inputs!$C$5:$C$130=$B47)*Inputs!$D$5:$D$130*(((Inputs!$G$5:$G$130="moeda")+(Inputs!$G$5:$G$130="acoes"))*Inputs!$B$1+((Inputs!$G$5:$G$130&lt;&gt;"moeda")*(Inputs!$G$5:$G$130&lt;&gt;"acoes")))*INDEX(Inputs!$K$5:$AJ$130,0,MATCH(P$2,Inputs!$K$4:$AJ$4,0)))+SUMPRODUCT((Inputs!$E$5:$E$130=$B47)*Inputs!$F$5:$F$130*(((Inputs!$G$5:$G$130="moeda")+(Inputs!$G$5:$G$130="acoes"))*Inputs!$B$1+((Inputs!$G$5:$G$130&lt;&gt;"moeda")*(Inputs!$G$5:$G$130&lt;&gt;"acoes")))*INDEX(Inputs!$K$5:$AJ$130,0,MATCH(P$2,Inputs!$K$4:$AJ$4,0)))))</f>
        <v>191199</v>
      </c>
      <c r="Q47" s="265">
        <f>IF(ISNA(MATCH(Q$2,Inputs!$K$4:$AJ$4,0)),NA(),IF(SUMPRODUCT((Inputs!$A$5:$A$130=$B47)*ISNUMBER(INDEX(Inputs!$K$5:$AJ$130,0,MATCH(Q$2,Inputs!$K$4:$AJ$4,0))))+SUMPRODUCT((Inputs!$C$5:$C$130=$B47)*ISNUMBER(INDEX(Inputs!$K$5:$AJ$130,0,MATCH(Q$2,Inputs!$K$4:$AJ$4,0))))+SUMPRODUCT((Inputs!$E$5:$E$130=$B47)*ISNUMBER(INDEX(Inputs!$K$5:$AJ$130,0,MATCH(Q$2,Inputs!$K$4:$AJ$4,0))))=0,NA(),SUMPRODUCT((Inputs!$A$5:$A$130=$B47)*Inputs!$B$5:$B$130*(((Inputs!$G$5:$G$130="moeda")+(Inputs!$G$5:$G$130="acoes"))*Inputs!$B$1+((Inputs!$G$5:$G$130&lt;&gt;"moeda")*(Inputs!$G$5:$G$130&lt;&gt;"acoes")))*INDEX(Inputs!$K$5:$AJ$130,0,MATCH(Q$2,Inputs!$K$4:$AJ$4,0)))+SUMPRODUCT((Inputs!$C$5:$C$130=$B47)*Inputs!$D$5:$D$130*(((Inputs!$G$5:$G$130="moeda")+(Inputs!$G$5:$G$130="acoes"))*Inputs!$B$1+((Inputs!$G$5:$G$130&lt;&gt;"moeda")*(Inputs!$G$5:$G$130&lt;&gt;"acoes")))*INDEX(Inputs!$K$5:$AJ$130,0,MATCH(Q$2,Inputs!$K$4:$AJ$4,0)))+SUMPRODUCT((Inputs!$E$5:$E$130=$B47)*Inputs!$F$5:$F$130*(((Inputs!$G$5:$G$130="moeda")+(Inputs!$G$5:$G$130="acoes"))*Inputs!$B$1+((Inputs!$G$5:$G$130&lt;&gt;"moeda")*(Inputs!$G$5:$G$130&lt;&gt;"acoes")))*INDEX(Inputs!$K$5:$AJ$130,0,MATCH(Q$2,Inputs!$K$4:$AJ$4,0)))))</f>
        <v>186607</v>
      </c>
      <c r="R47" s="266">
        <f>Q47</f>
        <v>186607</v>
      </c>
      <c r="S47" s="265">
        <f>IF(ISNA(MATCH(S$2,Inputs!$K$4:$AJ$4,0)),NA(),IF(SUMPRODUCT((Inputs!$A$5:$A$130=$B47)*ISNUMBER(INDEX(Inputs!$K$5:$AJ$130,0,MATCH(S$2,Inputs!$K$4:$AJ$4,0))))+SUMPRODUCT((Inputs!$C$5:$C$130=$B47)*ISNUMBER(INDEX(Inputs!$K$5:$AJ$130,0,MATCH(S$2,Inputs!$K$4:$AJ$4,0))))+SUMPRODUCT((Inputs!$E$5:$E$130=$B47)*ISNUMBER(INDEX(Inputs!$K$5:$AJ$130,0,MATCH(S$2,Inputs!$K$4:$AJ$4,0))))=0,NA(),SUMPRODUCT((Inputs!$A$5:$A$130=$B47)*Inputs!$B$5:$B$130*(((Inputs!$G$5:$G$130="moeda")+(Inputs!$G$5:$G$130="acoes"))*Inputs!$B$1+((Inputs!$G$5:$G$130&lt;&gt;"moeda")*(Inputs!$G$5:$G$130&lt;&gt;"acoes")))*INDEX(Inputs!$K$5:$AJ$130,0,MATCH(S$2,Inputs!$K$4:$AJ$4,0)))+SUMPRODUCT((Inputs!$C$5:$C$130=$B47)*Inputs!$D$5:$D$130*(((Inputs!$G$5:$G$130="moeda")+(Inputs!$G$5:$G$130="acoes"))*Inputs!$B$1+((Inputs!$G$5:$G$130&lt;&gt;"moeda")*(Inputs!$G$5:$G$130&lt;&gt;"acoes")))*INDEX(Inputs!$K$5:$AJ$130,0,MATCH(S$2,Inputs!$K$4:$AJ$4,0)))+SUMPRODUCT((Inputs!$E$5:$E$130=$B47)*Inputs!$F$5:$F$130*(((Inputs!$G$5:$G$130="moeda")+(Inputs!$G$5:$G$130="acoes"))*Inputs!$B$1+((Inputs!$G$5:$G$130&lt;&gt;"moeda")*(Inputs!$G$5:$G$130&lt;&gt;"acoes")))*INDEX(Inputs!$K$5:$AJ$130,0,MATCH(S$2,Inputs!$K$4:$AJ$4,0)))))</f>
        <v>186565</v>
      </c>
      <c r="T47" s="265">
        <f>IF(ISNA(MATCH(T$2,Inputs!$K$4:$AJ$4,0)),NA(),IF(SUMPRODUCT((Inputs!$A$5:$A$130=$B47)*ISNUMBER(INDEX(Inputs!$K$5:$AJ$130,0,MATCH(T$2,Inputs!$K$4:$AJ$4,0))))+SUMPRODUCT((Inputs!$C$5:$C$130=$B47)*ISNUMBER(INDEX(Inputs!$K$5:$AJ$130,0,MATCH(T$2,Inputs!$K$4:$AJ$4,0))))+SUMPRODUCT((Inputs!$E$5:$E$130=$B47)*ISNUMBER(INDEX(Inputs!$K$5:$AJ$130,0,MATCH(T$2,Inputs!$K$4:$AJ$4,0))))=0,NA(),SUMPRODUCT((Inputs!$A$5:$A$130=$B47)*Inputs!$B$5:$B$130*(((Inputs!$G$5:$G$130="moeda")+(Inputs!$G$5:$G$130="acoes"))*Inputs!$B$1+((Inputs!$G$5:$G$130&lt;&gt;"moeda")*(Inputs!$G$5:$G$130&lt;&gt;"acoes")))*INDEX(Inputs!$K$5:$AJ$130,0,MATCH(T$2,Inputs!$K$4:$AJ$4,0)))+SUMPRODUCT((Inputs!$C$5:$C$130=$B47)*Inputs!$D$5:$D$130*(((Inputs!$G$5:$G$130="moeda")+(Inputs!$G$5:$G$130="acoes"))*Inputs!$B$1+((Inputs!$G$5:$G$130&lt;&gt;"moeda")*(Inputs!$G$5:$G$130&lt;&gt;"acoes")))*INDEX(Inputs!$K$5:$AJ$130,0,MATCH(T$2,Inputs!$K$4:$AJ$4,0)))+SUMPRODUCT((Inputs!$E$5:$E$130=$B47)*Inputs!$F$5:$F$130*(((Inputs!$G$5:$G$130="moeda")+(Inputs!$G$5:$G$130="acoes"))*Inputs!$B$1+((Inputs!$G$5:$G$130&lt;&gt;"moeda")*(Inputs!$G$5:$G$130&lt;&gt;"acoes")))*INDEX(Inputs!$K$5:$AJ$130,0,MATCH(T$2,Inputs!$K$4:$AJ$4,0)))))</f>
        <v>185407</v>
      </c>
      <c r="U47" s="265">
        <f>IF(ISNA(MATCH(U$2,Inputs!$K$4:$AJ$4,0)),NA(),IF(SUMPRODUCT((Inputs!$A$5:$A$130=$B47)*ISNUMBER(INDEX(Inputs!$K$5:$AJ$130,0,MATCH(U$2,Inputs!$K$4:$AJ$4,0))))+SUMPRODUCT((Inputs!$C$5:$C$130=$B47)*ISNUMBER(INDEX(Inputs!$K$5:$AJ$130,0,MATCH(U$2,Inputs!$K$4:$AJ$4,0))))+SUMPRODUCT((Inputs!$E$5:$E$130=$B47)*ISNUMBER(INDEX(Inputs!$K$5:$AJ$130,0,MATCH(U$2,Inputs!$K$4:$AJ$4,0))))=0,NA(),SUMPRODUCT((Inputs!$A$5:$A$130=$B47)*Inputs!$B$5:$B$130*(((Inputs!$G$5:$G$130="moeda")+(Inputs!$G$5:$G$130="acoes"))*Inputs!$B$1+((Inputs!$G$5:$G$130&lt;&gt;"moeda")*(Inputs!$G$5:$G$130&lt;&gt;"acoes")))*INDEX(Inputs!$K$5:$AJ$130,0,MATCH(U$2,Inputs!$K$4:$AJ$4,0)))+SUMPRODUCT((Inputs!$C$5:$C$130=$B47)*Inputs!$D$5:$D$130*(((Inputs!$G$5:$G$130="moeda")+(Inputs!$G$5:$G$130="acoes"))*Inputs!$B$1+((Inputs!$G$5:$G$130&lt;&gt;"moeda")*(Inputs!$G$5:$G$130&lt;&gt;"acoes")))*INDEX(Inputs!$K$5:$AJ$130,0,MATCH(U$2,Inputs!$K$4:$AJ$4,0)))+SUMPRODUCT((Inputs!$E$5:$E$130=$B47)*Inputs!$F$5:$F$130*(((Inputs!$G$5:$G$130="moeda")+(Inputs!$G$5:$G$130="acoes"))*Inputs!$B$1+((Inputs!$G$5:$G$130&lt;&gt;"moeda")*(Inputs!$G$5:$G$130&lt;&gt;"acoes")))*INDEX(Inputs!$K$5:$AJ$130,0,MATCH(U$2,Inputs!$K$4:$AJ$4,0)))))</f>
        <v>187673</v>
      </c>
      <c r="V47" s="265">
        <f>IF(ISNA(MATCH(V$2,Inputs!$K$4:$AJ$4,0)),NA(),IF(SUMPRODUCT((Inputs!$A$5:$A$130=$B47)*ISNUMBER(INDEX(Inputs!$K$5:$AJ$130,0,MATCH(V$2,Inputs!$K$4:$AJ$4,0))))+SUMPRODUCT((Inputs!$C$5:$C$130=$B47)*ISNUMBER(INDEX(Inputs!$K$5:$AJ$130,0,MATCH(V$2,Inputs!$K$4:$AJ$4,0))))+SUMPRODUCT((Inputs!$E$5:$E$130=$B47)*ISNUMBER(INDEX(Inputs!$K$5:$AJ$130,0,MATCH(V$2,Inputs!$K$4:$AJ$4,0))))=0,NA(),SUMPRODUCT((Inputs!$A$5:$A$130=$B47)*Inputs!$B$5:$B$130*(((Inputs!$G$5:$G$130="moeda")+(Inputs!$G$5:$G$130="acoes"))*Inputs!$B$1+((Inputs!$G$5:$G$130&lt;&gt;"moeda")*(Inputs!$G$5:$G$130&lt;&gt;"acoes")))*INDEX(Inputs!$K$5:$AJ$130,0,MATCH(V$2,Inputs!$K$4:$AJ$4,0)))+SUMPRODUCT((Inputs!$C$5:$C$130=$B47)*Inputs!$D$5:$D$130*(((Inputs!$G$5:$G$130="moeda")+(Inputs!$G$5:$G$130="acoes"))*Inputs!$B$1+((Inputs!$G$5:$G$130&lt;&gt;"moeda")*(Inputs!$G$5:$G$130&lt;&gt;"acoes")))*INDEX(Inputs!$K$5:$AJ$130,0,MATCH(V$2,Inputs!$K$4:$AJ$4,0)))+SUMPRODUCT((Inputs!$E$5:$E$130=$B47)*Inputs!$F$5:$F$130*(((Inputs!$G$5:$G$130="moeda")+(Inputs!$G$5:$G$130="acoes"))*Inputs!$B$1+((Inputs!$G$5:$G$130&lt;&gt;"moeda")*(Inputs!$G$5:$G$130&lt;&gt;"acoes")))*INDEX(Inputs!$K$5:$AJ$130,0,MATCH(V$2,Inputs!$K$4:$AJ$4,0)))))</f>
        <v>178303</v>
      </c>
      <c r="W47" s="266">
        <f>V47</f>
        <v>178303</v>
      </c>
      <c r="X47" s="265">
        <f>IF(ISNA(MATCH(X$2,Inputs!$K$4:$AJ$4,0)),NA(),IF(SUMPRODUCT((Inputs!$A$5:$A$130=$B47)*ISNUMBER(INDEX(Inputs!$K$5:$AJ$130,0,MATCH(X$2,Inputs!$K$4:$AJ$4,0))))+SUMPRODUCT((Inputs!$C$5:$C$130=$B47)*ISNUMBER(INDEX(Inputs!$K$5:$AJ$130,0,MATCH(X$2,Inputs!$K$4:$AJ$4,0))))+SUMPRODUCT((Inputs!$E$5:$E$130=$B47)*ISNUMBER(INDEX(Inputs!$K$5:$AJ$130,0,MATCH(X$2,Inputs!$K$4:$AJ$4,0))))=0,NA(),SUMPRODUCT((Inputs!$A$5:$A$130=$B47)*Inputs!$B$5:$B$130*(((Inputs!$G$5:$G$130="moeda")+(Inputs!$G$5:$G$130="acoes"))*Inputs!$B$1+((Inputs!$G$5:$G$130&lt;&gt;"moeda")*(Inputs!$G$5:$G$130&lt;&gt;"acoes")))*INDEX(Inputs!$K$5:$AJ$130,0,MATCH(X$2,Inputs!$K$4:$AJ$4,0)))+SUMPRODUCT((Inputs!$C$5:$C$130=$B47)*Inputs!$D$5:$D$130*(((Inputs!$G$5:$G$130="moeda")+(Inputs!$G$5:$G$130="acoes"))*Inputs!$B$1+((Inputs!$G$5:$G$130&lt;&gt;"moeda")*(Inputs!$G$5:$G$130&lt;&gt;"acoes")))*INDEX(Inputs!$K$5:$AJ$130,0,MATCH(X$2,Inputs!$K$4:$AJ$4,0)))+SUMPRODUCT((Inputs!$E$5:$E$130=$B47)*Inputs!$F$5:$F$130*(((Inputs!$G$5:$G$130="moeda")+(Inputs!$G$5:$G$130="acoes"))*Inputs!$B$1+((Inputs!$G$5:$G$130&lt;&gt;"moeda")*(Inputs!$G$5:$G$130&lt;&gt;"acoes")))*INDEX(Inputs!$K$5:$AJ$130,0,MATCH(X$2,Inputs!$K$4:$AJ$4,0)))))</f>
        <v>178813</v>
      </c>
      <c r="Y47" s="265">
        <f>IF(ISNA(MATCH(Y$2,Inputs!$K$4:$AJ$4,0)),NA(),IF(SUMPRODUCT((Inputs!$A$5:$A$130=$B47)*ISNUMBER(INDEX(Inputs!$K$5:$AJ$130,0,MATCH(Y$2,Inputs!$K$4:$AJ$4,0))))+SUMPRODUCT((Inputs!$C$5:$C$130=$B47)*ISNUMBER(INDEX(Inputs!$K$5:$AJ$130,0,MATCH(Y$2,Inputs!$K$4:$AJ$4,0))))+SUMPRODUCT((Inputs!$E$5:$E$130=$B47)*ISNUMBER(INDEX(Inputs!$K$5:$AJ$130,0,MATCH(Y$2,Inputs!$K$4:$AJ$4,0))))=0,NA(),SUMPRODUCT((Inputs!$A$5:$A$130=$B47)*Inputs!$B$5:$B$130*(((Inputs!$G$5:$G$130="moeda")+(Inputs!$G$5:$G$130="acoes"))*Inputs!$B$1+((Inputs!$G$5:$G$130&lt;&gt;"moeda")*(Inputs!$G$5:$G$130&lt;&gt;"acoes")))*INDEX(Inputs!$K$5:$AJ$130,0,MATCH(Y$2,Inputs!$K$4:$AJ$4,0)))+SUMPRODUCT((Inputs!$C$5:$C$130=$B47)*Inputs!$D$5:$D$130*(((Inputs!$G$5:$G$130="moeda")+(Inputs!$G$5:$G$130="acoes"))*Inputs!$B$1+((Inputs!$G$5:$G$130&lt;&gt;"moeda")*(Inputs!$G$5:$G$130&lt;&gt;"acoes")))*INDEX(Inputs!$K$5:$AJ$130,0,MATCH(Y$2,Inputs!$K$4:$AJ$4,0)))+SUMPRODUCT((Inputs!$E$5:$E$130=$B47)*Inputs!$F$5:$F$130*(((Inputs!$G$5:$G$130="moeda")+(Inputs!$G$5:$G$130="acoes"))*Inputs!$B$1+((Inputs!$G$5:$G$130&lt;&gt;"moeda")*(Inputs!$G$5:$G$130&lt;&gt;"acoes")))*INDEX(Inputs!$K$5:$AJ$130,0,MATCH(Y$2,Inputs!$K$4:$AJ$4,0)))))</f>
        <v>181137</v>
      </c>
      <c r="Z47" s="265">
        <f>IF(ISNA(MATCH(Z$2,Inputs!$K$4:$AJ$4,0)),NA(),IF(SUMPRODUCT((Inputs!$A$5:$A$130=$B47)*ISNUMBER(INDEX(Inputs!$K$5:$AJ$130,0,MATCH(Z$2,Inputs!$K$4:$AJ$4,0))))+SUMPRODUCT((Inputs!$C$5:$C$130=$B47)*ISNUMBER(INDEX(Inputs!$K$5:$AJ$130,0,MATCH(Z$2,Inputs!$K$4:$AJ$4,0))))+SUMPRODUCT((Inputs!$E$5:$E$130=$B47)*ISNUMBER(INDEX(Inputs!$K$5:$AJ$130,0,MATCH(Z$2,Inputs!$K$4:$AJ$4,0))))=0,NA(),SUMPRODUCT((Inputs!$A$5:$A$130=$B47)*Inputs!$B$5:$B$130*(((Inputs!$G$5:$G$130="moeda")+(Inputs!$G$5:$G$130="acoes"))*Inputs!$B$1+((Inputs!$G$5:$G$130&lt;&gt;"moeda")*(Inputs!$G$5:$G$130&lt;&gt;"acoes")))*INDEX(Inputs!$K$5:$AJ$130,0,MATCH(Z$2,Inputs!$K$4:$AJ$4,0)))+SUMPRODUCT((Inputs!$C$5:$C$130=$B47)*Inputs!$D$5:$D$130*(((Inputs!$G$5:$G$130="moeda")+(Inputs!$G$5:$G$130="acoes"))*Inputs!$B$1+((Inputs!$G$5:$G$130&lt;&gt;"moeda")*(Inputs!$G$5:$G$130&lt;&gt;"acoes")))*INDEX(Inputs!$K$5:$AJ$130,0,MATCH(Z$2,Inputs!$K$4:$AJ$4,0)))+SUMPRODUCT((Inputs!$E$5:$E$130=$B47)*Inputs!$F$5:$F$130*(((Inputs!$G$5:$G$130="moeda")+(Inputs!$G$5:$G$130="acoes"))*Inputs!$B$1+((Inputs!$G$5:$G$130&lt;&gt;"moeda")*(Inputs!$G$5:$G$130&lt;&gt;"acoes")))*INDEX(Inputs!$K$5:$AJ$130,0,MATCH(Z$2,Inputs!$K$4:$AJ$4,0)))))</f>
        <v>175823</v>
      </c>
      <c r="AA47" s="265">
        <f>IF(ISNA(MATCH(AA$2,Inputs!$K$4:$AJ$4,0)),NA(),IF(SUMPRODUCT((Inputs!$A$5:$A$130=$B47)*ISNUMBER(INDEX(Inputs!$K$5:$AJ$130,0,MATCH(AA$2,Inputs!$K$4:$AJ$4,0))))+SUMPRODUCT((Inputs!$C$5:$C$130=$B47)*ISNUMBER(INDEX(Inputs!$K$5:$AJ$130,0,MATCH(AA$2,Inputs!$K$4:$AJ$4,0))))+SUMPRODUCT((Inputs!$E$5:$E$130=$B47)*ISNUMBER(INDEX(Inputs!$K$5:$AJ$130,0,MATCH(AA$2,Inputs!$K$4:$AJ$4,0))))=0,NA(),SUMPRODUCT((Inputs!$A$5:$A$130=$B47)*Inputs!$B$5:$B$130*(((Inputs!$G$5:$G$130="moeda")+(Inputs!$G$5:$G$130="acoes"))*Inputs!$B$1+((Inputs!$G$5:$G$130&lt;&gt;"moeda")*(Inputs!$G$5:$G$130&lt;&gt;"acoes")))*INDEX(Inputs!$K$5:$AJ$130,0,MATCH(AA$2,Inputs!$K$4:$AJ$4,0)))+SUMPRODUCT((Inputs!$C$5:$C$130=$B47)*Inputs!$D$5:$D$130*(((Inputs!$G$5:$G$130="moeda")+(Inputs!$G$5:$G$130="acoes"))*Inputs!$B$1+((Inputs!$G$5:$G$130&lt;&gt;"moeda")*(Inputs!$G$5:$G$130&lt;&gt;"acoes")))*INDEX(Inputs!$K$5:$AJ$130,0,MATCH(AA$2,Inputs!$K$4:$AJ$4,0)))+SUMPRODUCT((Inputs!$E$5:$E$130=$B47)*Inputs!$F$5:$F$130*(((Inputs!$G$5:$G$130="moeda")+(Inputs!$G$5:$G$130="acoes"))*Inputs!$B$1+((Inputs!$G$5:$G$130&lt;&gt;"moeda")*(Inputs!$G$5:$G$130&lt;&gt;"acoes")))*INDEX(Inputs!$K$5:$AJ$130,0,MATCH(AA$2,Inputs!$K$4:$AJ$4,0)))))</f>
        <v>174392</v>
      </c>
      <c r="AB47" s="266">
        <f>AA47</f>
        <v>174392</v>
      </c>
      <c r="AC47" s="265">
        <f>IF(ISNA(MATCH(AC$2,Inputs!$K$4:$AJ$4,0)),NA(),IF(SUMPRODUCT((Inputs!$A$5:$A$130=$B47)*ISNUMBER(INDEX(Inputs!$K$5:$AJ$130,0,MATCH(AC$2,Inputs!$K$4:$AJ$4,0))))+SUMPRODUCT((Inputs!$C$5:$C$130=$B47)*ISNUMBER(INDEX(Inputs!$K$5:$AJ$130,0,MATCH(AC$2,Inputs!$K$4:$AJ$4,0))))+SUMPRODUCT((Inputs!$E$5:$E$130=$B47)*ISNUMBER(INDEX(Inputs!$K$5:$AJ$130,0,MATCH(AC$2,Inputs!$K$4:$AJ$4,0))))=0,NA(),SUMPRODUCT((Inputs!$A$5:$A$130=$B47)*Inputs!$B$5:$B$130*(((Inputs!$G$5:$G$130="moeda")+(Inputs!$G$5:$G$130="acoes"))*Inputs!$B$1+((Inputs!$G$5:$G$130&lt;&gt;"moeda")*(Inputs!$G$5:$G$130&lt;&gt;"acoes")))*INDEX(Inputs!$K$5:$AJ$130,0,MATCH(AC$2,Inputs!$K$4:$AJ$4,0)))+SUMPRODUCT((Inputs!$C$5:$C$130=$B47)*Inputs!$D$5:$D$130*(((Inputs!$G$5:$G$130="moeda")+(Inputs!$G$5:$G$130="acoes"))*Inputs!$B$1+((Inputs!$G$5:$G$130&lt;&gt;"moeda")*(Inputs!$G$5:$G$130&lt;&gt;"acoes")))*INDEX(Inputs!$K$5:$AJ$130,0,MATCH(AC$2,Inputs!$K$4:$AJ$4,0)))+SUMPRODUCT((Inputs!$E$5:$E$130=$B47)*Inputs!$F$5:$F$130*(((Inputs!$G$5:$G$130="moeda")+(Inputs!$G$5:$G$130="acoes"))*Inputs!$B$1+((Inputs!$G$5:$G$130&lt;&gt;"moeda")*(Inputs!$G$5:$G$130&lt;&gt;"acoes")))*INDEX(Inputs!$K$5:$AJ$130,0,MATCH(AC$2,Inputs!$K$4:$AJ$4,0)))))</f>
        <v>173583</v>
      </c>
      <c r="AD47" s="265">
        <f>IF(ISNA(MATCH(AD$2,Inputs!$K$4:$AJ$4,0)),NA(),IF(SUMPRODUCT((Inputs!$A$5:$A$130=$B47)*ISNUMBER(INDEX(Inputs!$K$5:$AJ$130,0,MATCH(AD$2,Inputs!$K$4:$AJ$4,0))))+SUMPRODUCT((Inputs!$C$5:$C$130=$B47)*ISNUMBER(INDEX(Inputs!$K$5:$AJ$130,0,MATCH(AD$2,Inputs!$K$4:$AJ$4,0))))+SUMPRODUCT((Inputs!$E$5:$E$130=$B47)*ISNUMBER(INDEX(Inputs!$K$5:$AJ$130,0,MATCH(AD$2,Inputs!$K$4:$AJ$4,0))))=0,NA(),SUMPRODUCT((Inputs!$A$5:$A$130=$B47)*Inputs!$B$5:$B$130*(((Inputs!$G$5:$G$130="moeda")+(Inputs!$G$5:$G$130="acoes"))*Inputs!$B$1+((Inputs!$G$5:$G$130&lt;&gt;"moeda")*(Inputs!$G$5:$G$130&lt;&gt;"acoes")))*INDEX(Inputs!$K$5:$AJ$130,0,MATCH(AD$2,Inputs!$K$4:$AJ$4,0)))+SUMPRODUCT((Inputs!$C$5:$C$130=$B47)*Inputs!$D$5:$D$130*(((Inputs!$G$5:$G$130="moeda")+(Inputs!$G$5:$G$130="acoes"))*Inputs!$B$1+((Inputs!$G$5:$G$130&lt;&gt;"moeda")*(Inputs!$G$5:$G$130&lt;&gt;"acoes")))*INDEX(Inputs!$K$5:$AJ$130,0,MATCH(AD$2,Inputs!$K$4:$AJ$4,0)))+SUMPRODUCT((Inputs!$E$5:$E$130=$B47)*Inputs!$F$5:$F$130*(((Inputs!$G$5:$G$130="moeda")+(Inputs!$G$5:$G$130="acoes"))*Inputs!$B$1+((Inputs!$G$5:$G$130&lt;&gt;"moeda")*(Inputs!$G$5:$G$130&lt;&gt;"acoes")))*INDEX(Inputs!$K$5:$AJ$130,0,MATCH(AD$2,Inputs!$K$4:$AJ$4,0)))))</f>
        <v>180786</v>
      </c>
      <c r="AE47" s="265" t="e">
        <f>IF(ISNA(MATCH(AE$2,Inputs!$K$4:$AJ$4,0)),NA(),IF(SUMPRODUCT((Inputs!$A$5:$A$130=$B47)*ISNUMBER(INDEX(Inputs!$K$5:$AJ$130,0,MATCH(AE$2,Inputs!$K$4:$AJ$4,0))))+SUMPRODUCT((Inputs!$C$5:$C$130=$B47)*ISNUMBER(INDEX(Inputs!$K$5:$AJ$130,0,MATCH(AE$2,Inputs!$K$4:$AJ$4,0))))+SUMPRODUCT((Inputs!$E$5:$E$130=$B47)*ISNUMBER(INDEX(Inputs!$K$5:$AJ$130,0,MATCH(AE$2,Inputs!$K$4:$AJ$4,0))))=0,NA(),SUMPRODUCT((Inputs!$A$5:$A$130=$B47)*Inputs!$B$5:$B$130*(((Inputs!$G$5:$G$130="moeda")+(Inputs!$G$5:$G$130="acoes"))*Inputs!$B$1+((Inputs!$G$5:$G$130&lt;&gt;"moeda")*(Inputs!$G$5:$G$130&lt;&gt;"acoes")))*INDEX(Inputs!$K$5:$AJ$130,0,MATCH(AE$2,Inputs!$K$4:$AJ$4,0)))+SUMPRODUCT((Inputs!$C$5:$C$130=$B47)*Inputs!$D$5:$D$130*(((Inputs!$G$5:$G$130="moeda")+(Inputs!$G$5:$G$130="acoes"))*Inputs!$B$1+((Inputs!$G$5:$G$130&lt;&gt;"moeda")*(Inputs!$G$5:$G$130&lt;&gt;"acoes")))*INDEX(Inputs!$K$5:$AJ$130,0,MATCH(AE$2,Inputs!$K$4:$AJ$4,0)))+SUMPRODUCT((Inputs!$E$5:$E$130=$B47)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47" s="265" t="e">
        <f>IF(ISNA(MATCH(AF$2,Inputs!$K$4:$AJ$4,0)),NA(),IF(SUMPRODUCT((Inputs!$A$5:$A$130=$B47)*ISNUMBER(INDEX(Inputs!$K$5:$AJ$130,0,MATCH(AF$2,Inputs!$K$4:$AJ$4,0))))+SUMPRODUCT((Inputs!$C$5:$C$130=$B47)*ISNUMBER(INDEX(Inputs!$K$5:$AJ$130,0,MATCH(AF$2,Inputs!$K$4:$AJ$4,0))))+SUMPRODUCT((Inputs!$E$5:$E$130=$B47)*ISNUMBER(INDEX(Inputs!$K$5:$AJ$130,0,MATCH(AF$2,Inputs!$K$4:$AJ$4,0))))=0,NA(),SUMPRODUCT((Inputs!$A$5:$A$130=$B47)*Inputs!$B$5:$B$130*(((Inputs!$G$5:$G$130="moeda")+(Inputs!$G$5:$G$130="acoes"))*Inputs!$B$1+((Inputs!$G$5:$G$130&lt;&gt;"moeda")*(Inputs!$G$5:$G$130&lt;&gt;"acoes")))*INDEX(Inputs!$K$5:$AJ$130,0,MATCH(AF$2,Inputs!$K$4:$AJ$4,0)))+SUMPRODUCT((Inputs!$C$5:$C$130=$B47)*Inputs!$D$5:$D$130*(((Inputs!$G$5:$G$130="moeda")+(Inputs!$G$5:$G$130="acoes"))*Inputs!$B$1+((Inputs!$G$5:$G$130&lt;&gt;"moeda")*(Inputs!$G$5:$G$130&lt;&gt;"acoes")))*INDEX(Inputs!$K$5:$AJ$130,0,MATCH(AF$2,Inputs!$K$4:$AJ$4,0)))+SUMPRODUCT((Inputs!$E$5:$E$130=$B47)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47" s="266" t="e">
        <f>AF47</f>
        <v>#N/A</v>
      </c>
      <c r="AH47" s="265" t="e">
        <f>IF(ISNA(MATCH(AH$2,Inputs!$K$4:$AJ$4,0)),NA(),IF(SUMPRODUCT((Inputs!$A$5:$A$130=$B47)*ISNUMBER(INDEX(Inputs!$K$5:$AJ$130,0,MATCH(AH$2,Inputs!$K$4:$AJ$4,0))))+SUMPRODUCT((Inputs!$C$5:$C$130=$B47)*ISNUMBER(INDEX(Inputs!$K$5:$AJ$130,0,MATCH(AH$2,Inputs!$K$4:$AJ$4,0))))+SUMPRODUCT((Inputs!$E$5:$E$130=$B47)*ISNUMBER(INDEX(Inputs!$K$5:$AJ$130,0,MATCH(AH$2,Inputs!$K$4:$AJ$4,0))))=0,NA(),SUMPRODUCT((Inputs!$A$5:$A$130=$B47)*Inputs!$B$5:$B$130*(((Inputs!$G$5:$G$130="moeda")+(Inputs!$G$5:$G$130="acoes"))*Inputs!$B$1+((Inputs!$G$5:$G$130&lt;&gt;"moeda")*(Inputs!$G$5:$G$130&lt;&gt;"acoes")))*INDEX(Inputs!$K$5:$AJ$130,0,MATCH(AH$2,Inputs!$K$4:$AJ$4,0)))+SUMPRODUCT((Inputs!$C$5:$C$130=$B47)*Inputs!$D$5:$D$130*(((Inputs!$G$5:$G$130="moeda")+(Inputs!$G$5:$G$130="acoes"))*Inputs!$B$1+((Inputs!$G$5:$G$130&lt;&gt;"moeda")*(Inputs!$G$5:$G$130&lt;&gt;"acoes")))*INDEX(Inputs!$K$5:$AJ$130,0,MATCH(AH$2,Inputs!$K$4:$AJ$4,0)))+SUMPRODUCT((Inputs!$E$5:$E$130=$B47)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47" s="265" t="e">
        <f>IF(ISNA(MATCH(AI$2,Inputs!$K$4:$AJ$4,0)),NA(),IF(SUMPRODUCT((Inputs!$A$5:$A$130=$B47)*ISNUMBER(INDEX(Inputs!$K$5:$AJ$130,0,MATCH(AI$2,Inputs!$K$4:$AJ$4,0))))+SUMPRODUCT((Inputs!$C$5:$C$130=$B47)*ISNUMBER(INDEX(Inputs!$K$5:$AJ$130,0,MATCH(AI$2,Inputs!$K$4:$AJ$4,0))))+SUMPRODUCT((Inputs!$E$5:$E$130=$B47)*ISNUMBER(INDEX(Inputs!$K$5:$AJ$130,0,MATCH(AI$2,Inputs!$K$4:$AJ$4,0))))=0,NA(),SUMPRODUCT((Inputs!$A$5:$A$130=$B47)*Inputs!$B$5:$B$130*(((Inputs!$G$5:$G$130="moeda")+(Inputs!$G$5:$G$130="acoes"))*Inputs!$B$1+((Inputs!$G$5:$G$130&lt;&gt;"moeda")*(Inputs!$G$5:$G$130&lt;&gt;"acoes")))*INDEX(Inputs!$K$5:$AJ$130,0,MATCH(AI$2,Inputs!$K$4:$AJ$4,0)))+SUMPRODUCT((Inputs!$C$5:$C$130=$B47)*Inputs!$D$5:$D$130*(((Inputs!$G$5:$G$130="moeda")+(Inputs!$G$5:$G$130="acoes"))*Inputs!$B$1+((Inputs!$G$5:$G$130&lt;&gt;"moeda")*(Inputs!$G$5:$G$130&lt;&gt;"acoes")))*INDEX(Inputs!$K$5:$AJ$130,0,MATCH(AI$2,Inputs!$K$4:$AJ$4,0)))+SUMPRODUCT((Inputs!$E$5:$E$130=$B47)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47" s="265" t="e">
        <f>IF(ISNA(MATCH(AJ$2,Inputs!$K$4:$AJ$4,0)),NA(),IF(SUMPRODUCT((Inputs!$A$5:$A$130=$B47)*ISNUMBER(INDEX(Inputs!$K$5:$AJ$130,0,MATCH(AJ$2,Inputs!$K$4:$AJ$4,0))))+SUMPRODUCT((Inputs!$C$5:$C$130=$B47)*ISNUMBER(INDEX(Inputs!$K$5:$AJ$130,0,MATCH(AJ$2,Inputs!$K$4:$AJ$4,0))))+SUMPRODUCT((Inputs!$E$5:$E$130=$B47)*ISNUMBER(INDEX(Inputs!$K$5:$AJ$130,0,MATCH(AJ$2,Inputs!$K$4:$AJ$4,0))))=0,NA(),SUMPRODUCT((Inputs!$A$5:$A$130=$B47)*Inputs!$B$5:$B$130*(((Inputs!$G$5:$G$130="moeda")+(Inputs!$G$5:$G$130="acoes"))*Inputs!$B$1+((Inputs!$G$5:$G$130&lt;&gt;"moeda")*(Inputs!$G$5:$G$130&lt;&gt;"acoes")))*INDEX(Inputs!$K$5:$AJ$130,0,MATCH(AJ$2,Inputs!$K$4:$AJ$4,0)))+SUMPRODUCT((Inputs!$C$5:$C$130=$B47)*Inputs!$D$5:$D$130*(((Inputs!$G$5:$G$130="moeda")+(Inputs!$G$5:$G$130="acoes"))*Inputs!$B$1+((Inputs!$G$5:$G$130&lt;&gt;"moeda")*(Inputs!$G$5:$G$130&lt;&gt;"acoes")))*INDEX(Inputs!$K$5:$AJ$130,0,MATCH(AJ$2,Inputs!$K$4:$AJ$4,0)))+SUMPRODUCT((Inputs!$E$5:$E$130=$B47)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47" s="265" t="e">
        <f>IF(ISNA(MATCH(AK$2,Inputs!$K$4:$AJ$4,0)),NA(),IF(SUMPRODUCT((Inputs!$A$5:$A$130=$B47)*ISNUMBER(INDEX(Inputs!$K$5:$AJ$130,0,MATCH(AK$2,Inputs!$K$4:$AJ$4,0))))+SUMPRODUCT((Inputs!$C$5:$C$130=$B47)*ISNUMBER(INDEX(Inputs!$K$5:$AJ$130,0,MATCH(AK$2,Inputs!$K$4:$AJ$4,0))))+SUMPRODUCT((Inputs!$E$5:$E$130=$B47)*ISNUMBER(INDEX(Inputs!$K$5:$AJ$130,0,MATCH(AK$2,Inputs!$K$4:$AJ$4,0))))=0,NA(),SUMPRODUCT((Inputs!$A$5:$A$130=$B47)*Inputs!$B$5:$B$130*(((Inputs!$G$5:$G$130="moeda")+(Inputs!$G$5:$G$130="acoes"))*Inputs!$B$1+((Inputs!$G$5:$G$130&lt;&gt;"moeda")*(Inputs!$G$5:$G$130&lt;&gt;"acoes")))*INDEX(Inputs!$K$5:$AJ$130,0,MATCH(AK$2,Inputs!$K$4:$AJ$4,0)))+SUMPRODUCT((Inputs!$C$5:$C$130=$B47)*Inputs!$D$5:$D$130*(((Inputs!$G$5:$G$130="moeda")+(Inputs!$G$5:$G$130="acoes"))*Inputs!$B$1+((Inputs!$G$5:$G$130&lt;&gt;"moeda")*(Inputs!$G$5:$G$130&lt;&gt;"acoes")))*INDEX(Inputs!$K$5:$AJ$130,0,MATCH(AK$2,Inputs!$K$4:$AJ$4,0)))+SUMPRODUCT((Inputs!$E$5:$E$130=$B47)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47" s="266" t="e">
        <f>AK47</f>
        <v>#N/A</v>
      </c>
    </row>
    <row r="48"/>
    <row r="49" ht="12.75" customFormat="1" customHeight="1" s="257">
      <c r="C49" s="258" t="n"/>
      <c r="D49" s="270" t="n"/>
      <c r="E49" s="270" t="n"/>
      <c r="F49" s="270" t="n"/>
      <c r="G49" s="270" t="n"/>
      <c r="H49" s="266" t="n"/>
      <c r="I49" s="270" t="n"/>
      <c r="J49" s="270" t="n"/>
      <c r="K49" s="270" t="n"/>
      <c r="L49" s="270" t="n"/>
      <c r="M49" s="266" t="n"/>
      <c r="N49" s="270" t="n"/>
      <c r="O49" s="270" t="n"/>
      <c r="P49" s="270" t="n"/>
      <c r="Q49" s="270" t="n"/>
      <c r="R49" s="266" t="n"/>
      <c r="S49" s="270" t="n"/>
      <c r="T49" s="270" t="n"/>
      <c r="U49" s="270" t="n"/>
      <c r="V49" s="270" t="n"/>
      <c r="W49" s="266" t="n"/>
      <c r="X49" s="270" t="n"/>
      <c r="Y49" s="270" t="n"/>
      <c r="Z49" s="270" t="n"/>
      <c r="AA49" s="270" t="n"/>
      <c r="AC49" s="270" t="n"/>
      <c r="AD49" s="270" t="n"/>
      <c r="AE49" s="270" t="n"/>
      <c r="AF49" s="270" t="n"/>
    </row>
    <row r="50" ht="12.75" customHeight="1" s="254">
      <c r="B50" s="263" t="n">
        <v>44</v>
      </c>
      <c r="C50" s="267" t="inlineStr">
        <is>
          <t>Net income reported (lucro liquido) - memo p/ check IS [Model linha 4]</t>
        </is>
      </c>
      <c r="D50" s="265">
        <f>IF(ISNA(MATCH(D$2,Inputs!$K$4:$AJ$4,0)),NA(),IF(SUMPRODUCT((Inputs!$A$5:$A$130=$B50)*ISNUMBER(INDEX(Inputs!$K$5:$AJ$130,0,MATCH(D$2,Inputs!$K$4:$AJ$4,0))))+SUMPRODUCT((Inputs!$C$5:$C$130=$B50)*ISNUMBER(INDEX(Inputs!$K$5:$AJ$130,0,MATCH(D$2,Inputs!$K$4:$AJ$4,0))))+SUMPRODUCT((Inputs!$E$5:$E$130=$B50)*ISNUMBER(INDEX(Inputs!$K$5:$AJ$130,0,MATCH(D$2,Inputs!$K$4:$AJ$4,0))))=0,NA(),SUMPRODUCT((Inputs!$A$5:$A$130=$B50)*Inputs!$B$5:$B$130*(((Inputs!$G$5:$G$130="moeda")+(Inputs!$G$5:$G$130="acoes"))*Inputs!$B$1+((Inputs!$G$5:$G$130&lt;&gt;"moeda")*(Inputs!$G$5:$G$130&lt;&gt;"acoes")))*INDEX(Inputs!$K$5:$AJ$130,0,MATCH(D$2,Inputs!$K$4:$AJ$4,0)))+SUMPRODUCT((Inputs!$C$5:$C$130=$B50)*Inputs!$D$5:$D$130*(((Inputs!$G$5:$G$130="moeda")+(Inputs!$G$5:$G$130="acoes"))*Inputs!$B$1+((Inputs!$G$5:$G$130&lt;&gt;"moeda")*(Inputs!$G$5:$G$130&lt;&gt;"acoes")))*INDEX(Inputs!$K$5:$AJ$130,0,MATCH(D$2,Inputs!$K$4:$AJ$4,0)))+SUMPRODUCT((Inputs!$E$5:$E$130=$B50)*Inputs!$F$5:$F$130*(((Inputs!$G$5:$G$130="moeda")+(Inputs!$G$5:$G$130="acoes"))*Inputs!$B$1+((Inputs!$G$5:$G$130&lt;&gt;"moeda")*(Inputs!$G$5:$G$130&lt;&gt;"acoes")))*INDEX(Inputs!$K$5:$AJ$130,0,MATCH(D$2,Inputs!$K$4:$AJ$4,0)))))</f>
        <v>5660</v>
      </c>
      <c r="E50" s="265">
        <f>IF(ISNA(MATCH(E$2,Inputs!$K$4:$AJ$4,0)),NA(),IF(SUMPRODUCT((Inputs!$A$5:$A$130=$B50)*ISNUMBER(INDEX(Inputs!$K$5:$AJ$130,0,MATCH(E$2,Inputs!$K$4:$AJ$4,0))))+SUMPRODUCT((Inputs!$C$5:$C$130=$B50)*ISNUMBER(INDEX(Inputs!$K$5:$AJ$130,0,MATCH(E$2,Inputs!$K$4:$AJ$4,0))))+SUMPRODUCT((Inputs!$E$5:$E$130=$B50)*ISNUMBER(INDEX(Inputs!$K$5:$AJ$130,0,MATCH(E$2,Inputs!$K$4:$AJ$4,0))))=0,NA(),SUMPRODUCT((Inputs!$A$5:$A$130=$B50)*Inputs!$B$5:$B$130*(((Inputs!$G$5:$G$130="moeda")+(Inputs!$G$5:$G$130="acoes"))*Inputs!$B$1+((Inputs!$G$5:$G$130&lt;&gt;"moeda")*(Inputs!$G$5:$G$130&lt;&gt;"acoes")))*INDEX(Inputs!$K$5:$AJ$130,0,MATCH(E$2,Inputs!$K$4:$AJ$4,0)))+SUMPRODUCT((Inputs!$C$5:$C$130=$B50)*Inputs!$D$5:$D$130*(((Inputs!$G$5:$G$130="moeda")+(Inputs!$G$5:$G$130="acoes"))*Inputs!$B$1+((Inputs!$G$5:$G$130&lt;&gt;"moeda")*(Inputs!$G$5:$G$130&lt;&gt;"acoes")))*INDEX(Inputs!$K$5:$AJ$130,0,MATCH(E$2,Inputs!$K$4:$AJ$4,0)))+SUMPRODUCT((Inputs!$E$5:$E$130=$B50)*Inputs!$F$5:$F$130*(((Inputs!$G$5:$G$130="moeda")+(Inputs!$G$5:$G$130="acoes"))*Inputs!$B$1+((Inputs!$G$5:$G$130&lt;&gt;"moeda")*(Inputs!$G$5:$G$130&lt;&gt;"acoes")))*INDEX(Inputs!$K$5:$AJ$130,0,MATCH(E$2,Inputs!$K$4:$AJ$4,0)))))</f>
        <v>3428</v>
      </c>
      <c r="F50" s="265">
        <f>IF(ISNA(MATCH(F$2,Inputs!$K$4:$AJ$4,0)),NA(),IF(SUMPRODUCT((Inputs!$A$5:$A$130=$B50)*ISNUMBER(INDEX(Inputs!$K$5:$AJ$130,0,MATCH(F$2,Inputs!$K$4:$AJ$4,0))))+SUMPRODUCT((Inputs!$C$5:$C$130=$B50)*ISNUMBER(INDEX(Inputs!$K$5:$AJ$130,0,MATCH(F$2,Inputs!$K$4:$AJ$4,0))))+SUMPRODUCT((Inputs!$E$5:$E$130=$B50)*ISNUMBER(INDEX(Inputs!$K$5:$AJ$130,0,MATCH(F$2,Inputs!$K$4:$AJ$4,0))))=0,NA(),SUMPRODUCT((Inputs!$A$5:$A$130=$B50)*Inputs!$B$5:$B$130*(((Inputs!$G$5:$G$130="moeda")+(Inputs!$G$5:$G$130="acoes"))*Inputs!$B$1+((Inputs!$G$5:$G$130&lt;&gt;"moeda")*(Inputs!$G$5:$G$130&lt;&gt;"acoes")))*INDEX(Inputs!$K$5:$AJ$130,0,MATCH(F$2,Inputs!$K$4:$AJ$4,0)))+SUMPRODUCT((Inputs!$C$5:$C$130=$B50)*Inputs!$D$5:$D$130*(((Inputs!$G$5:$G$130="moeda")+(Inputs!$G$5:$G$130="acoes"))*Inputs!$B$1+((Inputs!$G$5:$G$130&lt;&gt;"moeda")*(Inputs!$G$5:$G$130&lt;&gt;"acoes")))*INDEX(Inputs!$K$5:$AJ$130,0,MATCH(F$2,Inputs!$K$4:$AJ$4,0)))+SUMPRODUCT((Inputs!$E$5:$E$130=$B50)*Inputs!$F$5:$F$130*(((Inputs!$G$5:$G$130="moeda")+(Inputs!$G$5:$G$130="acoes"))*Inputs!$B$1+((Inputs!$G$5:$G$130&lt;&gt;"moeda")*(Inputs!$G$5:$G$130&lt;&gt;"acoes")))*INDEX(Inputs!$K$5:$AJ$130,0,MATCH(F$2,Inputs!$K$4:$AJ$4,0)))))</f>
        <v>-447</v>
      </c>
      <c r="G50" s="265">
        <f>IF(ISNA(MATCH(G$2,Inputs!$K$4:$AJ$4,0)),NA(),IF(SUMPRODUCT((Inputs!$A$5:$A$130=$B50)*ISNUMBER(INDEX(Inputs!$K$5:$AJ$130,0,MATCH(G$2,Inputs!$K$4:$AJ$4,0))))+SUMPRODUCT((Inputs!$C$5:$C$130=$B50)*ISNUMBER(INDEX(Inputs!$K$5:$AJ$130,0,MATCH(G$2,Inputs!$K$4:$AJ$4,0))))+SUMPRODUCT((Inputs!$E$5:$E$130=$B50)*ISNUMBER(INDEX(Inputs!$K$5:$AJ$130,0,MATCH(G$2,Inputs!$K$4:$AJ$4,0))))=0,NA(),SUMPRODUCT((Inputs!$A$5:$A$130=$B50)*Inputs!$B$5:$B$130*(((Inputs!$G$5:$G$130="moeda")+(Inputs!$G$5:$G$130="acoes"))*Inputs!$B$1+((Inputs!$G$5:$G$130&lt;&gt;"moeda")*(Inputs!$G$5:$G$130&lt;&gt;"acoes")))*INDEX(Inputs!$K$5:$AJ$130,0,MATCH(G$2,Inputs!$K$4:$AJ$4,0)))+SUMPRODUCT((Inputs!$C$5:$C$130=$B50)*Inputs!$D$5:$D$130*(((Inputs!$G$5:$G$130="moeda")+(Inputs!$G$5:$G$130="acoes"))*Inputs!$B$1+((Inputs!$G$5:$G$130&lt;&gt;"moeda")*(Inputs!$G$5:$G$130&lt;&gt;"acoes")))*INDEX(Inputs!$K$5:$AJ$130,0,MATCH(G$2,Inputs!$K$4:$AJ$4,0)))+SUMPRODUCT((Inputs!$E$5:$E$130=$B50)*Inputs!$F$5:$F$130*(((Inputs!$G$5:$G$130="moeda")+(Inputs!$G$5:$G$130="acoes"))*Inputs!$B$1+((Inputs!$G$5:$G$130&lt;&gt;"moeda")*(Inputs!$G$5:$G$130&lt;&gt;"acoes")))*INDEX(Inputs!$K$5:$AJ$130,0,MATCH(G$2,Inputs!$K$4:$AJ$4,0)))))</f>
        <v>11461</v>
      </c>
      <c r="H50" s="266">
        <f>SUM(D50:G50)</f>
        <v>20102</v>
      </c>
      <c r="I50" s="265">
        <f>IF(ISNA(MATCH(I$2,Inputs!$K$4:$AJ$4,0)),NA(),IF(SUMPRODUCT((Inputs!$A$5:$A$130=$B50)*ISNUMBER(INDEX(Inputs!$K$5:$AJ$130,0,MATCH(I$2,Inputs!$K$4:$AJ$4,0))))+SUMPRODUCT((Inputs!$C$5:$C$130=$B50)*ISNUMBER(INDEX(Inputs!$K$5:$AJ$130,0,MATCH(I$2,Inputs!$K$4:$AJ$4,0))))+SUMPRODUCT((Inputs!$E$5:$E$130=$B50)*ISNUMBER(INDEX(Inputs!$K$5:$AJ$130,0,MATCH(I$2,Inputs!$K$4:$AJ$4,0))))=0,NA(),SUMPRODUCT((Inputs!$A$5:$A$130=$B50)*Inputs!$B$5:$B$130*(((Inputs!$G$5:$G$130="moeda")+(Inputs!$G$5:$G$130="acoes"))*Inputs!$B$1+((Inputs!$G$5:$G$130&lt;&gt;"moeda")*(Inputs!$G$5:$G$130&lt;&gt;"acoes")))*INDEX(Inputs!$K$5:$AJ$130,0,MATCH(I$2,Inputs!$K$4:$AJ$4,0)))+SUMPRODUCT((Inputs!$C$5:$C$130=$B50)*Inputs!$D$5:$D$130*(((Inputs!$G$5:$G$130="moeda")+(Inputs!$G$5:$G$130="acoes"))*Inputs!$B$1+((Inputs!$G$5:$G$130&lt;&gt;"moeda")*(Inputs!$G$5:$G$130&lt;&gt;"acoes")))*INDEX(Inputs!$K$5:$AJ$130,0,MATCH(I$2,Inputs!$K$4:$AJ$4,0)))+SUMPRODUCT((Inputs!$E$5:$E$130=$B50)*Inputs!$F$5:$F$130*(((Inputs!$G$5:$G$130="moeda")+(Inputs!$G$5:$G$130="acoes"))*Inputs!$B$1+((Inputs!$G$5:$G$130&lt;&gt;"moeda")*(Inputs!$G$5:$G$130&lt;&gt;"acoes")))*INDEX(Inputs!$K$5:$AJ$130,0,MATCH(I$2,Inputs!$K$4:$AJ$4,0)))))</f>
        <v>7116</v>
      </c>
      <c r="J50" s="265">
        <f>IF(ISNA(MATCH(J$2,Inputs!$K$4:$AJ$4,0)),NA(),IF(SUMPRODUCT((Inputs!$A$5:$A$130=$B50)*ISNUMBER(INDEX(Inputs!$K$5:$AJ$130,0,MATCH(J$2,Inputs!$K$4:$AJ$4,0))))+SUMPRODUCT((Inputs!$C$5:$C$130=$B50)*ISNUMBER(INDEX(Inputs!$K$5:$AJ$130,0,MATCH(J$2,Inputs!$K$4:$AJ$4,0))))+SUMPRODUCT((Inputs!$E$5:$E$130=$B50)*ISNUMBER(INDEX(Inputs!$K$5:$AJ$130,0,MATCH(J$2,Inputs!$K$4:$AJ$4,0))))=0,NA(),SUMPRODUCT((Inputs!$A$5:$A$130=$B50)*Inputs!$B$5:$B$130*(((Inputs!$G$5:$G$130="moeda")+(Inputs!$G$5:$G$130="acoes"))*Inputs!$B$1+((Inputs!$G$5:$G$130&lt;&gt;"moeda")*(Inputs!$G$5:$G$130&lt;&gt;"acoes")))*INDEX(Inputs!$K$5:$AJ$130,0,MATCH(J$2,Inputs!$K$4:$AJ$4,0)))+SUMPRODUCT((Inputs!$C$5:$C$130=$B50)*Inputs!$D$5:$D$130*(((Inputs!$G$5:$G$130="moeda")+(Inputs!$G$5:$G$130="acoes"))*Inputs!$B$1+((Inputs!$G$5:$G$130&lt;&gt;"moeda")*(Inputs!$G$5:$G$130&lt;&gt;"acoes")))*INDEX(Inputs!$K$5:$AJ$130,0,MATCH(J$2,Inputs!$K$4:$AJ$4,0)))+SUMPRODUCT((Inputs!$E$5:$E$130=$B50)*Inputs!$F$5:$F$130*(((Inputs!$G$5:$G$130="moeda")+(Inputs!$G$5:$G$130="acoes"))*Inputs!$B$1+((Inputs!$G$5:$G$130&lt;&gt;"moeda")*(Inputs!$G$5:$G$130&lt;&gt;"acoes")))*INDEX(Inputs!$K$5:$AJ$130,0,MATCH(J$2,Inputs!$K$4:$AJ$4,0)))))</f>
        <v>18040</v>
      </c>
      <c r="K50" s="265">
        <f>IF(ISNA(MATCH(K$2,Inputs!$K$4:$AJ$4,0)),NA(),IF(SUMPRODUCT((Inputs!$A$5:$A$130=$B50)*ISNUMBER(INDEX(Inputs!$K$5:$AJ$130,0,MATCH(K$2,Inputs!$K$4:$AJ$4,0))))+SUMPRODUCT((Inputs!$C$5:$C$130=$B50)*ISNUMBER(INDEX(Inputs!$K$5:$AJ$130,0,MATCH(K$2,Inputs!$K$4:$AJ$4,0))))+SUMPRODUCT((Inputs!$E$5:$E$130=$B50)*ISNUMBER(INDEX(Inputs!$K$5:$AJ$130,0,MATCH(K$2,Inputs!$K$4:$AJ$4,0))))=0,NA(),SUMPRODUCT((Inputs!$A$5:$A$130=$B50)*Inputs!$B$5:$B$130*(((Inputs!$G$5:$G$130="moeda")+(Inputs!$G$5:$G$130="acoes"))*Inputs!$B$1+((Inputs!$G$5:$G$130&lt;&gt;"moeda")*(Inputs!$G$5:$G$130&lt;&gt;"acoes")))*INDEX(Inputs!$K$5:$AJ$130,0,MATCH(K$2,Inputs!$K$4:$AJ$4,0)))+SUMPRODUCT((Inputs!$C$5:$C$130=$B50)*Inputs!$D$5:$D$130*(((Inputs!$G$5:$G$130="moeda")+(Inputs!$G$5:$G$130="acoes"))*Inputs!$B$1+((Inputs!$G$5:$G$130&lt;&gt;"moeda")*(Inputs!$G$5:$G$130&lt;&gt;"acoes")))*INDEX(Inputs!$K$5:$AJ$130,0,MATCH(K$2,Inputs!$K$4:$AJ$4,0)))+SUMPRODUCT((Inputs!$E$5:$E$130=$B50)*Inputs!$F$5:$F$130*(((Inputs!$G$5:$G$130="moeda")+(Inputs!$G$5:$G$130="acoes"))*Inputs!$B$1+((Inputs!$G$5:$G$130&lt;&gt;"moeda")*(Inputs!$G$5:$G$130&lt;&gt;"acoes")))*INDEX(Inputs!$K$5:$AJ$130,0,MATCH(K$2,Inputs!$K$4:$AJ$4,0)))))</f>
        <v>6743</v>
      </c>
      <c r="L50" s="265">
        <f>IF(ISNA(MATCH(L$2,Inputs!$K$4:$AJ$4,0)),NA(),IF(SUMPRODUCT((Inputs!$A$5:$A$130=$B50)*ISNUMBER(INDEX(Inputs!$K$5:$AJ$130,0,MATCH(L$2,Inputs!$K$4:$AJ$4,0))))+SUMPRODUCT((Inputs!$C$5:$C$130=$B50)*ISNUMBER(INDEX(Inputs!$K$5:$AJ$130,0,MATCH(L$2,Inputs!$K$4:$AJ$4,0))))+SUMPRODUCT((Inputs!$E$5:$E$130=$B50)*ISNUMBER(INDEX(Inputs!$K$5:$AJ$130,0,MATCH(L$2,Inputs!$K$4:$AJ$4,0))))=0,NA(),SUMPRODUCT((Inputs!$A$5:$A$130=$B50)*Inputs!$B$5:$B$130*(((Inputs!$G$5:$G$130="moeda")+(Inputs!$G$5:$G$130="acoes"))*Inputs!$B$1+((Inputs!$G$5:$G$130&lt;&gt;"moeda")*(Inputs!$G$5:$G$130&lt;&gt;"acoes")))*INDEX(Inputs!$K$5:$AJ$130,0,MATCH(L$2,Inputs!$K$4:$AJ$4,0)))+SUMPRODUCT((Inputs!$C$5:$C$130=$B50)*Inputs!$D$5:$D$130*(((Inputs!$G$5:$G$130="moeda")+(Inputs!$G$5:$G$130="acoes"))*Inputs!$B$1+((Inputs!$G$5:$G$130&lt;&gt;"moeda")*(Inputs!$G$5:$G$130&lt;&gt;"acoes")))*INDEX(Inputs!$K$5:$AJ$130,0,MATCH(L$2,Inputs!$K$4:$AJ$4,0)))+SUMPRODUCT((Inputs!$E$5:$E$130=$B50)*Inputs!$F$5:$F$130*(((Inputs!$G$5:$G$130="moeda")+(Inputs!$G$5:$G$130="acoes"))*Inputs!$B$1+((Inputs!$G$5:$G$130&lt;&gt;"moeda")*(Inputs!$G$5:$G$130&lt;&gt;"acoes")))*INDEX(Inputs!$K$5:$AJ$130,0,MATCH(L$2,Inputs!$K$4:$AJ$4,0)))))</f>
        <v>10409</v>
      </c>
      <c r="M50" s="266">
        <f>SUM(I50:L50)</f>
        <v>42308</v>
      </c>
      <c r="N50" s="265">
        <f>IF(ISNA(MATCH(N$2,Inputs!$K$4:$AJ$4,0)),NA(),IF(SUMPRODUCT((Inputs!$A$5:$A$130=$B50)*ISNUMBER(INDEX(Inputs!$K$5:$AJ$130,0,MATCH(N$2,Inputs!$K$4:$AJ$4,0))))+SUMPRODUCT((Inputs!$C$5:$C$130=$B50)*ISNUMBER(INDEX(Inputs!$K$5:$AJ$130,0,MATCH(N$2,Inputs!$K$4:$AJ$4,0))))+SUMPRODUCT((Inputs!$E$5:$E$130=$B50)*ISNUMBER(INDEX(Inputs!$K$5:$AJ$130,0,MATCH(N$2,Inputs!$K$4:$AJ$4,0))))=0,NA(),SUMPRODUCT((Inputs!$A$5:$A$130=$B50)*Inputs!$B$5:$B$130*(((Inputs!$G$5:$G$130="moeda")+(Inputs!$G$5:$G$130="acoes"))*Inputs!$B$1+((Inputs!$G$5:$G$130&lt;&gt;"moeda")*(Inputs!$G$5:$G$130&lt;&gt;"acoes")))*INDEX(Inputs!$K$5:$AJ$130,0,MATCH(N$2,Inputs!$K$4:$AJ$4,0)))+SUMPRODUCT((Inputs!$C$5:$C$130=$B50)*Inputs!$D$5:$D$130*(((Inputs!$G$5:$G$130="moeda")+(Inputs!$G$5:$G$130="acoes"))*Inputs!$B$1+((Inputs!$G$5:$G$130&lt;&gt;"moeda")*(Inputs!$G$5:$G$130&lt;&gt;"acoes")))*INDEX(Inputs!$K$5:$AJ$130,0,MATCH(N$2,Inputs!$K$4:$AJ$4,0)))+SUMPRODUCT((Inputs!$E$5:$E$130=$B50)*Inputs!$F$5:$F$130*(((Inputs!$G$5:$G$130="moeda")+(Inputs!$G$5:$G$130="acoes"))*Inputs!$B$1+((Inputs!$G$5:$G$130&lt;&gt;"moeda")*(Inputs!$G$5:$G$130&lt;&gt;"acoes")))*INDEX(Inputs!$K$5:$AJ$130,0,MATCH(N$2,Inputs!$K$4:$AJ$4,0)))))</f>
        <v>8709</v>
      </c>
      <c r="O50" s="265">
        <f>IF(ISNA(MATCH(O$2,Inputs!$K$4:$AJ$4,0)),NA(),IF(SUMPRODUCT((Inputs!$A$5:$A$130=$B50)*ISNUMBER(INDEX(Inputs!$K$5:$AJ$130,0,MATCH(O$2,Inputs!$K$4:$AJ$4,0))))+SUMPRODUCT((Inputs!$C$5:$C$130=$B50)*ISNUMBER(INDEX(Inputs!$K$5:$AJ$130,0,MATCH(O$2,Inputs!$K$4:$AJ$4,0))))+SUMPRODUCT((Inputs!$E$5:$E$130=$B50)*ISNUMBER(INDEX(Inputs!$K$5:$AJ$130,0,MATCH(O$2,Inputs!$K$4:$AJ$4,0))))=0,NA(),SUMPRODUCT((Inputs!$A$5:$A$130=$B50)*Inputs!$B$5:$B$130*(((Inputs!$G$5:$G$130="moeda")+(Inputs!$G$5:$G$130="acoes"))*Inputs!$B$1+((Inputs!$G$5:$G$130&lt;&gt;"moeda")*(Inputs!$G$5:$G$130&lt;&gt;"acoes")))*INDEX(Inputs!$K$5:$AJ$130,0,MATCH(O$2,Inputs!$K$4:$AJ$4,0)))+SUMPRODUCT((Inputs!$C$5:$C$130=$B50)*Inputs!$D$5:$D$130*(((Inputs!$G$5:$G$130="moeda")+(Inputs!$G$5:$G$130="acoes"))*Inputs!$B$1+((Inputs!$G$5:$G$130&lt;&gt;"moeda")*(Inputs!$G$5:$G$130&lt;&gt;"acoes")))*INDEX(Inputs!$K$5:$AJ$130,0,MATCH(O$2,Inputs!$K$4:$AJ$4,0)))+SUMPRODUCT((Inputs!$E$5:$E$130=$B50)*Inputs!$F$5:$F$130*(((Inputs!$G$5:$G$130="moeda")+(Inputs!$G$5:$G$130="acoes"))*Inputs!$B$1+((Inputs!$G$5:$G$130&lt;&gt;"moeda")*(Inputs!$G$5:$G$130&lt;&gt;"acoes")))*INDEX(Inputs!$K$5:$AJ$130,0,MATCH(O$2,Inputs!$K$4:$AJ$4,0)))))</f>
        <v>3134</v>
      </c>
      <c r="P50" s="265">
        <f>IF(ISNA(MATCH(P$2,Inputs!$K$4:$AJ$4,0)),NA(),IF(SUMPRODUCT((Inputs!$A$5:$A$130=$B50)*ISNUMBER(INDEX(Inputs!$K$5:$AJ$130,0,MATCH(P$2,Inputs!$K$4:$AJ$4,0))))+SUMPRODUCT((Inputs!$C$5:$C$130=$B50)*ISNUMBER(INDEX(Inputs!$K$5:$AJ$130,0,MATCH(P$2,Inputs!$K$4:$AJ$4,0))))+SUMPRODUCT((Inputs!$E$5:$E$130=$B50)*ISNUMBER(INDEX(Inputs!$K$5:$AJ$130,0,MATCH(P$2,Inputs!$K$4:$AJ$4,0))))=0,NA(),SUMPRODUCT((Inputs!$A$5:$A$130=$B50)*Inputs!$B$5:$B$130*(((Inputs!$G$5:$G$130="moeda")+(Inputs!$G$5:$G$130="acoes"))*Inputs!$B$1+((Inputs!$G$5:$G$130&lt;&gt;"moeda")*(Inputs!$G$5:$G$130&lt;&gt;"acoes")))*INDEX(Inputs!$K$5:$AJ$130,0,MATCH(P$2,Inputs!$K$4:$AJ$4,0)))+SUMPRODUCT((Inputs!$C$5:$C$130=$B50)*Inputs!$D$5:$D$130*(((Inputs!$G$5:$G$130="moeda")+(Inputs!$G$5:$G$130="acoes"))*Inputs!$B$1+((Inputs!$G$5:$G$130&lt;&gt;"moeda")*(Inputs!$G$5:$G$130&lt;&gt;"acoes")))*INDEX(Inputs!$K$5:$AJ$130,0,MATCH(P$2,Inputs!$K$4:$AJ$4,0)))+SUMPRODUCT((Inputs!$E$5:$E$130=$B50)*Inputs!$F$5:$F$130*(((Inputs!$G$5:$G$130="moeda")+(Inputs!$G$5:$G$130="acoes"))*Inputs!$B$1+((Inputs!$G$5:$G$130&lt;&gt;"moeda")*(Inputs!$G$5:$G$130&lt;&gt;"acoes")))*INDEX(Inputs!$K$5:$AJ$130,0,MATCH(P$2,Inputs!$K$4:$AJ$4,0)))))</f>
        <v>7044</v>
      </c>
      <c r="Q50" s="265">
        <f>IF(ISNA(MATCH(Q$2,Inputs!$K$4:$AJ$4,0)),NA(),IF(SUMPRODUCT((Inputs!$A$5:$A$130=$B50)*ISNUMBER(INDEX(Inputs!$K$5:$AJ$130,0,MATCH(Q$2,Inputs!$K$4:$AJ$4,0))))+SUMPRODUCT((Inputs!$C$5:$C$130=$B50)*ISNUMBER(INDEX(Inputs!$K$5:$AJ$130,0,MATCH(Q$2,Inputs!$K$4:$AJ$4,0))))+SUMPRODUCT((Inputs!$E$5:$E$130=$B50)*ISNUMBER(INDEX(Inputs!$K$5:$AJ$130,0,MATCH(Q$2,Inputs!$K$4:$AJ$4,0))))=0,NA(),SUMPRODUCT((Inputs!$A$5:$A$130=$B50)*Inputs!$B$5:$B$130*(((Inputs!$G$5:$G$130="moeda")+(Inputs!$G$5:$G$130="acoes"))*Inputs!$B$1+((Inputs!$G$5:$G$130&lt;&gt;"moeda")*(Inputs!$G$5:$G$130&lt;&gt;"acoes")))*INDEX(Inputs!$K$5:$AJ$130,0,MATCH(Q$2,Inputs!$K$4:$AJ$4,0)))+SUMPRODUCT((Inputs!$C$5:$C$130=$B50)*Inputs!$D$5:$D$130*(((Inputs!$G$5:$G$130="moeda")+(Inputs!$G$5:$G$130="acoes"))*Inputs!$B$1+((Inputs!$G$5:$G$130&lt;&gt;"moeda")*(Inputs!$G$5:$G$130&lt;&gt;"acoes")))*INDEX(Inputs!$K$5:$AJ$130,0,MATCH(Q$2,Inputs!$K$4:$AJ$4,0)))+SUMPRODUCT((Inputs!$E$5:$E$130=$B50)*Inputs!$F$5:$F$130*(((Inputs!$G$5:$G$130="moeda")+(Inputs!$G$5:$G$130="acoes"))*Inputs!$B$1+((Inputs!$G$5:$G$130&lt;&gt;"moeda")*(Inputs!$G$5:$G$130&lt;&gt;"acoes")))*INDEX(Inputs!$K$5:$AJ$130,0,MATCH(Q$2,Inputs!$K$4:$AJ$4,0)))))</f>
        <v>474</v>
      </c>
      <c r="R50" s="266">
        <f>SUM(N50:Q50)</f>
        <v>19361</v>
      </c>
      <c r="S50" s="265">
        <f>IF(ISNA(MATCH(S$2,Inputs!$K$4:$AJ$4,0)),NA(),IF(SUMPRODUCT((Inputs!$A$5:$A$130=$B50)*ISNUMBER(INDEX(Inputs!$K$5:$AJ$130,0,MATCH(S$2,Inputs!$K$4:$AJ$4,0))))+SUMPRODUCT((Inputs!$C$5:$C$130=$B50)*ISNUMBER(INDEX(Inputs!$K$5:$AJ$130,0,MATCH(S$2,Inputs!$K$4:$AJ$4,0))))+SUMPRODUCT((Inputs!$E$5:$E$130=$B50)*ISNUMBER(INDEX(Inputs!$K$5:$AJ$130,0,MATCH(S$2,Inputs!$K$4:$AJ$4,0))))=0,NA(),SUMPRODUCT((Inputs!$A$5:$A$130=$B50)*Inputs!$B$5:$B$130*(((Inputs!$G$5:$G$130="moeda")+(Inputs!$G$5:$G$130="acoes"))*Inputs!$B$1+((Inputs!$G$5:$G$130&lt;&gt;"moeda")*(Inputs!$G$5:$G$130&lt;&gt;"acoes")))*INDEX(Inputs!$K$5:$AJ$130,0,MATCH(S$2,Inputs!$K$4:$AJ$4,0)))+SUMPRODUCT((Inputs!$C$5:$C$130=$B50)*Inputs!$D$5:$D$130*(((Inputs!$G$5:$G$130="moeda")+(Inputs!$G$5:$G$130="acoes"))*Inputs!$B$1+((Inputs!$G$5:$G$130&lt;&gt;"moeda")*(Inputs!$G$5:$G$130&lt;&gt;"acoes")))*INDEX(Inputs!$K$5:$AJ$130,0,MATCH(S$2,Inputs!$K$4:$AJ$4,0)))+SUMPRODUCT((Inputs!$E$5:$E$130=$B50)*Inputs!$F$5:$F$130*(((Inputs!$G$5:$G$130="moeda")+(Inputs!$G$5:$G$130="acoes"))*Inputs!$B$1+((Inputs!$G$5:$G$130&lt;&gt;"moeda")*(Inputs!$G$5:$G$130&lt;&gt;"acoes")))*INDEX(Inputs!$K$5:$AJ$130,0,MATCH(S$2,Inputs!$K$4:$AJ$4,0)))))</f>
        <v>7358</v>
      </c>
      <c r="T50" s="265">
        <f>IF(ISNA(MATCH(T$2,Inputs!$K$4:$AJ$4,0)),NA(),IF(SUMPRODUCT((Inputs!$A$5:$A$130=$B50)*ISNUMBER(INDEX(Inputs!$K$5:$AJ$130,0,MATCH(T$2,Inputs!$K$4:$AJ$4,0))))+SUMPRODUCT((Inputs!$C$5:$C$130=$B50)*ISNUMBER(INDEX(Inputs!$K$5:$AJ$130,0,MATCH(T$2,Inputs!$K$4:$AJ$4,0))))+SUMPRODUCT((Inputs!$E$5:$E$130=$B50)*ISNUMBER(INDEX(Inputs!$K$5:$AJ$130,0,MATCH(T$2,Inputs!$K$4:$AJ$4,0))))=0,NA(),SUMPRODUCT((Inputs!$A$5:$A$130=$B50)*Inputs!$B$5:$B$130*(((Inputs!$G$5:$G$130="moeda")+(Inputs!$G$5:$G$130="acoes"))*Inputs!$B$1+((Inputs!$G$5:$G$130&lt;&gt;"moeda")*(Inputs!$G$5:$G$130&lt;&gt;"acoes")))*INDEX(Inputs!$K$5:$AJ$130,0,MATCH(T$2,Inputs!$K$4:$AJ$4,0)))+SUMPRODUCT((Inputs!$C$5:$C$130=$B50)*Inputs!$D$5:$D$130*(((Inputs!$G$5:$G$130="moeda")+(Inputs!$G$5:$G$130="acoes"))*Inputs!$B$1+((Inputs!$G$5:$G$130&lt;&gt;"moeda")*(Inputs!$G$5:$G$130&lt;&gt;"acoes")))*INDEX(Inputs!$K$5:$AJ$130,0,MATCH(T$2,Inputs!$K$4:$AJ$4,0)))+SUMPRODUCT((Inputs!$E$5:$E$130=$B50)*Inputs!$F$5:$F$130*(((Inputs!$G$5:$G$130="moeda")+(Inputs!$G$5:$G$130="acoes"))*Inputs!$B$1+((Inputs!$G$5:$G$130&lt;&gt;"moeda")*(Inputs!$G$5:$G$130&lt;&gt;"acoes")))*INDEX(Inputs!$K$5:$AJ$130,0,MATCH(T$2,Inputs!$K$4:$AJ$4,0)))))</f>
        <v>3517</v>
      </c>
      <c r="U50" s="265">
        <f>IF(ISNA(MATCH(U$2,Inputs!$K$4:$AJ$4,0)),NA(),IF(SUMPRODUCT((Inputs!$A$5:$A$130=$B50)*ISNUMBER(INDEX(Inputs!$K$5:$AJ$130,0,MATCH(U$2,Inputs!$K$4:$AJ$4,0))))+SUMPRODUCT((Inputs!$C$5:$C$130=$B50)*ISNUMBER(INDEX(Inputs!$K$5:$AJ$130,0,MATCH(U$2,Inputs!$K$4:$AJ$4,0))))+SUMPRODUCT((Inputs!$E$5:$E$130=$B50)*ISNUMBER(INDEX(Inputs!$K$5:$AJ$130,0,MATCH(U$2,Inputs!$K$4:$AJ$4,0))))=0,NA(),SUMPRODUCT((Inputs!$A$5:$A$130=$B50)*Inputs!$B$5:$B$130*(((Inputs!$G$5:$G$130="moeda")+(Inputs!$G$5:$G$130="acoes"))*Inputs!$B$1+((Inputs!$G$5:$G$130&lt;&gt;"moeda")*(Inputs!$G$5:$G$130&lt;&gt;"acoes")))*INDEX(Inputs!$K$5:$AJ$130,0,MATCH(U$2,Inputs!$K$4:$AJ$4,0)))+SUMPRODUCT((Inputs!$C$5:$C$130=$B50)*Inputs!$D$5:$D$130*(((Inputs!$G$5:$G$130="moeda")+(Inputs!$G$5:$G$130="acoes"))*Inputs!$B$1+((Inputs!$G$5:$G$130&lt;&gt;"moeda")*(Inputs!$G$5:$G$130&lt;&gt;"acoes")))*INDEX(Inputs!$K$5:$AJ$130,0,MATCH(U$2,Inputs!$K$4:$AJ$4,0)))+SUMPRODUCT((Inputs!$E$5:$E$130=$B50)*Inputs!$F$5:$F$130*(((Inputs!$G$5:$G$130="moeda")+(Inputs!$G$5:$G$130="acoes"))*Inputs!$B$1+((Inputs!$G$5:$G$130&lt;&gt;"moeda")*(Inputs!$G$5:$G$130&lt;&gt;"acoes")))*INDEX(Inputs!$K$5:$AJ$130,0,MATCH(U$2,Inputs!$K$4:$AJ$4,0)))))</f>
        <v>4291</v>
      </c>
      <c r="V50" s="265">
        <f>IF(ISNA(MATCH(V$2,Inputs!$K$4:$AJ$4,0)),NA(),IF(SUMPRODUCT((Inputs!$A$5:$A$130=$B50)*ISNUMBER(INDEX(Inputs!$K$5:$AJ$130,0,MATCH(V$2,Inputs!$K$4:$AJ$4,0))))+SUMPRODUCT((Inputs!$C$5:$C$130=$B50)*ISNUMBER(INDEX(Inputs!$K$5:$AJ$130,0,MATCH(V$2,Inputs!$K$4:$AJ$4,0))))+SUMPRODUCT((Inputs!$E$5:$E$130=$B50)*ISNUMBER(INDEX(Inputs!$K$5:$AJ$130,0,MATCH(V$2,Inputs!$K$4:$AJ$4,0))))=0,NA(),SUMPRODUCT((Inputs!$A$5:$A$130=$B50)*Inputs!$B$5:$B$130*(((Inputs!$G$5:$G$130="moeda")+(Inputs!$G$5:$G$130="acoes"))*Inputs!$B$1+((Inputs!$G$5:$G$130&lt;&gt;"moeda")*(Inputs!$G$5:$G$130&lt;&gt;"acoes")))*INDEX(Inputs!$K$5:$AJ$130,0,MATCH(V$2,Inputs!$K$4:$AJ$4,0)))+SUMPRODUCT((Inputs!$C$5:$C$130=$B50)*Inputs!$D$5:$D$130*(((Inputs!$G$5:$G$130="moeda")+(Inputs!$G$5:$G$130="acoes"))*Inputs!$B$1+((Inputs!$G$5:$G$130&lt;&gt;"moeda")*(Inputs!$G$5:$G$130&lt;&gt;"acoes")))*INDEX(Inputs!$K$5:$AJ$130,0,MATCH(V$2,Inputs!$K$4:$AJ$4,0)))+SUMPRODUCT((Inputs!$E$5:$E$130=$B50)*Inputs!$F$5:$F$130*(((Inputs!$G$5:$G$130="moeda")+(Inputs!$G$5:$G$130="acoes"))*Inputs!$B$1+((Inputs!$G$5:$G$130&lt;&gt;"moeda")*(Inputs!$G$5:$G$130&lt;&gt;"acoes")))*INDEX(Inputs!$K$5:$AJ$130,0,MATCH(V$2,Inputs!$K$4:$AJ$4,0)))))</f>
        <v>928</v>
      </c>
      <c r="W50" s="266">
        <f>SUM(S50:V50)</f>
        <v>16094</v>
      </c>
      <c r="X50" s="265">
        <f>IF(ISNA(MATCH(X$2,Inputs!$K$4:$AJ$4,0)),NA(),IF(SUMPRODUCT((Inputs!$A$5:$A$130=$B50)*ISNUMBER(INDEX(Inputs!$K$5:$AJ$130,0,MATCH(X$2,Inputs!$K$4:$AJ$4,0))))+SUMPRODUCT((Inputs!$C$5:$C$130=$B50)*ISNUMBER(INDEX(Inputs!$K$5:$AJ$130,0,MATCH(X$2,Inputs!$K$4:$AJ$4,0))))+SUMPRODUCT((Inputs!$E$5:$E$130=$B50)*ISNUMBER(INDEX(Inputs!$K$5:$AJ$130,0,MATCH(X$2,Inputs!$K$4:$AJ$4,0))))=0,NA(),SUMPRODUCT((Inputs!$A$5:$A$130=$B50)*Inputs!$B$5:$B$130*(((Inputs!$G$5:$G$130="moeda")+(Inputs!$G$5:$G$130="acoes"))*Inputs!$B$1+((Inputs!$G$5:$G$130&lt;&gt;"moeda")*(Inputs!$G$5:$G$130&lt;&gt;"acoes")))*INDEX(Inputs!$K$5:$AJ$130,0,MATCH(X$2,Inputs!$K$4:$AJ$4,0)))+SUMPRODUCT((Inputs!$C$5:$C$130=$B50)*Inputs!$D$5:$D$130*(((Inputs!$G$5:$G$130="moeda")+(Inputs!$G$5:$G$130="acoes"))*Inputs!$B$1+((Inputs!$G$5:$G$130&lt;&gt;"moeda")*(Inputs!$G$5:$G$130&lt;&gt;"acoes")))*INDEX(Inputs!$K$5:$AJ$130,0,MATCH(X$2,Inputs!$K$4:$AJ$4,0)))+SUMPRODUCT((Inputs!$E$5:$E$130=$B50)*Inputs!$F$5:$F$130*(((Inputs!$G$5:$G$130="moeda")+(Inputs!$G$5:$G$130="acoes"))*Inputs!$B$1+((Inputs!$G$5:$G$130&lt;&gt;"moeda")*(Inputs!$G$5:$G$130&lt;&gt;"acoes")))*INDEX(Inputs!$K$5:$AJ$130,0,MATCH(X$2,Inputs!$K$4:$AJ$4,0)))))</f>
        <v>4780</v>
      </c>
      <c r="Y50" s="265">
        <f>IF(ISNA(MATCH(Y$2,Inputs!$K$4:$AJ$4,0)),NA(),IF(SUMPRODUCT((Inputs!$A$5:$A$130=$B50)*ISNUMBER(INDEX(Inputs!$K$5:$AJ$130,0,MATCH(Y$2,Inputs!$K$4:$AJ$4,0))))+SUMPRODUCT((Inputs!$C$5:$C$130=$B50)*ISNUMBER(INDEX(Inputs!$K$5:$AJ$130,0,MATCH(Y$2,Inputs!$K$4:$AJ$4,0))))+SUMPRODUCT((Inputs!$E$5:$E$130=$B50)*ISNUMBER(INDEX(Inputs!$K$5:$AJ$130,0,MATCH(Y$2,Inputs!$K$4:$AJ$4,0))))=0,NA(),SUMPRODUCT((Inputs!$A$5:$A$130=$B50)*Inputs!$B$5:$B$130*(((Inputs!$G$5:$G$130="moeda")+(Inputs!$G$5:$G$130="acoes"))*Inputs!$B$1+((Inputs!$G$5:$G$130&lt;&gt;"moeda")*(Inputs!$G$5:$G$130&lt;&gt;"acoes")))*INDEX(Inputs!$K$5:$AJ$130,0,MATCH(Y$2,Inputs!$K$4:$AJ$4,0)))+SUMPRODUCT((Inputs!$C$5:$C$130=$B50)*Inputs!$D$5:$D$130*(((Inputs!$G$5:$G$130="moeda")+(Inputs!$G$5:$G$130="acoes"))*Inputs!$B$1+((Inputs!$G$5:$G$130&lt;&gt;"moeda")*(Inputs!$G$5:$G$130&lt;&gt;"acoes")))*INDEX(Inputs!$K$5:$AJ$130,0,MATCH(Y$2,Inputs!$K$4:$AJ$4,0)))+SUMPRODUCT((Inputs!$E$5:$E$130=$B50)*Inputs!$F$5:$F$130*(((Inputs!$G$5:$G$130="moeda")+(Inputs!$G$5:$G$130="acoes"))*Inputs!$B$1+((Inputs!$G$5:$G$130&lt;&gt;"moeda")*(Inputs!$G$5:$G$130&lt;&gt;"acoes")))*INDEX(Inputs!$K$5:$AJ$130,0,MATCH(Y$2,Inputs!$K$4:$AJ$4,0)))))</f>
        <v>3601</v>
      </c>
      <c r="Z50" s="265">
        <f>IF(ISNA(MATCH(Z$2,Inputs!$K$4:$AJ$4,0)),NA(),IF(SUMPRODUCT((Inputs!$A$5:$A$130=$B50)*ISNUMBER(INDEX(Inputs!$K$5:$AJ$130,0,MATCH(Z$2,Inputs!$K$4:$AJ$4,0))))+SUMPRODUCT((Inputs!$C$5:$C$130=$B50)*ISNUMBER(INDEX(Inputs!$K$5:$AJ$130,0,MATCH(Z$2,Inputs!$K$4:$AJ$4,0))))+SUMPRODUCT((Inputs!$E$5:$E$130=$B50)*ISNUMBER(INDEX(Inputs!$K$5:$AJ$130,0,MATCH(Z$2,Inputs!$K$4:$AJ$4,0))))=0,NA(),SUMPRODUCT((Inputs!$A$5:$A$130=$B50)*Inputs!$B$5:$B$130*(((Inputs!$G$5:$G$130="moeda")+(Inputs!$G$5:$G$130="acoes"))*Inputs!$B$1+((Inputs!$G$5:$G$130&lt;&gt;"moeda")*(Inputs!$G$5:$G$130&lt;&gt;"acoes")))*INDEX(Inputs!$K$5:$AJ$130,0,MATCH(Z$2,Inputs!$K$4:$AJ$4,0)))+SUMPRODUCT((Inputs!$C$5:$C$130=$B50)*Inputs!$D$5:$D$130*(((Inputs!$G$5:$G$130="moeda")+(Inputs!$G$5:$G$130="acoes"))*Inputs!$B$1+((Inputs!$G$5:$G$130&lt;&gt;"moeda")*(Inputs!$G$5:$G$130&lt;&gt;"acoes")))*INDEX(Inputs!$K$5:$AJ$130,0,MATCH(Z$2,Inputs!$K$4:$AJ$4,0)))+SUMPRODUCT((Inputs!$E$5:$E$130=$B50)*Inputs!$F$5:$F$130*(((Inputs!$G$5:$G$130="moeda")+(Inputs!$G$5:$G$130="acoes"))*Inputs!$B$1+((Inputs!$G$5:$G$130&lt;&gt;"moeda")*(Inputs!$G$5:$G$130&lt;&gt;"acoes")))*INDEX(Inputs!$K$5:$AJ$130,0,MATCH(Z$2,Inputs!$K$4:$AJ$4,0)))))</f>
        <v>5322</v>
      </c>
      <c r="AA50" s="265">
        <f>IF(ISNA(MATCH(AA$2,Inputs!$K$4:$AJ$4,0)),NA(),IF(SUMPRODUCT((Inputs!$A$5:$A$130=$B50)*ISNUMBER(INDEX(Inputs!$K$5:$AJ$130,0,MATCH(AA$2,Inputs!$K$4:$AJ$4,0))))+SUMPRODUCT((Inputs!$C$5:$C$130=$B50)*ISNUMBER(INDEX(Inputs!$K$5:$AJ$130,0,MATCH(AA$2,Inputs!$K$4:$AJ$4,0))))+SUMPRODUCT((Inputs!$E$5:$E$130=$B50)*ISNUMBER(INDEX(Inputs!$K$5:$AJ$130,0,MATCH(AA$2,Inputs!$K$4:$AJ$4,0))))=0,NA(),SUMPRODUCT((Inputs!$A$5:$A$130=$B50)*Inputs!$B$5:$B$130*(((Inputs!$G$5:$G$130="moeda")+(Inputs!$G$5:$G$130="acoes"))*Inputs!$B$1+((Inputs!$G$5:$G$130&lt;&gt;"moeda")*(Inputs!$G$5:$G$130&lt;&gt;"acoes")))*INDEX(Inputs!$K$5:$AJ$130,0,MATCH(AA$2,Inputs!$K$4:$AJ$4,0)))+SUMPRODUCT((Inputs!$C$5:$C$130=$B50)*Inputs!$D$5:$D$130*(((Inputs!$G$5:$G$130="moeda")+(Inputs!$G$5:$G$130="acoes"))*Inputs!$B$1+((Inputs!$G$5:$G$130&lt;&gt;"moeda")*(Inputs!$G$5:$G$130&lt;&gt;"acoes")))*INDEX(Inputs!$K$5:$AJ$130,0,MATCH(AA$2,Inputs!$K$4:$AJ$4,0)))+SUMPRODUCT((Inputs!$E$5:$E$130=$B50)*Inputs!$F$5:$F$130*(((Inputs!$G$5:$G$130="moeda")+(Inputs!$G$5:$G$130="acoes"))*Inputs!$B$1+((Inputs!$G$5:$G$130&lt;&gt;"moeda")*(Inputs!$G$5:$G$130&lt;&gt;"acoes")))*INDEX(Inputs!$K$5:$AJ$130,0,MATCH(AA$2,Inputs!$K$4:$AJ$4,0)))))</f>
        <v>4134</v>
      </c>
      <c r="AB50" s="266">
        <f>SUM(X50:AA50)</f>
        <v>17837</v>
      </c>
      <c r="AC50" s="265">
        <f>IF(ISNA(MATCH(AC$2,Inputs!$K$4:$AJ$4,0)),NA(),IF(SUMPRODUCT((Inputs!$A$5:$A$130=$B50)*ISNUMBER(INDEX(Inputs!$K$5:$AJ$130,0,MATCH(AC$2,Inputs!$K$4:$AJ$4,0))))+SUMPRODUCT((Inputs!$C$5:$C$130=$B50)*ISNUMBER(INDEX(Inputs!$K$5:$AJ$130,0,MATCH(AC$2,Inputs!$K$4:$AJ$4,0))))+SUMPRODUCT((Inputs!$E$5:$E$130=$B50)*ISNUMBER(INDEX(Inputs!$K$5:$AJ$130,0,MATCH(AC$2,Inputs!$K$4:$AJ$4,0))))=0,NA(),SUMPRODUCT((Inputs!$A$5:$A$130=$B50)*Inputs!$B$5:$B$130*(((Inputs!$G$5:$G$130="moeda")+(Inputs!$G$5:$G$130="acoes"))*Inputs!$B$1+((Inputs!$G$5:$G$130&lt;&gt;"moeda")*(Inputs!$G$5:$G$130&lt;&gt;"acoes")))*INDEX(Inputs!$K$5:$AJ$130,0,MATCH(AC$2,Inputs!$K$4:$AJ$4,0)))+SUMPRODUCT((Inputs!$C$5:$C$130=$B50)*Inputs!$D$5:$D$130*(((Inputs!$G$5:$G$130="moeda")+(Inputs!$G$5:$G$130="acoes"))*Inputs!$B$1+((Inputs!$G$5:$G$130&lt;&gt;"moeda")*(Inputs!$G$5:$G$130&lt;&gt;"acoes")))*INDEX(Inputs!$K$5:$AJ$130,0,MATCH(AC$2,Inputs!$K$4:$AJ$4,0)))+SUMPRODUCT((Inputs!$E$5:$E$130=$B50)*Inputs!$F$5:$F$130*(((Inputs!$G$5:$G$130="moeda")+(Inputs!$G$5:$G$130="acoes"))*Inputs!$B$1+((Inputs!$G$5:$G$130&lt;&gt;"moeda")*(Inputs!$G$5:$G$130&lt;&gt;"acoes")))*INDEX(Inputs!$K$5:$AJ$130,0,MATCH(AC$2,Inputs!$K$4:$AJ$4,0)))))</f>
        <v>5694</v>
      </c>
      <c r="AD50" s="265">
        <f>IF(ISNA(MATCH(AD$2,Inputs!$K$4:$AJ$4,0)),NA(),IF(SUMPRODUCT((Inputs!$A$5:$A$130=$B50)*ISNUMBER(INDEX(Inputs!$K$5:$AJ$130,0,MATCH(AD$2,Inputs!$K$4:$AJ$4,0))))+SUMPRODUCT((Inputs!$C$5:$C$130=$B50)*ISNUMBER(INDEX(Inputs!$K$5:$AJ$130,0,MATCH(AD$2,Inputs!$K$4:$AJ$4,0))))+SUMPRODUCT((Inputs!$E$5:$E$130=$B50)*ISNUMBER(INDEX(Inputs!$K$5:$AJ$130,0,MATCH(AD$2,Inputs!$K$4:$AJ$4,0))))=0,NA(),SUMPRODUCT((Inputs!$A$5:$A$130=$B50)*Inputs!$B$5:$B$130*(((Inputs!$G$5:$G$130="moeda")+(Inputs!$G$5:$G$130="acoes"))*Inputs!$B$1+((Inputs!$G$5:$G$130&lt;&gt;"moeda")*(Inputs!$G$5:$G$130&lt;&gt;"acoes")))*INDEX(Inputs!$K$5:$AJ$130,0,MATCH(AD$2,Inputs!$K$4:$AJ$4,0)))+SUMPRODUCT((Inputs!$C$5:$C$130=$B50)*Inputs!$D$5:$D$130*(((Inputs!$G$5:$G$130="moeda")+(Inputs!$G$5:$G$130="acoes"))*Inputs!$B$1+((Inputs!$G$5:$G$130&lt;&gt;"moeda")*(Inputs!$G$5:$G$130&lt;&gt;"acoes")))*INDEX(Inputs!$K$5:$AJ$130,0,MATCH(AD$2,Inputs!$K$4:$AJ$4,0)))+SUMPRODUCT((Inputs!$E$5:$E$130=$B50)*Inputs!$F$5:$F$130*(((Inputs!$G$5:$G$130="moeda")+(Inputs!$G$5:$G$130="acoes"))*Inputs!$B$1+((Inputs!$G$5:$G$130&lt;&gt;"moeda")*(Inputs!$G$5:$G$130&lt;&gt;"acoes")))*INDEX(Inputs!$K$5:$AJ$130,0,MATCH(AD$2,Inputs!$K$4:$AJ$4,0)))))</f>
        <v>10821</v>
      </c>
      <c r="AE50" s="265" t="e">
        <f>IF(ISNA(MATCH(AE$2,Inputs!$K$4:$AJ$4,0)),NA(),IF(SUMPRODUCT((Inputs!$A$5:$A$130=$B50)*ISNUMBER(INDEX(Inputs!$K$5:$AJ$130,0,MATCH(AE$2,Inputs!$K$4:$AJ$4,0))))+SUMPRODUCT((Inputs!$C$5:$C$130=$B50)*ISNUMBER(INDEX(Inputs!$K$5:$AJ$130,0,MATCH(AE$2,Inputs!$K$4:$AJ$4,0))))+SUMPRODUCT((Inputs!$E$5:$E$130=$B50)*ISNUMBER(INDEX(Inputs!$K$5:$AJ$130,0,MATCH(AE$2,Inputs!$K$4:$AJ$4,0))))=0,NA(),SUMPRODUCT((Inputs!$A$5:$A$130=$B50)*Inputs!$B$5:$B$130*(((Inputs!$G$5:$G$130="moeda")+(Inputs!$G$5:$G$130="acoes"))*Inputs!$B$1+((Inputs!$G$5:$G$130&lt;&gt;"moeda")*(Inputs!$G$5:$G$130&lt;&gt;"acoes")))*INDEX(Inputs!$K$5:$AJ$130,0,MATCH(AE$2,Inputs!$K$4:$AJ$4,0)))+SUMPRODUCT((Inputs!$C$5:$C$130=$B50)*Inputs!$D$5:$D$130*(((Inputs!$G$5:$G$130="moeda")+(Inputs!$G$5:$G$130="acoes"))*Inputs!$B$1+((Inputs!$G$5:$G$130&lt;&gt;"moeda")*(Inputs!$G$5:$G$130&lt;&gt;"acoes")))*INDEX(Inputs!$K$5:$AJ$130,0,MATCH(AE$2,Inputs!$K$4:$AJ$4,0)))+SUMPRODUCT((Inputs!$E$5:$E$130=$B50)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0" s="265" t="e">
        <f>IF(ISNA(MATCH(AF$2,Inputs!$K$4:$AJ$4,0)),NA(),IF(SUMPRODUCT((Inputs!$A$5:$A$130=$B50)*ISNUMBER(INDEX(Inputs!$K$5:$AJ$130,0,MATCH(AF$2,Inputs!$K$4:$AJ$4,0))))+SUMPRODUCT((Inputs!$C$5:$C$130=$B50)*ISNUMBER(INDEX(Inputs!$K$5:$AJ$130,0,MATCH(AF$2,Inputs!$K$4:$AJ$4,0))))+SUMPRODUCT((Inputs!$E$5:$E$130=$B50)*ISNUMBER(INDEX(Inputs!$K$5:$AJ$130,0,MATCH(AF$2,Inputs!$K$4:$AJ$4,0))))=0,NA(),SUMPRODUCT((Inputs!$A$5:$A$130=$B50)*Inputs!$B$5:$B$130*(((Inputs!$G$5:$G$130="moeda")+(Inputs!$G$5:$G$130="acoes"))*Inputs!$B$1+((Inputs!$G$5:$G$130&lt;&gt;"moeda")*(Inputs!$G$5:$G$130&lt;&gt;"acoes")))*INDEX(Inputs!$K$5:$AJ$130,0,MATCH(AF$2,Inputs!$K$4:$AJ$4,0)))+SUMPRODUCT((Inputs!$C$5:$C$130=$B50)*Inputs!$D$5:$D$130*(((Inputs!$G$5:$G$130="moeda")+(Inputs!$G$5:$G$130="acoes"))*Inputs!$B$1+((Inputs!$G$5:$G$130&lt;&gt;"moeda")*(Inputs!$G$5:$G$130&lt;&gt;"acoes")))*INDEX(Inputs!$K$5:$AJ$130,0,MATCH(AF$2,Inputs!$K$4:$AJ$4,0)))+SUMPRODUCT((Inputs!$E$5:$E$130=$B50)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0" s="266" t="e">
        <f>SUM(AC50:AF50)</f>
        <v>#N/A</v>
      </c>
      <c r="AH50" s="258" t="e">
        <f>IF(ISNA(MATCH(AH$2,Inputs!$K$4:$AJ$4,0)),NA(),IF(SUMPRODUCT((Inputs!$A$5:$A$130=$B50)*ISNUMBER(INDEX(Inputs!$K$5:$AJ$130,0,MATCH(AH$2,Inputs!$K$4:$AJ$4,0))))+SUMPRODUCT((Inputs!$C$5:$C$130=$B50)*ISNUMBER(INDEX(Inputs!$K$5:$AJ$130,0,MATCH(AH$2,Inputs!$K$4:$AJ$4,0))))+SUMPRODUCT((Inputs!$E$5:$E$130=$B50)*ISNUMBER(INDEX(Inputs!$K$5:$AJ$130,0,MATCH(AH$2,Inputs!$K$4:$AJ$4,0))))=0,NA(),SUMPRODUCT((Inputs!$A$5:$A$130=$B50)*Inputs!$B$5:$B$130*(((Inputs!$G$5:$G$130="moeda")+(Inputs!$G$5:$G$130="acoes"))*Inputs!$B$1+((Inputs!$G$5:$G$130&lt;&gt;"moeda")*(Inputs!$G$5:$G$130&lt;&gt;"acoes")))*INDEX(Inputs!$K$5:$AJ$130,0,MATCH(AH$2,Inputs!$K$4:$AJ$4,0)))+SUMPRODUCT((Inputs!$C$5:$C$130=$B50)*Inputs!$D$5:$D$130*(((Inputs!$G$5:$G$130="moeda")+(Inputs!$G$5:$G$130="acoes"))*Inputs!$B$1+((Inputs!$G$5:$G$130&lt;&gt;"moeda")*(Inputs!$G$5:$G$130&lt;&gt;"acoes")))*INDEX(Inputs!$K$5:$AJ$130,0,MATCH(AH$2,Inputs!$K$4:$AJ$4,0)))+SUMPRODUCT((Inputs!$E$5:$E$130=$B50)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50" s="258" t="e">
        <f>IF(ISNA(MATCH(AI$2,Inputs!$K$4:$AJ$4,0)),NA(),IF(SUMPRODUCT((Inputs!$A$5:$A$130=$B50)*ISNUMBER(INDEX(Inputs!$K$5:$AJ$130,0,MATCH(AI$2,Inputs!$K$4:$AJ$4,0))))+SUMPRODUCT((Inputs!$C$5:$C$130=$B50)*ISNUMBER(INDEX(Inputs!$K$5:$AJ$130,0,MATCH(AI$2,Inputs!$K$4:$AJ$4,0))))+SUMPRODUCT((Inputs!$E$5:$E$130=$B50)*ISNUMBER(INDEX(Inputs!$K$5:$AJ$130,0,MATCH(AI$2,Inputs!$K$4:$AJ$4,0))))=0,NA(),SUMPRODUCT((Inputs!$A$5:$A$130=$B50)*Inputs!$B$5:$B$130*(((Inputs!$G$5:$G$130="moeda")+(Inputs!$G$5:$G$130="acoes"))*Inputs!$B$1+((Inputs!$G$5:$G$130&lt;&gt;"moeda")*(Inputs!$G$5:$G$130&lt;&gt;"acoes")))*INDEX(Inputs!$K$5:$AJ$130,0,MATCH(AI$2,Inputs!$K$4:$AJ$4,0)))+SUMPRODUCT((Inputs!$C$5:$C$130=$B50)*Inputs!$D$5:$D$130*(((Inputs!$G$5:$G$130="moeda")+(Inputs!$G$5:$G$130="acoes"))*Inputs!$B$1+((Inputs!$G$5:$G$130&lt;&gt;"moeda")*(Inputs!$G$5:$G$130&lt;&gt;"acoes")))*INDEX(Inputs!$K$5:$AJ$130,0,MATCH(AI$2,Inputs!$K$4:$AJ$4,0)))+SUMPRODUCT((Inputs!$E$5:$E$130=$B50)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50" s="258" t="e">
        <f>IF(ISNA(MATCH(AJ$2,Inputs!$K$4:$AJ$4,0)),NA(),IF(SUMPRODUCT((Inputs!$A$5:$A$130=$B50)*ISNUMBER(INDEX(Inputs!$K$5:$AJ$130,0,MATCH(AJ$2,Inputs!$K$4:$AJ$4,0))))+SUMPRODUCT((Inputs!$C$5:$C$130=$B50)*ISNUMBER(INDEX(Inputs!$K$5:$AJ$130,0,MATCH(AJ$2,Inputs!$K$4:$AJ$4,0))))+SUMPRODUCT((Inputs!$E$5:$E$130=$B50)*ISNUMBER(INDEX(Inputs!$K$5:$AJ$130,0,MATCH(AJ$2,Inputs!$K$4:$AJ$4,0))))=0,NA(),SUMPRODUCT((Inputs!$A$5:$A$130=$B50)*Inputs!$B$5:$B$130*(((Inputs!$G$5:$G$130="moeda")+(Inputs!$G$5:$G$130="acoes"))*Inputs!$B$1+((Inputs!$G$5:$G$130&lt;&gt;"moeda")*(Inputs!$G$5:$G$130&lt;&gt;"acoes")))*INDEX(Inputs!$K$5:$AJ$130,0,MATCH(AJ$2,Inputs!$K$4:$AJ$4,0)))+SUMPRODUCT((Inputs!$C$5:$C$130=$B50)*Inputs!$D$5:$D$130*(((Inputs!$G$5:$G$130="moeda")+(Inputs!$G$5:$G$130="acoes"))*Inputs!$B$1+((Inputs!$G$5:$G$130&lt;&gt;"moeda")*(Inputs!$G$5:$G$130&lt;&gt;"acoes")))*INDEX(Inputs!$K$5:$AJ$130,0,MATCH(AJ$2,Inputs!$K$4:$AJ$4,0)))+SUMPRODUCT((Inputs!$E$5:$E$130=$B50)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50" s="258" t="e">
        <f>IF(ISNA(MATCH(AK$2,Inputs!$K$4:$AJ$4,0)),NA(),IF(SUMPRODUCT((Inputs!$A$5:$A$130=$B50)*ISNUMBER(INDEX(Inputs!$K$5:$AJ$130,0,MATCH(AK$2,Inputs!$K$4:$AJ$4,0))))+SUMPRODUCT((Inputs!$C$5:$C$130=$B50)*ISNUMBER(INDEX(Inputs!$K$5:$AJ$130,0,MATCH(AK$2,Inputs!$K$4:$AJ$4,0))))+SUMPRODUCT((Inputs!$E$5:$E$130=$B50)*ISNUMBER(INDEX(Inputs!$K$5:$AJ$130,0,MATCH(AK$2,Inputs!$K$4:$AJ$4,0))))=0,NA(),SUMPRODUCT((Inputs!$A$5:$A$130=$B50)*Inputs!$B$5:$B$130*(((Inputs!$G$5:$G$130="moeda")+(Inputs!$G$5:$G$130="acoes"))*Inputs!$B$1+((Inputs!$G$5:$G$130&lt;&gt;"moeda")*(Inputs!$G$5:$G$130&lt;&gt;"acoes")))*INDEX(Inputs!$K$5:$AJ$130,0,MATCH(AK$2,Inputs!$K$4:$AJ$4,0)))+SUMPRODUCT((Inputs!$C$5:$C$130=$B50)*Inputs!$D$5:$D$130*(((Inputs!$G$5:$G$130="moeda")+(Inputs!$G$5:$G$130="acoes"))*Inputs!$B$1+((Inputs!$G$5:$G$130&lt;&gt;"moeda")*(Inputs!$G$5:$G$130&lt;&gt;"acoes")))*INDEX(Inputs!$K$5:$AJ$130,0,MATCH(AK$2,Inputs!$K$4:$AJ$4,0)))+SUMPRODUCT((Inputs!$E$5:$E$130=$B50)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50" s="258" t="e">
        <f>SUM(AH50:AK50)</f>
        <v>#N/A</v>
      </c>
    </row>
    <row r="52">
      <c r="C52" s="509" t="inlineStr">
        <is>
          <t>Drivers de receita (memo) - codigos 45+ [Model, bloco abaixo da receita liquida]</t>
        </is>
      </c>
    </row>
    <row r="53">
      <c r="B53" s="263" t="n">
        <v>45</v>
      </c>
      <c r="C53" s="264" t="inlineStr">
        <is>
          <t>Integrated Gas - receita de terceiros (USD mi)</t>
        </is>
      </c>
      <c r="D53" s="511">
        <f>IF(ISNA(MATCH(D$2,Inputs!$K$4:$AJ$4,0)),NA(),IF(SUMPRODUCT((Inputs!$A$5:$A$130=$B53)*ISNUMBER(INDEX(Inputs!$K$5:$AJ$130,0,MATCH(D$2,Inputs!$K$4:$AJ$4,0))))+SUMPRODUCT((Inputs!$C$5:$C$130=$B53)*ISNUMBER(INDEX(Inputs!$K$5:$AJ$130,0,MATCH(D$2,Inputs!$K$4:$AJ$4,0))))+SUMPRODUCT((Inputs!$E$5:$E$130=$B53)*ISNUMBER(INDEX(Inputs!$K$5:$AJ$130,0,MATCH(D$2,Inputs!$K$4:$AJ$4,0))))=0,NA(),SUMPRODUCT((Inputs!$A$5:$A$130=$B53)*Inputs!$B$5:$B$130*(((Inputs!$G$5:$G$130="moeda")+(Inputs!$G$5:$G$130="acoes"))*Inputs!$B$1+((Inputs!$G$5:$G$130&lt;&gt;"moeda")*(Inputs!$G$5:$G$130&lt;&gt;"acoes")))*INDEX(Inputs!$K$5:$AJ$130,0,MATCH(D$2,Inputs!$K$4:$AJ$4,0)))+SUMPRODUCT((Inputs!$C$5:$C$130=$B53)*Inputs!$D$5:$D$130*(((Inputs!$G$5:$G$130="moeda")+(Inputs!$G$5:$G$130="acoes"))*Inputs!$B$1+((Inputs!$G$5:$G$130&lt;&gt;"moeda")*(Inputs!$G$5:$G$130&lt;&gt;"acoes")))*INDEX(Inputs!$K$5:$AJ$130,0,MATCH(D$2,Inputs!$K$4:$AJ$4,0)))+SUMPRODUCT((Inputs!$E$5:$E$130=$B53)*Inputs!$F$5:$F$130*(((Inputs!$G$5:$G$130="moeda")+(Inputs!$G$5:$G$130="acoes"))*Inputs!$B$1+((Inputs!$G$5:$G$130&lt;&gt;"moeda")*(Inputs!$G$5:$G$130&lt;&gt;"acoes")))*INDEX(Inputs!$K$5:$AJ$130,0,MATCH(D$2,Inputs!$K$4:$AJ$4,0)))))</f>
        <v>6022</v>
      </c>
      <c r="E53" s="511">
        <f>IF(ISNA(MATCH(E$2,Inputs!$K$4:$AJ$4,0)),NA(),IF(SUMPRODUCT((Inputs!$A$5:$A$130=$B53)*ISNUMBER(INDEX(Inputs!$K$5:$AJ$130,0,MATCH(E$2,Inputs!$K$4:$AJ$4,0))))+SUMPRODUCT((Inputs!$C$5:$C$130=$B53)*ISNUMBER(INDEX(Inputs!$K$5:$AJ$130,0,MATCH(E$2,Inputs!$K$4:$AJ$4,0))))+SUMPRODUCT((Inputs!$E$5:$E$130=$B53)*ISNUMBER(INDEX(Inputs!$K$5:$AJ$130,0,MATCH(E$2,Inputs!$K$4:$AJ$4,0))))=0,NA(),SUMPRODUCT((Inputs!$A$5:$A$130=$B53)*Inputs!$B$5:$B$130*(((Inputs!$G$5:$G$130="moeda")+(Inputs!$G$5:$G$130="acoes"))*Inputs!$B$1+((Inputs!$G$5:$G$130&lt;&gt;"moeda")*(Inputs!$G$5:$G$130&lt;&gt;"acoes")))*INDEX(Inputs!$K$5:$AJ$130,0,MATCH(E$2,Inputs!$K$4:$AJ$4,0)))+SUMPRODUCT((Inputs!$C$5:$C$130=$B53)*Inputs!$D$5:$D$130*(((Inputs!$G$5:$G$130="moeda")+(Inputs!$G$5:$G$130="acoes"))*Inputs!$B$1+((Inputs!$G$5:$G$130&lt;&gt;"moeda")*(Inputs!$G$5:$G$130&lt;&gt;"acoes")))*INDEX(Inputs!$K$5:$AJ$130,0,MATCH(E$2,Inputs!$K$4:$AJ$4,0)))+SUMPRODUCT((Inputs!$E$5:$E$130=$B53)*Inputs!$F$5:$F$130*(((Inputs!$G$5:$G$130="moeda")+(Inputs!$G$5:$G$130="acoes"))*Inputs!$B$1+((Inputs!$G$5:$G$130&lt;&gt;"moeda")*(Inputs!$G$5:$G$130&lt;&gt;"acoes")))*INDEX(Inputs!$K$5:$AJ$130,0,MATCH(E$2,Inputs!$K$4:$AJ$4,0)))))</f>
        <v>5537</v>
      </c>
      <c r="F53" s="511">
        <f>IF(ISNA(MATCH(F$2,Inputs!$K$4:$AJ$4,0)),NA(),IF(SUMPRODUCT((Inputs!$A$5:$A$130=$B53)*ISNUMBER(INDEX(Inputs!$K$5:$AJ$130,0,MATCH(F$2,Inputs!$K$4:$AJ$4,0))))+SUMPRODUCT((Inputs!$C$5:$C$130=$B53)*ISNUMBER(INDEX(Inputs!$K$5:$AJ$130,0,MATCH(F$2,Inputs!$K$4:$AJ$4,0))))+SUMPRODUCT((Inputs!$E$5:$E$130=$B53)*ISNUMBER(INDEX(Inputs!$K$5:$AJ$130,0,MATCH(F$2,Inputs!$K$4:$AJ$4,0))))=0,NA(),SUMPRODUCT((Inputs!$A$5:$A$130=$B53)*Inputs!$B$5:$B$130*(((Inputs!$G$5:$G$130="moeda")+(Inputs!$G$5:$G$130="acoes"))*Inputs!$B$1+((Inputs!$G$5:$G$130&lt;&gt;"moeda")*(Inputs!$G$5:$G$130&lt;&gt;"acoes")))*INDEX(Inputs!$K$5:$AJ$130,0,MATCH(F$2,Inputs!$K$4:$AJ$4,0)))+SUMPRODUCT((Inputs!$C$5:$C$130=$B53)*Inputs!$D$5:$D$130*(((Inputs!$G$5:$G$130="moeda")+(Inputs!$G$5:$G$130="acoes"))*Inputs!$B$1+((Inputs!$G$5:$G$130&lt;&gt;"moeda")*(Inputs!$G$5:$G$130&lt;&gt;"acoes")))*INDEX(Inputs!$K$5:$AJ$130,0,MATCH(F$2,Inputs!$K$4:$AJ$4,0)))+SUMPRODUCT((Inputs!$E$5:$E$130=$B53)*Inputs!$F$5:$F$130*(((Inputs!$G$5:$G$130="moeda")+(Inputs!$G$5:$G$130="acoes"))*Inputs!$B$1+((Inputs!$G$5:$G$130&lt;&gt;"moeda")*(Inputs!$G$5:$G$130&lt;&gt;"acoes")))*INDEX(Inputs!$K$5:$AJ$130,0,MATCH(F$2,Inputs!$K$4:$AJ$4,0)))))</f>
        <v>5661</v>
      </c>
      <c r="G53" s="511">
        <f>IF(ISNA(MATCH(G$2,Inputs!$K$4:$AJ$4,0)),NA(),IF(SUMPRODUCT((Inputs!$A$5:$A$130=$B53)*ISNUMBER(INDEX(Inputs!$K$5:$AJ$130,0,MATCH(G$2,Inputs!$K$4:$AJ$4,0))))+SUMPRODUCT((Inputs!$C$5:$C$130=$B53)*ISNUMBER(INDEX(Inputs!$K$5:$AJ$130,0,MATCH(G$2,Inputs!$K$4:$AJ$4,0))))+SUMPRODUCT((Inputs!$E$5:$E$130=$B53)*ISNUMBER(INDEX(Inputs!$K$5:$AJ$130,0,MATCH(G$2,Inputs!$K$4:$AJ$4,0))))=0,NA(),SUMPRODUCT((Inputs!$A$5:$A$130=$B53)*Inputs!$B$5:$B$130*(((Inputs!$G$5:$G$130="moeda")+(Inputs!$G$5:$G$130="acoes"))*Inputs!$B$1+((Inputs!$G$5:$G$130&lt;&gt;"moeda")*(Inputs!$G$5:$G$130&lt;&gt;"acoes")))*INDEX(Inputs!$K$5:$AJ$130,0,MATCH(G$2,Inputs!$K$4:$AJ$4,0)))+SUMPRODUCT((Inputs!$C$5:$C$130=$B53)*Inputs!$D$5:$D$130*(((Inputs!$G$5:$G$130="moeda")+(Inputs!$G$5:$G$130="acoes"))*Inputs!$B$1+((Inputs!$G$5:$G$130&lt;&gt;"moeda")*(Inputs!$G$5:$G$130&lt;&gt;"acoes")))*INDEX(Inputs!$K$5:$AJ$130,0,MATCH(G$2,Inputs!$K$4:$AJ$4,0)))+SUMPRODUCT((Inputs!$E$5:$E$130=$B53)*Inputs!$F$5:$F$130*(((Inputs!$G$5:$G$130="moeda")+(Inputs!$G$5:$G$130="acoes"))*Inputs!$B$1+((Inputs!$G$5:$G$130&lt;&gt;"moeda")*(Inputs!$G$5:$G$130&lt;&gt;"acoes")))*INDEX(Inputs!$K$5:$AJ$130,0,MATCH(G$2,Inputs!$K$4:$AJ$4,0)))))</f>
        <v>12702</v>
      </c>
      <c r="H53" s="512">
        <f>SUM(D53:G53)</f>
        <v>29922</v>
      </c>
      <c r="I53" s="511">
        <f>IF(ISNA(MATCH(I$2,Inputs!$K$4:$AJ$4,0)),NA(),IF(SUMPRODUCT((Inputs!$A$5:$A$130=$B53)*ISNUMBER(INDEX(Inputs!$K$5:$AJ$130,0,MATCH(I$2,Inputs!$K$4:$AJ$4,0))))+SUMPRODUCT((Inputs!$C$5:$C$130=$B53)*ISNUMBER(INDEX(Inputs!$K$5:$AJ$130,0,MATCH(I$2,Inputs!$K$4:$AJ$4,0))))+SUMPRODUCT((Inputs!$E$5:$E$130=$B53)*ISNUMBER(INDEX(Inputs!$K$5:$AJ$130,0,MATCH(I$2,Inputs!$K$4:$AJ$4,0))))=0,NA(),SUMPRODUCT((Inputs!$A$5:$A$130=$B53)*Inputs!$B$5:$B$130*(((Inputs!$G$5:$G$130="moeda")+(Inputs!$G$5:$G$130="acoes"))*Inputs!$B$1+((Inputs!$G$5:$G$130&lt;&gt;"moeda")*(Inputs!$G$5:$G$130&lt;&gt;"acoes")))*INDEX(Inputs!$K$5:$AJ$130,0,MATCH(I$2,Inputs!$K$4:$AJ$4,0)))+SUMPRODUCT((Inputs!$C$5:$C$130=$B53)*Inputs!$D$5:$D$130*(((Inputs!$G$5:$G$130="moeda")+(Inputs!$G$5:$G$130="acoes"))*Inputs!$B$1+((Inputs!$G$5:$G$130&lt;&gt;"moeda")*(Inputs!$G$5:$G$130&lt;&gt;"acoes")))*INDEX(Inputs!$K$5:$AJ$130,0,MATCH(I$2,Inputs!$K$4:$AJ$4,0)))+SUMPRODUCT((Inputs!$E$5:$E$130=$B53)*Inputs!$F$5:$F$130*(((Inputs!$G$5:$G$130="moeda")+(Inputs!$G$5:$G$130="acoes"))*Inputs!$B$1+((Inputs!$G$5:$G$130&lt;&gt;"moeda")*(Inputs!$G$5:$G$130&lt;&gt;"acoes")))*INDEX(Inputs!$K$5:$AJ$130,0,MATCH(I$2,Inputs!$K$4:$AJ$4,0)))))</f>
        <v>14074</v>
      </c>
      <c r="J53" s="511">
        <f>IF(ISNA(MATCH(J$2,Inputs!$K$4:$AJ$4,0)),NA(),IF(SUMPRODUCT((Inputs!$A$5:$A$130=$B53)*ISNUMBER(INDEX(Inputs!$K$5:$AJ$130,0,MATCH(J$2,Inputs!$K$4:$AJ$4,0))))+SUMPRODUCT((Inputs!$C$5:$C$130=$B53)*ISNUMBER(INDEX(Inputs!$K$5:$AJ$130,0,MATCH(J$2,Inputs!$K$4:$AJ$4,0))))+SUMPRODUCT((Inputs!$E$5:$E$130=$B53)*ISNUMBER(INDEX(Inputs!$K$5:$AJ$130,0,MATCH(J$2,Inputs!$K$4:$AJ$4,0))))=0,NA(),SUMPRODUCT((Inputs!$A$5:$A$130=$B53)*Inputs!$B$5:$B$130*(((Inputs!$G$5:$G$130="moeda")+(Inputs!$G$5:$G$130="acoes"))*Inputs!$B$1+((Inputs!$G$5:$G$130&lt;&gt;"moeda")*(Inputs!$G$5:$G$130&lt;&gt;"acoes")))*INDEX(Inputs!$K$5:$AJ$130,0,MATCH(J$2,Inputs!$K$4:$AJ$4,0)))+SUMPRODUCT((Inputs!$C$5:$C$130=$B53)*Inputs!$D$5:$D$130*(((Inputs!$G$5:$G$130="moeda")+(Inputs!$G$5:$G$130="acoes"))*Inputs!$B$1+((Inputs!$G$5:$G$130&lt;&gt;"moeda")*(Inputs!$G$5:$G$130&lt;&gt;"acoes")))*INDEX(Inputs!$K$5:$AJ$130,0,MATCH(J$2,Inputs!$K$4:$AJ$4,0)))+SUMPRODUCT((Inputs!$E$5:$E$130=$B53)*Inputs!$F$5:$F$130*(((Inputs!$G$5:$G$130="moeda")+(Inputs!$G$5:$G$130="acoes"))*Inputs!$B$1+((Inputs!$G$5:$G$130&lt;&gt;"moeda")*(Inputs!$G$5:$G$130&lt;&gt;"acoes")))*INDEX(Inputs!$K$5:$AJ$130,0,MATCH(J$2,Inputs!$K$4:$AJ$4,0)))))</f>
        <v>12403</v>
      </c>
      <c r="K53" s="511">
        <f>IF(ISNA(MATCH(K$2,Inputs!$K$4:$AJ$4,0)),NA(),IF(SUMPRODUCT((Inputs!$A$5:$A$130=$B53)*ISNUMBER(INDEX(Inputs!$K$5:$AJ$130,0,MATCH(K$2,Inputs!$K$4:$AJ$4,0))))+SUMPRODUCT((Inputs!$C$5:$C$130=$B53)*ISNUMBER(INDEX(Inputs!$K$5:$AJ$130,0,MATCH(K$2,Inputs!$K$4:$AJ$4,0))))+SUMPRODUCT((Inputs!$E$5:$E$130=$B53)*ISNUMBER(INDEX(Inputs!$K$5:$AJ$130,0,MATCH(K$2,Inputs!$K$4:$AJ$4,0))))=0,NA(),SUMPRODUCT((Inputs!$A$5:$A$130=$B53)*Inputs!$B$5:$B$130*(((Inputs!$G$5:$G$130="moeda")+(Inputs!$G$5:$G$130="acoes"))*Inputs!$B$1+((Inputs!$G$5:$G$130&lt;&gt;"moeda")*(Inputs!$G$5:$G$130&lt;&gt;"acoes")))*INDEX(Inputs!$K$5:$AJ$130,0,MATCH(K$2,Inputs!$K$4:$AJ$4,0)))+SUMPRODUCT((Inputs!$C$5:$C$130=$B53)*Inputs!$D$5:$D$130*(((Inputs!$G$5:$G$130="moeda")+(Inputs!$G$5:$G$130="acoes"))*Inputs!$B$1+((Inputs!$G$5:$G$130&lt;&gt;"moeda")*(Inputs!$G$5:$G$130&lt;&gt;"acoes")))*INDEX(Inputs!$K$5:$AJ$130,0,MATCH(K$2,Inputs!$K$4:$AJ$4,0)))+SUMPRODUCT((Inputs!$E$5:$E$130=$B53)*Inputs!$F$5:$F$130*(((Inputs!$G$5:$G$130="moeda")+(Inputs!$G$5:$G$130="acoes"))*Inputs!$B$1+((Inputs!$G$5:$G$130&lt;&gt;"moeda")*(Inputs!$G$5:$G$130&lt;&gt;"acoes")))*INDEX(Inputs!$K$5:$AJ$130,0,MATCH(K$2,Inputs!$K$4:$AJ$4,0)))))</f>
        <v>14471</v>
      </c>
      <c r="L53" s="511">
        <f>IF(ISNA(MATCH(L$2,Inputs!$K$4:$AJ$4,0)),NA(),IF(SUMPRODUCT((Inputs!$A$5:$A$130=$B53)*ISNUMBER(INDEX(Inputs!$K$5:$AJ$130,0,MATCH(L$2,Inputs!$K$4:$AJ$4,0))))+SUMPRODUCT((Inputs!$C$5:$C$130=$B53)*ISNUMBER(INDEX(Inputs!$K$5:$AJ$130,0,MATCH(L$2,Inputs!$K$4:$AJ$4,0))))+SUMPRODUCT((Inputs!$E$5:$E$130=$B53)*ISNUMBER(INDEX(Inputs!$K$5:$AJ$130,0,MATCH(L$2,Inputs!$K$4:$AJ$4,0))))=0,NA(),SUMPRODUCT((Inputs!$A$5:$A$130=$B53)*Inputs!$B$5:$B$130*(((Inputs!$G$5:$G$130="moeda")+(Inputs!$G$5:$G$130="acoes"))*Inputs!$B$1+((Inputs!$G$5:$G$130&lt;&gt;"moeda")*(Inputs!$G$5:$G$130&lt;&gt;"acoes")))*INDEX(Inputs!$K$5:$AJ$130,0,MATCH(L$2,Inputs!$K$4:$AJ$4,0)))+SUMPRODUCT((Inputs!$C$5:$C$130=$B53)*Inputs!$D$5:$D$130*(((Inputs!$G$5:$G$130="moeda")+(Inputs!$G$5:$G$130="acoes"))*Inputs!$B$1+((Inputs!$G$5:$G$130&lt;&gt;"moeda")*(Inputs!$G$5:$G$130&lt;&gt;"acoes")))*INDEX(Inputs!$K$5:$AJ$130,0,MATCH(L$2,Inputs!$K$4:$AJ$4,0)))+SUMPRODUCT((Inputs!$E$5:$E$130=$B53)*Inputs!$F$5:$F$130*(((Inputs!$G$5:$G$130="moeda")+(Inputs!$G$5:$G$130="acoes"))*Inputs!$B$1+((Inputs!$G$5:$G$130&lt;&gt;"moeda")*(Inputs!$G$5:$G$130&lt;&gt;"acoes")))*INDEX(Inputs!$K$5:$AJ$130,0,MATCH(L$2,Inputs!$K$4:$AJ$4,0)))))</f>
        <v>13802</v>
      </c>
      <c r="M53" s="512">
        <f>SUM(I53:L53)</f>
        <v>54750</v>
      </c>
      <c r="N53" s="511">
        <f>IF(ISNA(MATCH(N$2,Inputs!$K$4:$AJ$4,0)),NA(),IF(SUMPRODUCT((Inputs!$A$5:$A$130=$B53)*ISNUMBER(INDEX(Inputs!$K$5:$AJ$130,0,MATCH(N$2,Inputs!$K$4:$AJ$4,0))))+SUMPRODUCT((Inputs!$C$5:$C$130=$B53)*ISNUMBER(INDEX(Inputs!$K$5:$AJ$130,0,MATCH(N$2,Inputs!$K$4:$AJ$4,0))))+SUMPRODUCT((Inputs!$E$5:$E$130=$B53)*ISNUMBER(INDEX(Inputs!$K$5:$AJ$130,0,MATCH(N$2,Inputs!$K$4:$AJ$4,0))))=0,NA(),SUMPRODUCT((Inputs!$A$5:$A$130=$B53)*Inputs!$B$5:$B$130*(((Inputs!$G$5:$G$130="moeda")+(Inputs!$G$5:$G$130="acoes"))*Inputs!$B$1+((Inputs!$G$5:$G$130&lt;&gt;"moeda")*(Inputs!$G$5:$G$130&lt;&gt;"acoes")))*INDEX(Inputs!$K$5:$AJ$130,0,MATCH(N$2,Inputs!$K$4:$AJ$4,0)))+SUMPRODUCT((Inputs!$C$5:$C$130=$B53)*Inputs!$D$5:$D$130*(((Inputs!$G$5:$G$130="moeda")+(Inputs!$G$5:$G$130="acoes"))*Inputs!$B$1+((Inputs!$G$5:$G$130&lt;&gt;"moeda")*(Inputs!$G$5:$G$130&lt;&gt;"acoes")))*INDEX(Inputs!$K$5:$AJ$130,0,MATCH(N$2,Inputs!$K$4:$AJ$4,0)))+SUMPRODUCT((Inputs!$E$5:$E$130=$B53)*Inputs!$F$5:$F$130*(((Inputs!$G$5:$G$130="moeda")+(Inputs!$G$5:$G$130="acoes"))*Inputs!$B$1+((Inputs!$G$5:$G$130&lt;&gt;"moeda")*(Inputs!$G$5:$G$130&lt;&gt;"acoes")))*INDEX(Inputs!$K$5:$AJ$130,0,MATCH(N$2,Inputs!$K$4:$AJ$4,0)))))</f>
        <v>10932</v>
      </c>
      <c r="O53" s="511">
        <f>IF(ISNA(MATCH(O$2,Inputs!$K$4:$AJ$4,0)),NA(),IF(SUMPRODUCT((Inputs!$A$5:$A$130=$B53)*ISNUMBER(INDEX(Inputs!$K$5:$AJ$130,0,MATCH(O$2,Inputs!$K$4:$AJ$4,0))))+SUMPRODUCT((Inputs!$C$5:$C$130=$B53)*ISNUMBER(INDEX(Inputs!$K$5:$AJ$130,0,MATCH(O$2,Inputs!$K$4:$AJ$4,0))))+SUMPRODUCT((Inputs!$E$5:$E$130=$B53)*ISNUMBER(INDEX(Inputs!$K$5:$AJ$130,0,MATCH(O$2,Inputs!$K$4:$AJ$4,0))))=0,NA(),SUMPRODUCT((Inputs!$A$5:$A$130=$B53)*Inputs!$B$5:$B$130*(((Inputs!$G$5:$G$130="moeda")+(Inputs!$G$5:$G$130="acoes"))*Inputs!$B$1+((Inputs!$G$5:$G$130&lt;&gt;"moeda")*(Inputs!$G$5:$G$130&lt;&gt;"acoes")))*INDEX(Inputs!$K$5:$AJ$130,0,MATCH(O$2,Inputs!$K$4:$AJ$4,0)))+SUMPRODUCT((Inputs!$C$5:$C$130=$B53)*Inputs!$D$5:$D$130*(((Inputs!$G$5:$G$130="moeda")+(Inputs!$G$5:$G$130="acoes"))*Inputs!$B$1+((Inputs!$G$5:$G$130&lt;&gt;"moeda")*(Inputs!$G$5:$G$130&lt;&gt;"acoes")))*INDEX(Inputs!$K$5:$AJ$130,0,MATCH(O$2,Inputs!$K$4:$AJ$4,0)))+SUMPRODUCT((Inputs!$E$5:$E$130=$B53)*Inputs!$F$5:$F$130*(((Inputs!$G$5:$G$130="moeda")+(Inputs!$G$5:$G$130="acoes"))*Inputs!$B$1+((Inputs!$G$5:$G$130&lt;&gt;"moeda")*(Inputs!$G$5:$G$130&lt;&gt;"acoes")))*INDEX(Inputs!$K$5:$AJ$130,0,MATCH(O$2,Inputs!$K$4:$AJ$4,0)))))</f>
        <v>7938</v>
      </c>
      <c r="P53" s="511">
        <f>IF(ISNA(MATCH(P$2,Inputs!$K$4:$AJ$4,0)),NA(),IF(SUMPRODUCT((Inputs!$A$5:$A$130=$B53)*ISNUMBER(INDEX(Inputs!$K$5:$AJ$130,0,MATCH(P$2,Inputs!$K$4:$AJ$4,0))))+SUMPRODUCT((Inputs!$C$5:$C$130=$B53)*ISNUMBER(INDEX(Inputs!$K$5:$AJ$130,0,MATCH(P$2,Inputs!$K$4:$AJ$4,0))))+SUMPRODUCT((Inputs!$E$5:$E$130=$B53)*ISNUMBER(INDEX(Inputs!$K$5:$AJ$130,0,MATCH(P$2,Inputs!$K$4:$AJ$4,0))))=0,NA(),SUMPRODUCT((Inputs!$A$5:$A$130=$B53)*Inputs!$B$5:$B$130*(((Inputs!$G$5:$G$130="moeda")+(Inputs!$G$5:$G$130="acoes"))*Inputs!$B$1+((Inputs!$G$5:$G$130&lt;&gt;"moeda")*(Inputs!$G$5:$G$130&lt;&gt;"acoes")))*INDEX(Inputs!$K$5:$AJ$130,0,MATCH(P$2,Inputs!$K$4:$AJ$4,0)))+SUMPRODUCT((Inputs!$C$5:$C$130=$B53)*Inputs!$D$5:$D$130*(((Inputs!$G$5:$G$130="moeda")+(Inputs!$G$5:$G$130="acoes"))*Inputs!$B$1+((Inputs!$G$5:$G$130&lt;&gt;"moeda")*(Inputs!$G$5:$G$130&lt;&gt;"acoes")))*INDEX(Inputs!$K$5:$AJ$130,0,MATCH(P$2,Inputs!$K$4:$AJ$4,0)))+SUMPRODUCT((Inputs!$E$5:$E$130=$B53)*Inputs!$F$5:$F$130*(((Inputs!$G$5:$G$130="moeda")+(Inputs!$G$5:$G$130="acoes"))*Inputs!$B$1+((Inputs!$G$5:$G$130&lt;&gt;"moeda")*(Inputs!$G$5:$G$130&lt;&gt;"acoes")))*INDEX(Inputs!$K$5:$AJ$130,0,MATCH(P$2,Inputs!$K$4:$AJ$4,0)))))</f>
        <v>8338</v>
      </c>
      <c r="Q53" s="511">
        <f>IF(ISNA(MATCH(Q$2,Inputs!$K$4:$AJ$4,0)),NA(),IF(SUMPRODUCT((Inputs!$A$5:$A$130=$B53)*ISNUMBER(INDEX(Inputs!$K$5:$AJ$130,0,MATCH(Q$2,Inputs!$K$4:$AJ$4,0))))+SUMPRODUCT((Inputs!$C$5:$C$130=$B53)*ISNUMBER(INDEX(Inputs!$K$5:$AJ$130,0,MATCH(Q$2,Inputs!$K$4:$AJ$4,0))))+SUMPRODUCT((Inputs!$E$5:$E$130=$B53)*ISNUMBER(INDEX(Inputs!$K$5:$AJ$130,0,MATCH(Q$2,Inputs!$K$4:$AJ$4,0))))=0,NA(),SUMPRODUCT((Inputs!$A$5:$A$130=$B53)*Inputs!$B$5:$B$130*(((Inputs!$G$5:$G$130="moeda")+(Inputs!$G$5:$G$130="acoes"))*Inputs!$B$1+((Inputs!$G$5:$G$130&lt;&gt;"moeda")*(Inputs!$G$5:$G$130&lt;&gt;"acoes")))*INDEX(Inputs!$K$5:$AJ$130,0,MATCH(Q$2,Inputs!$K$4:$AJ$4,0)))+SUMPRODUCT((Inputs!$C$5:$C$130=$B53)*Inputs!$D$5:$D$130*(((Inputs!$G$5:$G$130="moeda")+(Inputs!$G$5:$G$130="acoes"))*Inputs!$B$1+((Inputs!$G$5:$G$130&lt;&gt;"moeda")*(Inputs!$G$5:$G$130&lt;&gt;"acoes")))*INDEX(Inputs!$K$5:$AJ$130,0,MATCH(Q$2,Inputs!$K$4:$AJ$4,0)))+SUMPRODUCT((Inputs!$E$5:$E$130=$B53)*Inputs!$F$5:$F$130*(((Inputs!$G$5:$G$130="moeda")+(Inputs!$G$5:$G$130="acoes"))*Inputs!$B$1+((Inputs!$G$5:$G$130&lt;&gt;"moeda")*(Inputs!$G$5:$G$130&lt;&gt;"acoes")))*INDEX(Inputs!$K$5:$AJ$130,0,MATCH(Q$2,Inputs!$K$4:$AJ$4,0)))))</f>
        <v>10437</v>
      </c>
      <c r="R53" s="512">
        <f>SUM(N53:Q53)</f>
        <v>37645</v>
      </c>
      <c r="S53" s="511">
        <f>IF(ISNA(MATCH(S$2,Inputs!$K$4:$AJ$4,0)),NA(),IF(SUMPRODUCT((Inputs!$A$5:$A$130=$B53)*ISNUMBER(INDEX(Inputs!$K$5:$AJ$130,0,MATCH(S$2,Inputs!$K$4:$AJ$4,0))))+SUMPRODUCT((Inputs!$C$5:$C$130=$B53)*ISNUMBER(INDEX(Inputs!$K$5:$AJ$130,0,MATCH(S$2,Inputs!$K$4:$AJ$4,0))))+SUMPRODUCT((Inputs!$E$5:$E$130=$B53)*ISNUMBER(INDEX(Inputs!$K$5:$AJ$130,0,MATCH(S$2,Inputs!$K$4:$AJ$4,0))))=0,NA(),SUMPRODUCT((Inputs!$A$5:$A$130=$B53)*Inputs!$B$5:$B$130*(((Inputs!$G$5:$G$130="moeda")+(Inputs!$G$5:$G$130="acoes"))*Inputs!$B$1+((Inputs!$G$5:$G$130&lt;&gt;"moeda")*(Inputs!$G$5:$G$130&lt;&gt;"acoes")))*INDEX(Inputs!$K$5:$AJ$130,0,MATCH(S$2,Inputs!$K$4:$AJ$4,0)))+SUMPRODUCT((Inputs!$C$5:$C$130=$B53)*Inputs!$D$5:$D$130*(((Inputs!$G$5:$G$130="moeda")+(Inputs!$G$5:$G$130="acoes"))*Inputs!$B$1+((Inputs!$G$5:$G$130&lt;&gt;"moeda")*(Inputs!$G$5:$G$130&lt;&gt;"acoes")))*INDEX(Inputs!$K$5:$AJ$130,0,MATCH(S$2,Inputs!$K$4:$AJ$4,0)))+SUMPRODUCT((Inputs!$E$5:$E$130=$B53)*Inputs!$F$5:$F$130*(((Inputs!$G$5:$G$130="moeda")+(Inputs!$G$5:$G$130="acoes"))*Inputs!$B$1+((Inputs!$G$5:$G$130&lt;&gt;"moeda")*(Inputs!$G$5:$G$130&lt;&gt;"acoes")))*INDEX(Inputs!$K$5:$AJ$130,0,MATCH(S$2,Inputs!$K$4:$AJ$4,0)))))</f>
        <v>9195</v>
      </c>
      <c r="T53" s="511">
        <f>IF(ISNA(MATCH(T$2,Inputs!$K$4:$AJ$4,0)),NA(),IF(SUMPRODUCT((Inputs!$A$5:$A$130=$B53)*ISNUMBER(INDEX(Inputs!$K$5:$AJ$130,0,MATCH(T$2,Inputs!$K$4:$AJ$4,0))))+SUMPRODUCT((Inputs!$C$5:$C$130=$B53)*ISNUMBER(INDEX(Inputs!$K$5:$AJ$130,0,MATCH(T$2,Inputs!$K$4:$AJ$4,0))))+SUMPRODUCT((Inputs!$E$5:$E$130=$B53)*ISNUMBER(INDEX(Inputs!$K$5:$AJ$130,0,MATCH(T$2,Inputs!$K$4:$AJ$4,0))))=0,NA(),SUMPRODUCT((Inputs!$A$5:$A$130=$B53)*Inputs!$B$5:$B$130*(((Inputs!$G$5:$G$130="moeda")+(Inputs!$G$5:$G$130="acoes"))*Inputs!$B$1+((Inputs!$G$5:$G$130&lt;&gt;"moeda")*(Inputs!$G$5:$G$130&lt;&gt;"acoes")))*INDEX(Inputs!$K$5:$AJ$130,0,MATCH(T$2,Inputs!$K$4:$AJ$4,0)))+SUMPRODUCT((Inputs!$C$5:$C$130=$B53)*Inputs!$D$5:$D$130*(((Inputs!$G$5:$G$130="moeda")+(Inputs!$G$5:$G$130="acoes"))*Inputs!$B$1+((Inputs!$G$5:$G$130&lt;&gt;"moeda")*(Inputs!$G$5:$G$130&lt;&gt;"acoes")))*INDEX(Inputs!$K$5:$AJ$130,0,MATCH(T$2,Inputs!$K$4:$AJ$4,0)))+SUMPRODUCT((Inputs!$E$5:$E$130=$B53)*Inputs!$F$5:$F$130*(((Inputs!$G$5:$G$130="moeda")+(Inputs!$G$5:$G$130="acoes"))*Inputs!$B$1+((Inputs!$G$5:$G$130&lt;&gt;"moeda")*(Inputs!$G$5:$G$130&lt;&gt;"acoes")))*INDEX(Inputs!$K$5:$AJ$130,0,MATCH(T$2,Inputs!$K$4:$AJ$4,0)))))</f>
        <v>9052</v>
      </c>
      <c r="U53" s="511">
        <f>IF(ISNA(MATCH(U$2,Inputs!$K$4:$AJ$4,0)),NA(),IF(SUMPRODUCT((Inputs!$A$5:$A$130=$B53)*ISNUMBER(INDEX(Inputs!$K$5:$AJ$130,0,MATCH(U$2,Inputs!$K$4:$AJ$4,0))))+SUMPRODUCT((Inputs!$C$5:$C$130=$B53)*ISNUMBER(INDEX(Inputs!$K$5:$AJ$130,0,MATCH(U$2,Inputs!$K$4:$AJ$4,0))))+SUMPRODUCT((Inputs!$E$5:$E$130=$B53)*ISNUMBER(INDEX(Inputs!$K$5:$AJ$130,0,MATCH(U$2,Inputs!$K$4:$AJ$4,0))))=0,NA(),SUMPRODUCT((Inputs!$A$5:$A$130=$B53)*Inputs!$B$5:$B$130*(((Inputs!$G$5:$G$130="moeda")+(Inputs!$G$5:$G$130="acoes"))*Inputs!$B$1+((Inputs!$G$5:$G$130&lt;&gt;"moeda")*(Inputs!$G$5:$G$130&lt;&gt;"acoes")))*INDEX(Inputs!$K$5:$AJ$130,0,MATCH(U$2,Inputs!$K$4:$AJ$4,0)))+SUMPRODUCT((Inputs!$C$5:$C$130=$B53)*Inputs!$D$5:$D$130*(((Inputs!$G$5:$G$130="moeda")+(Inputs!$G$5:$G$130="acoes"))*Inputs!$B$1+((Inputs!$G$5:$G$130&lt;&gt;"moeda")*(Inputs!$G$5:$G$130&lt;&gt;"acoes")))*INDEX(Inputs!$K$5:$AJ$130,0,MATCH(U$2,Inputs!$K$4:$AJ$4,0)))+SUMPRODUCT((Inputs!$E$5:$E$130=$B53)*Inputs!$F$5:$F$130*(((Inputs!$G$5:$G$130="moeda")+(Inputs!$G$5:$G$130="acoes"))*Inputs!$B$1+((Inputs!$G$5:$G$130&lt;&gt;"moeda")*(Inputs!$G$5:$G$130&lt;&gt;"acoes")))*INDEX(Inputs!$K$5:$AJ$130,0,MATCH(U$2,Inputs!$K$4:$AJ$4,0)))))</f>
        <v>9748</v>
      </c>
      <c r="V53" s="511">
        <f>IF(ISNA(MATCH(V$2,Inputs!$K$4:$AJ$4,0)),NA(),IF(SUMPRODUCT((Inputs!$A$5:$A$130=$B53)*ISNUMBER(INDEX(Inputs!$K$5:$AJ$130,0,MATCH(V$2,Inputs!$K$4:$AJ$4,0))))+SUMPRODUCT((Inputs!$C$5:$C$130=$B53)*ISNUMBER(INDEX(Inputs!$K$5:$AJ$130,0,MATCH(V$2,Inputs!$K$4:$AJ$4,0))))+SUMPRODUCT((Inputs!$E$5:$E$130=$B53)*ISNUMBER(INDEX(Inputs!$K$5:$AJ$130,0,MATCH(V$2,Inputs!$K$4:$AJ$4,0))))=0,NA(),SUMPRODUCT((Inputs!$A$5:$A$130=$B53)*Inputs!$B$5:$B$130*(((Inputs!$G$5:$G$130="moeda")+(Inputs!$G$5:$G$130="acoes"))*Inputs!$B$1+((Inputs!$G$5:$G$130&lt;&gt;"moeda")*(Inputs!$G$5:$G$130&lt;&gt;"acoes")))*INDEX(Inputs!$K$5:$AJ$130,0,MATCH(V$2,Inputs!$K$4:$AJ$4,0)))+SUMPRODUCT((Inputs!$C$5:$C$130=$B53)*Inputs!$D$5:$D$130*(((Inputs!$G$5:$G$130="moeda")+(Inputs!$G$5:$G$130="acoes"))*Inputs!$B$1+((Inputs!$G$5:$G$130&lt;&gt;"moeda")*(Inputs!$G$5:$G$130&lt;&gt;"acoes")))*INDEX(Inputs!$K$5:$AJ$130,0,MATCH(V$2,Inputs!$K$4:$AJ$4,0)))+SUMPRODUCT((Inputs!$E$5:$E$130=$B53)*Inputs!$F$5:$F$130*(((Inputs!$G$5:$G$130="moeda")+(Inputs!$G$5:$G$130="acoes"))*Inputs!$B$1+((Inputs!$G$5:$G$130&lt;&gt;"moeda")*(Inputs!$G$5:$G$130&lt;&gt;"acoes")))*INDEX(Inputs!$K$5:$AJ$130,0,MATCH(V$2,Inputs!$K$4:$AJ$4,0)))))</f>
        <v>9294</v>
      </c>
      <c r="W53" s="512">
        <f>SUM(S53:V53)</f>
        <v>37289</v>
      </c>
      <c r="X53" s="511">
        <f>IF(ISNA(MATCH(X$2,Inputs!$K$4:$AJ$4,0)),NA(),IF(SUMPRODUCT((Inputs!$A$5:$A$130=$B53)*ISNUMBER(INDEX(Inputs!$K$5:$AJ$130,0,MATCH(X$2,Inputs!$K$4:$AJ$4,0))))+SUMPRODUCT((Inputs!$C$5:$C$130=$B53)*ISNUMBER(INDEX(Inputs!$K$5:$AJ$130,0,MATCH(X$2,Inputs!$K$4:$AJ$4,0))))+SUMPRODUCT((Inputs!$E$5:$E$130=$B53)*ISNUMBER(INDEX(Inputs!$K$5:$AJ$130,0,MATCH(X$2,Inputs!$K$4:$AJ$4,0))))=0,NA(),SUMPRODUCT((Inputs!$A$5:$A$130=$B53)*Inputs!$B$5:$B$130*(((Inputs!$G$5:$G$130="moeda")+(Inputs!$G$5:$G$130="acoes"))*Inputs!$B$1+((Inputs!$G$5:$G$130&lt;&gt;"moeda")*(Inputs!$G$5:$G$130&lt;&gt;"acoes")))*INDEX(Inputs!$K$5:$AJ$130,0,MATCH(X$2,Inputs!$K$4:$AJ$4,0)))+SUMPRODUCT((Inputs!$C$5:$C$130=$B53)*Inputs!$D$5:$D$130*(((Inputs!$G$5:$G$130="moeda")+(Inputs!$G$5:$G$130="acoes"))*Inputs!$B$1+((Inputs!$G$5:$G$130&lt;&gt;"moeda")*(Inputs!$G$5:$G$130&lt;&gt;"acoes")))*INDEX(Inputs!$K$5:$AJ$130,0,MATCH(X$2,Inputs!$K$4:$AJ$4,0)))+SUMPRODUCT((Inputs!$E$5:$E$130=$B53)*Inputs!$F$5:$F$130*(((Inputs!$G$5:$G$130="moeda")+(Inputs!$G$5:$G$130="acoes"))*Inputs!$B$1+((Inputs!$G$5:$G$130&lt;&gt;"moeda")*(Inputs!$G$5:$G$130&lt;&gt;"acoes")))*INDEX(Inputs!$K$5:$AJ$130,0,MATCH(X$2,Inputs!$K$4:$AJ$4,0)))))</f>
        <v>9602</v>
      </c>
      <c r="Y53" s="511">
        <f>IF(ISNA(MATCH(Y$2,Inputs!$K$4:$AJ$4,0)),NA(),IF(SUMPRODUCT((Inputs!$A$5:$A$130=$B53)*ISNUMBER(INDEX(Inputs!$K$5:$AJ$130,0,MATCH(Y$2,Inputs!$K$4:$AJ$4,0))))+SUMPRODUCT((Inputs!$C$5:$C$130=$B53)*ISNUMBER(INDEX(Inputs!$K$5:$AJ$130,0,MATCH(Y$2,Inputs!$K$4:$AJ$4,0))))+SUMPRODUCT((Inputs!$E$5:$E$130=$B53)*ISNUMBER(INDEX(Inputs!$K$5:$AJ$130,0,MATCH(Y$2,Inputs!$K$4:$AJ$4,0))))=0,NA(),SUMPRODUCT((Inputs!$A$5:$A$130=$B53)*Inputs!$B$5:$B$130*(((Inputs!$G$5:$G$130="moeda")+(Inputs!$G$5:$G$130="acoes"))*Inputs!$B$1+((Inputs!$G$5:$G$130&lt;&gt;"moeda")*(Inputs!$G$5:$G$130&lt;&gt;"acoes")))*INDEX(Inputs!$K$5:$AJ$130,0,MATCH(Y$2,Inputs!$K$4:$AJ$4,0)))+SUMPRODUCT((Inputs!$C$5:$C$130=$B53)*Inputs!$D$5:$D$130*(((Inputs!$G$5:$G$130="moeda")+(Inputs!$G$5:$G$130="acoes"))*Inputs!$B$1+((Inputs!$G$5:$G$130&lt;&gt;"moeda")*(Inputs!$G$5:$G$130&lt;&gt;"acoes")))*INDEX(Inputs!$K$5:$AJ$130,0,MATCH(Y$2,Inputs!$K$4:$AJ$4,0)))+SUMPRODUCT((Inputs!$E$5:$E$130=$B53)*Inputs!$F$5:$F$130*(((Inputs!$G$5:$G$130="moeda")+(Inputs!$G$5:$G$130="acoes"))*Inputs!$B$1+((Inputs!$G$5:$G$130&lt;&gt;"moeda")*(Inputs!$G$5:$G$130&lt;&gt;"acoes")))*INDEX(Inputs!$K$5:$AJ$130,0,MATCH(Y$2,Inputs!$K$4:$AJ$4,0)))))</f>
        <v>9576</v>
      </c>
      <c r="Z53" s="511">
        <f>IF(ISNA(MATCH(Z$2,Inputs!$K$4:$AJ$4,0)),NA(),IF(SUMPRODUCT((Inputs!$A$5:$A$130=$B53)*ISNUMBER(INDEX(Inputs!$K$5:$AJ$130,0,MATCH(Z$2,Inputs!$K$4:$AJ$4,0))))+SUMPRODUCT((Inputs!$C$5:$C$130=$B53)*ISNUMBER(INDEX(Inputs!$K$5:$AJ$130,0,MATCH(Z$2,Inputs!$K$4:$AJ$4,0))))+SUMPRODUCT((Inputs!$E$5:$E$130=$B53)*ISNUMBER(INDEX(Inputs!$K$5:$AJ$130,0,MATCH(Z$2,Inputs!$K$4:$AJ$4,0))))=0,NA(),SUMPRODUCT((Inputs!$A$5:$A$130=$B53)*Inputs!$B$5:$B$130*(((Inputs!$G$5:$G$130="moeda")+(Inputs!$G$5:$G$130="acoes"))*Inputs!$B$1+((Inputs!$G$5:$G$130&lt;&gt;"moeda")*(Inputs!$G$5:$G$130&lt;&gt;"acoes")))*INDEX(Inputs!$K$5:$AJ$130,0,MATCH(Z$2,Inputs!$K$4:$AJ$4,0)))+SUMPRODUCT((Inputs!$C$5:$C$130=$B53)*Inputs!$D$5:$D$130*(((Inputs!$G$5:$G$130="moeda")+(Inputs!$G$5:$G$130="acoes"))*Inputs!$B$1+((Inputs!$G$5:$G$130&lt;&gt;"moeda")*(Inputs!$G$5:$G$130&lt;&gt;"acoes")))*INDEX(Inputs!$K$5:$AJ$130,0,MATCH(Z$2,Inputs!$K$4:$AJ$4,0)))+SUMPRODUCT((Inputs!$E$5:$E$130=$B53)*Inputs!$F$5:$F$130*(((Inputs!$G$5:$G$130="moeda")+(Inputs!$G$5:$G$130="acoes"))*Inputs!$B$1+((Inputs!$G$5:$G$130&lt;&gt;"moeda")*(Inputs!$G$5:$G$130&lt;&gt;"acoes")))*INDEX(Inputs!$K$5:$AJ$130,0,MATCH(Z$2,Inputs!$K$4:$AJ$4,0)))))</f>
        <v>9736</v>
      </c>
      <c r="AA53" s="511">
        <f>IF(ISNA(MATCH(AA$2,Inputs!$K$4:$AJ$4,0)),NA(),IF(SUMPRODUCT((Inputs!$A$5:$A$130=$B53)*ISNUMBER(INDEX(Inputs!$K$5:$AJ$130,0,MATCH(AA$2,Inputs!$K$4:$AJ$4,0))))+SUMPRODUCT((Inputs!$C$5:$C$130=$B53)*ISNUMBER(INDEX(Inputs!$K$5:$AJ$130,0,MATCH(AA$2,Inputs!$K$4:$AJ$4,0))))+SUMPRODUCT((Inputs!$E$5:$E$130=$B53)*ISNUMBER(INDEX(Inputs!$K$5:$AJ$130,0,MATCH(AA$2,Inputs!$K$4:$AJ$4,0))))=0,NA(),SUMPRODUCT((Inputs!$A$5:$A$130=$B53)*Inputs!$B$5:$B$130*(((Inputs!$G$5:$G$130="moeda")+(Inputs!$G$5:$G$130="acoes"))*Inputs!$B$1+((Inputs!$G$5:$G$130&lt;&gt;"moeda")*(Inputs!$G$5:$G$130&lt;&gt;"acoes")))*INDEX(Inputs!$K$5:$AJ$130,0,MATCH(AA$2,Inputs!$K$4:$AJ$4,0)))+SUMPRODUCT((Inputs!$C$5:$C$130=$B53)*Inputs!$D$5:$D$130*(((Inputs!$G$5:$G$130="moeda")+(Inputs!$G$5:$G$130="acoes"))*Inputs!$B$1+((Inputs!$G$5:$G$130&lt;&gt;"moeda")*(Inputs!$G$5:$G$130&lt;&gt;"acoes")))*INDEX(Inputs!$K$5:$AJ$130,0,MATCH(AA$2,Inputs!$K$4:$AJ$4,0)))+SUMPRODUCT((Inputs!$E$5:$E$130=$B53)*Inputs!$F$5:$F$130*(((Inputs!$G$5:$G$130="moeda")+(Inputs!$G$5:$G$130="acoes"))*Inputs!$B$1+((Inputs!$G$5:$G$130&lt;&gt;"moeda")*(Inputs!$G$5:$G$130&lt;&gt;"acoes")))*INDEX(Inputs!$K$5:$AJ$130,0,MATCH(AA$2,Inputs!$K$4:$AJ$4,0)))))</f>
        <v>9542</v>
      </c>
      <c r="AB53" s="512">
        <f>SUM(X53:AA53)</f>
        <v>38456</v>
      </c>
      <c r="AC53" s="511">
        <f>IF(ISNA(MATCH(AC$2,Inputs!$K$4:$AJ$4,0)),NA(),IF(SUMPRODUCT((Inputs!$A$5:$A$130=$B53)*ISNUMBER(INDEX(Inputs!$K$5:$AJ$130,0,MATCH(AC$2,Inputs!$K$4:$AJ$4,0))))+SUMPRODUCT((Inputs!$C$5:$C$130=$B53)*ISNUMBER(INDEX(Inputs!$K$5:$AJ$130,0,MATCH(AC$2,Inputs!$K$4:$AJ$4,0))))+SUMPRODUCT((Inputs!$E$5:$E$130=$B53)*ISNUMBER(INDEX(Inputs!$K$5:$AJ$130,0,MATCH(AC$2,Inputs!$K$4:$AJ$4,0))))=0,NA(),SUMPRODUCT((Inputs!$A$5:$A$130=$B53)*Inputs!$B$5:$B$130*(((Inputs!$G$5:$G$130="moeda")+(Inputs!$G$5:$G$130="acoes"))*Inputs!$B$1+((Inputs!$G$5:$G$130&lt;&gt;"moeda")*(Inputs!$G$5:$G$130&lt;&gt;"acoes")))*INDEX(Inputs!$K$5:$AJ$130,0,MATCH(AC$2,Inputs!$K$4:$AJ$4,0)))+SUMPRODUCT((Inputs!$C$5:$C$130=$B53)*Inputs!$D$5:$D$130*(((Inputs!$G$5:$G$130="moeda")+(Inputs!$G$5:$G$130="acoes"))*Inputs!$B$1+((Inputs!$G$5:$G$130&lt;&gt;"moeda")*(Inputs!$G$5:$G$130&lt;&gt;"acoes")))*INDEX(Inputs!$K$5:$AJ$130,0,MATCH(AC$2,Inputs!$K$4:$AJ$4,0)))+SUMPRODUCT((Inputs!$E$5:$E$130=$B53)*Inputs!$F$5:$F$130*(((Inputs!$G$5:$G$130="moeda")+(Inputs!$G$5:$G$130="acoes"))*Inputs!$B$1+((Inputs!$G$5:$G$130&lt;&gt;"moeda")*(Inputs!$G$5:$G$130&lt;&gt;"acoes")))*INDEX(Inputs!$K$5:$AJ$130,0,MATCH(AC$2,Inputs!$K$4:$AJ$4,0)))))</f>
        <v>7748</v>
      </c>
      <c r="AD53" s="511">
        <f>IF(ISNA(MATCH(AD$2,Inputs!$K$4:$AJ$4,0)),NA(),IF(SUMPRODUCT((Inputs!$A$5:$A$130=$B53)*ISNUMBER(INDEX(Inputs!$K$5:$AJ$130,0,MATCH(AD$2,Inputs!$K$4:$AJ$4,0))))+SUMPRODUCT((Inputs!$C$5:$C$130=$B53)*ISNUMBER(INDEX(Inputs!$K$5:$AJ$130,0,MATCH(AD$2,Inputs!$K$4:$AJ$4,0))))+SUMPRODUCT((Inputs!$E$5:$E$130=$B53)*ISNUMBER(INDEX(Inputs!$K$5:$AJ$130,0,MATCH(AD$2,Inputs!$K$4:$AJ$4,0))))=0,NA(),SUMPRODUCT((Inputs!$A$5:$A$130=$B53)*Inputs!$B$5:$B$130*(((Inputs!$G$5:$G$130="moeda")+(Inputs!$G$5:$G$130="acoes"))*Inputs!$B$1+((Inputs!$G$5:$G$130&lt;&gt;"moeda")*(Inputs!$G$5:$G$130&lt;&gt;"acoes")))*INDEX(Inputs!$K$5:$AJ$130,0,MATCH(AD$2,Inputs!$K$4:$AJ$4,0)))+SUMPRODUCT((Inputs!$C$5:$C$130=$B53)*Inputs!$D$5:$D$130*(((Inputs!$G$5:$G$130="moeda")+(Inputs!$G$5:$G$130="acoes"))*Inputs!$B$1+((Inputs!$G$5:$G$130&lt;&gt;"moeda")*(Inputs!$G$5:$G$130&lt;&gt;"acoes")))*INDEX(Inputs!$K$5:$AJ$130,0,MATCH(AD$2,Inputs!$K$4:$AJ$4,0)))+SUMPRODUCT((Inputs!$E$5:$E$130=$B53)*Inputs!$F$5:$F$130*(((Inputs!$G$5:$G$130="moeda")+(Inputs!$G$5:$G$130="acoes"))*Inputs!$B$1+((Inputs!$G$5:$G$130&lt;&gt;"moeda")*(Inputs!$G$5:$G$130&lt;&gt;"acoes")))*INDEX(Inputs!$K$5:$AJ$130,0,MATCH(AD$2,Inputs!$K$4:$AJ$4,0)))))</f>
        <v>11278</v>
      </c>
      <c r="AE53" s="511" t="e">
        <f>IF(ISNA(MATCH(AE$2,Inputs!$K$4:$AJ$4,0)),NA(),IF(SUMPRODUCT((Inputs!$A$5:$A$130=$B53)*ISNUMBER(INDEX(Inputs!$K$5:$AJ$130,0,MATCH(AE$2,Inputs!$K$4:$AJ$4,0))))+SUMPRODUCT((Inputs!$C$5:$C$130=$B53)*ISNUMBER(INDEX(Inputs!$K$5:$AJ$130,0,MATCH(AE$2,Inputs!$K$4:$AJ$4,0))))+SUMPRODUCT((Inputs!$E$5:$E$130=$B53)*ISNUMBER(INDEX(Inputs!$K$5:$AJ$130,0,MATCH(AE$2,Inputs!$K$4:$AJ$4,0))))=0,NA(),SUMPRODUCT((Inputs!$A$5:$A$130=$B53)*Inputs!$B$5:$B$130*(((Inputs!$G$5:$G$130="moeda")+(Inputs!$G$5:$G$130="acoes"))*Inputs!$B$1+((Inputs!$G$5:$G$130&lt;&gt;"moeda")*(Inputs!$G$5:$G$130&lt;&gt;"acoes")))*INDEX(Inputs!$K$5:$AJ$130,0,MATCH(AE$2,Inputs!$K$4:$AJ$4,0)))+SUMPRODUCT((Inputs!$C$5:$C$130=$B53)*Inputs!$D$5:$D$130*(((Inputs!$G$5:$G$130="moeda")+(Inputs!$G$5:$G$130="acoes"))*Inputs!$B$1+((Inputs!$G$5:$G$130&lt;&gt;"moeda")*(Inputs!$G$5:$G$130&lt;&gt;"acoes")))*INDEX(Inputs!$K$5:$AJ$130,0,MATCH(AE$2,Inputs!$K$4:$AJ$4,0)))+SUMPRODUCT((Inputs!$E$5:$E$130=$B53)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3" s="511" t="e">
        <f>IF(ISNA(MATCH(AF$2,Inputs!$K$4:$AJ$4,0)),NA(),IF(SUMPRODUCT((Inputs!$A$5:$A$130=$B53)*ISNUMBER(INDEX(Inputs!$K$5:$AJ$130,0,MATCH(AF$2,Inputs!$K$4:$AJ$4,0))))+SUMPRODUCT((Inputs!$C$5:$C$130=$B53)*ISNUMBER(INDEX(Inputs!$K$5:$AJ$130,0,MATCH(AF$2,Inputs!$K$4:$AJ$4,0))))+SUMPRODUCT((Inputs!$E$5:$E$130=$B53)*ISNUMBER(INDEX(Inputs!$K$5:$AJ$130,0,MATCH(AF$2,Inputs!$K$4:$AJ$4,0))))=0,NA(),SUMPRODUCT((Inputs!$A$5:$A$130=$B53)*Inputs!$B$5:$B$130*(((Inputs!$G$5:$G$130="moeda")+(Inputs!$G$5:$G$130="acoes"))*Inputs!$B$1+((Inputs!$G$5:$G$130&lt;&gt;"moeda")*(Inputs!$G$5:$G$130&lt;&gt;"acoes")))*INDEX(Inputs!$K$5:$AJ$130,0,MATCH(AF$2,Inputs!$K$4:$AJ$4,0)))+SUMPRODUCT((Inputs!$C$5:$C$130=$B53)*Inputs!$D$5:$D$130*(((Inputs!$G$5:$G$130="moeda")+(Inputs!$G$5:$G$130="acoes"))*Inputs!$B$1+((Inputs!$G$5:$G$130&lt;&gt;"moeda")*(Inputs!$G$5:$G$130&lt;&gt;"acoes")))*INDEX(Inputs!$K$5:$AJ$130,0,MATCH(AF$2,Inputs!$K$4:$AJ$4,0)))+SUMPRODUCT((Inputs!$E$5:$E$130=$B53)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3" s="512" t="e">
        <f>SUM(AC53:AF53)</f>
        <v>#N/A</v>
      </c>
      <c r="AH53" s="511" t="e">
        <f>IF(ISNA(MATCH(AH$2,Inputs!$K$4:$AJ$4,0)),NA(),IF(SUMPRODUCT((Inputs!$A$5:$A$130=$B53)*ISNUMBER(INDEX(Inputs!$K$5:$AJ$130,0,MATCH(AH$2,Inputs!$K$4:$AJ$4,0))))+SUMPRODUCT((Inputs!$C$5:$C$130=$B53)*ISNUMBER(INDEX(Inputs!$K$5:$AJ$130,0,MATCH(AH$2,Inputs!$K$4:$AJ$4,0))))+SUMPRODUCT((Inputs!$E$5:$E$130=$B53)*ISNUMBER(INDEX(Inputs!$K$5:$AJ$130,0,MATCH(AH$2,Inputs!$K$4:$AJ$4,0))))=0,NA(),SUMPRODUCT((Inputs!$A$5:$A$130=$B53)*Inputs!$B$5:$B$130*(((Inputs!$G$5:$G$130="moeda")+(Inputs!$G$5:$G$130="acoes"))*Inputs!$B$1+((Inputs!$G$5:$G$130&lt;&gt;"moeda")*(Inputs!$G$5:$G$130&lt;&gt;"acoes")))*INDEX(Inputs!$K$5:$AJ$130,0,MATCH(AH$2,Inputs!$K$4:$AJ$4,0)))+SUMPRODUCT((Inputs!$C$5:$C$130=$B53)*Inputs!$D$5:$D$130*(((Inputs!$G$5:$G$130="moeda")+(Inputs!$G$5:$G$130="acoes"))*Inputs!$B$1+((Inputs!$G$5:$G$130&lt;&gt;"moeda")*(Inputs!$G$5:$G$130&lt;&gt;"acoes")))*INDEX(Inputs!$K$5:$AJ$130,0,MATCH(AH$2,Inputs!$K$4:$AJ$4,0)))+SUMPRODUCT((Inputs!$E$5:$E$130=$B53)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53" s="511" t="e">
        <f>IF(ISNA(MATCH(AI$2,Inputs!$K$4:$AJ$4,0)),NA(),IF(SUMPRODUCT((Inputs!$A$5:$A$130=$B53)*ISNUMBER(INDEX(Inputs!$K$5:$AJ$130,0,MATCH(AI$2,Inputs!$K$4:$AJ$4,0))))+SUMPRODUCT((Inputs!$C$5:$C$130=$B53)*ISNUMBER(INDEX(Inputs!$K$5:$AJ$130,0,MATCH(AI$2,Inputs!$K$4:$AJ$4,0))))+SUMPRODUCT((Inputs!$E$5:$E$130=$B53)*ISNUMBER(INDEX(Inputs!$K$5:$AJ$130,0,MATCH(AI$2,Inputs!$K$4:$AJ$4,0))))=0,NA(),SUMPRODUCT((Inputs!$A$5:$A$130=$B53)*Inputs!$B$5:$B$130*(((Inputs!$G$5:$G$130="moeda")+(Inputs!$G$5:$G$130="acoes"))*Inputs!$B$1+((Inputs!$G$5:$G$130&lt;&gt;"moeda")*(Inputs!$G$5:$G$130&lt;&gt;"acoes")))*INDEX(Inputs!$K$5:$AJ$130,0,MATCH(AI$2,Inputs!$K$4:$AJ$4,0)))+SUMPRODUCT((Inputs!$C$5:$C$130=$B53)*Inputs!$D$5:$D$130*(((Inputs!$G$5:$G$130="moeda")+(Inputs!$G$5:$G$130="acoes"))*Inputs!$B$1+((Inputs!$G$5:$G$130&lt;&gt;"moeda")*(Inputs!$G$5:$G$130&lt;&gt;"acoes")))*INDEX(Inputs!$K$5:$AJ$130,0,MATCH(AI$2,Inputs!$K$4:$AJ$4,0)))+SUMPRODUCT((Inputs!$E$5:$E$130=$B53)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53" s="511" t="e">
        <f>IF(ISNA(MATCH(AJ$2,Inputs!$K$4:$AJ$4,0)),NA(),IF(SUMPRODUCT((Inputs!$A$5:$A$130=$B53)*ISNUMBER(INDEX(Inputs!$K$5:$AJ$130,0,MATCH(AJ$2,Inputs!$K$4:$AJ$4,0))))+SUMPRODUCT((Inputs!$C$5:$C$130=$B53)*ISNUMBER(INDEX(Inputs!$K$5:$AJ$130,0,MATCH(AJ$2,Inputs!$K$4:$AJ$4,0))))+SUMPRODUCT((Inputs!$E$5:$E$130=$B53)*ISNUMBER(INDEX(Inputs!$K$5:$AJ$130,0,MATCH(AJ$2,Inputs!$K$4:$AJ$4,0))))=0,NA(),SUMPRODUCT((Inputs!$A$5:$A$130=$B53)*Inputs!$B$5:$B$130*(((Inputs!$G$5:$G$130="moeda")+(Inputs!$G$5:$G$130="acoes"))*Inputs!$B$1+((Inputs!$G$5:$G$130&lt;&gt;"moeda")*(Inputs!$G$5:$G$130&lt;&gt;"acoes")))*INDEX(Inputs!$K$5:$AJ$130,0,MATCH(AJ$2,Inputs!$K$4:$AJ$4,0)))+SUMPRODUCT((Inputs!$C$5:$C$130=$B53)*Inputs!$D$5:$D$130*(((Inputs!$G$5:$G$130="moeda")+(Inputs!$G$5:$G$130="acoes"))*Inputs!$B$1+((Inputs!$G$5:$G$130&lt;&gt;"moeda")*(Inputs!$G$5:$G$130&lt;&gt;"acoes")))*INDEX(Inputs!$K$5:$AJ$130,0,MATCH(AJ$2,Inputs!$K$4:$AJ$4,0)))+SUMPRODUCT((Inputs!$E$5:$E$130=$B53)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53" s="511" t="e">
        <f>IF(ISNA(MATCH(AK$2,Inputs!$K$4:$AJ$4,0)),NA(),IF(SUMPRODUCT((Inputs!$A$5:$A$130=$B53)*ISNUMBER(INDEX(Inputs!$K$5:$AJ$130,0,MATCH(AK$2,Inputs!$K$4:$AJ$4,0))))+SUMPRODUCT((Inputs!$C$5:$C$130=$B53)*ISNUMBER(INDEX(Inputs!$K$5:$AJ$130,0,MATCH(AK$2,Inputs!$K$4:$AJ$4,0))))+SUMPRODUCT((Inputs!$E$5:$E$130=$B53)*ISNUMBER(INDEX(Inputs!$K$5:$AJ$130,0,MATCH(AK$2,Inputs!$K$4:$AJ$4,0))))=0,NA(),SUMPRODUCT((Inputs!$A$5:$A$130=$B53)*Inputs!$B$5:$B$130*(((Inputs!$G$5:$G$130="moeda")+(Inputs!$G$5:$G$130="acoes"))*Inputs!$B$1+((Inputs!$G$5:$G$130&lt;&gt;"moeda")*(Inputs!$G$5:$G$130&lt;&gt;"acoes")))*INDEX(Inputs!$K$5:$AJ$130,0,MATCH(AK$2,Inputs!$K$4:$AJ$4,0)))+SUMPRODUCT((Inputs!$C$5:$C$130=$B53)*Inputs!$D$5:$D$130*(((Inputs!$G$5:$G$130="moeda")+(Inputs!$G$5:$G$130="acoes"))*Inputs!$B$1+((Inputs!$G$5:$G$130&lt;&gt;"moeda")*(Inputs!$G$5:$G$130&lt;&gt;"acoes")))*INDEX(Inputs!$K$5:$AJ$130,0,MATCH(AK$2,Inputs!$K$4:$AJ$4,0)))+SUMPRODUCT((Inputs!$E$5:$E$130=$B53)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53" s="512" t="e">
        <f>SUM(AH53:AK53)</f>
        <v>#N/A</v>
      </c>
    </row>
    <row r="54">
      <c r="B54" s="263" t="n">
        <v>46</v>
      </c>
      <c r="C54" s="264" t="inlineStr">
        <is>
          <t>Upstream - receita de terceiros (USD mi)</t>
        </is>
      </c>
      <c r="D54" s="511">
        <f>IF(ISNA(MATCH(D$2,Inputs!$K$4:$AJ$4,0)),NA(),IF(SUMPRODUCT((Inputs!$A$5:$A$130=$B54)*ISNUMBER(INDEX(Inputs!$K$5:$AJ$130,0,MATCH(D$2,Inputs!$K$4:$AJ$4,0))))+SUMPRODUCT((Inputs!$C$5:$C$130=$B54)*ISNUMBER(INDEX(Inputs!$K$5:$AJ$130,0,MATCH(D$2,Inputs!$K$4:$AJ$4,0))))+SUMPRODUCT((Inputs!$E$5:$E$130=$B54)*ISNUMBER(INDEX(Inputs!$K$5:$AJ$130,0,MATCH(D$2,Inputs!$K$4:$AJ$4,0))))=0,NA(),SUMPRODUCT((Inputs!$A$5:$A$130=$B54)*Inputs!$B$5:$B$130*(((Inputs!$G$5:$G$130="moeda")+(Inputs!$G$5:$G$130="acoes"))*Inputs!$B$1+((Inputs!$G$5:$G$130&lt;&gt;"moeda")*(Inputs!$G$5:$G$130&lt;&gt;"acoes")))*INDEX(Inputs!$K$5:$AJ$130,0,MATCH(D$2,Inputs!$K$4:$AJ$4,0)))+SUMPRODUCT((Inputs!$C$5:$C$130=$B54)*Inputs!$D$5:$D$130*(((Inputs!$G$5:$G$130="moeda")+(Inputs!$G$5:$G$130="acoes"))*Inputs!$B$1+((Inputs!$G$5:$G$130&lt;&gt;"moeda")*(Inputs!$G$5:$G$130&lt;&gt;"acoes")))*INDEX(Inputs!$K$5:$AJ$130,0,MATCH(D$2,Inputs!$K$4:$AJ$4,0)))+SUMPRODUCT((Inputs!$E$5:$E$130=$B54)*Inputs!$F$5:$F$130*(((Inputs!$G$5:$G$130="moeda")+(Inputs!$G$5:$G$130="acoes"))*Inputs!$B$1+((Inputs!$G$5:$G$130&lt;&gt;"moeda")*(Inputs!$G$5:$G$130&lt;&gt;"acoes")))*INDEX(Inputs!$K$5:$AJ$130,0,MATCH(D$2,Inputs!$K$4:$AJ$4,0)))))</f>
        <v>1936</v>
      </c>
      <c r="E54" s="511">
        <f>IF(ISNA(MATCH(E$2,Inputs!$K$4:$AJ$4,0)),NA(),IF(SUMPRODUCT((Inputs!$A$5:$A$130=$B54)*ISNUMBER(INDEX(Inputs!$K$5:$AJ$130,0,MATCH(E$2,Inputs!$K$4:$AJ$4,0))))+SUMPRODUCT((Inputs!$C$5:$C$130=$B54)*ISNUMBER(INDEX(Inputs!$K$5:$AJ$130,0,MATCH(E$2,Inputs!$K$4:$AJ$4,0))))+SUMPRODUCT((Inputs!$E$5:$E$130=$B54)*ISNUMBER(INDEX(Inputs!$K$5:$AJ$130,0,MATCH(E$2,Inputs!$K$4:$AJ$4,0))))=0,NA(),SUMPRODUCT((Inputs!$A$5:$A$130=$B54)*Inputs!$B$5:$B$130*(((Inputs!$G$5:$G$130="moeda")+(Inputs!$G$5:$G$130="acoes"))*Inputs!$B$1+((Inputs!$G$5:$G$130&lt;&gt;"moeda")*(Inputs!$G$5:$G$130&lt;&gt;"acoes")))*INDEX(Inputs!$K$5:$AJ$130,0,MATCH(E$2,Inputs!$K$4:$AJ$4,0)))+SUMPRODUCT((Inputs!$C$5:$C$130=$B54)*Inputs!$D$5:$D$130*(((Inputs!$G$5:$G$130="moeda")+(Inputs!$G$5:$G$130="acoes"))*Inputs!$B$1+((Inputs!$G$5:$G$130&lt;&gt;"moeda")*(Inputs!$G$5:$G$130&lt;&gt;"acoes")))*INDEX(Inputs!$K$5:$AJ$130,0,MATCH(E$2,Inputs!$K$4:$AJ$4,0)))+SUMPRODUCT((Inputs!$E$5:$E$130=$B54)*Inputs!$F$5:$F$130*(((Inputs!$G$5:$G$130="moeda")+(Inputs!$G$5:$G$130="acoes"))*Inputs!$B$1+((Inputs!$G$5:$G$130&lt;&gt;"moeda")*(Inputs!$G$5:$G$130&lt;&gt;"acoes")))*INDEX(Inputs!$K$5:$AJ$130,0,MATCH(E$2,Inputs!$K$4:$AJ$4,0)))))</f>
        <v>2281</v>
      </c>
      <c r="F54" s="511">
        <f>IF(ISNA(MATCH(F$2,Inputs!$K$4:$AJ$4,0)),NA(),IF(SUMPRODUCT((Inputs!$A$5:$A$130=$B54)*ISNUMBER(INDEX(Inputs!$K$5:$AJ$130,0,MATCH(F$2,Inputs!$K$4:$AJ$4,0))))+SUMPRODUCT((Inputs!$C$5:$C$130=$B54)*ISNUMBER(INDEX(Inputs!$K$5:$AJ$130,0,MATCH(F$2,Inputs!$K$4:$AJ$4,0))))+SUMPRODUCT((Inputs!$E$5:$E$130=$B54)*ISNUMBER(INDEX(Inputs!$K$5:$AJ$130,0,MATCH(F$2,Inputs!$K$4:$AJ$4,0))))=0,NA(),SUMPRODUCT((Inputs!$A$5:$A$130=$B54)*Inputs!$B$5:$B$130*(((Inputs!$G$5:$G$130="moeda")+(Inputs!$G$5:$G$130="acoes"))*Inputs!$B$1+((Inputs!$G$5:$G$130&lt;&gt;"moeda")*(Inputs!$G$5:$G$130&lt;&gt;"acoes")))*INDEX(Inputs!$K$5:$AJ$130,0,MATCH(F$2,Inputs!$K$4:$AJ$4,0)))+SUMPRODUCT((Inputs!$C$5:$C$130=$B54)*Inputs!$D$5:$D$130*(((Inputs!$G$5:$G$130="moeda")+(Inputs!$G$5:$G$130="acoes"))*Inputs!$B$1+((Inputs!$G$5:$G$130&lt;&gt;"moeda")*(Inputs!$G$5:$G$130&lt;&gt;"acoes")))*INDEX(Inputs!$K$5:$AJ$130,0,MATCH(F$2,Inputs!$K$4:$AJ$4,0)))+SUMPRODUCT((Inputs!$E$5:$E$130=$B54)*Inputs!$F$5:$F$130*(((Inputs!$G$5:$G$130="moeda")+(Inputs!$G$5:$G$130="acoes"))*Inputs!$B$1+((Inputs!$G$5:$G$130&lt;&gt;"moeda")*(Inputs!$G$5:$G$130&lt;&gt;"acoes")))*INDEX(Inputs!$K$5:$AJ$130,0,MATCH(F$2,Inputs!$K$4:$AJ$4,0)))))</f>
        <v>2360</v>
      </c>
      <c r="G54" s="511">
        <f>IF(ISNA(MATCH(G$2,Inputs!$K$4:$AJ$4,0)),NA(),IF(SUMPRODUCT((Inputs!$A$5:$A$130=$B54)*ISNUMBER(INDEX(Inputs!$K$5:$AJ$130,0,MATCH(G$2,Inputs!$K$4:$AJ$4,0))))+SUMPRODUCT((Inputs!$C$5:$C$130=$B54)*ISNUMBER(INDEX(Inputs!$K$5:$AJ$130,0,MATCH(G$2,Inputs!$K$4:$AJ$4,0))))+SUMPRODUCT((Inputs!$E$5:$E$130=$B54)*ISNUMBER(INDEX(Inputs!$K$5:$AJ$130,0,MATCH(G$2,Inputs!$K$4:$AJ$4,0))))=0,NA(),SUMPRODUCT((Inputs!$A$5:$A$130=$B54)*Inputs!$B$5:$B$130*(((Inputs!$G$5:$G$130="moeda")+(Inputs!$G$5:$G$130="acoes"))*Inputs!$B$1+((Inputs!$G$5:$G$130&lt;&gt;"moeda")*(Inputs!$G$5:$G$130&lt;&gt;"acoes")))*INDEX(Inputs!$K$5:$AJ$130,0,MATCH(G$2,Inputs!$K$4:$AJ$4,0)))+SUMPRODUCT((Inputs!$C$5:$C$130=$B54)*Inputs!$D$5:$D$130*(((Inputs!$G$5:$G$130="moeda")+(Inputs!$G$5:$G$130="acoes"))*Inputs!$B$1+((Inputs!$G$5:$G$130&lt;&gt;"moeda")*(Inputs!$G$5:$G$130&lt;&gt;"acoes")))*INDEX(Inputs!$K$5:$AJ$130,0,MATCH(G$2,Inputs!$K$4:$AJ$4,0)))+SUMPRODUCT((Inputs!$E$5:$E$130=$B54)*Inputs!$F$5:$F$130*(((Inputs!$G$5:$G$130="moeda")+(Inputs!$G$5:$G$130="acoes"))*Inputs!$B$1+((Inputs!$G$5:$G$130&lt;&gt;"moeda")*(Inputs!$G$5:$G$130&lt;&gt;"acoes")))*INDEX(Inputs!$K$5:$AJ$130,0,MATCH(G$2,Inputs!$K$4:$AJ$4,0)))))</f>
        <v>2605</v>
      </c>
      <c r="H54" s="512">
        <f>SUM(D54:G54)</f>
        <v>9182</v>
      </c>
      <c r="I54" s="511">
        <f>IF(ISNA(MATCH(I$2,Inputs!$K$4:$AJ$4,0)),NA(),IF(SUMPRODUCT((Inputs!$A$5:$A$130=$B54)*ISNUMBER(INDEX(Inputs!$K$5:$AJ$130,0,MATCH(I$2,Inputs!$K$4:$AJ$4,0))))+SUMPRODUCT((Inputs!$C$5:$C$130=$B54)*ISNUMBER(INDEX(Inputs!$K$5:$AJ$130,0,MATCH(I$2,Inputs!$K$4:$AJ$4,0))))+SUMPRODUCT((Inputs!$E$5:$E$130=$B54)*ISNUMBER(INDEX(Inputs!$K$5:$AJ$130,0,MATCH(I$2,Inputs!$K$4:$AJ$4,0))))=0,NA(),SUMPRODUCT((Inputs!$A$5:$A$130=$B54)*Inputs!$B$5:$B$130*(((Inputs!$G$5:$G$130="moeda")+(Inputs!$G$5:$G$130="acoes"))*Inputs!$B$1+((Inputs!$G$5:$G$130&lt;&gt;"moeda")*(Inputs!$G$5:$G$130&lt;&gt;"acoes")))*INDEX(Inputs!$K$5:$AJ$130,0,MATCH(I$2,Inputs!$K$4:$AJ$4,0)))+SUMPRODUCT((Inputs!$C$5:$C$130=$B54)*Inputs!$D$5:$D$130*(((Inputs!$G$5:$G$130="moeda")+(Inputs!$G$5:$G$130="acoes"))*Inputs!$B$1+((Inputs!$G$5:$G$130&lt;&gt;"moeda")*(Inputs!$G$5:$G$130&lt;&gt;"acoes")))*INDEX(Inputs!$K$5:$AJ$130,0,MATCH(I$2,Inputs!$K$4:$AJ$4,0)))+SUMPRODUCT((Inputs!$E$5:$E$130=$B54)*Inputs!$F$5:$F$130*(((Inputs!$G$5:$G$130="moeda")+(Inputs!$G$5:$G$130="acoes"))*Inputs!$B$1+((Inputs!$G$5:$G$130&lt;&gt;"moeda")*(Inputs!$G$5:$G$130&lt;&gt;"acoes")))*INDEX(Inputs!$K$5:$AJ$130,0,MATCH(I$2,Inputs!$K$4:$AJ$4,0)))))</f>
        <v>1531</v>
      </c>
      <c r="J54" s="511">
        <f>IF(ISNA(MATCH(J$2,Inputs!$K$4:$AJ$4,0)),NA(),IF(SUMPRODUCT((Inputs!$A$5:$A$130=$B54)*ISNUMBER(INDEX(Inputs!$K$5:$AJ$130,0,MATCH(J$2,Inputs!$K$4:$AJ$4,0))))+SUMPRODUCT((Inputs!$C$5:$C$130=$B54)*ISNUMBER(INDEX(Inputs!$K$5:$AJ$130,0,MATCH(J$2,Inputs!$K$4:$AJ$4,0))))+SUMPRODUCT((Inputs!$E$5:$E$130=$B54)*ISNUMBER(INDEX(Inputs!$K$5:$AJ$130,0,MATCH(J$2,Inputs!$K$4:$AJ$4,0))))=0,NA(),SUMPRODUCT((Inputs!$A$5:$A$130=$B54)*Inputs!$B$5:$B$130*(((Inputs!$G$5:$G$130="moeda")+(Inputs!$G$5:$G$130="acoes"))*Inputs!$B$1+((Inputs!$G$5:$G$130&lt;&gt;"moeda")*(Inputs!$G$5:$G$130&lt;&gt;"acoes")))*INDEX(Inputs!$K$5:$AJ$130,0,MATCH(J$2,Inputs!$K$4:$AJ$4,0)))+SUMPRODUCT((Inputs!$C$5:$C$130=$B54)*Inputs!$D$5:$D$130*(((Inputs!$G$5:$G$130="moeda")+(Inputs!$G$5:$G$130="acoes"))*Inputs!$B$1+((Inputs!$G$5:$G$130&lt;&gt;"moeda")*(Inputs!$G$5:$G$130&lt;&gt;"acoes")))*INDEX(Inputs!$K$5:$AJ$130,0,MATCH(J$2,Inputs!$K$4:$AJ$4,0)))+SUMPRODUCT((Inputs!$E$5:$E$130=$B54)*Inputs!$F$5:$F$130*(((Inputs!$G$5:$G$130="moeda")+(Inputs!$G$5:$G$130="acoes"))*Inputs!$B$1+((Inputs!$G$5:$G$130&lt;&gt;"moeda")*(Inputs!$G$5:$G$130&lt;&gt;"acoes")))*INDEX(Inputs!$K$5:$AJ$130,0,MATCH(J$2,Inputs!$K$4:$AJ$4,0)))))</f>
        <v>2253</v>
      </c>
      <c r="K54" s="511">
        <f>IF(ISNA(MATCH(K$2,Inputs!$K$4:$AJ$4,0)),NA(),IF(SUMPRODUCT((Inputs!$A$5:$A$130=$B54)*ISNUMBER(INDEX(Inputs!$K$5:$AJ$130,0,MATCH(K$2,Inputs!$K$4:$AJ$4,0))))+SUMPRODUCT((Inputs!$C$5:$C$130=$B54)*ISNUMBER(INDEX(Inputs!$K$5:$AJ$130,0,MATCH(K$2,Inputs!$K$4:$AJ$4,0))))+SUMPRODUCT((Inputs!$E$5:$E$130=$B54)*ISNUMBER(INDEX(Inputs!$K$5:$AJ$130,0,MATCH(K$2,Inputs!$K$4:$AJ$4,0))))=0,NA(),SUMPRODUCT((Inputs!$A$5:$A$130=$B54)*Inputs!$B$5:$B$130*(((Inputs!$G$5:$G$130="moeda")+(Inputs!$G$5:$G$130="acoes"))*Inputs!$B$1+((Inputs!$G$5:$G$130&lt;&gt;"moeda")*(Inputs!$G$5:$G$130&lt;&gt;"acoes")))*INDEX(Inputs!$K$5:$AJ$130,0,MATCH(K$2,Inputs!$K$4:$AJ$4,0)))+SUMPRODUCT((Inputs!$C$5:$C$130=$B54)*Inputs!$D$5:$D$130*(((Inputs!$G$5:$G$130="moeda")+(Inputs!$G$5:$G$130="acoes"))*Inputs!$B$1+((Inputs!$G$5:$G$130&lt;&gt;"moeda")*(Inputs!$G$5:$G$130&lt;&gt;"acoes")))*INDEX(Inputs!$K$5:$AJ$130,0,MATCH(K$2,Inputs!$K$4:$AJ$4,0)))+SUMPRODUCT((Inputs!$E$5:$E$130=$B54)*Inputs!$F$5:$F$130*(((Inputs!$G$5:$G$130="moeda")+(Inputs!$G$5:$G$130="acoes"))*Inputs!$B$1+((Inputs!$G$5:$G$130&lt;&gt;"moeda")*(Inputs!$G$5:$G$130&lt;&gt;"acoes")))*INDEX(Inputs!$K$5:$AJ$130,0,MATCH(K$2,Inputs!$K$4:$AJ$4,0)))))</f>
        <v>1623</v>
      </c>
      <c r="L54" s="511">
        <f>IF(ISNA(MATCH(L$2,Inputs!$K$4:$AJ$4,0)),NA(),IF(SUMPRODUCT((Inputs!$A$5:$A$130=$B54)*ISNUMBER(INDEX(Inputs!$K$5:$AJ$130,0,MATCH(L$2,Inputs!$K$4:$AJ$4,0))))+SUMPRODUCT((Inputs!$C$5:$C$130=$B54)*ISNUMBER(INDEX(Inputs!$K$5:$AJ$130,0,MATCH(L$2,Inputs!$K$4:$AJ$4,0))))+SUMPRODUCT((Inputs!$E$5:$E$130=$B54)*ISNUMBER(INDEX(Inputs!$K$5:$AJ$130,0,MATCH(L$2,Inputs!$K$4:$AJ$4,0))))=0,NA(),SUMPRODUCT((Inputs!$A$5:$A$130=$B54)*Inputs!$B$5:$B$130*(((Inputs!$G$5:$G$130="moeda")+(Inputs!$G$5:$G$130="acoes"))*Inputs!$B$1+((Inputs!$G$5:$G$130&lt;&gt;"moeda")*(Inputs!$G$5:$G$130&lt;&gt;"acoes")))*INDEX(Inputs!$K$5:$AJ$130,0,MATCH(L$2,Inputs!$K$4:$AJ$4,0)))+SUMPRODUCT((Inputs!$C$5:$C$130=$B54)*Inputs!$D$5:$D$130*(((Inputs!$G$5:$G$130="moeda")+(Inputs!$G$5:$G$130="acoes"))*Inputs!$B$1+((Inputs!$G$5:$G$130&lt;&gt;"moeda")*(Inputs!$G$5:$G$130&lt;&gt;"acoes")))*INDEX(Inputs!$K$5:$AJ$130,0,MATCH(L$2,Inputs!$K$4:$AJ$4,0)))+SUMPRODUCT((Inputs!$E$5:$E$130=$B54)*Inputs!$F$5:$F$130*(((Inputs!$G$5:$G$130="moeda")+(Inputs!$G$5:$G$130="acoes"))*Inputs!$B$1+((Inputs!$G$5:$G$130&lt;&gt;"moeda")*(Inputs!$G$5:$G$130&lt;&gt;"acoes")))*INDEX(Inputs!$K$5:$AJ$130,0,MATCH(L$2,Inputs!$K$4:$AJ$4,0)))))</f>
        <v>2945</v>
      </c>
      <c r="M54" s="512">
        <f>SUM(I54:L54)</f>
        <v>8352</v>
      </c>
      <c r="N54" s="511">
        <f>IF(ISNA(MATCH(N$2,Inputs!$K$4:$AJ$4,0)),NA(),IF(SUMPRODUCT((Inputs!$A$5:$A$130=$B54)*ISNUMBER(INDEX(Inputs!$K$5:$AJ$130,0,MATCH(N$2,Inputs!$K$4:$AJ$4,0))))+SUMPRODUCT((Inputs!$C$5:$C$130=$B54)*ISNUMBER(INDEX(Inputs!$K$5:$AJ$130,0,MATCH(N$2,Inputs!$K$4:$AJ$4,0))))+SUMPRODUCT((Inputs!$E$5:$E$130=$B54)*ISNUMBER(INDEX(Inputs!$K$5:$AJ$130,0,MATCH(N$2,Inputs!$K$4:$AJ$4,0))))=0,NA(),SUMPRODUCT((Inputs!$A$5:$A$130=$B54)*Inputs!$B$5:$B$130*(((Inputs!$G$5:$G$130="moeda")+(Inputs!$G$5:$G$130="acoes"))*Inputs!$B$1+((Inputs!$G$5:$G$130&lt;&gt;"moeda")*(Inputs!$G$5:$G$130&lt;&gt;"acoes")))*INDEX(Inputs!$K$5:$AJ$130,0,MATCH(N$2,Inputs!$K$4:$AJ$4,0)))+SUMPRODUCT((Inputs!$C$5:$C$130=$B54)*Inputs!$D$5:$D$130*(((Inputs!$G$5:$G$130="moeda")+(Inputs!$G$5:$G$130="acoes"))*Inputs!$B$1+((Inputs!$G$5:$G$130&lt;&gt;"moeda")*(Inputs!$G$5:$G$130&lt;&gt;"acoes")))*INDEX(Inputs!$K$5:$AJ$130,0,MATCH(N$2,Inputs!$K$4:$AJ$4,0)))+SUMPRODUCT((Inputs!$E$5:$E$130=$B54)*Inputs!$F$5:$F$130*(((Inputs!$G$5:$G$130="moeda")+(Inputs!$G$5:$G$130="acoes"))*Inputs!$B$1+((Inputs!$G$5:$G$130&lt;&gt;"moeda")*(Inputs!$G$5:$G$130&lt;&gt;"acoes")))*INDEX(Inputs!$K$5:$AJ$130,0,MATCH(N$2,Inputs!$K$4:$AJ$4,0)))))</f>
        <v>2062</v>
      </c>
      <c r="O54" s="511">
        <f>IF(ISNA(MATCH(O$2,Inputs!$K$4:$AJ$4,0)),NA(),IF(SUMPRODUCT((Inputs!$A$5:$A$130=$B54)*ISNUMBER(INDEX(Inputs!$K$5:$AJ$130,0,MATCH(O$2,Inputs!$K$4:$AJ$4,0))))+SUMPRODUCT((Inputs!$C$5:$C$130=$B54)*ISNUMBER(INDEX(Inputs!$K$5:$AJ$130,0,MATCH(O$2,Inputs!$K$4:$AJ$4,0))))+SUMPRODUCT((Inputs!$E$5:$E$130=$B54)*ISNUMBER(INDEX(Inputs!$K$5:$AJ$130,0,MATCH(O$2,Inputs!$K$4:$AJ$4,0))))=0,NA(),SUMPRODUCT((Inputs!$A$5:$A$130=$B54)*Inputs!$B$5:$B$130*(((Inputs!$G$5:$G$130="moeda")+(Inputs!$G$5:$G$130="acoes"))*Inputs!$B$1+((Inputs!$G$5:$G$130&lt;&gt;"moeda")*(Inputs!$G$5:$G$130&lt;&gt;"acoes")))*INDEX(Inputs!$K$5:$AJ$130,0,MATCH(O$2,Inputs!$K$4:$AJ$4,0)))+SUMPRODUCT((Inputs!$C$5:$C$130=$B54)*Inputs!$D$5:$D$130*(((Inputs!$G$5:$G$130="moeda")+(Inputs!$G$5:$G$130="acoes"))*Inputs!$B$1+((Inputs!$G$5:$G$130&lt;&gt;"moeda")*(Inputs!$G$5:$G$130&lt;&gt;"acoes")))*INDEX(Inputs!$K$5:$AJ$130,0,MATCH(O$2,Inputs!$K$4:$AJ$4,0)))+SUMPRODUCT((Inputs!$E$5:$E$130=$B54)*Inputs!$F$5:$F$130*(((Inputs!$G$5:$G$130="moeda")+(Inputs!$G$5:$G$130="acoes"))*Inputs!$B$1+((Inputs!$G$5:$G$130&lt;&gt;"moeda")*(Inputs!$G$5:$G$130&lt;&gt;"acoes")))*INDEX(Inputs!$K$5:$AJ$130,0,MATCH(O$2,Inputs!$K$4:$AJ$4,0)))))</f>
        <v>1533</v>
      </c>
      <c r="P54" s="511">
        <f>IF(ISNA(MATCH(P$2,Inputs!$K$4:$AJ$4,0)),NA(),IF(SUMPRODUCT((Inputs!$A$5:$A$130=$B54)*ISNUMBER(INDEX(Inputs!$K$5:$AJ$130,0,MATCH(P$2,Inputs!$K$4:$AJ$4,0))))+SUMPRODUCT((Inputs!$C$5:$C$130=$B54)*ISNUMBER(INDEX(Inputs!$K$5:$AJ$130,0,MATCH(P$2,Inputs!$K$4:$AJ$4,0))))+SUMPRODUCT((Inputs!$E$5:$E$130=$B54)*ISNUMBER(INDEX(Inputs!$K$5:$AJ$130,0,MATCH(P$2,Inputs!$K$4:$AJ$4,0))))=0,NA(),SUMPRODUCT((Inputs!$A$5:$A$130=$B54)*Inputs!$B$5:$B$130*(((Inputs!$G$5:$G$130="moeda")+(Inputs!$G$5:$G$130="acoes"))*Inputs!$B$1+((Inputs!$G$5:$G$130&lt;&gt;"moeda")*(Inputs!$G$5:$G$130&lt;&gt;"acoes")))*INDEX(Inputs!$K$5:$AJ$130,0,MATCH(P$2,Inputs!$K$4:$AJ$4,0)))+SUMPRODUCT((Inputs!$C$5:$C$130=$B54)*Inputs!$D$5:$D$130*(((Inputs!$G$5:$G$130="moeda")+(Inputs!$G$5:$G$130="acoes"))*Inputs!$B$1+((Inputs!$G$5:$G$130&lt;&gt;"moeda")*(Inputs!$G$5:$G$130&lt;&gt;"acoes")))*INDEX(Inputs!$K$5:$AJ$130,0,MATCH(P$2,Inputs!$K$4:$AJ$4,0)))+SUMPRODUCT((Inputs!$E$5:$E$130=$B54)*Inputs!$F$5:$F$130*(((Inputs!$G$5:$G$130="moeda")+(Inputs!$G$5:$G$130="acoes"))*Inputs!$B$1+((Inputs!$G$5:$G$130&lt;&gt;"moeda")*(Inputs!$G$5:$G$130&lt;&gt;"acoes")))*INDEX(Inputs!$K$5:$AJ$130,0,MATCH(P$2,Inputs!$K$4:$AJ$4,0)))))</f>
        <v>1617</v>
      </c>
      <c r="Q54" s="511">
        <f>IF(ISNA(MATCH(Q$2,Inputs!$K$4:$AJ$4,0)),NA(),IF(SUMPRODUCT((Inputs!$A$5:$A$130=$B54)*ISNUMBER(INDEX(Inputs!$K$5:$AJ$130,0,MATCH(Q$2,Inputs!$K$4:$AJ$4,0))))+SUMPRODUCT((Inputs!$C$5:$C$130=$B54)*ISNUMBER(INDEX(Inputs!$K$5:$AJ$130,0,MATCH(Q$2,Inputs!$K$4:$AJ$4,0))))+SUMPRODUCT((Inputs!$E$5:$E$130=$B54)*ISNUMBER(INDEX(Inputs!$K$5:$AJ$130,0,MATCH(Q$2,Inputs!$K$4:$AJ$4,0))))=0,NA(),SUMPRODUCT((Inputs!$A$5:$A$130=$B54)*Inputs!$B$5:$B$130*(((Inputs!$G$5:$G$130="moeda")+(Inputs!$G$5:$G$130="acoes"))*Inputs!$B$1+((Inputs!$G$5:$G$130&lt;&gt;"moeda")*(Inputs!$G$5:$G$130&lt;&gt;"acoes")))*INDEX(Inputs!$K$5:$AJ$130,0,MATCH(Q$2,Inputs!$K$4:$AJ$4,0)))+SUMPRODUCT((Inputs!$C$5:$C$130=$B54)*Inputs!$D$5:$D$130*(((Inputs!$G$5:$G$130="moeda")+(Inputs!$G$5:$G$130="acoes"))*Inputs!$B$1+((Inputs!$G$5:$G$130&lt;&gt;"moeda")*(Inputs!$G$5:$G$130&lt;&gt;"acoes")))*INDEX(Inputs!$K$5:$AJ$130,0,MATCH(Q$2,Inputs!$K$4:$AJ$4,0)))+SUMPRODUCT((Inputs!$E$5:$E$130=$B54)*Inputs!$F$5:$F$130*(((Inputs!$G$5:$G$130="moeda")+(Inputs!$G$5:$G$130="acoes"))*Inputs!$B$1+((Inputs!$G$5:$G$130&lt;&gt;"moeda")*(Inputs!$G$5:$G$130&lt;&gt;"acoes")))*INDEX(Inputs!$K$5:$AJ$130,0,MATCH(Q$2,Inputs!$K$4:$AJ$4,0)))))</f>
        <v>1263</v>
      </c>
      <c r="R54" s="512">
        <f>SUM(N54:Q54)</f>
        <v>6475</v>
      </c>
      <c r="S54" s="511">
        <f>IF(ISNA(MATCH(S$2,Inputs!$K$4:$AJ$4,0)),NA(),IF(SUMPRODUCT((Inputs!$A$5:$A$130=$B54)*ISNUMBER(INDEX(Inputs!$K$5:$AJ$130,0,MATCH(S$2,Inputs!$K$4:$AJ$4,0))))+SUMPRODUCT((Inputs!$C$5:$C$130=$B54)*ISNUMBER(INDEX(Inputs!$K$5:$AJ$130,0,MATCH(S$2,Inputs!$K$4:$AJ$4,0))))+SUMPRODUCT((Inputs!$E$5:$E$130=$B54)*ISNUMBER(INDEX(Inputs!$K$5:$AJ$130,0,MATCH(S$2,Inputs!$K$4:$AJ$4,0))))=0,NA(),SUMPRODUCT((Inputs!$A$5:$A$130=$B54)*Inputs!$B$5:$B$130*(((Inputs!$G$5:$G$130="moeda")+(Inputs!$G$5:$G$130="acoes"))*Inputs!$B$1+((Inputs!$G$5:$G$130&lt;&gt;"moeda")*(Inputs!$G$5:$G$130&lt;&gt;"acoes")))*INDEX(Inputs!$K$5:$AJ$130,0,MATCH(S$2,Inputs!$K$4:$AJ$4,0)))+SUMPRODUCT((Inputs!$C$5:$C$130=$B54)*Inputs!$D$5:$D$130*(((Inputs!$G$5:$G$130="moeda")+(Inputs!$G$5:$G$130="acoes"))*Inputs!$B$1+((Inputs!$G$5:$G$130&lt;&gt;"moeda")*(Inputs!$G$5:$G$130&lt;&gt;"acoes")))*INDEX(Inputs!$K$5:$AJ$130,0,MATCH(S$2,Inputs!$K$4:$AJ$4,0)))+SUMPRODUCT((Inputs!$E$5:$E$130=$B54)*Inputs!$F$5:$F$130*(((Inputs!$G$5:$G$130="moeda")+(Inputs!$G$5:$G$130="acoes"))*Inputs!$B$1+((Inputs!$G$5:$G$130&lt;&gt;"moeda")*(Inputs!$G$5:$G$130&lt;&gt;"acoes")))*INDEX(Inputs!$K$5:$AJ$130,0,MATCH(S$2,Inputs!$K$4:$AJ$4,0)))))</f>
        <v>1759</v>
      </c>
      <c r="T54" s="511">
        <f>IF(ISNA(MATCH(T$2,Inputs!$K$4:$AJ$4,0)),NA(),IF(SUMPRODUCT((Inputs!$A$5:$A$130=$B54)*ISNUMBER(INDEX(Inputs!$K$5:$AJ$130,0,MATCH(T$2,Inputs!$K$4:$AJ$4,0))))+SUMPRODUCT((Inputs!$C$5:$C$130=$B54)*ISNUMBER(INDEX(Inputs!$K$5:$AJ$130,0,MATCH(T$2,Inputs!$K$4:$AJ$4,0))))+SUMPRODUCT((Inputs!$E$5:$E$130=$B54)*ISNUMBER(INDEX(Inputs!$K$5:$AJ$130,0,MATCH(T$2,Inputs!$K$4:$AJ$4,0))))=0,NA(),SUMPRODUCT((Inputs!$A$5:$A$130=$B54)*Inputs!$B$5:$B$130*(((Inputs!$G$5:$G$130="moeda")+(Inputs!$G$5:$G$130="acoes"))*Inputs!$B$1+((Inputs!$G$5:$G$130&lt;&gt;"moeda")*(Inputs!$G$5:$G$130&lt;&gt;"acoes")))*INDEX(Inputs!$K$5:$AJ$130,0,MATCH(T$2,Inputs!$K$4:$AJ$4,0)))+SUMPRODUCT((Inputs!$C$5:$C$130=$B54)*Inputs!$D$5:$D$130*(((Inputs!$G$5:$G$130="moeda")+(Inputs!$G$5:$G$130="acoes"))*Inputs!$B$1+((Inputs!$G$5:$G$130&lt;&gt;"moeda")*(Inputs!$G$5:$G$130&lt;&gt;"acoes")))*INDEX(Inputs!$K$5:$AJ$130,0,MATCH(T$2,Inputs!$K$4:$AJ$4,0)))+SUMPRODUCT((Inputs!$E$5:$E$130=$B54)*Inputs!$F$5:$F$130*(((Inputs!$G$5:$G$130="moeda")+(Inputs!$G$5:$G$130="acoes"))*Inputs!$B$1+((Inputs!$G$5:$G$130&lt;&gt;"moeda")*(Inputs!$G$5:$G$130&lt;&gt;"acoes")))*INDEX(Inputs!$K$5:$AJ$130,0,MATCH(T$2,Inputs!$K$4:$AJ$4,0)))))</f>
        <v>1590</v>
      </c>
      <c r="U54" s="511">
        <f>IF(ISNA(MATCH(U$2,Inputs!$K$4:$AJ$4,0)),NA(),IF(SUMPRODUCT((Inputs!$A$5:$A$130=$B54)*ISNUMBER(INDEX(Inputs!$K$5:$AJ$130,0,MATCH(U$2,Inputs!$K$4:$AJ$4,0))))+SUMPRODUCT((Inputs!$C$5:$C$130=$B54)*ISNUMBER(INDEX(Inputs!$K$5:$AJ$130,0,MATCH(U$2,Inputs!$K$4:$AJ$4,0))))+SUMPRODUCT((Inputs!$E$5:$E$130=$B54)*ISNUMBER(INDEX(Inputs!$K$5:$AJ$130,0,MATCH(U$2,Inputs!$K$4:$AJ$4,0))))=0,NA(),SUMPRODUCT((Inputs!$A$5:$A$130=$B54)*Inputs!$B$5:$B$130*(((Inputs!$G$5:$G$130="moeda")+(Inputs!$G$5:$G$130="acoes"))*Inputs!$B$1+((Inputs!$G$5:$G$130&lt;&gt;"moeda")*(Inputs!$G$5:$G$130&lt;&gt;"acoes")))*INDEX(Inputs!$K$5:$AJ$130,0,MATCH(U$2,Inputs!$K$4:$AJ$4,0)))+SUMPRODUCT((Inputs!$C$5:$C$130=$B54)*Inputs!$D$5:$D$130*(((Inputs!$G$5:$G$130="moeda")+(Inputs!$G$5:$G$130="acoes"))*Inputs!$B$1+((Inputs!$G$5:$G$130&lt;&gt;"moeda")*(Inputs!$G$5:$G$130&lt;&gt;"acoes")))*INDEX(Inputs!$K$5:$AJ$130,0,MATCH(U$2,Inputs!$K$4:$AJ$4,0)))+SUMPRODUCT((Inputs!$E$5:$E$130=$B54)*Inputs!$F$5:$F$130*(((Inputs!$G$5:$G$130="moeda")+(Inputs!$G$5:$G$130="acoes"))*Inputs!$B$1+((Inputs!$G$5:$G$130&lt;&gt;"moeda")*(Inputs!$G$5:$G$130&lt;&gt;"acoes")))*INDEX(Inputs!$K$5:$AJ$130,0,MATCH(U$2,Inputs!$K$4:$AJ$4,0)))))</f>
        <v>1605</v>
      </c>
      <c r="V54" s="511">
        <f>IF(ISNA(MATCH(V$2,Inputs!$K$4:$AJ$4,0)),NA(),IF(SUMPRODUCT((Inputs!$A$5:$A$130=$B54)*ISNUMBER(INDEX(Inputs!$K$5:$AJ$130,0,MATCH(V$2,Inputs!$K$4:$AJ$4,0))))+SUMPRODUCT((Inputs!$C$5:$C$130=$B54)*ISNUMBER(INDEX(Inputs!$K$5:$AJ$130,0,MATCH(V$2,Inputs!$K$4:$AJ$4,0))))+SUMPRODUCT((Inputs!$E$5:$E$130=$B54)*ISNUMBER(INDEX(Inputs!$K$5:$AJ$130,0,MATCH(V$2,Inputs!$K$4:$AJ$4,0))))=0,NA(),SUMPRODUCT((Inputs!$A$5:$A$130=$B54)*Inputs!$B$5:$B$130*(((Inputs!$G$5:$G$130="moeda")+(Inputs!$G$5:$G$130="acoes"))*Inputs!$B$1+((Inputs!$G$5:$G$130&lt;&gt;"moeda")*(Inputs!$G$5:$G$130&lt;&gt;"acoes")))*INDEX(Inputs!$K$5:$AJ$130,0,MATCH(V$2,Inputs!$K$4:$AJ$4,0)))+SUMPRODUCT((Inputs!$C$5:$C$130=$B54)*Inputs!$D$5:$D$130*(((Inputs!$G$5:$G$130="moeda")+(Inputs!$G$5:$G$130="acoes"))*Inputs!$B$1+((Inputs!$G$5:$G$130&lt;&gt;"moeda")*(Inputs!$G$5:$G$130&lt;&gt;"acoes")))*INDEX(Inputs!$K$5:$AJ$130,0,MATCH(V$2,Inputs!$K$4:$AJ$4,0)))+SUMPRODUCT((Inputs!$E$5:$E$130=$B54)*Inputs!$F$5:$F$130*(((Inputs!$G$5:$G$130="moeda")+(Inputs!$G$5:$G$130="acoes"))*Inputs!$B$1+((Inputs!$G$5:$G$130&lt;&gt;"moeda")*(Inputs!$G$5:$G$130&lt;&gt;"acoes")))*INDEX(Inputs!$K$5:$AJ$130,0,MATCH(V$2,Inputs!$K$4:$AJ$4,0)))))</f>
        <v>1652</v>
      </c>
      <c r="W54" s="512">
        <f>SUM(S54:V54)</f>
        <v>6606</v>
      </c>
      <c r="X54" s="511">
        <f>IF(ISNA(MATCH(X$2,Inputs!$K$4:$AJ$4,0)),NA(),IF(SUMPRODUCT((Inputs!$A$5:$A$130=$B54)*ISNUMBER(INDEX(Inputs!$K$5:$AJ$130,0,MATCH(X$2,Inputs!$K$4:$AJ$4,0))))+SUMPRODUCT((Inputs!$C$5:$C$130=$B54)*ISNUMBER(INDEX(Inputs!$K$5:$AJ$130,0,MATCH(X$2,Inputs!$K$4:$AJ$4,0))))+SUMPRODUCT((Inputs!$E$5:$E$130=$B54)*ISNUMBER(INDEX(Inputs!$K$5:$AJ$130,0,MATCH(X$2,Inputs!$K$4:$AJ$4,0))))=0,NA(),SUMPRODUCT((Inputs!$A$5:$A$130=$B54)*Inputs!$B$5:$B$130*(((Inputs!$G$5:$G$130="moeda")+(Inputs!$G$5:$G$130="acoes"))*Inputs!$B$1+((Inputs!$G$5:$G$130&lt;&gt;"moeda")*(Inputs!$G$5:$G$130&lt;&gt;"acoes")))*INDEX(Inputs!$K$5:$AJ$130,0,MATCH(X$2,Inputs!$K$4:$AJ$4,0)))+SUMPRODUCT((Inputs!$C$5:$C$130=$B54)*Inputs!$D$5:$D$130*(((Inputs!$G$5:$G$130="moeda")+(Inputs!$G$5:$G$130="acoes"))*Inputs!$B$1+((Inputs!$G$5:$G$130&lt;&gt;"moeda")*(Inputs!$G$5:$G$130&lt;&gt;"acoes")))*INDEX(Inputs!$K$5:$AJ$130,0,MATCH(X$2,Inputs!$K$4:$AJ$4,0)))+SUMPRODUCT((Inputs!$E$5:$E$130=$B54)*Inputs!$F$5:$F$130*(((Inputs!$G$5:$G$130="moeda")+(Inputs!$G$5:$G$130="acoes"))*Inputs!$B$1+((Inputs!$G$5:$G$130&lt;&gt;"moeda")*(Inputs!$G$5:$G$130&lt;&gt;"acoes")))*INDEX(Inputs!$K$5:$AJ$130,0,MATCH(X$2,Inputs!$K$4:$AJ$4,0)))))</f>
        <v>1510</v>
      </c>
      <c r="Y54" s="511">
        <f>IF(ISNA(MATCH(Y$2,Inputs!$K$4:$AJ$4,0)),NA(),IF(SUMPRODUCT((Inputs!$A$5:$A$130=$B54)*ISNUMBER(INDEX(Inputs!$K$5:$AJ$130,0,MATCH(Y$2,Inputs!$K$4:$AJ$4,0))))+SUMPRODUCT((Inputs!$C$5:$C$130=$B54)*ISNUMBER(INDEX(Inputs!$K$5:$AJ$130,0,MATCH(Y$2,Inputs!$K$4:$AJ$4,0))))+SUMPRODUCT((Inputs!$E$5:$E$130=$B54)*ISNUMBER(INDEX(Inputs!$K$5:$AJ$130,0,MATCH(Y$2,Inputs!$K$4:$AJ$4,0))))=0,NA(),SUMPRODUCT((Inputs!$A$5:$A$130=$B54)*Inputs!$B$5:$B$130*(((Inputs!$G$5:$G$130="moeda")+(Inputs!$G$5:$G$130="acoes"))*Inputs!$B$1+((Inputs!$G$5:$G$130&lt;&gt;"moeda")*(Inputs!$G$5:$G$130&lt;&gt;"acoes")))*INDEX(Inputs!$K$5:$AJ$130,0,MATCH(Y$2,Inputs!$K$4:$AJ$4,0)))+SUMPRODUCT((Inputs!$C$5:$C$130=$B54)*Inputs!$D$5:$D$130*(((Inputs!$G$5:$G$130="moeda")+(Inputs!$G$5:$G$130="acoes"))*Inputs!$B$1+((Inputs!$G$5:$G$130&lt;&gt;"moeda")*(Inputs!$G$5:$G$130&lt;&gt;"acoes")))*INDEX(Inputs!$K$5:$AJ$130,0,MATCH(Y$2,Inputs!$K$4:$AJ$4,0)))+SUMPRODUCT((Inputs!$E$5:$E$130=$B54)*Inputs!$F$5:$F$130*(((Inputs!$G$5:$G$130="moeda")+(Inputs!$G$5:$G$130="acoes"))*Inputs!$B$1+((Inputs!$G$5:$G$130&lt;&gt;"moeda")*(Inputs!$G$5:$G$130&lt;&gt;"acoes")))*INDEX(Inputs!$K$5:$AJ$130,0,MATCH(Y$2,Inputs!$K$4:$AJ$4,0)))))</f>
        <v>1193</v>
      </c>
      <c r="Z54" s="511">
        <f>IF(ISNA(MATCH(Z$2,Inputs!$K$4:$AJ$4,0)),NA(),IF(SUMPRODUCT((Inputs!$A$5:$A$130=$B54)*ISNUMBER(INDEX(Inputs!$K$5:$AJ$130,0,MATCH(Z$2,Inputs!$K$4:$AJ$4,0))))+SUMPRODUCT((Inputs!$C$5:$C$130=$B54)*ISNUMBER(INDEX(Inputs!$K$5:$AJ$130,0,MATCH(Z$2,Inputs!$K$4:$AJ$4,0))))+SUMPRODUCT((Inputs!$E$5:$E$130=$B54)*ISNUMBER(INDEX(Inputs!$K$5:$AJ$130,0,MATCH(Z$2,Inputs!$K$4:$AJ$4,0))))=0,NA(),SUMPRODUCT((Inputs!$A$5:$A$130=$B54)*Inputs!$B$5:$B$130*(((Inputs!$G$5:$G$130="moeda")+(Inputs!$G$5:$G$130="acoes"))*Inputs!$B$1+((Inputs!$G$5:$G$130&lt;&gt;"moeda")*(Inputs!$G$5:$G$130&lt;&gt;"acoes")))*INDEX(Inputs!$K$5:$AJ$130,0,MATCH(Z$2,Inputs!$K$4:$AJ$4,0)))+SUMPRODUCT((Inputs!$C$5:$C$130=$B54)*Inputs!$D$5:$D$130*(((Inputs!$G$5:$G$130="moeda")+(Inputs!$G$5:$G$130="acoes"))*Inputs!$B$1+((Inputs!$G$5:$G$130&lt;&gt;"moeda")*(Inputs!$G$5:$G$130&lt;&gt;"acoes")))*INDEX(Inputs!$K$5:$AJ$130,0,MATCH(Z$2,Inputs!$K$4:$AJ$4,0)))+SUMPRODUCT((Inputs!$E$5:$E$130=$B54)*Inputs!$F$5:$F$130*(((Inputs!$G$5:$G$130="moeda")+(Inputs!$G$5:$G$130="acoes"))*Inputs!$B$1+((Inputs!$G$5:$G$130&lt;&gt;"moeda")*(Inputs!$G$5:$G$130&lt;&gt;"acoes")))*INDEX(Inputs!$K$5:$AJ$130,0,MATCH(Z$2,Inputs!$K$4:$AJ$4,0)))))</f>
        <v>844</v>
      </c>
      <c r="AA54" s="511">
        <f>IF(ISNA(MATCH(AA$2,Inputs!$K$4:$AJ$4,0)),NA(),IF(SUMPRODUCT((Inputs!$A$5:$A$130=$B54)*ISNUMBER(INDEX(Inputs!$K$5:$AJ$130,0,MATCH(AA$2,Inputs!$K$4:$AJ$4,0))))+SUMPRODUCT((Inputs!$C$5:$C$130=$B54)*ISNUMBER(INDEX(Inputs!$K$5:$AJ$130,0,MATCH(AA$2,Inputs!$K$4:$AJ$4,0))))+SUMPRODUCT((Inputs!$E$5:$E$130=$B54)*ISNUMBER(INDEX(Inputs!$K$5:$AJ$130,0,MATCH(AA$2,Inputs!$K$4:$AJ$4,0))))=0,NA(),SUMPRODUCT((Inputs!$A$5:$A$130=$B54)*Inputs!$B$5:$B$130*(((Inputs!$G$5:$G$130="moeda")+(Inputs!$G$5:$G$130="acoes"))*Inputs!$B$1+((Inputs!$G$5:$G$130&lt;&gt;"moeda")*(Inputs!$G$5:$G$130&lt;&gt;"acoes")))*INDEX(Inputs!$K$5:$AJ$130,0,MATCH(AA$2,Inputs!$K$4:$AJ$4,0)))+SUMPRODUCT((Inputs!$C$5:$C$130=$B54)*Inputs!$D$5:$D$130*(((Inputs!$G$5:$G$130="moeda")+(Inputs!$G$5:$G$130="acoes"))*Inputs!$B$1+((Inputs!$G$5:$G$130&lt;&gt;"moeda")*(Inputs!$G$5:$G$130&lt;&gt;"acoes")))*INDEX(Inputs!$K$5:$AJ$130,0,MATCH(AA$2,Inputs!$K$4:$AJ$4,0)))+SUMPRODUCT((Inputs!$E$5:$E$130=$B54)*Inputs!$F$5:$F$130*(((Inputs!$G$5:$G$130="moeda")+(Inputs!$G$5:$G$130="acoes"))*Inputs!$B$1+((Inputs!$G$5:$G$130&lt;&gt;"moeda")*(Inputs!$G$5:$G$130&lt;&gt;"acoes")))*INDEX(Inputs!$K$5:$AJ$130,0,MATCH(AA$2,Inputs!$K$4:$AJ$4,0)))))</f>
        <v>1559</v>
      </c>
      <c r="AB54" s="512">
        <f>SUM(X54:AA54)</f>
        <v>5106</v>
      </c>
      <c r="AC54" s="511">
        <f>IF(ISNA(MATCH(AC$2,Inputs!$K$4:$AJ$4,0)),NA(),IF(SUMPRODUCT((Inputs!$A$5:$A$130=$B54)*ISNUMBER(INDEX(Inputs!$K$5:$AJ$130,0,MATCH(AC$2,Inputs!$K$4:$AJ$4,0))))+SUMPRODUCT((Inputs!$C$5:$C$130=$B54)*ISNUMBER(INDEX(Inputs!$K$5:$AJ$130,0,MATCH(AC$2,Inputs!$K$4:$AJ$4,0))))+SUMPRODUCT((Inputs!$E$5:$E$130=$B54)*ISNUMBER(INDEX(Inputs!$K$5:$AJ$130,0,MATCH(AC$2,Inputs!$K$4:$AJ$4,0))))=0,NA(),SUMPRODUCT((Inputs!$A$5:$A$130=$B54)*Inputs!$B$5:$B$130*(((Inputs!$G$5:$G$130="moeda")+(Inputs!$G$5:$G$130="acoes"))*Inputs!$B$1+((Inputs!$G$5:$G$130&lt;&gt;"moeda")*(Inputs!$G$5:$G$130&lt;&gt;"acoes")))*INDEX(Inputs!$K$5:$AJ$130,0,MATCH(AC$2,Inputs!$K$4:$AJ$4,0)))+SUMPRODUCT((Inputs!$C$5:$C$130=$B54)*Inputs!$D$5:$D$130*(((Inputs!$G$5:$G$130="moeda")+(Inputs!$G$5:$G$130="acoes"))*Inputs!$B$1+((Inputs!$G$5:$G$130&lt;&gt;"moeda")*(Inputs!$G$5:$G$130&lt;&gt;"acoes")))*INDEX(Inputs!$K$5:$AJ$130,0,MATCH(AC$2,Inputs!$K$4:$AJ$4,0)))+SUMPRODUCT((Inputs!$E$5:$E$130=$B54)*Inputs!$F$5:$F$130*(((Inputs!$G$5:$G$130="moeda")+(Inputs!$G$5:$G$130="acoes"))*Inputs!$B$1+((Inputs!$G$5:$G$130&lt;&gt;"moeda")*(Inputs!$G$5:$G$130&lt;&gt;"acoes")))*INDEX(Inputs!$K$5:$AJ$130,0,MATCH(AC$2,Inputs!$K$4:$AJ$4,0)))))</f>
        <v>1400</v>
      </c>
      <c r="AD54" s="511">
        <f>IF(ISNA(MATCH(AD$2,Inputs!$K$4:$AJ$4,0)),NA(),IF(SUMPRODUCT((Inputs!$A$5:$A$130=$B54)*ISNUMBER(INDEX(Inputs!$K$5:$AJ$130,0,MATCH(AD$2,Inputs!$K$4:$AJ$4,0))))+SUMPRODUCT((Inputs!$C$5:$C$130=$B54)*ISNUMBER(INDEX(Inputs!$K$5:$AJ$130,0,MATCH(AD$2,Inputs!$K$4:$AJ$4,0))))+SUMPRODUCT((Inputs!$E$5:$E$130=$B54)*ISNUMBER(INDEX(Inputs!$K$5:$AJ$130,0,MATCH(AD$2,Inputs!$K$4:$AJ$4,0))))=0,NA(),SUMPRODUCT((Inputs!$A$5:$A$130=$B54)*Inputs!$B$5:$B$130*(((Inputs!$G$5:$G$130="moeda")+(Inputs!$G$5:$G$130="acoes"))*Inputs!$B$1+((Inputs!$G$5:$G$130&lt;&gt;"moeda")*(Inputs!$G$5:$G$130&lt;&gt;"acoes")))*INDEX(Inputs!$K$5:$AJ$130,0,MATCH(AD$2,Inputs!$K$4:$AJ$4,0)))+SUMPRODUCT((Inputs!$C$5:$C$130=$B54)*Inputs!$D$5:$D$130*(((Inputs!$G$5:$G$130="moeda")+(Inputs!$G$5:$G$130="acoes"))*Inputs!$B$1+((Inputs!$G$5:$G$130&lt;&gt;"moeda")*(Inputs!$G$5:$G$130&lt;&gt;"acoes")))*INDEX(Inputs!$K$5:$AJ$130,0,MATCH(AD$2,Inputs!$K$4:$AJ$4,0)))+SUMPRODUCT((Inputs!$E$5:$E$130=$B54)*Inputs!$F$5:$F$130*(((Inputs!$G$5:$G$130="moeda")+(Inputs!$G$5:$G$130="acoes"))*Inputs!$B$1+((Inputs!$G$5:$G$130&lt;&gt;"moeda")*(Inputs!$G$5:$G$130&lt;&gt;"acoes")))*INDEX(Inputs!$K$5:$AJ$130,0,MATCH(AD$2,Inputs!$K$4:$AJ$4,0)))))</f>
        <v>1800</v>
      </c>
      <c r="AE54" s="511" t="e">
        <f>IF(ISNA(MATCH(AE$2,Inputs!$K$4:$AJ$4,0)),NA(),IF(SUMPRODUCT((Inputs!$A$5:$A$130=$B54)*ISNUMBER(INDEX(Inputs!$K$5:$AJ$130,0,MATCH(AE$2,Inputs!$K$4:$AJ$4,0))))+SUMPRODUCT((Inputs!$C$5:$C$130=$B54)*ISNUMBER(INDEX(Inputs!$K$5:$AJ$130,0,MATCH(AE$2,Inputs!$K$4:$AJ$4,0))))+SUMPRODUCT((Inputs!$E$5:$E$130=$B54)*ISNUMBER(INDEX(Inputs!$K$5:$AJ$130,0,MATCH(AE$2,Inputs!$K$4:$AJ$4,0))))=0,NA(),SUMPRODUCT((Inputs!$A$5:$A$130=$B54)*Inputs!$B$5:$B$130*(((Inputs!$G$5:$G$130="moeda")+(Inputs!$G$5:$G$130="acoes"))*Inputs!$B$1+((Inputs!$G$5:$G$130&lt;&gt;"moeda")*(Inputs!$G$5:$G$130&lt;&gt;"acoes")))*INDEX(Inputs!$K$5:$AJ$130,0,MATCH(AE$2,Inputs!$K$4:$AJ$4,0)))+SUMPRODUCT((Inputs!$C$5:$C$130=$B54)*Inputs!$D$5:$D$130*(((Inputs!$G$5:$G$130="moeda")+(Inputs!$G$5:$G$130="acoes"))*Inputs!$B$1+((Inputs!$G$5:$G$130&lt;&gt;"moeda")*(Inputs!$G$5:$G$130&lt;&gt;"acoes")))*INDEX(Inputs!$K$5:$AJ$130,0,MATCH(AE$2,Inputs!$K$4:$AJ$4,0)))+SUMPRODUCT((Inputs!$E$5:$E$130=$B54)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4" s="511" t="e">
        <f>IF(ISNA(MATCH(AF$2,Inputs!$K$4:$AJ$4,0)),NA(),IF(SUMPRODUCT((Inputs!$A$5:$A$130=$B54)*ISNUMBER(INDEX(Inputs!$K$5:$AJ$130,0,MATCH(AF$2,Inputs!$K$4:$AJ$4,0))))+SUMPRODUCT((Inputs!$C$5:$C$130=$B54)*ISNUMBER(INDEX(Inputs!$K$5:$AJ$130,0,MATCH(AF$2,Inputs!$K$4:$AJ$4,0))))+SUMPRODUCT((Inputs!$E$5:$E$130=$B54)*ISNUMBER(INDEX(Inputs!$K$5:$AJ$130,0,MATCH(AF$2,Inputs!$K$4:$AJ$4,0))))=0,NA(),SUMPRODUCT((Inputs!$A$5:$A$130=$B54)*Inputs!$B$5:$B$130*(((Inputs!$G$5:$G$130="moeda")+(Inputs!$G$5:$G$130="acoes"))*Inputs!$B$1+((Inputs!$G$5:$G$130&lt;&gt;"moeda")*(Inputs!$G$5:$G$130&lt;&gt;"acoes")))*INDEX(Inputs!$K$5:$AJ$130,0,MATCH(AF$2,Inputs!$K$4:$AJ$4,0)))+SUMPRODUCT((Inputs!$C$5:$C$130=$B54)*Inputs!$D$5:$D$130*(((Inputs!$G$5:$G$130="moeda")+(Inputs!$G$5:$G$130="acoes"))*Inputs!$B$1+((Inputs!$G$5:$G$130&lt;&gt;"moeda")*(Inputs!$G$5:$G$130&lt;&gt;"acoes")))*INDEX(Inputs!$K$5:$AJ$130,0,MATCH(AF$2,Inputs!$K$4:$AJ$4,0)))+SUMPRODUCT((Inputs!$E$5:$E$130=$B54)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4" s="512" t="e">
        <f>SUM(AC54:AF54)</f>
        <v>#N/A</v>
      </c>
      <c r="AH54" s="511" t="e">
        <f>IF(ISNA(MATCH(AH$2,Inputs!$K$4:$AJ$4,0)),NA(),IF(SUMPRODUCT((Inputs!$A$5:$A$130=$B54)*ISNUMBER(INDEX(Inputs!$K$5:$AJ$130,0,MATCH(AH$2,Inputs!$K$4:$AJ$4,0))))+SUMPRODUCT((Inputs!$C$5:$C$130=$B54)*ISNUMBER(INDEX(Inputs!$K$5:$AJ$130,0,MATCH(AH$2,Inputs!$K$4:$AJ$4,0))))+SUMPRODUCT((Inputs!$E$5:$E$130=$B54)*ISNUMBER(INDEX(Inputs!$K$5:$AJ$130,0,MATCH(AH$2,Inputs!$K$4:$AJ$4,0))))=0,NA(),SUMPRODUCT((Inputs!$A$5:$A$130=$B54)*Inputs!$B$5:$B$130*(((Inputs!$G$5:$G$130="moeda")+(Inputs!$G$5:$G$130="acoes"))*Inputs!$B$1+((Inputs!$G$5:$G$130&lt;&gt;"moeda")*(Inputs!$G$5:$G$130&lt;&gt;"acoes")))*INDEX(Inputs!$K$5:$AJ$130,0,MATCH(AH$2,Inputs!$K$4:$AJ$4,0)))+SUMPRODUCT((Inputs!$C$5:$C$130=$B54)*Inputs!$D$5:$D$130*(((Inputs!$G$5:$G$130="moeda")+(Inputs!$G$5:$G$130="acoes"))*Inputs!$B$1+((Inputs!$G$5:$G$130&lt;&gt;"moeda")*(Inputs!$G$5:$G$130&lt;&gt;"acoes")))*INDEX(Inputs!$K$5:$AJ$130,0,MATCH(AH$2,Inputs!$K$4:$AJ$4,0)))+SUMPRODUCT((Inputs!$E$5:$E$130=$B54)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54" s="511" t="e">
        <f>IF(ISNA(MATCH(AI$2,Inputs!$K$4:$AJ$4,0)),NA(),IF(SUMPRODUCT((Inputs!$A$5:$A$130=$B54)*ISNUMBER(INDEX(Inputs!$K$5:$AJ$130,0,MATCH(AI$2,Inputs!$K$4:$AJ$4,0))))+SUMPRODUCT((Inputs!$C$5:$C$130=$B54)*ISNUMBER(INDEX(Inputs!$K$5:$AJ$130,0,MATCH(AI$2,Inputs!$K$4:$AJ$4,0))))+SUMPRODUCT((Inputs!$E$5:$E$130=$B54)*ISNUMBER(INDEX(Inputs!$K$5:$AJ$130,0,MATCH(AI$2,Inputs!$K$4:$AJ$4,0))))=0,NA(),SUMPRODUCT((Inputs!$A$5:$A$130=$B54)*Inputs!$B$5:$B$130*(((Inputs!$G$5:$G$130="moeda")+(Inputs!$G$5:$G$130="acoes"))*Inputs!$B$1+((Inputs!$G$5:$G$130&lt;&gt;"moeda")*(Inputs!$G$5:$G$130&lt;&gt;"acoes")))*INDEX(Inputs!$K$5:$AJ$130,0,MATCH(AI$2,Inputs!$K$4:$AJ$4,0)))+SUMPRODUCT((Inputs!$C$5:$C$130=$B54)*Inputs!$D$5:$D$130*(((Inputs!$G$5:$G$130="moeda")+(Inputs!$G$5:$G$130="acoes"))*Inputs!$B$1+((Inputs!$G$5:$G$130&lt;&gt;"moeda")*(Inputs!$G$5:$G$130&lt;&gt;"acoes")))*INDEX(Inputs!$K$5:$AJ$130,0,MATCH(AI$2,Inputs!$K$4:$AJ$4,0)))+SUMPRODUCT((Inputs!$E$5:$E$130=$B54)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54" s="511" t="e">
        <f>IF(ISNA(MATCH(AJ$2,Inputs!$K$4:$AJ$4,0)),NA(),IF(SUMPRODUCT((Inputs!$A$5:$A$130=$B54)*ISNUMBER(INDEX(Inputs!$K$5:$AJ$130,0,MATCH(AJ$2,Inputs!$K$4:$AJ$4,0))))+SUMPRODUCT((Inputs!$C$5:$C$130=$B54)*ISNUMBER(INDEX(Inputs!$K$5:$AJ$130,0,MATCH(AJ$2,Inputs!$K$4:$AJ$4,0))))+SUMPRODUCT((Inputs!$E$5:$E$130=$B54)*ISNUMBER(INDEX(Inputs!$K$5:$AJ$130,0,MATCH(AJ$2,Inputs!$K$4:$AJ$4,0))))=0,NA(),SUMPRODUCT((Inputs!$A$5:$A$130=$B54)*Inputs!$B$5:$B$130*(((Inputs!$G$5:$G$130="moeda")+(Inputs!$G$5:$G$130="acoes"))*Inputs!$B$1+((Inputs!$G$5:$G$130&lt;&gt;"moeda")*(Inputs!$G$5:$G$130&lt;&gt;"acoes")))*INDEX(Inputs!$K$5:$AJ$130,0,MATCH(AJ$2,Inputs!$K$4:$AJ$4,0)))+SUMPRODUCT((Inputs!$C$5:$C$130=$B54)*Inputs!$D$5:$D$130*(((Inputs!$G$5:$G$130="moeda")+(Inputs!$G$5:$G$130="acoes"))*Inputs!$B$1+((Inputs!$G$5:$G$130&lt;&gt;"moeda")*(Inputs!$G$5:$G$130&lt;&gt;"acoes")))*INDEX(Inputs!$K$5:$AJ$130,0,MATCH(AJ$2,Inputs!$K$4:$AJ$4,0)))+SUMPRODUCT((Inputs!$E$5:$E$130=$B54)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54" s="511" t="e">
        <f>IF(ISNA(MATCH(AK$2,Inputs!$K$4:$AJ$4,0)),NA(),IF(SUMPRODUCT((Inputs!$A$5:$A$130=$B54)*ISNUMBER(INDEX(Inputs!$K$5:$AJ$130,0,MATCH(AK$2,Inputs!$K$4:$AJ$4,0))))+SUMPRODUCT((Inputs!$C$5:$C$130=$B54)*ISNUMBER(INDEX(Inputs!$K$5:$AJ$130,0,MATCH(AK$2,Inputs!$K$4:$AJ$4,0))))+SUMPRODUCT((Inputs!$E$5:$E$130=$B54)*ISNUMBER(INDEX(Inputs!$K$5:$AJ$130,0,MATCH(AK$2,Inputs!$K$4:$AJ$4,0))))=0,NA(),SUMPRODUCT((Inputs!$A$5:$A$130=$B54)*Inputs!$B$5:$B$130*(((Inputs!$G$5:$G$130="moeda")+(Inputs!$G$5:$G$130="acoes"))*Inputs!$B$1+((Inputs!$G$5:$G$130&lt;&gt;"moeda")*(Inputs!$G$5:$G$130&lt;&gt;"acoes")))*INDEX(Inputs!$K$5:$AJ$130,0,MATCH(AK$2,Inputs!$K$4:$AJ$4,0)))+SUMPRODUCT((Inputs!$C$5:$C$130=$B54)*Inputs!$D$5:$D$130*(((Inputs!$G$5:$G$130="moeda")+(Inputs!$G$5:$G$130="acoes"))*Inputs!$B$1+((Inputs!$G$5:$G$130&lt;&gt;"moeda")*(Inputs!$G$5:$G$130&lt;&gt;"acoes")))*INDEX(Inputs!$K$5:$AJ$130,0,MATCH(AK$2,Inputs!$K$4:$AJ$4,0)))+SUMPRODUCT((Inputs!$E$5:$E$130=$B54)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54" s="512" t="e">
        <f>SUM(AH54:AK54)</f>
        <v>#N/A</v>
      </c>
    </row>
    <row r="55">
      <c r="B55" s="263" t="n">
        <v>47</v>
      </c>
      <c r="C55" s="264" t="inlineStr">
        <is>
          <t>Marketing - receita de terceiros (USD mi)</t>
        </is>
      </c>
      <c r="D55" s="511">
        <f>IF(ISNA(MATCH(D$2,Inputs!$K$4:$AJ$4,0)),NA(),IF(SUMPRODUCT((Inputs!$A$5:$A$130=$B55)*ISNUMBER(INDEX(Inputs!$K$5:$AJ$130,0,MATCH(D$2,Inputs!$K$4:$AJ$4,0))))+SUMPRODUCT((Inputs!$C$5:$C$130=$B55)*ISNUMBER(INDEX(Inputs!$K$5:$AJ$130,0,MATCH(D$2,Inputs!$K$4:$AJ$4,0))))+SUMPRODUCT((Inputs!$E$5:$E$130=$B55)*ISNUMBER(INDEX(Inputs!$K$5:$AJ$130,0,MATCH(D$2,Inputs!$K$4:$AJ$4,0))))=0,NA(),SUMPRODUCT((Inputs!$A$5:$A$130=$B55)*Inputs!$B$5:$B$130*(((Inputs!$G$5:$G$130="moeda")+(Inputs!$G$5:$G$130="acoes"))*Inputs!$B$1+((Inputs!$G$5:$G$130&lt;&gt;"moeda")*(Inputs!$G$5:$G$130&lt;&gt;"acoes")))*INDEX(Inputs!$K$5:$AJ$130,0,MATCH(D$2,Inputs!$K$4:$AJ$4,0)))+SUMPRODUCT((Inputs!$C$5:$C$130=$B55)*Inputs!$D$5:$D$130*(((Inputs!$G$5:$G$130="moeda")+(Inputs!$G$5:$G$130="acoes"))*Inputs!$B$1+((Inputs!$G$5:$G$130&lt;&gt;"moeda")*(Inputs!$G$5:$G$130&lt;&gt;"acoes")))*INDEX(Inputs!$K$5:$AJ$130,0,MATCH(D$2,Inputs!$K$4:$AJ$4,0)))+SUMPRODUCT((Inputs!$E$5:$E$130=$B55)*Inputs!$F$5:$F$130*(((Inputs!$G$5:$G$130="moeda")+(Inputs!$G$5:$G$130="acoes"))*Inputs!$B$1+((Inputs!$G$5:$G$130&lt;&gt;"moeda")*(Inputs!$G$5:$G$130&lt;&gt;"acoes")))*INDEX(Inputs!$K$5:$AJ$130,0,MATCH(D$2,Inputs!$K$4:$AJ$4,0)))))</f>
        <v>20111</v>
      </c>
      <c r="E55" s="511">
        <f>IF(ISNA(MATCH(E$2,Inputs!$K$4:$AJ$4,0)),NA(),IF(SUMPRODUCT((Inputs!$A$5:$A$130=$B55)*ISNUMBER(INDEX(Inputs!$K$5:$AJ$130,0,MATCH(E$2,Inputs!$K$4:$AJ$4,0))))+SUMPRODUCT((Inputs!$C$5:$C$130=$B55)*ISNUMBER(INDEX(Inputs!$K$5:$AJ$130,0,MATCH(E$2,Inputs!$K$4:$AJ$4,0))))+SUMPRODUCT((Inputs!$E$5:$E$130=$B55)*ISNUMBER(INDEX(Inputs!$K$5:$AJ$130,0,MATCH(E$2,Inputs!$K$4:$AJ$4,0))))=0,NA(),SUMPRODUCT((Inputs!$A$5:$A$130=$B55)*Inputs!$B$5:$B$130*(((Inputs!$G$5:$G$130="moeda")+(Inputs!$G$5:$G$130="acoes"))*Inputs!$B$1+((Inputs!$G$5:$G$130&lt;&gt;"moeda")*(Inputs!$G$5:$G$130&lt;&gt;"acoes")))*INDEX(Inputs!$K$5:$AJ$130,0,MATCH(E$2,Inputs!$K$4:$AJ$4,0)))+SUMPRODUCT((Inputs!$C$5:$C$130=$B55)*Inputs!$D$5:$D$130*(((Inputs!$G$5:$G$130="moeda")+(Inputs!$G$5:$G$130="acoes"))*Inputs!$B$1+((Inputs!$G$5:$G$130&lt;&gt;"moeda")*(Inputs!$G$5:$G$130&lt;&gt;"acoes")))*INDEX(Inputs!$K$5:$AJ$130,0,MATCH(E$2,Inputs!$K$4:$AJ$4,0)))+SUMPRODUCT((Inputs!$E$5:$E$130=$B55)*Inputs!$F$5:$F$130*(((Inputs!$G$5:$G$130="moeda")+(Inputs!$G$5:$G$130="acoes"))*Inputs!$B$1+((Inputs!$G$5:$G$130&lt;&gt;"moeda")*(Inputs!$G$5:$G$130&lt;&gt;"acoes")))*INDEX(Inputs!$K$5:$AJ$130,0,MATCH(E$2,Inputs!$K$4:$AJ$4,0)))))</f>
        <v>24745</v>
      </c>
      <c r="F55" s="511">
        <f>IF(ISNA(MATCH(F$2,Inputs!$K$4:$AJ$4,0)),NA(),IF(SUMPRODUCT((Inputs!$A$5:$A$130=$B55)*ISNUMBER(INDEX(Inputs!$K$5:$AJ$130,0,MATCH(F$2,Inputs!$K$4:$AJ$4,0))))+SUMPRODUCT((Inputs!$C$5:$C$130=$B55)*ISNUMBER(INDEX(Inputs!$K$5:$AJ$130,0,MATCH(F$2,Inputs!$K$4:$AJ$4,0))))+SUMPRODUCT((Inputs!$E$5:$E$130=$B55)*ISNUMBER(INDEX(Inputs!$K$5:$AJ$130,0,MATCH(F$2,Inputs!$K$4:$AJ$4,0))))=0,NA(),SUMPRODUCT((Inputs!$A$5:$A$130=$B55)*Inputs!$B$5:$B$130*(((Inputs!$G$5:$G$130="moeda")+(Inputs!$G$5:$G$130="acoes"))*Inputs!$B$1+((Inputs!$G$5:$G$130&lt;&gt;"moeda")*(Inputs!$G$5:$G$130&lt;&gt;"acoes")))*INDEX(Inputs!$K$5:$AJ$130,0,MATCH(F$2,Inputs!$K$4:$AJ$4,0)))+SUMPRODUCT((Inputs!$C$5:$C$130=$B55)*Inputs!$D$5:$D$130*(((Inputs!$G$5:$G$130="moeda")+(Inputs!$G$5:$G$130="acoes"))*Inputs!$B$1+((Inputs!$G$5:$G$130&lt;&gt;"moeda")*(Inputs!$G$5:$G$130&lt;&gt;"acoes")))*INDEX(Inputs!$K$5:$AJ$130,0,MATCH(F$2,Inputs!$K$4:$AJ$4,0)))+SUMPRODUCT((Inputs!$E$5:$E$130=$B55)*Inputs!$F$5:$F$130*(((Inputs!$G$5:$G$130="moeda")+(Inputs!$G$5:$G$130="acoes"))*Inputs!$B$1+((Inputs!$G$5:$G$130&lt;&gt;"moeda")*(Inputs!$G$5:$G$130&lt;&gt;"acoes")))*INDEX(Inputs!$K$5:$AJ$130,0,MATCH(F$2,Inputs!$K$4:$AJ$4,0)))))</f>
        <v>27470</v>
      </c>
      <c r="G55" s="511">
        <f>IF(ISNA(MATCH(G$2,Inputs!$K$4:$AJ$4,0)),NA(),IF(SUMPRODUCT((Inputs!$A$5:$A$130=$B55)*ISNUMBER(INDEX(Inputs!$K$5:$AJ$130,0,MATCH(G$2,Inputs!$K$4:$AJ$4,0))))+SUMPRODUCT((Inputs!$C$5:$C$130=$B55)*ISNUMBER(INDEX(Inputs!$K$5:$AJ$130,0,MATCH(G$2,Inputs!$K$4:$AJ$4,0))))+SUMPRODUCT((Inputs!$E$5:$E$130=$B55)*ISNUMBER(INDEX(Inputs!$K$5:$AJ$130,0,MATCH(G$2,Inputs!$K$4:$AJ$4,0))))=0,NA(),SUMPRODUCT((Inputs!$A$5:$A$130=$B55)*Inputs!$B$5:$B$130*(((Inputs!$G$5:$G$130="moeda")+(Inputs!$G$5:$G$130="acoes"))*Inputs!$B$1+((Inputs!$G$5:$G$130&lt;&gt;"moeda")*(Inputs!$G$5:$G$130&lt;&gt;"acoes")))*INDEX(Inputs!$K$5:$AJ$130,0,MATCH(G$2,Inputs!$K$4:$AJ$4,0)))+SUMPRODUCT((Inputs!$C$5:$C$130=$B55)*Inputs!$D$5:$D$130*(((Inputs!$G$5:$G$130="moeda")+(Inputs!$G$5:$G$130="acoes"))*Inputs!$B$1+((Inputs!$G$5:$G$130&lt;&gt;"moeda")*(Inputs!$G$5:$G$130&lt;&gt;"acoes")))*INDEX(Inputs!$K$5:$AJ$130,0,MATCH(G$2,Inputs!$K$4:$AJ$4,0)))+SUMPRODUCT((Inputs!$E$5:$E$130=$B55)*Inputs!$F$5:$F$130*(((Inputs!$G$5:$G$130="moeda")+(Inputs!$G$5:$G$130="acoes"))*Inputs!$B$1+((Inputs!$G$5:$G$130&lt;&gt;"moeda")*(Inputs!$G$5:$G$130&lt;&gt;"acoes")))*INDEX(Inputs!$K$5:$AJ$130,0,MATCH(G$2,Inputs!$K$4:$AJ$4,0)))))</f>
        <v>29486</v>
      </c>
      <c r="H55" s="512">
        <f>SUM(D55:G55)</f>
        <v>101812</v>
      </c>
      <c r="I55" s="511">
        <f>IF(ISNA(MATCH(I$2,Inputs!$K$4:$AJ$4,0)),NA(),IF(SUMPRODUCT((Inputs!$A$5:$A$130=$B55)*ISNUMBER(INDEX(Inputs!$K$5:$AJ$130,0,MATCH(I$2,Inputs!$K$4:$AJ$4,0))))+SUMPRODUCT((Inputs!$C$5:$C$130=$B55)*ISNUMBER(INDEX(Inputs!$K$5:$AJ$130,0,MATCH(I$2,Inputs!$K$4:$AJ$4,0))))+SUMPRODUCT((Inputs!$E$5:$E$130=$B55)*ISNUMBER(INDEX(Inputs!$K$5:$AJ$130,0,MATCH(I$2,Inputs!$K$4:$AJ$4,0))))=0,NA(),SUMPRODUCT((Inputs!$A$5:$A$130=$B55)*Inputs!$B$5:$B$130*(((Inputs!$G$5:$G$130="moeda")+(Inputs!$G$5:$G$130="acoes"))*Inputs!$B$1+((Inputs!$G$5:$G$130&lt;&gt;"moeda")*(Inputs!$G$5:$G$130&lt;&gt;"acoes")))*INDEX(Inputs!$K$5:$AJ$130,0,MATCH(I$2,Inputs!$K$4:$AJ$4,0)))+SUMPRODUCT((Inputs!$C$5:$C$130=$B55)*Inputs!$D$5:$D$130*(((Inputs!$G$5:$G$130="moeda")+(Inputs!$G$5:$G$130="acoes"))*Inputs!$B$1+((Inputs!$G$5:$G$130&lt;&gt;"moeda")*(Inputs!$G$5:$G$130&lt;&gt;"acoes")))*INDEX(Inputs!$K$5:$AJ$130,0,MATCH(I$2,Inputs!$K$4:$AJ$4,0)))+SUMPRODUCT((Inputs!$E$5:$E$130=$B55)*Inputs!$F$5:$F$130*(((Inputs!$G$5:$G$130="moeda")+(Inputs!$G$5:$G$130="acoes"))*Inputs!$B$1+((Inputs!$G$5:$G$130&lt;&gt;"moeda")*(Inputs!$G$5:$G$130&lt;&gt;"acoes")))*INDEX(Inputs!$K$5:$AJ$130,0,MATCH(I$2,Inputs!$K$4:$AJ$4,0)))))</f>
        <v>32406</v>
      </c>
      <c r="J55" s="511">
        <f>IF(ISNA(MATCH(J$2,Inputs!$K$4:$AJ$4,0)),NA(),IF(SUMPRODUCT((Inputs!$A$5:$A$130=$B55)*ISNUMBER(INDEX(Inputs!$K$5:$AJ$130,0,MATCH(J$2,Inputs!$K$4:$AJ$4,0))))+SUMPRODUCT((Inputs!$C$5:$C$130=$B55)*ISNUMBER(INDEX(Inputs!$K$5:$AJ$130,0,MATCH(J$2,Inputs!$K$4:$AJ$4,0))))+SUMPRODUCT((Inputs!$E$5:$E$130=$B55)*ISNUMBER(INDEX(Inputs!$K$5:$AJ$130,0,MATCH(J$2,Inputs!$K$4:$AJ$4,0))))=0,NA(),SUMPRODUCT((Inputs!$A$5:$A$130=$B55)*Inputs!$B$5:$B$130*(((Inputs!$G$5:$G$130="moeda")+(Inputs!$G$5:$G$130="acoes"))*Inputs!$B$1+((Inputs!$G$5:$G$130&lt;&gt;"moeda")*(Inputs!$G$5:$G$130&lt;&gt;"acoes")))*INDEX(Inputs!$K$5:$AJ$130,0,MATCH(J$2,Inputs!$K$4:$AJ$4,0)))+SUMPRODUCT((Inputs!$C$5:$C$130=$B55)*Inputs!$D$5:$D$130*(((Inputs!$G$5:$G$130="moeda")+(Inputs!$G$5:$G$130="acoes"))*Inputs!$B$1+((Inputs!$G$5:$G$130&lt;&gt;"moeda")*(Inputs!$G$5:$G$130&lt;&gt;"acoes")))*INDEX(Inputs!$K$5:$AJ$130,0,MATCH(J$2,Inputs!$K$4:$AJ$4,0)))+SUMPRODUCT((Inputs!$E$5:$E$130=$B55)*Inputs!$F$5:$F$130*(((Inputs!$G$5:$G$130="moeda")+(Inputs!$G$5:$G$130="acoes"))*Inputs!$B$1+((Inputs!$G$5:$G$130&lt;&gt;"moeda")*(Inputs!$G$5:$G$130&lt;&gt;"acoes")))*INDEX(Inputs!$K$5:$AJ$130,0,MATCH(J$2,Inputs!$K$4:$AJ$4,0)))))</f>
        <v>42065</v>
      </c>
      <c r="K55" s="511">
        <f>IF(ISNA(MATCH(K$2,Inputs!$K$4:$AJ$4,0)),NA(),IF(SUMPRODUCT((Inputs!$A$5:$A$130=$B55)*ISNUMBER(INDEX(Inputs!$K$5:$AJ$130,0,MATCH(K$2,Inputs!$K$4:$AJ$4,0))))+SUMPRODUCT((Inputs!$C$5:$C$130=$B55)*ISNUMBER(INDEX(Inputs!$K$5:$AJ$130,0,MATCH(K$2,Inputs!$K$4:$AJ$4,0))))+SUMPRODUCT((Inputs!$E$5:$E$130=$B55)*ISNUMBER(INDEX(Inputs!$K$5:$AJ$130,0,MATCH(K$2,Inputs!$K$4:$AJ$4,0))))=0,NA(),SUMPRODUCT((Inputs!$A$5:$A$130=$B55)*Inputs!$B$5:$B$130*(((Inputs!$G$5:$G$130="moeda")+(Inputs!$G$5:$G$130="acoes"))*Inputs!$B$1+((Inputs!$G$5:$G$130&lt;&gt;"moeda")*(Inputs!$G$5:$G$130&lt;&gt;"acoes")))*INDEX(Inputs!$K$5:$AJ$130,0,MATCH(K$2,Inputs!$K$4:$AJ$4,0)))+SUMPRODUCT((Inputs!$C$5:$C$130=$B55)*Inputs!$D$5:$D$130*(((Inputs!$G$5:$G$130="moeda")+(Inputs!$G$5:$G$130="acoes"))*Inputs!$B$1+((Inputs!$G$5:$G$130&lt;&gt;"moeda")*(Inputs!$G$5:$G$130&lt;&gt;"acoes")))*INDEX(Inputs!$K$5:$AJ$130,0,MATCH(K$2,Inputs!$K$4:$AJ$4,0)))+SUMPRODUCT((Inputs!$E$5:$E$130=$B55)*Inputs!$F$5:$F$130*(((Inputs!$G$5:$G$130="moeda")+(Inputs!$G$5:$G$130="acoes"))*Inputs!$B$1+((Inputs!$G$5:$G$130&lt;&gt;"moeda")*(Inputs!$G$5:$G$130&lt;&gt;"acoes")))*INDEX(Inputs!$K$5:$AJ$130,0,MATCH(K$2,Inputs!$K$4:$AJ$4,0)))))</f>
        <v>39598</v>
      </c>
      <c r="L55" s="511">
        <f>IF(ISNA(MATCH(L$2,Inputs!$K$4:$AJ$4,0)),NA(),IF(SUMPRODUCT((Inputs!$A$5:$A$130=$B55)*ISNUMBER(INDEX(Inputs!$K$5:$AJ$130,0,MATCH(L$2,Inputs!$K$4:$AJ$4,0))))+SUMPRODUCT((Inputs!$C$5:$C$130=$B55)*ISNUMBER(INDEX(Inputs!$K$5:$AJ$130,0,MATCH(L$2,Inputs!$K$4:$AJ$4,0))))+SUMPRODUCT((Inputs!$E$5:$E$130=$B55)*ISNUMBER(INDEX(Inputs!$K$5:$AJ$130,0,MATCH(L$2,Inputs!$K$4:$AJ$4,0))))=0,NA(),SUMPRODUCT((Inputs!$A$5:$A$130=$B55)*Inputs!$B$5:$B$130*(((Inputs!$G$5:$G$130="moeda")+(Inputs!$G$5:$G$130="acoes"))*Inputs!$B$1+((Inputs!$G$5:$G$130&lt;&gt;"moeda")*(Inputs!$G$5:$G$130&lt;&gt;"acoes")))*INDEX(Inputs!$K$5:$AJ$130,0,MATCH(L$2,Inputs!$K$4:$AJ$4,0)))+SUMPRODUCT((Inputs!$C$5:$C$130=$B55)*Inputs!$D$5:$D$130*(((Inputs!$G$5:$G$130="moeda")+(Inputs!$G$5:$G$130="acoes"))*Inputs!$B$1+((Inputs!$G$5:$G$130&lt;&gt;"moeda")*(Inputs!$G$5:$G$130&lt;&gt;"acoes")))*INDEX(Inputs!$K$5:$AJ$130,0,MATCH(L$2,Inputs!$K$4:$AJ$4,0)))+SUMPRODUCT((Inputs!$E$5:$E$130=$B55)*Inputs!$F$5:$F$130*(((Inputs!$G$5:$G$130="moeda")+(Inputs!$G$5:$G$130="acoes"))*Inputs!$B$1+((Inputs!$G$5:$G$130&lt;&gt;"moeda")*(Inputs!$G$5:$G$130&lt;&gt;"acoes")))*INDEX(Inputs!$K$5:$AJ$130,0,MATCH(L$2,Inputs!$K$4:$AJ$4,0)))))</f>
        <v>35371</v>
      </c>
      <c r="M55" s="512">
        <f>SUM(I55:L55)</f>
        <v>149440</v>
      </c>
      <c r="N55" s="511">
        <f>IF(ISNA(MATCH(N$2,Inputs!$K$4:$AJ$4,0)),NA(),IF(SUMPRODUCT((Inputs!$A$5:$A$130=$B55)*ISNUMBER(INDEX(Inputs!$K$5:$AJ$130,0,MATCH(N$2,Inputs!$K$4:$AJ$4,0))))+SUMPRODUCT((Inputs!$C$5:$C$130=$B55)*ISNUMBER(INDEX(Inputs!$K$5:$AJ$130,0,MATCH(N$2,Inputs!$K$4:$AJ$4,0))))+SUMPRODUCT((Inputs!$E$5:$E$130=$B55)*ISNUMBER(INDEX(Inputs!$K$5:$AJ$130,0,MATCH(N$2,Inputs!$K$4:$AJ$4,0))))=0,NA(),SUMPRODUCT((Inputs!$A$5:$A$130=$B55)*Inputs!$B$5:$B$130*(((Inputs!$G$5:$G$130="moeda")+(Inputs!$G$5:$G$130="acoes"))*Inputs!$B$1+((Inputs!$G$5:$G$130&lt;&gt;"moeda")*(Inputs!$G$5:$G$130&lt;&gt;"acoes")))*INDEX(Inputs!$K$5:$AJ$130,0,MATCH(N$2,Inputs!$K$4:$AJ$4,0)))+SUMPRODUCT((Inputs!$C$5:$C$130=$B55)*Inputs!$D$5:$D$130*(((Inputs!$G$5:$G$130="moeda")+(Inputs!$G$5:$G$130="acoes"))*Inputs!$B$1+((Inputs!$G$5:$G$130&lt;&gt;"moeda")*(Inputs!$G$5:$G$130&lt;&gt;"acoes")))*INDEX(Inputs!$K$5:$AJ$130,0,MATCH(N$2,Inputs!$K$4:$AJ$4,0)))+SUMPRODUCT((Inputs!$E$5:$E$130=$B55)*Inputs!$F$5:$F$130*(((Inputs!$G$5:$G$130="moeda")+(Inputs!$G$5:$G$130="acoes"))*Inputs!$B$1+((Inputs!$G$5:$G$130&lt;&gt;"moeda")*(Inputs!$G$5:$G$130&lt;&gt;"acoes")))*INDEX(Inputs!$K$5:$AJ$130,0,MATCH(N$2,Inputs!$K$4:$AJ$4,0)))))</f>
        <v>32045</v>
      </c>
      <c r="O55" s="511">
        <f>IF(ISNA(MATCH(O$2,Inputs!$K$4:$AJ$4,0)),NA(),IF(SUMPRODUCT((Inputs!$A$5:$A$130=$B55)*ISNUMBER(INDEX(Inputs!$K$5:$AJ$130,0,MATCH(O$2,Inputs!$K$4:$AJ$4,0))))+SUMPRODUCT((Inputs!$C$5:$C$130=$B55)*ISNUMBER(INDEX(Inputs!$K$5:$AJ$130,0,MATCH(O$2,Inputs!$K$4:$AJ$4,0))))+SUMPRODUCT((Inputs!$E$5:$E$130=$B55)*ISNUMBER(INDEX(Inputs!$K$5:$AJ$130,0,MATCH(O$2,Inputs!$K$4:$AJ$4,0))))=0,NA(),SUMPRODUCT((Inputs!$A$5:$A$130=$B55)*Inputs!$B$5:$B$130*(((Inputs!$G$5:$G$130="moeda")+(Inputs!$G$5:$G$130="acoes"))*Inputs!$B$1+((Inputs!$G$5:$G$130&lt;&gt;"moeda")*(Inputs!$G$5:$G$130&lt;&gt;"acoes")))*INDEX(Inputs!$K$5:$AJ$130,0,MATCH(O$2,Inputs!$K$4:$AJ$4,0)))+SUMPRODUCT((Inputs!$C$5:$C$130=$B55)*Inputs!$D$5:$D$130*(((Inputs!$G$5:$G$130="moeda")+(Inputs!$G$5:$G$130="acoes"))*Inputs!$B$1+((Inputs!$G$5:$G$130&lt;&gt;"moeda")*(Inputs!$G$5:$G$130&lt;&gt;"acoes")))*INDEX(Inputs!$K$5:$AJ$130,0,MATCH(O$2,Inputs!$K$4:$AJ$4,0)))+SUMPRODUCT((Inputs!$E$5:$E$130=$B55)*Inputs!$F$5:$F$130*(((Inputs!$G$5:$G$130="moeda")+(Inputs!$G$5:$G$130="acoes"))*Inputs!$B$1+((Inputs!$G$5:$G$130&lt;&gt;"moeda")*(Inputs!$G$5:$G$130&lt;&gt;"acoes")))*INDEX(Inputs!$K$5:$AJ$130,0,MATCH(O$2,Inputs!$K$4:$AJ$4,0)))))</f>
        <v>31517</v>
      </c>
      <c r="P55" s="511">
        <f>IF(ISNA(MATCH(P$2,Inputs!$K$4:$AJ$4,0)),NA(),IF(SUMPRODUCT((Inputs!$A$5:$A$130=$B55)*ISNUMBER(INDEX(Inputs!$K$5:$AJ$130,0,MATCH(P$2,Inputs!$K$4:$AJ$4,0))))+SUMPRODUCT((Inputs!$C$5:$C$130=$B55)*ISNUMBER(INDEX(Inputs!$K$5:$AJ$130,0,MATCH(P$2,Inputs!$K$4:$AJ$4,0))))+SUMPRODUCT((Inputs!$E$5:$E$130=$B55)*ISNUMBER(INDEX(Inputs!$K$5:$AJ$130,0,MATCH(P$2,Inputs!$K$4:$AJ$4,0))))=0,NA(),SUMPRODUCT((Inputs!$A$5:$A$130=$B55)*Inputs!$B$5:$B$130*(((Inputs!$G$5:$G$130="moeda")+(Inputs!$G$5:$G$130="acoes"))*Inputs!$B$1+((Inputs!$G$5:$G$130&lt;&gt;"moeda")*(Inputs!$G$5:$G$130&lt;&gt;"acoes")))*INDEX(Inputs!$K$5:$AJ$130,0,MATCH(P$2,Inputs!$K$4:$AJ$4,0)))+SUMPRODUCT((Inputs!$C$5:$C$130=$B55)*Inputs!$D$5:$D$130*(((Inputs!$G$5:$G$130="moeda")+(Inputs!$G$5:$G$130="acoes"))*Inputs!$B$1+((Inputs!$G$5:$G$130&lt;&gt;"moeda")*(Inputs!$G$5:$G$130&lt;&gt;"acoes")))*INDEX(Inputs!$K$5:$AJ$130,0,MATCH(P$2,Inputs!$K$4:$AJ$4,0)))+SUMPRODUCT((Inputs!$E$5:$E$130=$B55)*Inputs!$F$5:$F$130*(((Inputs!$G$5:$G$130="moeda")+(Inputs!$G$5:$G$130="acoes"))*Inputs!$B$1+((Inputs!$G$5:$G$130&lt;&gt;"moeda")*(Inputs!$G$5:$G$130&lt;&gt;"acoes")))*INDEX(Inputs!$K$5:$AJ$130,0,MATCH(P$2,Inputs!$K$4:$AJ$4,0)))))</f>
        <v>35236</v>
      </c>
      <c r="Q55" s="511">
        <f>IF(ISNA(MATCH(Q$2,Inputs!$K$4:$AJ$4,0)),NA(),IF(SUMPRODUCT((Inputs!$A$5:$A$130=$B55)*ISNUMBER(INDEX(Inputs!$K$5:$AJ$130,0,MATCH(Q$2,Inputs!$K$4:$AJ$4,0))))+SUMPRODUCT((Inputs!$C$5:$C$130=$B55)*ISNUMBER(INDEX(Inputs!$K$5:$AJ$130,0,MATCH(Q$2,Inputs!$K$4:$AJ$4,0))))+SUMPRODUCT((Inputs!$E$5:$E$130=$B55)*ISNUMBER(INDEX(Inputs!$K$5:$AJ$130,0,MATCH(Q$2,Inputs!$K$4:$AJ$4,0))))=0,NA(),SUMPRODUCT((Inputs!$A$5:$A$130=$B55)*Inputs!$B$5:$B$130*(((Inputs!$G$5:$G$130="moeda")+(Inputs!$G$5:$G$130="acoes"))*Inputs!$B$1+((Inputs!$G$5:$G$130&lt;&gt;"moeda")*(Inputs!$G$5:$G$130&lt;&gt;"acoes")))*INDEX(Inputs!$K$5:$AJ$130,0,MATCH(Q$2,Inputs!$K$4:$AJ$4,0)))+SUMPRODUCT((Inputs!$C$5:$C$130=$B55)*Inputs!$D$5:$D$130*(((Inputs!$G$5:$G$130="moeda")+(Inputs!$G$5:$G$130="acoes"))*Inputs!$B$1+((Inputs!$G$5:$G$130&lt;&gt;"moeda")*(Inputs!$G$5:$G$130&lt;&gt;"acoes")))*INDEX(Inputs!$K$5:$AJ$130,0,MATCH(Q$2,Inputs!$K$4:$AJ$4,0)))+SUMPRODUCT((Inputs!$E$5:$E$130=$B55)*Inputs!$F$5:$F$130*(((Inputs!$G$5:$G$130="moeda")+(Inputs!$G$5:$G$130="acoes"))*Inputs!$B$1+((Inputs!$G$5:$G$130&lt;&gt;"moeda")*(Inputs!$G$5:$G$130&lt;&gt;"acoes")))*INDEX(Inputs!$K$5:$AJ$130,0,MATCH(Q$2,Inputs!$K$4:$AJ$4,0)))))</f>
        <v>31761</v>
      </c>
      <c r="R55" s="512">
        <f>SUM(N55:Q55)</f>
        <v>130559</v>
      </c>
      <c r="S55" s="511">
        <f>IF(ISNA(MATCH(S$2,Inputs!$K$4:$AJ$4,0)),NA(),IF(SUMPRODUCT((Inputs!$A$5:$A$130=$B55)*ISNUMBER(INDEX(Inputs!$K$5:$AJ$130,0,MATCH(S$2,Inputs!$K$4:$AJ$4,0))))+SUMPRODUCT((Inputs!$C$5:$C$130=$B55)*ISNUMBER(INDEX(Inputs!$K$5:$AJ$130,0,MATCH(S$2,Inputs!$K$4:$AJ$4,0))))+SUMPRODUCT((Inputs!$E$5:$E$130=$B55)*ISNUMBER(INDEX(Inputs!$K$5:$AJ$130,0,MATCH(S$2,Inputs!$K$4:$AJ$4,0))))=0,NA(),SUMPRODUCT((Inputs!$A$5:$A$130=$B55)*Inputs!$B$5:$B$130*(((Inputs!$G$5:$G$130="moeda")+(Inputs!$G$5:$G$130="acoes"))*Inputs!$B$1+((Inputs!$G$5:$G$130&lt;&gt;"moeda")*(Inputs!$G$5:$G$130&lt;&gt;"acoes")))*INDEX(Inputs!$K$5:$AJ$130,0,MATCH(S$2,Inputs!$K$4:$AJ$4,0)))+SUMPRODUCT((Inputs!$C$5:$C$130=$B55)*Inputs!$D$5:$D$130*(((Inputs!$G$5:$G$130="moeda")+(Inputs!$G$5:$G$130="acoes"))*Inputs!$B$1+((Inputs!$G$5:$G$130&lt;&gt;"moeda")*(Inputs!$G$5:$G$130&lt;&gt;"acoes")))*INDEX(Inputs!$K$5:$AJ$130,0,MATCH(S$2,Inputs!$K$4:$AJ$4,0)))+SUMPRODUCT((Inputs!$E$5:$E$130=$B55)*Inputs!$F$5:$F$130*(((Inputs!$G$5:$G$130="moeda")+(Inputs!$G$5:$G$130="acoes"))*Inputs!$B$1+((Inputs!$G$5:$G$130&lt;&gt;"moeda")*(Inputs!$G$5:$G$130&lt;&gt;"acoes")))*INDEX(Inputs!$K$5:$AJ$130,0,MATCH(S$2,Inputs!$K$4:$AJ$4,0)))))</f>
        <v>30041</v>
      </c>
      <c r="T55" s="511">
        <f>IF(ISNA(MATCH(T$2,Inputs!$K$4:$AJ$4,0)),NA(),IF(SUMPRODUCT((Inputs!$A$5:$A$130=$B55)*ISNUMBER(INDEX(Inputs!$K$5:$AJ$130,0,MATCH(T$2,Inputs!$K$4:$AJ$4,0))))+SUMPRODUCT((Inputs!$C$5:$C$130=$B55)*ISNUMBER(INDEX(Inputs!$K$5:$AJ$130,0,MATCH(T$2,Inputs!$K$4:$AJ$4,0))))+SUMPRODUCT((Inputs!$E$5:$E$130=$B55)*ISNUMBER(INDEX(Inputs!$K$5:$AJ$130,0,MATCH(T$2,Inputs!$K$4:$AJ$4,0))))=0,NA(),SUMPRODUCT((Inputs!$A$5:$A$130=$B55)*Inputs!$B$5:$B$130*(((Inputs!$G$5:$G$130="moeda")+(Inputs!$G$5:$G$130="acoes"))*Inputs!$B$1+((Inputs!$G$5:$G$130&lt;&gt;"moeda")*(Inputs!$G$5:$G$130&lt;&gt;"acoes")))*INDEX(Inputs!$K$5:$AJ$130,0,MATCH(T$2,Inputs!$K$4:$AJ$4,0)))+SUMPRODUCT((Inputs!$C$5:$C$130=$B55)*Inputs!$D$5:$D$130*(((Inputs!$G$5:$G$130="moeda")+(Inputs!$G$5:$G$130="acoes"))*Inputs!$B$1+((Inputs!$G$5:$G$130&lt;&gt;"moeda")*(Inputs!$G$5:$G$130&lt;&gt;"acoes")))*INDEX(Inputs!$K$5:$AJ$130,0,MATCH(T$2,Inputs!$K$4:$AJ$4,0)))+SUMPRODUCT((Inputs!$E$5:$E$130=$B55)*Inputs!$F$5:$F$130*(((Inputs!$G$5:$G$130="moeda")+(Inputs!$G$5:$G$130="acoes"))*Inputs!$B$1+((Inputs!$G$5:$G$130&lt;&gt;"moeda")*(Inputs!$G$5:$G$130&lt;&gt;"acoes")))*INDEX(Inputs!$K$5:$AJ$130,0,MATCH(T$2,Inputs!$K$4:$AJ$4,0)))))</f>
        <v>32005</v>
      </c>
      <c r="U55" s="511">
        <f>IF(ISNA(MATCH(U$2,Inputs!$K$4:$AJ$4,0)),NA(),IF(SUMPRODUCT((Inputs!$A$5:$A$130=$B55)*ISNUMBER(INDEX(Inputs!$K$5:$AJ$130,0,MATCH(U$2,Inputs!$K$4:$AJ$4,0))))+SUMPRODUCT((Inputs!$C$5:$C$130=$B55)*ISNUMBER(INDEX(Inputs!$K$5:$AJ$130,0,MATCH(U$2,Inputs!$K$4:$AJ$4,0))))+SUMPRODUCT((Inputs!$E$5:$E$130=$B55)*ISNUMBER(INDEX(Inputs!$K$5:$AJ$130,0,MATCH(U$2,Inputs!$K$4:$AJ$4,0))))=0,NA(),SUMPRODUCT((Inputs!$A$5:$A$130=$B55)*Inputs!$B$5:$B$130*(((Inputs!$G$5:$G$130="moeda")+(Inputs!$G$5:$G$130="acoes"))*Inputs!$B$1+((Inputs!$G$5:$G$130&lt;&gt;"moeda")*(Inputs!$G$5:$G$130&lt;&gt;"acoes")))*INDEX(Inputs!$K$5:$AJ$130,0,MATCH(U$2,Inputs!$K$4:$AJ$4,0)))+SUMPRODUCT((Inputs!$C$5:$C$130=$B55)*Inputs!$D$5:$D$130*(((Inputs!$G$5:$G$130="moeda")+(Inputs!$G$5:$G$130="acoes"))*Inputs!$B$1+((Inputs!$G$5:$G$130&lt;&gt;"moeda")*(Inputs!$G$5:$G$130&lt;&gt;"acoes")))*INDEX(Inputs!$K$5:$AJ$130,0,MATCH(U$2,Inputs!$K$4:$AJ$4,0)))+SUMPRODUCT((Inputs!$E$5:$E$130=$B55)*Inputs!$F$5:$F$130*(((Inputs!$G$5:$G$130="moeda")+(Inputs!$G$5:$G$130="acoes"))*Inputs!$B$1+((Inputs!$G$5:$G$130&lt;&gt;"moeda")*(Inputs!$G$5:$G$130&lt;&gt;"acoes")))*INDEX(Inputs!$K$5:$AJ$130,0,MATCH(U$2,Inputs!$K$4:$AJ$4,0)))))</f>
        <v>30519</v>
      </c>
      <c r="V55" s="511">
        <f>IF(ISNA(MATCH(V$2,Inputs!$K$4:$AJ$4,0)),NA(),IF(SUMPRODUCT((Inputs!$A$5:$A$130=$B55)*ISNUMBER(INDEX(Inputs!$K$5:$AJ$130,0,MATCH(V$2,Inputs!$K$4:$AJ$4,0))))+SUMPRODUCT((Inputs!$C$5:$C$130=$B55)*ISNUMBER(INDEX(Inputs!$K$5:$AJ$130,0,MATCH(V$2,Inputs!$K$4:$AJ$4,0))))+SUMPRODUCT((Inputs!$E$5:$E$130=$B55)*ISNUMBER(INDEX(Inputs!$K$5:$AJ$130,0,MATCH(V$2,Inputs!$K$4:$AJ$4,0))))=0,NA(),SUMPRODUCT((Inputs!$A$5:$A$130=$B55)*Inputs!$B$5:$B$130*(((Inputs!$G$5:$G$130="moeda")+(Inputs!$G$5:$G$130="acoes"))*Inputs!$B$1+((Inputs!$G$5:$G$130&lt;&gt;"moeda")*(Inputs!$G$5:$G$130&lt;&gt;"acoes")))*INDEX(Inputs!$K$5:$AJ$130,0,MATCH(V$2,Inputs!$K$4:$AJ$4,0)))+SUMPRODUCT((Inputs!$C$5:$C$130=$B55)*Inputs!$D$5:$D$130*(((Inputs!$G$5:$G$130="moeda")+(Inputs!$G$5:$G$130="acoes"))*Inputs!$B$1+((Inputs!$G$5:$G$130&lt;&gt;"moeda")*(Inputs!$G$5:$G$130&lt;&gt;"acoes")))*INDEX(Inputs!$K$5:$AJ$130,0,MATCH(V$2,Inputs!$K$4:$AJ$4,0)))+SUMPRODUCT((Inputs!$E$5:$E$130=$B55)*Inputs!$F$5:$F$130*(((Inputs!$G$5:$G$130="moeda")+(Inputs!$G$5:$G$130="acoes"))*Inputs!$B$1+((Inputs!$G$5:$G$130&lt;&gt;"moeda")*(Inputs!$G$5:$G$130&lt;&gt;"acoes")))*INDEX(Inputs!$K$5:$AJ$130,0,MATCH(V$2,Inputs!$K$4:$AJ$4,0)))))</f>
        <v>27524</v>
      </c>
      <c r="W55" s="512">
        <f>SUM(S55:V55)</f>
        <v>120089</v>
      </c>
      <c r="X55" s="511">
        <f>IF(ISNA(MATCH(X$2,Inputs!$K$4:$AJ$4,0)),NA(),IF(SUMPRODUCT((Inputs!$A$5:$A$130=$B55)*ISNUMBER(INDEX(Inputs!$K$5:$AJ$130,0,MATCH(X$2,Inputs!$K$4:$AJ$4,0))))+SUMPRODUCT((Inputs!$C$5:$C$130=$B55)*ISNUMBER(INDEX(Inputs!$K$5:$AJ$130,0,MATCH(X$2,Inputs!$K$4:$AJ$4,0))))+SUMPRODUCT((Inputs!$E$5:$E$130=$B55)*ISNUMBER(INDEX(Inputs!$K$5:$AJ$130,0,MATCH(X$2,Inputs!$K$4:$AJ$4,0))))=0,NA(),SUMPRODUCT((Inputs!$A$5:$A$130=$B55)*Inputs!$B$5:$B$130*(((Inputs!$G$5:$G$130="moeda")+(Inputs!$G$5:$G$130="acoes"))*Inputs!$B$1+((Inputs!$G$5:$G$130&lt;&gt;"moeda")*(Inputs!$G$5:$G$130&lt;&gt;"acoes")))*INDEX(Inputs!$K$5:$AJ$130,0,MATCH(X$2,Inputs!$K$4:$AJ$4,0)))+SUMPRODUCT((Inputs!$C$5:$C$130=$B55)*Inputs!$D$5:$D$130*(((Inputs!$G$5:$G$130="moeda")+(Inputs!$G$5:$G$130="acoes"))*Inputs!$B$1+((Inputs!$G$5:$G$130&lt;&gt;"moeda")*(Inputs!$G$5:$G$130&lt;&gt;"acoes")))*INDEX(Inputs!$K$5:$AJ$130,0,MATCH(X$2,Inputs!$K$4:$AJ$4,0)))+SUMPRODUCT((Inputs!$E$5:$E$130=$B55)*Inputs!$F$5:$F$130*(((Inputs!$G$5:$G$130="moeda")+(Inputs!$G$5:$G$130="acoes"))*Inputs!$B$1+((Inputs!$G$5:$G$130&lt;&gt;"moeda")*(Inputs!$G$5:$G$130&lt;&gt;"acoes")))*INDEX(Inputs!$K$5:$AJ$130,0,MATCH(X$2,Inputs!$K$4:$AJ$4,0)))))</f>
        <v>27083</v>
      </c>
      <c r="Y55" s="511">
        <f>IF(ISNA(MATCH(Y$2,Inputs!$K$4:$AJ$4,0)),NA(),IF(SUMPRODUCT((Inputs!$A$5:$A$130=$B55)*ISNUMBER(INDEX(Inputs!$K$5:$AJ$130,0,MATCH(Y$2,Inputs!$K$4:$AJ$4,0))))+SUMPRODUCT((Inputs!$C$5:$C$130=$B55)*ISNUMBER(INDEX(Inputs!$K$5:$AJ$130,0,MATCH(Y$2,Inputs!$K$4:$AJ$4,0))))+SUMPRODUCT((Inputs!$E$5:$E$130=$B55)*ISNUMBER(INDEX(Inputs!$K$5:$AJ$130,0,MATCH(Y$2,Inputs!$K$4:$AJ$4,0))))=0,NA(),SUMPRODUCT((Inputs!$A$5:$A$130=$B55)*Inputs!$B$5:$B$130*(((Inputs!$G$5:$G$130="moeda")+(Inputs!$G$5:$G$130="acoes"))*Inputs!$B$1+((Inputs!$G$5:$G$130&lt;&gt;"moeda")*(Inputs!$G$5:$G$130&lt;&gt;"acoes")))*INDEX(Inputs!$K$5:$AJ$130,0,MATCH(Y$2,Inputs!$K$4:$AJ$4,0)))+SUMPRODUCT((Inputs!$C$5:$C$130=$B55)*Inputs!$D$5:$D$130*(((Inputs!$G$5:$G$130="moeda")+(Inputs!$G$5:$G$130="acoes"))*Inputs!$B$1+((Inputs!$G$5:$G$130&lt;&gt;"moeda")*(Inputs!$G$5:$G$130&lt;&gt;"acoes")))*INDEX(Inputs!$K$5:$AJ$130,0,MATCH(Y$2,Inputs!$K$4:$AJ$4,0)))+SUMPRODUCT((Inputs!$E$5:$E$130=$B55)*Inputs!$F$5:$F$130*(((Inputs!$G$5:$G$130="moeda")+(Inputs!$G$5:$G$130="acoes"))*Inputs!$B$1+((Inputs!$G$5:$G$130&lt;&gt;"moeda")*(Inputs!$G$5:$G$130&lt;&gt;"acoes")))*INDEX(Inputs!$K$5:$AJ$130,0,MATCH(Y$2,Inputs!$K$4:$AJ$4,0)))))</f>
        <v>28241</v>
      </c>
      <c r="Z55" s="511">
        <f>IF(ISNA(MATCH(Z$2,Inputs!$K$4:$AJ$4,0)),NA(),IF(SUMPRODUCT((Inputs!$A$5:$A$130=$B55)*ISNUMBER(INDEX(Inputs!$K$5:$AJ$130,0,MATCH(Z$2,Inputs!$K$4:$AJ$4,0))))+SUMPRODUCT((Inputs!$C$5:$C$130=$B55)*ISNUMBER(INDEX(Inputs!$K$5:$AJ$130,0,MATCH(Z$2,Inputs!$K$4:$AJ$4,0))))+SUMPRODUCT((Inputs!$E$5:$E$130=$B55)*ISNUMBER(INDEX(Inputs!$K$5:$AJ$130,0,MATCH(Z$2,Inputs!$K$4:$AJ$4,0))))=0,NA(),SUMPRODUCT((Inputs!$A$5:$A$130=$B55)*Inputs!$B$5:$B$130*(((Inputs!$G$5:$G$130="moeda")+(Inputs!$G$5:$G$130="acoes"))*Inputs!$B$1+((Inputs!$G$5:$G$130&lt;&gt;"moeda")*(Inputs!$G$5:$G$130&lt;&gt;"acoes")))*INDEX(Inputs!$K$5:$AJ$130,0,MATCH(Z$2,Inputs!$K$4:$AJ$4,0)))+SUMPRODUCT((Inputs!$C$5:$C$130=$B55)*Inputs!$D$5:$D$130*(((Inputs!$G$5:$G$130="moeda")+(Inputs!$G$5:$G$130="acoes"))*Inputs!$B$1+((Inputs!$G$5:$G$130&lt;&gt;"moeda")*(Inputs!$G$5:$G$130&lt;&gt;"acoes")))*INDEX(Inputs!$K$5:$AJ$130,0,MATCH(Z$2,Inputs!$K$4:$AJ$4,0)))+SUMPRODUCT((Inputs!$E$5:$E$130=$B55)*Inputs!$F$5:$F$130*(((Inputs!$G$5:$G$130="moeda")+(Inputs!$G$5:$G$130="acoes"))*Inputs!$B$1+((Inputs!$G$5:$G$130&lt;&gt;"moeda")*(Inputs!$G$5:$G$130&lt;&gt;"acoes")))*INDEX(Inputs!$K$5:$AJ$130,0,MATCH(Z$2,Inputs!$K$4:$AJ$4,0)))))</f>
        <v>29648</v>
      </c>
      <c r="AA55" s="511">
        <f>IF(ISNA(MATCH(AA$2,Inputs!$K$4:$AJ$4,0)),NA(),IF(SUMPRODUCT((Inputs!$A$5:$A$130=$B55)*ISNUMBER(INDEX(Inputs!$K$5:$AJ$130,0,MATCH(AA$2,Inputs!$K$4:$AJ$4,0))))+SUMPRODUCT((Inputs!$C$5:$C$130=$B55)*ISNUMBER(INDEX(Inputs!$K$5:$AJ$130,0,MATCH(AA$2,Inputs!$K$4:$AJ$4,0))))+SUMPRODUCT((Inputs!$E$5:$E$130=$B55)*ISNUMBER(INDEX(Inputs!$K$5:$AJ$130,0,MATCH(AA$2,Inputs!$K$4:$AJ$4,0))))=0,NA(),SUMPRODUCT((Inputs!$A$5:$A$130=$B55)*Inputs!$B$5:$B$130*(((Inputs!$G$5:$G$130="moeda")+(Inputs!$G$5:$G$130="acoes"))*Inputs!$B$1+((Inputs!$G$5:$G$130&lt;&gt;"moeda")*(Inputs!$G$5:$G$130&lt;&gt;"acoes")))*INDEX(Inputs!$K$5:$AJ$130,0,MATCH(AA$2,Inputs!$K$4:$AJ$4,0)))+SUMPRODUCT((Inputs!$C$5:$C$130=$B55)*Inputs!$D$5:$D$130*(((Inputs!$G$5:$G$130="moeda")+(Inputs!$G$5:$G$130="acoes"))*Inputs!$B$1+((Inputs!$G$5:$G$130&lt;&gt;"moeda")*(Inputs!$G$5:$G$130&lt;&gt;"acoes")))*INDEX(Inputs!$K$5:$AJ$130,0,MATCH(AA$2,Inputs!$K$4:$AJ$4,0)))+SUMPRODUCT((Inputs!$E$5:$E$130=$B55)*Inputs!$F$5:$F$130*(((Inputs!$G$5:$G$130="moeda")+(Inputs!$G$5:$G$130="acoes"))*Inputs!$B$1+((Inputs!$G$5:$G$130&lt;&gt;"moeda")*(Inputs!$G$5:$G$130&lt;&gt;"acoes")))*INDEX(Inputs!$K$5:$AJ$130,0,MATCH(AA$2,Inputs!$K$4:$AJ$4,0)))))</f>
        <v>26881</v>
      </c>
      <c r="AB55" s="512">
        <f>SUM(X55:AA55)</f>
        <v>111853</v>
      </c>
      <c r="AC55" s="511">
        <f>IF(ISNA(MATCH(AC$2,Inputs!$K$4:$AJ$4,0)),NA(),IF(SUMPRODUCT((Inputs!$A$5:$A$130=$B55)*ISNUMBER(INDEX(Inputs!$K$5:$AJ$130,0,MATCH(AC$2,Inputs!$K$4:$AJ$4,0))))+SUMPRODUCT((Inputs!$C$5:$C$130=$B55)*ISNUMBER(INDEX(Inputs!$K$5:$AJ$130,0,MATCH(AC$2,Inputs!$K$4:$AJ$4,0))))+SUMPRODUCT((Inputs!$E$5:$E$130=$B55)*ISNUMBER(INDEX(Inputs!$K$5:$AJ$130,0,MATCH(AC$2,Inputs!$K$4:$AJ$4,0))))=0,NA(),SUMPRODUCT((Inputs!$A$5:$A$130=$B55)*Inputs!$B$5:$B$130*(((Inputs!$G$5:$G$130="moeda")+(Inputs!$G$5:$G$130="acoes"))*Inputs!$B$1+((Inputs!$G$5:$G$130&lt;&gt;"moeda")*(Inputs!$G$5:$G$130&lt;&gt;"acoes")))*INDEX(Inputs!$K$5:$AJ$130,0,MATCH(AC$2,Inputs!$K$4:$AJ$4,0)))+SUMPRODUCT((Inputs!$C$5:$C$130=$B55)*Inputs!$D$5:$D$130*(((Inputs!$G$5:$G$130="moeda")+(Inputs!$G$5:$G$130="acoes"))*Inputs!$B$1+((Inputs!$G$5:$G$130&lt;&gt;"moeda")*(Inputs!$G$5:$G$130&lt;&gt;"acoes")))*INDEX(Inputs!$K$5:$AJ$130,0,MATCH(AC$2,Inputs!$K$4:$AJ$4,0)))+SUMPRODUCT((Inputs!$E$5:$E$130=$B55)*Inputs!$F$5:$F$130*(((Inputs!$G$5:$G$130="moeda")+(Inputs!$G$5:$G$130="acoes"))*Inputs!$B$1+((Inputs!$G$5:$G$130&lt;&gt;"moeda")*(Inputs!$G$5:$G$130&lt;&gt;"acoes")))*INDEX(Inputs!$K$5:$AJ$130,0,MATCH(AC$2,Inputs!$K$4:$AJ$4,0)))))</f>
        <v>30695</v>
      </c>
      <c r="AD55" s="511">
        <f>IF(ISNA(MATCH(AD$2,Inputs!$K$4:$AJ$4,0)),NA(),IF(SUMPRODUCT((Inputs!$A$5:$A$130=$B55)*ISNUMBER(INDEX(Inputs!$K$5:$AJ$130,0,MATCH(AD$2,Inputs!$K$4:$AJ$4,0))))+SUMPRODUCT((Inputs!$C$5:$C$130=$B55)*ISNUMBER(INDEX(Inputs!$K$5:$AJ$130,0,MATCH(AD$2,Inputs!$K$4:$AJ$4,0))))+SUMPRODUCT((Inputs!$E$5:$E$130=$B55)*ISNUMBER(INDEX(Inputs!$K$5:$AJ$130,0,MATCH(AD$2,Inputs!$K$4:$AJ$4,0))))=0,NA(),SUMPRODUCT((Inputs!$A$5:$A$130=$B55)*Inputs!$B$5:$B$130*(((Inputs!$G$5:$G$130="moeda")+(Inputs!$G$5:$G$130="acoes"))*Inputs!$B$1+((Inputs!$G$5:$G$130&lt;&gt;"moeda")*(Inputs!$G$5:$G$130&lt;&gt;"acoes")))*INDEX(Inputs!$K$5:$AJ$130,0,MATCH(AD$2,Inputs!$K$4:$AJ$4,0)))+SUMPRODUCT((Inputs!$C$5:$C$130=$B55)*Inputs!$D$5:$D$130*(((Inputs!$G$5:$G$130="moeda")+(Inputs!$G$5:$G$130="acoes"))*Inputs!$B$1+((Inputs!$G$5:$G$130&lt;&gt;"moeda")*(Inputs!$G$5:$G$130&lt;&gt;"acoes")))*INDEX(Inputs!$K$5:$AJ$130,0,MATCH(AD$2,Inputs!$K$4:$AJ$4,0)))+SUMPRODUCT((Inputs!$E$5:$E$130=$B55)*Inputs!$F$5:$F$130*(((Inputs!$G$5:$G$130="moeda")+(Inputs!$G$5:$G$130="acoes"))*Inputs!$B$1+((Inputs!$G$5:$G$130&lt;&gt;"moeda")*(Inputs!$G$5:$G$130&lt;&gt;"acoes")))*INDEX(Inputs!$K$5:$AJ$130,0,MATCH(AD$2,Inputs!$K$4:$AJ$4,0)))))</f>
        <v>38015</v>
      </c>
      <c r="AE55" s="511" t="e">
        <f>IF(ISNA(MATCH(AE$2,Inputs!$K$4:$AJ$4,0)),NA(),IF(SUMPRODUCT((Inputs!$A$5:$A$130=$B55)*ISNUMBER(INDEX(Inputs!$K$5:$AJ$130,0,MATCH(AE$2,Inputs!$K$4:$AJ$4,0))))+SUMPRODUCT((Inputs!$C$5:$C$130=$B55)*ISNUMBER(INDEX(Inputs!$K$5:$AJ$130,0,MATCH(AE$2,Inputs!$K$4:$AJ$4,0))))+SUMPRODUCT((Inputs!$E$5:$E$130=$B55)*ISNUMBER(INDEX(Inputs!$K$5:$AJ$130,0,MATCH(AE$2,Inputs!$K$4:$AJ$4,0))))=0,NA(),SUMPRODUCT((Inputs!$A$5:$A$130=$B55)*Inputs!$B$5:$B$130*(((Inputs!$G$5:$G$130="moeda")+(Inputs!$G$5:$G$130="acoes"))*Inputs!$B$1+((Inputs!$G$5:$G$130&lt;&gt;"moeda")*(Inputs!$G$5:$G$130&lt;&gt;"acoes")))*INDEX(Inputs!$K$5:$AJ$130,0,MATCH(AE$2,Inputs!$K$4:$AJ$4,0)))+SUMPRODUCT((Inputs!$C$5:$C$130=$B55)*Inputs!$D$5:$D$130*(((Inputs!$G$5:$G$130="moeda")+(Inputs!$G$5:$G$130="acoes"))*Inputs!$B$1+((Inputs!$G$5:$G$130&lt;&gt;"moeda")*(Inputs!$G$5:$G$130&lt;&gt;"acoes")))*INDEX(Inputs!$K$5:$AJ$130,0,MATCH(AE$2,Inputs!$K$4:$AJ$4,0)))+SUMPRODUCT((Inputs!$E$5:$E$130=$B55)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5" s="511" t="e">
        <f>IF(ISNA(MATCH(AF$2,Inputs!$K$4:$AJ$4,0)),NA(),IF(SUMPRODUCT((Inputs!$A$5:$A$130=$B55)*ISNUMBER(INDEX(Inputs!$K$5:$AJ$130,0,MATCH(AF$2,Inputs!$K$4:$AJ$4,0))))+SUMPRODUCT((Inputs!$C$5:$C$130=$B55)*ISNUMBER(INDEX(Inputs!$K$5:$AJ$130,0,MATCH(AF$2,Inputs!$K$4:$AJ$4,0))))+SUMPRODUCT((Inputs!$E$5:$E$130=$B55)*ISNUMBER(INDEX(Inputs!$K$5:$AJ$130,0,MATCH(AF$2,Inputs!$K$4:$AJ$4,0))))=0,NA(),SUMPRODUCT((Inputs!$A$5:$A$130=$B55)*Inputs!$B$5:$B$130*(((Inputs!$G$5:$G$130="moeda")+(Inputs!$G$5:$G$130="acoes"))*Inputs!$B$1+((Inputs!$G$5:$G$130&lt;&gt;"moeda")*(Inputs!$G$5:$G$130&lt;&gt;"acoes")))*INDEX(Inputs!$K$5:$AJ$130,0,MATCH(AF$2,Inputs!$K$4:$AJ$4,0)))+SUMPRODUCT((Inputs!$C$5:$C$130=$B55)*Inputs!$D$5:$D$130*(((Inputs!$G$5:$G$130="moeda")+(Inputs!$G$5:$G$130="acoes"))*Inputs!$B$1+((Inputs!$G$5:$G$130&lt;&gt;"moeda")*(Inputs!$G$5:$G$130&lt;&gt;"acoes")))*INDEX(Inputs!$K$5:$AJ$130,0,MATCH(AF$2,Inputs!$K$4:$AJ$4,0)))+SUMPRODUCT((Inputs!$E$5:$E$130=$B55)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5" s="512" t="e">
        <f>SUM(AC55:AF55)</f>
        <v>#N/A</v>
      </c>
      <c r="AH55" s="511" t="e">
        <f>IF(ISNA(MATCH(AH$2,Inputs!$K$4:$AJ$4,0)),NA(),IF(SUMPRODUCT((Inputs!$A$5:$A$130=$B55)*ISNUMBER(INDEX(Inputs!$K$5:$AJ$130,0,MATCH(AH$2,Inputs!$K$4:$AJ$4,0))))+SUMPRODUCT((Inputs!$C$5:$C$130=$B55)*ISNUMBER(INDEX(Inputs!$K$5:$AJ$130,0,MATCH(AH$2,Inputs!$K$4:$AJ$4,0))))+SUMPRODUCT((Inputs!$E$5:$E$130=$B55)*ISNUMBER(INDEX(Inputs!$K$5:$AJ$130,0,MATCH(AH$2,Inputs!$K$4:$AJ$4,0))))=0,NA(),SUMPRODUCT((Inputs!$A$5:$A$130=$B55)*Inputs!$B$5:$B$130*(((Inputs!$G$5:$G$130="moeda")+(Inputs!$G$5:$G$130="acoes"))*Inputs!$B$1+((Inputs!$G$5:$G$130&lt;&gt;"moeda")*(Inputs!$G$5:$G$130&lt;&gt;"acoes")))*INDEX(Inputs!$K$5:$AJ$130,0,MATCH(AH$2,Inputs!$K$4:$AJ$4,0)))+SUMPRODUCT((Inputs!$C$5:$C$130=$B55)*Inputs!$D$5:$D$130*(((Inputs!$G$5:$G$130="moeda")+(Inputs!$G$5:$G$130="acoes"))*Inputs!$B$1+((Inputs!$G$5:$G$130&lt;&gt;"moeda")*(Inputs!$G$5:$G$130&lt;&gt;"acoes")))*INDEX(Inputs!$K$5:$AJ$130,0,MATCH(AH$2,Inputs!$K$4:$AJ$4,0)))+SUMPRODUCT((Inputs!$E$5:$E$130=$B55)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55" s="511" t="e">
        <f>IF(ISNA(MATCH(AI$2,Inputs!$K$4:$AJ$4,0)),NA(),IF(SUMPRODUCT((Inputs!$A$5:$A$130=$B55)*ISNUMBER(INDEX(Inputs!$K$5:$AJ$130,0,MATCH(AI$2,Inputs!$K$4:$AJ$4,0))))+SUMPRODUCT((Inputs!$C$5:$C$130=$B55)*ISNUMBER(INDEX(Inputs!$K$5:$AJ$130,0,MATCH(AI$2,Inputs!$K$4:$AJ$4,0))))+SUMPRODUCT((Inputs!$E$5:$E$130=$B55)*ISNUMBER(INDEX(Inputs!$K$5:$AJ$130,0,MATCH(AI$2,Inputs!$K$4:$AJ$4,0))))=0,NA(),SUMPRODUCT((Inputs!$A$5:$A$130=$B55)*Inputs!$B$5:$B$130*(((Inputs!$G$5:$G$130="moeda")+(Inputs!$G$5:$G$130="acoes"))*Inputs!$B$1+((Inputs!$G$5:$G$130&lt;&gt;"moeda")*(Inputs!$G$5:$G$130&lt;&gt;"acoes")))*INDEX(Inputs!$K$5:$AJ$130,0,MATCH(AI$2,Inputs!$K$4:$AJ$4,0)))+SUMPRODUCT((Inputs!$C$5:$C$130=$B55)*Inputs!$D$5:$D$130*(((Inputs!$G$5:$G$130="moeda")+(Inputs!$G$5:$G$130="acoes"))*Inputs!$B$1+((Inputs!$G$5:$G$130&lt;&gt;"moeda")*(Inputs!$G$5:$G$130&lt;&gt;"acoes")))*INDEX(Inputs!$K$5:$AJ$130,0,MATCH(AI$2,Inputs!$K$4:$AJ$4,0)))+SUMPRODUCT((Inputs!$E$5:$E$130=$B55)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55" s="511" t="e">
        <f>IF(ISNA(MATCH(AJ$2,Inputs!$K$4:$AJ$4,0)),NA(),IF(SUMPRODUCT((Inputs!$A$5:$A$130=$B55)*ISNUMBER(INDEX(Inputs!$K$5:$AJ$130,0,MATCH(AJ$2,Inputs!$K$4:$AJ$4,0))))+SUMPRODUCT((Inputs!$C$5:$C$130=$B55)*ISNUMBER(INDEX(Inputs!$K$5:$AJ$130,0,MATCH(AJ$2,Inputs!$K$4:$AJ$4,0))))+SUMPRODUCT((Inputs!$E$5:$E$130=$B55)*ISNUMBER(INDEX(Inputs!$K$5:$AJ$130,0,MATCH(AJ$2,Inputs!$K$4:$AJ$4,0))))=0,NA(),SUMPRODUCT((Inputs!$A$5:$A$130=$B55)*Inputs!$B$5:$B$130*(((Inputs!$G$5:$G$130="moeda")+(Inputs!$G$5:$G$130="acoes"))*Inputs!$B$1+((Inputs!$G$5:$G$130&lt;&gt;"moeda")*(Inputs!$G$5:$G$130&lt;&gt;"acoes")))*INDEX(Inputs!$K$5:$AJ$130,0,MATCH(AJ$2,Inputs!$K$4:$AJ$4,0)))+SUMPRODUCT((Inputs!$C$5:$C$130=$B55)*Inputs!$D$5:$D$130*(((Inputs!$G$5:$G$130="moeda")+(Inputs!$G$5:$G$130="acoes"))*Inputs!$B$1+((Inputs!$G$5:$G$130&lt;&gt;"moeda")*(Inputs!$G$5:$G$130&lt;&gt;"acoes")))*INDEX(Inputs!$K$5:$AJ$130,0,MATCH(AJ$2,Inputs!$K$4:$AJ$4,0)))+SUMPRODUCT((Inputs!$E$5:$E$130=$B55)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55" s="511" t="e">
        <f>IF(ISNA(MATCH(AK$2,Inputs!$K$4:$AJ$4,0)),NA(),IF(SUMPRODUCT((Inputs!$A$5:$A$130=$B55)*ISNUMBER(INDEX(Inputs!$K$5:$AJ$130,0,MATCH(AK$2,Inputs!$K$4:$AJ$4,0))))+SUMPRODUCT((Inputs!$C$5:$C$130=$B55)*ISNUMBER(INDEX(Inputs!$K$5:$AJ$130,0,MATCH(AK$2,Inputs!$K$4:$AJ$4,0))))+SUMPRODUCT((Inputs!$E$5:$E$130=$B55)*ISNUMBER(INDEX(Inputs!$K$5:$AJ$130,0,MATCH(AK$2,Inputs!$K$4:$AJ$4,0))))=0,NA(),SUMPRODUCT((Inputs!$A$5:$A$130=$B55)*Inputs!$B$5:$B$130*(((Inputs!$G$5:$G$130="moeda")+(Inputs!$G$5:$G$130="acoes"))*Inputs!$B$1+((Inputs!$G$5:$G$130&lt;&gt;"moeda")*(Inputs!$G$5:$G$130&lt;&gt;"acoes")))*INDEX(Inputs!$K$5:$AJ$130,0,MATCH(AK$2,Inputs!$K$4:$AJ$4,0)))+SUMPRODUCT((Inputs!$C$5:$C$130=$B55)*Inputs!$D$5:$D$130*(((Inputs!$G$5:$G$130="moeda")+(Inputs!$G$5:$G$130="acoes"))*Inputs!$B$1+((Inputs!$G$5:$G$130&lt;&gt;"moeda")*(Inputs!$G$5:$G$130&lt;&gt;"acoes")))*INDEX(Inputs!$K$5:$AJ$130,0,MATCH(AK$2,Inputs!$K$4:$AJ$4,0)))+SUMPRODUCT((Inputs!$E$5:$E$130=$B55)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55" s="512" t="e">
        <f>SUM(AH55:AK55)</f>
        <v>#N/A</v>
      </c>
    </row>
    <row r="56">
      <c r="B56" s="263" t="n">
        <v>48</v>
      </c>
      <c r="C56" s="264" t="inlineStr">
        <is>
          <t>Chemicals &amp; Products - receita de terceiros (USD mi)</t>
        </is>
      </c>
      <c r="D56" s="511">
        <f>IF(ISNA(MATCH(D$2,Inputs!$K$4:$AJ$4,0)),NA(),IF(SUMPRODUCT((Inputs!$A$5:$A$130=$B56)*ISNUMBER(INDEX(Inputs!$K$5:$AJ$130,0,MATCH(D$2,Inputs!$K$4:$AJ$4,0))))+SUMPRODUCT((Inputs!$C$5:$C$130=$B56)*ISNUMBER(INDEX(Inputs!$K$5:$AJ$130,0,MATCH(D$2,Inputs!$K$4:$AJ$4,0))))+SUMPRODUCT((Inputs!$E$5:$E$130=$B56)*ISNUMBER(INDEX(Inputs!$K$5:$AJ$130,0,MATCH(D$2,Inputs!$K$4:$AJ$4,0))))=0,NA(),SUMPRODUCT((Inputs!$A$5:$A$130=$B56)*Inputs!$B$5:$B$130*(((Inputs!$G$5:$G$130="moeda")+(Inputs!$G$5:$G$130="acoes"))*Inputs!$B$1+((Inputs!$G$5:$G$130&lt;&gt;"moeda")*(Inputs!$G$5:$G$130&lt;&gt;"acoes")))*INDEX(Inputs!$K$5:$AJ$130,0,MATCH(D$2,Inputs!$K$4:$AJ$4,0)))+SUMPRODUCT((Inputs!$C$5:$C$130=$B56)*Inputs!$D$5:$D$130*(((Inputs!$G$5:$G$130="moeda")+(Inputs!$G$5:$G$130="acoes"))*Inputs!$B$1+((Inputs!$G$5:$G$130&lt;&gt;"moeda")*(Inputs!$G$5:$G$130&lt;&gt;"acoes")))*INDEX(Inputs!$K$5:$AJ$130,0,MATCH(D$2,Inputs!$K$4:$AJ$4,0)))+SUMPRODUCT((Inputs!$E$5:$E$130=$B56)*Inputs!$F$5:$F$130*(((Inputs!$G$5:$G$130="moeda")+(Inputs!$G$5:$G$130="acoes"))*Inputs!$B$1+((Inputs!$G$5:$G$130&lt;&gt;"moeda")*(Inputs!$G$5:$G$130&lt;&gt;"acoes")))*INDEX(Inputs!$K$5:$AJ$130,0,MATCH(D$2,Inputs!$K$4:$AJ$4,0)))))</f>
        <v>22356</v>
      </c>
      <c r="E56" s="511">
        <f>IF(ISNA(MATCH(E$2,Inputs!$K$4:$AJ$4,0)),NA(),IF(SUMPRODUCT((Inputs!$A$5:$A$130=$B56)*ISNUMBER(INDEX(Inputs!$K$5:$AJ$130,0,MATCH(E$2,Inputs!$K$4:$AJ$4,0))))+SUMPRODUCT((Inputs!$C$5:$C$130=$B56)*ISNUMBER(INDEX(Inputs!$K$5:$AJ$130,0,MATCH(E$2,Inputs!$K$4:$AJ$4,0))))+SUMPRODUCT((Inputs!$E$5:$E$130=$B56)*ISNUMBER(INDEX(Inputs!$K$5:$AJ$130,0,MATCH(E$2,Inputs!$K$4:$AJ$4,0))))=0,NA(),SUMPRODUCT((Inputs!$A$5:$A$130=$B56)*Inputs!$B$5:$B$130*(((Inputs!$G$5:$G$130="moeda")+(Inputs!$G$5:$G$130="acoes"))*Inputs!$B$1+((Inputs!$G$5:$G$130&lt;&gt;"moeda")*(Inputs!$G$5:$G$130&lt;&gt;"acoes")))*INDEX(Inputs!$K$5:$AJ$130,0,MATCH(E$2,Inputs!$K$4:$AJ$4,0)))+SUMPRODUCT((Inputs!$C$5:$C$130=$B56)*Inputs!$D$5:$D$130*(((Inputs!$G$5:$G$130="moeda")+(Inputs!$G$5:$G$130="acoes"))*Inputs!$B$1+((Inputs!$G$5:$G$130&lt;&gt;"moeda")*(Inputs!$G$5:$G$130&lt;&gt;"acoes")))*INDEX(Inputs!$K$5:$AJ$130,0,MATCH(E$2,Inputs!$K$4:$AJ$4,0)))+SUMPRODUCT((Inputs!$E$5:$E$130=$B56)*Inputs!$F$5:$F$130*(((Inputs!$G$5:$G$130="moeda")+(Inputs!$G$5:$G$130="acoes"))*Inputs!$B$1+((Inputs!$G$5:$G$130&lt;&gt;"moeda")*(Inputs!$G$5:$G$130&lt;&gt;"acoes")))*INDEX(Inputs!$K$5:$AJ$130,0,MATCH(E$2,Inputs!$K$4:$AJ$4,0)))))</f>
        <v>24282</v>
      </c>
      <c r="F56" s="511">
        <f>IF(ISNA(MATCH(F$2,Inputs!$K$4:$AJ$4,0)),NA(),IF(SUMPRODUCT((Inputs!$A$5:$A$130=$B56)*ISNUMBER(INDEX(Inputs!$K$5:$AJ$130,0,MATCH(F$2,Inputs!$K$4:$AJ$4,0))))+SUMPRODUCT((Inputs!$C$5:$C$130=$B56)*ISNUMBER(INDEX(Inputs!$K$5:$AJ$130,0,MATCH(F$2,Inputs!$K$4:$AJ$4,0))))+SUMPRODUCT((Inputs!$E$5:$E$130=$B56)*ISNUMBER(INDEX(Inputs!$K$5:$AJ$130,0,MATCH(F$2,Inputs!$K$4:$AJ$4,0))))=0,NA(),SUMPRODUCT((Inputs!$A$5:$A$130=$B56)*Inputs!$B$5:$B$130*(((Inputs!$G$5:$G$130="moeda")+(Inputs!$G$5:$G$130="acoes"))*Inputs!$B$1+((Inputs!$G$5:$G$130&lt;&gt;"moeda")*(Inputs!$G$5:$G$130&lt;&gt;"acoes")))*INDEX(Inputs!$K$5:$AJ$130,0,MATCH(F$2,Inputs!$K$4:$AJ$4,0)))+SUMPRODUCT((Inputs!$C$5:$C$130=$B56)*Inputs!$D$5:$D$130*(((Inputs!$G$5:$G$130="moeda")+(Inputs!$G$5:$G$130="acoes"))*Inputs!$B$1+((Inputs!$G$5:$G$130&lt;&gt;"moeda")*(Inputs!$G$5:$G$130&lt;&gt;"acoes")))*INDEX(Inputs!$K$5:$AJ$130,0,MATCH(F$2,Inputs!$K$4:$AJ$4,0)))+SUMPRODUCT((Inputs!$E$5:$E$130=$B56)*Inputs!$F$5:$F$130*(((Inputs!$G$5:$G$130="moeda")+(Inputs!$G$5:$G$130="acoes"))*Inputs!$B$1+((Inputs!$G$5:$G$130&lt;&gt;"moeda")*(Inputs!$G$5:$G$130&lt;&gt;"acoes")))*INDEX(Inputs!$K$5:$AJ$130,0,MATCH(F$2,Inputs!$K$4:$AJ$4,0)))))</f>
        <v>23213</v>
      </c>
      <c r="G56" s="511">
        <f>IF(ISNA(MATCH(G$2,Inputs!$K$4:$AJ$4,0)),NA(),IF(SUMPRODUCT((Inputs!$A$5:$A$130=$B56)*ISNUMBER(INDEX(Inputs!$K$5:$AJ$130,0,MATCH(G$2,Inputs!$K$4:$AJ$4,0))))+SUMPRODUCT((Inputs!$C$5:$C$130=$B56)*ISNUMBER(INDEX(Inputs!$K$5:$AJ$130,0,MATCH(G$2,Inputs!$K$4:$AJ$4,0))))+SUMPRODUCT((Inputs!$E$5:$E$130=$B56)*ISNUMBER(INDEX(Inputs!$K$5:$AJ$130,0,MATCH(G$2,Inputs!$K$4:$AJ$4,0))))=0,NA(),SUMPRODUCT((Inputs!$A$5:$A$130=$B56)*Inputs!$B$5:$B$130*(((Inputs!$G$5:$G$130="moeda")+(Inputs!$G$5:$G$130="acoes"))*Inputs!$B$1+((Inputs!$G$5:$G$130&lt;&gt;"moeda")*(Inputs!$G$5:$G$130&lt;&gt;"acoes")))*INDEX(Inputs!$K$5:$AJ$130,0,MATCH(G$2,Inputs!$K$4:$AJ$4,0)))+SUMPRODUCT((Inputs!$C$5:$C$130=$B56)*Inputs!$D$5:$D$130*(((Inputs!$G$5:$G$130="moeda")+(Inputs!$G$5:$G$130="acoes"))*Inputs!$B$1+((Inputs!$G$5:$G$130&lt;&gt;"moeda")*(Inputs!$G$5:$G$130&lt;&gt;"acoes")))*INDEX(Inputs!$K$5:$AJ$130,0,MATCH(G$2,Inputs!$K$4:$AJ$4,0)))+SUMPRODUCT((Inputs!$E$5:$E$130=$B56)*Inputs!$F$5:$F$130*(((Inputs!$G$5:$G$130="moeda")+(Inputs!$G$5:$G$130="acoes"))*Inputs!$B$1+((Inputs!$G$5:$G$130&lt;&gt;"moeda")*(Inputs!$G$5:$G$130&lt;&gt;"acoes")))*INDEX(Inputs!$K$5:$AJ$130,0,MATCH(G$2,Inputs!$K$4:$AJ$4,0)))))</f>
        <v>28279</v>
      </c>
      <c r="H56" s="512">
        <f>SUM(D56:G56)</f>
        <v>98130</v>
      </c>
      <c r="I56" s="511">
        <f>IF(ISNA(MATCH(I$2,Inputs!$K$4:$AJ$4,0)),NA(),IF(SUMPRODUCT((Inputs!$A$5:$A$130=$B56)*ISNUMBER(INDEX(Inputs!$K$5:$AJ$130,0,MATCH(I$2,Inputs!$K$4:$AJ$4,0))))+SUMPRODUCT((Inputs!$C$5:$C$130=$B56)*ISNUMBER(INDEX(Inputs!$K$5:$AJ$130,0,MATCH(I$2,Inputs!$K$4:$AJ$4,0))))+SUMPRODUCT((Inputs!$E$5:$E$130=$B56)*ISNUMBER(INDEX(Inputs!$K$5:$AJ$130,0,MATCH(I$2,Inputs!$K$4:$AJ$4,0))))=0,NA(),SUMPRODUCT((Inputs!$A$5:$A$130=$B56)*Inputs!$B$5:$B$130*(((Inputs!$G$5:$G$130="moeda")+(Inputs!$G$5:$G$130="acoes"))*Inputs!$B$1+((Inputs!$G$5:$G$130&lt;&gt;"moeda")*(Inputs!$G$5:$G$130&lt;&gt;"acoes")))*INDEX(Inputs!$K$5:$AJ$130,0,MATCH(I$2,Inputs!$K$4:$AJ$4,0)))+SUMPRODUCT((Inputs!$C$5:$C$130=$B56)*Inputs!$D$5:$D$130*(((Inputs!$G$5:$G$130="moeda")+(Inputs!$G$5:$G$130="acoes"))*Inputs!$B$1+((Inputs!$G$5:$G$130&lt;&gt;"moeda")*(Inputs!$G$5:$G$130&lt;&gt;"acoes")))*INDEX(Inputs!$K$5:$AJ$130,0,MATCH(I$2,Inputs!$K$4:$AJ$4,0)))+SUMPRODUCT((Inputs!$E$5:$E$130=$B56)*Inputs!$F$5:$F$130*(((Inputs!$G$5:$G$130="moeda")+(Inputs!$G$5:$G$130="acoes"))*Inputs!$B$1+((Inputs!$G$5:$G$130&lt;&gt;"moeda")*(Inputs!$G$5:$G$130&lt;&gt;"acoes")))*INDEX(Inputs!$K$5:$AJ$130,0,MATCH(I$2,Inputs!$K$4:$AJ$4,0)))))</f>
        <v>27150</v>
      </c>
      <c r="J56" s="511">
        <f>IF(ISNA(MATCH(J$2,Inputs!$K$4:$AJ$4,0)),NA(),IF(SUMPRODUCT((Inputs!$A$5:$A$130=$B56)*ISNUMBER(INDEX(Inputs!$K$5:$AJ$130,0,MATCH(J$2,Inputs!$K$4:$AJ$4,0))))+SUMPRODUCT((Inputs!$C$5:$C$130=$B56)*ISNUMBER(INDEX(Inputs!$K$5:$AJ$130,0,MATCH(J$2,Inputs!$K$4:$AJ$4,0))))+SUMPRODUCT((Inputs!$E$5:$E$130=$B56)*ISNUMBER(INDEX(Inputs!$K$5:$AJ$130,0,MATCH(J$2,Inputs!$K$4:$AJ$4,0))))=0,NA(),SUMPRODUCT((Inputs!$A$5:$A$130=$B56)*Inputs!$B$5:$B$130*(((Inputs!$G$5:$G$130="moeda")+(Inputs!$G$5:$G$130="acoes"))*Inputs!$B$1+((Inputs!$G$5:$G$130&lt;&gt;"moeda")*(Inputs!$G$5:$G$130&lt;&gt;"acoes")))*INDEX(Inputs!$K$5:$AJ$130,0,MATCH(J$2,Inputs!$K$4:$AJ$4,0)))+SUMPRODUCT((Inputs!$C$5:$C$130=$B56)*Inputs!$D$5:$D$130*(((Inputs!$G$5:$G$130="moeda")+(Inputs!$G$5:$G$130="acoes"))*Inputs!$B$1+((Inputs!$G$5:$G$130&lt;&gt;"moeda")*(Inputs!$G$5:$G$130&lt;&gt;"acoes")))*INDEX(Inputs!$K$5:$AJ$130,0,MATCH(J$2,Inputs!$K$4:$AJ$4,0)))+SUMPRODUCT((Inputs!$E$5:$E$130=$B56)*Inputs!$F$5:$F$130*(((Inputs!$G$5:$G$130="moeda")+(Inputs!$G$5:$G$130="acoes"))*Inputs!$B$1+((Inputs!$G$5:$G$130&lt;&gt;"moeda")*(Inputs!$G$5:$G$130&lt;&gt;"acoes")))*INDEX(Inputs!$K$5:$AJ$130,0,MATCH(J$2,Inputs!$K$4:$AJ$4,0)))))</f>
        <v>31850</v>
      </c>
      <c r="K56" s="511">
        <f>IF(ISNA(MATCH(K$2,Inputs!$K$4:$AJ$4,0)),NA(),IF(SUMPRODUCT((Inputs!$A$5:$A$130=$B56)*ISNUMBER(INDEX(Inputs!$K$5:$AJ$130,0,MATCH(K$2,Inputs!$K$4:$AJ$4,0))))+SUMPRODUCT((Inputs!$C$5:$C$130=$B56)*ISNUMBER(INDEX(Inputs!$K$5:$AJ$130,0,MATCH(K$2,Inputs!$K$4:$AJ$4,0))))+SUMPRODUCT((Inputs!$E$5:$E$130=$B56)*ISNUMBER(INDEX(Inputs!$K$5:$AJ$130,0,MATCH(K$2,Inputs!$K$4:$AJ$4,0))))=0,NA(),SUMPRODUCT((Inputs!$A$5:$A$130=$B56)*Inputs!$B$5:$B$130*(((Inputs!$G$5:$G$130="moeda")+(Inputs!$G$5:$G$130="acoes"))*Inputs!$B$1+((Inputs!$G$5:$G$130&lt;&gt;"moeda")*(Inputs!$G$5:$G$130&lt;&gt;"acoes")))*INDEX(Inputs!$K$5:$AJ$130,0,MATCH(K$2,Inputs!$K$4:$AJ$4,0)))+SUMPRODUCT((Inputs!$C$5:$C$130=$B56)*Inputs!$D$5:$D$130*(((Inputs!$G$5:$G$130="moeda")+(Inputs!$G$5:$G$130="acoes"))*Inputs!$B$1+((Inputs!$G$5:$G$130&lt;&gt;"moeda")*(Inputs!$G$5:$G$130&lt;&gt;"acoes")))*INDEX(Inputs!$K$5:$AJ$130,0,MATCH(K$2,Inputs!$K$4:$AJ$4,0)))+SUMPRODUCT((Inputs!$E$5:$E$130=$B56)*Inputs!$F$5:$F$130*(((Inputs!$G$5:$G$130="moeda")+(Inputs!$G$5:$G$130="acoes"))*Inputs!$B$1+((Inputs!$G$5:$G$130&lt;&gt;"moeda")*(Inputs!$G$5:$G$130&lt;&gt;"acoes")))*INDEX(Inputs!$K$5:$AJ$130,0,MATCH(K$2,Inputs!$K$4:$AJ$4,0)))))</f>
        <v>30016</v>
      </c>
      <c r="L56" s="511">
        <f>IF(ISNA(MATCH(L$2,Inputs!$K$4:$AJ$4,0)),NA(),IF(SUMPRODUCT((Inputs!$A$5:$A$130=$B56)*ISNUMBER(INDEX(Inputs!$K$5:$AJ$130,0,MATCH(L$2,Inputs!$K$4:$AJ$4,0))))+SUMPRODUCT((Inputs!$C$5:$C$130=$B56)*ISNUMBER(INDEX(Inputs!$K$5:$AJ$130,0,MATCH(L$2,Inputs!$K$4:$AJ$4,0))))+SUMPRODUCT((Inputs!$E$5:$E$130=$B56)*ISNUMBER(INDEX(Inputs!$K$5:$AJ$130,0,MATCH(L$2,Inputs!$K$4:$AJ$4,0))))=0,NA(),SUMPRODUCT((Inputs!$A$5:$A$130=$B56)*Inputs!$B$5:$B$130*(((Inputs!$G$5:$G$130="moeda")+(Inputs!$G$5:$G$130="acoes"))*Inputs!$B$1+((Inputs!$G$5:$G$130&lt;&gt;"moeda")*(Inputs!$G$5:$G$130&lt;&gt;"acoes")))*INDEX(Inputs!$K$5:$AJ$130,0,MATCH(L$2,Inputs!$K$4:$AJ$4,0)))+SUMPRODUCT((Inputs!$C$5:$C$130=$B56)*Inputs!$D$5:$D$130*(((Inputs!$G$5:$G$130="moeda")+(Inputs!$G$5:$G$130="acoes"))*Inputs!$B$1+((Inputs!$G$5:$G$130&lt;&gt;"moeda")*(Inputs!$G$5:$G$130&lt;&gt;"acoes")))*INDEX(Inputs!$K$5:$AJ$130,0,MATCH(L$2,Inputs!$K$4:$AJ$4,0)))+SUMPRODUCT((Inputs!$E$5:$E$130=$B56)*Inputs!$F$5:$F$130*(((Inputs!$G$5:$G$130="moeda")+(Inputs!$G$5:$G$130="acoes"))*Inputs!$B$1+((Inputs!$G$5:$G$130&lt;&gt;"moeda")*(Inputs!$G$5:$G$130&lt;&gt;"acoes")))*INDEX(Inputs!$K$5:$AJ$130,0,MATCH(L$2,Inputs!$K$4:$AJ$4,0)))))</f>
        <v>26525</v>
      </c>
      <c r="M56" s="512">
        <f>SUM(I56:L56)</f>
        <v>115541</v>
      </c>
      <c r="N56" s="511">
        <f>IF(ISNA(MATCH(N$2,Inputs!$K$4:$AJ$4,0)),NA(),IF(SUMPRODUCT((Inputs!$A$5:$A$130=$B56)*ISNUMBER(INDEX(Inputs!$K$5:$AJ$130,0,MATCH(N$2,Inputs!$K$4:$AJ$4,0))))+SUMPRODUCT((Inputs!$C$5:$C$130=$B56)*ISNUMBER(INDEX(Inputs!$K$5:$AJ$130,0,MATCH(N$2,Inputs!$K$4:$AJ$4,0))))+SUMPRODUCT((Inputs!$E$5:$E$130=$B56)*ISNUMBER(INDEX(Inputs!$K$5:$AJ$130,0,MATCH(N$2,Inputs!$K$4:$AJ$4,0))))=0,NA(),SUMPRODUCT((Inputs!$A$5:$A$130=$B56)*Inputs!$B$5:$B$130*(((Inputs!$G$5:$G$130="moeda")+(Inputs!$G$5:$G$130="acoes"))*Inputs!$B$1+((Inputs!$G$5:$G$130&lt;&gt;"moeda")*(Inputs!$G$5:$G$130&lt;&gt;"acoes")))*INDEX(Inputs!$K$5:$AJ$130,0,MATCH(N$2,Inputs!$K$4:$AJ$4,0)))+SUMPRODUCT((Inputs!$C$5:$C$130=$B56)*Inputs!$D$5:$D$130*(((Inputs!$G$5:$G$130="moeda")+(Inputs!$G$5:$G$130="acoes"))*Inputs!$B$1+((Inputs!$G$5:$G$130&lt;&gt;"moeda")*(Inputs!$G$5:$G$130&lt;&gt;"acoes")))*INDEX(Inputs!$K$5:$AJ$130,0,MATCH(N$2,Inputs!$K$4:$AJ$4,0)))+SUMPRODUCT((Inputs!$E$5:$E$130=$B56)*Inputs!$F$5:$F$130*(((Inputs!$G$5:$G$130="moeda")+(Inputs!$G$5:$G$130="acoes"))*Inputs!$B$1+((Inputs!$G$5:$G$130&lt;&gt;"moeda")*(Inputs!$G$5:$G$130&lt;&gt;"acoes")))*INDEX(Inputs!$K$5:$AJ$130,0,MATCH(N$2,Inputs!$K$4:$AJ$4,0)))))</f>
        <v>26290</v>
      </c>
      <c r="O56" s="511">
        <f>IF(ISNA(MATCH(O$2,Inputs!$K$4:$AJ$4,0)),NA(),IF(SUMPRODUCT((Inputs!$A$5:$A$130=$B56)*ISNUMBER(INDEX(Inputs!$K$5:$AJ$130,0,MATCH(O$2,Inputs!$K$4:$AJ$4,0))))+SUMPRODUCT((Inputs!$C$5:$C$130=$B56)*ISNUMBER(INDEX(Inputs!$K$5:$AJ$130,0,MATCH(O$2,Inputs!$K$4:$AJ$4,0))))+SUMPRODUCT((Inputs!$E$5:$E$130=$B56)*ISNUMBER(INDEX(Inputs!$K$5:$AJ$130,0,MATCH(O$2,Inputs!$K$4:$AJ$4,0))))=0,NA(),SUMPRODUCT((Inputs!$A$5:$A$130=$B56)*Inputs!$B$5:$B$130*(((Inputs!$G$5:$G$130="moeda")+(Inputs!$G$5:$G$130="acoes"))*Inputs!$B$1+((Inputs!$G$5:$G$130&lt;&gt;"moeda")*(Inputs!$G$5:$G$130&lt;&gt;"acoes")))*INDEX(Inputs!$K$5:$AJ$130,0,MATCH(O$2,Inputs!$K$4:$AJ$4,0)))+SUMPRODUCT((Inputs!$C$5:$C$130=$B56)*Inputs!$D$5:$D$130*(((Inputs!$G$5:$G$130="moeda")+(Inputs!$G$5:$G$130="acoes"))*Inputs!$B$1+((Inputs!$G$5:$G$130&lt;&gt;"moeda")*(Inputs!$G$5:$G$130&lt;&gt;"acoes")))*INDEX(Inputs!$K$5:$AJ$130,0,MATCH(O$2,Inputs!$K$4:$AJ$4,0)))+SUMPRODUCT((Inputs!$E$5:$E$130=$B56)*Inputs!$F$5:$F$130*(((Inputs!$G$5:$G$130="moeda")+(Inputs!$G$5:$G$130="acoes"))*Inputs!$B$1+((Inputs!$G$5:$G$130&lt;&gt;"moeda")*(Inputs!$G$5:$G$130&lt;&gt;"acoes")))*INDEX(Inputs!$K$5:$AJ$130,0,MATCH(O$2,Inputs!$K$4:$AJ$4,0)))))</f>
        <v>23712</v>
      </c>
      <c r="P56" s="511">
        <f>IF(ISNA(MATCH(P$2,Inputs!$K$4:$AJ$4,0)),NA(),IF(SUMPRODUCT((Inputs!$A$5:$A$130=$B56)*ISNUMBER(INDEX(Inputs!$K$5:$AJ$130,0,MATCH(P$2,Inputs!$K$4:$AJ$4,0))))+SUMPRODUCT((Inputs!$C$5:$C$130=$B56)*ISNUMBER(INDEX(Inputs!$K$5:$AJ$130,0,MATCH(P$2,Inputs!$K$4:$AJ$4,0))))+SUMPRODUCT((Inputs!$E$5:$E$130=$B56)*ISNUMBER(INDEX(Inputs!$K$5:$AJ$130,0,MATCH(P$2,Inputs!$K$4:$AJ$4,0))))=0,NA(),SUMPRODUCT((Inputs!$A$5:$A$130=$B56)*Inputs!$B$5:$B$130*(((Inputs!$G$5:$G$130="moeda")+(Inputs!$G$5:$G$130="acoes"))*Inputs!$B$1+((Inputs!$G$5:$G$130&lt;&gt;"moeda")*(Inputs!$G$5:$G$130&lt;&gt;"acoes")))*INDEX(Inputs!$K$5:$AJ$130,0,MATCH(P$2,Inputs!$K$4:$AJ$4,0)))+SUMPRODUCT((Inputs!$C$5:$C$130=$B56)*Inputs!$D$5:$D$130*(((Inputs!$G$5:$G$130="moeda")+(Inputs!$G$5:$G$130="acoes"))*Inputs!$B$1+((Inputs!$G$5:$G$130&lt;&gt;"moeda")*(Inputs!$G$5:$G$130&lt;&gt;"acoes")))*INDEX(Inputs!$K$5:$AJ$130,0,MATCH(P$2,Inputs!$K$4:$AJ$4,0)))+SUMPRODUCT((Inputs!$E$5:$E$130=$B56)*Inputs!$F$5:$F$130*(((Inputs!$G$5:$G$130="moeda")+(Inputs!$G$5:$G$130="acoes"))*Inputs!$B$1+((Inputs!$G$5:$G$130&lt;&gt;"moeda")*(Inputs!$G$5:$G$130&lt;&gt;"acoes")))*INDEX(Inputs!$K$5:$AJ$130,0,MATCH(P$2,Inputs!$K$4:$AJ$4,0)))))</f>
        <v>22119</v>
      </c>
      <c r="Q56" s="511">
        <f>IF(ISNA(MATCH(Q$2,Inputs!$K$4:$AJ$4,0)),NA(),IF(SUMPRODUCT((Inputs!$A$5:$A$130=$B56)*ISNUMBER(INDEX(Inputs!$K$5:$AJ$130,0,MATCH(Q$2,Inputs!$K$4:$AJ$4,0))))+SUMPRODUCT((Inputs!$C$5:$C$130=$B56)*ISNUMBER(INDEX(Inputs!$K$5:$AJ$130,0,MATCH(Q$2,Inputs!$K$4:$AJ$4,0))))+SUMPRODUCT((Inputs!$E$5:$E$130=$B56)*ISNUMBER(INDEX(Inputs!$K$5:$AJ$130,0,MATCH(Q$2,Inputs!$K$4:$AJ$4,0))))=0,NA(),SUMPRODUCT((Inputs!$A$5:$A$130=$B56)*Inputs!$B$5:$B$130*(((Inputs!$G$5:$G$130="moeda")+(Inputs!$G$5:$G$130="acoes"))*Inputs!$B$1+((Inputs!$G$5:$G$130&lt;&gt;"moeda")*(Inputs!$G$5:$G$130&lt;&gt;"acoes")))*INDEX(Inputs!$K$5:$AJ$130,0,MATCH(Q$2,Inputs!$K$4:$AJ$4,0)))+SUMPRODUCT((Inputs!$C$5:$C$130=$B56)*Inputs!$D$5:$D$130*(((Inputs!$G$5:$G$130="moeda")+(Inputs!$G$5:$G$130="acoes"))*Inputs!$B$1+((Inputs!$G$5:$G$130&lt;&gt;"moeda")*(Inputs!$G$5:$G$130&lt;&gt;"acoes")))*INDEX(Inputs!$K$5:$AJ$130,0,MATCH(Q$2,Inputs!$K$4:$AJ$4,0)))+SUMPRODUCT((Inputs!$E$5:$E$130=$B56)*Inputs!$F$5:$F$130*(((Inputs!$G$5:$G$130="moeda")+(Inputs!$G$5:$G$130="acoes"))*Inputs!$B$1+((Inputs!$G$5:$G$130&lt;&gt;"moeda")*(Inputs!$G$5:$G$130&lt;&gt;"acoes")))*INDEX(Inputs!$K$5:$AJ$130,0,MATCH(Q$2,Inputs!$K$4:$AJ$4,0)))))</f>
        <v>24957</v>
      </c>
      <c r="R56" s="512">
        <f>SUM(N56:Q56)</f>
        <v>97078</v>
      </c>
      <c r="S56" s="511">
        <f>IF(ISNA(MATCH(S$2,Inputs!$K$4:$AJ$4,0)),NA(),IF(SUMPRODUCT((Inputs!$A$5:$A$130=$B56)*ISNUMBER(INDEX(Inputs!$K$5:$AJ$130,0,MATCH(S$2,Inputs!$K$4:$AJ$4,0))))+SUMPRODUCT((Inputs!$C$5:$C$130=$B56)*ISNUMBER(INDEX(Inputs!$K$5:$AJ$130,0,MATCH(S$2,Inputs!$K$4:$AJ$4,0))))+SUMPRODUCT((Inputs!$E$5:$E$130=$B56)*ISNUMBER(INDEX(Inputs!$K$5:$AJ$130,0,MATCH(S$2,Inputs!$K$4:$AJ$4,0))))=0,NA(),SUMPRODUCT((Inputs!$A$5:$A$130=$B56)*Inputs!$B$5:$B$130*(((Inputs!$G$5:$G$130="moeda")+(Inputs!$G$5:$G$130="acoes"))*Inputs!$B$1+((Inputs!$G$5:$G$130&lt;&gt;"moeda")*(Inputs!$G$5:$G$130&lt;&gt;"acoes")))*INDEX(Inputs!$K$5:$AJ$130,0,MATCH(S$2,Inputs!$K$4:$AJ$4,0)))+SUMPRODUCT((Inputs!$C$5:$C$130=$B56)*Inputs!$D$5:$D$130*(((Inputs!$G$5:$G$130="moeda")+(Inputs!$G$5:$G$130="acoes"))*Inputs!$B$1+((Inputs!$G$5:$G$130&lt;&gt;"moeda")*(Inputs!$G$5:$G$130&lt;&gt;"acoes")))*INDEX(Inputs!$K$5:$AJ$130,0,MATCH(S$2,Inputs!$K$4:$AJ$4,0)))+SUMPRODUCT((Inputs!$E$5:$E$130=$B56)*Inputs!$F$5:$F$130*(((Inputs!$G$5:$G$130="moeda")+(Inputs!$G$5:$G$130="acoes"))*Inputs!$B$1+((Inputs!$G$5:$G$130&lt;&gt;"moeda")*(Inputs!$G$5:$G$130&lt;&gt;"acoes")))*INDEX(Inputs!$K$5:$AJ$130,0,MATCH(S$2,Inputs!$K$4:$AJ$4,0)))))</f>
        <v>23735</v>
      </c>
      <c r="T56" s="511">
        <f>IF(ISNA(MATCH(T$2,Inputs!$K$4:$AJ$4,0)),NA(),IF(SUMPRODUCT((Inputs!$A$5:$A$130=$B56)*ISNUMBER(INDEX(Inputs!$K$5:$AJ$130,0,MATCH(T$2,Inputs!$K$4:$AJ$4,0))))+SUMPRODUCT((Inputs!$C$5:$C$130=$B56)*ISNUMBER(INDEX(Inputs!$K$5:$AJ$130,0,MATCH(T$2,Inputs!$K$4:$AJ$4,0))))+SUMPRODUCT((Inputs!$E$5:$E$130=$B56)*ISNUMBER(INDEX(Inputs!$K$5:$AJ$130,0,MATCH(T$2,Inputs!$K$4:$AJ$4,0))))=0,NA(),SUMPRODUCT((Inputs!$A$5:$A$130=$B56)*Inputs!$B$5:$B$130*(((Inputs!$G$5:$G$130="moeda")+(Inputs!$G$5:$G$130="acoes"))*Inputs!$B$1+((Inputs!$G$5:$G$130&lt;&gt;"moeda")*(Inputs!$G$5:$G$130&lt;&gt;"acoes")))*INDEX(Inputs!$K$5:$AJ$130,0,MATCH(T$2,Inputs!$K$4:$AJ$4,0)))+SUMPRODUCT((Inputs!$C$5:$C$130=$B56)*Inputs!$D$5:$D$130*(((Inputs!$G$5:$G$130="moeda")+(Inputs!$G$5:$G$130="acoes"))*Inputs!$B$1+((Inputs!$G$5:$G$130&lt;&gt;"moeda")*(Inputs!$G$5:$G$130&lt;&gt;"acoes")))*INDEX(Inputs!$K$5:$AJ$130,0,MATCH(T$2,Inputs!$K$4:$AJ$4,0)))+SUMPRODUCT((Inputs!$E$5:$E$130=$B56)*Inputs!$F$5:$F$130*(((Inputs!$G$5:$G$130="moeda")+(Inputs!$G$5:$G$130="acoes"))*Inputs!$B$1+((Inputs!$G$5:$G$130&lt;&gt;"moeda")*(Inputs!$G$5:$G$130&lt;&gt;"acoes")))*INDEX(Inputs!$K$5:$AJ$130,0,MATCH(T$2,Inputs!$K$4:$AJ$4,0)))))</f>
        <v>24583</v>
      </c>
      <c r="U56" s="511">
        <f>IF(ISNA(MATCH(U$2,Inputs!$K$4:$AJ$4,0)),NA(),IF(SUMPRODUCT((Inputs!$A$5:$A$130=$B56)*ISNUMBER(INDEX(Inputs!$K$5:$AJ$130,0,MATCH(U$2,Inputs!$K$4:$AJ$4,0))))+SUMPRODUCT((Inputs!$C$5:$C$130=$B56)*ISNUMBER(INDEX(Inputs!$K$5:$AJ$130,0,MATCH(U$2,Inputs!$K$4:$AJ$4,0))))+SUMPRODUCT((Inputs!$E$5:$E$130=$B56)*ISNUMBER(INDEX(Inputs!$K$5:$AJ$130,0,MATCH(U$2,Inputs!$K$4:$AJ$4,0))))=0,NA(),SUMPRODUCT((Inputs!$A$5:$A$130=$B56)*Inputs!$B$5:$B$130*(((Inputs!$G$5:$G$130="moeda")+(Inputs!$G$5:$G$130="acoes"))*Inputs!$B$1+((Inputs!$G$5:$G$130&lt;&gt;"moeda")*(Inputs!$G$5:$G$130&lt;&gt;"acoes")))*INDEX(Inputs!$K$5:$AJ$130,0,MATCH(U$2,Inputs!$K$4:$AJ$4,0)))+SUMPRODUCT((Inputs!$C$5:$C$130=$B56)*Inputs!$D$5:$D$130*(((Inputs!$G$5:$G$130="moeda")+(Inputs!$G$5:$G$130="acoes"))*Inputs!$B$1+((Inputs!$G$5:$G$130&lt;&gt;"moeda")*(Inputs!$G$5:$G$130&lt;&gt;"acoes")))*INDEX(Inputs!$K$5:$AJ$130,0,MATCH(U$2,Inputs!$K$4:$AJ$4,0)))+SUMPRODUCT((Inputs!$E$5:$E$130=$B56)*Inputs!$F$5:$F$130*(((Inputs!$G$5:$G$130="moeda")+(Inputs!$G$5:$G$130="acoes"))*Inputs!$B$1+((Inputs!$G$5:$G$130&lt;&gt;"moeda")*(Inputs!$G$5:$G$130&lt;&gt;"acoes")))*INDEX(Inputs!$K$5:$AJ$130,0,MATCH(U$2,Inputs!$K$4:$AJ$4,0)))))</f>
        <v>22608</v>
      </c>
      <c r="V56" s="511">
        <f>IF(ISNA(MATCH(V$2,Inputs!$K$4:$AJ$4,0)),NA(),IF(SUMPRODUCT((Inputs!$A$5:$A$130=$B56)*ISNUMBER(INDEX(Inputs!$K$5:$AJ$130,0,MATCH(V$2,Inputs!$K$4:$AJ$4,0))))+SUMPRODUCT((Inputs!$C$5:$C$130=$B56)*ISNUMBER(INDEX(Inputs!$K$5:$AJ$130,0,MATCH(V$2,Inputs!$K$4:$AJ$4,0))))+SUMPRODUCT((Inputs!$E$5:$E$130=$B56)*ISNUMBER(INDEX(Inputs!$K$5:$AJ$130,0,MATCH(V$2,Inputs!$K$4:$AJ$4,0))))=0,NA(),SUMPRODUCT((Inputs!$A$5:$A$130=$B56)*Inputs!$B$5:$B$130*(((Inputs!$G$5:$G$130="moeda")+(Inputs!$G$5:$G$130="acoes"))*Inputs!$B$1+((Inputs!$G$5:$G$130&lt;&gt;"moeda")*(Inputs!$G$5:$G$130&lt;&gt;"acoes")))*INDEX(Inputs!$K$5:$AJ$130,0,MATCH(V$2,Inputs!$K$4:$AJ$4,0)))+SUMPRODUCT((Inputs!$C$5:$C$130=$B56)*Inputs!$D$5:$D$130*(((Inputs!$G$5:$G$130="moeda")+(Inputs!$G$5:$G$130="acoes"))*Inputs!$B$1+((Inputs!$G$5:$G$130&lt;&gt;"moeda")*(Inputs!$G$5:$G$130&lt;&gt;"acoes")))*INDEX(Inputs!$K$5:$AJ$130,0,MATCH(V$2,Inputs!$K$4:$AJ$4,0)))+SUMPRODUCT((Inputs!$E$5:$E$130=$B56)*Inputs!$F$5:$F$130*(((Inputs!$G$5:$G$130="moeda")+(Inputs!$G$5:$G$130="acoes"))*Inputs!$B$1+((Inputs!$G$5:$G$130&lt;&gt;"moeda")*(Inputs!$G$5:$G$130&lt;&gt;"acoes")))*INDEX(Inputs!$K$5:$AJ$130,0,MATCH(V$2,Inputs!$K$4:$AJ$4,0)))))</f>
        <v>19992</v>
      </c>
      <c r="W56" s="512">
        <f>SUM(S56:V56)</f>
        <v>90918</v>
      </c>
      <c r="X56" s="511">
        <f>IF(ISNA(MATCH(X$2,Inputs!$K$4:$AJ$4,0)),NA(),IF(SUMPRODUCT((Inputs!$A$5:$A$130=$B56)*ISNUMBER(INDEX(Inputs!$K$5:$AJ$130,0,MATCH(X$2,Inputs!$K$4:$AJ$4,0))))+SUMPRODUCT((Inputs!$C$5:$C$130=$B56)*ISNUMBER(INDEX(Inputs!$K$5:$AJ$130,0,MATCH(X$2,Inputs!$K$4:$AJ$4,0))))+SUMPRODUCT((Inputs!$E$5:$E$130=$B56)*ISNUMBER(INDEX(Inputs!$K$5:$AJ$130,0,MATCH(X$2,Inputs!$K$4:$AJ$4,0))))=0,NA(),SUMPRODUCT((Inputs!$A$5:$A$130=$B56)*Inputs!$B$5:$B$130*(((Inputs!$G$5:$G$130="moeda")+(Inputs!$G$5:$G$130="acoes"))*Inputs!$B$1+((Inputs!$G$5:$G$130&lt;&gt;"moeda")*(Inputs!$G$5:$G$130&lt;&gt;"acoes")))*INDEX(Inputs!$K$5:$AJ$130,0,MATCH(X$2,Inputs!$K$4:$AJ$4,0)))+SUMPRODUCT((Inputs!$C$5:$C$130=$B56)*Inputs!$D$5:$D$130*(((Inputs!$G$5:$G$130="moeda")+(Inputs!$G$5:$G$130="acoes"))*Inputs!$B$1+((Inputs!$G$5:$G$130&lt;&gt;"moeda")*(Inputs!$G$5:$G$130&lt;&gt;"acoes")))*INDEX(Inputs!$K$5:$AJ$130,0,MATCH(X$2,Inputs!$K$4:$AJ$4,0)))+SUMPRODUCT((Inputs!$E$5:$E$130=$B56)*Inputs!$F$5:$F$130*(((Inputs!$G$5:$G$130="moeda")+(Inputs!$G$5:$G$130="acoes"))*Inputs!$B$1+((Inputs!$G$5:$G$130&lt;&gt;"moeda")*(Inputs!$G$5:$G$130&lt;&gt;"acoes")))*INDEX(Inputs!$K$5:$AJ$130,0,MATCH(X$2,Inputs!$K$4:$AJ$4,0)))))</f>
        <v>21610</v>
      </c>
      <c r="Y56" s="511">
        <f>IF(ISNA(MATCH(Y$2,Inputs!$K$4:$AJ$4,0)),NA(),IF(SUMPRODUCT((Inputs!$A$5:$A$130=$B56)*ISNUMBER(INDEX(Inputs!$K$5:$AJ$130,0,MATCH(Y$2,Inputs!$K$4:$AJ$4,0))))+SUMPRODUCT((Inputs!$C$5:$C$130=$B56)*ISNUMBER(INDEX(Inputs!$K$5:$AJ$130,0,MATCH(Y$2,Inputs!$K$4:$AJ$4,0))))+SUMPRODUCT((Inputs!$E$5:$E$130=$B56)*ISNUMBER(INDEX(Inputs!$K$5:$AJ$130,0,MATCH(Y$2,Inputs!$K$4:$AJ$4,0))))=0,NA(),SUMPRODUCT((Inputs!$A$5:$A$130=$B56)*Inputs!$B$5:$B$130*(((Inputs!$G$5:$G$130="moeda")+(Inputs!$G$5:$G$130="acoes"))*Inputs!$B$1+((Inputs!$G$5:$G$130&lt;&gt;"moeda")*(Inputs!$G$5:$G$130&lt;&gt;"acoes")))*INDEX(Inputs!$K$5:$AJ$130,0,MATCH(Y$2,Inputs!$K$4:$AJ$4,0)))+SUMPRODUCT((Inputs!$C$5:$C$130=$B56)*Inputs!$D$5:$D$130*(((Inputs!$G$5:$G$130="moeda")+(Inputs!$G$5:$G$130="acoes"))*Inputs!$B$1+((Inputs!$G$5:$G$130&lt;&gt;"moeda")*(Inputs!$G$5:$G$130&lt;&gt;"acoes")))*INDEX(Inputs!$K$5:$AJ$130,0,MATCH(Y$2,Inputs!$K$4:$AJ$4,0)))+SUMPRODUCT((Inputs!$E$5:$E$130=$B56)*Inputs!$F$5:$F$130*(((Inputs!$G$5:$G$130="moeda")+(Inputs!$G$5:$G$130="acoes"))*Inputs!$B$1+((Inputs!$G$5:$G$130&lt;&gt;"moeda")*(Inputs!$G$5:$G$130&lt;&gt;"acoes")))*INDEX(Inputs!$K$5:$AJ$130,0,MATCH(Y$2,Inputs!$K$4:$AJ$4,0)))))</f>
        <v>18388</v>
      </c>
      <c r="Z56" s="511">
        <f>IF(ISNA(MATCH(Z$2,Inputs!$K$4:$AJ$4,0)),NA(),IF(SUMPRODUCT((Inputs!$A$5:$A$130=$B56)*ISNUMBER(INDEX(Inputs!$K$5:$AJ$130,0,MATCH(Z$2,Inputs!$K$4:$AJ$4,0))))+SUMPRODUCT((Inputs!$C$5:$C$130=$B56)*ISNUMBER(INDEX(Inputs!$K$5:$AJ$130,0,MATCH(Z$2,Inputs!$K$4:$AJ$4,0))))+SUMPRODUCT((Inputs!$E$5:$E$130=$B56)*ISNUMBER(INDEX(Inputs!$K$5:$AJ$130,0,MATCH(Z$2,Inputs!$K$4:$AJ$4,0))))=0,NA(),SUMPRODUCT((Inputs!$A$5:$A$130=$B56)*Inputs!$B$5:$B$130*(((Inputs!$G$5:$G$130="moeda")+(Inputs!$G$5:$G$130="acoes"))*Inputs!$B$1+((Inputs!$G$5:$G$130&lt;&gt;"moeda")*(Inputs!$G$5:$G$130&lt;&gt;"acoes")))*INDEX(Inputs!$K$5:$AJ$130,0,MATCH(Z$2,Inputs!$K$4:$AJ$4,0)))+SUMPRODUCT((Inputs!$C$5:$C$130=$B56)*Inputs!$D$5:$D$130*(((Inputs!$G$5:$G$130="moeda")+(Inputs!$G$5:$G$130="acoes"))*Inputs!$B$1+((Inputs!$G$5:$G$130&lt;&gt;"moeda")*(Inputs!$G$5:$G$130&lt;&gt;"acoes")))*INDEX(Inputs!$K$5:$AJ$130,0,MATCH(Z$2,Inputs!$K$4:$AJ$4,0)))+SUMPRODUCT((Inputs!$E$5:$E$130=$B56)*Inputs!$F$5:$F$130*(((Inputs!$G$5:$G$130="moeda")+(Inputs!$G$5:$G$130="acoes"))*Inputs!$B$1+((Inputs!$G$5:$G$130&lt;&gt;"moeda")*(Inputs!$G$5:$G$130&lt;&gt;"acoes")))*INDEX(Inputs!$K$5:$AJ$130,0,MATCH(Z$2,Inputs!$K$4:$AJ$4,0)))))</f>
        <v>19418</v>
      </c>
      <c r="AA56" s="511">
        <f>IF(ISNA(MATCH(AA$2,Inputs!$K$4:$AJ$4,0)),NA(),IF(SUMPRODUCT((Inputs!$A$5:$A$130=$B56)*ISNUMBER(INDEX(Inputs!$K$5:$AJ$130,0,MATCH(AA$2,Inputs!$K$4:$AJ$4,0))))+SUMPRODUCT((Inputs!$C$5:$C$130=$B56)*ISNUMBER(INDEX(Inputs!$K$5:$AJ$130,0,MATCH(AA$2,Inputs!$K$4:$AJ$4,0))))+SUMPRODUCT((Inputs!$E$5:$E$130=$B56)*ISNUMBER(INDEX(Inputs!$K$5:$AJ$130,0,MATCH(AA$2,Inputs!$K$4:$AJ$4,0))))=0,NA(),SUMPRODUCT((Inputs!$A$5:$A$130=$B56)*Inputs!$B$5:$B$130*(((Inputs!$G$5:$G$130="moeda")+(Inputs!$G$5:$G$130="acoes"))*Inputs!$B$1+((Inputs!$G$5:$G$130&lt;&gt;"moeda")*(Inputs!$G$5:$G$130&lt;&gt;"acoes")))*INDEX(Inputs!$K$5:$AJ$130,0,MATCH(AA$2,Inputs!$K$4:$AJ$4,0)))+SUMPRODUCT((Inputs!$C$5:$C$130=$B56)*Inputs!$D$5:$D$130*(((Inputs!$G$5:$G$130="moeda")+(Inputs!$G$5:$G$130="acoes"))*Inputs!$B$1+((Inputs!$G$5:$G$130&lt;&gt;"moeda")*(Inputs!$G$5:$G$130&lt;&gt;"acoes")))*INDEX(Inputs!$K$5:$AJ$130,0,MATCH(AA$2,Inputs!$K$4:$AJ$4,0)))+SUMPRODUCT((Inputs!$E$5:$E$130=$B56)*Inputs!$F$5:$F$130*(((Inputs!$G$5:$G$130="moeda")+(Inputs!$G$5:$G$130="acoes"))*Inputs!$B$1+((Inputs!$G$5:$G$130&lt;&gt;"moeda")*(Inputs!$G$5:$G$130&lt;&gt;"acoes")))*INDEX(Inputs!$K$5:$AJ$130,0,MATCH(AA$2,Inputs!$K$4:$AJ$4,0)))))</f>
        <v>17655</v>
      </c>
      <c r="AB56" s="512">
        <f>SUM(X56:AA56)</f>
        <v>77071</v>
      </c>
      <c r="AC56" s="511">
        <f>IF(ISNA(MATCH(AC$2,Inputs!$K$4:$AJ$4,0)),NA(),IF(SUMPRODUCT((Inputs!$A$5:$A$130=$B56)*ISNUMBER(INDEX(Inputs!$K$5:$AJ$130,0,MATCH(AC$2,Inputs!$K$4:$AJ$4,0))))+SUMPRODUCT((Inputs!$C$5:$C$130=$B56)*ISNUMBER(INDEX(Inputs!$K$5:$AJ$130,0,MATCH(AC$2,Inputs!$K$4:$AJ$4,0))))+SUMPRODUCT((Inputs!$E$5:$E$130=$B56)*ISNUMBER(INDEX(Inputs!$K$5:$AJ$130,0,MATCH(AC$2,Inputs!$K$4:$AJ$4,0))))=0,NA(),SUMPRODUCT((Inputs!$A$5:$A$130=$B56)*Inputs!$B$5:$B$130*(((Inputs!$G$5:$G$130="moeda")+(Inputs!$G$5:$G$130="acoes"))*Inputs!$B$1+((Inputs!$G$5:$G$130&lt;&gt;"moeda")*(Inputs!$G$5:$G$130&lt;&gt;"acoes")))*INDEX(Inputs!$K$5:$AJ$130,0,MATCH(AC$2,Inputs!$K$4:$AJ$4,0)))+SUMPRODUCT((Inputs!$C$5:$C$130=$B56)*Inputs!$D$5:$D$130*(((Inputs!$G$5:$G$130="moeda")+(Inputs!$G$5:$G$130="acoes"))*Inputs!$B$1+((Inputs!$G$5:$G$130&lt;&gt;"moeda")*(Inputs!$G$5:$G$130&lt;&gt;"acoes")))*INDEX(Inputs!$K$5:$AJ$130,0,MATCH(AC$2,Inputs!$K$4:$AJ$4,0)))+SUMPRODUCT((Inputs!$E$5:$E$130=$B56)*Inputs!$F$5:$F$130*(((Inputs!$G$5:$G$130="moeda")+(Inputs!$G$5:$G$130="acoes"))*Inputs!$B$1+((Inputs!$G$5:$G$130&lt;&gt;"moeda")*(Inputs!$G$5:$G$130&lt;&gt;"acoes")))*INDEX(Inputs!$K$5:$AJ$130,0,MATCH(AC$2,Inputs!$K$4:$AJ$4,0)))))</f>
        <v>19221</v>
      </c>
      <c r="AD56" s="511">
        <f>IF(ISNA(MATCH(AD$2,Inputs!$K$4:$AJ$4,0)),NA(),IF(SUMPRODUCT((Inputs!$A$5:$A$130=$B56)*ISNUMBER(INDEX(Inputs!$K$5:$AJ$130,0,MATCH(AD$2,Inputs!$K$4:$AJ$4,0))))+SUMPRODUCT((Inputs!$C$5:$C$130=$B56)*ISNUMBER(INDEX(Inputs!$K$5:$AJ$130,0,MATCH(AD$2,Inputs!$K$4:$AJ$4,0))))+SUMPRODUCT((Inputs!$E$5:$E$130=$B56)*ISNUMBER(INDEX(Inputs!$K$5:$AJ$130,0,MATCH(AD$2,Inputs!$K$4:$AJ$4,0))))=0,NA(),SUMPRODUCT((Inputs!$A$5:$A$130=$B56)*Inputs!$B$5:$B$130*(((Inputs!$G$5:$G$130="moeda")+(Inputs!$G$5:$G$130="acoes"))*Inputs!$B$1+((Inputs!$G$5:$G$130&lt;&gt;"moeda")*(Inputs!$G$5:$G$130&lt;&gt;"acoes")))*INDEX(Inputs!$K$5:$AJ$130,0,MATCH(AD$2,Inputs!$K$4:$AJ$4,0)))+SUMPRODUCT((Inputs!$C$5:$C$130=$B56)*Inputs!$D$5:$D$130*(((Inputs!$G$5:$G$130="moeda")+(Inputs!$G$5:$G$130="acoes"))*Inputs!$B$1+((Inputs!$G$5:$G$130&lt;&gt;"moeda")*(Inputs!$G$5:$G$130&lt;&gt;"acoes")))*INDEX(Inputs!$K$5:$AJ$130,0,MATCH(AD$2,Inputs!$K$4:$AJ$4,0)))+SUMPRODUCT((Inputs!$E$5:$E$130=$B56)*Inputs!$F$5:$F$130*(((Inputs!$G$5:$G$130="moeda")+(Inputs!$G$5:$G$130="acoes"))*Inputs!$B$1+((Inputs!$G$5:$G$130&lt;&gt;"moeda")*(Inputs!$G$5:$G$130&lt;&gt;"acoes")))*INDEX(Inputs!$K$5:$AJ$130,0,MATCH(AD$2,Inputs!$K$4:$AJ$4,0)))))</f>
        <v>34235</v>
      </c>
      <c r="AE56" s="511" t="e">
        <f>IF(ISNA(MATCH(AE$2,Inputs!$K$4:$AJ$4,0)),NA(),IF(SUMPRODUCT((Inputs!$A$5:$A$130=$B56)*ISNUMBER(INDEX(Inputs!$K$5:$AJ$130,0,MATCH(AE$2,Inputs!$K$4:$AJ$4,0))))+SUMPRODUCT((Inputs!$C$5:$C$130=$B56)*ISNUMBER(INDEX(Inputs!$K$5:$AJ$130,0,MATCH(AE$2,Inputs!$K$4:$AJ$4,0))))+SUMPRODUCT((Inputs!$E$5:$E$130=$B56)*ISNUMBER(INDEX(Inputs!$K$5:$AJ$130,0,MATCH(AE$2,Inputs!$K$4:$AJ$4,0))))=0,NA(),SUMPRODUCT((Inputs!$A$5:$A$130=$B56)*Inputs!$B$5:$B$130*(((Inputs!$G$5:$G$130="moeda")+(Inputs!$G$5:$G$130="acoes"))*Inputs!$B$1+((Inputs!$G$5:$G$130&lt;&gt;"moeda")*(Inputs!$G$5:$G$130&lt;&gt;"acoes")))*INDEX(Inputs!$K$5:$AJ$130,0,MATCH(AE$2,Inputs!$K$4:$AJ$4,0)))+SUMPRODUCT((Inputs!$C$5:$C$130=$B56)*Inputs!$D$5:$D$130*(((Inputs!$G$5:$G$130="moeda")+(Inputs!$G$5:$G$130="acoes"))*Inputs!$B$1+((Inputs!$G$5:$G$130&lt;&gt;"moeda")*(Inputs!$G$5:$G$130&lt;&gt;"acoes")))*INDEX(Inputs!$K$5:$AJ$130,0,MATCH(AE$2,Inputs!$K$4:$AJ$4,0)))+SUMPRODUCT((Inputs!$E$5:$E$130=$B56)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6" s="511" t="e">
        <f>IF(ISNA(MATCH(AF$2,Inputs!$K$4:$AJ$4,0)),NA(),IF(SUMPRODUCT((Inputs!$A$5:$A$130=$B56)*ISNUMBER(INDEX(Inputs!$K$5:$AJ$130,0,MATCH(AF$2,Inputs!$K$4:$AJ$4,0))))+SUMPRODUCT((Inputs!$C$5:$C$130=$B56)*ISNUMBER(INDEX(Inputs!$K$5:$AJ$130,0,MATCH(AF$2,Inputs!$K$4:$AJ$4,0))))+SUMPRODUCT((Inputs!$E$5:$E$130=$B56)*ISNUMBER(INDEX(Inputs!$K$5:$AJ$130,0,MATCH(AF$2,Inputs!$K$4:$AJ$4,0))))=0,NA(),SUMPRODUCT((Inputs!$A$5:$A$130=$B56)*Inputs!$B$5:$B$130*(((Inputs!$G$5:$G$130="moeda")+(Inputs!$G$5:$G$130="acoes"))*Inputs!$B$1+((Inputs!$G$5:$G$130&lt;&gt;"moeda")*(Inputs!$G$5:$G$130&lt;&gt;"acoes")))*INDEX(Inputs!$K$5:$AJ$130,0,MATCH(AF$2,Inputs!$K$4:$AJ$4,0)))+SUMPRODUCT((Inputs!$C$5:$C$130=$B56)*Inputs!$D$5:$D$130*(((Inputs!$G$5:$G$130="moeda")+(Inputs!$G$5:$G$130="acoes"))*Inputs!$B$1+((Inputs!$G$5:$G$130&lt;&gt;"moeda")*(Inputs!$G$5:$G$130&lt;&gt;"acoes")))*INDEX(Inputs!$K$5:$AJ$130,0,MATCH(AF$2,Inputs!$K$4:$AJ$4,0)))+SUMPRODUCT((Inputs!$E$5:$E$130=$B56)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6" s="512" t="e">
        <f>SUM(AC56:AF56)</f>
        <v>#N/A</v>
      </c>
      <c r="AH56" s="511" t="e">
        <f>IF(ISNA(MATCH(AH$2,Inputs!$K$4:$AJ$4,0)),NA(),IF(SUMPRODUCT((Inputs!$A$5:$A$130=$B56)*ISNUMBER(INDEX(Inputs!$K$5:$AJ$130,0,MATCH(AH$2,Inputs!$K$4:$AJ$4,0))))+SUMPRODUCT((Inputs!$C$5:$C$130=$B56)*ISNUMBER(INDEX(Inputs!$K$5:$AJ$130,0,MATCH(AH$2,Inputs!$K$4:$AJ$4,0))))+SUMPRODUCT((Inputs!$E$5:$E$130=$B56)*ISNUMBER(INDEX(Inputs!$K$5:$AJ$130,0,MATCH(AH$2,Inputs!$K$4:$AJ$4,0))))=0,NA(),SUMPRODUCT((Inputs!$A$5:$A$130=$B56)*Inputs!$B$5:$B$130*(((Inputs!$G$5:$G$130="moeda")+(Inputs!$G$5:$G$130="acoes"))*Inputs!$B$1+((Inputs!$G$5:$G$130&lt;&gt;"moeda")*(Inputs!$G$5:$G$130&lt;&gt;"acoes")))*INDEX(Inputs!$K$5:$AJ$130,0,MATCH(AH$2,Inputs!$K$4:$AJ$4,0)))+SUMPRODUCT((Inputs!$C$5:$C$130=$B56)*Inputs!$D$5:$D$130*(((Inputs!$G$5:$G$130="moeda")+(Inputs!$G$5:$G$130="acoes"))*Inputs!$B$1+((Inputs!$G$5:$G$130&lt;&gt;"moeda")*(Inputs!$G$5:$G$130&lt;&gt;"acoes")))*INDEX(Inputs!$K$5:$AJ$130,0,MATCH(AH$2,Inputs!$K$4:$AJ$4,0)))+SUMPRODUCT((Inputs!$E$5:$E$130=$B56)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56" s="511" t="e">
        <f>IF(ISNA(MATCH(AI$2,Inputs!$K$4:$AJ$4,0)),NA(),IF(SUMPRODUCT((Inputs!$A$5:$A$130=$B56)*ISNUMBER(INDEX(Inputs!$K$5:$AJ$130,0,MATCH(AI$2,Inputs!$K$4:$AJ$4,0))))+SUMPRODUCT((Inputs!$C$5:$C$130=$B56)*ISNUMBER(INDEX(Inputs!$K$5:$AJ$130,0,MATCH(AI$2,Inputs!$K$4:$AJ$4,0))))+SUMPRODUCT((Inputs!$E$5:$E$130=$B56)*ISNUMBER(INDEX(Inputs!$K$5:$AJ$130,0,MATCH(AI$2,Inputs!$K$4:$AJ$4,0))))=0,NA(),SUMPRODUCT((Inputs!$A$5:$A$130=$B56)*Inputs!$B$5:$B$130*(((Inputs!$G$5:$G$130="moeda")+(Inputs!$G$5:$G$130="acoes"))*Inputs!$B$1+((Inputs!$G$5:$G$130&lt;&gt;"moeda")*(Inputs!$G$5:$G$130&lt;&gt;"acoes")))*INDEX(Inputs!$K$5:$AJ$130,0,MATCH(AI$2,Inputs!$K$4:$AJ$4,0)))+SUMPRODUCT((Inputs!$C$5:$C$130=$B56)*Inputs!$D$5:$D$130*(((Inputs!$G$5:$G$130="moeda")+(Inputs!$G$5:$G$130="acoes"))*Inputs!$B$1+((Inputs!$G$5:$G$130&lt;&gt;"moeda")*(Inputs!$G$5:$G$130&lt;&gt;"acoes")))*INDEX(Inputs!$K$5:$AJ$130,0,MATCH(AI$2,Inputs!$K$4:$AJ$4,0)))+SUMPRODUCT((Inputs!$E$5:$E$130=$B56)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56" s="511" t="e">
        <f>IF(ISNA(MATCH(AJ$2,Inputs!$K$4:$AJ$4,0)),NA(),IF(SUMPRODUCT((Inputs!$A$5:$A$130=$B56)*ISNUMBER(INDEX(Inputs!$K$5:$AJ$130,0,MATCH(AJ$2,Inputs!$K$4:$AJ$4,0))))+SUMPRODUCT((Inputs!$C$5:$C$130=$B56)*ISNUMBER(INDEX(Inputs!$K$5:$AJ$130,0,MATCH(AJ$2,Inputs!$K$4:$AJ$4,0))))+SUMPRODUCT((Inputs!$E$5:$E$130=$B56)*ISNUMBER(INDEX(Inputs!$K$5:$AJ$130,0,MATCH(AJ$2,Inputs!$K$4:$AJ$4,0))))=0,NA(),SUMPRODUCT((Inputs!$A$5:$A$130=$B56)*Inputs!$B$5:$B$130*(((Inputs!$G$5:$G$130="moeda")+(Inputs!$G$5:$G$130="acoes"))*Inputs!$B$1+((Inputs!$G$5:$G$130&lt;&gt;"moeda")*(Inputs!$G$5:$G$130&lt;&gt;"acoes")))*INDEX(Inputs!$K$5:$AJ$130,0,MATCH(AJ$2,Inputs!$K$4:$AJ$4,0)))+SUMPRODUCT((Inputs!$C$5:$C$130=$B56)*Inputs!$D$5:$D$130*(((Inputs!$G$5:$G$130="moeda")+(Inputs!$G$5:$G$130="acoes"))*Inputs!$B$1+((Inputs!$G$5:$G$130&lt;&gt;"moeda")*(Inputs!$G$5:$G$130&lt;&gt;"acoes")))*INDEX(Inputs!$K$5:$AJ$130,0,MATCH(AJ$2,Inputs!$K$4:$AJ$4,0)))+SUMPRODUCT((Inputs!$E$5:$E$130=$B56)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56" s="511" t="e">
        <f>IF(ISNA(MATCH(AK$2,Inputs!$K$4:$AJ$4,0)),NA(),IF(SUMPRODUCT((Inputs!$A$5:$A$130=$B56)*ISNUMBER(INDEX(Inputs!$K$5:$AJ$130,0,MATCH(AK$2,Inputs!$K$4:$AJ$4,0))))+SUMPRODUCT((Inputs!$C$5:$C$130=$B56)*ISNUMBER(INDEX(Inputs!$K$5:$AJ$130,0,MATCH(AK$2,Inputs!$K$4:$AJ$4,0))))+SUMPRODUCT((Inputs!$E$5:$E$130=$B56)*ISNUMBER(INDEX(Inputs!$K$5:$AJ$130,0,MATCH(AK$2,Inputs!$K$4:$AJ$4,0))))=0,NA(),SUMPRODUCT((Inputs!$A$5:$A$130=$B56)*Inputs!$B$5:$B$130*(((Inputs!$G$5:$G$130="moeda")+(Inputs!$G$5:$G$130="acoes"))*Inputs!$B$1+((Inputs!$G$5:$G$130&lt;&gt;"moeda")*(Inputs!$G$5:$G$130&lt;&gt;"acoes")))*INDEX(Inputs!$K$5:$AJ$130,0,MATCH(AK$2,Inputs!$K$4:$AJ$4,0)))+SUMPRODUCT((Inputs!$C$5:$C$130=$B56)*Inputs!$D$5:$D$130*(((Inputs!$G$5:$G$130="moeda")+(Inputs!$G$5:$G$130="acoes"))*Inputs!$B$1+((Inputs!$G$5:$G$130&lt;&gt;"moeda")*(Inputs!$G$5:$G$130&lt;&gt;"acoes")))*INDEX(Inputs!$K$5:$AJ$130,0,MATCH(AK$2,Inputs!$K$4:$AJ$4,0)))+SUMPRODUCT((Inputs!$E$5:$E$130=$B56)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56" s="512" t="e">
        <f>SUM(AH56:AK56)</f>
        <v>#N/A</v>
      </c>
    </row>
    <row r="57">
      <c r="B57" s="263" t="n">
        <v>49</v>
      </c>
      <c r="C57" s="264" t="inlineStr">
        <is>
          <t>Renewables and Energy Solutions - receita de terceiros (USD mi)</t>
        </is>
      </c>
      <c r="D57" s="511">
        <f>IF(ISNA(MATCH(D$2,Inputs!$K$4:$AJ$4,0)),NA(),IF(SUMPRODUCT((Inputs!$A$5:$A$130=$B57)*ISNUMBER(INDEX(Inputs!$K$5:$AJ$130,0,MATCH(D$2,Inputs!$K$4:$AJ$4,0))))+SUMPRODUCT((Inputs!$C$5:$C$130=$B57)*ISNUMBER(INDEX(Inputs!$K$5:$AJ$130,0,MATCH(D$2,Inputs!$K$4:$AJ$4,0))))+SUMPRODUCT((Inputs!$E$5:$E$130=$B57)*ISNUMBER(INDEX(Inputs!$K$5:$AJ$130,0,MATCH(D$2,Inputs!$K$4:$AJ$4,0))))=0,NA(),SUMPRODUCT((Inputs!$A$5:$A$130=$B57)*Inputs!$B$5:$B$130*(((Inputs!$G$5:$G$130="moeda")+(Inputs!$G$5:$G$130="acoes"))*Inputs!$B$1+((Inputs!$G$5:$G$130&lt;&gt;"moeda")*(Inputs!$G$5:$G$130&lt;&gt;"acoes")))*INDEX(Inputs!$K$5:$AJ$130,0,MATCH(D$2,Inputs!$K$4:$AJ$4,0)))+SUMPRODUCT((Inputs!$C$5:$C$130=$B57)*Inputs!$D$5:$D$130*(((Inputs!$G$5:$G$130="moeda")+(Inputs!$G$5:$G$130="acoes"))*Inputs!$B$1+((Inputs!$G$5:$G$130&lt;&gt;"moeda")*(Inputs!$G$5:$G$130&lt;&gt;"acoes")))*INDEX(Inputs!$K$5:$AJ$130,0,MATCH(D$2,Inputs!$K$4:$AJ$4,0)))+SUMPRODUCT((Inputs!$E$5:$E$130=$B57)*Inputs!$F$5:$F$130*(((Inputs!$G$5:$G$130="moeda")+(Inputs!$G$5:$G$130="acoes"))*Inputs!$B$1+((Inputs!$G$5:$G$130&lt;&gt;"moeda")*(Inputs!$G$5:$G$130&lt;&gt;"acoes")))*INDEX(Inputs!$K$5:$AJ$130,0,MATCH(D$2,Inputs!$K$4:$AJ$4,0)))))</f>
        <v>5227</v>
      </c>
      <c r="E57" s="511">
        <f>IF(ISNA(MATCH(E$2,Inputs!$K$4:$AJ$4,0)),NA(),IF(SUMPRODUCT((Inputs!$A$5:$A$130=$B57)*ISNUMBER(INDEX(Inputs!$K$5:$AJ$130,0,MATCH(E$2,Inputs!$K$4:$AJ$4,0))))+SUMPRODUCT((Inputs!$C$5:$C$130=$B57)*ISNUMBER(INDEX(Inputs!$K$5:$AJ$130,0,MATCH(E$2,Inputs!$K$4:$AJ$4,0))))+SUMPRODUCT((Inputs!$E$5:$E$130=$B57)*ISNUMBER(INDEX(Inputs!$K$5:$AJ$130,0,MATCH(E$2,Inputs!$K$4:$AJ$4,0))))=0,NA(),SUMPRODUCT((Inputs!$A$5:$A$130=$B57)*Inputs!$B$5:$B$130*(((Inputs!$G$5:$G$130="moeda")+(Inputs!$G$5:$G$130="acoes"))*Inputs!$B$1+((Inputs!$G$5:$G$130&lt;&gt;"moeda")*(Inputs!$G$5:$G$130&lt;&gt;"acoes")))*INDEX(Inputs!$K$5:$AJ$130,0,MATCH(E$2,Inputs!$K$4:$AJ$4,0)))+SUMPRODUCT((Inputs!$C$5:$C$130=$B57)*Inputs!$D$5:$D$130*(((Inputs!$G$5:$G$130="moeda")+(Inputs!$G$5:$G$130="acoes"))*Inputs!$B$1+((Inputs!$G$5:$G$130&lt;&gt;"moeda")*(Inputs!$G$5:$G$130&lt;&gt;"acoes")))*INDEX(Inputs!$K$5:$AJ$130,0,MATCH(E$2,Inputs!$K$4:$AJ$4,0)))+SUMPRODUCT((Inputs!$E$5:$E$130=$B57)*Inputs!$F$5:$F$130*(((Inputs!$G$5:$G$130="moeda")+(Inputs!$G$5:$G$130="acoes"))*Inputs!$B$1+((Inputs!$G$5:$G$130&lt;&gt;"moeda")*(Inputs!$G$5:$G$130&lt;&gt;"acoes")))*INDEX(Inputs!$K$5:$AJ$130,0,MATCH(E$2,Inputs!$K$4:$AJ$4,0)))))</f>
        <v>3658</v>
      </c>
      <c r="F57" s="511">
        <f>IF(ISNA(MATCH(F$2,Inputs!$K$4:$AJ$4,0)),NA(),IF(SUMPRODUCT((Inputs!$A$5:$A$130=$B57)*ISNUMBER(INDEX(Inputs!$K$5:$AJ$130,0,MATCH(F$2,Inputs!$K$4:$AJ$4,0))))+SUMPRODUCT((Inputs!$C$5:$C$130=$B57)*ISNUMBER(INDEX(Inputs!$K$5:$AJ$130,0,MATCH(F$2,Inputs!$K$4:$AJ$4,0))))+SUMPRODUCT((Inputs!$E$5:$E$130=$B57)*ISNUMBER(INDEX(Inputs!$K$5:$AJ$130,0,MATCH(F$2,Inputs!$K$4:$AJ$4,0))))=0,NA(),SUMPRODUCT((Inputs!$A$5:$A$130=$B57)*Inputs!$B$5:$B$130*(((Inputs!$G$5:$G$130="moeda")+(Inputs!$G$5:$G$130="acoes"))*Inputs!$B$1+((Inputs!$G$5:$G$130&lt;&gt;"moeda")*(Inputs!$G$5:$G$130&lt;&gt;"acoes")))*INDEX(Inputs!$K$5:$AJ$130,0,MATCH(F$2,Inputs!$K$4:$AJ$4,0)))+SUMPRODUCT((Inputs!$C$5:$C$130=$B57)*Inputs!$D$5:$D$130*(((Inputs!$G$5:$G$130="moeda")+(Inputs!$G$5:$G$130="acoes"))*Inputs!$B$1+((Inputs!$G$5:$G$130&lt;&gt;"moeda")*(Inputs!$G$5:$G$130&lt;&gt;"acoes")))*INDEX(Inputs!$K$5:$AJ$130,0,MATCH(F$2,Inputs!$K$4:$AJ$4,0)))+SUMPRODUCT((Inputs!$E$5:$E$130=$B57)*Inputs!$F$5:$F$130*(((Inputs!$G$5:$G$130="moeda")+(Inputs!$G$5:$G$130="acoes"))*Inputs!$B$1+((Inputs!$G$5:$G$130&lt;&gt;"moeda")*(Inputs!$G$5:$G$130&lt;&gt;"acoes")))*INDEX(Inputs!$K$5:$AJ$130,0,MATCH(F$2,Inputs!$K$4:$AJ$4,0)))))</f>
        <v>1330</v>
      </c>
      <c r="G57" s="511">
        <f>IF(ISNA(MATCH(G$2,Inputs!$K$4:$AJ$4,0)),NA(),IF(SUMPRODUCT((Inputs!$A$5:$A$130=$B57)*ISNUMBER(INDEX(Inputs!$K$5:$AJ$130,0,MATCH(G$2,Inputs!$K$4:$AJ$4,0))))+SUMPRODUCT((Inputs!$C$5:$C$130=$B57)*ISNUMBER(INDEX(Inputs!$K$5:$AJ$130,0,MATCH(G$2,Inputs!$K$4:$AJ$4,0))))+SUMPRODUCT((Inputs!$E$5:$E$130=$B57)*ISNUMBER(INDEX(Inputs!$K$5:$AJ$130,0,MATCH(G$2,Inputs!$K$4:$AJ$4,0))))=0,NA(),SUMPRODUCT((Inputs!$A$5:$A$130=$B57)*Inputs!$B$5:$B$130*(((Inputs!$G$5:$G$130="moeda")+(Inputs!$G$5:$G$130="acoes"))*Inputs!$B$1+((Inputs!$G$5:$G$130&lt;&gt;"moeda")*(Inputs!$G$5:$G$130&lt;&gt;"acoes")))*INDEX(Inputs!$K$5:$AJ$130,0,MATCH(G$2,Inputs!$K$4:$AJ$4,0)))+SUMPRODUCT((Inputs!$C$5:$C$130=$B57)*Inputs!$D$5:$D$130*(((Inputs!$G$5:$G$130="moeda")+(Inputs!$G$5:$G$130="acoes"))*Inputs!$B$1+((Inputs!$G$5:$G$130&lt;&gt;"moeda")*(Inputs!$G$5:$G$130&lt;&gt;"acoes")))*INDEX(Inputs!$K$5:$AJ$130,0,MATCH(G$2,Inputs!$K$4:$AJ$4,0)))+SUMPRODUCT((Inputs!$E$5:$E$130=$B57)*Inputs!$F$5:$F$130*(((Inputs!$G$5:$G$130="moeda")+(Inputs!$G$5:$G$130="acoes"))*Inputs!$B$1+((Inputs!$G$5:$G$130&lt;&gt;"moeda")*(Inputs!$G$5:$G$130&lt;&gt;"acoes")))*INDEX(Inputs!$K$5:$AJ$130,0,MATCH(G$2,Inputs!$K$4:$AJ$4,0)))))</f>
        <v>12200</v>
      </c>
      <c r="H57" s="512">
        <f>SUM(D57:G57)</f>
        <v>22415</v>
      </c>
      <c r="I57" s="511">
        <f>IF(ISNA(MATCH(I$2,Inputs!$K$4:$AJ$4,0)),NA(),IF(SUMPRODUCT((Inputs!$A$5:$A$130=$B57)*ISNUMBER(INDEX(Inputs!$K$5:$AJ$130,0,MATCH(I$2,Inputs!$K$4:$AJ$4,0))))+SUMPRODUCT((Inputs!$C$5:$C$130=$B57)*ISNUMBER(INDEX(Inputs!$K$5:$AJ$130,0,MATCH(I$2,Inputs!$K$4:$AJ$4,0))))+SUMPRODUCT((Inputs!$E$5:$E$130=$B57)*ISNUMBER(INDEX(Inputs!$K$5:$AJ$130,0,MATCH(I$2,Inputs!$K$4:$AJ$4,0))))=0,NA(),SUMPRODUCT((Inputs!$A$5:$A$130=$B57)*Inputs!$B$5:$B$130*(((Inputs!$G$5:$G$130="moeda")+(Inputs!$G$5:$G$130="acoes"))*Inputs!$B$1+((Inputs!$G$5:$G$130&lt;&gt;"moeda")*(Inputs!$G$5:$G$130&lt;&gt;"acoes")))*INDEX(Inputs!$K$5:$AJ$130,0,MATCH(I$2,Inputs!$K$4:$AJ$4,0)))+SUMPRODUCT((Inputs!$C$5:$C$130=$B57)*Inputs!$D$5:$D$130*(((Inputs!$G$5:$G$130="moeda")+(Inputs!$G$5:$G$130="acoes"))*Inputs!$B$1+((Inputs!$G$5:$G$130&lt;&gt;"moeda")*(Inputs!$G$5:$G$130&lt;&gt;"acoes")))*INDEX(Inputs!$K$5:$AJ$130,0,MATCH(I$2,Inputs!$K$4:$AJ$4,0)))+SUMPRODUCT((Inputs!$E$5:$E$130=$B57)*Inputs!$F$5:$F$130*(((Inputs!$G$5:$G$130="moeda")+(Inputs!$G$5:$G$130="acoes"))*Inputs!$B$1+((Inputs!$G$5:$G$130&lt;&gt;"moeda")*(Inputs!$G$5:$G$130&lt;&gt;"acoes")))*INDEX(Inputs!$K$5:$AJ$130,0,MATCH(I$2,Inputs!$K$4:$AJ$4,0)))))</f>
        <v>9026</v>
      </c>
      <c r="J57" s="511">
        <f>IF(ISNA(MATCH(J$2,Inputs!$K$4:$AJ$4,0)),NA(),IF(SUMPRODUCT((Inputs!$A$5:$A$130=$B57)*ISNUMBER(INDEX(Inputs!$K$5:$AJ$130,0,MATCH(J$2,Inputs!$K$4:$AJ$4,0))))+SUMPRODUCT((Inputs!$C$5:$C$130=$B57)*ISNUMBER(INDEX(Inputs!$K$5:$AJ$130,0,MATCH(J$2,Inputs!$K$4:$AJ$4,0))))+SUMPRODUCT((Inputs!$E$5:$E$130=$B57)*ISNUMBER(INDEX(Inputs!$K$5:$AJ$130,0,MATCH(J$2,Inputs!$K$4:$AJ$4,0))))=0,NA(),SUMPRODUCT((Inputs!$A$5:$A$130=$B57)*Inputs!$B$5:$B$130*(((Inputs!$G$5:$G$130="moeda")+(Inputs!$G$5:$G$130="acoes"))*Inputs!$B$1+((Inputs!$G$5:$G$130&lt;&gt;"moeda")*(Inputs!$G$5:$G$130&lt;&gt;"acoes")))*INDEX(Inputs!$K$5:$AJ$130,0,MATCH(J$2,Inputs!$K$4:$AJ$4,0)))+SUMPRODUCT((Inputs!$C$5:$C$130=$B57)*Inputs!$D$5:$D$130*(((Inputs!$G$5:$G$130="moeda")+(Inputs!$G$5:$G$130="acoes"))*Inputs!$B$1+((Inputs!$G$5:$G$130&lt;&gt;"moeda")*(Inputs!$G$5:$G$130&lt;&gt;"acoes")))*INDEX(Inputs!$K$5:$AJ$130,0,MATCH(J$2,Inputs!$K$4:$AJ$4,0)))+SUMPRODUCT((Inputs!$E$5:$E$130=$B57)*Inputs!$F$5:$F$130*(((Inputs!$G$5:$G$130="moeda")+(Inputs!$G$5:$G$130="acoes"))*Inputs!$B$1+((Inputs!$G$5:$G$130&lt;&gt;"moeda")*(Inputs!$G$5:$G$130&lt;&gt;"acoes")))*INDEX(Inputs!$K$5:$AJ$130,0,MATCH(J$2,Inputs!$K$4:$AJ$4,0)))))</f>
        <v>11477</v>
      </c>
      <c r="K57" s="511">
        <f>IF(ISNA(MATCH(K$2,Inputs!$K$4:$AJ$4,0)),NA(),IF(SUMPRODUCT((Inputs!$A$5:$A$130=$B57)*ISNUMBER(INDEX(Inputs!$K$5:$AJ$130,0,MATCH(K$2,Inputs!$K$4:$AJ$4,0))))+SUMPRODUCT((Inputs!$C$5:$C$130=$B57)*ISNUMBER(INDEX(Inputs!$K$5:$AJ$130,0,MATCH(K$2,Inputs!$K$4:$AJ$4,0))))+SUMPRODUCT((Inputs!$E$5:$E$130=$B57)*ISNUMBER(INDEX(Inputs!$K$5:$AJ$130,0,MATCH(K$2,Inputs!$K$4:$AJ$4,0))))=0,NA(),SUMPRODUCT((Inputs!$A$5:$A$130=$B57)*Inputs!$B$5:$B$130*(((Inputs!$G$5:$G$130="moeda")+(Inputs!$G$5:$G$130="acoes"))*Inputs!$B$1+((Inputs!$G$5:$G$130&lt;&gt;"moeda")*(Inputs!$G$5:$G$130&lt;&gt;"acoes")))*INDEX(Inputs!$K$5:$AJ$130,0,MATCH(K$2,Inputs!$K$4:$AJ$4,0)))+SUMPRODUCT((Inputs!$C$5:$C$130=$B57)*Inputs!$D$5:$D$130*(((Inputs!$G$5:$G$130="moeda")+(Inputs!$G$5:$G$130="acoes"))*Inputs!$B$1+((Inputs!$G$5:$G$130&lt;&gt;"moeda")*(Inputs!$G$5:$G$130&lt;&gt;"acoes")))*INDEX(Inputs!$K$5:$AJ$130,0,MATCH(K$2,Inputs!$K$4:$AJ$4,0)))+SUMPRODUCT((Inputs!$E$5:$E$130=$B57)*Inputs!$F$5:$F$130*(((Inputs!$G$5:$G$130="moeda")+(Inputs!$G$5:$G$130="acoes"))*Inputs!$B$1+((Inputs!$G$5:$G$130&lt;&gt;"moeda")*(Inputs!$G$5:$G$130&lt;&gt;"acoes")))*INDEX(Inputs!$K$5:$AJ$130,0,MATCH(K$2,Inputs!$K$4:$AJ$4,0)))))</f>
        <v>10031</v>
      </c>
      <c r="L57" s="511">
        <f>IF(ISNA(MATCH(L$2,Inputs!$K$4:$AJ$4,0)),NA(),IF(SUMPRODUCT((Inputs!$A$5:$A$130=$B57)*ISNUMBER(INDEX(Inputs!$K$5:$AJ$130,0,MATCH(L$2,Inputs!$K$4:$AJ$4,0))))+SUMPRODUCT((Inputs!$C$5:$C$130=$B57)*ISNUMBER(INDEX(Inputs!$K$5:$AJ$130,0,MATCH(L$2,Inputs!$K$4:$AJ$4,0))))+SUMPRODUCT((Inputs!$E$5:$E$130=$B57)*ISNUMBER(INDEX(Inputs!$K$5:$AJ$130,0,MATCH(L$2,Inputs!$K$4:$AJ$4,0))))=0,NA(),SUMPRODUCT((Inputs!$A$5:$A$130=$B57)*Inputs!$B$5:$B$130*(((Inputs!$G$5:$G$130="moeda")+(Inputs!$G$5:$G$130="acoes"))*Inputs!$B$1+((Inputs!$G$5:$G$130&lt;&gt;"moeda")*(Inputs!$G$5:$G$130&lt;&gt;"acoes")))*INDEX(Inputs!$K$5:$AJ$130,0,MATCH(L$2,Inputs!$K$4:$AJ$4,0)))+SUMPRODUCT((Inputs!$C$5:$C$130=$B57)*Inputs!$D$5:$D$130*(((Inputs!$G$5:$G$130="moeda")+(Inputs!$G$5:$G$130="acoes"))*Inputs!$B$1+((Inputs!$G$5:$G$130&lt;&gt;"moeda")*(Inputs!$G$5:$G$130&lt;&gt;"acoes")))*INDEX(Inputs!$K$5:$AJ$130,0,MATCH(L$2,Inputs!$K$4:$AJ$4,0)))+SUMPRODUCT((Inputs!$E$5:$E$130=$B57)*Inputs!$F$5:$F$130*(((Inputs!$G$5:$G$130="moeda")+(Inputs!$G$5:$G$130="acoes"))*Inputs!$B$1+((Inputs!$G$5:$G$130&lt;&gt;"moeda")*(Inputs!$G$5:$G$130&lt;&gt;"acoes")))*INDEX(Inputs!$K$5:$AJ$130,0,MATCH(L$2,Inputs!$K$4:$AJ$4,0)))))</f>
        <v>22656</v>
      </c>
      <c r="M57" s="512">
        <f>SUM(I57:L57)</f>
        <v>53190</v>
      </c>
      <c r="N57" s="511">
        <f>IF(ISNA(MATCH(N$2,Inputs!$K$4:$AJ$4,0)),NA(),IF(SUMPRODUCT((Inputs!$A$5:$A$130=$B57)*ISNUMBER(INDEX(Inputs!$K$5:$AJ$130,0,MATCH(N$2,Inputs!$K$4:$AJ$4,0))))+SUMPRODUCT((Inputs!$C$5:$C$130=$B57)*ISNUMBER(INDEX(Inputs!$K$5:$AJ$130,0,MATCH(N$2,Inputs!$K$4:$AJ$4,0))))+SUMPRODUCT((Inputs!$E$5:$E$130=$B57)*ISNUMBER(INDEX(Inputs!$K$5:$AJ$130,0,MATCH(N$2,Inputs!$K$4:$AJ$4,0))))=0,NA(),SUMPRODUCT((Inputs!$A$5:$A$130=$B57)*Inputs!$B$5:$B$130*(((Inputs!$G$5:$G$130="moeda")+(Inputs!$G$5:$G$130="acoes"))*Inputs!$B$1+((Inputs!$G$5:$G$130&lt;&gt;"moeda")*(Inputs!$G$5:$G$130&lt;&gt;"acoes")))*INDEX(Inputs!$K$5:$AJ$130,0,MATCH(N$2,Inputs!$K$4:$AJ$4,0)))+SUMPRODUCT((Inputs!$C$5:$C$130=$B57)*Inputs!$D$5:$D$130*(((Inputs!$G$5:$G$130="moeda")+(Inputs!$G$5:$G$130="acoes"))*Inputs!$B$1+((Inputs!$G$5:$G$130&lt;&gt;"moeda")*(Inputs!$G$5:$G$130&lt;&gt;"acoes")))*INDEX(Inputs!$K$5:$AJ$130,0,MATCH(N$2,Inputs!$K$4:$AJ$4,0)))+SUMPRODUCT((Inputs!$E$5:$E$130=$B57)*Inputs!$F$5:$F$130*(((Inputs!$G$5:$G$130="moeda")+(Inputs!$G$5:$G$130="acoes"))*Inputs!$B$1+((Inputs!$G$5:$G$130&lt;&gt;"moeda")*(Inputs!$G$5:$G$130&lt;&gt;"acoes")))*INDEX(Inputs!$K$5:$AJ$130,0,MATCH(N$2,Inputs!$K$4:$AJ$4,0)))))</f>
        <v>15619</v>
      </c>
      <c r="O57" s="511">
        <f>IF(ISNA(MATCH(O$2,Inputs!$K$4:$AJ$4,0)),NA(),IF(SUMPRODUCT((Inputs!$A$5:$A$130=$B57)*ISNUMBER(INDEX(Inputs!$K$5:$AJ$130,0,MATCH(O$2,Inputs!$K$4:$AJ$4,0))))+SUMPRODUCT((Inputs!$C$5:$C$130=$B57)*ISNUMBER(INDEX(Inputs!$K$5:$AJ$130,0,MATCH(O$2,Inputs!$K$4:$AJ$4,0))))+SUMPRODUCT((Inputs!$E$5:$E$130=$B57)*ISNUMBER(INDEX(Inputs!$K$5:$AJ$130,0,MATCH(O$2,Inputs!$K$4:$AJ$4,0))))=0,NA(),SUMPRODUCT((Inputs!$A$5:$A$130=$B57)*Inputs!$B$5:$B$130*(((Inputs!$G$5:$G$130="moeda")+(Inputs!$G$5:$G$130="acoes"))*Inputs!$B$1+((Inputs!$G$5:$G$130&lt;&gt;"moeda")*(Inputs!$G$5:$G$130&lt;&gt;"acoes")))*INDEX(Inputs!$K$5:$AJ$130,0,MATCH(O$2,Inputs!$K$4:$AJ$4,0)))+SUMPRODUCT((Inputs!$C$5:$C$130=$B57)*Inputs!$D$5:$D$130*(((Inputs!$G$5:$G$130="moeda")+(Inputs!$G$5:$G$130="acoes"))*Inputs!$B$1+((Inputs!$G$5:$G$130&lt;&gt;"moeda")*(Inputs!$G$5:$G$130&lt;&gt;"acoes")))*INDEX(Inputs!$K$5:$AJ$130,0,MATCH(O$2,Inputs!$K$4:$AJ$4,0)))+SUMPRODUCT((Inputs!$E$5:$E$130=$B57)*Inputs!$F$5:$F$130*(((Inputs!$G$5:$G$130="moeda")+(Inputs!$G$5:$G$130="acoes"))*Inputs!$B$1+((Inputs!$G$5:$G$130&lt;&gt;"moeda")*(Inputs!$G$5:$G$130&lt;&gt;"acoes")))*INDEX(Inputs!$K$5:$AJ$130,0,MATCH(O$2,Inputs!$K$4:$AJ$4,0)))))</f>
        <v>9866</v>
      </c>
      <c r="P57" s="511">
        <f>IF(ISNA(MATCH(P$2,Inputs!$K$4:$AJ$4,0)),NA(),IF(SUMPRODUCT((Inputs!$A$5:$A$130=$B57)*ISNUMBER(INDEX(Inputs!$K$5:$AJ$130,0,MATCH(P$2,Inputs!$K$4:$AJ$4,0))))+SUMPRODUCT((Inputs!$C$5:$C$130=$B57)*ISNUMBER(INDEX(Inputs!$K$5:$AJ$130,0,MATCH(P$2,Inputs!$K$4:$AJ$4,0))))+SUMPRODUCT((Inputs!$E$5:$E$130=$B57)*ISNUMBER(INDEX(Inputs!$K$5:$AJ$130,0,MATCH(P$2,Inputs!$K$4:$AJ$4,0))))=0,NA(),SUMPRODUCT((Inputs!$A$5:$A$130=$B57)*Inputs!$B$5:$B$130*(((Inputs!$G$5:$G$130="moeda")+(Inputs!$G$5:$G$130="acoes"))*Inputs!$B$1+((Inputs!$G$5:$G$130&lt;&gt;"moeda")*(Inputs!$G$5:$G$130&lt;&gt;"acoes")))*INDEX(Inputs!$K$5:$AJ$130,0,MATCH(P$2,Inputs!$K$4:$AJ$4,0)))+SUMPRODUCT((Inputs!$C$5:$C$130=$B57)*Inputs!$D$5:$D$130*(((Inputs!$G$5:$G$130="moeda")+(Inputs!$G$5:$G$130="acoes"))*Inputs!$B$1+((Inputs!$G$5:$G$130&lt;&gt;"moeda")*(Inputs!$G$5:$G$130&lt;&gt;"acoes")))*INDEX(Inputs!$K$5:$AJ$130,0,MATCH(P$2,Inputs!$K$4:$AJ$4,0)))+SUMPRODUCT((Inputs!$E$5:$E$130=$B57)*Inputs!$F$5:$F$130*(((Inputs!$G$5:$G$130="moeda")+(Inputs!$G$5:$G$130="acoes"))*Inputs!$B$1+((Inputs!$G$5:$G$130&lt;&gt;"moeda")*(Inputs!$G$5:$G$130&lt;&gt;"acoes")))*INDEX(Inputs!$K$5:$AJ$130,0,MATCH(P$2,Inputs!$K$4:$AJ$4,0)))))</f>
        <v>9032</v>
      </c>
      <c r="Q57" s="511">
        <f>IF(ISNA(MATCH(Q$2,Inputs!$K$4:$AJ$4,0)),NA(),IF(SUMPRODUCT((Inputs!$A$5:$A$130=$B57)*ISNUMBER(INDEX(Inputs!$K$5:$AJ$130,0,MATCH(Q$2,Inputs!$K$4:$AJ$4,0))))+SUMPRODUCT((Inputs!$C$5:$C$130=$B57)*ISNUMBER(INDEX(Inputs!$K$5:$AJ$130,0,MATCH(Q$2,Inputs!$K$4:$AJ$4,0))))+SUMPRODUCT((Inputs!$E$5:$E$130=$B57)*ISNUMBER(INDEX(Inputs!$K$5:$AJ$130,0,MATCH(Q$2,Inputs!$K$4:$AJ$4,0))))=0,NA(),SUMPRODUCT((Inputs!$A$5:$A$130=$B57)*Inputs!$B$5:$B$130*(((Inputs!$G$5:$G$130="moeda")+(Inputs!$G$5:$G$130="acoes"))*Inputs!$B$1+((Inputs!$G$5:$G$130&lt;&gt;"moeda")*(Inputs!$G$5:$G$130&lt;&gt;"acoes")))*INDEX(Inputs!$K$5:$AJ$130,0,MATCH(Q$2,Inputs!$K$4:$AJ$4,0)))+SUMPRODUCT((Inputs!$C$5:$C$130=$B57)*Inputs!$D$5:$D$130*(((Inputs!$G$5:$G$130="moeda")+(Inputs!$G$5:$G$130="acoes"))*Inputs!$B$1+((Inputs!$G$5:$G$130&lt;&gt;"moeda")*(Inputs!$G$5:$G$130&lt;&gt;"acoes")))*INDEX(Inputs!$K$5:$AJ$130,0,MATCH(Q$2,Inputs!$K$4:$AJ$4,0)))+SUMPRODUCT((Inputs!$E$5:$E$130=$B57)*Inputs!$F$5:$F$130*(((Inputs!$G$5:$G$130="moeda")+(Inputs!$G$5:$G$130="acoes"))*Inputs!$B$1+((Inputs!$G$5:$G$130&lt;&gt;"moeda")*(Inputs!$G$5:$G$130&lt;&gt;"acoes")))*INDEX(Inputs!$K$5:$AJ$130,0,MATCH(Q$2,Inputs!$K$4:$AJ$4,0)))))</f>
        <v>10302</v>
      </c>
      <c r="R57" s="512">
        <f>SUM(N57:Q57)</f>
        <v>44819</v>
      </c>
      <c r="S57" s="511">
        <f>IF(ISNA(MATCH(S$2,Inputs!$K$4:$AJ$4,0)),NA(),IF(SUMPRODUCT((Inputs!$A$5:$A$130=$B57)*ISNUMBER(INDEX(Inputs!$K$5:$AJ$130,0,MATCH(S$2,Inputs!$K$4:$AJ$4,0))))+SUMPRODUCT((Inputs!$C$5:$C$130=$B57)*ISNUMBER(INDEX(Inputs!$K$5:$AJ$130,0,MATCH(S$2,Inputs!$K$4:$AJ$4,0))))+SUMPRODUCT((Inputs!$E$5:$E$130=$B57)*ISNUMBER(INDEX(Inputs!$K$5:$AJ$130,0,MATCH(S$2,Inputs!$K$4:$AJ$4,0))))=0,NA(),SUMPRODUCT((Inputs!$A$5:$A$130=$B57)*Inputs!$B$5:$B$130*(((Inputs!$G$5:$G$130="moeda")+(Inputs!$G$5:$G$130="acoes"))*Inputs!$B$1+((Inputs!$G$5:$G$130&lt;&gt;"moeda")*(Inputs!$G$5:$G$130&lt;&gt;"acoes")))*INDEX(Inputs!$K$5:$AJ$130,0,MATCH(S$2,Inputs!$K$4:$AJ$4,0)))+SUMPRODUCT((Inputs!$C$5:$C$130=$B57)*Inputs!$D$5:$D$130*(((Inputs!$G$5:$G$130="moeda")+(Inputs!$G$5:$G$130="acoes"))*Inputs!$B$1+((Inputs!$G$5:$G$130&lt;&gt;"moeda")*(Inputs!$G$5:$G$130&lt;&gt;"acoes")))*INDEX(Inputs!$K$5:$AJ$130,0,MATCH(S$2,Inputs!$K$4:$AJ$4,0)))+SUMPRODUCT((Inputs!$E$5:$E$130=$B57)*Inputs!$F$5:$F$130*(((Inputs!$G$5:$G$130="moeda")+(Inputs!$G$5:$G$130="acoes"))*Inputs!$B$1+((Inputs!$G$5:$G$130&lt;&gt;"moeda")*(Inputs!$G$5:$G$130&lt;&gt;"acoes")))*INDEX(Inputs!$K$5:$AJ$130,0,MATCH(S$2,Inputs!$K$4:$AJ$4,0)))))</f>
        <v>7737</v>
      </c>
      <c r="T57" s="511">
        <f>IF(ISNA(MATCH(T$2,Inputs!$K$4:$AJ$4,0)),NA(),IF(SUMPRODUCT((Inputs!$A$5:$A$130=$B57)*ISNUMBER(INDEX(Inputs!$K$5:$AJ$130,0,MATCH(T$2,Inputs!$K$4:$AJ$4,0))))+SUMPRODUCT((Inputs!$C$5:$C$130=$B57)*ISNUMBER(INDEX(Inputs!$K$5:$AJ$130,0,MATCH(T$2,Inputs!$K$4:$AJ$4,0))))+SUMPRODUCT((Inputs!$E$5:$E$130=$B57)*ISNUMBER(INDEX(Inputs!$K$5:$AJ$130,0,MATCH(T$2,Inputs!$K$4:$AJ$4,0))))=0,NA(),SUMPRODUCT((Inputs!$A$5:$A$130=$B57)*Inputs!$B$5:$B$130*(((Inputs!$G$5:$G$130="moeda")+(Inputs!$G$5:$G$130="acoes"))*Inputs!$B$1+((Inputs!$G$5:$G$130&lt;&gt;"moeda")*(Inputs!$G$5:$G$130&lt;&gt;"acoes")))*INDEX(Inputs!$K$5:$AJ$130,0,MATCH(T$2,Inputs!$K$4:$AJ$4,0)))+SUMPRODUCT((Inputs!$C$5:$C$130=$B57)*Inputs!$D$5:$D$130*(((Inputs!$G$5:$G$130="moeda")+(Inputs!$G$5:$G$130="acoes"))*Inputs!$B$1+((Inputs!$G$5:$G$130&lt;&gt;"moeda")*(Inputs!$G$5:$G$130&lt;&gt;"acoes")))*INDEX(Inputs!$K$5:$AJ$130,0,MATCH(T$2,Inputs!$K$4:$AJ$4,0)))+SUMPRODUCT((Inputs!$E$5:$E$130=$B57)*Inputs!$F$5:$F$130*(((Inputs!$G$5:$G$130="moeda")+(Inputs!$G$5:$G$130="acoes"))*Inputs!$B$1+((Inputs!$G$5:$G$130&lt;&gt;"moeda")*(Inputs!$G$5:$G$130&lt;&gt;"acoes")))*INDEX(Inputs!$K$5:$AJ$130,0,MATCH(T$2,Inputs!$K$4:$AJ$4,0)))))</f>
        <v>7222</v>
      </c>
      <c r="U57" s="511">
        <f>IF(ISNA(MATCH(U$2,Inputs!$K$4:$AJ$4,0)),NA(),IF(SUMPRODUCT((Inputs!$A$5:$A$130=$B57)*ISNUMBER(INDEX(Inputs!$K$5:$AJ$130,0,MATCH(U$2,Inputs!$K$4:$AJ$4,0))))+SUMPRODUCT((Inputs!$C$5:$C$130=$B57)*ISNUMBER(INDEX(Inputs!$K$5:$AJ$130,0,MATCH(U$2,Inputs!$K$4:$AJ$4,0))))+SUMPRODUCT((Inputs!$E$5:$E$130=$B57)*ISNUMBER(INDEX(Inputs!$K$5:$AJ$130,0,MATCH(U$2,Inputs!$K$4:$AJ$4,0))))=0,NA(),SUMPRODUCT((Inputs!$A$5:$A$130=$B57)*Inputs!$B$5:$B$130*(((Inputs!$G$5:$G$130="moeda")+(Inputs!$G$5:$G$130="acoes"))*Inputs!$B$1+((Inputs!$G$5:$G$130&lt;&gt;"moeda")*(Inputs!$G$5:$G$130&lt;&gt;"acoes")))*INDEX(Inputs!$K$5:$AJ$130,0,MATCH(U$2,Inputs!$K$4:$AJ$4,0)))+SUMPRODUCT((Inputs!$C$5:$C$130=$B57)*Inputs!$D$5:$D$130*(((Inputs!$G$5:$G$130="moeda")+(Inputs!$G$5:$G$130="acoes"))*Inputs!$B$1+((Inputs!$G$5:$G$130&lt;&gt;"moeda")*(Inputs!$G$5:$G$130&lt;&gt;"acoes")))*INDEX(Inputs!$K$5:$AJ$130,0,MATCH(U$2,Inputs!$K$4:$AJ$4,0)))+SUMPRODUCT((Inputs!$E$5:$E$130=$B57)*Inputs!$F$5:$F$130*(((Inputs!$G$5:$G$130="moeda")+(Inputs!$G$5:$G$130="acoes"))*Inputs!$B$1+((Inputs!$G$5:$G$130&lt;&gt;"moeda")*(Inputs!$G$5:$G$130&lt;&gt;"acoes")))*INDEX(Inputs!$K$5:$AJ$130,0,MATCH(U$2,Inputs!$K$4:$AJ$4,0)))))</f>
        <v>6599</v>
      </c>
      <c r="V57" s="511">
        <f>IF(ISNA(MATCH(V$2,Inputs!$K$4:$AJ$4,0)),NA(),IF(SUMPRODUCT((Inputs!$A$5:$A$130=$B57)*ISNUMBER(INDEX(Inputs!$K$5:$AJ$130,0,MATCH(V$2,Inputs!$K$4:$AJ$4,0))))+SUMPRODUCT((Inputs!$C$5:$C$130=$B57)*ISNUMBER(INDEX(Inputs!$K$5:$AJ$130,0,MATCH(V$2,Inputs!$K$4:$AJ$4,0))))+SUMPRODUCT((Inputs!$E$5:$E$130=$B57)*ISNUMBER(INDEX(Inputs!$K$5:$AJ$130,0,MATCH(V$2,Inputs!$K$4:$AJ$4,0))))=0,NA(),SUMPRODUCT((Inputs!$A$5:$A$130=$B57)*Inputs!$B$5:$B$130*(((Inputs!$G$5:$G$130="moeda")+(Inputs!$G$5:$G$130="acoes"))*Inputs!$B$1+((Inputs!$G$5:$G$130&lt;&gt;"moeda")*(Inputs!$G$5:$G$130&lt;&gt;"acoes")))*INDEX(Inputs!$K$5:$AJ$130,0,MATCH(V$2,Inputs!$K$4:$AJ$4,0)))+SUMPRODUCT((Inputs!$C$5:$C$130=$B57)*Inputs!$D$5:$D$130*(((Inputs!$G$5:$G$130="moeda")+(Inputs!$G$5:$G$130="acoes"))*Inputs!$B$1+((Inputs!$G$5:$G$130&lt;&gt;"moeda")*(Inputs!$G$5:$G$130&lt;&gt;"acoes")))*INDEX(Inputs!$K$5:$AJ$130,0,MATCH(V$2,Inputs!$K$4:$AJ$4,0)))+SUMPRODUCT((Inputs!$E$5:$E$130=$B57)*Inputs!$F$5:$F$130*(((Inputs!$G$5:$G$130="moeda")+(Inputs!$G$5:$G$130="acoes"))*Inputs!$B$1+((Inputs!$G$5:$G$130&lt;&gt;"moeda")*(Inputs!$G$5:$G$130&lt;&gt;"acoes")))*INDEX(Inputs!$K$5:$AJ$130,0,MATCH(V$2,Inputs!$K$4:$AJ$4,0)))))</f>
        <v>7808</v>
      </c>
      <c r="W57" s="512">
        <f>SUM(S57:V57)</f>
        <v>29366</v>
      </c>
      <c r="X57" s="511">
        <f>IF(ISNA(MATCH(X$2,Inputs!$K$4:$AJ$4,0)),NA(),IF(SUMPRODUCT((Inputs!$A$5:$A$130=$B57)*ISNUMBER(INDEX(Inputs!$K$5:$AJ$130,0,MATCH(X$2,Inputs!$K$4:$AJ$4,0))))+SUMPRODUCT((Inputs!$C$5:$C$130=$B57)*ISNUMBER(INDEX(Inputs!$K$5:$AJ$130,0,MATCH(X$2,Inputs!$K$4:$AJ$4,0))))+SUMPRODUCT((Inputs!$E$5:$E$130=$B57)*ISNUMBER(INDEX(Inputs!$K$5:$AJ$130,0,MATCH(X$2,Inputs!$K$4:$AJ$4,0))))=0,NA(),SUMPRODUCT((Inputs!$A$5:$A$130=$B57)*Inputs!$B$5:$B$130*(((Inputs!$G$5:$G$130="moeda")+(Inputs!$G$5:$G$130="acoes"))*Inputs!$B$1+((Inputs!$G$5:$G$130&lt;&gt;"moeda")*(Inputs!$G$5:$G$130&lt;&gt;"acoes")))*INDEX(Inputs!$K$5:$AJ$130,0,MATCH(X$2,Inputs!$K$4:$AJ$4,0)))+SUMPRODUCT((Inputs!$C$5:$C$130=$B57)*Inputs!$D$5:$D$130*(((Inputs!$G$5:$G$130="moeda")+(Inputs!$G$5:$G$130="acoes"))*Inputs!$B$1+((Inputs!$G$5:$G$130&lt;&gt;"moeda")*(Inputs!$G$5:$G$130&lt;&gt;"acoes")))*INDEX(Inputs!$K$5:$AJ$130,0,MATCH(X$2,Inputs!$K$4:$AJ$4,0)))+SUMPRODUCT((Inputs!$E$5:$E$130=$B57)*Inputs!$F$5:$F$130*(((Inputs!$G$5:$G$130="moeda")+(Inputs!$G$5:$G$130="acoes"))*Inputs!$B$1+((Inputs!$G$5:$G$130&lt;&gt;"moeda")*(Inputs!$G$5:$G$130&lt;&gt;"acoes")))*INDEX(Inputs!$K$5:$AJ$130,0,MATCH(X$2,Inputs!$K$4:$AJ$4,0)))))</f>
        <v>9417</v>
      </c>
      <c r="Y57" s="511">
        <f>IF(ISNA(MATCH(Y$2,Inputs!$K$4:$AJ$4,0)),NA(),IF(SUMPRODUCT((Inputs!$A$5:$A$130=$B57)*ISNUMBER(INDEX(Inputs!$K$5:$AJ$130,0,MATCH(Y$2,Inputs!$K$4:$AJ$4,0))))+SUMPRODUCT((Inputs!$C$5:$C$130=$B57)*ISNUMBER(INDEX(Inputs!$K$5:$AJ$130,0,MATCH(Y$2,Inputs!$K$4:$AJ$4,0))))+SUMPRODUCT((Inputs!$E$5:$E$130=$B57)*ISNUMBER(INDEX(Inputs!$K$5:$AJ$130,0,MATCH(Y$2,Inputs!$K$4:$AJ$4,0))))=0,NA(),SUMPRODUCT((Inputs!$A$5:$A$130=$B57)*Inputs!$B$5:$B$130*(((Inputs!$G$5:$G$130="moeda")+(Inputs!$G$5:$G$130="acoes"))*Inputs!$B$1+((Inputs!$G$5:$G$130&lt;&gt;"moeda")*(Inputs!$G$5:$G$130&lt;&gt;"acoes")))*INDEX(Inputs!$K$5:$AJ$130,0,MATCH(Y$2,Inputs!$K$4:$AJ$4,0)))+SUMPRODUCT((Inputs!$C$5:$C$130=$B57)*Inputs!$D$5:$D$130*(((Inputs!$G$5:$G$130="moeda")+(Inputs!$G$5:$G$130="acoes"))*Inputs!$B$1+((Inputs!$G$5:$G$130&lt;&gt;"moeda")*(Inputs!$G$5:$G$130&lt;&gt;"acoes")))*INDEX(Inputs!$K$5:$AJ$130,0,MATCH(Y$2,Inputs!$K$4:$AJ$4,0)))+SUMPRODUCT((Inputs!$E$5:$E$130=$B57)*Inputs!$F$5:$F$130*(((Inputs!$G$5:$G$130="moeda")+(Inputs!$G$5:$G$130="acoes"))*Inputs!$B$1+((Inputs!$G$5:$G$130&lt;&gt;"moeda")*(Inputs!$G$5:$G$130&lt;&gt;"acoes")))*INDEX(Inputs!$K$5:$AJ$130,0,MATCH(Y$2,Inputs!$K$4:$AJ$4,0)))))</f>
        <v>7996</v>
      </c>
      <c r="Z57" s="511">
        <f>IF(ISNA(MATCH(Z$2,Inputs!$K$4:$AJ$4,0)),NA(),IF(SUMPRODUCT((Inputs!$A$5:$A$130=$B57)*ISNUMBER(INDEX(Inputs!$K$5:$AJ$130,0,MATCH(Z$2,Inputs!$K$4:$AJ$4,0))))+SUMPRODUCT((Inputs!$C$5:$C$130=$B57)*ISNUMBER(INDEX(Inputs!$K$5:$AJ$130,0,MATCH(Z$2,Inputs!$K$4:$AJ$4,0))))+SUMPRODUCT((Inputs!$E$5:$E$130=$B57)*ISNUMBER(INDEX(Inputs!$K$5:$AJ$130,0,MATCH(Z$2,Inputs!$K$4:$AJ$4,0))))=0,NA(),SUMPRODUCT((Inputs!$A$5:$A$130=$B57)*Inputs!$B$5:$B$130*(((Inputs!$G$5:$G$130="moeda")+(Inputs!$G$5:$G$130="acoes"))*Inputs!$B$1+((Inputs!$G$5:$G$130&lt;&gt;"moeda")*(Inputs!$G$5:$G$130&lt;&gt;"acoes")))*INDEX(Inputs!$K$5:$AJ$130,0,MATCH(Z$2,Inputs!$K$4:$AJ$4,0)))+SUMPRODUCT((Inputs!$C$5:$C$130=$B57)*Inputs!$D$5:$D$130*(((Inputs!$G$5:$G$130="moeda")+(Inputs!$G$5:$G$130="acoes"))*Inputs!$B$1+((Inputs!$G$5:$G$130&lt;&gt;"moeda")*(Inputs!$G$5:$G$130&lt;&gt;"acoes")))*INDEX(Inputs!$K$5:$AJ$130,0,MATCH(Z$2,Inputs!$K$4:$AJ$4,0)))+SUMPRODUCT((Inputs!$E$5:$E$130=$B57)*Inputs!$F$5:$F$130*(((Inputs!$G$5:$G$130="moeda")+(Inputs!$G$5:$G$130="acoes"))*Inputs!$B$1+((Inputs!$G$5:$G$130&lt;&gt;"moeda")*(Inputs!$G$5:$G$130&lt;&gt;"acoes")))*INDEX(Inputs!$K$5:$AJ$130,0,MATCH(Z$2,Inputs!$K$4:$AJ$4,0)))))</f>
        <v>8500</v>
      </c>
      <c r="AA57" s="511">
        <f>IF(ISNA(MATCH(AA$2,Inputs!$K$4:$AJ$4,0)),NA(),IF(SUMPRODUCT((Inputs!$A$5:$A$130=$B57)*ISNUMBER(INDEX(Inputs!$K$5:$AJ$130,0,MATCH(AA$2,Inputs!$K$4:$AJ$4,0))))+SUMPRODUCT((Inputs!$C$5:$C$130=$B57)*ISNUMBER(INDEX(Inputs!$K$5:$AJ$130,0,MATCH(AA$2,Inputs!$K$4:$AJ$4,0))))+SUMPRODUCT((Inputs!$E$5:$E$130=$B57)*ISNUMBER(INDEX(Inputs!$K$5:$AJ$130,0,MATCH(AA$2,Inputs!$K$4:$AJ$4,0))))=0,NA(),SUMPRODUCT((Inputs!$A$5:$A$130=$B57)*Inputs!$B$5:$B$130*(((Inputs!$G$5:$G$130="moeda")+(Inputs!$G$5:$G$130="acoes"))*Inputs!$B$1+((Inputs!$G$5:$G$130&lt;&gt;"moeda")*(Inputs!$G$5:$G$130&lt;&gt;"acoes")))*INDEX(Inputs!$K$5:$AJ$130,0,MATCH(AA$2,Inputs!$K$4:$AJ$4,0)))+SUMPRODUCT((Inputs!$C$5:$C$130=$B57)*Inputs!$D$5:$D$130*(((Inputs!$G$5:$G$130="moeda")+(Inputs!$G$5:$G$130="acoes"))*Inputs!$B$1+((Inputs!$G$5:$G$130&lt;&gt;"moeda")*(Inputs!$G$5:$G$130&lt;&gt;"acoes")))*INDEX(Inputs!$K$5:$AJ$130,0,MATCH(AA$2,Inputs!$K$4:$AJ$4,0)))+SUMPRODUCT((Inputs!$E$5:$E$130=$B57)*Inputs!$F$5:$F$130*(((Inputs!$G$5:$G$130="moeda")+(Inputs!$G$5:$G$130="acoes"))*Inputs!$B$1+((Inputs!$G$5:$G$130&lt;&gt;"moeda")*(Inputs!$G$5:$G$130&lt;&gt;"acoes")))*INDEX(Inputs!$K$5:$AJ$130,0,MATCH(AA$2,Inputs!$K$4:$AJ$4,0)))))</f>
        <v>8446</v>
      </c>
      <c r="AB57" s="512">
        <f>SUM(X57:AA57)</f>
        <v>34359</v>
      </c>
      <c r="AC57" s="511">
        <f>IF(ISNA(MATCH(AC$2,Inputs!$K$4:$AJ$4,0)),NA(),IF(SUMPRODUCT((Inputs!$A$5:$A$130=$B57)*ISNUMBER(INDEX(Inputs!$K$5:$AJ$130,0,MATCH(AC$2,Inputs!$K$4:$AJ$4,0))))+SUMPRODUCT((Inputs!$C$5:$C$130=$B57)*ISNUMBER(INDEX(Inputs!$K$5:$AJ$130,0,MATCH(AC$2,Inputs!$K$4:$AJ$4,0))))+SUMPRODUCT((Inputs!$E$5:$E$130=$B57)*ISNUMBER(INDEX(Inputs!$K$5:$AJ$130,0,MATCH(AC$2,Inputs!$K$4:$AJ$4,0))))=0,NA(),SUMPRODUCT((Inputs!$A$5:$A$130=$B57)*Inputs!$B$5:$B$130*(((Inputs!$G$5:$G$130="moeda")+(Inputs!$G$5:$G$130="acoes"))*Inputs!$B$1+((Inputs!$G$5:$G$130&lt;&gt;"moeda")*(Inputs!$G$5:$G$130&lt;&gt;"acoes")))*INDEX(Inputs!$K$5:$AJ$130,0,MATCH(AC$2,Inputs!$K$4:$AJ$4,0)))+SUMPRODUCT((Inputs!$C$5:$C$130=$B57)*Inputs!$D$5:$D$130*(((Inputs!$G$5:$G$130="moeda")+(Inputs!$G$5:$G$130="acoes"))*Inputs!$B$1+((Inputs!$G$5:$G$130&lt;&gt;"moeda")*(Inputs!$G$5:$G$130&lt;&gt;"acoes")))*INDEX(Inputs!$K$5:$AJ$130,0,MATCH(AC$2,Inputs!$K$4:$AJ$4,0)))+SUMPRODUCT((Inputs!$E$5:$E$130=$B57)*Inputs!$F$5:$F$130*(((Inputs!$G$5:$G$130="moeda")+(Inputs!$G$5:$G$130="acoes"))*Inputs!$B$1+((Inputs!$G$5:$G$130&lt;&gt;"moeda")*(Inputs!$G$5:$G$130&lt;&gt;"acoes")))*INDEX(Inputs!$K$5:$AJ$130,0,MATCH(AC$2,Inputs!$K$4:$AJ$4,0)))))</f>
        <v>10622</v>
      </c>
      <c r="AD57" s="511">
        <f>IF(ISNA(MATCH(AD$2,Inputs!$K$4:$AJ$4,0)),NA(),IF(SUMPRODUCT((Inputs!$A$5:$A$130=$B57)*ISNUMBER(INDEX(Inputs!$K$5:$AJ$130,0,MATCH(AD$2,Inputs!$K$4:$AJ$4,0))))+SUMPRODUCT((Inputs!$C$5:$C$130=$B57)*ISNUMBER(INDEX(Inputs!$K$5:$AJ$130,0,MATCH(AD$2,Inputs!$K$4:$AJ$4,0))))+SUMPRODUCT((Inputs!$E$5:$E$130=$B57)*ISNUMBER(INDEX(Inputs!$K$5:$AJ$130,0,MATCH(AD$2,Inputs!$K$4:$AJ$4,0))))=0,NA(),SUMPRODUCT((Inputs!$A$5:$A$130=$B57)*Inputs!$B$5:$B$130*(((Inputs!$G$5:$G$130="moeda")+(Inputs!$G$5:$G$130="acoes"))*Inputs!$B$1+((Inputs!$G$5:$G$130&lt;&gt;"moeda")*(Inputs!$G$5:$G$130&lt;&gt;"acoes")))*INDEX(Inputs!$K$5:$AJ$130,0,MATCH(AD$2,Inputs!$K$4:$AJ$4,0)))+SUMPRODUCT((Inputs!$C$5:$C$130=$B57)*Inputs!$D$5:$D$130*(((Inputs!$G$5:$G$130="moeda")+(Inputs!$G$5:$G$130="acoes"))*Inputs!$B$1+((Inputs!$G$5:$G$130&lt;&gt;"moeda")*(Inputs!$G$5:$G$130&lt;&gt;"acoes")))*INDEX(Inputs!$K$5:$AJ$130,0,MATCH(AD$2,Inputs!$K$4:$AJ$4,0)))+SUMPRODUCT((Inputs!$E$5:$E$130=$B57)*Inputs!$F$5:$F$130*(((Inputs!$G$5:$G$130="moeda")+(Inputs!$G$5:$G$130="acoes"))*Inputs!$B$1+((Inputs!$G$5:$G$130&lt;&gt;"moeda")*(Inputs!$G$5:$G$130&lt;&gt;"acoes")))*INDEX(Inputs!$K$5:$AJ$130,0,MATCH(AD$2,Inputs!$K$4:$AJ$4,0)))))</f>
        <v>9338</v>
      </c>
      <c r="AE57" s="511" t="e">
        <f>IF(ISNA(MATCH(AE$2,Inputs!$K$4:$AJ$4,0)),NA(),IF(SUMPRODUCT((Inputs!$A$5:$A$130=$B57)*ISNUMBER(INDEX(Inputs!$K$5:$AJ$130,0,MATCH(AE$2,Inputs!$K$4:$AJ$4,0))))+SUMPRODUCT((Inputs!$C$5:$C$130=$B57)*ISNUMBER(INDEX(Inputs!$K$5:$AJ$130,0,MATCH(AE$2,Inputs!$K$4:$AJ$4,0))))+SUMPRODUCT((Inputs!$E$5:$E$130=$B57)*ISNUMBER(INDEX(Inputs!$K$5:$AJ$130,0,MATCH(AE$2,Inputs!$K$4:$AJ$4,0))))=0,NA(),SUMPRODUCT((Inputs!$A$5:$A$130=$B57)*Inputs!$B$5:$B$130*(((Inputs!$G$5:$G$130="moeda")+(Inputs!$G$5:$G$130="acoes"))*Inputs!$B$1+((Inputs!$G$5:$G$130&lt;&gt;"moeda")*(Inputs!$G$5:$G$130&lt;&gt;"acoes")))*INDEX(Inputs!$K$5:$AJ$130,0,MATCH(AE$2,Inputs!$K$4:$AJ$4,0)))+SUMPRODUCT((Inputs!$C$5:$C$130=$B57)*Inputs!$D$5:$D$130*(((Inputs!$G$5:$G$130="moeda")+(Inputs!$G$5:$G$130="acoes"))*Inputs!$B$1+((Inputs!$G$5:$G$130&lt;&gt;"moeda")*(Inputs!$G$5:$G$130&lt;&gt;"acoes")))*INDEX(Inputs!$K$5:$AJ$130,0,MATCH(AE$2,Inputs!$K$4:$AJ$4,0)))+SUMPRODUCT((Inputs!$E$5:$E$130=$B57)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7" s="511" t="e">
        <f>IF(ISNA(MATCH(AF$2,Inputs!$K$4:$AJ$4,0)),NA(),IF(SUMPRODUCT((Inputs!$A$5:$A$130=$B57)*ISNUMBER(INDEX(Inputs!$K$5:$AJ$130,0,MATCH(AF$2,Inputs!$K$4:$AJ$4,0))))+SUMPRODUCT((Inputs!$C$5:$C$130=$B57)*ISNUMBER(INDEX(Inputs!$K$5:$AJ$130,0,MATCH(AF$2,Inputs!$K$4:$AJ$4,0))))+SUMPRODUCT((Inputs!$E$5:$E$130=$B57)*ISNUMBER(INDEX(Inputs!$K$5:$AJ$130,0,MATCH(AF$2,Inputs!$K$4:$AJ$4,0))))=0,NA(),SUMPRODUCT((Inputs!$A$5:$A$130=$B57)*Inputs!$B$5:$B$130*(((Inputs!$G$5:$G$130="moeda")+(Inputs!$G$5:$G$130="acoes"))*Inputs!$B$1+((Inputs!$G$5:$G$130&lt;&gt;"moeda")*(Inputs!$G$5:$G$130&lt;&gt;"acoes")))*INDEX(Inputs!$K$5:$AJ$130,0,MATCH(AF$2,Inputs!$K$4:$AJ$4,0)))+SUMPRODUCT((Inputs!$C$5:$C$130=$B57)*Inputs!$D$5:$D$130*(((Inputs!$G$5:$G$130="moeda")+(Inputs!$G$5:$G$130="acoes"))*Inputs!$B$1+((Inputs!$G$5:$G$130&lt;&gt;"moeda")*(Inputs!$G$5:$G$130&lt;&gt;"acoes")))*INDEX(Inputs!$K$5:$AJ$130,0,MATCH(AF$2,Inputs!$K$4:$AJ$4,0)))+SUMPRODUCT((Inputs!$E$5:$E$130=$B57)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7" s="512" t="e">
        <f>SUM(AC57:AF57)</f>
        <v>#N/A</v>
      </c>
      <c r="AH57" s="511" t="e">
        <f>IF(ISNA(MATCH(AH$2,Inputs!$K$4:$AJ$4,0)),NA(),IF(SUMPRODUCT((Inputs!$A$5:$A$130=$B57)*ISNUMBER(INDEX(Inputs!$K$5:$AJ$130,0,MATCH(AH$2,Inputs!$K$4:$AJ$4,0))))+SUMPRODUCT((Inputs!$C$5:$C$130=$B57)*ISNUMBER(INDEX(Inputs!$K$5:$AJ$130,0,MATCH(AH$2,Inputs!$K$4:$AJ$4,0))))+SUMPRODUCT((Inputs!$E$5:$E$130=$B57)*ISNUMBER(INDEX(Inputs!$K$5:$AJ$130,0,MATCH(AH$2,Inputs!$K$4:$AJ$4,0))))=0,NA(),SUMPRODUCT((Inputs!$A$5:$A$130=$B57)*Inputs!$B$5:$B$130*(((Inputs!$G$5:$G$130="moeda")+(Inputs!$G$5:$G$130="acoes"))*Inputs!$B$1+((Inputs!$G$5:$G$130&lt;&gt;"moeda")*(Inputs!$G$5:$G$130&lt;&gt;"acoes")))*INDEX(Inputs!$K$5:$AJ$130,0,MATCH(AH$2,Inputs!$K$4:$AJ$4,0)))+SUMPRODUCT((Inputs!$C$5:$C$130=$B57)*Inputs!$D$5:$D$130*(((Inputs!$G$5:$G$130="moeda")+(Inputs!$G$5:$G$130="acoes"))*Inputs!$B$1+((Inputs!$G$5:$G$130&lt;&gt;"moeda")*(Inputs!$G$5:$G$130&lt;&gt;"acoes")))*INDEX(Inputs!$K$5:$AJ$130,0,MATCH(AH$2,Inputs!$K$4:$AJ$4,0)))+SUMPRODUCT((Inputs!$E$5:$E$130=$B57)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57" s="511" t="e">
        <f>IF(ISNA(MATCH(AI$2,Inputs!$K$4:$AJ$4,0)),NA(),IF(SUMPRODUCT((Inputs!$A$5:$A$130=$B57)*ISNUMBER(INDEX(Inputs!$K$5:$AJ$130,0,MATCH(AI$2,Inputs!$K$4:$AJ$4,0))))+SUMPRODUCT((Inputs!$C$5:$C$130=$B57)*ISNUMBER(INDEX(Inputs!$K$5:$AJ$130,0,MATCH(AI$2,Inputs!$K$4:$AJ$4,0))))+SUMPRODUCT((Inputs!$E$5:$E$130=$B57)*ISNUMBER(INDEX(Inputs!$K$5:$AJ$130,0,MATCH(AI$2,Inputs!$K$4:$AJ$4,0))))=0,NA(),SUMPRODUCT((Inputs!$A$5:$A$130=$B57)*Inputs!$B$5:$B$130*(((Inputs!$G$5:$G$130="moeda")+(Inputs!$G$5:$G$130="acoes"))*Inputs!$B$1+((Inputs!$G$5:$G$130&lt;&gt;"moeda")*(Inputs!$G$5:$G$130&lt;&gt;"acoes")))*INDEX(Inputs!$K$5:$AJ$130,0,MATCH(AI$2,Inputs!$K$4:$AJ$4,0)))+SUMPRODUCT((Inputs!$C$5:$C$130=$B57)*Inputs!$D$5:$D$130*(((Inputs!$G$5:$G$130="moeda")+(Inputs!$G$5:$G$130="acoes"))*Inputs!$B$1+((Inputs!$G$5:$G$130&lt;&gt;"moeda")*(Inputs!$G$5:$G$130&lt;&gt;"acoes")))*INDEX(Inputs!$K$5:$AJ$130,0,MATCH(AI$2,Inputs!$K$4:$AJ$4,0)))+SUMPRODUCT((Inputs!$E$5:$E$130=$B57)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57" s="511" t="e">
        <f>IF(ISNA(MATCH(AJ$2,Inputs!$K$4:$AJ$4,0)),NA(),IF(SUMPRODUCT((Inputs!$A$5:$A$130=$B57)*ISNUMBER(INDEX(Inputs!$K$5:$AJ$130,0,MATCH(AJ$2,Inputs!$K$4:$AJ$4,0))))+SUMPRODUCT((Inputs!$C$5:$C$130=$B57)*ISNUMBER(INDEX(Inputs!$K$5:$AJ$130,0,MATCH(AJ$2,Inputs!$K$4:$AJ$4,0))))+SUMPRODUCT((Inputs!$E$5:$E$130=$B57)*ISNUMBER(INDEX(Inputs!$K$5:$AJ$130,0,MATCH(AJ$2,Inputs!$K$4:$AJ$4,0))))=0,NA(),SUMPRODUCT((Inputs!$A$5:$A$130=$B57)*Inputs!$B$5:$B$130*(((Inputs!$G$5:$G$130="moeda")+(Inputs!$G$5:$G$130="acoes"))*Inputs!$B$1+((Inputs!$G$5:$G$130&lt;&gt;"moeda")*(Inputs!$G$5:$G$130&lt;&gt;"acoes")))*INDEX(Inputs!$K$5:$AJ$130,0,MATCH(AJ$2,Inputs!$K$4:$AJ$4,0)))+SUMPRODUCT((Inputs!$C$5:$C$130=$B57)*Inputs!$D$5:$D$130*(((Inputs!$G$5:$G$130="moeda")+(Inputs!$G$5:$G$130="acoes"))*Inputs!$B$1+((Inputs!$G$5:$G$130&lt;&gt;"moeda")*(Inputs!$G$5:$G$130&lt;&gt;"acoes")))*INDEX(Inputs!$K$5:$AJ$130,0,MATCH(AJ$2,Inputs!$K$4:$AJ$4,0)))+SUMPRODUCT((Inputs!$E$5:$E$130=$B57)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57" s="511" t="e">
        <f>IF(ISNA(MATCH(AK$2,Inputs!$K$4:$AJ$4,0)),NA(),IF(SUMPRODUCT((Inputs!$A$5:$A$130=$B57)*ISNUMBER(INDEX(Inputs!$K$5:$AJ$130,0,MATCH(AK$2,Inputs!$K$4:$AJ$4,0))))+SUMPRODUCT((Inputs!$C$5:$C$130=$B57)*ISNUMBER(INDEX(Inputs!$K$5:$AJ$130,0,MATCH(AK$2,Inputs!$K$4:$AJ$4,0))))+SUMPRODUCT((Inputs!$E$5:$E$130=$B57)*ISNUMBER(INDEX(Inputs!$K$5:$AJ$130,0,MATCH(AK$2,Inputs!$K$4:$AJ$4,0))))=0,NA(),SUMPRODUCT((Inputs!$A$5:$A$130=$B57)*Inputs!$B$5:$B$130*(((Inputs!$G$5:$G$130="moeda")+(Inputs!$G$5:$G$130="acoes"))*Inputs!$B$1+((Inputs!$G$5:$G$130&lt;&gt;"moeda")*(Inputs!$G$5:$G$130&lt;&gt;"acoes")))*INDEX(Inputs!$K$5:$AJ$130,0,MATCH(AK$2,Inputs!$K$4:$AJ$4,0)))+SUMPRODUCT((Inputs!$C$5:$C$130=$B57)*Inputs!$D$5:$D$130*(((Inputs!$G$5:$G$130="moeda")+(Inputs!$G$5:$G$130="acoes"))*Inputs!$B$1+((Inputs!$G$5:$G$130&lt;&gt;"moeda")*(Inputs!$G$5:$G$130&lt;&gt;"acoes")))*INDEX(Inputs!$K$5:$AJ$130,0,MATCH(AK$2,Inputs!$K$4:$AJ$4,0)))+SUMPRODUCT((Inputs!$E$5:$E$130=$B57)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57" s="512" t="e">
        <f>SUM(AH57:AK57)</f>
        <v>#N/A</v>
      </c>
    </row>
    <row r="58">
      <c r="B58" s="263" t="n">
        <v>50</v>
      </c>
      <c r="C58" s="264" t="inlineStr">
        <is>
          <t>Integrated Gas - Adjusted Earnings (USD mi)</t>
        </is>
      </c>
      <c r="D58" s="511">
        <f>IF(ISNA(MATCH(D$2,Inputs!$K$4:$AJ$4,0)),NA(),IF(SUMPRODUCT((Inputs!$A$5:$A$130=$B58)*ISNUMBER(INDEX(Inputs!$K$5:$AJ$130,0,MATCH(D$2,Inputs!$K$4:$AJ$4,0))))+SUMPRODUCT((Inputs!$C$5:$C$130=$B58)*ISNUMBER(INDEX(Inputs!$K$5:$AJ$130,0,MATCH(D$2,Inputs!$K$4:$AJ$4,0))))+SUMPRODUCT((Inputs!$E$5:$E$130=$B58)*ISNUMBER(INDEX(Inputs!$K$5:$AJ$130,0,MATCH(D$2,Inputs!$K$4:$AJ$4,0))))=0,NA(),SUMPRODUCT((Inputs!$A$5:$A$130=$B58)*Inputs!$B$5:$B$130*(((Inputs!$G$5:$G$130="moeda")+(Inputs!$G$5:$G$130="acoes"))*Inputs!$B$1+((Inputs!$G$5:$G$130&lt;&gt;"moeda")*(Inputs!$G$5:$G$130&lt;&gt;"acoes")))*INDEX(Inputs!$K$5:$AJ$130,0,MATCH(D$2,Inputs!$K$4:$AJ$4,0)))+SUMPRODUCT((Inputs!$C$5:$C$130=$B58)*Inputs!$D$5:$D$130*(((Inputs!$G$5:$G$130="moeda")+(Inputs!$G$5:$G$130="acoes"))*Inputs!$B$1+((Inputs!$G$5:$G$130&lt;&gt;"moeda")*(Inputs!$G$5:$G$130&lt;&gt;"acoes")))*INDEX(Inputs!$K$5:$AJ$130,0,MATCH(D$2,Inputs!$K$4:$AJ$4,0)))+SUMPRODUCT((Inputs!$E$5:$E$130=$B58)*Inputs!$F$5:$F$130*(((Inputs!$G$5:$G$130="moeda")+(Inputs!$G$5:$G$130="acoes"))*Inputs!$B$1+((Inputs!$G$5:$G$130&lt;&gt;"moeda")*(Inputs!$G$5:$G$130&lt;&gt;"acoes")))*INDEX(Inputs!$K$5:$AJ$130,0,MATCH(D$2,Inputs!$K$4:$AJ$4,0)))))</f>
        <v>1570</v>
      </c>
      <c r="E58" s="511">
        <f>IF(ISNA(MATCH(E$2,Inputs!$K$4:$AJ$4,0)),NA(),IF(SUMPRODUCT((Inputs!$A$5:$A$130=$B58)*ISNUMBER(INDEX(Inputs!$K$5:$AJ$130,0,MATCH(E$2,Inputs!$K$4:$AJ$4,0))))+SUMPRODUCT((Inputs!$C$5:$C$130=$B58)*ISNUMBER(INDEX(Inputs!$K$5:$AJ$130,0,MATCH(E$2,Inputs!$K$4:$AJ$4,0))))+SUMPRODUCT((Inputs!$E$5:$E$130=$B58)*ISNUMBER(INDEX(Inputs!$K$5:$AJ$130,0,MATCH(E$2,Inputs!$K$4:$AJ$4,0))))=0,NA(),SUMPRODUCT((Inputs!$A$5:$A$130=$B58)*Inputs!$B$5:$B$130*(((Inputs!$G$5:$G$130="moeda")+(Inputs!$G$5:$G$130="acoes"))*Inputs!$B$1+((Inputs!$G$5:$G$130&lt;&gt;"moeda")*(Inputs!$G$5:$G$130&lt;&gt;"acoes")))*INDEX(Inputs!$K$5:$AJ$130,0,MATCH(E$2,Inputs!$K$4:$AJ$4,0)))+SUMPRODUCT((Inputs!$C$5:$C$130=$B58)*Inputs!$D$5:$D$130*(((Inputs!$G$5:$G$130="moeda")+(Inputs!$G$5:$G$130="acoes"))*Inputs!$B$1+((Inputs!$G$5:$G$130&lt;&gt;"moeda")*(Inputs!$G$5:$G$130&lt;&gt;"acoes")))*INDEX(Inputs!$K$5:$AJ$130,0,MATCH(E$2,Inputs!$K$4:$AJ$4,0)))+SUMPRODUCT((Inputs!$E$5:$E$130=$B58)*Inputs!$F$5:$F$130*(((Inputs!$G$5:$G$130="moeda")+(Inputs!$G$5:$G$130="acoes"))*Inputs!$B$1+((Inputs!$G$5:$G$130&lt;&gt;"moeda")*(Inputs!$G$5:$G$130&lt;&gt;"acoes")))*INDEX(Inputs!$K$5:$AJ$130,0,MATCH(E$2,Inputs!$K$4:$AJ$4,0)))))</f>
        <v>1605</v>
      </c>
      <c r="F58" s="511">
        <f>IF(ISNA(MATCH(F$2,Inputs!$K$4:$AJ$4,0)),NA(),IF(SUMPRODUCT((Inputs!$A$5:$A$130=$B58)*ISNUMBER(INDEX(Inputs!$K$5:$AJ$130,0,MATCH(F$2,Inputs!$K$4:$AJ$4,0))))+SUMPRODUCT((Inputs!$C$5:$C$130=$B58)*ISNUMBER(INDEX(Inputs!$K$5:$AJ$130,0,MATCH(F$2,Inputs!$K$4:$AJ$4,0))))+SUMPRODUCT((Inputs!$E$5:$E$130=$B58)*ISNUMBER(INDEX(Inputs!$K$5:$AJ$130,0,MATCH(F$2,Inputs!$K$4:$AJ$4,0))))=0,NA(),SUMPRODUCT((Inputs!$A$5:$A$130=$B58)*Inputs!$B$5:$B$130*(((Inputs!$G$5:$G$130="moeda")+(Inputs!$G$5:$G$130="acoes"))*Inputs!$B$1+((Inputs!$G$5:$G$130&lt;&gt;"moeda")*(Inputs!$G$5:$G$130&lt;&gt;"acoes")))*INDEX(Inputs!$K$5:$AJ$130,0,MATCH(F$2,Inputs!$K$4:$AJ$4,0)))+SUMPRODUCT((Inputs!$C$5:$C$130=$B58)*Inputs!$D$5:$D$130*(((Inputs!$G$5:$G$130="moeda")+(Inputs!$G$5:$G$130="acoes"))*Inputs!$B$1+((Inputs!$G$5:$G$130&lt;&gt;"moeda")*(Inputs!$G$5:$G$130&lt;&gt;"acoes")))*INDEX(Inputs!$K$5:$AJ$130,0,MATCH(F$2,Inputs!$K$4:$AJ$4,0)))+SUMPRODUCT((Inputs!$E$5:$E$130=$B58)*Inputs!$F$5:$F$130*(((Inputs!$G$5:$G$130="moeda")+(Inputs!$G$5:$G$130="acoes"))*Inputs!$B$1+((Inputs!$G$5:$G$130&lt;&gt;"moeda")*(Inputs!$G$5:$G$130&lt;&gt;"acoes")))*INDEX(Inputs!$K$5:$AJ$130,0,MATCH(F$2,Inputs!$K$4:$AJ$4,0)))))</f>
        <v>1837</v>
      </c>
      <c r="G58" s="511">
        <f>IF(ISNA(MATCH(G$2,Inputs!$K$4:$AJ$4,0)),NA(),IF(SUMPRODUCT((Inputs!$A$5:$A$130=$B58)*ISNUMBER(INDEX(Inputs!$K$5:$AJ$130,0,MATCH(G$2,Inputs!$K$4:$AJ$4,0))))+SUMPRODUCT((Inputs!$C$5:$C$130=$B58)*ISNUMBER(INDEX(Inputs!$K$5:$AJ$130,0,MATCH(G$2,Inputs!$K$4:$AJ$4,0))))+SUMPRODUCT((Inputs!$E$5:$E$130=$B58)*ISNUMBER(INDEX(Inputs!$K$5:$AJ$130,0,MATCH(G$2,Inputs!$K$4:$AJ$4,0))))=0,NA(),SUMPRODUCT((Inputs!$A$5:$A$130=$B58)*Inputs!$B$5:$B$130*(((Inputs!$G$5:$G$130="moeda")+(Inputs!$G$5:$G$130="acoes"))*Inputs!$B$1+((Inputs!$G$5:$G$130&lt;&gt;"moeda")*(Inputs!$G$5:$G$130&lt;&gt;"acoes")))*INDEX(Inputs!$K$5:$AJ$130,0,MATCH(G$2,Inputs!$K$4:$AJ$4,0)))+SUMPRODUCT((Inputs!$C$5:$C$130=$B58)*Inputs!$D$5:$D$130*(((Inputs!$G$5:$G$130="moeda")+(Inputs!$G$5:$G$130="acoes"))*Inputs!$B$1+((Inputs!$G$5:$G$130&lt;&gt;"moeda")*(Inputs!$G$5:$G$130&lt;&gt;"acoes")))*INDEX(Inputs!$K$5:$AJ$130,0,MATCH(G$2,Inputs!$K$4:$AJ$4,0)))+SUMPRODUCT((Inputs!$E$5:$E$130=$B58)*Inputs!$F$5:$F$130*(((Inputs!$G$5:$G$130="moeda")+(Inputs!$G$5:$G$130="acoes"))*Inputs!$B$1+((Inputs!$G$5:$G$130&lt;&gt;"moeda")*(Inputs!$G$5:$G$130&lt;&gt;"acoes")))*INDEX(Inputs!$K$5:$AJ$130,0,MATCH(G$2,Inputs!$K$4:$AJ$4,0)))))</f>
        <v>4036</v>
      </c>
      <c r="H58" s="512">
        <f>SUM(D58:G58)</f>
        <v>9048</v>
      </c>
      <c r="I58" s="511">
        <f>IF(ISNA(MATCH(I$2,Inputs!$K$4:$AJ$4,0)),NA(),IF(SUMPRODUCT((Inputs!$A$5:$A$130=$B58)*ISNUMBER(INDEX(Inputs!$K$5:$AJ$130,0,MATCH(I$2,Inputs!$K$4:$AJ$4,0))))+SUMPRODUCT((Inputs!$C$5:$C$130=$B58)*ISNUMBER(INDEX(Inputs!$K$5:$AJ$130,0,MATCH(I$2,Inputs!$K$4:$AJ$4,0))))+SUMPRODUCT((Inputs!$E$5:$E$130=$B58)*ISNUMBER(INDEX(Inputs!$K$5:$AJ$130,0,MATCH(I$2,Inputs!$K$4:$AJ$4,0))))=0,NA(),SUMPRODUCT((Inputs!$A$5:$A$130=$B58)*Inputs!$B$5:$B$130*(((Inputs!$G$5:$G$130="moeda")+(Inputs!$G$5:$G$130="acoes"))*Inputs!$B$1+((Inputs!$G$5:$G$130&lt;&gt;"moeda")*(Inputs!$G$5:$G$130&lt;&gt;"acoes")))*INDEX(Inputs!$K$5:$AJ$130,0,MATCH(I$2,Inputs!$K$4:$AJ$4,0)))+SUMPRODUCT((Inputs!$C$5:$C$130=$B58)*Inputs!$D$5:$D$130*(((Inputs!$G$5:$G$130="moeda")+(Inputs!$G$5:$G$130="acoes"))*Inputs!$B$1+((Inputs!$G$5:$G$130&lt;&gt;"moeda")*(Inputs!$G$5:$G$130&lt;&gt;"acoes")))*INDEX(Inputs!$K$5:$AJ$130,0,MATCH(I$2,Inputs!$K$4:$AJ$4,0)))+SUMPRODUCT((Inputs!$E$5:$E$130=$B58)*Inputs!$F$5:$F$130*(((Inputs!$G$5:$G$130="moeda")+(Inputs!$G$5:$G$130="acoes"))*Inputs!$B$1+((Inputs!$G$5:$G$130&lt;&gt;"moeda")*(Inputs!$G$5:$G$130&lt;&gt;"acoes")))*INDEX(Inputs!$K$5:$AJ$130,0,MATCH(I$2,Inputs!$K$4:$AJ$4,0)))))</f>
        <v>4094</v>
      </c>
      <c r="J58" s="511">
        <f>IF(ISNA(MATCH(J$2,Inputs!$K$4:$AJ$4,0)),NA(),IF(SUMPRODUCT((Inputs!$A$5:$A$130=$B58)*ISNUMBER(INDEX(Inputs!$K$5:$AJ$130,0,MATCH(J$2,Inputs!$K$4:$AJ$4,0))))+SUMPRODUCT((Inputs!$C$5:$C$130=$B58)*ISNUMBER(INDEX(Inputs!$K$5:$AJ$130,0,MATCH(J$2,Inputs!$K$4:$AJ$4,0))))+SUMPRODUCT((Inputs!$E$5:$E$130=$B58)*ISNUMBER(INDEX(Inputs!$K$5:$AJ$130,0,MATCH(J$2,Inputs!$K$4:$AJ$4,0))))=0,NA(),SUMPRODUCT((Inputs!$A$5:$A$130=$B58)*Inputs!$B$5:$B$130*(((Inputs!$G$5:$G$130="moeda")+(Inputs!$G$5:$G$130="acoes"))*Inputs!$B$1+((Inputs!$G$5:$G$130&lt;&gt;"moeda")*(Inputs!$G$5:$G$130&lt;&gt;"acoes")))*INDEX(Inputs!$K$5:$AJ$130,0,MATCH(J$2,Inputs!$K$4:$AJ$4,0)))+SUMPRODUCT((Inputs!$C$5:$C$130=$B58)*Inputs!$D$5:$D$130*(((Inputs!$G$5:$G$130="moeda")+(Inputs!$G$5:$G$130="acoes"))*Inputs!$B$1+((Inputs!$G$5:$G$130&lt;&gt;"moeda")*(Inputs!$G$5:$G$130&lt;&gt;"acoes")))*INDEX(Inputs!$K$5:$AJ$130,0,MATCH(J$2,Inputs!$K$4:$AJ$4,0)))+SUMPRODUCT((Inputs!$E$5:$E$130=$B58)*Inputs!$F$5:$F$130*(((Inputs!$G$5:$G$130="moeda")+(Inputs!$G$5:$G$130="acoes"))*Inputs!$B$1+((Inputs!$G$5:$G$130&lt;&gt;"moeda")*(Inputs!$G$5:$G$130&lt;&gt;"acoes")))*INDEX(Inputs!$K$5:$AJ$130,0,MATCH(J$2,Inputs!$K$4:$AJ$4,0)))))</f>
        <v>3760</v>
      </c>
      <c r="K58" s="511">
        <f>IF(ISNA(MATCH(K$2,Inputs!$K$4:$AJ$4,0)),NA(),IF(SUMPRODUCT((Inputs!$A$5:$A$130=$B58)*ISNUMBER(INDEX(Inputs!$K$5:$AJ$130,0,MATCH(K$2,Inputs!$K$4:$AJ$4,0))))+SUMPRODUCT((Inputs!$C$5:$C$130=$B58)*ISNUMBER(INDEX(Inputs!$K$5:$AJ$130,0,MATCH(K$2,Inputs!$K$4:$AJ$4,0))))+SUMPRODUCT((Inputs!$E$5:$E$130=$B58)*ISNUMBER(INDEX(Inputs!$K$5:$AJ$130,0,MATCH(K$2,Inputs!$K$4:$AJ$4,0))))=0,NA(),SUMPRODUCT((Inputs!$A$5:$A$130=$B58)*Inputs!$B$5:$B$130*(((Inputs!$G$5:$G$130="moeda")+(Inputs!$G$5:$G$130="acoes"))*Inputs!$B$1+((Inputs!$G$5:$G$130&lt;&gt;"moeda")*(Inputs!$G$5:$G$130&lt;&gt;"acoes")))*INDEX(Inputs!$K$5:$AJ$130,0,MATCH(K$2,Inputs!$K$4:$AJ$4,0)))+SUMPRODUCT((Inputs!$C$5:$C$130=$B58)*Inputs!$D$5:$D$130*(((Inputs!$G$5:$G$130="moeda")+(Inputs!$G$5:$G$130="acoes"))*Inputs!$B$1+((Inputs!$G$5:$G$130&lt;&gt;"moeda")*(Inputs!$G$5:$G$130&lt;&gt;"acoes")))*INDEX(Inputs!$K$5:$AJ$130,0,MATCH(K$2,Inputs!$K$4:$AJ$4,0)))+SUMPRODUCT((Inputs!$E$5:$E$130=$B58)*Inputs!$F$5:$F$130*(((Inputs!$G$5:$G$130="moeda")+(Inputs!$G$5:$G$130="acoes"))*Inputs!$B$1+((Inputs!$G$5:$G$130&lt;&gt;"moeda")*(Inputs!$G$5:$G$130&lt;&gt;"acoes")))*INDEX(Inputs!$K$5:$AJ$130,0,MATCH(K$2,Inputs!$K$4:$AJ$4,0)))))</f>
        <v>2321</v>
      </c>
      <c r="L58" s="511">
        <f>IF(ISNA(MATCH(L$2,Inputs!$K$4:$AJ$4,0)),NA(),IF(SUMPRODUCT((Inputs!$A$5:$A$130=$B58)*ISNUMBER(INDEX(Inputs!$K$5:$AJ$130,0,MATCH(L$2,Inputs!$K$4:$AJ$4,0))))+SUMPRODUCT((Inputs!$C$5:$C$130=$B58)*ISNUMBER(INDEX(Inputs!$K$5:$AJ$130,0,MATCH(L$2,Inputs!$K$4:$AJ$4,0))))+SUMPRODUCT((Inputs!$E$5:$E$130=$B58)*ISNUMBER(INDEX(Inputs!$K$5:$AJ$130,0,MATCH(L$2,Inputs!$K$4:$AJ$4,0))))=0,NA(),SUMPRODUCT((Inputs!$A$5:$A$130=$B58)*Inputs!$B$5:$B$130*(((Inputs!$G$5:$G$130="moeda")+(Inputs!$G$5:$G$130="acoes"))*Inputs!$B$1+((Inputs!$G$5:$G$130&lt;&gt;"moeda")*(Inputs!$G$5:$G$130&lt;&gt;"acoes")))*INDEX(Inputs!$K$5:$AJ$130,0,MATCH(L$2,Inputs!$K$4:$AJ$4,0)))+SUMPRODUCT((Inputs!$C$5:$C$130=$B58)*Inputs!$D$5:$D$130*(((Inputs!$G$5:$G$130="moeda")+(Inputs!$G$5:$G$130="acoes"))*Inputs!$B$1+((Inputs!$G$5:$G$130&lt;&gt;"moeda")*(Inputs!$G$5:$G$130&lt;&gt;"acoes")))*INDEX(Inputs!$K$5:$AJ$130,0,MATCH(L$2,Inputs!$K$4:$AJ$4,0)))+SUMPRODUCT((Inputs!$E$5:$E$130=$B58)*Inputs!$F$5:$F$130*(((Inputs!$G$5:$G$130="moeda")+(Inputs!$G$5:$G$130="acoes"))*Inputs!$B$1+((Inputs!$G$5:$G$130&lt;&gt;"moeda")*(Inputs!$G$5:$G$130&lt;&gt;"acoes")))*INDEX(Inputs!$K$5:$AJ$130,0,MATCH(L$2,Inputs!$K$4:$AJ$4,0)))))</f>
        <v>5971</v>
      </c>
      <c r="M58" s="512">
        <f>SUM(I58:L58)</f>
        <v>16146</v>
      </c>
      <c r="N58" s="511">
        <f>IF(ISNA(MATCH(N$2,Inputs!$K$4:$AJ$4,0)),NA(),IF(SUMPRODUCT((Inputs!$A$5:$A$130=$B58)*ISNUMBER(INDEX(Inputs!$K$5:$AJ$130,0,MATCH(N$2,Inputs!$K$4:$AJ$4,0))))+SUMPRODUCT((Inputs!$C$5:$C$130=$B58)*ISNUMBER(INDEX(Inputs!$K$5:$AJ$130,0,MATCH(N$2,Inputs!$K$4:$AJ$4,0))))+SUMPRODUCT((Inputs!$E$5:$E$130=$B58)*ISNUMBER(INDEX(Inputs!$K$5:$AJ$130,0,MATCH(N$2,Inputs!$K$4:$AJ$4,0))))=0,NA(),SUMPRODUCT((Inputs!$A$5:$A$130=$B58)*Inputs!$B$5:$B$130*(((Inputs!$G$5:$G$130="moeda")+(Inputs!$G$5:$G$130="acoes"))*Inputs!$B$1+((Inputs!$G$5:$G$130&lt;&gt;"moeda")*(Inputs!$G$5:$G$130&lt;&gt;"acoes")))*INDEX(Inputs!$K$5:$AJ$130,0,MATCH(N$2,Inputs!$K$4:$AJ$4,0)))+SUMPRODUCT((Inputs!$C$5:$C$130=$B58)*Inputs!$D$5:$D$130*(((Inputs!$G$5:$G$130="moeda")+(Inputs!$G$5:$G$130="acoes"))*Inputs!$B$1+((Inputs!$G$5:$G$130&lt;&gt;"moeda")*(Inputs!$G$5:$G$130&lt;&gt;"acoes")))*INDEX(Inputs!$K$5:$AJ$130,0,MATCH(N$2,Inputs!$K$4:$AJ$4,0)))+SUMPRODUCT((Inputs!$E$5:$E$130=$B58)*Inputs!$F$5:$F$130*(((Inputs!$G$5:$G$130="moeda")+(Inputs!$G$5:$G$130="acoes"))*Inputs!$B$1+((Inputs!$G$5:$G$130&lt;&gt;"moeda")*(Inputs!$G$5:$G$130&lt;&gt;"acoes")))*INDEX(Inputs!$K$5:$AJ$130,0,MATCH(N$2,Inputs!$K$4:$AJ$4,0)))))</f>
        <v>4919</v>
      </c>
      <c r="O58" s="511">
        <f>IF(ISNA(MATCH(O$2,Inputs!$K$4:$AJ$4,0)),NA(),IF(SUMPRODUCT((Inputs!$A$5:$A$130=$B58)*ISNUMBER(INDEX(Inputs!$K$5:$AJ$130,0,MATCH(O$2,Inputs!$K$4:$AJ$4,0))))+SUMPRODUCT((Inputs!$C$5:$C$130=$B58)*ISNUMBER(INDEX(Inputs!$K$5:$AJ$130,0,MATCH(O$2,Inputs!$K$4:$AJ$4,0))))+SUMPRODUCT((Inputs!$E$5:$E$130=$B58)*ISNUMBER(INDEX(Inputs!$K$5:$AJ$130,0,MATCH(O$2,Inputs!$K$4:$AJ$4,0))))=0,NA(),SUMPRODUCT((Inputs!$A$5:$A$130=$B58)*Inputs!$B$5:$B$130*(((Inputs!$G$5:$G$130="moeda")+(Inputs!$G$5:$G$130="acoes"))*Inputs!$B$1+((Inputs!$G$5:$G$130&lt;&gt;"moeda")*(Inputs!$G$5:$G$130&lt;&gt;"acoes")))*INDEX(Inputs!$K$5:$AJ$130,0,MATCH(O$2,Inputs!$K$4:$AJ$4,0)))+SUMPRODUCT((Inputs!$C$5:$C$130=$B58)*Inputs!$D$5:$D$130*(((Inputs!$G$5:$G$130="moeda")+(Inputs!$G$5:$G$130="acoes"))*Inputs!$B$1+((Inputs!$G$5:$G$130&lt;&gt;"moeda")*(Inputs!$G$5:$G$130&lt;&gt;"acoes")))*INDEX(Inputs!$K$5:$AJ$130,0,MATCH(O$2,Inputs!$K$4:$AJ$4,0)))+SUMPRODUCT((Inputs!$E$5:$E$130=$B58)*Inputs!$F$5:$F$130*(((Inputs!$G$5:$G$130="moeda")+(Inputs!$G$5:$G$130="acoes"))*Inputs!$B$1+((Inputs!$G$5:$G$130&lt;&gt;"moeda")*(Inputs!$G$5:$G$130&lt;&gt;"acoes")))*INDEX(Inputs!$K$5:$AJ$130,0,MATCH(O$2,Inputs!$K$4:$AJ$4,0)))))</f>
        <v>2500</v>
      </c>
      <c r="P58" s="511">
        <f>IF(ISNA(MATCH(P$2,Inputs!$K$4:$AJ$4,0)),NA(),IF(SUMPRODUCT((Inputs!$A$5:$A$130=$B58)*ISNUMBER(INDEX(Inputs!$K$5:$AJ$130,0,MATCH(P$2,Inputs!$K$4:$AJ$4,0))))+SUMPRODUCT((Inputs!$C$5:$C$130=$B58)*ISNUMBER(INDEX(Inputs!$K$5:$AJ$130,0,MATCH(P$2,Inputs!$K$4:$AJ$4,0))))+SUMPRODUCT((Inputs!$E$5:$E$130=$B58)*ISNUMBER(INDEX(Inputs!$K$5:$AJ$130,0,MATCH(P$2,Inputs!$K$4:$AJ$4,0))))=0,NA(),SUMPRODUCT((Inputs!$A$5:$A$130=$B58)*Inputs!$B$5:$B$130*(((Inputs!$G$5:$G$130="moeda")+(Inputs!$G$5:$G$130="acoes"))*Inputs!$B$1+((Inputs!$G$5:$G$130&lt;&gt;"moeda")*(Inputs!$G$5:$G$130&lt;&gt;"acoes")))*INDEX(Inputs!$K$5:$AJ$130,0,MATCH(P$2,Inputs!$K$4:$AJ$4,0)))+SUMPRODUCT((Inputs!$C$5:$C$130=$B58)*Inputs!$D$5:$D$130*(((Inputs!$G$5:$G$130="moeda")+(Inputs!$G$5:$G$130="acoes"))*Inputs!$B$1+((Inputs!$G$5:$G$130&lt;&gt;"moeda")*(Inputs!$G$5:$G$130&lt;&gt;"acoes")))*INDEX(Inputs!$K$5:$AJ$130,0,MATCH(P$2,Inputs!$K$4:$AJ$4,0)))+SUMPRODUCT((Inputs!$E$5:$E$130=$B58)*Inputs!$F$5:$F$130*(((Inputs!$G$5:$G$130="moeda")+(Inputs!$G$5:$G$130="acoes"))*Inputs!$B$1+((Inputs!$G$5:$G$130&lt;&gt;"moeda")*(Inputs!$G$5:$G$130&lt;&gt;"acoes")))*INDEX(Inputs!$K$5:$AJ$130,0,MATCH(P$2,Inputs!$K$4:$AJ$4,0)))))</f>
        <v>2530</v>
      </c>
      <c r="Q58" s="511">
        <f>IF(ISNA(MATCH(Q$2,Inputs!$K$4:$AJ$4,0)),NA(),IF(SUMPRODUCT((Inputs!$A$5:$A$130=$B58)*ISNUMBER(INDEX(Inputs!$K$5:$AJ$130,0,MATCH(Q$2,Inputs!$K$4:$AJ$4,0))))+SUMPRODUCT((Inputs!$C$5:$C$130=$B58)*ISNUMBER(INDEX(Inputs!$K$5:$AJ$130,0,MATCH(Q$2,Inputs!$K$4:$AJ$4,0))))+SUMPRODUCT((Inputs!$E$5:$E$130=$B58)*ISNUMBER(INDEX(Inputs!$K$5:$AJ$130,0,MATCH(Q$2,Inputs!$K$4:$AJ$4,0))))=0,NA(),SUMPRODUCT((Inputs!$A$5:$A$130=$B58)*Inputs!$B$5:$B$130*(((Inputs!$G$5:$G$130="moeda")+(Inputs!$G$5:$G$130="acoes"))*Inputs!$B$1+((Inputs!$G$5:$G$130&lt;&gt;"moeda")*(Inputs!$G$5:$G$130&lt;&gt;"acoes")))*INDEX(Inputs!$K$5:$AJ$130,0,MATCH(Q$2,Inputs!$K$4:$AJ$4,0)))+SUMPRODUCT((Inputs!$C$5:$C$130=$B58)*Inputs!$D$5:$D$130*(((Inputs!$G$5:$G$130="moeda")+(Inputs!$G$5:$G$130="acoes"))*Inputs!$B$1+((Inputs!$G$5:$G$130&lt;&gt;"moeda")*(Inputs!$G$5:$G$130&lt;&gt;"acoes")))*INDEX(Inputs!$K$5:$AJ$130,0,MATCH(Q$2,Inputs!$K$4:$AJ$4,0)))+SUMPRODUCT((Inputs!$E$5:$E$130=$B58)*Inputs!$F$5:$F$130*(((Inputs!$G$5:$G$130="moeda")+(Inputs!$G$5:$G$130="acoes"))*Inputs!$B$1+((Inputs!$G$5:$G$130&lt;&gt;"moeda")*(Inputs!$G$5:$G$130&lt;&gt;"acoes")))*INDEX(Inputs!$K$5:$AJ$130,0,MATCH(Q$2,Inputs!$K$4:$AJ$4,0)))))</f>
        <v>3968</v>
      </c>
      <c r="R58" s="512">
        <f>SUM(N58:Q58)</f>
        <v>13917</v>
      </c>
      <c r="S58" s="511">
        <f>IF(ISNA(MATCH(S$2,Inputs!$K$4:$AJ$4,0)),NA(),IF(SUMPRODUCT((Inputs!$A$5:$A$130=$B58)*ISNUMBER(INDEX(Inputs!$K$5:$AJ$130,0,MATCH(S$2,Inputs!$K$4:$AJ$4,0))))+SUMPRODUCT((Inputs!$C$5:$C$130=$B58)*ISNUMBER(INDEX(Inputs!$K$5:$AJ$130,0,MATCH(S$2,Inputs!$K$4:$AJ$4,0))))+SUMPRODUCT((Inputs!$E$5:$E$130=$B58)*ISNUMBER(INDEX(Inputs!$K$5:$AJ$130,0,MATCH(S$2,Inputs!$K$4:$AJ$4,0))))=0,NA(),SUMPRODUCT((Inputs!$A$5:$A$130=$B58)*Inputs!$B$5:$B$130*(((Inputs!$G$5:$G$130="moeda")+(Inputs!$G$5:$G$130="acoes"))*Inputs!$B$1+((Inputs!$G$5:$G$130&lt;&gt;"moeda")*(Inputs!$G$5:$G$130&lt;&gt;"acoes")))*INDEX(Inputs!$K$5:$AJ$130,0,MATCH(S$2,Inputs!$K$4:$AJ$4,0)))+SUMPRODUCT((Inputs!$C$5:$C$130=$B58)*Inputs!$D$5:$D$130*(((Inputs!$G$5:$G$130="moeda")+(Inputs!$G$5:$G$130="acoes"))*Inputs!$B$1+((Inputs!$G$5:$G$130&lt;&gt;"moeda")*(Inputs!$G$5:$G$130&lt;&gt;"acoes")))*INDEX(Inputs!$K$5:$AJ$130,0,MATCH(S$2,Inputs!$K$4:$AJ$4,0)))+SUMPRODUCT((Inputs!$E$5:$E$130=$B58)*Inputs!$F$5:$F$130*(((Inputs!$G$5:$G$130="moeda")+(Inputs!$G$5:$G$130="acoes"))*Inputs!$B$1+((Inputs!$G$5:$G$130&lt;&gt;"moeda")*(Inputs!$G$5:$G$130&lt;&gt;"acoes")))*INDEX(Inputs!$K$5:$AJ$130,0,MATCH(S$2,Inputs!$K$4:$AJ$4,0)))))</f>
        <v>3680</v>
      </c>
      <c r="T58" s="511">
        <f>IF(ISNA(MATCH(T$2,Inputs!$K$4:$AJ$4,0)),NA(),IF(SUMPRODUCT((Inputs!$A$5:$A$130=$B58)*ISNUMBER(INDEX(Inputs!$K$5:$AJ$130,0,MATCH(T$2,Inputs!$K$4:$AJ$4,0))))+SUMPRODUCT((Inputs!$C$5:$C$130=$B58)*ISNUMBER(INDEX(Inputs!$K$5:$AJ$130,0,MATCH(T$2,Inputs!$K$4:$AJ$4,0))))+SUMPRODUCT((Inputs!$E$5:$E$130=$B58)*ISNUMBER(INDEX(Inputs!$K$5:$AJ$130,0,MATCH(T$2,Inputs!$K$4:$AJ$4,0))))=0,NA(),SUMPRODUCT((Inputs!$A$5:$A$130=$B58)*Inputs!$B$5:$B$130*(((Inputs!$G$5:$G$130="moeda")+(Inputs!$G$5:$G$130="acoes"))*Inputs!$B$1+((Inputs!$G$5:$G$130&lt;&gt;"moeda")*(Inputs!$G$5:$G$130&lt;&gt;"acoes")))*INDEX(Inputs!$K$5:$AJ$130,0,MATCH(T$2,Inputs!$K$4:$AJ$4,0)))+SUMPRODUCT((Inputs!$C$5:$C$130=$B58)*Inputs!$D$5:$D$130*(((Inputs!$G$5:$G$130="moeda")+(Inputs!$G$5:$G$130="acoes"))*Inputs!$B$1+((Inputs!$G$5:$G$130&lt;&gt;"moeda")*(Inputs!$G$5:$G$130&lt;&gt;"acoes")))*INDEX(Inputs!$K$5:$AJ$130,0,MATCH(T$2,Inputs!$K$4:$AJ$4,0)))+SUMPRODUCT((Inputs!$E$5:$E$130=$B58)*Inputs!$F$5:$F$130*(((Inputs!$G$5:$G$130="moeda")+(Inputs!$G$5:$G$130="acoes"))*Inputs!$B$1+((Inputs!$G$5:$G$130&lt;&gt;"moeda")*(Inputs!$G$5:$G$130&lt;&gt;"acoes")))*INDEX(Inputs!$K$5:$AJ$130,0,MATCH(T$2,Inputs!$K$4:$AJ$4,0)))))</f>
        <v>2675</v>
      </c>
      <c r="U58" s="511">
        <f>IF(ISNA(MATCH(U$2,Inputs!$K$4:$AJ$4,0)),NA(),IF(SUMPRODUCT((Inputs!$A$5:$A$130=$B58)*ISNUMBER(INDEX(Inputs!$K$5:$AJ$130,0,MATCH(U$2,Inputs!$K$4:$AJ$4,0))))+SUMPRODUCT((Inputs!$C$5:$C$130=$B58)*ISNUMBER(INDEX(Inputs!$K$5:$AJ$130,0,MATCH(U$2,Inputs!$K$4:$AJ$4,0))))+SUMPRODUCT((Inputs!$E$5:$E$130=$B58)*ISNUMBER(INDEX(Inputs!$K$5:$AJ$130,0,MATCH(U$2,Inputs!$K$4:$AJ$4,0))))=0,NA(),SUMPRODUCT((Inputs!$A$5:$A$130=$B58)*Inputs!$B$5:$B$130*(((Inputs!$G$5:$G$130="moeda")+(Inputs!$G$5:$G$130="acoes"))*Inputs!$B$1+((Inputs!$G$5:$G$130&lt;&gt;"moeda")*(Inputs!$G$5:$G$130&lt;&gt;"acoes")))*INDEX(Inputs!$K$5:$AJ$130,0,MATCH(U$2,Inputs!$K$4:$AJ$4,0)))+SUMPRODUCT((Inputs!$C$5:$C$130=$B58)*Inputs!$D$5:$D$130*(((Inputs!$G$5:$G$130="moeda")+(Inputs!$G$5:$G$130="acoes"))*Inputs!$B$1+((Inputs!$G$5:$G$130&lt;&gt;"moeda")*(Inputs!$G$5:$G$130&lt;&gt;"acoes")))*INDEX(Inputs!$K$5:$AJ$130,0,MATCH(U$2,Inputs!$K$4:$AJ$4,0)))+SUMPRODUCT((Inputs!$E$5:$E$130=$B58)*Inputs!$F$5:$F$130*(((Inputs!$G$5:$G$130="moeda")+(Inputs!$G$5:$G$130="acoes"))*Inputs!$B$1+((Inputs!$G$5:$G$130&lt;&gt;"moeda")*(Inputs!$G$5:$G$130&lt;&gt;"acoes")))*INDEX(Inputs!$K$5:$AJ$130,0,MATCH(U$2,Inputs!$K$4:$AJ$4,0)))))</f>
        <v>2871</v>
      </c>
      <c r="V58" s="511">
        <f>IF(ISNA(MATCH(V$2,Inputs!$K$4:$AJ$4,0)),NA(),IF(SUMPRODUCT((Inputs!$A$5:$A$130=$B58)*ISNUMBER(INDEX(Inputs!$K$5:$AJ$130,0,MATCH(V$2,Inputs!$K$4:$AJ$4,0))))+SUMPRODUCT((Inputs!$C$5:$C$130=$B58)*ISNUMBER(INDEX(Inputs!$K$5:$AJ$130,0,MATCH(V$2,Inputs!$K$4:$AJ$4,0))))+SUMPRODUCT((Inputs!$E$5:$E$130=$B58)*ISNUMBER(INDEX(Inputs!$K$5:$AJ$130,0,MATCH(V$2,Inputs!$K$4:$AJ$4,0))))=0,NA(),SUMPRODUCT((Inputs!$A$5:$A$130=$B58)*Inputs!$B$5:$B$130*(((Inputs!$G$5:$G$130="moeda")+(Inputs!$G$5:$G$130="acoes"))*Inputs!$B$1+((Inputs!$G$5:$G$130&lt;&gt;"moeda")*(Inputs!$G$5:$G$130&lt;&gt;"acoes")))*INDEX(Inputs!$K$5:$AJ$130,0,MATCH(V$2,Inputs!$K$4:$AJ$4,0)))+SUMPRODUCT((Inputs!$C$5:$C$130=$B58)*Inputs!$D$5:$D$130*(((Inputs!$G$5:$G$130="moeda")+(Inputs!$G$5:$G$130="acoes"))*Inputs!$B$1+((Inputs!$G$5:$G$130&lt;&gt;"moeda")*(Inputs!$G$5:$G$130&lt;&gt;"acoes")))*INDEX(Inputs!$K$5:$AJ$130,0,MATCH(V$2,Inputs!$K$4:$AJ$4,0)))+SUMPRODUCT((Inputs!$E$5:$E$130=$B58)*Inputs!$F$5:$F$130*(((Inputs!$G$5:$G$130="moeda")+(Inputs!$G$5:$G$130="acoes"))*Inputs!$B$1+((Inputs!$G$5:$G$130&lt;&gt;"moeda")*(Inputs!$G$5:$G$130&lt;&gt;"acoes")))*INDEX(Inputs!$K$5:$AJ$130,0,MATCH(V$2,Inputs!$K$4:$AJ$4,0)))))</f>
        <v>2165</v>
      </c>
      <c r="W58" s="512">
        <f>SUM(S58:V58)</f>
        <v>11391</v>
      </c>
      <c r="X58" s="511">
        <f>IF(ISNA(MATCH(X$2,Inputs!$K$4:$AJ$4,0)),NA(),IF(SUMPRODUCT((Inputs!$A$5:$A$130=$B58)*ISNUMBER(INDEX(Inputs!$K$5:$AJ$130,0,MATCH(X$2,Inputs!$K$4:$AJ$4,0))))+SUMPRODUCT((Inputs!$C$5:$C$130=$B58)*ISNUMBER(INDEX(Inputs!$K$5:$AJ$130,0,MATCH(X$2,Inputs!$K$4:$AJ$4,0))))+SUMPRODUCT((Inputs!$E$5:$E$130=$B58)*ISNUMBER(INDEX(Inputs!$K$5:$AJ$130,0,MATCH(X$2,Inputs!$K$4:$AJ$4,0))))=0,NA(),SUMPRODUCT((Inputs!$A$5:$A$130=$B58)*Inputs!$B$5:$B$130*(((Inputs!$G$5:$G$130="moeda")+(Inputs!$G$5:$G$130="acoes"))*Inputs!$B$1+((Inputs!$G$5:$G$130&lt;&gt;"moeda")*(Inputs!$G$5:$G$130&lt;&gt;"acoes")))*INDEX(Inputs!$K$5:$AJ$130,0,MATCH(X$2,Inputs!$K$4:$AJ$4,0)))+SUMPRODUCT((Inputs!$C$5:$C$130=$B58)*Inputs!$D$5:$D$130*(((Inputs!$G$5:$G$130="moeda")+(Inputs!$G$5:$G$130="acoes"))*Inputs!$B$1+((Inputs!$G$5:$G$130&lt;&gt;"moeda")*(Inputs!$G$5:$G$130&lt;&gt;"acoes")))*INDEX(Inputs!$K$5:$AJ$130,0,MATCH(X$2,Inputs!$K$4:$AJ$4,0)))+SUMPRODUCT((Inputs!$E$5:$E$130=$B58)*Inputs!$F$5:$F$130*(((Inputs!$G$5:$G$130="moeda")+(Inputs!$G$5:$G$130="acoes"))*Inputs!$B$1+((Inputs!$G$5:$G$130&lt;&gt;"moeda")*(Inputs!$G$5:$G$130&lt;&gt;"acoes")))*INDEX(Inputs!$K$5:$AJ$130,0,MATCH(X$2,Inputs!$K$4:$AJ$4,0)))))</f>
        <v>2483</v>
      </c>
      <c r="Y58" s="511">
        <f>IF(ISNA(MATCH(Y$2,Inputs!$K$4:$AJ$4,0)),NA(),IF(SUMPRODUCT((Inputs!$A$5:$A$130=$B58)*ISNUMBER(INDEX(Inputs!$K$5:$AJ$130,0,MATCH(Y$2,Inputs!$K$4:$AJ$4,0))))+SUMPRODUCT((Inputs!$C$5:$C$130=$B58)*ISNUMBER(INDEX(Inputs!$K$5:$AJ$130,0,MATCH(Y$2,Inputs!$K$4:$AJ$4,0))))+SUMPRODUCT((Inputs!$E$5:$E$130=$B58)*ISNUMBER(INDEX(Inputs!$K$5:$AJ$130,0,MATCH(Y$2,Inputs!$K$4:$AJ$4,0))))=0,NA(),SUMPRODUCT((Inputs!$A$5:$A$130=$B58)*Inputs!$B$5:$B$130*(((Inputs!$G$5:$G$130="moeda")+(Inputs!$G$5:$G$130="acoes"))*Inputs!$B$1+((Inputs!$G$5:$G$130&lt;&gt;"moeda")*(Inputs!$G$5:$G$130&lt;&gt;"acoes")))*INDEX(Inputs!$K$5:$AJ$130,0,MATCH(Y$2,Inputs!$K$4:$AJ$4,0)))+SUMPRODUCT((Inputs!$C$5:$C$130=$B58)*Inputs!$D$5:$D$130*(((Inputs!$G$5:$G$130="moeda")+(Inputs!$G$5:$G$130="acoes"))*Inputs!$B$1+((Inputs!$G$5:$G$130&lt;&gt;"moeda")*(Inputs!$G$5:$G$130&lt;&gt;"acoes")))*INDEX(Inputs!$K$5:$AJ$130,0,MATCH(Y$2,Inputs!$K$4:$AJ$4,0)))+SUMPRODUCT((Inputs!$E$5:$E$130=$B58)*Inputs!$F$5:$F$130*(((Inputs!$G$5:$G$130="moeda")+(Inputs!$G$5:$G$130="acoes"))*Inputs!$B$1+((Inputs!$G$5:$G$130&lt;&gt;"moeda")*(Inputs!$G$5:$G$130&lt;&gt;"acoes")))*INDEX(Inputs!$K$5:$AJ$130,0,MATCH(Y$2,Inputs!$K$4:$AJ$4,0)))))</f>
        <v>1737</v>
      </c>
      <c r="Z58" s="511">
        <f>IF(ISNA(MATCH(Z$2,Inputs!$K$4:$AJ$4,0)),NA(),IF(SUMPRODUCT((Inputs!$A$5:$A$130=$B58)*ISNUMBER(INDEX(Inputs!$K$5:$AJ$130,0,MATCH(Z$2,Inputs!$K$4:$AJ$4,0))))+SUMPRODUCT((Inputs!$C$5:$C$130=$B58)*ISNUMBER(INDEX(Inputs!$K$5:$AJ$130,0,MATCH(Z$2,Inputs!$K$4:$AJ$4,0))))+SUMPRODUCT((Inputs!$E$5:$E$130=$B58)*ISNUMBER(INDEX(Inputs!$K$5:$AJ$130,0,MATCH(Z$2,Inputs!$K$4:$AJ$4,0))))=0,NA(),SUMPRODUCT((Inputs!$A$5:$A$130=$B58)*Inputs!$B$5:$B$130*(((Inputs!$G$5:$G$130="moeda")+(Inputs!$G$5:$G$130="acoes"))*Inputs!$B$1+((Inputs!$G$5:$G$130&lt;&gt;"moeda")*(Inputs!$G$5:$G$130&lt;&gt;"acoes")))*INDEX(Inputs!$K$5:$AJ$130,0,MATCH(Z$2,Inputs!$K$4:$AJ$4,0)))+SUMPRODUCT((Inputs!$C$5:$C$130=$B58)*Inputs!$D$5:$D$130*(((Inputs!$G$5:$G$130="moeda")+(Inputs!$G$5:$G$130="acoes"))*Inputs!$B$1+((Inputs!$G$5:$G$130&lt;&gt;"moeda")*(Inputs!$G$5:$G$130&lt;&gt;"acoes")))*INDEX(Inputs!$K$5:$AJ$130,0,MATCH(Z$2,Inputs!$K$4:$AJ$4,0)))+SUMPRODUCT((Inputs!$E$5:$E$130=$B58)*Inputs!$F$5:$F$130*(((Inputs!$G$5:$G$130="moeda")+(Inputs!$G$5:$G$130="acoes"))*Inputs!$B$1+((Inputs!$G$5:$G$130&lt;&gt;"moeda")*(Inputs!$G$5:$G$130&lt;&gt;"acoes")))*INDEX(Inputs!$K$5:$AJ$130,0,MATCH(Z$2,Inputs!$K$4:$AJ$4,0)))))</f>
        <v>2143</v>
      </c>
      <c r="AA58" s="511">
        <f>IF(ISNA(MATCH(AA$2,Inputs!$K$4:$AJ$4,0)),NA(),IF(SUMPRODUCT((Inputs!$A$5:$A$130=$B58)*ISNUMBER(INDEX(Inputs!$K$5:$AJ$130,0,MATCH(AA$2,Inputs!$K$4:$AJ$4,0))))+SUMPRODUCT((Inputs!$C$5:$C$130=$B58)*ISNUMBER(INDEX(Inputs!$K$5:$AJ$130,0,MATCH(AA$2,Inputs!$K$4:$AJ$4,0))))+SUMPRODUCT((Inputs!$E$5:$E$130=$B58)*ISNUMBER(INDEX(Inputs!$K$5:$AJ$130,0,MATCH(AA$2,Inputs!$K$4:$AJ$4,0))))=0,NA(),SUMPRODUCT((Inputs!$A$5:$A$130=$B58)*Inputs!$B$5:$B$130*(((Inputs!$G$5:$G$130="moeda")+(Inputs!$G$5:$G$130="acoes"))*Inputs!$B$1+((Inputs!$G$5:$G$130&lt;&gt;"moeda")*(Inputs!$G$5:$G$130&lt;&gt;"acoes")))*INDEX(Inputs!$K$5:$AJ$130,0,MATCH(AA$2,Inputs!$K$4:$AJ$4,0)))+SUMPRODUCT((Inputs!$C$5:$C$130=$B58)*Inputs!$D$5:$D$130*(((Inputs!$G$5:$G$130="moeda")+(Inputs!$G$5:$G$130="acoes"))*Inputs!$B$1+((Inputs!$G$5:$G$130&lt;&gt;"moeda")*(Inputs!$G$5:$G$130&lt;&gt;"acoes")))*INDEX(Inputs!$K$5:$AJ$130,0,MATCH(AA$2,Inputs!$K$4:$AJ$4,0)))+SUMPRODUCT((Inputs!$E$5:$E$130=$B58)*Inputs!$F$5:$F$130*(((Inputs!$G$5:$G$130="moeda")+(Inputs!$G$5:$G$130="acoes"))*Inputs!$B$1+((Inputs!$G$5:$G$130&lt;&gt;"moeda")*(Inputs!$G$5:$G$130&lt;&gt;"acoes")))*INDEX(Inputs!$K$5:$AJ$130,0,MATCH(AA$2,Inputs!$K$4:$AJ$4,0)))))</f>
        <v>1661</v>
      </c>
      <c r="AB58" s="512">
        <f>SUM(X58:AA58)</f>
        <v>8024</v>
      </c>
      <c r="AC58" s="511">
        <f>IF(ISNA(MATCH(AC$2,Inputs!$K$4:$AJ$4,0)),NA(),IF(SUMPRODUCT((Inputs!$A$5:$A$130=$B58)*ISNUMBER(INDEX(Inputs!$K$5:$AJ$130,0,MATCH(AC$2,Inputs!$K$4:$AJ$4,0))))+SUMPRODUCT((Inputs!$C$5:$C$130=$B58)*ISNUMBER(INDEX(Inputs!$K$5:$AJ$130,0,MATCH(AC$2,Inputs!$K$4:$AJ$4,0))))+SUMPRODUCT((Inputs!$E$5:$E$130=$B58)*ISNUMBER(INDEX(Inputs!$K$5:$AJ$130,0,MATCH(AC$2,Inputs!$K$4:$AJ$4,0))))=0,NA(),SUMPRODUCT((Inputs!$A$5:$A$130=$B58)*Inputs!$B$5:$B$130*(((Inputs!$G$5:$G$130="moeda")+(Inputs!$G$5:$G$130="acoes"))*Inputs!$B$1+((Inputs!$G$5:$G$130&lt;&gt;"moeda")*(Inputs!$G$5:$G$130&lt;&gt;"acoes")))*INDEX(Inputs!$K$5:$AJ$130,0,MATCH(AC$2,Inputs!$K$4:$AJ$4,0)))+SUMPRODUCT((Inputs!$C$5:$C$130=$B58)*Inputs!$D$5:$D$130*(((Inputs!$G$5:$G$130="moeda")+(Inputs!$G$5:$G$130="acoes"))*Inputs!$B$1+((Inputs!$G$5:$G$130&lt;&gt;"moeda")*(Inputs!$G$5:$G$130&lt;&gt;"acoes")))*INDEX(Inputs!$K$5:$AJ$130,0,MATCH(AC$2,Inputs!$K$4:$AJ$4,0)))+SUMPRODUCT((Inputs!$E$5:$E$130=$B58)*Inputs!$F$5:$F$130*(((Inputs!$G$5:$G$130="moeda")+(Inputs!$G$5:$G$130="acoes"))*Inputs!$B$1+((Inputs!$G$5:$G$130&lt;&gt;"moeda")*(Inputs!$G$5:$G$130&lt;&gt;"acoes")))*INDEX(Inputs!$K$5:$AJ$130,0,MATCH(AC$2,Inputs!$K$4:$AJ$4,0)))))</f>
        <v>1819</v>
      </c>
      <c r="AD58" s="511">
        <f>IF(ISNA(MATCH(AD$2,Inputs!$K$4:$AJ$4,0)),NA(),IF(SUMPRODUCT((Inputs!$A$5:$A$130=$B58)*ISNUMBER(INDEX(Inputs!$K$5:$AJ$130,0,MATCH(AD$2,Inputs!$K$4:$AJ$4,0))))+SUMPRODUCT((Inputs!$C$5:$C$130=$B58)*ISNUMBER(INDEX(Inputs!$K$5:$AJ$130,0,MATCH(AD$2,Inputs!$K$4:$AJ$4,0))))+SUMPRODUCT((Inputs!$E$5:$E$130=$B58)*ISNUMBER(INDEX(Inputs!$K$5:$AJ$130,0,MATCH(AD$2,Inputs!$K$4:$AJ$4,0))))=0,NA(),SUMPRODUCT((Inputs!$A$5:$A$130=$B58)*Inputs!$B$5:$B$130*(((Inputs!$G$5:$G$130="moeda")+(Inputs!$G$5:$G$130="acoes"))*Inputs!$B$1+((Inputs!$G$5:$G$130&lt;&gt;"moeda")*(Inputs!$G$5:$G$130&lt;&gt;"acoes")))*INDEX(Inputs!$K$5:$AJ$130,0,MATCH(AD$2,Inputs!$K$4:$AJ$4,0)))+SUMPRODUCT((Inputs!$C$5:$C$130=$B58)*Inputs!$D$5:$D$130*(((Inputs!$G$5:$G$130="moeda")+(Inputs!$G$5:$G$130="acoes"))*Inputs!$B$1+((Inputs!$G$5:$G$130&lt;&gt;"moeda")*(Inputs!$G$5:$G$130&lt;&gt;"acoes")))*INDEX(Inputs!$K$5:$AJ$130,0,MATCH(AD$2,Inputs!$K$4:$AJ$4,0)))+SUMPRODUCT((Inputs!$E$5:$E$130=$B58)*Inputs!$F$5:$F$130*(((Inputs!$G$5:$G$130="moeda")+(Inputs!$G$5:$G$130="acoes"))*Inputs!$B$1+((Inputs!$G$5:$G$130&lt;&gt;"moeda")*(Inputs!$G$5:$G$130&lt;&gt;"acoes")))*INDEX(Inputs!$K$5:$AJ$130,0,MATCH(AD$2,Inputs!$K$4:$AJ$4,0)))))</f>
        <v>2691</v>
      </c>
      <c r="AE58" s="511" t="e">
        <f>IF(ISNA(MATCH(AE$2,Inputs!$K$4:$AJ$4,0)),NA(),IF(SUMPRODUCT((Inputs!$A$5:$A$130=$B58)*ISNUMBER(INDEX(Inputs!$K$5:$AJ$130,0,MATCH(AE$2,Inputs!$K$4:$AJ$4,0))))+SUMPRODUCT((Inputs!$C$5:$C$130=$B58)*ISNUMBER(INDEX(Inputs!$K$5:$AJ$130,0,MATCH(AE$2,Inputs!$K$4:$AJ$4,0))))+SUMPRODUCT((Inputs!$E$5:$E$130=$B58)*ISNUMBER(INDEX(Inputs!$K$5:$AJ$130,0,MATCH(AE$2,Inputs!$K$4:$AJ$4,0))))=0,NA(),SUMPRODUCT((Inputs!$A$5:$A$130=$B58)*Inputs!$B$5:$B$130*(((Inputs!$G$5:$G$130="moeda")+(Inputs!$G$5:$G$130="acoes"))*Inputs!$B$1+((Inputs!$G$5:$G$130&lt;&gt;"moeda")*(Inputs!$G$5:$G$130&lt;&gt;"acoes")))*INDEX(Inputs!$K$5:$AJ$130,0,MATCH(AE$2,Inputs!$K$4:$AJ$4,0)))+SUMPRODUCT((Inputs!$C$5:$C$130=$B58)*Inputs!$D$5:$D$130*(((Inputs!$G$5:$G$130="moeda")+(Inputs!$G$5:$G$130="acoes"))*Inputs!$B$1+((Inputs!$G$5:$G$130&lt;&gt;"moeda")*(Inputs!$G$5:$G$130&lt;&gt;"acoes")))*INDEX(Inputs!$K$5:$AJ$130,0,MATCH(AE$2,Inputs!$K$4:$AJ$4,0)))+SUMPRODUCT((Inputs!$E$5:$E$130=$B58)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8" s="511" t="e">
        <f>IF(ISNA(MATCH(AF$2,Inputs!$K$4:$AJ$4,0)),NA(),IF(SUMPRODUCT((Inputs!$A$5:$A$130=$B58)*ISNUMBER(INDEX(Inputs!$K$5:$AJ$130,0,MATCH(AF$2,Inputs!$K$4:$AJ$4,0))))+SUMPRODUCT((Inputs!$C$5:$C$130=$B58)*ISNUMBER(INDEX(Inputs!$K$5:$AJ$130,0,MATCH(AF$2,Inputs!$K$4:$AJ$4,0))))+SUMPRODUCT((Inputs!$E$5:$E$130=$B58)*ISNUMBER(INDEX(Inputs!$K$5:$AJ$130,0,MATCH(AF$2,Inputs!$K$4:$AJ$4,0))))=0,NA(),SUMPRODUCT((Inputs!$A$5:$A$130=$B58)*Inputs!$B$5:$B$130*(((Inputs!$G$5:$G$130="moeda")+(Inputs!$G$5:$G$130="acoes"))*Inputs!$B$1+((Inputs!$G$5:$G$130&lt;&gt;"moeda")*(Inputs!$G$5:$G$130&lt;&gt;"acoes")))*INDEX(Inputs!$K$5:$AJ$130,0,MATCH(AF$2,Inputs!$K$4:$AJ$4,0)))+SUMPRODUCT((Inputs!$C$5:$C$130=$B58)*Inputs!$D$5:$D$130*(((Inputs!$G$5:$G$130="moeda")+(Inputs!$G$5:$G$130="acoes"))*Inputs!$B$1+((Inputs!$G$5:$G$130&lt;&gt;"moeda")*(Inputs!$G$5:$G$130&lt;&gt;"acoes")))*INDEX(Inputs!$K$5:$AJ$130,0,MATCH(AF$2,Inputs!$K$4:$AJ$4,0)))+SUMPRODUCT((Inputs!$E$5:$E$130=$B58)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8" s="512" t="e">
        <f>SUM(AC58:AF58)</f>
        <v>#N/A</v>
      </c>
      <c r="AH58" s="511" t="e">
        <f>IF(ISNA(MATCH(AH$2,Inputs!$K$4:$AJ$4,0)),NA(),IF(SUMPRODUCT((Inputs!$A$5:$A$130=$B58)*ISNUMBER(INDEX(Inputs!$K$5:$AJ$130,0,MATCH(AH$2,Inputs!$K$4:$AJ$4,0))))+SUMPRODUCT((Inputs!$C$5:$C$130=$B58)*ISNUMBER(INDEX(Inputs!$K$5:$AJ$130,0,MATCH(AH$2,Inputs!$K$4:$AJ$4,0))))+SUMPRODUCT((Inputs!$E$5:$E$130=$B58)*ISNUMBER(INDEX(Inputs!$K$5:$AJ$130,0,MATCH(AH$2,Inputs!$K$4:$AJ$4,0))))=0,NA(),SUMPRODUCT((Inputs!$A$5:$A$130=$B58)*Inputs!$B$5:$B$130*(((Inputs!$G$5:$G$130="moeda")+(Inputs!$G$5:$G$130="acoes"))*Inputs!$B$1+((Inputs!$G$5:$G$130&lt;&gt;"moeda")*(Inputs!$G$5:$G$130&lt;&gt;"acoes")))*INDEX(Inputs!$K$5:$AJ$130,0,MATCH(AH$2,Inputs!$K$4:$AJ$4,0)))+SUMPRODUCT((Inputs!$C$5:$C$130=$B58)*Inputs!$D$5:$D$130*(((Inputs!$G$5:$G$130="moeda")+(Inputs!$G$5:$G$130="acoes"))*Inputs!$B$1+((Inputs!$G$5:$G$130&lt;&gt;"moeda")*(Inputs!$G$5:$G$130&lt;&gt;"acoes")))*INDEX(Inputs!$K$5:$AJ$130,0,MATCH(AH$2,Inputs!$K$4:$AJ$4,0)))+SUMPRODUCT((Inputs!$E$5:$E$130=$B58)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58" s="511" t="e">
        <f>IF(ISNA(MATCH(AI$2,Inputs!$K$4:$AJ$4,0)),NA(),IF(SUMPRODUCT((Inputs!$A$5:$A$130=$B58)*ISNUMBER(INDEX(Inputs!$K$5:$AJ$130,0,MATCH(AI$2,Inputs!$K$4:$AJ$4,0))))+SUMPRODUCT((Inputs!$C$5:$C$130=$B58)*ISNUMBER(INDEX(Inputs!$K$5:$AJ$130,0,MATCH(AI$2,Inputs!$K$4:$AJ$4,0))))+SUMPRODUCT((Inputs!$E$5:$E$130=$B58)*ISNUMBER(INDEX(Inputs!$K$5:$AJ$130,0,MATCH(AI$2,Inputs!$K$4:$AJ$4,0))))=0,NA(),SUMPRODUCT((Inputs!$A$5:$A$130=$B58)*Inputs!$B$5:$B$130*(((Inputs!$G$5:$G$130="moeda")+(Inputs!$G$5:$G$130="acoes"))*Inputs!$B$1+((Inputs!$G$5:$G$130&lt;&gt;"moeda")*(Inputs!$G$5:$G$130&lt;&gt;"acoes")))*INDEX(Inputs!$K$5:$AJ$130,0,MATCH(AI$2,Inputs!$K$4:$AJ$4,0)))+SUMPRODUCT((Inputs!$C$5:$C$130=$B58)*Inputs!$D$5:$D$130*(((Inputs!$G$5:$G$130="moeda")+(Inputs!$G$5:$G$130="acoes"))*Inputs!$B$1+((Inputs!$G$5:$G$130&lt;&gt;"moeda")*(Inputs!$G$5:$G$130&lt;&gt;"acoes")))*INDEX(Inputs!$K$5:$AJ$130,0,MATCH(AI$2,Inputs!$K$4:$AJ$4,0)))+SUMPRODUCT((Inputs!$E$5:$E$130=$B58)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58" s="511" t="e">
        <f>IF(ISNA(MATCH(AJ$2,Inputs!$K$4:$AJ$4,0)),NA(),IF(SUMPRODUCT((Inputs!$A$5:$A$130=$B58)*ISNUMBER(INDEX(Inputs!$K$5:$AJ$130,0,MATCH(AJ$2,Inputs!$K$4:$AJ$4,0))))+SUMPRODUCT((Inputs!$C$5:$C$130=$B58)*ISNUMBER(INDEX(Inputs!$K$5:$AJ$130,0,MATCH(AJ$2,Inputs!$K$4:$AJ$4,0))))+SUMPRODUCT((Inputs!$E$5:$E$130=$B58)*ISNUMBER(INDEX(Inputs!$K$5:$AJ$130,0,MATCH(AJ$2,Inputs!$K$4:$AJ$4,0))))=0,NA(),SUMPRODUCT((Inputs!$A$5:$A$130=$B58)*Inputs!$B$5:$B$130*(((Inputs!$G$5:$G$130="moeda")+(Inputs!$G$5:$G$130="acoes"))*Inputs!$B$1+((Inputs!$G$5:$G$130&lt;&gt;"moeda")*(Inputs!$G$5:$G$130&lt;&gt;"acoes")))*INDEX(Inputs!$K$5:$AJ$130,0,MATCH(AJ$2,Inputs!$K$4:$AJ$4,0)))+SUMPRODUCT((Inputs!$C$5:$C$130=$B58)*Inputs!$D$5:$D$130*(((Inputs!$G$5:$G$130="moeda")+(Inputs!$G$5:$G$130="acoes"))*Inputs!$B$1+((Inputs!$G$5:$G$130&lt;&gt;"moeda")*(Inputs!$G$5:$G$130&lt;&gt;"acoes")))*INDEX(Inputs!$K$5:$AJ$130,0,MATCH(AJ$2,Inputs!$K$4:$AJ$4,0)))+SUMPRODUCT((Inputs!$E$5:$E$130=$B58)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58" s="511" t="e">
        <f>IF(ISNA(MATCH(AK$2,Inputs!$K$4:$AJ$4,0)),NA(),IF(SUMPRODUCT((Inputs!$A$5:$A$130=$B58)*ISNUMBER(INDEX(Inputs!$K$5:$AJ$130,0,MATCH(AK$2,Inputs!$K$4:$AJ$4,0))))+SUMPRODUCT((Inputs!$C$5:$C$130=$B58)*ISNUMBER(INDEX(Inputs!$K$5:$AJ$130,0,MATCH(AK$2,Inputs!$K$4:$AJ$4,0))))+SUMPRODUCT((Inputs!$E$5:$E$130=$B58)*ISNUMBER(INDEX(Inputs!$K$5:$AJ$130,0,MATCH(AK$2,Inputs!$K$4:$AJ$4,0))))=0,NA(),SUMPRODUCT((Inputs!$A$5:$A$130=$B58)*Inputs!$B$5:$B$130*(((Inputs!$G$5:$G$130="moeda")+(Inputs!$G$5:$G$130="acoes"))*Inputs!$B$1+((Inputs!$G$5:$G$130&lt;&gt;"moeda")*(Inputs!$G$5:$G$130&lt;&gt;"acoes")))*INDEX(Inputs!$K$5:$AJ$130,0,MATCH(AK$2,Inputs!$K$4:$AJ$4,0)))+SUMPRODUCT((Inputs!$C$5:$C$130=$B58)*Inputs!$D$5:$D$130*(((Inputs!$G$5:$G$130="moeda")+(Inputs!$G$5:$G$130="acoes"))*Inputs!$B$1+((Inputs!$G$5:$G$130&lt;&gt;"moeda")*(Inputs!$G$5:$G$130&lt;&gt;"acoes")))*INDEX(Inputs!$K$5:$AJ$130,0,MATCH(AK$2,Inputs!$K$4:$AJ$4,0)))+SUMPRODUCT((Inputs!$E$5:$E$130=$B58)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58" s="512" t="e">
        <f>SUM(AH58:AK58)</f>
        <v>#N/A</v>
      </c>
    </row>
    <row r="59">
      <c r="B59" s="263" t="n">
        <v>51</v>
      </c>
      <c r="C59" s="264" t="inlineStr">
        <is>
          <t>Upstream - Adjusted Earnings (USD mi)</t>
        </is>
      </c>
      <c r="D59" s="511">
        <f>IF(ISNA(MATCH(D$2,Inputs!$K$4:$AJ$4,0)),NA(),IF(SUMPRODUCT((Inputs!$A$5:$A$130=$B59)*ISNUMBER(INDEX(Inputs!$K$5:$AJ$130,0,MATCH(D$2,Inputs!$K$4:$AJ$4,0))))+SUMPRODUCT((Inputs!$C$5:$C$130=$B59)*ISNUMBER(INDEX(Inputs!$K$5:$AJ$130,0,MATCH(D$2,Inputs!$K$4:$AJ$4,0))))+SUMPRODUCT((Inputs!$E$5:$E$130=$B59)*ISNUMBER(INDEX(Inputs!$K$5:$AJ$130,0,MATCH(D$2,Inputs!$K$4:$AJ$4,0))))=0,NA(),SUMPRODUCT((Inputs!$A$5:$A$130=$B59)*Inputs!$B$5:$B$130*(((Inputs!$G$5:$G$130="moeda")+(Inputs!$G$5:$G$130="acoes"))*Inputs!$B$1+((Inputs!$G$5:$G$130&lt;&gt;"moeda")*(Inputs!$G$5:$G$130&lt;&gt;"acoes")))*INDEX(Inputs!$K$5:$AJ$130,0,MATCH(D$2,Inputs!$K$4:$AJ$4,0)))+SUMPRODUCT((Inputs!$C$5:$C$130=$B59)*Inputs!$D$5:$D$130*(((Inputs!$G$5:$G$130="moeda")+(Inputs!$G$5:$G$130="acoes"))*Inputs!$B$1+((Inputs!$G$5:$G$130&lt;&gt;"moeda")*(Inputs!$G$5:$G$130&lt;&gt;"acoes")))*INDEX(Inputs!$K$5:$AJ$130,0,MATCH(D$2,Inputs!$K$4:$AJ$4,0)))+SUMPRODUCT((Inputs!$E$5:$E$130=$B59)*Inputs!$F$5:$F$130*(((Inputs!$G$5:$G$130="moeda")+(Inputs!$G$5:$G$130="acoes"))*Inputs!$B$1+((Inputs!$G$5:$G$130&lt;&gt;"moeda")*(Inputs!$G$5:$G$130&lt;&gt;"acoes")))*INDEX(Inputs!$K$5:$AJ$130,0,MATCH(D$2,Inputs!$K$4:$AJ$4,0)))))</f>
        <v>933</v>
      </c>
      <c r="E59" s="511">
        <f>IF(ISNA(MATCH(E$2,Inputs!$K$4:$AJ$4,0)),NA(),IF(SUMPRODUCT((Inputs!$A$5:$A$130=$B59)*ISNUMBER(INDEX(Inputs!$K$5:$AJ$130,0,MATCH(E$2,Inputs!$K$4:$AJ$4,0))))+SUMPRODUCT((Inputs!$C$5:$C$130=$B59)*ISNUMBER(INDEX(Inputs!$K$5:$AJ$130,0,MATCH(E$2,Inputs!$K$4:$AJ$4,0))))+SUMPRODUCT((Inputs!$E$5:$E$130=$B59)*ISNUMBER(INDEX(Inputs!$K$5:$AJ$130,0,MATCH(E$2,Inputs!$K$4:$AJ$4,0))))=0,NA(),SUMPRODUCT((Inputs!$A$5:$A$130=$B59)*Inputs!$B$5:$B$130*(((Inputs!$G$5:$G$130="moeda")+(Inputs!$G$5:$G$130="acoes"))*Inputs!$B$1+((Inputs!$G$5:$G$130&lt;&gt;"moeda")*(Inputs!$G$5:$G$130&lt;&gt;"acoes")))*INDEX(Inputs!$K$5:$AJ$130,0,MATCH(E$2,Inputs!$K$4:$AJ$4,0)))+SUMPRODUCT((Inputs!$C$5:$C$130=$B59)*Inputs!$D$5:$D$130*(((Inputs!$G$5:$G$130="moeda")+(Inputs!$G$5:$G$130="acoes"))*Inputs!$B$1+((Inputs!$G$5:$G$130&lt;&gt;"moeda")*(Inputs!$G$5:$G$130&lt;&gt;"acoes")))*INDEX(Inputs!$K$5:$AJ$130,0,MATCH(E$2,Inputs!$K$4:$AJ$4,0)))+SUMPRODUCT((Inputs!$E$5:$E$130=$B59)*Inputs!$F$5:$F$130*(((Inputs!$G$5:$G$130="moeda")+(Inputs!$G$5:$G$130="acoes"))*Inputs!$B$1+((Inputs!$G$5:$G$130&lt;&gt;"moeda")*(Inputs!$G$5:$G$130&lt;&gt;"acoes")))*INDEX(Inputs!$K$5:$AJ$130,0,MATCH(E$2,Inputs!$K$4:$AJ$4,0)))))</f>
        <v>2511</v>
      </c>
      <c r="F59" s="511">
        <f>IF(ISNA(MATCH(F$2,Inputs!$K$4:$AJ$4,0)),NA(),IF(SUMPRODUCT((Inputs!$A$5:$A$130=$B59)*ISNUMBER(INDEX(Inputs!$K$5:$AJ$130,0,MATCH(F$2,Inputs!$K$4:$AJ$4,0))))+SUMPRODUCT((Inputs!$C$5:$C$130=$B59)*ISNUMBER(INDEX(Inputs!$K$5:$AJ$130,0,MATCH(F$2,Inputs!$K$4:$AJ$4,0))))+SUMPRODUCT((Inputs!$E$5:$E$130=$B59)*ISNUMBER(INDEX(Inputs!$K$5:$AJ$130,0,MATCH(F$2,Inputs!$K$4:$AJ$4,0))))=0,NA(),SUMPRODUCT((Inputs!$A$5:$A$130=$B59)*Inputs!$B$5:$B$130*(((Inputs!$G$5:$G$130="moeda")+(Inputs!$G$5:$G$130="acoes"))*Inputs!$B$1+((Inputs!$G$5:$G$130&lt;&gt;"moeda")*(Inputs!$G$5:$G$130&lt;&gt;"acoes")))*INDEX(Inputs!$K$5:$AJ$130,0,MATCH(F$2,Inputs!$K$4:$AJ$4,0)))+SUMPRODUCT((Inputs!$C$5:$C$130=$B59)*Inputs!$D$5:$D$130*(((Inputs!$G$5:$G$130="moeda")+(Inputs!$G$5:$G$130="acoes"))*Inputs!$B$1+((Inputs!$G$5:$G$130&lt;&gt;"moeda")*(Inputs!$G$5:$G$130&lt;&gt;"acoes")))*INDEX(Inputs!$K$5:$AJ$130,0,MATCH(F$2,Inputs!$K$4:$AJ$4,0)))+SUMPRODUCT((Inputs!$E$5:$E$130=$B59)*Inputs!$F$5:$F$130*(((Inputs!$G$5:$G$130="moeda")+(Inputs!$G$5:$G$130="acoes"))*Inputs!$B$1+((Inputs!$G$5:$G$130&lt;&gt;"moeda")*(Inputs!$G$5:$G$130&lt;&gt;"acoes")))*INDEX(Inputs!$K$5:$AJ$130,0,MATCH(F$2,Inputs!$K$4:$AJ$4,0)))))</f>
        <v>1734</v>
      </c>
      <c r="G59" s="511">
        <f>IF(ISNA(MATCH(G$2,Inputs!$K$4:$AJ$4,0)),NA(),IF(SUMPRODUCT((Inputs!$A$5:$A$130=$B59)*ISNUMBER(INDEX(Inputs!$K$5:$AJ$130,0,MATCH(G$2,Inputs!$K$4:$AJ$4,0))))+SUMPRODUCT((Inputs!$C$5:$C$130=$B59)*ISNUMBER(INDEX(Inputs!$K$5:$AJ$130,0,MATCH(G$2,Inputs!$K$4:$AJ$4,0))))+SUMPRODUCT((Inputs!$E$5:$E$130=$B59)*ISNUMBER(INDEX(Inputs!$K$5:$AJ$130,0,MATCH(G$2,Inputs!$K$4:$AJ$4,0))))=0,NA(),SUMPRODUCT((Inputs!$A$5:$A$130=$B59)*Inputs!$B$5:$B$130*(((Inputs!$G$5:$G$130="moeda")+(Inputs!$G$5:$G$130="acoes"))*Inputs!$B$1+((Inputs!$G$5:$G$130&lt;&gt;"moeda")*(Inputs!$G$5:$G$130&lt;&gt;"acoes")))*INDEX(Inputs!$K$5:$AJ$130,0,MATCH(G$2,Inputs!$K$4:$AJ$4,0)))+SUMPRODUCT((Inputs!$C$5:$C$130=$B59)*Inputs!$D$5:$D$130*(((Inputs!$G$5:$G$130="moeda")+(Inputs!$G$5:$G$130="acoes"))*Inputs!$B$1+((Inputs!$G$5:$G$130&lt;&gt;"moeda")*(Inputs!$G$5:$G$130&lt;&gt;"acoes")))*INDEX(Inputs!$K$5:$AJ$130,0,MATCH(G$2,Inputs!$K$4:$AJ$4,0)))+SUMPRODUCT((Inputs!$E$5:$E$130=$B59)*Inputs!$F$5:$F$130*(((Inputs!$G$5:$G$130="moeda")+(Inputs!$G$5:$G$130="acoes"))*Inputs!$B$1+((Inputs!$G$5:$G$130&lt;&gt;"moeda")*(Inputs!$G$5:$G$130&lt;&gt;"acoes")))*INDEX(Inputs!$K$5:$AJ$130,0,MATCH(G$2,Inputs!$K$4:$AJ$4,0)))))</f>
        <v>2838</v>
      </c>
      <c r="H59" s="512">
        <f>SUM(D59:G59)</f>
        <v>8016</v>
      </c>
      <c r="I59" s="511">
        <f>IF(ISNA(MATCH(I$2,Inputs!$K$4:$AJ$4,0)),NA(),IF(SUMPRODUCT((Inputs!$A$5:$A$130=$B59)*ISNUMBER(INDEX(Inputs!$K$5:$AJ$130,0,MATCH(I$2,Inputs!$K$4:$AJ$4,0))))+SUMPRODUCT((Inputs!$C$5:$C$130=$B59)*ISNUMBER(INDEX(Inputs!$K$5:$AJ$130,0,MATCH(I$2,Inputs!$K$4:$AJ$4,0))))+SUMPRODUCT((Inputs!$E$5:$E$130=$B59)*ISNUMBER(INDEX(Inputs!$K$5:$AJ$130,0,MATCH(I$2,Inputs!$K$4:$AJ$4,0))))=0,NA(),SUMPRODUCT((Inputs!$A$5:$A$130=$B59)*Inputs!$B$5:$B$130*(((Inputs!$G$5:$G$130="moeda")+(Inputs!$G$5:$G$130="acoes"))*Inputs!$B$1+((Inputs!$G$5:$G$130&lt;&gt;"moeda")*(Inputs!$G$5:$G$130&lt;&gt;"acoes")))*INDEX(Inputs!$K$5:$AJ$130,0,MATCH(I$2,Inputs!$K$4:$AJ$4,0)))+SUMPRODUCT((Inputs!$C$5:$C$130=$B59)*Inputs!$D$5:$D$130*(((Inputs!$G$5:$G$130="moeda")+(Inputs!$G$5:$G$130="acoes"))*Inputs!$B$1+((Inputs!$G$5:$G$130&lt;&gt;"moeda")*(Inputs!$G$5:$G$130&lt;&gt;"acoes")))*INDEX(Inputs!$K$5:$AJ$130,0,MATCH(I$2,Inputs!$K$4:$AJ$4,0)))+SUMPRODUCT((Inputs!$E$5:$E$130=$B59)*Inputs!$F$5:$F$130*(((Inputs!$G$5:$G$130="moeda")+(Inputs!$G$5:$G$130="acoes"))*Inputs!$B$1+((Inputs!$G$5:$G$130&lt;&gt;"moeda")*(Inputs!$G$5:$G$130&lt;&gt;"acoes")))*INDEX(Inputs!$K$5:$AJ$130,0,MATCH(I$2,Inputs!$K$4:$AJ$4,0)))))</f>
        <v>3454</v>
      </c>
      <c r="J59" s="511">
        <f>IF(ISNA(MATCH(J$2,Inputs!$K$4:$AJ$4,0)),NA(),IF(SUMPRODUCT((Inputs!$A$5:$A$130=$B59)*ISNUMBER(INDEX(Inputs!$K$5:$AJ$130,0,MATCH(J$2,Inputs!$K$4:$AJ$4,0))))+SUMPRODUCT((Inputs!$C$5:$C$130=$B59)*ISNUMBER(INDEX(Inputs!$K$5:$AJ$130,0,MATCH(J$2,Inputs!$K$4:$AJ$4,0))))+SUMPRODUCT((Inputs!$E$5:$E$130=$B59)*ISNUMBER(INDEX(Inputs!$K$5:$AJ$130,0,MATCH(J$2,Inputs!$K$4:$AJ$4,0))))=0,NA(),SUMPRODUCT((Inputs!$A$5:$A$130=$B59)*Inputs!$B$5:$B$130*(((Inputs!$G$5:$G$130="moeda")+(Inputs!$G$5:$G$130="acoes"))*Inputs!$B$1+((Inputs!$G$5:$G$130&lt;&gt;"moeda")*(Inputs!$G$5:$G$130&lt;&gt;"acoes")))*INDEX(Inputs!$K$5:$AJ$130,0,MATCH(J$2,Inputs!$K$4:$AJ$4,0)))+SUMPRODUCT((Inputs!$C$5:$C$130=$B59)*Inputs!$D$5:$D$130*(((Inputs!$G$5:$G$130="moeda")+(Inputs!$G$5:$G$130="acoes"))*Inputs!$B$1+((Inputs!$G$5:$G$130&lt;&gt;"moeda")*(Inputs!$G$5:$G$130&lt;&gt;"acoes")))*INDEX(Inputs!$K$5:$AJ$130,0,MATCH(J$2,Inputs!$K$4:$AJ$4,0)))+SUMPRODUCT((Inputs!$E$5:$E$130=$B59)*Inputs!$F$5:$F$130*(((Inputs!$G$5:$G$130="moeda")+(Inputs!$G$5:$G$130="acoes"))*Inputs!$B$1+((Inputs!$G$5:$G$130&lt;&gt;"moeda")*(Inputs!$G$5:$G$130&lt;&gt;"acoes")))*INDEX(Inputs!$K$5:$AJ$130,0,MATCH(J$2,Inputs!$K$4:$AJ$4,0)))))</f>
        <v>4917</v>
      </c>
      <c r="K59" s="511">
        <f>IF(ISNA(MATCH(K$2,Inputs!$K$4:$AJ$4,0)),NA(),IF(SUMPRODUCT((Inputs!$A$5:$A$130=$B59)*ISNUMBER(INDEX(Inputs!$K$5:$AJ$130,0,MATCH(K$2,Inputs!$K$4:$AJ$4,0))))+SUMPRODUCT((Inputs!$C$5:$C$130=$B59)*ISNUMBER(INDEX(Inputs!$K$5:$AJ$130,0,MATCH(K$2,Inputs!$K$4:$AJ$4,0))))+SUMPRODUCT((Inputs!$E$5:$E$130=$B59)*ISNUMBER(INDEX(Inputs!$K$5:$AJ$130,0,MATCH(K$2,Inputs!$K$4:$AJ$4,0))))=0,NA(),SUMPRODUCT((Inputs!$A$5:$A$130=$B59)*Inputs!$B$5:$B$130*(((Inputs!$G$5:$G$130="moeda")+(Inputs!$G$5:$G$130="acoes"))*Inputs!$B$1+((Inputs!$G$5:$G$130&lt;&gt;"moeda")*(Inputs!$G$5:$G$130&lt;&gt;"acoes")))*INDEX(Inputs!$K$5:$AJ$130,0,MATCH(K$2,Inputs!$K$4:$AJ$4,0)))+SUMPRODUCT((Inputs!$C$5:$C$130=$B59)*Inputs!$D$5:$D$130*(((Inputs!$G$5:$G$130="moeda")+(Inputs!$G$5:$G$130="acoes"))*Inputs!$B$1+((Inputs!$G$5:$G$130&lt;&gt;"moeda")*(Inputs!$G$5:$G$130&lt;&gt;"acoes")))*INDEX(Inputs!$K$5:$AJ$130,0,MATCH(K$2,Inputs!$K$4:$AJ$4,0)))+SUMPRODUCT((Inputs!$E$5:$E$130=$B59)*Inputs!$F$5:$F$130*(((Inputs!$G$5:$G$130="moeda")+(Inputs!$G$5:$G$130="acoes"))*Inputs!$B$1+((Inputs!$G$5:$G$130&lt;&gt;"moeda")*(Inputs!$G$5:$G$130&lt;&gt;"acoes")))*INDEX(Inputs!$K$5:$AJ$130,0,MATCH(K$2,Inputs!$K$4:$AJ$4,0)))))</f>
        <v>5903</v>
      </c>
      <c r="L59" s="511">
        <f>IF(ISNA(MATCH(L$2,Inputs!$K$4:$AJ$4,0)),NA(),IF(SUMPRODUCT((Inputs!$A$5:$A$130=$B59)*ISNUMBER(INDEX(Inputs!$K$5:$AJ$130,0,MATCH(L$2,Inputs!$K$4:$AJ$4,0))))+SUMPRODUCT((Inputs!$C$5:$C$130=$B59)*ISNUMBER(INDEX(Inputs!$K$5:$AJ$130,0,MATCH(L$2,Inputs!$K$4:$AJ$4,0))))+SUMPRODUCT((Inputs!$E$5:$E$130=$B59)*ISNUMBER(INDEX(Inputs!$K$5:$AJ$130,0,MATCH(L$2,Inputs!$K$4:$AJ$4,0))))=0,NA(),SUMPRODUCT((Inputs!$A$5:$A$130=$B59)*Inputs!$B$5:$B$130*(((Inputs!$G$5:$G$130="moeda")+(Inputs!$G$5:$G$130="acoes"))*Inputs!$B$1+((Inputs!$G$5:$G$130&lt;&gt;"moeda")*(Inputs!$G$5:$G$130&lt;&gt;"acoes")))*INDEX(Inputs!$K$5:$AJ$130,0,MATCH(L$2,Inputs!$K$4:$AJ$4,0)))+SUMPRODUCT((Inputs!$C$5:$C$130=$B59)*Inputs!$D$5:$D$130*(((Inputs!$G$5:$G$130="moeda")+(Inputs!$G$5:$G$130="acoes"))*Inputs!$B$1+((Inputs!$G$5:$G$130&lt;&gt;"moeda")*(Inputs!$G$5:$G$130&lt;&gt;"acoes")))*INDEX(Inputs!$K$5:$AJ$130,0,MATCH(L$2,Inputs!$K$4:$AJ$4,0)))+SUMPRODUCT((Inputs!$E$5:$E$130=$B59)*Inputs!$F$5:$F$130*(((Inputs!$G$5:$G$130="moeda")+(Inputs!$G$5:$G$130="acoes"))*Inputs!$B$1+((Inputs!$G$5:$G$130&lt;&gt;"moeda")*(Inputs!$G$5:$G$130&lt;&gt;"acoes")))*INDEX(Inputs!$K$5:$AJ$130,0,MATCH(L$2,Inputs!$K$4:$AJ$4,0)))))</f>
        <v>3080</v>
      </c>
      <c r="M59" s="512">
        <f>SUM(I59:L59)</f>
        <v>17354</v>
      </c>
      <c r="N59" s="511">
        <f>IF(ISNA(MATCH(N$2,Inputs!$K$4:$AJ$4,0)),NA(),IF(SUMPRODUCT((Inputs!$A$5:$A$130=$B59)*ISNUMBER(INDEX(Inputs!$K$5:$AJ$130,0,MATCH(N$2,Inputs!$K$4:$AJ$4,0))))+SUMPRODUCT((Inputs!$C$5:$C$130=$B59)*ISNUMBER(INDEX(Inputs!$K$5:$AJ$130,0,MATCH(N$2,Inputs!$K$4:$AJ$4,0))))+SUMPRODUCT((Inputs!$E$5:$E$130=$B59)*ISNUMBER(INDEX(Inputs!$K$5:$AJ$130,0,MATCH(N$2,Inputs!$K$4:$AJ$4,0))))=0,NA(),SUMPRODUCT((Inputs!$A$5:$A$130=$B59)*Inputs!$B$5:$B$130*(((Inputs!$G$5:$G$130="moeda")+(Inputs!$G$5:$G$130="acoes"))*Inputs!$B$1+((Inputs!$G$5:$G$130&lt;&gt;"moeda")*(Inputs!$G$5:$G$130&lt;&gt;"acoes")))*INDEX(Inputs!$K$5:$AJ$130,0,MATCH(N$2,Inputs!$K$4:$AJ$4,0)))+SUMPRODUCT((Inputs!$C$5:$C$130=$B59)*Inputs!$D$5:$D$130*(((Inputs!$G$5:$G$130="moeda")+(Inputs!$G$5:$G$130="acoes"))*Inputs!$B$1+((Inputs!$G$5:$G$130&lt;&gt;"moeda")*(Inputs!$G$5:$G$130&lt;&gt;"acoes")))*INDEX(Inputs!$K$5:$AJ$130,0,MATCH(N$2,Inputs!$K$4:$AJ$4,0)))+SUMPRODUCT((Inputs!$E$5:$E$130=$B59)*Inputs!$F$5:$F$130*(((Inputs!$G$5:$G$130="moeda")+(Inputs!$G$5:$G$130="acoes"))*Inputs!$B$1+((Inputs!$G$5:$G$130&lt;&gt;"moeda")*(Inputs!$G$5:$G$130&lt;&gt;"acoes")))*INDEX(Inputs!$K$5:$AJ$130,0,MATCH(N$2,Inputs!$K$4:$AJ$4,0)))))</f>
        <v>2810</v>
      </c>
      <c r="O59" s="511">
        <f>IF(ISNA(MATCH(O$2,Inputs!$K$4:$AJ$4,0)),NA(),IF(SUMPRODUCT((Inputs!$A$5:$A$130=$B59)*ISNUMBER(INDEX(Inputs!$K$5:$AJ$130,0,MATCH(O$2,Inputs!$K$4:$AJ$4,0))))+SUMPRODUCT((Inputs!$C$5:$C$130=$B59)*ISNUMBER(INDEX(Inputs!$K$5:$AJ$130,0,MATCH(O$2,Inputs!$K$4:$AJ$4,0))))+SUMPRODUCT((Inputs!$E$5:$E$130=$B59)*ISNUMBER(INDEX(Inputs!$K$5:$AJ$130,0,MATCH(O$2,Inputs!$K$4:$AJ$4,0))))=0,NA(),SUMPRODUCT((Inputs!$A$5:$A$130=$B59)*Inputs!$B$5:$B$130*(((Inputs!$G$5:$G$130="moeda")+(Inputs!$G$5:$G$130="acoes"))*Inputs!$B$1+((Inputs!$G$5:$G$130&lt;&gt;"moeda")*(Inputs!$G$5:$G$130&lt;&gt;"acoes")))*INDEX(Inputs!$K$5:$AJ$130,0,MATCH(O$2,Inputs!$K$4:$AJ$4,0)))+SUMPRODUCT((Inputs!$C$5:$C$130=$B59)*Inputs!$D$5:$D$130*(((Inputs!$G$5:$G$130="moeda")+(Inputs!$G$5:$G$130="acoes"))*Inputs!$B$1+((Inputs!$G$5:$G$130&lt;&gt;"moeda")*(Inputs!$G$5:$G$130&lt;&gt;"acoes")))*INDEX(Inputs!$K$5:$AJ$130,0,MATCH(O$2,Inputs!$K$4:$AJ$4,0)))+SUMPRODUCT((Inputs!$E$5:$E$130=$B59)*Inputs!$F$5:$F$130*(((Inputs!$G$5:$G$130="moeda")+(Inputs!$G$5:$G$130="acoes"))*Inputs!$B$1+((Inputs!$G$5:$G$130&lt;&gt;"moeda")*(Inputs!$G$5:$G$130&lt;&gt;"acoes")))*INDEX(Inputs!$K$5:$AJ$130,0,MATCH(O$2,Inputs!$K$4:$AJ$4,0)))))</f>
        <v>1699</v>
      </c>
      <c r="P59" s="511">
        <f>IF(ISNA(MATCH(P$2,Inputs!$K$4:$AJ$4,0)),NA(),IF(SUMPRODUCT((Inputs!$A$5:$A$130=$B59)*ISNUMBER(INDEX(Inputs!$K$5:$AJ$130,0,MATCH(P$2,Inputs!$K$4:$AJ$4,0))))+SUMPRODUCT((Inputs!$C$5:$C$130=$B59)*ISNUMBER(INDEX(Inputs!$K$5:$AJ$130,0,MATCH(P$2,Inputs!$K$4:$AJ$4,0))))+SUMPRODUCT((Inputs!$E$5:$E$130=$B59)*ISNUMBER(INDEX(Inputs!$K$5:$AJ$130,0,MATCH(P$2,Inputs!$K$4:$AJ$4,0))))=0,NA(),SUMPRODUCT((Inputs!$A$5:$A$130=$B59)*Inputs!$B$5:$B$130*(((Inputs!$G$5:$G$130="moeda")+(Inputs!$G$5:$G$130="acoes"))*Inputs!$B$1+((Inputs!$G$5:$G$130&lt;&gt;"moeda")*(Inputs!$G$5:$G$130&lt;&gt;"acoes")))*INDEX(Inputs!$K$5:$AJ$130,0,MATCH(P$2,Inputs!$K$4:$AJ$4,0)))+SUMPRODUCT((Inputs!$C$5:$C$130=$B59)*Inputs!$D$5:$D$130*(((Inputs!$G$5:$G$130="moeda")+(Inputs!$G$5:$G$130="acoes"))*Inputs!$B$1+((Inputs!$G$5:$G$130&lt;&gt;"moeda")*(Inputs!$G$5:$G$130&lt;&gt;"acoes")))*INDEX(Inputs!$K$5:$AJ$130,0,MATCH(P$2,Inputs!$K$4:$AJ$4,0)))+SUMPRODUCT((Inputs!$E$5:$E$130=$B59)*Inputs!$F$5:$F$130*(((Inputs!$G$5:$G$130="moeda")+(Inputs!$G$5:$G$130="acoes"))*Inputs!$B$1+((Inputs!$G$5:$G$130&lt;&gt;"moeda")*(Inputs!$G$5:$G$130&lt;&gt;"acoes")))*INDEX(Inputs!$K$5:$AJ$130,0,MATCH(P$2,Inputs!$K$4:$AJ$4,0)))))</f>
        <v>2236</v>
      </c>
      <c r="Q59" s="511">
        <f>IF(ISNA(MATCH(Q$2,Inputs!$K$4:$AJ$4,0)),NA(),IF(SUMPRODUCT((Inputs!$A$5:$A$130=$B59)*ISNUMBER(INDEX(Inputs!$K$5:$AJ$130,0,MATCH(Q$2,Inputs!$K$4:$AJ$4,0))))+SUMPRODUCT((Inputs!$C$5:$C$130=$B59)*ISNUMBER(INDEX(Inputs!$K$5:$AJ$130,0,MATCH(Q$2,Inputs!$K$4:$AJ$4,0))))+SUMPRODUCT((Inputs!$E$5:$E$130=$B59)*ISNUMBER(INDEX(Inputs!$K$5:$AJ$130,0,MATCH(Q$2,Inputs!$K$4:$AJ$4,0))))=0,NA(),SUMPRODUCT((Inputs!$A$5:$A$130=$B59)*Inputs!$B$5:$B$130*(((Inputs!$G$5:$G$130="moeda")+(Inputs!$G$5:$G$130="acoes"))*Inputs!$B$1+((Inputs!$G$5:$G$130&lt;&gt;"moeda")*(Inputs!$G$5:$G$130&lt;&gt;"acoes")))*INDEX(Inputs!$K$5:$AJ$130,0,MATCH(Q$2,Inputs!$K$4:$AJ$4,0)))+SUMPRODUCT((Inputs!$C$5:$C$130=$B59)*Inputs!$D$5:$D$130*(((Inputs!$G$5:$G$130="moeda")+(Inputs!$G$5:$G$130="acoes"))*Inputs!$B$1+((Inputs!$G$5:$G$130&lt;&gt;"moeda")*(Inputs!$G$5:$G$130&lt;&gt;"acoes")))*INDEX(Inputs!$K$5:$AJ$130,0,MATCH(Q$2,Inputs!$K$4:$AJ$4,0)))+SUMPRODUCT((Inputs!$E$5:$E$130=$B59)*Inputs!$F$5:$F$130*(((Inputs!$G$5:$G$130="moeda")+(Inputs!$G$5:$G$130="acoes"))*Inputs!$B$1+((Inputs!$G$5:$G$130&lt;&gt;"moeda")*(Inputs!$G$5:$G$130&lt;&gt;"acoes")))*INDEX(Inputs!$K$5:$AJ$130,0,MATCH(Q$2,Inputs!$K$4:$AJ$4,0)))))</f>
        <v>3060</v>
      </c>
      <c r="R59" s="512">
        <f>SUM(N59:Q59)</f>
        <v>9805</v>
      </c>
      <c r="S59" s="511">
        <f>IF(ISNA(MATCH(S$2,Inputs!$K$4:$AJ$4,0)),NA(),IF(SUMPRODUCT((Inputs!$A$5:$A$130=$B59)*ISNUMBER(INDEX(Inputs!$K$5:$AJ$130,0,MATCH(S$2,Inputs!$K$4:$AJ$4,0))))+SUMPRODUCT((Inputs!$C$5:$C$130=$B59)*ISNUMBER(INDEX(Inputs!$K$5:$AJ$130,0,MATCH(S$2,Inputs!$K$4:$AJ$4,0))))+SUMPRODUCT((Inputs!$E$5:$E$130=$B59)*ISNUMBER(INDEX(Inputs!$K$5:$AJ$130,0,MATCH(S$2,Inputs!$K$4:$AJ$4,0))))=0,NA(),SUMPRODUCT((Inputs!$A$5:$A$130=$B59)*Inputs!$B$5:$B$130*(((Inputs!$G$5:$G$130="moeda")+(Inputs!$G$5:$G$130="acoes"))*Inputs!$B$1+((Inputs!$G$5:$G$130&lt;&gt;"moeda")*(Inputs!$G$5:$G$130&lt;&gt;"acoes")))*INDEX(Inputs!$K$5:$AJ$130,0,MATCH(S$2,Inputs!$K$4:$AJ$4,0)))+SUMPRODUCT((Inputs!$C$5:$C$130=$B59)*Inputs!$D$5:$D$130*(((Inputs!$G$5:$G$130="moeda")+(Inputs!$G$5:$G$130="acoes"))*Inputs!$B$1+((Inputs!$G$5:$G$130&lt;&gt;"moeda")*(Inputs!$G$5:$G$130&lt;&gt;"acoes")))*INDEX(Inputs!$K$5:$AJ$130,0,MATCH(S$2,Inputs!$K$4:$AJ$4,0)))+SUMPRODUCT((Inputs!$E$5:$E$130=$B59)*Inputs!$F$5:$F$130*(((Inputs!$G$5:$G$130="moeda")+(Inputs!$G$5:$G$130="acoes"))*Inputs!$B$1+((Inputs!$G$5:$G$130&lt;&gt;"moeda")*(Inputs!$G$5:$G$130&lt;&gt;"acoes")))*INDEX(Inputs!$K$5:$AJ$130,0,MATCH(S$2,Inputs!$K$4:$AJ$4,0)))))</f>
        <v>1933</v>
      </c>
      <c r="T59" s="511">
        <f>IF(ISNA(MATCH(T$2,Inputs!$K$4:$AJ$4,0)),NA(),IF(SUMPRODUCT((Inputs!$A$5:$A$130=$B59)*ISNUMBER(INDEX(Inputs!$K$5:$AJ$130,0,MATCH(T$2,Inputs!$K$4:$AJ$4,0))))+SUMPRODUCT((Inputs!$C$5:$C$130=$B59)*ISNUMBER(INDEX(Inputs!$K$5:$AJ$130,0,MATCH(T$2,Inputs!$K$4:$AJ$4,0))))+SUMPRODUCT((Inputs!$E$5:$E$130=$B59)*ISNUMBER(INDEX(Inputs!$K$5:$AJ$130,0,MATCH(T$2,Inputs!$K$4:$AJ$4,0))))=0,NA(),SUMPRODUCT((Inputs!$A$5:$A$130=$B59)*Inputs!$B$5:$B$130*(((Inputs!$G$5:$G$130="moeda")+(Inputs!$G$5:$G$130="acoes"))*Inputs!$B$1+((Inputs!$G$5:$G$130&lt;&gt;"moeda")*(Inputs!$G$5:$G$130&lt;&gt;"acoes")))*INDEX(Inputs!$K$5:$AJ$130,0,MATCH(T$2,Inputs!$K$4:$AJ$4,0)))+SUMPRODUCT((Inputs!$C$5:$C$130=$B59)*Inputs!$D$5:$D$130*(((Inputs!$G$5:$G$130="moeda")+(Inputs!$G$5:$G$130="acoes"))*Inputs!$B$1+((Inputs!$G$5:$G$130&lt;&gt;"moeda")*(Inputs!$G$5:$G$130&lt;&gt;"acoes")))*INDEX(Inputs!$K$5:$AJ$130,0,MATCH(T$2,Inputs!$K$4:$AJ$4,0)))+SUMPRODUCT((Inputs!$E$5:$E$130=$B59)*Inputs!$F$5:$F$130*(((Inputs!$G$5:$G$130="moeda")+(Inputs!$G$5:$G$130="acoes"))*Inputs!$B$1+((Inputs!$G$5:$G$130&lt;&gt;"moeda")*(Inputs!$G$5:$G$130&lt;&gt;"acoes")))*INDEX(Inputs!$K$5:$AJ$130,0,MATCH(T$2,Inputs!$K$4:$AJ$4,0)))))</f>
        <v>2336</v>
      </c>
      <c r="U59" s="511">
        <f>IF(ISNA(MATCH(U$2,Inputs!$K$4:$AJ$4,0)),NA(),IF(SUMPRODUCT((Inputs!$A$5:$A$130=$B59)*ISNUMBER(INDEX(Inputs!$K$5:$AJ$130,0,MATCH(U$2,Inputs!$K$4:$AJ$4,0))))+SUMPRODUCT((Inputs!$C$5:$C$130=$B59)*ISNUMBER(INDEX(Inputs!$K$5:$AJ$130,0,MATCH(U$2,Inputs!$K$4:$AJ$4,0))))+SUMPRODUCT((Inputs!$E$5:$E$130=$B59)*ISNUMBER(INDEX(Inputs!$K$5:$AJ$130,0,MATCH(U$2,Inputs!$K$4:$AJ$4,0))))=0,NA(),SUMPRODUCT((Inputs!$A$5:$A$130=$B59)*Inputs!$B$5:$B$130*(((Inputs!$G$5:$G$130="moeda")+(Inputs!$G$5:$G$130="acoes"))*Inputs!$B$1+((Inputs!$G$5:$G$130&lt;&gt;"moeda")*(Inputs!$G$5:$G$130&lt;&gt;"acoes")))*INDEX(Inputs!$K$5:$AJ$130,0,MATCH(U$2,Inputs!$K$4:$AJ$4,0)))+SUMPRODUCT((Inputs!$C$5:$C$130=$B59)*Inputs!$D$5:$D$130*(((Inputs!$G$5:$G$130="moeda")+(Inputs!$G$5:$G$130="acoes"))*Inputs!$B$1+((Inputs!$G$5:$G$130&lt;&gt;"moeda")*(Inputs!$G$5:$G$130&lt;&gt;"acoes")))*INDEX(Inputs!$K$5:$AJ$130,0,MATCH(U$2,Inputs!$K$4:$AJ$4,0)))+SUMPRODUCT((Inputs!$E$5:$E$130=$B59)*Inputs!$F$5:$F$130*(((Inputs!$G$5:$G$130="moeda")+(Inputs!$G$5:$G$130="acoes"))*Inputs!$B$1+((Inputs!$G$5:$G$130&lt;&gt;"moeda")*(Inputs!$G$5:$G$130&lt;&gt;"acoes")))*INDEX(Inputs!$K$5:$AJ$130,0,MATCH(U$2,Inputs!$K$4:$AJ$4,0)))))</f>
        <v>2443</v>
      </c>
      <c r="V59" s="511">
        <f>IF(ISNA(MATCH(V$2,Inputs!$K$4:$AJ$4,0)),NA(),IF(SUMPRODUCT((Inputs!$A$5:$A$130=$B59)*ISNUMBER(INDEX(Inputs!$K$5:$AJ$130,0,MATCH(V$2,Inputs!$K$4:$AJ$4,0))))+SUMPRODUCT((Inputs!$C$5:$C$130=$B59)*ISNUMBER(INDEX(Inputs!$K$5:$AJ$130,0,MATCH(V$2,Inputs!$K$4:$AJ$4,0))))+SUMPRODUCT((Inputs!$E$5:$E$130=$B59)*ISNUMBER(INDEX(Inputs!$K$5:$AJ$130,0,MATCH(V$2,Inputs!$K$4:$AJ$4,0))))=0,NA(),SUMPRODUCT((Inputs!$A$5:$A$130=$B59)*Inputs!$B$5:$B$130*(((Inputs!$G$5:$G$130="moeda")+(Inputs!$G$5:$G$130="acoes"))*Inputs!$B$1+((Inputs!$G$5:$G$130&lt;&gt;"moeda")*(Inputs!$G$5:$G$130&lt;&gt;"acoes")))*INDEX(Inputs!$K$5:$AJ$130,0,MATCH(V$2,Inputs!$K$4:$AJ$4,0)))+SUMPRODUCT((Inputs!$C$5:$C$130=$B59)*Inputs!$D$5:$D$130*(((Inputs!$G$5:$G$130="moeda")+(Inputs!$G$5:$G$130="acoes"))*Inputs!$B$1+((Inputs!$G$5:$G$130&lt;&gt;"moeda")*(Inputs!$G$5:$G$130&lt;&gt;"acoes")))*INDEX(Inputs!$K$5:$AJ$130,0,MATCH(V$2,Inputs!$K$4:$AJ$4,0)))+SUMPRODUCT((Inputs!$E$5:$E$130=$B59)*Inputs!$F$5:$F$130*(((Inputs!$G$5:$G$130="moeda")+(Inputs!$G$5:$G$130="acoes"))*Inputs!$B$1+((Inputs!$G$5:$G$130&lt;&gt;"moeda")*(Inputs!$G$5:$G$130&lt;&gt;"acoes")))*INDEX(Inputs!$K$5:$AJ$130,0,MATCH(V$2,Inputs!$K$4:$AJ$4,0)))))</f>
        <v>1682</v>
      </c>
      <c r="W59" s="512">
        <f>SUM(S59:V59)</f>
        <v>8394</v>
      </c>
      <c r="X59" s="511">
        <f>IF(ISNA(MATCH(X$2,Inputs!$K$4:$AJ$4,0)),NA(),IF(SUMPRODUCT((Inputs!$A$5:$A$130=$B59)*ISNUMBER(INDEX(Inputs!$K$5:$AJ$130,0,MATCH(X$2,Inputs!$K$4:$AJ$4,0))))+SUMPRODUCT((Inputs!$C$5:$C$130=$B59)*ISNUMBER(INDEX(Inputs!$K$5:$AJ$130,0,MATCH(X$2,Inputs!$K$4:$AJ$4,0))))+SUMPRODUCT((Inputs!$E$5:$E$130=$B59)*ISNUMBER(INDEX(Inputs!$K$5:$AJ$130,0,MATCH(X$2,Inputs!$K$4:$AJ$4,0))))=0,NA(),SUMPRODUCT((Inputs!$A$5:$A$130=$B59)*Inputs!$B$5:$B$130*(((Inputs!$G$5:$G$130="moeda")+(Inputs!$G$5:$G$130="acoes"))*Inputs!$B$1+((Inputs!$G$5:$G$130&lt;&gt;"moeda")*(Inputs!$G$5:$G$130&lt;&gt;"acoes")))*INDEX(Inputs!$K$5:$AJ$130,0,MATCH(X$2,Inputs!$K$4:$AJ$4,0)))+SUMPRODUCT((Inputs!$C$5:$C$130=$B59)*Inputs!$D$5:$D$130*(((Inputs!$G$5:$G$130="moeda")+(Inputs!$G$5:$G$130="acoes"))*Inputs!$B$1+((Inputs!$G$5:$G$130&lt;&gt;"moeda")*(Inputs!$G$5:$G$130&lt;&gt;"acoes")))*INDEX(Inputs!$K$5:$AJ$130,0,MATCH(X$2,Inputs!$K$4:$AJ$4,0)))+SUMPRODUCT((Inputs!$E$5:$E$130=$B59)*Inputs!$F$5:$F$130*(((Inputs!$G$5:$G$130="moeda")+(Inputs!$G$5:$G$130="acoes"))*Inputs!$B$1+((Inputs!$G$5:$G$130&lt;&gt;"moeda")*(Inputs!$G$5:$G$130&lt;&gt;"acoes")))*INDEX(Inputs!$K$5:$AJ$130,0,MATCH(X$2,Inputs!$K$4:$AJ$4,0)))))</f>
        <v>2337</v>
      </c>
      <c r="Y59" s="511">
        <f>IF(ISNA(MATCH(Y$2,Inputs!$K$4:$AJ$4,0)),NA(),IF(SUMPRODUCT((Inputs!$A$5:$A$130=$B59)*ISNUMBER(INDEX(Inputs!$K$5:$AJ$130,0,MATCH(Y$2,Inputs!$K$4:$AJ$4,0))))+SUMPRODUCT((Inputs!$C$5:$C$130=$B59)*ISNUMBER(INDEX(Inputs!$K$5:$AJ$130,0,MATCH(Y$2,Inputs!$K$4:$AJ$4,0))))+SUMPRODUCT((Inputs!$E$5:$E$130=$B59)*ISNUMBER(INDEX(Inputs!$K$5:$AJ$130,0,MATCH(Y$2,Inputs!$K$4:$AJ$4,0))))=0,NA(),SUMPRODUCT((Inputs!$A$5:$A$130=$B59)*Inputs!$B$5:$B$130*(((Inputs!$G$5:$G$130="moeda")+(Inputs!$G$5:$G$130="acoes"))*Inputs!$B$1+((Inputs!$G$5:$G$130&lt;&gt;"moeda")*(Inputs!$G$5:$G$130&lt;&gt;"acoes")))*INDEX(Inputs!$K$5:$AJ$130,0,MATCH(Y$2,Inputs!$K$4:$AJ$4,0)))+SUMPRODUCT((Inputs!$C$5:$C$130=$B59)*Inputs!$D$5:$D$130*(((Inputs!$G$5:$G$130="moeda")+(Inputs!$G$5:$G$130="acoes"))*Inputs!$B$1+((Inputs!$G$5:$G$130&lt;&gt;"moeda")*(Inputs!$G$5:$G$130&lt;&gt;"acoes")))*INDEX(Inputs!$K$5:$AJ$130,0,MATCH(Y$2,Inputs!$K$4:$AJ$4,0)))+SUMPRODUCT((Inputs!$E$5:$E$130=$B59)*Inputs!$F$5:$F$130*(((Inputs!$G$5:$G$130="moeda")+(Inputs!$G$5:$G$130="acoes"))*Inputs!$B$1+((Inputs!$G$5:$G$130&lt;&gt;"moeda")*(Inputs!$G$5:$G$130&lt;&gt;"acoes")))*INDEX(Inputs!$K$5:$AJ$130,0,MATCH(Y$2,Inputs!$K$4:$AJ$4,0)))))</f>
        <v>1732</v>
      </c>
      <c r="Z59" s="511">
        <f>IF(ISNA(MATCH(Z$2,Inputs!$K$4:$AJ$4,0)),NA(),IF(SUMPRODUCT((Inputs!$A$5:$A$130=$B59)*ISNUMBER(INDEX(Inputs!$K$5:$AJ$130,0,MATCH(Z$2,Inputs!$K$4:$AJ$4,0))))+SUMPRODUCT((Inputs!$C$5:$C$130=$B59)*ISNUMBER(INDEX(Inputs!$K$5:$AJ$130,0,MATCH(Z$2,Inputs!$K$4:$AJ$4,0))))+SUMPRODUCT((Inputs!$E$5:$E$130=$B59)*ISNUMBER(INDEX(Inputs!$K$5:$AJ$130,0,MATCH(Z$2,Inputs!$K$4:$AJ$4,0))))=0,NA(),SUMPRODUCT((Inputs!$A$5:$A$130=$B59)*Inputs!$B$5:$B$130*(((Inputs!$G$5:$G$130="moeda")+(Inputs!$G$5:$G$130="acoes"))*Inputs!$B$1+((Inputs!$G$5:$G$130&lt;&gt;"moeda")*(Inputs!$G$5:$G$130&lt;&gt;"acoes")))*INDEX(Inputs!$K$5:$AJ$130,0,MATCH(Z$2,Inputs!$K$4:$AJ$4,0)))+SUMPRODUCT((Inputs!$C$5:$C$130=$B59)*Inputs!$D$5:$D$130*(((Inputs!$G$5:$G$130="moeda")+(Inputs!$G$5:$G$130="acoes"))*Inputs!$B$1+((Inputs!$G$5:$G$130&lt;&gt;"moeda")*(Inputs!$G$5:$G$130&lt;&gt;"acoes")))*INDEX(Inputs!$K$5:$AJ$130,0,MATCH(Z$2,Inputs!$K$4:$AJ$4,0)))+SUMPRODUCT((Inputs!$E$5:$E$130=$B59)*Inputs!$F$5:$F$130*(((Inputs!$G$5:$G$130="moeda")+(Inputs!$G$5:$G$130="acoes"))*Inputs!$B$1+((Inputs!$G$5:$G$130&lt;&gt;"moeda")*(Inputs!$G$5:$G$130&lt;&gt;"acoes")))*INDEX(Inputs!$K$5:$AJ$130,0,MATCH(Z$2,Inputs!$K$4:$AJ$4,0)))))</f>
        <v>1804</v>
      </c>
      <c r="AA59" s="511">
        <f>IF(ISNA(MATCH(AA$2,Inputs!$K$4:$AJ$4,0)),NA(),IF(SUMPRODUCT((Inputs!$A$5:$A$130=$B59)*ISNUMBER(INDEX(Inputs!$K$5:$AJ$130,0,MATCH(AA$2,Inputs!$K$4:$AJ$4,0))))+SUMPRODUCT((Inputs!$C$5:$C$130=$B59)*ISNUMBER(INDEX(Inputs!$K$5:$AJ$130,0,MATCH(AA$2,Inputs!$K$4:$AJ$4,0))))+SUMPRODUCT((Inputs!$E$5:$E$130=$B59)*ISNUMBER(INDEX(Inputs!$K$5:$AJ$130,0,MATCH(AA$2,Inputs!$K$4:$AJ$4,0))))=0,NA(),SUMPRODUCT((Inputs!$A$5:$A$130=$B59)*Inputs!$B$5:$B$130*(((Inputs!$G$5:$G$130="moeda")+(Inputs!$G$5:$G$130="acoes"))*Inputs!$B$1+((Inputs!$G$5:$G$130&lt;&gt;"moeda")*(Inputs!$G$5:$G$130&lt;&gt;"acoes")))*INDEX(Inputs!$K$5:$AJ$130,0,MATCH(AA$2,Inputs!$K$4:$AJ$4,0)))+SUMPRODUCT((Inputs!$C$5:$C$130=$B59)*Inputs!$D$5:$D$130*(((Inputs!$G$5:$G$130="moeda")+(Inputs!$G$5:$G$130="acoes"))*Inputs!$B$1+((Inputs!$G$5:$G$130&lt;&gt;"moeda")*(Inputs!$G$5:$G$130&lt;&gt;"acoes")))*INDEX(Inputs!$K$5:$AJ$130,0,MATCH(AA$2,Inputs!$K$4:$AJ$4,0)))+SUMPRODUCT((Inputs!$E$5:$E$130=$B59)*Inputs!$F$5:$F$130*(((Inputs!$G$5:$G$130="moeda")+(Inputs!$G$5:$G$130="acoes"))*Inputs!$B$1+((Inputs!$G$5:$G$130&lt;&gt;"moeda")*(Inputs!$G$5:$G$130&lt;&gt;"acoes")))*INDEX(Inputs!$K$5:$AJ$130,0,MATCH(AA$2,Inputs!$K$4:$AJ$4,0)))))</f>
        <v>1570</v>
      </c>
      <c r="AB59" s="512">
        <f>SUM(X59:AA59)</f>
        <v>7443</v>
      </c>
      <c r="AC59" s="511">
        <f>IF(ISNA(MATCH(AC$2,Inputs!$K$4:$AJ$4,0)),NA(),IF(SUMPRODUCT((Inputs!$A$5:$A$130=$B59)*ISNUMBER(INDEX(Inputs!$K$5:$AJ$130,0,MATCH(AC$2,Inputs!$K$4:$AJ$4,0))))+SUMPRODUCT((Inputs!$C$5:$C$130=$B59)*ISNUMBER(INDEX(Inputs!$K$5:$AJ$130,0,MATCH(AC$2,Inputs!$K$4:$AJ$4,0))))+SUMPRODUCT((Inputs!$E$5:$E$130=$B59)*ISNUMBER(INDEX(Inputs!$K$5:$AJ$130,0,MATCH(AC$2,Inputs!$K$4:$AJ$4,0))))=0,NA(),SUMPRODUCT((Inputs!$A$5:$A$130=$B59)*Inputs!$B$5:$B$130*(((Inputs!$G$5:$G$130="moeda")+(Inputs!$G$5:$G$130="acoes"))*Inputs!$B$1+((Inputs!$G$5:$G$130&lt;&gt;"moeda")*(Inputs!$G$5:$G$130&lt;&gt;"acoes")))*INDEX(Inputs!$K$5:$AJ$130,0,MATCH(AC$2,Inputs!$K$4:$AJ$4,0)))+SUMPRODUCT((Inputs!$C$5:$C$130=$B59)*Inputs!$D$5:$D$130*(((Inputs!$G$5:$G$130="moeda")+(Inputs!$G$5:$G$130="acoes"))*Inputs!$B$1+((Inputs!$G$5:$G$130&lt;&gt;"moeda")*(Inputs!$G$5:$G$130&lt;&gt;"acoes")))*INDEX(Inputs!$K$5:$AJ$130,0,MATCH(AC$2,Inputs!$K$4:$AJ$4,0)))+SUMPRODUCT((Inputs!$E$5:$E$130=$B59)*Inputs!$F$5:$F$130*(((Inputs!$G$5:$G$130="moeda")+(Inputs!$G$5:$G$130="acoes"))*Inputs!$B$1+((Inputs!$G$5:$G$130&lt;&gt;"moeda")*(Inputs!$G$5:$G$130&lt;&gt;"acoes")))*INDEX(Inputs!$K$5:$AJ$130,0,MATCH(AC$2,Inputs!$K$4:$AJ$4,0)))))</f>
        <v>2377</v>
      </c>
      <c r="AD59" s="511">
        <f>IF(ISNA(MATCH(AD$2,Inputs!$K$4:$AJ$4,0)),NA(),IF(SUMPRODUCT((Inputs!$A$5:$A$130=$B59)*ISNUMBER(INDEX(Inputs!$K$5:$AJ$130,0,MATCH(AD$2,Inputs!$K$4:$AJ$4,0))))+SUMPRODUCT((Inputs!$C$5:$C$130=$B59)*ISNUMBER(INDEX(Inputs!$K$5:$AJ$130,0,MATCH(AD$2,Inputs!$K$4:$AJ$4,0))))+SUMPRODUCT((Inputs!$E$5:$E$130=$B59)*ISNUMBER(INDEX(Inputs!$K$5:$AJ$130,0,MATCH(AD$2,Inputs!$K$4:$AJ$4,0))))=0,NA(),SUMPRODUCT((Inputs!$A$5:$A$130=$B59)*Inputs!$B$5:$B$130*(((Inputs!$G$5:$G$130="moeda")+(Inputs!$G$5:$G$130="acoes"))*Inputs!$B$1+((Inputs!$G$5:$G$130&lt;&gt;"moeda")*(Inputs!$G$5:$G$130&lt;&gt;"acoes")))*INDEX(Inputs!$K$5:$AJ$130,0,MATCH(AD$2,Inputs!$K$4:$AJ$4,0)))+SUMPRODUCT((Inputs!$C$5:$C$130=$B59)*Inputs!$D$5:$D$130*(((Inputs!$G$5:$G$130="moeda")+(Inputs!$G$5:$G$130="acoes"))*Inputs!$B$1+((Inputs!$G$5:$G$130&lt;&gt;"moeda")*(Inputs!$G$5:$G$130&lt;&gt;"acoes")))*INDEX(Inputs!$K$5:$AJ$130,0,MATCH(AD$2,Inputs!$K$4:$AJ$4,0)))+SUMPRODUCT((Inputs!$E$5:$E$130=$B59)*Inputs!$F$5:$F$130*(((Inputs!$G$5:$G$130="moeda")+(Inputs!$G$5:$G$130="acoes"))*Inputs!$B$1+((Inputs!$G$5:$G$130&lt;&gt;"moeda")*(Inputs!$G$5:$G$130&lt;&gt;"acoes")))*INDEX(Inputs!$K$5:$AJ$130,0,MATCH(AD$2,Inputs!$K$4:$AJ$4,0)))))</f>
        <v>3485</v>
      </c>
      <c r="AE59" s="511" t="e">
        <f>IF(ISNA(MATCH(AE$2,Inputs!$K$4:$AJ$4,0)),NA(),IF(SUMPRODUCT((Inputs!$A$5:$A$130=$B59)*ISNUMBER(INDEX(Inputs!$K$5:$AJ$130,0,MATCH(AE$2,Inputs!$K$4:$AJ$4,0))))+SUMPRODUCT((Inputs!$C$5:$C$130=$B59)*ISNUMBER(INDEX(Inputs!$K$5:$AJ$130,0,MATCH(AE$2,Inputs!$K$4:$AJ$4,0))))+SUMPRODUCT((Inputs!$E$5:$E$130=$B59)*ISNUMBER(INDEX(Inputs!$K$5:$AJ$130,0,MATCH(AE$2,Inputs!$K$4:$AJ$4,0))))=0,NA(),SUMPRODUCT((Inputs!$A$5:$A$130=$B59)*Inputs!$B$5:$B$130*(((Inputs!$G$5:$G$130="moeda")+(Inputs!$G$5:$G$130="acoes"))*Inputs!$B$1+((Inputs!$G$5:$G$130&lt;&gt;"moeda")*(Inputs!$G$5:$G$130&lt;&gt;"acoes")))*INDEX(Inputs!$K$5:$AJ$130,0,MATCH(AE$2,Inputs!$K$4:$AJ$4,0)))+SUMPRODUCT((Inputs!$C$5:$C$130=$B59)*Inputs!$D$5:$D$130*(((Inputs!$G$5:$G$130="moeda")+(Inputs!$G$5:$G$130="acoes"))*Inputs!$B$1+((Inputs!$G$5:$G$130&lt;&gt;"moeda")*(Inputs!$G$5:$G$130&lt;&gt;"acoes")))*INDEX(Inputs!$K$5:$AJ$130,0,MATCH(AE$2,Inputs!$K$4:$AJ$4,0)))+SUMPRODUCT((Inputs!$E$5:$E$130=$B59)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59" s="511" t="e">
        <f>IF(ISNA(MATCH(AF$2,Inputs!$K$4:$AJ$4,0)),NA(),IF(SUMPRODUCT((Inputs!$A$5:$A$130=$B59)*ISNUMBER(INDEX(Inputs!$K$5:$AJ$130,0,MATCH(AF$2,Inputs!$K$4:$AJ$4,0))))+SUMPRODUCT((Inputs!$C$5:$C$130=$B59)*ISNUMBER(INDEX(Inputs!$K$5:$AJ$130,0,MATCH(AF$2,Inputs!$K$4:$AJ$4,0))))+SUMPRODUCT((Inputs!$E$5:$E$130=$B59)*ISNUMBER(INDEX(Inputs!$K$5:$AJ$130,0,MATCH(AF$2,Inputs!$K$4:$AJ$4,0))))=0,NA(),SUMPRODUCT((Inputs!$A$5:$A$130=$B59)*Inputs!$B$5:$B$130*(((Inputs!$G$5:$G$130="moeda")+(Inputs!$G$5:$G$130="acoes"))*Inputs!$B$1+((Inputs!$G$5:$G$130&lt;&gt;"moeda")*(Inputs!$G$5:$G$130&lt;&gt;"acoes")))*INDEX(Inputs!$K$5:$AJ$130,0,MATCH(AF$2,Inputs!$K$4:$AJ$4,0)))+SUMPRODUCT((Inputs!$C$5:$C$130=$B59)*Inputs!$D$5:$D$130*(((Inputs!$G$5:$G$130="moeda")+(Inputs!$G$5:$G$130="acoes"))*Inputs!$B$1+((Inputs!$G$5:$G$130&lt;&gt;"moeda")*(Inputs!$G$5:$G$130&lt;&gt;"acoes")))*INDEX(Inputs!$K$5:$AJ$130,0,MATCH(AF$2,Inputs!$K$4:$AJ$4,0)))+SUMPRODUCT((Inputs!$E$5:$E$130=$B59)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59" s="512" t="e">
        <f>SUM(AC59:AF59)</f>
        <v>#N/A</v>
      </c>
      <c r="AH59" s="511" t="e">
        <f>IF(ISNA(MATCH(AH$2,Inputs!$K$4:$AJ$4,0)),NA(),IF(SUMPRODUCT((Inputs!$A$5:$A$130=$B59)*ISNUMBER(INDEX(Inputs!$K$5:$AJ$130,0,MATCH(AH$2,Inputs!$K$4:$AJ$4,0))))+SUMPRODUCT((Inputs!$C$5:$C$130=$B59)*ISNUMBER(INDEX(Inputs!$K$5:$AJ$130,0,MATCH(AH$2,Inputs!$K$4:$AJ$4,0))))+SUMPRODUCT((Inputs!$E$5:$E$130=$B59)*ISNUMBER(INDEX(Inputs!$K$5:$AJ$130,0,MATCH(AH$2,Inputs!$K$4:$AJ$4,0))))=0,NA(),SUMPRODUCT((Inputs!$A$5:$A$130=$B59)*Inputs!$B$5:$B$130*(((Inputs!$G$5:$G$130="moeda")+(Inputs!$G$5:$G$130="acoes"))*Inputs!$B$1+((Inputs!$G$5:$G$130&lt;&gt;"moeda")*(Inputs!$G$5:$G$130&lt;&gt;"acoes")))*INDEX(Inputs!$K$5:$AJ$130,0,MATCH(AH$2,Inputs!$K$4:$AJ$4,0)))+SUMPRODUCT((Inputs!$C$5:$C$130=$B59)*Inputs!$D$5:$D$130*(((Inputs!$G$5:$G$130="moeda")+(Inputs!$G$5:$G$130="acoes"))*Inputs!$B$1+((Inputs!$G$5:$G$130&lt;&gt;"moeda")*(Inputs!$G$5:$G$130&lt;&gt;"acoes")))*INDEX(Inputs!$K$5:$AJ$130,0,MATCH(AH$2,Inputs!$K$4:$AJ$4,0)))+SUMPRODUCT((Inputs!$E$5:$E$130=$B59)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59" s="511" t="e">
        <f>IF(ISNA(MATCH(AI$2,Inputs!$K$4:$AJ$4,0)),NA(),IF(SUMPRODUCT((Inputs!$A$5:$A$130=$B59)*ISNUMBER(INDEX(Inputs!$K$5:$AJ$130,0,MATCH(AI$2,Inputs!$K$4:$AJ$4,0))))+SUMPRODUCT((Inputs!$C$5:$C$130=$B59)*ISNUMBER(INDEX(Inputs!$K$5:$AJ$130,0,MATCH(AI$2,Inputs!$K$4:$AJ$4,0))))+SUMPRODUCT((Inputs!$E$5:$E$130=$B59)*ISNUMBER(INDEX(Inputs!$K$5:$AJ$130,0,MATCH(AI$2,Inputs!$K$4:$AJ$4,0))))=0,NA(),SUMPRODUCT((Inputs!$A$5:$A$130=$B59)*Inputs!$B$5:$B$130*(((Inputs!$G$5:$G$130="moeda")+(Inputs!$G$5:$G$130="acoes"))*Inputs!$B$1+((Inputs!$G$5:$G$130&lt;&gt;"moeda")*(Inputs!$G$5:$G$130&lt;&gt;"acoes")))*INDEX(Inputs!$K$5:$AJ$130,0,MATCH(AI$2,Inputs!$K$4:$AJ$4,0)))+SUMPRODUCT((Inputs!$C$5:$C$130=$B59)*Inputs!$D$5:$D$130*(((Inputs!$G$5:$G$130="moeda")+(Inputs!$G$5:$G$130="acoes"))*Inputs!$B$1+((Inputs!$G$5:$G$130&lt;&gt;"moeda")*(Inputs!$G$5:$G$130&lt;&gt;"acoes")))*INDEX(Inputs!$K$5:$AJ$130,0,MATCH(AI$2,Inputs!$K$4:$AJ$4,0)))+SUMPRODUCT((Inputs!$E$5:$E$130=$B59)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59" s="511" t="e">
        <f>IF(ISNA(MATCH(AJ$2,Inputs!$K$4:$AJ$4,0)),NA(),IF(SUMPRODUCT((Inputs!$A$5:$A$130=$B59)*ISNUMBER(INDEX(Inputs!$K$5:$AJ$130,0,MATCH(AJ$2,Inputs!$K$4:$AJ$4,0))))+SUMPRODUCT((Inputs!$C$5:$C$130=$B59)*ISNUMBER(INDEX(Inputs!$K$5:$AJ$130,0,MATCH(AJ$2,Inputs!$K$4:$AJ$4,0))))+SUMPRODUCT((Inputs!$E$5:$E$130=$B59)*ISNUMBER(INDEX(Inputs!$K$5:$AJ$130,0,MATCH(AJ$2,Inputs!$K$4:$AJ$4,0))))=0,NA(),SUMPRODUCT((Inputs!$A$5:$A$130=$B59)*Inputs!$B$5:$B$130*(((Inputs!$G$5:$G$130="moeda")+(Inputs!$G$5:$G$130="acoes"))*Inputs!$B$1+((Inputs!$G$5:$G$130&lt;&gt;"moeda")*(Inputs!$G$5:$G$130&lt;&gt;"acoes")))*INDEX(Inputs!$K$5:$AJ$130,0,MATCH(AJ$2,Inputs!$K$4:$AJ$4,0)))+SUMPRODUCT((Inputs!$C$5:$C$130=$B59)*Inputs!$D$5:$D$130*(((Inputs!$G$5:$G$130="moeda")+(Inputs!$G$5:$G$130="acoes"))*Inputs!$B$1+((Inputs!$G$5:$G$130&lt;&gt;"moeda")*(Inputs!$G$5:$G$130&lt;&gt;"acoes")))*INDEX(Inputs!$K$5:$AJ$130,0,MATCH(AJ$2,Inputs!$K$4:$AJ$4,0)))+SUMPRODUCT((Inputs!$E$5:$E$130=$B59)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59" s="511" t="e">
        <f>IF(ISNA(MATCH(AK$2,Inputs!$K$4:$AJ$4,0)),NA(),IF(SUMPRODUCT((Inputs!$A$5:$A$130=$B59)*ISNUMBER(INDEX(Inputs!$K$5:$AJ$130,0,MATCH(AK$2,Inputs!$K$4:$AJ$4,0))))+SUMPRODUCT((Inputs!$C$5:$C$130=$B59)*ISNUMBER(INDEX(Inputs!$K$5:$AJ$130,0,MATCH(AK$2,Inputs!$K$4:$AJ$4,0))))+SUMPRODUCT((Inputs!$E$5:$E$130=$B59)*ISNUMBER(INDEX(Inputs!$K$5:$AJ$130,0,MATCH(AK$2,Inputs!$K$4:$AJ$4,0))))=0,NA(),SUMPRODUCT((Inputs!$A$5:$A$130=$B59)*Inputs!$B$5:$B$130*(((Inputs!$G$5:$G$130="moeda")+(Inputs!$G$5:$G$130="acoes"))*Inputs!$B$1+((Inputs!$G$5:$G$130&lt;&gt;"moeda")*(Inputs!$G$5:$G$130&lt;&gt;"acoes")))*INDEX(Inputs!$K$5:$AJ$130,0,MATCH(AK$2,Inputs!$K$4:$AJ$4,0)))+SUMPRODUCT((Inputs!$C$5:$C$130=$B59)*Inputs!$D$5:$D$130*(((Inputs!$G$5:$G$130="moeda")+(Inputs!$G$5:$G$130="acoes"))*Inputs!$B$1+((Inputs!$G$5:$G$130&lt;&gt;"moeda")*(Inputs!$G$5:$G$130&lt;&gt;"acoes")))*INDEX(Inputs!$K$5:$AJ$130,0,MATCH(AK$2,Inputs!$K$4:$AJ$4,0)))+SUMPRODUCT((Inputs!$E$5:$E$130=$B59)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59" s="512" t="e">
        <f>SUM(AH59:AK59)</f>
        <v>#N/A</v>
      </c>
    </row>
    <row r="60">
      <c r="B60" s="263" t="n">
        <v>52</v>
      </c>
      <c r="C60" s="264" t="inlineStr">
        <is>
          <t>Marketing - Adjusted Earnings (USD mi)</t>
        </is>
      </c>
      <c r="D60" s="511">
        <f>IF(ISNA(MATCH(D$2,Inputs!$K$4:$AJ$4,0)),NA(),IF(SUMPRODUCT((Inputs!$A$5:$A$130=$B60)*ISNUMBER(INDEX(Inputs!$K$5:$AJ$130,0,MATCH(D$2,Inputs!$K$4:$AJ$4,0))))+SUMPRODUCT((Inputs!$C$5:$C$130=$B60)*ISNUMBER(INDEX(Inputs!$K$5:$AJ$130,0,MATCH(D$2,Inputs!$K$4:$AJ$4,0))))+SUMPRODUCT((Inputs!$E$5:$E$130=$B60)*ISNUMBER(INDEX(Inputs!$K$5:$AJ$130,0,MATCH(D$2,Inputs!$K$4:$AJ$4,0))))=0,NA(),SUMPRODUCT((Inputs!$A$5:$A$130=$B60)*Inputs!$B$5:$B$130*(((Inputs!$G$5:$G$130="moeda")+(Inputs!$G$5:$G$130="acoes"))*Inputs!$B$1+((Inputs!$G$5:$G$130&lt;&gt;"moeda")*(Inputs!$G$5:$G$130&lt;&gt;"acoes")))*INDEX(Inputs!$K$5:$AJ$130,0,MATCH(D$2,Inputs!$K$4:$AJ$4,0)))+SUMPRODUCT((Inputs!$C$5:$C$130=$B60)*Inputs!$D$5:$D$130*(((Inputs!$G$5:$G$130="moeda")+(Inputs!$G$5:$G$130="acoes"))*Inputs!$B$1+((Inputs!$G$5:$G$130&lt;&gt;"moeda")*(Inputs!$G$5:$G$130&lt;&gt;"acoes")))*INDEX(Inputs!$K$5:$AJ$130,0,MATCH(D$2,Inputs!$K$4:$AJ$4,0)))+SUMPRODUCT((Inputs!$E$5:$E$130=$B60)*Inputs!$F$5:$F$130*(((Inputs!$G$5:$G$130="moeda")+(Inputs!$G$5:$G$130="acoes"))*Inputs!$B$1+((Inputs!$G$5:$G$130&lt;&gt;"moeda")*(Inputs!$G$5:$G$130&lt;&gt;"acoes")))*INDEX(Inputs!$K$5:$AJ$130,0,MATCH(D$2,Inputs!$K$4:$AJ$4,0)))))</f>
        <v>845</v>
      </c>
      <c r="E60" s="511">
        <f>IF(ISNA(MATCH(E$2,Inputs!$K$4:$AJ$4,0)),NA(),IF(SUMPRODUCT((Inputs!$A$5:$A$130=$B60)*ISNUMBER(INDEX(Inputs!$K$5:$AJ$130,0,MATCH(E$2,Inputs!$K$4:$AJ$4,0))))+SUMPRODUCT((Inputs!$C$5:$C$130=$B60)*ISNUMBER(INDEX(Inputs!$K$5:$AJ$130,0,MATCH(E$2,Inputs!$K$4:$AJ$4,0))))+SUMPRODUCT((Inputs!$E$5:$E$130=$B60)*ISNUMBER(INDEX(Inputs!$K$5:$AJ$130,0,MATCH(E$2,Inputs!$K$4:$AJ$4,0))))=0,NA(),SUMPRODUCT((Inputs!$A$5:$A$130=$B60)*Inputs!$B$5:$B$130*(((Inputs!$G$5:$G$130="moeda")+(Inputs!$G$5:$G$130="acoes"))*Inputs!$B$1+((Inputs!$G$5:$G$130&lt;&gt;"moeda")*(Inputs!$G$5:$G$130&lt;&gt;"acoes")))*INDEX(Inputs!$K$5:$AJ$130,0,MATCH(E$2,Inputs!$K$4:$AJ$4,0)))+SUMPRODUCT((Inputs!$C$5:$C$130=$B60)*Inputs!$D$5:$D$130*(((Inputs!$G$5:$G$130="moeda")+(Inputs!$G$5:$G$130="acoes"))*Inputs!$B$1+((Inputs!$G$5:$G$130&lt;&gt;"moeda")*(Inputs!$G$5:$G$130&lt;&gt;"acoes")))*INDEX(Inputs!$K$5:$AJ$130,0,MATCH(E$2,Inputs!$K$4:$AJ$4,0)))+SUMPRODUCT((Inputs!$E$5:$E$130=$B60)*Inputs!$F$5:$F$130*(((Inputs!$G$5:$G$130="moeda")+(Inputs!$G$5:$G$130="acoes"))*Inputs!$B$1+((Inputs!$G$5:$G$130&lt;&gt;"moeda")*(Inputs!$G$5:$G$130&lt;&gt;"acoes")))*INDEX(Inputs!$K$5:$AJ$130,0,MATCH(E$2,Inputs!$K$4:$AJ$4,0)))))</f>
        <v>982</v>
      </c>
      <c r="F60" s="511">
        <f>IF(ISNA(MATCH(F$2,Inputs!$K$4:$AJ$4,0)),NA(),IF(SUMPRODUCT((Inputs!$A$5:$A$130=$B60)*ISNUMBER(INDEX(Inputs!$K$5:$AJ$130,0,MATCH(F$2,Inputs!$K$4:$AJ$4,0))))+SUMPRODUCT((Inputs!$C$5:$C$130=$B60)*ISNUMBER(INDEX(Inputs!$K$5:$AJ$130,0,MATCH(F$2,Inputs!$K$4:$AJ$4,0))))+SUMPRODUCT((Inputs!$E$5:$E$130=$B60)*ISNUMBER(INDEX(Inputs!$K$5:$AJ$130,0,MATCH(F$2,Inputs!$K$4:$AJ$4,0))))=0,NA(),SUMPRODUCT((Inputs!$A$5:$A$130=$B60)*Inputs!$B$5:$B$130*(((Inputs!$G$5:$G$130="moeda")+(Inputs!$G$5:$G$130="acoes"))*Inputs!$B$1+((Inputs!$G$5:$G$130&lt;&gt;"moeda")*(Inputs!$G$5:$G$130&lt;&gt;"acoes")))*INDEX(Inputs!$K$5:$AJ$130,0,MATCH(F$2,Inputs!$K$4:$AJ$4,0)))+SUMPRODUCT((Inputs!$C$5:$C$130=$B60)*Inputs!$D$5:$D$130*(((Inputs!$G$5:$G$130="moeda")+(Inputs!$G$5:$G$130="acoes"))*Inputs!$B$1+((Inputs!$G$5:$G$130&lt;&gt;"moeda")*(Inputs!$G$5:$G$130&lt;&gt;"acoes")))*INDEX(Inputs!$K$5:$AJ$130,0,MATCH(F$2,Inputs!$K$4:$AJ$4,0)))+SUMPRODUCT((Inputs!$E$5:$E$130=$B60)*Inputs!$F$5:$F$130*(((Inputs!$G$5:$G$130="moeda")+(Inputs!$G$5:$G$130="acoes"))*Inputs!$B$1+((Inputs!$G$5:$G$130&lt;&gt;"moeda")*(Inputs!$G$5:$G$130&lt;&gt;"acoes")))*INDEX(Inputs!$K$5:$AJ$130,0,MATCH(F$2,Inputs!$K$4:$AJ$4,0)))))</f>
        <v>1171</v>
      </c>
      <c r="G60" s="511">
        <f>IF(ISNA(MATCH(G$2,Inputs!$K$4:$AJ$4,0)),NA(),IF(SUMPRODUCT((Inputs!$A$5:$A$130=$B60)*ISNUMBER(INDEX(Inputs!$K$5:$AJ$130,0,MATCH(G$2,Inputs!$K$4:$AJ$4,0))))+SUMPRODUCT((Inputs!$C$5:$C$130=$B60)*ISNUMBER(INDEX(Inputs!$K$5:$AJ$130,0,MATCH(G$2,Inputs!$K$4:$AJ$4,0))))+SUMPRODUCT((Inputs!$E$5:$E$130=$B60)*ISNUMBER(INDEX(Inputs!$K$5:$AJ$130,0,MATCH(G$2,Inputs!$K$4:$AJ$4,0))))=0,NA(),SUMPRODUCT((Inputs!$A$5:$A$130=$B60)*Inputs!$B$5:$B$130*(((Inputs!$G$5:$G$130="moeda")+(Inputs!$G$5:$G$130="acoes"))*Inputs!$B$1+((Inputs!$G$5:$G$130&lt;&gt;"moeda")*(Inputs!$G$5:$G$130&lt;&gt;"acoes")))*INDEX(Inputs!$K$5:$AJ$130,0,MATCH(G$2,Inputs!$K$4:$AJ$4,0)))+SUMPRODUCT((Inputs!$C$5:$C$130=$B60)*Inputs!$D$5:$D$130*(((Inputs!$G$5:$G$130="moeda")+(Inputs!$G$5:$G$130="acoes"))*Inputs!$B$1+((Inputs!$G$5:$G$130&lt;&gt;"moeda")*(Inputs!$G$5:$G$130&lt;&gt;"acoes")))*INDEX(Inputs!$K$5:$AJ$130,0,MATCH(G$2,Inputs!$K$4:$AJ$4,0)))+SUMPRODUCT((Inputs!$E$5:$E$130=$B60)*Inputs!$F$5:$F$130*(((Inputs!$G$5:$G$130="moeda")+(Inputs!$G$5:$G$130="acoes"))*Inputs!$B$1+((Inputs!$G$5:$G$130&lt;&gt;"moeda")*(Inputs!$G$5:$G$130&lt;&gt;"acoes")))*INDEX(Inputs!$K$5:$AJ$130,0,MATCH(G$2,Inputs!$K$4:$AJ$4,0)))))</f>
        <v>616</v>
      </c>
      <c r="H60" s="512">
        <f>SUM(D60:G60)</f>
        <v>3614</v>
      </c>
      <c r="I60" s="511">
        <f>IF(ISNA(MATCH(I$2,Inputs!$K$4:$AJ$4,0)),NA(),IF(SUMPRODUCT((Inputs!$A$5:$A$130=$B60)*ISNUMBER(INDEX(Inputs!$K$5:$AJ$130,0,MATCH(I$2,Inputs!$K$4:$AJ$4,0))))+SUMPRODUCT((Inputs!$C$5:$C$130=$B60)*ISNUMBER(INDEX(Inputs!$K$5:$AJ$130,0,MATCH(I$2,Inputs!$K$4:$AJ$4,0))))+SUMPRODUCT((Inputs!$E$5:$E$130=$B60)*ISNUMBER(INDEX(Inputs!$K$5:$AJ$130,0,MATCH(I$2,Inputs!$K$4:$AJ$4,0))))=0,NA(),SUMPRODUCT((Inputs!$A$5:$A$130=$B60)*Inputs!$B$5:$B$130*(((Inputs!$G$5:$G$130="moeda")+(Inputs!$G$5:$G$130="acoes"))*Inputs!$B$1+((Inputs!$G$5:$G$130&lt;&gt;"moeda")*(Inputs!$G$5:$G$130&lt;&gt;"acoes")))*INDEX(Inputs!$K$5:$AJ$130,0,MATCH(I$2,Inputs!$K$4:$AJ$4,0)))+SUMPRODUCT((Inputs!$C$5:$C$130=$B60)*Inputs!$D$5:$D$130*(((Inputs!$G$5:$G$130="moeda")+(Inputs!$G$5:$G$130="acoes"))*Inputs!$B$1+((Inputs!$G$5:$G$130&lt;&gt;"moeda")*(Inputs!$G$5:$G$130&lt;&gt;"acoes")))*INDEX(Inputs!$K$5:$AJ$130,0,MATCH(I$2,Inputs!$K$4:$AJ$4,0)))+SUMPRODUCT((Inputs!$E$5:$E$130=$B60)*Inputs!$F$5:$F$130*(((Inputs!$G$5:$G$130="moeda")+(Inputs!$G$5:$G$130="acoes"))*Inputs!$B$1+((Inputs!$G$5:$G$130&lt;&gt;"moeda")*(Inputs!$G$5:$G$130&lt;&gt;"acoes")))*INDEX(Inputs!$K$5:$AJ$130,0,MATCH(I$2,Inputs!$K$4:$AJ$4,0)))))</f>
        <v>822</v>
      </c>
      <c r="J60" s="511">
        <f>IF(ISNA(MATCH(J$2,Inputs!$K$4:$AJ$4,0)),NA(),IF(SUMPRODUCT((Inputs!$A$5:$A$130=$B60)*ISNUMBER(INDEX(Inputs!$K$5:$AJ$130,0,MATCH(J$2,Inputs!$K$4:$AJ$4,0))))+SUMPRODUCT((Inputs!$C$5:$C$130=$B60)*ISNUMBER(INDEX(Inputs!$K$5:$AJ$130,0,MATCH(J$2,Inputs!$K$4:$AJ$4,0))))+SUMPRODUCT((Inputs!$E$5:$E$130=$B60)*ISNUMBER(INDEX(Inputs!$K$5:$AJ$130,0,MATCH(J$2,Inputs!$K$4:$AJ$4,0))))=0,NA(),SUMPRODUCT((Inputs!$A$5:$A$130=$B60)*Inputs!$B$5:$B$130*(((Inputs!$G$5:$G$130="moeda")+(Inputs!$G$5:$G$130="acoes"))*Inputs!$B$1+((Inputs!$G$5:$G$130&lt;&gt;"moeda")*(Inputs!$G$5:$G$130&lt;&gt;"acoes")))*INDEX(Inputs!$K$5:$AJ$130,0,MATCH(J$2,Inputs!$K$4:$AJ$4,0)))+SUMPRODUCT((Inputs!$C$5:$C$130=$B60)*Inputs!$D$5:$D$130*(((Inputs!$G$5:$G$130="moeda")+(Inputs!$G$5:$G$130="acoes"))*Inputs!$B$1+((Inputs!$G$5:$G$130&lt;&gt;"moeda")*(Inputs!$G$5:$G$130&lt;&gt;"acoes")))*INDEX(Inputs!$K$5:$AJ$130,0,MATCH(J$2,Inputs!$K$4:$AJ$4,0)))+SUMPRODUCT((Inputs!$E$5:$E$130=$B60)*Inputs!$F$5:$F$130*(((Inputs!$G$5:$G$130="moeda")+(Inputs!$G$5:$G$130="acoes"))*Inputs!$B$1+((Inputs!$G$5:$G$130&lt;&gt;"moeda")*(Inputs!$G$5:$G$130&lt;&gt;"acoes")))*INDEX(Inputs!$K$5:$AJ$130,0,MATCH(J$2,Inputs!$K$4:$AJ$4,0)))))</f>
        <v>637</v>
      </c>
      <c r="K60" s="511">
        <f>IF(ISNA(MATCH(K$2,Inputs!$K$4:$AJ$4,0)),NA(),IF(SUMPRODUCT((Inputs!$A$5:$A$130=$B60)*ISNUMBER(INDEX(Inputs!$K$5:$AJ$130,0,MATCH(K$2,Inputs!$K$4:$AJ$4,0))))+SUMPRODUCT((Inputs!$C$5:$C$130=$B60)*ISNUMBER(INDEX(Inputs!$K$5:$AJ$130,0,MATCH(K$2,Inputs!$K$4:$AJ$4,0))))+SUMPRODUCT((Inputs!$E$5:$E$130=$B60)*ISNUMBER(INDEX(Inputs!$K$5:$AJ$130,0,MATCH(K$2,Inputs!$K$4:$AJ$4,0))))=0,NA(),SUMPRODUCT((Inputs!$A$5:$A$130=$B60)*Inputs!$B$5:$B$130*(((Inputs!$G$5:$G$130="moeda")+(Inputs!$G$5:$G$130="acoes"))*Inputs!$B$1+((Inputs!$G$5:$G$130&lt;&gt;"moeda")*(Inputs!$G$5:$G$130&lt;&gt;"acoes")))*INDEX(Inputs!$K$5:$AJ$130,0,MATCH(K$2,Inputs!$K$4:$AJ$4,0)))+SUMPRODUCT((Inputs!$C$5:$C$130=$B60)*Inputs!$D$5:$D$130*(((Inputs!$G$5:$G$130="moeda")+(Inputs!$G$5:$G$130="acoes"))*Inputs!$B$1+((Inputs!$G$5:$G$130&lt;&gt;"moeda")*(Inputs!$G$5:$G$130&lt;&gt;"acoes")))*INDEX(Inputs!$K$5:$AJ$130,0,MATCH(K$2,Inputs!$K$4:$AJ$4,0)))+SUMPRODUCT((Inputs!$E$5:$E$130=$B60)*Inputs!$F$5:$F$130*(((Inputs!$G$5:$G$130="moeda")+(Inputs!$G$5:$G$130="acoes"))*Inputs!$B$1+((Inputs!$G$5:$G$130&lt;&gt;"moeda")*(Inputs!$G$5:$G$130&lt;&gt;"acoes")))*INDEX(Inputs!$K$5:$AJ$130,0,MATCH(K$2,Inputs!$K$4:$AJ$4,0)))))</f>
        <v>1028</v>
      </c>
      <c r="L60" s="511">
        <f>IF(ISNA(MATCH(L$2,Inputs!$K$4:$AJ$4,0)),NA(),IF(SUMPRODUCT((Inputs!$A$5:$A$130=$B60)*ISNUMBER(INDEX(Inputs!$K$5:$AJ$130,0,MATCH(L$2,Inputs!$K$4:$AJ$4,0))))+SUMPRODUCT((Inputs!$C$5:$C$130=$B60)*ISNUMBER(INDEX(Inputs!$K$5:$AJ$130,0,MATCH(L$2,Inputs!$K$4:$AJ$4,0))))+SUMPRODUCT((Inputs!$E$5:$E$130=$B60)*ISNUMBER(INDEX(Inputs!$K$5:$AJ$130,0,MATCH(L$2,Inputs!$K$4:$AJ$4,0))))=0,NA(),SUMPRODUCT((Inputs!$A$5:$A$130=$B60)*Inputs!$B$5:$B$130*(((Inputs!$G$5:$G$130="moeda")+(Inputs!$G$5:$G$130="acoes"))*Inputs!$B$1+((Inputs!$G$5:$G$130&lt;&gt;"moeda")*(Inputs!$G$5:$G$130&lt;&gt;"acoes")))*INDEX(Inputs!$K$5:$AJ$130,0,MATCH(L$2,Inputs!$K$4:$AJ$4,0)))+SUMPRODUCT((Inputs!$C$5:$C$130=$B60)*Inputs!$D$5:$D$130*(((Inputs!$G$5:$G$130="moeda")+(Inputs!$G$5:$G$130="acoes"))*Inputs!$B$1+((Inputs!$G$5:$G$130&lt;&gt;"moeda")*(Inputs!$G$5:$G$130&lt;&gt;"acoes")))*INDEX(Inputs!$K$5:$AJ$130,0,MATCH(L$2,Inputs!$K$4:$AJ$4,0)))+SUMPRODUCT((Inputs!$E$5:$E$130=$B60)*Inputs!$F$5:$F$130*(((Inputs!$G$5:$G$130="moeda")+(Inputs!$G$5:$G$130="acoes"))*Inputs!$B$1+((Inputs!$G$5:$G$130&lt;&gt;"moeda")*(Inputs!$G$5:$G$130&lt;&gt;"acoes")))*INDEX(Inputs!$K$5:$AJ$130,0,MATCH(L$2,Inputs!$K$4:$AJ$4,0)))))</f>
        <v>418</v>
      </c>
      <c r="M60" s="512">
        <f>SUM(I60:L60)</f>
        <v>2905</v>
      </c>
      <c r="N60" s="511">
        <f>IF(ISNA(MATCH(N$2,Inputs!$K$4:$AJ$4,0)),NA(),IF(SUMPRODUCT((Inputs!$A$5:$A$130=$B60)*ISNUMBER(INDEX(Inputs!$K$5:$AJ$130,0,MATCH(N$2,Inputs!$K$4:$AJ$4,0))))+SUMPRODUCT((Inputs!$C$5:$C$130=$B60)*ISNUMBER(INDEX(Inputs!$K$5:$AJ$130,0,MATCH(N$2,Inputs!$K$4:$AJ$4,0))))+SUMPRODUCT((Inputs!$E$5:$E$130=$B60)*ISNUMBER(INDEX(Inputs!$K$5:$AJ$130,0,MATCH(N$2,Inputs!$K$4:$AJ$4,0))))=0,NA(),SUMPRODUCT((Inputs!$A$5:$A$130=$B60)*Inputs!$B$5:$B$130*(((Inputs!$G$5:$G$130="moeda")+(Inputs!$G$5:$G$130="acoes"))*Inputs!$B$1+((Inputs!$G$5:$G$130&lt;&gt;"moeda")*(Inputs!$G$5:$G$130&lt;&gt;"acoes")))*INDEX(Inputs!$K$5:$AJ$130,0,MATCH(N$2,Inputs!$K$4:$AJ$4,0)))+SUMPRODUCT((Inputs!$C$5:$C$130=$B60)*Inputs!$D$5:$D$130*(((Inputs!$G$5:$G$130="moeda")+(Inputs!$G$5:$G$130="acoes"))*Inputs!$B$1+((Inputs!$G$5:$G$130&lt;&gt;"moeda")*(Inputs!$G$5:$G$130&lt;&gt;"acoes")))*INDEX(Inputs!$K$5:$AJ$130,0,MATCH(N$2,Inputs!$K$4:$AJ$4,0)))+SUMPRODUCT((Inputs!$E$5:$E$130=$B60)*Inputs!$F$5:$F$130*(((Inputs!$G$5:$G$130="moeda")+(Inputs!$G$5:$G$130="acoes"))*Inputs!$B$1+((Inputs!$G$5:$G$130&lt;&gt;"moeda")*(Inputs!$G$5:$G$130&lt;&gt;"acoes")))*INDEX(Inputs!$K$5:$AJ$130,0,MATCH(N$2,Inputs!$K$4:$AJ$4,0)))))</f>
        <v>946</v>
      </c>
      <c r="O60" s="511">
        <f>IF(ISNA(MATCH(O$2,Inputs!$K$4:$AJ$4,0)),NA(),IF(SUMPRODUCT((Inputs!$A$5:$A$130=$B60)*ISNUMBER(INDEX(Inputs!$K$5:$AJ$130,0,MATCH(O$2,Inputs!$K$4:$AJ$4,0))))+SUMPRODUCT((Inputs!$C$5:$C$130=$B60)*ISNUMBER(INDEX(Inputs!$K$5:$AJ$130,0,MATCH(O$2,Inputs!$K$4:$AJ$4,0))))+SUMPRODUCT((Inputs!$E$5:$E$130=$B60)*ISNUMBER(INDEX(Inputs!$K$5:$AJ$130,0,MATCH(O$2,Inputs!$K$4:$AJ$4,0))))=0,NA(),SUMPRODUCT((Inputs!$A$5:$A$130=$B60)*Inputs!$B$5:$B$130*(((Inputs!$G$5:$G$130="moeda")+(Inputs!$G$5:$G$130="acoes"))*Inputs!$B$1+((Inputs!$G$5:$G$130&lt;&gt;"moeda")*(Inputs!$G$5:$G$130&lt;&gt;"acoes")))*INDEX(Inputs!$K$5:$AJ$130,0,MATCH(O$2,Inputs!$K$4:$AJ$4,0)))+SUMPRODUCT((Inputs!$C$5:$C$130=$B60)*Inputs!$D$5:$D$130*(((Inputs!$G$5:$G$130="moeda")+(Inputs!$G$5:$G$130="acoes"))*Inputs!$B$1+((Inputs!$G$5:$G$130&lt;&gt;"moeda")*(Inputs!$G$5:$G$130&lt;&gt;"acoes")))*INDEX(Inputs!$K$5:$AJ$130,0,MATCH(O$2,Inputs!$K$4:$AJ$4,0)))+SUMPRODUCT((Inputs!$E$5:$E$130=$B60)*Inputs!$F$5:$F$130*(((Inputs!$G$5:$G$130="moeda")+(Inputs!$G$5:$G$130="acoes"))*Inputs!$B$1+((Inputs!$G$5:$G$130&lt;&gt;"moeda")*(Inputs!$G$5:$G$130&lt;&gt;"acoes")))*INDEX(Inputs!$K$5:$AJ$130,0,MATCH(O$2,Inputs!$K$4:$AJ$4,0)))))</f>
        <v>931</v>
      </c>
      <c r="P60" s="511">
        <f>IF(ISNA(MATCH(P$2,Inputs!$K$4:$AJ$4,0)),NA(),IF(SUMPRODUCT((Inputs!$A$5:$A$130=$B60)*ISNUMBER(INDEX(Inputs!$K$5:$AJ$130,0,MATCH(P$2,Inputs!$K$4:$AJ$4,0))))+SUMPRODUCT((Inputs!$C$5:$C$130=$B60)*ISNUMBER(INDEX(Inputs!$K$5:$AJ$130,0,MATCH(P$2,Inputs!$K$4:$AJ$4,0))))+SUMPRODUCT((Inputs!$E$5:$E$130=$B60)*ISNUMBER(INDEX(Inputs!$K$5:$AJ$130,0,MATCH(P$2,Inputs!$K$4:$AJ$4,0))))=0,NA(),SUMPRODUCT((Inputs!$A$5:$A$130=$B60)*Inputs!$B$5:$B$130*(((Inputs!$G$5:$G$130="moeda")+(Inputs!$G$5:$G$130="acoes"))*Inputs!$B$1+((Inputs!$G$5:$G$130&lt;&gt;"moeda")*(Inputs!$G$5:$G$130&lt;&gt;"acoes")))*INDEX(Inputs!$K$5:$AJ$130,0,MATCH(P$2,Inputs!$K$4:$AJ$4,0)))+SUMPRODUCT((Inputs!$C$5:$C$130=$B60)*Inputs!$D$5:$D$130*(((Inputs!$G$5:$G$130="moeda")+(Inputs!$G$5:$G$130="acoes"))*Inputs!$B$1+((Inputs!$G$5:$G$130&lt;&gt;"moeda")*(Inputs!$G$5:$G$130&lt;&gt;"acoes")))*INDEX(Inputs!$K$5:$AJ$130,0,MATCH(P$2,Inputs!$K$4:$AJ$4,0)))+SUMPRODUCT((Inputs!$E$5:$E$130=$B60)*Inputs!$F$5:$F$130*(((Inputs!$G$5:$G$130="moeda")+(Inputs!$G$5:$G$130="acoes"))*Inputs!$B$1+((Inputs!$G$5:$G$130&lt;&gt;"moeda")*(Inputs!$G$5:$G$130&lt;&gt;"acoes")))*INDEX(Inputs!$K$5:$AJ$130,0,MATCH(P$2,Inputs!$K$4:$AJ$4,0)))))</f>
        <v>641</v>
      </c>
      <c r="Q60" s="511">
        <f>IF(ISNA(MATCH(Q$2,Inputs!$K$4:$AJ$4,0)),NA(),IF(SUMPRODUCT((Inputs!$A$5:$A$130=$B60)*ISNUMBER(INDEX(Inputs!$K$5:$AJ$130,0,MATCH(Q$2,Inputs!$K$4:$AJ$4,0))))+SUMPRODUCT((Inputs!$C$5:$C$130=$B60)*ISNUMBER(INDEX(Inputs!$K$5:$AJ$130,0,MATCH(Q$2,Inputs!$K$4:$AJ$4,0))))+SUMPRODUCT((Inputs!$E$5:$E$130=$B60)*ISNUMBER(INDEX(Inputs!$K$5:$AJ$130,0,MATCH(Q$2,Inputs!$K$4:$AJ$4,0))))=0,NA(),SUMPRODUCT((Inputs!$A$5:$A$130=$B60)*Inputs!$B$5:$B$130*(((Inputs!$G$5:$G$130="moeda")+(Inputs!$G$5:$G$130="acoes"))*Inputs!$B$1+((Inputs!$G$5:$G$130&lt;&gt;"moeda")*(Inputs!$G$5:$G$130&lt;&gt;"acoes")))*INDEX(Inputs!$K$5:$AJ$130,0,MATCH(Q$2,Inputs!$K$4:$AJ$4,0)))+SUMPRODUCT((Inputs!$C$5:$C$130=$B60)*Inputs!$D$5:$D$130*(((Inputs!$G$5:$G$130="moeda")+(Inputs!$G$5:$G$130="acoes"))*Inputs!$B$1+((Inputs!$G$5:$G$130&lt;&gt;"moeda")*(Inputs!$G$5:$G$130&lt;&gt;"acoes")))*INDEX(Inputs!$K$5:$AJ$130,0,MATCH(Q$2,Inputs!$K$4:$AJ$4,0)))+SUMPRODUCT((Inputs!$E$5:$E$130=$B60)*Inputs!$F$5:$F$130*(((Inputs!$G$5:$G$130="moeda")+(Inputs!$G$5:$G$130="acoes"))*Inputs!$B$1+((Inputs!$G$5:$G$130&lt;&gt;"moeda")*(Inputs!$G$5:$G$130&lt;&gt;"acoes")))*INDEX(Inputs!$K$5:$AJ$130,0,MATCH(Q$2,Inputs!$K$4:$AJ$4,0)))))</f>
        <v>794</v>
      </c>
      <c r="R60" s="512">
        <f>SUM(N60:Q60)</f>
        <v>3312</v>
      </c>
      <c r="S60" s="511">
        <f>IF(ISNA(MATCH(S$2,Inputs!$K$4:$AJ$4,0)),NA(),IF(SUMPRODUCT((Inputs!$A$5:$A$130=$B60)*ISNUMBER(INDEX(Inputs!$K$5:$AJ$130,0,MATCH(S$2,Inputs!$K$4:$AJ$4,0))))+SUMPRODUCT((Inputs!$C$5:$C$130=$B60)*ISNUMBER(INDEX(Inputs!$K$5:$AJ$130,0,MATCH(S$2,Inputs!$K$4:$AJ$4,0))))+SUMPRODUCT((Inputs!$E$5:$E$130=$B60)*ISNUMBER(INDEX(Inputs!$K$5:$AJ$130,0,MATCH(S$2,Inputs!$K$4:$AJ$4,0))))=0,NA(),SUMPRODUCT((Inputs!$A$5:$A$130=$B60)*Inputs!$B$5:$B$130*(((Inputs!$G$5:$G$130="moeda")+(Inputs!$G$5:$G$130="acoes"))*Inputs!$B$1+((Inputs!$G$5:$G$130&lt;&gt;"moeda")*(Inputs!$G$5:$G$130&lt;&gt;"acoes")))*INDEX(Inputs!$K$5:$AJ$130,0,MATCH(S$2,Inputs!$K$4:$AJ$4,0)))+SUMPRODUCT((Inputs!$C$5:$C$130=$B60)*Inputs!$D$5:$D$130*(((Inputs!$G$5:$G$130="moeda")+(Inputs!$G$5:$G$130="acoes"))*Inputs!$B$1+((Inputs!$G$5:$G$130&lt;&gt;"moeda")*(Inputs!$G$5:$G$130&lt;&gt;"acoes")))*INDEX(Inputs!$K$5:$AJ$130,0,MATCH(S$2,Inputs!$K$4:$AJ$4,0)))+SUMPRODUCT((Inputs!$E$5:$E$130=$B60)*Inputs!$F$5:$F$130*(((Inputs!$G$5:$G$130="moeda")+(Inputs!$G$5:$G$130="acoes"))*Inputs!$B$1+((Inputs!$G$5:$G$130&lt;&gt;"moeda")*(Inputs!$G$5:$G$130&lt;&gt;"acoes")))*INDEX(Inputs!$K$5:$AJ$130,0,MATCH(S$2,Inputs!$K$4:$AJ$4,0)))))</f>
        <v>781</v>
      </c>
      <c r="T60" s="511">
        <f>IF(ISNA(MATCH(T$2,Inputs!$K$4:$AJ$4,0)),NA(),IF(SUMPRODUCT((Inputs!$A$5:$A$130=$B60)*ISNUMBER(INDEX(Inputs!$K$5:$AJ$130,0,MATCH(T$2,Inputs!$K$4:$AJ$4,0))))+SUMPRODUCT((Inputs!$C$5:$C$130=$B60)*ISNUMBER(INDEX(Inputs!$K$5:$AJ$130,0,MATCH(T$2,Inputs!$K$4:$AJ$4,0))))+SUMPRODUCT((Inputs!$E$5:$E$130=$B60)*ISNUMBER(INDEX(Inputs!$K$5:$AJ$130,0,MATCH(T$2,Inputs!$K$4:$AJ$4,0))))=0,NA(),SUMPRODUCT((Inputs!$A$5:$A$130=$B60)*Inputs!$B$5:$B$130*(((Inputs!$G$5:$G$130="moeda")+(Inputs!$G$5:$G$130="acoes"))*Inputs!$B$1+((Inputs!$G$5:$G$130&lt;&gt;"moeda")*(Inputs!$G$5:$G$130&lt;&gt;"acoes")))*INDEX(Inputs!$K$5:$AJ$130,0,MATCH(T$2,Inputs!$K$4:$AJ$4,0)))+SUMPRODUCT((Inputs!$C$5:$C$130=$B60)*Inputs!$D$5:$D$130*(((Inputs!$G$5:$G$130="moeda")+(Inputs!$G$5:$G$130="acoes"))*Inputs!$B$1+((Inputs!$G$5:$G$130&lt;&gt;"moeda")*(Inputs!$G$5:$G$130&lt;&gt;"acoes")))*INDEX(Inputs!$K$5:$AJ$130,0,MATCH(T$2,Inputs!$K$4:$AJ$4,0)))+SUMPRODUCT((Inputs!$E$5:$E$130=$B60)*Inputs!$F$5:$F$130*(((Inputs!$G$5:$G$130="moeda")+(Inputs!$G$5:$G$130="acoes"))*Inputs!$B$1+((Inputs!$G$5:$G$130&lt;&gt;"moeda")*(Inputs!$G$5:$G$130&lt;&gt;"acoes")))*INDEX(Inputs!$K$5:$AJ$130,0,MATCH(T$2,Inputs!$K$4:$AJ$4,0)))))</f>
        <v>1082</v>
      </c>
      <c r="U60" s="511">
        <f>IF(ISNA(MATCH(U$2,Inputs!$K$4:$AJ$4,0)),NA(),IF(SUMPRODUCT((Inputs!$A$5:$A$130=$B60)*ISNUMBER(INDEX(Inputs!$K$5:$AJ$130,0,MATCH(U$2,Inputs!$K$4:$AJ$4,0))))+SUMPRODUCT((Inputs!$C$5:$C$130=$B60)*ISNUMBER(INDEX(Inputs!$K$5:$AJ$130,0,MATCH(U$2,Inputs!$K$4:$AJ$4,0))))+SUMPRODUCT((Inputs!$E$5:$E$130=$B60)*ISNUMBER(INDEX(Inputs!$K$5:$AJ$130,0,MATCH(U$2,Inputs!$K$4:$AJ$4,0))))=0,NA(),SUMPRODUCT((Inputs!$A$5:$A$130=$B60)*Inputs!$B$5:$B$130*(((Inputs!$G$5:$G$130="moeda")+(Inputs!$G$5:$G$130="acoes"))*Inputs!$B$1+((Inputs!$G$5:$G$130&lt;&gt;"moeda")*(Inputs!$G$5:$G$130&lt;&gt;"acoes")))*INDEX(Inputs!$K$5:$AJ$130,0,MATCH(U$2,Inputs!$K$4:$AJ$4,0)))+SUMPRODUCT((Inputs!$C$5:$C$130=$B60)*Inputs!$D$5:$D$130*(((Inputs!$G$5:$G$130="moeda")+(Inputs!$G$5:$G$130="acoes"))*Inputs!$B$1+((Inputs!$G$5:$G$130&lt;&gt;"moeda")*(Inputs!$G$5:$G$130&lt;&gt;"acoes")))*INDEX(Inputs!$K$5:$AJ$130,0,MATCH(U$2,Inputs!$K$4:$AJ$4,0)))+SUMPRODUCT((Inputs!$E$5:$E$130=$B60)*Inputs!$F$5:$F$130*(((Inputs!$G$5:$G$130="moeda")+(Inputs!$G$5:$G$130="acoes"))*Inputs!$B$1+((Inputs!$G$5:$G$130&lt;&gt;"moeda")*(Inputs!$G$5:$G$130&lt;&gt;"acoes")))*INDEX(Inputs!$K$5:$AJ$130,0,MATCH(U$2,Inputs!$K$4:$AJ$4,0)))))</f>
        <v>1182</v>
      </c>
      <c r="V60" s="511">
        <f>IF(ISNA(MATCH(V$2,Inputs!$K$4:$AJ$4,0)),NA(),IF(SUMPRODUCT((Inputs!$A$5:$A$130=$B60)*ISNUMBER(INDEX(Inputs!$K$5:$AJ$130,0,MATCH(V$2,Inputs!$K$4:$AJ$4,0))))+SUMPRODUCT((Inputs!$C$5:$C$130=$B60)*ISNUMBER(INDEX(Inputs!$K$5:$AJ$130,0,MATCH(V$2,Inputs!$K$4:$AJ$4,0))))+SUMPRODUCT((Inputs!$E$5:$E$130=$B60)*ISNUMBER(INDEX(Inputs!$K$5:$AJ$130,0,MATCH(V$2,Inputs!$K$4:$AJ$4,0))))=0,NA(),SUMPRODUCT((Inputs!$A$5:$A$130=$B60)*Inputs!$B$5:$B$130*(((Inputs!$G$5:$G$130="moeda")+(Inputs!$G$5:$G$130="acoes"))*Inputs!$B$1+((Inputs!$G$5:$G$130&lt;&gt;"moeda")*(Inputs!$G$5:$G$130&lt;&gt;"acoes")))*INDEX(Inputs!$K$5:$AJ$130,0,MATCH(V$2,Inputs!$K$4:$AJ$4,0)))+SUMPRODUCT((Inputs!$C$5:$C$130=$B60)*Inputs!$D$5:$D$130*(((Inputs!$G$5:$G$130="moeda")+(Inputs!$G$5:$G$130="acoes"))*Inputs!$B$1+((Inputs!$G$5:$G$130&lt;&gt;"moeda")*(Inputs!$G$5:$G$130&lt;&gt;"acoes")))*INDEX(Inputs!$K$5:$AJ$130,0,MATCH(V$2,Inputs!$K$4:$AJ$4,0)))+SUMPRODUCT((Inputs!$E$5:$E$130=$B60)*Inputs!$F$5:$F$130*(((Inputs!$G$5:$G$130="moeda")+(Inputs!$G$5:$G$130="acoes"))*Inputs!$B$1+((Inputs!$G$5:$G$130&lt;&gt;"moeda")*(Inputs!$G$5:$G$130&lt;&gt;"acoes")))*INDEX(Inputs!$K$5:$AJ$130,0,MATCH(V$2,Inputs!$K$4:$AJ$4,0)))))</f>
        <v>839</v>
      </c>
      <c r="W60" s="512">
        <f>SUM(S60:V60)</f>
        <v>3884</v>
      </c>
      <c r="X60" s="511">
        <f>IF(ISNA(MATCH(X$2,Inputs!$K$4:$AJ$4,0)),NA(),IF(SUMPRODUCT((Inputs!$A$5:$A$130=$B60)*ISNUMBER(INDEX(Inputs!$K$5:$AJ$130,0,MATCH(X$2,Inputs!$K$4:$AJ$4,0))))+SUMPRODUCT((Inputs!$C$5:$C$130=$B60)*ISNUMBER(INDEX(Inputs!$K$5:$AJ$130,0,MATCH(X$2,Inputs!$K$4:$AJ$4,0))))+SUMPRODUCT((Inputs!$E$5:$E$130=$B60)*ISNUMBER(INDEX(Inputs!$K$5:$AJ$130,0,MATCH(X$2,Inputs!$K$4:$AJ$4,0))))=0,NA(),SUMPRODUCT((Inputs!$A$5:$A$130=$B60)*Inputs!$B$5:$B$130*(((Inputs!$G$5:$G$130="moeda")+(Inputs!$G$5:$G$130="acoes"))*Inputs!$B$1+((Inputs!$G$5:$G$130&lt;&gt;"moeda")*(Inputs!$G$5:$G$130&lt;&gt;"acoes")))*INDEX(Inputs!$K$5:$AJ$130,0,MATCH(X$2,Inputs!$K$4:$AJ$4,0)))+SUMPRODUCT((Inputs!$C$5:$C$130=$B60)*Inputs!$D$5:$D$130*(((Inputs!$G$5:$G$130="moeda")+(Inputs!$G$5:$G$130="acoes"))*Inputs!$B$1+((Inputs!$G$5:$G$130&lt;&gt;"moeda")*(Inputs!$G$5:$G$130&lt;&gt;"acoes")))*INDEX(Inputs!$K$5:$AJ$130,0,MATCH(X$2,Inputs!$K$4:$AJ$4,0)))+SUMPRODUCT((Inputs!$E$5:$E$130=$B60)*Inputs!$F$5:$F$130*(((Inputs!$G$5:$G$130="moeda")+(Inputs!$G$5:$G$130="acoes"))*Inputs!$B$1+((Inputs!$G$5:$G$130&lt;&gt;"moeda")*(Inputs!$G$5:$G$130&lt;&gt;"acoes")))*INDEX(Inputs!$K$5:$AJ$130,0,MATCH(X$2,Inputs!$K$4:$AJ$4,0)))))</f>
        <v>900</v>
      </c>
      <c r="Y60" s="511">
        <f>IF(ISNA(MATCH(Y$2,Inputs!$K$4:$AJ$4,0)),NA(),IF(SUMPRODUCT((Inputs!$A$5:$A$130=$B60)*ISNUMBER(INDEX(Inputs!$K$5:$AJ$130,0,MATCH(Y$2,Inputs!$K$4:$AJ$4,0))))+SUMPRODUCT((Inputs!$C$5:$C$130=$B60)*ISNUMBER(INDEX(Inputs!$K$5:$AJ$130,0,MATCH(Y$2,Inputs!$K$4:$AJ$4,0))))+SUMPRODUCT((Inputs!$E$5:$E$130=$B60)*ISNUMBER(INDEX(Inputs!$K$5:$AJ$130,0,MATCH(Y$2,Inputs!$K$4:$AJ$4,0))))=0,NA(),SUMPRODUCT((Inputs!$A$5:$A$130=$B60)*Inputs!$B$5:$B$130*(((Inputs!$G$5:$G$130="moeda")+(Inputs!$G$5:$G$130="acoes"))*Inputs!$B$1+((Inputs!$G$5:$G$130&lt;&gt;"moeda")*(Inputs!$G$5:$G$130&lt;&gt;"acoes")))*INDEX(Inputs!$K$5:$AJ$130,0,MATCH(Y$2,Inputs!$K$4:$AJ$4,0)))+SUMPRODUCT((Inputs!$C$5:$C$130=$B60)*Inputs!$D$5:$D$130*(((Inputs!$G$5:$G$130="moeda")+(Inputs!$G$5:$G$130="acoes"))*Inputs!$B$1+((Inputs!$G$5:$G$130&lt;&gt;"moeda")*(Inputs!$G$5:$G$130&lt;&gt;"acoes")))*INDEX(Inputs!$K$5:$AJ$130,0,MATCH(Y$2,Inputs!$K$4:$AJ$4,0)))+SUMPRODUCT((Inputs!$E$5:$E$130=$B60)*Inputs!$F$5:$F$130*(((Inputs!$G$5:$G$130="moeda")+(Inputs!$G$5:$G$130="acoes"))*Inputs!$B$1+((Inputs!$G$5:$G$130&lt;&gt;"moeda")*(Inputs!$G$5:$G$130&lt;&gt;"acoes")))*INDEX(Inputs!$K$5:$AJ$130,0,MATCH(Y$2,Inputs!$K$4:$AJ$4,0)))))</f>
        <v>1199</v>
      </c>
      <c r="Z60" s="511">
        <f>IF(ISNA(MATCH(Z$2,Inputs!$K$4:$AJ$4,0)),NA(),IF(SUMPRODUCT((Inputs!$A$5:$A$130=$B60)*ISNUMBER(INDEX(Inputs!$K$5:$AJ$130,0,MATCH(Z$2,Inputs!$K$4:$AJ$4,0))))+SUMPRODUCT((Inputs!$C$5:$C$130=$B60)*ISNUMBER(INDEX(Inputs!$K$5:$AJ$130,0,MATCH(Z$2,Inputs!$K$4:$AJ$4,0))))+SUMPRODUCT((Inputs!$E$5:$E$130=$B60)*ISNUMBER(INDEX(Inputs!$K$5:$AJ$130,0,MATCH(Z$2,Inputs!$K$4:$AJ$4,0))))=0,NA(),SUMPRODUCT((Inputs!$A$5:$A$130=$B60)*Inputs!$B$5:$B$130*(((Inputs!$G$5:$G$130="moeda")+(Inputs!$G$5:$G$130="acoes"))*Inputs!$B$1+((Inputs!$G$5:$G$130&lt;&gt;"moeda")*(Inputs!$G$5:$G$130&lt;&gt;"acoes")))*INDEX(Inputs!$K$5:$AJ$130,0,MATCH(Z$2,Inputs!$K$4:$AJ$4,0)))+SUMPRODUCT((Inputs!$C$5:$C$130=$B60)*Inputs!$D$5:$D$130*(((Inputs!$G$5:$G$130="moeda")+(Inputs!$G$5:$G$130="acoes"))*Inputs!$B$1+((Inputs!$G$5:$G$130&lt;&gt;"moeda")*(Inputs!$G$5:$G$130&lt;&gt;"acoes")))*INDEX(Inputs!$K$5:$AJ$130,0,MATCH(Z$2,Inputs!$K$4:$AJ$4,0)))+SUMPRODUCT((Inputs!$E$5:$E$130=$B60)*Inputs!$F$5:$F$130*(((Inputs!$G$5:$G$130="moeda")+(Inputs!$G$5:$G$130="acoes"))*Inputs!$B$1+((Inputs!$G$5:$G$130&lt;&gt;"moeda")*(Inputs!$G$5:$G$130&lt;&gt;"acoes")))*INDEX(Inputs!$K$5:$AJ$130,0,MATCH(Z$2,Inputs!$K$4:$AJ$4,0)))))</f>
        <v>1316</v>
      </c>
      <c r="AA60" s="511">
        <f>IF(ISNA(MATCH(AA$2,Inputs!$K$4:$AJ$4,0)),NA(),IF(SUMPRODUCT((Inputs!$A$5:$A$130=$B60)*ISNUMBER(INDEX(Inputs!$K$5:$AJ$130,0,MATCH(AA$2,Inputs!$K$4:$AJ$4,0))))+SUMPRODUCT((Inputs!$C$5:$C$130=$B60)*ISNUMBER(INDEX(Inputs!$K$5:$AJ$130,0,MATCH(AA$2,Inputs!$K$4:$AJ$4,0))))+SUMPRODUCT((Inputs!$E$5:$E$130=$B60)*ISNUMBER(INDEX(Inputs!$K$5:$AJ$130,0,MATCH(AA$2,Inputs!$K$4:$AJ$4,0))))=0,NA(),SUMPRODUCT((Inputs!$A$5:$A$130=$B60)*Inputs!$B$5:$B$130*(((Inputs!$G$5:$G$130="moeda")+(Inputs!$G$5:$G$130="acoes"))*Inputs!$B$1+((Inputs!$G$5:$G$130&lt;&gt;"moeda")*(Inputs!$G$5:$G$130&lt;&gt;"acoes")))*INDEX(Inputs!$K$5:$AJ$130,0,MATCH(AA$2,Inputs!$K$4:$AJ$4,0)))+SUMPRODUCT((Inputs!$C$5:$C$130=$B60)*Inputs!$D$5:$D$130*(((Inputs!$G$5:$G$130="moeda")+(Inputs!$G$5:$G$130="acoes"))*Inputs!$B$1+((Inputs!$G$5:$G$130&lt;&gt;"moeda")*(Inputs!$G$5:$G$130&lt;&gt;"acoes")))*INDEX(Inputs!$K$5:$AJ$130,0,MATCH(AA$2,Inputs!$K$4:$AJ$4,0)))+SUMPRODUCT((Inputs!$E$5:$E$130=$B60)*Inputs!$F$5:$F$130*(((Inputs!$G$5:$G$130="moeda")+(Inputs!$G$5:$G$130="acoes"))*Inputs!$B$1+((Inputs!$G$5:$G$130&lt;&gt;"moeda")*(Inputs!$G$5:$G$130&lt;&gt;"acoes")))*INDEX(Inputs!$K$5:$AJ$130,0,MATCH(AA$2,Inputs!$K$4:$AJ$4,0)))))</f>
        <v>578</v>
      </c>
      <c r="AB60" s="512">
        <f>SUM(X60:AA60)</f>
        <v>3993</v>
      </c>
      <c r="AC60" s="511">
        <f>IF(ISNA(MATCH(AC$2,Inputs!$K$4:$AJ$4,0)),NA(),IF(SUMPRODUCT((Inputs!$A$5:$A$130=$B60)*ISNUMBER(INDEX(Inputs!$K$5:$AJ$130,0,MATCH(AC$2,Inputs!$K$4:$AJ$4,0))))+SUMPRODUCT((Inputs!$C$5:$C$130=$B60)*ISNUMBER(INDEX(Inputs!$K$5:$AJ$130,0,MATCH(AC$2,Inputs!$K$4:$AJ$4,0))))+SUMPRODUCT((Inputs!$E$5:$E$130=$B60)*ISNUMBER(INDEX(Inputs!$K$5:$AJ$130,0,MATCH(AC$2,Inputs!$K$4:$AJ$4,0))))=0,NA(),SUMPRODUCT((Inputs!$A$5:$A$130=$B60)*Inputs!$B$5:$B$130*(((Inputs!$G$5:$G$130="moeda")+(Inputs!$G$5:$G$130="acoes"))*Inputs!$B$1+((Inputs!$G$5:$G$130&lt;&gt;"moeda")*(Inputs!$G$5:$G$130&lt;&gt;"acoes")))*INDEX(Inputs!$K$5:$AJ$130,0,MATCH(AC$2,Inputs!$K$4:$AJ$4,0)))+SUMPRODUCT((Inputs!$C$5:$C$130=$B60)*Inputs!$D$5:$D$130*(((Inputs!$G$5:$G$130="moeda")+(Inputs!$G$5:$G$130="acoes"))*Inputs!$B$1+((Inputs!$G$5:$G$130&lt;&gt;"moeda")*(Inputs!$G$5:$G$130&lt;&gt;"acoes")))*INDEX(Inputs!$K$5:$AJ$130,0,MATCH(AC$2,Inputs!$K$4:$AJ$4,0)))+SUMPRODUCT((Inputs!$E$5:$E$130=$B60)*Inputs!$F$5:$F$130*(((Inputs!$G$5:$G$130="moeda")+(Inputs!$G$5:$G$130="acoes"))*Inputs!$B$1+((Inputs!$G$5:$G$130&lt;&gt;"moeda")*(Inputs!$G$5:$G$130&lt;&gt;"acoes")))*INDEX(Inputs!$K$5:$AJ$130,0,MATCH(AC$2,Inputs!$K$4:$AJ$4,0)))))</f>
        <v>1334</v>
      </c>
      <c r="AD60" s="511">
        <f>IF(ISNA(MATCH(AD$2,Inputs!$K$4:$AJ$4,0)),NA(),IF(SUMPRODUCT((Inputs!$A$5:$A$130=$B60)*ISNUMBER(INDEX(Inputs!$K$5:$AJ$130,0,MATCH(AD$2,Inputs!$K$4:$AJ$4,0))))+SUMPRODUCT((Inputs!$C$5:$C$130=$B60)*ISNUMBER(INDEX(Inputs!$K$5:$AJ$130,0,MATCH(AD$2,Inputs!$K$4:$AJ$4,0))))+SUMPRODUCT((Inputs!$E$5:$E$130=$B60)*ISNUMBER(INDEX(Inputs!$K$5:$AJ$130,0,MATCH(AD$2,Inputs!$K$4:$AJ$4,0))))=0,NA(),SUMPRODUCT((Inputs!$A$5:$A$130=$B60)*Inputs!$B$5:$B$130*(((Inputs!$G$5:$G$130="moeda")+(Inputs!$G$5:$G$130="acoes"))*Inputs!$B$1+((Inputs!$G$5:$G$130&lt;&gt;"moeda")*(Inputs!$G$5:$G$130&lt;&gt;"acoes")))*INDEX(Inputs!$K$5:$AJ$130,0,MATCH(AD$2,Inputs!$K$4:$AJ$4,0)))+SUMPRODUCT((Inputs!$C$5:$C$130=$B60)*Inputs!$D$5:$D$130*(((Inputs!$G$5:$G$130="moeda")+(Inputs!$G$5:$G$130="acoes"))*Inputs!$B$1+((Inputs!$G$5:$G$130&lt;&gt;"moeda")*(Inputs!$G$5:$G$130&lt;&gt;"acoes")))*INDEX(Inputs!$K$5:$AJ$130,0,MATCH(AD$2,Inputs!$K$4:$AJ$4,0)))+SUMPRODUCT((Inputs!$E$5:$E$130=$B60)*Inputs!$F$5:$F$130*(((Inputs!$G$5:$G$130="moeda")+(Inputs!$G$5:$G$130="acoes"))*Inputs!$B$1+((Inputs!$G$5:$G$130&lt;&gt;"moeda")*(Inputs!$G$5:$G$130&lt;&gt;"acoes")))*INDEX(Inputs!$K$5:$AJ$130,0,MATCH(AD$2,Inputs!$K$4:$AJ$4,0)))))</f>
        <v>1329</v>
      </c>
      <c r="AE60" s="511" t="e">
        <f>IF(ISNA(MATCH(AE$2,Inputs!$K$4:$AJ$4,0)),NA(),IF(SUMPRODUCT((Inputs!$A$5:$A$130=$B60)*ISNUMBER(INDEX(Inputs!$K$5:$AJ$130,0,MATCH(AE$2,Inputs!$K$4:$AJ$4,0))))+SUMPRODUCT((Inputs!$C$5:$C$130=$B60)*ISNUMBER(INDEX(Inputs!$K$5:$AJ$130,0,MATCH(AE$2,Inputs!$K$4:$AJ$4,0))))+SUMPRODUCT((Inputs!$E$5:$E$130=$B60)*ISNUMBER(INDEX(Inputs!$K$5:$AJ$130,0,MATCH(AE$2,Inputs!$K$4:$AJ$4,0))))=0,NA(),SUMPRODUCT((Inputs!$A$5:$A$130=$B60)*Inputs!$B$5:$B$130*(((Inputs!$G$5:$G$130="moeda")+(Inputs!$G$5:$G$130="acoes"))*Inputs!$B$1+((Inputs!$G$5:$G$130&lt;&gt;"moeda")*(Inputs!$G$5:$G$130&lt;&gt;"acoes")))*INDEX(Inputs!$K$5:$AJ$130,0,MATCH(AE$2,Inputs!$K$4:$AJ$4,0)))+SUMPRODUCT((Inputs!$C$5:$C$130=$B60)*Inputs!$D$5:$D$130*(((Inputs!$G$5:$G$130="moeda")+(Inputs!$G$5:$G$130="acoes"))*Inputs!$B$1+((Inputs!$G$5:$G$130&lt;&gt;"moeda")*(Inputs!$G$5:$G$130&lt;&gt;"acoes")))*INDEX(Inputs!$K$5:$AJ$130,0,MATCH(AE$2,Inputs!$K$4:$AJ$4,0)))+SUMPRODUCT((Inputs!$E$5:$E$130=$B60)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60" s="511" t="e">
        <f>IF(ISNA(MATCH(AF$2,Inputs!$K$4:$AJ$4,0)),NA(),IF(SUMPRODUCT((Inputs!$A$5:$A$130=$B60)*ISNUMBER(INDEX(Inputs!$K$5:$AJ$130,0,MATCH(AF$2,Inputs!$K$4:$AJ$4,0))))+SUMPRODUCT((Inputs!$C$5:$C$130=$B60)*ISNUMBER(INDEX(Inputs!$K$5:$AJ$130,0,MATCH(AF$2,Inputs!$K$4:$AJ$4,0))))+SUMPRODUCT((Inputs!$E$5:$E$130=$B60)*ISNUMBER(INDEX(Inputs!$K$5:$AJ$130,0,MATCH(AF$2,Inputs!$K$4:$AJ$4,0))))=0,NA(),SUMPRODUCT((Inputs!$A$5:$A$130=$B60)*Inputs!$B$5:$B$130*(((Inputs!$G$5:$G$130="moeda")+(Inputs!$G$5:$G$130="acoes"))*Inputs!$B$1+((Inputs!$G$5:$G$130&lt;&gt;"moeda")*(Inputs!$G$5:$G$130&lt;&gt;"acoes")))*INDEX(Inputs!$K$5:$AJ$130,0,MATCH(AF$2,Inputs!$K$4:$AJ$4,0)))+SUMPRODUCT((Inputs!$C$5:$C$130=$B60)*Inputs!$D$5:$D$130*(((Inputs!$G$5:$G$130="moeda")+(Inputs!$G$5:$G$130="acoes"))*Inputs!$B$1+((Inputs!$G$5:$G$130&lt;&gt;"moeda")*(Inputs!$G$5:$G$130&lt;&gt;"acoes")))*INDEX(Inputs!$K$5:$AJ$130,0,MATCH(AF$2,Inputs!$K$4:$AJ$4,0)))+SUMPRODUCT((Inputs!$E$5:$E$130=$B60)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60" s="512" t="e">
        <f>SUM(AC60:AF60)</f>
        <v>#N/A</v>
      </c>
      <c r="AH60" s="511" t="e">
        <f>IF(ISNA(MATCH(AH$2,Inputs!$K$4:$AJ$4,0)),NA(),IF(SUMPRODUCT((Inputs!$A$5:$A$130=$B60)*ISNUMBER(INDEX(Inputs!$K$5:$AJ$130,0,MATCH(AH$2,Inputs!$K$4:$AJ$4,0))))+SUMPRODUCT((Inputs!$C$5:$C$130=$B60)*ISNUMBER(INDEX(Inputs!$K$5:$AJ$130,0,MATCH(AH$2,Inputs!$K$4:$AJ$4,0))))+SUMPRODUCT((Inputs!$E$5:$E$130=$B60)*ISNUMBER(INDEX(Inputs!$K$5:$AJ$130,0,MATCH(AH$2,Inputs!$K$4:$AJ$4,0))))=0,NA(),SUMPRODUCT((Inputs!$A$5:$A$130=$B60)*Inputs!$B$5:$B$130*(((Inputs!$G$5:$G$130="moeda")+(Inputs!$G$5:$G$130="acoes"))*Inputs!$B$1+((Inputs!$G$5:$G$130&lt;&gt;"moeda")*(Inputs!$G$5:$G$130&lt;&gt;"acoes")))*INDEX(Inputs!$K$5:$AJ$130,0,MATCH(AH$2,Inputs!$K$4:$AJ$4,0)))+SUMPRODUCT((Inputs!$C$5:$C$130=$B60)*Inputs!$D$5:$D$130*(((Inputs!$G$5:$G$130="moeda")+(Inputs!$G$5:$G$130="acoes"))*Inputs!$B$1+((Inputs!$G$5:$G$130&lt;&gt;"moeda")*(Inputs!$G$5:$G$130&lt;&gt;"acoes")))*INDEX(Inputs!$K$5:$AJ$130,0,MATCH(AH$2,Inputs!$K$4:$AJ$4,0)))+SUMPRODUCT((Inputs!$E$5:$E$130=$B60)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60" s="511" t="e">
        <f>IF(ISNA(MATCH(AI$2,Inputs!$K$4:$AJ$4,0)),NA(),IF(SUMPRODUCT((Inputs!$A$5:$A$130=$B60)*ISNUMBER(INDEX(Inputs!$K$5:$AJ$130,0,MATCH(AI$2,Inputs!$K$4:$AJ$4,0))))+SUMPRODUCT((Inputs!$C$5:$C$130=$B60)*ISNUMBER(INDEX(Inputs!$K$5:$AJ$130,0,MATCH(AI$2,Inputs!$K$4:$AJ$4,0))))+SUMPRODUCT((Inputs!$E$5:$E$130=$B60)*ISNUMBER(INDEX(Inputs!$K$5:$AJ$130,0,MATCH(AI$2,Inputs!$K$4:$AJ$4,0))))=0,NA(),SUMPRODUCT((Inputs!$A$5:$A$130=$B60)*Inputs!$B$5:$B$130*(((Inputs!$G$5:$G$130="moeda")+(Inputs!$G$5:$G$130="acoes"))*Inputs!$B$1+((Inputs!$G$5:$G$130&lt;&gt;"moeda")*(Inputs!$G$5:$G$130&lt;&gt;"acoes")))*INDEX(Inputs!$K$5:$AJ$130,0,MATCH(AI$2,Inputs!$K$4:$AJ$4,0)))+SUMPRODUCT((Inputs!$C$5:$C$130=$B60)*Inputs!$D$5:$D$130*(((Inputs!$G$5:$G$130="moeda")+(Inputs!$G$5:$G$130="acoes"))*Inputs!$B$1+((Inputs!$G$5:$G$130&lt;&gt;"moeda")*(Inputs!$G$5:$G$130&lt;&gt;"acoes")))*INDEX(Inputs!$K$5:$AJ$130,0,MATCH(AI$2,Inputs!$K$4:$AJ$4,0)))+SUMPRODUCT((Inputs!$E$5:$E$130=$B60)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60" s="511" t="e">
        <f>IF(ISNA(MATCH(AJ$2,Inputs!$K$4:$AJ$4,0)),NA(),IF(SUMPRODUCT((Inputs!$A$5:$A$130=$B60)*ISNUMBER(INDEX(Inputs!$K$5:$AJ$130,0,MATCH(AJ$2,Inputs!$K$4:$AJ$4,0))))+SUMPRODUCT((Inputs!$C$5:$C$130=$B60)*ISNUMBER(INDEX(Inputs!$K$5:$AJ$130,0,MATCH(AJ$2,Inputs!$K$4:$AJ$4,0))))+SUMPRODUCT((Inputs!$E$5:$E$130=$B60)*ISNUMBER(INDEX(Inputs!$K$5:$AJ$130,0,MATCH(AJ$2,Inputs!$K$4:$AJ$4,0))))=0,NA(),SUMPRODUCT((Inputs!$A$5:$A$130=$B60)*Inputs!$B$5:$B$130*(((Inputs!$G$5:$G$130="moeda")+(Inputs!$G$5:$G$130="acoes"))*Inputs!$B$1+((Inputs!$G$5:$G$130&lt;&gt;"moeda")*(Inputs!$G$5:$G$130&lt;&gt;"acoes")))*INDEX(Inputs!$K$5:$AJ$130,0,MATCH(AJ$2,Inputs!$K$4:$AJ$4,0)))+SUMPRODUCT((Inputs!$C$5:$C$130=$B60)*Inputs!$D$5:$D$130*(((Inputs!$G$5:$G$130="moeda")+(Inputs!$G$5:$G$130="acoes"))*Inputs!$B$1+((Inputs!$G$5:$G$130&lt;&gt;"moeda")*(Inputs!$G$5:$G$130&lt;&gt;"acoes")))*INDEX(Inputs!$K$5:$AJ$130,0,MATCH(AJ$2,Inputs!$K$4:$AJ$4,0)))+SUMPRODUCT((Inputs!$E$5:$E$130=$B60)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60" s="511" t="e">
        <f>IF(ISNA(MATCH(AK$2,Inputs!$K$4:$AJ$4,0)),NA(),IF(SUMPRODUCT((Inputs!$A$5:$A$130=$B60)*ISNUMBER(INDEX(Inputs!$K$5:$AJ$130,0,MATCH(AK$2,Inputs!$K$4:$AJ$4,0))))+SUMPRODUCT((Inputs!$C$5:$C$130=$B60)*ISNUMBER(INDEX(Inputs!$K$5:$AJ$130,0,MATCH(AK$2,Inputs!$K$4:$AJ$4,0))))+SUMPRODUCT((Inputs!$E$5:$E$130=$B60)*ISNUMBER(INDEX(Inputs!$K$5:$AJ$130,0,MATCH(AK$2,Inputs!$K$4:$AJ$4,0))))=0,NA(),SUMPRODUCT((Inputs!$A$5:$A$130=$B60)*Inputs!$B$5:$B$130*(((Inputs!$G$5:$G$130="moeda")+(Inputs!$G$5:$G$130="acoes"))*Inputs!$B$1+((Inputs!$G$5:$G$130&lt;&gt;"moeda")*(Inputs!$G$5:$G$130&lt;&gt;"acoes")))*INDEX(Inputs!$K$5:$AJ$130,0,MATCH(AK$2,Inputs!$K$4:$AJ$4,0)))+SUMPRODUCT((Inputs!$C$5:$C$130=$B60)*Inputs!$D$5:$D$130*(((Inputs!$G$5:$G$130="moeda")+(Inputs!$G$5:$G$130="acoes"))*Inputs!$B$1+((Inputs!$G$5:$G$130&lt;&gt;"moeda")*(Inputs!$G$5:$G$130&lt;&gt;"acoes")))*INDEX(Inputs!$K$5:$AJ$130,0,MATCH(AK$2,Inputs!$K$4:$AJ$4,0)))+SUMPRODUCT((Inputs!$E$5:$E$130=$B60)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60" s="512" t="e">
        <f>SUM(AH60:AK60)</f>
        <v>#N/A</v>
      </c>
    </row>
    <row r="61">
      <c r="B61" s="263" t="n">
        <v>53</v>
      </c>
      <c r="C61" s="264" t="inlineStr">
        <is>
          <t>Chemicals &amp; Products - Adjusted Earnings (USD mi)</t>
        </is>
      </c>
      <c r="D61" s="511">
        <f>IF(ISNA(MATCH(D$2,Inputs!$K$4:$AJ$4,0)),NA(),IF(SUMPRODUCT((Inputs!$A$5:$A$130=$B61)*ISNUMBER(INDEX(Inputs!$K$5:$AJ$130,0,MATCH(D$2,Inputs!$K$4:$AJ$4,0))))+SUMPRODUCT((Inputs!$C$5:$C$130=$B61)*ISNUMBER(INDEX(Inputs!$K$5:$AJ$130,0,MATCH(D$2,Inputs!$K$4:$AJ$4,0))))+SUMPRODUCT((Inputs!$E$5:$E$130=$B61)*ISNUMBER(INDEX(Inputs!$K$5:$AJ$130,0,MATCH(D$2,Inputs!$K$4:$AJ$4,0))))=0,NA(),SUMPRODUCT((Inputs!$A$5:$A$130=$B61)*Inputs!$B$5:$B$130*(((Inputs!$G$5:$G$130="moeda")+(Inputs!$G$5:$G$130="acoes"))*Inputs!$B$1+((Inputs!$G$5:$G$130&lt;&gt;"moeda")*(Inputs!$G$5:$G$130&lt;&gt;"acoes")))*INDEX(Inputs!$K$5:$AJ$130,0,MATCH(D$2,Inputs!$K$4:$AJ$4,0)))+SUMPRODUCT((Inputs!$C$5:$C$130=$B61)*Inputs!$D$5:$D$130*(((Inputs!$G$5:$G$130="moeda")+(Inputs!$G$5:$G$130="acoes"))*Inputs!$B$1+((Inputs!$G$5:$G$130&lt;&gt;"moeda")*(Inputs!$G$5:$G$130&lt;&gt;"acoes")))*INDEX(Inputs!$K$5:$AJ$130,0,MATCH(D$2,Inputs!$K$4:$AJ$4,0)))+SUMPRODUCT((Inputs!$E$5:$E$130=$B61)*Inputs!$F$5:$F$130*(((Inputs!$G$5:$G$130="moeda")+(Inputs!$G$5:$G$130="acoes"))*Inputs!$B$1+((Inputs!$G$5:$G$130&lt;&gt;"moeda")*(Inputs!$G$5:$G$130&lt;&gt;"acoes")))*INDEX(Inputs!$K$5:$AJ$130,0,MATCH(D$2,Inputs!$K$4:$AJ$4,0)))))</f>
        <v>739</v>
      </c>
      <c r="E61" s="511">
        <f>IF(ISNA(MATCH(E$2,Inputs!$K$4:$AJ$4,0)),NA(),IF(SUMPRODUCT((Inputs!$A$5:$A$130=$B61)*ISNUMBER(INDEX(Inputs!$K$5:$AJ$130,0,MATCH(E$2,Inputs!$K$4:$AJ$4,0))))+SUMPRODUCT((Inputs!$C$5:$C$130=$B61)*ISNUMBER(INDEX(Inputs!$K$5:$AJ$130,0,MATCH(E$2,Inputs!$K$4:$AJ$4,0))))+SUMPRODUCT((Inputs!$E$5:$E$130=$B61)*ISNUMBER(INDEX(Inputs!$K$5:$AJ$130,0,MATCH(E$2,Inputs!$K$4:$AJ$4,0))))=0,NA(),SUMPRODUCT((Inputs!$A$5:$A$130=$B61)*Inputs!$B$5:$B$130*(((Inputs!$G$5:$G$130="moeda")+(Inputs!$G$5:$G$130="acoes"))*Inputs!$B$1+((Inputs!$G$5:$G$130&lt;&gt;"moeda")*(Inputs!$G$5:$G$130&lt;&gt;"acoes")))*INDEX(Inputs!$K$5:$AJ$130,0,MATCH(E$2,Inputs!$K$4:$AJ$4,0)))+SUMPRODUCT((Inputs!$C$5:$C$130=$B61)*Inputs!$D$5:$D$130*(((Inputs!$G$5:$G$130="moeda")+(Inputs!$G$5:$G$130="acoes"))*Inputs!$B$1+((Inputs!$G$5:$G$130&lt;&gt;"moeda")*(Inputs!$G$5:$G$130&lt;&gt;"acoes")))*INDEX(Inputs!$K$5:$AJ$130,0,MATCH(E$2,Inputs!$K$4:$AJ$4,0)))+SUMPRODUCT((Inputs!$E$5:$E$130=$B61)*Inputs!$F$5:$F$130*(((Inputs!$G$5:$G$130="moeda")+(Inputs!$G$5:$G$130="acoes"))*Inputs!$B$1+((Inputs!$G$5:$G$130&lt;&gt;"moeda")*(Inputs!$G$5:$G$130&lt;&gt;"acoes")))*INDEX(Inputs!$K$5:$AJ$130,0,MATCH(E$2,Inputs!$K$4:$AJ$4,0)))))</f>
        <v>962</v>
      </c>
      <c r="F61" s="511">
        <f>IF(ISNA(MATCH(F$2,Inputs!$K$4:$AJ$4,0)),NA(),IF(SUMPRODUCT((Inputs!$A$5:$A$130=$B61)*ISNUMBER(INDEX(Inputs!$K$5:$AJ$130,0,MATCH(F$2,Inputs!$K$4:$AJ$4,0))))+SUMPRODUCT((Inputs!$C$5:$C$130=$B61)*ISNUMBER(INDEX(Inputs!$K$5:$AJ$130,0,MATCH(F$2,Inputs!$K$4:$AJ$4,0))))+SUMPRODUCT((Inputs!$E$5:$E$130=$B61)*ISNUMBER(INDEX(Inputs!$K$5:$AJ$130,0,MATCH(F$2,Inputs!$K$4:$AJ$4,0))))=0,NA(),SUMPRODUCT((Inputs!$A$5:$A$130=$B61)*Inputs!$B$5:$B$130*(((Inputs!$G$5:$G$130="moeda")+(Inputs!$G$5:$G$130="acoes"))*Inputs!$B$1+((Inputs!$G$5:$G$130&lt;&gt;"moeda")*(Inputs!$G$5:$G$130&lt;&gt;"acoes")))*INDEX(Inputs!$K$5:$AJ$130,0,MATCH(F$2,Inputs!$K$4:$AJ$4,0)))+SUMPRODUCT((Inputs!$C$5:$C$130=$B61)*Inputs!$D$5:$D$130*(((Inputs!$G$5:$G$130="moeda")+(Inputs!$G$5:$G$130="acoes"))*Inputs!$B$1+((Inputs!$G$5:$G$130&lt;&gt;"moeda")*(Inputs!$G$5:$G$130&lt;&gt;"acoes")))*INDEX(Inputs!$K$5:$AJ$130,0,MATCH(F$2,Inputs!$K$4:$AJ$4,0)))+SUMPRODUCT((Inputs!$E$5:$E$130=$B61)*Inputs!$F$5:$F$130*(((Inputs!$G$5:$G$130="moeda")+(Inputs!$G$5:$G$130="acoes"))*Inputs!$B$1+((Inputs!$G$5:$G$130&lt;&gt;"moeda")*(Inputs!$G$5:$G$130&lt;&gt;"acoes")))*INDEX(Inputs!$K$5:$AJ$130,0,MATCH(F$2,Inputs!$K$4:$AJ$4,0)))))</f>
        <v>404</v>
      </c>
      <c r="G61" s="511">
        <f>IF(ISNA(MATCH(G$2,Inputs!$K$4:$AJ$4,0)),NA(),IF(SUMPRODUCT((Inputs!$A$5:$A$130=$B61)*ISNUMBER(INDEX(Inputs!$K$5:$AJ$130,0,MATCH(G$2,Inputs!$K$4:$AJ$4,0))))+SUMPRODUCT((Inputs!$C$5:$C$130=$B61)*ISNUMBER(INDEX(Inputs!$K$5:$AJ$130,0,MATCH(G$2,Inputs!$K$4:$AJ$4,0))))+SUMPRODUCT((Inputs!$E$5:$E$130=$B61)*ISNUMBER(INDEX(Inputs!$K$5:$AJ$130,0,MATCH(G$2,Inputs!$K$4:$AJ$4,0))))=0,NA(),SUMPRODUCT((Inputs!$A$5:$A$130=$B61)*Inputs!$B$5:$B$130*(((Inputs!$G$5:$G$130="moeda")+(Inputs!$G$5:$G$130="acoes"))*Inputs!$B$1+((Inputs!$G$5:$G$130&lt;&gt;"moeda")*(Inputs!$G$5:$G$130&lt;&gt;"acoes")))*INDEX(Inputs!$K$5:$AJ$130,0,MATCH(G$2,Inputs!$K$4:$AJ$4,0)))+SUMPRODUCT((Inputs!$C$5:$C$130=$B61)*Inputs!$D$5:$D$130*(((Inputs!$G$5:$G$130="moeda")+(Inputs!$G$5:$G$130="acoes"))*Inputs!$B$1+((Inputs!$G$5:$G$130&lt;&gt;"moeda")*(Inputs!$G$5:$G$130&lt;&gt;"acoes")))*INDEX(Inputs!$K$5:$AJ$130,0,MATCH(G$2,Inputs!$K$4:$AJ$4,0)))+SUMPRODUCT((Inputs!$E$5:$E$130=$B61)*Inputs!$F$5:$F$130*(((Inputs!$G$5:$G$130="moeda")+(Inputs!$G$5:$G$130="acoes"))*Inputs!$B$1+((Inputs!$G$5:$G$130&lt;&gt;"moeda")*(Inputs!$G$5:$G$130&lt;&gt;"acoes")))*INDEX(Inputs!$K$5:$AJ$130,0,MATCH(G$2,Inputs!$K$4:$AJ$4,0)))))</f>
        <v>-135</v>
      </c>
      <c r="H61" s="512">
        <f>SUM(D61:G61)</f>
        <v>1970</v>
      </c>
      <c r="I61" s="511">
        <f>IF(ISNA(MATCH(I$2,Inputs!$K$4:$AJ$4,0)),NA(),IF(SUMPRODUCT((Inputs!$A$5:$A$130=$B61)*ISNUMBER(INDEX(Inputs!$K$5:$AJ$130,0,MATCH(I$2,Inputs!$K$4:$AJ$4,0))))+SUMPRODUCT((Inputs!$C$5:$C$130=$B61)*ISNUMBER(INDEX(Inputs!$K$5:$AJ$130,0,MATCH(I$2,Inputs!$K$4:$AJ$4,0))))+SUMPRODUCT((Inputs!$E$5:$E$130=$B61)*ISNUMBER(INDEX(Inputs!$K$5:$AJ$130,0,MATCH(I$2,Inputs!$K$4:$AJ$4,0))))=0,NA(),SUMPRODUCT((Inputs!$A$5:$A$130=$B61)*Inputs!$B$5:$B$130*(((Inputs!$G$5:$G$130="moeda")+(Inputs!$G$5:$G$130="acoes"))*Inputs!$B$1+((Inputs!$G$5:$G$130&lt;&gt;"moeda")*(Inputs!$G$5:$G$130&lt;&gt;"acoes")))*INDEX(Inputs!$K$5:$AJ$130,0,MATCH(I$2,Inputs!$K$4:$AJ$4,0)))+SUMPRODUCT((Inputs!$C$5:$C$130=$B61)*Inputs!$D$5:$D$130*(((Inputs!$G$5:$G$130="moeda")+(Inputs!$G$5:$G$130="acoes"))*Inputs!$B$1+((Inputs!$G$5:$G$130&lt;&gt;"moeda")*(Inputs!$G$5:$G$130&lt;&gt;"acoes")))*INDEX(Inputs!$K$5:$AJ$130,0,MATCH(I$2,Inputs!$K$4:$AJ$4,0)))+SUMPRODUCT((Inputs!$E$5:$E$130=$B61)*Inputs!$F$5:$F$130*(((Inputs!$G$5:$G$130="moeda")+(Inputs!$G$5:$G$130="acoes"))*Inputs!$B$1+((Inputs!$G$5:$G$130&lt;&gt;"moeda")*(Inputs!$G$5:$G$130&lt;&gt;"acoes")))*INDEX(Inputs!$K$5:$AJ$130,0,MATCH(I$2,Inputs!$K$4:$AJ$4,0)))))</f>
        <v>1086</v>
      </c>
      <c r="J61" s="511">
        <f>IF(ISNA(MATCH(J$2,Inputs!$K$4:$AJ$4,0)),NA(),IF(SUMPRODUCT((Inputs!$A$5:$A$130=$B61)*ISNUMBER(INDEX(Inputs!$K$5:$AJ$130,0,MATCH(J$2,Inputs!$K$4:$AJ$4,0))))+SUMPRODUCT((Inputs!$C$5:$C$130=$B61)*ISNUMBER(INDEX(Inputs!$K$5:$AJ$130,0,MATCH(J$2,Inputs!$K$4:$AJ$4,0))))+SUMPRODUCT((Inputs!$E$5:$E$130=$B61)*ISNUMBER(INDEX(Inputs!$K$5:$AJ$130,0,MATCH(J$2,Inputs!$K$4:$AJ$4,0))))=0,NA(),SUMPRODUCT((Inputs!$A$5:$A$130=$B61)*Inputs!$B$5:$B$130*(((Inputs!$G$5:$G$130="moeda")+(Inputs!$G$5:$G$130="acoes"))*Inputs!$B$1+((Inputs!$G$5:$G$130&lt;&gt;"moeda")*(Inputs!$G$5:$G$130&lt;&gt;"acoes")))*INDEX(Inputs!$K$5:$AJ$130,0,MATCH(J$2,Inputs!$K$4:$AJ$4,0)))+SUMPRODUCT((Inputs!$C$5:$C$130=$B61)*Inputs!$D$5:$D$130*(((Inputs!$G$5:$G$130="moeda")+(Inputs!$G$5:$G$130="acoes"))*Inputs!$B$1+((Inputs!$G$5:$G$130&lt;&gt;"moeda")*(Inputs!$G$5:$G$130&lt;&gt;"acoes")))*INDEX(Inputs!$K$5:$AJ$130,0,MATCH(J$2,Inputs!$K$4:$AJ$4,0)))+SUMPRODUCT((Inputs!$E$5:$E$130=$B61)*Inputs!$F$5:$F$130*(((Inputs!$G$5:$G$130="moeda")+(Inputs!$G$5:$G$130="acoes"))*Inputs!$B$1+((Inputs!$G$5:$G$130&lt;&gt;"moeda")*(Inputs!$G$5:$G$130&lt;&gt;"acoes")))*INDEX(Inputs!$K$5:$AJ$130,0,MATCH(J$2,Inputs!$K$4:$AJ$4,0)))))</f>
        <v>2154</v>
      </c>
      <c r="K61" s="511">
        <f>IF(ISNA(MATCH(K$2,Inputs!$K$4:$AJ$4,0)),NA(),IF(SUMPRODUCT((Inputs!$A$5:$A$130=$B61)*ISNUMBER(INDEX(Inputs!$K$5:$AJ$130,0,MATCH(K$2,Inputs!$K$4:$AJ$4,0))))+SUMPRODUCT((Inputs!$C$5:$C$130=$B61)*ISNUMBER(INDEX(Inputs!$K$5:$AJ$130,0,MATCH(K$2,Inputs!$K$4:$AJ$4,0))))+SUMPRODUCT((Inputs!$E$5:$E$130=$B61)*ISNUMBER(INDEX(Inputs!$K$5:$AJ$130,0,MATCH(K$2,Inputs!$K$4:$AJ$4,0))))=0,NA(),SUMPRODUCT((Inputs!$A$5:$A$130=$B61)*Inputs!$B$5:$B$130*(((Inputs!$G$5:$G$130="moeda")+(Inputs!$G$5:$G$130="acoes"))*Inputs!$B$1+((Inputs!$G$5:$G$130&lt;&gt;"moeda")*(Inputs!$G$5:$G$130&lt;&gt;"acoes")))*INDEX(Inputs!$K$5:$AJ$130,0,MATCH(K$2,Inputs!$K$4:$AJ$4,0)))+SUMPRODUCT((Inputs!$C$5:$C$130=$B61)*Inputs!$D$5:$D$130*(((Inputs!$G$5:$G$130="moeda")+(Inputs!$G$5:$G$130="acoes"))*Inputs!$B$1+((Inputs!$G$5:$G$130&lt;&gt;"moeda")*(Inputs!$G$5:$G$130&lt;&gt;"acoes")))*INDEX(Inputs!$K$5:$AJ$130,0,MATCH(K$2,Inputs!$K$4:$AJ$4,0)))+SUMPRODUCT((Inputs!$E$5:$E$130=$B61)*Inputs!$F$5:$F$130*(((Inputs!$G$5:$G$130="moeda")+(Inputs!$G$5:$G$130="acoes"))*Inputs!$B$1+((Inputs!$G$5:$G$130&lt;&gt;"moeda")*(Inputs!$G$5:$G$130&lt;&gt;"acoes")))*INDEX(Inputs!$K$5:$AJ$130,0,MATCH(K$2,Inputs!$K$4:$AJ$4,0)))))</f>
        <v>571</v>
      </c>
      <c r="L61" s="511">
        <f>IF(ISNA(MATCH(L$2,Inputs!$K$4:$AJ$4,0)),NA(),IF(SUMPRODUCT((Inputs!$A$5:$A$130=$B61)*ISNUMBER(INDEX(Inputs!$K$5:$AJ$130,0,MATCH(L$2,Inputs!$K$4:$AJ$4,0))))+SUMPRODUCT((Inputs!$C$5:$C$130=$B61)*ISNUMBER(INDEX(Inputs!$K$5:$AJ$130,0,MATCH(L$2,Inputs!$K$4:$AJ$4,0))))+SUMPRODUCT((Inputs!$E$5:$E$130=$B61)*ISNUMBER(INDEX(Inputs!$K$5:$AJ$130,0,MATCH(L$2,Inputs!$K$4:$AJ$4,0))))=0,NA(),SUMPRODUCT((Inputs!$A$5:$A$130=$B61)*Inputs!$B$5:$B$130*(((Inputs!$G$5:$G$130="moeda")+(Inputs!$G$5:$G$130="acoes"))*Inputs!$B$1+((Inputs!$G$5:$G$130&lt;&gt;"moeda")*(Inputs!$G$5:$G$130&lt;&gt;"acoes")))*INDEX(Inputs!$K$5:$AJ$130,0,MATCH(L$2,Inputs!$K$4:$AJ$4,0)))+SUMPRODUCT((Inputs!$C$5:$C$130=$B61)*Inputs!$D$5:$D$130*(((Inputs!$G$5:$G$130="moeda")+(Inputs!$G$5:$G$130="acoes"))*Inputs!$B$1+((Inputs!$G$5:$G$130&lt;&gt;"moeda")*(Inputs!$G$5:$G$130&lt;&gt;"acoes")))*INDEX(Inputs!$K$5:$AJ$130,0,MATCH(L$2,Inputs!$K$4:$AJ$4,0)))+SUMPRODUCT((Inputs!$E$5:$E$130=$B61)*Inputs!$F$5:$F$130*(((Inputs!$G$5:$G$130="moeda")+(Inputs!$G$5:$G$130="acoes"))*Inputs!$B$1+((Inputs!$G$5:$G$130&lt;&gt;"moeda")*(Inputs!$G$5:$G$130&lt;&gt;"acoes")))*INDEX(Inputs!$K$5:$AJ$130,0,MATCH(L$2,Inputs!$K$4:$AJ$4,0)))))</f>
        <v>782</v>
      </c>
      <c r="M61" s="512">
        <f>SUM(I61:L61)</f>
        <v>4593</v>
      </c>
      <c r="N61" s="511">
        <f>IF(ISNA(MATCH(N$2,Inputs!$K$4:$AJ$4,0)),NA(),IF(SUMPRODUCT((Inputs!$A$5:$A$130=$B61)*ISNUMBER(INDEX(Inputs!$K$5:$AJ$130,0,MATCH(N$2,Inputs!$K$4:$AJ$4,0))))+SUMPRODUCT((Inputs!$C$5:$C$130=$B61)*ISNUMBER(INDEX(Inputs!$K$5:$AJ$130,0,MATCH(N$2,Inputs!$K$4:$AJ$4,0))))+SUMPRODUCT((Inputs!$E$5:$E$130=$B61)*ISNUMBER(INDEX(Inputs!$K$5:$AJ$130,0,MATCH(N$2,Inputs!$K$4:$AJ$4,0))))=0,NA(),SUMPRODUCT((Inputs!$A$5:$A$130=$B61)*Inputs!$B$5:$B$130*(((Inputs!$G$5:$G$130="moeda")+(Inputs!$G$5:$G$130="acoes"))*Inputs!$B$1+((Inputs!$G$5:$G$130&lt;&gt;"moeda")*(Inputs!$G$5:$G$130&lt;&gt;"acoes")))*INDEX(Inputs!$K$5:$AJ$130,0,MATCH(N$2,Inputs!$K$4:$AJ$4,0)))+SUMPRODUCT((Inputs!$C$5:$C$130=$B61)*Inputs!$D$5:$D$130*(((Inputs!$G$5:$G$130="moeda")+(Inputs!$G$5:$G$130="acoes"))*Inputs!$B$1+((Inputs!$G$5:$G$130&lt;&gt;"moeda")*(Inputs!$G$5:$G$130&lt;&gt;"acoes")))*INDEX(Inputs!$K$5:$AJ$130,0,MATCH(N$2,Inputs!$K$4:$AJ$4,0)))+SUMPRODUCT((Inputs!$E$5:$E$130=$B61)*Inputs!$F$5:$F$130*(((Inputs!$G$5:$G$130="moeda")+(Inputs!$G$5:$G$130="acoes"))*Inputs!$B$1+((Inputs!$G$5:$G$130&lt;&gt;"moeda")*(Inputs!$G$5:$G$130&lt;&gt;"acoes")))*INDEX(Inputs!$K$5:$AJ$130,0,MATCH(N$2,Inputs!$K$4:$AJ$4,0)))))</f>
        <v>1707</v>
      </c>
      <c r="O61" s="511">
        <f>IF(ISNA(MATCH(O$2,Inputs!$K$4:$AJ$4,0)),NA(),IF(SUMPRODUCT((Inputs!$A$5:$A$130=$B61)*ISNUMBER(INDEX(Inputs!$K$5:$AJ$130,0,MATCH(O$2,Inputs!$K$4:$AJ$4,0))))+SUMPRODUCT((Inputs!$C$5:$C$130=$B61)*ISNUMBER(INDEX(Inputs!$K$5:$AJ$130,0,MATCH(O$2,Inputs!$K$4:$AJ$4,0))))+SUMPRODUCT((Inputs!$E$5:$E$130=$B61)*ISNUMBER(INDEX(Inputs!$K$5:$AJ$130,0,MATCH(O$2,Inputs!$K$4:$AJ$4,0))))=0,NA(),SUMPRODUCT((Inputs!$A$5:$A$130=$B61)*Inputs!$B$5:$B$130*(((Inputs!$G$5:$G$130="moeda")+(Inputs!$G$5:$G$130="acoes"))*Inputs!$B$1+((Inputs!$G$5:$G$130&lt;&gt;"moeda")*(Inputs!$G$5:$G$130&lt;&gt;"acoes")))*INDEX(Inputs!$K$5:$AJ$130,0,MATCH(O$2,Inputs!$K$4:$AJ$4,0)))+SUMPRODUCT((Inputs!$C$5:$C$130=$B61)*Inputs!$D$5:$D$130*(((Inputs!$G$5:$G$130="moeda")+(Inputs!$G$5:$G$130="acoes"))*Inputs!$B$1+((Inputs!$G$5:$G$130&lt;&gt;"moeda")*(Inputs!$G$5:$G$130&lt;&gt;"acoes")))*INDEX(Inputs!$K$5:$AJ$130,0,MATCH(O$2,Inputs!$K$4:$AJ$4,0)))+SUMPRODUCT((Inputs!$E$5:$E$130=$B61)*Inputs!$F$5:$F$130*(((Inputs!$G$5:$G$130="moeda")+(Inputs!$G$5:$G$130="acoes"))*Inputs!$B$1+((Inputs!$G$5:$G$130&lt;&gt;"moeda")*(Inputs!$G$5:$G$130&lt;&gt;"acoes")))*INDEX(Inputs!$K$5:$AJ$130,0,MATCH(O$2,Inputs!$K$4:$AJ$4,0)))))</f>
        <v>419</v>
      </c>
      <c r="P61" s="511">
        <f>IF(ISNA(MATCH(P$2,Inputs!$K$4:$AJ$4,0)),NA(),IF(SUMPRODUCT((Inputs!$A$5:$A$130=$B61)*ISNUMBER(INDEX(Inputs!$K$5:$AJ$130,0,MATCH(P$2,Inputs!$K$4:$AJ$4,0))))+SUMPRODUCT((Inputs!$C$5:$C$130=$B61)*ISNUMBER(INDEX(Inputs!$K$5:$AJ$130,0,MATCH(P$2,Inputs!$K$4:$AJ$4,0))))+SUMPRODUCT((Inputs!$E$5:$E$130=$B61)*ISNUMBER(INDEX(Inputs!$K$5:$AJ$130,0,MATCH(P$2,Inputs!$K$4:$AJ$4,0))))=0,NA(),SUMPRODUCT((Inputs!$A$5:$A$130=$B61)*Inputs!$B$5:$B$130*(((Inputs!$G$5:$G$130="moeda")+(Inputs!$G$5:$G$130="acoes"))*Inputs!$B$1+((Inputs!$G$5:$G$130&lt;&gt;"moeda")*(Inputs!$G$5:$G$130&lt;&gt;"acoes")))*INDEX(Inputs!$K$5:$AJ$130,0,MATCH(P$2,Inputs!$K$4:$AJ$4,0)))+SUMPRODUCT((Inputs!$C$5:$C$130=$B61)*Inputs!$D$5:$D$130*(((Inputs!$G$5:$G$130="moeda")+(Inputs!$G$5:$G$130="acoes"))*Inputs!$B$1+((Inputs!$G$5:$G$130&lt;&gt;"moeda")*(Inputs!$G$5:$G$130&lt;&gt;"acoes")))*INDEX(Inputs!$K$5:$AJ$130,0,MATCH(P$2,Inputs!$K$4:$AJ$4,0)))+SUMPRODUCT((Inputs!$E$5:$E$130=$B61)*Inputs!$F$5:$F$130*(((Inputs!$G$5:$G$130="moeda")+(Inputs!$G$5:$G$130="acoes"))*Inputs!$B$1+((Inputs!$G$5:$G$130&lt;&gt;"moeda")*(Inputs!$G$5:$G$130&lt;&gt;"acoes")))*INDEX(Inputs!$K$5:$AJ$130,0,MATCH(P$2,Inputs!$K$4:$AJ$4,0)))))</f>
        <v>1463</v>
      </c>
      <c r="Q61" s="511">
        <f>IF(ISNA(MATCH(Q$2,Inputs!$K$4:$AJ$4,0)),NA(),IF(SUMPRODUCT((Inputs!$A$5:$A$130=$B61)*ISNUMBER(INDEX(Inputs!$K$5:$AJ$130,0,MATCH(Q$2,Inputs!$K$4:$AJ$4,0))))+SUMPRODUCT((Inputs!$C$5:$C$130=$B61)*ISNUMBER(INDEX(Inputs!$K$5:$AJ$130,0,MATCH(Q$2,Inputs!$K$4:$AJ$4,0))))+SUMPRODUCT((Inputs!$E$5:$E$130=$B61)*ISNUMBER(INDEX(Inputs!$K$5:$AJ$130,0,MATCH(Q$2,Inputs!$K$4:$AJ$4,0))))=0,NA(),SUMPRODUCT((Inputs!$A$5:$A$130=$B61)*Inputs!$B$5:$B$130*(((Inputs!$G$5:$G$130="moeda")+(Inputs!$G$5:$G$130="acoes"))*Inputs!$B$1+((Inputs!$G$5:$G$130&lt;&gt;"moeda")*(Inputs!$G$5:$G$130&lt;&gt;"acoes")))*INDEX(Inputs!$K$5:$AJ$130,0,MATCH(Q$2,Inputs!$K$4:$AJ$4,0)))+SUMPRODUCT((Inputs!$C$5:$C$130=$B61)*Inputs!$D$5:$D$130*(((Inputs!$G$5:$G$130="moeda")+(Inputs!$G$5:$G$130="acoes"))*Inputs!$B$1+((Inputs!$G$5:$G$130&lt;&gt;"moeda")*(Inputs!$G$5:$G$130&lt;&gt;"acoes")))*INDEX(Inputs!$K$5:$AJ$130,0,MATCH(Q$2,Inputs!$K$4:$AJ$4,0)))+SUMPRODUCT((Inputs!$E$5:$E$130=$B61)*Inputs!$F$5:$F$130*(((Inputs!$G$5:$G$130="moeda")+(Inputs!$G$5:$G$130="acoes"))*Inputs!$B$1+((Inputs!$G$5:$G$130&lt;&gt;"moeda")*(Inputs!$G$5:$G$130&lt;&gt;"acoes")))*INDEX(Inputs!$K$5:$AJ$130,0,MATCH(Q$2,Inputs!$K$4:$AJ$4,0)))))</f>
        <v>29</v>
      </c>
      <c r="R61" s="512">
        <f>SUM(N61:Q61)</f>
        <v>3618</v>
      </c>
      <c r="S61" s="511">
        <f>IF(ISNA(MATCH(S$2,Inputs!$K$4:$AJ$4,0)),NA(),IF(SUMPRODUCT((Inputs!$A$5:$A$130=$B61)*ISNUMBER(INDEX(Inputs!$K$5:$AJ$130,0,MATCH(S$2,Inputs!$K$4:$AJ$4,0))))+SUMPRODUCT((Inputs!$C$5:$C$130=$B61)*ISNUMBER(INDEX(Inputs!$K$5:$AJ$130,0,MATCH(S$2,Inputs!$K$4:$AJ$4,0))))+SUMPRODUCT((Inputs!$E$5:$E$130=$B61)*ISNUMBER(INDEX(Inputs!$K$5:$AJ$130,0,MATCH(S$2,Inputs!$K$4:$AJ$4,0))))=0,NA(),SUMPRODUCT((Inputs!$A$5:$A$130=$B61)*Inputs!$B$5:$B$130*(((Inputs!$G$5:$G$130="moeda")+(Inputs!$G$5:$G$130="acoes"))*Inputs!$B$1+((Inputs!$G$5:$G$130&lt;&gt;"moeda")*(Inputs!$G$5:$G$130&lt;&gt;"acoes")))*INDEX(Inputs!$K$5:$AJ$130,0,MATCH(S$2,Inputs!$K$4:$AJ$4,0)))+SUMPRODUCT((Inputs!$C$5:$C$130=$B61)*Inputs!$D$5:$D$130*(((Inputs!$G$5:$G$130="moeda")+(Inputs!$G$5:$G$130="acoes"))*Inputs!$B$1+((Inputs!$G$5:$G$130&lt;&gt;"moeda")*(Inputs!$G$5:$G$130&lt;&gt;"acoes")))*INDEX(Inputs!$K$5:$AJ$130,0,MATCH(S$2,Inputs!$K$4:$AJ$4,0)))+SUMPRODUCT((Inputs!$E$5:$E$130=$B61)*Inputs!$F$5:$F$130*(((Inputs!$G$5:$G$130="moeda")+(Inputs!$G$5:$G$130="acoes"))*Inputs!$B$1+((Inputs!$G$5:$G$130&lt;&gt;"moeda")*(Inputs!$G$5:$G$130&lt;&gt;"acoes")))*INDEX(Inputs!$K$5:$AJ$130,0,MATCH(S$2,Inputs!$K$4:$AJ$4,0)))))</f>
        <v>1615</v>
      </c>
      <c r="T61" s="511">
        <f>IF(ISNA(MATCH(T$2,Inputs!$K$4:$AJ$4,0)),NA(),IF(SUMPRODUCT((Inputs!$A$5:$A$130=$B61)*ISNUMBER(INDEX(Inputs!$K$5:$AJ$130,0,MATCH(T$2,Inputs!$K$4:$AJ$4,0))))+SUMPRODUCT((Inputs!$C$5:$C$130=$B61)*ISNUMBER(INDEX(Inputs!$K$5:$AJ$130,0,MATCH(T$2,Inputs!$K$4:$AJ$4,0))))+SUMPRODUCT((Inputs!$E$5:$E$130=$B61)*ISNUMBER(INDEX(Inputs!$K$5:$AJ$130,0,MATCH(T$2,Inputs!$K$4:$AJ$4,0))))=0,NA(),SUMPRODUCT((Inputs!$A$5:$A$130=$B61)*Inputs!$B$5:$B$130*(((Inputs!$G$5:$G$130="moeda")+(Inputs!$G$5:$G$130="acoes"))*Inputs!$B$1+((Inputs!$G$5:$G$130&lt;&gt;"moeda")*(Inputs!$G$5:$G$130&lt;&gt;"acoes")))*INDEX(Inputs!$K$5:$AJ$130,0,MATCH(T$2,Inputs!$K$4:$AJ$4,0)))+SUMPRODUCT((Inputs!$C$5:$C$130=$B61)*Inputs!$D$5:$D$130*(((Inputs!$G$5:$G$130="moeda")+(Inputs!$G$5:$G$130="acoes"))*Inputs!$B$1+((Inputs!$G$5:$G$130&lt;&gt;"moeda")*(Inputs!$G$5:$G$130&lt;&gt;"acoes")))*INDEX(Inputs!$K$5:$AJ$130,0,MATCH(T$2,Inputs!$K$4:$AJ$4,0)))+SUMPRODUCT((Inputs!$E$5:$E$130=$B61)*Inputs!$F$5:$F$130*(((Inputs!$G$5:$G$130="moeda")+(Inputs!$G$5:$G$130="acoes"))*Inputs!$B$1+((Inputs!$G$5:$G$130&lt;&gt;"moeda")*(Inputs!$G$5:$G$130&lt;&gt;"acoes")))*INDEX(Inputs!$K$5:$AJ$130,0,MATCH(T$2,Inputs!$K$4:$AJ$4,0)))))</f>
        <v>1085</v>
      </c>
      <c r="U61" s="511">
        <f>IF(ISNA(MATCH(U$2,Inputs!$K$4:$AJ$4,0)),NA(),IF(SUMPRODUCT((Inputs!$A$5:$A$130=$B61)*ISNUMBER(INDEX(Inputs!$K$5:$AJ$130,0,MATCH(U$2,Inputs!$K$4:$AJ$4,0))))+SUMPRODUCT((Inputs!$C$5:$C$130=$B61)*ISNUMBER(INDEX(Inputs!$K$5:$AJ$130,0,MATCH(U$2,Inputs!$K$4:$AJ$4,0))))+SUMPRODUCT((Inputs!$E$5:$E$130=$B61)*ISNUMBER(INDEX(Inputs!$K$5:$AJ$130,0,MATCH(U$2,Inputs!$K$4:$AJ$4,0))))=0,NA(),SUMPRODUCT((Inputs!$A$5:$A$130=$B61)*Inputs!$B$5:$B$130*(((Inputs!$G$5:$G$130="moeda")+(Inputs!$G$5:$G$130="acoes"))*Inputs!$B$1+((Inputs!$G$5:$G$130&lt;&gt;"moeda")*(Inputs!$G$5:$G$130&lt;&gt;"acoes")))*INDEX(Inputs!$K$5:$AJ$130,0,MATCH(U$2,Inputs!$K$4:$AJ$4,0)))+SUMPRODUCT((Inputs!$C$5:$C$130=$B61)*Inputs!$D$5:$D$130*(((Inputs!$G$5:$G$130="moeda")+(Inputs!$G$5:$G$130="acoes"))*Inputs!$B$1+((Inputs!$G$5:$G$130&lt;&gt;"moeda")*(Inputs!$G$5:$G$130&lt;&gt;"acoes")))*INDEX(Inputs!$K$5:$AJ$130,0,MATCH(U$2,Inputs!$K$4:$AJ$4,0)))+SUMPRODUCT((Inputs!$E$5:$E$130=$B61)*Inputs!$F$5:$F$130*(((Inputs!$G$5:$G$130="moeda")+(Inputs!$G$5:$G$130="acoes"))*Inputs!$B$1+((Inputs!$G$5:$G$130&lt;&gt;"moeda")*(Inputs!$G$5:$G$130&lt;&gt;"acoes")))*INDEX(Inputs!$K$5:$AJ$130,0,MATCH(U$2,Inputs!$K$4:$AJ$4,0)))))</f>
        <v>463</v>
      </c>
      <c r="V61" s="511">
        <f>IF(ISNA(MATCH(V$2,Inputs!$K$4:$AJ$4,0)),NA(),IF(SUMPRODUCT((Inputs!$A$5:$A$130=$B61)*ISNUMBER(INDEX(Inputs!$K$5:$AJ$130,0,MATCH(V$2,Inputs!$K$4:$AJ$4,0))))+SUMPRODUCT((Inputs!$C$5:$C$130=$B61)*ISNUMBER(INDEX(Inputs!$K$5:$AJ$130,0,MATCH(V$2,Inputs!$K$4:$AJ$4,0))))+SUMPRODUCT((Inputs!$E$5:$E$130=$B61)*ISNUMBER(INDEX(Inputs!$K$5:$AJ$130,0,MATCH(V$2,Inputs!$K$4:$AJ$4,0))))=0,NA(),SUMPRODUCT((Inputs!$A$5:$A$130=$B61)*Inputs!$B$5:$B$130*(((Inputs!$G$5:$G$130="moeda")+(Inputs!$G$5:$G$130="acoes"))*Inputs!$B$1+((Inputs!$G$5:$G$130&lt;&gt;"moeda")*(Inputs!$G$5:$G$130&lt;&gt;"acoes")))*INDEX(Inputs!$K$5:$AJ$130,0,MATCH(V$2,Inputs!$K$4:$AJ$4,0)))+SUMPRODUCT((Inputs!$C$5:$C$130=$B61)*Inputs!$D$5:$D$130*(((Inputs!$G$5:$G$130="moeda")+(Inputs!$G$5:$G$130="acoes"))*Inputs!$B$1+((Inputs!$G$5:$G$130&lt;&gt;"moeda")*(Inputs!$G$5:$G$130&lt;&gt;"acoes")))*INDEX(Inputs!$K$5:$AJ$130,0,MATCH(V$2,Inputs!$K$4:$AJ$4,0)))+SUMPRODUCT((Inputs!$E$5:$E$130=$B61)*Inputs!$F$5:$F$130*(((Inputs!$G$5:$G$130="moeda")+(Inputs!$G$5:$G$130="acoes"))*Inputs!$B$1+((Inputs!$G$5:$G$130&lt;&gt;"moeda")*(Inputs!$G$5:$G$130&lt;&gt;"acoes")))*INDEX(Inputs!$K$5:$AJ$130,0,MATCH(V$2,Inputs!$K$4:$AJ$4,0)))))</f>
        <v>-229</v>
      </c>
      <c r="W61" s="512">
        <f>SUM(S61:V61)</f>
        <v>2934</v>
      </c>
      <c r="X61" s="511">
        <f>IF(ISNA(MATCH(X$2,Inputs!$K$4:$AJ$4,0)),NA(),IF(SUMPRODUCT((Inputs!$A$5:$A$130=$B61)*ISNUMBER(INDEX(Inputs!$K$5:$AJ$130,0,MATCH(X$2,Inputs!$K$4:$AJ$4,0))))+SUMPRODUCT((Inputs!$C$5:$C$130=$B61)*ISNUMBER(INDEX(Inputs!$K$5:$AJ$130,0,MATCH(X$2,Inputs!$K$4:$AJ$4,0))))+SUMPRODUCT((Inputs!$E$5:$E$130=$B61)*ISNUMBER(INDEX(Inputs!$K$5:$AJ$130,0,MATCH(X$2,Inputs!$K$4:$AJ$4,0))))=0,NA(),SUMPRODUCT((Inputs!$A$5:$A$130=$B61)*Inputs!$B$5:$B$130*(((Inputs!$G$5:$G$130="moeda")+(Inputs!$G$5:$G$130="acoes"))*Inputs!$B$1+((Inputs!$G$5:$G$130&lt;&gt;"moeda")*(Inputs!$G$5:$G$130&lt;&gt;"acoes")))*INDEX(Inputs!$K$5:$AJ$130,0,MATCH(X$2,Inputs!$K$4:$AJ$4,0)))+SUMPRODUCT((Inputs!$C$5:$C$130=$B61)*Inputs!$D$5:$D$130*(((Inputs!$G$5:$G$130="moeda")+(Inputs!$G$5:$G$130="acoes"))*Inputs!$B$1+((Inputs!$G$5:$G$130&lt;&gt;"moeda")*(Inputs!$G$5:$G$130&lt;&gt;"acoes")))*INDEX(Inputs!$K$5:$AJ$130,0,MATCH(X$2,Inputs!$K$4:$AJ$4,0)))+SUMPRODUCT((Inputs!$E$5:$E$130=$B61)*Inputs!$F$5:$F$130*(((Inputs!$G$5:$G$130="moeda")+(Inputs!$G$5:$G$130="acoes"))*Inputs!$B$1+((Inputs!$G$5:$G$130&lt;&gt;"moeda")*(Inputs!$G$5:$G$130&lt;&gt;"acoes")))*INDEX(Inputs!$K$5:$AJ$130,0,MATCH(X$2,Inputs!$K$4:$AJ$4,0)))))</f>
        <v>449</v>
      </c>
      <c r="Y61" s="511">
        <f>IF(ISNA(MATCH(Y$2,Inputs!$K$4:$AJ$4,0)),NA(),IF(SUMPRODUCT((Inputs!$A$5:$A$130=$B61)*ISNUMBER(INDEX(Inputs!$K$5:$AJ$130,0,MATCH(Y$2,Inputs!$K$4:$AJ$4,0))))+SUMPRODUCT((Inputs!$C$5:$C$130=$B61)*ISNUMBER(INDEX(Inputs!$K$5:$AJ$130,0,MATCH(Y$2,Inputs!$K$4:$AJ$4,0))))+SUMPRODUCT((Inputs!$E$5:$E$130=$B61)*ISNUMBER(INDEX(Inputs!$K$5:$AJ$130,0,MATCH(Y$2,Inputs!$K$4:$AJ$4,0))))=0,NA(),SUMPRODUCT((Inputs!$A$5:$A$130=$B61)*Inputs!$B$5:$B$130*(((Inputs!$G$5:$G$130="moeda")+(Inputs!$G$5:$G$130="acoes"))*Inputs!$B$1+((Inputs!$G$5:$G$130&lt;&gt;"moeda")*(Inputs!$G$5:$G$130&lt;&gt;"acoes")))*INDEX(Inputs!$K$5:$AJ$130,0,MATCH(Y$2,Inputs!$K$4:$AJ$4,0)))+SUMPRODUCT((Inputs!$C$5:$C$130=$B61)*Inputs!$D$5:$D$130*(((Inputs!$G$5:$G$130="moeda")+(Inputs!$G$5:$G$130="acoes"))*Inputs!$B$1+((Inputs!$G$5:$G$130&lt;&gt;"moeda")*(Inputs!$G$5:$G$130&lt;&gt;"acoes")))*INDEX(Inputs!$K$5:$AJ$130,0,MATCH(Y$2,Inputs!$K$4:$AJ$4,0)))+SUMPRODUCT((Inputs!$E$5:$E$130=$B61)*Inputs!$F$5:$F$130*(((Inputs!$G$5:$G$130="moeda")+(Inputs!$G$5:$G$130="acoes"))*Inputs!$B$1+((Inputs!$G$5:$G$130&lt;&gt;"moeda")*(Inputs!$G$5:$G$130&lt;&gt;"acoes")))*INDEX(Inputs!$K$5:$AJ$130,0,MATCH(Y$2,Inputs!$K$4:$AJ$4,0)))))</f>
        <v>118</v>
      </c>
      <c r="Z61" s="511">
        <f>IF(ISNA(MATCH(Z$2,Inputs!$K$4:$AJ$4,0)),NA(),IF(SUMPRODUCT((Inputs!$A$5:$A$130=$B61)*ISNUMBER(INDEX(Inputs!$K$5:$AJ$130,0,MATCH(Z$2,Inputs!$K$4:$AJ$4,0))))+SUMPRODUCT((Inputs!$C$5:$C$130=$B61)*ISNUMBER(INDEX(Inputs!$K$5:$AJ$130,0,MATCH(Z$2,Inputs!$K$4:$AJ$4,0))))+SUMPRODUCT((Inputs!$E$5:$E$130=$B61)*ISNUMBER(INDEX(Inputs!$K$5:$AJ$130,0,MATCH(Z$2,Inputs!$K$4:$AJ$4,0))))=0,NA(),SUMPRODUCT((Inputs!$A$5:$A$130=$B61)*Inputs!$B$5:$B$130*(((Inputs!$G$5:$G$130="moeda")+(Inputs!$G$5:$G$130="acoes"))*Inputs!$B$1+((Inputs!$G$5:$G$130&lt;&gt;"moeda")*(Inputs!$G$5:$G$130&lt;&gt;"acoes")))*INDEX(Inputs!$K$5:$AJ$130,0,MATCH(Z$2,Inputs!$K$4:$AJ$4,0)))+SUMPRODUCT((Inputs!$C$5:$C$130=$B61)*Inputs!$D$5:$D$130*(((Inputs!$G$5:$G$130="moeda")+(Inputs!$G$5:$G$130="acoes"))*Inputs!$B$1+((Inputs!$G$5:$G$130&lt;&gt;"moeda")*(Inputs!$G$5:$G$130&lt;&gt;"acoes")))*INDEX(Inputs!$K$5:$AJ$130,0,MATCH(Z$2,Inputs!$K$4:$AJ$4,0)))+SUMPRODUCT((Inputs!$E$5:$E$130=$B61)*Inputs!$F$5:$F$130*(((Inputs!$G$5:$G$130="moeda")+(Inputs!$G$5:$G$130="acoes"))*Inputs!$B$1+((Inputs!$G$5:$G$130&lt;&gt;"moeda")*(Inputs!$G$5:$G$130&lt;&gt;"acoes")))*INDEX(Inputs!$K$5:$AJ$130,0,MATCH(Z$2,Inputs!$K$4:$AJ$4,0)))))</f>
        <v>550</v>
      </c>
      <c r="AA61" s="511">
        <f>IF(ISNA(MATCH(AA$2,Inputs!$K$4:$AJ$4,0)),NA(),IF(SUMPRODUCT((Inputs!$A$5:$A$130=$B61)*ISNUMBER(INDEX(Inputs!$K$5:$AJ$130,0,MATCH(AA$2,Inputs!$K$4:$AJ$4,0))))+SUMPRODUCT((Inputs!$C$5:$C$130=$B61)*ISNUMBER(INDEX(Inputs!$K$5:$AJ$130,0,MATCH(AA$2,Inputs!$K$4:$AJ$4,0))))+SUMPRODUCT((Inputs!$E$5:$E$130=$B61)*ISNUMBER(INDEX(Inputs!$K$5:$AJ$130,0,MATCH(AA$2,Inputs!$K$4:$AJ$4,0))))=0,NA(),SUMPRODUCT((Inputs!$A$5:$A$130=$B61)*Inputs!$B$5:$B$130*(((Inputs!$G$5:$G$130="moeda")+(Inputs!$G$5:$G$130="acoes"))*Inputs!$B$1+((Inputs!$G$5:$G$130&lt;&gt;"moeda")*(Inputs!$G$5:$G$130&lt;&gt;"acoes")))*INDEX(Inputs!$K$5:$AJ$130,0,MATCH(AA$2,Inputs!$K$4:$AJ$4,0)))+SUMPRODUCT((Inputs!$C$5:$C$130=$B61)*Inputs!$D$5:$D$130*(((Inputs!$G$5:$G$130="moeda")+(Inputs!$G$5:$G$130="acoes"))*Inputs!$B$1+((Inputs!$G$5:$G$130&lt;&gt;"moeda")*(Inputs!$G$5:$G$130&lt;&gt;"acoes")))*INDEX(Inputs!$K$5:$AJ$130,0,MATCH(AA$2,Inputs!$K$4:$AJ$4,0)))+SUMPRODUCT((Inputs!$E$5:$E$130=$B61)*Inputs!$F$5:$F$130*(((Inputs!$G$5:$G$130="moeda")+(Inputs!$G$5:$G$130="acoes"))*Inputs!$B$1+((Inputs!$G$5:$G$130&lt;&gt;"moeda")*(Inputs!$G$5:$G$130&lt;&gt;"acoes")))*INDEX(Inputs!$K$5:$AJ$130,0,MATCH(AA$2,Inputs!$K$4:$AJ$4,0)))))</f>
        <v>-66</v>
      </c>
      <c r="AB61" s="512">
        <f>SUM(X61:AA61)</f>
        <v>1051</v>
      </c>
      <c r="AC61" s="511">
        <f>IF(ISNA(MATCH(AC$2,Inputs!$K$4:$AJ$4,0)),NA(),IF(SUMPRODUCT((Inputs!$A$5:$A$130=$B61)*ISNUMBER(INDEX(Inputs!$K$5:$AJ$130,0,MATCH(AC$2,Inputs!$K$4:$AJ$4,0))))+SUMPRODUCT((Inputs!$C$5:$C$130=$B61)*ISNUMBER(INDEX(Inputs!$K$5:$AJ$130,0,MATCH(AC$2,Inputs!$K$4:$AJ$4,0))))+SUMPRODUCT((Inputs!$E$5:$E$130=$B61)*ISNUMBER(INDEX(Inputs!$K$5:$AJ$130,0,MATCH(AC$2,Inputs!$K$4:$AJ$4,0))))=0,NA(),SUMPRODUCT((Inputs!$A$5:$A$130=$B61)*Inputs!$B$5:$B$130*(((Inputs!$G$5:$G$130="moeda")+(Inputs!$G$5:$G$130="acoes"))*Inputs!$B$1+((Inputs!$G$5:$G$130&lt;&gt;"moeda")*(Inputs!$G$5:$G$130&lt;&gt;"acoes")))*INDEX(Inputs!$K$5:$AJ$130,0,MATCH(AC$2,Inputs!$K$4:$AJ$4,0)))+SUMPRODUCT((Inputs!$C$5:$C$130=$B61)*Inputs!$D$5:$D$130*(((Inputs!$G$5:$G$130="moeda")+(Inputs!$G$5:$G$130="acoes"))*Inputs!$B$1+((Inputs!$G$5:$G$130&lt;&gt;"moeda")*(Inputs!$G$5:$G$130&lt;&gt;"acoes")))*INDEX(Inputs!$K$5:$AJ$130,0,MATCH(AC$2,Inputs!$K$4:$AJ$4,0)))+SUMPRODUCT((Inputs!$E$5:$E$130=$B61)*Inputs!$F$5:$F$130*(((Inputs!$G$5:$G$130="moeda")+(Inputs!$G$5:$G$130="acoes"))*Inputs!$B$1+((Inputs!$G$5:$G$130&lt;&gt;"moeda")*(Inputs!$G$5:$G$130&lt;&gt;"acoes")))*INDEX(Inputs!$K$5:$AJ$130,0,MATCH(AC$2,Inputs!$K$4:$AJ$4,0)))))</f>
        <v>1925</v>
      </c>
      <c r="AD61" s="511">
        <f>IF(ISNA(MATCH(AD$2,Inputs!$K$4:$AJ$4,0)),NA(),IF(SUMPRODUCT((Inputs!$A$5:$A$130=$B61)*ISNUMBER(INDEX(Inputs!$K$5:$AJ$130,0,MATCH(AD$2,Inputs!$K$4:$AJ$4,0))))+SUMPRODUCT((Inputs!$C$5:$C$130=$B61)*ISNUMBER(INDEX(Inputs!$K$5:$AJ$130,0,MATCH(AD$2,Inputs!$K$4:$AJ$4,0))))+SUMPRODUCT((Inputs!$E$5:$E$130=$B61)*ISNUMBER(INDEX(Inputs!$K$5:$AJ$130,0,MATCH(AD$2,Inputs!$K$4:$AJ$4,0))))=0,NA(),SUMPRODUCT((Inputs!$A$5:$A$130=$B61)*Inputs!$B$5:$B$130*(((Inputs!$G$5:$G$130="moeda")+(Inputs!$G$5:$G$130="acoes"))*Inputs!$B$1+((Inputs!$G$5:$G$130&lt;&gt;"moeda")*(Inputs!$G$5:$G$130&lt;&gt;"acoes")))*INDEX(Inputs!$K$5:$AJ$130,0,MATCH(AD$2,Inputs!$K$4:$AJ$4,0)))+SUMPRODUCT((Inputs!$C$5:$C$130=$B61)*Inputs!$D$5:$D$130*(((Inputs!$G$5:$G$130="moeda")+(Inputs!$G$5:$G$130="acoes"))*Inputs!$B$1+((Inputs!$G$5:$G$130&lt;&gt;"moeda")*(Inputs!$G$5:$G$130&lt;&gt;"acoes")))*INDEX(Inputs!$K$5:$AJ$130,0,MATCH(AD$2,Inputs!$K$4:$AJ$4,0)))+SUMPRODUCT((Inputs!$E$5:$E$130=$B61)*Inputs!$F$5:$F$130*(((Inputs!$G$5:$G$130="moeda")+(Inputs!$G$5:$G$130="acoes"))*Inputs!$B$1+((Inputs!$G$5:$G$130&lt;&gt;"moeda")*(Inputs!$G$5:$G$130&lt;&gt;"acoes")))*INDEX(Inputs!$K$5:$AJ$130,0,MATCH(AD$2,Inputs!$K$4:$AJ$4,0)))))</f>
        <v>2877</v>
      </c>
      <c r="AE61" s="511" t="e">
        <f>IF(ISNA(MATCH(AE$2,Inputs!$K$4:$AJ$4,0)),NA(),IF(SUMPRODUCT((Inputs!$A$5:$A$130=$B61)*ISNUMBER(INDEX(Inputs!$K$5:$AJ$130,0,MATCH(AE$2,Inputs!$K$4:$AJ$4,0))))+SUMPRODUCT((Inputs!$C$5:$C$130=$B61)*ISNUMBER(INDEX(Inputs!$K$5:$AJ$130,0,MATCH(AE$2,Inputs!$K$4:$AJ$4,0))))+SUMPRODUCT((Inputs!$E$5:$E$130=$B61)*ISNUMBER(INDEX(Inputs!$K$5:$AJ$130,0,MATCH(AE$2,Inputs!$K$4:$AJ$4,0))))=0,NA(),SUMPRODUCT((Inputs!$A$5:$A$130=$B61)*Inputs!$B$5:$B$130*(((Inputs!$G$5:$G$130="moeda")+(Inputs!$G$5:$G$130="acoes"))*Inputs!$B$1+((Inputs!$G$5:$G$130&lt;&gt;"moeda")*(Inputs!$G$5:$G$130&lt;&gt;"acoes")))*INDEX(Inputs!$K$5:$AJ$130,0,MATCH(AE$2,Inputs!$K$4:$AJ$4,0)))+SUMPRODUCT((Inputs!$C$5:$C$130=$B61)*Inputs!$D$5:$D$130*(((Inputs!$G$5:$G$130="moeda")+(Inputs!$G$5:$G$130="acoes"))*Inputs!$B$1+((Inputs!$G$5:$G$130&lt;&gt;"moeda")*(Inputs!$G$5:$G$130&lt;&gt;"acoes")))*INDEX(Inputs!$K$5:$AJ$130,0,MATCH(AE$2,Inputs!$K$4:$AJ$4,0)))+SUMPRODUCT((Inputs!$E$5:$E$130=$B61)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61" s="511" t="e">
        <f>IF(ISNA(MATCH(AF$2,Inputs!$K$4:$AJ$4,0)),NA(),IF(SUMPRODUCT((Inputs!$A$5:$A$130=$B61)*ISNUMBER(INDEX(Inputs!$K$5:$AJ$130,0,MATCH(AF$2,Inputs!$K$4:$AJ$4,0))))+SUMPRODUCT((Inputs!$C$5:$C$130=$B61)*ISNUMBER(INDEX(Inputs!$K$5:$AJ$130,0,MATCH(AF$2,Inputs!$K$4:$AJ$4,0))))+SUMPRODUCT((Inputs!$E$5:$E$130=$B61)*ISNUMBER(INDEX(Inputs!$K$5:$AJ$130,0,MATCH(AF$2,Inputs!$K$4:$AJ$4,0))))=0,NA(),SUMPRODUCT((Inputs!$A$5:$A$130=$B61)*Inputs!$B$5:$B$130*(((Inputs!$G$5:$G$130="moeda")+(Inputs!$G$5:$G$130="acoes"))*Inputs!$B$1+((Inputs!$G$5:$G$130&lt;&gt;"moeda")*(Inputs!$G$5:$G$130&lt;&gt;"acoes")))*INDEX(Inputs!$K$5:$AJ$130,0,MATCH(AF$2,Inputs!$K$4:$AJ$4,0)))+SUMPRODUCT((Inputs!$C$5:$C$130=$B61)*Inputs!$D$5:$D$130*(((Inputs!$G$5:$G$130="moeda")+(Inputs!$G$5:$G$130="acoes"))*Inputs!$B$1+((Inputs!$G$5:$G$130&lt;&gt;"moeda")*(Inputs!$G$5:$G$130&lt;&gt;"acoes")))*INDEX(Inputs!$K$5:$AJ$130,0,MATCH(AF$2,Inputs!$K$4:$AJ$4,0)))+SUMPRODUCT((Inputs!$E$5:$E$130=$B61)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61" s="512" t="e">
        <f>SUM(AC61:AF61)</f>
        <v>#N/A</v>
      </c>
      <c r="AH61" s="511" t="e">
        <f>IF(ISNA(MATCH(AH$2,Inputs!$K$4:$AJ$4,0)),NA(),IF(SUMPRODUCT((Inputs!$A$5:$A$130=$B61)*ISNUMBER(INDEX(Inputs!$K$5:$AJ$130,0,MATCH(AH$2,Inputs!$K$4:$AJ$4,0))))+SUMPRODUCT((Inputs!$C$5:$C$130=$B61)*ISNUMBER(INDEX(Inputs!$K$5:$AJ$130,0,MATCH(AH$2,Inputs!$K$4:$AJ$4,0))))+SUMPRODUCT((Inputs!$E$5:$E$130=$B61)*ISNUMBER(INDEX(Inputs!$K$5:$AJ$130,0,MATCH(AH$2,Inputs!$K$4:$AJ$4,0))))=0,NA(),SUMPRODUCT((Inputs!$A$5:$A$130=$B61)*Inputs!$B$5:$B$130*(((Inputs!$G$5:$G$130="moeda")+(Inputs!$G$5:$G$130="acoes"))*Inputs!$B$1+((Inputs!$G$5:$G$130&lt;&gt;"moeda")*(Inputs!$G$5:$G$130&lt;&gt;"acoes")))*INDEX(Inputs!$K$5:$AJ$130,0,MATCH(AH$2,Inputs!$K$4:$AJ$4,0)))+SUMPRODUCT((Inputs!$C$5:$C$130=$B61)*Inputs!$D$5:$D$130*(((Inputs!$G$5:$G$130="moeda")+(Inputs!$G$5:$G$130="acoes"))*Inputs!$B$1+((Inputs!$G$5:$G$130&lt;&gt;"moeda")*(Inputs!$G$5:$G$130&lt;&gt;"acoes")))*INDEX(Inputs!$K$5:$AJ$130,0,MATCH(AH$2,Inputs!$K$4:$AJ$4,0)))+SUMPRODUCT((Inputs!$E$5:$E$130=$B61)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61" s="511" t="e">
        <f>IF(ISNA(MATCH(AI$2,Inputs!$K$4:$AJ$4,0)),NA(),IF(SUMPRODUCT((Inputs!$A$5:$A$130=$B61)*ISNUMBER(INDEX(Inputs!$K$5:$AJ$130,0,MATCH(AI$2,Inputs!$K$4:$AJ$4,0))))+SUMPRODUCT((Inputs!$C$5:$C$130=$B61)*ISNUMBER(INDEX(Inputs!$K$5:$AJ$130,0,MATCH(AI$2,Inputs!$K$4:$AJ$4,0))))+SUMPRODUCT((Inputs!$E$5:$E$130=$B61)*ISNUMBER(INDEX(Inputs!$K$5:$AJ$130,0,MATCH(AI$2,Inputs!$K$4:$AJ$4,0))))=0,NA(),SUMPRODUCT((Inputs!$A$5:$A$130=$B61)*Inputs!$B$5:$B$130*(((Inputs!$G$5:$G$130="moeda")+(Inputs!$G$5:$G$130="acoes"))*Inputs!$B$1+((Inputs!$G$5:$G$130&lt;&gt;"moeda")*(Inputs!$G$5:$G$130&lt;&gt;"acoes")))*INDEX(Inputs!$K$5:$AJ$130,0,MATCH(AI$2,Inputs!$K$4:$AJ$4,0)))+SUMPRODUCT((Inputs!$C$5:$C$130=$B61)*Inputs!$D$5:$D$130*(((Inputs!$G$5:$G$130="moeda")+(Inputs!$G$5:$G$130="acoes"))*Inputs!$B$1+((Inputs!$G$5:$G$130&lt;&gt;"moeda")*(Inputs!$G$5:$G$130&lt;&gt;"acoes")))*INDEX(Inputs!$K$5:$AJ$130,0,MATCH(AI$2,Inputs!$K$4:$AJ$4,0)))+SUMPRODUCT((Inputs!$E$5:$E$130=$B61)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61" s="511" t="e">
        <f>IF(ISNA(MATCH(AJ$2,Inputs!$K$4:$AJ$4,0)),NA(),IF(SUMPRODUCT((Inputs!$A$5:$A$130=$B61)*ISNUMBER(INDEX(Inputs!$K$5:$AJ$130,0,MATCH(AJ$2,Inputs!$K$4:$AJ$4,0))))+SUMPRODUCT((Inputs!$C$5:$C$130=$B61)*ISNUMBER(INDEX(Inputs!$K$5:$AJ$130,0,MATCH(AJ$2,Inputs!$K$4:$AJ$4,0))))+SUMPRODUCT((Inputs!$E$5:$E$130=$B61)*ISNUMBER(INDEX(Inputs!$K$5:$AJ$130,0,MATCH(AJ$2,Inputs!$K$4:$AJ$4,0))))=0,NA(),SUMPRODUCT((Inputs!$A$5:$A$130=$B61)*Inputs!$B$5:$B$130*(((Inputs!$G$5:$G$130="moeda")+(Inputs!$G$5:$G$130="acoes"))*Inputs!$B$1+((Inputs!$G$5:$G$130&lt;&gt;"moeda")*(Inputs!$G$5:$G$130&lt;&gt;"acoes")))*INDEX(Inputs!$K$5:$AJ$130,0,MATCH(AJ$2,Inputs!$K$4:$AJ$4,0)))+SUMPRODUCT((Inputs!$C$5:$C$130=$B61)*Inputs!$D$5:$D$130*(((Inputs!$G$5:$G$130="moeda")+(Inputs!$G$5:$G$130="acoes"))*Inputs!$B$1+((Inputs!$G$5:$G$130&lt;&gt;"moeda")*(Inputs!$G$5:$G$130&lt;&gt;"acoes")))*INDEX(Inputs!$K$5:$AJ$130,0,MATCH(AJ$2,Inputs!$K$4:$AJ$4,0)))+SUMPRODUCT((Inputs!$E$5:$E$130=$B61)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61" s="511" t="e">
        <f>IF(ISNA(MATCH(AK$2,Inputs!$K$4:$AJ$4,0)),NA(),IF(SUMPRODUCT((Inputs!$A$5:$A$130=$B61)*ISNUMBER(INDEX(Inputs!$K$5:$AJ$130,0,MATCH(AK$2,Inputs!$K$4:$AJ$4,0))))+SUMPRODUCT((Inputs!$C$5:$C$130=$B61)*ISNUMBER(INDEX(Inputs!$K$5:$AJ$130,0,MATCH(AK$2,Inputs!$K$4:$AJ$4,0))))+SUMPRODUCT((Inputs!$E$5:$E$130=$B61)*ISNUMBER(INDEX(Inputs!$K$5:$AJ$130,0,MATCH(AK$2,Inputs!$K$4:$AJ$4,0))))=0,NA(),SUMPRODUCT((Inputs!$A$5:$A$130=$B61)*Inputs!$B$5:$B$130*(((Inputs!$G$5:$G$130="moeda")+(Inputs!$G$5:$G$130="acoes"))*Inputs!$B$1+((Inputs!$G$5:$G$130&lt;&gt;"moeda")*(Inputs!$G$5:$G$130&lt;&gt;"acoes")))*INDEX(Inputs!$K$5:$AJ$130,0,MATCH(AK$2,Inputs!$K$4:$AJ$4,0)))+SUMPRODUCT((Inputs!$C$5:$C$130=$B61)*Inputs!$D$5:$D$130*(((Inputs!$G$5:$G$130="moeda")+(Inputs!$G$5:$G$130="acoes"))*Inputs!$B$1+((Inputs!$G$5:$G$130&lt;&gt;"moeda")*(Inputs!$G$5:$G$130&lt;&gt;"acoes")))*INDEX(Inputs!$K$5:$AJ$130,0,MATCH(AK$2,Inputs!$K$4:$AJ$4,0)))+SUMPRODUCT((Inputs!$E$5:$E$130=$B61)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61" s="512" t="e">
        <f>SUM(AH61:AK61)</f>
        <v>#N/A</v>
      </c>
    </row>
    <row r="62">
      <c r="B62" s="263" t="n">
        <v>54</v>
      </c>
      <c r="C62" s="264" t="inlineStr">
        <is>
          <t>Renewables and Energy Solutions - Adjusted Earnings (USD mi)</t>
        </is>
      </c>
      <c r="D62" s="511">
        <f>IF(ISNA(MATCH(D$2,Inputs!$K$4:$AJ$4,0)),NA(),IF(SUMPRODUCT((Inputs!$A$5:$A$130=$B62)*ISNUMBER(INDEX(Inputs!$K$5:$AJ$130,0,MATCH(D$2,Inputs!$K$4:$AJ$4,0))))+SUMPRODUCT((Inputs!$C$5:$C$130=$B62)*ISNUMBER(INDEX(Inputs!$K$5:$AJ$130,0,MATCH(D$2,Inputs!$K$4:$AJ$4,0))))+SUMPRODUCT((Inputs!$E$5:$E$130=$B62)*ISNUMBER(INDEX(Inputs!$K$5:$AJ$130,0,MATCH(D$2,Inputs!$K$4:$AJ$4,0))))=0,NA(),SUMPRODUCT((Inputs!$A$5:$A$130=$B62)*Inputs!$B$5:$B$130*(((Inputs!$G$5:$G$130="moeda")+(Inputs!$G$5:$G$130="acoes"))*Inputs!$B$1+((Inputs!$G$5:$G$130&lt;&gt;"moeda")*(Inputs!$G$5:$G$130&lt;&gt;"acoes")))*INDEX(Inputs!$K$5:$AJ$130,0,MATCH(D$2,Inputs!$K$4:$AJ$4,0)))+SUMPRODUCT((Inputs!$C$5:$C$130=$B62)*Inputs!$D$5:$D$130*(((Inputs!$G$5:$G$130="moeda")+(Inputs!$G$5:$G$130="acoes"))*Inputs!$B$1+((Inputs!$G$5:$G$130&lt;&gt;"moeda")*(Inputs!$G$5:$G$130&lt;&gt;"acoes")))*INDEX(Inputs!$K$5:$AJ$130,0,MATCH(D$2,Inputs!$K$4:$AJ$4,0)))+SUMPRODUCT((Inputs!$E$5:$E$130=$B62)*Inputs!$F$5:$F$130*(((Inputs!$G$5:$G$130="moeda")+(Inputs!$G$5:$G$130="acoes"))*Inputs!$B$1+((Inputs!$G$5:$G$130&lt;&gt;"moeda")*(Inputs!$G$5:$G$130&lt;&gt;"acoes")))*INDEX(Inputs!$K$5:$AJ$130,0,MATCH(D$2,Inputs!$K$4:$AJ$4,0)))))</f>
        <v>-102</v>
      </c>
      <c r="E62" s="511">
        <f>IF(ISNA(MATCH(E$2,Inputs!$K$4:$AJ$4,0)),NA(),IF(SUMPRODUCT((Inputs!$A$5:$A$130=$B62)*ISNUMBER(INDEX(Inputs!$K$5:$AJ$130,0,MATCH(E$2,Inputs!$K$4:$AJ$4,0))))+SUMPRODUCT((Inputs!$C$5:$C$130=$B62)*ISNUMBER(INDEX(Inputs!$K$5:$AJ$130,0,MATCH(E$2,Inputs!$K$4:$AJ$4,0))))+SUMPRODUCT((Inputs!$E$5:$E$130=$B62)*ISNUMBER(INDEX(Inputs!$K$5:$AJ$130,0,MATCH(E$2,Inputs!$K$4:$AJ$4,0))))=0,NA(),SUMPRODUCT((Inputs!$A$5:$A$130=$B62)*Inputs!$B$5:$B$130*(((Inputs!$G$5:$G$130="moeda")+(Inputs!$G$5:$G$130="acoes"))*Inputs!$B$1+((Inputs!$G$5:$G$130&lt;&gt;"moeda")*(Inputs!$G$5:$G$130&lt;&gt;"acoes")))*INDEX(Inputs!$K$5:$AJ$130,0,MATCH(E$2,Inputs!$K$4:$AJ$4,0)))+SUMPRODUCT((Inputs!$C$5:$C$130=$B62)*Inputs!$D$5:$D$130*(((Inputs!$G$5:$G$130="moeda")+(Inputs!$G$5:$G$130="acoes"))*Inputs!$B$1+((Inputs!$G$5:$G$130&lt;&gt;"moeda")*(Inputs!$G$5:$G$130&lt;&gt;"acoes")))*INDEX(Inputs!$K$5:$AJ$130,0,MATCH(E$2,Inputs!$K$4:$AJ$4,0)))+SUMPRODUCT((Inputs!$E$5:$E$130=$B62)*Inputs!$F$5:$F$130*(((Inputs!$G$5:$G$130="moeda")+(Inputs!$G$5:$G$130="acoes"))*Inputs!$B$1+((Inputs!$G$5:$G$130&lt;&gt;"moeda")*(Inputs!$G$5:$G$130&lt;&gt;"acoes")))*INDEX(Inputs!$K$5:$AJ$130,0,MATCH(E$2,Inputs!$K$4:$AJ$4,0)))))</f>
        <v>-13</v>
      </c>
      <c r="F62" s="511">
        <f>IF(ISNA(MATCH(F$2,Inputs!$K$4:$AJ$4,0)),NA(),IF(SUMPRODUCT((Inputs!$A$5:$A$130=$B62)*ISNUMBER(INDEX(Inputs!$K$5:$AJ$130,0,MATCH(F$2,Inputs!$K$4:$AJ$4,0))))+SUMPRODUCT((Inputs!$C$5:$C$130=$B62)*ISNUMBER(INDEX(Inputs!$K$5:$AJ$130,0,MATCH(F$2,Inputs!$K$4:$AJ$4,0))))+SUMPRODUCT((Inputs!$E$5:$E$130=$B62)*ISNUMBER(INDEX(Inputs!$K$5:$AJ$130,0,MATCH(F$2,Inputs!$K$4:$AJ$4,0))))=0,NA(),SUMPRODUCT((Inputs!$A$5:$A$130=$B62)*Inputs!$B$5:$B$130*(((Inputs!$G$5:$G$130="moeda")+(Inputs!$G$5:$G$130="acoes"))*Inputs!$B$1+((Inputs!$G$5:$G$130&lt;&gt;"moeda")*(Inputs!$G$5:$G$130&lt;&gt;"acoes")))*INDEX(Inputs!$K$5:$AJ$130,0,MATCH(F$2,Inputs!$K$4:$AJ$4,0)))+SUMPRODUCT((Inputs!$C$5:$C$130=$B62)*Inputs!$D$5:$D$130*(((Inputs!$G$5:$G$130="moeda")+(Inputs!$G$5:$G$130="acoes"))*Inputs!$B$1+((Inputs!$G$5:$G$130&lt;&gt;"moeda")*(Inputs!$G$5:$G$130&lt;&gt;"acoes")))*INDEX(Inputs!$K$5:$AJ$130,0,MATCH(F$2,Inputs!$K$4:$AJ$4,0)))+SUMPRODUCT((Inputs!$E$5:$E$130=$B62)*Inputs!$F$5:$F$130*(((Inputs!$G$5:$G$130="moeda")+(Inputs!$G$5:$G$130="acoes"))*Inputs!$B$1+((Inputs!$G$5:$G$130&lt;&gt;"moeda")*(Inputs!$G$5:$G$130&lt;&gt;"acoes")))*INDEX(Inputs!$K$5:$AJ$130,0,MATCH(F$2,Inputs!$K$4:$AJ$4,0)))))</f>
        <v>-171</v>
      </c>
      <c r="G62" s="511">
        <f>IF(ISNA(MATCH(G$2,Inputs!$K$4:$AJ$4,0)),NA(),IF(SUMPRODUCT((Inputs!$A$5:$A$130=$B62)*ISNUMBER(INDEX(Inputs!$K$5:$AJ$130,0,MATCH(G$2,Inputs!$K$4:$AJ$4,0))))+SUMPRODUCT((Inputs!$C$5:$C$130=$B62)*ISNUMBER(INDEX(Inputs!$K$5:$AJ$130,0,MATCH(G$2,Inputs!$K$4:$AJ$4,0))))+SUMPRODUCT((Inputs!$E$5:$E$130=$B62)*ISNUMBER(INDEX(Inputs!$K$5:$AJ$130,0,MATCH(G$2,Inputs!$K$4:$AJ$4,0))))=0,NA(),SUMPRODUCT((Inputs!$A$5:$A$130=$B62)*Inputs!$B$5:$B$130*(((Inputs!$G$5:$G$130="moeda")+(Inputs!$G$5:$G$130="acoes"))*Inputs!$B$1+((Inputs!$G$5:$G$130&lt;&gt;"moeda")*(Inputs!$G$5:$G$130&lt;&gt;"acoes")))*INDEX(Inputs!$K$5:$AJ$130,0,MATCH(G$2,Inputs!$K$4:$AJ$4,0)))+SUMPRODUCT((Inputs!$C$5:$C$130=$B62)*Inputs!$D$5:$D$130*(((Inputs!$G$5:$G$130="moeda")+(Inputs!$G$5:$G$130="acoes"))*Inputs!$B$1+((Inputs!$G$5:$G$130&lt;&gt;"moeda")*(Inputs!$G$5:$G$130&lt;&gt;"acoes")))*INDEX(Inputs!$K$5:$AJ$130,0,MATCH(G$2,Inputs!$K$4:$AJ$4,0)))+SUMPRODUCT((Inputs!$E$5:$E$130=$B62)*Inputs!$F$5:$F$130*(((Inputs!$G$5:$G$130="moeda")+(Inputs!$G$5:$G$130="acoes"))*Inputs!$B$1+((Inputs!$G$5:$G$130&lt;&gt;"moeda")*(Inputs!$G$5:$G$130&lt;&gt;"acoes")))*INDEX(Inputs!$K$5:$AJ$130,0,MATCH(G$2,Inputs!$K$4:$AJ$4,0)))))</f>
        <v>43</v>
      </c>
      <c r="H62" s="512">
        <f>SUM(D62:G62)</f>
        <v>-243</v>
      </c>
      <c r="I62" s="511">
        <f>IF(ISNA(MATCH(I$2,Inputs!$K$4:$AJ$4,0)),NA(),IF(SUMPRODUCT((Inputs!$A$5:$A$130=$B62)*ISNUMBER(INDEX(Inputs!$K$5:$AJ$130,0,MATCH(I$2,Inputs!$K$4:$AJ$4,0))))+SUMPRODUCT((Inputs!$C$5:$C$130=$B62)*ISNUMBER(INDEX(Inputs!$K$5:$AJ$130,0,MATCH(I$2,Inputs!$K$4:$AJ$4,0))))+SUMPRODUCT((Inputs!$E$5:$E$130=$B62)*ISNUMBER(INDEX(Inputs!$K$5:$AJ$130,0,MATCH(I$2,Inputs!$K$4:$AJ$4,0))))=0,NA(),SUMPRODUCT((Inputs!$A$5:$A$130=$B62)*Inputs!$B$5:$B$130*(((Inputs!$G$5:$G$130="moeda")+(Inputs!$G$5:$G$130="acoes"))*Inputs!$B$1+((Inputs!$G$5:$G$130&lt;&gt;"moeda")*(Inputs!$G$5:$G$130&lt;&gt;"acoes")))*INDEX(Inputs!$K$5:$AJ$130,0,MATCH(I$2,Inputs!$K$4:$AJ$4,0)))+SUMPRODUCT((Inputs!$C$5:$C$130=$B62)*Inputs!$D$5:$D$130*(((Inputs!$G$5:$G$130="moeda")+(Inputs!$G$5:$G$130="acoes"))*Inputs!$B$1+((Inputs!$G$5:$G$130&lt;&gt;"moeda")*(Inputs!$G$5:$G$130&lt;&gt;"acoes")))*INDEX(Inputs!$K$5:$AJ$130,0,MATCH(I$2,Inputs!$K$4:$AJ$4,0)))+SUMPRODUCT((Inputs!$E$5:$E$130=$B62)*Inputs!$F$5:$F$130*(((Inputs!$G$5:$G$130="moeda")+(Inputs!$G$5:$G$130="acoes"))*Inputs!$B$1+((Inputs!$G$5:$G$130&lt;&gt;"moeda")*(Inputs!$G$5:$G$130&lt;&gt;"acoes")))*INDEX(Inputs!$K$5:$AJ$130,0,MATCH(I$2,Inputs!$K$4:$AJ$4,0)))))</f>
        <v>348</v>
      </c>
      <c r="J62" s="511">
        <f>IF(ISNA(MATCH(J$2,Inputs!$K$4:$AJ$4,0)),NA(),IF(SUMPRODUCT((Inputs!$A$5:$A$130=$B62)*ISNUMBER(INDEX(Inputs!$K$5:$AJ$130,0,MATCH(J$2,Inputs!$K$4:$AJ$4,0))))+SUMPRODUCT((Inputs!$C$5:$C$130=$B62)*ISNUMBER(INDEX(Inputs!$K$5:$AJ$130,0,MATCH(J$2,Inputs!$K$4:$AJ$4,0))))+SUMPRODUCT((Inputs!$E$5:$E$130=$B62)*ISNUMBER(INDEX(Inputs!$K$5:$AJ$130,0,MATCH(J$2,Inputs!$K$4:$AJ$4,0))))=0,NA(),SUMPRODUCT((Inputs!$A$5:$A$130=$B62)*Inputs!$B$5:$B$130*(((Inputs!$G$5:$G$130="moeda")+(Inputs!$G$5:$G$130="acoes"))*Inputs!$B$1+((Inputs!$G$5:$G$130&lt;&gt;"moeda")*(Inputs!$G$5:$G$130&lt;&gt;"acoes")))*INDEX(Inputs!$K$5:$AJ$130,0,MATCH(J$2,Inputs!$K$4:$AJ$4,0)))+SUMPRODUCT((Inputs!$C$5:$C$130=$B62)*Inputs!$D$5:$D$130*(((Inputs!$G$5:$G$130="moeda")+(Inputs!$G$5:$G$130="acoes"))*Inputs!$B$1+((Inputs!$G$5:$G$130&lt;&gt;"moeda")*(Inputs!$G$5:$G$130&lt;&gt;"acoes")))*INDEX(Inputs!$K$5:$AJ$130,0,MATCH(J$2,Inputs!$K$4:$AJ$4,0)))+SUMPRODUCT((Inputs!$E$5:$E$130=$B62)*Inputs!$F$5:$F$130*(((Inputs!$G$5:$G$130="moeda")+(Inputs!$G$5:$G$130="acoes"))*Inputs!$B$1+((Inputs!$G$5:$G$130&lt;&gt;"moeda")*(Inputs!$G$5:$G$130&lt;&gt;"acoes")))*INDEX(Inputs!$K$5:$AJ$130,0,MATCH(J$2,Inputs!$K$4:$AJ$4,0)))))</f>
        <v>730</v>
      </c>
      <c r="K62" s="511">
        <f>IF(ISNA(MATCH(K$2,Inputs!$K$4:$AJ$4,0)),NA(),IF(SUMPRODUCT((Inputs!$A$5:$A$130=$B62)*ISNUMBER(INDEX(Inputs!$K$5:$AJ$130,0,MATCH(K$2,Inputs!$K$4:$AJ$4,0))))+SUMPRODUCT((Inputs!$C$5:$C$130=$B62)*ISNUMBER(INDEX(Inputs!$K$5:$AJ$130,0,MATCH(K$2,Inputs!$K$4:$AJ$4,0))))+SUMPRODUCT((Inputs!$E$5:$E$130=$B62)*ISNUMBER(INDEX(Inputs!$K$5:$AJ$130,0,MATCH(K$2,Inputs!$K$4:$AJ$4,0))))=0,NA(),SUMPRODUCT((Inputs!$A$5:$A$130=$B62)*Inputs!$B$5:$B$130*(((Inputs!$G$5:$G$130="moeda")+(Inputs!$G$5:$G$130="acoes"))*Inputs!$B$1+((Inputs!$G$5:$G$130&lt;&gt;"moeda")*(Inputs!$G$5:$G$130&lt;&gt;"acoes")))*INDEX(Inputs!$K$5:$AJ$130,0,MATCH(K$2,Inputs!$K$4:$AJ$4,0)))+SUMPRODUCT((Inputs!$C$5:$C$130=$B62)*Inputs!$D$5:$D$130*(((Inputs!$G$5:$G$130="moeda")+(Inputs!$G$5:$G$130="acoes"))*Inputs!$B$1+((Inputs!$G$5:$G$130&lt;&gt;"moeda")*(Inputs!$G$5:$G$130&lt;&gt;"acoes")))*INDEX(Inputs!$K$5:$AJ$130,0,MATCH(K$2,Inputs!$K$4:$AJ$4,0)))+SUMPRODUCT((Inputs!$E$5:$E$130=$B62)*Inputs!$F$5:$F$130*(((Inputs!$G$5:$G$130="moeda")+(Inputs!$G$5:$G$130="acoes"))*Inputs!$B$1+((Inputs!$G$5:$G$130&lt;&gt;"moeda")*(Inputs!$G$5:$G$130&lt;&gt;"acoes")))*INDEX(Inputs!$K$5:$AJ$130,0,MATCH(K$2,Inputs!$K$4:$AJ$4,0)))))</f>
        <v>389</v>
      </c>
      <c r="L62" s="511">
        <f>IF(ISNA(MATCH(L$2,Inputs!$K$4:$AJ$4,0)),NA(),IF(SUMPRODUCT((Inputs!$A$5:$A$130=$B62)*ISNUMBER(INDEX(Inputs!$K$5:$AJ$130,0,MATCH(L$2,Inputs!$K$4:$AJ$4,0))))+SUMPRODUCT((Inputs!$C$5:$C$130=$B62)*ISNUMBER(INDEX(Inputs!$K$5:$AJ$130,0,MATCH(L$2,Inputs!$K$4:$AJ$4,0))))+SUMPRODUCT((Inputs!$E$5:$E$130=$B62)*ISNUMBER(INDEX(Inputs!$K$5:$AJ$130,0,MATCH(L$2,Inputs!$K$4:$AJ$4,0))))=0,NA(),SUMPRODUCT((Inputs!$A$5:$A$130=$B62)*Inputs!$B$5:$B$130*(((Inputs!$G$5:$G$130="moeda")+(Inputs!$G$5:$G$130="acoes"))*Inputs!$B$1+((Inputs!$G$5:$G$130&lt;&gt;"moeda")*(Inputs!$G$5:$G$130&lt;&gt;"acoes")))*INDEX(Inputs!$K$5:$AJ$130,0,MATCH(L$2,Inputs!$K$4:$AJ$4,0)))+SUMPRODUCT((Inputs!$C$5:$C$130=$B62)*Inputs!$D$5:$D$130*(((Inputs!$G$5:$G$130="moeda")+(Inputs!$G$5:$G$130="acoes"))*Inputs!$B$1+((Inputs!$G$5:$G$130&lt;&gt;"moeda")*(Inputs!$G$5:$G$130&lt;&gt;"acoes")))*INDEX(Inputs!$K$5:$AJ$130,0,MATCH(L$2,Inputs!$K$4:$AJ$4,0)))+SUMPRODUCT((Inputs!$E$5:$E$130=$B62)*Inputs!$F$5:$F$130*(((Inputs!$G$5:$G$130="moeda")+(Inputs!$G$5:$G$130="acoes"))*Inputs!$B$1+((Inputs!$G$5:$G$130&lt;&gt;"moeda")*(Inputs!$G$5:$G$130&lt;&gt;"acoes")))*INDEX(Inputs!$K$5:$AJ$130,0,MATCH(L$2,Inputs!$K$4:$AJ$4,0)))))</f>
        <v>310</v>
      </c>
      <c r="M62" s="512">
        <f>SUM(I62:L62)</f>
        <v>1777</v>
      </c>
      <c r="N62" s="511">
        <f>IF(ISNA(MATCH(N$2,Inputs!$K$4:$AJ$4,0)),NA(),IF(SUMPRODUCT((Inputs!$A$5:$A$130=$B62)*ISNUMBER(INDEX(Inputs!$K$5:$AJ$130,0,MATCH(N$2,Inputs!$K$4:$AJ$4,0))))+SUMPRODUCT((Inputs!$C$5:$C$130=$B62)*ISNUMBER(INDEX(Inputs!$K$5:$AJ$130,0,MATCH(N$2,Inputs!$K$4:$AJ$4,0))))+SUMPRODUCT((Inputs!$E$5:$E$130=$B62)*ISNUMBER(INDEX(Inputs!$K$5:$AJ$130,0,MATCH(N$2,Inputs!$K$4:$AJ$4,0))))=0,NA(),SUMPRODUCT((Inputs!$A$5:$A$130=$B62)*Inputs!$B$5:$B$130*(((Inputs!$G$5:$G$130="moeda")+(Inputs!$G$5:$G$130="acoes"))*Inputs!$B$1+((Inputs!$G$5:$G$130&lt;&gt;"moeda")*(Inputs!$G$5:$G$130&lt;&gt;"acoes")))*INDEX(Inputs!$K$5:$AJ$130,0,MATCH(N$2,Inputs!$K$4:$AJ$4,0)))+SUMPRODUCT((Inputs!$C$5:$C$130=$B62)*Inputs!$D$5:$D$130*(((Inputs!$G$5:$G$130="moeda")+(Inputs!$G$5:$G$130="acoes"))*Inputs!$B$1+((Inputs!$G$5:$G$130&lt;&gt;"moeda")*(Inputs!$G$5:$G$130&lt;&gt;"acoes")))*INDEX(Inputs!$K$5:$AJ$130,0,MATCH(N$2,Inputs!$K$4:$AJ$4,0)))+SUMPRODUCT((Inputs!$E$5:$E$130=$B62)*Inputs!$F$5:$F$130*(((Inputs!$G$5:$G$130="moeda")+(Inputs!$G$5:$G$130="acoes"))*Inputs!$B$1+((Inputs!$G$5:$G$130&lt;&gt;"moeda")*(Inputs!$G$5:$G$130&lt;&gt;"acoes")))*INDEX(Inputs!$K$5:$AJ$130,0,MATCH(N$2,Inputs!$K$4:$AJ$4,0)))))</f>
        <v>395</v>
      </c>
      <c r="O62" s="511">
        <f>IF(ISNA(MATCH(O$2,Inputs!$K$4:$AJ$4,0)),NA(),IF(SUMPRODUCT((Inputs!$A$5:$A$130=$B62)*ISNUMBER(INDEX(Inputs!$K$5:$AJ$130,0,MATCH(O$2,Inputs!$K$4:$AJ$4,0))))+SUMPRODUCT((Inputs!$C$5:$C$130=$B62)*ISNUMBER(INDEX(Inputs!$K$5:$AJ$130,0,MATCH(O$2,Inputs!$K$4:$AJ$4,0))))+SUMPRODUCT((Inputs!$E$5:$E$130=$B62)*ISNUMBER(INDEX(Inputs!$K$5:$AJ$130,0,MATCH(O$2,Inputs!$K$4:$AJ$4,0))))=0,NA(),SUMPRODUCT((Inputs!$A$5:$A$130=$B62)*Inputs!$B$5:$B$130*(((Inputs!$G$5:$G$130="moeda")+(Inputs!$G$5:$G$130="acoes"))*Inputs!$B$1+((Inputs!$G$5:$G$130&lt;&gt;"moeda")*(Inputs!$G$5:$G$130&lt;&gt;"acoes")))*INDEX(Inputs!$K$5:$AJ$130,0,MATCH(O$2,Inputs!$K$4:$AJ$4,0)))+SUMPRODUCT((Inputs!$C$5:$C$130=$B62)*Inputs!$D$5:$D$130*(((Inputs!$G$5:$G$130="moeda")+(Inputs!$G$5:$G$130="acoes"))*Inputs!$B$1+((Inputs!$G$5:$G$130&lt;&gt;"moeda")*(Inputs!$G$5:$G$130&lt;&gt;"acoes")))*INDEX(Inputs!$K$5:$AJ$130,0,MATCH(O$2,Inputs!$K$4:$AJ$4,0)))+SUMPRODUCT((Inputs!$E$5:$E$130=$B62)*Inputs!$F$5:$F$130*(((Inputs!$G$5:$G$130="moeda")+(Inputs!$G$5:$G$130="acoes"))*Inputs!$B$1+((Inputs!$G$5:$G$130&lt;&gt;"moeda")*(Inputs!$G$5:$G$130&lt;&gt;"acoes")))*INDEX(Inputs!$K$5:$AJ$130,0,MATCH(O$2,Inputs!$K$4:$AJ$4,0)))))</f>
        <v>238</v>
      </c>
      <c r="P62" s="511">
        <f>IF(ISNA(MATCH(P$2,Inputs!$K$4:$AJ$4,0)),NA(),IF(SUMPRODUCT((Inputs!$A$5:$A$130=$B62)*ISNUMBER(INDEX(Inputs!$K$5:$AJ$130,0,MATCH(P$2,Inputs!$K$4:$AJ$4,0))))+SUMPRODUCT((Inputs!$C$5:$C$130=$B62)*ISNUMBER(INDEX(Inputs!$K$5:$AJ$130,0,MATCH(P$2,Inputs!$K$4:$AJ$4,0))))+SUMPRODUCT((Inputs!$E$5:$E$130=$B62)*ISNUMBER(INDEX(Inputs!$K$5:$AJ$130,0,MATCH(P$2,Inputs!$K$4:$AJ$4,0))))=0,NA(),SUMPRODUCT((Inputs!$A$5:$A$130=$B62)*Inputs!$B$5:$B$130*(((Inputs!$G$5:$G$130="moeda")+(Inputs!$G$5:$G$130="acoes"))*Inputs!$B$1+((Inputs!$G$5:$G$130&lt;&gt;"moeda")*(Inputs!$G$5:$G$130&lt;&gt;"acoes")))*INDEX(Inputs!$K$5:$AJ$130,0,MATCH(P$2,Inputs!$K$4:$AJ$4,0)))+SUMPRODUCT((Inputs!$C$5:$C$130=$B62)*Inputs!$D$5:$D$130*(((Inputs!$G$5:$G$130="moeda")+(Inputs!$G$5:$G$130="acoes"))*Inputs!$B$1+((Inputs!$G$5:$G$130&lt;&gt;"moeda")*(Inputs!$G$5:$G$130&lt;&gt;"acoes")))*INDEX(Inputs!$K$5:$AJ$130,0,MATCH(P$2,Inputs!$K$4:$AJ$4,0)))+SUMPRODUCT((Inputs!$E$5:$E$130=$B62)*Inputs!$F$5:$F$130*(((Inputs!$G$5:$G$130="moeda")+(Inputs!$G$5:$G$130="acoes"))*Inputs!$B$1+((Inputs!$G$5:$G$130&lt;&gt;"moeda")*(Inputs!$G$5:$G$130&lt;&gt;"acoes")))*INDEX(Inputs!$K$5:$AJ$130,0,MATCH(P$2,Inputs!$K$4:$AJ$4,0)))))</f>
        <v>-52</v>
      </c>
      <c r="Q62" s="511">
        <f>IF(ISNA(MATCH(Q$2,Inputs!$K$4:$AJ$4,0)),NA(),IF(SUMPRODUCT((Inputs!$A$5:$A$130=$B62)*ISNUMBER(INDEX(Inputs!$K$5:$AJ$130,0,MATCH(Q$2,Inputs!$K$4:$AJ$4,0))))+SUMPRODUCT((Inputs!$C$5:$C$130=$B62)*ISNUMBER(INDEX(Inputs!$K$5:$AJ$130,0,MATCH(Q$2,Inputs!$K$4:$AJ$4,0))))+SUMPRODUCT((Inputs!$E$5:$E$130=$B62)*ISNUMBER(INDEX(Inputs!$K$5:$AJ$130,0,MATCH(Q$2,Inputs!$K$4:$AJ$4,0))))=0,NA(),SUMPRODUCT((Inputs!$A$5:$A$130=$B62)*Inputs!$B$5:$B$130*(((Inputs!$G$5:$G$130="moeda")+(Inputs!$G$5:$G$130="acoes"))*Inputs!$B$1+((Inputs!$G$5:$G$130&lt;&gt;"moeda")*(Inputs!$G$5:$G$130&lt;&gt;"acoes")))*INDEX(Inputs!$K$5:$AJ$130,0,MATCH(Q$2,Inputs!$K$4:$AJ$4,0)))+SUMPRODUCT((Inputs!$C$5:$C$130=$B62)*Inputs!$D$5:$D$130*(((Inputs!$G$5:$G$130="moeda")+(Inputs!$G$5:$G$130="acoes"))*Inputs!$B$1+((Inputs!$G$5:$G$130&lt;&gt;"moeda")*(Inputs!$G$5:$G$130&lt;&gt;"acoes")))*INDEX(Inputs!$K$5:$AJ$130,0,MATCH(Q$2,Inputs!$K$4:$AJ$4,0)))+SUMPRODUCT((Inputs!$E$5:$E$130=$B62)*Inputs!$F$5:$F$130*(((Inputs!$G$5:$G$130="moeda")+(Inputs!$G$5:$G$130="acoes"))*Inputs!$B$1+((Inputs!$G$5:$G$130&lt;&gt;"moeda")*(Inputs!$G$5:$G$130&lt;&gt;"acoes")))*INDEX(Inputs!$K$5:$AJ$130,0,MATCH(Q$2,Inputs!$K$4:$AJ$4,0)))))</f>
        <v>173</v>
      </c>
      <c r="R62" s="512">
        <f>SUM(N62:Q62)</f>
        <v>754</v>
      </c>
      <c r="S62" s="511">
        <f>IF(ISNA(MATCH(S$2,Inputs!$K$4:$AJ$4,0)),NA(),IF(SUMPRODUCT((Inputs!$A$5:$A$130=$B62)*ISNUMBER(INDEX(Inputs!$K$5:$AJ$130,0,MATCH(S$2,Inputs!$K$4:$AJ$4,0))))+SUMPRODUCT((Inputs!$C$5:$C$130=$B62)*ISNUMBER(INDEX(Inputs!$K$5:$AJ$130,0,MATCH(S$2,Inputs!$K$4:$AJ$4,0))))+SUMPRODUCT((Inputs!$E$5:$E$130=$B62)*ISNUMBER(INDEX(Inputs!$K$5:$AJ$130,0,MATCH(S$2,Inputs!$K$4:$AJ$4,0))))=0,NA(),SUMPRODUCT((Inputs!$A$5:$A$130=$B62)*Inputs!$B$5:$B$130*(((Inputs!$G$5:$G$130="moeda")+(Inputs!$G$5:$G$130="acoes"))*Inputs!$B$1+((Inputs!$G$5:$G$130&lt;&gt;"moeda")*(Inputs!$G$5:$G$130&lt;&gt;"acoes")))*INDEX(Inputs!$K$5:$AJ$130,0,MATCH(S$2,Inputs!$K$4:$AJ$4,0)))+SUMPRODUCT((Inputs!$C$5:$C$130=$B62)*Inputs!$D$5:$D$130*(((Inputs!$G$5:$G$130="moeda")+(Inputs!$G$5:$G$130="acoes"))*Inputs!$B$1+((Inputs!$G$5:$G$130&lt;&gt;"moeda")*(Inputs!$G$5:$G$130&lt;&gt;"acoes")))*INDEX(Inputs!$K$5:$AJ$130,0,MATCH(S$2,Inputs!$K$4:$AJ$4,0)))+SUMPRODUCT((Inputs!$E$5:$E$130=$B62)*Inputs!$F$5:$F$130*(((Inputs!$G$5:$G$130="moeda")+(Inputs!$G$5:$G$130="acoes"))*Inputs!$B$1+((Inputs!$G$5:$G$130&lt;&gt;"moeda")*(Inputs!$G$5:$G$130&lt;&gt;"acoes")))*INDEX(Inputs!$K$5:$AJ$130,0,MATCH(S$2,Inputs!$K$4:$AJ$4,0)))))</f>
        <v>163</v>
      </c>
      <c r="T62" s="511">
        <f>IF(ISNA(MATCH(T$2,Inputs!$K$4:$AJ$4,0)),NA(),IF(SUMPRODUCT((Inputs!$A$5:$A$130=$B62)*ISNUMBER(INDEX(Inputs!$K$5:$AJ$130,0,MATCH(T$2,Inputs!$K$4:$AJ$4,0))))+SUMPRODUCT((Inputs!$C$5:$C$130=$B62)*ISNUMBER(INDEX(Inputs!$K$5:$AJ$130,0,MATCH(T$2,Inputs!$K$4:$AJ$4,0))))+SUMPRODUCT((Inputs!$E$5:$E$130=$B62)*ISNUMBER(INDEX(Inputs!$K$5:$AJ$130,0,MATCH(T$2,Inputs!$K$4:$AJ$4,0))))=0,NA(),SUMPRODUCT((Inputs!$A$5:$A$130=$B62)*Inputs!$B$5:$B$130*(((Inputs!$G$5:$G$130="moeda")+(Inputs!$G$5:$G$130="acoes"))*Inputs!$B$1+((Inputs!$G$5:$G$130&lt;&gt;"moeda")*(Inputs!$G$5:$G$130&lt;&gt;"acoes")))*INDEX(Inputs!$K$5:$AJ$130,0,MATCH(T$2,Inputs!$K$4:$AJ$4,0)))+SUMPRODUCT((Inputs!$C$5:$C$130=$B62)*Inputs!$D$5:$D$130*(((Inputs!$G$5:$G$130="moeda")+(Inputs!$G$5:$G$130="acoes"))*Inputs!$B$1+((Inputs!$G$5:$G$130&lt;&gt;"moeda")*(Inputs!$G$5:$G$130&lt;&gt;"acoes")))*INDEX(Inputs!$K$5:$AJ$130,0,MATCH(T$2,Inputs!$K$4:$AJ$4,0)))+SUMPRODUCT((Inputs!$E$5:$E$130=$B62)*Inputs!$F$5:$F$130*(((Inputs!$G$5:$G$130="moeda")+(Inputs!$G$5:$G$130="acoes"))*Inputs!$B$1+((Inputs!$G$5:$G$130&lt;&gt;"moeda")*(Inputs!$G$5:$G$130&lt;&gt;"acoes")))*INDEX(Inputs!$K$5:$AJ$130,0,MATCH(T$2,Inputs!$K$4:$AJ$4,0)))))</f>
        <v>-187</v>
      </c>
      <c r="U62" s="511">
        <f>IF(ISNA(MATCH(U$2,Inputs!$K$4:$AJ$4,0)),NA(),IF(SUMPRODUCT((Inputs!$A$5:$A$130=$B62)*ISNUMBER(INDEX(Inputs!$K$5:$AJ$130,0,MATCH(U$2,Inputs!$K$4:$AJ$4,0))))+SUMPRODUCT((Inputs!$C$5:$C$130=$B62)*ISNUMBER(INDEX(Inputs!$K$5:$AJ$130,0,MATCH(U$2,Inputs!$K$4:$AJ$4,0))))+SUMPRODUCT((Inputs!$E$5:$E$130=$B62)*ISNUMBER(INDEX(Inputs!$K$5:$AJ$130,0,MATCH(U$2,Inputs!$K$4:$AJ$4,0))))=0,NA(),SUMPRODUCT((Inputs!$A$5:$A$130=$B62)*Inputs!$B$5:$B$130*(((Inputs!$G$5:$G$130="moeda")+(Inputs!$G$5:$G$130="acoes"))*Inputs!$B$1+((Inputs!$G$5:$G$130&lt;&gt;"moeda")*(Inputs!$G$5:$G$130&lt;&gt;"acoes")))*INDEX(Inputs!$K$5:$AJ$130,0,MATCH(U$2,Inputs!$K$4:$AJ$4,0)))+SUMPRODUCT((Inputs!$C$5:$C$130=$B62)*Inputs!$D$5:$D$130*(((Inputs!$G$5:$G$130="moeda")+(Inputs!$G$5:$G$130="acoes"))*Inputs!$B$1+((Inputs!$G$5:$G$130&lt;&gt;"moeda")*(Inputs!$G$5:$G$130&lt;&gt;"acoes")))*INDEX(Inputs!$K$5:$AJ$130,0,MATCH(U$2,Inputs!$K$4:$AJ$4,0)))+SUMPRODUCT((Inputs!$E$5:$E$130=$B62)*Inputs!$F$5:$F$130*(((Inputs!$G$5:$G$130="moeda")+(Inputs!$G$5:$G$130="acoes"))*Inputs!$B$1+((Inputs!$G$5:$G$130&lt;&gt;"moeda")*(Inputs!$G$5:$G$130&lt;&gt;"acoes")))*INDEX(Inputs!$K$5:$AJ$130,0,MATCH(U$2,Inputs!$K$4:$AJ$4,0)))))</f>
        <v>-162</v>
      </c>
      <c r="V62" s="511">
        <f>IF(ISNA(MATCH(V$2,Inputs!$K$4:$AJ$4,0)),NA(),IF(SUMPRODUCT((Inputs!$A$5:$A$130=$B62)*ISNUMBER(INDEX(Inputs!$K$5:$AJ$130,0,MATCH(V$2,Inputs!$K$4:$AJ$4,0))))+SUMPRODUCT((Inputs!$C$5:$C$130=$B62)*ISNUMBER(INDEX(Inputs!$K$5:$AJ$130,0,MATCH(V$2,Inputs!$K$4:$AJ$4,0))))+SUMPRODUCT((Inputs!$E$5:$E$130=$B62)*ISNUMBER(INDEX(Inputs!$K$5:$AJ$130,0,MATCH(V$2,Inputs!$K$4:$AJ$4,0))))=0,NA(),SUMPRODUCT((Inputs!$A$5:$A$130=$B62)*Inputs!$B$5:$B$130*(((Inputs!$G$5:$G$130="moeda")+(Inputs!$G$5:$G$130="acoes"))*Inputs!$B$1+((Inputs!$G$5:$G$130&lt;&gt;"moeda")*(Inputs!$G$5:$G$130&lt;&gt;"acoes")))*INDEX(Inputs!$K$5:$AJ$130,0,MATCH(V$2,Inputs!$K$4:$AJ$4,0)))+SUMPRODUCT((Inputs!$C$5:$C$130=$B62)*Inputs!$D$5:$D$130*(((Inputs!$G$5:$G$130="moeda")+(Inputs!$G$5:$G$130="acoes"))*Inputs!$B$1+((Inputs!$G$5:$G$130&lt;&gt;"moeda")*(Inputs!$G$5:$G$130&lt;&gt;"acoes")))*INDEX(Inputs!$K$5:$AJ$130,0,MATCH(V$2,Inputs!$K$4:$AJ$4,0)))+SUMPRODUCT((Inputs!$E$5:$E$130=$B62)*Inputs!$F$5:$F$130*(((Inputs!$G$5:$G$130="moeda")+(Inputs!$G$5:$G$130="acoes"))*Inputs!$B$1+((Inputs!$G$5:$G$130&lt;&gt;"moeda")*(Inputs!$G$5:$G$130&lt;&gt;"acoes")))*INDEX(Inputs!$K$5:$AJ$130,0,MATCH(V$2,Inputs!$K$4:$AJ$4,0)))))</f>
        <v>-311</v>
      </c>
      <c r="W62" s="512">
        <f>SUM(S62:V62)</f>
        <v>-497</v>
      </c>
      <c r="X62" s="511">
        <f>IF(ISNA(MATCH(X$2,Inputs!$K$4:$AJ$4,0)),NA(),IF(SUMPRODUCT((Inputs!$A$5:$A$130=$B62)*ISNUMBER(INDEX(Inputs!$K$5:$AJ$130,0,MATCH(X$2,Inputs!$K$4:$AJ$4,0))))+SUMPRODUCT((Inputs!$C$5:$C$130=$B62)*ISNUMBER(INDEX(Inputs!$K$5:$AJ$130,0,MATCH(X$2,Inputs!$K$4:$AJ$4,0))))+SUMPRODUCT((Inputs!$E$5:$E$130=$B62)*ISNUMBER(INDEX(Inputs!$K$5:$AJ$130,0,MATCH(X$2,Inputs!$K$4:$AJ$4,0))))=0,NA(),SUMPRODUCT((Inputs!$A$5:$A$130=$B62)*Inputs!$B$5:$B$130*(((Inputs!$G$5:$G$130="moeda")+(Inputs!$G$5:$G$130="acoes"))*Inputs!$B$1+((Inputs!$G$5:$G$130&lt;&gt;"moeda")*(Inputs!$G$5:$G$130&lt;&gt;"acoes")))*INDEX(Inputs!$K$5:$AJ$130,0,MATCH(X$2,Inputs!$K$4:$AJ$4,0)))+SUMPRODUCT((Inputs!$C$5:$C$130=$B62)*Inputs!$D$5:$D$130*(((Inputs!$G$5:$G$130="moeda")+(Inputs!$G$5:$G$130="acoes"))*Inputs!$B$1+((Inputs!$G$5:$G$130&lt;&gt;"moeda")*(Inputs!$G$5:$G$130&lt;&gt;"acoes")))*INDEX(Inputs!$K$5:$AJ$130,0,MATCH(X$2,Inputs!$K$4:$AJ$4,0)))+SUMPRODUCT((Inputs!$E$5:$E$130=$B62)*Inputs!$F$5:$F$130*(((Inputs!$G$5:$G$130="moeda")+(Inputs!$G$5:$G$130="acoes"))*Inputs!$B$1+((Inputs!$G$5:$G$130&lt;&gt;"moeda")*(Inputs!$G$5:$G$130&lt;&gt;"acoes")))*INDEX(Inputs!$K$5:$AJ$130,0,MATCH(X$2,Inputs!$K$4:$AJ$4,0)))))</f>
        <v>-42</v>
      </c>
      <c r="Y62" s="511">
        <f>IF(ISNA(MATCH(Y$2,Inputs!$K$4:$AJ$4,0)),NA(),IF(SUMPRODUCT((Inputs!$A$5:$A$130=$B62)*ISNUMBER(INDEX(Inputs!$K$5:$AJ$130,0,MATCH(Y$2,Inputs!$K$4:$AJ$4,0))))+SUMPRODUCT((Inputs!$C$5:$C$130=$B62)*ISNUMBER(INDEX(Inputs!$K$5:$AJ$130,0,MATCH(Y$2,Inputs!$K$4:$AJ$4,0))))+SUMPRODUCT((Inputs!$E$5:$E$130=$B62)*ISNUMBER(INDEX(Inputs!$K$5:$AJ$130,0,MATCH(Y$2,Inputs!$K$4:$AJ$4,0))))=0,NA(),SUMPRODUCT((Inputs!$A$5:$A$130=$B62)*Inputs!$B$5:$B$130*(((Inputs!$G$5:$G$130="moeda")+(Inputs!$G$5:$G$130="acoes"))*Inputs!$B$1+((Inputs!$G$5:$G$130&lt;&gt;"moeda")*(Inputs!$G$5:$G$130&lt;&gt;"acoes")))*INDEX(Inputs!$K$5:$AJ$130,0,MATCH(Y$2,Inputs!$K$4:$AJ$4,0)))+SUMPRODUCT((Inputs!$C$5:$C$130=$B62)*Inputs!$D$5:$D$130*(((Inputs!$G$5:$G$130="moeda")+(Inputs!$G$5:$G$130="acoes"))*Inputs!$B$1+((Inputs!$G$5:$G$130&lt;&gt;"moeda")*(Inputs!$G$5:$G$130&lt;&gt;"acoes")))*INDEX(Inputs!$K$5:$AJ$130,0,MATCH(Y$2,Inputs!$K$4:$AJ$4,0)))+SUMPRODUCT((Inputs!$E$5:$E$130=$B62)*Inputs!$F$5:$F$130*(((Inputs!$G$5:$G$130="moeda")+(Inputs!$G$5:$G$130="acoes"))*Inputs!$B$1+((Inputs!$G$5:$G$130&lt;&gt;"moeda")*(Inputs!$G$5:$G$130&lt;&gt;"acoes")))*INDEX(Inputs!$K$5:$AJ$130,0,MATCH(Y$2,Inputs!$K$4:$AJ$4,0)))))</f>
        <v>-9</v>
      </c>
      <c r="Z62" s="511">
        <f>IF(ISNA(MATCH(Z$2,Inputs!$K$4:$AJ$4,0)),NA(),IF(SUMPRODUCT((Inputs!$A$5:$A$130=$B62)*ISNUMBER(INDEX(Inputs!$K$5:$AJ$130,0,MATCH(Z$2,Inputs!$K$4:$AJ$4,0))))+SUMPRODUCT((Inputs!$C$5:$C$130=$B62)*ISNUMBER(INDEX(Inputs!$K$5:$AJ$130,0,MATCH(Z$2,Inputs!$K$4:$AJ$4,0))))+SUMPRODUCT((Inputs!$E$5:$E$130=$B62)*ISNUMBER(INDEX(Inputs!$K$5:$AJ$130,0,MATCH(Z$2,Inputs!$K$4:$AJ$4,0))))=0,NA(),SUMPRODUCT((Inputs!$A$5:$A$130=$B62)*Inputs!$B$5:$B$130*(((Inputs!$G$5:$G$130="moeda")+(Inputs!$G$5:$G$130="acoes"))*Inputs!$B$1+((Inputs!$G$5:$G$130&lt;&gt;"moeda")*(Inputs!$G$5:$G$130&lt;&gt;"acoes")))*INDEX(Inputs!$K$5:$AJ$130,0,MATCH(Z$2,Inputs!$K$4:$AJ$4,0)))+SUMPRODUCT((Inputs!$C$5:$C$130=$B62)*Inputs!$D$5:$D$130*(((Inputs!$G$5:$G$130="moeda")+(Inputs!$G$5:$G$130="acoes"))*Inputs!$B$1+((Inputs!$G$5:$G$130&lt;&gt;"moeda")*(Inputs!$G$5:$G$130&lt;&gt;"acoes")))*INDEX(Inputs!$K$5:$AJ$130,0,MATCH(Z$2,Inputs!$K$4:$AJ$4,0)))+SUMPRODUCT((Inputs!$E$5:$E$130=$B62)*Inputs!$F$5:$F$130*(((Inputs!$G$5:$G$130="moeda")+(Inputs!$G$5:$G$130="acoes"))*Inputs!$B$1+((Inputs!$G$5:$G$130&lt;&gt;"moeda")*(Inputs!$G$5:$G$130&lt;&gt;"acoes")))*INDEX(Inputs!$K$5:$AJ$130,0,MATCH(Z$2,Inputs!$K$4:$AJ$4,0)))))</f>
        <v>92</v>
      </c>
      <c r="AA62" s="511">
        <f>IF(ISNA(MATCH(AA$2,Inputs!$K$4:$AJ$4,0)),NA(),IF(SUMPRODUCT((Inputs!$A$5:$A$130=$B62)*ISNUMBER(INDEX(Inputs!$K$5:$AJ$130,0,MATCH(AA$2,Inputs!$K$4:$AJ$4,0))))+SUMPRODUCT((Inputs!$C$5:$C$130=$B62)*ISNUMBER(INDEX(Inputs!$K$5:$AJ$130,0,MATCH(AA$2,Inputs!$K$4:$AJ$4,0))))+SUMPRODUCT((Inputs!$E$5:$E$130=$B62)*ISNUMBER(INDEX(Inputs!$K$5:$AJ$130,0,MATCH(AA$2,Inputs!$K$4:$AJ$4,0))))=0,NA(),SUMPRODUCT((Inputs!$A$5:$A$130=$B62)*Inputs!$B$5:$B$130*(((Inputs!$G$5:$G$130="moeda")+(Inputs!$G$5:$G$130="acoes"))*Inputs!$B$1+((Inputs!$G$5:$G$130&lt;&gt;"moeda")*(Inputs!$G$5:$G$130&lt;&gt;"acoes")))*INDEX(Inputs!$K$5:$AJ$130,0,MATCH(AA$2,Inputs!$K$4:$AJ$4,0)))+SUMPRODUCT((Inputs!$C$5:$C$130=$B62)*Inputs!$D$5:$D$130*(((Inputs!$G$5:$G$130="moeda")+(Inputs!$G$5:$G$130="acoes"))*Inputs!$B$1+((Inputs!$G$5:$G$130&lt;&gt;"moeda")*(Inputs!$G$5:$G$130&lt;&gt;"acoes")))*INDEX(Inputs!$K$5:$AJ$130,0,MATCH(AA$2,Inputs!$K$4:$AJ$4,0)))+SUMPRODUCT((Inputs!$E$5:$E$130=$B62)*Inputs!$F$5:$F$130*(((Inputs!$G$5:$G$130="moeda")+(Inputs!$G$5:$G$130="acoes"))*Inputs!$B$1+((Inputs!$G$5:$G$130&lt;&gt;"moeda")*(Inputs!$G$5:$G$130&lt;&gt;"acoes")))*INDEX(Inputs!$K$5:$AJ$130,0,MATCH(AA$2,Inputs!$K$4:$AJ$4,0)))))</f>
        <v>131</v>
      </c>
      <c r="AB62" s="512">
        <f>SUM(X62:AA62)</f>
        <v>172</v>
      </c>
      <c r="AC62" s="511">
        <f>IF(ISNA(MATCH(AC$2,Inputs!$K$4:$AJ$4,0)),NA(),IF(SUMPRODUCT((Inputs!$A$5:$A$130=$B62)*ISNUMBER(INDEX(Inputs!$K$5:$AJ$130,0,MATCH(AC$2,Inputs!$K$4:$AJ$4,0))))+SUMPRODUCT((Inputs!$C$5:$C$130=$B62)*ISNUMBER(INDEX(Inputs!$K$5:$AJ$130,0,MATCH(AC$2,Inputs!$K$4:$AJ$4,0))))+SUMPRODUCT((Inputs!$E$5:$E$130=$B62)*ISNUMBER(INDEX(Inputs!$K$5:$AJ$130,0,MATCH(AC$2,Inputs!$K$4:$AJ$4,0))))=0,NA(),SUMPRODUCT((Inputs!$A$5:$A$130=$B62)*Inputs!$B$5:$B$130*(((Inputs!$G$5:$G$130="moeda")+(Inputs!$G$5:$G$130="acoes"))*Inputs!$B$1+((Inputs!$G$5:$G$130&lt;&gt;"moeda")*(Inputs!$G$5:$G$130&lt;&gt;"acoes")))*INDEX(Inputs!$K$5:$AJ$130,0,MATCH(AC$2,Inputs!$K$4:$AJ$4,0)))+SUMPRODUCT((Inputs!$C$5:$C$130=$B62)*Inputs!$D$5:$D$130*(((Inputs!$G$5:$G$130="moeda")+(Inputs!$G$5:$G$130="acoes"))*Inputs!$B$1+((Inputs!$G$5:$G$130&lt;&gt;"moeda")*(Inputs!$G$5:$G$130&lt;&gt;"acoes")))*INDEX(Inputs!$K$5:$AJ$130,0,MATCH(AC$2,Inputs!$K$4:$AJ$4,0)))+SUMPRODUCT((Inputs!$E$5:$E$130=$B62)*Inputs!$F$5:$F$130*(((Inputs!$G$5:$G$130="moeda")+(Inputs!$G$5:$G$130="acoes"))*Inputs!$B$1+((Inputs!$G$5:$G$130&lt;&gt;"moeda")*(Inputs!$G$5:$G$130&lt;&gt;"acoes")))*INDEX(Inputs!$K$5:$AJ$130,0,MATCH(AC$2,Inputs!$K$4:$AJ$4,0)))))</f>
        <v>348</v>
      </c>
      <c r="AD62" s="511">
        <f>IF(ISNA(MATCH(AD$2,Inputs!$K$4:$AJ$4,0)),NA(),IF(SUMPRODUCT((Inputs!$A$5:$A$130=$B62)*ISNUMBER(INDEX(Inputs!$K$5:$AJ$130,0,MATCH(AD$2,Inputs!$K$4:$AJ$4,0))))+SUMPRODUCT((Inputs!$C$5:$C$130=$B62)*ISNUMBER(INDEX(Inputs!$K$5:$AJ$130,0,MATCH(AD$2,Inputs!$K$4:$AJ$4,0))))+SUMPRODUCT((Inputs!$E$5:$E$130=$B62)*ISNUMBER(INDEX(Inputs!$K$5:$AJ$130,0,MATCH(AD$2,Inputs!$K$4:$AJ$4,0))))=0,NA(),SUMPRODUCT((Inputs!$A$5:$A$130=$B62)*Inputs!$B$5:$B$130*(((Inputs!$G$5:$G$130="moeda")+(Inputs!$G$5:$G$130="acoes"))*Inputs!$B$1+((Inputs!$G$5:$G$130&lt;&gt;"moeda")*(Inputs!$G$5:$G$130&lt;&gt;"acoes")))*INDEX(Inputs!$K$5:$AJ$130,0,MATCH(AD$2,Inputs!$K$4:$AJ$4,0)))+SUMPRODUCT((Inputs!$C$5:$C$130=$B62)*Inputs!$D$5:$D$130*(((Inputs!$G$5:$G$130="moeda")+(Inputs!$G$5:$G$130="acoes"))*Inputs!$B$1+((Inputs!$G$5:$G$130&lt;&gt;"moeda")*(Inputs!$G$5:$G$130&lt;&gt;"acoes")))*INDEX(Inputs!$K$5:$AJ$130,0,MATCH(AD$2,Inputs!$K$4:$AJ$4,0)))+SUMPRODUCT((Inputs!$E$5:$E$130=$B62)*Inputs!$F$5:$F$130*(((Inputs!$G$5:$G$130="moeda")+(Inputs!$G$5:$G$130="acoes"))*Inputs!$B$1+((Inputs!$G$5:$G$130&lt;&gt;"moeda")*(Inputs!$G$5:$G$130&lt;&gt;"acoes")))*INDEX(Inputs!$K$5:$AJ$130,0,MATCH(AD$2,Inputs!$K$4:$AJ$4,0)))))</f>
        <v>79</v>
      </c>
      <c r="AE62" s="511" t="e">
        <f>IF(ISNA(MATCH(AE$2,Inputs!$K$4:$AJ$4,0)),NA(),IF(SUMPRODUCT((Inputs!$A$5:$A$130=$B62)*ISNUMBER(INDEX(Inputs!$K$5:$AJ$130,0,MATCH(AE$2,Inputs!$K$4:$AJ$4,0))))+SUMPRODUCT((Inputs!$C$5:$C$130=$B62)*ISNUMBER(INDEX(Inputs!$K$5:$AJ$130,0,MATCH(AE$2,Inputs!$K$4:$AJ$4,0))))+SUMPRODUCT((Inputs!$E$5:$E$130=$B62)*ISNUMBER(INDEX(Inputs!$K$5:$AJ$130,0,MATCH(AE$2,Inputs!$K$4:$AJ$4,0))))=0,NA(),SUMPRODUCT((Inputs!$A$5:$A$130=$B62)*Inputs!$B$5:$B$130*(((Inputs!$G$5:$G$130="moeda")+(Inputs!$G$5:$G$130="acoes"))*Inputs!$B$1+((Inputs!$G$5:$G$130&lt;&gt;"moeda")*(Inputs!$G$5:$G$130&lt;&gt;"acoes")))*INDEX(Inputs!$K$5:$AJ$130,0,MATCH(AE$2,Inputs!$K$4:$AJ$4,0)))+SUMPRODUCT((Inputs!$C$5:$C$130=$B62)*Inputs!$D$5:$D$130*(((Inputs!$G$5:$G$130="moeda")+(Inputs!$G$5:$G$130="acoes"))*Inputs!$B$1+((Inputs!$G$5:$G$130&lt;&gt;"moeda")*(Inputs!$G$5:$G$130&lt;&gt;"acoes")))*INDEX(Inputs!$K$5:$AJ$130,0,MATCH(AE$2,Inputs!$K$4:$AJ$4,0)))+SUMPRODUCT((Inputs!$E$5:$E$130=$B62)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62" s="511" t="e">
        <f>IF(ISNA(MATCH(AF$2,Inputs!$K$4:$AJ$4,0)),NA(),IF(SUMPRODUCT((Inputs!$A$5:$A$130=$B62)*ISNUMBER(INDEX(Inputs!$K$5:$AJ$130,0,MATCH(AF$2,Inputs!$K$4:$AJ$4,0))))+SUMPRODUCT((Inputs!$C$5:$C$130=$B62)*ISNUMBER(INDEX(Inputs!$K$5:$AJ$130,0,MATCH(AF$2,Inputs!$K$4:$AJ$4,0))))+SUMPRODUCT((Inputs!$E$5:$E$130=$B62)*ISNUMBER(INDEX(Inputs!$K$5:$AJ$130,0,MATCH(AF$2,Inputs!$K$4:$AJ$4,0))))=0,NA(),SUMPRODUCT((Inputs!$A$5:$A$130=$B62)*Inputs!$B$5:$B$130*(((Inputs!$G$5:$G$130="moeda")+(Inputs!$G$5:$G$130="acoes"))*Inputs!$B$1+((Inputs!$G$5:$G$130&lt;&gt;"moeda")*(Inputs!$G$5:$G$130&lt;&gt;"acoes")))*INDEX(Inputs!$K$5:$AJ$130,0,MATCH(AF$2,Inputs!$K$4:$AJ$4,0)))+SUMPRODUCT((Inputs!$C$5:$C$130=$B62)*Inputs!$D$5:$D$130*(((Inputs!$G$5:$G$130="moeda")+(Inputs!$G$5:$G$130="acoes"))*Inputs!$B$1+((Inputs!$G$5:$G$130&lt;&gt;"moeda")*(Inputs!$G$5:$G$130&lt;&gt;"acoes")))*INDEX(Inputs!$K$5:$AJ$130,0,MATCH(AF$2,Inputs!$K$4:$AJ$4,0)))+SUMPRODUCT((Inputs!$E$5:$E$130=$B62)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62" s="512" t="e">
        <f>SUM(AC62:AF62)</f>
        <v>#N/A</v>
      </c>
      <c r="AH62" s="511" t="e">
        <f>IF(ISNA(MATCH(AH$2,Inputs!$K$4:$AJ$4,0)),NA(),IF(SUMPRODUCT((Inputs!$A$5:$A$130=$B62)*ISNUMBER(INDEX(Inputs!$K$5:$AJ$130,0,MATCH(AH$2,Inputs!$K$4:$AJ$4,0))))+SUMPRODUCT((Inputs!$C$5:$C$130=$B62)*ISNUMBER(INDEX(Inputs!$K$5:$AJ$130,0,MATCH(AH$2,Inputs!$K$4:$AJ$4,0))))+SUMPRODUCT((Inputs!$E$5:$E$130=$B62)*ISNUMBER(INDEX(Inputs!$K$5:$AJ$130,0,MATCH(AH$2,Inputs!$K$4:$AJ$4,0))))=0,NA(),SUMPRODUCT((Inputs!$A$5:$A$130=$B62)*Inputs!$B$5:$B$130*(((Inputs!$G$5:$G$130="moeda")+(Inputs!$G$5:$G$130="acoes"))*Inputs!$B$1+((Inputs!$G$5:$G$130&lt;&gt;"moeda")*(Inputs!$G$5:$G$130&lt;&gt;"acoes")))*INDEX(Inputs!$K$5:$AJ$130,0,MATCH(AH$2,Inputs!$K$4:$AJ$4,0)))+SUMPRODUCT((Inputs!$C$5:$C$130=$B62)*Inputs!$D$5:$D$130*(((Inputs!$G$5:$G$130="moeda")+(Inputs!$G$5:$G$130="acoes"))*Inputs!$B$1+((Inputs!$G$5:$G$130&lt;&gt;"moeda")*(Inputs!$G$5:$G$130&lt;&gt;"acoes")))*INDEX(Inputs!$K$5:$AJ$130,0,MATCH(AH$2,Inputs!$K$4:$AJ$4,0)))+SUMPRODUCT((Inputs!$E$5:$E$130=$B62)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62" s="511" t="e">
        <f>IF(ISNA(MATCH(AI$2,Inputs!$K$4:$AJ$4,0)),NA(),IF(SUMPRODUCT((Inputs!$A$5:$A$130=$B62)*ISNUMBER(INDEX(Inputs!$K$5:$AJ$130,0,MATCH(AI$2,Inputs!$K$4:$AJ$4,0))))+SUMPRODUCT((Inputs!$C$5:$C$130=$B62)*ISNUMBER(INDEX(Inputs!$K$5:$AJ$130,0,MATCH(AI$2,Inputs!$K$4:$AJ$4,0))))+SUMPRODUCT((Inputs!$E$5:$E$130=$B62)*ISNUMBER(INDEX(Inputs!$K$5:$AJ$130,0,MATCH(AI$2,Inputs!$K$4:$AJ$4,0))))=0,NA(),SUMPRODUCT((Inputs!$A$5:$A$130=$B62)*Inputs!$B$5:$B$130*(((Inputs!$G$5:$G$130="moeda")+(Inputs!$G$5:$G$130="acoes"))*Inputs!$B$1+((Inputs!$G$5:$G$130&lt;&gt;"moeda")*(Inputs!$G$5:$G$130&lt;&gt;"acoes")))*INDEX(Inputs!$K$5:$AJ$130,0,MATCH(AI$2,Inputs!$K$4:$AJ$4,0)))+SUMPRODUCT((Inputs!$C$5:$C$130=$B62)*Inputs!$D$5:$D$130*(((Inputs!$G$5:$G$130="moeda")+(Inputs!$G$5:$G$130="acoes"))*Inputs!$B$1+((Inputs!$G$5:$G$130&lt;&gt;"moeda")*(Inputs!$G$5:$G$130&lt;&gt;"acoes")))*INDEX(Inputs!$K$5:$AJ$130,0,MATCH(AI$2,Inputs!$K$4:$AJ$4,0)))+SUMPRODUCT((Inputs!$E$5:$E$130=$B62)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62" s="511" t="e">
        <f>IF(ISNA(MATCH(AJ$2,Inputs!$K$4:$AJ$4,0)),NA(),IF(SUMPRODUCT((Inputs!$A$5:$A$130=$B62)*ISNUMBER(INDEX(Inputs!$K$5:$AJ$130,0,MATCH(AJ$2,Inputs!$K$4:$AJ$4,0))))+SUMPRODUCT((Inputs!$C$5:$C$130=$B62)*ISNUMBER(INDEX(Inputs!$K$5:$AJ$130,0,MATCH(AJ$2,Inputs!$K$4:$AJ$4,0))))+SUMPRODUCT((Inputs!$E$5:$E$130=$B62)*ISNUMBER(INDEX(Inputs!$K$5:$AJ$130,0,MATCH(AJ$2,Inputs!$K$4:$AJ$4,0))))=0,NA(),SUMPRODUCT((Inputs!$A$5:$A$130=$B62)*Inputs!$B$5:$B$130*(((Inputs!$G$5:$G$130="moeda")+(Inputs!$G$5:$G$130="acoes"))*Inputs!$B$1+((Inputs!$G$5:$G$130&lt;&gt;"moeda")*(Inputs!$G$5:$G$130&lt;&gt;"acoes")))*INDEX(Inputs!$K$5:$AJ$130,0,MATCH(AJ$2,Inputs!$K$4:$AJ$4,0)))+SUMPRODUCT((Inputs!$C$5:$C$130=$B62)*Inputs!$D$5:$D$130*(((Inputs!$G$5:$G$130="moeda")+(Inputs!$G$5:$G$130="acoes"))*Inputs!$B$1+((Inputs!$G$5:$G$130&lt;&gt;"moeda")*(Inputs!$G$5:$G$130&lt;&gt;"acoes")))*INDEX(Inputs!$K$5:$AJ$130,0,MATCH(AJ$2,Inputs!$K$4:$AJ$4,0)))+SUMPRODUCT((Inputs!$E$5:$E$130=$B62)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62" s="511" t="e">
        <f>IF(ISNA(MATCH(AK$2,Inputs!$K$4:$AJ$4,0)),NA(),IF(SUMPRODUCT((Inputs!$A$5:$A$130=$B62)*ISNUMBER(INDEX(Inputs!$K$5:$AJ$130,0,MATCH(AK$2,Inputs!$K$4:$AJ$4,0))))+SUMPRODUCT((Inputs!$C$5:$C$130=$B62)*ISNUMBER(INDEX(Inputs!$K$5:$AJ$130,0,MATCH(AK$2,Inputs!$K$4:$AJ$4,0))))+SUMPRODUCT((Inputs!$E$5:$E$130=$B62)*ISNUMBER(INDEX(Inputs!$K$5:$AJ$130,0,MATCH(AK$2,Inputs!$K$4:$AJ$4,0))))=0,NA(),SUMPRODUCT((Inputs!$A$5:$A$130=$B62)*Inputs!$B$5:$B$130*(((Inputs!$G$5:$G$130="moeda")+(Inputs!$G$5:$G$130="acoes"))*Inputs!$B$1+((Inputs!$G$5:$G$130&lt;&gt;"moeda")*(Inputs!$G$5:$G$130&lt;&gt;"acoes")))*INDEX(Inputs!$K$5:$AJ$130,0,MATCH(AK$2,Inputs!$K$4:$AJ$4,0)))+SUMPRODUCT((Inputs!$C$5:$C$130=$B62)*Inputs!$D$5:$D$130*(((Inputs!$G$5:$G$130="moeda")+(Inputs!$G$5:$G$130="acoes"))*Inputs!$B$1+((Inputs!$G$5:$G$130&lt;&gt;"moeda")*(Inputs!$G$5:$G$130&lt;&gt;"acoes")))*INDEX(Inputs!$K$5:$AJ$130,0,MATCH(AK$2,Inputs!$K$4:$AJ$4,0)))+SUMPRODUCT((Inputs!$E$5:$E$130=$B62)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62" s="512" t="e">
        <f>SUM(AH62:AK62)</f>
        <v>#N/A</v>
      </c>
    </row>
    <row r="63">
      <c r="B63" s="263" t="n">
        <v>55</v>
      </c>
      <c r="C63" s="264" t="inlineStr">
        <is>
          <t>Corporate - Adjusted Earnings (USD mi)</t>
        </is>
      </c>
      <c r="D63" s="511">
        <f>IF(ISNA(MATCH(D$2,Inputs!$K$4:$AJ$4,0)),NA(),IF(SUMPRODUCT((Inputs!$A$5:$A$130=$B63)*ISNUMBER(INDEX(Inputs!$K$5:$AJ$130,0,MATCH(D$2,Inputs!$K$4:$AJ$4,0))))+SUMPRODUCT((Inputs!$C$5:$C$130=$B63)*ISNUMBER(INDEX(Inputs!$K$5:$AJ$130,0,MATCH(D$2,Inputs!$K$4:$AJ$4,0))))+SUMPRODUCT((Inputs!$E$5:$E$130=$B63)*ISNUMBER(INDEX(Inputs!$K$5:$AJ$130,0,MATCH(D$2,Inputs!$K$4:$AJ$4,0))))=0,NA(),SUMPRODUCT((Inputs!$A$5:$A$130=$B63)*Inputs!$B$5:$B$130*(((Inputs!$G$5:$G$130="moeda")+(Inputs!$G$5:$G$130="acoes"))*Inputs!$B$1+((Inputs!$G$5:$G$130&lt;&gt;"moeda")*(Inputs!$G$5:$G$130&lt;&gt;"acoes")))*INDEX(Inputs!$K$5:$AJ$130,0,MATCH(D$2,Inputs!$K$4:$AJ$4,0)))+SUMPRODUCT((Inputs!$C$5:$C$130=$B63)*Inputs!$D$5:$D$130*(((Inputs!$G$5:$G$130="moeda")+(Inputs!$G$5:$G$130="acoes"))*Inputs!$B$1+((Inputs!$G$5:$G$130&lt;&gt;"moeda")*(Inputs!$G$5:$G$130&lt;&gt;"acoes")))*INDEX(Inputs!$K$5:$AJ$130,0,MATCH(D$2,Inputs!$K$4:$AJ$4,0)))+SUMPRODUCT((Inputs!$E$5:$E$130=$B63)*Inputs!$F$5:$F$130*(((Inputs!$G$5:$G$130="moeda")+(Inputs!$G$5:$G$130="acoes"))*Inputs!$B$1+((Inputs!$G$5:$G$130&lt;&gt;"moeda")*(Inputs!$G$5:$G$130&lt;&gt;"acoes")))*INDEX(Inputs!$K$5:$AJ$130,0,MATCH(D$2,Inputs!$K$4:$AJ$4,0)))))</f>
        <v>-666</v>
      </c>
      <c r="E63" s="511">
        <f>IF(ISNA(MATCH(E$2,Inputs!$K$4:$AJ$4,0)),NA(),IF(SUMPRODUCT((Inputs!$A$5:$A$130=$B63)*ISNUMBER(INDEX(Inputs!$K$5:$AJ$130,0,MATCH(E$2,Inputs!$K$4:$AJ$4,0))))+SUMPRODUCT((Inputs!$C$5:$C$130=$B63)*ISNUMBER(INDEX(Inputs!$K$5:$AJ$130,0,MATCH(E$2,Inputs!$K$4:$AJ$4,0))))+SUMPRODUCT((Inputs!$E$5:$E$130=$B63)*ISNUMBER(INDEX(Inputs!$K$5:$AJ$130,0,MATCH(E$2,Inputs!$K$4:$AJ$4,0))))=0,NA(),SUMPRODUCT((Inputs!$A$5:$A$130=$B63)*Inputs!$B$5:$B$130*(((Inputs!$G$5:$G$130="moeda")+(Inputs!$G$5:$G$130="acoes"))*Inputs!$B$1+((Inputs!$G$5:$G$130&lt;&gt;"moeda")*(Inputs!$G$5:$G$130&lt;&gt;"acoes")))*INDEX(Inputs!$K$5:$AJ$130,0,MATCH(E$2,Inputs!$K$4:$AJ$4,0)))+SUMPRODUCT((Inputs!$C$5:$C$130=$B63)*Inputs!$D$5:$D$130*(((Inputs!$G$5:$G$130="moeda")+(Inputs!$G$5:$G$130="acoes"))*Inputs!$B$1+((Inputs!$G$5:$G$130&lt;&gt;"moeda")*(Inputs!$G$5:$G$130&lt;&gt;"acoes")))*INDEX(Inputs!$K$5:$AJ$130,0,MATCH(E$2,Inputs!$K$4:$AJ$4,0)))+SUMPRODUCT((Inputs!$E$5:$E$130=$B63)*Inputs!$F$5:$F$130*(((Inputs!$G$5:$G$130="moeda")+(Inputs!$G$5:$G$130="acoes"))*Inputs!$B$1+((Inputs!$G$5:$G$130&lt;&gt;"moeda")*(Inputs!$G$5:$G$130&lt;&gt;"acoes")))*INDEX(Inputs!$K$5:$AJ$130,0,MATCH(E$2,Inputs!$K$4:$AJ$4,0)))))</f>
        <v>-399</v>
      </c>
      <c r="F63" s="511">
        <f>IF(ISNA(MATCH(F$2,Inputs!$K$4:$AJ$4,0)),NA(),IF(SUMPRODUCT((Inputs!$A$5:$A$130=$B63)*ISNUMBER(INDEX(Inputs!$K$5:$AJ$130,0,MATCH(F$2,Inputs!$K$4:$AJ$4,0))))+SUMPRODUCT((Inputs!$C$5:$C$130=$B63)*ISNUMBER(INDEX(Inputs!$K$5:$AJ$130,0,MATCH(F$2,Inputs!$K$4:$AJ$4,0))))+SUMPRODUCT((Inputs!$E$5:$E$130=$B63)*ISNUMBER(INDEX(Inputs!$K$5:$AJ$130,0,MATCH(F$2,Inputs!$K$4:$AJ$4,0))))=0,NA(),SUMPRODUCT((Inputs!$A$5:$A$130=$B63)*Inputs!$B$5:$B$130*(((Inputs!$G$5:$G$130="moeda")+(Inputs!$G$5:$G$130="acoes"))*Inputs!$B$1+((Inputs!$G$5:$G$130&lt;&gt;"moeda")*(Inputs!$G$5:$G$130&lt;&gt;"acoes")))*INDEX(Inputs!$K$5:$AJ$130,0,MATCH(F$2,Inputs!$K$4:$AJ$4,0)))+SUMPRODUCT((Inputs!$C$5:$C$130=$B63)*Inputs!$D$5:$D$130*(((Inputs!$G$5:$G$130="moeda")+(Inputs!$G$5:$G$130="acoes"))*Inputs!$B$1+((Inputs!$G$5:$G$130&lt;&gt;"moeda")*(Inputs!$G$5:$G$130&lt;&gt;"acoes")))*INDEX(Inputs!$K$5:$AJ$130,0,MATCH(F$2,Inputs!$K$4:$AJ$4,0)))+SUMPRODUCT((Inputs!$E$5:$E$130=$B63)*Inputs!$F$5:$F$130*(((Inputs!$G$5:$G$130="moeda")+(Inputs!$G$5:$G$130="acoes"))*Inputs!$B$1+((Inputs!$G$5:$G$130&lt;&gt;"moeda")*(Inputs!$G$5:$G$130&lt;&gt;"acoes")))*INDEX(Inputs!$K$5:$AJ$130,0,MATCH(F$2,Inputs!$K$4:$AJ$4,0)))))</f>
        <v>-732</v>
      </c>
      <c r="G63" s="511">
        <f>IF(ISNA(MATCH(G$2,Inputs!$K$4:$AJ$4,0)),NA(),IF(SUMPRODUCT((Inputs!$A$5:$A$130=$B63)*ISNUMBER(INDEX(Inputs!$K$5:$AJ$130,0,MATCH(G$2,Inputs!$K$4:$AJ$4,0))))+SUMPRODUCT((Inputs!$C$5:$C$130=$B63)*ISNUMBER(INDEX(Inputs!$K$5:$AJ$130,0,MATCH(G$2,Inputs!$K$4:$AJ$4,0))))+SUMPRODUCT((Inputs!$E$5:$E$130=$B63)*ISNUMBER(INDEX(Inputs!$K$5:$AJ$130,0,MATCH(G$2,Inputs!$K$4:$AJ$4,0))))=0,NA(),SUMPRODUCT((Inputs!$A$5:$A$130=$B63)*Inputs!$B$5:$B$130*(((Inputs!$G$5:$G$130="moeda")+(Inputs!$G$5:$G$130="acoes"))*Inputs!$B$1+((Inputs!$G$5:$G$130&lt;&gt;"moeda")*(Inputs!$G$5:$G$130&lt;&gt;"acoes")))*INDEX(Inputs!$K$5:$AJ$130,0,MATCH(G$2,Inputs!$K$4:$AJ$4,0)))+SUMPRODUCT((Inputs!$C$5:$C$130=$B63)*Inputs!$D$5:$D$130*(((Inputs!$G$5:$G$130="moeda")+(Inputs!$G$5:$G$130="acoes"))*Inputs!$B$1+((Inputs!$G$5:$G$130&lt;&gt;"moeda")*(Inputs!$G$5:$G$130&lt;&gt;"acoes")))*INDEX(Inputs!$K$5:$AJ$130,0,MATCH(G$2,Inputs!$K$4:$AJ$4,0)))+SUMPRODUCT((Inputs!$E$5:$E$130=$B63)*Inputs!$F$5:$F$130*(((Inputs!$G$5:$G$130="moeda")+(Inputs!$G$5:$G$130="acoes"))*Inputs!$B$1+((Inputs!$G$5:$G$130&lt;&gt;"moeda")*(Inputs!$G$5:$G$130&lt;&gt;"acoes")))*INDEX(Inputs!$K$5:$AJ$130,0,MATCH(G$2,Inputs!$K$4:$AJ$4,0)))))</f>
        <v>-889</v>
      </c>
      <c r="H63" s="512">
        <f>SUM(D63:G63)</f>
        <v>-2686</v>
      </c>
      <c r="I63" s="511">
        <f>IF(ISNA(MATCH(I$2,Inputs!$K$4:$AJ$4,0)),NA(),IF(SUMPRODUCT((Inputs!$A$5:$A$130=$B63)*ISNUMBER(INDEX(Inputs!$K$5:$AJ$130,0,MATCH(I$2,Inputs!$K$4:$AJ$4,0))))+SUMPRODUCT((Inputs!$C$5:$C$130=$B63)*ISNUMBER(INDEX(Inputs!$K$5:$AJ$130,0,MATCH(I$2,Inputs!$K$4:$AJ$4,0))))+SUMPRODUCT((Inputs!$E$5:$E$130=$B63)*ISNUMBER(INDEX(Inputs!$K$5:$AJ$130,0,MATCH(I$2,Inputs!$K$4:$AJ$4,0))))=0,NA(),SUMPRODUCT((Inputs!$A$5:$A$130=$B63)*Inputs!$B$5:$B$130*(((Inputs!$G$5:$G$130="moeda")+(Inputs!$G$5:$G$130="acoes"))*Inputs!$B$1+((Inputs!$G$5:$G$130&lt;&gt;"moeda")*(Inputs!$G$5:$G$130&lt;&gt;"acoes")))*INDEX(Inputs!$K$5:$AJ$130,0,MATCH(I$2,Inputs!$K$4:$AJ$4,0)))+SUMPRODUCT((Inputs!$C$5:$C$130=$B63)*Inputs!$D$5:$D$130*(((Inputs!$G$5:$G$130="moeda")+(Inputs!$G$5:$G$130="acoes"))*Inputs!$B$1+((Inputs!$G$5:$G$130&lt;&gt;"moeda")*(Inputs!$G$5:$G$130&lt;&gt;"acoes")))*INDEX(Inputs!$K$5:$AJ$130,0,MATCH(I$2,Inputs!$K$4:$AJ$4,0)))+SUMPRODUCT((Inputs!$E$5:$E$130=$B63)*Inputs!$F$5:$F$130*(((Inputs!$G$5:$G$130="moeda")+(Inputs!$G$5:$G$130="acoes"))*Inputs!$B$1+((Inputs!$G$5:$G$130&lt;&gt;"moeda")*(Inputs!$G$5:$G$130&lt;&gt;"acoes")))*INDEX(Inputs!$K$5:$AJ$130,0,MATCH(I$2,Inputs!$K$4:$AJ$4,0)))))</f>
        <v>-560</v>
      </c>
      <c r="J63" s="511">
        <f>IF(ISNA(MATCH(J$2,Inputs!$K$4:$AJ$4,0)),NA(),IF(SUMPRODUCT((Inputs!$A$5:$A$130=$B63)*ISNUMBER(INDEX(Inputs!$K$5:$AJ$130,0,MATCH(J$2,Inputs!$K$4:$AJ$4,0))))+SUMPRODUCT((Inputs!$C$5:$C$130=$B63)*ISNUMBER(INDEX(Inputs!$K$5:$AJ$130,0,MATCH(J$2,Inputs!$K$4:$AJ$4,0))))+SUMPRODUCT((Inputs!$E$5:$E$130=$B63)*ISNUMBER(INDEX(Inputs!$K$5:$AJ$130,0,MATCH(J$2,Inputs!$K$4:$AJ$4,0))))=0,NA(),SUMPRODUCT((Inputs!$A$5:$A$130=$B63)*Inputs!$B$5:$B$130*(((Inputs!$G$5:$G$130="moeda")+(Inputs!$G$5:$G$130="acoes"))*Inputs!$B$1+((Inputs!$G$5:$G$130&lt;&gt;"moeda")*(Inputs!$G$5:$G$130&lt;&gt;"acoes")))*INDEX(Inputs!$K$5:$AJ$130,0,MATCH(J$2,Inputs!$K$4:$AJ$4,0)))+SUMPRODUCT((Inputs!$C$5:$C$130=$B63)*Inputs!$D$5:$D$130*(((Inputs!$G$5:$G$130="moeda")+(Inputs!$G$5:$G$130="acoes"))*Inputs!$B$1+((Inputs!$G$5:$G$130&lt;&gt;"moeda")*(Inputs!$G$5:$G$130&lt;&gt;"acoes")))*INDEX(Inputs!$K$5:$AJ$130,0,MATCH(J$2,Inputs!$K$4:$AJ$4,0)))+SUMPRODUCT((Inputs!$E$5:$E$130=$B63)*Inputs!$F$5:$F$130*(((Inputs!$G$5:$G$130="moeda")+(Inputs!$G$5:$G$130="acoes"))*Inputs!$B$1+((Inputs!$G$5:$G$130&lt;&gt;"moeda")*(Inputs!$G$5:$G$130&lt;&gt;"acoes")))*INDEX(Inputs!$K$5:$AJ$130,0,MATCH(J$2,Inputs!$K$4:$AJ$4,0)))))</f>
        <v>-644</v>
      </c>
      <c r="K63" s="511">
        <f>IF(ISNA(MATCH(K$2,Inputs!$K$4:$AJ$4,0)),NA(),IF(SUMPRODUCT((Inputs!$A$5:$A$130=$B63)*ISNUMBER(INDEX(Inputs!$K$5:$AJ$130,0,MATCH(K$2,Inputs!$K$4:$AJ$4,0))))+SUMPRODUCT((Inputs!$C$5:$C$130=$B63)*ISNUMBER(INDEX(Inputs!$K$5:$AJ$130,0,MATCH(K$2,Inputs!$K$4:$AJ$4,0))))+SUMPRODUCT((Inputs!$E$5:$E$130=$B63)*ISNUMBER(INDEX(Inputs!$K$5:$AJ$130,0,MATCH(K$2,Inputs!$K$4:$AJ$4,0))))=0,NA(),SUMPRODUCT((Inputs!$A$5:$A$130=$B63)*Inputs!$B$5:$B$130*(((Inputs!$G$5:$G$130="moeda")+(Inputs!$G$5:$G$130="acoes"))*Inputs!$B$1+((Inputs!$G$5:$G$130&lt;&gt;"moeda")*(Inputs!$G$5:$G$130&lt;&gt;"acoes")))*INDEX(Inputs!$K$5:$AJ$130,0,MATCH(K$2,Inputs!$K$4:$AJ$4,0)))+SUMPRODUCT((Inputs!$C$5:$C$130=$B63)*Inputs!$D$5:$D$130*(((Inputs!$G$5:$G$130="moeda")+(Inputs!$G$5:$G$130="acoes"))*Inputs!$B$1+((Inputs!$G$5:$G$130&lt;&gt;"moeda")*(Inputs!$G$5:$G$130&lt;&gt;"acoes")))*INDEX(Inputs!$K$5:$AJ$130,0,MATCH(K$2,Inputs!$K$4:$AJ$4,0)))+SUMPRODUCT((Inputs!$E$5:$E$130=$B63)*Inputs!$F$5:$F$130*(((Inputs!$G$5:$G$130="moeda")+(Inputs!$G$5:$G$130="acoes"))*Inputs!$B$1+((Inputs!$G$5:$G$130&lt;&gt;"moeda")*(Inputs!$G$5:$G$130&lt;&gt;"acoes")))*INDEX(Inputs!$K$5:$AJ$130,0,MATCH(K$2,Inputs!$K$4:$AJ$4,0)))))</f>
        <v>-594</v>
      </c>
      <c r="L63" s="511">
        <f>IF(ISNA(MATCH(L$2,Inputs!$K$4:$AJ$4,0)),NA(),IF(SUMPRODUCT((Inputs!$A$5:$A$130=$B63)*ISNUMBER(INDEX(Inputs!$K$5:$AJ$130,0,MATCH(L$2,Inputs!$K$4:$AJ$4,0))))+SUMPRODUCT((Inputs!$C$5:$C$130=$B63)*ISNUMBER(INDEX(Inputs!$K$5:$AJ$130,0,MATCH(L$2,Inputs!$K$4:$AJ$4,0))))+SUMPRODUCT((Inputs!$E$5:$E$130=$B63)*ISNUMBER(INDEX(Inputs!$K$5:$AJ$130,0,MATCH(L$2,Inputs!$K$4:$AJ$4,0))))=0,NA(),SUMPRODUCT((Inputs!$A$5:$A$130=$B63)*Inputs!$B$5:$B$130*(((Inputs!$G$5:$G$130="moeda")+(Inputs!$G$5:$G$130="acoes"))*Inputs!$B$1+((Inputs!$G$5:$G$130&lt;&gt;"moeda")*(Inputs!$G$5:$G$130&lt;&gt;"acoes")))*INDEX(Inputs!$K$5:$AJ$130,0,MATCH(L$2,Inputs!$K$4:$AJ$4,0)))+SUMPRODUCT((Inputs!$C$5:$C$130=$B63)*Inputs!$D$5:$D$130*(((Inputs!$G$5:$G$130="moeda")+(Inputs!$G$5:$G$130="acoes"))*Inputs!$B$1+((Inputs!$G$5:$G$130&lt;&gt;"moeda")*(Inputs!$G$5:$G$130&lt;&gt;"acoes")))*INDEX(Inputs!$K$5:$AJ$130,0,MATCH(L$2,Inputs!$K$4:$AJ$4,0)))+SUMPRODUCT((Inputs!$E$5:$E$130=$B63)*Inputs!$F$5:$F$130*(((Inputs!$G$5:$G$130="moeda")+(Inputs!$G$5:$G$130="acoes"))*Inputs!$B$1+((Inputs!$G$5:$G$130&lt;&gt;"moeda")*(Inputs!$G$5:$G$130&lt;&gt;"acoes")))*INDEX(Inputs!$K$5:$AJ$130,0,MATCH(L$2,Inputs!$K$4:$AJ$4,0)))))</f>
        <v>-674</v>
      </c>
      <c r="M63" s="512">
        <f>SUM(I63:L63)</f>
        <v>-2472</v>
      </c>
      <c r="N63" s="511">
        <f>IF(ISNA(MATCH(N$2,Inputs!$K$4:$AJ$4,0)),NA(),IF(SUMPRODUCT((Inputs!$A$5:$A$130=$B63)*ISNUMBER(INDEX(Inputs!$K$5:$AJ$130,0,MATCH(N$2,Inputs!$K$4:$AJ$4,0))))+SUMPRODUCT((Inputs!$C$5:$C$130=$B63)*ISNUMBER(INDEX(Inputs!$K$5:$AJ$130,0,MATCH(N$2,Inputs!$K$4:$AJ$4,0))))+SUMPRODUCT((Inputs!$E$5:$E$130=$B63)*ISNUMBER(INDEX(Inputs!$K$5:$AJ$130,0,MATCH(N$2,Inputs!$K$4:$AJ$4,0))))=0,NA(),SUMPRODUCT((Inputs!$A$5:$A$130=$B63)*Inputs!$B$5:$B$130*(((Inputs!$G$5:$G$130="moeda")+(Inputs!$G$5:$G$130="acoes"))*Inputs!$B$1+((Inputs!$G$5:$G$130&lt;&gt;"moeda")*(Inputs!$G$5:$G$130&lt;&gt;"acoes")))*INDEX(Inputs!$K$5:$AJ$130,0,MATCH(N$2,Inputs!$K$4:$AJ$4,0)))+SUMPRODUCT((Inputs!$C$5:$C$130=$B63)*Inputs!$D$5:$D$130*(((Inputs!$G$5:$G$130="moeda")+(Inputs!$G$5:$G$130="acoes"))*Inputs!$B$1+((Inputs!$G$5:$G$130&lt;&gt;"moeda")*(Inputs!$G$5:$G$130&lt;&gt;"acoes")))*INDEX(Inputs!$K$5:$AJ$130,0,MATCH(N$2,Inputs!$K$4:$AJ$4,0)))+SUMPRODUCT((Inputs!$E$5:$E$130=$B63)*Inputs!$F$5:$F$130*(((Inputs!$G$5:$G$130="moeda")+(Inputs!$G$5:$G$130="acoes"))*Inputs!$B$1+((Inputs!$G$5:$G$130&lt;&gt;"moeda")*(Inputs!$G$5:$G$130&lt;&gt;"acoes")))*INDEX(Inputs!$K$5:$AJ$130,0,MATCH(N$2,Inputs!$K$4:$AJ$4,0)))))</f>
        <v>-1057</v>
      </c>
      <c r="O63" s="511">
        <f>IF(ISNA(MATCH(O$2,Inputs!$K$4:$AJ$4,0)),NA(),IF(SUMPRODUCT((Inputs!$A$5:$A$130=$B63)*ISNUMBER(INDEX(Inputs!$K$5:$AJ$130,0,MATCH(O$2,Inputs!$K$4:$AJ$4,0))))+SUMPRODUCT((Inputs!$C$5:$C$130=$B63)*ISNUMBER(INDEX(Inputs!$K$5:$AJ$130,0,MATCH(O$2,Inputs!$K$4:$AJ$4,0))))+SUMPRODUCT((Inputs!$E$5:$E$130=$B63)*ISNUMBER(INDEX(Inputs!$K$5:$AJ$130,0,MATCH(O$2,Inputs!$K$4:$AJ$4,0))))=0,NA(),SUMPRODUCT((Inputs!$A$5:$A$130=$B63)*Inputs!$B$5:$B$130*(((Inputs!$G$5:$G$130="moeda")+(Inputs!$G$5:$G$130="acoes"))*Inputs!$B$1+((Inputs!$G$5:$G$130&lt;&gt;"moeda")*(Inputs!$G$5:$G$130&lt;&gt;"acoes")))*INDEX(Inputs!$K$5:$AJ$130,0,MATCH(O$2,Inputs!$K$4:$AJ$4,0)))+SUMPRODUCT((Inputs!$C$5:$C$130=$B63)*Inputs!$D$5:$D$130*(((Inputs!$G$5:$G$130="moeda")+(Inputs!$G$5:$G$130="acoes"))*Inputs!$B$1+((Inputs!$G$5:$G$130&lt;&gt;"moeda")*(Inputs!$G$5:$G$130&lt;&gt;"acoes")))*INDEX(Inputs!$K$5:$AJ$130,0,MATCH(O$2,Inputs!$K$4:$AJ$4,0)))+SUMPRODUCT((Inputs!$E$5:$E$130=$B63)*Inputs!$F$5:$F$130*(((Inputs!$G$5:$G$130="moeda")+(Inputs!$G$5:$G$130="acoes"))*Inputs!$B$1+((Inputs!$G$5:$G$130&lt;&gt;"moeda")*(Inputs!$G$5:$G$130&lt;&gt;"acoes")))*INDEX(Inputs!$K$5:$AJ$130,0,MATCH(O$2,Inputs!$K$4:$AJ$4,0)))))</f>
        <v>-689</v>
      </c>
      <c r="P63" s="511">
        <f>IF(ISNA(MATCH(P$2,Inputs!$K$4:$AJ$4,0)),NA(),IF(SUMPRODUCT((Inputs!$A$5:$A$130=$B63)*ISNUMBER(INDEX(Inputs!$K$5:$AJ$130,0,MATCH(P$2,Inputs!$K$4:$AJ$4,0))))+SUMPRODUCT((Inputs!$C$5:$C$130=$B63)*ISNUMBER(INDEX(Inputs!$K$5:$AJ$130,0,MATCH(P$2,Inputs!$K$4:$AJ$4,0))))+SUMPRODUCT((Inputs!$E$5:$E$130=$B63)*ISNUMBER(INDEX(Inputs!$K$5:$AJ$130,0,MATCH(P$2,Inputs!$K$4:$AJ$4,0))))=0,NA(),SUMPRODUCT((Inputs!$A$5:$A$130=$B63)*Inputs!$B$5:$B$130*(((Inputs!$G$5:$G$130="moeda")+(Inputs!$G$5:$G$130="acoes"))*Inputs!$B$1+((Inputs!$G$5:$G$130&lt;&gt;"moeda")*(Inputs!$G$5:$G$130&lt;&gt;"acoes")))*INDEX(Inputs!$K$5:$AJ$130,0,MATCH(P$2,Inputs!$K$4:$AJ$4,0)))+SUMPRODUCT((Inputs!$C$5:$C$130=$B63)*Inputs!$D$5:$D$130*(((Inputs!$G$5:$G$130="moeda")+(Inputs!$G$5:$G$130="acoes"))*Inputs!$B$1+((Inputs!$G$5:$G$130&lt;&gt;"moeda")*(Inputs!$G$5:$G$130&lt;&gt;"acoes")))*INDEX(Inputs!$K$5:$AJ$130,0,MATCH(P$2,Inputs!$K$4:$AJ$4,0)))+SUMPRODUCT((Inputs!$E$5:$E$130=$B63)*Inputs!$F$5:$F$130*(((Inputs!$G$5:$G$130="moeda")+(Inputs!$G$5:$G$130="acoes"))*Inputs!$B$1+((Inputs!$G$5:$G$130&lt;&gt;"moeda")*(Inputs!$G$5:$G$130&lt;&gt;"acoes")))*INDEX(Inputs!$K$5:$AJ$130,0,MATCH(P$2,Inputs!$K$4:$AJ$4,0)))))</f>
        <v>-519</v>
      </c>
      <c r="Q63" s="511">
        <f>IF(ISNA(MATCH(Q$2,Inputs!$K$4:$AJ$4,0)),NA(),IF(SUMPRODUCT((Inputs!$A$5:$A$130=$B63)*ISNUMBER(INDEX(Inputs!$K$5:$AJ$130,0,MATCH(Q$2,Inputs!$K$4:$AJ$4,0))))+SUMPRODUCT((Inputs!$C$5:$C$130=$B63)*ISNUMBER(INDEX(Inputs!$K$5:$AJ$130,0,MATCH(Q$2,Inputs!$K$4:$AJ$4,0))))+SUMPRODUCT((Inputs!$E$5:$E$130=$B63)*ISNUMBER(INDEX(Inputs!$K$5:$AJ$130,0,MATCH(Q$2,Inputs!$K$4:$AJ$4,0))))=0,NA(),SUMPRODUCT((Inputs!$A$5:$A$130=$B63)*Inputs!$B$5:$B$130*(((Inputs!$G$5:$G$130="moeda")+(Inputs!$G$5:$G$130="acoes"))*Inputs!$B$1+((Inputs!$G$5:$G$130&lt;&gt;"moeda")*(Inputs!$G$5:$G$130&lt;&gt;"acoes")))*INDEX(Inputs!$K$5:$AJ$130,0,MATCH(Q$2,Inputs!$K$4:$AJ$4,0)))+SUMPRODUCT((Inputs!$C$5:$C$130=$B63)*Inputs!$D$5:$D$130*(((Inputs!$G$5:$G$130="moeda")+(Inputs!$G$5:$G$130="acoes"))*Inputs!$B$1+((Inputs!$G$5:$G$130&lt;&gt;"moeda")*(Inputs!$G$5:$G$130&lt;&gt;"acoes")))*INDEX(Inputs!$K$5:$AJ$130,0,MATCH(Q$2,Inputs!$K$4:$AJ$4,0)))+SUMPRODUCT((Inputs!$E$5:$E$130=$B63)*Inputs!$F$5:$F$130*(((Inputs!$G$5:$G$130="moeda")+(Inputs!$G$5:$G$130="acoes"))*Inputs!$B$1+((Inputs!$G$5:$G$130&lt;&gt;"moeda")*(Inputs!$G$5:$G$130&lt;&gt;"acoes")))*INDEX(Inputs!$K$5:$AJ$130,0,MATCH(Q$2,Inputs!$K$4:$AJ$4,0)))))</f>
        <v>-609</v>
      </c>
      <c r="R63" s="512">
        <f>SUM(N63:Q63)</f>
        <v>-2874</v>
      </c>
      <c r="S63" s="511">
        <f>IF(ISNA(MATCH(S$2,Inputs!$K$4:$AJ$4,0)),NA(),IF(SUMPRODUCT((Inputs!$A$5:$A$130=$B63)*ISNUMBER(INDEX(Inputs!$K$5:$AJ$130,0,MATCH(S$2,Inputs!$K$4:$AJ$4,0))))+SUMPRODUCT((Inputs!$C$5:$C$130=$B63)*ISNUMBER(INDEX(Inputs!$K$5:$AJ$130,0,MATCH(S$2,Inputs!$K$4:$AJ$4,0))))+SUMPRODUCT((Inputs!$E$5:$E$130=$B63)*ISNUMBER(INDEX(Inputs!$K$5:$AJ$130,0,MATCH(S$2,Inputs!$K$4:$AJ$4,0))))=0,NA(),SUMPRODUCT((Inputs!$A$5:$A$130=$B63)*Inputs!$B$5:$B$130*(((Inputs!$G$5:$G$130="moeda")+(Inputs!$G$5:$G$130="acoes"))*Inputs!$B$1+((Inputs!$G$5:$G$130&lt;&gt;"moeda")*(Inputs!$G$5:$G$130&lt;&gt;"acoes")))*INDEX(Inputs!$K$5:$AJ$130,0,MATCH(S$2,Inputs!$K$4:$AJ$4,0)))+SUMPRODUCT((Inputs!$C$5:$C$130=$B63)*Inputs!$D$5:$D$130*(((Inputs!$G$5:$G$130="moeda")+(Inputs!$G$5:$G$130="acoes"))*Inputs!$B$1+((Inputs!$G$5:$G$130&lt;&gt;"moeda")*(Inputs!$G$5:$G$130&lt;&gt;"acoes")))*INDEX(Inputs!$K$5:$AJ$130,0,MATCH(S$2,Inputs!$K$4:$AJ$4,0)))+SUMPRODUCT((Inputs!$E$5:$E$130=$B63)*Inputs!$F$5:$F$130*(((Inputs!$G$5:$G$130="moeda")+(Inputs!$G$5:$G$130="acoes"))*Inputs!$B$1+((Inputs!$G$5:$G$130&lt;&gt;"moeda")*(Inputs!$G$5:$G$130&lt;&gt;"acoes")))*INDEX(Inputs!$K$5:$AJ$130,0,MATCH(S$2,Inputs!$K$4:$AJ$4,0)))))</f>
        <v>-368</v>
      </c>
      <c r="T63" s="511">
        <f>IF(ISNA(MATCH(T$2,Inputs!$K$4:$AJ$4,0)),NA(),IF(SUMPRODUCT((Inputs!$A$5:$A$130=$B63)*ISNUMBER(INDEX(Inputs!$K$5:$AJ$130,0,MATCH(T$2,Inputs!$K$4:$AJ$4,0))))+SUMPRODUCT((Inputs!$C$5:$C$130=$B63)*ISNUMBER(INDEX(Inputs!$K$5:$AJ$130,0,MATCH(T$2,Inputs!$K$4:$AJ$4,0))))+SUMPRODUCT((Inputs!$E$5:$E$130=$B63)*ISNUMBER(INDEX(Inputs!$K$5:$AJ$130,0,MATCH(T$2,Inputs!$K$4:$AJ$4,0))))=0,NA(),SUMPRODUCT((Inputs!$A$5:$A$130=$B63)*Inputs!$B$5:$B$130*(((Inputs!$G$5:$G$130="moeda")+(Inputs!$G$5:$G$130="acoes"))*Inputs!$B$1+((Inputs!$G$5:$G$130&lt;&gt;"moeda")*(Inputs!$G$5:$G$130&lt;&gt;"acoes")))*INDEX(Inputs!$K$5:$AJ$130,0,MATCH(T$2,Inputs!$K$4:$AJ$4,0)))+SUMPRODUCT((Inputs!$C$5:$C$130=$B63)*Inputs!$D$5:$D$130*(((Inputs!$G$5:$G$130="moeda")+(Inputs!$G$5:$G$130="acoes"))*Inputs!$B$1+((Inputs!$G$5:$G$130&lt;&gt;"moeda")*(Inputs!$G$5:$G$130&lt;&gt;"acoes")))*INDEX(Inputs!$K$5:$AJ$130,0,MATCH(T$2,Inputs!$K$4:$AJ$4,0)))+SUMPRODUCT((Inputs!$E$5:$E$130=$B63)*Inputs!$F$5:$F$130*(((Inputs!$G$5:$G$130="moeda")+(Inputs!$G$5:$G$130="acoes"))*Inputs!$B$1+((Inputs!$G$5:$G$130&lt;&gt;"moeda")*(Inputs!$G$5:$G$130&lt;&gt;"acoes")))*INDEX(Inputs!$K$5:$AJ$130,0,MATCH(T$2,Inputs!$K$4:$AJ$4,0)))))</f>
        <v>-576</v>
      </c>
      <c r="U63" s="511">
        <f>IF(ISNA(MATCH(U$2,Inputs!$K$4:$AJ$4,0)),NA(),IF(SUMPRODUCT((Inputs!$A$5:$A$130=$B63)*ISNUMBER(INDEX(Inputs!$K$5:$AJ$130,0,MATCH(U$2,Inputs!$K$4:$AJ$4,0))))+SUMPRODUCT((Inputs!$C$5:$C$130=$B63)*ISNUMBER(INDEX(Inputs!$K$5:$AJ$130,0,MATCH(U$2,Inputs!$K$4:$AJ$4,0))))+SUMPRODUCT((Inputs!$E$5:$E$130=$B63)*ISNUMBER(INDEX(Inputs!$K$5:$AJ$130,0,MATCH(U$2,Inputs!$K$4:$AJ$4,0))))=0,NA(),SUMPRODUCT((Inputs!$A$5:$A$130=$B63)*Inputs!$B$5:$B$130*(((Inputs!$G$5:$G$130="moeda")+(Inputs!$G$5:$G$130="acoes"))*Inputs!$B$1+((Inputs!$G$5:$G$130&lt;&gt;"moeda")*(Inputs!$G$5:$G$130&lt;&gt;"acoes")))*INDEX(Inputs!$K$5:$AJ$130,0,MATCH(U$2,Inputs!$K$4:$AJ$4,0)))+SUMPRODUCT((Inputs!$C$5:$C$130=$B63)*Inputs!$D$5:$D$130*(((Inputs!$G$5:$G$130="moeda")+(Inputs!$G$5:$G$130="acoes"))*Inputs!$B$1+((Inputs!$G$5:$G$130&lt;&gt;"moeda")*(Inputs!$G$5:$G$130&lt;&gt;"acoes")))*INDEX(Inputs!$K$5:$AJ$130,0,MATCH(U$2,Inputs!$K$4:$AJ$4,0)))+SUMPRODUCT((Inputs!$E$5:$E$130=$B63)*Inputs!$F$5:$F$130*(((Inputs!$G$5:$G$130="moeda")+(Inputs!$G$5:$G$130="acoes"))*Inputs!$B$1+((Inputs!$G$5:$G$130&lt;&gt;"moeda")*(Inputs!$G$5:$G$130&lt;&gt;"acoes")))*INDEX(Inputs!$K$5:$AJ$130,0,MATCH(U$2,Inputs!$K$4:$AJ$4,0)))))</f>
        <v>-643</v>
      </c>
      <c r="V63" s="511">
        <f>IF(ISNA(MATCH(V$2,Inputs!$K$4:$AJ$4,0)),NA(),IF(SUMPRODUCT((Inputs!$A$5:$A$130=$B63)*ISNUMBER(INDEX(Inputs!$K$5:$AJ$130,0,MATCH(V$2,Inputs!$K$4:$AJ$4,0))))+SUMPRODUCT((Inputs!$C$5:$C$130=$B63)*ISNUMBER(INDEX(Inputs!$K$5:$AJ$130,0,MATCH(V$2,Inputs!$K$4:$AJ$4,0))))+SUMPRODUCT((Inputs!$E$5:$E$130=$B63)*ISNUMBER(INDEX(Inputs!$K$5:$AJ$130,0,MATCH(V$2,Inputs!$K$4:$AJ$4,0))))=0,NA(),SUMPRODUCT((Inputs!$A$5:$A$130=$B63)*Inputs!$B$5:$B$130*(((Inputs!$G$5:$G$130="moeda")+(Inputs!$G$5:$G$130="acoes"))*Inputs!$B$1+((Inputs!$G$5:$G$130&lt;&gt;"moeda")*(Inputs!$G$5:$G$130&lt;&gt;"acoes")))*INDEX(Inputs!$K$5:$AJ$130,0,MATCH(V$2,Inputs!$K$4:$AJ$4,0)))+SUMPRODUCT((Inputs!$C$5:$C$130=$B63)*Inputs!$D$5:$D$130*(((Inputs!$G$5:$G$130="moeda")+(Inputs!$G$5:$G$130="acoes"))*Inputs!$B$1+((Inputs!$G$5:$G$130&lt;&gt;"moeda")*(Inputs!$G$5:$G$130&lt;&gt;"acoes")))*INDEX(Inputs!$K$5:$AJ$130,0,MATCH(V$2,Inputs!$K$4:$AJ$4,0)))+SUMPRODUCT((Inputs!$E$5:$E$130=$B63)*Inputs!$F$5:$F$130*(((Inputs!$G$5:$G$130="moeda")+(Inputs!$G$5:$G$130="acoes"))*Inputs!$B$1+((Inputs!$G$5:$G$130&lt;&gt;"moeda")*(Inputs!$G$5:$G$130&lt;&gt;"acoes")))*INDEX(Inputs!$K$5:$AJ$130,0,MATCH(V$2,Inputs!$K$4:$AJ$4,0)))))</f>
        <v>-380</v>
      </c>
      <c r="W63" s="512">
        <f>SUM(S63:V63)</f>
        <v>-1967</v>
      </c>
      <c r="X63" s="511">
        <f>IF(ISNA(MATCH(X$2,Inputs!$K$4:$AJ$4,0)),NA(),IF(SUMPRODUCT((Inputs!$A$5:$A$130=$B63)*ISNUMBER(INDEX(Inputs!$K$5:$AJ$130,0,MATCH(X$2,Inputs!$K$4:$AJ$4,0))))+SUMPRODUCT((Inputs!$C$5:$C$130=$B63)*ISNUMBER(INDEX(Inputs!$K$5:$AJ$130,0,MATCH(X$2,Inputs!$K$4:$AJ$4,0))))+SUMPRODUCT((Inputs!$E$5:$E$130=$B63)*ISNUMBER(INDEX(Inputs!$K$5:$AJ$130,0,MATCH(X$2,Inputs!$K$4:$AJ$4,0))))=0,NA(),SUMPRODUCT((Inputs!$A$5:$A$130=$B63)*Inputs!$B$5:$B$130*(((Inputs!$G$5:$G$130="moeda")+(Inputs!$G$5:$G$130="acoes"))*Inputs!$B$1+((Inputs!$G$5:$G$130&lt;&gt;"moeda")*(Inputs!$G$5:$G$130&lt;&gt;"acoes")))*INDEX(Inputs!$K$5:$AJ$130,0,MATCH(X$2,Inputs!$K$4:$AJ$4,0)))+SUMPRODUCT((Inputs!$C$5:$C$130=$B63)*Inputs!$D$5:$D$130*(((Inputs!$G$5:$G$130="moeda")+(Inputs!$G$5:$G$130="acoes"))*Inputs!$B$1+((Inputs!$G$5:$G$130&lt;&gt;"moeda")*(Inputs!$G$5:$G$130&lt;&gt;"acoes")))*INDEX(Inputs!$K$5:$AJ$130,0,MATCH(X$2,Inputs!$K$4:$AJ$4,0)))+SUMPRODUCT((Inputs!$E$5:$E$130=$B63)*Inputs!$F$5:$F$130*(((Inputs!$G$5:$G$130="moeda")+(Inputs!$G$5:$G$130="acoes"))*Inputs!$B$1+((Inputs!$G$5:$G$130&lt;&gt;"moeda")*(Inputs!$G$5:$G$130&lt;&gt;"acoes")))*INDEX(Inputs!$K$5:$AJ$130,0,MATCH(X$2,Inputs!$K$4:$AJ$4,0)))))</f>
        <v>-457</v>
      </c>
      <c r="Y63" s="511">
        <f>IF(ISNA(MATCH(Y$2,Inputs!$K$4:$AJ$4,0)),NA(),IF(SUMPRODUCT((Inputs!$A$5:$A$130=$B63)*ISNUMBER(INDEX(Inputs!$K$5:$AJ$130,0,MATCH(Y$2,Inputs!$K$4:$AJ$4,0))))+SUMPRODUCT((Inputs!$C$5:$C$130=$B63)*ISNUMBER(INDEX(Inputs!$K$5:$AJ$130,0,MATCH(Y$2,Inputs!$K$4:$AJ$4,0))))+SUMPRODUCT((Inputs!$E$5:$E$130=$B63)*ISNUMBER(INDEX(Inputs!$K$5:$AJ$130,0,MATCH(Y$2,Inputs!$K$4:$AJ$4,0))))=0,NA(),SUMPRODUCT((Inputs!$A$5:$A$130=$B63)*Inputs!$B$5:$B$130*(((Inputs!$G$5:$G$130="moeda")+(Inputs!$G$5:$G$130="acoes"))*Inputs!$B$1+((Inputs!$G$5:$G$130&lt;&gt;"moeda")*(Inputs!$G$5:$G$130&lt;&gt;"acoes")))*INDEX(Inputs!$K$5:$AJ$130,0,MATCH(Y$2,Inputs!$K$4:$AJ$4,0)))+SUMPRODUCT((Inputs!$C$5:$C$130=$B63)*Inputs!$D$5:$D$130*(((Inputs!$G$5:$G$130="moeda")+(Inputs!$G$5:$G$130="acoes"))*Inputs!$B$1+((Inputs!$G$5:$G$130&lt;&gt;"moeda")*(Inputs!$G$5:$G$130&lt;&gt;"acoes")))*INDEX(Inputs!$K$5:$AJ$130,0,MATCH(Y$2,Inputs!$K$4:$AJ$4,0)))+SUMPRODUCT((Inputs!$E$5:$E$130=$B63)*Inputs!$F$5:$F$130*(((Inputs!$G$5:$G$130="moeda")+(Inputs!$G$5:$G$130="acoes"))*Inputs!$B$1+((Inputs!$G$5:$G$130&lt;&gt;"moeda")*(Inputs!$G$5:$G$130&lt;&gt;"acoes")))*INDEX(Inputs!$K$5:$AJ$130,0,MATCH(Y$2,Inputs!$K$4:$AJ$4,0)))))</f>
        <v>-463</v>
      </c>
      <c r="Z63" s="511">
        <f>IF(ISNA(MATCH(Z$2,Inputs!$K$4:$AJ$4,0)),NA(),IF(SUMPRODUCT((Inputs!$A$5:$A$130=$B63)*ISNUMBER(INDEX(Inputs!$K$5:$AJ$130,0,MATCH(Z$2,Inputs!$K$4:$AJ$4,0))))+SUMPRODUCT((Inputs!$C$5:$C$130=$B63)*ISNUMBER(INDEX(Inputs!$K$5:$AJ$130,0,MATCH(Z$2,Inputs!$K$4:$AJ$4,0))))+SUMPRODUCT((Inputs!$E$5:$E$130=$B63)*ISNUMBER(INDEX(Inputs!$K$5:$AJ$130,0,MATCH(Z$2,Inputs!$K$4:$AJ$4,0))))=0,NA(),SUMPRODUCT((Inputs!$A$5:$A$130=$B63)*Inputs!$B$5:$B$130*(((Inputs!$G$5:$G$130="moeda")+(Inputs!$G$5:$G$130="acoes"))*Inputs!$B$1+((Inputs!$G$5:$G$130&lt;&gt;"moeda")*(Inputs!$G$5:$G$130&lt;&gt;"acoes")))*INDEX(Inputs!$K$5:$AJ$130,0,MATCH(Z$2,Inputs!$K$4:$AJ$4,0)))+SUMPRODUCT((Inputs!$C$5:$C$130=$B63)*Inputs!$D$5:$D$130*(((Inputs!$G$5:$G$130="moeda")+(Inputs!$G$5:$G$130="acoes"))*Inputs!$B$1+((Inputs!$G$5:$G$130&lt;&gt;"moeda")*(Inputs!$G$5:$G$130&lt;&gt;"acoes")))*INDEX(Inputs!$K$5:$AJ$130,0,MATCH(Z$2,Inputs!$K$4:$AJ$4,0)))+SUMPRODUCT((Inputs!$E$5:$E$130=$B63)*Inputs!$F$5:$F$130*(((Inputs!$G$5:$G$130="moeda")+(Inputs!$G$5:$G$130="acoes"))*Inputs!$B$1+((Inputs!$G$5:$G$130&lt;&gt;"moeda")*(Inputs!$G$5:$G$130&lt;&gt;"acoes")))*INDEX(Inputs!$K$5:$AJ$130,0,MATCH(Z$2,Inputs!$K$4:$AJ$4,0)))))</f>
        <v>-383</v>
      </c>
      <c r="AA63" s="511">
        <f>IF(ISNA(MATCH(AA$2,Inputs!$K$4:$AJ$4,0)),NA(),IF(SUMPRODUCT((Inputs!$A$5:$A$130=$B63)*ISNUMBER(INDEX(Inputs!$K$5:$AJ$130,0,MATCH(AA$2,Inputs!$K$4:$AJ$4,0))))+SUMPRODUCT((Inputs!$C$5:$C$130=$B63)*ISNUMBER(INDEX(Inputs!$K$5:$AJ$130,0,MATCH(AA$2,Inputs!$K$4:$AJ$4,0))))+SUMPRODUCT((Inputs!$E$5:$E$130=$B63)*ISNUMBER(INDEX(Inputs!$K$5:$AJ$130,0,MATCH(AA$2,Inputs!$K$4:$AJ$4,0))))=0,NA(),SUMPRODUCT((Inputs!$A$5:$A$130=$B63)*Inputs!$B$5:$B$130*(((Inputs!$G$5:$G$130="moeda")+(Inputs!$G$5:$G$130="acoes"))*Inputs!$B$1+((Inputs!$G$5:$G$130&lt;&gt;"moeda")*(Inputs!$G$5:$G$130&lt;&gt;"acoes")))*INDEX(Inputs!$K$5:$AJ$130,0,MATCH(AA$2,Inputs!$K$4:$AJ$4,0)))+SUMPRODUCT((Inputs!$C$5:$C$130=$B63)*Inputs!$D$5:$D$130*(((Inputs!$G$5:$G$130="moeda")+(Inputs!$G$5:$G$130="acoes"))*Inputs!$B$1+((Inputs!$G$5:$G$130&lt;&gt;"moeda")*(Inputs!$G$5:$G$130&lt;&gt;"acoes")))*INDEX(Inputs!$K$5:$AJ$130,0,MATCH(AA$2,Inputs!$K$4:$AJ$4,0)))+SUMPRODUCT((Inputs!$E$5:$E$130=$B63)*Inputs!$F$5:$F$130*(((Inputs!$G$5:$G$130="moeda")+(Inputs!$G$5:$G$130="acoes"))*Inputs!$B$1+((Inputs!$G$5:$G$130&lt;&gt;"moeda")*(Inputs!$G$5:$G$130&lt;&gt;"acoes")))*INDEX(Inputs!$K$5:$AJ$130,0,MATCH(AA$2,Inputs!$K$4:$AJ$4,0)))))</f>
        <v>-567</v>
      </c>
      <c r="AB63" s="512">
        <f>SUM(X63:AA63)</f>
        <v>-1870</v>
      </c>
      <c r="AC63" s="511">
        <f>IF(ISNA(MATCH(AC$2,Inputs!$K$4:$AJ$4,0)),NA(),IF(SUMPRODUCT((Inputs!$A$5:$A$130=$B63)*ISNUMBER(INDEX(Inputs!$K$5:$AJ$130,0,MATCH(AC$2,Inputs!$K$4:$AJ$4,0))))+SUMPRODUCT((Inputs!$C$5:$C$130=$B63)*ISNUMBER(INDEX(Inputs!$K$5:$AJ$130,0,MATCH(AC$2,Inputs!$K$4:$AJ$4,0))))+SUMPRODUCT((Inputs!$E$5:$E$130=$B63)*ISNUMBER(INDEX(Inputs!$K$5:$AJ$130,0,MATCH(AC$2,Inputs!$K$4:$AJ$4,0))))=0,NA(),SUMPRODUCT((Inputs!$A$5:$A$130=$B63)*Inputs!$B$5:$B$130*(((Inputs!$G$5:$G$130="moeda")+(Inputs!$G$5:$G$130="acoes"))*Inputs!$B$1+((Inputs!$G$5:$G$130&lt;&gt;"moeda")*(Inputs!$G$5:$G$130&lt;&gt;"acoes")))*INDEX(Inputs!$K$5:$AJ$130,0,MATCH(AC$2,Inputs!$K$4:$AJ$4,0)))+SUMPRODUCT((Inputs!$C$5:$C$130=$B63)*Inputs!$D$5:$D$130*(((Inputs!$G$5:$G$130="moeda")+(Inputs!$G$5:$G$130="acoes"))*Inputs!$B$1+((Inputs!$G$5:$G$130&lt;&gt;"moeda")*(Inputs!$G$5:$G$130&lt;&gt;"acoes")))*INDEX(Inputs!$K$5:$AJ$130,0,MATCH(AC$2,Inputs!$K$4:$AJ$4,0)))+SUMPRODUCT((Inputs!$E$5:$E$130=$B63)*Inputs!$F$5:$F$130*(((Inputs!$G$5:$G$130="moeda")+(Inputs!$G$5:$G$130="acoes"))*Inputs!$B$1+((Inputs!$G$5:$G$130&lt;&gt;"moeda")*(Inputs!$G$5:$G$130&lt;&gt;"acoes")))*INDEX(Inputs!$K$5:$AJ$130,0,MATCH(AC$2,Inputs!$K$4:$AJ$4,0)))))</f>
        <v>-908</v>
      </c>
      <c r="AD63" s="511">
        <f>IF(ISNA(MATCH(AD$2,Inputs!$K$4:$AJ$4,0)),NA(),IF(SUMPRODUCT((Inputs!$A$5:$A$130=$B63)*ISNUMBER(INDEX(Inputs!$K$5:$AJ$130,0,MATCH(AD$2,Inputs!$K$4:$AJ$4,0))))+SUMPRODUCT((Inputs!$C$5:$C$130=$B63)*ISNUMBER(INDEX(Inputs!$K$5:$AJ$130,0,MATCH(AD$2,Inputs!$K$4:$AJ$4,0))))+SUMPRODUCT((Inputs!$E$5:$E$130=$B63)*ISNUMBER(INDEX(Inputs!$K$5:$AJ$130,0,MATCH(AD$2,Inputs!$K$4:$AJ$4,0))))=0,NA(),SUMPRODUCT((Inputs!$A$5:$A$130=$B63)*Inputs!$B$5:$B$130*(((Inputs!$G$5:$G$130="moeda")+(Inputs!$G$5:$G$130="acoes"))*Inputs!$B$1+((Inputs!$G$5:$G$130&lt;&gt;"moeda")*(Inputs!$G$5:$G$130&lt;&gt;"acoes")))*INDEX(Inputs!$K$5:$AJ$130,0,MATCH(AD$2,Inputs!$K$4:$AJ$4,0)))+SUMPRODUCT((Inputs!$C$5:$C$130=$B63)*Inputs!$D$5:$D$130*(((Inputs!$G$5:$G$130="moeda")+(Inputs!$G$5:$G$130="acoes"))*Inputs!$B$1+((Inputs!$G$5:$G$130&lt;&gt;"moeda")*(Inputs!$G$5:$G$130&lt;&gt;"acoes")))*INDEX(Inputs!$K$5:$AJ$130,0,MATCH(AD$2,Inputs!$K$4:$AJ$4,0)))+SUMPRODUCT((Inputs!$E$5:$E$130=$B63)*Inputs!$F$5:$F$130*(((Inputs!$G$5:$G$130="moeda")+(Inputs!$G$5:$G$130="acoes"))*Inputs!$B$1+((Inputs!$G$5:$G$130&lt;&gt;"moeda")*(Inputs!$G$5:$G$130&lt;&gt;"acoes")))*INDEX(Inputs!$K$5:$AJ$130,0,MATCH(AD$2,Inputs!$K$4:$AJ$4,0)))))</f>
        <v>-617</v>
      </c>
      <c r="AE63" s="511" t="e">
        <f>IF(ISNA(MATCH(AE$2,Inputs!$K$4:$AJ$4,0)),NA(),IF(SUMPRODUCT((Inputs!$A$5:$A$130=$B63)*ISNUMBER(INDEX(Inputs!$K$5:$AJ$130,0,MATCH(AE$2,Inputs!$K$4:$AJ$4,0))))+SUMPRODUCT((Inputs!$C$5:$C$130=$B63)*ISNUMBER(INDEX(Inputs!$K$5:$AJ$130,0,MATCH(AE$2,Inputs!$K$4:$AJ$4,0))))+SUMPRODUCT((Inputs!$E$5:$E$130=$B63)*ISNUMBER(INDEX(Inputs!$K$5:$AJ$130,0,MATCH(AE$2,Inputs!$K$4:$AJ$4,0))))=0,NA(),SUMPRODUCT((Inputs!$A$5:$A$130=$B63)*Inputs!$B$5:$B$130*(((Inputs!$G$5:$G$130="moeda")+(Inputs!$G$5:$G$130="acoes"))*Inputs!$B$1+((Inputs!$G$5:$G$130&lt;&gt;"moeda")*(Inputs!$G$5:$G$130&lt;&gt;"acoes")))*INDEX(Inputs!$K$5:$AJ$130,0,MATCH(AE$2,Inputs!$K$4:$AJ$4,0)))+SUMPRODUCT((Inputs!$C$5:$C$130=$B63)*Inputs!$D$5:$D$130*(((Inputs!$G$5:$G$130="moeda")+(Inputs!$G$5:$G$130="acoes"))*Inputs!$B$1+((Inputs!$G$5:$G$130&lt;&gt;"moeda")*(Inputs!$G$5:$G$130&lt;&gt;"acoes")))*INDEX(Inputs!$K$5:$AJ$130,0,MATCH(AE$2,Inputs!$K$4:$AJ$4,0)))+SUMPRODUCT((Inputs!$E$5:$E$130=$B63)*Inputs!$F$5:$F$130*(((Inputs!$G$5:$G$130="moeda")+(Inputs!$G$5:$G$130="acoes"))*Inputs!$B$1+((Inputs!$G$5:$G$130&lt;&gt;"moeda")*(Inputs!$G$5:$G$130&lt;&gt;"acoes")))*INDEX(Inputs!$K$5:$AJ$130,0,MATCH(AE$2,Inputs!$K$4:$AJ$4,0)))))</f>
        <v>#N/A</v>
      </c>
      <c r="AF63" s="511" t="e">
        <f>IF(ISNA(MATCH(AF$2,Inputs!$K$4:$AJ$4,0)),NA(),IF(SUMPRODUCT((Inputs!$A$5:$A$130=$B63)*ISNUMBER(INDEX(Inputs!$K$5:$AJ$130,0,MATCH(AF$2,Inputs!$K$4:$AJ$4,0))))+SUMPRODUCT((Inputs!$C$5:$C$130=$B63)*ISNUMBER(INDEX(Inputs!$K$5:$AJ$130,0,MATCH(AF$2,Inputs!$K$4:$AJ$4,0))))+SUMPRODUCT((Inputs!$E$5:$E$130=$B63)*ISNUMBER(INDEX(Inputs!$K$5:$AJ$130,0,MATCH(AF$2,Inputs!$K$4:$AJ$4,0))))=0,NA(),SUMPRODUCT((Inputs!$A$5:$A$130=$B63)*Inputs!$B$5:$B$130*(((Inputs!$G$5:$G$130="moeda")+(Inputs!$G$5:$G$130="acoes"))*Inputs!$B$1+((Inputs!$G$5:$G$130&lt;&gt;"moeda")*(Inputs!$G$5:$G$130&lt;&gt;"acoes")))*INDEX(Inputs!$K$5:$AJ$130,0,MATCH(AF$2,Inputs!$K$4:$AJ$4,0)))+SUMPRODUCT((Inputs!$C$5:$C$130=$B63)*Inputs!$D$5:$D$130*(((Inputs!$G$5:$G$130="moeda")+(Inputs!$G$5:$G$130="acoes"))*Inputs!$B$1+((Inputs!$G$5:$G$130&lt;&gt;"moeda")*(Inputs!$G$5:$G$130&lt;&gt;"acoes")))*INDEX(Inputs!$K$5:$AJ$130,0,MATCH(AF$2,Inputs!$K$4:$AJ$4,0)))+SUMPRODUCT((Inputs!$E$5:$E$130=$B63)*Inputs!$F$5:$F$130*(((Inputs!$G$5:$G$130="moeda")+(Inputs!$G$5:$G$130="acoes"))*Inputs!$B$1+((Inputs!$G$5:$G$130&lt;&gt;"moeda")*(Inputs!$G$5:$G$130&lt;&gt;"acoes")))*INDEX(Inputs!$K$5:$AJ$130,0,MATCH(AF$2,Inputs!$K$4:$AJ$4,0)))))</f>
        <v>#N/A</v>
      </c>
      <c r="AG63" s="512" t="e">
        <f>SUM(AC63:AF63)</f>
        <v>#N/A</v>
      </c>
      <c r="AH63" s="511" t="e">
        <f>IF(ISNA(MATCH(AH$2,Inputs!$K$4:$AJ$4,0)),NA(),IF(SUMPRODUCT((Inputs!$A$5:$A$130=$B63)*ISNUMBER(INDEX(Inputs!$K$5:$AJ$130,0,MATCH(AH$2,Inputs!$K$4:$AJ$4,0))))+SUMPRODUCT((Inputs!$C$5:$C$130=$B63)*ISNUMBER(INDEX(Inputs!$K$5:$AJ$130,0,MATCH(AH$2,Inputs!$K$4:$AJ$4,0))))+SUMPRODUCT((Inputs!$E$5:$E$130=$B63)*ISNUMBER(INDEX(Inputs!$K$5:$AJ$130,0,MATCH(AH$2,Inputs!$K$4:$AJ$4,0))))=0,NA(),SUMPRODUCT((Inputs!$A$5:$A$130=$B63)*Inputs!$B$5:$B$130*(((Inputs!$G$5:$G$130="moeda")+(Inputs!$G$5:$G$130="acoes"))*Inputs!$B$1+((Inputs!$G$5:$G$130&lt;&gt;"moeda")*(Inputs!$G$5:$G$130&lt;&gt;"acoes")))*INDEX(Inputs!$K$5:$AJ$130,0,MATCH(AH$2,Inputs!$K$4:$AJ$4,0)))+SUMPRODUCT((Inputs!$C$5:$C$130=$B63)*Inputs!$D$5:$D$130*(((Inputs!$G$5:$G$130="moeda")+(Inputs!$G$5:$G$130="acoes"))*Inputs!$B$1+((Inputs!$G$5:$G$130&lt;&gt;"moeda")*(Inputs!$G$5:$G$130&lt;&gt;"acoes")))*INDEX(Inputs!$K$5:$AJ$130,0,MATCH(AH$2,Inputs!$K$4:$AJ$4,0)))+SUMPRODUCT((Inputs!$E$5:$E$130=$B63)*Inputs!$F$5:$F$130*(((Inputs!$G$5:$G$130="moeda")+(Inputs!$G$5:$G$130="acoes"))*Inputs!$B$1+((Inputs!$G$5:$G$130&lt;&gt;"moeda")*(Inputs!$G$5:$G$130&lt;&gt;"acoes")))*INDEX(Inputs!$K$5:$AJ$130,0,MATCH(AH$2,Inputs!$K$4:$AJ$4,0)))))</f>
        <v>#N/A</v>
      </c>
      <c r="AI63" s="511" t="e">
        <f>IF(ISNA(MATCH(AI$2,Inputs!$K$4:$AJ$4,0)),NA(),IF(SUMPRODUCT((Inputs!$A$5:$A$130=$B63)*ISNUMBER(INDEX(Inputs!$K$5:$AJ$130,0,MATCH(AI$2,Inputs!$K$4:$AJ$4,0))))+SUMPRODUCT((Inputs!$C$5:$C$130=$B63)*ISNUMBER(INDEX(Inputs!$K$5:$AJ$130,0,MATCH(AI$2,Inputs!$K$4:$AJ$4,0))))+SUMPRODUCT((Inputs!$E$5:$E$130=$B63)*ISNUMBER(INDEX(Inputs!$K$5:$AJ$130,0,MATCH(AI$2,Inputs!$K$4:$AJ$4,0))))=0,NA(),SUMPRODUCT((Inputs!$A$5:$A$130=$B63)*Inputs!$B$5:$B$130*(((Inputs!$G$5:$G$130="moeda")+(Inputs!$G$5:$G$130="acoes"))*Inputs!$B$1+((Inputs!$G$5:$G$130&lt;&gt;"moeda")*(Inputs!$G$5:$G$130&lt;&gt;"acoes")))*INDEX(Inputs!$K$5:$AJ$130,0,MATCH(AI$2,Inputs!$K$4:$AJ$4,0)))+SUMPRODUCT((Inputs!$C$5:$C$130=$B63)*Inputs!$D$5:$D$130*(((Inputs!$G$5:$G$130="moeda")+(Inputs!$G$5:$G$130="acoes"))*Inputs!$B$1+((Inputs!$G$5:$G$130&lt;&gt;"moeda")*(Inputs!$G$5:$G$130&lt;&gt;"acoes")))*INDEX(Inputs!$K$5:$AJ$130,0,MATCH(AI$2,Inputs!$K$4:$AJ$4,0)))+SUMPRODUCT((Inputs!$E$5:$E$130=$B63)*Inputs!$F$5:$F$130*(((Inputs!$G$5:$G$130="moeda")+(Inputs!$G$5:$G$130="acoes"))*Inputs!$B$1+((Inputs!$G$5:$G$130&lt;&gt;"moeda")*(Inputs!$G$5:$G$130&lt;&gt;"acoes")))*INDEX(Inputs!$K$5:$AJ$130,0,MATCH(AI$2,Inputs!$K$4:$AJ$4,0)))))</f>
        <v>#N/A</v>
      </c>
      <c r="AJ63" s="511" t="e">
        <f>IF(ISNA(MATCH(AJ$2,Inputs!$K$4:$AJ$4,0)),NA(),IF(SUMPRODUCT((Inputs!$A$5:$A$130=$B63)*ISNUMBER(INDEX(Inputs!$K$5:$AJ$130,0,MATCH(AJ$2,Inputs!$K$4:$AJ$4,0))))+SUMPRODUCT((Inputs!$C$5:$C$130=$B63)*ISNUMBER(INDEX(Inputs!$K$5:$AJ$130,0,MATCH(AJ$2,Inputs!$K$4:$AJ$4,0))))+SUMPRODUCT((Inputs!$E$5:$E$130=$B63)*ISNUMBER(INDEX(Inputs!$K$5:$AJ$130,0,MATCH(AJ$2,Inputs!$K$4:$AJ$4,0))))=0,NA(),SUMPRODUCT((Inputs!$A$5:$A$130=$B63)*Inputs!$B$5:$B$130*(((Inputs!$G$5:$G$130="moeda")+(Inputs!$G$5:$G$130="acoes"))*Inputs!$B$1+((Inputs!$G$5:$G$130&lt;&gt;"moeda")*(Inputs!$G$5:$G$130&lt;&gt;"acoes")))*INDEX(Inputs!$K$5:$AJ$130,0,MATCH(AJ$2,Inputs!$K$4:$AJ$4,0)))+SUMPRODUCT((Inputs!$C$5:$C$130=$B63)*Inputs!$D$5:$D$130*(((Inputs!$G$5:$G$130="moeda")+(Inputs!$G$5:$G$130="acoes"))*Inputs!$B$1+((Inputs!$G$5:$G$130&lt;&gt;"moeda")*(Inputs!$G$5:$G$130&lt;&gt;"acoes")))*INDEX(Inputs!$K$5:$AJ$130,0,MATCH(AJ$2,Inputs!$K$4:$AJ$4,0)))+SUMPRODUCT((Inputs!$E$5:$E$130=$B63)*Inputs!$F$5:$F$130*(((Inputs!$G$5:$G$130="moeda")+(Inputs!$G$5:$G$130="acoes"))*Inputs!$B$1+((Inputs!$G$5:$G$130&lt;&gt;"moeda")*(Inputs!$G$5:$G$130&lt;&gt;"acoes")))*INDEX(Inputs!$K$5:$AJ$130,0,MATCH(AJ$2,Inputs!$K$4:$AJ$4,0)))))</f>
        <v>#N/A</v>
      </c>
      <c r="AK63" s="511" t="e">
        <f>IF(ISNA(MATCH(AK$2,Inputs!$K$4:$AJ$4,0)),NA(),IF(SUMPRODUCT((Inputs!$A$5:$A$130=$B63)*ISNUMBER(INDEX(Inputs!$K$5:$AJ$130,0,MATCH(AK$2,Inputs!$K$4:$AJ$4,0))))+SUMPRODUCT((Inputs!$C$5:$C$130=$B63)*ISNUMBER(INDEX(Inputs!$K$5:$AJ$130,0,MATCH(AK$2,Inputs!$K$4:$AJ$4,0))))+SUMPRODUCT((Inputs!$E$5:$E$130=$B63)*ISNUMBER(INDEX(Inputs!$K$5:$AJ$130,0,MATCH(AK$2,Inputs!$K$4:$AJ$4,0))))=0,NA(),SUMPRODUCT((Inputs!$A$5:$A$130=$B63)*Inputs!$B$5:$B$130*(((Inputs!$G$5:$G$130="moeda")+(Inputs!$G$5:$G$130="acoes"))*Inputs!$B$1+((Inputs!$G$5:$G$130&lt;&gt;"moeda")*(Inputs!$G$5:$G$130&lt;&gt;"acoes")))*INDEX(Inputs!$K$5:$AJ$130,0,MATCH(AK$2,Inputs!$K$4:$AJ$4,0)))+SUMPRODUCT((Inputs!$C$5:$C$130=$B63)*Inputs!$D$5:$D$130*(((Inputs!$G$5:$G$130="moeda")+(Inputs!$G$5:$G$130="acoes"))*Inputs!$B$1+((Inputs!$G$5:$G$130&lt;&gt;"moeda")*(Inputs!$G$5:$G$130&lt;&gt;"acoes")))*INDEX(Inputs!$K$5:$AJ$130,0,MATCH(AK$2,Inputs!$K$4:$AJ$4,0)))+SUMPRODUCT((Inputs!$E$5:$E$130=$B63)*Inputs!$F$5:$F$130*(((Inputs!$G$5:$G$130="moeda")+(Inputs!$G$5:$G$130="acoes"))*Inputs!$B$1+((Inputs!$G$5:$G$130&lt;&gt;"moeda")*(Inputs!$G$5:$G$130&lt;&gt;"acoes")))*INDEX(Inputs!$K$5:$AJ$130,0,MATCH(AK$2,Inputs!$K$4:$AJ$4,0)))))</f>
        <v>#N/A</v>
      </c>
      <c r="AL63" s="512" t="e">
        <f>SUM(AH63:AK63)</f>
        <v>#N/A</v>
      </c>
    </row>
  </sheetData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C398"/>
  <sheetViews>
    <sheetView showFormulas="0" showGridLines="0" showRowColHeaders="1" showZeros="1" rightToLeft="0" tabSelected="1" showOutlineSymbols="1" defaultGridColor="1" view="normal" topLeftCell="A1" colorId="64" zoomScale="85" zoomScaleNormal="85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D12" activeCellId="0" sqref="D12"/>
    </sheetView>
  </sheetViews>
  <sheetFormatPr baseColWidth="8" defaultColWidth="9.14453125" defaultRowHeight="12.75" zeroHeight="0" outlineLevelRow="1"/>
  <cols>
    <col width="1.71" customWidth="1" style="257" min="1" max="1"/>
    <col outlineLevel="1" width="7.86" customWidth="1" style="257" min="2" max="2"/>
    <col width="84.72" customWidth="1" style="258" min="3" max="3"/>
    <col outlineLevel="1" width="11.43" customWidth="1" style="258" min="4" max="7"/>
    <col width="11.43" customWidth="1" style="258" min="8" max="8"/>
    <col outlineLevel="1" width="11.43" customWidth="1" style="258" min="9" max="12"/>
    <col width="11.43" customWidth="1" style="258" min="13" max="13"/>
    <col outlineLevel="1" width="11.43" customWidth="1" style="258" min="14" max="17"/>
    <col width="11.43" customWidth="1" style="258" min="18" max="18"/>
    <col outlineLevel="1" width="11.43" customWidth="1" style="258" min="19" max="22"/>
    <col width="11.43" customWidth="1" style="258" min="23" max="23"/>
    <col outlineLevel="1" width="11.43" customWidth="1" style="258" min="24" max="24"/>
    <col outlineLevel="1" width="11.15" customWidth="1" style="258" min="25" max="25"/>
    <col outlineLevel="1" width="11.43" customWidth="1" style="258" min="26" max="27"/>
    <col width="11.15" customWidth="1" style="258" min="28" max="28"/>
    <col outlineLevel="1" width="12.29" customWidth="1" style="258" min="29" max="29"/>
    <col outlineLevel="1" width="13.29" customWidth="1" style="258" min="30" max="30"/>
    <col outlineLevel="1" width="11" customWidth="1" style="258" min="31" max="31"/>
    <col outlineLevel="1" width="10.14" customWidth="1" style="258" min="32" max="32"/>
    <col width="11" customWidth="1" style="258" min="33" max="33"/>
    <col outlineLevel="1" width="10.14" customWidth="1" style="258" min="34" max="34"/>
    <col outlineLevel="1" width="11.15" customWidth="1" style="258" min="35" max="35"/>
    <col outlineLevel="1" width="10.14" customWidth="1" style="258" min="36" max="37"/>
    <col width="10" customWidth="1" style="258" min="38" max="38"/>
    <col outlineLevel="1" width="10.14" customWidth="1" style="258" min="39" max="39"/>
    <col outlineLevel="1" width="11.15" customWidth="1" style="258" min="40" max="40"/>
    <col outlineLevel="1" width="10.14" customWidth="1" style="258" min="41" max="42"/>
    <col width="10" customWidth="1" style="258" min="43" max="43"/>
    <col outlineLevel="1" width="10.14" customWidth="1" style="258" min="44" max="44"/>
    <col outlineLevel="1" width="11.15" customWidth="1" style="258" min="45" max="45"/>
    <col outlineLevel="1" width="10.14" customWidth="1" style="258" min="46" max="47"/>
    <col width="10" customWidth="1" style="258" min="48" max="48"/>
    <col outlineLevel="1" width="10.14" customWidth="1" style="258" min="49" max="49"/>
    <col outlineLevel="1" width="11.15" customWidth="1" style="258" min="50" max="50"/>
    <col outlineLevel="1" width="10.14" customWidth="1" style="258" min="51" max="52"/>
    <col width="10" customWidth="1" style="258" min="53" max="53"/>
    <col outlineLevel="1" width="10.14" customWidth="1" style="258" min="54" max="54"/>
    <col outlineLevel="1" width="11.15" customWidth="1" style="258" min="55" max="55"/>
    <col outlineLevel="1" width="10.14" customWidth="1" style="258" min="56" max="57"/>
    <col width="10" customWidth="1" style="258" min="58" max="58"/>
    <col outlineLevel="1" width="10.14" customWidth="1" style="258" min="59" max="59"/>
    <col outlineLevel="1" width="11.15" customWidth="1" style="258" min="60" max="60"/>
    <col outlineLevel="1" width="10.14" customWidth="1" style="258" min="61" max="62"/>
    <col width="10" customWidth="1" style="258" min="63" max="63"/>
    <col outlineLevel="1" width="10.14" customWidth="1" style="258" min="64" max="64"/>
    <col outlineLevel="1" width="11.15" customWidth="1" style="258" min="65" max="65"/>
    <col outlineLevel="1" width="10.14" customWidth="1" style="258" min="66" max="67"/>
    <col width="10" customWidth="1" style="258" min="68" max="68"/>
    <col outlineLevel="1" width="10.14" customWidth="1" style="258" min="69" max="69"/>
    <col outlineLevel="1" width="11.15" customWidth="1" style="258" min="70" max="70"/>
    <col outlineLevel="1" width="10.14" customWidth="1" style="258" min="71" max="72"/>
    <col width="10" customWidth="1" style="258" min="73" max="73"/>
    <col outlineLevel="1" width="10.14" customWidth="1" style="258" min="74" max="74"/>
    <col outlineLevel="1" width="11.15" customWidth="1" style="258" min="75" max="75"/>
    <col outlineLevel="1" width="10.14" customWidth="1" style="258" min="76" max="77"/>
    <col width="10" customWidth="1" style="258" min="78" max="78"/>
    <col outlineLevel="1" width="10.14" customWidth="1" style="258" min="79" max="79"/>
    <col outlineLevel="1" width="11.15" customWidth="1" style="258" min="80" max="80"/>
    <col outlineLevel="1" width="10.14" customWidth="1" style="258" min="81" max="82"/>
    <col width="10" customWidth="1" style="258" min="83" max="83"/>
    <col outlineLevel="1" width="10.14" customWidth="1" style="258" min="84" max="84"/>
    <col outlineLevel="1" width="11.15" customWidth="1" style="258" min="85" max="85"/>
    <col outlineLevel="1" width="10.14" customWidth="1" style="258" min="86" max="87"/>
    <col width="10" customWidth="1" style="258" min="88" max="88"/>
    <col outlineLevel="1" width="10.14" customWidth="1" style="258" min="89" max="89"/>
    <col outlineLevel="1" width="11.15" customWidth="1" style="258" min="90" max="90"/>
    <col outlineLevel="1" width="10.14" customWidth="1" style="258" min="91" max="92"/>
    <col width="10" customWidth="1" style="258" min="93" max="93"/>
    <col outlineLevel="1" width="10.14" customWidth="1" style="258" min="94" max="94"/>
    <col outlineLevel="1" width="11.15" customWidth="1" style="258" min="95" max="95"/>
    <col outlineLevel="1" width="10.14" customWidth="1" style="258" min="96" max="97"/>
    <col width="10" customWidth="1" style="258" min="98" max="98"/>
    <col outlineLevel="1" width="10.14" customWidth="1" style="258" min="99" max="99"/>
    <col outlineLevel="1" width="11.15" customWidth="1" style="258" min="100" max="100"/>
    <col outlineLevel="1" width="10.14" customWidth="1" style="258" min="101" max="102"/>
    <col width="10" customWidth="1" style="258" min="103" max="103"/>
    <col width="9.140000000000001" customWidth="1" style="258" min="104" max="16384"/>
  </cols>
  <sheetData>
    <row r="1" ht="14.9" customHeight="1" s="254">
      <c r="C1" s="271" t="inlineStr">
        <is>
          <t>CHECKS</t>
        </is>
      </c>
      <c r="D1" s="266">
        <f>SUM(D2,D3)</f>
        <v>0</v>
      </c>
      <c r="E1" s="266">
        <f>SUM(E2,E3)</f>
        <v>0</v>
      </c>
      <c r="F1" s="266">
        <f>SUM(F2,F3)</f>
        <v>0</v>
      </c>
      <c r="G1" s="266">
        <f>SUM(G2,G3)</f>
        <v>0</v>
      </c>
      <c r="H1" s="266">
        <f>SUM(H2,H3)</f>
        <v>0</v>
      </c>
      <c r="I1" s="266">
        <f>SUM(I2,I3)</f>
        <v>0</v>
      </c>
      <c r="J1" s="266">
        <f>SUM(J2,J3)</f>
        <v>0</v>
      </c>
      <c r="K1" s="266">
        <f>SUM(K2,K3)</f>
        <v>0</v>
      </c>
      <c r="L1" s="266">
        <f>SUM(L2,L3)</f>
        <v>0</v>
      </c>
      <c r="M1" s="266">
        <f>SUM(M2,M3)</f>
        <v>0</v>
      </c>
      <c r="N1" s="266">
        <f>SUM(N2,N3)</f>
        <v>0</v>
      </c>
      <c r="O1" s="266">
        <f>SUM(O2,O3)</f>
        <v>0</v>
      </c>
      <c r="P1" s="266">
        <f>SUM(P2,P3)</f>
        <v>0</v>
      </c>
      <c r="Q1" s="266">
        <f>SUM(Q2,Q3)</f>
        <v>0</v>
      </c>
      <c r="R1" s="266">
        <f>SUM(R2,R3)</f>
        <v>0</v>
      </c>
      <c r="S1" s="266">
        <f>SUM(S2,S3)</f>
        <v>0</v>
      </c>
      <c r="T1" s="266">
        <f>SUM(T2,T3)</f>
        <v>0</v>
      </c>
      <c r="U1" s="266">
        <f>SUM(U2,U3)</f>
        <v>0</v>
      </c>
      <c r="V1" s="266">
        <f>SUM(V2,V3)</f>
        <v>0</v>
      </c>
      <c r="W1" s="266">
        <f>SUM(W2,W3)</f>
        <v>0</v>
      </c>
      <c r="X1" s="266">
        <f>SUM(X2,X3)</f>
        <v>0</v>
      </c>
      <c r="Y1" s="266">
        <f>SUM(Y2,Y3)</f>
        <v>0</v>
      </c>
      <c r="Z1" s="266">
        <f>SUM(Z2,Z3)</f>
        <v>0</v>
      </c>
      <c r="AA1" s="266">
        <f>SUM(AA2,AA3)</f>
        <v>0</v>
      </c>
      <c r="AB1" s="266">
        <f>SUM(AB2,AB3)</f>
        <v>0</v>
      </c>
      <c r="AC1" s="266">
        <f>SUM(AC2,AC3)</f>
        <v>0</v>
      </c>
      <c r="AD1" s="266">
        <f>SUM(AD2,AD3)</f>
        <v>0</v>
      </c>
      <c r="AE1" s="266">
        <f>SUM(AE2,AE3)</f>
        <v>0</v>
      </c>
      <c r="AF1" s="266">
        <f>SUM(AF2,AF3)</f>
        <v>0</v>
      </c>
      <c r="AG1" s="266">
        <f>SUM(AG2,AG3)</f>
        <v>0</v>
      </c>
      <c r="AH1" s="266">
        <f>SUM(AH2,AH3)</f>
        <v>0</v>
      </c>
      <c r="AI1" s="266">
        <f>SUM(AI2,AI3)</f>
        <v>0</v>
      </c>
      <c r="AJ1" s="266">
        <f>SUM(AJ2,AJ3)</f>
        <v>0</v>
      </c>
      <c r="AK1" s="266">
        <f>SUM(AK2,AK3)</f>
        <v>0</v>
      </c>
      <c r="AL1" s="266">
        <f>SUM(AL2,AL3)</f>
        <v>0</v>
      </c>
      <c r="AM1" s="266" t="e">
        <f>SUM(AM2,AM3)</f>
        <v>#DIV/0!</v>
      </c>
      <c r="AN1" s="266" t="e">
        <f>SUM(AN2,AN3)</f>
        <v>#DIV/0!</v>
      </c>
      <c r="AO1" s="266" t="e">
        <f>SUM(AO2,AO3)</f>
        <v>#DIV/0!</v>
      </c>
      <c r="AP1" s="266" t="e">
        <f>SUM(AP2,AP3)</f>
        <v>#DIV/0!</v>
      </c>
      <c r="AQ1" s="266" t="e">
        <f>SUM(AQ2,AQ3)</f>
        <v>#DIV/0!</v>
      </c>
      <c r="AR1" s="266" t="e">
        <f>SUM(AR2,AR3)</f>
        <v>#DIV/0!</v>
      </c>
      <c r="AS1" s="266" t="e">
        <f>SUM(AS2,AS3)</f>
        <v>#DIV/0!</v>
      </c>
      <c r="AT1" s="266" t="e">
        <f>SUM(AT2,AT3)</f>
        <v>#DIV/0!</v>
      </c>
      <c r="AU1" s="266" t="e">
        <f>SUM(AU2,AU3)</f>
        <v>#DIV/0!</v>
      </c>
      <c r="AV1" s="266" t="e">
        <f>SUM(AV2,AV3)</f>
        <v>#DIV/0!</v>
      </c>
      <c r="AW1" s="266" t="e">
        <f>SUM(AW2,AW3)</f>
        <v>#DIV/0!</v>
      </c>
      <c r="AX1" s="266" t="e">
        <f>SUM(AX2,AX3)</f>
        <v>#DIV/0!</v>
      </c>
      <c r="AY1" s="266" t="e">
        <f>SUM(AY2,AY3)</f>
        <v>#DIV/0!</v>
      </c>
      <c r="AZ1" s="266" t="e">
        <f>SUM(AZ2,AZ3)</f>
        <v>#DIV/0!</v>
      </c>
      <c r="BA1" s="266" t="e">
        <f>SUM(BA2,BA3)</f>
        <v>#DIV/0!</v>
      </c>
      <c r="BB1" s="266" t="e">
        <f>SUM(BB2,BB3)</f>
        <v>#DIV/0!</v>
      </c>
      <c r="BC1" s="266" t="e">
        <f>SUM(BC2,BC3)</f>
        <v>#DIV/0!</v>
      </c>
      <c r="BD1" s="266" t="e">
        <f>SUM(BD2,BD3)</f>
        <v>#DIV/0!</v>
      </c>
      <c r="BE1" s="266" t="e">
        <f>SUM(BE2,BE3)</f>
        <v>#DIV/0!</v>
      </c>
      <c r="BF1" s="266" t="e">
        <f>SUM(BF2,BF3)</f>
        <v>#DIV/0!</v>
      </c>
      <c r="BG1" s="266" t="e">
        <f>SUM(BG2,BG3)</f>
        <v>#DIV/0!</v>
      </c>
      <c r="BH1" s="266" t="e">
        <f>SUM(BH2,BH3)</f>
        <v>#DIV/0!</v>
      </c>
      <c r="BI1" s="266" t="e">
        <f>SUM(BI2,BI3)</f>
        <v>#DIV/0!</v>
      </c>
      <c r="BJ1" s="266" t="e">
        <f>SUM(BJ2,BJ3)</f>
        <v>#DIV/0!</v>
      </c>
      <c r="BK1" s="266" t="e">
        <f>SUM(BK2,BK3)</f>
        <v>#DIV/0!</v>
      </c>
      <c r="BL1" s="266" t="e">
        <f>SUM(BL2,BL3)</f>
        <v>#DIV/0!</v>
      </c>
      <c r="BM1" s="266" t="e">
        <f>SUM(BM2,BM3)</f>
        <v>#DIV/0!</v>
      </c>
      <c r="BN1" s="266" t="e">
        <f>SUM(BN2,BN3)</f>
        <v>#DIV/0!</v>
      </c>
      <c r="BO1" s="266" t="e">
        <f>SUM(BO2,BO3)</f>
        <v>#DIV/0!</v>
      </c>
      <c r="BP1" s="266" t="e">
        <f>SUM(BP2,BP3)</f>
        <v>#DIV/0!</v>
      </c>
      <c r="BQ1" s="266" t="e">
        <f>SUM(BQ2,BQ3)</f>
        <v>#DIV/0!</v>
      </c>
      <c r="BR1" s="266" t="e">
        <f>SUM(BR2,BR3)</f>
        <v>#DIV/0!</v>
      </c>
      <c r="BS1" s="266" t="e">
        <f>SUM(BS2,BS3)</f>
        <v>#DIV/0!</v>
      </c>
      <c r="BT1" s="266" t="e">
        <f>SUM(BT2,BT3)</f>
        <v>#DIV/0!</v>
      </c>
      <c r="BU1" s="266" t="e">
        <f>SUM(BU2,BU3)</f>
        <v>#DIV/0!</v>
      </c>
      <c r="BV1" s="266" t="e">
        <f>SUM(BV2,BV3)</f>
        <v>#DIV/0!</v>
      </c>
      <c r="BW1" s="266" t="e">
        <f>SUM(BW2,BW3)</f>
        <v>#DIV/0!</v>
      </c>
      <c r="BX1" s="266" t="e">
        <f>SUM(BX2,BX3)</f>
        <v>#DIV/0!</v>
      </c>
      <c r="BY1" s="266" t="e">
        <f>SUM(BY2,BY3)</f>
        <v>#DIV/0!</v>
      </c>
      <c r="BZ1" s="266" t="e">
        <f>SUM(BZ2,BZ3)</f>
        <v>#DIV/0!</v>
      </c>
      <c r="CA1" s="266" t="e">
        <f>SUM(CA2,CA3)</f>
        <v>#DIV/0!</v>
      </c>
      <c r="CB1" s="266" t="e">
        <f>SUM(CB2,CB3)</f>
        <v>#DIV/0!</v>
      </c>
      <c r="CC1" s="266" t="e">
        <f>SUM(CC2,CC3)</f>
        <v>#DIV/0!</v>
      </c>
      <c r="CD1" s="266" t="e">
        <f>SUM(CD2,CD3)</f>
        <v>#DIV/0!</v>
      </c>
      <c r="CE1" s="266" t="e">
        <f>SUM(CE2,CE3)</f>
        <v>#DIV/0!</v>
      </c>
      <c r="CF1" s="266" t="e">
        <f>SUM(CF2,CF3)</f>
        <v>#DIV/0!</v>
      </c>
      <c r="CG1" s="266" t="e">
        <f>SUM(CG2,CG3)</f>
        <v>#DIV/0!</v>
      </c>
      <c r="CH1" s="266" t="e">
        <f>SUM(CH2,CH3)</f>
        <v>#DIV/0!</v>
      </c>
      <c r="CI1" s="266" t="e">
        <f>SUM(CI2,CI3)</f>
        <v>#DIV/0!</v>
      </c>
      <c r="CJ1" s="266" t="e">
        <f>SUM(CJ2,CJ3)</f>
        <v>#DIV/0!</v>
      </c>
      <c r="CK1" s="266" t="e">
        <f>SUM(CK2,CK3)</f>
        <v>#DIV/0!</v>
      </c>
      <c r="CL1" s="266" t="e">
        <f>SUM(CL2,CL3)</f>
        <v>#DIV/0!</v>
      </c>
      <c r="CM1" s="266" t="e">
        <f>SUM(CM2,CM3)</f>
        <v>#DIV/0!</v>
      </c>
      <c r="CN1" s="266" t="e">
        <f>SUM(CN2,CN3)</f>
        <v>#DIV/0!</v>
      </c>
      <c r="CO1" s="266" t="e">
        <f>SUM(CO2,CO3)</f>
        <v>#DIV/0!</v>
      </c>
      <c r="CP1" s="266" t="e">
        <f>SUM(CP2,CP3)</f>
        <v>#DIV/0!</v>
      </c>
      <c r="CQ1" s="266" t="e">
        <f>SUM(CQ2,CQ3)</f>
        <v>#DIV/0!</v>
      </c>
      <c r="CR1" s="266" t="e">
        <f>SUM(CR2,CR3)</f>
        <v>#DIV/0!</v>
      </c>
      <c r="CS1" s="266" t="e">
        <f>SUM(CS2,CS3)</f>
        <v>#DIV/0!</v>
      </c>
      <c r="CT1" s="266" t="e">
        <f>SUM(CT2,CT3)</f>
        <v>#DIV/0!</v>
      </c>
      <c r="CU1" s="266" t="e">
        <f>SUM(CU2,CU3)</f>
        <v>#DIV/0!</v>
      </c>
      <c r="CV1" s="266" t="e">
        <f>SUM(CV2,CV3)</f>
        <v>#DIV/0!</v>
      </c>
      <c r="CW1" s="266" t="e">
        <f>SUM(CW2,CW3)</f>
        <v>#DIV/0!</v>
      </c>
      <c r="CX1" s="266" t="e">
        <f>SUM(CX2,CX3)</f>
        <v>#DIV/0!</v>
      </c>
      <c r="CY1" s="266" t="e">
        <f>SUM(CY2,CY3)</f>
        <v>#DIV/0!</v>
      </c>
    </row>
    <row r="2" outlineLevel="1" ht="14.9" customHeight="1" s="254">
      <c r="C2" s="272" t="inlineStr">
        <is>
          <t>BS</t>
        </is>
      </c>
      <c r="D2" s="266">
        <f>ABS(D203-D279)</f>
        <v>0</v>
      </c>
      <c r="E2" s="266">
        <f>ABS(E203-E279)</f>
        <v>0</v>
      </c>
      <c r="F2" s="266">
        <f>ABS(F203-F279)</f>
        <v>0</v>
      </c>
      <c r="G2" s="266">
        <f>ABS(G203-G279)</f>
        <v>0</v>
      </c>
      <c r="H2" s="266">
        <f>ABS(H203-H279)</f>
        <v>0</v>
      </c>
      <c r="I2" s="266">
        <f>ABS(I203-I279)</f>
        <v>0</v>
      </c>
      <c r="J2" s="266">
        <f>ABS(J203-J279)</f>
        <v>0</v>
      </c>
      <c r="K2" s="266">
        <f>ABS(K203-K279)</f>
        <v>0</v>
      </c>
      <c r="L2" s="266">
        <f>ABS(L203-L279)</f>
        <v>0</v>
      </c>
      <c r="M2" s="266">
        <f>ABS(M203-M279)</f>
        <v>0</v>
      </c>
      <c r="N2" s="266">
        <f>ABS(N203-N279)</f>
        <v>0</v>
      </c>
      <c r="O2" s="266">
        <f>ABS(O203-O279)</f>
        <v>0</v>
      </c>
      <c r="P2" s="266">
        <f>ABS(P203-P279)</f>
        <v>0</v>
      </c>
      <c r="Q2" s="266">
        <f>ABS(Q203-Q279)</f>
        <v>0</v>
      </c>
      <c r="R2" s="266">
        <f>ABS(R203-R279)</f>
        <v>0</v>
      </c>
      <c r="S2" s="266">
        <f>ABS(S203-S279)</f>
        <v>0</v>
      </c>
      <c r="T2" s="266">
        <f>ABS(T203-T279)</f>
        <v>0</v>
      </c>
      <c r="U2" s="266">
        <f>ABS(U203-U279)</f>
        <v>0</v>
      </c>
      <c r="V2" s="266">
        <f>ABS(V203-V279)</f>
        <v>0</v>
      </c>
      <c r="W2" s="266">
        <f>ABS(W203-W279)</f>
        <v>0</v>
      </c>
      <c r="X2" s="266">
        <f>ABS(X203-X279)</f>
        <v>0</v>
      </c>
      <c r="Y2" s="266">
        <f>ABS(Y203-Y279)</f>
        <v>0</v>
      </c>
      <c r="Z2" s="266">
        <f>ABS(Z203-Z279)</f>
        <v>0</v>
      </c>
      <c r="AA2" s="266">
        <f>ABS(AA203-AA279)</f>
        <v>0</v>
      </c>
      <c r="AB2" s="266">
        <f>ABS(AB203-AB279)</f>
        <v>0</v>
      </c>
      <c r="AC2" s="266">
        <f>ABS(AC203-AC279)</f>
        <v>0</v>
      </c>
      <c r="AD2" s="266">
        <f>ABS(AD203-AD279)</f>
        <v>0</v>
      </c>
      <c r="AE2" s="266">
        <f>ABS(AE203-AE279)</f>
        <v>0</v>
      </c>
      <c r="AF2" s="266">
        <f>ABS(AF203-AF279)</f>
        <v>0</v>
      </c>
      <c r="AG2" s="266">
        <f>ABS(AG203-AG279)</f>
        <v>0</v>
      </c>
      <c r="AH2" s="266">
        <f>ABS(AH203-AH279)</f>
        <v>0</v>
      </c>
      <c r="AI2" s="266">
        <f>ABS(AI203-AI279)</f>
        <v>0</v>
      </c>
      <c r="AJ2" s="266">
        <f>ABS(AJ203-AJ279)</f>
        <v>0</v>
      </c>
      <c r="AK2" s="266">
        <f>ABS(AK203-AK279)</f>
        <v>0</v>
      </c>
      <c r="AL2" s="266">
        <f>ABS(AL203-AL279)</f>
        <v>0</v>
      </c>
      <c r="AM2" s="266" t="e">
        <f>ABS(AM203-AM279)</f>
        <v>#DIV/0!</v>
      </c>
      <c r="AN2" s="266" t="e">
        <f>ABS(AN203-AN279)</f>
        <v>#DIV/0!</v>
      </c>
      <c r="AO2" s="266" t="e">
        <f>ABS(AO203-AO279)</f>
        <v>#DIV/0!</v>
      </c>
      <c r="AP2" s="266" t="e">
        <f>ABS(AP203-AP279)</f>
        <v>#DIV/0!</v>
      </c>
      <c r="AQ2" s="266" t="e">
        <f>ABS(AQ203-AQ279)</f>
        <v>#DIV/0!</v>
      </c>
      <c r="AR2" s="266" t="e">
        <f>ABS(AR203-AR279)</f>
        <v>#DIV/0!</v>
      </c>
      <c r="AS2" s="266" t="e">
        <f>ABS(AS203-AS279)</f>
        <v>#DIV/0!</v>
      </c>
      <c r="AT2" s="266" t="e">
        <f>ABS(AT203-AT279)</f>
        <v>#DIV/0!</v>
      </c>
      <c r="AU2" s="266" t="e">
        <f>ABS(AU203-AU279)</f>
        <v>#DIV/0!</v>
      </c>
      <c r="AV2" s="266" t="e">
        <f>ABS(AV203-AV279)</f>
        <v>#DIV/0!</v>
      </c>
      <c r="AW2" s="266" t="e">
        <f>ABS(AW203-AW279)</f>
        <v>#DIV/0!</v>
      </c>
      <c r="AX2" s="266" t="e">
        <f>ABS(AX203-AX279)</f>
        <v>#DIV/0!</v>
      </c>
      <c r="AY2" s="266" t="e">
        <f>ABS(AY203-AY279)</f>
        <v>#DIV/0!</v>
      </c>
      <c r="AZ2" s="266" t="e">
        <f>ABS(AZ203-AZ279)</f>
        <v>#DIV/0!</v>
      </c>
      <c r="BA2" s="266" t="e">
        <f>ABS(BA203-BA279)</f>
        <v>#DIV/0!</v>
      </c>
      <c r="BB2" s="266" t="e">
        <f>ABS(BB203-BB279)</f>
        <v>#DIV/0!</v>
      </c>
      <c r="BC2" s="266" t="e">
        <f>ABS(BC203-BC279)</f>
        <v>#DIV/0!</v>
      </c>
      <c r="BD2" s="266" t="e">
        <f>ABS(BD203-BD279)</f>
        <v>#DIV/0!</v>
      </c>
      <c r="BE2" s="266" t="e">
        <f>ABS(BE203-BE279)</f>
        <v>#DIV/0!</v>
      </c>
      <c r="BF2" s="266" t="e">
        <f>ABS(BF203-BF279)</f>
        <v>#DIV/0!</v>
      </c>
      <c r="BG2" s="266" t="e">
        <f>ABS(BG203-BG279)</f>
        <v>#DIV/0!</v>
      </c>
      <c r="BH2" s="266" t="e">
        <f>ABS(BH203-BH279)</f>
        <v>#DIV/0!</v>
      </c>
      <c r="BI2" s="266" t="e">
        <f>ABS(BI203-BI279)</f>
        <v>#DIV/0!</v>
      </c>
      <c r="BJ2" s="266" t="e">
        <f>ABS(BJ203-BJ279)</f>
        <v>#DIV/0!</v>
      </c>
      <c r="BK2" s="266" t="e">
        <f>ABS(BK203-BK279)</f>
        <v>#DIV/0!</v>
      </c>
      <c r="BL2" s="266" t="e">
        <f>ABS(BL203-BL279)</f>
        <v>#DIV/0!</v>
      </c>
      <c r="BM2" s="266" t="e">
        <f>ABS(BM203-BM279)</f>
        <v>#DIV/0!</v>
      </c>
      <c r="BN2" s="266" t="e">
        <f>ABS(BN203-BN279)</f>
        <v>#DIV/0!</v>
      </c>
      <c r="BO2" s="266" t="e">
        <f>ABS(BO203-BO279)</f>
        <v>#DIV/0!</v>
      </c>
      <c r="BP2" s="266" t="e">
        <f>ABS(BP203-BP279)</f>
        <v>#DIV/0!</v>
      </c>
      <c r="BQ2" s="266" t="e">
        <f>ABS(BQ203-BQ279)</f>
        <v>#DIV/0!</v>
      </c>
      <c r="BR2" s="266" t="e">
        <f>ABS(BR203-BR279)</f>
        <v>#DIV/0!</v>
      </c>
      <c r="BS2" s="266" t="e">
        <f>ABS(BS203-BS279)</f>
        <v>#DIV/0!</v>
      </c>
      <c r="BT2" s="266" t="e">
        <f>ABS(BT203-BT279)</f>
        <v>#DIV/0!</v>
      </c>
      <c r="BU2" s="266" t="e">
        <f>ABS(BU203-BU279)</f>
        <v>#DIV/0!</v>
      </c>
      <c r="BV2" s="266" t="e">
        <f>ABS(BV203-BV279)</f>
        <v>#DIV/0!</v>
      </c>
      <c r="BW2" s="266" t="e">
        <f>ABS(BW203-BW279)</f>
        <v>#DIV/0!</v>
      </c>
      <c r="BX2" s="266" t="e">
        <f>ABS(BX203-BX279)</f>
        <v>#DIV/0!</v>
      </c>
      <c r="BY2" s="266" t="e">
        <f>ABS(BY203-BY279)</f>
        <v>#DIV/0!</v>
      </c>
      <c r="BZ2" s="266" t="e">
        <f>ABS(BZ203-BZ279)</f>
        <v>#DIV/0!</v>
      </c>
      <c r="CA2" s="266" t="e">
        <f>ABS(CA203-CA279)</f>
        <v>#DIV/0!</v>
      </c>
      <c r="CB2" s="266" t="e">
        <f>ABS(CB203-CB279)</f>
        <v>#DIV/0!</v>
      </c>
      <c r="CC2" s="266" t="e">
        <f>ABS(CC203-CC279)</f>
        <v>#DIV/0!</v>
      </c>
      <c r="CD2" s="266" t="e">
        <f>ABS(CD203-CD279)</f>
        <v>#DIV/0!</v>
      </c>
      <c r="CE2" s="266" t="e">
        <f>ABS(CE203-CE279)</f>
        <v>#DIV/0!</v>
      </c>
      <c r="CF2" s="266" t="e">
        <f>ABS(CF203-CF279)</f>
        <v>#DIV/0!</v>
      </c>
      <c r="CG2" s="266" t="e">
        <f>ABS(CG203-CG279)</f>
        <v>#DIV/0!</v>
      </c>
      <c r="CH2" s="266" t="e">
        <f>ABS(CH203-CH279)</f>
        <v>#DIV/0!</v>
      </c>
      <c r="CI2" s="266" t="e">
        <f>ABS(CI203-CI279)</f>
        <v>#DIV/0!</v>
      </c>
      <c r="CJ2" s="266" t="e">
        <f>ABS(CJ203-CJ279)</f>
        <v>#DIV/0!</v>
      </c>
      <c r="CK2" s="266" t="e">
        <f>ABS(CK203-CK279)</f>
        <v>#DIV/0!</v>
      </c>
      <c r="CL2" s="266" t="e">
        <f>ABS(CL203-CL279)</f>
        <v>#DIV/0!</v>
      </c>
      <c r="CM2" s="266" t="e">
        <f>ABS(CM203-CM279)</f>
        <v>#DIV/0!</v>
      </c>
      <c r="CN2" s="266" t="e">
        <f>ABS(CN203-CN279)</f>
        <v>#DIV/0!</v>
      </c>
      <c r="CO2" s="266" t="e">
        <f>ABS(CO203-CO279)</f>
        <v>#DIV/0!</v>
      </c>
      <c r="CP2" s="266" t="e">
        <f>ABS(CP203-CP279)</f>
        <v>#DIV/0!</v>
      </c>
      <c r="CQ2" s="266" t="e">
        <f>ABS(CQ203-CQ279)</f>
        <v>#DIV/0!</v>
      </c>
      <c r="CR2" s="266" t="e">
        <f>ABS(CR203-CR279)</f>
        <v>#DIV/0!</v>
      </c>
      <c r="CS2" s="266" t="e">
        <f>ABS(CS203-CS279)</f>
        <v>#DIV/0!</v>
      </c>
      <c r="CT2" s="266" t="e">
        <f>ABS(CT203-CT279)</f>
        <v>#DIV/0!</v>
      </c>
      <c r="CU2" s="266" t="e">
        <f>ABS(CU203-CU279)</f>
        <v>#DIV/0!</v>
      </c>
      <c r="CV2" s="266" t="e">
        <f>ABS(CV203-CV279)</f>
        <v>#DIV/0!</v>
      </c>
      <c r="CW2" s="266" t="e">
        <f>ABS(CW203-CW279)</f>
        <v>#DIV/0!</v>
      </c>
      <c r="CX2" s="266" t="e">
        <f>ABS(CX203-CX279)</f>
        <v>#DIV/0!</v>
      </c>
      <c r="CY2" s="266" t="e">
        <f>ABS(CY203-CY279)</f>
        <v>#DIV/0!</v>
      </c>
    </row>
    <row r="3" outlineLevel="1" ht="14.9" customHeight="1" s="254">
      <c r="C3" s="272" t="inlineStr">
        <is>
          <t>IS</t>
        </is>
      </c>
      <c r="D3" s="266" t="str">
        <f>IF(COUNT(D4)=0,"",ABS(D143-D4))</f>
        <v/>
      </c>
      <c r="E3" s="266" t="str">
        <f>IF(COUNT(E4)=0,"",ABS(E143-E4))</f>
        <v/>
      </c>
      <c r="F3" s="266" t="str">
        <f>IF(COUNT(F4)=0,"",ABS(F143-F4))</f>
        <v/>
      </c>
      <c r="G3" s="266" t="str">
        <f>IF(COUNT(G4)=0,"",ABS(G143-G4))</f>
        <v/>
      </c>
      <c r="H3" s="266" t="str">
        <f>IF(COUNT(H4)=0,"",ABS(H143-H4))</f>
        <v/>
      </c>
      <c r="I3" s="266">
        <f>IF(COUNT(I4)=0,"",ABS(I143-I4))</f>
        <v>0</v>
      </c>
      <c r="J3" s="266">
        <f>IF(COUNT(J4)=0,"",ABS(J143-J4))</f>
        <v>0</v>
      </c>
      <c r="K3" s="266">
        <f>IF(COUNT(K4)=0,"",ABS(K143-K4))</f>
        <v>0</v>
      </c>
      <c r="L3" s="266">
        <f>IF(COUNT(L4)=0,"",ABS(L143-L4))</f>
        <v>0</v>
      </c>
      <c r="M3" s="266">
        <f>IF(COUNT(M4)=0,"",ABS(M143-M4))</f>
        <v>0</v>
      </c>
      <c r="N3" s="266">
        <f>IF(COUNT(N4)=0,"",ABS(N143-N4))</f>
        <v>0</v>
      </c>
      <c r="O3" s="266">
        <f>IF(COUNT(O4)=0,"",ABS(O143-O4))</f>
        <v>0</v>
      </c>
      <c r="P3" s="266">
        <f>IF(COUNT(P4)=0,"",ABS(P143-P4))</f>
        <v>0</v>
      </c>
      <c r="Q3" s="266">
        <f>IF(COUNT(Q4)=0,"",ABS(Q143-Q4))</f>
        <v>0</v>
      </c>
      <c r="R3" s="266">
        <f>IF(COUNT(R4)=0,"",ABS(R143-R4))</f>
        <v>0</v>
      </c>
      <c r="S3" s="266">
        <f>IF(COUNT(S4)=0,"",ABS(S143-S4))</f>
        <v>0</v>
      </c>
      <c r="T3" s="266">
        <f>IF(COUNT(T4)=0,"",ABS(T143-T4))</f>
        <v>0</v>
      </c>
      <c r="U3" s="266">
        <f>IF(COUNT(U4)=0,"",ABS(U143-U4))</f>
        <v>0</v>
      </c>
      <c r="V3" s="266">
        <f>IF(COUNT(V4)=0,"",ABS(V143-V4))</f>
        <v>0</v>
      </c>
      <c r="W3" s="266">
        <f>IF(COUNT(W4)=0,"",ABS(W143-W4))</f>
        <v>0</v>
      </c>
      <c r="X3" s="266">
        <f>IF(COUNT(X4)=0,"",ABS(X143-X4))</f>
        <v>0</v>
      </c>
      <c r="Y3" s="266">
        <f>IF(COUNT(Y4)=0,"",ABS(Y143-Y4))</f>
        <v>0</v>
      </c>
      <c r="Z3" s="266">
        <f>IF(COUNT(Z4)=0,"",ABS(Z143-Z4))</f>
        <v>0</v>
      </c>
      <c r="AA3" s="266">
        <f>IF(COUNT(AA4)=0,"",ABS(AA143-AA4))</f>
        <v>0</v>
      </c>
      <c r="AB3" s="266">
        <f>IF(COUNT(AB4)=0,"",ABS(AB143-AB4))</f>
        <v>0</v>
      </c>
      <c r="AC3" s="266">
        <f>IF(COUNT(AC4)=0,"",ABS(AC143-AC4))</f>
        <v>0</v>
      </c>
      <c r="AD3" s="266">
        <f>IF(COUNT(AD4)=0,"",ABS(AD143-AD4))</f>
        <v>0</v>
      </c>
      <c r="AE3" s="266">
        <f>IF(COUNT(AE4)=0,"",ABS(AE143-AE4))</f>
        <v>0</v>
      </c>
      <c r="AF3" s="266">
        <f>IF(COUNT(AF4)=0,"",ABS(AF143-AF4))</f>
        <v>0</v>
      </c>
      <c r="AG3" s="266">
        <f>IF(COUNT(AG4)=0,"",ABS(AG143-AG4))</f>
        <v>0</v>
      </c>
      <c r="AH3" s="266">
        <f>IF(COUNT(AH4)=0,"",ABS(AH143-AH4))</f>
        <v>0</v>
      </c>
      <c r="AI3" s="266">
        <f>IF(COUNT(AI4)=0,"",ABS(AI143-AI4))</f>
        <v>0</v>
      </c>
      <c r="AJ3" s="266" t="str">
        <f>IF(COUNT(AJ4)=0,"",ABS(AJ143-AJ4))</f>
        <v/>
      </c>
      <c r="AK3" s="266" t="str">
        <f>IF(COUNT(AK4)=0,"",ABS(AK143-AK4))</f>
        <v/>
      </c>
      <c r="AL3" s="266" t="str">
        <f>IF(COUNT(AL4)=0,"",ABS(AL143-AL4))</f>
        <v/>
      </c>
      <c r="AM3" s="266" t="str">
        <f>IF(COUNT(AM4)=0,"",ABS(AM143-AM4))</f>
        <v/>
      </c>
      <c r="AN3" s="266" t="str">
        <f>IF(COUNT(AN4)=0,"",ABS(AN143-AN4))</f>
        <v/>
      </c>
      <c r="AO3" s="266" t="str">
        <f>IF(COUNT(AO4)=0,"",ABS(AO143-AO4))</f>
        <v/>
      </c>
      <c r="AP3" s="266" t="str">
        <f>IF(COUNT(AP4)=0,"",ABS(AP143-AP4))</f>
        <v/>
      </c>
      <c r="AQ3" s="266" t="str">
        <f>IF(COUNT(AQ4)=0,"",ABS(AQ143-AQ4))</f>
        <v/>
      </c>
      <c r="AR3" s="266" t="str">
        <f>IF(COUNT(AR4)=0,"",ABS(AR143-AR4))</f>
        <v/>
      </c>
      <c r="AS3" s="266" t="str">
        <f>IF(COUNT(AS4)=0,"",ABS(AS143-AS4))</f>
        <v/>
      </c>
      <c r="AT3" s="266" t="str">
        <f>IF(COUNT(AT4)=0,"",ABS(AT143-AT4))</f>
        <v/>
      </c>
      <c r="AU3" s="266" t="str">
        <f>IF(COUNT(AU4)=0,"",ABS(AU143-AU4))</f>
        <v/>
      </c>
      <c r="AV3" s="266" t="str">
        <f>IF(COUNT(AV4)=0,"",ABS(AV143-AV4))</f>
        <v/>
      </c>
      <c r="AW3" s="266" t="str">
        <f>IF(COUNT(AW4)=0,"",ABS(AW143-AW4))</f>
        <v/>
      </c>
      <c r="AX3" s="266" t="str">
        <f>IF(COUNT(AX4)=0,"",ABS(AX143-AX4))</f>
        <v/>
      </c>
      <c r="AY3" s="266" t="str">
        <f>IF(COUNT(AY4)=0,"",ABS(AY143-AY4))</f>
        <v/>
      </c>
      <c r="AZ3" s="266" t="str">
        <f>IF(COUNT(AZ4)=0,"",ABS(AZ143-AZ4))</f>
        <v/>
      </c>
      <c r="BA3" s="266" t="str">
        <f>IF(COUNT(BA4)=0,"",ABS(BA143-BA4))</f>
        <v/>
      </c>
      <c r="BB3" s="266" t="str">
        <f>IF(COUNT(BB4)=0,"",ABS(BB143-BB4))</f>
        <v/>
      </c>
      <c r="BC3" s="266" t="str">
        <f>IF(COUNT(BC4)=0,"",ABS(BC143-BC4))</f>
        <v/>
      </c>
      <c r="BD3" s="266" t="str">
        <f>IF(COUNT(BD4)=0,"",ABS(BD143-BD4))</f>
        <v/>
      </c>
      <c r="BE3" s="266" t="str">
        <f>IF(COUNT(BE4)=0,"",ABS(BE143-BE4))</f>
        <v/>
      </c>
      <c r="BF3" s="266" t="str">
        <f>IF(COUNT(BF4)=0,"",ABS(BF143-BF4))</f>
        <v/>
      </c>
      <c r="BG3" s="266" t="str">
        <f>IF(COUNT(BG4)=0,"",ABS(BG143-BG4))</f>
        <v/>
      </c>
      <c r="BH3" s="266" t="str">
        <f>IF(COUNT(BH4)=0,"",ABS(BH143-BH4))</f>
        <v/>
      </c>
      <c r="BI3" s="266" t="str">
        <f>IF(COUNT(BI4)=0,"",ABS(BI143-BI4))</f>
        <v/>
      </c>
      <c r="BJ3" s="266" t="str">
        <f>IF(COUNT(BJ4)=0,"",ABS(BJ143-BJ4))</f>
        <v/>
      </c>
      <c r="BK3" s="266" t="str">
        <f>IF(COUNT(BK4)=0,"",ABS(BK143-BK4))</f>
        <v/>
      </c>
      <c r="BL3" s="266" t="str">
        <f>IF(COUNT(BL4)=0,"",ABS(BL143-BL4))</f>
        <v/>
      </c>
      <c r="BM3" s="266" t="str">
        <f>IF(COUNT(BM4)=0,"",ABS(BM143-BM4))</f>
        <v/>
      </c>
      <c r="BN3" s="266" t="str">
        <f>IF(COUNT(BN4)=0,"",ABS(BN143-BN4))</f>
        <v/>
      </c>
      <c r="BO3" s="266" t="str">
        <f>IF(COUNT(BO4)=0,"",ABS(BO143-BO4))</f>
        <v/>
      </c>
      <c r="BP3" s="266" t="str">
        <f>IF(COUNT(BP4)=0,"",ABS(BP143-BP4))</f>
        <v/>
      </c>
      <c r="BQ3" s="266" t="str">
        <f>IF(COUNT(BQ4)=0,"",ABS(BQ143-BQ4))</f>
        <v/>
      </c>
      <c r="BR3" s="266" t="str">
        <f>IF(COUNT(BR4)=0,"",ABS(BR143-BR4))</f>
        <v/>
      </c>
      <c r="BS3" s="266" t="str">
        <f>IF(COUNT(BS4)=0,"",ABS(BS143-BS4))</f>
        <v/>
      </c>
      <c r="BT3" s="266" t="str">
        <f>IF(COUNT(BT4)=0,"",ABS(BT143-BT4))</f>
        <v/>
      </c>
      <c r="BU3" s="266" t="str">
        <f>IF(COUNT(BU4)=0,"",ABS(BU143-BU4))</f>
        <v/>
      </c>
      <c r="BV3" s="266" t="str">
        <f>IF(COUNT(BV4)=0,"",ABS(BV143-BV4))</f>
        <v/>
      </c>
      <c r="BW3" s="266" t="str">
        <f>IF(COUNT(BW4)=0,"",ABS(BW143-BW4))</f>
        <v/>
      </c>
      <c r="BX3" s="266" t="str">
        <f>IF(COUNT(BX4)=0,"",ABS(BX143-BX4))</f>
        <v/>
      </c>
      <c r="BY3" s="266" t="str">
        <f>IF(COUNT(BY4)=0,"",ABS(BY143-BY4))</f>
        <v/>
      </c>
      <c r="BZ3" s="266" t="str">
        <f>IF(COUNT(BZ4)=0,"",ABS(BZ143-BZ4))</f>
        <v/>
      </c>
      <c r="CA3" s="266" t="str">
        <f>IF(COUNT(CA4)=0,"",ABS(CA143-CA4))</f>
        <v/>
      </c>
      <c r="CB3" s="266" t="str">
        <f>IF(COUNT(CB4)=0,"",ABS(CB143-CB4))</f>
        <v/>
      </c>
      <c r="CC3" s="266" t="str">
        <f>IF(COUNT(CC4)=0,"",ABS(CC143-CC4))</f>
        <v/>
      </c>
      <c r="CD3" s="266" t="str">
        <f>IF(COUNT(CD4)=0,"",ABS(CD143-CD4))</f>
        <v/>
      </c>
      <c r="CE3" s="266" t="str">
        <f>IF(COUNT(CE4)=0,"",ABS(CE143-CE4))</f>
        <v/>
      </c>
      <c r="CF3" s="266" t="str">
        <f>IF(COUNT(CF4)=0,"",ABS(CF143-CF4))</f>
        <v/>
      </c>
      <c r="CG3" s="266" t="str">
        <f>IF(COUNT(CG4)=0,"",ABS(CG143-CG4))</f>
        <v/>
      </c>
      <c r="CH3" s="266" t="str">
        <f>IF(COUNT(CH4)=0,"",ABS(CH143-CH4))</f>
        <v/>
      </c>
      <c r="CI3" s="266" t="str">
        <f>IF(COUNT(CI4)=0,"",ABS(CI143-CI4))</f>
        <v/>
      </c>
      <c r="CJ3" s="266" t="str">
        <f>IF(COUNT(CJ4)=0,"",ABS(CJ143-CJ4))</f>
        <v/>
      </c>
      <c r="CK3" s="266" t="str">
        <f>IF(COUNT(CK4)=0,"",ABS(CK143-CK4))</f>
        <v/>
      </c>
      <c r="CL3" s="266" t="str">
        <f>IF(COUNT(CL4)=0,"",ABS(CL143-CL4))</f>
        <v/>
      </c>
      <c r="CM3" s="266" t="str">
        <f>IF(COUNT(CM4)=0,"",ABS(CM143-CM4))</f>
        <v/>
      </c>
      <c r="CN3" s="266" t="str">
        <f>IF(COUNT(CN4)=0,"",ABS(CN143-CN4))</f>
        <v/>
      </c>
      <c r="CO3" s="266" t="str">
        <f>IF(COUNT(CO4)=0,"",ABS(CO143-CO4))</f>
        <v/>
      </c>
      <c r="CP3" s="266" t="str">
        <f>IF(COUNT(CP4)=0,"",ABS(CP143-CP4))</f>
        <v/>
      </c>
      <c r="CQ3" s="266" t="str">
        <f>IF(COUNT(CQ4)=0,"",ABS(CQ143-CQ4))</f>
        <v/>
      </c>
      <c r="CR3" s="266" t="str">
        <f>IF(COUNT(CR4)=0,"",ABS(CR143-CR4))</f>
        <v/>
      </c>
      <c r="CS3" s="266" t="str">
        <f>IF(COUNT(CS4)=0,"",ABS(CS143-CS4))</f>
        <v/>
      </c>
      <c r="CT3" s="266" t="str">
        <f>IF(COUNT(CT4)=0,"",ABS(CT143-CT4))</f>
        <v/>
      </c>
      <c r="CU3" s="266" t="str">
        <f>IF(COUNT(CU4)=0,"",ABS(CU143-CU4))</f>
        <v/>
      </c>
      <c r="CV3" s="266" t="str">
        <f>IF(COUNT(CV4)=0,"",ABS(CV143-CV4))</f>
        <v/>
      </c>
      <c r="CW3" s="266" t="str">
        <f>IF(COUNT(CW4)=0,"",ABS(CW143-CW4))</f>
        <v/>
      </c>
      <c r="CX3" s="266" t="str">
        <f>IF(COUNT(CX4)=0,"",ABS(CX143-CX4))</f>
        <v/>
      </c>
      <c r="CY3" s="266" t="str">
        <f>IF(COUNT(CY4)=0,"",ABS(CY143-CY4))</f>
        <v/>
      </c>
    </row>
    <row r="4" outlineLevel="1" ht="12.75" customHeight="1" s="254">
      <c r="C4" s="273" t="inlineStr">
        <is>
          <t>Net Income reportado (lucro liquido) - base do check IS</t>
        </is>
      </c>
      <c r="D4" s="274" t="n"/>
      <c r="E4" s="274" t="n"/>
      <c r="F4" s="274" t="n"/>
      <c r="G4" s="274" t="n"/>
      <c r="H4" s="274" t="str">
        <f>IF(COUNT(D4:G4)=4,SUM(D4:G4),"")</f>
        <v/>
      </c>
      <c r="I4" s="274">
        <f>INDEX('Inputs (2)'!$D$50:$AL$50,MATCH(I$7,'Inputs (2)'!$D$2:$AL$2,0))</f>
        <v>5660</v>
      </c>
      <c r="J4" s="274">
        <f>INDEX('Inputs (2)'!$D$50:$AL$50,MATCH(J$7,'Inputs (2)'!$D$2:$AL$2,0))</f>
        <v>3428</v>
      </c>
      <c r="K4" s="274">
        <f>INDEX('Inputs (2)'!$D$50:$AL$50,MATCH(K$7,'Inputs (2)'!$D$2:$AL$2,0))</f>
        <v>-447</v>
      </c>
      <c r="L4" s="274">
        <f>INDEX('Inputs (2)'!$D$50:$AL$50,MATCH(L$7,'Inputs (2)'!$D$2:$AL$2,0))</f>
        <v>11461</v>
      </c>
      <c r="M4" s="274">
        <f>IF(COUNT(I4:L4)=4,SUM(I4:L4),"")</f>
        <v>20102</v>
      </c>
      <c r="N4" s="274">
        <f>INDEX('Inputs (2)'!$D$50:$AL$50,MATCH(N$7,'Inputs (2)'!$D$2:$AL$2,0))</f>
        <v>7116</v>
      </c>
      <c r="O4" s="274">
        <f>INDEX('Inputs (2)'!$D$50:$AL$50,MATCH(O$7,'Inputs (2)'!$D$2:$AL$2,0))</f>
        <v>18040</v>
      </c>
      <c r="P4" s="274">
        <f>INDEX('Inputs (2)'!$D$50:$AL$50,MATCH(P$7,'Inputs (2)'!$D$2:$AL$2,0))</f>
        <v>6743</v>
      </c>
      <c r="Q4" s="274">
        <f>INDEX('Inputs (2)'!$D$50:$AL$50,MATCH(Q$7,'Inputs (2)'!$D$2:$AL$2,0))</f>
        <v>10409</v>
      </c>
      <c r="R4" s="274">
        <f>IF(COUNT(N4:Q4)=4,SUM(N4:Q4),"")</f>
        <v>42308</v>
      </c>
      <c r="S4" s="274">
        <f>INDEX('Inputs (2)'!$D$50:$AL$50,MATCH(S$7,'Inputs (2)'!$D$2:$AL$2,0))</f>
        <v>8709</v>
      </c>
      <c r="T4" s="274">
        <f>INDEX('Inputs (2)'!$D$50:$AL$50,MATCH(T$7,'Inputs (2)'!$D$2:$AL$2,0))</f>
        <v>3134</v>
      </c>
      <c r="U4" s="274">
        <f>INDEX('Inputs (2)'!$D$50:$AL$50,MATCH(U$7,'Inputs (2)'!$D$2:$AL$2,0))</f>
        <v>7044</v>
      </c>
      <c r="V4" s="274">
        <f>INDEX('Inputs (2)'!$D$50:$AL$50,MATCH(V$7,'Inputs (2)'!$D$2:$AL$2,0))</f>
        <v>474</v>
      </c>
      <c r="W4" s="274">
        <f>IF(COUNT(S4:V4)=4,SUM(S4:V4),"")</f>
        <v>19361</v>
      </c>
      <c r="X4" s="274">
        <f>INDEX('Inputs (2)'!$D$50:$AL$50,MATCH(X$7,'Inputs (2)'!$D$2:$AL$2,0))</f>
        <v>7358</v>
      </c>
      <c r="Y4" s="274">
        <f>INDEX('Inputs (2)'!$D$50:$AL$50,MATCH(Y$7,'Inputs (2)'!$D$2:$AL$2,0))</f>
        <v>3517</v>
      </c>
      <c r="Z4" s="274">
        <f>INDEX('Inputs (2)'!$D$50:$AL$50,MATCH(Z$7,'Inputs (2)'!$D$2:$AL$2,0))</f>
        <v>4291</v>
      </c>
      <c r="AA4" s="274">
        <f>INDEX('Inputs (2)'!$D$50:$AL$50,MATCH(AA$7,'Inputs (2)'!$D$2:$AL$2,0))</f>
        <v>928</v>
      </c>
      <c r="AB4" s="274">
        <f>IF(COUNT(X4:AA4)=4,SUM(X4:AA4),"")</f>
        <v>16094</v>
      </c>
      <c r="AC4" s="274">
        <f>INDEX('Inputs (2)'!$D$50:$AL$50,MATCH(AC$7,'Inputs (2)'!$D$2:$AL$2,0))</f>
        <v>4780</v>
      </c>
      <c r="AD4" s="274">
        <f>INDEX('Inputs (2)'!$D$50:$AL$50,MATCH(AD$7,'Inputs (2)'!$D$2:$AL$2,0))</f>
        <v>3601</v>
      </c>
      <c r="AE4" s="274">
        <f>INDEX('Inputs (2)'!$D$50:$AL$50,MATCH(AE$7,'Inputs (2)'!$D$2:$AL$2,0))</f>
        <v>5322</v>
      </c>
      <c r="AF4" s="274">
        <f>INDEX('Inputs (2)'!$D$50:$AL$50,MATCH(AF$7,'Inputs (2)'!$D$2:$AL$2,0))</f>
        <v>4134</v>
      </c>
      <c r="AG4" s="274">
        <f>IF(COUNT(AC4:AF4)=4,SUM(AC4:AF4),"")</f>
        <v>17837</v>
      </c>
      <c r="AH4" s="265">
        <f>INDEX('Inputs (2)'!$D$50:$AL$50,MATCH(AH$7,'Inputs (2)'!$D$2:$AL$2,0))</f>
        <v>5694</v>
      </c>
      <c r="AI4" s="265">
        <f>INDEX('Inputs (2)'!$D$50:$AL$50,MATCH(AI$7,'Inputs (2)'!$D$2:$AL$2,0))</f>
        <v>10821</v>
      </c>
      <c r="AJ4" s="265" t="n"/>
      <c r="AK4" s="265" t="n"/>
      <c r="AL4" s="265" t="n"/>
      <c r="AM4" s="265" t="n"/>
      <c r="AN4" s="265" t="n"/>
      <c r="AO4" s="265" t="n"/>
      <c r="AP4" s="265" t="n"/>
      <c r="AQ4" s="265" t="n"/>
      <c r="AR4" s="265" t="n"/>
      <c r="AS4" s="265" t="n"/>
      <c r="AT4" s="265" t="n"/>
      <c r="AU4" s="265" t="n"/>
      <c r="AV4" s="265" t="n"/>
      <c r="AW4" s="265" t="n"/>
      <c r="AX4" s="265" t="n"/>
      <c r="AY4" s="265" t="n"/>
      <c r="AZ4" s="265" t="n"/>
      <c r="BA4" s="265" t="n"/>
      <c r="BB4" s="265" t="n"/>
      <c r="BC4" s="265" t="n"/>
      <c r="BD4" s="265" t="n"/>
      <c r="BE4" s="265" t="n"/>
      <c r="BF4" s="265" t="n"/>
      <c r="BG4" s="265" t="n"/>
      <c r="BH4" s="265" t="n"/>
      <c r="BI4" s="265" t="n"/>
      <c r="BJ4" s="265" t="n"/>
      <c r="BK4" s="265" t="n"/>
      <c r="BL4" s="265" t="n"/>
      <c r="BM4" s="265" t="n"/>
      <c r="BN4" s="265" t="n"/>
      <c r="BO4" s="265" t="n"/>
      <c r="BP4" s="265" t="n"/>
      <c r="BQ4" s="265" t="n"/>
      <c r="BR4" s="265" t="n"/>
      <c r="BS4" s="265" t="n"/>
      <c r="BT4" s="265" t="n"/>
      <c r="BU4" s="265" t="n"/>
      <c r="BV4" s="265" t="n"/>
      <c r="BW4" s="265" t="n"/>
      <c r="BX4" s="265" t="n"/>
      <c r="BY4" s="265" t="n"/>
      <c r="BZ4" s="265" t="n"/>
      <c r="CA4" s="265" t="n"/>
      <c r="CB4" s="265" t="n"/>
      <c r="CC4" s="265" t="n"/>
      <c r="CD4" s="265" t="n"/>
      <c r="CE4" s="265" t="n"/>
      <c r="CF4" s="265" t="n"/>
      <c r="CG4" s="265" t="n"/>
      <c r="CH4" s="265" t="n"/>
      <c r="CI4" s="265" t="n"/>
      <c r="CJ4" s="265" t="n"/>
      <c r="CK4" s="265" t="n"/>
      <c r="CL4" s="265" t="n"/>
      <c r="CM4" s="265" t="n"/>
      <c r="CN4" s="265" t="n"/>
      <c r="CO4" s="265" t="n"/>
      <c r="CP4" s="265" t="n"/>
      <c r="CQ4" s="265" t="n"/>
      <c r="CR4" s="265" t="n"/>
      <c r="CS4" s="265" t="n"/>
      <c r="CT4" s="265" t="n"/>
      <c r="CU4" s="265" t="n"/>
      <c r="CV4" s="265" t="n"/>
      <c r="CW4" s="265" t="n"/>
      <c r="CX4" s="265" t="n"/>
      <c r="CY4" s="265" t="n"/>
    </row>
    <row r="5" ht="14.9" customHeight="1" s="254">
      <c r="B5" s="275" t="n">
        <v>45930</v>
      </c>
      <c r="D5" s="276" t="n">
        <v>43921</v>
      </c>
      <c r="E5" s="277">
        <f>DATE(YEAR(D5),MONTH(D5)+3,DAY(D5)-1)</f>
        <v>44012.0</v>
      </c>
      <c r="F5" s="277">
        <f>DATE(YEAR(E5),MONTH(E5)+3,DAY(E5))</f>
        <v>44104.0</v>
      </c>
      <c r="G5" s="277">
        <f>DATE(YEAR(F5),MONTH(F5)+3,DAY(F5)+1)</f>
        <v>44196.0</v>
      </c>
      <c r="H5" s="278">
        <f>G5</f>
        <v>44196.0</v>
      </c>
      <c r="I5" s="276" t="n">
        <v>44286</v>
      </c>
      <c r="J5" s="277">
        <f>DATE(YEAR(I5),MONTH(I5)+3,DAY(I5)-1)</f>
        <v>44377.0</v>
      </c>
      <c r="K5" s="277">
        <f>DATE(YEAR(J5),MONTH(J5)+3,DAY(J5))</f>
        <v>44469.0</v>
      </c>
      <c r="L5" s="277">
        <f>DATE(YEAR(K5),MONTH(K5)+3,DAY(K5)+1)</f>
        <v>44561.0</v>
      </c>
      <c r="M5" s="278">
        <f>L5</f>
        <v>44561.0</v>
      </c>
      <c r="N5" s="277">
        <f>DATE(YEAR(M5),MONTH(M5)+3,DAY(M5))</f>
        <v>44651.0</v>
      </c>
      <c r="O5" s="277">
        <f>DATE(YEAR(N5),MONTH(N5)+3,DAY(N5)-1)</f>
        <v>44742.0</v>
      </c>
      <c r="P5" s="277">
        <f>DATE(YEAR(O5),MONTH(O5)+3,DAY(O5))</f>
        <v>44834.0</v>
      </c>
      <c r="Q5" s="277">
        <f>DATE(YEAR(P5),MONTH(P5)+3,DAY(P5)+1)</f>
        <v>44926.0</v>
      </c>
      <c r="R5" s="278">
        <f>Q5</f>
        <v>44926.0</v>
      </c>
      <c r="S5" s="277">
        <f>DATE(YEAR(R5),MONTH(R5)+3,DAY(R5))</f>
        <v>45016.0</v>
      </c>
      <c r="T5" s="277">
        <f>DATE(YEAR(S5),MONTH(S5)+3,DAY(S5))-1</f>
        <v>45107.0</v>
      </c>
      <c r="U5" s="277">
        <f>DATE(YEAR(T5),MONTH(T5)+3,DAY(T5))</f>
        <v>45199.0</v>
      </c>
      <c r="V5" s="277">
        <f>DATE(YEAR(U5),MONTH(U5)+3,DAY(U5))+1</f>
        <v>45291.0</v>
      </c>
      <c r="W5" s="278">
        <f>V5</f>
        <v>45291.0</v>
      </c>
      <c r="X5" s="277">
        <f>DATE(YEAR(W5),MONTH(W5)+3,DAY(W5))</f>
        <v>45382.0</v>
      </c>
      <c r="Y5" s="277">
        <f>DATE(YEAR(X5),MONTH(X5)+3,DAY(X5))-1</f>
        <v>45473.0</v>
      </c>
      <c r="Z5" s="277">
        <f>DATE(YEAR(Y5),MONTH(Y5)+3,DAY(Y5))</f>
        <v>45565.0</v>
      </c>
      <c r="AA5" s="277">
        <f>DATE(YEAR(Z5),MONTH(Z5)+3,DAY(Z5))+1</f>
        <v>45657.0</v>
      </c>
      <c r="AB5" s="278">
        <f>AA5</f>
        <v>45657.0</v>
      </c>
      <c r="AC5" s="277">
        <f>DATE(YEAR(AB5),MONTH(AB5)+3,DAY(AB5))</f>
        <v>45747.0</v>
      </c>
      <c r="AD5" s="277">
        <f>DATE(YEAR(AC5),MONTH(AC5)+3,DAY(AC5))-1</f>
        <v>45838.0</v>
      </c>
      <c r="AE5" s="277">
        <f>DATE(YEAR(AD5),MONTH(AD5)+3,DAY(AD5))</f>
        <v>45930.0</v>
      </c>
      <c r="AF5" s="277">
        <f>DATE(YEAR(AE5),MONTH(AE5)+3,DAY(AE5))+1</f>
        <v>46022.0</v>
      </c>
      <c r="AG5" s="278">
        <f>AF5</f>
        <v>46022.0</v>
      </c>
      <c r="AH5" s="277">
        <f>DATE(YEAR(AG5),MONTH(AG5)+3,DAY(AG5))</f>
        <v>46112.0</v>
      </c>
      <c r="AI5" s="277">
        <f>DATE(YEAR(AH5),MONTH(AH5)+3,DAY(AH5))-1</f>
        <v>46203.0</v>
      </c>
      <c r="AJ5" s="277">
        <f>DATE(YEAR(AI5),MONTH(AI5)+3,DAY(AI5))</f>
        <v>46295.0</v>
      </c>
      <c r="AK5" s="277">
        <f>DATE(YEAR(AJ5),MONTH(AJ5)+3,DAY(AJ5))+1</f>
        <v>46387.0</v>
      </c>
      <c r="AL5" s="278">
        <f>AK5</f>
        <v>46387.0</v>
      </c>
      <c r="AM5" s="277">
        <f>DATE(YEAR(AL5),MONTH(AL5)+3,DAY(AL5))</f>
        <v>46477.0</v>
      </c>
      <c r="AN5" s="277">
        <f>DATE(YEAR(AM5),MONTH(AM5)+3,DAY(AM5))-1</f>
        <v>46568.0</v>
      </c>
      <c r="AO5" s="277">
        <f>DATE(YEAR(AN5),MONTH(AN5)+3,DAY(AN5))</f>
        <v>46660.0</v>
      </c>
      <c r="AP5" s="277">
        <f>DATE(YEAR(AO5),MONTH(AO5)+3,DAY(AO5))+1</f>
        <v>46752.0</v>
      </c>
      <c r="AQ5" s="278">
        <f>AP5</f>
        <v>46752.0</v>
      </c>
      <c r="AR5" s="277">
        <f>DATE(YEAR(AQ5),MONTH(AQ5)+3,DAY(AQ5))</f>
        <v>46843.0</v>
      </c>
      <c r="AS5" s="277">
        <f>DATE(YEAR(AR5),MONTH(AR5)+3,DAY(AR5))-1</f>
        <v>46934.0</v>
      </c>
      <c r="AT5" s="277">
        <f>DATE(YEAR(AS5),MONTH(AS5)+3,DAY(AS5))</f>
        <v>47026.0</v>
      </c>
      <c r="AU5" s="277">
        <f>DATE(YEAR(AT5),MONTH(AT5)+3,DAY(AT5))+1</f>
        <v>47118.0</v>
      </c>
      <c r="AV5" s="278">
        <f>AU5</f>
        <v>47118.0</v>
      </c>
      <c r="AW5" s="277">
        <f>DATE(YEAR(AV5),MONTH(AV5)+3,DAY(AV5))</f>
        <v>47208.0</v>
      </c>
      <c r="AX5" s="277">
        <f>DATE(YEAR(AW5),MONTH(AW5)+3,DAY(AW5))-1</f>
        <v>47299.0</v>
      </c>
      <c r="AY5" s="277">
        <f>DATE(YEAR(AX5),MONTH(AX5)+3,DAY(AX5))</f>
        <v>47391.0</v>
      </c>
      <c r="AZ5" s="277">
        <f>DATE(YEAR(AY5),MONTH(AY5)+3,DAY(AY5))+1</f>
        <v>47483.0</v>
      </c>
      <c r="BA5" s="278">
        <f>AZ5</f>
        <v>47483.0</v>
      </c>
      <c r="BB5" s="277">
        <f>DATE(YEAR(BA5),MONTH(BA5)+3,DAY(BA5))</f>
        <v>47573.0</v>
      </c>
      <c r="BC5" s="277">
        <f>DATE(YEAR(BB5),MONTH(BB5)+3,DAY(BB5))-1</f>
        <v>47664.0</v>
      </c>
      <c r="BD5" s="277">
        <f>DATE(YEAR(BC5),MONTH(BC5)+3,DAY(BC5))</f>
        <v>47756.0</v>
      </c>
      <c r="BE5" s="277">
        <f>DATE(YEAR(BD5),MONTH(BD5)+3,DAY(BD5))+1</f>
        <v>47848.0</v>
      </c>
      <c r="BF5" s="278">
        <f>BE5</f>
        <v>47848.0</v>
      </c>
      <c r="BG5" s="277">
        <f>DATE(YEAR(BF5),MONTH(BF5)+3,DAY(BF5))</f>
        <v>47938.0</v>
      </c>
      <c r="BH5" s="277">
        <f>DATE(YEAR(BG5),MONTH(BG5)+3,DAY(BG5))-1</f>
        <v>48029.0</v>
      </c>
      <c r="BI5" s="277">
        <f>DATE(YEAR(BH5),MONTH(BH5)+3,DAY(BH5))</f>
        <v>48121.0</v>
      </c>
      <c r="BJ5" s="277">
        <f>DATE(YEAR(BI5),MONTH(BI5)+3,DAY(BI5))+1</f>
        <v>48213.0</v>
      </c>
      <c r="BK5" s="278">
        <f>BJ5</f>
        <v>48213.0</v>
      </c>
      <c r="BL5" s="277">
        <f>DATE(YEAR(BK5),MONTH(BK5)+3,DAY(BK5))</f>
        <v>48304.0</v>
      </c>
      <c r="BM5" s="277">
        <f>DATE(YEAR(BL5),MONTH(BL5)+3,DAY(BL5))-1</f>
        <v>48395.0</v>
      </c>
      <c r="BN5" s="277">
        <f>DATE(YEAR(BM5),MONTH(BM5)+3,DAY(BM5))</f>
        <v>48487.0</v>
      </c>
      <c r="BO5" s="277">
        <f>DATE(YEAR(BN5),MONTH(BN5)+3,DAY(BN5))+1</f>
        <v>48579.0</v>
      </c>
      <c r="BP5" s="278">
        <f>BO5</f>
        <v>48579.0</v>
      </c>
      <c r="BQ5" s="277">
        <f>DATE(YEAR(BP5),MONTH(BP5)+3,DAY(BP5))</f>
        <v>48669.0</v>
      </c>
      <c r="BR5" s="277">
        <f>DATE(YEAR(BQ5),MONTH(BQ5)+3,DAY(BQ5))-1</f>
        <v>48760.0</v>
      </c>
      <c r="BS5" s="277">
        <f>DATE(YEAR(BR5),MONTH(BR5)+3,DAY(BR5))</f>
        <v>48852.0</v>
      </c>
      <c r="BT5" s="277">
        <f>DATE(YEAR(BS5),MONTH(BS5)+3,DAY(BS5))+1</f>
        <v>48944.0</v>
      </c>
      <c r="BU5" s="278">
        <f>BT5</f>
        <v>48944.0</v>
      </c>
      <c r="BV5" s="277">
        <f>DATE(YEAR(BU5),MONTH(BU5)+3,DAY(BU5))</f>
        <v>49034.0</v>
      </c>
      <c r="BW5" s="277">
        <f>DATE(YEAR(BV5),MONTH(BV5)+3,DAY(BV5))-1</f>
        <v>49125.0</v>
      </c>
      <c r="BX5" s="277">
        <f>DATE(YEAR(BW5),MONTH(BW5)+3,DAY(BW5))</f>
        <v>49217.0</v>
      </c>
      <c r="BY5" s="277">
        <f>DATE(YEAR(BX5),MONTH(BX5)+3,DAY(BX5))+1</f>
        <v>49309.0</v>
      </c>
      <c r="BZ5" s="278">
        <f>BY5</f>
        <v>49309.0</v>
      </c>
      <c r="CA5" s="277">
        <f>DATE(YEAR(BZ5),MONTH(BZ5)+3,DAY(BZ5))</f>
        <v>49399.0</v>
      </c>
      <c r="CB5" s="277">
        <f>DATE(YEAR(CA5),MONTH(CA5)+3,DAY(CA5))-1</f>
        <v>49490.0</v>
      </c>
      <c r="CC5" s="277">
        <f>DATE(YEAR(CB5),MONTH(CB5)+3,DAY(CB5))</f>
        <v>49582.0</v>
      </c>
      <c r="CD5" s="277">
        <f>DATE(YEAR(CC5),MONTH(CC5)+3,DAY(CC5))+1</f>
        <v>49674.0</v>
      </c>
      <c r="CE5" s="278">
        <f>CD5</f>
        <v>49674.0</v>
      </c>
      <c r="CF5" s="277">
        <f>DATE(YEAR(CE5),MONTH(CE5)+3,DAY(CE5))</f>
        <v>49765.0</v>
      </c>
      <c r="CG5" s="277">
        <f>DATE(YEAR(CF5),MONTH(CF5)+3,DAY(CF5))-1</f>
        <v>49856.0</v>
      </c>
      <c r="CH5" s="277">
        <f>DATE(YEAR(CG5),MONTH(CG5)+3,DAY(CG5))</f>
        <v>49948.0</v>
      </c>
      <c r="CI5" s="277">
        <f>DATE(YEAR(CH5),MONTH(CH5)+3,DAY(CH5))+1</f>
        <v>50040.0</v>
      </c>
      <c r="CJ5" s="278">
        <f>CI5</f>
        <v>50040.0</v>
      </c>
      <c r="CK5" s="277">
        <f>DATE(YEAR(CJ5),MONTH(CJ5)+3,DAY(CJ5))</f>
        <v>50130.0</v>
      </c>
      <c r="CL5" s="277">
        <f>DATE(YEAR(CK5),MONTH(CK5)+3,DAY(CK5))-1</f>
        <v>50221.0</v>
      </c>
      <c r="CM5" s="277">
        <f>DATE(YEAR(CL5),MONTH(CL5)+3,DAY(CL5))</f>
        <v>50313.0</v>
      </c>
      <c r="CN5" s="277">
        <f>DATE(YEAR(CM5),MONTH(CM5)+3,DAY(CM5))+1</f>
        <v>50405.0</v>
      </c>
      <c r="CO5" s="278">
        <f>CN5</f>
        <v>50405.0</v>
      </c>
      <c r="CP5" s="277">
        <f>DATE(YEAR(CO5),MONTH(CO5)+3,DAY(CO5))</f>
        <v>50495.0</v>
      </c>
      <c r="CQ5" s="277">
        <f>DATE(YEAR(CP5),MONTH(CP5)+3,DAY(CP5))-1</f>
        <v>50586.0</v>
      </c>
      <c r="CR5" s="277">
        <f>DATE(YEAR(CQ5),MONTH(CQ5)+3,DAY(CQ5))</f>
        <v>50678.0</v>
      </c>
      <c r="CS5" s="277">
        <f>DATE(YEAR(CR5),MONTH(CR5)+3,DAY(CR5))+1</f>
        <v>50770.0</v>
      </c>
      <c r="CT5" s="278">
        <f>CS5</f>
        <v>50770.0</v>
      </c>
      <c r="CU5" s="277">
        <f>DATE(YEAR(CT5),MONTH(CT5)+3,DAY(CT5))</f>
        <v>50860.0</v>
      </c>
      <c r="CV5" s="277">
        <f>DATE(YEAR(CU5),MONTH(CU5)+3,DAY(CU5))-1</f>
        <v>50951.0</v>
      </c>
      <c r="CW5" s="277">
        <f>DATE(YEAR(CV5),MONTH(CV5)+3,DAY(CV5))</f>
        <v>51043.0</v>
      </c>
      <c r="CX5" s="277">
        <f>DATE(YEAR(CW5),MONTH(CW5)+3,DAY(CW5))+1</f>
        <v>51135.0</v>
      </c>
      <c r="CY5" s="278">
        <f>CX5</f>
        <v>51135.0</v>
      </c>
    </row>
    <row r="6" ht="12.75" customHeight="1" s="254">
      <c r="B6" s="279" t="n"/>
      <c r="D6" s="280">
        <f>YEAR(D5)</f>
        <v>2020</v>
      </c>
      <c r="E6" s="280">
        <f>YEAR(E5)</f>
        <v>2020</v>
      </c>
      <c r="F6" s="280">
        <f>YEAR(F5)</f>
        <v>2020</v>
      </c>
      <c r="G6" s="280">
        <f>YEAR(G5)</f>
        <v>2020</v>
      </c>
      <c r="H6" s="280">
        <f>YEAR(H5)</f>
        <v>2020</v>
      </c>
      <c r="I6" s="280">
        <f>YEAR(I5)</f>
        <v>2021</v>
      </c>
      <c r="J6" s="280">
        <f>YEAR(J5)</f>
        <v>2021</v>
      </c>
      <c r="K6" s="280">
        <f>YEAR(K5)</f>
        <v>2021</v>
      </c>
      <c r="L6" s="280">
        <f>YEAR(L5)</f>
        <v>2021</v>
      </c>
      <c r="M6" s="280">
        <f>YEAR(M5)</f>
        <v>2021</v>
      </c>
      <c r="N6" s="280">
        <f>YEAR(N5)</f>
        <v>2022</v>
      </c>
      <c r="O6" s="280">
        <f>YEAR(O5)</f>
        <v>2022</v>
      </c>
      <c r="P6" s="280">
        <f>YEAR(P5)</f>
        <v>2022</v>
      </c>
      <c r="Q6" s="280">
        <f>YEAR(Q5)</f>
        <v>2022</v>
      </c>
      <c r="R6" s="280">
        <f>YEAR(R5)</f>
        <v>2022</v>
      </c>
      <c r="S6" s="280">
        <f>YEAR(S5)</f>
        <v>2023</v>
      </c>
      <c r="T6" s="280">
        <f>YEAR(T5)</f>
        <v>2023</v>
      </c>
      <c r="U6" s="280">
        <f>YEAR(U5)</f>
        <v>2023</v>
      </c>
      <c r="V6" s="280">
        <f>YEAR(V5)</f>
        <v>2023</v>
      </c>
      <c r="W6" s="280">
        <f>YEAR(W5)</f>
        <v>2023</v>
      </c>
      <c r="X6" s="280">
        <f>YEAR(X5)</f>
        <v>2024</v>
      </c>
      <c r="Y6" s="280">
        <f>YEAR(Y5)</f>
        <v>2024</v>
      </c>
      <c r="Z6" s="280">
        <f>YEAR(Z5)</f>
        <v>2024</v>
      </c>
      <c r="AA6" s="280">
        <f>YEAR(AA5)</f>
        <v>2024</v>
      </c>
      <c r="AB6" s="280">
        <f>YEAR(AB5)</f>
        <v>2024</v>
      </c>
      <c r="AC6" s="280">
        <f>YEAR(AC5)</f>
        <v>2025</v>
      </c>
      <c r="AD6" s="280">
        <f>YEAR(AD5)</f>
        <v>2025</v>
      </c>
      <c r="AE6" s="280">
        <f>YEAR(AE5)</f>
        <v>2025</v>
      </c>
      <c r="AF6" s="280">
        <f>YEAR(AF5)</f>
        <v>2025</v>
      </c>
      <c r="AG6" s="280">
        <f>YEAR(AG5)</f>
        <v>2025</v>
      </c>
      <c r="AH6" s="280">
        <f>YEAR(AH5)</f>
        <v>2026</v>
      </c>
      <c r="AI6" s="280">
        <f>YEAR(AI5)</f>
        <v>2026</v>
      </c>
      <c r="AJ6" s="280">
        <f>YEAR(AJ5)</f>
        <v>2026</v>
      </c>
      <c r="AK6" s="280">
        <f>YEAR(AK5)</f>
        <v>2026</v>
      </c>
      <c r="AL6" s="280">
        <f>YEAR(AL5)</f>
        <v>2026</v>
      </c>
      <c r="AM6" s="280">
        <f>YEAR(AM5)</f>
        <v>2027</v>
      </c>
      <c r="AN6" s="280">
        <f>YEAR(AN5)</f>
        <v>2027</v>
      </c>
      <c r="AO6" s="280">
        <f>YEAR(AO5)</f>
        <v>2027</v>
      </c>
      <c r="AP6" s="280">
        <f>YEAR(AP5)</f>
        <v>2027</v>
      </c>
      <c r="AQ6" s="280">
        <f>YEAR(AQ5)</f>
        <v>2027</v>
      </c>
      <c r="AR6" s="280">
        <f>YEAR(AR5)</f>
        <v>2028</v>
      </c>
      <c r="AS6" s="280">
        <f>YEAR(AS5)</f>
        <v>2028</v>
      </c>
      <c r="AT6" s="280">
        <f>YEAR(AT5)</f>
        <v>2028</v>
      </c>
      <c r="AU6" s="280">
        <f>YEAR(AU5)</f>
        <v>2028</v>
      </c>
      <c r="AV6" s="280">
        <f>YEAR(AV5)</f>
        <v>2028</v>
      </c>
      <c r="AW6" s="280">
        <f>YEAR(AW5)</f>
        <v>2029</v>
      </c>
      <c r="AX6" s="280">
        <f>YEAR(AX5)</f>
        <v>2029</v>
      </c>
      <c r="AY6" s="280">
        <f>YEAR(AY5)</f>
        <v>2029</v>
      </c>
      <c r="AZ6" s="280">
        <f>YEAR(AZ5)</f>
        <v>2029</v>
      </c>
      <c r="BA6" s="280">
        <f>YEAR(BA5)</f>
        <v>2029</v>
      </c>
      <c r="BB6" s="280">
        <f>YEAR(BB5)</f>
        <v>2030</v>
      </c>
      <c r="BC6" s="280">
        <f>YEAR(BC5)</f>
        <v>2030</v>
      </c>
      <c r="BD6" s="280">
        <f>YEAR(BD5)</f>
        <v>2030</v>
      </c>
      <c r="BE6" s="280">
        <f>YEAR(BE5)</f>
        <v>2030</v>
      </c>
      <c r="BF6" s="280">
        <f>YEAR(BF5)</f>
        <v>2030</v>
      </c>
      <c r="BG6" s="280">
        <f>YEAR(BG5)</f>
        <v>2031</v>
      </c>
      <c r="BH6" s="280">
        <f>YEAR(BH5)</f>
        <v>2031</v>
      </c>
      <c r="BI6" s="280">
        <f>YEAR(BI5)</f>
        <v>2031</v>
      </c>
      <c r="BJ6" s="280">
        <f>YEAR(BJ5)</f>
        <v>2031</v>
      </c>
      <c r="BK6" s="280">
        <f>YEAR(BK5)</f>
        <v>2031</v>
      </c>
      <c r="BL6" s="280">
        <f>YEAR(BL5)</f>
        <v>2032</v>
      </c>
      <c r="BM6" s="280">
        <f>YEAR(BM5)</f>
        <v>2032</v>
      </c>
      <c r="BN6" s="280">
        <f>YEAR(BN5)</f>
        <v>2032</v>
      </c>
      <c r="BO6" s="280">
        <f>YEAR(BO5)</f>
        <v>2032</v>
      </c>
      <c r="BP6" s="280">
        <f>YEAR(BP5)</f>
        <v>2032</v>
      </c>
      <c r="BQ6" s="280">
        <f>YEAR(BQ5)</f>
        <v>2033</v>
      </c>
      <c r="BR6" s="280">
        <f>YEAR(BR5)</f>
        <v>2033</v>
      </c>
      <c r="BS6" s="280">
        <f>YEAR(BS5)</f>
        <v>2033</v>
      </c>
      <c r="BT6" s="280">
        <f>YEAR(BT5)</f>
        <v>2033</v>
      </c>
      <c r="BU6" s="280">
        <f>YEAR(BU5)</f>
        <v>2033</v>
      </c>
      <c r="BV6" s="280">
        <f>YEAR(BV5)</f>
        <v>2034</v>
      </c>
      <c r="BW6" s="280">
        <f>YEAR(BW5)</f>
        <v>2034</v>
      </c>
      <c r="BX6" s="280">
        <f>YEAR(BX5)</f>
        <v>2034</v>
      </c>
      <c r="BY6" s="280">
        <f>YEAR(BY5)</f>
        <v>2034</v>
      </c>
      <c r="BZ6" s="280">
        <f>YEAR(BZ5)</f>
        <v>2034</v>
      </c>
      <c r="CA6" s="280">
        <f>YEAR(CA5)</f>
        <v>2035</v>
      </c>
      <c r="CB6" s="280">
        <f>YEAR(CB5)</f>
        <v>2035</v>
      </c>
      <c r="CC6" s="280">
        <f>YEAR(CC5)</f>
        <v>2035</v>
      </c>
      <c r="CD6" s="280">
        <f>YEAR(CD5)</f>
        <v>2035</v>
      </c>
      <c r="CE6" s="280">
        <f>YEAR(CE5)</f>
        <v>2035</v>
      </c>
      <c r="CF6" s="280">
        <f>YEAR(CF5)</f>
        <v>2036</v>
      </c>
      <c r="CG6" s="280">
        <f>YEAR(CG5)</f>
        <v>2036</v>
      </c>
      <c r="CH6" s="280">
        <f>YEAR(CH5)</f>
        <v>2036</v>
      </c>
      <c r="CI6" s="280">
        <f>YEAR(CI5)</f>
        <v>2036</v>
      </c>
      <c r="CJ6" s="280">
        <f>YEAR(CJ5)</f>
        <v>2036</v>
      </c>
      <c r="CK6" s="280">
        <f>YEAR(CK5)</f>
        <v>2037</v>
      </c>
      <c r="CL6" s="280">
        <f>YEAR(CL5)</f>
        <v>2037</v>
      </c>
      <c r="CM6" s="280">
        <f>YEAR(CM5)</f>
        <v>2037</v>
      </c>
      <c r="CN6" s="280">
        <f>YEAR(CN5)</f>
        <v>2037</v>
      </c>
      <c r="CO6" s="280">
        <f>YEAR(CO5)</f>
        <v>2037</v>
      </c>
      <c r="CP6" s="280">
        <f>YEAR(CP5)</f>
        <v>2038</v>
      </c>
      <c r="CQ6" s="280">
        <f>YEAR(CQ5)</f>
        <v>2038</v>
      </c>
      <c r="CR6" s="280">
        <f>YEAR(CR5)</f>
        <v>2038</v>
      </c>
      <c r="CS6" s="280">
        <f>YEAR(CS5)</f>
        <v>2038</v>
      </c>
      <c r="CT6" s="280">
        <f>YEAR(CT5)</f>
        <v>2038</v>
      </c>
      <c r="CU6" s="280">
        <f>YEAR(CU5)</f>
        <v>2039</v>
      </c>
      <c r="CV6" s="280">
        <f>YEAR(CV5)</f>
        <v>2039</v>
      </c>
      <c r="CW6" s="280">
        <f>YEAR(CW5)</f>
        <v>2039</v>
      </c>
      <c r="CX6" s="280">
        <f>YEAR(CX5)</f>
        <v>2039</v>
      </c>
      <c r="CY6" s="280">
        <f>YEAR(CY5)</f>
        <v>2039</v>
      </c>
    </row>
    <row r="7" ht="12.75" customHeight="1" s="254">
      <c r="B7" s="258" t="n"/>
      <c r="D7" s="259" t="str">
        <f>"1Q"&amp;RIGHT(D6,2)</f>
        <v>1Q20</v>
      </c>
      <c r="E7" s="259" t="str">
        <f>"2Q"&amp;RIGHT(E6,2)</f>
        <v>2Q20</v>
      </c>
      <c r="F7" s="259" t="str">
        <f>"3Q"&amp;RIGHT(F6,2)</f>
        <v>3Q20</v>
      </c>
      <c r="G7" s="259" t="str">
        <f>"4Q"&amp;RIGHT(G6,2)</f>
        <v>4Q20</v>
      </c>
      <c r="H7" s="281" t="n">
        <v>2020</v>
      </c>
      <c r="I7" s="259" t="str">
        <f>"1Q"&amp;RIGHT(I6,2)</f>
        <v>1Q21</v>
      </c>
      <c r="J7" s="259" t="str">
        <f>"2Q"&amp;RIGHT(J6,2)</f>
        <v>2Q21</v>
      </c>
      <c r="K7" s="259" t="str">
        <f>"3Q"&amp;RIGHT(K6,2)</f>
        <v>3Q21</v>
      </c>
      <c r="L7" s="259" t="str">
        <f>"4Q"&amp;RIGHT(L6,2)</f>
        <v>4Q21</v>
      </c>
      <c r="M7" s="281">
        <f>H7+1</f>
        <v>2021</v>
      </c>
      <c r="N7" s="259" t="str">
        <f>"1Q"&amp;RIGHT(N6,2)</f>
        <v>1Q22</v>
      </c>
      <c r="O7" s="259" t="str">
        <f>"2Q"&amp;RIGHT(O6,2)</f>
        <v>2Q22</v>
      </c>
      <c r="P7" s="259" t="str">
        <f>"3Q"&amp;RIGHT(P6,2)</f>
        <v>3Q22</v>
      </c>
      <c r="Q7" s="259" t="str">
        <f>"4Q"&amp;RIGHT(Q6,2)</f>
        <v>4Q22</v>
      </c>
      <c r="R7" s="281">
        <f>M7+1</f>
        <v>2022</v>
      </c>
      <c r="S7" s="259" t="str">
        <f>"1Q"&amp;RIGHT(S6,2)</f>
        <v>1Q23</v>
      </c>
      <c r="T7" s="259" t="str">
        <f>"2Q"&amp;RIGHT(T6,2)</f>
        <v>2Q23</v>
      </c>
      <c r="U7" s="259" t="str">
        <f>"3Q"&amp;RIGHT(U6,2)</f>
        <v>3Q23</v>
      </c>
      <c r="V7" s="259" t="str">
        <f>"4Q"&amp;RIGHT(V6,2)</f>
        <v>4Q23</v>
      </c>
      <c r="W7" s="281">
        <f>R7+1</f>
        <v>2023</v>
      </c>
      <c r="X7" s="259" t="str">
        <f>"1Q"&amp;RIGHT(X6,2)</f>
        <v>1Q24</v>
      </c>
      <c r="Y7" s="259" t="str">
        <f>"2Q"&amp;RIGHT(Y6,2)</f>
        <v>2Q24</v>
      </c>
      <c r="Z7" s="259" t="str">
        <f>"3Q"&amp;RIGHT(Z6,2)</f>
        <v>3Q24</v>
      </c>
      <c r="AA7" s="259" t="str">
        <f>"4Q"&amp;RIGHT(AA6,2)</f>
        <v>4Q24</v>
      </c>
      <c r="AB7" s="281">
        <f>W7+1</f>
        <v>2024</v>
      </c>
      <c r="AC7" s="259" t="str">
        <f>"1Q"&amp;RIGHT(AC6,2)</f>
        <v>1Q25</v>
      </c>
      <c r="AD7" s="259" t="str">
        <f>"2Q"&amp;RIGHT(AD6,2)</f>
        <v>2Q25</v>
      </c>
      <c r="AE7" s="259" t="str">
        <f>"3Q"&amp;RIGHT(AE6,2)</f>
        <v>3Q25</v>
      </c>
      <c r="AF7" s="259" t="str">
        <f>"4Q"&amp;RIGHT(AF6,2)</f>
        <v>4Q25</v>
      </c>
      <c r="AG7" s="281">
        <f>AB7+1</f>
        <v>2025</v>
      </c>
      <c r="AH7" s="259" t="str">
        <f>"1Q"&amp;RIGHT(AH6,2)</f>
        <v>1Q26</v>
      </c>
      <c r="AI7" s="259" t="str">
        <f>"2Q"&amp;RIGHT(AI6,2)</f>
        <v>2Q26</v>
      </c>
      <c r="AJ7" s="259" t="str">
        <f>"3Q"&amp;RIGHT(AJ6,2)</f>
        <v>3Q26</v>
      </c>
      <c r="AK7" s="259" t="str">
        <f>"4Q"&amp;RIGHT(AK6,2)</f>
        <v>4Q26</v>
      </c>
      <c r="AL7" s="281">
        <f>AG7+1</f>
        <v>2026</v>
      </c>
      <c r="AM7" s="259" t="str">
        <f>"1Q"&amp;RIGHT(AM6,2)</f>
        <v>1Q27</v>
      </c>
      <c r="AN7" s="259" t="str">
        <f>"2Q"&amp;RIGHT(AN6,2)</f>
        <v>2Q27</v>
      </c>
      <c r="AO7" s="259" t="str">
        <f>"3Q"&amp;RIGHT(AO6,2)</f>
        <v>3Q27</v>
      </c>
      <c r="AP7" s="259" t="str">
        <f>"4Q"&amp;RIGHT(AP6,2)</f>
        <v>4Q27</v>
      </c>
      <c r="AQ7" s="281">
        <f>AL7+1</f>
        <v>2027</v>
      </c>
      <c r="AR7" s="259" t="str">
        <f>"1Q"&amp;RIGHT(AR6,2)</f>
        <v>1Q28</v>
      </c>
      <c r="AS7" s="259" t="str">
        <f>"2Q"&amp;RIGHT(AS6,2)</f>
        <v>2Q28</v>
      </c>
      <c r="AT7" s="259" t="str">
        <f>"3Q"&amp;RIGHT(AT6,2)</f>
        <v>3Q28</v>
      </c>
      <c r="AU7" s="259" t="str">
        <f>"4Q"&amp;RIGHT(AU6,2)</f>
        <v>4Q28</v>
      </c>
      <c r="AV7" s="281">
        <f>AQ7+1</f>
        <v>2028</v>
      </c>
      <c r="AW7" s="259" t="str">
        <f>"1Q"&amp;RIGHT(AW6,2)</f>
        <v>1Q29</v>
      </c>
      <c r="AX7" s="259" t="str">
        <f>"2Q"&amp;RIGHT(AX6,2)</f>
        <v>2Q29</v>
      </c>
      <c r="AY7" s="259" t="str">
        <f>"3Q"&amp;RIGHT(AY6,2)</f>
        <v>3Q29</v>
      </c>
      <c r="AZ7" s="259" t="str">
        <f>"4Q"&amp;RIGHT(AZ6,2)</f>
        <v>4Q29</v>
      </c>
      <c r="BA7" s="281">
        <f>AV7+1</f>
        <v>2029</v>
      </c>
      <c r="BB7" s="259" t="str">
        <f>"1Q"&amp;RIGHT(BB6,2)</f>
        <v>1Q30</v>
      </c>
      <c r="BC7" s="259" t="str">
        <f>"2Q"&amp;RIGHT(BC6,2)</f>
        <v>2Q30</v>
      </c>
      <c r="BD7" s="259" t="str">
        <f>"3Q"&amp;RIGHT(BD6,2)</f>
        <v>3Q30</v>
      </c>
      <c r="BE7" s="259" t="str">
        <f>"4Q"&amp;RIGHT(BE6,2)</f>
        <v>4Q30</v>
      </c>
      <c r="BF7" s="281">
        <f>BA7+1</f>
        <v>2030</v>
      </c>
      <c r="BG7" s="259" t="str">
        <f>"1Q"&amp;RIGHT(BG6,2)</f>
        <v>1Q31</v>
      </c>
      <c r="BH7" s="259" t="str">
        <f>"2Q"&amp;RIGHT(BH6,2)</f>
        <v>2Q31</v>
      </c>
      <c r="BI7" s="259" t="str">
        <f>"3Q"&amp;RIGHT(BI6,2)</f>
        <v>3Q31</v>
      </c>
      <c r="BJ7" s="259" t="str">
        <f>"4Q"&amp;RIGHT(BJ6,2)</f>
        <v>4Q31</v>
      </c>
      <c r="BK7" s="281">
        <f>BF7+1</f>
        <v>2031</v>
      </c>
      <c r="BL7" s="259" t="str">
        <f>"1Q"&amp;RIGHT(BL6,2)</f>
        <v>1Q32</v>
      </c>
      <c r="BM7" s="259" t="str">
        <f>"2Q"&amp;RIGHT(BM6,2)</f>
        <v>2Q32</v>
      </c>
      <c r="BN7" s="259" t="str">
        <f>"3Q"&amp;RIGHT(BN6,2)</f>
        <v>3Q32</v>
      </c>
      <c r="BO7" s="259" t="str">
        <f>"4Q"&amp;RIGHT(BO6,2)</f>
        <v>4Q32</v>
      </c>
      <c r="BP7" s="281">
        <f>BK7+1</f>
        <v>2032</v>
      </c>
      <c r="BQ7" s="259" t="str">
        <f>"1Q"&amp;RIGHT(BQ6,2)</f>
        <v>1Q33</v>
      </c>
      <c r="BR7" s="259" t="str">
        <f>"2Q"&amp;RIGHT(BR6,2)</f>
        <v>2Q33</v>
      </c>
      <c r="BS7" s="259" t="str">
        <f>"3Q"&amp;RIGHT(BS6,2)</f>
        <v>3Q33</v>
      </c>
      <c r="BT7" s="259" t="str">
        <f>"4Q"&amp;RIGHT(BT6,2)</f>
        <v>4Q33</v>
      </c>
      <c r="BU7" s="281">
        <f>BP7+1</f>
        <v>2033</v>
      </c>
      <c r="BV7" s="259" t="str">
        <f>"1Q"&amp;RIGHT(BV6,2)</f>
        <v>1Q34</v>
      </c>
      <c r="BW7" s="259" t="str">
        <f>"2Q"&amp;RIGHT(BW6,2)</f>
        <v>2Q34</v>
      </c>
      <c r="BX7" s="259" t="str">
        <f>"3Q"&amp;RIGHT(BX6,2)</f>
        <v>3Q34</v>
      </c>
      <c r="BY7" s="259" t="str">
        <f>"4Q"&amp;RIGHT(BY6,2)</f>
        <v>4Q34</v>
      </c>
      <c r="BZ7" s="281">
        <f>BU7+1</f>
        <v>2034</v>
      </c>
      <c r="CA7" s="259" t="str">
        <f>"1Q"&amp;RIGHT(CA6,2)</f>
        <v>1Q35</v>
      </c>
      <c r="CB7" s="259" t="str">
        <f>"2Q"&amp;RIGHT(CB6,2)</f>
        <v>2Q35</v>
      </c>
      <c r="CC7" s="259" t="str">
        <f>"3Q"&amp;RIGHT(CC6,2)</f>
        <v>3Q35</v>
      </c>
      <c r="CD7" s="259" t="str">
        <f>"4Q"&amp;RIGHT(CD6,2)</f>
        <v>4Q35</v>
      </c>
      <c r="CE7" s="281">
        <f>BZ7+1</f>
        <v>2035</v>
      </c>
      <c r="CF7" s="259" t="str">
        <f>"1Q"&amp;RIGHT(CF6,2)</f>
        <v>1Q36</v>
      </c>
      <c r="CG7" s="259" t="str">
        <f>"2Q"&amp;RIGHT(CG6,2)</f>
        <v>2Q36</v>
      </c>
      <c r="CH7" s="259" t="str">
        <f>"3Q"&amp;RIGHT(CH6,2)</f>
        <v>3Q36</v>
      </c>
      <c r="CI7" s="259" t="str">
        <f>"4Q"&amp;RIGHT(CI6,2)</f>
        <v>4Q36</v>
      </c>
      <c r="CJ7" s="281">
        <f>CE7+1</f>
        <v>2036</v>
      </c>
      <c r="CK7" s="259" t="str">
        <f>"1Q"&amp;RIGHT(CK6,2)</f>
        <v>1Q37</v>
      </c>
      <c r="CL7" s="259" t="str">
        <f>"2Q"&amp;RIGHT(CL6,2)</f>
        <v>2Q37</v>
      </c>
      <c r="CM7" s="259" t="str">
        <f>"3Q"&amp;RIGHT(CM6,2)</f>
        <v>3Q37</v>
      </c>
      <c r="CN7" s="259" t="str">
        <f>"4Q"&amp;RIGHT(CN6,2)</f>
        <v>4Q37</v>
      </c>
      <c r="CO7" s="281">
        <f>CJ7+1</f>
        <v>2037</v>
      </c>
      <c r="CP7" s="259" t="str">
        <f>"1Q"&amp;RIGHT(CP6,2)</f>
        <v>1Q38</v>
      </c>
      <c r="CQ7" s="259" t="str">
        <f>"2Q"&amp;RIGHT(CQ6,2)</f>
        <v>2Q38</v>
      </c>
      <c r="CR7" s="259" t="str">
        <f>"3Q"&amp;RIGHT(CR6,2)</f>
        <v>3Q38</v>
      </c>
      <c r="CS7" s="259" t="str">
        <f>"4Q"&amp;RIGHT(CS6,2)</f>
        <v>4Q38</v>
      </c>
      <c r="CT7" s="281">
        <f>CO7+1</f>
        <v>2038</v>
      </c>
      <c r="CU7" s="259" t="str">
        <f>"1Q"&amp;RIGHT(CU6,2)</f>
        <v>1Q39</v>
      </c>
      <c r="CV7" s="259" t="str">
        <f>"2Q"&amp;RIGHT(CV6,2)</f>
        <v>2Q39</v>
      </c>
      <c r="CW7" s="259" t="str">
        <f>"3Q"&amp;RIGHT(CW6,2)</f>
        <v>3Q39</v>
      </c>
      <c r="CX7" s="259" t="str">
        <f>"4Q"&amp;RIGHT(CX6,2)</f>
        <v>4Q39</v>
      </c>
      <c r="CY7" s="281">
        <f>CT7+1</f>
        <v>2039</v>
      </c>
    </row>
    <row r="8" ht="12.75" customHeight="1" s="254">
      <c r="B8" s="258" t="n"/>
      <c r="C8" s="258" t="inlineStr">
        <is>
          <t>IPCA</t>
        </is>
      </c>
      <c r="D8" s="259" t="n"/>
      <c r="E8" s="259" t="n"/>
      <c r="F8" s="259" t="n"/>
      <c r="G8" s="259" t="n"/>
      <c r="H8" s="282" t="n">
        <v>0.0485</v>
      </c>
      <c r="I8" s="259" t="n"/>
      <c r="J8" s="259" t="n"/>
      <c r="K8" s="259" t="n"/>
      <c r="L8" s="259" t="n"/>
      <c r="M8" s="282" t="n">
        <v>0.1006</v>
      </c>
      <c r="N8" s="259" t="n"/>
      <c r="O8" s="259" t="n"/>
      <c r="P8" s="259" t="n"/>
      <c r="Q8" s="259" t="n"/>
      <c r="R8" s="282" t="n">
        <v>0.0579</v>
      </c>
      <c r="S8" s="259" t="n"/>
      <c r="T8" s="259" t="n"/>
      <c r="U8" s="259" t="n"/>
      <c r="V8" s="259" t="n"/>
      <c r="W8" s="282" t="n">
        <v>0.0468</v>
      </c>
      <c r="X8" s="259" t="n"/>
      <c r="Y8" s="259" t="n"/>
      <c r="Z8" s="259" t="n"/>
      <c r="AA8" s="259" t="n"/>
      <c r="AB8" s="282" t="n">
        <v>0.0483</v>
      </c>
      <c r="AC8" s="259" t="n"/>
      <c r="AD8" s="259" t="n"/>
      <c r="AE8" s="259" t="n"/>
      <c r="AF8" s="259" t="n"/>
      <c r="AG8" s="282" t="n">
        <v>0.0468</v>
      </c>
      <c r="AH8" s="259" t="n"/>
      <c r="AI8" s="259" t="n"/>
      <c r="AJ8" s="259" t="n"/>
      <c r="AK8" s="259" t="n"/>
      <c r="AL8" s="283" t="n"/>
      <c r="AM8" s="259" t="n"/>
      <c r="AN8" s="259" t="n"/>
      <c r="AO8" s="259" t="n"/>
      <c r="AP8" s="259" t="n"/>
      <c r="AQ8" s="283" t="n"/>
      <c r="AR8" s="259" t="n"/>
      <c r="AS8" s="259" t="n"/>
      <c r="AT8" s="259" t="n"/>
      <c r="AU8" s="259" t="n"/>
      <c r="AV8" s="283" t="n"/>
      <c r="AW8" s="259" t="n"/>
      <c r="AX8" s="259" t="n"/>
      <c r="AY8" s="259" t="n"/>
      <c r="AZ8" s="259" t="n"/>
      <c r="BA8" s="283" t="n"/>
      <c r="BB8" s="259" t="n"/>
      <c r="BC8" s="259" t="n"/>
      <c r="BD8" s="259" t="n"/>
      <c r="BE8" s="259" t="n"/>
      <c r="BF8" s="283" t="n"/>
      <c r="BG8" s="259" t="n"/>
      <c r="BH8" s="259" t="n"/>
      <c r="BI8" s="259" t="n"/>
      <c r="BJ8" s="259" t="n"/>
      <c r="BK8" s="283" t="n"/>
      <c r="BL8" s="259" t="n"/>
      <c r="BM8" s="259" t="n"/>
      <c r="BN8" s="259" t="n"/>
      <c r="BO8" s="259" t="n"/>
      <c r="BP8" s="283" t="n"/>
      <c r="BQ8" s="259" t="n"/>
      <c r="BR8" s="259" t="n"/>
      <c r="BS8" s="259" t="n"/>
      <c r="BT8" s="259" t="n"/>
      <c r="BU8" s="283" t="n"/>
      <c r="BV8" s="259" t="n"/>
      <c r="BW8" s="259" t="n"/>
      <c r="BX8" s="259" t="n"/>
      <c r="BY8" s="259" t="n"/>
      <c r="BZ8" s="283" t="n"/>
      <c r="CA8" s="259" t="n"/>
      <c r="CB8" s="259" t="n"/>
      <c r="CC8" s="259" t="n"/>
      <c r="CD8" s="259" t="n"/>
      <c r="CE8" s="283" t="n"/>
      <c r="CF8" s="259" t="n"/>
      <c r="CG8" s="259" t="n"/>
      <c r="CH8" s="259" t="n"/>
      <c r="CI8" s="259" t="n"/>
      <c r="CJ8" s="283" t="n"/>
      <c r="CK8" s="259" t="n"/>
      <c r="CL8" s="259" t="n"/>
      <c r="CM8" s="259" t="n"/>
      <c r="CN8" s="259" t="n"/>
      <c r="CO8" s="283" t="n"/>
      <c r="CP8" s="259" t="n"/>
      <c r="CQ8" s="259" t="n"/>
      <c r="CR8" s="259" t="n"/>
      <c r="CS8" s="259" t="n"/>
      <c r="CT8" s="283" t="n"/>
      <c r="CU8" s="259" t="n"/>
      <c r="CV8" s="259" t="n"/>
      <c r="CW8" s="259" t="n"/>
      <c r="CX8" s="259" t="n"/>
      <c r="CY8" s="283" t="n"/>
    </row>
    <row r="9" ht="12.75" customHeight="1" s="254">
      <c r="B9" s="258" t="n"/>
      <c r="C9" s="258" t="inlineStr">
        <is>
          <t>GDP BRAZIL</t>
        </is>
      </c>
      <c r="D9" s="259" t="n"/>
      <c r="E9" s="259" t="n"/>
      <c r="F9" s="259" t="n"/>
      <c r="G9" s="259" t="n"/>
      <c r="H9" s="284" t="n">
        <v>-0.046</v>
      </c>
      <c r="I9" s="259" t="n"/>
      <c r="J9" s="259" t="n"/>
      <c r="K9" s="259" t="n"/>
      <c r="L9" s="259" t="n"/>
      <c r="M9" s="284" t="n">
        <v>0.046</v>
      </c>
      <c r="N9" s="259" t="n"/>
      <c r="O9" s="259" t="n"/>
      <c r="P9" s="259" t="n"/>
      <c r="Q9" s="259" t="n"/>
      <c r="R9" s="284" t="n"/>
      <c r="S9" s="259" t="n"/>
      <c r="T9" s="259" t="n"/>
      <c r="U9" s="259" t="n"/>
      <c r="V9" s="259" t="n"/>
      <c r="W9" s="284" t="n"/>
      <c r="X9" s="259" t="n"/>
      <c r="Y9" s="259" t="n"/>
      <c r="Z9" s="259" t="n"/>
      <c r="AA9" s="259" t="n"/>
      <c r="AB9" s="284" t="n"/>
      <c r="AC9" s="259" t="n"/>
      <c r="AD9" s="259" t="n"/>
      <c r="AE9" s="259" t="n"/>
      <c r="AF9" s="259" t="n"/>
      <c r="AG9" s="284" t="n"/>
      <c r="AH9" s="259" t="n"/>
      <c r="AI9" s="259" t="n"/>
      <c r="AJ9" s="259" t="n"/>
      <c r="AK9" s="259" t="n"/>
      <c r="AL9" s="283" t="n"/>
      <c r="AM9" s="259" t="n"/>
      <c r="AN9" s="259" t="n"/>
      <c r="AO9" s="259" t="n"/>
      <c r="AP9" s="259" t="n"/>
      <c r="AQ9" s="283" t="n"/>
      <c r="AR9" s="259" t="n"/>
      <c r="AS9" s="259" t="n"/>
      <c r="AT9" s="259" t="n"/>
      <c r="AU9" s="259" t="n"/>
      <c r="AV9" s="283" t="n"/>
      <c r="AW9" s="259" t="n"/>
      <c r="AX9" s="259" t="n"/>
      <c r="AY9" s="259" t="n"/>
      <c r="AZ9" s="259" t="n"/>
      <c r="BA9" s="283" t="n"/>
      <c r="BB9" s="259" t="n"/>
      <c r="BC9" s="259" t="n"/>
      <c r="BD9" s="259" t="n"/>
      <c r="BE9" s="259" t="n"/>
      <c r="BF9" s="283" t="n"/>
      <c r="BG9" s="259" t="n"/>
      <c r="BH9" s="259" t="n"/>
      <c r="BI9" s="259" t="n"/>
      <c r="BJ9" s="259" t="n"/>
      <c r="BK9" s="283" t="n"/>
      <c r="BL9" s="259" t="n"/>
      <c r="BM9" s="259" t="n"/>
      <c r="BN9" s="259" t="n"/>
      <c r="BO9" s="259" t="n"/>
      <c r="BP9" s="283" t="n"/>
      <c r="BQ9" s="259" t="n"/>
      <c r="BR9" s="259" t="n"/>
      <c r="BS9" s="259" t="n"/>
      <c r="BT9" s="259" t="n"/>
      <c r="BU9" s="283" t="n"/>
      <c r="BV9" s="259" t="n"/>
      <c r="BW9" s="259" t="n"/>
      <c r="BX9" s="259" t="n"/>
      <c r="BY9" s="259" t="n"/>
      <c r="BZ9" s="283" t="n"/>
      <c r="CA9" s="259" t="n"/>
      <c r="CB9" s="259" t="n"/>
      <c r="CC9" s="259" t="n"/>
      <c r="CD9" s="259" t="n"/>
      <c r="CE9" s="283" t="n"/>
      <c r="CF9" s="259" t="n"/>
      <c r="CG9" s="259" t="n"/>
      <c r="CH9" s="259" t="n"/>
      <c r="CI9" s="259" t="n"/>
      <c r="CJ9" s="283" t="n"/>
      <c r="CK9" s="259" t="n"/>
      <c r="CL9" s="259" t="n"/>
      <c r="CM9" s="259" t="n"/>
      <c r="CN9" s="259" t="n"/>
      <c r="CO9" s="283" t="n"/>
      <c r="CP9" s="259" t="n"/>
      <c r="CQ9" s="259" t="n"/>
      <c r="CR9" s="259" t="n"/>
      <c r="CS9" s="259" t="n"/>
      <c r="CT9" s="283" t="n"/>
      <c r="CU9" s="259" t="n"/>
      <c r="CV9" s="259" t="n"/>
      <c r="CW9" s="259" t="n"/>
      <c r="CX9" s="259" t="n"/>
      <c r="CY9" s="283" t="n"/>
    </row>
    <row r="10" ht="12.75" customHeight="1" s="254">
      <c r="C10" s="258" t="inlineStr">
        <is>
          <t>CDI</t>
        </is>
      </c>
      <c r="H10" s="284" t="n">
        <v>0.0275</v>
      </c>
      <c r="M10" s="284" t="n">
        <v>0.0442</v>
      </c>
      <c r="R10" s="284" t="n">
        <v>0.1239</v>
      </c>
      <c r="W10" s="284" t="n">
        <v>0.1304</v>
      </c>
      <c r="AB10" s="284" t="n">
        <v>0.1064</v>
      </c>
      <c r="AG10" s="284" t="n">
        <v>0.1464</v>
      </c>
    </row>
    <row r="13" ht="12.75" customFormat="1" customHeight="1" s="285">
      <c r="A13" s="286" t="n"/>
      <c r="B13" s="286" t="n"/>
      <c r="C13" s="287" t="inlineStr">
        <is>
          <t>Income Statement</t>
        </is>
      </c>
      <c r="D13" s="287" t="str">
        <f>D7</f>
        <v>1Q20</v>
      </c>
      <c r="E13" s="287" t="str">
        <f>E7</f>
        <v>2Q20</v>
      </c>
      <c r="F13" s="287" t="str">
        <f>F7</f>
        <v>3Q20</v>
      </c>
      <c r="G13" s="287" t="str">
        <f>G7</f>
        <v>4Q20</v>
      </c>
      <c r="H13" s="287">
        <f>H7</f>
        <v>2020</v>
      </c>
      <c r="I13" s="287" t="str">
        <f>I7</f>
        <v>1Q21</v>
      </c>
      <c r="J13" s="287" t="str">
        <f>J7</f>
        <v>2Q21</v>
      </c>
      <c r="K13" s="287" t="str">
        <f>K7</f>
        <v>3Q21</v>
      </c>
      <c r="L13" s="287" t="str">
        <f>L7</f>
        <v>4Q21</v>
      </c>
      <c r="M13" s="287">
        <f>M7</f>
        <v>2021</v>
      </c>
      <c r="N13" s="287" t="str">
        <f>N7</f>
        <v>1Q22</v>
      </c>
      <c r="O13" s="287" t="str">
        <f>O7</f>
        <v>2Q22</v>
      </c>
      <c r="P13" s="287" t="str">
        <f>P7</f>
        <v>3Q22</v>
      </c>
      <c r="Q13" s="287" t="str">
        <f>Q7</f>
        <v>4Q22</v>
      </c>
      <c r="R13" s="287">
        <f>R7</f>
        <v>2022</v>
      </c>
      <c r="S13" s="287" t="str">
        <f>S7</f>
        <v>1Q23</v>
      </c>
      <c r="T13" s="287" t="str">
        <f>T7</f>
        <v>2Q23</v>
      </c>
      <c r="U13" s="287" t="str">
        <f>U7</f>
        <v>3Q23</v>
      </c>
      <c r="V13" s="287" t="str">
        <f>V7</f>
        <v>4Q23</v>
      </c>
      <c r="W13" s="287">
        <f>W7</f>
        <v>2023</v>
      </c>
      <c r="X13" s="287" t="str">
        <f>X7</f>
        <v>1Q24</v>
      </c>
      <c r="Y13" s="287" t="str">
        <f>Y7</f>
        <v>2Q24</v>
      </c>
      <c r="Z13" s="287" t="str">
        <f>Z7</f>
        <v>3Q24</v>
      </c>
      <c r="AA13" s="287" t="str">
        <f>AA7</f>
        <v>4Q24</v>
      </c>
      <c r="AB13" s="287">
        <f>AB7</f>
        <v>2024</v>
      </c>
      <c r="AC13" s="287" t="str">
        <f>AC7</f>
        <v>1Q25</v>
      </c>
      <c r="AD13" s="287" t="str">
        <f>AD7</f>
        <v>2Q25</v>
      </c>
      <c r="AE13" s="287" t="str">
        <f>AE7</f>
        <v>3Q25</v>
      </c>
      <c r="AF13" s="287" t="str">
        <f>AF7</f>
        <v>4Q25</v>
      </c>
      <c r="AG13" s="287">
        <f>AG7</f>
        <v>2025</v>
      </c>
      <c r="AH13" s="287" t="str">
        <f>AH7</f>
        <v>1Q26</v>
      </c>
      <c r="AI13" s="287" t="str">
        <f>AI7</f>
        <v>2Q26</v>
      </c>
      <c r="AJ13" s="287" t="str">
        <f>AJ7</f>
        <v>3Q26</v>
      </c>
      <c r="AK13" s="287" t="str">
        <f>AK7</f>
        <v>4Q26</v>
      </c>
      <c r="AL13" s="287">
        <f>AL7</f>
        <v>2026</v>
      </c>
      <c r="AM13" s="287" t="str">
        <f>AM7</f>
        <v>1Q27</v>
      </c>
      <c r="AN13" s="287" t="str">
        <f>AN7</f>
        <v>2Q27</v>
      </c>
      <c r="AO13" s="287" t="str">
        <f>AO7</f>
        <v>3Q27</v>
      </c>
      <c r="AP13" s="287" t="str">
        <f>AP7</f>
        <v>4Q27</v>
      </c>
      <c r="AQ13" s="287">
        <f>AQ7</f>
        <v>2027</v>
      </c>
      <c r="AR13" s="287" t="str">
        <f>AR7</f>
        <v>1Q28</v>
      </c>
      <c r="AS13" s="287" t="str">
        <f>AS7</f>
        <v>2Q28</v>
      </c>
      <c r="AT13" s="287" t="str">
        <f>AT7</f>
        <v>3Q28</v>
      </c>
      <c r="AU13" s="287" t="str">
        <f>AU7</f>
        <v>4Q28</v>
      </c>
      <c r="AV13" s="287">
        <f>AV7</f>
        <v>2028</v>
      </c>
      <c r="AW13" s="287" t="str">
        <f>AW7</f>
        <v>1Q29</v>
      </c>
      <c r="AX13" s="287" t="str">
        <f>AX7</f>
        <v>2Q29</v>
      </c>
      <c r="AY13" s="287" t="str">
        <f>AY7</f>
        <v>3Q29</v>
      </c>
      <c r="AZ13" s="287" t="str">
        <f>AZ7</f>
        <v>4Q29</v>
      </c>
      <c r="BA13" s="287">
        <f>BA7</f>
        <v>2029</v>
      </c>
      <c r="BB13" s="287" t="str">
        <f>BB7</f>
        <v>1Q30</v>
      </c>
      <c r="BC13" s="287" t="str">
        <f>BC7</f>
        <v>2Q30</v>
      </c>
      <c r="BD13" s="287" t="str">
        <f>BD7</f>
        <v>3Q30</v>
      </c>
      <c r="BE13" s="287" t="str">
        <f>BE7</f>
        <v>4Q30</v>
      </c>
      <c r="BF13" s="287">
        <f>BF7</f>
        <v>2030</v>
      </c>
      <c r="BG13" s="287" t="str">
        <f>BG7</f>
        <v>1Q31</v>
      </c>
      <c r="BH13" s="287" t="str">
        <f>BH7</f>
        <v>2Q31</v>
      </c>
      <c r="BI13" s="287" t="str">
        <f>BI7</f>
        <v>3Q31</v>
      </c>
      <c r="BJ13" s="287" t="str">
        <f>BJ7</f>
        <v>4Q31</v>
      </c>
      <c r="BK13" s="287">
        <f>BK7</f>
        <v>2031</v>
      </c>
      <c r="BL13" s="287" t="str">
        <f>BL7</f>
        <v>1Q32</v>
      </c>
      <c r="BM13" s="287" t="str">
        <f>BM7</f>
        <v>2Q32</v>
      </c>
      <c r="BN13" s="287" t="str">
        <f>BN7</f>
        <v>3Q32</v>
      </c>
      <c r="BO13" s="287" t="str">
        <f>BO7</f>
        <v>4Q32</v>
      </c>
      <c r="BP13" s="287">
        <f>BP7</f>
        <v>2032</v>
      </c>
      <c r="BQ13" s="287" t="str">
        <f>BQ7</f>
        <v>1Q33</v>
      </c>
      <c r="BR13" s="287" t="str">
        <f>BR7</f>
        <v>2Q33</v>
      </c>
      <c r="BS13" s="287" t="str">
        <f>BS7</f>
        <v>3Q33</v>
      </c>
      <c r="BT13" s="287" t="str">
        <f>BT7</f>
        <v>4Q33</v>
      </c>
      <c r="BU13" s="287">
        <f>BU7</f>
        <v>2033</v>
      </c>
      <c r="BV13" s="287" t="str">
        <f>BV7</f>
        <v>1Q34</v>
      </c>
      <c r="BW13" s="287" t="str">
        <f>BW7</f>
        <v>2Q34</v>
      </c>
      <c r="BX13" s="287" t="str">
        <f>BX7</f>
        <v>3Q34</v>
      </c>
      <c r="BY13" s="287" t="str">
        <f>BY7</f>
        <v>4Q34</v>
      </c>
      <c r="BZ13" s="287">
        <f>BZ7</f>
        <v>2034</v>
      </c>
      <c r="CA13" s="287" t="str">
        <f>CA7</f>
        <v>1Q35</v>
      </c>
      <c r="CB13" s="287" t="str">
        <f>CB7</f>
        <v>2Q35</v>
      </c>
      <c r="CC13" s="287" t="str">
        <f>CC7</f>
        <v>3Q35</v>
      </c>
      <c r="CD13" s="287" t="str">
        <f>CD7</f>
        <v>4Q35</v>
      </c>
      <c r="CE13" s="287">
        <f>CE7</f>
        <v>2035</v>
      </c>
      <c r="CF13" s="287" t="str">
        <f>CF7</f>
        <v>1Q36</v>
      </c>
      <c r="CG13" s="287" t="str">
        <f>CG7</f>
        <v>2Q36</v>
      </c>
      <c r="CH13" s="287" t="str">
        <f>CH7</f>
        <v>3Q36</v>
      </c>
      <c r="CI13" s="287" t="str">
        <f>CI7</f>
        <v>4Q36</v>
      </c>
      <c r="CJ13" s="287">
        <f>CJ7</f>
        <v>2036</v>
      </c>
      <c r="CK13" s="287" t="str">
        <f>CK7</f>
        <v>1Q37</v>
      </c>
      <c r="CL13" s="287" t="str">
        <f>CL7</f>
        <v>2Q37</v>
      </c>
      <c r="CM13" s="287" t="str">
        <f>CM7</f>
        <v>3Q37</v>
      </c>
      <c r="CN13" s="287" t="str">
        <f>CN7</f>
        <v>4Q37</v>
      </c>
      <c r="CO13" s="287">
        <f>CO7</f>
        <v>2037</v>
      </c>
      <c r="CP13" s="287" t="str">
        <f>CP7</f>
        <v>1Q38</v>
      </c>
      <c r="CQ13" s="287" t="str">
        <f>CQ7</f>
        <v>2Q38</v>
      </c>
      <c r="CR13" s="287" t="str">
        <f>CR7</f>
        <v>3Q38</v>
      </c>
      <c r="CS13" s="287" t="str">
        <f>CS7</f>
        <v>4Q38</v>
      </c>
      <c r="CT13" s="287">
        <f>CT7</f>
        <v>2038</v>
      </c>
      <c r="CU13" s="287" t="str">
        <f>CU7</f>
        <v>1Q39</v>
      </c>
      <c r="CV13" s="287" t="str">
        <f>CV7</f>
        <v>2Q39</v>
      </c>
      <c r="CW13" s="287" t="str">
        <f>CW7</f>
        <v>3Q39</v>
      </c>
      <c r="CX13" s="287" t="str">
        <f>CX7</f>
        <v>4Q39</v>
      </c>
      <c r="CY13" s="287">
        <f>CY7</f>
        <v>2039</v>
      </c>
    </row>
    <row r="14" ht="12.75" customHeight="1" s="254">
      <c r="C14" s="271" t="n"/>
    </row>
    <row r="15" ht="12.75" customFormat="1" customHeight="1" s="285">
      <c r="A15" s="286" t="n"/>
      <c r="B15" s="257" t="n"/>
      <c r="C15" s="273" t="inlineStr">
        <is>
          <t>Net Revenues</t>
        </is>
      </c>
      <c r="D15" s="288" t="n"/>
      <c r="E15" s="288" t="n"/>
      <c r="F15" s="288" t="n"/>
      <c r="G15" s="288" t="n"/>
      <c r="H15" s="274">
        <f>SUM(D15:G15)</f>
        <v>0</v>
      </c>
      <c r="I15" s="288">
        <f>INDEX('Inputs (2)'!$D$4:$AL$4,MATCH(I$7,'Inputs (2)'!$D$2:$AL$2,0))</f>
        <v>55665</v>
      </c>
      <c r="J15" s="288">
        <f>INDEX('Inputs (2)'!$D$4:$AL$4,MATCH(J$7,'Inputs (2)'!$D$2:$AL$2,0))</f>
        <v>60515</v>
      </c>
      <c r="K15" s="288">
        <f>INDEX('Inputs (2)'!$D$4:$AL$4,MATCH(K$7,'Inputs (2)'!$D$2:$AL$2,0))</f>
        <v>60044</v>
      </c>
      <c r="L15" s="288">
        <f>INDEX('Inputs (2)'!$D$4:$AL$4,MATCH(L$7,'Inputs (2)'!$D$2:$AL$2,0))</f>
        <v>85280</v>
      </c>
      <c r="M15" s="274">
        <f>SUM(I15:L15)</f>
        <v>261504</v>
      </c>
      <c r="N15" s="288">
        <f>INDEX('Inputs (2)'!$D$4:$AL$4,MATCH(N$7,'Inputs (2)'!$D$2:$AL$2,0))</f>
        <v>84204</v>
      </c>
      <c r="O15" s="288">
        <f>INDEX('Inputs (2)'!$D$4:$AL$4,MATCH(O$7,'Inputs (2)'!$D$2:$AL$2,0))</f>
        <v>100059</v>
      </c>
      <c r="P15" s="288">
        <f>INDEX('Inputs (2)'!$D$4:$AL$4,MATCH(P$7,'Inputs (2)'!$D$2:$AL$2,0))</f>
        <v>95749</v>
      </c>
      <c r="Q15" s="288">
        <f>INDEX('Inputs (2)'!$D$4:$AL$4,MATCH(Q$7,'Inputs (2)'!$D$2:$AL$2,0))</f>
        <v>101303</v>
      </c>
      <c r="R15" s="274">
        <f>SUM(N15:Q15)</f>
        <v>381315</v>
      </c>
      <c r="S15" s="288">
        <f>INDEX('Inputs (2)'!$D$4:$AL$4,MATCH(S$7,'Inputs (2)'!$D$2:$AL$2,0))</f>
        <v>86959</v>
      </c>
      <c r="T15" s="288">
        <f>INDEX('Inputs (2)'!$D$4:$AL$4,MATCH(T$7,'Inputs (2)'!$D$2:$AL$2,0))</f>
        <v>74578</v>
      </c>
      <c r="U15" s="288">
        <f>INDEX('Inputs (2)'!$D$4:$AL$4,MATCH(U$7,'Inputs (2)'!$D$2:$AL$2,0))</f>
        <v>76350</v>
      </c>
      <c r="V15" s="288">
        <f>INDEX('Inputs (2)'!$D$4:$AL$4,MATCH(V$7,'Inputs (2)'!$D$2:$AL$2,0))</f>
        <v>78732</v>
      </c>
      <c r="W15" s="274">
        <f>SUM(S15:V15)</f>
        <v>316619</v>
      </c>
      <c r="X15" s="288">
        <f>INDEX('Inputs (2)'!$D$4:$AL$4,MATCH(X$7,'Inputs (2)'!$D$2:$AL$2,0))</f>
        <v>72478</v>
      </c>
      <c r="Y15" s="288">
        <f>INDEX('Inputs (2)'!$D$4:$AL$4,MATCH(Y$7,'Inputs (2)'!$D$2:$AL$2,0))</f>
        <v>74463</v>
      </c>
      <c r="Z15" s="288">
        <f>INDEX('Inputs (2)'!$D$4:$AL$4,MATCH(Z$7,'Inputs (2)'!$D$2:$AL$2,0))</f>
        <v>71089</v>
      </c>
      <c r="AA15" s="288">
        <f>INDEX('Inputs (2)'!$D$4:$AL$4,MATCH(AA$7,'Inputs (2)'!$D$2:$AL$2,0))</f>
        <v>66281</v>
      </c>
      <c r="AB15" s="274">
        <f>SUM(X15:AA15)</f>
        <v>284311</v>
      </c>
      <c r="AC15" s="288">
        <f>INDEX('Inputs (2)'!$D$4:$AL$4,MATCH(AC$7,'Inputs (2)'!$D$2:$AL$2,0))</f>
        <v>69234</v>
      </c>
      <c r="AD15" s="288">
        <f>INDEX('Inputs (2)'!$D$4:$AL$4,MATCH(AD$7,'Inputs (2)'!$D$2:$AL$2,0))</f>
        <v>65406</v>
      </c>
      <c r="AE15" s="288">
        <f>INDEX('Inputs (2)'!$D$4:$AL$4,MATCH(AE$7,'Inputs (2)'!$D$2:$AL$2,0))</f>
        <v>68153</v>
      </c>
      <c r="AF15" s="288">
        <f>INDEX('Inputs (2)'!$D$4:$AL$4,MATCH(AF$7,'Inputs (2)'!$D$2:$AL$2,0))</f>
        <v>64093</v>
      </c>
      <c r="AG15" s="274">
        <f>SUM(AC15:AF15)</f>
        <v>266886</v>
      </c>
      <c r="AH15" s="274">
        <f>INDEX('Inputs (2)'!$D$4:$AL$4,MATCH(AH$7,'Inputs (2)'!$D$2:$AL$2,0))</f>
        <v>69691</v>
      </c>
      <c r="AI15" s="274">
        <f>INDEX('Inputs (2)'!$D$4:$AL$4,MATCH(AI$7,'Inputs (2)'!$D$2:$AL$2,0))</f>
        <v>94664</v>
      </c>
      <c r="AJ15" s="274">
        <f>AE15*(1+AJ16)</f>
        <v>68153</v>
      </c>
      <c r="AK15" s="274">
        <f>AF15*(1+AK16)</f>
        <v>64093</v>
      </c>
      <c r="AL15" s="274">
        <f>SUM(AH15:AK15)</f>
        <v>296601</v>
      </c>
      <c r="AM15" s="274">
        <f>AH15*(1+AM16)</f>
        <v>69691</v>
      </c>
      <c r="AN15" s="274">
        <f>AI15*(1+AN16)</f>
        <v>94664</v>
      </c>
      <c r="AO15" s="274">
        <f>AJ15*(1+AO16)</f>
        <v>68153</v>
      </c>
      <c r="AP15" s="274">
        <f>AK15*(1+AP16)</f>
        <v>64093</v>
      </c>
      <c r="AQ15" s="274">
        <f>SUM(AM15:AP15)</f>
        <v>296601</v>
      </c>
      <c r="AR15" s="274">
        <f>AM15*(1+AR16)</f>
        <v>69691</v>
      </c>
      <c r="AS15" s="274">
        <f>AN15*(1+AS16)</f>
        <v>94664</v>
      </c>
      <c r="AT15" s="274">
        <f>AO15*(1+AT16)</f>
        <v>68153</v>
      </c>
      <c r="AU15" s="274">
        <f>AP15*(1+AU16)</f>
        <v>64093</v>
      </c>
      <c r="AV15" s="274">
        <f>SUM(AR15:AU15)</f>
        <v>296601</v>
      </c>
      <c r="AW15" s="274">
        <f>AR15*(1+AW16)</f>
        <v>69691</v>
      </c>
      <c r="AX15" s="274">
        <f>AS15*(1+AX16)</f>
        <v>94664</v>
      </c>
      <c r="AY15" s="274">
        <f>AT15*(1+AY16)</f>
        <v>68153</v>
      </c>
      <c r="AZ15" s="274">
        <f>AU15*(1+AZ16)</f>
        <v>64093</v>
      </c>
      <c r="BA15" s="274">
        <f>SUM(AW15:AZ15)</f>
        <v>296601</v>
      </c>
      <c r="BB15" s="274">
        <f>AW15*(1+BB16)</f>
        <v>69691</v>
      </c>
      <c r="BC15" s="274">
        <f>AX15*(1+BC16)</f>
        <v>94664</v>
      </c>
      <c r="BD15" s="274">
        <f>AY15*(1+BD16)</f>
        <v>68153</v>
      </c>
      <c r="BE15" s="274">
        <f>AZ15*(1+BE16)</f>
        <v>64093</v>
      </c>
      <c r="BF15" s="274">
        <f>SUM(BB15:BE15)</f>
        <v>296601</v>
      </c>
      <c r="BG15" s="274">
        <f>BB15*(1+BG16)</f>
        <v>69691</v>
      </c>
      <c r="BH15" s="274">
        <f>BC15*(1+BH16)</f>
        <v>94664</v>
      </c>
      <c r="BI15" s="274">
        <f>BD15*(1+BI16)</f>
        <v>68153</v>
      </c>
      <c r="BJ15" s="274">
        <f>BE15*(1+BJ16)</f>
        <v>64093</v>
      </c>
      <c r="BK15" s="274">
        <f>SUM(BG15:BJ15)</f>
        <v>296601</v>
      </c>
      <c r="BL15" s="274">
        <f>BG15*(1+BL16)</f>
        <v>69691</v>
      </c>
      <c r="BM15" s="274">
        <f>BH15*(1+BM16)</f>
        <v>94664</v>
      </c>
      <c r="BN15" s="274">
        <f>BI15*(1+BN16)</f>
        <v>68153</v>
      </c>
      <c r="BO15" s="274">
        <f>BJ15*(1+BO16)</f>
        <v>64093</v>
      </c>
      <c r="BP15" s="274">
        <f>SUM(BL15:BO15)</f>
        <v>296601</v>
      </c>
      <c r="BQ15" s="274">
        <f>BL15*(1+BQ16)</f>
        <v>69691</v>
      </c>
      <c r="BR15" s="274">
        <f>BM15*(1+BR16)</f>
        <v>94664</v>
      </c>
      <c r="BS15" s="274">
        <f>BN15*(1+BS16)</f>
        <v>68153</v>
      </c>
      <c r="BT15" s="274">
        <f>BO15*(1+BT16)</f>
        <v>64093</v>
      </c>
      <c r="BU15" s="274">
        <f>SUM(BQ15:BT15)</f>
        <v>296601</v>
      </c>
      <c r="BV15" s="274">
        <f>BQ15*(1+BV16)</f>
        <v>69691</v>
      </c>
      <c r="BW15" s="274">
        <f>BR15*(1+BW16)</f>
        <v>94664</v>
      </c>
      <c r="BX15" s="274">
        <f>BS15*(1+BX16)</f>
        <v>68153</v>
      </c>
      <c r="BY15" s="274">
        <f>BT15*(1+BY16)</f>
        <v>64093</v>
      </c>
      <c r="BZ15" s="274">
        <f>SUM(BV15:BY15)</f>
        <v>296601</v>
      </c>
      <c r="CA15" s="274">
        <f>BV15*(1+CA16)</f>
        <v>69691</v>
      </c>
      <c r="CB15" s="274">
        <f>BW15*(1+CB16)</f>
        <v>94664</v>
      </c>
      <c r="CC15" s="274">
        <f>BX15*(1+CC16)</f>
        <v>68153</v>
      </c>
      <c r="CD15" s="274">
        <f>BY15*(1+CD16)</f>
        <v>64093</v>
      </c>
      <c r="CE15" s="274">
        <f>SUM(CA15:CD15)</f>
        <v>296601</v>
      </c>
      <c r="CF15" s="274">
        <f>CA15*(1+CF16)</f>
        <v>69691</v>
      </c>
      <c r="CG15" s="274">
        <f>CB15*(1+CG16)</f>
        <v>94664</v>
      </c>
      <c r="CH15" s="274">
        <f>CC15*(1+CH16)</f>
        <v>68153</v>
      </c>
      <c r="CI15" s="274">
        <f>CD15*(1+CI16)</f>
        <v>64093</v>
      </c>
      <c r="CJ15" s="274">
        <f>SUM(CF15:CI15)</f>
        <v>296601</v>
      </c>
      <c r="CK15" s="274">
        <f>CF15*(1+CK16)</f>
        <v>69691</v>
      </c>
      <c r="CL15" s="274">
        <f>CG15*(1+CL16)</f>
        <v>94664</v>
      </c>
      <c r="CM15" s="274">
        <f>CH15*(1+CM16)</f>
        <v>68153</v>
      </c>
      <c r="CN15" s="274">
        <f>CI15*(1+CN16)</f>
        <v>64093</v>
      </c>
      <c r="CO15" s="274">
        <f>SUM(CK15:CN15)</f>
        <v>296601</v>
      </c>
      <c r="CP15" s="274">
        <f>CK15*(1+CP16)</f>
        <v>69691</v>
      </c>
      <c r="CQ15" s="274">
        <f>CL15*(1+CQ16)</f>
        <v>94664</v>
      </c>
      <c r="CR15" s="274">
        <f>CM15*(1+CR16)</f>
        <v>68153</v>
      </c>
      <c r="CS15" s="274">
        <f>CN15*(1+CS16)</f>
        <v>64093</v>
      </c>
      <c r="CT15" s="274">
        <f>SUM(CP15:CS15)</f>
        <v>296601</v>
      </c>
      <c r="CU15" s="274">
        <f>CP15*(1+CU16)</f>
        <v>69691</v>
      </c>
      <c r="CV15" s="274">
        <f>CQ15*(1+CV16)</f>
        <v>94664</v>
      </c>
      <c r="CW15" s="274">
        <f>CR15*(1+CW16)</f>
        <v>68153</v>
      </c>
      <c r="CX15" s="274">
        <f>CS15*(1+CX16)</f>
        <v>64093</v>
      </c>
      <c r="CY15" s="274">
        <f>SUM(CU15:CX15)</f>
        <v>296601</v>
      </c>
    </row>
    <row r="16" hidden="1" outlineLevel="1" ht="12.75" customFormat="1" customHeight="1" s="289">
      <c r="A16" s="290" t="n"/>
      <c r="B16" s="291" t="n"/>
      <c r="C16" s="292" t="inlineStr">
        <is>
          <t>% YoY</t>
        </is>
      </c>
      <c r="D16" s="293" t="n"/>
      <c r="E16" s="294" t="n"/>
      <c r="F16" s="294" t="n"/>
      <c r="G16" s="294" t="n"/>
      <c r="H16" s="293" t="n"/>
      <c r="I16" s="293" t="n"/>
      <c r="J16" s="294" t="n"/>
      <c r="K16" s="294" t="n"/>
      <c r="L16" s="294" t="n"/>
      <c r="M16" s="293" t="n"/>
      <c r="N16" s="294">
        <f>N15/I15-1</f>
        <v>0.51269199676637</v>
      </c>
      <c r="O16" s="294">
        <f>O15/J15-1</f>
        <v>0.653457820375114</v>
      </c>
      <c r="P16" s="294">
        <f>P15/K15-1</f>
        <v>0.59464725867697</v>
      </c>
      <c r="Q16" s="294">
        <f>Q15/L15-1</f>
        <v>0.187886960600375</v>
      </c>
      <c r="R16" s="294">
        <f>R15/M15-1</f>
        <v>0.458161251835536</v>
      </c>
      <c r="S16" s="294">
        <f>S15/N15-1</f>
        <v>0.0327181606574509</v>
      </c>
      <c r="T16" s="294">
        <f>T15/O15-1</f>
        <v>-0.254659750747059</v>
      </c>
      <c r="U16" s="294">
        <f>U15/P15-1</f>
        <v>-0.202602638147657</v>
      </c>
      <c r="V16" s="294">
        <f>V15/Q15-1</f>
        <v>-0.222806827043622</v>
      </c>
      <c r="W16" s="294">
        <f>W15/R15-1</f>
        <v>-0.169665499652518</v>
      </c>
      <c r="X16" s="294">
        <f>X15/S15-1</f>
        <v>-0.166526753987511</v>
      </c>
      <c r="Y16" s="294">
        <f>Y15/T15-1</f>
        <v>-0.00154200970795682</v>
      </c>
      <c r="Z16" s="294">
        <f>Z15/U15-1</f>
        <v>-0.0689063523248199</v>
      </c>
      <c r="AA16" s="294">
        <f>AA15/V15-1</f>
        <v>-0.158144083727074</v>
      </c>
      <c r="AB16" s="294">
        <f>AB15/W15-1</f>
        <v>-0.102040622956929</v>
      </c>
      <c r="AC16" s="294">
        <f>AC15/X15-1</f>
        <v>-0.0447584094483844</v>
      </c>
      <c r="AD16" s="294">
        <f>AD15/Y15-1</f>
        <v>-0.121630877079892</v>
      </c>
      <c r="AE16" s="294">
        <f>AE15/Z15-1</f>
        <v>-0.0413003418250362</v>
      </c>
      <c r="AF16" s="295">
        <f>AF15/AA15-1</f>
        <v>-0.0330109684524977</v>
      </c>
      <c r="AG16" s="294">
        <f>AG15/AB15-1</f>
        <v>-0.0612885185589021</v>
      </c>
      <c r="AH16" s="295">
        <f>AH15/AC15-1</f>
        <v>0.00660080307363442</v>
      </c>
      <c r="AI16" s="295">
        <f>AI15/AD15-1</f>
        <v>0.447328991224047</v>
      </c>
      <c r="AJ16" s="295" t="n"/>
      <c r="AK16" s="295" t="n"/>
      <c r="AL16" s="296">
        <f>AL15/AG15-1</f>
        <v>0.11133967311886</v>
      </c>
      <c r="AM16" s="295" t="n"/>
      <c r="AN16" s="295" t="n"/>
      <c r="AO16" s="295" t="n"/>
      <c r="AP16" s="295" t="n"/>
      <c r="AQ16" s="296">
        <f>AQ15/AL15-1</f>
        <v>0</v>
      </c>
      <c r="AR16" s="295" t="n"/>
      <c r="AS16" s="295" t="n"/>
      <c r="AT16" s="295" t="n"/>
      <c r="AU16" s="295" t="n"/>
      <c r="AV16" s="296">
        <f>AV15/AQ15-1</f>
        <v>0</v>
      </c>
      <c r="AW16" s="295" t="n"/>
      <c r="AX16" s="295" t="n"/>
      <c r="AY16" s="295" t="n"/>
      <c r="AZ16" s="295" t="n"/>
      <c r="BA16" s="296">
        <f>BA15/AV15-1</f>
        <v>0</v>
      </c>
      <c r="BB16" s="295" t="n"/>
      <c r="BC16" s="295" t="n"/>
      <c r="BD16" s="295" t="n"/>
      <c r="BE16" s="295" t="n"/>
      <c r="BF16" s="296">
        <f>BF15/BA15-1</f>
        <v>0</v>
      </c>
      <c r="BG16" s="295" t="n"/>
      <c r="BH16" s="295" t="n"/>
      <c r="BI16" s="295" t="n"/>
      <c r="BJ16" s="295" t="n"/>
      <c r="BK16" s="296">
        <f>BK15/BF15-1</f>
        <v>0</v>
      </c>
      <c r="BL16" s="295" t="n"/>
      <c r="BM16" s="295" t="n"/>
      <c r="BN16" s="295" t="n"/>
      <c r="BO16" s="295" t="n"/>
      <c r="BP16" s="296">
        <f>BP15/BK15-1</f>
        <v>0</v>
      </c>
      <c r="BQ16" s="295" t="n"/>
      <c r="BR16" s="295" t="n"/>
      <c r="BS16" s="295" t="n"/>
      <c r="BT16" s="295" t="n"/>
      <c r="BU16" s="296">
        <f>BU15/BP15-1</f>
        <v>0</v>
      </c>
      <c r="BV16" s="295" t="n"/>
      <c r="BW16" s="295" t="n"/>
      <c r="BX16" s="295" t="n"/>
      <c r="BY16" s="295" t="n"/>
      <c r="BZ16" s="296">
        <f>BZ15/BU15-1</f>
        <v>0</v>
      </c>
      <c r="CA16" s="295" t="n"/>
      <c r="CB16" s="295" t="n"/>
      <c r="CC16" s="295" t="n"/>
      <c r="CD16" s="295" t="n"/>
      <c r="CE16" s="296">
        <f>CE15/BZ15-1</f>
        <v>0</v>
      </c>
      <c r="CF16" s="295" t="n"/>
      <c r="CG16" s="295" t="n"/>
      <c r="CH16" s="295" t="n"/>
      <c r="CI16" s="295" t="n"/>
      <c r="CJ16" s="296">
        <f>CJ15/CE15-1</f>
        <v>0</v>
      </c>
      <c r="CK16" s="295" t="n"/>
      <c r="CL16" s="295" t="n"/>
      <c r="CM16" s="295" t="n"/>
      <c r="CN16" s="295" t="n"/>
      <c r="CO16" s="296">
        <f>CO15/CJ15-1</f>
        <v>0</v>
      </c>
      <c r="CP16" s="295" t="n"/>
      <c r="CQ16" s="295" t="n"/>
      <c r="CR16" s="295" t="n"/>
      <c r="CS16" s="295" t="n"/>
      <c r="CT16" s="296">
        <f>CT15/CO15-1</f>
        <v>0</v>
      </c>
      <c r="CU16" s="295" t="n"/>
      <c r="CV16" s="295" t="n"/>
      <c r="CW16" s="295" t="n"/>
      <c r="CX16" s="295" t="n"/>
      <c r="CY16" s="296">
        <f>CY15/CT15-1</f>
        <v>0</v>
      </c>
    </row>
    <row r="17" hidden="1" outlineLevel="1" ht="12.75" customFormat="1" customHeight="1" s="289">
      <c r="A17" s="290" t="n"/>
      <c r="B17" s="291" t="n"/>
      <c r="C17" s="297" t="inlineStr">
        <is>
          <t>Check Receita (linha 15 − soma dos segmentos de terceiros)</t>
        </is>
      </c>
      <c r="D17" s="288" t="str">
        <f>IF(COUNT(D25)=0,"",D25)</f>
        <v/>
      </c>
      <c r="E17" s="288" t="str">
        <f>IF(COUNT(E25)=0,"",E25)</f>
        <v/>
      </c>
      <c r="F17" s="288" t="str">
        <f>IF(COUNT(F25)=0,"",F25)</f>
        <v/>
      </c>
      <c r="G17" s="288" t="str">
        <f>IF(COUNT(G25)=0,"",G25)</f>
        <v/>
      </c>
      <c r="H17" s="274" t="str">
        <f>IF(COUNT(H25)=0,"",H25)</f>
        <v/>
      </c>
      <c r="I17" s="288">
        <f>IF(COUNT(I25)=0,"",I25)</f>
        <v>13</v>
      </c>
      <c r="J17" s="288">
        <f>IF(COUNT(J25)=0,"",J25)</f>
        <v>12</v>
      </c>
      <c r="K17" s="288">
        <f>IF(COUNT(K25)=0,"",K25)</f>
        <v>10</v>
      </c>
      <c r="L17" s="288">
        <f>IF(COUNT(L25)=0,"",L25)</f>
        <v>8</v>
      </c>
      <c r="M17" s="274">
        <f>IF(COUNT(M25)=0,"",M25)</f>
        <v>43</v>
      </c>
      <c r="N17" s="288">
        <f>IF(COUNT(N25)=0,"",N25)</f>
        <v>17</v>
      </c>
      <c r="O17" s="288">
        <f>IF(COUNT(O25)=0,"",O25)</f>
        <v>11</v>
      </c>
      <c r="P17" s="288">
        <f>IF(COUNT(P25)=0,"",P25)</f>
        <v>10</v>
      </c>
      <c r="Q17" s="288">
        <f>IF(COUNT(Q25)=0,"",Q25)</f>
        <v>4</v>
      </c>
      <c r="R17" s="274">
        <f>IF(COUNT(R25)=0,"",R25)</f>
        <v>42</v>
      </c>
      <c r="S17" s="288">
        <f>IF(COUNT(S25)=0,"",S25)</f>
        <v>11</v>
      </c>
      <c r="T17" s="288">
        <f>IF(COUNT(T25)=0,"",T25)</f>
        <v>12</v>
      </c>
      <c r="U17" s="288">
        <f>IF(COUNT(U25)=0,"",U25)</f>
        <v>8</v>
      </c>
      <c r="V17" s="288">
        <f>IF(COUNT(V25)=0,"",V25)</f>
        <v>12</v>
      </c>
      <c r="W17" s="274">
        <f>IF(COUNT(W25)=0,"",W25)</f>
        <v>43</v>
      </c>
      <c r="X17" s="288">
        <f>IF(COUNT(X25)=0,"",X25)</f>
        <v>11</v>
      </c>
      <c r="Y17" s="288">
        <f>IF(COUNT(Y25)=0,"",Y25)</f>
        <v>11</v>
      </c>
      <c r="Z17" s="288">
        <f>IF(COUNT(Z25)=0,"",Z25)</f>
        <v>10</v>
      </c>
      <c r="AA17" s="288">
        <f>IF(COUNT(AA25)=0,"",AA25)</f>
        <v>11</v>
      </c>
      <c r="AB17" s="274">
        <f>IF(COUNT(AB25)=0,"",AB25)</f>
        <v>43</v>
      </c>
      <c r="AC17" s="288">
        <f>IF(COUNT(AC25)=0,"",AC25)</f>
        <v>12</v>
      </c>
      <c r="AD17" s="288">
        <f>IF(COUNT(AD25)=0,"",AD25)</f>
        <v>12</v>
      </c>
      <c r="AE17" s="288">
        <f>IF(COUNT(AE25)=0,"",AE25)</f>
        <v>7</v>
      </c>
      <c r="AF17" s="288">
        <f>IF(COUNT(AF25)=0,"",AF25)</f>
        <v>10</v>
      </c>
      <c r="AG17" s="274">
        <f>IF(COUNT(AG25)=0,"",AG25)</f>
        <v>41</v>
      </c>
      <c r="AH17" s="274">
        <f>IF(COUNT(AH25)=0,"",AH25)</f>
        <v>5</v>
      </c>
      <c r="AI17" s="274">
        <f>IF(COUNT(AI25)=0,"",AI25)</f>
        <v>-2</v>
      </c>
      <c r="AJ17" s="295" t="n"/>
      <c r="AK17" s="295" t="n"/>
      <c r="AL17" s="296" t="n"/>
      <c r="AM17" s="295" t="n"/>
      <c r="AN17" s="295" t="n"/>
      <c r="AO17" s="295" t="n"/>
      <c r="AP17" s="295" t="n"/>
      <c r="AQ17" s="296" t="n"/>
      <c r="AR17" s="295" t="n"/>
      <c r="AS17" s="295" t="n"/>
      <c r="AT17" s="295" t="n"/>
      <c r="AU17" s="295" t="n"/>
      <c r="AV17" s="296" t="n"/>
      <c r="AW17" s="295" t="n"/>
      <c r="AX17" s="295" t="n"/>
      <c r="AY17" s="295" t="n"/>
      <c r="AZ17" s="295" t="n"/>
      <c r="BA17" s="296" t="n"/>
      <c r="BB17" s="295" t="n"/>
      <c r="BC17" s="295" t="n"/>
      <c r="BD17" s="295" t="n"/>
      <c r="BE17" s="295" t="n"/>
      <c r="BF17" s="296" t="n"/>
      <c r="BG17" s="295" t="n"/>
      <c r="BH17" s="295" t="n"/>
      <c r="BI17" s="295" t="n"/>
      <c r="BJ17" s="295" t="n"/>
      <c r="BK17" s="296" t="n"/>
      <c r="BL17" s="295" t="n"/>
      <c r="BM17" s="295" t="n"/>
      <c r="BN17" s="295" t="n"/>
      <c r="BO17" s="295" t="n"/>
      <c r="BP17" s="296" t="n"/>
      <c r="BQ17" s="295" t="n"/>
      <c r="BR17" s="295" t="n"/>
      <c r="BS17" s="295" t="n"/>
      <c r="BT17" s="295" t="n"/>
      <c r="BU17" s="296" t="n"/>
      <c r="BV17" s="295" t="n"/>
      <c r="BW17" s="295" t="n"/>
      <c r="BX17" s="295" t="n"/>
      <c r="BY17" s="295" t="n"/>
      <c r="BZ17" s="296" t="n"/>
      <c r="CA17" s="295" t="n"/>
      <c r="CB17" s="295" t="n"/>
      <c r="CC17" s="295" t="n"/>
      <c r="CD17" s="295" t="n"/>
      <c r="CE17" s="296" t="n"/>
      <c r="CF17" s="295" t="n"/>
      <c r="CG17" s="295" t="n"/>
      <c r="CH17" s="295" t="n"/>
      <c r="CI17" s="295" t="n"/>
      <c r="CJ17" s="296" t="n"/>
      <c r="CK17" s="295" t="n"/>
      <c r="CL17" s="295" t="n"/>
      <c r="CM17" s="295" t="n"/>
      <c r="CN17" s="295" t="n"/>
      <c r="CO17" s="296" t="n"/>
      <c r="CP17" s="295" t="n"/>
      <c r="CQ17" s="295" t="n"/>
      <c r="CR17" s="295" t="n"/>
      <c r="CS17" s="295" t="n"/>
      <c r="CT17" s="296" t="n"/>
      <c r="CU17" s="295" t="n"/>
      <c r="CV17" s="295" t="n"/>
      <c r="CW17" s="295" t="n"/>
      <c r="CX17" s="295" t="n"/>
      <c r="CY17" s="296" t="n"/>
    </row>
    <row r="18" s="254">
      <c r="C18" s="287" t="inlineStr">
        <is>
          <t>Receita de terceiros por segmento (USD milhões, as reported)</t>
        </is>
      </c>
      <c r="D18" s="287" t="str">
        <f>D7</f>
        <v>1Q20</v>
      </c>
      <c r="E18" s="287" t="str">
        <f>E7</f>
        <v>2Q20</v>
      </c>
      <c r="F18" s="287" t="str">
        <f>F7</f>
        <v>3Q20</v>
      </c>
      <c r="G18" s="287" t="str">
        <f>G7</f>
        <v>4Q20</v>
      </c>
      <c r="H18" s="287">
        <f>H7</f>
        <v>2020</v>
      </c>
      <c r="I18" s="287" t="str">
        <f>I7</f>
        <v>1Q21</v>
      </c>
      <c r="J18" s="287" t="str">
        <f>J7</f>
        <v>2Q21</v>
      </c>
      <c r="K18" s="287" t="str">
        <f>K7</f>
        <v>3Q21</v>
      </c>
      <c r="L18" s="287" t="str">
        <f>L7</f>
        <v>4Q21</v>
      </c>
      <c r="M18" s="287">
        <f>M7</f>
        <v>2021</v>
      </c>
      <c r="N18" s="287" t="str">
        <f>N7</f>
        <v>1Q22</v>
      </c>
      <c r="O18" s="287" t="str">
        <f>O7</f>
        <v>2Q22</v>
      </c>
      <c r="P18" s="287" t="str">
        <f>P7</f>
        <v>3Q22</v>
      </c>
      <c r="Q18" s="287" t="str">
        <f>Q7</f>
        <v>4Q22</v>
      </c>
      <c r="R18" s="287">
        <f>R7</f>
        <v>2022</v>
      </c>
      <c r="S18" s="287" t="str">
        <f>S7</f>
        <v>1Q23</v>
      </c>
      <c r="T18" s="287" t="str">
        <f>T7</f>
        <v>2Q23</v>
      </c>
      <c r="U18" s="287" t="str">
        <f>U7</f>
        <v>3Q23</v>
      </c>
      <c r="V18" s="287" t="str">
        <f>V7</f>
        <v>4Q23</v>
      </c>
      <c r="W18" s="287">
        <f>W7</f>
        <v>2023</v>
      </c>
      <c r="X18" s="287" t="str">
        <f>X7</f>
        <v>1Q24</v>
      </c>
      <c r="Y18" s="287" t="str">
        <f>Y7</f>
        <v>2Q24</v>
      </c>
      <c r="Z18" s="287" t="str">
        <f>Z7</f>
        <v>3Q24</v>
      </c>
      <c r="AA18" s="287" t="str">
        <f>AA7</f>
        <v>4Q24</v>
      </c>
      <c r="AB18" s="287">
        <f>AB7</f>
        <v>2024</v>
      </c>
      <c r="AC18" s="287" t="str">
        <f>AC7</f>
        <v>1Q25</v>
      </c>
      <c r="AD18" s="287" t="str">
        <f>AD7</f>
        <v>2Q25</v>
      </c>
      <c r="AE18" s="287" t="str">
        <f>AE7</f>
        <v>3Q25</v>
      </c>
      <c r="AF18" s="287" t="str">
        <f>AF7</f>
        <v>4Q25</v>
      </c>
      <c r="AG18" s="287">
        <f>AG7</f>
        <v>2025</v>
      </c>
      <c r="AH18" s="287" t="str">
        <f>AH7</f>
        <v>1Q26</v>
      </c>
      <c r="AI18" s="287" t="str">
        <f>AI7</f>
        <v>2Q26</v>
      </c>
    </row>
    <row r="19" s="254">
      <c r="C19" s="273" t="inlineStr">
        <is>
          <t xml:space="preserve">   Integrated Gas</t>
        </is>
      </c>
      <c r="D19" s="513" t="str">
        <f>IFERROR(INDEX('Inputs (2)'!$D$53:$AL$53,MATCH(D$7,'Inputs (2)'!$D$2:$AL$2,0)),"")</f>
        <v/>
      </c>
      <c r="E19" s="513" t="str">
        <f>IFERROR(INDEX('Inputs (2)'!$D$53:$AL$53,MATCH(E$7,'Inputs (2)'!$D$2:$AL$2,0)),"")</f>
        <v/>
      </c>
      <c r="F19" s="513" t="str">
        <f>IFERROR(INDEX('Inputs (2)'!$D$53:$AL$53,MATCH(F$7,'Inputs (2)'!$D$2:$AL$2,0)),"")</f>
        <v/>
      </c>
      <c r="G19" s="513" t="str">
        <f>IFERROR(INDEX('Inputs (2)'!$D$53:$AL$53,MATCH(G$7,'Inputs (2)'!$D$2:$AL$2,0)),"")</f>
        <v/>
      </c>
      <c r="H19" s="514" t="str">
        <f>IF(COUNT(D19:G19)=4,SUM(D19:G19),"")</f>
        <v/>
      </c>
      <c r="I19" s="513">
        <f>IFERROR(INDEX('Inputs (2)'!$D$53:$AL$53,MATCH(I$7,'Inputs (2)'!$D$2:$AL$2,0)),"")</f>
        <v>6022</v>
      </c>
      <c r="J19" s="513">
        <f>IFERROR(INDEX('Inputs (2)'!$D$53:$AL$53,MATCH(J$7,'Inputs (2)'!$D$2:$AL$2,0)),"")</f>
        <v>5537</v>
      </c>
      <c r="K19" s="513">
        <f>IFERROR(INDEX('Inputs (2)'!$D$53:$AL$53,MATCH(K$7,'Inputs (2)'!$D$2:$AL$2,0)),"")</f>
        <v>5661</v>
      </c>
      <c r="L19" s="513">
        <f>IFERROR(INDEX('Inputs (2)'!$D$53:$AL$53,MATCH(L$7,'Inputs (2)'!$D$2:$AL$2,0)),"")</f>
        <v>12702</v>
      </c>
      <c r="M19" s="514">
        <f>IF(COUNT(I19:L19)=4,SUM(I19:L19),"")</f>
        <v>29922</v>
      </c>
      <c r="N19" s="513">
        <f>IFERROR(INDEX('Inputs (2)'!$D$53:$AL$53,MATCH(N$7,'Inputs (2)'!$D$2:$AL$2,0)),"")</f>
        <v>14074</v>
      </c>
      <c r="O19" s="513">
        <f>IFERROR(INDEX('Inputs (2)'!$D$53:$AL$53,MATCH(O$7,'Inputs (2)'!$D$2:$AL$2,0)),"")</f>
        <v>12403</v>
      </c>
      <c r="P19" s="513">
        <f>IFERROR(INDEX('Inputs (2)'!$D$53:$AL$53,MATCH(P$7,'Inputs (2)'!$D$2:$AL$2,0)),"")</f>
        <v>14471</v>
      </c>
      <c r="Q19" s="513">
        <f>IFERROR(INDEX('Inputs (2)'!$D$53:$AL$53,MATCH(Q$7,'Inputs (2)'!$D$2:$AL$2,0)),"")</f>
        <v>13802</v>
      </c>
      <c r="R19" s="514">
        <f>IF(COUNT(N19:Q19)=4,SUM(N19:Q19),"")</f>
        <v>54750</v>
      </c>
      <c r="S19" s="513">
        <f>IFERROR(INDEX('Inputs (2)'!$D$53:$AL$53,MATCH(S$7,'Inputs (2)'!$D$2:$AL$2,0)),"")</f>
        <v>10932</v>
      </c>
      <c r="T19" s="513">
        <f>IFERROR(INDEX('Inputs (2)'!$D$53:$AL$53,MATCH(T$7,'Inputs (2)'!$D$2:$AL$2,0)),"")</f>
        <v>7938</v>
      </c>
      <c r="U19" s="513">
        <f>IFERROR(INDEX('Inputs (2)'!$D$53:$AL$53,MATCH(U$7,'Inputs (2)'!$D$2:$AL$2,0)),"")</f>
        <v>8338</v>
      </c>
      <c r="V19" s="513">
        <f>IFERROR(INDEX('Inputs (2)'!$D$53:$AL$53,MATCH(V$7,'Inputs (2)'!$D$2:$AL$2,0)),"")</f>
        <v>10437</v>
      </c>
      <c r="W19" s="514">
        <f>IF(COUNT(S19:V19)=4,SUM(S19:V19),"")</f>
        <v>37645</v>
      </c>
      <c r="X19" s="513">
        <f>IFERROR(INDEX('Inputs (2)'!$D$53:$AL$53,MATCH(X$7,'Inputs (2)'!$D$2:$AL$2,0)),"")</f>
        <v>9195</v>
      </c>
      <c r="Y19" s="513">
        <f>IFERROR(INDEX('Inputs (2)'!$D$53:$AL$53,MATCH(Y$7,'Inputs (2)'!$D$2:$AL$2,0)),"")</f>
        <v>9052</v>
      </c>
      <c r="Z19" s="513">
        <f>IFERROR(INDEX('Inputs (2)'!$D$53:$AL$53,MATCH(Z$7,'Inputs (2)'!$D$2:$AL$2,0)),"")</f>
        <v>9748</v>
      </c>
      <c r="AA19" s="513">
        <f>IFERROR(INDEX('Inputs (2)'!$D$53:$AL$53,MATCH(AA$7,'Inputs (2)'!$D$2:$AL$2,0)),"")</f>
        <v>9294</v>
      </c>
      <c r="AB19" s="514">
        <f>IF(COUNT(X19:AA19)=4,SUM(X19:AA19),"")</f>
        <v>37289</v>
      </c>
      <c r="AC19" s="513">
        <f>IFERROR(INDEX('Inputs (2)'!$D$53:$AL$53,MATCH(AC$7,'Inputs (2)'!$D$2:$AL$2,0)),"")</f>
        <v>9602</v>
      </c>
      <c r="AD19" s="513">
        <f>IFERROR(INDEX('Inputs (2)'!$D$53:$AL$53,MATCH(AD$7,'Inputs (2)'!$D$2:$AL$2,0)),"")</f>
        <v>9576</v>
      </c>
      <c r="AE19" s="513">
        <f>IFERROR(INDEX('Inputs (2)'!$D$53:$AL$53,MATCH(AE$7,'Inputs (2)'!$D$2:$AL$2,0)),"")</f>
        <v>9736</v>
      </c>
      <c r="AF19" s="513">
        <f>IFERROR(INDEX('Inputs (2)'!$D$53:$AL$53,MATCH(AF$7,'Inputs (2)'!$D$2:$AL$2,0)),"")</f>
        <v>9542</v>
      </c>
      <c r="AG19" s="514">
        <f>IF(COUNT(AC19:AF19)=4,SUM(AC19:AF19),"")</f>
        <v>38456</v>
      </c>
      <c r="AH19" s="514">
        <f>IFERROR(INDEX('Inputs (2)'!$D$53:$AL$53,MATCH(AH$7,'Inputs (2)'!$D$2:$AL$2,0)),"")</f>
        <v>7748</v>
      </c>
      <c r="AI19" s="514">
        <f>IFERROR(INDEX('Inputs (2)'!$D$53:$AL$53,MATCH(AI$7,'Inputs (2)'!$D$2:$AL$2,0)),"")</f>
        <v>11278</v>
      </c>
    </row>
    <row r="20" s="254">
      <c r="C20" s="273" t="inlineStr">
        <is>
          <t xml:space="preserve">   Upstream</t>
        </is>
      </c>
      <c r="D20" s="513" t="str">
        <f>IFERROR(INDEX('Inputs (2)'!$D$54:$AL$54,MATCH(D$7,'Inputs (2)'!$D$2:$AL$2,0)),"")</f>
        <v/>
      </c>
      <c r="E20" s="513" t="str">
        <f>IFERROR(INDEX('Inputs (2)'!$D$54:$AL$54,MATCH(E$7,'Inputs (2)'!$D$2:$AL$2,0)),"")</f>
        <v/>
      </c>
      <c r="F20" s="513" t="str">
        <f>IFERROR(INDEX('Inputs (2)'!$D$54:$AL$54,MATCH(F$7,'Inputs (2)'!$D$2:$AL$2,0)),"")</f>
        <v/>
      </c>
      <c r="G20" s="513" t="str">
        <f>IFERROR(INDEX('Inputs (2)'!$D$54:$AL$54,MATCH(G$7,'Inputs (2)'!$D$2:$AL$2,0)),"")</f>
        <v/>
      </c>
      <c r="H20" s="514" t="str">
        <f>IF(COUNT(D20:G20)=4,SUM(D20:G20),"")</f>
        <v/>
      </c>
      <c r="I20" s="513">
        <f>IFERROR(INDEX('Inputs (2)'!$D$54:$AL$54,MATCH(I$7,'Inputs (2)'!$D$2:$AL$2,0)),"")</f>
        <v>1936</v>
      </c>
      <c r="J20" s="513">
        <f>IFERROR(INDEX('Inputs (2)'!$D$54:$AL$54,MATCH(J$7,'Inputs (2)'!$D$2:$AL$2,0)),"")</f>
        <v>2281</v>
      </c>
      <c r="K20" s="513">
        <f>IFERROR(INDEX('Inputs (2)'!$D$54:$AL$54,MATCH(K$7,'Inputs (2)'!$D$2:$AL$2,0)),"")</f>
        <v>2360</v>
      </c>
      <c r="L20" s="513">
        <f>IFERROR(INDEX('Inputs (2)'!$D$54:$AL$54,MATCH(L$7,'Inputs (2)'!$D$2:$AL$2,0)),"")</f>
        <v>2605</v>
      </c>
      <c r="M20" s="514">
        <f>IF(COUNT(I20:L20)=4,SUM(I20:L20),"")</f>
        <v>9182</v>
      </c>
      <c r="N20" s="513">
        <f>IFERROR(INDEX('Inputs (2)'!$D$54:$AL$54,MATCH(N$7,'Inputs (2)'!$D$2:$AL$2,0)),"")</f>
        <v>1531</v>
      </c>
      <c r="O20" s="513">
        <f>IFERROR(INDEX('Inputs (2)'!$D$54:$AL$54,MATCH(O$7,'Inputs (2)'!$D$2:$AL$2,0)),"")</f>
        <v>2253</v>
      </c>
      <c r="P20" s="513">
        <f>IFERROR(INDEX('Inputs (2)'!$D$54:$AL$54,MATCH(P$7,'Inputs (2)'!$D$2:$AL$2,0)),"")</f>
        <v>1623</v>
      </c>
      <c r="Q20" s="513">
        <f>IFERROR(INDEX('Inputs (2)'!$D$54:$AL$54,MATCH(Q$7,'Inputs (2)'!$D$2:$AL$2,0)),"")</f>
        <v>2945</v>
      </c>
      <c r="R20" s="514">
        <f>IF(COUNT(N20:Q20)=4,SUM(N20:Q20),"")</f>
        <v>8352</v>
      </c>
      <c r="S20" s="513">
        <f>IFERROR(INDEX('Inputs (2)'!$D$54:$AL$54,MATCH(S$7,'Inputs (2)'!$D$2:$AL$2,0)),"")</f>
        <v>2062</v>
      </c>
      <c r="T20" s="513">
        <f>IFERROR(INDEX('Inputs (2)'!$D$54:$AL$54,MATCH(T$7,'Inputs (2)'!$D$2:$AL$2,0)),"")</f>
        <v>1533</v>
      </c>
      <c r="U20" s="513">
        <f>IFERROR(INDEX('Inputs (2)'!$D$54:$AL$54,MATCH(U$7,'Inputs (2)'!$D$2:$AL$2,0)),"")</f>
        <v>1617</v>
      </c>
      <c r="V20" s="513">
        <f>IFERROR(INDEX('Inputs (2)'!$D$54:$AL$54,MATCH(V$7,'Inputs (2)'!$D$2:$AL$2,0)),"")</f>
        <v>1263</v>
      </c>
      <c r="W20" s="514">
        <f>IF(COUNT(S20:V20)=4,SUM(S20:V20),"")</f>
        <v>6475</v>
      </c>
      <c r="X20" s="513">
        <f>IFERROR(INDEX('Inputs (2)'!$D$54:$AL$54,MATCH(X$7,'Inputs (2)'!$D$2:$AL$2,0)),"")</f>
        <v>1759</v>
      </c>
      <c r="Y20" s="513">
        <f>IFERROR(INDEX('Inputs (2)'!$D$54:$AL$54,MATCH(Y$7,'Inputs (2)'!$D$2:$AL$2,0)),"")</f>
        <v>1590</v>
      </c>
      <c r="Z20" s="513">
        <f>IFERROR(INDEX('Inputs (2)'!$D$54:$AL$54,MATCH(Z$7,'Inputs (2)'!$D$2:$AL$2,0)),"")</f>
        <v>1605</v>
      </c>
      <c r="AA20" s="513">
        <f>IFERROR(INDEX('Inputs (2)'!$D$54:$AL$54,MATCH(AA$7,'Inputs (2)'!$D$2:$AL$2,0)),"")</f>
        <v>1652</v>
      </c>
      <c r="AB20" s="514">
        <f>IF(COUNT(X20:AA20)=4,SUM(X20:AA20),"")</f>
        <v>6606</v>
      </c>
      <c r="AC20" s="513">
        <f>IFERROR(INDEX('Inputs (2)'!$D$54:$AL$54,MATCH(AC$7,'Inputs (2)'!$D$2:$AL$2,0)),"")</f>
        <v>1510</v>
      </c>
      <c r="AD20" s="513">
        <f>IFERROR(INDEX('Inputs (2)'!$D$54:$AL$54,MATCH(AD$7,'Inputs (2)'!$D$2:$AL$2,0)),"")</f>
        <v>1193</v>
      </c>
      <c r="AE20" s="513">
        <f>IFERROR(INDEX('Inputs (2)'!$D$54:$AL$54,MATCH(AE$7,'Inputs (2)'!$D$2:$AL$2,0)),"")</f>
        <v>844</v>
      </c>
      <c r="AF20" s="513">
        <f>IFERROR(INDEX('Inputs (2)'!$D$54:$AL$54,MATCH(AF$7,'Inputs (2)'!$D$2:$AL$2,0)),"")</f>
        <v>1559</v>
      </c>
      <c r="AG20" s="514">
        <f>IF(COUNT(AC20:AF20)=4,SUM(AC20:AF20),"")</f>
        <v>5106</v>
      </c>
      <c r="AH20" s="514">
        <f>IFERROR(INDEX('Inputs (2)'!$D$54:$AL$54,MATCH(AH$7,'Inputs (2)'!$D$2:$AL$2,0)),"")</f>
        <v>1400</v>
      </c>
      <c r="AI20" s="514">
        <f>IFERROR(INDEX('Inputs (2)'!$D$54:$AL$54,MATCH(AI$7,'Inputs (2)'!$D$2:$AL$2,0)),"")</f>
        <v>1800</v>
      </c>
    </row>
    <row r="21" s="254">
      <c r="C21" s="273" t="inlineStr">
        <is>
          <t xml:space="preserve">   Marketing</t>
        </is>
      </c>
      <c r="D21" s="513" t="str">
        <f>IFERROR(INDEX('Inputs (2)'!$D$55:$AL$55,MATCH(D$7,'Inputs (2)'!$D$2:$AL$2,0)),"")</f>
        <v/>
      </c>
      <c r="E21" s="513" t="str">
        <f>IFERROR(INDEX('Inputs (2)'!$D$55:$AL$55,MATCH(E$7,'Inputs (2)'!$D$2:$AL$2,0)),"")</f>
        <v/>
      </c>
      <c r="F21" s="513" t="str">
        <f>IFERROR(INDEX('Inputs (2)'!$D$55:$AL$55,MATCH(F$7,'Inputs (2)'!$D$2:$AL$2,0)),"")</f>
        <v/>
      </c>
      <c r="G21" s="513" t="str">
        <f>IFERROR(INDEX('Inputs (2)'!$D$55:$AL$55,MATCH(G$7,'Inputs (2)'!$D$2:$AL$2,0)),"")</f>
        <v/>
      </c>
      <c r="H21" s="514" t="str">
        <f>IF(COUNT(D21:G21)=4,SUM(D21:G21),"")</f>
        <v/>
      </c>
      <c r="I21" s="513">
        <f>IFERROR(INDEX('Inputs (2)'!$D$55:$AL$55,MATCH(I$7,'Inputs (2)'!$D$2:$AL$2,0)),"")</f>
        <v>20111</v>
      </c>
      <c r="J21" s="513">
        <f>IFERROR(INDEX('Inputs (2)'!$D$55:$AL$55,MATCH(J$7,'Inputs (2)'!$D$2:$AL$2,0)),"")</f>
        <v>24745</v>
      </c>
      <c r="K21" s="513">
        <f>IFERROR(INDEX('Inputs (2)'!$D$55:$AL$55,MATCH(K$7,'Inputs (2)'!$D$2:$AL$2,0)),"")</f>
        <v>27470</v>
      </c>
      <c r="L21" s="513">
        <f>IFERROR(INDEX('Inputs (2)'!$D$55:$AL$55,MATCH(L$7,'Inputs (2)'!$D$2:$AL$2,0)),"")</f>
        <v>29486</v>
      </c>
      <c r="M21" s="514">
        <f>IF(COUNT(I21:L21)=4,SUM(I21:L21),"")</f>
        <v>101812</v>
      </c>
      <c r="N21" s="513">
        <f>IFERROR(INDEX('Inputs (2)'!$D$55:$AL$55,MATCH(N$7,'Inputs (2)'!$D$2:$AL$2,0)),"")</f>
        <v>32406</v>
      </c>
      <c r="O21" s="513">
        <f>IFERROR(INDEX('Inputs (2)'!$D$55:$AL$55,MATCH(O$7,'Inputs (2)'!$D$2:$AL$2,0)),"")</f>
        <v>42065</v>
      </c>
      <c r="P21" s="513">
        <f>IFERROR(INDEX('Inputs (2)'!$D$55:$AL$55,MATCH(P$7,'Inputs (2)'!$D$2:$AL$2,0)),"")</f>
        <v>39598</v>
      </c>
      <c r="Q21" s="513">
        <f>IFERROR(INDEX('Inputs (2)'!$D$55:$AL$55,MATCH(Q$7,'Inputs (2)'!$D$2:$AL$2,0)),"")</f>
        <v>35371</v>
      </c>
      <c r="R21" s="514">
        <f>IF(COUNT(N21:Q21)=4,SUM(N21:Q21),"")</f>
        <v>149440</v>
      </c>
      <c r="S21" s="513">
        <f>IFERROR(INDEX('Inputs (2)'!$D$55:$AL$55,MATCH(S$7,'Inputs (2)'!$D$2:$AL$2,0)),"")</f>
        <v>32045</v>
      </c>
      <c r="T21" s="513">
        <f>IFERROR(INDEX('Inputs (2)'!$D$55:$AL$55,MATCH(T$7,'Inputs (2)'!$D$2:$AL$2,0)),"")</f>
        <v>31517</v>
      </c>
      <c r="U21" s="513">
        <f>IFERROR(INDEX('Inputs (2)'!$D$55:$AL$55,MATCH(U$7,'Inputs (2)'!$D$2:$AL$2,0)),"")</f>
        <v>35236</v>
      </c>
      <c r="V21" s="513">
        <f>IFERROR(INDEX('Inputs (2)'!$D$55:$AL$55,MATCH(V$7,'Inputs (2)'!$D$2:$AL$2,0)),"")</f>
        <v>31761</v>
      </c>
      <c r="W21" s="514">
        <f>IF(COUNT(S21:V21)=4,SUM(S21:V21),"")</f>
        <v>130559</v>
      </c>
      <c r="X21" s="513">
        <f>IFERROR(INDEX('Inputs (2)'!$D$55:$AL$55,MATCH(X$7,'Inputs (2)'!$D$2:$AL$2,0)),"")</f>
        <v>30041</v>
      </c>
      <c r="Y21" s="513">
        <f>IFERROR(INDEX('Inputs (2)'!$D$55:$AL$55,MATCH(Y$7,'Inputs (2)'!$D$2:$AL$2,0)),"")</f>
        <v>32005</v>
      </c>
      <c r="Z21" s="513">
        <f>IFERROR(INDEX('Inputs (2)'!$D$55:$AL$55,MATCH(Z$7,'Inputs (2)'!$D$2:$AL$2,0)),"")</f>
        <v>30519</v>
      </c>
      <c r="AA21" s="513">
        <f>IFERROR(INDEX('Inputs (2)'!$D$55:$AL$55,MATCH(AA$7,'Inputs (2)'!$D$2:$AL$2,0)),"")</f>
        <v>27524</v>
      </c>
      <c r="AB21" s="514">
        <f>IF(COUNT(X21:AA21)=4,SUM(X21:AA21),"")</f>
        <v>120089</v>
      </c>
      <c r="AC21" s="513">
        <f>IFERROR(INDEX('Inputs (2)'!$D$55:$AL$55,MATCH(AC$7,'Inputs (2)'!$D$2:$AL$2,0)),"")</f>
        <v>27083</v>
      </c>
      <c r="AD21" s="513">
        <f>IFERROR(INDEX('Inputs (2)'!$D$55:$AL$55,MATCH(AD$7,'Inputs (2)'!$D$2:$AL$2,0)),"")</f>
        <v>28241</v>
      </c>
      <c r="AE21" s="513">
        <f>IFERROR(INDEX('Inputs (2)'!$D$55:$AL$55,MATCH(AE$7,'Inputs (2)'!$D$2:$AL$2,0)),"")</f>
        <v>29648</v>
      </c>
      <c r="AF21" s="513">
        <f>IFERROR(INDEX('Inputs (2)'!$D$55:$AL$55,MATCH(AF$7,'Inputs (2)'!$D$2:$AL$2,0)),"")</f>
        <v>26881</v>
      </c>
      <c r="AG21" s="514">
        <f>IF(COUNT(AC21:AF21)=4,SUM(AC21:AF21),"")</f>
        <v>111853</v>
      </c>
      <c r="AH21" s="514">
        <f>IFERROR(INDEX('Inputs (2)'!$D$55:$AL$55,MATCH(AH$7,'Inputs (2)'!$D$2:$AL$2,0)),"")</f>
        <v>30695</v>
      </c>
      <c r="AI21" s="514">
        <f>IFERROR(INDEX('Inputs (2)'!$D$55:$AL$55,MATCH(AI$7,'Inputs (2)'!$D$2:$AL$2,0)),"")</f>
        <v>38015</v>
      </c>
    </row>
    <row r="22" s="254">
      <c r="C22" s="273" t="inlineStr">
        <is>
          <t xml:space="preserve">   Chemicals &amp; Products</t>
        </is>
      </c>
      <c r="D22" s="513" t="str">
        <f>IFERROR(INDEX('Inputs (2)'!$D$56:$AL$56,MATCH(D$7,'Inputs (2)'!$D$2:$AL$2,0)),"")</f>
        <v/>
      </c>
      <c r="E22" s="513" t="str">
        <f>IFERROR(INDEX('Inputs (2)'!$D$56:$AL$56,MATCH(E$7,'Inputs (2)'!$D$2:$AL$2,0)),"")</f>
        <v/>
      </c>
      <c r="F22" s="513" t="str">
        <f>IFERROR(INDEX('Inputs (2)'!$D$56:$AL$56,MATCH(F$7,'Inputs (2)'!$D$2:$AL$2,0)),"")</f>
        <v/>
      </c>
      <c r="G22" s="513" t="str">
        <f>IFERROR(INDEX('Inputs (2)'!$D$56:$AL$56,MATCH(G$7,'Inputs (2)'!$D$2:$AL$2,0)),"")</f>
        <v/>
      </c>
      <c r="H22" s="514" t="str">
        <f>IF(COUNT(D22:G22)=4,SUM(D22:G22),"")</f>
        <v/>
      </c>
      <c r="I22" s="513">
        <f>IFERROR(INDEX('Inputs (2)'!$D$56:$AL$56,MATCH(I$7,'Inputs (2)'!$D$2:$AL$2,0)),"")</f>
        <v>22356</v>
      </c>
      <c r="J22" s="513">
        <f>IFERROR(INDEX('Inputs (2)'!$D$56:$AL$56,MATCH(J$7,'Inputs (2)'!$D$2:$AL$2,0)),"")</f>
        <v>24282</v>
      </c>
      <c r="K22" s="513">
        <f>IFERROR(INDEX('Inputs (2)'!$D$56:$AL$56,MATCH(K$7,'Inputs (2)'!$D$2:$AL$2,0)),"")</f>
        <v>23213</v>
      </c>
      <c r="L22" s="513">
        <f>IFERROR(INDEX('Inputs (2)'!$D$56:$AL$56,MATCH(L$7,'Inputs (2)'!$D$2:$AL$2,0)),"")</f>
        <v>28279</v>
      </c>
      <c r="M22" s="514">
        <f>IF(COUNT(I22:L22)=4,SUM(I22:L22),"")</f>
        <v>98130</v>
      </c>
      <c r="N22" s="513">
        <f>IFERROR(INDEX('Inputs (2)'!$D$56:$AL$56,MATCH(N$7,'Inputs (2)'!$D$2:$AL$2,0)),"")</f>
        <v>27150</v>
      </c>
      <c r="O22" s="513">
        <f>IFERROR(INDEX('Inputs (2)'!$D$56:$AL$56,MATCH(O$7,'Inputs (2)'!$D$2:$AL$2,0)),"")</f>
        <v>31850</v>
      </c>
      <c r="P22" s="513">
        <f>IFERROR(INDEX('Inputs (2)'!$D$56:$AL$56,MATCH(P$7,'Inputs (2)'!$D$2:$AL$2,0)),"")</f>
        <v>30016</v>
      </c>
      <c r="Q22" s="513">
        <f>IFERROR(INDEX('Inputs (2)'!$D$56:$AL$56,MATCH(Q$7,'Inputs (2)'!$D$2:$AL$2,0)),"")</f>
        <v>26525</v>
      </c>
      <c r="R22" s="514">
        <f>IF(COUNT(N22:Q22)=4,SUM(N22:Q22),"")</f>
        <v>115541</v>
      </c>
      <c r="S22" s="513">
        <f>IFERROR(INDEX('Inputs (2)'!$D$56:$AL$56,MATCH(S$7,'Inputs (2)'!$D$2:$AL$2,0)),"")</f>
        <v>26290</v>
      </c>
      <c r="T22" s="513">
        <f>IFERROR(INDEX('Inputs (2)'!$D$56:$AL$56,MATCH(T$7,'Inputs (2)'!$D$2:$AL$2,0)),"")</f>
        <v>23712</v>
      </c>
      <c r="U22" s="513">
        <f>IFERROR(INDEX('Inputs (2)'!$D$56:$AL$56,MATCH(U$7,'Inputs (2)'!$D$2:$AL$2,0)),"")</f>
        <v>22119</v>
      </c>
      <c r="V22" s="513">
        <f>IFERROR(INDEX('Inputs (2)'!$D$56:$AL$56,MATCH(V$7,'Inputs (2)'!$D$2:$AL$2,0)),"")</f>
        <v>24957</v>
      </c>
      <c r="W22" s="514">
        <f>IF(COUNT(S22:V22)=4,SUM(S22:V22),"")</f>
        <v>97078</v>
      </c>
      <c r="X22" s="513">
        <f>IFERROR(INDEX('Inputs (2)'!$D$56:$AL$56,MATCH(X$7,'Inputs (2)'!$D$2:$AL$2,0)),"")</f>
        <v>23735</v>
      </c>
      <c r="Y22" s="513">
        <f>IFERROR(INDEX('Inputs (2)'!$D$56:$AL$56,MATCH(Y$7,'Inputs (2)'!$D$2:$AL$2,0)),"")</f>
        <v>24583</v>
      </c>
      <c r="Z22" s="513">
        <f>IFERROR(INDEX('Inputs (2)'!$D$56:$AL$56,MATCH(Z$7,'Inputs (2)'!$D$2:$AL$2,0)),"")</f>
        <v>22608</v>
      </c>
      <c r="AA22" s="513">
        <f>IFERROR(INDEX('Inputs (2)'!$D$56:$AL$56,MATCH(AA$7,'Inputs (2)'!$D$2:$AL$2,0)),"")</f>
        <v>19992</v>
      </c>
      <c r="AB22" s="514">
        <f>IF(COUNT(X22:AA22)=4,SUM(X22:AA22),"")</f>
        <v>90918</v>
      </c>
      <c r="AC22" s="513">
        <f>IFERROR(INDEX('Inputs (2)'!$D$56:$AL$56,MATCH(AC$7,'Inputs (2)'!$D$2:$AL$2,0)),"")</f>
        <v>21610</v>
      </c>
      <c r="AD22" s="513">
        <f>IFERROR(INDEX('Inputs (2)'!$D$56:$AL$56,MATCH(AD$7,'Inputs (2)'!$D$2:$AL$2,0)),"")</f>
        <v>18388</v>
      </c>
      <c r="AE22" s="513">
        <f>IFERROR(INDEX('Inputs (2)'!$D$56:$AL$56,MATCH(AE$7,'Inputs (2)'!$D$2:$AL$2,0)),"")</f>
        <v>19418</v>
      </c>
      <c r="AF22" s="513">
        <f>IFERROR(INDEX('Inputs (2)'!$D$56:$AL$56,MATCH(AF$7,'Inputs (2)'!$D$2:$AL$2,0)),"")</f>
        <v>17655</v>
      </c>
      <c r="AG22" s="514">
        <f>IF(COUNT(AC22:AF22)=4,SUM(AC22:AF22),"")</f>
        <v>77071</v>
      </c>
      <c r="AH22" s="514">
        <f>IFERROR(INDEX('Inputs (2)'!$D$56:$AL$56,MATCH(AH$7,'Inputs (2)'!$D$2:$AL$2,0)),"")</f>
        <v>19221</v>
      </c>
      <c r="AI22" s="514">
        <f>IFERROR(INDEX('Inputs (2)'!$D$56:$AL$56,MATCH(AI$7,'Inputs (2)'!$D$2:$AL$2,0)),"")</f>
        <v>34235</v>
      </c>
    </row>
    <row r="23" s="254">
      <c r="C23" s="273" t="inlineStr">
        <is>
          <t xml:space="preserve">   Renewables and Energy Solutions</t>
        </is>
      </c>
      <c r="D23" s="513" t="str">
        <f>IFERROR(INDEX('Inputs (2)'!$D$57:$AL$57,MATCH(D$7,'Inputs (2)'!$D$2:$AL$2,0)),"")</f>
        <v/>
      </c>
      <c r="E23" s="513" t="str">
        <f>IFERROR(INDEX('Inputs (2)'!$D$57:$AL$57,MATCH(E$7,'Inputs (2)'!$D$2:$AL$2,0)),"")</f>
        <v/>
      </c>
      <c r="F23" s="513" t="str">
        <f>IFERROR(INDEX('Inputs (2)'!$D$57:$AL$57,MATCH(F$7,'Inputs (2)'!$D$2:$AL$2,0)),"")</f>
        <v/>
      </c>
      <c r="G23" s="513" t="str">
        <f>IFERROR(INDEX('Inputs (2)'!$D$57:$AL$57,MATCH(G$7,'Inputs (2)'!$D$2:$AL$2,0)),"")</f>
        <v/>
      </c>
      <c r="H23" s="514" t="str">
        <f>IF(COUNT(D23:G23)=4,SUM(D23:G23),"")</f>
        <v/>
      </c>
      <c r="I23" s="513">
        <f>IFERROR(INDEX('Inputs (2)'!$D$57:$AL$57,MATCH(I$7,'Inputs (2)'!$D$2:$AL$2,0)),"")</f>
        <v>5227</v>
      </c>
      <c r="J23" s="513">
        <f>IFERROR(INDEX('Inputs (2)'!$D$57:$AL$57,MATCH(J$7,'Inputs (2)'!$D$2:$AL$2,0)),"")</f>
        <v>3658</v>
      </c>
      <c r="K23" s="513">
        <f>IFERROR(INDEX('Inputs (2)'!$D$57:$AL$57,MATCH(K$7,'Inputs (2)'!$D$2:$AL$2,0)),"")</f>
        <v>1330</v>
      </c>
      <c r="L23" s="513">
        <f>IFERROR(INDEX('Inputs (2)'!$D$57:$AL$57,MATCH(L$7,'Inputs (2)'!$D$2:$AL$2,0)),"")</f>
        <v>12200</v>
      </c>
      <c r="M23" s="514">
        <f>IF(COUNT(I23:L23)=4,SUM(I23:L23),"")</f>
        <v>22415</v>
      </c>
      <c r="N23" s="513">
        <f>IFERROR(INDEX('Inputs (2)'!$D$57:$AL$57,MATCH(N$7,'Inputs (2)'!$D$2:$AL$2,0)),"")</f>
        <v>9026</v>
      </c>
      <c r="O23" s="513">
        <f>IFERROR(INDEX('Inputs (2)'!$D$57:$AL$57,MATCH(O$7,'Inputs (2)'!$D$2:$AL$2,0)),"")</f>
        <v>11477</v>
      </c>
      <c r="P23" s="513">
        <f>IFERROR(INDEX('Inputs (2)'!$D$57:$AL$57,MATCH(P$7,'Inputs (2)'!$D$2:$AL$2,0)),"")</f>
        <v>10031</v>
      </c>
      <c r="Q23" s="513">
        <f>IFERROR(INDEX('Inputs (2)'!$D$57:$AL$57,MATCH(Q$7,'Inputs (2)'!$D$2:$AL$2,0)),"")</f>
        <v>22656</v>
      </c>
      <c r="R23" s="514">
        <f>IF(COUNT(N23:Q23)=4,SUM(N23:Q23),"")</f>
        <v>53190</v>
      </c>
      <c r="S23" s="513">
        <f>IFERROR(INDEX('Inputs (2)'!$D$57:$AL$57,MATCH(S$7,'Inputs (2)'!$D$2:$AL$2,0)),"")</f>
        <v>15619</v>
      </c>
      <c r="T23" s="513">
        <f>IFERROR(INDEX('Inputs (2)'!$D$57:$AL$57,MATCH(T$7,'Inputs (2)'!$D$2:$AL$2,0)),"")</f>
        <v>9866</v>
      </c>
      <c r="U23" s="513">
        <f>IFERROR(INDEX('Inputs (2)'!$D$57:$AL$57,MATCH(U$7,'Inputs (2)'!$D$2:$AL$2,0)),"")</f>
        <v>9032</v>
      </c>
      <c r="V23" s="513">
        <f>IFERROR(INDEX('Inputs (2)'!$D$57:$AL$57,MATCH(V$7,'Inputs (2)'!$D$2:$AL$2,0)),"")</f>
        <v>10302</v>
      </c>
      <c r="W23" s="514">
        <f>IF(COUNT(S23:V23)=4,SUM(S23:V23),"")</f>
        <v>44819</v>
      </c>
      <c r="X23" s="513">
        <f>IFERROR(INDEX('Inputs (2)'!$D$57:$AL$57,MATCH(X$7,'Inputs (2)'!$D$2:$AL$2,0)),"")</f>
        <v>7737</v>
      </c>
      <c r="Y23" s="513">
        <f>IFERROR(INDEX('Inputs (2)'!$D$57:$AL$57,MATCH(Y$7,'Inputs (2)'!$D$2:$AL$2,0)),"")</f>
        <v>7222</v>
      </c>
      <c r="Z23" s="513">
        <f>IFERROR(INDEX('Inputs (2)'!$D$57:$AL$57,MATCH(Z$7,'Inputs (2)'!$D$2:$AL$2,0)),"")</f>
        <v>6599</v>
      </c>
      <c r="AA23" s="513">
        <f>IFERROR(INDEX('Inputs (2)'!$D$57:$AL$57,MATCH(AA$7,'Inputs (2)'!$D$2:$AL$2,0)),"")</f>
        <v>7808</v>
      </c>
      <c r="AB23" s="514">
        <f>IF(COUNT(X23:AA23)=4,SUM(X23:AA23),"")</f>
        <v>29366</v>
      </c>
      <c r="AC23" s="513">
        <f>IFERROR(INDEX('Inputs (2)'!$D$57:$AL$57,MATCH(AC$7,'Inputs (2)'!$D$2:$AL$2,0)),"")</f>
        <v>9417</v>
      </c>
      <c r="AD23" s="513">
        <f>IFERROR(INDEX('Inputs (2)'!$D$57:$AL$57,MATCH(AD$7,'Inputs (2)'!$D$2:$AL$2,0)),"")</f>
        <v>7996</v>
      </c>
      <c r="AE23" s="513">
        <f>IFERROR(INDEX('Inputs (2)'!$D$57:$AL$57,MATCH(AE$7,'Inputs (2)'!$D$2:$AL$2,0)),"")</f>
        <v>8500</v>
      </c>
      <c r="AF23" s="513">
        <f>IFERROR(INDEX('Inputs (2)'!$D$57:$AL$57,MATCH(AF$7,'Inputs (2)'!$D$2:$AL$2,0)),"")</f>
        <v>8446</v>
      </c>
      <c r="AG23" s="514">
        <f>IF(COUNT(AC23:AF23)=4,SUM(AC23:AF23),"")</f>
        <v>34359</v>
      </c>
      <c r="AH23" s="514">
        <f>IFERROR(INDEX('Inputs (2)'!$D$57:$AL$57,MATCH(AH$7,'Inputs (2)'!$D$2:$AL$2,0)),"")</f>
        <v>10622</v>
      </c>
      <c r="AI23" s="514">
        <f>IFERROR(INDEX('Inputs (2)'!$D$57:$AL$57,MATCH(AI$7,'Inputs (2)'!$D$2:$AL$2,0)),"")</f>
        <v>9338</v>
      </c>
    </row>
    <row r="24" s="254">
      <c r="C24" s="515" t="inlineStr">
        <is>
          <t>Receita de terceiros (soma dos segmentos)</t>
        </is>
      </c>
      <c r="D24" s="513" t="str">
        <f>IF(COUNT(D19,D20,D21,D22,D23)=0,"",N(D19)+N(D20)+N(D21)+N(D22)+N(D23))</f>
        <v/>
      </c>
      <c r="E24" s="513" t="str">
        <f>IF(COUNT(E19,E20,E21,E22,E23)=0,"",N(E19)+N(E20)+N(E21)+N(E22)+N(E23))</f>
        <v/>
      </c>
      <c r="F24" s="513" t="str">
        <f>IF(COUNT(F19,F20,F21,F22,F23)=0,"",N(F19)+N(F20)+N(F21)+N(F22)+N(F23))</f>
        <v/>
      </c>
      <c r="G24" s="513" t="str">
        <f>IF(COUNT(G19,G20,G21,G22,G23)=0,"",N(G19)+N(G20)+N(G21)+N(G22)+N(G23))</f>
        <v/>
      </c>
      <c r="H24" s="514" t="str">
        <f>IF(COUNT(H19,H20,H21,H22,H23)=0,"",N(H19)+N(H20)+N(H21)+N(H22)+N(H23))</f>
        <v/>
      </c>
      <c r="I24" s="513">
        <f>IF(COUNT(I19,I20,I21,I22,I23)=0,"",N(I19)+N(I20)+N(I21)+N(I22)+N(I23))</f>
        <v>55652</v>
      </c>
      <c r="J24" s="513">
        <f>IF(COUNT(J19,J20,J21,J22,J23)=0,"",N(J19)+N(J20)+N(J21)+N(J22)+N(J23))</f>
        <v>60503</v>
      </c>
      <c r="K24" s="513">
        <f>IF(COUNT(K19,K20,K21,K22,K23)=0,"",N(K19)+N(K20)+N(K21)+N(K22)+N(K23))</f>
        <v>60034</v>
      </c>
      <c r="L24" s="513">
        <f>IF(COUNT(L19,L20,L21,L22,L23)=0,"",N(L19)+N(L20)+N(L21)+N(L22)+N(L23))</f>
        <v>85272</v>
      </c>
      <c r="M24" s="514">
        <f>IF(COUNT(M19,M20,M21,M22,M23)=0,"",N(M19)+N(M20)+N(M21)+N(M22)+N(M23))</f>
        <v>261461</v>
      </c>
      <c r="N24" s="513">
        <f>IF(COUNT(N19,N20,N21,N22,N23)=0,"",N(N19)+N(N20)+N(N21)+N(N22)+N(N23))</f>
        <v>84187</v>
      </c>
      <c r="O24" s="513">
        <f>IF(COUNT(O19,O20,O21,O22,O23)=0,"",N(O19)+N(O20)+N(O21)+N(O22)+N(O23))</f>
        <v>100048</v>
      </c>
      <c r="P24" s="513">
        <f>IF(COUNT(P19,P20,P21,P22,P23)=0,"",N(P19)+N(P20)+N(P21)+N(P22)+N(P23))</f>
        <v>95739</v>
      </c>
      <c r="Q24" s="513">
        <f>IF(COUNT(Q19,Q20,Q21,Q22,Q23)=0,"",N(Q19)+N(Q20)+N(Q21)+N(Q22)+N(Q23))</f>
        <v>101299</v>
      </c>
      <c r="R24" s="514">
        <f>IF(COUNT(R19,R20,R21,R22,R23)=0,"",N(R19)+N(R20)+N(R21)+N(R22)+N(R23))</f>
        <v>381273</v>
      </c>
      <c r="S24" s="513">
        <f>IF(COUNT(S19,S20,S21,S22,S23)=0,"",N(S19)+N(S20)+N(S21)+N(S22)+N(S23))</f>
        <v>86948</v>
      </c>
      <c r="T24" s="513">
        <f>IF(COUNT(T19,T20,T21,T22,T23)=0,"",N(T19)+N(T20)+N(T21)+N(T22)+N(T23))</f>
        <v>74566</v>
      </c>
      <c r="U24" s="513">
        <f>IF(COUNT(U19,U20,U21,U22,U23)=0,"",N(U19)+N(U20)+N(U21)+N(U22)+N(U23))</f>
        <v>76342</v>
      </c>
      <c r="V24" s="513">
        <f>IF(COUNT(V19,V20,V21,V22,V23)=0,"",N(V19)+N(V20)+N(V21)+N(V22)+N(V23))</f>
        <v>78720</v>
      </c>
      <c r="W24" s="514">
        <f>IF(COUNT(W19,W20,W21,W22,W23)=0,"",N(W19)+N(W20)+N(W21)+N(W22)+N(W23))</f>
        <v>316576</v>
      </c>
      <c r="X24" s="513">
        <f>IF(COUNT(X19,X20,X21,X22,X23)=0,"",N(X19)+N(X20)+N(X21)+N(X22)+N(X23))</f>
        <v>72467</v>
      </c>
      <c r="Y24" s="513">
        <f>IF(COUNT(Y19,Y20,Y21,Y22,Y23)=0,"",N(Y19)+N(Y20)+N(Y21)+N(Y22)+N(Y23))</f>
        <v>74452</v>
      </c>
      <c r="Z24" s="513">
        <f>IF(COUNT(Z19,Z20,Z21,Z22,Z23)=0,"",N(Z19)+N(Z20)+N(Z21)+N(Z22)+N(Z23))</f>
        <v>71079</v>
      </c>
      <c r="AA24" s="513">
        <f>IF(COUNT(AA19,AA20,AA21,AA22,AA23)=0,"",N(AA19)+N(AA20)+N(AA21)+N(AA22)+N(AA23))</f>
        <v>66270</v>
      </c>
      <c r="AB24" s="514">
        <f>IF(COUNT(AB19,AB20,AB21,AB22,AB23)=0,"",N(AB19)+N(AB20)+N(AB21)+N(AB22)+N(AB23))</f>
        <v>284268</v>
      </c>
      <c r="AC24" s="513">
        <f>IF(COUNT(AC19,AC20,AC21,AC22,AC23)=0,"",N(AC19)+N(AC20)+N(AC21)+N(AC22)+N(AC23))</f>
        <v>69222</v>
      </c>
      <c r="AD24" s="513">
        <f>IF(COUNT(AD19,AD20,AD21,AD22,AD23)=0,"",N(AD19)+N(AD20)+N(AD21)+N(AD22)+N(AD23))</f>
        <v>65394</v>
      </c>
      <c r="AE24" s="513">
        <f>IF(COUNT(AE19,AE20,AE21,AE22,AE23)=0,"",N(AE19)+N(AE20)+N(AE21)+N(AE22)+N(AE23))</f>
        <v>68146</v>
      </c>
      <c r="AF24" s="513">
        <f>IF(COUNT(AF19,AF20,AF21,AF22,AF23)=0,"",N(AF19)+N(AF20)+N(AF21)+N(AF22)+N(AF23))</f>
        <v>64083</v>
      </c>
      <c r="AG24" s="514">
        <f>IF(COUNT(AG19,AG20,AG21,AG22,AG23)=0,"",N(AG19)+N(AG20)+N(AG21)+N(AG22)+N(AG23))</f>
        <v>266845</v>
      </c>
      <c r="AH24" s="514">
        <f>IF(COUNT(AH19,AH20,AH21,AH22,AH23)=0,"",N(AH19)+N(AH20)+N(AH21)+N(AH22)+N(AH23))</f>
        <v>69686</v>
      </c>
      <c r="AI24" s="514">
        <f>IF(COUNT(AI19,AI20,AI21,AI22,AI23)=0,"",N(AI19)+N(AI20)+N(AI21)+N(AI22)+N(AI23))</f>
        <v>94666</v>
      </c>
    </row>
    <row r="25" s="254">
      <c r="C25" s="273" t="inlineStr">
        <is>
          <t>Check Receita (linha 15 − soma dos segmentos de terceiros)</t>
        </is>
      </c>
      <c r="D25" s="513" t="str">
        <f>IF(COUNT(D24)=0,"",ROUND(D15-D24,1))</f>
        <v/>
      </c>
      <c r="E25" s="513" t="str">
        <f>IF(COUNT(E24)=0,"",ROUND(E15-E24,1))</f>
        <v/>
      </c>
      <c r="F25" s="513" t="str">
        <f>IF(COUNT(F24)=0,"",ROUND(F15-F24,1))</f>
        <v/>
      </c>
      <c r="G25" s="513" t="str">
        <f>IF(COUNT(G24)=0,"",ROUND(G15-G24,1))</f>
        <v/>
      </c>
      <c r="H25" s="514" t="str">
        <f>IF(COUNT(H24)=0,"",ROUND(H15-H24,1))</f>
        <v/>
      </c>
      <c r="I25" s="513">
        <f>IF(COUNT(I24)=0,"",ROUND(I15-I24,1))</f>
        <v>13</v>
      </c>
      <c r="J25" s="513">
        <f>IF(COUNT(J24)=0,"",ROUND(J15-J24,1))</f>
        <v>12</v>
      </c>
      <c r="K25" s="513">
        <f>IF(COUNT(K24)=0,"",ROUND(K15-K24,1))</f>
        <v>10</v>
      </c>
      <c r="L25" s="513">
        <f>IF(COUNT(L24)=0,"",ROUND(L15-L24,1))</f>
        <v>8</v>
      </c>
      <c r="M25" s="514">
        <f>IF(COUNT(M24)=0,"",ROUND(M15-M24,1))</f>
        <v>43</v>
      </c>
      <c r="N25" s="513">
        <f>IF(COUNT(N24)=0,"",ROUND(N15-N24,1))</f>
        <v>17</v>
      </c>
      <c r="O25" s="513">
        <f>IF(COUNT(O24)=0,"",ROUND(O15-O24,1))</f>
        <v>11</v>
      </c>
      <c r="P25" s="513">
        <f>IF(COUNT(P24)=0,"",ROUND(P15-P24,1))</f>
        <v>10</v>
      </c>
      <c r="Q25" s="513">
        <f>IF(COUNT(Q24)=0,"",ROUND(Q15-Q24,1))</f>
        <v>4</v>
      </c>
      <c r="R25" s="514">
        <f>IF(COUNT(R24)=0,"",ROUND(R15-R24,1))</f>
        <v>42</v>
      </c>
      <c r="S25" s="513">
        <f>IF(COUNT(S24)=0,"",ROUND(S15-S24,1))</f>
        <v>11</v>
      </c>
      <c r="T25" s="513">
        <f>IF(COUNT(T24)=0,"",ROUND(T15-T24,1))</f>
        <v>12</v>
      </c>
      <c r="U25" s="513">
        <f>IF(COUNT(U24)=0,"",ROUND(U15-U24,1))</f>
        <v>8</v>
      </c>
      <c r="V25" s="513">
        <f>IF(COUNT(V24)=0,"",ROUND(V15-V24,1))</f>
        <v>12</v>
      </c>
      <c r="W25" s="514">
        <f>IF(COUNT(W24)=0,"",ROUND(W15-W24,1))</f>
        <v>43</v>
      </c>
      <c r="X25" s="513">
        <f>IF(COUNT(X24)=0,"",ROUND(X15-X24,1))</f>
        <v>11</v>
      </c>
      <c r="Y25" s="513">
        <f>IF(COUNT(Y24)=0,"",ROUND(Y15-Y24,1))</f>
        <v>11</v>
      </c>
      <c r="Z25" s="513">
        <f>IF(COUNT(Z24)=0,"",ROUND(Z15-Z24,1))</f>
        <v>10</v>
      </c>
      <c r="AA25" s="513">
        <f>IF(COUNT(AA24)=0,"",ROUND(AA15-AA24,1))</f>
        <v>11</v>
      </c>
      <c r="AB25" s="514">
        <f>IF(COUNT(AB24)=0,"",ROUND(AB15-AB24,1))</f>
        <v>43</v>
      </c>
      <c r="AC25" s="513">
        <f>IF(COUNT(AC24)=0,"",ROUND(AC15-AC24,1))</f>
        <v>12</v>
      </c>
      <c r="AD25" s="513">
        <f>IF(COUNT(AD24)=0,"",ROUND(AD15-AD24,1))</f>
        <v>12</v>
      </c>
      <c r="AE25" s="513">
        <f>IF(COUNT(AE24)=0,"",ROUND(AE15-AE24,1))</f>
        <v>7</v>
      </c>
      <c r="AF25" s="513">
        <f>IF(COUNT(AF24)=0,"",ROUND(AF15-AF24,1))</f>
        <v>10</v>
      </c>
      <c r="AG25" s="514">
        <f>IF(COUNT(AG24)=0,"",ROUND(AG15-AG24,1))</f>
        <v>41</v>
      </c>
      <c r="AH25" s="514">
        <f>IF(COUNT(AH24)=0,"",ROUND(AH15-AH24,1))</f>
        <v>5</v>
      </c>
      <c r="AI25" s="514">
        <f>IF(COUNT(AI24)=0,"",ROUND(AI15-AI24,1))</f>
        <v>-2</v>
      </c>
    </row>
    <row r="26" s="254">
      <c r="C26" s="273" t="inlineStr">
        <is>
          <t xml:space="preserve">   % YoY Integrated Gas</t>
        </is>
      </c>
      <c r="D26" s="516" t="str">
        <f>""</f>
        <v/>
      </c>
      <c r="E26" s="516" t="str">
        <f>""</f>
        <v/>
      </c>
      <c r="F26" s="516" t="str">
        <f>""</f>
        <v/>
      </c>
      <c r="G26" s="516" t="str">
        <f>""</f>
        <v/>
      </c>
      <c r="H26" s="517" t="str">
        <f>""</f>
        <v/>
      </c>
      <c r="I26" s="516" t="str">
        <f>IFERROR(I19/D19-1,"")</f>
        <v/>
      </c>
      <c r="J26" s="516" t="str">
        <f>IFERROR(J19/E19-1,"")</f>
        <v/>
      </c>
      <c r="K26" s="516" t="str">
        <f>IFERROR(K19/F19-1,"")</f>
        <v/>
      </c>
      <c r="L26" s="516" t="str">
        <f>IFERROR(L19/G19-1,"")</f>
        <v/>
      </c>
      <c r="M26" s="517" t="str">
        <f>IFERROR(M19/H19-1,"")</f>
        <v/>
      </c>
      <c r="N26" s="516">
        <f>IFERROR(N19/I19-1,"")</f>
        <v>1.33709730986383</v>
      </c>
      <c r="O26" s="516">
        <f>IFERROR(O19/J19-1,"")</f>
        <v>1.24002167238577</v>
      </c>
      <c r="P26" s="516">
        <f>IFERROR(P19/K19-1,"")</f>
        <v>1.55626214449744</v>
      </c>
      <c r="Q26" s="516">
        <f>IFERROR(Q19/L19-1,"")</f>
        <v>0.086600535348764</v>
      </c>
      <c r="R26" s="517">
        <f>IFERROR(R19/M19-1,"")</f>
        <v>0.829757369159816</v>
      </c>
      <c r="S26" s="516">
        <f>IFERROR(S19/N19-1,"")</f>
        <v>-0.223248543413386</v>
      </c>
      <c r="T26" s="516">
        <f>IFERROR(T19/O19-1,"")</f>
        <v>-0.359993549947593</v>
      </c>
      <c r="U26" s="516">
        <f>IFERROR(U19/P19-1,"")</f>
        <v>-0.423813143528436</v>
      </c>
      <c r="V26" s="516">
        <f>IFERROR(V19/Q19-1,"")</f>
        <v>-0.243805245616577</v>
      </c>
      <c r="W26" s="517">
        <f>IFERROR(W19/R19-1,"")</f>
        <v>-0.312420091324201</v>
      </c>
      <c r="X26" s="516">
        <f>IFERROR(X19/S19-1,"")</f>
        <v>-0.158891328210757</v>
      </c>
      <c r="Y26" s="516">
        <f>IFERROR(Y19/T19-1,"")</f>
        <v>0.140337616528093</v>
      </c>
      <c r="Z26" s="516">
        <f>IFERROR(Z19/U19-1,"")</f>
        <v>0.169105301031422</v>
      </c>
      <c r="AA26" s="516">
        <f>IFERROR(AA19/V19-1,"")</f>
        <v>-0.109514228226502</v>
      </c>
      <c r="AB26" s="517">
        <f>IFERROR(AB19/W19-1,"")</f>
        <v>-0.00945676716695443</v>
      </c>
      <c r="AC26" s="516">
        <f>IFERROR(AC19/X19-1,"")</f>
        <v>0.0442631865144101</v>
      </c>
      <c r="AD26" s="516">
        <f>IFERROR(AD19/Y19-1,"")</f>
        <v>0.0578877596111356</v>
      </c>
      <c r="AE26" s="516">
        <f>IFERROR(AE19/Z19-1,"")</f>
        <v>-0.0012310217480509</v>
      </c>
      <c r="AF26" s="516">
        <f>IFERROR(AF19/AA19-1,"")</f>
        <v>0.0266838820744566</v>
      </c>
      <c r="AG26" s="517">
        <f>IFERROR(AG19/AB19-1,"")</f>
        <v>0.0312960926814878</v>
      </c>
      <c r="AH26" s="517">
        <f>IFERROR(AH19/AC19-1,"")</f>
        <v>-0.193084774005416</v>
      </c>
      <c r="AI26" s="517">
        <f>IFERROR(AI19/AD19-1,"")</f>
        <v>0.177736006683375</v>
      </c>
    </row>
    <row r="27" s="254">
      <c r="C27" s="273" t="inlineStr">
        <is>
          <t xml:space="preserve">   % YoY Upstream</t>
        </is>
      </c>
      <c r="D27" s="516" t="str">
        <f>""</f>
        <v/>
      </c>
      <c r="E27" s="516" t="str">
        <f>""</f>
        <v/>
      </c>
      <c r="F27" s="516" t="str">
        <f>""</f>
        <v/>
      </c>
      <c r="G27" s="516" t="str">
        <f>""</f>
        <v/>
      </c>
      <c r="H27" s="517" t="str">
        <f>""</f>
        <v/>
      </c>
      <c r="I27" s="516" t="str">
        <f>IFERROR(I20/D20-1,"")</f>
        <v/>
      </c>
      <c r="J27" s="516" t="str">
        <f>IFERROR(J20/E20-1,"")</f>
        <v/>
      </c>
      <c r="K27" s="516" t="str">
        <f>IFERROR(K20/F20-1,"")</f>
        <v/>
      </c>
      <c r="L27" s="516" t="str">
        <f>IFERROR(L20/G20-1,"")</f>
        <v/>
      </c>
      <c r="M27" s="517" t="str">
        <f>IFERROR(M20/H20-1,"")</f>
        <v/>
      </c>
      <c r="N27" s="516">
        <f>IFERROR(N20/I20-1,"")</f>
        <v>-0.209194214876033</v>
      </c>
      <c r="O27" s="516">
        <f>IFERROR(O20/J20-1,"")</f>
        <v>-0.0122753178430512</v>
      </c>
      <c r="P27" s="516">
        <f>IFERROR(P20/K20-1,"")</f>
        <v>-0.31228813559322</v>
      </c>
      <c r="Q27" s="516">
        <f>IFERROR(Q20/L20-1,"")</f>
        <v>0.130518234165067</v>
      </c>
      <c r="R27" s="517">
        <f>IFERROR(R20/M20-1,"")</f>
        <v>-0.0903942496188195</v>
      </c>
      <c r="S27" s="516">
        <f>IFERROR(S20/N20-1,"")</f>
        <v>0.346832135858916</v>
      </c>
      <c r="T27" s="516">
        <f>IFERROR(T20/O20-1,"")</f>
        <v>-0.319573901464714</v>
      </c>
      <c r="U27" s="516">
        <f>IFERROR(U20/P20-1,"")</f>
        <v>-0.00369685767097971</v>
      </c>
      <c r="V27" s="516">
        <f>IFERROR(V20/Q20-1,"")</f>
        <v>-0.571137521222411</v>
      </c>
      <c r="W27" s="517">
        <f>IFERROR(W20/R20-1,"")</f>
        <v>-0.224736590038314</v>
      </c>
      <c r="X27" s="516">
        <f>IFERROR(X20/S20-1,"")</f>
        <v>-0.146944713870029</v>
      </c>
      <c r="Y27" s="516">
        <f>IFERROR(Y20/T20-1,"")</f>
        <v>0.0371819960861057</v>
      </c>
      <c r="Z27" s="516">
        <f>IFERROR(Z20/U20-1,"")</f>
        <v>-0.00742115027829315</v>
      </c>
      <c r="AA27" s="516">
        <f>IFERROR(AA20/V20-1,"")</f>
        <v>0.307996832937451</v>
      </c>
      <c r="AB27" s="517">
        <f>IFERROR(AB20/W20-1,"")</f>
        <v>0.0202316602316603</v>
      </c>
      <c r="AC27" s="516">
        <f>IFERROR(AC20/X20-1,"")</f>
        <v>-0.141557703240478</v>
      </c>
      <c r="AD27" s="516">
        <f>IFERROR(AD20/Y20-1,"")</f>
        <v>-0.249685534591195</v>
      </c>
      <c r="AE27" s="516">
        <f>IFERROR(AE20/Z20-1,"")</f>
        <v>-0.474143302180685</v>
      </c>
      <c r="AF27" s="516">
        <f>IFERROR(AF20/AA20-1,"")</f>
        <v>-0.0562953995157385</v>
      </c>
      <c r="AG27" s="517">
        <f>IFERROR(AG20/AB20-1,"")</f>
        <v>-0.227066303360581</v>
      </c>
      <c r="AH27" s="517">
        <f>IFERROR(AH20/AC20-1,"")</f>
        <v>-0.0728476821192053</v>
      </c>
      <c r="AI27" s="517">
        <f>IFERROR(AI20/AD20-1,"")</f>
        <v>0.508801341156748</v>
      </c>
    </row>
    <row r="28" s="254">
      <c r="C28" s="273" t="inlineStr">
        <is>
          <t xml:space="preserve">   % YoY Marketing</t>
        </is>
      </c>
      <c r="D28" s="516" t="str">
        <f>""</f>
        <v/>
      </c>
      <c r="E28" s="516" t="str">
        <f>""</f>
        <v/>
      </c>
      <c r="F28" s="516" t="str">
        <f>""</f>
        <v/>
      </c>
      <c r="G28" s="516" t="str">
        <f>""</f>
        <v/>
      </c>
      <c r="H28" s="517" t="str">
        <f>""</f>
        <v/>
      </c>
      <c r="I28" s="516" t="str">
        <f>IFERROR(I21/D21-1,"")</f>
        <v/>
      </c>
      <c r="J28" s="516" t="str">
        <f>IFERROR(J21/E21-1,"")</f>
        <v/>
      </c>
      <c r="K28" s="516" t="str">
        <f>IFERROR(K21/F21-1,"")</f>
        <v/>
      </c>
      <c r="L28" s="516" t="str">
        <f>IFERROR(L21/G21-1,"")</f>
        <v/>
      </c>
      <c r="M28" s="517" t="str">
        <f>IFERROR(M21/H21-1,"")</f>
        <v/>
      </c>
      <c r="N28" s="516">
        <f>IFERROR(N21/I21-1,"")</f>
        <v>0.611356968823032</v>
      </c>
      <c r="O28" s="516">
        <f>IFERROR(O21/J21-1,"")</f>
        <v>0.699939381693271</v>
      </c>
      <c r="P28" s="516">
        <f>IFERROR(P21/K21-1,"")</f>
        <v>0.441499817983255</v>
      </c>
      <c r="Q28" s="516">
        <f>IFERROR(Q21/L21-1,"")</f>
        <v>0.199586244319338</v>
      </c>
      <c r="R28" s="517">
        <f>IFERROR(R21/M21-1,"")</f>
        <v>0.467803402349428</v>
      </c>
      <c r="S28" s="516">
        <f>IFERROR(S21/N21-1,"")</f>
        <v>-0.0111399123619083</v>
      </c>
      <c r="T28" s="516">
        <f>IFERROR(T21/O21-1,"")</f>
        <v>-0.250754784262451</v>
      </c>
      <c r="U28" s="516">
        <f>IFERROR(U21/P21-1,"")</f>
        <v>-0.110157078640335</v>
      </c>
      <c r="V28" s="516">
        <f>IFERROR(V21/Q21-1,"")</f>
        <v>-0.102061010432275</v>
      </c>
      <c r="W28" s="517">
        <f>IFERROR(W21/R21-1,"")</f>
        <v>-0.126345021413276</v>
      </c>
      <c r="X28" s="516">
        <f>IFERROR(X21/S21-1,"")</f>
        <v>-0.0625370572632236</v>
      </c>
      <c r="Y28" s="516">
        <f>IFERROR(Y21/T21-1,"")</f>
        <v>0.0154837072056351</v>
      </c>
      <c r="Z28" s="516">
        <f>IFERROR(Z21/U21-1,"")</f>
        <v>-0.133868770575548</v>
      </c>
      <c r="AA28" s="516">
        <f>IFERROR(AA21/V21-1,"")</f>
        <v>-0.133402600673782</v>
      </c>
      <c r="AB28" s="517">
        <f>IFERROR(AB21/W21-1,"")</f>
        <v>-0.0801936289340451</v>
      </c>
      <c r="AC28" s="516">
        <f>IFERROR(AC21/X21-1,"")</f>
        <v>-0.0984654305782098</v>
      </c>
      <c r="AD28" s="516">
        <f>IFERROR(AD21/Y21-1,"")</f>
        <v>-0.117606623965005</v>
      </c>
      <c r="AE28" s="516">
        <f>IFERROR(AE21/Z21-1,"")</f>
        <v>-0.0285395982830368</v>
      </c>
      <c r="AF28" s="516">
        <f>IFERROR(AF21/AA21-1,"")</f>
        <v>-0.0233614300247057</v>
      </c>
      <c r="AG28" s="517">
        <f>IFERROR(AG21/AB21-1,"")</f>
        <v>-0.0685824680028978</v>
      </c>
      <c r="AH28" s="517">
        <f>IFERROR(AH21/AC21-1,"")</f>
        <v>0.133367795295942</v>
      </c>
      <c r="AI28" s="517">
        <f>IFERROR(AI21/AD21-1,"")</f>
        <v>0.34609256046174</v>
      </c>
    </row>
    <row r="29" s="254"/>
    <row r="30" s="254">
      <c r="C30" s="287" t="inlineStr">
        <is>
          <t>Adjusted Earnings por segmento (USD milhões; métrica da Shell, pós-itens identificados e CCS)</t>
        </is>
      </c>
      <c r="D30" s="287" t="str">
        <f>D7</f>
        <v>1Q20</v>
      </c>
      <c r="E30" s="287" t="str">
        <f>E7</f>
        <v>2Q20</v>
      </c>
      <c r="F30" s="287" t="str">
        <f>F7</f>
        <v>3Q20</v>
      </c>
      <c r="G30" s="287" t="str">
        <f>G7</f>
        <v>4Q20</v>
      </c>
      <c r="H30" s="287">
        <f>H7</f>
        <v>2020</v>
      </c>
      <c r="I30" s="287" t="str">
        <f>I7</f>
        <v>1Q21</v>
      </c>
      <c r="J30" s="287" t="str">
        <f>J7</f>
        <v>2Q21</v>
      </c>
      <c r="K30" s="287" t="str">
        <f>K7</f>
        <v>3Q21</v>
      </c>
      <c r="L30" s="287" t="str">
        <f>L7</f>
        <v>4Q21</v>
      </c>
      <c r="M30" s="287">
        <f>M7</f>
        <v>2021</v>
      </c>
      <c r="N30" s="287" t="str">
        <f>N7</f>
        <v>1Q22</v>
      </c>
      <c r="O30" s="287" t="str">
        <f>O7</f>
        <v>2Q22</v>
      </c>
      <c r="P30" s="287" t="str">
        <f>P7</f>
        <v>3Q22</v>
      </c>
      <c r="Q30" s="287" t="str">
        <f>Q7</f>
        <v>4Q22</v>
      </c>
      <c r="R30" s="287">
        <f>R7</f>
        <v>2022</v>
      </c>
      <c r="S30" s="287" t="str">
        <f>S7</f>
        <v>1Q23</v>
      </c>
      <c r="T30" s="287" t="str">
        <f>T7</f>
        <v>2Q23</v>
      </c>
      <c r="U30" s="287" t="str">
        <f>U7</f>
        <v>3Q23</v>
      </c>
      <c r="V30" s="287" t="str">
        <f>V7</f>
        <v>4Q23</v>
      </c>
      <c r="W30" s="287">
        <f>W7</f>
        <v>2023</v>
      </c>
      <c r="X30" s="287" t="str">
        <f>X7</f>
        <v>1Q24</v>
      </c>
      <c r="Y30" s="287" t="str">
        <f>Y7</f>
        <v>2Q24</v>
      </c>
      <c r="Z30" s="287" t="str">
        <f>Z7</f>
        <v>3Q24</v>
      </c>
      <c r="AA30" s="287" t="str">
        <f>AA7</f>
        <v>4Q24</v>
      </c>
      <c r="AB30" s="287">
        <f>AB7</f>
        <v>2024</v>
      </c>
      <c r="AC30" s="287" t="str">
        <f>AC7</f>
        <v>1Q25</v>
      </c>
      <c r="AD30" s="287" t="str">
        <f>AD7</f>
        <v>2Q25</v>
      </c>
      <c r="AE30" s="287" t="str">
        <f>AE7</f>
        <v>3Q25</v>
      </c>
      <c r="AF30" s="287" t="str">
        <f>AF7</f>
        <v>4Q25</v>
      </c>
      <c r="AG30" s="287">
        <f>AG7</f>
        <v>2025</v>
      </c>
      <c r="AH30" s="287" t="str">
        <f>AH7</f>
        <v>1Q26</v>
      </c>
      <c r="AI30" s="287" t="str">
        <f>AI7</f>
        <v>2Q26</v>
      </c>
    </row>
    <row r="31" s="254">
      <c r="C31" s="273" t="inlineStr">
        <is>
          <t xml:space="preserve">   Integrated Gas</t>
        </is>
      </c>
      <c r="D31" s="513" t="str">
        <f>IFERROR(INDEX('Inputs (2)'!$D$58:$AL$58,MATCH(D$7,'Inputs (2)'!$D$2:$AL$2,0)),"")</f>
        <v/>
      </c>
      <c r="E31" s="513" t="str">
        <f>IFERROR(INDEX('Inputs (2)'!$D$58:$AL$58,MATCH(E$7,'Inputs (2)'!$D$2:$AL$2,0)),"")</f>
        <v/>
      </c>
      <c r="F31" s="513" t="str">
        <f>IFERROR(INDEX('Inputs (2)'!$D$58:$AL$58,MATCH(F$7,'Inputs (2)'!$D$2:$AL$2,0)),"")</f>
        <v/>
      </c>
      <c r="G31" s="513" t="str">
        <f>IFERROR(INDEX('Inputs (2)'!$D$58:$AL$58,MATCH(G$7,'Inputs (2)'!$D$2:$AL$2,0)),"")</f>
        <v/>
      </c>
      <c r="H31" s="514" t="str">
        <f>IF(COUNT(D31:G31)=4,SUM(D31:G31),"")</f>
        <v/>
      </c>
      <c r="I31" s="513">
        <f>IFERROR(INDEX('Inputs (2)'!$D$58:$AL$58,MATCH(I$7,'Inputs (2)'!$D$2:$AL$2,0)),"")</f>
        <v>1570</v>
      </c>
      <c r="J31" s="513">
        <f>IFERROR(INDEX('Inputs (2)'!$D$58:$AL$58,MATCH(J$7,'Inputs (2)'!$D$2:$AL$2,0)),"")</f>
        <v>1605</v>
      </c>
      <c r="K31" s="513">
        <f>IFERROR(INDEX('Inputs (2)'!$D$58:$AL$58,MATCH(K$7,'Inputs (2)'!$D$2:$AL$2,0)),"")</f>
        <v>1837</v>
      </c>
      <c r="L31" s="513">
        <f>IFERROR(INDEX('Inputs (2)'!$D$58:$AL$58,MATCH(L$7,'Inputs (2)'!$D$2:$AL$2,0)),"")</f>
        <v>4036</v>
      </c>
      <c r="M31" s="514">
        <f>IF(COUNT(I31:L31)=4,SUM(I31:L31),"")</f>
        <v>9048</v>
      </c>
      <c r="N31" s="513">
        <f>IFERROR(INDEX('Inputs (2)'!$D$58:$AL$58,MATCH(N$7,'Inputs (2)'!$D$2:$AL$2,0)),"")</f>
        <v>4094</v>
      </c>
      <c r="O31" s="513">
        <f>IFERROR(INDEX('Inputs (2)'!$D$58:$AL$58,MATCH(O$7,'Inputs (2)'!$D$2:$AL$2,0)),"")</f>
        <v>3760</v>
      </c>
      <c r="P31" s="513">
        <f>IFERROR(INDEX('Inputs (2)'!$D$58:$AL$58,MATCH(P$7,'Inputs (2)'!$D$2:$AL$2,0)),"")</f>
        <v>2321</v>
      </c>
      <c r="Q31" s="513">
        <f>IFERROR(INDEX('Inputs (2)'!$D$58:$AL$58,MATCH(Q$7,'Inputs (2)'!$D$2:$AL$2,0)),"")</f>
        <v>5971</v>
      </c>
      <c r="R31" s="514">
        <f>IF(COUNT(N31:Q31)=4,SUM(N31:Q31),"")</f>
        <v>16146</v>
      </c>
      <c r="S31" s="513">
        <f>IFERROR(INDEX('Inputs (2)'!$D$58:$AL$58,MATCH(S$7,'Inputs (2)'!$D$2:$AL$2,0)),"")</f>
        <v>4919</v>
      </c>
      <c r="T31" s="513">
        <f>IFERROR(INDEX('Inputs (2)'!$D$58:$AL$58,MATCH(T$7,'Inputs (2)'!$D$2:$AL$2,0)),"")</f>
        <v>2500</v>
      </c>
      <c r="U31" s="513">
        <f>IFERROR(INDEX('Inputs (2)'!$D$58:$AL$58,MATCH(U$7,'Inputs (2)'!$D$2:$AL$2,0)),"")</f>
        <v>2530</v>
      </c>
      <c r="V31" s="513">
        <f>IFERROR(INDEX('Inputs (2)'!$D$58:$AL$58,MATCH(V$7,'Inputs (2)'!$D$2:$AL$2,0)),"")</f>
        <v>3968</v>
      </c>
      <c r="W31" s="514">
        <f>IF(COUNT(S31:V31)=4,SUM(S31:V31),"")</f>
        <v>13917</v>
      </c>
      <c r="X31" s="513">
        <f>IFERROR(INDEX('Inputs (2)'!$D$58:$AL$58,MATCH(X$7,'Inputs (2)'!$D$2:$AL$2,0)),"")</f>
        <v>3680</v>
      </c>
      <c r="Y31" s="513">
        <f>IFERROR(INDEX('Inputs (2)'!$D$58:$AL$58,MATCH(Y$7,'Inputs (2)'!$D$2:$AL$2,0)),"")</f>
        <v>2675</v>
      </c>
      <c r="Z31" s="513">
        <f>IFERROR(INDEX('Inputs (2)'!$D$58:$AL$58,MATCH(Z$7,'Inputs (2)'!$D$2:$AL$2,0)),"")</f>
        <v>2871</v>
      </c>
      <c r="AA31" s="513">
        <f>IFERROR(INDEX('Inputs (2)'!$D$58:$AL$58,MATCH(AA$7,'Inputs (2)'!$D$2:$AL$2,0)),"")</f>
        <v>2165</v>
      </c>
      <c r="AB31" s="514">
        <f>IF(COUNT(X31:AA31)=4,SUM(X31:AA31),"")</f>
        <v>11391</v>
      </c>
      <c r="AC31" s="513">
        <f>IFERROR(INDEX('Inputs (2)'!$D$58:$AL$58,MATCH(AC$7,'Inputs (2)'!$D$2:$AL$2,0)),"")</f>
        <v>2483</v>
      </c>
      <c r="AD31" s="513">
        <f>IFERROR(INDEX('Inputs (2)'!$D$58:$AL$58,MATCH(AD$7,'Inputs (2)'!$D$2:$AL$2,0)),"")</f>
        <v>1737</v>
      </c>
      <c r="AE31" s="513">
        <f>IFERROR(INDEX('Inputs (2)'!$D$58:$AL$58,MATCH(AE$7,'Inputs (2)'!$D$2:$AL$2,0)),"")</f>
        <v>2143</v>
      </c>
      <c r="AF31" s="513">
        <f>IFERROR(INDEX('Inputs (2)'!$D$58:$AL$58,MATCH(AF$7,'Inputs (2)'!$D$2:$AL$2,0)),"")</f>
        <v>1661</v>
      </c>
      <c r="AG31" s="514">
        <f>IF(COUNT(AC31:AF31)=4,SUM(AC31:AF31),"")</f>
        <v>8024</v>
      </c>
      <c r="AH31" s="514">
        <f>IFERROR(INDEX('Inputs (2)'!$D$58:$AL$58,MATCH(AH$7,'Inputs (2)'!$D$2:$AL$2,0)),"")</f>
        <v>1819</v>
      </c>
      <c r="AI31" s="514">
        <f>IFERROR(INDEX('Inputs (2)'!$D$58:$AL$58,MATCH(AI$7,'Inputs (2)'!$D$2:$AL$2,0)),"")</f>
        <v>2691</v>
      </c>
    </row>
    <row r="32" s="254">
      <c r="C32" s="273" t="inlineStr">
        <is>
          <t xml:space="preserve">   Upstream</t>
        </is>
      </c>
      <c r="D32" s="513" t="str">
        <f>IFERROR(INDEX('Inputs (2)'!$D$59:$AL$59,MATCH(D$7,'Inputs (2)'!$D$2:$AL$2,0)),"")</f>
        <v/>
      </c>
      <c r="E32" s="513" t="str">
        <f>IFERROR(INDEX('Inputs (2)'!$D$59:$AL$59,MATCH(E$7,'Inputs (2)'!$D$2:$AL$2,0)),"")</f>
        <v/>
      </c>
      <c r="F32" s="513" t="str">
        <f>IFERROR(INDEX('Inputs (2)'!$D$59:$AL$59,MATCH(F$7,'Inputs (2)'!$D$2:$AL$2,0)),"")</f>
        <v/>
      </c>
      <c r="G32" s="513" t="str">
        <f>IFERROR(INDEX('Inputs (2)'!$D$59:$AL$59,MATCH(G$7,'Inputs (2)'!$D$2:$AL$2,0)),"")</f>
        <v/>
      </c>
      <c r="H32" s="514" t="str">
        <f>IF(COUNT(D32:G32)=4,SUM(D32:G32),"")</f>
        <v/>
      </c>
      <c r="I32" s="513">
        <f>IFERROR(INDEX('Inputs (2)'!$D$59:$AL$59,MATCH(I$7,'Inputs (2)'!$D$2:$AL$2,0)),"")</f>
        <v>933</v>
      </c>
      <c r="J32" s="513">
        <f>IFERROR(INDEX('Inputs (2)'!$D$59:$AL$59,MATCH(J$7,'Inputs (2)'!$D$2:$AL$2,0)),"")</f>
        <v>2511</v>
      </c>
      <c r="K32" s="513">
        <f>IFERROR(INDEX('Inputs (2)'!$D$59:$AL$59,MATCH(K$7,'Inputs (2)'!$D$2:$AL$2,0)),"")</f>
        <v>1734</v>
      </c>
      <c r="L32" s="513">
        <f>IFERROR(INDEX('Inputs (2)'!$D$59:$AL$59,MATCH(L$7,'Inputs (2)'!$D$2:$AL$2,0)),"")</f>
        <v>2838</v>
      </c>
      <c r="M32" s="514">
        <f>IF(COUNT(I32:L32)=4,SUM(I32:L32),"")</f>
        <v>8016</v>
      </c>
      <c r="N32" s="513">
        <f>IFERROR(INDEX('Inputs (2)'!$D$59:$AL$59,MATCH(N$7,'Inputs (2)'!$D$2:$AL$2,0)),"")</f>
        <v>3454</v>
      </c>
      <c r="O32" s="513">
        <f>IFERROR(INDEX('Inputs (2)'!$D$59:$AL$59,MATCH(O$7,'Inputs (2)'!$D$2:$AL$2,0)),"")</f>
        <v>4917</v>
      </c>
      <c r="P32" s="513">
        <f>IFERROR(INDEX('Inputs (2)'!$D$59:$AL$59,MATCH(P$7,'Inputs (2)'!$D$2:$AL$2,0)),"")</f>
        <v>5903</v>
      </c>
      <c r="Q32" s="513">
        <f>IFERROR(INDEX('Inputs (2)'!$D$59:$AL$59,MATCH(Q$7,'Inputs (2)'!$D$2:$AL$2,0)),"")</f>
        <v>3080</v>
      </c>
      <c r="R32" s="514">
        <f>IF(COUNT(N32:Q32)=4,SUM(N32:Q32),"")</f>
        <v>17354</v>
      </c>
      <c r="S32" s="513">
        <f>IFERROR(INDEX('Inputs (2)'!$D$59:$AL$59,MATCH(S$7,'Inputs (2)'!$D$2:$AL$2,0)),"")</f>
        <v>2810</v>
      </c>
      <c r="T32" s="513">
        <f>IFERROR(INDEX('Inputs (2)'!$D$59:$AL$59,MATCH(T$7,'Inputs (2)'!$D$2:$AL$2,0)),"")</f>
        <v>1699</v>
      </c>
      <c r="U32" s="513">
        <f>IFERROR(INDEX('Inputs (2)'!$D$59:$AL$59,MATCH(U$7,'Inputs (2)'!$D$2:$AL$2,0)),"")</f>
        <v>2236</v>
      </c>
      <c r="V32" s="513">
        <f>IFERROR(INDEX('Inputs (2)'!$D$59:$AL$59,MATCH(V$7,'Inputs (2)'!$D$2:$AL$2,0)),"")</f>
        <v>3060</v>
      </c>
      <c r="W32" s="514">
        <f>IF(COUNT(S32:V32)=4,SUM(S32:V32),"")</f>
        <v>9805</v>
      </c>
      <c r="X32" s="513">
        <f>IFERROR(INDEX('Inputs (2)'!$D$59:$AL$59,MATCH(X$7,'Inputs (2)'!$D$2:$AL$2,0)),"")</f>
        <v>1933</v>
      </c>
      <c r="Y32" s="513">
        <f>IFERROR(INDEX('Inputs (2)'!$D$59:$AL$59,MATCH(Y$7,'Inputs (2)'!$D$2:$AL$2,0)),"")</f>
        <v>2336</v>
      </c>
      <c r="Z32" s="513">
        <f>IFERROR(INDEX('Inputs (2)'!$D$59:$AL$59,MATCH(Z$7,'Inputs (2)'!$D$2:$AL$2,0)),"")</f>
        <v>2443</v>
      </c>
      <c r="AA32" s="513">
        <f>IFERROR(INDEX('Inputs (2)'!$D$59:$AL$59,MATCH(AA$7,'Inputs (2)'!$D$2:$AL$2,0)),"")</f>
        <v>1682</v>
      </c>
      <c r="AB32" s="514">
        <f>IF(COUNT(X32:AA32)=4,SUM(X32:AA32),"")</f>
        <v>8394</v>
      </c>
      <c r="AC32" s="513">
        <f>IFERROR(INDEX('Inputs (2)'!$D$59:$AL$59,MATCH(AC$7,'Inputs (2)'!$D$2:$AL$2,0)),"")</f>
        <v>2337</v>
      </c>
      <c r="AD32" s="513">
        <f>IFERROR(INDEX('Inputs (2)'!$D$59:$AL$59,MATCH(AD$7,'Inputs (2)'!$D$2:$AL$2,0)),"")</f>
        <v>1732</v>
      </c>
      <c r="AE32" s="513">
        <f>IFERROR(INDEX('Inputs (2)'!$D$59:$AL$59,MATCH(AE$7,'Inputs (2)'!$D$2:$AL$2,0)),"")</f>
        <v>1804</v>
      </c>
      <c r="AF32" s="513">
        <f>IFERROR(INDEX('Inputs (2)'!$D$59:$AL$59,MATCH(AF$7,'Inputs (2)'!$D$2:$AL$2,0)),"")</f>
        <v>1570</v>
      </c>
      <c r="AG32" s="514">
        <f>IF(COUNT(AC32:AF32)=4,SUM(AC32:AF32),"")</f>
        <v>7443</v>
      </c>
      <c r="AH32" s="514">
        <f>IFERROR(INDEX('Inputs (2)'!$D$59:$AL$59,MATCH(AH$7,'Inputs (2)'!$D$2:$AL$2,0)),"")</f>
        <v>2377</v>
      </c>
      <c r="AI32" s="514">
        <f>IFERROR(INDEX('Inputs (2)'!$D$59:$AL$59,MATCH(AI$7,'Inputs (2)'!$D$2:$AL$2,0)),"")</f>
        <v>3485</v>
      </c>
    </row>
    <row r="33" s="254">
      <c r="C33" s="273" t="inlineStr">
        <is>
          <t xml:space="preserve">   Marketing</t>
        </is>
      </c>
      <c r="D33" s="513" t="str">
        <f>IFERROR(INDEX('Inputs (2)'!$D$60:$AL$60,MATCH(D$7,'Inputs (2)'!$D$2:$AL$2,0)),"")</f>
        <v/>
      </c>
      <c r="E33" s="513" t="str">
        <f>IFERROR(INDEX('Inputs (2)'!$D$60:$AL$60,MATCH(E$7,'Inputs (2)'!$D$2:$AL$2,0)),"")</f>
        <v/>
      </c>
      <c r="F33" s="513" t="str">
        <f>IFERROR(INDEX('Inputs (2)'!$D$60:$AL$60,MATCH(F$7,'Inputs (2)'!$D$2:$AL$2,0)),"")</f>
        <v/>
      </c>
      <c r="G33" s="513" t="str">
        <f>IFERROR(INDEX('Inputs (2)'!$D$60:$AL$60,MATCH(G$7,'Inputs (2)'!$D$2:$AL$2,0)),"")</f>
        <v/>
      </c>
      <c r="H33" s="514" t="str">
        <f>IF(COUNT(D33:G33)=4,SUM(D33:G33),"")</f>
        <v/>
      </c>
      <c r="I33" s="513">
        <f>IFERROR(INDEX('Inputs (2)'!$D$60:$AL$60,MATCH(I$7,'Inputs (2)'!$D$2:$AL$2,0)),"")</f>
        <v>845</v>
      </c>
      <c r="J33" s="513">
        <f>IFERROR(INDEX('Inputs (2)'!$D$60:$AL$60,MATCH(J$7,'Inputs (2)'!$D$2:$AL$2,0)),"")</f>
        <v>982</v>
      </c>
      <c r="K33" s="513">
        <f>IFERROR(INDEX('Inputs (2)'!$D$60:$AL$60,MATCH(K$7,'Inputs (2)'!$D$2:$AL$2,0)),"")</f>
        <v>1171</v>
      </c>
      <c r="L33" s="513">
        <f>IFERROR(INDEX('Inputs (2)'!$D$60:$AL$60,MATCH(L$7,'Inputs (2)'!$D$2:$AL$2,0)),"")</f>
        <v>616</v>
      </c>
      <c r="M33" s="514">
        <f>IF(COUNT(I33:L33)=4,SUM(I33:L33),"")</f>
        <v>3614</v>
      </c>
      <c r="N33" s="513">
        <f>IFERROR(INDEX('Inputs (2)'!$D$60:$AL$60,MATCH(N$7,'Inputs (2)'!$D$2:$AL$2,0)),"")</f>
        <v>822</v>
      </c>
      <c r="O33" s="513">
        <f>IFERROR(INDEX('Inputs (2)'!$D$60:$AL$60,MATCH(O$7,'Inputs (2)'!$D$2:$AL$2,0)),"")</f>
        <v>637</v>
      </c>
      <c r="P33" s="513">
        <f>IFERROR(INDEX('Inputs (2)'!$D$60:$AL$60,MATCH(P$7,'Inputs (2)'!$D$2:$AL$2,0)),"")</f>
        <v>1028</v>
      </c>
      <c r="Q33" s="513">
        <f>IFERROR(INDEX('Inputs (2)'!$D$60:$AL$60,MATCH(Q$7,'Inputs (2)'!$D$2:$AL$2,0)),"")</f>
        <v>418</v>
      </c>
      <c r="R33" s="514">
        <f>IF(COUNT(N33:Q33)=4,SUM(N33:Q33),"")</f>
        <v>2905</v>
      </c>
      <c r="S33" s="513">
        <f>IFERROR(INDEX('Inputs (2)'!$D$60:$AL$60,MATCH(S$7,'Inputs (2)'!$D$2:$AL$2,0)),"")</f>
        <v>946</v>
      </c>
      <c r="T33" s="513">
        <f>IFERROR(INDEX('Inputs (2)'!$D$60:$AL$60,MATCH(T$7,'Inputs (2)'!$D$2:$AL$2,0)),"")</f>
        <v>931</v>
      </c>
      <c r="U33" s="513">
        <f>IFERROR(INDEX('Inputs (2)'!$D$60:$AL$60,MATCH(U$7,'Inputs (2)'!$D$2:$AL$2,0)),"")</f>
        <v>641</v>
      </c>
      <c r="V33" s="513">
        <f>IFERROR(INDEX('Inputs (2)'!$D$60:$AL$60,MATCH(V$7,'Inputs (2)'!$D$2:$AL$2,0)),"")</f>
        <v>794</v>
      </c>
      <c r="W33" s="514">
        <f>IF(COUNT(S33:V33)=4,SUM(S33:V33),"")</f>
        <v>3312</v>
      </c>
      <c r="X33" s="513">
        <f>IFERROR(INDEX('Inputs (2)'!$D$60:$AL$60,MATCH(X$7,'Inputs (2)'!$D$2:$AL$2,0)),"")</f>
        <v>781</v>
      </c>
      <c r="Y33" s="513">
        <f>IFERROR(INDEX('Inputs (2)'!$D$60:$AL$60,MATCH(Y$7,'Inputs (2)'!$D$2:$AL$2,0)),"")</f>
        <v>1082</v>
      </c>
      <c r="Z33" s="513">
        <f>IFERROR(INDEX('Inputs (2)'!$D$60:$AL$60,MATCH(Z$7,'Inputs (2)'!$D$2:$AL$2,0)),"")</f>
        <v>1182</v>
      </c>
      <c r="AA33" s="513">
        <f>IFERROR(INDEX('Inputs (2)'!$D$60:$AL$60,MATCH(AA$7,'Inputs (2)'!$D$2:$AL$2,0)),"")</f>
        <v>839</v>
      </c>
      <c r="AB33" s="514">
        <f>IF(COUNT(X33:AA33)=4,SUM(X33:AA33),"")</f>
        <v>3884</v>
      </c>
      <c r="AC33" s="513">
        <f>IFERROR(INDEX('Inputs (2)'!$D$60:$AL$60,MATCH(AC$7,'Inputs (2)'!$D$2:$AL$2,0)),"")</f>
        <v>900</v>
      </c>
      <c r="AD33" s="513">
        <f>IFERROR(INDEX('Inputs (2)'!$D$60:$AL$60,MATCH(AD$7,'Inputs (2)'!$D$2:$AL$2,0)),"")</f>
        <v>1199</v>
      </c>
      <c r="AE33" s="513">
        <f>IFERROR(INDEX('Inputs (2)'!$D$60:$AL$60,MATCH(AE$7,'Inputs (2)'!$D$2:$AL$2,0)),"")</f>
        <v>1316</v>
      </c>
      <c r="AF33" s="513">
        <f>IFERROR(INDEX('Inputs (2)'!$D$60:$AL$60,MATCH(AF$7,'Inputs (2)'!$D$2:$AL$2,0)),"")</f>
        <v>578</v>
      </c>
      <c r="AG33" s="514">
        <f>IF(COUNT(AC33:AF33)=4,SUM(AC33:AF33),"")</f>
        <v>3993</v>
      </c>
      <c r="AH33" s="514">
        <f>IFERROR(INDEX('Inputs (2)'!$D$60:$AL$60,MATCH(AH$7,'Inputs (2)'!$D$2:$AL$2,0)),"")</f>
        <v>1334</v>
      </c>
      <c r="AI33" s="514">
        <f>IFERROR(INDEX('Inputs (2)'!$D$60:$AL$60,MATCH(AI$7,'Inputs (2)'!$D$2:$AL$2,0)),"")</f>
        <v>1329</v>
      </c>
    </row>
    <row r="34" s="254">
      <c r="C34" s="273" t="inlineStr">
        <is>
          <t xml:space="preserve">   Chemicals &amp; Products</t>
        </is>
      </c>
      <c r="D34" s="513" t="str">
        <f>IFERROR(INDEX('Inputs (2)'!$D$61:$AL$61,MATCH(D$7,'Inputs (2)'!$D$2:$AL$2,0)),"")</f>
        <v/>
      </c>
      <c r="E34" s="513" t="str">
        <f>IFERROR(INDEX('Inputs (2)'!$D$61:$AL$61,MATCH(E$7,'Inputs (2)'!$D$2:$AL$2,0)),"")</f>
        <v/>
      </c>
      <c r="F34" s="513" t="str">
        <f>IFERROR(INDEX('Inputs (2)'!$D$61:$AL$61,MATCH(F$7,'Inputs (2)'!$D$2:$AL$2,0)),"")</f>
        <v/>
      </c>
      <c r="G34" s="513" t="str">
        <f>IFERROR(INDEX('Inputs (2)'!$D$61:$AL$61,MATCH(G$7,'Inputs (2)'!$D$2:$AL$2,0)),"")</f>
        <v/>
      </c>
      <c r="H34" s="514" t="str">
        <f>IF(COUNT(D34:G34)=4,SUM(D34:G34),"")</f>
        <v/>
      </c>
      <c r="I34" s="513">
        <f>IFERROR(INDEX('Inputs (2)'!$D$61:$AL$61,MATCH(I$7,'Inputs (2)'!$D$2:$AL$2,0)),"")</f>
        <v>739</v>
      </c>
      <c r="J34" s="513">
        <f>IFERROR(INDEX('Inputs (2)'!$D$61:$AL$61,MATCH(J$7,'Inputs (2)'!$D$2:$AL$2,0)),"")</f>
        <v>962</v>
      </c>
      <c r="K34" s="513">
        <f>IFERROR(INDEX('Inputs (2)'!$D$61:$AL$61,MATCH(K$7,'Inputs (2)'!$D$2:$AL$2,0)),"")</f>
        <v>404</v>
      </c>
      <c r="L34" s="513">
        <f>IFERROR(INDEX('Inputs (2)'!$D$61:$AL$61,MATCH(L$7,'Inputs (2)'!$D$2:$AL$2,0)),"")</f>
        <v>-135</v>
      </c>
      <c r="M34" s="514">
        <f>IF(COUNT(I34:L34)=4,SUM(I34:L34),"")</f>
        <v>1970</v>
      </c>
      <c r="N34" s="513">
        <f>IFERROR(INDEX('Inputs (2)'!$D$61:$AL$61,MATCH(N$7,'Inputs (2)'!$D$2:$AL$2,0)),"")</f>
        <v>1086</v>
      </c>
      <c r="O34" s="513">
        <f>IFERROR(INDEX('Inputs (2)'!$D$61:$AL$61,MATCH(O$7,'Inputs (2)'!$D$2:$AL$2,0)),"")</f>
        <v>2154</v>
      </c>
      <c r="P34" s="513">
        <f>IFERROR(INDEX('Inputs (2)'!$D$61:$AL$61,MATCH(P$7,'Inputs (2)'!$D$2:$AL$2,0)),"")</f>
        <v>571</v>
      </c>
      <c r="Q34" s="513">
        <f>IFERROR(INDEX('Inputs (2)'!$D$61:$AL$61,MATCH(Q$7,'Inputs (2)'!$D$2:$AL$2,0)),"")</f>
        <v>782</v>
      </c>
      <c r="R34" s="514">
        <f>IF(COUNT(N34:Q34)=4,SUM(N34:Q34),"")</f>
        <v>4593</v>
      </c>
      <c r="S34" s="513">
        <f>IFERROR(INDEX('Inputs (2)'!$D$61:$AL$61,MATCH(S$7,'Inputs (2)'!$D$2:$AL$2,0)),"")</f>
        <v>1707</v>
      </c>
      <c r="T34" s="513">
        <f>IFERROR(INDEX('Inputs (2)'!$D$61:$AL$61,MATCH(T$7,'Inputs (2)'!$D$2:$AL$2,0)),"")</f>
        <v>419</v>
      </c>
      <c r="U34" s="513">
        <f>IFERROR(INDEX('Inputs (2)'!$D$61:$AL$61,MATCH(U$7,'Inputs (2)'!$D$2:$AL$2,0)),"")</f>
        <v>1463</v>
      </c>
      <c r="V34" s="513">
        <f>IFERROR(INDEX('Inputs (2)'!$D$61:$AL$61,MATCH(V$7,'Inputs (2)'!$D$2:$AL$2,0)),"")</f>
        <v>29</v>
      </c>
      <c r="W34" s="514">
        <f>IF(COUNT(S34:V34)=4,SUM(S34:V34),"")</f>
        <v>3618</v>
      </c>
      <c r="X34" s="513">
        <f>IFERROR(INDEX('Inputs (2)'!$D$61:$AL$61,MATCH(X$7,'Inputs (2)'!$D$2:$AL$2,0)),"")</f>
        <v>1615</v>
      </c>
      <c r="Y34" s="513">
        <f>IFERROR(INDEX('Inputs (2)'!$D$61:$AL$61,MATCH(Y$7,'Inputs (2)'!$D$2:$AL$2,0)),"")</f>
        <v>1085</v>
      </c>
      <c r="Z34" s="513">
        <f>IFERROR(INDEX('Inputs (2)'!$D$61:$AL$61,MATCH(Z$7,'Inputs (2)'!$D$2:$AL$2,0)),"")</f>
        <v>463</v>
      </c>
      <c r="AA34" s="513">
        <f>IFERROR(INDEX('Inputs (2)'!$D$61:$AL$61,MATCH(AA$7,'Inputs (2)'!$D$2:$AL$2,0)),"")</f>
        <v>-229</v>
      </c>
      <c r="AB34" s="514">
        <f>IF(COUNT(X34:AA34)=4,SUM(X34:AA34),"")</f>
        <v>2934</v>
      </c>
      <c r="AC34" s="513">
        <f>IFERROR(INDEX('Inputs (2)'!$D$61:$AL$61,MATCH(AC$7,'Inputs (2)'!$D$2:$AL$2,0)),"")</f>
        <v>449</v>
      </c>
      <c r="AD34" s="513">
        <f>IFERROR(INDEX('Inputs (2)'!$D$61:$AL$61,MATCH(AD$7,'Inputs (2)'!$D$2:$AL$2,0)),"")</f>
        <v>118</v>
      </c>
      <c r="AE34" s="513">
        <f>IFERROR(INDEX('Inputs (2)'!$D$61:$AL$61,MATCH(AE$7,'Inputs (2)'!$D$2:$AL$2,0)),"")</f>
        <v>550</v>
      </c>
      <c r="AF34" s="513">
        <f>IFERROR(INDEX('Inputs (2)'!$D$61:$AL$61,MATCH(AF$7,'Inputs (2)'!$D$2:$AL$2,0)),"")</f>
        <v>-66</v>
      </c>
      <c r="AG34" s="514">
        <f>IF(COUNT(AC34:AF34)=4,SUM(AC34:AF34),"")</f>
        <v>1051</v>
      </c>
      <c r="AH34" s="514">
        <f>IFERROR(INDEX('Inputs (2)'!$D$61:$AL$61,MATCH(AH$7,'Inputs (2)'!$D$2:$AL$2,0)),"")</f>
        <v>1925</v>
      </c>
      <c r="AI34" s="514">
        <f>IFERROR(INDEX('Inputs (2)'!$D$61:$AL$61,MATCH(AI$7,'Inputs (2)'!$D$2:$AL$2,0)),"")</f>
        <v>2877</v>
      </c>
    </row>
    <row r="35" s="254">
      <c r="C35" s="273" t="inlineStr">
        <is>
          <t xml:space="preserve">   Renewables and Energy Solutions</t>
        </is>
      </c>
      <c r="D35" s="513" t="str">
        <f>IFERROR(INDEX('Inputs (2)'!$D$62:$AL$62,MATCH(D$7,'Inputs (2)'!$D$2:$AL$2,0)),"")</f>
        <v/>
      </c>
      <c r="E35" s="513" t="str">
        <f>IFERROR(INDEX('Inputs (2)'!$D$62:$AL$62,MATCH(E$7,'Inputs (2)'!$D$2:$AL$2,0)),"")</f>
        <v/>
      </c>
      <c r="F35" s="513" t="str">
        <f>IFERROR(INDEX('Inputs (2)'!$D$62:$AL$62,MATCH(F$7,'Inputs (2)'!$D$2:$AL$2,0)),"")</f>
        <v/>
      </c>
      <c r="G35" s="513" t="str">
        <f>IFERROR(INDEX('Inputs (2)'!$D$62:$AL$62,MATCH(G$7,'Inputs (2)'!$D$2:$AL$2,0)),"")</f>
        <v/>
      </c>
      <c r="H35" s="514" t="str">
        <f>IF(COUNT(D35:G35)=4,SUM(D35:G35),"")</f>
        <v/>
      </c>
      <c r="I35" s="513">
        <f>IFERROR(INDEX('Inputs (2)'!$D$62:$AL$62,MATCH(I$7,'Inputs (2)'!$D$2:$AL$2,0)),"")</f>
        <v>-102</v>
      </c>
      <c r="J35" s="513">
        <f>IFERROR(INDEX('Inputs (2)'!$D$62:$AL$62,MATCH(J$7,'Inputs (2)'!$D$2:$AL$2,0)),"")</f>
        <v>-13</v>
      </c>
      <c r="K35" s="513">
        <f>IFERROR(INDEX('Inputs (2)'!$D$62:$AL$62,MATCH(K$7,'Inputs (2)'!$D$2:$AL$2,0)),"")</f>
        <v>-171</v>
      </c>
      <c r="L35" s="513">
        <f>IFERROR(INDEX('Inputs (2)'!$D$62:$AL$62,MATCH(L$7,'Inputs (2)'!$D$2:$AL$2,0)),"")</f>
        <v>43</v>
      </c>
      <c r="M35" s="514">
        <f>IF(COUNT(I35:L35)=4,SUM(I35:L35),"")</f>
        <v>-243</v>
      </c>
      <c r="N35" s="513">
        <f>IFERROR(INDEX('Inputs (2)'!$D$62:$AL$62,MATCH(N$7,'Inputs (2)'!$D$2:$AL$2,0)),"")</f>
        <v>348</v>
      </c>
      <c r="O35" s="513">
        <f>IFERROR(INDEX('Inputs (2)'!$D$62:$AL$62,MATCH(O$7,'Inputs (2)'!$D$2:$AL$2,0)),"")</f>
        <v>730</v>
      </c>
      <c r="P35" s="513">
        <f>IFERROR(INDEX('Inputs (2)'!$D$62:$AL$62,MATCH(P$7,'Inputs (2)'!$D$2:$AL$2,0)),"")</f>
        <v>389</v>
      </c>
      <c r="Q35" s="513">
        <f>IFERROR(INDEX('Inputs (2)'!$D$62:$AL$62,MATCH(Q$7,'Inputs (2)'!$D$2:$AL$2,0)),"")</f>
        <v>310</v>
      </c>
      <c r="R35" s="514">
        <f>IF(COUNT(N35:Q35)=4,SUM(N35:Q35),"")</f>
        <v>1777</v>
      </c>
      <c r="S35" s="513">
        <f>IFERROR(INDEX('Inputs (2)'!$D$62:$AL$62,MATCH(S$7,'Inputs (2)'!$D$2:$AL$2,0)),"")</f>
        <v>395</v>
      </c>
      <c r="T35" s="513">
        <f>IFERROR(INDEX('Inputs (2)'!$D$62:$AL$62,MATCH(T$7,'Inputs (2)'!$D$2:$AL$2,0)),"")</f>
        <v>238</v>
      </c>
      <c r="U35" s="513">
        <f>IFERROR(INDEX('Inputs (2)'!$D$62:$AL$62,MATCH(U$7,'Inputs (2)'!$D$2:$AL$2,0)),"")</f>
        <v>-52</v>
      </c>
      <c r="V35" s="513">
        <f>IFERROR(INDEX('Inputs (2)'!$D$62:$AL$62,MATCH(V$7,'Inputs (2)'!$D$2:$AL$2,0)),"")</f>
        <v>173</v>
      </c>
      <c r="W35" s="514">
        <f>IF(COUNT(S35:V35)=4,SUM(S35:V35),"")</f>
        <v>754</v>
      </c>
      <c r="X35" s="513">
        <f>IFERROR(INDEX('Inputs (2)'!$D$62:$AL$62,MATCH(X$7,'Inputs (2)'!$D$2:$AL$2,0)),"")</f>
        <v>163</v>
      </c>
      <c r="Y35" s="513">
        <f>IFERROR(INDEX('Inputs (2)'!$D$62:$AL$62,MATCH(Y$7,'Inputs (2)'!$D$2:$AL$2,0)),"")</f>
        <v>-187</v>
      </c>
      <c r="Z35" s="513">
        <f>IFERROR(INDEX('Inputs (2)'!$D$62:$AL$62,MATCH(Z$7,'Inputs (2)'!$D$2:$AL$2,0)),"")</f>
        <v>-162</v>
      </c>
      <c r="AA35" s="513">
        <f>IFERROR(INDEX('Inputs (2)'!$D$62:$AL$62,MATCH(AA$7,'Inputs (2)'!$D$2:$AL$2,0)),"")</f>
        <v>-311</v>
      </c>
      <c r="AB35" s="514">
        <f>IF(COUNT(X35:AA35)=4,SUM(X35:AA35),"")</f>
        <v>-497</v>
      </c>
      <c r="AC35" s="513">
        <f>IFERROR(INDEX('Inputs (2)'!$D$62:$AL$62,MATCH(AC$7,'Inputs (2)'!$D$2:$AL$2,0)),"")</f>
        <v>-42</v>
      </c>
      <c r="AD35" s="513">
        <f>IFERROR(INDEX('Inputs (2)'!$D$62:$AL$62,MATCH(AD$7,'Inputs (2)'!$D$2:$AL$2,0)),"")</f>
        <v>-9</v>
      </c>
      <c r="AE35" s="513">
        <f>IFERROR(INDEX('Inputs (2)'!$D$62:$AL$62,MATCH(AE$7,'Inputs (2)'!$D$2:$AL$2,0)),"")</f>
        <v>92</v>
      </c>
      <c r="AF35" s="513">
        <f>IFERROR(INDEX('Inputs (2)'!$D$62:$AL$62,MATCH(AF$7,'Inputs (2)'!$D$2:$AL$2,0)),"")</f>
        <v>131</v>
      </c>
      <c r="AG35" s="514">
        <f>IF(COUNT(AC35:AF35)=4,SUM(AC35:AF35),"")</f>
        <v>172</v>
      </c>
      <c r="AH35" s="514">
        <f>IFERROR(INDEX('Inputs (2)'!$D$62:$AL$62,MATCH(AH$7,'Inputs (2)'!$D$2:$AL$2,0)),"")</f>
        <v>348</v>
      </c>
      <c r="AI35" s="514">
        <f>IFERROR(INDEX('Inputs (2)'!$D$62:$AL$62,MATCH(AI$7,'Inputs (2)'!$D$2:$AL$2,0)),"")</f>
        <v>79</v>
      </c>
    </row>
    <row r="36" s="254">
      <c r="C36" s="273" t="inlineStr">
        <is>
          <t xml:space="preserve">   Corporate</t>
        </is>
      </c>
      <c r="D36" s="513" t="str">
        <f>IFERROR(INDEX('Inputs (2)'!$D$63:$AL$63,MATCH(D$7,'Inputs (2)'!$D$2:$AL$2,0)),"")</f>
        <v/>
      </c>
      <c r="E36" s="513" t="str">
        <f>IFERROR(INDEX('Inputs (2)'!$D$63:$AL$63,MATCH(E$7,'Inputs (2)'!$D$2:$AL$2,0)),"")</f>
        <v/>
      </c>
      <c r="F36" s="513" t="str">
        <f>IFERROR(INDEX('Inputs (2)'!$D$63:$AL$63,MATCH(F$7,'Inputs (2)'!$D$2:$AL$2,0)),"")</f>
        <v/>
      </c>
      <c r="G36" s="513" t="str">
        <f>IFERROR(INDEX('Inputs (2)'!$D$63:$AL$63,MATCH(G$7,'Inputs (2)'!$D$2:$AL$2,0)),"")</f>
        <v/>
      </c>
      <c r="H36" s="514" t="str">
        <f>IF(COUNT(D36:G36)=4,SUM(D36:G36),"")</f>
        <v/>
      </c>
      <c r="I36" s="513">
        <f>IFERROR(INDEX('Inputs (2)'!$D$63:$AL$63,MATCH(I$7,'Inputs (2)'!$D$2:$AL$2,0)),"")</f>
        <v>-666</v>
      </c>
      <c r="J36" s="513">
        <f>IFERROR(INDEX('Inputs (2)'!$D$63:$AL$63,MATCH(J$7,'Inputs (2)'!$D$2:$AL$2,0)),"")</f>
        <v>-399</v>
      </c>
      <c r="K36" s="513">
        <f>IFERROR(INDEX('Inputs (2)'!$D$63:$AL$63,MATCH(K$7,'Inputs (2)'!$D$2:$AL$2,0)),"")</f>
        <v>-732</v>
      </c>
      <c r="L36" s="513">
        <f>IFERROR(INDEX('Inputs (2)'!$D$63:$AL$63,MATCH(L$7,'Inputs (2)'!$D$2:$AL$2,0)),"")</f>
        <v>-889</v>
      </c>
      <c r="M36" s="514">
        <f>IF(COUNT(I36:L36)=4,SUM(I36:L36),"")</f>
        <v>-2686</v>
      </c>
      <c r="N36" s="513">
        <f>IFERROR(INDEX('Inputs (2)'!$D$63:$AL$63,MATCH(N$7,'Inputs (2)'!$D$2:$AL$2,0)),"")</f>
        <v>-560</v>
      </c>
      <c r="O36" s="513">
        <f>IFERROR(INDEX('Inputs (2)'!$D$63:$AL$63,MATCH(O$7,'Inputs (2)'!$D$2:$AL$2,0)),"")</f>
        <v>-644</v>
      </c>
      <c r="P36" s="513">
        <f>IFERROR(INDEX('Inputs (2)'!$D$63:$AL$63,MATCH(P$7,'Inputs (2)'!$D$2:$AL$2,0)),"")</f>
        <v>-594</v>
      </c>
      <c r="Q36" s="513">
        <f>IFERROR(INDEX('Inputs (2)'!$D$63:$AL$63,MATCH(Q$7,'Inputs (2)'!$D$2:$AL$2,0)),"")</f>
        <v>-674</v>
      </c>
      <c r="R36" s="514">
        <f>IF(COUNT(N36:Q36)=4,SUM(N36:Q36),"")</f>
        <v>-2472</v>
      </c>
      <c r="S36" s="513">
        <f>IFERROR(INDEX('Inputs (2)'!$D$63:$AL$63,MATCH(S$7,'Inputs (2)'!$D$2:$AL$2,0)),"")</f>
        <v>-1057</v>
      </c>
      <c r="T36" s="513">
        <f>IFERROR(INDEX('Inputs (2)'!$D$63:$AL$63,MATCH(T$7,'Inputs (2)'!$D$2:$AL$2,0)),"")</f>
        <v>-689</v>
      </c>
      <c r="U36" s="513">
        <f>IFERROR(INDEX('Inputs (2)'!$D$63:$AL$63,MATCH(U$7,'Inputs (2)'!$D$2:$AL$2,0)),"")</f>
        <v>-519</v>
      </c>
      <c r="V36" s="513">
        <f>IFERROR(INDEX('Inputs (2)'!$D$63:$AL$63,MATCH(V$7,'Inputs (2)'!$D$2:$AL$2,0)),"")</f>
        <v>-609</v>
      </c>
      <c r="W36" s="514">
        <f>IF(COUNT(S36:V36)=4,SUM(S36:V36),"")</f>
        <v>-2874</v>
      </c>
      <c r="X36" s="513">
        <f>IFERROR(INDEX('Inputs (2)'!$D$63:$AL$63,MATCH(X$7,'Inputs (2)'!$D$2:$AL$2,0)),"")</f>
        <v>-368</v>
      </c>
      <c r="Y36" s="513">
        <f>IFERROR(INDEX('Inputs (2)'!$D$63:$AL$63,MATCH(Y$7,'Inputs (2)'!$D$2:$AL$2,0)),"")</f>
        <v>-576</v>
      </c>
      <c r="Z36" s="513">
        <f>IFERROR(INDEX('Inputs (2)'!$D$63:$AL$63,MATCH(Z$7,'Inputs (2)'!$D$2:$AL$2,0)),"")</f>
        <v>-643</v>
      </c>
      <c r="AA36" s="513">
        <f>IFERROR(INDEX('Inputs (2)'!$D$63:$AL$63,MATCH(AA$7,'Inputs (2)'!$D$2:$AL$2,0)),"")</f>
        <v>-380</v>
      </c>
      <c r="AB36" s="514">
        <f>IF(COUNT(X36:AA36)=4,SUM(X36:AA36),"")</f>
        <v>-1967</v>
      </c>
      <c r="AC36" s="513">
        <f>IFERROR(INDEX('Inputs (2)'!$D$63:$AL$63,MATCH(AC$7,'Inputs (2)'!$D$2:$AL$2,0)),"")</f>
        <v>-457</v>
      </c>
      <c r="AD36" s="513">
        <f>IFERROR(INDEX('Inputs (2)'!$D$63:$AL$63,MATCH(AD$7,'Inputs (2)'!$D$2:$AL$2,0)),"")</f>
        <v>-463</v>
      </c>
      <c r="AE36" s="513">
        <f>IFERROR(INDEX('Inputs (2)'!$D$63:$AL$63,MATCH(AE$7,'Inputs (2)'!$D$2:$AL$2,0)),"")</f>
        <v>-383</v>
      </c>
      <c r="AF36" s="513">
        <f>IFERROR(INDEX('Inputs (2)'!$D$63:$AL$63,MATCH(AF$7,'Inputs (2)'!$D$2:$AL$2,0)),"")</f>
        <v>-567</v>
      </c>
      <c r="AG36" s="514">
        <f>IF(COUNT(AC36:AF36)=4,SUM(AC36:AF36),"")</f>
        <v>-1870</v>
      </c>
      <c r="AH36" s="514">
        <f>IFERROR(INDEX('Inputs (2)'!$D$63:$AL$63,MATCH(AH$7,'Inputs (2)'!$D$2:$AL$2,0)),"")</f>
        <v>-908</v>
      </c>
      <c r="AI36" s="514">
        <f>IFERROR(INDEX('Inputs (2)'!$D$63:$AL$63,MATCH(AI$7,'Inputs (2)'!$D$2:$AL$2,0)),"")</f>
        <v>-617</v>
      </c>
    </row>
    <row r="37" s="254">
      <c r="C37" s="515" t="inlineStr">
        <is>
          <t>Adjusted Earnings (soma dos segmentos)</t>
        </is>
      </c>
      <c r="D37" s="513" t="str">
        <f>IF(COUNT(D31,D32,D33,D34,D35,D36)=0,"",N(D31)+N(D32)+N(D33)+N(D34)+N(D35)+N(D36))</f>
        <v/>
      </c>
      <c r="E37" s="513" t="str">
        <f>IF(COUNT(E31,E32,E33,E34,E35,E36)=0,"",N(E31)+N(E32)+N(E33)+N(E34)+N(E35)+N(E36))</f>
        <v/>
      </c>
      <c r="F37" s="513" t="str">
        <f>IF(COUNT(F31,F32,F33,F34,F35,F36)=0,"",N(F31)+N(F32)+N(F33)+N(F34)+N(F35)+N(F36))</f>
        <v/>
      </c>
      <c r="G37" s="513" t="str">
        <f>IF(COUNT(G31,G32,G33,G34,G35,G36)=0,"",N(G31)+N(G32)+N(G33)+N(G34)+N(G35)+N(G36))</f>
        <v/>
      </c>
      <c r="H37" s="514" t="str">
        <f>IF(COUNT(H31,H32,H33,H34,H35,H36)=0,"",N(H31)+N(H32)+N(H33)+N(H34)+N(H35)+N(H36))</f>
        <v/>
      </c>
      <c r="I37" s="513">
        <f>IF(COUNT(I31,I32,I33,I34,I35,I36)=0,"",N(I31)+N(I32)+N(I33)+N(I34)+N(I35)+N(I36))</f>
        <v>3319</v>
      </c>
      <c r="J37" s="513">
        <f>IF(COUNT(J31,J32,J33,J34,J35,J36)=0,"",N(J31)+N(J32)+N(J33)+N(J34)+N(J35)+N(J36))</f>
        <v>5648</v>
      </c>
      <c r="K37" s="513">
        <f>IF(COUNT(K31,K32,K33,K34,K35,K36)=0,"",N(K31)+N(K32)+N(K33)+N(K34)+N(K35)+N(K36))</f>
        <v>4243</v>
      </c>
      <c r="L37" s="513">
        <f>IF(COUNT(L31,L32,L33,L34,L35,L36)=0,"",N(L31)+N(L32)+N(L33)+N(L34)+N(L35)+N(L36))</f>
        <v>6509</v>
      </c>
      <c r="M37" s="514">
        <f>IF(COUNT(M31,M32,M33,M34,M35,M36)=0,"",N(M31)+N(M32)+N(M33)+N(M34)+N(M35)+N(M36))</f>
        <v>19719</v>
      </c>
      <c r="N37" s="513">
        <f>IF(COUNT(N31,N32,N33,N34,N35,N36)=0,"",N(N31)+N(N32)+N(N33)+N(N34)+N(N35)+N(N36))</f>
        <v>9244</v>
      </c>
      <c r="O37" s="513">
        <f>IF(COUNT(O31,O32,O33,O34,O35,O36)=0,"",N(O31)+N(O32)+N(O33)+N(O34)+N(O35)+N(O36))</f>
        <v>11554</v>
      </c>
      <c r="P37" s="513">
        <f>IF(COUNT(P31,P32,P33,P34,P35,P36)=0,"",N(P31)+N(P32)+N(P33)+N(P34)+N(P35)+N(P36))</f>
        <v>9618</v>
      </c>
      <c r="Q37" s="513">
        <f>IF(COUNT(Q31,Q32,Q33,Q34,Q35,Q36)=0,"",N(Q31)+N(Q32)+N(Q33)+N(Q34)+N(Q35)+N(Q36))</f>
        <v>9887</v>
      </c>
      <c r="R37" s="514">
        <f>IF(COUNT(R31,R32,R33,R34,R35,R36)=0,"",N(R31)+N(R32)+N(R33)+N(R34)+N(R35)+N(R36))</f>
        <v>40303</v>
      </c>
      <c r="S37" s="513">
        <f>IF(COUNT(S31,S32,S33,S34,S35,S36)=0,"",N(S31)+N(S32)+N(S33)+N(S34)+N(S35)+N(S36))</f>
        <v>9720</v>
      </c>
      <c r="T37" s="513">
        <f>IF(COUNT(T31,T32,T33,T34,T35,T36)=0,"",N(T31)+N(T32)+N(T33)+N(T34)+N(T35)+N(T36))</f>
        <v>5098</v>
      </c>
      <c r="U37" s="513">
        <f>IF(COUNT(U31,U32,U33,U34,U35,U36)=0,"",N(U31)+N(U32)+N(U33)+N(U34)+N(U35)+N(U36))</f>
        <v>6299</v>
      </c>
      <c r="V37" s="513">
        <f>IF(COUNT(V31,V32,V33,V34,V35,V36)=0,"",N(V31)+N(V32)+N(V33)+N(V34)+N(V35)+N(V36))</f>
        <v>7415</v>
      </c>
      <c r="W37" s="514">
        <f>IF(COUNT(W31,W32,W33,W34,W35,W36)=0,"",N(W31)+N(W32)+N(W33)+N(W34)+N(W35)+N(W36))</f>
        <v>28532</v>
      </c>
      <c r="X37" s="513">
        <f>IF(COUNT(X31,X32,X33,X34,X35,X36)=0,"",N(X31)+N(X32)+N(X33)+N(X34)+N(X35)+N(X36))</f>
        <v>7804</v>
      </c>
      <c r="Y37" s="513">
        <f>IF(COUNT(Y31,Y32,Y33,Y34,Y35,Y36)=0,"",N(Y31)+N(Y32)+N(Y33)+N(Y34)+N(Y35)+N(Y36))</f>
        <v>6415</v>
      </c>
      <c r="Z37" s="513">
        <f>IF(COUNT(Z31,Z32,Z33,Z34,Z35,Z36)=0,"",N(Z31)+N(Z32)+N(Z33)+N(Z34)+N(Z35)+N(Z36))</f>
        <v>6154</v>
      </c>
      <c r="AA37" s="513">
        <f>IF(COUNT(AA31,AA32,AA33,AA34,AA35,AA36)=0,"",N(AA31)+N(AA32)+N(AA33)+N(AA34)+N(AA35)+N(AA36))</f>
        <v>3766</v>
      </c>
      <c r="AB37" s="514">
        <f>IF(COUNT(AB31,AB32,AB33,AB34,AB35,AB36)=0,"",N(AB31)+N(AB32)+N(AB33)+N(AB34)+N(AB35)+N(AB36))</f>
        <v>24139</v>
      </c>
      <c r="AC37" s="513">
        <f>IF(COUNT(AC31,AC32,AC33,AC34,AC35,AC36)=0,"",N(AC31)+N(AC32)+N(AC33)+N(AC34)+N(AC35)+N(AC36))</f>
        <v>5670</v>
      </c>
      <c r="AD37" s="513">
        <f>IF(COUNT(AD31,AD32,AD33,AD34,AD35,AD36)=0,"",N(AD31)+N(AD32)+N(AD33)+N(AD34)+N(AD35)+N(AD36))</f>
        <v>4314</v>
      </c>
      <c r="AE37" s="513">
        <f>IF(COUNT(AE31,AE32,AE33,AE34,AE35,AE36)=0,"",N(AE31)+N(AE32)+N(AE33)+N(AE34)+N(AE35)+N(AE36))</f>
        <v>5522</v>
      </c>
      <c r="AF37" s="513">
        <f>IF(COUNT(AF31,AF32,AF33,AF34,AF35,AF36)=0,"",N(AF31)+N(AF32)+N(AF33)+N(AF34)+N(AF35)+N(AF36))</f>
        <v>3307</v>
      </c>
      <c r="AG37" s="514">
        <f>IF(COUNT(AG31,AG32,AG33,AG34,AG35,AG36)=0,"",N(AG31)+N(AG32)+N(AG33)+N(AG34)+N(AG35)+N(AG36))</f>
        <v>18813</v>
      </c>
      <c r="AH37" s="514">
        <f>IF(COUNT(AH31,AH32,AH33,AH34,AH35,AH36)=0,"",N(AH31)+N(AH32)+N(AH33)+N(AH34)+N(AH35)+N(AH36))</f>
        <v>6895</v>
      </c>
      <c r="AI37" s="514">
        <f>IF(COUNT(AI31,AI32,AI33,AI34,AI35,AI36)=0,"",N(AI31)+N(AI32)+N(AI33)+N(AI34)+N(AI35)+N(AI36))</f>
        <v>9844</v>
      </c>
    </row>
    <row r="38" s="254"/>
    <row r="39" s="254"/>
    <row r="40" s="254"/>
    <row r="41" s="254"/>
    <row r="42" s="254"/>
    <row r="43" s="254"/>
    <row r="44" s="254"/>
    <row r="45" s="254"/>
    <row r="46" s="254"/>
    <row r="47" s="254"/>
    <row r="48" s="254"/>
    <row r="49" s="254"/>
    <row r="50" s="254"/>
    <row r="51" s="254"/>
    <row r="52" s="254"/>
    <row r="53" s="254"/>
    <row r="54" s="254"/>
    <row r="55" s="254"/>
    <row r="56" s="254"/>
    <row r="57" s="254"/>
    <row r="58" hidden="1" outlineLevel="1" ht="12.75" customFormat="1" customHeight="1" s="289">
      <c r="A58" s="290" t="n"/>
      <c r="B58" s="291" t="n"/>
      <c r="C58" s="298" t="n"/>
      <c r="D58" s="293" t="n"/>
      <c r="E58" s="293" t="n"/>
      <c r="F58" s="293" t="n"/>
      <c r="G58" s="293" t="n"/>
      <c r="H58" s="293" t="n"/>
      <c r="I58" s="293" t="n"/>
      <c r="J58" s="293" t="n"/>
      <c r="K58" s="293" t="n"/>
      <c r="L58" s="293" t="n"/>
      <c r="M58" s="293" t="n"/>
      <c r="N58" s="293" t="n"/>
      <c r="O58" s="293" t="n"/>
      <c r="P58" s="293" t="n"/>
      <c r="Q58" s="293" t="n"/>
      <c r="R58" s="293" t="n"/>
      <c r="S58" s="293" t="n"/>
      <c r="T58" s="293" t="n"/>
      <c r="U58" s="293" t="n"/>
      <c r="V58" s="293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n"/>
      <c r="AI58" s="293" t="n"/>
      <c r="AJ58" s="293" t="n"/>
      <c r="AK58" s="293" t="n"/>
      <c r="AL58" s="293" t="n"/>
      <c r="AM58" s="293" t="n"/>
      <c r="AN58" s="293" t="n"/>
      <c r="AO58" s="293" t="n"/>
      <c r="AP58" s="293" t="n"/>
      <c r="AQ58" s="293" t="n"/>
      <c r="AR58" s="293" t="n"/>
      <c r="AS58" s="293" t="n"/>
      <c r="AT58" s="293" t="n"/>
      <c r="AU58" s="293" t="n"/>
      <c r="AV58" s="293" t="n"/>
      <c r="AW58" s="293" t="n"/>
      <c r="AX58" s="293" t="n"/>
      <c r="AY58" s="293" t="n"/>
      <c r="AZ58" s="293" t="n"/>
      <c r="BA58" s="293" t="n"/>
      <c r="BB58" s="293" t="n"/>
      <c r="BC58" s="293" t="n"/>
      <c r="BD58" s="293" t="n"/>
      <c r="BE58" s="293" t="n"/>
      <c r="BF58" s="293" t="n"/>
      <c r="BG58" s="293" t="n"/>
      <c r="BH58" s="293" t="n"/>
      <c r="BI58" s="293" t="n"/>
      <c r="BJ58" s="293" t="n"/>
      <c r="BK58" s="293" t="n"/>
      <c r="BL58" s="293" t="n"/>
      <c r="BM58" s="293" t="n"/>
      <c r="BN58" s="293" t="n"/>
      <c r="BO58" s="293" t="n"/>
      <c r="BP58" s="293" t="n"/>
      <c r="BQ58" s="293" t="n"/>
      <c r="BR58" s="293" t="n"/>
      <c r="BS58" s="293" t="n"/>
      <c r="BT58" s="293" t="n"/>
      <c r="BU58" s="293" t="n"/>
      <c r="BV58" s="293" t="n"/>
      <c r="BW58" s="293" t="n"/>
      <c r="BX58" s="293" t="n"/>
      <c r="BY58" s="293" t="n"/>
      <c r="BZ58" s="293" t="n"/>
      <c r="CA58" s="293" t="n"/>
      <c r="CB58" s="293" t="n"/>
      <c r="CC58" s="293" t="n"/>
      <c r="CD58" s="293" t="n"/>
      <c r="CE58" s="293" t="n"/>
      <c r="CF58" s="293" t="n"/>
      <c r="CG58" s="293" t="n"/>
      <c r="CH58" s="293" t="n"/>
      <c r="CI58" s="293" t="n"/>
      <c r="CJ58" s="293" t="n"/>
      <c r="CK58" s="293" t="n"/>
      <c r="CL58" s="293" t="n"/>
      <c r="CM58" s="293" t="n"/>
      <c r="CN58" s="293" t="n"/>
      <c r="CO58" s="293" t="n"/>
      <c r="CP58" s="293" t="n"/>
      <c r="CQ58" s="293" t="n"/>
      <c r="CR58" s="293" t="n"/>
      <c r="CS58" s="293" t="n"/>
      <c r="CT58" s="293" t="n"/>
      <c r="CU58" s="293" t="n"/>
      <c r="CV58" s="293" t="n"/>
      <c r="CW58" s="293" t="n"/>
      <c r="CX58" s="293" t="n"/>
      <c r="CY58" s="293" t="n"/>
    </row>
    <row r="59" hidden="1" outlineLevel="1" ht="12.75" customFormat="1" customHeight="1" s="289">
      <c r="A59" s="290" t="n"/>
      <c r="B59" s="291" t="n"/>
      <c r="C59" s="298" t="n"/>
      <c r="D59" s="293" t="n"/>
      <c r="E59" s="293" t="n"/>
      <c r="F59" s="293" t="n"/>
      <c r="G59" s="293" t="n"/>
      <c r="H59" s="293" t="n"/>
      <c r="I59" s="293" t="n"/>
      <c r="J59" s="293" t="n"/>
      <c r="K59" s="293" t="n"/>
      <c r="L59" s="293" t="n"/>
      <c r="M59" s="293" t="n"/>
      <c r="N59" s="293" t="n"/>
      <c r="O59" s="293" t="n"/>
      <c r="P59" s="293" t="n"/>
      <c r="Q59" s="293" t="n"/>
      <c r="R59" s="293" t="n"/>
      <c r="S59" s="293" t="n"/>
      <c r="T59" s="293" t="n"/>
      <c r="U59" s="293" t="n"/>
      <c r="V59" s="293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n"/>
      <c r="AI59" s="293" t="n"/>
      <c r="AJ59" s="293" t="n"/>
      <c r="AK59" s="293" t="n"/>
      <c r="AL59" s="293" t="n"/>
      <c r="AM59" s="293" t="n"/>
      <c r="AN59" s="293" t="n"/>
      <c r="AO59" s="293" t="n"/>
      <c r="AP59" s="293" t="n"/>
      <c r="AQ59" s="293" t="n"/>
      <c r="AR59" s="293" t="n"/>
      <c r="AS59" s="293" t="n"/>
      <c r="AT59" s="293" t="n"/>
      <c r="AU59" s="293" t="n"/>
      <c r="AV59" s="293" t="n"/>
      <c r="AW59" s="293" t="n"/>
      <c r="AX59" s="293" t="n"/>
      <c r="AY59" s="293" t="n"/>
      <c r="AZ59" s="293" t="n"/>
      <c r="BA59" s="293" t="n"/>
      <c r="BB59" s="293" t="n"/>
      <c r="BC59" s="293" t="n"/>
      <c r="BD59" s="293" t="n"/>
      <c r="BE59" s="293" t="n"/>
      <c r="BF59" s="293" t="n"/>
      <c r="BG59" s="293" t="n"/>
      <c r="BH59" s="293" t="n"/>
      <c r="BI59" s="293" t="n"/>
      <c r="BJ59" s="293" t="n"/>
      <c r="BK59" s="293" t="n"/>
      <c r="BL59" s="293" t="n"/>
      <c r="BM59" s="293" t="n"/>
      <c r="BN59" s="293" t="n"/>
      <c r="BO59" s="293" t="n"/>
      <c r="BP59" s="293" t="n"/>
      <c r="BQ59" s="293" t="n"/>
      <c r="BR59" s="293" t="n"/>
      <c r="BS59" s="293" t="n"/>
      <c r="BT59" s="293" t="n"/>
      <c r="BU59" s="293" t="n"/>
      <c r="BV59" s="293" t="n"/>
      <c r="BW59" s="293" t="n"/>
      <c r="BX59" s="293" t="n"/>
      <c r="BY59" s="293" t="n"/>
      <c r="BZ59" s="293" t="n"/>
      <c r="CA59" s="293" t="n"/>
      <c r="CB59" s="293" t="n"/>
      <c r="CC59" s="293" t="n"/>
      <c r="CD59" s="293" t="n"/>
      <c r="CE59" s="293" t="n"/>
      <c r="CF59" s="293" t="n"/>
      <c r="CG59" s="293" t="n"/>
      <c r="CH59" s="293" t="n"/>
      <c r="CI59" s="293" t="n"/>
      <c r="CJ59" s="293" t="n"/>
      <c r="CK59" s="293" t="n"/>
      <c r="CL59" s="293" t="n"/>
      <c r="CM59" s="293" t="n"/>
      <c r="CN59" s="293" t="n"/>
      <c r="CO59" s="293" t="n"/>
      <c r="CP59" s="293" t="n"/>
      <c r="CQ59" s="293" t="n"/>
      <c r="CR59" s="293" t="n"/>
      <c r="CS59" s="293" t="n"/>
      <c r="CT59" s="293" t="n"/>
      <c r="CU59" s="293" t="n"/>
      <c r="CV59" s="293" t="n"/>
      <c r="CW59" s="293" t="n"/>
      <c r="CX59" s="293" t="n"/>
      <c r="CY59" s="293" t="n"/>
    </row>
    <row r="60" ht="12.75" customHeight="1" s="254">
      <c r="C60" s="267" t="inlineStr">
        <is>
          <t>COGS (cash)</t>
        </is>
      </c>
      <c r="D60" s="299" t="n"/>
      <c r="E60" s="299" t="n"/>
      <c r="F60" s="299" t="n"/>
      <c r="G60" s="299" t="n"/>
      <c r="H60" s="266">
        <f>SUM(D60:G60)</f>
        <v>0</v>
      </c>
      <c r="I60" s="299">
        <f>INDEX('Inputs (2)'!$D$5:$AL$5,MATCH(I$7,'Inputs (2)'!$D$2:$AL$2,0))</f>
        <v>-34369</v>
      </c>
      <c r="J60" s="299">
        <f>INDEX('Inputs (2)'!$D$5:$AL$5,MATCH(J$7,'Inputs (2)'!$D$2:$AL$2,0))</f>
        <v>-39717</v>
      </c>
      <c r="K60" s="299">
        <f>INDEX('Inputs (2)'!$D$5:$AL$5,MATCH(K$7,'Inputs (2)'!$D$2:$AL$2,0))</f>
        <v>-44260</v>
      </c>
      <c r="L60" s="299">
        <f>INDEX('Inputs (2)'!$D$5:$AL$5,MATCH(L$7,'Inputs (2)'!$D$2:$AL$2,0))</f>
        <v>-56566</v>
      </c>
      <c r="M60" s="266">
        <f>SUM(I60:L60)</f>
        <v>-174912</v>
      </c>
      <c r="N60" s="299">
        <f>INDEX('Inputs (2)'!$D$5:$AL$5,MATCH(N$7,'Inputs (2)'!$D$2:$AL$2,0))</f>
        <v>-55657</v>
      </c>
      <c r="O60" s="299">
        <f>INDEX('Inputs (2)'!$D$5:$AL$5,MATCH(O$7,'Inputs (2)'!$D$2:$AL$2,0))</f>
        <v>-66658</v>
      </c>
      <c r="P60" s="299">
        <f>INDEX('Inputs (2)'!$D$5:$AL$5,MATCH(P$7,'Inputs (2)'!$D$2:$AL$2,0))</f>
        <v>-70684</v>
      </c>
      <c r="Q60" s="299">
        <f>INDEX('Inputs (2)'!$D$5:$AL$5,MATCH(Q$7,'Inputs (2)'!$D$2:$AL$2,0))</f>
        <v>-65489</v>
      </c>
      <c r="R60" s="266">
        <f>SUM(N60:Q60)</f>
        <v>-258488</v>
      </c>
      <c r="S60" s="299">
        <f>INDEX('Inputs (2)'!$D$5:$AL$5,MATCH(S$7,'Inputs (2)'!$D$2:$AL$2,0))</f>
        <v>-57502</v>
      </c>
      <c r="T60" s="299">
        <f>INDEX('Inputs (2)'!$D$5:$AL$5,MATCH(T$7,'Inputs (2)'!$D$2:$AL$2,0))</f>
        <v>-51492</v>
      </c>
      <c r="U60" s="299">
        <f>INDEX('Inputs (2)'!$D$5:$AL$5,MATCH(U$7,'Inputs (2)'!$D$2:$AL$2,0))</f>
        <v>-49144</v>
      </c>
      <c r="V60" s="299">
        <f>INDEX('Inputs (2)'!$D$5:$AL$5,MATCH(V$7,'Inputs (2)'!$D$2:$AL$2,0))</f>
        <v>-54745</v>
      </c>
      <c r="W60" s="266">
        <f>SUM(S60:V60)</f>
        <v>-212883</v>
      </c>
      <c r="X60" s="299">
        <f>INDEX('Inputs (2)'!$D$5:$AL$5,MATCH(X$7,'Inputs (2)'!$D$2:$AL$2,0))</f>
        <v>-46867</v>
      </c>
      <c r="Y60" s="299">
        <f>INDEX('Inputs (2)'!$D$5:$AL$5,MATCH(Y$7,'Inputs (2)'!$D$2:$AL$2,0))</f>
        <v>-49417</v>
      </c>
      <c r="Z60" s="299">
        <f>INDEX('Inputs (2)'!$D$5:$AL$5,MATCH(Z$7,'Inputs (2)'!$D$2:$AL$2,0))</f>
        <v>-48225</v>
      </c>
      <c r="AA60" s="299">
        <f>INDEX('Inputs (2)'!$D$5:$AL$5,MATCH(AA$7,'Inputs (2)'!$D$2:$AL$2,0))</f>
        <v>-43610</v>
      </c>
      <c r="AB60" s="266">
        <f>SUM(X60:AA60)</f>
        <v>-188119</v>
      </c>
      <c r="AC60" s="299">
        <f>INDEX('Inputs (2)'!$D$5:$AL$5,MATCH(AC$7,'Inputs (2)'!$D$2:$AL$2,0))</f>
        <v>-45849</v>
      </c>
      <c r="AD60" s="299">
        <f>INDEX('Inputs (2)'!$D$5:$AL$5,MATCH(AD$7,'Inputs (2)'!$D$2:$AL$2,0))</f>
        <v>-44099</v>
      </c>
      <c r="AE60" s="299">
        <f>INDEX('Inputs (2)'!$D$5:$AL$5,MATCH(AE$7,'Inputs (2)'!$D$2:$AL$2,0))</f>
        <v>-45145</v>
      </c>
      <c r="AF60" s="299">
        <f>INDEX('Inputs (2)'!$D$5:$AL$5,MATCH(AF$7,'Inputs (2)'!$D$2:$AL$2,0))</f>
        <v>-42102</v>
      </c>
      <c r="AG60" s="266">
        <f>SUM(AC60:AF60)</f>
        <v>-177195</v>
      </c>
      <c r="AH60" s="266">
        <f>INDEX('Inputs (2)'!$D$5:$AL$5,MATCH(AH$7,'Inputs (2)'!$D$2:$AL$2,0))</f>
        <v>-44775</v>
      </c>
      <c r="AI60" s="266">
        <f>INDEX('Inputs (2)'!$D$5:$AL$5,MATCH(AI$7,'Inputs (2)'!$D$2:$AL$2,0))</f>
        <v>-64530</v>
      </c>
      <c r="AJ60" s="266">
        <f>(100%-AJ61)*-AJ15</f>
        <v>-68153</v>
      </c>
      <c r="AK60" s="266">
        <f>(100%-AK61)*-AK15</f>
        <v>-64093</v>
      </c>
      <c r="AL60" s="266">
        <f>SUM(AH60:AK60)</f>
        <v>-241551</v>
      </c>
      <c r="AM60" s="266">
        <f>(100%-AM61)*-AM15</f>
        <v>-69691</v>
      </c>
      <c r="AN60" s="266">
        <f>(100%-AN61)*-AN15</f>
        <v>-94664</v>
      </c>
      <c r="AO60" s="266">
        <f>(100%-AO61)*-AO15</f>
        <v>-68153</v>
      </c>
      <c r="AP60" s="266">
        <f>(100%-AP61)*-AP15</f>
        <v>-64093</v>
      </c>
      <c r="AQ60" s="266">
        <f>SUM(AM60:AP60)</f>
        <v>-296601</v>
      </c>
      <c r="AR60" s="266">
        <f>(100%-AR61)*-AR15</f>
        <v>-69691</v>
      </c>
      <c r="AS60" s="266">
        <f>(100%-AS61)*-AS15</f>
        <v>-94664</v>
      </c>
      <c r="AT60" s="266">
        <f>(100%-AT61)*-AT15</f>
        <v>-68153</v>
      </c>
      <c r="AU60" s="266">
        <f>(100%-AU61)*-AU15</f>
        <v>-64093</v>
      </c>
      <c r="AV60" s="266">
        <f>SUM(AR60:AU60)</f>
        <v>-296601</v>
      </c>
      <c r="AW60" s="266">
        <f>(100%-AW61)*-AW15</f>
        <v>-69691</v>
      </c>
      <c r="AX60" s="266">
        <f>(100%-AX61)*-AX15</f>
        <v>-94664</v>
      </c>
      <c r="AY60" s="266">
        <f>(100%-AY61)*-AY15</f>
        <v>-68153</v>
      </c>
      <c r="AZ60" s="266">
        <f>(100%-AZ61)*-AZ15</f>
        <v>-64093</v>
      </c>
      <c r="BA60" s="266">
        <f>SUM(AW60:AZ60)</f>
        <v>-296601</v>
      </c>
      <c r="BB60" s="266">
        <f>(100%-BB61)*-BB15</f>
        <v>-69691</v>
      </c>
      <c r="BC60" s="266">
        <f>(100%-BC61)*-BC15</f>
        <v>-94664</v>
      </c>
      <c r="BD60" s="266">
        <f>(100%-BD61)*-BD15</f>
        <v>-68153</v>
      </c>
      <c r="BE60" s="266">
        <f>(100%-BE61)*-BE15</f>
        <v>-64093</v>
      </c>
      <c r="BF60" s="266">
        <f>SUM(BB60:BE60)</f>
        <v>-296601</v>
      </c>
      <c r="BG60" s="266">
        <f>(100%-BG61)*-BG15</f>
        <v>-69691</v>
      </c>
      <c r="BH60" s="266">
        <f>(100%-BH61)*-BH15</f>
        <v>-94664</v>
      </c>
      <c r="BI60" s="266">
        <f>(100%-BI61)*-BI15</f>
        <v>-68153</v>
      </c>
      <c r="BJ60" s="266">
        <f>(100%-BJ61)*-BJ15</f>
        <v>-64093</v>
      </c>
      <c r="BK60" s="266">
        <f>SUM(BG60:BJ60)</f>
        <v>-296601</v>
      </c>
      <c r="BL60" s="266">
        <f>(100%-BL61)*-BL15</f>
        <v>-69691</v>
      </c>
      <c r="BM60" s="266">
        <f>(100%-BM61)*-BM15</f>
        <v>-94664</v>
      </c>
      <c r="BN60" s="266">
        <f>(100%-BN61)*-BN15</f>
        <v>-68153</v>
      </c>
      <c r="BO60" s="266">
        <f>(100%-BO61)*-BO15</f>
        <v>-64093</v>
      </c>
      <c r="BP60" s="266">
        <f>SUM(BL60:BO60)</f>
        <v>-296601</v>
      </c>
      <c r="BQ60" s="266">
        <f>(100%-BQ61)*-BQ15</f>
        <v>-69691</v>
      </c>
      <c r="BR60" s="266">
        <f>(100%-BR61)*-BR15</f>
        <v>-94664</v>
      </c>
      <c r="BS60" s="266">
        <f>(100%-BS61)*-BS15</f>
        <v>-68153</v>
      </c>
      <c r="BT60" s="266">
        <f>(100%-BT61)*-BT15</f>
        <v>-64093</v>
      </c>
      <c r="BU60" s="266">
        <f>SUM(BQ60:BT60)</f>
        <v>-296601</v>
      </c>
      <c r="BV60" s="266">
        <f>(100%-BV61)*-BV15</f>
        <v>-69691</v>
      </c>
      <c r="BW60" s="266">
        <f>(100%-BW61)*-BW15</f>
        <v>-94664</v>
      </c>
      <c r="BX60" s="266">
        <f>(100%-BX61)*-BX15</f>
        <v>-68153</v>
      </c>
      <c r="BY60" s="266">
        <f>(100%-BY61)*-BY15</f>
        <v>-64093</v>
      </c>
      <c r="BZ60" s="266">
        <f>SUM(BV60:BY60)</f>
        <v>-296601</v>
      </c>
      <c r="CA60" s="266">
        <f>(100%-CA61)*-CA15</f>
        <v>-69691</v>
      </c>
      <c r="CB60" s="266">
        <f>(100%-CB61)*-CB15</f>
        <v>-94664</v>
      </c>
      <c r="CC60" s="266">
        <f>(100%-CC61)*-CC15</f>
        <v>-68153</v>
      </c>
      <c r="CD60" s="266">
        <f>(100%-CD61)*-CD15</f>
        <v>-64093</v>
      </c>
      <c r="CE60" s="266">
        <f>SUM(CA60:CD60)</f>
        <v>-296601</v>
      </c>
      <c r="CF60" s="266">
        <f>(100%-CF61)*-CF15</f>
        <v>-69691</v>
      </c>
      <c r="CG60" s="266">
        <f>(100%-CG61)*-CG15</f>
        <v>-94664</v>
      </c>
      <c r="CH60" s="266">
        <f>(100%-CH61)*-CH15</f>
        <v>-68153</v>
      </c>
      <c r="CI60" s="266">
        <f>(100%-CI61)*-CI15</f>
        <v>-64093</v>
      </c>
      <c r="CJ60" s="266">
        <f>SUM(CF60:CI60)</f>
        <v>-296601</v>
      </c>
      <c r="CK60" s="266">
        <f>(100%-CK61)*-CK15</f>
        <v>-69691</v>
      </c>
      <c r="CL60" s="266">
        <f>(100%-CL61)*-CL15</f>
        <v>-94664</v>
      </c>
      <c r="CM60" s="266">
        <f>(100%-CM61)*-CM15</f>
        <v>-68153</v>
      </c>
      <c r="CN60" s="266">
        <f>(100%-CN61)*-CN15</f>
        <v>-64093</v>
      </c>
      <c r="CO60" s="266">
        <f>SUM(CK60:CN60)</f>
        <v>-296601</v>
      </c>
      <c r="CP60" s="266">
        <f>(100%-CP61)*-CP15</f>
        <v>-69691</v>
      </c>
      <c r="CQ60" s="266">
        <f>(100%-CQ61)*-CQ15</f>
        <v>-94664</v>
      </c>
      <c r="CR60" s="266">
        <f>(100%-CR61)*-CR15</f>
        <v>-68153</v>
      </c>
      <c r="CS60" s="266">
        <f>(100%-CS61)*-CS15</f>
        <v>-64093</v>
      </c>
      <c r="CT60" s="266">
        <f>SUM(CP60:CS60)</f>
        <v>-296601</v>
      </c>
      <c r="CU60" s="266">
        <f>(100%-CU61)*-CU15</f>
        <v>-69691</v>
      </c>
      <c r="CV60" s="266">
        <f>(100%-CV61)*-CV15</f>
        <v>-94664</v>
      </c>
      <c r="CW60" s="266">
        <f>(100%-CW61)*-CW15</f>
        <v>-68153</v>
      </c>
      <c r="CX60" s="266">
        <f>(100%-CX61)*-CX15</f>
        <v>-64093</v>
      </c>
      <c r="CY60" s="266">
        <f>SUM(CU60:CX60)</f>
        <v>-296601</v>
      </c>
    </row>
    <row r="61" hidden="1" outlineLevel="1" ht="12.75" customFormat="1" customHeight="1" s="257">
      <c r="C61" s="300" t="inlineStr">
        <is>
          <t>% Gross Margin</t>
        </is>
      </c>
      <c r="D61" s="301" t="str">
        <f>IFERROR((D15+D60)/D$15,"")</f>
        <v/>
      </c>
      <c r="E61" s="301" t="str">
        <f>IFERROR((E15+E60)/E$15,"")</f>
        <v/>
      </c>
      <c r="F61" s="301" t="str">
        <f>IFERROR((F15+F60)/F$15,"")</f>
        <v/>
      </c>
      <c r="G61" s="301" t="str">
        <f>IFERROR((G15+G60)/G$15,"")</f>
        <v/>
      </c>
      <c r="H61" s="301" t="str">
        <f>IFERROR((H15+H60)/H$15,"")</f>
        <v/>
      </c>
      <c r="I61" s="301">
        <f>IFERROR((I15+I60)/I$15,"")</f>
        <v>0.382574328572712</v>
      </c>
      <c r="J61" s="301">
        <f>IFERROR((J15+J60)/J$15,"")</f>
        <v>0.343683384284888</v>
      </c>
      <c r="K61" s="301">
        <f>IFERROR((K15+K60)/K$15,"")</f>
        <v>0.262873892478849</v>
      </c>
      <c r="L61" s="301">
        <f>IFERROR((L15+L60)/L$15,"")</f>
        <v>0.336702626641651</v>
      </c>
      <c r="M61" s="301">
        <f>IFERROR((M15+M60)/M$15,"")</f>
        <v>0.331130690161527</v>
      </c>
      <c r="N61" s="301">
        <f>IFERROR((N15+N60)/N$15,"")</f>
        <v>0.339021899197188</v>
      </c>
      <c r="O61" s="301">
        <f>IFERROR((O15+O60)/O$15,"")</f>
        <v>0.333813050300323</v>
      </c>
      <c r="P61" s="301">
        <f>IFERROR((P15+P60)/P$15,"")</f>
        <v>0.261778190894944</v>
      </c>
      <c r="Q61" s="301">
        <f>IFERROR((Q15+Q60)/Q$15,"")</f>
        <v>0.353533459028854</v>
      </c>
      <c r="R61" s="301">
        <f>IFERROR((R15+R60)/R$15,"")</f>
        <v>0.322114262486396</v>
      </c>
      <c r="S61" s="301">
        <f>IFERROR((S15+S60)/S$15,"")</f>
        <v>0.338745845743396</v>
      </c>
      <c r="T61" s="301">
        <f>IFERROR((T15+T60)/T$15,"")</f>
        <v>0.309555096677304</v>
      </c>
      <c r="U61" s="301">
        <f>IFERROR((U15+U60)/U$15,"")</f>
        <v>0.356332678454486</v>
      </c>
      <c r="V61" s="301">
        <f>IFERROR((V15+V60)/V$15,"")</f>
        <v>0.304666463445613</v>
      </c>
      <c r="W61" s="301">
        <f>IFERROR((W15+W60)/W$15,"")</f>
        <v>0.327636686364369</v>
      </c>
      <c r="X61" s="301">
        <f>IFERROR((X15+X60)/X$15,"")</f>
        <v>0.353362399624714</v>
      </c>
      <c r="Y61" s="301">
        <f>IFERROR((Y15+Y60)/Y$15,"")</f>
        <v>0.33635496823926</v>
      </c>
      <c r="Z61" s="301">
        <f>IFERROR((Z15+Z60)/Z$15,"")</f>
        <v>0.321625005275078</v>
      </c>
      <c r="AA61" s="301">
        <f>IFERROR((AA15+AA60)/AA$15,"")</f>
        <v>0.342043722937192</v>
      </c>
      <c r="AB61" s="301">
        <f>IFERROR((AB15+AB60)/AB$15,"")</f>
        <v>0.338333726095719</v>
      </c>
      <c r="AC61" s="301">
        <f>IFERROR((AC15+AC60)/AC$15,"")</f>
        <v>0.337767570846694</v>
      </c>
      <c r="AD61" s="301">
        <f>IFERROR((AD15+AD60)/AD$15,"")</f>
        <v>0.325765220316179</v>
      </c>
      <c r="AE61" s="301">
        <f>IFERROR((AE15+AE60)/AE$15,"")</f>
        <v>0.337593356125189</v>
      </c>
      <c r="AF61" s="295">
        <f>IFERROR((AF15+AF60)/AF$15,"")</f>
        <v>0.343110792130186</v>
      </c>
      <c r="AG61" s="301">
        <f>IFERROR((AG15+AG60)/AG$15,"")</f>
        <v>0.336064836671837</v>
      </c>
      <c r="AH61" s="302">
        <f>IFERROR((AH15+AH60)/AH$15,"")</f>
        <v>0.357521057238381</v>
      </c>
      <c r="AI61" s="302">
        <f>IFERROR((AI15+AI60)/AI$15,"")</f>
        <v>0.318325868334319</v>
      </c>
      <c r="AJ61" s="302" t="n"/>
      <c r="AK61" s="302" t="n"/>
      <c r="AL61" s="301">
        <f>IFERROR((AL15+AL60)/AL$15,"")</f>
        <v>0.185602880637624</v>
      </c>
      <c r="AM61" s="302" t="n"/>
      <c r="AN61" s="302" t="n"/>
      <c r="AO61" s="302" t="n"/>
      <c r="AP61" s="302" t="n"/>
      <c r="AQ61" s="301">
        <f>IFERROR((AQ15+AQ60)/AQ$15,"")</f>
        <v>0</v>
      </c>
      <c r="AR61" s="302" t="n"/>
      <c r="AS61" s="302" t="n"/>
      <c r="AT61" s="302" t="n"/>
      <c r="AU61" s="302" t="n"/>
      <c r="AV61" s="301">
        <f>IFERROR((AV15+AV60)/AV$15,"")</f>
        <v>0</v>
      </c>
      <c r="AW61" s="302" t="n"/>
      <c r="AX61" s="302" t="n"/>
      <c r="AY61" s="302" t="n"/>
      <c r="AZ61" s="302" t="n"/>
      <c r="BA61" s="301">
        <f>IFERROR((BA15+BA60)/BA$15,"")</f>
        <v>0</v>
      </c>
      <c r="BB61" s="302" t="n"/>
      <c r="BC61" s="302" t="n"/>
      <c r="BD61" s="302" t="n"/>
      <c r="BE61" s="302" t="n"/>
      <c r="BF61" s="301">
        <f>IFERROR((BF15+BF60)/BF$15,"")</f>
        <v>0</v>
      </c>
      <c r="BG61" s="302" t="n"/>
      <c r="BH61" s="302" t="n"/>
      <c r="BI61" s="302" t="n"/>
      <c r="BJ61" s="302" t="n"/>
      <c r="BK61" s="301">
        <f>IFERROR((BK15+BK60)/BK$15,"")</f>
        <v>0</v>
      </c>
      <c r="BL61" s="302" t="n"/>
      <c r="BM61" s="302" t="n"/>
      <c r="BN61" s="302" t="n"/>
      <c r="BO61" s="302" t="n"/>
      <c r="BP61" s="301">
        <f>IFERROR((BP15+BP60)/BP$15,"")</f>
        <v>0</v>
      </c>
      <c r="BQ61" s="302" t="n"/>
      <c r="BR61" s="302" t="n"/>
      <c r="BS61" s="302" t="n"/>
      <c r="BT61" s="302" t="n"/>
      <c r="BU61" s="301">
        <f>IFERROR((BU15+BU60)/BU$15,"")</f>
        <v>0</v>
      </c>
      <c r="BV61" s="302" t="n"/>
      <c r="BW61" s="302" t="n"/>
      <c r="BX61" s="302" t="n"/>
      <c r="BY61" s="302" t="n"/>
      <c r="BZ61" s="301">
        <f>IFERROR((BZ15+BZ60)/BZ$15,"")</f>
        <v>0</v>
      </c>
      <c r="CA61" s="302" t="n"/>
      <c r="CB61" s="302" t="n"/>
      <c r="CC61" s="302" t="n"/>
      <c r="CD61" s="302" t="n"/>
      <c r="CE61" s="301">
        <f>IFERROR((CE15+CE60)/CE$15,"")</f>
        <v>0</v>
      </c>
      <c r="CF61" s="302" t="n"/>
      <c r="CG61" s="302" t="n"/>
      <c r="CH61" s="302" t="n"/>
      <c r="CI61" s="302" t="n"/>
      <c r="CJ61" s="301">
        <f>IFERROR((CJ15+CJ60)/CJ$15,"")</f>
        <v>0</v>
      </c>
      <c r="CK61" s="302" t="n"/>
      <c r="CL61" s="302" t="n"/>
      <c r="CM61" s="302" t="n"/>
      <c r="CN61" s="302" t="n"/>
      <c r="CO61" s="301">
        <f>IFERROR((CO15+CO60)/CO$15,"")</f>
        <v>0</v>
      </c>
      <c r="CP61" s="302" t="n"/>
      <c r="CQ61" s="302" t="n"/>
      <c r="CR61" s="302" t="n"/>
      <c r="CS61" s="302" t="n"/>
      <c r="CT61" s="301">
        <f>IFERROR((CT15+CT60)/CT$15,"")</f>
        <v>0</v>
      </c>
      <c r="CU61" s="302" t="n"/>
      <c r="CV61" s="302" t="n"/>
      <c r="CW61" s="302" t="n"/>
      <c r="CX61" s="302" t="n"/>
      <c r="CY61" s="301">
        <f>IFERROR((CY15+CY60)/CY$15,"")</f>
        <v>0</v>
      </c>
    </row>
    <row r="62" hidden="1" outlineLevel="1" ht="12.75" customHeight="1" s="254">
      <c r="C62" s="303" t="n"/>
      <c r="D62" s="303" t="n"/>
      <c r="E62" s="303" t="n"/>
      <c r="F62" s="303" t="n"/>
      <c r="G62" s="303" t="n"/>
      <c r="H62" s="303" t="n"/>
      <c r="I62" s="303" t="n"/>
      <c r="J62" s="303" t="n"/>
      <c r="K62" s="303" t="n"/>
      <c r="L62" s="303" t="n"/>
      <c r="M62" s="303" t="n"/>
      <c r="N62" s="303" t="n"/>
      <c r="O62" s="303" t="n"/>
      <c r="P62" s="303" t="n"/>
      <c r="Q62" s="303" t="n"/>
      <c r="R62" s="303" t="n"/>
      <c r="S62" s="303" t="n"/>
      <c r="T62" s="303" t="n"/>
      <c r="U62" s="303" t="n"/>
      <c r="V62" s="303" t="n"/>
      <c r="W62" s="303" t="n"/>
      <c r="X62" s="303" t="n"/>
      <c r="Y62" s="303" t="n"/>
      <c r="Z62" s="303" t="n"/>
      <c r="AA62" s="303" t="n"/>
      <c r="AB62" s="303" t="n"/>
      <c r="AC62" s="303" t="n"/>
      <c r="AD62" s="303" t="n"/>
      <c r="AE62" s="303" t="n"/>
      <c r="AF62" s="303" t="n"/>
      <c r="AG62" s="303" t="n"/>
      <c r="AH62" s="303" t="n"/>
      <c r="AI62" s="303" t="n"/>
      <c r="AJ62" s="303" t="n"/>
      <c r="AK62" s="303" t="n"/>
      <c r="AL62" s="303" t="n"/>
      <c r="AM62" s="303" t="n"/>
      <c r="AN62" s="303" t="n"/>
      <c r="AO62" s="303" t="n"/>
      <c r="AP62" s="303" t="n"/>
      <c r="AQ62" s="303" t="n"/>
      <c r="AR62" s="303" t="n"/>
      <c r="AS62" s="303" t="n"/>
      <c r="AT62" s="303" t="n"/>
      <c r="AU62" s="303" t="n"/>
      <c r="AV62" s="303" t="n"/>
      <c r="AW62" s="303" t="n"/>
      <c r="AX62" s="303" t="n"/>
      <c r="AY62" s="303" t="n"/>
      <c r="AZ62" s="303" t="n"/>
      <c r="BA62" s="303" t="n"/>
      <c r="BB62" s="303" t="n"/>
      <c r="BC62" s="303" t="n"/>
      <c r="BD62" s="303" t="n"/>
      <c r="BE62" s="303" t="n"/>
      <c r="BF62" s="303" t="n"/>
      <c r="BG62" s="303" t="n"/>
      <c r="BH62" s="303" t="n"/>
      <c r="BI62" s="303" t="n"/>
      <c r="BJ62" s="303" t="n"/>
      <c r="BK62" s="303" t="n"/>
      <c r="BL62" s="303" t="n"/>
      <c r="BM62" s="303" t="n"/>
      <c r="BN62" s="303" t="n"/>
      <c r="BO62" s="303" t="n"/>
      <c r="BP62" s="303" t="n"/>
      <c r="BQ62" s="303" t="n"/>
      <c r="BR62" s="303" t="n"/>
      <c r="BS62" s="303" t="n"/>
      <c r="BT62" s="303" t="n"/>
      <c r="BU62" s="303" t="n"/>
      <c r="BV62" s="303" t="n"/>
      <c r="BW62" s="303" t="n"/>
      <c r="BX62" s="303" t="n"/>
      <c r="BY62" s="303" t="n"/>
      <c r="BZ62" s="303" t="n"/>
      <c r="CA62" s="303" t="n"/>
      <c r="CB62" s="303" t="n"/>
      <c r="CC62" s="303" t="n"/>
      <c r="CD62" s="303" t="n"/>
      <c r="CE62" s="303" t="n"/>
      <c r="CF62" s="303" t="n"/>
      <c r="CG62" s="303" t="n"/>
      <c r="CH62" s="303" t="n"/>
      <c r="CI62" s="303" t="n"/>
      <c r="CJ62" s="303" t="n"/>
      <c r="CK62" s="303" t="n"/>
      <c r="CL62" s="303" t="n"/>
      <c r="CM62" s="303" t="n"/>
      <c r="CN62" s="303" t="n"/>
      <c r="CO62" s="303" t="n"/>
      <c r="CP62" s="303" t="n"/>
      <c r="CQ62" s="303" t="n"/>
      <c r="CR62" s="303" t="n"/>
      <c r="CS62" s="303" t="n"/>
      <c r="CT62" s="303" t="n"/>
      <c r="CU62" s="303" t="n"/>
      <c r="CV62" s="303" t="n"/>
      <c r="CW62" s="303" t="n"/>
      <c r="CX62" s="303" t="n"/>
      <c r="CY62" s="303" t="n"/>
    </row>
    <row r="63" hidden="1" outlineLevel="1" ht="12.75" customHeight="1" s="254">
      <c r="C63" s="303" t="n"/>
      <c r="D63" s="303" t="n"/>
      <c r="E63" s="303" t="n"/>
      <c r="F63" s="303" t="n"/>
      <c r="G63" s="303" t="n"/>
      <c r="H63" s="303" t="n"/>
      <c r="I63" s="303" t="n"/>
      <c r="J63" s="303" t="n"/>
      <c r="K63" s="303" t="n"/>
      <c r="L63" s="303" t="n"/>
      <c r="M63" s="303" t="n"/>
      <c r="N63" s="303" t="n"/>
      <c r="O63" s="303" t="n"/>
      <c r="P63" s="303" t="n"/>
      <c r="Q63" s="303" t="n"/>
      <c r="R63" s="303" t="n"/>
      <c r="S63" s="303" t="n"/>
      <c r="T63" s="303" t="n"/>
      <c r="U63" s="303" t="n"/>
      <c r="V63" s="303" t="n"/>
      <c r="W63" s="303" t="n"/>
      <c r="X63" s="303" t="n"/>
      <c r="Y63" s="303" t="n"/>
      <c r="Z63" s="303" t="n"/>
      <c r="AA63" s="303" t="n"/>
      <c r="AB63" s="303" t="n"/>
      <c r="AC63" s="303" t="n"/>
      <c r="AD63" s="303" t="n"/>
      <c r="AE63" s="303" t="n"/>
      <c r="AF63" s="303" t="n"/>
      <c r="AG63" s="303" t="n"/>
      <c r="AH63" s="303" t="n"/>
      <c r="AI63" s="303" t="n"/>
      <c r="AJ63" s="303" t="n"/>
      <c r="AK63" s="303" t="n"/>
      <c r="AL63" s="303" t="n"/>
      <c r="AM63" s="303" t="n"/>
      <c r="AN63" s="303" t="n"/>
      <c r="AO63" s="303" t="n"/>
      <c r="AP63" s="303" t="n"/>
      <c r="AQ63" s="303" t="n"/>
      <c r="AR63" s="303" t="n"/>
      <c r="AS63" s="303" t="n"/>
      <c r="AT63" s="303" t="n"/>
      <c r="AU63" s="303" t="n"/>
      <c r="AV63" s="303" t="n"/>
      <c r="AW63" s="303" t="n"/>
      <c r="AX63" s="303" t="n"/>
      <c r="AY63" s="303" t="n"/>
      <c r="AZ63" s="303" t="n"/>
      <c r="BA63" s="303" t="n"/>
      <c r="BB63" s="303" t="n"/>
      <c r="BC63" s="303" t="n"/>
      <c r="BD63" s="303" t="n"/>
      <c r="BE63" s="303" t="n"/>
      <c r="BF63" s="303" t="n"/>
      <c r="BG63" s="303" t="n"/>
      <c r="BH63" s="303" t="n"/>
      <c r="BI63" s="303" t="n"/>
      <c r="BJ63" s="303" t="n"/>
      <c r="BK63" s="303" t="n"/>
      <c r="BL63" s="303" t="n"/>
      <c r="BM63" s="303" t="n"/>
      <c r="BN63" s="303" t="n"/>
      <c r="BO63" s="303" t="n"/>
      <c r="BP63" s="303" t="n"/>
      <c r="BQ63" s="303" t="n"/>
      <c r="BR63" s="303" t="n"/>
      <c r="BS63" s="303" t="n"/>
      <c r="BT63" s="303" t="n"/>
      <c r="BU63" s="303" t="n"/>
      <c r="BV63" s="303" t="n"/>
      <c r="BW63" s="303" t="n"/>
      <c r="BX63" s="303" t="n"/>
      <c r="BY63" s="303" t="n"/>
      <c r="BZ63" s="303" t="n"/>
      <c r="CA63" s="303" t="n"/>
      <c r="CB63" s="303" t="n"/>
      <c r="CC63" s="303" t="n"/>
      <c r="CD63" s="303" t="n"/>
      <c r="CE63" s="303" t="n"/>
      <c r="CF63" s="303" t="n"/>
      <c r="CG63" s="303" t="n"/>
      <c r="CH63" s="303" t="n"/>
      <c r="CI63" s="303" t="n"/>
      <c r="CJ63" s="303" t="n"/>
      <c r="CK63" s="303" t="n"/>
      <c r="CL63" s="303" t="n"/>
      <c r="CM63" s="303" t="n"/>
      <c r="CN63" s="303" t="n"/>
      <c r="CO63" s="303" t="n"/>
      <c r="CP63" s="303" t="n"/>
      <c r="CQ63" s="303" t="n"/>
      <c r="CR63" s="303" t="n"/>
      <c r="CS63" s="303" t="n"/>
      <c r="CT63" s="303" t="n"/>
      <c r="CU63" s="303" t="n"/>
      <c r="CV63" s="303" t="n"/>
      <c r="CW63" s="303" t="n"/>
      <c r="CX63" s="303" t="n"/>
      <c r="CY63" s="303" t="n"/>
    </row>
    <row r="64" ht="12.75" customHeight="1" s="254">
      <c r="C64" s="267" t="inlineStr">
        <is>
          <t>SG&amp;A and Other (cash)</t>
        </is>
      </c>
      <c r="D64" s="299" t="n"/>
      <c r="E64" s="299" t="n"/>
      <c r="F64" s="299" t="n"/>
      <c r="G64" s="299" t="n"/>
      <c r="H64" s="266">
        <f>SUM(D64:G64)</f>
        <v>0</v>
      </c>
      <c r="I64" s="299">
        <f>INDEX('Inputs (2)'!$D$6:$AL$6,MATCH(I$7,'Inputs (2)'!$D$2:$AL$2,0))</f>
        <v>-9721</v>
      </c>
      <c r="J64" s="299">
        <f>INDEX('Inputs (2)'!$D$6:$AL$6,MATCH(J$7,'Inputs (2)'!$D$2:$AL$2,0))</f>
        <v>-8802</v>
      </c>
      <c r="K64" s="299">
        <f>INDEX('Inputs (2)'!$D$6:$AL$6,MATCH(K$7,'Inputs (2)'!$D$2:$AL$2,0))</f>
        <v>-8885</v>
      </c>
      <c r="L64" s="299">
        <f>INDEX('Inputs (2)'!$D$6:$AL$6,MATCH(L$7,'Inputs (2)'!$D$2:$AL$2,0))</f>
        <v>-9981</v>
      </c>
      <c r="M64" s="266">
        <f>SUM(I64:L64)</f>
        <v>-37389</v>
      </c>
      <c r="N64" s="299">
        <f>INDEX('Inputs (2)'!$D$6:$AL$6,MATCH(N$7,'Inputs (2)'!$D$2:$AL$2,0))</f>
        <v>-9726</v>
      </c>
      <c r="O64" s="299">
        <f>INDEX('Inputs (2)'!$D$6:$AL$6,MATCH(O$7,'Inputs (2)'!$D$2:$AL$2,0))</f>
        <v>-9917</v>
      </c>
      <c r="P64" s="299">
        <f>INDEX('Inputs (2)'!$D$6:$AL$6,MATCH(P$7,'Inputs (2)'!$D$2:$AL$2,0))</f>
        <v>-9783</v>
      </c>
      <c r="Q64" s="299">
        <f>INDEX('Inputs (2)'!$D$6:$AL$6,MATCH(Q$7,'Inputs (2)'!$D$2:$AL$2,0))</f>
        <v>-11763</v>
      </c>
      <c r="R64" s="266">
        <f>SUM(N64:Q64)</f>
        <v>-41189</v>
      </c>
      <c r="S64" s="299">
        <f>INDEX('Inputs (2)'!$D$6:$AL$6,MATCH(S$7,'Inputs (2)'!$D$2:$AL$2,0))</f>
        <v>-9716</v>
      </c>
      <c r="T64" s="299">
        <f>INDEX('Inputs (2)'!$D$6:$AL$6,MATCH(T$7,'Inputs (2)'!$D$2:$AL$2,0))</f>
        <v>-10096</v>
      </c>
      <c r="U64" s="299">
        <f>INDEX('Inputs (2)'!$D$6:$AL$6,MATCH(U$7,'Inputs (2)'!$D$2:$AL$2,0))</f>
        <v>-10534</v>
      </c>
      <c r="V64" s="299">
        <f>INDEX('Inputs (2)'!$D$6:$AL$6,MATCH(V$7,'Inputs (2)'!$D$2:$AL$2,0))</f>
        <v>-11364</v>
      </c>
      <c r="W64" s="266">
        <f>SUM(S64:V64)</f>
        <v>-41710</v>
      </c>
      <c r="X64" s="299">
        <f>INDEX('Inputs (2)'!$D$6:$AL$6,MATCH(X$7,'Inputs (2)'!$D$2:$AL$2,0))</f>
        <v>-9747</v>
      </c>
      <c r="Y64" s="299">
        <f>INDEX('Inputs (2)'!$D$6:$AL$6,MATCH(Y$7,'Inputs (2)'!$D$2:$AL$2,0))</f>
        <v>-9446</v>
      </c>
      <c r="Z64" s="299">
        <f>INDEX('Inputs (2)'!$D$6:$AL$6,MATCH(Z$7,'Inputs (2)'!$D$2:$AL$2,0))</f>
        <v>-9876</v>
      </c>
      <c r="AA64" s="299">
        <f>INDEX('Inputs (2)'!$D$6:$AL$6,MATCH(AA$7,'Inputs (2)'!$D$2:$AL$2,0))</f>
        <v>-10262</v>
      </c>
      <c r="AB64" s="266">
        <f>SUM(X64:AA64)</f>
        <v>-39331</v>
      </c>
      <c r="AC64" s="299">
        <f>INDEX('Inputs (2)'!$D$6:$AL$6,MATCH(AC$7,'Inputs (2)'!$D$2:$AL$2,0))</f>
        <v>-8784</v>
      </c>
      <c r="AD64" s="299">
        <f>INDEX('Inputs (2)'!$D$6:$AL$6,MATCH(AD$7,'Inputs (2)'!$D$2:$AL$2,0))</f>
        <v>-8624</v>
      </c>
      <c r="AE64" s="299">
        <f>INDEX('Inputs (2)'!$D$6:$AL$6,MATCH(AE$7,'Inputs (2)'!$D$2:$AL$2,0))</f>
        <v>-9451</v>
      </c>
      <c r="AF64" s="299">
        <f>INDEX('Inputs (2)'!$D$6:$AL$6,MATCH(AF$7,'Inputs (2)'!$D$2:$AL$2,0))</f>
        <v>-9951</v>
      </c>
      <c r="AG64" s="266">
        <f>SUM(AC64:AF64)</f>
        <v>-36810</v>
      </c>
      <c r="AH64" s="266">
        <f>INDEX('Inputs (2)'!$D$6:$AL$6,MATCH(AH$7,'Inputs (2)'!$D$2:$AL$2,0))</f>
        <v>-8813</v>
      </c>
      <c r="AI64" s="266">
        <f>INDEX('Inputs (2)'!$D$6:$AL$6,MATCH(AI$7,'Inputs (2)'!$D$2:$AL$2,0))</f>
        <v>-8774</v>
      </c>
      <c r="AJ64" s="266">
        <f>-AJ15*AJ65</f>
        <v>0</v>
      </c>
      <c r="AK64" s="266">
        <f>-AK15*AK65</f>
        <v>0</v>
      </c>
      <c r="AL64" s="266">
        <f>SUM(AH64:AK64)</f>
        <v>-17587</v>
      </c>
      <c r="AM64" s="266">
        <f>-AM15*AM65</f>
        <v>0</v>
      </c>
      <c r="AN64" s="266">
        <f>-AN15*AN65</f>
        <v>0</v>
      </c>
      <c r="AO64" s="266">
        <f>-AO15*AO65</f>
        <v>0</v>
      </c>
      <c r="AP64" s="266">
        <f>-AP15*AP65</f>
        <v>0</v>
      </c>
      <c r="AQ64" s="266">
        <f>SUM(AM64:AP64)</f>
        <v>0</v>
      </c>
      <c r="AR64" s="266">
        <f>-AR15*AR65</f>
        <v>0</v>
      </c>
      <c r="AS64" s="266">
        <f>-AS15*AS65</f>
        <v>0</v>
      </c>
      <c r="AT64" s="266">
        <f>-AT15*AT65</f>
        <v>0</v>
      </c>
      <c r="AU64" s="266">
        <f>-AU15*AU65</f>
        <v>0</v>
      </c>
      <c r="AV64" s="266">
        <f>SUM(AR64:AU64)</f>
        <v>0</v>
      </c>
      <c r="AW64" s="266">
        <f>-AW15*AW65</f>
        <v>0</v>
      </c>
      <c r="AX64" s="266">
        <f>-AX15*AX65</f>
        <v>0</v>
      </c>
      <c r="AY64" s="266">
        <f>-AY15*AY65</f>
        <v>0</v>
      </c>
      <c r="AZ64" s="266">
        <f>-AZ15*AZ65</f>
        <v>0</v>
      </c>
      <c r="BA64" s="266">
        <f>SUM(AW64:AZ64)</f>
        <v>0</v>
      </c>
      <c r="BB64" s="266">
        <f>-BB15*BB65</f>
        <v>0</v>
      </c>
      <c r="BC64" s="266">
        <f>-BC15*BC65</f>
        <v>0</v>
      </c>
      <c r="BD64" s="266">
        <f>-BD15*BD65</f>
        <v>0</v>
      </c>
      <c r="BE64" s="266">
        <f>-BE15*BE65</f>
        <v>0</v>
      </c>
      <c r="BF64" s="266">
        <f>SUM(BB64:BE64)</f>
        <v>0</v>
      </c>
      <c r="BG64" s="266">
        <f>-BG15*BG65</f>
        <v>0</v>
      </c>
      <c r="BH64" s="266">
        <f>-BH15*BH65</f>
        <v>0</v>
      </c>
      <c r="BI64" s="266">
        <f>-BI15*BI65</f>
        <v>0</v>
      </c>
      <c r="BJ64" s="266">
        <f>-BJ15*BJ65</f>
        <v>0</v>
      </c>
      <c r="BK64" s="266">
        <f>SUM(BG64:BJ64)</f>
        <v>0</v>
      </c>
      <c r="BL64" s="266">
        <f>-BL15*BL65</f>
        <v>0</v>
      </c>
      <c r="BM64" s="266">
        <f>-BM15*BM65</f>
        <v>0</v>
      </c>
      <c r="BN64" s="266">
        <f>-BN15*BN65</f>
        <v>0</v>
      </c>
      <c r="BO64" s="266">
        <f>-BO15*BO65</f>
        <v>0</v>
      </c>
      <c r="BP64" s="266">
        <f>SUM(BL64:BO64)</f>
        <v>0</v>
      </c>
      <c r="BQ64" s="266">
        <f>-BQ15*BQ65</f>
        <v>0</v>
      </c>
      <c r="BR64" s="266">
        <f>-BR15*BR65</f>
        <v>0</v>
      </c>
      <c r="BS64" s="266">
        <f>-BS15*BS65</f>
        <v>0</v>
      </c>
      <c r="BT64" s="266">
        <f>-BT15*BT65</f>
        <v>0</v>
      </c>
      <c r="BU64" s="266">
        <f>SUM(BQ64:BT64)</f>
        <v>0</v>
      </c>
      <c r="BV64" s="266">
        <f>-BV15*BV65</f>
        <v>0</v>
      </c>
      <c r="BW64" s="266">
        <f>-BW15*BW65</f>
        <v>0</v>
      </c>
      <c r="BX64" s="266">
        <f>-BX15*BX65</f>
        <v>0</v>
      </c>
      <c r="BY64" s="266">
        <f>-BY15*BY65</f>
        <v>0</v>
      </c>
      <c r="BZ64" s="266">
        <f>SUM(BV64:BY64)</f>
        <v>0</v>
      </c>
      <c r="CA64" s="266">
        <f>-CA15*CA65</f>
        <v>0</v>
      </c>
      <c r="CB64" s="266">
        <f>-CB15*CB65</f>
        <v>0</v>
      </c>
      <c r="CC64" s="266">
        <f>-CC15*CC65</f>
        <v>0</v>
      </c>
      <c r="CD64" s="266">
        <f>-CD15*CD65</f>
        <v>0</v>
      </c>
      <c r="CE64" s="266">
        <f>SUM(CA64:CD64)</f>
        <v>0</v>
      </c>
      <c r="CF64" s="266">
        <f>-CF15*CF65</f>
        <v>0</v>
      </c>
      <c r="CG64" s="266">
        <f>-CG15*CG65</f>
        <v>0</v>
      </c>
      <c r="CH64" s="266">
        <f>-CH15*CH65</f>
        <v>0</v>
      </c>
      <c r="CI64" s="266">
        <f>-CI15*CI65</f>
        <v>0</v>
      </c>
      <c r="CJ64" s="266">
        <f>SUM(CF64:CI64)</f>
        <v>0</v>
      </c>
      <c r="CK64" s="266">
        <f>-CK15*CK65</f>
        <v>0</v>
      </c>
      <c r="CL64" s="266">
        <f>-CL15*CL65</f>
        <v>0</v>
      </c>
      <c r="CM64" s="266">
        <f>-CM15*CM65</f>
        <v>0</v>
      </c>
      <c r="CN64" s="266">
        <f>-CN15*CN65</f>
        <v>0</v>
      </c>
      <c r="CO64" s="266">
        <f>SUM(CK64:CN64)</f>
        <v>0</v>
      </c>
      <c r="CP64" s="266">
        <f>-CP15*CP65</f>
        <v>0</v>
      </c>
      <c r="CQ64" s="266">
        <f>-CQ15*CQ65</f>
        <v>0</v>
      </c>
      <c r="CR64" s="266">
        <f>-CR15*CR65</f>
        <v>0</v>
      </c>
      <c r="CS64" s="266">
        <f>-CS15*CS65</f>
        <v>0</v>
      </c>
      <c r="CT64" s="266">
        <f>SUM(CP64:CS64)</f>
        <v>0</v>
      </c>
      <c r="CU64" s="266">
        <f>-CU15*CU65</f>
        <v>0</v>
      </c>
      <c r="CV64" s="266">
        <f>-CV15*CV65</f>
        <v>0</v>
      </c>
      <c r="CW64" s="266">
        <f>-CW15*CW65</f>
        <v>0</v>
      </c>
      <c r="CX64" s="266">
        <f>-CX15*CX65</f>
        <v>0</v>
      </c>
      <c r="CY64" s="266">
        <f>SUM(CU64:CX64)</f>
        <v>0</v>
      </c>
    </row>
    <row r="65" hidden="1" outlineLevel="1" ht="12.75" customHeight="1" s="254">
      <c r="C65" s="292" t="inlineStr">
        <is>
          <t>% SG&amp;A and Other Margin</t>
        </is>
      </c>
      <c r="D65" s="304" t="str">
        <f>IFERROR(-(D64/D$15),"")</f>
        <v/>
      </c>
      <c r="E65" s="304" t="str">
        <f>IFERROR(-(E64/E$15),"")</f>
        <v/>
      </c>
      <c r="F65" s="304" t="str">
        <f>IFERROR(-(F64/F$15),"")</f>
        <v/>
      </c>
      <c r="G65" s="304" t="str">
        <f>IFERROR(-(G64/G$15),"")</f>
        <v/>
      </c>
      <c r="H65" s="304" t="str">
        <f>IFERROR(-(H64/H$15),"")</f>
        <v/>
      </c>
      <c r="I65" s="304">
        <f>IFERROR(-(I64/I$15),"")</f>
        <v>0.174633971076978</v>
      </c>
      <c r="J65" s="304">
        <f>IFERROR(-(J64/J$15),"")</f>
        <v>0.145451540940263</v>
      </c>
      <c r="K65" s="304">
        <f>IFERROR(-(K64/K$15),"")</f>
        <v>0.147974818466458</v>
      </c>
      <c r="L65" s="304">
        <f>IFERROR(-(L64/L$15),"")</f>
        <v>0.11703799249531</v>
      </c>
      <c r="M65" s="304">
        <f>IFERROR(-(M64/M$15),"")</f>
        <v>0.142976780469897</v>
      </c>
      <c r="N65" s="304">
        <f>IFERROR(-(N64/N$15),"")</f>
        <v>0.115505201653128</v>
      </c>
      <c r="O65" s="304">
        <f>IFERROR(-(O64/O$15),"")</f>
        <v>0.0991115242007216</v>
      </c>
      <c r="P65" s="304">
        <f>IFERROR(-(P64/P$15),"")</f>
        <v>0.102173390844813</v>
      </c>
      <c r="Q65" s="304">
        <f>IFERROR(-(Q64/Q$15),"")</f>
        <v>0.116116995548009</v>
      </c>
      <c r="R65" s="304">
        <f>IFERROR(-(R64/R$15),"")</f>
        <v>0.108018305075856</v>
      </c>
      <c r="S65" s="304">
        <f>IFERROR(-(S64/S$15),"")</f>
        <v>0.111730815671753</v>
      </c>
      <c r="T65" s="304">
        <f>IFERROR(-(T64/T$15),"")</f>
        <v>0.135375043578535</v>
      </c>
      <c r="U65" s="304">
        <f>IFERROR(-(U64/U$15),"")</f>
        <v>0.137969875573019</v>
      </c>
      <c r="V65" s="304">
        <f>IFERROR(-(V64/V$15),"")</f>
        <v>0.144337753391251</v>
      </c>
      <c r="W65" s="304">
        <f>IFERROR(-(W64/W$15),"")</f>
        <v>0.131735619151093</v>
      </c>
      <c r="X65" s="304">
        <f>IFERROR(-(X64/X$15),"")</f>
        <v>0.134482187698336</v>
      </c>
      <c r="Y65" s="304">
        <f>IFERROR(-(Y64/Y$15),"")</f>
        <v>0.126854948095027</v>
      </c>
      <c r="Z65" s="304">
        <f>IFERROR(-(Z64/Z$15),"")</f>
        <v>0.138924446820183</v>
      </c>
      <c r="AA65" s="304">
        <f>IFERROR(-(AA64/AA$15),"")</f>
        <v>0.15482566648059</v>
      </c>
      <c r="AB65" s="304">
        <f>IFERROR(-(AB64/AB$15),"")</f>
        <v>0.138337946825835</v>
      </c>
      <c r="AC65" s="304">
        <f>IFERROR(-(AC64/AC$15),"")</f>
        <v>0.126874079209637</v>
      </c>
      <c r="AD65" s="304">
        <f>IFERROR(-(AD64/AD$15),"")</f>
        <v>0.131853346787756</v>
      </c>
      <c r="AE65" s="304">
        <f>IFERROR(-(AE64/AE$15),"")</f>
        <v>0.138673279239359</v>
      </c>
      <c r="AF65" s="295">
        <f>IFERROR(-(AF64/AF$15),"")</f>
        <v>0.155258764607679</v>
      </c>
      <c r="AG65" s="304">
        <f>IFERROR(-(AG64/AG$15),"")</f>
        <v>0.137924057462737</v>
      </c>
      <c r="AH65" s="305">
        <f>IFERROR(-(AH64/AH$15),"")</f>
        <v>0.126458222726034</v>
      </c>
      <c r="AI65" s="305">
        <f>IFERROR(-(AI64/AI$15),"")</f>
        <v>0.0926857094566044</v>
      </c>
      <c r="AJ65" s="305" t="n"/>
      <c r="AK65" s="305" t="n"/>
      <c r="AL65" s="304">
        <f>IFERROR(-(AL64/AL$15),"")</f>
        <v>0.059295147352841</v>
      </c>
      <c r="AM65" s="305" t="n"/>
      <c r="AN65" s="305" t="n"/>
      <c r="AO65" s="305" t="n"/>
      <c r="AP65" s="305" t="n"/>
      <c r="AQ65" s="304">
        <f>IFERROR(-(AQ64/AQ$15),"")</f>
        <v>0</v>
      </c>
      <c r="AR65" s="305" t="n"/>
      <c r="AS65" s="305" t="n"/>
      <c r="AT65" s="305" t="n"/>
      <c r="AU65" s="305" t="n"/>
      <c r="AV65" s="304">
        <f>IFERROR(-(AV64/AV$15),"")</f>
        <v>0</v>
      </c>
      <c r="AW65" s="305" t="n"/>
      <c r="AX65" s="305" t="n"/>
      <c r="AY65" s="305" t="n"/>
      <c r="AZ65" s="305" t="n"/>
      <c r="BA65" s="304">
        <f>IFERROR(-(BA64/BA$15),"")</f>
        <v>0</v>
      </c>
      <c r="BB65" s="305" t="n"/>
      <c r="BC65" s="305" t="n"/>
      <c r="BD65" s="305" t="n"/>
      <c r="BE65" s="305" t="n"/>
      <c r="BF65" s="304">
        <f>IFERROR(-(BF64/BF$15),"")</f>
        <v>0</v>
      </c>
      <c r="BG65" s="305" t="n"/>
      <c r="BH65" s="305" t="n"/>
      <c r="BI65" s="305" t="n"/>
      <c r="BJ65" s="305" t="n"/>
      <c r="BK65" s="304">
        <f>IFERROR(-(BK64/BK$15),"")</f>
        <v>0</v>
      </c>
      <c r="BL65" s="305" t="n"/>
      <c r="BM65" s="305" t="n"/>
      <c r="BN65" s="305" t="n"/>
      <c r="BO65" s="305" t="n"/>
      <c r="BP65" s="304">
        <f>IFERROR(-(BP64/BP$15),"")</f>
        <v>0</v>
      </c>
      <c r="BQ65" s="305" t="n"/>
      <c r="BR65" s="305" t="n"/>
      <c r="BS65" s="305" t="n"/>
      <c r="BT65" s="305" t="n"/>
      <c r="BU65" s="304">
        <f>IFERROR(-(BU64/BU$15),"")</f>
        <v>0</v>
      </c>
      <c r="BV65" s="305" t="n"/>
      <c r="BW65" s="305" t="n"/>
      <c r="BX65" s="305" t="n"/>
      <c r="BY65" s="305" t="n"/>
      <c r="BZ65" s="304">
        <f>IFERROR(-(BZ64/BZ$15),"")</f>
        <v>0</v>
      </c>
      <c r="CA65" s="305" t="n"/>
      <c r="CB65" s="305" t="n"/>
      <c r="CC65" s="305" t="n"/>
      <c r="CD65" s="305" t="n"/>
      <c r="CE65" s="304">
        <f>IFERROR(-(CE64/CE$15),"")</f>
        <v>0</v>
      </c>
      <c r="CF65" s="305" t="n"/>
      <c r="CG65" s="305" t="n"/>
      <c r="CH65" s="305" t="n"/>
      <c r="CI65" s="305" t="n"/>
      <c r="CJ65" s="304">
        <f>IFERROR(-(CJ64/CJ$15),"")</f>
        <v>0</v>
      </c>
      <c r="CK65" s="305" t="n"/>
      <c r="CL65" s="305" t="n"/>
      <c r="CM65" s="305" t="n"/>
      <c r="CN65" s="305" t="n"/>
      <c r="CO65" s="304">
        <f>IFERROR(-(CO64/CO$15),"")</f>
        <v>0</v>
      </c>
      <c r="CP65" s="305" t="n"/>
      <c r="CQ65" s="305" t="n"/>
      <c r="CR65" s="305" t="n"/>
      <c r="CS65" s="305" t="n"/>
      <c r="CT65" s="304">
        <f>IFERROR(-(CT64/CT$15),"")</f>
        <v>0</v>
      </c>
      <c r="CU65" s="305" t="n"/>
      <c r="CV65" s="305" t="n"/>
      <c r="CW65" s="305" t="n"/>
      <c r="CX65" s="305" t="n"/>
      <c r="CY65" s="304">
        <f>IFERROR(-(CY64/CY$15),"")</f>
        <v>0</v>
      </c>
    </row>
    <row r="66" hidden="1" outlineLevel="1" ht="12.75" customHeight="1" s="254">
      <c r="C66" s="303" t="n"/>
      <c r="D66" s="303" t="n"/>
      <c r="E66" s="303" t="n"/>
      <c r="F66" s="303" t="n"/>
      <c r="G66" s="303" t="n"/>
      <c r="H66" s="303" t="n"/>
      <c r="I66" s="303" t="n"/>
      <c r="J66" s="303" t="n"/>
      <c r="K66" s="303" t="n"/>
      <c r="L66" s="303" t="n"/>
      <c r="M66" s="303" t="n"/>
      <c r="N66" s="303" t="n"/>
      <c r="O66" s="303" t="n"/>
      <c r="P66" s="303" t="n"/>
      <c r="Q66" s="303" t="n"/>
      <c r="R66" s="303" t="n"/>
      <c r="S66" s="303" t="n"/>
      <c r="T66" s="303" t="n"/>
      <c r="U66" s="303" t="n"/>
      <c r="V66" s="303" t="n"/>
      <c r="W66" s="303" t="n"/>
      <c r="X66" s="303" t="n"/>
      <c r="Y66" s="303" t="n"/>
      <c r="Z66" s="303" t="n"/>
      <c r="AA66" s="303" t="n"/>
      <c r="AB66" s="303" t="n"/>
      <c r="AC66" s="303" t="n"/>
      <c r="AD66" s="303" t="n"/>
      <c r="AE66" s="303" t="n"/>
      <c r="AF66" s="303" t="n"/>
      <c r="AG66" s="303" t="n"/>
      <c r="AH66" s="303" t="n"/>
      <c r="AI66" s="303" t="n"/>
      <c r="AJ66" s="303" t="n"/>
      <c r="AK66" s="303" t="n"/>
      <c r="AL66" s="303" t="n"/>
      <c r="AM66" s="303" t="n"/>
      <c r="AN66" s="303" t="n"/>
      <c r="AO66" s="303" t="n"/>
      <c r="AP66" s="303" t="n"/>
      <c r="AQ66" s="303" t="n"/>
      <c r="AR66" s="303" t="n"/>
      <c r="AS66" s="303" t="n"/>
      <c r="AT66" s="303" t="n"/>
      <c r="AU66" s="303" t="n"/>
      <c r="AV66" s="303" t="n"/>
      <c r="AW66" s="303" t="n"/>
      <c r="AX66" s="303" t="n"/>
      <c r="AY66" s="303" t="n"/>
      <c r="AZ66" s="303" t="n"/>
      <c r="BA66" s="303" t="n"/>
      <c r="BB66" s="303" t="n"/>
      <c r="BC66" s="303" t="n"/>
      <c r="BD66" s="303" t="n"/>
      <c r="BE66" s="303" t="n"/>
      <c r="BF66" s="303" t="n"/>
      <c r="BG66" s="303" t="n"/>
      <c r="BH66" s="303" t="n"/>
      <c r="BI66" s="303" t="n"/>
      <c r="BJ66" s="303" t="n"/>
      <c r="BK66" s="303" t="n"/>
      <c r="BL66" s="303" t="n"/>
      <c r="BM66" s="303" t="n"/>
      <c r="BN66" s="303" t="n"/>
      <c r="BO66" s="303" t="n"/>
      <c r="BP66" s="303" t="n"/>
      <c r="BQ66" s="303" t="n"/>
      <c r="BR66" s="303" t="n"/>
      <c r="BS66" s="303" t="n"/>
      <c r="BT66" s="303" t="n"/>
      <c r="BU66" s="303" t="n"/>
      <c r="BV66" s="303" t="n"/>
      <c r="BW66" s="303" t="n"/>
      <c r="BX66" s="303" t="n"/>
      <c r="BY66" s="303" t="n"/>
      <c r="BZ66" s="303" t="n"/>
      <c r="CA66" s="303" t="n"/>
      <c r="CB66" s="303" t="n"/>
      <c r="CC66" s="303" t="n"/>
      <c r="CD66" s="303" t="n"/>
      <c r="CE66" s="303" t="n"/>
      <c r="CF66" s="303" t="n"/>
      <c r="CG66" s="303" t="n"/>
      <c r="CH66" s="303" t="n"/>
      <c r="CI66" s="303" t="n"/>
      <c r="CJ66" s="303" t="n"/>
      <c r="CK66" s="303" t="n"/>
      <c r="CL66" s="303" t="n"/>
      <c r="CM66" s="303" t="n"/>
      <c r="CN66" s="303" t="n"/>
      <c r="CO66" s="303" t="n"/>
      <c r="CP66" s="303" t="n"/>
      <c r="CQ66" s="303" t="n"/>
      <c r="CR66" s="303" t="n"/>
      <c r="CS66" s="303" t="n"/>
      <c r="CT66" s="303" t="n"/>
      <c r="CU66" s="303" t="n"/>
      <c r="CV66" s="303" t="n"/>
      <c r="CW66" s="303" t="n"/>
      <c r="CX66" s="303" t="n"/>
      <c r="CY66" s="303" t="n"/>
    </row>
    <row r="67" hidden="1" outlineLevel="1" ht="12.75" customHeight="1" s="254">
      <c r="C67" s="303" t="inlineStr">
        <is>
          <t>Com Vendas</t>
        </is>
      </c>
      <c r="D67" s="265" t="n"/>
      <c r="E67" s="265" t="n"/>
      <c r="F67" s="265" t="n"/>
      <c r="G67" s="265" t="n"/>
      <c r="H67" s="303" t="n"/>
      <c r="I67" s="265" t="n"/>
      <c r="J67" s="265" t="n"/>
      <c r="K67" s="265" t="n"/>
      <c r="L67" s="265" t="n"/>
      <c r="M67" s="303" t="n"/>
      <c r="N67" s="265" t="n"/>
      <c r="O67" s="265" t="n"/>
      <c r="P67" s="265" t="n"/>
      <c r="Q67" s="265" t="n"/>
      <c r="R67" s="303" t="n"/>
      <c r="S67" s="265" t="n"/>
      <c r="T67" s="265" t="n"/>
      <c r="U67" s="265" t="n"/>
      <c r="V67" s="265" t="n"/>
      <c r="W67" s="303" t="n"/>
      <c r="X67" s="265" t="n"/>
      <c r="Y67" s="265" t="n"/>
      <c r="Z67" s="265" t="n"/>
      <c r="AA67" s="265" t="n"/>
      <c r="AB67" s="303" t="n"/>
      <c r="AC67" s="265" t="n"/>
      <c r="AD67" s="265" t="n"/>
      <c r="AE67" s="265" t="n"/>
      <c r="AF67" s="265" t="n"/>
      <c r="AG67" s="303" t="n"/>
      <c r="AH67" s="303" t="n"/>
      <c r="AI67" s="303" t="n"/>
      <c r="AJ67" s="303" t="n"/>
      <c r="AK67" s="303" t="n"/>
      <c r="AL67" s="303" t="n"/>
      <c r="AM67" s="303" t="n"/>
      <c r="AN67" s="303" t="n"/>
      <c r="AO67" s="303" t="n"/>
      <c r="AP67" s="303" t="n"/>
      <c r="AQ67" s="303" t="n"/>
      <c r="AR67" s="303" t="n"/>
      <c r="AS67" s="303" t="n"/>
      <c r="AT67" s="303" t="n"/>
      <c r="AU67" s="303" t="n"/>
      <c r="AV67" s="303" t="n"/>
      <c r="AW67" s="303" t="n"/>
      <c r="AX67" s="303" t="n"/>
      <c r="AY67" s="303" t="n"/>
      <c r="AZ67" s="303" t="n"/>
      <c r="BA67" s="303" t="n"/>
      <c r="BB67" s="303" t="n"/>
      <c r="BC67" s="303" t="n"/>
      <c r="BD67" s="303" t="n"/>
      <c r="BE67" s="303" t="n"/>
      <c r="BF67" s="303" t="n"/>
      <c r="BG67" s="303" t="n"/>
      <c r="BH67" s="303" t="n"/>
      <c r="BI67" s="303" t="n"/>
      <c r="BJ67" s="303" t="n"/>
      <c r="BK67" s="303" t="n"/>
      <c r="BL67" s="303" t="n"/>
      <c r="BM67" s="303" t="n"/>
      <c r="BN67" s="303" t="n"/>
      <c r="BO67" s="303" t="n"/>
      <c r="BP67" s="303" t="n"/>
      <c r="BQ67" s="303" t="n"/>
      <c r="BR67" s="303" t="n"/>
      <c r="BS67" s="303" t="n"/>
      <c r="BT67" s="303" t="n"/>
      <c r="BU67" s="303" t="n"/>
      <c r="BV67" s="303" t="n"/>
      <c r="BW67" s="303" t="n"/>
      <c r="BX67" s="303" t="n"/>
      <c r="BY67" s="303" t="n"/>
      <c r="BZ67" s="303" t="n"/>
      <c r="CA67" s="303" t="n"/>
      <c r="CB67" s="303" t="n"/>
      <c r="CC67" s="303" t="n"/>
      <c r="CD67" s="303" t="n"/>
      <c r="CE67" s="303" t="n"/>
      <c r="CF67" s="303" t="n"/>
      <c r="CG67" s="303" t="n"/>
      <c r="CH67" s="303" t="n"/>
      <c r="CI67" s="303" t="n"/>
      <c r="CJ67" s="303" t="n"/>
      <c r="CK67" s="303" t="n"/>
      <c r="CL67" s="303" t="n"/>
      <c r="CM67" s="303" t="n"/>
      <c r="CN67" s="303" t="n"/>
      <c r="CO67" s="303" t="n"/>
      <c r="CP67" s="303" t="n"/>
      <c r="CQ67" s="303" t="n"/>
      <c r="CR67" s="303" t="n"/>
      <c r="CS67" s="303" t="n"/>
      <c r="CT67" s="303" t="n"/>
      <c r="CU67" s="303" t="n"/>
      <c r="CV67" s="303" t="n"/>
      <c r="CW67" s="303" t="n"/>
      <c r="CX67" s="303" t="n"/>
      <c r="CY67" s="303" t="n"/>
    </row>
    <row r="68" hidden="1" outlineLevel="1" ht="12.75" customHeight="1" s="254">
      <c r="C68" s="303" t="inlineStr">
        <is>
          <t>Gerais &amp; Administrativas</t>
        </is>
      </c>
      <c r="D68" s="265" t="n"/>
      <c r="E68" s="265" t="n"/>
      <c r="F68" s="265" t="n"/>
      <c r="G68" s="265" t="n"/>
      <c r="H68" s="303" t="n"/>
      <c r="I68" s="265" t="n"/>
      <c r="J68" s="265" t="n"/>
      <c r="K68" s="265" t="n"/>
      <c r="L68" s="265" t="n"/>
      <c r="M68" s="303" t="n"/>
      <c r="N68" s="265" t="n"/>
      <c r="O68" s="265" t="n"/>
      <c r="P68" s="265" t="n"/>
      <c r="Q68" s="265" t="n"/>
      <c r="R68" s="303" t="n"/>
      <c r="S68" s="265" t="n"/>
      <c r="T68" s="265" t="n"/>
      <c r="U68" s="265" t="n"/>
      <c r="V68" s="265" t="n"/>
      <c r="W68" s="303" t="n"/>
      <c r="X68" s="265" t="n"/>
      <c r="Y68" s="265" t="n"/>
      <c r="Z68" s="265" t="n"/>
      <c r="AA68" s="265" t="n"/>
      <c r="AB68" s="303" t="n"/>
      <c r="AC68" s="265" t="n"/>
      <c r="AD68" s="265" t="n"/>
      <c r="AE68" s="265" t="n"/>
      <c r="AF68" s="265" t="n"/>
      <c r="AG68" s="303" t="n"/>
      <c r="AH68" s="303" t="n"/>
      <c r="AI68" s="303" t="n"/>
      <c r="AJ68" s="303" t="n"/>
      <c r="AK68" s="303" t="n"/>
      <c r="AL68" s="303" t="n"/>
      <c r="AM68" s="303" t="n"/>
      <c r="AN68" s="303" t="n"/>
      <c r="AO68" s="303" t="n"/>
      <c r="AP68" s="303" t="n"/>
      <c r="AQ68" s="303" t="n"/>
      <c r="AR68" s="303" t="n"/>
      <c r="AS68" s="303" t="n"/>
      <c r="AT68" s="303" t="n"/>
      <c r="AU68" s="303" t="n"/>
      <c r="AV68" s="303" t="n"/>
      <c r="AW68" s="303" t="n"/>
      <c r="AX68" s="303" t="n"/>
      <c r="AY68" s="303" t="n"/>
      <c r="AZ68" s="303" t="n"/>
      <c r="BA68" s="303" t="n"/>
      <c r="BB68" s="303" t="n"/>
      <c r="BC68" s="303" t="n"/>
      <c r="BD68" s="303" t="n"/>
      <c r="BE68" s="303" t="n"/>
      <c r="BF68" s="303" t="n"/>
      <c r="BG68" s="303" t="n"/>
      <c r="BH68" s="303" t="n"/>
      <c r="BI68" s="303" t="n"/>
      <c r="BJ68" s="303" t="n"/>
      <c r="BK68" s="303" t="n"/>
      <c r="BL68" s="303" t="n"/>
      <c r="BM68" s="303" t="n"/>
      <c r="BN68" s="303" t="n"/>
      <c r="BO68" s="303" t="n"/>
      <c r="BP68" s="303" t="n"/>
      <c r="BQ68" s="303" t="n"/>
      <c r="BR68" s="303" t="n"/>
      <c r="BS68" s="303" t="n"/>
      <c r="BT68" s="303" t="n"/>
      <c r="BU68" s="303" t="n"/>
      <c r="BV68" s="303" t="n"/>
      <c r="BW68" s="303" t="n"/>
      <c r="BX68" s="303" t="n"/>
      <c r="BY68" s="303" t="n"/>
      <c r="BZ68" s="303" t="n"/>
      <c r="CA68" s="303" t="n"/>
      <c r="CB68" s="303" t="n"/>
      <c r="CC68" s="303" t="n"/>
      <c r="CD68" s="303" t="n"/>
      <c r="CE68" s="303" t="n"/>
      <c r="CF68" s="303" t="n"/>
      <c r="CG68" s="303" t="n"/>
      <c r="CH68" s="303" t="n"/>
      <c r="CI68" s="303" t="n"/>
      <c r="CJ68" s="303" t="n"/>
      <c r="CK68" s="303" t="n"/>
      <c r="CL68" s="303" t="n"/>
      <c r="CM68" s="303" t="n"/>
      <c r="CN68" s="303" t="n"/>
      <c r="CO68" s="303" t="n"/>
      <c r="CP68" s="303" t="n"/>
      <c r="CQ68" s="303" t="n"/>
      <c r="CR68" s="303" t="n"/>
      <c r="CS68" s="303" t="n"/>
      <c r="CT68" s="303" t="n"/>
      <c r="CU68" s="303" t="n"/>
      <c r="CV68" s="303" t="n"/>
      <c r="CW68" s="303" t="n"/>
      <c r="CX68" s="303" t="n"/>
      <c r="CY68" s="303" t="n"/>
    </row>
    <row r="69" hidden="1" outlineLevel="1" ht="12.75" customHeight="1" s="254">
      <c r="C69" s="303" t="inlineStr">
        <is>
          <t>Outras Receitas (Despesas) Operacionais, Líquidas</t>
        </is>
      </c>
      <c r="D69" s="265" t="n"/>
      <c r="E69" s="265" t="n"/>
      <c r="F69" s="265" t="n"/>
      <c r="G69" s="265" t="n"/>
      <c r="H69" s="303" t="n"/>
      <c r="I69" s="265" t="n"/>
      <c r="J69" s="265" t="n"/>
      <c r="K69" s="265" t="n"/>
      <c r="L69" s="265" t="n"/>
      <c r="M69" s="303" t="n"/>
      <c r="N69" s="265" t="n"/>
      <c r="O69" s="265" t="n"/>
      <c r="P69" s="265" t="n"/>
      <c r="Q69" s="265" t="n"/>
      <c r="R69" s="303" t="n"/>
      <c r="S69" s="265" t="n"/>
      <c r="T69" s="265" t="n"/>
      <c r="U69" s="265" t="n"/>
      <c r="V69" s="265" t="n"/>
      <c r="W69" s="303" t="n"/>
      <c r="X69" s="265" t="n"/>
      <c r="Y69" s="265" t="n"/>
      <c r="Z69" s="265" t="n"/>
      <c r="AA69" s="265" t="n"/>
      <c r="AB69" s="303" t="n"/>
      <c r="AC69" s="265" t="n"/>
      <c r="AD69" s="265" t="n"/>
      <c r="AE69" s="265" t="n"/>
      <c r="AF69" s="265" t="n"/>
      <c r="AG69" s="303" t="n"/>
      <c r="AH69" s="303" t="n"/>
      <c r="AI69" s="303" t="n"/>
      <c r="AJ69" s="303" t="n"/>
      <c r="AK69" s="303" t="n"/>
      <c r="AL69" s="303" t="n"/>
      <c r="AM69" s="303" t="n"/>
      <c r="AN69" s="303" t="n"/>
      <c r="AO69" s="303" t="n"/>
      <c r="AP69" s="303" t="n"/>
      <c r="AQ69" s="303" t="n"/>
      <c r="AR69" s="303" t="n"/>
      <c r="AS69" s="303" t="n"/>
      <c r="AT69" s="303" t="n"/>
      <c r="AU69" s="303" t="n"/>
      <c r="AV69" s="303" t="n"/>
      <c r="AW69" s="303" t="n"/>
      <c r="AX69" s="303" t="n"/>
      <c r="AY69" s="303" t="n"/>
      <c r="AZ69" s="303" t="n"/>
      <c r="BA69" s="303" t="n"/>
      <c r="BB69" s="303" t="n"/>
      <c r="BC69" s="303" t="n"/>
      <c r="BD69" s="303" t="n"/>
      <c r="BE69" s="303" t="n"/>
      <c r="BF69" s="303" t="n"/>
      <c r="BG69" s="303" t="n"/>
      <c r="BH69" s="303" t="n"/>
      <c r="BI69" s="303" t="n"/>
      <c r="BJ69" s="303" t="n"/>
      <c r="BK69" s="303" t="n"/>
      <c r="BL69" s="303" t="n"/>
      <c r="BM69" s="303" t="n"/>
      <c r="BN69" s="303" t="n"/>
      <c r="BO69" s="303" t="n"/>
      <c r="BP69" s="303" t="n"/>
      <c r="BQ69" s="303" t="n"/>
      <c r="BR69" s="303" t="n"/>
      <c r="BS69" s="303" t="n"/>
      <c r="BT69" s="303" t="n"/>
      <c r="BU69" s="303" t="n"/>
      <c r="BV69" s="303" t="n"/>
      <c r="BW69" s="303" t="n"/>
      <c r="BX69" s="303" t="n"/>
      <c r="BY69" s="303" t="n"/>
      <c r="BZ69" s="303" t="n"/>
      <c r="CA69" s="303" t="n"/>
      <c r="CB69" s="303" t="n"/>
      <c r="CC69" s="303" t="n"/>
      <c r="CD69" s="303" t="n"/>
      <c r="CE69" s="303" t="n"/>
      <c r="CF69" s="303" t="n"/>
      <c r="CG69" s="303" t="n"/>
      <c r="CH69" s="303" t="n"/>
      <c r="CI69" s="303" t="n"/>
      <c r="CJ69" s="303" t="n"/>
      <c r="CK69" s="303" t="n"/>
      <c r="CL69" s="303" t="n"/>
      <c r="CM69" s="303" t="n"/>
      <c r="CN69" s="303" t="n"/>
      <c r="CO69" s="303" t="n"/>
      <c r="CP69" s="303" t="n"/>
      <c r="CQ69" s="303" t="n"/>
      <c r="CR69" s="303" t="n"/>
      <c r="CS69" s="303" t="n"/>
      <c r="CT69" s="303" t="n"/>
      <c r="CU69" s="303" t="n"/>
      <c r="CV69" s="303" t="n"/>
      <c r="CW69" s="303" t="n"/>
      <c r="CX69" s="303" t="n"/>
      <c r="CY69" s="303" t="n"/>
    </row>
    <row r="70" hidden="1" outlineLevel="1" ht="12.75" customHeight="1" s="254">
      <c r="C70" s="303" t="n"/>
      <c r="D70" s="303" t="n"/>
      <c r="E70" s="303" t="n"/>
      <c r="F70" s="303" t="n"/>
      <c r="G70" s="303" t="n"/>
      <c r="H70" s="303" t="n"/>
      <c r="I70" s="303" t="n"/>
      <c r="J70" s="303" t="n"/>
      <c r="K70" s="303" t="n"/>
      <c r="L70" s="303" t="n"/>
      <c r="M70" s="303" t="n"/>
      <c r="N70" s="303" t="n"/>
      <c r="O70" s="303" t="n"/>
      <c r="P70" s="303" t="n"/>
      <c r="Q70" s="303" t="n"/>
      <c r="R70" s="303" t="n"/>
      <c r="S70" s="303" t="n"/>
      <c r="T70" s="303" t="n"/>
      <c r="U70" s="303" t="n"/>
      <c r="V70" s="303" t="n"/>
      <c r="W70" s="303" t="n"/>
      <c r="X70" s="303" t="n"/>
      <c r="Y70" s="303" t="n"/>
      <c r="Z70" s="303" t="n"/>
      <c r="AA70" s="303" t="n"/>
      <c r="AB70" s="303" t="n"/>
      <c r="AC70" s="303" t="n"/>
      <c r="AD70" s="303" t="n"/>
      <c r="AE70" s="303" t="n"/>
      <c r="AF70" s="303" t="n"/>
      <c r="AG70" s="303" t="n"/>
      <c r="AH70" s="303" t="n"/>
      <c r="AI70" s="303" t="n"/>
      <c r="AJ70" s="303" t="n"/>
      <c r="AK70" s="303" t="n"/>
      <c r="AL70" s="303" t="n"/>
      <c r="AM70" s="303" t="n"/>
      <c r="AN70" s="303" t="n"/>
      <c r="AO70" s="303" t="n"/>
      <c r="AP70" s="303" t="n"/>
      <c r="AQ70" s="303" t="n"/>
      <c r="AR70" s="303" t="n"/>
      <c r="AS70" s="303" t="n"/>
      <c r="AT70" s="303" t="n"/>
      <c r="AU70" s="303" t="n"/>
      <c r="AV70" s="303" t="n"/>
      <c r="AW70" s="303" t="n"/>
      <c r="AX70" s="303" t="n"/>
      <c r="AY70" s="303" t="n"/>
      <c r="AZ70" s="303" t="n"/>
      <c r="BA70" s="303" t="n"/>
      <c r="BB70" s="303" t="n"/>
      <c r="BC70" s="303" t="n"/>
      <c r="BD70" s="303" t="n"/>
      <c r="BE70" s="303" t="n"/>
      <c r="BF70" s="303" t="n"/>
      <c r="BG70" s="303" t="n"/>
      <c r="BH70" s="303" t="n"/>
      <c r="BI70" s="303" t="n"/>
      <c r="BJ70" s="303" t="n"/>
      <c r="BK70" s="303" t="n"/>
      <c r="BL70" s="303" t="n"/>
      <c r="BM70" s="303" t="n"/>
      <c r="BN70" s="303" t="n"/>
      <c r="BO70" s="303" t="n"/>
      <c r="BP70" s="303" t="n"/>
      <c r="BQ70" s="303" t="n"/>
      <c r="BR70" s="303" t="n"/>
      <c r="BS70" s="303" t="n"/>
      <c r="BT70" s="303" t="n"/>
      <c r="BU70" s="303" t="n"/>
      <c r="BV70" s="303" t="n"/>
      <c r="BW70" s="303" t="n"/>
      <c r="BX70" s="303" t="n"/>
      <c r="BY70" s="303" t="n"/>
      <c r="BZ70" s="303" t="n"/>
      <c r="CA70" s="303" t="n"/>
      <c r="CB70" s="303" t="n"/>
      <c r="CC70" s="303" t="n"/>
      <c r="CD70" s="303" t="n"/>
      <c r="CE70" s="303" t="n"/>
      <c r="CF70" s="303" t="n"/>
      <c r="CG70" s="303" t="n"/>
      <c r="CH70" s="303" t="n"/>
      <c r="CI70" s="303" t="n"/>
      <c r="CJ70" s="303" t="n"/>
      <c r="CK70" s="303" t="n"/>
      <c r="CL70" s="303" t="n"/>
      <c r="CM70" s="303" t="n"/>
      <c r="CN70" s="303" t="n"/>
      <c r="CO70" s="303" t="n"/>
      <c r="CP70" s="303" t="n"/>
      <c r="CQ70" s="303" t="n"/>
      <c r="CR70" s="303" t="n"/>
      <c r="CS70" s="303" t="n"/>
      <c r="CT70" s="303" t="n"/>
      <c r="CU70" s="303" t="n"/>
      <c r="CV70" s="303" t="n"/>
      <c r="CW70" s="303" t="n"/>
      <c r="CX70" s="303" t="n"/>
      <c r="CY70" s="303" t="n"/>
    </row>
    <row r="71" hidden="1" outlineLevel="1" ht="12.75" customHeight="1" s="254">
      <c r="C71" s="303" t="inlineStr">
        <is>
          <t>Com Vendas (%)</t>
        </is>
      </c>
      <c r="D71" s="303" t="n"/>
      <c r="E71" s="303" t="n"/>
      <c r="F71" s="303" t="n"/>
      <c r="G71" s="303" t="n"/>
      <c r="H71" s="303" t="n"/>
      <c r="I71" s="303" t="n"/>
      <c r="J71" s="303" t="n"/>
      <c r="K71" s="303" t="n"/>
      <c r="L71" s="303" t="n"/>
      <c r="M71" s="303" t="n"/>
      <c r="N71" s="303" t="n"/>
      <c r="O71" s="303" t="n"/>
      <c r="P71" s="303" t="n"/>
      <c r="Q71" s="303" t="n"/>
      <c r="R71" s="303" t="n"/>
      <c r="S71" s="303" t="n"/>
      <c r="T71" s="303" t="n"/>
      <c r="U71" s="303" t="n"/>
      <c r="V71" s="303" t="n"/>
      <c r="W71" s="303" t="n"/>
      <c r="X71" s="303" t="n"/>
      <c r="Y71" s="303" t="n"/>
      <c r="Z71" s="303" t="n"/>
      <c r="AA71" s="303" t="n"/>
      <c r="AB71" s="303" t="n"/>
      <c r="AC71" s="303" t="n"/>
      <c r="AD71" s="303" t="n"/>
      <c r="AE71" s="303" t="n"/>
      <c r="AF71" s="303" t="n"/>
      <c r="AG71" s="303" t="n"/>
      <c r="AH71" s="303" t="n"/>
      <c r="AI71" s="303" t="n"/>
      <c r="AJ71" s="303" t="n"/>
      <c r="AK71" s="303" t="n"/>
      <c r="AL71" s="303" t="n"/>
      <c r="AM71" s="303" t="n"/>
      <c r="AN71" s="303" t="n"/>
      <c r="AO71" s="303" t="n"/>
      <c r="AP71" s="303" t="n"/>
      <c r="AQ71" s="303" t="n"/>
      <c r="AR71" s="303" t="n"/>
      <c r="AS71" s="303" t="n"/>
      <c r="AT71" s="303" t="n"/>
      <c r="AU71" s="303" t="n"/>
      <c r="AV71" s="303" t="n"/>
      <c r="AW71" s="303" t="n"/>
      <c r="AX71" s="303" t="n"/>
      <c r="AY71" s="303" t="n"/>
      <c r="AZ71" s="303" t="n"/>
      <c r="BA71" s="303" t="n"/>
      <c r="BB71" s="303" t="n"/>
      <c r="BC71" s="303" t="n"/>
      <c r="BD71" s="303" t="n"/>
      <c r="BE71" s="303" t="n"/>
      <c r="BF71" s="303" t="n"/>
      <c r="BG71" s="303" t="n"/>
      <c r="BH71" s="303" t="n"/>
      <c r="BI71" s="303" t="n"/>
      <c r="BJ71" s="303" t="n"/>
      <c r="BK71" s="303" t="n"/>
      <c r="BL71" s="303" t="n"/>
      <c r="BM71" s="303" t="n"/>
      <c r="BN71" s="303" t="n"/>
      <c r="BO71" s="303" t="n"/>
      <c r="BP71" s="303" t="n"/>
      <c r="BQ71" s="303" t="n"/>
      <c r="BR71" s="303" t="n"/>
      <c r="BS71" s="303" t="n"/>
      <c r="BT71" s="303" t="n"/>
      <c r="BU71" s="303" t="n"/>
      <c r="BV71" s="303" t="n"/>
      <c r="BW71" s="303" t="n"/>
      <c r="BX71" s="303" t="n"/>
      <c r="BY71" s="303" t="n"/>
      <c r="BZ71" s="303" t="n"/>
      <c r="CA71" s="303" t="n"/>
      <c r="CB71" s="303" t="n"/>
      <c r="CC71" s="303" t="n"/>
      <c r="CD71" s="303" t="n"/>
      <c r="CE71" s="303" t="n"/>
      <c r="CF71" s="303" t="n"/>
      <c r="CG71" s="303" t="n"/>
      <c r="CH71" s="303" t="n"/>
      <c r="CI71" s="303" t="n"/>
      <c r="CJ71" s="303" t="n"/>
      <c r="CK71" s="303" t="n"/>
      <c r="CL71" s="303" t="n"/>
      <c r="CM71" s="303" t="n"/>
      <c r="CN71" s="303" t="n"/>
      <c r="CO71" s="303" t="n"/>
      <c r="CP71" s="303" t="n"/>
      <c r="CQ71" s="303" t="n"/>
      <c r="CR71" s="303" t="n"/>
      <c r="CS71" s="303" t="n"/>
      <c r="CT71" s="303" t="n"/>
      <c r="CU71" s="303" t="n"/>
      <c r="CV71" s="303" t="n"/>
      <c r="CW71" s="303" t="n"/>
      <c r="CX71" s="303" t="n"/>
      <c r="CY71" s="303" t="n"/>
    </row>
    <row r="72" hidden="1" outlineLevel="1" ht="12.75" customHeight="1" s="254">
      <c r="C72" s="303" t="inlineStr">
        <is>
          <t>Gerais &amp; Administrativas (%)</t>
        </is>
      </c>
      <c r="D72" s="303" t="n"/>
      <c r="E72" s="303" t="n"/>
      <c r="F72" s="303" t="n"/>
      <c r="G72" s="303" t="n"/>
      <c r="H72" s="303" t="n"/>
      <c r="I72" s="303" t="n"/>
      <c r="J72" s="303" t="n"/>
      <c r="K72" s="303" t="n"/>
      <c r="L72" s="303" t="n"/>
      <c r="M72" s="303" t="n"/>
      <c r="N72" s="303" t="n"/>
      <c r="O72" s="303" t="n"/>
      <c r="P72" s="303" t="n"/>
      <c r="Q72" s="303" t="n"/>
      <c r="R72" s="303" t="n"/>
      <c r="S72" s="303" t="n"/>
      <c r="T72" s="303" t="n"/>
      <c r="U72" s="303" t="n"/>
      <c r="V72" s="303" t="n"/>
      <c r="W72" s="303" t="n"/>
      <c r="X72" s="303" t="n"/>
      <c r="Y72" s="303" t="n"/>
      <c r="Z72" s="303" t="n"/>
      <c r="AA72" s="303" t="n"/>
      <c r="AB72" s="303" t="n"/>
      <c r="AC72" s="303" t="n"/>
      <c r="AD72" s="303" t="n"/>
      <c r="AE72" s="303" t="n"/>
      <c r="AF72" s="303" t="n"/>
      <c r="AG72" s="303" t="n"/>
      <c r="AH72" s="303" t="n"/>
      <c r="AI72" s="303" t="n"/>
      <c r="AJ72" s="303" t="n"/>
      <c r="AK72" s="303" t="n"/>
      <c r="AL72" s="303" t="n"/>
      <c r="AM72" s="303" t="n"/>
      <c r="AN72" s="303" t="n"/>
      <c r="AO72" s="303" t="n"/>
      <c r="AP72" s="303" t="n"/>
      <c r="AQ72" s="303" t="n"/>
      <c r="AR72" s="303" t="n"/>
      <c r="AS72" s="303" t="n"/>
      <c r="AT72" s="303" t="n"/>
      <c r="AU72" s="303" t="n"/>
      <c r="AV72" s="303" t="n"/>
      <c r="AW72" s="303" t="n"/>
      <c r="AX72" s="303" t="n"/>
      <c r="AY72" s="303" t="n"/>
      <c r="AZ72" s="303" t="n"/>
      <c r="BA72" s="303" t="n"/>
      <c r="BB72" s="303" t="n"/>
      <c r="BC72" s="303" t="n"/>
      <c r="BD72" s="303" t="n"/>
      <c r="BE72" s="303" t="n"/>
      <c r="BF72" s="303" t="n"/>
      <c r="BG72" s="303" t="n"/>
      <c r="BH72" s="303" t="n"/>
      <c r="BI72" s="303" t="n"/>
      <c r="BJ72" s="303" t="n"/>
      <c r="BK72" s="303" t="n"/>
      <c r="BL72" s="303" t="n"/>
      <c r="BM72" s="303" t="n"/>
      <c r="BN72" s="303" t="n"/>
      <c r="BO72" s="303" t="n"/>
      <c r="BP72" s="303" t="n"/>
      <c r="BQ72" s="303" t="n"/>
      <c r="BR72" s="303" t="n"/>
      <c r="BS72" s="303" t="n"/>
      <c r="BT72" s="303" t="n"/>
      <c r="BU72" s="303" t="n"/>
      <c r="BV72" s="303" t="n"/>
      <c r="BW72" s="303" t="n"/>
      <c r="BX72" s="303" t="n"/>
      <c r="BY72" s="303" t="n"/>
      <c r="BZ72" s="303" t="n"/>
      <c r="CA72" s="303" t="n"/>
      <c r="CB72" s="303" t="n"/>
      <c r="CC72" s="303" t="n"/>
      <c r="CD72" s="303" t="n"/>
      <c r="CE72" s="303" t="n"/>
      <c r="CF72" s="303" t="n"/>
      <c r="CG72" s="303" t="n"/>
      <c r="CH72" s="303" t="n"/>
      <c r="CI72" s="303" t="n"/>
      <c r="CJ72" s="303" t="n"/>
      <c r="CK72" s="303" t="n"/>
      <c r="CL72" s="303" t="n"/>
      <c r="CM72" s="303" t="n"/>
      <c r="CN72" s="303" t="n"/>
      <c r="CO72" s="303" t="n"/>
      <c r="CP72" s="303" t="n"/>
      <c r="CQ72" s="303" t="n"/>
      <c r="CR72" s="303" t="n"/>
      <c r="CS72" s="303" t="n"/>
      <c r="CT72" s="303" t="n"/>
      <c r="CU72" s="303" t="n"/>
      <c r="CV72" s="303" t="n"/>
      <c r="CW72" s="303" t="n"/>
      <c r="CX72" s="303" t="n"/>
      <c r="CY72" s="303" t="n"/>
    </row>
    <row r="73" hidden="1" outlineLevel="1" ht="12.75" customHeight="1" s="254">
      <c r="C73" s="303" t="inlineStr">
        <is>
          <t>Outras Receitas (Despesas) Operacionais, Líquidas (%)</t>
        </is>
      </c>
      <c r="D73" s="303" t="n"/>
      <c r="E73" s="303" t="n"/>
      <c r="F73" s="303" t="n"/>
      <c r="G73" s="303" t="n"/>
      <c r="H73" s="303" t="n"/>
      <c r="I73" s="303" t="n"/>
      <c r="J73" s="303" t="n"/>
      <c r="K73" s="303" t="n"/>
      <c r="L73" s="303" t="n"/>
      <c r="M73" s="303" t="n"/>
      <c r="N73" s="303" t="n"/>
      <c r="O73" s="303" t="n"/>
      <c r="P73" s="303" t="n"/>
      <c r="Q73" s="303" t="n"/>
      <c r="R73" s="303" t="n"/>
      <c r="S73" s="303" t="n"/>
      <c r="T73" s="303" t="n"/>
      <c r="U73" s="303" t="n"/>
      <c r="V73" s="303" t="n"/>
      <c r="W73" s="303" t="n"/>
      <c r="X73" s="303" t="n"/>
      <c r="Y73" s="303" t="n"/>
      <c r="Z73" s="303" t="n"/>
      <c r="AA73" s="303" t="n"/>
      <c r="AB73" s="303" t="n"/>
      <c r="AC73" s="303" t="n"/>
      <c r="AD73" s="303" t="n"/>
      <c r="AE73" s="303" t="n"/>
      <c r="AF73" s="303" t="n"/>
      <c r="AG73" s="303" t="n"/>
      <c r="AH73" s="303" t="n"/>
      <c r="AI73" s="303" t="n"/>
      <c r="AJ73" s="303" t="n"/>
      <c r="AK73" s="303" t="n"/>
      <c r="AL73" s="303" t="n"/>
      <c r="AM73" s="303" t="n"/>
      <c r="AN73" s="303" t="n"/>
      <c r="AO73" s="303" t="n"/>
      <c r="AP73" s="303" t="n"/>
      <c r="AQ73" s="303" t="n"/>
      <c r="AR73" s="303" t="n"/>
      <c r="AS73" s="303" t="n"/>
      <c r="AT73" s="303" t="n"/>
      <c r="AU73" s="303" t="n"/>
      <c r="AV73" s="303" t="n"/>
      <c r="AW73" s="303" t="n"/>
      <c r="AX73" s="303" t="n"/>
      <c r="AY73" s="303" t="n"/>
      <c r="AZ73" s="303" t="n"/>
      <c r="BA73" s="303" t="n"/>
      <c r="BB73" s="303" t="n"/>
      <c r="BC73" s="303" t="n"/>
      <c r="BD73" s="303" t="n"/>
      <c r="BE73" s="303" t="n"/>
      <c r="BF73" s="303" t="n"/>
      <c r="BG73" s="303" t="n"/>
      <c r="BH73" s="303" t="n"/>
      <c r="BI73" s="303" t="n"/>
      <c r="BJ73" s="303" t="n"/>
      <c r="BK73" s="303" t="n"/>
      <c r="BL73" s="303" t="n"/>
      <c r="BM73" s="303" t="n"/>
      <c r="BN73" s="303" t="n"/>
      <c r="BO73" s="303" t="n"/>
      <c r="BP73" s="303" t="n"/>
      <c r="BQ73" s="303" t="n"/>
      <c r="BR73" s="303" t="n"/>
      <c r="BS73" s="303" t="n"/>
      <c r="BT73" s="303" t="n"/>
      <c r="BU73" s="303" t="n"/>
      <c r="BV73" s="303" t="n"/>
      <c r="BW73" s="303" t="n"/>
      <c r="BX73" s="303" t="n"/>
      <c r="BY73" s="303" t="n"/>
      <c r="BZ73" s="303" t="n"/>
      <c r="CA73" s="303" t="n"/>
      <c r="CB73" s="303" t="n"/>
      <c r="CC73" s="303" t="n"/>
      <c r="CD73" s="303" t="n"/>
      <c r="CE73" s="303" t="n"/>
      <c r="CF73" s="303" t="n"/>
      <c r="CG73" s="303" t="n"/>
      <c r="CH73" s="303" t="n"/>
      <c r="CI73" s="303" t="n"/>
      <c r="CJ73" s="303" t="n"/>
      <c r="CK73" s="303" t="n"/>
      <c r="CL73" s="303" t="n"/>
      <c r="CM73" s="303" t="n"/>
      <c r="CN73" s="303" t="n"/>
      <c r="CO73" s="303" t="n"/>
      <c r="CP73" s="303" t="n"/>
      <c r="CQ73" s="303" t="n"/>
      <c r="CR73" s="303" t="n"/>
      <c r="CS73" s="303" t="n"/>
      <c r="CT73" s="303" t="n"/>
      <c r="CU73" s="303" t="n"/>
      <c r="CV73" s="303" t="n"/>
      <c r="CW73" s="303" t="n"/>
      <c r="CX73" s="303" t="n"/>
      <c r="CY73" s="303" t="n"/>
    </row>
    <row r="74" hidden="1" outlineLevel="1" ht="12.75" customHeight="1" s="254">
      <c r="C74" s="303" t="n"/>
      <c r="D74" s="303" t="n"/>
      <c r="E74" s="303" t="n"/>
      <c r="F74" s="303" t="n"/>
      <c r="G74" s="303" t="n"/>
      <c r="H74" s="303" t="n"/>
      <c r="I74" s="303" t="n"/>
      <c r="J74" s="303" t="n"/>
      <c r="K74" s="303" t="n"/>
      <c r="L74" s="303" t="n"/>
      <c r="M74" s="303" t="n"/>
      <c r="N74" s="303" t="n"/>
      <c r="O74" s="303" t="n"/>
      <c r="P74" s="303" t="n"/>
      <c r="Q74" s="303" t="n"/>
      <c r="R74" s="303" t="n"/>
      <c r="S74" s="303" t="n"/>
      <c r="T74" s="303" t="n"/>
      <c r="U74" s="303" t="n"/>
      <c r="V74" s="303" t="n"/>
      <c r="W74" s="303" t="n"/>
      <c r="X74" s="303" t="n"/>
      <c r="Y74" s="303" t="n"/>
      <c r="Z74" s="303" t="n"/>
      <c r="AA74" s="303" t="n"/>
      <c r="AB74" s="303" t="n"/>
      <c r="AC74" s="303" t="n"/>
      <c r="AD74" s="303" t="n"/>
      <c r="AE74" s="303" t="n"/>
      <c r="AF74" s="303" t="n"/>
      <c r="AG74" s="303" t="n"/>
      <c r="AH74" s="303" t="n"/>
      <c r="AI74" s="303" t="n"/>
      <c r="AJ74" s="303" t="n"/>
      <c r="AK74" s="303" t="n"/>
      <c r="AL74" s="303" t="n"/>
      <c r="AM74" s="303" t="n"/>
      <c r="AN74" s="303" t="n"/>
      <c r="AO74" s="303" t="n"/>
      <c r="AP74" s="303" t="n"/>
      <c r="AQ74" s="303" t="n"/>
      <c r="AR74" s="303" t="n"/>
      <c r="AS74" s="303" t="n"/>
      <c r="AT74" s="303" t="n"/>
      <c r="AU74" s="303" t="n"/>
      <c r="AV74" s="303" t="n"/>
      <c r="AW74" s="303" t="n"/>
      <c r="AX74" s="303" t="n"/>
      <c r="AY74" s="303" t="n"/>
      <c r="AZ74" s="303" t="n"/>
      <c r="BA74" s="303" t="n"/>
      <c r="BB74" s="303" t="n"/>
      <c r="BC74" s="303" t="n"/>
      <c r="BD74" s="303" t="n"/>
      <c r="BE74" s="303" t="n"/>
      <c r="BF74" s="303" t="n"/>
      <c r="BG74" s="303" t="n"/>
      <c r="BH74" s="303" t="n"/>
      <c r="BI74" s="303" t="n"/>
      <c r="BJ74" s="303" t="n"/>
      <c r="BK74" s="303" t="n"/>
      <c r="BL74" s="303" t="n"/>
      <c r="BM74" s="303" t="n"/>
      <c r="BN74" s="303" t="n"/>
      <c r="BO74" s="303" t="n"/>
      <c r="BP74" s="303" t="n"/>
      <c r="BQ74" s="303" t="n"/>
      <c r="BR74" s="303" t="n"/>
      <c r="BS74" s="303" t="n"/>
      <c r="BT74" s="303" t="n"/>
      <c r="BU74" s="303" t="n"/>
      <c r="BV74" s="303" t="n"/>
      <c r="BW74" s="303" t="n"/>
      <c r="BX74" s="303" t="n"/>
      <c r="BY74" s="303" t="n"/>
      <c r="BZ74" s="303" t="n"/>
      <c r="CA74" s="303" t="n"/>
      <c r="CB74" s="303" t="n"/>
      <c r="CC74" s="303" t="n"/>
      <c r="CD74" s="303" t="n"/>
      <c r="CE74" s="303" t="n"/>
      <c r="CF74" s="303" t="n"/>
      <c r="CG74" s="303" t="n"/>
      <c r="CH74" s="303" t="n"/>
      <c r="CI74" s="303" t="n"/>
      <c r="CJ74" s="303" t="n"/>
      <c r="CK74" s="303" t="n"/>
      <c r="CL74" s="303" t="n"/>
      <c r="CM74" s="303" t="n"/>
      <c r="CN74" s="303" t="n"/>
      <c r="CO74" s="303" t="n"/>
      <c r="CP74" s="303" t="n"/>
      <c r="CQ74" s="303" t="n"/>
      <c r="CR74" s="303" t="n"/>
      <c r="CS74" s="303" t="n"/>
      <c r="CT74" s="303" t="n"/>
      <c r="CU74" s="303" t="n"/>
      <c r="CV74" s="303" t="n"/>
      <c r="CW74" s="303" t="n"/>
      <c r="CX74" s="303" t="n"/>
      <c r="CY74" s="303" t="n"/>
    </row>
    <row r="75" ht="12.75" customFormat="1" customHeight="1" s="285">
      <c r="A75" s="286" t="n"/>
      <c r="B75" s="257" t="n"/>
      <c r="C75" s="273" t="inlineStr">
        <is>
          <t>EBITDA</t>
        </is>
      </c>
      <c r="D75" s="274">
        <f>SUM(D15,D60,D64)</f>
        <v>0</v>
      </c>
      <c r="E75" s="274">
        <f>SUM(E15,E60,E64)</f>
        <v>0</v>
      </c>
      <c r="F75" s="274">
        <f>SUM(F15,F60,F64)</f>
        <v>0</v>
      </c>
      <c r="G75" s="274">
        <f>SUM(G15,G60,G64)</f>
        <v>0</v>
      </c>
      <c r="H75" s="274">
        <f>SUM(D75:G75)</f>
        <v>0</v>
      </c>
      <c r="I75" s="274">
        <f>SUM(I15,I60,I64)</f>
        <v>11575</v>
      </c>
      <c r="J75" s="274">
        <f>SUM(J15,J60,J64)</f>
        <v>11996</v>
      </c>
      <c r="K75" s="274">
        <f>SUM(K15,K60,K64)</f>
        <v>6899</v>
      </c>
      <c r="L75" s="274">
        <f>SUM(L15,L60,L64)</f>
        <v>18733</v>
      </c>
      <c r="M75" s="274">
        <f>SUM(I75:L75)</f>
        <v>49203</v>
      </c>
      <c r="N75" s="274">
        <f>SUM(N15,N60,N64)</f>
        <v>18821</v>
      </c>
      <c r="O75" s="274">
        <f>SUM(O15,O60,O64)</f>
        <v>23484</v>
      </c>
      <c r="P75" s="274">
        <f>SUM(P15,P60,P64)</f>
        <v>15282</v>
      </c>
      <c r="Q75" s="274">
        <f>SUM(Q15,Q60,Q64)</f>
        <v>24051</v>
      </c>
      <c r="R75" s="274">
        <f>SUM(N75:Q75)</f>
        <v>81638</v>
      </c>
      <c r="S75" s="274">
        <f>SUM(S15,S60,S64)</f>
        <v>19741</v>
      </c>
      <c r="T75" s="274">
        <f>SUM(T15,T60,T64)</f>
        <v>12990</v>
      </c>
      <c r="U75" s="274">
        <f>SUM(U15,U60,U64)</f>
        <v>16672</v>
      </c>
      <c r="V75" s="274">
        <f>SUM(V15,V60,V64)</f>
        <v>12623</v>
      </c>
      <c r="W75" s="274">
        <f>SUM(S75:V75)</f>
        <v>62026</v>
      </c>
      <c r="X75" s="274">
        <f>SUM(X15,X60,X64)</f>
        <v>15864</v>
      </c>
      <c r="Y75" s="274">
        <f>SUM(Y15,Y60,Y64)</f>
        <v>15600</v>
      </c>
      <c r="Z75" s="274">
        <f>SUM(Z15,Z60,Z64)</f>
        <v>12988</v>
      </c>
      <c r="AA75" s="274">
        <f>SUM(AA15,AA60,AA64)</f>
        <v>12409</v>
      </c>
      <c r="AB75" s="274">
        <f>SUM(X75:AA75)</f>
        <v>56861</v>
      </c>
      <c r="AC75" s="274">
        <f>SUM(AC15,AC60,AC64)</f>
        <v>14601</v>
      </c>
      <c r="AD75" s="274">
        <f>SUM(AD15,AD60,AD64)</f>
        <v>12683</v>
      </c>
      <c r="AE75" s="274">
        <f>SUM(AE15,AE60,AE64)</f>
        <v>13557</v>
      </c>
      <c r="AF75" s="274">
        <f>SUM(AF15,AF60,AF64)</f>
        <v>12040</v>
      </c>
      <c r="AG75" s="274">
        <f>SUM(AC75:AF75)</f>
        <v>52881</v>
      </c>
      <c r="AH75" s="274">
        <f>SUM(AH15,AH60,AH64)</f>
        <v>16103</v>
      </c>
      <c r="AI75" s="274">
        <f>SUM(AI15,AI60,AI64)</f>
        <v>21360</v>
      </c>
      <c r="AJ75" s="274">
        <f>SUM(AJ15,AJ60,AJ64)</f>
        <v>0</v>
      </c>
      <c r="AK75" s="274">
        <f>SUM(AK15,AK60,AK64)</f>
        <v>0</v>
      </c>
      <c r="AL75" s="274">
        <f>SUM(AH75:AK75)</f>
        <v>37463</v>
      </c>
      <c r="AM75" s="274">
        <f>SUM(AM15,AM60,AM64)</f>
        <v>0</v>
      </c>
      <c r="AN75" s="274">
        <f>SUM(AN15,AN60,AN64)</f>
        <v>0</v>
      </c>
      <c r="AO75" s="274">
        <f>SUM(AO15,AO60,AO64)</f>
        <v>0</v>
      </c>
      <c r="AP75" s="274">
        <f>SUM(AP15,AP60,AP64)</f>
        <v>0</v>
      </c>
      <c r="AQ75" s="274">
        <f>SUM(AM75:AP75)</f>
        <v>0</v>
      </c>
      <c r="AR75" s="274">
        <f>SUM(AR15,AR60,AR64)</f>
        <v>0</v>
      </c>
      <c r="AS75" s="274">
        <f>SUM(AS15,AS60,AS64)</f>
        <v>0</v>
      </c>
      <c r="AT75" s="274">
        <f>SUM(AT15,AT60,AT64)</f>
        <v>0</v>
      </c>
      <c r="AU75" s="274">
        <f>SUM(AU15,AU60,AU64)</f>
        <v>0</v>
      </c>
      <c r="AV75" s="274">
        <f>SUM(AR75:AU75)</f>
        <v>0</v>
      </c>
      <c r="AW75" s="274">
        <f>SUM(AW15,AW60,AW64)</f>
        <v>0</v>
      </c>
      <c r="AX75" s="274">
        <f>SUM(AX15,AX60,AX64)</f>
        <v>0</v>
      </c>
      <c r="AY75" s="274">
        <f>SUM(AY15,AY60,AY64)</f>
        <v>0</v>
      </c>
      <c r="AZ75" s="274">
        <f>SUM(AZ15,AZ60,AZ64)</f>
        <v>0</v>
      </c>
      <c r="BA75" s="274">
        <f>SUM(AW75:AZ75)</f>
        <v>0</v>
      </c>
      <c r="BB75" s="274">
        <f>SUM(BB15,BB60,BB64)</f>
        <v>0</v>
      </c>
      <c r="BC75" s="274">
        <f>SUM(BC15,BC60,BC64)</f>
        <v>0</v>
      </c>
      <c r="BD75" s="274">
        <f>SUM(BD15,BD60,BD64)</f>
        <v>0</v>
      </c>
      <c r="BE75" s="274">
        <f>SUM(BE15,BE60,BE64)</f>
        <v>0</v>
      </c>
      <c r="BF75" s="274">
        <f>SUM(BB75:BE75)</f>
        <v>0</v>
      </c>
      <c r="BG75" s="274">
        <f>SUM(BG15,BG60,BG64)</f>
        <v>0</v>
      </c>
      <c r="BH75" s="274">
        <f>SUM(BH15,BH60,BH64)</f>
        <v>0</v>
      </c>
      <c r="BI75" s="274">
        <f>SUM(BI15,BI60,BI64)</f>
        <v>0</v>
      </c>
      <c r="BJ75" s="274">
        <f>SUM(BJ15,BJ60,BJ64)</f>
        <v>0</v>
      </c>
      <c r="BK75" s="274">
        <f>SUM(BG75:BJ75)</f>
        <v>0</v>
      </c>
      <c r="BL75" s="274">
        <f>SUM(BL15,BL60,BL64)</f>
        <v>0</v>
      </c>
      <c r="BM75" s="274">
        <f>SUM(BM15,BM60,BM64)</f>
        <v>0</v>
      </c>
      <c r="BN75" s="274">
        <f>SUM(BN15,BN60,BN64)</f>
        <v>0</v>
      </c>
      <c r="BO75" s="274">
        <f>SUM(BO15,BO60,BO64)</f>
        <v>0</v>
      </c>
      <c r="BP75" s="274">
        <f>SUM(BL75:BO75)</f>
        <v>0</v>
      </c>
      <c r="BQ75" s="274">
        <f>SUM(BQ15,BQ60,BQ64)</f>
        <v>0</v>
      </c>
      <c r="BR75" s="274">
        <f>SUM(BR15,BR60,BR64)</f>
        <v>0</v>
      </c>
      <c r="BS75" s="274">
        <f>SUM(BS15,BS60,BS64)</f>
        <v>0</v>
      </c>
      <c r="BT75" s="274">
        <f>SUM(BT15,BT60,BT64)</f>
        <v>0</v>
      </c>
      <c r="BU75" s="274">
        <f>SUM(BQ75:BT75)</f>
        <v>0</v>
      </c>
      <c r="BV75" s="274">
        <f>SUM(BV15,BV60,BV64)</f>
        <v>0</v>
      </c>
      <c r="BW75" s="274">
        <f>SUM(BW15,BW60,BW64)</f>
        <v>0</v>
      </c>
      <c r="BX75" s="274">
        <f>SUM(BX15,BX60,BX64)</f>
        <v>0</v>
      </c>
      <c r="BY75" s="274">
        <f>SUM(BY15,BY60,BY64)</f>
        <v>0</v>
      </c>
      <c r="BZ75" s="274">
        <f>SUM(BV75:BY75)</f>
        <v>0</v>
      </c>
      <c r="CA75" s="274">
        <f>SUM(CA15,CA60,CA64)</f>
        <v>0</v>
      </c>
      <c r="CB75" s="274">
        <f>SUM(CB15,CB60,CB64)</f>
        <v>0</v>
      </c>
      <c r="CC75" s="274">
        <f>SUM(CC15,CC60,CC64)</f>
        <v>0</v>
      </c>
      <c r="CD75" s="274">
        <f>SUM(CD15,CD60,CD64)</f>
        <v>0</v>
      </c>
      <c r="CE75" s="274">
        <f>SUM(CA75:CD75)</f>
        <v>0</v>
      </c>
      <c r="CF75" s="274">
        <f>SUM(CF15,CF60,CF64)</f>
        <v>0</v>
      </c>
      <c r="CG75" s="274">
        <f>SUM(CG15,CG60,CG64)</f>
        <v>0</v>
      </c>
      <c r="CH75" s="274">
        <f>SUM(CH15,CH60,CH64)</f>
        <v>0</v>
      </c>
      <c r="CI75" s="274">
        <f>SUM(CI15,CI60,CI64)</f>
        <v>0</v>
      </c>
      <c r="CJ75" s="274">
        <f>SUM(CF75:CI75)</f>
        <v>0</v>
      </c>
      <c r="CK75" s="274">
        <f>SUM(CK15,CK60,CK64)</f>
        <v>0</v>
      </c>
      <c r="CL75" s="274">
        <f>SUM(CL15,CL60,CL64)</f>
        <v>0</v>
      </c>
      <c r="CM75" s="274">
        <f>SUM(CM15,CM60,CM64)</f>
        <v>0</v>
      </c>
      <c r="CN75" s="274">
        <f>SUM(CN15,CN60,CN64)</f>
        <v>0</v>
      </c>
      <c r="CO75" s="274">
        <f>SUM(CK75:CN75)</f>
        <v>0</v>
      </c>
      <c r="CP75" s="274">
        <f>SUM(CP15,CP60,CP64)</f>
        <v>0</v>
      </c>
      <c r="CQ75" s="274">
        <f>SUM(CQ15,CQ60,CQ64)</f>
        <v>0</v>
      </c>
      <c r="CR75" s="274">
        <f>SUM(CR15,CR60,CR64)</f>
        <v>0</v>
      </c>
      <c r="CS75" s="274">
        <f>SUM(CS15,CS60,CS64)</f>
        <v>0</v>
      </c>
      <c r="CT75" s="274">
        <f>SUM(CP75:CS75)</f>
        <v>0</v>
      </c>
      <c r="CU75" s="274">
        <f>SUM(CU15,CU60,CU64)</f>
        <v>0</v>
      </c>
      <c r="CV75" s="274">
        <f>SUM(CV15,CV60,CV64)</f>
        <v>0</v>
      </c>
      <c r="CW75" s="274">
        <f>SUM(CW15,CW60,CW64)</f>
        <v>0</v>
      </c>
      <c r="CX75" s="274">
        <f>SUM(CX15,CX60,CX64)</f>
        <v>0</v>
      </c>
      <c r="CY75" s="274">
        <f>SUM(CU75:CX75)</f>
        <v>0</v>
      </c>
    </row>
    <row r="76" ht="13.5" customHeight="1" s="254">
      <c r="C76" s="267" t="inlineStr">
        <is>
          <t>D&amp;A</t>
        </is>
      </c>
      <c r="D76" s="299" t="n"/>
      <c r="E76" s="299" t="n"/>
      <c r="F76" s="299" t="n"/>
      <c r="G76" s="299" t="n"/>
      <c r="H76" s="266">
        <f>SUM(D76:G76)</f>
        <v>0</v>
      </c>
      <c r="I76" s="299">
        <f>INDEX('Inputs (2)'!$D$7:$AL$7,MATCH(I$7,'Inputs (2)'!$D$2:$AL$2,0))</f>
        <v>-5896</v>
      </c>
      <c r="J76" s="299">
        <f>INDEX('Inputs (2)'!$D$7:$AL$7,MATCH(J$7,'Inputs (2)'!$D$2:$AL$2,0))</f>
        <v>-8223</v>
      </c>
      <c r="K76" s="299">
        <f>INDEX('Inputs (2)'!$D$7:$AL$7,MATCH(K$7,'Inputs (2)'!$D$2:$AL$2,0))</f>
        <v>-6358</v>
      </c>
      <c r="L76" s="299">
        <f>INDEX('Inputs (2)'!$D$7:$AL$7,MATCH(L$7,'Inputs (2)'!$D$2:$AL$2,0))</f>
        <v>-6445</v>
      </c>
      <c r="M76" s="266">
        <f>SUM(I76:L76)</f>
        <v>-26922</v>
      </c>
      <c r="N76" s="299">
        <f>INDEX('Inputs (2)'!$D$7:$AL$7,MATCH(N$7,'Inputs (2)'!$D$2:$AL$2,0))</f>
        <v>-6295</v>
      </c>
      <c r="O76" s="299">
        <f>INDEX('Inputs (2)'!$D$7:$AL$7,MATCH(O$7,'Inputs (2)'!$D$2:$AL$2,0))</f>
        <v>348</v>
      </c>
      <c r="P76" s="299">
        <f>INDEX('Inputs (2)'!$D$7:$AL$7,MATCH(P$7,'Inputs (2)'!$D$2:$AL$2,0))</f>
        <v>-6124</v>
      </c>
      <c r="Q76" s="299">
        <f>INDEX('Inputs (2)'!$D$7:$AL$7,MATCH(Q$7,'Inputs (2)'!$D$2:$AL$2,0))</f>
        <v>-6459</v>
      </c>
      <c r="R76" s="266">
        <f>SUM(N76:Q76)</f>
        <v>-18530</v>
      </c>
      <c r="S76" s="299">
        <f>INDEX('Inputs (2)'!$D$7:$AL$7,MATCH(S$7,'Inputs (2)'!$D$2:$AL$2,0))</f>
        <v>-6285</v>
      </c>
      <c r="T76" s="299">
        <f>INDEX('Inputs (2)'!$D$7:$AL$7,MATCH(T$7,'Inputs (2)'!$D$2:$AL$2,0))</f>
        <v>-7872</v>
      </c>
      <c r="U76" s="299">
        <f>INDEX('Inputs (2)'!$D$7:$AL$7,MATCH(U$7,'Inputs (2)'!$D$2:$AL$2,0))</f>
        <v>-5911</v>
      </c>
      <c r="V76" s="299">
        <f>INDEX('Inputs (2)'!$D$7:$AL$7,MATCH(V$7,'Inputs (2)'!$D$2:$AL$2,0))</f>
        <v>-11221</v>
      </c>
      <c r="W76" s="266">
        <f>SUM(S76:V76)</f>
        <v>-31289</v>
      </c>
      <c r="X76" s="299">
        <f>INDEX('Inputs (2)'!$D$7:$AL$7,MATCH(X$7,'Inputs (2)'!$D$2:$AL$2,0))</f>
        <v>-5881</v>
      </c>
      <c r="Y76" s="299">
        <f>INDEX('Inputs (2)'!$D$7:$AL$7,MATCH(Y$7,'Inputs (2)'!$D$2:$AL$2,0))</f>
        <v>-7555</v>
      </c>
      <c r="Z76" s="299">
        <f>INDEX('Inputs (2)'!$D$7:$AL$7,MATCH(Z$7,'Inputs (2)'!$D$2:$AL$2,0))</f>
        <v>-5916</v>
      </c>
      <c r="AA76" s="299">
        <f>INDEX('Inputs (2)'!$D$7:$AL$7,MATCH(AA$7,'Inputs (2)'!$D$2:$AL$2,0))</f>
        <v>-7520</v>
      </c>
      <c r="AB76" s="266">
        <f>SUM(X76:AA76)</f>
        <v>-26872</v>
      </c>
      <c r="AC76" s="299">
        <f>INDEX('Inputs (2)'!$D$7:$AL$7,MATCH(AC$7,'Inputs (2)'!$D$2:$AL$2,0))</f>
        <v>-5441</v>
      </c>
      <c r="AD76" s="299">
        <f>INDEX('Inputs (2)'!$D$7:$AL$7,MATCH(AD$7,'Inputs (2)'!$D$2:$AL$2,0))</f>
        <v>-6670</v>
      </c>
      <c r="AE76" s="299">
        <f>INDEX('Inputs (2)'!$D$7:$AL$7,MATCH(AE$7,'Inputs (2)'!$D$2:$AL$2,0))</f>
        <v>-6607</v>
      </c>
      <c r="AF76" s="299">
        <f>INDEX('Inputs (2)'!$D$7:$AL$7,MATCH(AF$7,'Inputs (2)'!$D$2:$AL$2,0))</f>
        <v>-6581</v>
      </c>
      <c r="AG76" s="266">
        <f>SUM(AC76:AF76)</f>
        <v>-25299</v>
      </c>
      <c r="AH76" s="266">
        <f>INDEX('Inputs (2)'!$D$7:$AL$7,MATCH(AH$7,'Inputs (2)'!$D$2:$AL$2,0))</f>
        <v>-5743</v>
      </c>
      <c r="AI76" s="266">
        <f>INDEX('Inputs (2)'!$D$7:$AL$7,MATCH(AI$7,'Inputs (2)'!$D$2:$AL$2,0))</f>
        <v>-6183</v>
      </c>
      <c r="AJ76" s="266">
        <f>-AJ77*AJ15</f>
        <v>0</v>
      </c>
      <c r="AK76" s="266">
        <f>-AK77*AK15</f>
        <v>0</v>
      </c>
      <c r="AL76" s="266">
        <f>SUM(AH76:AK76)</f>
        <v>-11926</v>
      </c>
      <c r="AM76" s="266">
        <f>-AM77*AM15</f>
        <v>0</v>
      </c>
      <c r="AN76" s="266">
        <f>-AN77*AN15</f>
        <v>0</v>
      </c>
      <c r="AO76" s="266">
        <f>-AO77*AO15</f>
        <v>0</v>
      </c>
      <c r="AP76" s="266">
        <f>-AP77*AP15</f>
        <v>0</v>
      </c>
      <c r="AQ76" s="266">
        <f>SUM(AM76:AP76)</f>
        <v>0</v>
      </c>
      <c r="AR76" s="266">
        <f>-AR77*AR15</f>
        <v>0</v>
      </c>
      <c r="AS76" s="266">
        <f>-AS77*AS15</f>
        <v>0</v>
      </c>
      <c r="AT76" s="266">
        <f>-AT77*AT15</f>
        <v>0</v>
      </c>
      <c r="AU76" s="266">
        <f>-AU77*AU15</f>
        <v>0</v>
      </c>
      <c r="AV76" s="266">
        <f>SUM(AR76:AU76)</f>
        <v>0</v>
      </c>
      <c r="AW76" s="266">
        <f>-AW77*AW15</f>
        <v>0</v>
      </c>
      <c r="AX76" s="266">
        <f>-AX77*AX15</f>
        <v>0</v>
      </c>
      <c r="AY76" s="266">
        <f>-AY77*AY15</f>
        <v>0</v>
      </c>
      <c r="AZ76" s="266">
        <f>-AZ77*AZ15</f>
        <v>0</v>
      </c>
      <c r="BA76" s="266">
        <f>SUM(AW76:AZ76)</f>
        <v>0</v>
      </c>
      <c r="BB76" s="266">
        <f>-BB77*BB15</f>
        <v>0</v>
      </c>
      <c r="BC76" s="266">
        <f>-BC77*BC15</f>
        <v>0</v>
      </c>
      <c r="BD76" s="266">
        <f>-BD77*BD15</f>
        <v>0</v>
      </c>
      <c r="BE76" s="266">
        <f>-BE77*BE15</f>
        <v>0</v>
      </c>
      <c r="BF76" s="266">
        <f>SUM(BB76:BE76)</f>
        <v>0</v>
      </c>
      <c r="BG76" s="266">
        <f>-BG77*BG15</f>
        <v>0</v>
      </c>
      <c r="BH76" s="266">
        <f>-BH77*BH15</f>
        <v>0</v>
      </c>
      <c r="BI76" s="266">
        <f>-BI77*BI15</f>
        <v>0</v>
      </c>
      <c r="BJ76" s="266">
        <f>-BJ77*BJ15</f>
        <v>0</v>
      </c>
      <c r="BK76" s="266">
        <f>SUM(BG76:BJ76)</f>
        <v>0</v>
      </c>
      <c r="BL76" s="266">
        <f>-BL77*BL15</f>
        <v>0</v>
      </c>
      <c r="BM76" s="266">
        <f>-BM77*BM15</f>
        <v>0</v>
      </c>
      <c r="BN76" s="266">
        <f>-BN77*BN15</f>
        <v>0</v>
      </c>
      <c r="BO76" s="266">
        <f>-BO77*BO15</f>
        <v>0</v>
      </c>
      <c r="BP76" s="266">
        <f>SUM(BL76:BO76)</f>
        <v>0</v>
      </c>
      <c r="BQ76" s="266">
        <f>-BQ77*BQ15</f>
        <v>0</v>
      </c>
      <c r="BR76" s="266">
        <f>-BR77*BR15</f>
        <v>0</v>
      </c>
      <c r="BS76" s="266">
        <f>-BS77*BS15</f>
        <v>0</v>
      </c>
      <c r="BT76" s="266">
        <f>-BT77*BT15</f>
        <v>0</v>
      </c>
      <c r="BU76" s="266">
        <f>SUM(BQ76:BT76)</f>
        <v>0</v>
      </c>
      <c r="BV76" s="266">
        <f>-BV77*BV15</f>
        <v>0</v>
      </c>
      <c r="BW76" s="266">
        <f>-BW77*BW15</f>
        <v>0</v>
      </c>
      <c r="BX76" s="266">
        <f>-BX77*BX15</f>
        <v>0</v>
      </c>
      <c r="BY76" s="266">
        <f>-BY77*BY15</f>
        <v>0</v>
      </c>
      <c r="BZ76" s="266">
        <f>SUM(BV76:BY76)</f>
        <v>0</v>
      </c>
      <c r="CA76" s="266">
        <f>-CA77*CA15</f>
        <v>0</v>
      </c>
      <c r="CB76" s="266">
        <f>-CB77*CB15</f>
        <v>0</v>
      </c>
      <c r="CC76" s="266">
        <f>-CC77*CC15</f>
        <v>0</v>
      </c>
      <c r="CD76" s="266">
        <f>-CD77*CD15</f>
        <v>0</v>
      </c>
      <c r="CE76" s="266">
        <f>SUM(CA76:CD76)</f>
        <v>0</v>
      </c>
      <c r="CF76" s="266">
        <f>-CF77*CF15</f>
        <v>0</v>
      </c>
      <c r="CG76" s="266">
        <f>-CG77*CG15</f>
        <v>0</v>
      </c>
      <c r="CH76" s="266">
        <f>-CH77*CH15</f>
        <v>0</v>
      </c>
      <c r="CI76" s="266">
        <f>-CI77*CI15</f>
        <v>0</v>
      </c>
      <c r="CJ76" s="266">
        <f>SUM(CF76:CI76)</f>
        <v>0</v>
      </c>
      <c r="CK76" s="266">
        <f>-CK77*CK15</f>
        <v>0</v>
      </c>
      <c r="CL76" s="266">
        <f>-CL77*CL15</f>
        <v>0</v>
      </c>
      <c r="CM76" s="266">
        <f>-CM77*CM15</f>
        <v>0</v>
      </c>
      <c r="CN76" s="266">
        <f>-CN77*CN15</f>
        <v>0</v>
      </c>
      <c r="CO76" s="266">
        <f>SUM(CK76:CN76)</f>
        <v>0</v>
      </c>
      <c r="CP76" s="266">
        <f>-CP77*CP15</f>
        <v>0</v>
      </c>
      <c r="CQ76" s="266">
        <f>-CQ77*CQ15</f>
        <v>0</v>
      </c>
      <c r="CR76" s="266">
        <f>-CR77*CR15</f>
        <v>0</v>
      </c>
      <c r="CS76" s="266">
        <f>-CS77*CS15</f>
        <v>0</v>
      </c>
      <c r="CT76" s="266">
        <f>SUM(CP76:CS76)</f>
        <v>0</v>
      </c>
      <c r="CU76" s="266">
        <f>-CU77*CU15</f>
        <v>0</v>
      </c>
      <c r="CV76" s="266">
        <f>-CV77*CV15</f>
        <v>0</v>
      </c>
      <c r="CW76" s="266">
        <f>-CW77*CW15</f>
        <v>0</v>
      </c>
      <c r="CX76" s="266">
        <f>-CX77*CX15</f>
        <v>0</v>
      </c>
      <c r="CY76" s="266">
        <f>SUM(CU76:CX76)</f>
        <v>0</v>
      </c>
    </row>
    <row r="77" hidden="1" outlineLevel="1" ht="12.75" customFormat="1" customHeight="1" s="306">
      <c r="A77" s="307" t="n"/>
      <c r="B77" s="307" t="n"/>
      <c r="C77" s="308" t="inlineStr">
        <is>
          <t>% of Revenue</t>
        </is>
      </c>
      <c r="D77" s="307" t="str">
        <f>IFERROR(-D76/D15,"")</f>
        <v/>
      </c>
      <c r="E77" s="307" t="str">
        <f>IFERROR(-E76/E15,"")</f>
        <v/>
      </c>
      <c r="F77" s="307" t="str">
        <f>IFERROR(-F76/F15,"")</f>
        <v/>
      </c>
      <c r="G77" s="307" t="str">
        <f>IFERROR(-G76/G15,"")</f>
        <v/>
      </c>
      <c r="H77" s="307" t="n"/>
      <c r="I77" s="307">
        <f>IFERROR(-I76/I15,"")</f>
        <v>0.105919338902362</v>
      </c>
      <c r="J77" s="307">
        <f>IFERROR(-J76/J15,"")</f>
        <v>0.135883665206973</v>
      </c>
      <c r="K77" s="307">
        <f>IFERROR(-K76/K15,"")</f>
        <v>0.105889014722537</v>
      </c>
      <c r="L77" s="307">
        <f>IFERROR(-L76/L15,"")</f>
        <v>0.0755745778611632</v>
      </c>
      <c r="M77" s="307" t="n"/>
      <c r="N77" s="307">
        <f>IFERROR(-N76/N15,"")</f>
        <v>0.0747589188162083</v>
      </c>
      <c r="O77" s="307">
        <f>IFERROR(-O76/O15,"")</f>
        <v>-0.0034779480106737</v>
      </c>
      <c r="P77" s="307">
        <f>IFERROR(-P76/P15,"")</f>
        <v>0.0639588925210707</v>
      </c>
      <c r="Q77" s="307">
        <f>IFERROR(-Q76/Q15,"")</f>
        <v>0.063759217397313</v>
      </c>
      <c r="R77" s="307" t="n"/>
      <c r="S77" s="307">
        <f>IFERROR(-S76/S15,"")</f>
        <v>0.0722754401499557</v>
      </c>
      <c r="T77" s="307">
        <f>IFERROR(-T76/T15,"")</f>
        <v>0.105553916704658</v>
      </c>
      <c r="U77" s="307">
        <f>IFERROR(-U76/U15,"")</f>
        <v>0.0774197773411919</v>
      </c>
      <c r="V77" s="307">
        <f>IFERROR(-V76/V15,"")</f>
        <v>0.142521465223797</v>
      </c>
      <c r="W77" s="307" t="n"/>
      <c r="X77" s="307">
        <f>IFERROR(-X76/X15,"")</f>
        <v>0.0811418637379619</v>
      </c>
      <c r="Y77" s="307">
        <f>IFERROR(-Y76/Y15,"")</f>
        <v>0.101459785396774</v>
      </c>
      <c r="Z77" s="307">
        <f>IFERROR(-Z76/Z15,"")</f>
        <v>0.0832196261024912</v>
      </c>
      <c r="AA77" s="307">
        <f>IFERROR(-AA76/AA15,"")</f>
        <v>0.113456344955568</v>
      </c>
      <c r="AB77" s="307" t="n"/>
      <c r="AC77" s="307">
        <f>IFERROR(-AC76/AC15,"")</f>
        <v>0.0785885547563336</v>
      </c>
      <c r="AD77" s="307">
        <f>IFERROR(-AD76/AD15,"")</f>
        <v>0.101978411766505</v>
      </c>
      <c r="AE77" s="307">
        <f>IFERROR(-AE76/AE15,"")</f>
        <v>0.0969436415124793</v>
      </c>
      <c r="AF77" s="309">
        <f>IFERROR(-AF76/AF15,"")</f>
        <v>0.102678919694818</v>
      </c>
      <c r="AG77" s="307" t="n"/>
      <c r="AH77" s="309">
        <f>IFERROR(-AH76/AH15,"")</f>
        <v>0.082406623523841</v>
      </c>
      <c r="AI77" s="309">
        <f>IFERROR(-AI76/AI15,"")</f>
        <v>0.0653152201470464</v>
      </c>
      <c r="AJ77" s="309" t="n"/>
      <c r="AK77" s="309" t="n"/>
      <c r="AL77" s="307" t="n"/>
      <c r="AM77" s="309" t="n"/>
      <c r="AN77" s="309" t="n"/>
      <c r="AO77" s="309" t="n"/>
      <c r="AP77" s="309" t="n"/>
      <c r="AQ77" s="307" t="n"/>
      <c r="AR77" s="309" t="n"/>
      <c r="AS77" s="309" t="n"/>
      <c r="AT77" s="309" t="n"/>
      <c r="AU77" s="309" t="n"/>
      <c r="AV77" s="307" t="n"/>
      <c r="AW77" s="309" t="n"/>
      <c r="AX77" s="309" t="n"/>
      <c r="AY77" s="309" t="n"/>
      <c r="AZ77" s="309" t="n"/>
      <c r="BA77" s="307" t="n"/>
      <c r="BB77" s="309" t="n"/>
      <c r="BC77" s="309" t="n"/>
      <c r="BD77" s="309" t="n"/>
      <c r="BE77" s="309" t="n"/>
      <c r="BF77" s="307" t="n"/>
      <c r="BG77" s="309" t="n"/>
      <c r="BH77" s="309" t="n"/>
      <c r="BI77" s="309" t="n"/>
      <c r="BJ77" s="309" t="n"/>
      <c r="BK77" s="307" t="n"/>
      <c r="BL77" s="309" t="n"/>
      <c r="BM77" s="309" t="n"/>
      <c r="BN77" s="309" t="n"/>
      <c r="BO77" s="309" t="n"/>
      <c r="BP77" s="307" t="n"/>
      <c r="BQ77" s="309" t="n"/>
      <c r="BR77" s="309" t="n"/>
      <c r="BS77" s="309" t="n"/>
      <c r="BT77" s="309" t="n"/>
      <c r="BU77" s="307" t="n"/>
      <c r="BV77" s="309" t="n"/>
      <c r="BW77" s="309" t="n"/>
      <c r="BX77" s="309" t="n"/>
      <c r="BY77" s="309" t="n"/>
      <c r="BZ77" s="307" t="n"/>
      <c r="CA77" s="309" t="n"/>
      <c r="CB77" s="309" t="n"/>
      <c r="CC77" s="309" t="n"/>
      <c r="CD77" s="309" t="n"/>
      <c r="CE77" s="307" t="n"/>
      <c r="CF77" s="309" t="n"/>
      <c r="CG77" s="309" t="n"/>
      <c r="CH77" s="309" t="n"/>
      <c r="CI77" s="309" t="n"/>
      <c r="CJ77" s="307" t="n"/>
      <c r="CK77" s="309" t="n"/>
      <c r="CL77" s="309" t="n"/>
      <c r="CM77" s="309" t="n"/>
      <c r="CN77" s="309" t="n"/>
      <c r="CO77" s="307" t="n"/>
      <c r="CP77" s="309" t="n"/>
      <c r="CQ77" s="309" t="n"/>
      <c r="CR77" s="309" t="n"/>
      <c r="CS77" s="309" t="n"/>
      <c r="CT77" s="307" t="n"/>
      <c r="CU77" s="309" t="n"/>
      <c r="CV77" s="309" t="n"/>
      <c r="CW77" s="309" t="n"/>
      <c r="CX77" s="309" t="n"/>
      <c r="CY77" s="307" t="n"/>
    </row>
    <row r="78" hidden="1" outlineLevel="1" ht="12.75" customHeight="1" s="254">
      <c r="C78" s="303" t="n"/>
      <c r="D78" s="266" t="n"/>
      <c r="E78" s="266" t="n"/>
      <c r="F78" s="266" t="n"/>
      <c r="G78" s="266" t="n"/>
      <c r="H78" s="266" t="n"/>
      <c r="I78" s="266" t="n"/>
      <c r="J78" s="266" t="n"/>
      <c r="K78" s="266" t="n"/>
      <c r="L78" s="266" t="n"/>
      <c r="M78" s="266" t="n"/>
      <c r="N78" s="266" t="n"/>
      <c r="O78" s="266" t="n"/>
      <c r="P78" s="266" t="n"/>
      <c r="Q78" s="266" t="n"/>
      <c r="R78" s="266" t="n"/>
      <c r="S78" s="266" t="n"/>
      <c r="T78" s="266" t="n"/>
      <c r="U78" s="266" t="n"/>
      <c r="V78" s="266" t="n"/>
      <c r="W78" s="266" t="n"/>
      <c r="X78" s="266" t="n"/>
      <c r="Y78" s="266" t="n"/>
      <c r="Z78" s="266" t="n"/>
      <c r="AA78" s="266" t="n"/>
      <c r="AB78" s="266" t="n"/>
      <c r="AC78" s="266" t="n"/>
      <c r="AD78" s="266" t="n"/>
      <c r="AE78" s="266" t="n"/>
      <c r="AF78" s="266" t="n"/>
      <c r="AG78" s="266" t="n"/>
      <c r="AH78" s="266" t="n"/>
      <c r="AI78" s="266" t="n"/>
      <c r="AJ78" s="266" t="n"/>
      <c r="AK78" s="266" t="n"/>
      <c r="AL78" s="266" t="n"/>
      <c r="AM78" s="266" t="n"/>
      <c r="AN78" s="266" t="n"/>
      <c r="AO78" s="266" t="n"/>
      <c r="AP78" s="266" t="n"/>
      <c r="AQ78" s="266" t="n"/>
      <c r="AR78" s="266" t="n"/>
      <c r="AS78" s="266" t="n"/>
      <c r="AT78" s="266" t="n"/>
      <c r="AU78" s="266" t="n"/>
      <c r="AV78" s="266" t="n"/>
      <c r="AW78" s="266" t="n"/>
      <c r="AX78" s="266" t="n"/>
      <c r="AY78" s="266" t="n"/>
      <c r="AZ78" s="266" t="n"/>
      <c r="BA78" s="266" t="n"/>
      <c r="BB78" s="266" t="n"/>
      <c r="BC78" s="266" t="n"/>
      <c r="BD78" s="266" t="n"/>
      <c r="BE78" s="266" t="n"/>
      <c r="BF78" s="266" t="n"/>
      <c r="BG78" s="266" t="n"/>
      <c r="BH78" s="266" t="n"/>
      <c r="BI78" s="266" t="n"/>
      <c r="BJ78" s="266" t="n"/>
      <c r="BK78" s="266" t="n"/>
      <c r="BL78" s="266" t="n"/>
      <c r="BM78" s="266" t="n"/>
      <c r="BN78" s="266" t="n"/>
      <c r="BO78" s="266" t="n"/>
      <c r="BP78" s="266" t="n"/>
      <c r="BQ78" s="266" t="n"/>
      <c r="BR78" s="266" t="n"/>
      <c r="BS78" s="266" t="n"/>
      <c r="BT78" s="266" t="n"/>
      <c r="BU78" s="266" t="n"/>
      <c r="BV78" s="266" t="n"/>
      <c r="BW78" s="266" t="n"/>
      <c r="BX78" s="266" t="n"/>
      <c r="BY78" s="266" t="n"/>
      <c r="BZ78" s="266" t="n"/>
      <c r="CA78" s="266" t="n"/>
      <c r="CB78" s="266" t="n"/>
      <c r="CC78" s="266" t="n"/>
      <c r="CD78" s="266" t="n"/>
      <c r="CE78" s="266" t="n"/>
      <c r="CF78" s="266" t="n"/>
      <c r="CG78" s="266" t="n"/>
      <c r="CH78" s="266" t="n"/>
      <c r="CI78" s="266" t="n"/>
      <c r="CJ78" s="266" t="n"/>
      <c r="CK78" s="266" t="n"/>
      <c r="CL78" s="266" t="n"/>
      <c r="CM78" s="266" t="n"/>
      <c r="CN78" s="266" t="n"/>
      <c r="CO78" s="266" t="n"/>
      <c r="CP78" s="266" t="n"/>
      <c r="CQ78" s="266" t="n"/>
      <c r="CR78" s="266" t="n"/>
      <c r="CS78" s="266" t="n"/>
      <c r="CT78" s="266" t="n"/>
      <c r="CU78" s="266" t="n"/>
      <c r="CV78" s="266" t="n"/>
      <c r="CW78" s="266" t="n"/>
      <c r="CX78" s="266" t="n"/>
      <c r="CY78" s="266" t="n"/>
    </row>
    <row r="79" ht="12.75" customFormat="1" customHeight="1" s="285">
      <c r="A79" s="286" t="n"/>
      <c r="B79" s="257" t="n"/>
      <c r="C79" s="273" t="inlineStr">
        <is>
          <t>Operating Profit - EBIT</t>
        </is>
      </c>
      <c r="D79" s="274">
        <f>SUM(D75,D76)</f>
        <v>0</v>
      </c>
      <c r="E79" s="274">
        <f>SUM(E75,E76)</f>
        <v>0</v>
      </c>
      <c r="F79" s="274">
        <f>SUM(F75,F76)</f>
        <v>0</v>
      </c>
      <c r="G79" s="274">
        <f>SUM(G75,G76)</f>
        <v>0</v>
      </c>
      <c r="H79" s="274">
        <f>SUM(D79:G79)</f>
        <v>0</v>
      </c>
      <c r="I79" s="274">
        <f>SUM(I75,I76)</f>
        <v>5679</v>
      </c>
      <c r="J79" s="274">
        <f>SUM(J75,J76)</f>
        <v>3773</v>
      </c>
      <c r="K79" s="274">
        <f>SUM(K75,K76)</f>
        <v>541</v>
      </c>
      <c r="L79" s="274">
        <f>SUM(L75,L76)</f>
        <v>12288</v>
      </c>
      <c r="M79" s="274">
        <f>SUM(I79:L79)</f>
        <v>22281</v>
      </c>
      <c r="N79" s="274">
        <f>SUM(N75,N76)</f>
        <v>12526</v>
      </c>
      <c r="O79" s="274">
        <f>SUM(O75,O76)</f>
        <v>23832</v>
      </c>
      <c r="P79" s="274">
        <f>SUM(P75,P76)</f>
        <v>9158</v>
      </c>
      <c r="Q79" s="274">
        <f>SUM(Q75,Q76)</f>
        <v>17592</v>
      </c>
      <c r="R79" s="274">
        <f>SUM(N79:Q79)</f>
        <v>63108</v>
      </c>
      <c r="S79" s="274">
        <f>SUM(S75,S76)</f>
        <v>13456</v>
      </c>
      <c r="T79" s="274">
        <f>SUM(T75,T76)</f>
        <v>5118</v>
      </c>
      <c r="U79" s="274">
        <f>SUM(U75,U76)</f>
        <v>10761</v>
      </c>
      <c r="V79" s="274">
        <f>SUM(V75,V76)</f>
        <v>1402</v>
      </c>
      <c r="W79" s="274">
        <f>SUM(S79:V79)</f>
        <v>30737</v>
      </c>
      <c r="X79" s="274">
        <f>SUM(X75,X76)</f>
        <v>9983</v>
      </c>
      <c r="Y79" s="274">
        <f>SUM(Y75,Y76)</f>
        <v>8045</v>
      </c>
      <c r="Z79" s="274">
        <f>SUM(Z75,Z76)</f>
        <v>7072</v>
      </c>
      <c r="AA79" s="274">
        <f>SUM(AA75,AA76)</f>
        <v>4889</v>
      </c>
      <c r="AB79" s="274">
        <f>SUM(X79:AA79)</f>
        <v>29989</v>
      </c>
      <c r="AC79" s="274">
        <f>SUM(AC75,AC76)</f>
        <v>9160</v>
      </c>
      <c r="AD79" s="274">
        <f>SUM(AD75,AD76)</f>
        <v>6013</v>
      </c>
      <c r="AE79" s="274">
        <f>SUM(AE75,AE76)</f>
        <v>6950</v>
      </c>
      <c r="AF79" s="274">
        <f>SUM(AF75,AF76)</f>
        <v>5459</v>
      </c>
      <c r="AG79" s="274">
        <f>SUM(AC79:AF79)</f>
        <v>27582</v>
      </c>
      <c r="AH79" s="274">
        <f>SUM(AH75,AH76)</f>
        <v>10360</v>
      </c>
      <c r="AI79" s="274">
        <f>SUM(AI75,AI76)</f>
        <v>15177</v>
      </c>
      <c r="AJ79" s="274">
        <f>SUM(AJ75,AJ76)</f>
        <v>0</v>
      </c>
      <c r="AK79" s="274">
        <f>SUM(AK75,AK76)</f>
        <v>0</v>
      </c>
      <c r="AL79" s="274">
        <f>SUM(AL75,AL76)</f>
        <v>25537</v>
      </c>
      <c r="AM79" s="274">
        <f>SUM(AM75,AM76)</f>
        <v>0</v>
      </c>
      <c r="AN79" s="274">
        <f>SUM(AN75,AN76)</f>
        <v>0</v>
      </c>
      <c r="AO79" s="274">
        <f>SUM(AO75,AO76)</f>
        <v>0</v>
      </c>
      <c r="AP79" s="274">
        <f>SUM(AP75,AP76)</f>
        <v>0</v>
      </c>
      <c r="AQ79" s="274">
        <f>SUM(AQ75,AQ76)</f>
        <v>0</v>
      </c>
      <c r="AR79" s="274">
        <f>SUM(AR75,AR76)</f>
        <v>0</v>
      </c>
      <c r="AS79" s="274">
        <f>SUM(AS75,AS76)</f>
        <v>0</v>
      </c>
      <c r="AT79" s="274">
        <f>SUM(AT75,AT76)</f>
        <v>0</v>
      </c>
      <c r="AU79" s="274">
        <f>SUM(AU75,AU76)</f>
        <v>0</v>
      </c>
      <c r="AV79" s="274">
        <f>SUM(AV75,AV76)</f>
        <v>0</v>
      </c>
      <c r="AW79" s="274">
        <f>SUM(AW75,AW76)</f>
        <v>0</v>
      </c>
      <c r="AX79" s="274">
        <f>SUM(AX75,AX76)</f>
        <v>0</v>
      </c>
      <c r="AY79" s="274">
        <f>SUM(AY75,AY76)</f>
        <v>0</v>
      </c>
      <c r="AZ79" s="274">
        <f>SUM(AZ75,AZ76)</f>
        <v>0</v>
      </c>
      <c r="BA79" s="274">
        <f>SUM(BA75,BA76)</f>
        <v>0</v>
      </c>
      <c r="BB79" s="274">
        <f>SUM(BB75,BB76)</f>
        <v>0</v>
      </c>
      <c r="BC79" s="274">
        <f>SUM(BC75,BC76)</f>
        <v>0</v>
      </c>
      <c r="BD79" s="274">
        <f>SUM(BD75,BD76)</f>
        <v>0</v>
      </c>
      <c r="BE79" s="274">
        <f>SUM(BE75,BE76)</f>
        <v>0</v>
      </c>
      <c r="BF79" s="274">
        <f>SUM(BF75,BF76)</f>
        <v>0</v>
      </c>
      <c r="BG79" s="274">
        <f>SUM(BG75,BG76)</f>
        <v>0</v>
      </c>
      <c r="BH79" s="274">
        <f>SUM(BH75,BH76)</f>
        <v>0</v>
      </c>
      <c r="BI79" s="274">
        <f>SUM(BI75,BI76)</f>
        <v>0</v>
      </c>
      <c r="BJ79" s="274">
        <f>SUM(BJ75,BJ76)</f>
        <v>0</v>
      </c>
      <c r="BK79" s="274">
        <f>SUM(BK75,BK76)</f>
        <v>0</v>
      </c>
      <c r="BL79" s="274">
        <f>SUM(BL75,BL76)</f>
        <v>0</v>
      </c>
      <c r="BM79" s="274">
        <f>SUM(BM75,BM76)</f>
        <v>0</v>
      </c>
      <c r="BN79" s="274">
        <f>SUM(BN75,BN76)</f>
        <v>0</v>
      </c>
      <c r="BO79" s="274">
        <f>SUM(BO75,BO76)</f>
        <v>0</v>
      </c>
      <c r="BP79" s="274">
        <f>SUM(BP75,BP76)</f>
        <v>0</v>
      </c>
      <c r="BQ79" s="274">
        <f>SUM(BQ75,BQ76)</f>
        <v>0</v>
      </c>
      <c r="BR79" s="274">
        <f>SUM(BR75,BR76)</f>
        <v>0</v>
      </c>
      <c r="BS79" s="274">
        <f>SUM(BS75,BS76)</f>
        <v>0</v>
      </c>
      <c r="BT79" s="274">
        <f>SUM(BT75,BT76)</f>
        <v>0</v>
      </c>
      <c r="BU79" s="274">
        <f>SUM(BU75,BU76)</f>
        <v>0</v>
      </c>
      <c r="BV79" s="274">
        <f>SUM(BV75,BV76)</f>
        <v>0</v>
      </c>
      <c r="BW79" s="274">
        <f>SUM(BW75,BW76)</f>
        <v>0</v>
      </c>
      <c r="BX79" s="274">
        <f>SUM(BX75,BX76)</f>
        <v>0</v>
      </c>
      <c r="BY79" s="274">
        <f>SUM(BY75,BY76)</f>
        <v>0</v>
      </c>
      <c r="BZ79" s="274">
        <f>SUM(BZ75,BZ76)</f>
        <v>0</v>
      </c>
      <c r="CA79" s="274">
        <f>SUM(CA75,CA76)</f>
        <v>0</v>
      </c>
      <c r="CB79" s="274">
        <f>SUM(CB75,CB76)</f>
        <v>0</v>
      </c>
      <c r="CC79" s="274">
        <f>SUM(CC75,CC76)</f>
        <v>0</v>
      </c>
      <c r="CD79" s="274">
        <f>SUM(CD75,CD76)</f>
        <v>0</v>
      </c>
      <c r="CE79" s="274">
        <f>SUM(CE75,CE76)</f>
        <v>0</v>
      </c>
      <c r="CF79" s="274">
        <f>SUM(CF75,CF76)</f>
        <v>0</v>
      </c>
      <c r="CG79" s="274">
        <f>SUM(CG75,CG76)</f>
        <v>0</v>
      </c>
      <c r="CH79" s="274">
        <f>SUM(CH75,CH76)</f>
        <v>0</v>
      </c>
      <c r="CI79" s="274">
        <f>SUM(CI75,CI76)</f>
        <v>0</v>
      </c>
      <c r="CJ79" s="274">
        <f>SUM(CJ75,CJ76)</f>
        <v>0</v>
      </c>
      <c r="CK79" s="274">
        <f>SUM(CK75,CK76)</f>
        <v>0</v>
      </c>
      <c r="CL79" s="274">
        <f>SUM(CL75,CL76)</f>
        <v>0</v>
      </c>
      <c r="CM79" s="274">
        <f>SUM(CM75,CM76)</f>
        <v>0</v>
      </c>
      <c r="CN79" s="274">
        <f>SUM(CN75,CN76)</f>
        <v>0</v>
      </c>
      <c r="CO79" s="274">
        <f>SUM(CO75,CO76)</f>
        <v>0</v>
      </c>
      <c r="CP79" s="274">
        <f>SUM(CP75,CP76)</f>
        <v>0</v>
      </c>
      <c r="CQ79" s="274">
        <f>SUM(CQ75,CQ76)</f>
        <v>0</v>
      </c>
      <c r="CR79" s="274">
        <f>SUM(CR75,CR76)</f>
        <v>0</v>
      </c>
      <c r="CS79" s="274">
        <f>SUM(CS75,CS76)</f>
        <v>0</v>
      </c>
      <c r="CT79" s="274">
        <f>SUM(CT75,CT76)</f>
        <v>0</v>
      </c>
      <c r="CU79" s="274">
        <f>SUM(CU75,CU76)</f>
        <v>0</v>
      </c>
      <c r="CV79" s="274">
        <f>SUM(CV75,CV76)</f>
        <v>0</v>
      </c>
      <c r="CW79" s="274">
        <f>SUM(CW75,CW76)</f>
        <v>0</v>
      </c>
      <c r="CX79" s="274">
        <f>SUM(CX75,CX76)</f>
        <v>0</v>
      </c>
      <c r="CY79" s="274">
        <f>SUM(CY75,CY76)</f>
        <v>0</v>
      </c>
    </row>
    <row r="80" ht="12.75" customHeight="1" s="254">
      <c r="C80" s="268" t="inlineStr">
        <is>
          <t>Interest Expense</t>
        </is>
      </c>
      <c r="D80" s="299" t="n"/>
      <c r="E80" s="299" t="n"/>
      <c r="F80" s="299" t="n"/>
      <c r="G80" s="299" t="n"/>
      <c r="H80" s="266">
        <f>SUM(D80:G80)</f>
        <v>0</v>
      </c>
      <c r="I80" s="299">
        <f>INDEX('Inputs (2)'!$D$8:$AL$8,MATCH(I$7,'Inputs (2)'!$D$2:$AL$2,0))</f>
        <v>-892</v>
      </c>
      <c r="J80" s="299">
        <f>INDEX('Inputs (2)'!$D$8:$AL$8,MATCH(J$7,'Inputs (2)'!$D$2:$AL$2,0))</f>
        <v>-893</v>
      </c>
      <c r="K80" s="299">
        <f>INDEX('Inputs (2)'!$D$8:$AL$8,MATCH(K$7,'Inputs (2)'!$D$2:$AL$2,0))</f>
        <v>-859</v>
      </c>
      <c r="L80" s="299">
        <f>INDEX('Inputs (2)'!$D$8:$AL$8,MATCH(L$7,'Inputs (2)'!$D$2:$AL$2,0))</f>
        <v>-963</v>
      </c>
      <c r="M80" s="266">
        <f>SUM(I80:L80)</f>
        <v>-3607</v>
      </c>
      <c r="N80" s="299">
        <f>INDEX('Inputs (2)'!$D$8:$AL$8,MATCH(N$7,'Inputs (2)'!$D$2:$AL$2,0))</f>
        <v>-711</v>
      </c>
      <c r="O80" s="299">
        <f>INDEX('Inputs (2)'!$D$8:$AL$8,MATCH(O$7,'Inputs (2)'!$D$2:$AL$2,0))</f>
        <v>-695</v>
      </c>
      <c r="P80" s="299">
        <f>INDEX('Inputs (2)'!$D$8:$AL$8,MATCH(P$7,'Inputs (2)'!$D$2:$AL$2,0))</f>
        <v>-734</v>
      </c>
      <c r="Q80" s="299">
        <f>INDEX('Inputs (2)'!$D$8:$AL$8,MATCH(Q$7,'Inputs (2)'!$D$2:$AL$2,0))</f>
        <v>-1040</v>
      </c>
      <c r="R80" s="266">
        <f>SUM(N80:Q80)</f>
        <v>-3180</v>
      </c>
      <c r="S80" s="299">
        <f>INDEX('Inputs (2)'!$D$8:$AL$8,MATCH(S$7,'Inputs (2)'!$D$2:$AL$2,0))</f>
        <v>-1165</v>
      </c>
      <c r="T80" s="299">
        <f>INDEX('Inputs (2)'!$D$8:$AL$8,MATCH(T$7,'Inputs (2)'!$D$2:$AL$2,0))</f>
        <v>-1211</v>
      </c>
      <c r="U80" s="299">
        <f>INDEX('Inputs (2)'!$D$8:$AL$8,MATCH(U$7,'Inputs (2)'!$D$2:$AL$2,0))</f>
        <v>-1131</v>
      </c>
      <c r="V80" s="299">
        <f>INDEX('Inputs (2)'!$D$8:$AL$8,MATCH(V$7,'Inputs (2)'!$D$2:$AL$2,0))</f>
        <v>-1166</v>
      </c>
      <c r="W80" s="266">
        <f>SUM(S80:V80)</f>
        <v>-4673</v>
      </c>
      <c r="X80" s="299">
        <f>INDEX('Inputs (2)'!$D$8:$AL$8,MATCH(X$7,'Inputs (2)'!$D$2:$AL$2,0))</f>
        <v>-1164</v>
      </c>
      <c r="Y80" s="299">
        <f>INDEX('Inputs (2)'!$D$8:$AL$8,MATCH(Y$7,'Inputs (2)'!$D$2:$AL$2,0))</f>
        <v>-1235</v>
      </c>
      <c r="Z80" s="299">
        <f>INDEX('Inputs (2)'!$D$8:$AL$8,MATCH(Z$7,'Inputs (2)'!$D$2:$AL$2,0))</f>
        <v>-1174</v>
      </c>
      <c r="AA80" s="299">
        <f>INDEX('Inputs (2)'!$D$8:$AL$8,MATCH(AA$7,'Inputs (2)'!$D$2:$AL$2,0))</f>
        <v>-1213</v>
      </c>
      <c r="AB80" s="266">
        <f>SUM(X80:AA80)</f>
        <v>-4786</v>
      </c>
      <c r="AC80" s="299">
        <f>INDEX('Inputs (2)'!$D$8:$AL$8,MATCH(AC$7,'Inputs (2)'!$D$2:$AL$2,0))</f>
        <v>-1120</v>
      </c>
      <c r="AD80" s="299">
        <f>INDEX('Inputs (2)'!$D$8:$AL$8,MATCH(AD$7,'Inputs (2)'!$D$2:$AL$2,0))</f>
        <v>-1075</v>
      </c>
      <c r="AE80" s="299">
        <f>INDEX('Inputs (2)'!$D$8:$AL$8,MATCH(AE$7,'Inputs (2)'!$D$2:$AL$2,0))</f>
        <v>-1284</v>
      </c>
      <c r="AF80" s="299">
        <f>INDEX('Inputs (2)'!$D$8:$AL$8,MATCH(AF$7,'Inputs (2)'!$D$2:$AL$2,0))</f>
        <v>-1193</v>
      </c>
      <c r="AG80" s="266">
        <f>SUM(AC80:AF80)</f>
        <v>-4672</v>
      </c>
      <c r="AH80" s="266">
        <f>INDEX('Inputs (2)'!$D$8:$AL$8,MATCH(AH$7,'Inputs (2)'!$D$2:$AL$2,0))</f>
        <v>-1473</v>
      </c>
      <c r="AI80" s="266">
        <f>INDEX('Inputs (2)'!$D$8:$AL$8,MATCH(AI$7,'Inputs (2)'!$D$2:$AL$2,0))</f>
        <v>-1114</v>
      </c>
      <c r="AJ80" s="266" t="n"/>
      <c r="AK80" s="266" t="n"/>
      <c r="AL80" s="266">
        <f>SUM(AH80:AK80)</f>
        <v>-2587</v>
      </c>
      <c r="AM80" s="266" t="n"/>
      <c r="AN80" s="266" t="n"/>
      <c r="AO80" s="266" t="n"/>
      <c r="AP80" s="266" t="n"/>
      <c r="AQ80" s="266">
        <f>SUM(AM80:AP80)</f>
        <v>0</v>
      </c>
      <c r="AR80" s="266" t="n"/>
      <c r="AS80" s="266" t="n"/>
      <c r="AT80" s="266" t="n"/>
      <c r="AU80" s="266" t="n"/>
      <c r="AV80" s="266">
        <f>SUM(AR80:AU80)</f>
        <v>0</v>
      </c>
      <c r="AW80" s="266" t="n"/>
      <c r="AX80" s="266" t="n"/>
      <c r="AY80" s="266" t="n"/>
      <c r="AZ80" s="266" t="n"/>
      <c r="BA80" s="266">
        <f>SUM(AW80:AZ80)</f>
        <v>0</v>
      </c>
      <c r="BB80" s="266" t="n"/>
      <c r="BC80" s="266" t="n"/>
      <c r="BD80" s="266" t="n"/>
      <c r="BE80" s="266" t="n"/>
      <c r="BF80" s="266">
        <f>SUM(BB80:BE80)</f>
        <v>0</v>
      </c>
      <c r="BG80" s="266" t="n"/>
      <c r="BH80" s="266" t="n"/>
      <c r="BI80" s="266" t="n"/>
      <c r="BJ80" s="266" t="n"/>
      <c r="BK80" s="266">
        <f>SUM(BG80:BJ80)</f>
        <v>0</v>
      </c>
      <c r="BL80" s="266" t="n"/>
      <c r="BM80" s="266" t="n"/>
      <c r="BN80" s="266" t="n"/>
      <c r="BO80" s="266" t="n"/>
      <c r="BP80" s="266">
        <f>SUM(BL80:BO80)</f>
        <v>0</v>
      </c>
      <c r="BQ80" s="266" t="n"/>
      <c r="BR80" s="266" t="n"/>
      <c r="BS80" s="266" t="n"/>
      <c r="BT80" s="266" t="n"/>
      <c r="BU80" s="266">
        <f>SUM(BQ80:BT80)</f>
        <v>0</v>
      </c>
      <c r="BV80" s="266" t="n"/>
      <c r="BW80" s="266" t="n"/>
      <c r="BX80" s="266" t="n"/>
      <c r="BY80" s="266" t="n"/>
      <c r="BZ80" s="266">
        <f>SUM(BV80:BY80)</f>
        <v>0</v>
      </c>
      <c r="CA80" s="266" t="n"/>
      <c r="CB80" s="266" t="n"/>
      <c r="CC80" s="266" t="n"/>
      <c r="CD80" s="266" t="n"/>
      <c r="CE80" s="266">
        <f>SUM(CA80:CD80)</f>
        <v>0</v>
      </c>
      <c r="CF80" s="266" t="n"/>
      <c r="CG80" s="266" t="n"/>
      <c r="CH80" s="266" t="n"/>
      <c r="CI80" s="266" t="n"/>
      <c r="CJ80" s="266">
        <f>SUM(CF80:CI80)</f>
        <v>0</v>
      </c>
      <c r="CK80" s="266" t="n"/>
      <c r="CL80" s="266" t="n"/>
      <c r="CM80" s="266" t="n"/>
      <c r="CN80" s="266" t="n"/>
      <c r="CO80" s="266">
        <f>SUM(CK80:CN80)</f>
        <v>0</v>
      </c>
      <c r="CP80" s="266" t="n"/>
      <c r="CQ80" s="266" t="n"/>
      <c r="CR80" s="266" t="n"/>
      <c r="CS80" s="266" t="n"/>
      <c r="CT80" s="266">
        <f>SUM(CP80:CS80)</f>
        <v>0</v>
      </c>
      <c r="CU80" s="266" t="n"/>
      <c r="CV80" s="266" t="n"/>
      <c r="CW80" s="266" t="n"/>
      <c r="CX80" s="266" t="n"/>
      <c r="CY80" s="266">
        <f>SUM(CU80:CX80)</f>
        <v>0</v>
      </c>
    </row>
    <row r="81" hidden="1" outlineLevel="1" ht="12.75" customHeight="1" s="254">
      <c r="C81" s="303" t="inlineStr">
        <is>
          <t>% of Debt</t>
        </is>
      </c>
      <c r="D81" s="307">
        <f>IFERROR(-D80/SUM(D218+D223),0)</f>
        <v>0</v>
      </c>
      <c r="E81" s="307">
        <f>IFERROR(-E80/SUM(E218+E223),0)</f>
        <v>0</v>
      </c>
      <c r="F81" s="307">
        <f>IFERROR(-F80/SUM(F218+F223),0)</f>
        <v>0</v>
      </c>
      <c r="G81" s="307">
        <f>IFERROR(-G80/SUM(G218+G223),0)</f>
        <v>0</v>
      </c>
      <c r="H81" s="266" t="n"/>
      <c r="I81" s="307">
        <f>IFERROR(-I80/SUM(I218+I223),0)</f>
        <v>0.00871357539880237</v>
      </c>
      <c r="J81" s="307">
        <f>IFERROR(-J80/SUM(J218+J223),0)</f>
        <v>0.00892321835405092</v>
      </c>
      <c r="K81" s="307">
        <f>IFERROR(-K80/SUM(K218+K223),0)</f>
        <v>0.0090050424044197</v>
      </c>
      <c r="L81" s="307">
        <f>IFERROR(-L80/SUM(L218+L223),0)</f>
        <v>0.0108097793143704</v>
      </c>
      <c r="M81" s="266" t="n"/>
      <c r="N81" s="307">
        <f>IFERROR(-N80/SUM(N218+N223),0)</f>
        <v>0.00826283004834511</v>
      </c>
      <c r="O81" s="307">
        <f>IFERROR(-O80/SUM(O218+O223),0)</f>
        <v>0.00829939933843637</v>
      </c>
      <c r="P81" s="307">
        <f>IFERROR(-P80/SUM(P218+P223),0)</f>
        <v>0.00895231125747042</v>
      </c>
      <c r="Q81" s="307">
        <f>IFERROR(-Q80/SUM(Q218+Q223),0)</f>
        <v>0.0124112417208664</v>
      </c>
      <c r="R81" s="266" t="n"/>
      <c r="S81" s="307">
        <f>IFERROR(-S80/SUM(S218+S223),0)</f>
        <v>0.0136830236546006</v>
      </c>
      <c r="T81" s="307">
        <f>IFERROR(-T80/SUM(T218+T223),0)</f>
        <v>0.0143541236991205</v>
      </c>
      <c r="U81" s="307">
        <f>IFERROR(-U80/SUM(U218+U223),0)</f>
        <v>0.0137680012660231</v>
      </c>
      <c r="V81" s="307">
        <f>IFERROR(-V80/SUM(V218+V223),0)</f>
        <v>0.01429955482518</v>
      </c>
      <c r="W81" s="266" t="n"/>
      <c r="X81" s="307">
        <f>IFERROR(-X80/SUM(X218+X223),0)</f>
        <v>0.0145623780213181</v>
      </c>
      <c r="Y81" s="307">
        <f>IFERROR(-Y80/SUM(Y218+Y223),0)</f>
        <v>0.0163645518630413</v>
      </c>
      <c r="Z81" s="307">
        <f>IFERROR(-Z80/SUM(Z218+Z223),0)</f>
        <v>0.0153239701352269</v>
      </c>
      <c r="AA81" s="307">
        <f>IFERROR(-AA80/SUM(AA218+AA223),0)</f>
        <v>0.0157373050675939</v>
      </c>
      <c r="AB81" s="266" t="n"/>
      <c r="AC81" s="307">
        <f>IFERROR(-AC80/SUM(AC218+AC223),0)</f>
        <v>0.0146384180052541</v>
      </c>
      <c r="AD81" s="307">
        <f>IFERROR(-AD80/SUM(AD218+AD223),0)</f>
        <v>0.0142054839775355</v>
      </c>
      <c r="AE81" s="307">
        <f>IFERROR(-AE80/SUM(AE218+AE223),0)</f>
        <v>0.0173567460156535</v>
      </c>
      <c r="AF81" s="309">
        <f>IFERROR(-AF80/SUM(AF218+AF223),0)</f>
        <v>0.0157714527451317</v>
      </c>
      <c r="AG81" s="266" t="n"/>
      <c r="AH81" s="265">
        <f>IFERROR(-AH80/SUM(AH218+AH223),0)</f>
        <v>0.0194725361887765</v>
      </c>
      <c r="AI81" s="265">
        <f>IFERROR(-AI80/SUM(AI218+AI223),0)</f>
        <v>0.0152444030871969</v>
      </c>
      <c r="AJ81" s="265" t="n"/>
      <c r="AK81" s="265" t="n"/>
      <c r="AL81" s="266" t="n"/>
      <c r="AM81" s="265" t="n"/>
      <c r="AN81" s="265" t="n"/>
      <c r="AO81" s="265" t="n"/>
      <c r="AP81" s="265" t="n"/>
      <c r="AQ81" s="266" t="n"/>
      <c r="AR81" s="265" t="n"/>
      <c r="AS81" s="265" t="n"/>
      <c r="AT81" s="265" t="n"/>
      <c r="AU81" s="265" t="n"/>
      <c r="AV81" s="266" t="n"/>
      <c r="AW81" s="265" t="n"/>
      <c r="AX81" s="265" t="n"/>
      <c r="AY81" s="265" t="n"/>
      <c r="AZ81" s="265" t="n"/>
      <c r="BA81" s="266" t="n"/>
      <c r="BB81" s="265" t="n"/>
      <c r="BC81" s="265" t="n"/>
      <c r="BD81" s="265" t="n"/>
      <c r="BE81" s="265" t="n"/>
      <c r="BF81" s="266" t="n"/>
      <c r="BG81" s="265" t="n"/>
      <c r="BH81" s="265" t="n"/>
      <c r="BI81" s="265" t="n"/>
      <c r="BJ81" s="265" t="n"/>
      <c r="BK81" s="266" t="n"/>
      <c r="BL81" s="265" t="n"/>
      <c r="BM81" s="265" t="n"/>
      <c r="BN81" s="265" t="n"/>
      <c r="BO81" s="265" t="n"/>
      <c r="BP81" s="266" t="n"/>
      <c r="BQ81" s="265" t="n"/>
      <c r="BR81" s="265" t="n"/>
      <c r="BS81" s="265" t="n"/>
      <c r="BT81" s="265" t="n"/>
      <c r="BU81" s="266" t="n"/>
      <c r="BV81" s="265" t="n"/>
      <c r="BW81" s="265" t="n"/>
      <c r="BX81" s="265" t="n"/>
      <c r="BY81" s="265" t="n"/>
      <c r="BZ81" s="266" t="n"/>
      <c r="CA81" s="265" t="n"/>
      <c r="CB81" s="265" t="n"/>
      <c r="CC81" s="265" t="n"/>
      <c r="CD81" s="265" t="n"/>
      <c r="CE81" s="266" t="n"/>
      <c r="CF81" s="265" t="n"/>
      <c r="CG81" s="265" t="n"/>
      <c r="CH81" s="265" t="n"/>
      <c r="CI81" s="265" t="n"/>
      <c r="CJ81" s="266" t="n"/>
      <c r="CK81" s="265" t="n"/>
      <c r="CL81" s="265" t="n"/>
      <c r="CM81" s="265" t="n"/>
      <c r="CN81" s="265" t="n"/>
      <c r="CO81" s="266" t="n"/>
      <c r="CP81" s="265" t="n"/>
      <c r="CQ81" s="265" t="n"/>
      <c r="CR81" s="265" t="n"/>
      <c r="CS81" s="265" t="n"/>
      <c r="CT81" s="266" t="n"/>
      <c r="CU81" s="265" t="n"/>
      <c r="CV81" s="265" t="n"/>
      <c r="CW81" s="265" t="n"/>
      <c r="CX81" s="265" t="n"/>
      <c r="CY81" s="266" t="n"/>
    </row>
    <row r="82" hidden="1" outlineLevel="1" ht="12.75" customHeight="1" s="254">
      <c r="C82" s="303" t="inlineStr">
        <is>
          <t>%CDI</t>
        </is>
      </c>
      <c r="D82" s="265" t="n"/>
      <c r="E82" s="265" t="n"/>
      <c r="F82" s="265" t="n"/>
      <c r="G82" s="265" t="n"/>
      <c r="H82" s="266" t="n"/>
      <c r="I82" s="265" t="n"/>
      <c r="J82" s="265" t="n"/>
      <c r="K82" s="265" t="n"/>
      <c r="L82" s="265" t="n"/>
      <c r="M82" s="266" t="n"/>
      <c r="N82" s="265" t="n"/>
      <c r="O82" s="265" t="n"/>
      <c r="P82" s="265" t="n"/>
      <c r="Q82" s="265" t="n"/>
      <c r="R82" s="266" t="n"/>
      <c r="S82" s="265" t="n"/>
      <c r="T82" s="265" t="n"/>
      <c r="U82" s="265" t="n"/>
      <c r="V82" s="265" t="n"/>
      <c r="W82" s="266" t="n"/>
      <c r="X82" s="265" t="n"/>
      <c r="Y82" s="265" t="n"/>
      <c r="Z82" s="265" t="n"/>
      <c r="AA82" s="265" t="n"/>
      <c r="AB82" s="266" t="n"/>
      <c r="AC82" s="265" t="n"/>
      <c r="AD82" s="265" t="n"/>
      <c r="AE82" s="265" t="n"/>
      <c r="AF82" s="265" t="n"/>
      <c r="AG82" s="266" t="n"/>
      <c r="AH82" s="265" t="n"/>
      <c r="AI82" s="265" t="n"/>
      <c r="AJ82" s="265" t="n"/>
      <c r="AK82" s="265" t="n"/>
      <c r="AL82" s="266" t="n"/>
      <c r="AM82" s="265" t="n"/>
      <c r="AN82" s="265" t="n"/>
      <c r="AO82" s="265" t="n"/>
      <c r="AP82" s="265" t="n"/>
      <c r="AQ82" s="266" t="n"/>
      <c r="AR82" s="265" t="n"/>
      <c r="AS82" s="265" t="n"/>
      <c r="AT82" s="265" t="n"/>
      <c r="AU82" s="265" t="n"/>
      <c r="AV82" s="266" t="n"/>
      <c r="AW82" s="265" t="n"/>
      <c r="AX82" s="265" t="n"/>
      <c r="AY82" s="265" t="n"/>
      <c r="AZ82" s="265" t="n"/>
      <c r="BA82" s="266" t="n"/>
      <c r="BB82" s="265" t="n"/>
      <c r="BC82" s="265" t="n"/>
      <c r="BD82" s="265" t="n"/>
      <c r="BE82" s="265" t="n"/>
      <c r="BF82" s="266" t="n"/>
      <c r="BG82" s="265" t="n"/>
      <c r="BH82" s="265" t="n"/>
      <c r="BI82" s="265" t="n"/>
      <c r="BJ82" s="265" t="n"/>
      <c r="BK82" s="266" t="n"/>
      <c r="BL82" s="265" t="n"/>
      <c r="BM82" s="265" t="n"/>
      <c r="BN82" s="265" t="n"/>
      <c r="BO82" s="265" t="n"/>
      <c r="BP82" s="266" t="n"/>
      <c r="BQ82" s="265" t="n"/>
      <c r="BR82" s="265" t="n"/>
      <c r="BS82" s="265" t="n"/>
      <c r="BT82" s="265" t="n"/>
      <c r="BU82" s="266" t="n"/>
      <c r="BV82" s="265" t="n"/>
      <c r="BW82" s="265" t="n"/>
      <c r="BX82" s="265" t="n"/>
      <c r="BY82" s="265" t="n"/>
      <c r="BZ82" s="266" t="n"/>
      <c r="CA82" s="265" t="n"/>
      <c r="CB82" s="265" t="n"/>
      <c r="CC82" s="265" t="n"/>
      <c r="CD82" s="265" t="n"/>
      <c r="CE82" s="266" t="n"/>
      <c r="CF82" s="265" t="n"/>
      <c r="CG82" s="265" t="n"/>
      <c r="CH82" s="265" t="n"/>
      <c r="CI82" s="265" t="n"/>
      <c r="CJ82" s="266" t="n"/>
      <c r="CK82" s="265" t="n"/>
      <c r="CL82" s="265" t="n"/>
      <c r="CM82" s="265" t="n"/>
      <c r="CN82" s="265" t="n"/>
      <c r="CO82" s="266" t="n"/>
      <c r="CP82" s="265" t="n"/>
      <c r="CQ82" s="265" t="n"/>
      <c r="CR82" s="265" t="n"/>
      <c r="CS82" s="265" t="n"/>
      <c r="CT82" s="266" t="n"/>
      <c r="CU82" s="265" t="n"/>
      <c r="CV82" s="265" t="n"/>
      <c r="CW82" s="265" t="n"/>
      <c r="CX82" s="265" t="n"/>
      <c r="CY82" s="266" t="n"/>
    </row>
    <row r="83" hidden="1" outlineLevel="1" ht="12.75" customHeight="1" s="254">
      <c r="C83" s="310" t="n"/>
      <c r="D83" s="266" t="n"/>
      <c r="E83" s="266" t="n"/>
      <c r="F83" s="266" t="n"/>
      <c r="G83" s="266" t="n"/>
      <c r="H83" s="266" t="n"/>
      <c r="I83" s="266" t="n"/>
      <c r="J83" s="266" t="n"/>
      <c r="K83" s="266" t="n"/>
      <c r="L83" s="266" t="n"/>
      <c r="M83" s="266" t="n"/>
      <c r="N83" s="266" t="n"/>
      <c r="O83" s="266" t="n"/>
      <c r="P83" s="266" t="n"/>
      <c r="Q83" s="266" t="n"/>
      <c r="R83" s="266" t="n"/>
      <c r="S83" s="266" t="n"/>
      <c r="T83" s="266" t="n"/>
      <c r="U83" s="266" t="n"/>
      <c r="V83" s="266" t="n"/>
      <c r="W83" s="266" t="n"/>
      <c r="X83" s="266" t="n"/>
      <c r="Y83" s="266" t="n"/>
      <c r="Z83" s="266" t="n"/>
      <c r="AA83" s="266" t="n"/>
      <c r="AB83" s="266" t="n"/>
      <c r="AC83" s="266" t="n"/>
      <c r="AD83" s="266" t="n"/>
      <c r="AE83" s="266" t="n"/>
      <c r="AF83" s="266" t="n"/>
      <c r="AG83" s="266" t="n"/>
      <c r="AH83" s="266" t="n"/>
      <c r="AI83" s="266" t="n"/>
      <c r="AJ83" s="266" t="n"/>
      <c r="AK83" s="266" t="n"/>
      <c r="AL83" s="266" t="n"/>
      <c r="AM83" s="266" t="n"/>
      <c r="AN83" s="266" t="n"/>
      <c r="AO83" s="266" t="n"/>
      <c r="AP83" s="266" t="n"/>
      <c r="AQ83" s="266" t="n"/>
      <c r="AR83" s="266" t="n"/>
      <c r="AS83" s="266" t="n"/>
      <c r="AT83" s="266" t="n"/>
      <c r="AU83" s="266" t="n"/>
      <c r="AV83" s="266" t="n"/>
      <c r="AW83" s="266" t="n"/>
      <c r="AX83" s="266" t="n"/>
      <c r="AY83" s="266" t="n"/>
      <c r="AZ83" s="266" t="n"/>
      <c r="BA83" s="266" t="n"/>
      <c r="BB83" s="266" t="n"/>
      <c r="BC83" s="266" t="n"/>
      <c r="BD83" s="266" t="n"/>
      <c r="BE83" s="266" t="n"/>
      <c r="BF83" s="266" t="n"/>
      <c r="BG83" s="266" t="n"/>
      <c r="BH83" s="266" t="n"/>
      <c r="BI83" s="266" t="n"/>
      <c r="BJ83" s="266" t="n"/>
      <c r="BK83" s="266" t="n"/>
      <c r="BL83" s="266" t="n"/>
      <c r="BM83" s="266" t="n"/>
      <c r="BN83" s="266" t="n"/>
      <c r="BO83" s="266" t="n"/>
      <c r="BP83" s="266" t="n"/>
      <c r="BQ83" s="266" t="n"/>
      <c r="BR83" s="266" t="n"/>
      <c r="BS83" s="266" t="n"/>
      <c r="BT83" s="266" t="n"/>
      <c r="BU83" s="266" t="n"/>
      <c r="BV83" s="266" t="n"/>
      <c r="BW83" s="266" t="n"/>
      <c r="BX83" s="266" t="n"/>
      <c r="BY83" s="266" t="n"/>
      <c r="BZ83" s="266" t="n"/>
      <c r="CA83" s="266" t="n"/>
      <c r="CB83" s="266" t="n"/>
      <c r="CC83" s="266" t="n"/>
      <c r="CD83" s="266" t="n"/>
      <c r="CE83" s="266" t="n"/>
      <c r="CF83" s="266" t="n"/>
      <c r="CG83" s="266" t="n"/>
      <c r="CH83" s="266" t="n"/>
      <c r="CI83" s="266" t="n"/>
      <c r="CJ83" s="266" t="n"/>
      <c r="CK83" s="266" t="n"/>
      <c r="CL83" s="266" t="n"/>
      <c r="CM83" s="266" t="n"/>
      <c r="CN83" s="266" t="n"/>
      <c r="CO83" s="266" t="n"/>
      <c r="CP83" s="266" t="n"/>
      <c r="CQ83" s="266" t="n"/>
      <c r="CR83" s="266" t="n"/>
      <c r="CS83" s="266" t="n"/>
      <c r="CT83" s="266" t="n"/>
      <c r="CU83" s="266" t="n"/>
      <c r="CV83" s="266" t="n"/>
      <c r="CW83" s="266" t="n"/>
      <c r="CX83" s="266" t="n"/>
      <c r="CY83" s="266" t="n"/>
    </row>
    <row r="84" hidden="1" outlineLevel="1" ht="12.75" customHeight="1" s="254">
      <c r="C84" s="310" t="n"/>
      <c r="D84" s="266" t="n"/>
      <c r="E84" s="266" t="n"/>
      <c r="F84" s="266" t="n"/>
      <c r="G84" s="266" t="n"/>
      <c r="H84" s="266" t="n"/>
      <c r="I84" s="266" t="n"/>
      <c r="J84" s="266" t="n"/>
      <c r="K84" s="266" t="n"/>
      <c r="L84" s="266" t="n"/>
      <c r="M84" s="266" t="n"/>
      <c r="N84" s="266" t="n"/>
      <c r="O84" s="266" t="n"/>
      <c r="P84" s="266" t="n"/>
      <c r="Q84" s="266" t="n"/>
      <c r="R84" s="266" t="n"/>
      <c r="S84" s="266" t="n"/>
      <c r="T84" s="266" t="n"/>
      <c r="U84" s="266" t="n"/>
      <c r="V84" s="266" t="n"/>
      <c r="W84" s="266" t="n"/>
      <c r="X84" s="266" t="n"/>
      <c r="Y84" s="266" t="n"/>
      <c r="Z84" s="266" t="n"/>
      <c r="AA84" s="266" t="n"/>
      <c r="AB84" s="266" t="n"/>
      <c r="AC84" s="266" t="n"/>
      <c r="AD84" s="266" t="n"/>
      <c r="AE84" s="266" t="n"/>
      <c r="AF84" s="266" t="n"/>
      <c r="AG84" s="266" t="n"/>
      <c r="AH84" s="266" t="n"/>
      <c r="AI84" s="266" t="n"/>
      <c r="AJ84" s="266" t="n"/>
      <c r="AK84" s="266" t="n"/>
      <c r="AL84" s="266" t="n"/>
      <c r="AM84" s="266" t="n"/>
      <c r="AN84" s="266" t="n"/>
      <c r="AO84" s="266" t="n"/>
      <c r="AP84" s="266" t="n"/>
      <c r="AQ84" s="266" t="n"/>
      <c r="AR84" s="266" t="n"/>
      <c r="AS84" s="266" t="n"/>
      <c r="AT84" s="266" t="n"/>
      <c r="AU84" s="266" t="n"/>
      <c r="AV84" s="266" t="n"/>
      <c r="AW84" s="266" t="n"/>
      <c r="AX84" s="266" t="n"/>
      <c r="AY84" s="266" t="n"/>
      <c r="AZ84" s="266" t="n"/>
      <c r="BA84" s="266" t="n"/>
      <c r="BB84" s="266" t="n"/>
      <c r="BC84" s="266" t="n"/>
      <c r="BD84" s="266" t="n"/>
      <c r="BE84" s="266" t="n"/>
      <c r="BF84" s="266" t="n"/>
      <c r="BG84" s="266" t="n"/>
      <c r="BH84" s="266" t="n"/>
      <c r="BI84" s="266" t="n"/>
      <c r="BJ84" s="266" t="n"/>
      <c r="BK84" s="266" t="n"/>
      <c r="BL84" s="266" t="n"/>
      <c r="BM84" s="266" t="n"/>
      <c r="BN84" s="266" t="n"/>
      <c r="BO84" s="266" t="n"/>
      <c r="BP84" s="266" t="n"/>
      <c r="BQ84" s="266" t="n"/>
      <c r="BR84" s="266" t="n"/>
      <c r="BS84" s="266" t="n"/>
      <c r="BT84" s="266" t="n"/>
      <c r="BU84" s="266" t="n"/>
      <c r="BV84" s="266" t="n"/>
      <c r="BW84" s="266" t="n"/>
      <c r="BX84" s="266" t="n"/>
      <c r="BY84" s="266" t="n"/>
      <c r="BZ84" s="266" t="n"/>
      <c r="CA84" s="266" t="n"/>
      <c r="CB84" s="266" t="n"/>
      <c r="CC84" s="266" t="n"/>
      <c r="CD84" s="266" t="n"/>
      <c r="CE84" s="266" t="n"/>
      <c r="CF84" s="266" t="n"/>
      <c r="CG84" s="266" t="n"/>
      <c r="CH84" s="266" t="n"/>
      <c r="CI84" s="266" t="n"/>
      <c r="CJ84" s="266" t="n"/>
      <c r="CK84" s="266" t="n"/>
      <c r="CL84" s="266" t="n"/>
      <c r="CM84" s="266" t="n"/>
      <c r="CN84" s="266" t="n"/>
      <c r="CO84" s="266" t="n"/>
      <c r="CP84" s="266" t="n"/>
      <c r="CQ84" s="266" t="n"/>
      <c r="CR84" s="266" t="n"/>
      <c r="CS84" s="266" t="n"/>
      <c r="CT84" s="266" t="n"/>
      <c r="CU84" s="266" t="n"/>
      <c r="CV84" s="266" t="n"/>
      <c r="CW84" s="266" t="n"/>
      <c r="CX84" s="266" t="n"/>
      <c r="CY84" s="266" t="n"/>
    </row>
    <row r="85" hidden="1" outlineLevel="1" ht="12.75" customHeight="1" s="254">
      <c r="C85" s="310" t="inlineStr">
        <is>
          <t>RECEITA FINANCEIRA</t>
        </is>
      </c>
      <c r="D85" s="266" t="n"/>
      <c r="E85" s="266" t="n"/>
      <c r="F85" s="266" t="n"/>
      <c r="G85" s="266" t="n"/>
      <c r="H85" s="266" t="n"/>
      <c r="I85" s="266" t="n"/>
      <c r="J85" s="266" t="n"/>
      <c r="K85" s="266" t="n"/>
      <c r="L85" s="266" t="n"/>
      <c r="M85" s="266" t="n"/>
      <c r="N85" s="266" t="n"/>
      <c r="O85" s="266" t="n"/>
      <c r="P85" s="266" t="n"/>
      <c r="Q85" s="266" t="n"/>
      <c r="R85" s="266" t="n"/>
      <c r="S85" s="266" t="n"/>
      <c r="T85" s="266" t="n"/>
      <c r="U85" s="266" t="n"/>
      <c r="V85" s="266" t="n"/>
      <c r="W85" s="266" t="n"/>
      <c r="X85" s="266" t="n"/>
      <c r="Y85" s="266" t="n"/>
      <c r="Z85" s="266" t="n"/>
      <c r="AA85" s="266" t="n"/>
      <c r="AB85" s="266" t="n"/>
      <c r="AC85" s="266" t="n"/>
      <c r="AD85" s="266" t="n"/>
      <c r="AE85" s="266" t="n"/>
      <c r="AF85" s="266" t="n"/>
      <c r="AG85" s="266" t="n"/>
      <c r="AH85" s="266" t="n"/>
      <c r="AI85" s="266" t="n"/>
      <c r="AJ85" s="266" t="n"/>
      <c r="AK85" s="266" t="n"/>
      <c r="AL85" s="266" t="n"/>
      <c r="AM85" s="266" t="n"/>
      <c r="AN85" s="266" t="n"/>
      <c r="AO85" s="266" t="n"/>
      <c r="AP85" s="266" t="n"/>
      <c r="AQ85" s="266" t="n"/>
      <c r="AR85" s="266" t="n"/>
      <c r="AS85" s="266" t="n"/>
      <c r="AT85" s="266" t="n"/>
      <c r="AU85" s="266" t="n"/>
      <c r="AV85" s="266" t="n"/>
      <c r="AW85" s="266" t="n"/>
      <c r="AX85" s="266" t="n"/>
      <c r="AY85" s="266" t="n"/>
      <c r="AZ85" s="266" t="n"/>
      <c r="BA85" s="266" t="n"/>
      <c r="BB85" s="266" t="n"/>
      <c r="BC85" s="266" t="n"/>
      <c r="BD85" s="266" t="n"/>
      <c r="BE85" s="266" t="n"/>
      <c r="BF85" s="266" t="n"/>
      <c r="BG85" s="266" t="n"/>
      <c r="BH85" s="266" t="n"/>
      <c r="BI85" s="266" t="n"/>
      <c r="BJ85" s="266" t="n"/>
      <c r="BK85" s="266" t="n"/>
      <c r="BL85" s="266" t="n"/>
      <c r="BM85" s="266" t="n"/>
      <c r="BN85" s="266" t="n"/>
      <c r="BO85" s="266" t="n"/>
      <c r="BP85" s="266" t="n"/>
      <c r="BQ85" s="266" t="n"/>
      <c r="BR85" s="266" t="n"/>
      <c r="BS85" s="266" t="n"/>
      <c r="BT85" s="266" t="n"/>
      <c r="BU85" s="266" t="n"/>
      <c r="BV85" s="266" t="n"/>
      <c r="BW85" s="266" t="n"/>
      <c r="BX85" s="266" t="n"/>
      <c r="BY85" s="266" t="n"/>
      <c r="BZ85" s="266" t="n"/>
      <c r="CA85" s="266" t="n"/>
      <c r="CB85" s="266" t="n"/>
      <c r="CC85" s="266" t="n"/>
      <c r="CD85" s="266" t="n"/>
      <c r="CE85" s="266" t="n"/>
      <c r="CF85" s="266" t="n"/>
      <c r="CG85" s="266" t="n"/>
      <c r="CH85" s="266" t="n"/>
      <c r="CI85" s="266" t="n"/>
      <c r="CJ85" s="266" t="n"/>
      <c r="CK85" s="266" t="n"/>
      <c r="CL85" s="266" t="n"/>
      <c r="CM85" s="266" t="n"/>
      <c r="CN85" s="266" t="n"/>
      <c r="CO85" s="266" t="n"/>
      <c r="CP85" s="266" t="n"/>
      <c r="CQ85" s="266" t="n"/>
      <c r="CR85" s="266" t="n"/>
      <c r="CS85" s="266" t="n"/>
      <c r="CT85" s="266" t="n"/>
      <c r="CU85" s="266" t="n"/>
      <c r="CV85" s="266" t="n"/>
      <c r="CW85" s="266" t="n"/>
      <c r="CX85" s="266" t="n"/>
      <c r="CY85" s="266" t="n"/>
    </row>
    <row r="86" hidden="1" outlineLevel="1" ht="12.75" customHeight="1" s="254">
      <c r="C86" s="310" t="inlineStr">
        <is>
          <t>DESPESA FINANCEIRA</t>
        </is>
      </c>
      <c r="D86" s="266" t="n"/>
      <c r="E86" s="266" t="n"/>
      <c r="F86" s="266" t="n"/>
      <c r="G86" s="266" t="n"/>
      <c r="H86" s="266" t="n"/>
      <c r="I86" s="266" t="n"/>
      <c r="J86" s="266" t="n"/>
      <c r="K86" s="266" t="n"/>
      <c r="L86" s="266" t="n"/>
      <c r="M86" s="266" t="n"/>
      <c r="N86" s="266" t="n"/>
      <c r="O86" s="266" t="n"/>
      <c r="P86" s="266" t="n"/>
      <c r="Q86" s="266" t="n"/>
      <c r="R86" s="266" t="n"/>
      <c r="S86" s="266" t="n"/>
      <c r="T86" s="266" t="n"/>
      <c r="U86" s="266" t="n"/>
      <c r="V86" s="266" t="n"/>
      <c r="W86" s="266" t="n"/>
      <c r="X86" s="266" t="n"/>
      <c r="Y86" s="266" t="n"/>
      <c r="Z86" s="266" t="n"/>
      <c r="AA86" s="266" t="n"/>
      <c r="AB86" s="266" t="n"/>
      <c r="AC86" s="266" t="n"/>
      <c r="AD86" s="266" t="n"/>
      <c r="AE86" s="266" t="n"/>
      <c r="AF86" s="266" t="n"/>
      <c r="AG86" s="266" t="n"/>
      <c r="AH86" s="266" t="n"/>
      <c r="AI86" s="266" t="n"/>
      <c r="AJ86" s="266" t="n"/>
      <c r="AK86" s="266" t="n"/>
      <c r="AL86" s="266" t="n"/>
      <c r="AM86" s="266" t="n"/>
      <c r="AN86" s="266" t="n"/>
      <c r="AO86" s="266" t="n"/>
      <c r="AP86" s="266" t="n"/>
      <c r="AQ86" s="266" t="n"/>
      <c r="AR86" s="266" t="n"/>
      <c r="AS86" s="266" t="n"/>
      <c r="AT86" s="266" t="n"/>
      <c r="AU86" s="266" t="n"/>
      <c r="AV86" s="266" t="n"/>
      <c r="AW86" s="266" t="n"/>
      <c r="AX86" s="266" t="n"/>
      <c r="AY86" s="266" t="n"/>
      <c r="AZ86" s="266" t="n"/>
      <c r="BA86" s="266" t="n"/>
      <c r="BB86" s="266" t="n"/>
      <c r="BC86" s="266" t="n"/>
      <c r="BD86" s="266" t="n"/>
      <c r="BE86" s="266" t="n"/>
      <c r="BF86" s="266" t="n"/>
      <c r="BG86" s="266" t="n"/>
      <c r="BH86" s="266" t="n"/>
      <c r="BI86" s="266" t="n"/>
      <c r="BJ86" s="266" t="n"/>
      <c r="BK86" s="266" t="n"/>
      <c r="BL86" s="266" t="n"/>
      <c r="BM86" s="266" t="n"/>
      <c r="BN86" s="266" t="n"/>
      <c r="BO86" s="266" t="n"/>
      <c r="BP86" s="266" t="n"/>
      <c r="BQ86" s="266" t="n"/>
      <c r="BR86" s="266" t="n"/>
      <c r="BS86" s="266" t="n"/>
      <c r="BT86" s="266" t="n"/>
      <c r="BU86" s="266" t="n"/>
      <c r="BV86" s="266" t="n"/>
      <c r="BW86" s="266" t="n"/>
      <c r="BX86" s="266" t="n"/>
      <c r="BY86" s="266" t="n"/>
      <c r="BZ86" s="266" t="n"/>
      <c r="CA86" s="266" t="n"/>
      <c r="CB86" s="266" t="n"/>
      <c r="CC86" s="266" t="n"/>
      <c r="CD86" s="266" t="n"/>
      <c r="CE86" s="266" t="n"/>
      <c r="CF86" s="266" t="n"/>
      <c r="CG86" s="266" t="n"/>
      <c r="CH86" s="266" t="n"/>
      <c r="CI86" s="266" t="n"/>
      <c r="CJ86" s="266" t="n"/>
      <c r="CK86" s="266" t="n"/>
      <c r="CL86" s="266" t="n"/>
      <c r="CM86" s="266" t="n"/>
      <c r="CN86" s="266" t="n"/>
      <c r="CO86" s="266" t="n"/>
      <c r="CP86" s="266" t="n"/>
      <c r="CQ86" s="266" t="n"/>
      <c r="CR86" s="266" t="n"/>
      <c r="CS86" s="266" t="n"/>
      <c r="CT86" s="266" t="n"/>
      <c r="CU86" s="266" t="n"/>
      <c r="CV86" s="266" t="n"/>
      <c r="CW86" s="266" t="n"/>
      <c r="CX86" s="266" t="n"/>
      <c r="CY86" s="266" t="n"/>
    </row>
    <row r="87" hidden="1" outlineLevel="1" ht="12.75" customHeight="1" s="254">
      <c r="C87" s="310" t="inlineStr">
        <is>
          <t>OUTROS</t>
        </is>
      </c>
      <c r="D87" s="266" t="n"/>
      <c r="E87" s="266" t="n"/>
      <c r="F87" s="266" t="n"/>
      <c r="G87" s="266" t="n"/>
      <c r="H87" s="266" t="n"/>
      <c r="I87" s="266" t="n"/>
      <c r="J87" s="266" t="n"/>
      <c r="K87" s="266" t="n"/>
      <c r="L87" s="266" t="n"/>
      <c r="M87" s="266" t="n"/>
      <c r="N87" s="266" t="n"/>
      <c r="O87" s="266" t="n"/>
      <c r="P87" s="266" t="n"/>
      <c r="Q87" s="266" t="n"/>
      <c r="R87" s="266" t="n"/>
      <c r="S87" s="266" t="n"/>
      <c r="T87" s="266" t="n"/>
      <c r="U87" s="266" t="n"/>
      <c r="V87" s="266" t="n"/>
      <c r="W87" s="266" t="n"/>
      <c r="X87" s="266" t="n"/>
      <c r="Y87" s="266" t="n"/>
      <c r="Z87" s="266" t="n"/>
      <c r="AA87" s="266" t="n"/>
      <c r="AB87" s="266" t="n"/>
      <c r="AC87" s="266" t="n"/>
      <c r="AD87" s="266" t="n"/>
      <c r="AE87" s="266" t="n"/>
      <c r="AF87" s="266" t="n"/>
      <c r="AG87" s="266" t="n"/>
      <c r="AH87" s="266" t="n"/>
      <c r="AI87" s="266" t="n"/>
      <c r="AJ87" s="266" t="n"/>
      <c r="AK87" s="266" t="n"/>
      <c r="AL87" s="266" t="n"/>
      <c r="AM87" s="266" t="n"/>
      <c r="AN87" s="266" t="n"/>
      <c r="AO87" s="266" t="n"/>
      <c r="AP87" s="266" t="n"/>
      <c r="AQ87" s="266" t="n"/>
      <c r="AR87" s="266" t="n"/>
      <c r="AS87" s="266" t="n"/>
      <c r="AT87" s="266" t="n"/>
      <c r="AU87" s="266" t="n"/>
      <c r="AV87" s="266" t="n"/>
      <c r="AW87" s="266" t="n"/>
      <c r="AX87" s="266" t="n"/>
      <c r="AY87" s="266" t="n"/>
      <c r="AZ87" s="266" t="n"/>
      <c r="BA87" s="266" t="n"/>
      <c r="BB87" s="266" t="n"/>
      <c r="BC87" s="266" t="n"/>
      <c r="BD87" s="266" t="n"/>
      <c r="BE87" s="266" t="n"/>
      <c r="BF87" s="266" t="n"/>
      <c r="BG87" s="266" t="n"/>
      <c r="BH87" s="266" t="n"/>
      <c r="BI87" s="266" t="n"/>
      <c r="BJ87" s="266" t="n"/>
      <c r="BK87" s="266" t="n"/>
      <c r="BL87" s="266" t="n"/>
      <c r="BM87" s="266" t="n"/>
      <c r="BN87" s="266" t="n"/>
      <c r="BO87" s="266" t="n"/>
      <c r="BP87" s="266" t="n"/>
      <c r="BQ87" s="266" t="n"/>
      <c r="BR87" s="266" t="n"/>
      <c r="BS87" s="266" t="n"/>
      <c r="BT87" s="266" t="n"/>
      <c r="BU87" s="266" t="n"/>
      <c r="BV87" s="266" t="n"/>
      <c r="BW87" s="266" t="n"/>
      <c r="BX87" s="266" t="n"/>
      <c r="BY87" s="266" t="n"/>
      <c r="BZ87" s="266" t="n"/>
      <c r="CA87" s="266" t="n"/>
      <c r="CB87" s="266" t="n"/>
      <c r="CC87" s="266" t="n"/>
      <c r="CD87" s="266" t="n"/>
      <c r="CE87" s="266" t="n"/>
      <c r="CF87" s="266" t="n"/>
      <c r="CG87" s="266" t="n"/>
      <c r="CH87" s="266" t="n"/>
      <c r="CI87" s="266" t="n"/>
      <c r="CJ87" s="266" t="n"/>
      <c r="CK87" s="266" t="n"/>
      <c r="CL87" s="266" t="n"/>
      <c r="CM87" s="266" t="n"/>
      <c r="CN87" s="266" t="n"/>
      <c r="CO87" s="266" t="n"/>
      <c r="CP87" s="266" t="n"/>
      <c r="CQ87" s="266" t="n"/>
      <c r="CR87" s="266" t="n"/>
      <c r="CS87" s="266" t="n"/>
      <c r="CT87" s="266" t="n"/>
      <c r="CU87" s="266" t="n"/>
      <c r="CV87" s="266" t="n"/>
      <c r="CW87" s="266" t="n"/>
      <c r="CX87" s="266" t="n"/>
      <c r="CY87" s="266" t="n"/>
    </row>
    <row r="88" hidden="1" outlineLevel="1" ht="12.75" customHeight="1" s="254">
      <c r="C88" s="310" t="n"/>
      <c r="D88" s="266" t="n"/>
      <c r="E88" s="266" t="n"/>
      <c r="F88" s="266" t="n"/>
      <c r="G88" s="266" t="n"/>
      <c r="H88" s="266" t="n"/>
      <c r="I88" s="266" t="n"/>
      <c r="J88" s="266" t="n"/>
      <c r="K88" s="266" t="n"/>
      <c r="L88" s="266" t="n"/>
      <c r="M88" s="266" t="n"/>
      <c r="N88" s="266" t="n"/>
      <c r="O88" s="266" t="n"/>
      <c r="P88" s="266" t="n"/>
      <c r="Q88" s="266" t="n"/>
      <c r="R88" s="266" t="n"/>
      <c r="S88" s="266" t="n"/>
      <c r="T88" s="266" t="n"/>
      <c r="U88" s="266" t="n"/>
      <c r="V88" s="266" t="n"/>
      <c r="W88" s="266" t="n"/>
      <c r="X88" s="266" t="n"/>
      <c r="Y88" s="266" t="n"/>
      <c r="Z88" s="266" t="n"/>
      <c r="AA88" s="266" t="n"/>
      <c r="AB88" s="266" t="n"/>
      <c r="AC88" s="266" t="n"/>
      <c r="AD88" s="266" t="n"/>
      <c r="AE88" s="266" t="n"/>
      <c r="AF88" s="266" t="n"/>
      <c r="AG88" s="266" t="n"/>
      <c r="AH88" s="266" t="n"/>
      <c r="AI88" s="266" t="n"/>
      <c r="AJ88" s="266" t="n"/>
      <c r="AK88" s="266" t="n"/>
      <c r="AL88" s="266" t="n"/>
      <c r="AM88" s="266" t="n"/>
      <c r="AN88" s="266" t="n"/>
      <c r="AO88" s="266" t="n"/>
      <c r="AP88" s="266" t="n"/>
      <c r="AQ88" s="266" t="n"/>
      <c r="AR88" s="266" t="n"/>
      <c r="AS88" s="266" t="n"/>
      <c r="AT88" s="266" t="n"/>
      <c r="AU88" s="266" t="n"/>
      <c r="AV88" s="266" t="n"/>
      <c r="AW88" s="266" t="n"/>
      <c r="AX88" s="266" t="n"/>
      <c r="AY88" s="266" t="n"/>
      <c r="AZ88" s="266" t="n"/>
      <c r="BA88" s="266" t="n"/>
      <c r="BB88" s="266" t="n"/>
      <c r="BC88" s="266" t="n"/>
      <c r="BD88" s="266" t="n"/>
      <c r="BE88" s="266" t="n"/>
      <c r="BF88" s="266" t="n"/>
      <c r="BG88" s="266" t="n"/>
      <c r="BH88" s="266" t="n"/>
      <c r="BI88" s="266" t="n"/>
      <c r="BJ88" s="266" t="n"/>
      <c r="BK88" s="266" t="n"/>
      <c r="BL88" s="266" t="n"/>
      <c r="BM88" s="266" t="n"/>
      <c r="BN88" s="266" t="n"/>
      <c r="BO88" s="266" t="n"/>
      <c r="BP88" s="266" t="n"/>
      <c r="BQ88" s="266" t="n"/>
      <c r="BR88" s="266" t="n"/>
      <c r="BS88" s="266" t="n"/>
      <c r="BT88" s="266" t="n"/>
      <c r="BU88" s="266" t="n"/>
      <c r="BV88" s="266" t="n"/>
      <c r="BW88" s="266" t="n"/>
      <c r="BX88" s="266" t="n"/>
      <c r="BY88" s="266" t="n"/>
      <c r="BZ88" s="266" t="n"/>
      <c r="CA88" s="266" t="n"/>
      <c r="CB88" s="266" t="n"/>
      <c r="CC88" s="266" t="n"/>
      <c r="CD88" s="266" t="n"/>
      <c r="CE88" s="266" t="n"/>
      <c r="CF88" s="266" t="n"/>
      <c r="CG88" s="266" t="n"/>
      <c r="CH88" s="266" t="n"/>
      <c r="CI88" s="266" t="n"/>
      <c r="CJ88" s="266" t="n"/>
      <c r="CK88" s="266" t="n"/>
      <c r="CL88" s="266" t="n"/>
      <c r="CM88" s="266" t="n"/>
      <c r="CN88" s="266" t="n"/>
      <c r="CO88" s="266" t="n"/>
      <c r="CP88" s="266" t="n"/>
      <c r="CQ88" s="266" t="n"/>
      <c r="CR88" s="266" t="n"/>
      <c r="CS88" s="266" t="n"/>
      <c r="CT88" s="266" t="n"/>
      <c r="CU88" s="266" t="n"/>
      <c r="CV88" s="266" t="n"/>
      <c r="CW88" s="266" t="n"/>
      <c r="CX88" s="266" t="n"/>
      <c r="CY88" s="266" t="n"/>
    </row>
    <row r="89" hidden="1" outlineLevel="1" ht="12.75" customHeight="1" s="254">
      <c r="C89" s="310" t="inlineStr">
        <is>
          <t>Cash and equivalents (inc. investment securities)</t>
        </is>
      </c>
      <c r="D89" s="266" t="n"/>
      <c r="E89" s="266" t="n"/>
      <c r="F89" s="266" t="n"/>
      <c r="G89" s="266" t="n"/>
      <c r="H89" s="266" t="n"/>
      <c r="I89" s="266" t="n"/>
      <c r="J89" s="266" t="n"/>
      <c r="K89" s="266" t="n"/>
      <c r="L89" s="266" t="n"/>
      <c r="M89" s="266" t="n"/>
      <c r="N89" s="266" t="n"/>
      <c r="O89" s="266" t="n"/>
      <c r="P89" s="266" t="n"/>
      <c r="Q89" s="266" t="n"/>
      <c r="R89" s="266" t="n"/>
      <c r="S89" s="266" t="n"/>
      <c r="T89" s="266" t="n"/>
      <c r="U89" s="266" t="n"/>
      <c r="V89" s="266" t="n"/>
      <c r="W89" s="266" t="n"/>
      <c r="X89" s="266" t="n"/>
      <c r="Y89" s="266" t="n"/>
      <c r="Z89" s="266" t="n"/>
      <c r="AA89" s="266" t="n"/>
      <c r="AB89" s="266" t="n"/>
      <c r="AC89" s="266" t="n"/>
      <c r="AD89" s="266" t="n"/>
      <c r="AE89" s="266" t="n"/>
      <c r="AF89" s="266" t="n"/>
      <c r="AG89" s="266" t="n"/>
      <c r="AH89" s="266" t="n"/>
      <c r="AI89" s="266" t="n"/>
      <c r="AJ89" s="266" t="n"/>
      <c r="AK89" s="266" t="n"/>
      <c r="AL89" s="266" t="n"/>
      <c r="AM89" s="266" t="n"/>
      <c r="AN89" s="266" t="n"/>
      <c r="AO89" s="266" t="n"/>
      <c r="AP89" s="266" t="n"/>
      <c r="AQ89" s="266" t="n"/>
      <c r="AR89" s="266" t="n"/>
      <c r="AS89" s="266" t="n"/>
      <c r="AT89" s="266" t="n"/>
      <c r="AU89" s="266" t="n"/>
      <c r="AV89" s="266" t="n"/>
      <c r="AW89" s="266" t="n"/>
      <c r="AX89" s="266" t="n"/>
      <c r="AY89" s="266" t="n"/>
      <c r="AZ89" s="266" t="n"/>
      <c r="BA89" s="266" t="n"/>
      <c r="BB89" s="266" t="n"/>
      <c r="BC89" s="266" t="n"/>
      <c r="BD89" s="266" t="n"/>
      <c r="BE89" s="266" t="n"/>
      <c r="BF89" s="266" t="n"/>
      <c r="BG89" s="266" t="n"/>
      <c r="BH89" s="266" t="n"/>
      <c r="BI89" s="266" t="n"/>
      <c r="BJ89" s="266" t="n"/>
      <c r="BK89" s="266" t="n"/>
      <c r="BL89" s="266" t="n"/>
      <c r="BM89" s="266" t="n"/>
      <c r="BN89" s="266" t="n"/>
      <c r="BO89" s="266" t="n"/>
      <c r="BP89" s="266" t="n"/>
      <c r="BQ89" s="266" t="n"/>
      <c r="BR89" s="266" t="n"/>
      <c r="BS89" s="266" t="n"/>
      <c r="BT89" s="266" t="n"/>
      <c r="BU89" s="266" t="n"/>
      <c r="BV89" s="266" t="n"/>
      <c r="BW89" s="266" t="n"/>
      <c r="BX89" s="266" t="n"/>
      <c r="BY89" s="266" t="n"/>
      <c r="BZ89" s="266" t="n"/>
      <c r="CA89" s="266" t="n"/>
      <c r="CB89" s="266" t="n"/>
      <c r="CC89" s="266" t="n"/>
      <c r="CD89" s="266" t="n"/>
      <c r="CE89" s="266" t="n"/>
      <c r="CF89" s="266" t="n"/>
      <c r="CG89" s="266" t="n"/>
      <c r="CH89" s="266" t="n"/>
      <c r="CI89" s="266" t="n"/>
      <c r="CJ89" s="266" t="n"/>
      <c r="CK89" s="266" t="n"/>
      <c r="CL89" s="266" t="n"/>
      <c r="CM89" s="266" t="n"/>
      <c r="CN89" s="266" t="n"/>
      <c r="CO89" s="266" t="n"/>
      <c r="CP89" s="266" t="n"/>
      <c r="CQ89" s="266" t="n"/>
      <c r="CR89" s="266" t="n"/>
      <c r="CS89" s="266" t="n"/>
      <c r="CT89" s="266" t="n"/>
      <c r="CU89" s="266" t="n"/>
      <c r="CV89" s="266" t="n"/>
      <c r="CW89" s="266" t="n"/>
      <c r="CX89" s="266" t="n"/>
      <c r="CY89" s="266" t="n"/>
    </row>
    <row r="90" hidden="1" outlineLevel="1" ht="12.75" customHeight="1" s="254">
      <c r="C90" s="310" t="inlineStr">
        <is>
          <t>Interest on cash</t>
        </is>
      </c>
      <c r="D90" s="266" t="n"/>
      <c r="E90" s="266" t="n"/>
      <c r="F90" s="266" t="n"/>
      <c r="G90" s="266" t="n"/>
      <c r="H90" s="266" t="n"/>
      <c r="I90" s="266" t="n"/>
      <c r="J90" s="266" t="n"/>
      <c r="K90" s="266" t="n"/>
      <c r="L90" s="266" t="n"/>
      <c r="M90" s="266" t="n"/>
      <c r="N90" s="266" t="n"/>
      <c r="O90" s="266" t="n"/>
      <c r="P90" s="266" t="n"/>
      <c r="Q90" s="266" t="n"/>
      <c r="R90" s="266" t="n"/>
      <c r="S90" s="266" t="n"/>
      <c r="T90" s="266" t="n"/>
      <c r="U90" s="266" t="n"/>
      <c r="V90" s="266" t="n"/>
      <c r="W90" s="266" t="n"/>
      <c r="X90" s="266" t="n"/>
      <c r="Y90" s="266" t="n"/>
      <c r="Z90" s="266" t="n"/>
      <c r="AA90" s="266" t="n"/>
      <c r="AB90" s="266" t="n"/>
      <c r="AC90" s="266" t="n"/>
      <c r="AD90" s="266" t="n"/>
      <c r="AE90" s="266" t="n"/>
      <c r="AF90" s="266" t="n"/>
      <c r="AG90" s="266" t="n"/>
      <c r="AH90" s="266" t="n"/>
      <c r="AI90" s="266" t="n"/>
      <c r="AJ90" s="266" t="n"/>
      <c r="AK90" s="266" t="n"/>
      <c r="AL90" s="266" t="n"/>
      <c r="AM90" s="266" t="n"/>
      <c r="AN90" s="266" t="n"/>
      <c r="AO90" s="266" t="n"/>
      <c r="AP90" s="266" t="n"/>
      <c r="AQ90" s="266" t="n"/>
      <c r="AR90" s="266" t="n"/>
      <c r="AS90" s="266" t="n"/>
      <c r="AT90" s="266" t="n"/>
      <c r="AU90" s="266" t="n"/>
      <c r="AV90" s="266" t="n"/>
      <c r="AW90" s="266" t="n"/>
      <c r="AX90" s="266" t="n"/>
      <c r="AY90" s="266" t="n"/>
      <c r="AZ90" s="266" t="n"/>
      <c r="BA90" s="266" t="n"/>
      <c r="BB90" s="266" t="n"/>
      <c r="BC90" s="266" t="n"/>
      <c r="BD90" s="266" t="n"/>
      <c r="BE90" s="266" t="n"/>
      <c r="BF90" s="266" t="n"/>
      <c r="BG90" s="266" t="n"/>
      <c r="BH90" s="266" t="n"/>
      <c r="BI90" s="266" t="n"/>
      <c r="BJ90" s="266" t="n"/>
      <c r="BK90" s="266" t="n"/>
      <c r="BL90" s="266" t="n"/>
      <c r="BM90" s="266" t="n"/>
      <c r="BN90" s="266" t="n"/>
      <c r="BO90" s="266" t="n"/>
      <c r="BP90" s="266" t="n"/>
      <c r="BQ90" s="266" t="n"/>
      <c r="BR90" s="266" t="n"/>
      <c r="BS90" s="266" t="n"/>
      <c r="BT90" s="266" t="n"/>
      <c r="BU90" s="266" t="n"/>
      <c r="BV90" s="266" t="n"/>
      <c r="BW90" s="266" t="n"/>
      <c r="BX90" s="266" t="n"/>
      <c r="BY90" s="266" t="n"/>
      <c r="BZ90" s="266" t="n"/>
      <c r="CA90" s="266" t="n"/>
      <c r="CB90" s="266" t="n"/>
      <c r="CC90" s="266" t="n"/>
      <c r="CD90" s="266" t="n"/>
      <c r="CE90" s="266" t="n"/>
      <c r="CF90" s="266" t="n"/>
      <c r="CG90" s="266" t="n"/>
      <c r="CH90" s="266" t="n"/>
      <c r="CI90" s="266" t="n"/>
      <c r="CJ90" s="266" t="n"/>
      <c r="CK90" s="266" t="n"/>
      <c r="CL90" s="266" t="n"/>
      <c r="CM90" s="266" t="n"/>
      <c r="CN90" s="266" t="n"/>
      <c r="CO90" s="266" t="n"/>
      <c r="CP90" s="266" t="n"/>
      <c r="CQ90" s="266" t="n"/>
      <c r="CR90" s="266" t="n"/>
      <c r="CS90" s="266" t="n"/>
      <c r="CT90" s="266" t="n"/>
      <c r="CU90" s="266" t="n"/>
      <c r="CV90" s="266" t="n"/>
      <c r="CW90" s="266" t="n"/>
      <c r="CX90" s="266" t="n"/>
      <c r="CY90" s="266" t="n"/>
    </row>
    <row r="91" hidden="1" outlineLevel="1" ht="12.75" customHeight="1" s="254">
      <c r="C91" s="310" t="inlineStr">
        <is>
          <t>Average interest rate</t>
        </is>
      </c>
      <c r="D91" s="266" t="n"/>
      <c r="E91" s="266" t="n"/>
      <c r="F91" s="266" t="n"/>
      <c r="G91" s="266" t="n"/>
      <c r="H91" s="266" t="n"/>
      <c r="I91" s="266" t="n"/>
      <c r="J91" s="266" t="n"/>
      <c r="K91" s="266" t="n"/>
      <c r="L91" s="266" t="n"/>
      <c r="M91" s="266" t="n"/>
      <c r="N91" s="266" t="n"/>
      <c r="O91" s="266" t="n"/>
      <c r="P91" s="266" t="n"/>
      <c r="Q91" s="266" t="n"/>
      <c r="R91" s="266" t="n"/>
      <c r="S91" s="266" t="n"/>
      <c r="T91" s="266" t="n"/>
      <c r="U91" s="266" t="n"/>
      <c r="V91" s="266" t="n"/>
      <c r="W91" s="266" t="n"/>
      <c r="X91" s="266" t="n"/>
      <c r="Y91" s="266" t="n"/>
      <c r="Z91" s="266" t="n"/>
      <c r="AA91" s="266" t="n"/>
      <c r="AB91" s="266" t="n"/>
      <c r="AC91" s="266" t="n"/>
      <c r="AD91" s="266" t="n"/>
      <c r="AE91" s="266" t="n"/>
      <c r="AF91" s="266" t="n"/>
      <c r="AG91" s="266" t="n"/>
      <c r="AH91" s="266" t="n"/>
      <c r="AI91" s="266" t="n"/>
      <c r="AJ91" s="266" t="n"/>
      <c r="AK91" s="266" t="n"/>
      <c r="AL91" s="266" t="n"/>
      <c r="AM91" s="266" t="n"/>
      <c r="AN91" s="266" t="n"/>
      <c r="AO91" s="266" t="n"/>
      <c r="AP91" s="266" t="n"/>
      <c r="AQ91" s="266" t="n"/>
      <c r="AR91" s="266" t="n"/>
      <c r="AS91" s="266" t="n"/>
      <c r="AT91" s="266" t="n"/>
      <c r="AU91" s="266" t="n"/>
      <c r="AV91" s="266" t="n"/>
      <c r="AW91" s="266" t="n"/>
      <c r="AX91" s="266" t="n"/>
      <c r="AY91" s="266" t="n"/>
      <c r="AZ91" s="266" t="n"/>
      <c r="BA91" s="266" t="n"/>
      <c r="BB91" s="266" t="n"/>
      <c r="BC91" s="266" t="n"/>
      <c r="BD91" s="266" t="n"/>
      <c r="BE91" s="266" t="n"/>
      <c r="BF91" s="266" t="n"/>
      <c r="BG91" s="266" t="n"/>
      <c r="BH91" s="266" t="n"/>
      <c r="BI91" s="266" t="n"/>
      <c r="BJ91" s="266" t="n"/>
      <c r="BK91" s="266" t="n"/>
      <c r="BL91" s="266" t="n"/>
      <c r="BM91" s="266" t="n"/>
      <c r="BN91" s="266" t="n"/>
      <c r="BO91" s="266" t="n"/>
      <c r="BP91" s="266" t="n"/>
      <c r="BQ91" s="266" t="n"/>
      <c r="BR91" s="266" t="n"/>
      <c r="BS91" s="266" t="n"/>
      <c r="BT91" s="266" t="n"/>
      <c r="BU91" s="266" t="n"/>
      <c r="BV91" s="266" t="n"/>
      <c r="BW91" s="266" t="n"/>
      <c r="BX91" s="266" t="n"/>
      <c r="BY91" s="266" t="n"/>
      <c r="BZ91" s="266" t="n"/>
      <c r="CA91" s="266" t="n"/>
      <c r="CB91" s="266" t="n"/>
      <c r="CC91" s="266" t="n"/>
      <c r="CD91" s="266" t="n"/>
      <c r="CE91" s="266" t="n"/>
      <c r="CF91" s="266" t="n"/>
      <c r="CG91" s="266" t="n"/>
      <c r="CH91" s="266" t="n"/>
      <c r="CI91" s="266" t="n"/>
      <c r="CJ91" s="266" t="n"/>
      <c r="CK91" s="266" t="n"/>
      <c r="CL91" s="266" t="n"/>
      <c r="CM91" s="266" t="n"/>
      <c r="CN91" s="266" t="n"/>
      <c r="CO91" s="266" t="n"/>
      <c r="CP91" s="266" t="n"/>
      <c r="CQ91" s="266" t="n"/>
      <c r="CR91" s="266" t="n"/>
      <c r="CS91" s="266" t="n"/>
      <c r="CT91" s="266" t="n"/>
      <c r="CU91" s="266" t="n"/>
      <c r="CV91" s="266" t="n"/>
      <c r="CW91" s="266" t="n"/>
      <c r="CX91" s="266" t="n"/>
      <c r="CY91" s="266" t="n"/>
    </row>
    <row r="92" hidden="1" outlineLevel="1" ht="12.75" customHeight="1" s="254">
      <c r="C92" s="310" t="inlineStr">
        <is>
          <t>% CDI</t>
        </is>
      </c>
      <c r="D92" s="266" t="n"/>
      <c r="E92" s="266" t="n"/>
      <c r="F92" s="266" t="n"/>
      <c r="G92" s="266" t="n"/>
      <c r="H92" s="266" t="n"/>
      <c r="I92" s="266" t="n"/>
      <c r="J92" s="266" t="n"/>
      <c r="K92" s="266" t="n"/>
      <c r="L92" s="266" t="n"/>
      <c r="M92" s="266" t="n"/>
      <c r="N92" s="266" t="n"/>
      <c r="O92" s="266" t="n"/>
      <c r="P92" s="266" t="n"/>
      <c r="Q92" s="266" t="n"/>
      <c r="R92" s="266" t="n"/>
      <c r="S92" s="266" t="n"/>
      <c r="T92" s="266" t="n"/>
      <c r="U92" s="266" t="n"/>
      <c r="V92" s="266" t="n"/>
      <c r="W92" s="266" t="n"/>
      <c r="X92" s="266" t="n"/>
      <c r="Y92" s="266" t="n"/>
      <c r="Z92" s="266" t="n"/>
      <c r="AA92" s="266" t="n"/>
      <c r="AB92" s="266" t="n"/>
      <c r="AC92" s="266" t="n"/>
      <c r="AD92" s="266" t="n"/>
      <c r="AE92" s="266" t="n"/>
      <c r="AF92" s="266" t="n"/>
      <c r="AG92" s="266" t="n"/>
      <c r="AH92" s="266" t="n"/>
      <c r="AI92" s="266" t="n"/>
      <c r="AJ92" s="266" t="n"/>
      <c r="AK92" s="266" t="n"/>
      <c r="AL92" s="266" t="n"/>
      <c r="AM92" s="266" t="n"/>
      <c r="AN92" s="266" t="n"/>
      <c r="AO92" s="266" t="n"/>
      <c r="AP92" s="266" t="n"/>
      <c r="AQ92" s="266" t="n"/>
      <c r="AR92" s="266" t="n"/>
      <c r="AS92" s="266" t="n"/>
      <c r="AT92" s="266" t="n"/>
      <c r="AU92" s="266" t="n"/>
      <c r="AV92" s="266" t="n"/>
      <c r="AW92" s="266" t="n"/>
      <c r="AX92" s="266" t="n"/>
      <c r="AY92" s="266" t="n"/>
      <c r="AZ92" s="266" t="n"/>
      <c r="BA92" s="266" t="n"/>
      <c r="BB92" s="266" t="n"/>
      <c r="BC92" s="266" t="n"/>
      <c r="BD92" s="266" t="n"/>
      <c r="BE92" s="266" t="n"/>
      <c r="BF92" s="266" t="n"/>
      <c r="BG92" s="266" t="n"/>
      <c r="BH92" s="266" t="n"/>
      <c r="BI92" s="266" t="n"/>
      <c r="BJ92" s="266" t="n"/>
      <c r="BK92" s="266" t="n"/>
      <c r="BL92" s="266" t="n"/>
      <c r="BM92" s="266" t="n"/>
      <c r="BN92" s="266" t="n"/>
      <c r="BO92" s="266" t="n"/>
      <c r="BP92" s="266" t="n"/>
      <c r="BQ92" s="266" t="n"/>
      <c r="BR92" s="266" t="n"/>
      <c r="BS92" s="266" t="n"/>
      <c r="BT92" s="266" t="n"/>
      <c r="BU92" s="266" t="n"/>
      <c r="BV92" s="266" t="n"/>
      <c r="BW92" s="266" t="n"/>
      <c r="BX92" s="266" t="n"/>
      <c r="BY92" s="266" t="n"/>
      <c r="BZ92" s="266" t="n"/>
      <c r="CA92" s="266" t="n"/>
      <c r="CB92" s="266" t="n"/>
      <c r="CC92" s="266" t="n"/>
      <c r="CD92" s="266" t="n"/>
      <c r="CE92" s="266" t="n"/>
      <c r="CF92" s="266" t="n"/>
      <c r="CG92" s="266" t="n"/>
      <c r="CH92" s="266" t="n"/>
      <c r="CI92" s="266" t="n"/>
      <c r="CJ92" s="266" t="n"/>
      <c r="CK92" s="266" t="n"/>
      <c r="CL92" s="266" t="n"/>
      <c r="CM92" s="266" t="n"/>
      <c r="CN92" s="266" t="n"/>
      <c r="CO92" s="266" t="n"/>
      <c r="CP92" s="266" t="n"/>
      <c r="CQ92" s="266" t="n"/>
      <c r="CR92" s="266" t="n"/>
      <c r="CS92" s="266" t="n"/>
      <c r="CT92" s="266" t="n"/>
      <c r="CU92" s="266" t="n"/>
      <c r="CV92" s="266" t="n"/>
      <c r="CW92" s="266" t="n"/>
      <c r="CX92" s="266" t="n"/>
      <c r="CY92" s="266" t="n"/>
    </row>
    <row r="93" hidden="1" outlineLevel="1" ht="12.75" customHeight="1" s="254">
      <c r="C93" s="310" t="n"/>
      <c r="D93" s="266" t="n"/>
      <c r="E93" s="266" t="n"/>
      <c r="F93" s="266" t="n"/>
      <c r="G93" s="266" t="n"/>
      <c r="H93" s="266" t="n"/>
      <c r="I93" s="266" t="n"/>
      <c r="J93" s="266" t="n"/>
      <c r="K93" s="266" t="n"/>
      <c r="L93" s="266" t="n"/>
      <c r="M93" s="266" t="n"/>
      <c r="N93" s="266" t="n"/>
      <c r="O93" s="266" t="n"/>
      <c r="P93" s="266" t="n"/>
      <c r="Q93" s="266" t="n"/>
      <c r="R93" s="266" t="n"/>
      <c r="S93" s="266" t="n"/>
      <c r="T93" s="266" t="n"/>
      <c r="U93" s="266" t="n"/>
      <c r="V93" s="266" t="n"/>
      <c r="W93" s="266" t="n"/>
      <c r="X93" s="266" t="n"/>
      <c r="Y93" s="266" t="n"/>
      <c r="Z93" s="266" t="n"/>
      <c r="AA93" s="266" t="n"/>
      <c r="AB93" s="266" t="n"/>
      <c r="AC93" s="266" t="n"/>
      <c r="AD93" s="266" t="n"/>
      <c r="AE93" s="266" t="n"/>
      <c r="AF93" s="266" t="n"/>
      <c r="AG93" s="266" t="n"/>
      <c r="AH93" s="266" t="n"/>
      <c r="AI93" s="266" t="n"/>
      <c r="AJ93" s="266" t="n"/>
      <c r="AK93" s="266" t="n"/>
      <c r="AL93" s="266" t="n"/>
      <c r="AM93" s="266" t="n"/>
      <c r="AN93" s="266" t="n"/>
      <c r="AO93" s="266" t="n"/>
      <c r="AP93" s="266" t="n"/>
      <c r="AQ93" s="266" t="n"/>
      <c r="AR93" s="266" t="n"/>
      <c r="AS93" s="266" t="n"/>
      <c r="AT93" s="266" t="n"/>
      <c r="AU93" s="266" t="n"/>
      <c r="AV93" s="266" t="n"/>
      <c r="AW93" s="266" t="n"/>
      <c r="AX93" s="266" t="n"/>
      <c r="AY93" s="266" t="n"/>
      <c r="AZ93" s="266" t="n"/>
      <c r="BA93" s="266" t="n"/>
      <c r="BB93" s="266" t="n"/>
      <c r="BC93" s="266" t="n"/>
      <c r="BD93" s="266" t="n"/>
      <c r="BE93" s="266" t="n"/>
      <c r="BF93" s="266" t="n"/>
      <c r="BG93" s="266" t="n"/>
      <c r="BH93" s="266" t="n"/>
      <c r="BI93" s="266" t="n"/>
      <c r="BJ93" s="266" t="n"/>
      <c r="BK93" s="266" t="n"/>
      <c r="BL93" s="266" t="n"/>
      <c r="BM93" s="266" t="n"/>
      <c r="BN93" s="266" t="n"/>
      <c r="BO93" s="266" t="n"/>
      <c r="BP93" s="266" t="n"/>
      <c r="BQ93" s="266" t="n"/>
      <c r="BR93" s="266" t="n"/>
      <c r="BS93" s="266" t="n"/>
      <c r="BT93" s="266" t="n"/>
      <c r="BU93" s="266" t="n"/>
      <c r="BV93" s="266" t="n"/>
      <c r="BW93" s="266" t="n"/>
      <c r="BX93" s="266" t="n"/>
      <c r="BY93" s="266" t="n"/>
      <c r="BZ93" s="266" t="n"/>
      <c r="CA93" s="266" t="n"/>
      <c r="CB93" s="266" t="n"/>
      <c r="CC93" s="266" t="n"/>
      <c r="CD93" s="266" t="n"/>
      <c r="CE93" s="266" t="n"/>
      <c r="CF93" s="266" t="n"/>
      <c r="CG93" s="266" t="n"/>
      <c r="CH93" s="266" t="n"/>
      <c r="CI93" s="266" t="n"/>
      <c r="CJ93" s="266" t="n"/>
      <c r="CK93" s="266" t="n"/>
      <c r="CL93" s="266" t="n"/>
      <c r="CM93" s="266" t="n"/>
      <c r="CN93" s="266" t="n"/>
      <c r="CO93" s="266" t="n"/>
      <c r="CP93" s="266" t="n"/>
      <c r="CQ93" s="266" t="n"/>
      <c r="CR93" s="266" t="n"/>
      <c r="CS93" s="266" t="n"/>
      <c r="CT93" s="266" t="n"/>
      <c r="CU93" s="266" t="n"/>
      <c r="CV93" s="266" t="n"/>
      <c r="CW93" s="266" t="n"/>
      <c r="CX93" s="266" t="n"/>
      <c r="CY93" s="266" t="n"/>
    </row>
    <row r="94" hidden="1" outlineLevel="1" ht="12.75" customHeight="1" s="254">
      <c r="C94" s="310" t="inlineStr">
        <is>
          <t>Current portion of long-term debt</t>
        </is>
      </c>
      <c r="D94" s="266" t="n"/>
      <c r="E94" s="266" t="n"/>
      <c r="F94" s="266" t="n"/>
      <c r="G94" s="266" t="n"/>
      <c r="H94" s="266" t="n"/>
      <c r="I94" s="266" t="n"/>
      <c r="J94" s="266" t="n"/>
      <c r="K94" s="266" t="n"/>
      <c r="L94" s="266" t="n"/>
      <c r="M94" s="266" t="n"/>
      <c r="N94" s="266" t="n"/>
      <c r="O94" s="266" t="n"/>
      <c r="P94" s="266" t="n"/>
      <c r="Q94" s="266" t="n"/>
      <c r="R94" s="266" t="n"/>
      <c r="S94" s="266" t="n"/>
      <c r="T94" s="266" t="n"/>
      <c r="U94" s="266" t="n"/>
      <c r="V94" s="266" t="n"/>
      <c r="W94" s="266" t="n"/>
      <c r="X94" s="266" t="n"/>
      <c r="Y94" s="266" t="n"/>
      <c r="Z94" s="266" t="n"/>
      <c r="AA94" s="266" t="n"/>
      <c r="AB94" s="266" t="n"/>
      <c r="AC94" s="266" t="n"/>
      <c r="AD94" s="266" t="n"/>
      <c r="AE94" s="266" t="n"/>
      <c r="AF94" s="266" t="n"/>
      <c r="AG94" s="266" t="n"/>
      <c r="AH94" s="266" t="n"/>
      <c r="AI94" s="266" t="n"/>
      <c r="AJ94" s="266" t="n"/>
      <c r="AK94" s="266" t="n"/>
      <c r="AL94" s="266" t="n"/>
      <c r="AM94" s="266" t="n"/>
      <c r="AN94" s="266" t="n"/>
      <c r="AO94" s="266" t="n"/>
      <c r="AP94" s="266" t="n"/>
      <c r="AQ94" s="266" t="n"/>
      <c r="AR94" s="266" t="n"/>
      <c r="AS94" s="266" t="n"/>
      <c r="AT94" s="266" t="n"/>
      <c r="AU94" s="266" t="n"/>
      <c r="AV94" s="266" t="n"/>
      <c r="AW94" s="266" t="n"/>
      <c r="AX94" s="266" t="n"/>
      <c r="AY94" s="266" t="n"/>
      <c r="AZ94" s="266" t="n"/>
      <c r="BA94" s="266" t="n"/>
      <c r="BB94" s="266" t="n"/>
      <c r="BC94" s="266" t="n"/>
      <c r="BD94" s="266" t="n"/>
      <c r="BE94" s="266" t="n"/>
      <c r="BF94" s="266" t="n"/>
      <c r="BG94" s="266" t="n"/>
      <c r="BH94" s="266" t="n"/>
      <c r="BI94" s="266" t="n"/>
      <c r="BJ94" s="266" t="n"/>
      <c r="BK94" s="266" t="n"/>
      <c r="BL94" s="266" t="n"/>
      <c r="BM94" s="266" t="n"/>
      <c r="BN94" s="266" t="n"/>
      <c r="BO94" s="266" t="n"/>
      <c r="BP94" s="266" t="n"/>
      <c r="BQ94" s="266" t="n"/>
      <c r="BR94" s="266" t="n"/>
      <c r="BS94" s="266" t="n"/>
      <c r="BT94" s="266" t="n"/>
      <c r="BU94" s="266" t="n"/>
      <c r="BV94" s="266" t="n"/>
      <c r="BW94" s="266" t="n"/>
      <c r="BX94" s="266" t="n"/>
      <c r="BY94" s="266" t="n"/>
      <c r="BZ94" s="266" t="n"/>
      <c r="CA94" s="266" t="n"/>
      <c r="CB94" s="266" t="n"/>
      <c r="CC94" s="266" t="n"/>
      <c r="CD94" s="266" t="n"/>
      <c r="CE94" s="266" t="n"/>
      <c r="CF94" s="266" t="n"/>
      <c r="CG94" s="266" t="n"/>
      <c r="CH94" s="266" t="n"/>
      <c r="CI94" s="266" t="n"/>
      <c r="CJ94" s="266" t="n"/>
      <c r="CK94" s="266" t="n"/>
      <c r="CL94" s="266" t="n"/>
      <c r="CM94" s="266" t="n"/>
      <c r="CN94" s="266" t="n"/>
      <c r="CO94" s="266" t="n"/>
      <c r="CP94" s="266" t="n"/>
      <c r="CQ94" s="266" t="n"/>
      <c r="CR94" s="266" t="n"/>
      <c r="CS94" s="266" t="n"/>
      <c r="CT94" s="266" t="n"/>
      <c r="CU94" s="266" t="n"/>
      <c r="CV94" s="266" t="n"/>
      <c r="CW94" s="266" t="n"/>
      <c r="CX94" s="266" t="n"/>
      <c r="CY94" s="266" t="n"/>
    </row>
    <row r="95" hidden="1" outlineLevel="1" ht="12.75" customHeight="1" s="254">
      <c r="C95" s="310" t="inlineStr">
        <is>
          <t>Short term debt (Revolving credit facility)</t>
        </is>
      </c>
      <c r="D95" s="266" t="n"/>
      <c r="E95" s="266" t="n"/>
      <c r="F95" s="266" t="n"/>
      <c r="G95" s="266" t="n"/>
      <c r="H95" s="266" t="n"/>
      <c r="I95" s="266" t="n"/>
      <c r="J95" s="266" t="n"/>
      <c r="K95" s="266" t="n"/>
      <c r="L95" s="266" t="n"/>
      <c r="M95" s="266" t="n"/>
      <c r="N95" s="266" t="n"/>
      <c r="O95" s="266" t="n"/>
      <c r="P95" s="266" t="n"/>
      <c r="Q95" s="266" t="n"/>
      <c r="R95" s="266" t="n"/>
      <c r="S95" s="266" t="n"/>
      <c r="T95" s="266" t="n"/>
      <c r="U95" s="266" t="n"/>
      <c r="V95" s="266" t="n"/>
      <c r="W95" s="266" t="n"/>
      <c r="X95" s="266" t="n"/>
      <c r="Y95" s="266" t="n"/>
      <c r="Z95" s="266" t="n"/>
      <c r="AA95" s="266" t="n"/>
      <c r="AB95" s="266" t="n"/>
      <c r="AC95" s="266" t="n"/>
      <c r="AD95" s="266" t="n"/>
      <c r="AE95" s="266" t="n"/>
      <c r="AF95" s="266" t="n"/>
      <c r="AG95" s="266" t="n"/>
      <c r="AH95" s="266" t="n"/>
      <c r="AI95" s="266" t="n"/>
      <c r="AJ95" s="266" t="n"/>
      <c r="AK95" s="266" t="n"/>
      <c r="AL95" s="266" t="n"/>
      <c r="AM95" s="266" t="n"/>
      <c r="AN95" s="266" t="n"/>
      <c r="AO95" s="266" t="n"/>
      <c r="AP95" s="266" t="n"/>
      <c r="AQ95" s="266" t="n"/>
      <c r="AR95" s="266" t="n"/>
      <c r="AS95" s="266" t="n"/>
      <c r="AT95" s="266" t="n"/>
      <c r="AU95" s="266" t="n"/>
      <c r="AV95" s="266" t="n"/>
      <c r="AW95" s="266" t="n"/>
      <c r="AX95" s="266" t="n"/>
      <c r="AY95" s="266" t="n"/>
      <c r="AZ95" s="266" t="n"/>
      <c r="BA95" s="266" t="n"/>
      <c r="BB95" s="266" t="n"/>
      <c r="BC95" s="266" t="n"/>
      <c r="BD95" s="266" t="n"/>
      <c r="BE95" s="266" t="n"/>
      <c r="BF95" s="266" t="n"/>
      <c r="BG95" s="266" t="n"/>
      <c r="BH95" s="266" t="n"/>
      <c r="BI95" s="266" t="n"/>
      <c r="BJ95" s="266" t="n"/>
      <c r="BK95" s="266" t="n"/>
      <c r="BL95" s="266" t="n"/>
      <c r="BM95" s="266" t="n"/>
      <c r="BN95" s="266" t="n"/>
      <c r="BO95" s="266" t="n"/>
      <c r="BP95" s="266" t="n"/>
      <c r="BQ95" s="266" t="n"/>
      <c r="BR95" s="266" t="n"/>
      <c r="BS95" s="266" t="n"/>
      <c r="BT95" s="266" t="n"/>
      <c r="BU95" s="266" t="n"/>
      <c r="BV95" s="266" t="n"/>
      <c r="BW95" s="266" t="n"/>
      <c r="BX95" s="266" t="n"/>
      <c r="BY95" s="266" t="n"/>
      <c r="BZ95" s="266" t="n"/>
      <c r="CA95" s="266" t="n"/>
      <c r="CB95" s="266" t="n"/>
      <c r="CC95" s="266" t="n"/>
      <c r="CD95" s="266" t="n"/>
      <c r="CE95" s="266" t="n"/>
      <c r="CF95" s="266" t="n"/>
      <c r="CG95" s="266" t="n"/>
      <c r="CH95" s="266" t="n"/>
      <c r="CI95" s="266" t="n"/>
      <c r="CJ95" s="266" t="n"/>
      <c r="CK95" s="266" t="n"/>
      <c r="CL95" s="266" t="n"/>
      <c r="CM95" s="266" t="n"/>
      <c r="CN95" s="266" t="n"/>
      <c r="CO95" s="266" t="n"/>
      <c r="CP95" s="266" t="n"/>
      <c r="CQ95" s="266" t="n"/>
      <c r="CR95" s="266" t="n"/>
      <c r="CS95" s="266" t="n"/>
      <c r="CT95" s="266" t="n"/>
      <c r="CU95" s="266" t="n"/>
      <c r="CV95" s="266" t="n"/>
      <c r="CW95" s="266" t="n"/>
      <c r="CX95" s="266" t="n"/>
      <c r="CY95" s="266" t="n"/>
    </row>
    <row r="96" hidden="1" outlineLevel="1" ht="12.75" customHeight="1" s="254">
      <c r="C96" s="310" t="inlineStr">
        <is>
          <t>Long term debt</t>
        </is>
      </c>
      <c r="D96" s="266" t="n"/>
      <c r="E96" s="266" t="n"/>
      <c r="F96" s="266" t="n"/>
      <c r="G96" s="266" t="n"/>
      <c r="H96" s="266" t="n"/>
      <c r="I96" s="266" t="n"/>
      <c r="J96" s="266" t="n"/>
      <c r="K96" s="266" t="n"/>
      <c r="L96" s="266" t="n"/>
      <c r="M96" s="266" t="n"/>
      <c r="N96" s="266" t="n"/>
      <c r="O96" s="266" t="n"/>
      <c r="P96" s="266" t="n"/>
      <c r="Q96" s="266" t="n"/>
      <c r="R96" s="266" t="n"/>
      <c r="S96" s="266" t="n"/>
      <c r="T96" s="266" t="n"/>
      <c r="U96" s="266" t="n"/>
      <c r="V96" s="266" t="n"/>
      <c r="W96" s="266" t="n"/>
      <c r="X96" s="266" t="n"/>
      <c r="Y96" s="266" t="n"/>
      <c r="Z96" s="266" t="n"/>
      <c r="AA96" s="266" t="n"/>
      <c r="AB96" s="266" t="n"/>
      <c r="AC96" s="266" t="n"/>
      <c r="AD96" s="266" t="n"/>
      <c r="AE96" s="266" t="n"/>
      <c r="AF96" s="266" t="n"/>
      <c r="AG96" s="266" t="n"/>
      <c r="AH96" s="266" t="n"/>
      <c r="AI96" s="266" t="n"/>
      <c r="AJ96" s="266" t="n"/>
      <c r="AK96" s="266" t="n"/>
      <c r="AL96" s="266" t="n"/>
      <c r="AM96" s="266" t="n"/>
      <c r="AN96" s="266" t="n"/>
      <c r="AO96" s="266" t="n"/>
      <c r="AP96" s="266" t="n"/>
      <c r="AQ96" s="266" t="n"/>
      <c r="AR96" s="266" t="n"/>
      <c r="AS96" s="266" t="n"/>
      <c r="AT96" s="266" t="n"/>
      <c r="AU96" s="266" t="n"/>
      <c r="AV96" s="266" t="n"/>
      <c r="AW96" s="266" t="n"/>
      <c r="AX96" s="266" t="n"/>
      <c r="AY96" s="266" t="n"/>
      <c r="AZ96" s="266" t="n"/>
      <c r="BA96" s="266" t="n"/>
      <c r="BB96" s="266" t="n"/>
      <c r="BC96" s="266" t="n"/>
      <c r="BD96" s="266" t="n"/>
      <c r="BE96" s="266" t="n"/>
      <c r="BF96" s="266" t="n"/>
      <c r="BG96" s="266" t="n"/>
      <c r="BH96" s="266" t="n"/>
      <c r="BI96" s="266" t="n"/>
      <c r="BJ96" s="266" t="n"/>
      <c r="BK96" s="266" t="n"/>
      <c r="BL96" s="266" t="n"/>
      <c r="BM96" s="266" t="n"/>
      <c r="BN96" s="266" t="n"/>
      <c r="BO96" s="266" t="n"/>
      <c r="BP96" s="266" t="n"/>
      <c r="BQ96" s="266" t="n"/>
      <c r="BR96" s="266" t="n"/>
      <c r="BS96" s="266" t="n"/>
      <c r="BT96" s="266" t="n"/>
      <c r="BU96" s="266" t="n"/>
      <c r="BV96" s="266" t="n"/>
      <c r="BW96" s="266" t="n"/>
      <c r="BX96" s="266" t="n"/>
      <c r="BY96" s="266" t="n"/>
      <c r="BZ96" s="266" t="n"/>
      <c r="CA96" s="266" t="n"/>
      <c r="CB96" s="266" t="n"/>
      <c r="CC96" s="266" t="n"/>
      <c r="CD96" s="266" t="n"/>
      <c r="CE96" s="266" t="n"/>
      <c r="CF96" s="266" t="n"/>
      <c r="CG96" s="266" t="n"/>
      <c r="CH96" s="266" t="n"/>
      <c r="CI96" s="266" t="n"/>
      <c r="CJ96" s="266" t="n"/>
      <c r="CK96" s="266" t="n"/>
      <c r="CL96" s="266" t="n"/>
      <c r="CM96" s="266" t="n"/>
      <c r="CN96" s="266" t="n"/>
      <c r="CO96" s="266" t="n"/>
      <c r="CP96" s="266" t="n"/>
      <c r="CQ96" s="266" t="n"/>
      <c r="CR96" s="266" t="n"/>
      <c r="CS96" s="266" t="n"/>
      <c r="CT96" s="266" t="n"/>
      <c r="CU96" s="266" t="n"/>
      <c r="CV96" s="266" t="n"/>
      <c r="CW96" s="266" t="n"/>
      <c r="CX96" s="266" t="n"/>
      <c r="CY96" s="266" t="n"/>
    </row>
    <row r="97" hidden="1" outlineLevel="1" ht="12.75" customHeight="1" s="254">
      <c r="C97" s="310" t="inlineStr">
        <is>
          <t>Convertible debt</t>
        </is>
      </c>
      <c r="D97" s="266" t="n"/>
      <c r="E97" s="266" t="n"/>
      <c r="F97" s="266" t="n"/>
      <c r="G97" s="266" t="n"/>
      <c r="H97" s="266" t="n"/>
      <c r="I97" s="266" t="n"/>
      <c r="J97" s="266" t="n"/>
      <c r="K97" s="266" t="n"/>
      <c r="L97" s="266" t="n"/>
      <c r="M97" s="266" t="n"/>
      <c r="N97" s="266" t="n"/>
      <c r="O97" s="266" t="n"/>
      <c r="P97" s="266" t="n"/>
      <c r="Q97" s="266" t="n"/>
      <c r="R97" s="266" t="n"/>
      <c r="S97" s="266" t="n"/>
      <c r="T97" s="266" t="n"/>
      <c r="U97" s="266" t="n"/>
      <c r="V97" s="266" t="n"/>
      <c r="W97" s="266" t="n"/>
      <c r="X97" s="266" t="n"/>
      <c r="Y97" s="266" t="n"/>
      <c r="Z97" s="266" t="n"/>
      <c r="AA97" s="266" t="n"/>
      <c r="AB97" s="266" t="n"/>
      <c r="AC97" s="266" t="n"/>
      <c r="AD97" s="266" t="n"/>
      <c r="AE97" s="266" t="n"/>
      <c r="AF97" s="266" t="n"/>
      <c r="AG97" s="266" t="n"/>
      <c r="AH97" s="266" t="n"/>
      <c r="AI97" s="266" t="n"/>
      <c r="AJ97" s="266" t="n"/>
      <c r="AK97" s="266" t="n"/>
      <c r="AL97" s="266" t="n"/>
      <c r="AM97" s="266" t="n"/>
      <c r="AN97" s="266" t="n"/>
      <c r="AO97" s="266" t="n"/>
      <c r="AP97" s="266" t="n"/>
      <c r="AQ97" s="266" t="n"/>
      <c r="AR97" s="266" t="n"/>
      <c r="AS97" s="266" t="n"/>
      <c r="AT97" s="266" t="n"/>
      <c r="AU97" s="266" t="n"/>
      <c r="AV97" s="266" t="n"/>
      <c r="AW97" s="266" t="n"/>
      <c r="AX97" s="266" t="n"/>
      <c r="AY97" s="266" t="n"/>
      <c r="AZ97" s="266" t="n"/>
      <c r="BA97" s="266" t="n"/>
      <c r="BB97" s="266" t="n"/>
      <c r="BC97" s="266" t="n"/>
      <c r="BD97" s="266" t="n"/>
      <c r="BE97" s="266" t="n"/>
      <c r="BF97" s="266" t="n"/>
      <c r="BG97" s="266" t="n"/>
      <c r="BH97" s="266" t="n"/>
      <c r="BI97" s="266" t="n"/>
      <c r="BJ97" s="266" t="n"/>
      <c r="BK97" s="266" t="n"/>
      <c r="BL97" s="266" t="n"/>
      <c r="BM97" s="266" t="n"/>
      <c r="BN97" s="266" t="n"/>
      <c r="BO97" s="266" t="n"/>
      <c r="BP97" s="266" t="n"/>
      <c r="BQ97" s="266" t="n"/>
      <c r="BR97" s="266" t="n"/>
      <c r="BS97" s="266" t="n"/>
      <c r="BT97" s="266" t="n"/>
      <c r="BU97" s="266" t="n"/>
      <c r="BV97" s="266" t="n"/>
      <c r="BW97" s="266" t="n"/>
      <c r="BX97" s="266" t="n"/>
      <c r="BY97" s="266" t="n"/>
      <c r="BZ97" s="266" t="n"/>
      <c r="CA97" s="266" t="n"/>
      <c r="CB97" s="266" t="n"/>
      <c r="CC97" s="266" t="n"/>
      <c r="CD97" s="266" t="n"/>
      <c r="CE97" s="266" t="n"/>
      <c r="CF97" s="266" t="n"/>
      <c r="CG97" s="266" t="n"/>
      <c r="CH97" s="266" t="n"/>
      <c r="CI97" s="266" t="n"/>
      <c r="CJ97" s="266" t="n"/>
      <c r="CK97" s="266" t="n"/>
      <c r="CL97" s="266" t="n"/>
      <c r="CM97" s="266" t="n"/>
      <c r="CN97" s="266" t="n"/>
      <c r="CO97" s="266" t="n"/>
      <c r="CP97" s="266" t="n"/>
      <c r="CQ97" s="266" t="n"/>
      <c r="CR97" s="266" t="n"/>
      <c r="CS97" s="266" t="n"/>
      <c r="CT97" s="266" t="n"/>
      <c r="CU97" s="266" t="n"/>
      <c r="CV97" s="266" t="n"/>
      <c r="CW97" s="266" t="n"/>
      <c r="CX97" s="266" t="n"/>
      <c r="CY97" s="266" t="n"/>
    </row>
    <row r="98" hidden="1" outlineLevel="1" ht="12.75" customHeight="1" s="254">
      <c r="C98" s="310" t="inlineStr">
        <is>
          <t>Total debt</t>
        </is>
      </c>
      <c r="D98" s="266" t="n"/>
      <c r="E98" s="266" t="n"/>
      <c r="F98" s="266" t="n"/>
      <c r="G98" s="266" t="n"/>
      <c r="H98" s="266" t="n"/>
      <c r="I98" s="266" t="n"/>
      <c r="J98" s="266" t="n"/>
      <c r="K98" s="266" t="n"/>
      <c r="L98" s="266" t="n"/>
      <c r="M98" s="266" t="n"/>
      <c r="N98" s="266" t="n"/>
      <c r="O98" s="266" t="n"/>
      <c r="P98" s="266" t="n"/>
      <c r="Q98" s="266" t="n"/>
      <c r="R98" s="266" t="n"/>
      <c r="S98" s="266" t="n"/>
      <c r="T98" s="266" t="n"/>
      <c r="U98" s="266" t="n"/>
      <c r="V98" s="266" t="n"/>
      <c r="W98" s="266" t="n"/>
      <c r="X98" s="266" t="n"/>
      <c r="Y98" s="266" t="n"/>
      <c r="Z98" s="266" t="n"/>
      <c r="AA98" s="266" t="n"/>
      <c r="AB98" s="266" t="n"/>
      <c r="AC98" s="266" t="n"/>
      <c r="AD98" s="266" t="n"/>
      <c r="AE98" s="266" t="n"/>
      <c r="AF98" s="266" t="n"/>
      <c r="AG98" s="266" t="n"/>
      <c r="AH98" s="266" t="n"/>
      <c r="AI98" s="266" t="n"/>
      <c r="AJ98" s="266" t="n"/>
      <c r="AK98" s="266" t="n"/>
      <c r="AL98" s="266" t="n"/>
      <c r="AM98" s="266" t="n"/>
      <c r="AN98" s="266" t="n"/>
      <c r="AO98" s="266" t="n"/>
      <c r="AP98" s="266" t="n"/>
      <c r="AQ98" s="266" t="n"/>
      <c r="AR98" s="266" t="n"/>
      <c r="AS98" s="266" t="n"/>
      <c r="AT98" s="266" t="n"/>
      <c r="AU98" s="266" t="n"/>
      <c r="AV98" s="266" t="n"/>
      <c r="AW98" s="266" t="n"/>
      <c r="AX98" s="266" t="n"/>
      <c r="AY98" s="266" t="n"/>
      <c r="AZ98" s="266" t="n"/>
      <c r="BA98" s="266" t="n"/>
      <c r="BB98" s="266" t="n"/>
      <c r="BC98" s="266" t="n"/>
      <c r="BD98" s="266" t="n"/>
      <c r="BE98" s="266" t="n"/>
      <c r="BF98" s="266" t="n"/>
      <c r="BG98" s="266" t="n"/>
      <c r="BH98" s="266" t="n"/>
      <c r="BI98" s="266" t="n"/>
      <c r="BJ98" s="266" t="n"/>
      <c r="BK98" s="266" t="n"/>
      <c r="BL98" s="266" t="n"/>
      <c r="BM98" s="266" t="n"/>
      <c r="BN98" s="266" t="n"/>
      <c r="BO98" s="266" t="n"/>
      <c r="BP98" s="266" t="n"/>
      <c r="BQ98" s="266" t="n"/>
      <c r="BR98" s="266" t="n"/>
      <c r="BS98" s="266" t="n"/>
      <c r="BT98" s="266" t="n"/>
      <c r="BU98" s="266" t="n"/>
      <c r="BV98" s="266" t="n"/>
      <c r="BW98" s="266" t="n"/>
      <c r="BX98" s="266" t="n"/>
      <c r="BY98" s="266" t="n"/>
      <c r="BZ98" s="266" t="n"/>
      <c r="CA98" s="266" t="n"/>
      <c r="CB98" s="266" t="n"/>
      <c r="CC98" s="266" t="n"/>
      <c r="CD98" s="266" t="n"/>
      <c r="CE98" s="266" t="n"/>
      <c r="CF98" s="266" t="n"/>
      <c r="CG98" s="266" t="n"/>
      <c r="CH98" s="266" t="n"/>
      <c r="CI98" s="266" t="n"/>
      <c r="CJ98" s="266" t="n"/>
      <c r="CK98" s="266" t="n"/>
      <c r="CL98" s="266" t="n"/>
      <c r="CM98" s="266" t="n"/>
      <c r="CN98" s="266" t="n"/>
      <c r="CO98" s="266" t="n"/>
      <c r="CP98" s="266" t="n"/>
      <c r="CQ98" s="266" t="n"/>
      <c r="CR98" s="266" t="n"/>
      <c r="CS98" s="266" t="n"/>
      <c r="CT98" s="266" t="n"/>
      <c r="CU98" s="266" t="n"/>
      <c r="CV98" s="266" t="n"/>
      <c r="CW98" s="266" t="n"/>
      <c r="CX98" s="266" t="n"/>
      <c r="CY98" s="266" t="n"/>
    </row>
    <row r="99" hidden="1" outlineLevel="1" ht="12.75" customHeight="1" s="254">
      <c r="C99" s="310" t="inlineStr">
        <is>
          <t>Interest expense</t>
        </is>
      </c>
      <c r="D99" s="266" t="n"/>
      <c r="E99" s="266" t="n"/>
      <c r="F99" s="266" t="n"/>
      <c r="G99" s="266" t="n"/>
      <c r="H99" s="266" t="n"/>
      <c r="I99" s="266" t="n"/>
      <c r="J99" s="266" t="n"/>
      <c r="K99" s="266" t="n"/>
      <c r="L99" s="266" t="n"/>
      <c r="M99" s="266" t="n"/>
      <c r="N99" s="266" t="n"/>
      <c r="O99" s="266" t="n"/>
      <c r="P99" s="266" t="n"/>
      <c r="Q99" s="266" t="n"/>
      <c r="R99" s="266" t="n"/>
      <c r="S99" s="266" t="n"/>
      <c r="T99" s="266" t="n"/>
      <c r="U99" s="266" t="n"/>
      <c r="V99" s="266" t="n"/>
      <c r="W99" s="266" t="n"/>
      <c r="X99" s="266" t="n"/>
      <c r="Y99" s="266" t="n"/>
      <c r="Z99" s="266" t="n"/>
      <c r="AA99" s="266" t="n"/>
      <c r="AB99" s="266" t="n"/>
      <c r="AC99" s="266" t="n"/>
      <c r="AD99" s="266" t="n"/>
      <c r="AE99" s="266" t="n"/>
      <c r="AF99" s="266" t="n"/>
      <c r="AG99" s="266" t="n"/>
      <c r="AH99" s="266" t="n"/>
      <c r="AI99" s="266" t="n"/>
      <c r="AJ99" s="266" t="n"/>
      <c r="AK99" s="266" t="n"/>
      <c r="AL99" s="266" t="n"/>
      <c r="AM99" s="266" t="n"/>
      <c r="AN99" s="266" t="n"/>
      <c r="AO99" s="266" t="n"/>
      <c r="AP99" s="266" t="n"/>
      <c r="AQ99" s="266" t="n"/>
      <c r="AR99" s="266" t="n"/>
      <c r="AS99" s="266" t="n"/>
      <c r="AT99" s="266" t="n"/>
      <c r="AU99" s="266" t="n"/>
      <c r="AV99" s="266" t="n"/>
      <c r="AW99" s="266" t="n"/>
      <c r="AX99" s="266" t="n"/>
      <c r="AY99" s="266" t="n"/>
      <c r="AZ99" s="266" t="n"/>
      <c r="BA99" s="266" t="n"/>
      <c r="BB99" s="266" t="n"/>
      <c r="BC99" s="266" t="n"/>
      <c r="BD99" s="266" t="n"/>
      <c r="BE99" s="266" t="n"/>
      <c r="BF99" s="266" t="n"/>
      <c r="BG99" s="266" t="n"/>
      <c r="BH99" s="266" t="n"/>
      <c r="BI99" s="266" t="n"/>
      <c r="BJ99" s="266" t="n"/>
      <c r="BK99" s="266" t="n"/>
      <c r="BL99" s="266" t="n"/>
      <c r="BM99" s="266" t="n"/>
      <c r="BN99" s="266" t="n"/>
      <c r="BO99" s="266" t="n"/>
      <c r="BP99" s="266" t="n"/>
      <c r="BQ99" s="266" t="n"/>
      <c r="BR99" s="266" t="n"/>
      <c r="BS99" s="266" t="n"/>
      <c r="BT99" s="266" t="n"/>
      <c r="BU99" s="266" t="n"/>
      <c r="BV99" s="266" t="n"/>
      <c r="BW99" s="266" t="n"/>
      <c r="BX99" s="266" t="n"/>
      <c r="BY99" s="266" t="n"/>
      <c r="BZ99" s="266" t="n"/>
      <c r="CA99" s="266" t="n"/>
      <c r="CB99" s="266" t="n"/>
      <c r="CC99" s="266" t="n"/>
      <c r="CD99" s="266" t="n"/>
      <c r="CE99" s="266" t="n"/>
      <c r="CF99" s="266" t="n"/>
      <c r="CG99" s="266" t="n"/>
      <c r="CH99" s="266" t="n"/>
      <c r="CI99" s="266" t="n"/>
      <c r="CJ99" s="266" t="n"/>
      <c r="CK99" s="266" t="n"/>
      <c r="CL99" s="266" t="n"/>
      <c r="CM99" s="266" t="n"/>
      <c r="CN99" s="266" t="n"/>
      <c r="CO99" s="266" t="n"/>
      <c r="CP99" s="266" t="n"/>
      <c r="CQ99" s="266" t="n"/>
      <c r="CR99" s="266" t="n"/>
      <c r="CS99" s="266" t="n"/>
      <c r="CT99" s="266" t="n"/>
      <c r="CU99" s="266" t="n"/>
      <c r="CV99" s="266" t="n"/>
      <c r="CW99" s="266" t="n"/>
      <c r="CX99" s="266" t="n"/>
      <c r="CY99" s="266" t="n"/>
    </row>
    <row r="100" hidden="1" outlineLevel="1" ht="12.75" customHeight="1" s="254">
      <c r="C100" s="310" t="inlineStr">
        <is>
          <t>Average interest rate</t>
        </is>
      </c>
      <c r="D100" s="266" t="n"/>
      <c r="E100" s="266" t="n"/>
      <c r="F100" s="266" t="n"/>
      <c r="G100" s="266" t="n"/>
      <c r="H100" s="266" t="n"/>
      <c r="I100" s="266" t="n"/>
      <c r="J100" s="266" t="n"/>
      <c r="K100" s="266" t="n"/>
      <c r="L100" s="266" t="n"/>
      <c r="M100" s="266" t="n"/>
      <c r="N100" s="266" t="n"/>
      <c r="O100" s="266" t="n"/>
      <c r="P100" s="266" t="n"/>
      <c r="Q100" s="266" t="n"/>
      <c r="R100" s="266" t="n"/>
      <c r="S100" s="266" t="n"/>
      <c r="T100" s="266" t="n"/>
      <c r="U100" s="266" t="n"/>
      <c r="V100" s="266" t="n"/>
      <c r="W100" s="266" t="n"/>
      <c r="X100" s="266" t="n"/>
      <c r="Y100" s="266" t="n"/>
      <c r="Z100" s="266" t="n"/>
      <c r="AA100" s="266" t="n"/>
      <c r="AB100" s="266" t="n"/>
      <c r="AC100" s="266" t="n"/>
      <c r="AD100" s="266" t="n"/>
      <c r="AE100" s="266" t="n"/>
      <c r="AF100" s="266" t="n"/>
      <c r="AG100" s="266" t="n"/>
      <c r="AH100" s="266" t="n"/>
      <c r="AI100" s="266" t="n"/>
      <c r="AJ100" s="266" t="n"/>
      <c r="AK100" s="266" t="n"/>
      <c r="AL100" s="266" t="n"/>
      <c r="AM100" s="266" t="n"/>
      <c r="AN100" s="266" t="n"/>
      <c r="AO100" s="266" t="n"/>
      <c r="AP100" s="266" t="n"/>
      <c r="AQ100" s="266" t="n"/>
      <c r="AR100" s="266" t="n"/>
      <c r="AS100" s="266" t="n"/>
      <c r="AT100" s="266" t="n"/>
      <c r="AU100" s="266" t="n"/>
      <c r="AV100" s="266" t="n"/>
      <c r="AW100" s="266" t="n"/>
      <c r="AX100" s="266" t="n"/>
      <c r="AY100" s="266" t="n"/>
      <c r="AZ100" s="266" t="n"/>
      <c r="BA100" s="266" t="n"/>
      <c r="BB100" s="266" t="n"/>
      <c r="BC100" s="266" t="n"/>
      <c r="BD100" s="266" t="n"/>
      <c r="BE100" s="266" t="n"/>
      <c r="BF100" s="266" t="n"/>
      <c r="BG100" s="266" t="n"/>
      <c r="BH100" s="266" t="n"/>
      <c r="BI100" s="266" t="n"/>
      <c r="BJ100" s="266" t="n"/>
      <c r="BK100" s="266" t="n"/>
      <c r="BL100" s="266" t="n"/>
      <c r="BM100" s="266" t="n"/>
      <c r="BN100" s="266" t="n"/>
      <c r="BO100" s="266" t="n"/>
      <c r="BP100" s="266" t="n"/>
      <c r="BQ100" s="266" t="n"/>
      <c r="BR100" s="266" t="n"/>
      <c r="BS100" s="266" t="n"/>
      <c r="BT100" s="266" t="n"/>
      <c r="BU100" s="266" t="n"/>
      <c r="BV100" s="266" t="n"/>
      <c r="BW100" s="266" t="n"/>
      <c r="BX100" s="266" t="n"/>
      <c r="BY100" s="266" t="n"/>
      <c r="BZ100" s="266" t="n"/>
      <c r="CA100" s="266" t="n"/>
      <c r="CB100" s="266" t="n"/>
      <c r="CC100" s="266" t="n"/>
      <c r="CD100" s="266" t="n"/>
      <c r="CE100" s="266" t="n"/>
      <c r="CF100" s="266" t="n"/>
      <c r="CG100" s="266" t="n"/>
      <c r="CH100" s="266" t="n"/>
      <c r="CI100" s="266" t="n"/>
      <c r="CJ100" s="266" t="n"/>
      <c r="CK100" s="266" t="n"/>
      <c r="CL100" s="266" t="n"/>
      <c r="CM100" s="266" t="n"/>
      <c r="CN100" s="266" t="n"/>
      <c r="CO100" s="266" t="n"/>
      <c r="CP100" s="266" t="n"/>
      <c r="CQ100" s="266" t="n"/>
      <c r="CR100" s="266" t="n"/>
      <c r="CS100" s="266" t="n"/>
      <c r="CT100" s="266" t="n"/>
      <c r="CU100" s="266" t="n"/>
      <c r="CV100" s="266" t="n"/>
      <c r="CW100" s="266" t="n"/>
      <c r="CX100" s="266" t="n"/>
      <c r="CY100" s="266" t="n"/>
    </row>
    <row r="101" hidden="1" outlineLevel="1" ht="12.75" customHeight="1" s="254">
      <c r="C101" s="310" t="n"/>
      <c r="D101" s="266" t="n"/>
      <c r="E101" s="266" t="n"/>
      <c r="F101" s="266" t="n"/>
      <c r="G101" s="266" t="n"/>
      <c r="H101" s="266" t="n"/>
      <c r="I101" s="266" t="n"/>
      <c r="J101" s="266" t="n"/>
      <c r="K101" s="266" t="n"/>
      <c r="L101" s="266" t="n"/>
      <c r="M101" s="266" t="n"/>
      <c r="N101" s="266" t="n"/>
      <c r="O101" s="266" t="n"/>
      <c r="P101" s="266" t="n"/>
      <c r="Q101" s="266" t="n"/>
      <c r="R101" s="266" t="n"/>
      <c r="S101" s="266" t="n"/>
      <c r="T101" s="266" t="n"/>
      <c r="U101" s="266" t="n"/>
      <c r="V101" s="266" t="n"/>
      <c r="W101" s="266" t="n"/>
      <c r="X101" s="266" t="n"/>
      <c r="Y101" s="266" t="n"/>
      <c r="Z101" s="266" t="n"/>
      <c r="AA101" s="266" t="n"/>
      <c r="AB101" s="266" t="n"/>
      <c r="AC101" s="266" t="n"/>
      <c r="AD101" s="266" t="n"/>
      <c r="AE101" s="266" t="n"/>
      <c r="AF101" s="266" t="n"/>
      <c r="AG101" s="266" t="n"/>
      <c r="AH101" s="266" t="n"/>
      <c r="AI101" s="266" t="n"/>
      <c r="AJ101" s="266" t="n"/>
      <c r="AK101" s="266" t="n"/>
      <c r="AL101" s="266" t="n"/>
      <c r="AM101" s="266" t="n"/>
      <c r="AN101" s="266" t="n"/>
      <c r="AO101" s="266" t="n"/>
      <c r="AP101" s="266" t="n"/>
      <c r="AQ101" s="266" t="n"/>
      <c r="AR101" s="266" t="n"/>
      <c r="AS101" s="266" t="n"/>
      <c r="AT101" s="266" t="n"/>
      <c r="AU101" s="266" t="n"/>
      <c r="AV101" s="266" t="n"/>
      <c r="AW101" s="266" t="n"/>
      <c r="AX101" s="266" t="n"/>
      <c r="AY101" s="266" t="n"/>
      <c r="AZ101" s="266" t="n"/>
      <c r="BA101" s="266" t="n"/>
      <c r="BB101" s="266" t="n"/>
      <c r="BC101" s="266" t="n"/>
      <c r="BD101" s="266" t="n"/>
      <c r="BE101" s="266" t="n"/>
      <c r="BF101" s="266" t="n"/>
      <c r="BG101" s="266" t="n"/>
      <c r="BH101" s="266" t="n"/>
      <c r="BI101" s="266" t="n"/>
      <c r="BJ101" s="266" t="n"/>
      <c r="BK101" s="266" t="n"/>
      <c r="BL101" s="266" t="n"/>
      <c r="BM101" s="266" t="n"/>
      <c r="BN101" s="266" t="n"/>
      <c r="BO101" s="266" t="n"/>
      <c r="BP101" s="266" t="n"/>
      <c r="BQ101" s="266" t="n"/>
      <c r="BR101" s="266" t="n"/>
      <c r="BS101" s="266" t="n"/>
      <c r="BT101" s="266" t="n"/>
      <c r="BU101" s="266" t="n"/>
      <c r="BV101" s="266" t="n"/>
      <c r="BW101" s="266" t="n"/>
      <c r="BX101" s="266" t="n"/>
      <c r="BY101" s="266" t="n"/>
      <c r="BZ101" s="266" t="n"/>
      <c r="CA101" s="266" t="n"/>
      <c r="CB101" s="266" t="n"/>
      <c r="CC101" s="266" t="n"/>
      <c r="CD101" s="266" t="n"/>
      <c r="CE101" s="266" t="n"/>
      <c r="CF101" s="266" t="n"/>
      <c r="CG101" s="266" t="n"/>
      <c r="CH101" s="266" t="n"/>
      <c r="CI101" s="266" t="n"/>
      <c r="CJ101" s="266" t="n"/>
      <c r="CK101" s="266" t="n"/>
      <c r="CL101" s="266" t="n"/>
      <c r="CM101" s="266" t="n"/>
      <c r="CN101" s="266" t="n"/>
      <c r="CO101" s="266" t="n"/>
      <c r="CP101" s="266" t="n"/>
      <c r="CQ101" s="266" t="n"/>
      <c r="CR101" s="266" t="n"/>
      <c r="CS101" s="266" t="n"/>
      <c r="CT101" s="266" t="n"/>
      <c r="CU101" s="266" t="n"/>
      <c r="CV101" s="266" t="n"/>
      <c r="CW101" s="266" t="n"/>
      <c r="CX101" s="266" t="n"/>
      <c r="CY101" s="266" t="n"/>
    </row>
    <row r="102" hidden="1" outlineLevel="1" ht="12.75" customHeight="1" s="254">
      <c r="C102" s="310" t="inlineStr">
        <is>
          <t>Stake</t>
        </is>
      </c>
      <c r="D102" s="266" t="n"/>
      <c r="E102" s="266" t="n"/>
      <c r="F102" s="266" t="n"/>
      <c r="G102" s="266" t="n"/>
      <c r="H102" s="266" t="n"/>
      <c r="I102" s="266" t="n"/>
      <c r="J102" s="266" t="n"/>
      <c r="K102" s="266" t="n"/>
      <c r="L102" s="266" t="n"/>
      <c r="M102" s="266" t="n"/>
      <c r="N102" s="266" t="n"/>
      <c r="O102" s="266" t="n"/>
      <c r="P102" s="266" t="n"/>
      <c r="Q102" s="266" t="n"/>
      <c r="R102" s="266" t="n"/>
      <c r="S102" s="266" t="n"/>
      <c r="T102" s="266" t="n"/>
      <c r="U102" s="266" t="n"/>
      <c r="V102" s="266" t="n"/>
      <c r="W102" s="266" t="n"/>
      <c r="X102" s="266" t="n"/>
      <c r="Y102" s="266" t="n"/>
      <c r="Z102" s="266" t="n"/>
      <c r="AA102" s="266" t="n"/>
      <c r="AB102" s="266" t="n"/>
      <c r="AC102" s="266" t="n"/>
      <c r="AD102" s="266" t="n"/>
      <c r="AE102" s="266" t="n"/>
      <c r="AF102" s="266" t="n"/>
      <c r="AG102" s="266" t="n"/>
      <c r="AH102" s="266" t="n"/>
      <c r="AI102" s="266" t="n"/>
      <c r="AJ102" s="266" t="n"/>
      <c r="AK102" s="266" t="n"/>
      <c r="AL102" s="266" t="n"/>
      <c r="AM102" s="266" t="n"/>
      <c r="AN102" s="266" t="n"/>
      <c r="AO102" s="266" t="n"/>
      <c r="AP102" s="266" t="n"/>
      <c r="AQ102" s="266" t="n"/>
      <c r="AR102" s="266" t="n"/>
      <c r="AS102" s="266" t="n"/>
      <c r="AT102" s="266" t="n"/>
      <c r="AU102" s="266" t="n"/>
      <c r="AV102" s="266" t="n"/>
      <c r="AW102" s="266" t="n"/>
      <c r="AX102" s="266" t="n"/>
      <c r="AY102" s="266" t="n"/>
      <c r="AZ102" s="266" t="n"/>
      <c r="BA102" s="266" t="n"/>
      <c r="BB102" s="266" t="n"/>
      <c r="BC102" s="266" t="n"/>
      <c r="BD102" s="266" t="n"/>
      <c r="BE102" s="266" t="n"/>
      <c r="BF102" s="266" t="n"/>
      <c r="BG102" s="266" t="n"/>
      <c r="BH102" s="266" t="n"/>
      <c r="BI102" s="266" t="n"/>
      <c r="BJ102" s="266" t="n"/>
      <c r="BK102" s="266" t="n"/>
      <c r="BL102" s="266" t="n"/>
      <c r="BM102" s="266" t="n"/>
      <c r="BN102" s="266" t="n"/>
      <c r="BO102" s="266" t="n"/>
      <c r="BP102" s="266" t="n"/>
      <c r="BQ102" s="266" t="n"/>
      <c r="BR102" s="266" t="n"/>
      <c r="BS102" s="266" t="n"/>
      <c r="BT102" s="266" t="n"/>
      <c r="BU102" s="266" t="n"/>
      <c r="BV102" s="266" t="n"/>
      <c r="BW102" s="266" t="n"/>
      <c r="BX102" s="266" t="n"/>
      <c r="BY102" s="266" t="n"/>
      <c r="BZ102" s="266" t="n"/>
      <c r="CA102" s="266" t="n"/>
      <c r="CB102" s="266" t="n"/>
      <c r="CC102" s="266" t="n"/>
      <c r="CD102" s="266" t="n"/>
      <c r="CE102" s="266" t="n"/>
      <c r="CF102" s="266" t="n"/>
      <c r="CG102" s="266" t="n"/>
      <c r="CH102" s="266" t="n"/>
      <c r="CI102" s="266" t="n"/>
      <c r="CJ102" s="266" t="n"/>
      <c r="CK102" s="266" t="n"/>
      <c r="CL102" s="266" t="n"/>
      <c r="CM102" s="266" t="n"/>
      <c r="CN102" s="266" t="n"/>
      <c r="CO102" s="266" t="n"/>
      <c r="CP102" s="266" t="n"/>
      <c r="CQ102" s="266" t="n"/>
      <c r="CR102" s="266" t="n"/>
      <c r="CS102" s="266" t="n"/>
      <c r="CT102" s="266" t="n"/>
      <c r="CU102" s="266" t="n"/>
      <c r="CV102" s="266" t="n"/>
      <c r="CW102" s="266" t="n"/>
      <c r="CX102" s="266" t="n"/>
      <c r="CY102" s="266" t="n"/>
    </row>
    <row r="103" hidden="1" outlineLevel="1" ht="12.75" customHeight="1" s="254">
      <c r="C103" s="310" t="inlineStr">
        <is>
          <t>PRE</t>
        </is>
      </c>
      <c r="D103" s="266" t="n"/>
      <c r="E103" s="266" t="n"/>
      <c r="F103" s="266" t="n"/>
      <c r="G103" s="266" t="n"/>
      <c r="H103" s="266" t="n"/>
      <c r="I103" s="266" t="n"/>
      <c r="J103" s="266" t="n"/>
      <c r="K103" s="266" t="n"/>
      <c r="L103" s="266" t="n"/>
      <c r="M103" s="266" t="n"/>
      <c r="N103" s="266" t="n"/>
      <c r="O103" s="266" t="n"/>
      <c r="P103" s="266" t="n"/>
      <c r="Q103" s="266" t="n"/>
      <c r="R103" s="266" t="n"/>
      <c r="S103" s="266" t="n"/>
      <c r="T103" s="266" t="n"/>
      <c r="U103" s="266" t="n"/>
      <c r="V103" s="266" t="n"/>
      <c r="W103" s="266" t="n"/>
      <c r="X103" s="266" t="n"/>
      <c r="Y103" s="266" t="n"/>
      <c r="Z103" s="266" t="n"/>
      <c r="AA103" s="266" t="n"/>
      <c r="AB103" s="266" t="n"/>
      <c r="AC103" s="266" t="n"/>
      <c r="AD103" s="266" t="n"/>
      <c r="AE103" s="266" t="n"/>
      <c r="AF103" s="266" t="n"/>
      <c r="AG103" s="266" t="n"/>
      <c r="AH103" s="266" t="n"/>
      <c r="AI103" s="266" t="n"/>
      <c r="AJ103" s="266" t="n"/>
      <c r="AK103" s="266" t="n"/>
      <c r="AL103" s="266" t="n"/>
      <c r="AM103" s="266" t="n"/>
      <c r="AN103" s="266" t="n"/>
      <c r="AO103" s="266" t="n"/>
      <c r="AP103" s="266" t="n"/>
      <c r="AQ103" s="266" t="n"/>
      <c r="AR103" s="266" t="n"/>
      <c r="AS103" s="266" t="n"/>
      <c r="AT103" s="266" t="n"/>
      <c r="AU103" s="266" t="n"/>
      <c r="AV103" s="266" t="n"/>
      <c r="AW103" s="266" t="n"/>
      <c r="AX103" s="266" t="n"/>
      <c r="AY103" s="266" t="n"/>
      <c r="AZ103" s="266" t="n"/>
      <c r="BA103" s="266" t="n"/>
      <c r="BB103" s="266" t="n"/>
      <c r="BC103" s="266" t="n"/>
      <c r="BD103" s="266" t="n"/>
      <c r="BE103" s="266" t="n"/>
      <c r="BF103" s="266" t="n"/>
      <c r="BG103" s="266" t="n"/>
      <c r="BH103" s="266" t="n"/>
      <c r="BI103" s="266" t="n"/>
      <c r="BJ103" s="266" t="n"/>
      <c r="BK103" s="266" t="n"/>
      <c r="BL103" s="266" t="n"/>
      <c r="BM103" s="266" t="n"/>
      <c r="BN103" s="266" t="n"/>
      <c r="BO103" s="266" t="n"/>
      <c r="BP103" s="266" t="n"/>
      <c r="BQ103" s="266" t="n"/>
      <c r="BR103" s="266" t="n"/>
      <c r="BS103" s="266" t="n"/>
      <c r="BT103" s="266" t="n"/>
      <c r="BU103" s="266" t="n"/>
      <c r="BV103" s="266" t="n"/>
      <c r="BW103" s="266" t="n"/>
      <c r="BX103" s="266" t="n"/>
      <c r="BY103" s="266" t="n"/>
      <c r="BZ103" s="266" t="n"/>
      <c r="CA103" s="266" t="n"/>
      <c r="CB103" s="266" t="n"/>
      <c r="CC103" s="266" t="n"/>
      <c r="CD103" s="266" t="n"/>
      <c r="CE103" s="266" t="n"/>
      <c r="CF103" s="266" t="n"/>
      <c r="CG103" s="266" t="n"/>
      <c r="CH103" s="266" t="n"/>
      <c r="CI103" s="266" t="n"/>
      <c r="CJ103" s="266" t="n"/>
      <c r="CK103" s="266" t="n"/>
      <c r="CL103" s="266" t="n"/>
      <c r="CM103" s="266" t="n"/>
      <c r="CN103" s="266" t="n"/>
      <c r="CO103" s="266" t="n"/>
      <c r="CP103" s="266" t="n"/>
      <c r="CQ103" s="266" t="n"/>
      <c r="CR103" s="266" t="n"/>
      <c r="CS103" s="266" t="n"/>
      <c r="CT103" s="266" t="n"/>
      <c r="CU103" s="266" t="n"/>
      <c r="CV103" s="266" t="n"/>
      <c r="CW103" s="266" t="n"/>
      <c r="CX103" s="266" t="n"/>
      <c r="CY103" s="266" t="n"/>
    </row>
    <row r="104" hidden="1" outlineLevel="1" ht="12.75" customHeight="1" s="254">
      <c r="C104" s="310" t="inlineStr">
        <is>
          <t>CDI+</t>
        </is>
      </c>
      <c r="D104" s="266" t="n"/>
      <c r="E104" s="266" t="n"/>
      <c r="F104" s="266" t="n"/>
      <c r="G104" s="266" t="n"/>
      <c r="H104" s="266" t="n"/>
      <c r="I104" s="266" t="n"/>
      <c r="J104" s="266" t="n"/>
      <c r="K104" s="266" t="n"/>
      <c r="L104" s="266" t="n"/>
      <c r="M104" s="266" t="n"/>
      <c r="N104" s="266" t="n"/>
      <c r="O104" s="266" t="n"/>
      <c r="P104" s="266" t="n"/>
      <c r="Q104" s="266" t="n"/>
      <c r="R104" s="266" t="n"/>
      <c r="S104" s="266" t="n"/>
      <c r="T104" s="266" t="n"/>
      <c r="U104" s="266" t="n"/>
      <c r="V104" s="266" t="n"/>
      <c r="W104" s="266" t="n"/>
      <c r="X104" s="266" t="n"/>
      <c r="Y104" s="266" t="n"/>
      <c r="Z104" s="266" t="n"/>
      <c r="AA104" s="266" t="n"/>
      <c r="AB104" s="266" t="n"/>
      <c r="AC104" s="266" t="n"/>
      <c r="AD104" s="266" t="n"/>
      <c r="AE104" s="266" t="n"/>
      <c r="AF104" s="266" t="n"/>
      <c r="AG104" s="266" t="n"/>
      <c r="AH104" s="266" t="n"/>
      <c r="AI104" s="266" t="n"/>
      <c r="AJ104" s="266" t="n"/>
      <c r="AK104" s="266" t="n"/>
      <c r="AL104" s="266" t="n"/>
      <c r="AM104" s="266" t="n"/>
      <c r="AN104" s="266" t="n"/>
      <c r="AO104" s="266" t="n"/>
      <c r="AP104" s="266" t="n"/>
      <c r="AQ104" s="266" t="n"/>
      <c r="AR104" s="266" t="n"/>
      <c r="AS104" s="266" t="n"/>
      <c r="AT104" s="266" t="n"/>
      <c r="AU104" s="266" t="n"/>
      <c r="AV104" s="266" t="n"/>
      <c r="AW104" s="266" t="n"/>
      <c r="AX104" s="266" t="n"/>
      <c r="AY104" s="266" t="n"/>
      <c r="AZ104" s="266" t="n"/>
      <c r="BA104" s="266" t="n"/>
      <c r="BB104" s="266" t="n"/>
      <c r="BC104" s="266" t="n"/>
      <c r="BD104" s="266" t="n"/>
      <c r="BE104" s="266" t="n"/>
      <c r="BF104" s="266" t="n"/>
      <c r="BG104" s="266" t="n"/>
      <c r="BH104" s="266" t="n"/>
      <c r="BI104" s="266" t="n"/>
      <c r="BJ104" s="266" t="n"/>
      <c r="BK104" s="266" t="n"/>
      <c r="BL104" s="266" t="n"/>
      <c r="BM104" s="266" t="n"/>
      <c r="BN104" s="266" t="n"/>
      <c r="BO104" s="266" t="n"/>
      <c r="BP104" s="266" t="n"/>
      <c r="BQ104" s="266" t="n"/>
      <c r="BR104" s="266" t="n"/>
      <c r="BS104" s="266" t="n"/>
      <c r="BT104" s="266" t="n"/>
      <c r="BU104" s="266" t="n"/>
      <c r="BV104" s="266" t="n"/>
      <c r="BW104" s="266" t="n"/>
      <c r="BX104" s="266" t="n"/>
      <c r="BY104" s="266" t="n"/>
      <c r="BZ104" s="266" t="n"/>
      <c r="CA104" s="266" t="n"/>
      <c r="CB104" s="266" t="n"/>
      <c r="CC104" s="266" t="n"/>
      <c r="CD104" s="266" t="n"/>
      <c r="CE104" s="266" t="n"/>
      <c r="CF104" s="266" t="n"/>
      <c r="CG104" s="266" t="n"/>
      <c r="CH104" s="266" t="n"/>
      <c r="CI104" s="266" t="n"/>
      <c r="CJ104" s="266" t="n"/>
      <c r="CK104" s="266" t="n"/>
      <c r="CL104" s="266" t="n"/>
      <c r="CM104" s="266" t="n"/>
      <c r="CN104" s="266" t="n"/>
      <c r="CO104" s="266" t="n"/>
      <c r="CP104" s="266" t="n"/>
      <c r="CQ104" s="266" t="n"/>
      <c r="CR104" s="266" t="n"/>
      <c r="CS104" s="266" t="n"/>
      <c r="CT104" s="266" t="n"/>
      <c r="CU104" s="266" t="n"/>
      <c r="CV104" s="266" t="n"/>
      <c r="CW104" s="266" t="n"/>
      <c r="CX104" s="266" t="n"/>
      <c r="CY104" s="266" t="n"/>
    </row>
    <row r="105" hidden="1" outlineLevel="1" ht="12.75" customHeight="1" s="254">
      <c r="C105" s="310" t="n"/>
      <c r="D105" s="266" t="n"/>
      <c r="E105" s="266" t="n"/>
      <c r="F105" s="266" t="n"/>
      <c r="G105" s="266" t="n"/>
      <c r="H105" s="266" t="n"/>
      <c r="I105" s="266" t="n"/>
      <c r="J105" s="266" t="n"/>
      <c r="K105" s="266" t="n"/>
      <c r="L105" s="266" t="n"/>
      <c r="M105" s="266" t="n"/>
      <c r="N105" s="266" t="n"/>
      <c r="O105" s="266" t="n"/>
      <c r="P105" s="266" t="n"/>
      <c r="Q105" s="266" t="n"/>
      <c r="R105" s="266" t="n"/>
      <c r="S105" s="266" t="n"/>
      <c r="T105" s="266" t="n"/>
      <c r="U105" s="266" t="n"/>
      <c r="V105" s="266" t="n"/>
      <c r="W105" s="266" t="n"/>
      <c r="X105" s="266" t="n"/>
      <c r="Y105" s="266" t="n"/>
      <c r="Z105" s="266" t="n"/>
      <c r="AA105" s="266" t="n"/>
      <c r="AB105" s="266" t="n"/>
      <c r="AC105" s="266" t="n"/>
      <c r="AD105" s="266" t="n"/>
      <c r="AE105" s="266" t="n"/>
      <c r="AF105" s="266" t="n"/>
      <c r="AG105" s="266" t="n"/>
      <c r="AH105" s="266" t="n"/>
      <c r="AI105" s="266" t="n"/>
      <c r="AJ105" s="266" t="n"/>
      <c r="AK105" s="266" t="n"/>
      <c r="AL105" s="266" t="n"/>
      <c r="AM105" s="266" t="n"/>
      <c r="AN105" s="266" t="n"/>
      <c r="AO105" s="266" t="n"/>
      <c r="AP105" s="266" t="n"/>
      <c r="AQ105" s="266" t="n"/>
      <c r="AR105" s="266" t="n"/>
      <c r="AS105" s="266" t="n"/>
      <c r="AT105" s="266" t="n"/>
      <c r="AU105" s="266" t="n"/>
      <c r="AV105" s="266" t="n"/>
      <c r="AW105" s="266" t="n"/>
      <c r="AX105" s="266" t="n"/>
      <c r="AY105" s="266" t="n"/>
      <c r="AZ105" s="266" t="n"/>
      <c r="BA105" s="266" t="n"/>
      <c r="BB105" s="266" t="n"/>
      <c r="BC105" s="266" t="n"/>
      <c r="BD105" s="266" t="n"/>
      <c r="BE105" s="266" t="n"/>
      <c r="BF105" s="266" t="n"/>
      <c r="BG105" s="266" t="n"/>
      <c r="BH105" s="266" t="n"/>
      <c r="BI105" s="266" t="n"/>
      <c r="BJ105" s="266" t="n"/>
      <c r="BK105" s="266" t="n"/>
      <c r="BL105" s="266" t="n"/>
      <c r="BM105" s="266" t="n"/>
      <c r="BN105" s="266" t="n"/>
      <c r="BO105" s="266" t="n"/>
      <c r="BP105" s="266" t="n"/>
      <c r="BQ105" s="266" t="n"/>
      <c r="BR105" s="266" t="n"/>
      <c r="BS105" s="266" t="n"/>
      <c r="BT105" s="266" t="n"/>
      <c r="BU105" s="266" t="n"/>
      <c r="BV105" s="266" t="n"/>
      <c r="BW105" s="266" t="n"/>
      <c r="BX105" s="266" t="n"/>
      <c r="BY105" s="266" t="n"/>
      <c r="BZ105" s="266" t="n"/>
      <c r="CA105" s="266" t="n"/>
      <c r="CB105" s="266" t="n"/>
      <c r="CC105" s="266" t="n"/>
      <c r="CD105" s="266" t="n"/>
      <c r="CE105" s="266" t="n"/>
      <c r="CF105" s="266" t="n"/>
      <c r="CG105" s="266" t="n"/>
      <c r="CH105" s="266" t="n"/>
      <c r="CI105" s="266" t="n"/>
      <c r="CJ105" s="266" t="n"/>
      <c r="CK105" s="266" t="n"/>
      <c r="CL105" s="266" t="n"/>
      <c r="CM105" s="266" t="n"/>
      <c r="CN105" s="266" t="n"/>
      <c r="CO105" s="266" t="n"/>
      <c r="CP105" s="266" t="n"/>
      <c r="CQ105" s="266" t="n"/>
      <c r="CR105" s="266" t="n"/>
      <c r="CS105" s="266" t="n"/>
      <c r="CT105" s="266" t="n"/>
      <c r="CU105" s="266" t="n"/>
      <c r="CV105" s="266" t="n"/>
      <c r="CW105" s="266" t="n"/>
      <c r="CX105" s="266" t="n"/>
      <c r="CY105" s="266" t="n"/>
    </row>
    <row r="106" hidden="1" outlineLevel="1" ht="12.75" customHeight="1" s="254">
      <c r="C106" s="310" t="inlineStr">
        <is>
          <t>Spread</t>
        </is>
      </c>
      <c r="D106" s="266" t="n"/>
      <c r="E106" s="266" t="n"/>
      <c r="F106" s="266" t="n"/>
      <c r="G106" s="266" t="n"/>
      <c r="H106" s="266" t="n"/>
      <c r="I106" s="266" t="n"/>
      <c r="J106" s="266" t="n"/>
      <c r="K106" s="266" t="n"/>
      <c r="L106" s="266" t="n"/>
      <c r="M106" s="266" t="n"/>
      <c r="N106" s="266" t="n"/>
      <c r="O106" s="266" t="n"/>
      <c r="P106" s="266" t="n"/>
      <c r="Q106" s="266" t="n"/>
      <c r="R106" s="266" t="n"/>
      <c r="S106" s="266" t="n"/>
      <c r="T106" s="266" t="n"/>
      <c r="U106" s="266" t="n"/>
      <c r="V106" s="266" t="n"/>
      <c r="W106" s="266" t="n"/>
      <c r="X106" s="266" t="n"/>
      <c r="Y106" s="266" t="n"/>
      <c r="Z106" s="266" t="n"/>
      <c r="AA106" s="266" t="n"/>
      <c r="AB106" s="266" t="n"/>
      <c r="AC106" s="266" t="n"/>
      <c r="AD106" s="266" t="n"/>
      <c r="AE106" s="266" t="n"/>
      <c r="AF106" s="266" t="n"/>
      <c r="AG106" s="266" t="n"/>
      <c r="AH106" s="266" t="n"/>
      <c r="AI106" s="266" t="n"/>
      <c r="AJ106" s="266" t="n"/>
      <c r="AK106" s="266" t="n"/>
      <c r="AL106" s="266" t="n"/>
      <c r="AM106" s="266" t="n"/>
      <c r="AN106" s="266" t="n"/>
      <c r="AO106" s="266" t="n"/>
      <c r="AP106" s="266" t="n"/>
      <c r="AQ106" s="266" t="n"/>
      <c r="AR106" s="266" t="n"/>
      <c r="AS106" s="266" t="n"/>
      <c r="AT106" s="266" t="n"/>
      <c r="AU106" s="266" t="n"/>
      <c r="AV106" s="266" t="n"/>
      <c r="AW106" s="266" t="n"/>
      <c r="AX106" s="266" t="n"/>
      <c r="AY106" s="266" t="n"/>
      <c r="AZ106" s="266" t="n"/>
      <c r="BA106" s="266" t="n"/>
      <c r="BB106" s="266" t="n"/>
      <c r="BC106" s="266" t="n"/>
      <c r="BD106" s="266" t="n"/>
      <c r="BE106" s="266" t="n"/>
      <c r="BF106" s="266" t="n"/>
      <c r="BG106" s="266" t="n"/>
      <c r="BH106" s="266" t="n"/>
      <c r="BI106" s="266" t="n"/>
      <c r="BJ106" s="266" t="n"/>
      <c r="BK106" s="266" t="n"/>
      <c r="BL106" s="266" t="n"/>
      <c r="BM106" s="266" t="n"/>
      <c r="BN106" s="266" t="n"/>
      <c r="BO106" s="266" t="n"/>
      <c r="BP106" s="266" t="n"/>
      <c r="BQ106" s="266" t="n"/>
      <c r="BR106" s="266" t="n"/>
      <c r="BS106" s="266" t="n"/>
      <c r="BT106" s="266" t="n"/>
      <c r="BU106" s="266" t="n"/>
      <c r="BV106" s="266" t="n"/>
      <c r="BW106" s="266" t="n"/>
      <c r="BX106" s="266" t="n"/>
      <c r="BY106" s="266" t="n"/>
      <c r="BZ106" s="266" t="n"/>
      <c r="CA106" s="266" t="n"/>
      <c r="CB106" s="266" t="n"/>
      <c r="CC106" s="266" t="n"/>
      <c r="CD106" s="266" t="n"/>
      <c r="CE106" s="266" t="n"/>
      <c r="CF106" s="266" t="n"/>
      <c r="CG106" s="266" t="n"/>
      <c r="CH106" s="266" t="n"/>
      <c r="CI106" s="266" t="n"/>
      <c r="CJ106" s="266" t="n"/>
      <c r="CK106" s="266" t="n"/>
      <c r="CL106" s="266" t="n"/>
      <c r="CM106" s="266" t="n"/>
      <c r="CN106" s="266" t="n"/>
      <c r="CO106" s="266" t="n"/>
      <c r="CP106" s="266" t="n"/>
      <c r="CQ106" s="266" t="n"/>
      <c r="CR106" s="266" t="n"/>
      <c r="CS106" s="266" t="n"/>
      <c r="CT106" s="266" t="n"/>
      <c r="CU106" s="266" t="n"/>
      <c r="CV106" s="266" t="n"/>
      <c r="CW106" s="266" t="n"/>
      <c r="CX106" s="266" t="n"/>
      <c r="CY106" s="266" t="n"/>
    </row>
    <row r="107" hidden="1" outlineLevel="1" ht="12.75" customHeight="1" s="254">
      <c r="C107" s="310" t="inlineStr">
        <is>
          <t>PRE</t>
        </is>
      </c>
      <c r="D107" s="266" t="n"/>
      <c r="E107" s="266" t="n"/>
      <c r="F107" s="266" t="n"/>
      <c r="G107" s="266" t="n"/>
      <c r="H107" s="266" t="n"/>
      <c r="I107" s="266" t="n"/>
      <c r="J107" s="266" t="n"/>
      <c r="K107" s="266" t="n"/>
      <c r="L107" s="266" t="n"/>
      <c r="M107" s="266" t="n"/>
      <c r="N107" s="266" t="n"/>
      <c r="O107" s="266" t="n"/>
      <c r="P107" s="266" t="n"/>
      <c r="Q107" s="266" t="n"/>
      <c r="R107" s="266" t="n"/>
      <c r="S107" s="266" t="n"/>
      <c r="T107" s="266" t="n"/>
      <c r="U107" s="266" t="n"/>
      <c r="V107" s="266" t="n"/>
      <c r="W107" s="266" t="n"/>
      <c r="X107" s="266" t="n"/>
      <c r="Y107" s="266" t="n"/>
      <c r="Z107" s="266" t="n"/>
      <c r="AA107" s="266" t="n"/>
      <c r="AB107" s="266" t="n"/>
      <c r="AC107" s="266" t="n"/>
      <c r="AD107" s="266" t="n"/>
      <c r="AE107" s="266" t="n"/>
      <c r="AF107" s="266" t="n"/>
      <c r="AG107" s="266" t="n"/>
      <c r="AH107" s="266" t="n"/>
      <c r="AI107" s="266" t="n"/>
      <c r="AJ107" s="266" t="n"/>
      <c r="AK107" s="266" t="n"/>
      <c r="AL107" s="266" t="n"/>
      <c r="AM107" s="266" t="n"/>
      <c r="AN107" s="266" t="n"/>
      <c r="AO107" s="266" t="n"/>
      <c r="AP107" s="266" t="n"/>
      <c r="AQ107" s="266" t="n"/>
      <c r="AR107" s="266" t="n"/>
      <c r="AS107" s="266" t="n"/>
      <c r="AT107" s="266" t="n"/>
      <c r="AU107" s="266" t="n"/>
      <c r="AV107" s="266" t="n"/>
      <c r="AW107" s="266" t="n"/>
      <c r="AX107" s="266" t="n"/>
      <c r="AY107" s="266" t="n"/>
      <c r="AZ107" s="266" t="n"/>
      <c r="BA107" s="266" t="n"/>
      <c r="BB107" s="266" t="n"/>
      <c r="BC107" s="266" t="n"/>
      <c r="BD107" s="266" t="n"/>
      <c r="BE107" s="266" t="n"/>
      <c r="BF107" s="266" t="n"/>
      <c r="BG107" s="266" t="n"/>
      <c r="BH107" s="266" t="n"/>
      <c r="BI107" s="266" t="n"/>
      <c r="BJ107" s="266" t="n"/>
      <c r="BK107" s="266" t="n"/>
      <c r="BL107" s="266" t="n"/>
      <c r="BM107" s="266" t="n"/>
      <c r="BN107" s="266" t="n"/>
      <c r="BO107" s="266" t="n"/>
      <c r="BP107" s="266" t="n"/>
      <c r="BQ107" s="266" t="n"/>
      <c r="BR107" s="266" t="n"/>
      <c r="BS107" s="266" t="n"/>
      <c r="BT107" s="266" t="n"/>
      <c r="BU107" s="266" t="n"/>
      <c r="BV107" s="266" t="n"/>
      <c r="BW107" s="266" t="n"/>
      <c r="BX107" s="266" t="n"/>
      <c r="BY107" s="266" t="n"/>
      <c r="BZ107" s="266" t="n"/>
      <c r="CA107" s="266" t="n"/>
      <c r="CB107" s="266" t="n"/>
      <c r="CC107" s="266" t="n"/>
      <c r="CD107" s="266" t="n"/>
      <c r="CE107" s="266" t="n"/>
      <c r="CF107" s="266" t="n"/>
      <c r="CG107" s="266" t="n"/>
      <c r="CH107" s="266" t="n"/>
      <c r="CI107" s="266" t="n"/>
      <c r="CJ107" s="266" t="n"/>
      <c r="CK107" s="266" t="n"/>
      <c r="CL107" s="266" t="n"/>
      <c r="CM107" s="266" t="n"/>
      <c r="CN107" s="266" t="n"/>
      <c r="CO107" s="266" t="n"/>
      <c r="CP107" s="266" t="n"/>
      <c r="CQ107" s="266" t="n"/>
      <c r="CR107" s="266" t="n"/>
      <c r="CS107" s="266" t="n"/>
      <c r="CT107" s="266" t="n"/>
      <c r="CU107" s="266" t="n"/>
      <c r="CV107" s="266" t="n"/>
      <c r="CW107" s="266" t="n"/>
      <c r="CX107" s="266" t="n"/>
      <c r="CY107" s="266" t="n"/>
    </row>
    <row r="108" hidden="1" outlineLevel="1" ht="12.75" customHeight="1" s="254">
      <c r="C108" s="310" t="inlineStr">
        <is>
          <t>CDI+</t>
        </is>
      </c>
      <c r="D108" s="266" t="n"/>
      <c r="E108" s="266" t="n"/>
      <c r="F108" s="266" t="n"/>
      <c r="G108" s="266" t="n"/>
      <c r="H108" s="266" t="n"/>
      <c r="I108" s="266" t="n"/>
      <c r="J108" s="266" t="n"/>
      <c r="K108" s="266" t="n"/>
      <c r="L108" s="266" t="n"/>
      <c r="M108" s="266" t="n"/>
      <c r="N108" s="266" t="n"/>
      <c r="O108" s="266" t="n"/>
      <c r="P108" s="266" t="n"/>
      <c r="Q108" s="266" t="n"/>
      <c r="R108" s="266" t="n"/>
      <c r="S108" s="266" t="n"/>
      <c r="T108" s="266" t="n"/>
      <c r="U108" s="266" t="n"/>
      <c r="V108" s="266" t="n"/>
      <c r="W108" s="266" t="n"/>
      <c r="X108" s="266" t="n"/>
      <c r="Y108" s="266" t="n"/>
      <c r="Z108" s="266" t="n"/>
      <c r="AA108" s="266" t="n"/>
      <c r="AB108" s="266" t="n"/>
      <c r="AC108" s="266" t="n"/>
      <c r="AD108" s="266" t="n"/>
      <c r="AE108" s="266" t="n"/>
      <c r="AF108" s="266" t="n"/>
      <c r="AG108" s="266" t="n"/>
      <c r="AH108" s="266" t="n"/>
      <c r="AI108" s="266" t="n"/>
      <c r="AJ108" s="266" t="n"/>
      <c r="AK108" s="266" t="n"/>
      <c r="AL108" s="266" t="n"/>
      <c r="AM108" s="266" t="n"/>
      <c r="AN108" s="266" t="n"/>
      <c r="AO108" s="266" t="n"/>
      <c r="AP108" s="266" t="n"/>
      <c r="AQ108" s="266" t="n"/>
      <c r="AR108" s="266" t="n"/>
      <c r="AS108" s="266" t="n"/>
      <c r="AT108" s="266" t="n"/>
      <c r="AU108" s="266" t="n"/>
      <c r="AV108" s="266" t="n"/>
      <c r="AW108" s="266" t="n"/>
      <c r="AX108" s="266" t="n"/>
      <c r="AY108" s="266" t="n"/>
      <c r="AZ108" s="266" t="n"/>
      <c r="BA108" s="266" t="n"/>
      <c r="BB108" s="266" t="n"/>
      <c r="BC108" s="266" t="n"/>
      <c r="BD108" s="266" t="n"/>
      <c r="BE108" s="266" t="n"/>
      <c r="BF108" s="266" t="n"/>
      <c r="BG108" s="266" t="n"/>
      <c r="BH108" s="266" t="n"/>
      <c r="BI108" s="266" t="n"/>
      <c r="BJ108" s="266" t="n"/>
      <c r="BK108" s="266" t="n"/>
      <c r="BL108" s="266" t="n"/>
      <c r="BM108" s="266" t="n"/>
      <c r="BN108" s="266" t="n"/>
      <c r="BO108" s="266" t="n"/>
      <c r="BP108" s="266" t="n"/>
      <c r="BQ108" s="266" t="n"/>
      <c r="BR108" s="266" t="n"/>
      <c r="BS108" s="266" t="n"/>
      <c r="BT108" s="266" t="n"/>
      <c r="BU108" s="266" t="n"/>
      <c r="BV108" s="266" t="n"/>
      <c r="BW108" s="266" t="n"/>
      <c r="BX108" s="266" t="n"/>
      <c r="BY108" s="266" t="n"/>
      <c r="BZ108" s="266" t="n"/>
      <c r="CA108" s="266" t="n"/>
      <c r="CB108" s="266" t="n"/>
      <c r="CC108" s="266" t="n"/>
      <c r="CD108" s="266" t="n"/>
      <c r="CE108" s="266" t="n"/>
      <c r="CF108" s="266" t="n"/>
      <c r="CG108" s="266" t="n"/>
      <c r="CH108" s="266" t="n"/>
      <c r="CI108" s="266" t="n"/>
      <c r="CJ108" s="266" t="n"/>
      <c r="CK108" s="266" t="n"/>
      <c r="CL108" s="266" t="n"/>
      <c r="CM108" s="266" t="n"/>
      <c r="CN108" s="266" t="n"/>
      <c r="CO108" s="266" t="n"/>
      <c r="CP108" s="266" t="n"/>
      <c r="CQ108" s="266" t="n"/>
      <c r="CR108" s="266" t="n"/>
      <c r="CS108" s="266" t="n"/>
      <c r="CT108" s="266" t="n"/>
      <c r="CU108" s="266" t="n"/>
      <c r="CV108" s="266" t="n"/>
      <c r="CW108" s="266" t="n"/>
      <c r="CX108" s="266" t="n"/>
      <c r="CY108" s="266" t="n"/>
    </row>
    <row r="109" hidden="1" outlineLevel="1" ht="12.75" customHeight="1" s="254">
      <c r="C109" s="310" t="n"/>
      <c r="D109" s="266" t="n"/>
      <c r="E109" s="266" t="n"/>
      <c r="F109" s="266" t="n"/>
      <c r="G109" s="266" t="n"/>
      <c r="H109" s="266" t="n"/>
      <c r="I109" s="266" t="n"/>
      <c r="J109" s="266" t="n"/>
      <c r="K109" s="266" t="n"/>
      <c r="L109" s="266" t="n"/>
      <c r="M109" s="266" t="n"/>
      <c r="N109" s="266" t="n"/>
      <c r="O109" s="266" t="n"/>
      <c r="P109" s="266" t="n"/>
      <c r="Q109" s="266" t="n"/>
      <c r="R109" s="266" t="n"/>
      <c r="S109" s="266" t="n"/>
      <c r="T109" s="266" t="n"/>
      <c r="U109" s="266" t="n"/>
      <c r="V109" s="266" t="n"/>
      <c r="W109" s="266" t="n"/>
      <c r="X109" s="266" t="n"/>
      <c r="Y109" s="266" t="n"/>
      <c r="Z109" s="266" t="n"/>
      <c r="AA109" s="266" t="n"/>
      <c r="AB109" s="266" t="n"/>
      <c r="AC109" s="266" t="n"/>
      <c r="AD109" s="266" t="n"/>
      <c r="AE109" s="266" t="n"/>
      <c r="AF109" s="266" t="n"/>
      <c r="AG109" s="266" t="n"/>
      <c r="AH109" s="266" t="n"/>
      <c r="AI109" s="266" t="n"/>
      <c r="AJ109" s="266" t="n"/>
      <c r="AK109" s="266" t="n"/>
      <c r="AL109" s="266" t="n"/>
      <c r="AM109" s="266" t="n"/>
      <c r="AN109" s="266" t="n"/>
      <c r="AO109" s="266" t="n"/>
      <c r="AP109" s="266" t="n"/>
      <c r="AQ109" s="266" t="n"/>
      <c r="AR109" s="266" t="n"/>
      <c r="AS109" s="266" t="n"/>
      <c r="AT109" s="266" t="n"/>
      <c r="AU109" s="266" t="n"/>
      <c r="AV109" s="266" t="n"/>
      <c r="AW109" s="266" t="n"/>
      <c r="AX109" s="266" t="n"/>
      <c r="AY109" s="266" t="n"/>
      <c r="AZ109" s="266" t="n"/>
      <c r="BA109" s="266" t="n"/>
      <c r="BB109" s="266" t="n"/>
      <c r="BC109" s="266" t="n"/>
      <c r="BD109" s="266" t="n"/>
      <c r="BE109" s="266" t="n"/>
      <c r="BF109" s="266" t="n"/>
      <c r="BG109" s="266" t="n"/>
      <c r="BH109" s="266" t="n"/>
      <c r="BI109" s="266" t="n"/>
      <c r="BJ109" s="266" t="n"/>
      <c r="BK109" s="266" t="n"/>
      <c r="BL109" s="266" t="n"/>
      <c r="BM109" s="266" t="n"/>
      <c r="BN109" s="266" t="n"/>
      <c r="BO109" s="266" t="n"/>
      <c r="BP109" s="266" t="n"/>
      <c r="BQ109" s="266" t="n"/>
      <c r="BR109" s="266" t="n"/>
      <c r="BS109" s="266" t="n"/>
      <c r="BT109" s="266" t="n"/>
      <c r="BU109" s="266" t="n"/>
      <c r="BV109" s="266" t="n"/>
      <c r="BW109" s="266" t="n"/>
      <c r="BX109" s="266" t="n"/>
      <c r="BY109" s="266" t="n"/>
      <c r="BZ109" s="266" t="n"/>
      <c r="CA109" s="266" t="n"/>
      <c r="CB109" s="266" t="n"/>
      <c r="CC109" s="266" t="n"/>
      <c r="CD109" s="266" t="n"/>
      <c r="CE109" s="266" t="n"/>
      <c r="CF109" s="266" t="n"/>
      <c r="CG109" s="266" t="n"/>
      <c r="CH109" s="266" t="n"/>
      <c r="CI109" s="266" t="n"/>
      <c r="CJ109" s="266" t="n"/>
      <c r="CK109" s="266" t="n"/>
      <c r="CL109" s="266" t="n"/>
      <c r="CM109" s="266" t="n"/>
      <c r="CN109" s="266" t="n"/>
      <c r="CO109" s="266" t="n"/>
      <c r="CP109" s="266" t="n"/>
      <c r="CQ109" s="266" t="n"/>
      <c r="CR109" s="266" t="n"/>
      <c r="CS109" s="266" t="n"/>
      <c r="CT109" s="266" t="n"/>
      <c r="CU109" s="266" t="n"/>
      <c r="CV109" s="266" t="n"/>
      <c r="CW109" s="266" t="n"/>
      <c r="CX109" s="266" t="n"/>
      <c r="CY109" s="266" t="n"/>
    </row>
    <row r="110" hidden="1" outlineLevel="1" ht="12.75" customHeight="1" s="254">
      <c r="C110" s="310" t="inlineStr">
        <is>
          <t>RECEITAS FINANCEIRAS - Rendimentos de aplicações financeiras</t>
        </is>
      </c>
      <c r="D110" s="266" t="n"/>
      <c r="E110" s="266" t="n"/>
      <c r="F110" s="266" t="n"/>
      <c r="G110" s="266" t="n"/>
      <c r="H110" s="266" t="n"/>
      <c r="I110" s="266" t="n"/>
      <c r="J110" s="266" t="n"/>
      <c r="K110" s="266" t="n"/>
      <c r="L110" s="266" t="n"/>
      <c r="M110" s="266" t="n"/>
      <c r="N110" s="266" t="n"/>
      <c r="O110" s="266" t="n"/>
      <c r="P110" s="266" t="n"/>
      <c r="Q110" s="266" t="n"/>
      <c r="R110" s="266" t="n"/>
      <c r="S110" s="266" t="n"/>
      <c r="T110" s="266" t="n"/>
      <c r="U110" s="266" t="n"/>
      <c r="V110" s="266" t="n"/>
      <c r="W110" s="266" t="n"/>
      <c r="X110" s="266" t="n"/>
      <c r="Y110" s="266" t="n"/>
      <c r="Z110" s="266" t="n"/>
      <c r="AA110" s="266" t="n"/>
      <c r="AB110" s="266" t="n"/>
      <c r="AC110" s="266" t="n"/>
      <c r="AD110" s="266" t="n"/>
      <c r="AE110" s="266" t="n"/>
      <c r="AF110" s="266" t="n"/>
      <c r="AG110" s="266" t="n"/>
      <c r="AH110" s="266" t="n"/>
      <c r="AI110" s="266" t="n"/>
      <c r="AJ110" s="266" t="n"/>
      <c r="AK110" s="266" t="n"/>
      <c r="AL110" s="266" t="n"/>
      <c r="AM110" s="266" t="n"/>
      <c r="AN110" s="266" t="n"/>
      <c r="AO110" s="266" t="n"/>
      <c r="AP110" s="266" t="n"/>
      <c r="AQ110" s="266" t="n"/>
      <c r="AR110" s="266" t="n"/>
      <c r="AS110" s="266" t="n"/>
      <c r="AT110" s="266" t="n"/>
      <c r="AU110" s="266" t="n"/>
      <c r="AV110" s="266" t="n"/>
      <c r="AW110" s="266" t="n"/>
      <c r="AX110" s="266" t="n"/>
      <c r="AY110" s="266" t="n"/>
      <c r="AZ110" s="266" t="n"/>
      <c r="BA110" s="266" t="n"/>
      <c r="BB110" s="266" t="n"/>
      <c r="BC110" s="266" t="n"/>
      <c r="BD110" s="266" t="n"/>
      <c r="BE110" s="266" t="n"/>
      <c r="BF110" s="266" t="n"/>
      <c r="BG110" s="266" t="n"/>
      <c r="BH110" s="266" t="n"/>
      <c r="BI110" s="266" t="n"/>
      <c r="BJ110" s="266" t="n"/>
      <c r="BK110" s="266" t="n"/>
      <c r="BL110" s="266" t="n"/>
      <c r="BM110" s="266" t="n"/>
      <c r="BN110" s="266" t="n"/>
      <c r="BO110" s="266" t="n"/>
      <c r="BP110" s="266" t="n"/>
      <c r="BQ110" s="266" t="n"/>
      <c r="BR110" s="266" t="n"/>
      <c r="BS110" s="266" t="n"/>
      <c r="BT110" s="266" t="n"/>
      <c r="BU110" s="266" t="n"/>
      <c r="BV110" s="266" t="n"/>
      <c r="BW110" s="266" t="n"/>
      <c r="BX110" s="266" t="n"/>
      <c r="BY110" s="266" t="n"/>
      <c r="BZ110" s="266" t="n"/>
      <c r="CA110" s="266" t="n"/>
      <c r="CB110" s="266" t="n"/>
      <c r="CC110" s="266" t="n"/>
      <c r="CD110" s="266" t="n"/>
      <c r="CE110" s="266" t="n"/>
      <c r="CF110" s="266" t="n"/>
      <c r="CG110" s="266" t="n"/>
      <c r="CH110" s="266" t="n"/>
      <c r="CI110" s="266" t="n"/>
      <c r="CJ110" s="266" t="n"/>
      <c r="CK110" s="266" t="n"/>
      <c r="CL110" s="266" t="n"/>
      <c r="CM110" s="266" t="n"/>
      <c r="CN110" s="266" t="n"/>
      <c r="CO110" s="266" t="n"/>
      <c r="CP110" s="266" t="n"/>
      <c r="CQ110" s="266" t="n"/>
      <c r="CR110" s="266" t="n"/>
      <c r="CS110" s="266" t="n"/>
      <c r="CT110" s="266" t="n"/>
      <c r="CU110" s="266" t="n"/>
      <c r="CV110" s="266" t="n"/>
      <c r="CW110" s="266" t="n"/>
      <c r="CX110" s="266" t="n"/>
      <c r="CY110" s="266" t="n"/>
    </row>
    <row r="111" hidden="1" outlineLevel="1" ht="12.75" customHeight="1" s="254">
      <c r="C111" s="310" t="inlineStr">
        <is>
          <t>RECEITAS FINANCEIRAS - Variação cambial ativa</t>
        </is>
      </c>
      <c r="D111" s="266" t="n"/>
      <c r="E111" s="266" t="n"/>
      <c r="F111" s="266" t="n"/>
      <c r="G111" s="266" t="n"/>
      <c r="H111" s="266" t="n"/>
      <c r="I111" s="266" t="n"/>
      <c r="J111" s="266" t="n"/>
      <c r="K111" s="266" t="n"/>
      <c r="L111" s="266" t="n"/>
      <c r="M111" s="266" t="n"/>
      <c r="N111" s="266" t="n"/>
      <c r="O111" s="266" t="n"/>
      <c r="P111" s="266" t="n"/>
      <c r="Q111" s="266" t="n"/>
      <c r="R111" s="266" t="n"/>
      <c r="S111" s="266" t="n"/>
      <c r="T111" s="266" t="n"/>
      <c r="U111" s="266" t="n"/>
      <c r="V111" s="266" t="n"/>
      <c r="W111" s="266" t="n"/>
      <c r="X111" s="266" t="n"/>
      <c r="Y111" s="266" t="n"/>
      <c r="Z111" s="266" t="n"/>
      <c r="AA111" s="266" t="n"/>
      <c r="AB111" s="266" t="n"/>
      <c r="AC111" s="266" t="n"/>
      <c r="AD111" s="266" t="n"/>
      <c r="AE111" s="266" t="n"/>
      <c r="AF111" s="266" t="n"/>
      <c r="AG111" s="266" t="n"/>
      <c r="AH111" s="266" t="n"/>
      <c r="AI111" s="266" t="n"/>
      <c r="AJ111" s="266" t="n"/>
      <c r="AK111" s="266" t="n"/>
      <c r="AL111" s="266" t="n"/>
      <c r="AM111" s="266" t="n"/>
      <c r="AN111" s="266" t="n"/>
      <c r="AO111" s="266" t="n"/>
      <c r="AP111" s="266" t="n"/>
      <c r="AQ111" s="266" t="n"/>
      <c r="AR111" s="266" t="n"/>
      <c r="AS111" s="266" t="n"/>
      <c r="AT111" s="266" t="n"/>
      <c r="AU111" s="266" t="n"/>
      <c r="AV111" s="266" t="n"/>
      <c r="AW111" s="266" t="n"/>
      <c r="AX111" s="266" t="n"/>
      <c r="AY111" s="266" t="n"/>
      <c r="AZ111" s="266" t="n"/>
      <c r="BA111" s="266" t="n"/>
      <c r="BB111" s="266" t="n"/>
      <c r="BC111" s="266" t="n"/>
      <c r="BD111" s="266" t="n"/>
      <c r="BE111" s="266" t="n"/>
      <c r="BF111" s="266" t="n"/>
      <c r="BG111" s="266" t="n"/>
      <c r="BH111" s="266" t="n"/>
      <c r="BI111" s="266" t="n"/>
      <c r="BJ111" s="266" t="n"/>
      <c r="BK111" s="266" t="n"/>
      <c r="BL111" s="266" t="n"/>
      <c r="BM111" s="266" t="n"/>
      <c r="BN111" s="266" t="n"/>
      <c r="BO111" s="266" t="n"/>
      <c r="BP111" s="266" t="n"/>
      <c r="BQ111" s="266" t="n"/>
      <c r="BR111" s="266" t="n"/>
      <c r="BS111" s="266" t="n"/>
      <c r="BT111" s="266" t="n"/>
      <c r="BU111" s="266" t="n"/>
      <c r="BV111" s="266" t="n"/>
      <c r="BW111" s="266" t="n"/>
      <c r="BX111" s="266" t="n"/>
      <c r="BY111" s="266" t="n"/>
      <c r="BZ111" s="266" t="n"/>
      <c r="CA111" s="266" t="n"/>
      <c r="CB111" s="266" t="n"/>
      <c r="CC111" s="266" t="n"/>
      <c r="CD111" s="266" t="n"/>
      <c r="CE111" s="266" t="n"/>
      <c r="CF111" s="266" t="n"/>
      <c r="CG111" s="266" t="n"/>
      <c r="CH111" s="266" t="n"/>
      <c r="CI111" s="266" t="n"/>
      <c r="CJ111" s="266" t="n"/>
      <c r="CK111" s="266" t="n"/>
      <c r="CL111" s="266" t="n"/>
      <c r="CM111" s="266" t="n"/>
      <c r="CN111" s="266" t="n"/>
      <c r="CO111" s="266" t="n"/>
      <c r="CP111" s="266" t="n"/>
      <c r="CQ111" s="266" t="n"/>
      <c r="CR111" s="266" t="n"/>
      <c r="CS111" s="266" t="n"/>
      <c r="CT111" s="266" t="n"/>
      <c r="CU111" s="266" t="n"/>
      <c r="CV111" s="266" t="n"/>
      <c r="CW111" s="266" t="n"/>
      <c r="CX111" s="266" t="n"/>
      <c r="CY111" s="266" t="n"/>
    </row>
    <row r="112" hidden="1" outlineLevel="1" ht="12.75" customHeight="1" s="254">
      <c r="C112" s="310" t="inlineStr">
        <is>
          <t>RECEITAS FINANCEIRAS - Atualização de contas a pagar por aquisição de empresas</t>
        </is>
      </c>
      <c r="D112" s="266" t="n"/>
      <c r="E112" s="266" t="n"/>
      <c r="F112" s="266" t="n"/>
      <c r="G112" s="266" t="n"/>
      <c r="H112" s="266" t="n"/>
      <c r="I112" s="266" t="n"/>
      <c r="J112" s="266" t="n"/>
      <c r="K112" s="266" t="n"/>
      <c r="L112" s="266" t="n"/>
      <c r="M112" s="266" t="n"/>
      <c r="N112" s="266" t="n"/>
      <c r="O112" s="266" t="n"/>
      <c r="P112" s="266" t="n"/>
      <c r="Q112" s="266" t="n"/>
      <c r="R112" s="266" t="n"/>
      <c r="S112" s="266" t="n"/>
      <c r="T112" s="266" t="n"/>
      <c r="U112" s="266" t="n"/>
      <c r="V112" s="266" t="n"/>
      <c r="W112" s="266" t="n"/>
      <c r="X112" s="266" t="n"/>
      <c r="Y112" s="266" t="n"/>
      <c r="Z112" s="266" t="n"/>
      <c r="AA112" s="266" t="n"/>
      <c r="AB112" s="266" t="n"/>
      <c r="AC112" s="266" t="n"/>
      <c r="AD112" s="266" t="n"/>
      <c r="AE112" s="266" t="n"/>
      <c r="AF112" s="266" t="n"/>
      <c r="AG112" s="266" t="n"/>
      <c r="AH112" s="266" t="n"/>
      <c r="AI112" s="266" t="n"/>
      <c r="AJ112" s="266" t="n"/>
      <c r="AK112" s="266" t="n"/>
      <c r="AL112" s="266" t="n"/>
      <c r="AM112" s="266" t="n"/>
      <c r="AN112" s="266" t="n"/>
      <c r="AO112" s="266" t="n"/>
      <c r="AP112" s="266" t="n"/>
      <c r="AQ112" s="266" t="n"/>
      <c r="AR112" s="266" t="n"/>
      <c r="AS112" s="266" t="n"/>
      <c r="AT112" s="266" t="n"/>
      <c r="AU112" s="266" t="n"/>
      <c r="AV112" s="266" t="n"/>
      <c r="AW112" s="266" t="n"/>
      <c r="AX112" s="266" t="n"/>
      <c r="AY112" s="266" t="n"/>
      <c r="AZ112" s="266" t="n"/>
      <c r="BA112" s="266" t="n"/>
      <c r="BB112" s="266" t="n"/>
      <c r="BC112" s="266" t="n"/>
      <c r="BD112" s="266" t="n"/>
      <c r="BE112" s="266" t="n"/>
      <c r="BF112" s="266" t="n"/>
      <c r="BG112" s="266" t="n"/>
      <c r="BH112" s="266" t="n"/>
      <c r="BI112" s="266" t="n"/>
      <c r="BJ112" s="266" t="n"/>
      <c r="BK112" s="266" t="n"/>
      <c r="BL112" s="266" t="n"/>
      <c r="BM112" s="266" t="n"/>
      <c r="BN112" s="266" t="n"/>
      <c r="BO112" s="266" t="n"/>
      <c r="BP112" s="266" t="n"/>
      <c r="BQ112" s="266" t="n"/>
      <c r="BR112" s="266" t="n"/>
      <c r="BS112" s="266" t="n"/>
      <c r="BT112" s="266" t="n"/>
      <c r="BU112" s="266" t="n"/>
      <c r="BV112" s="266" t="n"/>
      <c r="BW112" s="266" t="n"/>
      <c r="BX112" s="266" t="n"/>
      <c r="BY112" s="266" t="n"/>
      <c r="BZ112" s="266" t="n"/>
      <c r="CA112" s="266" t="n"/>
      <c r="CB112" s="266" t="n"/>
      <c r="CC112" s="266" t="n"/>
      <c r="CD112" s="266" t="n"/>
      <c r="CE112" s="266" t="n"/>
      <c r="CF112" s="266" t="n"/>
      <c r="CG112" s="266" t="n"/>
      <c r="CH112" s="266" t="n"/>
      <c r="CI112" s="266" t="n"/>
      <c r="CJ112" s="266" t="n"/>
      <c r="CK112" s="266" t="n"/>
      <c r="CL112" s="266" t="n"/>
      <c r="CM112" s="266" t="n"/>
      <c r="CN112" s="266" t="n"/>
      <c r="CO112" s="266" t="n"/>
      <c r="CP112" s="266" t="n"/>
      <c r="CQ112" s="266" t="n"/>
      <c r="CR112" s="266" t="n"/>
      <c r="CS112" s="266" t="n"/>
      <c r="CT112" s="266" t="n"/>
      <c r="CU112" s="266" t="n"/>
      <c r="CV112" s="266" t="n"/>
      <c r="CW112" s="266" t="n"/>
      <c r="CX112" s="266" t="n"/>
      <c r="CY112" s="266" t="n"/>
    </row>
    <row r="113" hidden="1" outlineLevel="1" ht="12.75" customHeight="1" s="254">
      <c r="C113" s="310" t="inlineStr">
        <is>
          <t>RECEITAS FINANCEIRAS - Resultado positivo com instrumentos derivativos</t>
        </is>
      </c>
      <c r="D113" s="266" t="n"/>
      <c r="E113" s="266" t="n"/>
      <c r="F113" s="266" t="n"/>
      <c r="G113" s="266" t="n"/>
      <c r="H113" s="266" t="n"/>
      <c r="I113" s="266" t="n"/>
      <c r="J113" s="266" t="n"/>
      <c r="K113" s="266" t="n"/>
      <c r="L113" s="266" t="n"/>
      <c r="M113" s="266" t="n"/>
      <c r="N113" s="266" t="n"/>
      <c r="O113" s="266" t="n"/>
      <c r="P113" s="266" t="n"/>
      <c r="Q113" s="266" t="n"/>
      <c r="R113" s="266" t="n"/>
      <c r="S113" s="266" t="n"/>
      <c r="T113" s="266" t="n"/>
      <c r="U113" s="266" t="n"/>
      <c r="V113" s="266" t="n"/>
      <c r="W113" s="266" t="n"/>
      <c r="X113" s="266" t="n"/>
      <c r="Y113" s="266" t="n"/>
      <c r="Z113" s="266" t="n"/>
      <c r="AA113" s="266" t="n"/>
      <c r="AB113" s="266" t="n"/>
      <c r="AC113" s="266" t="n"/>
      <c r="AD113" s="266" t="n"/>
      <c r="AE113" s="266" t="n"/>
      <c r="AF113" s="266" t="n"/>
      <c r="AG113" s="266" t="n"/>
      <c r="AH113" s="266" t="n"/>
      <c r="AI113" s="266" t="n"/>
      <c r="AJ113" s="266" t="n"/>
      <c r="AK113" s="266" t="n"/>
      <c r="AL113" s="266" t="n"/>
      <c r="AM113" s="266" t="n"/>
      <c r="AN113" s="266" t="n"/>
      <c r="AO113" s="266" t="n"/>
      <c r="AP113" s="266" t="n"/>
      <c r="AQ113" s="266" t="n"/>
      <c r="AR113" s="266" t="n"/>
      <c r="AS113" s="266" t="n"/>
      <c r="AT113" s="266" t="n"/>
      <c r="AU113" s="266" t="n"/>
      <c r="AV113" s="266" t="n"/>
      <c r="AW113" s="266" t="n"/>
      <c r="AX113" s="266" t="n"/>
      <c r="AY113" s="266" t="n"/>
      <c r="AZ113" s="266" t="n"/>
      <c r="BA113" s="266" t="n"/>
      <c r="BB113" s="266" t="n"/>
      <c r="BC113" s="266" t="n"/>
      <c r="BD113" s="266" t="n"/>
      <c r="BE113" s="266" t="n"/>
      <c r="BF113" s="266" t="n"/>
      <c r="BG113" s="266" t="n"/>
      <c r="BH113" s="266" t="n"/>
      <c r="BI113" s="266" t="n"/>
      <c r="BJ113" s="266" t="n"/>
      <c r="BK113" s="266" t="n"/>
      <c r="BL113" s="266" t="n"/>
      <c r="BM113" s="266" t="n"/>
      <c r="BN113" s="266" t="n"/>
      <c r="BO113" s="266" t="n"/>
      <c r="BP113" s="266" t="n"/>
      <c r="BQ113" s="266" t="n"/>
      <c r="BR113" s="266" t="n"/>
      <c r="BS113" s="266" t="n"/>
      <c r="BT113" s="266" t="n"/>
      <c r="BU113" s="266" t="n"/>
      <c r="BV113" s="266" t="n"/>
      <c r="BW113" s="266" t="n"/>
      <c r="BX113" s="266" t="n"/>
      <c r="BY113" s="266" t="n"/>
      <c r="BZ113" s="266" t="n"/>
      <c r="CA113" s="266" t="n"/>
      <c r="CB113" s="266" t="n"/>
      <c r="CC113" s="266" t="n"/>
      <c r="CD113" s="266" t="n"/>
      <c r="CE113" s="266" t="n"/>
      <c r="CF113" s="266" t="n"/>
      <c r="CG113" s="266" t="n"/>
      <c r="CH113" s="266" t="n"/>
      <c r="CI113" s="266" t="n"/>
      <c r="CJ113" s="266" t="n"/>
      <c r="CK113" s="266" t="n"/>
      <c r="CL113" s="266" t="n"/>
      <c r="CM113" s="266" t="n"/>
      <c r="CN113" s="266" t="n"/>
      <c r="CO113" s="266" t="n"/>
      <c r="CP113" s="266" t="n"/>
      <c r="CQ113" s="266" t="n"/>
      <c r="CR113" s="266" t="n"/>
      <c r="CS113" s="266" t="n"/>
      <c r="CT113" s="266" t="n"/>
      <c r="CU113" s="266" t="n"/>
      <c r="CV113" s="266" t="n"/>
      <c r="CW113" s="266" t="n"/>
      <c r="CX113" s="266" t="n"/>
      <c r="CY113" s="266" t="n"/>
    </row>
    <row r="114" hidden="1" outlineLevel="1" ht="12.75" customHeight="1" s="254">
      <c r="C114" s="310" t="inlineStr">
        <is>
          <t>RECEITAS FINANCEIRAS - Descontos obtidos de fornecedores por antecipação</t>
        </is>
      </c>
      <c r="D114" s="266" t="n"/>
      <c r="E114" s="266" t="n"/>
      <c r="F114" s="266" t="n"/>
      <c r="G114" s="266" t="n"/>
      <c r="H114" s="266" t="n"/>
      <c r="I114" s="266" t="n"/>
      <c r="J114" s="266" t="n"/>
      <c r="K114" s="266" t="n"/>
      <c r="L114" s="266" t="n"/>
      <c r="M114" s="266" t="n"/>
      <c r="N114" s="266" t="n"/>
      <c r="O114" s="266" t="n"/>
      <c r="P114" s="266" t="n"/>
      <c r="Q114" s="266" t="n"/>
      <c r="R114" s="266" t="n"/>
      <c r="S114" s="266" t="n"/>
      <c r="T114" s="266" t="n"/>
      <c r="U114" s="266" t="n"/>
      <c r="V114" s="266" t="n"/>
      <c r="W114" s="266" t="n"/>
      <c r="X114" s="266" t="n"/>
      <c r="Y114" s="266" t="n"/>
      <c r="Z114" s="266" t="n"/>
      <c r="AA114" s="266" t="n"/>
      <c r="AB114" s="266" t="n"/>
      <c r="AC114" s="266" t="n"/>
      <c r="AD114" s="266" t="n"/>
      <c r="AE114" s="266" t="n"/>
      <c r="AF114" s="266" t="n"/>
      <c r="AG114" s="266" t="n"/>
      <c r="AH114" s="266" t="n"/>
      <c r="AI114" s="266" t="n"/>
      <c r="AJ114" s="266" t="n"/>
      <c r="AK114" s="266" t="n"/>
      <c r="AL114" s="266" t="n"/>
      <c r="AM114" s="266" t="n"/>
      <c r="AN114" s="266" t="n"/>
      <c r="AO114" s="266" t="n"/>
      <c r="AP114" s="266" t="n"/>
      <c r="AQ114" s="266" t="n"/>
      <c r="AR114" s="266" t="n"/>
      <c r="AS114" s="266" t="n"/>
      <c r="AT114" s="266" t="n"/>
      <c r="AU114" s="266" t="n"/>
      <c r="AV114" s="266" t="n"/>
      <c r="AW114" s="266" t="n"/>
      <c r="AX114" s="266" t="n"/>
      <c r="AY114" s="266" t="n"/>
      <c r="AZ114" s="266" t="n"/>
      <c r="BA114" s="266" t="n"/>
      <c r="BB114" s="266" t="n"/>
      <c r="BC114" s="266" t="n"/>
      <c r="BD114" s="266" t="n"/>
      <c r="BE114" s="266" t="n"/>
      <c r="BF114" s="266" t="n"/>
      <c r="BG114" s="266" t="n"/>
      <c r="BH114" s="266" t="n"/>
      <c r="BI114" s="266" t="n"/>
      <c r="BJ114" s="266" t="n"/>
      <c r="BK114" s="266" t="n"/>
      <c r="BL114" s="266" t="n"/>
      <c r="BM114" s="266" t="n"/>
      <c r="BN114" s="266" t="n"/>
      <c r="BO114" s="266" t="n"/>
      <c r="BP114" s="266" t="n"/>
      <c r="BQ114" s="266" t="n"/>
      <c r="BR114" s="266" t="n"/>
      <c r="BS114" s="266" t="n"/>
      <c r="BT114" s="266" t="n"/>
      <c r="BU114" s="266" t="n"/>
      <c r="BV114" s="266" t="n"/>
      <c r="BW114" s="266" t="n"/>
      <c r="BX114" s="266" t="n"/>
      <c r="BY114" s="266" t="n"/>
      <c r="BZ114" s="266" t="n"/>
      <c r="CA114" s="266" t="n"/>
      <c r="CB114" s="266" t="n"/>
      <c r="CC114" s="266" t="n"/>
      <c r="CD114" s="266" t="n"/>
      <c r="CE114" s="266" t="n"/>
      <c r="CF114" s="266" t="n"/>
      <c r="CG114" s="266" t="n"/>
      <c r="CH114" s="266" t="n"/>
      <c r="CI114" s="266" t="n"/>
      <c r="CJ114" s="266" t="n"/>
      <c r="CK114" s="266" t="n"/>
      <c r="CL114" s="266" t="n"/>
      <c r="CM114" s="266" t="n"/>
      <c r="CN114" s="266" t="n"/>
      <c r="CO114" s="266" t="n"/>
      <c r="CP114" s="266" t="n"/>
      <c r="CQ114" s="266" t="n"/>
      <c r="CR114" s="266" t="n"/>
      <c r="CS114" s="266" t="n"/>
      <c r="CT114" s="266" t="n"/>
      <c r="CU114" s="266" t="n"/>
      <c r="CV114" s="266" t="n"/>
      <c r="CW114" s="266" t="n"/>
      <c r="CX114" s="266" t="n"/>
      <c r="CY114" s="266" t="n"/>
    </row>
    <row r="115" hidden="1" outlineLevel="1" ht="12.75" customHeight="1" s="254">
      <c r="C115" s="310" t="inlineStr">
        <is>
          <t>RECEITAS FINANCEIRAS - Atualização monetária sobre Exclusão ICMS da base de PIS/COFINS (nota explicativa nº 7)</t>
        </is>
      </c>
      <c r="D115" s="266" t="n"/>
      <c r="E115" s="266" t="n"/>
      <c r="F115" s="266" t="n"/>
      <c r="G115" s="266" t="n"/>
      <c r="H115" s="266" t="n"/>
      <c r="I115" s="266" t="n"/>
      <c r="J115" s="266" t="n"/>
      <c r="K115" s="266" t="n"/>
      <c r="L115" s="266" t="n"/>
      <c r="M115" s="266" t="n"/>
      <c r="N115" s="266" t="n"/>
      <c r="O115" s="266" t="n"/>
      <c r="P115" s="266" t="n"/>
      <c r="Q115" s="266" t="n"/>
      <c r="R115" s="266" t="n"/>
      <c r="S115" s="266" t="n"/>
      <c r="T115" s="266" t="n"/>
      <c r="U115" s="266" t="n"/>
      <c r="V115" s="266" t="n"/>
      <c r="W115" s="266" t="n"/>
      <c r="X115" s="266" t="n"/>
      <c r="Y115" s="266" t="n"/>
      <c r="Z115" s="266" t="n"/>
      <c r="AA115" s="266" t="n"/>
      <c r="AB115" s="266" t="n"/>
      <c r="AC115" s="266" t="n"/>
      <c r="AD115" s="266" t="n"/>
      <c r="AE115" s="266" t="n"/>
      <c r="AF115" s="266" t="n"/>
      <c r="AG115" s="266" t="n"/>
      <c r="AH115" s="266" t="n"/>
      <c r="AI115" s="266" t="n"/>
      <c r="AJ115" s="266" t="n"/>
      <c r="AK115" s="266" t="n"/>
      <c r="AL115" s="266" t="n"/>
      <c r="AM115" s="266" t="n"/>
      <c r="AN115" s="266" t="n"/>
      <c r="AO115" s="266" t="n"/>
      <c r="AP115" s="266" t="n"/>
      <c r="AQ115" s="266" t="n"/>
      <c r="AR115" s="266" t="n"/>
      <c r="AS115" s="266" t="n"/>
      <c r="AT115" s="266" t="n"/>
      <c r="AU115" s="266" t="n"/>
      <c r="AV115" s="266" t="n"/>
      <c r="AW115" s="266" t="n"/>
      <c r="AX115" s="266" t="n"/>
      <c r="AY115" s="266" t="n"/>
      <c r="AZ115" s="266" t="n"/>
      <c r="BA115" s="266" t="n"/>
      <c r="BB115" s="266" t="n"/>
      <c r="BC115" s="266" t="n"/>
      <c r="BD115" s="266" t="n"/>
      <c r="BE115" s="266" t="n"/>
      <c r="BF115" s="266" t="n"/>
      <c r="BG115" s="266" t="n"/>
      <c r="BH115" s="266" t="n"/>
      <c r="BI115" s="266" t="n"/>
      <c r="BJ115" s="266" t="n"/>
      <c r="BK115" s="266" t="n"/>
      <c r="BL115" s="266" t="n"/>
      <c r="BM115" s="266" t="n"/>
      <c r="BN115" s="266" t="n"/>
      <c r="BO115" s="266" t="n"/>
      <c r="BP115" s="266" t="n"/>
      <c r="BQ115" s="266" t="n"/>
      <c r="BR115" s="266" t="n"/>
      <c r="BS115" s="266" t="n"/>
      <c r="BT115" s="266" t="n"/>
      <c r="BU115" s="266" t="n"/>
      <c r="BV115" s="266" t="n"/>
      <c r="BW115" s="266" t="n"/>
      <c r="BX115" s="266" t="n"/>
      <c r="BY115" s="266" t="n"/>
      <c r="BZ115" s="266" t="n"/>
      <c r="CA115" s="266" t="n"/>
      <c r="CB115" s="266" t="n"/>
      <c r="CC115" s="266" t="n"/>
      <c r="CD115" s="266" t="n"/>
      <c r="CE115" s="266" t="n"/>
      <c r="CF115" s="266" t="n"/>
      <c r="CG115" s="266" t="n"/>
      <c r="CH115" s="266" t="n"/>
      <c r="CI115" s="266" t="n"/>
      <c r="CJ115" s="266" t="n"/>
      <c r="CK115" s="266" t="n"/>
      <c r="CL115" s="266" t="n"/>
      <c r="CM115" s="266" t="n"/>
      <c r="CN115" s="266" t="n"/>
      <c r="CO115" s="266" t="n"/>
      <c r="CP115" s="266" t="n"/>
      <c r="CQ115" s="266" t="n"/>
      <c r="CR115" s="266" t="n"/>
      <c r="CS115" s="266" t="n"/>
      <c r="CT115" s="266" t="n"/>
      <c r="CU115" s="266" t="n"/>
      <c r="CV115" s="266" t="n"/>
      <c r="CW115" s="266" t="n"/>
      <c r="CX115" s="266" t="n"/>
      <c r="CY115" s="266" t="n"/>
    </row>
    <row r="116" hidden="1" outlineLevel="1" ht="12.75" customHeight="1" s="254">
      <c r="C116" s="310" t="inlineStr">
        <is>
          <t>RECEITAS FINANCEIRAS - Outras</t>
        </is>
      </c>
      <c r="D116" s="266" t="n"/>
      <c r="E116" s="266" t="n"/>
      <c r="F116" s="266" t="n"/>
      <c r="G116" s="266" t="n"/>
      <c r="H116" s="266" t="n"/>
      <c r="I116" s="266" t="n"/>
      <c r="J116" s="266" t="n"/>
      <c r="K116" s="266" t="n"/>
      <c r="L116" s="266" t="n"/>
      <c r="M116" s="266" t="n"/>
      <c r="N116" s="266" t="n"/>
      <c r="O116" s="266" t="n"/>
      <c r="P116" s="266" t="n"/>
      <c r="Q116" s="266" t="n"/>
      <c r="R116" s="266" t="n"/>
      <c r="S116" s="266" t="n"/>
      <c r="T116" s="266" t="n"/>
      <c r="U116" s="266" t="n"/>
      <c r="V116" s="266" t="n"/>
      <c r="W116" s="266" t="n"/>
      <c r="X116" s="266" t="n"/>
      <c r="Y116" s="266" t="n"/>
      <c r="Z116" s="266" t="n"/>
      <c r="AA116" s="266" t="n"/>
      <c r="AB116" s="266" t="n"/>
      <c r="AC116" s="266" t="n"/>
      <c r="AD116" s="266" t="n"/>
      <c r="AE116" s="266" t="n"/>
      <c r="AF116" s="266" t="n"/>
      <c r="AG116" s="266" t="n"/>
      <c r="AH116" s="266" t="n"/>
      <c r="AI116" s="266" t="n"/>
      <c r="AJ116" s="266" t="n"/>
      <c r="AK116" s="266" t="n"/>
      <c r="AL116" s="266" t="n"/>
      <c r="AM116" s="266" t="n"/>
      <c r="AN116" s="266" t="n"/>
      <c r="AO116" s="266" t="n"/>
      <c r="AP116" s="266" t="n"/>
      <c r="AQ116" s="266" t="n"/>
      <c r="AR116" s="266" t="n"/>
      <c r="AS116" s="266" t="n"/>
      <c r="AT116" s="266" t="n"/>
      <c r="AU116" s="266" t="n"/>
      <c r="AV116" s="266" t="n"/>
      <c r="AW116" s="266" t="n"/>
      <c r="AX116" s="266" t="n"/>
      <c r="AY116" s="266" t="n"/>
      <c r="AZ116" s="266" t="n"/>
      <c r="BA116" s="266" t="n"/>
      <c r="BB116" s="266" t="n"/>
      <c r="BC116" s="266" t="n"/>
      <c r="BD116" s="266" t="n"/>
      <c r="BE116" s="266" t="n"/>
      <c r="BF116" s="266" t="n"/>
      <c r="BG116" s="266" t="n"/>
      <c r="BH116" s="266" t="n"/>
      <c r="BI116" s="266" t="n"/>
      <c r="BJ116" s="266" t="n"/>
      <c r="BK116" s="266" t="n"/>
      <c r="BL116" s="266" t="n"/>
      <c r="BM116" s="266" t="n"/>
      <c r="BN116" s="266" t="n"/>
      <c r="BO116" s="266" t="n"/>
      <c r="BP116" s="266" t="n"/>
      <c r="BQ116" s="266" t="n"/>
      <c r="BR116" s="266" t="n"/>
      <c r="BS116" s="266" t="n"/>
      <c r="BT116" s="266" t="n"/>
      <c r="BU116" s="266" t="n"/>
      <c r="BV116" s="266" t="n"/>
      <c r="BW116" s="266" t="n"/>
      <c r="BX116" s="266" t="n"/>
      <c r="BY116" s="266" t="n"/>
      <c r="BZ116" s="266" t="n"/>
      <c r="CA116" s="266" t="n"/>
      <c r="CB116" s="266" t="n"/>
      <c r="CC116" s="266" t="n"/>
      <c r="CD116" s="266" t="n"/>
      <c r="CE116" s="266" t="n"/>
      <c r="CF116" s="266" t="n"/>
      <c r="CG116" s="266" t="n"/>
      <c r="CH116" s="266" t="n"/>
      <c r="CI116" s="266" t="n"/>
      <c r="CJ116" s="266" t="n"/>
      <c r="CK116" s="266" t="n"/>
      <c r="CL116" s="266" t="n"/>
      <c r="CM116" s="266" t="n"/>
      <c r="CN116" s="266" t="n"/>
      <c r="CO116" s="266" t="n"/>
      <c r="CP116" s="266" t="n"/>
      <c r="CQ116" s="266" t="n"/>
      <c r="CR116" s="266" t="n"/>
      <c r="CS116" s="266" t="n"/>
      <c r="CT116" s="266" t="n"/>
      <c r="CU116" s="266" t="n"/>
      <c r="CV116" s="266" t="n"/>
      <c r="CW116" s="266" t="n"/>
      <c r="CX116" s="266" t="n"/>
      <c r="CY116" s="266" t="n"/>
    </row>
    <row r="117" hidden="1" outlineLevel="1" ht="12.75" customHeight="1" s="254">
      <c r="C117" s="310" t="n"/>
      <c r="D117" s="266" t="n"/>
      <c r="E117" s="266" t="n"/>
      <c r="F117" s="266" t="n"/>
      <c r="G117" s="266" t="n"/>
      <c r="H117" s="266" t="n"/>
      <c r="I117" s="266" t="n"/>
      <c r="J117" s="266" t="n"/>
      <c r="K117" s="266" t="n"/>
      <c r="L117" s="266" t="n"/>
      <c r="M117" s="266" t="n"/>
      <c r="N117" s="266" t="n"/>
      <c r="O117" s="266" t="n"/>
      <c r="P117" s="266" t="n"/>
      <c r="Q117" s="266" t="n"/>
      <c r="R117" s="266" t="n"/>
      <c r="S117" s="266" t="n"/>
      <c r="T117" s="266" t="n"/>
      <c r="U117" s="266" t="n"/>
      <c r="V117" s="266" t="n"/>
      <c r="W117" s="266" t="n"/>
      <c r="X117" s="266" t="n"/>
      <c r="Y117" s="266" t="n"/>
      <c r="Z117" s="266" t="n"/>
      <c r="AA117" s="266" t="n"/>
      <c r="AB117" s="266" t="n"/>
      <c r="AC117" s="266" t="n"/>
      <c r="AD117" s="266" t="n"/>
      <c r="AE117" s="266" t="n"/>
      <c r="AF117" s="266" t="n"/>
      <c r="AG117" s="266" t="n"/>
      <c r="AH117" s="266" t="n"/>
      <c r="AI117" s="266" t="n"/>
      <c r="AJ117" s="266" t="n"/>
      <c r="AK117" s="266" t="n"/>
      <c r="AL117" s="266" t="n"/>
      <c r="AM117" s="266" t="n"/>
      <c r="AN117" s="266" t="n"/>
      <c r="AO117" s="266" t="n"/>
      <c r="AP117" s="266" t="n"/>
      <c r="AQ117" s="266" t="n"/>
      <c r="AR117" s="266" t="n"/>
      <c r="AS117" s="266" t="n"/>
      <c r="AT117" s="266" t="n"/>
      <c r="AU117" s="266" t="n"/>
      <c r="AV117" s="266" t="n"/>
      <c r="AW117" s="266" t="n"/>
      <c r="AX117" s="266" t="n"/>
      <c r="AY117" s="266" t="n"/>
      <c r="AZ117" s="266" t="n"/>
      <c r="BA117" s="266" t="n"/>
      <c r="BB117" s="266" t="n"/>
      <c r="BC117" s="266" t="n"/>
      <c r="BD117" s="266" t="n"/>
      <c r="BE117" s="266" t="n"/>
      <c r="BF117" s="266" t="n"/>
      <c r="BG117" s="266" t="n"/>
      <c r="BH117" s="266" t="n"/>
      <c r="BI117" s="266" t="n"/>
      <c r="BJ117" s="266" t="n"/>
      <c r="BK117" s="266" t="n"/>
      <c r="BL117" s="266" t="n"/>
      <c r="BM117" s="266" t="n"/>
      <c r="BN117" s="266" t="n"/>
      <c r="BO117" s="266" t="n"/>
      <c r="BP117" s="266" t="n"/>
      <c r="BQ117" s="266" t="n"/>
      <c r="BR117" s="266" t="n"/>
      <c r="BS117" s="266" t="n"/>
      <c r="BT117" s="266" t="n"/>
      <c r="BU117" s="266" t="n"/>
      <c r="BV117" s="266" t="n"/>
      <c r="BW117" s="266" t="n"/>
      <c r="BX117" s="266" t="n"/>
      <c r="BY117" s="266" t="n"/>
      <c r="BZ117" s="266" t="n"/>
      <c r="CA117" s="266" t="n"/>
      <c r="CB117" s="266" t="n"/>
      <c r="CC117" s="266" t="n"/>
      <c r="CD117" s="266" t="n"/>
      <c r="CE117" s="266" t="n"/>
      <c r="CF117" s="266" t="n"/>
      <c r="CG117" s="266" t="n"/>
      <c r="CH117" s="266" t="n"/>
      <c r="CI117" s="266" t="n"/>
      <c r="CJ117" s="266" t="n"/>
      <c r="CK117" s="266" t="n"/>
      <c r="CL117" s="266" t="n"/>
      <c r="CM117" s="266" t="n"/>
      <c r="CN117" s="266" t="n"/>
      <c r="CO117" s="266" t="n"/>
      <c r="CP117" s="266" t="n"/>
      <c r="CQ117" s="266" t="n"/>
      <c r="CR117" s="266" t="n"/>
      <c r="CS117" s="266" t="n"/>
      <c r="CT117" s="266" t="n"/>
      <c r="CU117" s="266" t="n"/>
      <c r="CV117" s="266" t="n"/>
      <c r="CW117" s="266" t="n"/>
      <c r="CX117" s="266" t="n"/>
      <c r="CY117" s="266" t="n"/>
    </row>
    <row r="118" hidden="1" outlineLevel="1" ht="12.75" customHeight="1" s="254">
      <c r="C118" s="310" t="inlineStr">
        <is>
          <t>DESPESAS FINANCEIRAS - Encargos sobre empréstimos, financiamentos e debêntures</t>
        </is>
      </c>
      <c r="D118" s="266" t="n"/>
      <c r="E118" s="266" t="n"/>
      <c r="F118" s="266" t="n"/>
      <c r="G118" s="266" t="n"/>
      <c r="H118" s="266" t="n"/>
      <c r="I118" s="266" t="n"/>
      <c r="J118" s="266" t="n"/>
      <c r="K118" s="266" t="n"/>
      <c r="L118" s="266" t="n"/>
      <c r="M118" s="266" t="n"/>
      <c r="N118" s="266" t="n"/>
      <c r="O118" s="266" t="n"/>
      <c r="P118" s="266" t="n"/>
      <c r="Q118" s="266" t="n"/>
      <c r="R118" s="266" t="n"/>
      <c r="S118" s="266" t="n"/>
      <c r="T118" s="266" t="n"/>
      <c r="U118" s="266" t="n"/>
      <c r="V118" s="266" t="n"/>
      <c r="W118" s="266" t="n"/>
      <c r="X118" s="266" t="n"/>
      <c r="Y118" s="266" t="n"/>
      <c r="Z118" s="266" t="n"/>
      <c r="AA118" s="266" t="n"/>
      <c r="AB118" s="266" t="n"/>
      <c r="AC118" s="266" t="n"/>
      <c r="AD118" s="266" t="n"/>
      <c r="AE118" s="266" t="n"/>
      <c r="AF118" s="266" t="n"/>
      <c r="AG118" s="266" t="n"/>
      <c r="AH118" s="266" t="n"/>
      <c r="AI118" s="266" t="n"/>
      <c r="AJ118" s="266" t="n"/>
      <c r="AK118" s="266" t="n"/>
      <c r="AL118" s="266" t="n"/>
      <c r="AM118" s="266" t="n"/>
      <c r="AN118" s="266" t="n"/>
      <c r="AO118" s="266" t="n"/>
      <c r="AP118" s="266" t="n"/>
      <c r="AQ118" s="266" t="n"/>
      <c r="AR118" s="266" t="n"/>
      <c r="AS118" s="266" t="n"/>
      <c r="AT118" s="266" t="n"/>
      <c r="AU118" s="266" t="n"/>
      <c r="AV118" s="266" t="n"/>
      <c r="AW118" s="266" t="n"/>
      <c r="AX118" s="266" t="n"/>
      <c r="AY118" s="266" t="n"/>
      <c r="AZ118" s="266" t="n"/>
      <c r="BA118" s="266" t="n"/>
      <c r="BB118" s="266" t="n"/>
      <c r="BC118" s="266" t="n"/>
      <c r="BD118" s="266" t="n"/>
      <c r="BE118" s="266" t="n"/>
      <c r="BF118" s="266" t="n"/>
      <c r="BG118" s="266" t="n"/>
      <c r="BH118" s="266" t="n"/>
      <c r="BI118" s="266" t="n"/>
      <c r="BJ118" s="266" t="n"/>
      <c r="BK118" s="266" t="n"/>
      <c r="BL118" s="266" t="n"/>
      <c r="BM118" s="266" t="n"/>
      <c r="BN118" s="266" t="n"/>
      <c r="BO118" s="266" t="n"/>
      <c r="BP118" s="266" t="n"/>
      <c r="BQ118" s="266" t="n"/>
      <c r="BR118" s="266" t="n"/>
      <c r="BS118" s="266" t="n"/>
      <c r="BT118" s="266" t="n"/>
      <c r="BU118" s="266" t="n"/>
      <c r="BV118" s="266" t="n"/>
      <c r="BW118" s="266" t="n"/>
      <c r="BX118" s="266" t="n"/>
      <c r="BY118" s="266" t="n"/>
      <c r="BZ118" s="266" t="n"/>
      <c r="CA118" s="266" t="n"/>
      <c r="CB118" s="266" t="n"/>
      <c r="CC118" s="266" t="n"/>
      <c r="CD118" s="266" t="n"/>
      <c r="CE118" s="266" t="n"/>
      <c r="CF118" s="266" t="n"/>
      <c r="CG118" s="266" t="n"/>
      <c r="CH118" s="266" t="n"/>
      <c r="CI118" s="266" t="n"/>
      <c r="CJ118" s="266" t="n"/>
      <c r="CK118" s="266" t="n"/>
      <c r="CL118" s="266" t="n"/>
      <c r="CM118" s="266" t="n"/>
      <c r="CN118" s="266" t="n"/>
      <c r="CO118" s="266" t="n"/>
      <c r="CP118" s="266" t="n"/>
      <c r="CQ118" s="266" t="n"/>
      <c r="CR118" s="266" t="n"/>
      <c r="CS118" s="266" t="n"/>
      <c r="CT118" s="266" t="n"/>
      <c r="CU118" s="266" t="n"/>
      <c r="CV118" s="266" t="n"/>
      <c r="CW118" s="266" t="n"/>
      <c r="CX118" s="266" t="n"/>
      <c r="CY118" s="266" t="n"/>
    </row>
    <row r="119" hidden="1" outlineLevel="1" ht="12.75" customHeight="1" s="254">
      <c r="C119" s="310" t="inlineStr">
        <is>
          <t>DESPESAS FINANCEIRAS - Variação cambial passiva</t>
        </is>
      </c>
      <c r="D119" s="266" t="n"/>
      <c r="E119" s="266" t="n"/>
      <c r="F119" s="266" t="n"/>
      <c r="G119" s="266" t="n"/>
      <c r="H119" s="266" t="n"/>
      <c r="I119" s="266" t="n"/>
      <c r="J119" s="266" t="n"/>
      <c r="K119" s="266" t="n"/>
      <c r="L119" s="266" t="n"/>
      <c r="M119" s="266" t="n"/>
      <c r="N119" s="266" t="n"/>
      <c r="O119" s="266" t="n"/>
      <c r="P119" s="266" t="n"/>
      <c r="Q119" s="266" t="n"/>
      <c r="R119" s="266" t="n"/>
      <c r="S119" s="266" t="n"/>
      <c r="T119" s="266" t="n"/>
      <c r="U119" s="266" t="n"/>
      <c r="V119" s="266" t="n"/>
      <c r="W119" s="266" t="n"/>
      <c r="X119" s="266" t="n"/>
      <c r="Y119" s="266" t="n"/>
      <c r="Z119" s="266" t="n"/>
      <c r="AA119" s="266" t="n"/>
      <c r="AB119" s="266" t="n"/>
      <c r="AC119" s="266" t="n"/>
      <c r="AD119" s="266" t="n"/>
      <c r="AE119" s="266" t="n"/>
      <c r="AF119" s="266" t="n"/>
      <c r="AG119" s="266" t="n"/>
      <c r="AH119" s="266" t="n"/>
      <c r="AI119" s="266" t="n"/>
      <c r="AJ119" s="266" t="n"/>
      <c r="AK119" s="266" t="n"/>
      <c r="AL119" s="266" t="n"/>
      <c r="AM119" s="266" t="n"/>
      <c r="AN119" s="266" t="n"/>
      <c r="AO119" s="266" t="n"/>
      <c r="AP119" s="266" t="n"/>
      <c r="AQ119" s="266" t="n"/>
      <c r="AR119" s="266" t="n"/>
      <c r="AS119" s="266" t="n"/>
      <c r="AT119" s="266" t="n"/>
      <c r="AU119" s="266" t="n"/>
      <c r="AV119" s="266" t="n"/>
      <c r="AW119" s="266" t="n"/>
      <c r="AX119" s="266" t="n"/>
      <c r="AY119" s="266" t="n"/>
      <c r="AZ119" s="266" t="n"/>
      <c r="BA119" s="266" t="n"/>
      <c r="BB119" s="266" t="n"/>
      <c r="BC119" s="266" t="n"/>
      <c r="BD119" s="266" t="n"/>
      <c r="BE119" s="266" t="n"/>
      <c r="BF119" s="266" t="n"/>
      <c r="BG119" s="266" t="n"/>
      <c r="BH119" s="266" t="n"/>
      <c r="BI119" s="266" t="n"/>
      <c r="BJ119" s="266" t="n"/>
      <c r="BK119" s="266" t="n"/>
      <c r="BL119" s="266" t="n"/>
      <c r="BM119" s="266" t="n"/>
      <c r="BN119" s="266" t="n"/>
      <c r="BO119" s="266" t="n"/>
      <c r="BP119" s="266" t="n"/>
      <c r="BQ119" s="266" t="n"/>
      <c r="BR119" s="266" t="n"/>
      <c r="BS119" s="266" t="n"/>
      <c r="BT119" s="266" t="n"/>
      <c r="BU119" s="266" t="n"/>
      <c r="BV119" s="266" t="n"/>
      <c r="BW119" s="266" t="n"/>
      <c r="BX119" s="266" t="n"/>
      <c r="BY119" s="266" t="n"/>
      <c r="BZ119" s="266" t="n"/>
      <c r="CA119" s="266" t="n"/>
      <c r="CB119" s="266" t="n"/>
      <c r="CC119" s="266" t="n"/>
      <c r="CD119" s="266" t="n"/>
      <c r="CE119" s="266" t="n"/>
      <c r="CF119" s="266" t="n"/>
      <c r="CG119" s="266" t="n"/>
      <c r="CH119" s="266" t="n"/>
      <c r="CI119" s="266" t="n"/>
      <c r="CJ119" s="266" t="n"/>
      <c r="CK119" s="266" t="n"/>
      <c r="CL119" s="266" t="n"/>
      <c r="CM119" s="266" t="n"/>
      <c r="CN119" s="266" t="n"/>
      <c r="CO119" s="266" t="n"/>
      <c r="CP119" s="266" t="n"/>
      <c r="CQ119" s="266" t="n"/>
      <c r="CR119" s="266" t="n"/>
      <c r="CS119" s="266" t="n"/>
      <c r="CT119" s="266" t="n"/>
      <c r="CU119" s="266" t="n"/>
      <c r="CV119" s="266" t="n"/>
      <c r="CW119" s="266" t="n"/>
      <c r="CX119" s="266" t="n"/>
      <c r="CY119" s="266" t="n"/>
    </row>
    <row r="120" hidden="1" outlineLevel="1" ht="12.75" customHeight="1" s="254">
      <c r="C120" s="310" t="inlineStr">
        <is>
          <t>DESPESAS FINANCEIRAS - Resultado negativo com instrumentos derivativos</t>
        </is>
      </c>
      <c r="D120" s="266" t="n"/>
      <c r="E120" s="266" t="n"/>
      <c r="F120" s="266" t="n"/>
      <c r="G120" s="266" t="n"/>
      <c r="H120" s="266" t="n"/>
      <c r="I120" s="266" t="n"/>
      <c r="J120" s="266" t="n"/>
      <c r="K120" s="266" t="n"/>
      <c r="L120" s="266" t="n"/>
      <c r="M120" s="266" t="n"/>
      <c r="N120" s="266" t="n"/>
      <c r="O120" s="266" t="n"/>
      <c r="P120" s="266" t="n"/>
      <c r="Q120" s="266" t="n"/>
      <c r="R120" s="266" t="n"/>
      <c r="S120" s="266" t="n"/>
      <c r="T120" s="266" t="n"/>
      <c r="U120" s="266" t="n"/>
      <c r="V120" s="266" t="n"/>
      <c r="W120" s="266" t="n"/>
      <c r="X120" s="266" t="n"/>
      <c r="Y120" s="266" t="n"/>
      <c r="Z120" s="266" t="n"/>
      <c r="AA120" s="266" t="n"/>
      <c r="AB120" s="266" t="n"/>
      <c r="AC120" s="266" t="n"/>
      <c r="AD120" s="266" t="n"/>
      <c r="AE120" s="266" t="n"/>
      <c r="AF120" s="266" t="n"/>
      <c r="AG120" s="266" t="n"/>
      <c r="AH120" s="266" t="n"/>
      <c r="AI120" s="266" t="n"/>
      <c r="AJ120" s="266" t="n"/>
      <c r="AK120" s="266" t="n"/>
      <c r="AL120" s="266" t="n"/>
      <c r="AM120" s="266" t="n"/>
      <c r="AN120" s="266" t="n"/>
      <c r="AO120" s="266" t="n"/>
      <c r="AP120" s="266" t="n"/>
      <c r="AQ120" s="266" t="n"/>
      <c r="AR120" s="266" t="n"/>
      <c r="AS120" s="266" t="n"/>
      <c r="AT120" s="266" t="n"/>
      <c r="AU120" s="266" t="n"/>
      <c r="AV120" s="266" t="n"/>
      <c r="AW120" s="266" t="n"/>
      <c r="AX120" s="266" t="n"/>
      <c r="AY120" s="266" t="n"/>
      <c r="AZ120" s="266" t="n"/>
      <c r="BA120" s="266" t="n"/>
      <c r="BB120" s="266" t="n"/>
      <c r="BC120" s="266" t="n"/>
      <c r="BD120" s="266" t="n"/>
      <c r="BE120" s="266" t="n"/>
      <c r="BF120" s="266" t="n"/>
      <c r="BG120" s="266" t="n"/>
      <c r="BH120" s="266" t="n"/>
      <c r="BI120" s="266" t="n"/>
      <c r="BJ120" s="266" t="n"/>
      <c r="BK120" s="266" t="n"/>
      <c r="BL120" s="266" t="n"/>
      <c r="BM120" s="266" t="n"/>
      <c r="BN120" s="266" t="n"/>
      <c r="BO120" s="266" t="n"/>
      <c r="BP120" s="266" t="n"/>
      <c r="BQ120" s="266" t="n"/>
      <c r="BR120" s="266" t="n"/>
      <c r="BS120" s="266" t="n"/>
      <c r="BT120" s="266" t="n"/>
      <c r="BU120" s="266" t="n"/>
      <c r="BV120" s="266" t="n"/>
      <c r="BW120" s="266" t="n"/>
      <c r="BX120" s="266" t="n"/>
      <c r="BY120" s="266" t="n"/>
      <c r="BZ120" s="266" t="n"/>
      <c r="CA120" s="266" t="n"/>
      <c r="CB120" s="266" t="n"/>
      <c r="CC120" s="266" t="n"/>
      <c r="CD120" s="266" t="n"/>
      <c r="CE120" s="266" t="n"/>
      <c r="CF120" s="266" t="n"/>
      <c r="CG120" s="266" t="n"/>
      <c r="CH120" s="266" t="n"/>
      <c r="CI120" s="266" t="n"/>
      <c r="CJ120" s="266" t="n"/>
      <c r="CK120" s="266" t="n"/>
      <c r="CL120" s="266" t="n"/>
      <c r="CM120" s="266" t="n"/>
      <c r="CN120" s="266" t="n"/>
      <c r="CO120" s="266" t="n"/>
      <c r="CP120" s="266" t="n"/>
      <c r="CQ120" s="266" t="n"/>
      <c r="CR120" s="266" t="n"/>
      <c r="CS120" s="266" t="n"/>
      <c r="CT120" s="266" t="n"/>
      <c r="CU120" s="266" t="n"/>
      <c r="CV120" s="266" t="n"/>
      <c r="CW120" s="266" t="n"/>
      <c r="CX120" s="266" t="n"/>
      <c r="CY120" s="266" t="n"/>
    </row>
    <row r="121" hidden="1" outlineLevel="1" ht="12.75" customHeight="1" s="254">
      <c r="C121" s="310" t="inlineStr">
        <is>
          <t>DESPESAS FINANCEIRAS - Juros sobre arrendamento - IFRS16</t>
        </is>
      </c>
      <c r="D121" s="266" t="n"/>
      <c r="E121" s="266" t="n"/>
      <c r="F121" s="266" t="n"/>
      <c r="G121" s="266" t="n"/>
      <c r="H121" s="266" t="n"/>
      <c r="I121" s="266" t="n"/>
      <c r="J121" s="266" t="n"/>
      <c r="K121" s="266" t="n"/>
      <c r="L121" s="266" t="n"/>
      <c r="M121" s="266" t="n"/>
      <c r="N121" s="266" t="n"/>
      <c r="O121" s="266" t="n"/>
      <c r="P121" s="266" t="n"/>
      <c r="Q121" s="266" t="n"/>
      <c r="R121" s="266" t="n"/>
      <c r="S121" s="266" t="n"/>
      <c r="T121" s="266" t="n"/>
      <c r="U121" s="266" t="n"/>
      <c r="V121" s="266" t="n"/>
      <c r="W121" s="266" t="n"/>
      <c r="X121" s="266" t="n"/>
      <c r="Y121" s="266" t="n"/>
      <c r="Z121" s="266" t="n"/>
      <c r="AA121" s="266" t="n"/>
      <c r="AB121" s="266" t="n"/>
      <c r="AC121" s="266" t="n"/>
      <c r="AD121" s="266" t="n"/>
      <c r="AE121" s="266" t="n"/>
      <c r="AF121" s="266" t="n"/>
      <c r="AG121" s="266" t="n"/>
      <c r="AH121" s="266" t="n"/>
      <c r="AI121" s="266" t="n"/>
      <c r="AJ121" s="266" t="n"/>
      <c r="AK121" s="266" t="n"/>
      <c r="AL121" s="266" t="n"/>
      <c r="AM121" s="266" t="n"/>
      <c r="AN121" s="266" t="n"/>
      <c r="AO121" s="266" t="n"/>
      <c r="AP121" s="266" t="n"/>
      <c r="AQ121" s="266" t="n"/>
      <c r="AR121" s="266" t="n"/>
      <c r="AS121" s="266" t="n"/>
      <c r="AT121" s="266" t="n"/>
      <c r="AU121" s="266" t="n"/>
      <c r="AV121" s="266" t="n"/>
      <c r="AW121" s="266" t="n"/>
      <c r="AX121" s="266" t="n"/>
      <c r="AY121" s="266" t="n"/>
      <c r="AZ121" s="266" t="n"/>
      <c r="BA121" s="266" t="n"/>
      <c r="BB121" s="266" t="n"/>
      <c r="BC121" s="266" t="n"/>
      <c r="BD121" s="266" t="n"/>
      <c r="BE121" s="266" t="n"/>
      <c r="BF121" s="266" t="n"/>
      <c r="BG121" s="266" t="n"/>
      <c r="BH121" s="266" t="n"/>
      <c r="BI121" s="266" t="n"/>
      <c r="BJ121" s="266" t="n"/>
      <c r="BK121" s="266" t="n"/>
      <c r="BL121" s="266" t="n"/>
      <c r="BM121" s="266" t="n"/>
      <c r="BN121" s="266" t="n"/>
      <c r="BO121" s="266" t="n"/>
      <c r="BP121" s="266" t="n"/>
      <c r="BQ121" s="266" t="n"/>
      <c r="BR121" s="266" t="n"/>
      <c r="BS121" s="266" t="n"/>
      <c r="BT121" s="266" t="n"/>
      <c r="BU121" s="266" t="n"/>
      <c r="BV121" s="266" t="n"/>
      <c r="BW121" s="266" t="n"/>
      <c r="BX121" s="266" t="n"/>
      <c r="BY121" s="266" t="n"/>
      <c r="BZ121" s="266" t="n"/>
      <c r="CA121" s="266" t="n"/>
      <c r="CB121" s="266" t="n"/>
      <c r="CC121" s="266" t="n"/>
      <c r="CD121" s="266" t="n"/>
      <c r="CE121" s="266" t="n"/>
      <c r="CF121" s="266" t="n"/>
      <c r="CG121" s="266" t="n"/>
      <c r="CH121" s="266" t="n"/>
      <c r="CI121" s="266" t="n"/>
      <c r="CJ121" s="266" t="n"/>
      <c r="CK121" s="266" t="n"/>
      <c r="CL121" s="266" t="n"/>
      <c r="CM121" s="266" t="n"/>
      <c r="CN121" s="266" t="n"/>
      <c r="CO121" s="266" t="n"/>
      <c r="CP121" s="266" t="n"/>
      <c r="CQ121" s="266" t="n"/>
      <c r="CR121" s="266" t="n"/>
      <c r="CS121" s="266" t="n"/>
      <c r="CT121" s="266" t="n"/>
      <c r="CU121" s="266" t="n"/>
      <c r="CV121" s="266" t="n"/>
      <c r="CW121" s="266" t="n"/>
      <c r="CX121" s="266" t="n"/>
      <c r="CY121" s="266" t="n"/>
    </row>
    <row r="122" hidden="1" outlineLevel="1" ht="12.75" customHeight="1" s="254">
      <c r="C122" s="310" t="inlineStr">
        <is>
          <t>DESPESAS FINANCEIRAS - Despesas bancárias</t>
        </is>
      </c>
      <c r="D122" s="266" t="n"/>
      <c r="E122" s="266" t="n"/>
      <c r="F122" s="266" t="n"/>
      <c r="G122" s="266" t="n"/>
      <c r="H122" s="266" t="n"/>
      <c r="I122" s="266" t="n"/>
      <c r="J122" s="266" t="n"/>
      <c r="K122" s="266" t="n"/>
      <c r="L122" s="266" t="n"/>
      <c r="M122" s="266" t="n"/>
      <c r="N122" s="266" t="n"/>
      <c r="O122" s="266" t="n"/>
      <c r="P122" s="266" t="n"/>
      <c r="Q122" s="266" t="n"/>
      <c r="R122" s="266" t="n"/>
      <c r="S122" s="266" t="n"/>
      <c r="T122" s="266" t="n"/>
      <c r="U122" s="266" t="n"/>
      <c r="V122" s="266" t="n"/>
      <c r="W122" s="266" t="n"/>
      <c r="X122" s="266" t="n"/>
      <c r="Y122" s="266" t="n"/>
      <c r="Z122" s="266" t="n"/>
      <c r="AA122" s="266" t="n"/>
      <c r="AB122" s="266" t="n"/>
      <c r="AC122" s="266" t="n"/>
      <c r="AD122" s="266" t="n"/>
      <c r="AE122" s="266" t="n"/>
      <c r="AF122" s="266" t="n"/>
      <c r="AG122" s="266" t="n"/>
      <c r="AH122" s="266" t="n"/>
      <c r="AI122" s="266" t="n"/>
      <c r="AJ122" s="266" t="n"/>
      <c r="AK122" s="266" t="n"/>
      <c r="AL122" s="266" t="n"/>
      <c r="AM122" s="266" t="n"/>
      <c r="AN122" s="266" t="n"/>
      <c r="AO122" s="266" t="n"/>
      <c r="AP122" s="266" t="n"/>
      <c r="AQ122" s="266" t="n"/>
      <c r="AR122" s="266" t="n"/>
      <c r="AS122" s="266" t="n"/>
      <c r="AT122" s="266" t="n"/>
      <c r="AU122" s="266" t="n"/>
      <c r="AV122" s="266" t="n"/>
      <c r="AW122" s="266" t="n"/>
      <c r="AX122" s="266" t="n"/>
      <c r="AY122" s="266" t="n"/>
      <c r="AZ122" s="266" t="n"/>
      <c r="BA122" s="266" t="n"/>
      <c r="BB122" s="266" t="n"/>
      <c r="BC122" s="266" t="n"/>
      <c r="BD122" s="266" t="n"/>
      <c r="BE122" s="266" t="n"/>
      <c r="BF122" s="266" t="n"/>
      <c r="BG122" s="266" t="n"/>
      <c r="BH122" s="266" t="n"/>
      <c r="BI122" s="266" t="n"/>
      <c r="BJ122" s="266" t="n"/>
      <c r="BK122" s="266" t="n"/>
      <c r="BL122" s="266" t="n"/>
      <c r="BM122" s="266" t="n"/>
      <c r="BN122" s="266" t="n"/>
      <c r="BO122" s="266" t="n"/>
      <c r="BP122" s="266" t="n"/>
      <c r="BQ122" s="266" t="n"/>
      <c r="BR122" s="266" t="n"/>
      <c r="BS122" s="266" t="n"/>
      <c r="BT122" s="266" t="n"/>
      <c r="BU122" s="266" t="n"/>
      <c r="BV122" s="266" t="n"/>
      <c r="BW122" s="266" t="n"/>
      <c r="BX122" s="266" t="n"/>
      <c r="BY122" s="266" t="n"/>
      <c r="BZ122" s="266" t="n"/>
      <c r="CA122" s="266" t="n"/>
      <c r="CB122" s="266" t="n"/>
      <c r="CC122" s="266" t="n"/>
      <c r="CD122" s="266" t="n"/>
      <c r="CE122" s="266" t="n"/>
      <c r="CF122" s="266" t="n"/>
      <c r="CG122" s="266" t="n"/>
      <c r="CH122" s="266" t="n"/>
      <c r="CI122" s="266" t="n"/>
      <c r="CJ122" s="266" t="n"/>
      <c r="CK122" s="266" t="n"/>
      <c r="CL122" s="266" t="n"/>
      <c r="CM122" s="266" t="n"/>
      <c r="CN122" s="266" t="n"/>
      <c r="CO122" s="266" t="n"/>
      <c r="CP122" s="266" t="n"/>
      <c r="CQ122" s="266" t="n"/>
      <c r="CR122" s="266" t="n"/>
      <c r="CS122" s="266" t="n"/>
      <c r="CT122" s="266" t="n"/>
      <c r="CU122" s="266" t="n"/>
      <c r="CV122" s="266" t="n"/>
      <c r="CW122" s="266" t="n"/>
      <c r="CX122" s="266" t="n"/>
      <c r="CY122" s="266" t="n"/>
    </row>
    <row r="123" hidden="1" outlineLevel="1" ht="12.75" customHeight="1" s="254">
      <c r="C123" s="310" t="inlineStr">
        <is>
          <t>DESPESAS FINANCEIRAS - Despesas com obtenção de empréstimos e financiamentos</t>
        </is>
      </c>
      <c r="D123" s="266" t="n"/>
      <c r="E123" s="266" t="n"/>
      <c r="F123" s="266" t="n"/>
      <c r="G123" s="266" t="n"/>
      <c r="H123" s="266" t="n"/>
      <c r="I123" s="266" t="n"/>
      <c r="J123" s="266" t="n"/>
      <c r="K123" s="266" t="n"/>
      <c r="L123" s="266" t="n"/>
      <c r="M123" s="266" t="n"/>
      <c r="N123" s="266" t="n"/>
      <c r="O123" s="266" t="n"/>
      <c r="P123" s="266" t="n"/>
      <c r="Q123" s="266" t="n"/>
      <c r="R123" s="266" t="n"/>
      <c r="S123" s="266" t="n"/>
      <c r="T123" s="266" t="n"/>
      <c r="U123" s="266" t="n"/>
      <c r="V123" s="266" t="n"/>
      <c r="W123" s="266" t="n"/>
      <c r="X123" s="266" t="n"/>
      <c r="Y123" s="266" t="n"/>
      <c r="Z123" s="266" t="n"/>
      <c r="AA123" s="266" t="n"/>
      <c r="AB123" s="266" t="n"/>
      <c r="AC123" s="266" t="n"/>
      <c r="AD123" s="266" t="n"/>
      <c r="AE123" s="266" t="n"/>
      <c r="AF123" s="266" t="n"/>
      <c r="AG123" s="266" t="n"/>
      <c r="AH123" s="266" t="n"/>
      <c r="AI123" s="266" t="n"/>
      <c r="AJ123" s="266" t="n"/>
      <c r="AK123" s="266" t="n"/>
      <c r="AL123" s="266" t="n"/>
      <c r="AM123" s="266" t="n"/>
      <c r="AN123" s="266" t="n"/>
      <c r="AO123" s="266" t="n"/>
      <c r="AP123" s="266" t="n"/>
      <c r="AQ123" s="266" t="n"/>
      <c r="AR123" s="266" t="n"/>
      <c r="AS123" s="266" t="n"/>
      <c r="AT123" s="266" t="n"/>
      <c r="AU123" s="266" t="n"/>
      <c r="AV123" s="266" t="n"/>
      <c r="AW123" s="266" t="n"/>
      <c r="AX123" s="266" t="n"/>
      <c r="AY123" s="266" t="n"/>
      <c r="AZ123" s="266" t="n"/>
      <c r="BA123" s="266" t="n"/>
      <c r="BB123" s="266" t="n"/>
      <c r="BC123" s="266" t="n"/>
      <c r="BD123" s="266" t="n"/>
      <c r="BE123" s="266" t="n"/>
      <c r="BF123" s="266" t="n"/>
      <c r="BG123" s="266" t="n"/>
      <c r="BH123" s="266" t="n"/>
      <c r="BI123" s="266" t="n"/>
      <c r="BJ123" s="266" t="n"/>
      <c r="BK123" s="266" t="n"/>
      <c r="BL123" s="266" t="n"/>
      <c r="BM123" s="266" t="n"/>
      <c r="BN123" s="266" t="n"/>
      <c r="BO123" s="266" t="n"/>
      <c r="BP123" s="266" t="n"/>
      <c r="BQ123" s="266" t="n"/>
      <c r="BR123" s="266" t="n"/>
      <c r="BS123" s="266" t="n"/>
      <c r="BT123" s="266" t="n"/>
      <c r="BU123" s="266" t="n"/>
      <c r="BV123" s="266" t="n"/>
      <c r="BW123" s="266" t="n"/>
      <c r="BX123" s="266" t="n"/>
      <c r="BY123" s="266" t="n"/>
      <c r="BZ123" s="266" t="n"/>
      <c r="CA123" s="266" t="n"/>
      <c r="CB123" s="266" t="n"/>
      <c r="CC123" s="266" t="n"/>
      <c r="CD123" s="266" t="n"/>
      <c r="CE123" s="266" t="n"/>
      <c r="CF123" s="266" t="n"/>
      <c r="CG123" s="266" t="n"/>
      <c r="CH123" s="266" t="n"/>
      <c r="CI123" s="266" t="n"/>
      <c r="CJ123" s="266" t="n"/>
      <c r="CK123" s="266" t="n"/>
      <c r="CL123" s="266" t="n"/>
      <c r="CM123" s="266" t="n"/>
      <c r="CN123" s="266" t="n"/>
      <c r="CO123" s="266" t="n"/>
      <c r="CP123" s="266" t="n"/>
      <c r="CQ123" s="266" t="n"/>
      <c r="CR123" s="266" t="n"/>
      <c r="CS123" s="266" t="n"/>
      <c r="CT123" s="266" t="n"/>
      <c r="CU123" s="266" t="n"/>
      <c r="CV123" s="266" t="n"/>
      <c r="CW123" s="266" t="n"/>
      <c r="CX123" s="266" t="n"/>
      <c r="CY123" s="266" t="n"/>
    </row>
    <row r="124" hidden="1" outlineLevel="1" ht="12.75" customHeight="1" s="254">
      <c r="C124" s="310" t="inlineStr">
        <is>
          <t>DESPESAS FINANCEIRAS - Atualização de contas a pagar por aquisição de empresas</t>
        </is>
      </c>
      <c r="D124" s="266" t="n"/>
      <c r="E124" s="266" t="n"/>
      <c r="F124" s="266" t="n"/>
      <c r="G124" s="266" t="n"/>
      <c r="H124" s="266" t="n"/>
      <c r="I124" s="266" t="n"/>
      <c r="J124" s="266" t="n"/>
      <c r="K124" s="266" t="n"/>
      <c r="L124" s="266" t="n"/>
      <c r="M124" s="266" t="n"/>
      <c r="N124" s="266" t="n"/>
      <c r="O124" s="266" t="n"/>
      <c r="P124" s="266" t="n"/>
      <c r="Q124" s="266" t="n"/>
      <c r="R124" s="266" t="n"/>
      <c r="S124" s="266" t="n"/>
      <c r="T124" s="266" t="n"/>
      <c r="U124" s="266" t="n"/>
      <c r="V124" s="266" t="n"/>
      <c r="W124" s="266" t="n"/>
      <c r="X124" s="266" t="n"/>
      <c r="Y124" s="266" t="n"/>
      <c r="Z124" s="266" t="n"/>
      <c r="AA124" s="266" t="n"/>
      <c r="AB124" s="266" t="n"/>
      <c r="AC124" s="266" t="n"/>
      <c r="AD124" s="266" t="n"/>
      <c r="AE124" s="266" t="n"/>
      <c r="AF124" s="266" t="n"/>
      <c r="AG124" s="266" t="n"/>
      <c r="AH124" s="266" t="n"/>
      <c r="AI124" s="266" t="n"/>
      <c r="AJ124" s="266" t="n"/>
      <c r="AK124" s="266" t="n"/>
      <c r="AL124" s="266" t="n"/>
      <c r="AM124" s="266" t="n"/>
      <c r="AN124" s="266" t="n"/>
      <c r="AO124" s="266" t="n"/>
      <c r="AP124" s="266" t="n"/>
      <c r="AQ124" s="266" t="n"/>
      <c r="AR124" s="266" t="n"/>
      <c r="AS124" s="266" t="n"/>
      <c r="AT124" s="266" t="n"/>
      <c r="AU124" s="266" t="n"/>
      <c r="AV124" s="266" t="n"/>
      <c r="AW124" s="266" t="n"/>
      <c r="AX124" s="266" t="n"/>
      <c r="AY124" s="266" t="n"/>
      <c r="AZ124" s="266" t="n"/>
      <c r="BA124" s="266" t="n"/>
      <c r="BB124" s="266" t="n"/>
      <c r="BC124" s="266" t="n"/>
      <c r="BD124" s="266" t="n"/>
      <c r="BE124" s="266" t="n"/>
      <c r="BF124" s="266" t="n"/>
      <c r="BG124" s="266" t="n"/>
      <c r="BH124" s="266" t="n"/>
      <c r="BI124" s="266" t="n"/>
      <c r="BJ124" s="266" t="n"/>
      <c r="BK124" s="266" t="n"/>
      <c r="BL124" s="266" t="n"/>
      <c r="BM124" s="266" t="n"/>
      <c r="BN124" s="266" t="n"/>
      <c r="BO124" s="266" t="n"/>
      <c r="BP124" s="266" t="n"/>
      <c r="BQ124" s="266" t="n"/>
      <c r="BR124" s="266" t="n"/>
      <c r="BS124" s="266" t="n"/>
      <c r="BT124" s="266" t="n"/>
      <c r="BU124" s="266" t="n"/>
      <c r="BV124" s="266" t="n"/>
      <c r="BW124" s="266" t="n"/>
      <c r="BX124" s="266" t="n"/>
      <c r="BY124" s="266" t="n"/>
      <c r="BZ124" s="266" t="n"/>
      <c r="CA124" s="266" t="n"/>
      <c r="CB124" s="266" t="n"/>
      <c r="CC124" s="266" t="n"/>
      <c r="CD124" s="266" t="n"/>
      <c r="CE124" s="266" t="n"/>
      <c r="CF124" s="266" t="n"/>
      <c r="CG124" s="266" t="n"/>
      <c r="CH124" s="266" t="n"/>
      <c r="CI124" s="266" t="n"/>
      <c r="CJ124" s="266" t="n"/>
      <c r="CK124" s="266" t="n"/>
      <c r="CL124" s="266" t="n"/>
      <c r="CM124" s="266" t="n"/>
      <c r="CN124" s="266" t="n"/>
      <c r="CO124" s="266" t="n"/>
      <c r="CP124" s="266" t="n"/>
      <c r="CQ124" s="266" t="n"/>
      <c r="CR124" s="266" t="n"/>
      <c r="CS124" s="266" t="n"/>
      <c r="CT124" s="266" t="n"/>
      <c r="CU124" s="266" t="n"/>
      <c r="CV124" s="266" t="n"/>
      <c r="CW124" s="266" t="n"/>
      <c r="CX124" s="266" t="n"/>
      <c r="CY124" s="266" t="n"/>
    </row>
    <row r="125" hidden="1" outlineLevel="1" ht="12.75" customHeight="1" s="254">
      <c r="C125" s="310" t="inlineStr">
        <is>
          <t>DESPESAS FINANCEIRAS - Outras</t>
        </is>
      </c>
      <c r="D125" s="266" t="n"/>
      <c r="E125" s="266" t="n"/>
      <c r="F125" s="266" t="n"/>
      <c r="G125" s="266" t="n"/>
      <c r="H125" s="266" t="n"/>
      <c r="I125" s="266" t="n"/>
      <c r="J125" s="266" t="n"/>
      <c r="K125" s="266" t="n"/>
      <c r="L125" s="266" t="n"/>
      <c r="M125" s="266" t="n"/>
      <c r="N125" s="266" t="n"/>
      <c r="O125" s="266" t="n"/>
      <c r="P125" s="266" t="n"/>
      <c r="Q125" s="266" t="n"/>
      <c r="R125" s="266" t="n"/>
      <c r="S125" s="266" t="n"/>
      <c r="T125" s="266" t="n"/>
      <c r="U125" s="266" t="n"/>
      <c r="V125" s="266" t="n"/>
      <c r="W125" s="266" t="n"/>
      <c r="X125" s="266" t="n"/>
      <c r="Y125" s="266" t="n"/>
      <c r="Z125" s="266" t="n"/>
      <c r="AA125" s="266" t="n"/>
      <c r="AB125" s="266" t="n"/>
      <c r="AC125" s="266" t="n"/>
      <c r="AD125" s="266" t="n"/>
      <c r="AE125" s="266" t="n"/>
      <c r="AF125" s="266" t="n"/>
      <c r="AG125" s="266" t="n"/>
      <c r="AH125" s="266" t="n"/>
      <c r="AI125" s="266" t="n"/>
      <c r="AJ125" s="266" t="n"/>
      <c r="AK125" s="266" t="n"/>
      <c r="AL125" s="266" t="n"/>
      <c r="AM125" s="266" t="n"/>
      <c r="AN125" s="266" t="n"/>
      <c r="AO125" s="266" t="n"/>
      <c r="AP125" s="266" t="n"/>
      <c r="AQ125" s="266" t="n"/>
      <c r="AR125" s="266" t="n"/>
      <c r="AS125" s="266" t="n"/>
      <c r="AT125" s="266" t="n"/>
      <c r="AU125" s="266" t="n"/>
      <c r="AV125" s="266" t="n"/>
      <c r="AW125" s="266" t="n"/>
      <c r="AX125" s="266" t="n"/>
      <c r="AY125" s="266" t="n"/>
      <c r="AZ125" s="266" t="n"/>
      <c r="BA125" s="266" t="n"/>
      <c r="BB125" s="266" t="n"/>
      <c r="BC125" s="266" t="n"/>
      <c r="BD125" s="266" t="n"/>
      <c r="BE125" s="266" t="n"/>
      <c r="BF125" s="266" t="n"/>
      <c r="BG125" s="266" t="n"/>
      <c r="BH125" s="266" t="n"/>
      <c r="BI125" s="266" t="n"/>
      <c r="BJ125" s="266" t="n"/>
      <c r="BK125" s="266" t="n"/>
      <c r="BL125" s="266" t="n"/>
      <c r="BM125" s="266" t="n"/>
      <c r="BN125" s="266" t="n"/>
      <c r="BO125" s="266" t="n"/>
      <c r="BP125" s="266" t="n"/>
      <c r="BQ125" s="266" t="n"/>
      <c r="BR125" s="266" t="n"/>
      <c r="BS125" s="266" t="n"/>
      <c r="BT125" s="266" t="n"/>
      <c r="BU125" s="266" t="n"/>
      <c r="BV125" s="266" t="n"/>
      <c r="BW125" s="266" t="n"/>
      <c r="BX125" s="266" t="n"/>
      <c r="BY125" s="266" t="n"/>
      <c r="BZ125" s="266" t="n"/>
      <c r="CA125" s="266" t="n"/>
      <c r="CB125" s="266" t="n"/>
      <c r="CC125" s="266" t="n"/>
      <c r="CD125" s="266" t="n"/>
      <c r="CE125" s="266" t="n"/>
      <c r="CF125" s="266" t="n"/>
      <c r="CG125" s="266" t="n"/>
      <c r="CH125" s="266" t="n"/>
      <c r="CI125" s="266" t="n"/>
      <c r="CJ125" s="266" t="n"/>
      <c r="CK125" s="266" t="n"/>
      <c r="CL125" s="266" t="n"/>
      <c r="CM125" s="266" t="n"/>
      <c r="CN125" s="266" t="n"/>
      <c r="CO125" s="266" t="n"/>
      <c r="CP125" s="266" t="n"/>
      <c r="CQ125" s="266" t="n"/>
      <c r="CR125" s="266" t="n"/>
      <c r="CS125" s="266" t="n"/>
      <c r="CT125" s="266" t="n"/>
      <c r="CU125" s="266" t="n"/>
      <c r="CV125" s="266" t="n"/>
      <c r="CW125" s="266" t="n"/>
      <c r="CX125" s="266" t="n"/>
      <c r="CY125" s="266" t="n"/>
    </row>
    <row r="126" hidden="1" outlineLevel="1" ht="12.75" customHeight="1" s="254">
      <c r="C126" s="310" t="n"/>
      <c r="D126" s="266" t="n"/>
      <c r="E126" s="266" t="n"/>
      <c r="F126" s="266" t="n"/>
      <c r="G126" s="266" t="n"/>
      <c r="H126" s="266" t="n"/>
      <c r="I126" s="266" t="n"/>
      <c r="J126" s="266" t="n"/>
      <c r="K126" s="266" t="n"/>
      <c r="L126" s="266" t="n"/>
      <c r="M126" s="266" t="n"/>
      <c r="N126" s="266" t="n"/>
      <c r="O126" s="266" t="n"/>
      <c r="P126" s="266" t="n"/>
      <c r="Q126" s="266" t="n"/>
      <c r="R126" s="266" t="n"/>
      <c r="S126" s="266" t="n"/>
      <c r="T126" s="266" t="n"/>
      <c r="U126" s="266" t="n"/>
      <c r="V126" s="266" t="n"/>
      <c r="W126" s="266" t="n"/>
      <c r="X126" s="266" t="n"/>
      <c r="Y126" s="266" t="n"/>
      <c r="Z126" s="266" t="n"/>
      <c r="AA126" s="266" t="n"/>
      <c r="AB126" s="266" t="n"/>
      <c r="AC126" s="266" t="n"/>
      <c r="AD126" s="266" t="n"/>
      <c r="AE126" s="266" t="n"/>
      <c r="AF126" s="266" t="n"/>
      <c r="AG126" s="266" t="n"/>
      <c r="AH126" s="266" t="n"/>
      <c r="AI126" s="266" t="n"/>
      <c r="AJ126" s="266" t="n"/>
      <c r="AK126" s="266" t="n"/>
      <c r="AL126" s="266" t="n"/>
      <c r="AM126" s="266" t="n"/>
      <c r="AN126" s="266" t="n"/>
      <c r="AO126" s="266" t="n"/>
      <c r="AP126" s="266" t="n"/>
      <c r="AQ126" s="266" t="n"/>
      <c r="AR126" s="266" t="n"/>
      <c r="AS126" s="266" t="n"/>
      <c r="AT126" s="266" t="n"/>
      <c r="AU126" s="266" t="n"/>
      <c r="AV126" s="266" t="n"/>
      <c r="AW126" s="266" t="n"/>
      <c r="AX126" s="266" t="n"/>
      <c r="AY126" s="266" t="n"/>
      <c r="AZ126" s="266" t="n"/>
      <c r="BA126" s="266" t="n"/>
      <c r="BB126" s="266" t="n"/>
      <c r="BC126" s="266" t="n"/>
      <c r="BD126" s="266" t="n"/>
      <c r="BE126" s="266" t="n"/>
      <c r="BF126" s="266" t="n"/>
      <c r="BG126" s="266" t="n"/>
      <c r="BH126" s="266" t="n"/>
      <c r="BI126" s="266" t="n"/>
      <c r="BJ126" s="266" t="n"/>
      <c r="BK126" s="266" t="n"/>
      <c r="BL126" s="266" t="n"/>
      <c r="BM126" s="266" t="n"/>
      <c r="BN126" s="266" t="n"/>
      <c r="BO126" s="266" t="n"/>
      <c r="BP126" s="266" t="n"/>
      <c r="BQ126" s="266" t="n"/>
      <c r="BR126" s="266" t="n"/>
      <c r="BS126" s="266" t="n"/>
      <c r="BT126" s="266" t="n"/>
      <c r="BU126" s="266" t="n"/>
      <c r="BV126" s="266" t="n"/>
      <c r="BW126" s="266" t="n"/>
      <c r="BX126" s="266" t="n"/>
      <c r="BY126" s="266" t="n"/>
      <c r="BZ126" s="266" t="n"/>
      <c r="CA126" s="266" t="n"/>
      <c r="CB126" s="266" t="n"/>
      <c r="CC126" s="266" t="n"/>
      <c r="CD126" s="266" t="n"/>
      <c r="CE126" s="266" t="n"/>
      <c r="CF126" s="266" t="n"/>
      <c r="CG126" s="266" t="n"/>
      <c r="CH126" s="266" t="n"/>
      <c r="CI126" s="266" t="n"/>
      <c r="CJ126" s="266" t="n"/>
      <c r="CK126" s="266" t="n"/>
      <c r="CL126" s="266" t="n"/>
      <c r="CM126" s="266" t="n"/>
      <c r="CN126" s="266" t="n"/>
      <c r="CO126" s="266" t="n"/>
      <c r="CP126" s="266" t="n"/>
      <c r="CQ126" s="266" t="n"/>
      <c r="CR126" s="266" t="n"/>
      <c r="CS126" s="266" t="n"/>
      <c r="CT126" s="266" t="n"/>
      <c r="CU126" s="266" t="n"/>
      <c r="CV126" s="266" t="n"/>
      <c r="CW126" s="266" t="n"/>
      <c r="CX126" s="266" t="n"/>
      <c r="CY126" s="266" t="n"/>
    </row>
    <row r="127" hidden="1" outlineLevel="1" ht="12.75" customHeight="1" s="254">
      <c r="C127" s="310" t="inlineStr">
        <is>
          <t>CHECK [EX IFRS-16]</t>
        </is>
      </c>
      <c r="D127" s="266" t="n"/>
      <c r="E127" s="266" t="n"/>
      <c r="F127" s="266" t="n"/>
      <c r="G127" s="266" t="n"/>
      <c r="H127" s="266" t="n"/>
      <c r="I127" s="266" t="n"/>
      <c r="J127" s="266" t="n"/>
      <c r="K127" s="266" t="n"/>
      <c r="L127" s="266" t="n"/>
      <c r="M127" s="266" t="n"/>
      <c r="N127" s="266" t="n"/>
      <c r="O127" s="266" t="n"/>
      <c r="P127" s="266" t="n"/>
      <c r="Q127" s="266" t="n"/>
      <c r="R127" s="266" t="n"/>
      <c r="S127" s="266" t="n"/>
      <c r="T127" s="266" t="n"/>
      <c r="U127" s="266" t="n"/>
      <c r="V127" s="266" t="n"/>
      <c r="W127" s="266" t="n"/>
      <c r="X127" s="266" t="n"/>
      <c r="Y127" s="266" t="n"/>
      <c r="Z127" s="266" t="n"/>
      <c r="AA127" s="266" t="n"/>
      <c r="AB127" s="266" t="n"/>
      <c r="AC127" s="266" t="n"/>
      <c r="AD127" s="266" t="n"/>
      <c r="AE127" s="266" t="n"/>
      <c r="AF127" s="266" t="n"/>
      <c r="AG127" s="266" t="n"/>
      <c r="AH127" s="266" t="n"/>
      <c r="AI127" s="266" t="n"/>
      <c r="AJ127" s="266" t="n"/>
      <c r="AK127" s="266" t="n"/>
      <c r="AL127" s="266" t="n"/>
      <c r="AM127" s="266" t="n"/>
      <c r="AN127" s="266" t="n"/>
      <c r="AO127" s="266" t="n"/>
      <c r="AP127" s="266" t="n"/>
      <c r="AQ127" s="266" t="n"/>
      <c r="AR127" s="266" t="n"/>
      <c r="AS127" s="266" t="n"/>
      <c r="AT127" s="266" t="n"/>
      <c r="AU127" s="266" t="n"/>
      <c r="AV127" s="266" t="n"/>
      <c r="AW127" s="266" t="n"/>
      <c r="AX127" s="266" t="n"/>
      <c r="AY127" s="266" t="n"/>
      <c r="AZ127" s="266" t="n"/>
      <c r="BA127" s="266" t="n"/>
      <c r="BB127" s="266" t="n"/>
      <c r="BC127" s="266" t="n"/>
      <c r="BD127" s="266" t="n"/>
      <c r="BE127" s="266" t="n"/>
      <c r="BF127" s="266" t="n"/>
      <c r="BG127" s="266" t="n"/>
      <c r="BH127" s="266" t="n"/>
      <c r="BI127" s="266" t="n"/>
      <c r="BJ127" s="266" t="n"/>
      <c r="BK127" s="266" t="n"/>
      <c r="BL127" s="266" t="n"/>
      <c r="BM127" s="266" t="n"/>
      <c r="BN127" s="266" t="n"/>
      <c r="BO127" s="266" t="n"/>
      <c r="BP127" s="266" t="n"/>
      <c r="BQ127" s="266" t="n"/>
      <c r="BR127" s="266" t="n"/>
      <c r="BS127" s="266" t="n"/>
      <c r="BT127" s="266" t="n"/>
      <c r="BU127" s="266" t="n"/>
      <c r="BV127" s="266" t="n"/>
      <c r="BW127" s="266" t="n"/>
      <c r="BX127" s="266" t="n"/>
      <c r="BY127" s="266" t="n"/>
      <c r="BZ127" s="266" t="n"/>
      <c r="CA127" s="266" t="n"/>
      <c r="CB127" s="266" t="n"/>
      <c r="CC127" s="266" t="n"/>
      <c r="CD127" s="266" t="n"/>
      <c r="CE127" s="266" t="n"/>
      <c r="CF127" s="266" t="n"/>
      <c r="CG127" s="266" t="n"/>
      <c r="CH127" s="266" t="n"/>
      <c r="CI127" s="266" t="n"/>
      <c r="CJ127" s="266" t="n"/>
      <c r="CK127" s="266" t="n"/>
      <c r="CL127" s="266" t="n"/>
      <c r="CM127" s="266" t="n"/>
      <c r="CN127" s="266" t="n"/>
      <c r="CO127" s="266" t="n"/>
      <c r="CP127" s="266" t="n"/>
      <c r="CQ127" s="266" t="n"/>
      <c r="CR127" s="266" t="n"/>
      <c r="CS127" s="266" t="n"/>
      <c r="CT127" s="266" t="n"/>
      <c r="CU127" s="266" t="n"/>
      <c r="CV127" s="266" t="n"/>
      <c r="CW127" s="266" t="n"/>
      <c r="CX127" s="266" t="n"/>
      <c r="CY127" s="266" t="n"/>
    </row>
    <row r="128" hidden="1" outlineLevel="1" ht="12.75" customHeight="1" s="254">
      <c r="C128" s="310" t="n"/>
      <c r="D128" s="266" t="n"/>
      <c r="E128" s="266" t="n"/>
      <c r="F128" s="266" t="n"/>
      <c r="G128" s="266" t="n"/>
      <c r="H128" s="266" t="n"/>
      <c r="I128" s="266" t="n"/>
      <c r="J128" s="266" t="n"/>
      <c r="K128" s="266" t="n"/>
      <c r="L128" s="266" t="n"/>
      <c r="M128" s="266" t="n"/>
      <c r="N128" s="266" t="n"/>
      <c r="O128" s="266" t="n"/>
      <c r="P128" s="266" t="n"/>
      <c r="Q128" s="266" t="n"/>
      <c r="R128" s="266" t="n"/>
      <c r="S128" s="266" t="n"/>
      <c r="T128" s="266" t="n"/>
      <c r="U128" s="266" t="n"/>
      <c r="V128" s="266" t="n"/>
      <c r="W128" s="266" t="n"/>
      <c r="X128" s="266" t="n"/>
      <c r="Y128" s="266" t="n"/>
      <c r="Z128" s="266" t="n"/>
      <c r="AA128" s="266" t="n"/>
      <c r="AB128" s="266" t="n"/>
      <c r="AC128" s="266" t="n"/>
      <c r="AD128" s="266" t="n"/>
      <c r="AE128" s="266" t="n"/>
      <c r="AF128" s="266" t="n"/>
      <c r="AG128" s="266" t="n"/>
      <c r="AH128" s="266" t="n"/>
      <c r="AI128" s="266" t="n"/>
      <c r="AJ128" s="266" t="n"/>
      <c r="AK128" s="266" t="n"/>
      <c r="AL128" s="266" t="n"/>
      <c r="AM128" s="266" t="n"/>
      <c r="AN128" s="266" t="n"/>
      <c r="AO128" s="266" t="n"/>
      <c r="AP128" s="266" t="n"/>
      <c r="AQ128" s="266" t="n"/>
      <c r="AR128" s="266" t="n"/>
      <c r="AS128" s="266" t="n"/>
      <c r="AT128" s="266" t="n"/>
      <c r="AU128" s="266" t="n"/>
      <c r="AV128" s="266" t="n"/>
      <c r="AW128" s="266" t="n"/>
      <c r="AX128" s="266" t="n"/>
      <c r="AY128" s="266" t="n"/>
      <c r="AZ128" s="266" t="n"/>
      <c r="BA128" s="266" t="n"/>
      <c r="BB128" s="266" t="n"/>
      <c r="BC128" s="266" t="n"/>
      <c r="BD128" s="266" t="n"/>
      <c r="BE128" s="266" t="n"/>
      <c r="BF128" s="266" t="n"/>
      <c r="BG128" s="266" t="n"/>
      <c r="BH128" s="266" t="n"/>
      <c r="BI128" s="266" t="n"/>
      <c r="BJ128" s="266" t="n"/>
      <c r="BK128" s="266" t="n"/>
      <c r="BL128" s="266" t="n"/>
      <c r="BM128" s="266" t="n"/>
      <c r="BN128" s="266" t="n"/>
      <c r="BO128" s="266" t="n"/>
      <c r="BP128" s="266" t="n"/>
      <c r="BQ128" s="266" t="n"/>
      <c r="BR128" s="266" t="n"/>
      <c r="BS128" s="266" t="n"/>
      <c r="BT128" s="266" t="n"/>
      <c r="BU128" s="266" t="n"/>
      <c r="BV128" s="266" t="n"/>
      <c r="BW128" s="266" t="n"/>
      <c r="BX128" s="266" t="n"/>
      <c r="BY128" s="266" t="n"/>
      <c r="BZ128" s="266" t="n"/>
      <c r="CA128" s="266" t="n"/>
      <c r="CB128" s="266" t="n"/>
      <c r="CC128" s="266" t="n"/>
      <c r="CD128" s="266" t="n"/>
      <c r="CE128" s="266" t="n"/>
      <c r="CF128" s="266" t="n"/>
      <c r="CG128" s="266" t="n"/>
      <c r="CH128" s="266" t="n"/>
      <c r="CI128" s="266" t="n"/>
      <c r="CJ128" s="266" t="n"/>
      <c r="CK128" s="266" t="n"/>
      <c r="CL128" s="266" t="n"/>
      <c r="CM128" s="266" t="n"/>
      <c r="CN128" s="266" t="n"/>
      <c r="CO128" s="266" t="n"/>
      <c r="CP128" s="266" t="n"/>
      <c r="CQ128" s="266" t="n"/>
      <c r="CR128" s="266" t="n"/>
      <c r="CS128" s="266" t="n"/>
      <c r="CT128" s="266" t="n"/>
      <c r="CU128" s="266" t="n"/>
      <c r="CV128" s="266" t="n"/>
      <c r="CW128" s="266" t="n"/>
      <c r="CX128" s="266" t="n"/>
      <c r="CY128" s="266" t="n"/>
    </row>
    <row r="129" ht="12.75" customHeight="1" s="254">
      <c r="C129" s="268" t="inlineStr">
        <is>
          <t>Nonoperating Income / (Loss)</t>
        </is>
      </c>
      <c r="D129" s="299" t="n"/>
      <c r="E129" s="299" t="n"/>
      <c r="F129" s="299" t="n"/>
      <c r="G129" s="299" t="n"/>
      <c r="H129" s="266">
        <f>SUM(D129:G129)</f>
        <v>0</v>
      </c>
      <c r="I129" s="299">
        <f>INDEX('Inputs (2)'!$D$9:$AL$9,MATCH(I$7,'Inputs (2)'!$D$2:$AL$2,0))</f>
        <v>3450</v>
      </c>
      <c r="J129" s="299">
        <f>INDEX('Inputs (2)'!$D$9:$AL$9,MATCH(J$7,'Inputs (2)'!$D$2:$AL$2,0))</f>
        <v>1250</v>
      </c>
      <c r="K129" s="299">
        <f>INDEX('Inputs (2)'!$D$9:$AL$9,MATCH(K$7,'Inputs (2)'!$D$2:$AL$2,0))</f>
        <v>1511</v>
      </c>
      <c r="L129" s="299">
        <f>INDEX('Inputs (2)'!$D$9:$AL$9,MATCH(L$7,'Inputs (2)'!$D$2:$AL$2,0))</f>
        <v>4944</v>
      </c>
      <c r="M129" s="266">
        <f>SUM(I129:L129)</f>
        <v>11155</v>
      </c>
      <c r="N129" s="299">
        <f>INDEX('Inputs (2)'!$D$9:$AL$9,MATCH(N$7,'Inputs (2)'!$D$2:$AL$2,0))</f>
        <v>-1039</v>
      </c>
      <c r="O129" s="299">
        <f>INDEX('Inputs (2)'!$D$9:$AL$9,MATCH(O$7,'Inputs (2)'!$D$2:$AL$2,0))</f>
        <v>3023</v>
      </c>
      <c r="P129" s="299">
        <f>INDEX('Inputs (2)'!$D$9:$AL$9,MATCH(P$7,'Inputs (2)'!$D$2:$AL$2,0))</f>
        <v>3011</v>
      </c>
      <c r="Q129" s="299">
        <f>INDEX('Inputs (2)'!$D$9:$AL$9,MATCH(Q$7,'Inputs (2)'!$D$2:$AL$2,0))</f>
        <v>-109</v>
      </c>
      <c r="R129" s="266">
        <f>SUM(N129:Q129)</f>
        <v>4886</v>
      </c>
      <c r="S129" s="299">
        <f>INDEX('Inputs (2)'!$D$9:$AL$9,MATCH(S$7,'Inputs (2)'!$D$2:$AL$2,0))</f>
        <v>2063</v>
      </c>
      <c r="T129" s="299">
        <f>INDEX('Inputs (2)'!$D$9:$AL$9,MATCH(T$7,'Inputs (2)'!$D$2:$AL$2,0))</f>
        <v>1441</v>
      </c>
      <c r="U129" s="299">
        <f>INDEX('Inputs (2)'!$D$9:$AL$9,MATCH(U$7,'Inputs (2)'!$D$2:$AL$2,0))</f>
        <v>1661</v>
      </c>
      <c r="V129" s="299">
        <f>INDEX('Inputs (2)'!$D$9:$AL$9,MATCH(V$7,'Inputs (2)'!$D$2:$AL$2,0))</f>
        <v>1399</v>
      </c>
      <c r="W129" s="266">
        <f>SUM(S129:V129)</f>
        <v>6564</v>
      </c>
      <c r="X129" s="299">
        <f>INDEX('Inputs (2)'!$D$9:$AL$9,MATCH(X$7,'Inputs (2)'!$D$2:$AL$2,0))</f>
        <v>2225</v>
      </c>
      <c r="Y129" s="299">
        <f>INDEX('Inputs (2)'!$D$9:$AL$9,MATCH(Y$7,'Inputs (2)'!$D$2:$AL$2,0))</f>
        <v>594</v>
      </c>
      <c r="Z129" s="299">
        <f>INDEX('Inputs (2)'!$D$9:$AL$9,MATCH(Z$7,'Inputs (2)'!$D$2:$AL$2,0))</f>
        <v>1372</v>
      </c>
      <c r="AA129" s="299">
        <f>INDEX('Inputs (2)'!$D$9:$AL$9,MATCH(AA$7,'Inputs (2)'!$D$2:$AL$2,0))</f>
        <v>529</v>
      </c>
      <c r="AB129" s="266">
        <f>SUM(X129:AA129)</f>
        <v>4720</v>
      </c>
      <c r="AC129" s="299">
        <f>INDEX('Inputs (2)'!$D$9:$AL$9,MATCH(AC$7,'Inputs (2)'!$D$2:$AL$2,0))</f>
        <v>919</v>
      </c>
      <c r="AD129" s="299">
        <f>INDEX('Inputs (2)'!$D$9:$AL$9,MATCH(AD$7,'Inputs (2)'!$D$2:$AL$2,0))</f>
        <v>1037</v>
      </c>
      <c r="AE129" s="299">
        <f>INDEX('Inputs (2)'!$D$9:$AL$9,MATCH(AE$7,'Inputs (2)'!$D$2:$AL$2,0))</f>
        <v>2258</v>
      </c>
      <c r="AF129" s="299">
        <f>INDEX('Inputs (2)'!$D$9:$AL$9,MATCH(AF$7,'Inputs (2)'!$D$2:$AL$2,0))</f>
        <v>2632</v>
      </c>
      <c r="AG129" s="266">
        <f>SUM(AC129:AF129)</f>
        <v>6846</v>
      </c>
      <c r="AH129" s="266">
        <f>INDEX('Inputs (2)'!$D$9:$AL$9,MATCH(AH$7,'Inputs (2)'!$D$2:$AL$2,0))</f>
        <v>441</v>
      </c>
      <c r="AI129" s="266">
        <f>INDEX('Inputs (2)'!$D$9:$AL$9,MATCH(AI$7,'Inputs (2)'!$D$2:$AL$2,0))</f>
        <v>1691</v>
      </c>
      <c r="AJ129" s="266">
        <f>AH129</f>
        <v>441</v>
      </c>
      <c r="AK129" s="266">
        <f>AI129</f>
        <v>1691</v>
      </c>
      <c r="AL129" s="266">
        <f>SUM(AH129:AK129)</f>
        <v>4264</v>
      </c>
      <c r="AM129" s="266">
        <f>AK129</f>
        <v>1691</v>
      </c>
      <c r="AN129" s="266">
        <f>AL129</f>
        <v>4264</v>
      </c>
      <c r="AO129" s="266">
        <f>AM129</f>
        <v>1691</v>
      </c>
      <c r="AP129" s="266">
        <f>AN129</f>
        <v>4264</v>
      </c>
      <c r="AQ129" s="266">
        <f>SUM(AM129:AP129)</f>
        <v>11910</v>
      </c>
      <c r="AR129" s="266">
        <f>AP129</f>
        <v>4264</v>
      </c>
      <c r="AS129" s="266">
        <f>AQ129</f>
        <v>11910</v>
      </c>
      <c r="AT129" s="266">
        <f>AR129</f>
        <v>4264</v>
      </c>
      <c r="AU129" s="266">
        <f>AS129</f>
        <v>11910</v>
      </c>
      <c r="AV129" s="266">
        <f>SUM(AR129:AU129)</f>
        <v>32348</v>
      </c>
      <c r="AW129" s="266">
        <f>AU129</f>
        <v>11910</v>
      </c>
      <c r="AX129" s="266">
        <f>AV129</f>
        <v>32348</v>
      </c>
      <c r="AY129" s="266">
        <f>AW129</f>
        <v>11910</v>
      </c>
      <c r="AZ129" s="266">
        <f>AX129</f>
        <v>32348</v>
      </c>
      <c r="BA129" s="266">
        <f>SUM(AW129:AZ129)</f>
        <v>88516</v>
      </c>
      <c r="BB129" s="266">
        <f>AZ129</f>
        <v>32348</v>
      </c>
      <c r="BC129" s="266">
        <f>BA129</f>
        <v>88516</v>
      </c>
      <c r="BD129" s="266">
        <f>BB129</f>
        <v>32348</v>
      </c>
      <c r="BE129" s="266">
        <f>BC129</f>
        <v>88516</v>
      </c>
      <c r="BF129" s="266">
        <f>SUM(BB129:BE129)</f>
        <v>241728</v>
      </c>
      <c r="BG129" s="266">
        <f>BE129</f>
        <v>88516</v>
      </c>
      <c r="BH129" s="266">
        <f>BF129</f>
        <v>241728</v>
      </c>
      <c r="BI129" s="266">
        <f>BG129</f>
        <v>88516</v>
      </c>
      <c r="BJ129" s="266">
        <f>BH129</f>
        <v>241728</v>
      </c>
      <c r="BK129" s="266">
        <f>SUM(BG129:BJ129)</f>
        <v>660488</v>
      </c>
      <c r="BL129" s="266">
        <f>BJ129</f>
        <v>241728</v>
      </c>
      <c r="BM129" s="266">
        <f>BK129</f>
        <v>660488</v>
      </c>
      <c r="BN129" s="266">
        <f>BL129</f>
        <v>241728</v>
      </c>
      <c r="BO129" s="266">
        <f>BM129</f>
        <v>660488</v>
      </c>
      <c r="BP129" s="266">
        <f>SUM(BL129:BO129)</f>
        <v>1804432</v>
      </c>
      <c r="BQ129" s="266">
        <f>BO129</f>
        <v>660488</v>
      </c>
      <c r="BR129" s="266">
        <f>BP129</f>
        <v>1804432</v>
      </c>
      <c r="BS129" s="266">
        <f>BQ129</f>
        <v>660488</v>
      </c>
      <c r="BT129" s="266">
        <f>BR129</f>
        <v>1804432</v>
      </c>
      <c r="BU129" s="266">
        <f>SUM(BQ129:BT129)</f>
        <v>4929840</v>
      </c>
      <c r="BV129" s="266">
        <f>BT129</f>
        <v>1804432</v>
      </c>
      <c r="BW129" s="266">
        <f>BU129</f>
        <v>4929840</v>
      </c>
      <c r="BX129" s="266">
        <f>BV129</f>
        <v>1804432</v>
      </c>
      <c r="BY129" s="266">
        <f>BW129</f>
        <v>4929840</v>
      </c>
      <c r="BZ129" s="266">
        <f>SUM(BV129:BY129)</f>
        <v>13468544</v>
      </c>
      <c r="CA129" s="266">
        <f>BY129</f>
        <v>4929840</v>
      </c>
      <c r="CB129" s="266">
        <f>BZ129</f>
        <v>13468544</v>
      </c>
      <c r="CC129" s="266">
        <f>CA129</f>
        <v>4929840</v>
      </c>
      <c r="CD129" s="266">
        <f>CB129</f>
        <v>13468544</v>
      </c>
      <c r="CE129" s="266">
        <f>SUM(CA129:CD129)</f>
        <v>36796768</v>
      </c>
      <c r="CF129" s="266">
        <f>CD129</f>
        <v>13468544</v>
      </c>
      <c r="CG129" s="266">
        <f>CE129</f>
        <v>36796768</v>
      </c>
      <c r="CH129" s="266">
        <f>CF129</f>
        <v>13468544</v>
      </c>
      <c r="CI129" s="266">
        <f>CG129</f>
        <v>36796768</v>
      </c>
      <c r="CJ129" s="266">
        <f>SUM(CF129:CI129)</f>
        <v>100530624</v>
      </c>
      <c r="CK129" s="266">
        <f>CI129</f>
        <v>36796768</v>
      </c>
      <c r="CL129" s="266">
        <f>CJ129</f>
        <v>100530624</v>
      </c>
      <c r="CM129" s="266">
        <f>CK129</f>
        <v>36796768</v>
      </c>
      <c r="CN129" s="266">
        <f>CL129</f>
        <v>100530624</v>
      </c>
      <c r="CO129" s="266">
        <f>SUM(CK129:CN129)</f>
        <v>274654784</v>
      </c>
      <c r="CP129" s="266">
        <f>CN129</f>
        <v>100530624</v>
      </c>
      <c r="CQ129" s="266">
        <f>CO129</f>
        <v>274654784</v>
      </c>
      <c r="CR129" s="266">
        <f>CP129</f>
        <v>100530624</v>
      </c>
      <c r="CS129" s="266">
        <f>CQ129</f>
        <v>274654784</v>
      </c>
      <c r="CT129" s="266">
        <f>SUM(CP129:CS129)</f>
        <v>750370816</v>
      </c>
      <c r="CU129" s="266">
        <f>CS129</f>
        <v>274654784</v>
      </c>
      <c r="CV129" s="266">
        <f>CT129</f>
        <v>750370816</v>
      </c>
      <c r="CW129" s="266">
        <f>CU129</f>
        <v>274654784</v>
      </c>
      <c r="CX129" s="266">
        <f>CV129</f>
        <v>750370816</v>
      </c>
      <c r="CY129" s="266">
        <f>SUM(CU129:CX129)</f>
        <v>2050051200</v>
      </c>
    </row>
    <row r="130" hidden="1" outlineLevel="1" ht="12.75" customHeight="1" s="254">
      <c r="C130" s="310" t="n"/>
      <c r="D130" s="266" t="n"/>
      <c r="E130" s="266" t="n"/>
      <c r="F130" s="266" t="n"/>
      <c r="G130" s="266" t="n"/>
      <c r="H130" s="266" t="n"/>
      <c r="I130" s="266" t="n"/>
      <c r="J130" s="266" t="n"/>
      <c r="K130" s="266" t="n"/>
      <c r="L130" s="266" t="n"/>
      <c r="M130" s="266" t="n"/>
      <c r="N130" s="266" t="n"/>
      <c r="O130" s="266" t="n"/>
      <c r="P130" s="266" t="n"/>
      <c r="Q130" s="266" t="n"/>
      <c r="R130" s="266" t="n"/>
      <c r="S130" s="266" t="n"/>
      <c r="T130" s="266" t="n"/>
      <c r="U130" s="266" t="n"/>
      <c r="V130" s="266" t="n"/>
      <c r="W130" s="266" t="n"/>
      <c r="X130" s="266" t="n"/>
      <c r="Y130" s="266" t="n"/>
      <c r="Z130" s="266" t="n"/>
      <c r="AA130" s="266" t="n"/>
      <c r="AB130" s="266" t="n"/>
      <c r="AC130" s="266" t="n"/>
      <c r="AD130" s="266" t="n"/>
      <c r="AE130" s="266" t="n"/>
      <c r="AF130" s="266" t="n"/>
      <c r="AG130" s="266" t="n"/>
      <c r="AH130" s="266" t="n"/>
      <c r="AI130" s="266" t="n"/>
      <c r="AJ130" s="266" t="n"/>
      <c r="AK130" s="266" t="n"/>
      <c r="AL130" s="266" t="n"/>
      <c r="AM130" s="266" t="n"/>
      <c r="AN130" s="266" t="n"/>
      <c r="AO130" s="266" t="n"/>
      <c r="AP130" s="266" t="n"/>
      <c r="AQ130" s="266" t="n"/>
      <c r="AR130" s="266" t="n"/>
      <c r="AS130" s="266" t="n"/>
      <c r="AT130" s="266" t="n"/>
      <c r="AU130" s="266" t="n"/>
      <c r="AV130" s="266" t="n"/>
      <c r="AW130" s="266" t="n"/>
      <c r="AX130" s="266" t="n"/>
      <c r="AY130" s="266" t="n"/>
      <c r="AZ130" s="266" t="n"/>
      <c r="BA130" s="266" t="n"/>
      <c r="BB130" s="266" t="n"/>
      <c r="BC130" s="266" t="n"/>
      <c r="BD130" s="266" t="n"/>
      <c r="BE130" s="266" t="n"/>
      <c r="BF130" s="266" t="n"/>
      <c r="BG130" s="266" t="n"/>
      <c r="BH130" s="266" t="n"/>
      <c r="BI130" s="266" t="n"/>
      <c r="BJ130" s="266" t="n"/>
      <c r="BK130" s="266" t="n"/>
      <c r="BL130" s="266" t="n"/>
      <c r="BM130" s="266" t="n"/>
      <c r="BN130" s="266" t="n"/>
      <c r="BO130" s="266" t="n"/>
      <c r="BP130" s="266" t="n"/>
      <c r="BQ130" s="266" t="n"/>
      <c r="BR130" s="266" t="n"/>
      <c r="BS130" s="266" t="n"/>
      <c r="BT130" s="266" t="n"/>
      <c r="BU130" s="266" t="n"/>
      <c r="BV130" s="266" t="n"/>
      <c r="BW130" s="266" t="n"/>
      <c r="BX130" s="266" t="n"/>
      <c r="BY130" s="266" t="n"/>
      <c r="BZ130" s="266" t="n"/>
      <c r="CA130" s="266" t="n"/>
      <c r="CB130" s="266" t="n"/>
      <c r="CC130" s="266" t="n"/>
      <c r="CD130" s="266" t="n"/>
      <c r="CE130" s="266" t="n"/>
      <c r="CF130" s="266" t="n"/>
      <c r="CG130" s="266" t="n"/>
      <c r="CH130" s="266" t="n"/>
      <c r="CI130" s="266" t="n"/>
      <c r="CJ130" s="266" t="n"/>
      <c r="CK130" s="266" t="n"/>
      <c r="CL130" s="266" t="n"/>
      <c r="CM130" s="266" t="n"/>
      <c r="CN130" s="266" t="n"/>
      <c r="CO130" s="266" t="n"/>
      <c r="CP130" s="266" t="n"/>
      <c r="CQ130" s="266" t="n"/>
      <c r="CR130" s="266" t="n"/>
      <c r="CS130" s="266" t="n"/>
      <c r="CT130" s="266" t="n"/>
      <c r="CU130" s="266" t="n"/>
      <c r="CV130" s="266" t="n"/>
      <c r="CW130" s="266" t="n"/>
      <c r="CX130" s="266" t="n"/>
      <c r="CY130" s="266" t="n"/>
    </row>
    <row r="131" hidden="1" outlineLevel="1" ht="12.75" customHeight="1" s="254">
      <c r="C131" s="303" t="inlineStr">
        <is>
          <t>Resultado Não Recorrente</t>
        </is>
      </c>
      <c r="D131" s="265" t="n"/>
      <c r="E131" s="265" t="n"/>
      <c r="F131" s="265" t="n"/>
      <c r="G131" s="265" t="n"/>
      <c r="H131" s="266" t="n"/>
      <c r="I131" s="265" t="n"/>
      <c r="J131" s="265" t="n"/>
      <c r="K131" s="265" t="n"/>
      <c r="L131" s="265" t="n"/>
      <c r="M131" s="266" t="n"/>
      <c r="N131" s="265" t="n"/>
      <c r="O131" s="265" t="n"/>
      <c r="P131" s="265" t="n"/>
      <c r="Q131" s="265" t="n"/>
      <c r="R131" s="266" t="n"/>
      <c r="S131" s="265" t="n"/>
      <c r="T131" s="265" t="n"/>
      <c r="U131" s="265" t="n"/>
      <c r="V131" s="265" t="n"/>
      <c r="W131" s="266" t="n"/>
      <c r="X131" s="265" t="n"/>
      <c r="Y131" s="265" t="n"/>
      <c r="Z131" s="265" t="n"/>
      <c r="AA131" s="265" t="n"/>
      <c r="AB131" s="266" t="n"/>
      <c r="AC131" s="265" t="n"/>
      <c r="AD131" s="265" t="n"/>
      <c r="AE131" s="265" t="n"/>
      <c r="AF131" s="265" t="n"/>
      <c r="AG131" s="266" t="n"/>
      <c r="AH131" s="266" t="n"/>
      <c r="AI131" s="266" t="n"/>
      <c r="AJ131" s="266" t="n"/>
      <c r="AK131" s="266" t="n"/>
      <c r="AL131" s="266" t="n"/>
      <c r="AM131" s="266" t="n"/>
      <c r="AN131" s="266" t="n"/>
      <c r="AO131" s="266" t="n"/>
      <c r="AP131" s="266" t="n"/>
      <c r="AQ131" s="266" t="n"/>
      <c r="AR131" s="266" t="n"/>
      <c r="AS131" s="266" t="n"/>
      <c r="AT131" s="266" t="n"/>
      <c r="AU131" s="266" t="n"/>
      <c r="AV131" s="266" t="n"/>
      <c r="AW131" s="266" t="n"/>
      <c r="AX131" s="266" t="n"/>
      <c r="AY131" s="266" t="n"/>
      <c r="AZ131" s="266" t="n"/>
      <c r="BA131" s="266" t="n"/>
      <c r="BB131" s="266" t="n"/>
      <c r="BC131" s="266" t="n"/>
      <c r="BD131" s="266" t="n"/>
      <c r="BE131" s="266" t="n"/>
      <c r="BF131" s="266" t="n"/>
      <c r="BG131" s="266" t="n"/>
      <c r="BH131" s="266" t="n"/>
      <c r="BI131" s="266" t="n"/>
      <c r="BJ131" s="266" t="n"/>
      <c r="BK131" s="266" t="n"/>
      <c r="BL131" s="266" t="n"/>
      <c r="BM131" s="266" t="n"/>
      <c r="BN131" s="266" t="n"/>
      <c r="BO131" s="266" t="n"/>
      <c r="BP131" s="266" t="n"/>
      <c r="BQ131" s="266" t="n"/>
      <c r="BR131" s="266" t="n"/>
      <c r="BS131" s="266" t="n"/>
      <c r="BT131" s="266" t="n"/>
      <c r="BU131" s="266" t="n"/>
      <c r="BV131" s="266" t="n"/>
      <c r="BW131" s="266" t="n"/>
      <c r="BX131" s="266" t="n"/>
      <c r="BY131" s="266" t="n"/>
      <c r="BZ131" s="266" t="n"/>
      <c r="CA131" s="266" t="n"/>
      <c r="CB131" s="266" t="n"/>
      <c r="CC131" s="266" t="n"/>
      <c r="CD131" s="266" t="n"/>
      <c r="CE131" s="266" t="n"/>
      <c r="CF131" s="266" t="n"/>
      <c r="CG131" s="266" t="n"/>
      <c r="CH131" s="266" t="n"/>
      <c r="CI131" s="266" t="n"/>
      <c r="CJ131" s="266" t="n"/>
      <c r="CK131" s="266" t="n"/>
      <c r="CL131" s="266" t="n"/>
      <c r="CM131" s="266" t="n"/>
      <c r="CN131" s="266" t="n"/>
      <c r="CO131" s="266" t="n"/>
      <c r="CP131" s="266" t="n"/>
      <c r="CQ131" s="266" t="n"/>
      <c r="CR131" s="266" t="n"/>
      <c r="CS131" s="266" t="n"/>
      <c r="CT131" s="266" t="n"/>
      <c r="CU131" s="266" t="n"/>
      <c r="CV131" s="266" t="n"/>
      <c r="CW131" s="266" t="n"/>
      <c r="CX131" s="266" t="n"/>
      <c r="CY131" s="266" t="n"/>
    </row>
    <row r="132" hidden="1" outlineLevel="1" ht="12.75" customHeight="1" s="254">
      <c r="C132" s="303" t="inlineStr">
        <is>
          <t>Plano de Opção de Compra de Ações</t>
        </is>
      </c>
      <c r="D132" s="265" t="n"/>
      <c r="E132" s="265" t="n"/>
      <c r="F132" s="265" t="n"/>
      <c r="G132" s="265" t="n"/>
      <c r="H132" s="266" t="n"/>
      <c r="I132" s="265" t="n"/>
      <c r="J132" s="265" t="n"/>
      <c r="K132" s="265" t="n"/>
      <c r="L132" s="265" t="n"/>
      <c r="M132" s="266" t="n"/>
      <c r="N132" s="265" t="n"/>
      <c r="O132" s="265" t="n"/>
      <c r="P132" s="265" t="n"/>
      <c r="Q132" s="265" t="n"/>
      <c r="R132" s="266" t="n"/>
      <c r="S132" s="265" t="n"/>
      <c r="T132" s="265" t="n"/>
      <c r="U132" s="265" t="n"/>
      <c r="V132" s="265" t="n"/>
      <c r="W132" s="266" t="n"/>
      <c r="X132" s="265" t="n"/>
      <c r="Y132" s="265" t="n"/>
      <c r="Z132" s="265" t="n"/>
      <c r="AA132" s="265" t="n"/>
      <c r="AB132" s="266" t="n"/>
      <c r="AC132" s="265" t="n"/>
      <c r="AD132" s="265" t="n"/>
      <c r="AE132" s="265" t="n"/>
      <c r="AF132" s="265" t="n"/>
      <c r="AG132" s="266" t="n"/>
      <c r="AH132" s="266" t="n"/>
      <c r="AI132" s="266" t="n"/>
      <c r="AJ132" s="266" t="n"/>
      <c r="AK132" s="266" t="n"/>
      <c r="AL132" s="266" t="n"/>
      <c r="AM132" s="266" t="n"/>
      <c r="AN132" s="266" t="n"/>
      <c r="AO132" s="266" t="n"/>
      <c r="AP132" s="266" t="n"/>
      <c r="AQ132" s="266" t="n"/>
      <c r="AR132" s="266" t="n"/>
      <c r="AS132" s="266" t="n"/>
      <c r="AT132" s="266" t="n"/>
      <c r="AU132" s="266" t="n"/>
      <c r="AV132" s="266" t="n"/>
      <c r="AW132" s="266" t="n"/>
      <c r="AX132" s="266" t="n"/>
      <c r="AY132" s="266" t="n"/>
      <c r="AZ132" s="266" t="n"/>
      <c r="BA132" s="266" t="n"/>
      <c r="BB132" s="266" t="n"/>
      <c r="BC132" s="266" t="n"/>
      <c r="BD132" s="266" t="n"/>
      <c r="BE132" s="266" t="n"/>
      <c r="BF132" s="266" t="n"/>
      <c r="BG132" s="266" t="n"/>
      <c r="BH132" s="266" t="n"/>
      <c r="BI132" s="266" t="n"/>
      <c r="BJ132" s="266" t="n"/>
      <c r="BK132" s="266" t="n"/>
      <c r="BL132" s="266" t="n"/>
      <c r="BM132" s="266" t="n"/>
      <c r="BN132" s="266" t="n"/>
      <c r="BO132" s="266" t="n"/>
      <c r="BP132" s="266" t="n"/>
      <c r="BQ132" s="266" t="n"/>
      <c r="BR132" s="266" t="n"/>
      <c r="BS132" s="266" t="n"/>
      <c r="BT132" s="266" t="n"/>
      <c r="BU132" s="266" t="n"/>
      <c r="BV132" s="266" t="n"/>
      <c r="BW132" s="266" t="n"/>
      <c r="BX132" s="266" t="n"/>
      <c r="BY132" s="266" t="n"/>
      <c r="BZ132" s="266" t="n"/>
      <c r="CA132" s="266" t="n"/>
      <c r="CB132" s="266" t="n"/>
      <c r="CC132" s="266" t="n"/>
      <c r="CD132" s="266" t="n"/>
      <c r="CE132" s="266" t="n"/>
      <c r="CF132" s="266" t="n"/>
      <c r="CG132" s="266" t="n"/>
      <c r="CH132" s="266" t="n"/>
      <c r="CI132" s="266" t="n"/>
      <c r="CJ132" s="266" t="n"/>
      <c r="CK132" s="266" t="n"/>
      <c r="CL132" s="266" t="n"/>
      <c r="CM132" s="266" t="n"/>
      <c r="CN132" s="266" t="n"/>
      <c r="CO132" s="266" t="n"/>
      <c r="CP132" s="266" t="n"/>
      <c r="CQ132" s="266" t="n"/>
      <c r="CR132" s="266" t="n"/>
      <c r="CS132" s="266" t="n"/>
      <c r="CT132" s="266" t="n"/>
      <c r="CU132" s="266" t="n"/>
      <c r="CV132" s="266" t="n"/>
      <c r="CW132" s="266" t="n"/>
      <c r="CX132" s="266" t="n"/>
      <c r="CY132" s="266" t="n"/>
    </row>
    <row r="133" hidden="1" outlineLevel="1" ht="12.75" customHeight="1" s="254">
      <c r="C133" s="303" t="inlineStr">
        <is>
          <t>Baixa Imobilizado</t>
        </is>
      </c>
      <c r="D133" s="265" t="n"/>
      <c r="E133" s="265" t="n"/>
      <c r="F133" s="265" t="n"/>
      <c r="G133" s="265" t="n"/>
      <c r="H133" s="266" t="n"/>
      <c r="I133" s="265" t="n"/>
      <c r="J133" s="265" t="n"/>
      <c r="K133" s="265" t="n"/>
      <c r="L133" s="265" t="n"/>
      <c r="M133" s="266" t="n"/>
      <c r="N133" s="265" t="n"/>
      <c r="O133" s="265" t="n"/>
      <c r="P133" s="265" t="n"/>
      <c r="Q133" s="265" t="n"/>
      <c r="R133" s="266" t="n"/>
      <c r="S133" s="265" t="n"/>
      <c r="T133" s="265" t="n"/>
      <c r="U133" s="265" t="n"/>
      <c r="V133" s="265" t="n"/>
      <c r="W133" s="266" t="n"/>
      <c r="X133" s="265" t="n"/>
      <c r="Y133" s="265" t="n"/>
      <c r="Z133" s="265" t="n"/>
      <c r="AA133" s="265" t="n"/>
      <c r="AB133" s="266" t="n"/>
      <c r="AC133" s="265" t="n"/>
      <c r="AD133" s="265" t="n"/>
      <c r="AE133" s="265" t="n"/>
      <c r="AF133" s="265" t="n"/>
      <c r="AG133" s="266" t="n"/>
      <c r="AH133" s="266" t="n"/>
      <c r="AI133" s="266" t="n"/>
      <c r="AJ133" s="266" t="n"/>
      <c r="AK133" s="266" t="n"/>
      <c r="AL133" s="266" t="n"/>
      <c r="AM133" s="266" t="n"/>
      <c r="AN133" s="266" t="n"/>
      <c r="AO133" s="266" t="n"/>
      <c r="AP133" s="266" t="n"/>
      <c r="AQ133" s="266" t="n"/>
      <c r="AR133" s="266" t="n"/>
      <c r="AS133" s="266" t="n"/>
      <c r="AT133" s="266" t="n"/>
      <c r="AU133" s="266" t="n"/>
      <c r="AV133" s="266" t="n"/>
      <c r="AW133" s="266" t="n"/>
      <c r="AX133" s="266" t="n"/>
      <c r="AY133" s="266" t="n"/>
      <c r="AZ133" s="266" t="n"/>
      <c r="BA133" s="266" t="n"/>
      <c r="BB133" s="266" t="n"/>
      <c r="BC133" s="266" t="n"/>
      <c r="BD133" s="266" t="n"/>
      <c r="BE133" s="266" t="n"/>
      <c r="BF133" s="266" t="n"/>
      <c r="BG133" s="266" t="n"/>
      <c r="BH133" s="266" t="n"/>
      <c r="BI133" s="266" t="n"/>
      <c r="BJ133" s="266" t="n"/>
      <c r="BK133" s="266" t="n"/>
      <c r="BL133" s="266" t="n"/>
      <c r="BM133" s="266" t="n"/>
      <c r="BN133" s="266" t="n"/>
      <c r="BO133" s="266" t="n"/>
      <c r="BP133" s="266" t="n"/>
      <c r="BQ133" s="266" t="n"/>
      <c r="BR133" s="266" t="n"/>
      <c r="BS133" s="266" t="n"/>
      <c r="BT133" s="266" t="n"/>
      <c r="BU133" s="266" t="n"/>
      <c r="BV133" s="266" t="n"/>
      <c r="BW133" s="266" t="n"/>
      <c r="BX133" s="266" t="n"/>
      <c r="BY133" s="266" t="n"/>
      <c r="BZ133" s="266" t="n"/>
      <c r="CA133" s="266" t="n"/>
      <c r="CB133" s="266" t="n"/>
      <c r="CC133" s="266" t="n"/>
      <c r="CD133" s="266" t="n"/>
      <c r="CE133" s="266" t="n"/>
      <c r="CF133" s="266" t="n"/>
      <c r="CG133" s="266" t="n"/>
      <c r="CH133" s="266" t="n"/>
      <c r="CI133" s="266" t="n"/>
      <c r="CJ133" s="266" t="n"/>
      <c r="CK133" s="266" t="n"/>
      <c r="CL133" s="266" t="n"/>
      <c r="CM133" s="266" t="n"/>
      <c r="CN133" s="266" t="n"/>
      <c r="CO133" s="266" t="n"/>
      <c r="CP133" s="266" t="n"/>
      <c r="CQ133" s="266" t="n"/>
      <c r="CR133" s="266" t="n"/>
      <c r="CS133" s="266" t="n"/>
      <c r="CT133" s="266" t="n"/>
      <c r="CU133" s="266" t="n"/>
      <c r="CV133" s="266" t="n"/>
      <c r="CW133" s="266" t="n"/>
      <c r="CX133" s="266" t="n"/>
      <c r="CY133" s="266" t="n"/>
    </row>
    <row r="134" hidden="1" outlineLevel="1" ht="12.75" customHeight="1" s="254">
      <c r="C134" s="310" t="n"/>
      <c r="D134" s="266" t="n"/>
      <c r="E134" s="266" t="n"/>
      <c r="F134" s="266" t="n"/>
      <c r="G134" s="266" t="n"/>
      <c r="H134" s="266" t="n"/>
      <c r="I134" s="266" t="n"/>
      <c r="J134" s="266" t="n"/>
      <c r="K134" s="266" t="n"/>
      <c r="L134" s="266" t="n"/>
      <c r="M134" s="266" t="n"/>
      <c r="N134" s="266" t="n"/>
      <c r="O134" s="266" t="n"/>
      <c r="P134" s="266" t="n"/>
      <c r="Q134" s="266" t="n"/>
      <c r="R134" s="266" t="n"/>
      <c r="S134" s="266" t="n"/>
      <c r="T134" s="266" t="n"/>
      <c r="U134" s="266" t="n"/>
      <c r="V134" s="266" t="n"/>
      <c r="W134" s="266" t="n"/>
      <c r="X134" s="266" t="n"/>
      <c r="Y134" s="266" t="n"/>
      <c r="Z134" s="266" t="n"/>
      <c r="AA134" s="266" t="n"/>
      <c r="AB134" s="266" t="n"/>
      <c r="AC134" s="266" t="n"/>
      <c r="AD134" s="266" t="n"/>
      <c r="AE134" s="266" t="n"/>
      <c r="AF134" s="266" t="n"/>
      <c r="AG134" s="266" t="n"/>
      <c r="AH134" s="266" t="n"/>
      <c r="AI134" s="266" t="n"/>
      <c r="AJ134" s="266" t="n"/>
      <c r="AK134" s="266" t="n"/>
      <c r="AL134" s="266" t="n"/>
      <c r="AM134" s="266" t="n"/>
      <c r="AN134" s="266" t="n"/>
      <c r="AO134" s="266" t="n"/>
      <c r="AP134" s="266" t="n"/>
      <c r="AQ134" s="266" t="n"/>
      <c r="AR134" s="266" t="n"/>
      <c r="AS134" s="266" t="n"/>
      <c r="AT134" s="266" t="n"/>
      <c r="AU134" s="266" t="n"/>
      <c r="AV134" s="266" t="n"/>
      <c r="AW134" s="266" t="n"/>
      <c r="AX134" s="266" t="n"/>
      <c r="AY134" s="266" t="n"/>
      <c r="AZ134" s="266" t="n"/>
      <c r="BA134" s="266" t="n"/>
      <c r="BB134" s="266" t="n"/>
      <c r="BC134" s="266" t="n"/>
      <c r="BD134" s="266" t="n"/>
      <c r="BE134" s="266" t="n"/>
      <c r="BF134" s="266" t="n"/>
      <c r="BG134" s="266" t="n"/>
      <c r="BH134" s="266" t="n"/>
      <c r="BI134" s="266" t="n"/>
      <c r="BJ134" s="266" t="n"/>
      <c r="BK134" s="266" t="n"/>
      <c r="BL134" s="266" t="n"/>
      <c r="BM134" s="266" t="n"/>
      <c r="BN134" s="266" t="n"/>
      <c r="BO134" s="266" t="n"/>
      <c r="BP134" s="266" t="n"/>
      <c r="BQ134" s="266" t="n"/>
      <c r="BR134" s="266" t="n"/>
      <c r="BS134" s="266" t="n"/>
      <c r="BT134" s="266" t="n"/>
      <c r="BU134" s="266" t="n"/>
      <c r="BV134" s="266" t="n"/>
      <c r="BW134" s="266" t="n"/>
      <c r="BX134" s="266" t="n"/>
      <c r="BY134" s="266" t="n"/>
      <c r="BZ134" s="266" t="n"/>
      <c r="CA134" s="266" t="n"/>
      <c r="CB134" s="266" t="n"/>
      <c r="CC134" s="266" t="n"/>
      <c r="CD134" s="266" t="n"/>
      <c r="CE134" s="266" t="n"/>
      <c r="CF134" s="266" t="n"/>
      <c r="CG134" s="266" t="n"/>
      <c r="CH134" s="266" t="n"/>
      <c r="CI134" s="266" t="n"/>
      <c r="CJ134" s="266" t="n"/>
      <c r="CK134" s="266" t="n"/>
      <c r="CL134" s="266" t="n"/>
      <c r="CM134" s="266" t="n"/>
      <c r="CN134" s="266" t="n"/>
      <c r="CO134" s="266" t="n"/>
      <c r="CP134" s="266" t="n"/>
      <c r="CQ134" s="266" t="n"/>
      <c r="CR134" s="266" t="n"/>
      <c r="CS134" s="266" t="n"/>
      <c r="CT134" s="266" t="n"/>
      <c r="CU134" s="266" t="n"/>
      <c r="CV134" s="266" t="n"/>
      <c r="CW134" s="266" t="n"/>
      <c r="CX134" s="266" t="n"/>
      <c r="CY134" s="266" t="n"/>
    </row>
    <row r="135" hidden="1" outlineLevel="1" ht="12.75" customHeight="1" s="254">
      <c r="C135" s="310" t="n"/>
      <c r="D135" s="266" t="n"/>
      <c r="E135" s="266" t="n"/>
      <c r="F135" s="266" t="n"/>
      <c r="G135" s="266" t="n"/>
      <c r="H135" s="266" t="n"/>
      <c r="I135" s="266" t="n"/>
      <c r="J135" s="266" t="n"/>
      <c r="K135" s="266" t="n"/>
      <c r="L135" s="266" t="n"/>
      <c r="M135" s="266" t="n"/>
      <c r="N135" s="266" t="n"/>
      <c r="O135" s="266" t="n"/>
      <c r="P135" s="266" t="n"/>
      <c r="Q135" s="266" t="n"/>
      <c r="R135" s="266" t="n"/>
      <c r="S135" s="266" t="n"/>
      <c r="T135" s="266" t="n"/>
      <c r="U135" s="266" t="n"/>
      <c r="V135" s="266" t="n"/>
      <c r="W135" s="266" t="n"/>
      <c r="X135" s="266" t="n"/>
      <c r="Y135" s="266" t="n"/>
      <c r="Z135" s="266" t="n"/>
      <c r="AA135" s="266" t="n"/>
      <c r="AB135" s="266" t="n"/>
      <c r="AC135" s="266" t="n"/>
      <c r="AD135" s="266" t="n"/>
      <c r="AE135" s="266" t="n"/>
      <c r="AF135" s="266" t="n"/>
      <c r="AG135" s="266" t="n"/>
      <c r="AH135" s="266" t="n"/>
      <c r="AI135" s="266" t="n"/>
      <c r="AJ135" s="266" t="n"/>
      <c r="AK135" s="266" t="n"/>
      <c r="AL135" s="266" t="n"/>
      <c r="AM135" s="266" t="n"/>
      <c r="AN135" s="266" t="n"/>
      <c r="AO135" s="266" t="n"/>
      <c r="AP135" s="266" t="n"/>
      <c r="AQ135" s="266" t="n"/>
      <c r="AR135" s="266" t="n"/>
      <c r="AS135" s="266" t="n"/>
      <c r="AT135" s="266" t="n"/>
      <c r="AU135" s="266" t="n"/>
      <c r="AV135" s="266" t="n"/>
      <c r="AW135" s="266" t="n"/>
      <c r="AX135" s="266" t="n"/>
      <c r="AY135" s="266" t="n"/>
      <c r="AZ135" s="266" t="n"/>
      <c r="BA135" s="266" t="n"/>
      <c r="BB135" s="266" t="n"/>
      <c r="BC135" s="266" t="n"/>
      <c r="BD135" s="266" t="n"/>
      <c r="BE135" s="266" t="n"/>
      <c r="BF135" s="266" t="n"/>
      <c r="BG135" s="266" t="n"/>
      <c r="BH135" s="266" t="n"/>
      <c r="BI135" s="266" t="n"/>
      <c r="BJ135" s="266" t="n"/>
      <c r="BK135" s="266" t="n"/>
      <c r="BL135" s="266" t="n"/>
      <c r="BM135" s="266" t="n"/>
      <c r="BN135" s="266" t="n"/>
      <c r="BO135" s="266" t="n"/>
      <c r="BP135" s="266" t="n"/>
      <c r="BQ135" s="266" t="n"/>
      <c r="BR135" s="266" t="n"/>
      <c r="BS135" s="266" t="n"/>
      <c r="BT135" s="266" t="n"/>
      <c r="BU135" s="266" t="n"/>
      <c r="BV135" s="266" t="n"/>
      <c r="BW135" s="266" t="n"/>
      <c r="BX135" s="266" t="n"/>
      <c r="BY135" s="266" t="n"/>
      <c r="BZ135" s="266" t="n"/>
      <c r="CA135" s="266" t="n"/>
      <c r="CB135" s="266" t="n"/>
      <c r="CC135" s="266" t="n"/>
      <c r="CD135" s="266" t="n"/>
      <c r="CE135" s="266" t="n"/>
      <c r="CF135" s="266" t="n"/>
      <c r="CG135" s="266" t="n"/>
      <c r="CH135" s="266" t="n"/>
      <c r="CI135" s="266" t="n"/>
      <c r="CJ135" s="266" t="n"/>
      <c r="CK135" s="266" t="n"/>
      <c r="CL135" s="266" t="n"/>
      <c r="CM135" s="266" t="n"/>
      <c r="CN135" s="266" t="n"/>
      <c r="CO135" s="266" t="n"/>
      <c r="CP135" s="266" t="n"/>
      <c r="CQ135" s="266" t="n"/>
      <c r="CR135" s="266" t="n"/>
      <c r="CS135" s="266" t="n"/>
      <c r="CT135" s="266" t="n"/>
      <c r="CU135" s="266" t="n"/>
      <c r="CV135" s="266" t="n"/>
      <c r="CW135" s="266" t="n"/>
      <c r="CX135" s="266" t="n"/>
      <c r="CY135" s="266" t="n"/>
    </row>
    <row r="136" ht="12.75" customFormat="1" customHeight="1" s="285">
      <c r="A136" s="286" t="n"/>
      <c r="B136" s="257" t="n"/>
      <c r="C136" s="273" t="inlineStr">
        <is>
          <t>Pretax Income - EBT</t>
        </is>
      </c>
      <c r="D136" s="274">
        <f>SUM(D79,D80,D129)</f>
        <v>0</v>
      </c>
      <c r="E136" s="274">
        <f>SUM(E79,E80,E129)</f>
        <v>0</v>
      </c>
      <c r="F136" s="274">
        <f>SUM(F79,F80,F129)</f>
        <v>0</v>
      </c>
      <c r="G136" s="274">
        <f>SUM(G79,G80,G129)</f>
        <v>0</v>
      </c>
      <c r="H136" s="274">
        <f>SUM(D136:G136)</f>
        <v>0</v>
      </c>
      <c r="I136" s="274">
        <f>SUM(I79,I80,I129)</f>
        <v>8237</v>
      </c>
      <c r="J136" s="274">
        <f>SUM(J79,J80,J129)</f>
        <v>4130</v>
      </c>
      <c r="K136" s="274">
        <f>SUM(K79,K80,K129)</f>
        <v>1193</v>
      </c>
      <c r="L136" s="274">
        <f>SUM(L79,L80,L129)</f>
        <v>16269</v>
      </c>
      <c r="M136" s="274">
        <f>SUM(I136:L136)</f>
        <v>29829</v>
      </c>
      <c r="N136" s="274">
        <f>SUM(N79,N80,N129)</f>
        <v>10776</v>
      </c>
      <c r="O136" s="274">
        <f>SUM(O79,O80,O129)</f>
        <v>26160</v>
      </c>
      <c r="P136" s="274">
        <f>SUM(P79,P80,P129)</f>
        <v>11435</v>
      </c>
      <c r="Q136" s="274">
        <f>SUM(Q79,Q80,Q129)</f>
        <v>16443</v>
      </c>
      <c r="R136" s="274">
        <f>SUM(N136:Q136)</f>
        <v>64814</v>
      </c>
      <c r="S136" s="274">
        <f>SUM(S79,S80,S129)</f>
        <v>14354</v>
      </c>
      <c r="T136" s="274">
        <f>SUM(T79,T80,T129)</f>
        <v>5348</v>
      </c>
      <c r="U136" s="274">
        <f>SUM(U79,U80,U129)</f>
        <v>11291</v>
      </c>
      <c r="V136" s="274">
        <f>SUM(V79,V80,V129)</f>
        <v>1635</v>
      </c>
      <c r="W136" s="274">
        <f>SUM(S136:V136)</f>
        <v>32628</v>
      </c>
      <c r="X136" s="274">
        <f>SUM(X79,X80,X129)</f>
        <v>11044</v>
      </c>
      <c r="Y136" s="274">
        <f>SUM(Y79,Y80,Y129)</f>
        <v>7404</v>
      </c>
      <c r="Z136" s="274">
        <f>SUM(Z79,Z80,Z129)</f>
        <v>7270</v>
      </c>
      <c r="AA136" s="274">
        <f>SUM(AA79,AA80,AA129)</f>
        <v>4205</v>
      </c>
      <c r="AB136" s="274">
        <f>SUM(X136:AA136)</f>
        <v>29923</v>
      </c>
      <c r="AC136" s="274">
        <f>SUM(AC79,AC80,AC129)</f>
        <v>8959</v>
      </c>
      <c r="AD136" s="274">
        <f>SUM(AD79,AD80,AD129)</f>
        <v>5975</v>
      </c>
      <c r="AE136" s="274">
        <f>SUM(AE79,AE80,AE129)</f>
        <v>7924</v>
      </c>
      <c r="AF136" s="274">
        <f>SUM(AF79,AF80,AF129)</f>
        <v>6898</v>
      </c>
      <c r="AG136" s="274">
        <f>SUM(AC136:AF136)</f>
        <v>29756</v>
      </c>
      <c r="AH136" s="274">
        <f>SUM(AH79,AH80,AH129)</f>
        <v>9328</v>
      </c>
      <c r="AI136" s="274">
        <f>SUM(AI79,AI80,AI129)</f>
        <v>15754</v>
      </c>
      <c r="AJ136" s="274">
        <f>SUM(AJ79,AJ80,AJ129)</f>
        <v>441</v>
      </c>
      <c r="AK136" s="274">
        <f>SUM(AK79,AK80,AK129)</f>
        <v>1691</v>
      </c>
      <c r="AL136" s="274">
        <f>SUM(AH136:AK136)</f>
        <v>27214</v>
      </c>
      <c r="AM136" s="274">
        <f>SUM(AM79,AM80,AM129)</f>
        <v>1691</v>
      </c>
      <c r="AN136" s="274">
        <f>SUM(AN79,AN80,AN129)</f>
        <v>4264</v>
      </c>
      <c r="AO136" s="274">
        <f>SUM(AO79,AO80,AO129)</f>
        <v>1691</v>
      </c>
      <c r="AP136" s="274">
        <f>SUM(AP79,AP80,AP129)</f>
        <v>4264</v>
      </c>
      <c r="AQ136" s="274">
        <f>SUM(AM136:AP136)</f>
        <v>11910</v>
      </c>
      <c r="AR136" s="274">
        <f>SUM(AR79,AR80,AR129)</f>
        <v>4264</v>
      </c>
      <c r="AS136" s="274">
        <f>SUM(AS79,AS80,AS129)</f>
        <v>11910</v>
      </c>
      <c r="AT136" s="274">
        <f>SUM(AT79,AT80,AT129)</f>
        <v>4264</v>
      </c>
      <c r="AU136" s="274">
        <f>SUM(AU79,AU80,AU129)</f>
        <v>11910</v>
      </c>
      <c r="AV136" s="274">
        <f>SUM(AR136:AU136)</f>
        <v>32348</v>
      </c>
      <c r="AW136" s="274">
        <f>SUM(AW79,AW80,AW129)</f>
        <v>11910</v>
      </c>
      <c r="AX136" s="274">
        <f>SUM(AX79,AX80,AX129)</f>
        <v>32348</v>
      </c>
      <c r="AY136" s="274">
        <f>SUM(AY79,AY80,AY129)</f>
        <v>11910</v>
      </c>
      <c r="AZ136" s="274">
        <f>SUM(AZ79,AZ80,AZ129)</f>
        <v>32348</v>
      </c>
      <c r="BA136" s="274">
        <f>SUM(AW136:AZ136)</f>
        <v>88516</v>
      </c>
      <c r="BB136" s="274">
        <f>SUM(BB79,BB80,BB129)</f>
        <v>32348</v>
      </c>
      <c r="BC136" s="274">
        <f>SUM(BC79,BC80,BC129)</f>
        <v>88516</v>
      </c>
      <c r="BD136" s="274">
        <f>SUM(BD79,BD80,BD129)</f>
        <v>32348</v>
      </c>
      <c r="BE136" s="274">
        <f>SUM(BE79,BE80,BE129)</f>
        <v>88516</v>
      </c>
      <c r="BF136" s="274">
        <f>SUM(BB136:BE136)</f>
        <v>241728</v>
      </c>
      <c r="BG136" s="274">
        <f>SUM(BG79,BG80,BG129)</f>
        <v>88516</v>
      </c>
      <c r="BH136" s="274">
        <f>SUM(BH79,BH80,BH129)</f>
        <v>241728</v>
      </c>
      <c r="BI136" s="274">
        <f>SUM(BI79,BI80,BI129)</f>
        <v>88516</v>
      </c>
      <c r="BJ136" s="274">
        <f>SUM(BJ79,BJ80,BJ129)</f>
        <v>241728</v>
      </c>
      <c r="BK136" s="274">
        <f>SUM(BG136:BJ136)</f>
        <v>660488</v>
      </c>
      <c r="BL136" s="274">
        <f>SUM(BL79,BL80,BL129)</f>
        <v>241728</v>
      </c>
      <c r="BM136" s="274">
        <f>SUM(BM79,BM80,BM129)</f>
        <v>660488</v>
      </c>
      <c r="BN136" s="274">
        <f>SUM(BN79,BN80,BN129)</f>
        <v>241728</v>
      </c>
      <c r="BO136" s="274">
        <f>SUM(BO79,BO80,BO129)</f>
        <v>660488</v>
      </c>
      <c r="BP136" s="274">
        <f>SUM(BL136:BO136)</f>
        <v>1804432</v>
      </c>
      <c r="BQ136" s="274">
        <f>SUM(BQ79,BQ80,BQ129)</f>
        <v>660488</v>
      </c>
      <c r="BR136" s="274">
        <f>SUM(BR79,BR80,BR129)</f>
        <v>1804432</v>
      </c>
      <c r="BS136" s="274">
        <f>SUM(BS79,BS80,BS129)</f>
        <v>660488</v>
      </c>
      <c r="BT136" s="274">
        <f>SUM(BT79,BT80,BT129)</f>
        <v>1804432</v>
      </c>
      <c r="BU136" s="274">
        <f>SUM(BQ136:BT136)</f>
        <v>4929840</v>
      </c>
      <c r="BV136" s="274">
        <f>SUM(BV79,BV80,BV129)</f>
        <v>1804432</v>
      </c>
      <c r="BW136" s="274">
        <f>SUM(BW79,BW80,BW129)</f>
        <v>4929840</v>
      </c>
      <c r="BX136" s="274">
        <f>SUM(BX79,BX80,BX129)</f>
        <v>1804432</v>
      </c>
      <c r="BY136" s="274">
        <f>SUM(BY79,BY80,BY129)</f>
        <v>4929840</v>
      </c>
      <c r="BZ136" s="274">
        <f>SUM(BV136:BY136)</f>
        <v>13468544</v>
      </c>
      <c r="CA136" s="274">
        <f>SUM(CA79,CA80,CA129)</f>
        <v>4929840</v>
      </c>
      <c r="CB136" s="274">
        <f>SUM(CB79,CB80,CB129)</f>
        <v>13468544</v>
      </c>
      <c r="CC136" s="274">
        <f>SUM(CC79,CC80,CC129)</f>
        <v>4929840</v>
      </c>
      <c r="CD136" s="274">
        <f>SUM(CD79,CD80,CD129)</f>
        <v>13468544</v>
      </c>
      <c r="CE136" s="274">
        <f>SUM(CA136:CD136)</f>
        <v>36796768</v>
      </c>
      <c r="CF136" s="274">
        <f>SUM(CF79,CF80,CF129)</f>
        <v>13468544</v>
      </c>
      <c r="CG136" s="274">
        <f>SUM(CG79,CG80,CG129)</f>
        <v>36796768</v>
      </c>
      <c r="CH136" s="274">
        <f>SUM(CH79,CH80,CH129)</f>
        <v>13468544</v>
      </c>
      <c r="CI136" s="274">
        <f>SUM(CI79,CI80,CI129)</f>
        <v>36796768</v>
      </c>
      <c r="CJ136" s="274">
        <f>SUM(CF136:CI136)</f>
        <v>100530624</v>
      </c>
      <c r="CK136" s="274">
        <f>SUM(CK79,CK80,CK129)</f>
        <v>36796768</v>
      </c>
      <c r="CL136" s="274">
        <f>SUM(CL79,CL80,CL129)</f>
        <v>100530624</v>
      </c>
      <c r="CM136" s="274">
        <f>SUM(CM79,CM80,CM129)</f>
        <v>36796768</v>
      </c>
      <c r="CN136" s="274">
        <f>SUM(CN79,CN80,CN129)</f>
        <v>100530624</v>
      </c>
      <c r="CO136" s="274">
        <f>SUM(CK136:CN136)</f>
        <v>274654784</v>
      </c>
      <c r="CP136" s="274">
        <f>SUM(CP79,CP80,CP129)</f>
        <v>100530624</v>
      </c>
      <c r="CQ136" s="274">
        <f>SUM(CQ79,CQ80,CQ129)</f>
        <v>274654784</v>
      </c>
      <c r="CR136" s="274">
        <f>SUM(CR79,CR80,CR129)</f>
        <v>100530624</v>
      </c>
      <c r="CS136" s="274">
        <f>SUM(CS79,CS80,CS129)</f>
        <v>274654784</v>
      </c>
      <c r="CT136" s="274">
        <f>SUM(CP136:CS136)</f>
        <v>750370816</v>
      </c>
      <c r="CU136" s="274">
        <f>SUM(CU79,CU80,CU129)</f>
        <v>274654784</v>
      </c>
      <c r="CV136" s="274">
        <f>SUM(CV79,CV80,CV129)</f>
        <v>750370816</v>
      </c>
      <c r="CW136" s="274">
        <f>SUM(CW79,CW80,CW129)</f>
        <v>274654784</v>
      </c>
      <c r="CX136" s="274">
        <f>SUM(CX79,CX80,CX129)</f>
        <v>750370816</v>
      </c>
      <c r="CY136" s="274">
        <f>SUM(CU136:CX136)</f>
        <v>2050051200</v>
      </c>
    </row>
    <row r="137" ht="12.75" customHeight="1" s="254">
      <c r="C137" s="268" t="inlineStr">
        <is>
          <t>Taxes</t>
        </is>
      </c>
      <c r="D137" s="299" t="n"/>
      <c r="E137" s="299" t="n"/>
      <c r="F137" s="299" t="n"/>
      <c r="G137" s="299" t="n"/>
      <c r="H137" s="266">
        <f>SUM(D137:G137)</f>
        <v>0</v>
      </c>
      <c r="I137" s="299">
        <f>INDEX('Inputs (2)'!$D$10:$AL$10,MATCH(I$7,'Inputs (2)'!$D$2:$AL$2,0))</f>
        <v>-2453</v>
      </c>
      <c r="J137" s="299">
        <f>INDEX('Inputs (2)'!$D$10:$AL$10,MATCH(J$7,'Inputs (2)'!$D$2:$AL$2,0))</f>
        <v>-571</v>
      </c>
      <c r="K137" s="299">
        <f>INDEX('Inputs (2)'!$D$10:$AL$10,MATCH(K$7,'Inputs (2)'!$D$2:$AL$2,0))</f>
        <v>-1510</v>
      </c>
      <c r="L137" s="299">
        <f>INDEX('Inputs (2)'!$D$10:$AL$10,MATCH(L$7,'Inputs (2)'!$D$2:$AL$2,0))</f>
        <v>-4665</v>
      </c>
      <c r="M137" s="266">
        <f>SUM(I137:L137)</f>
        <v>-9199</v>
      </c>
      <c r="N137" s="299">
        <f>INDEX('Inputs (2)'!$D$10:$AL$10,MATCH(N$7,'Inputs (2)'!$D$2:$AL$2,0))</f>
        <v>-3457</v>
      </c>
      <c r="O137" s="299">
        <f>INDEX('Inputs (2)'!$D$10:$AL$10,MATCH(O$7,'Inputs (2)'!$D$2:$AL$2,0))</f>
        <v>-7922</v>
      </c>
      <c r="P137" s="299">
        <f>INDEX('Inputs (2)'!$D$10:$AL$10,MATCH(P$7,'Inputs (2)'!$D$2:$AL$2,0))</f>
        <v>-4587</v>
      </c>
      <c r="Q137" s="299">
        <f>INDEX('Inputs (2)'!$D$10:$AL$10,MATCH(Q$7,'Inputs (2)'!$D$2:$AL$2,0))</f>
        <v>-5975</v>
      </c>
      <c r="R137" s="266">
        <f>SUM(N137:Q137)</f>
        <v>-21941</v>
      </c>
      <c r="S137" s="299">
        <f>INDEX('Inputs (2)'!$D$10:$AL$10,MATCH(S$7,'Inputs (2)'!$D$2:$AL$2,0))</f>
        <v>-5582</v>
      </c>
      <c r="T137" s="299">
        <f>INDEX('Inputs (2)'!$D$10:$AL$10,MATCH(T$7,'Inputs (2)'!$D$2:$AL$2,0))</f>
        <v>-2195</v>
      </c>
      <c r="U137" s="299">
        <f>INDEX('Inputs (2)'!$D$10:$AL$10,MATCH(U$7,'Inputs (2)'!$D$2:$AL$2,0))</f>
        <v>-4115</v>
      </c>
      <c r="V137" s="299">
        <f>INDEX('Inputs (2)'!$D$10:$AL$10,MATCH(V$7,'Inputs (2)'!$D$2:$AL$2,0))</f>
        <v>-1099</v>
      </c>
      <c r="W137" s="266">
        <f>SUM(S137:V137)</f>
        <v>-12991</v>
      </c>
      <c r="X137" s="299">
        <f>INDEX('Inputs (2)'!$D$10:$AL$10,MATCH(X$7,'Inputs (2)'!$D$2:$AL$2,0))</f>
        <v>-3604</v>
      </c>
      <c r="Y137" s="299">
        <f>INDEX('Inputs (2)'!$D$10:$AL$10,MATCH(Y$7,'Inputs (2)'!$D$2:$AL$2,0))</f>
        <v>-3754</v>
      </c>
      <c r="Z137" s="299">
        <f>INDEX('Inputs (2)'!$D$10:$AL$10,MATCH(Z$7,'Inputs (2)'!$D$2:$AL$2,0))</f>
        <v>-2879</v>
      </c>
      <c r="AA137" s="299">
        <f>INDEX('Inputs (2)'!$D$10:$AL$10,MATCH(AA$7,'Inputs (2)'!$D$2:$AL$2,0))</f>
        <v>-3164</v>
      </c>
      <c r="AB137" s="266">
        <f>SUM(X137:AA137)</f>
        <v>-13401</v>
      </c>
      <c r="AC137" s="299">
        <f>INDEX('Inputs (2)'!$D$10:$AL$10,MATCH(AC$7,'Inputs (2)'!$D$2:$AL$2,0))</f>
        <v>-4083</v>
      </c>
      <c r="AD137" s="299">
        <f>INDEX('Inputs (2)'!$D$10:$AL$10,MATCH(AD$7,'Inputs (2)'!$D$2:$AL$2,0))</f>
        <v>-2332</v>
      </c>
      <c r="AE137" s="299">
        <f>INDEX('Inputs (2)'!$D$10:$AL$10,MATCH(AE$7,'Inputs (2)'!$D$2:$AL$2,0))</f>
        <v>-2504</v>
      </c>
      <c r="AF137" s="299">
        <f>INDEX('Inputs (2)'!$D$10:$AL$10,MATCH(AF$7,'Inputs (2)'!$D$2:$AL$2,0))</f>
        <v>-2718</v>
      </c>
      <c r="AG137" s="266">
        <f>SUM(AC137:AF137)</f>
        <v>-11637</v>
      </c>
      <c r="AH137" s="266">
        <f>INDEX('Inputs (2)'!$D$10:$AL$10,MATCH(AH$7,'Inputs (2)'!$D$2:$AL$2,0))</f>
        <v>-3570</v>
      </c>
      <c r="AI137" s="266">
        <f>INDEX('Inputs (2)'!$D$10:$AL$10,MATCH(AI$7,'Inputs (2)'!$D$2:$AL$2,0))</f>
        <v>-4949</v>
      </c>
      <c r="AJ137" s="266">
        <f>AJ138*-AJ136</f>
        <v>0</v>
      </c>
      <c r="AK137" s="266">
        <f>AK138*-AK136</f>
        <v>0</v>
      </c>
      <c r="AL137" s="266">
        <f>SUM(AH137:AK137)</f>
        <v>-8519</v>
      </c>
      <c r="AM137" s="266">
        <f>AM138*-AM136</f>
        <v>0</v>
      </c>
      <c r="AN137" s="266">
        <f>AN138*-AN136</f>
        <v>0</v>
      </c>
      <c r="AO137" s="266">
        <f>AO138*-AO136</f>
        <v>0</v>
      </c>
      <c r="AP137" s="266">
        <f>AP138*-AP136</f>
        <v>0</v>
      </c>
      <c r="AQ137" s="266">
        <f>SUM(AM137:AP137)</f>
        <v>0</v>
      </c>
      <c r="AR137" s="266">
        <f>AR138*-AR136</f>
        <v>0</v>
      </c>
      <c r="AS137" s="266">
        <f>AS138*-AS136</f>
        <v>0</v>
      </c>
      <c r="AT137" s="266">
        <f>AT138*-AT136</f>
        <v>0</v>
      </c>
      <c r="AU137" s="266">
        <f>AU138*-AU136</f>
        <v>0</v>
      </c>
      <c r="AV137" s="266">
        <f>SUM(AR137:AU137)</f>
        <v>0</v>
      </c>
      <c r="AW137" s="266">
        <f>AW138*-AW136</f>
        <v>0</v>
      </c>
      <c r="AX137" s="266">
        <f>AX138*-AX136</f>
        <v>0</v>
      </c>
      <c r="AY137" s="266">
        <f>AY138*-AY136</f>
        <v>0</v>
      </c>
      <c r="AZ137" s="266">
        <f>AZ138*-AZ136</f>
        <v>0</v>
      </c>
      <c r="BA137" s="266">
        <f>SUM(AW137:AZ137)</f>
        <v>0</v>
      </c>
      <c r="BB137" s="266">
        <f>BB138*-BB136</f>
        <v>0</v>
      </c>
      <c r="BC137" s="266">
        <f>BC138*-BC136</f>
        <v>0</v>
      </c>
      <c r="BD137" s="266">
        <f>BD138*-BD136</f>
        <v>0</v>
      </c>
      <c r="BE137" s="266">
        <f>BE138*-BE136</f>
        <v>0</v>
      </c>
      <c r="BF137" s="266">
        <f>SUM(BB137:BE137)</f>
        <v>0</v>
      </c>
      <c r="BG137" s="266">
        <f>BG138*-BG136</f>
        <v>0</v>
      </c>
      <c r="BH137" s="266">
        <f>BH138*-BH136</f>
        <v>0</v>
      </c>
      <c r="BI137" s="266">
        <f>BI138*-BI136</f>
        <v>0</v>
      </c>
      <c r="BJ137" s="266">
        <f>BJ138*-BJ136</f>
        <v>0</v>
      </c>
      <c r="BK137" s="266">
        <f>SUM(BG137:BJ137)</f>
        <v>0</v>
      </c>
      <c r="BL137" s="266">
        <f>BL138*-BL136</f>
        <v>0</v>
      </c>
      <c r="BM137" s="266">
        <f>BM138*-BM136</f>
        <v>0</v>
      </c>
      <c r="BN137" s="266">
        <f>BN138*-BN136</f>
        <v>0</v>
      </c>
      <c r="BO137" s="266">
        <f>BO138*-BO136</f>
        <v>0</v>
      </c>
      <c r="BP137" s="266">
        <f>SUM(BL137:BO137)</f>
        <v>0</v>
      </c>
      <c r="BQ137" s="266">
        <f>BQ138*-BQ136</f>
        <v>0</v>
      </c>
      <c r="BR137" s="266">
        <f>BR138*-BR136</f>
        <v>0</v>
      </c>
      <c r="BS137" s="266">
        <f>BS138*-BS136</f>
        <v>0</v>
      </c>
      <c r="BT137" s="266">
        <f>BT138*-BT136</f>
        <v>0</v>
      </c>
      <c r="BU137" s="266">
        <f>SUM(BQ137:BT137)</f>
        <v>0</v>
      </c>
      <c r="BV137" s="266">
        <f>BV138*-BV136</f>
        <v>0</v>
      </c>
      <c r="BW137" s="266">
        <f>BW138*-BW136</f>
        <v>0</v>
      </c>
      <c r="BX137" s="266">
        <f>BX138*-BX136</f>
        <v>0</v>
      </c>
      <c r="BY137" s="266">
        <f>BY138*-BY136</f>
        <v>0</v>
      </c>
      <c r="BZ137" s="266">
        <f>SUM(BV137:BY137)</f>
        <v>0</v>
      </c>
      <c r="CA137" s="266">
        <f>CA138*-CA136</f>
        <v>0</v>
      </c>
      <c r="CB137" s="266">
        <f>CB138*-CB136</f>
        <v>0</v>
      </c>
      <c r="CC137" s="266">
        <f>CC138*-CC136</f>
        <v>0</v>
      </c>
      <c r="CD137" s="266">
        <f>CD138*-CD136</f>
        <v>0</v>
      </c>
      <c r="CE137" s="266">
        <f>SUM(CA137:CD137)</f>
        <v>0</v>
      </c>
      <c r="CF137" s="266">
        <f>CF138*-CF136</f>
        <v>0</v>
      </c>
      <c r="CG137" s="266">
        <f>CG138*-CG136</f>
        <v>0</v>
      </c>
      <c r="CH137" s="266">
        <f>CH138*-CH136</f>
        <v>0</v>
      </c>
      <c r="CI137" s="266">
        <f>CI138*-CI136</f>
        <v>0</v>
      </c>
      <c r="CJ137" s="266">
        <f>SUM(CF137:CI137)</f>
        <v>0</v>
      </c>
      <c r="CK137" s="266">
        <f>CK138*-CK136</f>
        <v>0</v>
      </c>
      <c r="CL137" s="266">
        <f>CL138*-CL136</f>
        <v>0</v>
      </c>
      <c r="CM137" s="266">
        <f>CM138*-CM136</f>
        <v>0</v>
      </c>
      <c r="CN137" s="266">
        <f>CN138*-CN136</f>
        <v>0</v>
      </c>
      <c r="CO137" s="266">
        <f>SUM(CK137:CN137)</f>
        <v>0</v>
      </c>
      <c r="CP137" s="266">
        <f>CP138*-CP136</f>
        <v>0</v>
      </c>
      <c r="CQ137" s="266">
        <f>CQ138*-CQ136</f>
        <v>0</v>
      </c>
      <c r="CR137" s="266">
        <f>CR138*-CR136</f>
        <v>0</v>
      </c>
      <c r="CS137" s="266">
        <f>CS138*-CS136</f>
        <v>0</v>
      </c>
      <c r="CT137" s="266">
        <f>SUM(CP137:CS137)</f>
        <v>0</v>
      </c>
      <c r="CU137" s="266">
        <f>CU138*-CU136</f>
        <v>0</v>
      </c>
      <c r="CV137" s="266">
        <f>CV138*-CV136</f>
        <v>0</v>
      </c>
      <c r="CW137" s="266">
        <f>CW138*-CW136</f>
        <v>0</v>
      </c>
      <c r="CX137" s="266">
        <f>CX138*-CX136</f>
        <v>0</v>
      </c>
      <c r="CY137" s="266">
        <f>SUM(CU137:CX137)</f>
        <v>0</v>
      </c>
    </row>
    <row r="138" hidden="1" outlineLevel="1" ht="12.75" customHeight="1" s="254">
      <c r="C138" s="310" t="inlineStr">
        <is>
          <t>% ETR</t>
        </is>
      </c>
      <c r="D138" s="307" t="str">
        <f>IFERROR(-D137/D136,"")</f>
        <v/>
      </c>
      <c r="E138" s="307" t="str">
        <f>IFERROR(-E137/E136,"")</f>
        <v/>
      </c>
      <c r="F138" s="307" t="str">
        <f>IFERROR(-F137/F136,"")</f>
        <v/>
      </c>
      <c r="G138" s="307" t="str">
        <f>IFERROR(-G137/G136,"")</f>
        <v/>
      </c>
      <c r="H138" s="307" t="str">
        <f>IFERROR(-H137/H136,"")</f>
        <v/>
      </c>
      <c r="I138" s="307">
        <f>IFERROR(-I137/I136,"")</f>
        <v>0.297802598033265</v>
      </c>
      <c r="J138" s="307">
        <f>IFERROR(-J137/J136,"")</f>
        <v>0.138256658595642</v>
      </c>
      <c r="K138" s="307">
        <f>IFERROR(-K137/K136,"")</f>
        <v>1.26571668063705</v>
      </c>
      <c r="L138" s="307">
        <f>IFERROR(-L137/L136,"")</f>
        <v>0.286741655910013</v>
      </c>
      <c r="M138" s="307">
        <f>IFERROR(-M137/M136,"")</f>
        <v>0.308391162962218</v>
      </c>
      <c r="N138" s="307">
        <f>IFERROR(-N137/N136,"")</f>
        <v>0.320805493689681</v>
      </c>
      <c r="O138" s="307">
        <f>IFERROR(-O137/O136,"")</f>
        <v>0.30282874617737</v>
      </c>
      <c r="P138" s="307">
        <f>IFERROR(-P137/P136,"")</f>
        <v>0.40113686051596</v>
      </c>
      <c r="Q138" s="307">
        <f>IFERROR(-Q137/Q136,"")</f>
        <v>0.3633765128018</v>
      </c>
      <c r="R138" s="307">
        <f>IFERROR(-R137/R136,"")</f>
        <v>0.338522541426235</v>
      </c>
      <c r="S138" s="307">
        <f>IFERROR(-S137/S136,"")</f>
        <v>0.388881148112025</v>
      </c>
      <c r="T138" s="307">
        <f>IFERROR(-T137/T136,"")</f>
        <v>0.410433807030666</v>
      </c>
      <c r="U138" s="307">
        <f>IFERROR(-U137/U136,"")</f>
        <v>0.364449561597733</v>
      </c>
      <c r="V138" s="307">
        <f>IFERROR(-V137/V136,"")</f>
        <v>0.67217125382263</v>
      </c>
      <c r="W138" s="307">
        <f>IFERROR(-W137/W136,"")</f>
        <v>0.39815495893098</v>
      </c>
      <c r="X138" s="307">
        <f>IFERROR(-X137/X136,"")</f>
        <v>0.32633103947845</v>
      </c>
      <c r="Y138" s="307">
        <f>IFERROR(-Y137/Y136,"")</f>
        <v>0.507023230686116</v>
      </c>
      <c r="Z138" s="307">
        <f>IFERROR(-Z137/Z136,"")</f>
        <v>0.396011004126547</v>
      </c>
      <c r="AA138" s="307">
        <f>IFERROR(-AA137/AA136,"")</f>
        <v>0.75243757431629</v>
      </c>
      <c r="AB138" s="307">
        <f>IFERROR(-AB137/AB136,"")</f>
        <v>0.447849480332854</v>
      </c>
      <c r="AC138" s="307">
        <f>IFERROR(-AC137/AC136,"")</f>
        <v>0.455742828440674</v>
      </c>
      <c r="AD138" s="307">
        <f>IFERROR(-AD137/AD136,"")</f>
        <v>0.390292887029289</v>
      </c>
      <c r="AE138" s="307">
        <f>IFERROR(-AE137/AE136,"")</f>
        <v>0.316002019182231</v>
      </c>
      <c r="AF138" s="295">
        <f>IFERROR(-AF137/AF136,"")</f>
        <v>0.394027254276602</v>
      </c>
      <c r="AG138" s="307">
        <f>IFERROR(-AG137/AG136,"")</f>
        <v>0.391080790428821</v>
      </c>
      <c r="AH138" s="295">
        <f>IFERROR(-AH137/AH136,"")</f>
        <v>0.382718696397942</v>
      </c>
      <c r="AI138" s="295">
        <f>IFERROR(-AI137/AI136,"")</f>
        <v>0.314142440015234</v>
      </c>
      <c r="AJ138" s="295" t="n"/>
      <c r="AK138" s="295" t="n"/>
      <c r="AL138" s="307">
        <f>IFERROR(-AL137/AL136,"")</f>
        <v>0.313037407216874</v>
      </c>
      <c r="AM138" s="295" t="n"/>
      <c r="AN138" s="295" t="n"/>
      <c r="AO138" s="295" t="n"/>
      <c r="AP138" s="295" t="n"/>
      <c r="AQ138" s="307">
        <f>IFERROR(-AQ137/AQ136,"")</f>
        <v>0</v>
      </c>
      <c r="AR138" s="295" t="n"/>
      <c r="AS138" s="295" t="n"/>
      <c r="AT138" s="295" t="n"/>
      <c r="AU138" s="295" t="n"/>
      <c r="AV138" s="307">
        <f>IFERROR(-AV137/AV136,"")</f>
        <v>0</v>
      </c>
      <c r="AW138" s="295" t="n"/>
      <c r="AX138" s="295" t="n"/>
      <c r="AY138" s="295" t="n"/>
      <c r="AZ138" s="295" t="n"/>
      <c r="BA138" s="307">
        <f>IFERROR(-BA137/BA136,"")</f>
        <v>0</v>
      </c>
      <c r="BB138" s="295" t="n"/>
      <c r="BC138" s="295" t="n"/>
      <c r="BD138" s="295" t="n"/>
      <c r="BE138" s="295" t="n"/>
      <c r="BF138" s="307">
        <f>IFERROR(-BF137/BF136,"")</f>
        <v>0</v>
      </c>
      <c r="BG138" s="295" t="n"/>
      <c r="BH138" s="295" t="n"/>
      <c r="BI138" s="295" t="n"/>
      <c r="BJ138" s="295" t="n"/>
      <c r="BK138" s="307">
        <f>IFERROR(-BK137/BK136,"")</f>
        <v>0</v>
      </c>
      <c r="BL138" s="295" t="n"/>
      <c r="BM138" s="295" t="n"/>
      <c r="BN138" s="295" t="n"/>
      <c r="BO138" s="295" t="n"/>
      <c r="BP138" s="307">
        <f>IFERROR(-BP137/BP136,"")</f>
        <v>0</v>
      </c>
      <c r="BQ138" s="295" t="n"/>
      <c r="BR138" s="295" t="n"/>
      <c r="BS138" s="295" t="n"/>
      <c r="BT138" s="295" t="n"/>
      <c r="BU138" s="307">
        <f>IFERROR(-BU137/BU136,"")</f>
        <v>0</v>
      </c>
      <c r="BV138" s="295" t="n"/>
      <c r="BW138" s="295" t="n"/>
      <c r="BX138" s="295" t="n"/>
      <c r="BY138" s="295" t="n"/>
      <c r="BZ138" s="307">
        <f>IFERROR(-BZ137/BZ136,"")</f>
        <v>0</v>
      </c>
      <c r="CA138" s="295" t="n"/>
      <c r="CB138" s="295" t="n"/>
      <c r="CC138" s="295" t="n"/>
      <c r="CD138" s="295" t="n"/>
      <c r="CE138" s="307">
        <f>IFERROR(-CE137/CE136,"")</f>
        <v>0</v>
      </c>
      <c r="CF138" s="295" t="n"/>
      <c r="CG138" s="295" t="n"/>
      <c r="CH138" s="295" t="n"/>
      <c r="CI138" s="295" t="n"/>
      <c r="CJ138" s="307">
        <f>IFERROR(-CJ137/CJ136,"")</f>
        <v>0</v>
      </c>
      <c r="CK138" s="295" t="n"/>
      <c r="CL138" s="295" t="n"/>
      <c r="CM138" s="295" t="n"/>
      <c r="CN138" s="295" t="n"/>
      <c r="CO138" s="307">
        <f>IFERROR(-CO137/CO136,"")</f>
        <v>0</v>
      </c>
      <c r="CP138" s="295" t="n"/>
      <c r="CQ138" s="295" t="n"/>
      <c r="CR138" s="295" t="n"/>
      <c r="CS138" s="295" t="n"/>
      <c r="CT138" s="307">
        <f>IFERROR(-CT137/CT136,"")</f>
        <v>0</v>
      </c>
      <c r="CU138" s="295" t="n"/>
      <c r="CV138" s="295" t="n"/>
      <c r="CW138" s="295" t="n"/>
      <c r="CX138" s="295" t="n"/>
      <c r="CY138" s="307">
        <f>IFERROR(-CY137/CY136,"")</f>
        <v>0</v>
      </c>
    </row>
    <row r="139" hidden="1" outlineLevel="1" ht="12.75" customHeight="1" s="254">
      <c r="C139" s="310" t="n"/>
      <c r="D139" s="266" t="n"/>
      <c r="E139" s="266" t="n"/>
      <c r="F139" s="266" t="n"/>
      <c r="G139" s="266" t="n"/>
      <c r="H139" s="266" t="n"/>
      <c r="I139" s="266" t="n"/>
      <c r="J139" s="266" t="n"/>
      <c r="K139" s="266" t="n"/>
      <c r="L139" s="266" t="n"/>
      <c r="M139" s="266" t="n"/>
      <c r="N139" s="266" t="n"/>
      <c r="O139" s="266" t="n"/>
      <c r="P139" s="266" t="n"/>
      <c r="Q139" s="266" t="n"/>
      <c r="R139" s="266" t="n"/>
      <c r="S139" s="266" t="n"/>
      <c r="T139" s="266" t="n"/>
      <c r="U139" s="266" t="n"/>
      <c r="V139" s="266" t="n"/>
      <c r="W139" s="266" t="n"/>
      <c r="X139" s="266" t="n"/>
      <c r="Y139" s="266" t="n"/>
      <c r="Z139" s="266" t="n"/>
      <c r="AA139" s="266" t="n"/>
      <c r="AB139" s="266" t="n"/>
      <c r="AC139" s="266" t="n"/>
      <c r="AD139" s="266" t="n"/>
      <c r="AE139" s="266" t="n"/>
      <c r="AF139" s="266" t="n"/>
      <c r="AG139" s="266" t="n"/>
      <c r="AH139" s="266" t="n"/>
      <c r="AI139" s="266" t="n"/>
      <c r="AJ139" s="266" t="n"/>
      <c r="AK139" s="266" t="n"/>
      <c r="AL139" s="266" t="n"/>
      <c r="AM139" s="266" t="n"/>
      <c r="AN139" s="266" t="n"/>
      <c r="AO139" s="266" t="n"/>
      <c r="AP139" s="266" t="n"/>
      <c r="AQ139" s="266" t="n"/>
      <c r="AR139" s="266" t="n"/>
      <c r="AS139" s="266" t="n"/>
      <c r="AT139" s="266" t="n"/>
      <c r="AU139" s="266" t="n"/>
      <c r="AV139" s="266" t="n"/>
      <c r="AW139" s="266" t="n"/>
      <c r="AX139" s="266" t="n"/>
      <c r="AY139" s="266" t="n"/>
      <c r="AZ139" s="266" t="n"/>
      <c r="BA139" s="266" t="n"/>
      <c r="BB139" s="266" t="n"/>
      <c r="BC139" s="266" t="n"/>
      <c r="BD139" s="266" t="n"/>
      <c r="BE139" s="266" t="n"/>
      <c r="BF139" s="266" t="n"/>
      <c r="BG139" s="266" t="n"/>
      <c r="BH139" s="266" t="n"/>
      <c r="BI139" s="266" t="n"/>
      <c r="BJ139" s="266" t="n"/>
      <c r="BK139" s="266" t="n"/>
      <c r="BL139" s="266" t="n"/>
      <c r="BM139" s="266" t="n"/>
      <c r="BN139" s="266" t="n"/>
      <c r="BO139" s="266" t="n"/>
      <c r="BP139" s="266" t="n"/>
      <c r="BQ139" s="266" t="n"/>
      <c r="BR139" s="266" t="n"/>
      <c r="BS139" s="266" t="n"/>
      <c r="BT139" s="266" t="n"/>
      <c r="BU139" s="266" t="n"/>
      <c r="BV139" s="266" t="n"/>
      <c r="BW139" s="266" t="n"/>
      <c r="BX139" s="266" t="n"/>
      <c r="BY139" s="266" t="n"/>
      <c r="BZ139" s="266" t="n"/>
      <c r="CA139" s="266" t="n"/>
      <c r="CB139" s="266" t="n"/>
      <c r="CC139" s="266" t="n"/>
      <c r="CD139" s="266" t="n"/>
      <c r="CE139" s="266" t="n"/>
      <c r="CF139" s="266" t="n"/>
      <c r="CG139" s="266" t="n"/>
      <c r="CH139" s="266" t="n"/>
      <c r="CI139" s="266" t="n"/>
      <c r="CJ139" s="266" t="n"/>
      <c r="CK139" s="266" t="n"/>
      <c r="CL139" s="266" t="n"/>
      <c r="CM139" s="266" t="n"/>
      <c r="CN139" s="266" t="n"/>
      <c r="CO139" s="266" t="n"/>
      <c r="CP139" s="266" t="n"/>
      <c r="CQ139" s="266" t="n"/>
      <c r="CR139" s="266" t="n"/>
      <c r="CS139" s="266" t="n"/>
      <c r="CT139" s="266" t="n"/>
      <c r="CU139" s="266" t="n"/>
      <c r="CV139" s="266" t="n"/>
      <c r="CW139" s="266" t="n"/>
      <c r="CX139" s="266" t="n"/>
      <c r="CY139" s="266" t="n"/>
    </row>
    <row r="140" hidden="1" outlineLevel="1" ht="12.75" customHeight="1" s="254">
      <c r="C140" s="310" t="n"/>
      <c r="D140" s="266" t="n"/>
      <c r="E140" s="266" t="n"/>
      <c r="F140" s="266" t="n"/>
      <c r="G140" s="266" t="n"/>
      <c r="H140" s="266" t="n"/>
      <c r="I140" s="266" t="n"/>
      <c r="J140" s="266" t="n"/>
      <c r="K140" s="266" t="n"/>
      <c r="L140" s="266" t="n"/>
      <c r="M140" s="266" t="n"/>
      <c r="N140" s="266" t="n"/>
      <c r="O140" s="266" t="n"/>
      <c r="P140" s="266" t="n"/>
      <c r="Q140" s="266" t="n"/>
      <c r="R140" s="266" t="n"/>
      <c r="S140" s="266" t="n"/>
      <c r="T140" s="266" t="n"/>
      <c r="U140" s="266" t="n"/>
      <c r="V140" s="266" t="n"/>
      <c r="W140" s="266" t="n"/>
      <c r="X140" s="266" t="n"/>
      <c r="Y140" s="266" t="n"/>
      <c r="Z140" s="266" t="n"/>
      <c r="AA140" s="266" t="n"/>
      <c r="AB140" s="266" t="n"/>
      <c r="AC140" s="266" t="n"/>
      <c r="AD140" s="266" t="n"/>
      <c r="AE140" s="266" t="n"/>
      <c r="AF140" s="266" t="n"/>
      <c r="AG140" s="266" t="n"/>
      <c r="AH140" s="266" t="n"/>
      <c r="AI140" s="266" t="n"/>
      <c r="AJ140" s="266" t="n"/>
      <c r="AK140" s="266" t="n"/>
      <c r="AL140" s="266" t="n"/>
      <c r="AM140" s="266" t="n"/>
      <c r="AN140" s="266" t="n"/>
      <c r="AO140" s="266" t="n"/>
      <c r="AP140" s="266" t="n"/>
      <c r="AQ140" s="266" t="n"/>
      <c r="AR140" s="266" t="n"/>
      <c r="AS140" s="266" t="n"/>
      <c r="AT140" s="266" t="n"/>
      <c r="AU140" s="266" t="n"/>
      <c r="AV140" s="266" t="n"/>
      <c r="AW140" s="266" t="n"/>
      <c r="AX140" s="266" t="n"/>
      <c r="AY140" s="266" t="n"/>
      <c r="AZ140" s="266" t="n"/>
      <c r="BA140" s="266" t="n"/>
      <c r="BB140" s="266" t="n"/>
      <c r="BC140" s="266" t="n"/>
      <c r="BD140" s="266" t="n"/>
      <c r="BE140" s="266" t="n"/>
      <c r="BF140" s="266" t="n"/>
      <c r="BG140" s="266" t="n"/>
      <c r="BH140" s="266" t="n"/>
      <c r="BI140" s="266" t="n"/>
      <c r="BJ140" s="266" t="n"/>
      <c r="BK140" s="266" t="n"/>
      <c r="BL140" s="266" t="n"/>
      <c r="BM140" s="266" t="n"/>
      <c r="BN140" s="266" t="n"/>
      <c r="BO140" s="266" t="n"/>
      <c r="BP140" s="266" t="n"/>
      <c r="BQ140" s="266" t="n"/>
      <c r="BR140" s="266" t="n"/>
      <c r="BS140" s="266" t="n"/>
      <c r="BT140" s="266" t="n"/>
      <c r="BU140" s="266" t="n"/>
      <c r="BV140" s="266" t="n"/>
      <c r="BW140" s="266" t="n"/>
      <c r="BX140" s="266" t="n"/>
      <c r="BY140" s="266" t="n"/>
      <c r="BZ140" s="266" t="n"/>
      <c r="CA140" s="266" t="n"/>
      <c r="CB140" s="266" t="n"/>
      <c r="CC140" s="266" t="n"/>
      <c r="CD140" s="266" t="n"/>
      <c r="CE140" s="266" t="n"/>
      <c r="CF140" s="266" t="n"/>
      <c r="CG140" s="266" t="n"/>
      <c r="CH140" s="266" t="n"/>
      <c r="CI140" s="266" t="n"/>
      <c r="CJ140" s="266" t="n"/>
      <c r="CK140" s="266" t="n"/>
      <c r="CL140" s="266" t="n"/>
      <c r="CM140" s="266" t="n"/>
      <c r="CN140" s="266" t="n"/>
      <c r="CO140" s="266" t="n"/>
      <c r="CP140" s="266" t="n"/>
      <c r="CQ140" s="266" t="n"/>
      <c r="CR140" s="266" t="n"/>
      <c r="CS140" s="266" t="n"/>
      <c r="CT140" s="266" t="n"/>
      <c r="CU140" s="266" t="n"/>
      <c r="CV140" s="266" t="n"/>
      <c r="CW140" s="266" t="n"/>
      <c r="CX140" s="266" t="n"/>
      <c r="CY140" s="266" t="n"/>
    </row>
    <row r="141" ht="12.75" customHeight="1" s="254">
      <c r="C141" s="268" t="inlineStr">
        <is>
          <t>Equity in Income of Affiliates, after tax (enter as +)</t>
        </is>
      </c>
      <c r="D141" s="299" t="n"/>
      <c r="E141" s="299" t="n"/>
      <c r="F141" s="299" t="n"/>
      <c r="G141" s="299" t="n"/>
      <c r="H141" s="266">
        <f>SUM(D141:G141)</f>
        <v>0</v>
      </c>
      <c r="I141" s="299">
        <f>INDEX('Inputs (2)'!$D$11:$AL$11,MATCH(I$7,'Inputs (2)'!$D$2:$AL$2,0))</f>
        <v>0</v>
      </c>
      <c r="J141" s="299">
        <f>INDEX('Inputs (2)'!$D$11:$AL$11,MATCH(J$7,'Inputs (2)'!$D$2:$AL$2,0))</f>
        <v>0</v>
      </c>
      <c r="K141" s="299">
        <f>INDEX('Inputs (2)'!$D$11:$AL$11,MATCH(K$7,'Inputs (2)'!$D$2:$AL$2,0))</f>
        <v>0</v>
      </c>
      <c r="L141" s="299">
        <f>INDEX('Inputs (2)'!$D$11:$AL$11,MATCH(L$7,'Inputs (2)'!$D$2:$AL$2,0))</f>
        <v>1</v>
      </c>
      <c r="M141" s="266">
        <f>SUM(I141:L141)</f>
        <v>1</v>
      </c>
      <c r="N141" s="299">
        <f>INDEX('Inputs (2)'!$D$11:$AL$11,MATCH(N$7,'Inputs (2)'!$D$2:$AL$2,0))</f>
        <v>0</v>
      </c>
      <c r="O141" s="299">
        <f>INDEX('Inputs (2)'!$D$11:$AL$11,MATCH(O$7,'Inputs (2)'!$D$2:$AL$2,0))</f>
        <v>0</v>
      </c>
      <c r="P141" s="299">
        <f>INDEX('Inputs (2)'!$D$11:$AL$11,MATCH(P$7,'Inputs (2)'!$D$2:$AL$2,0))</f>
        <v>-1</v>
      </c>
      <c r="Q141" s="299">
        <f>INDEX('Inputs (2)'!$D$11:$AL$11,MATCH(Q$7,'Inputs (2)'!$D$2:$AL$2,0))</f>
        <v>0</v>
      </c>
      <c r="R141" s="266">
        <f>SUM(N141:Q141)</f>
        <v>-1</v>
      </c>
      <c r="S141" s="299">
        <f>INDEX('Inputs (2)'!$D$11:$AL$11,MATCH(S$7,'Inputs (2)'!$D$2:$AL$2,0))</f>
        <v>1</v>
      </c>
      <c r="T141" s="299">
        <f>INDEX('Inputs (2)'!$D$11:$AL$11,MATCH(T$7,'Inputs (2)'!$D$2:$AL$2,0))</f>
        <v>1</v>
      </c>
      <c r="U141" s="299">
        <f>INDEX('Inputs (2)'!$D$11:$AL$11,MATCH(U$7,'Inputs (2)'!$D$2:$AL$2,0))</f>
        <v>0</v>
      </c>
      <c r="V141" s="299">
        <f>INDEX('Inputs (2)'!$D$11:$AL$11,MATCH(V$7,'Inputs (2)'!$D$2:$AL$2,0))</f>
        <v>0</v>
      </c>
      <c r="W141" s="266">
        <f>SUM(S141:V141)</f>
        <v>2</v>
      </c>
      <c r="X141" s="299">
        <f>INDEX('Inputs (2)'!$D$11:$AL$11,MATCH(X$7,'Inputs (2)'!$D$2:$AL$2,0))</f>
        <v>0</v>
      </c>
      <c r="Y141" s="299">
        <f>INDEX('Inputs (2)'!$D$11:$AL$11,MATCH(Y$7,'Inputs (2)'!$D$2:$AL$2,0))</f>
        <v>0</v>
      </c>
      <c r="Z141" s="299">
        <f>INDEX('Inputs (2)'!$D$11:$AL$11,MATCH(Z$7,'Inputs (2)'!$D$2:$AL$2,0))</f>
        <v>0</v>
      </c>
      <c r="AA141" s="299">
        <f>INDEX('Inputs (2)'!$D$11:$AL$11,MATCH(AA$7,'Inputs (2)'!$D$2:$AL$2,0))</f>
        <v>0</v>
      </c>
      <c r="AB141" s="266">
        <f>SUM(X141:AA141)</f>
        <v>0</v>
      </c>
      <c r="AC141" s="299">
        <f>INDEX('Inputs (2)'!$D$11:$AL$11,MATCH(AC$7,'Inputs (2)'!$D$2:$AL$2,0))</f>
        <v>-1</v>
      </c>
      <c r="AD141" s="299">
        <f>INDEX('Inputs (2)'!$D$11:$AL$11,MATCH(AD$7,'Inputs (2)'!$D$2:$AL$2,0))</f>
        <v>1</v>
      </c>
      <c r="AE141" s="299">
        <f>INDEX('Inputs (2)'!$D$11:$AL$11,MATCH(AE$7,'Inputs (2)'!$D$2:$AL$2,0))</f>
        <v>0</v>
      </c>
      <c r="AF141" s="299">
        <f>INDEX('Inputs (2)'!$D$11:$AL$11,MATCH(AF$7,'Inputs (2)'!$D$2:$AL$2,0))</f>
        <v>0</v>
      </c>
      <c r="AG141" s="266">
        <f>SUM(AC141:AF141)</f>
        <v>0</v>
      </c>
      <c r="AH141" s="266">
        <f>INDEX('Inputs (2)'!$D$11:$AL$11,MATCH(AH$7,'Inputs (2)'!$D$2:$AL$2,0))</f>
        <v>0</v>
      </c>
      <c r="AI141" s="266">
        <f>INDEX('Inputs (2)'!$D$11:$AL$11,MATCH(AI$7,'Inputs (2)'!$D$2:$AL$2,0))</f>
        <v>0</v>
      </c>
      <c r="AJ141" s="266">
        <f>AE141*(1+AJ169)</f>
        <v>0</v>
      </c>
      <c r="AK141" s="266">
        <f>AF141*(1+AK169)</f>
        <v>0</v>
      </c>
      <c r="AL141" s="266">
        <f>SUM(AH141:AK141)</f>
        <v>0</v>
      </c>
      <c r="AM141" s="266">
        <f>AH141*(1+AM169)</f>
        <v>0</v>
      </c>
      <c r="AN141" s="266">
        <f>AI141*(1+AN169)</f>
        <v>0</v>
      </c>
      <c r="AO141" s="266">
        <f>AJ141*(1+AO169)</f>
        <v>0</v>
      </c>
      <c r="AP141" s="266">
        <f>AK141*(1+AP169)</f>
        <v>0</v>
      </c>
      <c r="AQ141" s="266">
        <f>SUM(AM141:AP141)</f>
        <v>0</v>
      </c>
      <c r="AR141" s="266">
        <f>AM141*(1+AR169)</f>
        <v>0</v>
      </c>
      <c r="AS141" s="266">
        <f>AN141*(1+AS169)</f>
        <v>0</v>
      </c>
      <c r="AT141" s="266">
        <f>AO141*(1+AT169)</f>
        <v>0</v>
      </c>
      <c r="AU141" s="266">
        <f>AP141*(1+AU169)</f>
        <v>0</v>
      </c>
      <c r="AV141" s="266">
        <f>SUM(AR141:AU141)</f>
        <v>0</v>
      </c>
      <c r="AW141" s="266">
        <f>AR141*(1+AW169)</f>
        <v>0</v>
      </c>
      <c r="AX141" s="266">
        <f>AS141*(1+AX169)</f>
        <v>0</v>
      </c>
      <c r="AY141" s="266">
        <f>AT141*(1+AY169)</f>
        <v>0</v>
      </c>
      <c r="AZ141" s="266">
        <f>AU141*(1+AZ169)</f>
        <v>0</v>
      </c>
      <c r="BA141" s="266">
        <f>SUM(AW141:AZ141)</f>
        <v>0</v>
      </c>
      <c r="BB141" s="266">
        <f>AW141*(1+BB169)</f>
        <v>0</v>
      </c>
      <c r="BC141" s="266">
        <f>AX141*(1+BC169)</f>
        <v>0</v>
      </c>
      <c r="BD141" s="266">
        <f>AY141*(1+BD169)</f>
        <v>0</v>
      </c>
      <c r="BE141" s="266">
        <f>AZ141*(1+BE169)</f>
        <v>0</v>
      </c>
      <c r="BF141" s="266">
        <f>SUM(BB141:BE141)</f>
        <v>0</v>
      </c>
      <c r="BG141" s="266">
        <f>BB141*(1+BG169)</f>
        <v>0</v>
      </c>
      <c r="BH141" s="266">
        <f>BC141*(1+BH169)</f>
        <v>0</v>
      </c>
      <c r="BI141" s="266">
        <f>BD141*(1+BI169)</f>
        <v>0</v>
      </c>
      <c r="BJ141" s="266">
        <f>BE141*(1+BJ169)</f>
        <v>0</v>
      </c>
      <c r="BK141" s="266">
        <f>SUM(BG141:BJ141)</f>
        <v>0</v>
      </c>
      <c r="BL141" s="266">
        <f>BG141*(1+BL169)</f>
        <v>0</v>
      </c>
      <c r="BM141" s="266">
        <f>BH141*(1+BM169)</f>
        <v>0</v>
      </c>
      <c r="BN141" s="266">
        <f>BI141*(1+BN169)</f>
        <v>0</v>
      </c>
      <c r="BO141" s="266">
        <f>BJ141*(1+BO169)</f>
        <v>0</v>
      </c>
      <c r="BP141" s="266">
        <f>SUM(BL141:BO141)</f>
        <v>0</v>
      </c>
      <c r="BQ141" s="266">
        <f>BL141*(1+BQ169)</f>
        <v>0</v>
      </c>
      <c r="BR141" s="266">
        <f>BM141*(1+BR169)</f>
        <v>0</v>
      </c>
      <c r="BS141" s="266">
        <f>BN141*(1+BS169)</f>
        <v>0</v>
      </c>
      <c r="BT141" s="266">
        <f>BO141*(1+BT169)</f>
        <v>0</v>
      </c>
      <c r="BU141" s="266">
        <f>SUM(BQ141:BT141)</f>
        <v>0</v>
      </c>
      <c r="BV141" s="266">
        <f>BQ141*(1+BV169)</f>
        <v>0</v>
      </c>
      <c r="BW141" s="266">
        <f>BR141*(1+BW169)</f>
        <v>0</v>
      </c>
      <c r="BX141" s="266">
        <f>BS141*(1+BX169)</f>
        <v>0</v>
      </c>
      <c r="BY141" s="266">
        <f>BT141*(1+BY169)</f>
        <v>0</v>
      </c>
      <c r="BZ141" s="266">
        <f>SUM(BV141:BY141)</f>
        <v>0</v>
      </c>
      <c r="CA141" s="266">
        <f>BV141*(1+CA169)</f>
        <v>0</v>
      </c>
      <c r="CB141" s="266">
        <f>BW141*(1+CB169)</f>
        <v>0</v>
      </c>
      <c r="CC141" s="266">
        <f>BX141*(1+CC169)</f>
        <v>0</v>
      </c>
      <c r="CD141" s="266">
        <f>BY141*(1+CD169)</f>
        <v>0</v>
      </c>
      <c r="CE141" s="266">
        <f>SUM(CA141:CD141)</f>
        <v>0</v>
      </c>
      <c r="CF141" s="266">
        <f>CA141*(1+CF169)</f>
        <v>0</v>
      </c>
      <c r="CG141" s="266">
        <f>CB141*(1+CG169)</f>
        <v>0</v>
      </c>
      <c r="CH141" s="266">
        <f>CC141*(1+CH169)</f>
        <v>0</v>
      </c>
      <c r="CI141" s="266">
        <f>CD141*(1+CI169)</f>
        <v>0</v>
      </c>
      <c r="CJ141" s="266">
        <f>SUM(CF141:CI141)</f>
        <v>0</v>
      </c>
      <c r="CK141" s="266">
        <f>CF141*(1+CK169)</f>
        <v>0</v>
      </c>
      <c r="CL141" s="266">
        <f>CG141*(1+CL169)</f>
        <v>0</v>
      </c>
      <c r="CM141" s="266">
        <f>CH141*(1+CM169)</f>
        <v>0</v>
      </c>
      <c r="CN141" s="266">
        <f>CI141*(1+CN169)</f>
        <v>0</v>
      </c>
      <c r="CO141" s="266">
        <f>SUM(CK141:CN141)</f>
        <v>0</v>
      </c>
      <c r="CP141" s="266">
        <f>CK141*(1+CP169)</f>
        <v>0</v>
      </c>
      <c r="CQ141" s="266">
        <f>CL141*(1+CQ169)</f>
        <v>0</v>
      </c>
      <c r="CR141" s="266">
        <f>CM141*(1+CR169)</f>
        <v>0</v>
      </c>
      <c r="CS141" s="266">
        <f>CN141*(1+CS169)</f>
        <v>0</v>
      </c>
      <c r="CT141" s="266">
        <f>SUM(CP141:CS141)</f>
        <v>0</v>
      </c>
      <c r="CU141" s="266">
        <f>CP141*(1+CU169)</f>
        <v>0</v>
      </c>
      <c r="CV141" s="266">
        <f>CQ141*(1+CV169)</f>
        <v>0</v>
      </c>
      <c r="CW141" s="266">
        <f>CR141*(1+CW169)</f>
        <v>0</v>
      </c>
      <c r="CX141" s="266">
        <f>CS141*(1+CX169)</f>
        <v>0</v>
      </c>
      <c r="CY141" s="266">
        <f>SUM(CU141:CX141)</f>
        <v>0</v>
      </c>
    </row>
    <row r="142" ht="12.75" customHeight="1" s="254">
      <c r="C142" s="268" t="inlineStr">
        <is>
          <t>Minority Interest Expense, after tax (enter as - )</t>
        </is>
      </c>
      <c r="D142" s="299" t="n"/>
      <c r="E142" s="299" t="n"/>
      <c r="F142" s="299" t="n"/>
      <c r="G142" s="299" t="n"/>
      <c r="H142" s="266">
        <f>SUM(D142:G142)</f>
        <v>0</v>
      </c>
      <c r="I142" s="299">
        <f>INDEX('Inputs (2)'!$D$12:$AL$12,MATCH(I$7,'Inputs (2)'!$D$2:$AL$2,0))</f>
        <v>-124</v>
      </c>
      <c r="J142" s="299">
        <f>INDEX('Inputs (2)'!$D$12:$AL$12,MATCH(J$7,'Inputs (2)'!$D$2:$AL$2,0))</f>
        <v>-131</v>
      </c>
      <c r="K142" s="299">
        <f>INDEX('Inputs (2)'!$D$12:$AL$12,MATCH(K$7,'Inputs (2)'!$D$2:$AL$2,0))</f>
        <v>-130</v>
      </c>
      <c r="L142" s="299">
        <f>INDEX('Inputs (2)'!$D$12:$AL$12,MATCH(L$7,'Inputs (2)'!$D$2:$AL$2,0))</f>
        <v>-144</v>
      </c>
      <c r="M142" s="266">
        <f>SUM(I142:L142)</f>
        <v>-529</v>
      </c>
      <c r="N142" s="299">
        <f>INDEX('Inputs (2)'!$D$12:$AL$12,MATCH(N$7,'Inputs (2)'!$D$2:$AL$2,0))</f>
        <v>-203</v>
      </c>
      <c r="O142" s="299">
        <f>INDEX('Inputs (2)'!$D$12:$AL$12,MATCH(O$7,'Inputs (2)'!$D$2:$AL$2,0))</f>
        <v>-198</v>
      </c>
      <c r="P142" s="299">
        <f>INDEX('Inputs (2)'!$D$12:$AL$12,MATCH(P$7,'Inputs (2)'!$D$2:$AL$2,0))</f>
        <v>-104</v>
      </c>
      <c r="Q142" s="299">
        <f>INDEX('Inputs (2)'!$D$12:$AL$12,MATCH(Q$7,'Inputs (2)'!$D$2:$AL$2,0))</f>
        <v>-59</v>
      </c>
      <c r="R142" s="266">
        <f>SUM(N142:Q142)</f>
        <v>-564</v>
      </c>
      <c r="S142" s="299">
        <f>INDEX('Inputs (2)'!$D$12:$AL$12,MATCH(S$7,'Inputs (2)'!$D$2:$AL$2,0))</f>
        <v>-64</v>
      </c>
      <c r="T142" s="299">
        <f>INDEX('Inputs (2)'!$D$12:$AL$12,MATCH(T$7,'Inputs (2)'!$D$2:$AL$2,0))</f>
        <v>-20</v>
      </c>
      <c r="U142" s="299">
        <f>INDEX('Inputs (2)'!$D$12:$AL$12,MATCH(U$7,'Inputs (2)'!$D$2:$AL$2,0))</f>
        <v>-132</v>
      </c>
      <c r="V142" s="299">
        <f>INDEX('Inputs (2)'!$D$12:$AL$12,MATCH(V$7,'Inputs (2)'!$D$2:$AL$2,0))</f>
        <v>-62</v>
      </c>
      <c r="W142" s="266">
        <f>SUM(S142:V142)</f>
        <v>-278</v>
      </c>
      <c r="X142" s="299">
        <f>INDEX('Inputs (2)'!$D$12:$AL$12,MATCH(X$7,'Inputs (2)'!$D$2:$AL$2,0))</f>
        <v>-82</v>
      </c>
      <c r="Y142" s="299">
        <f>INDEX('Inputs (2)'!$D$12:$AL$12,MATCH(Y$7,'Inputs (2)'!$D$2:$AL$2,0))</f>
        <v>-133</v>
      </c>
      <c r="Z142" s="299">
        <f>INDEX('Inputs (2)'!$D$12:$AL$12,MATCH(Z$7,'Inputs (2)'!$D$2:$AL$2,0))</f>
        <v>-100</v>
      </c>
      <c r="AA142" s="299">
        <f>INDEX('Inputs (2)'!$D$12:$AL$12,MATCH(AA$7,'Inputs (2)'!$D$2:$AL$2,0))</f>
        <v>-113</v>
      </c>
      <c r="AB142" s="266">
        <f>SUM(X142:AA142)</f>
        <v>-428</v>
      </c>
      <c r="AC142" s="299">
        <f>INDEX('Inputs (2)'!$D$12:$AL$12,MATCH(AC$7,'Inputs (2)'!$D$2:$AL$2,0))</f>
        <v>-95</v>
      </c>
      <c r="AD142" s="299">
        <f>INDEX('Inputs (2)'!$D$12:$AL$12,MATCH(AD$7,'Inputs (2)'!$D$2:$AL$2,0))</f>
        <v>-43</v>
      </c>
      <c r="AE142" s="299">
        <f>INDEX('Inputs (2)'!$D$12:$AL$12,MATCH(AE$7,'Inputs (2)'!$D$2:$AL$2,0))</f>
        <v>-98</v>
      </c>
      <c r="AF142" s="299">
        <f>INDEX('Inputs (2)'!$D$12:$AL$12,MATCH(AF$7,'Inputs (2)'!$D$2:$AL$2,0))</f>
        <v>-46</v>
      </c>
      <c r="AG142" s="266">
        <f>SUM(AC142:AF142)</f>
        <v>-282</v>
      </c>
      <c r="AH142" s="266">
        <f>INDEX('Inputs (2)'!$D$12:$AL$12,MATCH(AH$7,'Inputs (2)'!$D$2:$AL$2,0))</f>
        <v>-64</v>
      </c>
      <c r="AI142" s="266">
        <f>INDEX('Inputs (2)'!$D$12:$AL$12,MATCH(AI$7,'Inputs (2)'!$D$2:$AL$2,0))</f>
        <v>16</v>
      </c>
      <c r="AJ142" s="266">
        <f>AE142*(1+AJ256)</f>
        <v>-98</v>
      </c>
      <c r="AK142" s="266">
        <f>AF142*(1+AK256)</f>
        <v>-46</v>
      </c>
      <c r="AL142" s="266">
        <f>SUM(AH142:AK142)</f>
        <v>-192</v>
      </c>
      <c r="AM142" s="266">
        <f>AH142*(1+AM256)</f>
        <v>-64</v>
      </c>
      <c r="AN142" s="266">
        <f>AI142*(1+AN256)</f>
        <v>16</v>
      </c>
      <c r="AO142" s="266">
        <f>AJ142*(1+AO256)</f>
        <v>-98</v>
      </c>
      <c r="AP142" s="266">
        <f>AK142*(1+AP256)</f>
        <v>-46</v>
      </c>
      <c r="AQ142" s="266">
        <f>SUM(AM142:AP142)</f>
        <v>-192</v>
      </c>
      <c r="AR142" s="266">
        <f>AM142*(1+AR256)</f>
        <v>-64</v>
      </c>
      <c r="AS142" s="266">
        <f>AN142*(1+AS256)</f>
        <v>16</v>
      </c>
      <c r="AT142" s="266">
        <f>AO142*(1+AT256)</f>
        <v>-98</v>
      </c>
      <c r="AU142" s="266">
        <f>AP142*(1+AU256)</f>
        <v>-46</v>
      </c>
      <c r="AV142" s="266">
        <f>SUM(AR142:AU142)</f>
        <v>-192</v>
      </c>
      <c r="AW142" s="266">
        <f>AR142*(1+AW256)</f>
        <v>-64</v>
      </c>
      <c r="AX142" s="266">
        <f>AS142*(1+AX256)</f>
        <v>16</v>
      </c>
      <c r="AY142" s="266">
        <f>AT142*(1+AY256)</f>
        <v>-98</v>
      </c>
      <c r="AZ142" s="266">
        <f>AU142*(1+AZ256)</f>
        <v>-46</v>
      </c>
      <c r="BA142" s="266">
        <f>SUM(AW142:AZ142)</f>
        <v>-192</v>
      </c>
      <c r="BB142" s="266">
        <f>AW142*(1+BB256)</f>
        <v>-64</v>
      </c>
      <c r="BC142" s="266">
        <f>AX142*(1+BC256)</f>
        <v>16</v>
      </c>
      <c r="BD142" s="266">
        <f>AY142*(1+BD256)</f>
        <v>-98</v>
      </c>
      <c r="BE142" s="266">
        <f>AZ142*(1+BE256)</f>
        <v>-46</v>
      </c>
      <c r="BF142" s="266">
        <f>SUM(BB142:BE142)</f>
        <v>-192</v>
      </c>
      <c r="BG142" s="266">
        <f>BB142*(1+BG256)</f>
        <v>-64</v>
      </c>
      <c r="BH142" s="266">
        <f>BC142*(1+BH256)</f>
        <v>16</v>
      </c>
      <c r="BI142" s="266">
        <f>BD142*(1+BI256)</f>
        <v>-98</v>
      </c>
      <c r="BJ142" s="266">
        <f>BE142*(1+BJ256)</f>
        <v>-46</v>
      </c>
      <c r="BK142" s="266">
        <f>SUM(BG142:BJ142)</f>
        <v>-192</v>
      </c>
      <c r="BL142" s="266">
        <f>BG142*(1+BL256)</f>
        <v>-64</v>
      </c>
      <c r="BM142" s="266">
        <f>BH142*(1+BM256)</f>
        <v>16</v>
      </c>
      <c r="BN142" s="266">
        <f>BI142*(1+BN256)</f>
        <v>-98</v>
      </c>
      <c r="BO142" s="266">
        <f>BJ142*(1+BO256)</f>
        <v>-46</v>
      </c>
      <c r="BP142" s="266">
        <f>SUM(BL142:BO142)</f>
        <v>-192</v>
      </c>
      <c r="BQ142" s="266">
        <f>BL142*(1+BQ256)</f>
        <v>-64</v>
      </c>
      <c r="BR142" s="266">
        <f>BM142*(1+BR256)</f>
        <v>16</v>
      </c>
      <c r="BS142" s="266">
        <f>BN142*(1+BS256)</f>
        <v>-98</v>
      </c>
      <c r="BT142" s="266">
        <f>BO142*(1+BT256)</f>
        <v>-46</v>
      </c>
      <c r="BU142" s="266">
        <f>SUM(BQ142:BT142)</f>
        <v>-192</v>
      </c>
      <c r="BV142" s="266">
        <f>BQ142*(1+BV256)</f>
        <v>-64</v>
      </c>
      <c r="BW142" s="266">
        <f>BR142*(1+BW256)</f>
        <v>16</v>
      </c>
      <c r="BX142" s="266">
        <f>BS142*(1+BX256)</f>
        <v>-98</v>
      </c>
      <c r="BY142" s="266">
        <f>BT142*(1+BY256)</f>
        <v>-46</v>
      </c>
      <c r="BZ142" s="266">
        <f>SUM(BV142:BY142)</f>
        <v>-192</v>
      </c>
      <c r="CA142" s="266">
        <f>BV142*(1+CA256)</f>
        <v>-64</v>
      </c>
      <c r="CB142" s="266">
        <f>BW142*(1+CB256)</f>
        <v>16</v>
      </c>
      <c r="CC142" s="266">
        <f>BX142*(1+CC256)</f>
        <v>-98</v>
      </c>
      <c r="CD142" s="266">
        <f>BY142*(1+CD256)</f>
        <v>-46</v>
      </c>
      <c r="CE142" s="266">
        <f>SUM(CA142:CD142)</f>
        <v>-192</v>
      </c>
      <c r="CF142" s="266">
        <f>CA142*(1+CF256)</f>
        <v>-64</v>
      </c>
      <c r="CG142" s="266">
        <f>CB142*(1+CG256)</f>
        <v>16</v>
      </c>
      <c r="CH142" s="266">
        <f>CC142*(1+CH256)</f>
        <v>-98</v>
      </c>
      <c r="CI142" s="266">
        <f>CD142*(1+CI256)</f>
        <v>-46</v>
      </c>
      <c r="CJ142" s="266">
        <f>SUM(CF142:CI142)</f>
        <v>-192</v>
      </c>
      <c r="CK142" s="266">
        <f>CF142*(1+CK256)</f>
        <v>-64</v>
      </c>
      <c r="CL142" s="266">
        <f>CG142*(1+CL256)</f>
        <v>16</v>
      </c>
      <c r="CM142" s="266">
        <f>CH142*(1+CM256)</f>
        <v>-98</v>
      </c>
      <c r="CN142" s="266">
        <f>CI142*(1+CN256)</f>
        <v>-46</v>
      </c>
      <c r="CO142" s="266">
        <f>SUM(CK142:CN142)</f>
        <v>-192</v>
      </c>
      <c r="CP142" s="266">
        <f>CK142*(1+CP256)</f>
        <v>-64</v>
      </c>
      <c r="CQ142" s="266">
        <f>CL142*(1+CQ256)</f>
        <v>16</v>
      </c>
      <c r="CR142" s="266">
        <f>CM142*(1+CR256)</f>
        <v>-98</v>
      </c>
      <c r="CS142" s="266">
        <f>CN142*(1+CS256)</f>
        <v>-46</v>
      </c>
      <c r="CT142" s="266">
        <f>SUM(CP142:CS142)</f>
        <v>-192</v>
      </c>
      <c r="CU142" s="266">
        <f>CP142*(1+CU256)</f>
        <v>-64</v>
      </c>
      <c r="CV142" s="266">
        <f>CQ142*(1+CV256)</f>
        <v>16</v>
      </c>
      <c r="CW142" s="266">
        <f>CR142*(1+CW256)</f>
        <v>-98</v>
      </c>
      <c r="CX142" s="266">
        <f>CS142*(1+CX256)</f>
        <v>-46</v>
      </c>
      <c r="CY142" s="266">
        <f>SUM(CU142:CX142)</f>
        <v>-192</v>
      </c>
    </row>
    <row r="143" ht="12.75" customFormat="1" customHeight="1" s="285">
      <c r="A143" s="286" t="n"/>
      <c r="B143" s="257" t="n"/>
      <c r="C143" s="273" t="inlineStr">
        <is>
          <t>Net Income</t>
        </is>
      </c>
      <c r="D143" s="274">
        <f>SUM(D136,D137,D141,D142)</f>
        <v>0</v>
      </c>
      <c r="E143" s="274">
        <f>SUM(E136,E137,E141,E142)</f>
        <v>0</v>
      </c>
      <c r="F143" s="274">
        <f>SUM(F136,F137,F141,F142)</f>
        <v>0</v>
      </c>
      <c r="G143" s="274">
        <f>SUM(G136,G137,G141,G142)</f>
        <v>0</v>
      </c>
      <c r="H143" s="274">
        <f>SUM(D143:G143)</f>
        <v>0</v>
      </c>
      <c r="I143" s="274">
        <f>SUM(I136,I137,I141,I142)</f>
        <v>5660</v>
      </c>
      <c r="J143" s="274">
        <f>SUM(J136,J137,J141,J142)</f>
        <v>3428</v>
      </c>
      <c r="K143" s="274">
        <f>SUM(K136,K137,K141,K142)</f>
        <v>-447</v>
      </c>
      <c r="L143" s="274">
        <f>SUM(L136,L137,L141,L142)</f>
        <v>11461</v>
      </c>
      <c r="M143" s="274">
        <f>SUM(I143:L143)</f>
        <v>20102</v>
      </c>
      <c r="N143" s="274">
        <f>SUM(N136,N137,N141,N142)</f>
        <v>7116</v>
      </c>
      <c r="O143" s="274">
        <f>SUM(O136,O137,O141,O142)</f>
        <v>18040</v>
      </c>
      <c r="P143" s="274">
        <f>SUM(P136,P137,P141,P142)</f>
        <v>6743</v>
      </c>
      <c r="Q143" s="274">
        <f>SUM(Q136,Q137,Q141,Q142)</f>
        <v>10409</v>
      </c>
      <c r="R143" s="274">
        <f>SUM(N143:Q143)</f>
        <v>42308</v>
      </c>
      <c r="S143" s="274">
        <f>SUM(S136,S137,S141,S142)</f>
        <v>8709</v>
      </c>
      <c r="T143" s="274">
        <f>SUM(T136,T137,T141,T142)</f>
        <v>3134</v>
      </c>
      <c r="U143" s="274">
        <f>SUM(U136,U137,U141,U142)</f>
        <v>7044</v>
      </c>
      <c r="V143" s="274">
        <f>SUM(V136,V137,V141,V142)</f>
        <v>474</v>
      </c>
      <c r="W143" s="274">
        <f>SUM(S143:V143)</f>
        <v>19361</v>
      </c>
      <c r="X143" s="274">
        <f>SUM(X136,X137,X141,X142)</f>
        <v>7358</v>
      </c>
      <c r="Y143" s="274">
        <f>SUM(Y136,Y137,Y141,Y142)</f>
        <v>3517</v>
      </c>
      <c r="Z143" s="274">
        <f>SUM(Z136,Z137,Z141,Z142)</f>
        <v>4291</v>
      </c>
      <c r="AA143" s="274">
        <f>SUM(AA136,AA137,AA141,AA142)</f>
        <v>928</v>
      </c>
      <c r="AB143" s="274">
        <f>SUM(X143:AA143)</f>
        <v>16094</v>
      </c>
      <c r="AC143" s="274">
        <f>SUM(AC136,AC137,AC141,AC142)</f>
        <v>4780</v>
      </c>
      <c r="AD143" s="274">
        <f>SUM(AD136,AD137,AD141,AD142)</f>
        <v>3601</v>
      </c>
      <c r="AE143" s="274">
        <f>SUM(AE136,AE137,AE141,AE142)</f>
        <v>5322</v>
      </c>
      <c r="AF143" s="274">
        <f>SUM(AF136,AF137,AF141,AF142)</f>
        <v>4134</v>
      </c>
      <c r="AG143" s="274">
        <f>SUM(AC143:AF143)</f>
        <v>17837</v>
      </c>
      <c r="AH143" s="274">
        <f>SUM(AH136,AH137,AH141,AH142)</f>
        <v>5694</v>
      </c>
      <c r="AI143" s="274">
        <f>SUM(AI136,AI137,AI141,AI142)</f>
        <v>10821</v>
      </c>
      <c r="AJ143" s="274">
        <f>SUM(AJ136,AJ137,AJ141,AJ142)</f>
        <v>343</v>
      </c>
      <c r="AK143" s="274">
        <f>SUM(AK136,AK137,AK141,AK142)</f>
        <v>1645</v>
      </c>
      <c r="AL143" s="274">
        <f>SUM(AH143:AK143)</f>
        <v>18503</v>
      </c>
      <c r="AM143" s="274">
        <f>SUM(AM136,AM137,AM141,AM142)</f>
        <v>1627</v>
      </c>
      <c r="AN143" s="274">
        <f>SUM(AN136,AN137,AN141,AN142)</f>
        <v>4280</v>
      </c>
      <c r="AO143" s="274">
        <f>SUM(AO136,AO137,AO141,AO142)</f>
        <v>1593</v>
      </c>
      <c r="AP143" s="274">
        <f>SUM(AP136,AP137,AP141,AP142)</f>
        <v>4218</v>
      </c>
      <c r="AQ143" s="274">
        <f>SUM(AM143:AP143)</f>
        <v>11718</v>
      </c>
      <c r="AR143" s="274">
        <f>SUM(AR136,AR137,AR141,AR142)</f>
        <v>4200</v>
      </c>
      <c r="AS143" s="274">
        <f>SUM(AS136,AS137,AS141,AS142)</f>
        <v>11926</v>
      </c>
      <c r="AT143" s="274">
        <f>SUM(AT136,AT137,AT141,AT142)</f>
        <v>4166</v>
      </c>
      <c r="AU143" s="274">
        <f>SUM(AU136,AU137,AU141,AU142)</f>
        <v>11864</v>
      </c>
      <c r="AV143" s="274">
        <f>SUM(AR143:AU143)</f>
        <v>32156</v>
      </c>
      <c r="AW143" s="274">
        <f>SUM(AW136,AW137,AW141,AW142)</f>
        <v>11846</v>
      </c>
      <c r="AX143" s="274">
        <f>SUM(AX136,AX137,AX141,AX142)</f>
        <v>32364</v>
      </c>
      <c r="AY143" s="274">
        <f>SUM(AY136,AY137,AY141,AY142)</f>
        <v>11812</v>
      </c>
      <c r="AZ143" s="274">
        <f>SUM(AZ136,AZ137,AZ141,AZ142)</f>
        <v>32302</v>
      </c>
      <c r="BA143" s="274">
        <f>SUM(AW143:AZ143)</f>
        <v>88324</v>
      </c>
      <c r="BB143" s="274">
        <f>SUM(BB136,BB137,BB141,BB142)</f>
        <v>32284</v>
      </c>
      <c r="BC143" s="274">
        <f>SUM(BC136,BC137,BC141,BC142)</f>
        <v>88532</v>
      </c>
      <c r="BD143" s="274">
        <f>SUM(BD136,BD137,BD141,BD142)</f>
        <v>32250</v>
      </c>
      <c r="BE143" s="274">
        <f>SUM(BE136,BE137,BE141,BE142)</f>
        <v>88470</v>
      </c>
      <c r="BF143" s="274">
        <f>SUM(BB143:BE143)</f>
        <v>241536</v>
      </c>
      <c r="BG143" s="274">
        <f>SUM(BG136,BG137,BG141,BG142)</f>
        <v>88452</v>
      </c>
      <c r="BH143" s="274">
        <f>SUM(BH136,BH137,BH141,BH142)</f>
        <v>241744</v>
      </c>
      <c r="BI143" s="274">
        <f>SUM(BI136,BI137,BI141,BI142)</f>
        <v>88418</v>
      </c>
      <c r="BJ143" s="274">
        <f>SUM(BJ136,BJ137,BJ141,BJ142)</f>
        <v>241682</v>
      </c>
      <c r="BK143" s="274">
        <f>SUM(BG143:BJ143)</f>
        <v>660296</v>
      </c>
      <c r="BL143" s="274">
        <f>SUM(BL136,BL137,BL141,BL142)</f>
        <v>241664</v>
      </c>
      <c r="BM143" s="274">
        <f>SUM(BM136,BM137,BM141,BM142)</f>
        <v>660504</v>
      </c>
      <c r="BN143" s="274">
        <f>SUM(BN136,BN137,BN141,BN142)</f>
        <v>241630</v>
      </c>
      <c r="BO143" s="274">
        <f>SUM(BO136,BO137,BO141,BO142)</f>
        <v>660442</v>
      </c>
      <c r="BP143" s="274">
        <f>SUM(BL143:BO143)</f>
        <v>1804240</v>
      </c>
      <c r="BQ143" s="274">
        <f>SUM(BQ136,BQ137,BQ141,BQ142)</f>
        <v>660424</v>
      </c>
      <c r="BR143" s="274">
        <f>SUM(BR136,BR137,BR141,BR142)</f>
        <v>1804448</v>
      </c>
      <c r="BS143" s="274">
        <f>SUM(BS136,BS137,BS141,BS142)</f>
        <v>660390</v>
      </c>
      <c r="BT143" s="274">
        <f>SUM(BT136,BT137,BT141,BT142)</f>
        <v>1804386</v>
      </c>
      <c r="BU143" s="274">
        <f>SUM(BQ143:BT143)</f>
        <v>4929648</v>
      </c>
      <c r="BV143" s="274">
        <f>SUM(BV136,BV137,BV141,BV142)</f>
        <v>1804368</v>
      </c>
      <c r="BW143" s="274">
        <f>SUM(BW136,BW137,BW141,BW142)</f>
        <v>4929856</v>
      </c>
      <c r="BX143" s="274">
        <f>SUM(BX136,BX137,BX141,BX142)</f>
        <v>1804334</v>
      </c>
      <c r="BY143" s="274">
        <f>SUM(BY136,BY137,BY141,BY142)</f>
        <v>4929794</v>
      </c>
      <c r="BZ143" s="274">
        <f>SUM(BV143:BY143)</f>
        <v>13468352</v>
      </c>
      <c r="CA143" s="274">
        <f>SUM(CA136,CA137,CA141,CA142)</f>
        <v>4929776</v>
      </c>
      <c r="CB143" s="274">
        <f>SUM(CB136,CB137,CB141,CB142)</f>
        <v>13468560</v>
      </c>
      <c r="CC143" s="274">
        <f>SUM(CC136,CC137,CC141,CC142)</f>
        <v>4929742</v>
      </c>
      <c r="CD143" s="274">
        <f>SUM(CD136,CD137,CD141,CD142)</f>
        <v>13468498</v>
      </c>
      <c r="CE143" s="274">
        <f>SUM(CA143:CD143)</f>
        <v>36796576</v>
      </c>
      <c r="CF143" s="274">
        <f>SUM(CF136,CF137,CF141,CF142)</f>
        <v>13468480</v>
      </c>
      <c r="CG143" s="274">
        <f>SUM(CG136,CG137,CG141,CG142)</f>
        <v>36796784</v>
      </c>
      <c r="CH143" s="274">
        <f>SUM(CH136,CH137,CH141,CH142)</f>
        <v>13468446</v>
      </c>
      <c r="CI143" s="274">
        <f>SUM(CI136,CI137,CI141,CI142)</f>
        <v>36796722</v>
      </c>
      <c r="CJ143" s="274">
        <f>SUM(CF143:CI143)</f>
        <v>100530432</v>
      </c>
      <c r="CK143" s="274">
        <f>SUM(CK136,CK137,CK141,CK142)</f>
        <v>36796704</v>
      </c>
      <c r="CL143" s="274">
        <f>SUM(CL136,CL137,CL141,CL142)</f>
        <v>100530640</v>
      </c>
      <c r="CM143" s="274">
        <f>SUM(CM136,CM137,CM141,CM142)</f>
        <v>36796670</v>
      </c>
      <c r="CN143" s="274">
        <f>SUM(CN136,CN137,CN141,CN142)</f>
        <v>100530578</v>
      </c>
      <c r="CO143" s="274">
        <f>SUM(CK143:CN143)</f>
        <v>274654592</v>
      </c>
      <c r="CP143" s="274">
        <f>SUM(CP136,CP137,CP141,CP142)</f>
        <v>100530560</v>
      </c>
      <c r="CQ143" s="274">
        <f>SUM(CQ136,CQ137,CQ141,CQ142)</f>
        <v>274654800</v>
      </c>
      <c r="CR143" s="274">
        <f>SUM(CR136,CR137,CR141,CR142)</f>
        <v>100530526</v>
      </c>
      <c r="CS143" s="274">
        <f>SUM(CS136,CS137,CS141,CS142)</f>
        <v>274654738</v>
      </c>
      <c r="CT143" s="274">
        <f>SUM(CP143:CS143)</f>
        <v>750370624</v>
      </c>
      <c r="CU143" s="274">
        <f>SUM(CU136,CU137,CU141,CU142)</f>
        <v>274654720</v>
      </c>
      <c r="CV143" s="274">
        <f>SUM(CV136,CV137,CV141,CV142)</f>
        <v>750370832</v>
      </c>
      <c r="CW143" s="274">
        <f>SUM(CW136,CW137,CW141,CW142)</f>
        <v>274654686</v>
      </c>
      <c r="CX143" s="274">
        <f>SUM(CX136,CX137,CX141,CX142)</f>
        <v>750370770</v>
      </c>
      <c r="CY143" s="274">
        <f>SUM(CU143:CX143)</f>
        <v>2050051008</v>
      </c>
    </row>
    <row r="144" ht="12.75" customHeight="1" s="254">
      <c r="C144" s="267" t="inlineStr">
        <is>
          <t>Common Dividends</t>
        </is>
      </c>
      <c r="D144" s="299" t="n"/>
      <c r="E144" s="299" t="n"/>
      <c r="F144" s="299" t="n"/>
      <c r="G144" s="299" t="n"/>
      <c r="H144" s="266">
        <f>SUM(D144:G144)</f>
        <v>0</v>
      </c>
      <c r="I144" s="299">
        <f>INDEX('Inputs (2)'!$D$13:$AL$13,MATCH(I$7,'Inputs (2)'!$D$2:$AL$2,0))</f>
        <v>-1292</v>
      </c>
      <c r="J144" s="299">
        <f>INDEX('Inputs (2)'!$D$13:$AL$13,MATCH(J$7,'Inputs (2)'!$D$2:$AL$2,0))</f>
        <v>-1310</v>
      </c>
      <c r="K144" s="299">
        <f>INDEX('Inputs (2)'!$D$13:$AL$13,MATCH(K$7,'Inputs (2)'!$D$2:$AL$2,0))</f>
        <v>-1812</v>
      </c>
      <c r="L144" s="299">
        <f>INDEX('Inputs (2)'!$D$13:$AL$13,MATCH(L$7,'Inputs (2)'!$D$2:$AL$2,0))</f>
        <v>-1838</v>
      </c>
      <c r="M144" s="266">
        <f>SUM(I144:L144)</f>
        <v>-6252</v>
      </c>
      <c r="N144" s="299">
        <f>INDEX('Inputs (2)'!$D$13:$AL$13,MATCH(N$7,'Inputs (2)'!$D$2:$AL$2,0))</f>
        <v>-1950</v>
      </c>
      <c r="O144" s="299">
        <f>INDEX('Inputs (2)'!$D$13:$AL$13,MATCH(O$7,'Inputs (2)'!$D$2:$AL$2,0))</f>
        <v>-1851</v>
      </c>
      <c r="P144" s="299">
        <f>INDEX('Inputs (2)'!$D$13:$AL$13,MATCH(P$7,'Inputs (2)'!$D$2:$AL$2,0))</f>
        <v>-1818</v>
      </c>
      <c r="Q144" s="299">
        <f>INDEX('Inputs (2)'!$D$13:$AL$13,MATCH(Q$7,'Inputs (2)'!$D$2:$AL$2,0))</f>
        <v>-1785</v>
      </c>
      <c r="R144" s="266">
        <f>SUM(N144:Q144)</f>
        <v>-7404</v>
      </c>
      <c r="S144" s="299">
        <f>INDEX('Inputs (2)'!$D$13:$AL$13,MATCH(S$7,'Inputs (2)'!$D$2:$AL$2,0))</f>
        <v>-2029</v>
      </c>
      <c r="T144" s="299">
        <f>INDEX('Inputs (2)'!$D$13:$AL$13,MATCH(T$7,'Inputs (2)'!$D$2:$AL$2,0))</f>
        <v>-1983</v>
      </c>
      <c r="U144" s="299">
        <f>INDEX('Inputs (2)'!$D$13:$AL$13,MATCH(U$7,'Inputs (2)'!$D$2:$AL$2,0))</f>
        <v>-2179</v>
      </c>
      <c r="V144" s="299">
        <f>INDEX('Inputs (2)'!$D$13:$AL$13,MATCH(V$7,'Inputs (2)'!$D$2:$AL$2,0))</f>
        <v>-2201</v>
      </c>
      <c r="W144" s="266">
        <f>SUM(S144:V144)</f>
        <v>-8392</v>
      </c>
      <c r="X144" s="299">
        <f>INDEX('Inputs (2)'!$D$13:$AL$13,MATCH(X$7,'Inputs (2)'!$D$2:$AL$2,0))</f>
        <v>-2210</v>
      </c>
      <c r="Y144" s="299">
        <f>INDEX('Inputs (2)'!$D$13:$AL$13,MATCH(Y$7,'Inputs (2)'!$D$2:$AL$2,0))</f>
        <v>-2177</v>
      </c>
      <c r="Z144" s="299">
        <f>INDEX('Inputs (2)'!$D$13:$AL$13,MATCH(Z$7,'Inputs (2)'!$D$2:$AL$2,0))</f>
        <v>-2167</v>
      </c>
      <c r="AA144" s="299">
        <f>INDEX('Inputs (2)'!$D$13:$AL$13,MATCH(AA$7,'Inputs (2)'!$D$2:$AL$2,0))</f>
        <v>-2114</v>
      </c>
      <c r="AB144" s="266">
        <f>SUM(X144:AA144)</f>
        <v>-8668</v>
      </c>
      <c r="AC144" s="299">
        <f>INDEX('Inputs (2)'!$D$13:$AL$13,MATCH(AC$7,'Inputs (2)'!$D$2:$AL$2,0))</f>
        <v>-2179</v>
      </c>
      <c r="AD144" s="299">
        <f>INDEX('Inputs (2)'!$D$13:$AL$13,MATCH(AD$7,'Inputs (2)'!$D$2:$AL$2,0))</f>
        <v>-2122</v>
      </c>
      <c r="AE144" s="299">
        <f>INDEX('Inputs (2)'!$D$13:$AL$13,MATCH(AE$7,'Inputs (2)'!$D$2:$AL$2,0))</f>
        <v>-2103</v>
      </c>
      <c r="AF144" s="299">
        <f>INDEX('Inputs (2)'!$D$13:$AL$13,MATCH(AF$7,'Inputs (2)'!$D$2:$AL$2,0))</f>
        <v>-2068</v>
      </c>
      <c r="AG144" s="266">
        <f>SUM(AC144:AF144)</f>
        <v>-8472</v>
      </c>
      <c r="AH144" s="266">
        <f>INDEX('Inputs (2)'!$D$13:$AL$13,MATCH(AH$7,'Inputs (2)'!$D$2:$AL$2,0))</f>
        <v>-2100</v>
      </c>
      <c r="AI144" s="266">
        <f>INDEX('Inputs (2)'!$D$13:$AL$13,MATCH(AI$7,'Inputs (2)'!$D$2:$AL$2,0))</f>
        <v>-2164</v>
      </c>
      <c r="AJ144" s="266" t="n"/>
      <c r="AK144" s="266" t="n"/>
      <c r="AL144" s="266">
        <f>SUM(AH144:AK144)</f>
        <v>-4264</v>
      </c>
      <c r="AM144" s="266" t="n"/>
      <c r="AN144" s="266" t="n"/>
      <c r="AO144" s="266" t="n"/>
      <c r="AP144" s="266" t="n"/>
      <c r="AQ144" s="266">
        <f>SUM(AM144:AP144)</f>
        <v>0</v>
      </c>
      <c r="AR144" s="266" t="n"/>
      <c r="AS144" s="266" t="n"/>
      <c r="AT144" s="266" t="n"/>
      <c r="AU144" s="266" t="n"/>
      <c r="AV144" s="266">
        <f>SUM(AR144:AU144)</f>
        <v>0</v>
      </c>
      <c r="AW144" s="266" t="n"/>
      <c r="AX144" s="266" t="n"/>
      <c r="AY144" s="266" t="n"/>
      <c r="AZ144" s="266" t="n"/>
      <c r="BA144" s="266">
        <f>SUM(AW144:AZ144)</f>
        <v>0</v>
      </c>
      <c r="BB144" s="266" t="n"/>
      <c r="BC144" s="266" t="n"/>
      <c r="BD144" s="266" t="n"/>
      <c r="BE144" s="266" t="n"/>
      <c r="BF144" s="266">
        <f>SUM(BB144:BE144)</f>
        <v>0</v>
      </c>
      <c r="BG144" s="266" t="n"/>
      <c r="BH144" s="266" t="n"/>
      <c r="BI144" s="266" t="n"/>
      <c r="BJ144" s="266" t="n"/>
      <c r="BK144" s="266">
        <f>SUM(BG144:BJ144)</f>
        <v>0</v>
      </c>
      <c r="BL144" s="266" t="n"/>
      <c r="BM144" s="266" t="n"/>
      <c r="BN144" s="266" t="n"/>
      <c r="BO144" s="266" t="n"/>
      <c r="BP144" s="266">
        <f>SUM(BL144:BO144)</f>
        <v>0</v>
      </c>
      <c r="BQ144" s="266" t="n"/>
      <c r="BR144" s="266" t="n"/>
      <c r="BS144" s="266" t="n"/>
      <c r="BT144" s="266" t="n"/>
      <c r="BU144" s="266">
        <f>SUM(BQ144:BT144)</f>
        <v>0</v>
      </c>
      <c r="BV144" s="266" t="n"/>
      <c r="BW144" s="266" t="n"/>
      <c r="BX144" s="266" t="n"/>
      <c r="BY144" s="266" t="n"/>
      <c r="BZ144" s="266">
        <f>SUM(BV144:BY144)</f>
        <v>0</v>
      </c>
      <c r="CA144" s="266" t="n"/>
      <c r="CB144" s="266" t="n"/>
      <c r="CC144" s="266" t="n"/>
      <c r="CD144" s="266" t="n"/>
      <c r="CE144" s="266">
        <f>SUM(CA144:CD144)</f>
        <v>0</v>
      </c>
      <c r="CF144" s="266" t="n"/>
      <c r="CG144" s="266" t="n"/>
      <c r="CH144" s="266" t="n"/>
      <c r="CI144" s="266" t="n"/>
      <c r="CJ144" s="266">
        <f>SUM(CF144:CI144)</f>
        <v>0</v>
      </c>
      <c r="CK144" s="266" t="n"/>
      <c r="CL144" s="266" t="n"/>
      <c r="CM144" s="266" t="n"/>
      <c r="CN144" s="266" t="n"/>
      <c r="CO144" s="266">
        <f>SUM(CK144:CN144)</f>
        <v>0</v>
      </c>
      <c r="CP144" s="266" t="n"/>
      <c r="CQ144" s="266" t="n"/>
      <c r="CR144" s="266" t="n"/>
      <c r="CS144" s="266" t="n"/>
      <c r="CT144" s="266">
        <f>SUM(CP144:CS144)</f>
        <v>0</v>
      </c>
      <c r="CU144" s="266" t="n"/>
      <c r="CV144" s="266" t="n"/>
      <c r="CW144" s="266" t="n"/>
      <c r="CX144" s="266" t="n"/>
      <c r="CY144" s="266">
        <f>SUM(CU144:CX144)</f>
        <v>0</v>
      </c>
    </row>
    <row r="145" hidden="1" outlineLevel="1" ht="12.75" customHeight="1" s="254">
      <c r="C145" s="303" t="inlineStr">
        <is>
          <t>% DVD Payout</t>
        </is>
      </c>
      <c r="D145" s="311" t="str">
        <f>IFERROR(-D144/D143,"")</f>
        <v/>
      </c>
      <c r="E145" s="311" t="str">
        <f>IFERROR(-E144/E143,"")</f>
        <v/>
      </c>
      <c r="F145" s="311" t="str">
        <f>IFERROR(-F144/F143,"")</f>
        <v/>
      </c>
      <c r="G145" s="311" t="str">
        <f>IFERROR(-G144/G143,"")</f>
        <v/>
      </c>
      <c r="H145" s="311" t="str">
        <f>IFERROR(-H144/H143,"")</f>
        <v/>
      </c>
      <c r="I145" s="311">
        <f>IFERROR(-I144/I143,"")</f>
        <v>0.228268551236749</v>
      </c>
      <c r="J145" s="311">
        <f>IFERROR(-J144/J143,"")</f>
        <v>0.382147024504084</v>
      </c>
      <c r="K145" s="311">
        <f>IFERROR(-K144/K143,"")</f>
        <v>-4.05369127516779</v>
      </c>
      <c r="L145" s="311">
        <f>IFERROR(-L144/L143,"")</f>
        <v>0.16036995026612</v>
      </c>
      <c r="M145" s="311">
        <f>IFERROR(-M144/M143,"")</f>
        <v>0.311013829469705</v>
      </c>
      <c r="N145" s="311">
        <f>IFERROR(-N144/N143,"")</f>
        <v>0.274030354131535</v>
      </c>
      <c r="O145" s="311">
        <f>IFERROR(-O144/O143,"")</f>
        <v>0.102605321507761</v>
      </c>
      <c r="P145" s="311">
        <f>IFERROR(-P144/P143,"")</f>
        <v>0.269612931929408</v>
      </c>
      <c r="Q145" s="311">
        <f>IFERROR(-Q144/Q143,"")</f>
        <v>0.171486213853396</v>
      </c>
      <c r="R145" s="311">
        <f>IFERROR(-R144/R143,"")</f>
        <v>0.175002363619174</v>
      </c>
      <c r="S145" s="311">
        <f>IFERROR(-S144/S143,"")</f>
        <v>0.232977379722127</v>
      </c>
      <c r="T145" s="311">
        <f>IFERROR(-T144/T143,"")</f>
        <v>0.632737715379707</v>
      </c>
      <c r="U145" s="311">
        <f>IFERROR(-U144/U143,"")</f>
        <v>0.309341283361726</v>
      </c>
      <c r="V145" s="311">
        <f>IFERROR(-V144/V143,"")</f>
        <v>4.64345991561181</v>
      </c>
      <c r="W145" s="311">
        <f>IFERROR(-W144/W143,"")</f>
        <v>0.433448685501782</v>
      </c>
      <c r="X145" s="311">
        <f>IFERROR(-X144/X143,"")</f>
        <v>0.300353356890459</v>
      </c>
      <c r="Y145" s="311">
        <f>IFERROR(-Y144/Y143,"")</f>
        <v>0.618993460335513</v>
      </c>
      <c r="Z145" s="311">
        <f>IFERROR(-Z144/Z143,"")</f>
        <v>0.505010487065952</v>
      </c>
      <c r="AA145" s="311">
        <f>IFERROR(-AA144/AA143,"")</f>
        <v>2.27801724137931</v>
      </c>
      <c r="AB145" s="311">
        <f>IFERROR(-AB144/AB143,"")</f>
        <v>0.538585808375792</v>
      </c>
      <c r="AC145" s="311">
        <f>IFERROR(-AC144/AC143,"")</f>
        <v>0.455857740585774</v>
      </c>
      <c r="AD145" s="311">
        <f>IFERROR(-AD144/AD143,"")</f>
        <v>0.589280755345737</v>
      </c>
      <c r="AE145" s="311">
        <f>IFERROR(-AE144/AE143,"")</f>
        <v>0.395152198421646</v>
      </c>
      <c r="AF145" s="295">
        <f>IFERROR(-AF144/AF143,"")</f>
        <v>0.500241896468312</v>
      </c>
      <c r="AG145" s="266" t="n"/>
      <c r="AH145" s="295">
        <f>IFERROR(-AH144/AH143,"")</f>
        <v>0.368809272918862</v>
      </c>
      <c r="AI145" s="295">
        <f>IFERROR(-AI144/AI143,"")</f>
        <v>0.199981517419832</v>
      </c>
      <c r="AJ145" s="295" t="n"/>
      <c r="AK145" s="295" t="n"/>
      <c r="AL145" s="266">
        <f>IFERROR(-AL144/AL143,"")</f>
        <v>0.230449116359509</v>
      </c>
      <c r="AM145" s="295" t="n"/>
      <c r="AN145" s="295" t="n"/>
      <c r="AO145" s="295" t="n"/>
      <c r="AP145" s="295" t="n"/>
      <c r="AQ145" s="266">
        <f>IFERROR(-AQ144/AQ143,"")</f>
        <v>0</v>
      </c>
      <c r="AR145" s="295" t="n"/>
      <c r="AS145" s="295" t="n"/>
      <c r="AT145" s="295" t="n"/>
      <c r="AU145" s="295" t="n"/>
      <c r="AV145" s="266">
        <f>IFERROR(-AV144/AV143,"")</f>
        <v>0</v>
      </c>
      <c r="AW145" s="295" t="n"/>
      <c r="AX145" s="295" t="n"/>
      <c r="AY145" s="295" t="n"/>
      <c r="AZ145" s="295" t="n"/>
      <c r="BA145" s="266">
        <f>IFERROR(-BA144/BA143,"")</f>
        <v>0</v>
      </c>
      <c r="BB145" s="295" t="n"/>
      <c r="BC145" s="295" t="n"/>
      <c r="BD145" s="295" t="n"/>
      <c r="BE145" s="295" t="n"/>
      <c r="BF145" s="266">
        <f>IFERROR(-BF144/BF143,"")</f>
        <v>0</v>
      </c>
      <c r="BG145" s="295" t="n"/>
      <c r="BH145" s="295" t="n"/>
      <c r="BI145" s="295" t="n"/>
      <c r="BJ145" s="295" t="n"/>
      <c r="BK145" s="266">
        <f>IFERROR(-BK144/BK143,"")</f>
        <v>0</v>
      </c>
      <c r="BL145" s="295" t="n"/>
      <c r="BM145" s="295" t="n"/>
      <c r="BN145" s="295" t="n"/>
      <c r="BO145" s="295" t="n"/>
      <c r="BP145" s="266">
        <f>IFERROR(-BP144/BP143,"")</f>
        <v>0</v>
      </c>
      <c r="BQ145" s="295" t="n"/>
      <c r="BR145" s="295" t="n"/>
      <c r="BS145" s="295" t="n"/>
      <c r="BT145" s="295" t="n"/>
      <c r="BU145" s="266">
        <f>IFERROR(-BU144/BU143,"")</f>
        <v>0</v>
      </c>
      <c r="BV145" s="295" t="n"/>
      <c r="BW145" s="295" t="n"/>
      <c r="BX145" s="295" t="n"/>
      <c r="BY145" s="295" t="n"/>
      <c r="BZ145" s="266">
        <f>IFERROR(-BZ144/BZ143,"")</f>
        <v>0</v>
      </c>
      <c r="CA145" s="295" t="n"/>
      <c r="CB145" s="295" t="n"/>
      <c r="CC145" s="295" t="n"/>
      <c r="CD145" s="295" t="n"/>
      <c r="CE145" s="266">
        <f>IFERROR(-CE144/CE143,"")</f>
        <v>0</v>
      </c>
      <c r="CF145" s="295" t="n"/>
      <c r="CG145" s="295" t="n"/>
      <c r="CH145" s="295" t="n"/>
      <c r="CI145" s="295" t="n"/>
      <c r="CJ145" s="266">
        <f>IFERROR(-CJ144/CJ143,"")</f>
        <v>0</v>
      </c>
      <c r="CK145" s="295" t="n"/>
      <c r="CL145" s="295" t="n"/>
      <c r="CM145" s="295" t="n"/>
      <c r="CN145" s="295" t="n"/>
      <c r="CO145" s="266">
        <f>IFERROR(-CO144/CO143,"")</f>
        <v>0</v>
      </c>
      <c r="CP145" s="295" t="n"/>
      <c r="CQ145" s="295" t="n"/>
      <c r="CR145" s="295" t="n"/>
      <c r="CS145" s="295" t="n"/>
      <c r="CT145" s="266">
        <f>IFERROR(-CT144/CT143,"")</f>
        <v>0</v>
      </c>
      <c r="CU145" s="295" t="n"/>
      <c r="CV145" s="295" t="n"/>
      <c r="CW145" s="295" t="n"/>
      <c r="CX145" s="295" t="n"/>
      <c r="CY145" s="266">
        <f>IFERROR(-CY144/CY143,"")</f>
        <v>0</v>
      </c>
    </row>
    <row r="146" hidden="1" outlineLevel="1" ht="12.75" customHeight="1" s="254">
      <c r="C146" s="272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  <c r="AA146" s="257" t="n"/>
      <c r="AB146" s="257" t="n"/>
      <c r="AC146" s="257" t="n"/>
      <c r="AD146" s="257" t="n"/>
      <c r="AE146" s="257" t="n"/>
      <c r="AF146" s="257" t="n"/>
      <c r="AG146" s="257" t="n"/>
      <c r="AH146" s="257" t="n"/>
      <c r="AI146" s="257" t="n"/>
      <c r="AJ146" s="257" t="n"/>
      <c r="AK146" s="257" t="n"/>
      <c r="AL146" s="257" t="n"/>
      <c r="AM146" s="257" t="n"/>
      <c r="AN146" s="257" t="n"/>
      <c r="AO146" s="257" t="n"/>
      <c r="AP146" s="257" t="n"/>
      <c r="AQ146" s="257" t="n"/>
      <c r="AR146" s="257" t="n"/>
      <c r="AS146" s="257" t="n"/>
      <c r="AT146" s="257" t="n"/>
      <c r="AU146" s="257" t="n"/>
      <c r="AV146" s="257" t="n"/>
      <c r="AW146" s="257" t="n"/>
      <c r="AX146" s="257" t="n"/>
      <c r="AY146" s="257" t="n"/>
      <c r="AZ146" s="257" t="n"/>
      <c r="BA146" s="257" t="n"/>
      <c r="BB146" s="257" t="n"/>
      <c r="BC146" s="257" t="n"/>
      <c r="BD146" s="257" t="n"/>
      <c r="BE146" s="257" t="n"/>
      <c r="BF146" s="257" t="n"/>
      <c r="BG146" s="257" t="n"/>
      <c r="BH146" s="257" t="n"/>
      <c r="BI146" s="257" t="n"/>
      <c r="BJ146" s="257" t="n"/>
      <c r="BK146" s="257" t="n"/>
      <c r="BL146" s="257" t="n"/>
      <c r="BM146" s="257" t="n"/>
      <c r="BN146" s="257" t="n"/>
      <c r="BO146" s="257" t="n"/>
      <c r="BP146" s="257" t="n"/>
      <c r="BQ146" s="257" t="n"/>
      <c r="BR146" s="257" t="n"/>
      <c r="BS146" s="257" t="n"/>
      <c r="BT146" s="257" t="n"/>
      <c r="BU146" s="257" t="n"/>
      <c r="BV146" s="257" t="n"/>
      <c r="BW146" s="257" t="n"/>
      <c r="BX146" s="257" t="n"/>
      <c r="BY146" s="257" t="n"/>
      <c r="BZ146" s="257" t="n"/>
      <c r="CA146" s="257" t="n"/>
      <c r="CB146" s="257" t="n"/>
      <c r="CC146" s="257" t="n"/>
      <c r="CD146" s="257" t="n"/>
      <c r="CE146" s="257" t="n"/>
      <c r="CF146" s="257" t="n"/>
      <c r="CG146" s="257" t="n"/>
      <c r="CH146" s="257" t="n"/>
      <c r="CI146" s="257" t="n"/>
      <c r="CJ146" s="257" t="n"/>
      <c r="CK146" s="257" t="n"/>
      <c r="CL146" s="257" t="n"/>
      <c r="CM146" s="257" t="n"/>
      <c r="CN146" s="257" t="n"/>
      <c r="CO146" s="257" t="n"/>
      <c r="CP146" s="257" t="n"/>
      <c r="CQ146" s="257" t="n"/>
      <c r="CR146" s="257" t="n"/>
      <c r="CS146" s="257" t="n"/>
      <c r="CT146" s="257" t="n"/>
      <c r="CU146" s="257" t="n"/>
      <c r="CV146" s="257" t="n"/>
      <c r="CW146" s="257" t="n"/>
      <c r="CX146" s="257" t="n"/>
      <c r="CY146" s="257" t="n"/>
    </row>
    <row r="147" hidden="1" outlineLevel="1" ht="12.75" customHeight="1" s="254">
      <c r="C147" s="272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  <c r="AA147" s="257" t="n"/>
      <c r="AB147" s="257" t="n"/>
      <c r="AC147" s="257" t="n"/>
      <c r="AD147" s="257" t="n"/>
      <c r="AE147" s="257" t="n"/>
      <c r="AF147" s="257" t="n"/>
      <c r="AG147" s="257" t="n"/>
      <c r="AH147" s="257" t="n"/>
      <c r="AI147" s="257" t="n"/>
      <c r="AJ147" s="257" t="n"/>
      <c r="AK147" s="257" t="n"/>
      <c r="AL147" s="257" t="n"/>
      <c r="AM147" s="257" t="n"/>
      <c r="AN147" s="257" t="n"/>
      <c r="AO147" s="257" t="n"/>
      <c r="AP147" s="257" t="n"/>
      <c r="AQ147" s="257" t="n"/>
      <c r="AR147" s="257" t="n"/>
      <c r="AS147" s="257" t="n"/>
      <c r="AT147" s="257" t="n"/>
      <c r="AU147" s="257" t="n"/>
      <c r="AV147" s="257" t="n"/>
      <c r="AW147" s="257" t="n"/>
      <c r="AX147" s="257" t="n"/>
      <c r="AY147" s="257" t="n"/>
      <c r="AZ147" s="257" t="n"/>
      <c r="BA147" s="257" t="n"/>
      <c r="BB147" s="257" t="n"/>
      <c r="BC147" s="257" t="n"/>
      <c r="BD147" s="257" t="n"/>
      <c r="BE147" s="257" t="n"/>
      <c r="BF147" s="257" t="n"/>
      <c r="BG147" s="257" t="n"/>
      <c r="BH147" s="257" t="n"/>
      <c r="BI147" s="257" t="n"/>
      <c r="BJ147" s="257" t="n"/>
      <c r="BK147" s="257" t="n"/>
      <c r="BL147" s="257" t="n"/>
      <c r="BM147" s="257" t="n"/>
      <c r="BN147" s="257" t="n"/>
      <c r="BO147" s="257" t="n"/>
      <c r="BP147" s="257" t="n"/>
      <c r="BQ147" s="257" t="n"/>
      <c r="BR147" s="257" t="n"/>
      <c r="BS147" s="257" t="n"/>
      <c r="BT147" s="257" t="n"/>
      <c r="BU147" s="257" t="n"/>
      <c r="BV147" s="257" t="n"/>
      <c r="BW147" s="257" t="n"/>
      <c r="BX147" s="257" t="n"/>
      <c r="BY147" s="257" t="n"/>
      <c r="BZ147" s="257" t="n"/>
      <c r="CA147" s="257" t="n"/>
      <c r="CB147" s="257" t="n"/>
      <c r="CC147" s="257" t="n"/>
      <c r="CD147" s="257" t="n"/>
      <c r="CE147" s="257" t="n"/>
      <c r="CF147" s="257" t="n"/>
      <c r="CG147" s="257" t="n"/>
      <c r="CH147" s="257" t="n"/>
      <c r="CI147" s="257" t="n"/>
      <c r="CJ147" s="257" t="n"/>
      <c r="CK147" s="257" t="n"/>
      <c r="CL147" s="257" t="n"/>
      <c r="CM147" s="257" t="n"/>
      <c r="CN147" s="257" t="n"/>
      <c r="CO147" s="257" t="n"/>
      <c r="CP147" s="257" t="n"/>
      <c r="CQ147" s="257" t="n"/>
      <c r="CR147" s="257" t="n"/>
      <c r="CS147" s="257" t="n"/>
      <c r="CT147" s="257" t="n"/>
      <c r="CU147" s="257" t="n"/>
      <c r="CV147" s="257" t="n"/>
      <c r="CW147" s="257" t="n"/>
      <c r="CX147" s="257" t="n"/>
      <c r="CY147" s="257" t="n"/>
    </row>
    <row r="148" ht="11.25" customHeight="1" s="254">
      <c r="C148" s="287" t="inlineStr">
        <is>
          <t>Balance Sheet</t>
        </is>
      </c>
      <c r="D148" s="287" t="str">
        <f>D13</f>
        <v>1Q20</v>
      </c>
      <c r="E148" s="287" t="str">
        <f>E13</f>
        <v>2Q20</v>
      </c>
      <c r="F148" s="287" t="str">
        <f>F13</f>
        <v>3Q20</v>
      </c>
      <c r="G148" s="287" t="str">
        <f>G13</f>
        <v>4Q20</v>
      </c>
      <c r="H148" s="287">
        <f>H13</f>
        <v>2020</v>
      </c>
      <c r="I148" s="287" t="str">
        <f>I13</f>
        <v>1Q21</v>
      </c>
      <c r="J148" s="287" t="str">
        <f>J13</f>
        <v>2Q21</v>
      </c>
      <c r="K148" s="287" t="str">
        <f>K13</f>
        <v>3Q21</v>
      </c>
      <c r="L148" s="287" t="str">
        <f>L13</f>
        <v>4Q21</v>
      </c>
      <c r="M148" s="287">
        <f>M13</f>
        <v>2021</v>
      </c>
      <c r="N148" s="287" t="str">
        <f>N13</f>
        <v>1Q22</v>
      </c>
      <c r="O148" s="287" t="str">
        <f>O13</f>
        <v>2Q22</v>
      </c>
      <c r="P148" s="287" t="str">
        <f>P13</f>
        <v>3Q22</v>
      </c>
      <c r="Q148" s="287" t="str">
        <f>Q13</f>
        <v>4Q22</v>
      </c>
      <c r="R148" s="287">
        <f>R13</f>
        <v>2022</v>
      </c>
      <c r="S148" s="287" t="str">
        <f>S13</f>
        <v>1Q23</v>
      </c>
      <c r="T148" s="287" t="str">
        <f>T13</f>
        <v>2Q23</v>
      </c>
      <c r="U148" s="287" t="str">
        <f>U13</f>
        <v>3Q23</v>
      </c>
      <c r="V148" s="287" t="str">
        <f>V13</f>
        <v>4Q23</v>
      </c>
      <c r="W148" s="287">
        <f>W13</f>
        <v>2023</v>
      </c>
      <c r="X148" s="287" t="str">
        <f>X13</f>
        <v>1Q24</v>
      </c>
      <c r="Y148" s="287" t="str">
        <f>Y13</f>
        <v>2Q24</v>
      </c>
      <c r="Z148" s="287" t="str">
        <f>Z13</f>
        <v>3Q24</v>
      </c>
      <c r="AA148" s="287" t="str">
        <f>AA13</f>
        <v>4Q24</v>
      </c>
      <c r="AB148" s="287">
        <f>AB13</f>
        <v>2024</v>
      </c>
      <c r="AC148" s="287" t="str">
        <f>AC13</f>
        <v>1Q25</v>
      </c>
      <c r="AD148" s="287" t="str">
        <f>AD13</f>
        <v>2Q25</v>
      </c>
      <c r="AE148" s="287" t="str">
        <f>AE13</f>
        <v>3Q25</v>
      </c>
      <c r="AF148" s="287" t="str">
        <f>AF13</f>
        <v>4Q25</v>
      </c>
      <c r="AG148" s="287">
        <f>AG13</f>
        <v>2025</v>
      </c>
      <c r="AH148" s="287" t="str">
        <f>AH13</f>
        <v>1Q26</v>
      </c>
      <c r="AI148" s="287" t="str">
        <f>AI13</f>
        <v>2Q26</v>
      </c>
      <c r="AJ148" s="287" t="str">
        <f>AJ13</f>
        <v>3Q26</v>
      </c>
      <c r="AK148" s="287" t="str">
        <f>AK13</f>
        <v>4Q26</v>
      </c>
      <c r="AL148" s="287">
        <f>AL13</f>
        <v>2026</v>
      </c>
      <c r="AM148" s="287" t="str">
        <f>AM13</f>
        <v>1Q27</v>
      </c>
      <c r="AN148" s="287" t="str">
        <f>AN13</f>
        <v>2Q27</v>
      </c>
      <c r="AO148" s="287" t="str">
        <f>AO13</f>
        <v>3Q27</v>
      </c>
      <c r="AP148" s="287" t="str">
        <f>AP13</f>
        <v>4Q27</v>
      </c>
      <c r="AQ148" s="287">
        <f>AQ13</f>
        <v>2027</v>
      </c>
      <c r="AR148" s="287" t="str">
        <f>AR13</f>
        <v>1Q28</v>
      </c>
      <c r="AS148" s="287" t="str">
        <f>AS13</f>
        <v>2Q28</v>
      </c>
      <c r="AT148" s="287" t="str">
        <f>AT13</f>
        <v>3Q28</v>
      </c>
      <c r="AU148" s="287" t="str">
        <f>AU13</f>
        <v>4Q28</v>
      </c>
      <c r="AV148" s="287">
        <f>AV13</f>
        <v>2028</v>
      </c>
      <c r="AW148" s="287" t="str">
        <f>AW13</f>
        <v>1Q29</v>
      </c>
      <c r="AX148" s="287" t="str">
        <f>AX13</f>
        <v>2Q29</v>
      </c>
      <c r="AY148" s="287" t="str">
        <f>AY13</f>
        <v>3Q29</v>
      </c>
      <c r="AZ148" s="287" t="str">
        <f>AZ13</f>
        <v>4Q29</v>
      </c>
      <c r="BA148" s="287">
        <f>BA13</f>
        <v>2029</v>
      </c>
      <c r="BB148" s="287" t="str">
        <f>BB13</f>
        <v>1Q30</v>
      </c>
      <c r="BC148" s="287" t="str">
        <f>BC13</f>
        <v>2Q30</v>
      </c>
      <c r="BD148" s="287" t="str">
        <f>BD13</f>
        <v>3Q30</v>
      </c>
      <c r="BE148" s="287" t="str">
        <f>BE13</f>
        <v>4Q30</v>
      </c>
      <c r="BF148" s="287">
        <f>BF13</f>
        <v>2030</v>
      </c>
      <c r="BG148" s="287" t="str">
        <f>BG13</f>
        <v>1Q31</v>
      </c>
      <c r="BH148" s="287" t="str">
        <f>BH13</f>
        <v>2Q31</v>
      </c>
      <c r="BI148" s="287" t="str">
        <f>BI13</f>
        <v>3Q31</v>
      </c>
      <c r="BJ148" s="287" t="str">
        <f>BJ13</f>
        <v>4Q31</v>
      </c>
      <c r="BK148" s="287">
        <f>BK13</f>
        <v>2031</v>
      </c>
      <c r="BL148" s="287" t="str">
        <f>BL13</f>
        <v>1Q32</v>
      </c>
      <c r="BM148" s="287" t="str">
        <f>BM13</f>
        <v>2Q32</v>
      </c>
      <c r="BN148" s="287" t="str">
        <f>BN13</f>
        <v>3Q32</v>
      </c>
      <c r="BO148" s="287" t="str">
        <f>BO13</f>
        <v>4Q32</v>
      </c>
      <c r="BP148" s="287">
        <f>BP13</f>
        <v>2032</v>
      </c>
      <c r="BQ148" s="287" t="str">
        <f>BQ13</f>
        <v>1Q33</v>
      </c>
      <c r="BR148" s="287" t="str">
        <f>BR13</f>
        <v>2Q33</v>
      </c>
      <c r="BS148" s="287" t="str">
        <f>BS13</f>
        <v>3Q33</v>
      </c>
      <c r="BT148" s="287" t="str">
        <f>BT13</f>
        <v>4Q33</v>
      </c>
      <c r="BU148" s="287">
        <f>BU13</f>
        <v>2033</v>
      </c>
      <c r="BV148" s="287" t="str">
        <f>BV13</f>
        <v>1Q34</v>
      </c>
      <c r="BW148" s="287" t="str">
        <f>BW13</f>
        <v>2Q34</v>
      </c>
      <c r="BX148" s="287" t="str">
        <f>BX13</f>
        <v>3Q34</v>
      </c>
      <c r="BY148" s="287" t="str">
        <f>BY13</f>
        <v>4Q34</v>
      </c>
      <c r="BZ148" s="287">
        <f>BZ13</f>
        <v>2034</v>
      </c>
      <c r="CA148" s="287" t="str">
        <f>CA13</f>
        <v>1Q35</v>
      </c>
      <c r="CB148" s="287" t="str">
        <f>CB13</f>
        <v>2Q35</v>
      </c>
      <c r="CC148" s="287" t="str">
        <f>CC13</f>
        <v>3Q35</v>
      </c>
      <c r="CD148" s="287" t="str">
        <f>CD13</f>
        <v>4Q35</v>
      </c>
      <c r="CE148" s="287">
        <f>CE13</f>
        <v>2035</v>
      </c>
      <c r="CF148" s="287" t="str">
        <f>CF13</f>
        <v>1Q36</v>
      </c>
      <c r="CG148" s="287" t="str">
        <f>CG13</f>
        <v>2Q36</v>
      </c>
      <c r="CH148" s="287" t="str">
        <f>CH13</f>
        <v>3Q36</v>
      </c>
      <c r="CI148" s="287" t="str">
        <f>CI13</f>
        <v>4Q36</v>
      </c>
      <c r="CJ148" s="287">
        <f>CJ13</f>
        <v>2036</v>
      </c>
      <c r="CK148" s="287" t="str">
        <f>CK13</f>
        <v>1Q37</v>
      </c>
      <c r="CL148" s="287" t="str">
        <f>CL13</f>
        <v>2Q37</v>
      </c>
      <c r="CM148" s="287" t="str">
        <f>CM13</f>
        <v>3Q37</v>
      </c>
      <c r="CN148" s="287" t="str">
        <f>CN13</f>
        <v>4Q37</v>
      </c>
      <c r="CO148" s="287">
        <f>CO13</f>
        <v>2037</v>
      </c>
      <c r="CP148" s="287" t="str">
        <f>CP13</f>
        <v>1Q38</v>
      </c>
      <c r="CQ148" s="287" t="str">
        <f>CQ13</f>
        <v>2Q38</v>
      </c>
      <c r="CR148" s="287" t="str">
        <f>CR13</f>
        <v>3Q38</v>
      </c>
      <c r="CS148" s="287" t="str">
        <f>CS13</f>
        <v>4Q38</v>
      </c>
      <c r="CT148" s="287">
        <f>CT13</f>
        <v>2038</v>
      </c>
      <c r="CU148" s="287" t="str">
        <f>CU13</f>
        <v>1Q39</v>
      </c>
      <c r="CV148" s="287" t="str">
        <f>CV13</f>
        <v>2Q39</v>
      </c>
      <c r="CW148" s="287" t="str">
        <f>CW13</f>
        <v>3Q39</v>
      </c>
      <c r="CX148" s="287" t="str">
        <f>CX13</f>
        <v>4Q39</v>
      </c>
      <c r="CY148" s="287">
        <f>CY13</f>
        <v>2039</v>
      </c>
    </row>
    <row r="149" ht="12.75" customHeight="1" s="254">
      <c r="C149" s="272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  <c r="AA149" s="257" t="n"/>
      <c r="AB149" s="257" t="n"/>
      <c r="AC149" s="257" t="n"/>
      <c r="AD149" s="257" t="n"/>
      <c r="AE149" s="257" t="n"/>
      <c r="AF149" s="257" t="n"/>
      <c r="AG149" s="257" t="n"/>
      <c r="AH149" s="257" t="n"/>
      <c r="AI149" s="257" t="n"/>
      <c r="AJ149" s="257" t="n"/>
      <c r="AK149" s="257" t="n"/>
      <c r="AL149" s="257" t="n"/>
      <c r="AM149" s="257" t="n"/>
      <c r="AN149" s="257" t="n"/>
      <c r="AO149" s="257" t="n"/>
      <c r="AP149" s="257" t="n"/>
      <c r="AQ149" s="257" t="n"/>
      <c r="AR149" s="257" t="n"/>
      <c r="AS149" s="257" t="n"/>
      <c r="AT149" s="257" t="n"/>
      <c r="AU149" s="257" t="n"/>
      <c r="AV149" s="257" t="n"/>
      <c r="AW149" s="257" t="n"/>
      <c r="AX149" s="257" t="n"/>
      <c r="AY149" s="257" t="n"/>
      <c r="AZ149" s="257" t="n"/>
      <c r="BA149" s="257" t="n"/>
      <c r="BB149" s="257" t="n"/>
      <c r="BC149" s="257" t="n"/>
      <c r="BD149" s="257" t="n"/>
      <c r="BE149" s="257" t="n"/>
      <c r="BF149" s="257" t="n"/>
      <c r="BG149" s="257" t="n"/>
      <c r="BH149" s="257" t="n"/>
      <c r="BI149" s="257" t="n"/>
      <c r="BJ149" s="257" t="n"/>
      <c r="BK149" s="257" t="n"/>
      <c r="BL149" s="257" t="n"/>
      <c r="BM149" s="257" t="n"/>
      <c r="BN149" s="257" t="n"/>
      <c r="BO149" s="257" t="n"/>
      <c r="BP149" s="257" t="n"/>
      <c r="BQ149" s="257" t="n"/>
      <c r="BR149" s="257" t="n"/>
      <c r="BS149" s="257" t="n"/>
      <c r="BT149" s="257" t="n"/>
      <c r="BU149" s="257" t="n"/>
      <c r="BV149" s="257" t="n"/>
      <c r="BW149" s="257" t="n"/>
      <c r="BX149" s="257" t="n"/>
      <c r="BY149" s="257" t="n"/>
      <c r="BZ149" s="257" t="n"/>
      <c r="CA149" s="257" t="n"/>
      <c r="CB149" s="257" t="n"/>
      <c r="CC149" s="257" t="n"/>
      <c r="CD149" s="257" t="n"/>
      <c r="CE149" s="257" t="n"/>
      <c r="CF149" s="257" t="n"/>
      <c r="CG149" s="257" t="n"/>
      <c r="CH149" s="257" t="n"/>
      <c r="CI149" s="257" t="n"/>
      <c r="CJ149" s="257" t="n"/>
      <c r="CK149" s="257" t="n"/>
      <c r="CL149" s="257" t="n"/>
      <c r="CM149" s="257" t="n"/>
      <c r="CN149" s="257" t="n"/>
      <c r="CO149" s="257" t="n"/>
      <c r="CP149" s="257" t="n"/>
      <c r="CQ149" s="257" t="n"/>
      <c r="CR149" s="257" t="n"/>
      <c r="CS149" s="257" t="n"/>
      <c r="CT149" s="257" t="n"/>
      <c r="CU149" s="257" t="n"/>
      <c r="CV149" s="257" t="n"/>
      <c r="CW149" s="257" t="n"/>
      <c r="CX149" s="257" t="n"/>
      <c r="CY149" s="257" t="n"/>
    </row>
    <row r="150" ht="12.75" customHeight="1" s="254">
      <c r="C150" s="267" t="inlineStr">
        <is>
          <t>Cash and equivalents (inc. investment securities)</t>
        </is>
      </c>
      <c r="D150" s="299" t="n"/>
      <c r="E150" s="299" t="n"/>
      <c r="F150" s="299" t="n"/>
      <c r="G150" s="299" t="n"/>
      <c r="H150" s="266">
        <f>G150</f>
        <v>0</v>
      </c>
      <c r="I150" s="299">
        <f>INDEX('Inputs (2)'!$D$15:$AL$15,MATCH(I$7,'Inputs (2)'!$D$2:$AL$2,0))</f>
        <v>30985</v>
      </c>
      <c r="J150" s="299">
        <f>INDEX('Inputs (2)'!$D$15:$AL$15,MATCH(J$7,'Inputs (2)'!$D$2:$AL$2,0))</f>
        <v>34104</v>
      </c>
      <c r="K150" s="299">
        <f>INDEX('Inputs (2)'!$D$15:$AL$15,MATCH(K$7,'Inputs (2)'!$D$2:$AL$2,0))</f>
        <v>38073</v>
      </c>
      <c r="L150" s="299">
        <f>INDEX('Inputs (2)'!$D$15:$AL$15,MATCH(L$7,'Inputs (2)'!$D$2:$AL$2,0))</f>
        <v>36970</v>
      </c>
      <c r="M150" s="266">
        <f>L150</f>
        <v>36970</v>
      </c>
      <c r="N150" s="299">
        <f>INDEX('Inputs (2)'!$D$15:$AL$15,MATCH(N$7,'Inputs (2)'!$D$2:$AL$2,0))</f>
        <v>38360</v>
      </c>
      <c r="O150" s="299">
        <f>INDEX('Inputs (2)'!$D$15:$AL$15,MATCH(O$7,'Inputs (2)'!$D$2:$AL$2,0))</f>
        <v>38970</v>
      </c>
      <c r="P150" s="299">
        <f>INDEX('Inputs (2)'!$D$15:$AL$15,MATCH(P$7,'Inputs (2)'!$D$2:$AL$2,0))</f>
        <v>35978</v>
      </c>
      <c r="Q150" s="299">
        <f>INDEX('Inputs (2)'!$D$15:$AL$15,MATCH(Q$7,'Inputs (2)'!$D$2:$AL$2,0))</f>
        <v>40246</v>
      </c>
      <c r="R150" s="266">
        <f>Q150</f>
        <v>40246</v>
      </c>
      <c r="S150" s="299">
        <f>INDEX('Inputs (2)'!$D$15:$AL$15,MATCH(S$7,'Inputs (2)'!$D$2:$AL$2,0))</f>
        <v>42074</v>
      </c>
      <c r="T150" s="299">
        <f>INDEX('Inputs (2)'!$D$15:$AL$15,MATCH(T$7,'Inputs (2)'!$D$2:$AL$2,0))</f>
        <v>45094</v>
      </c>
      <c r="U150" s="299">
        <f>INDEX('Inputs (2)'!$D$15:$AL$15,MATCH(U$7,'Inputs (2)'!$D$2:$AL$2,0))</f>
        <v>43031</v>
      </c>
      <c r="V150" s="299">
        <f>INDEX('Inputs (2)'!$D$15:$AL$15,MATCH(V$7,'Inputs (2)'!$D$2:$AL$2,0))</f>
        <v>38774</v>
      </c>
      <c r="W150" s="266">
        <f>V150</f>
        <v>38774</v>
      </c>
      <c r="X150" s="299">
        <f>INDEX('Inputs (2)'!$D$15:$AL$15,MATCH(X$7,'Inputs (2)'!$D$2:$AL$2,0))</f>
        <v>39949</v>
      </c>
      <c r="Y150" s="299">
        <f>INDEX('Inputs (2)'!$D$15:$AL$15,MATCH(Y$7,'Inputs (2)'!$D$2:$AL$2,0))</f>
        <v>38148</v>
      </c>
      <c r="Z150" s="299">
        <f>INDEX('Inputs (2)'!$D$15:$AL$15,MATCH(Z$7,'Inputs (2)'!$D$2:$AL$2,0))</f>
        <v>42252</v>
      </c>
      <c r="AA150" s="299">
        <f>INDEX('Inputs (2)'!$D$15:$AL$15,MATCH(AA$7,'Inputs (2)'!$D$2:$AL$2,0))</f>
        <v>39110</v>
      </c>
      <c r="AB150" s="266">
        <f>AA150</f>
        <v>39110</v>
      </c>
      <c r="AC150" s="299">
        <f>INDEX('Inputs (2)'!$D$15:$AL$15,MATCH(AC$7,'Inputs (2)'!$D$2:$AL$2,0))</f>
        <v>35601</v>
      </c>
      <c r="AD150" s="299">
        <f>INDEX('Inputs (2)'!$D$15:$AL$15,MATCH(AD$7,'Inputs (2)'!$D$2:$AL$2,0))</f>
        <v>32682</v>
      </c>
      <c r="AE150" s="299">
        <f>INDEX('Inputs (2)'!$D$15:$AL$15,MATCH(AE$7,'Inputs (2)'!$D$2:$AL$2,0))</f>
        <v>33053</v>
      </c>
      <c r="AF150" s="299">
        <f>INDEX('Inputs (2)'!$D$15:$AL$15,MATCH(AF$7,'Inputs (2)'!$D$2:$AL$2,0))</f>
        <v>30216</v>
      </c>
      <c r="AG150" s="266">
        <f>AF150</f>
        <v>30216</v>
      </c>
      <c r="AH150" s="266">
        <f>INDEX('Inputs (2)'!$D$15:$AL$15,MATCH(AH$7,'Inputs (2)'!$D$2:$AL$2,0))</f>
        <v>23117</v>
      </c>
      <c r="AI150" s="266">
        <f>INDEX('Inputs (2)'!$D$15:$AL$15,MATCH(AI$7,'Inputs (2)'!$D$2:$AL$2,0))</f>
        <v>31374</v>
      </c>
      <c r="AJ150" s="266">
        <f>AI150+AJ320</f>
        <v>56750</v>
      </c>
      <c r="AK150" s="266">
        <f>AJ150+AK320</f>
        <v>58441</v>
      </c>
      <c r="AL150" s="266">
        <f>AK150</f>
        <v>58441</v>
      </c>
      <c r="AM150" s="266" t="e">
        <f>AL150+AM320</f>
        <v>#DIV/0!</v>
      </c>
      <c r="AN150" s="266" t="e">
        <f>AM150+AN320</f>
        <v>#DIV/0!</v>
      </c>
      <c r="AO150" s="266" t="e">
        <f>AN150+AO320</f>
        <v>#DIV/0!</v>
      </c>
      <c r="AP150" s="266" t="e">
        <f>AO150+AP320</f>
        <v>#DIV/0!</v>
      </c>
      <c r="AQ150" s="266" t="e">
        <f>AP150</f>
        <v>#DIV/0!</v>
      </c>
      <c r="AR150" s="266" t="e">
        <f>AQ150+AR320</f>
        <v>#DIV/0!</v>
      </c>
      <c r="AS150" s="266" t="e">
        <f>AR150+AS320</f>
        <v>#DIV/0!</v>
      </c>
      <c r="AT150" s="266" t="e">
        <f>AS150+AT320</f>
        <v>#DIV/0!</v>
      </c>
      <c r="AU150" s="266" t="e">
        <f>AT150+AU320</f>
        <v>#DIV/0!</v>
      </c>
      <c r="AV150" s="266" t="e">
        <f>AU150</f>
        <v>#DIV/0!</v>
      </c>
      <c r="AW150" s="266" t="e">
        <f>AV150+AW320</f>
        <v>#DIV/0!</v>
      </c>
      <c r="AX150" s="266" t="e">
        <f>AW150+AX320</f>
        <v>#DIV/0!</v>
      </c>
      <c r="AY150" s="266" t="e">
        <f>AX150+AY320</f>
        <v>#DIV/0!</v>
      </c>
      <c r="AZ150" s="266" t="e">
        <f>AY150+AZ320</f>
        <v>#DIV/0!</v>
      </c>
      <c r="BA150" s="266" t="e">
        <f>AZ150</f>
        <v>#DIV/0!</v>
      </c>
      <c r="BB150" s="266" t="e">
        <f>BA150+BB320</f>
        <v>#DIV/0!</v>
      </c>
      <c r="BC150" s="266" t="e">
        <f>BB150+BC320</f>
        <v>#DIV/0!</v>
      </c>
      <c r="BD150" s="266" t="e">
        <f>BC150+BD320</f>
        <v>#DIV/0!</v>
      </c>
      <c r="BE150" s="266" t="e">
        <f>BD150+BE320</f>
        <v>#DIV/0!</v>
      </c>
      <c r="BF150" s="266" t="e">
        <f>BE150</f>
        <v>#DIV/0!</v>
      </c>
      <c r="BG150" s="266" t="e">
        <f>BF150+BG320</f>
        <v>#DIV/0!</v>
      </c>
      <c r="BH150" s="266" t="e">
        <f>BG150+BH320</f>
        <v>#DIV/0!</v>
      </c>
      <c r="BI150" s="266" t="e">
        <f>BH150+BI320</f>
        <v>#DIV/0!</v>
      </c>
      <c r="BJ150" s="266" t="e">
        <f>BI150+BJ320</f>
        <v>#DIV/0!</v>
      </c>
      <c r="BK150" s="266" t="e">
        <f>BJ150</f>
        <v>#DIV/0!</v>
      </c>
      <c r="BL150" s="266" t="e">
        <f>BK150+BL320</f>
        <v>#DIV/0!</v>
      </c>
      <c r="BM150" s="266" t="e">
        <f>BL150+BM320</f>
        <v>#DIV/0!</v>
      </c>
      <c r="BN150" s="266" t="e">
        <f>BM150+BN320</f>
        <v>#DIV/0!</v>
      </c>
      <c r="BO150" s="266" t="e">
        <f>BN150+BO320</f>
        <v>#DIV/0!</v>
      </c>
      <c r="BP150" s="266" t="e">
        <f>BO150</f>
        <v>#DIV/0!</v>
      </c>
      <c r="BQ150" s="266" t="e">
        <f>BP150+BQ320</f>
        <v>#DIV/0!</v>
      </c>
      <c r="BR150" s="266" t="e">
        <f>BQ150+BR320</f>
        <v>#DIV/0!</v>
      </c>
      <c r="BS150" s="266" t="e">
        <f>BR150+BS320</f>
        <v>#DIV/0!</v>
      </c>
      <c r="BT150" s="266" t="e">
        <f>BS150+BT320</f>
        <v>#DIV/0!</v>
      </c>
      <c r="BU150" s="266" t="e">
        <f>BT150</f>
        <v>#DIV/0!</v>
      </c>
      <c r="BV150" s="266" t="e">
        <f>BU150+BV320</f>
        <v>#DIV/0!</v>
      </c>
      <c r="BW150" s="266" t="e">
        <f>BV150+BW320</f>
        <v>#DIV/0!</v>
      </c>
      <c r="BX150" s="266" t="e">
        <f>BW150+BX320</f>
        <v>#DIV/0!</v>
      </c>
      <c r="BY150" s="266" t="e">
        <f>BX150+BY320</f>
        <v>#DIV/0!</v>
      </c>
      <c r="BZ150" s="266" t="e">
        <f>BY150</f>
        <v>#DIV/0!</v>
      </c>
      <c r="CA150" s="266" t="e">
        <f>BZ150+CA320</f>
        <v>#DIV/0!</v>
      </c>
      <c r="CB150" s="266" t="e">
        <f>CA150+CB320</f>
        <v>#DIV/0!</v>
      </c>
      <c r="CC150" s="266" t="e">
        <f>CB150+CC320</f>
        <v>#DIV/0!</v>
      </c>
      <c r="CD150" s="266" t="e">
        <f>CC150+CD320</f>
        <v>#DIV/0!</v>
      </c>
      <c r="CE150" s="266" t="e">
        <f>CD150</f>
        <v>#DIV/0!</v>
      </c>
      <c r="CF150" s="266" t="e">
        <f>CE150+CF320</f>
        <v>#DIV/0!</v>
      </c>
      <c r="CG150" s="266" t="e">
        <f>CF150+CG320</f>
        <v>#DIV/0!</v>
      </c>
      <c r="CH150" s="266" t="e">
        <f>CG150+CH320</f>
        <v>#DIV/0!</v>
      </c>
      <c r="CI150" s="266" t="e">
        <f>CH150+CI320</f>
        <v>#DIV/0!</v>
      </c>
      <c r="CJ150" s="266" t="e">
        <f>CI150</f>
        <v>#DIV/0!</v>
      </c>
      <c r="CK150" s="266" t="e">
        <f>CJ150+CK320</f>
        <v>#DIV/0!</v>
      </c>
      <c r="CL150" s="266" t="e">
        <f>CK150+CL320</f>
        <v>#DIV/0!</v>
      </c>
      <c r="CM150" s="266" t="e">
        <f>CL150+CM320</f>
        <v>#DIV/0!</v>
      </c>
      <c r="CN150" s="266" t="e">
        <f>CM150+CN320</f>
        <v>#DIV/0!</v>
      </c>
      <c r="CO150" s="266" t="e">
        <f>CN150</f>
        <v>#DIV/0!</v>
      </c>
      <c r="CP150" s="266" t="e">
        <f>CO150+CP320</f>
        <v>#DIV/0!</v>
      </c>
      <c r="CQ150" s="266" t="e">
        <f>CP150+CQ320</f>
        <v>#DIV/0!</v>
      </c>
      <c r="CR150" s="266" t="e">
        <f>CQ150+CR320</f>
        <v>#DIV/0!</v>
      </c>
      <c r="CS150" s="266" t="e">
        <f>CR150+CS320</f>
        <v>#DIV/0!</v>
      </c>
      <c r="CT150" s="266" t="e">
        <f>CS150</f>
        <v>#DIV/0!</v>
      </c>
      <c r="CU150" s="266" t="e">
        <f>CT150+CU320</f>
        <v>#DIV/0!</v>
      </c>
      <c r="CV150" s="266" t="e">
        <f>CU150+CV320</f>
        <v>#DIV/0!</v>
      </c>
      <c r="CW150" s="266" t="e">
        <f>CV150+CW320</f>
        <v>#DIV/0!</v>
      </c>
      <c r="CX150" s="266" t="e">
        <f>CW150+CX320</f>
        <v>#DIV/0!</v>
      </c>
      <c r="CY150" s="266" t="e">
        <f>CX150</f>
        <v>#DIV/0!</v>
      </c>
    </row>
    <row r="151" ht="12.75" customHeight="1" s="254">
      <c r="C151" s="268" t="inlineStr">
        <is>
          <t>Accounts receivable</t>
        </is>
      </c>
      <c r="D151" s="299" t="n"/>
      <c r="E151" s="299" t="n"/>
      <c r="F151" s="299" t="n"/>
      <c r="G151" s="299" t="n"/>
      <c r="H151" s="266">
        <f>G151</f>
        <v>0</v>
      </c>
      <c r="I151" s="299">
        <f>INDEX('Inputs (2)'!$D$16:$AL$16,MATCH(I$7,'Inputs (2)'!$D$2:$AL$2,0))</f>
        <v>40142</v>
      </c>
      <c r="J151" s="299">
        <f>INDEX('Inputs (2)'!$D$16:$AL$16,MATCH(J$7,'Inputs (2)'!$D$2:$AL$2,0))</f>
        <v>43694</v>
      </c>
      <c r="K151" s="299">
        <f>INDEX('Inputs (2)'!$D$16:$AL$16,MATCH(K$7,'Inputs (2)'!$D$2:$AL$2,0))</f>
        <v>46366</v>
      </c>
      <c r="L151" s="299">
        <f>INDEX('Inputs (2)'!$D$16:$AL$16,MATCH(L$7,'Inputs (2)'!$D$2:$AL$2,0))</f>
        <v>53208</v>
      </c>
      <c r="M151" s="266">
        <f>L151</f>
        <v>53208</v>
      </c>
      <c r="N151" s="299">
        <f>INDEX('Inputs (2)'!$D$16:$AL$16,MATCH(N$7,'Inputs (2)'!$D$2:$AL$2,0))</f>
        <v>63481</v>
      </c>
      <c r="O151" s="299">
        <f>INDEX('Inputs (2)'!$D$16:$AL$16,MATCH(O$7,'Inputs (2)'!$D$2:$AL$2,0))</f>
        <v>66708</v>
      </c>
      <c r="P151" s="299">
        <f>INDEX('Inputs (2)'!$D$16:$AL$16,MATCH(P$7,'Inputs (2)'!$D$2:$AL$2,0))</f>
        <v>66699</v>
      </c>
      <c r="Q151" s="299">
        <f>INDEX('Inputs (2)'!$D$16:$AL$16,MATCH(Q$7,'Inputs (2)'!$D$2:$AL$2,0))</f>
        <v>66510</v>
      </c>
      <c r="R151" s="266">
        <f>Q151</f>
        <v>66510</v>
      </c>
      <c r="S151" s="299">
        <f>INDEX('Inputs (2)'!$D$16:$AL$16,MATCH(S$7,'Inputs (2)'!$D$2:$AL$2,0))</f>
        <v>61738</v>
      </c>
      <c r="T151" s="299">
        <f>INDEX('Inputs (2)'!$D$16:$AL$16,MATCH(T$7,'Inputs (2)'!$D$2:$AL$2,0))</f>
        <v>52383</v>
      </c>
      <c r="U151" s="299">
        <f>INDEX('Inputs (2)'!$D$16:$AL$16,MATCH(U$7,'Inputs (2)'!$D$2:$AL$2,0))</f>
        <v>52077</v>
      </c>
      <c r="V151" s="299">
        <f>INDEX('Inputs (2)'!$D$16:$AL$16,MATCH(V$7,'Inputs (2)'!$D$2:$AL$2,0))</f>
        <v>53273</v>
      </c>
      <c r="W151" s="266">
        <f>V151</f>
        <v>53273</v>
      </c>
      <c r="X151" s="299">
        <f>INDEX('Inputs (2)'!$D$16:$AL$16,MATCH(X$7,'Inputs (2)'!$D$2:$AL$2,0))</f>
        <v>53178</v>
      </c>
      <c r="Y151" s="299">
        <f>INDEX('Inputs (2)'!$D$16:$AL$16,MATCH(Y$7,'Inputs (2)'!$D$2:$AL$2,0))</f>
        <v>50619</v>
      </c>
      <c r="Z151" s="299">
        <f>INDEX('Inputs (2)'!$D$16:$AL$16,MATCH(Z$7,'Inputs (2)'!$D$2:$AL$2,0))</f>
        <v>46782</v>
      </c>
      <c r="AA151" s="299">
        <f>INDEX('Inputs (2)'!$D$16:$AL$16,MATCH(AA$7,'Inputs (2)'!$D$2:$AL$2,0))</f>
        <v>45860</v>
      </c>
      <c r="AB151" s="266">
        <f>AA151</f>
        <v>45860</v>
      </c>
      <c r="AC151" s="299">
        <f>INDEX('Inputs (2)'!$D$16:$AL$16,MATCH(AC$7,'Inputs (2)'!$D$2:$AL$2,0))</f>
        <v>48247</v>
      </c>
      <c r="AD151" s="299">
        <f>INDEX('Inputs (2)'!$D$16:$AL$16,MATCH(AD$7,'Inputs (2)'!$D$2:$AL$2,0))</f>
        <v>45570</v>
      </c>
      <c r="AE151" s="299">
        <f>INDEX('Inputs (2)'!$D$16:$AL$16,MATCH(AE$7,'Inputs (2)'!$D$2:$AL$2,0))</f>
        <v>45287</v>
      </c>
      <c r="AF151" s="299">
        <f>INDEX('Inputs (2)'!$D$16:$AL$16,MATCH(AF$7,'Inputs (2)'!$D$2:$AL$2,0))</f>
        <v>44597</v>
      </c>
      <c r="AG151" s="266">
        <f>AF151</f>
        <v>44597</v>
      </c>
      <c r="AH151" s="266">
        <f>INDEX('Inputs (2)'!$D$16:$AL$16,MATCH(AH$7,'Inputs (2)'!$D$2:$AL$2,0))</f>
        <v>53891</v>
      </c>
      <c r="AI151" s="266">
        <f>INDEX('Inputs (2)'!$D$16:$AL$16,MATCH(AI$7,'Inputs (2)'!$D$2:$AL$2,0))</f>
        <v>52938</v>
      </c>
      <c r="AJ151" s="266">
        <f>(AJ152/(AJ$5-AI$5))*AJ$15</f>
        <v>0</v>
      </c>
      <c r="AK151" s="266">
        <f>(AK152/(AK$5-AJ$5))*AK$15</f>
        <v>0</v>
      </c>
      <c r="AL151" s="266">
        <f>AK151</f>
        <v>0</v>
      </c>
      <c r="AM151" s="266">
        <f>(AM152/(AM$5-AL$5))*AM$15</f>
        <v>0</v>
      </c>
      <c r="AN151" s="266">
        <f>(AN152/(AN$5-AM$5))*AN$15</f>
        <v>0</v>
      </c>
      <c r="AO151" s="266">
        <f>(AO152/(AO$5-AN$5))*AO$15</f>
        <v>0</v>
      </c>
      <c r="AP151" s="266">
        <f>(AP152/(AP$5-AO$5))*AP$15</f>
        <v>0</v>
      </c>
      <c r="AQ151" s="266">
        <f>AP151</f>
        <v>0</v>
      </c>
      <c r="AR151" s="266">
        <f>(AR152/(AR$5-AQ$5))*AR$15</f>
        <v>0</v>
      </c>
      <c r="AS151" s="266">
        <f>(AS152/(AS$5-AR$5))*AS$15</f>
        <v>0</v>
      </c>
      <c r="AT151" s="266">
        <f>(AT152/(AT$5-AS$5))*AT$15</f>
        <v>0</v>
      </c>
      <c r="AU151" s="266">
        <f>(AU152/(AU$5-AT$5))*AU$15</f>
        <v>0</v>
      </c>
      <c r="AV151" s="266">
        <f>AU151</f>
        <v>0</v>
      </c>
      <c r="AW151" s="266">
        <f>(AW152/(AW$5-AV$5))*AW$15</f>
        <v>0</v>
      </c>
      <c r="AX151" s="266">
        <f>(AX152/(AX$5-AW$5))*AX$15</f>
        <v>0</v>
      </c>
      <c r="AY151" s="266">
        <f>(AY152/(AY$5-AX$5))*AY$15</f>
        <v>0</v>
      </c>
      <c r="AZ151" s="266">
        <f>(AZ152/(AZ$5-AY$5))*AZ$15</f>
        <v>0</v>
      </c>
      <c r="BA151" s="266">
        <f>AZ151</f>
        <v>0</v>
      </c>
      <c r="BB151" s="266">
        <f>(BB152/(BB$5-BA$5))*BB$15</f>
        <v>0</v>
      </c>
      <c r="BC151" s="266">
        <f>(BC152/(BC$5-BB$5))*BC$15</f>
        <v>0</v>
      </c>
      <c r="BD151" s="266">
        <f>(BD152/(BD$5-BC$5))*BD$15</f>
        <v>0</v>
      </c>
      <c r="BE151" s="266">
        <f>(BE152/(BE$5-BD$5))*BE$15</f>
        <v>0</v>
      </c>
      <c r="BF151" s="266">
        <f>BE151</f>
        <v>0</v>
      </c>
      <c r="BG151" s="266">
        <f>(BG152/(BG$5-BF$5))*BG$15</f>
        <v>0</v>
      </c>
      <c r="BH151" s="266">
        <f>(BH152/(BH$5-BG$5))*BH$15</f>
        <v>0</v>
      </c>
      <c r="BI151" s="266">
        <f>(BI152/(BI$5-BH$5))*BI$15</f>
        <v>0</v>
      </c>
      <c r="BJ151" s="266">
        <f>(BJ152/(BJ$5-BI$5))*BJ$15</f>
        <v>0</v>
      </c>
      <c r="BK151" s="266">
        <f>BJ151</f>
        <v>0</v>
      </c>
      <c r="BL151" s="266">
        <f>(BL152/(BL$5-BK$5))*BL$15</f>
        <v>0</v>
      </c>
      <c r="BM151" s="266">
        <f>(BM152/(BM$5-BL$5))*BM$15</f>
        <v>0</v>
      </c>
      <c r="BN151" s="266">
        <f>(BN152/(BN$5-BM$5))*BN$15</f>
        <v>0</v>
      </c>
      <c r="BO151" s="266">
        <f>(BO152/(BO$5-BN$5))*BO$15</f>
        <v>0</v>
      </c>
      <c r="BP151" s="266">
        <f>BO151</f>
        <v>0</v>
      </c>
      <c r="BQ151" s="266">
        <f>(BQ152/(BQ$5-BP$5))*BQ$15</f>
        <v>0</v>
      </c>
      <c r="BR151" s="266">
        <f>(BR152/(BR$5-BQ$5))*BR$15</f>
        <v>0</v>
      </c>
      <c r="BS151" s="266">
        <f>(BS152/(BS$5-BR$5))*BS$15</f>
        <v>0</v>
      </c>
      <c r="BT151" s="266">
        <f>(BT152/(BT$5-BS$5))*BT$15</f>
        <v>0</v>
      </c>
      <c r="BU151" s="266">
        <f>BT151</f>
        <v>0</v>
      </c>
      <c r="BV151" s="266">
        <f>(BV152/(BV$5-BU$5))*BV$15</f>
        <v>0</v>
      </c>
      <c r="BW151" s="266">
        <f>(BW152/(BW$5-BV$5))*BW$15</f>
        <v>0</v>
      </c>
      <c r="BX151" s="266">
        <f>(BX152/(BX$5-BW$5))*BX$15</f>
        <v>0</v>
      </c>
      <c r="BY151" s="266">
        <f>(BY152/(BY$5-BX$5))*BY$15</f>
        <v>0</v>
      </c>
      <c r="BZ151" s="266">
        <f>BY151</f>
        <v>0</v>
      </c>
      <c r="CA151" s="266">
        <f>(CA152/(CA$5-BZ$5))*CA$15</f>
        <v>0</v>
      </c>
      <c r="CB151" s="266">
        <f>(CB152/(CB$5-CA$5))*CB$15</f>
        <v>0</v>
      </c>
      <c r="CC151" s="266">
        <f>(CC152/(CC$5-CB$5))*CC$15</f>
        <v>0</v>
      </c>
      <c r="CD151" s="266">
        <f>(CD152/(CD$5-CC$5))*CD$15</f>
        <v>0</v>
      </c>
      <c r="CE151" s="266">
        <f>CD151</f>
        <v>0</v>
      </c>
      <c r="CF151" s="266">
        <f>(CF152/(CF$5-CE$5))*CF$15</f>
        <v>0</v>
      </c>
      <c r="CG151" s="266">
        <f>(CG152/(CG$5-CF$5))*CG$15</f>
        <v>0</v>
      </c>
      <c r="CH151" s="266">
        <f>(CH152/(CH$5-CG$5))*CH$15</f>
        <v>0</v>
      </c>
      <c r="CI151" s="266">
        <f>(CI152/(CI$5-CH$5))*CI$15</f>
        <v>0</v>
      </c>
      <c r="CJ151" s="266">
        <f>CI151</f>
        <v>0</v>
      </c>
      <c r="CK151" s="266">
        <f>(CK152/(CK$5-CJ$5))*CK$15</f>
        <v>0</v>
      </c>
      <c r="CL151" s="266">
        <f>(CL152/(CL$5-CK$5))*CL$15</f>
        <v>0</v>
      </c>
      <c r="CM151" s="266">
        <f>(CM152/(CM$5-CL$5))*CM$15</f>
        <v>0</v>
      </c>
      <c r="CN151" s="266">
        <f>(CN152/(CN$5-CM$5))*CN$15</f>
        <v>0</v>
      </c>
      <c r="CO151" s="266">
        <f>CN151</f>
        <v>0</v>
      </c>
      <c r="CP151" s="266">
        <f>(CP152/(CP$5-CO$5))*CP$15</f>
        <v>0</v>
      </c>
      <c r="CQ151" s="266">
        <f>(CQ152/(CQ$5-CP$5))*CQ$15</f>
        <v>0</v>
      </c>
      <c r="CR151" s="266">
        <f>(CR152/(CR$5-CQ$5))*CR$15</f>
        <v>0</v>
      </c>
      <c r="CS151" s="266">
        <f>(CS152/(CS$5-CR$5))*CS$15</f>
        <v>0</v>
      </c>
      <c r="CT151" s="266">
        <f>CS151</f>
        <v>0</v>
      </c>
      <c r="CU151" s="266">
        <f>(CU152/(CU$5-CT$5))*CU$15</f>
        <v>0</v>
      </c>
      <c r="CV151" s="266">
        <f>(CV152/(CV$5-CU$5))*CV$15</f>
        <v>0</v>
      </c>
      <c r="CW151" s="266">
        <f>(CW152/(CW$5-CV$5))*CW$15</f>
        <v>0</v>
      </c>
      <c r="CX151" s="266">
        <f>(CX152/(CX$5-CW$5))*CX$15</f>
        <v>0</v>
      </c>
      <c r="CY151" s="266">
        <f>CX151</f>
        <v>0</v>
      </c>
    </row>
    <row r="152" hidden="1" outlineLevel="1" ht="12.75" customHeight="1" s="254">
      <c r="C152" s="310" t="inlineStr">
        <is>
          <t>DSO</t>
        </is>
      </c>
      <c r="D152" s="266" t="n"/>
      <c r="E152" s="266" t="str">
        <f>IFERROR((E151/E$15)*(E$5-D$5),"")</f>
        <v/>
      </c>
      <c r="F152" s="266" t="str">
        <f>IFERROR((F151/F$15)*(F$5-E$5),"")</f>
        <v/>
      </c>
      <c r="G152" s="266" t="str">
        <f>IFERROR((G151/G$15)*(G$5-F$5),"")</f>
        <v/>
      </c>
      <c r="H152" s="266" t="n"/>
      <c r="I152" s="266">
        <f>IFERROR((I151/I$15)*(I$5-H$5),"")</f>
        <v>64.9021827000808</v>
      </c>
      <c r="J152" s="266">
        <f>IFERROR((J151/J$15)*(J$5-I$5),"")</f>
        <v>65.7052631578947</v>
      </c>
      <c r="K152" s="266">
        <f>IFERROR((K151/K$15)*(K$5-J$5),"")</f>
        <v>71.0424355472653</v>
      </c>
      <c r="L152" s="266">
        <f>IFERROR((L151/L$15)*(L$5-K$5),"")</f>
        <v>57.4007504690432</v>
      </c>
      <c r="M152" s="266" t="n"/>
      <c r="N152" s="266">
        <f>IFERROR((N151/N$15)*(N$5-M$5),"")</f>
        <v>67.8505771697307</v>
      </c>
      <c r="O152" s="266">
        <f>IFERROR((O151/O$15)*(O$5-N$5),"")</f>
        <v>60.6684855934998</v>
      </c>
      <c r="P152" s="266">
        <f>IFERROR((P151/P$15)*(P$5-O$5),"")</f>
        <v>64.0874369445112</v>
      </c>
      <c r="Q152" s="266">
        <f>IFERROR((Q151/Q$15)*(Q$5-P$5),"")</f>
        <v>60.4021598570625</v>
      </c>
      <c r="R152" s="266" t="n"/>
      <c r="S152" s="266">
        <f>IFERROR((S151/S$15)*(S$5-R$5),"")</f>
        <v>63.8970089352453</v>
      </c>
      <c r="T152" s="266">
        <f>IFERROR((T151/T$15)*(T$5-S$5),"")</f>
        <v>63.9176834991552</v>
      </c>
      <c r="U152" s="266">
        <f>IFERROR((U151/U$15)*(U$5-T$5),"")</f>
        <v>62.7515913555992</v>
      </c>
      <c r="V152" s="266">
        <f>IFERROR((V151/V$15)*(V$5-U$5),"")</f>
        <v>62.250622364477</v>
      </c>
      <c r="W152" s="266" t="n"/>
      <c r="X152" s="266">
        <f>IFERROR((X151/X$15)*(X$5-W$5),"")</f>
        <v>66.7678192003091</v>
      </c>
      <c r="Y152" s="266">
        <f>IFERROR((Y151/Y$15)*(Y$5-X$5),"")</f>
        <v>61.8606421981387</v>
      </c>
      <c r="Z152" s="266">
        <f>IFERROR((Z151/Z$15)*(Z$5-Y$5),"")</f>
        <v>60.543037600754</v>
      </c>
      <c r="AA152" s="266">
        <f>IFERROR((AA151/AA$15)*(AA$5-Z$5),"")</f>
        <v>63.6550444320394</v>
      </c>
      <c r="AB152" s="266" t="n"/>
      <c r="AC152" s="266">
        <f>IFERROR((AC151/AC$15)*(AC$5-AB$5),"")</f>
        <v>62.7181731519196</v>
      </c>
      <c r="AD152" s="266">
        <f>IFERROR((AD151/AD$15)*(AD$5-AC$5),"")</f>
        <v>63.4019814695899</v>
      </c>
      <c r="AE152" s="266">
        <f>IFERROR((AE151/AE$15)*(AE$5-AD$5),"")</f>
        <v>61.1330975892477</v>
      </c>
      <c r="AF152" s="265">
        <f>IFERROR((AF151/AF$15)*(AF$5-AE$5),"")</f>
        <v>64.015165462687</v>
      </c>
      <c r="AG152" s="266" t="n"/>
      <c r="AH152" s="265">
        <f>IFERROR((AH151/AH$15)*(AH$5-AG$5),"")</f>
        <v>69.5956436268672</v>
      </c>
      <c r="AI152" s="265">
        <f>IFERROR((AI151/AI$15)*(AI$5-AH$5),"")</f>
        <v>50.8890180005071</v>
      </c>
      <c r="AJ152" s="265" t="n"/>
      <c r="AK152" s="265" t="n"/>
      <c r="AL152" s="266" t="n"/>
      <c r="AM152" s="265" t="n"/>
      <c r="AN152" s="265" t="n"/>
      <c r="AO152" s="265" t="n"/>
      <c r="AP152" s="265" t="n"/>
      <c r="AQ152" s="266" t="n"/>
      <c r="AR152" s="265" t="n"/>
      <c r="AS152" s="265" t="n"/>
      <c r="AT152" s="265" t="n"/>
      <c r="AU152" s="265" t="n"/>
      <c r="AV152" s="266" t="n"/>
      <c r="AW152" s="265" t="n"/>
      <c r="AX152" s="265" t="n"/>
      <c r="AY152" s="265" t="n"/>
      <c r="AZ152" s="265" t="n"/>
      <c r="BA152" s="266" t="n"/>
      <c r="BB152" s="265" t="n"/>
      <c r="BC152" s="265" t="n"/>
      <c r="BD152" s="265" t="n"/>
      <c r="BE152" s="265" t="n"/>
      <c r="BF152" s="266" t="n"/>
      <c r="BG152" s="265" t="n"/>
      <c r="BH152" s="265" t="n"/>
      <c r="BI152" s="265" t="n"/>
      <c r="BJ152" s="265" t="n"/>
      <c r="BK152" s="266" t="n"/>
      <c r="BL152" s="265" t="n"/>
      <c r="BM152" s="265" t="n"/>
      <c r="BN152" s="265" t="n"/>
      <c r="BO152" s="265" t="n"/>
      <c r="BP152" s="266" t="n"/>
      <c r="BQ152" s="265" t="n"/>
      <c r="BR152" s="265" t="n"/>
      <c r="BS152" s="265" t="n"/>
      <c r="BT152" s="265" t="n"/>
      <c r="BU152" s="266" t="n"/>
      <c r="BV152" s="265" t="n"/>
      <c r="BW152" s="265" t="n"/>
      <c r="BX152" s="265" t="n"/>
      <c r="BY152" s="265" t="n"/>
      <c r="BZ152" s="266" t="n"/>
      <c r="CA152" s="265" t="n"/>
      <c r="CB152" s="265" t="n"/>
      <c r="CC152" s="265" t="n"/>
      <c r="CD152" s="265" t="n"/>
      <c r="CE152" s="266" t="n"/>
      <c r="CF152" s="265" t="n"/>
      <c r="CG152" s="265" t="n"/>
      <c r="CH152" s="265" t="n"/>
      <c r="CI152" s="265" t="n"/>
      <c r="CJ152" s="266" t="n"/>
      <c r="CK152" s="265" t="n"/>
      <c r="CL152" s="265" t="n"/>
      <c r="CM152" s="265" t="n"/>
      <c r="CN152" s="265" t="n"/>
      <c r="CO152" s="266" t="n"/>
      <c r="CP152" s="265" t="n"/>
      <c r="CQ152" s="265" t="n"/>
      <c r="CR152" s="265" t="n"/>
      <c r="CS152" s="265" t="n"/>
      <c r="CT152" s="266" t="n"/>
      <c r="CU152" s="265" t="n"/>
      <c r="CV152" s="265" t="n"/>
      <c r="CW152" s="265" t="n"/>
      <c r="CX152" s="265" t="n"/>
      <c r="CY152" s="266" t="n"/>
    </row>
    <row r="153" hidden="1" outlineLevel="1" ht="12.75" customHeight="1" s="254">
      <c r="C153" s="310" t="n"/>
      <c r="D153" s="266" t="n"/>
      <c r="E153" s="266" t="n"/>
      <c r="F153" s="266" t="n"/>
      <c r="G153" s="266" t="n"/>
      <c r="H153" s="266" t="n"/>
      <c r="I153" s="266" t="n"/>
      <c r="J153" s="266" t="n"/>
      <c r="K153" s="266" t="n"/>
      <c r="L153" s="266" t="n"/>
      <c r="M153" s="266" t="n"/>
      <c r="N153" s="266" t="n"/>
      <c r="O153" s="266" t="n"/>
      <c r="P153" s="266" t="n"/>
      <c r="Q153" s="266" t="n"/>
      <c r="R153" s="266" t="n"/>
      <c r="S153" s="266" t="n"/>
      <c r="T153" s="266" t="n"/>
      <c r="U153" s="266" t="n"/>
      <c r="V153" s="266" t="n"/>
      <c r="W153" s="266" t="n"/>
      <c r="X153" s="266" t="n"/>
      <c r="Y153" s="266" t="n"/>
      <c r="Z153" s="266" t="n"/>
      <c r="AA153" s="266" t="n"/>
      <c r="AB153" s="266" t="n"/>
      <c r="AC153" s="266" t="n"/>
      <c r="AD153" s="266" t="n"/>
      <c r="AE153" s="266" t="n"/>
      <c r="AF153" s="266" t="n"/>
      <c r="AG153" s="266" t="n"/>
      <c r="AH153" s="266" t="n"/>
      <c r="AI153" s="266" t="n"/>
      <c r="AJ153" s="266" t="n"/>
      <c r="AK153" s="266" t="n"/>
      <c r="AL153" s="266" t="n"/>
      <c r="AM153" s="266" t="n"/>
      <c r="AN153" s="266" t="n"/>
      <c r="AO153" s="266" t="n"/>
      <c r="AP153" s="266" t="n"/>
      <c r="AQ153" s="266" t="n"/>
      <c r="AR153" s="266" t="n"/>
      <c r="AS153" s="266" t="n"/>
      <c r="AT153" s="266" t="n"/>
      <c r="AU153" s="266" t="n"/>
      <c r="AV153" s="266" t="n"/>
      <c r="AW153" s="266" t="n"/>
      <c r="AX153" s="266" t="n"/>
      <c r="AY153" s="266" t="n"/>
      <c r="AZ153" s="266" t="n"/>
      <c r="BA153" s="266" t="n"/>
      <c r="BB153" s="266" t="n"/>
      <c r="BC153" s="266" t="n"/>
      <c r="BD153" s="266" t="n"/>
      <c r="BE153" s="266" t="n"/>
      <c r="BF153" s="266" t="n"/>
      <c r="BG153" s="266" t="n"/>
      <c r="BH153" s="266" t="n"/>
      <c r="BI153" s="266" t="n"/>
      <c r="BJ153" s="266" t="n"/>
      <c r="BK153" s="266" t="n"/>
      <c r="BL153" s="266" t="n"/>
      <c r="BM153" s="266" t="n"/>
      <c r="BN153" s="266" t="n"/>
      <c r="BO153" s="266" t="n"/>
      <c r="BP153" s="266" t="n"/>
      <c r="BQ153" s="266" t="n"/>
      <c r="BR153" s="266" t="n"/>
      <c r="BS153" s="266" t="n"/>
      <c r="BT153" s="266" t="n"/>
      <c r="BU153" s="266" t="n"/>
      <c r="BV153" s="266" t="n"/>
      <c r="BW153" s="266" t="n"/>
      <c r="BX153" s="266" t="n"/>
      <c r="BY153" s="266" t="n"/>
      <c r="BZ153" s="266" t="n"/>
      <c r="CA153" s="266" t="n"/>
      <c r="CB153" s="266" t="n"/>
      <c r="CC153" s="266" t="n"/>
      <c r="CD153" s="266" t="n"/>
      <c r="CE153" s="266" t="n"/>
      <c r="CF153" s="266" t="n"/>
      <c r="CG153" s="266" t="n"/>
      <c r="CH153" s="266" t="n"/>
      <c r="CI153" s="266" t="n"/>
      <c r="CJ153" s="266" t="n"/>
      <c r="CK153" s="266" t="n"/>
      <c r="CL153" s="266" t="n"/>
      <c r="CM153" s="266" t="n"/>
      <c r="CN153" s="266" t="n"/>
      <c r="CO153" s="266" t="n"/>
      <c r="CP153" s="266" t="n"/>
      <c r="CQ153" s="266" t="n"/>
      <c r="CR153" s="266" t="n"/>
      <c r="CS153" s="266" t="n"/>
      <c r="CT153" s="266" t="n"/>
      <c r="CU153" s="266" t="n"/>
      <c r="CV153" s="266" t="n"/>
      <c r="CW153" s="266" t="n"/>
      <c r="CX153" s="266" t="n"/>
      <c r="CY153" s="266" t="n"/>
    </row>
    <row r="154" hidden="1" outlineLevel="1" ht="12.75" customHeight="1" s="254">
      <c r="C154" s="310" t="n"/>
      <c r="D154" s="266" t="n"/>
      <c r="E154" s="266" t="n"/>
      <c r="F154" s="266" t="n"/>
      <c r="G154" s="266" t="n"/>
      <c r="H154" s="266" t="n"/>
      <c r="I154" s="266" t="n"/>
      <c r="J154" s="266" t="n"/>
      <c r="K154" s="266" t="n"/>
      <c r="L154" s="266" t="n"/>
      <c r="M154" s="266" t="n"/>
      <c r="N154" s="266" t="n"/>
      <c r="O154" s="266" t="n"/>
      <c r="P154" s="266" t="n"/>
      <c r="Q154" s="266" t="n"/>
      <c r="R154" s="266" t="n"/>
      <c r="S154" s="266" t="n"/>
      <c r="T154" s="266" t="n"/>
      <c r="U154" s="266" t="n"/>
      <c r="V154" s="266" t="n"/>
      <c r="W154" s="266" t="n"/>
      <c r="X154" s="266" t="n"/>
      <c r="Y154" s="266" t="n"/>
      <c r="Z154" s="266" t="n"/>
      <c r="AA154" s="266" t="n"/>
      <c r="AB154" s="266" t="n"/>
      <c r="AC154" s="266" t="n"/>
      <c r="AD154" s="266" t="n"/>
      <c r="AE154" s="266" t="n"/>
      <c r="AF154" s="266" t="n"/>
      <c r="AG154" s="266" t="n"/>
      <c r="AH154" s="266" t="n"/>
      <c r="AI154" s="266" t="n"/>
      <c r="AJ154" s="266" t="n"/>
      <c r="AK154" s="266" t="n"/>
      <c r="AL154" s="266" t="n"/>
      <c r="AM154" s="266" t="n"/>
      <c r="AN154" s="266" t="n"/>
      <c r="AO154" s="266" t="n"/>
      <c r="AP154" s="266" t="n"/>
      <c r="AQ154" s="266" t="n"/>
      <c r="AR154" s="266" t="n"/>
      <c r="AS154" s="266" t="n"/>
      <c r="AT154" s="266" t="n"/>
      <c r="AU154" s="266" t="n"/>
      <c r="AV154" s="266" t="n"/>
      <c r="AW154" s="266" t="n"/>
      <c r="AX154" s="266" t="n"/>
      <c r="AY154" s="266" t="n"/>
      <c r="AZ154" s="266" t="n"/>
      <c r="BA154" s="266" t="n"/>
      <c r="BB154" s="266" t="n"/>
      <c r="BC154" s="266" t="n"/>
      <c r="BD154" s="266" t="n"/>
      <c r="BE154" s="266" t="n"/>
      <c r="BF154" s="266" t="n"/>
      <c r="BG154" s="266" t="n"/>
      <c r="BH154" s="266" t="n"/>
      <c r="BI154" s="266" t="n"/>
      <c r="BJ154" s="266" t="n"/>
      <c r="BK154" s="266" t="n"/>
      <c r="BL154" s="266" t="n"/>
      <c r="BM154" s="266" t="n"/>
      <c r="BN154" s="266" t="n"/>
      <c r="BO154" s="266" t="n"/>
      <c r="BP154" s="266" t="n"/>
      <c r="BQ154" s="266" t="n"/>
      <c r="BR154" s="266" t="n"/>
      <c r="BS154" s="266" t="n"/>
      <c r="BT154" s="266" t="n"/>
      <c r="BU154" s="266" t="n"/>
      <c r="BV154" s="266" t="n"/>
      <c r="BW154" s="266" t="n"/>
      <c r="BX154" s="266" t="n"/>
      <c r="BY154" s="266" t="n"/>
      <c r="BZ154" s="266" t="n"/>
      <c r="CA154" s="266" t="n"/>
      <c r="CB154" s="266" t="n"/>
      <c r="CC154" s="266" t="n"/>
      <c r="CD154" s="266" t="n"/>
      <c r="CE154" s="266" t="n"/>
      <c r="CF154" s="266" t="n"/>
      <c r="CG154" s="266" t="n"/>
      <c r="CH154" s="266" t="n"/>
      <c r="CI154" s="266" t="n"/>
      <c r="CJ154" s="266" t="n"/>
      <c r="CK154" s="266" t="n"/>
      <c r="CL154" s="266" t="n"/>
      <c r="CM154" s="266" t="n"/>
      <c r="CN154" s="266" t="n"/>
      <c r="CO154" s="266" t="n"/>
      <c r="CP154" s="266" t="n"/>
      <c r="CQ154" s="266" t="n"/>
      <c r="CR154" s="266" t="n"/>
      <c r="CS154" s="266" t="n"/>
      <c r="CT154" s="266" t="n"/>
      <c r="CU154" s="266" t="n"/>
      <c r="CV154" s="266" t="n"/>
      <c r="CW154" s="266" t="n"/>
      <c r="CX154" s="266" t="n"/>
      <c r="CY154" s="266" t="n"/>
    </row>
    <row r="155" ht="12.75" customHeight="1" s="254">
      <c r="C155" s="268" t="inlineStr">
        <is>
          <t>Inventories</t>
        </is>
      </c>
      <c r="D155" s="299" t="n"/>
      <c r="E155" s="299" t="n"/>
      <c r="F155" s="299" t="n"/>
      <c r="G155" s="299" t="n"/>
      <c r="H155" s="266">
        <f>G155</f>
        <v>0</v>
      </c>
      <c r="I155" s="299">
        <f>INDEX('Inputs (2)'!$D$17:$AL$17,MATCH(I$7,'Inputs (2)'!$D$2:$AL$2,0))</f>
        <v>22680</v>
      </c>
      <c r="J155" s="299">
        <f>INDEX('Inputs (2)'!$D$17:$AL$17,MATCH(J$7,'Inputs (2)'!$D$2:$AL$2,0))</f>
        <v>25097</v>
      </c>
      <c r="K155" s="299">
        <f>INDEX('Inputs (2)'!$D$17:$AL$17,MATCH(K$7,'Inputs (2)'!$D$2:$AL$2,0))</f>
        <v>24596</v>
      </c>
      <c r="L155" s="299">
        <f>INDEX('Inputs (2)'!$D$17:$AL$17,MATCH(L$7,'Inputs (2)'!$D$2:$AL$2,0))</f>
        <v>25258</v>
      </c>
      <c r="M155" s="266">
        <f>L155</f>
        <v>25258</v>
      </c>
      <c r="N155" s="299">
        <f>INDEX('Inputs (2)'!$D$17:$AL$17,MATCH(N$7,'Inputs (2)'!$D$2:$AL$2,0))</f>
        <v>30008</v>
      </c>
      <c r="O155" s="299">
        <f>INDEX('Inputs (2)'!$D$17:$AL$17,MATCH(O$7,'Inputs (2)'!$D$2:$AL$2,0))</f>
        <v>36087</v>
      </c>
      <c r="P155" s="299">
        <f>INDEX('Inputs (2)'!$D$17:$AL$17,MATCH(P$7,'Inputs (2)'!$D$2:$AL$2,0))</f>
        <v>34721</v>
      </c>
      <c r="Q155" s="299">
        <f>INDEX('Inputs (2)'!$D$17:$AL$17,MATCH(Q$7,'Inputs (2)'!$D$2:$AL$2,0))</f>
        <v>31894</v>
      </c>
      <c r="R155" s="266">
        <f>Q155</f>
        <v>31894</v>
      </c>
      <c r="S155" s="299">
        <f>INDEX('Inputs (2)'!$D$17:$AL$17,MATCH(S$7,'Inputs (2)'!$D$2:$AL$2,0))</f>
        <v>28579</v>
      </c>
      <c r="T155" s="299">
        <f>INDEX('Inputs (2)'!$D$17:$AL$17,MATCH(T$7,'Inputs (2)'!$D$2:$AL$2,0))</f>
        <v>26975</v>
      </c>
      <c r="U155" s="299">
        <f>INDEX('Inputs (2)'!$D$17:$AL$17,MATCH(U$7,'Inputs (2)'!$D$2:$AL$2,0))</f>
        <v>30230</v>
      </c>
      <c r="V155" s="299">
        <f>INDEX('Inputs (2)'!$D$17:$AL$17,MATCH(V$7,'Inputs (2)'!$D$2:$AL$2,0))</f>
        <v>26019</v>
      </c>
      <c r="W155" s="266">
        <f>V155</f>
        <v>26019</v>
      </c>
      <c r="X155" s="299">
        <f>INDEX('Inputs (2)'!$D$17:$AL$17,MATCH(X$7,'Inputs (2)'!$D$2:$AL$2,0))</f>
        <v>26471</v>
      </c>
      <c r="Y155" s="299">
        <f>INDEX('Inputs (2)'!$D$17:$AL$17,MATCH(Y$7,'Inputs (2)'!$D$2:$AL$2,0))</f>
        <v>26449</v>
      </c>
      <c r="Z155" s="299">
        <f>INDEX('Inputs (2)'!$D$17:$AL$17,MATCH(Z$7,'Inputs (2)'!$D$2:$AL$2,0))</f>
        <v>24143</v>
      </c>
      <c r="AA155" s="299">
        <f>INDEX('Inputs (2)'!$D$17:$AL$17,MATCH(AA$7,'Inputs (2)'!$D$2:$AL$2,0))</f>
        <v>23426</v>
      </c>
      <c r="AB155" s="266">
        <f>AA155</f>
        <v>23426</v>
      </c>
      <c r="AC155" s="299">
        <f>INDEX('Inputs (2)'!$D$17:$AL$17,MATCH(AC$7,'Inputs (2)'!$D$2:$AL$2,0))</f>
        <v>22984</v>
      </c>
      <c r="AD155" s="299">
        <f>INDEX('Inputs (2)'!$D$17:$AL$17,MATCH(AD$7,'Inputs (2)'!$D$2:$AL$2,0))</f>
        <v>23283</v>
      </c>
      <c r="AE155" s="299">
        <f>INDEX('Inputs (2)'!$D$17:$AL$17,MATCH(AE$7,'Inputs (2)'!$D$2:$AL$2,0))</f>
        <v>22913</v>
      </c>
      <c r="AF155" s="299">
        <f>INDEX('Inputs (2)'!$D$17:$AL$17,MATCH(AF$7,'Inputs (2)'!$D$2:$AL$2,0))</f>
        <v>22216</v>
      </c>
      <c r="AG155" s="266">
        <f>AF155</f>
        <v>22216</v>
      </c>
      <c r="AH155" s="266">
        <f>INDEX('Inputs (2)'!$D$17:$AL$17,MATCH(AH$7,'Inputs (2)'!$D$2:$AL$2,0))</f>
        <v>28700</v>
      </c>
      <c r="AI155" s="266">
        <f>INDEX('Inputs (2)'!$D$17:$AL$17,MATCH(AI$7,'Inputs (2)'!$D$2:$AL$2,0))</f>
        <v>26639</v>
      </c>
      <c r="AJ155" s="266">
        <f>(AJ156/(AJ$5-AI$5))*-AJ$60</f>
        <v>0</v>
      </c>
      <c r="AK155" s="266">
        <f>(AK156/(AK$5-AJ$5))*-AK$60</f>
        <v>0</v>
      </c>
      <c r="AL155" s="266">
        <f>AK155</f>
        <v>0</v>
      </c>
      <c r="AM155" s="266">
        <f>(AM156/(AM$5-AL$5))*-AM$60</f>
        <v>0</v>
      </c>
      <c r="AN155" s="266">
        <f>(AN156/(AN$5-AM$5))*-AN$60</f>
        <v>0</v>
      </c>
      <c r="AO155" s="266">
        <f>(AO156/(AO$5-AN$5))*-AO$60</f>
        <v>0</v>
      </c>
      <c r="AP155" s="266">
        <f>(AP156/(AP$5-AO$5))*-AP$60</f>
        <v>0</v>
      </c>
      <c r="AQ155" s="266">
        <f>AP155</f>
        <v>0</v>
      </c>
      <c r="AR155" s="266">
        <f>(AR156/(AR$5-AQ$5))*-AR$60</f>
        <v>0</v>
      </c>
      <c r="AS155" s="266">
        <f>(AS156/(AS$5-AR$5))*-AS$60</f>
        <v>0</v>
      </c>
      <c r="AT155" s="266">
        <f>(AT156/(AT$5-AS$5))*-AT$60</f>
        <v>0</v>
      </c>
      <c r="AU155" s="266">
        <f>(AU156/(AU$5-AT$5))*-AU$60</f>
        <v>0</v>
      </c>
      <c r="AV155" s="266">
        <f>AU155</f>
        <v>0</v>
      </c>
      <c r="AW155" s="266">
        <f>(AW156/(AW$5-AV$5))*-AW$60</f>
        <v>0</v>
      </c>
      <c r="AX155" s="266">
        <f>(AX156/(AX$5-AW$5))*-AX$60</f>
        <v>0</v>
      </c>
      <c r="AY155" s="266">
        <f>(AY156/(AY$5-AX$5))*-AY$60</f>
        <v>0</v>
      </c>
      <c r="AZ155" s="266">
        <f>(AZ156/(AZ$5-AY$5))*-AZ$60</f>
        <v>0</v>
      </c>
      <c r="BA155" s="266">
        <f>AZ155</f>
        <v>0</v>
      </c>
      <c r="BB155" s="266">
        <f>(BB156/(BB$5-BA$5))*-BB$60</f>
        <v>0</v>
      </c>
      <c r="BC155" s="266">
        <f>(BC156/(BC$5-BB$5))*-BC$60</f>
        <v>0</v>
      </c>
      <c r="BD155" s="266">
        <f>(BD156/(BD$5-BC$5))*-BD$60</f>
        <v>0</v>
      </c>
      <c r="BE155" s="266">
        <f>(BE156/(BE$5-BD$5))*-BE$60</f>
        <v>0</v>
      </c>
      <c r="BF155" s="266">
        <f>BE155</f>
        <v>0</v>
      </c>
      <c r="BG155" s="266">
        <f>(BG156/(BG$5-BF$5))*-BG$60</f>
        <v>0</v>
      </c>
      <c r="BH155" s="266">
        <f>(BH156/(BH$5-BG$5))*-BH$60</f>
        <v>0</v>
      </c>
      <c r="BI155" s="266">
        <f>(BI156/(BI$5-BH$5))*-BI$60</f>
        <v>0</v>
      </c>
      <c r="BJ155" s="266">
        <f>(BJ156/(BJ$5-BI$5))*-BJ$60</f>
        <v>0</v>
      </c>
      <c r="BK155" s="266">
        <f>BJ155</f>
        <v>0</v>
      </c>
      <c r="BL155" s="266">
        <f>(BL156/(BL$5-BK$5))*-BL$60</f>
        <v>0</v>
      </c>
      <c r="BM155" s="266">
        <f>(BM156/(BM$5-BL$5))*-BM$60</f>
        <v>0</v>
      </c>
      <c r="BN155" s="266">
        <f>(BN156/(BN$5-BM$5))*-BN$60</f>
        <v>0</v>
      </c>
      <c r="BO155" s="266">
        <f>(BO156/(BO$5-BN$5))*-BO$60</f>
        <v>0</v>
      </c>
      <c r="BP155" s="266">
        <f>BO155</f>
        <v>0</v>
      </c>
      <c r="BQ155" s="266">
        <f>(BQ156/(BQ$5-BP$5))*-BQ$60</f>
        <v>0</v>
      </c>
      <c r="BR155" s="266">
        <f>(BR156/(BR$5-BQ$5))*-BR$60</f>
        <v>0</v>
      </c>
      <c r="BS155" s="266">
        <f>(BS156/(BS$5-BR$5))*-BS$60</f>
        <v>0</v>
      </c>
      <c r="BT155" s="266">
        <f>(BT156/(BT$5-BS$5))*-BT$60</f>
        <v>0</v>
      </c>
      <c r="BU155" s="266">
        <f>BT155</f>
        <v>0</v>
      </c>
      <c r="BV155" s="266">
        <f>(BV156/(BV$5-BU$5))*-BV$60</f>
        <v>0</v>
      </c>
      <c r="BW155" s="266">
        <f>(BW156/(BW$5-BV$5))*-BW$60</f>
        <v>0</v>
      </c>
      <c r="BX155" s="266">
        <f>(BX156/(BX$5-BW$5))*-BX$60</f>
        <v>0</v>
      </c>
      <c r="BY155" s="266">
        <f>(BY156/(BY$5-BX$5))*-BY$60</f>
        <v>0</v>
      </c>
      <c r="BZ155" s="266">
        <f>BY155</f>
        <v>0</v>
      </c>
      <c r="CA155" s="266">
        <f>(CA156/(CA$5-BZ$5))*-CA$60</f>
        <v>0</v>
      </c>
      <c r="CB155" s="266">
        <f>(CB156/(CB$5-CA$5))*-CB$60</f>
        <v>0</v>
      </c>
      <c r="CC155" s="266">
        <f>(CC156/(CC$5-CB$5))*-CC$60</f>
        <v>0</v>
      </c>
      <c r="CD155" s="266">
        <f>(CD156/(CD$5-CC$5))*-CD$60</f>
        <v>0</v>
      </c>
      <c r="CE155" s="266">
        <f>CD155</f>
        <v>0</v>
      </c>
      <c r="CF155" s="266">
        <f>(CF156/(CF$5-CE$5))*-CF$60</f>
        <v>0</v>
      </c>
      <c r="CG155" s="266">
        <f>(CG156/(CG$5-CF$5))*-CG$60</f>
        <v>0</v>
      </c>
      <c r="CH155" s="266">
        <f>(CH156/(CH$5-CG$5))*-CH$60</f>
        <v>0</v>
      </c>
      <c r="CI155" s="266">
        <f>(CI156/(CI$5-CH$5))*-CI$60</f>
        <v>0</v>
      </c>
      <c r="CJ155" s="266">
        <f>CI155</f>
        <v>0</v>
      </c>
      <c r="CK155" s="266">
        <f>(CK156/(CK$5-CJ$5))*-CK$60</f>
        <v>0</v>
      </c>
      <c r="CL155" s="266">
        <f>(CL156/(CL$5-CK$5))*-CL$60</f>
        <v>0</v>
      </c>
      <c r="CM155" s="266">
        <f>(CM156/(CM$5-CL$5))*-CM$60</f>
        <v>0</v>
      </c>
      <c r="CN155" s="266">
        <f>(CN156/(CN$5-CM$5))*-CN$60</f>
        <v>0</v>
      </c>
      <c r="CO155" s="266">
        <f>CN155</f>
        <v>0</v>
      </c>
      <c r="CP155" s="266">
        <f>(CP156/(CP$5-CO$5))*-CP$60</f>
        <v>0</v>
      </c>
      <c r="CQ155" s="266">
        <f>(CQ156/(CQ$5-CP$5))*-CQ$60</f>
        <v>0</v>
      </c>
      <c r="CR155" s="266">
        <f>(CR156/(CR$5-CQ$5))*-CR$60</f>
        <v>0</v>
      </c>
      <c r="CS155" s="266">
        <f>(CS156/(CS$5-CR$5))*-CS$60</f>
        <v>0</v>
      </c>
      <c r="CT155" s="266">
        <f>CS155</f>
        <v>0</v>
      </c>
      <c r="CU155" s="266">
        <f>(CU156/(CU$5-CT$5))*-CU$60</f>
        <v>0</v>
      </c>
      <c r="CV155" s="266">
        <f>(CV156/(CV$5-CU$5))*-CV$60</f>
        <v>0</v>
      </c>
      <c r="CW155" s="266">
        <f>(CW156/(CW$5-CV$5))*-CW$60</f>
        <v>0</v>
      </c>
      <c r="CX155" s="266">
        <f>(CX156/(CX$5-CW$5))*-CX$60</f>
        <v>0</v>
      </c>
      <c r="CY155" s="266">
        <f>CX155</f>
        <v>0</v>
      </c>
    </row>
    <row r="156" hidden="1" outlineLevel="1" ht="12.75" customHeight="1" s="254">
      <c r="C156" s="310" t="inlineStr">
        <is>
          <t>DIO</t>
        </is>
      </c>
      <c r="D156" s="266" t="n"/>
      <c r="E156" s="266" t="str">
        <f>IFERROR(((E155/E$60)*(E$5-D$5))*-1,"")</f>
        <v/>
      </c>
      <c r="F156" s="266" t="str">
        <f>IFERROR(((F155/F$60)*(F$5-E$5))*-1,"")</f>
        <v/>
      </c>
      <c r="G156" s="266" t="str">
        <f>IFERROR(((G155/G$60)*(G$5-F$5))*-1,"")</f>
        <v/>
      </c>
      <c r="H156" s="266" t="n"/>
      <c r="I156" s="266">
        <f>IFERROR(((I155/I$60)*(I$5-H$5))*-1,"")</f>
        <v>59.3907300183305</v>
      </c>
      <c r="J156" s="266">
        <f>IFERROR(((J155/J$60)*(J$5-I$5))*-1,"")</f>
        <v>57.5025052244631</v>
      </c>
      <c r="K156" s="266">
        <f>IFERROR(((K155/K$60)*(K$5-J$5))*-1,"")</f>
        <v>51.1258924536828</v>
      </c>
      <c r="L156" s="266">
        <f>IFERROR(((L155/L$60)*(L$5-K$5))*-1,"")</f>
        <v>41.0800834423505</v>
      </c>
      <c r="M156" s="266" t="n"/>
      <c r="N156" s="266">
        <f>IFERROR(((N155/N$60)*(N$5-M$5))*-1,"")</f>
        <v>48.5243545286307</v>
      </c>
      <c r="O156" s="266">
        <f>IFERROR(((O155/O$60)*(O$5-N$5))*-1,"")</f>
        <v>49.2651594707312</v>
      </c>
      <c r="P156" s="266">
        <f>IFERROR(((P155/P$60)*(P$5-O$5))*-1,"")</f>
        <v>45.1917265576368</v>
      </c>
      <c r="Q156" s="266">
        <f>IFERROR(((Q155/Q$60)*(Q$5-P$5))*-1,"")</f>
        <v>44.8052039273771</v>
      </c>
      <c r="R156" s="266" t="n"/>
      <c r="S156" s="266">
        <f>IFERROR(((S155/S$60)*(S$5-R$5))*-1,"")</f>
        <v>44.7307919724531</v>
      </c>
      <c r="T156" s="266">
        <f>IFERROR(((T155/T$60)*(T$5-S$5))*-1,"")</f>
        <v>47.6719684611202</v>
      </c>
      <c r="U156" s="266">
        <f>IFERROR(((U155/U$60)*(U$5-T$5))*-1,"")</f>
        <v>56.5920559986977</v>
      </c>
      <c r="V156" s="266">
        <f>IFERROR(((V155/V$60)*(V$5-U$5))*-1,"")</f>
        <v>43.7254178463787</v>
      </c>
      <c r="W156" s="266" t="n"/>
      <c r="X156" s="266">
        <f>IFERROR(((X155/X$60)*(X$5-W$5))*-1,"")</f>
        <v>51.3978065589861</v>
      </c>
      <c r="Y156" s="266">
        <f>IFERROR(((Y155/Y$60)*(Y$5-X$5))*-1,"")</f>
        <v>48.705081247344</v>
      </c>
      <c r="Z156" s="266">
        <f>IFERROR(((Z155/Z$60)*(Z$5-Y$5))*-1,"")</f>
        <v>46.0581855883878</v>
      </c>
      <c r="AA156" s="266">
        <f>IFERROR(((AA155/AA$60)*(AA$5-Z$5))*-1,"")</f>
        <v>49.4196743866086</v>
      </c>
      <c r="AB156" s="266" t="n"/>
      <c r="AC156" s="266">
        <f>IFERROR(((AC155/AC$60)*(AC$5-AB$5))*-1,"")</f>
        <v>45.1167964404894</v>
      </c>
      <c r="AD156" s="266">
        <f>IFERROR(((AD155/AD$60)*(AD$5-AC$5))*-1,"")</f>
        <v>48.0453751785755</v>
      </c>
      <c r="AE156" s="266">
        <f>IFERROR(((AE155/AE$60)*(AE$5-AD$5))*-1,"")</f>
        <v>46.6938974415771</v>
      </c>
      <c r="AF156" s="265">
        <f>IFERROR(((AF155/AF$60)*(AF$5-AE$5))*-1,"")</f>
        <v>48.5457222934778</v>
      </c>
      <c r="AG156" s="266" t="n"/>
      <c r="AH156" s="265">
        <f>IFERROR(((AH155/AH$60)*(AH$5-AG$5))*-1,"")</f>
        <v>57.6884422110553</v>
      </c>
      <c r="AI156" s="265">
        <f>IFERROR(((AI155/AI$60)*(AI$5-AH$5))*-1,"")</f>
        <v>37.5662327599566</v>
      </c>
      <c r="AJ156" s="265" t="n"/>
      <c r="AK156" s="265" t="n"/>
      <c r="AL156" s="266" t="n"/>
      <c r="AM156" s="265" t="n"/>
      <c r="AN156" s="265" t="n"/>
      <c r="AO156" s="265" t="n"/>
      <c r="AP156" s="265" t="n"/>
      <c r="AQ156" s="266" t="n"/>
      <c r="AR156" s="265" t="n"/>
      <c r="AS156" s="265" t="n"/>
      <c r="AT156" s="265" t="n"/>
      <c r="AU156" s="265" t="n"/>
      <c r="AV156" s="266" t="n"/>
      <c r="AW156" s="265" t="n"/>
      <c r="AX156" s="265" t="n"/>
      <c r="AY156" s="265" t="n"/>
      <c r="AZ156" s="265" t="n"/>
      <c r="BA156" s="266" t="n"/>
      <c r="BB156" s="265" t="n"/>
      <c r="BC156" s="265" t="n"/>
      <c r="BD156" s="265" t="n"/>
      <c r="BE156" s="265" t="n"/>
      <c r="BF156" s="266" t="n"/>
      <c r="BG156" s="265" t="n"/>
      <c r="BH156" s="265" t="n"/>
      <c r="BI156" s="265" t="n"/>
      <c r="BJ156" s="265" t="n"/>
      <c r="BK156" s="266" t="n"/>
      <c r="BL156" s="265" t="n"/>
      <c r="BM156" s="265" t="n"/>
      <c r="BN156" s="265" t="n"/>
      <c r="BO156" s="265" t="n"/>
      <c r="BP156" s="266" t="n"/>
      <c r="BQ156" s="265" t="n"/>
      <c r="BR156" s="265" t="n"/>
      <c r="BS156" s="265" t="n"/>
      <c r="BT156" s="265" t="n"/>
      <c r="BU156" s="266" t="n"/>
      <c r="BV156" s="265" t="n"/>
      <c r="BW156" s="265" t="n"/>
      <c r="BX156" s="265" t="n"/>
      <c r="BY156" s="265" t="n"/>
      <c r="BZ156" s="266" t="n"/>
      <c r="CA156" s="265" t="n"/>
      <c r="CB156" s="265" t="n"/>
      <c r="CC156" s="265" t="n"/>
      <c r="CD156" s="265" t="n"/>
      <c r="CE156" s="266" t="n"/>
      <c r="CF156" s="265" t="n"/>
      <c r="CG156" s="265" t="n"/>
      <c r="CH156" s="265" t="n"/>
      <c r="CI156" s="265" t="n"/>
      <c r="CJ156" s="266" t="n"/>
      <c r="CK156" s="265" t="n"/>
      <c r="CL156" s="265" t="n"/>
      <c r="CM156" s="265" t="n"/>
      <c r="CN156" s="265" t="n"/>
      <c r="CO156" s="266" t="n"/>
      <c r="CP156" s="265" t="n"/>
      <c r="CQ156" s="265" t="n"/>
      <c r="CR156" s="265" t="n"/>
      <c r="CS156" s="265" t="n"/>
      <c r="CT156" s="266" t="n"/>
      <c r="CU156" s="265" t="n"/>
      <c r="CV156" s="265" t="n"/>
      <c r="CW156" s="265" t="n"/>
      <c r="CX156" s="265" t="n"/>
      <c r="CY156" s="266" t="n"/>
    </row>
    <row r="157" hidden="1" outlineLevel="1" ht="12.75" customHeight="1" s="254">
      <c r="C157" s="310" t="n"/>
      <c r="D157" s="266" t="n"/>
      <c r="E157" s="266" t="n"/>
      <c r="F157" s="266" t="n"/>
      <c r="G157" s="266" t="n"/>
      <c r="H157" s="266" t="n"/>
      <c r="I157" s="266" t="n"/>
      <c r="J157" s="266" t="n"/>
      <c r="K157" s="266" t="n"/>
      <c r="L157" s="266" t="n"/>
      <c r="M157" s="266" t="n"/>
      <c r="N157" s="266" t="n"/>
      <c r="O157" s="266" t="n"/>
      <c r="P157" s="266" t="n"/>
      <c r="Q157" s="266" t="n"/>
      <c r="R157" s="266" t="n"/>
      <c r="S157" s="266" t="n"/>
      <c r="T157" s="266" t="n"/>
      <c r="U157" s="266" t="n"/>
      <c r="V157" s="266" t="n"/>
      <c r="W157" s="266" t="n"/>
      <c r="X157" s="266" t="n"/>
      <c r="Y157" s="266" t="n"/>
      <c r="Z157" s="266" t="n"/>
      <c r="AA157" s="266" t="n"/>
      <c r="AB157" s="266" t="n"/>
      <c r="AC157" s="266" t="n"/>
      <c r="AD157" s="266" t="n"/>
      <c r="AE157" s="266" t="n"/>
      <c r="AF157" s="266" t="n"/>
      <c r="AG157" s="266" t="n"/>
      <c r="AH157" s="266" t="n"/>
      <c r="AI157" s="266" t="n"/>
      <c r="AJ157" s="266" t="n"/>
      <c r="AK157" s="266" t="n"/>
      <c r="AL157" s="266" t="n"/>
      <c r="AM157" s="266" t="n"/>
      <c r="AN157" s="266" t="n"/>
      <c r="AO157" s="266" t="n"/>
      <c r="AP157" s="266" t="n"/>
      <c r="AQ157" s="266" t="n"/>
      <c r="AR157" s="266" t="n"/>
      <c r="AS157" s="266" t="n"/>
      <c r="AT157" s="266" t="n"/>
      <c r="AU157" s="266" t="n"/>
      <c r="AV157" s="266" t="n"/>
      <c r="AW157" s="266" t="n"/>
      <c r="AX157" s="266" t="n"/>
      <c r="AY157" s="266" t="n"/>
      <c r="AZ157" s="266" t="n"/>
      <c r="BA157" s="266" t="n"/>
      <c r="BB157" s="266" t="n"/>
      <c r="BC157" s="266" t="n"/>
      <c r="BD157" s="266" t="n"/>
      <c r="BE157" s="266" t="n"/>
      <c r="BF157" s="266" t="n"/>
      <c r="BG157" s="266" t="n"/>
      <c r="BH157" s="266" t="n"/>
      <c r="BI157" s="266" t="n"/>
      <c r="BJ157" s="266" t="n"/>
      <c r="BK157" s="266" t="n"/>
      <c r="BL157" s="266" t="n"/>
      <c r="BM157" s="266" t="n"/>
      <c r="BN157" s="266" t="n"/>
      <c r="BO157" s="266" t="n"/>
      <c r="BP157" s="266" t="n"/>
      <c r="BQ157" s="266" t="n"/>
      <c r="BR157" s="266" t="n"/>
      <c r="BS157" s="266" t="n"/>
      <c r="BT157" s="266" t="n"/>
      <c r="BU157" s="266" t="n"/>
      <c r="BV157" s="266" t="n"/>
      <c r="BW157" s="266" t="n"/>
      <c r="BX157" s="266" t="n"/>
      <c r="BY157" s="266" t="n"/>
      <c r="BZ157" s="266" t="n"/>
      <c r="CA157" s="266" t="n"/>
      <c r="CB157" s="266" t="n"/>
      <c r="CC157" s="266" t="n"/>
      <c r="CD157" s="266" t="n"/>
      <c r="CE157" s="266" t="n"/>
      <c r="CF157" s="266" t="n"/>
      <c r="CG157" s="266" t="n"/>
      <c r="CH157" s="266" t="n"/>
      <c r="CI157" s="266" t="n"/>
      <c r="CJ157" s="266" t="n"/>
      <c r="CK157" s="266" t="n"/>
      <c r="CL157" s="266" t="n"/>
      <c r="CM157" s="266" t="n"/>
      <c r="CN157" s="266" t="n"/>
      <c r="CO157" s="266" t="n"/>
      <c r="CP157" s="266" t="n"/>
      <c r="CQ157" s="266" t="n"/>
      <c r="CR157" s="266" t="n"/>
      <c r="CS157" s="266" t="n"/>
      <c r="CT157" s="266" t="n"/>
      <c r="CU157" s="266" t="n"/>
      <c r="CV157" s="266" t="n"/>
      <c r="CW157" s="266" t="n"/>
      <c r="CX157" s="266" t="n"/>
      <c r="CY157" s="266" t="n"/>
    </row>
    <row r="158" hidden="1" outlineLevel="1" ht="12.75" customHeight="1" s="254">
      <c r="C158" s="310" t="n"/>
      <c r="D158" s="266" t="n"/>
      <c r="E158" s="266" t="n"/>
      <c r="F158" s="266" t="n"/>
      <c r="G158" s="266" t="n"/>
      <c r="H158" s="266" t="n"/>
      <c r="I158" s="266" t="n"/>
      <c r="J158" s="266" t="n"/>
      <c r="K158" s="266" t="n"/>
      <c r="L158" s="266" t="n"/>
      <c r="M158" s="266" t="n"/>
      <c r="N158" s="266" t="n"/>
      <c r="O158" s="266" t="n"/>
      <c r="P158" s="266" t="n"/>
      <c r="Q158" s="266" t="n"/>
      <c r="R158" s="266" t="n"/>
      <c r="S158" s="266" t="n"/>
      <c r="T158" s="266" t="n"/>
      <c r="U158" s="266" t="n"/>
      <c r="V158" s="266" t="n"/>
      <c r="W158" s="266" t="n"/>
      <c r="X158" s="266" t="n"/>
      <c r="Y158" s="266" t="n"/>
      <c r="Z158" s="266" t="n"/>
      <c r="AA158" s="266" t="n"/>
      <c r="AB158" s="266" t="n"/>
      <c r="AC158" s="266" t="n"/>
      <c r="AD158" s="266" t="n"/>
      <c r="AE158" s="266" t="n"/>
      <c r="AF158" s="266" t="n"/>
      <c r="AG158" s="266" t="n"/>
      <c r="AH158" s="266" t="n"/>
      <c r="AI158" s="266" t="n"/>
      <c r="AJ158" s="266" t="n"/>
      <c r="AK158" s="266" t="n"/>
      <c r="AL158" s="266" t="n"/>
      <c r="AM158" s="266" t="n"/>
      <c r="AN158" s="266" t="n"/>
      <c r="AO158" s="266" t="n"/>
      <c r="AP158" s="266" t="n"/>
      <c r="AQ158" s="266" t="n"/>
      <c r="AR158" s="266" t="n"/>
      <c r="AS158" s="266" t="n"/>
      <c r="AT158" s="266" t="n"/>
      <c r="AU158" s="266" t="n"/>
      <c r="AV158" s="266" t="n"/>
      <c r="AW158" s="266" t="n"/>
      <c r="AX158" s="266" t="n"/>
      <c r="AY158" s="266" t="n"/>
      <c r="AZ158" s="266" t="n"/>
      <c r="BA158" s="266" t="n"/>
      <c r="BB158" s="266" t="n"/>
      <c r="BC158" s="266" t="n"/>
      <c r="BD158" s="266" t="n"/>
      <c r="BE158" s="266" t="n"/>
      <c r="BF158" s="266" t="n"/>
      <c r="BG158" s="266" t="n"/>
      <c r="BH158" s="266" t="n"/>
      <c r="BI158" s="266" t="n"/>
      <c r="BJ158" s="266" t="n"/>
      <c r="BK158" s="266" t="n"/>
      <c r="BL158" s="266" t="n"/>
      <c r="BM158" s="266" t="n"/>
      <c r="BN158" s="266" t="n"/>
      <c r="BO158" s="266" t="n"/>
      <c r="BP158" s="266" t="n"/>
      <c r="BQ158" s="266" t="n"/>
      <c r="BR158" s="266" t="n"/>
      <c r="BS158" s="266" t="n"/>
      <c r="BT158" s="266" t="n"/>
      <c r="BU158" s="266" t="n"/>
      <c r="BV158" s="266" t="n"/>
      <c r="BW158" s="266" t="n"/>
      <c r="BX158" s="266" t="n"/>
      <c r="BY158" s="266" t="n"/>
      <c r="BZ158" s="266" t="n"/>
      <c r="CA158" s="266" t="n"/>
      <c r="CB158" s="266" t="n"/>
      <c r="CC158" s="266" t="n"/>
      <c r="CD158" s="266" t="n"/>
      <c r="CE158" s="266" t="n"/>
      <c r="CF158" s="266" t="n"/>
      <c r="CG158" s="266" t="n"/>
      <c r="CH158" s="266" t="n"/>
      <c r="CI158" s="266" t="n"/>
      <c r="CJ158" s="266" t="n"/>
      <c r="CK158" s="266" t="n"/>
      <c r="CL158" s="266" t="n"/>
      <c r="CM158" s="266" t="n"/>
      <c r="CN158" s="266" t="n"/>
      <c r="CO158" s="266" t="n"/>
      <c r="CP158" s="266" t="n"/>
      <c r="CQ158" s="266" t="n"/>
      <c r="CR158" s="266" t="n"/>
      <c r="CS158" s="266" t="n"/>
      <c r="CT158" s="266" t="n"/>
      <c r="CU158" s="266" t="n"/>
      <c r="CV158" s="266" t="n"/>
      <c r="CW158" s="266" t="n"/>
      <c r="CX158" s="266" t="n"/>
      <c r="CY158" s="266" t="n"/>
    </row>
    <row r="159" ht="12.75" customHeight="1" s="254">
      <c r="C159" s="268" t="inlineStr">
        <is>
          <t>Deferred income taxes</t>
        </is>
      </c>
      <c r="D159" s="299" t="n"/>
      <c r="E159" s="299" t="n"/>
      <c r="F159" s="299" t="n"/>
      <c r="G159" s="299" t="n"/>
      <c r="H159" s="266">
        <f>G159</f>
        <v>0</v>
      </c>
      <c r="I159" s="299">
        <f>INDEX('Inputs (2)'!$D$18:$AL$18,MATCH(I$7,'Inputs (2)'!$D$2:$AL$2,0))</f>
        <v>13871</v>
      </c>
      <c r="J159" s="299">
        <f>INDEX('Inputs (2)'!$D$18:$AL$18,MATCH(J$7,'Inputs (2)'!$D$2:$AL$2,0))</f>
        <v>14392</v>
      </c>
      <c r="K159" s="299">
        <f>INDEX('Inputs (2)'!$D$18:$AL$18,MATCH(K$7,'Inputs (2)'!$D$2:$AL$2,0))</f>
        <v>14542</v>
      </c>
      <c r="L159" s="299">
        <f>INDEX('Inputs (2)'!$D$18:$AL$18,MATCH(L$7,'Inputs (2)'!$D$2:$AL$2,0))</f>
        <v>12426</v>
      </c>
      <c r="M159" s="266">
        <f>L159</f>
        <v>12426</v>
      </c>
      <c r="N159" s="299">
        <f>INDEX('Inputs (2)'!$D$18:$AL$18,MATCH(N$7,'Inputs (2)'!$D$2:$AL$2,0))</f>
        <v>11420</v>
      </c>
      <c r="O159" s="299">
        <f>INDEX('Inputs (2)'!$D$18:$AL$18,MATCH(O$7,'Inputs (2)'!$D$2:$AL$2,0))</f>
        <v>8575</v>
      </c>
      <c r="P159" s="299">
        <f>INDEX('Inputs (2)'!$D$18:$AL$18,MATCH(P$7,'Inputs (2)'!$D$2:$AL$2,0))</f>
        <v>7885</v>
      </c>
      <c r="Q159" s="299">
        <f>INDEX('Inputs (2)'!$D$18:$AL$18,MATCH(Q$7,'Inputs (2)'!$D$2:$AL$2,0))</f>
        <v>7815</v>
      </c>
      <c r="R159" s="266">
        <f>Q159</f>
        <v>7815</v>
      </c>
      <c r="S159" s="299">
        <f>INDEX('Inputs (2)'!$D$18:$AL$18,MATCH(S$7,'Inputs (2)'!$D$2:$AL$2,0))</f>
        <v>6716</v>
      </c>
      <c r="T159" s="299">
        <f>INDEX('Inputs (2)'!$D$18:$AL$18,MATCH(T$7,'Inputs (2)'!$D$2:$AL$2,0))</f>
        <v>6238</v>
      </c>
      <c r="U159" s="299">
        <f>INDEX('Inputs (2)'!$D$18:$AL$18,MATCH(U$7,'Inputs (2)'!$D$2:$AL$2,0))</f>
        <v>5537</v>
      </c>
      <c r="V159" s="299">
        <f>INDEX('Inputs (2)'!$D$18:$AL$18,MATCH(V$7,'Inputs (2)'!$D$2:$AL$2,0))</f>
        <v>6454</v>
      </c>
      <c r="W159" s="266">
        <f>V159</f>
        <v>6454</v>
      </c>
      <c r="X159" s="299">
        <f>INDEX('Inputs (2)'!$D$18:$AL$18,MATCH(X$7,'Inputs (2)'!$D$2:$AL$2,0))</f>
        <v>6217</v>
      </c>
      <c r="Y159" s="299">
        <f>INDEX('Inputs (2)'!$D$18:$AL$18,MATCH(Y$7,'Inputs (2)'!$D$2:$AL$2,0))</f>
        <v>5888</v>
      </c>
      <c r="Z159" s="299">
        <f>INDEX('Inputs (2)'!$D$18:$AL$18,MATCH(Z$7,'Inputs (2)'!$D$2:$AL$2,0))</f>
        <v>6114</v>
      </c>
      <c r="AA159" s="299">
        <f>INDEX('Inputs (2)'!$D$18:$AL$18,MATCH(AA$7,'Inputs (2)'!$D$2:$AL$2,0))</f>
        <v>6857</v>
      </c>
      <c r="AB159" s="266">
        <f>AA159</f>
        <v>6857</v>
      </c>
      <c r="AC159" s="299">
        <f>INDEX('Inputs (2)'!$D$18:$AL$18,MATCH(AC$7,'Inputs (2)'!$D$2:$AL$2,0))</f>
        <v>6989</v>
      </c>
      <c r="AD159" s="299">
        <f>INDEX('Inputs (2)'!$D$18:$AL$18,MATCH(AD$7,'Inputs (2)'!$D$2:$AL$2,0))</f>
        <v>7524</v>
      </c>
      <c r="AE159" s="299">
        <f>INDEX('Inputs (2)'!$D$18:$AL$18,MATCH(AE$7,'Inputs (2)'!$D$2:$AL$2,0))</f>
        <v>8088</v>
      </c>
      <c r="AF159" s="299">
        <f>INDEX('Inputs (2)'!$D$18:$AL$18,MATCH(AF$7,'Inputs (2)'!$D$2:$AL$2,0))</f>
        <v>8173</v>
      </c>
      <c r="AG159" s="266">
        <f>AF159</f>
        <v>8173</v>
      </c>
      <c r="AH159" s="266">
        <f>INDEX('Inputs (2)'!$D$18:$AL$18,MATCH(AH$7,'Inputs (2)'!$D$2:$AL$2,0))</f>
        <v>7474</v>
      </c>
      <c r="AI159" s="266">
        <f>INDEX('Inputs (2)'!$D$18:$AL$18,MATCH(AI$7,'Inputs (2)'!$D$2:$AL$2,0))</f>
        <v>6606</v>
      </c>
      <c r="AJ159" s="266">
        <f>AI159</f>
        <v>6606</v>
      </c>
      <c r="AK159" s="266">
        <f>AJ159</f>
        <v>6606</v>
      </c>
      <c r="AL159" s="266">
        <f>AK159</f>
        <v>6606</v>
      </c>
      <c r="AM159" s="266">
        <f>AL159</f>
        <v>6606</v>
      </c>
      <c r="AN159" s="266">
        <f>AM159</f>
        <v>6606</v>
      </c>
      <c r="AO159" s="266">
        <f>AN159</f>
        <v>6606</v>
      </c>
      <c r="AP159" s="266">
        <f>AO159</f>
        <v>6606</v>
      </c>
      <c r="AQ159" s="266">
        <f>AP159</f>
        <v>6606</v>
      </c>
      <c r="AR159" s="266">
        <f>AQ159</f>
        <v>6606</v>
      </c>
      <c r="AS159" s="266">
        <f>AR159</f>
        <v>6606</v>
      </c>
      <c r="AT159" s="266">
        <f>AS159</f>
        <v>6606</v>
      </c>
      <c r="AU159" s="266">
        <f>AT159</f>
        <v>6606</v>
      </c>
      <c r="AV159" s="266">
        <f>AU159</f>
        <v>6606</v>
      </c>
      <c r="AW159" s="266">
        <f>AV159</f>
        <v>6606</v>
      </c>
      <c r="AX159" s="266">
        <f>AW159</f>
        <v>6606</v>
      </c>
      <c r="AY159" s="266">
        <f>AX159</f>
        <v>6606</v>
      </c>
      <c r="AZ159" s="266">
        <f>AY159</f>
        <v>6606</v>
      </c>
      <c r="BA159" s="266">
        <f>AZ159</f>
        <v>6606</v>
      </c>
      <c r="BB159" s="266">
        <f>BA159</f>
        <v>6606</v>
      </c>
      <c r="BC159" s="266">
        <f>BB159</f>
        <v>6606</v>
      </c>
      <c r="BD159" s="266">
        <f>BC159</f>
        <v>6606</v>
      </c>
      <c r="BE159" s="266">
        <f>BD159</f>
        <v>6606</v>
      </c>
      <c r="BF159" s="266">
        <f>BE159</f>
        <v>6606</v>
      </c>
      <c r="BG159" s="266">
        <f>BF159</f>
        <v>6606</v>
      </c>
      <c r="BH159" s="266">
        <f>BG159</f>
        <v>6606</v>
      </c>
      <c r="BI159" s="266">
        <f>BH159</f>
        <v>6606</v>
      </c>
      <c r="BJ159" s="266">
        <f>BI159</f>
        <v>6606</v>
      </c>
      <c r="BK159" s="266">
        <f>BJ159</f>
        <v>6606</v>
      </c>
      <c r="BL159" s="266">
        <f>BK159</f>
        <v>6606</v>
      </c>
      <c r="BM159" s="266">
        <f>BL159</f>
        <v>6606</v>
      </c>
      <c r="BN159" s="266">
        <f>BM159</f>
        <v>6606</v>
      </c>
      <c r="BO159" s="266">
        <f>BN159</f>
        <v>6606</v>
      </c>
      <c r="BP159" s="266">
        <f>BO159</f>
        <v>6606</v>
      </c>
      <c r="BQ159" s="266">
        <f>BP159</f>
        <v>6606</v>
      </c>
      <c r="BR159" s="266">
        <f>BQ159</f>
        <v>6606</v>
      </c>
      <c r="BS159" s="266">
        <f>BR159</f>
        <v>6606</v>
      </c>
      <c r="BT159" s="266">
        <f>BS159</f>
        <v>6606</v>
      </c>
      <c r="BU159" s="266">
        <f>BT159</f>
        <v>6606</v>
      </c>
      <c r="BV159" s="266">
        <f>BU159</f>
        <v>6606</v>
      </c>
      <c r="BW159" s="266">
        <f>BV159</f>
        <v>6606</v>
      </c>
      <c r="BX159" s="266">
        <f>BW159</f>
        <v>6606</v>
      </c>
      <c r="BY159" s="266">
        <f>BX159</f>
        <v>6606</v>
      </c>
      <c r="BZ159" s="266">
        <f>BY159</f>
        <v>6606</v>
      </c>
      <c r="CA159" s="266">
        <f>BZ159</f>
        <v>6606</v>
      </c>
      <c r="CB159" s="266">
        <f>CA159</f>
        <v>6606</v>
      </c>
      <c r="CC159" s="266">
        <f>CB159</f>
        <v>6606</v>
      </c>
      <c r="CD159" s="266">
        <f>CC159</f>
        <v>6606</v>
      </c>
      <c r="CE159" s="266">
        <f>CD159</f>
        <v>6606</v>
      </c>
      <c r="CF159" s="266">
        <f>CE159</f>
        <v>6606</v>
      </c>
      <c r="CG159" s="266">
        <f>CF159</f>
        <v>6606</v>
      </c>
      <c r="CH159" s="266">
        <f>CG159</f>
        <v>6606</v>
      </c>
      <c r="CI159" s="266">
        <f>CH159</f>
        <v>6606</v>
      </c>
      <c r="CJ159" s="266">
        <f>CI159</f>
        <v>6606</v>
      </c>
      <c r="CK159" s="266">
        <f>CJ159</f>
        <v>6606</v>
      </c>
      <c r="CL159" s="266">
        <f>CK159</f>
        <v>6606</v>
      </c>
      <c r="CM159" s="266">
        <f>CL159</f>
        <v>6606</v>
      </c>
      <c r="CN159" s="266">
        <f>CM159</f>
        <v>6606</v>
      </c>
      <c r="CO159" s="266">
        <f>CN159</f>
        <v>6606</v>
      </c>
      <c r="CP159" s="266">
        <f>CO159</f>
        <v>6606</v>
      </c>
      <c r="CQ159" s="266">
        <f>CP159</f>
        <v>6606</v>
      </c>
      <c r="CR159" s="266">
        <f>CQ159</f>
        <v>6606</v>
      </c>
      <c r="CS159" s="266">
        <f>CR159</f>
        <v>6606</v>
      </c>
      <c r="CT159" s="266">
        <f>CS159</f>
        <v>6606</v>
      </c>
      <c r="CU159" s="266">
        <f>CT159</f>
        <v>6606</v>
      </c>
      <c r="CV159" s="266">
        <f>CU159</f>
        <v>6606</v>
      </c>
      <c r="CW159" s="266">
        <f>CV159</f>
        <v>6606</v>
      </c>
      <c r="CX159" s="266">
        <f>CW159</f>
        <v>6606</v>
      </c>
      <c r="CY159" s="266">
        <f>CX159</f>
        <v>6606</v>
      </c>
    </row>
    <row r="160" ht="12.75" customHeight="1" s="254">
      <c r="C160" s="268" t="inlineStr">
        <is>
          <t>Prepaid expenses</t>
        </is>
      </c>
      <c r="D160" s="299" t="n"/>
      <c r="E160" s="299" t="n"/>
      <c r="F160" s="299" t="n"/>
      <c r="G160" s="299" t="n"/>
      <c r="H160" s="266">
        <f>G160</f>
        <v>0</v>
      </c>
      <c r="I160" s="299" t="n"/>
      <c r="J160" s="299" t="n"/>
      <c r="K160" s="299" t="n"/>
      <c r="L160" s="299" t="n"/>
      <c r="M160" s="266">
        <f>L160</f>
        <v>0</v>
      </c>
      <c r="N160" s="299" t="n"/>
      <c r="O160" s="299" t="n"/>
      <c r="P160" s="299" t="n"/>
      <c r="Q160" s="299" t="n"/>
      <c r="R160" s="266">
        <f>Q160</f>
        <v>0</v>
      </c>
      <c r="S160" s="299" t="n"/>
      <c r="T160" s="299" t="n"/>
      <c r="U160" s="299" t="n"/>
      <c r="V160" s="299" t="n"/>
      <c r="W160" s="266">
        <f>V160</f>
        <v>0</v>
      </c>
      <c r="X160" s="299" t="n"/>
      <c r="Y160" s="299" t="n"/>
      <c r="Z160" s="299" t="n"/>
      <c r="AA160" s="299" t="n"/>
      <c r="AB160" s="266">
        <f>AA160</f>
        <v>0</v>
      </c>
      <c r="AC160" s="299" t="n"/>
      <c r="AD160" s="299" t="n"/>
      <c r="AE160" s="299" t="n"/>
      <c r="AF160" s="299" t="n"/>
      <c r="AG160" s="266">
        <f>AF160</f>
        <v>0</v>
      </c>
      <c r="AH160" s="266">
        <f>AG160</f>
        <v>0</v>
      </c>
      <c r="AI160" s="266">
        <f>AH160</f>
        <v>0</v>
      </c>
      <c r="AJ160" s="266">
        <f>AI160</f>
        <v>0</v>
      </c>
      <c r="AK160" s="266">
        <f>AJ160</f>
        <v>0</v>
      </c>
      <c r="AL160" s="266">
        <f>AK160</f>
        <v>0</v>
      </c>
      <c r="AM160" s="266">
        <f>AL160</f>
        <v>0</v>
      </c>
      <c r="AN160" s="266">
        <f>AM160</f>
        <v>0</v>
      </c>
      <c r="AO160" s="266">
        <f>AN160</f>
        <v>0</v>
      </c>
      <c r="AP160" s="266">
        <f>AO160</f>
        <v>0</v>
      </c>
      <c r="AQ160" s="266">
        <f>AP160</f>
        <v>0</v>
      </c>
      <c r="AR160" s="266">
        <f>AQ160</f>
        <v>0</v>
      </c>
      <c r="AS160" s="266">
        <f>AR160</f>
        <v>0</v>
      </c>
      <c r="AT160" s="266">
        <f>AS160</f>
        <v>0</v>
      </c>
      <c r="AU160" s="266">
        <f>AT160</f>
        <v>0</v>
      </c>
      <c r="AV160" s="266">
        <f>AU160</f>
        <v>0</v>
      </c>
      <c r="AW160" s="266">
        <f>AV160</f>
        <v>0</v>
      </c>
      <c r="AX160" s="266">
        <f>AW160</f>
        <v>0</v>
      </c>
      <c r="AY160" s="266">
        <f>AX160</f>
        <v>0</v>
      </c>
      <c r="AZ160" s="266">
        <f>AY160</f>
        <v>0</v>
      </c>
      <c r="BA160" s="266">
        <f>AZ160</f>
        <v>0</v>
      </c>
      <c r="BB160" s="266">
        <f>BA160</f>
        <v>0</v>
      </c>
      <c r="BC160" s="266">
        <f>BB160</f>
        <v>0</v>
      </c>
      <c r="BD160" s="266">
        <f>BC160</f>
        <v>0</v>
      </c>
      <c r="BE160" s="266">
        <f>BD160</f>
        <v>0</v>
      </c>
      <c r="BF160" s="266">
        <f>BE160</f>
        <v>0</v>
      </c>
      <c r="BG160" s="266">
        <f>BF160</f>
        <v>0</v>
      </c>
      <c r="BH160" s="266">
        <f>BG160</f>
        <v>0</v>
      </c>
      <c r="BI160" s="266">
        <f>BH160</f>
        <v>0</v>
      </c>
      <c r="BJ160" s="266">
        <f>BI160</f>
        <v>0</v>
      </c>
      <c r="BK160" s="266">
        <f>BJ160</f>
        <v>0</v>
      </c>
      <c r="BL160" s="266">
        <f>BK160</f>
        <v>0</v>
      </c>
      <c r="BM160" s="266">
        <f>BL160</f>
        <v>0</v>
      </c>
      <c r="BN160" s="266">
        <f>BM160</f>
        <v>0</v>
      </c>
      <c r="BO160" s="266">
        <f>BN160</f>
        <v>0</v>
      </c>
      <c r="BP160" s="266">
        <f>BO160</f>
        <v>0</v>
      </c>
      <c r="BQ160" s="266">
        <f>BP160</f>
        <v>0</v>
      </c>
      <c r="BR160" s="266">
        <f>BQ160</f>
        <v>0</v>
      </c>
      <c r="BS160" s="266">
        <f>BR160</f>
        <v>0</v>
      </c>
      <c r="BT160" s="266">
        <f>BS160</f>
        <v>0</v>
      </c>
      <c r="BU160" s="266">
        <f>BT160</f>
        <v>0</v>
      </c>
      <c r="BV160" s="266">
        <f>BU160</f>
        <v>0</v>
      </c>
      <c r="BW160" s="266">
        <f>BV160</f>
        <v>0</v>
      </c>
      <c r="BX160" s="266">
        <f>BW160</f>
        <v>0</v>
      </c>
      <c r="BY160" s="266">
        <f>BX160</f>
        <v>0</v>
      </c>
      <c r="BZ160" s="266">
        <f>BY160</f>
        <v>0</v>
      </c>
      <c r="CA160" s="266">
        <f>BZ160</f>
        <v>0</v>
      </c>
      <c r="CB160" s="266">
        <f>CA160</f>
        <v>0</v>
      </c>
      <c r="CC160" s="266">
        <f>CB160</f>
        <v>0</v>
      </c>
      <c r="CD160" s="266">
        <f>CC160</f>
        <v>0</v>
      </c>
      <c r="CE160" s="266">
        <f>CD160</f>
        <v>0</v>
      </c>
      <c r="CF160" s="266">
        <f>CE160</f>
        <v>0</v>
      </c>
      <c r="CG160" s="266">
        <f>CF160</f>
        <v>0</v>
      </c>
      <c r="CH160" s="266">
        <f>CG160</f>
        <v>0</v>
      </c>
      <c r="CI160" s="266">
        <f>CH160</f>
        <v>0</v>
      </c>
      <c r="CJ160" s="266">
        <f>CI160</f>
        <v>0</v>
      </c>
      <c r="CK160" s="266">
        <f>CJ160</f>
        <v>0</v>
      </c>
      <c r="CL160" s="266">
        <f>CK160</f>
        <v>0</v>
      </c>
      <c r="CM160" s="266">
        <f>CL160</f>
        <v>0</v>
      </c>
      <c r="CN160" s="266">
        <f>CM160</f>
        <v>0</v>
      </c>
      <c r="CO160" s="266">
        <f>CN160</f>
        <v>0</v>
      </c>
      <c r="CP160" s="266">
        <f>CO160</f>
        <v>0</v>
      </c>
      <c r="CQ160" s="266">
        <f>CP160</f>
        <v>0</v>
      </c>
      <c r="CR160" s="266">
        <f>CQ160</f>
        <v>0</v>
      </c>
      <c r="CS160" s="266">
        <f>CR160</f>
        <v>0</v>
      </c>
      <c r="CT160" s="266">
        <f>CS160</f>
        <v>0</v>
      </c>
      <c r="CU160" s="266">
        <f>CT160</f>
        <v>0</v>
      </c>
      <c r="CV160" s="266">
        <f>CU160</f>
        <v>0</v>
      </c>
      <c r="CW160" s="266">
        <f>CV160</f>
        <v>0</v>
      </c>
      <c r="CX160" s="266">
        <f>CW160</f>
        <v>0</v>
      </c>
      <c r="CY160" s="266">
        <f>CX160</f>
        <v>0</v>
      </c>
    </row>
    <row r="161" ht="12.75" customHeight="1" s="254">
      <c r="C161" s="268" t="inlineStr">
        <is>
          <t>Other current assets</t>
        </is>
      </c>
      <c r="D161" s="299" t="n"/>
      <c r="E161" s="299" t="n"/>
      <c r="F161" s="299" t="n"/>
      <c r="G161" s="299" t="n"/>
      <c r="H161" s="266">
        <f>G161</f>
        <v>0</v>
      </c>
      <c r="I161" s="299">
        <f>INDEX('Inputs (2)'!$D$20:$AL$20,MATCH(I$7,'Inputs (2)'!$D$2:$AL$2,0))</f>
        <v>5752</v>
      </c>
      <c r="J161" s="299">
        <f>INDEX('Inputs (2)'!$D$20:$AL$20,MATCH(J$7,'Inputs (2)'!$D$2:$AL$2,0))</f>
        <v>8787</v>
      </c>
      <c r="K161" s="299">
        <f>INDEX('Inputs (2)'!$D$20:$AL$20,MATCH(K$7,'Inputs (2)'!$D$2:$AL$2,0))</f>
        <v>22535</v>
      </c>
      <c r="L161" s="299">
        <f>INDEX('Inputs (2)'!$D$20:$AL$20,MATCH(L$7,'Inputs (2)'!$D$2:$AL$2,0))</f>
        <v>13329</v>
      </c>
      <c r="M161" s="266">
        <f>L161</f>
        <v>13329</v>
      </c>
      <c r="N161" s="299">
        <f>INDEX('Inputs (2)'!$D$20:$AL$20,MATCH(N$7,'Inputs (2)'!$D$2:$AL$2,0))</f>
        <v>20172</v>
      </c>
      <c r="O161" s="299">
        <f>INDEX('Inputs (2)'!$D$20:$AL$20,MATCH(O$7,'Inputs (2)'!$D$2:$AL$2,0))</f>
        <v>23460</v>
      </c>
      <c r="P161" s="299">
        <f>INDEX('Inputs (2)'!$D$20:$AL$20,MATCH(P$7,'Inputs (2)'!$D$2:$AL$2,0))</f>
        <v>25919</v>
      </c>
      <c r="Q161" s="299">
        <f>INDEX('Inputs (2)'!$D$20:$AL$20,MATCH(Q$7,'Inputs (2)'!$D$2:$AL$2,0))</f>
        <v>27288</v>
      </c>
      <c r="R161" s="266">
        <f>Q161</f>
        <v>27288</v>
      </c>
      <c r="S161" s="299">
        <f>INDEX('Inputs (2)'!$D$20:$AL$20,MATCH(S$7,'Inputs (2)'!$D$2:$AL$2,0))</f>
        <v>18182</v>
      </c>
      <c r="T161" s="299">
        <f>INDEX('Inputs (2)'!$D$20:$AL$20,MATCH(T$7,'Inputs (2)'!$D$2:$AL$2,0))</f>
        <v>16034</v>
      </c>
      <c r="U161" s="299">
        <f>INDEX('Inputs (2)'!$D$20:$AL$20,MATCH(U$7,'Inputs (2)'!$D$2:$AL$2,0))</f>
        <v>15914</v>
      </c>
      <c r="V161" s="299">
        <f>INDEX('Inputs (2)'!$D$20:$AL$20,MATCH(V$7,'Inputs (2)'!$D$2:$AL$2,0))</f>
        <v>16049</v>
      </c>
      <c r="W161" s="266">
        <f>V161</f>
        <v>16049</v>
      </c>
      <c r="X161" s="299">
        <f>INDEX('Inputs (2)'!$D$20:$AL$20,MATCH(X$7,'Inputs (2)'!$D$2:$AL$2,0))</f>
        <v>13493</v>
      </c>
      <c r="Y161" s="299">
        <f>INDEX('Inputs (2)'!$D$20:$AL$20,MATCH(Y$7,'Inputs (2)'!$D$2:$AL$2,0))</f>
        <v>13418</v>
      </c>
      <c r="Z161" s="299">
        <f>INDEX('Inputs (2)'!$D$20:$AL$20,MATCH(Z$7,'Inputs (2)'!$D$2:$AL$2,0))</f>
        <v>12378</v>
      </c>
      <c r="AA161" s="299">
        <f>INDEX('Inputs (2)'!$D$20:$AL$20,MATCH(AA$7,'Inputs (2)'!$D$2:$AL$2,0))</f>
        <v>19528</v>
      </c>
      <c r="AB161" s="266">
        <f>AA161</f>
        <v>19528</v>
      </c>
      <c r="AC161" s="299">
        <f>INDEX('Inputs (2)'!$D$20:$AL$20,MATCH(AC$7,'Inputs (2)'!$D$2:$AL$2,0))</f>
        <v>19823</v>
      </c>
      <c r="AD161" s="299">
        <f>INDEX('Inputs (2)'!$D$20:$AL$20,MATCH(AD$7,'Inputs (2)'!$D$2:$AL$2,0))</f>
        <v>20062</v>
      </c>
      <c r="AE161" s="299">
        <f>INDEX('Inputs (2)'!$D$20:$AL$20,MATCH(AE$7,'Inputs (2)'!$D$2:$AL$2,0))</f>
        <v>19925</v>
      </c>
      <c r="AF161" s="299">
        <f>INDEX('Inputs (2)'!$D$20:$AL$20,MATCH(AF$7,'Inputs (2)'!$D$2:$AL$2,0))</f>
        <v>10145</v>
      </c>
      <c r="AG161" s="266">
        <f>AF161</f>
        <v>10145</v>
      </c>
      <c r="AH161" s="266">
        <f>INDEX('Inputs (2)'!$D$20:$AL$20,MATCH(AH$7,'Inputs (2)'!$D$2:$AL$2,0))</f>
        <v>13454</v>
      </c>
      <c r="AI161" s="266">
        <f>INDEX('Inputs (2)'!$D$20:$AL$20,MATCH(AI$7,'Inputs (2)'!$D$2:$AL$2,0))</f>
        <v>11881</v>
      </c>
      <c r="AJ161" s="266">
        <f>AI161</f>
        <v>11881</v>
      </c>
      <c r="AK161" s="266">
        <f>AJ161</f>
        <v>11881</v>
      </c>
      <c r="AL161" s="266">
        <f>AK161</f>
        <v>11881</v>
      </c>
      <c r="AM161" s="266">
        <f>AL161</f>
        <v>11881</v>
      </c>
      <c r="AN161" s="266">
        <f>AM161</f>
        <v>11881</v>
      </c>
      <c r="AO161" s="266">
        <f>AN161</f>
        <v>11881</v>
      </c>
      <c r="AP161" s="266">
        <f>AO161</f>
        <v>11881</v>
      </c>
      <c r="AQ161" s="266">
        <f>AP161</f>
        <v>11881</v>
      </c>
      <c r="AR161" s="266">
        <f>AQ161</f>
        <v>11881</v>
      </c>
      <c r="AS161" s="266">
        <f>AR161</f>
        <v>11881</v>
      </c>
      <c r="AT161" s="266">
        <f>AS161</f>
        <v>11881</v>
      </c>
      <c r="AU161" s="266">
        <f>AT161</f>
        <v>11881</v>
      </c>
      <c r="AV161" s="266">
        <f>AU161</f>
        <v>11881</v>
      </c>
      <c r="AW161" s="266">
        <f>AV161</f>
        <v>11881</v>
      </c>
      <c r="AX161" s="266">
        <f>AW161</f>
        <v>11881</v>
      </c>
      <c r="AY161" s="266">
        <f>AX161</f>
        <v>11881</v>
      </c>
      <c r="AZ161" s="266">
        <f>AY161</f>
        <v>11881</v>
      </c>
      <c r="BA161" s="266">
        <f>AZ161</f>
        <v>11881</v>
      </c>
      <c r="BB161" s="266">
        <f>BA161</f>
        <v>11881</v>
      </c>
      <c r="BC161" s="266">
        <f>BB161</f>
        <v>11881</v>
      </c>
      <c r="BD161" s="266">
        <f>BC161</f>
        <v>11881</v>
      </c>
      <c r="BE161" s="266">
        <f>BD161</f>
        <v>11881</v>
      </c>
      <c r="BF161" s="266">
        <f>BE161</f>
        <v>11881</v>
      </c>
      <c r="BG161" s="266">
        <f>BF161</f>
        <v>11881</v>
      </c>
      <c r="BH161" s="266">
        <f>BG161</f>
        <v>11881</v>
      </c>
      <c r="BI161" s="266">
        <f>BH161</f>
        <v>11881</v>
      </c>
      <c r="BJ161" s="266">
        <f>BI161</f>
        <v>11881</v>
      </c>
      <c r="BK161" s="266">
        <f>BJ161</f>
        <v>11881</v>
      </c>
      <c r="BL161" s="266">
        <f>BK161</f>
        <v>11881</v>
      </c>
      <c r="BM161" s="266">
        <f>BL161</f>
        <v>11881</v>
      </c>
      <c r="BN161" s="266">
        <f>BM161</f>
        <v>11881</v>
      </c>
      <c r="BO161" s="266">
        <f>BN161</f>
        <v>11881</v>
      </c>
      <c r="BP161" s="266">
        <f>BO161</f>
        <v>11881</v>
      </c>
      <c r="BQ161" s="266">
        <f>BP161</f>
        <v>11881</v>
      </c>
      <c r="BR161" s="266">
        <f>BQ161</f>
        <v>11881</v>
      </c>
      <c r="BS161" s="266">
        <f>BR161</f>
        <v>11881</v>
      </c>
      <c r="BT161" s="266">
        <f>BS161</f>
        <v>11881</v>
      </c>
      <c r="BU161" s="266">
        <f>BT161</f>
        <v>11881</v>
      </c>
      <c r="BV161" s="266">
        <f>BU161</f>
        <v>11881</v>
      </c>
      <c r="BW161" s="266">
        <f>BV161</f>
        <v>11881</v>
      </c>
      <c r="BX161" s="266">
        <f>BW161</f>
        <v>11881</v>
      </c>
      <c r="BY161" s="266">
        <f>BX161</f>
        <v>11881</v>
      </c>
      <c r="BZ161" s="266">
        <f>BY161</f>
        <v>11881</v>
      </c>
      <c r="CA161" s="266">
        <f>BZ161</f>
        <v>11881</v>
      </c>
      <c r="CB161" s="266">
        <f>CA161</f>
        <v>11881</v>
      </c>
      <c r="CC161" s="266">
        <f>CB161</f>
        <v>11881</v>
      </c>
      <c r="CD161" s="266">
        <f>CC161</f>
        <v>11881</v>
      </c>
      <c r="CE161" s="266">
        <f>CD161</f>
        <v>11881</v>
      </c>
      <c r="CF161" s="266">
        <f>CE161</f>
        <v>11881</v>
      </c>
      <c r="CG161" s="266">
        <f>CF161</f>
        <v>11881</v>
      </c>
      <c r="CH161" s="266">
        <f>CG161</f>
        <v>11881</v>
      </c>
      <c r="CI161" s="266">
        <f>CH161</f>
        <v>11881</v>
      </c>
      <c r="CJ161" s="266">
        <f>CI161</f>
        <v>11881</v>
      </c>
      <c r="CK161" s="266">
        <f>CJ161</f>
        <v>11881</v>
      </c>
      <c r="CL161" s="266">
        <f>CK161</f>
        <v>11881</v>
      </c>
      <c r="CM161" s="266">
        <f>CL161</f>
        <v>11881</v>
      </c>
      <c r="CN161" s="266">
        <f>CM161</f>
        <v>11881</v>
      </c>
      <c r="CO161" s="266">
        <f>CN161</f>
        <v>11881</v>
      </c>
      <c r="CP161" s="266">
        <f>CO161</f>
        <v>11881</v>
      </c>
      <c r="CQ161" s="266">
        <f>CP161</f>
        <v>11881</v>
      </c>
      <c r="CR161" s="266">
        <f>CQ161</f>
        <v>11881</v>
      </c>
      <c r="CS161" s="266">
        <f>CR161</f>
        <v>11881</v>
      </c>
      <c r="CT161" s="266">
        <f>CS161</f>
        <v>11881</v>
      </c>
      <c r="CU161" s="266">
        <f>CT161</f>
        <v>11881</v>
      </c>
      <c r="CV161" s="266">
        <f>CU161</f>
        <v>11881</v>
      </c>
      <c r="CW161" s="266">
        <f>CV161</f>
        <v>11881</v>
      </c>
      <c r="CX161" s="266">
        <f>CW161</f>
        <v>11881</v>
      </c>
      <c r="CY161" s="266">
        <f>CX161</f>
        <v>11881</v>
      </c>
    </row>
    <row r="162" hidden="1" outlineLevel="1" ht="12.75" customHeight="1" s="254">
      <c r="C162" s="312" t="inlineStr">
        <is>
          <t>%(Var.)</t>
        </is>
      </c>
      <c r="D162" s="266" t="n"/>
      <c r="E162" s="294" t="str">
        <f>IFERROR((E161-D161)/D161,"")</f>
        <v/>
      </c>
      <c r="F162" s="294" t="str">
        <f>IFERROR((F161-E161)/E161,"")</f>
        <v/>
      </c>
      <c r="G162" s="294" t="str">
        <f>IFERROR((G161-F161)/F161,"")</f>
        <v/>
      </c>
      <c r="H162" s="266" t="n"/>
      <c r="I162" s="294" t="str">
        <f>IFERROR((I161-H161)/H161,"")</f>
        <v/>
      </c>
      <c r="J162" s="294">
        <f>IFERROR((J161-I161)/I161,"")</f>
        <v>0.527642559109875</v>
      </c>
      <c r="K162" s="294">
        <f>IFERROR((K161-J161)/J161,"")</f>
        <v>1.56458404461136</v>
      </c>
      <c r="L162" s="294">
        <f>IFERROR((L161-K161)/K161,"")</f>
        <v>-0.408520079875749</v>
      </c>
      <c r="M162" s="266" t="n"/>
      <c r="N162" s="294">
        <f>IFERROR((N161-M161)/M161,"")</f>
        <v>0.513391852352015</v>
      </c>
      <c r="O162" s="294">
        <f>IFERROR((O161-N161)/N161,"")</f>
        <v>0.162998215348007</v>
      </c>
      <c r="P162" s="294">
        <f>IFERROR((P161-O161)/O161,"")</f>
        <v>0.104816709292413</v>
      </c>
      <c r="Q162" s="294">
        <f>IFERROR((Q161-P161)/P161,"")</f>
        <v>0.0528183957714418</v>
      </c>
      <c r="R162" s="266" t="n"/>
      <c r="S162" s="294">
        <f>IFERROR((S161-R161)/R161,"")</f>
        <v>-0.333699794781589</v>
      </c>
      <c r="T162" s="294">
        <f>IFERROR((T161-S161)/S161,"")</f>
        <v>-0.118138818611814</v>
      </c>
      <c r="U162" s="294">
        <f>IFERROR((U161-T161)/T161,"")</f>
        <v>-0.00748409629537233</v>
      </c>
      <c r="V162" s="294">
        <f>IFERROR((V161-U161)/U161,"")</f>
        <v>0.00848309664446399</v>
      </c>
      <c r="W162" s="266" t="n"/>
      <c r="X162" s="294">
        <f>IFERROR((X161-W161)/W161,"")</f>
        <v>-0.159262259330799</v>
      </c>
      <c r="Y162" s="294">
        <f>IFERROR((Y161-X161)/X161,"")</f>
        <v>-0.00555843770844141</v>
      </c>
      <c r="Z162" s="294">
        <f>IFERROR((Z161-Y161)/Y161,"")</f>
        <v>-0.077507825309286</v>
      </c>
      <c r="AA162" s="294">
        <f>IFERROR((AA161-Z161)/Z161,"")</f>
        <v>0.5776377443852</v>
      </c>
      <c r="AB162" s="266" t="n"/>
      <c r="AC162" s="294">
        <f>IFERROR((AC161-AB161)/AB161,"")</f>
        <v>0.0151065137238837</v>
      </c>
      <c r="AD162" s="294">
        <f>IFERROR((AD161-AC161)/AC161,"")</f>
        <v>0.0120567018110276</v>
      </c>
      <c r="AE162" s="294">
        <f>IFERROR((AE161-AD161)/AD161,"")</f>
        <v>-0.00682883062506231</v>
      </c>
      <c r="AF162" s="309">
        <f>IFERROR((AF161-AE161)/AE161,"")</f>
        <v>-0.490840652446675</v>
      </c>
      <c r="AG162" s="266" t="n"/>
      <c r="AH162" s="266">
        <f>IFERROR((AH161-AG161)/AG161,"")</f>
        <v>0.326170527353376</v>
      </c>
      <c r="AI162" s="266">
        <f>IFERROR((AI161-AH161)/AH161,"")</f>
        <v>-0.116916902036569</v>
      </c>
      <c r="AJ162" s="266" t="n"/>
      <c r="AK162" s="266" t="n"/>
      <c r="AL162" s="266" t="n"/>
      <c r="AM162" s="266" t="n"/>
      <c r="AN162" s="266" t="n"/>
      <c r="AO162" s="266" t="n"/>
      <c r="AP162" s="266" t="n"/>
      <c r="AQ162" s="266" t="n"/>
      <c r="AR162" s="266" t="n"/>
      <c r="AS162" s="266" t="n"/>
      <c r="AT162" s="266" t="n"/>
      <c r="AU162" s="266" t="n"/>
      <c r="AV162" s="266" t="n"/>
      <c r="AW162" s="266" t="n"/>
      <c r="AX162" s="266" t="n"/>
      <c r="AY162" s="266" t="n"/>
      <c r="AZ162" s="266" t="n"/>
      <c r="BA162" s="266" t="n"/>
      <c r="BB162" s="266" t="n"/>
      <c r="BC162" s="266" t="n"/>
      <c r="BD162" s="266" t="n"/>
      <c r="BE162" s="266" t="n"/>
      <c r="BF162" s="266" t="n"/>
      <c r="BG162" s="266" t="n"/>
      <c r="BH162" s="266" t="n"/>
      <c r="BI162" s="266" t="n"/>
      <c r="BJ162" s="266" t="n"/>
      <c r="BK162" s="266" t="n"/>
      <c r="BL162" s="266" t="n"/>
      <c r="BM162" s="266" t="n"/>
      <c r="BN162" s="266" t="n"/>
      <c r="BO162" s="266" t="n"/>
      <c r="BP162" s="266" t="n"/>
      <c r="BQ162" s="266" t="n"/>
      <c r="BR162" s="266" t="n"/>
      <c r="BS162" s="266" t="n"/>
      <c r="BT162" s="266" t="n"/>
      <c r="BU162" s="266" t="n"/>
      <c r="BV162" s="266" t="n"/>
      <c r="BW162" s="266" t="n"/>
      <c r="BX162" s="266" t="n"/>
      <c r="BY162" s="266" t="n"/>
      <c r="BZ162" s="266" t="n"/>
      <c r="CA162" s="266" t="n"/>
      <c r="CB162" s="266" t="n"/>
      <c r="CC162" s="266" t="n"/>
      <c r="CD162" s="266" t="n"/>
      <c r="CE162" s="266" t="n"/>
      <c r="CF162" s="266" t="n"/>
      <c r="CG162" s="266" t="n"/>
      <c r="CH162" s="266" t="n"/>
      <c r="CI162" s="266" t="n"/>
      <c r="CJ162" s="266" t="n"/>
      <c r="CK162" s="266" t="n"/>
      <c r="CL162" s="266" t="n"/>
      <c r="CM162" s="266" t="n"/>
      <c r="CN162" s="266" t="n"/>
      <c r="CO162" s="266" t="n"/>
      <c r="CP162" s="266" t="n"/>
      <c r="CQ162" s="266" t="n"/>
      <c r="CR162" s="266" t="n"/>
      <c r="CS162" s="266" t="n"/>
      <c r="CT162" s="266" t="n"/>
      <c r="CU162" s="266" t="n"/>
      <c r="CV162" s="266" t="n"/>
      <c r="CW162" s="266" t="n"/>
      <c r="CX162" s="266" t="n"/>
      <c r="CY162" s="266" t="n"/>
    </row>
    <row r="163" hidden="1" outlineLevel="1" ht="12.75" customHeight="1" s="254">
      <c r="C163" s="310" t="n"/>
      <c r="D163" s="266" t="n"/>
      <c r="E163" s="294" t="n"/>
      <c r="F163" s="266" t="n"/>
      <c r="G163" s="266" t="n"/>
      <c r="H163" s="266" t="n"/>
      <c r="I163" s="266" t="n"/>
      <c r="J163" s="266" t="n"/>
      <c r="K163" s="266" t="n"/>
      <c r="L163" s="266" t="n"/>
      <c r="M163" s="266" t="n"/>
      <c r="N163" s="266" t="n"/>
      <c r="O163" s="266" t="n"/>
      <c r="P163" s="266" t="n"/>
      <c r="Q163" s="266" t="n"/>
      <c r="R163" s="266" t="n"/>
      <c r="S163" s="266" t="n"/>
      <c r="T163" s="266" t="n"/>
      <c r="U163" s="266" t="n"/>
      <c r="V163" s="266" t="n"/>
      <c r="W163" s="266" t="n"/>
      <c r="X163" s="266" t="n"/>
      <c r="Y163" s="266" t="n"/>
      <c r="Z163" s="266" t="n"/>
      <c r="AA163" s="266" t="n"/>
      <c r="AB163" s="266" t="n"/>
      <c r="AC163" s="266" t="n"/>
      <c r="AD163" s="266" t="n"/>
      <c r="AE163" s="266" t="n"/>
      <c r="AF163" s="266" t="n"/>
      <c r="AG163" s="266" t="n"/>
      <c r="AH163" s="266" t="n"/>
      <c r="AI163" s="266" t="n"/>
      <c r="AJ163" s="266" t="n"/>
      <c r="AK163" s="266" t="n"/>
      <c r="AL163" s="266" t="n"/>
      <c r="AM163" s="266" t="n"/>
      <c r="AN163" s="266" t="n"/>
      <c r="AO163" s="266" t="n"/>
      <c r="AP163" s="266" t="n"/>
      <c r="AQ163" s="266" t="n"/>
      <c r="AR163" s="266" t="n"/>
      <c r="AS163" s="266" t="n"/>
      <c r="AT163" s="266" t="n"/>
      <c r="AU163" s="266" t="n"/>
      <c r="AV163" s="266" t="n"/>
      <c r="AW163" s="266" t="n"/>
      <c r="AX163" s="266" t="n"/>
      <c r="AY163" s="266" t="n"/>
      <c r="AZ163" s="266" t="n"/>
      <c r="BA163" s="266" t="n"/>
      <c r="BB163" s="266" t="n"/>
      <c r="BC163" s="266" t="n"/>
      <c r="BD163" s="266" t="n"/>
      <c r="BE163" s="266" t="n"/>
      <c r="BF163" s="266" t="n"/>
      <c r="BG163" s="266" t="n"/>
      <c r="BH163" s="266" t="n"/>
      <c r="BI163" s="266" t="n"/>
      <c r="BJ163" s="266" t="n"/>
      <c r="BK163" s="266" t="n"/>
      <c r="BL163" s="266" t="n"/>
      <c r="BM163" s="266" t="n"/>
      <c r="BN163" s="266" t="n"/>
      <c r="BO163" s="266" t="n"/>
      <c r="BP163" s="266" t="n"/>
      <c r="BQ163" s="266" t="n"/>
      <c r="BR163" s="266" t="n"/>
      <c r="BS163" s="266" t="n"/>
      <c r="BT163" s="266" t="n"/>
      <c r="BU163" s="266" t="n"/>
      <c r="BV163" s="266" t="n"/>
      <c r="BW163" s="266" t="n"/>
      <c r="BX163" s="266" t="n"/>
      <c r="BY163" s="266" t="n"/>
      <c r="BZ163" s="266" t="n"/>
      <c r="CA163" s="266" t="n"/>
      <c r="CB163" s="266" t="n"/>
      <c r="CC163" s="266" t="n"/>
      <c r="CD163" s="266" t="n"/>
      <c r="CE163" s="266" t="n"/>
      <c r="CF163" s="266" t="n"/>
      <c r="CG163" s="266" t="n"/>
      <c r="CH163" s="266" t="n"/>
      <c r="CI163" s="266" t="n"/>
      <c r="CJ163" s="266" t="n"/>
      <c r="CK163" s="266" t="n"/>
      <c r="CL163" s="266" t="n"/>
      <c r="CM163" s="266" t="n"/>
      <c r="CN163" s="266" t="n"/>
      <c r="CO163" s="266" t="n"/>
      <c r="CP163" s="266" t="n"/>
      <c r="CQ163" s="266" t="n"/>
      <c r="CR163" s="266" t="n"/>
      <c r="CS163" s="266" t="n"/>
      <c r="CT163" s="266" t="n"/>
      <c r="CU163" s="266" t="n"/>
      <c r="CV163" s="266" t="n"/>
      <c r="CW163" s="266" t="n"/>
      <c r="CX163" s="266" t="n"/>
      <c r="CY163" s="266" t="n"/>
    </row>
    <row r="164" hidden="1" outlineLevel="1" ht="12.75" customHeight="1" s="254">
      <c r="C164" s="313" t="inlineStr">
        <is>
          <t xml:space="preserve">Impostos e Contribuições a Recuperar </t>
        </is>
      </c>
      <c r="D164" s="265" t="n"/>
      <c r="E164" s="265" t="n"/>
      <c r="F164" s="265" t="n"/>
      <c r="G164" s="265" t="n"/>
      <c r="H164" s="266" t="n"/>
      <c r="I164" s="265" t="n"/>
      <c r="J164" s="265" t="n"/>
      <c r="K164" s="265" t="n"/>
      <c r="L164" s="265" t="n"/>
      <c r="M164" s="266" t="n"/>
      <c r="N164" s="265" t="n"/>
      <c r="O164" s="265" t="n"/>
      <c r="P164" s="265" t="n"/>
      <c r="Q164" s="265" t="n"/>
      <c r="R164" s="266" t="n"/>
      <c r="S164" s="265" t="n"/>
      <c r="T164" s="265" t="n"/>
      <c r="U164" s="265" t="n"/>
      <c r="V164" s="265" t="n"/>
      <c r="W164" s="266" t="n"/>
      <c r="X164" s="265" t="n"/>
      <c r="Y164" s="265" t="n"/>
      <c r="Z164" s="265" t="n"/>
      <c r="AA164" s="265" t="n"/>
      <c r="AB164" s="266" t="n"/>
      <c r="AC164" s="265" t="n"/>
      <c r="AD164" s="265" t="n"/>
      <c r="AE164" s="265" t="n"/>
      <c r="AF164" s="265" t="n"/>
      <c r="AG164" s="266">
        <f>AF164</f>
        <v>0</v>
      </c>
      <c r="AH164" s="314">
        <f>AG164*AH15/AG15</f>
        <v>0</v>
      </c>
      <c r="AI164" s="314">
        <f>AH164*AI15/AH15</f>
        <v>0</v>
      </c>
      <c r="AJ164" s="314">
        <f>AI164*AJ15/AI15</f>
        <v>0</v>
      </c>
      <c r="AK164" s="314">
        <f>AJ164*AK15/AJ15</f>
        <v>0</v>
      </c>
      <c r="AL164" s="266">
        <f>AK164</f>
        <v>0</v>
      </c>
      <c r="AM164" s="266" t="n"/>
      <c r="AN164" s="266" t="n"/>
      <c r="AO164" s="266" t="n"/>
      <c r="AP164" s="266" t="n"/>
      <c r="AQ164" s="266" t="n"/>
      <c r="AR164" s="266" t="n"/>
      <c r="AS164" s="266" t="n"/>
      <c r="AT164" s="266" t="n"/>
      <c r="AU164" s="266" t="n"/>
      <c r="AV164" s="266" t="n"/>
      <c r="AW164" s="266" t="n"/>
      <c r="AX164" s="266" t="n"/>
      <c r="AY164" s="266" t="n"/>
      <c r="AZ164" s="266" t="n"/>
      <c r="BA164" s="266" t="n"/>
      <c r="BB164" s="266" t="n"/>
      <c r="BC164" s="266" t="n"/>
      <c r="BD164" s="266" t="n"/>
      <c r="BE164" s="266" t="n"/>
      <c r="BF164" s="266" t="n"/>
      <c r="BG164" s="266" t="n"/>
      <c r="BH164" s="266" t="n"/>
      <c r="BI164" s="266" t="n"/>
      <c r="BJ164" s="266" t="n"/>
      <c r="BK164" s="266" t="n"/>
      <c r="BL164" s="266" t="n"/>
      <c r="BM164" s="266" t="n"/>
      <c r="BN164" s="266" t="n"/>
      <c r="BO164" s="266" t="n"/>
      <c r="BP164" s="266" t="n"/>
      <c r="BQ164" s="266" t="n"/>
      <c r="BR164" s="266" t="n"/>
      <c r="BS164" s="266" t="n"/>
      <c r="BT164" s="266" t="n"/>
      <c r="BU164" s="266" t="n"/>
      <c r="BV164" s="266" t="n"/>
      <c r="BW164" s="266" t="n"/>
      <c r="BX164" s="266" t="n"/>
      <c r="BY164" s="266" t="n"/>
      <c r="BZ164" s="266" t="n"/>
      <c r="CA164" s="266" t="n"/>
      <c r="CB164" s="266" t="n"/>
      <c r="CC164" s="266" t="n"/>
      <c r="CD164" s="266" t="n"/>
      <c r="CE164" s="266" t="n"/>
      <c r="CF164" s="266" t="n"/>
      <c r="CG164" s="266" t="n"/>
      <c r="CH164" s="266" t="n"/>
      <c r="CI164" s="266" t="n"/>
      <c r="CJ164" s="266" t="n"/>
      <c r="CK164" s="266" t="n"/>
      <c r="CL164" s="266" t="n"/>
      <c r="CM164" s="266" t="n"/>
      <c r="CN164" s="266" t="n"/>
      <c r="CO164" s="266" t="n"/>
      <c r="CP164" s="266" t="n"/>
      <c r="CQ164" s="266" t="n"/>
      <c r="CR164" s="266" t="n"/>
      <c r="CS164" s="266" t="n"/>
      <c r="CT164" s="266" t="n"/>
      <c r="CU164" s="266" t="n"/>
      <c r="CV164" s="266" t="n"/>
      <c r="CW164" s="266" t="n"/>
      <c r="CX164" s="266" t="n"/>
      <c r="CY164" s="266" t="n"/>
    </row>
    <row r="165" hidden="1" outlineLevel="1" ht="12.75" customHeight="1" s="254">
      <c r="C165" s="313" t="inlineStr">
        <is>
          <t>Outros Créditos</t>
        </is>
      </c>
      <c r="D165" s="265" t="n"/>
      <c r="E165" s="265" t="n"/>
      <c r="F165" s="265" t="n"/>
      <c r="G165" s="265" t="n"/>
      <c r="H165" s="266" t="n"/>
      <c r="I165" s="265" t="n"/>
      <c r="J165" s="265" t="n"/>
      <c r="K165" s="265" t="n"/>
      <c r="L165" s="265" t="n"/>
      <c r="M165" s="266" t="n"/>
      <c r="N165" s="265" t="n"/>
      <c r="O165" s="265" t="n"/>
      <c r="P165" s="265" t="n"/>
      <c r="Q165" s="265" t="n"/>
      <c r="R165" s="266" t="n"/>
      <c r="S165" s="265" t="n"/>
      <c r="T165" s="265" t="n"/>
      <c r="U165" s="265" t="n"/>
      <c r="V165" s="265" t="n"/>
      <c r="W165" s="266" t="n"/>
      <c r="X165" s="265" t="n"/>
      <c r="Y165" s="265" t="n"/>
      <c r="Z165" s="265" t="n"/>
      <c r="AA165" s="265" t="n"/>
      <c r="AB165" s="266" t="n"/>
      <c r="AC165" s="265" t="n"/>
      <c r="AD165" s="265" t="n"/>
      <c r="AE165" s="265" t="n"/>
      <c r="AF165" s="265" t="n"/>
      <c r="AG165" s="266">
        <f>AF165</f>
        <v>0</v>
      </c>
      <c r="AH165" s="266">
        <f>AG165</f>
        <v>0</v>
      </c>
      <c r="AI165" s="266">
        <f>AH165</f>
        <v>0</v>
      </c>
      <c r="AJ165" s="266">
        <f>AI165</f>
        <v>0</v>
      </c>
      <c r="AK165" s="266">
        <f>AJ165</f>
        <v>0</v>
      </c>
      <c r="AL165" s="266">
        <f>AK165</f>
        <v>0</v>
      </c>
      <c r="AM165" s="266" t="n"/>
      <c r="AN165" s="266" t="n"/>
      <c r="AO165" s="266" t="n"/>
      <c r="AP165" s="266" t="n"/>
      <c r="AQ165" s="266" t="n"/>
      <c r="AR165" s="266" t="n"/>
      <c r="AS165" s="266" t="n"/>
      <c r="AT165" s="266" t="n"/>
      <c r="AU165" s="266" t="n"/>
      <c r="AV165" s="266" t="n"/>
      <c r="AW165" s="266" t="n"/>
      <c r="AX165" s="266" t="n"/>
      <c r="AY165" s="266" t="n"/>
      <c r="AZ165" s="266" t="n"/>
      <c r="BA165" s="266" t="n"/>
      <c r="BB165" s="266" t="n"/>
      <c r="BC165" s="266" t="n"/>
      <c r="BD165" s="266" t="n"/>
      <c r="BE165" s="266" t="n"/>
      <c r="BF165" s="266" t="n"/>
      <c r="BG165" s="266" t="n"/>
      <c r="BH165" s="266" t="n"/>
      <c r="BI165" s="266" t="n"/>
      <c r="BJ165" s="266" t="n"/>
      <c r="BK165" s="266" t="n"/>
      <c r="BL165" s="266" t="n"/>
      <c r="BM165" s="266" t="n"/>
      <c r="BN165" s="266" t="n"/>
      <c r="BO165" s="266" t="n"/>
      <c r="BP165" s="266" t="n"/>
      <c r="BQ165" s="266" t="n"/>
      <c r="BR165" s="266" t="n"/>
      <c r="BS165" s="266" t="n"/>
      <c r="BT165" s="266" t="n"/>
      <c r="BU165" s="266" t="n"/>
      <c r="BV165" s="266" t="n"/>
      <c r="BW165" s="266" t="n"/>
      <c r="BX165" s="266" t="n"/>
      <c r="BY165" s="266" t="n"/>
      <c r="BZ165" s="266" t="n"/>
      <c r="CA165" s="266" t="n"/>
      <c r="CB165" s="266" t="n"/>
      <c r="CC165" s="266" t="n"/>
      <c r="CD165" s="266" t="n"/>
      <c r="CE165" s="266" t="n"/>
      <c r="CF165" s="266" t="n"/>
      <c r="CG165" s="266" t="n"/>
      <c r="CH165" s="266" t="n"/>
      <c r="CI165" s="266" t="n"/>
      <c r="CJ165" s="266" t="n"/>
      <c r="CK165" s="266" t="n"/>
      <c r="CL165" s="266" t="n"/>
      <c r="CM165" s="266" t="n"/>
      <c r="CN165" s="266" t="n"/>
      <c r="CO165" s="266" t="n"/>
      <c r="CP165" s="266" t="n"/>
      <c r="CQ165" s="266" t="n"/>
      <c r="CR165" s="266" t="n"/>
      <c r="CS165" s="266" t="n"/>
      <c r="CT165" s="266" t="n"/>
      <c r="CU165" s="266" t="n"/>
      <c r="CV165" s="266" t="n"/>
      <c r="CW165" s="266" t="n"/>
      <c r="CX165" s="266" t="n"/>
      <c r="CY165" s="266" t="n"/>
    </row>
    <row r="166" hidden="1" outlineLevel="1" ht="12.75" customHeight="1" s="254">
      <c r="C166" s="310" t="n"/>
      <c r="D166" s="266" t="n"/>
      <c r="E166" s="266" t="n"/>
      <c r="F166" s="266" t="n"/>
      <c r="G166" s="266" t="n"/>
      <c r="H166" s="266" t="n"/>
      <c r="I166" s="266" t="n"/>
      <c r="J166" s="266" t="n"/>
      <c r="K166" s="266" t="n"/>
      <c r="L166" s="266" t="n"/>
      <c r="M166" s="266" t="n"/>
      <c r="N166" s="266" t="n"/>
      <c r="O166" s="266" t="n"/>
      <c r="P166" s="266" t="n"/>
      <c r="Q166" s="266" t="n"/>
      <c r="R166" s="266" t="n"/>
      <c r="S166" s="266" t="n"/>
      <c r="T166" s="266" t="n"/>
      <c r="U166" s="266" t="n"/>
      <c r="V166" s="266" t="n"/>
      <c r="W166" s="266" t="n"/>
      <c r="X166" s="266" t="n"/>
      <c r="Y166" s="266" t="n"/>
      <c r="Z166" s="266" t="n"/>
      <c r="AA166" s="266" t="n"/>
      <c r="AB166" s="266" t="n"/>
      <c r="AC166" s="266" t="n"/>
      <c r="AD166" s="266" t="n"/>
      <c r="AE166" s="266" t="n"/>
      <c r="AF166" s="266" t="n"/>
      <c r="AG166" s="266" t="n"/>
      <c r="AH166" s="266" t="n"/>
      <c r="AI166" s="266" t="n"/>
      <c r="AJ166" s="266" t="n"/>
      <c r="AK166" s="266" t="n"/>
      <c r="AL166" s="266" t="n"/>
      <c r="AM166" s="266" t="n"/>
      <c r="AN166" s="266" t="n"/>
      <c r="AO166" s="266" t="n"/>
      <c r="AP166" s="266" t="n"/>
      <c r="AQ166" s="266" t="n"/>
      <c r="AR166" s="266" t="n"/>
      <c r="AS166" s="266" t="n"/>
      <c r="AT166" s="266" t="n"/>
      <c r="AU166" s="266" t="n"/>
      <c r="AV166" s="266" t="n"/>
      <c r="AW166" s="266" t="n"/>
      <c r="AX166" s="266" t="n"/>
      <c r="AY166" s="266" t="n"/>
      <c r="AZ166" s="266" t="n"/>
      <c r="BA166" s="266" t="n"/>
      <c r="BB166" s="266" t="n"/>
      <c r="BC166" s="266" t="n"/>
      <c r="BD166" s="266" t="n"/>
      <c r="BE166" s="266" t="n"/>
      <c r="BF166" s="266" t="n"/>
      <c r="BG166" s="266" t="n"/>
      <c r="BH166" s="266" t="n"/>
      <c r="BI166" s="266" t="n"/>
      <c r="BJ166" s="266" t="n"/>
      <c r="BK166" s="266" t="n"/>
      <c r="BL166" s="266" t="n"/>
      <c r="BM166" s="266" t="n"/>
      <c r="BN166" s="266" t="n"/>
      <c r="BO166" s="266" t="n"/>
      <c r="BP166" s="266" t="n"/>
      <c r="BQ166" s="266" t="n"/>
      <c r="BR166" s="266" t="n"/>
      <c r="BS166" s="266" t="n"/>
      <c r="BT166" s="266" t="n"/>
      <c r="BU166" s="266" t="n"/>
      <c r="BV166" s="266" t="n"/>
      <c r="BW166" s="266" t="n"/>
      <c r="BX166" s="266" t="n"/>
      <c r="BY166" s="266" t="n"/>
      <c r="BZ166" s="266" t="n"/>
      <c r="CA166" s="266" t="n"/>
      <c r="CB166" s="266" t="n"/>
      <c r="CC166" s="266" t="n"/>
      <c r="CD166" s="266" t="n"/>
      <c r="CE166" s="266" t="n"/>
      <c r="CF166" s="266" t="n"/>
      <c r="CG166" s="266" t="n"/>
      <c r="CH166" s="266" t="n"/>
      <c r="CI166" s="266" t="n"/>
      <c r="CJ166" s="266" t="n"/>
      <c r="CK166" s="266" t="n"/>
      <c r="CL166" s="266" t="n"/>
      <c r="CM166" s="266" t="n"/>
      <c r="CN166" s="266" t="n"/>
      <c r="CO166" s="266" t="n"/>
      <c r="CP166" s="266" t="n"/>
      <c r="CQ166" s="266" t="n"/>
      <c r="CR166" s="266" t="n"/>
      <c r="CS166" s="266" t="n"/>
      <c r="CT166" s="266" t="n"/>
      <c r="CU166" s="266" t="n"/>
      <c r="CV166" s="266" t="n"/>
      <c r="CW166" s="266" t="n"/>
      <c r="CX166" s="266" t="n"/>
      <c r="CY166" s="266" t="n"/>
    </row>
    <row r="167" ht="12.75" customHeight="1" s="254">
      <c r="C167" s="268" t="inlineStr">
        <is>
          <t>Equity in affiliates</t>
        </is>
      </c>
      <c r="D167" s="299" t="n"/>
      <c r="E167" s="299" t="n"/>
      <c r="F167" s="299" t="n"/>
      <c r="G167" s="299" t="n"/>
      <c r="H167" s="266">
        <f>G167</f>
        <v>0</v>
      </c>
      <c r="I167" s="299">
        <f>INDEX('Inputs (2)'!$D$21:$AL$21,MATCH(I$7,'Inputs (2)'!$D$2:$AL$2,0))</f>
        <v>22537</v>
      </c>
      <c r="J167" s="299">
        <f>INDEX('Inputs (2)'!$D$21:$AL$21,MATCH(J$7,'Inputs (2)'!$D$2:$AL$2,0))</f>
        <v>23248</v>
      </c>
      <c r="K167" s="299">
        <f>INDEX('Inputs (2)'!$D$21:$AL$21,MATCH(K$7,'Inputs (2)'!$D$2:$AL$2,0))</f>
        <v>23724</v>
      </c>
      <c r="L167" s="299">
        <f>INDEX('Inputs (2)'!$D$21:$AL$21,MATCH(L$7,'Inputs (2)'!$D$2:$AL$2,0))</f>
        <v>23415</v>
      </c>
      <c r="M167" s="266">
        <f>L167</f>
        <v>23415</v>
      </c>
      <c r="N167" s="299">
        <f>INDEX('Inputs (2)'!$D$21:$AL$21,MATCH(N$7,'Inputs (2)'!$D$2:$AL$2,0))</f>
        <v>23289</v>
      </c>
      <c r="O167" s="299">
        <f>INDEX('Inputs (2)'!$D$21:$AL$21,MATCH(O$7,'Inputs (2)'!$D$2:$AL$2,0))</f>
        <v>23264</v>
      </c>
      <c r="P167" s="299">
        <f>INDEX('Inputs (2)'!$D$21:$AL$21,MATCH(P$7,'Inputs (2)'!$D$2:$AL$2,0))</f>
        <v>24489</v>
      </c>
      <c r="Q167" s="299">
        <f>INDEX('Inputs (2)'!$D$21:$AL$21,MATCH(Q$7,'Inputs (2)'!$D$2:$AL$2,0))</f>
        <v>23864</v>
      </c>
      <c r="R167" s="266">
        <f>Q167</f>
        <v>23864</v>
      </c>
      <c r="S167" s="299">
        <f>INDEX('Inputs (2)'!$D$21:$AL$21,MATCH(S$7,'Inputs (2)'!$D$2:$AL$2,0))</f>
        <v>24843</v>
      </c>
      <c r="T167" s="299">
        <f>INDEX('Inputs (2)'!$D$21:$AL$21,MATCH(T$7,'Inputs (2)'!$D$2:$AL$2,0))</f>
        <v>24434</v>
      </c>
      <c r="U167" s="299">
        <f>INDEX('Inputs (2)'!$D$21:$AL$21,MATCH(U$7,'Inputs (2)'!$D$2:$AL$2,0))</f>
        <v>24477</v>
      </c>
      <c r="V167" s="299">
        <f>INDEX('Inputs (2)'!$D$21:$AL$21,MATCH(V$7,'Inputs (2)'!$D$2:$AL$2,0))</f>
        <v>24457</v>
      </c>
      <c r="W167" s="266">
        <f>V167</f>
        <v>24457</v>
      </c>
      <c r="X167" s="299">
        <f>INDEX('Inputs (2)'!$D$21:$AL$21,MATCH(X$7,'Inputs (2)'!$D$2:$AL$2,0))</f>
        <v>25113</v>
      </c>
      <c r="Y167" s="299">
        <f>INDEX('Inputs (2)'!$D$21:$AL$21,MATCH(Y$7,'Inputs (2)'!$D$2:$AL$2,0))</f>
        <v>25098</v>
      </c>
      <c r="Z167" s="299">
        <f>INDEX('Inputs (2)'!$D$21:$AL$21,MATCH(Z$7,'Inputs (2)'!$D$2:$AL$2,0))</f>
        <v>25764</v>
      </c>
      <c r="AA167" s="299">
        <f>INDEX('Inputs (2)'!$D$21:$AL$21,MATCH(AA$7,'Inputs (2)'!$D$2:$AL$2,0))</f>
        <v>23445</v>
      </c>
      <c r="AB167" s="266">
        <f>AA167</f>
        <v>23445</v>
      </c>
      <c r="AC167" s="299">
        <f>INDEX('Inputs (2)'!$D$21:$AL$21,MATCH(AC$7,'Inputs (2)'!$D$2:$AL$2,0))</f>
        <v>24236</v>
      </c>
      <c r="AD167" s="299">
        <f>INDEX('Inputs (2)'!$D$21:$AL$21,MATCH(AD$7,'Inputs (2)'!$D$2:$AL$2,0))</f>
        <v>23456</v>
      </c>
      <c r="AE167" s="299">
        <f>INDEX('Inputs (2)'!$D$21:$AL$21,MATCH(AE$7,'Inputs (2)'!$D$2:$AL$2,0))</f>
        <v>23729</v>
      </c>
      <c r="AF167" s="299">
        <f>INDEX('Inputs (2)'!$D$21:$AL$21,MATCH(AF$7,'Inputs (2)'!$D$2:$AL$2,0))</f>
        <v>27775</v>
      </c>
      <c r="AG167" s="266">
        <f>AF167</f>
        <v>27775</v>
      </c>
      <c r="AH167" s="266">
        <f>INDEX('Inputs (2)'!$D$21:$AL$21,MATCH(AH$7,'Inputs (2)'!$D$2:$AL$2,0))</f>
        <v>27579</v>
      </c>
      <c r="AI167" s="266">
        <f>INDEX('Inputs (2)'!$D$21:$AL$21,MATCH(AI$7,'Inputs (2)'!$D$2:$AL$2,0))</f>
        <v>27997</v>
      </c>
      <c r="AJ167" s="266">
        <f>AI167+AJ141+AJ170</f>
        <v>27997</v>
      </c>
      <c r="AK167" s="266">
        <f>AJ167+AK141+AK170</f>
        <v>27997</v>
      </c>
      <c r="AL167" s="266">
        <f>AK167</f>
        <v>27997</v>
      </c>
      <c r="AM167" s="266">
        <f>AL167+AM141+AM170</f>
        <v>27997</v>
      </c>
      <c r="AN167" s="266">
        <f>AM167+AN141+AN170</f>
        <v>27997</v>
      </c>
      <c r="AO167" s="266">
        <f>AN167+AO141+AO170</f>
        <v>27997</v>
      </c>
      <c r="AP167" s="266">
        <f>AO167+AP141+AP170</f>
        <v>27997</v>
      </c>
      <c r="AQ167" s="266">
        <f>AP167</f>
        <v>27997</v>
      </c>
      <c r="AR167" s="266">
        <f>AQ167+AR141+AR170</f>
        <v>27997</v>
      </c>
      <c r="AS167" s="266">
        <f>AR167+AS141+AS170</f>
        <v>27997</v>
      </c>
      <c r="AT167" s="266">
        <f>AS167+AT141+AT170</f>
        <v>27997</v>
      </c>
      <c r="AU167" s="266">
        <f>AT167+AU141+AU170</f>
        <v>27997</v>
      </c>
      <c r="AV167" s="266">
        <f>AU167</f>
        <v>27997</v>
      </c>
      <c r="AW167" s="266">
        <f>AV167+AW141+AW170</f>
        <v>27997</v>
      </c>
      <c r="AX167" s="266">
        <f>AW167+AX141+AX170</f>
        <v>27997</v>
      </c>
      <c r="AY167" s="266">
        <f>AX167+AY141+AY170</f>
        <v>27997</v>
      </c>
      <c r="AZ167" s="266">
        <f>AY167+AZ141+AZ170</f>
        <v>27997</v>
      </c>
      <c r="BA167" s="266">
        <f>AZ167</f>
        <v>27997</v>
      </c>
      <c r="BB167" s="266">
        <f>BA167+BB141+BB170</f>
        <v>27997</v>
      </c>
      <c r="BC167" s="266">
        <f>BB167+BC141+BC170</f>
        <v>27997</v>
      </c>
      <c r="BD167" s="266">
        <f>BC167+BD141+BD170</f>
        <v>27997</v>
      </c>
      <c r="BE167" s="266">
        <f>BD167+BE141+BE170</f>
        <v>27997</v>
      </c>
      <c r="BF167" s="266">
        <f>BE167</f>
        <v>27997</v>
      </c>
      <c r="BG167" s="266">
        <f>BF167+BG141+BG170</f>
        <v>27997</v>
      </c>
      <c r="BH167" s="266">
        <f>BG167+BH141+BH170</f>
        <v>27997</v>
      </c>
      <c r="BI167" s="266">
        <f>BH167+BI141+BI170</f>
        <v>27997</v>
      </c>
      <c r="BJ167" s="266">
        <f>BI167+BJ141+BJ170</f>
        <v>27997</v>
      </c>
      <c r="BK167" s="266">
        <f>BJ167</f>
        <v>27997</v>
      </c>
      <c r="BL167" s="266">
        <f>BK167+BL141+BL170</f>
        <v>27997</v>
      </c>
      <c r="BM167" s="266">
        <f>BL167+BM141+BM170</f>
        <v>27997</v>
      </c>
      <c r="BN167" s="266">
        <f>BM167+BN141+BN170</f>
        <v>27997</v>
      </c>
      <c r="BO167" s="266">
        <f>BN167+BO141+BO170</f>
        <v>27997</v>
      </c>
      <c r="BP167" s="266">
        <f>BO167</f>
        <v>27997</v>
      </c>
      <c r="BQ167" s="266">
        <f>BP167+BQ141+BQ170</f>
        <v>27997</v>
      </c>
      <c r="BR167" s="266">
        <f>BQ167+BR141+BR170</f>
        <v>27997</v>
      </c>
      <c r="BS167" s="266">
        <f>BR167+BS141+BS170</f>
        <v>27997</v>
      </c>
      <c r="BT167" s="266">
        <f>BS167+BT141+BT170</f>
        <v>27997</v>
      </c>
      <c r="BU167" s="266">
        <f>BT167</f>
        <v>27997</v>
      </c>
      <c r="BV167" s="266">
        <f>BU167+BV141+BV170</f>
        <v>27997</v>
      </c>
      <c r="BW167" s="266">
        <f>BV167+BW141+BW170</f>
        <v>27997</v>
      </c>
      <c r="BX167" s="266">
        <f>BW167+BX141+BX170</f>
        <v>27997</v>
      </c>
      <c r="BY167" s="266">
        <f>BX167+BY141+BY170</f>
        <v>27997</v>
      </c>
      <c r="BZ167" s="266">
        <f>BY167</f>
        <v>27997</v>
      </c>
      <c r="CA167" s="266">
        <f>BZ167+CA141+CA170</f>
        <v>27997</v>
      </c>
      <c r="CB167" s="266">
        <f>CA167+CB141+CB170</f>
        <v>27997</v>
      </c>
      <c r="CC167" s="266">
        <f>CB167+CC141+CC170</f>
        <v>27997</v>
      </c>
      <c r="CD167" s="266">
        <f>CC167+CD141+CD170</f>
        <v>27997</v>
      </c>
      <c r="CE167" s="266">
        <f>CD167</f>
        <v>27997</v>
      </c>
      <c r="CF167" s="266">
        <f>CE167+CF141+CF170</f>
        <v>27997</v>
      </c>
      <c r="CG167" s="266">
        <f>CF167+CG141+CG170</f>
        <v>27997</v>
      </c>
      <c r="CH167" s="266">
        <f>CG167+CH141+CH170</f>
        <v>27997</v>
      </c>
      <c r="CI167" s="266">
        <f>CH167+CI141+CI170</f>
        <v>27997</v>
      </c>
      <c r="CJ167" s="266">
        <f>CI167</f>
        <v>27997</v>
      </c>
      <c r="CK167" s="266">
        <f>CJ167+CK141+CK170</f>
        <v>27997</v>
      </c>
      <c r="CL167" s="266">
        <f>CK167+CL141+CL170</f>
        <v>27997</v>
      </c>
      <c r="CM167" s="266">
        <f>CL167+CM141+CM170</f>
        <v>27997</v>
      </c>
      <c r="CN167" s="266">
        <f>CM167+CN141+CN170</f>
        <v>27997</v>
      </c>
      <c r="CO167" s="266">
        <f>CN167</f>
        <v>27997</v>
      </c>
      <c r="CP167" s="266">
        <f>CO167+CP141+CP170</f>
        <v>27997</v>
      </c>
      <c r="CQ167" s="266">
        <f>CP167+CQ141+CQ170</f>
        <v>27997</v>
      </c>
      <c r="CR167" s="266">
        <f>CQ167+CR141+CR170</f>
        <v>27997</v>
      </c>
      <c r="CS167" s="266">
        <f>CR167+CS141+CS170</f>
        <v>27997</v>
      </c>
      <c r="CT167" s="266">
        <f>CS167</f>
        <v>27997</v>
      </c>
      <c r="CU167" s="266">
        <f>CT167+CU141+CU170</f>
        <v>27997</v>
      </c>
      <c r="CV167" s="266">
        <f>CU167+CV141+CV170</f>
        <v>27997</v>
      </c>
      <c r="CW167" s="266">
        <f>CV167+CW141+CW170</f>
        <v>27997</v>
      </c>
      <c r="CX167" s="266">
        <f>CW167+CX141+CX170</f>
        <v>27997</v>
      </c>
      <c r="CY167" s="266">
        <f>CX167</f>
        <v>27997</v>
      </c>
    </row>
    <row r="168" hidden="1" outlineLevel="1" ht="12.75" customHeight="1" s="254">
      <c r="C168" s="310" t="n"/>
      <c r="D168" s="266" t="n"/>
      <c r="E168" s="266" t="n"/>
      <c r="F168" s="266" t="n"/>
      <c r="G168" s="266" t="n"/>
      <c r="H168" s="266" t="n"/>
      <c r="I168" s="266" t="n"/>
      <c r="J168" s="266" t="n"/>
      <c r="K168" s="266" t="n"/>
      <c r="L168" s="266" t="n"/>
      <c r="M168" s="266" t="n"/>
      <c r="N168" s="266" t="n"/>
      <c r="O168" s="266" t="n"/>
      <c r="P168" s="266" t="n"/>
      <c r="Q168" s="266" t="n"/>
      <c r="R168" s="266" t="n"/>
      <c r="S168" s="266" t="n"/>
      <c r="T168" s="266" t="n"/>
      <c r="U168" s="266" t="n"/>
      <c r="V168" s="266" t="n"/>
      <c r="W168" s="266" t="n"/>
      <c r="X168" s="266" t="n"/>
      <c r="Y168" s="266" t="n"/>
      <c r="Z168" s="266" t="n"/>
      <c r="AA168" s="266" t="n"/>
      <c r="AB168" s="266" t="n"/>
      <c r="AC168" s="266" t="n"/>
      <c r="AD168" s="266" t="n"/>
      <c r="AE168" s="266" t="n"/>
      <c r="AF168" s="266" t="n"/>
      <c r="AG168" s="266" t="n"/>
      <c r="AH168" s="266" t="n"/>
      <c r="AI168" s="266" t="n"/>
      <c r="AJ168" s="266" t="n"/>
      <c r="AK168" s="266" t="n"/>
      <c r="AL168" s="266" t="n"/>
      <c r="AM168" s="266" t="n"/>
      <c r="AN168" s="266" t="n"/>
      <c r="AO168" s="266" t="n"/>
      <c r="AP168" s="266" t="n"/>
      <c r="AQ168" s="266" t="n"/>
      <c r="AR168" s="266" t="n"/>
      <c r="AS168" s="266" t="n"/>
      <c r="AT168" s="266" t="n"/>
      <c r="AU168" s="266" t="n"/>
      <c r="AV168" s="266" t="n"/>
      <c r="AW168" s="266" t="n"/>
      <c r="AX168" s="266" t="n"/>
      <c r="AY168" s="266" t="n"/>
      <c r="AZ168" s="266" t="n"/>
      <c r="BA168" s="266" t="n"/>
      <c r="BB168" s="266" t="n"/>
      <c r="BC168" s="266" t="n"/>
      <c r="BD168" s="266" t="n"/>
      <c r="BE168" s="266" t="n"/>
      <c r="BF168" s="266" t="n"/>
      <c r="BG168" s="266" t="n"/>
      <c r="BH168" s="266" t="n"/>
      <c r="BI168" s="266" t="n"/>
      <c r="BJ168" s="266" t="n"/>
      <c r="BK168" s="266" t="n"/>
      <c r="BL168" s="266" t="n"/>
      <c r="BM168" s="266" t="n"/>
      <c r="BN168" s="266" t="n"/>
      <c r="BO168" s="266" t="n"/>
      <c r="BP168" s="266" t="n"/>
      <c r="BQ168" s="266" t="n"/>
      <c r="BR168" s="266" t="n"/>
      <c r="BS168" s="266" t="n"/>
      <c r="BT168" s="266" t="n"/>
      <c r="BU168" s="266" t="n"/>
      <c r="BV168" s="266" t="n"/>
      <c r="BW168" s="266" t="n"/>
      <c r="BX168" s="266" t="n"/>
      <c r="BY168" s="266" t="n"/>
      <c r="BZ168" s="266" t="n"/>
      <c r="CA168" s="266" t="n"/>
      <c r="CB168" s="266" t="n"/>
      <c r="CC168" s="266" t="n"/>
      <c r="CD168" s="266" t="n"/>
      <c r="CE168" s="266" t="n"/>
      <c r="CF168" s="266" t="n"/>
      <c r="CG168" s="266" t="n"/>
      <c r="CH168" s="266" t="n"/>
      <c r="CI168" s="266" t="n"/>
      <c r="CJ168" s="266" t="n"/>
      <c r="CK168" s="266" t="n"/>
      <c r="CL168" s="266" t="n"/>
      <c r="CM168" s="266" t="n"/>
      <c r="CN168" s="266" t="n"/>
      <c r="CO168" s="266" t="n"/>
      <c r="CP168" s="266" t="n"/>
      <c r="CQ168" s="266" t="n"/>
      <c r="CR168" s="266" t="n"/>
      <c r="CS168" s="266" t="n"/>
      <c r="CT168" s="266" t="n"/>
      <c r="CU168" s="266" t="n"/>
      <c r="CV168" s="266" t="n"/>
      <c r="CW168" s="266" t="n"/>
      <c r="CX168" s="266" t="n"/>
      <c r="CY168" s="266" t="n"/>
    </row>
    <row r="169" hidden="1" outlineLevel="1" ht="12.75" customHeight="1" s="254">
      <c r="C169" s="310" t="inlineStr">
        <is>
          <t>Equity in Income - % YoY</t>
        </is>
      </c>
      <c r="D169" s="266" t="n"/>
      <c r="E169" s="266" t="n"/>
      <c r="F169" s="266" t="n"/>
      <c r="G169" s="266" t="n"/>
      <c r="H169" s="266" t="n"/>
      <c r="I169" s="266" t="n"/>
      <c r="J169" s="266" t="n"/>
      <c r="K169" s="266" t="n"/>
      <c r="L169" s="266" t="n"/>
      <c r="M169" s="266" t="n"/>
      <c r="N169" s="266">
        <f>IF(I141=0,0,N141/I141-1)</f>
        <v>0</v>
      </c>
      <c r="O169" s="266">
        <f>IF(J141=0,0,O141/J141-1)</f>
        <v>0</v>
      </c>
      <c r="P169" s="266">
        <f>IF(K141=0,0,P141/K141-1)</f>
        <v>0</v>
      </c>
      <c r="Q169" s="266">
        <f>IF(L141=0,0,Q141/L141-1)</f>
        <v>-1</v>
      </c>
      <c r="R169" s="266" t="n"/>
      <c r="S169" s="266">
        <f>IF(N141=0,0,S141/N141-1)</f>
        <v>0</v>
      </c>
      <c r="T169" s="266">
        <f>IF(O141=0,0,T141/O141-1)</f>
        <v>0</v>
      </c>
      <c r="U169" s="266">
        <f>IF(P141=0,0,U141/P141-1)</f>
        <v>-1</v>
      </c>
      <c r="V169" s="266">
        <f>IF(Q141=0,0,V141/Q141-1)</f>
        <v>0</v>
      </c>
      <c r="W169" s="266" t="n"/>
      <c r="X169" s="266">
        <f>IF(S141=0,0,X141/S141-1)</f>
        <v>-1</v>
      </c>
      <c r="Y169" s="266">
        <f>IF(T141=0,0,Y141/T141-1)</f>
        <v>-1</v>
      </c>
      <c r="Z169" s="266">
        <f>IF(U141=0,0,Z141/U141-1)</f>
        <v>0</v>
      </c>
      <c r="AA169" s="266">
        <f>IF(V141=0,0,AA141/V141-1)</f>
        <v>0</v>
      </c>
      <c r="AB169" s="266" t="n"/>
      <c r="AC169" s="266">
        <f>IF(X141=0,0,AC141/X141-1)</f>
        <v>0</v>
      </c>
      <c r="AD169" s="266">
        <f>IF(Y141=0,0,AD141/Y141-1)</f>
        <v>0</v>
      </c>
      <c r="AE169" s="266">
        <f>IF(Z141=0,0,AE141/Z141-1)</f>
        <v>0</v>
      </c>
      <c r="AF169" s="266">
        <f>IF(AA141=0,0,AF141/AA141-1)</f>
        <v>0</v>
      </c>
      <c r="AG169" s="266" t="n"/>
      <c r="AH169" s="265">
        <f>IF(AC141=0,0,AH141/AC141-1)</f>
        <v>-1</v>
      </c>
      <c r="AI169" s="265">
        <f>IF(AD141=0,0,AI141/AD141-1)</f>
        <v>-1</v>
      </c>
      <c r="AJ169" s="265" t="n"/>
      <c r="AK169" s="265" t="n"/>
      <c r="AL169" s="266" t="n"/>
      <c r="AM169" s="265" t="n"/>
      <c r="AN169" s="265" t="n"/>
      <c r="AO169" s="265" t="n"/>
      <c r="AP169" s="265" t="n"/>
      <c r="AQ169" s="266" t="n"/>
      <c r="AR169" s="265" t="n"/>
      <c r="AS169" s="265" t="n"/>
      <c r="AT169" s="265" t="n"/>
      <c r="AU169" s="265" t="n"/>
      <c r="AV169" s="266" t="n"/>
      <c r="AW169" s="265" t="n"/>
      <c r="AX169" s="265" t="n"/>
      <c r="AY169" s="265" t="n"/>
      <c r="AZ169" s="265" t="n"/>
      <c r="BA169" s="266" t="n"/>
      <c r="BB169" s="265" t="n"/>
      <c r="BC169" s="265" t="n"/>
      <c r="BD169" s="265" t="n"/>
      <c r="BE169" s="265" t="n"/>
      <c r="BF169" s="266" t="n"/>
      <c r="BG169" s="265" t="n"/>
      <c r="BH169" s="265" t="n"/>
      <c r="BI169" s="265" t="n"/>
      <c r="BJ169" s="265" t="n"/>
      <c r="BK169" s="266" t="n"/>
      <c r="BL169" s="265" t="n"/>
      <c r="BM169" s="265" t="n"/>
      <c r="BN169" s="265" t="n"/>
      <c r="BO169" s="265" t="n"/>
      <c r="BP169" s="266" t="n"/>
      <c r="BQ169" s="265" t="n"/>
      <c r="BR169" s="265" t="n"/>
      <c r="BS169" s="265" t="n"/>
      <c r="BT169" s="265" t="n"/>
      <c r="BU169" s="266" t="n"/>
      <c r="BV169" s="265" t="n"/>
      <c r="BW169" s="265" t="n"/>
      <c r="BX169" s="265" t="n"/>
      <c r="BY169" s="265" t="n"/>
      <c r="BZ169" s="266" t="n"/>
      <c r="CA169" s="265" t="n"/>
      <c r="CB169" s="265" t="n"/>
      <c r="CC169" s="265" t="n"/>
      <c r="CD169" s="265" t="n"/>
      <c r="CE169" s="266" t="n"/>
      <c r="CF169" s="265" t="n"/>
      <c r="CG169" s="265" t="n"/>
      <c r="CH169" s="265" t="n"/>
      <c r="CI169" s="265" t="n"/>
      <c r="CJ169" s="266" t="n"/>
      <c r="CK169" s="265" t="n"/>
      <c r="CL169" s="265" t="n"/>
      <c r="CM169" s="265" t="n"/>
      <c r="CN169" s="265" t="n"/>
      <c r="CO169" s="266" t="n"/>
      <c r="CP169" s="265" t="n"/>
      <c r="CQ169" s="265" t="n"/>
      <c r="CR169" s="265" t="n"/>
      <c r="CS169" s="265" t="n"/>
      <c r="CT169" s="266" t="n"/>
      <c r="CU169" s="265" t="n"/>
      <c r="CV169" s="265" t="n"/>
      <c r="CW169" s="265" t="n"/>
      <c r="CX169" s="265" t="n"/>
      <c r="CY169" s="266" t="n"/>
    </row>
    <row r="170" hidden="1" outlineLevel="1" ht="12.75" customHeight="1" s="254">
      <c r="C170" s="310" t="inlineStr">
        <is>
          <t>Dividends (enter as -)</t>
        </is>
      </c>
      <c r="D170" s="266" t="n"/>
      <c r="E170" s="266" t="n"/>
      <c r="F170" s="266" t="n"/>
      <c r="G170" s="266" t="n"/>
      <c r="H170" s="266" t="n"/>
      <c r="I170" s="266" t="n"/>
      <c r="J170" s="266" t="n"/>
      <c r="K170" s="266" t="n"/>
      <c r="L170" s="266" t="n"/>
      <c r="M170" s="266" t="n"/>
      <c r="N170" s="266" t="n"/>
      <c r="O170" s="266" t="n"/>
      <c r="P170" s="266" t="n"/>
      <c r="Q170" s="266" t="n"/>
      <c r="R170" s="266" t="n"/>
      <c r="S170" s="266" t="n"/>
      <c r="T170" s="266" t="n"/>
      <c r="U170" s="266" t="n"/>
      <c r="V170" s="266" t="n"/>
      <c r="W170" s="266" t="n"/>
      <c r="X170" s="266" t="n"/>
      <c r="Y170" s="266" t="n"/>
      <c r="Z170" s="266" t="n"/>
      <c r="AA170" s="266" t="n"/>
      <c r="AB170" s="266" t="n"/>
      <c r="AC170" s="266" t="n"/>
      <c r="AD170" s="266" t="n"/>
      <c r="AE170" s="266" t="n"/>
      <c r="AF170" s="266" t="n"/>
      <c r="AG170" s="266" t="n"/>
      <c r="AH170" s="265" t="n"/>
      <c r="AI170" s="265" t="n"/>
      <c r="AJ170" s="265" t="n"/>
      <c r="AK170" s="265" t="n"/>
      <c r="AL170" s="266" t="n"/>
      <c r="AM170" s="265" t="n"/>
      <c r="AN170" s="265" t="n"/>
      <c r="AO170" s="265" t="n"/>
      <c r="AP170" s="265" t="n"/>
      <c r="AQ170" s="266" t="n"/>
      <c r="AR170" s="265" t="n"/>
      <c r="AS170" s="265" t="n"/>
      <c r="AT170" s="265" t="n"/>
      <c r="AU170" s="265" t="n"/>
      <c r="AV170" s="266" t="n"/>
      <c r="AW170" s="265" t="n"/>
      <c r="AX170" s="265" t="n"/>
      <c r="AY170" s="265" t="n"/>
      <c r="AZ170" s="265" t="n"/>
      <c r="BA170" s="266" t="n"/>
      <c r="BB170" s="265" t="n"/>
      <c r="BC170" s="265" t="n"/>
      <c r="BD170" s="265" t="n"/>
      <c r="BE170" s="265" t="n"/>
      <c r="BF170" s="266" t="n"/>
      <c r="BG170" s="265" t="n"/>
      <c r="BH170" s="265" t="n"/>
      <c r="BI170" s="265" t="n"/>
      <c r="BJ170" s="265" t="n"/>
      <c r="BK170" s="266" t="n"/>
      <c r="BL170" s="265" t="n"/>
      <c r="BM170" s="265" t="n"/>
      <c r="BN170" s="265" t="n"/>
      <c r="BO170" s="265" t="n"/>
      <c r="BP170" s="266" t="n"/>
      <c r="BQ170" s="265" t="n"/>
      <c r="BR170" s="265" t="n"/>
      <c r="BS170" s="265" t="n"/>
      <c r="BT170" s="265" t="n"/>
      <c r="BU170" s="266" t="n"/>
      <c r="BV170" s="265" t="n"/>
      <c r="BW170" s="265" t="n"/>
      <c r="BX170" s="265" t="n"/>
      <c r="BY170" s="265" t="n"/>
      <c r="BZ170" s="266" t="n"/>
      <c r="CA170" s="265" t="n"/>
      <c r="CB170" s="265" t="n"/>
      <c r="CC170" s="265" t="n"/>
      <c r="CD170" s="265" t="n"/>
      <c r="CE170" s="266" t="n"/>
      <c r="CF170" s="265" t="n"/>
      <c r="CG170" s="265" t="n"/>
      <c r="CH170" s="265" t="n"/>
      <c r="CI170" s="265" t="n"/>
      <c r="CJ170" s="266" t="n"/>
      <c r="CK170" s="265" t="n"/>
      <c r="CL170" s="265" t="n"/>
      <c r="CM170" s="265" t="n"/>
      <c r="CN170" s="265" t="n"/>
      <c r="CO170" s="266" t="n"/>
      <c r="CP170" s="265" t="n"/>
      <c r="CQ170" s="265" t="n"/>
      <c r="CR170" s="265" t="n"/>
      <c r="CS170" s="265" t="n"/>
      <c r="CT170" s="266" t="n"/>
      <c r="CU170" s="265" t="n"/>
      <c r="CV170" s="265" t="n"/>
      <c r="CW170" s="265" t="n"/>
      <c r="CX170" s="265" t="n"/>
      <c r="CY170" s="266" t="n"/>
    </row>
    <row r="171" hidden="1" outlineLevel="1" ht="12.75" customHeight="1" s="254">
      <c r="C171" s="310" t="n"/>
      <c r="D171" s="266" t="n"/>
      <c r="E171" s="266" t="n"/>
      <c r="F171" s="266" t="n"/>
      <c r="G171" s="266" t="n"/>
      <c r="H171" s="266" t="n"/>
      <c r="I171" s="266" t="n"/>
      <c r="J171" s="266" t="n"/>
      <c r="K171" s="266" t="n"/>
      <c r="L171" s="266" t="n"/>
      <c r="M171" s="266" t="n"/>
      <c r="N171" s="266" t="n"/>
      <c r="O171" s="266" t="n"/>
      <c r="P171" s="266" t="n"/>
      <c r="Q171" s="266" t="n"/>
      <c r="R171" s="266" t="n"/>
      <c r="S171" s="266" t="n"/>
      <c r="T171" s="266" t="n"/>
      <c r="U171" s="266" t="n"/>
      <c r="V171" s="266" t="n"/>
      <c r="W171" s="266" t="n"/>
      <c r="X171" s="266" t="n"/>
      <c r="Y171" s="266" t="n"/>
      <c r="Z171" s="266" t="n"/>
      <c r="AA171" s="266" t="n"/>
      <c r="AB171" s="266" t="n"/>
      <c r="AC171" s="266" t="n"/>
      <c r="AD171" s="266" t="n"/>
      <c r="AE171" s="266" t="n"/>
      <c r="AF171" s="266" t="n"/>
      <c r="AG171" s="266" t="n"/>
      <c r="AH171" s="266" t="n"/>
      <c r="AI171" s="266" t="n"/>
      <c r="AJ171" s="266" t="n"/>
      <c r="AK171" s="266" t="n"/>
      <c r="AL171" s="266" t="n"/>
      <c r="AM171" s="266" t="n"/>
      <c r="AN171" s="266" t="n"/>
      <c r="AO171" s="266" t="n"/>
      <c r="AP171" s="266" t="n"/>
      <c r="AQ171" s="266" t="n"/>
      <c r="AR171" s="266" t="n"/>
      <c r="AS171" s="266" t="n"/>
      <c r="AT171" s="266" t="n"/>
      <c r="AU171" s="266" t="n"/>
      <c r="AV171" s="266" t="n"/>
      <c r="AW171" s="266" t="n"/>
      <c r="AX171" s="266" t="n"/>
      <c r="AY171" s="266" t="n"/>
      <c r="AZ171" s="266" t="n"/>
      <c r="BA171" s="266" t="n"/>
      <c r="BB171" s="266" t="n"/>
      <c r="BC171" s="266" t="n"/>
      <c r="BD171" s="266" t="n"/>
      <c r="BE171" s="266" t="n"/>
      <c r="BF171" s="266" t="n"/>
      <c r="BG171" s="266" t="n"/>
      <c r="BH171" s="266" t="n"/>
      <c r="BI171" s="266" t="n"/>
      <c r="BJ171" s="266" t="n"/>
      <c r="BK171" s="266" t="n"/>
      <c r="BL171" s="266" t="n"/>
      <c r="BM171" s="266" t="n"/>
      <c r="BN171" s="266" t="n"/>
      <c r="BO171" s="266" t="n"/>
      <c r="BP171" s="266" t="n"/>
      <c r="BQ171" s="266" t="n"/>
      <c r="BR171" s="266" t="n"/>
      <c r="BS171" s="266" t="n"/>
      <c r="BT171" s="266" t="n"/>
      <c r="BU171" s="266" t="n"/>
      <c r="BV171" s="266" t="n"/>
      <c r="BW171" s="266" t="n"/>
      <c r="BX171" s="266" t="n"/>
      <c r="BY171" s="266" t="n"/>
      <c r="BZ171" s="266" t="n"/>
      <c r="CA171" s="266" t="n"/>
      <c r="CB171" s="266" t="n"/>
      <c r="CC171" s="266" t="n"/>
      <c r="CD171" s="266" t="n"/>
      <c r="CE171" s="266" t="n"/>
      <c r="CF171" s="266" t="n"/>
      <c r="CG171" s="266" t="n"/>
      <c r="CH171" s="266" t="n"/>
      <c r="CI171" s="266" t="n"/>
      <c r="CJ171" s="266" t="n"/>
      <c r="CK171" s="266" t="n"/>
      <c r="CL171" s="266" t="n"/>
      <c r="CM171" s="266" t="n"/>
      <c r="CN171" s="266" t="n"/>
      <c r="CO171" s="266" t="n"/>
      <c r="CP171" s="266" t="n"/>
      <c r="CQ171" s="266" t="n"/>
      <c r="CR171" s="266" t="n"/>
      <c r="CS171" s="266" t="n"/>
      <c r="CT171" s="266" t="n"/>
      <c r="CU171" s="266" t="n"/>
      <c r="CV171" s="266" t="n"/>
      <c r="CW171" s="266" t="n"/>
      <c r="CX171" s="266" t="n"/>
      <c r="CY171" s="266" t="n"/>
    </row>
    <row r="172" ht="12.75" customHeight="1" s="254">
      <c r="C172" s="268" t="inlineStr">
        <is>
          <t>PP&amp;E</t>
        </is>
      </c>
      <c r="D172" s="299" t="n"/>
      <c r="E172" s="299" t="n"/>
      <c r="F172" s="299" t="n"/>
      <c r="G172" s="299" t="n"/>
      <c r="H172" s="266">
        <f>G172</f>
        <v>0</v>
      </c>
      <c r="I172" s="299">
        <f>INDEX('Inputs (2)'!$D$22:$AL$22,MATCH(I$7,'Inputs (2)'!$D$2:$AL$2,0))</f>
        <v>208298</v>
      </c>
      <c r="J172" s="299">
        <f>INDEX('Inputs (2)'!$D$22:$AL$22,MATCH(J$7,'Inputs (2)'!$D$2:$AL$2,0))</f>
        <v>205272</v>
      </c>
      <c r="K172" s="299">
        <f>INDEX('Inputs (2)'!$D$22:$AL$22,MATCH(K$7,'Inputs (2)'!$D$2:$AL$2,0))</f>
        <v>196261</v>
      </c>
      <c r="L172" s="299">
        <f>INDEX('Inputs (2)'!$D$22:$AL$22,MATCH(L$7,'Inputs (2)'!$D$2:$AL$2,0))</f>
        <v>194932</v>
      </c>
      <c r="M172" s="266">
        <f>L172</f>
        <v>194932</v>
      </c>
      <c r="N172" s="299">
        <f>INDEX('Inputs (2)'!$D$22:$AL$22,MATCH(N$7,'Inputs (2)'!$D$2:$AL$2,0))</f>
        <v>193301</v>
      </c>
      <c r="O172" s="299">
        <f>INDEX('Inputs (2)'!$D$22:$AL$22,MATCH(O$7,'Inputs (2)'!$D$2:$AL$2,0))</f>
        <v>200122</v>
      </c>
      <c r="P172" s="299">
        <f>INDEX('Inputs (2)'!$D$22:$AL$22,MATCH(P$7,'Inputs (2)'!$D$2:$AL$2,0))</f>
        <v>193681</v>
      </c>
      <c r="Q172" s="299">
        <f>INDEX('Inputs (2)'!$D$22:$AL$22,MATCH(Q$7,'Inputs (2)'!$D$2:$AL$2,0))</f>
        <v>198642</v>
      </c>
      <c r="R172" s="266">
        <f>Q172</f>
        <v>198642</v>
      </c>
      <c r="S172" s="299">
        <f>INDEX('Inputs (2)'!$D$22:$AL$22,MATCH(S$7,'Inputs (2)'!$D$2:$AL$2,0))</f>
        <v>199209</v>
      </c>
      <c r="T172" s="299">
        <f>INDEX('Inputs (2)'!$D$22:$AL$22,MATCH(T$7,'Inputs (2)'!$D$2:$AL$2,0))</f>
        <v>197177</v>
      </c>
      <c r="U172" s="299">
        <f>INDEX('Inputs (2)'!$D$22:$AL$22,MATCH(U$7,'Inputs (2)'!$D$2:$AL$2,0))</f>
        <v>197043</v>
      </c>
      <c r="V172" s="299">
        <f>INDEX('Inputs (2)'!$D$22:$AL$22,MATCH(V$7,'Inputs (2)'!$D$2:$AL$2,0))</f>
        <v>194835</v>
      </c>
      <c r="W172" s="266">
        <f>V172</f>
        <v>194835</v>
      </c>
      <c r="X172" s="299">
        <f>INDEX('Inputs (2)'!$D$22:$AL$22,MATCH(X$7,'Inputs (2)'!$D$2:$AL$2,0))</f>
        <v>191952</v>
      </c>
      <c r="Y172" s="299">
        <f>INDEX('Inputs (2)'!$D$22:$AL$22,MATCH(Y$7,'Inputs (2)'!$D$2:$AL$2,0))</f>
        <v>189656</v>
      </c>
      <c r="Z172" s="299">
        <f>INDEX('Inputs (2)'!$D$22:$AL$22,MATCH(Z$7,'Inputs (2)'!$D$2:$AL$2,0))</f>
        <v>191721</v>
      </c>
      <c r="AA172" s="299">
        <f>INDEX('Inputs (2)'!$D$22:$AL$22,MATCH(AA$7,'Inputs (2)'!$D$2:$AL$2,0))</f>
        <v>185219</v>
      </c>
      <c r="AB172" s="266">
        <f>AA172</f>
        <v>185219</v>
      </c>
      <c r="AC172" s="299">
        <f>INDEX('Inputs (2)'!$D$22:$AL$22,MATCH(AC$7,'Inputs (2)'!$D$2:$AL$2,0))</f>
        <v>183712</v>
      </c>
      <c r="AD172" s="299">
        <f>INDEX('Inputs (2)'!$D$22:$AL$22,MATCH(AD$7,'Inputs (2)'!$D$2:$AL$2,0))</f>
        <v>186461</v>
      </c>
      <c r="AE172" s="299">
        <f>INDEX('Inputs (2)'!$D$22:$AL$22,MATCH(AE$7,'Inputs (2)'!$D$2:$AL$2,0))</f>
        <v>183907</v>
      </c>
      <c r="AF172" s="299">
        <f>INDEX('Inputs (2)'!$D$22:$AL$22,MATCH(AF$7,'Inputs (2)'!$D$2:$AL$2,0))</f>
        <v>185077</v>
      </c>
      <c r="AG172" s="266">
        <f>AF172</f>
        <v>185077</v>
      </c>
      <c r="AH172" s="266">
        <f>INDEX('Inputs (2)'!$D$22:$AL$22,MATCH(AH$7,'Inputs (2)'!$D$2:$AL$2,0))</f>
        <v>185708</v>
      </c>
      <c r="AI172" s="266">
        <f>INDEX('Inputs (2)'!$D$22:$AL$22,MATCH(AI$7,'Inputs (2)'!$D$2:$AL$2,0))</f>
        <v>182300</v>
      </c>
      <c r="AJ172" s="266">
        <f>AJ177</f>
        <v>182300</v>
      </c>
      <c r="AK172" s="266">
        <f>AK177</f>
        <v>182300</v>
      </c>
      <c r="AL172" s="266">
        <f>AK172</f>
        <v>182300</v>
      </c>
      <c r="AM172" s="266">
        <f>AM177</f>
        <v>182300</v>
      </c>
      <c r="AN172" s="266">
        <f>AN177</f>
        <v>182300</v>
      </c>
      <c r="AO172" s="266">
        <f>AO177</f>
        <v>182300</v>
      </c>
      <c r="AP172" s="266">
        <f>AP177</f>
        <v>182300</v>
      </c>
      <c r="AQ172" s="266">
        <f>AP172</f>
        <v>182300</v>
      </c>
      <c r="AR172" s="266">
        <f>AR177</f>
        <v>182300</v>
      </c>
      <c r="AS172" s="266">
        <f>AS177</f>
        <v>182300</v>
      </c>
      <c r="AT172" s="266">
        <f>AT177</f>
        <v>182300</v>
      </c>
      <c r="AU172" s="266">
        <f>AU177</f>
        <v>182300</v>
      </c>
      <c r="AV172" s="266">
        <f>AU172</f>
        <v>182300</v>
      </c>
      <c r="AW172" s="266">
        <f>AW177</f>
        <v>182300</v>
      </c>
      <c r="AX172" s="266">
        <f>AX177</f>
        <v>182300</v>
      </c>
      <c r="AY172" s="266">
        <f>AY177</f>
        <v>182300</v>
      </c>
      <c r="AZ172" s="266">
        <f>AZ177</f>
        <v>182300</v>
      </c>
      <c r="BA172" s="266">
        <f>AZ172</f>
        <v>182300</v>
      </c>
      <c r="BB172" s="266">
        <f>BB177</f>
        <v>182300</v>
      </c>
      <c r="BC172" s="266">
        <f>BC177</f>
        <v>182300</v>
      </c>
      <c r="BD172" s="266">
        <f>BD177</f>
        <v>182300</v>
      </c>
      <c r="BE172" s="266">
        <f>BE177</f>
        <v>182300</v>
      </c>
      <c r="BF172" s="266">
        <f>BE172</f>
        <v>182300</v>
      </c>
      <c r="BG172" s="266">
        <f>BG177</f>
        <v>182300</v>
      </c>
      <c r="BH172" s="266">
        <f>BH177</f>
        <v>182300</v>
      </c>
      <c r="BI172" s="266">
        <f>BI177</f>
        <v>182300</v>
      </c>
      <c r="BJ172" s="266">
        <f>BJ177</f>
        <v>182300</v>
      </c>
      <c r="BK172" s="266">
        <f>BJ172</f>
        <v>182300</v>
      </c>
      <c r="BL172" s="266">
        <f>BL177</f>
        <v>182300</v>
      </c>
      <c r="BM172" s="266">
        <f>BM177</f>
        <v>182300</v>
      </c>
      <c r="BN172" s="266">
        <f>BN177</f>
        <v>182300</v>
      </c>
      <c r="BO172" s="266">
        <f>BO177</f>
        <v>182300</v>
      </c>
      <c r="BP172" s="266">
        <f>BO172</f>
        <v>182300</v>
      </c>
      <c r="BQ172" s="266">
        <f>BQ177</f>
        <v>182300</v>
      </c>
      <c r="BR172" s="266">
        <f>BR177</f>
        <v>182300</v>
      </c>
      <c r="BS172" s="266">
        <f>BS177</f>
        <v>182300</v>
      </c>
      <c r="BT172" s="266">
        <f>BT177</f>
        <v>182300</v>
      </c>
      <c r="BU172" s="266">
        <f>BT172</f>
        <v>182300</v>
      </c>
      <c r="BV172" s="266">
        <f>BV177</f>
        <v>182300</v>
      </c>
      <c r="BW172" s="266">
        <f>BW177</f>
        <v>182300</v>
      </c>
      <c r="BX172" s="266">
        <f>BX177</f>
        <v>182300</v>
      </c>
      <c r="BY172" s="266">
        <f>BY177</f>
        <v>182300</v>
      </c>
      <c r="BZ172" s="266">
        <f>BY172</f>
        <v>182300</v>
      </c>
      <c r="CA172" s="266">
        <f>CA177</f>
        <v>182300</v>
      </c>
      <c r="CB172" s="266">
        <f>CB177</f>
        <v>182300</v>
      </c>
      <c r="CC172" s="266">
        <f>CC177</f>
        <v>182300</v>
      </c>
      <c r="CD172" s="266">
        <f>CD177</f>
        <v>182300</v>
      </c>
      <c r="CE172" s="266">
        <f>CD172</f>
        <v>182300</v>
      </c>
      <c r="CF172" s="266">
        <f>CF177</f>
        <v>182300</v>
      </c>
      <c r="CG172" s="266">
        <f>CG177</f>
        <v>182300</v>
      </c>
      <c r="CH172" s="266">
        <f>CH177</f>
        <v>182300</v>
      </c>
      <c r="CI172" s="266">
        <f>CI177</f>
        <v>182300</v>
      </c>
      <c r="CJ172" s="266">
        <f>CI172</f>
        <v>182300</v>
      </c>
      <c r="CK172" s="266">
        <f>CK177</f>
        <v>182300</v>
      </c>
      <c r="CL172" s="266">
        <f>CL177</f>
        <v>182300</v>
      </c>
      <c r="CM172" s="266">
        <f>CM177</f>
        <v>182300</v>
      </c>
      <c r="CN172" s="266">
        <f>CN177</f>
        <v>182300</v>
      </c>
      <c r="CO172" s="266">
        <f>CN172</f>
        <v>182300</v>
      </c>
      <c r="CP172" s="266">
        <f>CP177</f>
        <v>182300</v>
      </c>
      <c r="CQ172" s="266">
        <f>CQ177</f>
        <v>182300</v>
      </c>
      <c r="CR172" s="266">
        <f>CR177</f>
        <v>182300</v>
      </c>
      <c r="CS172" s="266">
        <f>CS177</f>
        <v>182300</v>
      </c>
      <c r="CT172" s="266">
        <f>CS172</f>
        <v>182300</v>
      </c>
      <c r="CU172" s="266">
        <f>CU177</f>
        <v>182300</v>
      </c>
      <c r="CV172" s="266">
        <f>CV177</f>
        <v>182300</v>
      </c>
      <c r="CW172" s="266">
        <f>CW177</f>
        <v>182300</v>
      </c>
      <c r="CX172" s="266">
        <f>CX177</f>
        <v>182300</v>
      </c>
      <c r="CY172" s="266">
        <f>CX172</f>
        <v>182300</v>
      </c>
    </row>
    <row r="173" hidden="1" outlineLevel="1" ht="12.75" customHeight="1" s="254">
      <c r="C173" s="310" t="n"/>
      <c r="D173" s="266" t="n"/>
      <c r="E173" s="266" t="n"/>
      <c r="F173" s="266" t="n"/>
      <c r="G173" s="266" t="n"/>
      <c r="H173" s="266" t="n"/>
      <c r="I173" s="266" t="n"/>
      <c r="J173" s="266" t="n"/>
      <c r="K173" s="266" t="n"/>
      <c r="L173" s="266" t="n"/>
      <c r="M173" s="266" t="n"/>
      <c r="N173" s="266" t="n"/>
      <c r="O173" s="266" t="n"/>
      <c r="P173" s="266" t="n"/>
      <c r="Q173" s="266" t="n"/>
      <c r="R173" s="266" t="n"/>
      <c r="S173" s="266" t="n"/>
      <c r="T173" s="266" t="n"/>
      <c r="U173" s="266" t="n"/>
      <c r="V173" s="266" t="n"/>
      <c r="W173" s="266" t="n"/>
      <c r="X173" s="266" t="n"/>
      <c r="Y173" s="266" t="n"/>
      <c r="Z173" s="266" t="n"/>
      <c r="AA173" s="266" t="n"/>
      <c r="AB173" s="266" t="n"/>
      <c r="AC173" s="266" t="n"/>
      <c r="AD173" s="266" t="n"/>
      <c r="AE173" s="266" t="n"/>
      <c r="AF173" s="266" t="n"/>
      <c r="AG173" s="266" t="n"/>
      <c r="AH173" s="266" t="n"/>
      <c r="AI173" s="266" t="n"/>
      <c r="AJ173" s="266" t="n"/>
      <c r="AK173" s="266" t="n"/>
      <c r="AL173" s="266" t="n"/>
      <c r="AM173" s="266" t="n"/>
      <c r="AN173" s="266" t="n"/>
      <c r="AO173" s="266" t="n"/>
      <c r="AP173" s="266" t="n"/>
      <c r="AQ173" s="266" t="n"/>
      <c r="AR173" s="266" t="n"/>
      <c r="AS173" s="266" t="n"/>
      <c r="AT173" s="266" t="n"/>
      <c r="AU173" s="266" t="n"/>
      <c r="AV173" s="266" t="n"/>
      <c r="AW173" s="266" t="n"/>
      <c r="AX173" s="266" t="n"/>
      <c r="AY173" s="266" t="n"/>
      <c r="AZ173" s="266" t="n"/>
      <c r="BA173" s="266" t="n"/>
      <c r="BB173" s="266" t="n"/>
      <c r="BC173" s="266" t="n"/>
      <c r="BD173" s="266" t="n"/>
      <c r="BE173" s="266" t="n"/>
      <c r="BF173" s="266" t="n"/>
      <c r="BG173" s="266" t="n"/>
      <c r="BH173" s="266" t="n"/>
      <c r="BI173" s="266" t="n"/>
      <c r="BJ173" s="266" t="n"/>
      <c r="BK173" s="266" t="n"/>
      <c r="BL173" s="266" t="n"/>
      <c r="BM173" s="266" t="n"/>
      <c r="BN173" s="266" t="n"/>
      <c r="BO173" s="266" t="n"/>
      <c r="BP173" s="266" t="n"/>
      <c r="BQ173" s="266" t="n"/>
      <c r="BR173" s="266" t="n"/>
      <c r="BS173" s="266" t="n"/>
      <c r="BT173" s="266" t="n"/>
      <c r="BU173" s="266" t="n"/>
      <c r="BV173" s="266" t="n"/>
      <c r="BW173" s="266" t="n"/>
      <c r="BX173" s="266" t="n"/>
      <c r="BY173" s="266" t="n"/>
      <c r="BZ173" s="266" t="n"/>
      <c r="CA173" s="266" t="n"/>
      <c r="CB173" s="266" t="n"/>
      <c r="CC173" s="266" t="n"/>
      <c r="CD173" s="266" t="n"/>
      <c r="CE173" s="266" t="n"/>
      <c r="CF173" s="266" t="n"/>
      <c r="CG173" s="266" t="n"/>
      <c r="CH173" s="266" t="n"/>
      <c r="CI173" s="266" t="n"/>
      <c r="CJ173" s="266" t="n"/>
      <c r="CK173" s="266" t="n"/>
      <c r="CL173" s="266" t="n"/>
      <c r="CM173" s="266" t="n"/>
      <c r="CN173" s="266" t="n"/>
      <c r="CO173" s="266" t="n"/>
      <c r="CP173" s="266" t="n"/>
      <c r="CQ173" s="266" t="n"/>
      <c r="CR173" s="266" t="n"/>
      <c r="CS173" s="266" t="n"/>
      <c r="CT173" s="266" t="n"/>
      <c r="CU173" s="266" t="n"/>
      <c r="CV173" s="266" t="n"/>
      <c r="CW173" s="266" t="n"/>
      <c r="CX173" s="266" t="n"/>
      <c r="CY173" s="266" t="n"/>
    </row>
    <row r="174" hidden="1" outlineLevel="1" ht="12.75" customHeight="1" s="254">
      <c r="C174" s="310" t="inlineStr">
        <is>
          <t>Capital expenditures</t>
        </is>
      </c>
      <c r="D174" s="266" t="n"/>
      <c r="E174" s="266">
        <f>E172-D172-E76</f>
        <v>0</v>
      </c>
      <c r="F174" s="266">
        <f>F172-E172-F76</f>
        <v>0</v>
      </c>
      <c r="G174" s="266">
        <f>G172-F172-G76</f>
        <v>0</v>
      </c>
      <c r="H174" s="266" t="n"/>
      <c r="I174" s="266">
        <f>I172-H172-I76</f>
        <v>214194</v>
      </c>
      <c r="J174" s="266">
        <f>J172-I172-J76</f>
        <v>5197</v>
      </c>
      <c r="K174" s="266">
        <f>K172-J172-K76</f>
        <v>-2653</v>
      </c>
      <c r="L174" s="266">
        <f>L172-K172-L76</f>
        <v>5116</v>
      </c>
      <c r="M174" s="266" t="n"/>
      <c r="N174" s="266">
        <f>N172-M172-N76</f>
        <v>4664</v>
      </c>
      <c r="O174" s="266">
        <f>O172-N172-O76</f>
        <v>6473</v>
      </c>
      <c r="P174" s="266">
        <f>P172-O172-P76</f>
        <v>-317</v>
      </c>
      <c r="Q174" s="266">
        <f>Q172-P172-Q76</f>
        <v>11420</v>
      </c>
      <c r="R174" s="266" t="n"/>
      <c r="S174" s="266">
        <f>S172-R172-S76</f>
        <v>6852</v>
      </c>
      <c r="T174" s="266">
        <f>T172-S172-T76</f>
        <v>5840</v>
      </c>
      <c r="U174" s="266">
        <f>U172-T172-U76</f>
        <v>5777</v>
      </c>
      <c r="V174" s="266">
        <f>V172-U172-V76</f>
        <v>9013</v>
      </c>
      <c r="W174" s="266" t="n"/>
      <c r="X174" s="266">
        <f>X172-W172-X76</f>
        <v>2998</v>
      </c>
      <c r="Y174" s="266">
        <f>Y172-X172-Y76</f>
        <v>5259</v>
      </c>
      <c r="Z174" s="266">
        <f>Z172-Y172-Z76</f>
        <v>7981</v>
      </c>
      <c r="AA174" s="266">
        <f>AA172-Z172-AA76</f>
        <v>1018</v>
      </c>
      <c r="AB174" s="266" t="n"/>
      <c r="AC174" s="266">
        <f>AC172-AB172-AC76</f>
        <v>3934</v>
      </c>
      <c r="AD174" s="266">
        <f>AD172-AC172-AD76</f>
        <v>9419</v>
      </c>
      <c r="AE174" s="266">
        <f>AE172-AD172-AE76</f>
        <v>4053</v>
      </c>
      <c r="AF174" s="265">
        <f>AF172-AE172-AF76</f>
        <v>7751</v>
      </c>
      <c r="AG174" s="266">
        <f>SUM(AC174:AF174)</f>
        <v>25157</v>
      </c>
      <c r="AH174" s="265">
        <f>AH172-AG172-AH76</f>
        <v>6374</v>
      </c>
      <c r="AI174" s="265">
        <f>AI172-AH172-AI76</f>
        <v>2775</v>
      </c>
      <c r="AJ174" s="265" t="n"/>
      <c r="AK174" s="265" t="n"/>
      <c r="AL174" s="266" t="n"/>
      <c r="AM174" s="265" t="n"/>
      <c r="AN174" s="265" t="n"/>
      <c r="AO174" s="265" t="n"/>
      <c r="AP174" s="265" t="n"/>
      <c r="AQ174" s="266" t="n"/>
      <c r="AR174" s="265" t="n"/>
      <c r="AS174" s="265" t="n"/>
      <c r="AT174" s="265" t="n"/>
      <c r="AU174" s="265" t="n"/>
      <c r="AV174" s="266" t="n"/>
      <c r="AW174" s="265" t="n"/>
      <c r="AX174" s="265" t="n"/>
      <c r="AY174" s="265" t="n"/>
      <c r="AZ174" s="265" t="n"/>
      <c r="BA174" s="266" t="n"/>
      <c r="BB174" s="265" t="n"/>
      <c r="BC174" s="265" t="n"/>
      <c r="BD174" s="265" t="n"/>
      <c r="BE174" s="265" t="n"/>
      <c r="BF174" s="266" t="n"/>
      <c r="BG174" s="265" t="n"/>
      <c r="BH174" s="265" t="n"/>
      <c r="BI174" s="265" t="n"/>
      <c r="BJ174" s="265" t="n"/>
      <c r="BK174" s="266" t="n"/>
      <c r="BL174" s="265" t="n"/>
      <c r="BM174" s="265" t="n"/>
      <c r="BN174" s="265" t="n"/>
      <c r="BO174" s="265" t="n"/>
      <c r="BP174" s="266" t="n"/>
      <c r="BQ174" s="265" t="n"/>
      <c r="BR174" s="265" t="n"/>
      <c r="BS174" s="265" t="n"/>
      <c r="BT174" s="265" t="n"/>
      <c r="BU174" s="266" t="n"/>
      <c r="BV174" s="265" t="n"/>
      <c r="BW174" s="265" t="n"/>
      <c r="BX174" s="265" t="n"/>
      <c r="BY174" s="265" t="n"/>
      <c r="BZ174" s="266" t="n"/>
      <c r="CA174" s="265" t="n"/>
      <c r="CB174" s="265" t="n"/>
      <c r="CC174" s="265" t="n"/>
      <c r="CD174" s="265" t="n"/>
      <c r="CE174" s="266" t="n"/>
      <c r="CF174" s="265" t="n"/>
      <c r="CG174" s="265" t="n"/>
      <c r="CH174" s="265" t="n"/>
      <c r="CI174" s="265" t="n"/>
      <c r="CJ174" s="266" t="n"/>
      <c r="CK174" s="265" t="n"/>
      <c r="CL174" s="265" t="n"/>
      <c r="CM174" s="265" t="n"/>
      <c r="CN174" s="265" t="n"/>
      <c r="CO174" s="266" t="n"/>
      <c r="CP174" s="265" t="n"/>
      <c r="CQ174" s="265" t="n"/>
      <c r="CR174" s="265" t="n"/>
      <c r="CS174" s="265" t="n"/>
      <c r="CT174" s="266" t="n"/>
      <c r="CU174" s="265" t="n"/>
      <c r="CV174" s="265" t="n"/>
      <c r="CW174" s="265" t="n"/>
      <c r="CX174" s="265" t="n"/>
      <c r="CY174" s="266" t="n"/>
    </row>
    <row r="175" hidden="1" outlineLevel="1" ht="12.75" customHeight="1" s="254">
      <c r="C175" s="310" t="inlineStr">
        <is>
          <t>Recurring asset sales (enter as -)</t>
        </is>
      </c>
      <c r="D175" s="266" t="n"/>
      <c r="E175" s="266" t="n"/>
      <c r="F175" s="266" t="n"/>
      <c r="G175" s="266" t="n"/>
      <c r="H175" s="266">
        <f>SUM(D175:G175)</f>
        <v>0</v>
      </c>
      <c r="I175" s="266" t="n"/>
      <c r="J175" s="266" t="n"/>
      <c r="K175" s="266" t="n"/>
      <c r="L175" s="266" t="n"/>
      <c r="M175" s="266">
        <f>SUM(I175:L175)</f>
        <v>0</v>
      </c>
      <c r="N175" s="266" t="n"/>
      <c r="O175" s="266" t="n"/>
      <c r="P175" s="266" t="n"/>
      <c r="Q175" s="266" t="n"/>
      <c r="R175" s="266">
        <f>SUM(N175:Q175)</f>
        <v>0</v>
      </c>
      <c r="S175" s="266" t="n"/>
      <c r="T175" s="266" t="n"/>
      <c r="U175" s="266" t="n"/>
      <c r="V175" s="266" t="n"/>
      <c r="W175" s="266">
        <f>SUM(S175:V175)</f>
        <v>0</v>
      </c>
      <c r="X175" s="266" t="n"/>
      <c r="Y175" s="266" t="n"/>
      <c r="Z175" s="266" t="n"/>
      <c r="AA175" s="266" t="n"/>
      <c r="AB175" s="266">
        <f>SUM(X175:AA175)</f>
        <v>0</v>
      </c>
      <c r="AC175" s="266" t="n"/>
      <c r="AD175" s="266" t="n"/>
      <c r="AE175" s="266" t="n"/>
      <c r="AF175" s="265" t="n"/>
      <c r="AG175" s="266" t="n"/>
      <c r="AH175" s="265" t="n"/>
      <c r="AI175" s="265" t="n"/>
      <c r="AJ175" s="265" t="n"/>
      <c r="AK175" s="265" t="n"/>
      <c r="AL175" s="266" t="n"/>
      <c r="AM175" s="265" t="n"/>
      <c r="AN175" s="265" t="n"/>
      <c r="AO175" s="265" t="n"/>
      <c r="AP175" s="265" t="n"/>
      <c r="AQ175" s="266" t="n"/>
      <c r="AR175" s="265" t="n"/>
      <c r="AS175" s="265" t="n"/>
      <c r="AT175" s="265" t="n"/>
      <c r="AU175" s="265" t="n"/>
      <c r="AV175" s="266" t="n"/>
      <c r="AW175" s="265" t="n"/>
      <c r="AX175" s="265" t="n"/>
      <c r="AY175" s="265" t="n"/>
      <c r="AZ175" s="265" t="n"/>
      <c r="BA175" s="266" t="n"/>
      <c r="BB175" s="265" t="n"/>
      <c r="BC175" s="265" t="n"/>
      <c r="BD175" s="265" t="n"/>
      <c r="BE175" s="265" t="n"/>
      <c r="BF175" s="266" t="n"/>
      <c r="BG175" s="265" t="n"/>
      <c r="BH175" s="265" t="n"/>
      <c r="BI175" s="265" t="n"/>
      <c r="BJ175" s="265" t="n"/>
      <c r="BK175" s="266" t="n"/>
      <c r="BL175" s="265" t="n"/>
      <c r="BM175" s="265" t="n"/>
      <c r="BN175" s="265" t="n"/>
      <c r="BO175" s="265" t="n"/>
      <c r="BP175" s="266" t="n"/>
      <c r="BQ175" s="265" t="n"/>
      <c r="BR175" s="265" t="n"/>
      <c r="BS175" s="265" t="n"/>
      <c r="BT175" s="265" t="n"/>
      <c r="BU175" s="266" t="n"/>
      <c r="BV175" s="265" t="n"/>
      <c r="BW175" s="265" t="n"/>
      <c r="BX175" s="265" t="n"/>
      <c r="BY175" s="265" t="n"/>
      <c r="BZ175" s="266" t="n"/>
      <c r="CA175" s="265" t="n"/>
      <c r="CB175" s="265" t="n"/>
      <c r="CC175" s="265" t="n"/>
      <c r="CD175" s="265" t="n"/>
      <c r="CE175" s="266" t="n"/>
      <c r="CF175" s="265" t="n"/>
      <c r="CG175" s="265" t="n"/>
      <c r="CH175" s="265" t="n"/>
      <c r="CI175" s="265" t="n"/>
      <c r="CJ175" s="266" t="n"/>
      <c r="CK175" s="265" t="n"/>
      <c r="CL175" s="265" t="n"/>
      <c r="CM175" s="265" t="n"/>
      <c r="CN175" s="265" t="n"/>
      <c r="CO175" s="266" t="n"/>
      <c r="CP175" s="265" t="n"/>
      <c r="CQ175" s="265" t="n"/>
      <c r="CR175" s="265" t="n"/>
      <c r="CS175" s="265" t="n"/>
      <c r="CT175" s="266" t="n"/>
      <c r="CU175" s="265" t="n"/>
      <c r="CV175" s="265" t="n"/>
      <c r="CW175" s="265" t="n"/>
      <c r="CX175" s="265" t="n"/>
      <c r="CY175" s="266" t="n"/>
    </row>
    <row r="176" hidden="1" outlineLevel="1" ht="12.75" customHeight="1" s="254">
      <c r="C176" s="310" t="inlineStr">
        <is>
          <t>Depreciation</t>
        </is>
      </c>
      <c r="D176" s="266">
        <f>D76</f>
        <v>0</v>
      </c>
      <c r="E176" s="266">
        <f>E76</f>
        <v>0</v>
      </c>
      <c r="F176" s="266">
        <f>F76</f>
        <v>0</v>
      </c>
      <c r="G176" s="266">
        <f>G76</f>
        <v>0</v>
      </c>
      <c r="H176" s="266" t="n"/>
      <c r="I176" s="266">
        <f>I76</f>
        <v>-5896</v>
      </c>
      <c r="J176" s="266">
        <f>J76</f>
        <v>-8223</v>
      </c>
      <c r="K176" s="266">
        <f>K76</f>
        <v>-6358</v>
      </c>
      <c r="L176" s="266">
        <f>L76</f>
        <v>-6445</v>
      </c>
      <c r="M176" s="266" t="n"/>
      <c r="N176" s="266">
        <f>N76</f>
        <v>-6295</v>
      </c>
      <c r="O176" s="266">
        <f>O76</f>
        <v>348</v>
      </c>
      <c r="P176" s="266">
        <f>P76</f>
        <v>-6124</v>
      </c>
      <c r="Q176" s="266">
        <f>Q76</f>
        <v>-6459</v>
      </c>
      <c r="R176" s="266" t="n"/>
      <c r="S176" s="266">
        <f>S76</f>
        <v>-6285</v>
      </c>
      <c r="T176" s="266">
        <f>T76</f>
        <v>-7872</v>
      </c>
      <c r="U176" s="266">
        <f>U76</f>
        <v>-5911</v>
      </c>
      <c r="V176" s="266">
        <f>V76</f>
        <v>-11221</v>
      </c>
      <c r="W176" s="266" t="n"/>
      <c r="X176" s="266">
        <f>X76</f>
        <v>-5881</v>
      </c>
      <c r="Y176" s="266">
        <f>Y76</f>
        <v>-7555</v>
      </c>
      <c r="Z176" s="266">
        <f>Z76</f>
        <v>-5916</v>
      </c>
      <c r="AA176" s="266">
        <f>AA76</f>
        <v>-7520</v>
      </c>
      <c r="AB176" s="266" t="n"/>
      <c r="AC176" s="266">
        <f>AC76</f>
        <v>-5441</v>
      </c>
      <c r="AD176" s="266">
        <f>AD76</f>
        <v>-6670</v>
      </c>
      <c r="AE176" s="266">
        <f>AE76</f>
        <v>-6607</v>
      </c>
      <c r="AF176" s="266">
        <f>AF76</f>
        <v>-6581</v>
      </c>
      <c r="AG176" s="266" t="n"/>
      <c r="AH176" s="266">
        <f>AH76</f>
        <v>-5743</v>
      </c>
      <c r="AI176" s="266">
        <f>AI76</f>
        <v>-6183</v>
      </c>
      <c r="AJ176" s="266">
        <f>AJ76</f>
        <v>0</v>
      </c>
      <c r="AK176" s="266">
        <f>AK76</f>
        <v>0</v>
      </c>
      <c r="AL176" s="266" t="n"/>
      <c r="AM176" s="266">
        <f>AM76</f>
        <v>0</v>
      </c>
      <c r="AN176" s="266">
        <f>AN76</f>
        <v>0</v>
      </c>
      <c r="AO176" s="266">
        <f>AO76</f>
        <v>0</v>
      </c>
      <c r="AP176" s="266">
        <f>AP76</f>
        <v>0</v>
      </c>
      <c r="AQ176" s="266" t="n"/>
      <c r="AR176" s="266">
        <f>AR76</f>
        <v>0</v>
      </c>
      <c r="AS176" s="266">
        <f>AS76</f>
        <v>0</v>
      </c>
      <c r="AT176" s="266">
        <f>AT76</f>
        <v>0</v>
      </c>
      <c r="AU176" s="266">
        <f>AU76</f>
        <v>0</v>
      </c>
      <c r="AV176" s="266" t="n"/>
      <c r="AW176" s="266">
        <f>AW76</f>
        <v>0</v>
      </c>
      <c r="AX176" s="266">
        <f>AX76</f>
        <v>0</v>
      </c>
      <c r="AY176" s="266">
        <f>AY76</f>
        <v>0</v>
      </c>
      <c r="AZ176" s="266">
        <f>AZ76</f>
        <v>0</v>
      </c>
      <c r="BA176" s="266" t="n"/>
      <c r="BB176" s="266">
        <f>BB76</f>
        <v>0</v>
      </c>
      <c r="BC176" s="266">
        <f>BC76</f>
        <v>0</v>
      </c>
      <c r="BD176" s="266">
        <f>BD76</f>
        <v>0</v>
      </c>
      <c r="BE176" s="266">
        <f>BE76</f>
        <v>0</v>
      </c>
      <c r="BF176" s="266" t="n"/>
      <c r="BG176" s="266">
        <f>BG76</f>
        <v>0</v>
      </c>
      <c r="BH176" s="266">
        <f>BH76</f>
        <v>0</v>
      </c>
      <c r="BI176" s="266">
        <f>BI76</f>
        <v>0</v>
      </c>
      <c r="BJ176" s="266">
        <f>BJ76</f>
        <v>0</v>
      </c>
      <c r="BK176" s="266" t="n"/>
      <c r="BL176" s="266">
        <f>BL76</f>
        <v>0</v>
      </c>
      <c r="BM176" s="266">
        <f>BM76</f>
        <v>0</v>
      </c>
      <c r="BN176" s="266">
        <f>BN76</f>
        <v>0</v>
      </c>
      <c r="BO176" s="266">
        <f>BO76</f>
        <v>0</v>
      </c>
      <c r="BP176" s="266" t="n"/>
      <c r="BQ176" s="266">
        <f>BQ76</f>
        <v>0</v>
      </c>
      <c r="BR176" s="266">
        <f>BR76</f>
        <v>0</v>
      </c>
      <c r="BS176" s="266">
        <f>BS76</f>
        <v>0</v>
      </c>
      <c r="BT176" s="266">
        <f>BT76</f>
        <v>0</v>
      </c>
      <c r="BU176" s="266" t="n"/>
      <c r="BV176" s="266">
        <f>BV76</f>
        <v>0</v>
      </c>
      <c r="BW176" s="266">
        <f>BW76</f>
        <v>0</v>
      </c>
      <c r="BX176" s="266">
        <f>BX76</f>
        <v>0</v>
      </c>
      <c r="BY176" s="266">
        <f>BY76</f>
        <v>0</v>
      </c>
      <c r="BZ176" s="266" t="n"/>
      <c r="CA176" s="266">
        <f>CA76</f>
        <v>0</v>
      </c>
      <c r="CB176" s="266">
        <f>CB76</f>
        <v>0</v>
      </c>
      <c r="CC176" s="266">
        <f>CC76</f>
        <v>0</v>
      </c>
      <c r="CD176" s="266">
        <f>CD76</f>
        <v>0</v>
      </c>
      <c r="CE176" s="266" t="n"/>
      <c r="CF176" s="266">
        <f>CF76</f>
        <v>0</v>
      </c>
      <c r="CG176" s="266">
        <f>CG76</f>
        <v>0</v>
      </c>
      <c r="CH176" s="266">
        <f>CH76</f>
        <v>0</v>
      </c>
      <c r="CI176" s="266">
        <f>CI76</f>
        <v>0</v>
      </c>
      <c r="CJ176" s="266" t="n"/>
      <c r="CK176" s="266">
        <f>CK76</f>
        <v>0</v>
      </c>
      <c r="CL176" s="266">
        <f>CL76</f>
        <v>0</v>
      </c>
      <c r="CM176" s="266">
        <f>CM76</f>
        <v>0</v>
      </c>
      <c r="CN176" s="266">
        <f>CN76</f>
        <v>0</v>
      </c>
      <c r="CO176" s="266" t="n"/>
      <c r="CP176" s="266">
        <f>CP76</f>
        <v>0</v>
      </c>
      <c r="CQ176" s="266">
        <f>CQ76</f>
        <v>0</v>
      </c>
      <c r="CR176" s="266">
        <f>CR76</f>
        <v>0</v>
      </c>
      <c r="CS176" s="266">
        <f>CS76</f>
        <v>0</v>
      </c>
      <c r="CT176" s="266" t="n"/>
      <c r="CU176" s="266">
        <f>CU76</f>
        <v>0</v>
      </c>
      <c r="CV176" s="266">
        <f>CV76</f>
        <v>0</v>
      </c>
      <c r="CW176" s="266">
        <f>CW76</f>
        <v>0</v>
      </c>
      <c r="CX176" s="266">
        <f>CX76</f>
        <v>0</v>
      </c>
      <c r="CY176" s="266" t="n"/>
    </row>
    <row r="177" hidden="1" outlineLevel="1" ht="12.75" customHeight="1" s="254">
      <c r="C177" s="310" t="inlineStr">
        <is>
          <t>PP&amp;E</t>
        </is>
      </c>
      <c r="D177" s="266">
        <f>D172</f>
        <v>0</v>
      </c>
      <c r="E177" s="266">
        <f>E172</f>
        <v>0</v>
      </c>
      <c r="F177" s="266">
        <f>F172</f>
        <v>0</v>
      </c>
      <c r="G177" s="266">
        <f>G172</f>
        <v>0</v>
      </c>
      <c r="H177" s="266" t="n"/>
      <c r="I177" s="266">
        <f>I172</f>
        <v>208298</v>
      </c>
      <c r="J177" s="266">
        <f>J172</f>
        <v>205272</v>
      </c>
      <c r="K177" s="266">
        <f>K172</f>
        <v>196261</v>
      </c>
      <c r="L177" s="266">
        <f>L172</f>
        <v>194932</v>
      </c>
      <c r="M177" s="266" t="n"/>
      <c r="N177" s="266">
        <f>N172</f>
        <v>193301</v>
      </c>
      <c r="O177" s="266">
        <f>O172</f>
        <v>200122</v>
      </c>
      <c r="P177" s="266">
        <f>P172</f>
        <v>193681</v>
      </c>
      <c r="Q177" s="266">
        <f>Q172</f>
        <v>198642</v>
      </c>
      <c r="R177" s="266" t="n"/>
      <c r="S177" s="266">
        <f>S172</f>
        <v>199209</v>
      </c>
      <c r="T177" s="266">
        <f>T172</f>
        <v>197177</v>
      </c>
      <c r="U177" s="266">
        <f>U172</f>
        <v>197043</v>
      </c>
      <c r="V177" s="266">
        <f>V172</f>
        <v>194835</v>
      </c>
      <c r="W177" s="266" t="n"/>
      <c r="X177" s="266">
        <f>X172</f>
        <v>191952</v>
      </c>
      <c r="Y177" s="266">
        <f>Y172</f>
        <v>189656</v>
      </c>
      <c r="Z177" s="266">
        <f>Z172</f>
        <v>191721</v>
      </c>
      <c r="AA177" s="266">
        <f>Y177+SUM(AA174:AA176)</f>
        <v>183154</v>
      </c>
      <c r="AB177" s="266" t="n"/>
      <c r="AC177" s="266">
        <f>AC172</f>
        <v>183712</v>
      </c>
      <c r="AD177" s="266">
        <f>AD172</f>
        <v>186461</v>
      </c>
      <c r="AE177" s="266">
        <f>AE172</f>
        <v>183907</v>
      </c>
      <c r="AF177" s="266">
        <f>AE177+SUM(AF174:AF176)</f>
        <v>185077</v>
      </c>
      <c r="AG177" s="266" t="n"/>
      <c r="AH177" s="266">
        <f>AH172</f>
        <v>185708</v>
      </c>
      <c r="AI177" s="266">
        <f>AI172</f>
        <v>182300</v>
      </c>
      <c r="AJ177" s="266">
        <f>AI177+SUM(AJ174:AJ176)</f>
        <v>182300</v>
      </c>
      <c r="AK177" s="266">
        <f>AJ177+SUM(AK174:AK176)</f>
        <v>182300</v>
      </c>
      <c r="AL177" s="266" t="n"/>
      <c r="AM177" s="266">
        <f>AK177+SUM(AM174:AM176)</f>
        <v>182300</v>
      </c>
      <c r="AN177" s="266">
        <f>AM177+SUM(AN174:AN176)</f>
        <v>182300</v>
      </c>
      <c r="AO177" s="266">
        <f>AN177+SUM(AO174:AO176)</f>
        <v>182300</v>
      </c>
      <c r="AP177" s="266">
        <f>AO177+SUM(AP174:AP176)</f>
        <v>182300</v>
      </c>
      <c r="AQ177" s="266" t="n"/>
      <c r="AR177" s="266">
        <f>AP177+SUM(AR174:AR176)</f>
        <v>182300</v>
      </c>
      <c r="AS177" s="266">
        <f>AR177+SUM(AS174:AS176)</f>
        <v>182300</v>
      </c>
      <c r="AT177" s="266">
        <f>AS177+SUM(AT174:AT176)</f>
        <v>182300</v>
      </c>
      <c r="AU177" s="266">
        <f>AT177+SUM(AU174:AU176)</f>
        <v>182300</v>
      </c>
      <c r="AV177" s="266" t="n"/>
      <c r="AW177" s="266">
        <f>AU177+SUM(AW174:AW176)</f>
        <v>182300</v>
      </c>
      <c r="AX177" s="266">
        <f>AW177+SUM(AX174:AX176)</f>
        <v>182300</v>
      </c>
      <c r="AY177" s="266">
        <f>AX177+SUM(AY174:AY176)</f>
        <v>182300</v>
      </c>
      <c r="AZ177" s="266">
        <f>AY177+SUM(AZ174:AZ176)</f>
        <v>182300</v>
      </c>
      <c r="BA177" s="266" t="n"/>
      <c r="BB177" s="266">
        <f>AZ177+SUM(BB174:BB176)</f>
        <v>182300</v>
      </c>
      <c r="BC177" s="266">
        <f>BB177+SUM(BC174:BC176)</f>
        <v>182300</v>
      </c>
      <c r="BD177" s="266">
        <f>BC177+SUM(BD174:BD176)</f>
        <v>182300</v>
      </c>
      <c r="BE177" s="266">
        <f>BD177+SUM(BE174:BE176)</f>
        <v>182300</v>
      </c>
      <c r="BF177" s="266" t="n"/>
      <c r="BG177" s="266">
        <f>BE177+SUM(BG174:BG176)</f>
        <v>182300</v>
      </c>
      <c r="BH177" s="266">
        <f>BG177+SUM(BH174:BH176)</f>
        <v>182300</v>
      </c>
      <c r="BI177" s="266">
        <f>BH177+SUM(BI174:BI176)</f>
        <v>182300</v>
      </c>
      <c r="BJ177" s="266">
        <f>BI177+SUM(BJ174:BJ176)</f>
        <v>182300</v>
      </c>
      <c r="BK177" s="266" t="n"/>
      <c r="BL177" s="266">
        <f>BJ177+SUM(BL174:BL176)</f>
        <v>182300</v>
      </c>
      <c r="BM177" s="266">
        <f>BL177+SUM(BM174:BM176)</f>
        <v>182300</v>
      </c>
      <c r="BN177" s="266">
        <f>BM177+SUM(BN174:BN176)</f>
        <v>182300</v>
      </c>
      <c r="BO177" s="266">
        <f>BN177+SUM(BO174:BO176)</f>
        <v>182300</v>
      </c>
      <c r="BP177" s="266" t="n"/>
      <c r="BQ177" s="266">
        <f>BO177+SUM(BQ174:BQ176)</f>
        <v>182300</v>
      </c>
      <c r="BR177" s="266">
        <f>BQ177+SUM(BR174:BR176)</f>
        <v>182300</v>
      </c>
      <c r="BS177" s="266">
        <f>BR177+SUM(BS174:BS176)</f>
        <v>182300</v>
      </c>
      <c r="BT177" s="266">
        <f>BS177+SUM(BT174:BT176)</f>
        <v>182300</v>
      </c>
      <c r="BU177" s="266" t="n"/>
      <c r="BV177" s="266">
        <f>BT177+SUM(BV174:BV176)</f>
        <v>182300</v>
      </c>
      <c r="BW177" s="266">
        <f>BV177+SUM(BW174:BW176)</f>
        <v>182300</v>
      </c>
      <c r="BX177" s="266">
        <f>BW177+SUM(BX174:BX176)</f>
        <v>182300</v>
      </c>
      <c r="BY177" s="266">
        <f>BX177+SUM(BY174:BY176)</f>
        <v>182300</v>
      </c>
      <c r="BZ177" s="266" t="n"/>
      <c r="CA177" s="266">
        <f>BY177+SUM(CA174:CA176)</f>
        <v>182300</v>
      </c>
      <c r="CB177" s="266">
        <f>CA177+SUM(CB174:CB176)</f>
        <v>182300</v>
      </c>
      <c r="CC177" s="266">
        <f>CB177+SUM(CC174:CC176)</f>
        <v>182300</v>
      </c>
      <c r="CD177" s="266">
        <f>CC177+SUM(CD174:CD176)</f>
        <v>182300</v>
      </c>
      <c r="CE177" s="266" t="n"/>
      <c r="CF177" s="266">
        <f>CD177+SUM(CF174:CF176)</f>
        <v>182300</v>
      </c>
      <c r="CG177" s="266">
        <f>CF177+SUM(CG174:CG176)</f>
        <v>182300</v>
      </c>
      <c r="CH177" s="266">
        <f>CG177+SUM(CH174:CH176)</f>
        <v>182300</v>
      </c>
      <c r="CI177" s="266">
        <f>CH177+SUM(CI174:CI176)</f>
        <v>182300</v>
      </c>
      <c r="CJ177" s="266" t="n"/>
      <c r="CK177" s="266">
        <f>CI177+SUM(CK174:CK176)</f>
        <v>182300</v>
      </c>
      <c r="CL177" s="266">
        <f>CK177+SUM(CL174:CL176)</f>
        <v>182300</v>
      </c>
      <c r="CM177" s="266">
        <f>CL177+SUM(CM174:CM176)</f>
        <v>182300</v>
      </c>
      <c r="CN177" s="266">
        <f>CM177+SUM(CN174:CN176)</f>
        <v>182300</v>
      </c>
      <c r="CO177" s="266" t="n"/>
      <c r="CP177" s="266">
        <f>CN177+SUM(CP174:CP176)</f>
        <v>182300</v>
      </c>
      <c r="CQ177" s="266">
        <f>CP177+SUM(CQ174:CQ176)</f>
        <v>182300</v>
      </c>
      <c r="CR177" s="266">
        <f>CQ177+SUM(CR174:CR176)</f>
        <v>182300</v>
      </c>
      <c r="CS177" s="266">
        <f>CR177+SUM(CS174:CS176)</f>
        <v>182300</v>
      </c>
      <c r="CT177" s="266" t="n"/>
      <c r="CU177" s="266">
        <f>CS177+SUM(CU174:CU176)</f>
        <v>182300</v>
      </c>
      <c r="CV177" s="266">
        <f>CU177+SUM(CV174:CV176)</f>
        <v>182300</v>
      </c>
      <c r="CW177" s="266">
        <f>CV177+SUM(CW174:CW176)</f>
        <v>182300</v>
      </c>
      <c r="CX177" s="266">
        <f>CW177+SUM(CX174:CX176)</f>
        <v>182300</v>
      </c>
      <c r="CY177" s="266" t="n"/>
      <c r="CZ177" s="258">
        <f>CX177+SUM(CZ174:CZ176)</f>
        <v>182300</v>
      </c>
      <c r="DA177" s="258">
        <f>CZ177+SUM(DA174:DA176)</f>
        <v>182300</v>
      </c>
      <c r="DB177" s="258">
        <f>DA177+SUM(DB174:DB176)</f>
        <v>182300</v>
      </c>
      <c r="DC177" s="258">
        <f>DB177+SUM(DC174:DC176)</f>
        <v>182300</v>
      </c>
    </row>
    <row r="178" hidden="1" outlineLevel="1" ht="12.75" customHeight="1" s="254">
      <c r="C178" s="310" t="n"/>
      <c r="D178" s="266" t="n"/>
      <c r="E178" s="266" t="n"/>
      <c r="F178" s="266" t="n"/>
      <c r="G178" s="266" t="n"/>
      <c r="H178" s="266" t="n"/>
      <c r="I178" s="266" t="n"/>
      <c r="J178" s="266" t="n"/>
      <c r="K178" s="266" t="n"/>
      <c r="L178" s="266" t="n"/>
      <c r="M178" s="266" t="n"/>
      <c r="N178" s="266" t="n"/>
      <c r="O178" s="266" t="n"/>
      <c r="P178" s="266" t="n"/>
      <c r="Q178" s="266" t="n"/>
      <c r="R178" s="266" t="n"/>
      <c r="S178" s="266" t="n"/>
      <c r="T178" s="266" t="n"/>
      <c r="U178" s="266" t="n"/>
      <c r="V178" s="266" t="n"/>
      <c r="W178" s="266" t="n"/>
      <c r="X178" s="266" t="n"/>
      <c r="Y178" s="266" t="n"/>
      <c r="Z178" s="266" t="n"/>
      <c r="AA178" s="266" t="n"/>
      <c r="AB178" s="266" t="n"/>
      <c r="AC178" s="266" t="n"/>
      <c r="AD178" s="266" t="n"/>
      <c r="AE178" s="266" t="n"/>
      <c r="AF178" s="266" t="n"/>
      <c r="AG178" s="266" t="n"/>
      <c r="AH178" s="266" t="n"/>
      <c r="AI178" s="266" t="n"/>
      <c r="AJ178" s="266" t="n"/>
      <c r="AK178" s="266" t="n"/>
      <c r="AL178" s="266" t="n"/>
      <c r="AM178" s="266" t="n"/>
      <c r="AN178" s="266" t="n"/>
      <c r="AO178" s="266" t="n"/>
      <c r="AP178" s="266" t="n"/>
      <c r="AQ178" s="266" t="n"/>
      <c r="AR178" s="266" t="n"/>
      <c r="AS178" s="266" t="n"/>
      <c r="AT178" s="266" t="n"/>
      <c r="AU178" s="266" t="n"/>
      <c r="AV178" s="266" t="n"/>
      <c r="AW178" s="266" t="n"/>
      <c r="AX178" s="266" t="n"/>
      <c r="AY178" s="266" t="n"/>
      <c r="AZ178" s="266" t="n"/>
      <c r="BA178" s="266" t="n"/>
      <c r="BB178" s="266" t="n"/>
      <c r="BC178" s="266" t="n"/>
      <c r="BD178" s="266" t="n"/>
      <c r="BE178" s="266" t="n"/>
      <c r="BF178" s="266" t="n"/>
      <c r="BG178" s="266" t="n"/>
      <c r="BH178" s="266" t="n"/>
      <c r="BI178" s="266" t="n"/>
      <c r="BJ178" s="266" t="n"/>
      <c r="BK178" s="266" t="n"/>
      <c r="BL178" s="266" t="n"/>
      <c r="BM178" s="266" t="n"/>
      <c r="BN178" s="266" t="n"/>
      <c r="BO178" s="266" t="n"/>
      <c r="BP178" s="266" t="n"/>
      <c r="BQ178" s="266" t="n"/>
      <c r="BR178" s="266" t="n"/>
      <c r="BS178" s="266" t="n"/>
      <c r="BT178" s="266" t="n"/>
      <c r="BU178" s="266" t="n"/>
      <c r="BV178" s="266" t="n"/>
      <c r="BW178" s="266" t="n"/>
      <c r="BX178" s="266" t="n"/>
      <c r="BY178" s="266" t="n"/>
      <c r="BZ178" s="266" t="n"/>
      <c r="CA178" s="266" t="n"/>
      <c r="CB178" s="266" t="n"/>
      <c r="CC178" s="266" t="n"/>
      <c r="CD178" s="266" t="n"/>
      <c r="CE178" s="266" t="n"/>
      <c r="CF178" s="266" t="n"/>
      <c r="CG178" s="266" t="n"/>
      <c r="CH178" s="266" t="n"/>
      <c r="CI178" s="266" t="n"/>
      <c r="CJ178" s="266" t="n"/>
      <c r="CK178" s="266" t="n"/>
      <c r="CL178" s="266" t="n"/>
      <c r="CM178" s="266" t="n"/>
      <c r="CN178" s="266" t="n"/>
      <c r="CO178" s="266" t="n"/>
      <c r="CP178" s="266" t="n"/>
      <c r="CQ178" s="266" t="n"/>
      <c r="CR178" s="266" t="n"/>
      <c r="CS178" s="266" t="n"/>
      <c r="CT178" s="266" t="n"/>
      <c r="CU178" s="266" t="n"/>
      <c r="CV178" s="266" t="n"/>
      <c r="CW178" s="266" t="n"/>
      <c r="CX178" s="266" t="n"/>
      <c r="CY178" s="266" t="n"/>
    </row>
    <row r="179" hidden="1" outlineLevel="1" ht="12.75" customHeight="1" s="254">
      <c r="C179" s="310" t="inlineStr">
        <is>
          <t>Capital expenditures (% Net Revenues)</t>
        </is>
      </c>
      <c r="D179" s="266" t="n"/>
      <c r="E179" s="266" t="n"/>
      <c r="F179" s="266" t="n"/>
      <c r="G179" s="266" t="n"/>
      <c r="H179" s="266" t="n"/>
      <c r="I179" s="266" t="n"/>
      <c r="J179" s="266" t="n"/>
      <c r="K179" s="266" t="n"/>
      <c r="L179" s="266" t="n"/>
      <c r="M179" s="266" t="n"/>
      <c r="N179" s="266" t="n"/>
      <c r="O179" s="266" t="n"/>
      <c r="P179" s="266" t="n"/>
      <c r="Q179" s="266" t="n"/>
      <c r="R179" s="266" t="n"/>
      <c r="S179" s="266" t="n"/>
      <c r="T179" s="266" t="n"/>
      <c r="U179" s="266" t="n"/>
      <c r="V179" s="266" t="n"/>
      <c r="W179" s="266" t="n"/>
      <c r="X179" s="266" t="n"/>
      <c r="Y179" s="266" t="n"/>
      <c r="Z179" s="266" t="n"/>
      <c r="AA179" s="266" t="n"/>
      <c r="AB179" s="266" t="n"/>
      <c r="AC179" s="266" t="n"/>
      <c r="AD179" s="266" t="n"/>
      <c r="AE179" s="266" t="n"/>
      <c r="AF179" s="311">
        <f>AF174/AF15</f>
        <v>0.12093364329958</v>
      </c>
      <c r="AG179" s="311">
        <f>AG174/AG15</f>
        <v>0.0942612201464296</v>
      </c>
      <c r="AH179" s="311">
        <f>AH174/AH15</f>
        <v>0.0914608773012297</v>
      </c>
      <c r="AI179" s="311">
        <f>AI174/AI15</f>
        <v>0.0293142060339728</v>
      </c>
      <c r="AJ179" s="311">
        <f>AJ174/AJ15</f>
        <v>0</v>
      </c>
      <c r="AK179" s="311">
        <f>AK174/AK15</f>
        <v>0</v>
      </c>
      <c r="AL179" s="311">
        <f>AL174/AL15</f>
        <v>0</v>
      </c>
      <c r="AM179" s="311">
        <f>AM174/AM15</f>
        <v>0</v>
      </c>
      <c r="AN179" s="311">
        <f>AN174/AN15</f>
        <v>0</v>
      </c>
      <c r="AO179" s="311">
        <f>AO174/AO15</f>
        <v>0</v>
      </c>
      <c r="AP179" s="311">
        <f>AP174/AP15</f>
        <v>0</v>
      </c>
      <c r="AQ179" s="311">
        <f>AQ174/AQ15</f>
        <v>0</v>
      </c>
      <c r="AR179" s="311">
        <f>AR174/AR15</f>
        <v>0</v>
      </c>
      <c r="AS179" s="311">
        <f>AS174/AS15</f>
        <v>0</v>
      </c>
      <c r="AT179" s="311">
        <f>AT174/AT15</f>
        <v>0</v>
      </c>
      <c r="AU179" s="311">
        <f>AU174/AU15</f>
        <v>0</v>
      </c>
      <c r="AV179" s="311">
        <f>AV174/AV15</f>
        <v>0</v>
      </c>
      <c r="AW179" s="311">
        <f>AW174/AW15</f>
        <v>0</v>
      </c>
      <c r="AX179" s="311">
        <f>AX174/AX15</f>
        <v>0</v>
      </c>
      <c r="AY179" s="311">
        <f>AY174/AY15</f>
        <v>0</v>
      </c>
      <c r="AZ179" s="311">
        <f>AZ174/AZ15</f>
        <v>0</v>
      </c>
      <c r="BA179" s="311">
        <f>BA174/BA15</f>
        <v>0</v>
      </c>
      <c r="BB179" s="311">
        <f>BB174/BB15</f>
        <v>0</v>
      </c>
      <c r="BC179" s="311">
        <f>BC174/BC15</f>
        <v>0</v>
      </c>
      <c r="BD179" s="311">
        <f>BD174/BD15</f>
        <v>0</v>
      </c>
      <c r="BE179" s="311">
        <f>BE174/BE15</f>
        <v>0</v>
      </c>
      <c r="BF179" s="311">
        <f>BF174/BF15</f>
        <v>0</v>
      </c>
      <c r="BG179" s="311">
        <f>BG174/BG15</f>
        <v>0</v>
      </c>
      <c r="BH179" s="311">
        <f>BH174/BH15</f>
        <v>0</v>
      </c>
      <c r="BI179" s="311">
        <f>BI174/BI15</f>
        <v>0</v>
      </c>
      <c r="BJ179" s="311">
        <f>BJ174/BJ15</f>
        <v>0</v>
      </c>
      <c r="BK179" s="311">
        <f>BK174/BK15</f>
        <v>0</v>
      </c>
      <c r="BL179" s="311">
        <f>BL174/BL15</f>
        <v>0</v>
      </c>
      <c r="BM179" s="311">
        <f>BM174/BM15</f>
        <v>0</v>
      </c>
      <c r="BN179" s="311">
        <f>BN174/BN15</f>
        <v>0</v>
      </c>
      <c r="BO179" s="311">
        <f>BO174/BO15</f>
        <v>0</v>
      </c>
      <c r="BP179" s="311">
        <f>BP174/BP15</f>
        <v>0</v>
      </c>
      <c r="BQ179" s="311">
        <f>BQ174/BQ15</f>
        <v>0</v>
      </c>
      <c r="BR179" s="311">
        <f>BR174/BR15</f>
        <v>0</v>
      </c>
      <c r="BS179" s="311">
        <f>BS174/BS15</f>
        <v>0</v>
      </c>
      <c r="BT179" s="311">
        <f>BT174/BT15</f>
        <v>0</v>
      </c>
      <c r="BU179" s="311">
        <f>BU174/BU15</f>
        <v>0</v>
      </c>
      <c r="BV179" s="311">
        <f>BV174/BV15</f>
        <v>0</v>
      </c>
      <c r="BW179" s="311">
        <f>BW174/BW15</f>
        <v>0</v>
      </c>
      <c r="BX179" s="311">
        <f>BX174/BX15</f>
        <v>0</v>
      </c>
      <c r="BY179" s="311">
        <f>BY174/BY15</f>
        <v>0</v>
      </c>
      <c r="BZ179" s="311">
        <f>BZ174/BZ15</f>
        <v>0</v>
      </c>
      <c r="CA179" s="311">
        <f>CA174/CA15</f>
        <v>0</v>
      </c>
      <c r="CB179" s="311">
        <f>CB174/CB15</f>
        <v>0</v>
      </c>
      <c r="CC179" s="311">
        <f>CC174/CC15</f>
        <v>0</v>
      </c>
      <c r="CD179" s="311">
        <f>CD174/CD15</f>
        <v>0</v>
      </c>
      <c r="CE179" s="311">
        <f>CE174/CE15</f>
        <v>0</v>
      </c>
      <c r="CF179" s="311">
        <f>CF174/CF15</f>
        <v>0</v>
      </c>
      <c r="CG179" s="311">
        <f>CG174/CG15</f>
        <v>0</v>
      </c>
      <c r="CH179" s="311">
        <f>CH174/CH15</f>
        <v>0</v>
      </c>
      <c r="CI179" s="311">
        <f>CI174/CI15</f>
        <v>0</v>
      </c>
      <c r="CJ179" s="311">
        <f>CJ174/CJ15</f>
        <v>0</v>
      </c>
      <c r="CK179" s="311">
        <f>CK174/CK15</f>
        <v>0</v>
      </c>
      <c r="CL179" s="311">
        <f>CL174/CL15</f>
        <v>0</v>
      </c>
      <c r="CM179" s="311">
        <f>CM174/CM15</f>
        <v>0</v>
      </c>
      <c r="CN179" s="311">
        <f>CN174/CN15</f>
        <v>0</v>
      </c>
      <c r="CO179" s="311">
        <f>CO174/CO15</f>
        <v>0</v>
      </c>
      <c r="CP179" s="311">
        <f>CP174/CP15</f>
        <v>0</v>
      </c>
      <c r="CQ179" s="311">
        <f>CQ174/CQ15</f>
        <v>0</v>
      </c>
      <c r="CR179" s="311">
        <f>CR174/CR15</f>
        <v>0</v>
      </c>
      <c r="CS179" s="311">
        <f>CS174/CS15</f>
        <v>0</v>
      </c>
      <c r="CT179" s="311">
        <f>CT174/CT15</f>
        <v>0</v>
      </c>
      <c r="CU179" s="311">
        <f>CU174/CU15</f>
        <v>0</v>
      </c>
      <c r="CV179" s="311">
        <f>CV174/CV15</f>
        <v>0</v>
      </c>
      <c r="CW179" s="311">
        <f>CW174/CW15</f>
        <v>0</v>
      </c>
      <c r="CX179" s="311">
        <f>CX174/CX15</f>
        <v>0</v>
      </c>
      <c r="CY179" s="311">
        <f>CY174/CY15</f>
        <v>0</v>
      </c>
    </row>
    <row r="180" hidden="1" outlineLevel="1" ht="12.75" customHeight="1" s="254">
      <c r="C180" s="310" t="n"/>
      <c r="D180" s="266" t="n"/>
      <c r="E180" s="266" t="n"/>
      <c r="F180" s="266" t="n"/>
      <c r="G180" s="266" t="n"/>
      <c r="H180" s="266" t="n"/>
      <c r="I180" s="266" t="n"/>
      <c r="J180" s="266" t="n"/>
      <c r="K180" s="266" t="n"/>
      <c r="L180" s="266" t="n"/>
      <c r="M180" s="266" t="n"/>
      <c r="N180" s="266" t="n"/>
      <c r="O180" s="266" t="n"/>
      <c r="P180" s="266" t="n"/>
      <c r="Q180" s="266" t="n"/>
      <c r="R180" s="266" t="n"/>
      <c r="S180" s="266" t="n"/>
      <c r="T180" s="266" t="n"/>
      <c r="U180" s="266" t="n"/>
      <c r="V180" s="266" t="n"/>
      <c r="W180" s="266" t="n"/>
      <c r="X180" s="266" t="n"/>
      <c r="Y180" s="266" t="n"/>
      <c r="Z180" s="266" t="n"/>
      <c r="AA180" s="266" t="n"/>
      <c r="AB180" s="266" t="n"/>
      <c r="AC180" s="266" t="n"/>
      <c r="AD180" s="266" t="n"/>
      <c r="AE180" s="266" t="n"/>
      <c r="AF180" s="266" t="n"/>
      <c r="AG180" s="266" t="n"/>
      <c r="AH180" s="266" t="n"/>
      <c r="AI180" s="266" t="n"/>
      <c r="AJ180" s="266" t="n"/>
      <c r="AK180" s="266" t="n"/>
      <c r="AL180" s="266" t="n"/>
      <c r="AM180" s="266" t="n"/>
      <c r="AN180" s="266" t="n"/>
      <c r="AO180" s="266" t="n"/>
      <c r="AP180" s="266" t="n"/>
      <c r="AQ180" s="266" t="n"/>
      <c r="AR180" s="266" t="n"/>
      <c r="AS180" s="266" t="n"/>
      <c r="AT180" s="266" t="n"/>
      <c r="AU180" s="266" t="n"/>
      <c r="AV180" s="266" t="n"/>
      <c r="AW180" s="266" t="n"/>
      <c r="AX180" s="266" t="n"/>
      <c r="AY180" s="266" t="n"/>
      <c r="AZ180" s="266" t="n"/>
      <c r="BA180" s="266" t="n"/>
      <c r="BB180" s="266" t="n"/>
      <c r="BC180" s="266" t="n"/>
      <c r="BD180" s="266" t="n"/>
      <c r="BE180" s="266" t="n"/>
      <c r="BF180" s="266" t="n"/>
      <c r="BG180" s="266" t="n"/>
      <c r="BH180" s="266" t="n"/>
      <c r="BI180" s="266" t="n"/>
      <c r="BJ180" s="266" t="n"/>
      <c r="BK180" s="266" t="n"/>
      <c r="BL180" s="266" t="n"/>
      <c r="BM180" s="266" t="n"/>
      <c r="BN180" s="266" t="n"/>
      <c r="BO180" s="266" t="n"/>
      <c r="BP180" s="266" t="n"/>
      <c r="BQ180" s="266" t="n"/>
      <c r="BR180" s="266" t="n"/>
      <c r="BS180" s="266" t="n"/>
      <c r="BT180" s="266" t="n"/>
      <c r="BU180" s="266" t="n"/>
      <c r="BV180" s="266" t="n"/>
      <c r="BW180" s="266" t="n"/>
      <c r="BX180" s="266" t="n"/>
      <c r="BY180" s="266" t="n"/>
      <c r="BZ180" s="266" t="n"/>
      <c r="CA180" s="266" t="n"/>
      <c r="CB180" s="266" t="n"/>
      <c r="CC180" s="266" t="n"/>
      <c r="CD180" s="266" t="n"/>
      <c r="CE180" s="266" t="n"/>
      <c r="CF180" s="266" t="n"/>
      <c r="CG180" s="266" t="n"/>
      <c r="CH180" s="266" t="n"/>
      <c r="CI180" s="266" t="n"/>
      <c r="CJ180" s="266" t="n"/>
      <c r="CK180" s="266" t="n"/>
      <c r="CL180" s="266" t="n"/>
      <c r="CM180" s="266" t="n"/>
      <c r="CN180" s="266" t="n"/>
      <c r="CO180" s="266" t="n"/>
      <c r="CP180" s="266" t="n"/>
      <c r="CQ180" s="266" t="n"/>
      <c r="CR180" s="266" t="n"/>
      <c r="CS180" s="266" t="n"/>
      <c r="CT180" s="266" t="n"/>
      <c r="CU180" s="266" t="n"/>
      <c r="CV180" s="266" t="n"/>
      <c r="CW180" s="266" t="n"/>
      <c r="CX180" s="266" t="n"/>
      <c r="CY180" s="266" t="n"/>
    </row>
    <row r="181" hidden="1" outlineLevel="1" ht="12.75" customHeight="1" s="254">
      <c r="C181" s="310" t="n"/>
      <c r="D181" s="266" t="n"/>
      <c r="E181" s="266" t="n"/>
      <c r="F181" s="266" t="n"/>
      <c r="G181" s="266" t="n"/>
      <c r="H181" s="266" t="n"/>
      <c r="I181" s="266" t="n"/>
      <c r="J181" s="266" t="n"/>
      <c r="K181" s="266" t="n"/>
      <c r="L181" s="266" t="n"/>
      <c r="M181" s="266" t="n"/>
      <c r="N181" s="266" t="n"/>
      <c r="O181" s="266" t="n"/>
      <c r="P181" s="266" t="n"/>
      <c r="Q181" s="266" t="n"/>
      <c r="R181" s="266" t="n"/>
      <c r="S181" s="266" t="n"/>
      <c r="T181" s="266" t="n"/>
      <c r="U181" s="266" t="n"/>
      <c r="V181" s="266" t="n"/>
      <c r="W181" s="266" t="n"/>
      <c r="X181" s="266" t="n"/>
      <c r="Y181" s="266" t="n"/>
      <c r="Z181" s="266" t="n"/>
      <c r="AA181" s="266" t="n"/>
      <c r="AB181" s="266" t="n"/>
      <c r="AC181" s="266" t="n"/>
      <c r="AD181" s="266" t="n"/>
      <c r="AE181" s="266" t="n"/>
      <c r="AF181" s="266" t="n"/>
      <c r="AG181" s="266" t="n"/>
      <c r="AH181" s="266" t="n"/>
      <c r="AI181" s="266" t="n"/>
      <c r="AJ181" s="266" t="n"/>
      <c r="AK181" s="266" t="n"/>
      <c r="AL181" s="266" t="n"/>
      <c r="AM181" s="266" t="n"/>
      <c r="AN181" s="266" t="n"/>
      <c r="AO181" s="266" t="n"/>
      <c r="AP181" s="266" t="n"/>
      <c r="AQ181" s="266" t="n"/>
      <c r="AR181" s="266" t="n"/>
      <c r="AS181" s="266" t="n"/>
      <c r="AT181" s="266" t="n"/>
      <c r="AU181" s="266" t="n"/>
      <c r="AV181" s="266" t="n"/>
      <c r="AW181" s="266" t="n"/>
      <c r="AX181" s="266" t="n"/>
      <c r="AY181" s="266" t="n"/>
      <c r="AZ181" s="266" t="n"/>
      <c r="BA181" s="266" t="n"/>
      <c r="BB181" s="266" t="n"/>
      <c r="BC181" s="266" t="n"/>
      <c r="BD181" s="266" t="n"/>
      <c r="BE181" s="266" t="n"/>
      <c r="BF181" s="266" t="n"/>
      <c r="BG181" s="266" t="n"/>
      <c r="BH181" s="266" t="n"/>
      <c r="BI181" s="266" t="n"/>
      <c r="BJ181" s="266" t="n"/>
      <c r="BK181" s="266" t="n"/>
      <c r="BL181" s="266" t="n"/>
      <c r="BM181" s="266" t="n"/>
      <c r="BN181" s="266" t="n"/>
      <c r="BO181" s="266" t="n"/>
      <c r="BP181" s="266" t="n"/>
      <c r="BQ181" s="266" t="n"/>
      <c r="BR181" s="266" t="n"/>
      <c r="BS181" s="266" t="n"/>
      <c r="BT181" s="266" t="n"/>
      <c r="BU181" s="266" t="n"/>
      <c r="BV181" s="266" t="n"/>
      <c r="BW181" s="266" t="n"/>
      <c r="BX181" s="266" t="n"/>
      <c r="BY181" s="266" t="n"/>
      <c r="BZ181" s="266" t="n"/>
      <c r="CA181" s="266" t="n"/>
      <c r="CB181" s="266" t="n"/>
      <c r="CC181" s="266" t="n"/>
      <c r="CD181" s="266" t="n"/>
      <c r="CE181" s="266" t="n"/>
      <c r="CF181" s="266" t="n"/>
      <c r="CG181" s="266" t="n"/>
      <c r="CH181" s="266" t="n"/>
      <c r="CI181" s="266" t="n"/>
      <c r="CJ181" s="266" t="n"/>
      <c r="CK181" s="266" t="n"/>
      <c r="CL181" s="266" t="n"/>
      <c r="CM181" s="266" t="n"/>
      <c r="CN181" s="266" t="n"/>
      <c r="CO181" s="266" t="n"/>
      <c r="CP181" s="266" t="n"/>
      <c r="CQ181" s="266" t="n"/>
      <c r="CR181" s="266" t="n"/>
      <c r="CS181" s="266" t="n"/>
      <c r="CT181" s="266" t="n"/>
      <c r="CU181" s="266" t="n"/>
      <c r="CV181" s="266" t="n"/>
      <c r="CW181" s="266" t="n"/>
      <c r="CX181" s="266" t="n"/>
      <c r="CY181" s="266" t="n"/>
    </row>
    <row r="182" ht="12.75" customHeight="1" s="254">
      <c r="C182" s="268" t="inlineStr">
        <is>
          <t>Right-of-use-assets</t>
        </is>
      </c>
      <c r="D182" s="299" t="n"/>
      <c r="E182" s="299" t="n"/>
      <c r="F182" s="299" t="n"/>
      <c r="G182" s="299" t="n"/>
      <c r="H182" s="266">
        <f>G182</f>
        <v>0</v>
      </c>
      <c r="I182" s="299" t="n"/>
      <c r="J182" s="299" t="n"/>
      <c r="K182" s="299" t="n"/>
      <c r="L182" s="299" t="n"/>
      <c r="M182" s="266">
        <f>L182</f>
        <v>0</v>
      </c>
      <c r="N182" s="299" t="n"/>
      <c r="O182" s="299" t="n"/>
      <c r="P182" s="299" t="n"/>
      <c r="Q182" s="299" t="n"/>
      <c r="R182" s="266">
        <f>Q182</f>
        <v>0</v>
      </c>
      <c r="S182" s="299" t="n"/>
      <c r="T182" s="299" t="n"/>
      <c r="U182" s="299" t="n"/>
      <c r="V182" s="299" t="n"/>
      <c r="W182" s="266">
        <f>V182</f>
        <v>0</v>
      </c>
      <c r="X182" s="299" t="n"/>
      <c r="Y182" s="299" t="n"/>
      <c r="Z182" s="299" t="n"/>
      <c r="AA182" s="299" t="n"/>
      <c r="AB182" s="266">
        <f>AA182</f>
        <v>0</v>
      </c>
      <c r="AC182" s="299" t="n"/>
      <c r="AD182" s="299" t="n"/>
      <c r="AE182" s="299" t="n"/>
      <c r="AF182" s="299" t="n"/>
      <c r="AG182" s="266">
        <f>AF182</f>
        <v>0</v>
      </c>
      <c r="AH182" s="266">
        <f>AG182</f>
        <v>0</v>
      </c>
      <c r="AI182" s="266">
        <f>AH182</f>
        <v>0</v>
      </c>
      <c r="AJ182" s="266">
        <f>AI182</f>
        <v>0</v>
      </c>
      <c r="AK182" s="266">
        <f>AJ182</f>
        <v>0</v>
      </c>
      <c r="AL182" s="266">
        <f>AK182</f>
        <v>0</v>
      </c>
      <c r="AM182" s="266">
        <f>AL182</f>
        <v>0</v>
      </c>
      <c r="AN182" s="266">
        <f>AM182</f>
        <v>0</v>
      </c>
      <c r="AO182" s="266">
        <f>AN182</f>
        <v>0</v>
      </c>
      <c r="AP182" s="266">
        <f>AO182</f>
        <v>0</v>
      </c>
      <c r="AQ182" s="266">
        <f>AP182</f>
        <v>0</v>
      </c>
      <c r="AR182" s="266">
        <f>AQ182</f>
        <v>0</v>
      </c>
      <c r="AS182" s="266">
        <f>AR182</f>
        <v>0</v>
      </c>
      <c r="AT182" s="266">
        <f>AS182</f>
        <v>0</v>
      </c>
      <c r="AU182" s="266">
        <f>AT182</f>
        <v>0</v>
      </c>
      <c r="AV182" s="266">
        <f>AU182</f>
        <v>0</v>
      </c>
      <c r="AW182" s="266">
        <f>AV182</f>
        <v>0</v>
      </c>
      <c r="AX182" s="266">
        <f>AW182</f>
        <v>0</v>
      </c>
      <c r="AY182" s="266">
        <f>AX182</f>
        <v>0</v>
      </c>
      <c r="AZ182" s="266">
        <f>AY182</f>
        <v>0</v>
      </c>
      <c r="BA182" s="266">
        <f>AZ182</f>
        <v>0</v>
      </c>
      <c r="BB182" s="266">
        <f>BA182</f>
        <v>0</v>
      </c>
      <c r="BC182" s="266">
        <f>BB182</f>
        <v>0</v>
      </c>
      <c r="BD182" s="266">
        <f>BC182</f>
        <v>0</v>
      </c>
      <c r="BE182" s="266">
        <f>BD182</f>
        <v>0</v>
      </c>
      <c r="BF182" s="266">
        <f>BE182</f>
        <v>0</v>
      </c>
      <c r="BG182" s="266">
        <f>BF182</f>
        <v>0</v>
      </c>
      <c r="BH182" s="266">
        <f>BG182</f>
        <v>0</v>
      </c>
      <c r="BI182" s="266">
        <f>BH182</f>
        <v>0</v>
      </c>
      <c r="BJ182" s="266">
        <f>BI182</f>
        <v>0</v>
      </c>
      <c r="BK182" s="266">
        <f>BJ182</f>
        <v>0</v>
      </c>
      <c r="BL182" s="266">
        <f>BK182</f>
        <v>0</v>
      </c>
      <c r="BM182" s="266">
        <f>BL182</f>
        <v>0</v>
      </c>
      <c r="BN182" s="266">
        <f>BM182</f>
        <v>0</v>
      </c>
      <c r="BO182" s="266">
        <f>BN182</f>
        <v>0</v>
      </c>
      <c r="BP182" s="266">
        <f>BO182</f>
        <v>0</v>
      </c>
      <c r="BQ182" s="266">
        <f>BP182</f>
        <v>0</v>
      </c>
      <c r="BR182" s="266">
        <f>BQ182</f>
        <v>0</v>
      </c>
      <c r="BS182" s="266">
        <f>BR182</f>
        <v>0</v>
      </c>
      <c r="BT182" s="266">
        <f>BS182</f>
        <v>0</v>
      </c>
      <c r="BU182" s="266">
        <f>BT182</f>
        <v>0</v>
      </c>
      <c r="BV182" s="266">
        <f>BU182</f>
        <v>0</v>
      </c>
      <c r="BW182" s="266">
        <f>BV182</f>
        <v>0</v>
      </c>
      <c r="BX182" s="266">
        <f>BW182</f>
        <v>0</v>
      </c>
      <c r="BY182" s="266">
        <f>BX182</f>
        <v>0</v>
      </c>
      <c r="BZ182" s="266">
        <f>BY182</f>
        <v>0</v>
      </c>
      <c r="CA182" s="266">
        <f>BZ182</f>
        <v>0</v>
      </c>
      <c r="CB182" s="266">
        <f>CA182</f>
        <v>0</v>
      </c>
      <c r="CC182" s="266">
        <f>CB182</f>
        <v>0</v>
      </c>
      <c r="CD182" s="266">
        <f>CC182</f>
        <v>0</v>
      </c>
      <c r="CE182" s="266">
        <f>CD182</f>
        <v>0</v>
      </c>
      <c r="CF182" s="266">
        <f>CE182</f>
        <v>0</v>
      </c>
      <c r="CG182" s="266">
        <f>CF182</f>
        <v>0</v>
      </c>
      <c r="CH182" s="266">
        <f>CG182</f>
        <v>0</v>
      </c>
      <c r="CI182" s="266">
        <f>CH182</f>
        <v>0</v>
      </c>
      <c r="CJ182" s="266">
        <f>CI182</f>
        <v>0</v>
      </c>
      <c r="CK182" s="266">
        <f>CJ182</f>
        <v>0</v>
      </c>
      <c r="CL182" s="266">
        <f>CK182</f>
        <v>0</v>
      </c>
      <c r="CM182" s="266">
        <f>CL182</f>
        <v>0</v>
      </c>
      <c r="CN182" s="266">
        <f>CM182</f>
        <v>0</v>
      </c>
      <c r="CO182" s="266">
        <f>CN182</f>
        <v>0</v>
      </c>
      <c r="CP182" s="266">
        <f>CO182</f>
        <v>0</v>
      </c>
      <c r="CQ182" s="266">
        <f>CP182</f>
        <v>0</v>
      </c>
      <c r="CR182" s="266">
        <f>CQ182</f>
        <v>0</v>
      </c>
      <c r="CS182" s="266">
        <f>CR182</f>
        <v>0</v>
      </c>
      <c r="CT182" s="266">
        <f>CS182</f>
        <v>0</v>
      </c>
      <c r="CU182" s="266">
        <f>CT182</f>
        <v>0</v>
      </c>
      <c r="CV182" s="266">
        <f>CU182</f>
        <v>0</v>
      </c>
      <c r="CW182" s="266">
        <f>CV182</f>
        <v>0</v>
      </c>
      <c r="CX182" s="266">
        <f>CW182</f>
        <v>0</v>
      </c>
      <c r="CY182" s="266">
        <f>CX182</f>
        <v>0</v>
      </c>
    </row>
    <row r="183" hidden="1" outlineLevel="1" ht="12.75" customHeight="1" s="254">
      <c r="C183" s="312" t="inlineStr">
        <is>
          <t>%(Var.)</t>
        </is>
      </c>
      <c r="D183" s="266" t="n"/>
      <c r="E183" s="294">
        <f>IFERROR((E182-D182)/D182,0)</f>
        <v>0</v>
      </c>
      <c r="F183" s="294">
        <f>IFERROR((F182-E182)/E182,0)</f>
        <v>0</v>
      </c>
      <c r="G183" s="294">
        <f>IFERROR((G182-F182)/F182,0)</f>
        <v>0</v>
      </c>
      <c r="H183" s="266" t="n"/>
      <c r="I183" s="294">
        <f>IFERROR((I182-H182)/H182,0)</f>
        <v>0</v>
      </c>
      <c r="J183" s="294">
        <f>IFERROR((J182-I182)/I182,0)</f>
        <v>0</v>
      </c>
      <c r="K183" s="294">
        <f>IFERROR((K182-J182)/J182,0)</f>
        <v>0</v>
      </c>
      <c r="L183" s="294">
        <f>IFERROR((L182-K182)/K182,0)</f>
        <v>0</v>
      </c>
      <c r="M183" s="266" t="n"/>
      <c r="N183" s="294">
        <f>IFERROR((N182-M182)/M182,0)</f>
        <v>0</v>
      </c>
      <c r="O183" s="294">
        <f>IFERROR((O182-N182)/N182,0)</f>
        <v>0</v>
      </c>
      <c r="P183" s="294">
        <f>IFERROR((P182-O182)/O182,0)</f>
        <v>0</v>
      </c>
      <c r="Q183" s="294">
        <f>IFERROR((Q182-P182)/P182,0)</f>
        <v>0</v>
      </c>
      <c r="R183" s="266" t="n"/>
      <c r="S183" s="294">
        <f>IFERROR((S182-R182)/R182,0)</f>
        <v>0</v>
      </c>
      <c r="T183" s="294">
        <f>IFERROR((T182-S182)/S182,0)</f>
        <v>0</v>
      </c>
      <c r="U183" s="294">
        <f>IFERROR((U182-T182)/T182,0)</f>
        <v>0</v>
      </c>
      <c r="V183" s="294">
        <f>IFERROR((V182-U182)/U182,0)</f>
        <v>0</v>
      </c>
      <c r="W183" s="266" t="n"/>
      <c r="X183" s="294">
        <f>IFERROR((X182-W182)/W182,0)</f>
        <v>0</v>
      </c>
      <c r="Y183" s="294">
        <f>IFERROR((Y182-X182)/X182,0)</f>
        <v>0</v>
      </c>
      <c r="Z183" s="294">
        <f>IFERROR((Z182-Y182)/Y182,0)</f>
        <v>0</v>
      </c>
      <c r="AA183" s="294">
        <f>IFERROR((AA182-Z182)/Z182,0)</f>
        <v>0</v>
      </c>
      <c r="AB183" s="266" t="n"/>
      <c r="AC183" s="294">
        <f>IFERROR((AC182-AB182)/AB182,0)</f>
        <v>0</v>
      </c>
      <c r="AD183" s="294">
        <f>IFERROR((AD182-AC182)/AC182,0)</f>
        <v>0</v>
      </c>
      <c r="AE183" s="294">
        <f>IFERROR((AE182-AD182)/AD182,0)</f>
        <v>0</v>
      </c>
      <c r="AF183" s="309">
        <f>IFERROR((AF182-AE182)/AE182,0)</f>
        <v>0</v>
      </c>
      <c r="AG183" s="266" t="n"/>
      <c r="AH183" s="309">
        <f>IFERROR((AH182-AG182)/AG182,0)</f>
        <v>0</v>
      </c>
      <c r="AI183" s="309">
        <f>IFERROR((AI182-AH182)/AH182,0)</f>
        <v>0</v>
      </c>
      <c r="AJ183" s="309" t="n"/>
      <c r="AK183" s="309" t="n"/>
      <c r="AL183" s="266" t="n"/>
      <c r="AM183" s="309" t="n"/>
      <c r="AN183" s="309" t="n"/>
      <c r="AO183" s="309" t="n"/>
      <c r="AP183" s="309" t="n"/>
      <c r="AQ183" s="266" t="n"/>
      <c r="AR183" s="309" t="n"/>
      <c r="AS183" s="309" t="n"/>
      <c r="AT183" s="309" t="n"/>
      <c r="AU183" s="309" t="n"/>
      <c r="AV183" s="266" t="n"/>
      <c r="AW183" s="309" t="n"/>
      <c r="AX183" s="309" t="n"/>
      <c r="AY183" s="309" t="n"/>
      <c r="AZ183" s="309" t="n"/>
      <c r="BA183" s="266" t="n"/>
      <c r="BB183" s="309" t="n"/>
      <c r="BC183" s="309" t="n"/>
      <c r="BD183" s="309" t="n"/>
      <c r="BE183" s="309" t="n"/>
      <c r="BF183" s="266" t="n"/>
      <c r="BG183" s="309" t="n"/>
      <c r="BH183" s="309" t="n"/>
      <c r="BI183" s="309" t="n"/>
      <c r="BJ183" s="309" t="n"/>
      <c r="BK183" s="266" t="n"/>
      <c r="BL183" s="309" t="n"/>
      <c r="BM183" s="309" t="n"/>
      <c r="BN183" s="309" t="n"/>
      <c r="BO183" s="309" t="n"/>
      <c r="BP183" s="266" t="n"/>
      <c r="BQ183" s="309" t="n"/>
      <c r="BR183" s="309" t="n"/>
      <c r="BS183" s="309" t="n"/>
      <c r="BT183" s="309" t="n"/>
      <c r="BU183" s="266" t="n"/>
      <c r="BV183" s="309" t="n"/>
      <c r="BW183" s="309" t="n"/>
      <c r="BX183" s="309" t="n"/>
      <c r="BY183" s="309" t="n"/>
      <c r="BZ183" s="266" t="n"/>
      <c r="CA183" s="309" t="n"/>
      <c r="CB183" s="309" t="n"/>
      <c r="CC183" s="309" t="n"/>
      <c r="CD183" s="309" t="n"/>
      <c r="CE183" s="266" t="n"/>
      <c r="CF183" s="309" t="n"/>
      <c r="CG183" s="309" t="n"/>
      <c r="CH183" s="309" t="n"/>
      <c r="CI183" s="309" t="n"/>
      <c r="CJ183" s="266" t="n"/>
      <c r="CK183" s="309" t="n"/>
      <c r="CL183" s="309" t="n"/>
      <c r="CM183" s="309" t="n"/>
      <c r="CN183" s="309" t="n"/>
      <c r="CO183" s="266" t="n"/>
      <c r="CP183" s="309" t="n"/>
      <c r="CQ183" s="309" t="n"/>
      <c r="CR183" s="309" t="n"/>
      <c r="CS183" s="309" t="n"/>
      <c r="CT183" s="266" t="n"/>
      <c r="CU183" s="309" t="n"/>
      <c r="CV183" s="309" t="n"/>
      <c r="CW183" s="309" t="n"/>
      <c r="CX183" s="309" t="n"/>
      <c r="CY183" s="266" t="n"/>
    </row>
    <row r="184" hidden="1" outlineLevel="1" ht="12.75" customHeight="1" s="254">
      <c r="C184" s="310" t="n"/>
      <c r="D184" s="266" t="n"/>
      <c r="E184" s="266" t="n"/>
      <c r="F184" s="266" t="n"/>
      <c r="G184" s="266" t="n"/>
      <c r="H184" s="266" t="n"/>
      <c r="I184" s="266" t="n"/>
      <c r="J184" s="266" t="n"/>
      <c r="K184" s="266" t="n"/>
      <c r="L184" s="266" t="n"/>
      <c r="M184" s="266" t="n"/>
      <c r="N184" s="266" t="n"/>
      <c r="O184" s="266" t="n"/>
      <c r="P184" s="266" t="n"/>
      <c r="Q184" s="266" t="n"/>
      <c r="R184" s="266" t="n"/>
      <c r="S184" s="266" t="n"/>
      <c r="T184" s="266" t="n"/>
      <c r="U184" s="266" t="n"/>
      <c r="V184" s="266" t="n"/>
      <c r="W184" s="266" t="n"/>
      <c r="X184" s="266" t="n"/>
      <c r="Y184" s="266" t="n"/>
      <c r="Z184" s="266" t="n"/>
      <c r="AA184" s="266" t="n"/>
      <c r="AB184" s="266" t="n"/>
      <c r="AC184" s="266" t="n"/>
      <c r="AD184" s="266" t="n"/>
      <c r="AE184" s="266" t="n"/>
      <c r="AF184" s="266" t="n"/>
      <c r="AG184" s="266" t="n"/>
      <c r="AH184" s="266" t="n"/>
      <c r="AI184" s="266" t="n"/>
      <c r="AJ184" s="266" t="n"/>
      <c r="AK184" s="266" t="n"/>
      <c r="AL184" s="266" t="n"/>
      <c r="AM184" s="266" t="n"/>
      <c r="AN184" s="266" t="n"/>
      <c r="AO184" s="266" t="n"/>
      <c r="AP184" s="266" t="n"/>
      <c r="AQ184" s="266" t="n"/>
      <c r="AR184" s="266" t="n"/>
      <c r="AS184" s="266" t="n"/>
      <c r="AT184" s="266" t="n"/>
      <c r="AU184" s="266" t="n"/>
      <c r="AV184" s="266" t="n"/>
      <c r="AW184" s="266" t="n"/>
      <c r="AX184" s="266" t="n"/>
      <c r="AY184" s="266" t="n"/>
      <c r="AZ184" s="266" t="n"/>
      <c r="BA184" s="266" t="n"/>
      <c r="BB184" s="266" t="n"/>
      <c r="BC184" s="266" t="n"/>
      <c r="BD184" s="266" t="n"/>
      <c r="BE184" s="266" t="n"/>
      <c r="BF184" s="266" t="n"/>
      <c r="BG184" s="266" t="n"/>
      <c r="BH184" s="266" t="n"/>
      <c r="BI184" s="266" t="n"/>
      <c r="BJ184" s="266" t="n"/>
      <c r="BK184" s="266" t="n"/>
      <c r="BL184" s="266" t="n"/>
      <c r="BM184" s="266" t="n"/>
      <c r="BN184" s="266" t="n"/>
      <c r="BO184" s="266" t="n"/>
      <c r="BP184" s="266" t="n"/>
      <c r="BQ184" s="266" t="n"/>
      <c r="BR184" s="266" t="n"/>
      <c r="BS184" s="266" t="n"/>
      <c r="BT184" s="266" t="n"/>
      <c r="BU184" s="266" t="n"/>
      <c r="BV184" s="266" t="n"/>
      <c r="BW184" s="266" t="n"/>
      <c r="BX184" s="266" t="n"/>
      <c r="BY184" s="266" t="n"/>
      <c r="BZ184" s="266" t="n"/>
      <c r="CA184" s="266" t="n"/>
      <c r="CB184" s="266" t="n"/>
      <c r="CC184" s="266" t="n"/>
      <c r="CD184" s="266" t="n"/>
      <c r="CE184" s="266" t="n"/>
      <c r="CF184" s="266" t="n"/>
      <c r="CG184" s="266" t="n"/>
      <c r="CH184" s="266" t="n"/>
      <c r="CI184" s="266" t="n"/>
      <c r="CJ184" s="266" t="n"/>
      <c r="CK184" s="266" t="n"/>
      <c r="CL184" s="266" t="n"/>
      <c r="CM184" s="266" t="n"/>
      <c r="CN184" s="266" t="n"/>
      <c r="CO184" s="266" t="n"/>
      <c r="CP184" s="266" t="n"/>
      <c r="CQ184" s="266" t="n"/>
      <c r="CR184" s="266" t="n"/>
      <c r="CS184" s="266" t="n"/>
      <c r="CT184" s="266" t="n"/>
      <c r="CU184" s="266" t="n"/>
      <c r="CV184" s="266" t="n"/>
      <c r="CW184" s="266" t="n"/>
      <c r="CX184" s="266" t="n"/>
      <c r="CY184" s="266" t="n"/>
    </row>
    <row r="185" ht="12.75" customHeight="1" s="254">
      <c r="C185" s="268" t="inlineStr">
        <is>
          <t>Goodwill</t>
        </is>
      </c>
      <c r="D185" s="299" t="n"/>
      <c r="E185" s="299" t="n"/>
      <c r="F185" s="299" t="n"/>
      <c r="G185" s="299" t="n"/>
      <c r="H185" s="266">
        <f>G185</f>
        <v>0</v>
      </c>
      <c r="I185" s="299">
        <f>INDEX('Inputs (2)'!$D$24:$AL$24,MATCH(I$7,'Inputs (2)'!$D$2:$AL$2,0))</f>
        <v>14086</v>
      </c>
      <c r="J185" s="299">
        <f>INDEX('Inputs (2)'!$D$24:$AL$24,MATCH(J$7,'Inputs (2)'!$D$2:$AL$2,0))</f>
        <v>14019</v>
      </c>
      <c r="K185" s="299">
        <f>INDEX('Inputs (2)'!$D$24:$AL$24,MATCH(K$7,'Inputs (2)'!$D$2:$AL$2,0))</f>
        <v>13858</v>
      </c>
      <c r="L185" s="299">
        <f>INDEX('Inputs (2)'!$D$24:$AL$24,MATCH(L$7,'Inputs (2)'!$D$2:$AL$2,0))</f>
        <v>14920</v>
      </c>
      <c r="M185" s="266">
        <f>L185</f>
        <v>14920</v>
      </c>
      <c r="N185" s="299">
        <f>INDEX('Inputs (2)'!$D$24:$AL$24,MATCH(N$7,'Inputs (2)'!$D$2:$AL$2,0))</f>
        <v>15200</v>
      </c>
      <c r="O185" s="299">
        <f>INDEX('Inputs (2)'!$D$24:$AL$24,MATCH(O$7,'Inputs (2)'!$D$2:$AL$2,0))</f>
        <v>15810</v>
      </c>
      <c r="P185" s="299">
        <f>INDEX('Inputs (2)'!$D$24:$AL$24,MATCH(P$7,'Inputs (2)'!$D$2:$AL$2,0))</f>
        <v>15423</v>
      </c>
      <c r="Q185" s="299">
        <f>INDEX('Inputs (2)'!$D$24:$AL$24,MATCH(Q$7,'Inputs (2)'!$D$2:$AL$2,0))</f>
        <v>16039</v>
      </c>
      <c r="R185" s="266">
        <f>Q185</f>
        <v>16039</v>
      </c>
      <c r="S185" s="299">
        <f>INDEX('Inputs (2)'!$D$24:$AL$24,MATCH(S$7,'Inputs (2)'!$D$2:$AL$2,0))</f>
        <v>17651</v>
      </c>
      <c r="T185" s="299">
        <f>INDEX('Inputs (2)'!$D$24:$AL$24,MATCH(T$7,'Inputs (2)'!$D$2:$AL$2,0))</f>
        <v>17655</v>
      </c>
      <c r="U185" s="299">
        <f>INDEX('Inputs (2)'!$D$24:$AL$24,MATCH(U$7,'Inputs (2)'!$D$2:$AL$2,0))</f>
        <v>17345</v>
      </c>
      <c r="V185" s="299">
        <f>INDEX('Inputs (2)'!$D$24:$AL$24,MATCH(V$7,'Inputs (2)'!$D$2:$AL$2,0))</f>
        <v>16660</v>
      </c>
      <c r="W185" s="266">
        <f>V185</f>
        <v>16660</v>
      </c>
      <c r="X185" s="299">
        <f>INDEX('Inputs (2)'!$D$24:$AL$24,MATCH(X$7,'Inputs (2)'!$D$2:$AL$2,0))</f>
        <v>16554</v>
      </c>
      <c r="Y185" s="299">
        <f>INDEX('Inputs (2)'!$D$24:$AL$24,MATCH(Y$7,'Inputs (2)'!$D$2:$AL$2,0))</f>
        <v>16538</v>
      </c>
      <c r="Z185" s="299">
        <f>INDEX('Inputs (2)'!$D$24:$AL$24,MATCH(Z$7,'Inputs (2)'!$D$2:$AL$2,0))</f>
        <v>16600</v>
      </c>
      <c r="AA185" s="299">
        <f>INDEX('Inputs (2)'!$D$24:$AL$24,MATCH(AA$7,'Inputs (2)'!$D$2:$AL$2,0))</f>
        <v>16032</v>
      </c>
      <c r="AB185" s="266">
        <f>AA185</f>
        <v>16032</v>
      </c>
      <c r="AC185" s="299">
        <f>INDEX('Inputs (2)'!$D$24:$AL$24,MATCH(AC$7,'Inputs (2)'!$D$2:$AL$2,0))</f>
        <v>16072</v>
      </c>
      <c r="AD185" s="299">
        <f>INDEX('Inputs (2)'!$D$24:$AL$24,MATCH(AD$7,'Inputs (2)'!$D$2:$AL$2,0))</f>
        <v>16332</v>
      </c>
      <c r="AE185" s="299">
        <f>INDEX('Inputs (2)'!$D$24:$AL$24,MATCH(AE$7,'Inputs (2)'!$D$2:$AL$2,0))</f>
        <v>16034</v>
      </c>
      <c r="AF185" s="299">
        <f>INDEX('Inputs (2)'!$D$24:$AL$24,MATCH(AF$7,'Inputs (2)'!$D$2:$AL$2,0))</f>
        <v>15662</v>
      </c>
      <c r="AG185" s="266">
        <f>AF185</f>
        <v>15662</v>
      </c>
      <c r="AH185" s="266">
        <f>INDEX('Inputs (2)'!$D$24:$AL$24,MATCH(AH$7,'Inputs (2)'!$D$2:$AL$2,0))</f>
        <v>15189</v>
      </c>
      <c r="AI185" s="266">
        <f>INDEX('Inputs (2)'!$D$24:$AL$24,MATCH(AI$7,'Inputs (2)'!$D$2:$AL$2,0))</f>
        <v>14969</v>
      </c>
      <c r="AJ185" s="266">
        <f>AI185</f>
        <v>14969</v>
      </c>
      <c r="AK185" s="266">
        <f>AJ185</f>
        <v>14969</v>
      </c>
      <c r="AL185" s="266">
        <f>AK185</f>
        <v>14969</v>
      </c>
      <c r="AM185" s="266">
        <f>AL185</f>
        <v>14969</v>
      </c>
      <c r="AN185" s="266">
        <f>AM185</f>
        <v>14969</v>
      </c>
      <c r="AO185" s="266">
        <f>AN185</f>
        <v>14969</v>
      </c>
      <c r="AP185" s="266">
        <f>AO185</f>
        <v>14969</v>
      </c>
      <c r="AQ185" s="266">
        <f>AP185</f>
        <v>14969</v>
      </c>
      <c r="AR185" s="266">
        <f>AQ185</f>
        <v>14969</v>
      </c>
      <c r="AS185" s="266">
        <f>AR185</f>
        <v>14969</v>
      </c>
      <c r="AT185" s="266">
        <f>AS185</f>
        <v>14969</v>
      </c>
      <c r="AU185" s="266">
        <f>AT185</f>
        <v>14969</v>
      </c>
      <c r="AV185" s="266">
        <f>AU185</f>
        <v>14969</v>
      </c>
      <c r="AW185" s="266">
        <f>AV185</f>
        <v>14969</v>
      </c>
      <c r="AX185" s="266">
        <f>AW185</f>
        <v>14969</v>
      </c>
      <c r="AY185" s="266">
        <f>AX185</f>
        <v>14969</v>
      </c>
      <c r="AZ185" s="266">
        <f>AY185</f>
        <v>14969</v>
      </c>
      <c r="BA185" s="266">
        <f>AZ185</f>
        <v>14969</v>
      </c>
      <c r="BB185" s="266">
        <f>BA185</f>
        <v>14969</v>
      </c>
      <c r="BC185" s="266">
        <f>BB185</f>
        <v>14969</v>
      </c>
      <c r="BD185" s="266">
        <f>BC185</f>
        <v>14969</v>
      </c>
      <c r="BE185" s="266">
        <f>BD185</f>
        <v>14969</v>
      </c>
      <c r="BF185" s="266">
        <f>BE185</f>
        <v>14969</v>
      </c>
      <c r="BG185" s="266">
        <f>BF185</f>
        <v>14969</v>
      </c>
      <c r="BH185" s="266">
        <f>BG185</f>
        <v>14969</v>
      </c>
      <c r="BI185" s="266">
        <f>BH185</f>
        <v>14969</v>
      </c>
      <c r="BJ185" s="266">
        <f>BI185</f>
        <v>14969</v>
      </c>
      <c r="BK185" s="266">
        <f>BJ185</f>
        <v>14969</v>
      </c>
      <c r="BL185" s="266">
        <f>BK185</f>
        <v>14969</v>
      </c>
      <c r="BM185" s="266">
        <f>BL185</f>
        <v>14969</v>
      </c>
      <c r="BN185" s="266">
        <f>BM185</f>
        <v>14969</v>
      </c>
      <c r="BO185" s="266">
        <f>BN185</f>
        <v>14969</v>
      </c>
      <c r="BP185" s="266">
        <f>BO185</f>
        <v>14969</v>
      </c>
      <c r="BQ185" s="266">
        <f>BP185</f>
        <v>14969</v>
      </c>
      <c r="BR185" s="266">
        <f>BQ185</f>
        <v>14969</v>
      </c>
      <c r="BS185" s="266">
        <f>BR185</f>
        <v>14969</v>
      </c>
      <c r="BT185" s="266">
        <f>BS185</f>
        <v>14969</v>
      </c>
      <c r="BU185" s="266">
        <f>BT185</f>
        <v>14969</v>
      </c>
      <c r="BV185" s="266">
        <f>BU185</f>
        <v>14969</v>
      </c>
      <c r="BW185" s="266">
        <f>BV185</f>
        <v>14969</v>
      </c>
      <c r="BX185" s="266">
        <f>BW185</f>
        <v>14969</v>
      </c>
      <c r="BY185" s="266">
        <f>BX185</f>
        <v>14969</v>
      </c>
      <c r="BZ185" s="266">
        <f>BY185</f>
        <v>14969</v>
      </c>
      <c r="CA185" s="266">
        <f>BZ185</f>
        <v>14969</v>
      </c>
      <c r="CB185" s="266">
        <f>CA185</f>
        <v>14969</v>
      </c>
      <c r="CC185" s="266">
        <f>CB185</f>
        <v>14969</v>
      </c>
      <c r="CD185" s="266">
        <f>CC185</f>
        <v>14969</v>
      </c>
      <c r="CE185" s="266">
        <f>CD185</f>
        <v>14969</v>
      </c>
      <c r="CF185" s="266">
        <f>CE185</f>
        <v>14969</v>
      </c>
      <c r="CG185" s="266">
        <f>CF185</f>
        <v>14969</v>
      </c>
      <c r="CH185" s="266">
        <f>CG185</f>
        <v>14969</v>
      </c>
      <c r="CI185" s="266">
        <f>CH185</f>
        <v>14969</v>
      </c>
      <c r="CJ185" s="266">
        <f>CI185</f>
        <v>14969</v>
      </c>
      <c r="CK185" s="266">
        <f>CJ185</f>
        <v>14969</v>
      </c>
      <c r="CL185" s="266">
        <f>CK185</f>
        <v>14969</v>
      </c>
      <c r="CM185" s="266">
        <f>CL185</f>
        <v>14969</v>
      </c>
      <c r="CN185" s="266">
        <f>CM185</f>
        <v>14969</v>
      </c>
      <c r="CO185" s="266">
        <f>CN185</f>
        <v>14969</v>
      </c>
      <c r="CP185" s="266">
        <f>CO185</f>
        <v>14969</v>
      </c>
      <c r="CQ185" s="266">
        <f>CP185</f>
        <v>14969</v>
      </c>
      <c r="CR185" s="266">
        <f>CQ185</f>
        <v>14969</v>
      </c>
      <c r="CS185" s="266">
        <f>CR185</f>
        <v>14969</v>
      </c>
      <c r="CT185" s="266">
        <f>CS185</f>
        <v>14969</v>
      </c>
      <c r="CU185" s="266">
        <f>CT185</f>
        <v>14969</v>
      </c>
      <c r="CV185" s="266">
        <f>CU185</f>
        <v>14969</v>
      </c>
      <c r="CW185" s="266">
        <f>CV185</f>
        <v>14969</v>
      </c>
      <c r="CX185" s="266">
        <f>CW185</f>
        <v>14969</v>
      </c>
      <c r="CY185" s="266">
        <f>CX185</f>
        <v>14969</v>
      </c>
    </row>
    <row r="186" ht="12.75" customHeight="1" s="254">
      <c r="C186" s="268" t="inlineStr">
        <is>
          <t>Intangibles</t>
        </is>
      </c>
      <c r="D186" s="299" t="n"/>
      <c r="E186" s="299" t="n"/>
      <c r="F186" s="299" t="n"/>
      <c r="G186" s="299" t="n"/>
      <c r="H186" s="266">
        <f>G186</f>
        <v>0</v>
      </c>
      <c r="I186" s="299">
        <f>INDEX('Inputs (2)'!$D$25:$AL$25,MATCH(I$7,'Inputs (2)'!$D$2:$AL$2,0))</f>
        <v>8786</v>
      </c>
      <c r="J186" s="299">
        <f>INDEX('Inputs (2)'!$D$25:$AL$25,MATCH(J$7,'Inputs (2)'!$D$2:$AL$2,0))</f>
        <v>8443</v>
      </c>
      <c r="K186" s="299">
        <f>INDEX('Inputs (2)'!$D$25:$AL$25,MATCH(K$7,'Inputs (2)'!$D$2:$AL$2,0))</f>
        <v>8486</v>
      </c>
      <c r="L186" s="299">
        <f>INDEX('Inputs (2)'!$D$25:$AL$25,MATCH(L$7,'Inputs (2)'!$D$2:$AL$2,0))</f>
        <v>9773</v>
      </c>
      <c r="M186" s="266">
        <f>L186</f>
        <v>9773</v>
      </c>
      <c r="N186" s="299">
        <f>INDEX('Inputs (2)'!$D$25:$AL$25,MATCH(N$7,'Inputs (2)'!$D$2:$AL$2,0))</f>
        <v>9735</v>
      </c>
      <c r="O186" s="299">
        <f>INDEX('Inputs (2)'!$D$25:$AL$25,MATCH(O$7,'Inputs (2)'!$D$2:$AL$2,0))</f>
        <v>9730</v>
      </c>
      <c r="P186" s="299">
        <f>INDEX('Inputs (2)'!$D$25:$AL$25,MATCH(P$7,'Inputs (2)'!$D$2:$AL$2,0))</f>
        <v>8939</v>
      </c>
      <c r="Q186" s="299">
        <f>INDEX('Inputs (2)'!$D$25:$AL$25,MATCH(Q$7,'Inputs (2)'!$D$2:$AL$2,0))</f>
        <v>9662</v>
      </c>
      <c r="R186" s="266">
        <f>Q186</f>
        <v>9662</v>
      </c>
      <c r="S186" s="299">
        <f>INDEX('Inputs (2)'!$D$25:$AL$25,MATCH(S$7,'Inputs (2)'!$D$2:$AL$2,0))</f>
        <v>9751</v>
      </c>
      <c r="T186" s="299">
        <f>INDEX('Inputs (2)'!$D$25:$AL$25,MATCH(T$7,'Inputs (2)'!$D$2:$AL$2,0))</f>
        <v>8642</v>
      </c>
      <c r="U186" s="299">
        <f>INDEX('Inputs (2)'!$D$25:$AL$25,MATCH(U$7,'Inputs (2)'!$D$2:$AL$2,0))</f>
        <v>8288</v>
      </c>
      <c r="V186" s="299">
        <f>INDEX('Inputs (2)'!$D$25:$AL$25,MATCH(V$7,'Inputs (2)'!$D$2:$AL$2,0))</f>
        <v>10253</v>
      </c>
      <c r="W186" s="266">
        <f>V186</f>
        <v>10253</v>
      </c>
      <c r="X186" s="299">
        <f>INDEX('Inputs (2)'!$D$25:$AL$25,MATCH(X$7,'Inputs (2)'!$D$2:$AL$2,0))</f>
        <v>9999</v>
      </c>
      <c r="Y186" s="299">
        <f>INDEX('Inputs (2)'!$D$25:$AL$25,MATCH(Y$7,'Inputs (2)'!$D$2:$AL$2,0))</f>
        <v>9387</v>
      </c>
      <c r="Z186" s="299">
        <f>INDEX('Inputs (2)'!$D$25:$AL$25,MATCH(Z$7,'Inputs (2)'!$D$2:$AL$2,0))</f>
        <v>8188</v>
      </c>
      <c r="AA186" s="299">
        <f>INDEX('Inputs (2)'!$D$25:$AL$25,MATCH(AA$7,'Inputs (2)'!$D$2:$AL$2,0))</f>
        <v>9480</v>
      </c>
      <c r="AB186" s="266">
        <f>AA186</f>
        <v>9480</v>
      </c>
      <c r="AC186" s="299">
        <f>INDEX('Inputs (2)'!$D$25:$AL$25,MATCH(AC$7,'Inputs (2)'!$D$2:$AL$2,0))</f>
        <v>11365</v>
      </c>
      <c r="AD186" s="299">
        <f>INDEX('Inputs (2)'!$D$25:$AL$25,MATCH(AD$7,'Inputs (2)'!$D$2:$AL$2,0))</f>
        <v>11338</v>
      </c>
      <c r="AE186" s="299">
        <f>INDEX('Inputs (2)'!$D$25:$AL$25,MATCH(AE$7,'Inputs (2)'!$D$2:$AL$2,0))</f>
        <v>9546</v>
      </c>
      <c r="AF186" s="299">
        <f>INDEX('Inputs (2)'!$D$25:$AL$25,MATCH(AF$7,'Inputs (2)'!$D$2:$AL$2,0))</f>
        <v>11010</v>
      </c>
      <c r="AG186" s="266">
        <f>AF186</f>
        <v>11010</v>
      </c>
      <c r="AH186" s="266">
        <f>INDEX('Inputs (2)'!$D$25:$AL$25,MATCH(AH$7,'Inputs (2)'!$D$2:$AL$2,0))</f>
        <v>10873</v>
      </c>
      <c r="AI186" s="266">
        <f>INDEX('Inputs (2)'!$D$25:$AL$25,MATCH(AI$7,'Inputs (2)'!$D$2:$AL$2,0))</f>
        <v>10449</v>
      </c>
      <c r="AJ186" s="266" t="n"/>
      <c r="AK186" s="266" t="n"/>
      <c r="AL186" s="266">
        <f>AK186</f>
        <v>0</v>
      </c>
      <c r="AN186" s="266" t="n"/>
      <c r="AO186" s="266" t="n"/>
      <c r="AP186" s="266" t="n"/>
      <c r="AQ186" s="266">
        <f>AP186</f>
        <v>0</v>
      </c>
      <c r="AS186" s="266" t="n"/>
      <c r="AT186" s="266" t="n"/>
      <c r="AU186" s="266" t="n"/>
      <c r="AV186" s="266">
        <f>AU186</f>
        <v>0</v>
      </c>
      <c r="AX186" s="266" t="n"/>
      <c r="AY186" s="266" t="n"/>
      <c r="AZ186" s="266" t="n"/>
      <c r="BA186" s="266">
        <f>AZ186</f>
        <v>0</v>
      </c>
      <c r="BC186" s="266" t="n"/>
      <c r="BD186" s="266" t="n"/>
      <c r="BE186" s="266" t="n"/>
      <c r="BF186" s="266">
        <f>BE186</f>
        <v>0</v>
      </c>
      <c r="BH186" s="266" t="n"/>
      <c r="BI186" s="266" t="n"/>
      <c r="BJ186" s="266" t="n"/>
      <c r="BK186" s="266">
        <f>BJ186</f>
        <v>0</v>
      </c>
      <c r="BM186" s="266" t="n"/>
      <c r="BN186" s="266" t="n"/>
      <c r="BO186" s="266" t="n"/>
      <c r="BP186" s="266">
        <f>BO186</f>
        <v>0</v>
      </c>
      <c r="BR186" s="266" t="n"/>
      <c r="BS186" s="266" t="n"/>
      <c r="BT186" s="266" t="n"/>
      <c r="BU186" s="266">
        <f>BT186</f>
        <v>0</v>
      </c>
      <c r="BW186" s="266" t="n"/>
      <c r="BX186" s="266" t="n"/>
      <c r="BY186" s="266" t="n"/>
      <c r="BZ186" s="266">
        <f>BY186</f>
        <v>0</v>
      </c>
      <c r="CB186" s="266" t="n"/>
      <c r="CC186" s="266" t="n"/>
      <c r="CD186" s="266" t="n"/>
      <c r="CE186" s="266">
        <f>CD186</f>
        <v>0</v>
      </c>
      <c r="CG186" s="266" t="n"/>
      <c r="CH186" s="266" t="n"/>
      <c r="CI186" s="266" t="n"/>
      <c r="CJ186" s="266">
        <f>CI186</f>
        <v>0</v>
      </c>
      <c r="CL186" s="266" t="n"/>
      <c r="CM186" s="266" t="n"/>
      <c r="CN186" s="266" t="n"/>
      <c r="CO186" s="266">
        <f>CN186</f>
        <v>0</v>
      </c>
      <c r="CQ186" s="266" t="n"/>
      <c r="CR186" s="266" t="n"/>
      <c r="CS186" s="266" t="n"/>
      <c r="CT186" s="266">
        <f>CS186</f>
        <v>0</v>
      </c>
      <c r="CV186" s="266" t="n"/>
      <c r="CW186" s="266" t="n"/>
      <c r="CX186" s="266" t="n"/>
      <c r="CY186" s="266">
        <f>CX186</f>
        <v>0</v>
      </c>
    </row>
    <row r="187" hidden="1" outlineLevel="1" ht="12.75" customHeight="1" s="254">
      <c r="C187" s="310" t="n"/>
      <c r="D187" s="266" t="n"/>
      <c r="E187" s="266" t="n"/>
      <c r="F187" s="266" t="n"/>
      <c r="G187" s="266" t="n"/>
      <c r="H187" s="266" t="n"/>
      <c r="I187" s="266" t="n"/>
      <c r="J187" s="266" t="n"/>
      <c r="K187" s="266" t="n"/>
      <c r="L187" s="266" t="n"/>
      <c r="M187" s="266" t="n"/>
      <c r="N187" s="266" t="n"/>
      <c r="O187" s="266" t="n"/>
      <c r="P187" s="266" t="n"/>
      <c r="Q187" s="266" t="n"/>
      <c r="R187" s="266" t="n"/>
      <c r="S187" s="266" t="n"/>
      <c r="T187" s="266" t="n"/>
      <c r="U187" s="266" t="n"/>
      <c r="V187" s="266" t="n"/>
      <c r="W187" s="266" t="n"/>
      <c r="X187" s="266" t="n"/>
      <c r="Y187" s="266" t="n"/>
      <c r="Z187" s="266" t="n"/>
      <c r="AA187" s="266" t="n"/>
      <c r="AB187" s="266" t="n"/>
      <c r="AC187" s="266" t="n"/>
      <c r="AD187" s="266" t="n"/>
      <c r="AE187" s="266" t="n"/>
      <c r="AF187" s="266" t="n"/>
      <c r="AG187" s="266" t="n"/>
      <c r="AH187" s="266" t="n"/>
      <c r="AI187" s="266" t="n"/>
      <c r="AJ187" s="266" t="n"/>
      <c r="AK187" s="266" t="n"/>
      <c r="AL187" s="266" t="n"/>
      <c r="AM187" s="266" t="n"/>
      <c r="AN187" s="266" t="n"/>
      <c r="AO187" s="266" t="n"/>
      <c r="AP187" s="266" t="n"/>
      <c r="AQ187" s="266" t="n"/>
      <c r="AR187" s="266" t="n"/>
      <c r="AS187" s="266" t="n"/>
      <c r="AT187" s="266" t="n"/>
      <c r="AU187" s="266" t="n"/>
      <c r="AV187" s="266" t="n"/>
      <c r="AW187" s="266" t="n"/>
      <c r="AX187" s="266" t="n"/>
      <c r="AY187" s="266" t="n"/>
      <c r="AZ187" s="266" t="n"/>
      <c r="BA187" s="266" t="n"/>
      <c r="BB187" s="266" t="n"/>
      <c r="BC187" s="266" t="n"/>
      <c r="BD187" s="266" t="n"/>
      <c r="BE187" s="266" t="n"/>
      <c r="BF187" s="266" t="n"/>
      <c r="BG187" s="266" t="n"/>
      <c r="BH187" s="266" t="n"/>
      <c r="BI187" s="266" t="n"/>
      <c r="BJ187" s="266" t="n"/>
      <c r="BK187" s="266" t="n"/>
      <c r="BL187" s="266" t="n"/>
      <c r="BM187" s="266" t="n"/>
      <c r="BN187" s="266" t="n"/>
      <c r="BO187" s="266" t="n"/>
      <c r="BP187" s="266" t="n"/>
      <c r="BQ187" s="266" t="n"/>
      <c r="BR187" s="266" t="n"/>
      <c r="BS187" s="266" t="n"/>
      <c r="BT187" s="266" t="n"/>
      <c r="BU187" s="266" t="n"/>
      <c r="BV187" s="266" t="n"/>
      <c r="BW187" s="266" t="n"/>
      <c r="BX187" s="266" t="n"/>
      <c r="BY187" s="266" t="n"/>
      <c r="BZ187" s="266" t="n"/>
      <c r="CA187" s="266" t="n"/>
      <c r="CB187" s="266" t="n"/>
      <c r="CC187" s="266" t="n"/>
      <c r="CD187" s="266" t="n"/>
      <c r="CE187" s="266" t="n"/>
      <c r="CF187" s="266" t="n"/>
      <c r="CG187" s="266" t="n"/>
      <c r="CH187" s="266" t="n"/>
      <c r="CI187" s="266" t="n"/>
      <c r="CJ187" s="266" t="n"/>
      <c r="CK187" s="266" t="n"/>
      <c r="CL187" s="266" t="n"/>
      <c r="CM187" s="266" t="n"/>
      <c r="CN187" s="266" t="n"/>
      <c r="CO187" s="266" t="n"/>
      <c r="CP187" s="266" t="n"/>
      <c r="CQ187" s="266" t="n"/>
      <c r="CR187" s="266" t="n"/>
      <c r="CS187" s="266" t="n"/>
      <c r="CT187" s="266" t="n"/>
      <c r="CU187" s="266" t="n"/>
      <c r="CV187" s="266" t="n"/>
      <c r="CW187" s="266" t="n"/>
      <c r="CX187" s="266" t="n"/>
      <c r="CY187" s="266" t="n"/>
    </row>
    <row r="188" hidden="1" outlineLevel="1" ht="12.75" customHeight="1" s="254">
      <c r="C188" s="310" t="inlineStr">
        <is>
          <t>Purchase of intangible assets</t>
        </is>
      </c>
      <c r="D188" s="266" t="n"/>
      <c r="E188" s="266">
        <f>E186-D186-E90</f>
        <v>0</v>
      </c>
      <c r="F188" s="266">
        <f>F186-E186-F90</f>
        <v>0</v>
      </c>
      <c r="G188" s="266">
        <f>G186-F186-G90</f>
        <v>0</v>
      </c>
      <c r="H188" s="266" t="n"/>
      <c r="I188" s="266">
        <f>I186-H186-I90</f>
        <v>8786</v>
      </c>
      <c r="J188" s="266">
        <f>J186-I186-J90</f>
        <v>-343</v>
      </c>
      <c r="K188" s="266">
        <f>K186-J186-K90</f>
        <v>43</v>
      </c>
      <c r="L188" s="266">
        <f>L186-K186-L90</f>
        <v>1287</v>
      </c>
      <c r="M188" s="266" t="n"/>
      <c r="N188" s="266">
        <f>N186-M186-N90</f>
        <v>-38</v>
      </c>
      <c r="O188" s="266">
        <f>O186-N186-O90</f>
        <v>-5</v>
      </c>
      <c r="P188" s="266">
        <f>P186-O186-P90</f>
        <v>-791</v>
      </c>
      <c r="Q188" s="266">
        <f>Q186-P186-Q90</f>
        <v>723</v>
      </c>
      <c r="R188" s="266" t="n"/>
      <c r="S188" s="266">
        <f>S186-R186-S90</f>
        <v>89</v>
      </c>
      <c r="T188" s="266">
        <f>T186-S186-T90</f>
        <v>-1109</v>
      </c>
      <c r="U188" s="266">
        <f>U186-T186-U90</f>
        <v>-354</v>
      </c>
      <c r="V188" s="266">
        <f>V186-U186-V90</f>
        <v>1965</v>
      </c>
      <c r="W188" s="266" t="n"/>
      <c r="X188" s="266">
        <f>X186-W186-X90</f>
        <v>-254</v>
      </c>
      <c r="Y188" s="266">
        <f>Y186-X186-Y90</f>
        <v>-612</v>
      </c>
      <c r="Z188" s="266">
        <f>Z186-Y186-Z90</f>
        <v>-1199</v>
      </c>
      <c r="AA188" s="266">
        <f>AA186-Z186-AA90</f>
        <v>1292</v>
      </c>
      <c r="AB188" s="266" t="n"/>
      <c r="AC188" s="266">
        <f>AC186-AB186-AC90</f>
        <v>1885</v>
      </c>
      <c r="AD188" s="266">
        <f>AD186-AC186-AD90</f>
        <v>-27</v>
      </c>
      <c r="AE188" s="266">
        <f>AE186-AD186-AE90</f>
        <v>-1792</v>
      </c>
      <c r="AF188" s="266" t="n"/>
      <c r="AG188" s="266" t="n"/>
      <c r="AH188" s="265">
        <f>AH186-AG186-AH90</f>
        <v>-137</v>
      </c>
      <c r="AI188" s="265">
        <f>AI186-AH186-AI90</f>
        <v>-424</v>
      </c>
      <c r="AJ188" s="265" t="n"/>
      <c r="AK188" s="265" t="n"/>
      <c r="AL188" s="266" t="n"/>
      <c r="AM188" s="265" t="n"/>
      <c r="AN188" s="265" t="n"/>
      <c r="AO188" s="265" t="n"/>
      <c r="AP188" s="265" t="n"/>
      <c r="AQ188" s="266" t="n"/>
      <c r="AR188" s="265" t="n"/>
      <c r="AS188" s="265" t="n"/>
      <c r="AT188" s="265" t="n"/>
      <c r="AU188" s="265" t="n"/>
      <c r="AV188" s="266" t="n"/>
      <c r="AW188" s="265" t="n"/>
      <c r="AX188" s="265" t="n"/>
      <c r="AY188" s="265" t="n"/>
      <c r="AZ188" s="265" t="n"/>
      <c r="BA188" s="266" t="n"/>
      <c r="BB188" s="265" t="n"/>
      <c r="BC188" s="265" t="n"/>
      <c r="BD188" s="265" t="n"/>
      <c r="BE188" s="265" t="n"/>
      <c r="BF188" s="266" t="n"/>
      <c r="BG188" s="265" t="n"/>
      <c r="BH188" s="265" t="n"/>
      <c r="BI188" s="265" t="n"/>
      <c r="BJ188" s="265" t="n"/>
      <c r="BK188" s="266" t="n"/>
      <c r="BL188" s="265" t="n"/>
      <c r="BM188" s="265" t="n"/>
      <c r="BN188" s="265" t="n"/>
      <c r="BO188" s="265" t="n"/>
      <c r="BP188" s="266" t="n"/>
      <c r="BQ188" s="265" t="n"/>
      <c r="BR188" s="265" t="n"/>
      <c r="BS188" s="265" t="n"/>
      <c r="BT188" s="265" t="n"/>
      <c r="BU188" s="266" t="n"/>
      <c r="BV188" s="265" t="n"/>
      <c r="BW188" s="265" t="n"/>
      <c r="BX188" s="265" t="n"/>
      <c r="BY188" s="265" t="n"/>
      <c r="BZ188" s="266" t="n"/>
      <c r="CA188" s="265" t="n"/>
      <c r="CB188" s="265" t="n"/>
      <c r="CC188" s="265" t="n"/>
      <c r="CD188" s="265" t="n"/>
      <c r="CE188" s="266" t="n"/>
      <c r="CF188" s="265" t="n"/>
      <c r="CG188" s="265" t="n"/>
      <c r="CH188" s="265" t="n"/>
      <c r="CI188" s="265" t="n"/>
      <c r="CJ188" s="266" t="n"/>
      <c r="CK188" s="265" t="n"/>
      <c r="CL188" s="265" t="n"/>
      <c r="CM188" s="265" t="n"/>
      <c r="CN188" s="265" t="n"/>
      <c r="CO188" s="266" t="n"/>
      <c r="CP188" s="265" t="n"/>
      <c r="CQ188" s="265" t="n"/>
      <c r="CR188" s="265" t="n"/>
      <c r="CS188" s="265" t="n"/>
      <c r="CT188" s="266" t="n"/>
      <c r="CU188" s="265" t="n"/>
      <c r="CV188" s="265" t="n"/>
      <c r="CW188" s="265" t="n"/>
      <c r="CX188" s="265" t="n"/>
      <c r="CY188" s="266" t="n"/>
    </row>
    <row r="189" hidden="1" outlineLevel="1" ht="12.75" customHeight="1" s="254">
      <c r="C189" s="310" t="inlineStr">
        <is>
          <t>Amortization (enter as -)</t>
        </is>
      </c>
      <c r="D189" s="266" t="n"/>
      <c r="E189" s="266">
        <f>E89</f>
        <v>0</v>
      </c>
      <c r="F189" s="266">
        <f>F89</f>
        <v>0</v>
      </c>
      <c r="G189" s="266">
        <f>G89</f>
        <v>0</v>
      </c>
      <c r="H189" s="266" t="n"/>
      <c r="I189" s="266">
        <f>I89</f>
        <v>0</v>
      </c>
      <c r="J189" s="266">
        <f>J89</f>
        <v>0</v>
      </c>
      <c r="K189" s="266">
        <f>K89</f>
        <v>0</v>
      </c>
      <c r="L189" s="266">
        <f>L89</f>
        <v>0</v>
      </c>
      <c r="M189" s="266" t="n"/>
      <c r="N189" s="266">
        <f>N89</f>
        <v>0</v>
      </c>
      <c r="O189" s="266">
        <f>O89</f>
        <v>0</v>
      </c>
      <c r="P189" s="266">
        <f>P89</f>
        <v>0</v>
      </c>
      <c r="Q189" s="266">
        <f>Q89</f>
        <v>0</v>
      </c>
      <c r="R189" s="266" t="n"/>
      <c r="S189" s="266">
        <f>S89</f>
        <v>0</v>
      </c>
      <c r="T189" s="266">
        <f>T89</f>
        <v>0</v>
      </c>
      <c r="U189" s="266">
        <f>U89</f>
        <v>0</v>
      </c>
      <c r="V189" s="266">
        <f>V89</f>
        <v>0</v>
      </c>
      <c r="W189" s="266" t="n"/>
      <c r="X189" s="266">
        <f>X89</f>
        <v>0</v>
      </c>
      <c r="Y189" s="266">
        <f>Y89</f>
        <v>0</v>
      </c>
      <c r="Z189" s="266">
        <f>Z89</f>
        <v>0</v>
      </c>
      <c r="AA189" s="266">
        <f>AA89</f>
        <v>0</v>
      </c>
      <c r="AB189" s="266" t="n"/>
      <c r="AC189" s="266">
        <f>AC89</f>
        <v>0</v>
      </c>
      <c r="AD189" s="266">
        <f>AD89</f>
        <v>0</v>
      </c>
      <c r="AE189" s="266">
        <f>AE89</f>
        <v>0</v>
      </c>
      <c r="AF189" s="266" t="n"/>
      <c r="AG189" s="266" t="n"/>
      <c r="AH189" s="266">
        <f>AH89</f>
        <v>0</v>
      </c>
      <c r="AI189" s="265">
        <f>AI89</f>
        <v>0</v>
      </c>
      <c r="AJ189" s="265" t="n"/>
      <c r="AK189" s="265" t="n"/>
      <c r="AL189" s="266" t="n"/>
      <c r="AM189" s="265" t="n"/>
      <c r="AN189" s="265" t="n"/>
      <c r="AO189" s="265" t="n"/>
      <c r="AP189" s="265" t="n"/>
      <c r="AQ189" s="266" t="n"/>
      <c r="AR189" s="265" t="n"/>
      <c r="AS189" s="265" t="n"/>
      <c r="AT189" s="265" t="n"/>
      <c r="AU189" s="265" t="n"/>
      <c r="AV189" s="266" t="n"/>
      <c r="AW189" s="265" t="n"/>
      <c r="AX189" s="265" t="n"/>
      <c r="AY189" s="265" t="n"/>
      <c r="AZ189" s="265" t="n"/>
      <c r="BA189" s="266" t="n"/>
      <c r="BB189" s="265" t="n"/>
      <c r="BC189" s="265" t="n"/>
      <c r="BD189" s="265" t="n"/>
      <c r="BE189" s="265" t="n"/>
      <c r="BF189" s="266" t="n"/>
      <c r="BG189" s="265" t="n"/>
      <c r="BH189" s="265" t="n"/>
      <c r="BI189" s="265" t="n"/>
      <c r="BJ189" s="265" t="n"/>
      <c r="BK189" s="266" t="n"/>
      <c r="BL189" s="265" t="n"/>
      <c r="BM189" s="265" t="n"/>
      <c r="BN189" s="265" t="n"/>
      <c r="BO189" s="265" t="n"/>
      <c r="BP189" s="266" t="n"/>
      <c r="BQ189" s="265" t="n"/>
      <c r="BR189" s="265" t="n"/>
      <c r="BS189" s="265" t="n"/>
      <c r="BT189" s="265" t="n"/>
      <c r="BU189" s="266" t="n"/>
      <c r="BV189" s="265" t="n"/>
      <c r="BW189" s="265" t="n"/>
      <c r="BX189" s="265" t="n"/>
      <c r="BY189" s="265" t="n"/>
      <c r="BZ189" s="266" t="n"/>
      <c r="CA189" s="265" t="n"/>
      <c r="CB189" s="265" t="n"/>
      <c r="CC189" s="265" t="n"/>
      <c r="CD189" s="265" t="n"/>
      <c r="CE189" s="266" t="n"/>
      <c r="CF189" s="265" t="n"/>
      <c r="CG189" s="265" t="n"/>
      <c r="CH189" s="265" t="n"/>
      <c r="CI189" s="265" t="n"/>
      <c r="CJ189" s="266" t="n"/>
      <c r="CK189" s="265" t="n"/>
      <c r="CL189" s="265" t="n"/>
      <c r="CM189" s="265" t="n"/>
      <c r="CN189" s="265" t="n"/>
      <c r="CO189" s="266" t="n"/>
      <c r="CP189" s="265" t="n"/>
      <c r="CQ189" s="265" t="n"/>
      <c r="CR189" s="265" t="n"/>
      <c r="CS189" s="265" t="n"/>
      <c r="CT189" s="266" t="n"/>
      <c r="CU189" s="265" t="n"/>
      <c r="CV189" s="265" t="n"/>
      <c r="CW189" s="265" t="n"/>
      <c r="CX189" s="265" t="n"/>
      <c r="CY189" s="266" t="n"/>
    </row>
    <row r="190" hidden="1" outlineLevel="1" ht="12.75" customHeight="1" s="254">
      <c r="C190" s="310" t="inlineStr">
        <is>
          <t>Intangibles</t>
        </is>
      </c>
      <c r="D190" s="266" t="n"/>
      <c r="E190" s="266">
        <f>E186</f>
        <v>0</v>
      </c>
      <c r="F190" s="266">
        <f>F186</f>
        <v>0</v>
      </c>
      <c r="G190" s="266">
        <f>G186</f>
        <v>0</v>
      </c>
      <c r="H190" s="266" t="n"/>
      <c r="I190" s="266">
        <f>I186</f>
        <v>8786</v>
      </c>
      <c r="J190" s="266">
        <f>J186</f>
        <v>8443</v>
      </c>
      <c r="K190" s="266">
        <f>K186</f>
        <v>8486</v>
      </c>
      <c r="L190" s="266">
        <f>L186</f>
        <v>9773</v>
      </c>
      <c r="M190" s="266" t="n"/>
      <c r="N190" s="266">
        <f>N186</f>
        <v>9735</v>
      </c>
      <c r="O190" s="266">
        <f>O186</f>
        <v>9730</v>
      </c>
      <c r="P190" s="266">
        <f>P186</f>
        <v>8939</v>
      </c>
      <c r="Q190" s="266">
        <f>Q186</f>
        <v>9662</v>
      </c>
      <c r="R190" s="266" t="n"/>
      <c r="S190" s="266">
        <f>S186</f>
        <v>9751</v>
      </c>
      <c r="T190" s="266">
        <f>T186</f>
        <v>8642</v>
      </c>
      <c r="U190" s="266">
        <f>U186</f>
        <v>8288</v>
      </c>
      <c r="V190" s="266">
        <f>V186</f>
        <v>10253</v>
      </c>
      <c r="W190" s="266" t="n"/>
      <c r="X190" s="266">
        <f>X186</f>
        <v>9999</v>
      </c>
      <c r="Y190" s="266">
        <f>Y186</f>
        <v>9387</v>
      </c>
      <c r="Z190" s="266">
        <f>Z186</f>
        <v>8188</v>
      </c>
      <c r="AA190" s="266">
        <f>AA186</f>
        <v>9480</v>
      </c>
      <c r="AB190" s="266" t="n"/>
      <c r="AC190" s="266">
        <f>AC186</f>
        <v>11365</v>
      </c>
      <c r="AD190" s="266">
        <f>AD186</f>
        <v>11338</v>
      </c>
      <c r="AE190" s="266">
        <f>AE186</f>
        <v>9546</v>
      </c>
      <c r="AF190" s="266">
        <f>AF186</f>
        <v>11010</v>
      </c>
      <c r="AG190" s="266" t="n"/>
      <c r="AH190" s="266">
        <f>AH186</f>
        <v>10873</v>
      </c>
      <c r="AI190" s="266">
        <f>AI186</f>
        <v>10449</v>
      </c>
      <c r="AJ190" s="266">
        <f>AI190+SUM(AJ188:AJ189)</f>
        <v>10449</v>
      </c>
      <c r="AK190" s="266">
        <f>AJ190+SUM(AK188:AK189)</f>
        <v>10449</v>
      </c>
      <c r="AL190" s="266" t="n"/>
      <c r="AM190" s="266">
        <f>AK190+SUM(AM188:AM189)</f>
        <v>10449</v>
      </c>
      <c r="AN190" s="266">
        <f>AM190+SUM(AN188:AN189)</f>
        <v>10449</v>
      </c>
      <c r="AO190" s="266">
        <f>AN190+SUM(AO188:AO189)</f>
        <v>10449</v>
      </c>
      <c r="AP190" s="266">
        <f>AO190+SUM(AP188:AP189)</f>
        <v>10449</v>
      </c>
      <c r="AQ190" s="266" t="n"/>
      <c r="AR190" s="266">
        <f>AP190+SUM(AR188:AR189)</f>
        <v>10449</v>
      </c>
      <c r="AS190" s="266">
        <f>AR190+SUM(AS188:AS189)</f>
        <v>10449</v>
      </c>
      <c r="AT190" s="266">
        <f>AS190+SUM(AT188:AT189)</f>
        <v>10449</v>
      </c>
      <c r="AU190" s="266">
        <f>AT190+SUM(AU188:AU189)</f>
        <v>10449</v>
      </c>
      <c r="AV190" s="266" t="n"/>
      <c r="AW190" s="266">
        <f>AU190+SUM(AW188:AW189)</f>
        <v>10449</v>
      </c>
      <c r="AX190" s="266">
        <f>AW190+SUM(AX188:AX189)</f>
        <v>10449</v>
      </c>
      <c r="AY190" s="266">
        <f>AX190+SUM(AY188:AY189)</f>
        <v>10449</v>
      </c>
      <c r="AZ190" s="266">
        <f>AY190+SUM(AZ188:AZ189)</f>
        <v>10449</v>
      </c>
      <c r="BA190" s="266" t="n"/>
      <c r="BB190" s="266">
        <f>AZ190+SUM(BB188:BB189)</f>
        <v>10449</v>
      </c>
      <c r="BC190" s="266">
        <f>BB190+SUM(BC188:BC189)</f>
        <v>10449</v>
      </c>
      <c r="BD190" s="266">
        <f>BC190+SUM(BD188:BD189)</f>
        <v>10449</v>
      </c>
      <c r="BE190" s="266">
        <f>BD190+SUM(BE188:BE189)</f>
        <v>10449</v>
      </c>
      <c r="BF190" s="266" t="n"/>
      <c r="BG190" s="266">
        <f>BE190+SUM(BG188:BG189)</f>
        <v>10449</v>
      </c>
      <c r="BH190" s="266">
        <f>BG190+SUM(BH188:BH189)</f>
        <v>10449</v>
      </c>
      <c r="BI190" s="266">
        <f>BH190+SUM(BI188:BI189)</f>
        <v>10449</v>
      </c>
      <c r="BJ190" s="266">
        <f>BI190+SUM(BJ188:BJ189)</f>
        <v>10449</v>
      </c>
      <c r="BK190" s="266" t="n"/>
      <c r="BL190" s="266">
        <f>BJ190+SUM(BL188:BL189)</f>
        <v>10449</v>
      </c>
      <c r="BM190" s="266">
        <f>BL190+SUM(BM188:BM189)</f>
        <v>10449</v>
      </c>
      <c r="BN190" s="266">
        <f>BM190+SUM(BN188:BN189)</f>
        <v>10449</v>
      </c>
      <c r="BO190" s="266">
        <f>BN190+SUM(BO188:BO189)</f>
        <v>10449</v>
      </c>
      <c r="BP190" s="266" t="n"/>
      <c r="BQ190" s="266">
        <f>BO190+SUM(BQ188:BQ189)</f>
        <v>10449</v>
      </c>
      <c r="BR190" s="266">
        <f>BQ190+SUM(BR188:BR189)</f>
        <v>10449</v>
      </c>
      <c r="BS190" s="266">
        <f>BR190+SUM(BS188:BS189)</f>
        <v>10449</v>
      </c>
      <c r="BT190" s="266">
        <f>BS190+SUM(BT188:BT189)</f>
        <v>10449</v>
      </c>
      <c r="BU190" s="266" t="n"/>
      <c r="BV190" s="266">
        <f>BT190+SUM(BV188:BV189)</f>
        <v>10449</v>
      </c>
      <c r="BW190" s="266">
        <f>BV190+SUM(BW188:BW189)</f>
        <v>10449</v>
      </c>
      <c r="BX190" s="266">
        <f>BW190+SUM(BX188:BX189)</f>
        <v>10449</v>
      </c>
      <c r="BY190" s="266">
        <f>BX190+SUM(BY188:BY189)</f>
        <v>10449</v>
      </c>
      <c r="BZ190" s="266" t="n"/>
      <c r="CA190" s="266">
        <f>BY190+SUM(CA188:CA189)</f>
        <v>10449</v>
      </c>
      <c r="CB190" s="266">
        <f>CA190+SUM(CB188:CB189)</f>
        <v>10449</v>
      </c>
      <c r="CC190" s="266">
        <f>CB190+SUM(CC188:CC189)</f>
        <v>10449</v>
      </c>
      <c r="CD190" s="266">
        <f>CC190+SUM(CD188:CD189)</f>
        <v>10449</v>
      </c>
      <c r="CE190" s="266" t="n"/>
      <c r="CF190" s="266">
        <f>CD190+SUM(CF188:CF189)</f>
        <v>10449</v>
      </c>
      <c r="CG190" s="266">
        <f>CF190+SUM(CG188:CG189)</f>
        <v>10449</v>
      </c>
      <c r="CH190" s="266">
        <f>CG190+SUM(CH188:CH189)</f>
        <v>10449</v>
      </c>
      <c r="CI190" s="266">
        <f>CH190+SUM(CI188:CI189)</f>
        <v>10449</v>
      </c>
      <c r="CJ190" s="266" t="n"/>
      <c r="CK190" s="266">
        <f>CI190+SUM(CK188:CK189)</f>
        <v>10449</v>
      </c>
      <c r="CL190" s="266">
        <f>CK190+SUM(CL188:CL189)</f>
        <v>10449</v>
      </c>
      <c r="CM190" s="266">
        <f>CL190+SUM(CM188:CM189)</f>
        <v>10449</v>
      </c>
      <c r="CN190" s="266">
        <f>CM190+SUM(CN188:CN189)</f>
        <v>10449</v>
      </c>
      <c r="CO190" s="266" t="n"/>
      <c r="CP190" s="266">
        <f>CN190+SUM(CP188:CP189)</f>
        <v>10449</v>
      </c>
      <c r="CQ190" s="266">
        <f>CP190+SUM(CQ188:CQ189)</f>
        <v>10449</v>
      </c>
      <c r="CR190" s="266">
        <f>CQ190+SUM(CR188:CR189)</f>
        <v>10449</v>
      </c>
      <c r="CS190" s="266">
        <f>CR190+SUM(CS188:CS189)</f>
        <v>10449</v>
      </c>
      <c r="CT190" s="266" t="n"/>
      <c r="CU190" s="266">
        <f>CS190+SUM(CU188:CU189)</f>
        <v>10449</v>
      </c>
      <c r="CV190" s="266">
        <f>CU190+SUM(CV188:CV189)</f>
        <v>10449</v>
      </c>
      <c r="CW190" s="266">
        <f>CV190+SUM(CW188:CW189)</f>
        <v>10449</v>
      </c>
      <c r="CX190" s="266">
        <f>CW190+SUM(CX188:CX189)</f>
        <v>10449</v>
      </c>
      <c r="CY190" s="266" t="n"/>
      <c r="CZ190" s="258">
        <f>CX190+SUM(CZ188:CZ189)</f>
        <v>10449</v>
      </c>
      <c r="DA190" s="258">
        <f>CZ190+SUM(DA188:DA189)</f>
        <v>10449</v>
      </c>
      <c r="DB190" s="258">
        <f>DA190+SUM(DB188:DB189)</f>
        <v>10449</v>
      </c>
      <c r="DC190" s="258">
        <f>DB190+SUM(DC188:DC189)</f>
        <v>10449</v>
      </c>
    </row>
    <row r="191" hidden="1" outlineLevel="1" ht="12.75" customHeight="1" s="254">
      <c r="C191" s="310" t="n"/>
      <c r="D191" s="266" t="n"/>
      <c r="E191" s="266" t="n"/>
      <c r="F191" s="266" t="n"/>
      <c r="G191" s="266" t="n"/>
      <c r="H191" s="266" t="n"/>
      <c r="I191" s="266" t="n"/>
      <c r="J191" s="266" t="n"/>
      <c r="K191" s="266" t="n"/>
      <c r="L191" s="266" t="n"/>
      <c r="M191" s="266" t="n"/>
      <c r="N191" s="266" t="n"/>
      <c r="O191" s="266" t="n"/>
      <c r="P191" s="266" t="n"/>
      <c r="Q191" s="266" t="n"/>
      <c r="R191" s="266" t="n"/>
      <c r="S191" s="266" t="n"/>
      <c r="T191" s="266" t="n"/>
      <c r="U191" s="266" t="n"/>
      <c r="V191" s="266" t="n"/>
      <c r="W191" s="266" t="n"/>
      <c r="X191" s="266" t="n"/>
      <c r="Y191" s="266" t="n"/>
      <c r="Z191" s="266" t="n"/>
      <c r="AA191" s="266" t="n"/>
      <c r="AB191" s="266" t="n"/>
      <c r="AC191" s="266" t="n"/>
      <c r="AD191" s="266" t="n"/>
      <c r="AE191" s="266" t="n"/>
      <c r="AF191" s="266" t="n"/>
      <c r="AG191" s="266" t="n"/>
      <c r="AH191" s="266" t="n"/>
      <c r="AI191" s="266" t="n"/>
      <c r="AJ191" s="266" t="n"/>
      <c r="AK191" s="266" t="n"/>
      <c r="AL191" s="266" t="n"/>
      <c r="AM191" s="266" t="n"/>
      <c r="AN191" s="266" t="n"/>
      <c r="AO191" s="266" t="n"/>
      <c r="AP191" s="266" t="n"/>
      <c r="AQ191" s="266" t="n"/>
      <c r="AR191" s="266" t="n"/>
      <c r="AS191" s="266" t="n"/>
      <c r="AT191" s="266" t="n"/>
      <c r="AU191" s="266" t="n"/>
      <c r="AV191" s="266" t="n"/>
      <c r="AW191" s="266" t="n"/>
      <c r="AX191" s="266" t="n"/>
      <c r="AY191" s="266" t="n"/>
      <c r="AZ191" s="266" t="n"/>
      <c r="BA191" s="266" t="n"/>
      <c r="BB191" s="266" t="n"/>
      <c r="BC191" s="266" t="n"/>
      <c r="BD191" s="266" t="n"/>
      <c r="BE191" s="266" t="n"/>
      <c r="BF191" s="266" t="n"/>
      <c r="BG191" s="266" t="n"/>
      <c r="BH191" s="266" t="n"/>
      <c r="BI191" s="266" t="n"/>
      <c r="BJ191" s="266" t="n"/>
      <c r="BK191" s="266" t="n"/>
      <c r="BL191" s="266" t="n"/>
      <c r="BM191" s="266" t="n"/>
      <c r="BN191" s="266" t="n"/>
      <c r="BO191" s="266" t="n"/>
      <c r="BP191" s="266" t="n"/>
      <c r="BQ191" s="266" t="n"/>
      <c r="BR191" s="266" t="n"/>
      <c r="BS191" s="266" t="n"/>
      <c r="BT191" s="266" t="n"/>
      <c r="BU191" s="266" t="n"/>
      <c r="BV191" s="266" t="n"/>
      <c r="BW191" s="266" t="n"/>
      <c r="BX191" s="266" t="n"/>
      <c r="BY191" s="266" t="n"/>
      <c r="BZ191" s="266" t="n"/>
      <c r="CA191" s="266" t="n"/>
      <c r="CB191" s="266" t="n"/>
      <c r="CC191" s="266" t="n"/>
      <c r="CD191" s="266" t="n"/>
      <c r="CE191" s="266" t="n"/>
      <c r="CF191" s="266" t="n"/>
      <c r="CG191" s="266" t="n"/>
      <c r="CH191" s="266" t="n"/>
      <c r="CI191" s="266" t="n"/>
      <c r="CJ191" s="266" t="n"/>
      <c r="CK191" s="266" t="n"/>
      <c r="CL191" s="266" t="n"/>
      <c r="CM191" s="266" t="n"/>
      <c r="CN191" s="266" t="n"/>
      <c r="CO191" s="266" t="n"/>
      <c r="CP191" s="266" t="n"/>
      <c r="CQ191" s="266" t="n"/>
      <c r="CR191" s="266" t="n"/>
      <c r="CS191" s="266" t="n"/>
      <c r="CT191" s="266" t="n"/>
      <c r="CU191" s="266" t="n"/>
      <c r="CV191" s="266" t="n"/>
      <c r="CW191" s="266" t="n"/>
      <c r="CX191" s="266" t="n"/>
      <c r="CY191" s="266" t="n"/>
    </row>
    <row r="192" hidden="1" outlineLevel="1" ht="12.75" customHeight="1" s="254">
      <c r="C192" s="310" t="inlineStr">
        <is>
          <t>Definir % do D&amp;A No PPE and Intagibles</t>
        </is>
      </c>
      <c r="D192" s="266" t="n"/>
      <c r="E192" s="266" t="n"/>
      <c r="F192" s="266" t="n"/>
      <c r="G192" s="266" t="n"/>
      <c r="H192" s="266" t="n"/>
      <c r="I192" s="266" t="n"/>
      <c r="J192" s="266" t="n"/>
      <c r="K192" s="266" t="n"/>
      <c r="L192" s="266" t="n"/>
      <c r="M192" s="266" t="n"/>
      <c r="N192" s="266" t="n"/>
      <c r="O192" s="266" t="n"/>
      <c r="P192" s="266" t="n"/>
      <c r="Q192" s="266" t="n"/>
      <c r="R192" s="266" t="n"/>
      <c r="S192" s="266" t="n"/>
      <c r="T192" s="266" t="n"/>
      <c r="U192" s="266" t="n"/>
      <c r="V192" s="266" t="n"/>
      <c r="W192" s="266" t="n"/>
      <c r="X192" s="266" t="n"/>
      <c r="Y192" s="266" t="n"/>
      <c r="Z192" s="266" t="n"/>
      <c r="AA192" s="266" t="n"/>
      <c r="AB192" s="266" t="n"/>
      <c r="AC192" s="266" t="n"/>
      <c r="AD192" s="266" t="n"/>
      <c r="AE192" s="266" t="n"/>
      <c r="AF192" s="266" t="n"/>
      <c r="AG192" s="266" t="n"/>
      <c r="AH192" s="266" t="n"/>
      <c r="AI192" s="266" t="n"/>
      <c r="AJ192" s="266" t="n"/>
      <c r="AK192" s="266" t="n"/>
      <c r="AL192" s="266" t="n"/>
      <c r="AM192" s="266" t="n"/>
      <c r="AN192" s="266" t="n"/>
      <c r="AO192" s="266" t="n"/>
      <c r="AP192" s="266" t="n"/>
      <c r="AQ192" s="266" t="n"/>
      <c r="AR192" s="266" t="n"/>
      <c r="AS192" s="266" t="n"/>
      <c r="AT192" s="266" t="n"/>
      <c r="AU192" s="266" t="n"/>
      <c r="AV192" s="266" t="n"/>
      <c r="AW192" s="266" t="n"/>
      <c r="AX192" s="266" t="n"/>
      <c r="AY192" s="266" t="n"/>
      <c r="AZ192" s="266" t="n"/>
      <c r="BA192" s="266" t="n"/>
      <c r="BB192" s="266" t="n"/>
      <c r="BC192" s="266" t="n"/>
      <c r="BD192" s="266" t="n"/>
      <c r="BE192" s="266" t="n"/>
      <c r="BF192" s="266" t="n"/>
      <c r="BG192" s="266" t="n"/>
      <c r="BH192" s="266" t="n"/>
      <c r="BI192" s="266" t="n"/>
      <c r="BJ192" s="266" t="n"/>
      <c r="BK192" s="266" t="n"/>
      <c r="BL192" s="266" t="n"/>
      <c r="BM192" s="266" t="n"/>
      <c r="BN192" s="266" t="n"/>
      <c r="BO192" s="266" t="n"/>
      <c r="BP192" s="266" t="n"/>
      <c r="BQ192" s="266" t="n"/>
      <c r="BR192" s="266" t="n"/>
      <c r="BS192" s="266" t="n"/>
      <c r="BT192" s="266" t="n"/>
      <c r="BU192" s="266" t="n"/>
      <c r="BV192" s="266" t="n"/>
      <c r="BW192" s="266" t="n"/>
      <c r="BX192" s="266" t="n"/>
      <c r="BY192" s="266" t="n"/>
      <c r="BZ192" s="266" t="n"/>
      <c r="CA192" s="266" t="n"/>
      <c r="CB192" s="266" t="n"/>
      <c r="CC192" s="266" t="n"/>
      <c r="CD192" s="266" t="n"/>
      <c r="CE192" s="266" t="n"/>
      <c r="CF192" s="266" t="n"/>
      <c r="CG192" s="266" t="n"/>
      <c r="CH192" s="266" t="n"/>
      <c r="CI192" s="266" t="n"/>
      <c r="CJ192" s="266" t="n"/>
      <c r="CK192" s="266" t="n"/>
      <c r="CL192" s="266" t="n"/>
      <c r="CM192" s="266" t="n"/>
      <c r="CN192" s="266" t="n"/>
      <c r="CO192" s="266" t="n"/>
      <c r="CP192" s="266" t="n"/>
      <c r="CQ192" s="266" t="n"/>
      <c r="CR192" s="266" t="n"/>
      <c r="CS192" s="266" t="n"/>
      <c r="CT192" s="266" t="n"/>
      <c r="CU192" s="266" t="n"/>
      <c r="CV192" s="266" t="n"/>
      <c r="CW192" s="266" t="n"/>
      <c r="CX192" s="266" t="n"/>
      <c r="CY192" s="266" t="n"/>
    </row>
    <row r="193" hidden="1" outlineLevel="1" ht="12.75" customHeight="1" s="254">
      <c r="C193" s="310" t="n"/>
      <c r="D193" s="266" t="n"/>
      <c r="E193" s="266" t="n"/>
      <c r="F193" s="266" t="n"/>
      <c r="G193" s="266" t="n"/>
      <c r="H193" s="266" t="n"/>
      <c r="I193" s="266" t="n"/>
      <c r="J193" s="266" t="n"/>
      <c r="K193" s="266" t="n"/>
      <c r="L193" s="266" t="n"/>
      <c r="M193" s="266" t="n"/>
      <c r="N193" s="266" t="n"/>
      <c r="O193" s="266" t="n"/>
      <c r="P193" s="266" t="n"/>
      <c r="Q193" s="266" t="n"/>
      <c r="R193" s="266" t="n"/>
      <c r="S193" s="266" t="n"/>
      <c r="T193" s="266" t="n"/>
      <c r="U193" s="266" t="n"/>
      <c r="V193" s="266" t="n"/>
      <c r="W193" s="266" t="n"/>
      <c r="X193" s="266" t="n"/>
      <c r="Y193" s="266" t="n"/>
      <c r="Z193" s="266" t="n"/>
      <c r="AA193" s="266" t="n"/>
      <c r="AB193" s="266" t="n"/>
      <c r="AC193" s="266" t="n"/>
      <c r="AD193" s="266" t="n"/>
      <c r="AE193" s="266" t="n"/>
      <c r="AF193" s="266" t="n"/>
      <c r="AG193" s="266" t="n"/>
      <c r="AH193" s="266" t="n"/>
      <c r="AI193" s="266" t="n"/>
      <c r="AJ193" s="266" t="n"/>
      <c r="AK193" s="266" t="n"/>
      <c r="AL193" s="266" t="n"/>
      <c r="AM193" s="266" t="n"/>
      <c r="AN193" s="266" t="n"/>
      <c r="AO193" s="266" t="n"/>
      <c r="AP193" s="266" t="n"/>
      <c r="AQ193" s="266" t="n"/>
      <c r="AR193" s="266" t="n"/>
      <c r="AS193" s="266" t="n"/>
      <c r="AT193" s="266" t="n"/>
      <c r="AU193" s="266" t="n"/>
      <c r="AV193" s="266" t="n"/>
      <c r="AW193" s="266" t="n"/>
      <c r="AX193" s="266" t="n"/>
      <c r="AY193" s="266" t="n"/>
      <c r="AZ193" s="266" t="n"/>
      <c r="BA193" s="266" t="n"/>
      <c r="BB193" s="266" t="n"/>
      <c r="BC193" s="266" t="n"/>
      <c r="BD193" s="266" t="n"/>
      <c r="BE193" s="266" t="n"/>
      <c r="BF193" s="266" t="n"/>
      <c r="BG193" s="266" t="n"/>
      <c r="BH193" s="266" t="n"/>
      <c r="BI193" s="266" t="n"/>
      <c r="BJ193" s="266" t="n"/>
      <c r="BK193" s="266" t="n"/>
      <c r="BL193" s="266" t="n"/>
      <c r="BM193" s="266" t="n"/>
      <c r="BN193" s="266" t="n"/>
      <c r="BO193" s="266" t="n"/>
      <c r="BP193" s="266" t="n"/>
      <c r="BQ193" s="266" t="n"/>
      <c r="BR193" s="266" t="n"/>
      <c r="BS193" s="266" t="n"/>
      <c r="BT193" s="266" t="n"/>
      <c r="BU193" s="266" t="n"/>
      <c r="BV193" s="266" t="n"/>
      <c r="BW193" s="266" t="n"/>
      <c r="BX193" s="266" t="n"/>
      <c r="BY193" s="266" t="n"/>
      <c r="BZ193" s="266" t="n"/>
      <c r="CA193" s="266" t="n"/>
      <c r="CB193" s="266" t="n"/>
      <c r="CC193" s="266" t="n"/>
      <c r="CD193" s="266" t="n"/>
      <c r="CE193" s="266" t="n"/>
      <c r="CF193" s="266" t="n"/>
      <c r="CG193" s="266" t="n"/>
      <c r="CH193" s="266" t="n"/>
      <c r="CI193" s="266" t="n"/>
      <c r="CJ193" s="266" t="n"/>
      <c r="CK193" s="266" t="n"/>
      <c r="CL193" s="266" t="n"/>
      <c r="CM193" s="266" t="n"/>
      <c r="CN193" s="266" t="n"/>
      <c r="CO193" s="266" t="n"/>
      <c r="CP193" s="266" t="n"/>
      <c r="CQ193" s="266" t="n"/>
      <c r="CR193" s="266" t="n"/>
      <c r="CS193" s="266" t="n"/>
      <c r="CT193" s="266" t="n"/>
      <c r="CU193" s="266" t="n"/>
      <c r="CV193" s="266" t="n"/>
      <c r="CW193" s="266" t="n"/>
      <c r="CX193" s="266" t="n"/>
      <c r="CY193" s="266" t="n"/>
    </row>
    <row r="194" hidden="1" outlineLevel="1" ht="12.75" customHeight="1" s="254">
      <c r="C194" s="310" t="n"/>
      <c r="D194" s="266" t="n"/>
      <c r="E194" s="266" t="n"/>
      <c r="F194" s="266" t="n"/>
      <c r="G194" s="266" t="n"/>
      <c r="H194" s="266" t="n"/>
      <c r="I194" s="266" t="n"/>
      <c r="J194" s="266" t="n"/>
      <c r="K194" s="266" t="n"/>
      <c r="L194" s="266" t="n"/>
      <c r="M194" s="266" t="n"/>
      <c r="N194" s="266" t="n"/>
      <c r="O194" s="266" t="n"/>
      <c r="P194" s="266" t="n"/>
      <c r="Q194" s="266" t="n"/>
      <c r="R194" s="266" t="n"/>
      <c r="S194" s="266" t="n"/>
      <c r="T194" s="266" t="n"/>
      <c r="U194" s="266" t="n"/>
      <c r="V194" s="266" t="n"/>
      <c r="W194" s="266" t="n"/>
      <c r="X194" s="266" t="n"/>
      <c r="Y194" s="266" t="n"/>
      <c r="Z194" s="266" t="n"/>
      <c r="AA194" s="266" t="n"/>
      <c r="AB194" s="266" t="n"/>
      <c r="AC194" s="266" t="n"/>
      <c r="AD194" s="266" t="n"/>
      <c r="AE194" s="266" t="n"/>
      <c r="AF194" s="266" t="n"/>
      <c r="AG194" s="266" t="n"/>
      <c r="AH194" s="266" t="n"/>
      <c r="AI194" s="266" t="n"/>
      <c r="AJ194" s="266" t="n"/>
      <c r="AK194" s="266" t="n"/>
      <c r="AL194" s="266" t="n"/>
      <c r="AM194" s="266" t="n"/>
      <c r="AN194" s="266" t="n"/>
      <c r="AO194" s="266" t="n"/>
      <c r="AP194" s="266" t="n"/>
      <c r="AQ194" s="266" t="n"/>
      <c r="AR194" s="266" t="n"/>
      <c r="AS194" s="266" t="n"/>
      <c r="AT194" s="266" t="n"/>
      <c r="AU194" s="266" t="n"/>
      <c r="AV194" s="266" t="n"/>
      <c r="AW194" s="266" t="n"/>
      <c r="AX194" s="266" t="n"/>
      <c r="AY194" s="266" t="n"/>
      <c r="AZ194" s="266" t="n"/>
      <c r="BA194" s="266" t="n"/>
      <c r="BB194" s="266" t="n"/>
      <c r="BC194" s="266" t="n"/>
      <c r="BD194" s="266" t="n"/>
      <c r="BE194" s="266" t="n"/>
      <c r="BF194" s="266" t="n"/>
      <c r="BG194" s="266" t="n"/>
      <c r="BH194" s="266" t="n"/>
      <c r="BI194" s="266" t="n"/>
      <c r="BJ194" s="266" t="n"/>
      <c r="BK194" s="266" t="n"/>
      <c r="BL194" s="266" t="n"/>
      <c r="BM194" s="266" t="n"/>
      <c r="BN194" s="266" t="n"/>
      <c r="BO194" s="266" t="n"/>
      <c r="BP194" s="266" t="n"/>
      <c r="BQ194" s="266" t="n"/>
      <c r="BR194" s="266" t="n"/>
      <c r="BS194" s="266" t="n"/>
      <c r="BT194" s="266" t="n"/>
      <c r="BU194" s="266" t="n"/>
      <c r="BV194" s="266" t="n"/>
      <c r="BW194" s="266" t="n"/>
      <c r="BX194" s="266" t="n"/>
      <c r="BY194" s="266" t="n"/>
      <c r="BZ194" s="266" t="n"/>
      <c r="CA194" s="266" t="n"/>
      <c r="CB194" s="266" t="n"/>
      <c r="CC194" s="266" t="n"/>
      <c r="CD194" s="266" t="n"/>
      <c r="CE194" s="266" t="n"/>
      <c r="CF194" s="266" t="n"/>
      <c r="CG194" s="266" t="n"/>
      <c r="CH194" s="266" t="n"/>
      <c r="CI194" s="266" t="n"/>
      <c r="CJ194" s="266" t="n"/>
      <c r="CK194" s="266" t="n"/>
      <c r="CL194" s="266" t="n"/>
      <c r="CM194" s="266" t="n"/>
      <c r="CN194" s="266" t="n"/>
      <c r="CO194" s="266" t="n"/>
      <c r="CP194" s="266" t="n"/>
      <c r="CQ194" s="266" t="n"/>
      <c r="CR194" s="266" t="n"/>
      <c r="CS194" s="266" t="n"/>
      <c r="CT194" s="266" t="n"/>
      <c r="CU194" s="266" t="n"/>
      <c r="CV194" s="266" t="n"/>
      <c r="CW194" s="266" t="n"/>
      <c r="CX194" s="266" t="n"/>
      <c r="CY194" s="266" t="n"/>
    </row>
    <row r="195" ht="12.75" customHeight="1" s="254">
      <c r="C195" s="268" t="inlineStr">
        <is>
          <t>Other non-current assets</t>
        </is>
      </c>
      <c r="D195" s="299" t="n"/>
      <c r="E195" s="299" t="n"/>
      <c r="F195" s="299" t="n"/>
      <c r="G195" s="299" t="n"/>
      <c r="H195" s="266">
        <f>G195</f>
        <v>0</v>
      </c>
      <c r="I195" s="299">
        <f>INDEX('Inputs (2)'!$D$26:$AL$26,MATCH(I$7,'Inputs (2)'!$D$2:$AL$2,0))</f>
        <v>18263</v>
      </c>
      <c r="J195" s="299">
        <f>INDEX('Inputs (2)'!$D$26:$AL$26,MATCH(J$7,'Inputs (2)'!$D$2:$AL$2,0))</f>
        <v>20801</v>
      </c>
      <c r="K195" s="299">
        <f>INDEX('Inputs (2)'!$D$26:$AL$26,MATCH(K$7,'Inputs (2)'!$D$2:$AL$2,0))</f>
        <v>20328</v>
      </c>
      <c r="L195" s="299">
        <f>INDEX('Inputs (2)'!$D$26:$AL$26,MATCH(L$7,'Inputs (2)'!$D$2:$AL$2,0))</f>
        <v>20148</v>
      </c>
      <c r="M195" s="266">
        <f>L195</f>
        <v>20148</v>
      </c>
      <c r="N195" s="299">
        <f>INDEX('Inputs (2)'!$D$26:$AL$26,MATCH(N$7,'Inputs (2)'!$D$2:$AL$2,0))</f>
        <v>20021</v>
      </c>
      <c r="O195" s="299">
        <f>INDEX('Inputs (2)'!$D$26:$AL$26,MATCH(O$7,'Inputs (2)'!$D$2:$AL$2,0))</f>
        <v>25172</v>
      </c>
      <c r="P195" s="299">
        <f>INDEX('Inputs (2)'!$D$26:$AL$26,MATCH(P$7,'Inputs (2)'!$D$2:$AL$2,0))</f>
        <v>23624</v>
      </c>
      <c r="Q195" s="299">
        <f>INDEX('Inputs (2)'!$D$26:$AL$26,MATCH(Q$7,'Inputs (2)'!$D$2:$AL$2,0))</f>
        <v>21064</v>
      </c>
      <c r="R195" s="266">
        <f>Q195</f>
        <v>21064</v>
      </c>
      <c r="S195" s="299">
        <f>INDEX('Inputs (2)'!$D$26:$AL$26,MATCH(S$7,'Inputs (2)'!$D$2:$AL$2,0))</f>
        <v>20411</v>
      </c>
      <c r="T195" s="299">
        <f>INDEX('Inputs (2)'!$D$26:$AL$26,MATCH(T$7,'Inputs (2)'!$D$2:$AL$2,0))</f>
        <v>20401</v>
      </c>
      <c r="U195" s="299">
        <f>INDEX('Inputs (2)'!$D$26:$AL$26,MATCH(U$7,'Inputs (2)'!$D$2:$AL$2,0))</f>
        <v>19556</v>
      </c>
      <c r="V195" s="299">
        <f>INDEX('Inputs (2)'!$D$26:$AL$26,MATCH(V$7,'Inputs (2)'!$D$2:$AL$2,0))</f>
        <v>19496</v>
      </c>
      <c r="W195" s="266">
        <f>V195</f>
        <v>19496</v>
      </c>
      <c r="X195" s="299">
        <f>INDEX('Inputs (2)'!$D$26:$AL$26,MATCH(X$7,'Inputs (2)'!$D$2:$AL$2,0))</f>
        <v>19113</v>
      </c>
      <c r="Y195" s="299">
        <f>INDEX('Inputs (2)'!$D$26:$AL$26,MATCH(Y$7,'Inputs (2)'!$D$2:$AL$2,0))</f>
        <v>19582</v>
      </c>
      <c r="Z195" s="299">
        <f>INDEX('Inputs (2)'!$D$26:$AL$26,MATCH(Z$7,'Inputs (2)'!$D$2:$AL$2,0))</f>
        <v>21007</v>
      </c>
      <c r="AA195" s="299">
        <f>INDEX('Inputs (2)'!$D$26:$AL$26,MATCH(AA$7,'Inputs (2)'!$D$2:$AL$2,0))</f>
        <v>18650</v>
      </c>
      <c r="AB195" s="266">
        <f>AA195</f>
        <v>18650</v>
      </c>
      <c r="AC195" s="299">
        <f>INDEX('Inputs (2)'!$D$26:$AL$26,MATCH(AC$7,'Inputs (2)'!$D$2:$AL$2,0))</f>
        <v>20219</v>
      </c>
      <c r="AD195" s="299">
        <f>INDEX('Inputs (2)'!$D$26:$AL$26,MATCH(AD$7,'Inputs (2)'!$D$2:$AL$2,0))</f>
        <v>21212</v>
      </c>
      <c r="AE195" s="299">
        <f>INDEX('Inputs (2)'!$D$26:$AL$26,MATCH(AE$7,'Inputs (2)'!$D$2:$AL$2,0))</f>
        <v>15256</v>
      </c>
      <c r="AF195" s="299">
        <f>INDEX('Inputs (2)'!$D$26:$AL$26,MATCH(AF$7,'Inputs (2)'!$D$2:$AL$2,0))</f>
        <v>15480</v>
      </c>
      <c r="AG195" s="266">
        <f>AF195</f>
        <v>15480</v>
      </c>
      <c r="AH195" s="266">
        <f>INDEX('Inputs (2)'!$D$26:$AL$26,MATCH(AH$7,'Inputs (2)'!$D$2:$AL$2,0))</f>
        <v>14613</v>
      </c>
      <c r="AI195" s="266">
        <f>INDEX('Inputs (2)'!$D$26:$AL$26,MATCH(AI$7,'Inputs (2)'!$D$2:$AL$2,0))</f>
        <v>15360</v>
      </c>
      <c r="AJ195" s="266">
        <f>AI195</f>
        <v>15360</v>
      </c>
      <c r="AK195" s="266">
        <f>AJ195</f>
        <v>15360</v>
      </c>
      <c r="AL195" s="266">
        <f>AK195</f>
        <v>15360</v>
      </c>
      <c r="AM195" s="266">
        <f>AL195</f>
        <v>15360</v>
      </c>
      <c r="AN195" s="266">
        <f>AM195</f>
        <v>15360</v>
      </c>
      <c r="AO195" s="266">
        <f>AN195</f>
        <v>15360</v>
      </c>
      <c r="AP195" s="266">
        <f>AO195</f>
        <v>15360</v>
      </c>
      <c r="AQ195" s="266">
        <f>AP195</f>
        <v>15360</v>
      </c>
      <c r="AR195" s="266">
        <f>AQ195</f>
        <v>15360</v>
      </c>
      <c r="AS195" s="266">
        <f>AR195</f>
        <v>15360</v>
      </c>
      <c r="AT195" s="266">
        <f>AS195</f>
        <v>15360</v>
      </c>
      <c r="AU195" s="266">
        <f>AT195</f>
        <v>15360</v>
      </c>
      <c r="AV195" s="266">
        <f>AU195</f>
        <v>15360</v>
      </c>
      <c r="AW195" s="266">
        <f>AV195</f>
        <v>15360</v>
      </c>
      <c r="AX195" s="266">
        <f>AW195</f>
        <v>15360</v>
      </c>
      <c r="AY195" s="266">
        <f>AX195</f>
        <v>15360</v>
      </c>
      <c r="AZ195" s="266">
        <f>AY195</f>
        <v>15360</v>
      </c>
      <c r="BA195" s="266">
        <f>AZ195</f>
        <v>15360</v>
      </c>
      <c r="BB195" s="266">
        <f>BA195</f>
        <v>15360</v>
      </c>
      <c r="BC195" s="266">
        <f>BB195</f>
        <v>15360</v>
      </c>
      <c r="BD195" s="266">
        <f>BC195</f>
        <v>15360</v>
      </c>
      <c r="BE195" s="266">
        <f>BD195</f>
        <v>15360</v>
      </c>
      <c r="BF195" s="266">
        <f>BE195</f>
        <v>15360</v>
      </c>
      <c r="BG195" s="266">
        <f>BF195</f>
        <v>15360</v>
      </c>
      <c r="BH195" s="266">
        <f>BG195</f>
        <v>15360</v>
      </c>
      <c r="BI195" s="266">
        <f>BH195</f>
        <v>15360</v>
      </c>
      <c r="BJ195" s="266">
        <f>BI195</f>
        <v>15360</v>
      </c>
      <c r="BK195" s="266">
        <f>BJ195</f>
        <v>15360</v>
      </c>
      <c r="BL195" s="266">
        <f>BK195</f>
        <v>15360</v>
      </c>
      <c r="BM195" s="266">
        <f>BL195</f>
        <v>15360</v>
      </c>
      <c r="BN195" s="266">
        <f>BM195</f>
        <v>15360</v>
      </c>
      <c r="BO195" s="266">
        <f>BN195</f>
        <v>15360</v>
      </c>
      <c r="BP195" s="266">
        <f>BO195</f>
        <v>15360</v>
      </c>
      <c r="BQ195" s="266">
        <f>BP195</f>
        <v>15360</v>
      </c>
      <c r="BR195" s="266">
        <f>BQ195</f>
        <v>15360</v>
      </c>
      <c r="BS195" s="266">
        <f>BR195</f>
        <v>15360</v>
      </c>
      <c r="BT195" s="266">
        <f>BS195</f>
        <v>15360</v>
      </c>
      <c r="BU195" s="266">
        <f>BT195</f>
        <v>15360</v>
      </c>
      <c r="BV195" s="266">
        <f>BU195</f>
        <v>15360</v>
      </c>
      <c r="BW195" s="266">
        <f>BV195</f>
        <v>15360</v>
      </c>
      <c r="BX195" s="266">
        <f>BW195</f>
        <v>15360</v>
      </c>
      <c r="BY195" s="266">
        <f>BX195</f>
        <v>15360</v>
      </c>
      <c r="BZ195" s="266">
        <f>BY195</f>
        <v>15360</v>
      </c>
      <c r="CA195" s="266">
        <f>BZ195</f>
        <v>15360</v>
      </c>
      <c r="CB195" s="266">
        <f>CA195</f>
        <v>15360</v>
      </c>
      <c r="CC195" s="266">
        <f>CB195</f>
        <v>15360</v>
      </c>
      <c r="CD195" s="266">
        <f>CC195</f>
        <v>15360</v>
      </c>
      <c r="CE195" s="266">
        <f>CD195</f>
        <v>15360</v>
      </c>
      <c r="CF195" s="266">
        <f>CE195</f>
        <v>15360</v>
      </c>
      <c r="CG195" s="266">
        <f>CF195</f>
        <v>15360</v>
      </c>
      <c r="CH195" s="266">
        <f>CG195</f>
        <v>15360</v>
      </c>
      <c r="CI195" s="266">
        <f>CH195</f>
        <v>15360</v>
      </c>
      <c r="CJ195" s="266">
        <f>CI195</f>
        <v>15360</v>
      </c>
      <c r="CK195" s="266">
        <f>CJ195</f>
        <v>15360</v>
      </c>
      <c r="CL195" s="266">
        <f>CK195</f>
        <v>15360</v>
      </c>
      <c r="CM195" s="266">
        <f>CL195</f>
        <v>15360</v>
      </c>
      <c r="CN195" s="266">
        <f>CM195</f>
        <v>15360</v>
      </c>
      <c r="CO195" s="266">
        <f>CN195</f>
        <v>15360</v>
      </c>
      <c r="CP195" s="266">
        <f>CO195</f>
        <v>15360</v>
      </c>
      <c r="CQ195" s="266">
        <f>CP195</f>
        <v>15360</v>
      </c>
      <c r="CR195" s="266">
        <f>CQ195</f>
        <v>15360</v>
      </c>
      <c r="CS195" s="266">
        <f>CR195</f>
        <v>15360</v>
      </c>
      <c r="CT195" s="266">
        <f>CS195</f>
        <v>15360</v>
      </c>
      <c r="CU195" s="266">
        <f>CT195</f>
        <v>15360</v>
      </c>
      <c r="CV195" s="266">
        <f>CU195</f>
        <v>15360</v>
      </c>
      <c r="CW195" s="266">
        <f>CV195</f>
        <v>15360</v>
      </c>
      <c r="CX195" s="266">
        <f>CW195</f>
        <v>15360</v>
      </c>
      <c r="CY195" s="266">
        <f>CX195</f>
        <v>15360</v>
      </c>
    </row>
    <row r="196" hidden="1" outlineLevel="1" ht="12.75" customHeight="1" s="254">
      <c r="C196" s="312" t="inlineStr">
        <is>
          <t>%(Var.)</t>
        </is>
      </c>
      <c r="D196" s="266" t="n"/>
      <c r="E196" s="294" t="str">
        <f>IFERROR((E195-D195)/D195,"")</f>
        <v/>
      </c>
      <c r="F196" s="294" t="str">
        <f>IFERROR((F195-E195)/E195,"")</f>
        <v/>
      </c>
      <c r="G196" s="294" t="str">
        <f>IFERROR((G195-F195)/F195,"")</f>
        <v/>
      </c>
      <c r="H196" s="266" t="n"/>
      <c r="I196" s="294" t="str">
        <f>IFERROR((I195-H195)/H195,"")</f>
        <v/>
      </c>
      <c r="J196" s="294">
        <f>IFERROR((J195-I195)/I195,"")</f>
        <v>0.138969501177244</v>
      </c>
      <c r="K196" s="294">
        <f>IFERROR((K195-J195)/J195,"")</f>
        <v>-0.0227392913802221</v>
      </c>
      <c r="L196" s="294">
        <f>IFERROR((L195-K195)/K195,"")</f>
        <v>-0.00885478158205431</v>
      </c>
      <c r="M196" s="266" t="n"/>
      <c r="N196" s="294">
        <f>IFERROR((N195-M195)/M195,"")</f>
        <v>-0.0063033551717292</v>
      </c>
      <c r="O196" s="294">
        <f>IFERROR((O195-N195)/N195,"")</f>
        <v>0.257279856151041</v>
      </c>
      <c r="P196" s="294">
        <f>IFERROR((P195-O195)/O195,"")</f>
        <v>-0.0614969013189258</v>
      </c>
      <c r="Q196" s="294">
        <f>IFERROR((Q195-P195)/P195,"")</f>
        <v>-0.108364375211649</v>
      </c>
      <c r="R196" s="266" t="n"/>
      <c r="S196" s="294">
        <f>IFERROR((S195-R195)/R195,"")</f>
        <v>-0.0310007595898215</v>
      </c>
      <c r="T196" s="294">
        <f>IFERROR((T195-S195)/S195,"")</f>
        <v>-0.000489931899465974</v>
      </c>
      <c r="U196" s="294">
        <f>IFERROR((U195-T195)/T195,"")</f>
        <v>-0.0414195382579285</v>
      </c>
      <c r="V196" s="294">
        <f>IFERROR((V195-U195)/U195,"")</f>
        <v>-0.00306811208836163</v>
      </c>
      <c r="W196" s="266" t="n"/>
      <c r="X196" s="294">
        <f>IFERROR((X195-W195)/W195,"")</f>
        <v>-0.0196450553959787</v>
      </c>
      <c r="Y196" s="294">
        <f>IFERROR((Y195-X195)/X195,"")</f>
        <v>0.0245382723800555</v>
      </c>
      <c r="Z196" s="294">
        <f>IFERROR((Z195-Y195)/Y195,"")</f>
        <v>0.0727709120620979</v>
      </c>
      <c r="AA196" s="294">
        <f>IFERROR((AA195-Z195)/Z195,"")</f>
        <v>-0.112200695006426</v>
      </c>
      <c r="AB196" s="266" t="n"/>
      <c r="AC196" s="294">
        <f>IFERROR((AC195-AB195)/AB195,"")</f>
        <v>0.0841286863270778</v>
      </c>
      <c r="AD196" s="294">
        <f>IFERROR((AD195-AC195)/AC195,"")</f>
        <v>0.0491122211780998</v>
      </c>
      <c r="AE196" s="294">
        <f>IFERROR((AE195-AD195)/AD195,"")</f>
        <v>-0.280784461625495</v>
      </c>
      <c r="AF196" s="309">
        <f>IFERROR((AF195-AE195)/AE195,"")</f>
        <v>0.0146827477713686</v>
      </c>
      <c r="AG196" s="266" t="n"/>
      <c r="AH196" s="309">
        <f>IFERROR((AH195-AG195)/AG195,"")</f>
        <v>-0.0560077519379845</v>
      </c>
      <c r="AI196" s="309">
        <f>IFERROR((AI195-AH195)/AH195,"")</f>
        <v>0.0511188667624718</v>
      </c>
      <c r="AJ196" s="309" t="n"/>
      <c r="AK196" s="309" t="n"/>
      <c r="AL196" s="266" t="n"/>
      <c r="AM196" s="309" t="n"/>
      <c r="AN196" s="309" t="n"/>
      <c r="AO196" s="309" t="n"/>
      <c r="AP196" s="309" t="n"/>
      <c r="AQ196" s="266" t="n"/>
      <c r="AR196" s="309" t="n"/>
      <c r="AS196" s="309" t="n"/>
      <c r="AT196" s="309" t="n"/>
      <c r="AU196" s="309" t="n"/>
      <c r="AV196" s="266" t="n"/>
      <c r="AW196" s="309" t="n"/>
      <c r="AX196" s="309" t="n"/>
      <c r="AY196" s="309" t="n"/>
      <c r="AZ196" s="309" t="n"/>
      <c r="BA196" s="266" t="n"/>
      <c r="BB196" s="309" t="n"/>
      <c r="BC196" s="309" t="n"/>
      <c r="BD196" s="309" t="n"/>
      <c r="BE196" s="309" t="n"/>
      <c r="BF196" s="266" t="n"/>
      <c r="BG196" s="309" t="n"/>
      <c r="BH196" s="309" t="n"/>
      <c r="BI196" s="309" t="n"/>
      <c r="BJ196" s="309" t="n"/>
      <c r="BK196" s="266" t="n"/>
      <c r="BL196" s="309" t="n"/>
      <c r="BM196" s="309" t="n"/>
      <c r="BN196" s="309" t="n"/>
      <c r="BO196" s="309" t="n"/>
      <c r="BP196" s="266" t="n"/>
      <c r="BQ196" s="309" t="n"/>
      <c r="BR196" s="309" t="n"/>
      <c r="BS196" s="309" t="n"/>
      <c r="BT196" s="309" t="n"/>
      <c r="BU196" s="266" t="n"/>
      <c r="BV196" s="309" t="n"/>
      <c r="BW196" s="309" t="n"/>
      <c r="BX196" s="309" t="n"/>
      <c r="BY196" s="309" t="n"/>
      <c r="BZ196" s="266" t="n"/>
      <c r="CA196" s="309" t="n"/>
      <c r="CB196" s="309" t="n"/>
      <c r="CC196" s="309" t="n"/>
      <c r="CD196" s="309" t="n"/>
      <c r="CE196" s="266" t="n"/>
      <c r="CF196" s="309" t="n"/>
      <c r="CG196" s="309" t="n"/>
      <c r="CH196" s="309" t="n"/>
      <c r="CI196" s="309" t="n"/>
      <c r="CJ196" s="266" t="n"/>
      <c r="CK196" s="309" t="n"/>
      <c r="CL196" s="309" t="n"/>
      <c r="CM196" s="309" t="n"/>
      <c r="CN196" s="309" t="n"/>
      <c r="CO196" s="266" t="n"/>
      <c r="CP196" s="309" t="n"/>
      <c r="CQ196" s="309" t="n"/>
      <c r="CR196" s="309" t="n"/>
      <c r="CS196" s="309" t="n"/>
      <c r="CT196" s="266" t="n"/>
      <c r="CU196" s="309" t="n"/>
      <c r="CV196" s="309" t="n"/>
      <c r="CW196" s="309" t="n"/>
      <c r="CX196" s="309" t="n"/>
      <c r="CY196" s="266" t="n"/>
    </row>
    <row r="197" hidden="1" outlineLevel="1" ht="12.75" customHeight="1" s="254">
      <c r="C197" s="310" t="n"/>
      <c r="D197" s="266" t="n"/>
      <c r="E197" s="294" t="n"/>
      <c r="F197" s="294" t="n"/>
      <c r="G197" s="294" t="n"/>
      <c r="H197" s="266" t="n"/>
      <c r="I197" s="294" t="n"/>
      <c r="J197" s="294" t="n"/>
      <c r="K197" s="294" t="n"/>
      <c r="L197" s="294" t="n"/>
      <c r="M197" s="266" t="n"/>
      <c r="N197" s="294" t="n"/>
      <c r="O197" s="294" t="n"/>
      <c r="P197" s="294" t="n"/>
      <c r="Q197" s="294" t="n"/>
      <c r="R197" s="266" t="n"/>
      <c r="S197" s="294" t="n"/>
      <c r="T197" s="294" t="n"/>
      <c r="U197" s="294" t="n"/>
      <c r="V197" s="294" t="n"/>
      <c r="W197" s="266" t="n"/>
      <c r="X197" s="294" t="n"/>
      <c r="Y197" s="294" t="n"/>
      <c r="Z197" s="294" t="n"/>
      <c r="AA197" s="294" t="n"/>
      <c r="AB197" s="266" t="n"/>
      <c r="AC197" s="294" t="n"/>
      <c r="AD197" s="294" t="n"/>
      <c r="AE197" s="294" t="n"/>
      <c r="AF197" s="309" t="n"/>
      <c r="AG197" s="266" t="n"/>
      <c r="AH197" s="309" t="n"/>
      <c r="AI197" s="309" t="n"/>
      <c r="AJ197" s="309" t="n"/>
      <c r="AK197" s="309" t="n"/>
      <c r="AL197" s="266" t="n"/>
      <c r="AM197" s="309" t="n"/>
      <c r="AN197" s="309" t="n"/>
      <c r="AO197" s="309" t="n"/>
      <c r="AP197" s="309" t="n"/>
      <c r="AQ197" s="266" t="n"/>
      <c r="AR197" s="309" t="n"/>
      <c r="AS197" s="309" t="n"/>
      <c r="AT197" s="309" t="n"/>
      <c r="AU197" s="309" t="n"/>
      <c r="AV197" s="266" t="n"/>
      <c r="AW197" s="309" t="n"/>
      <c r="AX197" s="309" t="n"/>
      <c r="AY197" s="309" t="n"/>
      <c r="AZ197" s="309" t="n"/>
      <c r="BA197" s="266" t="n"/>
      <c r="BB197" s="309" t="n"/>
      <c r="BC197" s="309" t="n"/>
      <c r="BD197" s="309" t="n"/>
      <c r="BE197" s="309" t="n"/>
      <c r="BF197" s="266" t="n"/>
      <c r="BG197" s="309" t="n"/>
      <c r="BH197" s="309" t="n"/>
      <c r="BI197" s="309" t="n"/>
      <c r="BJ197" s="309" t="n"/>
      <c r="BK197" s="266" t="n"/>
      <c r="BL197" s="309" t="n"/>
      <c r="BM197" s="309" t="n"/>
      <c r="BN197" s="309" t="n"/>
      <c r="BO197" s="309" t="n"/>
      <c r="BP197" s="266" t="n"/>
      <c r="BQ197" s="309" t="n"/>
      <c r="BR197" s="309" t="n"/>
      <c r="BS197" s="309" t="n"/>
      <c r="BT197" s="309" t="n"/>
      <c r="BU197" s="266" t="n"/>
      <c r="BV197" s="309" t="n"/>
      <c r="BW197" s="309" t="n"/>
      <c r="BX197" s="309" t="n"/>
      <c r="BY197" s="309" t="n"/>
      <c r="BZ197" s="266" t="n"/>
      <c r="CA197" s="309" t="n"/>
      <c r="CB197" s="309" t="n"/>
      <c r="CC197" s="309" t="n"/>
      <c r="CD197" s="309" t="n"/>
      <c r="CE197" s="266" t="n"/>
      <c r="CF197" s="309" t="n"/>
      <c r="CG197" s="309" t="n"/>
      <c r="CH197" s="309" t="n"/>
      <c r="CI197" s="309" t="n"/>
      <c r="CJ197" s="266" t="n"/>
      <c r="CK197" s="309" t="n"/>
      <c r="CL197" s="309" t="n"/>
      <c r="CM197" s="309" t="n"/>
      <c r="CN197" s="309" t="n"/>
      <c r="CO197" s="266" t="n"/>
      <c r="CP197" s="309" t="n"/>
      <c r="CQ197" s="309" t="n"/>
      <c r="CR197" s="309" t="n"/>
      <c r="CS197" s="309" t="n"/>
      <c r="CT197" s="266" t="n"/>
      <c r="CU197" s="309" t="n"/>
      <c r="CV197" s="309" t="n"/>
      <c r="CW197" s="309" t="n"/>
      <c r="CX197" s="309" t="n"/>
      <c r="CY197" s="266" t="n"/>
    </row>
    <row r="198" hidden="1" outlineLevel="1" ht="12.75" customHeight="1" s="254">
      <c r="C198" s="313" t="inlineStr">
        <is>
          <t>Outros Créditos - LP</t>
        </is>
      </c>
      <c r="D198" s="265" t="n"/>
      <c r="E198" s="265" t="n"/>
      <c r="F198" s="265" t="n"/>
      <c r="G198" s="265" t="n"/>
      <c r="H198" s="266" t="n"/>
      <c r="I198" s="265" t="n"/>
      <c r="J198" s="265" t="n"/>
      <c r="K198" s="265" t="n"/>
      <c r="L198" s="265" t="n"/>
      <c r="M198" s="266" t="n"/>
      <c r="N198" s="265" t="n"/>
      <c r="O198" s="265" t="n"/>
      <c r="P198" s="265" t="n"/>
      <c r="Q198" s="265" t="n"/>
      <c r="R198" s="266" t="n"/>
      <c r="S198" s="265" t="n"/>
      <c r="T198" s="265" t="n"/>
      <c r="U198" s="265" t="n"/>
      <c r="V198" s="265" t="n"/>
      <c r="W198" s="266" t="n"/>
      <c r="X198" s="265" t="n"/>
      <c r="Y198" s="265" t="n"/>
      <c r="Z198" s="265" t="n"/>
      <c r="AA198" s="265" t="n"/>
      <c r="AB198" s="266" t="n"/>
      <c r="AC198" s="265" t="n"/>
      <c r="AD198" s="265" t="n"/>
      <c r="AE198" s="265" t="n"/>
      <c r="AF198" s="265" t="n"/>
      <c r="AG198" s="266" t="n"/>
      <c r="AH198" s="266" t="n"/>
      <c r="AI198" s="266" t="n"/>
      <c r="AJ198" s="266" t="n"/>
      <c r="AK198" s="266" t="n"/>
      <c r="AL198" s="266" t="n"/>
      <c r="AM198" s="266" t="n"/>
      <c r="AN198" s="266" t="n"/>
      <c r="AO198" s="266" t="n"/>
      <c r="AP198" s="266" t="n"/>
      <c r="AQ198" s="266" t="n"/>
      <c r="AR198" s="266" t="n"/>
      <c r="AS198" s="266" t="n"/>
      <c r="AT198" s="266" t="n"/>
      <c r="AU198" s="266" t="n"/>
      <c r="AV198" s="266" t="n"/>
      <c r="AW198" s="266" t="n"/>
      <c r="AX198" s="266" t="n"/>
      <c r="AY198" s="266" t="n"/>
      <c r="AZ198" s="266" t="n"/>
      <c r="BA198" s="266" t="n"/>
      <c r="BB198" s="266" t="n"/>
      <c r="BC198" s="266" t="n"/>
      <c r="BD198" s="266" t="n"/>
      <c r="BE198" s="266" t="n"/>
      <c r="BF198" s="266" t="n"/>
      <c r="BG198" s="266" t="n"/>
      <c r="BH198" s="266" t="n"/>
      <c r="BI198" s="266" t="n"/>
      <c r="BJ198" s="266" t="n"/>
      <c r="BK198" s="266" t="n"/>
      <c r="BL198" s="266" t="n"/>
      <c r="BM198" s="266" t="n"/>
      <c r="BN198" s="266" t="n"/>
      <c r="BO198" s="266" t="n"/>
      <c r="BP198" s="266" t="n"/>
      <c r="BQ198" s="266" t="n"/>
      <c r="BR198" s="266" t="n"/>
      <c r="BS198" s="266" t="n"/>
      <c r="BT198" s="266" t="n"/>
      <c r="BU198" s="266" t="n"/>
      <c r="BV198" s="266" t="n"/>
      <c r="BW198" s="266" t="n"/>
      <c r="BX198" s="266" t="n"/>
      <c r="BY198" s="266" t="n"/>
      <c r="BZ198" s="266" t="n"/>
      <c r="CA198" s="266" t="n"/>
      <c r="CB198" s="266" t="n"/>
      <c r="CC198" s="266" t="n"/>
      <c r="CD198" s="266" t="n"/>
      <c r="CE198" s="266" t="n"/>
      <c r="CF198" s="266" t="n"/>
      <c r="CG198" s="266" t="n"/>
      <c r="CH198" s="266" t="n"/>
      <c r="CI198" s="266" t="n"/>
      <c r="CJ198" s="266" t="n"/>
      <c r="CK198" s="266" t="n"/>
      <c r="CL198" s="266" t="n"/>
      <c r="CM198" s="266" t="n"/>
      <c r="CN198" s="266" t="n"/>
      <c r="CO198" s="266" t="n"/>
      <c r="CP198" s="266" t="n"/>
      <c r="CQ198" s="266" t="n"/>
      <c r="CR198" s="266" t="n"/>
      <c r="CS198" s="266" t="n"/>
      <c r="CT198" s="266" t="n"/>
      <c r="CU198" s="266" t="n"/>
      <c r="CV198" s="266" t="n"/>
      <c r="CW198" s="266" t="n"/>
      <c r="CX198" s="266" t="n"/>
      <c r="CY198" s="266" t="n"/>
    </row>
    <row r="199" hidden="1" outlineLevel="1" ht="12.75" customHeight="1" s="254">
      <c r="C199" s="313" t="inlineStr">
        <is>
          <t xml:space="preserve">Impostos e Contribuições a Recuperar </t>
        </is>
      </c>
      <c r="D199" s="265" t="n"/>
      <c r="E199" s="265" t="n"/>
      <c r="F199" s="265" t="n"/>
      <c r="G199" s="265" t="n"/>
      <c r="H199" s="266" t="n"/>
      <c r="I199" s="265" t="n"/>
      <c r="J199" s="265" t="n"/>
      <c r="K199" s="265" t="n"/>
      <c r="L199" s="265" t="n"/>
      <c r="M199" s="266" t="n"/>
      <c r="N199" s="265" t="n"/>
      <c r="O199" s="265" t="n"/>
      <c r="P199" s="265" t="n"/>
      <c r="Q199" s="265" t="n"/>
      <c r="R199" s="266" t="n"/>
      <c r="S199" s="265" t="n"/>
      <c r="T199" s="265" t="n"/>
      <c r="U199" s="265" t="n"/>
      <c r="V199" s="265" t="n"/>
      <c r="W199" s="266" t="n"/>
      <c r="X199" s="265" t="n"/>
      <c r="Y199" s="265" t="n"/>
      <c r="Z199" s="265" t="n"/>
      <c r="AA199" s="265" t="n"/>
      <c r="AB199" s="266" t="n"/>
      <c r="AC199" s="265" t="n"/>
      <c r="AD199" s="265" t="n"/>
      <c r="AE199" s="265" t="n"/>
      <c r="AF199" s="265" t="n"/>
      <c r="AG199" s="266" t="n"/>
      <c r="AH199" s="266" t="n"/>
      <c r="AI199" s="266" t="n"/>
      <c r="AJ199" s="266" t="n"/>
      <c r="AK199" s="266" t="n"/>
      <c r="AL199" s="266" t="n"/>
      <c r="AM199" s="266" t="n"/>
      <c r="AN199" s="266" t="n"/>
      <c r="AO199" s="266" t="n"/>
      <c r="AP199" s="266" t="n"/>
      <c r="AQ199" s="266" t="n"/>
      <c r="AR199" s="266" t="n"/>
      <c r="AS199" s="266" t="n"/>
      <c r="AT199" s="266" t="n"/>
      <c r="AU199" s="266" t="n"/>
      <c r="AV199" s="266" t="n"/>
      <c r="AW199" s="266" t="n"/>
      <c r="AX199" s="266" t="n"/>
      <c r="AY199" s="266" t="n"/>
      <c r="AZ199" s="266" t="n"/>
      <c r="BA199" s="266" t="n"/>
      <c r="BB199" s="266" t="n"/>
      <c r="BC199" s="266" t="n"/>
      <c r="BD199" s="266" t="n"/>
      <c r="BE199" s="266" t="n"/>
      <c r="BF199" s="266" t="n"/>
      <c r="BG199" s="266" t="n"/>
      <c r="BH199" s="266" t="n"/>
      <c r="BI199" s="266" t="n"/>
      <c r="BJ199" s="266" t="n"/>
      <c r="BK199" s="266" t="n"/>
      <c r="BL199" s="266" t="n"/>
      <c r="BM199" s="266" t="n"/>
      <c r="BN199" s="266" t="n"/>
      <c r="BO199" s="266" t="n"/>
      <c r="BP199" s="266" t="n"/>
      <c r="BQ199" s="266" t="n"/>
      <c r="BR199" s="266" t="n"/>
      <c r="BS199" s="266" t="n"/>
      <c r="BT199" s="266" t="n"/>
      <c r="BU199" s="266" t="n"/>
      <c r="BV199" s="266" t="n"/>
      <c r="BW199" s="266" t="n"/>
      <c r="BX199" s="266" t="n"/>
      <c r="BY199" s="266" t="n"/>
      <c r="BZ199" s="266" t="n"/>
      <c r="CA199" s="266" t="n"/>
      <c r="CB199" s="266" t="n"/>
      <c r="CC199" s="266" t="n"/>
      <c r="CD199" s="266" t="n"/>
      <c r="CE199" s="266" t="n"/>
      <c r="CF199" s="266" t="n"/>
      <c r="CG199" s="266" t="n"/>
      <c r="CH199" s="266" t="n"/>
      <c r="CI199" s="266" t="n"/>
      <c r="CJ199" s="266" t="n"/>
      <c r="CK199" s="266" t="n"/>
      <c r="CL199" s="266" t="n"/>
      <c r="CM199" s="266" t="n"/>
      <c r="CN199" s="266" t="n"/>
      <c r="CO199" s="266" t="n"/>
      <c r="CP199" s="266" t="n"/>
      <c r="CQ199" s="266" t="n"/>
      <c r="CR199" s="266" t="n"/>
      <c r="CS199" s="266" t="n"/>
      <c r="CT199" s="266" t="n"/>
      <c r="CU199" s="266" t="n"/>
      <c r="CV199" s="266" t="n"/>
      <c r="CW199" s="266" t="n"/>
      <c r="CX199" s="266" t="n"/>
      <c r="CY199" s="266" t="n"/>
    </row>
    <row r="200" hidden="1" outlineLevel="1" ht="12.75" customHeight="1" s="254">
      <c r="C200" s="313" t="inlineStr">
        <is>
          <t xml:space="preserve">Imposto de Renda e Contribuição Social Diferidos </t>
        </is>
      </c>
      <c r="D200" s="265" t="n"/>
      <c r="E200" s="265" t="n"/>
      <c r="F200" s="265" t="n"/>
      <c r="G200" s="265" t="n"/>
      <c r="H200" s="266" t="n"/>
      <c r="I200" s="265" t="n"/>
      <c r="J200" s="265" t="n"/>
      <c r="K200" s="265" t="n"/>
      <c r="L200" s="265" t="n"/>
      <c r="M200" s="266" t="n"/>
      <c r="N200" s="265" t="n"/>
      <c r="O200" s="265" t="n"/>
      <c r="P200" s="265" t="n"/>
      <c r="Q200" s="265" t="n"/>
      <c r="R200" s="266" t="n"/>
      <c r="S200" s="265" t="n"/>
      <c r="T200" s="265" t="n"/>
      <c r="U200" s="265" t="n"/>
      <c r="V200" s="265" t="n"/>
      <c r="W200" s="266" t="n"/>
      <c r="X200" s="265" t="n"/>
      <c r="Y200" s="265" t="n"/>
      <c r="Z200" s="265" t="n"/>
      <c r="AA200" s="265" t="n"/>
      <c r="AB200" s="266" t="n"/>
      <c r="AC200" s="265" t="n"/>
      <c r="AD200" s="265" t="n"/>
      <c r="AE200" s="265" t="n"/>
      <c r="AF200" s="265" t="n"/>
      <c r="AG200" s="266" t="n"/>
      <c r="AH200" s="266" t="n"/>
      <c r="AI200" s="266" t="n"/>
      <c r="AJ200" s="266" t="n"/>
      <c r="AK200" s="266" t="n"/>
      <c r="AL200" s="266" t="n"/>
      <c r="AM200" s="266" t="n"/>
      <c r="AN200" s="266" t="n"/>
      <c r="AO200" s="266" t="n"/>
      <c r="AP200" s="266" t="n"/>
      <c r="AQ200" s="266" t="n"/>
      <c r="AR200" s="266" t="n"/>
      <c r="AS200" s="266" t="n"/>
      <c r="AT200" s="266" t="n"/>
      <c r="AU200" s="266" t="n"/>
      <c r="AV200" s="266" t="n"/>
      <c r="AW200" s="266" t="n"/>
      <c r="AX200" s="266" t="n"/>
      <c r="AY200" s="266" t="n"/>
      <c r="AZ200" s="266" t="n"/>
      <c r="BA200" s="266" t="n"/>
      <c r="BB200" s="266" t="n"/>
      <c r="BC200" s="266" t="n"/>
      <c r="BD200" s="266" t="n"/>
      <c r="BE200" s="266" t="n"/>
      <c r="BF200" s="266" t="n"/>
      <c r="BG200" s="266" t="n"/>
      <c r="BH200" s="266" t="n"/>
      <c r="BI200" s="266" t="n"/>
      <c r="BJ200" s="266" t="n"/>
      <c r="BK200" s="266" t="n"/>
      <c r="BL200" s="266" t="n"/>
      <c r="BM200" s="266" t="n"/>
      <c r="BN200" s="266" t="n"/>
      <c r="BO200" s="266" t="n"/>
      <c r="BP200" s="266" t="n"/>
      <c r="BQ200" s="266" t="n"/>
      <c r="BR200" s="266" t="n"/>
      <c r="BS200" s="266" t="n"/>
      <c r="BT200" s="266" t="n"/>
      <c r="BU200" s="266" t="n"/>
      <c r="BV200" s="266" t="n"/>
      <c r="BW200" s="266" t="n"/>
      <c r="BX200" s="266" t="n"/>
      <c r="BY200" s="266" t="n"/>
      <c r="BZ200" s="266" t="n"/>
      <c r="CA200" s="266" t="n"/>
      <c r="CB200" s="266" t="n"/>
      <c r="CC200" s="266" t="n"/>
      <c r="CD200" s="266" t="n"/>
      <c r="CE200" s="266" t="n"/>
      <c r="CF200" s="266" t="n"/>
      <c r="CG200" s="266" t="n"/>
      <c r="CH200" s="266" t="n"/>
      <c r="CI200" s="266" t="n"/>
      <c r="CJ200" s="266" t="n"/>
      <c r="CK200" s="266" t="n"/>
      <c r="CL200" s="266" t="n"/>
      <c r="CM200" s="266" t="n"/>
      <c r="CN200" s="266" t="n"/>
      <c r="CO200" s="266" t="n"/>
      <c r="CP200" s="266" t="n"/>
      <c r="CQ200" s="266" t="n"/>
      <c r="CR200" s="266" t="n"/>
      <c r="CS200" s="266" t="n"/>
      <c r="CT200" s="266" t="n"/>
      <c r="CU200" s="266" t="n"/>
      <c r="CV200" s="266" t="n"/>
      <c r="CW200" s="266" t="n"/>
      <c r="CX200" s="266" t="n"/>
      <c r="CY200" s="266" t="n"/>
    </row>
    <row r="201" hidden="1" outlineLevel="1" ht="12.75" customHeight="1" s="254">
      <c r="C201" s="313" t="n"/>
      <c r="D201" s="266" t="n"/>
      <c r="E201" s="266" t="n"/>
      <c r="F201" s="266" t="n"/>
      <c r="G201" s="266" t="n"/>
      <c r="H201" s="266" t="n"/>
      <c r="I201" s="266" t="n"/>
      <c r="J201" s="266" t="n"/>
      <c r="K201" s="266" t="n"/>
      <c r="L201" s="266" t="n"/>
      <c r="M201" s="266" t="n"/>
      <c r="N201" s="266" t="n"/>
      <c r="O201" s="266" t="n"/>
      <c r="P201" s="266" t="n"/>
      <c r="Q201" s="266" t="n"/>
      <c r="R201" s="266" t="n"/>
      <c r="S201" s="266" t="n"/>
      <c r="T201" s="266" t="n"/>
      <c r="U201" s="266" t="n"/>
      <c r="V201" s="266" t="n"/>
      <c r="W201" s="266" t="n"/>
      <c r="X201" s="266" t="n"/>
      <c r="Y201" s="266" t="n"/>
      <c r="Z201" s="266" t="n"/>
      <c r="AA201" s="266" t="n"/>
      <c r="AB201" s="266" t="n"/>
      <c r="AC201" s="266" t="n"/>
      <c r="AD201" s="266" t="n"/>
      <c r="AE201" s="266" t="n"/>
      <c r="AF201" s="266" t="n"/>
      <c r="AG201" s="266" t="n"/>
      <c r="AH201" s="266" t="n"/>
      <c r="AI201" s="266" t="n"/>
      <c r="AJ201" s="266" t="n"/>
      <c r="AK201" s="266" t="n"/>
      <c r="AL201" s="266" t="n"/>
      <c r="AM201" s="266" t="n"/>
      <c r="AN201" s="266" t="n"/>
      <c r="AO201" s="266" t="n"/>
      <c r="AP201" s="266" t="n"/>
      <c r="AQ201" s="266" t="n"/>
      <c r="AR201" s="266" t="n"/>
      <c r="AS201" s="266" t="n"/>
      <c r="AT201" s="266" t="n"/>
      <c r="AU201" s="266" t="n"/>
      <c r="AV201" s="266" t="n"/>
      <c r="AW201" s="266" t="n"/>
      <c r="AX201" s="266" t="n"/>
      <c r="AY201" s="266" t="n"/>
      <c r="AZ201" s="266" t="n"/>
      <c r="BA201" s="266" t="n"/>
      <c r="BB201" s="266" t="n"/>
      <c r="BC201" s="266" t="n"/>
      <c r="BD201" s="266" t="n"/>
      <c r="BE201" s="266" t="n"/>
      <c r="BF201" s="266" t="n"/>
      <c r="BG201" s="266" t="n"/>
      <c r="BH201" s="266" t="n"/>
      <c r="BI201" s="266" t="n"/>
      <c r="BJ201" s="266" t="n"/>
      <c r="BK201" s="266" t="n"/>
      <c r="BL201" s="266" t="n"/>
      <c r="BM201" s="266" t="n"/>
      <c r="BN201" s="266" t="n"/>
      <c r="BO201" s="266" t="n"/>
      <c r="BP201" s="266" t="n"/>
      <c r="BQ201" s="266" t="n"/>
      <c r="BR201" s="266" t="n"/>
      <c r="BS201" s="266" t="n"/>
      <c r="BT201" s="266" t="n"/>
      <c r="BU201" s="266" t="n"/>
      <c r="BV201" s="266" t="n"/>
      <c r="BW201" s="266" t="n"/>
      <c r="BX201" s="266" t="n"/>
      <c r="BY201" s="266" t="n"/>
      <c r="BZ201" s="266" t="n"/>
      <c r="CA201" s="266" t="n"/>
      <c r="CB201" s="266" t="n"/>
      <c r="CC201" s="266" t="n"/>
      <c r="CD201" s="266" t="n"/>
      <c r="CE201" s="266" t="n"/>
      <c r="CF201" s="266" t="n"/>
      <c r="CG201" s="266" t="n"/>
      <c r="CH201" s="266" t="n"/>
      <c r="CI201" s="266" t="n"/>
      <c r="CJ201" s="266" t="n"/>
      <c r="CK201" s="266" t="n"/>
      <c r="CL201" s="266" t="n"/>
      <c r="CM201" s="266" t="n"/>
      <c r="CN201" s="266" t="n"/>
      <c r="CO201" s="266" t="n"/>
      <c r="CP201" s="266" t="n"/>
      <c r="CQ201" s="266" t="n"/>
      <c r="CR201" s="266" t="n"/>
      <c r="CS201" s="266" t="n"/>
      <c r="CT201" s="266" t="n"/>
      <c r="CU201" s="266" t="n"/>
      <c r="CV201" s="266" t="n"/>
      <c r="CW201" s="266" t="n"/>
      <c r="CX201" s="266" t="n"/>
      <c r="CY201" s="266" t="n"/>
    </row>
    <row r="202" hidden="1" outlineLevel="1" ht="12.75" customHeight="1" s="254">
      <c r="C202" s="310" t="n"/>
      <c r="D202" s="266" t="n"/>
      <c r="E202" s="266" t="n"/>
      <c r="F202" s="266" t="n"/>
      <c r="G202" s="266" t="n"/>
      <c r="H202" s="266" t="n"/>
      <c r="I202" s="266" t="n"/>
      <c r="J202" s="266" t="n"/>
      <c r="K202" s="266" t="n"/>
      <c r="L202" s="266" t="n"/>
      <c r="M202" s="266" t="n"/>
      <c r="N202" s="266" t="n"/>
      <c r="O202" s="266" t="n"/>
      <c r="P202" s="266" t="n"/>
      <c r="Q202" s="266" t="n"/>
      <c r="R202" s="266" t="n"/>
      <c r="S202" s="266" t="n"/>
      <c r="T202" s="266" t="n"/>
      <c r="U202" s="266" t="n"/>
      <c r="V202" s="266" t="n"/>
      <c r="W202" s="266" t="n"/>
      <c r="X202" s="266" t="n"/>
      <c r="Y202" s="266" t="n"/>
      <c r="Z202" s="266" t="n"/>
      <c r="AA202" s="266" t="n"/>
      <c r="AB202" s="266" t="n"/>
      <c r="AC202" s="266" t="n"/>
      <c r="AD202" s="266" t="n"/>
      <c r="AE202" s="266" t="n"/>
      <c r="AF202" s="266" t="n"/>
      <c r="AG202" s="266" t="n"/>
      <c r="AH202" s="266" t="n"/>
      <c r="AI202" s="266" t="n"/>
      <c r="AJ202" s="266" t="n"/>
      <c r="AK202" s="266" t="n"/>
      <c r="AL202" s="266" t="n"/>
      <c r="AM202" s="266" t="n"/>
      <c r="AN202" s="266" t="n"/>
      <c r="AO202" s="266" t="n"/>
      <c r="AP202" s="266" t="n"/>
      <c r="AQ202" s="266" t="n"/>
      <c r="AR202" s="266" t="n"/>
      <c r="AS202" s="266" t="n"/>
      <c r="AT202" s="266" t="n"/>
      <c r="AU202" s="266" t="n"/>
      <c r="AV202" s="266" t="n"/>
      <c r="AW202" s="266" t="n"/>
      <c r="AX202" s="266" t="n"/>
      <c r="AY202" s="266" t="n"/>
      <c r="AZ202" s="266" t="n"/>
      <c r="BA202" s="266" t="n"/>
      <c r="BB202" s="266" t="n"/>
      <c r="BC202" s="266" t="n"/>
      <c r="BD202" s="266" t="n"/>
      <c r="BE202" s="266" t="n"/>
      <c r="BF202" s="266" t="n"/>
      <c r="BG202" s="266" t="n"/>
      <c r="BH202" s="266" t="n"/>
      <c r="BI202" s="266" t="n"/>
      <c r="BJ202" s="266" t="n"/>
      <c r="BK202" s="266" t="n"/>
      <c r="BL202" s="266" t="n"/>
      <c r="BM202" s="266" t="n"/>
      <c r="BN202" s="266" t="n"/>
      <c r="BO202" s="266" t="n"/>
      <c r="BP202" s="266" t="n"/>
      <c r="BQ202" s="266" t="n"/>
      <c r="BR202" s="266" t="n"/>
      <c r="BS202" s="266" t="n"/>
      <c r="BT202" s="266" t="n"/>
      <c r="BU202" s="266" t="n"/>
      <c r="BV202" s="266" t="n"/>
      <c r="BW202" s="266" t="n"/>
      <c r="BX202" s="266" t="n"/>
      <c r="BY202" s="266" t="n"/>
      <c r="BZ202" s="266" t="n"/>
      <c r="CA202" s="266" t="n"/>
      <c r="CB202" s="266" t="n"/>
      <c r="CC202" s="266" t="n"/>
      <c r="CD202" s="266" t="n"/>
      <c r="CE202" s="266" t="n"/>
      <c r="CF202" s="266" t="n"/>
      <c r="CG202" s="266" t="n"/>
      <c r="CH202" s="266" t="n"/>
      <c r="CI202" s="266" t="n"/>
      <c r="CJ202" s="266" t="n"/>
      <c r="CK202" s="266" t="n"/>
      <c r="CL202" s="266" t="n"/>
      <c r="CM202" s="266" t="n"/>
      <c r="CN202" s="266" t="n"/>
      <c r="CO202" s="266" t="n"/>
      <c r="CP202" s="266" t="n"/>
      <c r="CQ202" s="266" t="n"/>
      <c r="CR202" s="266" t="n"/>
      <c r="CS202" s="266" t="n"/>
      <c r="CT202" s="266" t="n"/>
      <c r="CU202" s="266" t="n"/>
      <c r="CV202" s="266" t="n"/>
      <c r="CW202" s="266" t="n"/>
      <c r="CX202" s="266" t="n"/>
      <c r="CY202" s="266" t="n"/>
    </row>
    <row r="203" ht="12.75" customFormat="1" customHeight="1" s="285">
      <c r="A203" s="286" t="n"/>
      <c r="B203" s="257" t="n"/>
      <c r="C203" s="273" t="inlineStr">
        <is>
          <t>Total Assets</t>
        </is>
      </c>
      <c r="D203" s="274">
        <f>(D150+D151+D155+D159+D160+D161+D167+D172+D182+D185+D186+D195)</f>
        <v>0</v>
      </c>
      <c r="E203" s="274">
        <f>(E150+E151+E155+E159+E160+E161+E167+E172+E182+E185+E186+E195)</f>
        <v>0</v>
      </c>
      <c r="F203" s="274">
        <f>(F150+F151+F155+F159+F160+F161+F167+F172+F182+F185+F186+F195)</f>
        <v>0</v>
      </c>
      <c r="G203" s="274">
        <f>(G150+G151+G155+G159+G160+G161+G167+G172+G182+G185+G186+G195)</f>
        <v>0</v>
      </c>
      <c r="H203" s="274">
        <f>SUM(H150,H151,H155,H159,H160,H161,H167,H182,H185,H186,H195,H172)</f>
        <v>0</v>
      </c>
      <c r="I203" s="274">
        <f>(I150+I151+I155+I159+I160+I161+I167+I172+I182+I185+I186+I195)</f>
        <v>385400</v>
      </c>
      <c r="J203" s="274">
        <f>(J150+J151+J155+J159+J160+J161+J167+J172+J182+J185+J186+J195)</f>
        <v>397857</v>
      </c>
      <c r="K203" s="274">
        <f>(K150+K151+K155+K159+K160+K161+K167+K172+K182+K185+K186+K195)</f>
        <v>408769</v>
      </c>
      <c r="L203" s="274">
        <f>(L150+L151+L155+L159+L160+L161+L167+L172+L182+L185+L186+L195)</f>
        <v>404379</v>
      </c>
      <c r="M203" s="274">
        <f>SUM(M150,M151,M155,M159,M160,M161,M167,M182,M185,M186,M195,M172)</f>
        <v>404379</v>
      </c>
      <c r="N203" s="274">
        <f>(N150+N151+N155+N159+N160+N161+N167+N172+N182+N185+N186+N195)</f>
        <v>424987</v>
      </c>
      <c r="O203" s="274">
        <f>(O150+O151+O155+O159+O160+O161+O167+O172+O182+O185+O186+O195)</f>
        <v>447898</v>
      </c>
      <c r="P203" s="274">
        <f>(P150+P151+P155+P159+P160+P161+P167+P172+P182+P185+P186+P195)</f>
        <v>437358</v>
      </c>
      <c r="Q203" s="274">
        <f>(Q150+Q151+Q155+Q159+Q160+Q161+Q167+Q172+Q182+Q185+Q186+Q195)</f>
        <v>443024</v>
      </c>
      <c r="R203" s="274">
        <f>SUM(R150,R151,R155,R159,R160,R161,R167,R182,R185,R186,R195,R172)</f>
        <v>443024</v>
      </c>
      <c r="S203" s="274">
        <f>(S150+S151+S155+S159+S160+S161+S167+S172+S182+S185+S186+S195)</f>
        <v>429154</v>
      </c>
      <c r="T203" s="274">
        <f>(T150+T151+T155+T159+T160+T161+T167+T172+T182+T185+T186+T195)</f>
        <v>415033</v>
      </c>
      <c r="U203" s="274">
        <f>(U150+U151+U155+U159+U160+U161+U167+U172+U182+U185+U186+U195)</f>
        <v>413498</v>
      </c>
      <c r="V203" s="274">
        <f>(V150+V151+V155+V159+V160+V161+V167+V172+V182+V185+V186+V195)</f>
        <v>406270</v>
      </c>
      <c r="W203" s="274">
        <f>SUM(W150,W151,W155,W159,W160,W161,W167,W182,W185,W186,W195,W172)</f>
        <v>406270</v>
      </c>
      <c r="X203" s="274">
        <f>(X150+X151+X155+X159+X160+X161+X167+X172+X182+X185+X186+X195)</f>
        <v>402039</v>
      </c>
      <c r="Y203" s="274">
        <f>(Y150+Y151+Y155+Y159+Y160+Y161+Y167+Y172+Y182+Y185+Y186+Y195)</f>
        <v>394783</v>
      </c>
      <c r="Z203" s="274">
        <f>(Z150+Z151+Z155+Z159+Z160+Z161+Z167+Z172+Z182+Z185+Z186+Z195)</f>
        <v>394949</v>
      </c>
      <c r="AA203" s="274">
        <f>(AA150+AA151+AA155+AA159+AA160+AA161+AA167+AA172+AA182+AA185+AA186+AA195)</f>
        <v>387607</v>
      </c>
      <c r="AB203" s="274">
        <f>SUM(AB150,AB151,AB155,AB159,AB160,AB161,AB167,AB182,AB185,AB186,AB195,AB172)</f>
        <v>387607</v>
      </c>
      <c r="AC203" s="274">
        <f>(AC150+AC151+AC155+AC159+AC160+AC161+AC167+AC172+AC182+AC185+AC186+AC195)</f>
        <v>389248</v>
      </c>
      <c r="AD203" s="274">
        <f>(AD150+AD151+AD155+AD159+AD160+AD161+AD167+AD172+AD182+AD185+AD186+AD195)</f>
        <v>387920</v>
      </c>
      <c r="AE203" s="274">
        <f>(AE150+AE151+AE155+AE159+AE160+AE161+AE167+AE172+AE182+AE185+AE186+AE195)</f>
        <v>377738</v>
      </c>
      <c r="AF203" s="274">
        <f>(AF150+AF151+AF155+AF159+AF160+AF161+AF167+AF172+AF182+AF185+AF186+AF195)</f>
        <v>370351</v>
      </c>
      <c r="AG203" s="274">
        <f>SUM(AG150,AG151,AG155,AG159,AG160,AG161,AG167,AG182,AG185,AG186,AG195,AG172)</f>
        <v>370351</v>
      </c>
      <c r="AH203" s="274">
        <f>(AH150+AH151+AH155+AH159+AH160+AH161+AH167+AH172+AH182+AH185+AH186+AH195)</f>
        <v>380598</v>
      </c>
      <c r="AI203" s="274">
        <f>(AI150+AI151+AI155+AI159+AI160+AI161+AI167+AI172+AI182+AI185+AI186+AI195)</f>
        <v>380513</v>
      </c>
      <c r="AJ203" s="274">
        <f>(AJ150+AJ151+AJ155+AJ159+AJ160+AJ161+AJ167+AJ172+AJ182+AJ185+AJ186+AJ195)</f>
        <v>315863</v>
      </c>
      <c r="AK203" s="274">
        <f>(AK150+AK151+AK155+AK159+AK160+AK161+AK167+AK172+AK182+AK185+AK186+AK195)</f>
        <v>317554</v>
      </c>
      <c r="AL203" s="274">
        <f>SUM(AL150,AL151,AL155,AL159,AL160,AL161,AL167,AL182,AL185,AL186,AL195,AL172)</f>
        <v>317554</v>
      </c>
      <c r="AM203" s="274" t="e">
        <f>(AM150+AM151+AM155+AM159+AM160+AM161+AM167+AM172+AM182+AM185+AM186+AM195)</f>
        <v>#DIV/0!</v>
      </c>
      <c r="AN203" s="274" t="e">
        <f>(AN150+AN151+AN155+AN159+AN160+AN161+AN167+AN172+AN182+AN185+AN186+AN195)</f>
        <v>#DIV/0!</v>
      </c>
      <c r="AO203" s="274" t="e">
        <f>(AO150+AO151+AO155+AO159+AO160+AO161+AO167+AO172+AO182+AO185+AO186+AO195)</f>
        <v>#DIV/0!</v>
      </c>
      <c r="AP203" s="274" t="e">
        <f>(AP150+AP151+AP155+AP159+AP160+AP161+AP167+AP172+AP182+AP185+AP186+AP195)</f>
        <v>#DIV/0!</v>
      </c>
      <c r="AQ203" s="274" t="e">
        <f>SUM(AQ150,AQ151,AQ155,AQ159,AQ160,AQ161,AQ167,AQ182,AQ185,AQ186,AQ195,AQ172)</f>
        <v>#DIV/0!</v>
      </c>
      <c r="AR203" s="274" t="e">
        <f>(AR150+AR151+AR155+AR159+AR160+AR161+AR167+AR172+AR182+AR185+AR186+AR195)</f>
        <v>#DIV/0!</v>
      </c>
      <c r="AS203" s="274" t="e">
        <f>(AS150+AS151+AS155+AS159+AS160+AS161+AS167+AS172+AS182+AS185+AS186+AS195)</f>
        <v>#DIV/0!</v>
      </c>
      <c r="AT203" s="274" t="e">
        <f>(AT150+AT151+AT155+AT159+AT160+AT161+AT167+AT172+AT182+AT185+AT186+AT195)</f>
        <v>#DIV/0!</v>
      </c>
      <c r="AU203" s="274" t="e">
        <f>(AU150+AU151+AU155+AU159+AU160+AU161+AU167+AU172+AU182+AU185+AU186+AU195)</f>
        <v>#DIV/0!</v>
      </c>
      <c r="AV203" s="274" t="e">
        <f>SUM(AV150,AV151,AV155,AV159,AV160,AV161,AV167,AV182,AV185,AV186,AV195,AV172)</f>
        <v>#DIV/0!</v>
      </c>
      <c r="AW203" s="274" t="e">
        <f>(AW150+AW151+AW155+AW159+AW160+AW161+AW167+AW172+AW182+AW185+AW186+AW195)</f>
        <v>#DIV/0!</v>
      </c>
      <c r="AX203" s="274" t="e">
        <f>(AX150+AX151+AX155+AX159+AX160+AX161+AX167+AX172+AX182+AX185+AX186+AX195)</f>
        <v>#DIV/0!</v>
      </c>
      <c r="AY203" s="274" t="e">
        <f>(AY150+AY151+AY155+AY159+AY160+AY161+AY167+AY172+AY182+AY185+AY186+AY195)</f>
        <v>#DIV/0!</v>
      </c>
      <c r="AZ203" s="274" t="e">
        <f>(AZ150+AZ151+AZ155+AZ159+AZ160+AZ161+AZ167+AZ172+AZ182+AZ185+AZ186+AZ195)</f>
        <v>#DIV/0!</v>
      </c>
      <c r="BA203" s="274" t="e">
        <f>SUM(BA150,BA151,BA155,BA159,BA160,BA161,BA167,BA182,BA185,BA186,BA195,BA172)</f>
        <v>#DIV/0!</v>
      </c>
      <c r="BB203" s="274" t="e">
        <f>(BB150+BB151+BB155+BB159+BB160+BB161+BB167+BB172+BB182+BB185+BB186+BB195)</f>
        <v>#DIV/0!</v>
      </c>
      <c r="BC203" s="274" t="e">
        <f>(BC150+BC151+BC155+BC159+BC160+BC161+BC167+BC172+BC182+BC185+BC186+BC195)</f>
        <v>#DIV/0!</v>
      </c>
      <c r="BD203" s="274" t="e">
        <f>(BD150+BD151+BD155+BD159+BD160+BD161+BD167+BD172+BD182+BD185+BD186+BD195)</f>
        <v>#DIV/0!</v>
      </c>
      <c r="BE203" s="274" t="e">
        <f>(BE150+BE151+BE155+BE159+BE160+BE161+BE167+BE172+BE182+BE185+BE186+BE195)</f>
        <v>#DIV/0!</v>
      </c>
      <c r="BF203" s="274" t="e">
        <f>SUM(BF150,BF151,BF155,BF159,BF160,BF161,BF167,BF182,BF185,BF186,BF195,BF172)</f>
        <v>#DIV/0!</v>
      </c>
      <c r="BG203" s="274" t="e">
        <f>(BG150+BG151+BG155+BG159+BG160+BG161+BG167+BG172+BG182+BG185+BG186+BG195)</f>
        <v>#DIV/0!</v>
      </c>
      <c r="BH203" s="274" t="e">
        <f>(BH150+BH151+BH155+BH159+BH160+BH161+BH167+BH172+BH182+BH185+BH186+BH195)</f>
        <v>#DIV/0!</v>
      </c>
      <c r="BI203" s="274" t="e">
        <f>(BI150+BI151+BI155+BI159+BI160+BI161+BI167+BI172+BI182+BI185+BI186+BI195)</f>
        <v>#DIV/0!</v>
      </c>
      <c r="BJ203" s="274" t="e">
        <f>(BJ150+BJ151+BJ155+BJ159+BJ160+BJ161+BJ167+BJ172+BJ182+BJ185+BJ186+BJ195)</f>
        <v>#DIV/0!</v>
      </c>
      <c r="BK203" s="274" t="e">
        <f>SUM(BK150,BK151,BK155,BK159,BK160,BK161,BK167,BK182,BK185,BK186,BK195,BK172)</f>
        <v>#DIV/0!</v>
      </c>
      <c r="BL203" s="274" t="e">
        <f>(BL150+BL151+BL155+BL159+BL160+BL161+BL167+BL172+BL182+BL185+BL186+BL195)</f>
        <v>#DIV/0!</v>
      </c>
      <c r="BM203" s="274" t="e">
        <f>(BM150+BM151+BM155+BM159+BM160+BM161+BM167+BM172+BM182+BM185+BM186+BM195)</f>
        <v>#DIV/0!</v>
      </c>
      <c r="BN203" s="274" t="e">
        <f>(BN150+BN151+BN155+BN159+BN160+BN161+BN167+BN172+BN182+BN185+BN186+BN195)</f>
        <v>#DIV/0!</v>
      </c>
      <c r="BO203" s="274" t="e">
        <f>(BO150+BO151+BO155+BO159+BO160+BO161+BO167+BO172+BO182+BO185+BO186+BO195)</f>
        <v>#DIV/0!</v>
      </c>
      <c r="BP203" s="274" t="e">
        <f>SUM(BP150,BP151,BP155,BP159,BP160,BP161,BP167,BP182,BP185,BP186,BP195,BP172)</f>
        <v>#DIV/0!</v>
      </c>
      <c r="BQ203" s="274" t="e">
        <f>(BQ150+BQ151+BQ155+BQ159+BQ160+BQ161+BQ167+BQ172+BQ182+BQ185+BQ186+BQ195)</f>
        <v>#DIV/0!</v>
      </c>
      <c r="BR203" s="274" t="e">
        <f>(BR150+BR151+BR155+BR159+BR160+BR161+BR167+BR172+BR182+BR185+BR186+BR195)</f>
        <v>#DIV/0!</v>
      </c>
      <c r="BS203" s="274" t="e">
        <f>(BS150+BS151+BS155+BS159+BS160+BS161+BS167+BS172+BS182+BS185+BS186+BS195)</f>
        <v>#DIV/0!</v>
      </c>
      <c r="BT203" s="274" t="e">
        <f>(BT150+BT151+BT155+BT159+BT160+BT161+BT167+BT172+BT182+BT185+BT186+BT195)</f>
        <v>#DIV/0!</v>
      </c>
      <c r="BU203" s="274" t="e">
        <f>SUM(BU150,BU151,BU155,BU159,BU160,BU161,BU167,BU182,BU185,BU186,BU195,BU172)</f>
        <v>#DIV/0!</v>
      </c>
      <c r="BV203" s="274" t="e">
        <f>(BV150+BV151+BV155+BV159+BV160+BV161+BV167+BV172+BV182+BV185+BV186+BV195)</f>
        <v>#DIV/0!</v>
      </c>
      <c r="BW203" s="274" t="e">
        <f>(BW150+BW151+BW155+BW159+BW160+BW161+BW167+BW172+BW182+BW185+BW186+BW195)</f>
        <v>#DIV/0!</v>
      </c>
      <c r="BX203" s="274" t="e">
        <f>(BX150+BX151+BX155+BX159+BX160+BX161+BX167+BX172+BX182+BX185+BX186+BX195)</f>
        <v>#DIV/0!</v>
      </c>
      <c r="BY203" s="274" t="e">
        <f>(BY150+BY151+BY155+BY159+BY160+BY161+BY167+BY172+BY182+BY185+BY186+BY195)</f>
        <v>#DIV/0!</v>
      </c>
      <c r="BZ203" s="274" t="e">
        <f>SUM(BZ150,BZ151,BZ155,BZ159,BZ160,BZ161,BZ167,BZ182,BZ185,BZ186,BZ195,BZ172)</f>
        <v>#DIV/0!</v>
      </c>
      <c r="CA203" s="274" t="e">
        <f>(CA150+CA151+CA155+CA159+CA160+CA161+CA167+CA172+CA182+CA185+CA186+CA195)</f>
        <v>#DIV/0!</v>
      </c>
      <c r="CB203" s="274" t="e">
        <f>(CB150+CB151+CB155+CB159+CB160+CB161+CB167+CB172+CB182+CB185+CB186+CB195)</f>
        <v>#DIV/0!</v>
      </c>
      <c r="CC203" s="274" t="e">
        <f>(CC150+CC151+CC155+CC159+CC160+CC161+CC167+CC172+CC182+CC185+CC186+CC195)</f>
        <v>#DIV/0!</v>
      </c>
      <c r="CD203" s="274" t="e">
        <f>(CD150+CD151+CD155+CD159+CD160+CD161+CD167+CD172+CD182+CD185+CD186+CD195)</f>
        <v>#DIV/0!</v>
      </c>
      <c r="CE203" s="274" t="e">
        <f>SUM(CE150,CE151,CE155,CE159,CE160,CE161,CE167,CE182,CE185,CE186,CE195,CE172)</f>
        <v>#DIV/0!</v>
      </c>
      <c r="CF203" s="274" t="e">
        <f>(CF150+CF151+CF155+CF159+CF160+CF161+CF167+CF172+CF182+CF185+CF186+CF195)</f>
        <v>#DIV/0!</v>
      </c>
      <c r="CG203" s="274" t="e">
        <f>(CG150+CG151+CG155+CG159+CG160+CG161+CG167+CG172+CG182+CG185+CG186+CG195)</f>
        <v>#DIV/0!</v>
      </c>
      <c r="CH203" s="274" t="e">
        <f>(CH150+CH151+CH155+CH159+CH160+CH161+CH167+CH172+CH182+CH185+CH186+CH195)</f>
        <v>#DIV/0!</v>
      </c>
      <c r="CI203" s="274" t="e">
        <f>(CI150+CI151+CI155+CI159+CI160+CI161+CI167+CI172+CI182+CI185+CI186+CI195)</f>
        <v>#DIV/0!</v>
      </c>
      <c r="CJ203" s="274" t="e">
        <f>SUM(CJ150,CJ151,CJ155,CJ159,CJ160,CJ161,CJ167,CJ182,CJ185,CJ186,CJ195,CJ172)</f>
        <v>#DIV/0!</v>
      </c>
      <c r="CK203" s="274" t="e">
        <f>(CK150+CK151+CK155+CK159+CK160+CK161+CK167+CK172+CK182+CK185+CK186+CK195)</f>
        <v>#DIV/0!</v>
      </c>
      <c r="CL203" s="274" t="e">
        <f>(CL150+CL151+CL155+CL159+CL160+CL161+CL167+CL172+CL182+CL185+CL186+CL195)</f>
        <v>#DIV/0!</v>
      </c>
      <c r="CM203" s="274" t="e">
        <f>(CM150+CM151+CM155+CM159+CM160+CM161+CM167+CM172+CM182+CM185+CM186+CM195)</f>
        <v>#DIV/0!</v>
      </c>
      <c r="CN203" s="274" t="e">
        <f>(CN150+CN151+CN155+CN159+CN160+CN161+CN167+CN172+CN182+CN185+CN186+CN195)</f>
        <v>#DIV/0!</v>
      </c>
      <c r="CO203" s="274" t="e">
        <f>SUM(CO150,CO151,CO155,CO159,CO160,CO161,CO167,CO182,CO185,CO186,CO195,CO172)</f>
        <v>#DIV/0!</v>
      </c>
      <c r="CP203" s="274" t="e">
        <f>(CP150+CP151+CP155+CP159+CP160+CP161+CP167+CP172+CP182+CP185+CP186+CP195)</f>
        <v>#DIV/0!</v>
      </c>
      <c r="CQ203" s="274" t="e">
        <f>(CQ150+CQ151+CQ155+CQ159+CQ160+CQ161+CQ167+CQ172+CQ182+CQ185+CQ186+CQ195)</f>
        <v>#DIV/0!</v>
      </c>
      <c r="CR203" s="274" t="e">
        <f>(CR150+CR151+CR155+CR159+CR160+CR161+CR167+CR172+CR182+CR185+CR186+CR195)</f>
        <v>#DIV/0!</v>
      </c>
      <c r="CS203" s="274" t="e">
        <f>(CS150+CS151+CS155+CS159+CS160+CS161+CS167+CS172+CS182+CS185+CS186+CS195)</f>
        <v>#DIV/0!</v>
      </c>
      <c r="CT203" s="274" t="e">
        <f>SUM(CT150,CT151,CT155,CT159,CT160,CT161,CT167,CT182,CT185,CT186,CT195,CT172)</f>
        <v>#DIV/0!</v>
      </c>
      <c r="CU203" s="274" t="e">
        <f>(CU150+CU151+CU155+CU159+CU160+CU161+CU167+CU172+CU182+CU185+CU186+CU195)</f>
        <v>#DIV/0!</v>
      </c>
      <c r="CV203" s="274" t="e">
        <f>(CV150+CV151+CV155+CV159+CV160+CV161+CV167+CV172+CV182+CV185+CV186+CV195)</f>
        <v>#DIV/0!</v>
      </c>
      <c r="CW203" s="274" t="e">
        <f>(CW150+CW151+CW155+CW159+CW160+CW161+CW167+CW172+CW182+CW185+CW186+CW195)</f>
        <v>#DIV/0!</v>
      </c>
      <c r="CX203" s="274" t="e">
        <f>(CX150+CX151+CX155+CX159+CX160+CX161+CX167+CX172+CX182+CX185+CX186+CX195)</f>
        <v>#DIV/0!</v>
      </c>
      <c r="CY203" s="274" t="e">
        <f>SUM(CY150,CY151,CY155,CY159,CY160,CY161,CY167,CY182,CY185,CY186,CY195,CY172)</f>
        <v>#DIV/0!</v>
      </c>
    </row>
    <row r="204" ht="12.75" customHeight="1" s="254">
      <c r="C204" s="268" t="inlineStr">
        <is>
          <t>Accounts payable</t>
        </is>
      </c>
      <c r="D204" s="299" t="n"/>
      <c r="E204" s="299" t="n"/>
      <c r="F204" s="299" t="n"/>
      <c r="G204" s="299" t="n"/>
      <c r="H204" s="266">
        <f>G204</f>
        <v>0</v>
      </c>
      <c r="I204" s="299">
        <f>INDEX('Inputs (2)'!$D$28:$AL$28,MATCH(I$7,'Inputs (2)'!$D$2:$AL$2,0))</f>
        <v>49456</v>
      </c>
      <c r="J204" s="299">
        <f>INDEX('Inputs (2)'!$D$28:$AL$28,MATCH(J$7,'Inputs (2)'!$D$2:$AL$2,0))</f>
        <v>54948</v>
      </c>
      <c r="K204" s="299">
        <f>INDEX('Inputs (2)'!$D$28:$AL$28,MATCH(K$7,'Inputs (2)'!$D$2:$AL$2,0))</f>
        <v>59722</v>
      </c>
      <c r="L204" s="299">
        <f>INDEX('Inputs (2)'!$D$28:$AL$28,MATCH(L$7,'Inputs (2)'!$D$2:$AL$2,0))</f>
        <v>63173</v>
      </c>
      <c r="M204" s="266">
        <f>L204</f>
        <v>63173</v>
      </c>
      <c r="N204" s="299">
        <f>INDEX('Inputs (2)'!$D$28:$AL$28,MATCH(N$7,'Inputs (2)'!$D$2:$AL$2,0))</f>
        <v>71741</v>
      </c>
      <c r="O204" s="299">
        <f>INDEX('Inputs (2)'!$D$28:$AL$28,MATCH(O$7,'Inputs (2)'!$D$2:$AL$2,0))</f>
        <v>75445</v>
      </c>
      <c r="P204" s="299">
        <f>INDEX('Inputs (2)'!$D$28:$AL$28,MATCH(P$7,'Inputs (2)'!$D$2:$AL$2,0))</f>
        <v>70341</v>
      </c>
      <c r="Q204" s="299">
        <f>INDEX('Inputs (2)'!$D$28:$AL$28,MATCH(Q$7,'Inputs (2)'!$D$2:$AL$2,0))</f>
        <v>79357</v>
      </c>
      <c r="R204" s="266">
        <f>Q204</f>
        <v>79357</v>
      </c>
      <c r="S204" s="299">
        <f>INDEX('Inputs (2)'!$D$28:$AL$28,MATCH(S$7,'Inputs (2)'!$D$2:$AL$2,0))</f>
        <v>68857</v>
      </c>
      <c r="T204" s="299">
        <f>INDEX('Inputs (2)'!$D$28:$AL$28,MATCH(T$7,'Inputs (2)'!$D$2:$AL$2,0))</f>
        <v>63996</v>
      </c>
      <c r="U204" s="299">
        <f>INDEX('Inputs (2)'!$D$28:$AL$28,MATCH(U$7,'Inputs (2)'!$D$2:$AL$2,0))</f>
        <v>67188</v>
      </c>
      <c r="V204" s="299">
        <f>INDEX('Inputs (2)'!$D$28:$AL$28,MATCH(V$7,'Inputs (2)'!$D$2:$AL$2,0))</f>
        <v>68237</v>
      </c>
      <c r="W204" s="266">
        <f>V204</f>
        <v>68237</v>
      </c>
      <c r="X204" s="299">
        <f>INDEX('Inputs (2)'!$D$28:$AL$28,MATCH(X$7,'Inputs (2)'!$D$2:$AL$2,0))</f>
        <v>65997</v>
      </c>
      <c r="Y204" s="299">
        <f>INDEX('Inputs (2)'!$D$28:$AL$28,MATCH(Y$7,'Inputs (2)'!$D$2:$AL$2,0))</f>
        <v>63943</v>
      </c>
      <c r="Z204" s="299">
        <f>INDEX('Inputs (2)'!$D$28:$AL$28,MATCH(Z$7,'Inputs (2)'!$D$2:$AL$2,0))</f>
        <v>61076</v>
      </c>
      <c r="AA204" s="299">
        <f>INDEX('Inputs (2)'!$D$28:$AL$28,MATCH(AA$7,'Inputs (2)'!$D$2:$AL$2,0))</f>
        <v>60693</v>
      </c>
      <c r="AB204" s="266">
        <f>AA204</f>
        <v>60693</v>
      </c>
      <c r="AC204" s="299">
        <f>INDEX('Inputs (2)'!$D$28:$AL$28,MATCH(AC$7,'Inputs (2)'!$D$2:$AL$2,0))</f>
        <v>60870</v>
      </c>
      <c r="AD204" s="299">
        <f>INDEX('Inputs (2)'!$D$28:$AL$28,MATCH(AD$7,'Inputs (2)'!$D$2:$AL$2,0))</f>
        <v>58379</v>
      </c>
      <c r="AE204" s="299">
        <f>INDEX('Inputs (2)'!$D$28:$AL$28,MATCH(AE$7,'Inputs (2)'!$D$2:$AL$2,0))</f>
        <v>56816</v>
      </c>
      <c r="AF204" s="299">
        <f>INDEX('Inputs (2)'!$D$28:$AL$28,MATCH(AF$7,'Inputs (2)'!$D$2:$AL$2,0))</f>
        <v>57770</v>
      </c>
      <c r="AG204" s="266">
        <f>AF204</f>
        <v>57770</v>
      </c>
      <c r="AH204" s="266">
        <f>INDEX('Inputs (2)'!$D$28:$AL$28,MATCH(AH$7,'Inputs (2)'!$D$2:$AL$2,0))</f>
        <v>64288</v>
      </c>
      <c r="AI204" s="266">
        <f>INDEX('Inputs (2)'!$D$28:$AL$28,MATCH(AI$7,'Inputs (2)'!$D$2:$AL$2,0))</f>
        <v>60742</v>
      </c>
      <c r="AJ204" s="266">
        <f>(AJ205/(AJ$5-AI$5))*-AJ60</f>
        <v>0</v>
      </c>
      <c r="AK204" s="266">
        <f>(AK205/(AK$5-AJ$5))*-AK60</f>
        <v>0</v>
      </c>
      <c r="AL204" s="266">
        <f>AK204</f>
        <v>0</v>
      </c>
      <c r="AM204" s="266">
        <f>(AM205/(AM$5-AL$5))*-AM60</f>
        <v>0</v>
      </c>
      <c r="AN204" s="266">
        <f>(AN205/(AN$5-AM$5))*-AN60</f>
        <v>0</v>
      </c>
      <c r="AO204" s="266">
        <f>(AO205/(AO$5-AN$5))*-AO60</f>
        <v>0</v>
      </c>
      <c r="AP204" s="266">
        <f>(AP205/(AP$5-AO$5))*-AP60</f>
        <v>0</v>
      </c>
      <c r="AQ204" s="266">
        <f>AP204</f>
        <v>0</v>
      </c>
      <c r="AR204" s="266">
        <f>(AR205/(AR$5-AQ$5))*-AR60</f>
        <v>0</v>
      </c>
      <c r="AS204" s="266">
        <f>(AS205/(AS$5-AR$5))*-AS60</f>
        <v>0</v>
      </c>
      <c r="AT204" s="266">
        <f>(AT205/(AT$5-AS$5))*-AT60</f>
        <v>0</v>
      </c>
      <c r="AU204" s="266">
        <f>(AU205/(AU$5-AT$5))*-AU60</f>
        <v>0</v>
      </c>
      <c r="AV204" s="266">
        <f>AU204</f>
        <v>0</v>
      </c>
      <c r="AW204" s="266">
        <f>(AW205/(AW$5-AV$5))*-AW60</f>
        <v>0</v>
      </c>
      <c r="AX204" s="266">
        <f>(AX205/(AX$5-AW$5))*-AX60</f>
        <v>0</v>
      </c>
      <c r="AY204" s="266">
        <f>(AY205/(AY$5-AX$5))*-AY60</f>
        <v>0</v>
      </c>
      <c r="AZ204" s="266">
        <f>(AZ205/(AZ$5-AY$5))*-AZ60</f>
        <v>0</v>
      </c>
      <c r="BA204" s="266">
        <f>AZ204</f>
        <v>0</v>
      </c>
      <c r="BB204" s="266">
        <f>(BB205/(BB$5-BA$5))*-BB60</f>
        <v>0</v>
      </c>
      <c r="BC204" s="266">
        <f>(BC205/(BC$5-BB$5))*-BC60</f>
        <v>0</v>
      </c>
      <c r="BD204" s="266">
        <f>(BD205/(BD$5-BC$5))*-BD60</f>
        <v>0</v>
      </c>
      <c r="BE204" s="266">
        <f>(BE205/(BE$5-BD$5))*-BE60</f>
        <v>0</v>
      </c>
      <c r="BF204" s="266">
        <f>BE204</f>
        <v>0</v>
      </c>
      <c r="BG204" s="266">
        <f>(BG205/(BG$5-BF$5))*-BG60</f>
        <v>0</v>
      </c>
      <c r="BH204" s="266">
        <f>(BH205/(BH$5-BG$5))*-BH60</f>
        <v>0</v>
      </c>
      <c r="BI204" s="266">
        <f>(BI205/(BI$5-BH$5))*-BI60</f>
        <v>0</v>
      </c>
      <c r="BJ204" s="266">
        <f>(BJ205/(BJ$5-BI$5))*-BJ60</f>
        <v>0</v>
      </c>
      <c r="BK204" s="266">
        <f>BJ204</f>
        <v>0</v>
      </c>
      <c r="BL204" s="266">
        <f>(BL205/(BL$5-BK$5))*-BL60</f>
        <v>0</v>
      </c>
      <c r="BM204" s="266">
        <f>(BM205/(BM$5-BL$5))*-BM60</f>
        <v>0</v>
      </c>
      <c r="BN204" s="266">
        <f>(BN205/(BN$5-BM$5))*-BN60</f>
        <v>0</v>
      </c>
      <c r="BO204" s="266">
        <f>(BO205/(BO$5-BN$5))*-BO60</f>
        <v>0</v>
      </c>
      <c r="BP204" s="266">
        <f>BO204</f>
        <v>0</v>
      </c>
      <c r="BQ204" s="266">
        <f>(BQ205/(BQ$5-BP$5))*-BQ60</f>
        <v>0</v>
      </c>
      <c r="BR204" s="266">
        <f>(BR205/(BR$5-BQ$5))*-BR60</f>
        <v>0</v>
      </c>
      <c r="BS204" s="266">
        <f>(BS205/(BS$5-BR$5))*-BS60</f>
        <v>0</v>
      </c>
      <c r="BT204" s="266">
        <f>(BT205/(BT$5-BS$5))*-BT60</f>
        <v>0</v>
      </c>
      <c r="BU204" s="266">
        <f>BT204</f>
        <v>0</v>
      </c>
      <c r="BV204" s="266">
        <f>(BV205/(BV$5-BU$5))*-BV60</f>
        <v>0</v>
      </c>
      <c r="BW204" s="266">
        <f>(BW205/(BW$5-BV$5))*-BW60</f>
        <v>0</v>
      </c>
      <c r="BX204" s="266">
        <f>(BX205/(BX$5-BW$5))*-BX60</f>
        <v>0</v>
      </c>
      <c r="BY204" s="266">
        <f>(BY205/(BY$5-BX$5))*-BY60</f>
        <v>0</v>
      </c>
      <c r="BZ204" s="266">
        <f>BY204</f>
        <v>0</v>
      </c>
      <c r="CA204" s="266">
        <f>(CA205/(CA$5-BZ$5))*-CA60</f>
        <v>0</v>
      </c>
      <c r="CB204" s="266">
        <f>(CB205/(CB$5-CA$5))*-CB60</f>
        <v>0</v>
      </c>
      <c r="CC204" s="266">
        <f>(CC205/(CC$5-CB$5))*-CC60</f>
        <v>0</v>
      </c>
      <c r="CD204" s="266">
        <f>(CD205/(CD$5-CC$5))*-CD60</f>
        <v>0</v>
      </c>
      <c r="CE204" s="266">
        <f>CD204</f>
        <v>0</v>
      </c>
      <c r="CF204" s="266">
        <f>(CF205/(CF$5-CE$5))*-CF60</f>
        <v>0</v>
      </c>
      <c r="CG204" s="266">
        <f>(CG205/(CG$5-CF$5))*-CG60</f>
        <v>0</v>
      </c>
      <c r="CH204" s="266">
        <f>(CH205/(CH$5-CG$5))*-CH60</f>
        <v>0</v>
      </c>
      <c r="CI204" s="266">
        <f>(CI205/(CI$5-CH$5))*-CI60</f>
        <v>0</v>
      </c>
      <c r="CJ204" s="266">
        <f>CI204</f>
        <v>0</v>
      </c>
      <c r="CK204" s="266">
        <f>(CK205/(CK$5-CJ$5))*-CK60</f>
        <v>0</v>
      </c>
      <c r="CL204" s="266">
        <f>(CL205/(CL$5-CK$5))*-CL60</f>
        <v>0</v>
      </c>
      <c r="CM204" s="266">
        <f>(CM205/(CM$5-CL$5))*-CM60</f>
        <v>0</v>
      </c>
      <c r="CN204" s="266">
        <f>(CN205/(CN$5-CM$5))*-CN60</f>
        <v>0</v>
      </c>
      <c r="CO204" s="266">
        <f>CN204</f>
        <v>0</v>
      </c>
      <c r="CP204" s="266">
        <f>(CP205/(CP$5-CO$5))*-CP60</f>
        <v>0</v>
      </c>
      <c r="CQ204" s="266">
        <f>(CQ205/(CQ$5-CP$5))*-CQ60</f>
        <v>0</v>
      </c>
      <c r="CR204" s="266">
        <f>(CR205/(CR$5-CQ$5))*-CR60</f>
        <v>0</v>
      </c>
      <c r="CS204" s="266">
        <f>(CS205/(CS$5-CR$5))*-CS60</f>
        <v>0</v>
      </c>
      <c r="CT204" s="266">
        <f>CS204</f>
        <v>0</v>
      </c>
      <c r="CU204" s="266">
        <f>(CU205/(CU$5-CT$5))*-CU60</f>
        <v>0</v>
      </c>
      <c r="CV204" s="266">
        <f>(CV205/(CV$5-CU$5))*-CV60</f>
        <v>0</v>
      </c>
      <c r="CW204" s="266">
        <f>(CW205/(CW$5-CV$5))*-CW60</f>
        <v>0</v>
      </c>
      <c r="CX204" s="266">
        <f>(CX205/(CX$5-CW$5))*-CX60</f>
        <v>0</v>
      </c>
      <c r="CY204" s="266">
        <f>CX204</f>
        <v>0</v>
      </c>
    </row>
    <row r="205" hidden="1" outlineLevel="1" ht="12.75" customHeight="1" s="254">
      <c r="C205" s="310" t="inlineStr">
        <is>
          <t>DPO</t>
        </is>
      </c>
      <c r="D205" s="266" t="n"/>
      <c r="E205" s="266" t="str">
        <f>IFERROR(-(E204/E$60)*(E$5-D$5),"")</f>
        <v/>
      </c>
      <c r="F205" s="266" t="str">
        <f>IFERROR(-(F204/F$60)*(F$5-E$5),"")</f>
        <v/>
      </c>
      <c r="G205" s="266" t="str">
        <f>IFERROR(-(G204/G$60)*(G$5-F$5),"")</f>
        <v/>
      </c>
      <c r="H205" s="266" t="n"/>
      <c r="I205" s="266">
        <f>IFERROR(-(I204/I$60)*(I$5-H$5),"")</f>
        <v>129.50740492886</v>
      </c>
      <c r="J205" s="266">
        <f>IFERROR(-(J204/J$60)*(J$5-I$5),"")</f>
        <v>125.897424276758</v>
      </c>
      <c r="K205" s="266">
        <f>IFERROR(-(K204/K$60)*(K$5-J$5),"")</f>
        <v>124.139719837325</v>
      </c>
      <c r="L205" s="266">
        <f>IFERROR(-(L204/L$60)*(L$5-K$5),"")</f>
        <v>102.745748329385</v>
      </c>
      <c r="M205" s="266" t="n"/>
      <c r="N205" s="266">
        <f>IFERROR(-(N204/N$60)*(N$5-M$5),"")</f>
        <v>116.008588317732</v>
      </c>
      <c r="O205" s="266">
        <f>IFERROR(-(O204/O$60)*(O$5-N$5),"")</f>
        <v>102.995814455879</v>
      </c>
      <c r="P205" s="266">
        <f>IFERROR(-(P204/P$60)*(P$5-O$5),"")</f>
        <v>91.5535623337672</v>
      </c>
      <c r="Q205" s="266">
        <f>IFERROR(-(Q204/Q$60)*(Q$5-P$5),"")</f>
        <v>111.481989341722</v>
      </c>
      <c r="R205" s="266" t="n"/>
      <c r="S205" s="266">
        <f>IFERROR(-(S204/S$60)*(S$5-R$5),"")</f>
        <v>107.772425306946</v>
      </c>
      <c r="T205" s="266">
        <f>IFERROR(-(T204/T$60)*(T$5-S$5),"")</f>
        <v>113.097879282219</v>
      </c>
      <c r="U205" s="266">
        <f>IFERROR(-(U204/U$60)*(U$5-T$5),"")</f>
        <v>125.77926094742</v>
      </c>
      <c r="V205" s="266">
        <f>IFERROR(-(V204/V$60)*(V$5-U$5),"")</f>
        <v>114.673559229153</v>
      </c>
      <c r="W205" s="266" t="n"/>
      <c r="X205" s="266">
        <f>IFERROR(-(X204/X$60)*(X$5-W$5),"")</f>
        <v>128.14404591717</v>
      </c>
      <c r="Y205" s="266">
        <f>IFERROR(-(Y204/Y$60)*(Y$5-X$5),"")</f>
        <v>117.749215856891</v>
      </c>
      <c r="Z205" s="266">
        <f>IFERROR(-(Z204/Z$60)*(Z$5-Y$5),"")</f>
        <v>116.516163815448</v>
      </c>
      <c r="AA205" s="266">
        <f>IFERROR(-(AA204/AA$60)*(AA$5-Z$5),"")</f>
        <v>128.038431552396</v>
      </c>
      <c r="AB205" s="266" t="n"/>
      <c r="AC205" s="266">
        <f>IFERROR(-(AC204/AC$60)*(AC$5-AB$5),"")</f>
        <v>119.485703068769</v>
      </c>
      <c r="AD205" s="266">
        <f>IFERROR(-(AD204/AD$60)*(AD$5-AC$5),"")</f>
        <v>120.467334860201</v>
      </c>
      <c r="AE205" s="266">
        <f>IFERROR(-(AE204/AE$60)*(AE$5-AD$5),"")</f>
        <v>115.784073540813</v>
      </c>
      <c r="AF205" s="265">
        <f>IFERROR(-(AF204/AF$60)*(AF$5-AE$5),"")</f>
        <v>126.237233385587</v>
      </c>
      <c r="AG205" s="266" t="n"/>
      <c r="AH205" s="265">
        <f>IFERROR(-(AH204/AH$60)*(AH$5-AG$5),"")</f>
        <v>129.222110552764</v>
      </c>
      <c r="AI205" s="265">
        <f>IFERROR(-(AI204/AI$60)*(AI$5-AH$5),"")</f>
        <v>85.6581744924841</v>
      </c>
      <c r="AJ205" s="265" t="n"/>
      <c r="AK205" s="265" t="n"/>
      <c r="AL205" s="266" t="n"/>
      <c r="AM205" s="265" t="n"/>
      <c r="AN205" s="265" t="n"/>
      <c r="AO205" s="265" t="n"/>
      <c r="AP205" s="265" t="n"/>
      <c r="AQ205" s="266" t="n"/>
      <c r="AR205" s="265" t="n"/>
      <c r="AS205" s="265" t="n"/>
      <c r="AT205" s="265" t="n"/>
      <c r="AU205" s="265" t="n"/>
      <c r="AV205" s="266" t="n"/>
      <c r="AW205" s="265" t="n"/>
      <c r="AX205" s="265" t="n"/>
      <c r="AY205" s="265" t="n"/>
      <c r="AZ205" s="265" t="n"/>
      <c r="BA205" s="266" t="n"/>
      <c r="BB205" s="265" t="n"/>
      <c r="BC205" s="265" t="n"/>
      <c r="BD205" s="265" t="n"/>
      <c r="BE205" s="265" t="n"/>
      <c r="BF205" s="266" t="n"/>
      <c r="BG205" s="265" t="n"/>
      <c r="BH205" s="265" t="n"/>
      <c r="BI205" s="265" t="n"/>
      <c r="BJ205" s="265" t="n"/>
      <c r="BK205" s="266" t="n"/>
      <c r="BL205" s="265" t="n"/>
      <c r="BM205" s="265" t="n"/>
      <c r="BN205" s="265" t="n"/>
      <c r="BO205" s="265" t="n"/>
      <c r="BP205" s="266" t="n"/>
      <c r="BQ205" s="265" t="n"/>
      <c r="BR205" s="265" t="n"/>
      <c r="BS205" s="265" t="n"/>
      <c r="BT205" s="265" t="n"/>
      <c r="BU205" s="266" t="n"/>
      <c r="BV205" s="265" t="n"/>
      <c r="BW205" s="265" t="n"/>
      <c r="BX205" s="265" t="n"/>
      <c r="BY205" s="265" t="n"/>
      <c r="BZ205" s="266" t="n"/>
      <c r="CA205" s="265" t="n"/>
      <c r="CB205" s="265" t="n"/>
      <c r="CC205" s="265" t="n"/>
      <c r="CD205" s="265" t="n"/>
      <c r="CE205" s="266" t="n"/>
      <c r="CF205" s="265" t="n"/>
      <c r="CG205" s="265" t="n"/>
      <c r="CH205" s="265" t="n"/>
      <c r="CI205" s="265" t="n"/>
      <c r="CJ205" s="266" t="n"/>
      <c r="CK205" s="265" t="n"/>
      <c r="CL205" s="265" t="n"/>
      <c r="CM205" s="265" t="n"/>
      <c r="CN205" s="265" t="n"/>
      <c r="CO205" s="266" t="n"/>
      <c r="CP205" s="265" t="n"/>
      <c r="CQ205" s="265" t="n"/>
      <c r="CR205" s="265" t="n"/>
      <c r="CS205" s="265" t="n"/>
      <c r="CT205" s="266" t="n"/>
      <c r="CU205" s="265" t="n"/>
      <c r="CV205" s="265" t="n"/>
      <c r="CW205" s="265" t="n"/>
      <c r="CX205" s="265" t="n"/>
      <c r="CY205" s="266" t="n"/>
    </row>
    <row r="206" hidden="1" outlineLevel="1" ht="12.75" customHeight="1" s="254">
      <c r="C206" s="310" t="n"/>
      <c r="D206" s="266" t="n"/>
      <c r="E206" s="266" t="n"/>
      <c r="F206" s="266" t="n"/>
      <c r="G206" s="266" t="n"/>
      <c r="H206" s="266" t="n"/>
      <c r="I206" s="266" t="n"/>
      <c r="J206" s="266" t="n"/>
      <c r="K206" s="266" t="n"/>
      <c r="L206" s="266" t="n"/>
      <c r="M206" s="266" t="n"/>
      <c r="N206" s="266" t="n"/>
      <c r="O206" s="266" t="n"/>
      <c r="P206" s="266" t="n"/>
      <c r="Q206" s="266" t="n"/>
      <c r="R206" s="266" t="n"/>
      <c r="S206" s="266" t="n"/>
      <c r="T206" s="266" t="n"/>
      <c r="U206" s="266" t="n"/>
      <c r="V206" s="266" t="n"/>
      <c r="W206" s="266" t="n"/>
      <c r="X206" s="266" t="n"/>
      <c r="Y206" s="266" t="n"/>
      <c r="Z206" s="266" t="n"/>
      <c r="AA206" s="266" t="n"/>
      <c r="AB206" s="266" t="n"/>
      <c r="AC206" s="266" t="n"/>
      <c r="AD206" s="266" t="n"/>
      <c r="AE206" s="266" t="n"/>
      <c r="AF206" s="266" t="n"/>
      <c r="AG206" s="266" t="n"/>
      <c r="AH206" s="266" t="n"/>
      <c r="AI206" s="266" t="n"/>
      <c r="AJ206" s="266" t="n"/>
      <c r="AK206" s="266" t="n"/>
      <c r="AL206" s="266" t="n"/>
      <c r="AM206" s="266" t="n"/>
      <c r="AN206" s="266" t="n"/>
      <c r="AO206" s="266" t="n"/>
      <c r="AP206" s="266" t="n"/>
      <c r="AQ206" s="266" t="n"/>
      <c r="AR206" s="266" t="n"/>
      <c r="AS206" s="266" t="n"/>
      <c r="AT206" s="266" t="n"/>
      <c r="AU206" s="266" t="n"/>
      <c r="AV206" s="266" t="n"/>
      <c r="AW206" s="266" t="n"/>
      <c r="AX206" s="266" t="n"/>
      <c r="AY206" s="266" t="n"/>
      <c r="AZ206" s="266" t="n"/>
      <c r="BA206" s="266" t="n"/>
      <c r="BB206" s="266" t="n"/>
      <c r="BC206" s="266" t="n"/>
      <c r="BD206" s="266" t="n"/>
      <c r="BE206" s="266" t="n"/>
      <c r="BF206" s="266" t="n"/>
      <c r="BG206" s="266" t="n"/>
      <c r="BH206" s="266" t="n"/>
      <c r="BI206" s="266" t="n"/>
      <c r="BJ206" s="266" t="n"/>
      <c r="BK206" s="266" t="n"/>
      <c r="BL206" s="266" t="n"/>
      <c r="BM206" s="266" t="n"/>
      <c r="BN206" s="266" t="n"/>
      <c r="BO206" s="266" t="n"/>
      <c r="BP206" s="266" t="n"/>
      <c r="BQ206" s="266" t="n"/>
      <c r="BR206" s="266" t="n"/>
      <c r="BS206" s="266" t="n"/>
      <c r="BT206" s="266" t="n"/>
      <c r="BU206" s="266" t="n"/>
      <c r="BV206" s="266" t="n"/>
      <c r="BW206" s="266" t="n"/>
      <c r="BX206" s="266" t="n"/>
      <c r="BY206" s="266" t="n"/>
      <c r="BZ206" s="266" t="n"/>
      <c r="CA206" s="266" t="n"/>
      <c r="CB206" s="266" t="n"/>
      <c r="CC206" s="266" t="n"/>
      <c r="CD206" s="266" t="n"/>
      <c r="CE206" s="266" t="n"/>
      <c r="CF206" s="266" t="n"/>
      <c r="CG206" s="266" t="n"/>
      <c r="CH206" s="266" t="n"/>
      <c r="CI206" s="266" t="n"/>
      <c r="CJ206" s="266" t="n"/>
      <c r="CK206" s="266" t="n"/>
      <c r="CL206" s="266" t="n"/>
      <c r="CM206" s="266" t="n"/>
      <c r="CN206" s="266" t="n"/>
      <c r="CO206" s="266" t="n"/>
      <c r="CP206" s="266" t="n"/>
      <c r="CQ206" s="266" t="n"/>
      <c r="CR206" s="266" t="n"/>
      <c r="CS206" s="266" t="n"/>
      <c r="CT206" s="266" t="n"/>
      <c r="CU206" s="266" t="n"/>
      <c r="CV206" s="266" t="n"/>
      <c r="CW206" s="266" t="n"/>
      <c r="CX206" s="266" t="n"/>
      <c r="CY206" s="266" t="n"/>
    </row>
    <row r="207" hidden="1" outlineLevel="1" ht="12.75" customHeight="1" s="254">
      <c r="C207" s="310" t="n"/>
      <c r="D207" s="266" t="n"/>
      <c r="E207" s="266" t="n"/>
      <c r="F207" s="266" t="n"/>
      <c r="G207" s="266" t="n"/>
      <c r="H207" s="266" t="n"/>
      <c r="I207" s="266" t="n"/>
      <c r="J207" s="266" t="n"/>
      <c r="K207" s="266" t="n"/>
      <c r="L207" s="266" t="n"/>
      <c r="M207" s="266" t="n"/>
      <c r="N207" s="266" t="n"/>
      <c r="O207" s="266" t="n"/>
      <c r="P207" s="266" t="n"/>
      <c r="Q207" s="266" t="n"/>
      <c r="R207" s="266" t="n"/>
      <c r="S207" s="266" t="n"/>
      <c r="T207" s="266" t="n"/>
      <c r="U207" s="266" t="n"/>
      <c r="V207" s="266" t="n"/>
      <c r="W207" s="266" t="n"/>
      <c r="X207" s="266" t="n"/>
      <c r="Y207" s="266" t="n"/>
      <c r="Z207" s="266" t="n"/>
      <c r="AA207" s="266" t="n"/>
      <c r="AB207" s="266" t="n"/>
      <c r="AC207" s="266" t="n"/>
      <c r="AD207" s="266" t="n"/>
      <c r="AE207" s="266" t="n"/>
      <c r="AF207" s="266" t="n"/>
      <c r="AG207" s="266" t="n"/>
      <c r="AH207" s="266" t="n"/>
      <c r="AI207" s="266" t="n"/>
      <c r="AJ207" s="266" t="n"/>
      <c r="AK207" s="266" t="n"/>
      <c r="AL207" s="266" t="n"/>
      <c r="AM207" s="266" t="n"/>
      <c r="AN207" s="266" t="n"/>
      <c r="AO207" s="266" t="n"/>
      <c r="AP207" s="266" t="n"/>
      <c r="AQ207" s="266" t="n"/>
      <c r="AR207" s="266" t="n"/>
      <c r="AS207" s="266" t="n"/>
      <c r="AT207" s="266" t="n"/>
      <c r="AU207" s="266" t="n"/>
      <c r="AV207" s="266" t="n"/>
      <c r="AW207" s="266" t="n"/>
      <c r="AX207" s="266" t="n"/>
      <c r="AY207" s="266" t="n"/>
      <c r="AZ207" s="266" t="n"/>
      <c r="BA207" s="266" t="n"/>
      <c r="BB207" s="266" t="n"/>
      <c r="BC207" s="266" t="n"/>
      <c r="BD207" s="266" t="n"/>
      <c r="BE207" s="266" t="n"/>
      <c r="BF207" s="266" t="n"/>
      <c r="BG207" s="266" t="n"/>
      <c r="BH207" s="266" t="n"/>
      <c r="BI207" s="266" t="n"/>
      <c r="BJ207" s="266" t="n"/>
      <c r="BK207" s="266" t="n"/>
      <c r="BL207" s="266" t="n"/>
      <c r="BM207" s="266" t="n"/>
      <c r="BN207" s="266" t="n"/>
      <c r="BO207" s="266" t="n"/>
      <c r="BP207" s="266" t="n"/>
      <c r="BQ207" s="266" t="n"/>
      <c r="BR207" s="266" t="n"/>
      <c r="BS207" s="266" t="n"/>
      <c r="BT207" s="266" t="n"/>
      <c r="BU207" s="266" t="n"/>
      <c r="BV207" s="266" t="n"/>
      <c r="BW207" s="266" t="n"/>
      <c r="BX207" s="266" t="n"/>
      <c r="BY207" s="266" t="n"/>
      <c r="BZ207" s="266" t="n"/>
      <c r="CA207" s="266" t="n"/>
      <c r="CB207" s="266" t="n"/>
      <c r="CC207" s="266" t="n"/>
      <c r="CD207" s="266" t="n"/>
      <c r="CE207" s="266" t="n"/>
      <c r="CF207" s="266" t="n"/>
      <c r="CG207" s="266" t="n"/>
      <c r="CH207" s="266" t="n"/>
      <c r="CI207" s="266" t="n"/>
      <c r="CJ207" s="266" t="n"/>
      <c r="CK207" s="266" t="n"/>
      <c r="CL207" s="266" t="n"/>
      <c r="CM207" s="266" t="n"/>
      <c r="CN207" s="266" t="n"/>
      <c r="CO207" s="266" t="n"/>
      <c r="CP207" s="266" t="n"/>
      <c r="CQ207" s="266" t="n"/>
      <c r="CR207" s="266" t="n"/>
      <c r="CS207" s="266" t="n"/>
      <c r="CT207" s="266" t="n"/>
      <c r="CU207" s="266" t="n"/>
      <c r="CV207" s="266" t="n"/>
      <c r="CW207" s="266" t="n"/>
      <c r="CX207" s="266" t="n"/>
      <c r="CY207" s="266" t="n"/>
    </row>
    <row r="208" ht="12.75" customHeight="1" s="254">
      <c r="C208" s="268" t="inlineStr">
        <is>
          <t>Accrued expenses</t>
        </is>
      </c>
      <c r="D208" s="299" t="n"/>
      <c r="E208" s="299" t="n"/>
      <c r="F208" s="299" t="n"/>
      <c r="G208" s="299" t="n"/>
      <c r="H208" s="266">
        <f>G208</f>
        <v>0</v>
      </c>
      <c r="I208" s="299" t="n"/>
      <c r="J208" s="299" t="n"/>
      <c r="K208" s="299" t="n"/>
      <c r="L208" s="299" t="n"/>
      <c r="M208" s="266">
        <f>L208</f>
        <v>0</v>
      </c>
      <c r="N208" s="299" t="n"/>
      <c r="O208" s="299" t="n"/>
      <c r="P208" s="299" t="n"/>
      <c r="Q208" s="299" t="n"/>
      <c r="R208" s="266">
        <f>Q208</f>
        <v>0</v>
      </c>
      <c r="S208" s="299" t="n"/>
      <c r="T208" s="299" t="n"/>
      <c r="U208" s="299" t="n"/>
      <c r="V208" s="299" t="n"/>
      <c r="W208" s="266">
        <f>V208</f>
        <v>0</v>
      </c>
      <c r="X208" s="299" t="n"/>
      <c r="Y208" s="299" t="n"/>
      <c r="Z208" s="299" t="n"/>
      <c r="AA208" s="299" t="n"/>
      <c r="AB208" s="266">
        <f>AA208</f>
        <v>0</v>
      </c>
      <c r="AC208" s="299" t="n"/>
      <c r="AD208" s="299" t="n"/>
      <c r="AE208" s="299" t="n"/>
      <c r="AF208" s="299" t="n"/>
      <c r="AG208" s="266">
        <f>AF208</f>
        <v>0</v>
      </c>
      <c r="AH208" s="266">
        <f>AF208*AH64/AF64</f>
        <v>0</v>
      </c>
      <c r="AI208" s="266">
        <f>AG208*AI64/AG64</f>
        <v>0</v>
      </c>
      <c r="AJ208" s="266">
        <f>AH208*AJ64/AH64</f>
        <v>0</v>
      </c>
      <c r="AK208" s="266">
        <f>AI208*AK64/AI64</f>
        <v>0</v>
      </c>
      <c r="AL208" s="266">
        <f>AK208</f>
        <v>0</v>
      </c>
      <c r="AM208" s="266" t="e">
        <f>AK208*AM64/AK64</f>
        <v>#DIV/0!</v>
      </c>
      <c r="AN208" s="266">
        <f>AL208*AN64/AL64</f>
        <v>0</v>
      </c>
      <c r="AO208" s="266" t="e">
        <f>AM208*AO64/AM64</f>
        <v>#DIV/0!</v>
      </c>
      <c r="AP208" s="266" t="e">
        <f>AN208*AP64/AN64</f>
        <v>#DIV/0!</v>
      </c>
      <c r="AQ208" s="266" t="e">
        <f>AP208</f>
        <v>#DIV/0!</v>
      </c>
      <c r="AR208" s="266" t="e">
        <f>AP208*AR64/AP64</f>
        <v>#DIV/0!</v>
      </c>
      <c r="AS208" s="266" t="e">
        <f>AQ208*AS64/AQ64</f>
        <v>#DIV/0!</v>
      </c>
      <c r="AT208" s="266" t="e">
        <f>AR208*AT64/AR64</f>
        <v>#DIV/0!</v>
      </c>
      <c r="AU208" s="266" t="e">
        <f>AS208*AU64/AS64</f>
        <v>#DIV/0!</v>
      </c>
      <c r="AV208" s="266" t="e">
        <f>AU208</f>
        <v>#DIV/0!</v>
      </c>
      <c r="AW208" s="266" t="e">
        <f>AU208*AW64/AU64</f>
        <v>#DIV/0!</v>
      </c>
      <c r="AX208" s="266" t="e">
        <f>AV208*AX64/AV64</f>
        <v>#DIV/0!</v>
      </c>
      <c r="AY208" s="266" t="e">
        <f>AW208*AY64/AW64</f>
        <v>#DIV/0!</v>
      </c>
      <c r="AZ208" s="266" t="e">
        <f>AX208*AZ64/AX64</f>
        <v>#DIV/0!</v>
      </c>
      <c r="BA208" s="266" t="e">
        <f>AZ208</f>
        <v>#DIV/0!</v>
      </c>
      <c r="BB208" s="266" t="e">
        <f>AZ208*BB64/AZ64</f>
        <v>#DIV/0!</v>
      </c>
      <c r="BC208" s="266" t="e">
        <f>BA208*BC64/BA64</f>
        <v>#DIV/0!</v>
      </c>
      <c r="BD208" s="266" t="e">
        <f>BB208*BD64/BB64</f>
        <v>#DIV/0!</v>
      </c>
      <c r="BE208" s="266" t="e">
        <f>BC208*BE64/BC64</f>
        <v>#DIV/0!</v>
      </c>
      <c r="BF208" s="266" t="e">
        <f>BE208</f>
        <v>#DIV/0!</v>
      </c>
      <c r="BG208" s="266" t="e">
        <f>BE208*BG64/BE64</f>
        <v>#DIV/0!</v>
      </c>
      <c r="BH208" s="266" t="e">
        <f>BF208*BH64/BF64</f>
        <v>#DIV/0!</v>
      </c>
      <c r="BI208" s="266" t="e">
        <f>BG208*BI64/BG64</f>
        <v>#DIV/0!</v>
      </c>
      <c r="BJ208" s="266" t="e">
        <f>BH208*BJ64/BH64</f>
        <v>#DIV/0!</v>
      </c>
      <c r="BK208" s="266" t="e">
        <f>BJ208</f>
        <v>#DIV/0!</v>
      </c>
      <c r="BL208" s="266" t="e">
        <f>BJ208*BL64/BJ64</f>
        <v>#DIV/0!</v>
      </c>
      <c r="BM208" s="266" t="e">
        <f>BK208*BM64/BK64</f>
        <v>#DIV/0!</v>
      </c>
      <c r="BN208" s="266" t="e">
        <f>BL208*BN64/BL64</f>
        <v>#DIV/0!</v>
      </c>
      <c r="BO208" s="266" t="e">
        <f>BM208*BO64/BM64</f>
        <v>#DIV/0!</v>
      </c>
      <c r="BP208" s="266" t="e">
        <f>BO208</f>
        <v>#DIV/0!</v>
      </c>
      <c r="BQ208" s="266" t="e">
        <f>BO208*BQ64/BO64</f>
        <v>#DIV/0!</v>
      </c>
      <c r="BR208" s="266" t="e">
        <f>BP208*BR64/BP64</f>
        <v>#DIV/0!</v>
      </c>
      <c r="BS208" s="266" t="e">
        <f>BQ208*BS64/BQ64</f>
        <v>#DIV/0!</v>
      </c>
      <c r="BT208" s="266" t="e">
        <f>BR208*BT64/BR64</f>
        <v>#DIV/0!</v>
      </c>
      <c r="BU208" s="266" t="e">
        <f>BT208</f>
        <v>#DIV/0!</v>
      </c>
      <c r="BV208" s="266" t="e">
        <f>BT208*BV64/BT64</f>
        <v>#DIV/0!</v>
      </c>
      <c r="BW208" s="266" t="e">
        <f>BU208*BW64/BU64</f>
        <v>#DIV/0!</v>
      </c>
      <c r="BX208" s="266" t="e">
        <f>BV208*BX64/BV64</f>
        <v>#DIV/0!</v>
      </c>
      <c r="BY208" s="266" t="e">
        <f>BW208*BY64/BW64</f>
        <v>#DIV/0!</v>
      </c>
      <c r="BZ208" s="266" t="e">
        <f>BY208</f>
        <v>#DIV/0!</v>
      </c>
      <c r="CA208" s="266" t="e">
        <f>BY208*CA64/BY64</f>
        <v>#DIV/0!</v>
      </c>
      <c r="CB208" s="266" t="e">
        <f>BZ208*CB64/BZ64</f>
        <v>#DIV/0!</v>
      </c>
      <c r="CC208" s="266" t="e">
        <f>CA208*CC64/CA64</f>
        <v>#DIV/0!</v>
      </c>
      <c r="CD208" s="266" t="e">
        <f>CB208*CD64/CB64</f>
        <v>#DIV/0!</v>
      </c>
      <c r="CE208" s="266" t="e">
        <f>CD208</f>
        <v>#DIV/0!</v>
      </c>
      <c r="CF208" s="266" t="e">
        <f>CD208*CF64/CD64</f>
        <v>#DIV/0!</v>
      </c>
      <c r="CG208" s="266" t="e">
        <f>CE208*CG64/CE64</f>
        <v>#DIV/0!</v>
      </c>
      <c r="CH208" s="266" t="e">
        <f>CF208*CH64/CF64</f>
        <v>#DIV/0!</v>
      </c>
      <c r="CI208" s="266" t="e">
        <f>CG208*CI64/CG64</f>
        <v>#DIV/0!</v>
      </c>
      <c r="CJ208" s="266" t="e">
        <f>CI208</f>
        <v>#DIV/0!</v>
      </c>
      <c r="CK208" s="266" t="e">
        <f>CI208*CK64/CI64</f>
        <v>#DIV/0!</v>
      </c>
      <c r="CL208" s="266" t="e">
        <f>CJ208*CL64/CJ64</f>
        <v>#DIV/0!</v>
      </c>
      <c r="CM208" s="266" t="e">
        <f>CK208*CM64/CK64</f>
        <v>#DIV/0!</v>
      </c>
      <c r="CN208" s="266" t="e">
        <f>CL208*CN64/CL64</f>
        <v>#DIV/0!</v>
      </c>
      <c r="CO208" s="266" t="e">
        <f>CN208</f>
        <v>#DIV/0!</v>
      </c>
      <c r="CP208" s="266" t="e">
        <f>CN208*CP64/CN64</f>
        <v>#DIV/0!</v>
      </c>
      <c r="CQ208" s="266" t="e">
        <f>CO208*CQ64/CO64</f>
        <v>#DIV/0!</v>
      </c>
      <c r="CR208" s="266" t="e">
        <f>CP208*CR64/CP64</f>
        <v>#DIV/0!</v>
      </c>
      <c r="CS208" s="266" t="e">
        <f>CQ208*CS64/CQ64</f>
        <v>#DIV/0!</v>
      </c>
      <c r="CT208" s="266" t="e">
        <f>CS208</f>
        <v>#DIV/0!</v>
      </c>
      <c r="CU208" s="266" t="e">
        <f>CS208*CU64/CS64</f>
        <v>#DIV/0!</v>
      </c>
      <c r="CV208" s="266" t="e">
        <f>CT208*CV64/CT64</f>
        <v>#DIV/0!</v>
      </c>
      <c r="CW208" s="266" t="e">
        <f>CU208*CW64/CU64</f>
        <v>#DIV/0!</v>
      </c>
      <c r="CX208" s="266" t="e">
        <f>CV208*CX64/CV64</f>
        <v>#DIV/0!</v>
      </c>
      <c r="CY208" s="266" t="e">
        <f>CX208</f>
        <v>#DIV/0!</v>
      </c>
    </row>
    <row r="209" hidden="1" outlineLevel="1" ht="12.75" customHeight="1" s="254">
      <c r="C209" s="312" t="inlineStr">
        <is>
          <t>%(Var.)</t>
        </is>
      </c>
      <c r="D209" s="266" t="n"/>
      <c r="E209" s="294" t="str">
        <f>IFERROR((E208-D208)/D208,"")</f>
        <v/>
      </c>
      <c r="F209" s="294" t="str">
        <f>IFERROR((F208-E208)/E208,"")</f>
        <v/>
      </c>
      <c r="G209" s="294" t="str">
        <f>IFERROR((G208-F208)/F208,"")</f>
        <v/>
      </c>
      <c r="H209" s="266" t="n"/>
      <c r="I209" s="294" t="str">
        <f>IFERROR((I208-H208)/H208,"")</f>
        <v/>
      </c>
      <c r="J209" s="294" t="str">
        <f>IFERROR((J208-I208)/I208,"")</f>
        <v/>
      </c>
      <c r="K209" s="294" t="str">
        <f>IFERROR((K208-J208)/J208,"")</f>
        <v/>
      </c>
      <c r="L209" s="294" t="str">
        <f>IFERROR((L208-K208)/K208,"")</f>
        <v/>
      </c>
      <c r="M209" s="266" t="n"/>
      <c r="N209" s="294" t="str">
        <f>IFERROR((N208-M208)/M208,"")</f>
        <v/>
      </c>
      <c r="O209" s="294" t="str">
        <f>IFERROR((O208-N208)/N208,"")</f>
        <v/>
      </c>
      <c r="P209" s="294" t="str">
        <f>IFERROR((P208-O208)/O208,"")</f>
        <v/>
      </c>
      <c r="Q209" s="294" t="str">
        <f>IFERROR((Q208-P208)/P208,"")</f>
        <v/>
      </c>
      <c r="R209" s="266" t="n"/>
      <c r="S209" s="294" t="str">
        <f>IFERROR((S208-R208)/R208,"")</f>
        <v/>
      </c>
      <c r="T209" s="294" t="str">
        <f>IFERROR((T208-S208)/S208,"")</f>
        <v/>
      </c>
      <c r="U209" s="294" t="str">
        <f>IFERROR((U208-T208)/T208,"")</f>
        <v/>
      </c>
      <c r="V209" s="294" t="str">
        <f>IFERROR((V208-U208)/U208,"")</f>
        <v/>
      </c>
      <c r="W209" s="266" t="n"/>
      <c r="X209" s="294" t="str">
        <f>IFERROR((X208-W208)/W208,"")</f>
        <v/>
      </c>
      <c r="Y209" s="294" t="str">
        <f>IFERROR((Y208-X208)/X208,"")</f>
        <v/>
      </c>
      <c r="Z209" s="294" t="str">
        <f>IFERROR((Z208-Y208)/Y208,"")</f>
        <v/>
      </c>
      <c r="AA209" s="294" t="str">
        <f>IFERROR((AA208-Z208)/Z208,"")</f>
        <v/>
      </c>
      <c r="AB209" s="266" t="n"/>
      <c r="AC209" s="294" t="str">
        <f>IFERROR((AC208-AB208)/AB208,"")</f>
        <v/>
      </c>
      <c r="AD209" s="294" t="str">
        <f>IFERROR((AD208-AC208)/AC208,"")</f>
        <v/>
      </c>
      <c r="AE209" s="294" t="str">
        <f>IFERROR((AE208-AD208)/AD208,"")</f>
        <v/>
      </c>
      <c r="AF209" s="309" t="str">
        <f>IFERROR((AF208-AE208)/AE208,"")</f>
        <v/>
      </c>
      <c r="AG209" s="266" t="n"/>
      <c r="AH209" s="309" t="str">
        <f>IFERROR((AH208-AG208)/AG208,"")</f>
        <v/>
      </c>
      <c r="AI209" s="309" t="str">
        <f>IFERROR((AI208-AH208)/AH208,"")</f>
        <v/>
      </c>
      <c r="AJ209" s="309" t="n"/>
      <c r="AK209" s="309" t="n"/>
      <c r="AL209" s="266" t="n"/>
      <c r="AM209" s="309" t="n"/>
      <c r="AN209" s="309" t="n"/>
      <c r="AO209" s="309" t="n"/>
      <c r="AP209" s="309" t="n"/>
      <c r="AQ209" s="266" t="n"/>
      <c r="AR209" s="309" t="n"/>
      <c r="AS209" s="309" t="n"/>
      <c r="AT209" s="309" t="n"/>
      <c r="AU209" s="309" t="n"/>
      <c r="AV209" s="266" t="n"/>
      <c r="AW209" s="309" t="n"/>
      <c r="AX209" s="309" t="n"/>
      <c r="AY209" s="309" t="n"/>
      <c r="AZ209" s="309" t="n"/>
      <c r="BA209" s="266" t="n"/>
      <c r="BB209" s="309" t="n"/>
      <c r="BC209" s="309" t="n"/>
      <c r="BD209" s="309" t="n"/>
      <c r="BE209" s="309" t="n"/>
      <c r="BF209" s="266" t="n"/>
      <c r="BG209" s="309" t="n"/>
      <c r="BH209" s="309" t="n"/>
      <c r="BI209" s="309" t="n"/>
      <c r="BJ209" s="309" t="n"/>
      <c r="BK209" s="266" t="n"/>
      <c r="BL209" s="309" t="n"/>
      <c r="BM209" s="309" t="n"/>
      <c r="BN209" s="309" t="n"/>
      <c r="BO209" s="309" t="n"/>
      <c r="BP209" s="266" t="n"/>
      <c r="BQ209" s="309" t="n"/>
      <c r="BR209" s="309" t="n"/>
      <c r="BS209" s="309" t="n"/>
      <c r="BT209" s="309" t="n"/>
      <c r="BU209" s="266" t="n"/>
      <c r="BV209" s="309" t="n"/>
      <c r="BW209" s="309" t="n"/>
      <c r="BX209" s="309" t="n"/>
      <c r="BY209" s="309" t="n"/>
      <c r="BZ209" s="266" t="n"/>
      <c r="CA209" s="309" t="n"/>
      <c r="CB209" s="309" t="n"/>
      <c r="CC209" s="309" t="n"/>
      <c r="CD209" s="309" t="n"/>
      <c r="CE209" s="266" t="n"/>
      <c r="CF209" s="309" t="n"/>
      <c r="CG209" s="309" t="n"/>
      <c r="CH209" s="309" t="n"/>
      <c r="CI209" s="309" t="n"/>
      <c r="CJ209" s="266" t="n"/>
      <c r="CK209" s="309" t="n"/>
      <c r="CL209" s="309" t="n"/>
      <c r="CM209" s="309" t="n"/>
      <c r="CN209" s="309" t="n"/>
      <c r="CO209" s="266" t="n"/>
      <c r="CP209" s="309" t="n"/>
      <c r="CQ209" s="309" t="n"/>
      <c r="CR209" s="309" t="n"/>
      <c r="CS209" s="309" t="n"/>
      <c r="CT209" s="266" t="n"/>
      <c r="CU209" s="309" t="n"/>
      <c r="CV209" s="309" t="n"/>
      <c r="CW209" s="309" t="n"/>
      <c r="CX209" s="309" t="n"/>
      <c r="CY209" s="266" t="n"/>
    </row>
    <row r="210" ht="12.75" customHeight="1" s="254">
      <c r="C210" s="268" t="inlineStr">
        <is>
          <t>Taxes payable</t>
        </is>
      </c>
      <c r="D210" s="299" t="n"/>
      <c r="E210" s="299" t="n"/>
      <c r="F210" s="299" t="n"/>
      <c r="G210" s="299" t="n"/>
      <c r="H210" s="266">
        <f>G210</f>
        <v>0</v>
      </c>
      <c r="I210" s="299">
        <f>INDEX('Inputs (2)'!$D$30:$AL$30,MATCH(I$7,'Inputs (2)'!$D$2:$AL$2,0))</f>
        <v>3372</v>
      </c>
      <c r="J210" s="299">
        <f>INDEX('Inputs (2)'!$D$30:$AL$30,MATCH(J$7,'Inputs (2)'!$D$2:$AL$2,0))</f>
        <v>2837</v>
      </c>
      <c r="K210" s="299">
        <f>INDEX('Inputs (2)'!$D$30:$AL$30,MATCH(K$7,'Inputs (2)'!$D$2:$AL$2,0))</f>
        <v>2809</v>
      </c>
      <c r="L210" s="299">
        <f>INDEX('Inputs (2)'!$D$30:$AL$30,MATCH(L$7,'Inputs (2)'!$D$2:$AL$2,0))</f>
        <v>3254</v>
      </c>
      <c r="M210" s="266">
        <f>L210</f>
        <v>3254</v>
      </c>
      <c r="N210" s="299">
        <f>INDEX('Inputs (2)'!$D$30:$AL$30,MATCH(N$7,'Inputs (2)'!$D$2:$AL$2,0))</f>
        <v>3752</v>
      </c>
      <c r="O210" s="299">
        <f>INDEX('Inputs (2)'!$D$30:$AL$30,MATCH(O$7,'Inputs (2)'!$D$2:$AL$2,0))</f>
        <v>4506</v>
      </c>
      <c r="P210" s="299">
        <f>INDEX('Inputs (2)'!$D$30:$AL$30,MATCH(P$7,'Inputs (2)'!$D$2:$AL$2,0))</f>
        <v>4332</v>
      </c>
      <c r="Q210" s="299">
        <f>INDEX('Inputs (2)'!$D$30:$AL$30,MATCH(Q$7,'Inputs (2)'!$D$2:$AL$2,0))</f>
        <v>4869</v>
      </c>
      <c r="R210" s="266">
        <f>Q210</f>
        <v>4869</v>
      </c>
      <c r="S210" s="299">
        <f>INDEX('Inputs (2)'!$D$30:$AL$30,MATCH(S$7,'Inputs (2)'!$D$2:$AL$2,0))</f>
        <v>5924</v>
      </c>
      <c r="T210" s="299">
        <f>INDEX('Inputs (2)'!$D$30:$AL$30,MATCH(T$7,'Inputs (2)'!$D$2:$AL$2,0))</f>
        <v>4462</v>
      </c>
      <c r="U210" s="299">
        <f>INDEX('Inputs (2)'!$D$30:$AL$30,MATCH(U$7,'Inputs (2)'!$D$2:$AL$2,0))</f>
        <v>4372</v>
      </c>
      <c r="V210" s="299">
        <f>INDEX('Inputs (2)'!$D$30:$AL$30,MATCH(V$7,'Inputs (2)'!$D$2:$AL$2,0))</f>
        <v>3422</v>
      </c>
      <c r="W210" s="266">
        <f>V210</f>
        <v>3422</v>
      </c>
      <c r="X210" s="299">
        <f>INDEX('Inputs (2)'!$D$30:$AL$30,MATCH(X$7,'Inputs (2)'!$D$2:$AL$2,0))</f>
        <v>3940</v>
      </c>
      <c r="Y210" s="299">
        <f>INDEX('Inputs (2)'!$D$30:$AL$30,MATCH(Y$7,'Inputs (2)'!$D$2:$AL$2,0))</f>
        <v>4087</v>
      </c>
      <c r="Z210" s="299">
        <f>INDEX('Inputs (2)'!$D$30:$AL$30,MATCH(Z$7,'Inputs (2)'!$D$2:$AL$2,0))</f>
        <v>4289</v>
      </c>
      <c r="AA210" s="299">
        <f>INDEX('Inputs (2)'!$D$30:$AL$30,MATCH(AA$7,'Inputs (2)'!$D$2:$AL$2,0))</f>
        <v>4648</v>
      </c>
      <c r="AB210" s="266">
        <f>AA210</f>
        <v>4648</v>
      </c>
      <c r="AC210" s="299">
        <f>INDEX('Inputs (2)'!$D$30:$AL$30,MATCH(AC$7,'Inputs (2)'!$D$2:$AL$2,0))</f>
        <v>4343</v>
      </c>
      <c r="AD210" s="299">
        <f>INDEX('Inputs (2)'!$D$30:$AL$30,MATCH(AD$7,'Inputs (2)'!$D$2:$AL$2,0))</f>
        <v>3642</v>
      </c>
      <c r="AE210" s="299">
        <f>INDEX('Inputs (2)'!$D$30:$AL$30,MATCH(AE$7,'Inputs (2)'!$D$2:$AL$2,0))</f>
        <v>3447</v>
      </c>
      <c r="AF210" s="299">
        <f>INDEX('Inputs (2)'!$D$30:$AL$30,MATCH(AF$7,'Inputs (2)'!$D$2:$AL$2,0))</f>
        <v>3150</v>
      </c>
      <c r="AG210" s="266">
        <f>AF210</f>
        <v>3150</v>
      </c>
      <c r="AH210" s="266">
        <f>INDEX('Inputs (2)'!$D$30:$AL$30,MATCH(AH$7,'Inputs (2)'!$D$2:$AL$2,0))</f>
        <v>3883</v>
      </c>
      <c r="AI210" s="266">
        <f>INDEX('Inputs (2)'!$D$30:$AL$30,MATCH(AI$7,'Inputs (2)'!$D$2:$AL$2,0))</f>
        <v>4349</v>
      </c>
      <c r="AJ210" s="266">
        <f>AH210*AJ137/AH137</f>
        <v>0</v>
      </c>
      <c r="AK210" s="266">
        <f>AI210*AK137/AI137</f>
        <v>0</v>
      </c>
      <c r="AL210" s="266">
        <f>AK210</f>
        <v>0</v>
      </c>
      <c r="AM210" s="266" t="e">
        <f>AK210*AM137/AK137</f>
        <v>#DIV/0!</v>
      </c>
      <c r="AN210" s="266">
        <f>AL210*AN137/AL137</f>
        <v>0</v>
      </c>
      <c r="AO210" s="266" t="e">
        <f>AM210*AO137/AM137</f>
        <v>#DIV/0!</v>
      </c>
      <c r="AP210" s="266" t="e">
        <f>AN210*AP137/AN137</f>
        <v>#DIV/0!</v>
      </c>
      <c r="AQ210" s="266" t="e">
        <f>AP210</f>
        <v>#DIV/0!</v>
      </c>
      <c r="AR210" s="266" t="e">
        <f>AP210*AR137/AP137</f>
        <v>#DIV/0!</v>
      </c>
      <c r="AS210" s="266" t="e">
        <f>AQ210*AS137/AQ137</f>
        <v>#DIV/0!</v>
      </c>
      <c r="AT210" s="266" t="e">
        <f>AR210*AT137/AR137</f>
        <v>#DIV/0!</v>
      </c>
      <c r="AU210" s="266" t="e">
        <f>AS210*AU137/AS137</f>
        <v>#DIV/0!</v>
      </c>
      <c r="AV210" s="266" t="e">
        <f>AU210</f>
        <v>#DIV/0!</v>
      </c>
      <c r="AW210" s="266" t="e">
        <f>AU210*AW137/AU137</f>
        <v>#DIV/0!</v>
      </c>
      <c r="AX210" s="266" t="e">
        <f>AV210*AX137/AV137</f>
        <v>#DIV/0!</v>
      </c>
      <c r="AY210" s="266" t="e">
        <f>AW210*AY137/AW137</f>
        <v>#DIV/0!</v>
      </c>
      <c r="AZ210" s="266" t="e">
        <f>AX210*AZ137/AX137</f>
        <v>#DIV/0!</v>
      </c>
      <c r="BA210" s="266" t="e">
        <f>AZ210</f>
        <v>#DIV/0!</v>
      </c>
      <c r="BB210" s="266" t="e">
        <f>AZ210*BB137/AZ137</f>
        <v>#DIV/0!</v>
      </c>
      <c r="BC210" s="266" t="e">
        <f>BA210*BC137/BA137</f>
        <v>#DIV/0!</v>
      </c>
      <c r="BD210" s="266" t="e">
        <f>BB210*BD137/BB137</f>
        <v>#DIV/0!</v>
      </c>
      <c r="BE210" s="266" t="e">
        <f>BC210*BE137/BC137</f>
        <v>#DIV/0!</v>
      </c>
      <c r="BF210" s="266" t="e">
        <f>BE210</f>
        <v>#DIV/0!</v>
      </c>
      <c r="BG210" s="266" t="e">
        <f>BE210*BG137/BE137</f>
        <v>#DIV/0!</v>
      </c>
      <c r="BH210" s="266" t="e">
        <f>BF210*BH137/BF137</f>
        <v>#DIV/0!</v>
      </c>
      <c r="BI210" s="266" t="e">
        <f>BG210*BI137/BG137</f>
        <v>#DIV/0!</v>
      </c>
      <c r="BJ210" s="266" t="e">
        <f>BH210*BJ137/BH137</f>
        <v>#DIV/0!</v>
      </c>
      <c r="BK210" s="266" t="e">
        <f>BJ210</f>
        <v>#DIV/0!</v>
      </c>
      <c r="BL210" s="266" t="e">
        <f>BJ210*BL137/BJ137</f>
        <v>#DIV/0!</v>
      </c>
      <c r="BM210" s="266" t="e">
        <f>BK210*BM137/BK137</f>
        <v>#DIV/0!</v>
      </c>
      <c r="BN210" s="266" t="e">
        <f>BL210*BN137/BL137</f>
        <v>#DIV/0!</v>
      </c>
      <c r="BO210" s="266" t="e">
        <f>BM210*BO137/BM137</f>
        <v>#DIV/0!</v>
      </c>
      <c r="BP210" s="266" t="e">
        <f>BO210</f>
        <v>#DIV/0!</v>
      </c>
      <c r="BQ210" s="266" t="e">
        <f>BO210*BQ137/BO137</f>
        <v>#DIV/0!</v>
      </c>
      <c r="BR210" s="266" t="e">
        <f>BP210*BR137/BP137</f>
        <v>#DIV/0!</v>
      </c>
      <c r="BS210" s="266" t="e">
        <f>BQ210*BS137/BQ137</f>
        <v>#DIV/0!</v>
      </c>
      <c r="BT210" s="266" t="e">
        <f>BR210*BT137/BR137</f>
        <v>#DIV/0!</v>
      </c>
      <c r="BU210" s="266" t="e">
        <f>BT210</f>
        <v>#DIV/0!</v>
      </c>
      <c r="BV210" s="266" t="e">
        <f>BT210*BV137/BT137</f>
        <v>#DIV/0!</v>
      </c>
      <c r="BW210" s="266" t="e">
        <f>BU210*BW137/BU137</f>
        <v>#DIV/0!</v>
      </c>
      <c r="BX210" s="266" t="e">
        <f>BV210*BX137/BV137</f>
        <v>#DIV/0!</v>
      </c>
      <c r="BY210" s="266" t="e">
        <f>BW210*BY137/BW137</f>
        <v>#DIV/0!</v>
      </c>
      <c r="BZ210" s="266" t="e">
        <f>BY210</f>
        <v>#DIV/0!</v>
      </c>
      <c r="CA210" s="266" t="e">
        <f>BY210*CA137/BY137</f>
        <v>#DIV/0!</v>
      </c>
      <c r="CB210" s="266" t="e">
        <f>BZ210*CB137/BZ137</f>
        <v>#DIV/0!</v>
      </c>
      <c r="CC210" s="266" t="e">
        <f>CA210*CC137/CA137</f>
        <v>#DIV/0!</v>
      </c>
      <c r="CD210" s="266" t="e">
        <f>CB210*CD137/CB137</f>
        <v>#DIV/0!</v>
      </c>
      <c r="CE210" s="266" t="e">
        <f>CD210</f>
        <v>#DIV/0!</v>
      </c>
      <c r="CF210" s="266" t="e">
        <f>CD210*CF137/CD137</f>
        <v>#DIV/0!</v>
      </c>
      <c r="CG210" s="266" t="e">
        <f>CE210*CG137/CE137</f>
        <v>#DIV/0!</v>
      </c>
      <c r="CH210" s="266" t="e">
        <f>CF210*CH137/CF137</f>
        <v>#DIV/0!</v>
      </c>
      <c r="CI210" s="266" t="e">
        <f>CG210*CI137/CG137</f>
        <v>#DIV/0!</v>
      </c>
      <c r="CJ210" s="266" t="e">
        <f>CI210</f>
        <v>#DIV/0!</v>
      </c>
      <c r="CK210" s="266" t="e">
        <f>CI210*CK137/CI137</f>
        <v>#DIV/0!</v>
      </c>
      <c r="CL210" s="266" t="e">
        <f>CJ210*CL137/CJ137</f>
        <v>#DIV/0!</v>
      </c>
      <c r="CM210" s="266" t="e">
        <f>CK210*CM137/CK137</f>
        <v>#DIV/0!</v>
      </c>
      <c r="CN210" s="266" t="e">
        <f>CL210*CN137/CL137</f>
        <v>#DIV/0!</v>
      </c>
      <c r="CO210" s="266" t="e">
        <f>CN210</f>
        <v>#DIV/0!</v>
      </c>
      <c r="CP210" s="266" t="e">
        <f>CN210*CP137/CN137</f>
        <v>#DIV/0!</v>
      </c>
      <c r="CQ210" s="266" t="e">
        <f>CO210*CQ137/CO137</f>
        <v>#DIV/0!</v>
      </c>
      <c r="CR210" s="266" t="e">
        <f>CP210*CR137/CP137</f>
        <v>#DIV/0!</v>
      </c>
      <c r="CS210" s="266" t="e">
        <f>CQ210*CS137/CQ137</f>
        <v>#DIV/0!</v>
      </c>
      <c r="CT210" s="266" t="e">
        <f>CS210</f>
        <v>#DIV/0!</v>
      </c>
      <c r="CU210" s="266" t="e">
        <f>CS210*CU137/CS137</f>
        <v>#DIV/0!</v>
      </c>
      <c r="CV210" s="266" t="e">
        <f>CT210*CV137/CT137</f>
        <v>#DIV/0!</v>
      </c>
      <c r="CW210" s="266" t="e">
        <f>CU210*CW137/CU137</f>
        <v>#DIV/0!</v>
      </c>
      <c r="CX210" s="266" t="e">
        <f>CV210*CX137/CV137</f>
        <v>#DIV/0!</v>
      </c>
      <c r="CY210" s="266" t="e">
        <f>CX210</f>
        <v>#DIV/0!</v>
      </c>
    </row>
    <row r="211" ht="12.75" customHeight="1" s="254">
      <c r="C211" s="268" t="inlineStr">
        <is>
          <t>Other current liabilities (non-debt)</t>
        </is>
      </c>
      <c r="D211" s="299" t="n"/>
      <c r="E211" s="299" t="n"/>
      <c r="F211" s="299" t="n"/>
      <c r="G211" s="299" t="n"/>
      <c r="H211" s="266">
        <f>G211</f>
        <v>0</v>
      </c>
      <c r="I211" s="299">
        <f>INDEX('Inputs (2)'!$D$31:$AL$31,MATCH(I$7,'Inputs (2)'!$D$2:$AL$2,0))</f>
        <v>9063</v>
      </c>
      <c r="J211" s="299">
        <f>INDEX('Inputs (2)'!$D$31:$AL$31,MATCH(J$7,'Inputs (2)'!$D$2:$AL$2,0))</f>
        <v>13674</v>
      </c>
      <c r="K211" s="299">
        <f>INDEX('Inputs (2)'!$D$31:$AL$31,MATCH(K$7,'Inputs (2)'!$D$2:$AL$2,0))</f>
        <v>31014</v>
      </c>
      <c r="L211" s="299">
        <f>INDEX('Inputs (2)'!$D$31:$AL$31,MATCH(L$7,'Inputs (2)'!$D$2:$AL$2,0))</f>
        <v>20902</v>
      </c>
      <c r="M211" s="266">
        <f>L211</f>
        <v>20902</v>
      </c>
      <c r="N211" s="299">
        <f>INDEX('Inputs (2)'!$D$31:$AL$31,MATCH(N$7,'Inputs (2)'!$D$2:$AL$2,0))</f>
        <v>30778</v>
      </c>
      <c r="O211" s="299">
        <f>INDEX('Inputs (2)'!$D$31:$AL$31,MATCH(O$7,'Inputs (2)'!$D$2:$AL$2,0))</f>
        <v>32204</v>
      </c>
      <c r="P211" s="299">
        <f>INDEX('Inputs (2)'!$D$31:$AL$31,MATCH(P$7,'Inputs (2)'!$D$2:$AL$2,0))</f>
        <v>35953</v>
      </c>
      <c r="Q211" s="299">
        <f>INDEX('Inputs (2)'!$D$31:$AL$31,MATCH(Q$7,'Inputs (2)'!$D$2:$AL$2,0))</f>
        <v>28084</v>
      </c>
      <c r="R211" s="266">
        <f>Q211</f>
        <v>28084</v>
      </c>
      <c r="S211" s="299">
        <f>INDEX('Inputs (2)'!$D$31:$AL$31,MATCH(S$7,'Inputs (2)'!$D$2:$AL$2,0))</f>
        <v>18852</v>
      </c>
      <c r="T211" s="299">
        <f>INDEX('Inputs (2)'!$D$31:$AL$31,MATCH(T$7,'Inputs (2)'!$D$2:$AL$2,0))</f>
        <v>15557</v>
      </c>
      <c r="U211" s="299">
        <f>INDEX('Inputs (2)'!$D$31:$AL$31,MATCH(U$7,'Inputs (2)'!$D$2:$AL$2,0))</f>
        <v>13450</v>
      </c>
      <c r="V211" s="299">
        <f>INDEX('Inputs (2)'!$D$31:$AL$31,MATCH(V$7,'Inputs (2)'!$D$2:$AL$2,0))</f>
        <v>13877</v>
      </c>
      <c r="W211" s="266">
        <f>V211</f>
        <v>13877</v>
      </c>
      <c r="X211" s="299">
        <f>INDEX('Inputs (2)'!$D$31:$AL$31,MATCH(X$7,'Inputs (2)'!$D$2:$AL$2,0))</f>
        <v>12927</v>
      </c>
      <c r="Y211" s="299">
        <f>INDEX('Inputs (2)'!$D$31:$AL$31,MATCH(Y$7,'Inputs (2)'!$D$2:$AL$2,0))</f>
        <v>12618</v>
      </c>
      <c r="Z211" s="299">
        <f>INDEX('Inputs (2)'!$D$31:$AL$31,MATCH(Z$7,'Inputs (2)'!$D$2:$AL$2,0))</f>
        <v>12245</v>
      </c>
      <c r="AA211" s="299">
        <f>INDEX('Inputs (2)'!$D$31:$AL$31,MATCH(AA$7,'Inputs (2)'!$D$2:$AL$2,0))</f>
        <v>18065</v>
      </c>
      <c r="AB211" s="266">
        <f>AA211</f>
        <v>18065</v>
      </c>
      <c r="AC211" s="299">
        <f>INDEX('Inputs (2)'!$D$31:$AL$31,MATCH(AC$7,'Inputs (2)'!$D$2:$AL$2,0))</f>
        <v>19477</v>
      </c>
      <c r="AD211" s="299">
        <f>INDEX('Inputs (2)'!$D$31:$AL$31,MATCH(AD$7,'Inputs (2)'!$D$2:$AL$2,0))</f>
        <v>19542</v>
      </c>
      <c r="AE211" s="299">
        <f>INDEX('Inputs (2)'!$D$31:$AL$31,MATCH(AE$7,'Inputs (2)'!$D$2:$AL$2,0))</f>
        <v>19336</v>
      </c>
      <c r="AF211" s="299">
        <f>INDEX('Inputs (2)'!$D$31:$AL$31,MATCH(AF$7,'Inputs (2)'!$D$2:$AL$2,0))</f>
        <v>12367</v>
      </c>
      <c r="AG211" s="266">
        <f>AF211</f>
        <v>12367</v>
      </c>
      <c r="AH211" s="266">
        <f>INDEX('Inputs (2)'!$D$31:$AL$31,MATCH(AH$7,'Inputs (2)'!$D$2:$AL$2,0))</f>
        <v>15242</v>
      </c>
      <c r="AI211" s="266">
        <f>INDEX('Inputs (2)'!$D$31:$AL$31,MATCH(AI$7,'Inputs (2)'!$D$2:$AL$2,0))</f>
        <v>11982</v>
      </c>
      <c r="AJ211" s="266">
        <f>AI211</f>
        <v>11982</v>
      </c>
      <c r="AK211" s="266">
        <f>AJ211</f>
        <v>11982</v>
      </c>
      <c r="AL211" s="266">
        <f>AK211</f>
        <v>11982</v>
      </c>
      <c r="AM211" s="266">
        <f>AL211</f>
        <v>11982</v>
      </c>
      <c r="AN211" s="266">
        <f>AM211</f>
        <v>11982</v>
      </c>
      <c r="AO211" s="266">
        <f>AN211</f>
        <v>11982</v>
      </c>
      <c r="AP211" s="266">
        <f>AO211</f>
        <v>11982</v>
      </c>
      <c r="AQ211" s="266">
        <f>AP211</f>
        <v>11982</v>
      </c>
      <c r="AR211" s="266">
        <f>AQ211</f>
        <v>11982</v>
      </c>
      <c r="AS211" s="266">
        <f>AR211</f>
        <v>11982</v>
      </c>
      <c r="AT211" s="266">
        <f>AS211</f>
        <v>11982</v>
      </c>
      <c r="AU211" s="266">
        <f>AT211</f>
        <v>11982</v>
      </c>
      <c r="AV211" s="266">
        <f>AU211</f>
        <v>11982</v>
      </c>
      <c r="AW211" s="266">
        <f>AV211</f>
        <v>11982</v>
      </c>
      <c r="AX211" s="266">
        <f>AW211</f>
        <v>11982</v>
      </c>
      <c r="AY211" s="266">
        <f>AX211</f>
        <v>11982</v>
      </c>
      <c r="AZ211" s="266">
        <f>AY211</f>
        <v>11982</v>
      </c>
      <c r="BA211" s="266">
        <f>AZ211</f>
        <v>11982</v>
      </c>
      <c r="BB211" s="266">
        <f>BA211</f>
        <v>11982</v>
      </c>
      <c r="BC211" s="266">
        <f>BB211</f>
        <v>11982</v>
      </c>
      <c r="BD211" s="266">
        <f>BC211</f>
        <v>11982</v>
      </c>
      <c r="BE211" s="266">
        <f>BD211</f>
        <v>11982</v>
      </c>
      <c r="BF211" s="266">
        <f>BE211</f>
        <v>11982</v>
      </c>
      <c r="BG211" s="266">
        <f>BF211</f>
        <v>11982</v>
      </c>
      <c r="BH211" s="266">
        <f>BG211</f>
        <v>11982</v>
      </c>
      <c r="BI211" s="266">
        <f>BH211</f>
        <v>11982</v>
      </c>
      <c r="BJ211" s="266">
        <f>BI211</f>
        <v>11982</v>
      </c>
      <c r="BK211" s="266">
        <f>BJ211</f>
        <v>11982</v>
      </c>
      <c r="BL211" s="266">
        <f>BK211</f>
        <v>11982</v>
      </c>
      <c r="BM211" s="266">
        <f>BL211</f>
        <v>11982</v>
      </c>
      <c r="BN211" s="266">
        <f>BM211</f>
        <v>11982</v>
      </c>
      <c r="BO211" s="266">
        <f>BN211</f>
        <v>11982</v>
      </c>
      <c r="BP211" s="266">
        <f>BO211</f>
        <v>11982</v>
      </c>
      <c r="BQ211" s="266">
        <f>BP211</f>
        <v>11982</v>
      </c>
      <c r="BR211" s="266">
        <f>BQ211</f>
        <v>11982</v>
      </c>
      <c r="BS211" s="266">
        <f>BR211</f>
        <v>11982</v>
      </c>
      <c r="BT211" s="266">
        <f>BS211</f>
        <v>11982</v>
      </c>
      <c r="BU211" s="266">
        <f>BT211</f>
        <v>11982</v>
      </c>
      <c r="BV211" s="266">
        <f>BU211</f>
        <v>11982</v>
      </c>
      <c r="BW211" s="266">
        <f>BV211</f>
        <v>11982</v>
      </c>
      <c r="BX211" s="266">
        <f>BW211</f>
        <v>11982</v>
      </c>
      <c r="BY211" s="266">
        <f>BX211</f>
        <v>11982</v>
      </c>
      <c r="BZ211" s="266">
        <f>BY211</f>
        <v>11982</v>
      </c>
      <c r="CA211" s="266">
        <f>BZ211</f>
        <v>11982</v>
      </c>
      <c r="CB211" s="266">
        <f>CA211</f>
        <v>11982</v>
      </c>
      <c r="CC211" s="266">
        <f>CB211</f>
        <v>11982</v>
      </c>
      <c r="CD211" s="266">
        <f>CC211</f>
        <v>11982</v>
      </c>
      <c r="CE211" s="266">
        <f>CD211</f>
        <v>11982</v>
      </c>
      <c r="CF211" s="266">
        <f>CE211</f>
        <v>11982</v>
      </c>
      <c r="CG211" s="266">
        <f>CF211</f>
        <v>11982</v>
      </c>
      <c r="CH211" s="266">
        <f>CG211</f>
        <v>11982</v>
      </c>
      <c r="CI211" s="266">
        <f>CH211</f>
        <v>11982</v>
      </c>
      <c r="CJ211" s="266">
        <f>CI211</f>
        <v>11982</v>
      </c>
      <c r="CK211" s="266">
        <f>CJ211</f>
        <v>11982</v>
      </c>
      <c r="CL211" s="266">
        <f>CK211</f>
        <v>11982</v>
      </c>
      <c r="CM211" s="266">
        <f>CL211</f>
        <v>11982</v>
      </c>
      <c r="CN211" s="266">
        <f>CM211</f>
        <v>11982</v>
      </c>
      <c r="CO211" s="266">
        <f>CN211</f>
        <v>11982</v>
      </c>
      <c r="CP211" s="266">
        <f>CO211</f>
        <v>11982</v>
      </c>
      <c r="CQ211" s="266">
        <f>CP211</f>
        <v>11982</v>
      </c>
      <c r="CR211" s="266">
        <f>CQ211</f>
        <v>11982</v>
      </c>
      <c r="CS211" s="266">
        <f>CR211</f>
        <v>11982</v>
      </c>
      <c r="CT211" s="266">
        <f>CS211</f>
        <v>11982</v>
      </c>
      <c r="CU211" s="266">
        <f>CT211</f>
        <v>11982</v>
      </c>
      <c r="CV211" s="266">
        <f>CU211</f>
        <v>11982</v>
      </c>
      <c r="CW211" s="266">
        <f>CV211</f>
        <v>11982</v>
      </c>
      <c r="CX211" s="266">
        <f>CW211</f>
        <v>11982</v>
      </c>
      <c r="CY211" s="266">
        <f>CX211</f>
        <v>11982</v>
      </c>
    </row>
    <row r="212" hidden="1" outlineLevel="1" ht="12.75" customHeight="1" s="254">
      <c r="C212" s="312" t="inlineStr">
        <is>
          <t>%(Var.)</t>
        </is>
      </c>
      <c r="D212" s="266" t="n"/>
      <c r="E212" s="294" t="str">
        <f>IFERROR((E211-D211)/D211,"")</f>
        <v/>
      </c>
      <c r="F212" s="294" t="str">
        <f>IFERROR((F211-E211)/E211,"")</f>
        <v/>
      </c>
      <c r="G212" s="294" t="str">
        <f>IFERROR((G211-F211)/F211,"")</f>
        <v/>
      </c>
      <c r="H212" s="266" t="n"/>
      <c r="I212" s="294" t="str">
        <f>IFERROR((I211-H211)/H211,"")</f>
        <v/>
      </c>
      <c r="J212" s="294">
        <f>IFERROR((J211-I211)/I211,"")</f>
        <v>0.508771929824561</v>
      </c>
      <c r="K212" s="294">
        <f>IFERROR((K211-J211)/J211,"")</f>
        <v>1.26810004387889</v>
      </c>
      <c r="L212" s="294">
        <f>IFERROR((L211-K211)/K211,"")</f>
        <v>-0.326046301670214</v>
      </c>
      <c r="M212" s="266" t="n"/>
      <c r="N212" s="294">
        <f>IFERROR((N211-M211)/M211,"")</f>
        <v>0.472490670749211</v>
      </c>
      <c r="O212" s="294">
        <f>IFERROR((O211-N211)/N211,"")</f>
        <v>0.0463317954383001</v>
      </c>
      <c r="P212" s="294">
        <f>IFERROR((P211-O211)/O211,"")</f>
        <v>0.116414110048441</v>
      </c>
      <c r="Q212" s="294">
        <f>IFERROR((Q211-P211)/P211,"")</f>
        <v>-0.21886907907546</v>
      </c>
      <c r="R212" s="266" t="n"/>
      <c r="S212" s="294">
        <f>IFERROR((S211-R211)/R211,"")</f>
        <v>-0.328728101410056</v>
      </c>
      <c r="T212" s="294">
        <f>IFERROR((T211-S211)/S211,"")</f>
        <v>-0.174782516443879</v>
      </c>
      <c r="U212" s="294">
        <f>IFERROR((U211-T211)/T211,"")</f>
        <v>-0.135437423667802</v>
      </c>
      <c r="V212" s="294">
        <f>IFERROR((V211-U211)/U211,"")</f>
        <v>0.0317472118959108</v>
      </c>
      <c r="W212" s="266" t="n"/>
      <c r="X212" s="294">
        <f>IFERROR((X211-W211)/W211,"")</f>
        <v>-0.0684586005620811</v>
      </c>
      <c r="Y212" s="294">
        <f>IFERROR((Y211-X211)/X211,"")</f>
        <v>-0.0239034578788582</v>
      </c>
      <c r="Z212" s="294">
        <f>IFERROR((Z211-Y211)/Y211,"")</f>
        <v>-0.0295609446822</v>
      </c>
      <c r="AA212" s="294">
        <f>IFERROR((AA211-Z211)/Z211,"")</f>
        <v>0.475296039199673</v>
      </c>
      <c r="AB212" s="266" t="n"/>
      <c r="AC212" s="294">
        <f>IFERROR((AC211-AB211)/AB211,"")</f>
        <v>0.0781621920841406</v>
      </c>
      <c r="AD212" s="294">
        <f>IFERROR((AD211-AC211)/AC211,"")</f>
        <v>0.00333726960004107</v>
      </c>
      <c r="AE212" s="294">
        <f>IFERROR((AE211-AD211)/AD211,"")</f>
        <v>-0.0105413980145328</v>
      </c>
      <c r="AF212" s="309">
        <f>IFERROR((AF211-AE211)/AE211,"")</f>
        <v>-0.360415804716591</v>
      </c>
      <c r="AG212" s="266" t="n"/>
      <c r="AH212" s="309">
        <f>IFERROR((AH211-AG211)/AG211,"")</f>
        <v>0.23247351823401</v>
      </c>
      <c r="AI212" s="309">
        <f>IFERROR((AI211-AH211)/AH211,"")</f>
        <v>-0.213882692560031</v>
      </c>
      <c r="AJ212" s="309" t="n"/>
      <c r="AK212" s="309" t="n"/>
      <c r="AL212" s="266" t="n"/>
      <c r="AM212" s="309" t="n"/>
      <c r="AN212" s="309" t="n"/>
      <c r="AO212" s="309" t="n"/>
      <c r="AP212" s="309" t="n"/>
      <c r="AQ212" s="266" t="n"/>
      <c r="AR212" s="309" t="n"/>
      <c r="AS212" s="309" t="n"/>
      <c r="AT212" s="309" t="n"/>
      <c r="AU212" s="309" t="n"/>
      <c r="AV212" s="266" t="n"/>
      <c r="AW212" s="309" t="n"/>
      <c r="AX212" s="309" t="n"/>
      <c r="AY212" s="309" t="n"/>
      <c r="AZ212" s="309" t="n"/>
      <c r="BA212" s="266" t="n"/>
      <c r="BB212" s="309" t="n"/>
      <c r="BC212" s="309" t="n"/>
      <c r="BD212" s="309" t="n"/>
      <c r="BE212" s="309" t="n"/>
      <c r="BF212" s="266" t="n"/>
      <c r="BG212" s="309" t="n"/>
      <c r="BH212" s="309" t="n"/>
      <c r="BI212" s="309" t="n"/>
      <c r="BJ212" s="309" t="n"/>
      <c r="BK212" s="266" t="n"/>
      <c r="BL212" s="309" t="n"/>
      <c r="BM212" s="309" t="n"/>
      <c r="BN212" s="309" t="n"/>
      <c r="BO212" s="309" t="n"/>
      <c r="BP212" s="266" t="n"/>
      <c r="BQ212" s="309" t="n"/>
      <c r="BR212" s="309" t="n"/>
      <c r="BS212" s="309" t="n"/>
      <c r="BT212" s="309" t="n"/>
      <c r="BU212" s="266" t="n"/>
      <c r="BV212" s="309" t="n"/>
      <c r="BW212" s="309" t="n"/>
      <c r="BX212" s="309" t="n"/>
      <c r="BY212" s="309" t="n"/>
      <c r="BZ212" s="266" t="n"/>
      <c r="CA212" s="309" t="n"/>
      <c r="CB212" s="309" t="n"/>
      <c r="CC212" s="309" t="n"/>
      <c r="CD212" s="309" t="n"/>
      <c r="CE212" s="266" t="n"/>
      <c r="CF212" s="309" t="n"/>
      <c r="CG212" s="309" t="n"/>
      <c r="CH212" s="309" t="n"/>
      <c r="CI212" s="309" t="n"/>
      <c r="CJ212" s="266" t="n"/>
      <c r="CK212" s="309" t="n"/>
      <c r="CL212" s="309" t="n"/>
      <c r="CM212" s="309" t="n"/>
      <c r="CN212" s="309" t="n"/>
      <c r="CO212" s="266" t="n"/>
      <c r="CP212" s="309" t="n"/>
      <c r="CQ212" s="309" t="n"/>
      <c r="CR212" s="309" t="n"/>
      <c r="CS212" s="309" t="n"/>
      <c r="CT212" s="266" t="n"/>
      <c r="CU212" s="309" t="n"/>
      <c r="CV212" s="309" t="n"/>
      <c r="CW212" s="309" t="n"/>
      <c r="CX212" s="309" t="n"/>
      <c r="CY212" s="266" t="n"/>
    </row>
    <row r="213" hidden="1" outlineLevel="1" ht="12.75" customHeight="1" s="254">
      <c r="C213" s="310" t="n"/>
      <c r="D213" s="266" t="n"/>
      <c r="E213" s="266" t="n"/>
      <c r="F213" s="266" t="n"/>
      <c r="G213" s="266" t="n"/>
      <c r="H213" s="266" t="n"/>
      <c r="I213" s="266" t="n"/>
      <c r="J213" s="266" t="n"/>
      <c r="K213" s="266" t="n"/>
      <c r="L213" s="266" t="n"/>
      <c r="M213" s="266" t="n"/>
      <c r="N213" s="266" t="n"/>
      <c r="O213" s="266" t="n"/>
      <c r="P213" s="266" t="n"/>
      <c r="Q213" s="266" t="n"/>
      <c r="R213" s="266" t="n"/>
      <c r="S213" s="266" t="n"/>
      <c r="T213" s="266" t="n"/>
      <c r="U213" s="266" t="n"/>
      <c r="V213" s="266" t="n"/>
      <c r="W213" s="266" t="n"/>
      <c r="X213" s="266" t="n"/>
      <c r="Y213" s="266" t="n"/>
      <c r="Z213" s="266" t="n"/>
      <c r="AA213" s="266" t="n"/>
      <c r="AB213" s="266" t="n"/>
      <c r="AC213" s="266" t="n"/>
      <c r="AD213" s="266" t="n"/>
      <c r="AE213" s="266" t="n"/>
      <c r="AF213" s="266" t="n"/>
      <c r="AG213" s="266" t="n"/>
      <c r="AH213" s="266" t="n"/>
      <c r="AI213" s="266" t="n"/>
      <c r="AJ213" s="266" t="n"/>
      <c r="AK213" s="266" t="n"/>
      <c r="AL213" s="266" t="n"/>
      <c r="AM213" s="266" t="n"/>
      <c r="AN213" s="266" t="n"/>
      <c r="AO213" s="266" t="n"/>
      <c r="AP213" s="266" t="n"/>
      <c r="AQ213" s="266" t="n"/>
      <c r="AR213" s="266" t="n"/>
      <c r="AS213" s="266" t="n"/>
      <c r="AT213" s="266" t="n"/>
      <c r="AU213" s="266" t="n"/>
      <c r="AV213" s="266" t="n"/>
      <c r="AW213" s="266" t="n"/>
      <c r="AX213" s="266" t="n"/>
      <c r="AY213" s="266" t="n"/>
      <c r="AZ213" s="266" t="n"/>
      <c r="BA213" s="266" t="n"/>
      <c r="BB213" s="266" t="n"/>
      <c r="BC213" s="266" t="n"/>
      <c r="BD213" s="266" t="n"/>
      <c r="BE213" s="266" t="n"/>
      <c r="BF213" s="266" t="n"/>
      <c r="BG213" s="266" t="n"/>
      <c r="BH213" s="266" t="n"/>
      <c r="BI213" s="266" t="n"/>
      <c r="BJ213" s="266" t="n"/>
      <c r="BK213" s="266" t="n"/>
      <c r="BL213" s="266" t="n"/>
      <c r="BM213" s="266" t="n"/>
      <c r="BN213" s="266" t="n"/>
      <c r="BO213" s="266" t="n"/>
      <c r="BP213" s="266" t="n"/>
      <c r="BQ213" s="266" t="n"/>
      <c r="BR213" s="266" t="n"/>
      <c r="BS213" s="266" t="n"/>
      <c r="BT213" s="266" t="n"/>
      <c r="BU213" s="266" t="n"/>
      <c r="BV213" s="266" t="n"/>
      <c r="BW213" s="266" t="n"/>
      <c r="BX213" s="266" t="n"/>
      <c r="BY213" s="266" t="n"/>
      <c r="BZ213" s="266" t="n"/>
      <c r="CA213" s="266" t="n"/>
      <c r="CB213" s="266" t="n"/>
      <c r="CC213" s="266" t="n"/>
      <c r="CD213" s="266" t="n"/>
      <c r="CE213" s="266" t="n"/>
      <c r="CF213" s="266" t="n"/>
      <c r="CG213" s="266" t="n"/>
      <c r="CH213" s="266" t="n"/>
      <c r="CI213" s="266" t="n"/>
      <c r="CJ213" s="266" t="n"/>
      <c r="CK213" s="266" t="n"/>
      <c r="CL213" s="266" t="n"/>
      <c r="CM213" s="266" t="n"/>
      <c r="CN213" s="266" t="n"/>
      <c r="CO213" s="266" t="n"/>
      <c r="CP213" s="266" t="n"/>
      <c r="CQ213" s="266" t="n"/>
      <c r="CR213" s="266" t="n"/>
      <c r="CS213" s="266" t="n"/>
      <c r="CT213" s="266" t="n"/>
      <c r="CU213" s="266" t="n"/>
      <c r="CV213" s="266" t="n"/>
      <c r="CW213" s="266" t="n"/>
      <c r="CX213" s="266" t="n"/>
      <c r="CY213" s="266" t="n"/>
    </row>
    <row r="214" hidden="1" outlineLevel="1" ht="12.75" customHeight="1" s="254">
      <c r="C214" s="310" t="inlineStr">
        <is>
          <t xml:space="preserve">Dividendos a Pagar </t>
        </is>
      </c>
      <c r="D214" s="265" t="n"/>
      <c r="E214" s="265" t="n"/>
      <c r="F214" s="265" t="n"/>
      <c r="G214" s="265" t="n"/>
      <c r="H214" s="266" t="n"/>
      <c r="I214" s="265" t="n"/>
      <c r="J214" s="265" t="n"/>
      <c r="K214" s="265" t="n"/>
      <c r="L214" s="265" t="n"/>
      <c r="M214" s="266" t="n"/>
      <c r="N214" s="265" t="n"/>
      <c r="O214" s="265" t="n"/>
      <c r="P214" s="265" t="n"/>
      <c r="Q214" s="265" t="n"/>
      <c r="R214" s="266" t="n"/>
      <c r="S214" s="265" t="n"/>
      <c r="T214" s="265" t="n"/>
      <c r="U214" s="265" t="n"/>
      <c r="V214" s="265" t="n"/>
      <c r="W214" s="266" t="n"/>
      <c r="X214" s="265" t="n"/>
      <c r="Y214" s="265" t="n"/>
      <c r="Z214" s="265" t="n"/>
      <c r="AA214" s="265" t="n"/>
      <c r="AB214" s="266" t="n"/>
      <c r="AC214" s="265" t="n"/>
      <c r="AD214" s="265" t="n"/>
      <c r="AE214" s="265" t="n"/>
      <c r="AF214" s="265" t="n"/>
      <c r="AG214" s="266" t="n"/>
      <c r="AH214" s="265" t="n"/>
      <c r="AI214" s="265" t="n"/>
      <c r="AJ214" s="265" t="n"/>
      <c r="AK214" s="265" t="n"/>
      <c r="AL214" s="266" t="n"/>
      <c r="AM214" s="265" t="n"/>
      <c r="AN214" s="265" t="n"/>
      <c r="AO214" s="265" t="n"/>
      <c r="AP214" s="265" t="n"/>
      <c r="AQ214" s="266" t="n"/>
      <c r="AR214" s="265" t="n"/>
      <c r="AS214" s="265" t="n"/>
      <c r="AT214" s="265" t="n"/>
      <c r="AU214" s="265" t="n"/>
      <c r="AV214" s="266" t="n"/>
      <c r="AW214" s="265" t="n"/>
      <c r="AX214" s="265" t="n"/>
      <c r="AY214" s="265" t="n"/>
      <c r="AZ214" s="265" t="n"/>
      <c r="BA214" s="266" t="n"/>
      <c r="BB214" s="265" t="n"/>
      <c r="BC214" s="265" t="n"/>
      <c r="BD214" s="265" t="n"/>
      <c r="BE214" s="265" t="n"/>
      <c r="BF214" s="266" t="n"/>
      <c r="BG214" s="265" t="n"/>
      <c r="BH214" s="265" t="n"/>
      <c r="BI214" s="265" t="n"/>
      <c r="BJ214" s="265" t="n"/>
      <c r="BK214" s="266" t="n"/>
      <c r="BL214" s="265" t="n"/>
      <c r="BM214" s="265" t="n"/>
      <c r="BN214" s="265" t="n"/>
      <c r="BO214" s="265" t="n"/>
      <c r="BP214" s="266" t="n"/>
      <c r="BQ214" s="265" t="n"/>
      <c r="BR214" s="265" t="n"/>
      <c r="BS214" s="265" t="n"/>
      <c r="BT214" s="265" t="n"/>
      <c r="BU214" s="266" t="n"/>
      <c r="BV214" s="265" t="n"/>
      <c r="BW214" s="265" t="n"/>
      <c r="BX214" s="265" t="n"/>
      <c r="BY214" s="265" t="n"/>
      <c r="BZ214" s="266" t="n"/>
      <c r="CA214" s="265" t="n"/>
      <c r="CB214" s="265" t="n"/>
      <c r="CC214" s="265" t="n"/>
      <c r="CD214" s="265" t="n"/>
      <c r="CE214" s="266" t="n"/>
      <c r="CF214" s="265" t="n"/>
      <c r="CG214" s="265" t="n"/>
      <c r="CH214" s="265" t="n"/>
      <c r="CI214" s="265" t="n"/>
      <c r="CJ214" s="266" t="n"/>
      <c r="CK214" s="265" t="n"/>
      <c r="CL214" s="265" t="n"/>
      <c r="CM214" s="265" t="n"/>
      <c r="CN214" s="265" t="n"/>
      <c r="CO214" s="266" t="n"/>
      <c r="CP214" s="265" t="n"/>
      <c r="CQ214" s="265" t="n"/>
      <c r="CR214" s="265" t="n"/>
      <c r="CS214" s="265" t="n"/>
      <c r="CT214" s="266" t="n"/>
      <c r="CU214" s="265" t="n"/>
      <c r="CV214" s="265" t="n"/>
      <c r="CW214" s="265" t="n"/>
      <c r="CX214" s="265" t="n"/>
      <c r="CY214" s="266" t="n"/>
    </row>
    <row r="215" hidden="1" outlineLevel="1" ht="12.75" customHeight="1" s="254">
      <c r="C215" s="310" t="inlineStr">
        <is>
          <t>Contas a pagar pela aquisição de controladas</t>
        </is>
      </c>
      <c r="D215" s="265" t="n"/>
      <c r="E215" s="265" t="n"/>
      <c r="F215" s="265" t="n"/>
      <c r="G215" s="265" t="n"/>
      <c r="H215" s="266" t="n"/>
      <c r="I215" s="265" t="n"/>
      <c r="J215" s="265" t="n"/>
      <c r="K215" s="265" t="n"/>
      <c r="L215" s="265" t="n"/>
      <c r="M215" s="266" t="n"/>
      <c r="N215" s="265" t="n"/>
      <c r="O215" s="265" t="n"/>
      <c r="P215" s="265" t="n"/>
      <c r="Q215" s="265" t="n"/>
      <c r="R215" s="266" t="n"/>
      <c r="S215" s="265" t="n"/>
      <c r="T215" s="265" t="n"/>
      <c r="U215" s="265" t="n"/>
      <c r="V215" s="265" t="n"/>
      <c r="W215" s="266" t="n"/>
      <c r="X215" s="265" t="n"/>
      <c r="Y215" s="265" t="n"/>
      <c r="Z215" s="265" t="n"/>
      <c r="AA215" s="265" t="n"/>
      <c r="AB215" s="266" t="n"/>
      <c r="AC215" s="265" t="n"/>
      <c r="AD215" s="265" t="n"/>
      <c r="AE215" s="265" t="n"/>
      <c r="AF215" s="265" t="n"/>
      <c r="AG215" s="266" t="n"/>
      <c r="AH215" s="265" t="n"/>
      <c r="AI215" s="265" t="n"/>
      <c r="AJ215" s="265" t="n"/>
      <c r="AK215" s="265" t="n"/>
      <c r="AL215" s="266" t="n"/>
      <c r="AM215" s="265" t="n"/>
      <c r="AN215" s="265" t="n"/>
      <c r="AO215" s="265" t="n"/>
      <c r="AP215" s="265" t="n"/>
      <c r="AQ215" s="266" t="n"/>
      <c r="AR215" s="265" t="n"/>
      <c r="AS215" s="265" t="n"/>
      <c r="AT215" s="265" t="n"/>
      <c r="AU215" s="265" t="n"/>
      <c r="AV215" s="266" t="n"/>
      <c r="AW215" s="265" t="n"/>
      <c r="AX215" s="265" t="n"/>
      <c r="AY215" s="265" t="n"/>
      <c r="AZ215" s="265" t="n"/>
      <c r="BA215" s="266" t="n"/>
      <c r="BB215" s="265" t="n"/>
      <c r="BC215" s="265" t="n"/>
      <c r="BD215" s="265" t="n"/>
      <c r="BE215" s="265" t="n"/>
      <c r="BF215" s="266" t="n"/>
      <c r="BG215" s="265" t="n"/>
      <c r="BH215" s="265" t="n"/>
      <c r="BI215" s="265" t="n"/>
      <c r="BJ215" s="265" t="n"/>
      <c r="BK215" s="266" t="n"/>
      <c r="BL215" s="265" t="n"/>
      <c r="BM215" s="265" t="n"/>
      <c r="BN215" s="265" t="n"/>
      <c r="BO215" s="265" t="n"/>
      <c r="BP215" s="266" t="n"/>
      <c r="BQ215" s="265" t="n"/>
      <c r="BR215" s="265" t="n"/>
      <c r="BS215" s="265" t="n"/>
      <c r="BT215" s="265" t="n"/>
      <c r="BU215" s="266" t="n"/>
      <c r="BV215" s="265" t="n"/>
      <c r="BW215" s="265" t="n"/>
      <c r="BX215" s="265" t="n"/>
      <c r="BY215" s="265" t="n"/>
      <c r="BZ215" s="266" t="n"/>
      <c r="CA215" s="265" t="n"/>
      <c r="CB215" s="265" t="n"/>
      <c r="CC215" s="265" t="n"/>
      <c r="CD215" s="265" t="n"/>
      <c r="CE215" s="266" t="n"/>
      <c r="CF215" s="265" t="n"/>
      <c r="CG215" s="265" t="n"/>
      <c r="CH215" s="265" t="n"/>
      <c r="CI215" s="265" t="n"/>
      <c r="CJ215" s="266" t="n"/>
      <c r="CK215" s="265" t="n"/>
      <c r="CL215" s="265" t="n"/>
      <c r="CM215" s="265" t="n"/>
      <c r="CN215" s="265" t="n"/>
      <c r="CO215" s="266" t="n"/>
      <c r="CP215" s="265" t="n"/>
      <c r="CQ215" s="265" t="n"/>
      <c r="CR215" s="265" t="n"/>
      <c r="CS215" s="265" t="n"/>
      <c r="CT215" s="266" t="n"/>
      <c r="CU215" s="265" t="n"/>
      <c r="CV215" s="265" t="n"/>
      <c r="CW215" s="265" t="n"/>
      <c r="CX215" s="265" t="n"/>
      <c r="CY215" s="266" t="n"/>
    </row>
    <row r="216" hidden="1" outlineLevel="1" ht="12.75" customHeight="1" s="254">
      <c r="C216" s="310" t="inlineStr">
        <is>
          <t>Outros</t>
        </is>
      </c>
      <c r="D216" s="265" t="n"/>
      <c r="E216" s="265" t="n"/>
      <c r="F216" s="265" t="n"/>
      <c r="G216" s="265" t="n"/>
      <c r="H216" s="266" t="n"/>
      <c r="I216" s="265" t="n"/>
      <c r="J216" s="265" t="n"/>
      <c r="K216" s="265" t="n"/>
      <c r="L216" s="265" t="n"/>
      <c r="M216" s="266" t="n"/>
      <c r="N216" s="265" t="n"/>
      <c r="O216" s="265" t="n"/>
      <c r="P216" s="265" t="n"/>
      <c r="Q216" s="265" t="n"/>
      <c r="R216" s="266" t="n"/>
      <c r="S216" s="265" t="n"/>
      <c r="T216" s="265" t="n"/>
      <c r="U216" s="265" t="n"/>
      <c r="V216" s="265" t="n"/>
      <c r="W216" s="266" t="n"/>
      <c r="X216" s="265" t="n"/>
      <c r="Y216" s="265" t="n"/>
      <c r="Z216" s="265" t="n"/>
      <c r="AA216" s="265" t="n"/>
      <c r="AB216" s="266" t="n"/>
      <c r="AC216" s="265" t="n"/>
      <c r="AD216" s="265" t="n"/>
      <c r="AE216" s="265" t="n"/>
      <c r="AF216" s="265" t="n"/>
      <c r="AG216" s="266" t="n"/>
      <c r="AH216" s="265" t="n"/>
      <c r="AI216" s="265" t="n"/>
      <c r="AJ216" s="265" t="n"/>
      <c r="AK216" s="265" t="n"/>
      <c r="AL216" s="266" t="n"/>
      <c r="AM216" s="265" t="n"/>
      <c r="AN216" s="265" t="n"/>
      <c r="AO216" s="265" t="n"/>
      <c r="AP216" s="265" t="n"/>
      <c r="AQ216" s="266" t="n"/>
      <c r="AR216" s="265" t="n"/>
      <c r="AS216" s="265" t="n"/>
      <c r="AT216" s="265" t="n"/>
      <c r="AU216" s="265" t="n"/>
      <c r="AV216" s="266" t="n"/>
      <c r="AW216" s="265" t="n"/>
      <c r="AX216" s="265" t="n"/>
      <c r="AY216" s="265" t="n"/>
      <c r="AZ216" s="265" t="n"/>
      <c r="BA216" s="266" t="n"/>
      <c r="BB216" s="265" t="n"/>
      <c r="BC216" s="265" t="n"/>
      <c r="BD216" s="265" t="n"/>
      <c r="BE216" s="265" t="n"/>
      <c r="BF216" s="266" t="n"/>
      <c r="BG216" s="265" t="n"/>
      <c r="BH216" s="265" t="n"/>
      <c r="BI216" s="265" t="n"/>
      <c r="BJ216" s="265" t="n"/>
      <c r="BK216" s="266" t="n"/>
      <c r="BL216" s="265" t="n"/>
      <c r="BM216" s="265" t="n"/>
      <c r="BN216" s="265" t="n"/>
      <c r="BO216" s="265" t="n"/>
      <c r="BP216" s="266" t="n"/>
      <c r="BQ216" s="265" t="n"/>
      <c r="BR216" s="265" t="n"/>
      <c r="BS216" s="265" t="n"/>
      <c r="BT216" s="265" t="n"/>
      <c r="BU216" s="266" t="n"/>
      <c r="BV216" s="265" t="n"/>
      <c r="BW216" s="265" t="n"/>
      <c r="BX216" s="265" t="n"/>
      <c r="BY216" s="265" t="n"/>
      <c r="BZ216" s="266" t="n"/>
      <c r="CA216" s="265" t="n"/>
      <c r="CB216" s="265" t="n"/>
      <c r="CC216" s="265" t="n"/>
      <c r="CD216" s="265" t="n"/>
      <c r="CE216" s="266" t="n"/>
      <c r="CF216" s="265" t="n"/>
      <c r="CG216" s="265" t="n"/>
      <c r="CH216" s="265" t="n"/>
      <c r="CI216" s="265" t="n"/>
      <c r="CJ216" s="266" t="n"/>
      <c r="CK216" s="265" t="n"/>
      <c r="CL216" s="265" t="n"/>
      <c r="CM216" s="265" t="n"/>
      <c r="CN216" s="265" t="n"/>
      <c r="CO216" s="266" t="n"/>
      <c r="CP216" s="265" t="n"/>
      <c r="CQ216" s="265" t="n"/>
      <c r="CR216" s="265" t="n"/>
      <c r="CS216" s="265" t="n"/>
      <c r="CT216" s="266" t="n"/>
      <c r="CU216" s="265" t="n"/>
      <c r="CV216" s="265" t="n"/>
      <c r="CW216" s="265" t="n"/>
      <c r="CX216" s="265" t="n"/>
      <c r="CY216" s="266" t="n"/>
    </row>
    <row r="217" hidden="1" outlineLevel="1" ht="12.75" customHeight="1" s="254">
      <c r="C217" s="310" t="n"/>
      <c r="D217" s="266" t="n"/>
      <c r="E217" s="266" t="n"/>
      <c r="F217" s="266" t="n"/>
      <c r="G217" s="266" t="n"/>
      <c r="H217" s="266" t="n"/>
      <c r="I217" s="266" t="n"/>
      <c r="J217" s="266" t="n"/>
      <c r="K217" s="266" t="n"/>
      <c r="L217" s="266" t="n"/>
      <c r="M217" s="266" t="n"/>
      <c r="N217" s="266" t="n"/>
      <c r="O217" s="266" t="n"/>
      <c r="P217" s="266" t="n"/>
      <c r="Q217" s="266" t="n"/>
      <c r="R217" s="266" t="n"/>
      <c r="S217" s="266" t="n"/>
      <c r="T217" s="266" t="n"/>
      <c r="U217" s="266" t="n"/>
      <c r="V217" s="266" t="n"/>
      <c r="W217" s="266" t="n"/>
      <c r="X217" s="266" t="n"/>
      <c r="Y217" s="266" t="n"/>
      <c r="Z217" s="266" t="n"/>
      <c r="AA217" s="266" t="n"/>
      <c r="AB217" s="266" t="n"/>
      <c r="AC217" s="266" t="n"/>
      <c r="AD217" s="266" t="n"/>
      <c r="AE217" s="266" t="n"/>
      <c r="AF217" s="266" t="n"/>
      <c r="AG217" s="266" t="n"/>
      <c r="AH217" s="266" t="n"/>
      <c r="AI217" s="266" t="n"/>
      <c r="AJ217" s="266" t="n"/>
      <c r="AK217" s="266" t="n"/>
      <c r="AL217" s="266" t="n"/>
      <c r="AM217" s="266" t="n"/>
      <c r="AN217" s="266" t="n"/>
      <c r="AO217" s="266" t="n"/>
      <c r="AP217" s="266" t="n"/>
      <c r="AQ217" s="266" t="n"/>
      <c r="AR217" s="266" t="n"/>
      <c r="AS217" s="266" t="n"/>
      <c r="AT217" s="266" t="n"/>
      <c r="AU217" s="266" t="n"/>
      <c r="AV217" s="266" t="n"/>
      <c r="AW217" s="266" t="n"/>
      <c r="AX217" s="266" t="n"/>
      <c r="AY217" s="266" t="n"/>
      <c r="AZ217" s="266" t="n"/>
      <c r="BA217" s="266" t="n"/>
      <c r="BB217" s="266" t="n"/>
      <c r="BC217" s="266" t="n"/>
      <c r="BD217" s="266" t="n"/>
      <c r="BE217" s="266" t="n"/>
      <c r="BF217" s="266" t="n"/>
      <c r="BG217" s="266" t="n"/>
      <c r="BH217" s="266" t="n"/>
      <c r="BI217" s="266" t="n"/>
      <c r="BJ217" s="266" t="n"/>
      <c r="BK217" s="266" t="n"/>
      <c r="BL217" s="266" t="n"/>
      <c r="BM217" s="266" t="n"/>
      <c r="BN217" s="266" t="n"/>
      <c r="BO217" s="266" t="n"/>
      <c r="BP217" s="266" t="n"/>
      <c r="BQ217" s="266" t="n"/>
      <c r="BR217" s="266" t="n"/>
      <c r="BS217" s="266" t="n"/>
      <c r="BT217" s="266" t="n"/>
      <c r="BU217" s="266" t="n"/>
      <c r="BV217" s="266" t="n"/>
      <c r="BW217" s="266" t="n"/>
      <c r="BX217" s="266" t="n"/>
      <c r="BY217" s="266" t="n"/>
      <c r="BZ217" s="266" t="n"/>
      <c r="CA217" s="266" t="n"/>
      <c r="CB217" s="266" t="n"/>
      <c r="CC217" s="266" t="n"/>
      <c r="CD217" s="266" t="n"/>
      <c r="CE217" s="266" t="n"/>
      <c r="CF217" s="266" t="n"/>
      <c r="CG217" s="266" t="n"/>
      <c r="CH217" s="266" t="n"/>
      <c r="CI217" s="266" t="n"/>
      <c r="CJ217" s="266" t="n"/>
      <c r="CK217" s="266" t="n"/>
      <c r="CL217" s="266" t="n"/>
      <c r="CM217" s="266" t="n"/>
      <c r="CN217" s="266" t="n"/>
      <c r="CO217" s="266" t="n"/>
      <c r="CP217" s="266" t="n"/>
      <c r="CQ217" s="266" t="n"/>
      <c r="CR217" s="266" t="n"/>
      <c r="CS217" s="266" t="n"/>
      <c r="CT217" s="266" t="n"/>
      <c r="CU217" s="266" t="n"/>
      <c r="CV217" s="266" t="n"/>
      <c r="CW217" s="266" t="n"/>
      <c r="CX217" s="266" t="n"/>
      <c r="CY217" s="266" t="n"/>
    </row>
    <row r="218" ht="12.75" customHeight="1" s="254">
      <c r="C218" s="268" t="inlineStr">
        <is>
          <t>Current portion of long-term debt</t>
        </is>
      </c>
      <c r="D218" s="299" t="n"/>
      <c r="E218" s="299" t="n"/>
      <c r="F218" s="299" t="n"/>
      <c r="G218" s="299" t="n"/>
      <c r="H218" s="266">
        <f>G218</f>
        <v>0</v>
      </c>
      <c r="I218" s="299">
        <f>INDEX('Inputs (2)'!$D$32:$AL$32,MATCH(I$7,'Inputs (2)'!$D$2:$AL$2,0))</f>
        <v>14541</v>
      </c>
      <c r="J218" s="299">
        <f>INDEX('Inputs (2)'!$D$32:$AL$32,MATCH(J$7,'Inputs (2)'!$D$2:$AL$2,0))</f>
        <v>13042</v>
      </c>
      <c r="K218" s="299">
        <f>INDEX('Inputs (2)'!$D$32:$AL$32,MATCH(K$7,'Inputs (2)'!$D$2:$AL$2,0))</f>
        <v>10686</v>
      </c>
      <c r="L218" s="299">
        <f>INDEX('Inputs (2)'!$D$32:$AL$32,MATCH(L$7,'Inputs (2)'!$D$2:$AL$2,0))</f>
        <v>8218</v>
      </c>
      <c r="M218" s="266">
        <f>L218</f>
        <v>8218</v>
      </c>
      <c r="N218" s="299">
        <f>INDEX('Inputs (2)'!$D$32:$AL$32,MATCH(N$7,'Inputs (2)'!$D$2:$AL$2,0))</f>
        <v>7027</v>
      </c>
      <c r="O218" s="299">
        <f>INDEX('Inputs (2)'!$D$32:$AL$32,MATCH(O$7,'Inputs (2)'!$D$2:$AL$2,0))</f>
        <v>6521</v>
      </c>
      <c r="P218" s="299">
        <f>INDEX('Inputs (2)'!$D$32:$AL$32,MATCH(P$7,'Inputs (2)'!$D$2:$AL$2,0))</f>
        <v>8046</v>
      </c>
      <c r="Q218" s="299">
        <f>INDEX('Inputs (2)'!$D$32:$AL$32,MATCH(Q$7,'Inputs (2)'!$D$2:$AL$2,0))</f>
        <v>9001</v>
      </c>
      <c r="R218" s="266">
        <f>Q218</f>
        <v>9001</v>
      </c>
      <c r="S218" s="299">
        <f>INDEX('Inputs (2)'!$D$32:$AL$32,MATCH(S$7,'Inputs (2)'!$D$2:$AL$2,0))</f>
        <v>9044</v>
      </c>
      <c r="T218" s="299">
        <f>INDEX('Inputs (2)'!$D$32:$AL$32,MATCH(T$7,'Inputs (2)'!$D$2:$AL$2,0))</f>
        <v>12114</v>
      </c>
      <c r="U218" s="299">
        <f>INDEX('Inputs (2)'!$D$32:$AL$32,MATCH(U$7,'Inputs (2)'!$D$2:$AL$2,0))</f>
        <v>10119</v>
      </c>
      <c r="V218" s="299">
        <f>INDEX('Inputs (2)'!$D$32:$AL$32,MATCH(V$7,'Inputs (2)'!$D$2:$AL$2,0))</f>
        <v>9931</v>
      </c>
      <c r="W218" s="266">
        <f>V218</f>
        <v>9931</v>
      </c>
      <c r="X218" s="299">
        <f>INDEX('Inputs (2)'!$D$32:$AL$32,MATCH(X$7,'Inputs (2)'!$D$2:$AL$2,0))</f>
        <v>11046</v>
      </c>
      <c r="Y218" s="299">
        <f>INDEX('Inputs (2)'!$D$32:$AL$32,MATCH(Y$7,'Inputs (2)'!$D$2:$AL$2,0))</f>
        <v>10849</v>
      </c>
      <c r="Z218" s="299">
        <f>INDEX('Inputs (2)'!$D$32:$AL$32,MATCH(Z$7,'Inputs (2)'!$D$2:$AL$2,0))</f>
        <v>12015</v>
      </c>
      <c r="AA218" s="299">
        <f>INDEX('Inputs (2)'!$D$32:$AL$32,MATCH(AA$7,'Inputs (2)'!$D$2:$AL$2,0))</f>
        <v>11630</v>
      </c>
      <c r="AB218" s="266">
        <f>AA218</f>
        <v>11630</v>
      </c>
      <c r="AC218" s="299">
        <f>INDEX('Inputs (2)'!$D$32:$AL$32,MATCH(AC$7,'Inputs (2)'!$D$2:$AL$2,0))</f>
        <v>11391</v>
      </c>
      <c r="AD218" s="299">
        <f>INDEX('Inputs (2)'!$D$32:$AL$32,MATCH(AD$7,'Inputs (2)'!$D$2:$AL$2,0))</f>
        <v>10457</v>
      </c>
      <c r="AE218" s="299">
        <f>INDEX('Inputs (2)'!$D$32:$AL$32,MATCH(AE$7,'Inputs (2)'!$D$2:$AL$2,0))</f>
        <v>10022</v>
      </c>
      <c r="AF218" s="299">
        <f>INDEX('Inputs (2)'!$D$32:$AL$32,MATCH(AF$7,'Inputs (2)'!$D$2:$AL$2,0))</f>
        <v>9128</v>
      </c>
      <c r="AG218" s="266">
        <f>AF218</f>
        <v>9128</v>
      </c>
      <c r="AH218" s="266">
        <f>INDEX('Inputs (2)'!$D$32:$AL$32,MATCH(AH$7,'Inputs (2)'!$D$2:$AL$2,0))</f>
        <v>10060</v>
      </c>
      <c r="AI218" s="266">
        <f>INDEX('Inputs (2)'!$D$32:$AL$32,MATCH(AI$7,'Inputs (2)'!$D$2:$AL$2,0))</f>
        <v>8542</v>
      </c>
      <c r="AJ218" s="266">
        <f>AI218</f>
        <v>8542</v>
      </c>
      <c r="AK218" s="266">
        <f>AJ218</f>
        <v>8542</v>
      </c>
      <c r="AL218" s="266">
        <f>AK218</f>
        <v>8542</v>
      </c>
      <c r="AM218" s="266">
        <f>AL218</f>
        <v>8542</v>
      </c>
      <c r="AN218" s="266">
        <f>AM218</f>
        <v>8542</v>
      </c>
      <c r="AO218" s="266">
        <f>AN218</f>
        <v>8542</v>
      </c>
      <c r="AP218" s="266">
        <f>AO218</f>
        <v>8542</v>
      </c>
      <c r="AQ218" s="266">
        <f>AP218</f>
        <v>8542</v>
      </c>
      <c r="AR218" s="266">
        <f>AQ218</f>
        <v>8542</v>
      </c>
      <c r="AS218" s="266">
        <f>AR218</f>
        <v>8542</v>
      </c>
      <c r="AT218" s="266">
        <f>AS218</f>
        <v>8542</v>
      </c>
      <c r="AU218" s="266">
        <f>AT218</f>
        <v>8542</v>
      </c>
      <c r="AV218" s="266">
        <f>AU218</f>
        <v>8542</v>
      </c>
      <c r="AW218" s="266">
        <f>AV218</f>
        <v>8542</v>
      </c>
      <c r="AX218" s="266">
        <f>AW218</f>
        <v>8542</v>
      </c>
      <c r="AY218" s="266">
        <f>AX218</f>
        <v>8542</v>
      </c>
      <c r="AZ218" s="266">
        <f>AY218</f>
        <v>8542</v>
      </c>
      <c r="BA218" s="266">
        <f>AZ218</f>
        <v>8542</v>
      </c>
      <c r="BB218" s="266">
        <f>BA218</f>
        <v>8542</v>
      </c>
      <c r="BC218" s="266">
        <f>BB218</f>
        <v>8542</v>
      </c>
      <c r="BD218" s="266">
        <f>BC218</f>
        <v>8542</v>
      </c>
      <c r="BE218" s="266">
        <f>BD218</f>
        <v>8542</v>
      </c>
      <c r="BF218" s="266">
        <f>BE218</f>
        <v>8542</v>
      </c>
      <c r="BG218" s="266">
        <f>BF218</f>
        <v>8542</v>
      </c>
      <c r="BH218" s="266">
        <f>BG218</f>
        <v>8542</v>
      </c>
      <c r="BI218" s="266">
        <f>BH218</f>
        <v>8542</v>
      </c>
      <c r="BJ218" s="266">
        <f>BI218</f>
        <v>8542</v>
      </c>
      <c r="BK218" s="266">
        <f>BJ218</f>
        <v>8542</v>
      </c>
      <c r="BL218" s="266">
        <f>BK218</f>
        <v>8542</v>
      </c>
      <c r="BM218" s="266">
        <f>BL218</f>
        <v>8542</v>
      </c>
      <c r="BN218" s="266">
        <f>BM218</f>
        <v>8542</v>
      </c>
      <c r="BO218" s="266">
        <f>BN218</f>
        <v>8542</v>
      </c>
      <c r="BP218" s="266">
        <f>BO218</f>
        <v>8542</v>
      </c>
      <c r="BQ218" s="266">
        <f>BP218</f>
        <v>8542</v>
      </c>
      <c r="BR218" s="266">
        <f>BQ218</f>
        <v>8542</v>
      </c>
      <c r="BS218" s="266">
        <f>BR218</f>
        <v>8542</v>
      </c>
      <c r="BT218" s="266">
        <f>BS218</f>
        <v>8542</v>
      </c>
      <c r="BU218" s="266">
        <f>BT218</f>
        <v>8542</v>
      </c>
      <c r="BV218" s="266">
        <f>BU218</f>
        <v>8542</v>
      </c>
      <c r="BW218" s="266">
        <f>BV218</f>
        <v>8542</v>
      </c>
      <c r="BX218" s="266">
        <f>BW218</f>
        <v>8542</v>
      </c>
      <c r="BY218" s="266">
        <f>BX218</f>
        <v>8542</v>
      </c>
      <c r="BZ218" s="266">
        <f>BY218</f>
        <v>8542</v>
      </c>
      <c r="CA218" s="266">
        <f>BZ218</f>
        <v>8542</v>
      </c>
      <c r="CB218" s="266">
        <f>CA218</f>
        <v>8542</v>
      </c>
      <c r="CC218" s="266">
        <f>CB218</f>
        <v>8542</v>
      </c>
      <c r="CD218" s="266">
        <f>CC218</f>
        <v>8542</v>
      </c>
      <c r="CE218" s="266">
        <f>CD218</f>
        <v>8542</v>
      </c>
      <c r="CF218" s="266">
        <f>CE218</f>
        <v>8542</v>
      </c>
      <c r="CG218" s="266">
        <f>CF218</f>
        <v>8542</v>
      </c>
      <c r="CH218" s="266">
        <f>CG218</f>
        <v>8542</v>
      </c>
      <c r="CI218" s="266">
        <f>CH218</f>
        <v>8542</v>
      </c>
      <c r="CJ218" s="266">
        <f>CI218</f>
        <v>8542</v>
      </c>
      <c r="CK218" s="266">
        <f>CJ218</f>
        <v>8542</v>
      </c>
      <c r="CL218" s="266">
        <f>CK218</f>
        <v>8542</v>
      </c>
      <c r="CM218" s="266">
        <f>CL218</f>
        <v>8542</v>
      </c>
      <c r="CN218" s="266">
        <f>CM218</f>
        <v>8542</v>
      </c>
      <c r="CO218" s="266">
        <f>CN218</f>
        <v>8542</v>
      </c>
      <c r="CP218" s="266">
        <f>CO218</f>
        <v>8542</v>
      </c>
      <c r="CQ218" s="266">
        <f>CP218</f>
        <v>8542</v>
      </c>
      <c r="CR218" s="266">
        <f>CQ218</f>
        <v>8542</v>
      </c>
      <c r="CS218" s="266">
        <f>CR218</f>
        <v>8542</v>
      </c>
      <c r="CT218" s="266">
        <f>CS218</f>
        <v>8542</v>
      </c>
      <c r="CU218" s="266">
        <f>CT218</f>
        <v>8542</v>
      </c>
      <c r="CV218" s="266">
        <f>CU218</f>
        <v>8542</v>
      </c>
      <c r="CW218" s="266">
        <f>CV218</f>
        <v>8542</v>
      </c>
      <c r="CX218" s="266">
        <f>CW218</f>
        <v>8542</v>
      </c>
      <c r="CY218" s="266">
        <f>CX218</f>
        <v>8542</v>
      </c>
    </row>
    <row r="219" ht="12.75" customHeight="1" s="254">
      <c r="C219" s="268" t="inlineStr">
        <is>
          <t>Short term debt (Revolving credit facility)</t>
        </is>
      </c>
      <c r="D219" s="299" t="n"/>
      <c r="E219" s="299" t="n"/>
      <c r="F219" s="299" t="n"/>
      <c r="G219" s="299" t="n"/>
      <c r="H219" s="266">
        <f>G219</f>
        <v>0</v>
      </c>
      <c r="I219" s="299" t="n"/>
      <c r="J219" s="299" t="n"/>
      <c r="K219" s="299" t="n"/>
      <c r="L219" s="299" t="n"/>
      <c r="M219" s="266">
        <f>L219</f>
        <v>0</v>
      </c>
      <c r="N219" s="299" t="n"/>
      <c r="O219" s="299" t="n"/>
      <c r="P219" s="299" t="n"/>
      <c r="Q219" s="299" t="n"/>
      <c r="R219" s="266">
        <f>Q219</f>
        <v>0</v>
      </c>
      <c r="S219" s="299" t="n"/>
      <c r="T219" s="299" t="n"/>
      <c r="U219" s="299" t="n"/>
      <c r="V219" s="299" t="n"/>
      <c r="W219" s="266">
        <f>V219</f>
        <v>0</v>
      </c>
      <c r="X219" s="299" t="n"/>
      <c r="Y219" s="299" t="n"/>
      <c r="Z219" s="299" t="n"/>
      <c r="AA219" s="299" t="n"/>
      <c r="AB219" s="266">
        <f>AA219</f>
        <v>0</v>
      </c>
      <c r="AC219" s="299" t="n"/>
      <c r="AD219" s="299" t="n"/>
      <c r="AE219" s="299" t="n"/>
      <c r="AF219" s="299" t="n"/>
      <c r="AG219" s="266">
        <f>AF219</f>
        <v>0</v>
      </c>
      <c r="AH219" s="266">
        <f>AG219</f>
        <v>0</v>
      </c>
      <c r="AI219" s="266">
        <f>AH219</f>
        <v>0</v>
      </c>
      <c r="AJ219" s="266">
        <f>AI219</f>
        <v>0</v>
      </c>
      <c r="AK219" s="266">
        <f>AJ219</f>
        <v>0</v>
      </c>
      <c r="AL219" s="266">
        <f>AK219</f>
        <v>0</v>
      </c>
      <c r="AM219" s="266">
        <f>AL219</f>
        <v>0</v>
      </c>
      <c r="AN219" s="266">
        <f>AM219</f>
        <v>0</v>
      </c>
      <c r="AO219" s="266">
        <f>AN219</f>
        <v>0</v>
      </c>
      <c r="AP219" s="266">
        <f>AO219</f>
        <v>0</v>
      </c>
      <c r="AQ219" s="266">
        <f>AP219</f>
        <v>0</v>
      </c>
      <c r="AR219" s="266">
        <f>AQ219</f>
        <v>0</v>
      </c>
      <c r="AS219" s="266">
        <f>AR219</f>
        <v>0</v>
      </c>
      <c r="AT219" s="266">
        <f>AS219</f>
        <v>0</v>
      </c>
      <c r="AU219" s="266">
        <f>AT219</f>
        <v>0</v>
      </c>
      <c r="AV219" s="266">
        <f>AU219</f>
        <v>0</v>
      </c>
      <c r="AW219" s="266">
        <f>AV219</f>
        <v>0</v>
      </c>
      <c r="AX219" s="266">
        <f>AW219</f>
        <v>0</v>
      </c>
      <c r="AY219" s="266">
        <f>AX219</f>
        <v>0</v>
      </c>
      <c r="AZ219" s="266">
        <f>AY219</f>
        <v>0</v>
      </c>
      <c r="BA219" s="266">
        <f>AZ219</f>
        <v>0</v>
      </c>
      <c r="BB219" s="266">
        <f>BA219</f>
        <v>0</v>
      </c>
      <c r="BC219" s="266">
        <f>BB219</f>
        <v>0</v>
      </c>
      <c r="BD219" s="266">
        <f>BC219</f>
        <v>0</v>
      </c>
      <c r="BE219" s="266">
        <f>BD219</f>
        <v>0</v>
      </c>
      <c r="BF219" s="266">
        <f>BE219</f>
        <v>0</v>
      </c>
      <c r="BG219" s="266">
        <f>BF219</f>
        <v>0</v>
      </c>
      <c r="BH219" s="266">
        <f>BG219</f>
        <v>0</v>
      </c>
      <c r="BI219" s="266">
        <f>BH219</f>
        <v>0</v>
      </c>
      <c r="BJ219" s="266">
        <f>BI219</f>
        <v>0</v>
      </c>
      <c r="BK219" s="266">
        <f>BJ219</f>
        <v>0</v>
      </c>
      <c r="BL219" s="266">
        <f>BK219</f>
        <v>0</v>
      </c>
      <c r="BM219" s="266">
        <f>BL219</f>
        <v>0</v>
      </c>
      <c r="BN219" s="266">
        <f>BM219</f>
        <v>0</v>
      </c>
      <c r="BO219" s="266">
        <f>BN219</f>
        <v>0</v>
      </c>
      <c r="BP219" s="266">
        <f>BO219</f>
        <v>0</v>
      </c>
      <c r="BQ219" s="266">
        <f>BP219</f>
        <v>0</v>
      </c>
      <c r="BR219" s="266">
        <f>BQ219</f>
        <v>0</v>
      </c>
      <c r="BS219" s="266">
        <f>BR219</f>
        <v>0</v>
      </c>
      <c r="BT219" s="266">
        <f>BS219</f>
        <v>0</v>
      </c>
      <c r="BU219" s="266">
        <f>BT219</f>
        <v>0</v>
      </c>
      <c r="BV219" s="266">
        <f>BU219</f>
        <v>0</v>
      </c>
      <c r="BW219" s="266">
        <f>BV219</f>
        <v>0</v>
      </c>
      <c r="BX219" s="266">
        <f>BW219</f>
        <v>0</v>
      </c>
      <c r="BY219" s="266">
        <f>BX219</f>
        <v>0</v>
      </c>
      <c r="BZ219" s="266">
        <f>BY219</f>
        <v>0</v>
      </c>
      <c r="CA219" s="266">
        <f>BZ219</f>
        <v>0</v>
      </c>
      <c r="CB219" s="266">
        <f>CA219</f>
        <v>0</v>
      </c>
      <c r="CC219" s="266">
        <f>CB219</f>
        <v>0</v>
      </c>
      <c r="CD219" s="266">
        <f>CC219</f>
        <v>0</v>
      </c>
      <c r="CE219" s="266">
        <f>CD219</f>
        <v>0</v>
      </c>
      <c r="CF219" s="266">
        <f>CE219</f>
        <v>0</v>
      </c>
      <c r="CG219" s="266">
        <f>CF219</f>
        <v>0</v>
      </c>
      <c r="CH219" s="266">
        <f>CG219</f>
        <v>0</v>
      </c>
      <c r="CI219" s="266">
        <f>CH219</f>
        <v>0</v>
      </c>
      <c r="CJ219" s="266">
        <f>CI219</f>
        <v>0</v>
      </c>
      <c r="CK219" s="266">
        <f>CJ219</f>
        <v>0</v>
      </c>
      <c r="CL219" s="266">
        <f>CK219</f>
        <v>0</v>
      </c>
      <c r="CM219" s="266">
        <f>CL219</f>
        <v>0</v>
      </c>
      <c r="CN219" s="266">
        <f>CM219</f>
        <v>0</v>
      </c>
      <c r="CO219" s="266">
        <f>CN219</f>
        <v>0</v>
      </c>
      <c r="CP219" s="266">
        <f>CO219</f>
        <v>0</v>
      </c>
      <c r="CQ219" s="266">
        <f>CP219</f>
        <v>0</v>
      </c>
      <c r="CR219" s="266">
        <f>CQ219</f>
        <v>0</v>
      </c>
      <c r="CS219" s="266">
        <f>CR219</f>
        <v>0</v>
      </c>
      <c r="CT219" s="266">
        <f>CS219</f>
        <v>0</v>
      </c>
      <c r="CU219" s="266">
        <f>CT219</f>
        <v>0</v>
      </c>
      <c r="CV219" s="266">
        <f>CU219</f>
        <v>0</v>
      </c>
      <c r="CW219" s="266">
        <f>CV219</f>
        <v>0</v>
      </c>
      <c r="CX219" s="266">
        <f>CW219</f>
        <v>0</v>
      </c>
      <c r="CY219" s="266">
        <f>CX219</f>
        <v>0</v>
      </c>
    </row>
    <row r="220" ht="12.75" customHeight="1" s="254">
      <c r="C220" s="268" t="inlineStr">
        <is>
          <t>Short term operating leases</t>
        </is>
      </c>
      <c r="D220" s="299" t="n"/>
      <c r="E220" s="299" t="n"/>
      <c r="F220" s="299" t="n"/>
      <c r="G220" s="299" t="n"/>
      <c r="H220" s="266">
        <f>G220</f>
        <v>0</v>
      </c>
      <c r="I220" s="299" t="n"/>
      <c r="J220" s="299" t="n"/>
      <c r="K220" s="299" t="n"/>
      <c r="L220" s="299" t="n"/>
      <c r="M220" s="266">
        <f>L220</f>
        <v>0</v>
      </c>
      <c r="N220" s="299" t="n"/>
      <c r="O220" s="299" t="n"/>
      <c r="P220" s="299" t="n"/>
      <c r="Q220" s="299" t="n"/>
      <c r="R220" s="266">
        <f>Q220</f>
        <v>0</v>
      </c>
      <c r="S220" s="299" t="n"/>
      <c r="T220" s="299" t="n"/>
      <c r="U220" s="299" t="n"/>
      <c r="V220" s="299" t="n"/>
      <c r="W220" s="266">
        <f>V220</f>
        <v>0</v>
      </c>
      <c r="X220" s="299" t="n"/>
      <c r="Y220" s="299" t="n"/>
      <c r="Z220" s="299" t="n"/>
      <c r="AA220" s="299" t="n"/>
      <c r="AB220" s="266">
        <f>AA220</f>
        <v>0</v>
      </c>
      <c r="AC220" s="299" t="n"/>
      <c r="AD220" s="299" t="n"/>
      <c r="AE220" s="299" t="n"/>
      <c r="AF220" s="299" t="n"/>
      <c r="AG220" s="266">
        <f>AF220</f>
        <v>0</v>
      </c>
      <c r="AH220" s="266">
        <f>AG220</f>
        <v>0</v>
      </c>
      <c r="AI220" s="266">
        <f>AH220</f>
        <v>0</v>
      </c>
      <c r="AJ220" s="266">
        <f>AI220</f>
        <v>0</v>
      </c>
      <c r="AK220" s="266">
        <f>AJ220</f>
        <v>0</v>
      </c>
      <c r="AL220" s="266">
        <f>AK220</f>
        <v>0</v>
      </c>
      <c r="AM220" s="266">
        <f>AL220</f>
        <v>0</v>
      </c>
      <c r="AN220" s="266">
        <f>AM220</f>
        <v>0</v>
      </c>
      <c r="AO220" s="266">
        <f>AN220</f>
        <v>0</v>
      </c>
      <c r="AP220" s="266">
        <f>AO220</f>
        <v>0</v>
      </c>
      <c r="AQ220" s="266">
        <f>AP220</f>
        <v>0</v>
      </c>
      <c r="AR220" s="266">
        <f>AQ220</f>
        <v>0</v>
      </c>
      <c r="AS220" s="266">
        <f>AR220</f>
        <v>0</v>
      </c>
      <c r="AT220" s="266">
        <f>AS220</f>
        <v>0</v>
      </c>
      <c r="AU220" s="266">
        <f>AT220</f>
        <v>0</v>
      </c>
      <c r="AV220" s="266">
        <f>AU220</f>
        <v>0</v>
      </c>
      <c r="AW220" s="266">
        <f>AV220</f>
        <v>0</v>
      </c>
      <c r="AX220" s="266">
        <f>AW220</f>
        <v>0</v>
      </c>
      <c r="AY220" s="266">
        <f>AX220</f>
        <v>0</v>
      </c>
      <c r="AZ220" s="266">
        <f>AY220</f>
        <v>0</v>
      </c>
      <c r="BA220" s="266">
        <f>AZ220</f>
        <v>0</v>
      </c>
      <c r="BB220" s="266">
        <f>BA220</f>
        <v>0</v>
      </c>
      <c r="BC220" s="266">
        <f>BB220</f>
        <v>0</v>
      </c>
      <c r="BD220" s="266">
        <f>BC220</f>
        <v>0</v>
      </c>
      <c r="BE220" s="266">
        <f>BD220</f>
        <v>0</v>
      </c>
      <c r="BF220" s="266">
        <f>BE220</f>
        <v>0</v>
      </c>
      <c r="BG220" s="266">
        <f>BF220</f>
        <v>0</v>
      </c>
      <c r="BH220" s="266">
        <f>BG220</f>
        <v>0</v>
      </c>
      <c r="BI220" s="266">
        <f>BH220</f>
        <v>0</v>
      </c>
      <c r="BJ220" s="266">
        <f>BI220</f>
        <v>0</v>
      </c>
      <c r="BK220" s="266">
        <f>BJ220</f>
        <v>0</v>
      </c>
      <c r="BL220" s="266">
        <f>BK220</f>
        <v>0</v>
      </c>
      <c r="BM220" s="266">
        <f>BL220</f>
        <v>0</v>
      </c>
      <c r="BN220" s="266">
        <f>BM220</f>
        <v>0</v>
      </c>
      <c r="BO220" s="266">
        <f>BN220</f>
        <v>0</v>
      </c>
      <c r="BP220" s="266">
        <f>BO220</f>
        <v>0</v>
      </c>
      <c r="BQ220" s="266">
        <f>BP220</f>
        <v>0</v>
      </c>
      <c r="BR220" s="266">
        <f>BQ220</f>
        <v>0</v>
      </c>
      <c r="BS220" s="266">
        <f>BR220</f>
        <v>0</v>
      </c>
      <c r="BT220" s="266">
        <f>BS220</f>
        <v>0</v>
      </c>
      <c r="BU220" s="266">
        <f>BT220</f>
        <v>0</v>
      </c>
      <c r="BV220" s="266">
        <f>BU220</f>
        <v>0</v>
      </c>
      <c r="BW220" s="266">
        <f>BV220</f>
        <v>0</v>
      </c>
      <c r="BX220" s="266">
        <f>BW220</f>
        <v>0</v>
      </c>
      <c r="BY220" s="266">
        <f>BX220</f>
        <v>0</v>
      </c>
      <c r="BZ220" s="266">
        <f>BY220</f>
        <v>0</v>
      </c>
      <c r="CA220" s="266">
        <f>BZ220</f>
        <v>0</v>
      </c>
      <c r="CB220" s="266">
        <f>CA220</f>
        <v>0</v>
      </c>
      <c r="CC220" s="266">
        <f>CB220</f>
        <v>0</v>
      </c>
      <c r="CD220" s="266">
        <f>CC220</f>
        <v>0</v>
      </c>
      <c r="CE220" s="266">
        <f>CD220</f>
        <v>0</v>
      </c>
      <c r="CF220" s="266">
        <f>CE220</f>
        <v>0</v>
      </c>
      <c r="CG220" s="266">
        <f>CF220</f>
        <v>0</v>
      </c>
      <c r="CH220" s="266">
        <f>CG220</f>
        <v>0</v>
      </c>
      <c r="CI220" s="266">
        <f>CH220</f>
        <v>0</v>
      </c>
      <c r="CJ220" s="266">
        <f>CI220</f>
        <v>0</v>
      </c>
      <c r="CK220" s="266">
        <f>CJ220</f>
        <v>0</v>
      </c>
      <c r="CL220" s="266">
        <f>CK220</f>
        <v>0</v>
      </c>
      <c r="CM220" s="266">
        <f>CL220</f>
        <v>0</v>
      </c>
      <c r="CN220" s="266">
        <f>CM220</f>
        <v>0</v>
      </c>
      <c r="CO220" s="266">
        <f>CN220</f>
        <v>0</v>
      </c>
      <c r="CP220" s="266">
        <f>CO220</f>
        <v>0</v>
      </c>
      <c r="CQ220" s="266">
        <f>CP220</f>
        <v>0</v>
      </c>
      <c r="CR220" s="266">
        <f>CQ220</f>
        <v>0</v>
      </c>
      <c r="CS220" s="266">
        <f>CR220</f>
        <v>0</v>
      </c>
      <c r="CT220" s="266">
        <f>CS220</f>
        <v>0</v>
      </c>
      <c r="CU220" s="266">
        <f>CT220</f>
        <v>0</v>
      </c>
      <c r="CV220" s="266">
        <f>CU220</f>
        <v>0</v>
      </c>
      <c r="CW220" s="266">
        <f>CV220</f>
        <v>0</v>
      </c>
      <c r="CX220" s="266">
        <f>CW220</f>
        <v>0</v>
      </c>
      <c r="CY220" s="266">
        <f>CX220</f>
        <v>0</v>
      </c>
    </row>
    <row r="221" hidden="1" outlineLevel="1" ht="12.75" customHeight="1" s="254">
      <c r="C221" s="312" t="inlineStr">
        <is>
          <t>%(Var.)</t>
        </is>
      </c>
      <c r="D221" s="266" t="n"/>
      <c r="E221" s="294">
        <f>IFERROR((E220-D220)/D220,0)</f>
        <v>0</v>
      </c>
      <c r="F221" s="294">
        <f>IFERROR((F220-E220)/E220,0)</f>
        <v>0</v>
      </c>
      <c r="G221" s="294">
        <f>IFERROR((G220-F220)/F220,0)</f>
        <v>0</v>
      </c>
      <c r="H221" s="266" t="n"/>
      <c r="I221" s="294">
        <f>IFERROR((I220-H220)/H220,0)</f>
        <v>0</v>
      </c>
      <c r="J221" s="294">
        <f>IFERROR((J220-I220)/I220,0)</f>
        <v>0</v>
      </c>
      <c r="K221" s="294">
        <f>IFERROR((K220-J220)/J220,0)</f>
        <v>0</v>
      </c>
      <c r="L221" s="294">
        <f>IFERROR((L220-K220)/K220,0)</f>
        <v>0</v>
      </c>
      <c r="M221" s="266" t="n"/>
      <c r="N221" s="294">
        <f>IFERROR((N220-M220)/M220,0)</f>
        <v>0</v>
      </c>
      <c r="O221" s="294">
        <f>IFERROR((O220-N220)/N220,0)</f>
        <v>0</v>
      </c>
      <c r="P221" s="294">
        <f>IFERROR((P220-O220)/O220,0)</f>
        <v>0</v>
      </c>
      <c r="Q221" s="294">
        <f>IFERROR((Q220-P220)/P220,0)</f>
        <v>0</v>
      </c>
      <c r="R221" s="266" t="n"/>
      <c r="S221" s="294">
        <f>IFERROR((S220-R220)/R220,0)</f>
        <v>0</v>
      </c>
      <c r="T221" s="294">
        <f>IFERROR((T220-S220)/S220,0)</f>
        <v>0</v>
      </c>
      <c r="U221" s="294">
        <f>IFERROR((U220-T220)/T220,0)</f>
        <v>0</v>
      </c>
      <c r="V221" s="294">
        <f>IFERROR((V220-U220)/U220,0)</f>
        <v>0</v>
      </c>
      <c r="W221" s="266" t="n"/>
      <c r="X221" s="294">
        <f>IFERROR((X220-W220)/W220,0)</f>
        <v>0</v>
      </c>
      <c r="Y221" s="294">
        <f>IFERROR((Y220-X220)/X220,0)</f>
        <v>0</v>
      </c>
      <c r="Z221" s="294">
        <f>IFERROR((Z220-Y220)/Y220,0)</f>
        <v>0</v>
      </c>
      <c r="AA221" s="294">
        <f>IFERROR((AA220-Z220)/Z220,0)</f>
        <v>0</v>
      </c>
      <c r="AB221" s="266" t="n"/>
      <c r="AC221" s="294">
        <f>IFERROR((AC220-AB220)/AB220,0)</f>
        <v>0</v>
      </c>
      <c r="AD221" s="294">
        <f>IFERROR((AD220-AC220)/AC220,0)</f>
        <v>0</v>
      </c>
      <c r="AE221" s="294">
        <f>IFERROR((AE220-AD220)/AD220,0)</f>
        <v>0</v>
      </c>
      <c r="AF221" s="265">
        <f>IFERROR((AF220-AE220)/AE220,0)</f>
        <v>0</v>
      </c>
      <c r="AG221" s="266" t="n"/>
      <c r="AH221" s="265">
        <f>IFERROR((AH220-AG220)/AG220,0)</f>
        <v>0</v>
      </c>
      <c r="AI221" s="265">
        <f>IFERROR((AI220-AH220)/AH220,0)</f>
        <v>0</v>
      </c>
      <c r="AJ221" s="265" t="n"/>
      <c r="AK221" s="265" t="n"/>
      <c r="AL221" s="266" t="n"/>
      <c r="AM221" s="265" t="n"/>
      <c r="AN221" s="265" t="n"/>
      <c r="AO221" s="265" t="n"/>
      <c r="AP221" s="265" t="n"/>
      <c r="AQ221" s="266" t="n"/>
      <c r="AR221" s="265" t="n"/>
      <c r="AS221" s="265" t="n"/>
      <c r="AT221" s="265" t="n"/>
      <c r="AU221" s="265" t="n"/>
      <c r="AV221" s="266" t="n"/>
      <c r="AW221" s="265" t="n"/>
      <c r="AX221" s="265" t="n"/>
      <c r="AY221" s="265" t="n"/>
      <c r="AZ221" s="265" t="n"/>
      <c r="BA221" s="266" t="n"/>
      <c r="BB221" s="265" t="n"/>
      <c r="BC221" s="265" t="n"/>
      <c r="BD221" s="265" t="n"/>
      <c r="BE221" s="265" t="n"/>
      <c r="BF221" s="266" t="n"/>
      <c r="BG221" s="265" t="n"/>
      <c r="BH221" s="265" t="n"/>
      <c r="BI221" s="265" t="n"/>
      <c r="BJ221" s="265" t="n"/>
      <c r="BK221" s="266" t="n"/>
      <c r="BL221" s="265" t="n"/>
      <c r="BM221" s="265" t="n"/>
      <c r="BN221" s="265" t="n"/>
      <c r="BO221" s="265" t="n"/>
      <c r="BP221" s="266" t="n"/>
      <c r="BQ221" s="265" t="n"/>
      <c r="BR221" s="265" t="n"/>
      <c r="BS221" s="265" t="n"/>
      <c r="BT221" s="265" t="n"/>
      <c r="BU221" s="266" t="n"/>
      <c r="BV221" s="265" t="n"/>
      <c r="BW221" s="265" t="n"/>
      <c r="BX221" s="265" t="n"/>
      <c r="BY221" s="265" t="n"/>
      <c r="BZ221" s="266" t="n"/>
      <c r="CA221" s="265" t="n"/>
      <c r="CB221" s="265" t="n"/>
      <c r="CC221" s="265" t="n"/>
      <c r="CD221" s="265" t="n"/>
      <c r="CE221" s="266" t="n"/>
      <c r="CF221" s="265" t="n"/>
      <c r="CG221" s="265" t="n"/>
      <c r="CH221" s="265" t="n"/>
      <c r="CI221" s="265" t="n"/>
      <c r="CJ221" s="266" t="n"/>
      <c r="CK221" s="265" t="n"/>
      <c r="CL221" s="265" t="n"/>
      <c r="CM221" s="265" t="n"/>
      <c r="CN221" s="265" t="n"/>
      <c r="CO221" s="266" t="n"/>
      <c r="CP221" s="265" t="n"/>
      <c r="CQ221" s="265" t="n"/>
      <c r="CR221" s="265" t="n"/>
      <c r="CS221" s="265" t="n"/>
      <c r="CT221" s="266" t="n"/>
      <c r="CU221" s="265" t="n"/>
      <c r="CV221" s="265" t="n"/>
      <c r="CW221" s="265" t="n"/>
      <c r="CX221" s="265" t="n"/>
      <c r="CY221" s="266" t="n"/>
    </row>
    <row r="222" hidden="1" outlineLevel="1" ht="12.75" customHeight="1" s="254">
      <c r="C222" s="310" t="n"/>
      <c r="D222" s="266" t="n"/>
      <c r="E222" s="266" t="n"/>
      <c r="F222" s="266" t="n"/>
      <c r="G222" s="266" t="n"/>
      <c r="H222" s="266" t="n"/>
      <c r="I222" s="266" t="n"/>
      <c r="J222" s="266" t="n"/>
      <c r="K222" s="266" t="n"/>
      <c r="L222" s="266" t="n"/>
      <c r="M222" s="266" t="n"/>
      <c r="N222" s="266" t="n"/>
      <c r="O222" s="266" t="n"/>
      <c r="P222" s="266" t="n"/>
      <c r="Q222" s="266" t="n"/>
      <c r="R222" s="266" t="n"/>
      <c r="S222" s="266" t="n"/>
      <c r="T222" s="266" t="n"/>
      <c r="U222" s="266" t="n"/>
      <c r="V222" s="266" t="n"/>
      <c r="W222" s="266" t="n"/>
      <c r="X222" s="266" t="n"/>
      <c r="Y222" s="266" t="n"/>
      <c r="Z222" s="266" t="n"/>
      <c r="AA222" s="266" t="n"/>
      <c r="AB222" s="266" t="n"/>
      <c r="AC222" s="266" t="n"/>
      <c r="AD222" s="266" t="n"/>
      <c r="AE222" s="266" t="n"/>
      <c r="AF222" s="266" t="n"/>
      <c r="AG222" s="266" t="n"/>
      <c r="AH222" s="266" t="n"/>
      <c r="AI222" s="266" t="n"/>
      <c r="AJ222" s="266" t="n"/>
      <c r="AK222" s="266" t="n"/>
      <c r="AL222" s="266" t="n"/>
      <c r="AM222" s="266" t="n"/>
      <c r="AN222" s="266" t="n"/>
      <c r="AO222" s="266" t="n"/>
      <c r="AP222" s="266" t="n"/>
      <c r="AQ222" s="266" t="n"/>
      <c r="AR222" s="266" t="n"/>
      <c r="AS222" s="266" t="n"/>
      <c r="AT222" s="266" t="n"/>
      <c r="AU222" s="266" t="n"/>
      <c r="AV222" s="266" t="n"/>
      <c r="AW222" s="266" t="n"/>
      <c r="AX222" s="266" t="n"/>
      <c r="AY222" s="266" t="n"/>
      <c r="AZ222" s="266" t="n"/>
      <c r="BA222" s="266" t="n"/>
      <c r="BB222" s="266" t="n"/>
      <c r="BC222" s="266" t="n"/>
      <c r="BD222" s="266" t="n"/>
      <c r="BE222" s="266" t="n"/>
      <c r="BF222" s="266" t="n"/>
      <c r="BG222" s="266" t="n"/>
      <c r="BH222" s="266" t="n"/>
      <c r="BI222" s="266" t="n"/>
      <c r="BJ222" s="266" t="n"/>
      <c r="BK222" s="266" t="n"/>
      <c r="BL222" s="266" t="n"/>
      <c r="BM222" s="266" t="n"/>
      <c r="BN222" s="266" t="n"/>
      <c r="BO222" s="266" t="n"/>
      <c r="BP222" s="266" t="n"/>
      <c r="BQ222" s="266" t="n"/>
      <c r="BR222" s="266" t="n"/>
      <c r="BS222" s="266" t="n"/>
      <c r="BT222" s="266" t="n"/>
      <c r="BU222" s="266" t="n"/>
      <c r="BV222" s="266" t="n"/>
      <c r="BW222" s="266" t="n"/>
      <c r="BX222" s="266" t="n"/>
      <c r="BY222" s="266" t="n"/>
      <c r="BZ222" s="266" t="n"/>
      <c r="CA222" s="266" t="n"/>
      <c r="CB222" s="266" t="n"/>
      <c r="CC222" s="266" t="n"/>
      <c r="CD222" s="266" t="n"/>
      <c r="CE222" s="266" t="n"/>
      <c r="CF222" s="266" t="n"/>
      <c r="CG222" s="266" t="n"/>
      <c r="CH222" s="266" t="n"/>
      <c r="CI222" s="266" t="n"/>
      <c r="CJ222" s="266" t="n"/>
      <c r="CK222" s="266" t="n"/>
      <c r="CL222" s="266" t="n"/>
      <c r="CM222" s="266" t="n"/>
      <c r="CN222" s="266" t="n"/>
      <c r="CO222" s="266" t="n"/>
      <c r="CP222" s="266" t="n"/>
      <c r="CQ222" s="266" t="n"/>
      <c r="CR222" s="266" t="n"/>
      <c r="CS222" s="266" t="n"/>
      <c r="CT222" s="266" t="n"/>
      <c r="CU222" s="266" t="n"/>
      <c r="CV222" s="266" t="n"/>
      <c r="CW222" s="266" t="n"/>
      <c r="CX222" s="266" t="n"/>
      <c r="CY222" s="266" t="n"/>
    </row>
    <row r="223" ht="12.75" customHeight="1" s="254">
      <c r="C223" s="268" t="inlineStr">
        <is>
          <t>Long term debt</t>
        </is>
      </c>
      <c r="D223" s="299" t="n"/>
      <c r="E223" s="299" t="n"/>
      <c r="F223" s="299" t="n"/>
      <c r="G223" s="299" t="n"/>
      <c r="H223" s="266">
        <f>G223</f>
        <v>0</v>
      </c>
      <c r="I223" s="299">
        <f>INDEX('Inputs (2)'!$D$35:$AL$35,MATCH(I$7,'Inputs (2)'!$D$2:$AL$2,0))</f>
        <v>87828</v>
      </c>
      <c r="J223" s="299">
        <f>INDEX('Inputs (2)'!$D$35:$AL$35,MATCH(J$7,'Inputs (2)'!$D$2:$AL$2,0))</f>
        <v>87034</v>
      </c>
      <c r="K223" s="299">
        <f>INDEX('Inputs (2)'!$D$35:$AL$35,MATCH(K$7,'Inputs (2)'!$D$2:$AL$2,0))</f>
        <v>84705</v>
      </c>
      <c r="L223" s="299">
        <f>INDEX('Inputs (2)'!$D$35:$AL$35,MATCH(L$7,'Inputs (2)'!$D$2:$AL$2,0))</f>
        <v>80868</v>
      </c>
      <c r="M223" s="266">
        <f>L223</f>
        <v>80868</v>
      </c>
      <c r="N223" s="299">
        <f>INDEX('Inputs (2)'!$D$35:$AL$35,MATCH(N$7,'Inputs (2)'!$D$2:$AL$2,0))</f>
        <v>79021</v>
      </c>
      <c r="O223" s="299">
        <f>INDEX('Inputs (2)'!$D$35:$AL$35,MATCH(O$7,'Inputs (2)'!$D$2:$AL$2,0))</f>
        <v>77220</v>
      </c>
      <c r="P223" s="299">
        <f>INDEX('Inputs (2)'!$D$35:$AL$35,MATCH(P$7,'Inputs (2)'!$D$2:$AL$2,0))</f>
        <v>73944</v>
      </c>
      <c r="Q223" s="299">
        <f>INDEX('Inputs (2)'!$D$35:$AL$35,MATCH(Q$7,'Inputs (2)'!$D$2:$AL$2,0))</f>
        <v>74794</v>
      </c>
      <c r="R223" s="266">
        <f>Q223</f>
        <v>74794</v>
      </c>
      <c r="S223" s="299">
        <f>INDEX('Inputs (2)'!$D$35:$AL$35,MATCH(S$7,'Inputs (2)'!$D$2:$AL$2,0))</f>
        <v>76098</v>
      </c>
      <c r="T223" s="299">
        <f>INDEX('Inputs (2)'!$D$35:$AL$35,MATCH(T$7,'Inputs (2)'!$D$2:$AL$2,0))</f>
        <v>72252</v>
      </c>
      <c r="U223" s="299">
        <f>INDEX('Inputs (2)'!$D$35:$AL$35,MATCH(U$7,'Inputs (2)'!$D$2:$AL$2,0))</f>
        <v>72028</v>
      </c>
      <c r="V223" s="299">
        <f>INDEX('Inputs (2)'!$D$35:$AL$35,MATCH(V$7,'Inputs (2)'!$D$2:$AL$2,0))</f>
        <v>71610</v>
      </c>
      <c r="W223" s="266">
        <f>V223</f>
        <v>71610</v>
      </c>
      <c r="X223" s="299">
        <f>INDEX('Inputs (2)'!$D$35:$AL$35,MATCH(X$7,'Inputs (2)'!$D$2:$AL$2,0))</f>
        <v>68886</v>
      </c>
      <c r="Y223" s="299">
        <f>INDEX('Inputs (2)'!$D$35:$AL$35,MATCH(Y$7,'Inputs (2)'!$D$2:$AL$2,0))</f>
        <v>64619</v>
      </c>
      <c r="Z223" s="299">
        <f>INDEX('Inputs (2)'!$D$35:$AL$35,MATCH(Z$7,'Inputs (2)'!$D$2:$AL$2,0))</f>
        <v>64597</v>
      </c>
      <c r="AA223" s="299">
        <f>INDEX('Inputs (2)'!$D$35:$AL$35,MATCH(AA$7,'Inputs (2)'!$D$2:$AL$2,0))</f>
        <v>65448</v>
      </c>
      <c r="AB223" s="266">
        <f>AA223</f>
        <v>65448</v>
      </c>
      <c r="AC223" s="299">
        <f>INDEX('Inputs (2)'!$D$35:$AL$35,MATCH(AC$7,'Inputs (2)'!$D$2:$AL$2,0))</f>
        <v>65120</v>
      </c>
      <c r="AD223" s="299">
        <f>INDEX('Inputs (2)'!$D$35:$AL$35,MATCH(AD$7,'Inputs (2)'!$D$2:$AL$2,0))</f>
        <v>65218</v>
      </c>
      <c r="AE223" s="299">
        <f>INDEX('Inputs (2)'!$D$35:$AL$35,MATCH(AE$7,'Inputs (2)'!$D$2:$AL$2,0))</f>
        <v>63955</v>
      </c>
      <c r="AF223" s="299">
        <f>INDEX('Inputs (2)'!$D$35:$AL$35,MATCH(AF$7,'Inputs (2)'!$D$2:$AL$2,0))</f>
        <v>66515</v>
      </c>
      <c r="AG223" s="266">
        <f>AF223</f>
        <v>66515</v>
      </c>
      <c r="AH223" s="266">
        <f>INDEX('Inputs (2)'!$D$35:$AL$35,MATCH(AH$7,'Inputs (2)'!$D$2:$AL$2,0))</f>
        <v>65585</v>
      </c>
      <c r="AI223" s="266">
        <f>INDEX('Inputs (2)'!$D$35:$AL$35,MATCH(AI$7,'Inputs (2)'!$D$2:$AL$2,0))</f>
        <v>64534</v>
      </c>
      <c r="AJ223" s="266">
        <f>AJ229</f>
        <v>64534</v>
      </c>
      <c r="AK223" s="266">
        <f>AK229</f>
        <v>64534</v>
      </c>
      <c r="AL223" s="266">
        <f>AK223</f>
        <v>64534</v>
      </c>
      <c r="AM223" s="266">
        <f>AM229</f>
        <v>64534</v>
      </c>
      <c r="AN223" s="266">
        <f>AN229</f>
        <v>64534</v>
      </c>
      <c r="AO223" s="266">
        <f>AO229</f>
        <v>64534</v>
      </c>
      <c r="AP223" s="266">
        <f>AP229</f>
        <v>64534</v>
      </c>
      <c r="AQ223" s="266">
        <f>AP223</f>
        <v>64534</v>
      </c>
      <c r="AR223" s="266">
        <f>AR229</f>
        <v>64534</v>
      </c>
      <c r="AS223" s="266">
        <f>AS229</f>
        <v>64534</v>
      </c>
      <c r="AT223" s="266">
        <f>AT229</f>
        <v>64534</v>
      </c>
      <c r="AU223" s="266">
        <f>AU229</f>
        <v>64534</v>
      </c>
      <c r="AV223" s="266">
        <f>AU223</f>
        <v>64534</v>
      </c>
      <c r="AW223" s="266">
        <f>AW229</f>
        <v>64534</v>
      </c>
      <c r="AX223" s="266">
        <f>AX229</f>
        <v>64534</v>
      </c>
      <c r="AY223" s="266">
        <f>AY229</f>
        <v>64534</v>
      </c>
      <c r="AZ223" s="266">
        <f>AZ229</f>
        <v>64534</v>
      </c>
      <c r="BA223" s="266">
        <f>AZ223</f>
        <v>64534</v>
      </c>
      <c r="BB223" s="266">
        <f>BB229</f>
        <v>64534</v>
      </c>
      <c r="BC223" s="266">
        <f>BC229</f>
        <v>64534</v>
      </c>
      <c r="BD223" s="266">
        <f>BD229</f>
        <v>64534</v>
      </c>
      <c r="BE223" s="266">
        <f>BE229</f>
        <v>64534</v>
      </c>
      <c r="BF223" s="266">
        <f>BE223</f>
        <v>64534</v>
      </c>
      <c r="BG223" s="266">
        <f>BG229</f>
        <v>64534</v>
      </c>
      <c r="BH223" s="266">
        <f>BH229</f>
        <v>64534</v>
      </c>
      <c r="BI223" s="266">
        <f>BI229</f>
        <v>64534</v>
      </c>
      <c r="BJ223" s="266">
        <f>BJ229</f>
        <v>64534</v>
      </c>
      <c r="BK223" s="266">
        <f>BJ223</f>
        <v>64534</v>
      </c>
      <c r="BL223" s="266">
        <f>BL229</f>
        <v>64534</v>
      </c>
      <c r="BM223" s="266">
        <f>BM229</f>
        <v>64534</v>
      </c>
      <c r="BN223" s="266">
        <f>BN229</f>
        <v>64534</v>
      </c>
      <c r="BO223" s="266">
        <f>BO229</f>
        <v>64534</v>
      </c>
      <c r="BP223" s="266">
        <f>BO223</f>
        <v>64534</v>
      </c>
      <c r="BQ223" s="266">
        <f>BQ229</f>
        <v>64534</v>
      </c>
      <c r="BR223" s="266">
        <f>BR229</f>
        <v>64534</v>
      </c>
      <c r="BS223" s="266">
        <f>BS229</f>
        <v>64534</v>
      </c>
      <c r="BT223" s="266">
        <f>BT229</f>
        <v>64534</v>
      </c>
      <c r="BU223" s="266">
        <f>BT223</f>
        <v>64534</v>
      </c>
      <c r="BV223" s="266">
        <f>BV229</f>
        <v>64534</v>
      </c>
      <c r="BW223" s="266">
        <f>BW229</f>
        <v>64534</v>
      </c>
      <c r="BX223" s="266">
        <f>BX229</f>
        <v>64534</v>
      </c>
      <c r="BY223" s="266">
        <f>BY229</f>
        <v>64534</v>
      </c>
      <c r="BZ223" s="266">
        <f>BY223</f>
        <v>64534</v>
      </c>
      <c r="CA223" s="266">
        <f>CA229</f>
        <v>64534</v>
      </c>
      <c r="CB223" s="266">
        <f>CB229</f>
        <v>64534</v>
      </c>
      <c r="CC223" s="266">
        <f>CC229</f>
        <v>64534</v>
      </c>
      <c r="CD223" s="266">
        <f>CD229</f>
        <v>64534</v>
      </c>
      <c r="CE223" s="266">
        <f>CD223</f>
        <v>64534</v>
      </c>
      <c r="CF223" s="266">
        <f>CF229</f>
        <v>64534</v>
      </c>
      <c r="CG223" s="266">
        <f>CG229</f>
        <v>64534</v>
      </c>
      <c r="CH223" s="266">
        <f>CH229</f>
        <v>64534</v>
      </c>
      <c r="CI223" s="266">
        <f>CI229</f>
        <v>64534</v>
      </c>
      <c r="CJ223" s="266">
        <f>CI223</f>
        <v>64534</v>
      </c>
      <c r="CK223" s="266">
        <f>CK229</f>
        <v>64534</v>
      </c>
      <c r="CL223" s="266">
        <f>CL229</f>
        <v>64534</v>
      </c>
      <c r="CM223" s="266">
        <f>CM229</f>
        <v>64534</v>
      </c>
      <c r="CN223" s="266">
        <f>CN229</f>
        <v>64534</v>
      </c>
      <c r="CO223" s="266">
        <f>CN223</f>
        <v>64534</v>
      </c>
      <c r="CP223" s="266">
        <f>CP229</f>
        <v>64534</v>
      </c>
      <c r="CQ223" s="266">
        <f>CQ229</f>
        <v>64534</v>
      </c>
      <c r="CR223" s="266">
        <f>CR229</f>
        <v>64534</v>
      </c>
      <c r="CS223" s="266">
        <f>CS229</f>
        <v>64534</v>
      </c>
      <c r="CT223" s="266">
        <f>CS223</f>
        <v>64534</v>
      </c>
      <c r="CU223" s="266">
        <f>CU229</f>
        <v>64534</v>
      </c>
      <c r="CV223" s="266">
        <f>CV229</f>
        <v>64534</v>
      </c>
      <c r="CW223" s="266">
        <f>CW229</f>
        <v>64534</v>
      </c>
      <c r="CX223" s="266">
        <f>CX229</f>
        <v>64534</v>
      </c>
      <c r="CY223" s="266">
        <f>CX223</f>
        <v>64534</v>
      </c>
    </row>
    <row r="224" hidden="1" outlineLevel="1" ht="12.75" customHeight="1" s="254">
      <c r="C224" s="310" t="n"/>
      <c r="D224" s="266" t="n"/>
      <c r="E224" s="266" t="n"/>
      <c r="F224" s="266" t="n"/>
      <c r="G224" s="266" t="n"/>
      <c r="H224" s="266" t="n"/>
      <c r="I224" s="266" t="n"/>
      <c r="J224" s="266" t="n"/>
      <c r="K224" s="266" t="n"/>
      <c r="L224" s="266" t="n"/>
      <c r="M224" s="266" t="n"/>
      <c r="N224" s="266" t="n"/>
      <c r="O224" s="266" t="n"/>
      <c r="P224" s="266" t="n"/>
      <c r="Q224" s="266" t="n"/>
      <c r="R224" s="266" t="n"/>
      <c r="S224" s="266" t="n"/>
      <c r="T224" s="266" t="n"/>
      <c r="U224" s="266" t="n"/>
      <c r="V224" s="266" t="n"/>
      <c r="W224" s="266" t="n"/>
      <c r="X224" s="266" t="n"/>
      <c r="Y224" s="266" t="n"/>
      <c r="Z224" s="266" t="n"/>
      <c r="AA224" s="266" t="n"/>
      <c r="AB224" s="266" t="n"/>
      <c r="AC224" s="266" t="n"/>
      <c r="AD224" s="266" t="n"/>
      <c r="AE224" s="266" t="n"/>
      <c r="AF224" s="266" t="n"/>
      <c r="AG224" s="266" t="n"/>
      <c r="AH224" s="266" t="n"/>
      <c r="AI224" s="266" t="n"/>
      <c r="AJ224" s="266" t="n"/>
      <c r="AK224" s="266" t="n"/>
      <c r="AL224" s="266" t="n"/>
      <c r="AM224" s="266" t="n"/>
      <c r="AN224" s="266" t="n"/>
      <c r="AO224" s="266" t="n"/>
      <c r="AP224" s="266" t="n"/>
      <c r="AQ224" s="266" t="n"/>
      <c r="AR224" s="266" t="n"/>
      <c r="AS224" s="266" t="n"/>
      <c r="AT224" s="266" t="n"/>
      <c r="AU224" s="266" t="n"/>
      <c r="AV224" s="266" t="n"/>
      <c r="AW224" s="266" t="n"/>
      <c r="AX224" s="266" t="n"/>
      <c r="AY224" s="266" t="n"/>
      <c r="AZ224" s="266" t="n"/>
      <c r="BA224" s="266" t="n"/>
      <c r="BB224" s="266" t="n"/>
      <c r="BC224" s="266" t="n"/>
      <c r="BD224" s="266" t="n"/>
      <c r="BE224" s="266" t="n"/>
      <c r="BF224" s="266" t="n"/>
      <c r="BG224" s="266" t="n"/>
      <c r="BH224" s="266" t="n"/>
      <c r="BI224" s="266" t="n"/>
      <c r="BJ224" s="266" t="n"/>
      <c r="BK224" s="266" t="n"/>
      <c r="BL224" s="266" t="n"/>
      <c r="BM224" s="266" t="n"/>
      <c r="BN224" s="266" t="n"/>
      <c r="BO224" s="266" t="n"/>
      <c r="BP224" s="266" t="n"/>
      <c r="BQ224" s="266" t="n"/>
      <c r="BR224" s="266" t="n"/>
      <c r="BS224" s="266" t="n"/>
      <c r="BT224" s="266" t="n"/>
      <c r="BU224" s="266" t="n"/>
      <c r="BV224" s="266" t="n"/>
      <c r="BW224" s="266" t="n"/>
      <c r="BX224" s="266" t="n"/>
      <c r="BY224" s="266" t="n"/>
      <c r="BZ224" s="266" t="n"/>
      <c r="CA224" s="266" t="n"/>
      <c r="CB224" s="266" t="n"/>
      <c r="CC224" s="266" t="n"/>
      <c r="CD224" s="266" t="n"/>
      <c r="CE224" s="266" t="n"/>
      <c r="CF224" s="266" t="n"/>
      <c r="CG224" s="266" t="n"/>
      <c r="CH224" s="266" t="n"/>
      <c r="CI224" s="266" t="n"/>
      <c r="CJ224" s="266" t="n"/>
      <c r="CK224" s="266" t="n"/>
      <c r="CL224" s="266" t="n"/>
      <c r="CM224" s="266" t="n"/>
      <c r="CN224" s="266" t="n"/>
      <c r="CO224" s="266" t="n"/>
      <c r="CP224" s="266" t="n"/>
      <c r="CQ224" s="266" t="n"/>
      <c r="CR224" s="266" t="n"/>
      <c r="CS224" s="266" t="n"/>
      <c r="CT224" s="266" t="n"/>
      <c r="CU224" s="266" t="n"/>
      <c r="CV224" s="266" t="n"/>
      <c r="CW224" s="266" t="n"/>
      <c r="CX224" s="266" t="n"/>
      <c r="CY224" s="266" t="n"/>
    </row>
    <row r="225" hidden="1" outlineLevel="1" ht="12.75" customHeight="1" s="254">
      <c r="C225" s="310" t="inlineStr">
        <is>
          <t>Current portion of LTD</t>
        </is>
      </c>
      <c r="D225" s="266" t="n"/>
      <c r="E225" s="266" t="n"/>
      <c r="F225" s="266" t="n"/>
      <c r="G225" s="266" t="n"/>
      <c r="H225" s="266" t="n"/>
      <c r="I225" s="266" t="n"/>
      <c r="J225" s="266" t="n"/>
      <c r="K225" s="266" t="n"/>
      <c r="L225" s="266" t="n"/>
      <c r="M225" s="266" t="n"/>
      <c r="N225" s="266" t="n"/>
      <c r="O225" s="266" t="n"/>
      <c r="P225" s="266" t="n"/>
      <c r="Q225" s="266" t="n"/>
      <c r="R225" s="266" t="n"/>
      <c r="S225" s="266" t="n"/>
      <c r="T225" s="266" t="n"/>
      <c r="U225" s="266" t="n"/>
      <c r="V225" s="266" t="n"/>
      <c r="W225" s="266" t="n"/>
      <c r="X225" s="266" t="n"/>
      <c r="Y225" s="266" t="n"/>
      <c r="Z225" s="266" t="n"/>
      <c r="AA225" s="266" t="n"/>
      <c r="AB225" s="266" t="n"/>
      <c r="AC225" s="266" t="n"/>
      <c r="AD225" s="266" t="n"/>
      <c r="AE225" s="266" t="n"/>
      <c r="AF225" s="266" t="n"/>
      <c r="AG225" s="266" t="n"/>
      <c r="AH225" s="266">
        <f>AF218</f>
        <v>9128</v>
      </c>
      <c r="AI225" s="315" t="n"/>
      <c r="AJ225" s="315" t="n"/>
      <c r="AK225" s="315" t="n"/>
      <c r="AL225" s="266" t="n"/>
      <c r="AM225" s="266">
        <f>AK218</f>
        <v>8542</v>
      </c>
      <c r="AN225" s="315" t="n"/>
      <c r="AO225" s="315" t="n"/>
      <c r="AP225" s="315" t="n"/>
      <c r="AQ225" s="266" t="n"/>
      <c r="AR225" s="266">
        <f>AP218</f>
        <v>8542</v>
      </c>
      <c r="AS225" s="315" t="n"/>
      <c r="AT225" s="315" t="n"/>
      <c r="AU225" s="315" t="n"/>
      <c r="AV225" s="266" t="n"/>
      <c r="AW225" s="266">
        <f>AU218</f>
        <v>8542</v>
      </c>
      <c r="AX225" s="315" t="n"/>
      <c r="AY225" s="315" t="n"/>
      <c r="AZ225" s="315" t="n"/>
      <c r="BA225" s="266" t="n"/>
      <c r="BB225" s="266">
        <f>AZ218</f>
        <v>8542</v>
      </c>
      <c r="BC225" s="315" t="n"/>
      <c r="BD225" s="315" t="n"/>
      <c r="BE225" s="315" t="n"/>
      <c r="BF225" s="266" t="n"/>
      <c r="BG225" s="266">
        <f>BE218</f>
        <v>8542</v>
      </c>
      <c r="BH225" s="315" t="n"/>
      <c r="BI225" s="315" t="n"/>
      <c r="BJ225" s="315" t="n"/>
      <c r="BK225" s="266" t="n"/>
      <c r="BL225" s="266">
        <f>BJ218</f>
        <v>8542</v>
      </c>
      <c r="BM225" s="315" t="n"/>
      <c r="BN225" s="315" t="n"/>
      <c r="BO225" s="315" t="n"/>
      <c r="BP225" s="266" t="n"/>
      <c r="BQ225" s="266">
        <f>BO218</f>
        <v>8542</v>
      </c>
      <c r="BR225" s="315" t="n"/>
      <c r="BS225" s="315" t="n"/>
      <c r="BT225" s="315" t="n"/>
      <c r="BU225" s="266" t="n"/>
      <c r="BV225" s="266">
        <f>BT218</f>
        <v>8542</v>
      </c>
      <c r="BW225" s="315" t="n"/>
      <c r="BX225" s="315" t="n"/>
      <c r="BY225" s="315" t="n"/>
      <c r="BZ225" s="266" t="n"/>
      <c r="CA225" s="266">
        <f>BY218</f>
        <v>8542</v>
      </c>
      <c r="CB225" s="315" t="n"/>
      <c r="CC225" s="315" t="n"/>
      <c r="CD225" s="315" t="n"/>
      <c r="CE225" s="266" t="n"/>
      <c r="CF225" s="266">
        <f>CD218</f>
        <v>8542</v>
      </c>
      <c r="CG225" s="315" t="n"/>
      <c r="CH225" s="315" t="n"/>
      <c r="CI225" s="315" t="n"/>
      <c r="CJ225" s="266" t="n"/>
      <c r="CK225" s="266">
        <f>CI218</f>
        <v>8542</v>
      </c>
      <c r="CL225" s="315" t="n"/>
      <c r="CM225" s="315" t="n"/>
      <c r="CN225" s="315" t="n"/>
      <c r="CO225" s="266" t="n"/>
      <c r="CP225" s="266">
        <f>CN218</f>
        <v>8542</v>
      </c>
      <c r="CQ225" s="315" t="n"/>
      <c r="CR225" s="315" t="n"/>
      <c r="CS225" s="315" t="n"/>
      <c r="CT225" s="266" t="n"/>
      <c r="CU225" s="266">
        <f>CS218</f>
        <v>8542</v>
      </c>
      <c r="CV225" s="315" t="n"/>
      <c r="CW225" s="315" t="n"/>
      <c r="CX225" s="315" t="n"/>
      <c r="CY225" s="266" t="n"/>
    </row>
    <row r="226" hidden="1" outlineLevel="1" ht="12.75" customHeight="1" s="254">
      <c r="C226" s="310" t="n"/>
      <c r="D226" s="266" t="n"/>
      <c r="E226" s="266" t="n"/>
      <c r="F226" s="266" t="n"/>
      <c r="G226" s="266" t="n"/>
      <c r="H226" s="266" t="n"/>
      <c r="I226" s="266" t="n"/>
      <c r="J226" s="266" t="n"/>
      <c r="K226" s="266" t="n"/>
      <c r="L226" s="266" t="n"/>
      <c r="M226" s="266" t="n"/>
      <c r="N226" s="266" t="n"/>
      <c r="O226" s="266" t="n"/>
      <c r="P226" s="266" t="n"/>
      <c r="Q226" s="266" t="n"/>
      <c r="R226" s="266" t="n"/>
      <c r="S226" s="266" t="n"/>
      <c r="T226" s="266" t="n"/>
      <c r="U226" s="266" t="n"/>
      <c r="V226" s="266" t="n"/>
      <c r="W226" s="266" t="n"/>
      <c r="X226" s="266" t="n"/>
      <c r="Y226" s="266" t="n"/>
      <c r="Z226" s="266" t="n"/>
      <c r="AA226" s="266" t="n"/>
      <c r="AB226" s="266" t="n"/>
      <c r="AC226" s="266" t="n"/>
      <c r="AD226" s="266" t="n"/>
      <c r="AE226" s="266" t="n"/>
      <c r="AF226" s="266" t="n"/>
      <c r="AG226" s="266" t="n"/>
      <c r="AH226" s="266" t="n"/>
      <c r="AI226" s="266" t="n"/>
      <c r="AJ226" s="266" t="n"/>
      <c r="AK226" s="266" t="n"/>
      <c r="AL226" s="266" t="n"/>
      <c r="AM226" s="266" t="n"/>
      <c r="AN226" s="266" t="n"/>
      <c r="AO226" s="266" t="n"/>
      <c r="AP226" s="266" t="n"/>
      <c r="AQ226" s="266" t="n"/>
      <c r="AR226" s="266" t="n"/>
      <c r="AS226" s="266" t="n"/>
      <c r="AT226" s="266" t="n"/>
      <c r="AU226" s="266" t="n"/>
      <c r="AV226" s="266" t="n"/>
      <c r="AW226" s="266" t="n"/>
      <c r="AX226" s="266" t="n"/>
      <c r="AY226" s="266" t="n"/>
      <c r="AZ226" s="266" t="n"/>
      <c r="BA226" s="266" t="n"/>
      <c r="BB226" s="266" t="n"/>
      <c r="BC226" s="266" t="n"/>
      <c r="BD226" s="266" t="n"/>
      <c r="BE226" s="266" t="n"/>
      <c r="BF226" s="266" t="n"/>
      <c r="BG226" s="266" t="n"/>
      <c r="BH226" s="266" t="n"/>
      <c r="BI226" s="266" t="n"/>
      <c r="BJ226" s="266" t="n"/>
      <c r="BK226" s="266" t="n"/>
      <c r="BL226" s="266" t="n"/>
      <c r="BM226" s="266" t="n"/>
      <c r="BN226" s="266" t="n"/>
      <c r="BO226" s="266" t="n"/>
      <c r="BP226" s="266" t="n"/>
      <c r="BQ226" s="266" t="n"/>
      <c r="BR226" s="266" t="n"/>
      <c r="BS226" s="266" t="n"/>
      <c r="BT226" s="266" t="n"/>
      <c r="BU226" s="266" t="n"/>
      <c r="BV226" s="266" t="n"/>
      <c r="BW226" s="266" t="n"/>
      <c r="BX226" s="266" t="n"/>
      <c r="BY226" s="266" t="n"/>
      <c r="BZ226" s="266" t="n"/>
      <c r="CA226" s="266" t="n"/>
      <c r="CB226" s="266" t="n"/>
      <c r="CC226" s="266" t="n"/>
      <c r="CD226" s="266" t="n"/>
      <c r="CE226" s="266" t="n"/>
      <c r="CF226" s="266" t="n"/>
      <c r="CG226" s="266" t="n"/>
      <c r="CH226" s="266" t="n"/>
      <c r="CI226" s="266" t="n"/>
      <c r="CJ226" s="266" t="n"/>
      <c r="CK226" s="266" t="n"/>
      <c r="CL226" s="266" t="n"/>
      <c r="CM226" s="266" t="n"/>
      <c r="CN226" s="266" t="n"/>
      <c r="CO226" s="266" t="n"/>
      <c r="CP226" s="266" t="n"/>
      <c r="CQ226" s="266" t="n"/>
      <c r="CR226" s="266" t="n"/>
      <c r="CS226" s="266" t="n"/>
      <c r="CT226" s="266" t="n"/>
      <c r="CU226" s="266" t="n"/>
      <c r="CV226" s="266" t="n"/>
      <c r="CW226" s="266" t="n"/>
      <c r="CX226" s="266" t="n"/>
      <c r="CY226" s="266" t="n"/>
    </row>
    <row r="227" hidden="1" outlineLevel="1" ht="12.75" customHeight="1" s="254">
      <c r="C227" s="310" t="inlineStr">
        <is>
          <t>Reclassification of LTD to CP of LTD</t>
        </is>
      </c>
      <c r="D227" s="266" t="n"/>
      <c r="E227" s="266" t="n"/>
      <c r="F227" s="266" t="n"/>
      <c r="G227" s="266" t="n"/>
      <c r="H227" s="266" t="n"/>
      <c r="I227" s="266" t="n"/>
      <c r="J227" s="266" t="n"/>
      <c r="K227" s="266" t="n"/>
      <c r="L227" s="266" t="n"/>
      <c r="M227" s="266" t="n"/>
      <c r="N227" s="266" t="n"/>
      <c r="O227" s="266" t="n"/>
      <c r="P227" s="266" t="n"/>
      <c r="Q227" s="266" t="n"/>
      <c r="R227" s="266" t="n"/>
      <c r="S227" s="266" t="n"/>
      <c r="T227" s="266" t="n"/>
      <c r="U227" s="266" t="n"/>
      <c r="V227" s="266" t="n"/>
      <c r="W227" s="266" t="n"/>
      <c r="X227" s="266" t="n"/>
      <c r="Y227" s="266" t="n"/>
      <c r="Z227" s="266" t="n"/>
      <c r="AA227" s="266" t="n"/>
      <c r="AB227" s="266" t="n"/>
      <c r="AC227" s="266" t="n"/>
      <c r="AD227" s="266" t="n"/>
      <c r="AE227" s="266" t="n"/>
      <c r="AF227" s="266" t="n"/>
      <c r="AG227" s="266" t="n"/>
      <c r="AH227" s="266" t="n"/>
      <c r="AI227" s="266">
        <f>-AI225</f>
        <v>0</v>
      </c>
      <c r="AJ227" s="266">
        <f>-AJ225</f>
        <v>0</v>
      </c>
      <c r="AK227" s="266">
        <f>-AK225</f>
        <v>0</v>
      </c>
      <c r="AL227" s="266" t="n"/>
      <c r="AM227" s="266" t="n"/>
      <c r="AN227" s="266">
        <f>-AN225</f>
        <v>0</v>
      </c>
      <c r="AO227" s="266">
        <f>-AO225</f>
        <v>0</v>
      </c>
      <c r="AP227" s="266">
        <f>-AP225</f>
        <v>0</v>
      </c>
      <c r="AQ227" s="266" t="n"/>
      <c r="AR227" s="266" t="n"/>
      <c r="AS227" s="266">
        <f>-AS225</f>
        <v>0</v>
      </c>
      <c r="AT227" s="266">
        <f>-AT225</f>
        <v>0</v>
      </c>
      <c r="AU227" s="266">
        <f>-AU225</f>
        <v>0</v>
      </c>
      <c r="AV227" s="266" t="n"/>
      <c r="AW227" s="266" t="n"/>
      <c r="AX227" s="266">
        <f>-AX225</f>
        <v>0</v>
      </c>
      <c r="AY227" s="266">
        <f>-AY225</f>
        <v>0</v>
      </c>
      <c r="AZ227" s="266">
        <f>-AZ225</f>
        <v>0</v>
      </c>
      <c r="BA227" s="266" t="n"/>
      <c r="BB227" s="266" t="n"/>
      <c r="BC227" s="266">
        <f>-BC225</f>
        <v>0</v>
      </c>
      <c r="BD227" s="266">
        <f>-BD225</f>
        <v>0</v>
      </c>
      <c r="BE227" s="266">
        <f>-BE225</f>
        <v>0</v>
      </c>
      <c r="BF227" s="266" t="n"/>
      <c r="BG227" s="266" t="n"/>
      <c r="BH227" s="266">
        <f>-BH225</f>
        <v>0</v>
      </c>
      <c r="BI227" s="266">
        <f>-BI225</f>
        <v>0</v>
      </c>
      <c r="BJ227" s="266">
        <f>-BJ225</f>
        <v>0</v>
      </c>
      <c r="BK227" s="266" t="n"/>
      <c r="BL227" s="266" t="n"/>
      <c r="BM227" s="266">
        <f>-BM225</f>
        <v>0</v>
      </c>
      <c r="BN227" s="266">
        <f>-BN225</f>
        <v>0</v>
      </c>
      <c r="BO227" s="266">
        <f>-BO225</f>
        <v>0</v>
      </c>
      <c r="BP227" s="266" t="n"/>
      <c r="BQ227" s="266" t="n"/>
      <c r="BR227" s="266">
        <f>-BR225</f>
        <v>0</v>
      </c>
      <c r="BS227" s="266">
        <f>-BS225</f>
        <v>0</v>
      </c>
      <c r="BT227" s="266">
        <f>-BT225</f>
        <v>0</v>
      </c>
      <c r="BU227" s="266" t="n"/>
      <c r="BV227" s="266" t="n"/>
      <c r="BW227" s="266">
        <f>-BW225</f>
        <v>0</v>
      </c>
      <c r="BX227" s="266">
        <f>-BX225</f>
        <v>0</v>
      </c>
      <c r="BY227" s="266">
        <f>-BY225</f>
        <v>0</v>
      </c>
      <c r="BZ227" s="266" t="n"/>
      <c r="CA227" s="266" t="n"/>
      <c r="CB227" s="266">
        <f>-CB225</f>
        <v>0</v>
      </c>
      <c r="CC227" s="266">
        <f>-CC225</f>
        <v>0</v>
      </c>
      <c r="CD227" s="266">
        <f>-CD225</f>
        <v>0</v>
      </c>
      <c r="CE227" s="266" t="n"/>
      <c r="CF227" s="266" t="n"/>
      <c r="CG227" s="266">
        <f>-CG225</f>
        <v>0</v>
      </c>
      <c r="CH227" s="266">
        <f>-CH225</f>
        <v>0</v>
      </c>
      <c r="CI227" s="266">
        <f>-CI225</f>
        <v>0</v>
      </c>
      <c r="CJ227" s="266" t="n"/>
      <c r="CK227" s="266" t="n"/>
      <c r="CL227" s="266">
        <f>-CL225</f>
        <v>0</v>
      </c>
      <c r="CM227" s="266">
        <f>-CM225</f>
        <v>0</v>
      </c>
      <c r="CN227" s="266">
        <f>-CN225</f>
        <v>0</v>
      </c>
      <c r="CO227" s="266" t="n"/>
      <c r="CP227" s="266" t="n"/>
      <c r="CQ227" s="266">
        <f>-CQ225</f>
        <v>0</v>
      </c>
      <c r="CR227" s="266">
        <f>-CR225</f>
        <v>0</v>
      </c>
      <c r="CS227" s="266">
        <f>-CS225</f>
        <v>0</v>
      </c>
      <c r="CT227" s="266" t="n"/>
      <c r="CU227" s="266" t="n"/>
      <c r="CV227" s="266">
        <f>-CV225</f>
        <v>0</v>
      </c>
      <c r="CW227" s="266">
        <f>-CW225</f>
        <v>0</v>
      </c>
      <c r="CX227" s="266">
        <f>-CX225</f>
        <v>0</v>
      </c>
      <c r="CY227" s="266" t="n"/>
    </row>
    <row r="228" hidden="1" outlineLevel="1" ht="12.75" customHeight="1" s="254">
      <c r="C228" s="310" t="inlineStr">
        <is>
          <t>Discretionary (paydown)/borrowing of long term debt</t>
        </is>
      </c>
      <c r="D228" s="266" t="n"/>
      <c r="E228" s="266" t="n"/>
      <c r="F228" s="266" t="n"/>
      <c r="G228" s="266" t="n"/>
      <c r="H228" s="266" t="n"/>
      <c r="I228" s="266" t="n"/>
      <c r="J228" s="266" t="n"/>
      <c r="K228" s="266" t="n"/>
      <c r="L228" s="266" t="n"/>
      <c r="M228" s="266" t="n"/>
      <c r="N228" s="266" t="n"/>
      <c r="O228" s="266" t="n"/>
      <c r="P228" s="266" t="n"/>
      <c r="Q228" s="266" t="n"/>
      <c r="R228" s="266" t="n"/>
      <c r="S228" s="266" t="n"/>
      <c r="T228" s="266" t="n"/>
      <c r="U228" s="266" t="n"/>
      <c r="V228" s="266" t="n"/>
      <c r="W228" s="266" t="n"/>
      <c r="X228" s="266" t="n"/>
      <c r="Y228" s="266" t="n"/>
      <c r="Z228" s="266" t="n"/>
      <c r="AA228" s="266" t="n"/>
      <c r="AB228" s="266" t="n"/>
      <c r="AC228" s="266" t="n"/>
      <c r="AD228" s="266" t="n"/>
      <c r="AE228" s="266" t="n"/>
      <c r="AF228" s="266" t="n"/>
      <c r="AG228" s="266" t="n"/>
      <c r="AH228" s="315" t="n"/>
      <c r="AI228" s="315" t="n"/>
      <c r="AJ228" s="315" t="n"/>
      <c r="AK228" s="315" t="n"/>
      <c r="AL228" s="266" t="n"/>
      <c r="AM228" s="315" t="n"/>
      <c r="AN228" s="315" t="n"/>
      <c r="AO228" s="315" t="n"/>
      <c r="AP228" s="315" t="n"/>
      <c r="AQ228" s="266" t="n"/>
      <c r="AR228" s="315" t="n"/>
      <c r="AS228" s="315" t="n"/>
      <c r="AT228" s="315" t="n"/>
      <c r="AU228" s="315" t="n"/>
      <c r="AV228" s="266" t="n"/>
      <c r="AW228" s="315" t="n"/>
      <c r="AX228" s="315" t="n"/>
      <c r="AY228" s="315" t="n"/>
      <c r="AZ228" s="315" t="n"/>
      <c r="BA228" s="266" t="n"/>
      <c r="BB228" s="315" t="n"/>
      <c r="BC228" s="315" t="n"/>
      <c r="BD228" s="315" t="n"/>
      <c r="BE228" s="315" t="n"/>
      <c r="BF228" s="266" t="n"/>
      <c r="BG228" s="315" t="n"/>
      <c r="BH228" s="315" t="n"/>
      <c r="BI228" s="315" t="n"/>
      <c r="BJ228" s="315" t="n"/>
      <c r="BK228" s="266" t="n"/>
      <c r="BL228" s="315" t="n"/>
      <c r="BM228" s="315" t="n"/>
      <c r="BN228" s="315" t="n"/>
      <c r="BO228" s="315" t="n"/>
      <c r="BP228" s="266" t="n"/>
      <c r="BQ228" s="315" t="n"/>
      <c r="BR228" s="315" t="n"/>
      <c r="BS228" s="315" t="n"/>
      <c r="BT228" s="315" t="n"/>
      <c r="BU228" s="266" t="n"/>
      <c r="BV228" s="315" t="n"/>
      <c r="BW228" s="315" t="n"/>
      <c r="BX228" s="315" t="n"/>
      <c r="BY228" s="315" t="n"/>
      <c r="BZ228" s="266" t="n"/>
      <c r="CA228" s="315" t="n"/>
      <c r="CB228" s="315" t="n"/>
      <c r="CC228" s="315" t="n"/>
      <c r="CD228" s="315" t="n"/>
      <c r="CE228" s="266" t="n"/>
      <c r="CF228" s="315" t="n"/>
      <c r="CG228" s="315" t="n"/>
      <c r="CH228" s="315" t="n"/>
      <c r="CI228" s="315" t="n"/>
      <c r="CJ228" s="266" t="n"/>
      <c r="CK228" s="315" t="n"/>
      <c r="CL228" s="315" t="n"/>
      <c r="CM228" s="315" t="n"/>
      <c r="CN228" s="315" t="n"/>
      <c r="CO228" s="266" t="n"/>
      <c r="CP228" s="315" t="n"/>
      <c r="CQ228" s="315" t="n"/>
      <c r="CR228" s="315" t="n"/>
      <c r="CS228" s="315" t="n"/>
      <c r="CT228" s="266" t="n"/>
      <c r="CU228" s="315" t="n"/>
      <c r="CV228" s="315" t="n"/>
      <c r="CW228" s="315" t="n"/>
      <c r="CX228" s="315" t="n"/>
      <c r="CY228" s="266" t="n"/>
    </row>
    <row r="229" hidden="1" outlineLevel="1" ht="12.75" customHeight="1" s="254">
      <c r="C229" s="310" t="inlineStr">
        <is>
          <t>Long term debt</t>
        </is>
      </c>
      <c r="D229" s="266" t="n"/>
      <c r="E229" s="266" t="n"/>
      <c r="F229" s="266" t="n"/>
      <c r="G229" s="266" t="n"/>
      <c r="H229" s="266" t="n"/>
      <c r="I229" s="266" t="n"/>
      <c r="J229" s="266" t="n"/>
      <c r="K229" s="266" t="n"/>
      <c r="L229" s="266" t="n"/>
      <c r="M229" s="266" t="n"/>
      <c r="N229" s="266" t="n"/>
      <c r="O229" s="266" t="n"/>
      <c r="P229" s="266" t="n"/>
      <c r="Q229" s="266" t="n"/>
      <c r="R229" s="266" t="n"/>
      <c r="S229" s="266" t="n"/>
      <c r="T229" s="266" t="n"/>
      <c r="U229" s="266" t="n"/>
      <c r="V229" s="266" t="n"/>
      <c r="W229" s="266" t="n"/>
      <c r="X229" s="266" t="n"/>
      <c r="Y229" s="266" t="n"/>
      <c r="Z229" s="266" t="n"/>
      <c r="AA229" s="266" t="n"/>
      <c r="AB229" s="266" t="n"/>
      <c r="AC229" s="266" t="n"/>
      <c r="AD229" s="266" t="n"/>
      <c r="AE229" s="266" t="n"/>
      <c r="AF229" s="266" t="n"/>
      <c r="AG229" s="266" t="n"/>
      <c r="AH229" s="266">
        <f>AF223+SUM(AH227:AH228)</f>
        <v>66515</v>
      </c>
      <c r="AI229" s="266">
        <f>AH229+SUM(AI227:AI228)</f>
        <v>66515</v>
      </c>
      <c r="AJ229" s="266">
        <f>AI223+SUM(AJ227:AJ228)</f>
        <v>64534</v>
      </c>
      <c r="AK229" s="266">
        <f>AJ229+SUM(AK227:AK228)</f>
        <v>64534</v>
      </c>
      <c r="AL229" s="266" t="n"/>
      <c r="AM229" s="266">
        <f>AK229+SUM(AM227:AM228)</f>
        <v>64534</v>
      </c>
      <c r="AN229" s="266">
        <f>AM229+SUM(AN227:AN228)</f>
        <v>64534</v>
      </c>
      <c r="AO229" s="266">
        <f>AN229+SUM(AO227:AO228)</f>
        <v>64534</v>
      </c>
      <c r="AP229" s="266">
        <f>AO229+SUM(AP227:AP228)</f>
        <v>64534</v>
      </c>
      <c r="AQ229" s="266" t="n"/>
      <c r="AR229" s="266">
        <f>AP229+SUM(AR227:AR228)</f>
        <v>64534</v>
      </c>
      <c r="AS229" s="266">
        <f>AR229+SUM(AS227:AS228)</f>
        <v>64534</v>
      </c>
      <c r="AT229" s="266">
        <f>AS229+SUM(AT227:AT228)</f>
        <v>64534</v>
      </c>
      <c r="AU229" s="266">
        <f>AT229+SUM(AU227:AU228)</f>
        <v>64534</v>
      </c>
      <c r="AV229" s="266" t="n"/>
      <c r="AW229" s="266">
        <f>AU229+SUM(AW227:AW228)</f>
        <v>64534</v>
      </c>
      <c r="AX229" s="266">
        <f>AW229+SUM(AX227:AX228)</f>
        <v>64534</v>
      </c>
      <c r="AY229" s="266">
        <f>AX229+SUM(AY227:AY228)</f>
        <v>64534</v>
      </c>
      <c r="AZ229" s="266">
        <f>AY229+SUM(AZ227:AZ228)</f>
        <v>64534</v>
      </c>
      <c r="BA229" s="266" t="n"/>
      <c r="BB229" s="266">
        <f>AZ229+SUM(BB227:BB228)</f>
        <v>64534</v>
      </c>
      <c r="BC229" s="266">
        <f>BB229+SUM(BC227:BC228)</f>
        <v>64534</v>
      </c>
      <c r="BD229" s="266">
        <f>BC229+SUM(BD227:BD228)</f>
        <v>64534</v>
      </c>
      <c r="BE229" s="266">
        <f>BD229+SUM(BE227:BE228)</f>
        <v>64534</v>
      </c>
      <c r="BF229" s="266" t="n"/>
      <c r="BG229" s="266">
        <f>BE229+SUM(BG227:BG228)</f>
        <v>64534</v>
      </c>
      <c r="BH229" s="266">
        <f>BG229+SUM(BH227:BH228)</f>
        <v>64534</v>
      </c>
      <c r="BI229" s="266">
        <f>BH229+SUM(BI227:BI228)</f>
        <v>64534</v>
      </c>
      <c r="BJ229" s="266">
        <f>BI229+SUM(BJ227:BJ228)</f>
        <v>64534</v>
      </c>
      <c r="BK229" s="266" t="n"/>
      <c r="BL229" s="266">
        <f>BJ229+SUM(BL227:BL228)</f>
        <v>64534</v>
      </c>
      <c r="BM229" s="266">
        <f>BL229+SUM(BM227:BM228)</f>
        <v>64534</v>
      </c>
      <c r="BN229" s="266">
        <f>BM229+SUM(BN227:BN228)</f>
        <v>64534</v>
      </c>
      <c r="BO229" s="266">
        <f>BN229+SUM(BO227:BO228)</f>
        <v>64534</v>
      </c>
      <c r="BP229" s="266" t="n"/>
      <c r="BQ229" s="266">
        <f>BO229+SUM(BQ227:BQ228)</f>
        <v>64534</v>
      </c>
      <c r="BR229" s="266">
        <f>BQ229+SUM(BR227:BR228)</f>
        <v>64534</v>
      </c>
      <c r="BS229" s="266">
        <f>BR229+SUM(BS227:BS228)</f>
        <v>64534</v>
      </c>
      <c r="BT229" s="266">
        <f>BS229+SUM(BT227:BT228)</f>
        <v>64534</v>
      </c>
      <c r="BU229" s="266" t="n"/>
      <c r="BV229" s="266">
        <f>BT229+SUM(BV227:BV228)</f>
        <v>64534</v>
      </c>
      <c r="BW229" s="266">
        <f>BV229+SUM(BW227:BW228)</f>
        <v>64534</v>
      </c>
      <c r="BX229" s="266">
        <f>BW229+SUM(BX227:BX228)</f>
        <v>64534</v>
      </c>
      <c r="BY229" s="266">
        <f>BX229+SUM(BY227:BY228)</f>
        <v>64534</v>
      </c>
      <c r="BZ229" s="266" t="n"/>
      <c r="CA229" s="266">
        <f>BY229+SUM(CA227:CA228)</f>
        <v>64534</v>
      </c>
      <c r="CB229" s="266">
        <f>CA229+SUM(CB227:CB228)</f>
        <v>64534</v>
      </c>
      <c r="CC229" s="266">
        <f>CB229+SUM(CC227:CC228)</f>
        <v>64534</v>
      </c>
      <c r="CD229" s="266">
        <f>CC229+SUM(CD227:CD228)</f>
        <v>64534</v>
      </c>
      <c r="CE229" s="266" t="n"/>
      <c r="CF229" s="266">
        <f>CD229+SUM(CF227:CF228)</f>
        <v>64534</v>
      </c>
      <c r="CG229" s="266">
        <f>CF229+SUM(CG227:CG228)</f>
        <v>64534</v>
      </c>
      <c r="CH229" s="266">
        <f>CG229+SUM(CH227:CH228)</f>
        <v>64534</v>
      </c>
      <c r="CI229" s="266">
        <f>CH229+SUM(CI227:CI228)</f>
        <v>64534</v>
      </c>
      <c r="CJ229" s="266" t="n"/>
      <c r="CK229" s="266">
        <f>CI229+SUM(CK227:CK228)</f>
        <v>64534</v>
      </c>
      <c r="CL229" s="266">
        <f>CK229+SUM(CL227:CL228)</f>
        <v>64534</v>
      </c>
      <c r="CM229" s="266">
        <f>CL229+SUM(CM227:CM228)</f>
        <v>64534</v>
      </c>
      <c r="CN229" s="266">
        <f>CM229+SUM(CN227:CN228)</f>
        <v>64534</v>
      </c>
      <c r="CO229" s="266" t="n"/>
      <c r="CP229" s="266">
        <f>CN229+SUM(CP227:CP228)</f>
        <v>64534</v>
      </c>
      <c r="CQ229" s="266">
        <f>CP229+SUM(CQ227:CQ228)</f>
        <v>64534</v>
      </c>
      <c r="CR229" s="266">
        <f>CQ229+SUM(CR227:CR228)</f>
        <v>64534</v>
      </c>
      <c r="CS229" s="266">
        <f>CR229+SUM(CS227:CS228)</f>
        <v>64534</v>
      </c>
      <c r="CT229" s="266" t="n"/>
      <c r="CU229" s="266">
        <f>CS229+SUM(CU227:CU228)</f>
        <v>64534</v>
      </c>
      <c r="CV229" s="266">
        <f>CU229+SUM(CV227:CV228)</f>
        <v>64534</v>
      </c>
      <c r="CW229" s="266">
        <f>CV229+SUM(CW227:CW228)</f>
        <v>64534</v>
      </c>
      <c r="CX229" s="266">
        <f>CW229+SUM(CX227:CX228)</f>
        <v>64534</v>
      </c>
      <c r="CY229" s="266" t="n"/>
      <c r="CZ229" s="258">
        <f>CX229+SUM(CZ227:CZ228)</f>
        <v>64534</v>
      </c>
      <c r="DA229" s="258">
        <f>CZ229+SUM(DA227:DA228)</f>
        <v>64534</v>
      </c>
      <c r="DB229" s="258">
        <f>DA229+SUM(DB227:DB228)</f>
        <v>64534</v>
      </c>
      <c r="DC229" s="258">
        <f>DB229+SUM(DC227:DC228)</f>
        <v>64534</v>
      </c>
    </row>
    <row r="230" hidden="1" outlineLevel="1" ht="12.75" customHeight="1" s="254">
      <c r="C230" s="310" t="n"/>
      <c r="D230" s="266" t="n"/>
      <c r="E230" s="266" t="n"/>
      <c r="F230" s="266" t="n"/>
      <c r="G230" s="266" t="n"/>
      <c r="H230" s="266" t="n"/>
      <c r="I230" s="266" t="n"/>
      <c r="J230" s="266" t="n"/>
      <c r="K230" s="266" t="n"/>
      <c r="L230" s="266" t="n"/>
      <c r="M230" s="266" t="n"/>
      <c r="N230" s="266" t="n"/>
      <c r="O230" s="266" t="n"/>
      <c r="P230" s="266" t="n"/>
      <c r="Q230" s="266" t="n"/>
      <c r="R230" s="266" t="n"/>
      <c r="S230" s="266" t="n"/>
      <c r="T230" s="266" t="n"/>
      <c r="U230" s="266" t="n"/>
      <c r="V230" s="266" t="n"/>
      <c r="W230" s="266" t="n"/>
      <c r="X230" s="266" t="n"/>
      <c r="Y230" s="266" t="n"/>
      <c r="Z230" s="266" t="n"/>
      <c r="AA230" s="266" t="n"/>
      <c r="AB230" s="266" t="n"/>
      <c r="AC230" s="266" t="n"/>
      <c r="AD230" s="266" t="n"/>
      <c r="AE230" s="266" t="n"/>
      <c r="AF230" s="266" t="n"/>
      <c r="AG230" s="266" t="n"/>
      <c r="AH230" s="266" t="n"/>
      <c r="AI230" s="266" t="n"/>
      <c r="AJ230" s="266" t="n"/>
      <c r="AK230" s="266" t="n"/>
      <c r="AL230" s="266" t="n"/>
      <c r="AM230" s="266" t="n"/>
      <c r="AN230" s="266" t="n"/>
      <c r="AO230" s="266" t="n"/>
      <c r="AP230" s="266" t="n"/>
      <c r="AQ230" s="266" t="n"/>
      <c r="AR230" s="266" t="n"/>
      <c r="AS230" s="266" t="n"/>
      <c r="AT230" s="266" t="n"/>
      <c r="AU230" s="266" t="n"/>
      <c r="AV230" s="266" t="n"/>
      <c r="AW230" s="266" t="n"/>
      <c r="AX230" s="266" t="n"/>
      <c r="AY230" s="266" t="n"/>
      <c r="AZ230" s="266" t="n"/>
      <c r="BA230" s="266" t="n"/>
      <c r="BB230" s="266" t="n"/>
      <c r="BC230" s="266" t="n"/>
      <c r="BD230" s="266" t="n"/>
      <c r="BE230" s="266" t="n"/>
      <c r="BF230" s="266" t="n"/>
      <c r="BG230" s="266" t="n"/>
      <c r="BH230" s="266" t="n"/>
      <c r="BI230" s="266" t="n"/>
      <c r="BJ230" s="266" t="n"/>
      <c r="BK230" s="266" t="n"/>
      <c r="BL230" s="266" t="n"/>
      <c r="BM230" s="266" t="n"/>
      <c r="BN230" s="266" t="n"/>
      <c r="BO230" s="266" t="n"/>
      <c r="BP230" s="266" t="n"/>
      <c r="BQ230" s="266" t="n"/>
      <c r="BR230" s="266" t="n"/>
      <c r="BS230" s="266" t="n"/>
      <c r="BT230" s="266" t="n"/>
      <c r="BU230" s="266" t="n"/>
      <c r="BV230" s="266" t="n"/>
      <c r="BW230" s="266" t="n"/>
      <c r="BX230" s="266" t="n"/>
      <c r="BY230" s="266" t="n"/>
      <c r="BZ230" s="266" t="n"/>
      <c r="CA230" s="266" t="n"/>
      <c r="CB230" s="266" t="n"/>
      <c r="CC230" s="266" t="n"/>
      <c r="CD230" s="266" t="n"/>
      <c r="CE230" s="266" t="n"/>
      <c r="CF230" s="266" t="n"/>
      <c r="CG230" s="266" t="n"/>
      <c r="CH230" s="266" t="n"/>
      <c r="CI230" s="266" t="n"/>
      <c r="CJ230" s="266" t="n"/>
      <c r="CK230" s="266" t="n"/>
      <c r="CL230" s="266" t="n"/>
      <c r="CM230" s="266" t="n"/>
      <c r="CN230" s="266" t="n"/>
      <c r="CO230" s="266" t="n"/>
      <c r="CP230" s="266" t="n"/>
      <c r="CQ230" s="266" t="n"/>
      <c r="CR230" s="266" t="n"/>
      <c r="CS230" s="266" t="n"/>
      <c r="CT230" s="266" t="n"/>
      <c r="CU230" s="266" t="n"/>
      <c r="CV230" s="266" t="n"/>
      <c r="CW230" s="266" t="n"/>
      <c r="CX230" s="266" t="n"/>
      <c r="CY230" s="266" t="n"/>
    </row>
    <row r="231" hidden="1" outlineLevel="1" ht="12.75" customHeight="1" s="254">
      <c r="C231" s="310" t="inlineStr">
        <is>
          <t>Discretionary (paydown)/borrowing of convertible debt</t>
        </is>
      </c>
      <c r="D231" s="266" t="n"/>
      <c r="E231" s="266" t="n"/>
      <c r="F231" s="266" t="n"/>
      <c r="G231" s="266" t="n"/>
      <c r="H231" s="266" t="n"/>
      <c r="I231" s="266" t="n"/>
      <c r="J231" s="266" t="n"/>
      <c r="K231" s="266" t="n"/>
      <c r="L231" s="266" t="n"/>
      <c r="M231" s="266" t="n"/>
      <c r="N231" s="266" t="n"/>
      <c r="O231" s="266" t="n"/>
      <c r="P231" s="266" t="n"/>
      <c r="Q231" s="266" t="n"/>
      <c r="R231" s="266" t="n"/>
      <c r="S231" s="266" t="n"/>
      <c r="T231" s="266" t="n"/>
      <c r="U231" s="266" t="n"/>
      <c r="V231" s="266" t="n"/>
      <c r="W231" s="266" t="n"/>
      <c r="X231" s="266" t="n"/>
      <c r="Y231" s="266" t="n"/>
      <c r="Z231" s="266" t="n"/>
      <c r="AA231" s="266" t="n"/>
      <c r="AB231" s="266" t="n"/>
      <c r="AC231" s="266" t="n"/>
      <c r="AD231" s="266" t="n"/>
      <c r="AE231" s="266" t="n"/>
      <c r="AF231" s="266" t="n"/>
      <c r="AG231" s="266" t="n"/>
      <c r="AH231" s="315" t="n"/>
      <c r="AI231" s="315" t="n"/>
      <c r="AJ231" s="315" t="n"/>
      <c r="AK231" s="315" t="n"/>
      <c r="AL231" s="266" t="n"/>
      <c r="AM231" s="315" t="n"/>
      <c r="AN231" s="315" t="n"/>
      <c r="AO231" s="315" t="n"/>
      <c r="AP231" s="315" t="n"/>
      <c r="AQ231" s="266" t="n"/>
      <c r="AR231" s="315" t="n"/>
      <c r="AS231" s="315" t="n"/>
      <c r="AT231" s="315" t="n"/>
      <c r="AU231" s="315" t="n"/>
      <c r="AV231" s="266" t="n"/>
      <c r="AW231" s="315" t="n"/>
      <c r="AX231" s="315" t="n"/>
      <c r="AY231" s="315" t="n"/>
      <c r="AZ231" s="315" t="n"/>
      <c r="BA231" s="266" t="n"/>
      <c r="BB231" s="315" t="n"/>
      <c r="BC231" s="315" t="n"/>
      <c r="BD231" s="315" t="n"/>
      <c r="BE231" s="315" t="n"/>
      <c r="BF231" s="266" t="n"/>
      <c r="BG231" s="315" t="n"/>
      <c r="BH231" s="315" t="n"/>
      <c r="BI231" s="315" t="n"/>
      <c r="BJ231" s="315" t="n"/>
      <c r="BK231" s="266" t="n"/>
      <c r="BL231" s="315" t="n"/>
      <c r="BM231" s="315" t="n"/>
      <c r="BN231" s="315" t="n"/>
      <c r="BO231" s="315" t="n"/>
      <c r="BP231" s="266" t="n"/>
      <c r="BQ231" s="315" t="n"/>
      <c r="BR231" s="315" t="n"/>
      <c r="BS231" s="315" t="n"/>
      <c r="BT231" s="315" t="n"/>
      <c r="BU231" s="266" t="n"/>
      <c r="BV231" s="315" t="n"/>
      <c r="BW231" s="315" t="n"/>
      <c r="BX231" s="315" t="n"/>
      <c r="BY231" s="315" t="n"/>
      <c r="BZ231" s="266" t="n"/>
      <c r="CA231" s="315" t="n"/>
      <c r="CB231" s="315" t="n"/>
      <c r="CC231" s="315" t="n"/>
      <c r="CD231" s="315" t="n"/>
      <c r="CE231" s="266" t="n"/>
      <c r="CF231" s="315" t="n"/>
      <c r="CG231" s="315" t="n"/>
      <c r="CH231" s="315" t="n"/>
      <c r="CI231" s="315" t="n"/>
      <c r="CJ231" s="266" t="n"/>
      <c r="CK231" s="315" t="n"/>
      <c r="CL231" s="315" t="n"/>
      <c r="CM231" s="315" t="n"/>
      <c r="CN231" s="315" t="n"/>
      <c r="CO231" s="266" t="n"/>
      <c r="CP231" s="315" t="n"/>
      <c r="CQ231" s="315" t="n"/>
      <c r="CR231" s="315" t="n"/>
      <c r="CS231" s="315" t="n"/>
      <c r="CT231" s="266" t="n"/>
      <c r="CU231" s="315" t="n"/>
      <c r="CV231" s="315" t="n"/>
      <c r="CW231" s="315" t="n"/>
      <c r="CX231" s="315" t="n"/>
      <c r="CY231" s="266" t="n"/>
    </row>
    <row r="232" hidden="1" outlineLevel="1" ht="12.75" customHeight="1" s="254">
      <c r="C232" s="310" t="inlineStr">
        <is>
          <t>Convertible debt</t>
        </is>
      </c>
      <c r="D232" s="266" t="n"/>
      <c r="E232" s="266" t="n"/>
      <c r="F232" s="266" t="n"/>
      <c r="G232" s="266" t="n"/>
      <c r="H232" s="266" t="n"/>
      <c r="I232" s="266" t="n"/>
      <c r="J232" s="266" t="n"/>
      <c r="K232" s="266" t="n"/>
      <c r="L232" s="266" t="n"/>
      <c r="M232" s="266" t="n"/>
      <c r="N232" s="266" t="n"/>
      <c r="O232" s="266" t="n"/>
      <c r="P232" s="266" t="n"/>
      <c r="Q232" s="266" t="n"/>
      <c r="R232" s="266" t="n"/>
      <c r="S232" s="266" t="n"/>
      <c r="T232" s="266" t="n"/>
      <c r="U232" s="266" t="n"/>
      <c r="V232" s="266" t="n"/>
      <c r="W232" s="266" t="n"/>
      <c r="X232" s="266" t="n"/>
      <c r="Y232" s="266" t="n"/>
      <c r="Z232" s="266" t="n"/>
      <c r="AA232" s="266" t="n"/>
      <c r="AB232" s="266" t="n"/>
      <c r="AC232" s="266" t="n"/>
      <c r="AD232" s="266" t="n"/>
      <c r="AE232" s="266" t="n"/>
      <c r="AF232" s="266" t="n"/>
      <c r="AG232" s="266" t="n"/>
      <c r="AH232" s="266">
        <f>AH244</f>
        <v>0</v>
      </c>
      <c r="AI232" s="266">
        <f>AH232+SUM(AI231)</f>
        <v>0</v>
      </c>
      <c r="AJ232" s="266">
        <f>AI232+SUM(AJ231)</f>
        <v>0</v>
      </c>
      <c r="AK232" s="266">
        <f>AJ232+SUM(AK231)</f>
        <v>0</v>
      </c>
      <c r="AL232" s="266" t="n"/>
      <c r="AM232" s="266">
        <f>AM244</f>
        <v>0</v>
      </c>
      <c r="AN232" s="266">
        <f>AM232+SUM(AN231)</f>
        <v>0</v>
      </c>
      <c r="AO232" s="266">
        <f>AN232+SUM(AO231)</f>
        <v>0</v>
      </c>
      <c r="AP232" s="266">
        <f>AO232+SUM(AP231)</f>
        <v>0</v>
      </c>
      <c r="AQ232" s="266" t="n"/>
      <c r="AR232" s="266">
        <f>AR244</f>
        <v>0</v>
      </c>
      <c r="AS232" s="266">
        <f>AR232+SUM(AS231)</f>
        <v>0</v>
      </c>
      <c r="AT232" s="266">
        <f>AS232+SUM(AT231)</f>
        <v>0</v>
      </c>
      <c r="AU232" s="266">
        <f>AT232+SUM(AU231)</f>
        <v>0</v>
      </c>
      <c r="AV232" s="266" t="n"/>
      <c r="AW232" s="266">
        <f>AW244</f>
        <v>0</v>
      </c>
      <c r="AX232" s="266">
        <f>AW232+SUM(AX231)</f>
        <v>0</v>
      </c>
      <c r="AY232" s="266">
        <f>AX232+SUM(AY231)</f>
        <v>0</v>
      </c>
      <c r="AZ232" s="266">
        <f>AY232+SUM(AZ231)</f>
        <v>0</v>
      </c>
      <c r="BA232" s="266" t="n"/>
      <c r="BB232" s="266">
        <f>BB244</f>
        <v>0</v>
      </c>
      <c r="BC232" s="266">
        <f>BB232+SUM(BC231)</f>
        <v>0</v>
      </c>
      <c r="BD232" s="266">
        <f>BC232+SUM(BD231)</f>
        <v>0</v>
      </c>
      <c r="BE232" s="266">
        <f>BD232+SUM(BE231)</f>
        <v>0</v>
      </c>
      <c r="BF232" s="266" t="n"/>
      <c r="BG232" s="266">
        <f>BG244</f>
        <v>0</v>
      </c>
      <c r="BH232" s="266">
        <f>BG232+SUM(BH231)</f>
        <v>0</v>
      </c>
      <c r="BI232" s="266">
        <f>BH232+SUM(BI231)</f>
        <v>0</v>
      </c>
      <c r="BJ232" s="266">
        <f>BI232+SUM(BJ231)</f>
        <v>0</v>
      </c>
      <c r="BK232" s="266" t="n"/>
      <c r="BL232" s="266">
        <f>BL244</f>
        <v>0</v>
      </c>
      <c r="BM232" s="266">
        <f>BL232+SUM(BM231)</f>
        <v>0</v>
      </c>
      <c r="BN232" s="266">
        <f>BM232+SUM(BN231)</f>
        <v>0</v>
      </c>
      <c r="BO232" s="266">
        <f>BN232+SUM(BO231)</f>
        <v>0</v>
      </c>
      <c r="BP232" s="266" t="n"/>
      <c r="BQ232" s="266">
        <f>BQ244</f>
        <v>0</v>
      </c>
      <c r="BR232" s="266">
        <f>BQ232+SUM(BR231)</f>
        <v>0</v>
      </c>
      <c r="BS232" s="266">
        <f>BR232+SUM(BS231)</f>
        <v>0</v>
      </c>
      <c r="BT232" s="266">
        <f>BS232+SUM(BT231)</f>
        <v>0</v>
      </c>
      <c r="BU232" s="266" t="n"/>
      <c r="BV232" s="266">
        <f>BV244</f>
        <v>0</v>
      </c>
      <c r="BW232" s="266">
        <f>BV232+SUM(BW231)</f>
        <v>0</v>
      </c>
      <c r="BX232" s="266">
        <f>BW232+SUM(BX231)</f>
        <v>0</v>
      </c>
      <c r="BY232" s="266">
        <f>BX232+SUM(BY231)</f>
        <v>0</v>
      </c>
      <c r="BZ232" s="266" t="n"/>
      <c r="CA232" s="266">
        <f>CA244</f>
        <v>0</v>
      </c>
      <c r="CB232" s="266">
        <f>CA232+SUM(CB231)</f>
        <v>0</v>
      </c>
      <c r="CC232" s="266">
        <f>CB232+SUM(CC231)</f>
        <v>0</v>
      </c>
      <c r="CD232" s="266">
        <f>CC232+SUM(CD231)</f>
        <v>0</v>
      </c>
      <c r="CE232" s="266" t="n"/>
      <c r="CF232" s="266">
        <f>CF244</f>
        <v>0</v>
      </c>
      <c r="CG232" s="266">
        <f>CF232+SUM(CG231)</f>
        <v>0</v>
      </c>
      <c r="CH232" s="266">
        <f>CG232+SUM(CH231)</f>
        <v>0</v>
      </c>
      <c r="CI232" s="266">
        <f>CH232+SUM(CI231)</f>
        <v>0</v>
      </c>
      <c r="CJ232" s="266" t="n"/>
      <c r="CK232" s="266">
        <f>CK244</f>
        <v>0</v>
      </c>
      <c r="CL232" s="266">
        <f>CK232+SUM(CL231)</f>
        <v>0</v>
      </c>
      <c r="CM232" s="266">
        <f>CL232+SUM(CM231)</f>
        <v>0</v>
      </c>
      <c r="CN232" s="266">
        <f>CM232+SUM(CN231)</f>
        <v>0</v>
      </c>
      <c r="CO232" s="266" t="n"/>
      <c r="CP232" s="266">
        <f>CP244</f>
        <v>0</v>
      </c>
      <c r="CQ232" s="266">
        <f>CP232+SUM(CQ231)</f>
        <v>0</v>
      </c>
      <c r="CR232" s="266">
        <f>CQ232+SUM(CR231)</f>
        <v>0</v>
      </c>
      <c r="CS232" s="266">
        <f>CR232+SUM(CS231)</f>
        <v>0</v>
      </c>
      <c r="CT232" s="266" t="n"/>
      <c r="CU232" s="266">
        <f>CU244</f>
        <v>0</v>
      </c>
      <c r="CV232" s="266">
        <f>CU232+SUM(CV231)</f>
        <v>0</v>
      </c>
      <c r="CW232" s="266">
        <f>CV232+SUM(CW231)</f>
        <v>0</v>
      </c>
      <c r="CX232" s="266">
        <f>CW232+SUM(CX231)</f>
        <v>0</v>
      </c>
      <c r="CY232" s="266" t="n"/>
    </row>
    <row r="233" hidden="1" outlineLevel="1" ht="12.75" customHeight="1" s="254">
      <c r="C233" s="310" t="n"/>
      <c r="D233" s="266" t="n"/>
      <c r="E233" s="266" t="n"/>
      <c r="F233" s="266" t="n"/>
      <c r="G233" s="266" t="n"/>
      <c r="H233" s="266" t="n"/>
      <c r="I233" s="266" t="n"/>
      <c r="J233" s="266" t="n"/>
      <c r="K233" s="266" t="n"/>
      <c r="L233" s="266" t="n"/>
      <c r="M233" s="266" t="n"/>
      <c r="N233" s="266" t="n"/>
      <c r="O233" s="266" t="n"/>
      <c r="P233" s="266" t="n"/>
      <c r="Q233" s="266" t="n"/>
      <c r="R233" s="266" t="n"/>
      <c r="S233" s="266" t="n"/>
      <c r="T233" s="266" t="n"/>
      <c r="U233" s="266" t="n"/>
      <c r="V233" s="266" t="n"/>
      <c r="W233" s="266" t="n"/>
      <c r="X233" s="266" t="n"/>
      <c r="Y233" s="266" t="n"/>
      <c r="Z233" s="266" t="n"/>
      <c r="AA233" s="266" t="n"/>
      <c r="AB233" s="266" t="n"/>
      <c r="AC233" s="266" t="n"/>
      <c r="AD233" s="266" t="n"/>
      <c r="AE233" s="266" t="n"/>
      <c r="AF233" s="266" t="n"/>
      <c r="AG233" s="266" t="n"/>
      <c r="AI233" s="266" t="n"/>
      <c r="AJ233" s="266" t="n"/>
      <c r="AK233" s="266" t="n"/>
      <c r="AL233" s="266" t="n"/>
      <c r="AN233" s="266" t="n"/>
      <c r="AO233" s="266" t="n"/>
      <c r="AP233" s="266" t="n"/>
      <c r="AQ233" s="266" t="n"/>
      <c r="AS233" s="266" t="n"/>
      <c r="AT233" s="266" t="n"/>
      <c r="AU233" s="266" t="n"/>
      <c r="AV233" s="266" t="n"/>
      <c r="AX233" s="266" t="n"/>
      <c r="AY233" s="266" t="n"/>
      <c r="AZ233" s="266" t="n"/>
      <c r="BA233" s="266" t="n"/>
      <c r="BC233" s="266" t="n"/>
      <c r="BD233" s="266" t="n"/>
      <c r="BE233" s="266" t="n"/>
      <c r="BF233" s="266" t="n"/>
      <c r="BH233" s="266" t="n"/>
      <c r="BI233" s="266" t="n"/>
      <c r="BJ233" s="266" t="n"/>
      <c r="BK233" s="266" t="n"/>
      <c r="BM233" s="266" t="n"/>
      <c r="BN233" s="266" t="n"/>
      <c r="BO233" s="266" t="n"/>
      <c r="BP233" s="266" t="n"/>
      <c r="BR233" s="266" t="n"/>
      <c r="BS233" s="266" t="n"/>
      <c r="BT233" s="266" t="n"/>
      <c r="BU233" s="266" t="n"/>
      <c r="BW233" s="266" t="n"/>
      <c r="BX233" s="266" t="n"/>
      <c r="BY233" s="266" t="n"/>
      <c r="BZ233" s="266" t="n"/>
      <c r="CB233" s="266" t="n"/>
      <c r="CC233" s="266" t="n"/>
      <c r="CD233" s="266" t="n"/>
      <c r="CE233" s="266" t="n"/>
      <c r="CG233" s="266" t="n"/>
      <c r="CH233" s="266" t="n"/>
      <c r="CI233" s="266" t="n"/>
      <c r="CJ233" s="266" t="n"/>
      <c r="CL233" s="266" t="n"/>
      <c r="CM233" s="266" t="n"/>
      <c r="CN233" s="266" t="n"/>
      <c r="CO233" s="266" t="n"/>
      <c r="CQ233" s="266" t="n"/>
      <c r="CR233" s="266" t="n"/>
      <c r="CS233" s="266" t="n"/>
      <c r="CT233" s="266" t="n"/>
      <c r="CV233" s="266" t="n"/>
      <c r="CW233" s="266" t="n"/>
      <c r="CX233" s="266" t="n"/>
      <c r="CY233" s="266" t="n"/>
    </row>
    <row r="234" hidden="1" outlineLevel="1" ht="12.75" customHeight="1" s="254">
      <c r="C234" s="310" t="inlineStr">
        <is>
          <t>Calculation of short term debt</t>
        </is>
      </c>
      <c r="D234" s="266" t="n"/>
      <c r="E234" s="266" t="n"/>
      <c r="F234" s="266" t="n"/>
      <c r="G234" s="266" t="n"/>
      <c r="H234" s="266" t="n"/>
      <c r="I234" s="266" t="n"/>
      <c r="J234" s="266" t="n"/>
      <c r="K234" s="266" t="n"/>
      <c r="L234" s="266" t="n"/>
      <c r="M234" s="266" t="n"/>
      <c r="N234" s="266" t="n"/>
      <c r="O234" s="266" t="n"/>
      <c r="P234" s="266" t="n"/>
      <c r="Q234" s="266" t="n"/>
      <c r="R234" s="266" t="n"/>
      <c r="S234" s="266" t="n"/>
      <c r="T234" s="266" t="n"/>
      <c r="U234" s="266" t="n"/>
      <c r="V234" s="266" t="n"/>
      <c r="W234" s="266" t="n"/>
      <c r="X234" s="266" t="n"/>
      <c r="Y234" s="266" t="n"/>
      <c r="Z234" s="266" t="n"/>
      <c r="AA234" s="266" t="n"/>
      <c r="AB234" s="266" t="n"/>
      <c r="AC234" s="266" t="n"/>
      <c r="AD234" s="266" t="n"/>
      <c r="AE234" s="266" t="n"/>
      <c r="AF234" s="266" t="n"/>
      <c r="AG234" s="266" t="n"/>
      <c r="AH234" s="266" t="n"/>
      <c r="AI234" s="266" t="n"/>
      <c r="AJ234" s="266" t="n"/>
      <c r="AK234" s="266" t="n"/>
      <c r="AL234" s="266" t="n"/>
      <c r="AM234" s="266" t="n"/>
      <c r="AN234" s="266" t="n"/>
      <c r="AO234" s="266" t="n"/>
      <c r="AP234" s="266" t="n"/>
      <c r="AQ234" s="266" t="n"/>
      <c r="AR234" s="266" t="n"/>
      <c r="AS234" s="266" t="n"/>
      <c r="AT234" s="266" t="n"/>
      <c r="AU234" s="266" t="n"/>
      <c r="AV234" s="266" t="n"/>
      <c r="AW234" s="266" t="n"/>
      <c r="AX234" s="266" t="n"/>
      <c r="AY234" s="266" t="n"/>
      <c r="AZ234" s="266" t="n"/>
      <c r="BA234" s="266" t="n"/>
      <c r="BB234" s="266" t="n"/>
      <c r="BC234" s="266" t="n"/>
      <c r="BD234" s="266" t="n"/>
      <c r="BE234" s="266" t="n"/>
      <c r="BF234" s="266" t="n"/>
      <c r="BG234" s="266" t="n"/>
      <c r="BH234" s="266" t="n"/>
      <c r="BI234" s="266" t="n"/>
      <c r="BJ234" s="266" t="n"/>
      <c r="BK234" s="266" t="n"/>
      <c r="BL234" s="266" t="n"/>
      <c r="BM234" s="266" t="n"/>
      <c r="BN234" s="266" t="n"/>
      <c r="BO234" s="266" t="n"/>
      <c r="BP234" s="266" t="n"/>
      <c r="BQ234" s="266" t="n"/>
      <c r="BR234" s="266" t="n"/>
      <c r="BS234" s="266" t="n"/>
      <c r="BT234" s="266" t="n"/>
      <c r="BU234" s="266" t="n"/>
      <c r="BV234" s="266" t="n"/>
      <c r="BW234" s="266" t="n"/>
      <c r="BX234" s="266" t="n"/>
      <c r="BY234" s="266" t="n"/>
      <c r="BZ234" s="266" t="n"/>
      <c r="CA234" s="266" t="n"/>
      <c r="CB234" s="266" t="n"/>
      <c r="CC234" s="266" t="n"/>
      <c r="CD234" s="266" t="n"/>
      <c r="CE234" s="266" t="n"/>
      <c r="CF234" s="266" t="n"/>
      <c r="CG234" s="266" t="n"/>
      <c r="CH234" s="266" t="n"/>
      <c r="CI234" s="266" t="n"/>
      <c r="CJ234" s="266" t="n"/>
      <c r="CK234" s="266" t="n"/>
      <c r="CL234" s="266" t="n"/>
      <c r="CM234" s="266" t="n"/>
      <c r="CN234" s="266" t="n"/>
      <c r="CO234" s="266" t="n"/>
      <c r="CP234" s="266" t="n"/>
      <c r="CQ234" s="266" t="n"/>
      <c r="CR234" s="266" t="n"/>
      <c r="CS234" s="266" t="n"/>
      <c r="CT234" s="266" t="n"/>
      <c r="CU234" s="266" t="n"/>
      <c r="CV234" s="266" t="n"/>
      <c r="CW234" s="266" t="n"/>
      <c r="CX234" s="266" t="n"/>
      <c r="CY234" s="266" t="n"/>
    </row>
    <row r="235" hidden="1" outlineLevel="1" ht="12.75" customHeight="1" s="254">
      <c r="C235" s="310" t="inlineStr">
        <is>
          <t>Cash @ beginning of the period (end of last period)</t>
        </is>
      </c>
      <c r="D235" s="266" t="n"/>
      <c r="E235" s="266" t="n"/>
      <c r="F235" s="266" t="n"/>
      <c r="G235" s="266" t="n"/>
      <c r="H235" s="266" t="n"/>
      <c r="I235" s="266" t="n"/>
      <c r="J235" s="266" t="n"/>
      <c r="K235" s="266" t="n"/>
      <c r="L235" s="266" t="n"/>
      <c r="M235" s="266" t="n"/>
      <c r="N235" s="266" t="n"/>
      <c r="O235" s="266" t="n"/>
      <c r="P235" s="266" t="n"/>
      <c r="Q235" s="266" t="n"/>
      <c r="R235" s="266" t="n"/>
      <c r="S235" s="266" t="n"/>
      <c r="T235" s="266" t="n"/>
      <c r="U235" s="266" t="n"/>
      <c r="V235" s="266" t="n"/>
      <c r="W235" s="266" t="n"/>
      <c r="X235" s="266" t="n"/>
      <c r="Y235" s="266" t="n"/>
      <c r="Z235" s="266" t="n"/>
      <c r="AA235" s="266" t="n"/>
      <c r="AB235" s="266" t="n"/>
      <c r="AC235" s="266" t="n"/>
      <c r="AD235" s="266" t="n"/>
      <c r="AE235" s="266" t="n"/>
      <c r="AF235" s="266" t="n"/>
      <c r="AG235" s="266" t="n"/>
      <c r="AH235" s="316">
        <f>AG150</f>
        <v>30216</v>
      </c>
      <c r="AI235" s="266" t="n"/>
      <c r="AJ235" s="266" t="n"/>
      <c r="AK235" s="266" t="n"/>
      <c r="AL235" s="266" t="n"/>
      <c r="AM235" s="316">
        <f>AL150</f>
        <v>58441</v>
      </c>
      <c r="AN235" s="266" t="n"/>
      <c r="AO235" s="266" t="n"/>
      <c r="AP235" s="266" t="n"/>
      <c r="AQ235" s="266" t="n"/>
      <c r="AR235" s="316" t="e">
        <f>AQ150</f>
        <v>#DIV/0!</v>
      </c>
      <c r="AS235" s="266" t="n"/>
      <c r="AT235" s="266" t="n"/>
      <c r="AU235" s="266" t="n"/>
      <c r="AV235" s="266" t="n"/>
      <c r="AW235" s="316" t="e">
        <f>AV150</f>
        <v>#DIV/0!</v>
      </c>
      <c r="AX235" s="266" t="n"/>
      <c r="AY235" s="266" t="n"/>
      <c r="AZ235" s="266" t="n"/>
      <c r="BA235" s="266" t="n"/>
      <c r="BB235" s="316" t="e">
        <f>BA150</f>
        <v>#DIV/0!</v>
      </c>
      <c r="BC235" s="266" t="n"/>
      <c r="BD235" s="266" t="n"/>
      <c r="BE235" s="266" t="n"/>
      <c r="BF235" s="266" t="n"/>
      <c r="BG235" s="316" t="e">
        <f>BF150</f>
        <v>#DIV/0!</v>
      </c>
      <c r="BH235" s="266" t="n"/>
      <c r="BI235" s="266" t="n"/>
      <c r="BJ235" s="266" t="n"/>
      <c r="BK235" s="266" t="n"/>
      <c r="BL235" s="316" t="e">
        <f>BK150</f>
        <v>#DIV/0!</v>
      </c>
      <c r="BM235" s="266" t="n"/>
      <c r="BN235" s="266" t="n"/>
      <c r="BO235" s="266" t="n"/>
      <c r="BP235" s="266" t="n"/>
      <c r="BQ235" s="316" t="e">
        <f>BP150</f>
        <v>#DIV/0!</v>
      </c>
      <c r="BR235" s="266" t="n"/>
      <c r="BS235" s="266" t="n"/>
      <c r="BT235" s="266" t="n"/>
      <c r="BU235" s="266" t="n"/>
      <c r="BV235" s="316" t="e">
        <f>BU150</f>
        <v>#DIV/0!</v>
      </c>
      <c r="BW235" s="266" t="n"/>
      <c r="BX235" s="266" t="n"/>
      <c r="BY235" s="266" t="n"/>
      <c r="BZ235" s="266" t="n"/>
      <c r="CA235" s="316" t="e">
        <f>BZ150</f>
        <v>#DIV/0!</v>
      </c>
      <c r="CB235" s="266" t="n"/>
      <c r="CC235" s="266" t="n"/>
      <c r="CD235" s="266" t="n"/>
      <c r="CE235" s="266" t="n"/>
      <c r="CF235" s="316" t="e">
        <f>CE150</f>
        <v>#DIV/0!</v>
      </c>
      <c r="CG235" s="266" t="n"/>
      <c r="CH235" s="266" t="n"/>
      <c r="CI235" s="266" t="n"/>
      <c r="CJ235" s="266" t="n"/>
      <c r="CK235" s="316" t="e">
        <f>CJ150</f>
        <v>#DIV/0!</v>
      </c>
      <c r="CL235" s="266" t="n"/>
      <c r="CM235" s="266" t="n"/>
      <c r="CN235" s="266" t="n"/>
      <c r="CO235" s="266" t="n"/>
      <c r="CP235" s="316" t="e">
        <f>CO150</f>
        <v>#DIV/0!</v>
      </c>
      <c r="CQ235" s="266" t="n"/>
      <c r="CR235" s="266" t="n"/>
      <c r="CS235" s="266" t="n"/>
      <c r="CT235" s="266" t="n"/>
      <c r="CU235" s="316" t="e">
        <f>CT150</f>
        <v>#DIV/0!</v>
      </c>
      <c r="CV235" s="266" t="n"/>
      <c r="CW235" s="266" t="n"/>
      <c r="CX235" s="266" t="n"/>
      <c r="CY235" s="266" t="n"/>
    </row>
    <row r="236" hidden="1" outlineLevel="1" ht="12.75" customHeight="1" s="254">
      <c r="C236" s="310" t="inlineStr">
        <is>
          <t>Plus: Free cash flows prior to debt during period</t>
        </is>
      </c>
      <c r="D236" s="266" t="n"/>
      <c r="E236" s="266" t="n"/>
      <c r="F236" s="266" t="n"/>
      <c r="G236" s="266" t="n"/>
      <c r="H236" s="266" t="n"/>
      <c r="I236" s="266" t="n"/>
      <c r="J236" s="266" t="n"/>
      <c r="K236" s="266" t="n"/>
      <c r="L236" s="266" t="n"/>
      <c r="M236" s="266" t="n"/>
      <c r="N236" s="266" t="n"/>
      <c r="O236" s="266" t="n"/>
      <c r="P236" s="266" t="n"/>
      <c r="Q236" s="266" t="n"/>
      <c r="R236" s="266" t="n"/>
      <c r="S236" s="266" t="n"/>
      <c r="T236" s="266" t="n"/>
      <c r="U236" s="266" t="n"/>
      <c r="V236" s="266" t="n"/>
      <c r="W236" s="266" t="n"/>
      <c r="X236" s="266" t="n"/>
      <c r="Y236" s="266" t="n"/>
      <c r="Z236" s="266" t="n"/>
      <c r="AA236" s="266" t="n"/>
      <c r="AB236" s="266" t="n"/>
      <c r="AC236" s="266" t="n"/>
      <c r="AD236" s="266" t="n"/>
      <c r="AE236" s="266" t="n"/>
      <c r="AF236" s="266" t="n"/>
      <c r="AG236" s="266" t="inlineStr">
        <is>
          <t>% of sales</t>
        </is>
      </c>
      <c r="AH236" s="317">
        <f>SUM(AH299,AH306)+SUM(AH308:AH314)</f>
        <v>-7101</v>
      </c>
      <c r="AI236" s="317">
        <f>SUM(AI299,AI306)+SUM(AI308:AI314)</f>
        <v>10826</v>
      </c>
      <c r="AJ236" s="317">
        <f>SUM(AJ299,AJ306)+SUM(AJ308:AJ314)</f>
        <v>25376</v>
      </c>
      <c r="AK236" s="317">
        <f>SUM(AK299,AK306)+SUM(AK308:AK314)</f>
        <v>1691</v>
      </c>
      <c r="AL236" s="266" t="n"/>
      <c r="AM236" s="317" t="e">
        <f>SUM(AM299,AM306)+SUM(AM308:AM314)</f>
        <v>#DIV/0!</v>
      </c>
      <c r="AN236" s="317" t="e">
        <f>SUM(AN299,AN306)+SUM(AN308:AN314)</f>
        <v>#DIV/0!</v>
      </c>
      <c r="AO236" s="317" t="e">
        <f>SUM(AO299,AO306)+SUM(AO308:AO314)</f>
        <v>#DIV/0!</v>
      </c>
      <c r="AP236" s="317" t="e">
        <f>SUM(AP299,AP306)+SUM(AP308:AP314)</f>
        <v>#DIV/0!</v>
      </c>
      <c r="AQ236" s="266" t="n"/>
      <c r="AR236" s="317" t="e">
        <f>SUM(AR299,AR306)+SUM(AR308:AR314)</f>
        <v>#DIV/0!</v>
      </c>
      <c r="AS236" s="317" t="e">
        <f>SUM(AS299,AS306)+SUM(AS308:AS314)</f>
        <v>#DIV/0!</v>
      </c>
      <c r="AT236" s="317" t="e">
        <f>SUM(AT299,AT306)+SUM(AT308:AT314)</f>
        <v>#DIV/0!</v>
      </c>
      <c r="AU236" s="317" t="e">
        <f>SUM(AU299,AU306)+SUM(AU308:AU314)</f>
        <v>#DIV/0!</v>
      </c>
      <c r="AV236" s="266" t="n"/>
      <c r="AW236" s="317" t="e">
        <f>SUM(AW299,AW306)+SUM(AW308:AW314)</f>
        <v>#DIV/0!</v>
      </c>
      <c r="AX236" s="317" t="e">
        <f>SUM(AX299,AX306)+SUM(AX308:AX314)</f>
        <v>#DIV/0!</v>
      </c>
      <c r="AY236" s="317" t="e">
        <f>SUM(AY299,AY306)+SUM(AY308:AY314)</f>
        <v>#DIV/0!</v>
      </c>
      <c r="AZ236" s="317" t="e">
        <f>SUM(AZ299,AZ306)+SUM(AZ308:AZ314)</f>
        <v>#DIV/0!</v>
      </c>
      <c r="BA236" s="266" t="n"/>
      <c r="BB236" s="317" t="e">
        <f>SUM(BB299,BB306)+SUM(BB308:BB314)</f>
        <v>#DIV/0!</v>
      </c>
      <c r="BC236" s="317" t="e">
        <f>SUM(BC299,BC306)+SUM(BC308:BC314)</f>
        <v>#DIV/0!</v>
      </c>
      <c r="BD236" s="317" t="e">
        <f>SUM(BD299,BD306)+SUM(BD308:BD314)</f>
        <v>#DIV/0!</v>
      </c>
      <c r="BE236" s="317" t="e">
        <f>SUM(BE299,BE306)+SUM(BE308:BE314)</f>
        <v>#DIV/0!</v>
      </c>
      <c r="BF236" s="266" t="n"/>
      <c r="BG236" s="317" t="e">
        <f>SUM(BG299,BG306)+SUM(BG308:BG314)</f>
        <v>#DIV/0!</v>
      </c>
      <c r="BH236" s="317" t="e">
        <f>SUM(BH299,BH306)+SUM(BH308:BH314)</f>
        <v>#DIV/0!</v>
      </c>
      <c r="BI236" s="317" t="e">
        <f>SUM(BI299,BI306)+SUM(BI308:BI314)</f>
        <v>#DIV/0!</v>
      </c>
      <c r="BJ236" s="317" t="e">
        <f>SUM(BJ299,BJ306)+SUM(BJ308:BJ314)</f>
        <v>#DIV/0!</v>
      </c>
      <c r="BK236" s="266" t="n"/>
      <c r="BL236" s="317" t="e">
        <f>SUM(BL299,BL306)+SUM(BL308:BL314)</f>
        <v>#DIV/0!</v>
      </c>
      <c r="BM236" s="317" t="e">
        <f>SUM(BM299,BM306)+SUM(BM308:BM314)</f>
        <v>#DIV/0!</v>
      </c>
      <c r="BN236" s="317" t="e">
        <f>SUM(BN299,BN306)+SUM(BN308:BN314)</f>
        <v>#DIV/0!</v>
      </c>
      <c r="BO236" s="317" t="e">
        <f>SUM(BO299,BO306)+SUM(BO308:BO314)</f>
        <v>#DIV/0!</v>
      </c>
      <c r="BP236" s="266" t="n"/>
      <c r="BQ236" s="317" t="e">
        <f>SUM(BQ299,BQ306)+SUM(BQ308:BQ314)</f>
        <v>#DIV/0!</v>
      </c>
      <c r="BR236" s="317" t="e">
        <f>SUM(BR299,BR306)+SUM(BR308:BR314)</f>
        <v>#DIV/0!</v>
      </c>
      <c r="BS236" s="317" t="e">
        <f>SUM(BS299,BS306)+SUM(BS308:BS314)</f>
        <v>#DIV/0!</v>
      </c>
      <c r="BT236" s="317" t="e">
        <f>SUM(BT299,BT306)+SUM(BT308:BT314)</f>
        <v>#DIV/0!</v>
      </c>
      <c r="BU236" s="266" t="n"/>
      <c r="BV236" s="317" t="e">
        <f>SUM(BV299,BV306)+SUM(BV308:BV314)</f>
        <v>#DIV/0!</v>
      </c>
      <c r="BW236" s="317" t="e">
        <f>SUM(BW299,BW306)+SUM(BW308:BW314)</f>
        <v>#DIV/0!</v>
      </c>
      <c r="BX236" s="317" t="e">
        <f>SUM(BX299,BX306)+SUM(BX308:BX314)</f>
        <v>#DIV/0!</v>
      </c>
      <c r="BY236" s="317" t="e">
        <f>SUM(BY299,BY306)+SUM(BY308:BY314)</f>
        <v>#DIV/0!</v>
      </c>
      <c r="BZ236" s="266" t="n"/>
      <c r="CA236" s="317" t="e">
        <f>SUM(CA299,CA306)+SUM(CA308:CA314)</f>
        <v>#DIV/0!</v>
      </c>
      <c r="CB236" s="317" t="e">
        <f>SUM(CB299,CB306)+SUM(CB308:CB314)</f>
        <v>#DIV/0!</v>
      </c>
      <c r="CC236" s="317" t="e">
        <f>SUM(CC299,CC306)+SUM(CC308:CC314)</f>
        <v>#DIV/0!</v>
      </c>
      <c r="CD236" s="317" t="e">
        <f>SUM(CD299,CD306)+SUM(CD308:CD314)</f>
        <v>#DIV/0!</v>
      </c>
      <c r="CE236" s="266" t="n"/>
      <c r="CF236" s="317" t="e">
        <f>SUM(CF299,CF306)+SUM(CF308:CF314)</f>
        <v>#DIV/0!</v>
      </c>
      <c r="CG236" s="317" t="e">
        <f>SUM(CG299,CG306)+SUM(CG308:CG314)</f>
        <v>#DIV/0!</v>
      </c>
      <c r="CH236" s="317" t="e">
        <f>SUM(CH299,CH306)+SUM(CH308:CH314)</f>
        <v>#DIV/0!</v>
      </c>
      <c r="CI236" s="317" t="e">
        <f>SUM(CI299,CI306)+SUM(CI308:CI314)</f>
        <v>#DIV/0!</v>
      </c>
      <c r="CJ236" s="266" t="n"/>
      <c r="CK236" s="317" t="e">
        <f>SUM(CK299,CK306)+SUM(CK308:CK314)</f>
        <v>#DIV/0!</v>
      </c>
      <c r="CL236" s="317" t="e">
        <f>SUM(CL299,CL306)+SUM(CL308:CL314)</f>
        <v>#DIV/0!</v>
      </c>
      <c r="CM236" s="317" t="e">
        <f>SUM(CM299,CM306)+SUM(CM308:CM314)</f>
        <v>#DIV/0!</v>
      </c>
      <c r="CN236" s="317" t="e">
        <f>SUM(CN299,CN306)+SUM(CN308:CN314)</f>
        <v>#DIV/0!</v>
      </c>
      <c r="CO236" s="266" t="n"/>
      <c r="CP236" s="317" t="e">
        <f>SUM(CP299,CP306)+SUM(CP308:CP314)</f>
        <v>#DIV/0!</v>
      </c>
      <c r="CQ236" s="317" t="e">
        <f>SUM(CQ299,CQ306)+SUM(CQ308:CQ314)</f>
        <v>#DIV/0!</v>
      </c>
      <c r="CR236" s="317" t="e">
        <f>SUM(CR299,CR306)+SUM(CR308:CR314)</f>
        <v>#DIV/0!</v>
      </c>
      <c r="CS236" s="317" t="e">
        <f>SUM(CS299,CS306)+SUM(CS308:CS314)</f>
        <v>#DIV/0!</v>
      </c>
      <c r="CT236" s="266" t="n"/>
      <c r="CU236" s="317" t="e">
        <f>SUM(CU299,CU306)+SUM(CU308:CU314)</f>
        <v>#DIV/0!</v>
      </c>
      <c r="CV236" s="317" t="e">
        <f>SUM(CV299,CV306)+SUM(CV308:CV314)</f>
        <v>#DIV/0!</v>
      </c>
      <c r="CW236" s="317" t="e">
        <f>SUM(CW299,CW306)+SUM(CW308:CW314)</f>
        <v>#DIV/0!</v>
      </c>
      <c r="CX236" s="317" t="e">
        <f>SUM(CX299,CX306)+SUM(CX308:CX314)</f>
        <v>#DIV/0!</v>
      </c>
      <c r="CY236" s="266" t="n"/>
    </row>
    <row r="237" hidden="1" outlineLevel="1" ht="12.75" customHeight="1" s="254">
      <c r="C237" s="310" t="inlineStr">
        <is>
          <t>Less: Minimum cash balance</t>
        </is>
      </c>
      <c r="D237" s="266" t="n"/>
      <c r="E237" s="266" t="n"/>
      <c r="F237" s="266" t="n"/>
      <c r="G237" s="266" t="n"/>
      <c r="H237" s="266" t="n"/>
      <c r="I237" s="266" t="n"/>
      <c r="J237" s="266" t="n"/>
      <c r="K237" s="266" t="n"/>
      <c r="L237" s="266" t="n"/>
      <c r="M237" s="266" t="n"/>
      <c r="N237" s="266" t="n"/>
      <c r="O237" s="266" t="n"/>
      <c r="P237" s="266" t="n"/>
      <c r="Q237" s="266" t="n"/>
      <c r="R237" s="266" t="n"/>
      <c r="S237" s="266" t="n"/>
      <c r="T237" s="266" t="n"/>
      <c r="U237" s="266" t="n"/>
      <c r="V237" s="266" t="n"/>
      <c r="W237" s="266" t="n"/>
      <c r="X237" s="266" t="n"/>
      <c r="Y237" s="266" t="n"/>
      <c r="Z237" s="266" t="n"/>
      <c r="AA237" s="266" t="n"/>
      <c r="AB237" s="266" t="n"/>
      <c r="AC237" s="266" t="n"/>
      <c r="AD237" s="266" t="n"/>
      <c r="AE237" s="266" t="n"/>
      <c r="AF237" s="266" t="n"/>
      <c r="AG237" s="318" t="n"/>
      <c r="AH237" s="266">
        <f>($AG$237*AH15)</f>
        <v>0</v>
      </c>
      <c r="AI237" s="266">
        <f>($AG$237*AI15)</f>
        <v>0</v>
      </c>
      <c r="AJ237" s="266">
        <f>($AG$237*AJ15)</f>
        <v>0</v>
      </c>
      <c r="AK237" s="266">
        <f>($AG$237*AK15)</f>
        <v>0</v>
      </c>
      <c r="AL237" s="266" t="n"/>
      <c r="AM237" s="266">
        <f>($AG$237*AM15)</f>
        <v>0</v>
      </c>
      <c r="AN237" s="266">
        <f>($AG$237*AN15)</f>
        <v>0</v>
      </c>
      <c r="AO237" s="266">
        <f>($AG$237*AO15)</f>
        <v>0</v>
      </c>
      <c r="AP237" s="266">
        <f>($AG$237*AP15)</f>
        <v>0</v>
      </c>
      <c r="AQ237" s="266" t="n"/>
      <c r="AR237" s="266">
        <f>($AG$237*AR15)</f>
        <v>0</v>
      </c>
      <c r="AS237" s="266">
        <f>($AG$237*AS15)</f>
        <v>0</v>
      </c>
      <c r="AT237" s="266">
        <f>($AG$237*AT15)</f>
        <v>0</v>
      </c>
      <c r="AU237" s="266">
        <f>($AG$237*AU15)</f>
        <v>0</v>
      </c>
      <c r="AV237" s="266" t="n"/>
      <c r="AW237" s="266">
        <f>($AG$237*AW15)</f>
        <v>0</v>
      </c>
      <c r="AX237" s="266">
        <f>($AG$237*AX15)</f>
        <v>0</v>
      </c>
      <c r="AY237" s="266">
        <f>($AG$237*AY15)</f>
        <v>0</v>
      </c>
      <c r="AZ237" s="266">
        <f>($AG$237*AZ15)</f>
        <v>0</v>
      </c>
      <c r="BA237" s="266" t="n"/>
      <c r="BB237" s="266">
        <f>($AG$237*BB15)</f>
        <v>0</v>
      </c>
      <c r="BC237" s="266">
        <f>($AG$237*BC15)</f>
        <v>0</v>
      </c>
      <c r="BD237" s="266">
        <f>($AG$237*BD15)</f>
        <v>0</v>
      </c>
      <c r="BE237" s="266">
        <f>($AG$237*BE15)</f>
        <v>0</v>
      </c>
      <c r="BF237" s="266" t="n"/>
      <c r="BG237" s="266">
        <f>($AG$237*BG15)</f>
        <v>0</v>
      </c>
      <c r="BH237" s="266">
        <f>($AG$237*BH15)</f>
        <v>0</v>
      </c>
      <c r="BI237" s="266">
        <f>($AG$237*BI15)</f>
        <v>0</v>
      </c>
      <c r="BJ237" s="266">
        <f>($AG$237*BJ15)</f>
        <v>0</v>
      </c>
      <c r="BK237" s="266" t="n"/>
      <c r="BL237" s="266">
        <f>($AG$237*BL15)</f>
        <v>0</v>
      </c>
      <c r="BM237" s="266">
        <f>($AG$237*BM15)</f>
        <v>0</v>
      </c>
      <c r="BN237" s="266">
        <f>($AG$237*BN15)</f>
        <v>0</v>
      </c>
      <c r="BO237" s="266">
        <f>($AG$237*BO15)</f>
        <v>0</v>
      </c>
      <c r="BP237" s="266" t="n"/>
      <c r="BQ237" s="266">
        <f>($AG$237*BQ15)</f>
        <v>0</v>
      </c>
      <c r="BR237" s="266">
        <f>($AG$237*BR15)</f>
        <v>0</v>
      </c>
      <c r="BS237" s="266">
        <f>($AG$237*BS15)</f>
        <v>0</v>
      </c>
      <c r="BT237" s="266">
        <f>($AG$237*BT15)</f>
        <v>0</v>
      </c>
      <c r="BU237" s="266" t="n"/>
      <c r="BV237" s="266">
        <f>($AG$237*BV15)</f>
        <v>0</v>
      </c>
      <c r="BW237" s="266">
        <f>($AG$237*BW15)</f>
        <v>0</v>
      </c>
      <c r="BX237" s="266">
        <f>($AG$237*BX15)</f>
        <v>0</v>
      </c>
      <c r="BY237" s="266">
        <f>($AG$237*BY15)</f>
        <v>0</v>
      </c>
      <c r="BZ237" s="266" t="n"/>
      <c r="CA237" s="266">
        <f>($AG$237*CA15)</f>
        <v>0</v>
      </c>
      <c r="CB237" s="266">
        <f>($AG$237*CB15)</f>
        <v>0</v>
      </c>
      <c r="CC237" s="266">
        <f>($AG$237*CC15)</f>
        <v>0</v>
      </c>
      <c r="CD237" s="266">
        <f>($AG$237*CD15)</f>
        <v>0</v>
      </c>
      <c r="CE237" s="266" t="n"/>
      <c r="CF237" s="266">
        <f>($AG$237*CF15)</f>
        <v>0</v>
      </c>
      <c r="CG237" s="266">
        <f>($AG$237*CG15)</f>
        <v>0</v>
      </c>
      <c r="CH237" s="266">
        <f>($AG$237*CH15)</f>
        <v>0</v>
      </c>
      <c r="CI237" s="266">
        <f>($AG$237*CI15)</f>
        <v>0</v>
      </c>
      <c r="CJ237" s="266" t="n"/>
      <c r="CK237" s="266">
        <f>($AG$237*CK15)</f>
        <v>0</v>
      </c>
      <c r="CL237" s="266">
        <f>($AG$237*CL15)</f>
        <v>0</v>
      </c>
      <c r="CM237" s="266">
        <f>($AG$237*CM15)</f>
        <v>0</v>
      </c>
      <c r="CN237" s="266">
        <f>($AG$237*CN15)</f>
        <v>0</v>
      </c>
      <c r="CO237" s="266" t="n"/>
      <c r="CP237" s="266">
        <f>($AG$237*CP15)</f>
        <v>0</v>
      </c>
      <c r="CQ237" s="266">
        <f>($AG$237*CQ15)</f>
        <v>0</v>
      </c>
      <c r="CR237" s="266">
        <f>($AG$237*CR15)</f>
        <v>0</v>
      </c>
      <c r="CS237" s="266">
        <f>($AG$237*CS15)</f>
        <v>0</v>
      </c>
      <c r="CT237" s="266" t="n"/>
      <c r="CU237" s="266">
        <f>($AG$237*CU15)</f>
        <v>0</v>
      </c>
      <c r="CV237" s="266">
        <f>($AG$237*CV15)</f>
        <v>0</v>
      </c>
      <c r="CW237" s="266">
        <f>($AG$237*CW15)</f>
        <v>0</v>
      </c>
      <c r="CX237" s="266">
        <f>($AG$237*CX15)</f>
        <v>0</v>
      </c>
      <c r="CY237" s="266" t="n"/>
    </row>
    <row r="238" hidden="1" outlineLevel="1" ht="12.75" customHeight="1" s="254">
      <c r="C238" s="310" t="inlineStr">
        <is>
          <t>Total cash available / (debt required) for short term debt paydown</t>
        </is>
      </c>
      <c r="D238" s="266" t="n"/>
      <c r="E238" s="266" t="n"/>
      <c r="F238" s="266" t="n"/>
      <c r="G238" s="266" t="n"/>
      <c r="H238" s="266" t="n"/>
      <c r="I238" s="266" t="n"/>
      <c r="J238" s="266" t="n"/>
      <c r="K238" s="266" t="n"/>
      <c r="L238" s="266" t="n"/>
      <c r="M238" s="266" t="n"/>
      <c r="N238" s="266" t="n"/>
      <c r="O238" s="266" t="n"/>
      <c r="P238" s="266" t="n"/>
      <c r="Q238" s="266" t="n"/>
      <c r="R238" s="266" t="n"/>
      <c r="S238" s="266" t="n"/>
      <c r="T238" s="266" t="n"/>
      <c r="U238" s="266" t="n"/>
      <c r="V238" s="266" t="n"/>
      <c r="W238" s="266" t="n"/>
      <c r="X238" s="266" t="n"/>
      <c r="Y238" s="266" t="n"/>
      <c r="Z238" s="266" t="n"/>
      <c r="AA238" s="266" t="n"/>
      <c r="AB238" s="266" t="n"/>
      <c r="AC238" s="266" t="n"/>
      <c r="AD238" s="266" t="n"/>
      <c r="AE238" s="266" t="n"/>
      <c r="AF238" s="266" t="n"/>
      <c r="AG238" s="266" t="n"/>
      <c r="AH238" s="257">
        <f>AH235+AH236-AH237-AF225+AH227+AH231</f>
        <v>23115</v>
      </c>
      <c r="AI238" s="257">
        <f>AI235+AI236-AI237-AG225+AI227+AI231</f>
        <v>10826</v>
      </c>
      <c r="AJ238" s="257">
        <f>AJ235+AJ236-AJ237-AH225+AJ227+AJ231</f>
        <v>16248</v>
      </c>
      <c r="AK238" s="257">
        <f>AK235+AK236-AK237-AI225+AK227+AK231</f>
        <v>1691</v>
      </c>
      <c r="AL238" s="266" t="n"/>
      <c r="AM238" s="257" t="e">
        <f>AM235+AM236-AM237-AK225+AM227+AM231</f>
        <v>#DIV/0!</v>
      </c>
      <c r="AN238" s="257" t="e">
        <f>AN235+AN236-AN237-AL225+AN227+AN231</f>
        <v>#DIV/0!</v>
      </c>
      <c r="AO238" s="257" t="e">
        <f>AO235+AO236-AO237-AM225+AO227+AO231</f>
        <v>#DIV/0!</v>
      </c>
      <c r="AP238" s="257" t="e">
        <f>AP235+AP236-AP237-AN225+AP227+AP231</f>
        <v>#DIV/0!</v>
      </c>
      <c r="AQ238" s="266" t="n"/>
      <c r="AR238" s="257" t="e">
        <f>AR235+AR236-AR237-AP225+AR227+AR231</f>
        <v>#DIV/0!</v>
      </c>
      <c r="AS238" s="257" t="e">
        <f>AS235+AS236-AS237-AQ225+AS227+AS231</f>
        <v>#DIV/0!</v>
      </c>
      <c r="AT238" s="257" t="e">
        <f>AT235+AT236-AT237-AR225+AT227+AT231</f>
        <v>#DIV/0!</v>
      </c>
      <c r="AU238" s="257" t="e">
        <f>AU235+AU236-AU237-AS225+AU227+AU231</f>
        <v>#DIV/0!</v>
      </c>
      <c r="AV238" s="266" t="n"/>
      <c r="AW238" s="257" t="e">
        <f>AW235+AW236-AW237-AU225+AW227+AW231</f>
        <v>#DIV/0!</v>
      </c>
      <c r="AX238" s="257" t="e">
        <f>AX235+AX236-AX237-AV225+AX227+AX231</f>
        <v>#DIV/0!</v>
      </c>
      <c r="AY238" s="257" t="e">
        <f>AY235+AY236-AY237-AW225+AY227+AY231</f>
        <v>#DIV/0!</v>
      </c>
      <c r="AZ238" s="257" t="e">
        <f>AZ235+AZ236-AZ237-AX225+AZ227+AZ231</f>
        <v>#DIV/0!</v>
      </c>
      <c r="BA238" s="266" t="n"/>
      <c r="BB238" s="257" t="e">
        <f>BB235+BB236-BB237-AZ225+BB227+BB231</f>
        <v>#DIV/0!</v>
      </c>
      <c r="BC238" s="257" t="e">
        <f>BC235+BC236-BC237-BA225+BC227+BC231</f>
        <v>#DIV/0!</v>
      </c>
      <c r="BD238" s="257" t="e">
        <f>BD235+BD236-BD237-BB225+BD227+BD231</f>
        <v>#DIV/0!</v>
      </c>
      <c r="BE238" s="257" t="e">
        <f>BE235+BE236-BE237-BC225+BE227+BE231</f>
        <v>#DIV/0!</v>
      </c>
      <c r="BF238" s="266" t="n"/>
      <c r="BG238" s="257" t="e">
        <f>BG235+BG236-BG237-BE225+BG227+BG231</f>
        <v>#DIV/0!</v>
      </c>
      <c r="BH238" s="257" t="e">
        <f>BH235+BH236-BH237-BF225+BH227+BH231</f>
        <v>#DIV/0!</v>
      </c>
      <c r="BI238" s="257" t="e">
        <f>BI235+BI236-BI237-BG225+BI227+BI231</f>
        <v>#DIV/0!</v>
      </c>
      <c r="BJ238" s="257" t="e">
        <f>BJ235+BJ236-BJ237-BH225+BJ227+BJ231</f>
        <v>#DIV/0!</v>
      </c>
      <c r="BK238" s="266" t="n"/>
      <c r="BL238" s="257" t="e">
        <f>BL235+BL236-BL237-BJ225+BL227+BL231</f>
        <v>#DIV/0!</v>
      </c>
      <c r="BM238" s="257" t="e">
        <f>BM235+BM236-BM237-BK225+BM227+BM231</f>
        <v>#DIV/0!</v>
      </c>
      <c r="BN238" s="257" t="e">
        <f>BN235+BN236-BN237-BL225+BN227+BN231</f>
        <v>#DIV/0!</v>
      </c>
      <c r="BO238" s="257" t="e">
        <f>BO235+BO236-BO237-BM225+BO227+BO231</f>
        <v>#DIV/0!</v>
      </c>
      <c r="BP238" s="266" t="n"/>
      <c r="BQ238" s="257" t="e">
        <f>BQ235+BQ236-BQ237-BO225+BQ227+BQ231</f>
        <v>#DIV/0!</v>
      </c>
      <c r="BR238" s="257" t="e">
        <f>BR235+BR236-BR237-BP225+BR227+BR231</f>
        <v>#DIV/0!</v>
      </c>
      <c r="BS238" s="257" t="e">
        <f>BS235+BS236-BS237-BQ225+BS227+BS231</f>
        <v>#DIV/0!</v>
      </c>
      <c r="BT238" s="257" t="e">
        <f>BT235+BT236-BT237-BR225+BT227+BT231</f>
        <v>#DIV/0!</v>
      </c>
      <c r="BU238" s="266" t="n"/>
      <c r="BV238" s="257" t="e">
        <f>BV235+BV236-BV237-BT225+BV227+BV231</f>
        <v>#DIV/0!</v>
      </c>
      <c r="BW238" s="257" t="e">
        <f>BW235+BW236-BW237-BU225+BW227+BW231</f>
        <v>#DIV/0!</v>
      </c>
      <c r="BX238" s="257" t="e">
        <f>BX235+BX236-BX237-BV225+BX227+BX231</f>
        <v>#DIV/0!</v>
      </c>
      <c r="BY238" s="257" t="e">
        <f>BY235+BY236-BY237-BW225+BY227+BY231</f>
        <v>#DIV/0!</v>
      </c>
      <c r="BZ238" s="266" t="n"/>
      <c r="CA238" s="257" t="e">
        <f>CA235+CA236-CA237-BY225+CA227+CA231</f>
        <v>#DIV/0!</v>
      </c>
      <c r="CB238" s="257" t="e">
        <f>CB235+CB236-CB237-BZ225+CB227+CB231</f>
        <v>#DIV/0!</v>
      </c>
      <c r="CC238" s="257" t="e">
        <f>CC235+CC236-CC237-CA225+CC227+CC231</f>
        <v>#DIV/0!</v>
      </c>
      <c r="CD238" s="257" t="e">
        <f>CD235+CD236-CD237-CB225+CD227+CD231</f>
        <v>#DIV/0!</v>
      </c>
      <c r="CE238" s="266" t="n"/>
      <c r="CF238" s="257" t="e">
        <f>CF235+CF236-CF237-CD225+CF227+CF231</f>
        <v>#DIV/0!</v>
      </c>
      <c r="CG238" s="257" t="e">
        <f>CG235+CG236-CG237-CE225+CG227+CG231</f>
        <v>#DIV/0!</v>
      </c>
      <c r="CH238" s="257" t="e">
        <f>CH235+CH236-CH237-CF225+CH227+CH231</f>
        <v>#DIV/0!</v>
      </c>
      <c r="CI238" s="257" t="e">
        <f>CI235+CI236-CI237-CG225+CI227+CI231</f>
        <v>#DIV/0!</v>
      </c>
      <c r="CJ238" s="266" t="n"/>
      <c r="CK238" s="257" t="e">
        <f>CK235+CK236-CK237-CI225+CK227+CK231</f>
        <v>#DIV/0!</v>
      </c>
      <c r="CL238" s="257" t="e">
        <f>CL235+CL236-CL237-CJ225+CL227+CL231</f>
        <v>#DIV/0!</v>
      </c>
      <c r="CM238" s="257" t="e">
        <f>CM235+CM236-CM237-CK225+CM227+CM231</f>
        <v>#DIV/0!</v>
      </c>
      <c r="CN238" s="257" t="e">
        <f>CN235+CN236-CN237-CL225+CN227+CN231</f>
        <v>#DIV/0!</v>
      </c>
      <c r="CO238" s="266" t="n"/>
      <c r="CP238" s="257" t="e">
        <f>CP235+CP236-CP237-CN225+CP227+CP231</f>
        <v>#DIV/0!</v>
      </c>
      <c r="CQ238" s="257" t="e">
        <f>CQ235+CQ236-CQ237-CO225+CQ227+CQ231</f>
        <v>#DIV/0!</v>
      </c>
      <c r="CR238" s="257" t="e">
        <f>CR235+CR236-CR237-CP225+CR227+CR231</f>
        <v>#DIV/0!</v>
      </c>
      <c r="CS238" s="257" t="e">
        <f>CS235+CS236-CS237-CQ225+CS227+CS231</f>
        <v>#DIV/0!</v>
      </c>
      <c r="CT238" s="266" t="n"/>
      <c r="CU238" s="257" t="e">
        <f>CU235+CU236-CU237-CS225+CU227+CU231</f>
        <v>#DIV/0!</v>
      </c>
      <c r="CV238" s="257" t="e">
        <f>CV235+CV236-CV237-CT225+CV227+CV231</f>
        <v>#DIV/0!</v>
      </c>
      <c r="CW238" s="257" t="e">
        <f>CW235+CW236-CW237-CU225+CW227+CW231</f>
        <v>#DIV/0!</v>
      </c>
      <c r="CX238" s="257" t="e">
        <f>CX235+CX236-CX237-CV225+CX227+CX231</f>
        <v>#DIV/0!</v>
      </c>
      <c r="CY238" s="266" t="n"/>
    </row>
    <row r="239" hidden="1" outlineLevel="1" ht="12.75" customHeight="1" s="254">
      <c r="C239" s="310" t="inlineStr">
        <is>
          <t>Short term debt</t>
        </is>
      </c>
      <c r="D239" s="266" t="n"/>
      <c r="E239" s="266" t="n"/>
      <c r="F239" s="266" t="n"/>
      <c r="G239" s="266" t="n"/>
      <c r="H239" s="266" t="n"/>
      <c r="I239" s="266" t="n"/>
      <c r="J239" s="266" t="n"/>
      <c r="K239" s="266" t="n"/>
      <c r="L239" s="266" t="n"/>
      <c r="M239" s="266" t="n"/>
      <c r="N239" s="266" t="n"/>
      <c r="O239" s="266" t="n"/>
      <c r="P239" s="266" t="n"/>
      <c r="Q239" s="266" t="n"/>
      <c r="R239" s="266" t="n"/>
      <c r="S239" s="266" t="n"/>
      <c r="T239" s="266" t="n"/>
      <c r="U239" s="266" t="n"/>
      <c r="V239" s="266" t="n"/>
      <c r="W239" s="266" t="n"/>
      <c r="X239" s="266" t="n"/>
      <c r="Y239" s="266" t="n"/>
      <c r="Z239" s="266" t="n"/>
      <c r="AA239" s="266" t="n"/>
      <c r="AB239" s="266" t="n"/>
      <c r="AC239" s="266" t="n"/>
      <c r="AD239" s="266" t="n"/>
      <c r="AE239" s="266" t="n"/>
      <c r="AF239" s="266" t="n"/>
      <c r="AG239" s="266" t="n"/>
      <c r="AH239" s="266">
        <f>AH219</f>
        <v>0</v>
      </c>
      <c r="AI239" s="266">
        <f>MAX(0,AH239-AI238)</f>
        <v>0</v>
      </c>
      <c r="AJ239" s="266">
        <f>MAX(0,AI239-AJ238)</f>
        <v>0</v>
      </c>
      <c r="AK239" s="266">
        <f>MAX(0,AJ239-AK238)</f>
        <v>0</v>
      </c>
      <c r="AL239" s="266" t="n"/>
      <c r="AM239" s="266">
        <f>AM219</f>
        <v>0</v>
      </c>
      <c r="AN239" s="266" t="e">
        <f>MAX(0,AM239-AN238)</f>
        <v>#DIV/0!</v>
      </c>
      <c r="AO239" s="266" t="e">
        <f>MAX(0,AN239-AO238)</f>
        <v>#DIV/0!</v>
      </c>
      <c r="AP239" s="266" t="e">
        <f>MAX(0,AO239-AP238)</f>
        <v>#DIV/0!</v>
      </c>
      <c r="AQ239" s="266" t="n"/>
      <c r="AR239" s="266">
        <f>AR219</f>
        <v>0</v>
      </c>
      <c r="AS239" s="266" t="e">
        <f>MAX(0,AR239-AS238)</f>
        <v>#DIV/0!</v>
      </c>
      <c r="AT239" s="266" t="e">
        <f>MAX(0,AS239-AT238)</f>
        <v>#DIV/0!</v>
      </c>
      <c r="AU239" s="266" t="e">
        <f>MAX(0,AT239-AU238)</f>
        <v>#DIV/0!</v>
      </c>
      <c r="AV239" s="266" t="n"/>
      <c r="AW239" s="266">
        <f>AW219</f>
        <v>0</v>
      </c>
      <c r="AX239" s="266" t="e">
        <f>MAX(0,AW239-AX238)</f>
        <v>#DIV/0!</v>
      </c>
      <c r="AY239" s="266" t="e">
        <f>MAX(0,AX239-AY238)</f>
        <v>#DIV/0!</v>
      </c>
      <c r="AZ239" s="266" t="e">
        <f>MAX(0,AY239-AZ238)</f>
        <v>#DIV/0!</v>
      </c>
      <c r="BA239" s="266" t="n"/>
      <c r="BB239" s="266">
        <f>BB219</f>
        <v>0</v>
      </c>
      <c r="BC239" s="266" t="e">
        <f>MAX(0,BB239-BC238)</f>
        <v>#DIV/0!</v>
      </c>
      <c r="BD239" s="266" t="e">
        <f>MAX(0,BC239-BD238)</f>
        <v>#DIV/0!</v>
      </c>
      <c r="BE239" s="266" t="e">
        <f>MAX(0,BD239-BE238)</f>
        <v>#DIV/0!</v>
      </c>
      <c r="BF239" s="266" t="n"/>
      <c r="BG239" s="266">
        <f>BG219</f>
        <v>0</v>
      </c>
      <c r="BH239" s="266" t="e">
        <f>MAX(0,BG239-BH238)</f>
        <v>#DIV/0!</v>
      </c>
      <c r="BI239" s="266" t="e">
        <f>MAX(0,BH239-BI238)</f>
        <v>#DIV/0!</v>
      </c>
      <c r="BJ239" s="266" t="e">
        <f>MAX(0,BI239-BJ238)</f>
        <v>#DIV/0!</v>
      </c>
      <c r="BK239" s="266" t="n"/>
      <c r="BL239" s="266">
        <f>BL219</f>
        <v>0</v>
      </c>
      <c r="BM239" s="266" t="e">
        <f>MAX(0,BL239-BM238)</f>
        <v>#DIV/0!</v>
      </c>
      <c r="BN239" s="266" t="e">
        <f>MAX(0,BM239-BN238)</f>
        <v>#DIV/0!</v>
      </c>
      <c r="BO239" s="266" t="e">
        <f>MAX(0,BN239-BO238)</f>
        <v>#DIV/0!</v>
      </c>
      <c r="BP239" s="266" t="n"/>
      <c r="BQ239" s="266">
        <f>BQ219</f>
        <v>0</v>
      </c>
      <c r="BR239" s="266" t="e">
        <f>MAX(0,BQ239-BR238)</f>
        <v>#DIV/0!</v>
      </c>
      <c r="BS239" s="266" t="e">
        <f>MAX(0,BR239-BS238)</f>
        <v>#DIV/0!</v>
      </c>
      <c r="BT239" s="266" t="e">
        <f>MAX(0,BS239-BT238)</f>
        <v>#DIV/0!</v>
      </c>
      <c r="BU239" s="266" t="n"/>
      <c r="BV239" s="266">
        <f>BV219</f>
        <v>0</v>
      </c>
      <c r="BW239" s="266" t="e">
        <f>MAX(0,BV239-BW238)</f>
        <v>#DIV/0!</v>
      </c>
      <c r="BX239" s="266" t="e">
        <f>MAX(0,BW239-BX238)</f>
        <v>#DIV/0!</v>
      </c>
      <c r="BY239" s="266" t="e">
        <f>MAX(0,BX239-BY238)</f>
        <v>#DIV/0!</v>
      </c>
      <c r="BZ239" s="266" t="n"/>
      <c r="CA239" s="266">
        <f>CA219</f>
        <v>0</v>
      </c>
      <c r="CB239" s="266" t="e">
        <f>MAX(0,CA239-CB238)</f>
        <v>#DIV/0!</v>
      </c>
      <c r="CC239" s="266" t="e">
        <f>MAX(0,CB239-CC238)</f>
        <v>#DIV/0!</v>
      </c>
      <c r="CD239" s="266" t="e">
        <f>MAX(0,CC239-CD238)</f>
        <v>#DIV/0!</v>
      </c>
      <c r="CE239" s="266" t="n"/>
      <c r="CF239" s="266">
        <f>CF219</f>
        <v>0</v>
      </c>
      <c r="CG239" s="266" t="e">
        <f>MAX(0,CF239-CG238)</f>
        <v>#DIV/0!</v>
      </c>
      <c r="CH239" s="266" t="e">
        <f>MAX(0,CG239-CH238)</f>
        <v>#DIV/0!</v>
      </c>
      <c r="CI239" s="266" t="e">
        <f>MAX(0,CH239-CI238)</f>
        <v>#DIV/0!</v>
      </c>
      <c r="CJ239" s="266" t="n"/>
      <c r="CK239" s="266">
        <f>CK219</f>
        <v>0</v>
      </c>
      <c r="CL239" s="266" t="e">
        <f>MAX(0,CK239-CL238)</f>
        <v>#DIV/0!</v>
      </c>
      <c r="CM239" s="266" t="e">
        <f>MAX(0,CL239-CM238)</f>
        <v>#DIV/0!</v>
      </c>
      <c r="CN239" s="266" t="e">
        <f>MAX(0,CM239-CN238)</f>
        <v>#DIV/0!</v>
      </c>
      <c r="CO239" s="266" t="n"/>
      <c r="CP239" s="266">
        <f>CP219</f>
        <v>0</v>
      </c>
      <c r="CQ239" s="266" t="e">
        <f>MAX(0,CP239-CQ238)</f>
        <v>#DIV/0!</v>
      </c>
      <c r="CR239" s="266" t="e">
        <f>MAX(0,CQ239-CR238)</f>
        <v>#DIV/0!</v>
      </c>
      <c r="CS239" s="266" t="e">
        <f>MAX(0,CR239-CS238)</f>
        <v>#DIV/0!</v>
      </c>
      <c r="CT239" s="266" t="n"/>
      <c r="CU239" s="266">
        <f>CU219</f>
        <v>0</v>
      </c>
      <c r="CV239" s="266" t="e">
        <f>MAX(0,CU239-CV238)</f>
        <v>#DIV/0!</v>
      </c>
      <c r="CW239" s="266" t="e">
        <f>MAX(0,CV239-CW238)</f>
        <v>#DIV/0!</v>
      </c>
      <c r="CX239" s="266" t="e">
        <f>MAX(0,CW239-CX238)</f>
        <v>#DIV/0!</v>
      </c>
      <c r="CY239" s="266" t="n"/>
    </row>
    <row r="240" hidden="1" outlineLevel="1" ht="12.75" customHeight="1" s="254">
      <c r="C240" s="310" t="n"/>
      <c r="D240" s="266" t="n"/>
      <c r="E240" s="266" t="n"/>
      <c r="F240" s="266" t="n"/>
      <c r="G240" s="266" t="n"/>
      <c r="H240" s="266" t="n"/>
      <c r="I240" s="266" t="n"/>
      <c r="J240" s="266" t="n"/>
      <c r="K240" s="266" t="n"/>
      <c r="L240" s="266" t="n"/>
      <c r="M240" s="266" t="n"/>
      <c r="N240" s="266" t="n"/>
      <c r="O240" s="266" t="n"/>
      <c r="P240" s="266" t="n"/>
      <c r="Q240" s="266" t="n"/>
      <c r="R240" s="266" t="n"/>
      <c r="S240" s="266" t="n"/>
      <c r="T240" s="266" t="n"/>
      <c r="U240" s="266" t="n"/>
      <c r="V240" s="266" t="n"/>
      <c r="W240" s="266" t="n"/>
      <c r="X240" s="266" t="n"/>
      <c r="Y240" s="266" t="n"/>
      <c r="Z240" s="266" t="n"/>
      <c r="AA240" s="266" t="n"/>
      <c r="AB240" s="266" t="n"/>
      <c r="AC240" s="266" t="n"/>
      <c r="AD240" s="266" t="n"/>
      <c r="AE240" s="266" t="n"/>
      <c r="AF240" s="266" t="n"/>
      <c r="AG240" s="266" t="n"/>
      <c r="AH240" s="266" t="n"/>
      <c r="AI240" s="266" t="n"/>
      <c r="AJ240" s="266" t="n"/>
      <c r="AK240" s="266" t="n"/>
      <c r="AL240" s="266" t="n"/>
      <c r="AM240" s="266" t="n"/>
      <c r="AN240" s="266" t="n"/>
      <c r="AO240" s="266" t="n"/>
      <c r="AP240" s="266" t="n"/>
      <c r="AQ240" s="266" t="n"/>
      <c r="AR240" s="266" t="n"/>
      <c r="AS240" s="266" t="n"/>
      <c r="AT240" s="266" t="n"/>
      <c r="AU240" s="266" t="n"/>
      <c r="AV240" s="266" t="n"/>
      <c r="AW240" s="266" t="n"/>
      <c r="AX240" s="266" t="n"/>
      <c r="AY240" s="266" t="n"/>
      <c r="AZ240" s="266" t="n"/>
      <c r="BA240" s="266" t="n"/>
      <c r="BB240" s="266" t="n"/>
      <c r="BC240" s="266" t="n"/>
      <c r="BD240" s="266" t="n"/>
      <c r="BE240" s="266" t="n"/>
      <c r="BF240" s="266" t="n"/>
      <c r="BG240" s="266" t="n"/>
      <c r="BH240" s="266" t="n"/>
      <c r="BI240" s="266" t="n"/>
      <c r="BJ240" s="266" t="n"/>
      <c r="BK240" s="266" t="n"/>
      <c r="BL240" s="266" t="n"/>
      <c r="BM240" s="266" t="n"/>
      <c r="BN240" s="266" t="n"/>
      <c r="BO240" s="266" t="n"/>
      <c r="BP240" s="266" t="n"/>
      <c r="BQ240" s="266" t="n"/>
      <c r="BR240" s="266" t="n"/>
      <c r="BS240" s="266" t="n"/>
      <c r="BT240" s="266" t="n"/>
      <c r="BU240" s="266" t="n"/>
      <c r="BV240" s="266" t="n"/>
      <c r="BW240" s="266" t="n"/>
      <c r="BX240" s="266" t="n"/>
      <c r="BY240" s="266" t="n"/>
      <c r="BZ240" s="266" t="n"/>
      <c r="CA240" s="266" t="n"/>
      <c r="CB240" s="266" t="n"/>
      <c r="CC240" s="266" t="n"/>
      <c r="CD240" s="266" t="n"/>
      <c r="CE240" s="266" t="n"/>
      <c r="CF240" s="266" t="n"/>
      <c r="CG240" s="266" t="n"/>
      <c r="CH240" s="266" t="n"/>
      <c r="CI240" s="266" t="n"/>
      <c r="CJ240" s="266" t="n"/>
      <c r="CK240" s="266" t="n"/>
      <c r="CL240" s="266" t="n"/>
      <c r="CM240" s="266" t="n"/>
      <c r="CN240" s="266" t="n"/>
      <c r="CO240" s="266" t="n"/>
      <c r="CP240" s="266" t="n"/>
      <c r="CQ240" s="266" t="n"/>
      <c r="CR240" s="266" t="n"/>
      <c r="CS240" s="266" t="n"/>
      <c r="CT240" s="266" t="n"/>
      <c r="CU240" s="266" t="n"/>
      <c r="CV240" s="266" t="n"/>
      <c r="CW240" s="266" t="n"/>
      <c r="CX240" s="266" t="n"/>
      <c r="CY240" s="266" t="n"/>
    </row>
    <row r="241" ht="12.75" customHeight="1" s="254">
      <c r="C241" s="268" t="inlineStr">
        <is>
          <t>Long term operating leases</t>
        </is>
      </c>
      <c r="D241" s="299" t="n"/>
      <c r="E241" s="299" t="n"/>
      <c r="F241" s="299" t="n"/>
      <c r="G241" s="299" t="n"/>
      <c r="H241" s="266">
        <f>G241</f>
        <v>0</v>
      </c>
      <c r="I241" s="299" t="n"/>
      <c r="J241" s="299" t="n"/>
      <c r="K241" s="299" t="n"/>
      <c r="L241" s="299" t="n"/>
      <c r="M241" s="266">
        <f>L241</f>
        <v>0</v>
      </c>
      <c r="N241" s="299" t="n"/>
      <c r="O241" s="299" t="n"/>
      <c r="P241" s="299" t="n"/>
      <c r="Q241" s="299" t="n"/>
      <c r="R241" s="266">
        <f>Q241</f>
        <v>0</v>
      </c>
      <c r="S241" s="299" t="n"/>
      <c r="T241" s="299" t="n"/>
      <c r="U241" s="299" t="n"/>
      <c r="V241" s="299" t="n"/>
      <c r="W241" s="266">
        <f>V241</f>
        <v>0</v>
      </c>
      <c r="X241" s="299" t="n"/>
      <c r="Y241" s="299" t="n"/>
      <c r="Z241" s="299" t="n"/>
      <c r="AA241" s="299" t="n"/>
      <c r="AB241" s="266">
        <f>AA241</f>
        <v>0</v>
      </c>
      <c r="AC241" s="299" t="n"/>
      <c r="AD241" s="299" t="n"/>
      <c r="AE241" s="299" t="n"/>
      <c r="AF241" s="299" t="n"/>
      <c r="AG241" s="266">
        <f>AF241</f>
        <v>0</v>
      </c>
      <c r="AH241" s="266">
        <f>AG241</f>
        <v>0</v>
      </c>
      <c r="AI241" s="266">
        <f>AH241</f>
        <v>0</v>
      </c>
      <c r="AJ241" s="266">
        <f>AI241</f>
        <v>0</v>
      </c>
      <c r="AK241" s="266">
        <f>AJ241</f>
        <v>0</v>
      </c>
      <c r="AL241" s="266">
        <f>AK241</f>
        <v>0</v>
      </c>
      <c r="AM241" s="266">
        <f>AL241</f>
        <v>0</v>
      </c>
      <c r="AN241" s="266">
        <f>AM241</f>
        <v>0</v>
      </c>
      <c r="AO241" s="266">
        <f>AN241</f>
        <v>0</v>
      </c>
      <c r="AP241" s="266">
        <f>AO241</f>
        <v>0</v>
      </c>
      <c r="AQ241" s="266">
        <f>AP241</f>
        <v>0</v>
      </c>
      <c r="AR241" s="266">
        <f>AQ241</f>
        <v>0</v>
      </c>
      <c r="AS241" s="266">
        <f>AR241</f>
        <v>0</v>
      </c>
      <c r="AT241" s="266">
        <f>AS241</f>
        <v>0</v>
      </c>
      <c r="AU241" s="266">
        <f>AT241</f>
        <v>0</v>
      </c>
      <c r="AV241" s="266">
        <f>AU241</f>
        <v>0</v>
      </c>
      <c r="AW241" s="266">
        <f>AV241</f>
        <v>0</v>
      </c>
      <c r="AX241" s="266">
        <f>AW241</f>
        <v>0</v>
      </c>
      <c r="AY241" s="266">
        <f>AX241</f>
        <v>0</v>
      </c>
      <c r="AZ241" s="266">
        <f>AY241</f>
        <v>0</v>
      </c>
      <c r="BA241" s="266">
        <f>AZ241</f>
        <v>0</v>
      </c>
      <c r="BB241" s="266">
        <f>BA241</f>
        <v>0</v>
      </c>
      <c r="BC241" s="266">
        <f>BB241</f>
        <v>0</v>
      </c>
      <c r="BD241" s="266">
        <f>BC241</f>
        <v>0</v>
      </c>
      <c r="BE241" s="266">
        <f>BD241</f>
        <v>0</v>
      </c>
      <c r="BF241" s="266">
        <f>BE241</f>
        <v>0</v>
      </c>
      <c r="BG241" s="266">
        <f>BF241</f>
        <v>0</v>
      </c>
      <c r="BH241" s="266">
        <f>BG241</f>
        <v>0</v>
      </c>
      <c r="BI241" s="266">
        <f>BH241</f>
        <v>0</v>
      </c>
      <c r="BJ241" s="266">
        <f>BI241</f>
        <v>0</v>
      </c>
      <c r="BK241" s="266">
        <f>BJ241</f>
        <v>0</v>
      </c>
      <c r="BL241" s="266">
        <f>BK241</f>
        <v>0</v>
      </c>
      <c r="BM241" s="266">
        <f>BL241</f>
        <v>0</v>
      </c>
      <c r="BN241" s="266">
        <f>BM241</f>
        <v>0</v>
      </c>
      <c r="BO241" s="266">
        <f>BN241</f>
        <v>0</v>
      </c>
      <c r="BP241" s="266">
        <f>BO241</f>
        <v>0</v>
      </c>
      <c r="BQ241" s="266">
        <f>BP241</f>
        <v>0</v>
      </c>
      <c r="BR241" s="266">
        <f>BQ241</f>
        <v>0</v>
      </c>
      <c r="BS241" s="266">
        <f>BR241</f>
        <v>0</v>
      </c>
      <c r="BT241" s="266">
        <f>BS241</f>
        <v>0</v>
      </c>
      <c r="BU241" s="266">
        <f>BT241</f>
        <v>0</v>
      </c>
      <c r="BV241" s="266">
        <f>BU241</f>
        <v>0</v>
      </c>
      <c r="BW241" s="266">
        <f>BV241</f>
        <v>0</v>
      </c>
      <c r="BX241" s="266">
        <f>BW241</f>
        <v>0</v>
      </c>
      <c r="BY241" s="266">
        <f>BX241</f>
        <v>0</v>
      </c>
      <c r="BZ241" s="266">
        <f>BY241</f>
        <v>0</v>
      </c>
      <c r="CA241" s="266">
        <f>BZ241</f>
        <v>0</v>
      </c>
      <c r="CB241" s="266">
        <f>CA241</f>
        <v>0</v>
      </c>
      <c r="CC241" s="266">
        <f>CB241</f>
        <v>0</v>
      </c>
      <c r="CD241" s="266">
        <f>CC241</f>
        <v>0</v>
      </c>
      <c r="CE241" s="266">
        <f>CD241</f>
        <v>0</v>
      </c>
      <c r="CF241" s="266">
        <f>CE241</f>
        <v>0</v>
      </c>
      <c r="CG241" s="266">
        <f>CF241</f>
        <v>0</v>
      </c>
      <c r="CH241" s="266">
        <f>CG241</f>
        <v>0</v>
      </c>
      <c r="CI241" s="266">
        <f>CH241</f>
        <v>0</v>
      </c>
      <c r="CJ241" s="266">
        <f>CI241</f>
        <v>0</v>
      </c>
      <c r="CK241" s="266">
        <f>CJ241</f>
        <v>0</v>
      </c>
      <c r="CL241" s="266">
        <f>CK241</f>
        <v>0</v>
      </c>
      <c r="CM241" s="266">
        <f>CL241</f>
        <v>0</v>
      </c>
      <c r="CN241" s="266">
        <f>CM241</f>
        <v>0</v>
      </c>
      <c r="CO241" s="266">
        <f>CN241</f>
        <v>0</v>
      </c>
      <c r="CP241" s="266">
        <f>CO241</f>
        <v>0</v>
      </c>
      <c r="CQ241" s="266">
        <f>CP241</f>
        <v>0</v>
      </c>
      <c r="CR241" s="266">
        <f>CQ241</f>
        <v>0</v>
      </c>
      <c r="CS241" s="266">
        <f>CR241</f>
        <v>0</v>
      </c>
      <c r="CT241" s="266">
        <f>CS241</f>
        <v>0</v>
      </c>
      <c r="CU241" s="266">
        <f>CT241</f>
        <v>0</v>
      </c>
      <c r="CV241" s="266">
        <f>CU241</f>
        <v>0</v>
      </c>
      <c r="CW241" s="266">
        <f>CV241</f>
        <v>0</v>
      </c>
      <c r="CX241" s="266">
        <f>CW241</f>
        <v>0</v>
      </c>
      <c r="CY241" s="266">
        <f>CX241</f>
        <v>0</v>
      </c>
    </row>
    <row r="242" hidden="1" outlineLevel="1" ht="12.75" customHeight="1" s="254">
      <c r="C242" s="312" t="inlineStr">
        <is>
          <t>%(Var.)</t>
        </is>
      </c>
      <c r="D242" s="266" t="n"/>
      <c r="E242" s="294">
        <f>IFERROR((E241-D241)/D241,0)</f>
        <v>0</v>
      </c>
      <c r="F242" s="294">
        <f>IFERROR((F241-E241)/E241,0)</f>
        <v>0</v>
      </c>
      <c r="G242" s="294">
        <f>IFERROR((G241-F241)/F241,0)</f>
        <v>0</v>
      </c>
      <c r="H242" s="266" t="n"/>
      <c r="I242" s="294">
        <f>IFERROR((I241-H241)/H241,0)</f>
        <v>0</v>
      </c>
      <c r="J242" s="294">
        <f>IFERROR((J241-I241)/I241,0)</f>
        <v>0</v>
      </c>
      <c r="K242" s="294">
        <f>IFERROR((K241-J241)/J241,0)</f>
        <v>0</v>
      </c>
      <c r="L242" s="294">
        <f>IFERROR((L241-K241)/K241,0)</f>
        <v>0</v>
      </c>
      <c r="M242" s="266" t="n"/>
      <c r="N242" s="294">
        <f>IFERROR((N241-M241)/M241,0)</f>
        <v>0</v>
      </c>
      <c r="O242" s="294">
        <f>IFERROR((O241-N241)/N241,0)</f>
        <v>0</v>
      </c>
      <c r="P242" s="294">
        <f>IFERROR((P241-O241)/O241,0)</f>
        <v>0</v>
      </c>
      <c r="Q242" s="294">
        <f>IFERROR((Q241-P241)/P241,0)</f>
        <v>0</v>
      </c>
      <c r="R242" s="266" t="n"/>
      <c r="S242" s="294">
        <f>IFERROR((S241-R241)/R241,0)</f>
        <v>0</v>
      </c>
      <c r="T242" s="294">
        <f>IFERROR((T241-S241)/S241,0)</f>
        <v>0</v>
      </c>
      <c r="U242" s="294">
        <f>IFERROR((U241-T241)/T241,0)</f>
        <v>0</v>
      </c>
      <c r="V242" s="294">
        <f>IFERROR((V241-U241)/U241,0)</f>
        <v>0</v>
      </c>
      <c r="W242" s="266" t="n"/>
      <c r="X242" s="294">
        <f>IFERROR((X241-W241)/W241,0)</f>
        <v>0</v>
      </c>
      <c r="Y242" s="294">
        <f>IFERROR((Y241-X241)/X241,0)</f>
        <v>0</v>
      </c>
      <c r="Z242" s="294">
        <f>IFERROR((Z241-Y241)/Y241,0)</f>
        <v>0</v>
      </c>
      <c r="AA242" s="294">
        <f>IFERROR((AA241-Z241)/Z241,0)</f>
        <v>0</v>
      </c>
      <c r="AB242" s="266" t="n"/>
      <c r="AC242" s="294">
        <f>IFERROR((AC241-AB241)/AB241,0)</f>
        <v>0</v>
      </c>
      <c r="AD242" s="294">
        <f>IFERROR((AD241-AC241)/AC241,0)</f>
        <v>0</v>
      </c>
      <c r="AE242" s="294">
        <f>IFERROR((AE241-AD241)/AD241,0)</f>
        <v>0</v>
      </c>
      <c r="AF242" s="295">
        <f>IFERROR((AF241-AE241)/AE241,0)</f>
        <v>0</v>
      </c>
      <c r="AG242" s="266" t="n"/>
      <c r="AH242" s="265">
        <f>IFERROR((AH241-AG241)/AG241,0)</f>
        <v>0</v>
      </c>
      <c r="AI242" s="265">
        <f>IFERROR((AI241-AH241)/AH241,0)</f>
        <v>0</v>
      </c>
      <c r="AJ242" s="265" t="n"/>
      <c r="AK242" s="265" t="n"/>
      <c r="AL242" s="266" t="n"/>
      <c r="AM242" s="265" t="n"/>
      <c r="AN242" s="265" t="n"/>
      <c r="AO242" s="265" t="n"/>
      <c r="AP242" s="265" t="n"/>
      <c r="AQ242" s="266" t="n"/>
      <c r="AR242" s="265" t="n"/>
      <c r="AS242" s="265" t="n"/>
      <c r="AT242" s="265" t="n"/>
      <c r="AU242" s="265" t="n"/>
      <c r="AV242" s="266" t="n"/>
      <c r="AW242" s="265" t="n"/>
      <c r="AX242" s="265" t="n"/>
      <c r="AY242" s="265" t="n"/>
      <c r="AZ242" s="265" t="n"/>
      <c r="BA242" s="266" t="n"/>
      <c r="BB242" s="265" t="n"/>
      <c r="BC242" s="265" t="n"/>
      <c r="BD242" s="265" t="n"/>
      <c r="BE242" s="265" t="n"/>
      <c r="BF242" s="266" t="n"/>
      <c r="BG242" s="265" t="n"/>
      <c r="BH242" s="265" t="n"/>
      <c r="BI242" s="265" t="n"/>
      <c r="BJ242" s="265" t="n"/>
      <c r="BK242" s="266" t="n"/>
      <c r="BL242" s="265" t="n"/>
      <c r="BM242" s="265" t="n"/>
      <c r="BN242" s="265" t="n"/>
      <c r="BO242" s="265" t="n"/>
      <c r="BP242" s="266" t="n"/>
      <c r="BQ242" s="265" t="n"/>
      <c r="BR242" s="265" t="n"/>
      <c r="BS242" s="265" t="n"/>
      <c r="BT242" s="265" t="n"/>
      <c r="BU242" s="266" t="n"/>
      <c r="BV242" s="265" t="n"/>
      <c r="BW242" s="265" t="n"/>
      <c r="BX242" s="265" t="n"/>
      <c r="BY242" s="265" t="n"/>
      <c r="BZ242" s="266" t="n"/>
      <c r="CA242" s="265" t="n"/>
      <c r="CB242" s="265" t="n"/>
      <c r="CC242" s="265" t="n"/>
      <c r="CD242" s="265" t="n"/>
      <c r="CE242" s="266" t="n"/>
      <c r="CF242" s="265" t="n"/>
      <c r="CG242" s="265" t="n"/>
      <c r="CH242" s="265" t="n"/>
      <c r="CI242" s="265" t="n"/>
      <c r="CJ242" s="266" t="n"/>
      <c r="CK242" s="265" t="n"/>
      <c r="CL242" s="265" t="n"/>
      <c r="CM242" s="265" t="n"/>
      <c r="CN242" s="265" t="n"/>
      <c r="CO242" s="266" t="n"/>
      <c r="CP242" s="265" t="n"/>
      <c r="CQ242" s="265" t="n"/>
      <c r="CR242" s="265" t="n"/>
      <c r="CS242" s="265" t="n"/>
      <c r="CT242" s="266" t="n"/>
      <c r="CU242" s="265" t="n"/>
      <c r="CV242" s="265" t="n"/>
      <c r="CW242" s="265" t="n"/>
      <c r="CX242" s="265" t="n"/>
      <c r="CY242" s="266" t="n"/>
    </row>
    <row r="243" hidden="1" outlineLevel="1" ht="12.75" customHeight="1" s="254">
      <c r="C243" s="310" t="n"/>
      <c r="D243" s="266" t="n"/>
      <c r="E243" s="266" t="n"/>
      <c r="F243" s="266" t="n"/>
      <c r="G243" s="266" t="n"/>
      <c r="H243" s="266" t="n"/>
      <c r="I243" s="266" t="n"/>
      <c r="J243" s="266" t="n"/>
      <c r="K243" s="266" t="n"/>
      <c r="L243" s="266" t="n"/>
      <c r="M243" s="266" t="n"/>
      <c r="N243" s="266" t="n"/>
      <c r="O243" s="266" t="n"/>
      <c r="P243" s="266" t="n"/>
      <c r="Q243" s="266" t="n"/>
      <c r="R243" s="266" t="n"/>
      <c r="S243" s="266" t="n"/>
      <c r="T243" s="266" t="n"/>
      <c r="U243" s="266" t="n"/>
      <c r="V243" s="266" t="n"/>
      <c r="W243" s="266" t="n"/>
      <c r="X243" s="266" t="n"/>
      <c r="Y243" s="266" t="n"/>
      <c r="Z243" s="266" t="n"/>
      <c r="AA243" s="266" t="n"/>
      <c r="AB243" s="266" t="n"/>
      <c r="AC243" s="266" t="n"/>
      <c r="AD243" s="266" t="n"/>
      <c r="AE243" s="266" t="n"/>
      <c r="AF243" s="266" t="n"/>
      <c r="AG243" s="266" t="n"/>
      <c r="AH243" s="266" t="n"/>
      <c r="AI243" s="266" t="n"/>
      <c r="AJ243" s="266" t="n"/>
      <c r="AK243" s="266" t="n"/>
      <c r="AL243" s="266" t="n"/>
      <c r="AM243" s="266" t="n"/>
      <c r="AN243" s="266" t="n"/>
      <c r="AO243" s="266" t="n"/>
      <c r="AP243" s="266" t="n"/>
      <c r="AQ243" s="266" t="n"/>
      <c r="AR243" s="266" t="n"/>
      <c r="AS243" s="266" t="n"/>
      <c r="AT243" s="266" t="n"/>
      <c r="AU243" s="266" t="n"/>
      <c r="AV243" s="266" t="n"/>
      <c r="AW243" s="266" t="n"/>
      <c r="AX243" s="266" t="n"/>
      <c r="AY243" s="266" t="n"/>
      <c r="AZ243" s="266" t="n"/>
      <c r="BA243" s="266" t="n"/>
      <c r="BB243" s="266" t="n"/>
      <c r="BC243" s="266" t="n"/>
      <c r="BD243" s="266" t="n"/>
      <c r="BE243" s="266" t="n"/>
      <c r="BF243" s="266" t="n"/>
      <c r="BG243" s="266" t="n"/>
      <c r="BH243" s="266" t="n"/>
      <c r="BI243" s="266" t="n"/>
      <c r="BJ243" s="266" t="n"/>
      <c r="BK243" s="266" t="n"/>
      <c r="BL243" s="266" t="n"/>
      <c r="BM243" s="266" t="n"/>
      <c r="BN243" s="266" t="n"/>
      <c r="BO243" s="266" t="n"/>
      <c r="BP243" s="266" t="n"/>
      <c r="BQ243" s="266" t="n"/>
      <c r="BR243" s="266" t="n"/>
      <c r="BS243" s="266" t="n"/>
      <c r="BT243" s="266" t="n"/>
      <c r="BU243" s="266" t="n"/>
      <c r="BV243" s="266" t="n"/>
      <c r="BW243" s="266" t="n"/>
      <c r="BX243" s="266" t="n"/>
      <c r="BY243" s="266" t="n"/>
      <c r="BZ243" s="266" t="n"/>
      <c r="CA243" s="266" t="n"/>
      <c r="CB243" s="266" t="n"/>
      <c r="CC243" s="266" t="n"/>
      <c r="CD243" s="266" t="n"/>
      <c r="CE243" s="266" t="n"/>
      <c r="CF243" s="266" t="n"/>
      <c r="CG243" s="266" t="n"/>
      <c r="CH243" s="266" t="n"/>
      <c r="CI243" s="266" t="n"/>
      <c r="CJ243" s="266" t="n"/>
      <c r="CK243" s="266" t="n"/>
      <c r="CL243" s="266" t="n"/>
      <c r="CM243" s="266" t="n"/>
      <c r="CN243" s="266" t="n"/>
      <c r="CO243" s="266" t="n"/>
      <c r="CP243" s="266" t="n"/>
      <c r="CQ243" s="266" t="n"/>
      <c r="CR243" s="266" t="n"/>
      <c r="CS243" s="266" t="n"/>
      <c r="CT243" s="266" t="n"/>
      <c r="CU243" s="266" t="n"/>
      <c r="CV243" s="266" t="n"/>
      <c r="CW243" s="266" t="n"/>
      <c r="CX243" s="266" t="n"/>
      <c r="CY243" s="266" t="n"/>
    </row>
    <row r="244" ht="12.75" customHeight="1" s="254">
      <c r="C244" s="268" t="inlineStr">
        <is>
          <t>Convertible debt</t>
        </is>
      </c>
      <c r="D244" s="299" t="n"/>
      <c r="E244" s="299" t="n"/>
      <c r="F244" s="299" t="n"/>
      <c r="G244" s="299" t="n"/>
      <c r="H244" s="266">
        <f>G244</f>
        <v>0</v>
      </c>
      <c r="I244" s="299" t="n"/>
      <c r="J244" s="299" t="n"/>
      <c r="K244" s="299" t="n"/>
      <c r="L244" s="299" t="n"/>
      <c r="M244" s="266">
        <f>L244</f>
        <v>0</v>
      </c>
      <c r="N244" s="299" t="n"/>
      <c r="O244" s="299" t="n"/>
      <c r="P244" s="299" t="n"/>
      <c r="Q244" s="299" t="n"/>
      <c r="R244" s="266">
        <f>Q244</f>
        <v>0</v>
      </c>
      <c r="S244" s="299" t="n"/>
      <c r="T244" s="299" t="n"/>
      <c r="U244" s="299" t="n"/>
      <c r="V244" s="299" t="n"/>
      <c r="W244" s="266">
        <f>V244</f>
        <v>0</v>
      </c>
      <c r="X244" s="299" t="n"/>
      <c r="Y244" s="299" t="n"/>
      <c r="Z244" s="299" t="n"/>
      <c r="AA244" s="299" t="n"/>
      <c r="AB244" s="266">
        <f>AA244</f>
        <v>0</v>
      </c>
      <c r="AC244" s="299" t="n"/>
      <c r="AD244" s="299" t="n"/>
      <c r="AE244" s="299" t="n"/>
      <c r="AF244" s="299" t="n"/>
      <c r="AG244" s="266">
        <f>AF244</f>
        <v>0</v>
      </c>
      <c r="AH244" s="266">
        <f>AG244</f>
        <v>0</v>
      </c>
      <c r="AI244" s="266">
        <f>AH244</f>
        <v>0</v>
      </c>
      <c r="AJ244" s="266">
        <f>AI244</f>
        <v>0</v>
      </c>
      <c r="AK244" s="266">
        <f>AJ244</f>
        <v>0</v>
      </c>
      <c r="AL244" s="266">
        <f>AK244</f>
        <v>0</v>
      </c>
      <c r="AM244" s="266">
        <f>AL244</f>
        <v>0</v>
      </c>
      <c r="AN244" s="266">
        <f>AM244</f>
        <v>0</v>
      </c>
      <c r="AO244" s="266">
        <f>AN244</f>
        <v>0</v>
      </c>
      <c r="AP244" s="266">
        <f>AO244</f>
        <v>0</v>
      </c>
      <c r="AQ244" s="266">
        <f>AP244</f>
        <v>0</v>
      </c>
      <c r="AR244" s="266">
        <f>AQ244</f>
        <v>0</v>
      </c>
      <c r="AS244" s="266">
        <f>AR244</f>
        <v>0</v>
      </c>
      <c r="AT244" s="266">
        <f>AS244</f>
        <v>0</v>
      </c>
      <c r="AU244" s="266">
        <f>AT244</f>
        <v>0</v>
      </c>
      <c r="AV244" s="266">
        <f>AU244</f>
        <v>0</v>
      </c>
      <c r="AW244" s="266">
        <f>AV244</f>
        <v>0</v>
      </c>
      <c r="AX244" s="266">
        <f>AW244</f>
        <v>0</v>
      </c>
      <c r="AY244" s="266">
        <f>AX244</f>
        <v>0</v>
      </c>
      <c r="AZ244" s="266">
        <f>AY244</f>
        <v>0</v>
      </c>
      <c r="BA244" s="266">
        <f>AZ244</f>
        <v>0</v>
      </c>
      <c r="BB244" s="266">
        <f>BA244</f>
        <v>0</v>
      </c>
      <c r="BC244" s="266">
        <f>BB244</f>
        <v>0</v>
      </c>
      <c r="BD244" s="266">
        <f>BC244</f>
        <v>0</v>
      </c>
      <c r="BE244" s="266">
        <f>BD244</f>
        <v>0</v>
      </c>
      <c r="BF244" s="266">
        <f>BE244</f>
        <v>0</v>
      </c>
      <c r="BG244" s="266">
        <f>BF244</f>
        <v>0</v>
      </c>
      <c r="BH244" s="266">
        <f>BG244</f>
        <v>0</v>
      </c>
      <c r="BI244" s="266">
        <f>BH244</f>
        <v>0</v>
      </c>
      <c r="BJ244" s="266">
        <f>BI244</f>
        <v>0</v>
      </c>
      <c r="BK244" s="266">
        <f>BJ244</f>
        <v>0</v>
      </c>
      <c r="BL244" s="266">
        <f>BK244</f>
        <v>0</v>
      </c>
      <c r="BM244" s="266">
        <f>BL244</f>
        <v>0</v>
      </c>
      <c r="BN244" s="266">
        <f>BM244</f>
        <v>0</v>
      </c>
      <c r="BO244" s="266">
        <f>BN244</f>
        <v>0</v>
      </c>
      <c r="BP244" s="266">
        <f>BO244</f>
        <v>0</v>
      </c>
      <c r="BQ244" s="266">
        <f>BP244</f>
        <v>0</v>
      </c>
      <c r="BR244" s="266">
        <f>BQ244</f>
        <v>0</v>
      </c>
      <c r="BS244" s="266">
        <f>BR244</f>
        <v>0</v>
      </c>
      <c r="BT244" s="266">
        <f>BS244</f>
        <v>0</v>
      </c>
      <c r="BU244" s="266">
        <f>BT244</f>
        <v>0</v>
      </c>
      <c r="BV244" s="266">
        <f>BU244</f>
        <v>0</v>
      </c>
      <c r="BW244" s="266">
        <f>BV244</f>
        <v>0</v>
      </c>
      <c r="BX244" s="266">
        <f>BW244</f>
        <v>0</v>
      </c>
      <c r="BY244" s="266">
        <f>BX244</f>
        <v>0</v>
      </c>
      <c r="BZ244" s="266">
        <f>BY244</f>
        <v>0</v>
      </c>
      <c r="CA244" s="266">
        <f>BZ244</f>
        <v>0</v>
      </c>
      <c r="CB244" s="266">
        <f>CA244</f>
        <v>0</v>
      </c>
      <c r="CC244" s="266">
        <f>CB244</f>
        <v>0</v>
      </c>
      <c r="CD244" s="266">
        <f>CC244</f>
        <v>0</v>
      </c>
      <c r="CE244" s="266">
        <f>CD244</f>
        <v>0</v>
      </c>
      <c r="CF244" s="266">
        <f>CE244</f>
        <v>0</v>
      </c>
      <c r="CG244" s="266">
        <f>CF244</f>
        <v>0</v>
      </c>
      <c r="CH244" s="266">
        <f>CG244</f>
        <v>0</v>
      </c>
      <c r="CI244" s="266">
        <f>CH244</f>
        <v>0</v>
      </c>
      <c r="CJ244" s="266">
        <f>CI244</f>
        <v>0</v>
      </c>
      <c r="CK244" s="266">
        <f>CJ244</f>
        <v>0</v>
      </c>
      <c r="CL244" s="266">
        <f>CK244</f>
        <v>0</v>
      </c>
      <c r="CM244" s="266">
        <f>CL244</f>
        <v>0</v>
      </c>
      <c r="CN244" s="266">
        <f>CM244</f>
        <v>0</v>
      </c>
      <c r="CO244" s="266">
        <f>CN244</f>
        <v>0</v>
      </c>
      <c r="CP244" s="266">
        <f>CO244</f>
        <v>0</v>
      </c>
      <c r="CQ244" s="266">
        <f>CP244</f>
        <v>0</v>
      </c>
      <c r="CR244" s="266">
        <f>CQ244</f>
        <v>0</v>
      </c>
      <c r="CS244" s="266">
        <f>CR244</f>
        <v>0</v>
      </c>
      <c r="CT244" s="266">
        <f>CS244</f>
        <v>0</v>
      </c>
      <c r="CU244" s="266">
        <f>CT244</f>
        <v>0</v>
      </c>
      <c r="CV244" s="266">
        <f>CU244</f>
        <v>0</v>
      </c>
      <c r="CW244" s="266">
        <f>CV244</f>
        <v>0</v>
      </c>
      <c r="CX244" s="266">
        <f>CW244</f>
        <v>0</v>
      </c>
      <c r="CY244" s="266">
        <f>CX244</f>
        <v>0</v>
      </c>
    </row>
    <row r="245" ht="12.75" customHeight="1" s="254">
      <c r="C245" s="268" t="inlineStr">
        <is>
          <t>Deferred income taxes</t>
        </is>
      </c>
      <c r="D245" s="299" t="n"/>
      <c r="E245" s="299" t="n"/>
      <c r="F245" s="299" t="n"/>
      <c r="G245" s="299" t="n"/>
      <c r="H245" s="266">
        <f>G245</f>
        <v>0</v>
      </c>
      <c r="I245" s="299">
        <f>INDEX('Inputs (2)'!$D$38:$AL$38,MATCH(I$7,'Inputs (2)'!$D$2:$AL$2,0))</f>
        <v>11285</v>
      </c>
      <c r="J245" s="299">
        <f>INDEX('Inputs (2)'!$D$38:$AL$38,MATCH(J$7,'Inputs (2)'!$D$2:$AL$2,0))</f>
        <v>11717</v>
      </c>
      <c r="K245" s="299">
        <f>INDEX('Inputs (2)'!$D$38:$AL$38,MATCH(K$7,'Inputs (2)'!$D$2:$AL$2,0))</f>
        <v>12159</v>
      </c>
      <c r="L245" s="299">
        <f>INDEX('Inputs (2)'!$D$38:$AL$38,MATCH(L$7,'Inputs (2)'!$D$2:$AL$2,0))</f>
        <v>12547</v>
      </c>
      <c r="M245" s="266">
        <f>L245</f>
        <v>12547</v>
      </c>
      <c r="N245" s="299">
        <f>INDEX('Inputs (2)'!$D$38:$AL$38,MATCH(N$7,'Inputs (2)'!$D$2:$AL$2,0))</f>
        <v>13021</v>
      </c>
      <c r="O245" s="299">
        <f>INDEX('Inputs (2)'!$D$38:$AL$38,MATCH(O$7,'Inputs (2)'!$D$2:$AL$2,0))</f>
        <v>16145</v>
      </c>
      <c r="P245" s="299">
        <f>INDEX('Inputs (2)'!$D$38:$AL$38,MATCH(P$7,'Inputs (2)'!$D$2:$AL$2,0))</f>
        <v>16893</v>
      </c>
      <c r="Q245" s="299">
        <f>INDEX('Inputs (2)'!$D$38:$AL$38,MATCH(Q$7,'Inputs (2)'!$D$2:$AL$2,0))</f>
        <v>16186</v>
      </c>
      <c r="R245" s="266">
        <f>Q245</f>
        <v>16186</v>
      </c>
      <c r="S245" s="299">
        <f>INDEX('Inputs (2)'!$D$38:$AL$38,MATCH(S$7,'Inputs (2)'!$D$2:$AL$2,0))</f>
        <v>16464</v>
      </c>
      <c r="T245" s="299">
        <f>INDEX('Inputs (2)'!$D$38:$AL$38,MATCH(T$7,'Inputs (2)'!$D$2:$AL$2,0))</f>
        <v>15955</v>
      </c>
      <c r="U245" s="299">
        <f>INDEX('Inputs (2)'!$D$38:$AL$38,MATCH(U$7,'Inputs (2)'!$D$2:$AL$2,0))</f>
        <v>15891</v>
      </c>
      <c r="V245" s="299">
        <f>INDEX('Inputs (2)'!$D$38:$AL$38,MATCH(V$7,'Inputs (2)'!$D$2:$AL$2,0))</f>
        <v>15347</v>
      </c>
      <c r="W245" s="266">
        <f>V245</f>
        <v>15347</v>
      </c>
      <c r="X245" s="299">
        <f>INDEX('Inputs (2)'!$D$38:$AL$38,MATCH(X$7,'Inputs (2)'!$D$2:$AL$2,0))</f>
        <v>15179</v>
      </c>
      <c r="Y245" s="299">
        <f>INDEX('Inputs (2)'!$D$38:$AL$38,MATCH(Y$7,'Inputs (2)'!$D$2:$AL$2,0))</f>
        <v>15293</v>
      </c>
      <c r="Z245" s="299">
        <f>INDEX('Inputs (2)'!$D$38:$AL$38,MATCH(Z$7,'Inputs (2)'!$D$2:$AL$2,0))</f>
        <v>15487</v>
      </c>
      <c r="AA245" s="299">
        <f>INDEX('Inputs (2)'!$D$38:$AL$38,MATCH(AA$7,'Inputs (2)'!$D$2:$AL$2,0))</f>
        <v>13505</v>
      </c>
      <c r="AB245" s="266">
        <f>AA245</f>
        <v>13505</v>
      </c>
      <c r="AC245" s="299">
        <f>INDEX('Inputs (2)'!$D$38:$AL$38,MATCH(AC$7,'Inputs (2)'!$D$2:$AL$2,0))</f>
        <v>13257</v>
      </c>
      <c r="AD245" s="299">
        <f>INDEX('Inputs (2)'!$D$38:$AL$38,MATCH(AD$7,'Inputs (2)'!$D$2:$AL$2,0))</f>
        <v>12921</v>
      </c>
      <c r="AE245" s="299">
        <f>INDEX('Inputs (2)'!$D$38:$AL$38,MATCH(AE$7,'Inputs (2)'!$D$2:$AL$2,0))</f>
        <v>11955</v>
      </c>
      <c r="AF245" s="299">
        <f>INDEX('Inputs (2)'!$D$38:$AL$38,MATCH(AF$7,'Inputs (2)'!$D$2:$AL$2,0))</f>
        <v>11983</v>
      </c>
      <c r="AG245" s="266">
        <f>AF245</f>
        <v>11983</v>
      </c>
      <c r="AH245" s="266">
        <f>INDEX('Inputs (2)'!$D$38:$AL$38,MATCH(AH$7,'Inputs (2)'!$D$2:$AL$2,0))</f>
        <v>11884</v>
      </c>
      <c r="AI245" s="266">
        <f>INDEX('Inputs (2)'!$D$38:$AL$38,MATCH(AI$7,'Inputs (2)'!$D$2:$AL$2,0))</f>
        <v>11831</v>
      </c>
      <c r="AJ245" s="266">
        <f>AI245</f>
        <v>11831</v>
      </c>
      <c r="AK245" s="266">
        <f>AJ245</f>
        <v>11831</v>
      </c>
      <c r="AL245" s="266">
        <f>AK245</f>
        <v>11831</v>
      </c>
      <c r="AM245" s="266">
        <f>AL245</f>
        <v>11831</v>
      </c>
      <c r="AN245" s="266">
        <f>AM245</f>
        <v>11831</v>
      </c>
      <c r="AO245" s="266">
        <f>AN245</f>
        <v>11831</v>
      </c>
      <c r="AP245" s="266">
        <f>AO245</f>
        <v>11831</v>
      </c>
      <c r="AQ245" s="266">
        <f>AP245</f>
        <v>11831</v>
      </c>
      <c r="AR245" s="266">
        <f>AQ245</f>
        <v>11831</v>
      </c>
      <c r="AS245" s="266">
        <f>AR245</f>
        <v>11831</v>
      </c>
      <c r="AT245" s="266">
        <f>AS245</f>
        <v>11831</v>
      </c>
      <c r="AU245" s="266">
        <f>AT245</f>
        <v>11831</v>
      </c>
      <c r="AV245" s="266">
        <f>AU245</f>
        <v>11831</v>
      </c>
      <c r="AW245" s="266">
        <f>AV245</f>
        <v>11831</v>
      </c>
      <c r="AX245" s="266">
        <f>AW245</f>
        <v>11831</v>
      </c>
      <c r="AY245" s="266">
        <f>AX245</f>
        <v>11831</v>
      </c>
      <c r="AZ245" s="266">
        <f>AY245</f>
        <v>11831</v>
      </c>
      <c r="BA245" s="266">
        <f>AZ245</f>
        <v>11831</v>
      </c>
      <c r="BB245" s="266">
        <f>BA245</f>
        <v>11831</v>
      </c>
      <c r="BC245" s="266">
        <f>BB245</f>
        <v>11831</v>
      </c>
      <c r="BD245" s="266">
        <f>BC245</f>
        <v>11831</v>
      </c>
      <c r="BE245" s="266">
        <f>BD245</f>
        <v>11831</v>
      </c>
      <c r="BF245" s="266">
        <f>BE245</f>
        <v>11831</v>
      </c>
      <c r="BG245" s="266">
        <f>BF245</f>
        <v>11831</v>
      </c>
      <c r="BH245" s="266">
        <f>BG245</f>
        <v>11831</v>
      </c>
      <c r="BI245" s="266">
        <f>BH245</f>
        <v>11831</v>
      </c>
      <c r="BJ245" s="266">
        <f>BI245</f>
        <v>11831</v>
      </c>
      <c r="BK245" s="266">
        <f>BJ245</f>
        <v>11831</v>
      </c>
      <c r="BL245" s="266">
        <f>BK245</f>
        <v>11831</v>
      </c>
      <c r="BM245" s="266">
        <f>BL245</f>
        <v>11831</v>
      </c>
      <c r="BN245" s="266">
        <f>BM245</f>
        <v>11831</v>
      </c>
      <c r="BO245" s="266">
        <f>BN245</f>
        <v>11831</v>
      </c>
      <c r="BP245" s="266">
        <f>BO245</f>
        <v>11831</v>
      </c>
      <c r="BQ245" s="266">
        <f>BP245</f>
        <v>11831</v>
      </c>
      <c r="BR245" s="266">
        <f>BQ245</f>
        <v>11831</v>
      </c>
      <c r="BS245" s="266">
        <f>BR245</f>
        <v>11831</v>
      </c>
      <c r="BT245" s="266">
        <f>BS245</f>
        <v>11831</v>
      </c>
      <c r="BU245" s="266">
        <f>BT245</f>
        <v>11831</v>
      </c>
      <c r="BV245" s="266">
        <f>BU245</f>
        <v>11831</v>
      </c>
      <c r="BW245" s="266">
        <f>BV245</f>
        <v>11831</v>
      </c>
      <c r="BX245" s="266">
        <f>BW245</f>
        <v>11831</v>
      </c>
      <c r="BY245" s="266">
        <f>BX245</f>
        <v>11831</v>
      </c>
      <c r="BZ245" s="266">
        <f>BY245</f>
        <v>11831</v>
      </c>
      <c r="CA245" s="266">
        <f>BZ245</f>
        <v>11831</v>
      </c>
      <c r="CB245" s="266">
        <f>CA245</f>
        <v>11831</v>
      </c>
      <c r="CC245" s="266">
        <f>CB245</f>
        <v>11831</v>
      </c>
      <c r="CD245" s="266">
        <f>CC245</f>
        <v>11831</v>
      </c>
      <c r="CE245" s="266">
        <f>CD245</f>
        <v>11831</v>
      </c>
      <c r="CF245" s="266">
        <f>CE245</f>
        <v>11831</v>
      </c>
      <c r="CG245" s="266">
        <f>CF245</f>
        <v>11831</v>
      </c>
      <c r="CH245" s="266">
        <f>CG245</f>
        <v>11831</v>
      </c>
      <c r="CI245" s="266">
        <f>CH245</f>
        <v>11831</v>
      </c>
      <c r="CJ245" s="266">
        <f>CI245</f>
        <v>11831</v>
      </c>
      <c r="CK245" s="266">
        <f>CJ245</f>
        <v>11831</v>
      </c>
      <c r="CL245" s="266">
        <f>CK245</f>
        <v>11831</v>
      </c>
      <c r="CM245" s="266">
        <f>CL245</f>
        <v>11831</v>
      </c>
      <c r="CN245" s="266">
        <f>CM245</f>
        <v>11831</v>
      </c>
      <c r="CO245" s="266">
        <f>CN245</f>
        <v>11831</v>
      </c>
      <c r="CP245" s="266">
        <f>CO245</f>
        <v>11831</v>
      </c>
      <c r="CQ245" s="266">
        <f>CP245</f>
        <v>11831</v>
      </c>
      <c r="CR245" s="266">
        <f>CQ245</f>
        <v>11831</v>
      </c>
      <c r="CS245" s="266">
        <f>CR245</f>
        <v>11831</v>
      </c>
      <c r="CT245" s="266">
        <f>CS245</f>
        <v>11831</v>
      </c>
      <c r="CU245" s="266">
        <f>CT245</f>
        <v>11831</v>
      </c>
      <c r="CV245" s="266">
        <f>CU245</f>
        <v>11831</v>
      </c>
      <c r="CW245" s="266">
        <f>CV245</f>
        <v>11831</v>
      </c>
      <c r="CX245" s="266">
        <f>CW245</f>
        <v>11831</v>
      </c>
      <c r="CY245" s="266">
        <f>CX245</f>
        <v>11831</v>
      </c>
    </row>
    <row r="246" ht="12.75" customHeight="1" s="254">
      <c r="C246" s="268" t="inlineStr">
        <is>
          <t>Other non-current liabilities</t>
        </is>
      </c>
      <c r="D246" s="299" t="n"/>
      <c r="E246" s="299" t="n"/>
      <c r="F246" s="299" t="n"/>
      <c r="G246" s="299" t="n"/>
      <c r="H246" s="266">
        <f>G246</f>
        <v>0</v>
      </c>
      <c r="I246" s="299">
        <f>INDEX('Inputs (2)'!$D$39:$AL$39,MATCH(I$7,'Inputs (2)'!$D$2:$AL$2,0))</f>
        <v>42902</v>
      </c>
      <c r="J246" s="299">
        <f>INDEX('Inputs (2)'!$D$39:$AL$39,MATCH(J$7,'Inputs (2)'!$D$2:$AL$2,0))</f>
        <v>43362</v>
      </c>
      <c r="K246" s="299">
        <f>INDEX('Inputs (2)'!$D$39:$AL$39,MATCH(K$7,'Inputs (2)'!$D$2:$AL$2,0))</f>
        <v>40991</v>
      </c>
      <c r="L246" s="299">
        <f>INDEX('Inputs (2)'!$D$39:$AL$39,MATCH(L$7,'Inputs (2)'!$D$2:$AL$2,0))</f>
        <v>40091</v>
      </c>
      <c r="M246" s="266">
        <f>L246</f>
        <v>40091</v>
      </c>
      <c r="N246" s="299">
        <f>INDEX('Inputs (2)'!$D$39:$AL$39,MATCH(N$7,'Inputs (2)'!$D$2:$AL$2,0))</f>
        <v>40114</v>
      </c>
      <c r="O246" s="299">
        <f>INDEX('Inputs (2)'!$D$39:$AL$39,MATCH(O$7,'Inputs (2)'!$D$2:$AL$2,0))</f>
        <v>41558</v>
      </c>
      <c r="P246" s="299">
        <f>INDEX('Inputs (2)'!$D$39:$AL$39,MATCH(P$7,'Inputs (2)'!$D$2:$AL$2,0))</f>
        <v>37611</v>
      </c>
      <c r="Q246" s="299">
        <f>INDEX('Inputs (2)'!$D$39:$AL$39,MATCH(Q$7,'Inputs (2)'!$D$2:$AL$2,0))</f>
        <v>38136</v>
      </c>
      <c r="R246" s="266">
        <f>Q246</f>
        <v>38136</v>
      </c>
      <c r="S246" s="299">
        <f>INDEX('Inputs (2)'!$D$39:$AL$39,MATCH(S$7,'Inputs (2)'!$D$2:$AL$2,0))</f>
        <v>38384</v>
      </c>
      <c r="T246" s="299">
        <f>INDEX('Inputs (2)'!$D$39:$AL$39,MATCH(T$7,'Inputs (2)'!$D$2:$AL$2,0))</f>
        <v>38603</v>
      </c>
      <c r="U246" s="299">
        <f>INDEX('Inputs (2)'!$D$39:$AL$39,MATCH(U$7,'Inputs (2)'!$D$2:$AL$2,0))</f>
        <v>37506</v>
      </c>
      <c r="V246" s="299">
        <f>INDEX('Inputs (2)'!$D$39:$AL$39,MATCH(V$7,'Inputs (2)'!$D$2:$AL$2,0))</f>
        <v>35484</v>
      </c>
      <c r="W246" s="266">
        <f>V246</f>
        <v>35484</v>
      </c>
      <c r="X246" s="299">
        <f>INDEX('Inputs (2)'!$D$39:$AL$39,MATCH(X$7,'Inputs (2)'!$D$2:$AL$2,0))</f>
        <v>35760</v>
      </c>
      <c r="Y246" s="299">
        <f>INDEX('Inputs (2)'!$D$39:$AL$39,MATCH(Y$7,'Inputs (2)'!$D$2:$AL$2,0))</f>
        <v>36184</v>
      </c>
      <c r="Z246" s="299">
        <f>INDEX('Inputs (2)'!$D$39:$AL$39,MATCH(Z$7,'Inputs (2)'!$D$2:$AL$2,0))</f>
        <v>35702</v>
      </c>
      <c r="AA246" s="299">
        <f>INDEX('Inputs (2)'!$D$39:$AL$39,MATCH(AA$7,'Inputs (2)'!$D$2:$AL$2,0))</f>
        <v>33454</v>
      </c>
      <c r="AB246" s="266">
        <f>AA246</f>
        <v>33454</v>
      </c>
      <c r="AC246" s="299">
        <f>INDEX('Inputs (2)'!$D$39:$AL$39,MATCH(AC$7,'Inputs (2)'!$D$2:$AL$2,0))</f>
        <v>34121</v>
      </c>
      <c r="AD246" s="299">
        <f>INDEX('Inputs (2)'!$D$39:$AL$39,MATCH(AD$7,'Inputs (2)'!$D$2:$AL$2,0))</f>
        <v>34673</v>
      </c>
      <c r="AE246" s="299">
        <f>INDEX('Inputs (2)'!$D$39:$AL$39,MATCH(AE$7,'Inputs (2)'!$D$2:$AL$2,0))</f>
        <v>34385</v>
      </c>
      <c r="AF246" s="299">
        <f>INDEX('Inputs (2)'!$D$39:$AL$39,MATCH(AF$7,'Inputs (2)'!$D$2:$AL$2,0))</f>
        <v>34118</v>
      </c>
      <c r="AG246" s="266">
        <f>AF246</f>
        <v>34118</v>
      </c>
      <c r="AH246" s="266">
        <f>INDEX('Inputs (2)'!$D$39:$AL$39,MATCH(AH$7,'Inputs (2)'!$D$2:$AL$2,0))</f>
        <v>35055</v>
      </c>
      <c r="AI246" s="266">
        <f>INDEX('Inputs (2)'!$D$39:$AL$39,MATCH(AI$7,'Inputs (2)'!$D$2:$AL$2,0))</f>
        <v>36752</v>
      </c>
      <c r="AJ246" s="266">
        <f>AI246</f>
        <v>36752</v>
      </c>
      <c r="AK246" s="266">
        <f>AJ246</f>
        <v>36752</v>
      </c>
      <c r="AL246" s="266">
        <f>AK246</f>
        <v>36752</v>
      </c>
      <c r="AM246" s="266">
        <f>AL246</f>
        <v>36752</v>
      </c>
      <c r="AN246" s="266">
        <f>AM246</f>
        <v>36752</v>
      </c>
      <c r="AO246" s="266">
        <f>AN246</f>
        <v>36752</v>
      </c>
      <c r="AP246" s="266">
        <f>AO246</f>
        <v>36752</v>
      </c>
      <c r="AQ246" s="266">
        <f>AP246</f>
        <v>36752</v>
      </c>
      <c r="AR246" s="266">
        <f>AQ246</f>
        <v>36752</v>
      </c>
      <c r="AS246" s="266">
        <f>AR246</f>
        <v>36752</v>
      </c>
      <c r="AT246" s="266">
        <f>AS246</f>
        <v>36752</v>
      </c>
      <c r="AU246" s="266">
        <f>AT246</f>
        <v>36752</v>
      </c>
      <c r="AV246" s="266">
        <f>AU246</f>
        <v>36752</v>
      </c>
      <c r="AW246" s="266">
        <f>AV246</f>
        <v>36752</v>
      </c>
      <c r="AX246" s="266">
        <f>AW246</f>
        <v>36752</v>
      </c>
      <c r="AY246" s="266">
        <f>AX246</f>
        <v>36752</v>
      </c>
      <c r="AZ246" s="266">
        <f>AY246</f>
        <v>36752</v>
      </c>
      <c r="BA246" s="266">
        <f>AZ246</f>
        <v>36752</v>
      </c>
      <c r="BB246" s="266">
        <f>BA246</f>
        <v>36752</v>
      </c>
      <c r="BC246" s="266">
        <f>BB246</f>
        <v>36752</v>
      </c>
      <c r="BD246" s="266">
        <f>BC246</f>
        <v>36752</v>
      </c>
      <c r="BE246" s="266">
        <f>BD246</f>
        <v>36752</v>
      </c>
      <c r="BF246" s="266">
        <f>BE246</f>
        <v>36752</v>
      </c>
      <c r="BG246" s="266">
        <f>BF246</f>
        <v>36752</v>
      </c>
      <c r="BH246" s="266">
        <f>BG246</f>
        <v>36752</v>
      </c>
      <c r="BI246" s="266">
        <f>BH246</f>
        <v>36752</v>
      </c>
      <c r="BJ246" s="266">
        <f>BI246</f>
        <v>36752</v>
      </c>
      <c r="BK246" s="266">
        <f>BJ246</f>
        <v>36752</v>
      </c>
      <c r="BL246" s="266">
        <f>BK246</f>
        <v>36752</v>
      </c>
      <c r="BM246" s="266">
        <f>BL246</f>
        <v>36752</v>
      </c>
      <c r="BN246" s="266">
        <f>BM246</f>
        <v>36752</v>
      </c>
      <c r="BO246" s="266">
        <f>BN246</f>
        <v>36752</v>
      </c>
      <c r="BP246" s="266">
        <f>BO246</f>
        <v>36752</v>
      </c>
      <c r="BQ246" s="266">
        <f>BP246</f>
        <v>36752</v>
      </c>
      <c r="BR246" s="266">
        <f>BQ246</f>
        <v>36752</v>
      </c>
      <c r="BS246" s="266">
        <f>BR246</f>
        <v>36752</v>
      </c>
      <c r="BT246" s="266">
        <f>BS246</f>
        <v>36752</v>
      </c>
      <c r="BU246" s="266">
        <f>BT246</f>
        <v>36752</v>
      </c>
      <c r="BV246" s="266">
        <f>BU246</f>
        <v>36752</v>
      </c>
      <c r="BW246" s="266">
        <f>BV246</f>
        <v>36752</v>
      </c>
      <c r="BX246" s="266">
        <f>BW246</f>
        <v>36752</v>
      </c>
      <c r="BY246" s="266">
        <f>BX246</f>
        <v>36752</v>
      </c>
      <c r="BZ246" s="266">
        <f>BY246</f>
        <v>36752</v>
      </c>
      <c r="CA246" s="266">
        <f>BZ246</f>
        <v>36752</v>
      </c>
      <c r="CB246" s="266">
        <f>CA246</f>
        <v>36752</v>
      </c>
      <c r="CC246" s="266">
        <f>CB246</f>
        <v>36752</v>
      </c>
      <c r="CD246" s="266">
        <f>CC246</f>
        <v>36752</v>
      </c>
      <c r="CE246" s="266">
        <f>CD246</f>
        <v>36752</v>
      </c>
      <c r="CF246" s="266">
        <f>CE246</f>
        <v>36752</v>
      </c>
      <c r="CG246" s="266">
        <f>CF246</f>
        <v>36752</v>
      </c>
      <c r="CH246" s="266">
        <f>CG246</f>
        <v>36752</v>
      </c>
      <c r="CI246" s="266">
        <f>CH246</f>
        <v>36752</v>
      </c>
      <c r="CJ246" s="266">
        <f>CI246</f>
        <v>36752</v>
      </c>
      <c r="CK246" s="266">
        <f>CJ246</f>
        <v>36752</v>
      </c>
      <c r="CL246" s="266">
        <f>CK246</f>
        <v>36752</v>
      </c>
      <c r="CM246" s="266">
        <f>CL246</f>
        <v>36752</v>
      </c>
      <c r="CN246" s="266">
        <f>CM246</f>
        <v>36752</v>
      </c>
      <c r="CO246" s="266">
        <f>CN246</f>
        <v>36752</v>
      </c>
      <c r="CP246" s="266">
        <f>CO246</f>
        <v>36752</v>
      </c>
      <c r="CQ246" s="266">
        <f>CP246</f>
        <v>36752</v>
      </c>
      <c r="CR246" s="266">
        <f>CQ246</f>
        <v>36752</v>
      </c>
      <c r="CS246" s="266">
        <f>CR246</f>
        <v>36752</v>
      </c>
      <c r="CT246" s="266">
        <f>CS246</f>
        <v>36752</v>
      </c>
      <c r="CU246" s="266">
        <f>CT246</f>
        <v>36752</v>
      </c>
      <c r="CV246" s="266">
        <f>CU246</f>
        <v>36752</v>
      </c>
      <c r="CW246" s="266">
        <f>CV246</f>
        <v>36752</v>
      </c>
      <c r="CX246" s="266">
        <f>CW246</f>
        <v>36752</v>
      </c>
      <c r="CY246" s="266">
        <f>CX246</f>
        <v>36752</v>
      </c>
    </row>
    <row r="247" hidden="1" outlineLevel="1" ht="12" customHeight="1" s="254">
      <c r="C247" s="312" t="inlineStr">
        <is>
          <t>%(Var.)</t>
        </is>
      </c>
      <c r="D247" s="266" t="n"/>
      <c r="E247" s="294" t="str">
        <f>IFERROR((E246-D246)/D246,"")</f>
        <v/>
      </c>
      <c r="F247" s="294" t="str">
        <f>IFERROR((F246-E246)/E246,"")</f>
        <v/>
      </c>
      <c r="G247" s="294" t="str">
        <f>IFERROR((G246-F246)/F246,"")</f>
        <v/>
      </c>
      <c r="H247" s="266" t="n"/>
      <c r="I247" s="294" t="str">
        <f>IFERROR((I246-H246)/H246,"")</f>
        <v/>
      </c>
      <c r="J247" s="294">
        <f>IFERROR((J246-I246)/I246,"")</f>
        <v>0.0107221108573027</v>
      </c>
      <c r="K247" s="294">
        <f>IFERROR((K246-J246)/J246,"")</f>
        <v>-0.0546792122134588</v>
      </c>
      <c r="L247" s="294">
        <f>IFERROR((L246-K246)/K246,"")</f>
        <v>-0.0219560391305409</v>
      </c>
      <c r="M247" s="266" t="n"/>
      <c r="N247" s="294">
        <f>IFERROR((N246-M246)/M246,"")</f>
        <v>0.000573694844229378</v>
      </c>
      <c r="O247" s="294">
        <f>IFERROR((O246-N246)/N246,"")</f>
        <v>0.0359974073889415</v>
      </c>
      <c r="P247" s="294">
        <f>IFERROR((P246-O246)/O246,"")</f>
        <v>-0.0949756966167766</v>
      </c>
      <c r="Q247" s="294">
        <f>IFERROR((Q246-P246)/P246,"")</f>
        <v>0.0139586823003908</v>
      </c>
      <c r="R247" s="266" t="n"/>
      <c r="S247" s="294">
        <f>IFERROR((S246-R246)/R246,"")</f>
        <v>0.00650304174533249</v>
      </c>
      <c r="T247" s="294">
        <f>IFERROR((T246-S246)/S246,"")</f>
        <v>0.00570550229262193</v>
      </c>
      <c r="U247" s="294">
        <f>IFERROR((U246-T246)/T246,"")</f>
        <v>-0.0284174805066964</v>
      </c>
      <c r="V247" s="294">
        <f>IFERROR((V246-U246)/U246,"")</f>
        <v>-0.0539113741801312</v>
      </c>
      <c r="W247" s="266" t="n"/>
      <c r="X247" s="294">
        <f>IFERROR((X246-W246)/W246,"")</f>
        <v>0.00777815353398715</v>
      </c>
      <c r="Y247" s="294">
        <f>IFERROR((Y246-X246)/X246,"")</f>
        <v>0.0118568232662192</v>
      </c>
      <c r="Z247" s="294">
        <f>IFERROR((Z246-Y246)/Y246,"")</f>
        <v>-0.0133208047755914</v>
      </c>
      <c r="AA247" s="294">
        <f>IFERROR((AA246-Z246)/Z246,"")</f>
        <v>-0.0629656601871044</v>
      </c>
      <c r="AB247" s="266" t="n"/>
      <c r="AC247" s="294">
        <f>IFERROR((AC246-AB246)/AB246,"")</f>
        <v>0.0199378250732349</v>
      </c>
      <c r="AD247" s="294">
        <f>IFERROR((AD246-AC246)/AC246,"")</f>
        <v>0.0161777204654025</v>
      </c>
      <c r="AE247" s="294">
        <f>IFERROR((AE246-AD246)/AD246,"")</f>
        <v>-0.00830617483344389</v>
      </c>
      <c r="AF247" s="295">
        <f>IFERROR((AF246-AE246)/AE246,"")</f>
        <v>-0.00776501381416315</v>
      </c>
      <c r="AG247" s="266" t="n"/>
      <c r="AH247" s="295">
        <f>IFERROR((AH246-AG246)/AG246,"")</f>
        <v>0.0274635089981828</v>
      </c>
      <c r="AI247" s="295">
        <f>IFERROR((AI246-AH246)/AH246,"")</f>
        <v>0.0484096419911568</v>
      </c>
      <c r="AJ247" s="295" t="n"/>
      <c r="AK247" s="295" t="n"/>
      <c r="AL247" s="266" t="n"/>
      <c r="AM247" s="295" t="n"/>
      <c r="AN247" s="295" t="n"/>
      <c r="AO247" s="295" t="n"/>
      <c r="AP247" s="295" t="n"/>
      <c r="AQ247" s="266" t="n"/>
      <c r="AR247" s="295" t="n"/>
      <c r="AS247" s="295" t="n"/>
      <c r="AT247" s="295" t="n"/>
      <c r="AU247" s="295" t="n"/>
      <c r="AV247" s="266" t="n"/>
      <c r="AW247" s="295" t="n"/>
      <c r="AX247" s="295" t="n"/>
      <c r="AY247" s="295" t="n"/>
      <c r="AZ247" s="295" t="n"/>
      <c r="BA247" s="266" t="n"/>
      <c r="BB247" s="295" t="n"/>
      <c r="BC247" s="295" t="n"/>
      <c r="BD247" s="295" t="n"/>
      <c r="BE247" s="295" t="n"/>
      <c r="BF247" s="266" t="n"/>
      <c r="BG247" s="295" t="n"/>
      <c r="BH247" s="295" t="n"/>
      <c r="BI247" s="295" t="n"/>
      <c r="BJ247" s="295" t="n"/>
      <c r="BK247" s="266" t="n"/>
      <c r="BL247" s="295" t="n"/>
      <c r="BM247" s="295" t="n"/>
      <c r="BN247" s="295" t="n"/>
      <c r="BO247" s="295" t="n"/>
      <c r="BP247" s="266" t="n"/>
      <c r="BQ247" s="295" t="n"/>
      <c r="BR247" s="295" t="n"/>
      <c r="BS247" s="295" t="n"/>
      <c r="BT247" s="295" t="n"/>
      <c r="BU247" s="266" t="n"/>
      <c r="BV247" s="295" t="n"/>
      <c r="BW247" s="295" t="n"/>
      <c r="BX247" s="295" t="n"/>
      <c r="BY247" s="295" t="n"/>
      <c r="BZ247" s="266" t="n"/>
      <c r="CA247" s="295" t="n"/>
      <c r="CB247" s="295" t="n"/>
      <c r="CC247" s="295" t="n"/>
      <c r="CD247" s="295" t="n"/>
      <c r="CE247" s="266" t="n"/>
      <c r="CF247" s="295" t="n"/>
      <c r="CG247" s="295" t="n"/>
      <c r="CH247" s="295" t="n"/>
      <c r="CI247" s="295" t="n"/>
      <c r="CJ247" s="266" t="n"/>
      <c r="CK247" s="295" t="n"/>
      <c r="CL247" s="295" t="n"/>
      <c r="CM247" s="295" t="n"/>
      <c r="CN247" s="295" t="n"/>
      <c r="CO247" s="266" t="n"/>
      <c r="CP247" s="295" t="n"/>
      <c r="CQ247" s="295" t="n"/>
      <c r="CR247" s="295" t="n"/>
      <c r="CS247" s="295" t="n"/>
      <c r="CT247" s="266" t="n"/>
      <c r="CU247" s="295" t="n"/>
      <c r="CV247" s="295" t="n"/>
      <c r="CW247" s="295" t="n"/>
      <c r="CX247" s="295" t="n"/>
      <c r="CY247" s="266" t="n"/>
    </row>
    <row r="248" hidden="1" outlineLevel="1" ht="12" customHeight="1" s="254">
      <c r="C248" s="312" t="n"/>
      <c r="D248" s="266" t="n"/>
      <c r="E248" s="266" t="n"/>
      <c r="F248" s="266" t="n"/>
      <c r="G248" s="266" t="n"/>
      <c r="H248" s="266" t="n"/>
      <c r="I248" s="266" t="n"/>
      <c r="J248" s="266" t="n"/>
      <c r="K248" s="266" t="n"/>
      <c r="L248" s="266" t="n"/>
      <c r="M248" s="266" t="n"/>
      <c r="N248" s="266" t="n"/>
      <c r="O248" s="266" t="n"/>
      <c r="P248" s="266" t="n"/>
      <c r="Q248" s="266" t="n"/>
      <c r="R248" s="266" t="n"/>
      <c r="S248" s="266" t="n"/>
      <c r="T248" s="266" t="n"/>
      <c r="U248" s="266" t="n"/>
      <c r="V248" s="266" t="n"/>
      <c r="W248" s="266" t="n"/>
      <c r="X248" s="266" t="n"/>
      <c r="Y248" s="266" t="n"/>
      <c r="Z248" s="266" t="n"/>
      <c r="AA248" s="266" t="n"/>
      <c r="AB248" s="266" t="n"/>
      <c r="AC248" s="266" t="n"/>
      <c r="AD248" s="266" t="n"/>
      <c r="AE248" s="266" t="n"/>
      <c r="AF248" s="266" t="n"/>
      <c r="AG248" s="266" t="n"/>
      <c r="AH248" s="266" t="n"/>
      <c r="AI248" s="266" t="n"/>
      <c r="AJ248" s="266" t="n"/>
      <c r="AK248" s="266" t="n"/>
      <c r="AL248" s="266" t="n"/>
      <c r="AM248" s="266" t="n"/>
      <c r="AN248" s="266" t="n"/>
      <c r="AO248" s="266" t="n"/>
      <c r="AP248" s="266" t="n"/>
      <c r="AQ248" s="266" t="n"/>
      <c r="AR248" s="266" t="n"/>
      <c r="AS248" s="266" t="n"/>
      <c r="AT248" s="266" t="n"/>
      <c r="AU248" s="266" t="n"/>
      <c r="AV248" s="266" t="n"/>
      <c r="AW248" s="266" t="n"/>
      <c r="AX248" s="266" t="n"/>
      <c r="AY248" s="266" t="n"/>
      <c r="AZ248" s="266" t="n"/>
      <c r="BA248" s="266" t="n"/>
      <c r="BB248" s="266" t="n"/>
      <c r="BC248" s="266" t="n"/>
      <c r="BD248" s="266" t="n"/>
      <c r="BE248" s="266" t="n"/>
      <c r="BF248" s="266" t="n"/>
      <c r="BG248" s="266" t="n"/>
      <c r="BH248" s="266" t="n"/>
      <c r="BI248" s="266" t="n"/>
      <c r="BJ248" s="266" t="n"/>
      <c r="BK248" s="266" t="n"/>
      <c r="BL248" s="266" t="n"/>
      <c r="BM248" s="266" t="n"/>
      <c r="BN248" s="266" t="n"/>
      <c r="BO248" s="266" t="n"/>
      <c r="BP248" s="266" t="n"/>
      <c r="BQ248" s="266" t="n"/>
      <c r="BR248" s="266" t="n"/>
      <c r="BS248" s="266" t="n"/>
      <c r="BT248" s="266" t="n"/>
      <c r="BU248" s="266" t="n"/>
      <c r="BV248" s="266" t="n"/>
      <c r="BW248" s="266" t="n"/>
      <c r="BX248" s="266" t="n"/>
      <c r="BY248" s="266" t="n"/>
      <c r="BZ248" s="266" t="n"/>
      <c r="CA248" s="266" t="n"/>
      <c r="CB248" s="266" t="n"/>
      <c r="CC248" s="266" t="n"/>
      <c r="CD248" s="266" t="n"/>
      <c r="CE248" s="266" t="n"/>
      <c r="CF248" s="266" t="n"/>
      <c r="CG248" s="266" t="n"/>
      <c r="CH248" s="266" t="n"/>
      <c r="CI248" s="266" t="n"/>
      <c r="CJ248" s="266" t="n"/>
      <c r="CK248" s="266" t="n"/>
      <c r="CL248" s="266" t="n"/>
      <c r="CM248" s="266" t="n"/>
      <c r="CN248" s="266" t="n"/>
      <c r="CO248" s="266" t="n"/>
      <c r="CP248" s="266" t="n"/>
      <c r="CQ248" s="266" t="n"/>
      <c r="CR248" s="266" t="n"/>
      <c r="CS248" s="266" t="n"/>
      <c r="CT248" s="266" t="n"/>
      <c r="CU248" s="266" t="n"/>
      <c r="CV248" s="266" t="n"/>
      <c r="CW248" s="266" t="n"/>
      <c r="CX248" s="266" t="n"/>
      <c r="CY248" s="266" t="n"/>
    </row>
    <row r="249" hidden="1" outlineLevel="1" ht="12.75" customHeight="1" s="254">
      <c r="C249" s="310" t="inlineStr">
        <is>
          <t>Contas a pagar pela aquisição de controladas</t>
        </is>
      </c>
      <c r="D249" s="265" t="n"/>
      <c r="E249" s="265" t="n"/>
      <c r="F249" s="265" t="n"/>
      <c r="G249" s="265" t="n"/>
      <c r="H249" s="266" t="n"/>
      <c r="I249" s="265" t="n"/>
      <c r="J249" s="265" t="n"/>
      <c r="K249" s="265" t="n"/>
      <c r="L249" s="265" t="n"/>
      <c r="M249" s="266" t="n"/>
      <c r="N249" s="265" t="n"/>
      <c r="O249" s="265" t="n"/>
      <c r="P249" s="265" t="n"/>
      <c r="Q249" s="265" t="n"/>
      <c r="R249" s="266" t="n"/>
      <c r="S249" s="265" t="n"/>
      <c r="T249" s="265" t="n"/>
      <c r="U249" s="265" t="n"/>
      <c r="V249" s="265" t="n"/>
      <c r="W249" s="266" t="n"/>
      <c r="X249" s="265" t="n"/>
      <c r="Y249" s="265" t="n"/>
      <c r="Z249" s="265" t="n"/>
      <c r="AA249" s="265" t="n"/>
      <c r="AB249" s="266" t="n"/>
      <c r="AC249" s="265" t="n"/>
      <c r="AD249" s="265" t="n"/>
      <c r="AE249" s="265" t="n"/>
      <c r="AF249" s="265" t="n"/>
      <c r="AG249" s="266" t="n"/>
      <c r="AH249" s="266" t="n"/>
      <c r="AI249" s="266" t="n"/>
      <c r="AJ249" s="266" t="n"/>
      <c r="AK249" s="266" t="n"/>
      <c r="AL249" s="266" t="n"/>
      <c r="AM249" s="266" t="n"/>
      <c r="AN249" s="266" t="n"/>
      <c r="AO249" s="266" t="n"/>
      <c r="AP249" s="266" t="n"/>
      <c r="AQ249" s="266" t="n"/>
      <c r="AR249" s="266" t="n"/>
      <c r="AS249" s="266" t="n"/>
      <c r="AT249" s="266" t="n"/>
      <c r="AU249" s="266" t="n"/>
      <c r="AV249" s="266" t="n"/>
      <c r="AW249" s="266" t="n"/>
      <c r="AX249" s="266" t="n"/>
      <c r="AY249" s="266" t="n"/>
      <c r="AZ249" s="266" t="n"/>
      <c r="BA249" s="266" t="n"/>
      <c r="BB249" s="266" t="n"/>
      <c r="BC249" s="266" t="n"/>
      <c r="BD249" s="266" t="n"/>
      <c r="BE249" s="266" t="n"/>
      <c r="BF249" s="266" t="n"/>
      <c r="BG249" s="266" t="n"/>
      <c r="BH249" s="266" t="n"/>
      <c r="BI249" s="266" t="n"/>
      <c r="BJ249" s="266" t="n"/>
      <c r="BK249" s="266" t="n"/>
      <c r="BL249" s="266" t="n"/>
      <c r="BM249" s="266" t="n"/>
      <c r="BN249" s="266" t="n"/>
      <c r="BO249" s="266" t="n"/>
      <c r="BP249" s="266" t="n"/>
      <c r="BQ249" s="266" t="n"/>
      <c r="BR249" s="266" t="n"/>
      <c r="BS249" s="266" t="n"/>
      <c r="BT249" s="266" t="n"/>
      <c r="BU249" s="266" t="n"/>
      <c r="BV249" s="266" t="n"/>
      <c r="BW249" s="266" t="n"/>
      <c r="BX249" s="266" t="n"/>
      <c r="BY249" s="266" t="n"/>
      <c r="BZ249" s="266" t="n"/>
      <c r="CA249" s="266" t="n"/>
      <c r="CB249" s="266" t="n"/>
      <c r="CC249" s="266" t="n"/>
      <c r="CD249" s="266" t="n"/>
      <c r="CE249" s="266" t="n"/>
      <c r="CF249" s="266" t="n"/>
      <c r="CG249" s="266" t="n"/>
      <c r="CH249" s="266" t="n"/>
      <c r="CI249" s="266" t="n"/>
      <c r="CJ249" s="266" t="n"/>
      <c r="CK249" s="266" t="n"/>
      <c r="CL249" s="266" t="n"/>
      <c r="CM249" s="266" t="n"/>
      <c r="CN249" s="266" t="n"/>
      <c r="CO249" s="266" t="n"/>
      <c r="CP249" s="266" t="n"/>
      <c r="CQ249" s="266" t="n"/>
      <c r="CR249" s="266" t="n"/>
      <c r="CS249" s="266" t="n"/>
      <c r="CT249" s="266" t="n"/>
      <c r="CU249" s="266" t="n"/>
      <c r="CV249" s="266" t="n"/>
      <c r="CW249" s="266" t="n"/>
      <c r="CX249" s="266" t="n"/>
      <c r="CY249" s="266" t="n"/>
    </row>
    <row r="250" hidden="1" outlineLevel="1" ht="12.75" customHeight="1" s="254">
      <c r="C250" s="310" t="inlineStr">
        <is>
          <t xml:space="preserve">Outras Obrigações </t>
        </is>
      </c>
      <c r="D250" s="265" t="n"/>
      <c r="E250" s="265" t="n"/>
      <c r="F250" s="265" t="n"/>
      <c r="G250" s="265" t="n"/>
      <c r="H250" s="266" t="n"/>
      <c r="I250" s="265" t="n"/>
      <c r="J250" s="265" t="n"/>
      <c r="K250" s="265" t="n"/>
      <c r="L250" s="265" t="n"/>
      <c r="M250" s="266" t="n"/>
      <c r="N250" s="265" t="n"/>
      <c r="O250" s="265" t="n"/>
      <c r="P250" s="265" t="n"/>
      <c r="Q250" s="265" t="n"/>
      <c r="R250" s="266" t="n"/>
      <c r="S250" s="265" t="n"/>
      <c r="T250" s="265" t="n"/>
      <c r="U250" s="265" t="n"/>
      <c r="V250" s="265" t="n"/>
      <c r="W250" s="266" t="n"/>
      <c r="X250" s="265" t="n"/>
      <c r="Y250" s="265" t="n"/>
      <c r="Z250" s="265" t="n"/>
      <c r="AA250" s="265" t="n"/>
      <c r="AB250" s="266" t="n"/>
      <c r="AC250" s="265" t="n"/>
      <c r="AD250" s="265" t="n"/>
      <c r="AE250" s="265" t="n"/>
      <c r="AF250" s="265" t="n"/>
      <c r="AG250" s="266" t="n"/>
      <c r="AH250" s="266" t="n"/>
      <c r="AI250" s="266" t="n"/>
      <c r="AJ250" s="266" t="n"/>
      <c r="AK250" s="266" t="n"/>
      <c r="AL250" s="266" t="n"/>
      <c r="AM250" s="266" t="n"/>
      <c r="AN250" s="266" t="n"/>
      <c r="AO250" s="266" t="n"/>
      <c r="AP250" s="266" t="n"/>
      <c r="AQ250" s="266" t="n"/>
      <c r="AR250" s="266" t="n"/>
      <c r="AS250" s="266" t="n"/>
      <c r="AT250" s="266" t="n"/>
      <c r="AU250" s="266" t="n"/>
      <c r="AV250" s="266" t="n"/>
      <c r="AW250" s="266" t="n"/>
      <c r="AX250" s="266" t="n"/>
      <c r="AY250" s="266" t="n"/>
      <c r="AZ250" s="266" t="n"/>
      <c r="BA250" s="266" t="n"/>
      <c r="BB250" s="266" t="n"/>
      <c r="BC250" s="266" t="n"/>
      <c r="BD250" s="266" t="n"/>
      <c r="BE250" s="266" t="n"/>
      <c r="BF250" s="266" t="n"/>
      <c r="BG250" s="266" t="n"/>
      <c r="BH250" s="266" t="n"/>
      <c r="BI250" s="266" t="n"/>
      <c r="BJ250" s="266" t="n"/>
      <c r="BK250" s="266" t="n"/>
      <c r="BL250" s="266" t="n"/>
      <c r="BM250" s="266" t="n"/>
      <c r="BN250" s="266" t="n"/>
      <c r="BO250" s="266" t="n"/>
      <c r="BP250" s="266" t="n"/>
      <c r="BQ250" s="266" t="n"/>
      <c r="BR250" s="266" t="n"/>
      <c r="BS250" s="266" t="n"/>
      <c r="BT250" s="266" t="n"/>
      <c r="BU250" s="266" t="n"/>
      <c r="BV250" s="266" t="n"/>
      <c r="BW250" s="266" t="n"/>
      <c r="BX250" s="266" t="n"/>
      <c r="BY250" s="266" t="n"/>
      <c r="BZ250" s="266" t="n"/>
      <c r="CA250" s="266" t="n"/>
      <c r="CB250" s="266" t="n"/>
      <c r="CC250" s="266" t="n"/>
      <c r="CD250" s="266" t="n"/>
      <c r="CE250" s="266" t="n"/>
      <c r="CF250" s="266" t="n"/>
      <c r="CG250" s="266" t="n"/>
      <c r="CH250" s="266" t="n"/>
      <c r="CI250" s="266" t="n"/>
      <c r="CJ250" s="266" t="n"/>
      <c r="CK250" s="266" t="n"/>
      <c r="CL250" s="266" t="n"/>
      <c r="CM250" s="266" t="n"/>
      <c r="CN250" s="266" t="n"/>
      <c r="CO250" s="266" t="n"/>
      <c r="CP250" s="266" t="n"/>
      <c r="CQ250" s="266" t="n"/>
      <c r="CR250" s="266" t="n"/>
      <c r="CS250" s="266" t="n"/>
      <c r="CT250" s="266" t="n"/>
      <c r="CU250" s="266" t="n"/>
      <c r="CV250" s="266" t="n"/>
      <c r="CW250" s="266" t="n"/>
      <c r="CX250" s="266" t="n"/>
      <c r="CY250" s="266" t="n"/>
    </row>
    <row r="251" hidden="1" outlineLevel="1" ht="12.75" customHeight="1" s="254">
      <c r="C251" s="310" t="inlineStr">
        <is>
          <t xml:space="preserve">Provisão de Risco Cíveis, Trabalhistas e Tributários </t>
        </is>
      </c>
      <c r="D251" s="265" t="n"/>
      <c r="E251" s="265" t="n"/>
      <c r="F251" s="265" t="n"/>
      <c r="G251" s="265" t="n"/>
      <c r="H251" s="266" t="n"/>
      <c r="I251" s="265" t="n"/>
      <c r="J251" s="265" t="n"/>
      <c r="K251" s="265" t="n"/>
      <c r="L251" s="265" t="n"/>
      <c r="M251" s="266" t="n"/>
      <c r="N251" s="265" t="n"/>
      <c r="O251" s="265" t="n"/>
      <c r="P251" s="265" t="n"/>
      <c r="Q251" s="265" t="n"/>
      <c r="R251" s="266" t="n"/>
      <c r="S251" s="265" t="n"/>
      <c r="T251" s="265" t="n"/>
      <c r="U251" s="265" t="n"/>
      <c r="V251" s="265" t="n"/>
      <c r="W251" s="266" t="n"/>
      <c r="X251" s="265" t="n"/>
      <c r="Y251" s="265" t="n"/>
      <c r="Z251" s="265" t="n"/>
      <c r="AA251" s="265" t="n"/>
      <c r="AB251" s="266" t="n"/>
      <c r="AC251" s="265" t="n"/>
      <c r="AD251" s="265" t="n"/>
      <c r="AE251" s="265" t="n"/>
      <c r="AF251" s="265" t="n"/>
      <c r="AG251" s="266" t="n"/>
      <c r="AH251" s="266" t="n"/>
      <c r="AI251" s="266" t="n"/>
      <c r="AJ251" s="266" t="n"/>
      <c r="AK251" s="266" t="n"/>
      <c r="AL251" s="266" t="n"/>
      <c r="AM251" s="266" t="n"/>
      <c r="AN251" s="266" t="n"/>
      <c r="AO251" s="266" t="n"/>
      <c r="AP251" s="266" t="n"/>
      <c r="AQ251" s="266" t="n"/>
      <c r="AR251" s="266" t="n"/>
      <c r="AS251" s="266" t="n"/>
      <c r="AT251" s="266" t="n"/>
      <c r="AU251" s="266" t="n"/>
      <c r="AV251" s="266" t="n"/>
      <c r="AW251" s="266" t="n"/>
      <c r="AX251" s="266" t="n"/>
      <c r="AY251" s="266" t="n"/>
      <c r="AZ251" s="266" t="n"/>
      <c r="BA251" s="266" t="n"/>
      <c r="BB251" s="266" t="n"/>
      <c r="BC251" s="266" t="n"/>
      <c r="BD251" s="266" t="n"/>
      <c r="BE251" s="266" t="n"/>
      <c r="BF251" s="266" t="n"/>
      <c r="BG251" s="266" t="n"/>
      <c r="BH251" s="266" t="n"/>
      <c r="BI251" s="266" t="n"/>
      <c r="BJ251" s="266" t="n"/>
      <c r="BK251" s="266" t="n"/>
      <c r="BL251" s="266" t="n"/>
      <c r="BM251" s="266" t="n"/>
      <c r="BN251" s="266" t="n"/>
      <c r="BO251" s="266" t="n"/>
      <c r="BP251" s="266" t="n"/>
      <c r="BQ251" s="266" t="n"/>
      <c r="BR251" s="266" t="n"/>
      <c r="BS251" s="266" t="n"/>
      <c r="BT251" s="266" t="n"/>
      <c r="BU251" s="266" t="n"/>
      <c r="BV251" s="266" t="n"/>
      <c r="BW251" s="266" t="n"/>
      <c r="BX251" s="266" t="n"/>
      <c r="BY251" s="266" t="n"/>
      <c r="BZ251" s="266" t="n"/>
      <c r="CA251" s="266" t="n"/>
      <c r="CB251" s="266" t="n"/>
      <c r="CC251" s="266" t="n"/>
      <c r="CD251" s="266" t="n"/>
      <c r="CE251" s="266" t="n"/>
      <c r="CF251" s="266" t="n"/>
      <c r="CG251" s="266" t="n"/>
      <c r="CH251" s="266" t="n"/>
      <c r="CI251" s="266" t="n"/>
      <c r="CJ251" s="266" t="n"/>
      <c r="CK251" s="266" t="n"/>
      <c r="CL251" s="266" t="n"/>
      <c r="CM251" s="266" t="n"/>
      <c r="CN251" s="266" t="n"/>
      <c r="CO251" s="266" t="n"/>
      <c r="CP251" s="266" t="n"/>
      <c r="CQ251" s="266" t="n"/>
      <c r="CR251" s="266" t="n"/>
      <c r="CS251" s="266" t="n"/>
      <c r="CT251" s="266" t="n"/>
      <c r="CU251" s="266" t="n"/>
      <c r="CV251" s="266" t="n"/>
      <c r="CW251" s="266" t="n"/>
      <c r="CX251" s="266" t="n"/>
      <c r="CY251" s="266" t="n"/>
    </row>
    <row r="252" hidden="1" outlineLevel="1" ht="12.75" customHeight="1" s="254">
      <c r="C252" s="310" t="n"/>
      <c r="D252" s="266" t="n"/>
      <c r="E252" s="266" t="n"/>
      <c r="F252" s="266" t="n"/>
      <c r="G252" s="266" t="n"/>
      <c r="H252" s="266" t="n"/>
      <c r="I252" s="266" t="n"/>
      <c r="J252" s="266" t="n"/>
      <c r="K252" s="266" t="n"/>
      <c r="L252" s="266" t="n"/>
      <c r="M252" s="266" t="n"/>
      <c r="N252" s="266" t="n"/>
      <c r="O252" s="266" t="n"/>
      <c r="P252" s="266" t="n"/>
      <c r="Q252" s="266" t="n"/>
      <c r="R252" s="266" t="n"/>
      <c r="S252" s="266" t="n"/>
      <c r="T252" s="266" t="n"/>
      <c r="U252" s="266" t="n"/>
      <c r="V252" s="266" t="n"/>
      <c r="W252" s="266" t="n"/>
      <c r="X252" s="266" t="n"/>
      <c r="Y252" s="266" t="n"/>
      <c r="Z252" s="266" t="n"/>
      <c r="AA252" s="266" t="n"/>
      <c r="AB252" s="266" t="n"/>
      <c r="AC252" s="266" t="n"/>
      <c r="AD252" s="266" t="n"/>
      <c r="AE252" s="266" t="n"/>
      <c r="AF252" s="266" t="n"/>
      <c r="AG252" s="266" t="n"/>
      <c r="AH252" s="266" t="n"/>
      <c r="AI252" s="266" t="n"/>
      <c r="AJ252" s="266" t="n"/>
      <c r="AK252" s="266" t="n"/>
      <c r="AL252" s="266" t="n"/>
      <c r="AM252" s="266" t="n"/>
      <c r="AN252" s="266" t="n"/>
      <c r="AO252" s="266" t="n"/>
      <c r="AP252" s="266" t="n"/>
      <c r="AQ252" s="266" t="n"/>
      <c r="AR252" s="266" t="n"/>
      <c r="AS252" s="266" t="n"/>
      <c r="AT252" s="266" t="n"/>
      <c r="AU252" s="266" t="n"/>
      <c r="AV252" s="266" t="n"/>
      <c r="AW252" s="266" t="n"/>
      <c r="AX252" s="266" t="n"/>
      <c r="AY252" s="266" t="n"/>
      <c r="AZ252" s="266" t="n"/>
      <c r="BA252" s="266" t="n"/>
      <c r="BB252" s="266" t="n"/>
      <c r="BC252" s="266" t="n"/>
      <c r="BD252" s="266" t="n"/>
      <c r="BE252" s="266" t="n"/>
      <c r="BF252" s="266" t="n"/>
      <c r="BG252" s="266" t="n"/>
      <c r="BH252" s="266" t="n"/>
      <c r="BI252" s="266" t="n"/>
      <c r="BJ252" s="266" t="n"/>
      <c r="BK252" s="266" t="n"/>
      <c r="BL252" s="266" t="n"/>
      <c r="BM252" s="266" t="n"/>
      <c r="BN252" s="266" t="n"/>
      <c r="BO252" s="266" t="n"/>
      <c r="BP252" s="266" t="n"/>
      <c r="BQ252" s="266" t="n"/>
      <c r="BR252" s="266" t="n"/>
      <c r="BS252" s="266" t="n"/>
      <c r="BT252" s="266" t="n"/>
      <c r="BU252" s="266" t="n"/>
      <c r="BV252" s="266" t="n"/>
      <c r="BW252" s="266" t="n"/>
      <c r="BX252" s="266" t="n"/>
      <c r="BY252" s="266" t="n"/>
      <c r="BZ252" s="266" t="n"/>
      <c r="CA252" s="266" t="n"/>
      <c r="CB252" s="266" t="n"/>
      <c r="CC252" s="266" t="n"/>
      <c r="CD252" s="266" t="n"/>
      <c r="CE252" s="266" t="n"/>
      <c r="CF252" s="266" t="n"/>
      <c r="CG252" s="266" t="n"/>
      <c r="CH252" s="266" t="n"/>
      <c r="CI252" s="266" t="n"/>
      <c r="CJ252" s="266" t="n"/>
      <c r="CK252" s="266" t="n"/>
      <c r="CL252" s="266" t="n"/>
      <c r="CM252" s="266" t="n"/>
      <c r="CN252" s="266" t="n"/>
      <c r="CO252" s="266" t="n"/>
      <c r="CP252" s="266" t="n"/>
      <c r="CQ252" s="266" t="n"/>
      <c r="CR252" s="266" t="n"/>
      <c r="CS252" s="266" t="n"/>
      <c r="CT252" s="266" t="n"/>
      <c r="CU252" s="266" t="n"/>
      <c r="CV252" s="266" t="n"/>
      <c r="CW252" s="266" t="n"/>
      <c r="CX252" s="266" t="n"/>
      <c r="CY252" s="266" t="n"/>
    </row>
    <row r="253" ht="12.75" customFormat="1" customHeight="1" s="285">
      <c r="A253" s="286" t="n"/>
      <c r="B253" s="286" t="n"/>
      <c r="C253" s="319" t="inlineStr">
        <is>
          <t>Total Liabilities</t>
        </is>
      </c>
      <c r="D253" s="274">
        <f>SUM(D204+D208+D210+D211+D218+D219+D220+D223+D241+D244+D245+D246)</f>
        <v>0</v>
      </c>
      <c r="E253" s="274">
        <f>SUM(E204+E208+E210+E211+E218+E219+E220+E223+E241+E244+E245+E246)</f>
        <v>0</v>
      </c>
      <c r="F253" s="274">
        <f>SUM(F204+F208+F210+F211+F218+F219+F220+F223+F241+F244+F245+F246)</f>
        <v>0</v>
      </c>
      <c r="G253" s="274">
        <f>SUM(G204+G208+G210+G211+G218+G219+G220+G223+G241+G244+G245+G246)</f>
        <v>0</v>
      </c>
      <c r="H253" s="274">
        <f>SUM(H204,H208,H210,H211,H218,H219,H223,H220,H241,H244,H245,H246)</f>
        <v>0</v>
      </c>
      <c r="I253" s="274">
        <f>SUM(I204+I208+I210+I211+I218+I219+I220+I223+I241+I244+I245+I246)</f>
        <v>218447</v>
      </c>
      <c r="J253" s="274">
        <f>SUM(J204+J208+J210+J211+J218+J219+J220+J223+J241+J244+J245+J246)</f>
        <v>226614</v>
      </c>
      <c r="K253" s="274">
        <f>SUM(K204+K208+K210+K211+K218+K219+K220+K223+K241+K244+K245+K246)</f>
        <v>242086</v>
      </c>
      <c r="L253" s="274">
        <f>SUM(L204+L208+L210+L211+L218+L219+L220+L223+L241+L244+L245+L246)</f>
        <v>229053</v>
      </c>
      <c r="M253" s="274">
        <f>SUM(M204,M208,M210,M211,M218,M219,M223,M220,M241,M244,M245,M246)</f>
        <v>229053</v>
      </c>
      <c r="N253" s="274">
        <f>SUM(N204+N208+N210+N211+N218+N219+N220+N223+N241+N244+N245+N246)</f>
        <v>245454</v>
      </c>
      <c r="O253" s="274">
        <f>SUM(O204+O208+O210+O211+O218+O219+O220+O223+O241+O244+O245+O246)</f>
        <v>253599</v>
      </c>
      <c r="P253" s="274">
        <f>SUM(P204+P208+P210+P211+P218+P219+P220+P223+P241+P244+P245+P246)</f>
        <v>247120</v>
      </c>
      <c r="Q253" s="274">
        <f>SUM(Q204+Q208+Q210+Q211+Q218+Q219+Q220+Q223+Q241+Q244+Q245+Q246)</f>
        <v>250427</v>
      </c>
      <c r="R253" s="274">
        <f>SUM(R204,R208,R210,R211,R218,R219,R223,R220,R241,R244,R245,R246)</f>
        <v>250427</v>
      </c>
      <c r="S253" s="274">
        <f>SUM(S204+S208+S210+S211+S218+S219+S220+S223+S241+S244+S245+S246)</f>
        <v>233623</v>
      </c>
      <c r="T253" s="274">
        <f>SUM(T204+T208+T210+T211+T218+T219+T220+T223+T241+T244+T245+T246)</f>
        <v>222939</v>
      </c>
      <c r="U253" s="274">
        <f>SUM(U204+U208+U210+U211+U218+U219+U220+U223+U241+U244+U245+U246)</f>
        <v>220554</v>
      </c>
      <c r="V253" s="274">
        <f>SUM(V204+V208+V210+V211+V218+V219+V220+V223+V241+V244+V245+V246)</f>
        <v>217908</v>
      </c>
      <c r="W253" s="274">
        <f>SUM(W204,W208,W210,W211,W218,W219,W223,W220,W241,W244,W245,W246)</f>
        <v>217908</v>
      </c>
      <c r="X253" s="274">
        <f>SUM(X204+X208+X210+X211+X218+X219+X220+X223+X241+X244+X245+X246)</f>
        <v>213735</v>
      </c>
      <c r="Y253" s="274">
        <f>SUM(Y204+Y208+Y210+Y211+Y218+Y219+Y220+Y223+Y241+Y244+Y245+Y246)</f>
        <v>207593</v>
      </c>
      <c r="Z253" s="274">
        <f>SUM(Z204+Z208+Z210+Z211+Z218+Z219+Z220+Z223+Z241+Z244+Z245+Z246)</f>
        <v>205411</v>
      </c>
      <c r="AA253" s="274">
        <f>SUM(AA204+AA208+AA210+AA211+AA218+AA219+AA220+AA223+AA241+AA244+AA245+AA246)</f>
        <v>207443</v>
      </c>
      <c r="AB253" s="274">
        <f>SUM(AB204,AB208,AB210,AB211,AB218,AB219,AB223,AB220,AB241,AB244,AB245,AB246)</f>
        <v>207443</v>
      </c>
      <c r="AC253" s="274">
        <f>SUM(AC204+AC208+AC210+AC211+AC218+AC219+AC220+AC223+AC241+AC244+AC245+AC246)</f>
        <v>208579</v>
      </c>
      <c r="AD253" s="274">
        <f>SUM(AD204+AD208+AD210+AD211+AD218+AD219+AD220+AD223+AD241+AD244+AD245+AD246)</f>
        <v>204832</v>
      </c>
      <c r="AE253" s="274">
        <f>SUM(AE204+AE208+AE210+AE211+AE218+AE219+AE220+AE223+AE241+AE244+AE245+AE246)</f>
        <v>199916</v>
      </c>
      <c r="AF253" s="274">
        <f>SUM(AF204+AF208+AF210+AF211+AF218+AF219+AF220+AF223+AF241+AF244+AF245+AF246)</f>
        <v>195031</v>
      </c>
      <c r="AG253" s="274">
        <f>SUM(AG204,AG208,AG210,AG211,AG218,AG219,AG223,AG220,AG241,AG244,AG245,AG246)</f>
        <v>195031</v>
      </c>
      <c r="AH253" s="274">
        <f>SUM(AH204+AH208+AH210+AH211+AH218+AH219+AH220+AH223+AH241+AH244+AH245+AH246)</f>
        <v>205997</v>
      </c>
      <c r="AI253" s="274">
        <f>SUM(AI204+AI208+AI210+AI211+AI218+AI219+AI220+AI223+AI241+AI244+AI245+AI246)</f>
        <v>198732</v>
      </c>
      <c r="AJ253" s="274">
        <f>SUM(AJ204+AJ208+AJ210+AJ211+AJ218+AJ219+AJ220+AJ223+AJ241+AJ244+AJ245+AJ246)</f>
        <v>133641</v>
      </c>
      <c r="AK253" s="274">
        <f>SUM(AK204+AK208+AK210+AK211+AK218+AK219+AK220+AK223+AK241+AK244+AK245+AK246)</f>
        <v>133641</v>
      </c>
      <c r="AL253" s="274">
        <f>SUM(AL204,AL208,AL210,AL211,AL218,AL219,AL223,AL220,AL241,AL244,AL245,AL246)</f>
        <v>133641</v>
      </c>
      <c r="AM253" s="274" t="e">
        <f>SUM(AM204+AM208+AM210+AM211+AM218+AM219+AM220+AM223+AM241+AM244+AM245+AM246)</f>
        <v>#DIV/0!</v>
      </c>
      <c r="AN253" s="274">
        <f>SUM(AN204+AN208+AN210+AN211+AN218+AN219+AN220+AN223+AN241+AN244+AN245+AN246)</f>
        <v>133641</v>
      </c>
      <c r="AO253" s="274" t="e">
        <f>SUM(AO204+AO208+AO210+AO211+AO218+AO219+AO220+AO223+AO241+AO244+AO245+AO246)</f>
        <v>#DIV/0!</v>
      </c>
      <c r="AP253" s="274" t="e">
        <f>SUM(AP204+AP208+AP210+AP211+AP218+AP219+AP220+AP223+AP241+AP244+AP245+AP246)</f>
        <v>#DIV/0!</v>
      </c>
      <c r="AQ253" s="274" t="e">
        <f>SUM(AQ204,AQ208,AQ210,AQ211,AQ218,AQ219,AQ223,AQ220,AQ241,AQ244,AQ245,AQ246)</f>
        <v>#DIV/0!</v>
      </c>
      <c r="AR253" s="274" t="e">
        <f>SUM(AR204+AR208+AR210+AR211+AR218+AR219+AR220+AR223+AR241+AR244+AR245+AR246)</f>
        <v>#DIV/0!</v>
      </c>
      <c r="AS253" s="274" t="e">
        <f>SUM(AS204+AS208+AS210+AS211+AS218+AS219+AS220+AS223+AS241+AS244+AS245+AS246)</f>
        <v>#DIV/0!</v>
      </c>
      <c r="AT253" s="274" t="e">
        <f>SUM(AT204+AT208+AT210+AT211+AT218+AT219+AT220+AT223+AT241+AT244+AT245+AT246)</f>
        <v>#DIV/0!</v>
      </c>
      <c r="AU253" s="274" t="e">
        <f>SUM(AU204+AU208+AU210+AU211+AU218+AU219+AU220+AU223+AU241+AU244+AU245+AU246)</f>
        <v>#DIV/0!</v>
      </c>
      <c r="AV253" s="274" t="e">
        <f>SUM(AV204,AV208,AV210,AV211,AV218,AV219,AV223,AV220,AV241,AV244,AV245,AV246)</f>
        <v>#DIV/0!</v>
      </c>
      <c r="AW253" s="274" t="e">
        <f>SUM(AW204+AW208+AW210+AW211+AW218+AW219+AW220+AW223+AW241+AW244+AW245+AW246)</f>
        <v>#DIV/0!</v>
      </c>
      <c r="AX253" s="274" t="e">
        <f>SUM(AX204+AX208+AX210+AX211+AX218+AX219+AX220+AX223+AX241+AX244+AX245+AX246)</f>
        <v>#DIV/0!</v>
      </c>
      <c r="AY253" s="274" t="e">
        <f>SUM(AY204+AY208+AY210+AY211+AY218+AY219+AY220+AY223+AY241+AY244+AY245+AY246)</f>
        <v>#DIV/0!</v>
      </c>
      <c r="AZ253" s="274" t="e">
        <f>SUM(AZ204+AZ208+AZ210+AZ211+AZ218+AZ219+AZ220+AZ223+AZ241+AZ244+AZ245+AZ246)</f>
        <v>#DIV/0!</v>
      </c>
      <c r="BA253" s="274" t="e">
        <f>SUM(BA204,BA208,BA210,BA211,BA218,BA219,BA223,BA220,BA241,BA244,BA245,BA246)</f>
        <v>#DIV/0!</v>
      </c>
      <c r="BB253" s="274" t="e">
        <f>SUM(BB204+BB208+BB210+BB211+BB218+BB219+BB220+BB223+BB241+BB244+BB245+BB246)</f>
        <v>#DIV/0!</v>
      </c>
      <c r="BC253" s="274" t="e">
        <f>SUM(BC204+BC208+BC210+BC211+BC218+BC219+BC220+BC223+BC241+BC244+BC245+BC246)</f>
        <v>#DIV/0!</v>
      </c>
      <c r="BD253" s="274" t="e">
        <f>SUM(BD204+BD208+BD210+BD211+BD218+BD219+BD220+BD223+BD241+BD244+BD245+BD246)</f>
        <v>#DIV/0!</v>
      </c>
      <c r="BE253" s="274" t="e">
        <f>SUM(BE204+BE208+BE210+BE211+BE218+BE219+BE220+BE223+BE241+BE244+BE245+BE246)</f>
        <v>#DIV/0!</v>
      </c>
      <c r="BF253" s="274" t="e">
        <f>SUM(BF204,BF208,BF210,BF211,BF218,BF219,BF223,BF220,BF241,BF244,BF245,BF246)</f>
        <v>#DIV/0!</v>
      </c>
      <c r="BG253" s="274" t="e">
        <f>SUM(BG204+BG208+BG210+BG211+BG218+BG219+BG220+BG223+BG241+BG244+BG245+BG246)</f>
        <v>#DIV/0!</v>
      </c>
      <c r="BH253" s="274" t="e">
        <f>SUM(BH204+BH208+BH210+BH211+BH218+BH219+BH220+BH223+BH241+BH244+BH245+BH246)</f>
        <v>#DIV/0!</v>
      </c>
      <c r="BI253" s="274" t="e">
        <f>SUM(BI204+BI208+BI210+BI211+BI218+BI219+BI220+BI223+BI241+BI244+BI245+BI246)</f>
        <v>#DIV/0!</v>
      </c>
      <c r="BJ253" s="274" t="e">
        <f>SUM(BJ204+BJ208+BJ210+BJ211+BJ218+BJ219+BJ220+BJ223+BJ241+BJ244+BJ245+BJ246)</f>
        <v>#DIV/0!</v>
      </c>
      <c r="BK253" s="274" t="e">
        <f>SUM(BK204,BK208,BK210,BK211,BK218,BK219,BK223,BK220,BK241,BK244,BK245,BK246)</f>
        <v>#DIV/0!</v>
      </c>
      <c r="BL253" s="274" t="e">
        <f>SUM(BL204+BL208+BL210+BL211+BL218+BL219+BL220+BL223+BL241+BL244+BL245+BL246)</f>
        <v>#DIV/0!</v>
      </c>
      <c r="BM253" s="274" t="e">
        <f>SUM(BM204+BM208+BM210+BM211+BM218+BM219+BM220+BM223+BM241+BM244+BM245+BM246)</f>
        <v>#DIV/0!</v>
      </c>
      <c r="BN253" s="274" t="e">
        <f>SUM(BN204+BN208+BN210+BN211+BN218+BN219+BN220+BN223+BN241+BN244+BN245+BN246)</f>
        <v>#DIV/0!</v>
      </c>
      <c r="BO253" s="274" t="e">
        <f>SUM(BO204+BO208+BO210+BO211+BO218+BO219+BO220+BO223+BO241+BO244+BO245+BO246)</f>
        <v>#DIV/0!</v>
      </c>
      <c r="BP253" s="274" t="e">
        <f>SUM(BP204,BP208,BP210,BP211,BP218,BP219,BP223,BP220,BP241,BP244,BP245,BP246)</f>
        <v>#DIV/0!</v>
      </c>
      <c r="BQ253" s="274" t="e">
        <f>SUM(BQ204+BQ208+BQ210+BQ211+BQ218+BQ219+BQ220+BQ223+BQ241+BQ244+BQ245+BQ246)</f>
        <v>#DIV/0!</v>
      </c>
      <c r="BR253" s="274" t="e">
        <f>SUM(BR204+BR208+BR210+BR211+BR218+BR219+BR220+BR223+BR241+BR244+BR245+BR246)</f>
        <v>#DIV/0!</v>
      </c>
      <c r="BS253" s="274" t="e">
        <f>SUM(BS204+BS208+BS210+BS211+BS218+BS219+BS220+BS223+BS241+BS244+BS245+BS246)</f>
        <v>#DIV/0!</v>
      </c>
      <c r="BT253" s="274" t="e">
        <f>SUM(BT204+BT208+BT210+BT211+BT218+BT219+BT220+BT223+BT241+BT244+BT245+BT246)</f>
        <v>#DIV/0!</v>
      </c>
      <c r="BU253" s="274" t="e">
        <f>SUM(BU204,BU208,BU210,BU211,BU218,BU219,BU223,BU220,BU241,BU244,BU245,BU246)</f>
        <v>#DIV/0!</v>
      </c>
      <c r="BV253" s="274" t="e">
        <f>SUM(BV204+BV208+BV210+BV211+BV218+BV219+BV220+BV223+BV241+BV244+BV245+BV246)</f>
        <v>#DIV/0!</v>
      </c>
      <c r="BW253" s="274" t="e">
        <f>SUM(BW204+BW208+BW210+BW211+BW218+BW219+BW220+BW223+BW241+BW244+BW245+BW246)</f>
        <v>#DIV/0!</v>
      </c>
      <c r="BX253" s="274" t="e">
        <f>SUM(BX204+BX208+BX210+BX211+BX218+BX219+BX220+BX223+BX241+BX244+BX245+BX246)</f>
        <v>#DIV/0!</v>
      </c>
      <c r="BY253" s="274" t="e">
        <f>SUM(BY204+BY208+BY210+BY211+BY218+BY219+BY220+BY223+BY241+BY244+BY245+BY246)</f>
        <v>#DIV/0!</v>
      </c>
      <c r="BZ253" s="274" t="e">
        <f>SUM(BZ204,BZ208,BZ210,BZ211,BZ218,BZ219,BZ223,BZ220,BZ241,BZ244,BZ245,BZ246)</f>
        <v>#DIV/0!</v>
      </c>
      <c r="CA253" s="274" t="e">
        <f>SUM(CA204+CA208+CA210+CA211+CA218+CA219+CA220+CA223+CA241+CA244+CA245+CA246)</f>
        <v>#DIV/0!</v>
      </c>
      <c r="CB253" s="274" t="e">
        <f>SUM(CB204+CB208+CB210+CB211+CB218+CB219+CB220+CB223+CB241+CB244+CB245+CB246)</f>
        <v>#DIV/0!</v>
      </c>
      <c r="CC253" s="274" t="e">
        <f>SUM(CC204+CC208+CC210+CC211+CC218+CC219+CC220+CC223+CC241+CC244+CC245+CC246)</f>
        <v>#DIV/0!</v>
      </c>
      <c r="CD253" s="274" t="e">
        <f>SUM(CD204+CD208+CD210+CD211+CD218+CD219+CD220+CD223+CD241+CD244+CD245+CD246)</f>
        <v>#DIV/0!</v>
      </c>
      <c r="CE253" s="274" t="e">
        <f>SUM(CE204,CE208,CE210,CE211,CE218,CE219,CE223,CE220,CE241,CE244,CE245,CE246)</f>
        <v>#DIV/0!</v>
      </c>
      <c r="CF253" s="274" t="e">
        <f>SUM(CF204+CF208+CF210+CF211+CF218+CF219+CF220+CF223+CF241+CF244+CF245+CF246)</f>
        <v>#DIV/0!</v>
      </c>
      <c r="CG253" s="274" t="e">
        <f>SUM(CG204+CG208+CG210+CG211+CG218+CG219+CG220+CG223+CG241+CG244+CG245+CG246)</f>
        <v>#DIV/0!</v>
      </c>
      <c r="CH253" s="274" t="e">
        <f>SUM(CH204+CH208+CH210+CH211+CH218+CH219+CH220+CH223+CH241+CH244+CH245+CH246)</f>
        <v>#DIV/0!</v>
      </c>
      <c r="CI253" s="274" t="e">
        <f>SUM(CI204+CI208+CI210+CI211+CI218+CI219+CI220+CI223+CI241+CI244+CI245+CI246)</f>
        <v>#DIV/0!</v>
      </c>
      <c r="CJ253" s="274" t="e">
        <f>SUM(CJ204,CJ208,CJ210,CJ211,CJ218,CJ219,CJ223,CJ220,CJ241,CJ244,CJ245,CJ246)</f>
        <v>#DIV/0!</v>
      </c>
      <c r="CK253" s="274" t="e">
        <f>SUM(CK204+CK208+CK210+CK211+CK218+CK219+CK220+CK223+CK241+CK244+CK245+CK246)</f>
        <v>#DIV/0!</v>
      </c>
      <c r="CL253" s="274" t="e">
        <f>SUM(CL204+CL208+CL210+CL211+CL218+CL219+CL220+CL223+CL241+CL244+CL245+CL246)</f>
        <v>#DIV/0!</v>
      </c>
      <c r="CM253" s="274" t="e">
        <f>SUM(CM204+CM208+CM210+CM211+CM218+CM219+CM220+CM223+CM241+CM244+CM245+CM246)</f>
        <v>#DIV/0!</v>
      </c>
      <c r="CN253" s="274" t="e">
        <f>SUM(CN204+CN208+CN210+CN211+CN218+CN219+CN220+CN223+CN241+CN244+CN245+CN246)</f>
        <v>#DIV/0!</v>
      </c>
      <c r="CO253" s="274" t="e">
        <f>SUM(CO204,CO208,CO210,CO211,CO218,CO219,CO223,CO220,CO241,CO244,CO245,CO246)</f>
        <v>#DIV/0!</v>
      </c>
      <c r="CP253" s="274" t="e">
        <f>SUM(CP204+CP208+CP210+CP211+CP218+CP219+CP220+CP223+CP241+CP244+CP245+CP246)</f>
        <v>#DIV/0!</v>
      </c>
      <c r="CQ253" s="274" t="e">
        <f>SUM(CQ204+CQ208+CQ210+CQ211+CQ218+CQ219+CQ220+CQ223+CQ241+CQ244+CQ245+CQ246)</f>
        <v>#DIV/0!</v>
      </c>
      <c r="CR253" s="274" t="e">
        <f>SUM(CR204+CR208+CR210+CR211+CR218+CR219+CR220+CR223+CR241+CR244+CR245+CR246)</f>
        <v>#DIV/0!</v>
      </c>
      <c r="CS253" s="274" t="e">
        <f>SUM(CS204+CS208+CS210+CS211+CS218+CS219+CS220+CS223+CS241+CS244+CS245+CS246)</f>
        <v>#DIV/0!</v>
      </c>
      <c r="CT253" s="274" t="e">
        <f>SUM(CT204,CT208,CT210,CT211,CT218,CT219,CT223,CT220,CT241,CT244,CT245,CT246)</f>
        <v>#DIV/0!</v>
      </c>
      <c r="CU253" s="274" t="e">
        <f>SUM(CU204+CU208+CU210+CU211+CU218+CU219+CU220+CU223+CU241+CU244+CU245+CU246)</f>
        <v>#DIV/0!</v>
      </c>
      <c r="CV253" s="274" t="e">
        <f>SUM(CV204+CV208+CV210+CV211+CV218+CV219+CV220+CV223+CV241+CV244+CV245+CV246)</f>
        <v>#DIV/0!</v>
      </c>
      <c r="CW253" s="274" t="e">
        <f>SUM(CW204+CW208+CW210+CW211+CW218+CW219+CW220+CW223+CW241+CW244+CW245+CW246)</f>
        <v>#DIV/0!</v>
      </c>
      <c r="CX253" s="274" t="e">
        <f>SUM(CX204+CX208+CX210+CX211+CX218+CX219+CX220+CX223+CX241+CX244+CX245+CX246)</f>
        <v>#DIV/0!</v>
      </c>
      <c r="CY253" s="274" t="e">
        <f>SUM(CY204,CY208,CY210,CY211,CY218,CY219,CY223,CY220,CY241,CY244,CY245,CY246)</f>
        <v>#DIV/0!</v>
      </c>
    </row>
    <row r="254" ht="12.75" customHeight="1" s="254">
      <c r="C254" s="268" t="inlineStr">
        <is>
          <t>Minority interest</t>
        </is>
      </c>
      <c r="D254" s="299" t="n"/>
      <c r="E254" s="299" t="n"/>
      <c r="F254" s="299" t="n"/>
      <c r="G254" s="299" t="n"/>
      <c r="H254" s="266">
        <f>G254</f>
        <v>0</v>
      </c>
      <c r="I254" s="299">
        <f>INDEX('Inputs (2)'!$D$41:$AL$41,MATCH(I$7,'Inputs (2)'!$D$2:$AL$2,0))</f>
        <v>3239</v>
      </c>
      <c r="J254" s="299">
        <f>INDEX('Inputs (2)'!$D$41:$AL$41,MATCH(J$7,'Inputs (2)'!$D$2:$AL$2,0))</f>
        <v>3244</v>
      </c>
      <c r="K254" s="299">
        <f>INDEX('Inputs (2)'!$D$41:$AL$41,MATCH(K$7,'Inputs (2)'!$D$2:$AL$2,0))</f>
        <v>3293</v>
      </c>
      <c r="L254" s="299">
        <f>INDEX('Inputs (2)'!$D$41:$AL$41,MATCH(L$7,'Inputs (2)'!$D$2:$AL$2,0))</f>
        <v>3360</v>
      </c>
      <c r="M254" s="266">
        <f>L254</f>
        <v>3360</v>
      </c>
      <c r="N254" s="299">
        <f>INDEX('Inputs (2)'!$D$41:$AL$41,MATCH(N$7,'Inputs (2)'!$D$2:$AL$2,0))</f>
        <v>3535</v>
      </c>
      <c r="O254" s="299">
        <f>INDEX('Inputs (2)'!$D$41:$AL$41,MATCH(O$7,'Inputs (2)'!$D$2:$AL$2,0))</f>
        <v>3799</v>
      </c>
      <c r="P254" s="299">
        <f>INDEX('Inputs (2)'!$D$41:$AL$41,MATCH(P$7,'Inputs (2)'!$D$2:$AL$2,0))</f>
        <v>3715</v>
      </c>
      <c r="Q254" s="299">
        <f>INDEX('Inputs (2)'!$D$41:$AL$41,MATCH(Q$7,'Inputs (2)'!$D$2:$AL$2,0))</f>
        <v>2125</v>
      </c>
      <c r="R254" s="266">
        <f>Q254</f>
        <v>2125</v>
      </c>
      <c r="S254" s="299">
        <f>INDEX('Inputs (2)'!$D$41:$AL$41,MATCH(S$7,'Inputs (2)'!$D$2:$AL$2,0))</f>
        <v>2214</v>
      </c>
      <c r="T254" s="299">
        <f>INDEX('Inputs (2)'!$D$41:$AL$41,MATCH(T$7,'Inputs (2)'!$D$2:$AL$2,0))</f>
        <v>1633</v>
      </c>
      <c r="U254" s="299">
        <f>INDEX('Inputs (2)'!$D$41:$AL$41,MATCH(U$7,'Inputs (2)'!$D$2:$AL$2,0))</f>
        <v>1745</v>
      </c>
      <c r="V254" s="299">
        <f>INDEX('Inputs (2)'!$D$41:$AL$41,MATCH(V$7,'Inputs (2)'!$D$2:$AL$2,0))</f>
        <v>1755</v>
      </c>
      <c r="W254" s="266">
        <f>V254</f>
        <v>1755</v>
      </c>
      <c r="X254" s="299">
        <f>INDEX('Inputs (2)'!$D$41:$AL$41,MATCH(X$7,'Inputs (2)'!$D$2:$AL$2,0))</f>
        <v>1739</v>
      </c>
      <c r="Y254" s="299">
        <f>INDEX('Inputs (2)'!$D$41:$AL$41,MATCH(Y$7,'Inputs (2)'!$D$2:$AL$2,0))</f>
        <v>1783</v>
      </c>
      <c r="Z254" s="299">
        <f>INDEX('Inputs (2)'!$D$41:$AL$41,MATCH(Z$7,'Inputs (2)'!$D$2:$AL$2,0))</f>
        <v>1865</v>
      </c>
      <c r="AA254" s="299">
        <f>INDEX('Inputs (2)'!$D$41:$AL$41,MATCH(AA$7,'Inputs (2)'!$D$2:$AL$2,0))</f>
        <v>1861</v>
      </c>
      <c r="AB254" s="266">
        <f>AA254</f>
        <v>1861</v>
      </c>
      <c r="AC254" s="299">
        <f>INDEX('Inputs (2)'!$D$41:$AL$41,MATCH(AC$7,'Inputs (2)'!$D$2:$AL$2,0))</f>
        <v>1856</v>
      </c>
      <c r="AD254" s="299">
        <f>INDEX('Inputs (2)'!$D$41:$AL$41,MATCH(AD$7,'Inputs (2)'!$D$2:$AL$2,0))</f>
        <v>1951</v>
      </c>
      <c r="AE254" s="299">
        <f>INDEX('Inputs (2)'!$D$41:$AL$41,MATCH(AE$7,'Inputs (2)'!$D$2:$AL$2,0))</f>
        <v>1999</v>
      </c>
      <c r="AF254" s="299">
        <f>INDEX('Inputs (2)'!$D$41:$AL$41,MATCH(AF$7,'Inputs (2)'!$D$2:$AL$2,0))</f>
        <v>928</v>
      </c>
      <c r="AG254" s="266">
        <f>AF254</f>
        <v>928</v>
      </c>
      <c r="AH254" s="266">
        <f>INDEX('Inputs (2)'!$D$41:$AL$41,MATCH(AH$7,'Inputs (2)'!$D$2:$AL$2,0))</f>
        <v>1018</v>
      </c>
      <c r="AI254" s="266">
        <f>INDEX('Inputs (2)'!$D$41:$AL$41,MATCH(AI$7,'Inputs (2)'!$D$2:$AL$2,0))</f>
        <v>995</v>
      </c>
      <c r="AJ254" s="266">
        <f>AI254-AJ142+AJ257</f>
        <v>1093</v>
      </c>
      <c r="AK254" s="266">
        <f>AJ254-AK142+AK257</f>
        <v>1139</v>
      </c>
      <c r="AL254" s="266">
        <f>AK254</f>
        <v>1139</v>
      </c>
      <c r="AM254" s="266">
        <f>AL254-AM142+AM257</f>
        <v>1203</v>
      </c>
      <c r="AN254" s="266">
        <f>AM254-AN142+AN257</f>
        <v>1187</v>
      </c>
      <c r="AO254" s="266">
        <f>AN254-AO142+AO257</f>
        <v>1285</v>
      </c>
      <c r="AP254" s="266">
        <f>AO254-AP142+AP257</f>
        <v>1331</v>
      </c>
      <c r="AQ254" s="266">
        <f>AP254</f>
        <v>1331</v>
      </c>
      <c r="AR254" s="266">
        <f>AQ254-AR142+AR257</f>
        <v>1395</v>
      </c>
      <c r="AS254" s="266">
        <f>AR254-AS142+AS257</f>
        <v>1379</v>
      </c>
      <c r="AT254" s="266">
        <f>AS254-AT142+AT257</f>
        <v>1477</v>
      </c>
      <c r="AU254" s="266">
        <f>AT254-AU142+AU257</f>
        <v>1523</v>
      </c>
      <c r="AV254" s="266">
        <f>AU254</f>
        <v>1523</v>
      </c>
      <c r="AW254" s="266">
        <f>AV254-AW142+AW257</f>
        <v>1587</v>
      </c>
      <c r="AX254" s="266">
        <f>AW254-AX142+AX257</f>
        <v>1571</v>
      </c>
      <c r="AY254" s="266">
        <f>AX254-AY142+AY257</f>
        <v>1669</v>
      </c>
      <c r="AZ254" s="266">
        <f>AY254-AZ142+AZ257</f>
        <v>1715</v>
      </c>
      <c r="BA254" s="266">
        <f>AZ254</f>
        <v>1715</v>
      </c>
      <c r="BB254" s="266">
        <f>BA254-BB142+BB257</f>
        <v>1779</v>
      </c>
      <c r="BC254" s="266">
        <f>BB254-BC142+BC257</f>
        <v>1763</v>
      </c>
      <c r="BD254" s="266">
        <f>BC254-BD142+BD257</f>
        <v>1861</v>
      </c>
      <c r="BE254" s="266">
        <f>BD254-BE142+BE257</f>
        <v>1907</v>
      </c>
      <c r="BF254" s="266">
        <f>BE254</f>
        <v>1907</v>
      </c>
      <c r="BG254" s="266">
        <f>BF254-BG142+BG257</f>
        <v>1971</v>
      </c>
      <c r="BH254" s="266">
        <f>BG254-BH142+BH257</f>
        <v>1955</v>
      </c>
      <c r="BI254" s="266">
        <f>BH254-BI142+BI257</f>
        <v>2053</v>
      </c>
      <c r="BJ254" s="266">
        <f>BI254-BJ142+BJ257</f>
        <v>2099</v>
      </c>
      <c r="BK254" s="266">
        <f>BJ254</f>
        <v>2099</v>
      </c>
      <c r="BL254" s="266">
        <f>BK254-BL142+BL257</f>
        <v>2163</v>
      </c>
      <c r="BM254" s="266">
        <f>BL254-BM142+BM257</f>
        <v>2147</v>
      </c>
      <c r="BN254" s="266">
        <f>BM254-BN142+BN257</f>
        <v>2245</v>
      </c>
      <c r="BO254" s="266">
        <f>BN254-BO142+BO257</f>
        <v>2291</v>
      </c>
      <c r="BP254" s="266">
        <f>BO254</f>
        <v>2291</v>
      </c>
      <c r="BQ254" s="266">
        <f>BP254-BQ142+BQ257</f>
        <v>2355</v>
      </c>
      <c r="BR254" s="266">
        <f>BQ254-BR142+BR257</f>
        <v>2339</v>
      </c>
      <c r="BS254" s="266">
        <f>BR254-BS142+BS257</f>
        <v>2437</v>
      </c>
      <c r="BT254" s="266">
        <f>BS254-BT142+BT257</f>
        <v>2483</v>
      </c>
      <c r="BU254" s="266">
        <f>BT254</f>
        <v>2483</v>
      </c>
      <c r="BV254" s="266">
        <f>BU254-BV142+BV257</f>
        <v>2547</v>
      </c>
      <c r="BW254" s="266">
        <f>BV254-BW142+BW257</f>
        <v>2531</v>
      </c>
      <c r="BX254" s="266">
        <f>BW254-BX142+BX257</f>
        <v>2629</v>
      </c>
      <c r="BY254" s="266">
        <f>BX254-BY142+BY257</f>
        <v>2675</v>
      </c>
      <c r="BZ254" s="266">
        <f>BY254</f>
        <v>2675</v>
      </c>
      <c r="CA254" s="266">
        <f>BZ254-CA142+CA257</f>
        <v>2739</v>
      </c>
      <c r="CB254" s="266">
        <f>CA254-CB142+CB257</f>
        <v>2723</v>
      </c>
      <c r="CC254" s="266">
        <f>CB254-CC142+CC257</f>
        <v>2821</v>
      </c>
      <c r="CD254" s="266">
        <f>CC254-CD142+CD257</f>
        <v>2867</v>
      </c>
      <c r="CE254" s="266">
        <f>CD254</f>
        <v>2867</v>
      </c>
      <c r="CF254" s="266">
        <f>CE254-CF142+CF257</f>
        <v>2931</v>
      </c>
      <c r="CG254" s="266">
        <f>CF254-CG142+CG257</f>
        <v>2915</v>
      </c>
      <c r="CH254" s="266">
        <f>CG254-CH142+CH257</f>
        <v>3013</v>
      </c>
      <c r="CI254" s="266">
        <f>CH254-CI142+CI257</f>
        <v>3059</v>
      </c>
      <c r="CJ254" s="266">
        <f>CI254</f>
        <v>3059</v>
      </c>
      <c r="CK254" s="266">
        <f>CJ254-CK142+CK257</f>
        <v>3123</v>
      </c>
      <c r="CL254" s="266">
        <f>CK254-CL142+CL257</f>
        <v>3107</v>
      </c>
      <c r="CM254" s="266">
        <f>CL254-CM142+CM257</f>
        <v>3205</v>
      </c>
      <c r="CN254" s="266">
        <f>CM254-CN142+CN257</f>
        <v>3251</v>
      </c>
      <c r="CO254" s="266">
        <f>CN254</f>
        <v>3251</v>
      </c>
      <c r="CP254" s="266">
        <f>CO254-CP142+CP257</f>
        <v>3315</v>
      </c>
      <c r="CQ254" s="266">
        <f>CP254-CQ142+CQ257</f>
        <v>3299</v>
      </c>
      <c r="CR254" s="266">
        <f>CQ254-CR142+CR257</f>
        <v>3397</v>
      </c>
      <c r="CS254" s="266">
        <f>CR254-CS142+CS257</f>
        <v>3443</v>
      </c>
      <c r="CT254" s="266">
        <f>CS254</f>
        <v>3443</v>
      </c>
      <c r="CU254" s="266">
        <f>CT254-CU142+CU257</f>
        <v>3507</v>
      </c>
      <c r="CV254" s="266">
        <f>CU254-CV142+CV257</f>
        <v>3491</v>
      </c>
      <c r="CW254" s="266">
        <f>CV254-CW142+CW257</f>
        <v>3589</v>
      </c>
      <c r="CX254" s="266">
        <f>CW254-CX142+CX257</f>
        <v>3635</v>
      </c>
      <c r="CY254" s="266">
        <f>CX254</f>
        <v>3635</v>
      </c>
    </row>
    <row r="255" hidden="1" outlineLevel="1" ht="12.75" customFormat="1" customHeight="1" s="320">
      <c r="A255" s="291" t="n"/>
      <c r="B255" s="291" t="n"/>
      <c r="C255" s="312" t="n"/>
      <c r="D255" s="296" t="n"/>
      <c r="E255" s="296" t="n"/>
      <c r="F255" s="296" t="n"/>
      <c r="G255" s="296" t="n"/>
      <c r="H255" s="296" t="n"/>
      <c r="I255" s="296" t="n"/>
      <c r="J255" s="296" t="n"/>
      <c r="K255" s="296" t="n"/>
      <c r="L255" s="296" t="n"/>
      <c r="M255" s="296" t="n"/>
      <c r="N255" s="296" t="n"/>
      <c r="O255" s="296" t="n"/>
      <c r="P255" s="296" t="n"/>
      <c r="Q255" s="296" t="n"/>
      <c r="R255" s="296" t="n"/>
      <c r="S255" s="296" t="n"/>
      <c r="T255" s="296" t="n"/>
      <c r="U255" s="296" t="n"/>
      <c r="V255" s="296" t="n"/>
      <c r="W255" s="296" t="n"/>
      <c r="X255" s="296" t="n"/>
      <c r="Y255" s="296" t="n"/>
      <c r="Z255" s="296" t="n"/>
      <c r="AA255" s="296" t="n"/>
      <c r="AB255" s="296" t="n"/>
      <c r="AC255" s="296" t="n"/>
      <c r="AD255" s="296" t="n"/>
      <c r="AE255" s="296" t="n"/>
      <c r="AF255" s="296" t="n"/>
      <c r="AG255" s="296" t="n"/>
      <c r="AH255" s="296" t="n"/>
      <c r="AI255" s="296" t="n"/>
      <c r="AJ255" s="296" t="n"/>
      <c r="AK255" s="296" t="n"/>
      <c r="AL255" s="296" t="n"/>
      <c r="AM255" s="296" t="n"/>
      <c r="AN255" s="296" t="n"/>
      <c r="AO255" s="296" t="n"/>
      <c r="AP255" s="296" t="n"/>
      <c r="AQ255" s="296" t="n"/>
      <c r="AR255" s="296" t="n"/>
      <c r="AS255" s="296" t="n"/>
      <c r="AT255" s="296" t="n"/>
      <c r="AU255" s="296" t="n"/>
      <c r="AV255" s="296" t="n"/>
      <c r="AW255" s="296" t="n"/>
      <c r="AX255" s="296" t="n"/>
      <c r="AY255" s="296" t="n"/>
      <c r="AZ255" s="296" t="n"/>
      <c r="BA255" s="296" t="n"/>
      <c r="BB255" s="296" t="n"/>
      <c r="BC255" s="296" t="n"/>
      <c r="BD255" s="296" t="n"/>
      <c r="BE255" s="296" t="n"/>
      <c r="BF255" s="296" t="n"/>
      <c r="BG255" s="296" t="n"/>
      <c r="BH255" s="296" t="n"/>
      <c r="BI255" s="296" t="n"/>
      <c r="BJ255" s="296" t="n"/>
      <c r="BK255" s="296" t="n"/>
      <c r="BL255" s="296" t="n"/>
      <c r="BM255" s="296" t="n"/>
      <c r="BN255" s="296" t="n"/>
      <c r="BO255" s="296" t="n"/>
      <c r="BP255" s="296" t="n"/>
      <c r="BQ255" s="296" t="n"/>
      <c r="BR255" s="296" t="n"/>
      <c r="BS255" s="296" t="n"/>
      <c r="BT255" s="296" t="n"/>
      <c r="BU255" s="296" t="n"/>
      <c r="BV255" s="296" t="n"/>
      <c r="BW255" s="296" t="n"/>
      <c r="BX255" s="296" t="n"/>
      <c r="BY255" s="296" t="n"/>
      <c r="BZ255" s="296" t="n"/>
      <c r="CA255" s="296" t="n"/>
      <c r="CB255" s="296" t="n"/>
      <c r="CC255" s="296" t="n"/>
      <c r="CD255" s="296" t="n"/>
      <c r="CE255" s="296" t="n"/>
      <c r="CF255" s="296" t="n"/>
      <c r="CG255" s="296" t="n"/>
      <c r="CH255" s="296" t="n"/>
      <c r="CI255" s="296" t="n"/>
      <c r="CJ255" s="296" t="n"/>
      <c r="CK255" s="296" t="n"/>
      <c r="CL255" s="296" t="n"/>
      <c r="CM255" s="296" t="n"/>
      <c r="CN255" s="296" t="n"/>
      <c r="CO255" s="296" t="n"/>
      <c r="CP255" s="296" t="n"/>
      <c r="CQ255" s="296" t="n"/>
      <c r="CR255" s="296" t="n"/>
      <c r="CS255" s="296" t="n"/>
      <c r="CT255" s="296" t="n"/>
      <c r="CU255" s="296" t="n"/>
      <c r="CV255" s="296" t="n"/>
      <c r="CW255" s="296" t="n"/>
      <c r="CX255" s="296" t="n"/>
      <c r="CY255" s="296" t="n"/>
    </row>
    <row r="256" hidden="1" outlineLevel="1" ht="12.75" customFormat="1" customHeight="1" s="320">
      <c r="A256" s="291" t="n"/>
      <c r="B256" s="291" t="n"/>
      <c r="C256" s="310" t="inlineStr">
        <is>
          <t>Minority Interest Expense - % YoY</t>
        </is>
      </c>
      <c r="D256" s="296" t="n"/>
      <c r="E256" s="311">
        <f>IF(D141=0,0,E141/D141-1)</f>
        <v>0</v>
      </c>
      <c r="F256" s="296" t="n"/>
      <c r="G256" s="296" t="n"/>
      <c r="H256" s="311" t="n"/>
      <c r="I256" s="296" t="n"/>
      <c r="J256" s="311">
        <f>IF(I141=0,0,J141/I141-1)</f>
        <v>0</v>
      </c>
      <c r="K256" s="296" t="n"/>
      <c r="L256" s="296" t="n"/>
      <c r="M256" s="311" t="n"/>
      <c r="N256" s="311">
        <f>IF(I141=0,0,N141/I141-1)</f>
        <v>0</v>
      </c>
      <c r="O256" s="311">
        <f>IF(J141=0,0,O141/J141-1)</f>
        <v>0</v>
      </c>
      <c r="P256" s="311">
        <f>IF(K141=0,0,P141/K141-1)</f>
        <v>0</v>
      </c>
      <c r="Q256" s="311">
        <f>IF(L141=0,0,Q141/L141-1)</f>
        <v>-1</v>
      </c>
      <c r="R256" s="311" t="n"/>
      <c r="S256" s="311">
        <f>IF(N141=0,0,S141/N141-1)</f>
        <v>0</v>
      </c>
      <c r="T256" s="311">
        <f>IF(O141=0,0,T141/O141-1)</f>
        <v>0</v>
      </c>
      <c r="U256" s="311">
        <f>IF(P141=0,0,U141/P141-1)</f>
        <v>-1</v>
      </c>
      <c r="V256" s="311">
        <f>IF(Q141=0,0,V141/Q141-1)</f>
        <v>0</v>
      </c>
      <c r="W256" s="311">
        <f>IF(R142=0,0,W142/R142-1)</f>
        <v>-0.50709219858156</v>
      </c>
      <c r="X256" s="311">
        <f>IF(S141=0,0,X141/S141-1)</f>
        <v>-1</v>
      </c>
      <c r="Y256" s="311">
        <f>IF(T141=0,0,Y141/T141-1)</f>
        <v>-1</v>
      </c>
      <c r="Z256" s="311">
        <f>IF(U141=0,0,Z141/U141-1)</f>
        <v>0</v>
      </c>
      <c r="AA256" s="311">
        <f>IF(V141=0,0,AA141/V141-1)</f>
        <v>0</v>
      </c>
      <c r="AB256" s="311">
        <f>IF(W142=0,0,AB142/W142-1)</f>
        <v>0.539568345323741</v>
      </c>
      <c r="AC256" s="311">
        <f>IF(X141=0,0,AC141/X141-1)</f>
        <v>0</v>
      </c>
      <c r="AD256" s="311">
        <f>IF(Y141=0,0,AD141/Y141-1)</f>
        <v>0</v>
      </c>
      <c r="AE256" s="311">
        <f>IF(Z141=0,0,AE141/Z141-1)</f>
        <v>0</v>
      </c>
      <c r="AF256" s="311">
        <f>IF(AA141=0,0,AF141/AA141-1)</f>
        <v>0</v>
      </c>
      <c r="AG256" s="311">
        <f>IF(AB142=0,0,AG142/AB142-1)</f>
        <v>-0.341121495327103</v>
      </c>
      <c r="AH256" s="315">
        <f>IF(AC141=0,0,AH141/AC141-1)</f>
        <v>-1</v>
      </c>
      <c r="AI256" s="315">
        <f>IF(AD141=0,0,AI141/AD141-1)</f>
        <v>-1</v>
      </c>
      <c r="AJ256" s="315" t="n"/>
      <c r="AK256" s="315" t="n"/>
      <c r="AL256" s="311">
        <f>IF(AG142=0,0,AL142/AG142-1)</f>
        <v>-0.319148936170213</v>
      </c>
      <c r="AM256" s="315" t="n"/>
      <c r="AN256" s="315" t="n"/>
      <c r="AO256" s="315" t="n"/>
      <c r="AP256" s="315" t="n"/>
      <c r="AQ256" s="311">
        <f>IF(AL142=0,0,AQ142/AL142-1)</f>
        <v>0</v>
      </c>
      <c r="AR256" s="315" t="n"/>
      <c r="AS256" s="315" t="n"/>
      <c r="AT256" s="315" t="n"/>
      <c r="AU256" s="315" t="n"/>
      <c r="AV256" s="311">
        <f>IF(AQ142=0,0,AV142/AQ142-1)</f>
        <v>0</v>
      </c>
      <c r="AW256" s="315" t="n"/>
      <c r="AX256" s="315" t="n"/>
      <c r="AY256" s="315" t="n"/>
      <c r="AZ256" s="315" t="n"/>
      <c r="BA256" s="311">
        <f>IF(AV142=0,0,BA142/AV142-1)</f>
        <v>0</v>
      </c>
      <c r="BB256" s="315" t="n"/>
      <c r="BC256" s="315" t="n"/>
      <c r="BD256" s="315" t="n"/>
      <c r="BE256" s="315" t="n"/>
      <c r="BF256" s="311">
        <f>IF(BA142=0,0,BF142/BA142-1)</f>
        <v>0</v>
      </c>
      <c r="BG256" s="315" t="n"/>
      <c r="BH256" s="315" t="n"/>
      <c r="BI256" s="315" t="n"/>
      <c r="BJ256" s="315" t="n"/>
      <c r="BK256" s="311">
        <f>IF(BF142=0,0,BK142/BF142-1)</f>
        <v>0</v>
      </c>
      <c r="BL256" s="315" t="n"/>
      <c r="BM256" s="315" t="n"/>
      <c r="BN256" s="315" t="n"/>
      <c r="BO256" s="315" t="n"/>
      <c r="BP256" s="311">
        <f>IF(BK142=0,0,BP142/BK142-1)</f>
        <v>0</v>
      </c>
      <c r="BQ256" s="315" t="n"/>
      <c r="BR256" s="315" t="n"/>
      <c r="BS256" s="315" t="n"/>
      <c r="BT256" s="315" t="n"/>
      <c r="BU256" s="311">
        <f>IF(BP142=0,0,BU142/BP142-1)</f>
        <v>0</v>
      </c>
      <c r="BV256" s="315" t="n"/>
      <c r="BW256" s="315" t="n"/>
      <c r="BX256" s="315" t="n"/>
      <c r="BY256" s="315" t="n"/>
      <c r="BZ256" s="311">
        <f>IF(BU142=0,0,BZ142/BU142-1)</f>
        <v>0</v>
      </c>
      <c r="CA256" s="315" t="n"/>
      <c r="CB256" s="315" t="n"/>
      <c r="CC256" s="315" t="n"/>
      <c r="CD256" s="315" t="n"/>
      <c r="CE256" s="311">
        <f>IF(BZ142=0,0,CE142/BZ142-1)</f>
        <v>0</v>
      </c>
      <c r="CF256" s="315" t="n"/>
      <c r="CG256" s="315" t="n"/>
      <c r="CH256" s="315" t="n"/>
      <c r="CI256" s="315" t="n"/>
      <c r="CJ256" s="311">
        <f>IF(CE142=0,0,CJ142/CE142-1)</f>
        <v>0</v>
      </c>
      <c r="CK256" s="315" t="n"/>
      <c r="CL256" s="315" t="n"/>
      <c r="CM256" s="315" t="n"/>
      <c r="CN256" s="315" t="n"/>
      <c r="CO256" s="311">
        <f>IF(CJ142=0,0,CO142/CJ142-1)</f>
        <v>0</v>
      </c>
      <c r="CP256" s="315" t="n"/>
      <c r="CQ256" s="315" t="n"/>
      <c r="CR256" s="315" t="n"/>
      <c r="CS256" s="315" t="n"/>
      <c r="CT256" s="311">
        <f>IF(CO142=0,0,CT142/CO142-1)</f>
        <v>0</v>
      </c>
      <c r="CU256" s="315" t="n"/>
      <c r="CV256" s="315" t="n"/>
      <c r="CW256" s="315" t="n"/>
      <c r="CX256" s="315" t="n"/>
      <c r="CY256" s="311">
        <f>IF(CT142=0,0,CY142/CT142-1)</f>
        <v>0</v>
      </c>
    </row>
    <row r="257" hidden="1" outlineLevel="1" ht="12.75" customFormat="1" customHeight="1" s="320">
      <c r="A257" s="291" t="n"/>
      <c r="B257" s="291" t="n"/>
      <c r="C257" s="310" t="inlineStr">
        <is>
          <t>Dividends (enter as -)</t>
        </is>
      </c>
      <c r="D257" s="296" t="n"/>
      <c r="E257" s="296" t="n"/>
      <c r="F257" s="296" t="n"/>
      <c r="G257" s="296" t="n"/>
      <c r="H257" s="296" t="n"/>
      <c r="I257" s="296" t="n"/>
      <c r="J257" s="296" t="n"/>
      <c r="K257" s="296" t="n"/>
      <c r="L257" s="296" t="n"/>
      <c r="M257" s="296" t="n"/>
      <c r="N257" s="296" t="n"/>
      <c r="O257" s="296" t="n"/>
      <c r="P257" s="296" t="n"/>
      <c r="Q257" s="296" t="n"/>
      <c r="R257" s="296" t="n"/>
      <c r="S257" s="296" t="n"/>
      <c r="T257" s="296" t="n"/>
      <c r="U257" s="296" t="n"/>
      <c r="V257" s="296" t="n"/>
      <c r="W257" s="296" t="n"/>
      <c r="X257" s="296" t="n"/>
      <c r="Y257" s="296" t="n"/>
      <c r="Z257" s="296" t="n"/>
      <c r="AA257" s="296" t="n"/>
      <c r="AB257" s="296" t="n"/>
      <c r="AC257" s="296" t="n"/>
      <c r="AD257" s="296" t="n"/>
      <c r="AE257" s="296" t="n"/>
      <c r="AF257" s="296" t="n"/>
      <c r="AG257" s="296" t="n"/>
      <c r="AH257" s="315" t="n"/>
      <c r="AI257" s="315" t="n"/>
      <c r="AJ257" s="315" t="n"/>
      <c r="AK257" s="315" t="n"/>
      <c r="AL257" s="296" t="n"/>
      <c r="AM257" s="315" t="n"/>
      <c r="AN257" s="315" t="n"/>
      <c r="AO257" s="315" t="n"/>
      <c r="AP257" s="315" t="n"/>
      <c r="AQ257" s="296" t="n"/>
      <c r="AR257" s="315" t="n"/>
      <c r="AS257" s="315" t="n"/>
      <c r="AT257" s="315" t="n"/>
      <c r="AU257" s="315" t="n"/>
      <c r="AV257" s="296" t="n"/>
      <c r="AW257" s="315" t="n"/>
      <c r="AX257" s="315" t="n"/>
      <c r="AY257" s="315" t="n"/>
      <c r="AZ257" s="315" t="n"/>
      <c r="BA257" s="296" t="n"/>
      <c r="BB257" s="315" t="n"/>
      <c r="BC257" s="315" t="n"/>
      <c r="BD257" s="315" t="n"/>
      <c r="BE257" s="315" t="n"/>
      <c r="BF257" s="296" t="n"/>
      <c r="BG257" s="315" t="n"/>
      <c r="BH257" s="315" t="n"/>
      <c r="BI257" s="315" t="n"/>
      <c r="BJ257" s="315" t="n"/>
      <c r="BK257" s="296" t="n"/>
      <c r="BL257" s="315" t="n"/>
      <c r="BM257" s="315" t="n"/>
      <c r="BN257" s="315" t="n"/>
      <c r="BO257" s="315" t="n"/>
      <c r="BP257" s="296" t="n"/>
      <c r="BQ257" s="315" t="n"/>
      <c r="BR257" s="315" t="n"/>
      <c r="BS257" s="315" t="n"/>
      <c r="BT257" s="315" t="n"/>
      <c r="BU257" s="296" t="n"/>
      <c r="BV257" s="315" t="n"/>
      <c r="BW257" s="315" t="n"/>
      <c r="BX257" s="315" t="n"/>
      <c r="BY257" s="315" t="n"/>
      <c r="BZ257" s="296" t="n"/>
      <c r="CA257" s="315" t="n"/>
      <c r="CB257" s="315" t="n"/>
      <c r="CC257" s="315" t="n"/>
      <c r="CD257" s="315" t="n"/>
      <c r="CE257" s="296" t="n"/>
      <c r="CF257" s="315" t="n"/>
      <c r="CG257" s="315" t="n"/>
      <c r="CH257" s="315" t="n"/>
      <c r="CI257" s="315" t="n"/>
      <c r="CJ257" s="296" t="n"/>
      <c r="CK257" s="315" t="n"/>
      <c r="CL257" s="315" t="n"/>
      <c r="CM257" s="315" t="n"/>
      <c r="CN257" s="315" t="n"/>
      <c r="CO257" s="296" t="n"/>
      <c r="CP257" s="315" t="n"/>
      <c r="CQ257" s="315" t="n"/>
      <c r="CR257" s="315" t="n"/>
      <c r="CS257" s="315" t="n"/>
      <c r="CT257" s="296" t="n"/>
      <c r="CU257" s="315" t="n"/>
      <c r="CV257" s="315" t="n"/>
      <c r="CW257" s="315" t="n"/>
      <c r="CX257" s="315" t="n"/>
      <c r="CY257" s="296" t="n"/>
    </row>
    <row r="258" hidden="1" outlineLevel="1" ht="12.75" customFormat="1" customHeight="1" s="320">
      <c r="A258" s="291" t="n"/>
      <c r="B258" s="291" t="n"/>
      <c r="C258" s="312" t="n"/>
      <c r="D258" s="296" t="n"/>
      <c r="E258" s="296" t="n"/>
      <c r="F258" s="296" t="n"/>
      <c r="G258" s="296" t="n"/>
      <c r="H258" s="296" t="n"/>
      <c r="I258" s="296" t="n"/>
      <c r="J258" s="296" t="n"/>
      <c r="K258" s="296" t="n"/>
      <c r="L258" s="296" t="n"/>
      <c r="M258" s="296" t="n"/>
      <c r="N258" s="296" t="n"/>
      <c r="O258" s="296" t="n"/>
      <c r="P258" s="296" t="n"/>
      <c r="Q258" s="296" t="n"/>
      <c r="R258" s="296" t="n"/>
      <c r="S258" s="296" t="n"/>
      <c r="T258" s="296" t="n"/>
      <c r="U258" s="296" t="n"/>
      <c r="V258" s="296" t="n"/>
      <c r="W258" s="296" t="n"/>
      <c r="X258" s="296" t="n"/>
      <c r="Y258" s="296" t="n"/>
      <c r="Z258" s="296" t="n"/>
      <c r="AA258" s="296" t="n"/>
      <c r="AB258" s="296" t="n"/>
      <c r="AC258" s="296" t="n"/>
      <c r="AD258" s="296" t="n"/>
      <c r="AE258" s="296" t="n"/>
      <c r="AF258" s="296" t="n"/>
      <c r="AG258" s="296" t="n"/>
      <c r="AH258" s="296" t="n"/>
      <c r="AI258" s="296" t="n"/>
      <c r="AJ258" s="296" t="n"/>
      <c r="AK258" s="296" t="n"/>
      <c r="AL258" s="296" t="n"/>
      <c r="AM258" s="296" t="n"/>
      <c r="AN258" s="296" t="n"/>
      <c r="AO258" s="296" t="n"/>
      <c r="AP258" s="296" t="n"/>
      <c r="AQ258" s="296" t="n"/>
      <c r="AR258" s="296" t="n"/>
      <c r="AS258" s="296" t="n"/>
      <c r="AT258" s="296" t="n"/>
      <c r="AU258" s="296" t="n"/>
      <c r="AV258" s="296" t="n"/>
      <c r="AW258" s="296" t="n"/>
      <c r="AX258" s="296" t="n"/>
      <c r="AY258" s="296" t="n"/>
      <c r="AZ258" s="296" t="n"/>
      <c r="BA258" s="296" t="n"/>
      <c r="BB258" s="296" t="n"/>
      <c r="BC258" s="296" t="n"/>
      <c r="BD258" s="296" t="n"/>
      <c r="BE258" s="296" t="n"/>
      <c r="BF258" s="296" t="n"/>
      <c r="BG258" s="296" t="n"/>
      <c r="BH258" s="296" t="n"/>
      <c r="BI258" s="296" t="n"/>
      <c r="BJ258" s="296" t="n"/>
      <c r="BK258" s="296" t="n"/>
      <c r="BL258" s="296" t="n"/>
      <c r="BM258" s="296" t="n"/>
      <c r="BN258" s="296" t="n"/>
      <c r="BO258" s="296" t="n"/>
      <c r="BP258" s="296" t="n"/>
      <c r="BQ258" s="296" t="n"/>
      <c r="BR258" s="296" t="n"/>
      <c r="BS258" s="296" t="n"/>
      <c r="BT258" s="296" t="n"/>
      <c r="BU258" s="296" t="n"/>
      <c r="BV258" s="296" t="n"/>
      <c r="BW258" s="296" t="n"/>
      <c r="BX258" s="296" t="n"/>
      <c r="BY258" s="296" t="n"/>
      <c r="BZ258" s="296" t="n"/>
      <c r="CA258" s="296" t="n"/>
      <c r="CB258" s="296" t="n"/>
      <c r="CC258" s="296" t="n"/>
      <c r="CD258" s="296" t="n"/>
      <c r="CE258" s="296" t="n"/>
      <c r="CF258" s="296" t="n"/>
      <c r="CG258" s="296" t="n"/>
      <c r="CH258" s="296" t="n"/>
      <c r="CI258" s="296" t="n"/>
      <c r="CJ258" s="296" t="n"/>
      <c r="CK258" s="296" t="n"/>
      <c r="CL258" s="296" t="n"/>
      <c r="CM258" s="296" t="n"/>
      <c r="CN258" s="296" t="n"/>
      <c r="CO258" s="296" t="n"/>
      <c r="CP258" s="296" t="n"/>
      <c r="CQ258" s="296" t="n"/>
      <c r="CR258" s="296" t="n"/>
      <c r="CS258" s="296" t="n"/>
      <c r="CT258" s="296" t="n"/>
      <c r="CU258" s="296" t="n"/>
      <c r="CV258" s="296" t="n"/>
      <c r="CW258" s="296" t="n"/>
      <c r="CX258" s="296" t="n"/>
      <c r="CY258" s="296" t="n"/>
    </row>
    <row r="259" ht="12.75" customHeight="1" s="254">
      <c r="C259" s="268" t="inlineStr">
        <is>
          <t>Convertible Preferred Stock</t>
        </is>
      </c>
      <c r="D259" s="299" t="n"/>
      <c r="E259" s="299" t="n"/>
      <c r="F259" s="299" t="n"/>
      <c r="G259" s="299" t="n"/>
      <c r="H259" s="266">
        <f>G259</f>
        <v>0</v>
      </c>
      <c r="I259" s="299" t="n"/>
      <c r="J259" s="299" t="n"/>
      <c r="K259" s="299" t="n"/>
      <c r="L259" s="299" t="n"/>
      <c r="M259" s="266">
        <f>L259</f>
        <v>0</v>
      </c>
      <c r="N259" s="299" t="n"/>
      <c r="O259" s="299" t="n"/>
      <c r="P259" s="299" t="n"/>
      <c r="Q259" s="299" t="n"/>
      <c r="R259" s="266">
        <f>Q259</f>
        <v>0</v>
      </c>
      <c r="S259" s="299" t="n"/>
      <c r="T259" s="299" t="n"/>
      <c r="U259" s="299" t="n"/>
      <c r="V259" s="299" t="n"/>
      <c r="W259" s="266">
        <f>V259</f>
        <v>0</v>
      </c>
      <c r="X259" s="299" t="n"/>
      <c r="Y259" s="299" t="n"/>
      <c r="Z259" s="299" t="n"/>
      <c r="AA259" s="299" t="n"/>
      <c r="AB259" s="266">
        <f>AA259</f>
        <v>0</v>
      </c>
      <c r="AC259" s="299" t="n"/>
      <c r="AD259" s="299" t="n"/>
      <c r="AE259" s="299" t="n"/>
      <c r="AF259" s="299" t="n"/>
      <c r="AG259" s="266">
        <f>AF259</f>
        <v>0</v>
      </c>
      <c r="AH259" s="266">
        <f>AG259</f>
        <v>0</v>
      </c>
      <c r="AI259" s="266">
        <f>AH259</f>
        <v>0</v>
      </c>
      <c r="AJ259" s="266">
        <f>AI259</f>
        <v>0</v>
      </c>
      <c r="AK259" s="266">
        <f>AJ259</f>
        <v>0</v>
      </c>
      <c r="AL259" s="266">
        <f>AK259</f>
        <v>0</v>
      </c>
      <c r="AM259" s="266">
        <f>AL259</f>
        <v>0</v>
      </c>
      <c r="AN259" s="266">
        <f>AM259</f>
        <v>0</v>
      </c>
      <c r="AO259" s="266">
        <f>AN259</f>
        <v>0</v>
      </c>
      <c r="AP259" s="266">
        <f>AO259</f>
        <v>0</v>
      </c>
      <c r="AQ259" s="266">
        <f>AP259</f>
        <v>0</v>
      </c>
      <c r="AR259" s="266">
        <f>AQ259</f>
        <v>0</v>
      </c>
      <c r="AS259" s="266">
        <f>AR259</f>
        <v>0</v>
      </c>
      <c r="AT259" s="266">
        <f>AS259</f>
        <v>0</v>
      </c>
      <c r="AU259" s="266">
        <f>AT259</f>
        <v>0</v>
      </c>
      <c r="AV259" s="266">
        <f>AU259</f>
        <v>0</v>
      </c>
      <c r="AW259" s="266">
        <f>AV259</f>
        <v>0</v>
      </c>
      <c r="AX259" s="266">
        <f>AW259</f>
        <v>0</v>
      </c>
      <c r="AY259" s="266">
        <f>AX259</f>
        <v>0</v>
      </c>
      <c r="AZ259" s="266">
        <f>AY259</f>
        <v>0</v>
      </c>
      <c r="BA259" s="266">
        <f>AZ259</f>
        <v>0</v>
      </c>
      <c r="BB259" s="266">
        <f>BA259</f>
        <v>0</v>
      </c>
      <c r="BC259" s="266">
        <f>BB259</f>
        <v>0</v>
      </c>
      <c r="BD259" s="266">
        <f>BC259</f>
        <v>0</v>
      </c>
      <c r="BE259" s="266">
        <f>BD259</f>
        <v>0</v>
      </c>
      <c r="BF259" s="266">
        <f>BE259</f>
        <v>0</v>
      </c>
      <c r="BG259" s="266">
        <f>BF259</f>
        <v>0</v>
      </c>
      <c r="BH259" s="266">
        <f>BG259</f>
        <v>0</v>
      </c>
      <c r="BI259" s="266">
        <f>BH259</f>
        <v>0</v>
      </c>
      <c r="BJ259" s="266">
        <f>BI259</f>
        <v>0</v>
      </c>
      <c r="BK259" s="266">
        <f>BJ259</f>
        <v>0</v>
      </c>
      <c r="BL259" s="266">
        <f>BK259</f>
        <v>0</v>
      </c>
      <c r="BM259" s="266">
        <f>BL259</f>
        <v>0</v>
      </c>
      <c r="BN259" s="266">
        <f>BM259</f>
        <v>0</v>
      </c>
      <c r="BO259" s="266">
        <f>BN259</f>
        <v>0</v>
      </c>
      <c r="BP259" s="266">
        <f>BO259</f>
        <v>0</v>
      </c>
      <c r="BQ259" s="266">
        <f>BP259</f>
        <v>0</v>
      </c>
      <c r="BR259" s="266">
        <f>BQ259</f>
        <v>0</v>
      </c>
      <c r="BS259" s="266">
        <f>BR259</f>
        <v>0</v>
      </c>
      <c r="BT259" s="266">
        <f>BS259</f>
        <v>0</v>
      </c>
      <c r="BU259" s="266">
        <f>BT259</f>
        <v>0</v>
      </c>
      <c r="BV259" s="266">
        <f>BU259</f>
        <v>0</v>
      </c>
      <c r="BW259" s="266">
        <f>BV259</f>
        <v>0</v>
      </c>
      <c r="BX259" s="266">
        <f>BW259</f>
        <v>0</v>
      </c>
      <c r="BY259" s="266">
        <f>BX259</f>
        <v>0</v>
      </c>
      <c r="BZ259" s="266">
        <f>BY259</f>
        <v>0</v>
      </c>
      <c r="CA259" s="266">
        <f>BZ259</f>
        <v>0</v>
      </c>
      <c r="CB259" s="266">
        <f>CA259</f>
        <v>0</v>
      </c>
      <c r="CC259" s="266">
        <f>CB259</f>
        <v>0</v>
      </c>
      <c r="CD259" s="266">
        <f>CC259</f>
        <v>0</v>
      </c>
      <c r="CE259" s="266">
        <f>CD259</f>
        <v>0</v>
      </c>
      <c r="CF259" s="266">
        <f>CE259</f>
        <v>0</v>
      </c>
      <c r="CG259" s="266">
        <f>CF259</f>
        <v>0</v>
      </c>
      <c r="CH259" s="266">
        <f>CG259</f>
        <v>0</v>
      </c>
      <c r="CI259" s="266">
        <f>CH259</f>
        <v>0</v>
      </c>
      <c r="CJ259" s="266">
        <f>CI259</f>
        <v>0</v>
      </c>
      <c r="CK259" s="266">
        <f>CJ259</f>
        <v>0</v>
      </c>
      <c r="CL259" s="266">
        <f>CK259</f>
        <v>0</v>
      </c>
      <c r="CM259" s="266">
        <f>CL259</f>
        <v>0</v>
      </c>
      <c r="CN259" s="266">
        <f>CM259</f>
        <v>0</v>
      </c>
      <c r="CO259" s="266">
        <f>CN259</f>
        <v>0</v>
      </c>
      <c r="CP259" s="266">
        <f>CO259</f>
        <v>0</v>
      </c>
      <c r="CQ259" s="266">
        <f>CP259</f>
        <v>0</v>
      </c>
      <c r="CR259" s="266">
        <f>CQ259</f>
        <v>0</v>
      </c>
      <c r="CS259" s="266">
        <f>CR259</f>
        <v>0</v>
      </c>
      <c r="CT259" s="266">
        <f>CS259</f>
        <v>0</v>
      </c>
      <c r="CU259" s="266">
        <f>CT259</f>
        <v>0</v>
      </c>
      <c r="CV259" s="266">
        <f>CU259</f>
        <v>0</v>
      </c>
      <c r="CW259" s="266">
        <f>CV259</f>
        <v>0</v>
      </c>
      <c r="CX259" s="266">
        <f>CW259</f>
        <v>0</v>
      </c>
      <c r="CY259" s="266">
        <f>CX259</f>
        <v>0</v>
      </c>
    </row>
    <row r="260" ht="12.75" customHeight="1" s="254">
      <c r="C260" s="267" t="inlineStr">
        <is>
          <t>Common Stock and APIC</t>
        </is>
      </c>
      <c r="D260" s="299" t="n"/>
      <c r="E260" s="299" t="n"/>
      <c r="F260" s="299" t="n"/>
      <c r="G260" s="299" t="n"/>
      <c r="H260" s="266">
        <f>G260</f>
        <v>0</v>
      </c>
      <c r="I260" s="299" t="n"/>
      <c r="J260" s="299" t="n"/>
      <c r="K260" s="299" t="n"/>
      <c r="L260" s="299" t="n"/>
      <c r="M260" s="266">
        <f>L260</f>
        <v>0</v>
      </c>
      <c r="N260" s="299" t="n"/>
      <c r="O260" s="299" t="n"/>
      <c r="P260" s="299" t="n"/>
      <c r="Q260" s="299" t="n"/>
      <c r="R260" s="266">
        <f>Q260</f>
        <v>0</v>
      </c>
      <c r="S260" s="299" t="n"/>
      <c r="T260" s="299" t="n"/>
      <c r="U260" s="299" t="n"/>
      <c r="V260" s="299" t="n"/>
      <c r="W260" s="266">
        <f>V260</f>
        <v>0</v>
      </c>
      <c r="X260" s="299" t="n"/>
      <c r="Y260" s="299" t="n"/>
      <c r="Z260" s="299" t="n"/>
      <c r="AA260" s="299" t="n"/>
      <c r="AB260" s="266">
        <f>AA260</f>
        <v>0</v>
      </c>
      <c r="AC260" s="299" t="n"/>
      <c r="AD260" s="299" t="n"/>
      <c r="AE260" s="299" t="n"/>
      <c r="AF260" s="299" t="n"/>
      <c r="AG260" s="266">
        <f>AF260</f>
        <v>0</v>
      </c>
      <c r="AH260" s="266">
        <f>AG260+AH264</f>
        <v>0</v>
      </c>
      <c r="AI260" s="266">
        <f>AH260+AI264</f>
        <v>0</v>
      </c>
      <c r="AJ260" s="266">
        <f>AI260+AJ264</f>
        <v>0</v>
      </c>
      <c r="AK260" s="266">
        <f>AJ260+AK264</f>
        <v>0</v>
      </c>
      <c r="AL260" s="266">
        <f>AK260</f>
        <v>0</v>
      </c>
      <c r="AM260" s="266">
        <f>AL260+AM264</f>
        <v>0</v>
      </c>
      <c r="AN260" s="266">
        <f>AM260+AN264</f>
        <v>0</v>
      </c>
      <c r="AO260" s="266">
        <f>AN260+AO264</f>
        <v>0</v>
      </c>
      <c r="AP260" s="266">
        <f>AO260+AP264</f>
        <v>0</v>
      </c>
      <c r="AQ260" s="266">
        <f>AP260</f>
        <v>0</v>
      </c>
      <c r="AR260" s="266">
        <f>AQ260+AR264</f>
        <v>0</v>
      </c>
      <c r="AS260" s="266">
        <f>AR260+AS264</f>
        <v>0</v>
      </c>
      <c r="AT260" s="266">
        <f>AS260+AT264</f>
        <v>0</v>
      </c>
      <c r="AU260" s="266">
        <f>AT260+AU264</f>
        <v>0</v>
      </c>
      <c r="AV260" s="266">
        <f>AU260</f>
        <v>0</v>
      </c>
      <c r="AW260" s="266">
        <f>AV260+AW264</f>
        <v>0</v>
      </c>
      <c r="AX260" s="266">
        <f>AW260+AX264</f>
        <v>0</v>
      </c>
      <c r="AY260" s="266">
        <f>AX260+AY264</f>
        <v>0</v>
      </c>
      <c r="AZ260" s="266">
        <f>AY260+AZ264</f>
        <v>0</v>
      </c>
      <c r="BA260" s="266">
        <f>AZ260</f>
        <v>0</v>
      </c>
      <c r="BB260" s="266">
        <f>BA260+BB264</f>
        <v>0</v>
      </c>
      <c r="BC260" s="266">
        <f>BB260+BC264</f>
        <v>0</v>
      </c>
      <c r="BD260" s="266">
        <f>BC260+BD264</f>
        <v>0</v>
      </c>
      <c r="BE260" s="266">
        <f>BD260+BE264</f>
        <v>0</v>
      </c>
      <c r="BF260" s="266">
        <f>BE260</f>
        <v>0</v>
      </c>
      <c r="BG260" s="266">
        <f>BF260+BG264</f>
        <v>0</v>
      </c>
      <c r="BH260" s="266">
        <f>BG260+BH264</f>
        <v>0</v>
      </c>
      <c r="BI260" s="266">
        <f>BH260+BI264</f>
        <v>0</v>
      </c>
      <c r="BJ260" s="266">
        <f>BI260+BJ264</f>
        <v>0</v>
      </c>
      <c r="BK260" s="266">
        <f>BJ260</f>
        <v>0</v>
      </c>
      <c r="BL260" s="266">
        <f>BK260+BL264</f>
        <v>0</v>
      </c>
      <c r="BM260" s="266">
        <f>BL260+BM264</f>
        <v>0</v>
      </c>
      <c r="BN260" s="266">
        <f>BM260+BN264</f>
        <v>0</v>
      </c>
      <c r="BO260" s="266">
        <f>BN260+BO264</f>
        <v>0</v>
      </c>
      <c r="BP260" s="266">
        <f>BO260</f>
        <v>0</v>
      </c>
      <c r="BQ260" s="266">
        <f>BP260+BQ264</f>
        <v>0</v>
      </c>
      <c r="BR260" s="266">
        <f>BQ260+BR264</f>
        <v>0</v>
      </c>
      <c r="BS260" s="266">
        <f>BR260+BS264</f>
        <v>0</v>
      </c>
      <c r="BT260" s="266">
        <f>BS260+BT264</f>
        <v>0</v>
      </c>
      <c r="BU260" s="266">
        <f>BT260</f>
        <v>0</v>
      </c>
      <c r="BV260" s="266">
        <f>BU260+BV264</f>
        <v>0</v>
      </c>
      <c r="BW260" s="266">
        <f>BV260+BW264</f>
        <v>0</v>
      </c>
      <c r="BX260" s="266">
        <f>BW260+BX264</f>
        <v>0</v>
      </c>
      <c r="BY260" s="266">
        <f>BX260+BY264</f>
        <v>0</v>
      </c>
      <c r="BZ260" s="266">
        <f>BY260</f>
        <v>0</v>
      </c>
      <c r="CA260" s="266">
        <f>BZ260+CA264</f>
        <v>0</v>
      </c>
      <c r="CB260" s="266">
        <f>CA260+CB264</f>
        <v>0</v>
      </c>
      <c r="CC260" s="266">
        <f>CB260+CC264</f>
        <v>0</v>
      </c>
      <c r="CD260" s="266">
        <f>CC260+CD264</f>
        <v>0</v>
      </c>
      <c r="CE260" s="266">
        <f>CD260</f>
        <v>0</v>
      </c>
      <c r="CF260" s="266">
        <f>CE260+CF264</f>
        <v>0</v>
      </c>
      <c r="CG260" s="266">
        <f>CF260+CG264</f>
        <v>0</v>
      </c>
      <c r="CH260" s="266">
        <f>CG260+CH264</f>
        <v>0</v>
      </c>
      <c r="CI260" s="266">
        <f>CH260+CI264</f>
        <v>0</v>
      </c>
      <c r="CJ260" s="266">
        <f>CI260</f>
        <v>0</v>
      </c>
      <c r="CK260" s="266">
        <f>CJ260+CK264</f>
        <v>0</v>
      </c>
      <c r="CL260" s="266">
        <f>CK260+CL264</f>
        <v>0</v>
      </c>
      <c r="CM260" s="266">
        <f>CL260+CM264</f>
        <v>0</v>
      </c>
      <c r="CN260" s="266">
        <f>CM260+CN264</f>
        <v>0</v>
      </c>
      <c r="CO260" s="266">
        <f>CN260</f>
        <v>0</v>
      </c>
      <c r="CP260" s="266">
        <f>CO260+CP264</f>
        <v>0</v>
      </c>
      <c r="CQ260" s="266">
        <f>CP260+CQ264</f>
        <v>0</v>
      </c>
      <c r="CR260" s="266">
        <f>CQ260+CR264</f>
        <v>0</v>
      </c>
      <c r="CS260" s="266">
        <f>CR260+CS264</f>
        <v>0</v>
      </c>
      <c r="CT260" s="266">
        <f>CS260</f>
        <v>0</v>
      </c>
      <c r="CU260" s="266">
        <f>CT260+CU264</f>
        <v>0</v>
      </c>
      <c r="CV260" s="266">
        <f>CU260+CV264</f>
        <v>0</v>
      </c>
      <c r="CW260" s="266">
        <f>CV260+CW264</f>
        <v>0</v>
      </c>
      <c r="CX260" s="266">
        <f>CW260+CX264</f>
        <v>0</v>
      </c>
      <c r="CY260" s="266">
        <f>CX260</f>
        <v>0</v>
      </c>
    </row>
    <row r="261" hidden="1" outlineLevel="1" ht="12.75" customFormat="1" customHeight="1" s="320">
      <c r="A261" s="291" t="n"/>
      <c r="B261" s="291" t="n"/>
      <c r="C261" s="321" t="n"/>
      <c r="D261" s="296" t="n"/>
      <c r="E261" s="296" t="n"/>
      <c r="F261" s="296" t="n"/>
      <c r="G261" s="296" t="n"/>
      <c r="H261" s="296" t="n"/>
      <c r="I261" s="296" t="n"/>
      <c r="J261" s="296" t="n"/>
      <c r="K261" s="296" t="n"/>
      <c r="L261" s="296" t="n"/>
      <c r="M261" s="296" t="n"/>
      <c r="N261" s="296" t="n"/>
      <c r="O261" s="296" t="n"/>
      <c r="P261" s="296" t="n"/>
      <c r="Q261" s="296" t="n"/>
      <c r="R261" s="296" t="n"/>
      <c r="S261" s="296" t="n"/>
      <c r="T261" s="296" t="n"/>
      <c r="U261" s="296" t="n"/>
      <c r="V261" s="296" t="n"/>
      <c r="W261" s="296" t="n"/>
      <c r="X261" s="296" t="n"/>
      <c r="Y261" s="296" t="n"/>
      <c r="Z261" s="296" t="n"/>
      <c r="AA261" s="296" t="n"/>
      <c r="AB261" s="296" t="n"/>
      <c r="AC261" s="296" t="n"/>
      <c r="AD261" s="296" t="n"/>
      <c r="AE261" s="296" t="n"/>
      <c r="AF261" s="296" t="n"/>
      <c r="AG261" s="296" t="n"/>
      <c r="AH261" s="296" t="n"/>
      <c r="AI261" s="296" t="n"/>
      <c r="AJ261" s="296" t="n"/>
      <c r="AK261" s="296" t="n"/>
      <c r="AL261" s="296" t="n"/>
      <c r="AM261" s="296" t="n"/>
      <c r="AN261" s="296" t="n"/>
      <c r="AO261" s="296" t="n"/>
      <c r="AP261" s="296" t="n"/>
      <c r="AQ261" s="296" t="n"/>
      <c r="AR261" s="296" t="n"/>
      <c r="AS261" s="296" t="n"/>
      <c r="AT261" s="296" t="n"/>
      <c r="AU261" s="296" t="n"/>
      <c r="AV261" s="296" t="n"/>
      <c r="AW261" s="296" t="n"/>
      <c r="AX261" s="296" t="n"/>
      <c r="AY261" s="296" t="n"/>
      <c r="AZ261" s="296" t="n"/>
      <c r="BA261" s="296" t="n"/>
      <c r="BB261" s="296" t="n"/>
      <c r="BC261" s="296" t="n"/>
      <c r="BD261" s="296" t="n"/>
      <c r="BE261" s="296" t="n"/>
      <c r="BF261" s="296" t="n"/>
      <c r="BG261" s="296" t="n"/>
      <c r="BH261" s="296" t="n"/>
      <c r="BI261" s="296" t="n"/>
      <c r="BJ261" s="296" t="n"/>
      <c r="BK261" s="296" t="n"/>
      <c r="BL261" s="296" t="n"/>
      <c r="BM261" s="296" t="n"/>
      <c r="BN261" s="296" t="n"/>
      <c r="BO261" s="296" t="n"/>
      <c r="BP261" s="296" t="n"/>
      <c r="BQ261" s="296" t="n"/>
      <c r="BR261" s="296" t="n"/>
      <c r="BS261" s="296" t="n"/>
      <c r="BT261" s="296" t="n"/>
      <c r="BU261" s="296" t="n"/>
      <c r="BV261" s="296" t="n"/>
      <c r="BW261" s="296" t="n"/>
      <c r="BX261" s="296" t="n"/>
      <c r="BY261" s="296" t="n"/>
      <c r="BZ261" s="296" t="n"/>
      <c r="CA261" s="296" t="n"/>
      <c r="CB261" s="296" t="n"/>
      <c r="CC261" s="296" t="n"/>
      <c r="CD261" s="296" t="n"/>
      <c r="CE261" s="296" t="n"/>
      <c r="CF261" s="296" t="n"/>
      <c r="CG261" s="296" t="n"/>
      <c r="CH261" s="296" t="n"/>
      <c r="CI261" s="296" t="n"/>
      <c r="CJ261" s="296" t="n"/>
      <c r="CK261" s="296" t="n"/>
      <c r="CL261" s="296" t="n"/>
      <c r="CM261" s="296" t="n"/>
      <c r="CN261" s="296" t="n"/>
      <c r="CO261" s="296" t="n"/>
      <c r="CP261" s="296" t="n"/>
      <c r="CQ261" s="296" t="n"/>
      <c r="CR261" s="296" t="n"/>
      <c r="CS261" s="296" t="n"/>
      <c r="CT261" s="296" t="n"/>
      <c r="CU261" s="296" t="n"/>
      <c r="CV261" s="296" t="n"/>
      <c r="CW261" s="296" t="n"/>
      <c r="CX261" s="296" t="n"/>
      <c r="CY261" s="296" t="n"/>
    </row>
    <row r="262" hidden="1" outlineLevel="1" ht="12.75" customFormat="1" customHeight="1" s="320">
      <c r="A262" s="291" t="n"/>
      <c r="B262" s="291" t="n"/>
      <c r="C262" s="321" t="inlineStr">
        <is>
          <t>Diluted Shares outstanding</t>
        </is>
      </c>
      <c r="D262" s="296" t="n"/>
      <c r="E262" s="296" t="n"/>
      <c r="F262" s="296" t="n"/>
      <c r="G262" s="296" t="n"/>
      <c r="H262" s="296" t="n"/>
      <c r="I262" s="296" t="n"/>
      <c r="J262" s="296" t="n"/>
      <c r="K262" s="296" t="n"/>
      <c r="L262" s="296" t="n"/>
      <c r="M262" s="296" t="n"/>
      <c r="N262" s="296" t="n"/>
      <c r="O262" s="296" t="n"/>
      <c r="P262" s="296" t="n"/>
      <c r="Q262" s="296" t="n"/>
      <c r="R262" s="296" t="n"/>
      <c r="S262" s="296" t="n"/>
      <c r="T262" s="296" t="n"/>
      <c r="U262" s="296" t="n"/>
      <c r="V262" s="296" t="n"/>
      <c r="W262" s="296" t="n"/>
      <c r="X262" s="296" t="n"/>
      <c r="Y262" s="296" t="n"/>
      <c r="Z262" s="296" t="n"/>
      <c r="AA262" s="296" t="n"/>
      <c r="AB262" s="296" t="n"/>
      <c r="AC262" s="296" t="n"/>
      <c r="AD262" s="296" t="n"/>
      <c r="AE262" s="296" t="n"/>
      <c r="AF262" s="296" t="n"/>
      <c r="AG262" s="296" t="n"/>
      <c r="AH262" s="296" t="n"/>
      <c r="AI262" s="296" t="n"/>
      <c r="AJ262" s="296" t="n"/>
      <c r="AK262" s="296" t="n"/>
      <c r="AL262" s="296" t="n"/>
      <c r="AM262" s="296" t="n"/>
      <c r="AN262" s="296" t="n"/>
      <c r="AO262" s="296" t="n"/>
      <c r="AP262" s="296" t="n"/>
      <c r="AQ262" s="296" t="n"/>
      <c r="AR262" s="296" t="n"/>
      <c r="AS262" s="296" t="n"/>
      <c r="AT262" s="296" t="n"/>
      <c r="AU262" s="296" t="n"/>
      <c r="AV262" s="296" t="n"/>
      <c r="AW262" s="296" t="n"/>
      <c r="AX262" s="296" t="n"/>
      <c r="AY262" s="296" t="n"/>
      <c r="AZ262" s="296" t="n"/>
      <c r="BA262" s="296" t="n"/>
      <c r="BB262" s="296" t="n"/>
      <c r="BC262" s="296" t="n"/>
      <c r="BD262" s="296" t="n"/>
      <c r="BE262" s="296" t="n"/>
      <c r="BF262" s="296" t="n"/>
      <c r="BG262" s="296" t="n"/>
      <c r="BH262" s="296" t="n"/>
      <c r="BI262" s="296" t="n"/>
      <c r="BJ262" s="296" t="n"/>
      <c r="BK262" s="296" t="n"/>
      <c r="BL262" s="296" t="n"/>
      <c r="BM262" s="296" t="n"/>
      <c r="BN262" s="296" t="n"/>
      <c r="BO262" s="296" t="n"/>
      <c r="BP262" s="296" t="n"/>
      <c r="BQ262" s="296" t="n"/>
      <c r="BR262" s="296" t="n"/>
      <c r="BS262" s="296" t="n"/>
      <c r="BT262" s="296" t="n"/>
      <c r="BU262" s="296" t="n"/>
      <c r="BV262" s="296" t="n"/>
      <c r="BW262" s="296" t="n"/>
      <c r="BX262" s="296" t="n"/>
      <c r="BY262" s="296" t="n"/>
      <c r="BZ262" s="296" t="n"/>
      <c r="CA262" s="296" t="n"/>
      <c r="CB262" s="296" t="n"/>
      <c r="CC262" s="296" t="n"/>
      <c r="CD262" s="296" t="n"/>
      <c r="CE262" s="296" t="n"/>
      <c r="CF262" s="296" t="n"/>
      <c r="CG262" s="296" t="n"/>
      <c r="CH262" s="296" t="n"/>
      <c r="CI262" s="296" t="n"/>
      <c r="CJ262" s="296" t="n"/>
      <c r="CK262" s="296" t="n"/>
      <c r="CL262" s="296" t="n"/>
      <c r="CM262" s="296" t="n"/>
      <c r="CN262" s="296" t="n"/>
      <c r="CO262" s="296" t="n"/>
      <c r="CP262" s="296" t="n"/>
      <c r="CQ262" s="296" t="n"/>
      <c r="CR262" s="296" t="n"/>
      <c r="CS262" s="296" t="n"/>
      <c r="CT262" s="296" t="n"/>
      <c r="CU262" s="296" t="n"/>
      <c r="CV262" s="296" t="n"/>
      <c r="CW262" s="296" t="n"/>
      <c r="CX262" s="296" t="n"/>
      <c r="CY262" s="296" t="n"/>
    </row>
    <row r="263" hidden="1" outlineLevel="1" ht="12.75" customFormat="1" customHeight="1" s="320">
      <c r="A263" s="291" t="n"/>
      <c r="B263" s="291" t="n"/>
      <c r="C263" s="321" t="inlineStr">
        <is>
          <t>Treasury share $ repurchases</t>
        </is>
      </c>
      <c r="D263" s="296" t="n"/>
      <c r="E263" s="296" t="n"/>
      <c r="F263" s="296" t="n"/>
      <c r="G263" s="296" t="n"/>
      <c r="H263" s="296" t="n"/>
      <c r="I263" s="296" t="n"/>
      <c r="J263" s="296" t="n"/>
      <c r="K263" s="296" t="n"/>
      <c r="L263" s="296" t="n"/>
      <c r="M263" s="296" t="n"/>
      <c r="N263" s="296" t="n"/>
      <c r="O263" s="296" t="n"/>
      <c r="P263" s="296" t="n"/>
      <c r="Q263" s="296" t="n"/>
      <c r="R263" s="296" t="n"/>
      <c r="S263" s="296" t="n"/>
      <c r="T263" s="296" t="n"/>
      <c r="U263" s="296" t="n"/>
      <c r="V263" s="296" t="n"/>
      <c r="W263" s="296" t="n"/>
      <c r="X263" s="296" t="n"/>
      <c r="Y263" s="296" t="n"/>
      <c r="Z263" s="296" t="n"/>
      <c r="AA263" s="296" t="n"/>
      <c r="AB263" s="296" t="n"/>
      <c r="AC263" s="296" t="n"/>
      <c r="AD263" s="296" t="n"/>
      <c r="AE263" s="296" t="n"/>
      <c r="AF263" s="296" t="n"/>
      <c r="AG263" s="296" t="n"/>
      <c r="AH263" s="265" t="n"/>
      <c r="AI263" s="265" t="n"/>
      <c r="AJ263" s="265" t="n"/>
      <c r="AK263" s="265" t="n"/>
      <c r="AL263" s="296" t="n"/>
      <c r="AM263" s="265" t="n"/>
      <c r="AN263" s="265" t="n"/>
      <c r="AO263" s="265" t="n"/>
      <c r="AP263" s="265" t="n"/>
      <c r="AQ263" s="296" t="n"/>
      <c r="AR263" s="265" t="n"/>
      <c r="AS263" s="265" t="n"/>
      <c r="AT263" s="265" t="n"/>
      <c r="AU263" s="265" t="n"/>
      <c r="AV263" s="296" t="n"/>
      <c r="AW263" s="265" t="n"/>
      <c r="AX263" s="265" t="n"/>
      <c r="AY263" s="265" t="n"/>
      <c r="AZ263" s="265" t="n"/>
      <c r="BA263" s="296" t="n"/>
      <c r="BB263" s="265" t="n"/>
      <c r="BC263" s="265" t="n"/>
      <c r="BD263" s="265" t="n"/>
      <c r="BE263" s="265" t="n"/>
      <c r="BF263" s="296" t="n"/>
      <c r="BG263" s="265" t="n"/>
      <c r="BH263" s="265" t="n"/>
      <c r="BI263" s="265" t="n"/>
      <c r="BJ263" s="265" t="n"/>
      <c r="BK263" s="296" t="n"/>
      <c r="BL263" s="265" t="n"/>
      <c r="BM263" s="265" t="n"/>
      <c r="BN263" s="265" t="n"/>
      <c r="BO263" s="265" t="n"/>
      <c r="BP263" s="296" t="n"/>
      <c r="BQ263" s="265" t="n"/>
      <c r="BR263" s="265" t="n"/>
      <c r="BS263" s="265" t="n"/>
      <c r="BT263" s="265" t="n"/>
      <c r="BU263" s="296" t="n"/>
      <c r="BV263" s="265" t="n"/>
      <c r="BW263" s="265" t="n"/>
      <c r="BX263" s="265" t="n"/>
      <c r="BY263" s="265" t="n"/>
      <c r="BZ263" s="296" t="n"/>
      <c r="CA263" s="265" t="n"/>
      <c r="CB263" s="265" t="n"/>
      <c r="CC263" s="265" t="n"/>
      <c r="CD263" s="265" t="n"/>
      <c r="CE263" s="296" t="n"/>
      <c r="CF263" s="265" t="n"/>
      <c r="CG263" s="265" t="n"/>
      <c r="CH263" s="265" t="n"/>
      <c r="CI263" s="265" t="n"/>
      <c r="CJ263" s="296" t="n"/>
      <c r="CK263" s="265" t="n"/>
      <c r="CL263" s="265" t="n"/>
      <c r="CM263" s="265" t="n"/>
      <c r="CN263" s="265" t="n"/>
      <c r="CO263" s="296" t="n"/>
      <c r="CP263" s="265" t="n"/>
      <c r="CQ263" s="265" t="n"/>
      <c r="CR263" s="265" t="n"/>
      <c r="CS263" s="265" t="n"/>
      <c r="CT263" s="296" t="n"/>
      <c r="CU263" s="265" t="n"/>
      <c r="CV263" s="265" t="n"/>
      <c r="CW263" s="265" t="n"/>
      <c r="CX263" s="265" t="n"/>
      <c r="CY263" s="296" t="n"/>
    </row>
    <row r="264" hidden="1" outlineLevel="1" ht="12.75" customFormat="1" customHeight="1" s="320">
      <c r="A264" s="291" t="n"/>
      <c r="B264" s="291" t="n"/>
      <c r="C264" s="321" t="inlineStr">
        <is>
          <t>Value of shares issued</t>
        </is>
      </c>
      <c r="D264" s="296" t="n"/>
      <c r="E264" s="296" t="n"/>
      <c r="F264" s="296" t="n"/>
      <c r="G264" s="296" t="n"/>
      <c r="H264" s="296" t="n"/>
      <c r="I264" s="296" t="n"/>
      <c r="J264" s="296" t="n"/>
      <c r="K264" s="296" t="n"/>
      <c r="L264" s="296" t="n"/>
      <c r="M264" s="296" t="n"/>
      <c r="N264" s="296" t="n"/>
      <c r="O264" s="296" t="n"/>
      <c r="P264" s="296" t="n"/>
      <c r="Q264" s="296" t="n"/>
      <c r="R264" s="296" t="n"/>
      <c r="S264" s="296" t="n"/>
      <c r="T264" s="296" t="n"/>
      <c r="U264" s="296" t="n"/>
      <c r="V264" s="296" t="n"/>
      <c r="W264" s="296" t="n"/>
      <c r="X264" s="296" t="n"/>
      <c r="Y264" s="296" t="n"/>
      <c r="Z264" s="296" t="n"/>
      <c r="AA264" s="296" t="n"/>
      <c r="AB264" s="296" t="n"/>
      <c r="AC264" s="296" t="n"/>
      <c r="AD264" s="296" t="n"/>
      <c r="AE264" s="296" t="n"/>
      <c r="AF264" s="296" t="n"/>
      <c r="AG264" s="296" t="n"/>
      <c r="AH264" s="265" t="n"/>
      <c r="AI264" s="265" t="n"/>
      <c r="AJ264" s="265" t="n"/>
      <c r="AK264" s="265" t="n"/>
      <c r="AL264" s="296" t="n"/>
      <c r="AM264" s="265" t="n"/>
      <c r="AN264" s="265" t="n"/>
      <c r="AO264" s="265" t="n"/>
      <c r="AP264" s="265" t="n"/>
      <c r="AQ264" s="296" t="n"/>
      <c r="AR264" s="265" t="n"/>
      <c r="AS264" s="265" t="n"/>
      <c r="AT264" s="265" t="n"/>
      <c r="AU264" s="265" t="n"/>
      <c r="AV264" s="296" t="n"/>
      <c r="AW264" s="265" t="n"/>
      <c r="AX264" s="265" t="n"/>
      <c r="AY264" s="265" t="n"/>
      <c r="AZ264" s="265" t="n"/>
      <c r="BA264" s="296" t="n"/>
      <c r="BB264" s="265" t="n"/>
      <c r="BC264" s="265" t="n"/>
      <c r="BD264" s="265" t="n"/>
      <c r="BE264" s="265" t="n"/>
      <c r="BF264" s="296" t="n"/>
      <c r="BG264" s="265" t="n"/>
      <c r="BH264" s="265" t="n"/>
      <c r="BI264" s="265" t="n"/>
      <c r="BJ264" s="265" t="n"/>
      <c r="BK264" s="296" t="n"/>
      <c r="BL264" s="265" t="n"/>
      <c r="BM264" s="265" t="n"/>
      <c r="BN264" s="265" t="n"/>
      <c r="BO264" s="265" t="n"/>
      <c r="BP264" s="296" t="n"/>
      <c r="BQ264" s="265" t="n"/>
      <c r="BR264" s="265" t="n"/>
      <c r="BS264" s="265" t="n"/>
      <c r="BT264" s="265" t="n"/>
      <c r="BU264" s="296" t="n"/>
      <c r="BV264" s="265" t="n"/>
      <c r="BW264" s="265" t="n"/>
      <c r="BX264" s="265" t="n"/>
      <c r="BY264" s="265" t="n"/>
      <c r="BZ264" s="296" t="n"/>
      <c r="CA264" s="265" t="n"/>
      <c r="CB264" s="265" t="n"/>
      <c r="CC264" s="265" t="n"/>
      <c r="CD264" s="265" t="n"/>
      <c r="CE264" s="296" t="n"/>
      <c r="CF264" s="265" t="n"/>
      <c r="CG264" s="265" t="n"/>
      <c r="CH264" s="265" t="n"/>
      <c r="CI264" s="265" t="n"/>
      <c r="CJ264" s="296" t="n"/>
      <c r="CK264" s="265" t="n"/>
      <c r="CL264" s="265" t="n"/>
      <c r="CM264" s="265" t="n"/>
      <c r="CN264" s="265" t="n"/>
      <c r="CO264" s="296" t="n"/>
      <c r="CP264" s="265" t="n"/>
      <c r="CQ264" s="265" t="n"/>
      <c r="CR264" s="265" t="n"/>
      <c r="CS264" s="265" t="n"/>
      <c r="CT264" s="296" t="n"/>
      <c r="CU264" s="265" t="n"/>
      <c r="CV264" s="265" t="n"/>
      <c r="CW264" s="265" t="n"/>
      <c r="CX264" s="265" t="n"/>
      <c r="CY264" s="296" t="n"/>
    </row>
    <row r="265" hidden="1" outlineLevel="1" ht="12.75" customFormat="1" customHeight="1" s="320">
      <c r="A265" s="291" t="n"/>
      <c r="B265" s="291" t="n"/>
      <c r="C265" s="321" t="inlineStr">
        <is>
          <t>Expected average share price</t>
        </is>
      </c>
      <c r="D265" s="296" t="n"/>
      <c r="E265" s="296" t="n"/>
      <c r="F265" s="296" t="n"/>
      <c r="G265" s="296" t="n"/>
      <c r="H265" s="296" t="n"/>
      <c r="I265" s="296" t="n"/>
      <c r="J265" s="296" t="n"/>
      <c r="K265" s="296" t="n"/>
      <c r="L265" s="296" t="n"/>
      <c r="M265" s="296" t="n"/>
      <c r="N265" s="296" t="n"/>
      <c r="O265" s="296" t="n"/>
      <c r="P265" s="296" t="n"/>
      <c r="Q265" s="296" t="n"/>
      <c r="R265" s="296" t="n"/>
      <c r="S265" s="296" t="n"/>
      <c r="T265" s="296" t="n"/>
      <c r="U265" s="296" t="n"/>
      <c r="V265" s="296" t="n"/>
      <c r="W265" s="296" t="n"/>
      <c r="X265" s="296" t="n"/>
      <c r="Y265" s="296" t="n"/>
      <c r="Z265" s="296" t="n"/>
      <c r="AA265" s="296" t="n"/>
      <c r="AB265" s="296" t="n"/>
      <c r="AC265" s="296" t="n"/>
      <c r="AD265" s="296" t="n"/>
      <c r="AE265" s="296" t="n"/>
      <c r="AF265" s="296" t="n"/>
      <c r="AG265" s="322" t="n"/>
      <c r="AH265" s="323">
        <f>AG265*(1+AH266)</f>
        <v>0</v>
      </c>
      <c r="AI265" s="323">
        <f>AH265*(1+AI266)</f>
        <v>0</v>
      </c>
      <c r="AJ265" s="323">
        <f>AI265*(1+AJ266)</f>
        <v>0</v>
      </c>
      <c r="AK265" s="323">
        <f>AJ265*(1+AK266)</f>
        <v>0</v>
      </c>
      <c r="AL265" s="296" t="n"/>
      <c r="AM265" s="323">
        <f>AK265*(1+AM266)</f>
        <v>0</v>
      </c>
      <c r="AN265" s="323">
        <f>AM265*(1+AN266)</f>
        <v>0</v>
      </c>
      <c r="AO265" s="323">
        <f>AN265*(1+AO266)</f>
        <v>0</v>
      </c>
      <c r="AP265" s="323">
        <f>AO265*(1+AP266)</f>
        <v>0</v>
      </c>
      <c r="AQ265" s="296" t="n"/>
      <c r="AR265" s="323">
        <f>AP265*(1+AR266)</f>
        <v>0</v>
      </c>
      <c r="AS265" s="323">
        <f>AR265*(1+AS266)</f>
        <v>0</v>
      </c>
      <c r="AT265" s="323">
        <f>AS265*(1+AT266)</f>
        <v>0</v>
      </c>
      <c r="AU265" s="323">
        <f>AT265*(1+AU266)</f>
        <v>0</v>
      </c>
      <c r="AV265" s="296" t="n"/>
      <c r="AW265" s="323">
        <f>AU265*(1+AW266)</f>
        <v>0</v>
      </c>
      <c r="AX265" s="323">
        <f>AW265*(1+AX266)</f>
        <v>0</v>
      </c>
      <c r="AY265" s="323">
        <f>AX265*(1+AY266)</f>
        <v>0</v>
      </c>
      <c r="AZ265" s="323">
        <f>AY265*(1+AZ266)</f>
        <v>0</v>
      </c>
      <c r="BA265" s="296" t="n"/>
      <c r="BB265" s="323">
        <f>AZ265*(1+BB266)</f>
        <v>0</v>
      </c>
      <c r="BC265" s="323">
        <f>BB265*(1+BC266)</f>
        <v>0</v>
      </c>
      <c r="BD265" s="323">
        <f>BC265*(1+BD266)</f>
        <v>0</v>
      </c>
      <c r="BE265" s="323">
        <f>BD265*(1+BE266)</f>
        <v>0</v>
      </c>
      <c r="BF265" s="296" t="n"/>
      <c r="BG265" s="323">
        <f>BE265*(1+BG266)</f>
        <v>0</v>
      </c>
      <c r="BH265" s="323">
        <f>BG265*(1+BH266)</f>
        <v>0</v>
      </c>
      <c r="BI265" s="323">
        <f>BH265*(1+BI266)</f>
        <v>0</v>
      </c>
      <c r="BJ265" s="323">
        <f>BI265*(1+BJ266)</f>
        <v>0</v>
      </c>
      <c r="BK265" s="296" t="n"/>
      <c r="BL265" s="323">
        <f>BJ265*(1+BL266)</f>
        <v>0</v>
      </c>
      <c r="BM265" s="323">
        <f>BL265*(1+BM266)</f>
        <v>0</v>
      </c>
      <c r="BN265" s="323">
        <f>BM265*(1+BN266)</f>
        <v>0</v>
      </c>
      <c r="BO265" s="323">
        <f>BN265*(1+BO266)</f>
        <v>0</v>
      </c>
      <c r="BP265" s="296" t="n"/>
      <c r="BQ265" s="323">
        <f>BO265*(1+BQ266)</f>
        <v>0</v>
      </c>
      <c r="BR265" s="323">
        <f>BQ265*(1+BR266)</f>
        <v>0</v>
      </c>
      <c r="BS265" s="323">
        <f>BR265*(1+BS266)</f>
        <v>0</v>
      </c>
      <c r="BT265" s="323">
        <f>BS265*(1+BT266)</f>
        <v>0</v>
      </c>
      <c r="BU265" s="296" t="n"/>
      <c r="BV265" s="323">
        <f>BT265*(1+BV266)</f>
        <v>0</v>
      </c>
      <c r="BW265" s="323">
        <f>BV265*(1+BW266)</f>
        <v>0</v>
      </c>
      <c r="BX265" s="323">
        <f>BW265*(1+BX266)</f>
        <v>0</v>
      </c>
      <c r="BY265" s="323">
        <f>BX265*(1+BY266)</f>
        <v>0</v>
      </c>
      <c r="BZ265" s="296" t="n"/>
      <c r="CA265" s="323">
        <f>BY265*(1+CA266)</f>
        <v>0</v>
      </c>
      <c r="CB265" s="323">
        <f>CA265*(1+CB266)</f>
        <v>0</v>
      </c>
      <c r="CC265" s="323">
        <f>CB265*(1+CC266)</f>
        <v>0</v>
      </c>
      <c r="CD265" s="323">
        <f>CC265*(1+CD266)</f>
        <v>0</v>
      </c>
      <c r="CE265" s="296" t="n"/>
      <c r="CF265" s="323">
        <f>CD265*(1+CF266)</f>
        <v>0</v>
      </c>
      <c r="CG265" s="323">
        <f>CF265*(1+CG266)</f>
        <v>0</v>
      </c>
      <c r="CH265" s="323">
        <f>CG265*(1+CH266)</f>
        <v>0</v>
      </c>
      <c r="CI265" s="323">
        <f>CH265*(1+CI266)</f>
        <v>0</v>
      </c>
      <c r="CJ265" s="296" t="n"/>
      <c r="CK265" s="323">
        <f>CI265*(1+CK266)</f>
        <v>0</v>
      </c>
      <c r="CL265" s="323">
        <f>CK265*(1+CL266)</f>
        <v>0</v>
      </c>
      <c r="CM265" s="323">
        <f>CL265*(1+CM266)</f>
        <v>0</v>
      </c>
      <c r="CN265" s="323">
        <f>CM265*(1+CN266)</f>
        <v>0</v>
      </c>
      <c r="CO265" s="296" t="n"/>
      <c r="CP265" s="323">
        <f>CN265*(1+CP266)</f>
        <v>0</v>
      </c>
      <c r="CQ265" s="323">
        <f>CP265*(1+CQ266)</f>
        <v>0</v>
      </c>
      <c r="CR265" s="323">
        <f>CQ265*(1+CR266)</f>
        <v>0</v>
      </c>
      <c r="CS265" s="323">
        <f>CR265*(1+CS266)</f>
        <v>0</v>
      </c>
      <c r="CT265" s="296" t="n"/>
      <c r="CU265" s="323">
        <f>CS265*(1+CU266)</f>
        <v>0</v>
      </c>
      <c r="CV265" s="323">
        <f>CU265*(1+CV266)</f>
        <v>0</v>
      </c>
      <c r="CW265" s="323">
        <f>CV265*(1+CW266)</f>
        <v>0</v>
      </c>
      <c r="CX265" s="323">
        <f>CW265*(1+CX266)</f>
        <v>0</v>
      </c>
      <c r="CY265" s="296" t="n"/>
      <c r="CZ265" s="320">
        <f>CX265*(1+CZ266)</f>
        <v>0</v>
      </c>
      <c r="DA265" s="320">
        <f>CZ265*(1+DA266)</f>
        <v>0</v>
      </c>
      <c r="DB265" s="320">
        <f>DA265*(1+DB266)</f>
        <v>0</v>
      </c>
      <c r="DC265" s="320">
        <f>DB265*(1+DC266)</f>
        <v>0</v>
      </c>
    </row>
    <row r="266" hidden="1" outlineLevel="1" ht="12.75" customFormat="1" customHeight="1" s="320">
      <c r="A266" s="291" t="n"/>
      <c r="B266" s="291" t="n"/>
      <c r="C266" s="321" t="inlineStr">
        <is>
          <t>Consensus EPS growth</t>
        </is>
      </c>
      <c r="D266" s="296" t="n"/>
      <c r="E266" s="296" t="n"/>
      <c r="F266" s="296" t="n"/>
      <c r="G266" s="296" t="n"/>
      <c r="H266" s="296" t="n"/>
      <c r="I266" s="296" t="n"/>
      <c r="J266" s="296" t="n"/>
      <c r="K266" s="296" t="n"/>
      <c r="L266" s="296" t="n"/>
      <c r="M266" s="296" t="n"/>
      <c r="N266" s="296" t="n"/>
      <c r="O266" s="296" t="n"/>
      <c r="P266" s="296" t="n"/>
      <c r="Q266" s="296" t="n"/>
      <c r="R266" s="296" t="n"/>
      <c r="S266" s="296" t="n"/>
      <c r="T266" s="296" t="n"/>
      <c r="U266" s="296" t="n"/>
      <c r="V266" s="296" t="n"/>
      <c r="W266" s="296" t="n"/>
      <c r="X266" s="296" t="n"/>
      <c r="Y266" s="296" t="n"/>
      <c r="Z266" s="296" t="n"/>
      <c r="AA266" s="296" t="n"/>
      <c r="AB266" s="296" t="n"/>
      <c r="AC266" s="296" t="n"/>
      <c r="AD266" s="296" t="n"/>
      <c r="AE266" s="296" t="n"/>
      <c r="AF266" s="296" t="n"/>
      <c r="AG266" s="296" t="n"/>
      <c r="AH266" s="311">
        <f>$AL$271</f>
        <v>0</v>
      </c>
      <c r="AI266" s="311">
        <f>$AL$271</f>
        <v>0</v>
      </c>
      <c r="AJ266" s="311">
        <f>$AL$271</f>
        <v>0</v>
      </c>
      <c r="AK266" s="311">
        <f>$AL$271</f>
        <v>0</v>
      </c>
      <c r="AL266" s="296" t="n"/>
      <c r="AM266" s="311">
        <f>$AL$271</f>
        <v>0</v>
      </c>
      <c r="AN266" s="311">
        <f>$AL$271</f>
        <v>0</v>
      </c>
      <c r="AO266" s="311">
        <f>$AL$271</f>
        <v>0</v>
      </c>
      <c r="AP266" s="311">
        <f>$AL$271</f>
        <v>0</v>
      </c>
      <c r="AQ266" s="296" t="n"/>
      <c r="AR266" s="311">
        <f>$AL$271</f>
        <v>0</v>
      </c>
      <c r="AS266" s="311">
        <f>$AL$271</f>
        <v>0</v>
      </c>
      <c r="AT266" s="311">
        <f>$AL$271</f>
        <v>0</v>
      </c>
      <c r="AU266" s="311">
        <f>$AL$271</f>
        <v>0</v>
      </c>
      <c r="AV266" s="296" t="n"/>
      <c r="AW266" s="311">
        <f>$AL$271</f>
        <v>0</v>
      </c>
      <c r="AX266" s="311">
        <f>$AL$271</f>
        <v>0</v>
      </c>
      <c r="AY266" s="311">
        <f>$AL$271</f>
        <v>0</v>
      </c>
      <c r="AZ266" s="311">
        <f>$AL$271</f>
        <v>0</v>
      </c>
      <c r="BA266" s="296" t="n"/>
      <c r="BB266" s="311">
        <f>$AL$271</f>
        <v>0</v>
      </c>
      <c r="BC266" s="311">
        <f>$AL$271</f>
        <v>0</v>
      </c>
      <c r="BD266" s="311">
        <f>$AL$271</f>
        <v>0</v>
      </c>
      <c r="BE266" s="311">
        <f>$AL$271</f>
        <v>0</v>
      </c>
      <c r="BF266" s="296" t="n"/>
      <c r="BG266" s="311">
        <f>$AL$271</f>
        <v>0</v>
      </c>
      <c r="BH266" s="311">
        <f>$AL$271</f>
        <v>0</v>
      </c>
      <c r="BI266" s="311">
        <f>$AL$271</f>
        <v>0</v>
      </c>
      <c r="BJ266" s="311">
        <f>$AL$271</f>
        <v>0</v>
      </c>
      <c r="BK266" s="296" t="n"/>
      <c r="BL266" s="311">
        <f>$AL$271</f>
        <v>0</v>
      </c>
      <c r="BM266" s="311">
        <f>$AL$271</f>
        <v>0</v>
      </c>
      <c r="BN266" s="311">
        <f>$AL$271</f>
        <v>0</v>
      </c>
      <c r="BO266" s="311">
        <f>$AL$271</f>
        <v>0</v>
      </c>
      <c r="BP266" s="296" t="n"/>
      <c r="BQ266" s="311">
        <f>$AL$271</f>
        <v>0</v>
      </c>
      <c r="BR266" s="311">
        <f>$AL$271</f>
        <v>0</v>
      </c>
      <c r="BS266" s="311">
        <f>$AL$271</f>
        <v>0</v>
      </c>
      <c r="BT266" s="311">
        <f>$AL$271</f>
        <v>0</v>
      </c>
      <c r="BU266" s="296" t="n"/>
      <c r="BV266" s="311">
        <f>$AL$271</f>
        <v>0</v>
      </c>
      <c r="BW266" s="311">
        <f>$AL$271</f>
        <v>0</v>
      </c>
      <c r="BX266" s="311">
        <f>$AL$271</f>
        <v>0</v>
      </c>
      <c r="BY266" s="311">
        <f>$AL$271</f>
        <v>0</v>
      </c>
      <c r="BZ266" s="296" t="n"/>
      <c r="CA266" s="311">
        <f>$AL$271</f>
        <v>0</v>
      </c>
      <c r="CB266" s="311">
        <f>$AL$271</f>
        <v>0</v>
      </c>
      <c r="CC266" s="311">
        <f>$AL$271</f>
        <v>0</v>
      </c>
      <c r="CD266" s="311">
        <f>$AL$271</f>
        <v>0</v>
      </c>
      <c r="CE266" s="296" t="n"/>
      <c r="CF266" s="311">
        <f>$AL$271</f>
        <v>0</v>
      </c>
      <c r="CG266" s="311">
        <f>$AL$271</f>
        <v>0</v>
      </c>
      <c r="CH266" s="311">
        <f>$AL$271</f>
        <v>0</v>
      </c>
      <c r="CI266" s="311">
        <f>$AL$271</f>
        <v>0</v>
      </c>
      <c r="CJ266" s="296" t="n"/>
      <c r="CK266" s="311">
        <f>$AL$271</f>
        <v>0</v>
      </c>
      <c r="CL266" s="311">
        <f>$AL$271</f>
        <v>0</v>
      </c>
      <c r="CM266" s="311">
        <f>$AL$271</f>
        <v>0</v>
      </c>
      <c r="CN266" s="311">
        <f>$AL$271</f>
        <v>0</v>
      </c>
      <c r="CO266" s="296" t="n"/>
      <c r="CP266" s="311">
        <f>$AL$271</f>
        <v>0</v>
      </c>
      <c r="CQ266" s="311">
        <f>$AL$271</f>
        <v>0</v>
      </c>
      <c r="CR266" s="311">
        <f>$AL$271</f>
        <v>0</v>
      </c>
      <c r="CS266" s="311">
        <f>$AL$271</f>
        <v>0</v>
      </c>
      <c r="CT266" s="296" t="n"/>
      <c r="CU266" s="311">
        <f>$AL$271</f>
        <v>0</v>
      </c>
      <c r="CV266" s="311">
        <f>$AL$271</f>
        <v>0</v>
      </c>
      <c r="CW266" s="311">
        <f>$AL$271</f>
        <v>0</v>
      </c>
      <c r="CX266" s="311">
        <f>$AL$271</f>
        <v>0</v>
      </c>
      <c r="CY266" s="296" t="n"/>
    </row>
    <row r="267" hidden="1" outlineLevel="1" ht="12.75" customFormat="1" customHeight="1" s="320">
      <c r="A267" s="291" t="n"/>
      <c r="B267" s="291" t="n"/>
      <c r="C267" s="321" t="n"/>
      <c r="D267" s="296" t="n"/>
      <c r="E267" s="296" t="n"/>
      <c r="F267" s="296" t="n"/>
      <c r="G267" s="296" t="n"/>
      <c r="H267" s="296" t="n"/>
      <c r="I267" s="296" t="n"/>
      <c r="J267" s="296" t="n"/>
      <c r="K267" s="296" t="n"/>
      <c r="L267" s="296" t="n"/>
      <c r="M267" s="296" t="n"/>
      <c r="N267" s="296" t="n"/>
      <c r="O267" s="296" t="n"/>
      <c r="P267" s="296" t="n"/>
      <c r="Q267" s="296" t="n"/>
      <c r="R267" s="296" t="n"/>
      <c r="S267" s="296" t="n"/>
      <c r="T267" s="296" t="n"/>
      <c r="U267" s="296" t="n"/>
      <c r="V267" s="296" t="n"/>
      <c r="W267" s="296" t="n"/>
      <c r="X267" s="296" t="n"/>
      <c r="Y267" s="296" t="n"/>
      <c r="Z267" s="296" t="n"/>
      <c r="AA267" s="296" t="n"/>
      <c r="AB267" s="296" t="n"/>
      <c r="AC267" s="296" t="n"/>
      <c r="AD267" s="296" t="n"/>
      <c r="AE267" s="296" t="n"/>
      <c r="AF267" s="296" t="n"/>
      <c r="AG267" s="296" t="n"/>
      <c r="AH267" s="266" t="n"/>
      <c r="AI267" s="266" t="n"/>
      <c r="AJ267" s="266" t="n"/>
      <c r="AK267" s="266" t="n"/>
      <c r="AL267" s="296" t="n"/>
      <c r="AM267" s="266" t="n"/>
      <c r="AN267" s="266" t="n"/>
      <c r="AO267" s="266" t="n"/>
      <c r="AP267" s="266" t="n"/>
      <c r="AQ267" s="296" t="n"/>
      <c r="AR267" s="266" t="n"/>
      <c r="AS267" s="266" t="n"/>
      <c r="AT267" s="266" t="n"/>
      <c r="AU267" s="266" t="n"/>
      <c r="AV267" s="296" t="n"/>
      <c r="AW267" s="266" t="n"/>
      <c r="AX267" s="266" t="n"/>
      <c r="AY267" s="266" t="n"/>
      <c r="AZ267" s="266" t="n"/>
      <c r="BA267" s="296" t="n"/>
      <c r="BB267" s="266" t="n"/>
      <c r="BC267" s="266" t="n"/>
      <c r="BD267" s="266" t="n"/>
      <c r="BE267" s="266" t="n"/>
      <c r="BF267" s="296" t="n"/>
      <c r="BG267" s="266" t="n"/>
      <c r="BH267" s="266" t="n"/>
      <c r="BI267" s="266" t="n"/>
      <c r="BJ267" s="266" t="n"/>
      <c r="BK267" s="296" t="n"/>
      <c r="BL267" s="266" t="n"/>
      <c r="BM267" s="266" t="n"/>
      <c r="BN267" s="266" t="n"/>
      <c r="BO267" s="266" t="n"/>
      <c r="BP267" s="296" t="n"/>
      <c r="BQ267" s="266" t="n"/>
      <c r="BR267" s="266" t="n"/>
      <c r="BS267" s="266" t="n"/>
      <c r="BT267" s="266" t="n"/>
      <c r="BU267" s="296" t="n"/>
      <c r="BV267" s="266" t="n"/>
      <c r="BW267" s="266" t="n"/>
      <c r="BX267" s="266" t="n"/>
      <c r="BY267" s="266" t="n"/>
      <c r="BZ267" s="296" t="n"/>
      <c r="CA267" s="266" t="n"/>
      <c r="CB267" s="266" t="n"/>
      <c r="CC267" s="266" t="n"/>
      <c r="CD267" s="266" t="n"/>
      <c r="CE267" s="296" t="n"/>
      <c r="CF267" s="266" t="n"/>
      <c r="CG267" s="266" t="n"/>
      <c r="CH267" s="266" t="n"/>
      <c r="CI267" s="266" t="n"/>
      <c r="CJ267" s="296" t="n"/>
      <c r="CK267" s="266" t="n"/>
      <c r="CL267" s="266" t="n"/>
      <c r="CM267" s="266" t="n"/>
      <c r="CN267" s="266" t="n"/>
      <c r="CO267" s="296" t="n"/>
      <c r="CP267" s="266" t="n"/>
      <c r="CQ267" s="266" t="n"/>
      <c r="CR267" s="266" t="n"/>
      <c r="CS267" s="266" t="n"/>
      <c r="CT267" s="296" t="n"/>
      <c r="CU267" s="266" t="n"/>
      <c r="CV267" s="266" t="n"/>
      <c r="CW267" s="266" t="n"/>
      <c r="CX267" s="266" t="n"/>
      <c r="CY267" s="296" t="n"/>
    </row>
    <row r="268" hidden="1" outlineLevel="1" ht="12.75" customFormat="1" customHeight="1" s="320">
      <c r="A268" s="291" t="n"/>
      <c r="B268" s="291" t="n"/>
      <c r="C268" s="321" t="inlineStr">
        <is>
          <t>Shares repurchased</t>
        </is>
      </c>
      <c r="D268" s="296" t="n"/>
      <c r="E268" s="296" t="n"/>
      <c r="F268" s="296" t="n"/>
      <c r="G268" s="296" t="n"/>
      <c r="H268" s="296" t="n"/>
      <c r="I268" s="296" t="n"/>
      <c r="J268" s="296" t="n"/>
      <c r="K268" s="296" t="n"/>
      <c r="L268" s="296" t="n"/>
      <c r="M268" s="296" t="n"/>
      <c r="N268" s="296" t="n"/>
      <c r="O268" s="296" t="n"/>
      <c r="P268" s="296" t="n"/>
      <c r="Q268" s="296" t="n"/>
      <c r="R268" s="296" t="n"/>
      <c r="S268" s="296" t="n"/>
      <c r="T268" s="296" t="n"/>
      <c r="U268" s="296" t="n"/>
      <c r="V268" s="296" t="n"/>
      <c r="W268" s="296" t="n"/>
      <c r="X268" s="296" t="n"/>
      <c r="Y268" s="296" t="n"/>
      <c r="Z268" s="296" t="n"/>
      <c r="AA268" s="296" t="n"/>
      <c r="AB268" s="296" t="n"/>
      <c r="AC268" s="296" t="n"/>
      <c r="AD268" s="296" t="n"/>
      <c r="AE268" s="296" t="n"/>
      <c r="AF268" s="296" t="n"/>
      <c r="AG268" s="296" t="n"/>
      <c r="AH268" s="324" t="n"/>
      <c r="AI268" s="324" t="n"/>
      <c r="AJ268" s="324" t="e">
        <f>-AJ263/AJ265</f>
        <v>#DIV/0!</v>
      </c>
      <c r="AK268" s="324" t="e">
        <f>-AK263/AK265</f>
        <v>#DIV/0!</v>
      </c>
      <c r="AL268" s="296" t="n"/>
      <c r="AM268" s="324" t="e">
        <f>-AM263/AM265</f>
        <v>#DIV/0!</v>
      </c>
      <c r="AN268" s="324" t="e">
        <f>-AN263/AN265</f>
        <v>#DIV/0!</v>
      </c>
      <c r="AO268" s="324" t="e">
        <f>-AO263/AO265</f>
        <v>#DIV/0!</v>
      </c>
      <c r="AP268" s="324" t="e">
        <f>-AP263/AP265</f>
        <v>#DIV/0!</v>
      </c>
      <c r="AQ268" s="296" t="n"/>
      <c r="AR268" s="324" t="e">
        <f>-AR263/AR265</f>
        <v>#DIV/0!</v>
      </c>
      <c r="AS268" s="324" t="e">
        <f>-AS263/AS265</f>
        <v>#DIV/0!</v>
      </c>
      <c r="AT268" s="324" t="e">
        <f>-AT263/AT265</f>
        <v>#DIV/0!</v>
      </c>
      <c r="AU268" s="324" t="e">
        <f>-AU263/AU265</f>
        <v>#DIV/0!</v>
      </c>
      <c r="AV268" s="296" t="n"/>
      <c r="AW268" s="324" t="e">
        <f>-AW263/AW265</f>
        <v>#DIV/0!</v>
      </c>
      <c r="AX268" s="324" t="e">
        <f>-AX263/AX265</f>
        <v>#DIV/0!</v>
      </c>
      <c r="AY268" s="324" t="e">
        <f>-AY263/AY265</f>
        <v>#DIV/0!</v>
      </c>
      <c r="AZ268" s="324" t="e">
        <f>-AZ263/AZ265</f>
        <v>#DIV/0!</v>
      </c>
      <c r="BA268" s="296" t="n"/>
      <c r="BB268" s="324" t="e">
        <f>-BB263/BB265</f>
        <v>#DIV/0!</v>
      </c>
      <c r="BC268" s="324" t="e">
        <f>-BC263/BC265</f>
        <v>#DIV/0!</v>
      </c>
      <c r="BD268" s="324" t="e">
        <f>-BD263/BD265</f>
        <v>#DIV/0!</v>
      </c>
      <c r="BE268" s="324" t="e">
        <f>-BE263/BE265</f>
        <v>#DIV/0!</v>
      </c>
      <c r="BF268" s="296" t="n"/>
      <c r="BG268" s="324" t="e">
        <f>-BG263/BG265</f>
        <v>#DIV/0!</v>
      </c>
      <c r="BH268" s="324" t="e">
        <f>-BH263/BH265</f>
        <v>#DIV/0!</v>
      </c>
      <c r="BI268" s="324" t="e">
        <f>-BI263/BI265</f>
        <v>#DIV/0!</v>
      </c>
      <c r="BJ268" s="324" t="e">
        <f>-BJ263/BJ265</f>
        <v>#DIV/0!</v>
      </c>
      <c r="BK268" s="296" t="n"/>
      <c r="BL268" s="324" t="e">
        <f>-BL263/BL265</f>
        <v>#DIV/0!</v>
      </c>
      <c r="BM268" s="324" t="e">
        <f>-BM263/BM265</f>
        <v>#DIV/0!</v>
      </c>
      <c r="BN268" s="324" t="e">
        <f>-BN263/BN265</f>
        <v>#DIV/0!</v>
      </c>
      <c r="BO268" s="324" t="e">
        <f>-BO263/BO265</f>
        <v>#DIV/0!</v>
      </c>
      <c r="BP268" s="296" t="n"/>
      <c r="BQ268" s="324" t="e">
        <f>-BQ263/BQ265</f>
        <v>#DIV/0!</v>
      </c>
      <c r="BR268" s="324" t="e">
        <f>-BR263/BR265</f>
        <v>#DIV/0!</v>
      </c>
      <c r="BS268" s="324" t="e">
        <f>-BS263/BS265</f>
        <v>#DIV/0!</v>
      </c>
      <c r="BT268" s="324" t="e">
        <f>-BT263/BT265</f>
        <v>#DIV/0!</v>
      </c>
      <c r="BU268" s="296" t="n"/>
      <c r="BV268" s="324" t="e">
        <f>-BV263/BV265</f>
        <v>#DIV/0!</v>
      </c>
      <c r="BW268" s="324" t="e">
        <f>-BW263/BW265</f>
        <v>#DIV/0!</v>
      </c>
      <c r="BX268" s="324" t="e">
        <f>-BX263/BX265</f>
        <v>#DIV/0!</v>
      </c>
      <c r="BY268" s="324" t="e">
        <f>-BY263/BY265</f>
        <v>#DIV/0!</v>
      </c>
      <c r="BZ268" s="296" t="n"/>
      <c r="CA268" s="324" t="e">
        <f>-CA263/CA265</f>
        <v>#DIV/0!</v>
      </c>
      <c r="CB268" s="324" t="e">
        <f>-CB263/CB265</f>
        <v>#DIV/0!</v>
      </c>
      <c r="CC268" s="324" t="e">
        <f>-CC263/CC265</f>
        <v>#DIV/0!</v>
      </c>
      <c r="CD268" s="324" t="e">
        <f>-CD263/CD265</f>
        <v>#DIV/0!</v>
      </c>
      <c r="CE268" s="296" t="n"/>
      <c r="CF268" s="324" t="e">
        <f>-CF263/CF265</f>
        <v>#DIV/0!</v>
      </c>
      <c r="CG268" s="324" t="e">
        <f>-CG263/CG265</f>
        <v>#DIV/0!</v>
      </c>
      <c r="CH268" s="324" t="e">
        <f>-CH263/CH265</f>
        <v>#DIV/0!</v>
      </c>
      <c r="CI268" s="324" t="e">
        <f>-CI263/CI265</f>
        <v>#DIV/0!</v>
      </c>
      <c r="CJ268" s="296" t="n"/>
      <c r="CK268" s="324" t="e">
        <f>-CK263/CK265</f>
        <v>#DIV/0!</v>
      </c>
      <c r="CL268" s="324" t="e">
        <f>-CL263/CL265</f>
        <v>#DIV/0!</v>
      </c>
      <c r="CM268" s="324" t="e">
        <f>-CM263/CM265</f>
        <v>#DIV/0!</v>
      </c>
      <c r="CN268" s="324" t="e">
        <f>-CN263/CN265</f>
        <v>#DIV/0!</v>
      </c>
      <c r="CO268" s="296" t="n"/>
      <c r="CP268" s="324" t="e">
        <f>-CP263/CP265</f>
        <v>#DIV/0!</v>
      </c>
      <c r="CQ268" s="324" t="e">
        <f>-CQ263/CQ265</f>
        <v>#DIV/0!</v>
      </c>
      <c r="CR268" s="324" t="e">
        <f>-CR263/CR265</f>
        <v>#DIV/0!</v>
      </c>
      <c r="CS268" s="324" t="e">
        <f>-CS263/CS265</f>
        <v>#DIV/0!</v>
      </c>
      <c r="CT268" s="296" t="n"/>
      <c r="CU268" s="324" t="e">
        <f>-CU263/CU265</f>
        <v>#DIV/0!</v>
      </c>
      <c r="CV268" s="324" t="e">
        <f>-CV263/CV265</f>
        <v>#DIV/0!</v>
      </c>
      <c r="CW268" s="324" t="e">
        <f>-CW263/CW265</f>
        <v>#DIV/0!</v>
      </c>
      <c r="CX268" s="324" t="e">
        <f>-CX263/CX265</f>
        <v>#DIV/0!</v>
      </c>
      <c r="CY268" s="296" t="n"/>
    </row>
    <row r="269" hidden="1" outlineLevel="1" ht="12.75" customFormat="1" customHeight="1" s="320">
      <c r="A269" s="291" t="n"/>
      <c r="B269" s="291" t="n"/>
      <c r="C269" s="321" t="inlineStr">
        <is>
          <t>Shares issued</t>
        </is>
      </c>
      <c r="D269" s="296" t="n"/>
      <c r="E269" s="296" t="n"/>
      <c r="F269" s="296" t="n"/>
      <c r="G269" s="296" t="n"/>
      <c r="H269" s="296" t="n"/>
      <c r="I269" s="296" t="n"/>
      <c r="J269" s="296" t="n"/>
      <c r="K269" s="296" t="n"/>
      <c r="L269" s="296" t="n"/>
      <c r="M269" s="296" t="n"/>
      <c r="N269" s="296" t="n"/>
      <c r="O269" s="296" t="n"/>
      <c r="P269" s="296" t="n"/>
      <c r="Q269" s="296" t="n"/>
      <c r="R269" s="296" t="n"/>
      <c r="S269" s="296" t="n"/>
      <c r="T269" s="296" t="n"/>
      <c r="U269" s="296" t="n"/>
      <c r="V269" s="296" t="n"/>
      <c r="W269" s="296" t="n"/>
      <c r="X269" s="296" t="n"/>
      <c r="Y269" s="296" t="n"/>
      <c r="Z269" s="296" t="n"/>
      <c r="AA269" s="296" t="n"/>
      <c r="AB269" s="296" t="n"/>
      <c r="AC269" s="296" t="n"/>
      <c r="AD269" s="296" t="n"/>
      <c r="AE269" s="296" t="n"/>
      <c r="AF269" s="263" t="n"/>
      <c r="AG269" s="296" t="n"/>
      <c r="AH269" s="324" t="n"/>
      <c r="AI269" s="324" t="n"/>
      <c r="AJ269" s="324" t="e">
        <f>AJ264/AJ265</f>
        <v>#DIV/0!</v>
      </c>
      <c r="AK269" s="324" t="e">
        <f>AK264/AK265</f>
        <v>#DIV/0!</v>
      </c>
      <c r="AL269" s="296" t="n"/>
      <c r="AM269" s="324" t="e">
        <f>AM264/AM265</f>
        <v>#DIV/0!</v>
      </c>
      <c r="AN269" s="324" t="e">
        <f>AN264/AN265</f>
        <v>#DIV/0!</v>
      </c>
      <c r="AO269" s="324" t="e">
        <f>AO264/AO265</f>
        <v>#DIV/0!</v>
      </c>
      <c r="AP269" s="324" t="e">
        <f>AP264/AP265</f>
        <v>#DIV/0!</v>
      </c>
      <c r="AQ269" s="296" t="n"/>
      <c r="AR269" s="324" t="e">
        <f>AR264/AR265</f>
        <v>#DIV/0!</v>
      </c>
      <c r="AS269" s="324" t="e">
        <f>AS264/AS265</f>
        <v>#DIV/0!</v>
      </c>
      <c r="AT269" s="324" t="e">
        <f>AT264/AT265</f>
        <v>#DIV/0!</v>
      </c>
      <c r="AU269" s="324" t="e">
        <f>AU264/AU265</f>
        <v>#DIV/0!</v>
      </c>
      <c r="AV269" s="296" t="n"/>
      <c r="AW269" s="324" t="e">
        <f>AW264/AW265</f>
        <v>#DIV/0!</v>
      </c>
      <c r="AX269" s="324" t="e">
        <f>AX264/AX265</f>
        <v>#DIV/0!</v>
      </c>
      <c r="AY269" s="324" t="e">
        <f>AY264/AY265</f>
        <v>#DIV/0!</v>
      </c>
      <c r="AZ269" s="324" t="e">
        <f>AZ264/AZ265</f>
        <v>#DIV/0!</v>
      </c>
      <c r="BA269" s="296" t="n"/>
      <c r="BB269" s="324" t="e">
        <f>BB264/BB265</f>
        <v>#DIV/0!</v>
      </c>
      <c r="BC269" s="324" t="e">
        <f>BC264/BC265</f>
        <v>#DIV/0!</v>
      </c>
      <c r="BD269" s="324" t="e">
        <f>BD264/BD265</f>
        <v>#DIV/0!</v>
      </c>
      <c r="BE269" s="324" t="e">
        <f>BE264/BE265</f>
        <v>#DIV/0!</v>
      </c>
      <c r="BF269" s="296" t="n"/>
      <c r="BG269" s="324" t="e">
        <f>BG264/BG265</f>
        <v>#DIV/0!</v>
      </c>
      <c r="BH269" s="324" t="e">
        <f>BH264/BH265</f>
        <v>#DIV/0!</v>
      </c>
      <c r="BI269" s="324" t="e">
        <f>BI264/BI265</f>
        <v>#DIV/0!</v>
      </c>
      <c r="BJ269" s="324" t="e">
        <f>BJ264/BJ265</f>
        <v>#DIV/0!</v>
      </c>
      <c r="BK269" s="296" t="n"/>
      <c r="BL269" s="324" t="e">
        <f>BL264/BL265</f>
        <v>#DIV/0!</v>
      </c>
      <c r="BM269" s="324" t="e">
        <f>BM264/BM265</f>
        <v>#DIV/0!</v>
      </c>
      <c r="BN269" s="324" t="e">
        <f>BN264/BN265</f>
        <v>#DIV/0!</v>
      </c>
      <c r="BO269" s="324" t="e">
        <f>BO264/BO265</f>
        <v>#DIV/0!</v>
      </c>
      <c r="BP269" s="296" t="n"/>
      <c r="BQ269" s="324" t="e">
        <f>BQ264/BQ265</f>
        <v>#DIV/0!</v>
      </c>
      <c r="BR269" s="324" t="e">
        <f>BR264/BR265</f>
        <v>#DIV/0!</v>
      </c>
      <c r="BS269" s="324" t="e">
        <f>BS264/BS265</f>
        <v>#DIV/0!</v>
      </c>
      <c r="BT269" s="324" t="e">
        <f>BT264/BT265</f>
        <v>#DIV/0!</v>
      </c>
      <c r="BU269" s="296" t="n"/>
      <c r="BV269" s="324" t="e">
        <f>BV264/BV265</f>
        <v>#DIV/0!</v>
      </c>
      <c r="BW269" s="324" t="e">
        <f>BW264/BW265</f>
        <v>#DIV/0!</v>
      </c>
      <c r="BX269" s="324" t="e">
        <f>BX264/BX265</f>
        <v>#DIV/0!</v>
      </c>
      <c r="BY269" s="324" t="e">
        <f>BY264/BY265</f>
        <v>#DIV/0!</v>
      </c>
      <c r="BZ269" s="296" t="n"/>
      <c r="CA269" s="324" t="e">
        <f>CA264/CA265</f>
        <v>#DIV/0!</v>
      </c>
      <c r="CB269" s="324" t="e">
        <f>CB264/CB265</f>
        <v>#DIV/0!</v>
      </c>
      <c r="CC269" s="324" t="e">
        <f>CC264/CC265</f>
        <v>#DIV/0!</v>
      </c>
      <c r="CD269" s="324" t="e">
        <f>CD264/CD265</f>
        <v>#DIV/0!</v>
      </c>
      <c r="CE269" s="296" t="n"/>
      <c r="CF269" s="324" t="e">
        <f>CF264/CF265</f>
        <v>#DIV/0!</v>
      </c>
      <c r="CG269" s="324" t="e">
        <f>CG264/CG265</f>
        <v>#DIV/0!</v>
      </c>
      <c r="CH269" s="324" t="e">
        <f>CH264/CH265</f>
        <v>#DIV/0!</v>
      </c>
      <c r="CI269" s="324" t="e">
        <f>CI264/CI265</f>
        <v>#DIV/0!</v>
      </c>
      <c r="CJ269" s="296" t="n"/>
      <c r="CK269" s="324" t="e">
        <f>CK264/CK265</f>
        <v>#DIV/0!</v>
      </c>
      <c r="CL269" s="324" t="e">
        <f>CL264/CL265</f>
        <v>#DIV/0!</v>
      </c>
      <c r="CM269" s="324" t="e">
        <f>CM264/CM265</f>
        <v>#DIV/0!</v>
      </c>
      <c r="CN269" s="324" t="e">
        <f>CN264/CN265</f>
        <v>#DIV/0!</v>
      </c>
      <c r="CO269" s="296" t="n"/>
      <c r="CP269" s="324" t="e">
        <f>CP264/CP265</f>
        <v>#DIV/0!</v>
      </c>
      <c r="CQ269" s="324" t="e">
        <f>CQ264/CQ265</f>
        <v>#DIV/0!</v>
      </c>
      <c r="CR269" s="324" t="e">
        <f>CR264/CR265</f>
        <v>#DIV/0!</v>
      </c>
      <c r="CS269" s="324" t="e">
        <f>CS264/CS265</f>
        <v>#DIV/0!</v>
      </c>
      <c r="CT269" s="296" t="n"/>
      <c r="CU269" s="324" t="e">
        <f>CU264/CU265</f>
        <v>#DIV/0!</v>
      </c>
      <c r="CV269" s="324" t="e">
        <f>CV264/CV265</f>
        <v>#DIV/0!</v>
      </c>
      <c r="CW269" s="324" t="e">
        <f>CW264/CW265</f>
        <v>#DIV/0!</v>
      </c>
      <c r="CX269" s="324" t="e">
        <f>CX264/CX265</f>
        <v>#DIV/0!</v>
      </c>
      <c r="CY269" s="296" t="n"/>
    </row>
    <row r="270" hidden="1" outlineLevel="1" ht="12.75" customFormat="1" customHeight="1" s="320">
      <c r="A270" s="291" t="n"/>
      <c r="B270" s="291" t="n"/>
      <c r="C270" s="321" t="inlineStr">
        <is>
          <t>End of period basic shares outstanding</t>
        </is>
      </c>
      <c r="D270" s="296" t="n"/>
      <c r="E270" s="296" t="n"/>
      <c r="F270" s="296" t="n"/>
      <c r="G270" s="296" t="n"/>
      <c r="H270" s="296" t="n"/>
      <c r="I270" s="296" t="n"/>
      <c r="J270" s="296" t="n"/>
      <c r="K270" s="296" t="n"/>
      <c r="L270" s="296" t="n"/>
      <c r="M270" s="296" t="n"/>
      <c r="N270" s="296" t="n"/>
      <c r="O270" s="296" t="n"/>
      <c r="P270" s="296" t="n"/>
      <c r="Q270" s="296" t="n"/>
      <c r="R270" s="296" t="n"/>
      <c r="S270" s="296" t="n"/>
      <c r="T270" s="296" t="n"/>
      <c r="U270" s="296" t="n"/>
      <c r="V270" s="296" t="n"/>
      <c r="W270" s="296" t="n"/>
      <c r="X270" s="296" t="n"/>
      <c r="Y270" s="296" t="n"/>
      <c r="Z270" s="296" t="n"/>
      <c r="AA270" s="296" t="n"/>
      <c r="AB270" s="296" t="n"/>
      <c r="AC270" s="296" t="n"/>
      <c r="AD270" s="296" t="n"/>
      <c r="AE270" s="296" t="n"/>
      <c r="AF270" s="296" t="n"/>
      <c r="AG270" s="322" t="n"/>
      <c r="AH270" s="257">
        <f>AG270+AH269-AH268</f>
        <v>0</v>
      </c>
      <c r="AI270" s="257">
        <f>AH270+AI269-AI268</f>
        <v>0</v>
      </c>
      <c r="AJ270" s="324" t="e">
        <f>AI270+AJ269-AJ268</f>
        <v>#DIV/0!</v>
      </c>
      <c r="AK270" s="324" t="e">
        <f>AJ270+AK269-AK268</f>
        <v>#DIV/0!</v>
      </c>
      <c r="AL270" s="296" t="n"/>
      <c r="AM270" s="257" t="e">
        <f>AK270+AM269-AM268</f>
        <v>#DIV/0!</v>
      </c>
      <c r="AN270" s="257" t="e">
        <f>AM270+AN269-AN268</f>
        <v>#DIV/0!</v>
      </c>
      <c r="AO270" s="324" t="e">
        <f>AN270+AO269-AO268</f>
        <v>#DIV/0!</v>
      </c>
      <c r="AP270" s="324" t="e">
        <f>AO270+AP269-AP268</f>
        <v>#DIV/0!</v>
      </c>
      <c r="AQ270" s="296" t="n"/>
      <c r="AR270" s="257" t="e">
        <f>AP270+AR269-AR268</f>
        <v>#DIV/0!</v>
      </c>
      <c r="AS270" s="257" t="e">
        <f>AR270+AS269-AS268</f>
        <v>#DIV/0!</v>
      </c>
      <c r="AT270" s="324" t="e">
        <f>AS270+AT269-AT268</f>
        <v>#DIV/0!</v>
      </c>
      <c r="AU270" s="324" t="e">
        <f>AT270+AU269-AU268</f>
        <v>#DIV/0!</v>
      </c>
      <c r="AV270" s="296" t="n"/>
      <c r="AW270" s="257" t="e">
        <f>AU270+AW269-AW268</f>
        <v>#DIV/0!</v>
      </c>
      <c r="AX270" s="257" t="e">
        <f>AW270+AX269-AX268</f>
        <v>#DIV/0!</v>
      </c>
      <c r="AY270" s="324" t="e">
        <f>AX270+AY269-AY268</f>
        <v>#DIV/0!</v>
      </c>
      <c r="AZ270" s="324" t="e">
        <f>AY270+AZ269-AZ268</f>
        <v>#DIV/0!</v>
      </c>
      <c r="BA270" s="296" t="n"/>
      <c r="BB270" s="257" t="e">
        <f>AZ270+BB269-BB268</f>
        <v>#DIV/0!</v>
      </c>
      <c r="BC270" s="257" t="e">
        <f>BB270+BC269-BC268</f>
        <v>#DIV/0!</v>
      </c>
      <c r="BD270" s="324" t="e">
        <f>BC270+BD269-BD268</f>
        <v>#DIV/0!</v>
      </c>
      <c r="BE270" s="324" t="e">
        <f>BD270+BE269-BE268</f>
        <v>#DIV/0!</v>
      </c>
      <c r="BF270" s="296" t="n"/>
      <c r="BG270" s="257" t="e">
        <f>BE270+BG269-BG268</f>
        <v>#DIV/0!</v>
      </c>
      <c r="BH270" s="257" t="e">
        <f>BG270+BH269-BH268</f>
        <v>#DIV/0!</v>
      </c>
      <c r="BI270" s="324" t="e">
        <f>BH270+BI269-BI268</f>
        <v>#DIV/0!</v>
      </c>
      <c r="BJ270" s="324" t="e">
        <f>BI270+BJ269-BJ268</f>
        <v>#DIV/0!</v>
      </c>
      <c r="BK270" s="296" t="n"/>
      <c r="BL270" s="257" t="e">
        <f>BJ270+BL269-BL268</f>
        <v>#DIV/0!</v>
      </c>
      <c r="BM270" s="257" t="e">
        <f>BL270+BM269-BM268</f>
        <v>#DIV/0!</v>
      </c>
      <c r="BN270" s="324" t="e">
        <f>BM270+BN269-BN268</f>
        <v>#DIV/0!</v>
      </c>
      <c r="BO270" s="324" t="e">
        <f>BN270+BO269-BO268</f>
        <v>#DIV/0!</v>
      </c>
      <c r="BP270" s="296" t="n"/>
      <c r="BQ270" s="257" t="e">
        <f>BO270+BQ269-BQ268</f>
        <v>#DIV/0!</v>
      </c>
      <c r="BR270" s="257" t="e">
        <f>BQ270+BR269-BR268</f>
        <v>#DIV/0!</v>
      </c>
      <c r="BS270" s="324" t="e">
        <f>BR270+BS269-BS268</f>
        <v>#DIV/0!</v>
      </c>
      <c r="BT270" s="324" t="e">
        <f>BS270+BT269-BT268</f>
        <v>#DIV/0!</v>
      </c>
      <c r="BU270" s="296" t="n"/>
      <c r="BV270" s="257" t="e">
        <f>BT270+BV269-BV268</f>
        <v>#DIV/0!</v>
      </c>
      <c r="BW270" s="257" t="e">
        <f>BV270+BW269-BW268</f>
        <v>#DIV/0!</v>
      </c>
      <c r="BX270" s="324" t="e">
        <f>BW270+BX269-BX268</f>
        <v>#DIV/0!</v>
      </c>
      <c r="BY270" s="324" t="e">
        <f>BX270+BY269-BY268</f>
        <v>#DIV/0!</v>
      </c>
      <c r="BZ270" s="296" t="n"/>
      <c r="CA270" s="257" t="e">
        <f>BY270+CA269-CA268</f>
        <v>#DIV/0!</v>
      </c>
      <c r="CB270" s="257" t="e">
        <f>CA270+CB269-CB268</f>
        <v>#DIV/0!</v>
      </c>
      <c r="CC270" s="324" t="e">
        <f>CB270+CC269-CC268</f>
        <v>#DIV/0!</v>
      </c>
      <c r="CD270" s="324" t="e">
        <f>CC270+CD269-CD268</f>
        <v>#DIV/0!</v>
      </c>
      <c r="CE270" s="296" t="n"/>
      <c r="CF270" s="257" t="e">
        <f>CD270+CF269-CF268</f>
        <v>#DIV/0!</v>
      </c>
      <c r="CG270" s="257" t="e">
        <f>CF270+CG269-CG268</f>
        <v>#DIV/0!</v>
      </c>
      <c r="CH270" s="324" t="e">
        <f>CG270+CH269-CH268</f>
        <v>#DIV/0!</v>
      </c>
      <c r="CI270" s="324" t="e">
        <f>CH270+CI269-CI268</f>
        <v>#DIV/0!</v>
      </c>
      <c r="CJ270" s="296" t="n"/>
      <c r="CK270" s="257" t="e">
        <f>CI270+CK269-CK268</f>
        <v>#DIV/0!</v>
      </c>
      <c r="CL270" s="257" t="e">
        <f>CK270+CL269-CL268</f>
        <v>#DIV/0!</v>
      </c>
      <c r="CM270" s="324" t="e">
        <f>CL270+CM269-CM268</f>
        <v>#DIV/0!</v>
      </c>
      <c r="CN270" s="324" t="e">
        <f>CM270+CN269-CN268</f>
        <v>#DIV/0!</v>
      </c>
      <c r="CO270" s="296" t="n"/>
      <c r="CP270" s="257" t="e">
        <f>CN270+CP269-CP268</f>
        <v>#DIV/0!</v>
      </c>
      <c r="CQ270" s="257" t="e">
        <f>CP270+CQ269-CQ268</f>
        <v>#DIV/0!</v>
      </c>
      <c r="CR270" s="324" t="e">
        <f>CQ270+CR269-CR268</f>
        <v>#DIV/0!</v>
      </c>
      <c r="CS270" s="324" t="e">
        <f>CR270+CS269-CS268</f>
        <v>#DIV/0!</v>
      </c>
      <c r="CT270" s="296" t="n"/>
      <c r="CU270" s="257" t="e">
        <f>CS270+CU269-CU268</f>
        <v>#DIV/0!</v>
      </c>
      <c r="CV270" s="257" t="e">
        <f>CU270+CV269-CV268</f>
        <v>#DIV/0!</v>
      </c>
      <c r="CW270" s="324" t="e">
        <f>CV270+CW269-CW268</f>
        <v>#DIV/0!</v>
      </c>
      <c r="CX270" s="324" t="e">
        <f>CW270+CX269-CX268</f>
        <v>#DIV/0!</v>
      </c>
      <c r="CY270" s="296" t="n"/>
      <c r="CZ270" s="320" t="e">
        <f>CX270+CZ269-CZ268</f>
        <v>#DIV/0!</v>
      </c>
      <c r="DA270" s="320" t="e">
        <f>CZ270+DA269-DA268</f>
        <v>#DIV/0!</v>
      </c>
      <c r="DB270" s="320" t="e">
        <f>DA270+DB269-DB268</f>
        <v>#DIV/0!</v>
      </c>
      <c r="DC270" s="320" t="e">
        <f>DB270+DC269-DC268</f>
        <v>#DIV/0!</v>
      </c>
    </row>
    <row r="271" hidden="1" outlineLevel="1" ht="12.75" customFormat="1" customHeight="1" s="320">
      <c r="A271" s="291" t="n"/>
      <c r="B271" s="291" t="n"/>
      <c r="C271" s="321" t="inlineStr">
        <is>
          <t>Weighted average basic shares outstanding</t>
        </is>
      </c>
      <c r="D271" s="296" t="n"/>
      <c r="E271" s="296" t="n"/>
      <c r="F271" s="296" t="n"/>
      <c r="G271" s="296" t="n"/>
      <c r="H271" s="296" t="n"/>
      <c r="I271" s="296" t="n"/>
      <c r="J271" s="296" t="n"/>
      <c r="K271" s="296" t="n"/>
      <c r="L271" s="296" t="n"/>
      <c r="M271" s="296" t="n"/>
      <c r="N271" s="296" t="n"/>
      <c r="O271" s="296" t="n"/>
      <c r="P271" s="296" t="n"/>
      <c r="Q271" s="296" t="n"/>
      <c r="R271" s="296" t="n"/>
      <c r="S271" s="296" t="n"/>
      <c r="T271" s="296" t="n"/>
      <c r="U271" s="296" t="n"/>
      <c r="V271" s="296" t="n"/>
      <c r="W271" s="296" t="n"/>
      <c r="X271" s="296" t="n"/>
      <c r="Y271" s="296" t="n"/>
      <c r="Z271" s="296" t="n"/>
      <c r="AA271" s="296" t="n"/>
      <c r="AB271" s="296" t="n"/>
      <c r="AC271" s="296" t="n"/>
      <c r="AD271" s="296" t="n"/>
      <c r="AE271" s="296" t="n"/>
      <c r="AF271" s="296" t="n"/>
      <c r="AG271" s="296" t="n"/>
      <c r="AH271" s="324">
        <f>AVERAGE(AG270,AH270)</f>
        <v>0</v>
      </c>
      <c r="AI271" s="324">
        <f>AVERAGE(AH270,AI270)</f>
        <v>0</v>
      </c>
      <c r="AJ271" s="324" t="e">
        <f>AVERAGE(AI270,AJ270)</f>
        <v>#DIV/0!</v>
      </c>
      <c r="AK271" s="324" t="e">
        <f>AVERAGE(AJ270,AK270)</f>
        <v>#DIV/0!</v>
      </c>
      <c r="AL271" s="296" t="n"/>
      <c r="AM271" s="324" t="e">
        <f>AVERAGE(AK270,AM270)</f>
        <v>#DIV/0!</v>
      </c>
      <c r="AN271" s="324" t="e">
        <f>AVERAGE(AM270,AN270)</f>
        <v>#DIV/0!</v>
      </c>
      <c r="AO271" s="324" t="e">
        <f>AVERAGE(AN270,AO270)</f>
        <v>#DIV/0!</v>
      </c>
      <c r="AP271" s="324" t="e">
        <f>AVERAGE(AO270,AP270)</f>
        <v>#DIV/0!</v>
      </c>
      <c r="AQ271" s="296" t="n"/>
      <c r="AR271" s="324" t="e">
        <f>AVERAGE(AP270,AR270)</f>
        <v>#DIV/0!</v>
      </c>
      <c r="AS271" s="324" t="e">
        <f>AVERAGE(AR270,AS270)</f>
        <v>#DIV/0!</v>
      </c>
      <c r="AT271" s="324" t="e">
        <f>AVERAGE(AS270,AT270)</f>
        <v>#DIV/0!</v>
      </c>
      <c r="AU271" s="324" t="e">
        <f>AVERAGE(AT270,AU270)</f>
        <v>#DIV/0!</v>
      </c>
      <c r="AV271" s="296" t="n"/>
      <c r="AW271" s="324" t="e">
        <f>AVERAGE(AU270,AW270)</f>
        <v>#DIV/0!</v>
      </c>
      <c r="AX271" s="324" t="e">
        <f>AVERAGE(AW270,AX270)</f>
        <v>#DIV/0!</v>
      </c>
      <c r="AY271" s="324" t="e">
        <f>AVERAGE(AX270,AY270)</f>
        <v>#DIV/0!</v>
      </c>
      <c r="AZ271" s="324" t="e">
        <f>AVERAGE(AY270,AZ270)</f>
        <v>#DIV/0!</v>
      </c>
      <c r="BA271" s="296" t="n"/>
      <c r="BB271" s="324" t="e">
        <f>AVERAGE(AZ270,BB270)</f>
        <v>#DIV/0!</v>
      </c>
      <c r="BC271" s="324" t="e">
        <f>AVERAGE(BB270,BC270)</f>
        <v>#DIV/0!</v>
      </c>
      <c r="BD271" s="324" t="e">
        <f>AVERAGE(BC270,BD270)</f>
        <v>#DIV/0!</v>
      </c>
      <c r="BE271" s="324" t="e">
        <f>AVERAGE(BD270,BE270)</f>
        <v>#DIV/0!</v>
      </c>
      <c r="BF271" s="296" t="n"/>
      <c r="BG271" s="324" t="e">
        <f>AVERAGE(BE270,BG270)</f>
        <v>#DIV/0!</v>
      </c>
      <c r="BH271" s="324" t="e">
        <f>AVERAGE(BG270,BH270)</f>
        <v>#DIV/0!</v>
      </c>
      <c r="BI271" s="324" t="e">
        <f>AVERAGE(BH270,BI270)</f>
        <v>#DIV/0!</v>
      </c>
      <c r="BJ271" s="324" t="e">
        <f>AVERAGE(BI270,BJ270)</f>
        <v>#DIV/0!</v>
      </c>
      <c r="BK271" s="296" t="n"/>
      <c r="BL271" s="324" t="e">
        <f>AVERAGE(BJ270,BL270)</f>
        <v>#DIV/0!</v>
      </c>
      <c r="BM271" s="324" t="e">
        <f>AVERAGE(BL270,BM270)</f>
        <v>#DIV/0!</v>
      </c>
      <c r="BN271" s="324" t="e">
        <f>AVERAGE(BM270,BN270)</f>
        <v>#DIV/0!</v>
      </c>
      <c r="BO271" s="324" t="e">
        <f>AVERAGE(BN270,BO270)</f>
        <v>#DIV/0!</v>
      </c>
      <c r="BP271" s="296" t="n"/>
      <c r="BQ271" s="324" t="e">
        <f>AVERAGE(BO270,BQ270)</f>
        <v>#DIV/0!</v>
      </c>
      <c r="BR271" s="324" t="e">
        <f>AVERAGE(BQ270,BR270)</f>
        <v>#DIV/0!</v>
      </c>
      <c r="BS271" s="324" t="e">
        <f>AVERAGE(BR270,BS270)</f>
        <v>#DIV/0!</v>
      </c>
      <c r="BT271" s="324" t="e">
        <f>AVERAGE(BS270,BT270)</f>
        <v>#DIV/0!</v>
      </c>
      <c r="BU271" s="296" t="n"/>
      <c r="BV271" s="324" t="e">
        <f>AVERAGE(BT270,BV270)</f>
        <v>#DIV/0!</v>
      </c>
      <c r="BW271" s="324" t="e">
        <f>AVERAGE(BV270,BW270)</f>
        <v>#DIV/0!</v>
      </c>
      <c r="BX271" s="324" t="e">
        <f>AVERAGE(BW270,BX270)</f>
        <v>#DIV/0!</v>
      </c>
      <c r="BY271" s="324" t="e">
        <f>AVERAGE(BX270,BY270)</f>
        <v>#DIV/0!</v>
      </c>
      <c r="BZ271" s="296" t="n"/>
      <c r="CA271" s="324" t="e">
        <f>AVERAGE(BY270,CA270)</f>
        <v>#DIV/0!</v>
      </c>
      <c r="CB271" s="324" t="e">
        <f>AVERAGE(CA270,CB270)</f>
        <v>#DIV/0!</v>
      </c>
      <c r="CC271" s="324" t="e">
        <f>AVERAGE(CB270,CC270)</f>
        <v>#DIV/0!</v>
      </c>
      <c r="CD271" s="324" t="e">
        <f>AVERAGE(CC270,CD270)</f>
        <v>#DIV/0!</v>
      </c>
      <c r="CE271" s="296" t="n"/>
      <c r="CF271" s="324" t="e">
        <f>AVERAGE(CD270,CF270)</f>
        <v>#DIV/0!</v>
      </c>
      <c r="CG271" s="324" t="e">
        <f>AVERAGE(CF270,CG270)</f>
        <v>#DIV/0!</v>
      </c>
      <c r="CH271" s="324" t="e">
        <f>AVERAGE(CG270,CH270)</f>
        <v>#DIV/0!</v>
      </c>
      <c r="CI271" s="324" t="e">
        <f>AVERAGE(CH270,CI270)</f>
        <v>#DIV/0!</v>
      </c>
      <c r="CJ271" s="296" t="n"/>
      <c r="CK271" s="324" t="e">
        <f>AVERAGE(CI270,CK270)</f>
        <v>#DIV/0!</v>
      </c>
      <c r="CL271" s="324" t="e">
        <f>AVERAGE(CK270,CL270)</f>
        <v>#DIV/0!</v>
      </c>
      <c r="CM271" s="324" t="e">
        <f>AVERAGE(CL270,CM270)</f>
        <v>#DIV/0!</v>
      </c>
      <c r="CN271" s="324" t="e">
        <f>AVERAGE(CM270,CN270)</f>
        <v>#DIV/0!</v>
      </c>
      <c r="CO271" s="296" t="n"/>
      <c r="CP271" s="324" t="e">
        <f>AVERAGE(CN270,CP270)</f>
        <v>#DIV/0!</v>
      </c>
      <c r="CQ271" s="324" t="e">
        <f>AVERAGE(CP270,CQ270)</f>
        <v>#DIV/0!</v>
      </c>
      <c r="CR271" s="324" t="e">
        <f>AVERAGE(CQ270,CR270)</f>
        <v>#DIV/0!</v>
      </c>
      <c r="CS271" s="324" t="e">
        <f>AVERAGE(CR270,CS270)</f>
        <v>#DIV/0!</v>
      </c>
      <c r="CT271" s="296" t="n"/>
      <c r="CU271" s="324" t="e">
        <f>AVERAGE(CS270,CU270)</f>
        <v>#DIV/0!</v>
      </c>
      <c r="CV271" s="324" t="e">
        <f>AVERAGE(CU270,CV270)</f>
        <v>#DIV/0!</v>
      </c>
      <c r="CW271" s="324" t="e">
        <f>AVERAGE(CV270,CW270)</f>
        <v>#DIV/0!</v>
      </c>
      <c r="CX271" s="324" t="e">
        <f>AVERAGE(CW270,CX270)</f>
        <v>#DIV/0!</v>
      </c>
      <c r="CY271" s="296" t="n"/>
      <c r="CZ271" s="320" t="e">
        <f>AVERAGE(CX270,CZ270)</f>
        <v>#DIV/0!</v>
      </c>
      <c r="DA271" s="320" t="e">
        <f>AVERAGE(CZ270,DA270)</f>
        <v>#DIV/0!</v>
      </c>
      <c r="DB271" s="320" t="e">
        <f>AVERAGE(DA270,DB270)</f>
        <v>#DIV/0!</v>
      </c>
      <c r="DC271" s="320" t="e">
        <f>AVERAGE(DB270,DC270)</f>
        <v>#DIV/0!</v>
      </c>
    </row>
    <row r="272" hidden="1" outlineLevel="1" ht="12.75" customFormat="1" customHeight="1" s="320">
      <c r="A272" s="291" t="n"/>
      <c r="B272" s="291" t="n"/>
      <c r="C272" s="321" t="n"/>
      <c r="D272" s="296" t="n"/>
      <c r="E272" s="296" t="n"/>
      <c r="F272" s="296" t="n"/>
      <c r="G272" s="296" t="n"/>
      <c r="H272" s="266" t="n"/>
      <c r="I272" s="296" t="n"/>
      <c r="J272" s="296" t="n"/>
      <c r="K272" s="296" t="n"/>
      <c r="L272" s="296" t="n"/>
      <c r="M272" s="266" t="n"/>
      <c r="N272" s="296" t="n"/>
      <c r="O272" s="296" t="n"/>
      <c r="P272" s="296" t="n"/>
      <c r="Q272" s="296" t="n"/>
      <c r="R272" s="266" t="n"/>
      <c r="S272" s="296" t="n"/>
      <c r="T272" s="296" t="n"/>
      <c r="U272" s="296" t="n"/>
      <c r="V272" s="296" t="n"/>
      <c r="W272" s="266" t="n"/>
      <c r="X272" s="296" t="n"/>
      <c r="Y272" s="296" t="n"/>
      <c r="Z272" s="296" t="n"/>
      <c r="AA272" s="296" t="n"/>
      <c r="AB272" s="266" t="n"/>
      <c r="AC272" s="296" t="n"/>
      <c r="AD272" s="296" t="n"/>
      <c r="AE272" s="296" t="n"/>
      <c r="AF272" s="296" t="n"/>
      <c r="AG272" s="266" t="n"/>
      <c r="AH272" s="296" t="n"/>
      <c r="AI272" s="296" t="n"/>
      <c r="AJ272" s="296" t="n"/>
      <c r="AK272" s="296" t="n"/>
      <c r="AL272" s="266" t="n"/>
      <c r="AM272" s="296" t="n"/>
      <c r="AN272" s="296" t="n"/>
      <c r="AO272" s="296" t="n"/>
      <c r="AP272" s="296" t="n"/>
      <c r="AQ272" s="266" t="n"/>
      <c r="AR272" s="296" t="n"/>
      <c r="AS272" s="296" t="n"/>
      <c r="AT272" s="296" t="n"/>
      <c r="AU272" s="296" t="n"/>
      <c r="AV272" s="266" t="n"/>
      <c r="AW272" s="296" t="n"/>
      <c r="AX272" s="296" t="n"/>
      <c r="AY272" s="296" t="n"/>
      <c r="AZ272" s="296" t="n"/>
      <c r="BA272" s="266" t="n"/>
      <c r="BB272" s="296" t="n"/>
      <c r="BC272" s="296" t="n"/>
      <c r="BD272" s="296" t="n"/>
      <c r="BE272" s="296" t="n"/>
      <c r="BF272" s="266" t="n"/>
      <c r="BG272" s="296" t="n"/>
      <c r="BH272" s="296" t="n"/>
      <c r="BI272" s="296" t="n"/>
      <c r="BJ272" s="296" t="n"/>
      <c r="BK272" s="266" t="n"/>
      <c r="BL272" s="296" t="n"/>
      <c r="BM272" s="296" t="n"/>
      <c r="BN272" s="296" t="n"/>
      <c r="BO272" s="296" t="n"/>
      <c r="BP272" s="266" t="n"/>
      <c r="BQ272" s="296" t="n"/>
      <c r="BR272" s="296" t="n"/>
      <c r="BS272" s="296" t="n"/>
      <c r="BT272" s="296" t="n"/>
      <c r="BU272" s="266" t="n"/>
      <c r="BV272" s="296" t="n"/>
      <c r="BW272" s="296" t="n"/>
      <c r="BX272" s="296" t="n"/>
      <c r="BY272" s="296" t="n"/>
      <c r="BZ272" s="266" t="n"/>
      <c r="CA272" s="296" t="n"/>
      <c r="CB272" s="296" t="n"/>
      <c r="CC272" s="296" t="n"/>
      <c r="CD272" s="296" t="n"/>
      <c r="CE272" s="266" t="n"/>
      <c r="CF272" s="296" t="n"/>
      <c r="CG272" s="296" t="n"/>
      <c r="CH272" s="296" t="n"/>
      <c r="CI272" s="296" t="n"/>
      <c r="CJ272" s="266" t="n"/>
      <c r="CK272" s="296" t="n"/>
      <c r="CL272" s="296" t="n"/>
      <c r="CM272" s="296" t="n"/>
      <c r="CN272" s="296" t="n"/>
      <c r="CO272" s="266" t="n"/>
      <c r="CP272" s="296" t="n"/>
      <c r="CQ272" s="296" t="n"/>
      <c r="CR272" s="296" t="n"/>
      <c r="CS272" s="296" t="n"/>
      <c r="CT272" s="266" t="n"/>
      <c r="CU272" s="296" t="n"/>
      <c r="CV272" s="296" t="n"/>
      <c r="CW272" s="296" t="n"/>
      <c r="CX272" s="296" t="n"/>
      <c r="CY272" s="266" t="n"/>
    </row>
    <row r="273" ht="12.75" customHeight="1" s="254">
      <c r="C273" s="268" t="inlineStr">
        <is>
          <t>Treasury stock (contra account)</t>
        </is>
      </c>
      <c r="D273" s="299" t="n"/>
      <c r="E273" s="299" t="n"/>
      <c r="F273" s="299" t="n"/>
      <c r="G273" s="299" t="n"/>
      <c r="H273" s="266">
        <f>G273</f>
        <v>0</v>
      </c>
      <c r="I273" s="299" t="n"/>
      <c r="J273" s="299" t="n"/>
      <c r="K273" s="299" t="n"/>
      <c r="L273" s="299" t="n"/>
      <c r="M273" s="266">
        <f>L273</f>
        <v>0</v>
      </c>
      <c r="N273" s="299" t="n"/>
      <c r="O273" s="299" t="n"/>
      <c r="P273" s="299" t="n"/>
      <c r="Q273" s="299" t="n"/>
      <c r="R273" s="266">
        <f>Q273</f>
        <v>0</v>
      </c>
      <c r="S273" s="299" t="n"/>
      <c r="T273" s="299" t="n"/>
      <c r="U273" s="299" t="n"/>
      <c r="V273" s="299" t="n"/>
      <c r="W273" s="266">
        <f>V273</f>
        <v>0</v>
      </c>
      <c r="X273" s="299" t="n"/>
      <c r="Y273" s="299" t="n"/>
      <c r="Z273" s="299" t="n"/>
      <c r="AA273" s="299" t="n"/>
      <c r="AB273" s="266">
        <f>AA273</f>
        <v>0</v>
      </c>
      <c r="AC273" s="299" t="n"/>
      <c r="AD273" s="299" t="n"/>
      <c r="AE273" s="299" t="n"/>
      <c r="AF273" s="299" t="n"/>
      <c r="AG273" s="266">
        <f>AF273</f>
        <v>0</v>
      </c>
      <c r="AH273" s="266">
        <f>AG273+AH263</f>
        <v>0</v>
      </c>
      <c r="AI273" s="266">
        <f>AH273+AI263</f>
        <v>0</v>
      </c>
      <c r="AJ273" s="266">
        <f>AI273+AJ263</f>
        <v>0</v>
      </c>
      <c r="AK273" s="266">
        <f>AJ273+AK263</f>
        <v>0</v>
      </c>
      <c r="AL273" s="266">
        <f>AK273</f>
        <v>0</v>
      </c>
      <c r="AM273" s="266">
        <f>AL273+AM263</f>
        <v>0</v>
      </c>
      <c r="AN273" s="266">
        <f>AM273+AN263</f>
        <v>0</v>
      </c>
      <c r="AO273" s="266">
        <f>AN273+AO263</f>
        <v>0</v>
      </c>
      <c r="AP273" s="266">
        <f>AO273+AP263</f>
        <v>0</v>
      </c>
      <c r="AQ273" s="266">
        <f>AP273</f>
        <v>0</v>
      </c>
      <c r="AR273" s="266">
        <f>AQ273+AR263</f>
        <v>0</v>
      </c>
      <c r="AS273" s="266">
        <f>AR273+AS263</f>
        <v>0</v>
      </c>
      <c r="AT273" s="266">
        <f>AS273+AT263</f>
        <v>0</v>
      </c>
      <c r="AU273" s="266">
        <f>AT273+AU263</f>
        <v>0</v>
      </c>
      <c r="AV273" s="266">
        <f>AU273</f>
        <v>0</v>
      </c>
      <c r="AW273" s="266">
        <f>AV273+AW263</f>
        <v>0</v>
      </c>
      <c r="AX273" s="266">
        <f>AW273+AX263</f>
        <v>0</v>
      </c>
      <c r="AY273" s="266">
        <f>AX273+AY263</f>
        <v>0</v>
      </c>
      <c r="AZ273" s="266">
        <f>AY273+AZ263</f>
        <v>0</v>
      </c>
      <c r="BA273" s="266">
        <f>AZ273</f>
        <v>0</v>
      </c>
      <c r="BB273" s="266">
        <f>BA273+BB263</f>
        <v>0</v>
      </c>
      <c r="BC273" s="266">
        <f>BB273+BC263</f>
        <v>0</v>
      </c>
      <c r="BD273" s="266">
        <f>BC273+BD263</f>
        <v>0</v>
      </c>
      <c r="BE273" s="266">
        <f>BD273+BE263</f>
        <v>0</v>
      </c>
      <c r="BF273" s="266">
        <f>BE273</f>
        <v>0</v>
      </c>
      <c r="BG273" s="266">
        <f>BF273+BG263</f>
        <v>0</v>
      </c>
      <c r="BH273" s="266">
        <f>BG273+BH263</f>
        <v>0</v>
      </c>
      <c r="BI273" s="266">
        <f>BH273+BI263</f>
        <v>0</v>
      </c>
      <c r="BJ273" s="266">
        <f>BI273+BJ263</f>
        <v>0</v>
      </c>
      <c r="BK273" s="266">
        <f>BJ273</f>
        <v>0</v>
      </c>
      <c r="BL273" s="266">
        <f>BK273+BL263</f>
        <v>0</v>
      </c>
      <c r="BM273" s="266">
        <f>BL273+BM263</f>
        <v>0</v>
      </c>
      <c r="BN273" s="266">
        <f>BM273+BN263</f>
        <v>0</v>
      </c>
      <c r="BO273" s="266">
        <f>BN273+BO263</f>
        <v>0</v>
      </c>
      <c r="BP273" s="266">
        <f>BO273</f>
        <v>0</v>
      </c>
      <c r="BQ273" s="266">
        <f>BP273+BQ263</f>
        <v>0</v>
      </c>
      <c r="BR273" s="266">
        <f>BQ273+BR263</f>
        <v>0</v>
      </c>
      <c r="BS273" s="266">
        <f>BR273+BS263</f>
        <v>0</v>
      </c>
      <c r="BT273" s="266">
        <f>BS273+BT263</f>
        <v>0</v>
      </c>
      <c r="BU273" s="266">
        <f>BT273</f>
        <v>0</v>
      </c>
      <c r="BV273" s="266">
        <f>BU273+BV263</f>
        <v>0</v>
      </c>
      <c r="BW273" s="266">
        <f>BV273+BW263</f>
        <v>0</v>
      </c>
      <c r="BX273" s="266">
        <f>BW273+BX263</f>
        <v>0</v>
      </c>
      <c r="BY273" s="266">
        <f>BX273+BY263</f>
        <v>0</v>
      </c>
      <c r="BZ273" s="266">
        <f>BY273</f>
        <v>0</v>
      </c>
      <c r="CA273" s="266">
        <f>BZ273+CA263</f>
        <v>0</v>
      </c>
      <c r="CB273" s="266">
        <f>CA273+CB263</f>
        <v>0</v>
      </c>
      <c r="CC273" s="266">
        <f>CB273+CC263</f>
        <v>0</v>
      </c>
      <c r="CD273" s="266">
        <f>CC273+CD263</f>
        <v>0</v>
      </c>
      <c r="CE273" s="266">
        <f>CD273</f>
        <v>0</v>
      </c>
      <c r="CF273" s="266">
        <f>CE273+CF263</f>
        <v>0</v>
      </c>
      <c r="CG273" s="266">
        <f>CF273+CG263</f>
        <v>0</v>
      </c>
      <c r="CH273" s="266">
        <f>CG273+CH263</f>
        <v>0</v>
      </c>
      <c r="CI273" s="266">
        <f>CH273+CI263</f>
        <v>0</v>
      </c>
      <c r="CJ273" s="266">
        <f>CI273</f>
        <v>0</v>
      </c>
      <c r="CK273" s="266">
        <f>CJ273+CK263</f>
        <v>0</v>
      </c>
      <c r="CL273" s="266">
        <f>CK273+CL263</f>
        <v>0</v>
      </c>
      <c r="CM273" s="266">
        <f>CL273+CM263</f>
        <v>0</v>
      </c>
      <c r="CN273" s="266">
        <f>CM273+CN263</f>
        <v>0</v>
      </c>
      <c r="CO273" s="266">
        <f>CN273</f>
        <v>0</v>
      </c>
      <c r="CP273" s="266">
        <f>CO273+CP263</f>
        <v>0</v>
      </c>
      <c r="CQ273" s="266">
        <f>CP273+CQ263</f>
        <v>0</v>
      </c>
      <c r="CR273" s="266">
        <f>CQ273+CR263</f>
        <v>0</v>
      </c>
      <c r="CS273" s="266">
        <f>CR273+CS263</f>
        <v>0</v>
      </c>
      <c r="CT273" s="266">
        <f>CS273</f>
        <v>0</v>
      </c>
      <c r="CU273" s="266">
        <f>CT273+CU263</f>
        <v>0</v>
      </c>
      <c r="CV273" s="266">
        <f>CU273+CV263</f>
        <v>0</v>
      </c>
      <c r="CW273" s="266">
        <f>CV273+CW263</f>
        <v>0</v>
      </c>
      <c r="CX273" s="266">
        <f>CW273+CX263</f>
        <v>0</v>
      </c>
      <c r="CY273" s="266">
        <f>CX273</f>
        <v>0</v>
      </c>
    </row>
    <row r="274" ht="12.75" customHeight="1" s="254">
      <c r="C274" s="268" t="inlineStr">
        <is>
          <t>Comprehensive (accumulated) loss</t>
        </is>
      </c>
      <c r="D274" s="299" t="n"/>
      <c r="E274" s="299" t="n"/>
      <c r="F274" s="299" t="n"/>
      <c r="G274" s="299" t="n"/>
      <c r="H274" s="266">
        <f>G274</f>
        <v>0</v>
      </c>
      <c r="I274" s="299" t="n"/>
      <c r="J274" s="299" t="n"/>
      <c r="K274" s="299" t="n"/>
      <c r="L274" s="299" t="n"/>
      <c r="M274" s="266">
        <f>L274</f>
        <v>0</v>
      </c>
      <c r="N274" s="299" t="n"/>
      <c r="O274" s="299" t="n"/>
      <c r="P274" s="299" t="n"/>
      <c r="Q274" s="299" t="n"/>
      <c r="R274" s="266">
        <f>Q274</f>
        <v>0</v>
      </c>
      <c r="S274" s="299" t="n"/>
      <c r="T274" s="299" t="n"/>
      <c r="U274" s="299" t="n"/>
      <c r="V274" s="299" t="n"/>
      <c r="W274" s="266">
        <f>V274</f>
        <v>0</v>
      </c>
      <c r="X274" s="299" t="n"/>
      <c r="Y274" s="299" t="n"/>
      <c r="Z274" s="299" t="n"/>
      <c r="AA274" s="299" t="n"/>
      <c r="AB274" s="266">
        <f>AA274</f>
        <v>0</v>
      </c>
      <c r="AC274" s="299" t="n"/>
      <c r="AD274" s="299" t="n"/>
      <c r="AE274" s="299" t="n"/>
      <c r="AF274" s="299" t="n"/>
      <c r="AG274" s="266">
        <f>AF274</f>
        <v>0</v>
      </c>
      <c r="AH274" s="266">
        <f>AG274</f>
        <v>0</v>
      </c>
      <c r="AI274" s="266">
        <f>AH274</f>
        <v>0</v>
      </c>
      <c r="AJ274" s="266">
        <f>AI274</f>
        <v>0</v>
      </c>
      <c r="AK274" s="266">
        <f>AJ274</f>
        <v>0</v>
      </c>
      <c r="AL274" s="266">
        <f>AK274</f>
        <v>0</v>
      </c>
      <c r="AM274" s="266">
        <f>AL274</f>
        <v>0</v>
      </c>
      <c r="AN274" s="266">
        <f>AM274</f>
        <v>0</v>
      </c>
      <c r="AO274" s="266">
        <f>AN274</f>
        <v>0</v>
      </c>
      <c r="AP274" s="266">
        <f>AO274</f>
        <v>0</v>
      </c>
      <c r="AQ274" s="266">
        <f>AP274</f>
        <v>0</v>
      </c>
      <c r="AR274" s="266">
        <f>AQ274</f>
        <v>0</v>
      </c>
      <c r="AS274" s="266">
        <f>AR274</f>
        <v>0</v>
      </c>
      <c r="AT274" s="266">
        <f>AS274</f>
        <v>0</v>
      </c>
      <c r="AU274" s="266">
        <f>AT274</f>
        <v>0</v>
      </c>
      <c r="AV274" s="266">
        <f>AU274</f>
        <v>0</v>
      </c>
      <c r="AW274" s="266">
        <f>AV274</f>
        <v>0</v>
      </c>
      <c r="AX274" s="266">
        <f>AW274</f>
        <v>0</v>
      </c>
      <c r="AY274" s="266">
        <f>AX274</f>
        <v>0</v>
      </c>
      <c r="AZ274" s="266">
        <f>AY274</f>
        <v>0</v>
      </c>
      <c r="BA274" s="266">
        <f>AZ274</f>
        <v>0</v>
      </c>
      <c r="BB274" s="266">
        <f>BA274</f>
        <v>0</v>
      </c>
      <c r="BC274" s="266">
        <f>BB274</f>
        <v>0</v>
      </c>
      <c r="BD274" s="266">
        <f>BC274</f>
        <v>0</v>
      </c>
      <c r="BE274" s="266">
        <f>BD274</f>
        <v>0</v>
      </c>
      <c r="BF274" s="266">
        <f>BE274</f>
        <v>0</v>
      </c>
      <c r="BG274" s="266">
        <f>BF274</f>
        <v>0</v>
      </c>
      <c r="BH274" s="266">
        <f>BG274</f>
        <v>0</v>
      </c>
      <c r="BI274" s="266">
        <f>BH274</f>
        <v>0</v>
      </c>
      <c r="BJ274" s="266">
        <f>BI274</f>
        <v>0</v>
      </c>
      <c r="BK274" s="266">
        <f>BJ274</f>
        <v>0</v>
      </c>
      <c r="BL274" s="266">
        <f>BK274</f>
        <v>0</v>
      </c>
      <c r="BM274" s="266">
        <f>BL274</f>
        <v>0</v>
      </c>
      <c r="BN274" s="266">
        <f>BM274</f>
        <v>0</v>
      </c>
      <c r="BO274" s="266">
        <f>BN274</f>
        <v>0</v>
      </c>
      <c r="BP274" s="266">
        <f>BO274</f>
        <v>0</v>
      </c>
      <c r="BQ274" s="266">
        <f>BP274</f>
        <v>0</v>
      </c>
      <c r="BR274" s="266">
        <f>BQ274</f>
        <v>0</v>
      </c>
      <c r="BS274" s="266">
        <f>BR274</f>
        <v>0</v>
      </c>
      <c r="BT274" s="266">
        <f>BS274</f>
        <v>0</v>
      </c>
      <c r="BU274" s="266">
        <f>BT274</f>
        <v>0</v>
      </c>
      <c r="BV274" s="266">
        <f>BU274</f>
        <v>0</v>
      </c>
      <c r="BW274" s="266">
        <f>BV274</f>
        <v>0</v>
      </c>
      <c r="BX274" s="266">
        <f>BW274</f>
        <v>0</v>
      </c>
      <c r="BY274" s="266">
        <f>BX274</f>
        <v>0</v>
      </c>
      <c r="BZ274" s="266">
        <f>BY274</f>
        <v>0</v>
      </c>
      <c r="CA274" s="266">
        <f>BZ274</f>
        <v>0</v>
      </c>
      <c r="CB274" s="266">
        <f>CA274</f>
        <v>0</v>
      </c>
      <c r="CC274" s="266">
        <f>CB274</f>
        <v>0</v>
      </c>
      <c r="CD274" s="266">
        <f>CC274</f>
        <v>0</v>
      </c>
      <c r="CE274" s="266">
        <f>CD274</f>
        <v>0</v>
      </c>
      <c r="CF274" s="266">
        <f>CE274</f>
        <v>0</v>
      </c>
      <c r="CG274" s="266">
        <f>CF274</f>
        <v>0</v>
      </c>
      <c r="CH274" s="266">
        <f>CG274</f>
        <v>0</v>
      </c>
      <c r="CI274" s="266">
        <f>CH274</f>
        <v>0</v>
      </c>
      <c r="CJ274" s="266">
        <f>CI274</f>
        <v>0</v>
      </c>
      <c r="CK274" s="266">
        <f>CJ274</f>
        <v>0</v>
      </c>
      <c r="CL274" s="266">
        <f>CK274</f>
        <v>0</v>
      </c>
      <c r="CM274" s="266">
        <f>CL274</f>
        <v>0</v>
      </c>
      <c r="CN274" s="266">
        <f>CM274</f>
        <v>0</v>
      </c>
      <c r="CO274" s="266">
        <f>CN274</f>
        <v>0</v>
      </c>
      <c r="CP274" s="266">
        <f>CO274</f>
        <v>0</v>
      </c>
      <c r="CQ274" s="266">
        <f>CP274</f>
        <v>0</v>
      </c>
      <c r="CR274" s="266">
        <f>CQ274</f>
        <v>0</v>
      </c>
      <c r="CS274" s="266">
        <f>CR274</f>
        <v>0</v>
      </c>
      <c r="CT274" s="266">
        <f>CS274</f>
        <v>0</v>
      </c>
      <c r="CU274" s="266">
        <f>CT274</f>
        <v>0</v>
      </c>
      <c r="CV274" s="266">
        <f>CU274</f>
        <v>0</v>
      </c>
      <c r="CW274" s="266">
        <f>CV274</f>
        <v>0</v>
      </c>
      <c r="CX274" s="266">
        <f>CW274</f>
        <v>0</v>
      </c>
      <c r="CY274" s="266">
        <f>CX274</f>
        <v>0</v>
      </c>
    </row>
    <row r="275" ht="12.75" customHeight="1" s="254">
      <c r="C275" s="268" t="inlineStr">
        <is>
          <t>Other equity account</t>
        </is>
      </c>
      <c r="D275" s="299" t="n"/>
      <c r="E275" s="299" t="n"/>
      <c r="F275" s="299" t="n"/>
      <c r="G275" s="299" t="n"/>
      <c r="H275" s="266">
        <f>G275</f>
        <v>0</v>
      </c>
      <c r="I275" s="299" t="n"/>
      <c r="J275" s="299" t="n"/>
      <c r="K275" s="299" t="n"/>
      <c r="L275" s="299" t="n"/>
      <c r="M275" s="266">
        <f>L275</f>
        <v>0</v>
      </c>
      <c r="N275" s="299" t="n"/>
      <c r="O275" s="299" t="n"/>
      <c r="P275" s="299" t="n"/>
      <c r="Q275" s="299" t="n"/>
      <c r="R275" s="266">
        <f>Q275</f>
        <v>0</v>
      </c>
      <c r="S275" s="299" t="n"/>
      <c r="T275" s="299" t="n"/>
      <c r="U275" s="299" t="n"/>
      <c r="V275" s="299" t="n"/>
      <c r="W275" s="266">
        <f>V275</f>
        <v>0</v>
      </c>
      <c r="X275" s="299" t="n"/>
      <c r="Y275" s="299" t="n"/>
      <c r="Z275" s="299" t="n"/>
      <c r="AA275" s="299" t="n"/>
      <c r="AB275" s="266">
        <f>AA275</f>
        <v>0</v>
      </c>
      <c r="AC275" s="299" t="n"/>
      <c r="AD275" s="299" t="n"/>
      <c r="AE275" s="299" t="n"/>
      <c r="AF275" s="299" t="n"/>
      <c r="AG275" s="266">
        <f>AF275</f>
        <v>0</v>
      </c>
      <c r="AH275" s="266">
        <f>AG275</f>
        <v>0</v>
      </c>
      <c r="AI275" s="266">
        <f>AH275</f>
        <v>0</v>
      </c>
      <c r="AJ275" s="266">
        <f>AI275</f>
        <v>0</v>
      </c>
      <c r="AK275" s="266">
        <f>AJ275</f>
        <v>0</v>
      </c>
      <c r="AL275" s="266">
        <f>AK275</f>
        <v>0</v>
      </c>
      <c r="AM275" s="266">
        <f>AL275</f>
        <v>0</v>
      </c>
      <c r="AN275" s="266">
        <f>AM275</f>
        <v>0</v>
      </c>
      <c r="AO275" s="266">
        <f>AN275</f>
        <v>0</v>
      </c>
      <c r="AP275" s="266">
        <f>AO275</f>
        <v>0</v>
      </c>
      <c r="AQ275" s="266">
        <f>AP275</f>
        <v>0</v>
      </c>
      <c r="AR275" s="266">
        <f>AQ275</f>
        <v>0</v>
      </c>
      <c r="AS275" s="266">
        <f>AR275</f>
        <v>0</v>
      </c>
      <c r="AT275" s="266">
        <f>AS275</f>
        <v>0</v>
      </c>
      <c r="AU275" s="266">
        <f>AT275</f>
        <v>0</v>
      </c>
      <c r="AV275" s="266">
        <f>AU275</f>
        <v>0</v>
      </c>
      <c r="AW275" s="266">
        <f>AV275</f>
        <v>0</v>
      </c>
      <c r="AX275" s="266">
        <f>AW275</f>
        <v>0</v>
      </c>
      <c r="AY275" s="266">
        <f>AX275</f>
        <v>0</v>
      </c>
      <c r="AZ275" s="266">
        <f>AY275</f>
        <v>0</v>
      </c>
      <c r="BA275" s="266">
        <f>AZ275</f>
        <v>0</v>
      </c>
      <c r="BB275" s="266">
        <f>BA275</f>
        <v>0</v>
      </c>
      <c r="BC275" s="266">
        <f>BB275</f>
        <v>0</v>
      </c>
      <c r="BD275" s="266">
        <f>BC275</f>
        <v>0</v>
      </c>
      <c r="BE275" s="266">
        <f>BD275</f>
        <v>0</v>
      </c>
      <c r="BF275" s="266">
        <f>BE275</f>
        <v>0</v>
      </c>
      <c r="BG275" s="266">
        <f>BF275</f>
        <v>0</v>
      </c>
      <c r="BH275" s="266">
        <f>BG275</f>
        <v>0</v>
      </c>
      <c r="BI275" s="266">
        <f>BH275</f>
        <v>0</v>
      </c>
      <c r="BJ275" s="266">
        <f>BI275</f>
        <v>0</v>
      </c>
      <c r="BK275" s="266">
        <f>BJ275</f>
        <v>0</v>
      </c>
      <c r="BL275" s="266">
        <f>BK275</f>
        <v>0</v>
      </c>
      <c r="BM275" s="266">
        <f>BL275</f>
        <v>0</v>
      </c>
      <c r="BN275" s="266">
        <f>BM275</f>
        <v>0</v>
      </c>
      <c r="BO275" s="266">
        <f>BN275</f>
        <v>0</v>
      </c>
      <c r="BP275" s="266">
        <f>BO275</f>
        <v>0</v>
      </c>
      <c r="BQ275" s="266">
        <f>BP275</f>
        <v>0</v>
      </c>
      <c r="BR275" s="266">
        <f>BQ275</f>
        <v>0</v>
      </c>
      <c r="BS275" s="266">
        <f>BR275</f>
        <v>0</v>
      </c>
      <c r="BT275" s="266">
        <f>BS275</f>
        <v>0</v>
      </c>
      <c r="BU275" s="266">
        <f>BT275</f>
        <v>0</v>
      </c>
      <c r="BV275" s="266">
        <f>BU275</f>
        <v>0</v>
      </c>
      <c r="BW275" s="266">
        <f>BV275</f>
        <v>0</v>
      </c>
      <c r="BX275" s="266">
        <f>BW275</f>
        <v>0</v>
      </c>
      <c r="BY275" s="266">
        <f>BX275</f>
        <v>0</v>
      </c>
      <c r="BZ275" s="266">
        <f>BY275</f>
        <v>0</v>
      </c>
      <c r="CA275" s="266">
        <f>BZ275</f>
        <v>0</v>
      </c>
      <c r="CB275" s="266">
        <f>CA275</f>
        <v>0</v>
      </c>
      <c r="CC275" s="266">
        <f>CB275</f>
        <v>0</v>
      </c>
      <c r="CD275" s="266">
        <f>CC275</f>
        <v>0</v>
      </c>
      <c r="CE275" s="266">
        <f>CD275</f>
        <v>0</v>
      </c>
      <c r="CF275" s="266">
        <f>CE275</f>
        <v>0</v>
      </c>
      <c r="CG275" s="266">
        <f>CF275</f>
        <v>0</v>
      </c>
      <c r="CH275" s="266">
        <f>CG275</f>
        <v>0</v>
      </c>
      <c r="CI275" s="266">
        <f>CH275</f>
        <v>0</v>
      </c>
      <c r="CJ275" s="266">
        <f>CI275</f>
        <v>0</v>
      </c>
      <c r="CK275" s="266">
        <f>CJ275</f>
        <v>0</v>
      </c>
      <c r="CL275" s="266">
        <f>CK275</f>
        <v>0</v>
      </c>
      <c r="CM275" s="266">
        <f>CL275</f>
        <v>0</v>
      </c>
      <c r="CN275" s="266">
        <f>CM275</f>
        <v>0</v>
      </c>
      <c r="CO275" s="266">
        <f>CN275</f>
        <v>0</v>
      </c>
      <c r="CP275" s="266">
        <f>CO275</f>
        <v>0</v>
      </c>
      <c r="CQ275" s="266">
        <f>CP275</f>
        <v>0</v>
      </c>
      <c r="CR275" s="266">
        <f>CQ275</f>
        <v>0</v>
      </c>
      <c r="CS275" s="266">
        <f>CR275</f>
        <v>0</v>
      </c>
      <c r="CT275" s="266">
        <f>CS275</f>
        <v>0</v>
      </c>
      <c r="CU275" s="266">
        <f>CT275</f>
        <v>0</v>
      </c>
      <c r="CV275" s="266">
        <f>CU275</f>
        <v>0</v>
      </c>
      <c r="CW275" s="266">
        <f>CV275</f>
        <v>0</v>
      </c>
      <c r="CX275" s="266">
        <f>CW275</f>
        <v>0</v>
      </c>
      <c r="CY275" s="266">
        <f>CX275</f>
        <v>0</v>
      </c>
    </row>
    <row r="276" ht="12.75" customHeight="1" s="254">
      <c r="C276" s="269" t="inlineStr">
        <is>
          <t>Retained earnings</t>
        </is>
      </c>
      <c r="D276" s="299" t="n"/>
      <c r="E276" s="299" t="n"/>
      <c r="F276" s="299" t="n"/>
      <c r="G276" s="299" t="n"/>
      <c r="H276" s="266">
        <f>G276</f>
        <v>0</v>
      </c>
      <c r="I276" s="299">
        <f>INDEX('Inputs (2)'!$D$47:$AL$47,MATCH(I$7,'Inputs (2)'!$D$2:$AL$2,0))</f>
        <v>163714</v>
      </c>
      <c r="J276" s="299">
        <f>INDEX('Inputs (2)'!$D$47:$AL$47,MATCH(J$7,'Inputs (2)'!$D$2:$AL$2,0))</f>
        <v>167999</v>
      </c>
      <c r="K276" s="299">
        <f>INDEX('Inputs (2)'!$D$47:$AL$47,MATCH(K$7,'Inputs (2)'!$D$2:$AL$2,0))</f>
        <v>163390</v>
      </c>
      <c r="L276" s="299">
        <f>INDEX('Inputs (2)'!$D$47:$AL$47,MATCH(L$7,'Inputs (2)'!$D$2:$AL$2,0))</f>
        <v>171966</v>
      </c>
      <c r="M276" s="266">
        <f>L276</f>
        <v>171966</v>
      </c>
      <c r="N276" s="299">
        <f>INDEX('Inputs (2)'!$D$47:$AL$47,MATCH(N$7,'Inputs (2)'!$D$2:$AL$2,0))</f>
        <v>175998</v>
      </c>
      <c r="O276" s="299">
        <f>INDEX('Inputs (2)'!$D$47:$AL$47,MATCH(O$7,'Inputs (2)'!$D$2:$AL$2,0))</f>
        <v>190500</v>
      </c>
      <c r="P276" s="299">
        <f>INDEX('Inputs (2)'!$D$47:$AL$47,MATCH(P$7,'Inputs (2)'!$D$2:$AL$2,0))</f>
        <v>186523</v>
      </c>
      <c r="Q276" s="299">
        <f>INDEX('Inputs (2)'!$D$47:$AL$47,MATCH(Q$7,'Inputs (2)'!$D$2:$AL$2,0))</f>
        <v>190472</v>
      </c>
      <c r="R276" s="266">
        <f>Q276</f>
        <v>190472</v>
      </c>
      <c r="S276" s="299">
        <f>INDEX('Inputs (2)'!$D$47:$AL$47,MATCH(S$7,'Inputs (2)'!$D$2:$AL$2,0))</f>
        <v>193317</v>
      </c>
      <c r="T276" s="299">
        <f>INDEX('Inputs (2)'!$D$47:$AL$47,MATCH(T$7,'Inputs (2)'!$D$2:$AL$2,0))</f>
        <v>190461</v>
      </c>
      <c r="U276" s="299">
        <f>INDEX('Inputs (2)'!$D$47:$AL$47,MATCH(U$7,'Inputs (2)'!$D$2:$AL$2,0))</f>
        <v>191199</v>
      </c>
      <c r="V276" s="299">
        <f>INDEX('Inputs (2)'!$D$47:$AL$47,MATCH(V$7,'Inputs (2)'!$D$2:$AL$2,0))</f>
        <v>186607</v>
      </c>
      <c r="W276" s="266">
        <f>V276</f>
        <v>186607</v>
      </c>
      <c r="X276" s="299">
        <f>INDEX('Inputs (2)'!$D$47:$AL$47,MATCH(X$7,'Inputs (2)'!$D$2:$AL$2,0))</f>
        <v>186565</v>
      </c>
      <c r="Y276" s="299">
        <f>INDEX('Inputs (2)'!$D$47:$AL$47,MATCH(Y$7,'Inputs (2)'!$D$2:$AL$2,0))</f>
        <v>185407</v>
      </c>
      <c r="Z276" s="299">
        <f>INDEX('Inputs (2)'!$D$47:$AL$47,MATCH(Z$7,'Inputs (2)'!$D$2:$AL$2,0))</f>
        <v>187673</v>
      </c>
      <c r="AA276" s="299">
        <f>INDEX('Inputs (2)'!$D$47:$AL$47,MATCH(AA$7,'Inputs (2)'!$D$2:$AL$2,0))</f>
        <v>178303</v>
      </c>
      <c r="AB276" s="266">
        <f>AA276</f>
        <v>178303</v>
      </c>
      <c r="AC276" s="299">
        <f>INDEX('Inputs (2)'!$D$47:$AL$47,MATCH(AC$7,'Inputs (2)'!$D$2:$AL$2,0))</f>
        <v>178813</v>
      </c>
      <c r="AD276" s="299">
        <f>INDEX('Inputs (2)'!$D$47:$AL$47,MATCH(AD$7,'Inputs (2)'!$D$2:$AL$2,0))</f>
        <v>181137</v>
      </c>
      <c r="AE276" s="299">
        <f>INDEX('Inputs (2)'!$D$47:$AL$47,MATCH(AE$7,'Inputs (2)'!$D$2:$AL$2,0))</f>
        <v>175823</v>
      </c>
      <c r="AF276" s="299">
        <f>INDEX('Inputs (2)'!$D$47:$AL$47,MATCH(AF$7,'Inputs (2)'!$D$2:$AL$2,0))</f>
        <v>174392</v>
      </c>
      <c r="AG276" s="266">
        <f>AF276</f>
        <v>174392</v>
      </c>
      <c r="AH276" s="266">
        <f>INDEX('Inputs (2)'!$D$47:$AL$47,MATCH(AH$7,'Inputs (2)'!$D$2:$AL$2,0))</f>
        <v>173583</v>
      </c>
      <c r="AI276" s="266">
        <f>INDEX('Inputs (2)'!$D$47:$AL$47,MATCH(AI$7,'Inputs (2)'!$D$2:$AL$2,0))</f>
        <v>180786</v>
      </c>
      <c r="AJ276" s="266">
        <f>AI276+AJ143+AJ144</f>
        <v>181129</v>
      </c>
      <c r="AK276" s="266">
        <f>AJ276+AK143+AK144</f>
        <v>182774</v>
      </c>
      <c r="AL276" s="266">
        <f>AK276</f>
        <v>182774</v>
      </c>
      <c r="AM276" s="266">
        <f>AL276+AM143+AM144</f>
        <v>184401</v>
      </c>
      <c r="AN276" s="266">
        <f>AM276+AN143+AN144</f>
        <v>188681</v>
      </c>
      <c r="AO276" s="266">
        <f>AN276+AO143+AO144</f>
        <v>190274</v>
      </c>
      <c r="AP276" s="266">
        <f>AO276+AP143+AP144</f>
        <v>194492</v>
      </c>
      <c r="AQ276" s="266">
        <f>AP276</f>
        <v>194492</v>
      </c>
      <c r="AR276" s="266">
        <f>AQ276+AR143+AR144</f>
        <v>198692</v>
      </c>
      <c r="AS276" s="266">
        <f>AR276+AS143+AS144</f>
        <v>210618</v>
      </c>
      <c r="AT276" s="266">
        <f>AS276+AT143+AT144</f>
        <v>214784</v>
      </c>
      <c r="AU276" s="266">
        <f>AT276+AU143+AU144</f>
        <v>226648</v>
      </c>
      <c r="AV276" s="266">
        <f>AU276</f>
        <v>226648</v>
      </c>
      <c r="AW276" s="266">
        <f>AV276+AW143+AW144</f>
        <v>238494</v>
      </c>
      <c r="AX276" s="266">
        <f>AW276+AX143+AX144</f>
        <v>270858</v>
      </c>
      <c r="AY276" s="266">
        <f>AX276+AY143+AY144</f>
        <v>282670</v>
      </c>
      <c r="AZ276" s="266">
        <f>AY276+AZ143+AZ144</f>
        <v>314972</v>
      </c>
      <c r="BA276" s="266">
        <f>AZ276</f>
        <v>314972</v>
      </c>
      <c r="BB276" s="266">
        <f>BA276+BB143+BB144</f>
        <v>347256</v>
      </c>
      <c r="BC276" s="266">
        <f>BB276+BC143+BC144</f>
        <v>435788</v>
      </c>
      <c r="BD276" s="266">
        <f>BC276+BD143+BD144</f>
        <v>468038</v>
      </c>
      <c r="BE276" s="266">
        <f>BD276+BE143+BE144</f>
        <v>556508</v>
      </c>
      <c r="BF276" s="266">
        <f>BE276</f>
        <v>556508</v>
      </c>
      <c r="BG276" s="266">
        <f>BF276+BG143+BG144</f>
        <v>644960</v>
      </c>
      <c r="BH276" s="266">
        <f>BG276+BH143+BH144</f>
        <v>886704</v>
      </c>
      <c r="BI276" s="266">
        <f>BH276+BI143+BI144</f>
        <v>975122</v>
      </c>
      <c r="BJ276" s="266">
        <f>BI276+BJ143+BJ144</f>
        <v>1216804</v>
      </c>
      <c r="BK276" s="266">
        <f>BJ276</f>
        <v>1216804</v>
      </c>
      <c r="BL276" s="266">
        <f>BK276+BL143+BL144</f>
        <v>1458468</v>
      </c>
      <c r="BM276" s="266">
        <f>BL276+BM143+BM144</f>
        <v>2118972</v>
      </c>
      <c r="BN276" s="266">
        <f>BM276+BN143+BN144</f>
        <v>2360602</v>
      </c>
      <c r="BO276" s="266">
        <f>BN276+BO143+BO144</f>
        <v>3021044</v>
      </c>
      <c r="BP276" s="266">
        <f>BO276</f>
        <v>3021044</v>
      </c>
      <c r="BQ276" s="266">
        <f>BP276+BQ143+BQ144</f>
        <v>3681468</v>
      </c>
      <c r="BR276" s="266">
        <f>BQ276+BR143+BR144</f>
        <v>5485916</v>
      </c>
      <c r="BS276" s="266">
        <f>BR276+BS143+BS144</f>
        <v>6146306</v>
      </c>
      <c r="BT276" s="266">
        <f>BS276+BT143+BT144</f>
        <v>7950692</v>
      </c>
      <c r="BU276" s="266">
        <f>BT276</f>
        <v>7950692</v>
      </c>
      <c r="BV276" s="266">
        <f>BU276+BV143+BV144</f>
        <v>9755060</v>
      </c>
      <c r="BW276" s="266">
        <f>BV276+BW143+BW144</f>
        <v>14684916</v>
      </c>
      <c r="BX276" s="266">
        <f>BW276+BX143+BX144</f>
        <v>16489250</v>
      </c>
      <c r="BY276" s="266">
        <f>BX276+BY143+BY144</f>
        <v>21419044</v>
      </c>
      <c r="BZ276" s="266">
        <f>BY276</f>
        <v>21419044</v>
      </c>
      <c r="CA276" s="266">
        <f>BZ276+CA143+CA144</f>
        <v>26348820</v>
      </c>
      <c r="CB276" s="266">
        <f>CA276+CB143+CB144</f>
        <v>39817380</v>
      </c>
      <c r="CC276" s="266">
        <f>CB276+CC143+CC144</f>
        <v>44747122</v>
      </c>
      <c r="CD276" s="266">
        <f>CC276+CD143+CD144</f>
        <v>58215620</v>
      </c>
      <c r="CE276" s="266">
        <f>CD276</f>
        <v>58215620</v>
      </c>
      <c r="CF276" s="266">
        <f>CE276+CF143+CF144</f>
        <v>71684100</v>
      </c>
      <c r="CG276" s="266">
        <f>CF276+CG143+CG144</f>
        <v>108480884</v>
      </c>
      <c r="CH276" s="266">
        <f>CG276+CH143+CH144</f>
        <v>121949330</v>
      </c>
      <c r="CI276" s="266">
        <f>CH276+CI143+CI144</f>
        <v>158746052</v>
      </c>
      <c r="CJ276" s="266">
        <f>CI276</f>
        <v>158746052</v>
      </c>
      <c r="CK276" s="266">
        <f>CJ276+CK143+CK144</f>
        <v>195542756</v>
      </c>
      <c r="CL276" s="266">
        <f>CK276+CL143+CL144</f>
        <v>296073396</v>
      </c>
      <c r="CM276" s="266">
        <f>CL276+CM143+CM144</f>
        <v>332870066</v>
      </c>
      <c r="CN276" s="266">
        <f>CM276+CN143+CN144</f>
        <v>433400644</v>
      </c>
      <c r="CO276" s="266">
        <f>CN276</f>
        <v>433400644</v>
      </c>
      <c r="CP276" s="266">
        <f>CO276+CP143+CP144</f>
        <v>533931204</v>
      </c>
      <c r="CQ276" s="266">
        <f>CP276+CQ143+CQ144</f>
        <v>808586004</v>
      </c>
      <c r="CR276" s="266">
        <f>CQ276+CR143+CR144</f>
        <v>909116530</v>
      </c>
      <c r="CS276" s="266">
        <f>CR276+CS143+CS144</f>
        <v>1183771268</v>
      </c>
      <c r="CT276" s="266">
        <f>CS276</f>
        <v>1183771268</v>
      </c>
      <c r="CU276" s="266">
        <f>CT276+CU143+CU144</f>
        <v>1458425988</v>
      </c>
      <c r="CV276" s="266">
        <f>CU276+CV143+CV144</f>
        <v>2208796820</v>
      </c>
      <c r="CW276" s="266">
        <f>CV276+CW143+CW144</f>
        <v>2483451506</v>
      </c>
      <c r="CX276" s="266">
        <f>CW276+CX143+CX144</f>
        <v>3233822276</v>
      </c>
      <c r="CY276" s="266">
        <f>CX276</f>
        <v>3233822276</v>
      </c>
    </row>
    <row r="277" ht="12.75" customFormat="1" customHeight="1" s="285">
      <c r="A277" s="286" t="inlineStr">
        <is>
          <t xml:space="preserve"> </t>
        </is>
      </c>
      <c r="B277" s="286" t="n"/>
      <c r="C277" s="319" t="inlineStr">
        <is>
          <t>Total Shareholders' Equity</t>
        </is>
      </c>
      <c r="D277" s="274">
        <f>SUM(D254+D259+D260+D273+D274+D275+D276)</f>
        <v>0</v>
      </c>
      <c r="E277" s="274">
        <f>SUM(E254+E259+E260+E273+E274+E275+E276)</f>
        <v>0</v>
      </c>
      <c r="F277" s="274">
        <f>SUM(F254+F259+F260+F273+F274+F275+F276)</f>
        <v>0</v>
      </c>
      <c r="G277" s="274">
        <f>SUM(G254+G259+G260+G273+G274+G275+G276)</f>
        <v>0</v>
      </c>
      <c r="H277" s="274">
        <f>SUM(H254,H259,H260,H273,H274,H275,H276)</f>
        <v>0</v>
      </c>
      <c r="I277" s="274">
        <f>SUM(I254+I259+I260+I273+I274+I275+I276)</f>
        <v>166953</v>
      </c>
      <c r="J277" s="274">
        <f>SUM(J254+J259+J260+J273+J274+J275+J276)</f>
        <v>171243</v>
      </c>
      <c r="K277" s="274">
        <f>SUM(K254+K259+K260+K273+K274+K275+K276)</f>
        <v>166683</v>
      </c>
      <c r="L277" s="274">
        <f>SUM(L254+L259+L260+L273+L274+L275+L276)</f>
        <v>175326</v>
      </c>
      <c r="M277" s="274">
        <f>SUM(M254,M259,M260,M273,M274,M275,M276)</f>
        <v>175326</v>
      </c>
      <c r="N277" s="274">
        <f>SUM(N254+N259+N260+N273+N274+N275+N276)</f>
        <v>179533</v>
      </c>
      <c r="O277" s="274">
        <f>SUM(O254+O259+O260+O273+O274+O275+O276)</f>
        <v>194299</v>
      </c>
      <c r="P277" s="274">
        <f>SUM(P254+P259+P260+P273+P274+P275+P276)</f>
        <v>190238</v>
      </c>
      <c r="Q277" s="274">
        <f>SUM(Q254+Q259+Q260+Q273+Q274+Q275+Q276)</f>
        <v>192597</v>
      </c>
      <c r="R277" s="274">
        <f>SUM(R254,R259,R260,R273,R274,R275,R276)</f>
        <v>192597</v>
      </c>
      <c r="S277" s="274">
        <f>SUM(S254+S259+S260+S273+S274+S275+S276)</f>
        <v>195531</v>
      </c>
      <c r="T277" s="274">
        <f>SUM(T254+T259+T260+T273+T274+T275+T276)</f>
        <v>192094</v>
      </c>
      <c r="U277" s="274">
        <f>SUM(U254+U259+U260+U273+U274+U275+U276)</f>
        <v>192944</v>
      </c>
      <c r="V277" s="274">
        <f>SUM(V254+V259+V260+V273+V274+V275+V276)</f>
        <v>188362</v>
      </c>
      <c r="W277" s="274">
        <f>SUM(W254,W259,W260,W273,W274,W275,W276)</f>
        <v>188362</v>
      </c>
      <c r="X277" s="274">
        <f>SUM(X254+X259+X260+X273+X274+X275+X276)</f>
        <v>188304</v>
      </c>
      <c r="Y277" s="274">
        <f>SUM(Y254+Y259+Y260+Y273+Y274+Y275+Y276)</f>
        <v>187190</v>
      </c>
      <c r="Z277" s="274">
        <f>SUM(Z254+Z259+Z260+Z273+Z274+Z275+Z276)</f>
        <v>189538</v>
      </c>
      <c r="AA277" s="274">
        <f>SUM(AA254+AA259+AA260+AA273+AA274+AA275+AA276)</f>
        <v>180164</v>
      </c>
      <c r="AB277" s="274">
        <f>SUM(AB254,AB259,AB260,AB273,AB274,AB275,AB276)</f>
        <v>180164</v>
      </c>
      <c r="AC277" s="274">
        <f>SUM(AC254+AC259+AC260+AC273+AC274+AC275+AC276)</f>
        <v>180669</v>
      </c>
      <c r="AD277" s="274">
        <f>SUM(AD254+AD259+AD260+AD273+AD274+AD275+AD276)</f>
        <v>183088</v>
      </c>
      <c r="AE277" s="274">
        <f>SUM(AE254+AE259+AE260+AE273+AE274+AE275+AE276)</f>
        <v>177822</v>
      </c>
      <c r="AF277" s="274">
        <f>SUM(AF254+AF259+AF260+AF273+AF274+AF275+AF276)</f>
        <v>175320</v>
      </c>
      <c r="AG277" s="274">
        <f>SUM(AG254,AG259,AG260,AG273,AG274,AG275,AG276)</f>
        <v>175320</v>
      </c>
      <c r="AH277" s="274">
        <f>SUM(AH254+AH259+AH260+AH273+AH274+AH275+AH276)</f>
        <v>174601</v>
      </c>
      <c r="AI277" s="274">
        <f>SUM(AI254+AI259+AI260+AI273+AI274+AI275+AI276)</f>
        <v>181781</v>
      </c>
      <c r="AJ277" s="274">
        <f>SUM(AJ254+AJ259+AJ260+AJ273+AJ274+AJ275+AJ276)</f>
        <v>182222</v>
      </c>
      <c r="AK277" s="274">
        <f>SUM(AK254+AK259+AK260+AK273+AK274+AK275+AK276)</f>
        <v>183913</v>
      </c>
      <c r="AL277" s="274">
        <f>SUM(AL254,AL259,AL260,AL273,AL274,AL275,AL276)</f>
        <v>183913</v>
      </c>
      <c r="AM277" s="274">
        <f>SUM(AM254+AM259+AM260+AM273+AM274+AM275+AM276)</f>
        <v>185604</v>
      </c>
      <c r="AN277" s="274">
        <f>SUM(AN254+AN259+AN260+AN273+AN274+AN275+AN276)</f>
        <v>189868</v>
      </c>
      <c r="AO277" s="274">
        <f>SUM(AO254+AO259+AO260+AO273+AO274+AO275+AO276)</f>
        <v>191559</v>
      </c>
      <c r="AP277" s="274">
        <f>SUM(AP254+AP259+AP260+AP273+AP274+AP275+AP276)</f>
        <v>195823</v>
      </c>
      <c r="AQ277" s="274">
        <f>SUM(AQ254,AQ259,AQ260,AQ273,AQ274,AQ275,AQ276)</f>
        <v>195823</v>
      </c>
      <c r="AR277" s="274">
        <f>SUM(AR254+AR259+AR260+AR273+AR274+AR275+AR276)</f>
        <v>200087</v>
      </c>
      <c r="AS277" s="274">
        <f>SUM(AS254+AS259+AS260+AS273+AS274+AS275+AS276)</f>
        <v>211997</v>
      </c>
      <c r="AT277" s="274">
        <f>SUM(AT254+AT259+AT260+AT273+AT274+AT275+AT276)</f>
        <v>216261</v>
      </c>
      <c r="AU277" s="274">
        <f>SUM(AU254+AU259+AU260+AU273+AU274+AU275+AU276)</f>
        <v>228171</v>
      </c>
      <c r="AV277" s="274">
        <f>SUM(AV254,AV259,AV260,AV273,AV274,AV275,AV276)</f>
        <v>228171</v>
      </c>
      <c r="AW277" s="274">
        <f>SUM(AW254+AW259+AW260+AW273+AW274+AW275+AW276)</f>
        <v>240081</v>
      </c>
      <c r="AX277" s="274">
        <f>SUM(AX254+AX259+AX260+AX273+AX274+AX275+AX276)</f>
        <v>272429</v>
      </c>
      <c r="AY277" s="274">
        <f>SUM(AY254+AY259+AY260+AY273+AY274+AY275+AY276)</f>
        <v>284339</v>
      </c>
      <c r="AZ277" s="274">
        <f>SUM(AZ254+AZ259+AZ260+AZ273+AZ274+AZ275+AZ276)</f>
        <v>316687</v>
      </c>
      <c r="BA277" s="274">
        <f>SUM(BA254,BA259,BA260,BA273,BA274,BA275,BA276)</f>
        <v>316687</v>
      </c>
      <c r="BB277" s="274">
        <f>SUM(BB254+BB259+BB260+BB273+BB274+BB275+BB276)</f>
        <v>349035</v>
      </c>
      <c r="BC277" s="274">
        <f>SUM(BC254+BC259+BC260+BC273+BC274+BC275+BC276)</f>
        <v>437551</v>
      </c>
      <c r="BD277" s="274">
        <f>SUM(BD254+BD259+BD260+BD273+BD274+BD275+BD276)</f>
        <v>469899</v>
      </c>
      <c r="BE277" s="274">
        <f>SUM(BE254+BE259+BE260+BE273+BE274+BE275+BE276)</f>
        <v>558415</v>
      </c>
      <c r="BF277" s="274">
        <f>SUM(BF254,BF259,BF260,BF273,BF274,BF275,BF276)</f>
        <v>558415</v>
      </c>
      <c r="BG277" s="274">
        <f>SUM(BG254+BG259+BG260+BG273+BG274+BG275+BG276)</f>
        <v>646931</v>
      </c>
      <c r="BH277" s="274">
        <f>SUM(BH254+BH259+BH260+BH273+BH274+BH275+BH276)</f>
        <v>888659</v>
      </c>
      <c r="BI277" s="274">
        <f>SUM(BI254+BI259+BI260+BI273+BI274+BI275+BI276)</f>
        <v>977175</v>
      </c>
      <c r="BJ277" s="274">
        <f>SUM(BJ254+BJ259+BJ260+BJ273+BJ274+BJ275+BJ276)</f>
        <v>1218903</v>
      </c>
      <c r="BK277" s="274">
        <f>SUM(BK254,BK259,BK260,BK273,BK274,BK275,BK276)</f>
        <v>1218903</v>
      </c>
      <c r="BL277" s="274">
        <f>SUM(BL254+BL259+BL260+BL273+BL274+BL275+BL276)</f>
        <v>1460631</v>
      </c>
      <c r="BM277" s="274">
        <f>SUM(BM254+BM259+BM260+BM273+BM274+BM275+BM276)</f>
        <v>2121119</v>
      </c>
      <c r="BN277" s="274">
        <f>SUM(BN254+BN259+BN260+BN273+BN274+BN275+BN276)</f>
        <v>2362847</v>
      </c>
      <c r="BO277" s="274">
        <f>SUM(BO254+BO259+BO260+BO273+BO274+BO275+BO276)</f>
        <v>3023335</v>
      </c>
      <c r="BP277" s="274">
        <f>SUM(BP254,BP259,BP260,BP273,BP274,BP275,BP276)</f>
        <v>3023335</v>
      </c>
      <c r="BQ277" s="274">
        <f>SUM(BQ254+BQ259+BQ260+BQ273+BQ274+BQ275+BQ276)</f>
        <v>3683823</v>
      </c>
      <c r="BR277" s="274">
        <f>SUM(BR254+BR259+BR260+BR273+BR274+BR275+BR276)</f>
        <v>5488255</v>
      </c>
      <c r="BS277" s="274">
        <f>SUM(BS254+BS259+BS260+BS273+BS274+BS275+BS276)</f>
        <v>6148743</v>
      </c>
      <c r="BT277" s="274">
        <f>SUM(BT254+BT259+BT260+BT273+BT274+BT275+BT276)</f>
        <v>7953175</v>
      </c>
      <c r="BU277" s="274">
        <f>SUM(BU254,BU259,BU260,BU273,BU274,BU275,BU276)</f>
        <v>7953175</v>
      </c>
      <c r="BV277" s="274">
        <f>SUM(BV254+BV259+BV260+BV273+BV274+BV275+BV276)</f>
        <v>9757607</v>
      </c>
      <c r="BW277" s="274">
        <f>SUM(BW254+BW259+BW260+BW273+BW274+BW275+BW276)</f>
        <v>14687447</v>
      </c>
      <c r="BX277" s="274">
        <f>SUM(BX254+BX259+BX260+BX273+BX274+BX275+BX276)</f>
        <v>16491879</v>
      </c>
      <c r="BY277" s="274">
        <f>SUM(BY254+BY259+BY260+BY273+BY274+BY275+BY276)</f>
        <v>21421719</v>
      </c>
      <c r="BZ277" s="274">
        <f>SUM(BZ254,BZ259,BZ260,BZ273,BZ274,BZ275,BZ276)</f>
        <v>21421719</v>
      </c>
      <c r="CA277" s="274">
        <f>SUM(CA254+CA259+CA260+CA273+CA274+CA275+CA276)</f>
        <v>26351559</v>
      </c>
      <c r="CB277" s="274">
        <f>SUM(CB254+CB259+CB260+CB273+CB274+CB275+CB276)</f>
        <v>39820103</v>
      </c>
      <c r="CC277" s="274">
        <f>SUM(CC254+CC259+CC260+CC273+CC274+CC275+CC276)</f>
        <v>44749943</v>
      </c>
      <c r="CD277" s="274">
        <f>SUM(CD254+CD259+CD260+CD273+CD274+CD275+CD276)</f>
        <v>58218487</v>
      </c>
      <c r="CE277" s="274">
        <f>SUM(CE254,CE259,CE260,CE273,CE274,CE275,CE276)</f>
        <v>58218487</v>
      </c>
      <c r="CF277" s="274">
        <f>SUM(CF254+CF259+CF260+CF273+CF274+CF275+CF276)</f>
        <v>71687031</v>
      </c>
      <c r="CG277" s="274">
        <f>SUM(CG254+CG259+CG260+CG273+CG274+CG275+CG276)</f>
        <v>108483799</v>
      </c>
      <c r="CH277" s="274">
        <f>SUM(CH254+CH259+CH260+CH273+CH274+CH275+CH276)</f>
        <v>121952343</v>
      </c>
      <c r="CI277" s="274">
        <f>SUM(CI254+CI259+CI260+CI273+CI274+CI275+CI276)</f>
        <v>158749111</v>
      </c>
      <c r="CJ277" s="274">
        <f>SUM(CJ254,CJ259,CJ260,CJ273,CJ274,CJ275,CJ276)</f>
        <v>158749111</v>
      </c>
      <c r="CK277" s="274">
        <f>SUM(CK254+CK259+CK260+CK273+CK274+CK275+CK276)</f>
        <v>195545879</v>
      </c>
      <c r="CL277" s="274">
        <f>SUM(CL254+CL259+CL260+CL273+CL274+CL275+CL276)</f>
        <v>296076503</v>
      </c>
      <c r="CM277" s="274">
        <f>SUM(CM254+CM259+CM260+CM273+CM274+CM275+CM276)</f>
        <v>332873271</v>
      </c>
      <c r="CN277" s="274">
        <f>SUM(CN254+CN259+CN260+CN273+CN274+CN275+CN276)</f>
        <v>433403895</v>
      </c>
      <c r="CO277" s="274">
        <f>SUM(CO254,CO259,CO260,CO273,CO274,CO275,CO276)</f>
        <v>433403895</v>
      </c>
      <c r="CP277" s="274">
        <f>SUM(CP254+CP259+CP260+CP273+CP274+CP275+CP276)</f>
        <v>533934519</v>
      </c>
      <c r="CQ277" s="274">
        <f>SUM(CQ254+CQ259+CQ260+CQ273+CQ274+CQ275+CQ276)</f>
        <v>808589303</v>
      </c>
      <c r="CR277" s="274">
        <f>SUM(CR254+CR259+CR260+CR273+CR274+CR275+CR276)</f>
        <v>909119927</v>
      </c>
      <c r="CS277" s="274">
        <f>SUM(CS254+CS259+CS260+CS273+CS274+CS275+CS276)</f>
        <v>1183774711</v>
      </c>
      <c r="CT277" s="274">
        <f>SUM(CT254,CT259,CT260,CT273,CT274,CT275,CT276)</f>
        <v>1183774711</v>
      </c>
      <c r="CU277" s="274">
        <f>SUM(CU254+CU259+CU260+CU273+CU274+CU275+CU276)</f>
        <v>1458429495</v>
      </c>
      <c r="CV277" s="274">
        <f>SUM(CV254+CV259+CV260+CV273+CV274+CV275+CV276)</f>
        <v>2208800311</v>
      </c>
      <c r="CW277" s="274">
        <f>SUM(CW254+CW259+CW260+CW273+CW274+CW275+CW276)</f>
        <v>2483455095</v>
      </c>
      <c r="CX277" s="274">
        <f>SUM(CX254+CX259+CX260+CX273+CX274+CX275+CX276)</f>
        <v>3233825911</v>
      </c>
      <c r="CY277" s="274">
        <f>SUM(CY254,CY259,CY260,CY273,CY274,CY275,CY276)</f>
        <v>3233825911</v>
      </c>
    </row>
    <row r="278" ht="12.75" customHeight="1" s="254">
      <c r="C278" s="264" t="n"/>
      <c r="D278" s="266" t="n"/>
      <c r="E278" s="266" t="n"/>
      <c r="F278" s="266" t="n"/>
      <c r="G278" s="266" t="n"/>
      <c r="H278" s="266" t="n"/>
      <c r="I278" s="266" t="n"/>
      <c r="J278" s="266" t="n"/>
      <c r="K278" s="266" t="n"/>
      <c r="L278" s="266" t="n"/>
      <c r="M278" s="266" t="n"/>
      <c r="N278" s="266" t="n"/>
      <c r="O278" s="266" t="n"/>
      <c r="P278" s="266" t="n"/>
      <c r="Q278" s="266" t="n"/>
      <c r="R278" s="266" t="n"/>
      <c r="S278" s="266" t="n"/>
      <c r="T278" s="266" t="n"/>
      <c r="U278" s="266" t="n"/>
      <c r="V278" s="266" t="n"/>
      <c r="W278" s="266" t="n"/>
      <c r="X278" s="266" t="n"/>
      <c r="Y278" s="266" t="n"/>
      <c r="Z278" s="266" t="n"/>
      <c r="AA278" s="266" t="n"/>
      <c r="AB278" s="266" t="n"/>
      <c r="AC278" s="266" t="n"/>
      <c r="AD278" s="266" t="n"/>
      <c r="AE278" s="266" t="n"/>
      <c r="AF278" s="266" t="n"/>
      <c r="AG278" s="266" t="n"/>
      <c r="AH278" s="266" t="n"/>
      <c r="AI278" s="266" t="n"/>
      <c r="AJ278" s="266" t="n"/>
      <c r="AK278" s="266" t="n"/>
      <c r="AL278" s="266" t="n"/>
      <c r="AM278" s="266" t="n"/>
      <c r="AN278" s="266" t="n"/>
      <c r="AO278" s="266" t="n"/>
      <c r="AP278" s="266" t="n"/>
      <c r="AQ278" s="266" t="n"/>
      <c r="AR278" s="266" t="n"/>
      <c r="AS278" s="266" t="n"/>
      <c r="AT278" s="266" t="n"/>
      <c r="AU278" s="266" t="n"/>
      <c r="AV278" s="266" t="n"/>
      <c r="AW278" s="266" t="n"/>
      <c r="AX278" s="266" t="n"/>
      <c r="AY278" s="266" t="n"/>
      <c r="AZ278" s="266" t="n"/>
      <c r="BA278" s="266" t="n"/>
      <c r="BB278" s="266" t="n"/>
      <c r="BC278" s="266" t="n"/>
      <c r="BD278" s="266" t="n"/>
      <c r="BE278" s="266" t="n"/>
      <c r="BF278" s="266" t="n"/>
      <c r="BG278" s="266" t="n"/>
      <c r="BH278" s="266" t="n"/>
      <c r="BI278" s="266" t="n"/>
      <c r="BJ278" s="266" t="n"/>
      <c r="BK278" s="266" t="n"/>
      <c r="BL278" s="266" t="n"/>
      <c r="BM278" s="266" t="n"/>
      <c r="BN278" s="266" t="n"/>
      <c r="BO278" s="266" t="n"/>
      <c r="BP278" s="266" t="n"/>
      <c r="BQ278" s="266" t="n"/>
      <c r="BR278" s="266" t="n"/>
      <c r="BS278" s="266" t="n"/>
      <c r="BT278" s="266" t="n"/>
      <c r="BU278" s="266" t="n"/>
      <c r="BV278" s="266" t="n"/>
      <c r="BW278" s="266" t="n"/>
      <c r="BX278" s="266" t="n"/>
      <c r="BY278" s="266" t="n"/>
      <c r="BZ278" s="266" t="n"/>
      <c r="CA278" s="266" t="n"/>
      <c r="CB278" s="266" t="n"/>
      <c r="CC278" s="266" t="n"/>
      <c r="CD278" s="266" t="n"/>
      <c r="CE278" s="266" t="n"/>
      <c r="CF278" s="266" t="n"/>
      <c r="CG278" s="266" t="n"/>
      <c r="CH278" s="266" t="n"/>
      <c r="CI278" s="266" t="n"/>
      <c r="CJ278" s="266" t="n"/>
      <c r="CK278" s="266" t="n"/>
      <c r="CL278" s="266" t="n"/>
      <c r="CM278" s="266" t="n"/>
      <c r="CN278" s="266" t="n"/>
      <c r="CO278" s="266" t="n"/>
      <c r="CP278" s="266" t="n"/>
      <c r="CQ278" s="266" t="n"/>
      <c r="CR278" s="266" t="n"/>
      <c r="CS278" s="266" t="n"/>
      <c r="CT278" s="266" t="n"/>
      <c r="CU278" s="266" t="n"/>
      <c r="CV278" s="266" t="n"/>
      <c r="CW278" s="266" t="n"/>
      <c r="CX278" s="266" t="n"/>
      <c r="CY278" s="266" t="n"/>
    </row>
    <row r="279" ht="12.75" customFormat="1" customHeight="1" s="285">
      <c r="A279" s="286" t="n"/>
      <c r="B279" s="257" t="n"/>
      <c r="C279" s="273" t="inlineStr">
        <is>
          <t>Total Liabilities + Shareholders' Equity</t>
        </is>
      </c>
      <c r="D279" s="274">
        <f>D277+D253</f>
        <v>0</v>
      </c>
      <c r="E279" s="274">
        <f>E277+E253</f>
        <v>0</v>
      </c>
      <c r="F279" s="274">
        <f>F277+F253</f>
        <v>0</v>
      </c>
      <c r="G279" s="274">
        <f>G277+G253</f>
        <v>0</v>
      </c>
      <c r="H279" s="274">
        <f>H277+H253</f>
        <v>0</v>
      </c>
      <c r="I279" s="274">
        <f>I277+I253</f>
        <v>385400</v>
      </c>
      <c r="J279" s="274">
        <f>J277+J253</f>
        <v>397857</v>
      </c>
      <c r="K279" s="274">
        <f>K277+K253</f>
        <v>408769</v>
      </c>
      <c r="L279" s="274">
        <f>L277+L253</f>
        <v>404379</v>
      </c>
      <c r="M279" s="274">
        <f>M277+M253</f>
        <v>404379</v>
      </c>
      <c r="N279" s="274">
        <f>N277+N253</f>
        <v>424987</v>
      </c>
      <c r="O279" s="274">
        <f>O277+O253</f>
        <v>447898</v>
      </c>
      <c r="P279" s="274">
        <f>P277+P253</f>
        <v>437358</v>
      </c>
      <c r="Q279" s="274">
        <f>Q277+Q253</f>
        <v>443024</v>
      </c>
      <c r="R279" s="274">
        <f>R277+R253</f>
        <v>443024</v>
      </c>
      <c r="S279" s="274">
        <f>S277+S253</f>
        <v>429154</v>
      </c>
      <c r="T279" s="274">
        <f>T277+T253</f>
        <v>415033</v>
      </c>
      <c r="U279" s="274">
        <f>U277+U253</f>
        <v>413498</v>
      </c>
      <c r="V279" s="274">
        <f>V277+V253</f>
        <v>406270</v>
      </c>
      <c r="W279" s="274">
        <f>W277+W253</f>
        <v>406270</v>
      </c>
      <c r="X279" s="274">
        <f>X277+X253</f>
        <v>402039</v>
      </c>
      <c r="Y279" s="274">
        <f>Y277+Y253</f>
        <v>394783</v>
      </c>
      <c r="Z279" s="274">
        <f>Z277+Z253</f>
        <v>394949</v>
      </c>
      <c r="AA279" s="274">
        <f>AA277+AA253</f>
        <v>387607</v>
      </c>
      <c r="AB279" s="274">
        <f>AB277+AB253</f>
        <v>387607</v>
      </c>
      <c r="AC279" s="274">
        <f>AC277+AC253</f>
        <v>389248</v>
      </c>
      <c r="AD279" s="274">
        <f>AD277+AD253</f>
        <v>387920</v>
      </c>
      <c r="AE279" s="274">
        <f>AE277+AE253</f>
        <v>377738</v>
      </c>
      <c r="AF279" s="274">
        <f>AF277+AF253</f>
        <v>370351</v>
      </c>
      <c r="AG279" s="274">
        <f>AG277+AG253</f>
        <v>370351</v>
      </c>
      <c r="AH279" s="274">
        <f>AH277+AH253</f>
        <v>380598</v>
      </c>
      <c r="AI279" s="274">
        <f>AI277+AI253</f>
        <v>380513</v>
      </c>
      <c r="AJ279" s="274">
        <f>AJ277+AJ253</f>
        <v>315863</v>
      </c>
      <c r="AK279" s="274">
        <f>AK277+AK253</f>
        <v>317554</v>
      </c>
      <c r="AL279" s="274">
        <f>AL277+AL253</f>
        <v>317554</v>
      </c>
      <c r="AM279" s="274" t="e">
        <f>AM277+AM253</f>
        <v>#DIV/0!</v>
      </c>
      <c r="AN279" s="274">
        <f>AN277+AN253</f>
        <v>323509</v>
      </c>
      <c r="AO279" s="274" t="e">
        <f>AO277+AO253</f>
        <v>#DIV/0!</v>
      </c>
      <c r="AP279" s="274" t="e">
        <f>AP277+AP253</f>
        <v>#DIV/0!</v>
      </c>
      <c r="AQ279" s="274" t="e">
        <f>AQ277+AQ253</f>
        <v>#DIV/0!</v>
      </c>
      <c r="AR279" s="274" t="e">
        <f>AR277+AR253</f>
        <v>#DIV/0!</v>
      </c>
      <c r="AS279" s="274" t="e">
        <f>AS277+AS253</f>
        <v>#DIV/0!</v>
      </c>
      <c r="AT279" s="274" t="e">
        <f>AT277+AT253</f>
        <v>#DIV/0!</v>
      </c>
      <c r="AU279" s="274" t="e">
        <f>AU277+AU253</f>
        <v>#DIV/0!</v>
      </c>
      <c r="AV279" s="274" t="e">
        <f>AV277+AV253</f>
        <v>#DIV/0!</v>
      </c>
      <c r="AW279" s="274" t="e">
        <f>AW277+AW253</f>
        <v>#DIV/0!</v>
      </c>
      <c r="AX279" s="274" t="e">
        <f>AX277+AX253</f>
        <v>#DIV/0!</v>
      </c>
      <c r="AY279" s="274" t="e">
        <f>AY277+AY253</f>
        <v>#DIV/0!</v>
      </c>
      <c r="AZ279" s="274" t="e">
        <f>AZ277+AZ253</f>
        <v>#DIV/0!</v>
      </c>
      <c r="BA279" s="274" t="e">
        <f>BA277+BA253</f>
        <v>#DIV/0!</v>
      </c>
      <c r="BB279" s="274" t="e">
        <f>BB277+BB253</f>
        <v>#DIV/0!</v>
      </c>
      <c r="BC279" s="274" t="e">
        <f>BC277+BC253</f>
        <v>#DIV/0!</v>
      </c>
      <c r="BD279" s="274" t="e">
        <f>BD277+BD253</f>
        <v>#DIV/0!</v>
      </c>
      <c r="BE279" s="274" t="e">
        <f>BE277+BE253</f>
        <v>#DIV/0!</v>
      </c>
      <c r="BF279" s="274" t="e">
        <f>BF277+BF253</f>
        <v>#DIV/0!</v>
      </c>
      <c r="BG279" s="274" t="e">
        <f>BG277+BG253</f>
        <v>#DIV/0!</v>
      </c>
      <c r="BH279" s="274" t="e">
        <f>BH277+BH253</f>
        <v>#DIV/0!</v>
      </c>
      <c r="BI279" s="274" t="e">
        <f>BI277+BI253</f>
        <v>#DIV/0!</v>
      </c>
      <c r="BJ279" s="274" t="e">
        <f>BJ277+BJ253</f>
        <v>#DIV/0!</v>
      </c>
      <c r="BK279" s="274" t="e">
        <f>BK277+BK253</f>
        <v>#DIV/0!</v>
      </c>
      <c r="BL279" s="274" t="e">
        <f>BL277+BL253</f>
        <v>#DIV/0!</v>
      </c>
      <c r="BM279" s="274" t="e">
        <f>BM277+BM253</f>
        <v>#DIV/0!</v>
      </c>
      <c r="BN279" s="274" t="e">
        <f>BN277+BN253</f>
        <v>#DIV/0!</v>
      </c>
      <c r="BO279" s="274" t="e">
        <f>BO277+BO253</f>
        <v>#DIV/0!</v>
      </c>
      <c r="BP279" s="274" t="e">
        <f>BP277+BP253</f>
        <v>#DIV/0!</v>
      </c>
      <c r="BQ279" s="274" t="e">
        <f>BQ277+BQ253</f>
        <v>#DIV/0!</v>
      </c>
      <c r="BR279" s="274" t="e">
        <f>BR277+BR253</f>
        <v>#DIV/0!</v>
      </c>
      <c r="BS279" s="274" t="e">
        <f>BS277+BS253</f>
        <v>#DIV/0!</v>
      </c>
      <c r="BT279" s="274" t="e">
        <f>BT277+BT253</f>
        <v>#DIV/0!</v>
      </c>
      <c r="BU279" s="274" t="e">
        <f>BU277+BU253</f>
        <v>#DIV/0!</v>
      </c>
      <c r="BV279" s="274" t="e">
        <f>BV277+BV253</f>
        <v>#DIV/0!</v>
      </c>
      <c r="BW279" s="274" t="e">
        <f>BW277+BW253</f>
        <v>#DIV/0!</v>
      </c>
      <c r="BX279" s="274" t="e">
        <f>BX277+BX253</f>
        <v>#DIV/0!</v>
      </c>
      <c r="BY279" s="274" t="e">
        <f>BY277+BY253</f>
        <v>#DIV/0!</v>
      </c>
      <c r="BZ279" s="274" t="e">
        <f>BZ277+BZ253</f>
        <v>#DIV/0!</v>
      </c>
      <c r="CA279" s="274" t="e">
        <f>CA277+CA253</f>
        <v>#DIV/0!</v>
      </c>
      <c r="CB279" s="274" t="e">
        <f>CB277+CB253</f>
        <v>#DIV/0!</v>
      </c>
      <c r="CC279" s="274" t="e">
        <f>CC277+CC253</f>
        <v>#DIV/0!</v>
      </c>
      <c r="CD279" s="274" t="e">
        <f>CD277+CD253</f>
        <v>#DIV/0!</v>
      </c>
      <c r="CE279" s="274" t="e">
        <f>CE277+CE253</f>
        <v>#DIV/0!</v>
      </c>
      <c r="CF279" s="274" t="e">
        <f>CF277+CF253</f>
        <v>#DIV/0!</v>
      </c>
      <c r="CG279" s="274" t="e">
        <f>CG277+CG253</f>
        <v>#DIV/0!</v>
      </c>
      <c r="CH279" s="274" t="e">
        <f>CH277+CH253</f>
        <v>#DIV/0!</v>
      </c>
      <c r="CI279" s="274" t="e">
        <f>CI277+CI253</f>
        <v>#DIV/0!</v>
      </c>
      <c r="CJ279" s="274" t="e">
        <f>CJ277+CJ253</f>
        <v>#DIV/0!</v>
      </c>
      <c r="CK279" s="274" t="e">
        <f>CK277+CK253</f>
        <v>#DIV/0!</v>
      </c>
      <c r="CL279" s="274" t="e">
        <f>CL277+CL253</f>
        <v>#DIV/0!</v>
      </c>
      <c r="CM279" s="274" t="e">
        <f>CM277+CM253</f>
        <v>#DIV/0!</v>
      </c>
      <c r="CN279" s="274" t="e">
        <f>CN277+CN253</f>
        <v>#DIV/0!</v>
      </c>
      <c r="CO279" s="274" t="e">
        <f>CO277+CO253</f>
        <v>#DIV/0!</v>
      </c>
      <c r="CP279" s="274" t="e">
        <f>CP277+CP253</f>
        <v>#DIV/0!</v>
      </c>
      <c r="CQ279" s="274" t="e">
        <f>CQ277+CQ253</f>
        <v>#DIV/0!</v>
      </c>
      <c r="CR279" s="274" t="e">
        <f>CR277+CR253</f>
        <v>#DIV/0!</v>
      </c>
      <c r="CS279" s="274" t="e">
        <f>CS277+CS253</f>
        <v>#DIV/0!</v>
      </c>
      <c r="CT279" s="274" t="e">
        <f>CT277+CT253</f>
        <v>#DIV/0!</v>
      </c>
      <c r="CU279" s="274" t="e">
        <f>CU277+CU253</f>
        <v>#DIV/0!</v>
      </c>
      <c r="CV279" s="274" t="e">
        <f>CV277+CV253</f>
        <v>#DIV/0!</v>
      </c>
      <c r="CW279" s="274" t="e">
        <f>CW277+CW253</f>
        <v>#DIV/0!</v>
      </c>
      <c r="CX279" s="274" t="e">
        <f>CX277+CX253</f>
        <v>#DIV/0!</v>
      </c>
      <c r="CY279" s="274" t="e">
        <f>CY277+CY253</f>
        <v>#DIV/0!</v>
      </c>
    </row>
    <row r="280" ht="12.75" customHeight="1" s="254">
      <c r="C280" s="272" t="n"/>
      <c r="D280" s="257" t="n"/>
      <c r="E280" s="257" t="n"/>
      <c r="F280" s="257" t="n"/>
      <c r="G280" s="257" t="n"/>
      <c r="H280" s="257" t="n"/>
      <c r="I280" s="257" t="n"/>
      <c r="J280" s="257" t="n"/>
      <c r="K280" s="257" t="n"/>
      <c r="L280" s="257" t="n"/>
      <c r="M280" s="257" t="n"/>
      <c r="N280" s="257" t="n"/>
      <c r="O280" s="257" t="n"/>
      <c r="P280" s="257" t="n"/>
      <c r="Q280" s="257" t="n"/>
      <c r="R280" s="257" t="n"/>
      <c r="S280" s="257" t="n"/>
      <c r="T280" s="257" t="n"/>
      <c r="U280" s="257" t="n"/>
      <c r="V280" s="257" t="n"/>
      <c r="W280" s="257" t="n"/>
      <c r="X280" s="257" t="n"/>
      <c r="Y280" s="257" t="n"/>
      <c r="Z280" s="257" t="n"/>
      <c r="AA280" s="257" t="n"/>
      <c r="AB280" s="257" t="n"/>
      <c r="AC280" s="257" t="n"/>
      <c r="AD280" s="257" t="n"/>
      <c r="AE280" s="257" t="n"/>
      <c r="AF280" s="257" t="n"/>
      <c r="AG280" s="257" t="n"/>
      <c r="AH280" s="257" t="n"/>
      <c r="AI280" s="257" t="n"/>
      <c r="AJ280" s="257" t="n"/>
      <c r="AK280" s="257" t="n"/>
      <c r="AL280" s="257" t="n"/>
      <c r="AM280" s="257" t="n"/>
      <c r="AN280" s="257" t="n"/>
      <c r="AO280" s="257" t="n"/>
      <c r="AP280" s="257" t="n"/>
      <c r="AQ280" s="257" t="n"/>
      <c r="AR280" s="257" t="n"/>
      <c r="AS280" s="257" t="n"/>
      <c r="AT280" s="257" t="n"/>
      <c r="AU280" s="257" t="n"/>
      <c r="AV280" s="257" t="n"/>
      <c r="AW280" s="257" t="n"/>
      <c r="AX280" s="257" t="n"/>
      <c r="AY280" s="257" t="n"/>
      <c r="AZ280" s="257" t="n"/>
      <c r="BA280" s="257" t="n"/>
      <c r="BB280" s="257" t="n"/>
      <c r="BC280" s="257" t="n"/>
      <c r="BD280" s="257" t="n"/>
      <c r="BE280" s="257" t="n"/>
      <c r="BF280" s="257" t="n"/>
      <c r="BG280" s="257" t="n"/>
      <c r="BH280" s="257" t="n"/>
      <c r="BI280" s="257" t="n"/>
      <c r="BJ280" s="257" t="n"/>
      <c r="BK280" s="257" t="n"/>
      <c r="BL280" s="257" t="n"/>
      <c r="BM280" s="257" t="n"/>
      <c r="BN280" s="257" t="n"/>
      <c r="BO280" s="257" t="n"/>
      <c r="BP280" s="257" t="n"/>
      <c r="BQ280" s="257" t="n"/>
      <c r="BR280" s="257" t="n"/>
      <c r="BS280" s="257" t="n"/>
      <c r="BT280" s="257" t="n"/>
      <c r="BU280" s="257" t="n"/>
      <c r="BV280" s="257" t="n"/>
      <c r="BW280" s="257" t="n"/>
      <c r="BX280" s="257" t="n"/>
      <c r="BY280" s="257" t="n"/>
      <c r="BZ280" s="257" t="n"/>
      <c r="CA280" s="257" t="n"/>
      <c r="CB280" s="257" t="n"/>
      <c r="CC280" s="257" t="n"/>
      <c r="CD280" s="257" t="n"/>
      <c r="CE280" s="257" t="n"/>
      <c r="CF280" s="257" t="n"/>
      <c r="CG280" s="257" t="n"/>
      <c r="CH280" s="257" t="n"/>
      <c r="CI280" s="257" t="n"/>
      <c r="CJ280" s="257" t="n"/>
      <c r="CK280" s="257" t="n"/>
      <c r="CL280" s="257" t="n"/>
      <c r="CM280" s="257" t="n"/>
      <c r="CN280" s="257" t="n"/>
      <c r="CO280" s="257" t="n"/>
      <c r="CP280" s="257" t="n"/>
      <c r="CQ280" s="257" t="n"/>
      <c r="CR280" s="257" t="n"/>
      <c r="CS280" s="257" t="n"/>
      <c r="CT280" s="257" t="n"/>
      <c r="CU280" s="257" t="n"/>
      <c r="CV280" s="257" t="n"/>
      <c r="CW280" s="257" t="n"/>
      <c r="CX280" s="257" t="n"/>
      <c r="CY280" s="257" t="n"/>
    </row>
    <row r="281" ht="12.75" customFormat="1" customHeight="1" s="285">
      <c r="A281" s="286" t="n"/>
      <c r="B281" s="286" t="n"/>
      <c r="C281" s="287" t="inlineStr">
        <is>
          <t>Cash Flow Statement</t>
        </is>
      </c>
      <c r="D281" s="325" t="str">
        <f>D148</f>
        <v>1Q20</v>
      </c>
      <c r="E281" s="325" t="str">
        <f>E148</f>
        <v>2Q20</v>
      </c>
      <c r="F281" s="325" t="str">
        <f>F148</f>
        <v>3Q20</v>
      </c>
      <c r="G281" s="325" t="str">
        <f>G148</f>
        <v>4Q20</v>
      </c>
      <c r="H281" s="325">
        <f>H148</f>
        <v>2020</v>
      </c>
      <c r="I281" s="325" t="str">
        <f>I148</f>
        <v>1Q21</v>
      </c>
      <c r="J281" s="325" t="str">
        <f>J148</f>
        <v>2Q21</v>
      </c>
      <c r="K281" s="325" t="str">
        <f>K148</f>
        <v>3Q21</v>
      </c>
      <c r="L281" s="325" t="str">
        <f>L148</f>
        <v>4Q21</v>
      </c>
      <c r="M281" s="325">
        <f>M148</f>
        <v>2021</v>
      </c>
      <c r="N281" s="325" t="str">
        <f>N148</f>
        <v>1Q22</v>
      </c>
      <c r="O281" s="325" t="str">
        <f>O148</f>
        <v>2Q22</v>
      </c>
      <c r="P281" s="325" t="str">
        <f>P148</f>
        <v>3Q22</v>
      </c>
      <c r="Q281" s="325" t="str">
        <f>Q148</f>
        <v>4Q22</v>
      </c>
      <c r="R281" s="325">
        <f>R148</f>
        <v>2022</v>
      </c>
      <c r="S281" s="325" t="str">
        <f>S148</f>
        <v>1Q23</v>
      </c>
      <c r="T281" s="325" t="str">
        <f>T148</f>
        <v>2Q23</v>
      </c>
      <c r="U281" s="325" t="str">
        <f>U148</f>
        <v>3Q23</v>
      </c>
      <c r="V281" s="325" t="str">
        <f>V148</f>
        <v>4Q23</v>
      </c>
      <c r="W281" s="325">
        <f>W148</f>
        <v>2023</v>
      </c>
      <c r="X281" s="325" t="str">
        <f>X148</f>
        <v>1Q24</v>
      </c>
      <c r="Y281" s="325" t="str">
        <f>Y148</f>
        <v>2Q24</v>
      </c>
      <c r="Z281" s="325" t="str">
        <f>Z148</f>
        <v>3Q24</v>
      </c>
      <c r="AA281" s="325" t="str">
        <f>AA148</f>
        <v>4Q24</v>
      </c>
      <c r="AB281" s="325">
        <f>AB148</f>
        <v>2024</v>
      </c>
      <c r="AC281" s="325" t="str">
        <f>AC148</f>
        <v>1Q25</v>
      </c>
      <c r="AD281" s="325" t="str">
        <f>AD148</f>
        <v>2Q25</v>
      </c>
      <c r="AE281" s="325" t="str">
        <f>AE148</f>
        <v>3Q25</v>
      </c>
      <c r="AF281" s="325" t="str">
        <f>AF148</f>
        <v>4Q25</v>
      </c>
      <c r="AG281" s="325">
        <f>AG148</f>
        <v>2025</v>
      </c>
      <c r="AH281" s="325" t="str">
        <f>AH148</f>
        <v>1Q26</v>
      </c>
      <c r="AI281" s="325" t="str">
        <f>AI148</f>
        <v>2Q26</v>
      </c>
      <c r="AJ281" s="325" t="str">
        <f>AJ148</f>
        <v>3Q26</v>
      </c>
      <c r="AK281" s="325" t="str">
        <f>AK148</f>
        <v>4Q26</v>
      </c>
      <c r="AL281" s="325">
        <f>AL148</f>
        <v>2026</v>
      </c>
      <c r="AM281" s="325" t="str">
        <f>AM148</f>
        <v>1Q27</v>
      </c>
      <c r="AN281" s="325" t="str">
        <f>AN148</f>
        <v>2Q27</v>
      </c>
      <c r="AO281" s="325" t="str">
        <f>AO148</f>
        <v>3Q27</v>
      </c>
      <c r="AP281" s="325" t="str">
        <f>AP148</f>
        <v>4Q27</v>
      </c>
      <c r="AQ281" s="325">
        <f>AQ148</f>
        <v>2027</v>
      </c>
      <c r="AR281" s="325" t="str">
        <f>AR148</f>
        <v>1Q28</v>
      </c>
      <c r="AS281" s="325" t="str">
        <f>AS148</f>
        <v>2Q28</v>
      </c>
      <c r="AT281" s="325" t="str">
        <f>AT148</f>
        <v>3Q28</v>
      </c>
      <c r="AU281" s="325" t="str">
        <f>AU148</f>
        <v>4Q28</v>
      </c>
      <c r="AV281" s="325">
        <f>AV148</f>
        <v>2028</v>
      </c>
      <c r="AW281" s="325" t="str">
        <f>AW148</f>
        <v>1Q29</v>
      </c>
      <c r="AX281" s="325" t="str">
        <f>AX148</f>
        <v>2Q29</v>
      </c>
      <c r="AY281" s="325" t="str">
        <f>AY148</f>
        <v>3Q29</v>
      </c>
      <c r="AZ281" s="325" t="str">
        <f>AZ148</f>
        <v>4Q29</v>
      </c>
      <c r="BA281" s="325">
        <f>BA148</f>
        <v>2029</v>
      </c>
      <c r="BB281" s="325" t="str">
        <f>BB148</f>
        <v>1Q30</v>
      </c>
      <c r="BC281" s="325" t="str">
        <f>BC148</f>
        <v>2Q30</v>
      </c>
      <c r="BD281" s="325" t="str">
        <f>BD148</f>
        <v>3Q30</v>
      </c>
      <c r="BE281" s="325" t="str">
        <f>BE148</f>
        <v>4Q30</v>
      </c>
      <c r="BF281" s="325">
        <f>BF148</f>
        <v>2030</v>
      </c>
      <c r="BG281" s="325" t="str">
        <f>BG148</f>
        <v>1Q31</v>
      </c>
      <c r="BH281" s="325" t="str">
        <f>BH148</f>
        <v>2Q31</v>
      </c>
      <c r="BI281" s="325" t="str">
        <f>BI148</f>
        <v>3Q31</v>
      </c>
      <c r="BJ281" s="325" t="str">
        <f>BJ148</f>
        <v>4Q31</v>
      </c>
      <c r="BK281" s="325">
        <f>BK148</f>
        <v>2031</v>
      </c>
      <c r="BL281" s="325" t="str">
        <f>BL148</f>
        <v>1Q32</v>
      </c>
      <c r="BM281" s="325" t="str">
        <f>BM148</f>
        <v>2Q32</v>
      </c>
      <c r="BN281" s="325" t="str">
        <f>BN148</f>
        <v>3Q32</v>
      </c>
      <c r="BO281" s="325" t="str">
        <f>BO148</f>
        <v>4Q32</v>
      </c>
      <c r="BP281" s="325">
        <f>BP148</f>
        <v>2032</v>
      </c>
      <c r="BQ281" s="325" t="str">
        <f>BQ148</f>
        <v>1Q33</v>
      </c>
      <c r="BR281" s="325" t="str">
        <f>BR148</f>
        <v>2Q33</v>
      </c>
      <c r="BS281" s="325" t="str">
        <f>BS148</f>
        <v>3Q33</v>
      </c>
      <c r="BT281" s="325" t="str">
        <f>BT148</f>
        <v>4Q33</v>
      </c>
      <c r="BU281" s="325">
        <f>BU148</f>
        <v>2033</v>
      </c>
      <c r="BV281" s="325" t="str">
        <f>BV148</f>
        <v>1Q34</v>
      </c>
      <c r="BW281" s="325" t="str">
        <f>BW148</f>
        <v>2Q34</v>
      </c>
      <c r="BX281" s="325" t="str">
        <f>BX148</f>
        <v>3Q34</v>
      </c>
      <c r="BY281" s="325" t="str">
        <f>BY148</f>
        <v>4Q34</v>
      </c>
      <c r="BZ281" s="325">
        <f>BZ148</f>
        <v>2034</v>
      </c>
      <c r="CA281" s="325" t="str">
        <f>CA148</f>
        <v>1Q35</v>
      </c>
      <c r="CB281" s="325" t="str">
        <f>CB148</f>
        <v>2Q35</v>
      </c>
      <c r="CC281" s="325" t="str">
        <f>CC148</f>
        <v>3Q35</v>
      </c>
      <c r="CD281" s="325" t="str">
        <f>CD148</f>
        <v>4Q35</v>
      </c>
      <c r="CE281" s="325">
        <f>CE148</f>
        <v>2035</v>
      </c>
      <c r="CF281" s="325" t="str">
        <f>CF148</f>
        <v>1Q36</v>
      </c>
      <c r="CG281" s="325" t="str">
        <f>CG148</f>
        <v>2Q36</v>
      </c>
      <c r="CH281" s="325" t="str">
        <f>CH148</f>
        <v>3Q36</v>
      </c>
      <c r="CI281" s="325" t="str">
        <f>CI148</f>
        <v>4Q36</v>
      </c>
      <c r="CJ281" s="325">
        <f>CJ148</f>
        <v>2036</v>
      </c>
      <c r="CK281" s="325" t="str">
        <f>CK148</f>
        <v>1Q37</v>
      </c>
      <c r="CL281" s="325" t="str">
        <f>CL148</f>
        <v>2Q37</v>
      </c>
      <c r="CM281" s="325" t="str">
        <f>CM148</f>
        <v>3Q37</v>
      </c>
      <c r="CN281" s="325" t="str">
        <f>CN148</f>
        <v>4Q37</v>
      </c>
      <c r="CO281" s="325">
        <f>CO148</f>
        <v>2037</v>
      </c>
      <c r="CP281" s="325" t="str">
        <f>CP148</f>
        <v>1Q38</v>
      </c>
      <c r="CQ281" s="325" t="str">
        <f>CQ148</f>
        <v>2Q38</v>
      </c>
      <c r="CR281" s="325" t="str">
        <f>CR148</f>
        <v>3Q38</v>
      </c>
      <c r="CS281" s="325" t="str">
        <f>CS148</f>
        <v>4Q38</v>
      </c>
      <c r="CT281" s="325">
        <f>CT148</f>
        <v>2038</v>
      </c>
      <c r="CU281" s="325" t="str">
        <f>CU148</f>
        <v>1Q39</v>
      </c>
      <c r="CV281" s="325" t="str">
        <f>CV148</f>
        <v>2Q39</v>
      </c>
      <c r="CW281" s="325" t="str">
        <f>CW148</f>
        <v>3Q39</v>
      </c>
      <c r="CX281" s="325" t="str">
        <f>CX148</f>
        <v>4Q39</v>
      </c>
      <c r="CY281" s="325">
        <f>CY148</f>
        <v>2039</v>
      </c>
    </row>
    <row r="282" ht="12.75" customHeight="1" s="254">
      <c r="C282" s="272" t="n"/>
      <c r="D282" s="257" t="n"/>
      <c r="E282" s="257" t="n"/>
      <c r="F282" s="257" t="n"/>
      <c r="G282" s="257" t="n"/>
      <c r="H282" s="257" t="n"/>
      <c r="I282" s="257" t="n"/>
      <c r="J282" s="257" t="n"/>
      <c r="K282" s="257" t="n"/>
      <c r="L282" s="257" t="n"/>
      <c r="M282" s="257" t="n"/>
      <c r="N282" s="257" t="n"/>
      <c r="O282" s="257" t="n"/>
      <c r="P282" s="257" t="n"/>
      <c r="Q282" s="257" t="n"/>
      <c r="R282" s="257" t="n"/>
      <c r="S282" s="257" t="n"/>
      <c r="T282" s="257" t="n"/>
      <c r="U282" s="257" t="n"/>
      <c r="V282" s="257" t="n"/>
      <c r="W282" s="257" t="n"/>
      <c r="X282" s="257" t="n"/>
      <c r="Y282" s="257" t="n"/>
      <c r="Z282" s="257" t="n"/>
      <c r="AA282" s="257" t="n"/>
      <c r="AB282" s="257" t="n"/>
      <c r="AC282" s="257" t="n"/>
      <c r="AD282" s="257" t="n"/>
      <c r="AE282" s="257" t="n"/>
      <c r="AF282" s="257" t="n"/>
      <c r="AG282" s="257" t="n"/>
      <c r="AH282" s="257" t="n"/>
      <c r="AI282" s="257" t="n"/>
      <c r="AJ282" s="257" t="n"/>
      <c r="AK282" s="257" t="n"/>
      <c r="AL282" s="257" t="n"/>
      <c r="AM282" s="257" t="n"/>
      <c r="AN282" s="257" t="n"/>
      <c r="AO282" s="257" t="n"/>
      <c r="AP282" s="257" t="n"/>
      <c r="AQ282" s="257" t="n"/>
      <c r="AR282" s="257" t="n"/>
      <c r="AS282" s="257" t="n"/>
      <c r="AT282" s="257" t="n"/>
      <c r="AU282" s="257" t="n"/>
      <c r="AV282" s="257" t="n"/>
      <c r="AW282" s="257" t="n"/>
      <c r="AX282" s="257" t="n"/>
      <c r="AY282" s="257" t="n"/>
      <c r="AZ282" s="257" t="n"/>
      <c r="BA282" s="257" t="n"/>
      <c r="BB282" s="257" t="n"/>
      <c r="BC282" s="257" t="n"/>
      <c r="BD282" s="257" t="n"/>
      <c r="BE282" s="257" t="n"/>
      <c r="BF282" s="257" t="n"/>
      <c r="BG282" s="257" t="n"/>
      <c r="BH282" s="257" t="n"/>
      <c r="BI282" s="257" t="n"/>
      <c r="BJ282" s="257" t="n"/>
      <c r="BK282" s="257" t="n"/>
      <c r="BL282" s="257" t="n"/>
      <c r="BM282" s="257" t="n"/>
      <c r="BN282" s="257" t="n"/>
      <c r="BO282" s="257" t="n"/>
      <c r="BP282" s="257" t="n"/>
      <c r="BQ282" s="257" t="n"/>
      <c r="BR282" s="257" t="n"/>
      <c r="BS282" s="257" t="n"/>
      <c r="BT282" s="257" t="n"/>
      <c r="BU282" s="257" t="n"/>
      <c r="BV282" s="257" t="n"/>
      <c r="BW282" s="257" t="n"/>
      <c r="BX282" s="257" t="n"/>
      <c r="BY282" s="257" t="n"/>
      <c r="BZ282" s="257" t="n"/>
      <c r="CA282" s="257" t="n"/>
      <c r="CB282" s="257" t="n"/>
      <c r="CC282" s="257" t="n"/>
      <c r="CD282" s="257" t="n"/>
      <c r="CE282" s="257" t="n"/>
      <c r="CF282" s="257" t="n"/>
      <c r="CG282" s="257" t="n"/>
      <c r="CH282" s="257" t="n"/>
      <c r="CI282" s="257" t="n"/>
      <c r="CJ282" s="257" t="n"/>
      <c r="CK282" s="257" t="n"/>
      <c r="CL282" s="257" t="n"/>
      <c r="CM282" s="257" t="n"/>
      <c r="CN282" s="257" t="n"/>
      <c r="CO282" s="257" t="n"/>
      <c r="CP282" s="257" t="n"/>
      <c r="CQ282" s="257" t="n"/>
      <c r="CR282" s="257" t="n"/>
      <c r="CS282" s="257" t="n"/>
      <c r="CT282" s="257" t="n"/>
      <c r="CU282" s="257" t="n"/>
      <c r="CV282" s="257" t="n"/>
      <c r="CW282" s="257" t="n"/>
      <c r="CX282" s="257" t="n"/>
      <c r="CY282" s="257" t="n"/>
    </row>
    <row r="283" ht="12.75" customHeight="1" s="254">
      <c r="C283" s="264" t="inlineStr">
        <is>
          <t>Net Income</t>
        </is>
      </c>
      <c r="D283" s="266" t="n"/>
      <c r="E283" s="266">
        <f>E143</f>
        <v>0</v>
      </c>
      <c r="F283" s="266">
        <f>F143</f>
        <v>0</v>
      </c>
      <c r="G283" s="266">
        <f>G143</f>
        <v>0</v>
      </c>
      <c r="H283" s="266">
        <f>SUM(D283:G283)</f>
        <v>0</v>
      </c>
      <c r="I283" s="266">
        <f>I143</f>
        <v>5660</v>
      </c>
      <c r="J283" s="266">
        <f>J143</f>
        <v>3428</v>
      </c>
      <c r="K283" s="266">
        <f>K143</f>
        <v>-447</v>
      </c>
      <c r="L283" s="266">
        <f>L143</f>
        <v>11461</v>
      </c>
      <c r="M283" s="266">
        <f>SUM(I283:L283)</f>
        <v>20102</v>
      </c>
      <c r="N283" s="266">
        <f>N143</f>
        <v>7116</v>
      </c>
      <c r="O283" s="266">
        <f>O143</f>
        <v>18040</v>
      </c>
      <c r="P283" s="266">
        <f>P143</f>
        <v>6743</v>
      </c>
      <c r="Q283" s="266">
        <f>Q143</f>
        <v>10409</v>
      </c>
      <c r="R283" s="266">
        <f>SUM(N283:Q283)</f>
        <v>42308</v>
      </c>
      <c r="S283" s="266">
        <f>S143</f>
        <v>8709</v>
      </c>
      <c r="T283" s="266">
        <f>T143</f>
        <v>3134</v>
      </c>
      <c r="U283" s="266">
        <f>U143</f>
        <v>7044</v>
      </c>
      <c r="V283" s="266">
        <f>V143</f>
        <v>474</v>
      </c>
      <c r="W283" s="266">
        <f>SUM(S283:V283)</f>
        <v>19361</v>
      </c>
      <c r="X283" s="266">
        <f>X143</f>
        <v>7358</v>
      </c>
      <c r="Y283" s="266">
        <f>Y143</f>
        <v>3517</v>
      </c>
      <c r="Z283" s="266">
        <f>Z143</f>
        <v>4291</v>
      </c>
      <c r="AA283" s="266">
        <f>AA143</f>
        <v>928</v>
      </c>
      <c r="AB283" s="266">
        <f>SUM(X283:AA283)</f>
        <v>16094</v>
      </c>
      <c r="AC283" s="266">
        <f>AC143</f>
        <v>4780</v>
      </c>
      <c r="AD283" s="266">
        <f>AD143</f>
        <v>3601</v>
      </c>
      <c r="AE283" s="266">
        <f>AE143</f>
        <v>5322</v>
      </c>
      <c r="AF283" s="266">
        <f>AF143</f>
        <v>4134</v>
      </c>
      <c r="AG283" s="266">
        <f>SUM(AC283:AF283)</f>
        <v>17837</v>
      </c>
      <c r="AH283" s="266">
        <f>AH143</f>
        <v>5694</v>
      </c>
      <c r="AI283" s="266">
        <f>AI143</f>
        <v>10821</v>
      </c>
      <c r="AJ283" s="266">
        <f>AJ143</f>
        <v>343</v>
      </c>
      <c r="AK283" s="266">
        <f>AK143</f>
        <v>1645</v>
      </c>
      <c r="AL283" s="266">
        <f>SUM(AH283:AK283)</f>
        <v>18503</v>
      </c>
      <c r="AM283" s="266">
        <f>AM143</f>
        <v>1627</v>
      </c>
      <c r="AN283" s="266">
        <f>AN143</f>
        <v>4280</v>
      </c>
      <c r="AO283" s="266">
        <f>AO143</f>
        <v>1593</v>
      </c>
      <c r="AP283" s="266">
        <f>AP143</f>
        <v>4218</v>
      </c>
      <c r="AQ283" s="266">
        <f>SUM(AM283:AP283)</f>
        <v>11718</v>
      </c>
      <c r="AR283" s="266">
        <f>AR143</f>
        <v>4200</v>
      </c>
      <c r="AS283" s="266">
        <f>AS143</f>
        <v>11926</v>
      </c>
      <c r="AT283" s="266">
        <f>AT143</f>
        <v>4166</v>
      </c>
      <c r="AU283" s="266">
        <f>AU143</f>
        <v>11864</v>
      </c>
      <c r="AV283" s="266">
        <f>SUM(AR283:AU283)</f>
        <v>32156</v>
      </c>
      <c r="AW283" s="266">
        <f>AW143</f>
        <v>11846</v>
      </c>
      <c r="AX283" s="266">
        <f>AX143</f>
        <v>32364</v>
      </c>
      <c r="AY283" s="266">
        <f>AY143</f>
        <v>11812</v>
      </c>
      <c r="AZ283" s="266">
        <f>AZ143</f>
        <v>32302</v>
      </c>
      <c r="BA283" s="266">
        <f>SUM(AW283:AZ283)</f>
        <v>88324</v>
      </c>
      <c r="BB283" s="266">
        <f>BB143</f>
        <v>32284</v>
      </c>
      <c r="BC283" s="266">
        <f>BC143</f>
        <v>88532</v>
      </c>
      <c r="BD283" s="266">
        <f>BD143</f>
        <v>32250</v>
      </c>
      <c r="BE283" s="266">
        <f>BE143</f>
        <v>88470</v>
      </c>
      <c r="BF283" s="266">
        <f>SUM(BB283:BE283)</f>
        <v>241536</v>
      </c>
      <c r="BG283" s="266">
        <f>BG143</f>
        <v>88452</v>
      </c>
      <c r="BH283" s="266">
        <f>BH143</f>
        <v>241744</v>
      </c>
      <c r="BI283" s="266">
        <f>BI143</f>
        <v>88418</v>
      </c>
      <c r="BJ283" s="266">
        <f>BJ143</f>
        <v>241682</v>
      </c>
      <c r="BK283" s="266">
        <f>SUM(BG283:BJ283)</f>
        <v>660296</v>
      </c>
      <c r="BL283" s="266">
        <f>BL143</f>
        <v>241664</v>
      </c>
      <c r="BM283" s="266">
        <f>BM143</f>
        <v>660504</v>
      </c>
      <c r="BN283" s="266">
        <f>BN143</f>
        <v>241630</v>
      </c>
      <c r="BO283" s="266">
        <f>BO143</f>
        <v>660442</v>
      </c>
      <c r="BP283" s="266">
        <f>SUM(BL283:BO283)</f>
        <v>1804240</v>
      </c>
      <c r="BQ283" s="266">
        <f>BQ143</f>
        <v>660424</v>
      </c>
      <c r="BR283" s="266">
        <f>BR143</f>
        <v>1804448</v>
      </c>
      <c r="BS283" s="266">
        <f>BS143</f>
        <v>660390</v>
      </c>
      <c r="BT283" s="266">
        <f>BT143</f>
        <v>1804386</v>
      </c>
      <c r="BU283" s="266">
        <f>SUM(BQ283:BT283)</f>
        <v>4929648</v>
      </c>
      <c r="BV283" s="266">
        <f>BV143</f>
        <v>1804368</v>
      </c>
      <c r="BW283" s="266">
        <f>BW143</f>
        <v>4929856</v>
      </c>
      <c r="BX283" s="266">
        <f>BX143</f>
        <v>1804334</v>
      </c>
      <c r="BY283" s="266">
        <f>BY143</f>
        <v>4929794</v>
      </c>
      <c r="BZ283" s="266">
        <f>SUM(BV283:BY283)</f>
        <v>13468352</v>
      </c>
      <c r="CA283" s="266">
        <f>CA143</f>
        <v>4929776</v>
      </c>
      <c r="CB283" s="266">
        <f>CB143</f>
        <v>13468560</v>
      </c>
      <c r="CC283" s="266">
        <f>CC143</f>
        <v>4929742</v>
      </c>
      <c r="CD283" s="266">
        <f>CD143</f>
        <v>13468498</v>
      </c>
      <c r="CE283" s="266">
        <f>SUM(CA283:CD283)</f>
        <v>36796576</v>
      </c>
      <c r="CF283" s="266">
        <f>CF143</f>
        <v>13468480</v>
      </c>
      <c r="CG283" s="266">
        <f>CG143</f>
        <v>36796784</v>
      </c>
      <c r="CH283" s="266">
        <f>CH143</f>
        <v>13468446</v>
      </c>
      <c r="CI283" s="266">
        <f>CI143</f>
        <v>36796722</v>
      </c>
      <c r="CJ283" s="266">
        <f>SUM(CF283:CI283)</f>
        <v>100530432</v>
      </c>
      <c r="CK283" s="266">
        <f>CK143</f>
        <v>36796704</v>
      </c>
      <c r="CL283" s="266">
        <f>CL143</f>
        <v>100530640</v>
      </c>
      <c r="CM283" s="266">
        <f>CM143</f>
        <v>36796670</v>
      </c>
      <c r="CN283" s="266">
        <f>CN143</f>
        <v>100530578</v>
      </c>
      <c r="CO283" s="266">
        <f>SUM(CK283:CN283)</f>
        <v>274654592</v>
      </c>
      <c r="CP283" s="266">
        <f>CP143</f>
        <v>100530560</v>
      </c>
      <c r="CQ283" s="266">
        <f>CQ143</f>
        <v>274654800</v>
      </c>
      <c r="CR283" s="266">
        <f>CR143</f>
        <v>100530526</v>
      </c>
      <c r="CS283" s="266">
        <f>CS143</f>
        <v>274654738</v>
      </c>
      <c r="CT283" s="266">
        <f>SUM(CP283:CS283)</f>
        <v>750370624</v>
      </c>
      <c r="CU283" s="266">
        <f>CU143</f>
        <v>274654720</v>
      </c>
      <c r="CV283" s="266">
        <f>CV143</f>
        <v>750370832</v>
      </c>
      <c r="CW283" s="266">
        <f>CW143</f>
        <v>274654686</v>
      </c>
      <c r="CX283" s="266">
        <f>CX143</f>
        <v>750370770</v>
      </c>
      <c r="CY283" s="266">
        <f>SUM(CU283:CX283)</f>
        <v>2050051008</v>
      </c>
    </row>
    <row r="284" ht="12.75" customHeight="1" s="254">
      <c r="C284" s="264" t="inlineStr">
        <is>
          <t>Depreciation &amp; amortization</t>
        </is>
      </c>
      <c r="D284" s="266" t="n"/>
      <c r="E284" s="266">
        <f>-E76</f>
        <v>0</v>
      </c>
      <c r="F284" s="266">
        <f>-F76</f>
        <v>0</v>
      </c>
      <c r="G284" s="266">
        <f>-G76</f>
        <v>0</v>
      </c>
      <c r="H284" s="266">
        <f>SUM(D284:G284)</f>
        <v>0</v>
      </c>
      <c r="I284" s="266">
        <f>-I76</f>
        <v>5896</v>
      </c>
      <c r="J284" s="266">
        <f>-J76</f>
        <v>8223</v>
      </c>
      <c r="K284" s="266">
        <f>-K76</f>
        <v>6358</v>
      </c>
      <c r="L284" s="266">
        <f>-L76</f>
        <v>6445</v>
      </c>
      <c r="M284" s="266">
        <f>SUM(I284:L284)</f>
        <v>26922</v>
      </c>
      <c r="N284" s="266">
        <f>-N76</f>
        <v>6295</v>
      </c>
      <c r="O284" s="266">
        <f>-O76</f>
        <v>-348</v>
      </c>
      <c r="P284" s="266">
        <f>-P76</f>
        <v>6124</v>
      </c>
      <c r="Q284" s="266">
        <f>-Q76</f>
        <v>6459</v>
      </c>
      <c r="R284" s="266">
        <f>SUM(N284:Q284)</f>
        <v>18530</v>
      </c>
      <c r="S284" s="266">
        <f>-S76</f>
        <v>6285</v>
      </c>
      <c r="T284" s="266">
        <f>-T76</f>
        <v>7872</v>
      </c>
      <c r="U284" s="266">
        <f>-U76</f>
        <v>5911</v>
      </c>
      <c r="V284" s="266">
        <f>-V76</f>
        <v>11221</v>
      </c>
      <c r="W284" s="266">
        <f>SUM(S284:V284)</f>
        <v>31289</v>
      </c>
      <c r="X284" s="266">
        <f>-X76</f>
        <v>5881</v>
      </c>
      <c r="Y284" s="266">
        <f>-Y76</f>
        <v>7555</v>
      </c>
      <c r="Z284" s="266">
        <f>-Z76</f>
        <v>5916</v>
      </c>
      <c r="AA284" s="266">
        <f>-AA76</f>
        <v>7520</v>
      </c>
      <c r="AB284" s="266">
        <f>SUM(X284:AA284)</f>
        <v>26872</v>
      </c>
      <c r="AC284" s="266">
        <f>-AC76</f>
        <v>5441</v>
      </c>
      <c r="AD284" s="266">
        <f>-AD76</f>
        <v>6670</v>
      </c>
      <c r="AE284" s="266">
        <f>-AE76</f>
        <v>6607</v>
      </c>
      <c r="AF284" s="266">
        <f>-AF76</f>
        <v>6581</v>
      </c>
      <c r="AG284" s="266">
        <f>SUM(AC284:AF284)</f>
        <v>25299</v>
      </c>
      <c r="AH284" s="266">
        <f>-AH76</f>
        <v>5743</v>
      </c>
      <c r="AI284" s="266">
        <f>-AI76</f>
        <v>6183</v>
      </c>
      <c r="AJ284" s="266">
        <f>-AJ76</f>
        <v>0</v>
      </c>
      <c r="AK284" s="266">
        <f>-AK76</f>
        <v>0</v>
      </c>
      <c r="AL284" s="266">
        <f>SUM(AH284:AK284)</f>
        <v>11926</v>
      </c>
      <c r="AM284" s="266">
        <f>-AM76</f>
        <v>0</v>
      </c>
      <c r="AN284" s="266">
        <f>-AN76</f>
        <v>0</v>
      </c>
      <c r="AO284" s="266">
        <f>-AO76</f>
        <v>0</v>
      </c>
      <c r="AP284" s="266">
        <f>-AP76</f>
        <v>0</v>
      </c>
      <c r="AQ284" s="266">
        <f>SUM(AM284:AP284)</f>
        <v>0</v>
      </c>
      <c r="AR284" s="266">
        <f>-AR76</f>
        <v>0</v>
      </c>
      <c r="AS284" s="266">
        <f>-AS76</f>
        <v>0</v>
      </c>
      <c r="AT284" s="266">
        <f>-AT76</f>
        <v>0</v>
      </c>
      <c r="AU284" s="266">
        <f>-AU76</f>
        <v>0</v>
      </c>
      <c r="AV284" s="266">
        <f>SUM(AR284:AU284)</f>
        <v>0</v>
      </c>
      <c r="AW284" s="266">
        <f>-AW76</f>
        <v>0</v>
      </c>
      <c r="AX284" s="266">
        <f>-AX76</f>
        <v>0</v>
      </c>
      <c r="AY284" s="266">
        <f>-AY76</f>
        <v>0</v>
      </c>
      <c r="AZ284" s="266">
        <f>-AZ76</f>
        <v>0</v>
      </c>
      <c r="BA284" s="266">
        <f>SUM(AW284:AZ284)</f>
        <v>0</v>
      </c>
      <c r="BB284" s="266">
        <f>-BB76</f>
        <v>0</v>
      </c>
      <c r="BC284" s="266">
        <f>-BC76</f>
        <v>0</v>
      </c>
      <c r="BD284" s="266">
        <f>-BD76</f>
        <v>0</v>
      </c>
      <c r="BE284" s="266">
        <f>-BE76</f>
        <v>0</v>
      </c>
      <c r="BF284" s="266">
        <f>SUM(BB284:BE284)</f>
        <v>0</v>
      </c>
      <c r="BG284" s="266">
        <f>-BG76</f>
        <v>0</v>
      </c>
      <c r="BH284" s="266">
        <f>-BH76</f>
        <v>0</v>
      </c>
      <c r="BI284" s="266">
        <f>-BI76</f>
        <v>0</v>
      </c>
      <c r="BJ284" s="266">
        <f>-BJ76</f>
        <v>0</v>
      </c>
      <c r="BK284" s="266">
        <f>SUM(BG284:BJ284)</f>
        <v>0</v>
      </c>
      <c r="BL284" s="266">
        <f>-BL76</f>
        <v>0</v>
      </c>
      <c r="BM284" s="266">
        <f>-BM76</f>
        <v>0</v>
      </c>
      <c r="BN284" s="266">
        <f>-BN76</f>
        <v>0</v>
      </c>
      <c r="BO284" s="266">
        <f>-BO76</f>
        <v>0</v>
      </c>
      <c r="BP284" s="266">
        <f>SUM(BL284:BO284)</f>
        <v>0</v>
      </c>
      <c r="BQ284" s="266">
        <f>-BQ76</f>
        <v>0</v>
      </c>
      <c r="BR284" s="266">
        <f>-BR76</f>
        <v>0</v>
      </c>
      <c r="BS284" s="266">
        <f>-BS76</f>
        <v>0</v>
      </c>
      <c r="BT284" s="266">
        <f>-BT76</f>
        <v>0</v>
      </c>
      <c r="BU284" s="266">
        <f>SUM(BQ284:BT284)</f>
        <v>0</v>
      </c>
      <c r="BV284" s="266">
        <f>-BV76</f>
        <v>0</v>
      </c>
      <c r="BW284" s="266">
        <f>-BW76</f>
        <v>0</v>
      </c>
      <c r="BX284" s="266">
        <f>-BX76</f>
        <v>0</v>
      </c>
      <c r="BY284" s="266">
        <f>-BY76</f>
        <v>0</v>
      </c>
      <c r="BZ284" s="266">
        <f>SUM(BV284:BY284)</f>
        <v>0</v>
      </c>
      <c r="CA284" s="266">
        <f>-CA76</f>
        <v>0</v>
      </c>
      <c r="CB284" s="266">
        <f>-CB76</f>
        <v>0</v>
      </c>
      <c r="CC284" s="266">
        <f>-CC76</f>
        <v>0</v>
      </c>
      <c r="CD284" s="266">
        <f>-CD76</f>
        <v>0</v>
      </c>
      <c r="CE284" s="266">
        <f>SUM(CA284:CD284)</f>
        <v>0</v>
      </c>
      <c r="CF284" s="266">
        <f>-CF76</f>
        <v>0</v>
      </c>
      <c r="CG284" s="266">
        <f>-CG76</f>
        <v>0</v>
      </c>
      <c r="CH284" s="266">
        <f>-CH76</f>
        <v>0</v>
      </c>
      <c r="CI284" s="266">
        <f>-CI76</f>
        <v>0</v>
      </c>
      <c r="CJ284" s="266">
        <f>SUM(CF284:CI284)</f>
        <v>0</v>
      </c>
      <c r="CK284" s="266">
        <f>-CK76</f>
        <v>0</v>
      </c>
      <c r="CL284" s="266">
        <f>-CL76</f>
        <v>0</v>
      </c>
      <c r="CM284" s="266">
        <f>-CM76</f>
        <v>0</v>
      </c>
      <c r="CN284" s="266">
        <f>-CN76</f>
        <v>0</v>
      </c>
      <c r="CO284" s="266">
        <f>SUM(CK284:CN284)</f>
        <v>0</v>
      </c>
      <c r="CP284" s="266">
        <f>-CP76</f>
        <v>0</v>
      </c>
      <c r="CQ284" s="266">
        <f>-CQ76</f>
        <v>0</v>
      </c>
      <c r="CR284" s="266">
        <f>-CR76</f>
        <v>0</v>
      </c>
      <c r="CS284" s="266">
        <f>-CS76</f>
        <v>0</v>
      </c>
      <c r="CT284" s="266">
        <f>SUM(CP284:CS284)</f>
        <v>0</v>
      </c>
      <c r="CU284" s="266">
        <f>-CU76</f>
        <v>0</v>
      </c>
      <c r="CV284" s="266">
        <f>-CV76</f>
        <v>0</v>
      </c>
      <c r="CW284" s="266">
        <f>-CW76</f>
        <v>0</v>
      </c>
      <c r="CX284" s="266">
        <f>-CX76</f>
        <v>0</v>
      </c>
      <c r="CY284" s="266">
        <f>SUM(CU284:CX284)</f>
        <v>0</v>
      </c>
    </row>
    <row r="285" ht="12.75" customHeight="1" s="254">
      <c r="C285" s="264" t="inlineStr">
        <is>
          <t xml:space="preserve">Changes in working capital </t>
        </is>
      </c>
      <c r="D285" s="266" t="n"/>
      <c r="E285" s="266">
        <f>SUM(E286:E295)</f>
        <v>0</v>
      </c>
      <c r="F285" s="266">
        <f>SUM(F286:F295)</f>
        <v>0</v>
      </c>
      <c r="G285" s="266">
        <f>SUM(G286:G295)</f>
        <v>0</v>
      </c>
      <c r="H285" s="266">
        <f>SUM(D285:G285)</f>
        <v>0</v>
      </c>
      <c r="I285" s="266">
        <f>SUM(I286:I295)</f>
        <v>-9269</v>
      </c>
      <c r="J285" s="266">
        <f>SUM(J286:J295)</f>
        <v>475</v>
      </c>
      <c r="K285" s="266">
        <f>SUM(K286:K295)</f>
        <v>6459</v>
      </c>
      <c r="L285" s="266">
        <f>SUM(L286:L295)</f>
        <v>-2010</v>
      </c>
      <c r="M285" s="266">
        <f>SUM(I285:L285)</f>
        <v>-4345</v>
      </c>
      <c r="N285" s="266">
        <f>SUM(N286:N295)</f>
        <v>-1444</v>
      </c>
      <c r="O285" s="266">
        <f>SUM(O286:O295)</f>
        <v>-741</v>
      </c>
      <c r="P285" s="266">
        <f>SUM(P286:P295)</f>
        <v>-1175</v>
      </c>
      <c r="Q285" s="266">
        <f>SUM(Q286:Q295)</f>
        <v>2694</v>
      </c>
      <c r="R285" s="266">
        <f>SUM(N285:Q285)</f>
        <v>-666</v>
      </c>
      <c r="S285" s="266">
        <f>SUM(S286:S295)</f>
        <v>-107</v>
      </c>
      <c r="T285" s="266">
        <f>SUM(T286:T295)</f>
        <v>3458</v>
      </c>
      <c r="U285" s="266">
        <f>SUM(U286:U295)</f>
        <v>-1197</v>
      </c>
      <c r="V285" s="266">
        <f>SUM(V286:V295)</f>
        <v>1945</v>
      </c>
      <c r="W285" s="266">
        <f>SUM(S285:V285)</f>
        <v>4099</v>
      </c>
      <c r="X285" s="266">
        <f>SUM(X286:X295)</f>
        <v>-404</v>
      </c>
      <c r="Y285" s="266">
        <f>SUM(Y286:Y295)</f>
        <v>883</v>
      </c>
      <c r="Z285" s="266">
        <f>SUM(Z286:Z295)</f>
        <v>4113</v>
      </c>
      <c r="AA285" s="266">
        <f>SUM(AA286:AA295)</f>
        <v>-2440</v>
      </c>
      <c r="AB285" s="266">
        <f>SUM(X285:AA285)</f>
        <v>2152</v>
      </c>
      <c r="AC285" s="266">
        <f>SUM(AC286:AC295)</f>
        <v>-1336</v>
      </c>
      <c r="AD285" s="266">
        <f>SUM(AD286:AD295)</f>
        <v>-1859</v>
      </c>
      <c r="AE285" s="266">
        <f>SUM(AE286:AE295)</f>
        <v>-2704</v>
      </c>
      <c r="AF285" s="266">
        <f>SUM(AF286:AF295)</f>
        <v>4798</v>
      </c>
      <c r="AG285" s="266">
        <f>SUM(AC285:AF285)</f>
        <v>-1101</v>
      </c>
      <c r="AH285" s="266">
        <f>SUM(AH286:AH295)</f>
        <v>-8361</v>
      </c>
      <c r="AI285" s="266">
        <f>SUM(AI286:AI295)</f>
        <v>-938</v>
      </c>
      <c r="AJ285" s="266">
        <f>SUM(AJ286:AJ295)</f>
        <v>14486</v>
      </c>
      <c r="AK285" s="266">
        <f>SUM(AK286:AK295)</f>
        <v>0</v>
      </c>
      <c r="AL285" s="266">
        <f>SUM(AH285:AK285)</f>
        <v>5187</v>
      </c>
      <c r="AM285" s="266" t="e">
        <f>SUM(AM286:AM295)</f>
        <v>#DIV/0!</v>
      </c>
      <c r="AN285" s="266" t="e">
        <f>SUM(AN286:AN295)</f>
        <v>#DIV/0!</v>
      </c>
      <c r="AO285" s="266" t="e">
        <f>SUM(AO286:AO295)</f>
        <v>#DIV/0!</v>
      </c>
      <c r="AP285" s="266" t="e">
        <f>SUM(AP286:AP295)</f>
        <v>#DIV/0!</v>
      </c>
      <c r="AQ285" s="266" t="e">
        <f>SUM(AM285:AP285)</f>
        <v>#DIV/0!</v>
      </c>
      <c r="AR285" s="266" t="e">
        <f>SUM(AR286:AR295)</f>
        <v>#DIV/0!</v>
      </c>
      <c r="AS285" s="266" t="e">
        <f>SUM(AS286:AS295)</f>
        <v>#DIV/0!</v>
      </c>
      <c r="AT285" s="266" t="e">
        <f>SUM(AT286:AT295)</f>
        <v>#DIV/0!</v>
      </c>
      <c r="AU285" s="266" t="e">
        <f>SUM(AU286:AU295)</f>
        <v>#DIV/0!</v>
      </c>
      <c r="AV285" s="266" t="e">
        <f>SUM(AR285:AU285)</f>
        <v>#DIV/0!</v>
      </c>
      <c r="AW285" s="266" t="e">
        <f>SUM(AW286:AW295)</f>
        <v>#DIV/0!</v>
      </c>
      <c r="AX285" s="266" t="e">
        <f>SUM(AX286:AX295)</f>
        <v>#DIV/0!</v>
      </c>
      <c r="AY285" s="266" t="e">
        <f>SUM(AY286:AY295)</f>
        <v>#DIV/0!</v>
      </c>
      <c r="AZ285" s="266" t="e">
        <f>SUM(AZ286:AZ295)</f>
        <v>#DIV/0!</v>
      </c>
      <c r="BA285" s="266" t="e">
        <f>SUM(AW285:AZ285)</f>
        <v>#DIV/0!</v>
      </c>
      <c r="BB285" s="266" t="e">
        <f>SUM(BB286:BB295)</f>
        <v>#DIV/0!</v>
      </c>
      <c r="BC285" s="266" t="e">
        <f>SUM(BC286:BC295)</f>
        <v>#DIV/0!</v>
      </c>
      <c r="BD285" s="266" t="e">
        <f>SUM(BD286:BD295)</f>
        <v>#DIV/0!</v>
      </c>
      <c r="BE285" s="266" t="e">
        <f>SUM(BE286:BE295)</f>
        <v>#DIV/0!</v>
      </c>
      <c r="BF285" s="266" t="e">
        <f>SUM(BB285:BE285)</f>
        <v>#DIV/0!</v>
      </c>
      <c r="BG285" s="266" t="e">
        <f>SUM(BG286:BG295)</f>
        <v>#DIV/0!</v>
      </c>
      <c r="BH285" s="266" t="e">
        <f>SUM(BH286:BH295)</f>
        <v>#DIV/0!</v>
      </c>
      <c r="BI285" s="266" t="e">
        <f>SUM(BI286:BI295)</f>
        <v>#DIV/0!</v>
      </c>
      <c r="BJ285" s="266" t="e">
        <f>SUM(BJ286:BJ295)</f>
        <v>#DIV/0!</v>
      </c>
      <c r="BK285" s="266" t="e">
        <f>SUM(BG285:BJ285)</f>
        <v>#DIV/0!</v>
      </c>
      <c r="BL285" s="266" t="e">
        <f>SUM(BL286:BL295)</f>
        <v>#DIV/0!</v>
      </c>
      <c r="BM285" s="266" t="e">
        <f>SUM(BM286:BM295)</f>
        <v>#DIV/0!</v>
      </c>
      <c r="BN285" s="266" t="e">
        <f>SUM(BN286:BN295)</f>
        <v>#DIV/0!</v>
      </c>
      <c r="BO285" s="266" t="e">
        <f>SUM(BO286:BO295)</f>
        <v>#DIV/0!</v>
      </c>
      <c r="BP285" s="266" t="e">
        <f>SUM(BL285:BO285)</f>
        <v>#DIV/0!</v>
      </c>
      <c r="BQ285" s="266" t="e">
        <f>SUM(BQ286:BQ295)</f>
        <v>#DIV/0!</v>
      </c>
      <c r="BR285" s="266" t="e">
        <f>SUM(BR286:BR295)</f>
        <v>#DIV/0!</v>
      </c>
      <c r="BS285" s="266" t="e">
        <f>SUM(BS286:BS295)</f>
        <v>#DIV/0!</v>
      </c>
      <c r="BT285" s="266" t="e">
        <f>SUM(BT286:BT295)</f>
        <v>#DIV/0!</v>
      </c>
      <c r="BU285" s="266" t="e">
        <f>SUM(BQ285:BT285)</f>
        <v>#DIV/0!</v>
      </c>
      <c r="BV285" s="266" t="e">
        <f>SUM(BV286:BV295)</f>
        <v>#DIV/0!</v>
      </c>
      <c r="BW285" s="266" t="e">
        <f>SUM(BW286:BW295)</f>
        <v>#DIV/0!</v>
      </c>
      <c r="BX285" s="266" t="e">
        <f>SUM(BX286:BX295)</f>
        <v>#DIV/0!</v>
      </c>
      <c r="BY285" s="266" t="e">
        <f>SUM(BY286:BY295)</f>
        <v>#DIV/0!</v>
      </c>
      <c r="BZ285" s="266" t="e">
        <f>SUM(BV285:BY285)</f>
        <v>#DIV/0!</v>
      </c>
      <c r="CA285" s="266" t="e">
        <f>SUM(CA286:CA295)</f>
        <v>#DIV/0!</v>
      </c>
      <c r="CB285" s="266" t="e">
        <f>SUM(CB286:CB295)</f>
        <v>#DIV/0!</v>
      </c>
      <c r="CC285" s="266" t="e">
        <f>SUM(CC286:CC295)</f>
        <v>#DIV/0!</v>
      </c>
      <c r="CD285" s="266" t="e">
        <f>SUM(CD286:CD295)</f>
        <v>#DIV/0!</v>
      </c>
      <c r="CE285" s="266" t="e">
        <f>SUM(CA285:CD285)</f>
        <v>#DIV/0!</v>
      </c>
      <c r="CF285" s="266" t="e">
        <f>SUM(CF286:CF295)</f>
        <v>#DIV/0!</v>
      </c>
      <c r="CG285" s="266" t="e">
        <f>SUM(CG286:CG295)</f>
        <v>#DIV/0!</v>
      </c>
      <c r="CH285" s="266" t="e">
        <f>SUM(CH286:CH295)</f>
        <v>#DIV/0!</v>
      </c>
      <c r="CI285" s="266" t="e">
        <f>SUM(CI286:CI295)</f>
        <v>#DIV/0!</v>
      </c>
      <c r="CJ285" s="266" t="e">
        <f>SUM(CF285:CI285)</f>
        <v>#DIV/0!</v>
      </c>
      <c r="CK285" s="266" t="e">
        <f>SUM(CK286:CK295)</f>
        <v>#DIV/0!</v>
      </c>
      <c r="CL285" s="266" t="e">
        <f>SUM(CL286:CL295)</f>
        <v>#DIV/0!</v>
      </c>
      <c r="CM285" s="266" t="e">
        <f>SUM(CM286:CM295)</f>
        <v>#DIV/0!</v>
      </c>
      <c r="CN285" s="266" t="e">
        <f>SUM(CN286:CN295)</f>
        <v>#DIV/0!</v>
      </c>
      <c r="CO285" s="266" t="e">
        <f>SUM(CK285:CN285)</f>
        <v>#DIV/0!</v>
      </c>
      <c r="CP285" s="266" t="e">
        <f>SUM(CP286:CP295)</f>
        <v>#DIV/0!</v>
      </c>
      <c r="CQ285" s="266" t="e">
        <f>SUM(CQ286:CQ295)</f>
        <v>#DIV/0!</v>
      </c>
      <c r="CR285" s="266" t="e">
        <f>SUM(CR286:CR295)</f>
        <v>#DIV/0!</v>
      </c>
      <c r="CS285" s="266" t="e">
        <f>SUM(CS286:CS295)</f>
        <v>#DIV/0!</v>
      </c>
      <c r="CT285" s="266" t="e">
        <f>SUM(CP285:CS285)</f>
        <v>#DIV/0!</v>
      </c>
      <c r="CU285" s="266" t="e">
        <f>SUM(CU286:CU295)</f>
        <v>#DIV/0!</v>
      </c>
      <c r="CV285" s="266" t="e">
        <f>SUM(CV286:CV295)</f>
        <v>#DIV/0!</v>
      </c>
      <c r="CW285" s="266" t="e">
        <f>SUM(CW286:CW295)</f>
        <v>#DIV/0!</v>
      </c>
      <c r="CX285" s="266" t="e">
        <f>SUM(CX286:CX295)</f>
        <v>#DIV/0!</v>
      </c>
      <c r="CY285" s="266" t="e">
        <f>SUM(CU285:CX285)</f>
        <v>#DIV/0!</v>
      </c>
    </row>
    <row r="286" hidden="1" outlineLevel="1" ht="12.75" customHeight="1" s="254">
      <c r="C286" s="264" t="inlineStr">
        <is>
          <t>Accounts receivable</t>
        </is>
      </c>
      <c r="D286" s="266" t="n"/>
      <c r="E286" s="266">
        <f>(E151-D151)*-1</f>
        <v>0</v>
      </c>
      <c r="F286" s="266">
        <f>(F151-E151)*-1</f>
        <v>0</v>
      </c>
      <c r="G286" s="266">
        <f>(G151-F151)*-1</f>
        <v>0</v>
      </c>
      <c r="H286" s="266">
        <f>SUM(D286:G286)</f>
        <v>0</v>
      </c>
      <c r="I286" s="266">
        <f>(I151-H151)*-1</f>
        <v>-40142</v>
      </c>
      <c r="J286" s="266">
        <f>(J151-I151)*-1</f>
        <v>-3552</v>
      </c>
      <c r="K286" s="266">
        <f>(K151-J151)*-1</f>
        <v>-2672</v>
      </c>
      <c r="L286" s="266">
        <f>(L151-K151)*-1</f>
        <v>-6842</v>
      </c>
      <c r="M286" s="266">
        <f>SUM(I286:L286)</f>
        <v>-53208</v>
      </c>
      <c r="N286" s="266">
        <f>(N151-M151)*-1</f>
        <v>-10273</v>
      </c>
      <c r="O286" s="266">
        <f>(O151-N151)*-1</f>
        <v>-3227</v>
      </c>
      <c r="P286" s="266">
        <f>(P151-O151)*-1</f>
        <v>9</v>
      </c>
      <c r="Q286" s="266">
        <f>(Q151-P151)*-1</f>
        <v>189</v>
      </c>
      <c r="R286" s="266">
        <f>SUM(N286:Q286)</f>
        <v>-13302</v>
      </c>
      <c r="S286" s="266">
        <f>(S151-R151)*-1</f>
        <v>4772</v>
      </c>
      <c r="T286" s="266">
        <f>(T151-S151)*-1</f>
        <v>9355</v>
      </c>
      <c r="U286" s="266">
        <f>(U151-T151)*-1</f>
        <v>306</v>
      </c>
      <c r="V286" s="266">
        <f>(V151-U151)*-1</f>
        <v>-1196</v>
      </c>
      <c r="W286" s="266">
        <f>SUM(S286:V286)</f>
        <v>13237</v>
      </c>
      <c r="X286" s="266">
        <f>(X151-W151)*-1</f>
        <v>95</v>
      </c>
      <c r="Y286" s="266">
        <f>(Y151-X151)*-1</f>
        <v>2559</v>
      </c>
      <c r="Z286" s="266">
        <f>(Z151-Y151)*-1</f>
        <v>3837</v>
      </c>
      <c r="AA286" s="266">
        <f>(AA151-Z151)*-1</f>
        <v>922</v>
      </c>
      <c r="AB286" s="266">
        <f>SUM(X286:AA286)</f>
        <v>7413</v>
      </c>
      <c r="AC286" s="266">
        <f>(AC151-AB151)*-1</f>
        <v>-2387</v>
      </c>
      <c r="AD286" s="266">
        <f>(AD151-AC151)*-1</f>
        <v>2677</v>
      </c>
      <c r="AE286" s="266">
        <f>(AE151-AD151)*-1</f>
        <v>283</v>
      </c>
      <c r="AF286" s="266">
        <f>(AF151-AE151)*-1</f>
        <v>690</v>
      </c>
      <c r="AG286" s="266">
        <f>SUM(AC286:AF286)</f>
        <v>1263</v>
      </c>
      <c r="AH286" s="266">
        <f>(AH151-AG151)*-1</f>
        <v>-9294</v>
      </c>
      <c r="AI286" s="266">
        <f>(AI151-AH151)*-1</f>
        <v>953</v>
      </c>
      <c r="AJ286" s="266">
        <f>(AJ151-AI151)*-1</f>
        <v>52938</v>
      </c>
      <c r="AK286" s="266">
        <f>(AK151-AJ151)*-1</f>
        <v>0</v>
      </c>
      <c r="AL286" s="266">
        <f>SUM(AH286:AK286)</f>
        <v>44597</v>
      </c>
      <c r="AM286" s="266">
        <f>(AM151-AL151)*-1</f>
        <v>0</v>
      </c>
      <c r="AN286" s="266">
        <f>(AN151-AM151)*-1</f>
        <v>0</v>
      </c>
      <c r="AO286" s="266">
        <f>(AO151-AN151)*-1</f>
        <v>0</v>
      </c>
      <c r="AP286" s="266">
        <f>(AP151-AO151)*-1</f>
        <v>0</v>
      </c>
      <c r="AQ286" s="266">
        <f>SUM(AM286:AP286)</f>
        <v>0</v>
      </c>
      <c r="AR286" s="266">
        <f>(AR151-AQ151)*-1</f>
        <v>0</v>
      </c>
      <c r="AS286" s="266">
        <f>(AS151-AR151)*-1</f>
        <v>0</v>
      </c>
      <c r="AT286" s="266">
        <f>(AT151-AS151)*-1</f>
        <v>0</v>
      </c>
      <c r="AU286" s="266">
        <f>(AU151-AT151)*-1</f>
        <v>0</v>
      </c>
      <c r="AV286" s="266">
        <f>SUM(AR286:AU286)</f>
        <v>0</v>
      </c>
      <c r="AW286" s="266">
        <f>(AW151-AV151)*-1</f>
        <v>0</v>
      </c>
      <c r="AX286" s="266">
        <f>(AX151-AW151)*-1</f>
        <v>0</v>
      </c>
      <c r="AY286" s="266">
        <f>(AY151-AX151)*-1</f>
        <v>0</v>
      </c>
      <c r="AZ286" s="266">
        <f>(AZ151-AY151)*-1</f>
        <v>0</v>
      </c>
      <c r="BA286" s="266">
        <f>SUM(AW286:AZ286)</f>
        <v>0</v>
      </c>
      <c r="BB286" s="266">
        <f>(BB151-BA151)*-1</f>
        <v>0</v>
      </c>
      <c r="BC286" s="266">
        <f>(BC151-BB151)*-1</f>
        <v>0</v>
      </c>
      <c r="BD286" s="266">
        <f>(BD151-BC151)*-1</f>
        <v>0</v>
      </c>
      <c r="BE286" s="266">
        <f>(BE151-BD151)*-1</f>
        <v>0</v>
      </c>
      <c r="BF286" s="266">
        <f>SUM(BB286:BE286)</f>
        <v>0</v>
      </c>
      <c r="BG286" s="266">
        <f>(BG151-BF151)*-1</f>
        <v>0</v>
      </c>
      <c r="BH286" s="266">
        <f>(BH151-BG151)*-1</f>
        <v>0</v>
      </c>
      <c r="BI286" s="266">
        <f>(BI151-BH151)*-1</f>
        <v>0</v>
      </c>
      <c r="BJ286" s="266">
        <f>(BJ151-BI151)*-1</f>
        <v>0</v>
      </c>
      <c r="BK286" s="266">
        <f>SUM(BG286:BJ286)</f>
        <v>0</v>
      </c>
      <c r="BL286" s="266">
        <f>(BL151-BK151)*-1</f>
        <v>0</v>
      </c>
      <c r="BM286" s="266">
        <f>(BM151-BL151)*-1</f>
        <v>0</v>
      </c>
      <c r="BN286" s="266">
        <f>(BN151-BM151)*-1</f>
        <v>0</v>
      </c>
      <c r="BO286" s="266">
        <f>(BO151-BN151)*-1</f>
        <v>0</v>
      </c>
      <c r="BP286" s="266">
        <f>SUM(BL286:BO286)</f>
        <v>0</v>
      </c>
      <c r="BQ286" s="266">
        <f>(BQ151-BP151)*-1</f>
        <v>0</v>
      </c>
      <c r="BR286" s="266">
        <f>(BR151-BQ151)*-1</f>
        <v>0</v>
      </c>
      <c r="BS286" s="266">
        <f>(BS151-BR151)*-1</f>
        <v>0</v>
      </c>
      <c r="BT286" s="266">
        <f>(BT151-BS151)*-1</f>
        <v>0</v>
      </c>
      <c r="BU286" s="266">
        <f>SUM(BQ286:BT286)</f>
        <v>0</v>
      </c>
      <c r="BV286" s="266">
        <f>(BV151-BU151)*-1</f>
        <v>0</v>
      </c>
      <c r="BW286" s="266">
        <f>(BW151-BV151)*-1</f>
        <v>0</v>
      </c>
      <c r="BX286" s="266">
        <f>(BX151-BW151)*-1</f>
        <v>0</v>
      </c>
      <c r="BY286" s="266">
        <f>(BY151-BX151)*-1</f>
        <v>0</v>
      </c>
      <c r="BZ286" s="266">
        <f>SUM(BV286:BY286)</f>
        <v>0</v>
      </c>
      <c r="CA286" s="266">
        <f>(CA151-BZ151)*-1</f>
        <v>0</v>
      </c>
      <c r="CB286" s="266">
        <f>(CB151-CA151)*-1</f>
        <v>0</v>
      </c>
      <c r="CC286" s="266">
        <f>(CC151-CB151)*-1</f>
        <v>0</v>
      </c>
      <c r="CD286" s="266">
        <f>(CD151-CC151)*-1</f>
        <v>0</v>
      </c>
      <c r="CE286" s="266">
        <f>SUM(CA286:CD286)</f>
        <v>0</v>
      </c>
      <c r="CF286" s="266">
        <f>(CF151-CE151)*-1</f>
        <v>0</v>
      </c>
      <c r="CG286" s="266">
        <f>(CG151-CF151)*-1</f>
        <v>0</v>
      </c>
      <c r="CH286" s="266">
        <f>(CH151-CG151)*-1</f>
        <v>0</v>
      </c>
      <c r="CI286" s="266">
        <f>(CI151-CH151)*-1</f>
        <v>0</v>
      </c>
      <c r="CJ286" s="266">
        <f>SUM(CF286:CI286)</f>
        <v>0</v>
      </c>
      <c r="CK286" s="266">
        <f>(CK151-CJ151)*-1</f>
        <v>0</v>
      </c>
      <c r="CL286" s="266">
        <f>(CL151-CK151)*-1</f>
        <v>0</v>
      </c>
      <c r="CM286" s="266">
        <f>(CM151-CL151)*-1</f>
        <v>0</v>
      </c>
      <c r="CN286" s="266">
        <f>(CN151-CM151)*-1</f>
        <v>0</v>
      </c>
      <c r="CO286" s="266">
        <f>SUM(CK286:CN286)</f>
        <v>0</v>
      </c>
      <c r="CP286" s="266">
        <f>(CP151-CO151)*-1</f>
        <v>0</v>
      </c>
      <c r="CQ286" s="266">
        <f>(CQ151-CP151)*-1</f>
        <v>0</v>
      </c>
      <c r="CR286" s="266">
        <f>(CR151-CQ151)*-1</f>
        <v>0</v>
      </c>
      <c r="CS286" s="266">
        <f>(CS151-CR151)*-1</f>
        <v>0</v>
      </c>
      <c r="CT286" s="266">
        <f>SUM(CP286:CS286)</f>
        <v>0</v>
      </c>
      <c r="CU286" s="266">
        <f>(CU151-CT151)*-1</f>
        <v>0</v>
      </c>
      <c r="CV286" s="266">
        <f>(CV151-CU151)*-1</f>
        <v>0</v>
      </c>
      <c r="CW286" s="266">
        <f>(CW151-CV151)*-1</f>
        <v>0</v>
      </c>
      <c r="CX286" s="266">
        <f>(CX151-CW151)*-1</f>
        <v>0</v>
      </c>
      <c r="CY286" s="266">
        <f>SUM(CU286:CX286)</f>
        <v>0</v>
      </c>
    </row>
    <row r="287" hidden="1" outlineLevel="1" ht="12.75" customHeight="1" s="254">
      <c r="C287" s="264" t="inlineStr">
        <is>
          <t>Inventories</t>
        </is>
      </c>
      <c r="D287" s="266" t="n"/>
      <c r="E287" s="266">
        <f>(E155-D155)*-1</f>
        <v>0</v>
      </c>
      <c r="F287" s="266">
        <f>(F155-E155)*-1</f>
        <v>0</v>
      </c>
      <c r="G287" s="266">
        <f>(G155-F155)*-1</f>
        <v>0</v>
      </c>
      <c r="H287" s="266">
        <f>SUM(D287:G287)</f>
        <v>0</v>
      </c>
      <c r="I287" s="266">
        <f>(I155-H155)*-1</f>
        <v>-22680</v>
      </c>
      <c r="J287" s="266">
        <f>(J155-I155)*-1</f>
        <v>-2417</v>
      </c>
      <c r="K287" s="266">
        <f>(K155-J155)*-1</f>
        <v>501</v>
      </c>
      <c r="L287" s="266">
        <f>(L155-K155)*-1</f>
        <v>-662</v>
      </c>
      <c r="M287" s="266">
        <f>SUM(I287:L287)</f>
        <v>-25258</v>
      </c>
      <c r="N287" s="266">
        <f>(N155-M155)*-1</f>
        <v>-4750</v>
      </c>
      <c r="O287" s="266">
        <f>(O155-N155)*-1</f>
        <v>-6079</v>
      </c>
      <c r="P287" s="266">
        <f>(P155-O155)*-1</f>
        <v>1366</v>
      </c>
      <c r="Q287" s="266">
        <f>(Q155-P155)*-1</f>
        <v>2827</v>
      </c>
      <c r="R287" s="266">
        <f>SUM(N287:Q287)</f>
        <v>-6636</v>
      </c>
      <c r="S287" s="266">
        <f>(S155-R155)*-1</f>
        <v>3315</v>
      </c>
      <c r="T287" s="266">
        <f>(T155-S155)*-1</f>
        <v>1604</v>
      </c>
      <c r="U287" s="266">
        <f>(U155-T155)*-1</f>
        <v>-3255</v>
      </c>
      <c r="V287" s="266">
        <f>(V155-U155)*-1</f>
        <v>4211</v>
      </c>
      <c r="W287" s="266">
        <f>SUM(S287:V287)</f>
        <v>5875</v>
      </c>
      <c r="X287" s="266">
        <f>(X155-W155)*-1</f>
        <v>-452</v>
      </c>
      <c r="Y287" s="266">
        <f>(Y155-X155)*-1</f>
        <v>22</v>
      </c>
      <c r="Z287" s="266">
        <f>(Z155-Y155)*-1</f>
        <v>2306</v>
      </c>
      <c r="AA287" s="266">
        <f>(AA155-Z155)*-1</f>
        <v>717</v>
      </c>
      <c r="AB287" s="266">
        <f>SUM(X287:AA287)</f>
        <v>2593</v>
      </c>
      <c r="AC287" s="266">
        <f>(AC155-AB155)*-1</f>
        <v>442</v>
      </c>
      <c r="AD287" s="266">
        <f>(AD155-AC155)*-1</f>
        <v>-299</v>
      </c>
      <c r="AE287" s="266">
        <f>(AE155-AD155)*-1</f>
        <v>370</v>
      </c>
      <c r="AF287" s="266">
        <f>(AF155-AE155)*-1</f>
        <v>697</v>
      </c>
      <c r="AG287" s="266">
        <f>SUM(AC287:AF287)</f>
        <v>1210</v>
      </c>
      <c r="AH287" s="266">
        <f>(AH155-AG155)*-1</f>
        <v>-6484</v>
      </c>
      <c r="AI287" s="266">
        <f>(AI155-AH155)*-1</f>
        <v>2061</v>
      </c>
      <c r="AJ287" s="266">
        <f>(AJ155-AI155)*-1</f>
        <v>26639</v>
      </c>
      <c r="AK287" s="266">
        <f>(AK155-AJ155)*-1</f>
        <v>0</v>
      </c>
      <c r="AL287" s="266">
        <f>SUM(AH287:AK287)</f>
        <v>22216</v>
      </c>
      <c r="AM287" s="266">
        <f>(AM155-AL155)*-1</f>
        <v>0</v>
      </c>
      <c r="AN287" s="266">
        <f>(AN155-AM155)*-1</f>
        <v>0</v>
      </c>
      <c r="AO287" s="266">
        <f>(AO155-AN155)*-1</f>
        <v>0</v>
      </c>
      <c r="AP287" s="266">
        <f>(AP155-AO155)*-1</f>
        <v>0</v>
      </c>
      <c r="AQ287" s="266">
        <f>SUM(AM287:AP287)</f>
        <v>0</v>
      </c>
      <c r="AR287" s="266">
        <f>(AR155-AQ155)*-1</f>
        <v>0</v>
      </c>
      <c r="AS287" s="266">
        <f>(AS155-AR155)*-1</f>
        <v>0</v>
      </c>
      <c r="AT287" s="266">
        <f>(AT155-AS155)*-1</f>
        <v>0</v>
      </c>
      <c r="AU287" s="266">
        <f>(AU155-AT155)*-1</f>
        <v>0</v>
      </c>
      <c r="AV287" s="266">
        <f>SUM(AR287:AU287)</f>
        <v>0</v>
      </c>
      <c r="AW287" s="266">
        <f>(AW155-AV155)*-1</f>
        <v>0</v>
      </c>
      <c r="AX287" s="266">
        <f>(AX155-AW155)*-1</f>
        <v>0</v>
      </c>
      <c r="AY287" s="266">
        <f>(AY155-AX155)*-1</f>
        <v>0</v>
      </c>
      <c r="AZ287" s="266">
        <f>(AZ155-AY155)*-1</f>
        <v>0</v>
      </c>
      <c r="BA287" s="266">
        <f>SUM(AW287:AZ287)</f>
        <v>0</v>
      </c>
      <c r="BB287" s="266">
        <f>(BB155-BA155)*-1</f>
        <v>0</v>
      </c>
      <c r="BC287" s="266">
        <f>(BC155-BB155)*-1</f>
        <v>0</v>
      </c>
      <c r="BD287" s="266">
        <f>(BD155-BC155)*-1</f>
        <v>0</v>
      </c>
      <c r="BE287" s="266">
        <f>(BE155-BD155)*-1</f>
        <v>0</v>
      </c>
      <c r="BF287" s="266">
        <f>SUM(BB287:BE287)</f>
        <v>0</v>
      </c>
      <c r="BG287" s="266">
        <f>(BG155-BF155)*-1</f>
        <v>0</v>
      </c>
      <c r="BH287" s="266">
        <f>(BH155-BG155)*-1</f>
        <v>0</v>
      </c>
      <c r="BI287" s="266">
        <f>(BI155-BH155)*-1</f>
        <v>0</v>
      </c>
      <c r="BJ287" s="266">
        <f>(BJ155-BI155)*-1</f>
        <v>0</v>
      </c>
      <c r="BK287" s="266">
        <f>SUM(BG287:BJ287)</f>
        <v>0</v>
      </c>
      <c r="BL287" s="266">
        <f>(BL155-BK155)*-1</f>
        <v>0</v>
      </c>
      <c r="BM287" s="266">
        <f>(BM155-BL155)*-1</f>
        <v>0</v>
      </c>
      <c r="BN287" s="266">
        <f>(BN155-BM155)*-1</f>
        <v>0</v>
      </c>
      <c r="BO287" s="266">
        <f>(BO155-BN155)*-1</f>
        <v>0</v>
      </c>
      <c r="BP287" s="266">
        <f>SUM(BL287:BO287)</f>
        <v>0</v>
      </c>
      <c r="BQ287" s="266">
        <f>(BQ155-BP155)*-1</f>
        <v>0</v>
      </c>
      <c r="BR287" s="266">
        <f>(BR155-BQ155)*-1</f>
        <v>0</v>
      </c>
      <c r="BS287" s="266">
        <f>(BS155-BR155)*-1</f>
        <v>0</v>
      </c>
      <c r="BT287" s="266">
        <f>(BT155-BS155)*-1</f>
        <v>0</v>
      </c>
      <c r="BU287" s="266">
        <f>SUM(BQ287:BT287)</f>
        <v>0</v>
      </c>
      <c r="BV287" s="266">
        <f>(BV155-BU155)*-1</f>
        <v>0</v>
      </c>
      <c r="BW287" s="266">
        <f>(BW155-BV155)*-1</f>
        <v>0</v>
      </c>
      <c r="BX287" s="266">
        <f>(BX155-BW155)*-1</f>
        <v>0</v>
      </c>
      <c r="BY287" s="266">
        <f>(BY155-BX155)*-1</f>
        <v>0</v>
      </c>
      <c r="BZ287" s="266">
        <f>SUM(BV287:BY287)</f>
        <v>0</v>
      </c>
      <c r="CA287" s="266">
        <f>(CA155-BZ155)*-1</f>
        <v>0</v>
      </c>
      <c r="CB287" s="266">
        <f>(CB155-CA155)*-1</f>
        <v>0</v>
      </c>
      <c r="CC287" s="266">
        <f>(CC155-CB155)*-1</f>
        <v>0</v>
      </c>
      <c r="CD287" s="266">
        <f>(CD155-CC155)*-1</f>
        <v>0</v>
      </c>
      <c r="CE287" s="266">
        <f>SUM(CA287:CD287)</f>
        <v>0</v>
      </c>
      <c r="CF287" s="266">
        <f>(CF155-CE155)*-1</f>
        <v>0</v>
      </c>
      <c r="CG287" s="266">
        <f>(CG155-CF155)*-1</f>
        <v>0</v>
      </c>
      <c r="CH287" s="266">
        <f>(CH155-CG155)*-1</f>
        <v>0</v>
      </c>
      <c r="CI287" s="266">
        <f>(CI155-CH155)*-1</f>
        <v>0</v>
      </c>
      <c r="CJ287" s="266">
        <f>SUM(CF287:CI287)</f>
        <v>0</v>
      </c>
      <c r="CK287" s="266">
        <f>(CK155-CJ155)*-1</f>
        <v>0</v>
      </c>
      <c r="CL287" s="266">
        <f>(CL155-CK155)*-1</f>
        <v>0</v>
      </c>
      <c r="CM287" s="266">
        <f>(CM155-CL155)*-1</f>
        <v>0</v>
      </c>
      <c r="CN287" s="266">
        <f>(CN155-CM155)*-1</f>
        <v>0</v>
      </c>
      <c r="CO287" s="266">
        <f>SUM(CK287:CN287)</f>
        <v>0</v>
      </c>
      <c r="CP287" s="266">
        <f>(CP155-CO155)*-1</f>
        <v>0</v>
      </c>
      <c r="CQ287" s="266">
        <f>(CQ155-CP155)*-1</f>
        <v>0</v>
      </c>
      <c r="CR287" s="266">
        <f>(CR155-CQ155)*-1</f>
        <v>0</v>
      </c>
      <c r="CS287" s="266">
        <f>(CS155-CR155)*-1</f>
        <v>0</v>
      </c>
      <c r="CT287" s="266">
        <f>SUM(CP287:CS287)</f>
        <v>0</v>
      </c>
      <c r="CU287" s="266">
        <f>(CU155-CT155)*-1</f>
        <v>0</v>
      </c>
      <c r="CV287" s="266">
        <f>(CV155-CU155)*-1</f>
        <v>0</v>
      </c>
      <c r="CW287" s="266">
        <f>(CW155-CV155)*-1</f>
        <v>0</v>
      </c>
      <c r="CX287" s="266">
        <f>(CX155-CW155)*-1</f>
        <v>0</v>
      </c>
      <c r="CY287" s="266">
        <f>SUM(CU287:CX287)</f>
        <v>0</v>
      </c>
    </row>
    <row r="288" hidden="1" outlineLevel="1" ht="12.75" customHeight="1" s="254">
      <c r="C288" s="264" t="inlineStr">
        <is>
          <t>Deferred income taxes</t>
        </is>
      </c>
      <c r="D288" s="266" t="n"/>
      <c r="E288" s="266">
        <f>(E159-D159)*-1</f>
        <v>0</v>
      </c>
      <c r="F288" s="266">
        <f>(F159-E159)*-1</f>
        <v>0</v>
      </c>
      <c r="G288" s="266">
        <f>(G159-F159)*-1</f>
        <v>0</v>
      </c>
      <c r="H288" s="266">
        <f>SUM(D288:G288)</f>
        <v>0</v>
      </c>
      <c r="I288" s="266">
        <f>(I159-H159)*-1</f>
        <v>-13871</v>
      </c>
      <c r="J288" s="266">
        <f>(J159-I159)*-1</f>
        <v>-521</v>
      </c>
      <c r="K288" s="266">
        <f>(K159-J159)*-1</f>
        <v>-150</v>
      </c>
      <c r="L288" s="266">
        <f>(L159-K159)*-1</f>
        <v>2116</v>
      </c>
      <c r="M288" s="266">
        <f>SUM(I288:L288)</f>
        <v>-12426</v>
      </c>
      <c r="N288" s="266">
        <f>(N159-M159)*-1</f>
        <v>1006</v>
      </c>
      <c r="O288" s="266">
        <f>(O159-N159)*-1</f>
        <v>2845</v>
      </c>
      <c r="P288" s="266">
        <f>(P159-O159)*-1</f>
        <v>690</v>
      </c>
      <c r="Q288" s="266">
        <f>(Q159-P159)*-1</f>
        <v>70</v>
      </c>
      <c r="R288" s="266">
        <f>SUM(N288:Q288)</f>
        <v>4611</v>
      </c>
      <c r="S288" s="266">
        <f>(S159-R159)*-1</f>
        <v>1099</v>
      </c>
      <c r="T288" s="266">
        <f>(T159-S159)*-1</f>
        <v>478</v>
      </c>
      <c r="U288" s="266">
        <f>(U159-T159)*-1</f>
        <v>701</v>
      </c>
      <c r="V288" s="266">
        <f>(V159-U159)*-1</f>
        <v>-917</v>
      </c>
      <c r="W288" s="266">
        <f>SUM(S288:V288)</f>
        <v>1361</v>
      </c>
      <c r="X288" s="266">
        <f>(X159-W159)*-1</f>
        <v>237</v>
      </c>
      <c r="Y288" s="266">
        <f>(Y159-X159)*-1</f>
        <v>329</v>
      </c>
      <c r="Z288" s="266">
        <f>(Z159-Y159)*-1</f>
        <v>-226</v>
      </c>
      <c r="AA288" s="266">
        <f>(AA159-Z159)*-1</f>
        <v>-743</v>
      </c>
      <c r="AB288" s="266">
        <f>SUM(X288:AA288)</f>
        <v>-403</v>
      </c>
      <c r="AC288" s="266">
        <f>(AC159-AB159)*-1</f>
        <v>-132</v>
      </c>
      <c r="AD288" s="266">
        <f>(AD159-AC159)*-1</f>
        <v>-535</v>
      </c>
      <c r="AE288" s="266">
        <f>(AE159-AD159)*-1</f>
        <v>-564</v>
      </c>
      <c r="AF288" s="266">
        <f>(AF159-AE159)*-1</f>
        <v>-85</v>
      </c>
      <c r="AG288" s="266">
        <f>SUM(AC288:AF288)</f>
        <v>-1316</v>
      </c>
      <c r="AH288" s="266">
        <f>(AH159-AG159)*-1</f>
        <v>699</v>
      </c>
      <c r="AI288" s="266">
        <f>(AI159-AH159)*-1</f>
        <v>868</v>
      </c>
      <c r="AJ288" s="266">
        <f>(AJ159-AI159)*-1</f>
        <v>0</v>
      </c>
      <c r="AK288" s="266">
        <f>(AK159-AJ159)*-1</f>
        <v>0</v>
      </c>
      <c r="AL288" s="266">
        <f>SUM(AH288:AK288)</f>
        <v>1567</v>
      </c>
      <c r="AM288" s="266">
        <f>(AM159-AL159)*-1</f>
        <v>0</v>
      </c>
      <c r="AN288" s="266">
        <f>(AN159-AM159)*-1</f>
        <v>0</v>
      </c>
      <c r="AO288" s="266">
        <f>(AO159-AN159)*-1</f>
        <v>0</v>
      </c>
      <c r="AP288" s="266">
        <f>(AP159-AO159)*-1</f>
        <v>0</v>
      </c>
      <c r="AQ288" s="266">
        <f>SUM(AM288:AP288)</f>
        <v>0</v>
      </c>
      <c r="AR288" s="266">
        <f>(AR159-AQ159)*-1</f>
        <v>0</v>
      </c>
      <c r="AS288" s="266">
        <f>(AS159-AR159)*-1</f>
        <v>0</v>
      </c>
      <c r="AT288" s="266">
        <f>(AT159-AS159)*-1</f>
        <v>0</v>
      </c>
      <c r="AU288" s="266">
        <f>(AU159-AT159)*-1</f>
        <v>0</v>
      </c>
      <c r="AV288" s="266">
        <f>SUM(AR288:AU288)</f>
        <v>0</v>
      </c>
      <c r="AW288" s="266">
        <f>(AW159-AV159)*-1</f>
        <v>0</v>
      </c>
      <c r="AX288" s="266">
        <f>(AX159-AW159)*-1</f>
        <v>0</v>
      </c>
      <c r="AY288" s="266">
        <f>(AY159-AX159)*-1</f>
        <v>0</v>
      </c>
      <c r="AZ288" s="266">
        <f>(AZ159-AY159)*-1</f>
        <v>0</v>
      </c>
      <c r="BA288" s="266">
        <f>SUM(AW288:AZ288)</f>
        <v>0</v>
      </c>
      <c r="BB288" s="266">
        <f>(BB159-BA159)*-1</f>
        <v>0</v>
      </c>
      <c r="BC288" s="266">
        <f>(BC159-BB159)*-1</f>
        <v>0</v>
      </c>
      <c r="BD288" s="266">
        <f>(BD159-BC159)*-1</f>
        <v>0</v>
      </c>
      <c r="BE288" s="266">
        <f>(BE159-BD159)*-1</f>
        <v>0</v>
      </c>
      <c r="BF288" s="266">
        <f>SUM(BB288:BE288)</f>
        <v>0</v>
      </c>
      <c r="BG288" s="266">
        <f>(BG159-BF159)*-1</f>
        <v>0</v>
      </c>
      <c r="BH288" s="266">
        <f>(BH159-BG159)*-1</f>
        <v>0</v>
      </c>
      <c r="BI288" s="266">
        <f>(BI159-BH159)*-1</f>
        <v>0</v>
      </c>
      <c r="BJ288" s="266">
        <f>(BJ159-BI159)*-1</f>
        <v>0</v>
      </c>
      <c r="BK288" s="266">
        <f>SUM(BG288:BJ288)</f>
        <v>0</v>
      </c>
      <c r="BL288" s="266">
        <f>(BL159-BK159)*-1</f>
        <v>0</v>
      </c>
      <c r="BM288" s="266">
        <f>(BM159-BL159)*-1</f>
        <v>0</v>
      </c>
      <c r="BN288" s="266">
        <f>(BN159-BM159)*-1</f>
        <v>0</v>
      </c>
      <c r="BO288" s="266">
        <f>(BO159-BN159)*-1</f>
        <v>0</v>
      </c>
      <c r="BP288" s="266">
        <f>SUM(BL288:BO288)</f>
        <v>0</v>
      </c>
      <c r="BQ288" s="266">
        <f>(BQ159-BP159)*-1</f>
        <v>0</v>
      </c>
      <c r="BR288" s="266">
        <f>(BR159-BQ159)*-1</f>
        <v>0</v>
      </c>
      <c r="BS288" s="266">
        <f>(BS159-BR159)*-1</f>
        <v>0</v>
      </c>
      <c r="BT288" s="266">
        <f>(BT159-BS159)*-1</f>
        <v>0</v>
      </c>
      <c r="BU288" s="266">
        <f>SUM(BQ288:BT288)</f>
        <v>0</v>
      </c>
      <c r="BV288" s="266">
        <f>(BV159-BU159)*-1</f>
        <v>0</v>
      </c>
      <c r="BW288" s="266">
        <f>(BW159-BV159)*-1</f>
        <v>0</v>
      </c>
      <c r="BX288" s="266">
        <f>(BX159-BW159)*-1</f>
        <v>0</v>
      </c>
      <c r="BY288" s="266">
        <f>(BY159-BX159)*-1</f>
        <v>0</v>
      </c>
      <c r="BZ288" s="266">
        <f>SUM(BV288:BY288)</f>
        <v>0</v>
      </c>
      <c r="CA288" s="266">
        <f>(CA159-BZ159)*-1</f>
        <v>0</v>
      </c>
      <c r="CB288" s="266">
        <f>(CB159-CA159)*-1</f>
        <v>0</v>
      </c>
      <c r="CC288" s="266">
        <f>(CC159-CB159)*-1</f>
        <v>0</v>
      </c>
      <c r="CD288" s="266">
        <f>(CD159-CC159)*-1</f>
        <v>0</v>
      </c>
      <c r="CE288" s="266">
        <f>SUM(CA288:CD288)</f>
        <v>0</v>
      </c>
      <c r="CF288" s="266">
        <f>(CF159-CE159)*-1</f>
        <v>0</v>
      </c>
      <c r="CG288" s="266">
        <f>(CG159-CF159)*-1</f>
        <v>0</v>
      </c>
      <c r="CH288" s="266">
        <f>(CH159-CG159)*-1</f>
        <v>0</v>
      </c>
      <c r="CI288" s="266">
        <f>(CI159-CH159)*-1</f>
        <v>0</v>
      </c>
      <c r="CJ288" s="266">
        <f>SUM(CF288:CI288)</f>
        <v>0</v>
      </c>
      <c r="CK288" s="266">
        <f>(CK159-CJ159)*-1</f>
        <v>0</v>
      </c>
      <c r="CL288" s="266">
        <f>(CL159-CK159)*-1</f>
        <v>0</v>
      </c>
      <c r="CM288" s="266">
        <f>(CM159-CL159)*-1</f>
        <v>0</v>
      </c>
      <c r="CN288" s="266">
        <f>(CN159-CM159)*-1</f>
        <v>0</v>
      </c>
      <c r="CO288" s="266">
        <f>SUM(CK288:CN288)</f>
        <v>0</v>
      </c>
      <c r="CP288" s="266">
        <f>(CP159-CO159)*-1</f>
        <v>0</v>
      </c>
      <c r="CQ288" s="266">
        <f>(CQ159-CP159)*-1</f>
        <v>0</v>
      </c>
      <c r="CR288" s="266">
        <f>(CR159-CQ159)*-1</f>
        <v>0</v>
      </c>
      <c r="CS288" s="266">
        <f>(CS159-CR159)*-1</f>
        <v>0</v>
      </c>
      <c r="CT288" s="266">
        <f>SUM(CP288:CS288)</f>
        <v>0</v>
      </c>
      <c r="CU288" s="266">
        <f>(CU159-CT159)*-1</f>
        <v>0</v>
      </c>
      <c r="CV288" s="266">
        <f>(CV159-CU159)*-1</f>
        <v>0</v>
      </c>
      <c r="CW288" s="266">
        <f>(CW159-CV159)*-1</f>
        <v>0</v>
      </c>
      <c r="CX288" s="266">
        <f>(CX159-CW159)*-1</f>
        <v>0</v>
      </c>
      <c r="CY288" s="266">
        <f>SUM(CU288:CX288)</f>
        <v>0</v>
      </c>
    </row>
    <row r="289" hidden="1" outlineLevel="1" ht="12.75" customHeight="1" s="254">
      <c r="C289" s="264" t="inlineStr">
        <is>
          <t>Prepaid expenses</t>
        </is>
      </c>
      <c r="D289" s="266" t="n"/>
      <c r="E289" s="266">
        <f>(E160-D160)*-1</f>
        <v>0</v>
      </c>
      <c r="F289" s="266">
        <f>(F160-E160)*-1</f>
        <v>0</v>
      </c>
      <c r="G289" s="266">
        <f>(G160-F160)*-1</f>
        <v>0</v>
      </c>
      <c r="H289" s="266">
        <f>SUM(D289:G289)</f>
        <v>0</v>
      </c>
      <c r="I289" s="266">
        <f>(I160-H160)*-1</f>
        <v>0</v>
      </c>
      <c r="J289" s="266">
        <f>(J160-I160)*-1</f>
        <v>0</v>
      </c>
      <c r="K289" s="266">
        <f>(K160-J160)*-1</f>
        <v>0</v>
      </c>
      <c r="L289" s="266">
        <f>(L160-K160)*-1</f>
        <v>0</v>
      </c>
      <c r="M289" s="266">
        <f>SUM(I289:L289)</f>
        <v>0</v>
      </c>
      <c r="N289" s="266">
        <f>(N160-M160)*-1</f>
        <v>0</v>
      </c>
      <c r="O289" s="266">
        <f>(O160-N160)*-1</f>
        <v>0</v>
      </c>
      <c r="P289" s="266">
        <f>(P160-O160)*-1</f>
        <v>0</v>
      </c>
      <c r="Q289" s="266">
        <f>(Q160-P160)*-1</f>
        <v>0</v>
      </c>
      <c r="R289" s="266">
        <f>SUM(N289:Q289)</f>
        <v>0</v>
      </c>
      <c r="S289" s="266">
        <f>(S160-R160)*-1</f>
        <v>0</v>
      </c>
      <c r="T289" s="266">
        <f>(T160-S160)*-1</f>
        <v>0</v>
      </c>
      <c r="U289" s="266">
        <f>(U160-T160)*-1</f>
        <v>0</v>
      </c>
      <c r="V289" s="266">
        <f>(V160-U160)*-1</f>
        <v>0</v>
      </c>
      <c r="W289" s="266">
        <f>SUM(S289:V289)</f>
        <v>0</v>
      </c>
      <c r="X289" s="266">
        <f>(X160-W160)*-1</f>
        <v>0</v>
      </c>
      <c r="Y289" s="266">
        <f>(Y160-X160)*-1</f>
        <v>0</v>
      </c>
      <c r="Z289" s="266">
        <f>(Z160-Y160)*-1</f>
        <v>0</v>
      </c>
      <c r="AA289" s="266">
        <f>(AA160-Z160)*-1</f>
        <v>0</v>
      </c>
      <c r="AB289" s="266">
        <f>SUM(X289:AA289)</f>
        <v>0</v>
      </c>
      <c r="AC289" s="266">
        <f>(AC160-AB160)*-1</f>
        <v>0</v>
      </c>
      <c r="AD289" s="266">
        <f>(AD160-AC160)*-1</f>
        <v>0</v>
      </c>
      <c r="AE289" s="266">
        <f>(AE160-AD160)*-1</f>
        <v>0</v>
      </c>
      <c r="AF289" s="266">
        <f>(AF160-AE160)*-1</f>
        <v>0</v>
      </c>
      <c r="AG289" s="266">
        <f>SUM(AC289:AF289)</f>
        <v>0</v>
      </c>
      <c r="AH289" s="266">
        <f>(AH160-AG160)*-1</f>
        <v>0</v>
      </c>
      <c r="AI289" s="266">
        <f>(AI160-AH160)*-1</f>
        <v>0</v>
      </c>
      <c r="AJ289" s="266">
        <f>(AJ160-AI160)*-1</f>
        <v>0</v>
      </c>
      <c r="AK289" s="266">
        <f>(AK160-AJ160)*-1</f>
        <v>0</v>
      </c>
      <c r="AL289" s="266">
        <f>SUM(AH289:AK289)</f>
        <v>0</v>
      </c>
      <c r="AM289" s="266">
        <f>(AM160-AL160)*-1</f>
        <v>0</v>
      </c>
      <c r="AN289" s="266">
        <f>(AN160-AM160)*-1</f>
        <v>0</v>
      </c>
      <c r="AO289" s="266">
        <f>(AO160-AN160)*-1</f>
        <v>0</v>
      </c>
      <c r="AP289" s="266">
        <f>(AP160-AO160)*-1</f>
        <v>0</v>
      </c>
      <c r="AQ289" s="266">
        <f>SUM(AM289:AP289)</f>
        <v>0</v>
      </c>
      <c r="AR289" s="266">
        <f>(AR160-AQ160)*-1</f>
        <v>0</v>
      </c>
      <c r="AS289" s="266">
        <f>(AS160-AR160)*-1</f>
        <v>0</v>
      </c>
      <c r="AT289" s="266">
        <f>(AT160-AS160)*-1</f>
        <v>0</v>
      </c>
      <c r="AU289" s="266">
        <f>(AU160-AT160)*-1</f>
        <v>0</v>
      </c>
      <c r="AV289" s="266">
        <f>SUM(AR289:AU289)</f>
        <v>0</v>
      </c>
      <c r="AW289" s="266">
        <f>(AW160-AV160)*-1</f>
        <v>0</v>
      </c>
      <c r="AX289" s="266">
        <f>(AX160-AW160)*-1</f>
        <v>0</v>
      </c>
      <c r="AY289" s="266">
        <f>(AY160-AX160)*-1</f>
        <v>0</v>
      </c>
      <c r="AZ289" s="266">
        <f>(AZ160-AY160)*-1</f>
        <v>0</v>
      </c>
      <c r="BA289" s="266">
        <f>SUM(AW289:AZ289)</f>
        <v>0</v>
      </c>
      <c r="BB289" s="266">
        <f>(BB160-BA160)*-1</f>
        <v>0</v>
      </c>
      <c r="BC289" s="266">
        <f>(BC160-BB160)*-1</f>
        <v>0</v>
      </c>
      <c r="BD289" s="266">
        <f>(BD160-BC160)*-1</f>
        <v>0</v>
      </c>
      <c r="BE289" s="266">
        <f>(BE160-BD160)*-1</f>
        <v>0</v>
      </c>
      <c r="BF289" s="266">
        <f>SUM(BB289:BE289)</f>
        <v>0</v>
      </c>
      <c r="BG289" s="266">
        <f>(BG160-BF160)*-1</f>
        <v>0</v>
      </c>
      <c r="BH289" s="266">
        <f>(BH160-BG160)*-1</f>
        <v>0</v>
      </c>
      <c r="BI289" s="266">
        <f>(BI160-BH160)*-1</f>
        <v>0</v>
      </c>
      <c r="BJ289" s="266">
        <f>(BJ160-BI160)*-1</f>
        <v>0</v>
      </c>
      <c r="BK289" s="266">
        <f>SUM(BG289:BJ289)</f>
        <v>0</v>
      </c>
      <c r="BL289" s="266">
        <f>(BL160-BK160)*-1</f>
        <v>0</v>
      </c>
      <c r="BM289" s="266">
        <f>(BM160-BL160)*-1</f>
        <v>0</v>
      </c>
      <c r="BN289" s="266">
        <f>(BN160-BM160)*-1</f>
        <v>0</v>
      </c>
      <c r="BO289" s="266">
        <f>(BO160-BN160)*-1</f>
        <v>0</v>
      </c>
      <c r="BP289" s="266">
        <f>SUM(BL289:BO289)</f>
        <v>0</v>
      </c>
      <c r="BQ289" s="266">
        <f>(BQ160-BP160)*-1</f>
        <v>0</v>
      </c>
      <c r="BR289" s="266">
        <f>(BR160-BQ160)*-1</f>
        <v>0</v>
      </c>
      <c r="BS289" s="266">
        <f>(BS160-BR160)*-1</f>
        <v>0</v>
      </c>
      <c r="BT289" s="266">
        <f>(BT160-BS160)*-1</f>
        <v>0</v>
      </c>
      <c r="BU289" s="266">
        <f>SUM(BQ289:BT289)</f>
        <v>0</v>
      </c>
      <c r="BV289" s="266">
        <f>(BV160-BU160)*-1</f>
        <v>0</v>
      </c>
      <c r="BW289" s="266">
        <f>(BW160-BV160)*-1</f>
        <v>0</v>
      </c>
      <c r="BX289" s="266">
        <f>(BX160-BW160)*-1</f>
        <v>0</v>
      </c>
      <c r="BY289" s="266">
        <f>(BY160-BX160)*-1</f>
        <v>0</v>
      </c>
      <c r="BZ289" s="266">
        <f>SUM(BV289:BY289)</f>
        <v>0</v>
      </c>
      <c r="CA289" s="266">
        <f>(CA160-BZ160)*-1</f>
        <v>0</v>
      </c>
      <c r="CB289" s="266">
        <f>(CB160-CA160)*-1</f>
        <v>0</v>
      </c>
      <c r="CC289" s="266">
        <f>(CC160-CB160)*-1</f>
        <v>0</v>
      </c>
      <c r="CD289" s="266">
        <f>(CD160-CC160)*-1</f>
        <v>0</v>
      </c>
      <c r="CE289" s="266">
        <f>SUM(CA289:CD289)</f>
        <v>0</v>
      </c>
      <c r="CF289" s="266">
        <f>(CF160-CE160)*-1</f>
        <v>0</v>
      </c>
      <c r="CG289" s="266">
        <f>(CG160-CF160)*-1</f>
        <v>0</v>
      </c>
      <c r="CH289" s="266">
        <f>(CH160-CG160)*-1</f>
        <v>0</v>
      </c>
      <c r="CI289" s="266">
        <f>(CI160-CH160)*-1</f>
        <v>0</v>
      </c>
      <c r="CJ289" s="266">
        <f>SUM(CF289:CI289)</f>
        <v>0</v>
      </c>
      <c r="CK289" s="266">
        <f>(CK160-CJ160)*-1</f>
        <v>0</v>
      </c>
      <c r="CL289" s="266">
        <f>(CL160-CK160)*-1</f>
        <v>0</v>
      </c>
      <c r="CM289" s="266">
        <f>(CM160-CL160)*-1</f>
        <v>0</v>
      </c>
      <c r="CN289" s="266">
        <f>(CN160-CM160)*-1</f>
        <v>0</v>
      </c>
      <c r="CO289" s="266">
        <f>SUM(CK289:CN289)</f>
        <v>0</v>
      </c>
      <c r="CP289" s="266">
        <f>(CP160-CO160)*-1</f>
        <v>0</v>
      </c>
      <c r="CQ289" s="266">
        <f>(CQ160-CP160)*-1</f>
        <v>0</v>
      </c>
      <c r="CR289" s="266">
        <f>(CR160-CQ160)*-1</f>
        <v>0</v>
      </c>
      <c r="CS289" s="266">
        <f>(CS160-CR160)*-1</f>
        <v>0</v>
      </c>
      <c r="CT289" s="266">
        <f>SUM(CP289:CS289)</f>
        <v>0</v>
      </c>
      <c r="CU289" s="266">
        <f>(CU160-CT160)*-1</f>
        <v>0</v>
      </c>
      <c r="CV289" s="266">
        <f>(CV160-CU160)*-1</f>
        <v>0</v>
      </c>
      <c r="CW289" s="266">
        <f>(CW160-CV160)*-1</f>
        <v>0</v>
      </c>
      <c r="CX289" s="266">
        <f>(CX160-CW160)*-1</f>
        <v>0</v>
      </c>
      <c r="CY289" s="266">
        <f>SUM(CU289:CX289)</f>
        <v>0</v>
      </c>
    </row>
    <row r="290" hidden="1" outlineLevel="1" ht="12.75" customHeight="1" s="254">
      <c r="C290" s="264" t="inlineStr">
        <is>
          <t>Other current assets</t>
        </is>
      </c>
      <c r="D290" s="266" t="n"/>
      <c r="E290" s="266">
        <f>(E161-D161)*-1</f>
        <v>0</v>
      </c>
      <c r="F290" s="266">
        <f>(F161-E161)*-1</f>
        <v>0</v>
      </c>
      <c r="G290" s="266">
        <f>(G161-F161)*-1</f>
        <v>0</v>
      </c>
      <c r="H290" s="266">
        <f>SUM(D290:G290)</f>
        <v>0</v>
      </c>
      <c r="I290" s="266">
        <f>(I161-H161)*-1</f>
        <v>-5752</v>
      </c>
      <c r="J290" s="266">
        <f>(J161-I161)*-1</f>
        <v>-3035</v>
      </c>
      <c r="K290" s="266">
        <f>(K161-J161)*-1</f>
        <v>-13748</v>
      </c>
      <c r="L290" s="266">
        <f>(L161-K161)*-1</f>
        <v>9206</v>
      </c>
      <c r="M290" s="266">
        <f>SUM(I290:L290)</f>
        <v>-13329</v>
      </c>
      <c r="N290" s="266">
        <f>(N161-M161)*-1</f>
        <v>-6843</v>
      </c>
      <c r="O290" s="266">
        <f>(O161-N161)*-1</f>
        <v>-3288</v>
      </c>
      <c r="P290" s="266">
        <f>(P161-O161)*-1</f>
        <v>-2459</v>
      </c>
      <c r="Q290" s="266">
        <f>(Q161-P161)*-1</f>
        <v>-1369</v>
      </c>
      <c r="R290" s="266">
        <f>SUM(N290:Q290)</f>
        <v>-13959</v>
      </c>
      <c r="S290" s="266">
        <f>(S161-R161)*-1</f>
        <v>9106</v>
      </c>
      <c r="T290" s="266">
        <f>(T161-S161)*-1</f>
        <v>2148</v>
      </c>
      <c r="U290" s="266">
        <f>(U161-T161)*-1</f>
        <v>120</v>
      </c>
      <c r="V290" s="266">
        <f>(V161-U161)*-1</f>
        <v>-135</v>
      </c>
      <c r="W290" s="266">
        <f>SUM(S290:V290)</f>
        <v>11239</v>
      </c>
      <c r="X290" s="266">
        <f>(X161-W161)*-1</f>
        <v>2556</v>
      </c>
      <c r="Y290" s="266">
        <f>(Y161-X161)*-1</f>
        <v>75</v>
      </c>
      <c r="Z290" s="266">
        <f>(Z161-Y161)*-1</f>
        <v>1040</v>
      </c>
      <c r="AA290" s="266">
        <f>(AA161-Z161)*-1</f>
        <v>-7150</v>
      </c>
      <c r="AB290" s="266">
        <f>SUM(X290:AA290)</f>
        <v>-3479</v>
      </c>
      <c r="AC290" s="266">
        <f>(AC161-AB161)*-1</f>
        <v>-295</v>
      </c>
      <c r="AD290" s="266">
        <f>(AD161-AC161)*-1</f>
        <v>-239</v>
      </c>
      <c r="AE290" s="266">
        <f>(AE161-AD161)*-1</f>
        <v>137</v>
      </c>
      <c r="AF290" s="266">
        <f>(AF161-AE161)*-1</f>
        <v>9780</v>
      </c>
      <c r="AG290" s="266">
        <f>SUM(AC290:AF290)</f>
        <v>9383</v>
      </c>
      <c r="AH290" s="266">
        <f>(AH161-AG161)*-1</f>
        <v>-3309</v>
      </c>
      <c r="AI290" s="266">
        <f>(AI161-AH161)*-1</f>
        <v>1573</v>
      </c>
      <c r="AJ290" s="266">
        <f>(AJ161-AI161)*-1</f>
        <v>0</v>
      </c>
      <c r="AK290" s="266">
        <f>(AK161-AJ161)*-1</f>
        <v>0</v>
      </c>
      <c r="AL290" s="266">
        <f>SUM(AH290:AK290)</f>
        <v>-1736</v>
      </c>
      <c r="AM290" s="266">
        <f>(AM161-AL161)*-1</f>
        <v>0</v>
      </c>
      <c r="AN290" s="266">
        <f>(AN161-AM161)*-1</f>
        <v>0</v>
      </c>
      <c r="AO290" s="266">
        <f>(AO161-AN161)*-1</f>
        <v>0</v>
      </c>
      <c r="AP290" s="266">
        <f>(AP161-AO161)*-1</f>
        <v>0</v>
      </c>
      <c r="AQ290" s="266">
        <f>SUM(AM290:AP290)</f>
        <v>0</v>
      </c>
      <c r="AR290" s="266">
        <f>(AR161-AQ161)*-1</f>
        <v>0</v>
      </c>
      <c r="AS290" s="266">
        <f>(AS161-AR161)*-1</f>
        <v>0</v>
      </c>
      <c r="AT290" s="266">
        <f>(AT161-AS161)*-1</f>
        <v>0</v>
      </c>
      <c r="AU290" s="266">
        <f>(AU161-AT161)*-1</f>
        <v>0</v>
      </c>
      <c r="AV290" s="266">
        <f>SUM(AR290:AU290)</f>
        <v>0</v>
      </c>
      <c r="AW290" s="266">
        <f>(AW161-AV161)*-1</f>
        <v>0</v>
      </c>
      <c r="AX290" s="266">
        <f>(AX161-AW161)*-1</f>
        <v>0</v>
      </c>
      <c r="AY290" s="266">
        <f>(AY161-AX161)*-1</f>
        <v>0</v>
      </c>
      <c r="AZ290" s="266">
        <f>(AZ161-AY161)*-1</f>
        <v>0</v>
      </c>
      <c r="BA290" s="266">
        <f>SUM(AW290:AZ290)</f>
        <v>0</v>
      </c>
      <c r="BB290" s="266">
        <f>(BB161-BA161)*-1</f>
        <v>0</v>
      </c>
      <c r="BC290" s="266">
        <f>(BC161-BB161)*-1</f>
        <v>0</v>
      </c>
      <c r="BD290" s="266">
        <f>(BD161-BC161)*-1</f>
        <v>0</v>
      </c>
      <c r="BE290" s="266">
        <f>(BE161-BD161)*-1</f>
        <v>0</v>
      </c>
      <c r="BF290" s="266">
        <f>SUM(BB290:BE290)</f>
        <v>0</v>
      </c>
      <c r="BG290" s="266">
        <f>(BG161-BF161)*-1</f>
        <v>0</v>
      </c>
      <c r="BH290" s="266">
        <f>(BH161-BG161)*-1</f>
        <v>0</v>
      </c>
      <c r="BI290" s="266">
        <f>(BI161-BH161)*-1</f>
        <v>0</v>
      </c>
      <c r="BJ290" s="266">
        <f>(BJ161-BI161)*-1</f>
        <v>0</v>
      </c>
      <c r="BK290" s="266">
        <f>SUM(BG290:BJ290)</f>
        <v>0</v>
      </c>
      <c r="BL290" s="266">
        <f>(BL161-BK161)*-1</f>
        <v>0</v>
      </c>
      <c r="BM290" s="266">
        <f>(BM161-BL161)*-1</f>
        <v>0</v>
      </c>
      <c r="BN290" s="266">
        <f>(BN161-BM161)*-1</f>
        <v>0</v>
      </c>
      <c r="BO290" s="266">
        <f>(BO161-BN161)*-1</f>
        <v>0</v>
      </c>
      <c r="BP290" s="266">
        <f>SUM(BL290:BO290)</f>
        <v>0</v>
      </c>
      <c r="BQ290" s="266">
        <f>(BQ161-BP161)*-1</f>
        <v>0</v>
      </c>
      <c r="BR290" s="266">
        <f>(BR161-BQ161)*-1</f>
        <v>0</v>
      </c>
      <c r="BS290" s="266">
        <f>(BS161-BR161)*-1</f>
        <v>0</v>
      </c>
      <c r="BT290" s="266">
        <f>(BT161-BS161)*-1</f>
        <v>0</v>
      </c>
      <c r="BU290" s="266">
        <f>SUM(BQ290:BT290)</f>
        <v>0</v>
      </c>
      <c r="BV290" s="266">
        <f>(BV161-BU161)*-1</f>
        <v>0</v>
      </c>
      <c r="BW290" s="266">
        <f>(BW161-BV161)*-1</f>
        <v>0</v>
      </c>
      <c r="BX290" s="266">
        <f>(BX161-BW161)*-1</f>
        <v>0</v>
      </c>
      <c r="BY290" s="266">
        <f>(BY161-BX161)*-1</f>
        <v>0</v>
      </c>
      <c r="BZ290" s="266">
        <f>SUM(BV290:BY290)</f>
        <v>0</v>
      </c>
      <c r="CA290" s="266">
        <f>(CA161-BZ161)*-1</f>
        <v>0</v>
      </c>
      <c r="CB290" s="266">
        <f>(CB161-CA161)*-1</f>
        <v>0</v>
      </c>
      <c r="CC290" s="266">
        <f>(CC161-CB161)*-1</f>
        <v>0</v>
      </c>
      <c r="CD290" s="266">
        <f>(CD161-CC161)*-1</f>
        <v>0</v>
      </c>
      <c r="CE290" s="266">
        <f>SUM(CA290:CD290)</f>
        <v>0</v>
      </c>
      <c r="CF290" s="266">
        <f>(CF161-CE161)*-1</f>
        <v>0</v>
      </c>
      <c r="CG290" s="266">
        <f>(CG161-CF161)*-1</f>
        <v>0</v>
      </c>
      <c r="CH290" s="266">
        <f>(CH161-CG161)*-1</f>
        <v>0</v>
      </c>
      <c r="CI290" s="266">
        <f>(CI161-CH161)*-1</f>
        <v>0</v>
      </c>
      <c r="CJ290" s="266">
        <f>SUM(CF290:CI290)</f>
        <v>0</v>
      </c>
      <c r="CK290" s="266">
        <f>(CK161-CJ161)*-1</f>
        <v>0</v>
      </c>
      <c r="CL290" s="266">
        <f>(CL161-CK161)*-1</f>
        <v>0</v>
      </c>
      <c r="CM290" s="266">
        <f>(CM161-CL161)*-1</f>
        <v>0</v>
      </c>
      <c r="CN290" s="266">
        <f>(CN161-CM161)*-1</f>
        <v>0</v>
      </c>
      <c r="CO290" s="266">
        <f>SUM(CK290:CN290)</f>
        <v>0</v>
      </c>
      <c r="CP290" s="266">
        <f>(CP161-CO161)*-1</f>
        <v>0</v>
      </c>
      <c r="CQ290" s="266">
        <f>(CQ161-CP161)*-1</f>
        <v>0</v>
      </c>
      <c r="CR290" s="266">
        <f>(CR161-CQ161)*-1</f>
        <v>0</v>
      </c>
      <c r="CS290" s="266">
        <f>(CS161-CR161)*-1</f>
        <v>0</v>
      </c>
      <c r="CT290" s="266">
        <f>SUM(CP290:CS290)</f>
        <v>0</v>
      </c>
      <c r="CU290" s="266">
        <f>(CU161-CT161)*-1</f>
        <v>0</v>
      </c>
      <c r="CV290" s="266">
        <f>(CV161-CU161)*-1</f>
        <v>0</v>
      </c>
      <c r="CW290" s="266">
        <f>(CW161-CV161)*-1</f>
        <v>0</v>
      </c>
      <c r="CX290" s="266">
        <f>(CX161-CW161)*-1</f>
        <v>0</v>
      </c>
      <c r="CY290" s="266">
        <f>SUM(CU290:CX290)</f>
        <v>0</v>
      </c>
    </row>
    <row r="291" hidden="1" outlineLevel="1" ht="12.75" customHeight="1" s="254">
      <c r="C291" s="264" t="inlineStr">
        <is>
          <t>Accounts payable</t>
        </is>
      </c>
      <c r="D291" s="266" t="n"/>
      <c r="E291" s="266">
        <f>E204-D204</f>
        <v>0</v>
      </c>
      <c r="F291" s="266">
        <f>F204-E204</f>
        <v>0</v>
      </c>
      <c r="G291" s="266">
        <f>G204-F204</f>
        <v>0</v>
      </c>
      <c r="H291" s="266">
        <f>SUM(D291:G291)</f>
        <v>0</v>
      </c>
      <c r="I291" s="266">
        <f>I204-H204</f>
        <v>49456</v>
      </c>
      <c r="J291" s="266">
        <f>J204-I204</f>
        <v>5492</v>
      </c>
      <c r="K291" s="266">
        <f>K204-J204</f>
        <v>4774</v>
      </c>
      <c r="L291" s="266">
        <f>L204-K204</f>
        <v>3451</v>
      </c>
      <c r="M291" s="266">
        <f>SUM(I291:L291)</f>
        <v>63173</v>
      </c>
      <c r="N291" s="266">
        <f>N204-M204</f>
        <v>8568</v>
      </c>
      <c r="O291" s="266">
        <f>O204-N204</f>
        <v>3704</v>
      </c>
      <c r="P291" s="266">
        <f>P204-O204</f>
        <v>-5104</v>
      </c>
      <c r="Q291" s="266">
        <f>Q204-P204</f>
        <v>9016</v>
      </c>
      <c r="R291" s="266">
        <f>SUM(N291:Q291)</f>
        <v>16184</v>
      </c>
      <c r="S291" s="266">
        <f>S204-R204</f>
        <v>-10500</v>
      </c>
      <c r="T291" s="266">
        <f>T204-S204</f>
        <v>-4861</v>
      </c>
      <c r="U291" s="266">
        <f>U204-T204</f>
        <v>3192</v>
      </c>
      <c r="V291" s="266">
        <f>V204-U204</f>
        <v>1049</v>
      </c>
      <c r="W291" s="266">
        <f>SUM(S291:V291)</f>
        <v>-11120</v>
      </c>
      <c r="X291" s="266">
        <f>X204-W204</f>
        <v>-2240</v>
      </c>
      <c r="Y291" s="266">
        <f>Y204-X204</f>
        <v>-2054</v>
      </c>
      <c r="Z291" s="266">
        <f>Z204-Y204</f>
        <v>-2867</v>
      </c>
      <c r="AA291" s="266">
        <f>AA204-Z204</f>
        <v>-383</v>
      </c>
      <c r="AB291" s="266">
        <f>SUM(X291:AA291)</f>
        <v>-7544</v>
      </c>
      <c r="AC291" s="266">
        <f>AC204-AB204</f>
        <v>177</v>
      </c>
      <c r="AD291" s="266">
        <f>AD204-AC204</f>
        <v>-2491</v>
      </c>
      <c r="AE291" s="266">
        <f>AE204-AD204</f>
        <v>-1563</v>
      </c>
      <c r="AF291" s="266">
        <f>AF204-AE204</f>
        <v>954</v>
      </c>
      <c r="AG291" s="266">
        <f>SUM(AC291:AF291)</f>
        <v>-2923</v>
      </c>
      <c r="AH291" s="266">
        <f>AH204-AG204</f>
        <v>6518</v>
      </c>
      <c r="AI291" s="266">
        <f>AI204-AH204</f>
        <v>-3546</v>
      </c>
      <c r="AJ291" s="266">
        <f>AJ204-AI204</f>
        <v>-60742</v>
      </c>
      <c r="AK291" s="266">
        <f>AK204-AJ204</f>
        <v>0</v>
      </c>
      <c r="AL291" s="266">
        <f>SUM(AH291:AK291)</f>
        <v>-57770</v>
      </c>
      <c r="AM291" s="266">
        <f>AM204-AL204</f>
        <v>0</v>
      </c>
      <c r="AN291" s="266">
        <f>AN204-AM204</f>
        <v>0</v>
      </c>
      <c r="AO291" s="266">
        <f>AO204-AN204</f>
        <v>0</v>
      </c>
      <c r="AP291" s="266">
        <f>AP204-AO204</f>
        <v>0</v>
      </c>
      <c r="AQ291" s="266">
        <f>SUM(AM291:AP291)</f>
        <v>0</v>
      </c>
      <c r="AR291" s="266">
        <f>AR204-AQ204</f>
        <v>0</v>
      </c>
      <c r="AS291" s="266">
        <f>AS204-AR204</f>
        <v>0</v>
      </c>
      <c r="AT291" s="266">
        <f>AT204-AS204</f>
        <v>0</v>
      </c>
      <c r="AU291" s="266">
        <f>AU204-AT204</f>
        <v>0</v>
      </c>
      <c r="AV291" s="266">
        <f>SUM(AR291:AU291)</f>
        <v>0</v>
      </c>
      <c r="AW291" s="266">
        <f>AW204-AV204</f>
        <v>0</v>
      </c>
      <c r="AX291" s="266">
        <f>AX204-AW204</f>
        <v>0</v>
      </c>
      <c r="AY291" s="266">
        <f>AY204-AX204</f>
        <v>0</v>
      </c>
      <c r="AZ291" s="266">
        <f>AZ204-AY204</f>
        <v>0</v>
      </c>
      <c r="BA291" s="266">
        <f>SUM(AW291:AZ291)</f>
        <v>0</v>
      </c>
      <c r="BB291" s="266">
        <f>BB204-BA204</f>
        <v>0</v>
      </c>
      <c r="BC291" s="266">
        <f>BC204-BB204</f>
        <v>0</v>
      </c>
      <c r="BD291" s="266">
        <f>BD204-BC204</f>
        <v>0</v>
      </c>
      <c r="BE291" s="266">
        <f>BE204-BD204</f>
        <v>0</v>
      </c>
      <c r="BF291" s="266">
        <f>SUM(BB291:BE291)</f>
        <v>0</v>
      </c>
      <c r="BG291" s="266">
        <f>BG204-BF204</f>
        <v>0</v>
      </c>
      <c r="BH291" s="266">
        <f>BH204-BG204</f>
        <v>0</v>
      </c>
      <c r="BI291" s="266">
        <f>BI204-BH204</f>
        <v>0</v>
      </c>
      <c r="BJ291" s="266">
        <f>BJ204-BI204</f>
        <v>0</v>
      </c>
      <c r="BK291" s="266">
        <f>SUM(BG291:BJ291)</f>
        <v>0</v>
      </c>
      <c r="BL291" s="266">
        <f>BL204-BK204</f>
        <v>0</v>
      </c>
      <c r="BM291" s="266">
        <f>BM204-BL204</f>
        <v>0</v>
      </c>
      <c r="BN291" s="266">
        <f>BN204-BM204</f>
        <v>0</v>
      </c>
      <c r="BO291" s="266">
        <f>BO204-BN204</f>
        <v>0</v>
      </c>
      <c r="BP291" s="266">
        <f>SUM(BL291:BO291)</f>
        <v>0</v>
      </c>
      <c r="BQ291" s="266">
        <f>BQ204-BP204</f>
        <v>0</v>
      </c>
      <c r="BR291" s="266">
        <f>BR204-BQ204</f>
        <v>0</v>
      </c>
      <c r="BS291" s="266">
        <f>BS204-BR204</f>
        <v>0</v>
      </c>
      <c r="BT291" s="266">
        <f>BT204-BS204</f>
        <v>0</v>
      </c>
      <c r="BU291" s="266">
        <f>SUM(BQ291:BT291)</f>
        <v>0</v>
      </c>
      <c r="BV291" s="266">
        <f>BV204-BU204</f>
        <v>0</v>
      </c>
      <c r="BW291" s="266">
        <f>BW204-BV204</f>
        <v>0</v>
      </c>
      <c r="BX291" s="266">
        <f>BX204-BW204</f>
        <v>0</v>
      </c>
      <c r="BY291" s="266">
        <f>BY204-BX204</f>
        <v>0</v>
      </c>
      <c r="BZ291" s="266">
        <f>SUM(BV291:BY291)</f>
        <v>0</v>
      </c>
      <c r="CA291" s="266">
        <f>CA204-BZ204</f>
        <v>0</v>
      </c>
      <c r="CB291" s="266">
        <f>CB204-CA204</f>
        <v>0</v>
      </c>
      <c r="CC291" s="266">
        <f>CC204-CB204</f>
        <v>0</v>
      </c>
      <c r="CD291" s="266">
        <f>CD204-CC204</f>
        <v>0</v>
      </c>
      <c r="CE291" s="266">
        <f>SUM(CA291:CD291)</f>
        <v>0</v>
      </c>
      <c r="CF291" s="266">
        <f>CF204-CE204</f>
        <v>0</v>
      </c>
      <c r="CG291" s="266">
        <f>CG204-CF204</f>
        <v>0</v>
      </c>
      <c r="CH291" s="266">
        <f>CH204-CG204</f>
        <v>0</v>
      </c>
      <c r="CI291" s="266">
        <f>CI204-CH204</f>
        <v>0</v>
      </c>
      <c r="CJ291" s="266">
        <f>SUM(CF291:CI291)</f>
        <v>0</v>
      </c>
      <c r="CK291" s="266">
        <f>CK204-CJ204</f>
        <v>0</v>
      </c>
      <c r="CL291" s="266">
        <f>CL204-CK204</f>
        <v>0</v>
      </c>
      <c r="CM291" s="266">
        <f>CM204-CL204</f>
        <v>0</v>
      </c>
      <c r="CN291" s="266">
        <f>CN204-CM204</f>
        <v>0</v>
      </c>
      <c r="CO291" s="266">
        <f>SUM(CK291:CN291)</f>
        <v>0</v>
      </c>
      <c r="CP291" s="266">
        <f>CP204-CO204</f>
        <v>0</v>
      </c>
      <c r="CQ291" s="266">
        <f>CQ204-CP204</f>
        <v>0</v>
      </c>
      <c r="CR291" s="266">
        <f>CR204-CQ204</f>
        <v>0</v>
      </c>
      <c r="CS291" s="266">
        <f>CS204-CR204</f>
        <v>0</v>
      </c>
      <c r="CT291" s="266">
        <f>SUM(CP291:CS291)</f>
        <v>0</v>
      </c>
      <c r="CU291" s="266">
        <f>CU204-CT204</f>
        <v>0</v>
      </c>
      <c r="CV291" s="266">
        <f>CV204-CU204</f>
        <v>0</v>
      </c>
      <c r="CW291" s="266">
        <f>CW204-CV204</f>
        <v>0</v>
      </c>
      <c r="CX291" s="266">
        <f>CX204-CW204</f>
        <v>0</v>
      </c>
      <c r="CY291" s="266">
        <f>SUM(CU291:CX291)</f>
        <v>0</v>
      </c>
    </row>
    <row r="292" hidden="1" outlineLevel="1" ht="12.75" customHeight="1" s="254">
      <c r="C292" s="264" t="inlineStr">
        <is>
          <t>Accrued expenses</t>
        </is>
      </c>
      <c r="D292" s="266" t="n"/>
      <c r="E292" s="266">
        <f>E208-D208</f>
        <v>0</v>
      </c>
      <c r="F292" s="266">
        <f>F208-E208</f>
        <v>0</v>
      </c>
      <c r="G292" s="266">
        <f>G208-F208</f>
        <v>0</v>
      </c>
      <c r="H292" s="266">
        <f>SUM(D292:G292)</f>
        <v>0</v>
      </c>
      <c r="I292" s="266">
        <f>I208-H208</f>
        <v>0</v>
      </c>
      <c r="J292" s="266">
        <f>J208-I208</f>
        <v>0</v>
      </c>
      <c r="K292" s="266">
        <f>K208-J208</f>
        <v>0</v>
      </c>
      <c r="L292" s="266">
        <f>L208-K208</f>
        <v>0</v>
      </c>
      <c r="M292" s="266">
        <f>SUM(I292:L292)</f>
        <v>0</v>
      </c>
      <c r="N292" s="266">
        <f>N208-M208</f>
        <v>0</v>
      </c>
      <c r="O292" s="266">
        <f>O208-N208</f>
        <v>0</v>
      </c>
      <c r="P292" s="266">
        <f>P208-O208</f>
        <v>0</v>
      </c>
      <c r="Q292" s="266">
        <f>Q208-P208</f>
        <v>0</v>
      </c>
      <c r="R292" s="266">
        <f>SUM(N292:Q292)</f>
        <v>0</v>
      </c>
      <c r="S292" s="266">
        <f>S208-R208</f>
        <v>0</v>
      </c>
      <c r="T292" s="266">
        <f>T208-S208</f>
        <v>0</v>
      </c>
      <c r="U292" s="266">
        <f>U208-T208</f>
        <v>0</v>
      </c>
      <c r="V292" s="266">
        <f>V208-U208</f>
        <v>0</v>
      </c>
      <c r="W292" s="266">
        <f>SUM(S292:V292)</f>
        <v>0</v>
      </c>
      <c r="X292" s="266">
        <f>X208-W208</f>
        <v>0</v>
      </c>
      <c r="Y292" s="266">
        <f>Y208-X208</f>
        <v>0</v>
      </c>
      <c r="Z292" s="266">
        <f>Z208-Y208</f>
        <v>0</v>
      </c>
      <c r="AA292" s="266">
        <f>AA208-Z208</f>
        <v>0</v>
      </c>
      <c r="AB292" s="266">
        <f>SUM(X292:AA292)</f>
        <v>0</v>
      </c>
      <c r="AC292" s="266">
        <f>AC208-AB208</f>
        <v>0</v>
      </c>
      <c r="AD292" s="266">
        <f>AD208-AC208</f>
        <v>0</v>
      </c>
      <c r="AE292" s="266">
        <f>AE208-AD208</f>
        <v>0</v>
      </c>
      <c r="AF292" s="266">
        <f>AF208-AE208</f>
        <v>0</v>
      </c>
      <c r="AG292" s="266">
        <f>SUM(AC292:AF292)</f>
        <v>0</v>
      </c>
      <c r="AH292" s="266">
        <f>AH208-AG208</f>
        <v>0</v>
      </c>
      <c r="AI292" s="266">
        <f>AI208-AH208</f>
        <v>0</v>
      </c>
      <c r="AJ292" s="266">
        <f>AJ208-AI208</f>
        <v>0</v>
      </c>
      <c r="AK292" s="266">
        <f>AK208-AJ208</f>
        <v>0</v>
      </c>
      <c r="AL292" s="266">
        <f>SUM(AH292:AK292)</f>
        <v>0</v>
      </c>
      <c r="AM292" s="266" t="e">
        <f>AM208-AL208</f>
        <v>#DIV/0!</v>
      </c>
      <c r="AN292" s="266" t="e">
        <f>AN208-AM208</f>
        <v>#DIV/0!</v>
      </c>
      <c r="AO292" s="266" t="e">
        <f>AO208-AN208</f>
        <v>#DIV/0!</v>
      </c>
      <c r="AP292" s="266" t="e">
        <f>AP208-AO208</f>
        <v>#DIV/0!</v>
      </c>
      <c r="AQ292" s="266" t="e">
        <f>SUM(AM292:AP292)</f>
        <v>#DIV/0!</v>
      </c>
      <c r="AR292" s="266" t="e">
        <f>AR208-AQ208</f>
        <v>#DIV/0!</v>
      </c>
      <c r="AS292" s="266" t="e">
        <f>AS208-AR208</f>
        <v>#DIV/0!</v>
      </c>
      <c r="AT292" s="266" t="e">
        <f>AT208-AS208</f>
        <v>#DIV/0!</v>
      </c>
      <c r="AU292" s="266" t="e">
        <f>AU208-AT208</f>
        <v>#DIV/0!</v>
      </c>
      <c r="AV292" s="266" t="e">
        <f>SUM(AR292:AU292)</f>
        <v>#DIV/0!</v>
      </c>
      <c r="AW292" s="266" t="e">
        <f>AW208-AV208</f>
        <v>#DIV/0!</v>
      </c>
      <c r="AX292" s="266" t="e">
        <f>AX208-AW208</f>
        <v>#DIV/0!</v>
      </c>
      <c r="AY292" s="266" t="e">
        <f>AY208-AX208</f>
        <v>#DIV/0!</v>
      </c>
      <c r="AZ292" s="266" t="e">
        <f>AZ208-AY208</f>
        <v>#DIV/0!</v>
      </c>
      <c r="BA292" s="266" t="e">
        <f>SUM(AW292:AZ292)</f>
        <v>#DIV/0!</v>
      </c>
      <c r="BB292" s="266" t="e">
        <f>BB208-BA208</f>
        <v>#DIV/0!</v>
      </c>
      <c r="BC292" s="266" t="e">
        <f>BC208-BB208</f>
        <v>#DIV/0!</v>
      </c>
      <c r="BD292" s="266" t="e">
        <f>BD208-BC208</f>
        <v>#DIV/0!</v>
      </c>
      <c r="BE292" s="266" t="e">
        <f>BE208-BD208</f>
        <v>#DIV/0!</v>
      </c>
      <c r="BF292" s="266" t="e">
        <f>SUM(BB292:BE292)</f>
        <v>#DIV/0!</v>
      </c>
      <c r="BG292" s="266" t="e">
        <f>BG208-BF208</f>
        <v>#DIV/0!</v>
      </c>
      <c r="BH292" s="266" t="e">
        <f>BH208-BG208</f>
        <v>#DIV/0!</v>
      </c>
      <c r="BI292" s="266" t="e">
        <f>BI208-BH208</f>
        <v>#DIV/0!</v>
      </c>
      <c r="BJ292" s="266" t="e">
        <f>BJ208-BI208</f>
        <v>#DIV/0!</v>
      </c>
      <c r="BK292" s="266" t="e">
        <f>SUM(BG292:BJ292)</f>
        <v>#DIV/0!</v>
      </c>
      <c r="BL292" s="266" t="e">
        <f>BL208-BK208</f>
        <v>#DIV/0!</v>
      </c>
      <c r="BM292" s="266" t="e">
        <f>BM208-BL208</f>
        <v>#DIV/0!</v>
      </c>
      <c r="BN292" s="266" t="e">
        <f>BN208-BM208</f>
        <v>#DIV/0!</v>
      </c>
      <c r="BO292" s="266" t="e">
        <f>BO208-BN208</f>
        <v>#DIV/0!</v>
      </c>
      <c r="BP292" s="266" t="e">
        <f>SUM(BL292:BO292)</f>
        <v>#DIV/0!</v>
      </c>
      <c r="BQ292" s="266" t="e">
        <f>BQ208-BP208</f>
        <v>#DIV/0!</v>
      </c>
      <c r="BR292" s="266" t="e">
        <f>BR208-BQ208</f>
        <v>#DIV/0!</v>
      </c>
      <c r="BS292" s="266" t="e">
        <f>BS208-BR208</f>
        <v>#DIV/0!</v>
      </c>
      <c r="BT292" s="266" t="e">
        <f>BT208-BS208</f>
        <v>#DIV/0!</v>
      </c>
      <c r="BU292" s="266" t="e">
        <f>SUM(BQ292:BT292)</f>
        <v>#DIV/0!</v>
      </c>
      <c r="BV292" s="266" t="e">
        <f>BV208-BU208</f>
        <v>#DIV/0!</v>
      </c>
      <c r="BW292" s="266" t="e">
        <f>BW208-BV208</f>
        <v>#DIV/0!</v>
      </c>
      <c r="BX292" s="266" t="e">
        <f>BX208-BW208</f>
        <v>#DIV/0!</v>
      </c>
      <c r="BY292" s="266" t="e">
        <f>BY208-BX208</f>
        <v>#DIV/0!</v>
      </c>
      <c r="BZ292" s="266" t="e">
        <f>SUM(BV292:BY292)</f>
        <v>#DIV/0!</v>
      </c>
      <c r="CA292" s="266" t="e">
        <f>CA208-BZ208</f>
        <v>#DIV/0!</v>
      </c>
      <c r="CB292" s="266" t="e">
        <f>CB208-CA208</f>
        <v>#DIV/0!</v>
      </c>
      <c r="CC292" s="266" t="e">
        <f>CC208-CB208</f>
        <v>#DIV/0!</v>
      </c>
      <c r="CD292" s="266" t="e">
        <f>CD208-CC208</f>
        <v>#DIV/0!</v>
      </c>
      <c r="CE292" s="266" t="e">
        <f>SUM(CA292:CD292)</f>
        <v>#DIV/0!</v>
      </c>
      <c r="CF292" s="266" t="e">
        <f>CF208-CE208</f>
        <v>#DIV/0!</v>
      </c>
      <c r="CG292" s="266" t="e">
        <f>CG208-CF208</f>
        <v>#DIV/0!</v>
      </c>
      <c r="CH292" s="266" t="e">
        <f>CH208-CG208</f>
        <v>#DIV/0!</v>
      </c>
      <c r="CI292" s="266" t="e">
        <f>CI208-CH208</f>
        <v>#DIV/0!</v>
      </c>
      <c r="CJ292" s="266" t="e">
        <f>SUM(CF292:CI292)</f>
        <v>#DIV/0!</v>
      </c>
      <c r="CK292" s="266" t="e">
        <f>CK208-CJ208</f>
        <v>#DIV/0!</v>
      </c>
      <c r="CL292" s="266" t="e">
        <f>CL208-CK208</f>
        <v>#DIV/0!</v>
      </c>
      <c r="CM292" s="266" t="e">
        <f>CM208-CL208</f>
        <v>#DIV/0!</v>
      </c>
      <c r="CN292" s="266" t="e">
        <f>CN208-CM208</f>
        <v>#DIV/0!</v>
      </c>
      <c r="CO292" s="266" t="e">
        <f>SUM(CK292:CN292)</f>
        <v>#DIV/0!</v>
      </c>
      <c r="CP292" s="266" t="e">
        <f>CP208-CO208</f>
        <v>#DIV/0!</v>
      </c>
      <c r="CQ292" s="266" t="e">
        <f>CQ208-CP208</f>
        <v>#DIV/0!</v>
      </c>
      <c r="CR292" s="266" t="e">
        <f>CR208-CQ208</f>
        <v>#DIV/0!</v>
      </c>
      <c r="CS292" s="266" t="e">
        <f>CS208-CR208</f>
        <v>#DIV/0!</v>
      </c>
      <c r="CT292" s="266" t="e">
        <f>SUM(CP292:CS292)</f>
        <v>#DIV/0!</v>
      </c>
      <c r="CU292" s="266" t="e">
        <f>CU208-CT208</f>
        <v>#DIV/0!</v>
      </c>
      <c r="CV292" s="266" t="e">
        <f>CV208-CU208</f>
        <v>#DIV/0!</v>
      </c>
      <c r="CW292" s="266" t="e">
        <f>CW208-CV208</f>
        <v>#DIV/0!</v>
      </c>
      <c r="CX292" s="266" t="e">
        <f>CX208-CW208</f>
        <v>#DIV/0!</v>
      </c>
      <c r="CY292" s="266" t="e">
        <f>SUM(CU292:CX292)</f>
        <v>#DIV/0!</v>
      </c>
    </row>
    <row r="293" hidden="1" outlineLevel="1" ht="12.75" customHeight="1" s="254">
      <c r="C293" s="264" t="inlineStr">
        <is>
          <t>Taxes payable</t>
        </is>
      </c>
      <c r="D293" s="266" t="n"/>
      <c r="E293" s="266">
        <f>E210-D210</f>
        <v>0</v>
      </c>
      <c r="F293" s="266">
        <f>F210-E210</f>
        <v>0</v>
      </c>
      <c r="G293" s="266">
        <f>G210-F210</f>
        <v>0</v>
      </c>
      <c r="H293" s="266">
        <f>SUM(D293:G293)</f>
        <v>0</v>
      </c>
      <c r="I293" s="266">
        <f>I210-H210</f>
        <v>3372</v>
      </c>
      <c r="J293" s="266">
        <f>J210-I210</f>
        <v>-535</v>
      </c>
      <c r="K293" s="266">
        <f>K210-J210</f>
        <v>-28</v>
      </c>
      <c r="L293" s="266">
        <f>L210-K210</f>
        <v>445</v>
      </c>
      <c r="M293" s="266">
        <f>SUM(I293:L293)</f>
        <v>3254</v>
      </c>
      <c r="N293" s="266">
        <f>N210-M210</f>
        <v>498</v>
      </c>
      <c r="O293" s="266">
        <f>O210-N210</f>
        <v>754</v>
      </c>
      <c r="P293" s="266">
        <f>P210-O210</f>
        <v>-174</v>
      </c>
      <c r="Q293" s="266">
        <f>Q210-P210</f>
        <v>537</v>
      </c>
      <c r="R293" s="266">
        <f>SUM(N293:Q293)</f>
        <v>1615</v>
      </c>
      <c r="S293" s="266">
        <f>S210-R210</f>
        <v>1055</v>
      </c>
      <c r="T293" s="266">
        <f>T210-S210</f>
        <v>-1462</v>
      </c>
      <c r="U293" s="266">
        <f>U210-T210</f>
        <v>-90</v>
      </c>
      <c r="V293" s="266">
        <f>V210-U210</f>
        <v>-950</v>
      </c>
      <c r="W293" s="266">
        <f>SUM(S293:V293)</f>
        <v>-1447</v>
      </c>
      <c r="X293" s="266">
        <f>X210-W210</f>
        <v>518</v>
      </c>
      <c r="Y293" s="266">
        <f>Y210-X210</f>
        <v>147</v>
      </c>
      <c r="Z293" s="266">
        <f>Z210-Y210</f>
        <v>202</v>
      </c>
      <c r="AA293" s="266">
        <f>AA210-Z210</f>
        <v>359</v>
      </c>
      <c r="AB293" s="266">
        <f>SUM(X293:AA293)</f>
        <v>1226</v>
      </c>
      <c r="AC293" s="266">
        <f>AC210-AB210</f>
        <v>-305</v>
      </c>
      <c r="AD293" s="266">
        <f>AD210-AC210</f>
        <v>-701</v>
      </c>
      <c r="AE293" s="266">
        <f>AE210-AD210</f>
        <v>-195</v>
      </c>
      <c r="AF293" s="266">
        <f>AF210-AE210</f>
        <v>-297</v>
      </c>
      <c r="AG293" s="266">
        <f>SUM(AC293:AF293)</f>
        <v>-1498</v>
      </c>
      <c r="AH293" s="266">
        <f>AH210-AG210</f>
        <v>733</v>
      </c>
      <c r="AI293" s="266">
        <f>AI210-AH210</f>
        <v>466</v>
      </c>
      <c r="AJ293" s="266">
        <f>AJ210-AI210</f>
        <v>-4349</v>
      </c>
      <c r="AK293" s="266">
        <f>AK210-AJ210</f>
        <v>0</v>
      </c>
      <c r="AL293" s="266">
        <f>SUM(AH293:AK293)</f>
        <v>-3150</v>
      </c>
      <c r="AM293" s="266" t="e">
        <f>AM210-AL210</f>
        <v>#DIV/0!</v>
      </c>
      <c r="AN293" s="266" t="e">
        <f>AN210-AM210</f>
        <v>#DIV/0!</v>
      </c>
      <c r="AO293" s="266" t="e">
        <f>AO210-AN210</f>
        <v>#DIV/0!</v>
      </c>
      <c r="AP293" s="266" t="e">
        <f>AP210-AO210</f>
        <v>#DIV/0!</v>
      </c>
      <c r="AQ293" s="266" t="e">
        <f>SUM(AM293:AP293)</f>
        <v>#DIV/0!</v>
      </c>
      <c r="AR293" s="266" t="e">
        <f>AR210-AQ210</f>
        <v>#DIV/0!</v>
      </c>
      <c r="AS293" s="266" t="e">
        <f>AS210-AR210</f>
        <v>#DIV/0!</v>
      </c>
      <c r="AT293" s="266" t="e">
        <f>AT210-AS210</f>
        <v>#DIV/0!</v>
      </c>
      <c r="AU293" s="266" t="e">
        <f>AU210-AT210</f>
        <v>#DIV/0!</v>
      </c>
      <c r="AV293" s="266" t="e">
        <f>SUM(AR293:AU293)</f>
        <v>#DIV/0!</v>
      </c>
      <c r="AW293" s="266" t="e">
        <f>AW210-AV210</f>
        <v>#DIV/0!</v>
      </c>
      <c r="AX293" s="266" t="e">
        <f>AX210-AW210</f>
        <v>#DIV/0!</v>
      </c>
      <c r="AY293" s="266" t="e">
        <f>AY210-AX210</f>
        <v>#DIV/0!</v>
      </c>
      <c r="AZ293" s="266" t="e">
        <f>AZ210-AY210</f>
        <v>#DIV/0!</v>
      </c>
      <c r="BA293" s="266" t="e">
        <f>SUM(AW293:AZ293)</f>
        <v>#DIV/0!</v>
      </c>
      <c r="BB293" s="266" t="e">
        <f>BB210-BA210</f>
        <v>#DIV/0!</v>
      </c>
      <c r="BC293" s="266" t="e">
        <f>BC210-BB210</f>
        <v>#DIV/0!</v>
      </c>
      <c r="BD293" s="266" t="e">
        <f>BD210-BC210</f>
        <v>#DIV/0!</v>
      </c>
      <c r="BE293" s="266" t="e">
        <f>BE210-BD210</f>
        <v>#DIV/0!</v>
      </c>
      <c r="BF293" s="266" t="e">
        <f>SUM(BB293:BE293)</f>
        <v>#DIV/0!</v>
      </c>
      <c r="BG293" s="266" t="e">
        <f>BG210-BF210</f>
        <v>#DIV/0!</v>
      </c>
      <c r="BH293" s="266" t="e">
        <f>BH210-BG210</f>
        <v>#DIV/0!</v>
      </c>
      <c r="BI293" s="266" t="e">
        <f>BI210-BH210</f>
        <v>#DIV/0!</v>
      </c>
      <c r="BJ293" s="266" t="e">
        <f>BJ210-BI210</f>
        <v>#DIV/0!</v>
      </c>
      <c r="BK293" s="266" t="e">
        <f>SUM(BG293:BJ293)</f>
        <v>#DIV/0!</v>
      </c>
      <c r="BL293" s="266" t="e">
        <f>BL210-BK210</f>
        <v>#DIV/0!</v>
      </c>
      <c r="BM293" s="266" t="e">
        <f>BM210-BL210</f>
        <v>#DIV/0!</v>
      </c>
      <c r="BN293" s="266" t="e">
        <f>BN210-BM210</f>
        <v>#DIV/0!</v>
      </c>
      <c r="BO293" s="266" t="e">
        <f>BO210-BN210</f>
        <v>#DIV/0!</v>
      </c>
      <c r="BP293" s="266" t="e">
        <f>SUM(BL293:BO293)</f>
        <v>#DIV/0!</v>
      </c>
      <c r="BQ293" s="266" t="e">
        <f>BQ210-BP210</f>
        <v>#DIV/0!</v>
      </c>
      <c r="BR293" s="266" t="e">
        <f>BR210-BQ210</f>
        <v>#DIV/0!</v>
      </c>
      <c r="BS293" s="266" t="e">
        <f>BS210-BR210</f>
        <v>#DIV/0!</v>
      </c>
      <c r="BT293" s="266" t="e">
        <f>BT210-BS210</f>
        <v>#DIV/0!</v>
      </c>
      <c r="BU293" s="266" t="e">
        <f>SUM(BQ293:BT293)</f>
        <v>#DIV/0!</v>
      </c>
      <c r="BV293" s="266" t="e">
        <f>BV210-BU210</f>
        <v>#DIV/0!</v>
      </c>
      <c r="BW293" s="266" t="e">
        <f>BW210-BV210</f>
        <v>#DIV/0!</v>
      </c>
      <c r="BX293" s="266" t="e">
        <f>BX210-BW210</f>
        <v>#DIV/0!</v>
      </c>
      <c r="BY293" s="266" t="e">
        <f>BY210-BX210</f>
        <v>#DIV/0!</v>
      </c>
      <c r="BZ293" s="266" t="e">
        <f>SUM(BV293:BY293)</f>
        <v>#DIV/0!</v>
      </c>
      <c r="CA293" s="266" t="e">
        <f>CA210-BZ210</f>
        <v>#DIV/0!</v>
      </c>
      <c r="CB293" s="266" t="e">
        <f>CB210-CA210</f>
        <v>#DIV/0!</v>
      </c>
      <c r="CC293" s="266" t="e">
        <f>CC210-CB210</f>
        <v>#DIV/0!</v>
      </c>
      <c r="CD293" s="266" t="e">
        <f>CD210-CC210</f>
        <v>#DIV/0!</v>
      </c>
      <c r="CE293" s="266" t="e">
        <f>SUM(CA293:CD293)</f>
        <v>#DIV/0!</v>
      </c>
      <c r="CF293" s="266" t="e">
        <f>CF210-CE210</f>
        <v>#DIV/0!</v>
      </c>
      <c r="CG293" s="266" t="e">
        <f>CG210-CF210</f>
        <v>#DIV/0!</v>
      </c>
      <c r="CH293" s="266" t="e">
        <f>CH210-CG210</f>
        <v>#DIV/0!</v>
      </c>
      <c r="CI293" s="266" t="e">
        <f>CI210-CH210</f>
        <v>#DIV/0!</v>
      </c>
      <c r="CJ293" s="266" t="e">
        <f>SUM(CF293:CI293)</f>
        <v>#DIV/0!</v>
      </c>
      <c r="CK293" s="266" t="e">
        <f>CK210-CJ210</f>
        <v>#DIV/0!</v>
      </c>
      <c r="CL293" s="266" t="e">
        <f>CL210-CK210</f>
        <v>#DIV/0!</v>
      </c>
      <c r="CM293" s="266" t="e">
        <f>CM210-CL210</f>
        <v>#DIV/0!</v>
      </c>
      <c r="CN293" s="266" t="e">
        <f>CN210-CM210</f>
        <v>#DIV/0!</v>
      </c>
      <c r="CO293" s="266" t="e">
        <f>SUM(CK293:CN293)</f>
        <v>#DIV/0!</v>
      </c>
      <c r="CP293" s="266" t="e">
        <f>CP210-CO210</f>
        <v>#DIV/0!</v>
      </c>
      <c r="CQ293" s="266" t="e">
        <f>CQ210-CP210</f>
        <v>#DIV/0!</v>
      </c>
      <c r="CR293" s="266" t="e">
        <f>CR210-CQ210</f>
        <v>#DIV/0!</v>
      </c>
      <c r="CS293" s="266" t="e">
        <f>CS210-CR210</f>
        <v>#DIV/0!</v>
      </c>
      <c r="CT293" s="266" t="e">
        <f>SUM(CP293:CS293)</f>
        <v>#DIV/0!</v>
      </c>
      <c r="CU293" s="266" t="e">
        <f>CU210-CT210</f>
        <v>#DIV/0!</v>
      </c>
      <c r="CV293" s="266" t="e">
        <f>CV210-CU210</f>
        <v>#DIV/0!</v>
      </c>
      <c r="CW293" s="266" t="e">
        <f>CW210-CV210</f>
        <v>#DIV/0!</v>
      </c>
      <c r="CX293" s="266" t="e">
        <f>CX210-CW210</f>
        <v>#DIV/0!</v>
      </c>
      <c r="CY293" s="266" t="e">
        <f>SUM(CU293:CX293)</f>
        <v>#DIV/0!</v>
      </c>
    </row>
    <row r="294" hidden="1" outlineLevel="1" ht="12.75" customHeight="1" s="254">
      <c r="C294" s="264" t="inlineStr">
        <is>
          <t>Other current liabilities (non-debt)</t>
        </is>
      </c>
      <c r="D294" s="266" t="n"/>
      <c r="E294" s="266">
        <f>E211-D211</f>
        <v>0</v>
      </c>
      <c r="F294" s="266">
        <f>F211-E211</f>
        <v>0</v>
      </c>
      <c r="G294" s="266">
        <f>G211-F211</f>
        <v>0</v>
      </c>
      <c r="H294" s="266">
        <f>SUM(D294:G294)</f>
        <v>0</v>
      </c>
      <c r="I294" s="266">
        <f>I211-H211</f>
        <v>9063</v>
      </c>
      <c r="J294" s="266">
        <f>J211-I211</f>
        <v>4611</v>
      </c>
      <c r="K294" s="266">
        <f>K211-J211</f>
        <v>17340</v>
      </c>
      <c r="L294" s="266">
        <f>L211-K211</f>
        <v>-10112</v>
      </c>
      <c r="M294" s="266">
        <f>SUM(I294:L294)</f>
        <v>20902</v>
      </c>
      <c r="N294" s="266">
        <f>N211-M211</f>
        <v>9876</v>
      </c>
      <c r="O294" s="266">
        <f>O211-N211</f>
        <v>1426</v>
      </c>
      <c r="P294" s="266">
        <f>P211-O211</f>
        <v>3749</v>
      </c>
      <c r="Q294" s="266">
        <f>Q211-P211</f>
        <v>-7869</v>
      </c>
      <c r="R294" s="266">
        <f>SUM(N294:Q294)</f>
        <v>7182</v>
      </c>
      <c r="S294" s="266">
        <f>S211-R211</f>
        <v>-9232</v>
      </c>
      <c r="T294" s="266">
        <f>T211-S211</f>
        <v>-3295</v>
      </c>
      <c r="U294" s="266">
        <f>U211-T211</f>
        <v>-2107</v>
      </c>
      <c r="V294" s="266">
        <f>V211-U211</f>
        <v>427</v>
      </c>
      <c r="W294" s="266">
        <f>SUM(S294:V294)</f>
        <v>-14207</v>
      </c>
      <c r="X294" s="266">
        <f>X211-W211</f>
        <v>-950</v>
      </c>
      <c r="Y294" s="266">
        <f>Y211-X211</f>
        <v>-309</v>
      </c>
      <c r="Z294" s="266">
        <f>Z211-Y211</f>
        <v>-373</v>
      </c>
      <c r="AA294" s="266">
        <f>AA211-Z211</f>
        <v>5820</v>
      </c>
      <c r="AB294" s="266">
        <f>SUM(X294:AA294)</f>
        <v>4188</v>
      </c>
      <c r="AC294" s="266">
        <f>AC211-AB211</f>
        <v>1412</v>
      </c>
      <c r="AD294" s="266">
        <f>AD211-AC211</f>
        <v>65</v>
      </c>
      <c r="AE294" s="266">
        <f>AE211-AD211</f>
        <v>-206</v>
      </c>
      <c r="AF294" s="266">
        <f>AF211-AE211</f>
        <v>-6969</v>
      </c>
      <c r="AG294" s="266">
        <f>SUM(AC294:AF294)</f>
        <v>-5698</v>
      </c>
      <c r="AH294" s="266">
        <f>AH211-AG211</f>
        <v>2875</v>
      </c>
      <c r="AI294" s="266">
        <f>AI211-AH211</f>
        <v>-3260</v>
      </c>
      <c r="AJ294" s="266">
        <f>AJ211-AI211</f>
        <v>0</v>
      </c>
      <c r="AK294" s="266">
        <f>AK211-AJ211</f>
        <v>0</v>
      </c>
      <c r="AL294" s="266">
        <f>SUM(AH294:AK294)</f>
        <v>-385</v>
      </c>
      <c r="AM294" s="266">
        <f>AM211-AL211</f>
        <v>0</v>
      </c>
      <c r="AN294" s="266">
        <f>AN211-AM211</f>
        <v>0</v>
      </c>
      <c r="AO294" s="266">
        <f>AO211-AN211</f>
        <v>0</v>
      </c>
      <c r="AP294" s="266">
        <f>AP211-AO211</f>
        <v>0</v>
      </c>
      <c r="AQ294" s="266">
        <f>SUM(AM294:AP294)</f>
        <v>0</v>
      </c>
      <c r="AR294" s="266">
        <f>AR211-AQ211</f>
        <v>0</v>
      </c>
      <c r="AS294" s="266">
        <f>AS211-AR211</f>
        <v>0</v>
      </c>
      <c r="AT294" s="266">
        <f>AT211-AS211</f>
        <v>0</v>
      </c>
      <c r="AU294" s="266">
        <f>AU211-AT211</f>
        <v>0</v>
      </c>
      <c r="AV294" s="266">
        <f>SUM(AR294:AU294)</f>
        <v>0</v>
      </c>
      <c r="AW294" s="266">
        <f>AW211-AV211</f>
        <v>0</v>
      </c>
      <c r="AX294" s="266">
        <f>AX211-AW211</f>
        <v>0</v>
      </c>
      <c r="AY294" s="266">
        <f>AY211-AX211</f>
        <v>0</v>
      </c>
      <c r="AZ294" s="266">
        <f>AZ211-AY211</f>
        <v>0</v>
      </c>
      <c r="BA294" s="266">
        <f>SUM(AW294:AZ294)</f>
        <v>0</v>
      </c>
      <c r="BB294" s="266">
        <f>BB211-BA211</f>
        <v>0</v>
      </c>
      <c r="BC294" s="266">
        <f>BC211-BB211</f>
        <v>0</v>
      </c>
      <c r="BD294" s="266">
        <f>BD211-BC211</f>
        <v>0</v>
      </c>
      <c r="BE294" s="266">
        <f>BE211-BD211</f>
        <v>0</v>
      </c>
      <c r="BF294" s="266">
        <f>SUM(BB294:BE294)</f>
        <v>0</v>
      </c>
      <c r="BG294" s="266">
        <f>BG211-BF211</f>
        <v>0</v>
      </c>
      <c r="BH294" s="266">
        <f>BH211-BG211</f>
        <v>0</v>
      </c>
      <c r="BI294" s="266">
        <f>BI211-BH211</f>
        <v>0</v>
      </c>
      <c r="BJ294" s="266">
        <f>BJ211-BI211</f>
        <v>0</v>
      </c>
      <c r="BK294" s="266">
        <f>SUM(BG294:BJ294)</f>
        <v>0</v>
      </c>
      <c r="BL294" s="266">
        <f>BL211-BK211</f>
        <v>0</v>
      </c>
      <c r="BM294" s="266">
        <f>BM211-BL211</f>
        <v>0</v>
      </c>
      <c r="BN294" s="266">
        <f>BN211-BM211</f>
        <v>0</v>
      </c>
      <c r="BO294" s="266">
        <f>BO211-BN211</f>
        <v>0</v>
      </c>
      <c r="BP294" s="266">
        <f>SUM(BL294:BO294)</f>
        <v>0</v>
      </c>
      <c r="BQ294" s="266">
        <f>BQ211-BP211</f>
        <v>0</v>
      </c>
      <c r="BR294" s="266">
        <f>BR211-BQ211</f>
        <v>0</v>
      </c>
      <c r="BS294" s="266">
        <f>BS211-BR211</f>
        <v>0</v>
      </c>
      <c r="BT294" s="266">
        <f>BT211-BS211</f>
        <v>0</v>
      </c>
      <c r="BU294" s="266">
        <f>SUM(BQ294:BT294)</f>
        <v>0</v>
      </c>
      <c r="BV294" s="266">
        <f>BV211-BU211</f>
        <v>0</v>
      </c>
      <c r="BW294" s="266">
        <f>BW211-BV211</f>
        <v>0</v>
      </c>
      <c r="BX294" s="266">
        <f>BX211-BW211</f>
        <v>0</v>
      </c>
      <c r="BY294" s="266">
        <f>BY211-BX211</f>
        <v>0</v>
      </c>
      <c r="BZ294" s="266">
        <f>SUM(BV294:BY294)</f>
        <v>0</v>
      </c>
      <c r="CA294" s="266">
        <f>CA211-BZ211</f>
        <v>0</v>
      </c>
      <c r="CB294" s="266">
        <f>CB211-CA211</f>
        <v>0</v>
      </c>
      <c r="CC294" s="266">
        <f>CC211-CB211</f>
        <v>0</v>
      </c>
      <c r="CD294" s="266">
        <f>CD211-CC211</f>
        <v>0</v>
      </c>
      <c r="CE294" s="266">
        <f>SUM(CA294:CD294)</f>
        <v>0</v>
      </c>
      <c r="CF294" s="266">
        <f>CF211-CE211</f>
        <v>0</v>
      </c>
      <c r="CG294" s="266">
        <f>CG211-CF211</f>
        <v>0</v>
      </c>
      <c r="CH294" s="266">
        <f>CH211-CG211</f>
        <v>0</v>
      </c>
      <c r="CI294" s="266">
        <f>CI211-CH211</f>
        <v>0</v>
      </c>
      <c r="CJ294" s="266">
        <f>SUM(CF294:CI294)</f>
        <v>0</v>
      </c>
      <c r="CK294" s="266">
        <f>CK211-CJ211</f>
        <v>0</v>
      </c>
      <c r="CL294" s="266">
        <f>CL211-CK211</f>
        <v>0</v>
      </c>
      <c r="CM294" s="266">
        <f>CM211-CL211</f>
        <v>0</v>
      </c>
      <c r="CN294" s="266">
        <f>CN211-CM211</f>
        <v>0</v>
      </c>
      <c r="CO294" s="266">
        <f>SUM(CK294:CN294)</f>
        <v>0</v>
      </c>
      <c r="CP294" s="266">
        <f>CP211-CO211</f>
        <v>0</v>
      </c>
      <c r="CQ294" s="266">
        <f>CQ211-CP211</f>
        <v>0</v>
      </c>
      <c r="CR294" s="266">
        <f>CR211-CQ211</f>
        <v>0</v>
      </c>
      <c r="CS294" s="266">
        <f>CS211-CR211</f>
        <v>0</v>
      </c>
      <c r="CT294" s="266">
        <f>SUM(CP294:CS294)</f>
        <v>0</v>
      </c>
      <c r="CU294" s="266">
        <f>CU211-CT211</f>
        <v>0</v>
      </c>
      <c r="CV294" s="266">
        <f>CV211-CU211</f>
        <v>0</v>
      </c>
      <c r="CW294" s="266">
        <f>CW211-CV211</f>
        <v>0</v>
      </c>
      <c r="CX294" s="266">
        <f>CX211-CW211</f>
        <v>0</v>
      </c>
      <c r="CY294" s="266">
        <f>SUM(CU294:CX294)</f>
        <v>0</v>
      </c>
    </row>
    <row r="295" hidden="1" outlineLevel="1" ht="12.75" customHeight="1" s="254">
      <c r="C295" s="264" t="inlineStr">
        <is>
          <t>Deferred income taxes</t>
        </is>
      </c>
      <c r="D295" s="266" t="n"/>
      <c r="E295" s="266">
        <f>E245-D245</f>
        <v>0</v>
      </c>
      <c r="F295" s="266">
        <f>F245-E245</f>
        <v>0</v>
      </c>
      <c r="G295" s="266">
        <f>G245-F245</f>
        <v>0</v>
      </c>
      <c r="H295" s="266">
        <f>SUM(D295:G295)</f>
        <v>0</v>
      </c>
      <c r="I295" s="266">
        <f>I245-H245</f>
        <v>11285</v>
      </c>
      <c r="J295" s="266">
        <f>J245-I245</f>
        <v>432</v>
      </c>
      <c r="K295" s="266">
        <f>K245-J245</f>
        <v>442</v>
      </c>
      <c r="L295" s="266">
        <f>L245-K245</f>
        <v>388</v>
      </c>
      <c r="M295" s="266">
        <f>SUM(I295:L295)</f>
        <v>12547</v>
      </c>
      <c r="N295" s="266">
        <f>N245-M245</f>
        <v>474</v>
      </c>
      <c r="O295" s="266">
        <f>O245-N245</f>
        <v>3124</v>
      </c>
      <c r="P295" s="266">
        <f>P245-O245</f>
        <v>748</v>
      </c>
      <c r="Q295" s="266">
        <f>Q245-P245</f>
        <v>-707</v>
      </c>
      <c r="R295" s="266">
        <f>SUM(N295:Q295)</f>
        <v>3639</v>
      </c>
      <c r="S295" s="266">
        <f>S245-R245</f>
        <v>278</v>
      </c>
      <c r="T295" s="266">
        <f>T245-S245</f>
        <v>-509</v>
      </c>
      <c r="U295" s="266">
        <f>U245-T245</f>
        <v>-64</v>
      </c>
      <c r="V295" s="266">
        <f>V245-U245</f>
        <v>-544</v>
      </c>
      <c r="W295" s="266">
        <f>SUM(S295:V295)</f>
        <v>-839</v>
      </c>
      <c r="X295" s="266">
        <f>X245-W245</f>
        <v>-168</v>
      </c>
      <c r="Y295" s="266">
        <f>Y245-X245</f>
        <v>114</v>
      </c>
      <c r="Z295" s="266">
        <f>Z245-Y245</f>
        <v>194</v>
      </c>
      <c r="AA295" s="266">
        <f>AA245-Z245</f>
        <v>-1982</v>
      </c>
      <c r="AB295" s="266">
        <f>SUM(X295:AA295)</f>
        <v>-1842</v>
      </c>
      <c r="AC295" s="266">
        <f>AC245-AB245</f>
        <v>-248</v>
      </c>
      <c r="AD295" s="266">
        <f>AD245-AC245</f>
        <v>-336</v>
      </c>
      <c r="AE295" s="266">
        <f>AE245-AD245</f>
        <v>-966</v>
      </c>
      <c r="AF295" s="266">
        <f>AF245-AE245</f>
        <v>28</v>
      </c>
      <c r="AG295" s="266">
        <f>SUM(AC295:AF295)</f>
        <v>-1522</v>
      </c>
      <c r="AH295" s="266">
        <f>AH245-AG245</f>
        <v>-99</v>
      </c>
      <c r="AI295" s="266">
        <f>AI245-AH245</f>
        <v>-53</v>
      </c>
      <c r="AJ295" s="266">
        <f>AJ245-AI245</f>
        <v>0</v>
      </c>
      <c r="AK295" s="266">
        <f>AK245-AJ245</f>
        <v>0</v>
      </c>
      <c r="AL295" s="266">
        <f>SUM(AH295:AK295)</f>
        <v>-152</v>
      </c>
      <c r="AM295" s="266">
        <f>AM245-AL245</f>
        <v>0</v>
      </c>
      <c r="AN295" s="266">
        <f>AN245-AM245</f>
        <v>0</v>
      </c>
      <c r="AO295" s="266">
        <f>AO245-AN245</f>
        <v>0</v>
      </c>
      <c r="AP295" s="266">
        <f>AP245-AO245</f>
        <v>0</v>
      </c>
      <c r="AQ295" s="266">
        <f>SUM(AM295:AP295)</f>
        <v>0</v>
      </c>
      <c r="AR295" s="266">
        <f>AR245-AQ245</f>
        <v>0</v>
      </c>
      <c r="AS295" s="266">
        <f>AS245-AR245</f>
        <v>0</v>
      </c>
      <c r="AT295" s="266">
        <f>AT245-AS245</f>
        <v>0</v>
      </c>
      <c r="AU295" s="266">
        <f>AU245-AT245</f>
        <v>0</v>
      </c>
      <c r="AV295" s="266">
        <f>SUM(AR295:AU295)</f>
        <v>0</v>
      </c>
      <c r="AW295" s="266">
        <f>AW245-AV245</f>
        <v>0</v>
      </c>
      <c r="AX295" s="266">
        <f>AX245-AW245</f>
        <v>0</v>
      </c>
      <c r="AY295" s="266">
        <f>AY245-AX245</f>
        <v>0</v>
      </c>
      <c r="AZ295" s="266">
        <f>AZ245-AY245</f>
        <v>0</v>
      </c>
      <c r="BA295" s="266">
        <f>SUM(AW295:AZ295)</f>
        <v>0</v>
      </c>
      <c r="BB295" s="266">
        <f>BB245-BA245</f>
        <v>0</v>
      </c>
      <c r="BC295" s="266">
        <f>BC245-BB245</f>
        <v>0</v>
      </c>
      <c r="BD295" s="266">
        <f>BD245-BC245</f>
        <v>0</v>
      </c>
      <c r="BE295" s="266">
        <f>BE245-BD245</f>
        <v>0</v>
      </c>
      <c r="BF295" s="266">
        <f>SUM(BB295:BE295)</f>
        <v>0</v>
      </c>
      <c r="BG295" s="266">
        <f>BG245-BF245</f>
        <v>0</v>
      </c>
      <c r="BH295" s="266">
        <f>BH245-BG245</f>
        <v>0</v>
      </c>
      <c r="BI295" s="266">
        <f>BI245-BH245</f>
        <v>0</v>
      </c>
      <c r="BJ295" s="266">
        <f>BJ245-BI245</f>
        <v>0</v>
      </c>
      <c r="BK295" s="266">
        <f>SUM(BG295:BJ295)</f>
        <v>0</v>
      </c>
      <c r="BL295" s="266">
        <f>BL245-BK245</f>
        <v>0</v>
      </c>
      <c r="BM295" s="266">
        <f>BM245-BL245</f>
        <v>0</v>
      </c>
      <c r="BN295" s="266">
        <f>BN245-BM245</f>
        <v>0</v>
      </c>
      <c r="BO295" s="266">
        <f>BO245-BN245</f>
        <v>0</v>
      </c>
      <c r="BP295" s="266">
        <f>SUM(BL295:BO295)</f>
        <v>0</v>
      </c>
      <c r="BQ295" s="266">
        <f>BQ245-BP245</f>
        <v>0</v>
      </c>
      <c r="BR295" s="266">
        <f>BR245-BQ245</f>
        <v>0</v>
      </c>
      <c r="BS295" s="266">
        <f>BS245-BR245</f>
        <v>0</v>
      </c>
      <c r="BT295" s="266">
        <f>BT245-BS245</f>
        <v>0</v>
      </c>
      <c r="BU295" s="266">
        <f>SUM(BQ295:BT295)</f>
        <v>0</v>
      </c>
      <c r="BV295" s="266">
        <f>BV245-BU245</f>
        <v>0</v>
      </c>
      <c r="BW295" s="266">
        <f>BW245-BV245</f>
        <v>0</v>
      </c>
      <c r="BX295" s="266">
        <f>BX245-BW245</f>
        <v>0</v>
      </c>
      <c r="BY295" s="266">
        <f>BY245-BX245</f>
        <v>0</v>
      </c>
      <c r="BZ295" s="266">
        <f>SUM(BV295:BY295)</f>
        <v>0</v>
      </c>
      <c r="CA295" s="266">
        <f>CA245-BZ245</f>
        <v>0</v>
      </c>
      <c r="CB295" s="266">
        <f>CB245-CA245</f>
        <v>0</v>
      </c>
      <c r="CC295" s="266">
        <f>CC245-CB245</f>
        <v>0</v>
      </c>
      <c r="CD295" s="266">
        <f>CD245-CC245</f>
        <v>0</v>
      </c>
      <c r="CE295" s="266">
        <f>SUM(CA295:CD295)</f>
        <v>0</v>
      </c>
      <c r="CF295" s="266">
        <f>CF245-CE245</f>
        <v>0</v>
      </c>
      <c r="CG295" s="266">
        <f>CG245-CF245</f>
        <v>0</v>
      </c>
      <c r="CH295" s="266">
        <f>CH245-CG245</f>
        <v>0</v>
      </c>
      <c r="CI295" s="266">
        <f>CI245-CH245</f>
        <v>0</v>
      </c>
      <c r="CJ295" s="266">
        <f>SUM(CF295:CI295)</f>
        <v>0</v>
      </c>
      <c r="CK295" s="266">
        <f>CK245-CJ245</f>
        <v>0</v>
      </c>
      <c r="CL295" s="266">
        <f>CL245-CK245</f>
        <v>0</v>
      </c>
      <c r="CM295" s="266">
        <f>CM245-CL245</f>
        <v>0</v>
      </c>
      <c r="CN295" s="266">
        <f>CN245-CM245</f>
        <v>0</v>
      </c>
      <c r="CO295" s="266">
        <f>SUM(CK295:CN295)</f>
        <v>0</v>
      </c>
      <c r="CP295" s="266">
        <f>CP245-CO245</f>
        <v>0</v>
      </c>
      <c r="CQ295" s="266">
        <f>CQ245-CP245</f>
        <v>0</v>
      </c>
      <c r="CR295" s="266">
        <f>CR245-CQ245</f>
        <v>0</v>
      </c>
      <c r="CS295" s="266">
        <f>CS245-CR245</f>
        <v>0</v>
      </c>
      <c r="CT295" s="266">
        <f>SUM(CP295:CS295)</f>
        <v>0</v>
      </c>
      <c r="CU295" s="266">
        <f>CU245-CT245</f>
        <v>0</v>
      </c>
      <c r="CV295" s="266">
        <f>CV245-CU245</f>
        <v>0</v>
      </c>
      <c r="CW295" s="266">
        <f>CW245-CV245</f>
        <v>0</v>
      </c>
      <c r="CX295" s="266">
        <f>CX245-CW245</f>
        <v>0</v>
      </c>
      <c r="CY295" s="266">
        <f>SUM(CU295:CX295)</f>
        <v>0</v>
      </c>
    </row>
    <row r="296" ht="12.75" customHeight="1" s="254">
      <c r="C296" s="264" t="inlineStr">
        <is>
          <t>Equity income in affiliates</t>
        </is>
      </c>
      <c r="D296" s="266" t="n"/>
      <c r="E296" s="266">
        <f>(E167-D167)*-1</f>
        <v>0</v>
      </c>
      <c r="F296" s="266">
        <f>(F167-E167)*-1</f>
        <v>0</v>
      </c>
      <c r="G296" s="266">
        <f>(G167-F167)*-1</f>
        <v>0</v>
      </c>
      <c r="H296" s="266">
        <f>SUM(D296:G296)</f>
        <v>0</v>
      </c>
      <c r="I296" s="266">
        <f>(I167-H167)*-1</f>
        <v>-22537</v>
      </c>
      <c r="J296" s="266">
        <f>(J167-I167)*-1</f>
        <v>-711</v>
      </c>
      <c r="K296" s="266">
        <f>(K167-J167)*-1</f>
        <v>-476</v>
      </c>
      <c r="L296" s="266">
        <f>(L167-K167)*-1</f>
        <v>309</v>
      </c>
      <c r="M296" s="266">
        <f>SUM(I296:L296)</f>
        <v>-23415</v>
      </c>
      <c r="N296" s="266">
        <f>(N167-M167)*-1</f>
        <v>126</v>
      </c>
      <c r="O296" s="266">
        <f>(O167-N167)*-1</f>
        <v>25</v>
      </c>
      <c r="P296" s="266">
        <f>(P167-O167)*-1</f>
        <v>-1225</v>
      </c>
      <c r="Q296" s="266">
        <f>(Q167-P167)*-1</f>
        <v>625</v>
      </c>
      <c r="R296" s="266">
        <f>SUM(N296:Q296)</f>
        <v>-449</v>
      </c>
      <c r="S296" s="266">
        <f>(S167-R167)*-1</f>
        <v>-979</v>
      </c>
      <c r="T296" s="266">
        <f>(T167-S167)*-1</f>
        <v>409</v>
      </c>
      <c r="U296" s="266">
        <f>(U167-T167)*-1</f>
        <v>-43</v>
      </c>
      <c r="V296" s="266">
        <f>(V167-U167)*-1</f>
        <v>20</v>
      </c>
      <c r="W296" s="266">
        <f>SUM(S296:V296)</f>
        <v>-593</v>
      </c>
      <c r="X296" s="266">
        <f>(X167-W167)*-1</f>
        <v>-656</v>
      </c>
      <c r="Y296" s="266">
        <f>(Y167-X167)*-1</f>
        <v>15</v>
      </c>
      <c r="Z296" s="266">
        <f>(Z167-Y167)*-1</f>
        <v>-666</v>
      </c>
      <c r="AA296" s="266">
        <f>(AA167-Z167)*-1</f>
        <v>2319</v>
      </c>
      <c r="AB296" s="266">
        <f>SUM(X296:AA296)</f>
        <v>1012</v>
      </c>
      <c r="AC296" s="266">
        <f>(AC167-AB167)*-1</f>
        <v>-791</v>
      </c>
      <c r="AD296" s="266">
        <f>(AD167-AC167)*-1</f>
        <v>780</v>
      </c>
      <c r="AE296" s="266">
        <f>(AE167-AD167)*-1</f>
        <v>-273</v>
      </c>
      <c r="AF296" s="266">
        <f>(AF167-AE167)*-1</f>
        <v>-4046</v>
      </c>
      <c r="AG296" s="266">
        <f>SUM(AC296:AF296)</f>
        <v>-4330</v>
      </c>
      <c r="AH296" s="266">
        <f>(AH167-AG167)*-1</f>
        <v>196</v>
      </c>
      <c r="AI296" s="266">
        <f>(AI167-AH167)*-1</f>
        <v>-418</v>
      </c>
      <c r="AJ296" s="266">
        <f>(AJ167-AI167)*-1</f>
        <v>0</v>
      </c>
      <c r="AK296" s="266">
        <f>(AK167-AJ167)*-1</f>
        <v>0</v>
      </c>
      <c r="AL296" s="266">
        <f>SUM(AH296:AK296)</f>
        <v>-222</v>
      </c>
      <c r="AM296" s="266">
        <f>(AM167-AL167)*-1</f>
        <v>0</v>
      </c>
      <c r="AN296" s="266">
        <f>(AN167-AM167)*-1</f>
        <v>0</v>
      </c>
      <c r="AO296" s="266">
        <f>(AO167-AN167)*-1</f>
        <v>0</v>
      </c>
      <c r="AP296" s="266">
        <f>(AP167-AO167)*-1</f>
        <v>0</v>
      </c>
      <c r="AQ296" s="266">
        <f>SUM(AM296:AP296)</f>
        <v>0</v>
      </c>
      <c r="AR296" s="266">
        <f>(AR167-AQ167)*-1</f>
        <v>0</v>
      </c>
      <c r="AS296" s="266">
        <f>(AS167-AR167)*-1</f>
        <v>0</v>
      </c>
      <c r="AT296" s="266">
        <f>(AT167-AS167)*-1</f>
        <v>0</v>
      </c>
      <c r="AU296" s="266">
        <f>(AU167-AT167)*-1</f>
        <v>0</v>
      </c>
      <c r="AV296" s="266">
        <f>SUM(AR296:AU296)</f>
        <v>0</v>
      </c>
      <c r="AW296" s="266">
        <f>(AW167-AV167)*-1</f>
        <v>0</v>
      </c>
      <c r="AX296" s="266">
        <f>(AX167-AW167)*-1</f>
        <v>0</v>
      </c>
      <c r="AY296" s="266">
        <f>(AY167-AX167)*-1</f>
        <v>0</v>
      </c>
      <c r="AZ296" s="266">
        <f>(AZ167-AY167)*-1</f>
        <v>0</v>
      </c>
      <c r="BA296" s="266">
        <f>SUM(AW296:AZ296)</f>
        <v>0</v>
      </c>
      <c r="BB296" s="266">
        <f>(BB167-BA167)*-1</f>
        <v>0</v>
      </c>
      <c r="BC296" s="266">
        <f>(BC167-BB167)*-1</f>
        <v>0</v>
      </c>
      <c r="BD296" s="266">
        <f>(BD167-BC167)*-1</f>
        <v>0</v>
      </c>
      <c r="BE296" s="266">
        <f>(BE167-BD167)*-1</f>
        <v>0</v>
      </c>
      <c r="BF296" s="266">
        <f>SUM(BB296:BE296)</f>
        <v>0</v>
      </c>
      <c r="BG296" s="266">
        <f>(BG167-BF167)*-1</f>
        <v>0</v>
      </c>
      <c r="BH296" s="266">
        <f>(BH167-BG167)*-1</f>
        <v>0</v>
      </c>
      <c r="BI296" s="266">
        <f>(BI167-BH167)*-1</f>
        <v>0</v>
      </c>
      <c r="BJ296" s="266">
        <f>(BJ167-BI167)*-1</f>
        <v>0</v>
      </c>
      <c r="BK296" s="266">
        <f>SUM(BG296:BJ296)</f>
        <v>0</v>
      </c>
      <c r="BL296" s="266">
        <f>(BL167-BK167)*-1</f>
        <v>0</v>
      </c>
      <c r="BM296" s="266">
        <f>(BM167-BL167)*-1</f>
        <v>0</v>
      </c>
      <c r="BN296" s="266">
        <f>(BN167-BM167)*-1</f>
        <v>0</v>
      </c>
      <c r="BO296" s="266">
        <f>(BO167-BN167)*-1</f>
        <v>0</v>
      </c>
      <c r="BP296" s="266">
        <f>SUM(BL296:BO296)</f>
        <v>0</v>
      </c>
      <c r="BQ296" s="266">
        <f>(BQ167-BP167)*-1</f>
        <v>0</v>
      </c>
      <c r="BR296" s="266">
        <f>(BR167-BQ167)*-1</f>
        <v>0</v>
      </c>
      <c r="BS296" s="266">
        <f>(BS167-BR167)*-1</f>
        <v>0</v>
      </c>
      <c r="BT296" s="266">
        <f>(BT167-BS167)*-1</f>
        <v>0</v>
      </c>
      <c r="BU296" s="266">
        <f>SUM(BQ296:BT296)</f>
        <v>0</v>
      </c>
      <c r="BV296" s="266">
        <f>(BV167-BU167)*-1</f>
        <v>0</v>
      </c>
      <c r="BW296" s="266">
        <f>(BW167-BV167)*-1</f>
        <v>0</v>
      </c>
      <c r="BX296" s="266">
        <f>(BX167-BW167)*-1</f>
        <v>0</v>
      </c>
      <c r="BY296" s="266">
        <f>(BY167-BX167)*-1</f>
        <v>0</v>
      </c>
      <c r="BZ296" s="266">
        <f>SUM(BV296:BY296)</f>
        <v>0</v>
      </c>
      <c r="CA296" s="266">
        <f>(CA167-BZ167)*-1</f>
        <v>0</v>
      </c>
      <c r="CB296" s="266">
        <f>(CB167-CA167)*-1</f>
        <v>0</v>
      </c>
      <c r="CC296" s="266">
        <f>(CC167-CB167)*-1</f>
        <v>0</v>
      </c>
      <c r="CD296" s="266">
        <f>(CD167-CC167)*-1</f>
        <v>0</v>
      </c>
      <c r="CE296" s="266">
        <f>SUM(CA296:CD296)</f>
        <v>0</v>
      </c>
      <c r="CF296" s="266">
        <f>(CF167-CE167)*-1</f>
        <v>0</v>
      </c>
      <c r="CG296" s="266">
        <f>(CG167-CF167)*-1</f>
        <v>0</v>
      </c>
      <c r="CH296" s="266">
        <f>(CH167-CG167)*-1</f>
        <v>0</v>
      </c>
      <c r="CI296" s="266">
        <f>(CI167-CH167)*-1</f>
        <v>0</v>
      </c>
      <c r="CJ296" s="266">
        <f>SUM(CF296:CI296)</f>
        <v>0</v>
      </c>
      <c r="CK296" s="266">
        <f>(CK167-CJ167)*-1</f>
        <v>0</v>
      </c>
      <c r="CL296" s="266">
        <f>(CL167-CK167)*-1</f>
        <v>0</v>
      </c>
      <c r="CM296" s="266">
        <f>(CM167-CL167)*-1</f>
        <v>0</v>
      </c>
      <c r="CN296" s="266">
        <f>(CN167-CM167)*-1</f>
        <v>0</v>
      </c>
      <c r="CO296" s="266">
        <f>SUM(CK296:CN296)</f>
        <v>0</v>
      </c>
      <c r="CP296" s="266">
        <f>(CP167-CO167)*-1</f>
        <v>0</v>
      </c>
      <c r="CQ296" s="266">
        <f>(CQ167-CP167)*-1</f>
        <v>0</v>
      </c>
      <c r="CR296" s="266">
        <f>(CR167-CQ167)*-1</f>
        <v>0</v>
      </c>
      <c r="CS296" s="266">
        <f>(CS167-CR167)*-1</f>
        <v>0</v>
      </c>
      <c r="CT296" s="266">
        <f>SUM(CP296:CS296)</f>
        <v>0</v>
      </c>
      <c r="CU296" s="266">
        <f>(CU167-CT167)*-1</f>
        <v>0</v>
      </c>
      <c r="CV296" s="266">
        <f>(CV167-CU167)*-1</f>
        <v>0</v>
      </c>
      <c r="CW296" s="266">
        <f>(CW167-CV167)*-1</f>
        <v>0</v>
      </c>
      <c r="CX296" s="266">
        <f>(CX167-CW167)*-1</f>
        <v>0</v>
      </c>
      <c r="CY296" s="266">
        <f>SUM(CU296:CX296)</f>
        <v>0</v>
      </c>
    </row>
    <row r="297" ht="12.75" customHeight="1" s="254">
      <c r="C297" s="264" t="inlineStr">
        <is>
          <t>Dividends received from affiliates</t>
        </is>
      </c>
      <c r="D297" s="266" t="n"/>
      <c r="E297" s="266">
        <f>-E170</f>
        <v>0</v>
      </c>
      <c r="F297" s="266">
        <f>-F170</f>
        <v>0</v>
      </c>
      <c r="G297" s="266">
        <f>-G170</f>
        <v>0</v>
      </c>
      <c r="H297" s="266">
        <f>SUM(D297:G297)</f>
        <v>0</v>
      </c>
      <c r="I297" s="266">
        <f>-I170</f>
        <v>0</v>
      </c>
      <c r="J297" s="266">
        <f>-J170</f>
        <v>0</v>
      </c>
      <c r="K297" s="266">
        <f>-K170</f>
        <v>0</v>
      </c>
      <c r="L297" s="266">
        <f>-L170</f>
        <v>0</v>
      </c>
      <c r="M297" s="266">
        <f>SUM(I297:L297)</f>
        <v>0</v>
      </c>
      <c r="N297" s="266">
        <f>-N170</f>
        <v>0</v>
      </c>
      <c r="O297" s="266">
        <f>-O170</f>
        <v>0</v>
      </c>
      <c r="P297" s="266">
        <f>-P170</f>
        <v>0</v>
      </c>
      <c r="Q297" s="266">
        <f>-Q170</f>
        <v>0</v>
      </c>
      <c r="R297" s="266">
        <f>SUM(N297:Q297)</f>
        <v>0</v>
      </c>
      <c r="S297" s="266">
        <f>-S170</f>
        <v>0</v>
      </c>
      <c r="T297" s="266">
        <f>-T170</f>
        <v>0</v>
      </c>
      <c r="U297" s="266">
        <f>-U170</f>
        <v>0</v>
      </c>
      <c r="V297" s="266">
        <f>-V170</f>
        <v>0</v>
      </c>
      <c r="W297" s="266">
        <f>SUM(S297:V297)</f>
        <v>0</v>
      </c>
      <c r="X297" s="266">
        <f>-X170</f>
        <v>0</v>
      </c>
      <c r="Y297" s="266">
        <f>-Y170</f>
        <v>0</v>
      </c>
      <c r="Z297" s="266">
        <f>-Z170</f>
        <v>0</v>
      </c>
      <c r="AA297" s="266">
        <f>-AA170</f>
        <v>0</v>
      </c>
      <c r="AB297" s="266">
        <f>SUM(X297:AA297)</f>
        <v>0</v>
      </c>
      <c r="AC297" s="266">
        <f>-AC170</f>
        <v>0</v>
      </c>
      <c r="AD297" s="266">
        <f>-AD170</f>
        <v>0</v>
      </c>
      <c r="AE297" s="266">
        <f>-AE170</f>
        <v>0</v>
      </c>
      <c r="AF297" s="266">
        <f>-AF170</f>
        <v>0</v>
      </c>
      <c r="AG297" s="266">
        <f>SUM(AC297:AF297)</f>
        <v>0</v>
      </c>
      <c r="AH297" s="266">
        <f>-AH170</f>
        <v>0</v>
      </c>
      <c r="AI297" s="266">
        <f>-AI170</f>
        <v>0</v>
      </c>
      <c r="AJ297" s="266">
        <f>-AJ170</f>
        <v>0</v>
      </c>
      <c r="AK297" s="266">
        <f>-AK170</f>
        <v>0</v>
      </c>
      <c r="AL297" s="266">
        <f>SUM(AH297:AK297)</f>
        <v>0</v>
      </c>
      <c r="AM297" s="266">
        <f>-AM170</f>
        <v>0</v>
      </c>
      <c r="AN297" s="266">
        <f>-AN170</f>
        <v>0</v>
      </c>
      <c r="AO297" s="266">
        <f>-AO170</f>
        <v>0</v>
      </c>
      <c r="AP297" s="266">
        <f>-AP170</f>
        <v>0</v>
      </c>
      <c r="AQ297" s="266">
        <f>SUM(AM297:AP297)</f>
        <v>0</v>
      </c>
      <c r="AR297" s="266">
        <f>-AR170</f>
        <v>0</v>
      </c>
      <c r="AS297" s="266">
        <f>-AS170</f>
        <v>0</v>
      </c>
      <c r="AT297" s="266">
        <f>-AT170</f>
        <v>0</v>
      </c>
      <c r="AU297" s="266">
        <f>-AU170</f>
        <v>0</v>
      </c>
      <c r="AV297" s="266">
        <f>SUM(AR297:AU297)</f>
        <v>0</v>
      </c>
      <c r="AW297" s="266">
        <f>-AW170</f>
        <v>0</v>
      </c>
      <c r="AX297" s="266">
        <f>-AX170</f>
        <v>0</v>
      </c>
      <c r="AY297" s="266">
        <f>-AY170</f>
        <v>0</v>
      </c>
      <c r="AZ297" s="266">
        <f>-AZ170</f>
        <v>0</v>
      </c>
      <c r="BA297" s="266">
        <f>SUM(AW297:AZ297)</f>
        <v>0</v>
      </c>
      <c r="BB297" s="266">
        <f>-BB170</f>
        <v>0</v>
      </c>
      <c r="BC297" s="266">
        <f>-BC170</f>
        <v>0</v>
      </c>
      <c r="BD297" s="266">
        <f>-BD170</f>
        <v>0</v>
      </c>
      <c r="BE297" s="266">
        <f>-BE170</f>
        <v>0</v>
      </c>
      <c r="BF297" s="266">
        <f>SUM(BB297:BE297)</f>
        <v>0</v>
      </c>
      <c r="BG297" s="266">
        <f>-BG170</f>
        <v>0</v>
      </c>
      <c r="BH297" s="266">
        <f>-BH170</f>
        <v>0</v>
      </c>
      <c r="BI297" s="266">
        <f>-BI170</f>
        <v>0</v>
      </c>
      <c r="BJ297" s="266">
        <f>-BJ170</f>
        <v>0</v>
      </c>
      <c r="BK297" s="266">
        <f>SUM(BG297:BJ297)</f>
        <v>0</v>
      </c>
      <c r="BL297" s="266">
        <f>-BL170</f>
        <v>0</v>
      </c>
      <c r="BM297" s="266">
        <f>-BM170</f>
        <v>0</v>
      </c>
      <c r="BN297" s="266">
        <f>-BN170</f>
        <v>0</v>
      </c>
      <c r="BO297" s="266">
        <f>-BO170</f>
        <v>0</v>
      </c>
      <c r="BP297" s="266">
        <f>SUM(BL297:BO297)</f>
        <v>0</v>
      </c>
      <c r="BQ297" s="266">
        <f>-BQ170</f>
        <v>0</v>
      </c>
      <c r="BR297" s="266">
        <f>-BR170</f>
        <v>0</v>
      </c>
      <c r="BS297" s="266">
        <f>-BS170</f>
        <v>0</v>
      </c>
      <c r="BT297" s="266">
        <f>-BT170</f>
        <v>0</v>
      </c>
      <c r="BU297" s="266">
        <f>SUM(BQ297:BT297)</f>
        <v>0</v>
      </c>
      <c r="BV297" s="266">
        <f>-BV170</f>
        <v>0</v>
      </c>
      <c r="BW297" s="266">
        <f>-BW170</f>
        <v>0</v>
      </c>
      <c r="BX297" s="266">
        <f>-BX170</f>
        <v>0</v>
      </c>
      <c r="BY297" s="266">
        <f>-BY170</f>
        <v>0</v>
      </c>
      <c r="BZ297" s="266">
        <f>SUM(BV297:BY297)</f>
        <v>0</v>
      </c>
      <c r="CA297" s="266">
        <f>-CA170</f>
        <v>0</v>
      </c>
      <c r="CB297" s="266">
        <f>-CB170</f>
        <v>0</v>
      </c>
      <c r="CC297" s="266">
        <f>-CC170</f>
        <v>0</v>
      </c>
      <c r="CD297" s="266">
        <f>-CD170</f>
        <v>0</v>
      </c>
      <c r="CE297" s="266">
        <f>SUM(CA297:CD297)</f>
        <v>0</v>
      </c>
      <c r="CF297" s="266">
        <f>-CF170</f>
        <v>0</v>
      </c>
      <c r="CG297" s="266">
        <f>-CG170</f>
        <v>0</v>
      </c>
      <c r="CH297" s="266">
        <f>-CH170</f>
        <v>0</v>
      </c>
      <c r="CI297" s="266">
        <f>-CI170</f>
        <v>0</v>
      </c>
      <c r="CJ297" s="266">
        <f>SUM(CF297:CI297)</f>
        <v>0</v>
      </c>
      <c r="CK297" s="266">
        <f>-CK170</f>
        <v>0</v>
      </c>
      <c r="CL297" s="266">
        <f>-CL170</f>
        <v>0</v>
      </c>
      <c r="CM297" s="266">
        <f>-CM170</f>
        <v>0</v>
      </c>
      <c r="CN297" s="266">
        <f>-CN170</f>
        <v>0</v>
      </c>
      <c r="CO297" s="266">
        <f>SUM(CK297:CN297)</f>
        <v>0</v>
      </c>
      <c r="CP297" s="266">
        <f>-CP170</f>
        <v>0</v>
      </c>
      <c r="CQ297" s="266">
        <f>-CQ170</f>
        <v>0</v>
      </c>
      <c r="CR297" s="266">
        <f>-CR170</f>
        <v>0</v>
      </c>
      <c r="CS297" s="266">
        <f>-CS170</f>
        <v>0</v>
      </c>
      <c r="CT297" s="266">
        <f>SUM(CP297:CS297)</f>
        <v>0</v>
      </c>
      <c r="CU297" s="266">
        <f>-CU170</f>
        <v>0</v>
      </c>
      <c r="CV297" s="266">
        <f>-CV170</f>
        <v>0</v>
      </c>
      <c r="CW297" s="266">
        <f>-CW170</f>
        <v>0</v>
      </c>
      <c r="CX297" s="266">
        <f>-CX170</f>
        <v>0</v>
      </c>
      <c r="CY297" s="266">
        <f>SUM(CU297:CX297)</f>
        <v>0</v>
      </c>
    </row>
    <row r="298" ht="12.75" customHeight="1" s="254">
      <c r="C298" s="326" t="inlineStr">
        <is>
          <t>Minority interest expense</t>
        </is>
      </c>
      <c r="D298" s="266" t="n"/>
      <c r="E298" s="266">
        <f>-E142</f>
        <v>0</v>
      </c>
      <c r="F298" s="266">
        <f>-F142</f>
        <v>0</v>
      </c>
      <c r="G298" s="266">
        <f>-G142</f>
        <v>0</v>
      </c>
      <c r="H298" s="266">
        <f>SUM(D298:G298)</f>
        <v>0</v>
      </c>
      <c r="I298" s="266">
        <f>-I142</f>
        <v>124</v>
      </c>
      <c r="J298" s="266">
        <f>-J142</f>
        <v>131</v>
      </c>
      <c r="K298" s="266">
        <f>-K142</f>
        <v>130</v>
      </c>
      <c r="L298" s="266">
        <f>-L142</f>
        <v>144</v>
      </c>
      <c r="M298" s="266">
        <f>SUM(I298:L298)</f>
        <v>529</v>
      </c>
      <c r="N298" s="266">
        <f>-N142</f>
        <v>203</v>
      </c>
      <c r="O298" s="266">
        <f>-O142</f>
        <v>198</v>
      </c>
      <c r="P298" s="266">
        <f>-P142</f>
        <v>104</v>
      </c>
      <c r="Q298" s="266">
        <f>-Q142</f>
        <v>59</v>
      </c>
      <c r="R298" s="266">
        <f>SUM(N298:Q298)</f>
        <v>564</v>
      </c>
      <c r="S298" s="266">
        <f>-S142</f>
        <v>64</v>
      </c>
      <c r="T298" s="266">
        <f>-T142</f>
        <v>20</v>
      </c>
      <c r="U298" s="266">
        <f>-U142</f>
        <v>132</v>
      </c>
      <c r="V298" s="266">
        <f>-V142</f>
        <v>62</v>
      </c>
      <c r="W298" s="266">
        <f>SUM(S298:V298)</f>
        <v>278</v>
      </c>
      <c r="X298" s="266">
        <f>-X142</f>
        <v>82</v>
      </c>
      <c r="Y298" s="266">
        <f>-Y142</f>
        <v>133</v>
      </c>
      <c r="Z298" s="266">
        <f>-Z142</f>
        <v>100</v>
      </c>
      <c r="AA298" s="266">
        <f>-AA142</f>
        <v>113</v>
      </c>
      <c r="AB298" s="266">
        <f>SUM(X298:AA298)</f>
        <v>428</v>
      </c>
      <c r="AC298" s="266">
        <f>-AC142</f>
        <v>95</v>
      </c>
      <c r="AD298" s="266">
        <f>-AD142</f>
        <v>43</v>
      </c>
      <c r="AE298" s="266">
        <f>-AE142</f>
        <v>98</v>
      </c>
      <c r="AF298" s="266">
        <f>-AF142</f>
        <v>46</v>
      </c>
      <c r="AG298" s="266">
        <f>SUM(AC298:AF298)</f>
        <v>282</v>
      </c>
      <c r="AH298" s="266">
        <f>-AH142</f>
        <v>64</v>
      </c>
      <c r="AI298" s="266">
        <f>-AI142</f>
        <v>-16</v>
      </c>
      <c r="AJ298" s="266">
        <f>-AJ142</f>
        <v>98</v>
      </c>
      <c r="AK298" s="266">
        <f>-AK142</f>
        <v>46</v>
      </c>
      <c r="AL298" s="266">
        <f>SUM(AH298:AK298)</f>
        <v>192</v>
      </c>
      <c r="AM298" s="266">
        <f>-AM142</f>
        <v>64</v>
      </c>
      <c r="AN298" s="266">
        <f>-AN142</f>
        <v>-16</v>
      </c>
      <c r="AO298" s="266">
        <f>-AO142</f>
        <v>98</v>
      </c>
      <c r="AP298" s="266">
        <f>-AP142</f>
        <v>46</v>
      </c>
      <c r="AQ298" s="266">
        <f>SUM(AM298:AP298)</f>
        <v>192</v>
      </c>
      <c r="AR298" s="266">
        <f>-AR142</f>
        <v>64</v>
      </c>
      <c r="AS298" s="266">
        <f>-AS142</f>
        <v>-16</v>
      </c>
      <c r="AT298" s="266">
        <f>-AT142</f>
        <v>98</v>
      </c>
      <c r="AU298" s="266">
        <f>-AU142</f>
        <v>46</v>
      </c>
      <c r="AV298" s="266">
        <f>SUM(AR298:AU298)</f>
        <v>192</v>
      </c>
      <c r="AW298" s="266">
        <f>-AW142</f>
        <v>64</v>
      </c>
      <c r="AX298" s="266">
        <f>-AX142</f>
        <v>-16</v>
      </c>
      <c r="AY298" s="266">
        <f>-AY142</f>
        <v>98</v>
      </c>
      <c r="AZ298" s="266">
        <f>-AZ142</f>
        <v>46</v>
      </c>
      <c r="BA298" s="266">
        <f>SUM(AW298:AZ298)</f>
        <v>192</v>
      </c>
      <c r="BB298" s="266">
        <f>-BB142</f>
        <v>64</v>
      </c>
      <c r="BC298" s="266">
        <f>-BC142</f>
        <v>-16</v>
      </c>
      <c r="BD298" s="266">
        <f>-BD142</f>
        <v>98</v>
      </c>
      <c r="BE298" s="266">
        <f>-BE142</f>
        <v>46</v>
      </c>
      <c r="BF298" s="266">
        <f>SUM(BB298:BE298)</f>
        <v>192</v>
      </c>
      <c r="BG298" s="266">
        <f>-BG142</f>
        <v>64</v>
      </c>
      <c r="BH298" s="266">
        <f>-BH142</f>
        <v>-16</v>
      </c>
      <c r="BI298" s="266">
        <f>-BI142</f>
        <v>98</v>
      </c>
      <c r="BJ298" s="266">
        <f>-BJ142</f>
        <v>46</v>
      </c>
      <c r="BK298" s="266">
        <f>SUM(BG298:BJ298)</f>
        <v>192</v>
      </c>
      <c r="BL298" s="266">
        <f>-BL142</f>
        <v>64</v>
      </c>
      <c r="BM298" s="266">
        <f>-BM142</f>
        <v>-16</v>
      </c>
      <c r="BN298" s="266">
        <f>-BN142</f>
        <v>98</v>
      </c>
      <c r="BO298" s="266">
        <f>-BO142</f>
        <v>46</v>
      </c>
      <c r="BP298" s="266">
        <f>SUM(BL298:BO298)</f>
        <v>192</v>
      </c>
      <c r="BQ298" s="266">
        <f>-BQ142</f>
        <v>64</v>
      </c>
      <c r="BR298" s="266">
        <f>-BR142</f>
        <v>-16</v>
      </c>
      <c r="BS298" s="266">
        <f>-BS142</f>
        <v>98</v>
      </c>
      <c r="BT298" s="266">
        <f>-BT142</f>
        <v>46</v>
      </c>
      <c r="BU298" s="266">
        <f>SUM(BQ298:BT298)</f>
        <v>192</v>
      </c>
      <c r="BV298" s="266">
        <f>-BV142</f>
        <v>64</v>
      </c>
      <c r="BW298" s="266">
        <f>-BW142</f>
        <v>-16</v>
      </c>
      <c r="BX298" s="266">
        <f>-BX142</f>
        <v>98</v>
      </c>
      <c r="BY298" s="266">
        <f>-BY142</f>
        <v>46</v>
      </c>
      <c r="BZ298" s="266">
        <f>SUM(BV298:BY298)</f>
        <v>192</v>
      </c>
      <c r="CA298" s="266">
        <f>-CA142</f>
        <v>64</v>
      </c>
      <c r="CB298" s="266">
        <f>-CB142</f>
        <v>-16</v>
      </c>
      <c r="CC298" s="266">
        <f>-CC142</f>
        <v>98</v>
      </c>
      <c r="CD298" s="266">
        <f>-CD142</f>
        <v>46</v>
      </c>
      <c r="CE298" s="266">
        <f>SUM(CA298:CD298)</f>
        <v>192</v>
      </c>
      <c r="CF298" s="266">
        <f>-CF142</f>
        <v>64</v>
      </c>
      <c r="CG298" s="266">
        <f>-CG142</f>
        <v>-16</v>
      </c>
      <c r="CH298" s="266">
        <f>-CH142</f>
        <v>98</v>
      </c>
      <c r="CI298" s="266">
        <f>-CI142</f>
        <v>46</v>
      </c>
      <c r="CJ298" s="266">
        <f>SUM(CF298:CI298)</f>
        <v>192</v>
      </c>
      <c r="CK298" s="266">
        <f>-CK142</f>
        <v>64</v>
      </c>
      <c r="CL298" s="266">
        <f>-CL142</f>
        <v>-16</v>
      </c>
      <c r="CM298" s="266">
        <f>-CM142</f>
        <v>98</v>
      </c>
      <c r="CN298" s="266">
        <f>-CN142</f>
        <v>46</v>
      </c>
      <c r="CO298" s="266">
        <f>SUM(CK298:CN298)</f>
        <v>192</v>
      </c>
      <c r="CP298" s="266">
        <f>-CP142</f>
        <v>64</v>
      </c>
      <c r="CQ298" s="266">
        <f>-CQ142</f>
        <v>-16</v>
      </c>
      <c r="CR298" s="266">
        <f>-CR142</f>
        <v>98</v>
      </c>
      <c r="CS298" s="266">
        <f>-CS142</f>
        <v>46</v>
      </c>
      <c r="CT298" s="266">
        <f>SUM(CP298:CS298)</f>
        <v>192</v>
      </c>
      <c r="CU298" s="266">
        <f>-CU142</f>
        <v>64</v>
      </c>
      <c r="CV298" s="266">
        <f>-CV142</f>
        <v>-16</v>
      </c>
      <c r="CW298" s="266">
        <f>-CW142</f>
        <v>98</v>
      </c>
      <c r="CX298" s="266">
        <f>-CX142</f>
        <v>46</v>
      </c>
      <c r="CY298" s="266">
        <f>SUM(CU298:CX298)</f>
        <v>192</v>
      </c>
    </row>
    <row r="299" ht="12.75" customHeight="1" s="254">
      <c r="C299" s="268" t="inlineStr">
        <is>
          <t>Cash from operations</t>
        </is>
      </c>
      <c r="D299" s="266" t="n"/>
      <c r="E299" s="266">
        <f>SUM(E283,E284,E285,E296,E297,E298)</f>
        <v>0</v>
      </c>
      <c r="F299" s="266">
        <f>SUM(F283,F284,F285,F296,F297,F298)</f>
        <v>0</v>
      </c>
      <c r="G299" s="266">
        <f>SUM(G283,G284,G285,G296,G297,G298)</f>
        <v>0</v>
      </c>
      <c r="H299" s="266">
        <f>SUM(H283,H284,H285,H296,H297,H298)</f>
        <v>0</v>
      </c>
      <c r="I299" s="266">
        <f>SUM(I283,I284,I285,I296,I297,I298)</f>
        <v>-20126</v>
      </c>
      <c r="J299" s="266">
        <f>SUM(J283,J284,J285,J296,J297,J298)</f>
        <v>11546</v>
      </c>
      <c r="K299" s="266">
        <f>SUM(K283,K284,K285,K296,K297,K298)</f>
        <v>12024</v>
      </c>
      <c r="L299" s="266">
        <f>SUM(L283,L284,L285,L296,L297,L298)</f>
        <v>16349</v>
      </c>
      <c r="M299" s="266">
        <f>SUM(M283,M284,M285,M296,M297,M298)</f>
        <v>19793</v>
      </c>
      <c r="N299" s="266">
        <f>SUM(N283,N284,N285,N296,N297,N298)</f>
        <v>12296</v>
      </c>
      <c r="O299" s="266">
        <f>SUM(O283,O284,O285,O296,O297,O298)</f>
        <v>17174</v>
      </c>
      <c r="P299" s="266">
        <f>SUM(P283,P284,P285,P296,P297,P298)</f>
        <v>10571</v>
      </c>
      <c r="Q299" s="266">
        <f>SUM(Q283,Q284,Q285,Q296,Q297,Q298)</f>
        <v>20246</v>
      </c>
      <c r="R299" s="266">
        <f>SUM(R283,R284,R285,R296,R297,R298)</f>
        <v>60287</v>
      </c>
      <c r="S299" s="266">
        <f>SUM(S283,S284,S285,S296,S297,S298)</f>
        <v>13972</v>
      </c>
      <c r="T299" s="266">
        <f>SUM(T283,T284,T285,T296,T297,T298)</f>
        <v>14893</v>
      </c>
      <c r="U299" s="266">
        <f>SUM(U283,U284,U285,U296,U297,U298)</f>
        <v>11847</v>
      </c>
      <c r="V299" s="266">
        <f>SUM(V283,V284,V285,V296,V297,V298)</f>
        <v>13722</v>
      </c>
      <c r="W299" s="266">
        <f>SUM(W283,W284,W285,W296,W297,W298)</f>
        <v>54434</v>
      </c>
      <c r="X299" s="266">
        <f>SUM(X283,X284,X285,X296,X297,X298)</f>
        <v>12261</v>
      </c>
      <c r="Y299" s="266">
        <f>SUM(Y283,Y284,Y285,Y296,Y297,Y298)</f>
        <v>12103</v>
      </c>
      <c r="Z299" s="266">
        <f>SUM(Z283,Z284,Z285,Z296,Z297,Z298)</f>
        <v>13754</v>
      </c>
      <c r="AA299" s="266">
        <f>SUM(AA283,AA284,AA285,AA296,AA297,AA298)</f>
        <v>8440</v>
      </c>
      <c r="AB299" s="266">
        <f>SUM(AB283,AB284,AB285,AB296,AB297,AB298)</f>
        <v>46558</v>
      </c>
      <c r="AC299" s="266">
        <f>SUM(AC283,AC284,AC285,AC296,AC297,AC298)</f>
        <v>8189</v>
      </c>
      <c r="AD299" s="266">
        <f>SUM(AD283,AD284,AD285,AD296,AD297,AD298)</f>
        <v>9235</v>
      </c>
      <c r="AE299" s="266">
        <f>SUM(AE283,AE284,AE285,AE296,AE297,AE298)</f>
        <v>9050</v>
      </c>
      <c r="AF299" s="266">
        <f>SUM(AF283,AF284,AF285,AF296,AF297,AF298)</f>
        <v>11513</v>
      </c>
      <c r="AG299" s="266">
        <f>SUM(AG283,AG284,AG285,AG296,AG297,AG298)</f>
        <v>37987</v>
      </c>
      <c r="AH299" s="266">
        <f>SUM(AH283,AH284,AH285,AH296,AH297,AH298)</f>
        <v>3336</v>
      </c>
      <c r="AI299" s="266">
        <f>SUM(AI283,AI284,AI285,AI296,AI297,AI298)</f>
        <v>15632</v>
      </c>
      <c r="AJ299" s="266">
        <f>SUM(AJ283,AJ284,AJ285,AJ296,AJ297,AJ298)</f>
        <v>14927</v>
      </c>
      <c r="AK299" s="266">
        <f>SUM(AK283,AK284,AK285,AK296,AK297,AK298)</f>
        <v>1691</v>
      </c>
      <c r="AL299" s="266">
        <f>SUM(AL283,AL284,AL285,AL296,AL297,AL298)</f>
        <v>35586</v>
      </c>
      <c r="AM299" s="266" t="e">
        <f>SUM(AM283,AM284,AM285,AM296,AM297,AM298)</f>
        <v>#DIV/0!</v>
      </c>
      <c r="AN299" s="266" t="e">
        <f>SUM(AN283,AN284,AN285,AN296,AN297,AN298)</f>
        <v>#DIV/0!</v>
      </c>
      <c r="AO299" s="266" t="e">
        <f>SUM(AO283,AO284,AO285,AO296,AO297,AO298)</f>
        <v>#DIV/0!</v>
      </c>
      <c r="AP299" s="266" t="e">
        <f>SUM(AP283,AP284,AP285,AP296,AP297,AP298)</f>
        <v>#DIV/0!</v>
      </c>
      <c r="AQ299" s="266" t="e">
        <f>SUM(AQ283,AQ284,AQ285,AQ296,AQ297,AQ298)</f>
        <v>#DIV/0!</v>
      </c>
      <c r="AR299" s="266" t="e">
        <f>SUM(AR283,AR284,AR285,AR296,AR297,AR298)</f>
        <v>#DIV/0!</v>
      </c>
      <c r="AS299" s="266" t="e">
        <f>SUM(AS283,AS284,AS285,AS296,AS297,AS298)</f>
        <v>#DIV/0!</v>
      </c>
      <c r="AT299" s="266" t="e">
        <f>SUM(AT283,AT284,AT285,AT296,AT297,AT298)</f>
        <v>#DIV/0!</v>
      </c>
      <c r="AU299" s="266" t="e">
        <f>SUM(AU283,AU284,AU285,AU296,AU297,AU298)</f>
        <v>#DIV/0!</v>
      </c>
      <c r="AV299" s="266" t="e">
        <f>SUM(AV283,AV284,AV285,AV296,AV297,AV298)</f>
        <v>#DIV/0!</v>
      </c>
      <c r="AW299" s="266" t="e">
        <f>SUM(AW283,AW284,AW285,AW296,AW297,AW298)</f>
        <v>#DIV/0!</v>
      </c>
      <c r="AX299" s="266" t="e">
        <f>SUM(AX283,AX284,AX285,AX296,AX297,AX298)</f>
        <v>#DIV/0!</v>
      </c>
      <c r="AY299" s="266" t="e">
        <f>SUM(AY283,AY284,AY285,AY296,AY297,AY298)</f>
        <v>#DIV/0!</v>
      </c>
      <c r="AZ299" s="266" t="e">
        <f>SUM(AZ283,AZ284,AZ285,AZ296,AZ297,AZ298)</f>
        <v>#DIV/0!</v>
      </c>
      <c r="BA299" s="266" t="e">
        <f>SUM(BA283,BA284,BA285,BA296,BA297,BA298)</f>
        <v>#DIV/0!</v>
      </c>
      <c r="BB299" s="266" t="e">
        <f>SUM(BB283,BB284,BB285,BB296,BB297,BB298)</f>
        <v>#DIV/0!</v>
      </c>
      <c r="BC299" s="266" t="e">
        <f>SUM(BC283,BC284,BC285,BC296,BC297,BC298)</f>
        <v>#DIV/0!</v>
      </c>
      <c r="BD299" s="266" t="e">
        <f>SUM(BD283,BD284,BD285,BD296,BD297,BD298)</f>
        <v>#DIV/0!</v>
      </c>
      <c r="BE299" s="266" t="e">
        <f>SUM(BE283,BE284,BE285,BE296,BE297,BE298)</f>
        <v>#DIV/0!</v>
      </c>
      <c r="BF299" s="266" t="e">
        <f>SUM(BF283,BF284,BF285,BF296,BF297,BF298)</f>
        <v>#DIV/0!</v>
      </c>
      <c r="BG299" s="266" t="e">
        <f>SUM(BG283,BG284,BG285,BG296,BG297,BG298)</f>
        <v>#DIV/0!</v>
      </c>
      <c r="BH299" s="266" t="e">
        <f>SUM(BH283,BH284,BH285,BH296,BH297,BH298)</f>
        <v>#DIV/0!</v>
      </c>
      <c r="BI299" s="266" t="e">
        <f>SUM(BI283,BI284,BI285,BI296,BI297,BI298)</f>
        <v>#DIV/0!</v>
      </c>
      <c r="BJ299" s="266" t="e">
        <f>SUM(BJ283,BJ284,BJ285,BJ296,BJ297,BJ298)</f>
        <v>#DIV/0!</v>
      </c>
      <c r="BK299" s="266" t="e">
        <f>SUM(BK283,BK284,BK285,BK296,BK297,BK298)</f>
        <v>#DIV/0!</v>
      </c>
      <c r="BL299" s="266" t="e">
        <f>SUM(BL283,BL284,BL285,BL296,BL297,BL298)</f>
        <v>#DIV/0!</v>
      </c>
      <c r="BM299" s="266" t="e">
        <f>SUM(BM283,BM284,BM285,BM296,BM297,BM298)</f>
        <v>#DIV/0!</v>
      </c>
      <c r="BN299" s="266" t="e">
        <f>SUM(BN283,BN284,BN285,BN296,BN297,BN298)</f>
        <v>#DIV/0!</v>
      </c>
      <c r="BO299" s="266" t="e">
        <f>SUM(BO283,BO284,BO285,BO296,BO297,BO298)</f>
        <v>#DIV/0!</v>
      </c>
      <c r="BP299" s="266" t="e">
        <f>SUM(BP283,BP284,BP285,BP296,BP297,BP298)</f>
        <v>#DIV/0!</v>
      </c>
      <c r="BQ299" s="266" t="e">
        <f>SUM(BQ283,BQ284,BQ285,BQ296,BQ297,BQ298)</f>
        <v>#DIV/0!</v>
      </c>
      <c r="BR299" s="266" t="e">
        <f>SUM(BR283,BR284,BR285,BR296,BR297,BR298)</f>
        <v>#DIV/0!</v>
      </c>
      <c r="BS299" s="266" t="e">
        <f>SUM(BS283,BS284,BS285,BS296,BS297,BS298)</f>
        <v>#DIV/0!</v>
      </c>
      <c r="BT299" s="266" t="e">
        <f>SUM(BT283,BT284,BT285,BT296,BT297,BT298)</f>
        <v>#DIV/0!</v>
      </c>
      <c r="BU299" s="266" t="e">
        <f>SUM(BU283,BU284,BU285,BU296,BU297,BU298)</f>
        <v>#DIV/0!</v>
      </c>
      <c r="BV299" s="266" t="e">
        <f>SUM(BV283,BV284,BV285,BV296,BV297,BV298)</f>
        <v>#DIV/0!</v>
      </c>
      <c r="BW299" s="266" t="e">
        <f>SUM(BW283,BW284,BW285,BW296,BW297,BW298)</f>
        <v>#DIV/0!</v>
      </c>
      <c r="BX299" s="266" t="e">
        <f>SUM(BX283,BX284,BX285,BX296,BX297,BX298)</f>
        <v>#DIV/0!</v>
      </c>
      <c r="BY299" s="266" t="e">
        <f>SUM(BY283,BY284,BY285,BY296,BY297,BY298)</f>
        <v>#DIV/0!</v>
      </c>
      <c r="BZ299" s="266" t="e">
        <f>SUM(BZ283,BZ284,BZ285,BZ296,BZ297,BZ298)</f>
        <v>#DIV/0!</v>
      </c>
      <c r="CA299" s="266" t="e">
        <f>SUM(CA283,CA284,CA285,CA296,CA297,CA298)</f>
        <v>#DIV/0!</v>
      </c>
      <c r="CB299" s="266" t="e">
        <f>SUM(CB283,CB284,CB285,CB296,CB297,CB298)</f>
        <v>#DIV/0!</v>
      </c>
      <c r="CC299" s="266" t="e">
        <f>SUM(CC283,CC284,CC285,CC296,CC297,CC298)</f>
        <v>#DIV/0!</v>
      </c>
      <c r="CD299" s="266" t="e">
        <f>SUM(CD283,CD284,CD285,CD296,CD297,CD298)</f>
        <v>#DIV/0!</v>
      </c>
      <c r="CE299" s="266" t="e">
        <f>SUM(CE283,CE284,CE285,CE296,CE297,CE298)</f>
        <v>#DIV/0!</v>
      </c>
      <c r="CF299" s="266" t="e">
        <f>SUM(CF283,CF284,CF285,CF296,CF297,CF298)</f>
        <v>#DIV/0!</v>
      </c>
      <c r="CG299" s="266" t="e">
        <f>SUM(CG283,CG284,CG285,CG296,CG297,CG298)</f>
        <v>#DIV/0!</v>
      </c>
      <c r="CH299" s="266" t="e">
        <f>SUM(CH283,CH284,CH285,CH296,CH297,CH298)</f>
        <v>#DIV/0!</v>
      </c>
      <c r="CI299" s="266" t="e">
        <f>SUM(CI283,CI284,CI285,CI296,CI297,CI298)</f>
        <v>#DIV/0!</v>
      </c>
      <c r="CJ299" s="266" t="e">
        <f>SUM(CJ283,CJ284,CJ285,CJ296,CJ297,CJ298)</f>
        <v>#DIV/0!</v>
      </c>
      <c r="CK299" s="266" t="e">
        <f>SUM(CK283,CK284,CK285,CK296,CK297,CK298)</f>
        <v>#DIV/0!</v>
      </c>
      <c r="CL299" s="266" t="e">
        <f>SUM(CL283,CL284,CL285,CL296,CL297,CL298)</f>
        <v>#DIV/0!</v>
      </c>
      <c r="CM299" s="266" t="e">
        <f>SUM(CM283,CM284,CM285,CM296,CM297,CM298)</f>
        <v>#DIV/0!</v>
      </c>
      <c r="CN299" s="266" t="e">
        <f>SUM(CN283,CN284,CN285,CN296,CN297,CN298)</f>
        <v>#DIV/0!</v>
      </c>
      <c r="CO299" s="266" t="e">
        <f>SUM(CO283,CO284,CO285,CO296,CO297,CO298)</f>
        <v>#DIV/0!</v>
      </c>
      <c r="CP299" s="266" t="e">
        <f>SUM(CP283,CP284,CP285,CP296,CP297,CP298)</f>
        <v>#DIV/0!</v>
      </c>
      <c r="CQ299" s="266" t="e">
        <f>SUM(CQ283,CQ284,CQ285,CQ296,CQ297,CQ298)</f>
        <v>#DIV/0!</v>
      </c>
      <c r="CR299" s="266" t="e">
        <f>SUM(CR283,CR284,CR285,CR296,CR297,CR298)</f>
        <v>#DIV/0!</v>
      </c>
      <c r="CS299" s="266" t="e">
        <f>SUM(CS283,CS284,CS285,CS296,CS297,CS298)</f>
        <v>#DIV/0!</v>
      </c>
      <c r="CT299" s="266" t="e">
        <f>SUM(CT283,CT284,CT285,CT296,CT297,CT298)</f>
        <v>#DIV/0!</v>
      </c>
      <c r="CU299" s="266" t="e">
        <f>SUM(CU283,CU284,CU285,CU296,CU297,CU298)</f>
        <v>#DIV/0!</v>
      </c>
      <c r="CV299" s="266" t="e">
        <f>SUM(CV283,CV284,CV285,CV296,CV297,CV298)</f>
        <v>#DIV/0!</v>
      </c>
      <c r="CW299" s="266" t="e">
        <f>SUM(CW283,CW284,CW285,CW296,CW297,CW298)</f>
        <v>#DIV/0!</v>
      </c>
      <c r="CX299" s="266" t="e">
        <f>SUM(CX283,CX284,CX285,CX296,CX297,CX298)</f>
        <v>#DIV/0!</v>
      </c>
      <c r="CY299" s="266" t="e">
        <f>SUM(CY283,CY284,CY285,CY296,CY297,CY298)</f>
        <v>#DIV/0!</v>
      </c>
    </row>
    <row r="300" ht="12.75" customHeight="1" s="254">
      <c r="C300" s="268" t="n"/>
      <c r="D300" s="266" t="n"/>
      <c r="E300" s="266" t="n"/>
      <c r="F300" s="266" t="n"/>
      <c r="G300" s="266" t="n"/>
      <c r="H300" s="266" t="n"/>
      <c r="I300" s="266" t="n"/>
      <c r="J300" s="266" t="n"/>
      <c r="K300" s="266" t="n"/>
      <c r="L300" s="266" t="n"/>
      <c r="M300" s="266" t="n"/>
      <c r="N300" s="266" t="n"/>
      <c r="O300" s="266" t="n"/>
      <c r="P300" s="266" t="n"/>
      <c r="Q300" s="266" t="n"/>
      <c r="R300" s="266" t="n"/>
      <c r="S300" s="266" t="n"/>
      <c r="T300" s="266" t="n"/>
      <c r="U300" s="266" t="n"/>
      <c r="V300" s="266" t="n"/>
      <c r="W300" s="266" t="n"/>
      <c r="X300" s="266" t="n"/>
      <c r="Y300" s="266" t="n"/>
      <c r="Z300" s="266" t="n"/>
      <c r="AA300" s="266" t="n"/>
      <c r="AB300" s="266" t="n"/>
      <c r="AC300" s="266" t="n"/>
      <c r="AD300" s="266" t="n"/>
      <c r="AE300" s="266" t="n"/>
      <c r="AF300" s="266" t="n"/>
      <c r="AG300" s="266" t="n"/>
      <c r="AH300" s="266" t="n"/>
      <c r="AI300" s="266" t="n"/>
      <c r="AJ300" s="266" t="n"/>
      <c r="AK300" s="266" t="n"/>
      <c r="AL300" s="266" t="n"/>
      <c r="AM300" s="266" t="n"/>
      <c r="AN300" s="266" t="n"/>
      <c r="AO300" s="266" t="n"/>
      <c r="AP300" s="266" t="n"/>
      <c r="AQ300" s="266" t="n"/>
      <c r="AR300" s="266" t="n"/>
      <c r="AS300" s="266" t="n"/>
      <c r="AT300" s="266" t="n"/>
      <c r="AU300" s="266" t="n"/>
      <c r="AV300" s="266" t="n"/>
      <c r="AW300" s="266" t="n"/>
      <c r="AX300" s="266" t="n"/>
      <c r="AY300" s="266" t="n"/>
      <c r="AZ300" s="266" t="n"/>
      <c r="BA300" s="266" t="n"/>
      <c r="BB300" s="266" t="n"/>
      <c r="BC300" s="266" t="n"/>
      <c r="BD300" s="266" t="n"/>
      <c r="BE300" s="266" t="n"/>
      <c r="BF300" s="266" t="n"/>
      <c r="BG300" s="266" t="n"/>
      <c r="BH300" s="266" t="n"/>
      <c r="BI300" s="266" t="n"/>
      <c r="BJ300" s="266" t="n"/>
      <c r="BK300" s="266" t="n"/>
      <c r="BL300" s="266" t="n"/>
      <c r="BM300" s="266" t="n"/>
      <c r="BN300" s="266" t="n"/>
      <c r="BO300" s="266" t="n"/>
      <c r="BP300" s="266" t="n"/>
      <c r="BQ300" s="266" t="n"/>
      <c r="BR300" s="266" t="n"/>
      <c r="BS300" s="266" t="n"/>
      <c r="BT300" s="266" t="n"/>
      <c r="BU300" s="266" t="n"/>
      <c r="BV300" s="266" t="n"/>
      <c r="BW300" s="266" t="n"/>
      <c r="BX300" s="266" t="n"/>
      <c r="BY300" s="266" t="n"/>
      <c r="BZ300" s="266" t="n"/>
      <c r="CA300" s="266" t="n"/>
      <c r="CB300" s="266" t="n"/>
      <c r="CC300" s="266" t="n"/>
      <c r="CD300" s="266" t="n"/>
      <c r="CE300" s="266" t="n"/>
      <c r="CF300" s="266" t="n"/>
      <c r="CG300" s="266" t="n"/>
      <c r="CH300" s="266" t="n"/>
      <c r="CI300" s="266" t="n"/>
      <c r="CJ300" s="266" t="n"/>
      <c r="CK300" s="266" t="n"/>
      <c r="CL300" s="266" t="n"/>
      <c r="CM300" s="266" t="n"/>
      <c r="CN300" s="266" t="n"/>
      <c r="CO300" s="266" t="n"/>
      <c r="CP300" s="266" t="n"/>
      <c r="CQ300" s="266" t="n"/>
      <c r="CR300" s="266" t="n"/>
      <c r="CS300" s="266" t="n"/>
      <c r="CT300" s="266" t="n"/>
      <c r="CU300" s="266" t="n"/>
      <c r="CV300" s="266" t="n"/>
      <c r="CW300" s="266" t="n"/>
      <c r="CX300" s="266" t="n"/>
      <c r="CY300" s="266" t="n"/>
    </row>
    <row r="301" ht="12.75" customHeight="1" s="254">
      <c r="C301" s="264" t="inlineStr">
        <is>
          <t>Purchase of fixed assets (capital expenditures)</t>
        </is>
      </c>
      <c r="D301" s="266" t="n"/>
      <c r="E301" s="266">
        <f>-E174</f>
        <v>0</v>
      </c>
      <c r="F301" s="266">
        <f>-F174</f>
        <v>0</v>
      </c>
      <c r="G301" s="266">
        <f>-G174</f>
        <v>0</v>
      </c>
      <c r="H301" s="266">
        <f>SUM(D301:G301)</f>
        <v>0</v>
      </c>
      <c r="I301" s="266">
        <f>-I174</f>
        <v>-214194</v>
      </c>
      <c r="J301" s="266">
        <f>-J174</f>
        <v>-5197</v>
      </c>
      <c r="K301" s="266">
        <f>-K174</f>
        <v>2653</v>
      </c>
      <c r="L301" s="266">
        <f>-L174</f>
        <v>-5116</v>
      </c>
      <c r="M301" s="266">
        <f>SUM(I301:L301)</f>
        <v>-221854</v>
      </c>
      <c r="N301" s="266">
        <f>-N174</f>
        <v>-4664</v>
      </c>
      <c r="O301" s="266">
        <f>-O174</f>
        <v>-6473</v>
      </c>
      <c r="P301" s="266">
        <f>-P174</f>
        <v>317</v>
      </c>
      <c r="Q301" s="266">
        <f>-Q174</f>
        <v>-11420</v>
      </c>
      <c r="R301" s="266">
        <f>SUM(N301:Q301)</f>
        <v>-22240</v>
      </c>
      <c r="S301" s="266">
        <f>-S174</f>
        <v>-6852</v>
      </c>
      <c r="T301" s="266">
        <f>-T174</f>
        <v>-5840</v>
      </c>
      <c r="U301" s="266">
        <f>-U174</f>
        <v>-5777</v>
      </c>
      <c r="V301" s="266">
        <f>-V174</f>
        <v>-9013</v>
      </c>
      <c r="W301" s="266">
        <f>SUM(S301:V301)</f>
        <v>-27482</v>
      </c>
      <c r="X301" s="266">
        <f>-X174</f>
        <v>-2998</v>
      </c>
      <c r="Y301" s="266">
        <f>-Y174</f>
        <v>-5259</v>
      </c>
      <c r="Z301" s="266">
        <f>-Z174</f>
        <v>-7981</v>
      </c>
      <c r="AA301" s="266">
        <f>-AA174</f>
        <v>-1018</v>
      </c>
      <c r="AB301" s="266">
        <f>SUM(X301:AA301)</f>
        <v>-17256</v>
      </c>
      <c r="AC301" s="266">
        <f>-AC174</f>
        <v>-3934</v>
      </c>
      <c r="AD301" s="266">
        <f>-AD174</f>
        <v>-9419</v>
      </c>
      <c r="AE301" s="266">
        <f>-AE174</f>
        <v>-4053</v>
      </c>
      <c r="AF301" s="266">
        <f>-AF174</f>
        <v>-7751</v>
      </c>
      <c r="AG301" s="266">
        <f>SUM(AC301:AF301)</f>
        <v>-25157</v>
      </c>
      <c r="AH301" s="266">
        <f>-AH174</f>
        <v>-6374</v>
      </c>
      <c r="AI301" s="266">
        <f>-AI174</f>
        <v>-2775</v>
      </c>
      <c r="AJ301" s="266">
        <f>-AJ174</f>
        <v>0</v>
      </c>
      <c r="AK301" s="266">
        <f>-AK174</f>
        <v>0</v>
      </c>
      <c r="AL301" s="266">
        <f>SUM(AH301:AK301)</f>
        <v>-9149</v>
      </c>
      <c r="AM301" s="266">
        <f>-AM174</f>
        <v>0</v>
      </c>
      <c r="AN301" s="266">
        <f>-AN174</f>
        <v>0</v>
      </c>
      <c r="AO301" s="266">
        <f>-AO174</f>
        <v>0</v>
      </c>
      <c r="AP301" s="266">
        <f>-AP174</f>
        <v>0</v>
      </c>
      <c r="AQ301" s="266">
        <f>SUM(AM301:AP301)</f>
        <v>0</v>
      </c>
      <c r="AR301" s="266">
        <f>-AR174</f>
        <v>0</v>
      </c>
      <c r="AS301" s="266">
        <f>-AS174</f>
        <v>0</v>
      </c>
      <c r="AT301" s="266">
        <f>-AT174</f>
        <v>0</v>
      </c>
      <c r="AU301" s="266">
        <f>-AU174</f>
        <v>0</v>
      </c>
      <c r="AV301" s="266">
        <f>SUM(AR301:AU301)</f>
        <v>0</v>
      </c>
      <c r="AW301" s="266">
        <f>-AW174</f>
        <v>0</v>
      </c>
      <c r="AX301" s="266">
        <f>-AX174</f>
        <v>0</v>
      </c>
      <c r="AY301" s="266">
        <f>-AY174</f>
        <v>0</v>
      </c>
      <c r="AZ301" s="266">
        <f>-AZ174</f>
        <v>0</v>
      </c>
      <c r="BA301" s="266">
        <f>SUM(AW301:AZ301)</f>
        <v>0</v>
      </c>
      <c r="BB301" s="266">
        <f>-BB174</f>
        <v>0</v>
      </c>
      <c r="BC301" s="266">
        <f>-BC174</f>
        <v>0</v>
      </c>
      <c r="BD301" s="266">
        <f>-BD174</f>
        <v>0</v>
      </c>
      <c r="BE301" s="266">
        <f>-BE174</f>
        <v>0</v>
      </c>
      <c r="BF301" s="266">
        <f>SUM(BB301:BE301)</f>
        <v>0</v>
      </c>
      <c r="BG301" s="266">
        <f>-BG174</f>
        <v>0</v>
      </c>
      <c r="BH301" s="266">
        <f>-BH174</f>
        <v>0</v>
      </c>
      <c r="BI301" s="266">
        <f>-BI174</f>
        <v>0</v>
      </c>
      <c r="BJ301" s="266">
        <f>-BJ174</f>
        <v>0</v>
      </c>
      <c r="BK301" s="266">
        <f>SUM(BG301:BJ301)</f>
        <v>0</v>
      </c>
      <c r="BL301" s="266">
        <f>-BL174</f>
        <v>0</v>
      </c>
      <c r="BM301" s="266">
        <f>-BM174</f>
        <v>0</v>
      </c>
      <c r="BN301" s="266">
        <f>-BN174</f>
        <v>0</v>
      </c>
      <c r="BO301" s="266">
        <f>-BO174</f>
        <v>0</v>
      </c>
      <c r="BP301" s="266">
        <f>SUM(BL301:BO301)</f>
        <v>0</v>
      </c>
      <c r="BQ301" s="266">
        <f>-BQ174</f>
        <v>0</v>
      </c>
      <c r="BR301" s="266">
        <f>-BR174</f>
        <v>0</v>
      </c>
      <c r="BS301" s="266">
        <f>-BS174</f>
        <v>0</v>
      </c>
      <c r="BT301" s="266">
        <f>-BT174</f>
        <v>0</v>
      </c>
      <c r="BU301" s="266">
        <f>SUM(BQ301:BT301)</f>
        <v>0</v>
      </c>
      <c r="BV301" s="266">
        <f>-BV174</f>
        <v>0</v>
      </c>
      <c r="BW301" s="266">
        <f>-BW174</f>
        <v>0</v>
      </c>
      <c r="BX301" s="266">
        <f>-BX174</f>
        <v>0</v>
      </c>
      <c r="BY301" s="266">
        <f>-BY174</f>
        <v>0</v>
      </c>
      <c r="BZ301" s="266">
        <f>SUM(BV301:BY301)</f>
        <v>0</v>
      </c>
      <c r="CA301" s="266">
        <f>-CA174</f>
        <v>0</v>
      </c>
      <c r="CB301" s="266">
        <f>-CB174</f>
        <v>0</v>
      </c>
      <c r="CC301" s="266">
        <f>-CC174</f>
        <v>0</v>
      </c>
      <c r="CD301" s="266">
        <f>-CD174</f>
        <v>0</v>
      </c>
      <c r="CE301" s="266">
        <f>SUM(CA301:CD301)</f>
        <v>0</v>
      </c>
      <c r="CF301" s="266">
        <f>-CF174</f>
        <v>0</v>
      </c>
      <c r="CG301" s="266">
        <f>-CG174</f>
        <v>0</v>
      </c>
      <c r="CH301" s="266">
        <f>-CH174</f>
        <v>0</v>
      </c>
      <c r="CI301" s="266">
        <f>-CI174</f>
        <v>0</v>
      </c>
      <c r="CJ301" s="266">
        <f>SUM(CF301:CI301)</f>
        <v>0</v>
      </c>
      <c r="CK301" s="266">
        <f>-CK174</f>
        <v>0</v>
      </c>
      <c r="CL301" s="266">
        <f>-CL174</f>
        <v>0</v>
      </c>
      <c r="CM301" s="266">
        <f>-CM174</f>
        <v>0</v>
      </c>
      <c r="CN301" s="266">
        <f>-CN174</f>
        <v>0</v>
      </c>
      <c r="CO301" s="266">
        <f>SUM(CK301:CN301)</f>
        <v>0</v>
      </c>
      <c r="CP301" s="266">
        <f>-CP174</f>
        <v>0</v>
      </c>
      <c r="CQ301" s="266">
        <f>-CQ174</f>
        <v>0</v>
      </c>
      <c r="CR301" s="266">
        <f>-CR174</f>
        <v>0</v>
      </c>
      <c r="CS301" s="266">
        <f>-CS174</f>
        <v>0</v>
      </c>
      <c r="CT301" s="266">
        <f>SUM(CP301:CS301)</f>
        <v>0</v>
      </c>
      <c r="CU301" s="266">
        <f>-CU174</f>
        <v>0</v>
      </c>
      <c r="CV301" s="266">
        <f>-CV174</f>
        <v>0</v>
      </c>
      <c r="CW301" s="266">
        <f>-CW174</f>
        <v>0</v>
      </c>
      <c r="CX301" s="266">
        <f>-CX174</f>
        <v>0</v>
      </c>
      <c r="CY301" s="266">
        <f>SUM(CU301:CX301)</f>
        <v>0</v>
      </c>
    </row>
    <row r="302" ht="12.75" customHeight="1" s="254">
      <c r="C302" s="264" t="inlineStr">
        <is>
          <t>Proceeds from sale of fixed assets</t>
        </is>
      </c>
      <c r="D302" s="266" t="n"/>
      <c r="E302" s="266">
        <f>-E175</f>
        <v>0</v>
      </c>
      <c r="F302" s="266">
        <f>-F175</f>
        <v>0</v>
      </c>
      <c r="G302" s="266">
        <f>-G175</f>
        <v>0</v>
      </c>
      <c r="H302" s="266">
        <f>SUM(D302:G302)</f>
        <v>0</v>
      </c>
      <c r="I302" s="266">
        <f>-I175</f>
        <v>0</v>
      </c>
      <c r="J302" s="266">
        <f>-J175</f>
        <v>0</v>
      </c>
      <c r="K302" s="266">
        <f>-K175</f>
        <v>0</v>
      </c>
      <c r="L302" s="266">
        <f>-L175</f>
        <v>0</v>
      </c>
      <c r="M302" s="266">
        <f>SUM(I302:L302)</f>
        <v>0</v>
      </c>
      <c r="N302" s="266">
        <f>-N175</f>
        <v>0</v>
      </c>
      <c r="O302" s="266">
        <f>-O175</f>
        <v>0</v>
      </c>
      <c r="P302" s="266">
        <f>-P175</f>
        <v>0</v>
      </c>
      <c r="Q302" s="266">
        <f>-Q175</f>
        <v>0</v>
      </c>
      <c r="R302" s="266">
        <f>SUM(N302:Q302)</f>
        <v>0</v>
      </c>
      <c r="S302" s="266">
        <f>-S175</f>
        <v>0</v>
      </c>
      <c r="T302" s="266">
        <f>-T175</f>
        <v>0</v>
      </c>
      <c r="U302" s="266">
        <f>-U175</f>
        <v>0</v>
      </c>
      <c r="V302" s="266">
        <f>-V175</f>
        <v>0</v>
      </c>
      <c r="W302" s="266">
        <f>SUM(S302:V302)</f>
        <v>0</v>
      </c>
      <c r="X302" s="266">
        <f>-X175</f>
        <v>0</v>
      </c>
      <c r="Y302" s="266">
        <f>-Y175</f>
        <v>0</v>
      </c>
      <c r="Z302" s="266">
        <f>-Z175</f>
        <v>0</v>
      </c>
      <c r="AA302" s="266">
        <f>-AA175</f>
        <v>0</v>
      </c>
      <c r="AB302" s="266">
        <f>SUM(X302:AA302)</f>
        <v>0</v>
      </c>
      <c r="AC302" s="266">
        <f>-AC175</f>
        <v>0</v>
      </c>
      <c r="AD302" s="266">
        <f>-AD175</f>
        <v>0</v>
      </c>
      <c r="AE302" s="266">
        <f>-AE175</f>
        <v>0</v>
      </c>
      <c r="AF302" s="266">
        <f>-AF175</f>
        <v>0</v>
      </c>
      <c r="AG302" s="266">
        <f>SUM(AC302:AF302)</f>
        <v>0</v>
      </c>
      <c r="AH302" s="266">
        <f>-AH175</f>
        <v>0</v>
      </c>
      <c r="AI302" s="266">
        <f>-AI175</f>
        <v>0</v>
      </c>
      <c r="AJ302" s="266">
        <f>-AJ175</f>
        <v>0</v>
      </c>
      <c r="AK302" s="266">
        <f>-AK175</f>
        <v>0</v>
      </c>
      <c r="AL302" s="266">
        <f>SUM(AH302:AK302)</f>
        <v>0</v>
      </c>
      <c r="AM302" s="266">
        <f>-AM175</f>
        <v>0</v>
      </c>
      <c r="AN302" s="266">
        <f>-AN175</f>
        <v>0</v>
      </c>
      <c r="AO302" s="266">
        <f>-AO175</f>
        <v>0</v>
      </c>
      <c r="AP302" s="266">
        <f>-AP175</f>
        <v>0</v>
      </c>
      <c r="AQ302" s="266">
        <f>SUM(AM302:AP302)</f>
        <v>0</v>
      </c>
      <c r="AR302" s="266">
        <f>-AR175</f>
        <v>0</v>
      </c>
      <c r="AS302" s="266">
        <f>-AS175</f>
        <v>0</v>
      </c>
      <c r="AT302" s="266">
        <f>-AT175</f>
        <v>0</v>
      </c>
      <c r="AU302" s="266">
        <f>-AU175</f>
        <v>0</v>
      </c>
      <c r="AV302" s="266">
        <f>SUM(AR302:AU302)</f>
        <v>0</v>
      </c>
      <c r="AW302" s="266">
        <f>-AW175</f>
        <v>0</v>
      </c>
      <c r="AX302" s="266">
        <f>-AX175</f>
        <v>0</v>
      </c>
      <c r="AY302" s="266">
        <f>-AY175</f>
        <v>0</v>
      </c>
      <c r="AZ302" s="266">
        <f>-AZ175</f>
        <v>0</v>
      </c>
      <c r="BA302" s="266">
        <f>SUM(AW302:AZ302)</f>
        <v>0</v>
      </c>
      <c r="BB302" s="266">
        <f>-BB175</f>
        <v>0</v>
      </c>
      <c r="BC302" s="266">
        <f>-BC175</f>
        <v>0</v>
      </c>
      <c r="BD302" s="266">
        <f>-BD175</f>
        <v>0</v>
      </c>
      <c r="BE302" s="266">
        <f>-BE175</f>
        <v>0</v>
      </c>
      <c r="BF302" s="266">
        <f>SUM(BB302:BE302)</f>
        <v>0</v>
      </c>
      <c r="BG302" s="266">
        <f>-BG175</f>
        <v>0</v>
      </c>
      <c r="BH302" s="266">
        <f>-BH175</f>
        <v>0</v>
      </c>
      <c r="BI302" s="266">
        <f>-BI175</f>
        <v>0</v>
      </c>
      <c r="BJ302" s="266">
        <f>-BJ175</f>
        <v>0</v>
      </c>
      <c r="BK302" s="266">
        <f>SUM(BG302:BJ302)</f>
        <v>0</v>
      </c>
      <c r="BL302" s="266">
        <f>-BL175</f>
        <v>0</v>
      </c>
      <c r="BM302" s="266">
        <f>-BM175</f>
        <v>0</v>
      </c>
      <c r="BN302" s="266">
        <f>-BN175</f>
        <v>0</v>
      </c>
      <c r="BO302" s="266">
        <f>-BO175</f>
        <v>0</v>
      </c>
      <c r="BP302" s="266">
        <f>SUM(BL302:BO302)</f>
        <v>0</v>
      </c>
      <c r="BQ302" s="266">
        <f>-BQ175</f>
        <v>0</v>
      </c>
      <c r="BR302" s="266">
        <f>-BR175</f>
        <v>0</v>
      </c>
      <c r="BS302" s="266">
        <f>-BS175</f>
        <v>0</v>
      </c>
      <c r="BT302" s="266">
        <f>-BT175</f>
        <v>0</v>
      </c>
      <c r="BU302" s="266">
        <f>SUM(BQ302:BT302)</f>
        <v>0</v>
      </c>
      <c r="BV302" s="266">
        <f>-BV175</f>
        <v>0</v>
      </c>
      <c r="BW302" s="266">
        <f>-BW175</f>
        <v>0</v>
      </c>
      <c r="BX302" s="266">
        <f>-BX175</f>
        <v>0</v>
      </c>
      <c r="BY302" s="266">
        <f>-BY175</f>
        <v>0</v>
      </c>
      <c r="BZ302" s="266">
        <f>SUM(BV302:BY302)</f>
        <v>0</v>
      </c>
      <c r="CA302" s="266">
        <f>-CA175</f>
        <v>0</v>
      </c>
      <c r="CB302" s="266">
        <f>-CB175</f>
        <v>0</v>
      </c>
      <c r="CC302" s="266">
        <f>-CC175</f>
        <v>0</v>
      </c>
      <c r="CD302" s="266">
        <f>-CD175</f>
        <v>0</v>
      </c>
      <c r="CE302" s="266">
        <f>SUM(CA302:CD302)</f>
        <v>0</v>
      </c>
      <c r="CF302" s="266">
        <f>-CF175</f>
        <v>0</v>
      </c>
      <c r="CG302" s="266">
        <f>-CG175</f>
        <v>0</v>
      </c>
      <c r="CH302" s="266">
        <f>-CH175</f>
        <v>0</v>
      </c>
      <c r="CI302" s="266">
        <f>-CI175</f>
        <v>0</v>
      </c>
      <c r="CJ302" s="266">
        <f>SUM(CF302:CI302)</f>
        <v>0</v>
      </c>
      <c r="CK302" s="266">
        <f>-CK175</f>
        <v>0</v>
      </c>
      <c r="CL302" s="266">
        <f>-CL175</f>
        <v>0</v>
      </c>
      <c r="CM302" s="266">
        <f>-CM175</f>
        <v>0</v>
      </c>
      <c r="CN302" s="266">
        <f>-CN175</f>
        <v>0</v>
      </c>
      <c r="CO302" s="266">
        <f>SUM(CK302:CN302)</f>
        <v>0</v>
      </c>
      <c r="CP302" s="266">
        <f>-CP175</f>
        <v>0</v>
      </c>
      <c r="CQ302" s="266">
        <f>-CQ175</f>
        <v>0</v>
      </c>
      <c r="CR302" s="266">
        <f>-CR175</f>
        <v>0</v>
      </c>
      <c r="CS302" s="266">
        <f>-CS175</f>
        <v>0</v>
      </c>
      <c r="CT302" s="266">
        <f>SUM(CP302:CS302)</f>
        <v>0</v>
      </c>
      <c r="CU302" s="266">
        <f>-CU175</f>
        <v>0</v>
      </c>
      <c r="CV302" s="266">
        <f>-CV175</f>
        <v>0</v>
      </c>
      <c r="CW302" s="266">
        <f>-CW175</f>
        <v>0</v>
      </c>
      <c r="CX302" s="266">
        <f>-CX175</f>
        <v>0</v>
      </c>
      <c r="CY302" s="266">
        <f>SUM(CU302:CX302)</f>
        <v>0</v>
      </c>
    </row>
    <row r="303" ht="12.75" customHeight="1" s="254">
      <c r="C303" s="264" t="inlineStr">
        <is>
          <t>Var.Right-of-use-assets</t>
        </is>
      </c>
      <c r="D303" s="266" t="n"/>
      <c r="E303" s="266">
        <f>(E182-D182)*-1</f>
        <v>0</v>
      </c>
      <c r="F303" s="266">
        <f>(F182-E182)*-1</f>
        <v>0</v>
      </c>
      <c r="G303" s="266">
        <f>(G182-F182)*-1</f>
        <v>0</v>
      </c>
      <c r="H303" s="266">
        <f>SUM(D303:G303)</f>
        <v>0</v>
      </c>
      <c r="I303" s="266">
        <f>(I182-H182)*-1</f>
        <v>0</v>
      </c>
      <c r="J303" s="266">
        <f>(J182-I182)*-1</f>
        <v>0</v>
      </c>
      <c r="K303" s="266">
        <f>(K182-J182)*-1</f>
        <v>0</v>
      </c>
      <c r="L303" s="266">
        <f>(L182-K182)*-1</f>
        <v>0</v>
      </c>
      <c r="M303" s="266">
        <f>SUM(I303:L303)</f>
        <v>0</v>
      </c>
      <c r="N303" s="266">
        <f>(N182-M182)*-1</f>
        <v>0</v>
      </c>
      <c r="O303" s="266">
        <f>(O182-N182)*-1</f>
        <v>0</v>
      </c>
      <c r="P303" s="266">
        <f>(P182-O182)*-1</f>
        <v>0</v>
      </c>
      <c r="Q303" s="266">
        <f>(Q182-P182)*-1</f>
        <v>0</v>
      </c>
      <c r="R303" s="266">
        <f>SUM(N303:Q303)</f>
        <v>0</v>
      </c>
      <c r="S303" s="266">
        <f>(S182-R182)*-1</f>
        <v>0</v>
      </c>
      <c r="T303" s="266">
        <f>(T182-S182)*-1</f>
        <v>0</v>
      </c>
      <c r="U303" s="266">
        <f>(U182-T182)*-1</f>
        <v>0</v>
      </c>
      <c r="V303" s="266">
        <f>(V182-U182)*-1</f>
        <v>0</v>
      </c>
      <c r="W303" s="266">
        <f>SUM(S303:V303)</f>
        <v>0</v>
      </c>
      <c r="X303" s="266">
        <f>(X182-W182)*-1</f>
        <v>0</v>
      </c>
      <c r="Y303" s="266">
        <f>(Y182-X182)*-1</f>
        <v>0</v>
      </c>
      <c r="Z303" s="266">
        <f>(Z182-Y182)*-1</f>
        <v>0</v>
      </c>
      <c r="AA303" s="266">
        <f>(AA182-Z182)*-1</f>
        <v>0</v>
      </c>
      <c r="AB303" s="266">
        <f>SUM(X303:AA303)</f>
        <v>0</v>
      </c>
      <c r="AC303" s="266">
        <f>(AC182-AB182)*-1</f>
        <v>0</v>
      </c>
      <c r="AD303" s="266">
        <f>(AD182-AC182)*-1</f>
        <v>0</v>
      </c>
      <c r="AE303" s="266">
        <f>(AE182-AD182)*-1</f>
        <v>0</v>
      </c>
      <c r="AF303" s="266">
        <f>(AF182-AE182)*-1</f>
        <v>0</v>
      </c>
      <c r="AG303" s="266">
        <f>SUM(AC303:AF303)</f>
        <v>0</v>
      </c>
      <c r="AH303" s="266">
        <f>(AH182-AG182)*-1</f>
        <v>0</v>
      </c>
      <c r="AI303" s="266">
        <f>(AI182-AH182)*-1</f>
        <v>0</v>
      </c>
      <c r="AJ303" s="266">
        <f>(AJ182-AI182)*-1</f>
        <v>0</v>
      </c>
      <c r="AK303" s="266">
        <f>(AK182-AJ182)*-1</f>
        <v>0</v>
      </c>
      <c r="AL303" s="266">
        <f>SUM(AH303:AK303)</f>
        <v>0</v>
      </c>
      <c r="AM303" s="266">
        <f>(AM182-AL182)*-1</f>
        <v>0</v>
      </c>
      <c r="AN303" s="266">
        <f>(AN182-AM182)*-1</f>
        <v>0</v>
      </c>
      <c r="AO303" s="266">
        <f>(AO182-AN182)*-1</f>
        <v>0</v>
      </c>
      <c r="AP303" s="266">
        <f>(AP182-AO182)*-1</f>
        <v>0</v>
      </c>
      <c r="AQ303" s="266">
        <f>SUM(AM303:AP303)</f>
        <v>0</v>
      </c>
      <c r="AR303" s="266">
        <f>(AR182-AQ182)*-1</f>
        <v>0</v>
      </c>
      <c r="AS303" s="266">
        <f>(AS182-AR182)*-1</f>
        <v>0</v>
      </c>
      <c r="AT303" s="266">
        <f>(AT182-AS182)*-1</f>
        <v>0</v>
      </c>
      <c r="AU303" s="266">
        <f>(AU182-AT182)*-1</f>
        <v>0</v>
      </c>
      <c r="AV303" s="266">
        <f>SUM(AR303:AU303)</f>
        <v>0</v>
      </c>
      <c r="AW303" s="266">
        <f>(AW182-AV182)*-1</f>
        <v>0</v>
      </c>
      <c r="AX303" s="266">
        <f>(AX182-AW182)*-1</f>
        <v>0</v>
      </c>
      <c r="AY303" s="266">
        <f>(AY182-AX182)*-1</f>
        <v>0</v>
      </c>
      <c r="AZ303" s="266">
        <f>(AZ182-AY182)*-1</f>
        <v>0</v>
      </c>
      <c r="BA303" s="266">
        <f>SUM(AW303:AZ303)</f>
        <v>0</v>
      </c>
      <c r="BB303" s="266">
        <f>(BB182-BA182)*-1</f>
        <v>0</v>
      </c>
      <c r="BC303" s="266">
        <f>(BC182-BB182)*-1</f>
        <v>0</v>
      </c>
      <c r="BD303" s="266">
        <f>(BD182-BC182)*-1</f>
        <v>0</v>
      </c>
      <c r="BE303" s="266">
        <f>(BE182-BD182)*-1</f>
        <v>0</v>
      </c>
      <c r="BF303" s="266">
        <f>SUM(BB303:BE303)</f>
        <v>0</v>
      </c>
      <c r="BG303" s="266">
        <f>(BG182-BF182)*-1</f>
        <v>0</v>
      </c>
      <c r="BH303" s="266">
        <f>(BH182-BG182)*-1</f>
        <v>0</v>
      </c>
      <c r="BI303" s="266">
        <f>(BI182-BH182)*-1</f>
        <v>0</v>
      </c>
      <c r="BJ303" s="266">
        <f>(BJ182-BI182)*-1</f>
        <v>0</v>
      </c>
      <c r="BK303" s="266">
        <f>SUM(BG303:BJ303)</f>
        <v>0</v>
      </c>
      <c r="BL303" s="266">
        <f>(BL182-BK182)*-1</f>
        <v>0</v>
      </c>
      <c r="BM303" s="266">
        <f>(BM182-BL182)*-1</f>
        <v>0</v>
      </c>
      <c r="BN303" s="266">
        <f>(BN182-BM182)*-1</f>
        <v>0</v>
      </c>
      <c r="BO303" s="266">
        <f>(BO182-BN182)*-1</f>
        <v>0</v>
      </c>
      <c r="BP303" s="266">
        <f>SUM(BL303:BO303)</f>
        <v>0</v>
      </c>
      <c r="BQ303" s="266">
        <f>(BQ182-BP182)*-1</f>
        <v>0</v>
      </c>
      <c r="BR303" s="266">
        <f>(BR182-BQ182)*-1</f>
        <v>0</v>
      </c>
      <c r="BS303" s="266">
        <f>(BS182-BR182)*-1</f>
        <v>0</v>
      </c>
      <c r="BT303" s="266">
        <f>(BT182-BS182)*-1</f>
        <v>0</v>
      </c>
      <c r="BU303" s="266">
        <f>SUM(BQ303:BT303)</f>
        <v>0</v>
      </c>
      <c r="BV303" s="266">
        <f>(BV182-BU182)*-1</f>
        <v>0</v>
      </c>
      <c r="BW303" s="266">
        <f>(BW182-BV182)*-1</f>
        <v>0</v>
      </c>
      <c r="BX303" s="266">
        <f>(BX182-BW182)*-1</f>
        <v>0</v>
      </c>
      <c r="BY303" s="266">
        <f>(BY182-BX182)*-1</f>
        <v>0</v>
      </c>
      <c r="BZ303" s="266">
        <f>SUM(BV303:BY303)</f>
        <v>0</v>
      </c>
      <c r="CA303" s="266">
        <f>(CA182-BZ182)*-1</f>
        <v>0</v>
      </c>
      <c r="CB303" s="266">
        <f>(CB182-CA182)*-1</f>
        <v>0</v>
      </c>
      <c r="CC303" s="266">
        <f>(CC182-CB182)*-1</f>
        <v>0</v>
      </c>
      <c r="CD303" s="266">
        <f>(CD182-CC182)*-1</f>
        <v>0</v>
      </c>
      <c r="CE303" s="266">
        <f>SUM(CA303:CD303)</f>
        <v>0</v>
      </c>
      <c r="CF303" s="266">
        <f>(CF182-CE182)*-1</f>
        <v>0</v>
      </c>
      <c r="CG303" s="266">
        <f>(CG182-CF182)*-1</f>
        <v>0</v>
      </c>
      <c r="CH303" s="266">
        <f>(CH182-CG182)*-1</f>
        <v>0</v>
      </c>
      <c r="CI303" s="266">
        <f>(CI182-CH182)*-1</f>
        <v>0</v>
      </c>
      <c r="CJ303" s="266">
        <f>SUM(CF303:CI303)</f>
        <v>0</v>
      </c>
      <c r="CK303" s="266">
        <f>(CK182-CJ182)*-1</f>
        <v>0</v>
      </c>
      <c r="CL303" s="266">
        <f>(CL182-CK182)*-1</f>
        <v>0</v>
      </c>
      <c r="CM303" s="266">
        <f>(CM182-CL182)*-1</f>
        <v>0</v>
      </c>
      <c r="CN303" s="266">
        <f>(CN182-CM182)*-1</f>
        <v>0</v>
      </c>
      <c r="CO303" s="266">
        <f>SUM(CK303:CN303)</f>
        <v>0</v>
      </c>
      <c r="CP303" s="266">
        <f>(CP182-CO182)*-1</f>
        <v>0</v>
      </c>
      <c r="CQ303" s="266">
        <f>(CQ182-CP182)*-1</f>
        <v>0</v>
      </c>
      <c r="CR303" s="266">
        <f>(CR182-CQ182)*-1</f>
        <v>0</v>
      </c>
      <c r="CS303" s="266">
        <f>(CS182-CR182)*-1</f>
        <v>0</v>
      </c>
      <c r="CT303" s="266">
        <f>SUM(CP303:CS303)</f>
        <v>0</v>
      </c>
      <c r="CU303" s="266">
        <f>(CU182-CT182)*-1</f>
        <v>0</v>
      </c>
      <c r="CV303" s="266">
        <f>(CV182-CU182)*-1</f>
        <v>0</v>
      </c>
      <c r="CW303" s="266">
        <f>(CW182-CV182)*-1</f>
        <v>0</v>
      </c>
      <c r="CX303" s="266">
        <f>(CX182-CW182)*-1</f>
        <v>0</v>
      </c>
      <c r="CY303" s="266">
        <f>SUM(CU303:CX303)</f>
        <v>0</v>
      </c>
      <c r="CZ303" s="266" t="n"/>
      <c r="DA303" s="266" t="n"/>
      <c r="DB303" s="266" t="n"/>
      <c r="DC303" s="266" t="n"/>
    </row>
    <row r="304" ht="12.75" customHeight="1" s="254">
      <c r="C304" s="264" t="inlineStr">
        <is>
          <t>Purchases of intangible assets</t>
        </is>
      </c>
      <c r="D304" s="266" t="n"/>
      <c r="E304" s="266">
        <f>((E186-D186)*-1)+((E185-D185)*-1)</f>
        <v>0</v>
      </c>
      <c r="F304" s="266">
        <f>((F186-E186)*-1)+((F185-E185)*-1)</f>
        <v>0</v>
      </c>
      <c r="G304" s="266">
        <f>((G186-F186)*-1)+((G185-F185)*-1)</f>
        <v>0</v>
      </c>
      <c r="H304" s="266">
        <f>SUM(D304:G304)</f>
        <v>0</v>
      </c>
      <c r="I304" s="266">
        <f>((I186-H186)*-1)+((I185-H185)*-1)</f>
        <v>-22872</v>
      </c>
      <c r="J304" s="266">
        <f>((J186-I186)*-1)+((J185-I185)*-1)</f>
        <v>410</v>
      </c>
      <c r="K304" s="266">
        <f>((K186-J186)*-1)+((K185-J185)*-1)</f>
        <v>118</v>
      </c>
      <c r="L304" s="266">
        <f>((L186-K186)*-1)+((L185-K185)*-1)</f>
        <v>-2349</v>
      </c>
      <c r="M304" s="266">
        <f>SUM(I304:L304)</f>
        <v>-24693</v>
      </c>
      <c r="N304" s="266">
        <f>((N186-M186)*-1)+((N185-M185)*-1)</f>
        <v>-242</v>
      </c>
      <c r="O304" s="266">
        <f>((O186-N186)*-1)+((O185-N185)*-1)</f>
        <v>-605</v>
      </c>
      <c r="P304" s="266">
        <f>((P186-O186)*-1)+((P185-O185)*-1)</f>
        <v>1178</v>
      </c>
      <c r="Q304" s="266">
        <f>((Q186-P186)*-1)+((Q185-P185)*-1)</f>
        <v>-1339</v>
      </c>
      <c r="R304" s="266">
        <f>SUM(N304:Q304)</f>
        <v>-1008</v>
      </c>
      <c r="S304" s="266">
        <f>((S186-R186)*-1)+((S185-R185)*-1)</f>
        <v>-1701</v>
      </c>
      <c r="T304" s="266">
        <f>((T186-S186)*-1)+((T185-S185)*-1)</f>
        <v>1105</v>
      </c>
      <c r="U304" s="266">
        <f>((U186-T186)*-1)+((U185-T185)*-1)</f>
        <v>664</v>
      </c>
      <c r="V304" s="266">
        <f>((V186-U186)*-1)+((V185-U185)*-1)</f>
        <v>-1280</v>
      </c>
      <c r="W304" s="266">
        <f>SUM(S304:V304)</f>
        <v>-1212</v>
      </c>
      <c r="X304" s="266">
        <f>((X186-W186)*-1)+((X185-W185)*-1)</f>
        <v>360</v>
      </c>
      <c r="Y304" s="266">
        <f>((Y186-X186)*-1)+((Y185-X185)*-1)</f>
        <v>628</v>
      </c>
      <c r="Z304" s="266">
        <f>((Z186-Y186)*-1)+((Z185-Y185)*-1)</f>
        <v>1137</v>
      </c>
      <c r="AA304" s="266">
        <f>((AA186-Z186)*-1)+((AA185-Z185)*-1)</f>
        <v>-724</v>
      </c>
      <c r="AB304" s="266">
        <f>SUM(X304:AA304)</f>
        <v>1401</v>
      </c>
      <c r="AC304" s="266">
        <f>((AC186-AB186)*-1)+((AC185-AB185)*-1)</f>
        <v>-1925</v>
      </c>
      <c r="AD304" s="266">
        <f>((AD186-AC186)*-1)+((AD185-AC185)*-1)</f>
        <v>-233</v>
      </c>
      <c r="AE304" s="266">
        <f>((AE186-AD186)*-1)+((AE185-AD185)*-1)</f>
        <v>2090</v>
      </c>
      <c r="AF304" s="266">
        <f>((AF186-AE186)*-1)+((AF185-AE185)*-1)</f>
        <v>-1092</v>
      </c>
      <c r="AG304" s="266">
        <f>SUM(AC304:AF304)</f>
        <v>-1160</v>
      </c>
      <c r="AH304" s="266">
        <f>((AH186-AG186)*-1)+((AH185-AG185)*-1)</f>
        <v>610</v>
      </c>
      <c r="AI304" s="266">
        <f>((AI186-AH186)*-1)+((AI185-AH185)*-1)</f>
        <v>644</v>
      </c>
      <c r="AJ304" s="266">
        <f>((AJ186-AI186)*-1)+((AJ185-AI185)*-1)</f>
        <v>10449</v>
      </c>
      <c r="AK304" s="266">
        <f>((AK186-AJ186)*-1)+((AK185-AJ185)*-1)</f>
        <v>0</v>
      </c>
      <c r="AL304" s="266">
        <f>SUM(AH304:AK304)</f>
        <v>11703</v>
      </c>
      <c r="AM304" s="266">
        <f>((AM186-AL186)*-1)+((AM185-AL185)*-1)</f>
        <v>0</v>
      </c>
      <c r="AN304" s="266">
        <f>((AN186-AM186)*-1)+((AN185-AM185)*-1)</f>
        <v>0</v>
      </c>
      <c r="AO304" s="266">
        <f>((AO186-AN186)*-1)+((AO185-AN185)*-1)</f>
        <v>0</v>
      </c>
      <c r="AP304" s="266">
        <f>((AP186-AO186)*-1)+((AP185-AO185)*-1)</f>
        <v>0</v>
      </c>
      <c r="AQ304" s="266">
        <f>SUM(AM304:AP304)</f>
        <v>0</v>
      </c>
      <c r="AR304" s="266">
        <f>((AR186-AQ186)*-1)+((AR185-AQ185)*-1)</f>
        <v>0</v>
      </c>
      <c r="AS304" s="266">
        <f>((AS186-AR186)*-1)+((AS185-AR185)*-1)</f>
        <v>0</v>
      </c>
      <c r="AT304" s="266">
        <f>((AT186-AS186)*-1)+((AT185-AS185)*-1)</f>
        <v>0</v>
      </c>
      <c r="AU304" s="266">
        <f>((AU186-AT186)*-1)+((AU185-AT185)*-1)</f>
        <v>0</v>
      </c>
      <c r="AV304" s="266">
        <f>SUM(AR304:AU304)</f>
        <v>0</v>
      </c>
      <c r="AW304" s="266">
        <f>((AW186-AV186)*-1)+((AW185-AV185)*-1)</f>
        <v>0</v>
      </c>
      <c r="AX304" s="266">
        <f>((AX186-AW186)*-1)+((AX185-AW185)*-1)</f>
        <v>0</v>
      </c>
      <c r="AY304" s="266">
        <f>((AY186-AX186)*-1)+((AY185-AX185)*-1)</f>
        <v>0</v>
      </c>
      <c r="AZ304" s="266">
        <f>((AZ186-AY186)*-1)+((AZ185-AY185)*-1)</f>
        <v>0</v>
      </c>
      <c r="BA304" s="266">
        <f>SUM(AW304:AZ304)</f>
        <v>0</v>
      </c>
      <c r="BB304" s="266">
        <f>((BB186-BA186)*-1)+((BB185-BA185)*-1)</f>
        <v>0</v>
      </c>
      <c r="BC304" s="266">
        <f>((BC186-BB186)*-1)+((BC185-BB185)*-1)</f>
        <v>0</v>
      </c>
      <c r="BD304" s="266">
        <f>((BD186-BC186)*-1)+((BD185-BC185)*-1)</f>
        <v>0</v>
      </c>
      <c r="BE304" s="266">
        <f>((BE186-BD186)*-1)+((BE185-BD185)*-1)</f>
        <v>0</v>
      </c>
      <c r="BF304" s="266">
        <f>SUM(BB304:BE304)</f>
        <v>0</v>
      </c>
      <c r="BG304" s="266">
        <f>((BG186-BF186)*-1)+((BG185-BF185)*-1)</f>
        <v>0</v>
      </c>
      <c r="BH304" s="266">
        <f>((BH186-BG186)*-1)+((BH185-BG185)*-1)</f>
        <v>0</v>
      </c>
      <c r="BI304" s="266">
        <f>((BI186-BH186)*-1)+((BI185-BH185)*-1)</f>
        <v>0</v>
      </c>
      <c r="BJ304" s="266">
        <f>((BJ186-BI186)*-1)+((BJ185-BI185)*-1)</f>
        <v>0</v>
      </c>
      <c r="BK304" s="266">
        <f>SUM(BG304:BJ304)</f>
        <v>0</v>
      </c>
      <c r="BL304" s="266">
        <f>((BL186-BK186)*-1)+((BL185-BK185)*-1)</f>
        <v>0</v>
      </c>
      <c r="BM304" s="266">
        <f>((BM186-BL186)*-1)+((BM185-BL185)*-1)</f>
        <v>0</v>
      </c>
      <c r="BN304" s="266">
        <f>((BN186-BM186)*-1)+((BN185-BM185)*-1)</f>
        <v>0</v>
      </c>
      <c r="BO304" s="266">
        <f>((BO186-BN186)*-1)+((BO185-BN185)*-1)</f>
        <v>0</v>
      </c>
      <c r="BP304" s="266">
        <f>SUM(BL304:BO304)</f>
        <v>0</v>
      </c>
      <c r="BQ304" s="266">
        <f>((BQ186-BP186)*-1)+((BQ185-BP185)*-1)</f>
        <v>0</v>
      </c>
      <c r="BR304" s="266">
        <f>((BR186-BQ186)*-1)+((BR185-BQ185)*-1)</f>
        <v>0</v>
      </c>
      <c r="BS304" s="266">
        <f>((BS186-BR186)*-1)+((BS185-BR185)*-1)</f>
        <v>0</v>
      </c>
      <c r="BT304" s="266">
        <f>((BT186-BS186)*-1)+((BT185-BS185)*-1)</f>
        <v>0</v>
      </c>
      <c r="BU304" s="266">
        <f>SUM(BQ304:BT304)</f>
        <v>0</v>
      </c>
      <c r="BV304" s="266">
        <f>((BV186-BU186)*-1)+((BV185-BU185)*-1)</f>
        <v>0</v>
      </c>
      <c r="BW304" s="266">
        <f>((BW186-BV186)*-1)+((BW185-BV185)*-1)</f>
        <v>0</v>
      </c>
      <c r="BX304" s="266">
        <f>((BX186-BW186)*-1)+((BX185-BW185)*-1)</f>
        <v>0</v>
      </c>
      <c r="BY304" s="266">
        <f>((BY186-BX186)*-1)+((BY185-BX185)*-1)</f>
        <v>0</v>
      </c>
      <c r="BZ304" s="266">
        <f>SUM(BV304:BY304)</f>
        <v>0</v>
      </c>
      <c r="CA304" s="266">
        <f>((CA186-BZ186)*-1)+((CA185-BZ185)*-1)</f>
        <v>0</v>
      </c>
      <c r="CB304" s="266">
        <f>((CB186-CA186)*-1)+((CB185-CA185)*-1)</f>
        <v>0</v>
      </c>
      <c r="CC304" s="266">
        <f>((CC186-CB186)*-1)+((CC185-CB185)*-1)</f>
        <v>0</v>
      </c>
      <c r="CD304" s="266">
        <f>((CD186-CC186)*-1)+((CD185-CC185)*-1)</f>
        <v>0</v>
      </c>
      <c r="CE304" s="266">
        <f>SUM(CA304:CD304)</f>
        <v>0</v>
      </c>
      <c r="CF304" s="266">
        <f>((CF186-CE186)*-1)+((CF185-CE185)*-1)</f>
        <v>0</v>
      </c>
      <c r="CG304" s="266">
        <f>((CG186-CF186)*-1)+((CG185-CF185)*-1)</f>
        <v>0</v>
      </c>
      <c r="CH304" s="266">
        <f>((CH186-CG186)*-1)+((CH185-CG185)*-1)</f>
        <v>0</v>
      </c>
      <c r="CI304" s="266">
        <f>((CI186-CH186)*-1)+((CI185-CH185)*-1)</f>
        <v>0</v>
      </c>
      <c r="CJ304" s="266">
        <f>SUM(CF304:CI304)</f>
        <v>0</v>
      </c>
      <c r="CK304" s="266">
        <f>((CK186-CJ186)*-1)+((CK185-CJ185)*-1)</f>
        <v>0</v>
      </c>
      <c r="CL304" s="266">
        <f>((CL186-CK186)*-1)+((CL185-CK185)*-1)</f>
        <v>0</v>
      </c>
      <c r="CM304" s="266">
        <f>((CM186-CL186)*-1)+((CM185-CL185)*-1)</f>
        <v>0</v>
      </c>
      <c r="CN304" s="266">
        <f>((CN186-CM186)*-1)+((CN185-CM185)*-1)</f>
        <v>0</v>
      </c>
      <c r="CO304" s="266">
        <f>SUM(CK304:CN304)</f>
        <v>0</v>
      </c>
      <c r="CP304" s="266">
        <f>((CP186-CO186)*-1)+((CP185-CO185)*-1)</f>
        <v>0</v>
      </c>
      <c r="CQ304" s="266">
        <f>((CQ186-CP186)*-1)+((CQ185-CP185)*-1)</f>
        <v>0</v>
      </c>
      <c r="CR304" s="266">
        <f>((CR186-CQ186)*-1)+((CR185-CQ185)*-1)</f>
        <v>0</v>
      </c>
      <c r="CS304" s="266">
        <f>((CS186-CR186)*-1)+((CS185-CR185)*-1)</f>
        <v>0</v>
      </c>
      <c r="CT304" s="266">
        <f>SUM(CP304:CS304)</f>
        <v>0</v>
      </c>
      <c r="CU304" s="266">
        <f>((CU186-CT186)*-1)+((CU185-CT185)*-1)</f>
        <v>0</v>
      </c>
      <c r="CV304" s="266">
        <f>((CV186-CU186)*-1)+((CV185-CU185)*-1)</f>
        <v>0</v>
      </c>
      <c r="CW304" s="266">
        <f>((CW186-CV186)*-1)+((CW185-CV185)*-1)</f>
        <v>0</v>
      </c>
      <c r="CX304" s="266">
        <f>((CX186-CW186)*-1)+((CX185-CW185)*-1)</f>
        <v>0</v>
      </c>
      <c r="CY304" s="266">
        <f>SUM(CU304:CX304)</f>
        <v>0</v>
      </c>
      <c r="CZ304" s="266" t="n"/>
      <c r="DA304" s="266" t="n"/>
      <c r="DB304" s="266" t="n"/>
      <c r="DC304" s="266" t="n"/>
    </row>
    <row r="305" ht="12.75" customHeight="1" s="254">
      <c r="C305" s="326" t="inlineStr">
        <is>
          <t>Purchases/Proceeds from other long-term assets</t>
        </is>
      </c>
      <c r="D305" s="266" t="n"/>
      <c r="E305" s="266">
        <f>((E195-D195)*-1)+(E246-D246)</f>
        <v>0</v>
      </c>
      <c r="F305" s="266">
        <f>((F195-E195)*-1)+(F246-E246)</f>
        <v>0</v>
      </c>
      <c r="G305" s="266">
        <f>((G195-F195)*-1)+(G246-F246)</f>
        <v>0</v>
      </c>
      <c r="H305" s="266">
        <f>SUM(D305:G305)</f>
        <v>0</v>
      </c>
      <c r="I305" s="266">
        <f>((I195-H195)*-1)+(I246-H246)</f>
        <v>24639</v>
      </c>
      <c r="J305" s="266">
        <f>((J195-I195)*-1)+(J246-I246)</f>
        <v>-2078</v>
      </c>
      <c r="K305" s="266">
        <f>((K195-J195)*-1)+(K246-J246)</f>
        <v>-1898</v>
      </c>
      <c r="L305" s="266">
        <f>((L195-K195)*-1)+(L246-K246)</f>
        <v>-720</v>
      </c>
      <c r="M305" s="266">
        <f>SUM(I305:L305)</f>
        <v>19943</v>
      </c>
      <c r="N305" s="266">
        <f>((N195-M195)*-1)+(N246-M246)</f>
        <v>150</v>
      </c>
      <c r="O305" s="266">
        <f>((O195-N195)*-1)+(O246-N246)</f>
        <v>-3707</v>
      </c>
      <c r="P305" s="266">
        <f>((P195-O195)*-1)+(P246-O246)</f>
        <v>-2399</v>
      </c>
      <c r="Q305" s="266">
        <f>((Q195-P195)*-1)+(Q246-P246)</f>
        <v>3085</v>
      </c>
      <c r="R305" s="266">
        <f>SUM(N305:Q305)</f>
        <v>-2871</v>
      </c>
      <c r="S305" s="266">
        <f>((S195-R195)*-1)+(S246-R246)</f>
        <v>901</v>
      </c>
      <c r="T305" s="266">
        <f>((T195-S195)*-1)+(T246-S246)</f>
        <v>229</v>
      </c>
      <c r="U305" s="266">
        <f>((U195-T195)*-1)+(U246-T246)</f>
        <v>-252</v>
      </c>
      <c r="V305" s="266">
        <f>((V195-U195)*-1)+(V246-U246)</f>
        <v>-1962</v>
      </c>
      <c r="W305" s="266">
        <f>SUM(S305:V305)</f>
        <v>-1084</v>
      </c>
      <c r="X305" s="266">
        <f>((X195-W195)*-1)+(X246-W246)</f>
        <v>659</v>
      </c>
      <c r="Y305" s="266">
        <f>((Y195-X195)*-1)+(Y246-X246)</f>
        <v>-45</v>
      </c>
      <c r="Z305" s="266">
        <f>((Z195-Y195)*-1)+(Z246-Y246)</f>
        <v>-1907</v>
      </c>
      <c r="AA305" s="266">
        <f>((AA195-Z195)*-1)+(AA246-Z246)</f>
        <v>109</v>
      </c>
      <c r="AB305" s="266">
        <f>SUM(X305:AA305)</f>
        <v>-1184</v>
      </c>
      <c r="AC305" s="266">
        <f>((AC195-AB195)*-1)+(AC246-AB246)</f>
        <v>-902</v>
      </c>
      <c r="AD305" s="266">
        <f>((AD195-AC195)*-1)+(AD246-AC246)</f>
        <v>-441</v>
      </c>
      <c r="AE305" s="266">
        <f>((AE195-AD195)*-1)+(AE246-AD246)</f>
        <v>5668</v>
      </c>
      <c r="AF305" s="266">
        <f>((AF195-AE195)*-1)+(AF246-AE246)</f>
        <v>-491</v>
      </c>
      <c r="AG305" s="266">
        <f>SUM(AC305:AF305)</f>
        <v>3834</v>
      </c>
      <c r="AH305" s="266">
        <f>((AH195-AG195)*-1)+(AH246-AG246)</f>
        <v>1804</v>
      </c>
      <c r="AI305" s="266">
        <f>((AI195-AH195)*-1)+(AI246-AH246)</f>
        <v>950</v>
      </c>
      <c r="AJ305" s="266">
        <f>((AJ195-AI195)*-1)+(AJ246-AI246)</f>
        <v>0</v>
      </c>
      <c r="AK305" s="266">
        <f>((AK195-AJ195)*-1)+(AK246-AJ246)</f>
        <v>0</v>
      </c>
      <c r="AL305" s="266">
        <f>SUM(AH305:AK305)</f>
        <v>2754</v>
      </c>
      <c r="AM305" s="266">
        <f>((AM195-AL195)*-1)+(AM246-AL246)</f>
        <v>0</v>
      </c>
      <c r="AN305" s="266">
        <f>((AN195-AM195)*-1)+(AN246-AM246)</f>
        <v>0</v>
      </c>
      <c r="AO305" s="266">
        <f>((AO195-AN195)*-1)+(AO246-AN246)</f>
        <v>0</v>
      </c>
      <c r="AP305" s="266">
        <f>((AP195-AO195)*-1)+(AP246-AO246)</f>
        <v>0</v>
      </c>
      <c r="AQ305" s="266">
        <f>SUM(AM305:AP305)</f>
        <v>0</v>
      </c>
      <c r="AR305" s="266">
        <f>((AR195-AQ195)*-1)+(AR246-AQ246)</f>
        <v>0</v>
      </c>
      <c r="AS305" s="266">
        <f>((AS195-AR195)*-1)+(AS246-AR246)</f>
        <v>0</v>
      </c>
      <c r="AT305" s="266">
        <f>((AT195-AS195)*-1)+(AT246-AS246)</f>
        <v>0</v>
      </c>
      <c r="AU305" s="266">
        <f>((AU195-AT195)*-1)+(AU246-AT246)</f>
        <v>0</v>
      </c>
      <c r="AV305" s="266">
        <f>SUM(AR305:AU305)</f>
        <v>0</v>
      </c>
      <c r="AW305" s="266">
        <f>((AW195-AV195)*-1)+(AW246-AV246)</f>
        <v>0</v>
      </c>
      <c r="AX305" s="266">
        <f>((AX195-AW195)*-1)+(AX246-AW246)</f>
        <v>0</v>
      </c>
      <c r="AY305" s="266">
        <f>((AY195-AX195)*-1)+(AY246-AX246)</f>
        <v>0</v>
      </c>
      <c r="AZ305" s="266">
        <f>((AZ195-AY195)*-1)+(AZ246-AY246)</f>
        <v>0</v>
      </c>
      <c r="BA305" s="266">
        <f>SUM(AW305:AZ305)</f>
        <v>0</v>
      </c>
      <c r="BB305" s="266">
        <f>((BB195-BA195)*-1)+(BB246-BA246)</f>
        <v>0</v>
      </c>
      <c r="BC305" s="266">
        <f>((BC195-BB195)*-1)+(BC246-BB246)</f>
        <v>0</v>
      </c>
      <c r="BD305" s="266">
        <f>((BD195-BC195)*-1)+(BD246-BC246)</f>
        <v>0</v>
      </c>
      <c r="BE305" s="266">
        <f>((BE195-BD195)*-1)+(BE246-BD246)</f>
        <v>0</v>
      </c>
      <c r="BF305" s="266">
        <f>SUM(BB305:BE305)</f>
        <v>0</v>
      </c>
      <c r="BG305" s="266">
        <f>((BG195-BF195)*-1)+(BG246-BF246)</f>
        <v>0</v>
      </c>
      <c r="BH305" s="266">
        <f>((BH195-BG195)*-1)+(BH246-BG246)</f>
        <v>0</v>
      </c>
      <c r="BI305" s="266">
        <f>((BI195-BH195)*-1)+(BI246-BH246)</f>
        <v>0</v>
      </c>
      <c r="BJ305" s="266">
        <f>((BJ195-BI195)*-1)+(BJ246-BI246)</f>
        <v>0</v>
      </c>
      <c r="BK305" s="266">
        <f>SUM(BG305:BJ305)</f>
        <v>0</v>
      </c>
      <c r="BL305" s="266">
        <f>((BL195-BK195)*-1)+(BL246-BK246)</f>
        <v>0</v>
      </c>
      <c r="BM305" s="266">
        <f>((BM195-BL195)*-1)+(BM246-BL246)</f>
        <v>0</v>
      </c>
      <c r="BN305" s="266">
        <f>((BN195-BM195)*-1)+(BN246-BM246)</f>
        <v>0</v>
      </c>
      <c r="BO305" s="266">
        <f>((BO195-BN195)*-1)+(BO246-BN246)</f>
        <v>0</v>
      </c>
      <c r="BP305" s="266">
        <f>SUM(BL305:BO305)</f>
        <v>0</v>
      </c>
      <c r="BQ305" s="266">
        <f>((BQ195-BP195)*-1)+(BQ246-BP246)</f>
        <v>0</v>
      </c>
      <c r="BR305" s="266">
        <f>((BR195-BQ195)*-1)+(BR246-BQ246)</f>
        <v>0</v>
      </c>
      <c r="BS305" s="266">
        <f>((BS195-BR195)*-1)+(BS246-BR246)</f>
        <v>0</v>
      </c>
      <c r="BT305" s="266">
        <f>((BT195-BS195)*-1)+(BT246-BS246)</f>
        <v>0</v>
      </c>
      <c r="BU305" s="266">
        <f>SUM(BQ305:BT305)</f>
        <v>0</v>
      </c>
      <c r="BV305" s="266">
        <f>((BV195-BU195)*-1)+(BV246-BU246)</f>
        <v>0</v>
      </c>
      <c r="BW305" s="266">
        <f>((BW195-BV195)*-1)+(BW246-BV246)</f>
        <v>0</v>
      </c>
      <c r="BX305" s="266">
        <f>((BX195-BW195)*-1)+(BX246-BW246)</f>
        <v>0</v>
      </c>
      <c r="BY305" s="266">
        <f>((BY195-BX195)*-1)+(BY246-BX246)</f>
        <v>0</v>
      </c>
      <c r="BZ305" s="266">
        <f>SUM(BV305:BY305)</f>
        <v>0</v>
      </c>
      <c r="CA305" s="266">
        <f>((CA195-BZ195)*-1)+(CA246-BZ246)</f>
        <v>0</v>
      </c>
      <c r="CB305" s="266">
        <f>((CB195-CA195)*-1)+(CB246-CA246)</f>
        <v>0</v>
      </c>
      <c r="CC305" s="266">
        <f>((CC195-CB195)*-1)+(CC246-CB246)</f>
        <v>0</v>
      </c>
      <c r="CD305" s="266">
        <f>((CD195-CC195)*-1)+(CD246-CC246)</f>
        <v>0</v>
      </c>
      <c r="CE305" s="266">
        <f>SUM(CA305:CD305)</f>
        <v>0</v>
      </c>
      <c r="CF305" s="266">
        <f>((CF195-CE195)*-1)+(CF246-CE246)</f>
        <v>0</v>
      </c>
      <c r="CG305" s="266">
        <f>((CG195-CF195)*-1)+(CG246-CF246)</f>
        <v>0</v>
      </c>
      <c r="CH305" s="266">
        <f>((CH195-CG195)*-1)+(CH246-CG246)</f>
        <v>0</v>
      </c>
      <c r="CI305" s="266">
        <f>((CI195-CH195)*-1)+(CI246-CH246)</f>
        <v>0</v>
      </c>
      <c r="CJ305" s="266">
        <f>SUM(CF305:CI305)</f>
        <v>0</v>
      </c>
      <c r="CK305" s="266">
        <f>((CK195-CJ195)*-1)+(CK246-CJ246)</f>
        <v>0</v>
      </c>
      <c r="CL305" s="266">
        <f>((CL195-CK195)*-1)+(CL246-CK246)</f>
        <v>0</v>
      </c>
      <c r="CM305" s="266">
        <f>((CM195-CL195)*-1)+(CM246-CL246)</f>
        <v>0</v>
      </c>
      <c r="CN305" s="266">
        <f>((CN195-CM195)*-1)+(CN246-CM246)</f>
        <v>0</v>
      </c>
      <c r="CO305" s="266">
        <f>SUM(CK305:CN305)</f>
        <v>0</v>
      </c>
      <c r="CP305" s="266">
        <f>((CP195-CO195)*-1)+(CP246-CO246)</f>
        <v>0</v>
      </c>
      <c r="CQ305" s="266">
        <f>((CQ195-CP195)*-1)+(CQ246-CP246)</f>
        <v>0</v>
      </c>
      <c r="CR305" s="266">
        <f>((CR195-CQ195)*-1)+(CR246-CQ246)</f>
        <v>0</v>
      </c>
      <c r="CS305" s="266">
        <f>((CS195-CR195)*-1)+(CS246-CR246)</f>
        <v>0</v>
      </c>
      <c r="CT305" s="266">
        <f>SUM(CP305:CS305)</f>
        <v>0</v>
      </c>
      <c r="CU305" s="266">
        <f>((CU195-CT195)*-1)+(CU246-CT246)</f>
        <v>0</v>
      </c>
      <c r="CV305" s="266">
        <f>((CV195-CU195)*-1)+(CV246-CU246)</f>
        <v>0</v>
      </c>
      <c r="CW305" s="266">
        <f>((CW195-CV195)*-1)+(CW246-CV246)</f>
        <v>0</v>
      </c>
      <c r="CX305" s="266">
        <f>((CX195-CW195)*-1)+(CX246-CW246)</f>
        <v>0</v>
      </c>
      <c r="CY305" s="266">
        <f>SUM(CU305:CX305)</f>
        <v>0</v>
      </c>
    </row>
    <row r="306" ht="12.75" customHeight="1" s="254">
      <c r="C306" s="268" t="inlineStr">
        <is>
          <t>Cash from investing</t>
        </is>
      </c>
      <c r="D306" s="266" t="n"/>
      <c r="E306" s="266">
        <f>SUM(E301,E302,E304,E305,E303)</f>
        <v>0</v>
      </c>
      <c r="F306" s="266">
        <f>SUM(F301,F302,F304,F305,F303)</f>
        <v>0</v>
      </c>
      <c r="G306" s="266">
        <f>SUM(G301,G302,G304,G305,G303)</f>
        <v>0</v>
      </c>
      <c r="H306" s="266">
        <f>SUM(H301,H302,H304,H305)</f>
        <v>0</v>
      </c>
      <c r="I306" s="266">
        <f>SUM(I301,I302,I304,I305,I303)</f>
        <v>-212427</v>
      </c>
      <c r="J306" s="266">
        <f>SUM(J301,J302,J304,J305,J303)</f>
        <v>-6865</v>
      </c>
      <c r="K306" s="266">
        <f>SUM(K301,K302,K304,K305,K303)</f>
        <v>873</v>
      </c>
      <c r="L306" s="266">
        <f>SUM(L301,L302,L304,L305,L303)</f>
        <v>-8185</v>
      </c>
      <c r="M306" s="266">
        <f>SUM(M301,M302,M304,M305)</f>
        <v>-226604</v>
      </c>
      <c r="N306" s="266">
        <f>SUM(N301,N302,N304,N305,N303)</f>
        <v>-4756</v>
      </c>
      <c r="O306" s="266">
        <f>SUM(O301,O302,O304,O305,O303)</f>
        <v>-10785</v>
      </c>
      <c r="P306" s="266">
        <f>SUM(P301,P302,P304,P305,P303)</f>
        <v>-904</v>
      </c>
      <c r="Q306" s="266">
        <f>SUM(Q301,Q302,Q304,Q305,Q303)</f>
        <v>-9674</v>
      </c>
      <c r="R306" s="266">
        <f>SUM(R301,R302,R304,R305)</f>
        <v>-26119</v>
      </c>
      <c r="S306" s="266">
        <f>SUM(S301,S302,S304,S305,S303)</f>
        <v>-7652</v>
      </c>
      <c r="T306" s="266">
        <f>SUM(T301,T302,T304,T305,T303)</f>
        <v>-4506</v>
      </c>
      <c r="U306" s="266">
        <f>SUM(U301,U302,U304,U305,U303)</f>
        <v>-5365</v>
      </c>
      <c r="V306" s="266">
        <f>SUM(V301,V302,V304,V305,V303)</f>
        <v>-12255</v>
      </c>
      <c r="W306" s="266">
        <f>SUM(W301,W302,W304,W305)</f>
        <v>-29778</v>
      </c>
      <c r="X306" s="266">
        <f>SUM(X301,X302,X304,X305,X303)</f>
        <v>-1979</v>
      </c>
      <c r="Y306" s="266">
        <f>SUM(Y301,Y302,Y304,Y305,Y303)</f>
        <v>-4676</v>
      </c>
      <c r="Z306" s="266">
        <f>SUM(Z301,Z302,Z304,Z305,Z303)</f>
        <v>-8751</v>
      </c>
      <c r="AA306" s="266">
        <f>SUM(AA301,AA302,AA304,AA305,AA303)</f>
        <v>-1633</v>
      </c>
      <c r="AB306" s="266">
        <f>SUM(AB301,AB302,AB304,AB305)</f>
        <v>-17039</v>
      </c>
      <c r="AC306" s="266">
        <f>SUM(AC301,AC302,AC304,AC305,AC303)</f>
        <v>-6761</v>
      </c>
      <c r="AD306" s="266">
        <f>SUM(AD301,AD302,AD304,AD305,AD303)</f>
        <v>-10093</v>
      </c>
      <c r="AE306" s="266">
        <f>SUM(AE301,AE302,AE304,AE305,AE303)</f>
        <v>3705</v>
      </c>
      <c r="AF306" s="266">
        <f>SUM(AF301,AF302,AF304,AF305,AF303)</f>
        <v>-9334</v>
      </c>
      <c r="AG306" s="266">
        <f>SUM(AG301,AG302,AG304,AG305)</f>
        <v>-22483</v>
      </c>
      <c r="AH306" s="266">
        <f>SUM(AH301,AH302,AH304,AH305,AH303)</f>
        <v>-3960</v>
      </c>
      <c r="AI306" s="266">
        <f>SUM(AI301,AI302,AI304,AI305,AI303)</f>
        <v>-1181</v>
      </c>
      <c r="AJ306" s="266">
        <f>SUM(AJ301,AJ302,AJ304,AJ305,AJ303)</f>
        <v>10449</v>
      </c>
      <c r="AK306" s="266">
        <f>SUM(AK301,AK302,AK304,AK305,AK303)</f>
        <v>0</v>
      </c>
      <c r="AL306" s="266">
        <f>SUM(AL301,AL302,AL304,AL305)</f>
        <v>5308</v>
      </c>
      <c r="AM306" s="266">
        <f>SUM(AM301,AM302,AM304,AM305,AM303)</f>
        <v>0</v>
      </c>
      <c r="AN306" s="266">
        <f>SUM(AN301,AN302,AN304,AN305,AN303)</f>
        <v>0</v>
      </c>
      <c r="AO306" s="266">
        <f>SUM(AO301,AO302,AO304,AO305,AO303)</f>
        <v>0</v>
      </c>
      <c r="AP306" s="266">
        <f>SUM(AP301,AP302,AP304,AP305,AP303)</f>
        <v>0</v>
      </c>
      <c r="AQ306" s="266">
        <f>SUM(AQ301,AQ302,AQ304,AQ305)</f>
        <v>0</v>
      </c>
      <c r="AR306" s="266">
        <f>SUM(AR301,AR302,AR304,AR305,AR303)</f>
        <v>0</v>
      </c>
      <c r="AS306" s="266">
        <f>SUM(AS301,AS302,AS304,AS305,AS303)</f>
        <v>0</v>
      </c>
      <c r="AT306" s="266">
        <f>SUM(AT301,AT302,AT304,AT305,AT303)</f>
        <v>0</v>
      </c>
      <c r="AU306" s="266">
        <f>SUM(AU301,AU302,AU304,AU305,AU303)</f>
        <v>0</v>
      </c>
      <c r="AV306" s="266">
        <f>SUM(AV301,AV302,AV304,AV305)</f>
        <v>0</v>
      </c>
      <c r="AW306" s="266">
        <f>SUM(AW301,AW302,AW304,AW305,AW303)</f>
        <v>0</v>
      </c>
      <c r="AX306" s="266">
        <f>SUM(AX301,AX302,AX304,AX305,AX303)</f>
        <v>0</v>
      </c>
      <c r="AY306" s="266">
        <f>SUM(AY301,AY302,AY304,AY305,AY303)</f>
        <v>0</v>
      </c>
      <c r="AZ306" s="266">
        <f>SUM(AZ301,AZ302,AZ304,AZ305,AZ303)</f>
        <v>0</v>
      </c>
      <c r="BA306" s="266">
        <f>SUM(BA301,BA302,BA304,BA305)</f>
        <v>0</v>
      </c>
      <c r="BB306" s="266">
        <f>SUM(BB301,BB302,BB304,BB305,BB303)</f>
        <v>0</v>
      </c>
      <c r="BC306" s="266">
        <f>SUM(BC301,BC302,BC304,BC305,BC303)</f>
        <v>0</v>
      </c>
      <c r="BD306" s="266">
        <f>SUM(BD301,BD302,BD304,BD305,BD303)</f>
        <v>0</v>
      </c>
      <c r="BE306" s="266">
        <f>SUM(BE301,BE302,BE304,BE305,BE303)</f>
        <v>0</v>
      </c>
      <c r="BF306" s="266">
        <f>SUM(BF301,BF302,BF304,BF305)</f>
        <v>0</v>
      </c>
      <c r="BG306" s="266">
        <f>SUM(BG301,BG302,BG304,BG305,BG303)</f>
        <v>0</v>
      </c>
      <c r="BH306" s="266">
        <f>SUM(BH301,BH302,BH304,BH305,BH303)</f>
        <v>0</v>
      </c>
      <c r="BI306" s="266">
        <f>SUM(BI301,BI302,BI304,BI305,BI303)</f>
        <v>0</v>
      </c>
      <c r="BJ306" s="266">
        <f>SUM(BJ301,BJ302,BJ304,BJ305,BJ303)</f>
        <v>0</v>
      </c>
      <c r="BK306" s="266">
        <f>SUM(BK301,BK302,BK304,BK305)</f>
        <v>0</v>
      </c>
      <c r="BL306" s="266">
        <f>SUM(BL301,BL302,BL304,BL305,BL303)</f>
        <v>0</v>
      </c>
      <c r="BM306" s="266">
        <f>SUM(BM301,BM302,BM304,BM305,BM303)</f>
        <v>0</v>
      </c>
      <c r="BN306" s="266">
        <f>SUM(BN301,BN302,BN304,BN305,BN303)</f>
        <v>0</v>
      </c>
      <c r="BO306" s="266">
        <f>SUM(BO301,BO302,BO304,BO305,BO303)</f>
        <v>0</v>
      </c>
      <c r="BP306" s="266">
        <f>SUM(BP301,BP302,BP304,BP305)</f>
        <v>0</v>
      </c>
      <c r="BQ306" s="266">
        <f>SUM(BQ301,BQ302,BQ304,BQ305,BQ303)</f>
        <v>0</v>
      </c>
      <c r="BR306" s="266">
        <f>SUM(BR301,BR302,BR304,BR305,BR303)</f>
        <v>0</v>
      </c>
      <c r="BS306" s="266">
        <f>SUM(BS301,BS302,BS304,BS305,BS303)</f>
        <v>0</v>
      </c>
      <c r="BT306" s="266">
        <f>SUM(BT301,BT302,BT304,BT305,BT303)</f>
        <v>0</v>
      </c>
      <c r="BU306" s="266">
        <f>SUM(BU301,BU302,BU304,BU305)</f>
        <v>0</v>
      </c>
      <c r="BV306" s="266">
        <f>SUM(BV301,BV302,BV304,BV305,BV303)</f>
        <v>0</v>
      </c>
      <c r="BW306" s="266">
        <f>SUM(BW301,BW302,BW304,BW305,BW303)</f>
        <v>0</v>
      </c>
      <c r="BX306" s="266">
        <f>SUM(BX301,BX302,BX304,BX305,BX303)</f>
        <v>0</v>
      </c>
      <c r="BY306" s="266">
        <f>SUM(BY301,BY302,BY304,BY305,BY303)</f>
        <v>0</v>
      </c>
      <c r="BZ306" s="266">
        <f>SUM(BZ301,BZ302,BZ304,BZ305)</f>
        <v>0</v>
      </c>
      <c r="CA306" s="266">
        <f>SUM(CA301,CA302,CA304,CA305,CA303)</f>
        <v>0</v>
      </c>
      <c r="CB306" s="266">
        <f>SUM(CB301,CB302,CB304,CB305,CB303)</f>
        <v>0</v>
      </c>
      <c r="CC306" s="266">
        <f>SUM(CC301,CC302,CC304,CC305,CC303)</f>
        <v>0</v>
      </c>
      <c r="CD306" s="266">
        <f>SUM(CD301,CD302,CD304,CD305,CD303)</f>
        <v>0</v>
      </c>
      <c r="CE306" s="266">
        <f>SUM(CE301,CE302,CE304,CE305)</f>
        <v>0</v>
      </c>
      <c r="CF306" s="266">
        <f>SUM(CF301,CF302,CF304,CF305,CF303)</f>
        <v>0</v>
      </c>
      <c r="CG306" s="266">
        <f>SUM(CG301,CG302,CG304,CG305,CG303)</f>
        <v>0</v>
      </c>
      <c r="CH306" s="266">
        <f>SUM(CH301,CH302,CH304,CH305,CH303)</f>
        <v>0</v>
      </c>
      <c r="CI306" s="266">
        <f>SUM(CI301,CI302,CI304,CI305,CI303)</f>
        <v>0</v>
      </c>
      <c r="CJ306" s="266">
        <f>SUM(CJ301,CJ302,CJ304,CJ305)</f>
        <v>0</v>
      </c>
      <c r="CK306" s="266">
        <f>SUM(CK301,CK302,CK304,CK305,CK303)</f>
        <v>0</v>
      </c>
      <c r="CL306" s="266">
        <f>SUM(CL301,CL302,CL304,CL305,CL303)</f>
        <v>0</v>
      </c>
      <c r="CM306" s="266">
        <f>SUM(CM301,CM302,CM304,CM305,CM303)</f>
        <v>0</v>
      </c>
      <c r="CN306" s="266">
        <f>SUM(CN301,CN302,CN304,CN305,CN303)</f>
        <v>0</v>
      </c>
      <c r="CO306" s="266">
        <f>SUM(CO301,CO302,CO304,CO305)</f>
        <v>0</v>
      </c>
      <c r="CP306" s="266">
        <f>SUM(CP301,CP302,CP304,CP305,CP303)</f>
        <v>0</v>
      </c>
      <c r="CQ306" s="266">
        <f>SUM(CQ301,CQ302,CQ304,CQ305,CQ303)</f>
        <v>0</v>
      </c>
      <c r="CR306" s="266">
        <f>SUM(CR301,CR302,CR304,CR305,CR303)</f>
        <v>0</v>
      </c>
      <c r="CS306" s="266">
        <f>SUM(CS301,CS302,CS304,CS305,CS303)</f>
        <v>0</v>
      </c>
      <c r="CT306" s="266">
        <f>SUM(CT301,CT302,CT304,CT305)</f>
        <v>0</v>
      </c>
      <c r="CU306" s="266">
        <f>SUM(CU301,CU302,CU304,CU305,CU303)</f>
        <v>0</v>
      </c>
      <c r="CV306" s="266">
        <f>SUM(CV301,CV302,CV304,CV305,CV303)</f>
        <v>0</v>
      </c>
      <c r="CW306" s="266">
        <f>SUM(CW301,CW302,CW304,CW305,CW303)</f>
        <v>0</v>
      </c>
      <c r="CX306" s="266">
        <f>SUM(CX301,CX302,CX304,CX305,CX303)</f>
        <v>0</v>
      </c>
      <c r="CY306" s="266">
        <f>SUM(CY301,CY302,CY304,CY305)</f>
        <v>0</v>
      </c>
    </row>
    <row r="307" ht="12.75" customHeight="1" s="254">
      <c r="C307" s="268" t="n"/>
      <c r="D307" s="266" t="n"/>
      <c r="E307" s="266" t="n"/>
      <c r="F307" s="266" t="n"/>
      <c r="G307" s="266" t="n"/>
      <c r="H307" s="266" t="n"/>
      <c r="I307" s="266" t="n"/>
      <c r="J307" s="266" t="n"/>
      <c r="K307" s="266" t="n"/>
      <c r="L307" s="266" t="n"/>
      <c r="M307" s="266" t="n"/>
      <c r="N307" s="266" t="n"/>
      <c r="O307" s="266" t="n"/>
      <c r="P307" s="266" t="n"/>
      <c r="Q307" s="266" t="n"/>
      <c r="R307" s="266" t="n"/>
      <c r="S307" s="266" t="n"/>
      <c r="T307" s="266" t="n"/>
      <c r="U307" s="266" t="n"/>
      <c r="V307" s="266" t="n"/>
      <c r="W307" s="266" t="n"/>
      <c r="X307" s="266" t="n"/>
      <c r="Y307" s="266" t="n"/>
      <c r="Z307" s="266" t="n"/>
      <c r="AA307" s="266" t="n"/>
      <c r="AB307" s="266" t="n"/>
      <c r="AC307" s="266" t="n"/>
      <c r="AD307" s="266" t="n"/>
      <c r="AE307" s="266" t="n"/>
      <c r="AF307" s="266" t="n"/>
      <c r="AG307" s="266" t="n"/>
      <c r="AH307" s="266" t="n"/>
      <c r="AI307" s="266" t="n"/>
      <c r="AJ307" s="266" t="n"/>
      <c r="AK307" s="266" t="n"/>
      <c r="AL307" s="266" t="n"/>
      <c r="AM307" s="266" t="n"/>
      <c r="AN307" s="266" t="n"/>
      <c r="AO307" s="266" t="n"/>
      <c r="AP307" s="266" t="n"/>
      <c r="AQ307" s="266" t="n"/>
      <c r="AR307" s="266" t="n"/>
      <c r="AS307" s="266" t="n"/>
      <c r="AT307" s="266" t="n"/>
      <c r="AU307" s="266" t="n"/>
      <c r="AV307" s="266" t="n"/>
      <c r="AW307" s="266" t="n"/>
      <c r="AX307" s="266" t="n"/>
      <c r="AY307" s="266" t="n"/>
      <c r="AZ307" s="266" t="n"/>
      <c r="BA307" s="266" t="n"/>
      <c r="BB307" s="266" t="n"/>
      <c r="BC307" s="266" t="n"/>
      <c r="BD307" s="266" t="n"/>
      <c r="BE307" s="266" t="n"/>
      <c r="BF307" s="266" t="n"/>
      <c r="BG307" s="266" t="n"/>
      <c r="BH307" s="266" t="n"/>
      <c r="BI307" s="266" t="n"/>
      <c r="BJ307" s="266" t="n"/>
      <c r="BK307" s="266" t="n"/>
      <c r="BL307" s="266" t="n"/>
      <c r="BM307" s="266" t="n"/>
      <c r="BN307" s="266" t="n"/>
      <c r="BO307" s="266" t="n"/>
      <c r="BP307" s="266" t="n"/>
      <c r="BQ307" s="266" t="n"/>
      <c r="BR307" s="266" t="n"/>
      <c r="BS307" s="266" t="n"/>
      <c r="BT307" s="266" t="n"/>
      <c r="BU307" s="266" t="n"/>
      <c r="BV307" s="266" t="n"/>
      <c r="BW307" s="266" t="n"/>
      <c r="BX307" s="266" t="n"/>
      <c r="BY307" s="266" t="n"/>
      <c r="BZ307" s="266" t="n"/>
      <c r="CA307" s="266" t="n"/>
      <c r="CB307" s="266" t="n"/>
      <c r="CC307" s="266" t="n"/>
      <c r="CD307" s="266" t="n"/>
      <c r="CE307" s="266" t="n"/>
      <c r="CF307" s="266" t="n"/>
      <c r="CG307" s="266" t="n"/>
      <c r="CH307" s="266" t="n"/>
      <c r="CI307" s="266" t="n"/>
      <c r="CJ307" s="266" t="n"/>
      <c r="CK307" s="266" t="n"/>
      <c r="CL307" s="266" t="n"/>
      <c r="CM307" s="266" t="n"/>
      <c r="CN307" s="266" t="n"/>
      <c r="CO307" s="266" t="n"/>
      <c r="CP307" s="266" t="n"/>
      <c r="CQ307" s="266" t="n"/>
      <c r="CR307" s="266" t="n"/>
      <c r="CS307" s="266" t="n"/>
      <c r="CT307" s="266" t="n"/>
      <c r="CU307" s="266" t="n"/>
      <c r="CV307" s="266" t="n"/>
      <c r="CW307" s="266" t="n"/>
      <c r="CX307" s="266" t="n"/>
      <c r="CY307" s="266" t="n"/>
    </row>
    <row r="308" ht="12.75" customHeight="1" s="254">
      <c r="C308" s="268" t="inlineStr">
        <is>
          <t>Convertible preferred stock</t>
        </is>
      </c>
      <c r="D308" s="266" t="n"/>
      <c r="E308" s="266">
        <f>E259-D259</f>
        <v>0</v>
      </c>
      <c r="F308" s="266">
        <f>F259-E259</f>
        <v>0</v>
      </c>
      <c r="G308" s="266">
        <f>G259-F259</f>
        <v>0</v>
      </c>
      <c r="H308" s="266">
        <f>SUM(D308:G308)</f>
        <v>0</v>
      </c>
      <c r="I308" s="266">
        <f>I259-H259</f>
        <v>0</v>
      </c>
      <c r="J308" s="266">
        <f>J259-I259</f>
        <v>0</v>
      </c>
      <c r="K308" s="266">
        <f>K259-J259</f>
        <v>0</v>
      </c>
      <c r="L308" s="266">
        <f>L259-K259</f>
        <v>0</v>
      </c>
      <c r="M308" s="266">
        <f>SUM(I308:L308)</f>
        <v>0</v>
      </c>
      <c r="N308" s="266">
        <f>N259-M259</f>
        <v>0</v>
      </c>
      <c r="O308" s="266">
        <f>O259-N259</f>
        <v>0</v>
      </c>
      <c r="P308" s="266">
        <f>P259-O259</f>
        <v>0</v>
      </c>
      <c r="Q308" s="266">
        <f>Q259-P259</f>
        <v>0</v>
      </c>
      <c r="R308" s="266">
        <f>SUM(N308:Q308)</f>
        <v>0</v>
      </c>
      <c r="S308" s="266">
        <f>S259-R259</f>
        <v>0</v>
      </c>
      <c r="T308" s="266">
        <f>T259-S259</f>
        <v>0</v>
      </c>
      <c r="U308" s="266">
        <f>U259-T259</f>
        <v>0</v>
      </c>
      <c r="V308" s="266">
        <f>V259-U259</f>
        <v>0</v>
      </c>
      <c r="W308" s="266">
        <f>SUM(S308:V308)</f>
        <v>0</v>
      </c>
      <c r="X308" s="266">
        <f>X259-W259</f>
        <v>0</v>
      </c>
      <c r="Y308" s="266">
        <f>Y259-X259</f>
        <v>0</v>
      </c>
      <c r="Z308" s="266">
        <f>Z259-Y259</f>
        <v>0</v>
      </c>
      <c r="AA308" s="266">
        <f>AA259-Z259</f>
        <v>0</v>
      </c>
      <c r="AB308" s="266">
        <f>SUM(X308:AA308)</f>
        <v>0</v>
      </c>
      <c r="AC308" s="266">
        <f>AC259-AB259</f>
        <v>0</v>
      </c>
      <c r="AD308" s="266">
        <f>AD259-AC259</f>
        <v>0</v>
      </c>
      <c r="AE308" s="266">
        <f>AE259-AD259</f>
        <v>0</v>
      </c>
      <c r="AF308" s="266">
        <f>AF259-AE259</f>
        <v>0</v>
      </c>
      <c r="AG308" s="266">
        <f>SUM(AC308:AF308)</f>
        <v>0</v>
      </c>
      <c r="AH308" s="266">
        <f>AH259-AG259</f>
        <v>0</v>
      </c>
      <c r="AI308" s="266">
        <f>AI259-AH259</f>
        <v>0</v>
      </c>
      <c r="AJ308" s="266">
        <f>AJ259-AI259</f>
        <v>0</v>
      </c>
      <c r="AK308" s="266">
        <f>AK259-AJ259</f>
        <v>0</v>
      </c>
      <c r="AL308" s="266">
        <f>SUM(AH308:AK308)</f>
        <v>0</v>
      </c>
      <c r="AM308" s="266">
        <f>AM259-AL259</f>
        <v>0</v>
      </c>
      <c r="AN308" s="266">
        <f>AN259-AM259</f>
        <v>0</v>
      </c>
      <c r="AO308" s="266">
        <f>AO259-AN259</f>
        <v>0</v>
      </c>
      <c r="AP308" s="266">
        <f>AP259-AO259</f>
        <v>0</v>
      </c>
      <c r="AQ308" s="266">
        <f>SUM(AM308:AP308)</f>
        <v>0</v>
      </c>
      <c r="AR308" s="266">
        <f>AR259-AQ259</f>
        <v>0</v>
      </c>
      <c r="AS308" s="266">
        <f>AS259-AR259</f>
        <v>0</v>
      </c>
      <c r="AT308" s="266">
        <f>AT259-AS259</f>
        <v>0</v>
      </c>
      <c r="AU308" s="266">
        <f>AU259-AT259</f>
        <v>0</v>
      </c>
      <c r="AV308" s="266">
        <f>SUM(AR308:AU308)</f>
        <v>0</v>
      </c>
      <c r="AW308" s="266">
        <f>AW259-AV259</f>
        <v>0</v>
      </c>
      <c r="AX308" s="266">
        <f>AX259-AW259</f>
        <v>0</v>
      </c>
      <c r="AY308" s="266">
        <f>AY259-AX259</f>
        <v>0</v>
      </c>
      <c r="AZ308" s="266">
        <f>AZ259-AY259</f>
        <v>0</v>
      </c>
      <c r="BA308" s="266">
        <f>SUM(AW308:AZ308)</f>
        <v>0</v>
      </c>
      <c r="BB308" s="266">
        <f>BB259-BA259</f>
        <v>0</v>
      </c>
      <c r="BC308" s="266">
        <f>BC259-BB259</f>
        <v>0</v>
      </c>
      <c r="BD308" s="266">
        <f>BD259-BC259</f>
        <v>0</v>
      </c>
      <c r="BE308" s="266">
        <f>BE259-BD259</f>
        <v>0</v>
      </c>
      <c r="BF308" s="266">
        <f>SUM(BB308:BE308)</f>
        <v>0</v>
      </c>
      <c r="BG308" s="266">
        <f>BG259-BF259</f>
        <v>0</v>
      </c>
      <c r="BH308" s="266">
        <f>BH259-BG259</f>
        <v>0</v>
      </c>
      <c r="BI308" s="266">
        <f>BI259-BH259</f>
        <v>0</v>
      </c>
      <c r="BJ308" s="266">
        <f>BJ259-BI259</f>
        <v>0</v>
      </c>
      <c r="BK308" s="266">
        <f>SUM(BG308:BJ308)</f>
        <v>0</v>
      </c>
      <c r="BL308" s="266">
        <f>BL259-BK259</f>
        <v>0</v>
      </c>
      <c r="BM308" s="266">
        <f>BM259-BL259</f>
        <v>0</v>
      </c>
      <c r="BN308" s="266">
        <f>BN259-BM259</f>
        <v>0</v>
      </c>
      <c r="BO308" s="266">
        <f>BO259-BN259</f>
        <v>0</v>
      </c>
      <c r="BP308" s="266">
        <f>SUM(BL308:BO308)</f>
        <v>0</v>
      </c>
      <c r="BQ308" s="266">
        <f>BQ259-BP259</f>
        <v>0</v>
      </c>
      <c r="BR308" s="266">
        <f>BR259-BQ259</f>
        <v>0</v>
      </c>
      <c r="BS308" s="266">
        <f>BS259-BR259</f>
        <v>0</v>
      </c>
      <c r="BT308" s="266">
        <f>BT259-BS259</f>
        <v>0</v>
      </c>
      <c r="BU308" s="266">
        <f>SUM(BQ308:BT308)</f>
        <v>0</v>
      </c>
      <c r="BV308" s="266">
        <f>BV259-BU259</f>
        <v>0</v>
      </c>
      <c r="BW308" s="266">
        <f>BW259-BV259</f>
        <v>0</v>
      </c>
      <c r="BX308" s="266">
        <f>BX259-BW259</f>
        <v>0</v>
      </c>
      <c r="BY308" s="266">
        <f>BY259-BX259</f>
        <v>0</v>
      </c>
      <c r="BZ308" s="266">
        <f>SUM(BV308:BY308)</f>
        <v>0</v>
      </c>
      <c r="CA308" s="266">
        <f>CA259-BZ259</f>
        <v>0</v>
      </c>
      <c r="CB308" s="266">
        <f>CB259-CA259</f>
        <v>0</v>
      </c>
      <c r="CC308" s="266">
        <f>CC259-CB259</f>
        <v>0</v>
      </c>
      <c r="CD308" s="266">
        <f>CD259-CC259</f>
        <v>0</v>
      </c>
      <c r="CE308" s="266">
        <f>SUM(CA308:CD308)</f>
        <v>0</v>
      </c>
      <c r="CF308" s="266">
        <f>CF259-CE259</f>
        <v>0</v>
      </c>
      <c r="CG308" s="266">
        <f>CG259-CF259</f>
        <v>0</v>
      </c>
      <c r="CH308" s="266">
        <f>CH259-CG259</f>
        <v>0</v>
      </c>
      <c r="CI308" s="266">
        <f>CI259-CH259</f>
        <v>0</v>
      </c>
      <c r="CJ308" s="266">
        <f>SUM(CF308:CI308)</f>
        <v>0</v>
      </c>
      <c r="CK308" s="266">
        <f>CK259-CJ259</f>
        <v>0</v>
      </c>
      <c r="CL308" s="266">
        <f>CL259-CK259</f>
        <v>0</v>
      </c>
      <c r="CM308" s="266">
        <f>CM259-CL259</f>
        <v>0</v>
      </c>
      <c r="CN308" s="266">
        <f>CN259-CM259</f>
        <v>0</v>
      </c>
      <c r="CO308" s="266">
        <f>SUM(CK308:CN308)</f>
        <v>0</v>
      </c>
      <c r="CP308" s="266">
        <f>CP259-CO259</f>
        <v>0</v>
      </c>
      <c r="CQ308" s="266">
        <f>CQ259-CP259</f>
        <v>0</v>
      </c>
      <c r="CR308" s="266">
        <f>CR259-CQ259</f>
        <v>0</v>
      </c>
      <c r="CS308" s="266">
        <f>CS259-CR259</f>
        <v>0</v>
      </c>
      <c r="CT308" s="266">
        <f>SUM(CP308:CS308)</f>
        <v>0</v>
      </c>
      <c r="CU308" s="266">
        <f>CU259-CT259</f>
        <v>0</v>
      </c>
      <c r="CV308" s="266">
        <f>CV259-CU259</f>
        <v>0</v>
      </c>
      <c r="CW308" s="266">
        <f>CW259-CV259</f>
        <v>0</v>
      </c>
      <c r="CX308" s="266">
        <f>CX259-CW259</f>
        <v>0</v>
      </c>
      <c r="CY308" s="266">
        <f>SUM(CU308:CX308)</f>
        <v>0</v>
      </c>
    </row>
    <row r="309" ht="12.75" customHeight="1" s="254">
      <c r="C309" s="268" t="inlineStr">
        <is>
          <t>Common stock and APIC</t>
        </is>
      </c>
      <c r="D309" s="266" t="n"/>
      <c r="E309" s="266">
        <f>E260-D260</f>
        <v>0</v>
      </c>
      <c r="F309" s="266">
        <f>F260-E260</f>
        <v>0</v>
      </c>
      <c r="G309" s="266">
        <f>G260-F260</f>
        <v>0</v>
      </c>
      <c r="H309" s="266">
        <f>SUM(D309:G309)</f>
        <v>0</v>
      </c>
      <c r="I309" s="266">
        <f>I260-H260</f>
        <v>0</v>
      </c>
      <c r="J309" s="266">
        <f>J260-I260</f>
        <v>0</v>
      </c>
      <c r="K309" s="266">
        <f>K260-J260</f>
        <v>0</v>
      </c>
      <c r="L309" s="266">
        <f>L260-K260</f>
        <v>0</v>
      </c>
      <c r="M309" s="266">
        <f>SUM(I309:L309)</f>
        <v>0</v>
      </c>
      <c r="N309" s="266">
        <f>N260-M260</f>
        <v>0</v>
      </c>
      <c r="O309" s="266">
        <f>O260-N260</f>
        <v>0</v>
      </c>
      <c r="P309" s="266">
        <f>P260-O260</f>
        <v>0</v>
      </c>
      <c r="Q309" s="266">
        <f>Q260-P260</f>
        <v>0</v>
      </c>
      <c r="R309" s="266">
        <f>SUM(N309:Q309)</f>
        <v>0</v>
      </c>
      <c r="S309" s="266">
        <f>S260-R260</f>
        <v>0</v>
      </c>
      <c r="T309" s="266">
        <f>T260-S260</f>
        <v>0</v>
      </c>
      <c r="U309" s="266">
        <f>U260-T260</f>
        <v>0</v>
      </c>
      <c r="V309" s="266">
        <f>V260-U260</f>
        <v>0</v>
      </c>
      <c r="W309" s="266">
        <f>SUM(S309:V309)</f>
        <v>0</v>
      </c>
      <c r="X309" s="266">
        <f>X260-W260</f>
        <v>0</v>
      </c>
      <c r="Y309" s="266">
        <f>Y260-X260</f>
        <v>0</v>
      </c>
      <c r="Z309" s="266">
        <f>Z260-Y260</f>
        <v>0</v>
      </c>
      <c r="AA309" s="266">
        <f>AA260-Z260</f>
        <v>0</v>
      </c>
      <c r="AB309" s="266">
        <f>SUM(X309:AA309)</f>
        <v>0</v>
      </c>
      <c r="AC309" s="266">
        <f>AC260-AB260</f>
        <v>0</v>
      </c>
      <c r="AD309" s="266">
        <f>AD260-AC260</f>
        <v>0</v>
      </c>
      <c r="AE309" s="266">
        <f>AE260-AD260</f>
        <v>0</v>
      </c>
      <c r="AF309" s="266">
        <f>AF260-AE260</f>
        <v>0</v>
      </c>
      <c r="AG309" s="266">
        <f>SUM(AC309:AF309)</f>
        <v>0</v>
      </c>
      <c r="AH309" s="266">
        <f>AH260-AG260</f>
        <v>0</v>
      </c>
      <c r="AI309" s="266">
        <f>AI260-AH260</f>
        <v>0</v>
      </c>
      <c r="AJ309" s="266">
        <f>AJ260-AI260</f>
        <v>0</v>
      </c>
      <c r="AK309" s="266">
        <f>AK260-AJ260</f>
        <v>0</v>
      </c>
      <c r="AL309" s="266">
        <f>SUM(AH309:AK309)</f>
        <v>0</v>
      </c>
      <c r="AM309" s="266">
        <f>AM260-AL260</f>
        <v>0</v>
      </c>
      <c r="AN309" s="266">
        <f>AN260-AM260</f>
        <v>0</v>
      </c>
      <c r="AO309" s="266">
        <f>AO260-AN260</f>
        <v>0</v>
      </c>
      <c r="AP309" s="266">
        <f>AP260-AO260</f>
        <v>0</v>
      </c>
      <c r="AQ309" s="266">
        <f>SUM(AM309:AP309)</f>
        <v>0</v>
      </c>
      <c r="AR309" s="266">
        <f>AR260-AQ260</f>
        <v>0</v>
      </c>
      <c r="AS309" s="266">
        <f>AS260-AR260</f>
        <v>0</v>
      </c>
      <c r="AT309" s="266">
        <f>AT260-AS260</f>
        <v>0</v>
      </c>
      <c r="AU309" s="266">
        <f>AU260-AT260</f>
        <v>0</v>
      </c>
      <c r="AV309" s="266">
        <f>SUM(AR309:AU309)</f>
        <v>0</v>
      </c>
      <c r="AW309" s="266">
        <f>AW260-AV260</f>
        <v>0</v>
      </c>
      <c r="AX309" s="266">
        <f>AX260-AW260</f>
        <v>0</v>
      </c>
      <c r="AY309" s="266">
        <f>AY260-AX260</f>
        <v>0</v>
      </c>
      <c r="AZ309" s="266">
        <f>AZ260-AY260</f>
        <v>0</v>
      </c>
      <c r="BA309" s="266">
        <f>SUM(AW309:AZ309)</f>
        <v>0</v>
      </c>
      <c r="BB309" s="266">
        <f>BB260-BA260</f>
        <v>0</v>
      </c>
      <c r="BC309" s="266">
        <f>BC260-BB260</f>
        <v>0</v>
      </c>
      <c r="BD309" s="266">
        <f>BD260-BC260</f>
        <v>0</v>
      </c>
      <c r="BE309" s="266">
        <f>BE260-BD260</f>
        <v>0</v>
      </c>
      <c r="BF309" s="266">
        <f>SUM(BB309:BE309)</f>
        <v>0</v>
      </c>
      <c r="BG309" s="266">
        <f>BG260-BF260</f>
        <v>0</v>
      </c>
      <c r="BH309" s="266">
        <f>BH260-BG260</f>
        <v>0</v>
      </c>
      <c r="BI309" s="266">
        <f>BI260-BH260</f>
        <v>0</v>
      </c>
      <c r="BJ309" s="266">
        <f>BJ260-BI260</f>
        <v>0</v>
      </c>
      <c r="BK309" s="266">
        <f>SUM(BG309:BJ309)</f>
        <v>0</v>
      </c>
      <c r="BL309" s="266">
        <f>BL260-BK260</f>
        <v>0</v>
      </c>
      <c r="BM309" s="266">
        <f>BM260-BL260</f>
        <v>0</v>
      </c>
      <c r="BN309" s="266">
        <f>BN260-BM260</f>
        <v>0</v>
      </c>
      <c r="BO309" s="266">
        <f>BO260-BN260</f>
        <v>0</v>
      </c>
      <c r="BP309" s="266">
        <f>SUM(BL309:BO309)</f>
        <v>0</v>
      </c>
      <c r="BQ309" s="266">
        <f>BQ260-BP260</f>
        <v>0</v>
      </c>
      <c r="BR309" s="266">
        <f>BR260-BQ260</f>
        <v>0</v>
      </c>
      <c r="BS309" s="266">
        <f>BS260-BR260</f>
        <v>0</v>
      </c>
      <c r="BT309" s="266">
        <f>BT260-BS260</f>
        <v>0</v>
      </c>
      <c r="BU309" s="266">
        <f>SUM(BQ309:BT309)</f>
        <v>0</v>
      </c>
      <c r="BV309" s="266">
        <f>BV260-BU260</f>
        <v>0</v>
      </c>
      <c r="BW309" s="266">
        <f>BW260-BV260</f>
        <v>0</v>
      </c>
      <c r="BX309" s="266">
        <f>BX260-BW260</f>
        <v>0</v>
      </c>
      <c r="BY309" s="266">
        <f>BY260-BX260</f>
        <v>0</v>
      </c>
      <c r="BZ309" s="266">
        <f>SUM(BV309:BY309)</f>
        <v>0</v>
      </c>
      <c r="CA309" s="266">
        <f>CA260-BZ260</f>
        <v>0</v>
      </c>
      <c r="CB309" s="266">
        <f>CB260-CA260</f>
        <v>0</v>
      </c>
      <c r="CC309" s="266">
        <f>CC260-CB260</f>
        <v>0</v>
      </c>
      <c r="CD309" s="266">
        <f>CD260-CC260</f>
        <v>0</v>
      </c>
      <c r="CE309" s="266">
        <f>SUM(CA309:CD309)</f>
        <v>0</v>
      </c>
      <c r="CF309" s="266">
        <f>CF260-CE260</f>
        <v>0</v>
      </c>
      <c r="CG309" s="266">
        <f>CG260-CF260</f>
        <v>0</v>
      </c>
      <c r="CH309" s="266">
        <f>CH260-CG260</f>
        <v>0</v>
      </c>
      <c r="CI309" s="266">
        <f>CI260-CH260</f>
        <v>0</v>
      </c>
      <c r="CJ309" s="266">
        <f>SUM(CF309:CI309)</f>
        <v>0</v>
      </c>
      <c r="CK309" s="266">
        <f>CK260-CJ260</f>
        <v>0</v>
      </c>
      <c r="CL309" s="266">
        <f>CL260-CK260</f>
        <v>0</v>
      </c>
      <c r="CM309" s="266">
        <f>CM260-CL260</f>
        <v>0</v>
      </c>
      <c r="CN309" s="266">
        <f>CN260-CM260</f>
        <v>0</v>
      </c>
      <c r="CO309" s="266">
        <f>SUM(CK309:CN309)</f>
        <v>0</v>
      </c>
      <c r="CP309" s="266">
        <f>CP260-CO260</f>
        <v>0</v>
      </c>
      <c r="CQ309" s="266">
        <f>CQ260-CP260</f>
        <v>0</v>
      </c>
      <c r="CR309" s="266">
        <f>CR260-CQ260</f>
        <v>0</v>
      </c>
      <c r="CS309" s="266">
        <f>CS260-CR260</f>
        <v>0</v>
      </c>
      <c r="CT309" s="266">
        <f>SUM(CP309:CS309)</f>
        <v>0</v>
      </c>
      <c r="CU309" s="266">
        <f>CU260-CT260</f>
        <v>0</v>
      </c>
      <c r="CV309" s="266">
        <f>CV260-CU260</f>
        <v>0</v>
      </c>
      <c r="CW309" s="266">
        <f>CW260-CV260</f>
        <v>0</v>
      </c>
      <c r="CX309" s="266">
        <f>CX260-CW260</f>
        <v>0</v>
      </c>
      <c r="CY309" s="266">
        <f>SUM(CU309:CX309)</f>
        <v>0</v>
      </c>
    </row>
    <row r="310" ht="12.75" customHeight="1" s="254">
      <c r="C310" s="268" t="inlineStr">
        <is>
          <t>Treasury stock repurchases</t>
        </is>
      </c>
      <c r="D310" s="266" t="n"/>
      <c r="E310" s="266">
        <f>E273-D273</f>
        <v>0</v>
      </c>
      <c r="F310" s="266">
        <f>F273-E273</f>
        <v>0</v>
      </c>
      <c r="G310" s="266">
        <f>G273-F273</f>
        <v>0</v>
      </c>
      <c r="H310" s="266">
        <f>SUM(D310:G310)</f>
        <v>0</v>
      </c>
      <c r="I310" s="266">
        <f>I273-H273</f>
        <v>0</v>
      </c>
      <c r="J310" s="266">
        <f>J273-I273</f>
        <v>0</v>
      </c>
      <c r="K310" s="266">
        <f>K273-J273</f>
        <v>0</v>
      </c>
      <c r="L310" s="266">
        <f>L273-K273</f>
        <v>0</v>
      </c>
      <c r="M310" s="266">
        <f>SUM(I310:L310)</f>
        <v>0</v>
      </c>
      <c r="N310" s="266">
        <f>N273-M273</f>
        <v>0</v>
      </c>
      <c r="O310" s="266">
        <f>O273-N273</f>
        <v>0</v>
      </c>
      <c r="P310" s="266">
        <f>P273-O273</f>
        <v>0</v>
      </c>
      <c r="Q310" s="266">
        <f>Q273-P273</f>
        <v>0</v>
      </c>
      <c r="R310" s="266">
        <f>SUM(N310:Q310)</f>
        <v>0</v>
      </c>
      <c r="S310" s="266">
        <f>S273-R273</f>
        <v>0</v>
      </c>
      <c r="T310" s="266">
        <f>T273-S273</f>
        <v>0</v>
      </c>
      <c r="U310" s="266">
        <f>U273-T273</f>
        <v>0</v>
      </c>
      <c r="V310" s="266">
        <f>V273-U273</f>
        <v>0</v>
      </c>
      <c r="W310" s="266">
        <f>SUM(S310:V310)</f>
        <v>0</v>
      </c>
      <c r="X310" s="266">
        <f>X273-W273</f>
        <v>0</v>
      </c>
      <c r="Y310" s="266">
        <f>Y273-X273</f>
        <v>0</v>
      </c>
      <c r="Z310" s="266">
        <f>Z273-Y273</f>
        <v>0</v>
      </c>
      <c r="AA310" s="266">
        <f>AA273-Z273</f>
        <v>0</v>
      </c>
      <c r="AB310" s="266">
        <f>SUM(X310:AA310)</f>
        <v>0</v>
      </c>
      <c r="AC310" s="266">
        <f>AC273-AB273</f>
        <v>0</v>
      </c>
      <c r="AD310" s="266">
        <f>AD273-AC273</f>
        <v>0</v>
      </c>
      <c r="AE310" s="266">
        <f>AE273-AD273</f>
        <v>0</v>
      </c>
      <c r="AF310" s="266">
        <f>AF273-AE273</f>
        <v>0</v>
      </c>
      <c r="AG310" s="266">
        <f>SUM(AC310:AF310)</f>
        <v>0</v>
      </c>
      <c r="AH310" s="266">
        <f>AH273-AG273</f>
        <v>0</v>
      </c>
      <c r="AI310" s="266">
        <f>AI273-AH273</f>
        <v>0</v>
      </c>
      <c r="AJ310" s="266">
        <f>AJ273-AI273</f>
        <v>0</v>
      </c>
      <c r="AK310" s="266">
        <f>AK273-AJ273</f>
        <v>0</v>
      </c>
      <c r="AL310" s="266">
        <f>SUM(AH310:AK310)</f>
        <v>0</v>
      </c>
      <c r="AM310" s="266">
        <f>AM273-AL273</f>
        <v>0</v>
      </c>
      <c r="AN310" s="266">
        <f>AN273-AM273</f>
        <v>0</v>
      </c>
      <c r="AO310" s="266">
        <f>AO273-AN273</f>
        <v>0</v>
      </c>
      <c r="AP310" s="266">
        <f>AP273-AO273</f>
        <v>0</v>
      </c>
      <c r="AQ310" s="266">
        <f>SUM(AM310:AP310)</f>
        <v>0</v>
      </c>
      <c r="AR310" s="266">
        <f>AR273-AQ273</f>
        <v>0</v>
      </c>
      <c r="AS310" s="266">
        <f>AS273-AR273</f>
        <v>0</v>
      </c>
      <c r="AT310" s="266">
        <f>AT273-AS273</f>
        <v>0</v>
      </c>
      <c r="AU310" s="266">
        <f>AU273-AT273</f>
        <v>0</v>
      </c>
      <c r="AV310" s="266">
        <f>SUM(AR310:AU310)</f>
        <v>0</v>
      </c>
      <c r="AW310" s="266">
        <f>AW273-AV273</f>
        <v>0</v>
      </c>
      <c r="AX310" s="266">
        <f>AX273-AW273</f>
        <v>0</v>
      </c>
      <c r="AY310" s="266">
        <f>AY273-AX273</f>
        <v>0</v>
      </c>
      <c r="AZ310" s="266">
        <f>AZ273-AY273</f>
        <v>0</v>
      </c>
      <c r="BA310" s="266">
        <f>SUM(AW310:AZ310)</f>
        <v>0</v>
      </c>
      <c r="BB310" s="266">
        <f>BB273-BA273</f>
        <v>0</v>
      </c>
      <c r="BC310" s="266">
        <f>BC273-BB273</f>
        <v>0</v>
      </c>
      <c r="BD310" s="266">
        <f>BD273-BC273</f>
        <v>0</v>
      </c>
      <c r="BE310" s="266">
        <f>BE273-BD273</f>
        <v>0</v>
      </c>
      <c r="BF310" s="266">
        <f>SUM(BB310:BE310)</f>
        <v>0</v>
      </c>
      <c r="BG310" s="266">
        <f>BG273-BF273</f>
        <v>0</v>
      </c>
      <c r="BH310" s="266">
        <f>BH273-BG273</f>
        <v>0</v>
      </c>
      <c r="BI310" s="266">
        <f>BI273-BH273</f>
        <v>0</v>
      </c>
      <c r="BJ310" s="266">
        <f>BJ273-BI273</f>
        <v>0</v>
      </c>
      <c r="BK310" s="266">
        <f>SUM(BG310:BJ310)</f>
        <v>0</v>
      </c>
      <c r="BL310" s="266">
        <f>BL273-BK273</f>
        <v>0</v>
      </c>
      <c r="BM310" s="266">
        <f>BM273-BL273</f>
        <v>0</v>
      </c>
      <c r="BN310" s="266">
        <f>BN273-BM273</f>
        <v>0</v>
      </c>
      <c r="BO310" s="266">
        <f>BO273-BN273</f>
        <v>0</v>
      </c>
      <c r="BP310" s="266">
        <f>SUM(BL310:BO310)</f>
        <v>0</v>
      </c>
      <c r="BQ310" s="266">
        <f>BQ273-BP273</f>
        <v>0</v>
      </c>
      <c r="BR310" s="266">
        <f>BR273-BQ273</f>
        <v>0</v>
      </c>
      <c r="BS310" s="266">
        <f>BS273-BR273</f>
        <v>0</v>
      </c>
      <c r="BT310" s="266">
        <f>BT273-BS273</f>
        <v>0</v>
      </c>
      <c r="BU310" s="266">
        <f>SUM(BQ310:BT310)</f>
        <v>0</v>
      </c>
      <c r="BV310" s="266">
        <f>BV273-BU273</f>
        <v>0</v>
      </c>
      <c r="BW310" s="266">
        <f>BW273-BV273</f>
        <v>0</v>
      </c>
      <c r="BX310" s="266">
        <f>BX273-BW273</f>
        <v>0</v>
      </c>
      <c r="BY310" s="266">
        <f>BY273-BX273</f>
        <v>0</v>
      </c>
      <c r="BZ310" s="266">
        <f>SUM(BV310:BY310)</f>
        <v>0</v>
      </c>
      <c r="CA310" s="266">
        <f>CA273-BZ273</f>
        <v>0</v>
      </c>
      <c r="CB310" s="266">
        <f>CB273-CA273</f>
        <v>0</v>
      </c>
      <c r="CC310" s="266">
        <f>CC273-CB273</f>
        <v>0</v>
      </c>
      <c r="CD310" s="266">
        <f>CD273-CC273</f>
        <v>0</v>
      </c>
      <c r="CE310" s="266">
        <f>SUM(CA310:CD310)</f>
        <v>0</v>
      </c>
      <c r="CF310" s="266">
        <f>CF273-CE273</f>
        <v>0</v>
      </c>
      <c r="CG310" s="266">
        <f>CG273-CF273</f>
        <v>0</v>
      </c>
      <c r="CH310" s="266">
        <f>CH273-CG273</f>
        <v>0</v>
      </c>
      <c r="CI310" s="266">
        <f>CI273-CH273</f>
        <v>0</v>
      </c>
      <c r="CJ310" s="266">
        <f>SUM(CF310:CI310)</f>
        <v>0</v>
      </c>
      <c r="CK310" s="266">
        <f>CK273-CJ273</f>
        <v>0</v>
      </c>
      <c r="CL310" s="266">
        <f>CL273-CK273</f>
        <v>0</v>
      </c>
      <c r="CM310" s="266">
        <f>CM273-CL273</f>
        <v>0</v>
      </c>
      <c r="CN310" s="266">
        <f>CN273-CM273</f>
        <v>0</v>
      </c>
      <c r="CO310" s="266">
        <f>SUM(CK310:CN310)</f>
        <v>0</v>
      </c>
      <c r="CP310" s="266">
        <f>CP273-CO273</f>
        <v>0</v>
      </c>
      <c r="CQ310" s="266">
        <f>CQ273-CP273</f>
        <v>0</v>
      </c>
      <c r="CR310" s="266">
        <f>CR273-CQ273</f>
        <v>0</v>
      </c>
      <c r="CS310" s="266">
        <f>CS273-CR273</f>
        <v>0</v>
      </c>
      <c r="CT310" s="266">
        <f>SUM(CP310:CS310)</f>
        <v>0</v>
      </c>
      <c r="CU310" s="266">
        <f>CU273-CT273</f>
        <v>0</v>
      </c>
      <c r="CV310" s="266">
        <f>CV273-CU273</f>
        <v>0</v>
      </c>
      <c r="CW310" s="266">
        <f>CW273-CV273</f>
        <v>0</v>
      </c>
      <c r="CX310" s="266">
        <f>CX273-CW273</f>
        <v>0</v>
      </c>
      <c r="CY310" s="266">
        <f>SUM(CU310:CX310)</f>
        <v>0</v>
      </c>
    </row>
    <row r="311" ht="12.75" customHeight="1" s="254">
      <c r="C311" s="268" t="inlineStr">
        <is>
          <t>Comprehensive accumulated loss</t>
        </is>
      </c>
      <c r="D311" s="266" t="n"/>
      <c r="E311" s="266">
        <f>E274-D274</f>
        <v>0</v>
      </c>
      <c r="F311" s="266">
        <f>F274-E274</f>
        <v>0</v>
      </c>
      <c r="G311" s="266">
        <f>G274-F274</f>
        <v>0</v>
      </c>
      <c r="H311" s="266">
        <f>SUM(D311:G311)</f>
        <v>0</v>
      </c>
      <c r="I311" s="266">
        <f>I274-H274</f>
        <v>0</v>
      </c>
      <c r="J311" s="266">
        <f>J274-I274</f>
        <v>0</v>
      </c>
      <c r="K311" s="266">
        <f>K274-J274</f>
        <v>0</v>
      </c>
      <c r="L311" s="266">
        <f>L274-K274</f>
        <v>0</v>
      </c>
      <c r="M311" s="266">
        <f>SUM(I311:L311)</f>
        <v>0</v>
      </c>
      <c r="N311" s="266">
        <f>N274-M274</f>
        <v>0</v>
      </c>
      <c r="O311" s="266">
        <f>O274-N274</f>
        <v>0</v>
      </c>
      <c r="P311" s="266">
        <f>P274-O274</f>
        <v>0</v>
      </c>
      <c r="Q311" s="266">
        <f>Q274-P274</f>
        <v>0</v>
      </c>
      <c r="R311" s="266">
        <f>SUM(N311:Q311)</f>
        <v>0</v>
      </c>
      <c r="S311" s="266">
        <f>S274-R274</f>
        <v>0</v>
      </c>
      <c r="T311" s="266">
        <f>T274-S274</f>
        <v>0</v>
      </c>
      <c r="U311" s="266">
        <f>U274-T274</f>
        <v>0</v>
      </c>
      <c r="V311" s="266">
        <f>V274-U274</f>
        <v>0</v>
      </c>
      <c r="W311" s="266">
        <f>SUM(S311:V311)</f>
        <v>0</v>
      </c>
      <c r="X311" s="266">
        <f>X274-W274</f>
        <v>0</v>
      </c>
      <c r="Y311" s="266">
        <f>Y274-X274</f>
        <v>0</v>
      </c>
      <c r="Z311" s="266">
        <f>Z274-Y274</f>
        <v>0</v>
      </c>
      <c r="AA311" s="266">
        <f>AA274-Z274</f>
        <v>0</v>
      </c>
      <c r="AB311" s="266">
        <f>SUM(X311:AA311)</f>
        <v>0</v>
      </c>
      <c r="AC311" s="266">
        <f>AC274-AB274</f>
        <v>0</v>
      </c>
      <c r="AD311" s="266">
        <f>AD274-AC274</f>
        <v>0</v>
      </c>
      <c r="AE311" s="266">
        <f>AE274-AD274</f>
        <v>0</v>
      </c>
      <c r="AF311" s="266">
        <f>AF274-AE274</f>
        <v>0</v>
      </c>
      <c r="AG311" s="266">
        <f>SUM(AC311:AF311)</f>
        <v>0</v>
      </c>
      <c r="AH311" s="266">
        <f>AH274-AG274</f>
        <v>0</v>
      </c>
      <c r="AI311" s="266">
        <f>AI274-AH274</f>
        <v>0</v>
      </c>
      <c r="AJ311" s="266">
        <f>AJ274-AI274</f>
        <v>0</v>
      </c>
      <c r="AK311" s="266">
        <f>AK274-AJ274</f>
        <v>0</v>
      </c>
      <c r="AL311" s="266">
        <f>SUM(AH311:AK311)</f>
        <v>0</v>
      </c>
      <c r="AM311" s="266">
        <f>AM274-AL274</f>
        <v>0</v>
      </c>
      <c r="AN311" s="266">
        <f>AN274-AM274</f>
        <v>0</v>
      </c>
      <c r="AO311" s="266">
        <f>AO274-AN274</f>
        <v>0</v>
      </c>
      <c r="AP311" s="266">
        <f>AP274-AO274</f>
        <v>0</v>
      </c>
      <c r="AQ311" s="266">
        <f>SUM(AM311:AP311)</f>
        <v>0</v>
      </c>
      <c r="AR311" s="266">
        <f>AR274-AQ274</f>
        <v>0</v>
      </c>
      <c r="AS311" s="266">
        <f>AS274-AR274</f>
        <v>0</v>
      </c>
      <c r="AT311" s="266">
        <f>AT274-AS274</f>
        <v>0</v>
      </c>
      <c r="AU311" s="266">
        <f>AU274-AT274</f>
        <v>0</v>
      </c>
      <c r="AV311" s="266">
        <f>SUM(AR311:AU311)</f>
        <v>0</v>
      </c>
      <c r="AW311" s="266">
        <f>AW274-AV274</f>
        <v>0</v>
      </c>
      <c r="AX311" s="266">
        <f>AX274-AW274</f>
        <v>0</v>
      </c>
      <c r="AY311" s="266">
        <f>AY274-AX274</f>
        <v>0</v>
      </c>
      <c r="AZ311" s="266">
        <f>AZ274-AY274</f>
        <v>0</v>
      </c>
      <c r="BA311" s="266">
        <f>SUM(AW311:AZ311)</f>
        <v>0</v>
      </c>
      <c r="BB311" s="266">
        <f>BB274-BA274</f>
        <v>0</v>
      </c>
      <c r="BC311" s="266">
        <f>BC274-BB274</f>
        <v>0</v>
      </c>
      <c r="BD311" s="266">
        <f>BD274-BC274</f>
        <v>0</v>
      </c>
      <c r="BE311" s="266">
        <f>BE274-BD274</f>
        <v>0</v>
      </c>
      <c r="BF311" s="266">
        <f>SUM(BB311:BE311)</f>
        <v>0</v>
      </c>
      <c r="BG311" s="266">
        <f>BG274-BF274</f>
        <v>0</v>
      </c>
      <c r="BH311" s="266">
        <f>BH274-BG274</f>
        <v>0</v>
      </c>
      <c r="BI311" s="266">
        <f>BI274-BH274</f>
        <v>0</v>
      </c>
      <c r="BJ311" s="266">
        <f>BJ274-BI274</f>
        <v>0</v>
      </c>
      <c r="BK311" s="266">
        <f>SUM(BG311:BJ311)</f>
        <v>0</v>
      </c>
      <c r="BL311" s="266">
        <f>BL274-BK274</f>
        <v>0</v>
      </c>
      <c r="BM311" s="266">
        <f>BM274-BL274</f>
        <v>0</v>
      </c>
      <c r="BN311" s="266">
        <f>BN274-BM274</f>
        <v>0</v>
      </c>
      <c r="BO311" s="266">
        <f>BO274-BN274</f>
        <v>0</v>
      </c>
      <c r="BP311" s="266">
        <f>SUM(BL311:BO311)</f>
        <v>0</v>
      </c>
      <c r="BQ311" s="266">
        <f>BQ274-BP274</f>
        <v>0</v>
      </c>
      <c r="BR311" s="266">
        <f>BR274-BQ274</f>
        <v>0</v>
      </c>
      <c r="BS311" s="266">
        <f>BS274-BR274</f>
        <v>0</v>
      </c>
      <c r="BT311" s="266">
        <f>BT274-BS274</f>
        <v>0</v>
      </c>
      <c r="BU311" s="266">
        <f>SUM(BQ311:BT311)</f>
        <v>0</v>
      </c>
      <c r="BV311" s="266">
        <f>BV274-BU274</f>
        <v>0</v>
      </c>
      <c r="BW311" s="266">
        <f>BW274-BV274</f>
        <v>0</v>
      </c>
      <c r="BX311" s="266">
        <f>BX274-BW274</f>
        <v>0</v>
      </c>
      <c r="BY311" s="266">
        <f>BY274-BX274</f>
        <v>0</v>
      </c>
      <c r="BZ311" s="266">
        <f>SUM(BV311:BY311)</f>
        <v>0</v>
      </c>
      <c r="CA311" s="266">
        <f>CA274-BZ274</f>
        <v>0</v>
      </c>
      <c r="CB311" s="266">
        <f>CB274-CA274</f>
        <v>0</v>
      </c>
      <c r="CC311" s="266">
        <f>CC274-CB274</f>
        <v>0</v>
      </c>
      <c r="CD311" s="266">
        <f>CD274-CC274</f>
        <v>0</v>
      </c>
      <c r="CE311" s="266">
        <f>SUM(CA311:CD311)</f>
        <v>0</v>
      </c>
      <c r="CF311" s="266">
        <f>CF274-CE274</f>
        <v>0</v>
      </c>
      <c r="CG311" s="266">
        <f>CG274-CF274</f>
        <v>0</v>
      </c>
      <c r="CH311" s="266">
        <f>CH274-CG274</f>
        <v>0</v>
      </c>
      <c r="CI311" s="266">
        <f>CI274-CH274</f>
        <v>0</v>
      </c>
      <c r="CJ311" s="266">
        <f>SUM(CF311:CI311)</f>
        <v>0</v>
      </c>
      <c r="CK311" s="266">
        <f>CK274-CJ274</f>
        <v>0</v>
      </c>
      <c r="CL311" s="266">
        <f>CL274-CK274</f>
        <v>0</v>
      </c>
      <c r="CM311" s="266">
        <f>CM274-CL274</f>
        <v>0</v>
      </c>
      <c r="CN311" s="266">
        <f>CN274-CM274</f>
        <v>0</v>
      </c>
      <c r="CO311" s="266">
        <f>SUM(CK311:CN311)</f>
        <v>0</v>
      </c>
      <c r="CP311" s="266">
        <f>CP274-CO274</f>
        <v>0</v>
      </c>
      <c r="CQ311" s="266">
        <f>CQ274-CP274</f>
        <v>0</v>
      </c>
      <c r="CR311" s="266">
        <f>CR274-CQ274</f>
        <v>0</v>
      </c>
      <c r="CS311" s="266">
        <f>CS274-CR274</f>
        <v>0</v>
      </c>
      <c r="CT311" s="266">
        <f>SUM(CP311:CS311)</f>
        <v>0</v>
      </c>
      <c r="CU311" s="266">
        <f>CU274-CT274</f>
        <v>0</v>
      </c>
      <c r="CV311" s="266">
        <f>CV274-CU274</f>
        <v>0</v>
      </c>
      <c r="CW311" s="266">
        <f>CW274-CV274</f>
        <v>0</v>
      </c>
      <c r="CX311" s="266">
        <f>CX274-CW274</f>
        <v>0</v>
      </c>
      <c r="CY311" s="266">
        <f>SUM(CU311:CX311)</f>
        <v>0</v>
      </c>
    </row>
    <row r="312" ht="12.75" customHeight="1" s="254">
      <c r="C312" s="268" t="inlineStr">
        <is>
          <t>Other equity account</t>
        </is>
      </c>
      <c r="D312" s="266" t="n"/>
      <c r="E312" s="266">
        <f>E275-D275</f>
        <v>0</v>
      </c>
      <c r="F312" s="266">
        <f>F275-E275</f>
        <v>0</v>
      </c>
      <c r="G312" s="266">
        <f>G275-F275</f>
        <v>0</v>
      </c>
      <c r="H312" s="266">
        <f>SUM(D312:G312)</f>
        <v>0</v>
      </c>
      <c r="I312" s="266">
        <f>I275-H275</f>
        <v>0</v>
      </c>
      <c r="J312" s="266">
        <f>J275-I275</f>
        <v>0</v>
      </c>
      <c r="K312" s="266">
        <f>K275-J275</f>
        <v>0</v>
      </c>
      <c r="L312" s="266">
        <f>L275-K275</f>
        <v>0</v>
      </c>
      <c r="M312" s="266">
        <f>SUM(I312:L312)</f>
        <v>0</v>
      </c>
      <c r="N312" s="266">
        <f>N275-M275</f>
        <v>0</v>
      </c>
      <c r="O312" s="266">
        <f>O275-N275</f>
        <v>0</v>
      </c>
      <c r="P312" s="266">
        <f>P275-O275</f>
        <v>0</v>
      </c>
      <c r="Q312" s="266">
        <f>Q275-P275</f>
        <v>0</v>
      </c>
      <c r="R312" s="266">
        <f>SUM(N312:Q312)</f>
        <v>0</v>
      </c>
      <c r="S312" s="266">
        <f>S275-R275</f>
        <v>0</v>
      </c>
      <c r="T312" s="266">
        <f>T275-S275</f>
        <v>0</v>
      </c>
      <c r="U312" s="266">
        <f>U275-T275</f>
        <v>0</v>
      </c>
      <c r="V312" s="266">
        <f>V275-U275</f>
        <v>0</v>
      </c>
      <c r="W312" s="266">
        <f>SUM(S312:V312)</f>
        <v>0</v>
      </c>
      <c r="X312" s="266">
        <f>X275-W275</f>
        <v>0</v>
      </c>
      <c r="Y312" s="266">
        <f>Y275-X275</f>
        <v>0</v>
      </c>
      <c r="Z312" s="266">
        <f>Z275-Y275</f>
        <v>0</v>
      </c>
      <c r="AA312" s="266">
        <f>AA275-Z275</f>
        <v>0</v>
      </c>
      <c r="AB312" s="266">
        <f>SUM(X312:AA312)</f>
        <v>0</v>
      </c>
      <c r="AC312" s="266">
        <f>AC275-AB275</f>
        <v>0</v>
      </c>
      <c r="AD312" s="266">
        <f>AD275-AC275</f>
        <v>0</v>
      </c>
      <c r="AE312" s="266">
        <f>AE275-AD275</f>
        <v>0</v>
      </c>
      <c r="AF312" s="266">
        <f>AF275-AE275</f>
        <v>0</v>
      </c>
      <c r="AG312" s="266">
        <f>SUM(AC312:AF312)</f>
        <v>0</v>
      </c>
      <c r="AH312" s="266">
        <f>AH275-AG275</f>
        <v>0</v>
      </c>
      <c r="AI312" s="266">
        <f>AI275-AH275</f>
        <v>0</v>
      </c>
      <c r="AJ312" s="266">
        <f>AJ275-AI275</f>
        <v>0</v>
      </c>
      <c r="AK312" s="266">
        <f>AK275-AJ275</f>
        <v>0</v>
      </c>
      <c r="AL312" s="266">
        <f>SUM(AH312:AK312)</f>
        <v>0</v>
      </c>
      <c r="AM312" s="266">
        <f>AM275-AL275</f>
        <v>0</v>
      </c>
      <c r="AN312" s="266">
        <f>AN275-AM275</f>
        <v>0</v>
      </c>
      <c r="AO312" s="266">
        <f>AO275-AN275</f>
        <v>0</v>
      </c>
      <c r="AP312" s="266">
        <f>AP275-AO275</f>
        <v>0</v>
      </c>
      <c r="AQ312" s="266">
        <f>SUM(AM312:AP312)</f>
        <v>0</v>
      </c>
      <c r="AR312" s="266">
        <f>AR275-AQ275</f>
        <v>0</v>
      </c>
      <c r="AS312" s="266">
        <f>AS275-AR275</f>
        <v>0</v>
      </c>
      <c r="AT312" s="266">
        <f>AT275-AS275</f>
        <v>0</v>
      </c>
      <c r="AU312" s="266">
        <f>AU275-AT275</f>
        <v>0</v>
      </c>
      <c r="AV312" s="266">
        <f>SUM(AR312:AU312)</f>
        <v>0</v>
      </c>
      <c r="AW312" s="266">
        <f>AW275-AV275</f>
        <v>0</v>
      </c>
      <c r="AX312" s="266">
        <f>AX275-AW275</f>
        <v>0</v>
      </c>
      <c r="AY312" s="266">
        <f>AY275-AX275</f>
        <v>0</v>
      </c>
      <c r="AZ312" s="266">
        <f>AZ275-AY275</f>
        <v>0</v>
      </c>
      <c r="BA312" s="266">
        <f>SUM(AW312:AZ312)</f>
        <v>0</v>
      </c>
      <c r="BB312" s="266">
        <f>BB275-BA275</f>
        <v>0</v>
      </c>
      <c r="BC312" s="266">
        <f>BC275-BB275</f>
        <v>0</v>
      </c>
      <c r="BD312" s="266">
        <f>BD275-BC275</f>
        <v>0</v>
      </c>
      <c r="BE312" s="266">
        <f>BE275-BD275</f>
        <v>0</v>
      </c>
      <c r="BF312" s="266">
        <f>SUM(BB312:BE312)</f>
        <v>0</v>
      </c>
      <c r="BG312" s="266">
        <f>BG275-BF275</f>
        <v>0</v>
      </c>
      <c r="BH312" s="266">
        <f>BH275-BG275</f>
        <v>0</v>
      </c>
      <c r="BI312" s="266">
        <f>BI275-BH275</f>
        <v>0</v>
      </c>
      <c r="BJ312" s="266">
        <f>BJ275-BI275</f>
        <v>0</v>
      </c>
      <c r="BK312" s="266">
        <f>SUM(BG312:BJ312)</f>
        <v>0</v>
      </c>
      <c r="BL312" s="266">
        <f>BL275-BK275</f>
        <v>0</v>
      </c>
      <c r="BM312" s="266">
        <f>BM275-BL275</f>
        <v>0</v>
      </c>
      <c r="BN312" s="266">
        <f>BN275-BM275</f>
        <v>0</v>
      </c>
      <c r="BO312" s="266">
        <f>BO275-BN275</f>
        <v>0</v>
      </c>
      <c r="BP312" s="266">
        <f>SUM(BL312:BO312)</f>
        <v>0</v>
      </c>
      <c r="BQ312" s="266">
        <f>BQ275-BP275</f>
        <v>0</v>
      </c>
      <c r="BR312" s="266">
        <f>BR275-BQ275</f>
        <v>0</v>
      </c>
      <c r="BS312" s="266">
        <f>BS275-BR275</f>
        <v>0</v>
      </c>
      <c r="BT312" s="266">
        <f>BT275-BS275</f>
        <v>0</v>
      </c>
      <c r="BU312" s="266">
        <f>SUM(BQ312:BT312)</f>
        <v>0</v>
      </c>
      <c r="BV312" s="266">
        <f>BV275-BU275</f>
        <v>0</v>
      </c>
      <c r="BW312" s="266">
        <f>BW275-BV275</f>
        <v>0</v>
      </c>
      <c r="BX312" s="266">
        <f>BX275-BW275</f>
        <v>0</v>
      </c>
      <c r="BY312" s="266">
        <f>BY275-BX275</f>
        <v>0</v>
      </c>
      <c r="BZ312" s="266">
        <f>SUM(BV312:BY312)</f>
        <v>0</v>
      </c>
      <c r="CA312" s="266">
        <f>CA275-BZ275</f>
        <v>0</v>
      </c>
      <c r="CB312" s="266">
        <f>CB275-CA275</f>
        <v>0</v>
      </c>
      <c r="CC312" s="266">
        <f>CC275-CB275</f>
        <v>0</v>
      </c>
      <c r="CD312" s="266">
        <f>CD275-CC275</f>
        <v>0</v>
      </c>
      <c r="CE312" s="266">
        <f>SUM(CA312:CD312)</f>
        <v>0</v>
      </c>
      <c r="CF312" s="266">
        <f>CF275-CE275</f>
        <v>0</v>
      </c>
      <c r="CG312" s="266">
        <f>CG275-CF275</f>
        <v>0</v>
      </c>
      <c r="CH312" s="266">
        <f>CH275-CG275</f>
        <v>0</v>
      </c>
      <c r="CI312" s="266">
        <f>CI275-CH275</f>
        <v>0</v>
      </c>
      <c r="CJ312" s="266">
        <f>SUM(CF312:CI312)</f>
        <v>0</v>
      </c>
      <c r="CK312" s="266">
        <f>CK275-CJ275</f>
        <v>0</v>
      </c>
      <c r="CL312" s="266">
        <f>CL275-CK275</f>
        <v>0</v>
      </c>
      <c r="CM312" s="266">
        <f>CM275-CL275</f>
        <v>0</v>
      </c>
      <c r="CN312" s="266">
        <f>CN275-CM275</f>
        <v>0</v>
      </c>
      <c r="CO312" s="266">
        <f>SUM(CK312:CN312)</f>
        <v>0</v>
      </c>
      <c r="CP312" s="266">
        <f>CP275-CO275</f>
        <v>0</v>
      </c>
      <c r="CQ312" s="266">
        <f>CQ275-CP275</f>
        <v>0</v>
      </c>
      <c r="CR312" s="266">
        <f>CR275-CQ275</f>
        <v>0</v>
      </c>
      <c r="CS312" s="266">
        <f>CS275-CR275</f>
        <v>0</v>
      </c>
      <c r="CT312" s="266">
        <f>SUM(CP312:CS312)</f>
        <v>0</v>
      </c>
      <c r="CU312" s="266">
        <f>CU275-CT275</f>
        <v>0</v>
      </c>
      <c r="CV312" s="266">
        <f>CV275-CU275</f>
        <v>0</v>
      </c>
      <c r="CW312" s="266">
        <f>CW275-CV275</f>
        <v>0</v>
      </c>
      <c r="CX312" s="266">
        <f>CX275-CW275</f>
        <v>0</v>
      </c>
      <c r="CY312" s="266">
        <f>SUM(CU312:CX312)</f>
        <v>0</v>
      </c>
    </row>
    <row r="313" ht="12.75" customHeight="1" s="254">
      <c r="C313" s="264" t="inlineStr">
        <is>
          <t>Common and preferred dividends</t>
        </is>
      </c>
      <c r="D313" s="266" t="n"/>
      <c r="E313" s="266">
        <f>(E276-D276)-E283</f>
        <v>0</v>
      </c>
      <c r="F313" s="266">
        <f>(F276-E276)-F283</f>
        <v>0</v>
      </c>
      <c r="G313" s="266">
        <f>(G276-F276)-G283</f>
        <v>0</v>
      </c>
      <c r="H313" s="266">
        <f>SUM(D313:G313)</f>
        <v>0</v>
      </c>
      <c r="I313" s="266">
        <f>(I276-H276)-I283</f>
        <v>158054</v>
      </c>
      <c r="J313" s="266">
        <f>(J276-I276)-J283</f>
        <v>857</v>
      </c>
      <c r="K313" s="266">
        <f>(K276-J276)-K283</f>
        <v>-4162</v>
      </c>
      <c r="L313" s="266">
        <f>(L276-K276)-L283</f>
        <v>-2885</v>
      </c>
      <c r="M313" s="266">
        <f>SUM(I313:L313)</f>
        <v>151864</v>
      </c>
      <c r="N313" s="266">
        <f>(N276-M276)-N283</f>
        <v>-3084</v>
      </c>
      <c r="O313" s="266">
        <f>(O276-N276)-O283</f>
        <v>-3538</v>
      </c>
      <c r="P313" s="266">
        <f>(P276-O276)-P283</f>
        <v>-10720</v>
      </c>
      <c r="Q313" s="266">
        <f>(Q276-P276)-Q283</f>
        <v>-6460</v>
      </c>
      <c r="R313" s="266">
        <f>SUM(N313:Q313)</f>
        <v>-23802</v>
      </c>
      <c r="S313" s="266">
        <f>(S276-R276)-S283</f>
        <v>-5864</v>
      </c>
      <c r="T313" s="266">
        <f>(T276-S276)-T283</f>
        <v>-5990</v>
      </c>
      <c r="U313" s="266">
        <f>(U276-T276)-U283</f>
        <v>-6306</v>
      </c>
      <c r="V313" s="266">
        <f>(V276-U276)-V283</f>
        <v>-5066</v>
      </c>
      <c r="W313" s="266">
        <f>SUM(S313:V313)</f>
        <v>-23226</v>
      </c>
      <c r="X313" s="266">
        <f>(X276-W276)-X283</f>
        <v>-7400</v>
      </c>
      <c r="Y313" s="266">
        <f>(Y276-X276)-Y283</f>
        <v>-4675</v>
      </c>
      <c r="Z313" s="266">
        <f>(Z276-Y276)-Z283</f>
        <v>-2025</v>
      </c>
      <c r="AA313" s="266">
        <f>(AA276-Z276)-AA283</f>
        <v>-10298</v>
      </c>
      <c r="AB313" s="266">
        <f>SUM(X313:AA313)</f>
        <v>-24398</v>
      </c>
      <c r="AC313" s="266">
        <f>(AC276-AB276)-AC283</f>
        <v>-4270</v>
      </c>
      <c r="AD313" s="266">
        <f>(AD276-AC276)-AD283</f>
        <v>-1277</v>
      </c>
      <c r="AE313" s="266">
        <f>(AE276-AD276)-AE283</f>
        <v>-10636</v>
      </c>
      <c r="AF313" s="266">
        <f>(AF276-AE276)-AF283</f>
        <v>-5565</v>
      </c>
      <c r="AG313" s="266">
        <f>SUM(AC313:AF313)</f>
        <v>-21748</v>
      </c>
      <c r="AH313" s="266">
        <f>(AH276-AG276)-AH283</f>
        <v>-6503</v>
      </c>
      <c r="AI313" s="266">
        <f>(AI276-AH276)-AI283</f>
        <v>-3618</v>
      </c>
      <c r="AJ313" s="266">
        <f>(AJ276-AI276)-AJ283</f>
        <v>0</v>
      </c>
      <c r="AK313" s="266">
        <f>(AK276-AJ276)-AK283</f>
        <v>0</v>
      </c>
      <c r="AL313" s="266">
        <f>SUM(AH313:AK313)</f>
        <v>-10121</v>
      </c>
      <c r="AM313" s="266">
        <f>(AM276-AL276)-AM283</f>
        <v>0</v>
      </c>
      <c r="AN313" s="266">
        <f>(AN276-AM276)-AN283</f>
        <v>0</v>
      </c>
      <c r="AO313" s="266">
        <f>(AO276-AN276)-AO283</f>
        <v>0</v>
      </c>
      <c r="AP313" s="266">
        <f>(AP276-AO276)-AP283</f>
        <v>0</v>
      </c>
      <c r="AQ313" s="266">
        <f>SUM(AM313:AP313)</f>
        <v>0</v>
      </c>
      <c r="AR313" s="266">
        <f>(AR276-AQ276)-AR283</f>
        <v>0</v>
      </c>
      <c r="AS313" s="266">
        <f>(AS276-AR276)-AS283</f>
        <v>0</v>
      </c>
      <c r="AT313" s="266">
        <f>(AT276-AS276)-AT283</f>
        <v>0</v>
      </c>
      <c r="AU313" s="266">
        <f>(AU276-AT276)-AU283</f>
        <v>0</v>
      </c>
      <c r="AV313" s="266">
        <f>SUM(AR313:AU313)</f>
        <v>0</v>
      </c>
      <c r="AW313" s="266">
        <f>(AW276-AV276)-AW283</f>
        <v>0</v>
      </c>
      <c r="AX313" s="266">
        <f>(AX276-AW276)-AX283</f>
        <v>0</v>
      </c>
      <c r="AY313" s="266">
        <f>(AY276-AX276)-AY283</f>
        <v>0</v>
      </c>
      <c r="AZ313" s="266">
        <f>(AZ276-AY276)-AZ283</f>
        <v>0</v>
      </c>
      <c r="BA313" s="266">
        <f>SUM(AW313:AZ313)</f>
        <v>0</v>
      </c>
      <c r="BB313" s="266">
        <f>(BB276-BA276)-BB283</f>
        <v>0</v>
      </c>
      <c r="BC313" s="266">
        <f>(BC276-BB276)-BC283</f>
        <v>0</v>
      </c>
      <c r="BD313" s="266">
        <f>(BD276-BC276)-BD283</f>
        <v>0</v>
      </c>
      <c r="BE313" s="266">
        <f>(BE276-BD276)-BE283</f>
        <v>0</v>
      </c>
      <c r="BF313" s="266">
        <f>SUM(BB313:BE313)</f>
        <v>0</v>
      </c>
      <c r="BG313" s="266">
        <f>(BG276-BF276)-BG283</f>
        <v>0</v>
      </c>
      <c r="BH313" s="266">
        <f>(BH276-BG276)-BH283</f>
        <v>0</v>
      </c>
      <c r="BI313" s="266">
        <f>(BI276-BH276)-BI283</f>
        <v>0</v>
      </c>
      <c r="BJ313" s="266">
        <f>(BJ276-BI276)-BJ283</f>
        <v>0</v>
      </c>
      <c r="BK313" s="266">
        <f>SUM(BG313:BJ313)</f>
        <v>0</v>
      </c>
      <c r="BL313" s="266">
        <f>(BL276-BK276)-BL283</f>
        <v>0</v>
      </c>
      <c r="BM313" s="266">
        <f>(BM276-BL276)-BM283</f>
        <v>0</v>
      </c>
      <c r="BN313" s="266">
        <f>(BN276-BM276)-BN283</f>
        <v>0</v>
      </c>
      <c r="BO313" s="266">
        <f>(BO276-BN276)-BO283</f>
        <v>0</v>
      </c>
      <c r="BP313" s="266">
        <f>SUM(BL313:BO313)</f>
        <v>0</v>
      </c>
      <c r="BQ313" s="266">
        <f>(BQ276-BP276)-BQ283</f>
        <v>0</v>
      </c>
      <c r="BR313" s="266">
        <f>(BR276-BQ276)-BR283</f>
        <v>0</v>
      </c>
      <c r="BS313" s="266">
        <f>(BS276-BR276)-BS283</f>
        <v>0</v>
      </c>
      <c r="BT313" s="266">
        <f>(BT276-BS276)-BT283</f>
        <v>0</v>
      </c>
      <c r="BU313" s="266">
        <f>SUM(BQ313:BT313)</f>
        <v>0</v>
      </c>
      <c r="BV313" s="266">
        <f>(BV276-BU276)-BV283</f>
        <v>0</v>
      </c>
      <c r="BW313" s="266">
        <f>(BW276-BV276)-BW283</f>
        <v>0</v>
      </c>
      <c r="BX313" s="266">
        <f>(BX276-BW276)-BX283</f>
        <v>0</v>
      </c>
      <c r="BY313" s="266">
        <f>(BY276-BX276)-BY283</f>
        <v>0</v>
      </c>
      <c r="BZ313" s="266">
        <f>SUM(BV313:BY313)</f>
        <v>0</v>
      </c>
      <c r="CA313" s="266">
        <f>(CA276-BZ276)-CA283</f>
        <v>0</v>
      </c>
      <c r="CB313" s="266">
        <f>(CB276-CA276)-CB283</f>
        <v>0</v>
      </c>
      <c r="CC313" s="266">
        <f>(CC276-CB276)-CC283</f>
        <v>0</v>
      </c>
      <c r="CD313" s="266">
        <f>(CD276-CC276)-CD283</f>
        <v>0</v>
      </c>
      <c r="CE313" s="266">
        <f>SUM(CA313:CD313)</f>
        <v>0</v>
      </c>
      <c r="CF313" s="266">
        <f>(CF276-CE276)-CF283</f>
        <v>0</v>
      </c>
      <c r="CG313" s="266">
        <f>(CG276-CF276)-CG283</f>
        <v>0</v>
      </c>
      <c r="CH313" s="266">
        <f>(CH276-CG276)-CH283</f>
        <v>0</v>
      </c>
      <c r="CI313" s="266">
        <f>(CI276-CH276)-CI283</f>
        <v>0</v>
      </c>
      <c r="CJ313" s="266">
        <f>SUM(CF313:CI313)</f>
        <v>0</v>
      </c>
      <c r="CK313" s="266">
        <f>(CK276-CJ276)-CK283</f>
        <v>0</v>
      </c>
      <c r="CL313" s="266">
        <f>(CL276-CK276)-CL283</f>
        <v>0</v>
      </c>
      <c r="CM313" s="266">
        <f>(CM276-CL276)-CM283</f>
        <v>0</v>
      </c>
      <c r="CN313" s="266">
        <f>(CN276-CM276)-CN283</f>
        <v>0</v>
      </c>
      <c r="CO313" s="266">
        <f>SUM(CK313:CN313)</f>
        <v>0</v>
      </c>
      <c r="CP313" s="266">
        <f>(CP276-CO276)-CP283</f>
        <v>0</v>
      </c>
      <c r="CQ313" s="266">
        <f>(CQ276-CP276)-CQ283</f>
        <v>0</v>
      </c>
      <c r="CR313" s="266">
        <f>(CR276-CQ276)-CR283</f>
        <v>0</v>
      </c>
      <c r="CS313" s="266">
        <f>(CS276-CR276)-CS283</f>
        <v>0</v>
      </c>
      <c r="CT313" s="266">
        <f>SUM(CP313:CS313)</f>
        <v>0</v>
      </c>
      <c r="CU313" s="266">
        <f>(CU276-CT276)-CU283</f>
        <v>0</v>
      </c>
      <c r="CV313" s="266">
        <f>(CV276-CU276)-CV283</f>
        <v>0</v>
      </c>
      <c r="CW313" s="266">
        <f>(CW276-CV276)-CW283</f>
        <v>0</v>
      </c>
      <c r="CX313" s="266">
        <f>(CX276-CW276)-CX283</f>
        <v>0</v>
      </c>
      <c r="CY313" s="266">
        <f>SUM(CU313:CX313)</f>
        <v>0</v>
      </c>
    </row>
    <row r="314" ht="12.75" customHeight="1" s="254">
      <c r="C314" s="268" t="inlineStr">
        <is>
          <t>Dividends to minority interests</t>
        </is>
      </c>
      <c r="D314" s="266" t="n"/>
      <c r="E314" s="266">
        <f>(E254-D254)+E142</f>
        <v>0</v>
      </c>
      <c r="F314" s="266">
        <f>(F254-E254)+F142</f>
        <v>0</v>
      </c>
      <c r="G314" s="266">
        <f>(G254-F254)+G142</f>
        <v>0</v>
      </c>
      <c r="H314" s="266">
        <f>SUM(D314:G314)</f>
        <v>0</v>
      </c>
      <c r="I314" s="266">
        <f>(I254-H254)+I142</f>
        <v>3115</v>
      </c>
      <c r="J314" s="266">
        <f>(J254-I254)+J142</f>
        <v>-126</v>
      </c>
      <c r="K314" s="266">
        <f>(K254-J254)+K142</f>
        <v>-81</v>
      </c>
      <c r="L314" s="266">
        <f>(L254-K254)+L142</f>
        <v>-77</v>
      </c>
      <c r="M314" s="266">
        <f>SUM(I314:L314)</f>
        <v>2831</v>
      </c>
      <c r="N314" s="266">
        <f>(N254-M254)+N142</f>
        <v>-28</v>
      </c>
      <c r="O314" s="266">
        <f>(O254-N254)+O142</f>
        <v>66</v>
      </c>
      <c r="P314" s="266">
        <f>(P254-O254)+P142</f>
        <v>-188</v>
      </c>
      <c r="Q314" s="266">
        <f>(Q254-P254)+Q142</f>
        <v>-1649</v>
      </c>
      <c r="R314" s="266">
        <f>SUM(N314:Q314)</f>
        <v>-1799</v>
      </c>
      <c r="S314" s="266">
        <f>(S254-R254)+S142</f>
        <v>25</v>
      </c>
      <c r="T314" s="266">
        <f>(T254-S254)+T142</f>
        <v>-601</v>
      </c>
      <c r="U314" s="266">
        <f>(U254-T254)+U142</f>
        <v>-20</v>
      </c>
      <c r="V314" s="266">
        <f>(V254-U254)+V142</f>
        <v>-52</v>
      </c>
      <c r="W314" s="266">
        <f>SUM(S314:V314)</f>
        <v>-648</v>
      </c>
      <c r="X314" s="266">
        <f>(X254-W254)+X142</f>
        <v>-98</v>
      </c>
      <c r="Y314" s="266">
        <f>(Y254-X254)+Y142</f>
        <v>-89</v>
      </c>
      <c r="Z314" s="266">
        <f>(Z254-Y254)+Z142</f>
        <v>-18</v>
      </c>
      <c r="AA314" s="266">
        <f>(AA254-Z254)+AA142</f>
        <v>-117</v>
      </c>
      <c r="AB314" s="266">
        <f>SUM(X314:AA314)</f>
        <v>-322</v>
      </c>
      <c r="AC314" s="266">
        <f>(AC254-AB254)+AC142</f>
        <v>-100</v>
      </c>
      <c r="AD314" s="266">
        <f>(AD254-AC254)+AD142</f>
        <v>52</v>
      </c>
      <c r="AE314" s="266">
        <f>(AE254-AD254)+AE142</f>
        <v>-50</v>
      </c>
      <c r="AF314" s="266">
        <f>(AF254-AE254)+AF142</f>
        <v>-1117</v>
      </c>
      <c r="AG314" s="266">
        <f>SUM(AC314:AF314)</f>
        <v>-1215</v>
      </c>
      <c r="AH314" s="266">
        <f>(AH254-AG254)+AH142</f>
        <v>26</v>
      </c>
      <c r="AI314" s="266">
        <f>(AI254-AH254)+AI142</f>
        <v>-7</v>
      </c>
      <c r="AJ314" s="266">
        <f>(AJ254-AI254)+AJ142</f>
        <v>0</v>
      </c>
      <c r="AK314" s="266">
        <f>(AK254-AJ254)+AK142</f>
        <v>0</v>
      </c>
      <c r="AL314" s="266">
        <f>SUM(AH314:AK314)</f>
        <v>19</v>
      </c>
      <c r="AM314" s="266">
        <f>(AM254-AL254)+AM142</f>
        <v>0</v>
      </c>
      <c r="AN314" s="266">
        <f>(AN254-AM254)+AN142</f>
        <v>0</v>
      </c>
      <c r="AO314" s="266">
        <f>(AO254-AN254)+AO142</f>
        <v>0</v>
      </c>
      <c r="AP314" s="266">
        <f>(AP254-AO254)+AP142</f>
        <v>0</v>
      </c>
      <c r="AQ314" s="266">
        <f>SUM(AM314:AP314)</f>
        <v>0</v>
      </c>
      <c r="AR314" s="266">
        <f>(AR254-AQ254)+AR142</f>
        <v>0</v>
      </c>
      <c r="AS314" s="266">
        <f>(AS254-AR254)+AS142</f>
        <v>0</v>
      </c>
      <c r="AT314" s="266">
        <f>(AT254-AS254)+AT142</f>
        <v>0</v>
      </c>
      <c r="AU314" s="266">
        <f>(AU254-AT254)+AU142</f>
        <v>0</v>
      </c>
      <c r="AV314" s="266">
        <f>SUM(AR314:AU314)</f>
        <v>0</v>
      </c>
      <c r="AW314" s="266">
        <f>(AW254-AV254)+AW142</f>
        <v>0</v>
      </c>
      <c r="AX314" s="266">
        <f>(AX254-AW254)+AX142</f>
        <v>0</v>
      </c>
      <c r="AY314" s="266">
        <f>(AY254-AX254)+AY142</f>
        <v>0</v>
      </c>
      <c r="AZ314" s="266">
        <f>(AZ254-AY254)+AZ142</f>
        <v>0</v>
      </c>
      <c r="BA314" s="266">
        <f>SUM(AW314:AZ314)</f>
        <v>0</v>
      </c>
      <c r="BB314" s="266">
        <f>(BB254-BA254)+BB142</f>
        <v>0</v>
      </c>
      <c r="BC314" s="266">
        <f>(BC254-BB254)+BC142</f>
        <v>0</v>
      </c>
      <c r="BD314" s="266">
        <f>(BD254-BC254)+BD142</f>
        <v>0</v>
      </c>
      <c r="BE314" s="266">
        <f>(BE254-BD254)+BE142</f>
        <v>0</v>
      </c>
      <c r="BF314" s="266">
        <f>SUM(BB314:BE314)</f>
        <v>0</v>
      </c>
      <c r="BG314" s="266">
        <f>(BG254-BF254)+BG142</f>
        <v>0</v>
      </c>
      <c r="BH314" s="266">
        <f>(BH254-BG254)+BH142</f>
        <v>0</v>
      </c>
      <c r="BI314" s="266">
        <f>(BI254-BH254)+BI142</f>
        <v>0</v>
      </c>
      <c r="BJ314" s="266">
        <f>(BJ254-BI254)+BJ142</f>
        <v>0</v>
      </c>
      <c r="BK314" s="266">
        <f>SUM(BG314:BJ314)</f>
        <v>0</v>
      </c>
      <c r="BL314" s="266">
        <f>(BL254-BK254)+BL142</f>
        <v>0</v>
      </c>
      <c r="BM314" s="266">
        <f>(BM254-BL254)+BM142</f>
        <v>0</v>
      </c>
      <c r="BN314" s="266">
        <f>(BN254-BM254)+BN142</f>
        <v>0</v>
      </c>
      <c r="BO314" s="266">
        <f>(BO254-BN254)+BO142</f>
        <v>0</v>
      </c>
      <c r="BP314" s="266">
        <f>SUM(BL314:BO314)</f>
        <v>0</v>
      </c>
      <c r="BQ314" s="266">
        <f>(BQ254-BP254)+BQ142</f>
        <v>0</v>
      </c>
      <c r="BR314" s="266">
        <f>(BR254-BQ254)+BR142</f>
        <v>0</v>
      </c>
      <c r="BS314" s="266">
        <f>(BS254-BR254)+BS142</f>
        <v>0</v>
      </c>
      <c r="BT314" s="266">
        <f>(BT254-BS254)+BT142</f>
        <v>0</v>
      </c>
      <c r="BU314" s="266">
        <f>SUM(BQ314:BT314)</f>
        <v>0</v>
      </c>
      <c r="BV314" s="266">
        <f>(BV254-BU254)+BV142</f>
        <v>0</v>
      </c>
      <c r="BW314" s="266">
        <f>(BW254-BV254)+BW142</f>
        <v>0</v>
      </c>
      <c r="BX314" s="266">
        <f>(BX254-BW254)+BX142</f>
        <v>0</v>
      </c>
      <c r="BY314" s="266">
        <f>(BY254-BX254)+BY142</f>
        <v>0</v>
      </c>
      <c r="BZ314" s="266">
        <f>SUM(BV314:BY314)</f>
        <v>0</v>
      </c>
      <c r="CA314" s="266">
        <f>(CA254-BZ254)+CA142</f>
        <v>0</v>
      </c>
      <c r="CB314" s="266">
        <f>(CB254-CA254)+CB142</f>
        <v>0</v>
      </c>
      <c r="CC314" s="266">
        <f>(CC254-CB254)+CC142</f>
        <v>0</v>
      </c>
      <c r="CD314" s="266">
        <f>(CD254-CC254)+CD142</f>
        <v>0</v>
      </c>
      <c r="CE314" s="266">
        <f>SUM(CA314:CD314)</f>
        <v>0</v>
      </c>
      <c r="CF314" s="266">
        <f>(CF254-CE254)+CF142</f>
        <v>0</v>
      </c>
      <c r="CG314" s="266">
        <f>(CG254-CF254)+CG142</f>
        <v>0</v>
      </c>
      <c r="CH314" s="266">
        <f>(CH254-CG254)+CH142</f>
        <v>0</v>
      </c>
      <c r="CI314" s="266">
        <f>(CI254-CH254)+CI142</f>
        <v>0</v>
      </c>
      <c r="CJ314" s="266">
        <f>SUM(CF314:CI314)</f>
        <v>0</v>
      </c>
      <c r="CK314" s="266">
        <f>(CK254-CJ254)+CK142</f>
        <v>0</v>
      </c>
      <c r="CL314" s="266">
        <f>(CL254-CK254)+CL142</f>
        <v>0</v>
      </c>
      <c r="CM314" s="266">
        <f>(CM254-CL254)+CM142</f>
        <v>0</v>
      </c>
      <c r="CN314" s="266">
        <f>(CN254-CM254)+CN142</f>
        <v>0</v>
      </c>
      <c r="CO314" s="266">
        <f>SUM(CK314:CN314)</f>
        <v>0</v>
      </c>
      <c r="CP314" s="266">
        <f>(CP254-CO254)+CP142</f>
        <v>0</v>
      </c>
      <c r="CQ314" s="266">
        <f>(CQ254-CP254)+CQ142</f>
        <v>0</v>
      </c>
      <c r="CR314" s="266">
        <f>(CR254-CQ254)+CR142</f>
        <v>0</v>
      </c>
      <c r="CS314" s="266">
        <f>(CS254-CR254)+CS142</f>
        <v>0</v>
      </c>
      <c r="CT314" s="266">
        <f>SUM(CP314:CS314)</f>
        <v>0</v>
      </c>
      <c r="CU314" s="266">
        <f>(CU254-CT254)+CU142</f>
        <v>0</v>
      </c>
      <c r="CV314" s="266">
        <f>(CV254-CU254)+CV142</f>
        <v>0</v>
      </c>
      <c r="CW314" s="266">
        <f>(CW254-CV254)+CW142</f>
        <v>0</v>
      </c>
      <c r="CX314" s="266">
        <f>(CX254-CW254)+CX142</f>
        <v>0</v>
      </c>
      <c r="CY314" s="266">
        <f>SUM(CU314:CX314)</f>
        <v>0</v>
      </c>
    </row>
    <row r="315" ht="12.75" customHeight="1" s="254">
      <c r="C315" s="269" t="inlineStr">
        <is>
          <t>Increases / (decreases) in debt</t>
        </is>
      </c>
      <c r="D315" s="266" t="n"/>
      <c r="E315" s="266">
        <f>SUM(E218:E220,E223,E244,E241)-SUM(D218:D220,D223,D244,D241)</f>
        <v>0</v>
      </c>
      <c r="F315" s="266">
        <f>SUM(F218:F220,F223,F244,F241)-SUM(E218:E220,E223,E244,E241)</f>
        <v>0</v>
      </c>
      <c r="G315" s="266">
        <f>SUM(G218:G220,G223,G244,G241)-SUM(F218:F220,F223,F244,F241)</f>
        <v>0</v>
      </c>
      <c r="H315" s="266">
        <f>SUM(D315:G315)</f>
        <v>0</v>
      </c>
      <c r="I315" s="266">
        <f>SUM(I218:I220,I223,I244,I241)-SUM(H218:H220,H223,H244,H241)</f>
        <v>102369</v>
      </c>
      <c r="J315" s="266">
        <f>SUM(J218:J220,J223,J244,J241)-SUM(I218:I220,I223,I244,I241)</f>
        <v>-2293</v>
      </c>
      <c r="K315" s="266">
        <f>SUM(K218:K220,K223,K244,K241)-SUM(J218:J220,J223,J244,J241)</f>
        <v>-4685</v>
      </c>
      <c r="L315" s="266">
        <f>SUM(L218:L220,L223,L244,L241)-SUM(K218:K220,K223,K244,K241)</f>
        <v>-6305</v>
      </c>
      <c r="M315" s="266">
        <f>SUM(I315:L315)</f>
        <v>89086</v>
      </c>
      <c r="N315" s="266">
        <f>SUM(N218:N220,N223,N244,N241)-SUM(M218:M220,M223,M244,M241)</f>
        <v>-3038</v>
      </c>
      <c r="O315" s="266">
        <f>SUM(O218:O220,O223,O244,O241)-SUM(N218:N220,N223,N244,N241)</f>
        <v>-2307</v>
      </c>
      <c r="P315" s="266">
        <f>SUM(P218:P220,P223,P244,P241)-SUM(O218:O220,O223,O244,O241)</f>
        <v>-1751</v>
      </c>
      <c r="Q315" s="266">
        <f>SUM(Q218:Q220,Q223,Q244,Q241)-SUM(P218:P220,P223,P244,P241)</f>
        <v>1805</v>
      </c>
      <c r="R315" s="266">
        <f>SUM(N315:Q315)</f>
        <v>-5291</v>
      </c>
      <c r="S315" s="266">
        <f>SUM(S218:S220,S223,S244,S241)-SUM(R218:R220,R223,R244,R241)</f>
        <v>1347</v>
      </c>
      <c r="T315" s="266">
        <f>SUM(T218:T220,T223,T244,T241)-SUM(S218:S220,S223,S244,S241)</f>
        <v>-776</v>
      </c>
      <c r="U315" s="266">
        <f>SUM(U218:U220,U223,U244,U241)-SUM(T218:T220,T223,T244,T241)</f>
        <v>-2219</v>
      </c>
      <c r="V315" s="266">
        <f>SUM(V218:V220,V223,V244,V241)-SUM(U218:U220,U223,U244,U241)</f>
        <v>-606</v>
      </c>
      <c r="W315" s="266">
        <f>SUM(S315:V315)</f>
        <v>-2254</v>
      </c>
      <c r="X315" s="266">
        <f>SUM(X218:X220,X223,X244,X241)-SUM(W218:W220,W223,W244,W241)</f>
        <v>-1609</v>
      </c>
      <c r="Y315" s="266">
        <f>SUM(Y218:Y220,Y223,Y244,Y241)-SUM(X218:X220,X223,X244,X241)</f>
        <v>-4464</v>
      </c>
      <c r="Z315" s="266">
        <f>SUM(Z218:Z220,Z223,Z244,Z241)-SUM(Y218:Y220,Y223,Y244,Y241)</f>
        <v>1144</v>
      </c>
      <c r="AA315" s="266">
        <f>SUM(AA218:AA220,AA223,AA244,AA241)-SUM(Z218:Z220,Z223,Z244,Z241)</f>
        <v>466</v>
      </c>
      <c r="AB315" s="266">
        <f>SUM(X315:AA315)</f>
        <v>-4463</v>
      </c>
      <c r="AC315" s="266">
        <f>SUM(AC218:AC220,AC223,AC244,AC241)-SUM(AB218:AB220,AB223,AB244,AB241)</f>
        <v>-567</v>
      </c>
      <c r="AD315" s="266">
        <f>SUM(AD218:AD220,AD223,AD244,AD241)-SUM(AC218:AC220,AC223,AC244,AC241)</f>
        <v>-836</v>
      </c>
      <c r="AE315" s="266">
        <f>SUM(AE218:AE220,AE223,AE244,AE241)-SUM(AD218:AD220,AD223,AD244,AD241)</f>
        <v>-1698</v>
      </c>
      <c r="AF315" s="266">
        <f>SUM(AF218:AF220,AF223,AF244,AF241)-SUM(AE218:AE220,AE223,AE244,AE241)</f>
        <v>1666</v>
      </c>
      <c r="AG315" s="266">
        <f>SUM(AC315:AF315)</f>
        <v>-1435</v>
      </c>
      <c r="AH315" s="266">
        <f>SUM(AH218:AH220,AH223,AH244,AH241)-SUM(AG218:AG220,AG223,AG244,AG241)</f>
        <v>2</v>
      </c>
      <c r="AI315" s="266">
        <f>SUM(AI218:AI220,AI223,AI244,AI241)-SUM(AH218:AH220,AH223,AH244,AH241)</f>
        <v>-2569</v>
      </c>
      <c r="AJ315" s="266">
        <f>SUM(AJ218:AJ220,AJ223,AJ244,AJ241)-SUM(AI218:AI220,AI223,AI244,AI241)</f>
        <v>0</v>
      </c>
      <c r="AK315" s="266">
        <f>SUM(AK218:AK220,AK223,AK244,AK241)-SUM(AJ218:AJ220,AJ223,AJ244,AJ241)</f>
        <v>0</v>
      </c>
      <c r="AL315" s="266">
        <f>SUM(AH315:AK315)</f>
        <v>-2567</v>
      </c>
      <c r="AM315" s="266">
        <f>SUM(AM218:AM220,AM223,AM244,AM241)-SUM(AL218:AL220,AL223,AL244,AL241)</f>
        <v>0</v>
      </c>
      <c r="AN315" s="266">
        <f>SUM(AN218:AN220,AN223,AN244,AN241)-SUM(AM218:AM220,AM223,AM244,AM241)</f>
        <v>0</v>
      </c>
      <c r="AO315" s="266">
        <f>SUM(AO218:AO220,AO223,AO244,AO241)-SUM(AN218:AN220,AN223,AN244,AN241)</f>
        <v>0</v>
      </c>
      <c r="AP315" s="266">
        <f>SUM(AP218:AP220,AP223,AP244,AP241)-SUM(AO218:AO220,AO223,AO244,AO241)</f>
        <v>0</v>
      </c>
      <c r="AQ315" s="266">
        <f>SUM(AM315:AP315)</f>
        <v>0</v>
      </c>
      <c r="AR315" s="266">
        <f>SUM(AR218:AR220,AR223,AR244,AR241)-SUM(AQ218:AQ220,AQ223,AQ244,AQ241)</f>
        <v>0</v>
      </c>
      <c r="AS315" s="266">
        <f>SUM(AS218:AS220,AS223,AS244,AS241)-SUM(AR218:AR220,AR223,AR244,AR241)</f>
        <v>0</v>
      </c>
      <c r="AT315" s="266">
        <f>SUM(AT218:AT220,AT223,AT244,AT241)-SUM(AS218:AS220,AS223,AS244,AS241)</f>
        <v>0</v>
      </c>
      <c r="AU315" s="266">
        <f>SUM(AU218:AU220,AU223,AU244,AU241)-SUM(AT218:AT220,AT223,AT244,AT241)</f>
        <v>0</v>
      </c>
      <c r="AV315" s="266">
        <f>SUM(AR315:AU315)</f>
        <v>0</v>
      </c>
      <c r="AW315" s="266">
        <f>SUM(AW218:AW220,AW223,AW244,AW241)-SUM(AV218:AV220,AV223,AV244,AV241)</f>
        <v>0</v>
      </c>
      <c r="AX315" s="266">
        <f>SUM(AX218:AX220,AX223,AX244,AX241)-SUM(AW218:AW220,AW223,AW244,AW241)</f>
        <v>0</v>
      </c>
      <c r="AY315" s="266">
        <f>SUM(AY218:AY220,AY223,AY244,AY241)-SUM(AX218:AX220,AX223,AX244,AX241)</f>
        <v>0</v>
      </c>
      <c r="AZ315" s="266">
        <f>SUM(AZ218:AZ220,AZ223,AZ244,AZ241)-SUM(AY218:AY220,AY223,AY244,AY241)</f>
        <v>0</v>
      </c>
      <c r="BA315" s="266">
        <f>SUM(AW315:AZ315)</f>
        <v>0</v>
      </c>
      <c r="BB315" s="266">
        <f>SUM(BB218:BB220,BB223,BB244,BB241)-SUM(BA218:BA220,BA223,BA244,BA241)</f>
        <v>0</v>
      </c>
      <c r="BC315" s="266">
        <f>SUM(BC218:BC220,BC223,BC244,BC241)-SUM(BB218:BB220,BB223,BB244,BB241)</f>
        <v>0</v>
      </c>
      <c r="BD315" s="266">
        <f>SUM(BD218:BD220,BD223,BD244,BD241)-SUM(BC218:BC220,BC223,BC244,BC241)</f>
        <v>0</v>
      </c>
      <c r="BE315" s="266">
        <f>SUM(BE218:BE220,BE223,BE244,BE241)-SUM(BD218:BD220,BD223,BD244,BD241)</f>
        <v>0</v>
      </c>
      <c r="BF315" s="266">
        <f>SUM(BB315:BE315)</f>
        <v>0</v>
      </c>
      <c r="BG315" s="266">
        <f>SUM(BG218:BG220,BG223,BG244,BG241)-SUM(BF218:BF220,BF223,BF244,BF241)</f>
        <v>0</v>
      </c>
      <c r="BH315" s="266">
        <f>SUM(BH218:BH220,BH223,BH244,BH241)-SUM(BG218:BG220,BG223,BG244,BG241)</f>
        <v>0</v>
      </c>
      <c r="BI315" s="266">
        <f>SUM(BI218:BI220,BI223,BI244,BI241)-SUM(BH218:BH220,BH223,BH244,BH241)</f>
        <v>0</v>
      </c>
      <c r="BJ315" s="266">
        <f>SUM(BJ218:BJ220,BJ223,BJ244,BJ241)-SUM(BI218:BI220,BI223,BI244,BI241)</f>
        <v>0</v>
      </c>
      <c r="BK315" s="266">
        <f>SUM(BG315:BJ315)</f>
        <v>0</v>
      </c>
      <c r="BL315" s="266">
        <f>SUM(BL218:BL220,BL223,BL244,BL241)-SUM(BK218:BK220,BK223,BK244,BK241)</f>
        <v>0</v>
      </c>
      <c r="BM315" s="266">
        <f>SUM(BM218:BM220,BM223,BM244,BM241)-SUM(BL218:BL220,BL223,BL244,BL241)</f>
        <v>0</v>
      </c>
      <c r="BN315" s="266">
        <f>SUM(BN218:BN220,BN223,BN244,BN241)-SUM(BM218:BM220,BM223,BM244,BM241)</f>
        <v>0</v>
      </c>
      <c r="BO315" s="266">
        <f>SUM(BO218:BO220,BO223,BO244,BO241)-SUM(BN218:BN220,BN223,BN244,BN241)</f>
        <v>0</v>
      </c>
      <c r="BP315" s="266">
        <f>SUM(BL315:BO315)</f>
        <v>0</v>
      </c>
      <c r="BQ315" s="266">
        <f>SUM(BQ218:BQ220,BQ223,BQ244,BQ241)-SUM(BP218:BP220,BP223,BP244,BP241)</f>
        <v>0</v>
      </c>
      <c r="BR315" s="266">
        <f>SUM(BR218:BR220,BR223,BR244,BR241)-SUM(BQ218:BQ220,BQ223,BQ244,BQ241)</f>
        <v>0</v>
      </c>
      <c r="BS315" s="266">
        <f>SUM(BS218:BS220,BS223,BS244,BS241)-SUM(BR218:BR220,BR223,BR244,BR241)</f>
        <v>0</v>
      </c>
      <c r="BT315" s="266">
        <f>SUM(BT218:BT220,BT223,BT244,BT241)-SUM(BS218:BS220,BS223,BS244,BS241)</f>
        <v>0</v>
      </c>
      <c r="BU315" s="266">
        <f>SUM(BQ315:BT315)</f>
        <v>0</v>
      </c>
      <c r="BV315" s="266">
        <f>SUM(BV218:BV220,BV223,BV244,BV241)-SUM(BU218:BU220,BU223,BU244,BU241)</f>
        <v>0</v>
      </c>
      <c r="BW315" s="266">
        <f>SUM(BW218:BW220,BW223,BW244,BW241)-SUM(BV218:BV220,BV223,BV244,BV241)</f>
        <v>0</v>
      </c>
      <c r="BX315" s="266">
        <f>SUM(BX218:BX220,BX223,BX244,BX241)-SUM(BW218:BW220,BW223,BW244,BW241)</f>
        <v>0</v>
      </c>
      <c r="BY315" s="266">
        <f>SUM(BY218:BY220,BY223,BY244,BY241)-SUM(BX218:BX220,BX223,BX244,BX241)</f>
        <v>0</v>
      </c>
      <c r="BZ315" s="266">
        <f>SUM(BV315:BY315)</f>
        <v>0</v>
      </c>
      <c r="CA315" s="266">
        <f>SUM(CA218:CA220,CA223,CA244,CA241)-SUM(BZ218:BZ220,BZ223,BZ244,BZ241)</f>
        <v>0</v>
      </c>
      <c r="CB315" s="266">
        <f>SUM(CB218:CB220,CB223,CB244,CB241)-SUM(CA218:CA220,CA223,CA244,CA241)</f>
        <v>0</v>
      </c>
      <c r="CC315" s="266">
        <f>SUM(CC218:CC220,CC223,CC244,CC241)-SUM(CB218:CB220,CB223,CB244,CB241)</f>
        <v>0</v>
      </c>
      <c r="CD315" s="266">
        <f>SUM(CD218:CD220,CD223,CD244,CD241)-SUM(CC218:CC220,CC223,CC244,CC241)</f>
        <v>0</v>
      </c>
      <c r="CE315" s="266">
        <f>SUM(CA315:CD315)</f>
        <v>0</v>
      </c>
      <c r="CF315" s="266">
        <f>SUM(CF218:CF220,CF223,CF244,CF241)-SUM(CE218:CE220,CE223,CE244,CE241)</f>
        <v>0</v>
      </c>
      <c r="CG315" s="266">
        <f>SUM(CG218:CG220,CG223,CG244,CG241)-SUM(CF218:CF220,CF223,CF244,CF241)</f>
        <v>0</v>
      </c>
      <c r="CH315" s="266">
        <f>SUM(CH218:CH220,CH223,CH244,CH241)-SUM(CG218:CG220,CG223,CG244,CG241)</f>
        <v>0</v>
      </c>
      <c r="CI315" s="266">
        <f>SUM(CI218:CI220,CI223,CI244,CI241)-SUM(CH218:CH220,CH223,CH244,CH241)</f>
        <v>0</v>
      </c>
      <c r="CJ315" s="266">
        <f>SUM(CF315:CI315)</f>
        <v>0</v>
      </c>
      <c r="CK315" s="266">
        <f>SUM(CK218:CK220,CK223,CK244,CK241)-SUM(CJ218:CJ220,CJ223,CJ244,CJ241)</f>
        <v>0</v>
      </c>
      <c r="CL315" s="266">
        <f>SUM(CL218:CL220,CL223,CL244,CL241)-SUM(CK218:CK220,CK223,CK244,CK241)</f>
        <v>0</v>
      </c>
      <c r="CM315" s="266">
        <f>SUM(CM218:CM220,CM223,CM244,CM241)-SUM(CL218:CL220,CL223,CL244,CL241)</f>
        <v>0</v>
      </c>
      <c r="CN315" s="266">
        <f>SUM(CN218:CN220,CN223,CN244,CN241)-SUM(CM218:CM220,CM223,CM244,CM241)</f>
        <v>0</v>
      </c>
      <c r="CO315" s="266">
        <f>SUM(CK315:CN315)</f>
        <v>0</v>
      </c>
      <c r="CP315" s="266">
        <f>SUM(CP218:CP220,CP223,CP244,CP241)-SUM(CO218:CO220,CO223,CO244,CO241)</f>
        <v>0</v>
      </c>
      <c r="CQ315" s="266">
        <f>SUM(CQ218:CQ220,CQ223,CQ244,CQ241)-SUM(CP218:CP220,CP223,CP244,CP241)</f>
        <v>0</v>
      </c>
      <c r="CR315" s="266">
        <f>SUM(CR218:CR220,CR223,CR244,CR241)-SUM(CQ218:CQ220,CQ223,CQ244,CQ241)</f>
        <v>0</v>
      </c>
      <c r="CS315" s="266">
        <f>SUM(CS218:CS220,CS223,CS244,CS241)-SUM(CR218:CR220,CR223,CR244,CR241)</f>
        <v>0</v>
      </c>
      <c r="CT315" s="266">
        <f>SUM(CP315:CS315)</f>
        <v>0</v>
      </c>
      <c r="CU315" s="266">
        <f>SUM(CU218:CU220,CU223,CU244,CU241)-SUM(CT218:CT220,CT223,CT244,CT241)</f>
        <v>0</v>
      </c>
      <c r="CV315" s="266">
        <f>SUM(CV218:CV220,CV223,CV244,CV241)-SUM(CU218:CU220,CU223,CU244,CU241)</f>
        <v>0</v>
      </c>
      <c r="CW315" s="266">
        <f>SUM(CW218:CW220,CW223,CW244,CW241)-SUM(CV218:CV220,CV223,CV244,CV241)</f>
        <v>0</v>
      </c>
      <c r="CX315" s="266">
        <f>SUM(CX218:CX220,CX223,CX244,CX241)-SUM(CW218:CW220,CW223,CW244,CW241)</f>
        <v>0</v>
      </c>
      <c r="CY315" s="266">
        <f>SUM(CU315:CX315)</f>
        <v>0</v>
      </c>
      <c r="CZ315" s="266" t="n"/>
      <c r="DA315" s="266" t="n"/>
      <c r="DB315" s="266" t="n"/>
      <c r="DC315" s="266" t="n"/>
    </row>
    <row r="316" ht="12.75" customHeight="1" s="254">
      <c r="C316" s="268" t="inlineStr">
        <is>
          <t>Cash from financing</t>
        </is>
      </c>
      <c r="D316" s="266" t="n"/>
      <c r="E316" s="266">
        <f>SUM(E308,E309,E310,E311,E312,E313,E314,E315)</f>
        <v>0</v>
      </c>
      <c r="F316" s="266">
        <f>SUM(F308,F309,F310,F311,F312,F313,F314,F315)</f>
        <v>0</v>
      </c>
      <c r="G316" s="266">
        <f>SUM(G308,G309,G310,G311,G312,G313,G314,G315)</f>
        <v>0</v>
      </c>
      <c r="H316" s="266">
        <f>SUM(H308,H309,H310,H311,H312,H313,H314,H315)</f>
        <v>0</v>
      </c>
      <c r="I316" s="266">
        <f>SUM(I308,I309,I310,I311,I312,I313,I314,I315)</f>
        <v>263538</v>
      </c>
      <c r="J316" s="266">
        <f>SUM(J308,J309,J310,J311,J312,J313,J314,J315)</f>
        <v>-1562</v>
      </c>
      <c r="K316" s="266">
        <f>SUM(K308,K309,K310,K311,K312,K313,K314,K315)</f>
        <v>-8928</v>
      </c>
      <c r="L316" s="266">
        <f>SUM(L308,L309,L310,L311,L312,L313,L314,L315)</f>
        <v>-9267</v>
      </c>
      <c r="M316" s="266">
        <f>SUM(M308,M309,M310,M311,M312,M313,M314,M315)</f>
        <v>243781</v>
      </c>
      <c r="N316" s="266">
        <f>SUM(N308,N309,N310,N311,N312,N313,N314,N315)</f>
        <v>-6150</v>
      </c>
      <c r="O316" s="266">
        <f>SUM(O308,O309,O310,O311,O312,O313,O314,O315)</f>
        <v>-5779</v>
      </c>
      <c r="P316" s="266">
        <f>SUM(P308,P309,P310,P311,P312,P313,P314,P315)</f>
        <v>-12659</v>
      </c>
      <c r="Q316" s="266">
        <f>SUM(Q308,Q309,Q310,Q311,Q312,Q313,Q314,Q315)</f>
        <v>-6304</v>
      </c>
      <c r="R316" s="266">
        <f>SUM(R308,R309,R310,R311,R312,R313,R314,R315)</f>
        <v>-30892</v>
      </c>
      <c r="S316" s="266">
        <f>SUM(S308,S309,S310,S311,S312,S313,S314,S315)</f>
        <v>-4492</v>
      </c>
      <c r="T316" s="266">
        <f>SUM(T308,T309,T310,T311,T312,T313,T314,T315)</f>
        <v>-7367</v>
      </c>
      <c r="U316" s="266">
        <f>SUM(U308,U309,U310,U311,U312,U313,U314,U315)</f>
        <v>-8545</v>
      </c>
      <c r="V316" s="266">
        <f>SUM(V308,V309,V310,V311,V312,V313,V314,V315)</f>
        <v>-5724</v>
      </c>
      <c r="W316" s="266">
        <f>SUM(W308,W309,W310,W311,W312,W313,W314,W315)</f>
        <v>-26128</v>
      </c>
      <c r="X316" s="266">
        <f>SUM(X308,X309,X310,X311,X312,X313,X314,X315)</f>
        <v>-9107</v>
      </c>
      <c r="Y316" s="266">
        <f>SUM(Y308,Y309,Y310,Y311,Y312,Y313,Y314,Y315)</f>
        <v>-9228</v>
      </c>
      <c r="Z316" s="266">
        <f>SUM(Z308,Z309,Z310,Z311,Z312,Z313,Z314,Z315)</f>
        <v>-899</v>
      </c>
      <c r="AA316" s="266">
        <f>SUM(AA308,AA309,AA310,AA311,AA312,AA313,AA314,AA315)</f>
        <v>-9949</v>
      </c>
      <c r="AB316" s="266">
        <f>SUM(AB308,AB309,AB310,AB311,AB312,AB313,AB314,AB315)</f>
        <v>-29183</v>
      </c>
      <c r="AC316" s="266">
        <f>SUM(AC308,AC309,AC310,AC311,AC312,AC313,AC314,AC315)</f>
        <v>-4937</v>
      </c>
      <c r="AD316" s="266">
        <f>SUM(AD308,AD309,AD310,AD311,AD312,AD313,AD314,AD315)</f>
        <v>-2061</v>
      </c>
      <c r="AE316" s="266">
        <f>SUM(AE308,AE309,AE310,AE311,AE312,AE313,AE314,AE315)</f>
        <v>-12384</v>
      </c>
      <c r="AF316" s="266">
        <f>SUM(AF308,AF309,AF310,AF311,AF312,AF313,AF314,AF315)</f>
        <v>-5016</v>
      </c>
      <c r="AG316" s="266">
        <f>SUM(AG308,AG309,AG310,AG311,AG312,AG313,AG314,AG315)</f>
        <v>-24398</v>
      </c>
      <c r="AH316" s="266">
        <f>SUM(AH308,AH309,AH310,AH311,AH312,AH313,AH314,AH315)</f>
        <v>-6475</v>
      </c>
      <c r="AI316" s="266">
        <f>SUM(AI308,AI309,AI310,AI311,AI312,AI313,AI314,AI315)</f>
        <v>-6194</v>
      </c>
      <c r="AJ316" s="266">
        <f>SUM(AJ308,AJ309,AJ310,AJ311,AJ312,AJ313,AJ314,AJ315)</f>
        <v>0</v>
      </c>
      <c r="AK316" s="266">
        <f>SUM(AK308,AK309,AK310,AK311,AK312,AK313,AK314,AK315)</f>
        <v>0</v>
      </c>
      <c r="AL316" s="266">
        <f>SUM(AL308,AL309,AL310,AL311,AL312,AL313,AL314,AL315)</f>
        <v>-12669</v>
      </c>
      <c r="AM316" s="266">
        <f>SUM(AM308,AM309,AM310,AM311,AM312,AM313,AM314,AM315)</f>
        <v>0</v>
      </c>
      <c r="AN316" s="266">
        <f>SUM(AN308,AN309,AN310,AN311,AN312,AN313,AN314,AN315)</f>
        <v>0</v>
      </c>
      <c r="AO316" s="266">
        <f>SUM(AO308,AO309,AO310,AO311,AO312,AO313,AO314,AO315)</f>
        <v>0</v>
      </c>
      <c r="AP316" s="266">
        <f>SUM(AP308,AP309,AP310,AP311,AP312,AP313,AP314,AP315)</f>
        <v>0</v>
      </c>
      <c r="AQ316" s="266">
        <f>SUM(AQ308,AQ309,AQ310,AQ311,AQ312,AQ313,AQ314,AQ315)</f>
        <v>0</v>
      </c>
      <c r="AR316" s="266">
        <f>SUM(AR308,AR309,AR310,AR311,AR312,AR313,AR314,AR315)</f>
        <v>0</v>
      </c>
      <c r="AS316" s="266">
        <f>SUM(AS308,AS309,AS310,AS311,AS312,AS313,AS314,AS315)</f>
        <v>0</v>
      </c>
      <c r="AT316" s="266">
        <f>SUM(AT308,AT309,AT310,AT311,AT312,AT313,AT314,AT315)</f>
        <v>0</v>
      </c>
      <c r="AU316" s="266">
        <f>SUM(AU308,AU309,AU310,AU311,AU312,AU313,AU314,AU315)</f>
        <v>0</v>
      </c>
      <c r="AV316" s="266">
        <f>SUM(AV308,AV309,AV310,AV311,AV312,AV313,AV314,AV315)</f>
        <v>0</v>
      </c>
      <c r="AW316" s="266">
        <f>SUM(AW308,AW309,AW310,AW311,AW312,AW313,AW314,AW315)</f>
        <v>0</v>
      </c>
      <c r="AX316" s="266">
        <f>SUM(AX308,AX309,AX310,AX311,AX312,AX313,AX314,AX315)</f>
        <v>0</v>
      </c>
      <c r="AY316" s="266">
        <f>SUM(AY308,AY309,AY310,AY311,AY312,AY313,AY314,AY315)</f>
        <v>0</v>
      </c>
      <c r="AZ316" s="266">
        <f>SUM(AZ308,AZ309,AZ310,AZ311,AZ312,AZ313,AZ314,AZ315)</f>
        <v>0</v>
      </c>
      <c r="BA316" s="266">
        <f>SUM(BA308,BA309,BA310,BA311,BA312,BA313,BA314,BA315)</f>
        <v>0</v>
      </c>
      <c r="BB316" s="266">
        <f>SUM(BB308,BB309,BB310,BB311,BB312,BB313,BB314,BB315)</f>
        <v>0</v>
      </c>
      <c r="BC316" s="266">
        <f>SUM(BC308,BC309,BC310,BC311,BC312,BC313,BC314,BC315)</f>
        <v>0</v>
      </c>
      <c r="BD316" s="266">
        <f>SUM(BD308,BD309,BD310,BD311,BD312,BD313,BD314,BD315)</f>
        <v>0</v>
      </c>
      <c r="BE316" s="266">
        <f>SUM(BE308,BE309,BE310,BE311,BE312,BE313,BE314,BE315)</f>
        <v>0</v>
      </c>
      <c r="BF316" s="266">
        <f>SUM(BF308,BF309,BF310,BF311,BF312,BF313,BF314,BF315)</f>
        <v>0</v>
      </c>
      <c r="BG316" s="266">
        <f>SUM(BG308,BG309,BG310,BG311,BG312,BG313,BG314,BG315)</f>
        <v>0</v>
      </c>
      <c r="BH316" s="266">
        <f>SUM(BH308,BH309,BH310,BH311,BH312,BH313,BH314,BH315)</f>
        <v>0</v>
      </c>
      <c r="BI316" s="266">
        <f>SUM(BI308,BI309,BI310,BI311,BI312,BI313,BI314,BI315)</f>
        <v>0</v>
      </c>
      <c r="BJ316" s="266">
        <f>SUM(BJ308,BJ309,BJ310,BJ311,BJ312,BJ313,BJ314,BJ315)</f>
        <v>0</v>
      </c>
      <c r="BK316" s="266">
        <f>SUM(BK308,BK309,BK310,BK311,BK312,BK313,BK314,BK315)</f>
        <v>0</v>
      </c>
      <c r="BL316" s="266">
        <f>SUM(BL308,BL309,BL310,BL311,BL312,BL313,BL314,BL315)</f>
        <v>0</v>
      </c>
      <c r="BM316" s="266">
        <f>SUM(BM308,BM309,BM310,BM311,BM312,BM313,BM314,BM315)</f>
        <v>0</v>
      </c>
      <c r="BN316" s="266">
        <f>SUM(BN308,BN309,BN310,BN311,BN312,BN313,BN314,BN315)</f>
        <v>0</v>
      </c>
      <c r="BO316" s="266">
        <f>SUM(BO308,BO309,BO310,BO311,BO312,BO313,BO314,BO315)</f>
        <v>0</v>
      </c>
      <c r="BP316" s="266">
        <f>SUM(BP308,BP309,BP310,BP311,BP312,BP313,BP314,BP315)</f>
        <v>0</v>
      </c>
      <c r="BQ316" s="266">
        <f>SUM(BQ308,BQ309,BQ310,BQ311,BQ312,BQ313,BQ314,BQ315)</f>
        <v>0</v>
      </c>
      <c r="BR316" s="266">
        <f>SUM(BR308,BR309,BR310,BR311,BR312,BR313,BR314,BR315)</f>
        <v>0</v>
      </c>
      <c r="BS316" s="266">
        <f>SUM(BS308,BS309,BS310,BS311,BS312,BS313,BS314,BS315)</f>
        <v>0</v>
      </c>
      <c r="BT316" s="266">
        <f>SUM(BT308,BT309,BT310,BT311,BT312,BT313,BT314,BT315)</f>
        <v>0</v>
      </c>
      <c r="BU316" s="266">
        <f>SUM(BU308,BU309,BU310,BU311,BU312,BU313,BU314,BU315)</f>
        <v>0</v>
      </c>
      <c r="BV316" s="266">
        <f>SUM(BV308,BV309,BV310,BV311,BV312,BV313,BV314,BV315)</f>
        <v>0</v>
      </c>
      <c r="BW316" s="266">
        <f>SUM(BW308,BW309,BW310,BW311,BW312,BW313,BW314,BW315)</f>
        <v>0</v>
      </c>
      <c r="BX316" s="266">
        <f>SUM(BX308,BX309,BX310,BX311,BX312,BX313,BX314,BX315)</f>
        <v>0</v>
      </c>
      <c r="BY316" s="266">
        <f>SUM(BY308,BY309,BY310,BY311,BY312,BY313,BY314,BY315)</f>
        <v>0</v>
      </c>
      <c r="BZ316" s="266">
        <f>SUM(BZ308,BZ309,BZ310,BZ311,BZ312,BZ313,BZ314,BZ315)</f>
        <v>0</v>
      </c>
      <c r="CA316" s="266">
        <f>SUM(CA308,CA309,CA310,CA311,CA312,CA313,CA314,CA315)</f>
        <v>0</v>
      </c>
      <c r="CB316" s="266">
        <f>SUM(CB308,CB309,CB310,CB311,CB312,CB313,CB314,CB315)</f>
        <v>0</v>
      </c>
      <c r="CC316" s="266">
        <f>SUM(CC308,CC309,CC310,CC311,CC312,CC313,CC314,CC315)</f>
        <v>0</v>
      </c>
      <c r="CD316" s="266">
        <f>SUM(CD308,CD309,CD310,CD311,CD312,CD313,CD314,CD315)</f>
        <v>0</v>
      </c>
      <c r="CE316" s="266">
        <f>SUM(CE308,CE309,CE310,CE311,CE312,CE313,CE314,CE315)</f>
        <v>0</v>
      </c>
      <c r="CF316" s="266">
        <f>SUM(CF308,CF309,CF310,CF311,CF312,CF313,CF314,CF315)</f>
        <v>0</v>
      </c>
      <c r="CG316" s="266">
        <f>SUM(CG308,CG309,CG310,CG311,CG312,CG313,CG314,CG315)</f>
        <v>0</v>
      </c>
      <c r="CH316" s="266">
        <f>SUM(CH308,CH309,CH310,CH311,CH312,CH313,CH314,CH315)</f>
        <v>0</v>
      </c>
      <c r="CI316" s="266">
        <f>SUM(CI308,CI309,CI310,CI311,CI312,CI313,CI314,CI315)</f>
        <v>0</v>
      </c>
      <c r="CJ316" s="266">
        <f>SUM(CJ308,CJ309,CJ310,CJ311,CJ312,CJ313,CJ314,CJ315)</f>
        <v>0</v>
      </c>
      <c r="CK316" s="266">
        <f>SUM(CK308,CK309,CK310,CK311,CK312,CK313,CK314,CK315)</f>
        <v>0</v>
      </c>
      <c r="CL316" s="266">
        <f>SUM(CL308,CL309,CL310,CL311,CL312,CL313,CL314,CL315)</f>
        <v>0</v>
      </c>
      <c r="CM316" s="266">
        <f>SUM(CM308,CM309,CM310,CM311,CM312,CM313,CM314,CM315)</f>
        <v>0</v>
      </c>
      <c r="CN316" s="266">
        <f>SUM(CN308,CN309,CN310,CN311,CN312,CN313,CN314,CN315)</f>
        <v>0</v>
      </c>
      <c r="CO316" s="266">
        <f>SUM(CO308,CO309,CO310,CO311,CO312,CO313,CO314,CO315)</f>
        <v>0</v>
      </c>
      <c r="CP316" s="266">
        <f>SUM(CP308,CP309,CP310,CP311,CP312,CP313,CP314,CP315)</f>
        <v>0</v>
      </c>
      <c r="CQ316" s="266">
        <f>SUM(CQ308,CQ309,CQ310,CQ311,CQ312,CQ313,CQ314,CQ315)</f>
        <v>0</v>
      </c>
      <c r="CR316" s="266">
        <f>SUM(CR308,CR309,CR310,CR311,CR312,CR313,CR314,CR315)</f>
        <v>0</v>
      </c>
      <c r="CS316" s="266">
        <f>SUM(CS308,CS309,CS310,CS311,CS312,CS313,CS314,CS315)</f>
        <v>0</v>
      </c>
      <c r="CT316" s="266">
        <f>SUM(CT308,CT309,CT310,CT311,CT312,CT313,CT314,CT315)</f>
        <v>0</v>
      </c>
      <c r="CU316" s="266">
        <f>SUM(CU308,CU309,CU310,CU311,CU312,CU313,CU314,CU315)</f>
        <v>0</v>
      </c>
      <c r="CV316" s="266">
        <f>SUM(CV308,CV309,CV310,CV311,CV312,CV313,CV314,CV315)</f>
        <v>0</v>
      </c>
      <c r="CW316" s="266">
        <f>SUM(CW308,CW309,CW310,CW311,CW312,CW313,CW314,CW315)</f>
        <v>0</v>
      </c>
      <c r="CX316" s="266">
        <f>SUM(CX308,CX309,CX310,CX311,CX312,CX313,CX314,CX315)</f>
        <v>0</v>
      </c>
      <c r="CY316" s="266">
        <f>SUM(CY308,CY309,CY310,CY311,CY312,CY313,CY314,CY315)</f>
        <v>0</v>
      </c>
    </row>
    <row r="317" ht="12.75" customHeight="1" s="254">
      <c r="C317" s="268" t="n"/>
      <c r="D317" s="266" t="n"/>
      <c r="E317" s="266" t="n"/>
      <c r="F317" s="266" t="n"/>
      <c r="G317" s="266" t="n"/>
      <c r="H317" s="266" t="n"/>
      <c r="I317" s="266" t="n"/>
      <c r="J317" s="266" t="n"/>
      <c r="K317" s="266" t="n"/>
      <c r="L317" s="266" t="n"/>
      <c r="M317" s="266" t="n"/>
      <c r="N317" s="266" t="n"/>
      <c r="O317" s="266" t="n"/>
      <c r="P317" s="266" t="n"/>
      <c r="Q317" s="266" t="n"/>
      <c r="R317" s="266" t="n"/>
      <c r="S317" s="266" t="n"/>
      <c r="T317" s="266" t="n"/>
      <c r="U317" s="266" t="n"/>
      <c r="V317" s="266" t="n"/>
      <c r="W317" s="266" t="n"/>
      <c r="X317" s="266" t="n"/>
      <c r="Y317" s="266" t="n"/>
      <c r="Z317" s="266" t="n"/>
      <c r="AA317" s="266" t="n"/>
      <c r="AB317" s="266" t="n"/>
      <c r="AC317" s="266" t="n"/>
      <c r="AD317" s="266" t="n"/>
      <c r="AE317" s="266" t="n"/>
      <c r="AF317" s="266" t="n"/>
      <c r="AG317" s="266" t="n"/>
      <c r="AH317" s="266" t="n"/>
      <c r="AI317" s="266" t="n"/>
      <c r="AJ317" s="266" t="n"/>
      <c r="AK317" s="266" t="n"/>
      <c r="AL317" s="266" t="n"/>
      <c r="AM317" s="266" t="n"/>
      <c r="AN317" s="266" t="n"/>
      <c r="AO317" s="266" t="n"/>
      <c r="AP317" s="266" t="n"/>
      <c r="AQ317" s="266" t="n"/>
      <c r="AR317" s="266" t="n"/>
      <c r="AS317" s="266" t="n"/>
      <c r="AT317" s="266" t="n"/>
      <c r="AU317" s="266" t="n"/>
      <c r="AV317" s="266" t="n"/>
      <c r="AW317" s="266" t="n"/>
      <c r="AX317" s="266" t="n"/>
      <c r="AY317" s="266" t="n"/>
      <c r="AZ317" s="266" t="n"/>
      <c r="BA317" s="266" t="n"/>
      <c r="BB317" s="266" t="n"/>
      <c r="BC317" s="266" t="n"/>
      <c r="BD317" s="266" t="n"/>
      <c r="BE317" s="266" t="n"/>
      <c r="BF317" s="266" t="n"/>
      <c r="BG317" s="266" t="n"/>
      <c r="BH317" s="266" t="n"/>
      <c r="BI317" s="266" t="n"/>
      <c r="BJ317" s="266" t="n"/>
      <c r="BK317" s="266" t="n"/>
      <c r="BL317" s="266" t="n"/>
      <c r="BM317" s="266" t="n"/>
      <c r="BN317" s="266" t="n"/>
      <c r="BO317" s="266" t="n"/>
      <c r="BP317" s="266" t="n"/>
      <c r="BQ317" s="266" t="n"/>
      <c r="BR317" s="266" t="n"/>
      <c r="BS317" s="266" t="n"/>
      <c r="BT317" s="266" t="n"/>
      <c r="BU317" s="266" t="n"/>
      <c r="BV317" s="266" t="n"/>
      <c r="BW317" s="266" t="n"/>
      <c r="BX317" s="266" t="n"/>
      <c r="BY317" s="266" t="n"/>
      <c r="BZ317" s="266" t="n"/>
      <c r="CA317" s="266" t="n"/>
      <c r="CB317" s="266" t="n"/>
      <c r="CC317" s="266" t="n"/>
      <c r="CD317" s="266" t="n"/>
      <c r="CE317" s="266" t="n"/>
      <c r="CF317" s="266" t="n"/>
      <c r="CG317" s="266" t="n"/>
      <c r="CH317" s="266" t="n"/>
      <c r="CI317" s="266" t="n"/>
      <c r="CJ317" s="266" t="n"/>
      <c r="CK317" s="266" t="n"/>
      <c r="CL317" s="266" t="n"/>
      <c r="CM317" s="266" t="n"/>
      <c r="CN317" s="266" t="n"/>
      <c r="CO317" s="266" t="n"/>
      <c r="CP317" s="266" t="n"/>
      <c r="CQ317" s="266" t="n"/>
      <c r="CR317" s="266" t="n"/>
      <c r="CS317" s="266" t="n"/>
      <c r="CT317" s="266" t="n"/>
      <c r="CU317" s="266" t="n"/>
      <c r="CV317" s="266" t="n"/>
      <c r="CW317" s="266" t="n"/>
      <c r="CX317" s="266" t="n"/>
      <c r="CY317" s="266" t="n"/>
    </row>
    <row r="318" ht="12.75" customHeight="1" s="254">
      <c r="C318" s="268" t="inlineStr">
        <is>
          <t>Others</t>
        </is>
      </c>
      <c r="D318" s="266" t="n"/>
      <c r="E318" s="266" t="n"/>
      <c r="F318" s="266" t="n"/>
      <c r="G318" s="266" t="n"/>
      <c r="H318" s="266">
        <f>SUM(D318:G318)</f>
        <v>0</v>
      </c>
      <c r="I318" s="266" t="n"/>
      <c r="J318" s="266" t="n"/>
      <c r="K318" s="266" t="n"/>
      <c r="L318" s="266" t="n"/>
      <c r="M318" s="266">
        <f>SUM(I318:L318)</f>
        <v>0</v>
      </c>
      <c r="N318" s="266" t="n"/>
      <c r="O318" s="266" t="n"/>
      <c r="P318" s="266" t="n"/>
      <c r="Q318" s="266" t="n"/>
      <c r="R318" s="266">
        <f>SUM(N318:Q318)</f>
        <v>0</v>
      </c>
      <c r="S318" s="266" t="n"/>
      <c r="T318" s="266" t="n"/>
      <c r="U318" s="266" t="n"/>
      <c r="V318" s="266" t="n"/>
      <c r="W318" s="266">
        <f>SUM(S318:V318)</f>
        <v>0</v>
      </c>
      <c r="X318" s="266" t="n"/>
      <c r="Y318" s="266" t="n"/>
      <c r="Z318" s="266" t="n"/>
      <c r="AA318" s="266" t="n"/>
      <c r="AB318" s="266">
        <f>SUM(X318:AA318)</f>
        <v>0</v>
      </c>
      <c r="AC318" s="266" t="n"/>
      <c r="AD318" s="266" t="n"/>
      <c r="AE318" s="266" t="n"/>
      <c r="AF318" s="266" t="n"/>
      <c r="AG318" s="266">
        <f>SUM(AC318:AF318)</f>
        <v>0</v>
      </c>
      <c r="AH318" s="266" t="n"/>
      <c r="AI318" s="266" t="n"/>
      <c r="AJ318" s="266" t="n"/>
      <c r="AK318" s="266" t="n"/>
      <c r="AL318" s="266">
        <f>SUM(AH318:AK318)</f>
        <v>0</v>
      </c>
      <c r="AM318" s="266" t="n"/>
      <c r="AN318" s="266" t="n"/>
      <c r="AO318" s="266" t="n"/>
      <c r="AP318" s="266" t="n"/>
      <c r="AQ318" s="266">
        <f>SUM(AM318:AP318)</f>
        <v>0</v>
      </c>
      <c r="AR318" s="266" t="n"/>
      <c r="AS318" s="266" t="n"/>
      <c r="AT318" s="266" t="n"/>
      <c r="AU318" s="266" t="n"/>
      <c r="AV318" s="266">
        <f>SUM(AR318:AU318)</f>
        <v>0</v>
      </c>
      <c r="AW318" s="266" t="n"/>
      <c r="AX318" s="266" t="n"/>
      <c r="AY318" s="266" t="n"/>
      <c r="AZ318" s="266" t="n"/>
      <c r="BA318" s="266">
        <f>SUM(AW318:AZ318)</f>
        <v>0</v>
      </c>
      <c r="BB318" s="266" t="n"/>
      <c r="BC318" s="266" t="n"/>
      <c r="BD318" s="266" t="n"/>
      <c r="BE318" s="266" t="n"/>
      <c r="BF318" s="266">
        <f>SUM(BB318:BE318)</f>
        <v>0</v>
      </c>
      <c r="BG318" s="266" t="n"/>
      <c r="BH318" s="266" t="n"/>
      <c r="BI318" s="266" t="n"/>
      <c r="BJ318" s="266" t="n"/>
      <c r="BK318" s="266">
        <f>SUM(BG318:BJ318)</f>
        <v>0</v>
      </c>
      <c r="BL318" s="266" t="n"/>
      <c r="BM318" s="266" t="n"/>
      <c r="BN318" s="266" t="n"/>
      <c r="BO318" s="266" t="n"/>
      <c r="BP318" s="266">
        <f>SUM(BL318:BO318)</f>
        <v>0</v>
      </c>
      <c r="BQ318" s="266" t="n"/>
      <c r="BR318" s="266" t="n"/>
      <c r="BS318" s="266" t="n"/>
      <c r="BT318" s="266" t="n"/>
      <c r="BU318" s="266">
        <f>SUM(BQ318:BT318)</f>
        <v>0</v>
      </c>
      <c r="BV318" s="266" t="n"/>
      <c r="BW318" s="266" t="n"/>
      <c r="BX318" s="266" t="n"/>
      <c r="BY318" s="266" t="n"/>
      <c r="BZ318" s="266">
        <f>SUM(BV318:BY318)</f>
        <v>0</v>
      </c>
      <c r="CA318" s="266" t="n"/>
      <c r="CB318" s="266" t="n"/>
      <c r="CC318" s="266" t="n"/>
      <c r="CD318" s="266" t="n"/>
      <c r="CE318" s="266">
        <f>SUM(CA318:CD318)</f>
        <v>0</v>
      </c>
      <c r="CF318" s="266" t="n"/>
      <c r="CG318" s="266" t="n"/>
      <c r="CH318" s="266" t="n"/>
      <c r="CI318" s="266" t="n"/>
      <c r="CJ318" s="266">
        <f>SUM(CF318:CI318)</f>
        <v>0</v>
      </c>
      <c r="CK318" s="266" t="n"/>
      <c r="CL318" s="266" t="n"/>
      <c r="CM318" s="266" t="n"/>
      <c r="CN318" s="266" t="n"/>
      <c r="CO318" s="266">
        <f>SUM(CK318:CN318)</f>
        <v>0</v>
      </c>
      <c r="CP318" s="266" t="n"/>
      <c r="CQ318" s="266" t="n"/>
      <c r="CR318" s="266" t="n"/>
      <c r="CS318" s="266" t="n"/>
      <c r="CT318" s="266">
        <f>SUM(CP318:CS318)</f>
        <v>0</v>
      </c>
      <c r="CU318" s="266" t="n"/>
      <c r="CV318" s="266" t="n"/>
      <c r="CW318" s="266" t="n"/>
      <c r="CX318" s="266" t="n"/>
      <c r="CY318" s="266">
        <f>SUM(CU318:CX318)</f>
        <v>0</v>
      </c>
    </row>
    <row r="319" ht="12.75" customHeight="1" s="254">
      <c r="C319" s="268" t="n"/>
      <c r="D319" s="266" t="n"/>
      <c r="E319" s="266" t="n"/>
      <c r="F319" s="266" t="n"/>
      <c r="G319" s="266" t="n"/>
      <c r="H319" s="266" t="n"/>
      <c r="I319" s="266" t="n"/>
      <c r="J319" s="266" t="n"/>
      <c r="K319" s="266" t="n"/>
      <c r="L319" s="266" t="n"/>
      <c r="M319" s="266" t="n"/>
      <c r="N319" s="266" t="n"/>
      <c r="O319" s="266" t="n"/>
      <c r="P319" s="266" t="n"/>
      <c r="Q319" s="266" t="n"/>
      <c r="R319" s="266" t="n"/>
      <c r="S319" s="266" t="n"/>
      <c r="T319" s="266" t="n"/>
      <c r="U319" s="266" t="n"/>
      <c r="V319" s="266" t="n"/>
      <c r="W319" s="266" t="n"/>
      <c r="X319" s="266" t="n"/>
      <c r="Y319" s="266" t="n"/>
      <c r="Z319" s="266" t="n"/>
      <c r="AA319" s="266" t="n"/>
      <c r="AB319" s="266" t="n"/>
      <c r="AC319" s="266" t="n"/>
      <c r="AD319" s="266" t="n"/>
      <c r="AE319" s="266" t="n"/>
      <c r="AF319" s="266" t="n"/>
      <c r="AG319" s="266" t="n"/>
      <c r="AH319" s="266" t="n"/>
      <c r="AI319" s="266" t="n"/>
      <c r="AJ319" s="266" t="n"/>
      <c r="AK319" s="266" t="n"/>
      <c r="AL319" s="266" t="n"/>
      <c r="AM319" s="266" t="n"/>
      <c r="AN319" s="266" t="n"/>
      <c r="AO319" s="266" t="n"/>
      <c r="AP319" s="266" t="n"/>
      <c r="AQ319" s="266" t="n"/>
      <c r="AR319" s="266" t="n"/>
      <c r="AS319" s="266" t="n"/>
      <c r="AT319" s="266" t="n"/>
      <c r="AU319" s="266" t="n"/>
      <c r="AV319" s="266" t="n"/>
      <c r="AW319" s="266" t="n"/>
      <c r="AX319" s="266" t="n"/>
      <c r="AY319" s="266" t="n"/>
      <c r="AZ319" s="266" t="n"/>
      <c r="BA319" s="266" t="n"/>
      <c r="BB319" s="266" t="n"/>
      <c r="BC319" s="266" t="n"/>
      <c r="BD319" s="266" t="n"/>
      <c r="BE319" s="266" t="n"/>
      <c r="BF319" s="266" t="n"/>
      <c r="BG319" s="266" t="n"/>
      <c r="BH319" s="266" t="n"/>
      <c r="BI319" s="266" t="n"/>
      <c r="BJ319" s="266" t="n"/>
      <c r="BK319" s="266" t="n"/>
      <c r="BL319" s="266" t="n"/>
      <c r="BM319" s="266" t="n"/>
      <c r="BN319" s="266" t="n"/>
      <c r="BO319" s="266" t="n"/>
      <c r="BP319" s="266" t="n"/>
      <c r="BQ319" s="266" t="n"/>
      <c r="BR319" s="266" t="n"/>
      <c r="BS319" s="266" t="n"/>
      <c r="BT319" s="266" t="n"/>
      <c r="BU319" s="266" t="n"/>
      <c r="BV319" s="266" t="n"/>
      <c r="BW319" s="266" t="n"/>
      <c r="BX319" s="266" t="n"/>
      <c r="BY319" s="266" t="n"/>
      <c r="BZ319" s="266" t="n"/>
      <c r="CA319" s="266" t="n"/>
      <c r="CB319" s="266" t="n"/>
      <c r="CC319" s="266" t="n"/>
      <c r="CD319" s="266" t="n"/>
      <c r="CE319" s="266" t="n"/>
      <c r="CF319" s="266" t="n"/>
      <c r="CG319" s="266" t="n"/>
      <c r="CH319" s="266" t="n"/>
      <c r="CI319" s="266" t="n"/>
      <c r="CJ319" s="266" t="n"/>
      <c r="CK319" s="266" t="n"/>
      <c r="CL319" s="266" t="n"/>
      <c r="CM319" s="266" t="n"/>
      <c r="CN319" s="266" t="n"/>
      <c r="CO319" s="266" t="n"/>
      <c r="CP319" s="266" t="n"/>
      <c r="CQ319" s="266" t="n"/>
      <c r="CR319" s="266" t="n"/>
      <c r="CS319" s="266" t="n"/>
      <c r="CT319" s="266" t="n"/>
      <c r="CU319" s="266" t="n"/>
      <c r="CV319" s="266" t="n"/>
      <c r="CW319" s="266" t="n"/>
      <c r="CX319" s="266" t="n"/>
      <c r="CY319" s="266" t="n"/>
    </row>
    <row r="320" ht="12.75" customHeight="1" s="254">
      <c r="C320" s="268" t="inlineStr">
        <is>
          <t>Total increase/decrease of cash</t>
        </is>
      </c>
      <c r="D320" s="266" t="n"/>
      <c r="E320" s="266">
        <f>SUM(E299,E306,E316,E318)</f>
        <v>0</v>
      </c>
      <c r="F320" s="266">
        <f>SUM(F299,F306,F316,F318)</f>
        <v>0</v>
      </c>
      <c r="G320" s="266">
        <f>SUM(G299,G306,G316,G318)</f>
        <v>0</v>
      </c>
      <c r="H320" s="266">
        <f>SUM(D320:G320)</f>
        <v>0</v>
      </c>
      <c r="I320" s="266">
        <f>SUM(I299,I306,I316,I318)</f>
        <v>30985</v>
      </c>
      <c r="J320" s="266">
        <f>SUM(J299,J306,J316,J318)</f>
        <v>3119</v>
      </c>
      <c r="K320" s="266">
        <f>SUM(K299,K306,K316,K318)</f>
        <v>3969</v>
      </c>
      <c r="L320" s="266">
        <f>SUM(L299,L306,L316,L318)</f>
        <v>-1103</v>
      </c>
      <c r="M320" s="266">
        <f>SUM(I320:L320)</f>
        <v>36970</v>
      </c>
      <c r="N320" s="266">
        <f>SUM(N299,N306,N316,N318)</f>
        <v>1390</v>
      </c>
      <c r="O320" s="266">
        <f>SUM(O299,O306,O316,O318)</f>
        <v>610</v>
      </c>
      <c r="P320" s="266">
        <f>SUM(P299,P306,P316,P318)</f>
        <v>-2992</v>
      </c>
      <c r="Q320" s="266">
        <f>SUM(Q299,Q306,Q316,Q318)</f>
        <v>4268</v>
      </c>
      <c r="R320" s="266">
        <f>SUM(N320:Q320)</f>
        <v>3276</v>
      </c>
      <c r="S320" s="266">
        <f>SUM(S299,S306,S316,S318)</f>
        <v>1828</v>
      </c>
      <c r="T320" s="266">
        <f>SUM(T299,T306,T316,T318)</f>
        <v>3020</v>
      </c>
      <c r="U320" s="266">
        <f>SUM(U299,U306,U316,U318)</f>
        <v>-2063</v>
      </c>
      <c r="V320" s="266">
        <f>SUM(V299,V306,V316,V318)</f>
        <v>-4257</v>
      </c>
      <c r="W320" s="266">
        <f>SUM(S320:V320)</f>
        <v>-1472</v>
      </c>
      <c r="X320" s="266">
        <f>SUM(X299,X306,X316,X318)</f>
        <v>1175</v>
      </c>
      <c r="Y320" s="266">
        <f>SUM(Y299,Y306,Y316,Y318)</f>
        <v>-1801</v>
      </c>
      <c r="Z320" s="266">
        <f>SUM(Z299,Z306,Z316,Z318)</f>
        <v>4104</v>
      </c>
      <c r="AA320" s="266">
        <f>SUM(AA299,AA306,AA316,AA318)</f>
        <v>-3142</v>
      </c>
      <c r="AB320" s="266">
        <f>SUM(X320:AA320)</f>
        <v>336</v>
      </c>
      <c r="AC320" s="266">
        <f>SUM(AC299,AC306,AC316,AC318)</f>
        <v>-3509</v>
      </c>
      <c r="AD320" s="266">
        <f>SUM(AD299,AD306,AD316,AD318)</f>
        <v>-2919</v>
      </c>
      <c r="AE320" s="266">
        <f>SUM(AE299,AE306,AE316,AE318)</f>
        <v>371</v>
      </c>
      <c r="AF320" s="266">
        <f>SUM(AF299,AF306,AF316,AF318)</f>
        <v>-2837</v>
      </c>
      <c r="AG320" s="266">
        <f>SUM(AC320:AF320)</f>
        <v>-8894</v>
      </c>
      <c r="AH320" s="266">
        <f>SUM(AH299,AH306,AH316,AH318)</f>
        <v>-7099</v>
      </c>
      <c r="AI320" s="266">
        <f>SUM(AI299,AI306,AI316,AI318)</f>
        <v>8257</v>
      </c>
      <c r="AJ320" s="266">
        <f>SUM(AJ299,AJ306,AJ316,AJ318)</f>
        <v>25376</v>
      </c>
      <c r="AK320" s="266">
        <f>SUM(AK299,AK306,AK316,AK318)</f>
        <v>1691</v>
      </c>
      <c r="AL320" s="266">
        <f>SUM(AH320:AK320)</f>
        <v>28225</v>
      </c>
      <c r="AM320" s="266" t="e">
        <f>SUM(AM299,AM306,AM316,AM318)</f>
        <v>#DIV/0!</v>
      </c>
      <c r="AN320" s="266" t="e">
        <f>SUM(AN299,AN306,AN316,AN318)</f>
        <v>#DIV/0!</v>
      </c>
      <c r="AO320" s="266" t="e">
        <f>SUM(AO299,AO306,AO316,AO318)</f>
        <v>#DIV/0!</v>
      </c>
      <c r="AP320" s="266" t="e">
        <f>SUM(AP299,AP306,AP316,AP318)</f>
        <v>#DIV/0!</v>
      </c>
      <c r="AQ320" s="266" t="e">
        <f>SUM(AM320:AP320)</f>
        <v>#DIV/0!</v>
      </c>
      <c r="AR320" s="266" t="e">
        <f>SUM(AR299,AR306,AR316,AR318)</f>
        <v>#DIV/0!</v>
      </c>
      <c r="AS320" s="266" t="e">
        <f>SUM(AS299,AS306,AS316,AS318)</f>
        <v>#DIV/0!</v>
      </c>
      <c r="AT320" s="266" t="e">
        <f>SUM(AT299,AT306,AT316,AT318)</f>
        <v>#DIV/0!</v>
      </c>
      <c r="AU320" s="266" t="e">
        <f>SUM(AU299,AU306,AU316,AU318)</f>
        <v>#DIV/0!</v>
      </c>
      <c r="AV320" s="266" t="e">
        <f>SUM(AR320:AU320)</f>
        <v>#DIV/0!</v>
      </c>
      <c r="AW320" s="266" t="e">
        <f>SUM(AW299,AW306,AW316,AW318)</f>
        <v>#DIV/0!</v>
      </c>
      <c r="AX320" s="266" t="e">
        <f>SUM(AX299,AX306,AX316,AX318)</f>
        <v>#DIV/0!</v>
      </c>
      <c r="AY320" s="266" t="e">
        <f>SUM(AY299,AY306,AY316,AY318)</f>
        <v>#DIV/0!</v>
      </c>
      <c r="AZ320" s="266" t="e">
        <f>SUM(AZ299,AZ306,AZ316,AZ318)</f>
        <v>#DIV/0!</v>
      </c>
      <c r="BA320" s="266" t="e">
        <f>SUM(AW320:AZ320)</f>
        <v>#DIV/0!</v>
      </c>
      <c r="BB320" s="266" t="e">
        <f>SUM(BB299,BB306,BB316,BB318)</f>
        <v>#DIV/0!</v>
      </c>
      <c r="BC320" s="266" t="e">
        <f>SUM(BC299,BC306,BC316,BC318)</f>
        <v>#DIV/0!</v>
      </c>
      <c r="BD320" s="266" t="e">
        <f>SUM(BD299,BD306,BD316,BD318)</f>
        <v>#DIV/0!</v>
      </c>
      <c r="BE320" s="266" t="e">
        <f>SUM(BE299,BE306,BE316,BE318)</f>
        <v>#DIV/0!</v>
      </c>
      <c r="BF320" s="266" t="e">
        <f>SUM(BB320:BE320)</f>
        <v>#DIV/0!</v>
      </c>
      <c r="BG320" s="266" t="e">
        <f>SUM(BG299,BG306,BG316,BG318)</f>
        <v>#DIV/0!</v>
      </c>
      <c r="BH320" s="266" t="e">
        <f>SUM(BH299,BH306,BH316,BH318)</f>
        <v>#DIV/0!</v>
      </c>
      <c r="BI320" s="266" t="e">
        <f>SUM(BI299,BI306,BI316,BI318)</f>
        <v>#DIV/0!</v>
      </c>
      <c r="BJ320" s="266" t="e">
        <f>SUM(BJ299,BJ306,BJ316,BJ318)</f>
        <v>#DIV/0!</v>
      </c>
      <c r="BK320" s="266" t="e">
        <f>SUM(BG320:BJ320)</f>
        <v>#DIV/0!</v>
      </c>
      <c r="BL320" s="266" t="e">
        <f>SUM(BL299,BL306,BL316,BL318)</f>
        <v>#DIV/0!</v>
      </c>
      <c r="BM320" s="266" t="e">
        <f>SUM(BM299,BM306,BM316,BM318)</f>
        <v>#DIV/0!</v>
      </c>
      <c r="BN320" s="266" t="e">
        <f>SUM(BN299,BN306,BN316,BN318)</f>
        <v>#DIV/0!</v>
      </c>
      <c r="BO320" s="266" t="e">
        <f>SUM(BO299,BO306,BO316,BO318)</f>
        <v>#DIV/0!</v>
      </c>
      <c r="BP320" s="266" t="e">
        <f>SUM(BL320:BO320)</f>
        <v>#DIV/0!</v>
      </c>
      <c r="BQ320" s="266" t="e">
        <f>SUM(BQ299,BQ306,BQ316,BQ318)</f>
        <v>#DIV/0!</v>
      </c>
      <c r="BR320" s="266" t="e">
        <f>SUM(BR299,BR306,BR316,BR318)</f>
        <v>#DIV/0!</v>
      </c>
      <c r="BS320" s="266" t="e">
        <f>SUM(BS299,BS306,BS316,BS318)</f>
        <v>#DIV/0!</v>
      </c>
      <c r="BT320" s="266" t="e">
        <f>SUM(BT299,BT306,BT316,BT318)</f>
        <v>#DIV/0!</v>
      </c>
      <c r="BU320" s="266" t="e">
        <f>SUM(BQ320:BT320)</f>
        <v>#DIV/0!</v>
      </c>
      <c r="BV320" s="266" t="e">
        <f>SUM(BV299,BV306,BV316,BV318)</f>
        <v>#DIV/0!</v>
      </c>
      <c r="BW320" s="266" t="e">
        <f>SUM(BW299,BW306,BW316,BW318)</f>
        <v>#DIV/0!</v>
      </c>
      <c r="BX320" s="266" t="e">
        <f>SUM(BX299,BX306,BX316,BX318)</f>
        <v>#DIV/0!</v>
      </c>
      <c r="BY320" s="266" t="e">
        <f>SUM(BY299,BY306,BY316,BY318)</f>
        <v>#DIV/0!</v>
      </c>
      <c r="BZ320" s="266" t="e">
        <f>SUM(BV320:BY320)</f>
        <v>#DIV/0!</v>
      </c>
      <c r="CA320" s="266" t="e">
        <f>SUM(CA299,CA306,CA316,CA318)</f>
        <v>#DIV/0!</v>
      </c>
      <c r="CB320" s="266" t="e">
        <f>SUM(CB299,CB306,CB316,CB318)</f>
        <v>#DIV/0!</v>
      </c>
      <c r="CC320" s="266" t="e">
        <f>SUM(CC299,CC306,CC316,CC318)</f>
        <v>#DIV/0!</v>
      </c>
      <c r="CD320" s="266" t="e">
        <f>SUM(CD299,CD306,CD316,CD318)</f>
        <v>#DIV/0!</v>
      </c>
      <c r="CE320" s="266" t="e">
        <f>SUM(CA320:CD320)</f>
        <v>#DIV/0!</v>
      </c>
      <c r="CF320" s="266" t="e">
        <f>SUM(CF299,CF306,CF316,CF318)</f>
        <v>#DIV/0!</v>
      </c>
      <c r="CG320" s="266" t="e">
        <f>SUM(CG299,CG306,CG316,CG318)</f>
        <v>#DIV/0!</v>
      </c>
      <c r="CH320" s="266" t="e">
        <f>SUM(CH299,CH306,CH316,CH318)</f>
        <v>#DIV/0!</v>
      </c>
      <c r="CI320" s="266" t="e">
        <f>SUM(CI299,CI306,CI316,CI318)</f>
        <v>#DIV/0!</v>
      </c>
      <c r="CJ320" s="266" t="e">
        <f>SUM(CF320:CI320)</f>
        <v>#DIV/0!</v>
      </c>
      <c r="CK320" s="266" t="e">
        <f>SUM(CK299,CK306,CK316,CK318)</f>
        <v>#DIV/0!</v>
      </c>
      <c r="CL320" s="266" t="e">
        <f>SUM(CL299,CL306,CL316,CL318)</f>
        <v>#DIV/0!</v>
      </c>
      <c r="CM320" s="266" t="e">
        <f>SUM(CM299,CM306,CM316,CM318)</f>
        <v>#DIV/0!</v>
      </c>
      <c r="CN320" s="266" t="e">
        <f>SUM(CN299,CN306,CN316,CN318)</f>
        <v>#DIV/0!</v>
      </c>
      <c r="CO320" s="266" t="e">
        <f>SUM(CK320:CN320)</f>
        <v>#DIV/0!</v>
      </c>
      <c r="CP320" s="266" t="e">
        <f>SUM(CP299,CP306,CP316,CP318)</f>
        <v>#DIV/0!</v>
      </c>
      <c r="CQ320" s="266" t="e">
        <f>SUM(CQ299,CQ306,CQ316,CQ318)</f>
        <v>#DIV/0!</v>
      </c>
      <c r="CR320" s="266" t="e">
        <f>SUM(CR299,CR306,CR316,CR318)</f>
        <v>#DIV/0!</v>
      </c>
      <c r="CS320" s="266" t="e">
        <f>SUM(CS299,CS306,CS316,CS318)</f>
        <v>#DIV/0!</v>
      </c>
      <c r="CT320" s="266" t="e">
        <f>SUM(CP320:CS320)</f>
        <v>#DIV/0!</v>
      </c>
      <c r="CU320" s="266" t="e">
        <f>SUM(CU299,CU306,CU316,CU318)</f>
        <v>#DIV/0!</v>
      </c>
      <c r="CV320" s="266" t="e">
        <f>SUM(CV299,CV306,CV316,CV318)</f>
        <v>#DIV/0!</v>
      </c>
      <c r="CW320" s="266" t="e">
        <f>SUM(CW299,CW306,CW316,CW318)</f>
        <v>#DIV/0!</v>
      </c>
      <c r="CX320" s="266" t="e">
        <f>SUM(CX299,CX306,CX316,CX318)</f>
        <v>#DIV/0!</v>
      </c>
      <c r="CY320" s="266" t="e">
        <f>SUM(CU320:CX320)</f>
        <v>#DIV/0!</v>
      </c>
    </row>
    <row r="321" ht="14.9" customHeight="1" s="254">
      <c r="C321" s="258" t="inlineStr">
        <is>
          <t>Check</t>
        </is>
      </c>
      <c r="E321" s="327">
        <f>(E320)-(E150-D150)</f>
        <v>0</v>
      </c>
      <c r="F321" s="327">
        <f>(F320)-(F150-E150)</f>
        <v>0</v>
      </c>
      <c r="G321" s="327">
        <f>(G320)-(G150-F150)</f>
        <v>0</v>
      </c>
      <c r="I321" s="327">
        <f>(I320)-(I150-H150)</f>
        <v>0</v>
      </c>
      <c r="J321" s="327">
        <f>(J320)-(J150-I150)</f>
        <v>0</v>
      </c>
      <c r="K321" s="327">
        <f>(K320)-(K150-J150)</f>
        <v>0</v>
      </c>
      <c r="L321" s="327">
        <f>(L320)-(L150-K150)</f>
        <v>0</v>
      </c>
      <c r="N321" s="327">
        <f>(N320)-(N150-M150)</f>
        <v>0</v>
      </c>
      <c r="O321" s="327">
        <f>(O320)-(O150-N150)</f>
        <v>0</v>
      </c>
      <c r="P321" s="327">
        <f>(P320)-(P150-O150)</f>
        <v>0</v>
      </c>
      <c r="Q321" s="327">
        <f>(Q320)-(Q150-P150)</f>
        <v>0</v>
      </c>
      <c r="S321" s="327">
        <f>(S320)-(S150-R150)</f>
        <v>0</v>
      </c>
      <c r="T321" s="327">
        <f>(T320)-(T150-S150)</f>
        <v>0</v>
      </c>
      <c r="U321" s="327">
        <f>(U320)-(U150-T150)</f>
        <v>0</v>
      </c>
      <c r="V321" s="327">
        <f>(V320)-(V150-U150)</f>
        <v>0</v>
      </c>
      <c r="X321" s="327">
        <f>(X320)-(X150-W150)</f>
        <v>0</v>
      </c>
      <c r="Y321" s="327">
        <f>(Y320)-(Y150-X150)</f>
        <v>0</v>
      </c>
      <c r="Z321" s="327">
        <f>(Z320)-(Z150-Y150)</f>
        <v>0</v>
      </c>
      <c r="AA321" s="327">
        <f>(AA320)-(AA150-Z150)</f>
        <v>0</v>
      </c>
      <c r="AC321" s="327">
        <f>(AC320)-(AC150-AB150)</f>
        <v>0</v>
      </c>
      <c r="AD321" s="327">
        <f>(AD320)-(AD150-AC150)</f>
        <v>0</v>
      </c>
      <c r="AE321" s="327">
        <f>(AE320)-(AE150-AD150)</f>
        <v>0</v>
      </c>
      <c r="AF321" s="327">
        <f>(AF320)-(AF150-AE150)</f>
        <v>0</v>
      </c>
      <c r="AH321" s="327">
        <f>(AH320)-(AH150-AG150)</f>
        <v>0</v>
      </c>
      <c r="AI321" s="327">
        <f>(AI320)-(AI150-AH150)</f>
        <v>0</v>
      </c>
      <c r="AJ321" s="327">
        <f>(AJ320)-(AJ150-AI150)</f>
        <v>0</v>
      </c>
      <c r="AK321" s="327">
        <f>(AK320)-(AK150-AJ150)</f>
        <v>0</v>
      </c>
      <c r="AM321" s="327" t="e">
        <f>(AM320)-(AM150-AL150)</f>
        <v>#DIV/0!</v>
      </c>
      <c r="AN321" s="327" t="e">
        <f>(AN320)-(AN150-AM150)</f>
        <v>#DIV/0!</v>
      </c>
      <c r="AO321" s="327" t="e">
        <f>(AO320)-(AO150-AN150)</f>
        <v>#DIV/0!</v>
      </c>
      <c r="AP321" s="327" t="e">
        <f>(AP320)-(AP150-AO150)</f>
        <v>#DIV/0!</v>
      </c>
      <c r="AR321" s="327" t="e">
        <f>(AR320)-(AR150-AQ150)</f>
        <v>#DIV/0!</v>
      </c>
      <c r="AS321" s="327" t="e">
        <f>(AS320)-(AS150-AR150)</f>
        <v>#DIV/0!</v>
      </c>
      <c r="AT321" s="327" t="e">
        <f>(AT320)-(AT150-AS150)</f>
        <v>#DIV/0!</v>
      </c>
      <c r="AU321" s="327" t="e">
        <f>(AU320)-(AU150-AT150)</f>
        <v>#DIV/0!</v>
      </c>
      <c r="AW321" s="327" t="e">
        <f>(AW320)-(AW150-AV150)</f>
        <v>#DIV/0!</v>
      </c>
      <c r="AX321" s="327" t="e">
        <f>(AX320)-(AX150-AW150)</f>
        <v>#DIV/0!</v>
      </c>
      <c r="AY321" s="327" t="e">
        <f>(AY320)-(AY150-AX150)</f>
        <v>#DIV/0!</v>
      </c>
      <c r="AZ321" s="327" t="e">
        <f>(AZ320)-(AZ150-AY150)</f>
        <v>#DIV/0!</v>
      </c>
      <c r="BB321" s="327" t="e">
        <f>(BB320)-(BB150-BA150)</f>
        <v>#DIV/0!</v>
      </c>
      <c r="BC321" s="327" t="e">
        <f>(BC320)-(BC150-BB150)</f>
        <v>#DIV/0!</v>
      </c>
      <c r="BD321" s="327" t="e">
        <f>(BD320)-(BD150-BC150)</f>
        <v>#DIV/0!</v>
      </c>
      <c r="BE321" s="327" t="e">
        <f>(BE320)-(BE150-BD150)</f>
        <v>#DIV/0!</v>
      </c>
      <c r="BG321" s="327" t="e">
        <f>(BG320)-(BG150-BF150)</f>
        <v>#DIV/0!</v>
      </c>
      <c r="BH321" s="327" t="e">
        <f>(BH320)-(BH150-BG150)</f>
        <v>#DIV/0!</v>
      </c>
      <c r="BI321" s="327" t="e">
        <f>(BI320)-(BI150-BH150)</f>
        <v>#DIV/0!</v>
      </c>
      <c r="BJ321" s="327" t="e">
        <f>(BJ320)-(BJ150-BI150)</f>
        <v>#DIV/0!</v>
      </c>
      <c r="BL321" s="327" t="e">
        <f>(BL320)-(BL150-BK150)</f>
        <v>#DIV/0!</v>
      </c>
      <c r="BM321" s="327" t="e">
        <f>(BM320)-(BM150-BL150)</f>
        <v>#DIV/0!</v>
      </c>
      <c r="BN321" s="327" t="e">
        <f>(BN320)-(BN150-BM150)</f>
        <v>#DIV/0!</v>
      </c>
      <c r="BO321" s="327" t="e">
        <f>(BO320)-(BO150-BN150)</f>
        <v>#DIV/0!</v>
      </c>
      <c r="BQ321" s="327" t="e">
        <f>(BQ320)-(BQ150-BP150)</f>
        <v>#DIV/0!</v>
      </c>
      <c r="BR321" s="327" t="e">
        <f>(BR320)-(BR150-BQ150)</f>
        <v>#DIV/0!</v>
      </c>
      <c r="BS321" s="327" t="e">
        <f>(BS320)-(BS150-BR150)</f>
        <v>#DIV/0!</v>
      </c>
      <c r="BT321" s="327" t="e">
        <f>(BT320)-(BT150-BS150)</f>
        <v>#DIV/0!</v>
      </c>
      <c r="BV321" s="327" t="e">
        <f>(BV320)-(BV150-BU150)</f>
        <v>#DIV/0!</v>
      </c>
      <c r="BW321" s="327" t="e">
        <f>(BW320)-(BW150-BV150)</f>
        <v>#DIV/0!</v>
      </c>
      <c r="BX321" s="327" t="e">
        <f>(BX320)-(BX150-BW150)</f>
        <v>#DIV/0!</v>
      </c>
      <c r="BY321" s="327" t="e">
        <f>(BY320)-(BY150-BX150)</f>
        <v>#DIV/0!</v>
      </c>
      <c r="CA321" s="327" t="e">
        <f>(CA320)-(CA150-BZ150)</f>
        <v>#DIV/0!</v>
      </c>
      <c r="CB321" s="327" t="e">
        <f>(CB320)-(CB150-CA150)</f>
        <v>#DIV/0!</v>
      </c>
      <c r="CC321" s="327" t="e">
        <f>(CC320)-(CC150-CB150)</f>
        <v>#DIV/0!</v>
      </c>
      <c r="CD321" s="327" t="e">
        <f>(CD320)-(CD150-CC150)</f>
        <v>#DIV/0!</v>
      </c>
      <c r="CF321" s="327" t="e">
        <f>(CF320)-(CF150-CE150)</f>
        <v>#DIV/0!</v>
      </c>
      <c r="CG321" s="327" t="e">
        <f>(CG320)-(CG150-CF150)</f>
        <v>#DIV/0!</v>
      </c>
      <c r="CH321" s="327" t="e">
        <f>(CH320)-(CH150-CG150)</f>
        <v>#DIV/0!</v>
      </c>
      <c r="CI321" s="327" t="e">
        <f>(CI320)-(CI150-CH150)</f>
        <v>#DIV/0!</v>
      </c>
      <c r="CK321" s="327" t="e">
        <f>(CK320)-(CK150-CJ150)</f>
        <v>#DIV/0!</v>
      </c>
      <c r="CL321" s="327" t="e">
        <f>(CL320)-(CL150-CK150)</f>
        <v>#DIV/0!</v>
      </c>
      <c r="CM321" s="327" t="e">
        <f>(CM320)-(CM150-CL150)</f>
        <v>#DIV/0!</v>
      </c>
      <c r="CN321" s="327" t="e">
        <f>(CN320)-(CN150-CM150)</f>
        <v>#DIV/0!</v>
      </c>
      <c r="CP321" s="327" t="e">
        <f>(CP320)-(CP150-CO150)</f>
        <v>#DIV/0!</v>
      </c>
      <c r="CQ321" s="327" t="e">
        <f>(CQ320)-(CQ150-CP150)</f>
        <v>#DIV/0!</v>
      </c>
      <c r="CR321" s="327" t="e">
        <f>(CR320)-(CR150-CQ150)</f>
        <v>#DIV/0!</v>
      </c>
      <c r="CS321" s="327" t="e">
        <f>(CS320)-(CS150-CR150)</f>
        <v>#DIV/0!</v>
      </c>
      <c r="CU321" s="327" t="e">
        <f>(CU320)-(CU150-CT150)</f>
        <v>#DIV/0!</v>
      </c>
      <c r="CV321" s="327" t="e">
        <f>(CV320)-(CV150-CU150)</f>
        <v>#DIV/0!</v>
      </c>
      <c r="CW321" s="327" t="e">
        <f>(CW320)-(CW150-CV150)</f>
        <v>#DIV/0!</v>
      </c>
      <c r="CX321" s="327" t="e">
        <f>(CX320)-(CX150-CW150)</f>
        <v>#DIV/0!</v>
      </c>
    </row>
    <row r="323" ht="12.75" customHeight="1" s="254">
      <c r="C323" s="328" t="inlineStr">
        <is>
          <t>Ratio Analysis</t>
        </is>
      </c>
      <c r="D323" s="328" t="n"/>
      <c r="E323" s="328" t="n"/>
      <c r="F323" s="328" t="n"/>
      <c r="G323" s="328" t="n"/>
      <c r="H323" s="328" t="n"/>
      <c r="I323" s="328" t="n"/>
      <c r="J323" s="328" t="n"/>
      <c r="K323" s="328" t="n"/>
      <c r="L323" s="328" t="n"/>
      <c r="M323" s="328" t="n"/>
      <c r="N323" s="328" t="n"/>
      <c r="O323" s="328" t="n"/>
      <c r="P323" s="328" t="n"/>
      <c r="Q323" s="328" t="n"/>
      <c r="R323" s="328" t="n"/>
      <c r="S323" s="328" t="n"/>
      <c r="T323" s="328" t="n"/>
      <c r="U323" s="328" t="n"/>
      <c r="V323" s="328" t="n"/>
      <c r="W323" s="328" t="n"/>
      <c r="X323" s="328" t="n"/>
      <c r="Y323" s="328" t="n"/>
      <c r="Z323" s="328" t="n"/>
      <c r="AA323" s="328" t="n"/>
      <c r="AB323" s="328" t="n"/>
      <c r="AC323" s="328" t="n"/>
      <c r="AD323" s="328" t="n"/>
      <c r="AE323" s="328" t="n"/>
      <c r="AF323" s="328" t="n"/>
      <c r="AG323" s="328" t="n"/>
      <c r="AH323" s="328" t="n"/>
      <c r="AI323" s="328" t="n"/>
      <c r="AJ323" s="328" t="n"/>
      <c r="AK323" s="328" t="n"/>
      <c r="AL323" s="328" t="n"/>
      <c r="AM323" s="328" t="n"/>
      <c r="AN323" s="328" t="n"/>
      <c r="AO323" s="328" t="n"/>
      <c r="AP323" s="328" t="n"/>
      <c r="AQ323" s="328" t="n"/>
      <c r="AR323" s="328" t="n"/>
      <c r="AS323" s="328" t="n"/>
      <c r="AT323" s="328" t="n"/>
      <c r="AU323" s="328" t="n"/>
      <c r="AV323" s="328" t="n"/>
      <c r="AW323" s="328" t="n"/>
      <c r="AX323" s="328" t="n"/>
      <c r="AY323" s="328" t="n"/>
      <c r="AZ323" s="328" t="n"/>
      <c r="BA323" s="328" t="n"/>
      <c r="BB323" s="328" t="n"/>
      <c r="BC323" s="328" t="n"/>
      <c r="BD323" s="328" t="n"/>
      <c r="BE323" s="328" t="n"/>
      <c r="BF323" s="328" t="n"/>
      <c r="BG323" s="328" t="n"/>
      <c r="BH323" s="328" t="n"/>
      <c r="BI323" s="328" t="n"/>
      <c r="BJ323" s="328" t="n"/>
      <c r="BK323" s="328" t="n"/>
      <c r="BL323" s="328" t="n"/>
      <c r="BM323" s="328" t="n"/>
      <c r="BN323" s="328" t="n"/>
      <c r="BO323" s="328" t="n"/>
      <c r="BP323" s="328" t="n"/>
      <c r="BQ323" s="328" t="n"/>
      <c r="BR323" s="328" t="n"/>
      <c r="BS323" s="328" t="n"/>
      <c r="BT323" s="328" t="n"/>
      <c r="BU323" s="328" t="n"/>
      <c r="BV323" s="328" t="n"/>
      <c r="BW323" s="328" t="n"/>
      <c r="BX323" s="328" t="n"/>
      <c r="BY323" s="328" t="n"/>
      <c r="BZ323" s="328" t="n"/>
      <c r="CA323" s="328" t="n"/>
      <c r="CB323" s="328" t="n"/>
      <c r="CC323" s="328" t="n"/>
      <c r="CD323" s="328" t="n"/>
      <c r="CE323" s="328" t="n"/>
      <c r="CF323" s="328" t="n"/>
      <c r="CG323" s="328" t="n"/>
      <c r="CH323" s="328" t="n"/>
      <c r="CI323" s="328" t="n"/>
      <c r="CJ323" s="328" t="n"/>
      <c r="CK323" s="328" t="n"/>
      <c r="CL323" s="328" t="n"/>
      <c r="CM323" s="328" t="n"/>
      <c r="CN323" s="328" t="n"/>
      <c r="CO323" s="328" t="n"/>
      <c r="CP323" s="328" t="n"/>
      <c r="CQ323" s="328" t="n"/>
      <c r="CR323" s="328" t="n"/>
      <c r="CS323" s="328" t="n"/>
      <c r="CT323" s="328" t="n"/>
      <c r="CU323" s="328" t="n"/>
      <c r="CV323" s="328" t="n"/>
      <c r="CW323" s="328" t="n"/>
      <c r="CX323" s="328" t="n"/>
      <c r="CY323" s="328" t="n"/>
    </row>
    <row r="325" ht="12.75" customFormat="1" customHeight="1" s="329">
      <c r="C325" s="329" t="inlineStr">
        <is>
          <t>YEAR</t>
        </is>
      </c>
      <c r="D325" s="329" t="str">
        <f>D281</f>
        <v>1Q20</v>
      </c>
      <c r="E325" s="330" t="str">
        <f>E281</f>
        <v>2Q20</v>
      </c>
      <c r="F325" s="330" t="str">
        <f>F281</f>
        <v>3Q20</v>
      </c>
      <c r="G325" s="330" t="str">
        <f>G281</f>
        <v>4Q20</v>
      </c>
      <c r="H325" s="330">
        <f>H281</f>
        <v>2020</v>
      </c>
      <c r="I325" s="330" t="str">
        <f>I281</f>
        <v>1Q21</v>
      </c>
      <c r="J325" s="330" t="str">
        <f>J281</f>
        <v>2Q21</v>
      </c>
      <c r="K325" s="330" t="str">
        <f>K281</f>
        <v>3Q21</v>
      </c>
      <c r="L325" s="330" t="str">
        <f>L281</f>
        <v>4Q21</v>
      </c>
      <c r="M325" s="330">
        <f>M281</f>
        <v>2021</v>
      </c>
      <c r="N325" s="330" t="str">
        <f>N281</f>
        <v>1Q22</v>
      </c>
      <c r="O325" s="330" t="str">
        <f>O281</f>
        <v>2Q22</v>
      </c>
      <c r="P325" s="330" t="str">
        <f>P281</f>
        <v>3Q22</v>
      </c>
      <c r="Q325" s="330" t="str">
        <f>Q281</f>
        <v>4Q22</v>
      </c>
      <c r="R325" s="330">
        <f>R281</f>
        <v>2022</v>
      </c>
      <c r="S325" s="330" t="str">
        <f>S281</f>
        <v>1Q23</v>
      </c>
      <c r="T325" s="330" t="str">
        <f>T281</f>
        <v>2Q23</v>
      </c>
      <c r="U325" s="330" t="str">
        <f>U281</f>
        <v>3Q23</v>
      </c>
      <c r="V325" s="330" t="str">
        <f>V281</f>
        <v>4Q23</v>
      </c>
      <c r="W325" s="330">
        <f>W281</f>
        <v>2023</v>
      </c>
      <c r="X325" s="330" t="str">
        <f>X281</f>
        <v>1Q24</v>
      </c>
      <c r="Y325" s="330" t="str">
        <f>Y281</f>
        <v>2Q24</v>
      </c>
      <c r="Z325" s="330" t="str">
        <f>Z281</f>
        <v>3Q24</v>
      </c>
      <c r="AA325" s="330" t="str">
        <f>AA281</f>
        <v>4Q24</v>
      </c>
      <c r="AB325" s="330">
        <f>AB281</f>
        <v>2024</v>
      </c>
      <c r="AC325" s="330" t="str">
        <f>AC281</f>
        <v>1Q25</v>
      </c>
      <c r="AD325" s="330" t="str">
        <f>AD281</f>
        <v>2Q25</v>
      </c>
      <c r="AE325" s="330" t="str">
        <f>AE281</f>
        <v>3Q25</v>
      </c>
      <c r="AF325" s="330" t="str">
        <f>AF281</f>
        <v>4Q25</v>
      </c>
      <c r="AG325" s="330">
        <f>AG281</f>
        <v>2025</v>
      </c>
      <c r="AH325" s="330" t="str">
        <f>AH281</f>
        <v>1Q26</v>
      </c>
      <c r="AI325" s="330" t="str">
        <f>AI281</f>
        <v>2Q26</v>
      </c>
      <c r="AJ325" s="330" t="str">
        <f>AJ281</f>
        <v>3Q26</v>
      </c>
      <c r="AK325" s="330" t="str">
        <f>AK281</f>
        <v>4Q26</v>
      </c>
      <c r="AL325" s="330">
        <f>AL281</f>
        <v>2026</v>
      </c>
      <c r="AM325" s="330" t="str">
        <f>AM281</f>
        <v>1Q27</v>
      </c>
      <c r="AN325" s="330" t="str">
        <f>AN281</f>
        <v>2Q27</v>
      </c>
      <c r="AO325" s="330" t="str">
        <f>AO281</f>
        <v>3Q27</v>
      </c>
      <c r="AP325" s="330" t="str">
        <f>AP281</f>
        <v>4Q27</v>
      </c>
      <c r="AQ325" s="330">
        <f>AQ281</f>
        <v>2027</v>
      </c>
      <c r="AR325" s="330" t="str">
        <f>AR281</f>
        <v>1Q28</v>
      </c>
      <c r="AS325" s="330" t="str">
        <f>AS281</f>
        <v>2Q28</v>
      </c>
      <c r="AT325" s="330" t="str">
        <f>AT281</f>
        <v>3Q28</v>
      </c>
      <c r="AU325" s="330" t="str">
        <f>AU281</f>
        <v>4Q28</v>
      </c>
      <c r="AV325" s="330">
        <f>AV281</f>
        <v>2028</v>
      </c>
      <c r="AW325" s="330" t="str">
        <f>AW281</f>
        <v>1Q29</v>
      </c>
      <c r="AX325" s="330" t="str">
        <f>AX281</f>
        <v>2Q29</v>
      </c>
      <c r="AY325" s="330" t="str">
        <f>AY281</f>
        <v>3Q29</v>
      </c>
      <c r="AZ325" s="330" t="str">
        <f>AZ281</f>
        <v>4Q29</v>
      </c>
      <c r="BA325" s="330">
        <f>BA281</f>
        <v>2029</v>
      </c>
      <c r="BB325" s="330" t="str">
        <f>BB281</f>
        <v>1Q30</v>
      </c>
      <c r="BC325" s="330" t="str">
        <f>BC281</f>
        <v>2Q30</v>
      </c>
      <c r="BD325" s="330" t="str">
        <f>BD281</f>
        <v>3Q30</v>
      </c>
      <c r="BE325" s="330" t="str">
        <f>BE281</f>
        <v>4Q30</v>
      </c>
      <c r="BF325" s="330">
        <f>BF281</f>
        <v>2030</v>
      </c>
      <c r="BG325" s="330" t="str">
        <f>BG281</f>
        <v>1Q31</v>
      </c>
      <c r="BH325" s="330" t="str">
        <f>BH281</f>
        <v>2Q31</v>
      </c>
      <c r="BI325" s="330" t="str">
        <f>BI281</f>
        <v>3Q31</v>
      </c>
      <c r="BJ325" s="330" t="str">
        <f>BJ281</f>
        <v>4Q31</v>
      </c>
      <c r="BK325" s="330">
        <f>BK281</f>
        <v>2031</v>
      </c>
      <c r="BL325" s="330" t="str">
        <f>BL281</f>
        <v>1Q32</v>
      </c>
      <c r="BM325" s="330" t="str">
        <f>BM281</f>
        <v>2Q32</v>
      </c>
      <c r="BN325" s="330" t="str">
        <f>BN281</f>
        <v>3Q32</v>
      </c>
      <c r="BO325" s="330" t="str">
        <f>BO281</f>
        <v>4Q32</v>
      </c>
      <c r="BP325" s="330">
        <f>BP281</f>
        <v>2032</v>
      </c>
      <c r="BQ325" s="330" t="str">
        <f>BQ281</f>
        <v>1Q33</v>
      </c>
      <c r="BR325" s="330" t="str">
        <f>BR281</f>
        <v>2Q33</v>
      </c>
      <c r="BS325" s="330" t="str">
        <f>BS281</f>
        <v>3Q33</v>
      </c>
      <c r="BT325" s="330" t="str">
        <f>BT281</f>
        <v>4Q33</v>
      </c>
      <c r="BU325" s="330">
        <f>BU281</f>
        <v>2033</v>
      </c>
      <c r="BV325" s="330" t="str">
        <f>BV281</f>
        <v>1Q34</v>
      </c>
      <c r="BW325" s="330" t="str">
        <f>BW281</f>
        <v>2Q34</v>
      </c>
      <c r="BX325" s="330" t="str">
        <f>BX281</f>
        <v>3Q34</v>
      </c>
      <c r="BY325" s="330" t="str">
        <f>BY281</f>
        <v>4Q34</v>
      </c>
      <c r="BZ325" s="330">
        <f>BZ281</f>
        <v>2034</v>
      </c>
      <c r="CA325" s="330" t="str">
        <f>CA281</f>
        <v>1Q35</v>
      </c>
      <c r="CB325" s="330" t="str">
        <f>CB281</f>
        <v>2Q35</v>
      </c>
      <c r="CC325" s="330" t="str">
        <f>CC281</f>
        <v>3Q35</v>
      </c>
      <c r="CD325" s="330" t="str">
        <f>CD281</f>
        <v>4Q35</v>
      </c>
      <c r="CE325" s="330">
        <f>CE281</f>
        <v>2035</v>
      </c>
      <c r="CF325" s="330" t="str">
        <f>CF281</f>
        <v>1Q36</v>
      </c>
      <c r="CG325" s="330" t="str">
        <f>CG281</f>
        <v>2Q36</v>
      </c>
      <c r="CH325" s="330" t="str">
        <f>CH281</f>
        <v>3Q36</v>
      </c>
      <c r="CI325" s="330" t="str">
        <f>CI281</f>
        <v>4Q36</v>
      </c>
      <c r="CJ325" s="330">
        <f>CJ281</f>
        <v>2036</v>
      </c>
      <c r="CK325" s="330" t="str">
        <f>CK281</f>
        <v>1Q37</v>
      </c>
      <c r="CL325" s="330" t="str">
        <f>CL281</f>
        <v>2Q37</v>
      </c>
      <c r="CM325" s="330" t="str">
        <f>CM281</f>
        <v>3Q37</v>
      </c>
      <c r="CN325" s="330" t="str">
        <f>CN281</f>
        <v>4Q37</v>
      </c>
      <c r="CO325" s="330">
        <f>CO281</f>
        <v>2037</v>
      </c>
      <c r="CP325" s="330" t="str">
        <f>CP281</f>
        <v>1Q38</v>
      </c>
      <c r="CQ325" s="330" t="str">
        <f>CQ281</f>
        <v>2Q38</v>
      </c>
      <c r="CR325" s="330" t="str">
        <f>CR281</f>
        <v>3Q38</v>
      </c>
      <c r="CS325" s="330" t="str">
        <f>CS281</f>
        <v>4Q38</v>
      </c>
      <c r="CT325" s="330">
        <f>CT281</f>
        <v>2038</v>
      </c>
      <c r="CU325" s="330" t="str">
        <f>CU281</f>
        <v>1Q39</v>
      </c>
      <c r="CV325" s="330" t="str">
        <f>CV281</f>
        <v>2Q39</v>
      </c>
      <c r="CW325" s="330" t="str">
        <f>CW281</f>
        <v>3Q39</v>
      </c>
      <c r="CX325" s="330" t="str">
        <f>CX281</f>
        <v>4Q39</v>
      </c>
      <c r="CY325" s="330">
        <f>CY281</f>
        <v>2039</v>
      </c>
    </row>
    <row r="326" ht="12.75" customFormat="1" customHeight="1" s="331">
      <c r="A326" s="332" t="n"/>
      <c r="B326" s="332" t="n"/>
      <c r="C326" s="329" t="inlineStr">
        <is>
          <t>GROWTH &amp; MARGINS</t>
        </is>
      </c>
    </row>
    <row r="327" ht="12.75" customFormat="1" customHeight="1" s="331">
      <c r="A327" s="332" t="n"/>
      <c r="B327" s="332" t="n"/>
      <c r="C327" s="331" t="inlineStr">
        <is>
          <t>NET REVENUE GROWTH</t>
        </is>
      </c>
      <c r="E327" s="333" t="str">
        <f>IFERROR(E15/D15-1,"")</f>
        <v/>
      </c>
      <c r="F327" s="333" t="str">
        <f>IFERROR(F15/E15-1,"")</f>
        <v/>
      </c>
      <c r="G327" s="333" t="str">
        <f>IFERROR(G15/F15-1,"")</f>
        <v/>
      </c>
      <c r="H327" s="333" t="n"/>
      <c r="I327" s="334" t="str">
        <f>IFERROR(I15/H15-1,"")</f>
        <v/>
      </c>
      <c r="J327" s="334">
        <f>IFERROR(J15/I15-1,"")</f>
        <v>0.0871283571364412</v>
      </c>
      <c r="K327" s="334">
        <f>IFERROR(K15/J15-1,"")</f>
        <v>-0.00778319424935969</v>
      </c>
      <c r="L327" s="334">
        <f>IFERROR(L15/K15-1,"")</f>
        <v>0.420291786023583</v>
      </c>
      <c r="M327" s="333" t="n"/>
      <c r="N327" s="334">
        <f>IFERROR(N15/M15-1,"")</f>
        <v>-0.678001101321586</v>
      </c>
      <c r="O327" s="334">
        <f>IFERROR(O15/N15-1,"")</f>
        <v>0.188292717685621</v>
      </c>
      <c r="P327" s="334">
        <f>IFERROR(P15/O15-1,"")</f>
        <v>-0.0430745859942634</v>
      </c>
      <c r="Q327" s="334">
        <f>IFERROR(Q15/P15-1,"")</f>
        <v>0.0580058277371043</v>
      </c>
      <c r="R327" s="333" t="n"/>
      <c r="S327" s="334">
        <f>IFERROR(S15/R15-1,"")</f>
        <v>-0.771949700378952</v>
      </c>
      <c r="T327" s="334">
        <f>IFERROR(T15/S15-1,"")</f>
        <v>-0.142377442242896</v>
      </c>
      <c r="U327" s="334">
        <f>IFERROR(U15/T15-1,"")</f>
        <v>0.0237603582826034</v>
      </c>
      <c r="V327" s="334">
        <f>IFERROR(V15/U15-1,"")</f>
        <v>0.0311984282907662</v>
      </c>
      <c r="W327" s="333" t="n"/>
      <c r="X327" s="334">
        <f>IFERROR(X15/W15-1,"")</f>
        <v>-0.771087647930162</v>
      </c>
      <c r="Y327" s="334">
        <f>IFERROR(Y15/X15-1,"")</f>
        <v>0.0273876210712216</v>
      </c>
      <c r="Z327" s="334">
        <f>IFERROR(Z15/Y15-1,"")</f>
        <v>-0.0453110941004257</v>
      </c>
      <c r="AA327" s="334">
        <f>IFERROR(AA15/Z15-1,"")</f>
        <v>-0.0676335298006724</v>
      </c>
      <c r="AB327" s="333" t="n"/>
      <c r="AC327" s="334">
        <f>IFERROR(AC15/AB15-1,"")</f>
        <v>-0.756484975959425</v>
      </c>
      <c r="AD327" s="334">
        <f>IFERROR(AD15/AC15-1,"")</f>
        <v>-0.0552907530981888</v>
      </c>
      <c r="AE327" s="334">
        <f>IFERROR(AE15/AD15-1,"")</f>
        <v>0.0419992049659053</v>
      </c>
      <c r="AF327" s="334">
        <f>IFERROR(AF15/AE15-1,"")</f>
        <v>-0.0595718457001159</v>
      </c>
      <c r="AG327" s="333" t="n"/>
      <c r="AH327" s="334">
        <f>IFERROR(AH15/AG15-1,"")</f>
        <v>-0.738873526524434</v>
      </c>
      <c r="AI327" s="334">
        <f>IFERROR(AI15/AH15-1,"")</f>
        <v>0.35833895337992</v>
      </c>
      <c r="AJ327" s="334">
        <f>IFERROR(AJ15/AI15-1,"")</f>
        <v>-0.280053663483478</v>
      </c>
      <c r="AK327" s="334">
        <f>IFERROR(AK15/AJ15-1,"")</f>
        <v>-0.0595718457001159</v>
      </c>
      <c r="AL327" s="333" t="n"/>
      <c r="AM327" s="334">
        <f>IFERROR(AM15/AL15-1,"")</f>
        <v>-0.765034507638208</v>
      </c>
      <c r="AN327" s="334">
        <f>IFERROR(AN15/AM15-1,"")</f>
        <v>0.35833895337992</v>
      </c>
      <c r="AO327" s="334">
        <f>IFERROR(AO15/AN15-1,"")</f>
        <v>-0.280053663483478</v>
      </c>
      <c r="AP327" s="334">
        <f>IFERROR(AP15/AO15-1,"")</f>
        <v>-0.0595718457001159</v>
      </c>
      <c r="AQ327" s="333" t="n"/>
      <c r="AR327" s="334">
        <f>IFERROR(AR15/AQ15-1,"")</f>
        <v>-0.765034507638208</v>
      </c>
      <c r="AS327" s="334">
        <f>IFERROR(AS15/AR15-1,"")</f>
        <v>0.35833895337992</v>
      </c>
      <c r="AT327" s="334">
        <f>IFERROR(AT15/AS15-1,"")</f>
        <v>-0.280053663483478</v>
      </c>
      <c r="AU327" s="334">
        <f>IFERROR(AU15/AT15-1,"")</f>
        <v>-0.0595718457001159</v>
      </c>
      <c r="AV327" s="333" t="n"/>
      <c r="AW327" s="334">
        <f>IFERROR(AW15/AV15-1,"")</f>
        <v>-0.765034507638208</v>
      </c>
      <c r="AX327" s="334">
        <f>IFERROR(AX15/AW15-1,"")</f>
        <v>0.35833895337992</v>
      </c>
      <c r="AY327" s="334">
        <f>IFERROR(AY15/AX15-1,"")</f>
        <v>-0.280053663483478</v>
      </c>
      <c r="AZ327" s="334">
        <f>IFERROR(AZ15/AY15-1,"")</f>
        <v>-0.0595718457001159</v>
      </c>
      <c r="BA327" s="333" t="n"/>
      <c r="BB327" s="334">
        <f>IFERROR(BB15/BA15-1,"")</f>
        <v>-0.765034507638208</v>
      </c>
      <c r="BC327" s="334">
        <f>IFERROR(BC15/BB15-1,"")</f>
        <v>0.35833895337992</v>
      </c>
      <c r="BD327" s="334">
        <f>IFERROR(BD15/BC15-1,"")</f>
        <v>-0.280053663483478</v>
      </c>
      <c r="BE327" s="334">
        <f>IFERROR(BE15/BD15-1,"")</f>
        <v>-0.0595718457001159</v>
      </c>
      <c r="BF327" s="333" t="n"/>
      <c r="BG327" s="334">
        <f>IFERROR(BG15/BF15-1,"")</f>
        <v>-0.765034507638208</v>
      </c>
      <c r="BH327" s="334">
        <f>IFERROR(BH15/BG15-1,"")</f>
        <v>0.35833895337992</v>
      </c>
      <c r="BI327" s="334">
        <f>IFERROR(BI15/BH15-1,"")</f>
        <v>-0.280053663483478</v>
      </c>
      <c r="BJ327" s="334">
        <f>IFERROR(BJ15/BI15-1,"")</f>
        <v>-0.0595718457001159</v>
      </c>
      <c r="BK327" s="333" t="n"/>
      <c r="BL327" s="334">
        <f>IFERROR(BL15/BK15-1,"")</f>
        <v>-0.765034507638208</v>
      </c>
      <c r="BM327" s="334">
        <f>IFERROR(BM15/BL15-1,"")</f>
        <v>0.35833895337992</v>
      </c>
      <c r="BN327" s="334">
        <f>IFERROR(BN15/BM15-1,"")</f>
        <v>-0.280053663483478</v>
      </c>
      <c r="BO327" s="334">
        <f>IFERROR(BO15/BN15-1,"")</f>
        <v>-0.0595718457001159</v>
      </c>
      <c r="BP327" s="333" t="n"/>
      <c r="BQ327" s="334">
        <f>IFERROR(BQ15/BP15-1,"")</f>
        <v>-0.765034507638208</v>
      </c>
      <c r="BR327" s="334">
        <f>IFERROR(BR15/BQ15-1,"")</f>
        <v>0.35833895337992</v>
      </c>
      <c r="BS327" s="334">
        <f>IFERROR(BS15/BR15-1,"")</f>
        <v>-0.280053663483478</v>
      </c>
      <c r="BT327" s="334">
        <f>IFERROR(BT15/BS15-1,"")</f>
        <v>-0.0595718457001159</v>
      </c>
      <c r="BU327" s="333" t="n"/>
      <c r="BV327" s="334">
        <f>IFERROR(BV15/BU15-1,"")</f>
        <v>-0.765034507638208</v>
      </c>
      <c r="BW327" s="334">
        <f>IFERROR(BW15/BV15-1,"")</f>
        <v>0.35833895337992</v>
      </c>
      <c r="BX327" s="334">
        <f>IFERROR(BX15/BW15-1,"")</f>
        <v>-0.280053663483478</v>
      </c>
      <c r="BY327" s="334">
        <f>IFERROR(BY15/BX15-1,"")</f>
        <v>-0.0595718457001159</v>
      </c>
      <c r="BZ327" s="333" t="n"/>
      <c r="CA327" s="334">
        <f>IFERROR(CA15/BZ15-1,"")</f>
        <v>-0.765034507638208</v>
      </c>
      <c r="CB327" s="334">
        <f>IFERROR(CB15/CA15-1,"")</f>
        <v>0.35833895337992</v>
      </c>
      <c r="CC327" s="334">
        <f>IFERROR(CC15/CB15-1,"")</f>
        <v>-0.280053663483478</v>
      </c>
      <c r="CD327" s="334">
        <f>IFERROR(CD15/CC15-1,"")</f>
        <v>-0.0595718457001159</v>
      </c>
      <c r="CE327" s="333" t="n"/>
      <c r="CF327" s="334">
        <f>IFERROR(CF15/CE15-1,"")</f>
        <v>-0.765034507638208</v>
      </c>
      <c r="CG327" s="334">
        <f>IFERROR(CG15/CF15-1,"")</f>
        <v>0.35833895337992</v>
      </c>
      <c r="CH327" s="334">
        <f>IFERROR(CH15/CG15-1,"")</f>
        <v>-0.280053663483478</v>
      </c>
      <c r="CI327" s="334">
        <f>IFERROR(CI15/CH15-1,"")</f>
        <v>-0.0595718457001159</v>
      </c>
      <c r="CJ327" s="333" t="n"/>
      <c r="CK327" s="334">
        <f>IFERROR(CK15/CJ15-1,"")</f>
        <v>-0.765034507638208</v>
      </c>
      <c r="CL327" s="334">
        <f>IFERROR(CL15/CK15-1,"")</f>
        <v>0.35833895337992</v>
      </c>
      <c r="CM327" s="334">
        <f>IFERROR(CM15/CL15-1,"")</f>
        <v>-0.280053663483478</v>
      </c>
      <c r="CN327" s="334">
        <f>IFERROR(CN15/CM15-1,"")</f>
        <v>-0.0595718457001159</v>
      </c>
      <c r="CO327" s="333" t="n"/>
      <c r="CP327" s="334">
        <f>IFERROR(CP15/CO15-1,"")</f>
        <v>-0.765034507638208</v>
      </c>
      <c r="CQ327" s="334">
        <f>IFERROR(CQ15/CP15-1,"")</f>
        <v>0.35833895337992</v>
      </c>
      <c r="CR327" s="334">
        <f>IFERROR(CR15/CQ15-1,"")</f>
        <v>-0.280053663483478</v>
      </c>
      <c r="CS327" s="334">
        <f>IFERROR(CS15/CR15-1,"")</f>
        <v>-0.0595718457001159</v>
      </c>
      <c r="CT327" s="333" t="n"/>
      <c r="CU327" s="334">
        <f>IFERROR(CU15/CT15-1,"")</f>
        <v>-0.765034507638208</v>
      </c>
      <c r="CV327" s="334">
        <f>IFERROR(CV15/CU15-1,"")</f>
        <v>0.35833895337992</v>
      </c>
      <c r="CW327" s="334">
        <f>IFERROR(CW15/CV15-1,"")</f>
        <v>-0.280053663483478</v>
      </c>
      <c r="CX327" s="334">
        <f>IFERROR(CX15/CW15-1,"")</f>
        <v>-0.0595718457001159</v>
      </c>
      <c r="CY327" s="333" t="n"/>
    </row>
    <row r="328" ht="12.75" customFormat="1" customHeight="1" s="331">
      <c r="A328" s="332" t="n"/>
      <c r="B328" s="332" t="n"/>
      <c r="C328" s="331" t="inlineStr">
        <is>
          <t>GROSS MARGIN</t>
        </is>
      </c>
      <c r="D328" s="334" t="str">
        <f>IFERROR(SUM(D15,D60)/D15,"")</f>
        <v/>
      </c>
      <c r="E328" s="334" t="str">
        <f>IFERROR(SUM(E15,E60)/E15,"")</f>
        <v/>
      </c>
      <c r="F328" s="334" t="str">
        <f>IFERROR(SUM(F15,F60)/F15,"")</f>
        <v/>
      </c>
      <c r="G328" s="334" t="str">
        <f>IFERROR(SUM(G15,G60)/G15,"")</f>
        <v/>
      </c>
      <c r="I328" s="335">
        <f>IFERROR(SUM(I15,I60)/I15,"")</f>
        <v>0.382574328572712</v>
      </c>
      <c r="J328" s="335">
        <f>IFERROR(SUM(J15,J60)/J15,"")</f>
        <v>0.343683384284888</v>
      </c>
      <c r="K328" s="335">
        <f>IFERROR(SUM(K15,K60)/K15,"")</f>
        <v>0.262873892478849</v>
      </c>
      <c r="L328" s="335">
        <f>IFERROR(SUM(L15,L60)/L15,"")</f>
        <v>0.336702626641651</v>
      </c>
      <c r="N328" s="335">
        <f>IFERROR(SUM(N15,N60)/N15,"")</f>
        <v>0.339021899197188</v>
      </c>
      <c r="O328" s="335">
        <f>IFERROR(SUM(O15,O60)/O15,"")</f>
        <v>0.333813050300323</v>
      </c>
      <c r="P328" s="335">
        <f>IFERROR(SUM(P15,P60)/P15,"")</f>
        <v>0.261778190894944</v>
      </c>
      <c r="Q328" s="335">
        <f>IFERROR(SUM(Q15,Q60)/Q15,"")</f>
        <v>0.353533459028854</v>
      </c>
      <c r="S328" s="335">
        <f>IFERROR(SUM(S15,S60)/S15,"")</f>
        <v>0.338745845743396</v>
      </c>
      <c r="T328" s="335">
        <f>IFERROR(SUM(T15,T60)/T15,"")</f>
        <v>0.309555096677304</v>
      </c>
      <c r="U328" s="335">
        <f>IFERROR(SUM(U15,U60)/U15,"")</f>
        <v>0.356332678454486</v>
      </c>
      <c r="V328" s="335">
        <f>IFERROR(SUM(V15,V60)/V15,"")</f>
        <v>0.304666463445613</v>
      </c>
      <c r="X328" s="335">
        <f>IFERROR(SUM(X15,X60)/X15,"")</f>
        <v>0.353362399624714</v>
      </c>
      <c r="Y328" s="335">
        <f>IFERROR(SUM(Y15,Y60)/Y15,"")</f>
        <v>0.33635496823926</v>
      </c>
      <c r="Z328" s="335">
        <f>IFERROR(SUM(Z15,Z60)/Z15,"")</f>
        <v>0.321625005275078</v>
      </c>
      <c r="AA328" s="335">
        <f>IFERROR(SUM(AA15,AA60)/AA15,"")</f>
        <v>0.342043722937192</v>
      </c>
      <c r="AC328" s="335">
        <f>IFERROR(SUM(AC15,AC60)/AC15,"")</f>
        <v>0.337767570846694</v>
      </c>
      <c r="AD328" s="335">
        <f>IFERROR(SUM(AD15,AD60)/AD15,"")</f>
        <v>0.325765220316179</v>
      </c>
      <c r="AE328" s="335">
        <f>IFERROR(SUM(AE15,AE60)/AE15,"")</f>
        <v>0.337593356125189</v>
      </c>
      <c r="AF328" s="335">
        <f>IFERROR(SUM(AF15,AF60)/AF15,"")</f>
        <v>0.343110792130186</v>
      </c>
      <c r="AH328" s="335">
        <f>IFERROR(SUM(AH15,AH60)/AH15,"")</f>
        <v>0.357521057238381</v>
      </c>
      <c r="AI328" s="335">
        <f>IFERROR(SUM(AI15,AI60)/AI15,"")</f>
        <v>0.318325868334319</v>
      </c>
      <c r="AJ328" s="335">
        <f>IFERROR(SUM(AJ15,AJ60)/AJ15,"")</f>
        <v>0</v>
      </c>
      <c r="AK328" s="335">
        <f>IFERROR(SUM(AK15,AK60)/AK15,"")</f>
        <v>0</v>
      </c>
      <c r="AM328" s="335">
        <f>IFERROR(SUM(AM15,AM60)/AM15,"")</f>
        <v>0</v>
      </c>
      <c r="AN328" s="335">
        <f>IFERROR(SUM(AN15,AN60)/AN15,"")</f>
        <v>0</v>
      </c>
      <c r="AO328" s="335">
        <f>IFERROR(SUM(AO15,AO60)/AO15,"")</f>
        <v>0</v>
      </c>
      <c r="AP328" s="335">
        <f>IFERROR(SUM(AP15,AP60)/AP15,"")</f>
        <v>0</v>
      </c>
      <c r="AR328" s="335">
        <f>IFERROR(SUM(AR15,AR60)/AR15,"")</f>
        <v>0</v>
      </c>
      <c r="AS328" s="335">
        <f>IFERROR(SUM(AS15,AS60)/AS15,"")</f>
        <v>0</v>
      </c>
      <c r="AT328" s="335">
        <f>IFERROR(SUM(AT15,AT60)/AT15,"")</f>
        <v>0</v>
      </c>
      <c r="AU328" s="335">
        <f>IFERROR(SUM(AU15,AU60)/AU15,"")</f>
        <v>0</v>
      </c>
      <c r="AW328" s="335">
        <f>IFERROR(SUM(AW15,AW60)/AW15,"")</f>
        <v>0</v>
      </c>
      <c r="AX328" s="335">
        <f>IFERROR(SUM(AX15,AX60)/AX15,"")</f>
        <v>0</v>
      </c>
      <c r="AY328" s="335">
        <f>IFERROR(SUM(AY15,AY60)/AY15,"")</f>
        <v>0</v>
      </c>
      <c r="AZ328" s="335">
        <f>IFERROR(SUM(AZ15,AZ60)/AZ15,"")</f>
        <v>0</v>
      </c>
      <c r="BB328" s="335">
        <f>IFERROR(SUM(BB15,BB60)/BB15,"")</f>
        <v>0</v>
      </c>
      <c r="BC328" s="335">
        <f>IFERROR(SUM(BC15,BC60)/BC15,"")</f>
        <v>0</v>
      </c>
      <c r="BD328" s="335">
        <f>IFERROR(SUM(BD15,BD60)/BD15,"")</f>
        <v>0</v>
      </c>
      <c r="BE328" s="335">
        <f>IFERROR(SUM(BE15,BE60)/BE15,"")</f>
        <v>0</v>
      </c>
      <c r="BG328" s="335">
        <f>IFERROR(SUM(BG15,BG60)/BG15,"")</f>
        <v>0</v>
      </c>
      <c r="BH328" s="335">
        <f>IFERROR(SUM(BH15,BH60)/BH15,"")</f>
        <v>0</v>
      </c>
      <c r="BI328" s="335">
        <f>IFERROR(SUM(BI15,BI60)/BI15,"")</f>
        <v>0</v>
      </c>
      <c r="BJ328" s="335">
        <f>IFERROR(SUM(BJ15,BJ60)/BJ15,"")</f>
        <v>0</v>
      </c>
      <c r="BL328" s="335">
        <f>IFERROR(SUM(BL15,BL60)/BL15,"")</f>
        <v>0</v>
      </c>
      <c r="BM328" s="335">
        <f>IFERROR(SUM(BM15,BM60)/BM15,"")</f>
        <v>0</v>
      </c>
      <c r="BN328" s="335">
        <f>IFERROR(SUM(BN15,BN60)/BN15,"")</f>
        <v>0</v>
      </c>
      <c r="BO328" s="335">
        <f>IFERROR(SUM(BO15,BO60)/BO15,"")</f>
        <v>0</v>
      </c>
      <c r="BQ328" s="335">
        <f>IFERROR(SUM(BQ15,BQ60)/BQ15,"")</f>
        <v>0</v>
      </c>
      <c r="BR328" s="335">
        <f>IFERROR(SUM(BR15,BR60)/BR15,"")</f>
        <v>0</v>
      </c>
      <c r="BS328" s="335">
        <f>IFERROR(SUM(BS15,BS60)/BS15,"")</f>
        <v>0</v>
      </c>
      <c r="BT328" s="335">
        <f>IFERROR(SUM(BT15,BT60)/BT15,"")</f>
        <v>0</v>
      </c>
      <c r="BV328" s="335">
        <f>IFERROR(SUM(BV15,BV60)/BV15,"")</f>
        <v>0</v>
      </c>
      <c r="BW328" s="335">
        <f>IFERROR(SUM(BW15,BW60)/BW15,"")</f>
        <v>0</v>
      </c>
      <c r="BX328" s="335">
        <f>IFERROR(SUM(BX15,BX60)/BX15,"")</f>
        <v>0</v>
      </c>
      <c r="BY328" s="335">
        <f>IFERROR(SUM(BY15,BY60)/BY15,"")</f>
        <v>0</v>
      </c>
      <c r="CA328" s="335">
        <f>IFERROR(SUM(CA15,CA60)/CA15,"")</f>
        <v>0</v>
      </c>
      <c r="CB328" s="335">
        <f>IFERROR(SUM(CB15,CB60)/CB15,"")</f>
        <v>0</v>
      </c>
      <c r="CC328" s="335">
        <f>IFERROR(SUM(CC15,CC60)/CC15,"")</f>
        <v>0</v>
      </c>
      <c r="CD328" s="335">
        <f>IFERROR(SUM(CD15,CD60)/CD15,"")</f>
        <v>0</v>
      </c>
      <c r="CF328" s="335">
        <f>IFERROR(SUM(CF15,CF60)/CF15,"")</f>
        <v>0</v>
      </c>
      <c r="CG328" s="335">
        <f>IFERROR(SUM(CG15,CG60)/CG15,"")</f>
        <v>0</v>
      </c>
      <c r="CH328" s="335">
        <f>IFERROR(SUM(CH15,CH60)/CH15,"")</f>
        <v>0</v>
      </c>
      <c r="CI328" s="335">
        <f>IFERROR(SUM(CI15,CI60)/CI15,"")</f>
        <v>0</v>
      </c>
      <c r="CK328" s="335">
        <f>IFERROR(SUM(CK15,CK60)/CK15,"")</f>
        <v>0</v>
      </c>
      <c r="CL328" s="335">
        <f>IFERROR(SUM(CL15,CL60)/CL15,"")</f>
        <v>0</v>
      </c>
      <c r="CM328" s="335">
        <f>IFERROR(SUM(CM15,CM60)/CM15,"")</f>
        <v>0</v>
      </c>
      <c r="CN328" s="335">
        <f>IFERROR(SUM(CN15,CN60)/CN15,"")</f>
        <v>0</v>
      </c>
      <c r="CP328" s="335">
        <f>IFERROR(SUM(CP15,CP60)/CP15,"")</f>
        <v>0</v>
      </c>
      <c r="CQ328" s="335">
        <f>IFERROR(SUM(CQ15,CQ60)/CQ15,"")</f>
        <v>0</v>
      </c>
      <c r="CR328" s="335">
        <f>IFERROR(SUM(CR15,CR60)/CR15,"")</f>
        <v>0</v>
      </c>
      <c r="CS328" s="335">
        <f>IFERROR(SUM(CS15,CS60)/CS15,"")</f>
        <v>0</v>
      </c>
      <c r="CU328" s="335">
        <f>IFERROR(SUM(CU15,CU60)/CU15,"")</f>
        <v>0</v>
      </c>
      <c r="CV328" s="335">
        <f>IFERROR(SUM(CV15,CV60)/CV15,"")</f>
        <v>0</v>
      </c>
      <c r="CW328" s="335">
        <f>IFERROR(SUM(CW15,CW60)/CW15,"")</f>
        <v>0</v>
      </c>
      <c r="CX328" s="335">
        <f>IFERROR(SUM(CX15,CX60)/CX15,"")</f>
        <v>0</v>
      </c>
    </row>
    <row r="329" ht="12.75" customFormat="1" customHeight="1" s="331">
      <c r="A329" s="332" t="n"/>
      <c r="B329" s="332" t="n"/>
      <c r="C329" s="331" t="inlineStr">
        <is>
          <t>EBIT MARGIN</t>
        </is>
      </c>
      <c r="D329" s="333" t="str">
        <f>IFERROR((D79/D15),"")</f>
        <v/>
      </c>
      <c r="E329" s="333" t="str">
        <f>IFERROR((E79/E15),"")</f>
        <v/>
      </c>
      <c r="F329" s="333" t="str">
        <f>IFERROR((F79/F15),"")</f>
        <v/>
      </c>
      <c r="G329" s="333" t="str">
        <f>IFERROR((G79/G15),"")</f>
        <v/>
      </c>
      <c r="I329" s="336">
        <f>IFERROR((I79/I15),"")</f>
        <v>0.102021018593371</v>
      </c>
      <c r="J329" s="336">
        <f>IFERROR((J79/J15),"")</f>
        <v>0.0623481781376518</v>
      </c>
      <c r="K329" s="336">
        <f>IFERROR((K79/K15),"")</f>
        <v>0.00901005928985411</v>
      </c>
      <c r="L329" s="336">
        <f>IFERROR((L79/L15),"")</f>
        <v>0.144090056285178</v>
      </c>
      <c r="N329" s="336">
        <f>IFERROR((N79/N15),"")</f>
        <v>0.148757778727851</v>
      </c>
      <c r="O329" s="336">
        <f>IFERROR((O79/O15),"")</f>
        <v>0.238179474110275</v>
      </c>
      <c r="P329" s="336">
        <f>IFERROR((P79/P15),"")</f>
        <v>0.0956459075290604</v>
      </c>
      <c r="Q329" s="336">
        <f>IFERROR((Q79/Q15),"")</f>
        <v>0.173657246083532</v>
      </c>
      <c r="S329" s="336">
        <f>IFERROR((S79/S15),"")</f>
        <v>0.154739589921687</v>
      </c>
      <c r="T329" s="336">
        <f>IFERROR((T79/T15),"")</f>
        <v>0.0686261363941109</v>
      </c>
      <c r="U329" s="336">
        <f>IFERROR((U79/U15),"")</f>
        <v>0.140943025540275</v>
      </c>
      <c r="V329" s="336">
        <f>IFERROR((V79/V15),"")</f>
        <v>0.0178072448305644</v>
      </c>
      <c r="X329" s="336">
        <f>IFERROR((X79/X15),"")</f>
        <v>0.137738348188416</v>
      </c>
      <c r="Y329" s="336">
        <f>IFERROR((Y79/Y15),"")</f>
        <v>0.108040234747458</v>
      </c>
      <c r="Z329" s="336">
        <f>IFERROR((Z79/Z15),"")</f>
        <v>0.0994809323524033</v>
      </c>
      <c r="AA329" s="336">
        <f>IFERROR((AA79/AA15),"")</f>
        <v>0.0737617115010335</v>
      </c>
      <c r="AC329" s="336">
        <f>IFERROR((AC79/AC15),"")</f>
        <v>0.132304936880723</v>
      </c>
      <c r="AD329" s="336">
        <f>IFERROR((AD79/AD15),"")</f>
        <v>0.0919334617619179</v>
      </c>
      <c r="AE329" s="336">
        <f>IFERROR((AE79/AE15),"")</f>
        <v>0.101976435373351</v>
      </c>
      <c r="AF329" s="336">
        <f>IFERROR((AF79/AF15),"")</f>
        <v>0.0851731078276879</v>
      </c>
      <c r="AH329" s="336">
        <f>IFERROR((AH79/AH15),"")</f>
        <v>0.148656210988506</v>
      </c>
      <c r="AI329" s="336">
        <f>IFERROR((AI79/AI15),"")</f>
        <v>0.160324938730668</v>
      </c>
      <c r="AJ329" s="336">
        <f>IFERROR((AJ79/AJ15),"")</f>
        <v>0</v>
      </c>
      <c r="AK329" s="336">
        <f>IFERROR((AK79/AK15),"")</f>
        <v>0</v>
      </c>
      <c r="AM329" s="336">
        <f>IFERROR((AM79/AM15),"")</f>
        <v>0</v>
      </c>
      <c r="AN329" s="336">
        <f>IFERROR((AN79/AN15),"")</f>
        <v>0</v>
      </c>
      <c r="AO329" s="336">
        <f>IFERROR((AO79/AO15),"")</f>
        <v>0</v>
      </c>
      <c r="AP329" s="336">
        <f>IFERROR((AP79/AP15),"")</f>
        <v>0</v>
      </c>
      <c r="AR329" s="336">
        <f>IFERROR((AR79/AR15),"")</f>
        <v>0</v>
      </c>
      <c r="AS329" s="336">
        <f>IFERROR((AS79/AS15),"")</f>
        <v>0</v>
      </c>
      <c r="AT329" s="336">
        <f>IFERROR((AT79/AT15),"")</f>
        <v>0</v>
      </c>
      <c r="AU329" s="336">
        <f>IFERROR((AU79/AU15),"")</f>
        <v>0</v>
      </c>
      <c r="AW329" s="336">
        <f>IFERROR((AW79/AW15),"")</f>
        <v>0</v>
      </c>
      <c r="AX329" s="336">
        <f>IFERROR((AX79/AX15),"")</f>
        <v>0</v>
      </c>
      <c r="AY329" s="336">
        <f>IFERROR((AY79/AY15),"")</f>
        <v>0</v>
      </c>
      <c r="AZ329" s="336">
        <f>IFERROR((AZ79/AZ15),"")</f>
        <v>0</v>
      </c>
      <c r="BB329" s="336">
        <f>IFERROR((BB79/BB15),"")</f>
        <v>0</v>
      </c>
      <c r="BC329" s="336">
        <f>IFERROR((BC79/BC15),"")</f>
        <v>0</v>
      </c>
      <c r="BD329" s="336">
        <f>IFERROR((BD79/BD15),"")</f>
        <v>0</v>
      </c>
      <c r="BE329" s="336">
        <f>IFERROR((BE79/BE15),"")</f>
        <v>0</v>
      </c>
      <c r="BG329" s="336">
        <f>IFERROR((BG79/BG15),"")</f>
        <v>0</v>
      </c>
      <c r="BH329" s="336">
        <f>IFERROR((BH79/BH15),"")</f>
        <v>0</v>
      </c>
      <c r="BI329" s="336">
        <f>IFERROR((BI79/BI15),"")</f>
        <v>0</v>
      </c>
      <c r="BJ329" s="336">
        <f>IFERROR((BJ79/BJ15),"")</f>
        <v>0</v>
      </c>
      <c r="BL329" s="336">
        <f>IFERROR((BL79/BL15),"")</f>
        <v>0</v>
      </c>
      <c r="BM329" s="336">
        <f>IFERROR((BM79/BM15),"")</f>
        <v>0</v>
      </c>
      <c r="BN329" s="336">
        <f>IFERROR((BN79/BN15),"")</f>
        <v>0</v>
      </c>
      <c r="BO329" s="336">
        <f>IFERROR((BO79/BO15),"")</f>
        <v>0</v>
      </c>
      <c r="BQ329" s="336">
        <f>IFERROR((BQ79/BQ15),"")</f>
        <v>0</v>
      </c>
      <c r="BR329" s="336">
        <f>IFERROR((BR79/BR15),"")</f>
        <v>0</v>
      </c>
      <c r="BS329" s="336">
        <f>IFERROR((BS79/BS15),"")</f>
        <v>0</v>
      </c>
      <c r="BT329" s="336">
        <f>IFERROR((BT79/BT15),"")</f>
        <v>0</v>
      </c>
      <c r="BV329" s="336">
        <f>IFERROR((BV79/BV15),"")</f>
        <v>0</v>
      </c>
      <c r="BW329" s="336">
        <f>IFERROR((BW79/BW15),"")</f>
        <v>0</v>
      </c>
      <c r="BX329" s="336">
        <f>IFERROR((BX79/BX15),"")</f>
        <v>0</v>
      </c>
      <c r="BY329" s="336">
        <f>IFERROR((BY79/BY15),"")</f>
        <v>0</v>
      </c>
      <c r="CA329" s="336">
        <f>IFERROR((CA79/CA15),"")</f>
        <v>0</v>
      </c>
      <c r="CB329" s="336">
        <f>IFERROR((CB79/CB15),"")</f>
        <v>0</v>
      </c>
      <c r="CC329" s="336">
        <f>IFERROR((CC79/CC15),"")</f>
        <v>0</v>
      </c>
      <c r="CD329" s="336">
        <f>IFERROR((CD79/CD15),"")</f>
        <v>0</v>
      </c>
      <c r="CF329" s="336">
        <f>IFERROR((CF79/CF15),"")</f>
        <v>0</v>
      </c>
      <c r="CG329" s="336">
        <f>IFERROR((CG79/CG15),"")</f>
        <v>0</v>
      </c>
      <c r="CH329" s="336">
        <f>IFERROR((CH79/CH15),"")</f>
        <v>0</v>
      </c>
      <c r="CI329" s="336">
        <f>IFERROR((CI79/CI15),"")</f>
        <v>0</v>
      </c>
      <c r="CK329" s="336">
        <f>IFERROR((CK79/CK15),"")</f>
        <v>0</v>
      </c>
      <c r="CL329" s="336">
        <f>IFERROR((CL79/CL15),"")</f>
        <v>0</v>
      </c>
      <c r="CM329" s="336">
        <f>IFERROR((CM79/CM15),"")</f>
        <v>0</v>
      </c>
      <c r="CN329" s="336">
        <f>IFERROR((CN79/CN15),"")</f>
        <v>0</v>
      </c>
      <c r="CP329" s="336">
        <f>IFERROR((CP79/CP15),"")</f>
        <v>0</v>
      </c>
      <c r="CQ329" s="336">
        <f>IFERROR((CQ79/CQ15),"")</f>
        <v>0</v>
      </c>
      <c r="CR329" s="336">
        <f>IFERROR((CR79/CR15),"")</f>
        <v>0</v>
      </c>
      <c r="CS329" s="336">
        <f>IFERROR((CS79/CS15),"")</f>
        <v>0</v>
      </c>
      <c r="CU329" s="336">
        <f>IFERROR((CU79/CU15),"")</f>
        <v>0</v>
      </c>
      <c r="CV329" s="336">
        <f>IFERROR((CV79/CV15),"")</f>
        <v>0</v>
      </c>
      <c r="CW329" s="336">
        <f>IFERROR((CW79/CW15),"")</f>
        <v>0</v>
      </c>
      <c r="CX329" s="336">
        <f>IFERROR((CX79/CX15),"")</f>
        <v>0</v>
      </c>
    </row>
    <row r="330" ht="12.75" customFormat="1" customHeight="1" s="331">
      <c r="A330" s="332" t="n"/>
      <c r="B330" s="332" t="n"/>
      <c r="C330" s="331" t="inlineStr">
        <is>
          <t>EBITDA MARTGIN</t>
        </is>
      </c>
      <c r="D330" s="333" t="str">
        <f>IFERROR(D75/D15,"")</f>
        <v/>
      </c>
      <c r="E330" s="333" t="str">
        <f>IFERROR(E75/E15,"")</f>
        <v/>
      </c>
      <c r="F330" s="333" t="str">
        <f>IFERROR(F75/F15,"")</f>
        <v/>
      </c>
      <c r="G330" s="333" t="str">
        <f>IFERROR(G75/G15,"")</f>
        <v/>
      </c>
      <c r="I330" s="336">
        <f>IFERROR(I75/I15,"")</f>
        <v>0.207940357495733</v>
      </c>
      <c r="J330" s="336">
        <f>IFERROR(J75/J15,"")</f>
        <v>0.198231843344625</v>
      </c>
      <c r="K330" s="336">
        <f>IFERROR(K75/K15,"")</f>
        <v>0.114899074012391</v>
      </c>
      <c r="L330" s="336">
        <f>IFERROR(L75/L15,"")</f>
        <v>0.219664634146341</v>
      </c>
      <c r="N330" s="336">
        <f>IFERROR(N75/N15,"")</f>
        <v>0.22351669754406</v>
      </c>
      <c r="O330" s="336">
        <f>IFERROR(O75/O15,"")</f>
        <v>0.234701526099601</v>
      </c>
      <c r="P330" s="336">
        <f>IFERROR(P75/P15,"")</f>
        <v>0.159604800050131</v>
      </c>
      <c r="Q330" s="336">
        <f>IFERROR(Q75/Q15,"")</f>
        <v>0.237416463480845</v>
      </c>
      <c r="S330" s="336">
        <f>IFERROR(S75/S15,"")</f>
        <v>0.227015030071643</v>
      </c>
      <c r="T330" s="336">
        <f>IFERROR(T75/T15,"")</f>
        <v>0.174180053098769</v>
      </c>
      <c r="U330" s="336">
        <f>IFERROR(U75/U15,"")</f>
        <v>0.218362802881467</v>
      </c>
      <c r="V330" s="336">
        <f>IFERROR(V75/V15,"")</f>
        <v>0.160328710054362</v>
      </c>
      <c r="X330" s="336">
        <f>IFERROR(X75/X15,"")</f>
        <v>0.218880211926378</v>
      </c>
      <c r="Y330" s="336">
        <f>IFERROR(Y75/Y15,"")</f>
        <v>0.209500020144233</v>
      </c>
      <c r="Z330" s="336">
        <f>IFERROR(Z75/Z15,"")</f>
        <v>0.182700558454895</v>
      </c>
      <c r="AA330" s="336">
        <f>IFERROR(AA75/AA15,"")</f>
        <v>0.187218056456601</v>
      </c>
      <c r="AC330" s="336">
        <f>IFERROR(AC75/AC15,"")</f>
        <v>0.210893491637057</v>
      </c>
      <c r="AD330" s="336">
        <f>IFERROR(AD75/AD15,"")</f>
        <v>0.193911873528422</v>
      </c>
      <c r="AE330" s="336">
        <f>IFERROR(AE75/AE15,"")</f>
        <v>0.19892007688583</v>
      </c>
      <c r="AF330" s="336">
        <f>IFERROR(AF75/AF15,"")</f>
        <v>0.187852027522506</v>
      </c>
      <c r="AH330" s="336">
        <f>IFERROR(AH75/AH15,"")</f>
        <v>0.231062834512347</v>
      </c>
      <c r="AI330" s="336">
        <f>IFERROR(AI75/AI15,"")</f>
        <v>0.225640158877715</v>
      </c>
      <c r="AJ330" s="336">
        <f>IFERROR(AJ75/AJ15,"")</f>
        <v>0</v>
      </c>
      <c r="AK330" s="336">
        <f>IFERROR(AK75/AK15,"")</f>
        <v>0</v>
      </c>
      <c r="AM330" s="336">
        <f>IFERROR(AM75/AM15,"")</f>
        <v>0</v>
      </c>
      <c r="AN330" s="336">
        <f>IFERROR(AN75/AN15,"")</f>
        <v>0</v>
      </c>
      <c r="AO330" s="336">
        <f>IFERROR(AO75/AO15,"")</f>
        <v>0</v>
      </c>
      <c r="AP330" s="336">
        <f>IFERROR(AP75/AP15,"")</f>
        <v>0</v>
      </c>
      <c r="AR330" s="336">
        <f>IFERROR(AR75/AR15,"")</f>
        <v>0</v>
      </c>
      <c r="AS330" s="336">
        <f>IFERROR(AS75/AS15,"")</f>
        <v>0</v>
      </c>
      <c r="AT330" s="336">
        <f>IFERROR(AT75/AT15,"")</f>
        <v>0</v>
      </c>
      <c r="AU330" s="336">
        <f>IFERROR(AU75/AU15,"")</f>
        <v>0</v>
      </c>
      <c r="AW330" s="336">
        <f>IFERROR(AW75/AW15,"")</f>
        <v>0</v>
      </c>
      <c r="AX330" s="336">
        <f>IFERROR(AX75/AX15,"")</f>
        <v>0</v>
      </c>
      <c r="AY330" s="336">
        <f>IFERROR(AY75/AY15,"")</f>
        <v>0</v>
      </c>
      <c r="AZ330" s="336">
        <f>IFERROR(AZ75/AZ15,"")</f>
        <v>0</v>
      </c>
      <c r="BB330" s="336">
        <f>IFERROR(BB75/BB15,"")</f>
        <v>0</v>
      </c>
      <c r="BC330" s="336">
        <f>IFERROR(BC75/BC15,"")</f>
        <v>0</v>
      </c>
      <c r="BD330" s="336">
        <f>IFERROR(BD75/BD15,"")</f>
        <v>0</v>
      </c>
      <c r="BE330" s="336">
        <f>IFERROR(BE75/BE15,"")</f>
        <v>0</v>
      </c>
      <c r="BG330" s="336">
        <f>IFERROR(BG75/BG15,"")</f>
        <v>0</v>
      </c>
      <c r="BH330" s="336">
        <f>IFERROR(BH75/BH15,"")</f>
        <v>0</v>
      </c>
      <c r="BI330" s="336">
        <f>IFERROR(BI75/BI15,"")</f>
        <v>0</v>
      </c>
      <c r="BJ330" s="336">
        <f>IFERROR(BJ75/BJ15,"")</f>
        <v>0</v>
      </c>
      <c r="BL330" s="336">
        <f>IFERROR(BL75/BL15,"")</f>
        <v>0</v>
      </c>
      <c r="BM330" s="336">
        <f>IFERROR(BM75/BM15,"")</f>
        <v>0</v>
      </c>
      <c r="BN330" s="336">
        <f>IFERROR(BN75/BN15,"")</f>
        <v>0</v>
      </c>
      <c r="BO330" s="336">
        <f>IFERROR(BO75/BO15,"")</f>
        <v>0</v>
      </c>
      <c r="BQ330" s="336">
        <f>IFERROR(BQ75/BQ15,"")</f>
        <v>0</v>
      </c>
      <c r="BR330" s="336">
        <f>IFERROR(BR75/BR15,"")</f>
        <v>0</v>
      </c>
      <c r="BS330" s="336">
        <f>IFERROR(BS75/BS15,"")</f>
        <v>0</v>
      </c>
      <c r="BT330" s="336">
        <f>IFERROR(BT75/BT15,"")</f>
        <v>0</v>
      </c>
      <c r="BV330" s="336">
        <f>IFERROR(BV75/BV15,"")</f>
        <v>0</v>
      </c>
      <c r="BW330" s="336">
        <f>IFERROR(BW75/BW15,"")</f>
        <v>0</v>
      </c>
      <c r="BX330" s="336">
        <f>IFERROR(BX75/BX15,"")</f>
        <v>0</v>
      </c>
      <c r="BY330" s="336">
        <f>IFERROR(BY75/BY15,"")</f>
        <v>0</v>
      </c>
      <c r="CA330" s="336">
        <f>IFERROR(CA75/CA15,"")</f>
        <v>0</v>
      </c>
      <c r="CB330" s="336">
        <f>IFERROR(CB75/CB15,"")</f>
        <v>0</v>
      </c>
      <c r="CC330" s="336">
        <f>IFERROR(CC75/CC15,"")</f>
        <v>0</v>
      </c>
      <c r="CD330" s="336">
        <f>IFERROR(CD75/CD15,"")</f>
        <v>0</v>
      </c>
      <c r="CF330" s="336">
        <f>IFERROR(CF75/CF15,"")</f>
        <v>0</v>
      </c>
      <c r="CG330" s="336">
        <f>IFERROR(CG75/CG15,"")</f>
        <v>0</v>
      </c>
      <c r="CH330" s="336">
        <f>IFERROR(CH75/CH15,"")</f>
        <v>0</v>
      </c>
      <c r="CI330" s="336">
        <f>IFERROR(CI75/CI15,"")</f>
        <v>0</v>
      </c>
      <c r="CK330" s="336">
        <f>IFERROR(CK75/CK15,"")</f>
        <v>0</v>
      </c>
      <c r="CL330" s="336">
        <f>IFERROR(CL75/CL15,"")</f>
        <v>0</v>
      </c>
      <c r="CM330" s="336">
        <f>IFERROR(CM75/CM15,"")</f>
        <v>0</v>
      </c>
      <c r="CN330" s="336">
        <f>IFERROR(CN75/CN15,"")</f>
        <v>0</v>
      </c>
      <c r="CP330" s="336">
        <f>IFERROR(CP75/CP15,"")</f>
        <v>0</v>
      </c>
      <c r="CQ330" s="336">
        <f>IFERROR(CQ75/CQ15,"")</f>
        <v>0</v>
      </c>
      <c r="CR330" s="336">
        <f>IFERROR(CR75/CR15,"")</f>
        <v>0</v>
      </c>
      <c r="CS330" s="336">
        <f>IFERROR(CS75/CS15,"")</f>
        <v>0</v>
      </c>
      <c r="CU330" s="336">
        <f>IFERROR(CU75/CU15,"")</f>
        <v>0</v>
      </c>
      <c r="CV330" s="336">
        <f>IFERROR(CV75/CV15,"")</f>
        <v>0</v>
      </c>
      <c r="CW330" s="336">
        <f>IFERROR(CW75/CW15,"")</f>
        <v>0</v>
      </c>
      <c r="CX330" s="336">
        <f>IFERROR(CX75/CX15,"")</f>
        <v>0</v>
      </c>
    </row>
    <row r="331" ht="12.75" customFormat="1" customHeight="1" s="331">
      <c r="A331" s="332" t="n"/>
      <c r="B331" s="332" t="n"/>
      <c r="C331" s="331" t="inlineStr">
        <is>
          <t>ETR</t>
        </is>
      </c>
      <c r="D331" s="333" t="str">
        <f>IFERROR(-D137/D136,"")</f>
        <v/>
      </c>
      <c r="E331" s="333" t="str">
        <f>IFERROR(-E137/E136,"")</f>
        <v/>
      </c>
      <c r="F331" s="333" t="str">
        <f>IFERROR(-F137/F136,"")</f>
        <v/>
      </c>
      <c r="G331" s="333" t="str">
        <f>IFERROR(-G137/G136,"")</f>
        <v/>
      </c>
      <c r="I331" s="336">
        <f>IFERROR(-I137/I136,"")</f>
        <v>0.297802598033265</v>
      </c>
      <c r="J331" s="336">
        <f>IFERROR(-J137/J136,"")</f>
        <v>0.138256658595642</v>
      </c>
      <c r="K331" s="336">
        <f>IFERROR(-K137/K136,"")</f>
        <v>1.26571668063705</v>
      </c>
      <c r="L331" s="336">
        <f>IFERROR(-L137/L136,"")</f>
        <v>0.286741655910013</v>
      </c>
      <c r="N331" s="336">
        <f>IFERROR(-N137/N136,"")</f>
        <v>0.320805493689681</v>
      </c>
      <c r="O331" s="336">
        <f>IFERROR(-O137/O136,"")</f>
        <v>0.30282874617737</v>
      </c>
      <c r="P331" s="336">
        <f>IFERROR(-P137/P136,"")</f>
        <v>0.40113686051596</v>
      </c>
      <c r="Q331" s="336">
        <f>IFERROR(-Q137/Q136,"")</f>
        <v>0.3633765128018</v>
      </c>
      <c r="S331" s="336">
        <f>IFERROR(-S137/S136,"")</f>
        <v>0.388881148112025</v>
      </c>
      <c r="T331" s="336">
        <f>IFERROR(-T137/T136,"")</f>
        <v>0.410433807030666</v>
      </c>
      <c r="U331" s="336">
        <f>IFERROR(-U137/U136,"")</f>
        <v>0.364449561597733</v>
      </c>
      <c r="V331" s="336">
        <f>IFERROR(-V137/V136,"")</f>
        <v>0.67217125382263</v>
      </c>
      <c r="X331" s="336">
        <f>IFERROR(-X137/X136,"")</f>
        <v>0.32633103947845</v>
      </c>
      <c r="Y331" s="336">
        <f>IFERROR(-Y137/Y136,"")</f>
        <v>0.507023230686116</v>
      </c>
      <c r="Z331" s="336">
        <f>IFERROR(-Z137/Z136,"")</f>
        <v>0.396011004126547</v>
      </c>
      <c r="AA331" s="336">
        <f>IFERROR(-AA137/AA136,"")</f>
        <v>0.75243757431629</v>
      </c>
      <c r="AC331" s="336">
        <f>IFERROR(-AC137/AC136,"")</f>
        <v>0.455742828440674</v>
      </c>
      <c r="AD331" s="336">
        <f>IFERROR(-AD137/AD136,"")</f>
        <v>0.390292887029289</v>
      </c>
      <c r="AE331" s="336">
        <f>IFERROR(-AE137/AE136,"")</f>
        <v>0.316002019182231</v>
      </c>
      <c r="AF331" s="336">
        <f>IFERROR(-AF137/AF136,"")</f>
        <v>0.394027254276602</v>
      </c>
      <c r="AH331" s="336">
        <f>IFERROR(-AH137/AH136,"")</f>
        <v>0.382718696397942</v>
      </c>
      <c r="AI331" s="336">
        <f>IFERROR(-AI137/AI136,"")</f>
        <v>0.314142440015234</v>
      </c>
      <c r="AJ331" s="336">
        <f>IFERROR(-AJ137/AJ136,"")</f>
        <v>0</v>
      </c>
      <c r="AK331" s="336">
        <f>IFERROR(-AK137/AK136,"")</f>
        <v>0</v>
      </c>
      <c r="AM331" s="336">
        <f>IFERROR(-AM137/AM136,"")</f>
        <v>0</v>
      </c>
      <c r="AN331" s="336">
        <f>IFERROR(-AN137/AN136,"")</f>
        <v>0</v>
      </c>
      <c r="AO331" s="336">
        <f>IFERROR(-AO137/AO136,"")</f>
        <v>0</v>
      </c>
      <c r="AP331" s="336">
        <f>IFERROR(-AP137/AP136,"")</f>
        <v>0</v>
      </c>
      <c r="AR331" s="336">
        <f>IFERROR(-AR137/AR136,"")</f>
        <v>0</v>
      </c>
      <c r="AS331" s="336">
        <f>IFERROR(-AS137/AS136,"")</f>
        <v>0</v>
      </c>
      <c r="AT331" s="336">
        <f>IFERROR(-AT137/AT136,"")</f>
        <v>0</v>
      </c>
      <c r="AU331" s="336">
        <f>IFERROR(-AU137/AU136,"")</f>
        <v>0</v>
      </c>
      <c r="AW331" s="336">
        <f>IFERROR(-AW137/AW136,"")</f>
        <v>0</v>
      </c>
      <c r="AX331" s="336">
        <f>IFERROR(-AX137/AX136,"")</f>
        <v>0</v>
      </c>
      <c r="AY331" s="336">
        <f>IFERROR(-AY137/AY136,"")</f>
        <v>0</v>
      </c>
      <c r="AZ331" s="336">
        <f>IFERROR(-AZ137/AZ136,"")</f>
        <v>0</v>
      </c>
      <c r="BB331" s="336">
        <f>IFERROR(-BB137/BB136,"")</f>
        <v>0</v>
      </c>
      <c r="BC331" s="336">
        <f>IFERROR(-BC137/BC136,"")</f>
        <v>0</v>
      </c>
      <c r="BD331" s="336">
        <f>IFERROR(-BD137/BD136,"")</f>
        <v>0</v>
      </c>
      <c r="BE331" s="336">
        <f>IFERROR(-BE137/BE136,"")</f>
        <v>0</v>
      </c>
      <c r="BG331" s="336">
        <f>IFERROR(-BG137/BG136,"")</f>
        <v>0</v>
      </c>
      <c r="BH331" s="336">
        <f>IFERROR(-BH137/BH136,"")</f>
        <v>0</v>
      </c>
      <c r="BI331" s="336">
        <f>IFERROR(-BI137/BI136,"")</f>
        <v>0</v>
      </c>
      <c r="BJ331" s="336">
        <f>IFERROR(-BJ137/BJ136,"")</f>
        <v>0</v>
      </c>
      <c r="BL331" s="336">
        <f>IFERROR(-BL137/BL136,"")</f>
        <v>0</v>
      </c>
      <c r="BM331" s="336">
        <f>IFERROR(-BM137/BM136,"")</f>
        <v>0</v>
      </c>
      <c r="BN331" s="336">
        <f>IFERROR(-BN137/BN136,"")</f>
        <v>0</v>
      </c>
      <c r="BO331" s="336">
        <f>IFERROR(-BO137/BO136,"")</f>
        <v>0</v>
      </c>
      <c r="BQ331" s="336">
        <f>IFERROR(-BQ137/BQ136,"")</f>
        <v>0</v>
      </c>
      <c r="BR331" s="336">
        <f>IFERROR(-BR137/BR136,"")</f>
        <v>0</v>
      </c>
      <c r="BS331" s="336">
        <f>IFERROR(-BS137/BS136,"")</f>
        <v>0</v>
      </c>
      <c r="BT331" s="336">
        <f>IFERROR(-BT137/BT136,"")</f>
        <v>0</v>
      </c>
      <c r="BV331" s="336">
        <f>IFERROR(-BV137/BV136,"")</f>
        <v>0</v>
      </c>
      <c r="BW331" s="336">
        <f>IFERROR(-BW137/BW136,"")</f>
        <v>0</v>
      </c>
      <c r="BX331" s="336">
        <f>IFERROR(-BX137/BX136,"")</f>
        <v>0</v>
      </c>
      <c r="BY331" s="336">
        <f>IFERROR(-BY137/BY136,"")</f>
        <v>0</v>
      </c>
      <c r="CA331" s="336">
        <f>IFERROR(-CA137/CA136,"")</f>
        <v>0</v>
      </c>
      <c r="CB331" s="336">
        <f>IFERROR(-CB137/CB136,"")</f>
        <v>0</v>
      </c>
      <c r="CC331" s="336">
        <f>IFERROR(-CC137/CC136,"")</f>
        <v>0</v>
      </c>
      <c r="CD331" s="336">
        <f>IFERROR(-CD137/CD136,"")</f>
        <v>0</v>
      </c>
      <c r="CF331" s="336">
        <f>IFERROR(-CF137/CF136,"")</f>
        <v>0</v>
      </c>
      <c r="CG331" s="336">
        <f>IFERROR(-CG137/CG136,"")</f>
        <v>0</v>
      </c>
      <c r="CH331" s="336">
        <f>IFERROR(-CH137/CH136,"")</f>
        <v>0</v>
      </c>
      <c r="CI331" s="336">
        <f>IFERROR(-CI137/CI136,"")</f>
        <v>0</v>
      </c>
      <c r="CK331" s="336">
        <f>IFERROR(-CK137/CK136,"")</f>
        <v>0</v>
      </c>
      <c r="CL331" s="336">
        <f>IFERROR(-CL137/CL136,"")</f>
        <v>0</v>
      </c>
      <c r="CM331" s="336">
        <f>IFERROR(-CM137/CM136,"")</f>
        <v>0</v>
      </c>
      <c r="CN331" s="336">
        <f>IFERROR(-CN137/CN136,"")</f>
        <v>0</v>
      </c>
      <c r="CP331" s="336">
        <f>IFERROR(-CP137/CP136,"")</f>
        <v>0</v>
      </c>
      <c r="CQ331" s="336">
        <f>IFERROR(-CQ137/CQ136,"")</f>
        <v>0</v>
      </c>
      <c r="CR331" s="336">
        <f>IFERROR(-CR137/CR136,"")</f>
        <v>0</v>
      </c>
      <c r="CS331" s="336">
        <f>IFERROR(-CS137/CS136,"")</f>
        <v>0</v>
      </c>
      <c r="CU331" s="336">
        <f>IFERROR(-CU137/CU136,"")</f>
        <v>0</v>
      </c>
      <c r="CV331" s="336">
        <f>IFERROR(-CV137/CV136,"")</f>
        <v>0</v>
      </c>
      <c r="CW331" s="336">
        <f>IFERROR(-CW137/CW136,"")</f>
        <v>0</v>
      </c>
      <c r="CX331" s="336">
        <f>IFERROR(-CX137/CX136,"")</f>
        <v>0</v>
      </c>
    </row>
    <row r="332" ht="12.75" customFormat="1" customHeight="1" s="331">
      <c r="A332" s="332" t="n"/>
      <c r="B332" s="332" t="n"/>
    </row>
    <row r="333" ht="12.75" customFormat="1" customHeight="1" s="331">
      <c r="A333" s="332" t="n"/>
      <c r="B333" s="332" t="n"/>
      <c r="C333" s="329" t="inlineStr">
        <is>
          <t>CAPITAL STRUCTURE</t>
        </is>
      </c>
    </row>
    <row r="334" ht="12.75" customFormat="1" customHeight="1" s="331">
      <c r="A334" s="332" t="n"/>
      <c r="B334" s="332" t="n"/>
      <c r="C334" s="331" t="inlineStr">
        <is>
          <t>MARKET DEBT / EQUITY</t>
        </is>
      </c>
    </row>
    <row r="335" ht="12.75" customFormat="1" customHeight="1" s="331">
      <c r="A335" s="332" t="n"/>
      <c r="B335" s="332" t="n"/>
      <c r="C335" s="331" t="inlineStr">
        <is>
          <t>NET DEBT / (NET DEBT + MARKET CAP)</t>
        </is>
      </c>
    </row>
    <row r="336" ht="12.75" customFormat="1" customHeight="1" s="331">
      <c r="A336" s="332" t="n"/>
      <c r="B336" s="332" t="n"/>
    </row>
    <row r="337" ht="12.75" customFormat="1" customHeight="1" s="331">
      <c r="A337" s="332" t="n"/>
      <c r="B337" s="332" t="n"/>
      <c r="C337" s="329" t="inlineStr">
        <is>
          <t>FINANCIAL RISK RATIOS</t>
        </is>
      </c>
    </row>
    <row r="338" ht="12.75" customFormat="1" customHeight="1" s="331">
      <c r="A338" s="332" t="n"/>
      <c r="B338" s="332" t="n"/>
      <c r="C338" s="331" t="inlineStr">
        <is>
          <t>EBITDA / TOTAL INTEREST</t>
        </is>
      </c>
      <c r="D338" s="337" t="str">
        <f>IFERROR(D75/-D80,"")</f>
        <v/>
      </c>
      <c r="E338" s="337" t="str">
        <f>IFERROR(E75/-E80,"")</f>
        <v/>
      </c>
      <c r="F338" s="337" t="str">
        <f>IFERROR(F75/-F80,"")</f>
        <v/>
      </c>
      <c r="G338" s="337" t="str">
        <f>IFERROR(G75/-G80,"")</f>
        <v/>
      </c>
      <c r="I338" s="337">
        <f>IFERROR(I75/-I80,"")</f>
        <v>12.9764573991031</v>
      </c>
      <c r="J338" s="337">
        <f>IFERROR(J75/-J80,"")</f>
        <v>13.4333706606943</v>
      </c>
      <c r="K338" s="337">
        <f>IFERROR(K75/-K80,"")</f>
        <v>8.0314318975553</v>
      </c>
      <c r="L338" s="337">
        <f>IFERROR(L75/-L80,"")</f>
        <v>19.4527518172378</v>
      </c>
      <c r="N338" s="337">
        <f>IFERROR(N75/-N80,"")</f>
        <v>26.4711673699015</v>
      </c>
      <c r="O338" s="337">
        <f>IFERROR(O75/-O80,"")</f>
        <v>33.789928057554</v>
      </c>
      <c r="P338" s="337">
        <f>IFERROR(P75/-P80,"")</f>
        <v>20.8201634877384</v>
      </c>
      <c r="Q338" s="337">
        <f>IFERROR(Q75/-Q80,"")</f>
        <v>23.1259615384615</v>
      </c>
      <c r="S338" s="337">
        <f>IFERROR(S75/-S80,"")</f>
        <v>16.9450643776824</v>
      </c>
      <c r="T338" s="337">
        <f>IFERROR(T75/-T80,"")</f>
        <v>10.7266721717589</v>
      </c>
      <c r="U338" s="337">
        <f>IFERROR(U75/-U80,"")</f>
        <v>14.7409372236958</v>
      </c>
      <c r="V338" s="337">
        <f>IFERROR(V75/-V80,"")</f>
        <v>10.8259005145798</v>
      </c>
      <c r="X338" s="337">
        <f>IFERROR(X75/-X80,"")</f>
        <v>13.6288659793814</v>
      </c>
      <c r="Y338" s="337">
        <f>IFERROR(Y75/-Y80,"")</f>
        <v>12.6315789473684</v>
      </c>
      <c r="Z338" s="337">
        <f>IFERROR(Z75/-Z80,"")</f>
        <v>11.0630323679727</v>
      </c>
      <c r="AA338" s="337">
        <f>IFERROR(AA75/-AA80,"")</f>
        <v>10.2300082440231</v>
      </c>
      <c r="AC338" s="337">
        <f>IFERROR(AC75/-AC80,"")</f>
        <v>13.0366071428571</v>
      </c>
      <c r="AD338" s="337">
        <f>IFERROR(AD75/-AD80,"")</f>
        <v>11.7981395348837</v>
      </c>
      <c r="AE338" s="337">
        <f>IFERROR(AE75/-AE80,"")</f>
        <v>10.5584112149533</v>
      </c>
      <c r="AF338" s="337">
        <f>IFERROR(AF75/-AF80,"")</f>
        <v>10.092204526404</v>
      </c>
      <c r="AH338" s="337">
        <f>IFERROR(AH75/-AH80,"")</f>
        <v>10.9321113374067</v>
      </c>
      <c r="AI338" s="337">
        <f>IFERROR(AI75/-AI80,"")</f>
        <v>19.1741472172352</v>
      </c>
      <c r="AJ338" s="337" t="str">
        <f>IFERROR(AJ75/-AJ80,"")</f>
        <v/>
      </c>
      <c r="AK338" s="337" t="str">
        <f>IFERROR(AK75/-AK80,"")</f>
        <v/>
      </c>
      <c r="AM338" s="337" t="str">
        <f>IFERROR(AM75/-AM80,"")</f>
        <v/>
      </c>
      <c r="AN338" s="337" t="str">
        <f>IFERROR(AN75/-AN80,"")</f>
        <v/>
      </c>
      <c r="AO338" s="337" t="str">
        <f>IFERROR(AO75/-AO80,"")</f>
        <v/>
      </c>
      <c r="AP338" s="337" t="str">
        <f>IFERROR(AP75/-AP80,"")</f>
        <v/>
      </c>
      <c r="AR338" s="337" t="str">
        <f>IFERROR(AR75/-AR80,"")</f>
        <v/>
      </c>
      <c r="AS338" s="337" t="str">
        <f>IFERROR(AS75/-AS80,"")</f>
        <v/>
      </c>
      <c r="AT338" s="337" t="str">
        <f>IFERROR(AT75/-AT80,"")</f>
        <v/>
      </c>
      <c r="AU338" s="337" t="str">
        <f>IFERROR(AU75/-AU80,"")</f>
        <v/>
      </c>
      <c r="AW338" s="337" t="str">
        <f>IFERROR(AW75/-AW80,"")</f>
        <v/>
      </c>
      <c r="AX338" s="337" t="str">
        <f>IFERROR(AX75/-AX80,"")</f>
        <v/>
      </c>
      <c r="AY338" s="337" t="str">
        <f>IFERROR(AY75/-AY80,"")</f>
        <v/>
      </c>
      <c r="AZ338" s="337" t="str">
        <f>IFERROR(AZ75/-AZ80,"")</f>
        <v/>
      </c>
      <c r="BB338" s="337" t="str">
        <f>IFERROR(BB75/-BB80,"")</f>
        <v/>
      </c>
      <c r="BC338" s="337" t="str">
        <f>IFERROR(BC75/-BC80,"")</f>
        <v/>
      </c>
      <c r="BD338" s="337" t="str">
        <f>IFERROR(BD75/-BD80,"")</f>
        <v/>
      </c>
      <c r="BE338" s="337" t="str">
        <f>IFERROR(BE75/-BE80,"")</f>
        <v/>
      </c>
      <c r="BG338" s="337" t="str">
        <f>IFERROR(BG75/-BG80,"")</f>
        <v/>
      </c>
      <c r="BH338" s="337" t="str">
        <f>IFERROR(BH75/-BH80,"")</f>
        <v/>
      </c>
      <c r="BI338" s="337" t="str">
        <f>IFERROR(BI75/-BI80,"")</f>
        <v/>
      </c>
      <c r="BJ338" s="337" t="str">
        <f>IFERROR(BJ75/-BJ80,"")</f>
        <v/>
      </c>
      <c r="BL338" s="337" t="str">
        <f>IFERROR(BL75/-BL80,"")</f>
        <v/>
      </c>
      <c r="BM338" s="337" t="str">
        <f>IFERROR(BM75/-BM80,"")</f>
        <v/>
      </c>
      <c r="BN338" s="337" t="str">
        <f>IFERROR(BN75/-BN80,"")</f>
        <v/>
      </c>
      <c r="BO338" s="337" t="str">
        <f>IFERROR(BO75/-BO80,"")</f>
        <v/>
      </c>
      <c r="BQ338" s="337" t="str">
        <f>IFERROR(BQ75/-BQ80,"")</f>
        <v/>
      </c>
      <c r="BR338" s="337" t="str">
        <f>IFERROR(BR75/-BR80,"")</f>
        <v/>
      </c>
      <c r="BS338" s="337" t="str">
        <f>IFERROR(BS75/-BS80,"")</f>
        <v/>
      </c>
      <c r="BT338" s="337" t="str">
        <f>IFERROR(BT75/-BT80,"")</f>
        <v/>
      </c>
      <c r="BV338" s="337" t="str">
        <f>IFERROR(BV75/-BV80,"")</f>
        <v/>
      </c>
      <c r="BW338" s="337" t="str">
        <f>IFERROR(BW75/-BW80,"")</f>
        <v/>
      </c>
      <c r="BX338" s="337" t="str">
        <f>IFERROR(BX75/-BX80,"")</f>
        <v/>
      </c>
      <c r="BY338" s="337" t="str">
        <f>IFERROR(BY75/-BY80,"")</f>
        <v/>
      </c>
      <c r="CA338" s="337" t="str">
        <f>IFERROR(CA75/-CA80,"")</f>
        <v/>
      </c>
      <c r="CB338" s="337" t="str">
        <f>IFERROR(CB75/-CB80,"")</f>
        <v/>
      </c>
      <c r="CC338" s="337" t="str">
        <f>IFERROR(CC75/-CC80,"")</f>
        <v/>
      </c>
      <c r="CD338" s="337" t="str">
        <f>IFERROR(CD75/-CD80,"")</f>
        <v/>
      </c>
      <c r="CF338" s="337" t="str">
        <f>IFERROR(CF75/-CF80,"")</f>
        <v/>
      </c>
      <c r="CG338" s="337" t="str">
        <f>IFERROR(CG75/-CG80,"")</f>
        <v/>
      </c>
      <c r="CH338" s="337" t="str">
        <f>IFERROR(CH75/-CH80,"")</f>
        <v/>
      </c>
      <c r="CI338" s="337" t="str">
        <f>IFERROR(CI75/-CI80,"")</f>
        <v/>
      </c>
      <c r="CK338" s="337" t="str">
        <f>IFERROR(CK75/-CK80,"")</f>
        <v/>
      </c>
      <c r="CL338" s="337" t="str">
        <f>IFERROR(CL75/-CL80,"")</f>
        <v/>
      </c>
      <c r="CM338" s="337" t="str">
        <f>IFERROR(CM75/-CM80,"")</f>
        <v/>
      </c>
      <c r="CN338" s="337" t="str">
        <f>IFERROR(CN75/-CN80,"")</f>
        <v/>
      </c>
      <c r="CP338" s="337" t="str">
        <f>IFERROR(CP75/-CP80,"")</f>
        <v/>
      </c>
      <c r="CQ338" s="337" t="str">
        <f>IFERROR(CQ75/-CQ80,"")</f>
        <v/>
      </c>
      <c r="CR338" s="337" t="str">
        <f>IFERROR(CR75/-CR80,"")</f>
        <v/>
      </c>
      <c r="CS338" s="337" t="str">
        <f>IFERROR(CS75/-CS80,"")</f>
        <v/>
      </c>
      <c r="CU338" s="337" t="str">
        <f>IFERROR(CU75/-CU80,"")</f>
        <v/>
      </c>
      <c r="CV338" s="337" t="str">
        <f>IFERROR(CV75/-CV80,"")</f>
        <v/>
      </c>
      <c r="CW338" s="337" t="str">
        <f>IFERROR(CW75/-CW80,"")</f>
        <v/>
      </c>
      <c r="CX338" s="337" t="str">
        <f>IFERROR(CX75/-CX80,"")</f>
        <v/>
      </c>
    </row>
    <row r="339" ht="12.75" customFormat="1" customHeight="1" s="331">
      <c r="A339" s="332" t="n"/>
      <c r="B339" s="332" t="n"/>
      <c r="C339" s="331" t="inlineStr">
        <is>
          <t>(EBITDA - CAPEX) / TOTAL INTEREST</t>
        </is>
      </c>
      <c r="D339" s="337" t="str">
        <f>IFERROR((D75-D174)/-D80,"")</f>
        <v/>
      </c>
      <c r="E339" s="337" t="str">
        <f>IFERROR((E75-E174)/-E80,"")</f>
        <v/>
      </c>
      <c r="F339" s="337" t="str">
        <f>IFERROR((F75-F174)/-F80,"")</f>
        <v/>
      </c>
      <c r="G339" s="337" t="str">
        <f>IFERROR((G75-G174)/-G80,"")</f>
        <v/>
      </c>
      <c r="I339" s="337">
        <f>IFERROR((I75-I174)/-I80,"")</f>
        <v>-227.15134529148</v>
      </c>
      <c r="J339" s="337">
        <f>IFERROR((J75-J174)/-J80,"")</f>
        <v>7.61366181410974</v>
      </c>
      <c r="K339" s="337">
        <f>IFERROR((K75-K174)/-K80,"")</f>
        <v>11.1199068684517</v>
      </c>
      <c r="L339" s="337">
        <f>IFERROR((L75-L174)/-L80,"")</f>
        <v>14.1401869158879</v>
      </c>
      <c r="N339" s="337">
        <f>IFERROR((N75-N174)/-N80,"")</f>
        <v>19.9113924050633</v>
      </c>
      <c r="O339" s="337">
        <f>IFERROR((O75-O174)/-O80,"")</f>
        <v>24.4762589928058</v>
      </c>
      <c r="P339" s="337">
        <f>IFERROR((P75-P174)/-P80,"")</f>
        <v>21.2520435967302</v>
      </c>
      <c r="Q339" s="337">
        <f>IFERROR((Q75-Q174)/-Q80,"")</f>
        <v>12.1451923076923</v>
      </c>
      <c r="S339" s="337">
        <f>IFERROR((S75-S174)/-S80,"")</f>
        <v>11.0635193133047</v>
      </c>
      <c r="T339" s="337">
        <f>IFERROR((T75-T174)/-T80,"")</f>
        <v>5.90421139554088</v>
      </c>
      <c r="U339" s="337">
        <f>IFERROR((U75-U174)/-U80,"")</f>
        <v>9.63306808134394</v>
      </c>
      <c r="V339" s="337">
        <f>IFERROR((V75-V174)/-V80,"")</f>
        <v>3.09605488850772</v>
      </c>
      <c r="X339" s="337">
        <f>IFERROR((X75-X174)/-X80,"")</f>
        <v>11.053264604811</v>
      </c>
      <c r="Y339" s="337">
        <f>IFERROR((Y75-Y174)/-Y80,"")</f>
        <v>8.37327935222672</v>
      </c>
      <c r="Z339" s="337">
        <f>IFERROR((Z75-Z174)/-Z80,"")</f>
        <v>4.2649063032368</v>
      </c>
      <c r="AA339" s="337">
        <f>IFERROR((AA75-AA174)/-AA80,"")</f>
        <v>9.39076669414674</v>
      </c>
      <c r="AC339" s="337">
        <f>IFERROR((AC75-AC174)/-AC80,"")</f>
        <v>9.52410714285714</v>
      </c>
      <c r="AD339" s="337">
        <f>IFERROR((AD75-AD174)/-AD80,"")</f>
        <v>3.03627906976744</v>
      </c>
      <c r="AE339" s="337">
        <f>IFERROR((AE75-AE174)/-AE80,"")</f>
        <v>7.40186915887851</v>
      </c>
      <c r="AF339" s="337">
        <f>IFERROR((AF75-AF174)/-AF80,"")</f>
        <v>3.59513830678961</v>
      </c>
      <c r="AH339" s="337">
        <f>IFERROR((AH75-AH174)/-AH80,"")</f>
        <v>6.60488798370672</v>
      </c>
      <c r="AI339" s="337">
        <f>IFERROR((AI75-AI174)/-AI80,"")</f>
        <v>16.6831238779174</v>
      </c>
      <c r="AJ339" s="337" t="str">
        <f>IFERROR((AJ75-AJ174)/-AJ80,"")</f>
        <v/>
      </c>
      <c r="AK339" s="337" t="str">
        <f>IFERROR((AK75-AK174)/-AK80,"")</f>
        <v/>
      </c>
      <c r="AM339" s="337" t="str">
        <f>IFERROR((AM75-AM174)/-AM80,"")</f>
        <v/>
      </c>
      <c r="AN339" s="337" t="str">
        <f>IFERROR((AN75-AN174)/-AN80,"")</f>
        <v/>
      </c>
      <c r="AO339" s="337" t="str">
        <f>IFERROR((AO75-AO174)/-AO80,"")</f>
        <v/>
      </c>
      <c r="AP339" s="337" t="str">
        <f>IFERROR((AP75-AP174)/-AP80,"")</f>
        <v/>
      </c>
      <c r="AR339" s="337" t="str">
        <f>IFERROR((AR75-AR174)/-AR80,"")</f>
        <v/>
      </c>
      <c r="AS339" s="337" t="str">
        <f>IFERROR((AS75-AS174)/-AS80,"")</f>
        <v/>
      </c>
      <c r="AT339" s="337" t="str">
        <f>IFERROR((AT75-AT174)/-AT80,"")</f>
        <v/>
      </c>
      <c r="AU339" s="337" t="str">
        <f>IFERROR((AU75-AU174)/-AU80,"")</f>
        <v/>
      </c>
      <c r="AW339" s="337" t="str">
        <f>IFERROR((AW75-AW174)/-AW80,"")</f>
        <v/>
      </c>
      <c r="AX339" s="337" t="str">
        <f>IFERROR((AX75-AX174)/-AX80,"")</f>
        <v/>
      </c>
      <c r="AY339" s="337" t="str">
        <f>IFERROR((AY75-AY174)/-AY80,"")</f>
        <v/>
      </c>
      <c r="AZ339" s="337" t="str">
        <f>IFERROR((AZ75-AZ174)/-AZ80,"")</f>
        <v/>
      </c>
      <c r="BB339" s="337" t="str">
        <f>IFERROR((BB75-BB174)/-BB80,"")</f>
        <v/>
      </c>
      <c r="BC339" s="337" t="str">
        <f>IFERROR((BC75-BC174)/-BC80,"")</f>
        <v/>
      </c>
      <c r="BD339" s="337" t="str">
        <f>IFERROR((BD75-BD174)/-BD80,"")</f>
        <v/>
      </c>
      <c r="BE339" s="337" t="str">
        <f>IFERROR((BE75-BE174)/-BE80,"")</f>
        <v/>
      </c>
      <c r="BG339" s="337" t="str">
        <f>IFERROR((BG75-BG174)/-BG80,"")</f>
        <v/>
      </c>
      <c r="BH339" s="337" t="str">
        <f>IFERROR((BH75-BH174)/-BH80,"")</f>
        <v/>
      </c>
      <c r="BI339" s="337" t="str">
        <f>IFERROR((BI75-BI174)/-BI80,"")</f>
        <v/>
      </c>
      <c r="BJ339" s="337" t="str">
        <f>IFERROR((BJ75-BJ174)/-BJ80,"")</f>
        <v/>
      </c>
      <c r="BL339" s="337" t="str">
        <f>IFERROR((BL75-BL174)/-BL80,"")</f>
        <v/>
      </c>
      <c r="BM339" s="337" t="str">
        <f>IFERROR((BM75-BM174)/-BM80,"")</f>
        <v/>
      </c>
      <c r="BN339" s="337" t="str">
        <f>IFERROR((BN75-BN174)/-BN80,"")</f>
        <v/>
      </c>
      <c r="BO339" s="337" t="str">
        <f>IFERROR((BO75-BO174)/-BO80,"")</f>
        <v/>
      </c>
      <c r="BQ339" s="337" t="str">
        <f>IFERROR((BQ75-BQ174)/-BQ80,"")</f>
        <v/>
      </c>
      <c r="BR339" s="337" t="str">
        <f>IFERROR((BR75-BR174)/-BR80,"")</f>
        <v/>
      </c>
      <c r="BS339" s="337" t="str">
        <f>IFERROR((BS75-BS174)/-BS80,"")</f>
        <v/>
      </c>
      <c r="BT339" s="337" t="str">
        <f>IFERROR((BT75-BT174)/-BT80,"")</f>
        <v/>
      </c>
      <c r="BV339" s="337" t="str">
        <f>IFERROR((BV75-BV174)/-BV80,"")</f>
        <v/>
      </c>
      <c r="BW339" s="337" t="str">
        <f>IFERROR((BW75-BW174)/-BW80,"")</f>
        <v/>
      </c>
      <c r="BX339" s="337" t="str">
        <f>IFERROR((BX75-BX174)/-BX80,"")</f>
        <v/>
      </c>
      <c r="BY339" s="337" t="str">
        <f>IFERROR((BY75-BY174)/-BY80,"")</f>
        <v/>
      </c>
      <c r="CA339" s="337" t="str">
        <f>IFERROR((CA75-CA174)/-CA80,"")</f>
        <v/>
      </c>
      <c r="CB339" s="337" t="str">
        <f>IFERROR((CB75-CB174)/-CB80,"")</f>
        <v/>
      </c>
      <c r="CC339" s="337" t="str">
        <f>IFERROR((CC75-CC174)/-CC80,"")</f>
        <v/>
      </c>
      <c r="CD339" s="337" t="str">
        <f>IFERROR((CD75-CD174)/-CD80,"")</f>
        <v/>
      </c>
      <c r="CF339" s="337" t="str">
        <f>IFERROR((CF75-CF174)/-CF80,"")</f>
        <v/>
      </c>
      <c r="CG339" s="337" t="str">
        <f>IFERROR((CG75-CG174)/-CG80,"")</f>
        <v/>
      </c>
      <c r="CH339" s="337" t="str">
        <f>IFERROR((CH75-CH174)/-CH80,"")</f>
        <v/>
      </c>
      <c r="CI339" s="337" t="str">
        <f>IFERROR((CI75-CI174)/-CI80,"")</f>
        <v/>
      </c>
      <c r="CK339" s="337" t="str">
        <f>IFERROR((CK75-CK174)/-CK80,"")</f>
        <v/>
      </c>
      <c r="CL339" s="337" t="str">
        <f>IFERROR((CL75-CL174)/-CL80,"")</f>
        <v/>
      </c>
      <c r="CM339" s="337" t="str">
        <f>IFERROR((CM75-CM174)/-CM80,"")</f>
        <v/>
      </c>
      <c r="CN339" s="337" t="str">
        <f>IFERROR((CN75-CN174)/-CN80,"")</f>
        <v/>
      </c>
      <c r="CP339" s="337" t="str">
        <f>IFERROR((CP75-CP174)/-CP80,"")</f>
        <v/>
      </c>
      <c r="CQ339" s="337" t="str">
        <f>IFERROR((CQ75-CQ174)/-CQ80,"")</f>
        <v/>
      </c>
      <c r="CR339" s="337" t="str">
        <f>IFERROR((CR75-CR174)/-CR80,"")</f>
        <v/>
      </c>
      <c r="CS339" s="337" t="str">
        <f>IFERROR((CS75-CS174)/-CS80,"")</f>
        <v/>
      </c>
      <c r="CU339" s="337" t="str">
        <f>IFERROR((CU75-CU174)/-CU80,"")</f>
        <v/>
      </c>
      <c r="CV339" s="337" t="str">
        <f>IFERROR((CV75-CV174)/-CV80,"")</f>
        <v/>
      </c>
      <c r="CW339" s="337" t="str">
        <f>IFERROR((CW75-CW174)/-CW80,"")</f>
        <v/>
      </c>
      <c r="CX339" s="337" t="str">
        <f>IFERROR((CX75-CX174)/-CX80,"")</f>
        <v/>
      </c>
    </row>
    <row r="340" ht="12.75" customFormat="1" customHeight="1" s="331">
      <c r="A340" s="332" t="n"/>
      <c r="B340" s="332" t="n"/>
      <c r="C340" s="331" t="inlineStr">
        <is>
          <t>TOTAL DEBT / EBITDA LTM</t>
        </is>
      </c>
      <c r="D340" s="337" t="str">
        <f>""</f>
        <v/>
      </c>
      <c r="E340" s="337" t="str">
        <f>""</f>
        <v/>
      </c>
      <c r="F340" s="337" t="str">
        <f>""</f>
        <v/>
      </c>
      <c r="G340" s="337" t="str">
        <f>IFERROR(SUM(G218,G219,G220,G223,G241,G244)/(G75+F75+E75+D75),"")</f>
        <v/>
      </c>
      <c r="I340" s="337">
        <f>IFERROR(SUM(I218,I219,I220,I223,I241,I244)/(I75+G75+F75+E75),"")</f>
        <v>8.84397408207343</v>
      </c>
      <c r="J340" s="337">
        <f>IFERROR(SUM(J218,J219,J220,J223,J241,J244)/(J75+I75+G75+F75),"")</f>
        <v>4.24572567986085</v>
      </c>
      <c r="K340" s="337">
        <f>IFERROR(SUM(K218,K219,K220,K223,K241,K244)/(K75+J75+I75+G75),"")</f>
        <v>3.13065310141122</v>
      </c>
      <c r="L340" s="337">
        <f>IFERROR(SUM(L218,L219,L220,L223,L241,L244)/(L75+K75+J75+I75),"")</f>
        <v>1.81058065565108</v>
      </c>
      <c r="N340" s="337">
        <f>IFERROR(SUM(N218,N219,N220,N223,N241,N244)/(N75+L75+K75+J75),"")</f>
        <v>1.52434941274425</v>
      </c>
      <c r="O340" s="337">
        <f>IFERROR(SUM(O218,O219,O220,O223,O241,O244)/(O75+N75+L75+K75),"")</f>
        <v>1.23262728704535</v>
      </c>
      <c r="P340" s="337">
        <f>IFERROR(SUM(P218,P219,P220,P223,P241,P244)/(P75+O75+N75+L75),"")</f>
        <v>1.07429245283019</v>
      </c>
      <c r="Q340" s="337">
        <f>IFERROR(SUM(Q218,Q219,Q220,Q223,Q241,Q244)/(Q75+P75+O75+N75),"")</f>
        <v>1.02642151939048</v>
      </c>
      <c r="S340" s="337">
        <f>IFERROR(SUM(S218,S219,S220,S223,S241,S244)/(S75+Q75+P75+O75),"")</f>
        <v>1.03129920782965</v>
      </c>
      <c r="T340" s="337">
        <f>IFERROR(SUM(T218,T219,T220,T223,T241,T244)/(T75+S75+Q75+P75),"")</f>
        <v>1.17070936944938</v>
      </c>
      <c r="U340" s="337">
        <f>IFERROR(SUM(U218,U219,U220,U223,U241,U244)/(U75+T75+S75+Q75),"")</f>
        <v>1.11834617583794</v>
      </c>
      <c r="V340" s="337">
        <f>IFERROR(SUM(V218,V219,V220,V223,V241,V244)/(V75+U75+T75+S75),"")</f>
        <v>1.31462612452842</v>
      </c>
      <c r="X340" s="337">
        <f>IFERROR(SUM(X218,X219,X220,X223,X241,X244)/(X75+V75+U75+T75),"")</f>
        <v>1.37460661404323</v>
      </c>
      <c r="Y340" s="337">
        <f>IFERROR(SUM(Y218,Y219,Y220,Y223,Y241,Y244)/(Y75+X75+V75+U75),"")</f>
        <v>1.24208759196168</v>
      </c>
      <c r="Z340" s="337">
        <f>IFERROR(SUM(Z218,Z219,Z220,Z223,Z241,Z244)/(Z75+Y75+X75+V75),"")</f>
        <v>1.34230398598336</v>
      </c>
      <c r="AA340" s="337">
        <f>IFERROR(SUM(AA218,AA219,AA220,AA223,AA241,AA244)/(AA75+Z75+Y75+X75),"")</f>
        <v>1.35555125657305</v>
      </c>
      <c r="AC340" s="337">
        <f>IFERROR(SUM(AC218,AC219,AC220,AC223,AC241,AC244)/(AC75+AA75+Z75+Y75),"")</f>
        <v>1.37614662397928</v>
      </c>
      <c r="AD340" s="337">
        <f>IFERROR(SUM(AD218,AD219,AD220,AD223,AD241,AD244)/(AD75+AC75+AA75+Z75),"")</f>
        <v>1.43647614889619</v>
      </c>
      <c r="AE340" s="337">
        <f>IFERROR(SUM(AE218,AE219,AE220,AE223,AE241,AE244)/(AE75+AD75+AC75+AA75),"")</f>
        <v>1.38923943661972</v>
      </c>
      <c r="AF340" s="337">
        <f>IFERROR(SUM(AF218,AF219,AF220,AF223,AF241,AF244)/(AF75+AE75+AD75+AC75),"")</f>
        <v>1.43043815359014</v>
      </c>
      <c r="AH340" s="337">
        <f>IFERROR(SUM(AH218,AH219,AH220,AH223,AH241,AH244)/(AH75+AF75+AE75+AD75),"")</f>
        <v>1.39096776566206</v>
      </c>
      <c r="AI340" s="337">
        <f>IFERROR(SUM(AI218,AI219,AI220,AI223,AI241,AI244)/(AI75+AH75+AF75+AE75),"")</f>
        <v>1.15883285759594</v>
      </c>
      <c r="AJ340" s="337">
        <f>IFERROR(SUM(AJ218,AJ219,AJ220,AJ223,AJ241,AJ244)/(AJ75+AI75+AH75+AF75),"")</f>
        <v>1.47619336201846</v>
      </c>
      <c r="AK340" s="337">
        <f>IFERROR(SUM(AK218,AK219,AK220,AK223,AK241,AK244)/(AK75+AJ75+AI75+AH75),"")</f>
        <v>1.95061794303713</v>
      </c>
      <c r="AM340" s="337">
        <f>IFERROR(SUM(AM218,AM219,AM220,AM223,AM241,AM244)/(AM75+AK75+AJ75+AI75),"")</f>
        <v>3.42116104868914</v>
      </c>
      <c r="AN340" s="337" t="str">
        <f>IFERROR(SUM(AN218,AN219,AN220,AN223,AN241,AN244)/(AN75+AM75+AK75+AJ75),"")</f>
        <v/>
      </c>
      <c r="AO340" s="337" t="str">
        <f>IFERROR(SUM(AO218,AO219,AO220,AO223,AO241,AO244)/(AO75+AN75+AM75+AK75),"")</f>
        <v/>
      </c>
      <c r="AP340" s="337" t="str">
        <f>IFERROR(SUM(AP218,AP219,AP220,AP223,AP241,AP244)/(AP75+AO75+AN75+AM75),"")</f>
        <v/>
      </c>
      <c r="AR340" s="337" t="str">
        <f>IFERROR(SUM(AR218,AR219,AR220,AR223,AR241,AR244)/(AR75+AP75+AO75+AN75),"")</f>
        <v/>
      </c>
      <c r="AS340" s="337" t="str">
        <f>IFERROR(SUM(AS218,AS219,AS220,AS223,AS241,AS244)/(AS75+AR75+AP75+AO75),"")</f>
        <v/>
      </c>
      <c r="AT340" s="337" t="str">
        <f>IFERROR(SUM(AT218,AT219,AT220,AT223,AT241,AT244)/(AT75+AS75+AR75+AP75),"")</f>
        <v/>
      </c>
      <c r="AU340" s="337" t="str">
        <f>IFERROR(SUM(AU218,AU219,AU220,AU223,AU241,AU244)/(AU75+AT75+AS75+AR75),"")</f>
        <v/>
      </c>
      <c r="AW340" s="337" t="str">
        <f>IFERROR(SUM(AW218,AW219,AW220,AW223,AW241,AW244)/(AW75+AU75+AT75+AS75),"")</f>
        <v/>
      </c>
      <c r="AX340" s="337" t="str">
        <f>IFERROR(SUM(AX218,AX219,AX220,AX223,AX241,AX244)/(AX75+AW75+AU75+AT75),"")</f>
        <v/>
      </c>
      <c r="AY340" s="337" t="str">
        <f>IFERROR(SUM(AY218,AY219,AY220,AY223,AY241,AY244)/(AY75+AX75+AW75+AU75),"")</f>
        <v/>
      </c>
      <c r="AZ340" s="337" t="str">
        <f>IFERROR(SUM(AZ218,AZ219,AZ220,AZ223,AZ241,AZ244)/(AZ75+AY75+AX75+AW75),"")</f>
        <v/>
      </c>
      <c r="BB340" s="337" t="str">
        <f>IFERROR(SUM(BB218,BB219,BB220,BB223,BB241,BB244)/(BB75+AZ75+AY75+AX75),"")</f>
        <v/>
      </c>
      <c r="BC340" s="337" t="str">
        <f>IFERROR(SUM(BC218,BC219,BC220,BC223,BC241,BC244)/(BC75+BB75+AZ75+AY75),"")</f>
        <v/>
      </c>
      <c r="BD340" s="337" t="str">
        <f>IFERROR(SUM(BD218,BD219,BD220,BD223,BD241,BD244)/(BD75+BC75+BB75+AZ75),"")</f>
        <v/>
      </c>
      <c r="BE340" s="337" t="str">
        <f>IFERROR(SUM(BE218,BE219,BE220,BE223,BE241,BE244)/(BE75+BD75+BC75+BB75),"")</f>
        <v/>
      </c>
      <c r="BG340" s="337" t="str">
        <f>IFERROR(SUM(BG218,BG219,BG220,BG223,BG241,BG244)/(BG75+BE75+BD75+BC75),"")</f>
        <v/>
      </c>
      <c r="BH340" s="337" t="str">
        <f>IFERROR(SUM(BH218,BH219,BH220,BH223,BH241,BH244)/(BH75+BG75+BE75+BD75),"")</f>
        <v/>
      </c>
      <c r="BI340" s="337" t="str">
        <f>IFERROR(SUM(BI218,BI219,BI220,BI223,BI241,BI244)/(BI75+BH75+BG75+BE75),"")</f>
        <v/>
      </c>
      <c r="BJ340" s="337" t="str">
        <f>IFERROR(SUM(BJ218,BJ219,BJ220,BJ223,BJ241,BJ244)/(BJ75+BI75+BH75+BG75),"")</f>
        <v/>
      </c>
      <c r="BL340" s="337" t="str">
        <f>IFERROR(SUM(BL218,BL219,BL220,BL223,BL241,BL244)/(BL75+BJ75+BI75+BH75),"")</f>
        <v/>
      </c>
      <c r="BM340" s="337" t="str">
        <f>IFERROR(SUM(BM218,BM219,BM220,BM223,BM241,BM244)/(BM75+BL75+BJ75+BI75),"")</f>
        <v/>
      </c>
      <c r="BN340" s="337" t="str">
        <f>IFERROR(SUM(BN218,BN219,BN220,BN223,BN241,BN244)/(BN75+BM75+BL75+BJ75),"")</f>
        <v/>
      </c>
      <c r="BO340" s="337" t="str">
        <f>IFERROR(SUM(BO218,BO219,BO220,BO223,BO241,BO244)/(BO75+BN75+BM75+BL75),"")</f>
        <v/>
      </c>
      <c r="BQ340" s="337" t="str">
        <f>IFERROR(SUM(BQ218,BQ219,BQ220,BQ223,BQ241,BQ244)/(BQ75+BO75+BN75+BM75),"")</f>
        <v/>
      </c>
      <c r="BR340" s="337" t="str">
        <f>IFERROR(SUM(BR218,BR219,BR220,BR223,BR241,BR244)/(BR75+BQ75+BO75+BN75),"")</f>
        <v/>
      </c>
      <c r="BS340" s="337" t="str">
        <f>IFERROR(SUM(BS218,BS219,BS220,BS223,BS241,BS244)/(BS75+BR75+BQ75+BO75),"")</f>
        <v/>
      </c>
      <c r="BT340" s="337" t="str">
        <f>IFERROR(SUM(BT218,BT219,BT220,BT223,BT241,BT244)/(BT75+BS75+BR75+BQ75),"")</f>
        <v/>
      </c>
      <c r="BV340" s="337" t="str">
        <f>IFERROR(SUM(BV218,BV219,BV220,BV223,BV241,BV244)/(BV75+BT75+BS75+BR75),"")</f>
        <v/>
      </c>
      <c r="BW340" s="337" t="str">
        <f>IFERROR(SUM(BW218,BW219,BW220,BW223,BW241,BW244)/(BW75+BV75+BT75+BS75),"")</f>
        <v/>
      </c>
      <c r="BX340" s="337" t="str">
        <f>IFERROR(SUM(BX218,BX219,BX220,BX223,BX241,BX244)/(BX75+BW75+BV75+BT75),"")</f>
        <v/>
      </c>
      <c r="BY340" s="337" t="str">
        <f>IFERROR(SUM(BY218,BY219,BY220,BY223,BY241,BY244)/(BY75+BX75+BW75+BV75),"")</f>
        <v/>
      </c>
      <c r="CA340" s="337" t="str">
        <f>IFERROR(SUM(CA218,CA219,CA220,CA223,CA241,CA244)/(CA75+BY75+BX75+BW75),"")</f>
        <v/>
      </c>
      <c r="CB340" s="337" t="str">
        <f>IFERROR(SUM(CB218,CB219,CB220,CB223,CB241,CB244)/(CB75+CA75+BY75+BX75),"")</f>
        <v/>
      </c>
      <c r="CC340" s="337" t="str">
        <f>IFERROR(SUM(CC218,CC219,CC220,CC223,CC241,CC244)/(CC75+CB75+CA75+BY75),"")</f>
        <v/>
      </c>
      <c r="CD340" s="337" t="str">
        <f>IFERROR(SUM(CD218,CD219,CD220,CD223,CD241,CD244)/(CD75+CC75+CB75+CA75),"")</f>
        <v/>
      </c>
      <c r="CF340" s="337" t="str">
        <f>IFERROR(SUM(CF218,CF219,CF220,CF223,CF241,CF244)/(CF75+CD75+CC75+CB75),"")</f>
        <v/>
      </c>
      <c r="CG340" s="337" t="str">
        <f>IFERROR(SUM(CG218,CG219,CG220,CG223,CG241,CG244)/(CG75+CF75+CD75+CC75),"")</f>
        <v/>
      </c>
      <c r="CH340" s="337" t="str">
        <f>IFERROR(SUM(CH218,CH219,CH220,CH223,CH241,CH244)/(CH75+CG75+CF75+CD75),"")</f>
        <v/>
      </c>
      <c r="CI340" s="337" t="str">
        <f>IFERROR(SUM(CI218,CI219,CI220,CI223,CI241,CI244)/(CI75+CH75+CG75+CF75),"")</f>
        <v/>
      </c>
      <c r="CK340" s="337" t="str">
        <f>IFERROR(SUM(CK218,CK219,CK220,CK223,CK241,CK244)/(CK75+CI75+CH75+CG75),"")</f>
        <v/>
      </c>
      <c r="CL340" s="337" t="str">
        <f>IFERROR(SUM(CL218,CL219,CL220,CL223,CL241,CL244)/(CL75+CK75+CI75+CH75),"")</f>
        <v/>
      </c>
      <c r="CM340" s="337" t="str">
        <f>IFERROR(SUM(CM218,CM219,CM220,CM223,CM241,CM244)/(CM75+CL75+CK75+CI75),"")</f>
        <v/>
      </c>
      <c r="CN340" s="337" t="str">
        <f>IFERROR(SUM(CN218,CN219,CN220,CN223,CN241,CN244)/(CN75+CM75+CL75+CK75),"")</f>
        <v/>
      </c>
      <c r="CP340" s="337" t="str">
        <f>IFERROR(SUM(CP218,CP219,CP220,CP223,CP241,CP244)/(CP75+CN75+CM75+CL75),"")</f>
        <v/>
      </c>
      <c r="CQ340" s="337" t="str">
        <f>IFERROR(SUM(CQ218,CQ219,CQ220,CQ223,CQ241,CQ244)/(CQ75+CP75+CN75+CM75),"")</f>
        <v/>
      </c>
      <c r="CR340" s="337" t="str">
        <f>IFERROR(SUM(CR218,CR219,CR220,CR223,CR241,CR244)/(CR75+CQ75+CP75+CN75),"")</f>
        <v/>
      </c>
      <c r="CS340" s="337" t="str">
        <f>IFERROR(SUM(CS218,CS219,CS220,CS223,CS241,CS244)/(CS75+CR75+CQ75+CP75),"")</f>
        <v/>
      </c>
      <c r="CU340" s="337" t="str">
        <f>IFERROR(SUM(CU218,CU219,CU220,CU223,CU241,CU244)/(CU75+CS75+CR75+CQ75),"")</f>
        <v/>
      </c>
      <c r="CV340" s="337" t="str">
        <f>IFERROR(SUM(CV218,CV219,CV220,CV223,CV241,CV244)/(CV75+CU75+CS75+CR75),"")</f>
        <v/>
      </c>
      <c r="CW340" s="337" t="str">
        <f>IFERROR(SUM(CW218,CW219,CW220,CW223,CW241,CW244)/(CW75+CV75+CU75+CS75),"")</f>
        <v/>
      </c>
      <c r="CX340" s="337" t="str">
        <f>IFERROR(SUM(CX218,CX219,CX220,CX223,CX241,CX244)/(CX75+CW75+CV75+CU75),"")</f>
        <v/>
      </c>
    </row>
    <row r="341" ht="12.75" customFormat="1" customHeight="1" s="331">
      <c r="A341" s="332" t="n"/>
      <c r="B341" s="332" t="n"/>
      <c r="C341" s="331" t="inlineStr">
        <is>
          <t>TOTAL DEBT / TOTAL CAPITALIZATION</t>
        </is>
      </c>
      <c r="D341" s="335" t="str">
        <f>IFERROR(SUM(D218+D219+D220+D223+D241+D244)/(SUM(D218+D219+D220+D223+D241+D244)+D277),"")</f>
        <v/>
      </c>
      <c r="E341" s="335" t="str">
        <f>IFERROR(SUM(E218+E219+E220+E223+E241+E244)/(SUM(E218+E219+E220+E223+E241+E244)+E277),"")</f>
        <v/>
      </c>
      <c r="F341" s="335" t="str">
        <f>IFERROR(SUM(F218+F219+F220+F223+F241+F244)/(SUM(F218+F219+F220+F223+F241+F244)+F277),"")</f>
        <v/>
      </c>
      <c r="G341" s="335" t="str">
        <f>IFERROR(SUM(G218+G219+G220+G223+G241+G244)/(SUM(G218+G219+G220+G223+G241+G244)+G277),"")</f>
        <v/>
      </c>
      <c r="I341" s="335">
        <f>IFERROR(SUM(I218+I219+I220+I223+I241+I244)/(SUM(I218+I219+I220+I223+I241+I244)+I277),"")</f>
        <v>0.380098915053356</v>
      </c>
      <c r="J341" s="335">
        <f>IFERROR(SUM(J218+J219+J220+J223+J241+J244)/(SUM(J218+J219+J220+J223+J241+J244)+J277),"")</f>
        <v>0.368849951533066</v>
      </c>
      <c r="K341" s="335">
        <f>IFERROR(SUM(K218+K219+K220+K223+K241+K244)/(SUM(K218+K219+K220+K223+K241+K244)+K277),"")</f>
        <v>0.363984981341148</v>
      </c>
      <c r="L341" s="335">
        <f>IFERROR(SUM(L218+L219+L220+L223+L241+L244)/(SUM(L218+L219+L220+L223+L241+L244)+L277),"")</f>
        <v>0.336921168479494</v>
      </c>
      <c r="N341" s="335">
        <f>IFERROR(SUM(N218+N219+N220+N223+N241+N244)/(SUM(N218+N219+N220+N223+N241+N244)+N277),"")</f>
        <v>0.323999081259578</v>
      </c>
      <c r="O341" s="335">
        <f>IFERROR(SUM(O218+O219+O220+O223+O241+O244)/(SUM(O218+O219+O220+O223+O241+O244)+O277),"")</f>
        <v>0.301183282980866</v>
      </c>
      <c r="P341" s="335">
        <f>IFERROR(SUM(P218+P219+P220+P223+P241+P244)/(SUM(P218+P219+P220+P223+P241+P244)+P277),"")</f>
        <v>0.301181362681282</v>
      </c>
      <c r="Q341" s="335">
        <f>IFERROR(SUM(Q218+Q219+Q220+Q223+Q241+Q244)/(SUM(Q218+Q219+Q220+Q223+Q241+Q244)+Q277),"")</f>
        <v>0.30317447683001</v>
      </c>
      <c r="S341" s="335">
        <f>IFERROR(SUM(S218+S219+S220+S223+S241+S244)/(SUM(S218+S219+S220+S223+S241+S244)+S277),"")</f>
        <v>0.303349449359219</v>
      </c>
      <c r="T341" s="335">
        <f>IFERROR(SUM(T218+T219+T220+T223+T241+T244)/(SUM(T218+T219+T220+T223+T241+T244)+T277),"")</f>
        <v>0.30516530420314</v>
      </c>
      <c r="U341" s="335">
        <f>IFERROR(SUM(U218+U219+U220+U223+U241+U244)/(SUM(U218+U219+U220+U223+U241+U244)+U277),"")</f>
        <v>0.298617548374901</v>
      </c>
      <c r="V341" s="335">
        <f>IFERROR(SUM(V218+V219+V220+V223+V241+V244)/(SUM(V218+V219+V220+V223+V241+V244)+V277),"")</f>
        <v>0.302112240323375</v>
      </c>
      <c r="X341" s="335">
        <f>IFERROR(SUM(X218+X219+X220+X223+X241+X244)/(SUM(X218+X219+X220+X223+X241+X244)+X277),"")</f>
        <v>0.297991321075471</v>
      </c>
      <c r="Y341" s="335">
        <f>IFERROR(SUM(Y218+Y219+Y220+Y223+Y241+Y244)/(SUM(Y218+Y219+Y220+Y223+Y241+Y244)+Y277),"")</f>
        <v>0.287324201052319</v>
      </c>
      <c r="Z341" s="335">
        <f>IFERROR(SUM(Z218+Z219+Z220+Z223+Z241+Z244)/(SUM(Z218+Z219+Z220+Z223+Z241+Z244)+Z277),"")</f>
        <v>0.287852714634605</v>
      </c>
      <c r="AA341" s="335">
        <f>IFERROR(SUM(AA218+AA219+AA220+AA223+AA241+AA244)/(SUM(AA218+AA219+AA220+AA223+AA241+AA244)+AA277),"")</f>
        <v>0.299632252898049</v>
      </c>
      <c r="AC341" s="335">
        <f>IFERROR(SUM(AC218+AC219+AC220+AC223+AC241+AC244)/(SUM(AC218+AC219+AC220+AC223+AC241+AC244)+AC277),"")</f>
        <v>0.297499805583638</v>
      </c>
      <c r="AD341" s="335">
        <f>IFERROR(SUM(AD218+AD219+AD220+AD223+AD241+AD244)/(SUM(AD218+AD219+AD220+AD223+AD241+AD244)+AD277),"")</f>
        <v>0.292449075022318</v>
      </c>
      <c r="AE341" s="335">
        <f>IFERROR(SUM(AE218+AE219+AE220+AE223+AE241+AE244)/(SUM(AE218+AE219+AE220+AE223+AE241+AE244)+AE277),"")</f>
        <v>0.293793859387845</v>
      </c>
      <c r="AF341" s="335">
        <f>IFERROR(SUM(AF218+AF219+AF220+AF223+AF241+AF244)/(SUM(AF218+AF219+AF220+AF223+AF241+AF244)+AF277),"")</f>
        <v>0.301410964962963</v>
      </c>
      <c r="AH341" s="335">
        <f>IFERROR(SUM(AH218+AH219+AH220+AH223+AH241+AH244)/(SUM(AH218+AH219+AH220+AH223+AH241+AH244)+AH277),"")</f>
        <v>0.302282553966897</v>
      </c>
      <c r="AI341" s="335">
        <f>IFERROR(SUM(AI218+AI219+AI220+AI223+AI241+AI244)/(SUM(AI218+AI219+AI220+AI223+AI241+AI244)+AI277),"")</f>
        <v>0.286733344581471</v>
      </c>
      <c r="AJ341" s="335">
        <f>IFERROR(SUM(AJ218+AJ219+AJ220+AJ223+AJ241+AJ244)/(SUM(AJ218+AJ219+AJ220+AJ223+AJ241+AJ244)+AJ277),"")</f>
        <v>0.286238043384594</v>
      </c>
      <c r="AK341" s="335">
        <f>IFERROR(SUM(AK218+AK219+AK220+AK223+AK241+AK244)/(SUM(AK218+AK219+AK220+AK223+AK241+AK244)+AK277),"")</f>
        <v>0.284354583270101</v>
      </c>
      <c r="AM341" s="335">
        <f>IFERROR(SUM(AM218+AM219+AM220+AM223+AM241+AM244)/(SUM(AM218+AM219+AM220+AM223+AM241+AM244)+AM277),"")</f>
        <v>0.282495747641874</v>
      </c>
      <c r="AN341" s="335">
        <f>IFERROR(SUM(AN218+AN219+AN220+AN223+AN241+AN244)/(SUM(AN218+AN219+AN220+AN223+AN241+AN244)+AN277),"")</f>
        <v>0.277914689059267</v>
      </c>
      <c r="AO341" s="335">
        <f>IFERROR(SUM(AO218+AO219+AO220+AO223+AO241+AO244)/(SUM(AO218+AO219+AO220+AO223+AO241+AO244)+AO277),"")</f>
        <v>0.276138832731876</v>
      </c>
      <c r="AP341" s="335">
        <f>IFERROR(SUM(AP218+AP219+AP220+AP223+AP241+AP244)/(SUM(AP218+AP219+AP220+AP223+AP241+AP244)+AP277),"")</f>
        <v>0.271760028858419</v>
      </c>
      <c r="AR341" s="335">
        <f>IFERROR(SUM(AR218+AR219+AR220+AR223+AR241+AR244)/(SUM(AR218+AR219+AR220+AR223+AR241+AR244)+AR277),"")</f>
        <v>0.267517928855665</v>
      </c>
      <c r="AS341" s="335">
        <f>IFERROR(SUM(AS218+AS219+AS220+AS223+AS241+AS244)/(SUM(AS218+AS219+AS220+AS223+AS241+AS244)+AS277),"")</f>
        <v>0.256341358178432</v>
      </c>
      <c r="AT341" s="335">
        <f>IFERROR(SUM(AT218+AT219+AT220+AT223+AT241+AT244)/(SUM(AT218+AT219+AT220+AT223+AT241+AT244)+AT277),"")</f>
        <v>0.252563619585466</v>
      </c>
      <c r="AU341" s="335">
        <f>IFERROR(SUM(AU218+AU219+AU220+AU223+AU241+AU244)/(SUM(AU218+AU219+AU220+AU223+AU241+AU244)+AU277),"")</f>
        <v>0.24257834932796</v>
      </c>
      <c r="AW341" s="335">
        <f>IFERROR(SUM(AW218+AW219+AW220+AW223+AW241+AW244)/(SUM(AW218+AW219+AW220+AW223+AW241+AW244)+AW277),"")</f>
        <v>0.233352599494822</v>
      </c>
      <c r="AX341" s="335">
        <f>IFERROR(SUM(AX218+AX219+AX220+AX223+AX241+AX244)/(SUM(AX218+AX219+AX220+AX223+AX241+AX244)+AX277),"")</f>
        <v>0.211504898626648</v>
      </c>
      <c r="AY341" s="335">
        <f>IFERROR(SUM(AY218+AY219+AY220+AY223+AY241+AY244)/(SUM(AY218+AY219+AY220+AY223+AY241+AY244)+AY277),"")</f>
        <v>0.204457003763133</v>
      </c>
      <c r="AZ341" s="335">
        <f>IFERROR(SUM(AZ218+AZ219+AZ220+AZ223+AZ241+AZ244)/(SUM(AZ218+AZ219+AZ220+AZ223+AZ241+AZ244)+AZ277),"")</f>
        <v>0.187488294168508</v>
      </c>
      <c r="BB341" s="335">
        <f>IFERROR(SUM(BB218+BB219+BB220+BB223+BB241+BB244)/(SUM(BB218+BB219+BB220+BB223+BB241+BB244)+BB277),"")</f>
        <v>0.173120340384401</v>
      </c>
      <c r="BC341" s="335">
        <f>IFERROR(SUM(BC218+BC219+BC220+BC223+BC241+BC244)/(SUM(BC218+BC219+BC220+BC223+BC241+BC244)+BC277),"")</f>
        <v>0.143110332982784</v>
      </c>
      <c r="BD341" s="335">
        <f>IFERROR(SUM(BD218+BD219+BD220+BD223+BD241+BD244)/(SUM(BD218+BD219+BD220+BD223+BD241+BD244)+BD277),"")</f>
        <v>0.134584465214789</v>
      </c>
      <c r="BE341" s="335">
        <f>IFERROR(SUM(BE218+BE219+BE220+BE223+BE241+BE244)/(SUM(BE218+BE219+BE220+BE223+BE241+BE244)+BE277),"")</f>
        <v>0.115719780646122</v>
      </c>
      <c r="BG341" s="335">
        <f>IFERROR(SUM(BG218+BG219+BG220+BG223+BG241+BG244)/(SUM(BG218+BG219+BG220+BG223+BG241+BG244)+BG277),"")</f>
        <v>0.101493457702495</v>
      </c>
      <c r="BH341" s="335">
        <f>IFERROR(SUM(BH218+BH219+BH220+BH223+BH241+BH244)/(SUM(BH218+BH219+BH220+BH223+BH241+BH244)+BH277),"")</f>
        <v>0.0759835089707664</v>
      </c>
      <c r="BI341" s="335">
        <f>IFERROR(SUM(BI218+BI219+BI220+BI223+BI241+BI244)/(SUM(BI218+BI219+BI220+BI223+BI241+BI244)+BI277),"")</f>
        <v>0.0695795576486002</v>
      </c>
      <c r="BJ341" s="335">
        <f>IFERROR(SUM(BJ218+BJ219+BJ220+BJ223+BJ241+BJ244)/(SUM(BJ218+BJ219+BJ220+BJ223+BJ241+BJ244)+BJ277),"")</f>
        <v>0.0565612908568947</v>
      </c>
      <c r="BL341" s="335">
        <f>IFERROR(SUM(BL218+BL219+BL220+BL223+BL241+BL244)/(SUM(BL218+BL219+BL220+BL223+BL241+BL244)+BL277),"")</f>
        <v>0.0476466495882199</v>
      </c>
      <c r="BM341" s="335">
        <f>IFERROR(SUM(BM218+BM219+BM220+BM223+BM241+BM244)/(SUM(BM218+BM219+BM220+BM223+BM241+BM244)+BM277),"")</f>
        <v>0.0333042414188347</v>
      </c>
      <c r="BN341" s="335">
        <f>IFERROR(SUM(BN218+BN219+BN220+BN223+BN241+BN244)/(SUM(BN218+BN219+BN220+BN223+BN241+BN244)+BN277),"")</f>
        <v>0.0299993062178074</v>
      </c>
      <c r="BO341" s="335">
        <f>IFERROR(SUM(BO218+BO219+BO220+BO223+BO241+BO244)/(SUM(BO218+BO219+BO220+BO223+BO241+BO244)+BO277),"")</f>
        <v>0.023600226197362</v>
      </c>
      <c r="BQ341" s="335">
        <f>IFERROR(SUM(BQ218+BQ219+BQ220+BQ223+BQ241+BQ244)/(SUM(BQ218+BQ219+BQ220+BQ223+BQ241+BQ244)+BQ277),"")</f>
        <v>0.0194511484072369</v>
      </c>
      <c r="BR341" s="335">
        <f>IFERROR(SUM(BR218+BR219+BR220+BR223+BR241+BR244)/(SUM(BR218+BR219+BR220+BR223+BR241+BR244)+BR277),"")</f>
        <v>0.0131400198981143</v>
      </c>
      <c r="BS341" s="335">
        <f>IFERROR(SUM(BS218+BS219+BS220+BS223+BS241+BS244)/(SUM(BS218+BS219+BS220+BS223+BS241+BS244)+BS277),"")</f>
        <v>0.0117451182684678</v>
      </c>
      <c r="BT341" s="335">
        <f>IFERROR(SUM(BT218+BT219+BT220+BT223+BT241+BT244)/(SUM(BT218+BT219+BT220+BT223+BT241+BT244)+BT277),"")</f>
        <v>0.00910462431339364</v>
      </c>
      <c r="BV341" s="335">
        <f>IFERROR(SUM(BV218+BV219+BV220+BV223+BV241+BV244)/(SUM(BV218+BV219+BV220+BV223+BV241+BV244)+BV277),"")</f>
        <v>0.00743346113388053</v>
      </c>
      <c r="BW341" s="335">
        <f>IFERROR(SUM(BW218+BW219+BW220+BW223+BW241+BW244)/(SUM(BW218+BW219+BW220+BW223+BW241+BW244)+BW277),"")</f>
        <v>0.00495077308575042</v>
      </c>
      <c r="BX341" s="335">
        <f>IFERROR(SUM(BX218+BX219+BX220+BX223+BX241+BX244)/(SUM(BX218+BX219+BX220+BX223+BX241+BX244)+BX277),"")</f>
        <v>0.00441148195090177</v>
      </c>
      <c r="BY341" s="335">
        <f>IFERROR(SUM(BY218+BY219+BY220+BY223+BY241+BY244)/(SUM(BY218+BY219+BY220+BY223+BY241+BY244)+BY277),"")</f>
        <v>0.00339970676621945</v>
      </c>
      <c r="CA341" s="335">
        <f>IFERROR(SUM(CA218+CA219+CA220+CA223+CA241+CA244)/(SUM(CA218+CA219+CA220+CA223+CA241+CA244)+CA277),"")</f>
        <v>0.00276544974036538</v>
      </c>
      <c r="CB341" s="335">
        <f>IFERROR(SUM(CB218+CB219+CB220+CB223+CB241+CB244)/(SUM(CB218+CB219+CB220+CB223+CB241+CB244)+CB277),"")</f>
        <v>0.00183179184591932</v>
      </c>
      <c r="CC341" s="335">
        <f>IFERROR(SUM(CC218+CC219+CC220+CC223+CC241+CC244)/(SUM(CC218+CC219+CC220+CC223+CC241+CC244)+CC277),"")</f>
        <v>0.00163032302665735</v>
      </c>
      <c r="CD341" s="335">
        <f>IFERROR(SUM(CD218+CD219+CD220+CD223+CD241+CD244)/(SUM(CD218+CD219+CD220+CD223+CD241+CD244)+CD277),"")</f>
        <v>0.00125362910581073</v>
      </c>
      <c r="CF341" s="335">
        <f>IFERROR(SUM(CF218+CF219+CF220+CF223+CF241+CF244)/(SUM(CF218+CF219+CF220+CF223+CF241+CF244)+CF277),"")</f>
        <v>0.00101833738904542</v>
      </c>
      <c r="CG341" s="335">
        <f>IFERROR(SUM(CG218+CG219+CG220+CG223+CG241+CG244)/(SUM(CG218+CG219+CG220+CG223+CG241+CG244)+CG277),"")</f>
        <v>0.000673158655313171</v>
      </c>
      <c r="CH341" s="335">
        <f>IFERROR(SUM(CH218+CH219+CH220+CH223+CH241+CH244)/(SUM(CH218+CH219+CH220+CH223+CH241+CH244)+CH277),"")</f>
        <v>0.00059885883284695</v>
      </c>
      <c r="CI341" s="335">
        <f>IFERROR(SUM(CI218+CI219+CI220+CI223+CI241+CI244)/(SUM(CI218+CI219+CI220+CI223+CI241+CI244)+CI277),"")</f>
        <v>0.000460112037117333</v>
      </c>
      <c r="CK341" s="335">
        <f>IFERROR(SUM(CK218+CK219+CK220+CK223+CK241+CK244)/(SUM(CK218+CK219+CK220+CK223+CK241+CK244)+CK277),"")</f>
        <v>0.000373562981153846</v>
      </c>
      <c r="CL341" s="335">
        <f>IFERROR(SUM(CL218+CL219+CL220+CL223+CL241+CL244)/(SUM(CL218+CL219+CL220+CL223+CL241+CL244)+CL277),"")</f>
        <v>0.000246753685238229</v>
      </c>
      <c r="CM341" s="335">
        <f>IFERROR(SUM(CM218+CM219+CM220+CM223+CM241+CM244)/(SUM(CM218+CM219+CM220+CM223+CM241+CM244)+CM277),"")</f>
        <v>0.000219482810544247</v>
      </c>
      <c r="CN341" s="335">
        <f>IFERROR(SUM(CN218+CN219+CN220+CN223+CN241+CN244)/(SUM(CN218+CN219+CN220+CN223+CN241+CN244)+CN277),"")</f>
        <v>0.000168581043259159</v>
      </c>
      <c r="CP341" s="335">
        <f>IFERROR(SUM(CP218+CP219+CP220+CP223+CP241+CP244)/(SUM(CP218+CP219+CP220+CP223+CP241+CP244)+CP277),"")</f>
        <v>0.000136844495629318</v>
      </c>
      <c r="CQ341" s="335">
        <f>IFERROR(SUM(CQ218+CQ219+CQ220+CQ223+CQ241+CQ244)/(SUM(CQ218+CQ219+CQ220+CQ223+CQ241+CQ244)+CQ277),"")</f>
        <v>9.03665137611156e-05</v>
      </c>
      <c r="CR341" s="335">
        <f>IFERROR(SUM(CR218+CR219+CR220+CR223+CR241+CR244)/(SUM(CR218+CR219+CR220+CR223+CR241+CR244)+CR277),"")</f>
        <v>8.03745736701408e-05</v>
      </c>
      <c r="CS341" s="335">
        <f>IFERROR(SUM(CS218+CS219+CS220+CS223+CS241+CS244)/(SUM(CS218+CS219+CS220+CS223+CS241+CS244)+CS277),"")</f>
        <v>6.17275301795196e-05</v>
      </c>
      <c r="CU341" s="335">
        <f>IFERROR(SUM(CU218+CU219+CU220+CU223+CU241+CU244)/(SUM(CU218+CU219+CU220+CU223+CU241+CU244)+CU277),"")</f>
        <v>5.01034427041816e-05</v>
      </c>
      <c r="CV341" s="335">
        <f>IFERROR(SUM(CV218+CV219+CV220+CV223+CV241+CV244)/(SUM(CV218+CV219+CV220+CV223+CV241+CV244)+CV277),"")</f>
        <v>3.30829283516557e-05</v>
      </c>
      <c r="CW341" s="335">
        <f>IFERROR(SUM(CW218+CW219+CW220+CW223+CW241+CW244)/(SUM(CW218+CW219+CW220+CW223+CW241+CW244)+CW277),"")</f>
        <v>2.9424268608387e-05</v>
      </c>
      <c r="CX341" s="335">
        <f>IFERROR(SUM(CX218+CX219+CX220+CX223+CX241+CX244)/(SUM(CX218+CX219+CX220+CX223+CX241+CX244)+CX277),"")</f>
        <v>2.25968715453882e-05</v>
      </c>
    </row>
    <row r="342" ht="12.75" customFormat="1" customHeight="1" s="331">
      <c r="A342" s="332" t="n"/>
      <c r="B342" s="332" t="n"/>
      <c r="C342" s="331" t="inlineStr">
        <is>
          <t>NET DEBT / EBITDA LTM (com arrendamentos)</t>
        </is>
      </c>
      <c r="D342" s="337" t="str">
        <f>""</f>
        <v/>
      </c>
      <c r="E342" s="337" t="str">
        <f>""</f>
        <v/>
      </c>
      <c r="F342" s="337" t="str">
        <f>""</f>
        <v/>
      </c>
      <c r="G342" s="337" t="str">
        <f>IFERROR((SUM(G218,G219,G220,G223,G241,G244)-G150)/(G75+F75+E75+D75),"")</f>
        <v/>
      </c>
      <c r="I342" s="337">
        <f>IFERROR((SUM(I218,I219,I220,I223,I241,I244)-I150)/(I75+G75+F75+E75),"")</f>
        <v>6.16708423326134</v>
      </c>
      <c r="J342" s="337">
        <f>IFERROR((SUM(J218,J219,J220,J223,J241,J244)-J150)/(J75+I75+G75+F75),"")</f>
        <v>2.79886300963048</v>
      </c>
      <c r="K342" s="337">
        <f>IFERROR((SUM(K218,K219,K220,K223,K241,K244)-K150)/(K75+J75+I75+G75),"")</f>
        <v>1.88112897932393</v>
      </c>
      <c r="L342" s="337">
        <f>IFERROR((SUM(L218,L219,L220,L223,L241,L244)-L150)/(L75+K75+J75+I75),"")</f>
        <v>1.05920370709103</v>
      </c>
      <c r="N342" s="337">
        <f>IFERROR((SUM(N218,N219,N220,N223,N241,N244)-N150)/(N75+L75+K75+J75),"")</f>
        <v>0.844797959219827</v>
      </c>
      <c r="O342" s="337">
        <f>IFERROR((SUM(O218,O219,O220,O223,O241,O244)-O150)/(O75+N75+L75+K75),"")</f>
        <v>0.65900760999161</v>
      </c>
      <c r="P342" s="337">
        <f>IFERROR((SUM(P218,P219,P220,P223,P241,P244)-P150)/(P75+O75+N75+L75),"")</f>
        <v>0.602882599580713</v>
      </c>
      <c r="Q342" s="337">
        <f>IFERROR((SUM(Q218,Q219,Q220,Q223,Q241,Q244)-Q150)/(Q75+P75+O75+N75),"")</f>
        <v>0.533440309659717</v>
      </c>
      <c r="S342" s="337">
        <f>IFERROR((SUM(S218,S219,S220,S223,S241,S244)-S150)/(S75+Q75+P75+O75),"")</f>
        <v>0.521669614089489</v>
      </c>
      <c r="T342" s="337">
        <f>IFERROR((SUM(T218,T219,T220,T223,T241,T244)-T150)/(T75+S75+Q75+P75),"")</f>
        <v>0.544960035523979</v>
      </c>
      <c r="U342" s="337">
        <f>IFERROR((SUM(U218,U219,U220,U223,U241,U244)-U150)/(U75+T75+S75+Q75),"")</f>
        <v>0.532523756364527</v>
      </c>
      <c r="V342" s="337">
        <f>IFERROR((SUM(V218,V219,V220,V223,V241,V244)-V150)/(V75+U75+T75+S75),"")</f>
        <v>0.689501176925805</v>
      </c>
      <c r="X342" s="337">
        <f>IFERROR((SUM(X218,X219,X220,X223,X241,X244)-X150)/(X75+V75+U75+T75),"")</f>
        <v>0.687595659426645</v>
      </c>
      <c r="Y342" s="337">
        <f>IFERROR((SUM(Y218,Y219,Y220,Y223,Y241,Y244)-Y150)/(Y75+X75+V75+U75),"")</f>
        <v>0.614229990618674</v>
      </c>
      <c r="Z342" s="337">
        <f>IFERROR((SUM(Z218,Z219,Z220,Z223,Z241,Z244)-Z150)/(Z75+Y75+X75+V75),"")</f>
        <v>0.602014892685064</v>
      </c>
      <c r="AA342" s="337">
        <f>IFERROR((SUM(AA218,AA219,AA220,AA223,AA241,AA244)-AA150)/(AA75+Z75+Y75+X75),"")</f>
        <v>0.667733595962083</v>
      </c>
      <c r="AC342" s="337">
        <f>IFERROR((SUM(AC218,AC219,AC220,AC223,AC241,AC244)-AC150)/(AC75+AA75+Z75+Y75),"")</f>
        <v>0.735817835173927</v>
      </c>
      <c r="AD342" s="337">
        <f>IFERROR((SUM(AD218,AD219,AD220,AD223,AD241,AD244)-AD150)/(AD75+AC75+AA75+Z75),"")</f>
        <v>0.816100681460109</v>
      </c>
      <c r="AE342" s="337">
        <f>IFERROR((SUM(AE218,AE219,AE220,AE223,AE241,AE244)-AE150)/(AE75+AD75+AC75+AA75),"")</f>
        <v>0.768525821596244</v>
      </c>
      <c r="AF342" s="337">
        <f>IFERROR((SUM(AF218,AF219,AF220,AF223,AF241,AF244)-AF150)/(AF75+AE75+AD75+AC75),"")</f>
        <v>0.859041999962179</v>
      </c>
      <c r="AH342" s="337">
        <f>IFERROR((SUM(AH218,AH219,AH220,AH223,AH241,AH244)-AH150)/(AH75+AF75+AE75+AD75),"")</f>
        <v>0.96589007594285</v>
      </c>
      <c r="AI342" s="337">
        <f>IFERROR((SUM(AI218,AI219,AI220,AI223,AI241,AI244)-AI150)/(AI75+AH75+AF75+AE75),"")</f>
        <v>0.661306692039328</v>
      </c>
      <c r="AJ342" s="337">
        <f>IFERROR((SUM(AJ218,AJ219,AJ220,AJ223,AJ241,AJ244)-AJ150)/(AJ75+AI75+AH75+AF75),"")</f>
        <v>0.329798194048846</v>
      </c>
      <c r="AK342" s="337">
        <f>IFERROR((SUM(AK218,AK219,AK220,AK223,AK241,AK244)-AK150)/(AK75+AJ75+AI75+AH75),"")</f>
        <v>0.390652110081948</v>
      </c>
      <c r="AM342" s="337" t="str">
        <f>IFERROR((SUM(AM218,AM219,AM220,AM223,AM241,AM244)-AM150)/(AM75+AK75+AJ75+AI75),"")</f>
        <v/>
      </c>
      <c r="AN342" s="337" t="str">
        <f>IFERROR((SUM(AN218,AN219,AN220,AN223,AN241,AN244)-AN150)/(AN75+AM75+AK75+AJ75),"")</f>
        <v/>
      </c>
      <c r="AO342" s="337" t="str">
        <f>IFERROR((SUM(AO218,AO219,AO220,AO223,AO241,AO244)-AO150)/(AO75+AN75+AM75+AK75),"")</f>
        <v/>
      </c>
      <c r="AP342" s="337" t="str">
        <f>IFERROR((SUM(AP218,AP219,AP220,AP223,AP241,AP244)-AP150)/(AP75+AO75+AN75+AM75),"")</f>
        <v/>
      </c>
      <c r="AR342" s="337" t="str">
        <f>IFERROR((SUM(AR218,AR219,AR220,AR223,AR241,AR244)-AR150)/(AR75+AP75+AO75+AN75),"")</f>
        <v/>
      </c>
      <c r="AS342" s="337" t="str">
        <f>IFERROR((SUM(AS218,AS219,AS220,AS223,AS241,AS244)-AS150)/(AS75+AR75+AP75+AO75),"")</f>
        <v/>
      </c>
      <c r="AT342" s="337" t="str">
        <f>IFERROR((SUM(AT218,AT219,AT220,AT223,AT241,AT244)-AT150)/(AT75+AS75+AR75+AP75),"")</f>
        <v/>
      </c>
      <c r="AU342" s="337" t="str">
        <f>IFERROR((SUM(AU218,AU219,AU220,AU223,AU241,AU244)-AU150)/(AU75+AT75+AS75+AR75),"")</f>
        <v/>
      </c>
      <c r="AW342" s="337" t="str">
        <f>IFERROR((SUM(AW218,AW219,AW220,AW223,AW241,AW244)-AW150)/(AW75+AU75+AT75+AS75),"")</f>
        <v/>
      </c>
      <c r="AX342" s="337" t="str">
        <f>IFERROR((SUM(AX218,AX219,AX220,AX223,AX241,AX244)-AX150)/(AX75+AW75+AU75+AT75),"")</f>
        <v/>
      </c>
      <c r="AY342" s="337" t="str">
        <f>IFERROR((SUM(AY218,AY219,AY220,AY223,AY241,AY244)-AY150)/(AY75+AX75+AW75+AU75),"")</f>
        <v/>
      </c>
      <c r="AZ342" s="337" t="str">
        <f>IFERROR((SUM(AZ218,AZ219,AZ220,AZ223,AZ241,AZ244)-AZ150)/(AZ75+AY75+AX75+AW75),"")</f>
        <v/>
      </c>
      <c r="BB342" s="337" t="str">
        <f>IFERROR((SUM(BB218,BB219,BB220,BB223,BB241,BB244)-BB150)/(BB75+AZ75+AY75+AX75),"")</f>
        <v/>
      </c>
      <c r="BC342" s="337" t="str">
        <f>IFERROR((SUM(BC218,BC219,BC220,BC223,BC241,BC244)-BC150)/(BC75+BB75+AZ75+AY75),"")</f>
        <v/>
      </c>
      <c r="BD342" s="337" t="str">
        <f>IFERROR((SUM(BD218,BD219,BD220,BD223,BD241,BD244)-BD150)/(BD75+BC75+BB75+AZ75),"")</f>
        <v/>
      </c>
      <c r="BE342" s="337" t="str">
        <f>IFERROR((SUM(BE218,BE219,BE220,BE223,BE241,BE244)-BE150)/(BE75+BD75+BC75+BB75),"")</f>
        <v/>
      </c>
      <c r="BG342" s="337" t="str">
        <f>IFERROR((SUM(BG218,BG219,BG220,BG223,BG241,BG244)-BG150)/(BG75+BE75+BD75+BC75),"")</f>
        <v/>
      </c>
      <c r="BH342" s="337" t="str">
        <f>IFERROR((SUM(BH218,BH219,BH220,BH223,BH241,BH244)-BH150)/(BH75+BG75+BE75+BD75),"")</f>
        <v/>
      </c>
      <c r="BI342" s="337" t="str">
        <f>IFERROR((SUM(BI218,BI219,BI220,BI223,BI241,BI244)-BI150)/(BI75+BH75+BG75+BE75),"")</f>
        <v/>
      </c>
      <c r="BJ342" s="337" t="str">
        <f>IFERROR((SUM(BJ218,BJ219,BJ220,BJ223,BJ241,BJ244)-BJ150)/(BJ75+BI75+BH75+BG75),"")</f>
        <v/>
      </c>
      <c r="BL342" s="337" t="str">
        <f>IFERROR((SUM(BL218,BL219,BL220,BL223,BL241,BL244)-BL150)/(BL75+BJ75+BI75+BH75),"")</f>
        <v/>
      </c>
      <c r="BM342" s="337" t="str">
        <f>IFERROR((SUM(BM218,BM219,BM220,BM223,BM241,BM244)-BM150)/(BM75+BL75+BJ75+BI75),"")</f>
        <v/>
      </c>
      <c r="BN342" s="337" t="str">
        <f>IFERROR((SUM(BN218,BN219,BN220,BN223,BN241,BN244)-BN150)/(BN75+BM75+BL75+BJ75),"")</f>
        <v/>
      </c>
      <c r="BO342" s="337" t="str">
        <f>IFERROR((SUM(BO218,BO219,BO220,BO223,BO241,BO244)-BO150)/(BO75+BN75+BM75+BL75),"")</f>
        <v/>
      </c>
      <c r="BQ342" s="337" t="str">
        <f>IFERROR((SUM(BQ218,BQ219,BQ220,BQ223,BQ241,BQ244)-BQ150)/(BQ75+BO75+BN75+BM75),"")</f>
        <v/>
      </c>
      <c r="BR342" s="337" t="str">
        <f>IFERROR((SUM(BR218,BR219,BR220,BR223,BR241,BR244)-BR150)/(BR75+BQ75+BO75+BN75),"")</f>
        <v/>
      </c>
      <c r="BS342" s="337" t="str">
        <f>IFERROR((SUM(BS218,BS219,BS220,BS223,BS241,BS244)-BS150)/(BS75+BR75+BQ75+BO75),"")</f>
        <v/>
      </c>
      <c r="BT342" s="337" t="str">
        <f>IFERROR((SUM(BT218,BT219,BT220,BT223,BT241,BT244)-BT150)/(BT75+BS75+BR75+BQ75),"")</f>
        <v/>
      </c>
      <c r="BV342" s="337" t="str">
        <f>IFERROR((SUM(BV218,BV219,BV220,BV223,BV241,BV244)-BV150)/(BV75+BT75+BS75+BR75),"")</f>
        <v/>
      </c>
      <c r="BW342" s="337" t="str">
        <f>IFERROR((SUM(BW218,BW219,BW220,BW223,BW241,BW244)-BW150)/(BW75+BV75+BT75+BS75),"")</f>
        <v/>
      </c>
      <c r="BX342" s="337" t="str">
        <f>IFERROR((SUM(BX218,BX219,BX220,BX223,BX241,BX244)-BX150)/(BX75+BW75+BV75+BT75),"")</f>
        <v/>
      </c>
      <c r="BY342" s="337" t="str">
        <f>IFERROR((SUM(BY218,BY219,BY220,BY223,BY241,BY244)-BY150)/(BY75+BX75+BW75+BV75),"")</f>
        <v/>
      </c>
      <c r="CA342" s="337" t="str">
        <f>IFERROR((SUM(CA218,CA219,CA220,CA223,CA241,CA244)-CA150)/(CA75+BY75+BX75+BW75),"")</f>
        <v/>
      </c>
      <c r="CB342" s="337" t="str">
        <f>IFERROR((SUM(CB218,CB219,CB220,CB223,CB241,CB244)-CB150)/(CB75+CA75+BY75+BX75),"")</f>
        <v/>
      </c>
      <c r="CC342" s="337" t="str">
        <f>IFERROR((SUM(CC218,CC219,CC220,CC223,CC241,CC244)-CC150)/(CC75+CB75+CA75+BY75),"")</f>
        <v/>
      </c>
      <c r="CD342" s="337" t="str">
        <f>IFERROR((SUM(CD218,CD219,CD220,CD223,CD241,CD244)-CD150)/(CD75+CC75+CB75+CA75),"")</f>
        <v/>
      </c>
      <c r="CF342" s="337" t="str">
        <f>IFERROR((SUM(CF218,CF219,CF220,CF223,CF241,CF244)-CF150)/(CF75+CD75+CC75+CB75),"")</f>
        <v/>
      </c>
      <c r="CG342" s="337" t="str">
        <f>IFERROR((SUM(CG218,CG219,CG220,CG223,CG241,CG244)-CG150)/(CG75+CF75+CD75+CC75),"")</f>
        <v/>
      </c>
      <c r="CH342" s="337" t="str">
        <f>IFERROR((SUM(CH218,CH219,CH220,CH223,CH241,CH244)-CH150)/(CH75+CG75+CF75+CD75),"")</f>
        <v/>
      </c>
      <c r="CI342" s="337" t="str">
        <f>IFERROR((SUM(CI218,CI219,CI220,CI223,CI241,CI244)-CI150)/(CI75+CH75+CG75+CF75),"")</f>
        <v/>
      </c>
      <c r="CK342" s="337" t="str">
        <f>IFERROR((SUM(CK218,CK219,CK220,CK223,CK241,CK244)-CK150)/(CK75+CI75+CH75+CG75),"")</f>
        <v/>
      </c>
      <c r="CL342" s="337" t="str">
        <f>IFERROR((SUM(CL218,CL219,CL220,CL223,CL241,CL244)-CL150)/(CL75+CK75+CI75+CH75),"")</f>
        <v/>
      </c>
      <c r="CM342" s="337" t="str">
        <f>IFERROR((SUM(CM218,CM219,CM220,CM223,CM241,CM244)-CM150)/(CM75+CL75+CK75+CI75),"")</f>
        <v/>
      </c>
      <c r="CN342" s="337" t="str">
        <f>IFERROR((SUM(CN218,CN219,CN220,CN223,CN241,CN244)-CN150)/(CN75+CM75+CL75+CK75),"")</f>
        <v/>
      </c>
      <c r="CP342" s="337" t="str">
        <f>IFERROR((SUM(CP218,CP219,CP220,CP223,CP241,CP244)-CP150)/(CP75+CN75+CM75+CL75),"")</f>
        <v/>
      </c>
      <c r="CQ342" s="337" t="str">
        <f>IFERROR((SUM(CQ218,CQ219,CQ220,CQ223,CQ241,CQ244)-CQ150)/(CQ75+CP75+CN75+CM75),"")</f>
        <v/>
      </c>
      <c r="CR342" s="337" t="str">
        <f>IFERROR((SUM(CR218,CR219,CR220,CR223,CR241,CR244)-CR150)/(CR75+CQ75+CP75+CN75),"")</f>
        <v/>
      </c>
      <c r="CS342" s="337" t="str">
        <f>IFERROR((SUM(CS218,CS219,CS220,CS223,CS241,CS244)-CS150)/(CS75+CR75+CQ75+CP75),"")</f>
        <v/>
      </c>
      <c r="CU342" s="337" t="str">
        <f>IFERROR((SUM(CU218,CU219,CU220,CU223,CU241,CU244)-CU150)/(CU75+CS75+CR75+CQ75),"")</f>
        <v/>
      </c>
      <c r="CV342" s="337" t="str">
        <f>IFERROR((SUM(CV218,CV219,CV220,CV223,CV241,CV244)-CV150)/(CV75+CU75+CS75+CR75),"")</f>
        <v/>
      </c>
      <c r="CW342" s="337" t="str">
        <f>IFERROR((SUM(CW218,CW219,CW220,CW223,CW241,CW244)-CW150)/(CW75+CV75+CU75+CS75),"")</f>
        <v/>
      </c>
      <c r="CX342" s="337" t="str">
        <f>IFERROR((SUM(CX218,CX219,CX220,CX223,CX241,CX244)-CX150)/(CX75+CW75+CV75+CU75),"")</f>
        <v/>
      </c>
    </row>
    <row r="343" ht="12.75" customFormat="1" customHeight="1" s="331">
      <c r="A343" s="332" t="n"/>
      <c r="B343" s="332" t="n"/>
      <c r="C343" s="338" t="inlineStr">
        <is>
          <t>NET DEBT (EX IFRS 16) / EBITDA LTM</t>
        </is>
      </c>
      <c r="D343" s="337" t="str">
        <f>""</f>
        <v/>
      </c>
      <c r="E343" s="337" t="str">
        <f>""</f>
        <v/>
      </c>
      <c r="F343" s="337" t="str">
        <f>""</f>
        <v/>
      </c>
      <c r="G343" s="337" t="str">
        <f>IFERROR((SUM(G218,G219,G223,G244)-G150)/(G75+F75+E75+D75),"")</f>
        <v/>
      </c>
      <c r="I343" s="337">
        <f>IFERROR((SUM(I218,I219,I223,I244)-I150)/(I75+G75+F75+E75),"")</f>
        <v>6.16708423326134</v>
      </c>
      <c r="J343" s="337">
        <f>IFERROR((SUM(J218,J219,J223,J244)-J150)/(J75+I75+G75+F75),"")</f>
        <v>2.79886300963048</v>
      </c>
      <c r="K343" s="337">
        <f>IFERROR((SUM(K218,K219,K223,K244)-K150)/(K75+J75+I75+G75),"")</f>
        <v>1.88112897932393</v>
      </c>
      <c r="L343" s="337">
        <f>IFERROR((SUM(L218,L219,L223,L244)-L150)/(L75+K75+J75+I75),"")</f>
        <v>1.05920370709103</v>
      </c>
      <c r="N343" s="337">
        <f>IFERROR((SUM(N218,N219,N223,N244)-N150)/(N75+L75+K75+J75),"")</f>
        <v>0.844797959219827</v>
      </c>
      <c r="O343" s="337">
        <f>IFERROR((SUM(O218,O219,O223,O244)-O150)/(O75+N75+L75+K75),"")</f>
        <v>0.65900760999161</v>
      </c>
      <c r="P343" s="337">
        <f>IFERROR((SUM(P218,P219,P223,P244)-P150)/(P75+O75+N75+L75),"")</f>
        <v>0.602882599580713</v>
      </c>
      <c r="Q343" s="337">
        <f>IFERROR((SUM(Q218,Q219,Q223,Q244)-Q150)/(Q75+P75+O75+N75),"")</f>
        <v>0.533440309659717</v>
      </c>
      <c r="S343" s="337">
        <f>IFERROR((SUM(S218,S219,S223,S244)-S150)/(S75+Q75+P75+O75),"")</f>
        <v>0.521669614089489</v>
      </c>
      <c r="T343" s="337">
        <f>IFERROR((SUM(T218,T219,T223,T244)-T150)/(T75+S75+Q75+P75),"")</f>
        <v>0.544960035523979</v>
      </c>
      <c r="U343" s="337">
        <f>IFERROR((SUM(U218,U219,U223,U244)-U150)/(U75+T75+S75+Q75),"")</f>
        <v>0.532523756364527</v>
      </c>
      <c r="V343" s="337">
        <f>IFERROR((SUM(V218,V219,V223,V244)-V150)/(V75+U75+T75+S75),"")</f>
        <v>0.689501176925805</v>
      </c>
      <c r="X343" s="337">
        <f>IFERROR((SUM(X218,X219,X223,X244)-X150)/(X75+V75+U75+T75),"")</f>
        <v>0.687595659426645</v>
      </c>
      <c r="Y343" s="337">
        <f>IFERROR((SUM(Y218,Y219,Y223,Y244)-Y150)/(Y75+X75+V75+U75),"")</f>
        <v>0.614229990618674</v>
      </c>
      <c r="Z343" s="337">
        <f>IFERROR((SUM(Z218,Z219,Z223,Z244)-Z150)/(Z75+Y75+X75+V75),"")</f>
        <v>0.602014892685064</v>
      </c>
      <c r="AA343" s="337">
        <f>IFERROR((SUM(AA218,AA219,AA223,AA244)-AA150)/(AA75+Z75+Y75+X75),"")</f>
        <v>0.667733595962083</v>
      </c>
      <c r="AC343" s="337">
        <f>IFERROR((SUM(AC218,AC219,AC223,AC244)-AC150)/(AC75+AA75+Z75+Y75),"")</f>
        <v>0.735817835173927</v>
      </c>
      <c r="AD343" s="337">
        <f>IFERROR((SUM(AD218,AD219,AD223,AD244)-AD150)/(AD75+AC75+AA75+Z75),"")</f>
        <v>0.816100681460109</v>
      </c>
      <c r="AE343" s="337">
        <f>IFERROR((SUM(AE218,AE219,AE223,AE244)-AE150)/(AE75+AD75+AC75+AA75),"")</f>
        <v>0.768525821596244</v>
      </c>
      <c r="AF343" s="337">
        <f>IFERROR((SUM(AF218,AF219,AF223,AF244)-AF150)/(AF75+AE75+AD75+AC75),"")</f>
        <v>0.859041999962179</v>
      </c>
      <c r="AH343" s="337">
        <f>IFERROR((SUM(AH218,AH219,AH223,AH244)-AH150)/(AH75+AF75+AE75+AD75),"")</f>
        <v>0.96589007594285</v>
      </c>
      <c r="AI343" s="337">
        <f>IFERROR((SUM(AI218,AI219,AI223,AI244)-AI150)/(AI75+AH75+AF75+AE75),"")</f>
        <v>0.661306692039328</v>
      </c>
      <c r="AJ343" s="337">
        <f>IFERROR((SUM(AJ218,AJ219,AJ223,AJ244)-AJ150)/(AJ75+AI75+AH75+AF75),"")</f>
        <v>0.329798194048846</v>
      </c>
      <c r="AK343" s="337">
        <f>IFERROR((SUM(AK218,AK219,AK223,AK244)-AK150)/(AK75+AJ75+AI75+AH75),"")</f>
        <v>0.390652110081948</v>
      </c>
      <c r="AM343" s="337" t="str">
        <f>IFERROR((SUM(AM218,AM219,AM223,AM244)-AM150)/(AM75+AK75+AJ75+AI75),"")</f>
        <v/>
      </c>
      <c r="AN343" s="337" t="str">
        <f>IFERROR((SUM(AN218,AN219,AN223,AN244)-AN150)/(AN75+AM75+AK75+AJ75),"")</f>
        <v/>
      </c>
      <c r="AO343" s="337" t="str">
        <f>IFERROR((SUM(AO218,AO219,AO223,AO244)-AO150)/(AO75+AN75+AM75+AK75),"")</f>
        <v/>
      </c>
      <c r="AP343" s="337" t="str">
        <f>IFERROR((SUM(AP218,AP219,AP223,AP244)-AP150)/(AP75+AO75+AN75+AM75),"")</f>
        <v/>
      </c>
      <c r="AR343" s="337" t="str">
        <f>IFERROR((SUM(AR218,AR219,AR223,AR244)-AR150)/(AR75+AP75+AO75+AN75),"")</f>
        <v/>
      </c>
      <c r="AS343" s="337" t="str">
        <f>IFERROR((SUM(AS218,AS219,AS223,AS244)-AS150)/(AS75+AR75+AP75+AO75),"")</f>
        <v/>
      </c>
      <c r="AT343" s="337" t="str">
        <f>IFERROR((SUM(AT218,AT219,AT223,AT244)-AT150)/(AT75+AS75+AR75+AP75),"")</f>
        <v/>
      </c>
      <c r="AU343" s="337" t="str">
        <f>IFERROR((SUM(AU218,AU219,AU223,AU244)-AU150)/(AU75+AT75+AS75+AR75),"")</f>
        <v/>
      </c>
      <c r="AW343" s="337" t="str">
        <f>IFERROR((SUM(AW218,AW219,AW223,AW244)-AW150)/(AW75+AU75+AT75+AS75),"")</f>
        <v/>
      </c>
      <c r="AX343" s="337" t="str">
        <f>IFERROR((SUM(AX218,AX219,AX223,AX244)-AX150)/(AX75+AW75+AU75+AT75),"")</f>
        <v/>
      </c>
      <c r="AY343" s="337" t="str">
        <f>IFERROR((SUM(AY218,AY219,AY223,AY244)-AY150)/(AY75+AX75+AW75+AU75),"")</f>
        <v/>
      </c>
      <c r="AZ343" s="337" t="str">
        <f>IFERROR((SUM(AZ218,AZ219,AZ223,AZ244)-AZ150)/(AZ75+AY75+AX75+AW75),"")</f>
        <v/>
      </c>
      <c r="BB343" s="337" t="str">
        <f>IFERROR((SUM(BB218,BB219,BB223,BB244)-BB150)/(BB75+AZ75+AY75+AX75),"")</f>
        <v/>
      </c>
      <c r="BC343" s="337" t="str">
        <f>IFERROR((SUM(BC218,BC219,BC223,BC244)-BC150)/(BC75+BB75+AZ75+AY75),"")</f>
        <v/>
      </c>
      <c r="BD343" s="337" t="str">
        <f>IFERROR((SUM(BD218,BD219,BD223,BD244)-BD150)/(BD75+BC75+BB75+AZ75),"")</f>
        <v/>
      </c>
      <c r="BE343" s="337" t="str">
        <f>IFERROR((SUM(BE218,BE219,BE223,BE244)-BE150)/(BE75+BD75+BC75+BB75),"")</f>
        <v/>
      </c>
      <c r="BG343" s="337" t="str">
        <f>IFERROR((SUM(BG218,BG219,BG223,BG244)-BG150)/(BG75+BE75+BD75+BC75),"")</f>
        <v/>
      </c>
      <c r="BH343" s="337" t="str">
        <f>IFERROR((SUM(BH218,BH219,BH223,BH244)-BH150)/(BH75+BG75+BE75+BD75),"")</f>
        <v/>
      </c>
      <c r="BI343" s="337" t="str">
        <f>IFERROR((SUM(BI218,BI219,BI223,BI244)-BI150)/(BI75+BH75+BG75+BE75),"")</f>
        <v/>
      </c>
      <c r="BJ343" s="337" t="str">
        <f>IFERROR((SUM(BJ218,BJ219,BJ223,BJ244)-BJ150)/(BJ75+BI75+BH75+BG75),"")</f>
        <v/>
      </c>
      <c r="BL343" s="337" t="str">
        <f>IFERROR((SUM(BL218,BL219,BL223,BL244)-BL150)/(BL75+BJ75+BI75+BH75),"")</f>
        <v/>
      </c>
      <c r="BM343" s="337" t="str">
        <f>IFERROR((SUM(BM218,BM219,BM223,BM244)-BM150)/(BM75+BL75+BJ75+BI75),"")</f>
        <v/>
      </c>
      <c r="BN343" s="337" t="str">
        <f>IFERROR((SUM(BN218,BN219,BN223,BN244)-BN150)/(BN75+BM75+BL75+BJ75),"")</f>
        <v/>
      </c>
      <c r="BO343" s="337" t="str">
        <f>IFERROR((SUM(BO218,BO219,BO223,BO244)-BO150)/(BO75+BN75+BM75+BL75),"")</f>
        <v/>
      </c>
      <c r="BQ343" s="337" t="str">
        <f>IFERROR((SUM(BQ218,BQ219,BQ223,BQ244)-BQ150)/(BQ75+BO75+BN75+BM75),"")</f>
        <v/>
      </c>
      <c r="BR343" s="337" t="str">
        <f>IFERROR((SUM(BR218,BR219,BR223,BR244)-BR150)/(BR75+BQ75+BO75+BN75),"")</f>
        <v/>
      </c>
      <c r="BS343" s="337" t="str">
        <f>IFERROR((SUM(BS218,BS219,BS223,BS244)-BS150)/(BS75+BR75+BQ75+BO75),"")</f>
        <v/>
      </c>
      <c r="BT343" s="337" t="str">
        <f>IFERROR((SUM(BT218,BT219,BT223,BT244)-BT150)/(BT75+BS75+BR75+BQ75),"")</f>
        <v/>
      </c>
      <c r="BV343" s="337" t="str">
        <f>IFERROR((SUM(BV218,BV219,BV223,BV244)-BV150)/(BV75+BT75+BS75+BR75),"")</f>
        <v/>
      </c>
      <c r="BW343" s="337" t="str">
        <f>IFERROR((SUM(BW218,BW219,BW223,BW244)-BW150)/(BW75+BV75+BT75+BS75),"")</f>
        <v/>
      </c>
      <c r="BX343" s="337" t="str">
        <f>IFERROR((SUM(BX218,BX219,BX223,BX244)-BX150)/(BX75+BW75+BV75+BT75),"")</f>
        <v/>
      </c>
      <c r="BY343" s="337" t="str">
        <f>IFERROR((SUM(BY218,BY219,BY223,BY244)-BY150)/(BY75+BX75+BW75+BV75),"")</f>
        <v/>
      </c>
      <c r="CA343" s="337" t="str">
        <f>IFERROR((SUM(CA218,CA219,CA223,CA244)-CA150)/(CA75+BY75+BX75+BW75),"")</f>
        <v/>
      </c>
      <c r="CB343" s="337" t="str">
        <f>IFERROR((SUM(CB218,CB219,CB223,CB244)-CB150)/(CB75+CA75+BY75+BX75),"")</f>
        <v/>
      </c>
      <c r="CC343" s="337" t="str">
        <f>IFERROR((SUM(CC218,CC219,CC223,CC244)-CC150)/(CC75+CB75+CA75+BY75),"")</f>
        <v/>
      </c>
      <c r="CD343" s="337" t="str">
        <f>IFERROR((SUM(CD218,CD219,CD223,CD244)-CD150)/(CD75+CC75+CB75+CA75),"")</f>
        <v/>
      </c>
      <c r="CF343" s="337" t="str">
        <f>IFERROR((SUM(CF218,CF219,CF223,CF244)-CF150)/(CF75+CD75+CC75+CB75),"")</f>
        <v/>
      </c>
      <c r="CG343" s="337" t="str">
        <f>IFERROR((SUM(CG218,CG219,CG223,CG244)-CG150)/(CG75+CF75+CD75+CC75),"")</f>
        <v/>
      </c>
      <c r="CH343" s="337" t="str">
        <f>IFERROR((SUM(CH218,CH219,CH223,CH244)-CH150)/(CH75+CG75+CF75+CD75),"")</f>
        <v/>
      </c>
      <c r="CI343" s="337" t="str">
        <f>IFERROR((SUM(CI218,CI219,CI223,CI244)-CI150)/(CI75+CH75+CG75+CF75),"")</f>
        <v/>
      </c>
      <c r="CK343" s="337" t="str">
        <f>IFERROR((SUM(CK218,CK219,CK223,CK244)-CK150)/(CK75+CI75+CH75+CG75),"")</f>
        <v/>
      </c>
      <c r="CL343" s="337" t="str">
        <f>IFERROR((SUM(CL218,CL219,CL223,CL244)-CL150)/(CL75+CK75+CI75+CH75),"")</f>
        <v/>
      </c>
      <c r="CM343" s="337" t="str">
        <f>IFERROR((SUM(CM218,CM219,CM223,CM244)-CM150)/(CM75+CL75+CK75+CI75),"")</f>
        <v/>
      </c>
      <c r="CN343" s="337" t="str">
        <f>IFERROR((SUM(CN218,CN219,CN223,CN244)-CN150)/(CN75+CM75+CL75+CK75),"")</f>
        <v/>
      </c>
      <c r="CP343" s="337" t="str">
        <f>IFERROR((SUM(CP218,CP219,CP223,CP244)-CP150)/(CP75+CN75+CM75+CL75),"")</f>
        <v/>
      </c>
      <c r="CQ343" s="337" t="str">
        <f>IFERROR((SUM(CQ218,CQ219,CQ223,CQ244)-CQ150)/(CQ75+CP75+CN75+CM75),"")</f>
        <v/>
      </c>
      <c r="CR343" s="337" t="str">
        <f>IFERROR((SUM(CR218,CR219,CR223,CR244)-CR150)/(CR75+CQ75+CP75+CN75),"")</f>
        <v/>
      </c>
      <c r="CS343" s="337" t="str">
        <f>IFERROR((SUM(CS218,CS219,CS223,CS244)-CS150)/(CS75+CR75+CQ75+CP75),"")</f>
        <v/>
      </c>
      <c r="CU343" s="337" t="str">
        <f>IFERROR((SUM(CU218,CU219,CU223,CU244)-CU150)/(CU75+CS75+CR75+CQ75),"")</f>
        <v/>
      </c>
      <c r="CV343" s="337" t="str">
        <f>IFERROR((SUM(CV218,CV219,CV223,CV244)-CV150)/(CV75+CU75+CS75+CR75),"")</f>
        <v/>
      </c>
      <c r="CW343" s="337" t="str">
        <f>IFERROR((SUM(CW218,CW219,CW223,CW244)-CW150)/(CW75+CV75+CU75+CS75),"")</f>
        <v/>
      </c>
      <c r="CX343" s="337" t="str">
        <f>IFERROR((SUM(CX218,CX219,CX223,CX244)-CX150)/(CX75+CW75+CV75+CU75),"")</f>
        <v/>
      </c>
    </row>
    <row r="344" ht="12.75" customFormat="1" customHeight="1" s="331">
      <c r="A344" s="332" t="n"/>
      <c r="B344" s="332" t="n"/>
      <c r="C344" s="331" t="inlineStr">
        <is>
          <t>INTEREST COVERAGE</t>
        </is>
      </c>
      <c r="D344" s="337" t="str">
        <f>IFERROR(D79/-D80,"")</f>
        <v/>
      </c>
      <c r="E344" s="337" t="str">
        <f>IFERROR(E79/-E80,"")</f>
        <v/>
      </c>
      <c r="F344" s="337" t="str">
        <f>IFERROR(F79/-F80,"")</f>
        <v/>
      </c>
      <c r="G344" s="337" t="str">
        <f>IFERROR(G79/-G80,"")</f>
        <v/>
      </c>
      <c r="I344" s="337">
        <f>IFERROR(I79/-I80,"")</f>
        <v>6.36659192825112</v>
      </c>
      <c r="J344" s="337">
        <f>IFERROR(J79/-J80,"")</f>
        <v>4.22508398656215</v>
      </c>
      <c r="K344" s="337">
        <f>IFERROR(K79/-K80,"")</f>
        <v>0.629802095459837</v>
      </c>
      <c r="L344" s="337">
        <f>IFERROR(L79/-L80,"")</f>
        <v>12.7601246105919</v>
      </c>
      <c r="N344" s="337">
        <f>IFERROR(N79/-N80,"")</f>
        <v>17.6174402250352</v>
      </c>
      <c r="O344" s="337">
        <f>IFERROR(O79/-O80,"")</f>
        <v>34.2906474820144</v>
      </c>
      <c r="P344" s="337">
        <f>IFERROR(P79/-P80,"")</f>
        <v>12.4768392370572</v>
      </c>
      <c r="Q344" s="337">
        <f>IFERROR(Q79/-Q80,"")</f>
        <v>16.9153846153846</v>
      </c>
      <c r="S344" s="337">
        <f>IFERROR(S79/-S80,"")</f>
        <v>11.5502145922747</v>
      </c>
      <c r="T344" s="337">
        <f>IFERROR(T79/-T80,"")</f>
        <v>4.22625928984311</v>
      </c>
      <c r="U344" s="337">
        <f>IFERROR(U79/-U80,"")</f>
        <v>9.51458885941645</v>
      </c>
      <c r="V344" s="337">
        <f>IFERROR(V79/-V80,"")</f>
        <v>1.20240137221269</v>
      </c>
      <c r="X344" s="337">
        <f>IFERROR(X79/-X80,"")</f>
        <v>8.57646048109966</v>
      </c>
      <c r="Y344" s="337">
        <f>IFERROR(Y79/-Y80,"")</f>
        <v>6.51417004048583</v>
      </c>
      <c r="Z344" s="337">
        <f>IFERROR(Z79/-Z80,"")</f>
        <v>6.02385008517888</v>
      </c>
      <c r="AA344" s="337">
        <f>IFERROR(AA79/-AA80,"")</f>
        <v>4.03050288540808</v>
      </c>
      <c r="AC344" s="337">
        <f>IFERROR(AC79/-AC80,"")</f>
        <v>8.17857142857143</v>
      </c>
      <c r="AD344" s="337">
        <f>IFERROR(AD79/-AD80,"")</f>
        <v>5.59348837209302</v>
      </c>
      <c r="AE344" s="337">
        <f>IFERROR(AE79/-AE80,"")</f>
        <v>5.41277258566978</v>
      </c>
      <c r="AF344" s="337">
        <f>IFERROR(AF79/-AF80,"")</f>
        <v>4.57585917854149</v>
      </c>
      <c r="AH344" s="337">
        <f>IFERROR(AH79/-AH80,"")</f>
        <v>7.03326544467074</v>
      </c>
      <c r="AI344" s="337">
        <f>IFERROR(AI79/-AI80,"")</f>
        <v>13.6238779174147</v>
      </c>
      <c r="AJ344" s="337" t="str">
        <f>IFERROR(AJ79/-AJ80,"")</f>
        <v/>
      </c>
      <c r="AK344" s="337" t="str">
        <f>IFERROR(AK79/-AK80,"")</f>
        <v/>
      </c>
      <c r="AM344" s="337" t="str">
        <f>IFERROR(AM79/-AM80,"")</f>
        <v/>
      </c>
      <c r="AN344" s="337" t="str">
        <f>IFERROR(AN79/-AN80,"")</f>
        <v/>
      </c>
      <c r="AO344" s="337" t="str">
        <f>IFERROR(AO79/-AO80,"")</f>
        <v/>
      </c>
      <c r="AP344" s="337" t="str">
        <f>IFERROR(AP79/-AP80,"")</f>
        <v/>
      </c>
      <c r="AR344" s="337" t="str">
        <f>IFERROR(AR79/-AR80,"")</f>
        <v/>
      </c>
      <c r="AS344" s="337" t="str">
        <f>IFERROR(AS79/-AS80,"")</f>
        <v/>
      </c>
      <c r="AT344" s="337" t="str">
        <f>IFERROR(AT79/-AT80,"")</f>
        <v/>
      </c>
      <c r="AU344" s="337" t="str">
        <f>IFERROR(AU79/-AU80,"")</f>
        <v/>
      </c>
      <c r="AW344" s="337" t="str">
        <f>IFERROR(AW79/-AW80,"")</f>
        <v/>
      </c>
      <c r="AX344" s="337" t="str">
        <f>IFERROR(AX79/-AX80,"")</f>
        <v/>
      </c>
      <c r="AY344" s="337" t="str">
        <f>IFERROR(AY79/-AY80,"")</f>
        <v/>
      </c>
      <c r="AZ344" s="337" t="str">
        <f>IFERROR(AZ79/-AZ80,"")</f>
        <v/>
      </c>
      <c r="BB344" s="337" t="str">
        <f>IFERROR(BB79/-BB80,"")</f>
        <v/>
      </c>
      <c r="BC344" s="337" t="str">
        <f>IFERROR(BC79/-BC80,"")</f>
        <v/>
      </c>
      <c r="BD344" s="337" t="str">
        <f>IFERROR(BD79/-BD80,"")</f>
        <v/>
      </c>
      <c r="BE344" s="337" t="str">
        <f>IFERROR(BE79/-BE80,"")</f>
        <v/>
      </c>
      <c r="BG344" s="337" t="str">
        <f>IFERROR(BG79/-BG80,"")</f>
        <v/>
      </c>
      <c r="BH344" s="337" t="str">
        <f>IFERROR(BH79/-BH80,"")</f>
        <v/>
      </c>
      <c r="BI344" s="337" t="str">
        <f>IFERROR(BI79/-BI80,"")</f>
        <v/>
      </c>
      <c r="BJ344" s="337" t="str">
        <f>IFERROR(BJ79/-BJ80,"")</f>
        <v/>
      </c>
      <c r="BL344" s="337" t="str">
        <f>IFERROR(BL79/-BL80,"")</f>
        <v/>
      </c>
      <c r="BM344" s="337" t="str">
        <f>IFERROR(BM79/-BM80,"")</f>
        <v/>
      </c>
      <c r="BN344" s="337" t="str">
        <f>IFERROR(BN79/-BN80,"")</f>
        <v/>
      </c>
      <c r="BO344" s="337" t="str">
        <f>IFERROR(BO79/-BO80,"")</f>
        <v/>
      </c>
      <c r="BQ344" s="337" t="str">
        <f>IFERROR(BQ79/-BQ80,"")</f>
        <v/>
      </c>
      <c r="BR344" s="337" t="str">
        <f>IFERROR(BR79/-BR80,"")</f>
        <v/>
      </c>
      <c r="BS344" s="337" t="str">
        <f>IFERROR(BS79/-BS80,"")</f>
        <v/>
      </c>
      <c r="BT344" s="337" t="str">
        <f>IFERROR(BT79/-BT80,"")</f>
        <v/>
      </c>
      <c r="BV344" s="337" t="str">
        <f>IFERROR(BV79/-BV80,"")</f>
        <v/>
      </c>
      <c r="BW344" s="337" t="str">
        <f>IFERROR(BW79/-BW80,"")</f>
        <v/>
      </c>
      <c r="BX344" s="337" t="str">
        <f>IFERROR(BX79/-BX80,"")</f>
        <v/>
      </c>
      <c r="BY344" s="337" t="str">
        <f>IFERROR(BY79/-BY80,"")</f>
        <v/>
      </c>
      <c r="CA344" s="337" t="str">
        <f>IFERROR(CA79/-CA80,"")</f>
        <v/>
      </c>
      <c r="CB344" s="337" t="str">
        <f>IFERROR(CB79/-CB80,"")</f>
        <v/>
      </c>
      <c r="CC344" s="337" t="str">
        <f>IFERROR(CC79/-CC80,"")</f>
        <v/>
      </c>
      <c r="CD344" s="337" t="str">
        <f>IFERROR(CD79/-CD80,"")</f>
        <v/>
      </c>
      <c r="CF344" s="337" t="str">
        <f>IFERROR(CF79/-CF80,"")</f>
        <v/>
      </c>
      <c r="CG344" s="337" t="str">
        <f>IFERROR(CG79/-CG80,"")</f>
        <v/>
      </c>
      <c r="CH344" s="337" t="str">
        <f>IFERROR(CH79/-CH80,"")</f>
        <v/>
      </c>
      <c r="CI344" s="337" t="str">
        <f>IFERROR(CI79/-CI80,"")</f>
        <v/>
      </c>
      <c r="CK344" s="337" t="str">
        <f>IFERROR(CK79/-CK80,"")</f>
        <v/>
      </c>
      <c r="CL344" s="337" t="str">
        <f>IFERROR(CL79/-CL80,"")</f>
        <v/>
      </c>
      <c r="CM344" s="337" t="str">
        <f>IFERROR(CM79/-CM80,"")</f>
        <v/>
      </c>
      <c r="CN344" s="337" t="str">
        <f>IFERROR(CN79/-CN80,"")</f>
        <v/>
      </c>
      <c r="CP344" s="337" t="str">
        <f>IFERROR(CP79/-CP80,"")</f>
        <v/>
      </c>
      <c r="CQ344" s="337" t="str">
        <f>IFERROR(CQ79/-CQ80,"")</f>
        <v/>
      </c>
      <c r="CR344" s="337" t="str">
        <f>IFERROR(CR79/-CR80,"")</f>
        <v/>
      </c>
      <c r="CS344" s="337" t="str">
        <f>IFERROR(CS79/-CS80,"")</f>
        <v/>
      </c>
      <c r="CU344" s="337" t="str">
        <f>IFERROR(CU79/-CU80,"")</f>
        <v/>
      </c>
      <c r="CV344" s="337" t="str">
        <f>IFERROR(CV79/-CV80,"")</f>
        <v/>
      </c>
      <c r="CW344" s="337" t="str">
        <f>IFERROR(CW79/-CW80,"")</f>
        <v/>
      </c>
      <c r="CX344" s="337" t="str">
        <f>IFERROR(CX79/-CX80,"")</f>
        <v/>
      </c>
    </row>
    <row r="345" ht="12.75" customFormat="1" customHeight="1" s="331">
      <c r="A345" s="332" t="n"/>
      <c r="B345" s="332" t="n"/>
    </row>
    <row r="346" ht="12.75" customFormat="1" customHeight="1" s="331">
      <c r="A346" s="332" t="n"/>
      <c r="B346" s="332" t="n"/>
      <c r="C346" s="329" t="inlineStr">
        <is>
          <t>INTERNAL LIQUIDITY</t>
        </is>
      </c>
    </row>
    <row r="347" ht="12.75" customFormat="1" customHeight="1" s="331">
      <c r="A347" s="332" t="n"/>
      <c r="B347" s="332" t="n"/>
      <c r="C347" s="331" t="inlineStr">
        <is>
          <t>CURRENT RATIO</t>
        </is>
      </c>
      <c r="D347" s="337" t="str">
        <f>IFERROR(SUM(D150,D151,D155,D159,D160,D161)/SUM(D204,D208,D210,D211),"")</f>
        <v/>
      </c>
      <c r="E347" s="337" t="str">
        <f>IFERROR(SUM(E150,E151,E155,E159,E160,E161)/SUM(E204,E208,E210,E211),"")</f>
        <v/>
      </c>
      <c r="F347" s="337" t="str">
        <f>IFERROR(SUM(F150,F151,F155,F159,F160,F161)/SUM(F204,F208,F210,F211),"")</f>
        <v/>
      </c>
      <c r="G347" s="337" t="str">
        <f>IFERROR(SUM(G150,G151,G155,G159,G160,G161)/SUM(G204,G208,G210,G211),"")</f>
        <v/>
      </c>
      <c r="I347" s="337">
        <f>IFERROR(SUM(I150,I151,I155,I159,I160,I161)/SUM(I204,I208,I210,I211),"")</f>
        <v>1.83273820103084</v>
      </c>
      <c r="J347" s="337">
        <f>IFERROR(SUM(J150,J151,J155,J159,J160,J161)/SUM(J204,J208,J210,J211),"")</f>
        <v>1.76428441483928</v>
      </c>
      <c r="K347" s="337">
        <f>IFERROR(SUM(K150,K151,K155,K159,K160,K161)/SUM(K204,K208,K210,K211),"")</f>
        <v>1.56194344967663</v>
      </c>
      <c r="L347" s="337">
        <f>IFERROR(SUM(L150,L151,L155,L159,L160,L161)/SUM(L204,L208,L210,L211),"")</f>
        <v>1.61677106115952</v>
      </c>
      <c r="N347" s="337">
        <f>IFERROR(SUM(N150,N151,N155,N159,N160,N161)/SUM(N204,N208,N210,N211),"")</f>
        <v>1.53796426118132</v>
      </c>
      <c r="O347" s="337">
        <f>IFERROR(SUM(O150,O151,O155,O159,O160,O161)/SUM(O204,O208,O210,O211),"")</f>
        <v>1.54964112166199</v>
      </c>
      <c r="P347" s="337">
        <f>IFERROR(SUM(P150,P151,P155,P159,P160,P161)/SUM(P204,P208,P210,P211),"")</f>
        <v>1.54757471118905</v>
      </c>
      <c r="Q347" s="337">
        <f>IFERROR(SUM(Q150,Q151,Q155,Q159,Q160,Q161)/SUM(Q204,Q208,Q210,Q211),"")</f>
        <v>1.54708396402814</v>
      </c>
      <c r="S347" s="337">
        <f>IFERROR(SUM(S150,S151,S155,S159,S160,S161)/SUM(S204,S208,S210,S211),"")</f>
        <v>1.67984578086786</v>
      </c>
      <c r="T347" s="337">
        <f>IFERROR(SUM(T150,T151,T155,T159,T160,T161)/SUM(T204,T208,T210,T211),"")</f>
        <v>1.74640242813783</v>
      </c>
      <c r="U347" s="337">
        <f>IFERROR(SUM(U150,U151,U155,U159,U160,U161)/SUM(U204,U208,U210,U211),"")</f>
        <v>1.72672626749794</v>
      </c>
      <c r="V347" s="337">
        <f>IFERROR(SUM(V150,V151,V155,V159,V160,V161)/SUM(V204,V208,V210,V211),"")</f>
        <v>1.64338991769547</v>
      </c>
      <c r="X347" s="337">
        <f>IFERROR(SUM(X150,X151,X155,X159,X160,X161)/SUM(X204,X208,X210,X211),"")</f>
        <v>1.6811643174358</v>
      </c>
      <c r="Y347" s="337">
        <f>IFERROR(SUM(Y150,Y151,Y155,Y159,Y160,Y161)/SUM(Y204,Y208,Y210,Y211),"")</f>
        <v>1.66801408590418</v>
      </c>
      <c r="Z347" s="337">
        <f>IFERROR(SUM(Z150,Z151,Z155,Z159,Z160,Z161)/SUM(Z204,Z208,Z210,Z211),"")</f>
        <v>1.69654683674784</v>
      </c>
      <c r="AA347" s="337">
        <f>IFERROR(SUM(AA150,AA151,AA155,AA159,AA160,AA161)/SUM(AA204,AA208,AA210,AA211),"")</f>
        <v>1.61596288036832</v>
      </c>
      <c r="AC347" s="337">
        <f>IFERROR(SUM(AC150,AC151,AC155,AC159,AC160,AC161)/SUM(AC204,AC208,AC210,AC211),"")</f>
        <v>1.57803754870705</v>
      </c>
      <c r="AD347" s="337">
        <f>IFERROR(SUM(AD150,AD151,AD155,AD159,AD160,AD161)/SUM(AD204,AD208,AD210,AD211),"")</f>
        <v>1.58308301558305</v>
      </c>
      <c r="AE347" s="337">
        <f>IFERROR(SUM(AE150,AE151,AE155,AE159,AE160,AE161)/SUM(AE204,AE208,AE210,AE211),"")</f>
        <v>1.62396512519002</v>
      </c>
      <c r="AF347" s="337">
        <f>IFERROR(SUM(AF150,AF151,AF155,AF159,AF160,AF161)/SUM(AF204,AF208,AF210,AF211),"")</f>
        <v>1.57390806009251</v>
      </c>
      <c r="AH347" s="337">
        <f>IFERROR(SUM(AH150,AH151,AH155,AH159,AH160,AH161)/SUM(AH204,AH208,AH210,AH211),"")</f>
        <v>1.51818061932792</v>
      </c>
      <c r="AI347" s="337">
        <f>IFERROR(SUM(AI150,AI151,AI155,AI159,AI160,AI161)/SUM(AI204,AI208,AI210,AI211),"")</f>
        <v>1.67942080884356</v>
      </c>
      <c r="AJ347" s="337">
        <f>IFERROR(SUM(AJ150,AJ151,AJ155,AJ159,AJ160,AJ161)/SUM(AJ204,AJ208,AJ210,AJ211),"")</f>
        <v>6.2791687531297</v>
      </c>
      <c r="AK347" s="337">
        <f>IFERROR(SUM(AK150,AK151,AK155,AK159,AK160,AK161)/SUM(AK204,AK208,AK210,AK211),"")</f>
        <v>6.42029711233517</v>
      </c>
      <c r="AM347" s="337" t="str">
        <f>IFERROR(SUM(AM150,AM151,AM155,AM159,AM160,AM161)/SUM(AM204,AM208,AM210,AM211),"")</f>
        <v/>
      </c>
      <c r="AN347" s="337" t="str">
        <f>IFERROR(SUM(AN150,AN151,AN155,AN159,AN160,AN161)/SUM(AN204,AN208,AN210,AN211),"")</f>
        <v/>
      </c>
      <c r="AO347" s="337" t="str">
        <f>IFERROR(SUM(AO150,AO151,AO155,AO159,AO160,AO161)/SUM(AO204,AO208,AO210,AO211),"")</f>
        <v/>
      </c>
      <c r="AP347" s="337" t="str">
        <f>IFERROR(SUM(AP150,AP151,AP155,AP159,AP160,AP161)/SUM(AP204,AP208,AP210,AP211),"")</f>
        <v/>
      </c>
      <c r="AR347" s="337" t="str">
        <f>IFERROR(SUM(AR150,AR151,AR155,AR159,AR160,AR161)/SUM(AR204,AR208,AR210,AR211),"")</f>
        <v/>
      </c>
      <c r="AS347" s="337" t="str">
        <f>IFERROR(SUM(AS150,AS151,AS155,AS159,AS160,AS161)/SUM(AS204,AS208,AS210,AS211),"")</f>
        <v/>
      </c>
      <c r="AT347" s="337" t="str">
        <f>IFERROR(SUM(AT150,AT151,AT155,AT159,AT160,AT161)/SUM(AT204,AT208,AT210,AT211),"")</f>
        <v/>
      </c>
      <c r="AU347" s="337" t="str">
        <f>IFERROR(SUM(AU150,AU151,AU155,AU159,AU160,AU161)/SUM(AU204,AU208,AU210,AU211),"")</f>
        <v/>
      </c>
      <c r="AW347" s="337" t="str">
        <f>IFERROR(SUM(AW150,AW151,AW155,AW159,AW160,AW161)/SUM(AW204,AW208,AW210,AW211),"")</f>
        <v/>
      </c>
      <c r="AX347" s="337" t="str">
        <f>IFERROR(SUM(AX150,AX151,AX155,AX159,AX160,AX161)/SUM(AX204,AX208,AX210,AX211),"")</f>
        <v/>
      </c>
      <c r="AY347" s="337" t="str">
        <f>IFERROR(SUM(AY150,AY151,AY155,AY159,AY160,AY161)/SUM(AY204,AY208,AY210,AY211),"")</f>
        <v/>
      </c>
      <c r="AZ347" s="337" t="str">
        <f>IFERROR(SUM(AZ150,AZ151,AZ155,AZ159,AZ160,AZ161)/SUM(AZ204,AZ208,AZ210,AZ211),"")</f>
        <v/>
      </c>
      <c r="BB347" s="337" t="str">
        <f>IFERROR(SUM(BB150,BB151,BB155,BB159,BB160,BB161)/SUM(BB204,BB208,BB210,BB211),"")</f>
        <v/>
      </c>
      <c r="BC347" s="337" t="str">
        <f>IFERROR(SUM(BC150,BC151,BC155,BC159,BC160,BC161)/SUM(BC204,BC208,BC210,BC211),"")</f>
        <v/>
      </c>
      <c r="BD347" s="337" t="str">
        <f>IFERROR(SUM(BD150,BD151,BD155,BD159,BD160,BD161)/SUM(BD204,BD208,BD210,BD211),"")</f>
        <v/>
      </c>
      <c r="BE347" s="337" t="str">
        <f>IFERROR(SUM(BE150,BE151,BE155,BE159,BE160,BE161)/SUM(BE204,BE208,BE210,BE211),"")</f>
        <v/>
      </c>
      <c r="BG347" s="337" t="str">
        <f>IFERROR(SUM(BG150,BG151,BG155,BG159,BG160,BG161)/SUM(BG204,BG208,BG210,BG211),"")</f>
        <v/>
      </c>
      <c r="BH347" s="337" t="str">
        <f>IFERROR(SUM(BH150,BH151,BH155,BH159,BH160,BH161)/SUM(BH204,BH208,BH210,BH211),"")</f>
        <v/>
      </c>
      <c r="BI347" s="337" t="str">
        <f>IFERROR(SUM(BI150,BI151,BI155,BI159,BI160,BI161)/SUM(BI204,BI208,BI210,BI211),"")</f>
        <v/>
      </c>
      <c r="BJ347" s="337" t="str">
        <f>IFERROR(SUM(BJ150,BJ151,BJ155,BJ159,BJ160,BJ161)/SUM(BJ204,BJ208,BJ210,BJ211),"")</f>
        <v/>
      </c>
      <c r="BL347" s="337" t="str">
        <f>IFERROR(SUM(BL150,BL151,BL155,BL159,BL160,BL161)/SUM(BL204,BL208,BL210,BL211),"")</f>
        <v/>
      </c>
      <c r="BM347" s="337" t="str">
        <f>IFERROR(SUM(BM150,BM151,BM155,BM159,BM160,BM161)/SUM(BM204,BM208,BM210,BM211),"")</f>
        <v/>
      </c>
      <c r="BN347" s="337" t="str">
        <f>IFERROR(SUM(BN150,BN151,BN155,BN159,BN160,BN161)/SUM(BN204,BN208,BN210,BN211),"")</f>
        <v/>
      </c>
      <c r="BO347" s="337" t="str">
        <f>IFERROR(SUM(BO150,BO151,BO155,BO159,BO160,BO161)/SUM(BO204,BO208,BO210,BO211),"")</f>
        <v/>
      </c>
      <c r="BQ347" s="337" t="str">
        <f>IFERROR(SUM(BQ150,BQ151,BQ155,BQ159,BQ160,BQ161)/SUM(BQ204,BQ208,BQ210,BQ211),"")</f>
        <v/>
      </c>
      <c r="BR347" s="337" t="str">
        <f>IFERROR(SUM(BR150,BR151,BR155,BR159,BR160,BR161)/SUM(BR204,BR208,BR210,BR211),"")</f>
        <v/>
      </c>
      <c r="BS347" s="337" t="str">
        <f>IFERROR(SUM(BS150,BS151,BS155,BS159,BS160,BS161)/SUM(BS204,BS208,BS210,BS211),"")</f>
        <v/>
      </c>
      <c r="BT347" s="337" t="str">
        <f>IFERROR(SUM(BT150,BT151,BT155,BT159,BT160,BT161)/SUM(BT204,BT208,BT210,BT211),"")</f>
        <v/>
      </c>
      <c r="BV347" s="337" t="str">
        <f>IFERROR(SUM(BV150,BV151,BV155,BV159,BV160,BV161)/SUM(BV204,BV208,BV210,BV211),"")</f>
        <v/>
      </c>
      <c r="BW347" s="337" t="str">
        <f>IFERROR(SUM(BW150,BW151,BW155,BW159,BW160,BW161)/SUM(BW204,BW208,BW210,BW211),"")</f>
        <v/>
      </c>
      <c r="BX347" s="337" t="str">
        <f>IFERROR(SUM(BX150,BX151,BX155,BX159,BX160,BX161)/SUM(BX204,BX208,BX210,BX211),"")</f>
        <v/>
      </c>
      <c r="BY347" s="337" t="str">
        <f>IFERROR(SUM(BY150,BY151,BY155,BY159,BY160,BY161)/SUM(BY204,BY208,BY210,BY211),"")</f>
        <v/>
      </c>
      <c r="CA347" s="337" t="str">
        <f>IFERROR(SUM(CA150,CA151,CA155,CA159,CA160,CA161)/SUM(CA204,CA208,CA210,CA211),"")</f>
        <v/>
      </c>
      <c r="CB347" s="337" t="str">
        <f>IFERROR(SUM(CB150,CB151,CB155,CB159,CB160,CB161)/SUM(CB204,CB208,CB210,CB211),"")</f>
        <v/>
      </c>
      <c r="CC347" s="337" t="str">
        <f>IFERROR(SUM(CC150,CC151,CC155,CC159,CC160,CC161)/SUM(CC204,CC208,CC210,CC211),"")</f>
        <v/>
      </c>
      <c r="CD347" s="337" t="str">
        <f>IFERROR(SUM(CD150,CD151,CD155,CD159,CD160,CD161)/SUM(CD204,CD208,CD210,CD211),"")</f>
        <v/>
      </c>
      <c r="CF347" s="337" t="str">
        <f>IFERROR(SUM(CF150,CF151,CF155,CF159,CF160,CF161)/SUM(CF204,CF208,CF210,CF211),"")</f>
        <v/>
      </c>
      <c r="CG347" s="337" t="str">
        <f>IFERROR(SUM(CG150,CG151,CG155,CG159,CG160,CG161)/SUM(CG204,CG208,CG210,CG211),"")</f>
        <v/>
      </c>
      <c r="CH347" s="337" t="str">
        <f>IFERROR(SUM(CH150,CH151,CH155,CH159,CH160,CH161)/SUM(CH204,CH208,CH210,CH211),"")</f>
        <v/>
      </c>
      <c r="CI347" s="337" t="str">
        <f>IFERROR(SUM(CI150,CI151,CI155,CI159,CI160,CI161)/SUM(CI204,CI208,CI210,CI211),"")</f>
        <v/>
      </c>
      <c r="CK347" s="337" t="str">
        <f>IFERROR(SUM(CK150,CK151,CK155,CK159,CK160,CK161)/SUM(CK204,CK208,CK210,CK211),"")</f>
        <v/>
      </c>
      <c r="CL347" s="337" t="str">
        <f>IFERROR(SUM(CL150,CL151,CL155,CL159,CL160,CL161)/SUM(CL204,CL208,CL210,CL211),"")</f>
        <v/>
      </c>
      <c r="CM347" s="337" t="str">
        <f>IFERROR(SUM(CM150,CM151,CM155,CM159,CM160,CM161)/SUM(CM204,CM208,CM210,CM211),"")</f>
        <v/>
      </c>
      <c r="CN347" s="337" t="str">
        <f>IFERROR(SUM(CN150,CN151,CN155,CN159,CN160,CN161)/SUM(CN204,CN208,CN210,CN211),"")</f>
        <v/>
      </c>
      <c r="CP347" s="337" t="str">
        <f>IFERROR(SUM(CP150,CP151,CP155,CP159,CP160,CP161)/SUM(CP204,CP208,CP210,CP211),"")</f>
        <v/>
      </c>
      <c r="CQ347" s="337" t="str">
        <f>IFERROR(SUM(CQ150,CQ151,CQ155,CQ159,CQ160,CQ161)/SUM(CQ204,CQ208,CQ210,CQ211),"")</f>
        <v/>
      </c>
      <c r="CR347" s="337" t="str">
        <f>IFERROR(SUM(CR150,CR151,CR155,CR159,CR160,CR161)/SUM(CR204,CR208,CR210,CR211),"")</f>
        <v/>
      </c>
      <c r="CS347" s="337" t="str">
        <f>IFERROR(SUM(CS150,CS151,CS155,CS159,CS160,CS161)/SUM(CS204,CS208,CS210,CS211),"")</f>
        <v/>
      </c>
      <c r="CU347" s="337" t="str">
        <f>IFERROR(SUM(CU150,CU151,CU155,CU159,CU160,CU161)/SUM(CU204,CU208,CU210,CU211),"")</f>
        <v/>
      </c>
      <c r="CV347" s="337" t="str">
        <f>IFERROR(SUM(CV150,CV151,CV155,CV159,CV160,CV161)/SUM(CV204,CV208,CV210,CV211),"")</f>
        <v/>
      </c>
      <c r="CW347" s="337" t="str">
        <f>IFERROR(SUM(CW150,CW151,CW155,CW159,CW160,CW161)/SUM(CW204,CW208,CW210,CW211),"")</f>
        <v/>
      </c>
      <c r="CX347" s="337" t="str">
        <f>IFERROR(SUM(CX150,CX151,CX155,CX159,CX160,CX161)/SUM(CX204,CX208,CX210,CX211),"")</f>
        <v/>
      </c>
    </row>
    <row r="348" ht="12.75" customFormat="1" customHeight="1" s="331">
      <c r="A348" s="332" t="n"/>
      <c r="B348" s="332" t="n"/>
      <c r="C348" s="331" t="inlineStr">
        <is>
          <t>CASH RATIO</t>
        </is>
      </c>
      <c r="D348" s="337" t="str">
        <f>IFERROR(SUM(D150)/SUM(D204,D208,D210,D211),"")</f>
        <v/>
      </c>
      <c r="E348" s="337" t="str">
        <f>IFERROR(SUM(E150)/SUM(E204,E208,E210,E211),"")</f>
        <v/>
      </c>
      <c r="F348" s="337" t="str">
        <f>IFERROR(SUM(F150)/SUM(F204,F208,F210,F211),"")</f>
        <v/>
      </c>
      <c r="G348" s="337" t="str">
        <f>IFERROR(SUM(G150)/SUM(G204,G208,G210,G211),"")</f>
        <v/>
      </c>
      <c r="I348" s="337">
        <f>IFERROR(SUM(I150)/SUM(I204,I208,I210,I211),"")</f>
        <v>0.500638218804027</v>
      </c>
      <c r="J348" s="337">
        <f>IFERROR(SUM(J150)/SUM(J204,J208,J210,J211),"")</f>
        <v>0.477252690353909</v>
      </c>
      <c r="K348" s="337">
        <f>IFERROR(SUM(K150)/SUM(K204,K208,K210,K211),"")</f>
        <v>0.407001977657812</v>
      </c>
      <c r="L348" s="337">
        <f>IFERROR(SUM(L150)/SUM(L204,L208,L210,L211),"")</f>
        <v>0.423341616187063</v>
      </c>
      <c r="N348" s="337">
        <f>IFERROR(SUM(N150)/SUM(N204,N208,N210,N211),"")</f>
        <v>0.360963950654459</v>
      </c>
      <c r="O348" s="337">
        <f>IFERROR(SUM(O150)/SUM(O204,O208,O210,O211),"")</f>
        <v>0.347465561053899</v>
      </c>
      <c r="P348" s="337">
        <f>IFERROR(SUM(P150)/SUM(P204,P208,P210,P211),"")</f>
        <v>0.325221918897908</v>
      </c>
      <c r="Q348" s="337">
        <f>IFERROR(SUM(Q150)/SUM(Q204,Q208,Q210,Q211),"")</f>
        <v>0.358347431217167</v>
      </c>
      <c r="S348" s="337">
        <f>IFERROR(SUM(S150)/SUM(S204,S208,S210,S211),"")</f>
        <v>0.449350122285946</v>
      </c>
      <c r="T348" s="337">
        <f>IFERROR(SUM(T150)/SUM(T204,T208,T210,T211),"")</f>
        <v>0.536737487353449</v>
      </c>
      <c r="U348" s="337">
        <f>IFERROR(SUM(U150)/SUM(U204,U208,U210,U211),"")</f>
        <v>0.506187507352076</v>
      </c>
      <c r="V348" s="337">
        <f>IFERROR(SUM(V150)/SUM(V204,V208,V210,V211),"")</f>
        <v>0.453306210250655</v>
      </c>
      <c r="X348" s="337">
        <f>IFERROR(SUM(X150)/SUM(X204,X208,X210,X211),"")</f>
        <v>0.482103205251979</v>
      </c>
      <c r="Y348" s="337">
        <f>IFERROR(SUM(Y150)/SUM(Y204,Y208,Y210,Y211),"")</f>
        <v>0.473018549747049</v>
      </c>
      <c r="Z348" s="337">
        <f>IFERROR(SUM(Z150)/SUM(Z204,Z208,Z210,Z211),"")</f>
        <v>0.544414379590259</v>
      </c>
      <c r="AA348" s="337">
        <f>IFERROR(SUM(AA150)/SUM(AA204,AA208,AA210,AA211),"")</f>
        <v>0.468911109512505</v>
      </c>
      <c r="AC348" s="337">
        <f>IFERROR(SUM(AC150)/SUM(AC204,AC208,AC210,AC211),"")</f>
        <v>0.420368402408785</v>
      </c>
      <c r="AD348" s="337">
        <f>IFERROR(SUM(AD150)/SUM(AD204,AD208,AD210,AD211),"")</f>
        <v>0.40069639419835</v>
      </c>
      <c r="AE348" s="337">
        <f>IFERROR(SUM(AE150)/SUM(AE204,AE208,AE210,AE211),"")</f>
        <v>0.415243910099373</v>
      </c>
      <c r="AF348" s="337">
        <f>IFERROR(SUM(AF150)/SUM(AF204,AF208,AF210,AF211),"")</f>
        <v>0.412296860289001</v>
      </c>
      <c r="AH348" s="337">
        <f>IFERROR(SUM(AH150)/SUM(AH204,AH208,AH210,AH211),"")</f>
        <v>0.277139055063359</v>
      </c>
      <c r="AI348" s="337">
        <f>IFERROR(SUM(AI150)/SUM(AI204,AI208,AI210,AI211),"")</f>
        <v>0.407068623253279</v>
      </c>
      <c r="AJ348" s="337">
        <f>IFERROR(SUM(AJ150)/SUM(AJ204,AJ208,AJ210,AJ211),"")</f>
        <v>4.73627107327658</v>
      </c>
      <c r="AK348" s="337">
        <f>IFERROR(SUM(AK150)/SUM(AK204,AK208,AK210,AK211),"")</f>
        <v>4.87739943248206</v>
      </c>
      <c r="AM348" s="337" t="str">
        <f>IFERROR(SUM(AM150)/SUM(AM204,AM208,AM210,AM211),"")</f>
        <v/>
      </c>
      <c r="AN348" s="337" t="str">
        <f>IFERROR(SUM(AN150)/SUM(AN204,AN208,AN210,AN211),"")</f>
        <v/>
      </c>
      <c r="AO348" s="337" t="str">
        <f>IFERROR(SUM(AO150)/SUM(AO204,AO208,AO210,AO211),"")</f>
        <v/>
      </c>
      <c r="AP348" s="337" t="str">
        <f>IFERROR(SUM(AP150)/SUM(AP204,AP208,AP210,AP211),"")</f>
        <v/>
      </c>
      <c r="AR348" s="337" t="str">
        <f>IFERROR(SUM(AR150)/SUM(AR204,AR208,AR210,AR211),"")</f>
        <v/>
      </c>
      <c r="AS348" s="337" t="str">
        <f>IFERROR(SUM(AS150)/SUM(AS204,AS208,AS210,AS211),"")</f>
        <v/>
      </c>
      <c r="AT348" s="337" t="str">
        <f>IFERROR(SUM(AT150)/SUM(AT204,AT208,AT210,AT211),"")</f>
        <v/>
      </c>
      <c r="AU348" s="337" t="str">
        <f>IFERROR(SUM(AU150)/SUM(AU204,AU208,AU210,AU211),"")</f>
        <v/>
      </c>
      <c r="AW348" s="337" t="str">
        <f>IFERROR(SUM(AW150)/SUM(AW204,AW208,AW210,AW211),"")</f>
        <v/>
      </c>
      <c r="AX348" s="337" t="str">
        <f>IFERROR(SUM(AX150)/SUM(AX204,AX208,AX210,AX211),"")</f>
        <v/>
      </c>
      <c r="AY348" s="337" t="str">
        <f>IFERROR(SUM(AY150)/SUM(AY204,AY208,AY210,AY211),"")</f>
        <v/>
      </c>
      <c r="AZ348" s="337" t="str">
        <f>IFERROR(SUM(AZ150)/SUM(AZ204,AZ208,AZ210,AZ211),"")</f>
        <v/>
      </c>
      <c r="BB348" s="337" t="str">
        <f>IFERROR(SUM(BB150)/SUM(BB204,BB208,BB210,BB211),"")</f>
        <v/>
      </c>
      <c r="BC348" s="337" t="str">
        <f>IFERROR(SUM(BC150)/SUM(BC204,BC208,BC210,BC211),"")</f>
        <v/>
      </c>
      <c r="BD348" s="337" t="str">
        <f>IFERROR(SUM(BD150)/SUM(BD204,BD208,BD210,BD211),"")</f>
        <v/>
      </c>
      <c r="BE348" s="337" t="str">
        <f>IFERROR(SUM(BE150)/SUM(BE204,BE208,BE210,BE211),"")</f>
        <v/>
      </c>
      <c r="BG348" s="337" t="str">
        <f>IFERROR(SUM(BG150)/SUM(BG204,BG208,BG210,BG211),"")</f>
        <v/>
      </c>
      <c r="BH348" s="337" t="str">
        <f>IFERROR(SUM(BH150)/SUM(BH204,BH208,BH210,BH211),"")</f>
        <v/>
      </c>
      <c r="BI348" s="337" t="str">
        <f>IFERROR(SUM(BI150)/SUM(BI204,BI208,BI210,BI211),"")</f>
        <v/>
      </c>
      <c r="BJ348" s="337" t="str">
        <f>IFERROR(SUM(BJ150)/SUM(BJ204,BJ208,BJ210,BJ211),"")</f>
        <v/>
      </c>
      <c r="BL348" s="337" t="str">
        <f>IFERROR(SUM(BL150)/SUM(BL204,BL208,BL210,BL211),"")</f>
        <v/>
      </c>
      <c r="BM348" s="337" t="str">
        <f>IFERROR(SUM(BM150)/SUM(BM204,BM208,BM210,BM211),"")</f>
        <v/>
      </c>
      <c r="BN348" s="337" t="str">
        <f>IFERROR(SUM(BN150)/SUM(BN204,BN208,BN210,BN211),"")</f>
        <v/>
      </c>
      <c r="BO348" s="337" t="str">
        <f>IFERROR(SUM(BO150)/SUM(BO204,BO208,BO210,BO211),"")</f>
        <v/>
      </c>
      <c r="BQ348" s="337" t="str">
        <f>IFERROR(SUM(BQ150)/SUM(BQ204,BQ208,BQ210,BQ211),"")</f>
        <v/>
      </c>
      <c r="BR348" s="337" t="str">
        <f>IFERROR(SUM(BR150)/SUM(BR204,BR208,BR210,BR211),"")</f>
        <v/>
      </c>
      <c r="BS348" s="337" t="str">
        <f>IFERROR(SUM(BS150)/SUM(BS204,BS208,BS210,BS211),"")</f>
        <v/>
      </c>
      <c r="BT348" s="337" t="str">
        <f>IFERROR(SUM(BT150)/SUM(BT204,BT208,BT210,BT211),"")</f>
        <v/>
      </c>
      <c r="BV348" s="337" t="str">
        <f>IFERROR(SUM(BV150)/SUM(BV204,BV208,BV210,BV211),"")</f>
        <v/>
      </c>
      <c r="BW348" s="337" t="str">
        <f>IFERROR(SUM(BW150)/SUM(BW204,BW208,BW210,BW211),"")</f>
        <v/>
      </c>
      <c r="BX348" s="337" t="str">
        <f>IFERROR(SUM(BX150)/SUM(BX204,BX208,BX210,BX211),"")</f>
        <v/>
      </c>
      <c r="BY348" s="337" t="str">
        <f>IFERROR(SUM(BY150)/SUM(BY204,BY208,BY210,BY211),"")</f>
        <v/>
      </c>
      <c r="CA348" s="337" t="str">
        <f>IFERROR(SUM(CA150)/SUM(CA204,CA208,CA210,CA211),"")</f>
        <v/>
      </c>
      <c r="CB348" s="337" t="str">
        <f>IFERROR(SUM(CB150)/SUM(CB204,CB208,CB210,CB211),"")</f>
        <v/>
      </c>
      <c r="CC348" s="337" t="str">
        <f>IFERROR(SUM(CC150)/SUM(CC204,CC208,CC210,CC211),"")</f>
        <v/>
      </c>
      <c r="CD348" s="337" t="str">
        <f>IFERROR(SUM(CD150)/SUM(CD204,CD208,CD210,CD211),"")</f>
        <v/>
      </c>
      <c r="CF348" s="337" t="str">
        <f>IFERROR(SUM(CF150)/SUM(CF204,CF208,CF210,CF211),"")</f>
        <v/>
      </c>
      <c r="CG348" s="337" t="str">
        <f>IFERROR(SUM(CG150)/SUM(CG204,CG208,CG210,CG211),"")</f>
        <v/>
      </c>
      <c r="CH348" s="337" t="str">
        <f>IFERROR(SUM(CH150)/SUM(CH204,CH208,CH210,CH211),"")</f>
        <v/>
      </c>
      <c r="CI348" s="337" t="str">
        <f>IFERROR(SUM(CI150)/SUM(CI204,CI208,CI210,CI211),"")</f>
        <v/>
      </c>
      <c r="CK348" s="337" t="str">
        <f>IFERROR(SUM(CK150)/SUM(CK204,CK208,CK210,CK211),"")</f>
        <v/>
      </c>
      <c r="CL348" s="337" t="str">
        <f>IFERROR(SUM(CL150)/SUM(CL204,CL208,CL210,CL211),"")</f>
        <v/>
      </c>
      <c r="CM348" s="337" t="str">
        <f>IFERROR(SUM(CM150)/SUM(CM204,CM208,CM210,CM211),"")</f>
        <v/>
      </c>
      <c r="CN348" s="337" t="str">
        <f>IFERROR(SUM(CN150)/SUM(CN204,CN208,CN210,CN211),"")</f>
        <v/>
      </c>
      <c r="CP348" s="337" t="str">
        <f>IFERROR(SUM(CP150)/SUM(CP204,CP208,CP210,CP211),"")</f>
        <v/>
      </c>
      <c r="CQ348" s="337" t="str">
        <f>IFERROR(SUM(CQ150)/SUM(CQ204,CQ208,CQ210,CQ211),"")</f>
        <v/>
      </c>
      <c r="CR348" s="337" t="str">
        <f>IFERROR(SUM(CR150)/SUM(CR204,CR208,CR210,CR211),"")</f>
        <v/>
      </c>
      <c r="CS348" s="337" t="str">
        <f>IFERROR(SUM(CS150)/SUM(CS204,CS208,CS210,CS211),"")</f>
        <v/>
      </c>
      <c r="CU348" s="337" t="str">
        <f>IFERROR(SUM(CU150)/SUM(CU204,CU208,CU210,CU211),"")</f>
        <v/>
      </c>
      <c r="CV348" s="337" t="str">
        <f>IFERROR(SUM(CV150)/SUM(CV204,CV208,CV210,CV211),"")</f>
        <v/>
      </c>
      <c r="CW348" s="337" t="str">
        <f>IFERROR(SUM(CW150)/SUM(CW204,CW208,CW210,CW211),"")</f>
        <v/>
      </c>
      <c r="CX348" s="337" t="str">
        <f>IFERROR(SUM(CX150)/SUM(CX204,CX208,CX210,CX211),"")</f>
        <v/>
      </c>
    </row>
    <row r="349" ht="12.75" customFormat="1" customHeight="1" s="331">
      <c r="A349" s="332" t="n"/>
      <c r="B349" s="332" t="n"/>
    </row>
    <row r="350" ht="12.75" customFormat="1" customHeight="1" s="331">
      <c r="A350" s="332" t="n"/>
      <c r="B350" s="332" t="n"/>
      <c r="C350" s="329" t="inlineStr">
        <is>
          <t>OPERATING EFFICIENCY</t>
        </is>
      </c>
    </row>
    <row r="351" ht="12.75" customFormat="1" customHeight="1" s="339">
      <c r="A351" s="336" t="n"/>
      <c r="B351" s="336" t="n"/>
      <c r="C351" s="339" t="inlineStr">
        <is>
          <t>RETURN ON CAPITAL (ROIC)</t>
        </is>
      </c>
      <c r="D351" s="339" t="str">
        <f>IFERROR(D353/D356,"")</f>
        <v/>
      </c>
      <c r="E351" s="339" t="str">
        <f>IFERROR(E353/E356,"")</f>
        <v/>
      </c>
      <c r="F351" s="339" t="str">
        <f>IFERROR(F353/F356,"")</f>
        <v/>
      </c>
      <c r="G351" s="339" t="str">
        <f>IFERROR(G353/G356,"")</f>
        <v/>
      </c>
      <c r="H351" s="339" t="str">
        <f>IFERROR(H353/H356,"")</f>
        <v/>
      </c>
      <c r="I351" s="336">
        <f>IFERROR(I353/I356,"")</f>
        <v>0.0175607329668146</v>
      </c>
      <c r="J351" s="336">
        <f>IFERROR(J353/J356,"")</f>
        <v>0.0144066820293802</v>
      </c>
      <c r="K351" s="336">
        <f>IFERROR(K353/K356,"")</f>
        <v>-0.000676687210381686</v>
      </c>
      <c r="L351" s="336">
        <f>IFERROR(L353/L356,"")</f>
        <v>0.0404689322456886</v>
      </c>
      <c r="M351" s="336">
        <f>IFERROR(M353/M356,"")</f>
        <v>0.0711522920481629</v>
      </c>
      <c r="N351" s="336">
        <f>IFERROR(N353/N356,"")</f>
        <v>0.0392139790002584</v>
      </c>
      <c r="O351" s="336">
        <f>IFERROR(O353/O356,"")</f>
        <v>0.071631445094442</v>
      </c>
      <c r="P351" s="336">
        <f>IFERROR(P353/P356,"")</f>
        <v>0.0239855354876575</v>
      </c>
      <c r="Q351" s="336">
        <f>IFERROR(Q353/Q356,"")</f>
        <v>0.0490199082006703</v>
      </c>
      <c r="R351" s="336">
        <f>IFERROR(R353/R356,"")</f>
        <v>0.182714951133958</v>
      </c>
      <c r="S351" s="336">
        <f>IFERROR(S353/S356,"")</f>
        <v>0.0357189439275675</v>
      </c>
      <c r="T351" s="336">
        <f>IFERROR(T353/T356,"")</f>
        <v>0.0135378006596035</v>
      </c>
      <c r="U351" s="336">
        <f>IFERROR(U353/U356,"")</f>
        <v>0.0306038208813857</v>
      </c>
      <c r="V351" s="336">
        <f>IFERROR(V353/V356,"")</f>
        <v>0.00207016472527429</v>
      </c>
      <c r="W351" s="336">
        <f>IFERROR(W353/W356,"")</f>
        <v>0.0833212969490831</v>
      </c>
      <c r="X351" s="336">
        <f>IFERROR(X353/X356,"")</f>
        <v>0.0307998389437591</v>
      </c>
      <c r="Y351" s="336">
        <f>IFERROR(Y353/Y356,"")</f>
        <v>0.0184718479268308</v>
      </c>
      <c r="Z351" s="336">
        <f>IFERROR(Z353/Z356,"")</f>
        <v>0.0199952728374882</v>
      </c>
      <c r="AA351" s="336">
        <f>IFERROR(AA353/AA356,"")</f>
        <v>0.00581354086212562</v>
      </c>
      <c r="AB351" s="336">
        <f>IFERROR(AB353/AB356,"")</f>
        <v>0.079534477474149</v>
      </c>
      <c r="AC351" s="336">
        <f>IFERROR(AC353/AC356,"")</f>
        <v>0.0236723442140713</v>
      </c>
      <c r="AD351" s="336">
        <f>IFERROR(AD353/AD356,"")</f>
        <v>0.0170087539100372</v>
      </c>
      <c r="AE351" s="336">
        <f>IFERROR(AE353/AE356,"")</f>
        <v>0.0229682564147976</v>
      </c>
      <c r="AF351" s="336">
        <f>IFERROR(AF353/AF356,"")</f>
        <v>0.0161401537845089</v>
      </c>
      <c r="AG351" s="336">
        <f>IFERROR(AG353/AG356,"")</f>
        <v>0.0819458400058172</v>
      </c>
      <c r="AH351" s="336">
        <f>IFERROR(AH353/AH356,"")</f>
        <v>0.0302460072898272</v>
      </c>
      <c r="AI351" s="336">
        <f>IFERROR(AI353/AI356,"")</f>
        <v>0.0502093903919543</v>
      </c>
      <c r="AJ351" s="336">
        <f>IFERROR(AJ353/AJ356,"")</f>
        <v>0</v>
      </c>
      <c r="AK351" s="336">
        <f>IFERROR(AK353/AK356,"")</f>
        <v>0</v>
      </c>
      <c r="AL351" s="336">
        <f>IFERROR(AL353/AL356,"")</f>
        <v>0.0961880214708836</v>
      </c>
      <c r="AM351" s="336" t="str">
        <f>IFERROR(AM353/AM356,"")</f>
        <v/>
      </c>
      <c r="AN351" s="336">
        <f>IFERROR(AN353/AN356,"")</f>
        <v>0</v>
      </c>
      <c r="AO351" s="336" t="str">
        <f>IFERROR(AO353/AO356,"")</f>
        <v/>
      </c>
      <c r="AP351" s="336" t="str">
        <f>IFERROR(AP353/AP356,"")</f>
        <v/>
      </c>
      <c r="AQ351" s="336" t="str">
        <f>IFERROR(AQ353/AQ356,"")</f>
        <v/>
      </c>
      <c r="AR351" s="336" t="str">
        <f>IFERROR(AR353/AR356,"")</f>
        <v/>
      </c>
      <c r="AS351" s="336" t="str">
        <f>IFERROR(AS353/AS356,"")</f>
        <v/>
      </c>
      <c r="AT351" s="336" t="str">
        <f>IFERROR(AT353/AT356,"")</f>
        <v/>
      </c>
      <c r="AU351" s="336" t="str">
        <f>IFERROR(AU353/AU356,"")</f>
        <v/>
      </c>
      <c r="AV351" s="336" t="str">
        <f>IFERROR(AV353/AV356,"")</f>
        <v/>
      </c>
      <c r="AW351" s="336" t="str">
        <f>IFERROR(AW353/AW356,"")</f>
        <v/>
      </c>
      <c r="AX351" s="336" t="str">
        <f>IFERROR(AX353/AX356,"")</f>
        <v/>
      </c>
      <c r="AY351" s="336" t="str">
        <f>IFERROR(AY353/AY356,"")</f>
        <v/>
      </c>
      <c r="AZ351" s="336" t="str">
        <f>IFERROR(AZ353/AZ356,"")</f>
        <v/>
      </c>
      <c r="BA351" s="336" t="str">
        <f>IFERROR(BA353/BA356,"")</f>
        <v/>
      </c>
      <c r="BB351" s="336" t="str">
        <f>IFERROR(BB353/BB356,"")</f>
        <v/>
      </c>
      <c r="BC351" s="336" t="str">
        <f>IFERROR(BC353/BC356,"")</f>
        <v/>
      </c>
      <c r="BD351" s="336" t="str">
        <f>IFERROR(BD353/BD356,"")</f>
        <v/>
      </c>
      <c r="BE351" s="336" t="str">
        <f>IFERROR(BE353/BE356,"")</f>
        <v/>
      </c>
      <c r="BF351" s="336" t="str">
        <f>IFERROR(BF353/BF356,"")</f>
        <v/>
      </c>
      <c r="BG351" s="336" t="str">
        <f>IFERROR(BG353/BG356,"")</f>
        <v/>
      </c>
      <c r="BH351" s="336" t="str">
        <f>IFERROR(BH353/BH356,"")</f>
        <v/>
      </c>
      <c r="BI351" s="336" t="str">
        <f>IFERROR(BI353/BI356,"")</f>
        <v/>
      </c>
      <c r="BJ351" s="336" t="str">
        <f>IFERROR(BJ353/BJ356,"")</f>
        <v/>
      </c>
      <c r="BK351" s="336" t="str">
        <f>IFERROR(BK353/BK356,"")</f>
        <v/>
      </c>
      <c r="BL351" s="336" t="str">
        <f>IFERROR(BL353/BL356,"")</f>
        <v/>
      </c>
      <c r="BM351" s="336" t="str">
        <f>IFERROR(BM353/BM356,"")</f>
        <v/>
      </c>
      <c r="BN351" s="336" t="str">
        <f>IFERROR(BN353/BN356,"")</f>
        <v/>
      </c>
      <c r="BO351" s="336" t="str">
        <f>IFERROR(BO353/BO356,"")</f>
        <v/>
      </c>
      <c r="BP351" s="336" t="str">
        <f>IFERROR(BP353/BP356,"")</f>
        <v/>
      </c>
      <c r="BQ351" s="336" t="str">
        <f>IFERROR(BQ353/BQ356,"")</f>
        <v/>
      </c>
      <c r="BR351" s="336" t="str">
        <f>IFERROR(BR353/BR356,"")</f>
        <v/>
      </c>
      <c r="BS351" s="336" t="str">
        <f>IFERROR(BS353/BS356,"")</f>
        <v/>
      </c>
      <c r="BT351" s="336" t="str">
        <f>IFERROR(BT353/BT356,"")</f>
        <v/>
      </c>
      <c r="BU351" s="336" t="str">
        <f>IFERROR(BU353/BU356,"")</f>
        <v/>
      </c>
      <c r="BV351" s="336" t="str">
        <f>IFERROR(BV353/BV356,"")</f>
        <v/>
      </c>
      <c r="BW351" s="336" t="str">
        <f>IFERROR(BW353/BW356,"")</f>
        <v/>
      </c>
      <c r="BX351" s="336" t="str">
        <f>IFERROR(BX353/BX356,"")</f>
        <v/>
      </c>
      <c r="BY351" s="336" t="str">
        <f>IFERROR(BY353/BY356,"")</f>
        <v/>
      </c>
      <c r="BZ351" s="336" t="str">
        <f>IFERROR(BZ353/BZ356,"")</f>
        <v/>
      </c>
      <c r="CA351" s="336" t="str">
        <f>IFERROR(CA353/CA356,"")</f>
        <v/>
      </c>
      <c r="CB351" s="336" t="str">
        <f>IFERROR(CB353/CB356,"")</f>
        <v/>
      </c>
      <c r="CC351" s="336" t="str">
        <f>IFERROR(CC353/CC356,"")</f>
        <v/>
      </c>
      <c r="CD351" s="336" t="str">
        <f>IFERROR(CD353/CD356,"")</f>
        <v/>
      </c>
      <c r="CE351" s="336" t="str">
        <f>IFERROR(CE353/CE356,"")</f>
        <v/>
      </c>
      <c r="CF351" s="336" t="str">
        <f>IFERROR(CF353/CF356,"")</f>
        <v/>
      </c>
      <c r="CG351" s="336" t="str">
        <f>IFERROR(CG353/CG356,"")</f>
        <v/>
      </c>
      <c r="CH351" s="336" t="str">
        <f>IFERROR(CH353/CH356,"")</f>
        <v/>
      </c>
      <c r="CI351" s="336" t="str">
        <f>IFERROR(CI353/CI356,"")</f>
        <v/>
      </c>
      <c r="CJ351" s="336" t="str">
        <f>IFERROR(CJ353/CJ356,"")</f>
        <v/>
      </c>
      <c r="CK351" s="336" t="str">
        <f>IFERROR(CK353/CK356,"")</f>
        <v/>
      </c>
      <c r="CL351" s="336" t="str">
        <f>IFERROR(CL353/CL356,"")</f>
        <v/>
      </c>
      <c r="CM351" s="336" t="str">
        <f>IFERROR(CM353/CM356,"")</f>
        <v/>
      </c>
      <c r="CN351" s="336" t="str">
        <f>IFERROR(CN353/CN356,"")</f>
        <v/>
      </c>
      <c r="CO351" s="336" t="str">
        <f>IFERROR(CO353/CO356,"")</f>
        <v/>
      </c>
      <c r="CP351" s="336" t="str">
        <f>IFERROR(CP353/CP356,"")</f>
        <v/>
      </c>
      <c r="CQ351" s="336" t="str">
        <f>IFERROR(CQ353/CQ356,"")</f>
        <v/>
      </c>
      <c r="CR351" s="336" t="str">
        <f>IFERROR(CR353/CR356,"")</f>
        <v/>
      </c>
      <c r="CS351" s="336" t="str">
        <f>IFERROR(CS353/CS356,"")</f>
        <v/>
      </c>
      <c r="CT351" s="336" t="str">
        <f>IFERROR(CT353/CT356,"")</f>
        <v/>
      </c>
      <c r="CU351" s="336" t="str">
        <f>IFERROR(CU353/CU356,"")</f>
        <v/>
      </c>
      <c r="CV351" s="336" t="str">
        <f>IFERROR(CV353/CV356,"")</f>
        <v/>
      </c>
      <c r="CW351" s="336" t="str">
        <f>IFERROR(CW353/CW356,"")</f>
        <v/>
      </c>
      <c r="CX351" s="336" t="str">
        <f>IFERROR(CX353/CX356,"")</f>
        <v/>
      </c>
      <c r="CY351" s="336" t="str">
        <f>IFERROR(CY353/CY356,"")</f>
        <v/>
      </c>
    </row>
    <row r="352" ht="12.75" customFormat="1" customHeight="1" s="339">
      <c r="A352" s="336" t="n"/>
      <c r="B352" s="336" t="n"/>
      <c r="C352" s="339" t="inlineStr">
        <is>
          <t>RETURN ON CAPITAL (ROIC) - EX GOODWILL</t>
        </is>
      </c>
      <c r="D352" s="339" t="str">
        <f>IFERROR(D353/D357,"")</f>
        <v/>
      </c>
      <c r="E352" s="339" t="str">
        <f>IFERROR(E353/E357,"")</f>
        <v/>
      </c>
      <c r="F352" s="339" t="str">
        <f>IFERROR(F353/F357,"")</f>
        <v/>
      </c>
      <c r="G352" s="339" t="str">
        <f>IFERROR(G353/G357,"")</f>
        <v/>
      </c>
      <c r="H352" s="339" t="str">
        <f>IFERROR(H353/H357,"")</f>
        <v/>
      </c>
      <c r="I352" s="336">
        <f>IFERROR(I353/I357,"")</f>
        <v>0.0187220552480016</v>
      </c>
      <c r="J352" s="336">
        <f>IFERROR(J353/J357,"")</f>
        <v>0.0153608656467467</v>
      </c>
      <c r="K352" s="336">
        <f>IFERROR(K353/K357,"")</f>
        <v>-0.000723910625671745</v>
      </c>
      <c r="L352" s="336">
        <f>IFERROR(L353/L357,"")</f>
        <v>0.0434631523906184</v>
      </c>
      <c r="M352" s="336">
        <f>IFERROR(M353/M357,"")</f>
        <v>0.0764167162468328</v>
      </c>
      <c r="N352" s="336">
        <f>IFERROR(N353/N357,"")</f>
        <v>0.042168346374245</v>
      </c>
      <c r="O352" s="336">
        <f>IFERROR(O353/O357,"")</f>
        <v>0.0768710486261326</v>
      </c>
      <c r="P352" s="336">
        <f>IFERROR(P353/P357,"")</f>
        <v>0.0257204094685803</v>
      </c>
      <c r="Q352" s="336">
        <f>IFERROR(Q353/Q357,"")</f>
        <v>0.0527210521482036</v>
      </c>
      <c r="R352" s="336">
        <f>IFERROR(R353/R357,"")</f>
        <v>0.196510455049325</v>
      </c>
      <c r="S352" s="336">
        <f>IFERROR(S353/S357,"")</f>
        <v>0.0386849224063932</v>
      </c>
      <c r="T352" s="336">
        <f>IFERROR(T353/T357,"")</f>
        <v>0.0147023844995763</v>
      </c>
      <c r="U352" s="336">
        <f>IFERROR(U353/U357,"")</f>
        <v>0.0331790202622959</v>
      </c>
      <c r="V352" s="336">
        <f>IFERROR(V353/V357,"")</f>
        <v>0.00223810937013071</v>
      </c>
      <c r="W352" s="336">
        <f>IFERROR(W353/W357,"")</f>
        <v>0.0900808390542342</v>
      </c>
      <c r="X352" s="336">
        <f>IFERROR(X353/X357,"")</f>
        <v>0.0333264150609598</v>
      </c>
      <c r="Y352" s="336">
        <f>IFERROR(Y353/Y357,"")</f>
        <v>0.020013413480197</v>
      </c>
      <c r="Z352" s="336">
        <f>IFERROR(Z353/Z357,"")</f>
        <v>0.0216799741084304</v>
      </c>
      <c r="AA352" s="336">
        <f>IFERROR(AA353/AA357,"")</f>
        <v>0.0062985673353854</v>
      </c>
      <c r="AB352" s="336">
        <f>IFERROR(AB353/AB357,"")</f>
        <v>0.0861700766772379</v>
      </c>
      <c r="AC352" s="336">
        <f>IFERROR(AC353/AC357,"")</f>
        <v>0.0256281650532747</v>
      </c>
      <c r="AD352" s="336">
        <f>IFERROR(AD353/AD357,"")</f>
        <v>0.0184031688048676</v>
      </c>
      <c r="AE352" s="336">
        <f>IFERROR(AE353/AE357,"")</f>
        <v>0.0248970135158192</v>
      </c>
      <c r="AF352" s="336">
        <f>IFERROR(AF353/AF357,"")</f>
        <v>0.0174755813416451</v>
      </c>
      <c r="AG352" s="336">
        <f>IFERROR(AG353/AG357,"")</f>
        <v>0.0887259942966314</v>
      </c>
      <c r="AH352" s="336">
        <f>IFERROR(AH353/AH357,"")</f>
        <v>0.0325869923071534</v>
      </c>
      <c r="AI352" s="336">
        <f>IFERROR(AI353/AI357,"")</f>
        <v>0.0541168100936261</v>
      </c>
      <c r="AJ352" s="336">
        <f>IFERROR(AJ353/AJ357,"")</f>
        <v>0</v>
      </c>
      <c r="AK352" s="336">
        <f>IFERROR(AK353/AK357,"")</f>
        <v>0</v>
      </c>
      <c r="AL352" s="336">
        <f>IFERROR(AL353/AL357,"")</f>
        <v>0.104788539312375</v>
      </c>
      <c r="AM352" s="336" t="str">
        <f>IFERROR(AM353/AM357,"")</f>
        <v/>
      </c>
      <c r="AN352" s="336">
        <f>IFERROR(AN353/AN357,"")</f>
        <v>0</v>
      </c>
      <c r="AO352" s="336" t="str">
        <f>IFERROR(AO353/AO357,"")</f>
        <v/>
      </c>
      <c r="AP352" s="336" t="str">
        <f>IFERROR(AP353/AP357,"")</f>
        <v/>
      </c>
      <c r="AQ352" s="336" t="str">
        <f>IFERROR(AQ353/AQ357,"")</f>
        <v/>
      </c>
      <c r="AR352" s="336" t="str">
        <f>IFERROR(AR353/AR357,"")</f>
        <v/>
      </c>
      <c r="AS352" s="336" t="str">
        <f>IFERROR(AS353/AS357,"")</f>
        <v/>
      </c>
      <c r="AT352" s="336" t="str">
        <f>IFERROR(AT353/AT357,"")</f>
        <v/>
      </c>
      <c r="AU352" s="336" t="str">
        <f>IFERROR(AU353/AU357,"")</f>
        <v/>
      </c>
      <c r="AV352" s="336" t="str">
        <f>IFERROR(AV353/AV357,"")</f>
        <v/>
      </c>
      <c r="AW352" s="336" t="str">
        <f>IFERROR(AW353/AW357,"")</f>
        <v/>
      </c>
      <c r="AX352" s="336" t="str">
        <f>IFERROR(AX353/AX357,"")</f>
        <v/>
      </c>
      <c r="AY352" s="336" t="str">
        <f>IFERROR(AY353/AY357,"")</f>
        <v/>
      </c>
      <c r="AZ352" s="336" t="str">
        <f>IFERROR(AZ353/AZ357,"")</f>
        <v/>
      </c>
      <c r="BA352" s="336" t="str">
        <f>IFERROR(BA353/BA357,"")</f>
        <v/>
      </c>
      <c r="BB352" s="336" t="str">
        <f>IFERROR(BB353/BB357,"")</f>
        <v/>
      </c>
      <c r="BC352" s="336" t="str">
        <f>IFERROR(BC353/BC357,"")</f>
        <v/>
      </c>
      <c r="BD352" s="336" t="str">
        <f>IFERROR(BD353/BD357,"")</f>
        <v/>
      </c>
      <c r="BE352" s="336" t="str">
        <f>IFERROR(BE353/BE357,"")</f>
        <v/>
      </c>
      <c r="BF352" s="336" t="str">
        <f>IFERROR(BF353/BF357,"")</f>
        <v/>
      </c>
      <c r="BG352" s="336" t="str">
        <f>IFERROR(BG353/BG357,"")</f>
        <v/>
      </c>
      <c r="BH352" s="336" t="str">
        <f>IFERROR(BH353/BH357,"")</f>
        <v/>
      </c>
      <c r="BI352" s="336" t="str">
        <f>IFERROR(BI353/BI357,"")</f>
        <v/>
      </c>
      <c r="BJ352" s="336" t="str">
        <f>IFERROR(BJ353/BJ357,"")</f>
        <v/>
      </c>
      <c r="BK352" s="336" t="str">
        <f>IFERROR(BK353/BK357,"")</f>
        <v/>
      </c>
      <c r="BL352" s="336" t="str">
        <f>IFERROR(BL353/BL357,"")</f>
        <v/>
      </c>
      <c r="BM352" s="336" t="str">
        <f>IFERROR(BM353/BM357,"")</f>
        <v/>
      </c>
      <c r="BN352" s="336" t="str">
        <f>IFERROR(BN353/BN357,"")</f>
        <v/>
      </c>
      <c r="BO352" s="336" t="str">
        <f>IFERROR(BO353/BO357,"")</f>
        <v/>
      </c>
      <c r="BP352" s="336" t="str">
        <f>IFERROR(BP353/BP357,"")</f>
        <v/>
      </c>
      <c r="BQ352" s="336" t="str">
        <f>IFERROR(BQ353/BQ357,"")</f>
        <v/>
      </c>
      <c r="BR352" s="336" t="str">
        <f>IFERROR(BR353/BR357,"")</f>
        <v/>
      </c>
      <c r="BS352" s="336" t="str">
        <f>IFERROR(BS353/BS357,"")</f>
        <v/>
      </c>
      <c r="BT352" s="336" t="str">
        <f>IFERROR(BT353/BT357,"")</f>
        <v/>
      </c>
      <c r="BU352" s="336" t="str">
        <f>IFERROR(BU353/BU357,"")</f>
        <v/>
      </c>
      <c r="BV352" s="336" t="str">
        <f>IFERROR(BV353/BV357,"")</f>
        <v/>
      </c>
      <c r="BW352" s="336" t="str">
        <f>IFERROR(BW353/BW357,"")</f>
        <v/>
      </c>
      <c r="BX352" s="336" t="str">
        <f>IFERROR(BX353/BX357,"")</f>
        <v/>
      </c>
      <c r="BY352" s="336" t="str">
        <f>IFERROR(BY353/BY357,"")</f>
        <v/>
      </c>
      <c r="BZ352" s="336" t="str">
        <f>IFERROR(BZ353/BZ357,"")</f>
        <v/>
      </c>
      <c r="CA352" s="336" t="str">
        <f>IFERROR(CA353/CA357,"")</f>
        <v/>
      </c>
      <c r="CB352" s="336" t="str">
        <f>IFERROR(CB353/CB357,"")</f>
        <v/>
      </c>
      <c r="CC352" s="336" t="str">
        <f>IFERROR(CC353/CC357,"")</f>
        <v/>
      </c>
      <c r="CD352" s="336" t="str">
        <f>IFERROR(CD353/CD357,"")</f>
        <v/>
      </c>
      <c r="CE352" s="336" t="str">
        <f>IFERROR(CE353/CE357,"")</f>
        <v/>
      </c>
      <c r="CF352" s="336" t="str">
        <f>IFERROR(CF353/CF357,"")</f>
        <v/>
      </c>
      <c r="CG352" s="336" t="str">
        <f>IFERROR(CG353/CG357,"")</f>
        <v/>
      </c>
      <c r="CH352" s="336" t="str">
        <f>IFERROR(CH353/CH357,"")</f>
        <v/>
      </c>
      <c r="CI352" s="336" t="str">
        <f>IFERROR(CI353/CI357,"")</f>
        <v/>
      </c>
      <c r="CJ352" s="336" t="str">
        <f>IFERROR(CJ353/CJ357,"")</f>
        <v/>
      </c>
      <c r="CK352" s="336" t="str">
        <f>IFERROR(CK353/CK357,"")</f>
        <v/>
      </c>
      <c r="CL352" s="336" t="str">
        <f>IFERROR(CL353/CL357,"")</f>
        <v/>
      </c>
      <c r="CM352" s="336" t="str">
        <f>IFERROR(CM353/CM357,"")</f>
        <v/>
      </c>
      <c r="CN352" s="336" t="str">
        <f>IFERROR(CN353/CN357,"")</f>
        <v/>
      </c>
      <c r="CO352" s="336" t="str">
        <f>IFERROR(CO353/CO357,"")</f>
        <v/>
      </c>
      <c r="CP352" s="336" t="str">
        <f>IFERROR(CP353/CP357,"")</f>
        <v/>
      </c>
      <c r="CQ352" s="336" t="str">
        <f>IFERROR(CQ353/CQ357,"")</f>
        <v/>
      </c>
      <c r="CR352" s="336" t="str">
        <f>IFERROR(CR353/CR357,"")</f>
        <v/>
      </c>
      <c r="CS352" s="336" t="str">
        <f>IFERROR(CS353/CS357,"")</f>
        <v/>
      </c>
      <c r="CT352" s="336" t="str">
        <f>IFERROR(CT353/CT357,"")</f>
        <v/>
      </c>
      <c r="CU352" s="336" t="str">
        <f>IFERROR(CU353/CU357,"")</f>
        <v/>
      </c>
      <c r="CV352" s="336" t="str">
        <f>IFERROR(CV353/CV357,"")</f>
        <v/>
      </c>
      <c r="CW352" s="336" t="str">
        <f>IFERROR(CW353/CW357,"")</f>
        <v/>
      </c>
      <c r="CX352" s="336" t="str">
        <f>IFERROR(CX353/CX357,"")</f>
        <v/>
      </c>
      <c r="CY352" s="336" t="str">
        <f>IFERROR(CY353/CY357,"")</f>
        <v/>
      </c>
    </row>
    <row r="353" ht="12.75" customFormat="1" customHeight="1" s="331">
      <c r="A353" s="332" t="n"/>
      <c r="B353" s="332" t="n"/>
      <c r="C353" s="331" t="inlineStr">
        <is>
          <t>NOPLAT</t>
        </is>
      </c>
      <c r="D353" s="331" t="str">
        <f>IFERROR(D354*(1-D355),"")</f>
        <v/>
      </c>
      <c r="E353" s="331" t="str">
        <f>IFERROR(E354*(1-E355),"")</f>
        <v/>
      </c>
      <c r="F353" s="331" t="str">
        <f>IFERROR(F354*(1-F355),"")</f>
        <v/>
      </c>
      <c r="G353" s="331" t="str">
        <f>IFERROR(G354*(1-G355),"")</f>
        <v/>
      </c>
      <c r="H353" s="331" t="str">
        <f>IFERROR(H354*(1-H355),"")</f>
        <v/>
      </c>
      <c r="I353" s="340">
        <f>IFERROR(I354*(1-I355),"")</f>
        <v>3987.77904576909</v>
      </c>
      <c r="J353" s="332">
        <f>IFERROR(J354*(1-J355),"")</f>
        <v>3251.35762711864</v>
      </c>
      <c r="K353" s="332">
        <f>IFERROR(K354*(1-K355),"")</f>
        <v>-143.752724224644</v>
      </c>
      <c r="L353" s="332">
        <f>IFERROR(L354*(1-L355),"")</f>
        <v>8764.51853217776</v>
      </c>
      <c r="M353" s="332">
        <f>IFERROR(M354*(1-M355),"")</f>
        <v>15409.7364980388</v>
      </c>
      <c r="N353" s="340">
        <f>IFERROR(N354*(1-N355),"")</f>
        <v>8507.59038604306</v>
      </c>
      <c r="O353" s="332">
        <f>IFERROR(O354*(1-O355),"")</f>
        <v>16614.9853211009</v>
      </c>
      <c r="P353" s="332">
        <f>IFERROR(P354*(1-P355),"")</f>
        <v>5484.38863139484</v>
      </c>
      <c r="Q353" s="332">
        <f>IFERROR(Q354*(1-Q355),"")</f>
        <v>11199.4803867907</v>
      </c>
      <c r="R353" s="332">
        <f>IFERROR(R354*(1-R355),"")</f>
        <v>41744.5194556732</v>
      </c>
      <c r="S353" s="340">
        <f>IFERROR(S354*(1-S355),"")</f>
        <v>8223.2152710046</v>
      </c>
      <c r="T353" s="332">
        <f>IFERROR(T354*(1-T355),"")</f>
        <v>3017.39977561705</v>
      </c>
      <c r="U353" s="332">
        <f>IFERROR(U354*(1-U355),"")</f>
        <v>6839.1582676468</v>
      </c>
      <c r="V353" s="332">
        <f>IFERROR(V354*(1-V355),"")</f>
        <v>459.615902140673</v>
      </c>
      <c r="W353" s="332">
        <f>IFERROR(W354*(1-W355),"")</f>
        <v>18498.9110273385</v>
      </c>
      <c r="X353" s="340">
        <f>IFERROR(X354*(1-X355),"")</f>
        <v>6725.23723288664</v>
      </c>
      <c r="Y353" s="332">
        <f>IFERROR(Y354*(1-Y355),"")</f>
        <v>3965.9981091302</v>
      </c>
      <c r="Z353" s="332">
        <f>IFERROR(Z354*(1-Z355),"")</f>
        <v>4271.41017881706</v>
      </c>
      <c r="AA353" s="332">
        <f>IFERROR(AA354*(1-AA355),"")</f>
        <v>1210.33269916766</v>
      </c>
      <c r="AB353" s="332">
        <f>IFERROR(AB354*(1-AB355),"")</f>
        <v>16558.441934298</v>
      </c>
      <c r="AC353" s="340">
        <f>IFERROR(AC354*(1-AC355),"")</f>
        <v>4985.39569148342</v>
      </c>
      <c r="AD353" s="332">
        <f>IFERROR(AD354*(1-AD355),"")</f>
        <v>3666.16887029289</v>
      </c>
      <c r="AE353" s="332">
        <f>IFERROR(AE354*(1-AE355),"")</f>
        <v>4753.78596668349</v>
      </c>
      <c r="AF353" s="332">
        <f>IFERROR(AF354*(1-AF355),"")</f>
        <v>3308.00521890403</v>
      </c>
      <c r="AG353" s="332">
        <f>IFERROR(AG354*(1-AG355),"")</f>
        <v>16795.2096383923</v>
      </c>
      <c r="AH353" s="340">
        <f>IFERROR(AH354*(1-AH355),"")</f>
        <v>6395.03430531733</v>
      </c>
      <c r="AI353" s="332">
        <f>IFERROR(AI354*(1-AI355),"")</f>
        <v>10409.2601878888</v>
      </c>
      <c r="AJ353" s="332">
        <f>IFERROR(AJ354*(1-AJ355),"")</f>
        <v>0</v>
      </c>
      <c r="AK353" s="332">
        <f>IFERROR(AK354*(1-AK355),"")</f>
        <v>0</v>
      </c>
      <c r="AL353" s="332">
        <f>IFERROR(AL354*(1-AL355),"")</f>
        <v>17542.9637319027</v>
      </c>
      <c r="AM353" s="340">
        <f>IFERROR(AM354*(1-AM355),"")</f>
        <v>0</v>
      </c>
      <c r="AN353" s="332">
        <f>IFERROR(AN354*(1-AN355),"")</f>
        <v>0</v>
      </c>
      <c r="AO353" s="332">
        <f>IFERROR(AO354*(1-AO355),"")</f>
        <v>0</v>
      </c>
      <c r="AP353" s="332">
        <f>IFERROR(AP354*(1-AP355),"")</f>
        <v>0</v>
      </c>
      <c r="AQ353" s="332">
        <f>IFERROR(AQ354*(1-AQ355),"")</f>
        <v>0</v>
      </c>
      <c r="AR353" s="340">
        <f>IFERROR(AR354*(1-AR355),"")</f>
        <v>0</v>
      </c>
      <c r="AS353" s="332">
        <f>IFERROR(AS354*(1-AS355),"")</f>
        <v>0</v>
      </c>
      <c r="AT353" s="332">
        <f>IFERROR(AT354*(1-AT355),"")</f>
        <v>0</v>
      </c>
      <c r="AU353" s="332">
        <f>IFERROR(AU354*(1-AU355),"")</f>
        <v>0</v>
      </c>
      <c r="AV353" s="332">
        <f>IFERROR(AV354*(1-AV355),"")</f>
        <v>0</v>
      </c>
      <c r="AW353" s="340">
        <f>IFERROR(AW354*(1-AW355),"")</f>
        <v>0</v>
      </c>
      <c r="AX353" s="332">
        <f>IFERROR(AX354*(1-AX355),"")</f>
        <v>0</v>
      </c>
      <c r="AY353" s="332">
        <f>IFERROR(AY354*(1-AY355),"")</f>
        <v>0</v>
      </c>
      <c r="AZ353" s="332">
        <f>IFERROR(AZ354*(1-AZ355),"")</f>
        <v>0</v>
      </c>
      <c r="BA353" s="332">
        <f>IFERROR(BA354*(1-BA355),"")</f>
        <v>0</v>
      </c>
      <c r="BB353" s="340">
        <f>IFERROR(BB354*(1-BB355),"")</f>
        <v>0</v>
      </c>
      <c r="BC353" s="332">
        <f>IFERROR(BC354*(1-BC355),"")</f>
        <v>0</v>
      </c>
      <c r="BD353" s="332">
        <f>IFERROR(BD354*(1-BD355),"")</f>
        <v>0</v>
      </c>
      <c r="BE353" s="332">
        <f>IFERROR(BE354*(1-BE355),"")</f>
        <v>0</v>
      </c>
      <c r="BF353" s="332">
        <f>IFERROR(BF354*(1-BF355),"")</f>
        <v>0</v>
      </c>
      <c r="BG353" s="340">
        <f>IFERROR(BG354*(1-BG355),"")</f>
        <v>0</v>
      </c>
      <c r="BH353" s="332">
        <f>IFERROR(BH354*(1-BH355),"")</f>
        <v>0</v>
      </c>
      <c r="BI353" s="332">
        <f>IFERROR(BI354*(1-BI355),"")</f>
        <v>0</v>
      </c>
      <c r="BJ353" s="332">
        <f>IFERROR(BJ354*(1-BJ355),"")</f>
        <v>0</v>
      </c>
      <c r="BK353" s="332">
        <f>IFERROR(BK354*(1-BK355),"")</f>
        <v>0</v>
      </c>
      <c r="BL353" s="340">
        <f>IFERROR(BL354*(1-BL355),"")</f>
        <v>0</v>
      </c>
      <c r="BM353" s="332">
        <f>IFERROR(BM354*(1-BM355),"")</f>
        <v>0</v>
      </c>
      <c r="BN353" s="332">
        <f>IFERROR(BN354*(1-BN355),"")</f>
        <v>0</v>
      </c>
      <c r="BO353" s="332">
        <f>IFERROR(BO354*(1-BO355),"")</f>
        <v>0</v>
      </c>
      <c r="BP353" s="332">
        <f>IFERROR(BP354*(1-BP355),"")</f>
        <v>0</v>
      </c>
      <c r="BQ353" s="340">
        <f>IFERROR(BQ354*(1-BQ355),"")</f>
        <v>0</v>
      </c>
      <c r="BR353" s="332">
        <f>IFERROR(BR354*(1-BR355),"")</f>
        <v>0</v>
      </c>
      <c r="BS353" s="332">
        <f>IFERROR(BS354*(1-BS355),"")</f>
        <v>0</v>
      </c>
      <c r="BT353" s="332">
        <f>IFERROR(BT354*(1-BT355),"")</f>
        <v>0</v>
      </c>
      <c r="BU353" s="332">
        <f>IFERROR(BU354*(1-BU355),"")</f>
        <v>0</v>
      </c>
      <c r="BV353" s="340">
        <f>IFERROR(BV354*(1-BV355),"")</f>
        <v>0</v>
      </c>
      <c r="BW353" s="332">
        <f>IFERROR(BW354*(1-BW355),"")</f>
        <v>0</v>
      </c>
      <c r="BX353" s="332">
        <f>IFERROR(BX354*(1-BX355),"")</f>
        <v>0</v>
      </c>
      <c r="BY353" s="332">
        <f>IFERROR(BY354*(1-BY355),"")</f>
        <v>0</v>
      </c>
      <c r="BZ353" s="332">
        <f>IFERROR(BZ354*(1-BZ355),"")</f>
        <v>0</v>
      </c>
      <c r="CA353" s="340">
        <f>IFERROR(CA354*(1-CA355),"")</f>
        <v>0</v>
      </c>
      <c r="CB353" s="332">
        <f>IFERROR(CB354*(1-CB355),"")</f>
        <v>0</v>
      </c>
      <c r="CC353" s="332">
        <f>IFERROR(CC354*(1-CC355),"")</f>
        <v>0</v>
      </c>
      <c r="CD353" s="332">
        <f>IFERROR(CD354*(1-CD355),"")</f>
        <v>0</v>
      </c>
      <c r="CE353" s="332">
        <f>IFERROR(CE354*(1-CE355),"")</f>
        <v>0</v>
      </c>
      <c r="CF353" s="340">
        <f>IFERROR(CF354*(1-CF355),"")</f>
        <v>0</v>
      </c>
      <c r="CG353" s="332">
        <f>IFERROR(CG354*(1-CG355),"")</f>
        <v>0</v>
      </c>
      <c r="CH353" s="332">
        <f>IFERROR(CH354*(1-CH355),"")</f>
        <v>0</v>
      </c>
      <c r="CI353" s="332">
        <f>IFERROR(CI354*(1-CI355),"")</f>
        <v>0</v>
      </c>
      <c r="CJ353" s="332">
        <f>IFERROR(CJ354*(1-CJ355),"")</f>
        <v>0</v>
      </c>
      <c r="CK353" s="340">
        <f>IFERROR(CK354*(1-CK355),"")</f>
        <v>0</v>
      </c>
      <c r="CL353" s="332">
        <f>IFERROR(CL354*(1-CL355),"")</f>
        <v>0</v>
      </c>
      <c r="CM353" s="332">
        <f>IFERROR(CM354*(1-CM355),"")</f>
        <v>0</v>
      </c>
      <c r="CN353" s="332">
        <f>IFERROR(CN354*(1-CN355),"")</f>
        <v>0</v>
      </c>
      <c r="CO353" s="332">
        <f>IFERROR(CO354*(1-CO355),"")</f>
        <v>0</v>
      </c>
      <c r="CP353" s="340">
        <f>IFERROR(CP354*(1-CP355),"")</f>
        <v>0</v>
      </c>
      <c r="CQ353" s="332">
        <f>IFERROR(CQ354*(1-CQ355),"")</f>
        <v>0</v>
      </c>
      <c r="CR353" s="332">
        <f>IFERROR(CR354*(1-CR355),"")</f>
        <v>0</v>
      </c>
      <c r="CS353" s="332">
        <f>IFERROR(CS354*(1-CS355),"")</f>
        <v>0</v>
      </c>
      <c r="CT353" s="332">
        <f>IFERROR(CT354*(1-CT355),"")</f>
        <v>0</v>
      </c>
      <c r="CU353" s="340">
        <f>IFERROR(CU354*(1-CU355),"")</f>
        <v>0</v>
      </c>
      <c r="CV353" s="332">
        <f>IFERROR(CV354*(1-CV355),"")</f>
        <v>0</v>
      </c>
      <c r="CW353" s="332">
        <f>IFERROR(CW354*(1-CW355),"")</f>
        <v>0</v>
      </c>
      <c r="CX353" s="332">
        <f>IFERROR(CX354*(1-CX355),"")</f>
        <v>0</v>
      </c>
      <c r="CY353" s="332">
        <f>IFERROR(CY354*(1-CY355),"")</f>
        <v>0</v>
      </c>
    </row>
    <row r="354" ht="12.75" customFormat="1" customHeight="1" s="331">
      <c r="A354" s="332" t="n"/>
      <c r="B354" s="332" t="n"/>
      <c r="C354" s="331" t="inlineStr">
        <is>
          <t>EBIT</t>
        </is>
      </c>
      <c r="D354" s="341">
        <f>D79</f>
        <v>0</v>
      </c>
      <c r="E354" s="341">
        <f>E79</f>
        <v>0</v>
      </c>
      <c r="F354" s="341">
        <f>F79</f>
        <v>0</v>
      </c>
      <c r="G354" s="341">
        <f>G79</f>
        <v>0</v>
      </c>
      <c r="H354" s="341">
        <f>H79</f>
        <v>0</v>
      </c>
      <c r="I354" s="316">
        <f>I79</f>
        <v>5679</v>
      </c>
      <c r="J354" s="316">
        <f>J79</f>
        <v>3773</v>
      </c>
      <c r="K354" s="316">
        <f>K79</f>
        <v>541</v>
      </c>
      <c r="L354" s="316">
        <f>L79</f>
        <v>12288</v>
      </c>
      <c r="M354" s="316">
        <f>M79</f>
        <v>22281</v>
      </c>
      <c r="N354" s="316">
        <f>N79</f>
        <v>12526</v>
      </c>
      <c r="O354" s="316">
        <f>O79</f>
        <v>23832</v>
      </c>
      <c r="P354" s="316">
        <f>P79</f>
        <v>9158</v>
      </c>
      <c r="Q354" s="316">
        <f>Q79</f>
        <v>17592</v>
      </c>
      <c r="R354" s="316">
        <f>R79</f>
        <v>63108</v>
      </c>
      <c r="S354" s="316">
        <f>S79</f>
        <v>13456</v>
      </c>
      <c r="T354" s="316">
        <f>T79</f>
        <v>5118</v>
      </c>
      <c r="U354" s="316">
        <f>U79</f>
        <v>10761</v>
      </c>
      <c r="V354" s="316">
        <f>V79</f>
        <v>1402</v>
      </c>
      <c r="W354" s="316">
        <f>W79</f>
        <v>30737</v>
      </c>
      <c r="X354" s="316">
        <f>X79</f>
        <v>9983</v>
      </c>
      <c r="Y354" s="316">
        <f>Y79</f>
        <v>8045</v>
      </c>
      <c r="Z354" s="316">
        <f>Z79</f>
        <v>7072</v>
      </c>
      <c r="AA354" s="316">
        <f>AA79</f>
        <v>4889</v>
      </c>
      <c r="AB354" s="316">
        <f>AB79</f>
        <v>29989</v>
      </c>
      <c r="AC354" s="316">
        <f>AC79</f>
        <v>9160</v>
      </c>
      <c r="AD354" s="316">
        <f>AD79</f>
        <v>6013</v>
      </c>
      <c r="AE354" s="316">
        <f>AE79</f>
        <v>6950</v>
      </c>
      <c r="AF354" s="316">
        <f>AF79</f>
        <v>5459</v>
      </c>
      <c r="AG354" s="316">
        <f>AG79</f>
        <v>27582</v>
      </c>
      <c r="AH354" s="316">
        <f>AH79</f>
        <v>10360</v>
      </c>
      <c r="AI354" s="316">
        <f>AI79</f>
        <v>15177</v>
      </c>
      <c r="AJ354" s="316">
        <f>AJ79</f>
        <v>0</v>
      </c>
      <c r="AK354" s="316">
        <f>AK79</f>
        <v>0</v>
      </c>
      <c r="AL354" s="316">
        <f>AL79</f>
        <v>25537</v>
      </c>
      <c r="AM354" s="316">
        <f>AM79</f>
        <v>0</v>
      </c>
      <c r="AN354" s="316">
        <f>AN79</f>
        <v>0</v>
      </c>
      <c r="AO354" s="316">
        <f>AO79</f>
        <v>0</v>
      </c>
      <c r="AP354" s="316">
        <f>AP79</f>
        <v>0</v>
      </c>
      <c r="AQ354" s="316">
        <f>AQ79</f>
        <v>0</v>
      </c>
      <c r="AR354" s="316">
        <f>AR79</f>
        <v>0</v>
      </c>
      <c r="AS354" s="316">
        <f>AS79</f>
        <v>0</v>
      </c>
      <c r="AT354" s="316">
        <f>AT79</f>
        <v>0</v>
      </c>
      <c r="AU354" s="316">
        <f>AU79</f>
        <v>0</v>
      </c>
      <c r="AV354" s="316">
        <f>AV79</f>
        <v>0</v>
      </c>
      <c r="AW354" s="316">
        <f>AW79</f>
        <v>0</v>
      </c>
      <c r="AX354" s="316">
        <f>AX79</f>
        <v>0</v>
      </c>
      <c r="AY354" s="316">
        <f>AY79</f>
        <v>0</v>
      </c>
      <c r="AZ354" s="316">
        <f>AZ79</f>
        <v>0</v>
      </c>
      <c r="BA354" s="316">
        <f>BA79</f>
        <v>0</v>
      </c>
      <c r="BB354" s="316">
        <f>BB79</f>
        <v>0</v>
      </c>
      <c r="BC354" s="316">
        <f>BC79</f>
        <v>0</v>
      </c>
      <c r="BD354" s="316">
        <f>BD79</f>
        <v>0</v>
      </c>
      <c r="BE354" s="316">
        <f>BE79</f>
        <v>0</v>
      </c>
      <c r="BF354" s="316">
        <f>BF79</f>
        <v>0</v>
      </c>
      <c r="BG354" s="316">
        <f>BG79</f>
        <v>0</v>
      </c>
      <c r="BH354" s="316">
        <f>BH79</f>
        <v>0</v>
      </c>
      <c r="BI354" s="316">
        <f>BI79</f>
        <v>0</v>
      </c>
      <c r="BJ354" s="316">
        <f>BJ79</f>
        <v>0</v>
      </c>
      <c r="BK354" s="316">
        <f>BK79</f>
        <v>0</v>
      </c>
      <c r="BL354" s="316">
        <f>BL79</f>
        <v>0</v>
      </c>
      <c r="BM354" s="316">
        <f>BM79</f>
        <v>0</v>
      </c>
      <c r="BN354" s="316">
        <f>BN79</f>
        <v>0</v>
      </c>
      <c r="BO354" s="316">
        <f>BO79</f>
        <v>0</v>
      </c>
      <c r="BP354" s="316">
        <f>BP79</f>
        <v>0</v>
      </c>
      <c r="BQ354" s="316">
        <f>BQ79</f>
        <v>0</v>
      </c>
      <c r="BR354" s="316">
        <f>BR79</f>
        <v>0</v>
      </c>
      <c r="BS354" s="316">
        <f>BS79</f>
        <v>0</v>
      </c>
      <c r="BT354" s="316">
        <f>BT79</f>
        <v>0</v>
      </c>
      <c r="BU354" s="316">
        <f>BU79</f>
        <v>0</v>
      </c>
      <c r="BV354" s="316">
        <f>BV79</f>
        <v>0</v>
      </c>
      <c r="BW354" s="316">
        <f>BW79</f>
        <v>0</v>
      </c>
      <c r="BX354" s="316">
        <f>BX79</f>
        <v>0</v>
      </c>
      <c r="BY354" s="316">
        <f>BY79</f>
        <v>0</v>
      </c>
      <c r="BZ354" s="316">
        <f>BZ79</f>
        <v>0</v>
      </c>
      <c r="CA354" s="316">
        <f>CA79</f>
        <v>0</v>
      </c>
      <c r="CB354" s="316">
        <f>CB79</f>
        <v>0</v>
      </c>
      <c r="CC354" s="316">
        <f>CC79</f>
        <v>0</v>
      </c>
      <c r="CD354" s="316">
        <f>CD79</f>
        <v>0</v>
      </c>
      <c r="CE354" s="316">
        <f>CE79</f>
        <v>0</v>
      </c>
      <c r="CF354" s="316">
        <f>CF79</f>
        <v>0</v>
      </c>
      <c r="CG354" s="316">
        <f>CG79</f>
        <v>0</v>
      </c>
      <c r="CH354" s="316">
        <f>CH79</f>
        <v>0</v>
      </c>
      <c r="CI354" s="316">
        <f>CI79</f>
        <v>0</v>
      </c>
      <c r="CJ354" s="316">
        <f>CJ79</f>
        <v>0</v>
      </c>
      <c r="CK354" s="316">
        <f>CK79</f>
        <v>0</v>
      </c>
      <c r="CL354" s="316">
        <f>CL79</f>
        <v>0</v>
      </c>
      <c r="CM354" s="316">
        <f>CM79</f>
        <v>0</v>
      </c>
      <c r="CN354" s="316">
        <f>CN79</f>
        <v>0</v>
      </c>
      <c r="CO354" s="316">
        <f>CO79</f>
        <v>0</v>
      </c>
      <c r="CP354" s="316">
        <f>CP79</f>
        <v>0</v>
      </c>
      <c r="CQ354" s="316">
        <f>CQ79</f>
        <v>0</v>
      </c>
      <c r="CR354" s="316">
        <f>CR79</f>
        <v>0</v>
      </c>
      <c r="CS354" s="316">
        <f>CS79</f>
        <v>0</v>
      </c>
      <c r="CT354" s="316">
        <f>CT79</f>
        <v>0</v>
      </c>
      <c r="CU354" s="316">
        <f>CU79</f>
        <v>0</v>
      </c>
      <c r="CV354" s="316">
        <f>CV79</f>
        <v>0</v>
      </c>
      <c r="CW354" s="316">
        <f>CW79</f>
        <v>0</v>
      </c>
      <c r="CX354" s="316">
        <f>CX79</f>
        <v>0</v>
      </c>
      <c r="CY354" s="316">
        <f>CY79</f>
        <v>0</v>
      </c>
    </row>
    <row r="355" ht="12.75" customFormat="1" customHeight="1" s="331">
      <c r="A355" s="332" t="n"/>
      <c r="B355" s="332" t="n"/>
      <c r="C355" s="331" t="inlineStr">
        <is>
          <t>ETR</t>
        </is>
      </c>
      <c r="D355" s="342" t="str">
        <f>IFERROR(D138,"")</f>
        <v/>
      </c>
      <c r="E355" s="342" t="str">
        <f>IFERROR(E138,"")</f>
        <v/>
      </c>
      <c r="F355" s="342" t="str">
        <f>IFERROR(F138,"")</f>
        <v/>
      </c>
      <c r="G355" s="342" t="str">
        <f>IFERROR(G138,"")</f>
        <v/>
      </c>
      <c r="H355" s="342" t="str">
        <f>IFERROR(H138,"")</f>
        <v/>
      </c>
      <c r="I355" s="343">
        <f>IFERROR(I138,"")</f>
        <v>0.297802598033265</v>
      </c>
      <c r="J355" s="343">
        <f>IFERROR(J138,"")</f>
        <v>0.138256658595642</v>
      </c>
      <c r="K355" s="343">
        <f>IFERROR(K138,"")</f>
        <v>1.26571668063705</v>
      </c>
      <c r="L355" s="343">
        <f>IFERROR(L138,"")</f>
        <v>0.286741655910013</v>
      </c>
      <c r="M355" s="343">
        <f>IFERROR(M138,"")</f>
        <v>0.308391162962218</v>
      </c>
      <c r="N355" s="343">
        <f>IFERROR(N138,"")</f>
        <v>0.320805493689681</v>
      </c>
      <c r="O355" s="343">
        <f>IFERROR(O138,"")</f>
        <v>0.30282874617737</v>
      </c>
      <c r="P355" s="343">
        <f>IFERROR(P138,"")</f>
        <v>0.40113686051596</v>
      </c>
      <c r="Q355" s="343">
        <f>IFERROR(Q138,"")</f>
        <v>0.3633765128018</v>
      </c>
      <c r="R355" s="343">
        <f>IFERROR(R138,"")</f>
        <v>0.338522541426235</v>
      </c>
      <c r="S355" s="343">
        <f>IFERROR(S138,"")</f>
        <v>0.388881148112025</v>
      </c>
      <c r="T355" s="343">
        <f>IFERROR(T138,"")</f>
        <v>0.410433807030666</v>
      </c>
      <c r="U355" s="343">
        <f>IFERROR(U138,"")</f>
        <v>0.364449561597733</v>
      </c>
      <c r="V355" s="343">
        <f>IFERROR(V138,"")</f>
        <v>0.67217125382263</v>
      </c>
      <c r="W355" s="343">
        <f>IFERROR(W138,"")</f>
        <v>0.39815495893098</v>
      </c>
      <c r="X355" s="343">
        <f>IFERROR(X138,"")</f>
        <v>0.32633103947845</v>
      </c>
      <c r="Y355" s="343">
        <f>IFERROR(Y138,"")</f>
        <v>0.507023230686116</v>
      </c>
      <c r="Z355" s="343">
        <f>IFERROR(Z138,"")</f>
        <v>0.396011004126547</v>
      </c>
      <c r="AA355" s="343">
        <f>IFERROR(AA138,"")</f>
        <v>0.75243757431629</v>
      </c>
      <c r="AB355" s="343">
        <f>IFERROR(AB138,"")</f>
        <v>0.447849480332854</v>
      </c>
      <c r="AC355" s="343">
        <f>IFERROR(AC138,"")</f>
        <v>0.455742828440674</v>
      </c>
      <c r="AD355" s="343">
        <f>IFERROR(AD138,"")</f>
        <v>0.390292887029289</v>
      </c>
      <c r="AE355" s="343">
        <f>IFERROR(AE138,"")</f>
        <v>0.316002019182231</v>
      </c>
      <c r="AF355" s="343">
        <f>IFERROR(AF138,"")</f>
        <v>0.394027254276602</v>
      </c>
      <c r="AG355" s="343">
        <f>IFERROR(AG138,"")</f>
        <v>0.391080790428821</v>
      </c>
      <c r="AH355" s="343">
        <f>IFERROR(AH138,"")</f>
        <v>0.382718696397942</v>
      </c>
      <c r="AI355" s="343">
        <f>IFERROR(AI138,"")</f>
        <v>0.314142440015234</v>
      </c>
      <c r="AJ355" s="343">
        <f>IFERROR(AJ138,"")</f>
        <v>0</v>
      </c>
      <c r="AK355" s="343">
        <f>IFERROR(AK138,"")</f>
        <v>0</v>
      </c>
      <c r="AL355" s="343">
        <f>IFERROR(AL138,"")</f>
        <v>0.313037407216874</v>
      </c>
      <c r="AM355" s="343">
        <f>IFERROR(AM138,"")</f>
        <v>0</v>
      </c>
      <c r="AN355" s="343">
        <f>IFERROR(AN138,"")</f>
        <v>0</v>
      </c>
      <c r="AO355" s="343">
        <f>IFERROR(AO138,"")</f>
        <v>0</v>
      </c>
      <c r="AP355" s="343">
        <f>IFERROR(AP138,"")</f>
        <v>0</v>
      </c>
      <c r="AQ355" s="343">
        <f>IFERROR(AQ138,"")</f>
        <v>0</v>
      </c>
      <c r="AR355" s="343">
        <f>IFERROR(AR138,"")</f>
        <v>0</v>
      </c>
      <c r="AS355" s="343">
        <f>IFERROR(AS138,"")</f>
        <v>0</v>
      </c>
      <c r="AT355" s="343">
        <f>IFERROR(AT138,"")</f>
        <v>0</v>
      </c>
      <c r="AU355" s="343">
        <f>IFERROR(AU138,"")</f>
        <v>0</v>
      </c>
      <c r="AV355" s="343">
        <f>IFERROR(AV138,"")</f>
        <v>0</v>
      </c>
      <c r="AW355" s="343">
        <f>IFERROR(AW138,"")</f>
        <v>0</v>
      </c>
      <c r="AX355" s="343">
        <f>IFERROR(AX138,"")</f>
        <v>0</v>
      </c>
      <c r="AY355" s="343">
        <f>IFERROR(AY138,"")</f>
        <v>0</v>
      </c>
      <c r="AZ355" s="343">
        <f>IFERROR(AZ138,"")</f>
        <v>0</v>
      </c>
      <c r="BA355" s="343">
        <f>IFERROR(BA138,"")</f>
        <v>0</v>
      </c>
      <c r="BB355" s="343">
        <f>IFERROR(BB138,"")</f>
        <v>0</v>
      </c>
      <c r="BC355" s="343">
        <f>IFERROR(BC138,"")</f>
        <v>0</v>
      </c>
      <c r="BD355" s="343">
        <f>IFERROR(BD138,"")</f>
        <v>0</v>
      </c>
      <c r="BE355" s="343">
        <f>IFERROR(BE138,"")</f>
        <v>0</v>
      </c>
      <c r="BF355" s="343">
        <f>IFERROR(BF138,"")</f>
        <v>0</v>
      </c>
      <c r="BG355" s="343">
        <f>IFERROR(BG138,"")</f>
        <v>0</v>
      </c>
      <c r="BH355" s="343">
        <f>IFERROR(BH138,"")</f>
        <v>0</v>
      </c>
      <c r="BI355" s="343">
        <f>IFERROR(BI138,"")</f>
        <v>0</v>
      </c>
      <c r="BJ355" s="343">
        <f>IFERROR(BJ138,"")</f>
        <v>0</v>
      </c>
      <c r="BK355" s="343">
        <f>IFERROR(BK138,"")</f>
        <v>0</v>
      </c>
      <c r="BL355" s="343">
        <f>IFERROR(BL138,"")</f>
        <v>0</v>
      </c>
      <c r="BM355" s="343">
        <f>IFERROR(BM138,"")</f>
        <v>0</v>
      </c>
      <c r="BN355" s="343">
        <f>IFERROR(BN138,"")</f>
        <v>0</v>
      </c>
      <c r="BO355" s="343">
        <f>IFERROR(BO138,"")</f>
        <v>0</v>
      </c>
      <c r="BP355" s="343">
        <f>IFERROR(BP138,"")</f>
        <v>0</v>
      </c>
      <c r="BQ355" s="343">
        <f>IFERROR(BQ138,"")</f>
        <v>0</v>
      </c>
      <c r="BR355" s="343">
        <f>IFERROR(BR138,"")</f>
        <v>0</v>
      </c>
      <c r="BS355" s="343">
        <f>IFERROR(BS138,"")</f>
        <v>0</v>
      </c>
      <c r="BT355" s="343">
        <f>IFERROR(BT138,"")</f>
        <v>0</v>
      </c>
      <c r="BU355" s="343">
        <f>IFERROR(BU138,"")</f>
        <v>0</v>
      </c>
      <c r="BV355" s="343">
        <f>IFERROR(BV138,"")</f>
        <v>0</v>
      </c>
      <c r="BW355" s="343">
        <f>IFERROR(BW138,"")</f>
        <v>0</v>
      </c>
      <c r="BX355" s="343">
        <f>IFERROR(BX138,"")</f>
        <v>0</v>
      </c>
      <c r="BY355" s="343">
        <f>IFERROR(BY138,"")</f>
        <v>0</v>
      </c>
      <c r="BZ355" s="343">
        <f>IFERROR(BZ138,"")</f>
        <v>0</v>
      </c>
      <c r="CA355" s="343">
        <f>IFERROR(CA138,"")</f>
        <v>0</v>
      </c>
      <c r="CB355" s="343">
        <f>IFERROR(CB138,"")</f>
        <v>0</v>
      </c>
      <c r="CC355" s="343">
        <f>IFERROR(CC138,"")</f>
        <v>0</v>
      </c>
      <c r="CD355" s="343">
        <f>IFERROR(CD138,"")</f>
        <v>0</v>
      </c>
      <c r="CE355" s="343">
        <f>IFERROR(CE138,"")</f>
        <v>0</v>
      </c>
      <c r="CF355" s="343">
        <f>IFERROR(CF138,"")</f>
        <v>0</v>
      </c>
      <c r="CG355" s="343">
        <f>IFERROR(CG138,"")</f>
        <v>0</v>
      </c>
      <c r="CH355" s="343">
        <f>IFERROR(CH138,"")</f>
        <v>0</v>
      </c>
      <c r="CI355" s="343">
        <f>IFERROR(CI138,"")</f>
        <v>0</v>
      </c>
      <c r="CJ355" s="343">
        <f>IFERROR(CJ138,"")</f>
        <v>0</v>
      </c>
      <c r="CK355" s="343">
        <f>IFERROR(CK138,"")</f>
        <v>0</v>
      </c>
      <c r="CL355" s="343">
        <f>IFERROR(CL138,"")</f>
        <v>0</v>
      </c>
      <c r="CM355" s="343">
        <f>IFERROR(CM138,"")</f>
        <v>0</v>
      </c>
      <c r="CN355" s="343">
        <f>IFERROR(CN138,"")</f>
        <v>0</v>
      </c>
      <c r="CO355" s="343">
        <f>IFERROR(CO138,"")</f>
        <v>0</v>
      </c>
      <c r="CP355" s="343">
        <f>IFERROR(CP138,"")</f>
        <v>0</v>
      </c>
      <c r="CQ355" s="343">
        <f>IFERROR(CQ138,"")</f>
        <v>0</v>
      </c>
      <c r="CR355" s="343">
        <f>IFERROR(CR138,"")</f>
        <v>0</v>
      </c>
      <c r="CS355" s="343">
        <f>IFERROR(CS138,"")</f>
        <v>0</v>
      </c>
      <c r="CT355" s="343">
        <f>IFERROR(CT138,"")</f>
        <v>0</v>
      </c>
      <c r="CU355" s="343">
        <f>IFERROR(CU138,"")</f>
        <v>0</v>
      </c>
      <c r="CV355" s="343">
        <f>IFERROR(CV138,"")</f>
        <v>0</v>
      </c>
      <c r="CW355" s="343">
        <f>IFERROR(CW138,"")</f>
        <v>0</v>
      </c>
      <c r="CX355" s="343">
        <f>IFERROR(CX138,"")</f>
        <v>0</v>
      </c>
      <c r="CY355" s="343">
        <f>IFERROR(CY138,"")</f>
        <v>0</v>
      </c>
    </row>
    <row r="356" ht="12.75" customFormat="1" customHeight="1" s="331">
      <c r="A356" s="332" t="n"/>
      <c r="B356" s="332" t="n"/>
      <c r="C356" s="331" t="inlineStr">
        <is>
          <t>INVESTED CAPITAL</t>
        </is>
      </c>
      <c r="D356" s="341">
        <f>D359-D360+D361</f>
        <v>0</v>
      </c>
      <c r="E356" s="341">
        <f>E359-E360+E361</f>
        <v>0</v>
      </c>
      <c r="F356" s="341">
        <f>F359-F360+F361</f>
        <v>0</v>
      </c>
      <c r="G356" s="341">
        <f>G359-G360+G361</f>
        <v>0</v>
      </c>
      <c r="H356" s="341">
        <f>H359-H360+H361</f>
        <v>0</v>
      </c>
      <c r="I356" s="316">
        <f>I359-I360+I361</f>
        <v>227085</v>
      </c>
      <c r="J356" s="316">
        <f>J359-J360+J361</f>
        <v>225684</v>
      </c>
      <c r="K356" s="316">
        <f>K359-K360+K361</f>
        <v>212436</v>
      </c>
      <c r="L356" s="316">
        <f>L359-L360+L361</f>
        <v>216574</v>
      </c>
      <c r="M356" s="316">
        <f>M359-M360+M361</f>
        <v>216574</v>
      </c>
      <c r="N356" s="316">
        <f>N359-N360+N361</f>
        <v>216953</v>
      </c>
      <c r="O356" s="316">
        <f>O359-O360+O361</f>
        <v>231951</v>
      </c>
      <c r="P356" s="316">
        <f>P359-P360+P361</f>
        <v>228654</v>
      </c>
      <c r="Q356" s="316">
        <f>Q359-Q360+Q361</f>
        <v>228468</v>
      </c>
      <c r="R356" s="316">
        <f>R359-R360+R361</f>
        <v>228468</v>
      </c>
      <c r="S356" s="316">
        <f>S359-S360+S361</f>
        <v>230220</v>
      </c>
      <c r="T356" s="316">
        <f>T359-T360+T361</f>
        <v>222887</v>
      </c>
      <c r="U356" s="316">
        <f>U359-U360+U361</f>
        <v>223474</v>
      </c>
      <c r="V356" s="316">
        <f>V359-V360+V361</f>
        <v>222019</v>
      </c>
      <c r="W356" s="316">
        <f>W359-W360+W361</f>
        <v>222019</v>
      </c>
      <c r="X356" s="316">
        <f>X359-X360+X361</f>
        <v>218353</v>
      </c>
      <c r="Y356" s="316">
        <f>Y359-Y360+Y361</f>
        <v>214705</v>
      </c>
      <c r="Z356" s="316">
        <f>Z359-Z360+Z361</f>
        <v>213621</v>
      </c>
      <c r="AA356" s="316">
        <f>AA359-AA360+AA361</f>
        <v>208192</v>
      </c>
      <c r="AB356" s="316">
        <f>AB359-AB360+AB361</f>
        <v>208192</v>
      </c>
      <c r="AC356" s="316">
        <f>AC359-AC360+AC361</f>
        <v>210600</v>
      </c>
      <c r="AD356" s="316">
        <f>AD359-AD360+AD361</f>
        <v>215546</v>
      </c>
      <c r="AE356" s="316">
        <f>AE359-AE360+AE361</f>
        <v>206972</v>
      </c>
      <c r="AF356" s="316">
        <f>AF359-AF360+AF361</f>
        <v>204955</v>
      </c>
      <c r="AG356" s="316">
        <f>AG359-AG360+AG361</f>
        <v>204955</v>
      </c>
      <c r="AH356" s="316">
        <f>AH359-AH360+AH361</f>
        <v>211434</v>
      </c>
      <c r="AI356" s="316">
        <f>AI359-AI360+AI361</f>
        <v>207317</v>
      </c>
      <c r="AJ356" s="316">
        <f>AJ359-AJ360+AJ361</f>
        <v>182382</v>
      </c>
      <c r="AK356" s="316">
        <f>AK359-AK360+AK361</f>
        <v>182382</v>
      </c>
      <c r="AL356" s="316">
        <f>AL359-AL360+AL361</f>
        <v>182382</v>
      </c>
      <c r="AM356" s="316" t="e">
        <f>AM359-AM360+AM361</f>
        <v>#DIV/0!</v>
      </c>
      <c r="AN356" s="316">
        <f>AN359-AN360+AN361</f>
        <v>182382</v>
      </c>
      <c r="AO356" s="316" t="e">
        <f>AO359-AO360+AO361</f>
        <v>#DIV/0!</v>
      </c>
      <c r="AP356" s="316" t="e">
        <f>AP359-AP360+AP361</f>
        <v>#DIV/0!</v>
      </c>
      <c r="AQ356" s="316" t="e">
        <f>AQ359-AQ360+AQ361</f>
        <v>#DIV/0!</v>
      </c>
      <c r="AR356" s="316" t="e">
        <f>AR359-AR360+AR361</f>
        <v>#DIV/0!</v>
      </c>
      <c r="AS356" s="316" t="e">
        <f>AS359-AS360+AS361</f>
        <v>#DIV/0!</v>
      </c>
      <c r="AT356" s="316" t="e">
        <f>AT359-AT360+AT361</f>
        <v>#DIV/0!</v>
      </c>
      <c r="AU356" s="316" t="e">
        <f>AU359-AU360+AU361</f>
        <v>#DIV/0!</v>
      </c>
      <c r="AV356" s="316" t="e">
        <f>AV359-AV360+AV361</f>
        <v>#DIV/0!</v>
      </c>
      <c r="AW356" s="316" t="e">
        <f>AW359-AW360+AW361</f>
        <v>#DIV/0!</v>
      </c>
      <c r="AX356" s="316" t="e">
        <f>AX359-AX360+AX361</f>
        <v>#DIV/0!</v>
      </c>
      <c r="AY356" s="316" t="e">
        <f>AY359-AY360+AY361</f>
        <v>#DIV/0!</v>
      </c>
      <c r="AZ356" s="316" t="e">
        <f>AZ359-AZ360+AZ361</f>
        <v>#DIV/0!</v>
      </c>
      <c r="BA356" s="316" t="e">
        <f>BA359-BA360+BA361</f>
        <v>#DIV/0!</v>
      </c>
      <c r="BB356" s="316" t="e">
        <f>BB359-BB360+BB361</f>
        <v>#DIV/0!</v>
      </c>
      <c r="BC356" s="316" t="e">
        <f>BC359-BC360+BC361</f>
        <v>#DIV/0!</v>
      </c>
      <c r="BD356" s="316" t="e">
        <f>BD359-BD360+BD361</f>
        <v>#DIV/0!</v>
      </c>
      <c r="BE356" s="316" t="e">
        <f>BE359-BE360+BE361</f>
        <v>#DIV/0!</v>
      </c>
      <c r="BF356" s="316" t="e">
        <f>BF359-BF360+BF361</f>
        <v>#DIV/0!</v>
      </c>
      <c r="BG356" s="316" t="e">
        <f>BG359-BG360+BG361</f>
        <v>#DIV/0!</v>
      </c>
      <c r="BH356" s="316" t="e">
        <f>BH359-BH360+BH361</f>
        <v>#DIV/0!</v>
      </c>
      <c r="BI356" s="316" t="e">
        <f>BI359-BI360+BI361</f>
        <v>#DIV/0!</v>
      </c>
      <c r="BJ356" s="316" t="e">
        <f>BJ359-BJ360+BJ361</f>
        <v>#DIV/0!</v>
      </c>
      <c r="BK356" s="316" t="e">
        <f>BK359-BK360+BK361</f>
        <v>#DIV/0!</v>
      </c>
      <c r="BL356" s="316" t="e">
        <f>BL359-BL360+BL361</f>
        <v>#DIV/0!</v>
      </c>
      <c r="BM356" s="316" t="e">
        <f>BM359-BM360+BM361</f>
        <v>#DIV/0!</v>
      </c>
      <c r="BN356" s="316" t="e">
        <f>BN359-BN360+BN361</f>
        <v>#DIV/0!</v>
      </c>
      <c r="BO356" s="316" t="e">
        <f>BO359-BO360+BO361</f>
        <v>#DIV/0!</v>
      </c>
      <c r="BP356" s="316" t="e">
        <f>BP359-BP360+BP361</f>
        <v>#DIV/0!</v>
      </c>
      <c r="BQ356" s="316" t="e">
        <f>BQ359-BQ360+BQ361</f>
        <v>#DIV/0!</v>
      </c>
      <c r="BR356" s="316" t="e">
        <f>BR359-BR360+BR361</f>
        <v>#DIV/0!</v>
      </c>
      <c r="BS356" s="316" t="e">
        <f>BS359-BS360+BS361</f>
        <v>#DIV/0!</v>
      </c>
      <c r="BT356" s="316" t="e">
        <f>BT359-BT360+BT361</f>
        <v>#DIV/0!</v>
      </c>
      <c r="BU356" s="316" t="e">
        <f>BU359-BU360+BU361</f>
        <v>#DIV/0!</v>
      </c>
      <c r="BV356" s="316" t="e">
        <f>BV359-BV360+BV361</f>
        <v>#DIV/0!</v>
      </c>
      <c r="BW356" s="316" t="e">
        <f>BW359-BW360+BW361</f>
        <v>#DIV/0!</v>
      </c>
      <c r="BX356" s="316" t="e">
        <f>BX359-BX360+BX361</f>
        <v>#DIV/0!</v>
      </c>
      <c r="BY356" s="316" t="e">
        <f>BY359-BY360+BY361</f>
        <v>#DIV/0!</v>
      </c>
      <c r="BZ356" s="316" t="e">
        <f>BZ359-BZ360+BZ361</f>
        <v>#DIV/0!</v>
      </c>
      <c r="CA356" s="316" t="e">
        <f>CA359-CA360+CA361</f>
        <v>#DIV/0!</v>
      </c>
      <c r="CB356" s="316" t="e">
        <f>CB359-CB360+CB361</f>
        <v>#DIV/0!</v>
      </c>
      <c r="CC356" s="316" t="e">
        <f>CC359-CC360+CC361</f>
        <v>#DIV/0!</v>
      </c>
      <c r="CD356" s="316" t="e">
        <f>CD359-CD360+CD361</f>
        <v>#DIV/0!</v>
      </c>
      <c r="CE356" s="316" t="e">
        <f>CE359-CE360+CE361</f>
        <v>#DIV/0!</v>
      </c>
      <c r="CF356" s="316" t="e">
        <f>CF359-CF360+CF361</f>
        <v>#DIV/0!</v>
      </c>
      <c r="CG356" s="316" t="e">
        <f>CG359-CG360+CG361</f>
        <v>#DIV/0!</v>
      </c>
      <c r="CH356" s="316" t="e">
        <f>CH359-CH360+CH361</f>
        <v>#DIV/0!</v>
      </c>
      <c r="CI356" s="316" t="e">
        <f>CI359-CI360+CI361</f>
        <v>#DIV/0!</v>
      </c>
      <c r="CJ356" s="316" t="e">
        <f>CJ359-CJ360+CJ361</f>
        <v>#DIV/0!</v>
      </c>
      <c r="CK356" s="316" t="e">
        <f>CK359-CK360+CK361</f>
        <v>#DIV/0!</v>
      </c>
      <c r="CL356" s="316" t="e">
        <f>CL359-CL360+CL361</f>
        <v>#DIV/0!</v>
      </c>
      <c r="CM356" s="316" t="e">
        <f>CM359-CM360+CM361</f>
        <v>#DIV/0!</v>
      </c>
      <c r="CN356" s="316" t="e">
        <f>CN359-CN360+CN361</f>
        <v>#DIV/0!</v>
      </c>
      <c r="CO356" s="316" t="e">
        <f>CO359-CO360+CO361</f>
        <v>#DIV/0!</v>
      </c>
      <c r="CP356" s="316" t="e">
        <f>CP359-CP360+CP361</f>
        <v>#DIV/0!</v>
      </c>
      <c r="CQ356" s="316" t="e">
        <f>CQ359-CQ360+CQ361</f>
        <v>#DIV/0!</v>
      </c>
      <c r="CR356" s="316" t="e">
        <f>CR359-CR360+CR361</f>
        <v>#DIV/0!</v>
      </c>
      <c r="CS356" s="316" t="e">
        <f>CS359-CS360+CS361</f>
        <v>#DIV/0!</v>
      </c>
      <c r="CT356" s="316" t="e">
        <f>CT359-CT360+CT361</f>
        <v>#DIV/0!</v>
      </c>
      <c r="CU356" s="316" t="e">
        <f>CU359-CU360+CU361</f>
        <v>#DIV/0!</v>
      </c>
      <c r="CV356" s="316" t="e">
        <f>CV359-CV360+CV361</f>
        <v>#DIV/0!</v>
      </c>
      <c r="CW356" s="316" t="e">
        <f>CW359-CW360+CW361</f>
        <v>#DIV/0!</v>
      </c>
      <c r="CX356" s="316" t="e">
        <f>CX359-CX360+CX361</f>
        <v>#DIV/0!</v>
      </c>
      <c r="CY356" s="316" t="e">
        <f>CY359-CY360+CY361</f>
        <v>#DIV/0!</v>
      </c>
    </row>
    <row r="357" ht="12.75" customFormat="1" customHeight="1" s="331">
      <c r="A357" s="332" t="n"/>
      <c r="B357" s="332" t="n"/>
      <c r="C357" s="331" t="inlineStr">
        <is>
          <t>INVESTED CAPITAL - EX GOODWILL</t>
        </is>
      </c>
      <c r="D357" s="344">
        <f>D356-D185</f>
        <v>0</v>
      </c>
      <c r="E357" s="344">
        <f>E356-E185</f>
        <v>0</v>
      </c>
      <c r="F357" s="344">
        <f>F356-F185</f>
        <v>0</v>
      </c>
      <c r="G357" s="344">
        <f>G356-G185</f>
        <v>0</v>
      </c>
      <c r="H357" s="344">
        <f>H356-H185</f>
        <v>0</v>
      </c>
      <c r="I357" s="345">
        <f>I356-I185</f>
        <v>212999</v>
      </c>
      <c r="J357" s="345">
        <f>J356-J185</f>
        <v>211665</v>
      </c>
      <c r="K357" s="345">
        <f>K356-K185</f>
        <v>198578</v>
      </c>
      <c r="L357" s="345">
        <f>L356-L185</f>
        <v>201654</v>
      </c>
      <c r="M357" s="345">
        <f>M356-M185</f>
        <v>201654</v>
      </c>
      <c r="N357" s="345">
        <f>N356-N185</f>
        <v>201753</v>
      </c>
      <c r="O357" s="345">
        <f>O356-O185</f>
        <v>216141</v>
      </c>
      <c r="P357" s="345">
        <f>P356-P185</f>
        <v>213231</v>
      </c>
      <c r="Q357" s="345">
        <f>Q356-Q185</f>
        <v>212429</v>
      </c>
      <c r="R357" s="345">
        <f>R356-R185</f>
        <v>212429</v>
      </c>
      <c r="S357" s="345">
        <f>S356-S185</f>
        <v>212569</v>
      </c>
      <c r="T357" s="345">
        <f>T356-T185</f>
        <v>205232</v>
      </c>
      <c r="U357" s="345">
        <f>U356-U185</f>
        <v>206129</v>
      </c>
      <c r="V357" s="345">
        <f>V356-V185</f>
        <v>205359</v>
      </c>
      <c r="W357" s="345">
        <f>W356-W185</f>
        <v>205359</v>
      </c>
      <c r="X357" s="345">
        <f>X356-X185</f>
        <v>201799</v>
      </c>
      <c r="Y357" s="345">
        <f>Y356-Y185</f>
        <v>198167</v>
      </c>
      <c r="Z357" s="345">
        <f>Z356-Z185</f>
        <v>197021</v>
      </c>
      <c r="AA357" s="345">
        <f>AA356-AA185</f>
        <v>192160</v>
      </c>
      <c r="AB357" s="345">
        <f>AB356-AB185</f>
        <v>192160</v>
      </c>
      <c r="AC357" s="345">
        <f>AC356-AC185</f>
        <v>194528</v>
      </c>
      <c r="AD357" s="345">
        <f>AD356-AD185</f>
        <v>199214</v>
      </c>
      <c r="AE357" s="345">
        <f>AE356-AE185</f>
        <v>190938</v>
      </c>
      <c r="AF357" s="345">
        <f>AF356-AF185</f>
        <v>189293</v>
      </c>
      <c r="AG357" s="345">
        <f>AG356-AG185</f>
        <v>189293</v>
      </c>
      <c r="AH357" s="345">
        <f>AH356-AH185</f>
        <v>196245</v>
      </c>
      <c r="AI357" s="345">
        <f>AI356-AI185</f>
        <v>192348</v>
      </c>
      <c r="AJ357" s="345">
        <f>AJ356-AJ185</f>
        <v>167413</v>
      </c>
      <c r="AK357" s="345">
        <f>AK356-AK185</f>
        <v>167413</v>
      </c>
      <c r="AL357" s="345">
        <f>AL356-AL185</f>
        <v>167413</v>
      </c>
      <c r="AM357" s="345" t="e">
        <f>AM356-AM185</f>
        <v>#DIV/0!</v>
      </c>
      <c r="AN357" s="345">
        <f>AN356-AN185</f>
        <v>167413</v>
      </c>
      <c r="AO357" s="345" t="e">
        <f>AO356-AO185</f>
        <v>#DIV/0!</v>
      </c>
      <c r="AP357" s="345" t="e">
        <f>AP356-AP185</f>
        <v>#DIV/0!</v>
      </c>
      <c r="AQ357" s="345" t="e">
        <f>AQ356-AQ185</f>
        <v>#DIV/0!</v>
      </c>
      <c r="AR357" s="345" t="e">
        <f>AR356-AR185</f>
        <v>#DIV/0!</v>
      </c>
      <c r="AS357" s="345" t="e">
        <f>AS356-AS185</f>
        <v>#DIV/0!</v>
      </c>
      <c r="AT357" s="345" t="e">
        <f>AT356-AT185</f>
        <v>#DIV/0!</v>
      </c>
      <c r="AU357" s="345" t="e">
        <f>AU356-AU185</f>
        <v>#DIV/0!</v>
      </c>
      <c r="AV357" s="345" t="e">
        <f>AV356-AV185</f>
        <v>#DIV/0!</v>
      </c>
      <c r="AW357" s="345" t="e">
        <f>AW356-AW185</f>
        <v>#DIV/0!</v>
      </c>
      <c r="AX357" s="345" t="e">
        <f>AX356-AX185</f>
        <v>#DIV/0!</v>
      </c>
      <c r="AY357" s="345" t="e">
        <f>AY356-AY185</f>
        <v>#DIV/0!</v>
      </c>
      <c r="AZ357" s="345" t="e">
        <f>AZ356-AZ185</f>
        <v>#DIV/0!</v>
      </c>
      <c r="BA357" s="345" t="e">
        <f>BA356-BA185</f>
        <v>#DIV/0!</v>
      </c>
      <c r="BB357" s="345" t="e">
        <f>BB356-BB185</f>
        <v>#DIV/0!</v>
      </c>
      <c r="BC357" s="345" t="e">
        <f>BC356-BC185</f>
        <v>#DIV/0!</v>
      </c>
      <c r="BD357" s="345" t="e">
        <f>BD356-BD185</f>
        <v>#DIV/0!</v>
      </c>
      <c r="BE357" s="345" t="e">
        <f>BE356-BE185</f>
        <v>#DIV/0!</v>
      </c>
      <c r="BF357" s="345" t="e">
        <f>BF356-BF185</f>
        <v>#DIV/0!</v>
      </c>
      <c r="BG357" s="345" t="e">
        <f>BG356-BG185</f>
        <v>#DIV/0!</v>
      </c>
      <c r="BH357" s="345" t="e">
        <f>BH356-BH185</f>
        <v>#DIV/0!</v>
      </c>
      <c r="BI357" s="345" t="e">
        <f>BI356-BI185</f>
        <v>#DIV/0!</v>
      </c>
      <c r="BJ357" s="345" t="e">
        <f>BJ356-BJ185</f>
        <v>#DIV/0!</v>
      </c>
      <c r="BK357" s="345" t="e">
        <f>BK356-BK185</f>
        <v>#DIV/0!</v>
      </c>
      <c r="BL357" s="345" t="e">
        <f>BL356-BL185</f>
        <v>#DIV/0!</v>
      </c>
      <c r="BM357" s="345" t="e">
        <f>BM356-BM185</f>
        <v>#DIV/0!</v>
      </c>
      <c r="BN357" s="345" t="e">
        <f>BN356-BN185</f>
        <v>#DIV/0!</v>
      </c>
      <c r="BO357" s="345" t="e">
        <f>BO356-BO185</f>
        <v>#DIV/0!</v>
      </c>
      <c r="BP357" s="345" t="e">
        <f>BP356-BP185</f>
        <v>#DIV/0!</v>
      </c>
      <c r="BQ357" s="345" t="e">
        <f>BQ356-BQ185</f>
        <v>#DIV/0!</v>
      </c>
      <c r="BR357" s="345" t="e">
        <f>BR356-BR185</f>
        <v>#DIV/0!</v>
      </c>
      <c r="BS357" s="345" t="e">
        <f>BS356-BS185</f>
        <v>#DIV/0!</v>
      </c>
      <c r="BT357" s="345" t="e">
        <f>BT356-BT185</f>
        <v>#DIV/0!</v>
      </c>
      <c r="BU357" s="345" t="e">
        <f>BU356-BU185</f>
        <v>#DIV/0!</v>
      </c>
      <c r="BV357" s="345" t="e">
        <f>BV356-BV185</f>
        <v>#DIV/0!</v>
      </c>
      <c r="BW357" s="345" t="e">
        <f>BW356-BW185</f>
        <v>#DIV/0!</v>
      </c>
      <c r="BX357" s="345" t="e">
        <f>BX356-BX185</f>
        <v>#DIV/0!</v>
      </c>
      <c r="BY357" s="345" t="e">
        <f>BY356-BY185</f>
        <v>#DIV/0!</v>
      </c>
      <c r="BZ357" s="345" t="e">
        <f>BZ356-BZ185</f>
        <v>#DIV/0!</v>
      </c>
      <c r="CA357" s="345" t="e">
        <f>CA356-CA185</f>
        <v>#DIV/0!</v>
      </c>
      <c r="CB357" s="345" t="e">
        <f>CB356-CB185</f>
        <v>#DIV/0!</v>
      </c>
      <c r="CC357" s="345" t="e">
        <f>CC356-CC185</f>
        <v>#DIV/0!</v>
      </c>
      <c r="CD357" s="345" t="e">
        <f>CD356-CD185</f>
        <v>#DIV/0!</v>
      </c>
      <c r="CE357" s="345" t="e">
        <f>CE356-CE185</f>
        <v>#DIV/0!</v>
      </c>
      <c r="CF357" s="345" t="e">
        <f>CF356-CF185</f>
        <v>#DIV/0!</v>
      </c>
      <c r="CG357" s="345" t="e">
        <f>CG356-CG185</f>
        <v>#DIV/0!</v>
      </c>
      <c r="CH357" s="345" t="e">
        <f>CH356-CH185</f>
        <v>#DIV/0!</v>
      </c>
      <c r="CI357" s="345" t="e">
        <f>CI356-CI185</f>
        <v>#DIV/0!</v>
      </c>
      <c r="CJ357" s="345" t="e">
        <f>CJ356-CJ185</f>
        <v>#DIV/0!</v>
      </c>
      <c r="CK357" s="345" t="e">
        <f>CK356-CK185</f>
        <v>#DIV/0!</v>
      </c>
      <c r="CL357" s="345" t="e">
        <f>CL356-CL185</f>
        <v>#DIV/0!</v>
      </c>
      <c r="CM357" s="345" t="e">
        <f>CM356-CM185</f>
        <v>#DIV/0!</v>
      </c>
      <c r="CN357" s="345" t="e">
        <f>CN356-CN185</f>
        <v>#DIV/0!</v>
      </c>
      <c r="CO357" s="345" t="e">
        <f>CO356-CO185</f>
        <v>#DIV/0!</v>
      </c>
      <c r="CP357" s="345" t="e">
        <f>CP356-CP185</f>
        <v>#DIV/0!</v>
      </c>
      <c r="CQ357" s="345" t="e">
        <f>CQ356-CQ185</f>
        <v>#DIV/0!</v>
      </c>
      <c r="CR357" s="345" t="e">
        <f>CR356-CR185</f>
        <v>#DIV/0!</v>
      </c>
      <c r="CS357" s="345" t="e">
        <f>CS356-CS185</f>
        <v>#DIV/0!</v>
      </c>
      <c r="CT357" s="345" t="e">
        <f>CT356-CT185</f>
        <v>#DIV/0!</v>
      </c>
      <c r="CU357" s="345" t="e">
        <f>CU356-CU185</f>
        <v>#DIV/0!</v>
      </c>
      <c r="CV357" s="345" t="e">
        <f>CV356-CV185</f>
        <v>#DIV/0!</v>
      </c>
      <c r="CW357" s="345" t="e">
        <f>CW356-CW185</f>
        <v>#DIV/0!</v>
      </c>
      <c r="CX357" s="345" t="e">
        <f>CX356-CX185</f>
        <v>#DIV/0!</v>
      </c>
      <c r="CY357" s="345" t="e">
        <f>CY356-CY185</f>
        <v>#DIV/0!</v>
      </c>
    </row>
    <row r="358" ht="12.75" customFormat="1" customHeight="1" s="331">
      <c r="A358" s="332" t="n"/>
      <c r="B358" s="332" t="n"/>
      <c r="C358" s="331" t="inlineStr">
        <is>
          <t>OPERATING WORKING CAPITAL</t>
        </is>
      </c>
      <c r="D358" s="346">
        <f>D359-D360</f>
        <v>0</v>
      </c>
      <c r="E358" s="346">
        <f>E359-E360</f>
        <v>0</v>
      </c>
      <c r="F358" s="346">
        <f>F359-F360</f>
        <v>0</v>
      </c>
      <c r="G358" s="346">
        <f>G359-G360</f>
        <v>0</v>
      </c>
      <c r="H358" s="346">
        <f>H359-H360</f>
        <v>0</v>
      </c>
      <c r="I358" s="316">
        <f>I359-I360</f>
        <v>20554</v>
      </c>
      <c r="J358" s="316">
        <f>J359-J360</f>
        <v>20511</v>
      </c>
      <c r="K358" s="316">
        <f>K359-K360</f>
        <v>14494</v>
      </c>
      <c r="L358" s="316">
        <f>L359-L360</f>
        <v>16892</v>
      </c>
      <c r="M358" s="316">
        <f>M359-M360</f>
        <v>16892</v>
      </c>
      <c r="N358" s="316">
        <f>N359-N360</f>
        <v>18810</v>
      </c>
      <c r="O358" s="316">
        <f>O359-O360</f>
        <v>22675</v>
      </c>
      <c r="P358" s="316">
        <f>P359-P360</f>
        <v>24598</v>
      </c>
      <c r="Q358" s="316">
        <f>Q359-Q360</f>
        <v>21197</v>
      </c>
      <c r="R358" s="316">
        <f>R359-R360</f>
        <v>21197</v>
      </c>
      <c r="S358" s="316">
        <f>S359-S360</f>
        <v>21582</v>
      </c>
      <c r="T358" s="316">
        <f>T359-T360</f>
        <v>17615</v>
      </c>
      <c r="U358" s="316">
        <f>U359-U360</f>
        <v>18748</v>
      </c>
      <c r="V358" s="316">
        <f>V359-V360</f>
        <v>16259</v>
      </c>
      <c r="W358" s="316">
        <f>W359-W360</f>
        <v>16259</v>
      </c>
      <c r="X358" s="316">
        <f>X359-X360</f>
        <v>16495</v>
      </c>
      <c r="Y358" s="316">
        <f>Y359-Y360</f>
        <v>15726</v>
      </c>
      <c r="Z358" s="316">
        <f>Z359-Z360</f>
        <v>11807</v>
      </c>
      <c r="AA358" s="316">
        <f>AA359-AA360</f>
        <v>12265</v>
      </c>
      <c r="AB358" s="316">
        <f>AB359-AB360</f>
        <v>12265</v>
      </c>
      <c r="AC358" s="316">
        <f>AC359-AC360</f>
        <v>13353</v>
      </c>
      <c r="AD358" s="316">
        <f>AD359-AD360</f>
        <v>14876</v>
      </c>
      <c r="AE358" s="316">
        <f>AE359-AE360</f>
        <v>16614</v>
      </c>
      <c r="AF358" s="316">
        <f>AF359-AF360</f>
        <v>11844</v>
      </c>
      <c r="AG358" s="316">
        <f>AG359-AG360</f>
        <v>11844</v>
      </c>
      <c r="AH358" s="316">
        <f>AH359-AH360</f>
        <v>20106</v>
      </c>
      <c r="AI358" s="316">
        <f>AI359-AI360</f>
        <v>20991</v>
      </c>
      <c r="AJ358" s="316">
        <f>AJ359-AJ360</f>
        <v>6505</v>
      </c>
      <c r="AK358" s="316">
        <f>AK359-AK360</f>
        <v>6505</v>
      </c>
      <c r="AL358" s="316">
        <f>AL359-AL360</f>
        <v>6505</v>
      </c>
      <c r="AM358" s="316" t="e">
        <f>AM359-AM360</f>
        <v>#DIV/0!</v>
      </c>
      <c r="AN358" s="316">
        <f>AN359-AN360</f>
        <v>6505</v>
      </c>
      <c r="AO358" s="316" t="e">
        <f>AO359-AO360</f>
        <v>#DIV/0!</v>
      </c>
      <c r="AP358" s="316" t="e">
        <f>AP359-AP360</f>
        <v>#DIV/0!</v>
      </c>
      <c r="AQ358" s="316" t="e">
        <f>AQ359-AQ360</f>
        <v>#DIV/0!</v>
      </c>
      <c r="AR358" s="316" t="e">
        <f>AR359-AR360</f>
        <v>#DIV/0!</v>
      </c>
      <c r="AS358" s="316" t="e">
        <f>AS359-AS360</f>
        <v>#DIV/0!</v>
      </c>
      <c r="AT358" s="316" t="e">
        <f>AT359-AT360</f>
        <v>#DIV/0!</v>
      </c>
      <c r="AU358" s="316" t="e">
        <f>AU359-AU360</f>
        <v>#DIV/0!</v>
      </c>
      <c r="AV358" s="316" t="e">
        <f>AV359-AV360</f>
        <v>#DIV/0!</v>
      </c>
      <c r="AW358" s="316" t="e">
        <f>AW359-AW360</f>
        <v>#DIV/0!</v>
      </c>
      <c r="AX358" s="316" t="e">
        <f>AX359-AX360</f>
        <v>#DIV/0!</v>
      </c>
      <c r="AY358" s="316" t="e">
        <f>AY359-AY360</f>
        <v>#DIV/0!</v>
      </c>
      <c r="AZ358" s="316" t="e">
        <f>AZ359-AZ360</f>
        <v>#DIV/0!</v>
      </c>
      <c r="BA358" s="316" t="e">
        <f>BA359-BA360</f>
        <v>#DIV/0!</v>
      </c>
      <c r="BB358" s="316" t="e">
        <f>BB359-BB360</f>
        <v>#DIV/0!</v>
      </c>
      <c r="BC358" s="316" t="e">
        <f>BC359-BC360</f>
        <v>#DIV/0!</v>
      </c>
      <c r="BD358" s="316" t="e">
        <f>BD359-BD360</f>
        <v>#DIV/0!</v>
      </c>
      <c r="BE358" s="316" t="e">
        <f>BE359-BE360</f>
        <v>#DIV/0!</v>
      </c>
      <c r="BF358" s="316" t="e">
        <f>BF359-BF360</f>
        <v>#DIV/0!</v>
      </c>
      <c r="BG358" s="316" t="e">
        <f>BG359-BG360</f>
        <v>#DIV/0!</v>
      </c>
      <c r="BH358" s="316" t="e">
        <f>BH359-BH360</f>
        <v>#DIV/0!</v>
      </c>
      <c r="BI358" s="316" t="e">
        <f>BI359-BI360</f>
        <v>#DIV/0!</v>
      </c>
      <c r="BJ358" s="316" t="e">
        <f>BJ359-BJ360</f>
        <v>#DIV/0!</v>
      </c>
      <c r="BK358" s="316" t="e">
        <f>BK359-BK360</f>
        <v>#DIV/0!</v>
      </c>
      <c r="BL358" s="316" t="e">
        <f>BL359-BL360</f>
        <v>#DIV/0!</v>
      </c>
      <c r="BM358" s="316" t="e">
        <f>BM359-BM360</f>
        <v>#DIV/0!</v>
      </c>
      <c r="BN358" s="316" t="e">
        <f>BN359-BN360</f>
        <v>#DIV/0!</v>
      </c>
      <c r="BO358" s="316" t="e">
        <f>BO359-BO360</f>
        <v>#DIV/0!</v>
      </c>
      <c r="BP358" s="316" t="e">
        <f>BP359-BP360</f>
        <v>#DIV/0!</v>
      </c>
      <c r="BQ358" s="316" t="e">
        <f>BQ359-BQ360</f>
        <v>#DIV/0!</v>
      </c>
      <c r="BR358" s="316" t="e">
        <f>BR359-BR360</f>
        <v>#DIV/0!</v>
      </c>
      <c r="BS358" s="316" t="e">
        <f>BS359-BS360</f>
        <v>#DIV/0!</v>
      </c>
      <c r="BT358" s="316" t="e">
        <f>BT359-BT360</f>
        <v>#DIV/0!</v>
      </c>
      <c r="BU358" s="316" t="e">
        <f>BU359-BU360</f>
        <v>#DIV/0!</v>
      </c>
      <c r="BV358" s="316" t="e">
        <f>BV359-BV360</f>
        <v>#DIV/0!</v>
      </c>
      <c r="BW358" s="316" t="e">
        <f>BW359-BW360</f>
        <v>#DIV/0!</v>
      </c>
      <c r="BX358" s="316" t="e">
        <f>BX359-BX360</f>
        <v>#DIV/0!</v>
      </c>
      <c r="BY358" s="316" t="e">
        <f>BY359-BY360</f>
        <v>#DIV/0!</v>
      </c>
      <c r="BZ358" s="316" t="e">
        <f>BZ359-BZ360</f>
        <v>#DIV/0!</v>
      </c>
      <c r="CA358" s="316" t="e">
        <f>CA359-CA360</f>
        <v>#DIV/0!</v>
      </c>
      <c r="CB358" s="316" t="e">
        <f>CB359-CB360</f>
        <v>#DIV/0!</v>
      </c>
      <c r="CC358" s="316" t="e">
        <f>CC359-CC360</f>
        <v>#DIV/0!</v>
      </c>
      <c r="CD358" s="316" t="e">
        <f>CD359-CD360</f>
        <v>#DIV/0!</v>
      </c>
      <c r="CE358" s="316" t="e">
        <f>CE359-CE360</f>
        <v>#DIV/0!</v>
      </c>
      <c r="CF358" s="316" t="e">
        <f>CF359-CF360</f>
        <v>#DIV/0!</v>
      </c>
      <c r="CG358" s="316" t="e">
        <f>CG359-CG360</f>
        <v>#DIV/0!</v>
      </c>
      <c r="CH358" s="316" t="e">
        <f>CH359-CH360</f>
        <v>#DIV/0!</v>
      </c>
      <c r="CI358" s="316" t="e">
        <f>CI359-CI360</f>
        <v>#DIV/0!</v>
      </c>
      <c r="CJ358" s="316" t="e">
        <f>CJ359-CJ360</f>
        <v>#DIV/0!</v>
      </c>
      <c r="CK358" s="316" t="e">
        <f>CK359-CK360</f>
        <v>#DIV/0!</v>
      </c>
      <c r="CL358" s="316" t="e">
        <f>CL359-CL360</f>
        <v>#DIV/0!</v>
      </c>
      <c r="CM358" s="316" t="e">
        <f>CM359-CM360</f>
        <v>#DIV/0!</v>
      </c>
      <c r="CN358" s="316" t="e">
        <f>CN359-CN360</f>
        <v>#DIV/0!</v>
      </c>
      <c r="CO358" s="316" t="e">
        <f>CO359-CO360</f>
        <v>#DIV/0!</v>
      </c>
      <c r="CP358" s="316" t="e">
        <f>CP359-CP360</f>
        <v>#DIV/0!</v>
      </c>
      <c r="CQ358" s="316" t="e">
        <f>CQ359-CQ360</f>
        <v>#DIV/0!</v>
      </c>
      <c r="CR358" s="316" t="e">
        <f>CR359-CR360</f>
        <v>#DIV/0!</v>
      </c>
      <c r="CS358" s="316" t="e">
        <f>CS359-CS360</f>
        <v>#DIV/0!</v>
      </c>
      <c r="CT358" s="316" t="e">
        <f>CT359-CT360</f>
        <v>#DIV/0!</v>
      </c>
      <c r="CU358" s="316" t="e">
        <f>CU359-CU360</f>
        <v>#DIV/0!</v>
      </c>
      <c r="CV358" s="316" t="e">
        <f>CV359-CV360</f>
        <v>#DIV/0!</v>
      </c>
      <c r="CW358" s="316" t="e">
        <f>CW359-CW360</f>
        <v>#DIV/0!</v>
      </c>
      <c r="CX358" s="316" t="e">
        <f>CX359-CX360</f>
        <v>#DIV/0!</v>
      </c>
      <c r="CY358" s="316" t="e">
        <f>CY359-CY360</f>
        <v>#DIV/0!</v>
      </c>
    </row>
    <row r="359" ht="12.75" customFormat="1" customHeight="1" s="331">
      <c r="A359" s="332" t="n"/>
      <c r="B359" s="332" t="n"/>
      <c r="C359" s="331" t="inlineStr">
        <is>
          <t>CURRENT ASSETS</t>
        </is>
      </c>
      <c r="D359" s="344">
        <f>D151+D155+D159+D160+D161</f>
        <v>0</v>
      </c>
      <c r="E359" s="344">
        <f>E151+E155+E159+E160+E161</f>
        <v>0</v>
      </c>
      <c r="F359" s="344">
        <f>F151+F155+F159+F160+F161</f>
        <v>0</v>
      </c>
      <c r="G359" s="344">
        <f>G151+G155+G159+G160+G161</f>
        <v>0</v>
      </c>
      <c r="H359" s="344">
        <f>H151+H155+H159+H160+H161</f>
        <v>0</v>
      </c>
      <c r="I359" s="345">
        <f>I151+I155+I159+I160+I161</f>
        <v>82445</v>
      </c>
      <c r="J359" s="345">
        <f>J151+J155+J159+J160+J161</f>
        <v>91970</v>
      </c>
      <c r="K359" s="345">
        <f>K151+K155+K159+K160+K161</f>
        <v>108039</v>
      </c>
      <c r="L359" s="345">
        <f>L151+L155+L159+L160+L161</f>
        <v>104221</v>
      </c>
      <c r="M359" s="345">
        <f>M151+M155+M159+M160+M161</f>
        <v>104221</v>
      </c>
      <c r="N359" s="345">
        <f>N151+N155+N159+N160+N161</f>
        <v>125081</v>
      </c>
      <c r="O359" s="345">
        <f>O151+O155+O159+O160+O161</f>
        <v>134830</v>
      </c>
      <c r="P359" s="345">
        <f>P151+P155+P159+P160+P161</f>
        <v>135224</v>
      </c>
      <c r="Q359" s="345">
        <f>Q151+Q155+Q159+Q160+Q161</f>
        <v>133507</v>
      </c>
      <c r="R359" s="345">
        <f>R151+R155+R159+R160+R161</f>
        <v>133507</v>
      </c>
      <c r="S359" s="345">
        <f>S151+S155+S159+S160+S161</f>
        <v>115215</v>
      </c>
      <c r="T359" s="345">
        <f>T151+T155+T159+T160+T161</f>
        <v>101630</v>
      </c>
      <c r="U359" s="345">
        <f>U151+U155+U159+U160+U161</f>
        <v>103758</v>
      </c>
      <c r="V359" s="345">
        <f>V151+V155+V159+V160+V161</f>
        <v>101795</v>
      </c>
      <c r="W359" s="345">
        <f>W151+W155+W159+W160+W161</f>
        <v>101795</v>
      </c>
      <c r="X359" s="345">
        <f>X151+X155+X159+X160+X161</f>
        <v>99359</v>
      </c>
      <c r="Y359" s="345">
        <f>Y151+Y155+Y159+Y160+Y161</f>
        <v>96374</v>
      </c>
      <c r="Z359" s="345">
        <f>Z151+Z155+Z159+Z160+Z161</f>
        <v>89417</v>
      </c>
      <c r="AA359" s="345">
        <f>AA151+AA155+AA159+AA160+AA161</f>
        <v>95671</v>
      </c>
      <c r="AB359" s="345">
        <f>AB151+AB155+AB159+AB160+AB161</f>
        <v>95671</v>
      </c>
      <c r="AC359" s="345">
        <f>AC151+AC155+AC159+AC160+AC161</f>
        <v>98043</v>
      </c>
      <c r="AD359" s="345">
        <f>AD151+AD155+AD159+AD160+AD161</f>
        <v>96439</v>
      </c>
      <c r="AE359" s="345">
        <f>AE151+AE155+AE159+AE160+AE161</f>
        <v>96213</v>
      </c>
      <c r="AF359" s="345">
        <f>AF151+AF155+AF159+AF160+AF161</f>
        <v>85131</v>
      </c>
      <c r="AG359" s="345">
        <f>AG151+AG155+AG159+AG160+AG161</f>
        <v>85131</v>
      </c>
      <c r="AH359" s="345">
        <f>AH151+AH155+AH159+AH160+AH161</f>
        <v>103519</v>
      </c>
      <c r="AI359" s="345">
        <f>AI151+AI155+AI159+AI160+AI161</f>
        <v>98064</v>
      </c>
      <c r="AJ359" s="345">
        <f>AJ151+AJ155+AJ159+AJ160+AJ161</f>
        <v>18487</v>
      </c>
      <c r="AK359" s="345">
        <f>AK151+AK155+AK159+AK160+AK161</f>
        <v>18487</v>
      </c>
      <c r="AL359" s="345">
        <f>AL151+AL155+AL159+AL160+AL161</f>
        <v>18487</v>
      </c>
      <c r="AM359" s="345">
        <f>AM151+AM155+AM159+AM160+AM161</f>
        <v>18487</v>
      </c>
      <c r="AN359" s="345">
        <f>AN151+AN155+AN159+AN160+AN161</f>
        <v>18487</v>
      </c>
      <c r="AO359" s="345">
        <f>AO151+AO155+AO159+AO160+AO161</f>
        <v>18487</v>
      </c>
      <c r="AP359" s="345">
        <f>AP151+AP155+AP159+AP160+AP161</f>
        <v>18487</v>
      </c>
      <c r="AQ359" s="345">
        <f>AQ151+AQ155+AQ159+AQ160+AQ161</f>
        <v>18487</v>
      </c>
      <c r="AR359" s="345">
        <f>AR151+AR155+AR159+AR160+AR161</f>
        <v>18487</v>
      </c>
      <c r="AS359" s="345">
        <f>AS151+AS155+AS159+AS160+AS161</f>
        <v>18487</v>
      </c>
      <c r="AT359" s="345">
        <f>AT151+AT155+AT159+AT160+AT161</f>
        <v>18487</v>
      </c>
      <c r="AU359" s="345">
        <f>AU151+AU155+AU159+AU160+AU161</f>
        <v>18487</v>
      </c>
      <c r="AV359" s="345">
        <f>AV151+AV155+AV159+AV160+AV161</f>
        <v>18487</v>
      </c>
      <c r="AW359" s="345">
        <f>AW151+AW155+AW159+AW160+AW161</f>
        <v>18487</v>
      </c>
      <c r="AX359" s="345">
        <f>AX151+AX155+AX159+AX160+AX161</f>
        <v>18487</v>
      </c>
      <c r="AY359" s="345">
        <f>AY151+AY155+AY159+AY160+AY161</f>
        <v>18487</v>
      </c>
      <c r="AZ359" s="345">
        <f>AZ151+AZ155+AZ159+AZ160+AZ161</f>
        <v>18487</v>
      </c>
      <c r="BA359" s="345">
        <f>BA151+BA155+BA159+BA160+BA161</f>
        <v>18487</v>
      </c>
      <c r="BB359" s="345">
        <f>BB151+BB155+BB159+BB160+BB161</f>
        <v>18487</v>
      </c>
      <c r="BC359" s="345">
        <f>BC151+BC155+BC159+BC160+BC161</f>
        <v>18487</v>
      </c>
      <c r="BD359" s="345">
        <f>BD151+BD155+BD159+BD160+BD161</f>
        <v>18487</v>
      </c>
      <c r="BE359" s="345">
        <f>BE151+BE155+BE159+BE160+BE161</f>
        <v>18487</v>
      </c>
      <c r="BF359" s="345">
        <f>BF151+BF155+BF159+BF160+BF161</f>
        <v>18487</v>
      </c>
      <c r="BG359" s="345">
        <f>BG151+BG155+BG159+BG160+BG161</f>
        <v>18487</v>
      </c>
      <c r="BH359" s="345">
        <f>BH151+BH155+BH159+BH160+BH161</f>
        <v>18487</v>
      </c>
      <c r="BI359" s="345">
        <f>BI151+BI155+BI159+BI160+BI161</f>
        <v>18487</v>
      </c>
      <c r="BJ359" s="345">
        <f>BJ151+BJ155+BJ159+BJ160+BJ161</f>
        <v>18487</v>
      </c>
      <c r="BK359" s="345">
        <f>BK151+BK155+BK159+BK160+BK161</f>
        <v>18487</v>
      </c>
      <c r="BL359" s="345">
        <f>BL151+BL155+BL159+BL160+BL161</f>
        <v>18487</v>
      </c>
      <c r="BM359" s="345">
        <f>BM151+BM155+BM159+BM160+BM161</f>
        <v>18487</v>
      </c>
      <c r="BN359" s="345">
        <f>BN151+BN155+BN159+BN160+BN161</f>
        <v>18487</v>
      </c>
      <c r="BO359" s="345">
        <f>BO151+BO155+BO159+BO160+BO161</f>
        <v>18487</v>
      </c>
      <c r="BP359" s="345">
        <f>BP151+BP155+BP159+BP160+BP161</f>
        <v>18487</v>
      </c>
      <c r="BQ359" s="345">
        <f>BQ151+BQ155+BQ159+BQ160+BQ161</f>
        <v>18487</v>
      </c>
      <c r="BR359" s="345">
        <f>BR151+BR155+BR159+BR160+BR161</f>
        <v>18487</v>
      </c>
      <c r="BS359" s="345">
        <f>BS151+BS155+BS159+BS160+BS161</f>
        <v>18487</v>
      </c>
      <c r="BT359" s="345">
        <f>BT151+BT155+BT159+BT160+BT161</f>
        <v>18487</v>
      </c>
      <c r="BU359" s="345">
        <f>BU151+BU155+BU159+BU160+BU161</f>
        <v>18487</v>
      </c>
      <c r="BV359" s="345">
        <f>BV151+BV155+BV159+BV160+BV161</f>
        <v>18487</v>
      </c>
      <c r="BW359" s="345">
        <f>BW151+BW155+BW159+BW160+BW161</f>
        <v>18487</v>
      </c>
      <c r="BX359" s="345">
        <f>BX151+BX155+BX159+BX160+BX161</f>
        <v>18487</v>
      </c>
      <c r="BY359" s="345">
        <f>BY151+BY155+BY159+BY160+BY161</f>
        <v>18487</v>
      </c>
      <c r="BZ359" s="345">
        <f>BZ151+BZ155+BZ159+BZ160+BZ161</f>
        <v>18487</v>
      </c>
      <c r="CA359" s="345">
        <f>CA151+CA155+CA159+CA160+CA161</f>
        <v>18487</v>
      </c>
      <c r="CB359" s="345">
        <f>CB151+CB155+CB159+CB160+CB161</f>
        <v>18487</v>
      </c>
      <c r="CC359" s="345">
        <f>CC151+CC155+CC159+CC160+CC161</f>
        <v>18487</v>
      </c>
      <c r="CD359" s="345">
        <f>CD151+CD155+CD159+CD160+CD161</f>
        <v>18487</v>
      </c>
      <c r="CE359" s="345">
        <f>CE151+CE155+CE159+CE160+CE161</f>
        <v>18487</v>
      </c>
      <c r="CF359" s="345">
        <f>CF151+CF155+CF159+CF160+CF161</f>
        <v>18487</v>
      </c>
      <c r="CG359" s="345">
        <f>CG151+CG155+CG159+CG160+CG161</f>
        <v>18487</v>
      </c>
      <c r="CH359" s="345">
        <f>CH151+CH155+CH159+CH160+CH161</f>
        <v>18487</v>
      </c>
      <c r="CI359" s="345">
        <f>CI151+CI155+CI159+CI160+CI161</f>
        <v>18487</v>
      </c>
      <c r="CJ359" s="345">
        <f>CJ151+CJ155+CJ159+CJ160+CJ161</f>
        <v>18487</v>
      </c>
      <c r="CK359" s="345">
        <f>CK151+CK155+CK159+CK160+CK161</f>
        <v>18487</v>
      </c>
      <c r="CL359" s="345">
        <f>CL151+CL155+CL159+CL160+CL161</f>
        <v>18487</v>
      </c>
      <c r="CM359" s="345">
        <f>CM151+CM155+CM159+CM160+CM161</f>
        <v>18487</v>
      </c>
      <c r="CN359" s="345">
        <f>CN151+CN155+CN159+CN160+CN161</f>
        <v>18487</v>
      </c>
      <c r="CO359" s="345">
        <f>CO151+CO155+CO159+CO160+CO161</f>
        <v>18487</v>
      </c>
      <c r="CP359" s="345">
        <f>CP151+CP155+CP159+CP160+CP161</f>
        <v>18487</v>
      </c>
      <c r="CQ359" s="345">
        <f>CQ151+CQ155+CQ159+CQ160+CQ161</f>
        <v>18487</v>
      </c>
      <c r="CR359" s="345">
        <f>CR151+CR155+CR159+CR160+CR161</f>
        <v>18487</v>
      </c>
      <c r="CS359" s="345">
        <f>CS151+CS155+CS159+CS160+CS161</f>
        <v>18487</v>
      </c>
      <c r="CT359" s="345">
        <f>CT151+CT155+CT159+CT160+CT161</f>
        <v>18487</v>
      </c>
      <c r="CU359" s="345">
        <f>CU151+CU155+CU159+CU160+CU161</f>
        <v>18487</v>
      </c>
      <c r="CV359" s="345">
        <f>CV151+CV155+CV159+CV160+CV161</f>
        <v>18487</v>
      </c>
      <c r="CW359" s="345">
        <f>CW151+CW155+CW159+CW160+CW161</f>
        <v>18487</v>
      </c>
      <c r="CX359" s="345">
        <f>CX151+CX155+CX159+CX160+CX161</f>
        <v>18487</v>
      </c>
      <c r="CY359" s="345">
        <f>CY151+CY155+CY159+CY160+CY161</f>
        <v>18487</v>
      </c>
    </row>
    <row r="360" ht="12.75" customFormat="1" customHeight="1" s="331">
      <c r="A360" s="332" t="n"/>
      <c r="B360" s="332" t="n"/>
      <c r="C360" s="331" t="inlineStr">
        <is>
          <t>CURRENT LIABILITIES</t>
        </is>
      </c>
      <c r="D360" s="344">
        <f>D204+D208+D210+D211</f>
        <v>0</v>
      </c>
      <c r="E360" s="344">
        <f>E204+E208+E210+E211</f>
        <v>0</v>
      </c>
      <c r="F360" s="344">
        <f>F204+F208+F210+F211</f>
        <v>0</v>
      </c>
      <c r="G360" s="344">
        <f>G204+G208+G210+G211</f>
        <v>0</v>
      </c>
      <c r="H360" s="344">
        <f>H204+H208+H210+H211</f>
        <v>0</v>
      </c>
      <c r="I360" s="345">
        <f>I204+I208+I210+I211</f>
        <v>61891</v>
      </c>
      <c r="J360" s="345">
        <f>J204+J208+J210+J211</f>
        <v>71459</v>
      </c>
      <c r="K360" s="345">
        <f>K204+K208+K210+K211</f>
        <v>93545</v>
      </c>
      <c r="L360" s="345">
        <f>L204+L208+L210+L211</f>
        <v>87329</v>
      </c>
      <c r="M360" s="345">
        <f>M204+M208+M210+M211</f>
        <v>87329</v>
      </c>
      <c r="N360" s="345">
        <f>N204+N208+N210+N211</f>
        <v>106271</v>
      </c>
      <c r="O360" s="345">
        <f>O204+O208+O210+O211</f>
        <v>112155</v>
      </c>
      <c r="P360" s="345">
        <f>P204+P208+P210+P211</f>
        <v>110626</v>
      </c>
      <c r="Q360" s="345">
        <f>Q204+Q208+Q210+Q211</f>
        <v>112310</v>
      </c>
      <c r="R360" s="345">
        <f>R204+R208+R210+R211</f>
        <v>112310</v>
      </c>
      <c r="S360" s="345">
        <f>S204+S208+S210+S211</f>
        <v>93633</v>
      </c>
      <c r="T360" s="345">
        <f>T204+T208+T210+T211</f>
        <v>84015</v>
      </c>
      <c r="U360" s="345">
        <f>U204+U208+U210+U211</f>
        <v>85010</v>
      </c>
      <c r="V360" s="345">
        <f>V204+V208+V210+V211</f>
        <v>85536</v>
      </c>
      <c r="W360" s="345">
        <f>W204+W208+W210+W211</f>
        <v>85536</v>
      </c>
      <c r="X360" s="345">
        <f>X204+X208+X210+X211</f>
        <v>82864</v>
      </c>
      <c r="Y360" s="345">
        <f>Y204+Y208+Y210+Y211</f>
        <v>80648</v>
      </c>
      <c r="Z360" s="345">
        <f>Z204+Z208+Z210+Z211</f>
        <v>77610</v>
      </c>
      <c r="AA360" s="345">
        <f>AA204+AA208+AA210+AA211</f>
        <v>83406</v>
      </c>
      <c r="AB360" s="345">
        <f>AB204+AB208+AB210+AB211</f>
        <v>83406</v>
      </c>
      <c r="AC360" s="345">
        <f>AC204+AC208+AC210+AC211</f>
        <v>84690</v>
      </c>
      <c r="AD360" s="345">
        <f>AD204+AD208+AD210+AD211</f>
        <v>81563</v>
      </c>
      <c r="AE360" s="345">
        <f>AE204+AE208+AE210+AE211</f>
        <v>79599</v>
      </c>
      <c r="AF360" s="345">
        <f>AF204+AF208+AF210+AF211</f>
        <v>73287</v>
      </c>
      <c r="AG360" s="345">
        <f>AG204+AG208+AG210+AG211</f>
        <v>73287</v>
      </c>
      <c r="AH360" s="345">
        <f>AH204+AH208+AH210+AH211</f>
        <v>83413</v>
      </c>
      <c r="AI360" s="345">
        <f>AI204+AI208+AI210+AI211</f>
        <v>77073</v>
      </c>
      <c r="AJ360" s="345">
        <f>AJ204+AJ208+AJ210+AJ211</f>
        <v>11982</v>
      </c>
      <c r="AK360" s="345">
        <f>AK204+AK208+AK210+AK211</f>
        <v>11982</v>
      </c>
      <c r="AL360" s="345">
        <f>AL204+AL208+AL210+AL211</f>
        <v>11982</v>
      </c>
      <c r="AM360" s="345" t="e">
        <f>AM204+AM208+AM210+AM211</f>
        <v>#DIV/0!</v>
      </c>
      <c r="AN360" s="345">
        <f>AN204+AN208+AN210+AN211</f>
        <v>11982</v>
      </c>
      <c r="AO360" s="345" t="e">
        <f>AO204+AO208+AO210+AO211</f>
        <v>#DIV/0!</v>
      </c>
      <c r="AP360" s="345" t="e">
        <f>AP204+AP208+AP210+AP211</f>
        <v>#DIV/0!</v>
      </c>
      <c r="AQ360" s="345" t="e">
        <f>AQ204+AQ208+AQ210+AQ211</f>
        <v>#DIV/0!</v>
      </c>
      <c r="AR360" s="345" t="e">
        <f>AR204+AR208+AR210+AR211</f>
        <v>#DIV/0!</v>
      </c>
      <c r="AS360" s="345" t="e">
        <f>AS204+AS208+AS210+AS211</f>
        <v>#DIV/0!</v>
      </c>
      <c r="AT360" s="345" t="e">
        <f>AT204+AT208+AT210+AT211</f>
        <v>#DIV/0!</v>
      </c>
      <c r="AU360" s="345" t="e">
        <f>AU204+AU208+AU210+AU211</f>
        <v>#DIV/0!</v>
      </c>
      <c r="AV360" s="345" t="e">
        <f>AV204+AV208+AV210+AV211</f>
        <v>#DIV/0!</v>
      </c>
      <c r="AW360" s="345" t="e">
        <f>AW204+AW208+AW210+AW211</f>
        <v>#DIV/0!</v>
      </c>
      <c r="AX360" s="345" t="e">
        <f>AX204+AX208+AX210+AX211</f>
        <v>#DIV/0!</v>
      </c>
      <c r="AY360" s="345" t="e">
        <f>AY204+AY208+AY210+AY211</f>
        <v>#DIV/0!</v>
      </c>
      <c r="AZ360" s="345" t="e">
        <f>AZ204+AZ208+AZ210+AZ211</f>
        <v>#DIV/0!</v>
      </c>
      <c r="BA360" s="345" t="e">
        <f>BA204+BA208+BA210+BA211</f>
        <v>#DIV/0!</v>
      </c>
      <c r="BB360" s="345" t="e">
        <f>BB204+BB208+BB210+BB211</f>
        <v>#DIV/0!</v>
      </c>
      <c r="BC360" s="345" t="e">
        <f>BC204+BC208+BC210+BC211</f>
        <v>#DIV/0!</v>
      </c>
      <c r="BD360" s="345" t="e">
        <f>BD204+BD208+BD210+BD211</f>
        <v>#DIV/0!</v>
      </c>
      <c r="BE360" s="345" t="e">
        <f>BE204+BE208+BE210+BE211</f>
        <v>#DIV/0!</v>
      </c>
      <c r="BF360" s="345" t="e">
        <f>BF204+BF208+BF210+BF211</f>
        <v>#DIV/0!</v>
      </c>
      <c r="BG360" s="345" t="e">
        <f>BG204+BG208+BG210+BG211</f>
        <v>#DIV/0!</v>
      </c>
      <c r="BH360" s="345" t="e">
        <f>BH204+BH208+BH210+BH211</f>
        <v>#DIV/0!</v>
      </c>
      <c r="BI360" s="345" t="e">
        <f>BI204+BI208+BI210+BI211</f>
        <v>#DIV/0!</v>
      </c>
      <c r="BJ360" s="345" t="e">
        <f>BJ204+BJ208+BJ210+BJ211</f>
        <v>#DIV/0!</v>
      </c>
      <c r="BK360" s="345" t="e">
        <f>BK204+BK208+BK210+BK211</f>
        <v>#DIV/0!</v>
      </c>
      <c r="BL360" s="345" t="e">
        <f>BL204+BL208+BL210+BL211</f>
        <v>#DIV/0!</v>
      </c>
      <c r="BM360" s="345" t="e">
        <f>BM204+BM208+BM210+BM211</f>
        <v>#DIV/0!</v>
      </c>
      <c r="BN360" s="345" t="e">
        <f>BN204+BN208+BN210+BN211</f>
        <v>#DIV/0!</v>
      </c>
      <c r="BO360" s="345" t="e">
        <f>BO204+BO208+BO210+BO211</f>
        <v>#DIV/0!</v>
      </c>
      <c r="BP360" s="345" t="e">
        <f>BP204+BP208+BP210+BP211</f>
        <v>#DIV/0!</v>
      </c>
      <c r="BQ360" s="345" t="e">
        <f>BQ204+BQ208+BQ210+BQ211</f>
        <v>#DIV/0!</v>
      </c>
      <c r="BR360" s="345" t="e">
        <f>BR204+BR208+BR210+BR211</f>
        <v>#DIV/0!</v>
      </c>
      <c r="BS360" s="345" t="e">
        <f>BS204+BS208+BS210+BS211</f>
        <v>#DIV/0!</v>
      </c>
      <c r="BT360" s="345" t="e">
        <f>BT204+BT208+BT210+BT211</f>
        <v>#DIV/0!</v>
      </c>
      <c r="BU360" s="345" t="e">
        <f>BU204+BU208+BU210+BU211</f>
        <v>#DIV/0!</v>
      </c>
      <c r="BV360" s="345" t="e">
        <f>BV204+BV208+BV210+BV211</f>
        <v>#DIV/0!</v>
      </c>
      <c r="BW360" s="345" t="e">
        <f>BW204+BW208+BW210+BW211</f>
        <v>#DIV/0!</v>
      </c>
      <c r="BX360" s="345" t="e">
        <f>BX204+BX208+BX210+BX211</f>
        <v>#DIV/0!</v>
      </c>
      <c r="BY360" s="345" t="e">
        <f>BY204+BY208+BY210+BY211</f>
        <v>#DIV/0!</v>
      </c>
      <c r="BZ360" s="345" t="e">
        <f>BZ204+BZ208+BZ210+BZ211</f>
        <v>#DIV/0!</v>
      </c>
      <c r="CA360" s="345" t="e">
        <f>CA204+CA208+CA210+CA211</f>
        <v>#DIV/0!</v>
      </c>
      <c r="CB360" s="345" t="e">
        <f>CB204+CB208+CB210+CB211</f>
        <v>#DIV/0!</v>
      </c>
      <c r="CC360" s="345" t="e">
        <f>CC204+CC208+CC210+CC211</f>
        <v>#DIV/0!</v>
      </c>
      <c r="CD360" s="345" t="e">
        <f>CD204+CD208+CD210+CD211</f>
        <v>#DIV/0!</v>
      </c>
      <c r="CE360" s="345" t="e">
        <f>CE204+CE208+CE210+CE211</f>
        <v>#DIV/0!</v>
      </c>
      <c r="CF360" s="345" t="e">
        <f>CF204+CF208+CF210+CF211</f>
        <v>#DIV/0!</v>
      </c>
      <c r="CG360" s="345" t="e">
        <f>CG204+CG208+CG210+CG211</f>
        <v>#DIV/0!</v>
      </c>
      <c r="CH360" s="345" t="e">
        <f>CH204+CH208+CH210+CH211</f>
        <v>#DIV/0!</v>
      </c>
      <c r="CI360" s="345" t="e">
        <f>CI204+CI208+CI210+CI211</f>
        <v>#DIV/0!</v>
      </c>
      <c r="CJ360" s="345" t="e">
        <f>CJ204+CJ208+CJ210+CJ211</f>
        <v>#DIV/0!</v>
      </c>
      <c r="CK360" s="345" t="e">
        <f>CK204+CK208+CK210+CK211</f>
        <v>#DIV/0!</v>
      </c>
      <c r="CL360" s="345" t="e">
        <f>CL204+CL208+CL210+CL211</f>
        <v>#DIV/0!</v>
      </c>
      <c r="CM360" s="345" t="e">
        <f>CM204+CM208+CM210+CM211</f>
        <v>#DIV/0!</v>
      </c>
      <c r="CN360" s="345" t="e">
        <f>CN204+CN208+CN210+CN211</f>
        <v>#DIV/0!</v>
      </c>
      <c r="CO360" s="345" t="e">
        <f>CO204+CO208+CO210+CO211</f>
        <v>#DIV/0!</v>
      </c>
      <c r="CP360" s="345" t="e">
        <f>CP204+CP208+CP210+CP211</f>
        <v>#DIV/0!</v>
      </c>
      <c r="CQ360" s="345" t="e">
        <f>CQ204+CQ208+CQ210+CQ211</f>
        <v>#DIV/0!</v>
      </c>
      <c r="CR360" s="345" t="e">
        <f>CR204+CR208+CR210+CR211</f>
        <v>#DIV/0!</v>
      </c>
      <c r="CS360" s="345" t="e">
        <f>CS204+CS208+CS210+CS211</f>
        <v>#DIV/0!</v>
      </c>
      <c r="CT360" s="345" t="e">
        <f>CT204+CT208+CT210+CT211</f>
        <v>#DIV/0!</v>
      </c>
      <c r="CU360" s="345" t="e">
        <f>CU204+CU208+CU210+CU211</f>
        <v>#DIV/0!</v>
      </c>
      <c r="CV360" s="345" t="e">
        <f>CV204+CV208+CV210+CV211</f>
        <v>#DIV/0!</v>
      </c>
      <c r="CW360" s="345" t="e">
        <f>CW204+CW208+CW210+CW211</f>
        <v>#DIV/0!</v>
      </c>
      <c r="CX360" s="345" t="e">
        <f>CX204+CX208+CX210+CX211</f>
        <v>#DIV/0!</v>
      </c>
      <c r="CY360" s="345" t="e">
        <f>CY204+CY208+CY210+CY211</f>
        <v>#DIV/0!</v>
      </c>
    </row>
    <row r="361" ht="12.75" customFormat="1" customHeight="1" s="331">
      <c r="A361" s="332" t="n"/>
      <c r="B361" s="332" t="n"/>
      <c r="C361" s="331" t="inlineStr">
        <is>
          <t>FIXED ASSETS</t>
        </is>
      </c>
      <c r="D361" s="344">
        <f>D172+D182+D185+D186+D195-D246</f>
        <v>0</v>
      </c>
      <c r="E361" s="344">
        <f>E172+E182+E185+E186+E195-E246</f>
        <v>0</v>
      </c>
      <c r="F361" s="344">
        <f>F172+F182+F185+F186+F195-F246</f>
        <v>0</v>
      </c>
      <c r="G361" s="344">
        <f>G172+G182+G185+G186+G195-G246</f>
        <v>0</v>
      </c>
      <c r="H361" s="344">
        <f>H172+H182+H185+H186+H195-H246</f>
        <v>0</v>
      </c>
      <c r="I361" s="345">
        <f>I172+I182+I185+I186+I195-I246</f>
        <v>206531</v>
      </c>
      <c r="J361" s="345">
        <f>J172+J182+J185+J186+J195-J246</f>
        <v>205173</v>
      </c>
      <c r="K361" s="345">
        <f>K172+K182+K185+K186+K195-K246</f>
        <v>197942</v>
      </c>
      <c r="L361" s="345">
        <f>L172+L182+L185+L186+L195-L246</f>
        <v>199682</v>
      </c>
      <c r="M361" s="345">
        <f>M172+M182+M185+M186+M195-M246</f>
        <v>199682</v>
      </c>
      <c r="N361" s="345">
        <f>N172+N182+N185+N186+N195-N246</f>
        <v>198143</v>
      </c>
      <c r="O361" s="345">
        <f>O172+O182+O185+O186+O195-O246</f>
        <v>209276</v>
      </c>
      <c r="P361" s="345">
        <f>P172+P182+P185+P186+P195-P246</f>
        <v>204056</v>
      </c>
      <c r="Q361" s="345">
        <f>Q172+Q182+Q185+Q186+Q195-Q246</f>
        <v>207271</v>
      </c>
      <c r="R361" s="345">
        <f>R172+R182+R185+R186+R195-R246</f>
        <v>207271</v>
      </c>
      <c r="S361" s="345">
        <f>S172+S182+S185+S186+S195-S246</f>
        <v>208638</v>
      </c>
      <c r="T361" s="345">
        <f>T172+T182+T185+T186+T195-T246</f>
        <v>205272</v>
      </c>
      <c r="U361" s="345">
        <f>U172+U182+U185+U186+U195-U246</f>
        <v>204726</v>
      </c>
      <c r="V361" s="345">
        <f>V172+V182+V185+V186+V195-V246</f>
        <v>205760</v>
      </c>
      <c r="W361" s="345">
        <f>W172+W182+W185+W186+W195-W246</f>
        <v>205760</v>
      </c>
      <c r="X361" s="345">
        <f>X172+X182+X185+X186+X195-X246</f>
        <v>201858</v>
      </c>
      <c r="Y361" s="345">
        <f>Y172+Y182+Y185+Y186+Y195-Y246</f>
        <v>198979</v>
      </c>
      <c r="Z361" s="345">
        <f>Z172+Z182+Z185+Z186+Z195-Z246</f>
        <v>201814</v>
      </c>
      <c r="AA361" s="345">
        <f>AA172+AA182+AA185+AA186+AA195-AA246</f>
        <v>195927</v>
      </c>
      <c r="AB361" s="345">
        <f>AB172+AB182+AB185+AB186+AB195-AB246</f>
        <v>195927</v>
      </c>
      <c r="AC361" s="345">
        <f>AC172+AC182+AC185+AC186+AC195-AC246</f>
        <v>197247</v>
      </c>
      <c r="AD361" s="345">
        <f>AD172+AD182+AD185+AD186+AD195-AD246</f>
        <v>200670</v>
      </c>
      <c r="AE361" s="345">
        <f>AE172+AE182+AE185+AE186+AE195-AE246</f>
        <v>190358</v>
      </c>
      <c r="AF361" s="345">
        <f>AF172+AF182+AF185+AF186+AF195-AF246</f>
        <v>193111</v>
      </c>
      <c r="AG361" s="345">
        <f>AG172+AG182+AG185+AG186+AG195-AG246</f>
        <v>193111</v>
      </c>
      <c r="AH361" s="345">
        <f>AH172+AH182+AH185+AH186+AH195-AH246</f>
        <v>191328</v>
      </c>
      <c r="AI361" s="345">
        <f>AI172+AI182+AI185+AI186+AI195-AI246</f>
        <v>186326</v>
      </c>
      <c r="AJ361" s="345">
        <f>AJ172+AJ182+AJ185+AJ186+AJ195-AJ246</f>
        <v>175877</v>
      </c>
      <c r="AK361" s="345">
        <f>AK172+AK182+AK185+AK186+AK195-AK246</f>
        <v>175877</v>
      </c>
      <c r="AL361" s="345">
        <f>AL172+AL182+AL185+AL186+AL195-AL246</f>
        <v>175877</v>
      </c>
      <c r="AM361" s="345">
        <f>AM172+AM182+AM185+AM186+AM195-AM246</f>
        <v>175877</v>
      </c>
      <c r="AN361" s="345">
        <f>AN172+AN182+AN185+AN186+AN195-AN246</f>
        <v>175877</v>
      </c>
      <c r="AO361" s="345">
        <f>AO172+AO182+AO185+AO186+AO195-AO246</f>
        <v>175877</v>
      </c>
      <c r="AP361" s="345">
        <f>AP172+AP182+AP185+AP186+AP195-AP246</f>
        <v>175877</v>
      </c>
      <c r="AQ361" s="345">
        <f>AQ172+AQ182+AQ185+AQ186+AQ195-AQ246</f>
        <v>175877</v>
      </c>
      <c r="AR361" s="345">
        <f>AR172+AR182+AR185+AR186+AR195-AR246</f>
        <v>175877</v>
      </c>
      <c r="AS361" s="345">
        <f>AS172+AS182+AS185+AS186+AS195-AS246</f>
        <v>175877</v>
      </c>
      <c r="AT361" s="345">
        <f>AT172+AT182+AT185+AT186+AT195-AT246</f>
        <v>175877</v>
      </c>
      <c r="AU361" s="345">
        <f>AU172+AU182+AU185+AU186+AU195-AU246</f>
        <v>175877</v>
      </c>
      <c r="AV361" s="345">
        <f>AV172+AV182+AV185+AV186+AV195-AV246</f>
        <v>175877</v>
      </c>
      <c r="AW361" s="345">
        <f>AW172+AW182+AW185+AW186+AW195-AW246</f>
        <v>175877</v>
      </c>
      <c r="AX361" s="345">
        <f>AX172+AX182+AX185+AX186+AX195-AX246</f>
        <v>175877</v>
      </c>
      <c r="AY361" s="345">
        <f>AY172+AY182+AY185+AY186+AY195-AY246</f>
        <v>175877</v>
      </c>
      <c r="AZ361" s="345">
        <f>AZ172+AZ182+AZ185+AZ186+AZ195-AZ246</f>
        <v>175877</v>
      </c>
      <c r="BA361" s="345">
        <f>BA172+BA182+BA185+BA186+BA195-BA246</f>
        <v>175877</v>
      </c>
      <c r="BB361" s="345">
        <f>BB172+BB182+BB185+BB186+BB195-BB246</f>
        <v>175877</v>
      </c>
      <c r="BC361" s="345">
        <f>BC172+BC182+BC185+BC186+BC195-BC246</f>
        <v>175877</v>
      </c>
      <c r="BD361" s="345">
        <f>BD172+BD182+BD185+BD186+BD195-BD246</f>
        <v>175877</v>
      </c>
      <c r="BE361" s="345">
        <f>BE172+BE182+BE185+BE186+BE195-BE246</f>
        <v>175877</v>
      </c>
      <c r="BF361" s="345">
        <f>BF172+BF182+BF185+BF186+BF195-BF246</f>
        <v>175877</v>
      </c>
      <c r="BG361" s="345">
        <f>BG172+BG182+BG185+BG186+BG195-BG246</f>
        <v>175877</v>
      </c>
      <c r="BH361" s="345">
        <f>BH172+BH182+BH185+BH186+BH195-BH246</f>
        <v>175877</v>
      </c>
      <c r="BI361" s="345">
        <f>BI172+BI182+BI185+BI186+BI195-BI246</f>
        <v>175877</v>
      </c>
      <c r="BJ361" s="345">
        <f>BJ172+BJ182+BJ185+BJ186+BJ195-BJ246</f>
        <v>175877</v>
      </c>
      <c r="BK361" s="345">
        <f>BK172+BK182+BK185+BK186+BK195-BK246</f>
        <v>175877</v>
      </c>
      <c r="BL361" s="345">
        <f>BL172+BL182+BL185+BL186+BL195-BL246</f>
        <v>175877</v>
      </c>
      <c r="BM361" s="345">
        <f>BM172+BM182+BM185+BM186+BM195-BM246</f>
        <v>175877</v>
      </c>
      <c r="BN361" s="345">
        <f>BN172+BN182+BN185+BN186+BN195-BN246</f>
        <v>175877</v>
      </c>
      <c r="BO361" s="345">
        <f>BO172+BO182+BO185+BO186+BO195-BO246</f>
        <v>175877</v>
      </c>
      <c r="BP361" s="345">
        <f>BP172+BP182+BP185+BP186+BP195-BP246</f>
        <v>175877</v>
      </c>
      <c r="BQ361" s="345">
        <f>BQ172+BQ182+BQ185+BQ186+BQ195-BQ246</f>
        <v>175877</v>
      </c>
      <c r="BR361" s="345">
        <f>BR172+BR182+BR185+BR186+BR195-BR246</f>
        <v>175877</v>
      </c>
      <c r="BS361" s="345">
        <f>BS172+BS182+BS185+BS186+BS195-BS246</f>
        <v>175877</v>
      </c>
      <c r="BT361" s="345">
        <f>BT172+BT182+BT185+BT186+BT195-BT246</f>
        <v>175877</v>
      </c>
      <c r="BU361" s="345">
        <f>BU172+BU182+BU185+BU186+BU195-BU246</f>
        <v>175877</v>
      </c>
      <c r="BV361" s="345">
        <f>BV172+BV182+BV185+BV186+BV195-BV246</f>
        <v>175877</v>
      </c>
      <c r="BW361" s="345">
        <f>BW172+BW182+BW185+BW186+BW195-BW246</f>
        <v>175877</v>
      </c>
      <c r="BX361" s="345">
        <f>BX172+BX182+BX185+BX186+BX195-BX246</f>
        <v>175877</v>
      </c>
      <c r="BY361" s="345">
        <f>BY172+BY182+BY185+BY186+BY195-BY246</f>
        <v>175877</v>
      </c>
      <c r="BZ361" s="345">
        <f>BZ172+BZ182+BZ185+BZ186+BZ195-BZ246</f>
        <v>175877</v>
      </c>
      <c r="CA361" s="345">
        <f>CA172+CA182+CA185+CA186+CA195-CA246</f>
        <v>175877</v>
      </c>
      <c r="CB361" s="345">
        <f>CB172+CB182+CB185+CB186+CB195-CB246</f>
        <v>175877</v>
      </c>
      <c r="CC361" s="345">
        <f>CC172+CC182+CC185+CC186+CC195-CC246</f>
        <v>175877</v>
      </c>
      <c r="CD361" s="345">
        <f>CD172+CD182+CD185+CD186+CD195-CD246</f>
        <v>175877</v>
      </c>
      <c r="CE361" s="345">
        <f>CE172+CE182+CE185+CE186+CE195-CE246</f>
        <v>175877</v>
      </c>
      <c r="CF361" s="345">
        <f>CF172+CF182+CF185+CF186+CF195-CF246</f>
        <v>175877</v>
      </c>
      <c r="CG361" s="345">
        <f>CG172+CG182+CG185+CG186+CG195-CG246</f>
        <v>175877</v>
      </c>
      <c r="CH361" s="345">
        <f>CH172+CH182+CH185+CH186+CH195-CH246</f>
        <v>175877</v>
      </c>
      <c r="CI361" s="345">
        <f>CI172+CI182+CI185+CI186+CI195-CI246</f>
        <v>175877</v>
      </c>
      <c r="CJ361" s="345">
        <f>CJ172+CJ182+CJ185+CJ186+CJ195-CJ246</f>
        <v>175877</v>
      </c>
      <c r="CK361" s="345">
        <f>CK172+CK182+CK185+CK186+CK195-CK246</f>
        <v>175877</v>
      </c>
      <c r="CL361" s="345">
        <f>CL172+CL182+CL185+CL186+CL195-CL246</f>
        <v>175877</v>
      </c>
      <c r="CM361" s="345">
        <f>CM172+CM182+CM185+CM186+CM195-CM246</f>
        <v>175877</v>
      </c>
      <c r="CN361" s="345">
        <f>CN172+CN182+CN185+CN186+CN195-CN246</f>
        <v>175877</v>
      </c>
      <c r="CO361" s="345">
        <f>CO172+CO182+CO185+CO186+CO195-CO246</f>
        <v>175877</v>
      </c>
      <c r="CP361" s="345">
        <f>CP172+CP182+CP185+CP186+CP195-CP246</f>
        <v>175877</v>
      </c>
      <c r="CQ361" s="345">
        <f>CQ172+CQ182+CQ185+CQ186+CQ195-CQ246</f>
        <v>175877</v>
      </c>
      <c r="CR361" s="345">
        <f>CR172+CR182+CR185+CR186+CR195-CR246</f>
        <v>175877</v>
      </c>
      <c r="CS361" s="345">
        <f>CS172+CS182+CS185+CS186+CS195-CS246</f>
        <v>175877</v>
      </c>
      <c r="CT361" s="345">
        <f>CT172+CT182+CT185+CT186+CT195-CT246</f>
        <v>175877</v>
      </c>
      <c r="CU361" s="345">
        <f>CU172+CU182+CU185+CU186+CU195-CU246</f>
        <v>175877</v>
      </c>
      <c r="CV361" s="345">
        <f>CV172+CV182+CV185+CV186+CV195-CV246</f>
        <v>175877</v>
      </c>
      <c r="CW361" s="345">
        <f>CW172+CW182+CW185+CW186+CW195-CW246</f>
        <v>175877</v>
      </c>
      <c r="CX361" s="345">
        <f>CX172+CX182+CX185+CX186+CX195-CX246</f>
        <v>175877</v>
      </c>
      <c r="CY361" s="345">
        <f>CY172+CY182+CY185+CY186+CY195-CY246</f>
        <v>175877</v>
      </c>
    </row>
    <row r="362" ht="12.75" customFormat="1" customHeight="1" s="331">
      <c r="A362" s="332" t="n"/>
      <c r="B362" s="332" t="n"/>
    </row>
    <row r="363" ht="12.75" customFormat="1" customHeight="1" s="331">
      <c r="A363" s="332" t="n"/>
      <c r="B363" s="332" t="n"/>
    </row>
    <row r="364" ht="12.75" customFormat="1" customHeight="1" s="331">
      <c r="A364" s="332" t="n"/>
      <c r="B364" s="332" t="n"/>
    </row>
    <row r="365" ht="12.75" customFormat="1" customHeight="1" s="331">
      <c r="A365" s="332" t="n"/>
      <c r="B365" s="332" t="n"/>
    </row>
    <row r="366" ht="12.75" customFormat="1" customHeight="1" s="331">
      <c r="A366" s="332" t="n"/>
      <c r="B366" s="332" t="n"/>
    </row>
    <row r="367" ht="12.75" customFormat="1" customHeight="1" s="331">
      <c r="A367" s="332" t="n"/>
      <c r="B367" s="332" t="n"/>
    </row>
    <row r="368" ht="12.75" customFormat="1" customHeight="1" s="331">
      <c r="A368" s="332" t="n"/>
      <c r="B368" s="332" t="n"/>
    </row>
    <row r="369" ht="12.75" customFormat="1" customHeight="1" s="331">
      <c r="A369" s="332" t="n"/>
      <c r="B369" s="332" t="n"/>
      <c r="C369" s="329" t="inlineStr">
        <is>
          <t>DUPONT ANALYSIS</t>
        </is>
      </c>
    </row>
    <row r="370" ht="12.75" customFormat="1" customHeight="1" s="331">
      <c r="A370" s="332" t="n"/>
      <c r="B370" s="332" t="n"/>
      <c r="C370" s="331" t="inlineStr">
        <is>
          <t>NET PROFIT MARGIN</t>
        </is>
      </c>
      <c r="D370" s="339" t="str">
        <f>IFERROR(D143/D15,"")</f>
        <v/>
      </c>
      <c r="E370" s="339" t="str">
        <f>IFERROR(E143/E15,"")</f>
        <v/>
      </c>
      <c r="F370" s="339" t="str">
        <f>IFERROR(F143/F15,"")</f>
        <v/>
      </c>
      <c r="G370" s="339" t="str">
        <f>IFERROR(G143/G15,"")</f>
        <v/>
      </c>
      <c r="I370" s="336">
        <f>IFERROR(I143/I15,"")</f>
        <v>0.101679691008713</v>
      </c>
      <c r="J370" s="336">
        <f>IFERROR(J143/J15,"")</f>
        <v>0.05664711228621</v>
      </c>
      <c r="K370" s="336">
        <f>IFERROR(K143/K15,"")</f>
        <v>-0.00744454067017521</v>
      </c>
      <c r="L370" s="336">
        <f>IFERROR(L143/L15,"")</f>
        <v>0.134392589118199</v>
      </c>
      <c r="N370" s="336">
        <f>IFERROR(N143/N15,"")</f>
        <v>0.0845090494513325</v>
      </c>
      <c r="O370" s="336">
        <f>IFERROR(O143/O15,"")</f>
        <v>0.180293626760211</v>
      </c>
      <c r="P370" s="336">
        <f>IFERROR(P143/P15,"")</f>
        <v>0.0704237119969921</v>
      </c>
      <c r="Q370" s="336">
        <f>IFERROR(Q143/Q15,"")</f>
        <v>0.102751152483145</v>
      </c>
      <c r="S370" s="336">
        <f>IFERROR(S143/S15,"")</f>
        <v>0.100150645706597</v>
      </c>
      <c r="T370" s="336">
        <f>IFERROR(T143/T15,"")</f>
        <v>0.0420231167368393</v>
      </c>
      <c r="U370" s="336">
        <f>IFERROR(U143/U15,"")</f>
        <v>0.0922593320235756</v>
      </c>
      <c r="V370" s="336">
        <f>IFERROR(V143/V15,"")</f>
        <v>0.00602042371589697</v>
      </c>
      <c r="X370" s="336">
        <f>IFERROR(X143/X15,"")</f>
        <v>0.101520461381385</v>
      </c>
      <c r="Y370" s="336">
        <f>IFERROR(Y143/Y15,"")</f>
        <v>0.0472315109517478</v>
      </c>
      <c r="Z370" s="336">
        <f>IFERROR(Z143/Z15,"")</f>
        <v>0.0603609559847515</v>
      </c>
      <c r="AA370" s="336">
        <f>IFERROR(AA143/AA15,"")</f>
        <v>0.0140009957604743</v>
      </c>
      <c r="AC370" s="336">
        <f>IFERROR(AC143/AC15,"")</f>
        <v>0.0690412225207268</v>
      </c>
      <c r="AD370" s="336">
        <f>IFERROR(AD143/AD15,"")</f>
        <v>0.0550561110601474</v>
      </c>
      <c r="AE370" s="336">
        <f>IFERROR(AE143/AE15,"")</f>
        <v>0.0780890056197086</v>
      </c>
      <c r="AF370" s="336">
        <f>IFERROR(AF143/AF15,"")</f>
        <v>0.0645000234034918</v>
      </c>
      <c r="AH370" s="336">
        <f>IFERROR(AH143/AH15,"")</f>
        <v>0.0817035198232197</v>
      </c>
      <c r="AI370" s="336">
        <f>IFERROR(AI143/AI15,"")</f>
        <v>0.114309558015719</v>
      </c>
      <c r="AJ370" s="336">
        <f>IFERROR(AJ143/AJ15,"")</f>
        <v>0.00503279386087186</v>
      </c>
      <c r="AK370" s="336">
        <f>IFERROR(AK143/AK15,"")</f>
        <v>0.0256658293417378</v>
      </c>
      <c r="AM370" s="336">
        <f>IFERROR(AM143/AM15,"")</f>
        <v>0.0233459126716506</v>
      </c>
      <c r="AN370" s="336">
        <f>IFERROR(AN143/AN15,"")</f>
        <v>0.0452125411983436</v>
      </c>
      <c r="AO370" s="336">
        <f>IFERROR(AO143/AO15,"")</f>
        <v>0.023373879359676</v>
      </c>
      <c r="AP370" s="336">
        <f>IFERROR(AP143/AP15,"")</f>
        <v>0.0658106189443465</v>
      </c>
      <c r="AR370" s="336">
        <f>IFERROR(AR143/AR15,"")</f>
        <v>0.0602660314818269</v>
      </c>
      <c r="AS370" s="336">
        <f>IFERROR(AS143/AS15,"")</f>
        <v>0.125982422040057</v>
      </c>
      <c r="AT370" s="336">
        <f>IFERROR(AT143/AT15,"")</f>
        <v>0.0611271697504145</v>
      </c>
      <c r="AU370" s="336">
        <f>IFERROR(AU143/AU15,"")</f>
        <v>0.185106017817858</v>
      </c>
      <c r="AW370" s="336">
        <f>IFERROR(AW143/AW15,"")</f>
        <v>0.169978906888981</v>
      </c>
      <c r="AX370" s="336">
        <f>IFERROR(AX143/AX15,"")</f>
        <v>0.341882869939998</v>
      </c>
      <c r="AY370" s="336">
        <f>IFERROR(AY143/AY15,"")</f>
        <v>0.1733159215295</v>
      </c>
      <c r="AZ370" s="336">
        <f>IFERROR(AZ143/AZ15,"")</f>
        <v>0.5039863947701</v>
      </c>
      <c r="BB370" s="336">
        <f>IFERROR(BB143/BB15,"")</f>
        <v>0.463244895323643</v>
      </c>
      <c r="BC370" s="336">
        <f>IFERROR(BC143/BC15,"")</f>
        <v>0.935223527423308</v>
      </c>
      <c r="BD370" s="336">
        <f>IFERROR(BD143/BD15,"")</f>
        <v>0.473200005869147</v>
      </c>
      <c r="BE370" s="336">
        <f>IFERROR(BE143/BE15,"")</f>
        <v>1.38033794642161</v>
      </c>
      <c r="BG370" s="336">
        <f>IFERROR(BG143/BG15,"")</f>
        <v>1.26920262300728</v>
      </c>
      <c r="BH370" s="336">
        <f>IFERROR(BH143/BH15,"")</f>
        <v>2.55370573818981</v>
      </c>
      <c r="BI370" s="336">
        <f>IFERROR(BI143/BI15,"")</f>
        <v>1.29734567810661</v>
      </c>
      <c r="BJ370" s="336">
        <f>IFERROR(BJ143/BJ15,"")</f>
        <v>3.7708018036291</v>
      </c>
      <c r="BL370" s="336">
        <f>IFERROR(BL143/BL15,"")</f>
        <v>3.46765005524386</v>
      </c>
      <c r="BM370" s="336">
        <f>IFERROR(BM143/BM15,"")</f>
        <v>6.97735147468943</v>
      </c>
      <c r="BN370" s="336">
        <f>IFERROR(BN143/BN15,"")</f>
        <v>3.54540519126084</v>
      </c>
      <c r="BO370" s="336">
        <f>IFERROR(BO143/BO15,"")</f>
        <v>10.3044326213471</v>
      </c>
      <c r="BQ370" s="336">
        <f>IFERROR(BQ143/BQ15,"")</f>
        <v>9.4764603750843</v>
      </c>
      <c r="BR370" s="336">
        <f>IFERROR(BR143/BR15,"")</f>
        <v>19.0616073692217</v>
      </c>
      <c r="BS370" s="336">
        <f>IFERROR(BS143/BS15,"")</f>
        <v>9.68981556204422</v>
      </c>
      <c r="BT370" s="336">
        <f>IFERROR(BT143/BT15,"")</f>
        <v>28.1526219711981</v>
      </c>
      <c r="BV370" s="336">
        <f>IFERROR(BV143/BV15,"")</f>
        <v>25.8909758792384</v>
      </c>
      <c r="BW370" s="336">
        <f>IFERROR(BW143/BW15,"")</f>
        <v>52.0774106312854</v>
      </c>
      <c r="BX370" s="336">
        <f>IFERROR(BX143/BX15,"")</f>
        <v>26.4747553299194</v>
      </c>
      <c r="BY370" s="336">
        <f>IFERROR(BY143/BY15,"")</f>
        <v>76.9162623063361</v>
      </c>
      <c r="CA370" s="336">
        <f>IFERROR(CA143/CA15,"")</f>
        <v>70.7376275272273</v>
      </c>
      <c r="CB370" s="336">
        <f>IFERROR(CB143/CB15,"")</f>
        <v>142.277528944477</v>
      </c>
      <c r="CC370" s="336">
        <f>IFERROR(CC143/CC15,"")</f>
        <v>72.3334556072367</v>
      </c>
      <c r="CD370" s="336">
        <f>IFERROR(CD143/CD15,"")</f>
        <v>210.139921676314</v>
      </c>
      <c r="CF370" s="336">
        <f>IFERROR(CF143/CF15,"")</f>
        <v>193.259961831513</v>
      </c>
      <c r="CG370" s="336">
        <f>IFERROR(CG143/CG15,"")</f>
        <v>388.709372094989</v>
      </c>
      <c r="CH370" s="336">
        <f>IFERROR(CH143/CH15,"")</f>
        <v>197.620735697622</v>
      </c>
      <c r="CI370" s="336">
        <f>IFERROR(CI143/CI15,"")</f>
        <v>574.114521086546</v>
      </c>
      <c r="CK370" s="336">
        <f>IFERROR(CK143/CK15,"")</f>
        <v>527.997933736064</v>
      </c>
      <c r="CL370" s="336">
        <f>IFERROR(CL143/CL15,"")</f>
        <v>1061.9732950224</v>
      </c>
      <c r="CM370" s="336">
        <f>IFERROR(CM143/CM15,"")</f>
        <v>539.912696433026</v>
      </c>
      <c r="CN370" s="336">
        <f>IFERROR(CN143/CN15,"")</f>
        <v>1568.51103864697</v>
      </c>
      <c r="CP370" s="336">
        <f>IFERROR(CP143/CP15,"")</f>
        <v>1442.51854615374</v>
      </c>
      <c r="CQ370" s="336">
        <f>IFERROR(CQ143/CQ15,"")</f>
        <v>2901.36482717823</v>
      </c>
      <c r="CR370" s="336">
        <f>IFERROR(CR143/CR15,"")</f>
        <v>1475.0711780846</v>
      </c>
      <c r="CS370" s="336">
        <f>IFERROR(CS143/CS15,"")</f>
        <v>4285.25327258827</v>
      </c>
      <c r="CU370" s="336">
        <f>IFERROR(CU143/CU15,"")</f>
        <v>3941.03571479818</v>
      </c>
      <c r="CV370" s="336">
        <f>IFERROR(CV143/CV15,"")</f>
        <v>7926.67573734471</v>
      </c>
      <c r="CW370" s="336">
        <f>IFERROR(CW143/CW15,"")</f>
        <v>4029.97206285857</v>
      </c>
      <c r="CX370" s="336">
        <f>IFERROR(CX143/CX15,"")</f>
        <v>11707.5307755917</v>
      </c>
    </row>
    <row r="371" ht="12.75" customFormat="1" customHeight="1" s="331">
      <c r="A371" s="332" t="n"/>
      <c r="B371" s="332" t="n"/>
      <c r="C371" s="331" t="inlineStr">
        <is>
          <t>ASSET TURNOVER</t>
        </is>
      </c>
      <c r="D371" s="339" t="str">
        <f>IFERROR(D143/D203,"")</f>
        <v/>
      </c>
      <c r="E371" s="339" t="str">
        <f>IFERROR(E143/E203,"")</f>
        <v/>
      </c>
      <c r="F371" s="339" t="str">
        <f>IFERROR(F143/F203,"")</f>
        <v/>
      </c>
      <c r="G371" s="339" t="str">
        <f>IFERROR(G143/G203,"")</f>
        <v/>
      </c>
      <c r="I371" s="336">
        <f>IFERROR(I143/I203,"")</f>
        <v>0.0146860404774261</v>
      </c>
      <c r="J371" s="336">
        <f>IFERROR(J143/J203,"")</f>
        <v>0.00861616108300218</v>
      </c>
      <c r="K371" s="336">
        <f>IFERROR(K143/K203,"")</f>
        <v>-0.00109352715103151</v>
      </c>
      <c r="L371" s="336">
        <f>IFERROR(L143/L203,"")</f>
        <v>0.0283422235081446</v>
      </c>
      <c r="N371" s="336">
        <f>IFERROR(N143/N203,"")</f>
        <v>0.0167440415824484</v>
      </c>
      <c r="O371" s="336">
        <f>IFERROR(O143/O203,"")</f>
        <v>0.0402770273589076</v>
      </c>
      <c r="P371" s="336">
        <f>IFERROR(P143/P203,"")</f>
        <v>0.0154175755330873</v>
      </c>
      <c r="Q371" s="336">
        <f>IFERROR(Q143/Q203,"")</f>
        <v>0.0234953411101882</v>
      </c>
      <c r="S371" s="336">
        <f>IFERROR(S143/S203,"")</f>
        <v>0.0202934144852431</v>
      </c>
      <c r="T371" s="336">
        <f>IFERROR(T143/T203,"")</f>
        <v>0.00755120677150974</v>
      </c>
      <c r="U371" s="336">
        <f>IFERROR(U143/U203,"")</f>
        <v>0.0170351489003574</v>
      </c>
      <c r="V371" s="336">
        <f>IFERROR(V143/V203,"")</f>
        <v>0.00116671179265021</v>
      </c>
      <c r="X371" s="336">
        <f>IFERROR(X143/X203,"")</f>
        <v>0.0183017070483212</v>
      </c>
      <c r="Y371" s="336">
        <f>IFERROR(Y143/Y203,"")</f>
        <v>0.0089086916103277</v>
      </c>
      <c r="Z371" s="336">
        <f>IFERROR(Z143/Z203,"")</f>
        <v>0.0108646939225065</v>
      </c>
      <c r="AA371" s="336">
        <f>IFERROR(AA143/AA203,"")</f>
        <v>0.00239417760773154</v>
      </c>
      <c r="AC371" s="336">
        <f>IFERROR(AC143/AC203,"")</f>
        <v>0.0122800887865834</v>
      </c>
      <c r="AD371" s="336">
        <f>IFERROR(AD143/AD203,"")</f>
        <v>0.0092828418230563</v>
      </c>
      <c r="AE371" s="336">
        <f>IFERROR(AE143/AE203,"")</f>
        <v>0.0140891305613944</v>
      </c>
      <c r="AF371" s="336">
        <f>IFERROR(AF143/AF203,"")</f>
        <v>0.0111623837926724</v>
      </c>
      <c r="AH371" s="336">
        <f>IFERROR(AH143/AH203,"")</f>
        <v>0.0149606671606262</v>
      </c>
      <c r="AI371" s="336">
        <f>IFERROR(AI143/AI203,"")</f>
        <v>0.0284379245912755</v>
      </c>
      <c r="AJ371" s="336">
        <f>IFERROR(AJ143/AJ203,"")</f>
        <v>0.00108591382972998</v>
      </c>
      <c r="AK371" s="336">
        <f>IFERROR(AK143/AK203,"")</f>
        <v>0.00518022131668945</v>
      </c>
      <c r="AM371" s="336" t="str">
        <f>IFERROR(AM143/AM203,"")</f>
        <v/>
      </c>
      <c r="AN371" s="336" t="str">
        <f>IFERROR(AN143/AN203,"")</f>
        <v/>
      </c>
      <c r="AO371" s="336" t="str">
        <f>IFERROR(AO143/AO203,"")</f>
        <v/>
      </c>
      <c r="AP371" s="336" t="str">
        <f>IFERROR(AP143/AP203,"")</f>
        <v/>
      </c>
      <c r="AR371" s="336" t="str">
        <f>IFERROR(AR143/AR203,"")</f>
        <v/>
      </c>
      <c r="AS371" s="336" t="str">
        <f>IFERROR(AS143/AS203,"")</f>
        <v/>
      </c>
      <c r="AT371" s="336" t="str">
        <f>IFERROR(AT143/AT203,"")</f>
        <v/>
      </c>
      <c r="AU371" s="336" t="str">
        <f>IFERROR(AU143/AU203,"")</f>
        <v/>
      </c>
      <c r="AW371" s="336" t="str">
        <f>IFERROR(AW143/AW203,"")</f>
        <v/>
      </c>
      <c r="AX371" s="336" t="str">
        <f>IFERROR(AX143/AX203,"")</f>
        <v/>
      </c>
      <c r="AY371" s="336" t="str">
        <f>IFERROR(AY143/AY203,"")</f>
        <v/>
      </c>
      <c r="AZ371" s="336" t="str">
        <f>IFERROR(AZ143/AZ203,"")</f>
        <v/>
      </c>
      <c r="BB371" s="336" t="str">
        <f>IFERROR(BB143/BB203,"")</f>
        <v/>
      </c>
      <c r="BC371" s="336" t="str">
        <f>IFERROR(BC143/BC203,"")</f>
        <v/>
      </c>
      <c r="BD371" s="336" t="str">
        <f>IFERROR(BD143/BD203,"")</f>
        <v/>
      </c>
      <c r="BE371" s="336" t="str">
        <f>IFERROR(BE143/BE203,"")</f>
        <v/>
      </c>
      <c r="BG371" s="336" t="str">
        <f>IFERROR(BG143/BG203,"")</f>
        <v/>
      </c>
      <c r="BH371" s="336" t="str">
        <f>IFERROR(BH143/BH203,"")</f>
        <v/>
      </c>
      <c r="BI371" s="336" t="str">
        <f>IFERROR(BI143/BI203,"")</f>
        <v/>
      </c>
      <c r="BJ371" s="336" t="str">
        <f>IFERROR(BJ143/BJ203,"")</f>
        <v/>
      </c>
      <c r="BL371" s="336" t="str">
        <f>IFERROR(BL143/BL203,"")</f>
        <v/>
      </c>
      <c r="BM371" s="336" t="str">
        <f>IFERROR(BM143/BM203,"")</f>
        <v/>
      </c>
      <c r="BN371" s="336" t="str">
        <f>IFERROR(BN143/BN203,"")</f>
        <v/>
      </c>
      <c r="BO371" s="336" t="str">
        <f>IFERROR(BO143/BO203,"")</f>
        <v/>
      </c>
      <c r="BQ371" s="336" t="str">
        <f>IFERROR(BQ143/BQ203,"")</f>
        <v/>
      </c>
      <c r="BR371" s="336" t="str">
        <f>IFERROR(BR143/BR203,"")</f>
        <v/>
      </c>
      <c r="BS371" s="336" t="str">
        <f>IFERROR(BS143/BS203,"")</f>
        <v/>
      </c>
      <c r="BT371" s="336" t="str">
        <f>IFERROR(BT143/BT203,"")</f>
        <v/>
      </c>
      <c r="BV371" s="336" t="str">
        <f>IFERROR(BV143/BV203,"")</f>
        <v/>
      </c>
      <c r="BW371" s="336" t="str">
        <f>IFERROR(BW143/BW203,"")</f>
        <v/>
      </c>
      <c r="BX371" s="336" t="str">
        <f>IFERROR(BX143/BX203,"")</f>
        <v/>
      </c>
      <c r="BY371" s="336" t="str">
        <f>IFERROR(BY143/BY203,"")</f>
        <v/>
      </c>
      <c r="CA371" s="336" t="str">
        <f>IFERROR(CA143/CA203,"")</f>
        <v/>
      </c>
      <c r="CB371" s="336" t="str">
        <f>IFERROR(CB143/CB203,"")</f>
        <v/>
      </c>
      <c r="CC371" s="336" t="str">
        <f>IFERROR(CC143/CC203,"")</f>
        <v/>
      </c>
      <c r="CD371" s="336" t="str">
        <f>IFERROR(CD143/CD203,"")</f>
        <v/>
      </c>
      <c r="CF371" s="336" t="str">
        <f>IFERROR(CF143/CF203,"")</f>
        <v/>
      </c>
      <c r="CG371" s="336" t="str">
        <f>IFERROR(CG143/CG203,"")</f>
        <v/>
      </c>
      <c r="CH371" s="336" t="str">
        <f>IFERROR(CH143/CH203,"")</f>
        <v/>
      </c>
      <c r="CI371" s="336" t="str">
        <f>IFERROR(CI143/CI203,"")</f>
        <v/>
      </c>
      <c r="CK371" s="336" t="str">
        <f>IFERROR(CK143/CK203,"")</f>
        <v/>
      </c>
      <c r="CL371" s="336" t="str">
        <f>IFERROR(CL143/CL203,"")</f>
        <v/>
      </c>
      <c r="CM371" s="336" t="str">
        <f>IFERROR(CM143/CM203,"")</f>
        <v/>
      </c>
      <c r="CN371" s="336" t="str">
        <f>IFERROR(CN143/CN203,"")</f>
        <v/>
      </c>
      <c r="CP371" s="336" t="str">
        <f>IFERROR(CP143/CP203,"")</f>
        <v/>
      </c>
      <c r="CQ371" s="336" t="str">
        <f>IFERROR(CQ143/CQ203,"")</f>
        <v/>
      </c>
      <c r="CR371" s="336" t="str">
        <f>IFERROR(CR143/CR203,"")</f>
        <v/>
      </c>
      <c r="CS371" s="336" t="str">
        <f>IFERROR(CS143/CS203,"")</f>
        <v/>
      </c>
      <c r="CU371" s="336" t="str">
        <f>IFERROR(CU143/CU203,"")</f>
        <v/>
      </c>
      <c r="CV371" s="336" t="str">
        <f>IFERROR(CV143/CV203,"")</f>
        <v/>
      </c>
      <c r="CW371" s="336" t="str">
        <f>IFERROR(CW143/CW203,"")</f>
        <v/>
      </c>
      <c r="CX371" s="336" t="str">
        <f>IFERROR(CX143/CX203,"")</f>
        <v/>
      </c>
    </row>
    <row r="372" ht="12.75" customFormat="1" customHeight="1" s="331">
      <c r="A372" s="332" t="n"/>
      <c r="B372" s="332" t="n"/>
      <c r="C372" s="331" t="inlineStr">
        <is>
          <t>EQUITY MULTIPLIER</t>
        </is>
      </c>
      <c r="D372" s="339" t="str">
        <f>IFERROR(D203/D277,"")</f>
        <v/>
      </c>
      <c r="E372" s="339" t="str">
        <f>IFERROR(E203/E277,"")</f>
        <v/>
      </c>
      <c r="F372" s="339" t="str">
        <f>IFERROR(F203/F277,"")</f>
        <v/>
      </c>
      <c r="G372" s="339" t="str">
        <f>IFERROR(G203/G277,"")</f>
        <v/>
      </c>
      <c r="I372" s="336">
        <f>IFERROR(I203/I277,"")</f>
        <v>2.30843411019868</v>
      </c>
      <c r="J372" s="336">
        <f>IFERROR(J203/J277,"")</f>
        <v>2.3233475236944</v>
      </c>
      <c r="K372" s="336">
        <f>IFERROR(K203/K277,"")</f>
        <v>2.4523736673806</v>
      </c>
      <c r="L372" s="336">
        <f>IFERROR(L203/L277,"")</f>
        <v>2.30644057356011</v>
      </c>
      <c r="N372" s="336">
        <f>IFERROR(N203/N277,"")</f>
        <v>2.36718040694468</v>
      </c>
      <c r="O372" s="336">
        <f>IFERROR(O203/O277,"")</f>
        <v>2.30519971796046</v>
      </c>
      <c r="P372" s="336">
        <f>IFERROR(P203/P277,"")</f>
        <v>2.29900440500846</v>
      </c>
      <c r="Q372" s="336">
        <f>IFERROR(Q203/Q277,"")</f>
        <v>2.30026428241354</v>
      </c>
      <c r="S372" s="336">
        <f>IFERROR(S203/S277,"")</f>
        <v>2.19481309869023</v>
      </c>
      <c r="T372" s="336">
        <f>IFERROR(T203/T277,"")</f>
        <v>2.16057242808208</v>
      </c>
      <c r="U372" s="336">
        <f>IFERROR(U203/U277,"")</f>
        <v>2.14309851563148</v>
      </c>
      <c r="V372" s="336">
        <f>IFERROR(V203/V277,"")</f>
        <v>2.15685754026821</v>
      </c>
      <c r="X372" s="336">
        <f>IFERROR(X203/X277,"")</f>
        <v>2.13505289319398</v>
      </c>
      <c r="Y372" s="336">
        <f>IFERROR(Y203/Y277,"")</f>
        <v>2.10899620706234</v>
      </c>
      <c r="Z372" s="336">
        <f>IFERROR(Z203/Z277,"")</f>
        <v>2.0837457396406</v>
      </c>
      <c r="AA372" s="336">
        <f>IFERROR(AA203/AA277,"")</f>
        <v>2.1514120468018</v>
      </c>
      <c r="AC372" s="336">
        <f>IFERROR(AC203/AC277,"")</f>
        <v>2.15448139968672</v>
      </c>
      <c r="AD372" s="336">
        <f>IFERROR(AD203/AD277,"")</f>
        <v>2.11876256226514</v>
      </c>
      <c r="AE372" s="336">
        <f>IFERROR(AE203/AE277,"")</f>
        <v>2.12424784334897</v>
      </c>
      <c r="AF372" s="336">
        <f>IFERROR(AF203/AF277,"")</f>
        <v>2.11242870180242</v>
      </c>
      <c r="AH372" s="336">
        <f>IFERROR(AH203/AH277,"")</f>
        <v>2.17981569406819</v>
      </c>
      <c r="AI372" s="336">
        <f>IFERROR(AI203/AI277,"")</f>
        <v>2.09324956953697</v>
      </c>
      <c r="AJ372" s="336">
        <f>IFERROR(AJ203/AJ277,"")</f>
        <v>1.73339662609345</v>
      </c>
      <c r="AK372" s="336">
        <f>IFERROR(AK203/AK277,"")</f>
        <v>1.72665336327503</v>
      </c>
      <c r="AM372" s="336" t="str">
        <f>IFERROR(AM203/AM277,"")</f>
        <v/>
      </c>
      <c r="AN372" s="336" t="str">
        <f>IFERROR(AN203/AN277,"")</f>
        <v/>
      </c>
      <c r="AO372" s="336" t="str">
        <f>IFERROR(AO203/AO277,"")</f>
        <v/>
      </c>
      <c r="AP372" s="336" t="str">
        <f>IFERROR(AP203/AP277,"")</f>
        <v/>
      </c>
      <c r="AR372" s="336" t="str">
        <f>IFERROR(AR203/AR277,"")</f>
        <v/>
      </c>
      <c r="AS372" s="336" t="str">
        <f>IFERROR(AS203/AS277,"")</f>
        <v/>
      </c>
      <c r="AT372" s="336" t="str">
        <f>IFERROR(AT203/AT277,"")</f>
        <v/>
      </c>
      <c r="AU372" s="336" t="str">
        <f>IFERROR(AU203/AU277,"")</f>
        <v/>
      </c>
      <c r="AW372" s="336" t="str">
        <f>IFERROR(AW203/AW277,"")</f>
        <v/>
      </c>
      <c r="AX372" s="336" t="str">
        <f>IFERROR(AX203/AX277,"")</f>
        <v/>
      </c>
      <c r="AY372" s="336" t="str">
        <f>IFERROR(AY203/AY277,"")</f>
        <v/>
      </c>
      <c r="AZ372" s="336" t="str">
        <f>IFERROR(AZ203/AZ277,"")</f>
        <v/>
      </c>
      <c r="BB372" s="336" t="str">
        <f>IFERROR(BB203/BB277,"")</f>
        <v/>
      </c>
      <c r="BC372" s="336" t="str">
        <f>IFERROR(BC203/BC277,"")</f>
        <v/>
      </c>
      <c r="BD372" s="336" t="str">
        <f>IFERROR(BD203/BD277,"")</f>
        <v/>
      </c>
      <c r="BE372" s="336" t="str">
        <f>IFERROR(BE203/BE277,"")</f>
        <v/>
      </c>
      <c r="BG372" s="336" t="str">
        <f>IFERROR(BG203/BG277,"")</f>
        <v/>
      </c>
      <c r="BH372" s="336" t="str">
        <f>IFERROR(BH203/BH277,"")</f>
        <v/>
      </c>
      <c r="BI372" s="336" t="str">
        <f>IFERROR(BI203/BI277,"")</f>
        <v/>
      </c>
      <c r="BJ372" s="336" t="str">
        <f>IFERROR(BJ203/BJ277,"")</f>
        <v/>
      </c>
      <c r="BL372" s="336" t="str">
        <f>IFERROR(BL203/BL277,"")</f>
        <v/>
      </c>
      <c r="BM372" s="336" t="str">
        <f>IFERROR(BM203/BM277,"")</f>
        <v/>
      </c>
      <c r="BN372" s="336" t="str">
        <f>IFERROR(BN203/BN277,"")</f>
        <v/>
      </c>
      <c r="BO372" s="336" t="str">
        <f>IFERROR(BO203/BO277,"")</f>
        <v/>
      </c>
      <c r="BQ372" s="336" t="str">
        <f>IFERROR(BQ203/BQ277,"")</f>
        <v/>
      </c>
      <c r="BR372" s="336" t="str">
        <f>IFERROR(BR203/BR277,"")</f>
        <v/>
      </c>
      <c r="BS372" s="336" t="str">
        <f>IFERROR(BS203/BS277,"")</f>
        <v/>
      </c>
      <c r="BT372" s="336" t="str">
        <f>IFERROR(BT203/BT277,"")</f>
        <v/>
      </c>
      <c r="BV372" s="336" t="str">
        <f>IFERROR(BV203/BV277,"")</f>
        <v/>
      </c>
      <c r="BW372" s="336" t="str">
        <f>IFERROR(BW203/BW277,"")</f>
        <v/>
      </c>
      <c r="BX372" s="336" t="str">
        <f>IFERROR(BX203/BX277,"")</f>
        <v/>
      </c>
      <c r="BY372" s="336" t="str">
        <f>IFERROR(BY203/BY277,"")</f>
        <v/>
      </c>
      <c r="CA372" s="336" t="str">
        <f>IFERROR(CA203/CA277,"")</f>
        <v/>
      </c>
      <c r="CB372" s="336" t="str">
        <f>IFERROR(CB203/CB277,"")</f>
        <v/>
      </c>
      <c r="CC372" s="336" t="str">
        <f>IFERROR(CC203/CC277,"")</f>
        <v/>
      </c>
      <c r="CD372" s="336" t="str">
        <f>IFERROR(CD203/CD277,"")</f>
        <v/>
      </c>
      <c r="CF372" s="336" t="str">
        <f>IFERROR(CF203/CF277,"")</f>
        <v/>
      </c>
      <c r="CG372" s="336" t="str">
        <f>IFERROR(CG203/CG277,"")</f>
        <v/>
      </c>
      <c r="CH372" s="336" t="str">
        <f>IFERROR(CH203/CH277,"")</f>
        <v/>
      </c>
      <c r="CI372" s="336" t="str">
        <f>IFERROR(CI203/CI277,"")</f>
        <v/>
      </c>
      <c r="CK372" s="336" t="str">
        <f>IFERROR(CK203/CK277,"")</f>
        <v/>
      </c>
      <c r="CL372" s="336" t="str">
        <f>IFERROR(CL203/CL277,"")</f>
        <v/>
      </c>
      <c r="CM372" s="336" t="str">
        <f>IFERROR(CM203/CM277,"")</f>
        <v/>
      </c>
      <c r="CN372" s="336" t="str">
        <f>IFERROR(CN203/CN277,"")</f>
        <v/>
      </c>
      <c r="CP372" s="336" t="str">
        <f>IFERROR(CP203/CP277,"")</f>
        <v/>
      </c>
      <c r="CQ372" s="336" t="str">
        <f>IFERROR(CQ203/CQ277,"")</f>
        <v/>
      </c>
      <c r="CR372" s="336" t="str">
        <f>IFERROR(CR203/CR277,"")</f>
        <v/>
      </c>
      <c r="CS372" s="336" t="str">
        <f>IFERROR(CS203/CS277,"")</f>
        <v/>
      </c>
      <c r="CU372" s="336" t="str">
        <f>IFERROR(CU203/CU277,"")</f>
        <v/>
      </c>
      <c r="CV372" s="336" t="str">
        <f>IFERROR(CV203/CV277,"")</f>
        <v/>
      </c>
      <c r="CW372" s="336" t="str">
        <f>IFERROR(CW203/CW277,"")</f>
        <v/>
      </c>
      <c r="CX372" s="336" t="str">
        <f>IFERROR(CX203/CX277,"")</f>
        <v/>
      </c>
    </row>
    <row r="373" ht="12.75" customFormat="1" customHeight="1" s="331">
      <c r="A373" s="332" t="n"/>
      <c r="B373" s="332" t="n"/>
      <c r="C373" s="331" t="inlineStr">
        <is>
          <t>ROE - DUPONT</t>
        </is>
      </c>
      <c r="D373" s="339">
        <f>IFERROR(PRODUCT(D370:D372),"")</f>
        <v>0</v>
      </c>
      <c r="E373" s="339">
        <f>IFERROR(PRODUCT(E370:E372),"")</f>
        <v>0</v>
      </c>
      <c r="F373" s="339">
        <f>IFERROR(PRODUCT(F370:F372),"")</f>
        <v>0</v>
      </c>
      <c r="G373" s="339">
        <f>IFERROR(PRODUCT(G370:G372),"")</f>
        <v>0</v>
      </c>
      <c r="I373" s="336">
        <f>IFERROR(PRODUCT(I370:I372),"")</f>
        <v>0.00344712015423092</v>
      </c>
      <c r="J373" s="336">
        <f>IFERROR(PRODUCT(J370:J372),"")</f>
        <v>0.00113398095640188</v>
      </c>
      <c r="K373" s="336">
        <f>IFERROR(PRODUCT(K370:K372),"")</f>
        <v>1.99643015758555e-05</v>
      </c>
      <c r="L373" s="336">
        <f>IFERROR(PRODUCT(L370:L372),"")</f>
        <v>0.00878519708362523</v>
      </c>
      <c r="N373" s="336">
        <f>IFERROR(PRODUCT(N370:N372),"")</f>
        <v>0.00334961481118057</v>
      </c>
      <c r="O373" s="336">
        <f>IFERROR(PRODUCT(O370:O372),"")</f>
        <v>0.0167396488234845</v>
      </c>
      <c r="P373" s="336">
        <f>IFERROR(PRODUCT(P370:P372),"")</f>
        <v>0.00249617368767396</v>
      </c>
      <c r="Q373" s="336">
        <f>IFERROR(PRODUCT(Q370:Q372),"")</f>
        <v>0.0055532367907966</v>
      </c>
      <c r="S373" s="336">
        <f>IFERROR(PRODUCT(S370:S372),"")</f>
        <v>0.00446073499066008</v>
      </c>
      <c r="T373" s="336">
        <f>IFERROR(PRODUCT(T370:T372),"")</f>
        <v>0.000685604172193063</v>
      </c>
      <c r="U373" s="336">
        <f>IFERROR(PRODUCT(U370:U372),"")</f>
        <v>0.00336820390773523</v>
      </c>
      <c r="V373" s="336">
        <f>IFERROR(PRODUCT(V370:V372),"")</f>
        <v>1.51499816382028e-05</v>
      </c>
      <c r="X373" s="336">
        <f>IFERROR(PRODUCT(X370:X372),"")</f>
        <v>0.00396692345804778</v>
      </c>
      <c r="Y373" s="336">
        <f>IFERROR(PRODUCT(Y370:Y372),"")</f>
        <v>0.000887404369983959</v>
      </c>
      <c r="Z373" s="336">
        <f>IFERROR(PRODUCT(Z370:Z372),"")</f>
        <v>0.00136652735668082</v>
      </c>
      <c r="AA373" s="336">
        <f>IFERROR(PRODUCT(AA370:AA372),"")</f>
        <v>7.21172046897282e-05</v>
      </c>
      <c r="AC373" s="336">
        <f>IFERROR(PRODUCT(AC370:AC372),"")</f>
        <v>0.00182663901194491</v>
      </c>
      <c r="AD373" s="336">
        <f>IFERROR(PRODUCT(AD370:AD372),"")</f>
        <v>0.00108285117499558</v>
      </c>
      <c r="AE373" s="336">
        <f>IFERROR(PRODUCT(AE370:AE372),"")</f>
        <v>0.00233711063821175</v>
      </c>
      <c r="AF373" s="336">
        <f>IFERROR(PRODUCT(AF370:AF372),"")</f>
        <v>0.00152089377566755</v>
      </c>
      <c r="AH373" s="336">
        <f>IFERROR(PRODUCT(AH370:AH372),"")</f>
        <v>0.00266447409736148</v>
      </c>
      <c r="AI373" s="336">
        <f>IFERROR(PRODUCT(AI370:AI372),"")</f>
        <v>0.0068045820371111</v>
      </c>
      <c r="AJ373" s="336">
        <f>IFERROR(PRODUCT(AJ370:AJ372),"")</f>
        <v>9.47332536290376e-06</v>
      </c>
      <c r="AK373" s="336">
        <f>IFERROR(PRODUCT(AK370:AK372),"")</f>
        <v>0.000229566638938839</v>
      </c>
      <c r="AM373" s="336">
        <f>IFERROR(PRODUCT(AM370:AM372),"")</f>
        <v>0.0233459126716506</v>
      </c>
      <c r="AN373" s="336">
        <f>IFERROR(PRODUCT(AN370:AN372),"")</f>
        <v>0.0452125411983436</v>
      </c>
      <c r="AO373" s="336">
        <f>IFERROR(PRODUCT(AO370:AO372),"")</f>
        <v>0.023373879359676</v>
      </c>
      <c r="AP373" s="336">
        <f>IFERROR(PRODUCT(AP370:AP372),"")</f>
        <v>0.0658106189443465</v>
      </c>
      <c r="AR373" s="336">
        <f>IFERROR(PRODUCT(AR370:AR372),"")</f>
        <v>0.0602660314818269</v>
      </c>
      <c r="AS373" s="336">
        <f>IFERROR(PRODUCT(AS370:AS372),"")</f>
        <v>0.125982422040057</v>
      </c>
      <c r="AT373" s="336">
        <f>IFERROR(PRODUCT(AT370:AT372),"")</f>
        <v>0.0611271697504145</v>
      </c>
      <c r="AU373" s="336">
        <f>IFERROR(PRODUCT(AU370:AU372),"")</f>
        <v>0.185106017817858</v>
      </c>
      <c r="AW373" s="336">
        <f>IFERROR(PRODUCT(AW370:AW372),"")</f>
        <v>0.169978906888981</v>
      </c>
      <c r="AX373" s="336">
        <f>IFERROR(PRODUCT(AX370:AX372),"")</f>
        <v>0.341882869939998</v>
      </c>
      <c r="AY373" s="336">
        <f>IFERROR(PRODUCT(AY370:AY372),"")</f>
        <v>0.1733159215295</v>
      </c>
      <c r="AZ373" s="336">
        <f>IFERROR(PRODUCT(AZ370:AZ372),"")</f>
        <v>0.5039863947701</v>
      </c>
      <c r="BB373" s="336">
        <f>IFERROR(PRODUCT(BB370:BB372),"")</f>
        <v>0.463244895323643</v>
      </c>
      <c r="BC373" s="336">
        <f>IFERROR(PRODUCT(BC370:BC372),"")</f>
        <v>0.935223527423308</v>
      </c>
      <c r="BD373" s="336">
        <f>IFERROR(PRODUCT(BD370:BD372),"")</f>
        <v>0.473200005869147</v>
      </c>
      <c r="BE373" s="336">
        <f>IFERROR(PRODUCT(BE370:BE372),"")</f>
        <v>1.38033794642161</v>
      </c>
      <c r="BG373" s="336">
        <f>IFERROR(PRODUCT(BG370:BG372),"")</f>
        <v>1.26920262300728</v>
      </c>
      <c r="BH373" s="336">
        <f>IFERROR(PRODUCT(BH370:BH372),"")</f>
        <v>2.55370573818981</v>
      </c>
      <c r="BI373" s="336">
        <f>IFERROR(PRODUCT(BI370:BI372),"")</f>
        <v>1.29734567810661</v>
      </c>
      <c r="BJ373" s="336">
        <f>IFERROR(PRODUCT(BJ370:BJ372),"")</f>
        <v>3.7708018036291</v>
      </c>
      <c r="BL373" s="336">
        <f>IFERROR(PRODUCT(BL370:BL372),"")</f>
        <v>3.46765005524386</v>
      </c>
      <c r="BM373" s="336">
        <f>IFERROR(PRODUCT(BM370:BM372),"")</f>
        <v>6.97735147468943</v>
      </c>
      <c r="BN373" s="336">
        <f>IFERROR(PRODUCT(BN370:BN372),"")</f>
        <v>3.54540519126084</v>
      </c>
      <c r="BO373" s="336">
        <f>IFERROR(PRODUCT(BO370:BO372),"")</f>
        <v>10.3044326213471</v>
      </c>
      <c r="BQ373" s="336">
        <f>IFERROR(PRODUCT(BQ370:BQ372),"")</f>
        <v>9.4764603750843</v>
      </c>
      <c r="BR373" s="336">
        <f>IFERROR(PRODUCT(BR370:BR372),"")</f>
        <v>19.0616073692217</v>
      </c>
      <c r="BS373" s="336">
        <f>IFERROR(PRODUCT(BS370:BS372),"")</f>
        <v>9.68981556204422</v>
      </c>
      <c r="BT373" s="336">
        <f>IFERROR(PRODUCT(BT370:BT372),"")</f>
        <v>28.1526219711981</v>
      </c>
      <c r="BV373" s="336">
        <f>IFERROR(PRODUCT(BV370:BV372),"")</f>
        <v>25.8909758792384</v>
      </c>
      <c r="BW373" s="336">
        <f>IFERROR(PRODUCT(BW370:BW372),"")</f>
        <v>52.0774106312854</v>
      </c>
      <c r="BX373" s="336">
        <f>IFERROR(PRODUCT(BX370:BX372),"")</f>
        <v>26.4747553299194</v>
      </c>
      <c r="BY373" s="336">
        <f>IFERROR(PRODUCT(BY370:BY372),"")</f>
        <v>76.9162623063361</v>
      </c>
      <c r="CA373" s="336">
        <f>IFERROR(PRODUCT(CA370:CA372),"")</f>
        <v>70.7376275272273</v>
      </c>
      <c r="CB373" s="336">
        <f>IFERROR(PRODUCT(CB370:CB372),"")</f>
        <v>142.277528944477</v>
      </c>
      <c r="CC373" s="336">
        <f>IFERROR(PRODUCT(CC370:CC372),"")</f>
        <v>72.3334556072367</v>
      </c>
      <c r="CD373" s="336">
        <f>IFERROR(PRODUCT(CD370:CD372),"")</f>
        <v>210.139921676314</v>
      </c>
      <c r="CF373" s="336">
        <f>IFERROR(PRODUCT(CF370:CF372),"")</f>
        <v>193.259961831513</v>
      </c>
      <c r="CG373" s="336">
        <f>IFERROR(PRODUCT(CG370:CG372),"")</f>
        <v>388.709372094989</v>
      </c>
      <c r="CH373" s="336">
        <f>IFERROR(PRODUCT(CH370:CH372),"")</f>
        <v>197.620735697622</v>
      </c>
      <c r="CI373" s="336">
        <f>IFERROR(PRODUCT(CI370:CI372),"")</f>
        <v>574.114521086546</v>
      </c>
      <c r="CK373" s="336">
        <f>IFERROR(PRODUCT(CK370:CK372),"")</f>
        <v>527.997933736064</v>
      </c>
      <c r="CL373" s="336">
        <f>IFERROR(PRODUCT(CL370:CL372),"")</f>
        <v>1061.9732950224</v>
      </c>
      <c r="CM373" s="336">
        <f>IFERROR(PRODUCT(CM370:CM372),"")</f>
        <v>539.912696433026</v>
      </c>
      <c r="CN373" s="336">
        <f>IFERROR(PRODUCT(CN370:CN372),"")</f>
        <v>1568.51103864697</v>
      </c>
      <c r="CP373" s="336">
        <f>IFERROR(PRODUCT(CP370:CP372),"")</f>
        <v>1442.51854615374</v>
      </c>
      <c r="CQ373" s="336">
        <f>IFERROR(PRODUCT(CQ370:CQ372),"")</f>
        <v>2901.36482717823</v>
      </c>
      <c r="CR373" s="336">
        <f>IFERROR(PRODUCT(CR370:CR372),"")</f>
        <v>1475.0711780846</v>
      </c>
      <c r="CS373" s="336">
        <f>IFERROR(PRODUCT(CS370:CS372),"")</f>
        <v>4285.25327258827</v>
      </c>
      <c r="CU373" s="336">
        <f>IFERROR(PRODUCT(CU370:CU372),"")</f>
        <v>3941.03571479818</v>
      </c>
      <c r="CV373" s="336">
        <f>IFERROR(PRODUCT(CV370:CV372),"")</f>
        <v>7926.67573734471</v>
      </c>
      <c r="CW373" s="336">
        <f>IFERROR(PRODUCT(CW370:CW372),"")</f>
        <v>4029.97206285857</v>
      </c>
      <c r="CX373" s="336">
        <f>IFERROR(PRODUCT(CX370:CX372),"")</f>
        <v>11707.5307755917</v>
      </c>
    </row>
    <row r="374" ht="12.75" customFormat="1" customHeight="1" s="331">
      <c r="A374" s="332" t="n"/>
      <c r="B374" s="332" t="n"/>
      <c r="C374" s="331" t="inlineStr">
        <is>
          <t>ROE</t>
        </is>
      </c>
      <c r="D374" s="339" t="str">
        <f>IFERROR(D143/D277,"")</f>
        <v/>
      </c>
      <c r="E374" s="339" t="str">
        <f>IFERROR(E143/E277,"")</f>
        <v/>
      </c>
      <c r="F374" s="339" t="str">
        <f>IFERROR(F143/F277,"")</f>
        <v/>
      </c>
      <c r="G374" s="339" t="str">
        <f>IFERROR(G143/G277,"")</f>
        <v/>
      </c>
      <c r="I374" s="336">
        <f>IFERROR(I143/I277,"")</f>
        <v>0.0339017567818488</v>
      </c>
      <c r="J374" s="336">
        <f>IFERROR(J143/J277,"")</f>
        <v>0.0200183365159452</v>
      </c>
      <c r="K374" s="336">
        <f>IFERROR(K143/K277,"")</f>
        <v>-0.0026817371897554</v>
      </c>
      <c r="L374" s="336">
        <f>IFERROR(L143/L277,"")</f>
        <v>0.0653696542440939</v>
      </c>
      <c r="N374" s="336">
        <f>IFERROR(N143/N277,"")</f>
        <v>0.0396361671670389</v>
      </c>
      <c r="O374" s="336">
        <f>IFERROR(O143/O277,"")</f>
        <v>0.0928465921080397</v>
      </c>
      <c r="P374" s="336">
        <f>IFERROR(P143/P277,"")</f>
        <v>0.0354450740651184</v>
      </c>
      <c r="Q374" s="336">
        <f>IFERROR(Q143/Q277,"")</f>
        <v>0.0540454939588883</v>
      </c>
      <c r="S374" s="336">
        <f>IFERROR(S143/S277,"")</f>
        <v>0.0445402519293616</v>
      </c>
      <c r="T374" s="336">
        <f>IFERROR(T143/T277,"")</f>
        <v>0.0163149291492707</v>
      </c>
      <c r="U374" s="336">
        <f>IFERROR(U143/U277,"")</f>
        <v>0.0365080023219172</v>
      </c>
      <c r="V374" s="336">
        <f>IFERROR(V143/V277,"")</f>
        <v>0.00251643112729744</v>
      </c>
      <c r="X374" s="336">
        <f>IFERROR(X143/X277,"")</f>
        <v>0.0390751125839069</v>
      </c>
      <c r="Y374" s="336">
        <f>IFERROR(Y143/Y277,"")</f>
        <v>0.0187883968160692</v>
      </c>
      <c r="Z374" s="336">
        <f>IFERROR(Z143/Z277,"")</f>
        <v>0.0226392596735219</v>
      </c>
      <c r="AA374" s="336">
        <f>IFERROR(AA143/AA277,"")</f>
        <v>0.00515086254745676</v>
      </c>
      <c r="AC374" s="336">
        <f>IFERROR(AC143/AC277,"")</f>
        <v>0.0264572228771953</v>
      </c>
      <c r="AD374" s="336">
        <f>IFERROR(AD143/AD277,"")</f>
        <v>0.0196681377261208</v>
      </c>
      <c r="AE374" s="336">
        <f>IFERROR(AE143/AE277,"")</f>
        <v>0.0299288052097041</v>
      </c>
      <c r="AF374" s="336">
        <f>IFERROR(AF143/AF277,"")</f>
        <v>0.0235797399041752</v>
      </c>
      <c r="AH374" s="336">
        <f>IFERROR(AH143/AH277,"")</f>
        <v>0.0326114970704635</v>
      </c>
      <c r="AI374" s="336">
        <f>IFERROR(AI143/AI277,"")</f>
        <v>0.0595276734092122</v>
      </c>
      <c r="AJ374" s="336">
        <f>IFERROR(AJ143/AJ277,"")</f>
        <v>0.00188231936868216</v>
      </c>
      <c r="AK374" s="336">
        <f>IFERROR(AK143/AK277,"")</f>
        <v>0.00894444655897082</v>
      </c>
      <c r="AM374" s="336">
        <f>IFERROR(AM143/AM277,"")</f>
        <v>0.00876597487123122</v>
      </c>
      <c r="AN374" s="336">
        <f>IFERROR(AN143/AN277,"")</f>
        <v>0.0225419765310637</v>
      </c>
      <c r="AO374" s="336">
        <f>IFERROR(AO143/AO277,"")</f>
        <v>0.00831597575681644</v>
      </c>
      <c r="AP374" s="336">
        <f>IFERROR(AP143/AP277,"")</f>
        <v>0.0215398599755902</v>
      </c>
      <c r="AR374" s="336">
        <f>IFERROR(AR143/AR277,"")</f>
        <v>0.0209908689719972</v>
      </c>
      <c r="AS374" s="336">
        <f>IFERROR(AS143/AS277,"")</f>
        <v>0.056255513049713</v>
      </c>
      <c r="AT374" s="336">
        <f>IFERROR(AT143/AT277,"")</f>
        <v>0.0192637599937113</v>
      </c>
      <c r="AU374" s="336">
        <f>IFERROR(AU143/AU277,"")</f>
        <v>0.0519960906513098</v>
      </c>
      <c r="AW374" s="336">
        <f>IFERROR(AW143/AW277,"")</f>
        <v>0.0493416805161591</v>
      </c>
      <c r="AX374" s="336">
        <f>IFERROR(AX143/AX277,"")</f>
        <v>0.118797925331004</v>
      </c>
      <c r="AY374" s="336">
        <f>IFERROR(AY143/AY277,"")</f>
        <v>0.0415419622352192</v>
      </c>
      <c r="AZ374" s="336">
        <f>IFERROR(AZ143/AZ277,"")</f>
        <v>0.101999766330794</v>
      </c>
      <c r="BB374" s="336">
        <f>IFERROR(BB143/BB277,"")</f>
        <v>0.0924950219891988</v>
      </c>
      <c r="BC374" s="336">
        <f>IFERROR(BC143/BC277,"")</f>
        <v>0.202335270631309</v>
      </c>
      <c r="BD374" s="336">
        <f>IFERROR(BD143/BD277,"")</f>
        <v>0.0686317698058519</v>
      </c>
      <c r="BE374" s="336">
        <f>IFERROR(BE143/BE277,"")</f>
        <v>0.158430557918394</v>
      </c>
      <c r="BG374" s="336">
        <f>IFERROR(BG143/BG277,"")</f>
        <v>0.136725554966449</v>
      </c>
      <c r="BH374" s="336">
        <f>IFERROR(BH143/BH277,"")</f>
        <v>0.272032354367648</v>
      </c>
      <c r="BI374" s="336">
        <f>IFERROR(BI143/BI277,"")</f>
        <v>0.0904832808862282</v>
      </c>
      <c r="BJ374" s="336">
        <f>IFERROR(BJ143/BJ277,"")</f>
        <v>0.198278287935956</v>
      </c>
      <c r="BL374" s="336">
        <f>IFERROR(BL143/BL277,"")</f>
        <v>0.165451780771461</v>
      </c>
      <c r="BM374" s="336">
        <f>IFERROR(BM143/BM277,"")</f>
        <v>0.311394127345048</v>
      </c>
      <c r="BN374" s="336">
        <f>IFERROR(BN143/BN277,"")</f>
        <v>0.102262228574258</v>
      </c>
      <c r="BO374" s="336">
        <f>IFERROR(BO143/BO277,"")</f>
        <v>0.218448170645992</v>
      </c>
      <c r="BQ374" s="336">
        <f>IFERROR(BQ143/BQ277,"")</f>
        <v>0.179276800215428</v>
      </c>
      <c r="BR374" s="336">
        <f>IFERROR(BR143/BR277,"")</f>
        <v>0.328783556886479</v>
      </c>
      <c r="BS374" s="336">
        <f>IFERROR(BS143/BS277,"")</f>
        <v>0.107402439815748</v>
      </c>
      <c r="BT374" s="336">
        <f>IFERROR(BT143/BT277,"")</f>
        <v>0.226876184668387</v>
      </c>
      <c r="BV374" s="336">
        <f>IFERROR(BV143/BV277,"")</f>
        <v>0.184919109777633</v>
      </c>
      <c r="BW374" s="336">
        <f>IFERROR(BW143/BW277,"")</f>
        <v>0.335650981412903</v>
      </c>
      <c r="BX374" s="336">
        <f>IFERROR(BX143/BX277,"")</f>
        <v>0.109407424102493</v>
      </c>
      <c r="BY374" s="336">
        <f>IFERROR(BY143/BY277,"")</f>
        <v>0.230130644510835</v>
      </c>
      <c r="CA374" s="336">
        <f>IFERROR(CA143/CA277,"")</f>
        <v>0.187077204805985</v>
      </c>
      <c r="CB374" s="336">
        <f>IFERROR(CB143/CB277,"")</f>
        <v>0.338235187387637</v>
      </c>
      <c r="CC374" s="336">
        <f>IFERROR(CC143/CC277,"")</f>
        <v>0.110161972720278</v>
      </c>
      <c r="CD374" s="336">
        <f>IFERROR(CD143/CD277,"")</f>
        <v>0.231344005899707</v>
      </c>
      <c r="CF374" s="336">
        <f>IFERROR(CF143/CF277,"")</f>
        <v>0.187878892627036</v>
      </c>
      <c r="CG374" s="336">
        <f>IFERROR(CG143/CG277,"")</f>
        <v>0.339191513748518</v>
      </c>
      <c r="CH374" s="336">
        <f>IFERROR(CH143/CH277,"")</f>
        <v>0.110440239758247</v>
      </c>
      <c r="CI374" s="336">
        <f>IFERROR(CI143/CI277,"")</f>
        <v>0.231791672836518</v>
      </c>
      <c r="CK374" s="336">
        <f>IFERROR(CK143/CK277,"")</f>
        <v>0.18817427494854</v>
      </c>
      <c r="CL374" s="336">
        <f>IFERROR(CL143/CL277,"")</f>
        <v>0.339542783643321</v>
      </c>
      <c r="CM374" s="336">
        <f>IFERROR(CM143/CM277,"")</f>
        <v>0.110542579431077</v>
      </c>
      <c r="CN374" s="336">
        <f>IFERROR(CN143/CN277,"")</f>
        <v>0.231955871093406</v>
      </c>
      <c r="CP374" s="336">
        <f>IFERROR(CP143/CP277,"")</f>
        <v>0.188282563540343</v>
      </c>
      <c r="CQ374" s="336">
        <f>IFERROR(CQ143/CQ277,"")</f>
        <v>0.339671572429892</v>
      </c>
      <c r="CR374" s="336">
        <f>IFERROR(CR143/CR277,"")</f>
        <v>0.110580048918013</v>
      </c>
      <c r="CS374" s="336">
        <f>IFERROR(CS143/CS277,"")</f>
        <v>0.232016054615649</v>
      </c>
      <c r="CU374" s="336">
        <f>IFERROR(CU143/CU277,"")</f>
        <v>0.188322247281484</v>
      </c>
      <c r="CV374" s="336">
        <f>IFERROR(CV143/CV277,"")</f>
        <v>0.339718727973323</v>
      </c>
      <c r="CW374" s="336">
        <f>IFERROR(CW143/CW277,"")</f>
        <v>0.110593779832367</v>
      </c>
      <c r="CX374" s="336">
        <f>IFERROR(CX143/CX277,"")</f>
        <v>0.232038084501575</v>
      </c>
    </row>
    <row r="376" ht="12.75" customHeight="1" s="254">
      <c r="C376" s="328" t="inlineStr">
        <is>
          <t>Scenario Analysis</t>
        </is>
      </c>
      <c r="D376" s="328" t="n"/>
      <c r="E376" s="328" t="n"/>
      <c r="F376" s="328" t="n"/>
      <c r="G376" s="328" t="n"/>
      <c r="H376" s="328" t="n"/>
      <c r="I376" s="328" t="n"/>
      <c r="J376" s="328" t="n"/>
      <c r="K376" s="328" t="n"/>
      <c r="L376" s="328" t="n"/>
      <c r="M376" s="328" t="n"/>
      <c r="N376" s="328" t="n"/>
      <c r="O376" s="328" t="n"/>
      <c r="P376" s="328" t="n"/>
      <c r="Q376" s="328" t="n"/>
      <c r="R376" s="328" t="n"/>
      <c r="S376" s="328" t="n"/>
      <c r="T376" s="328" t="n"/>
      <c r="U376" s="328" t="n"/>
      <c r="V376" s="328" t="n"/>
      <c r="W376" s="328" t="n"/>
      <c r="X376" s="328" t="n"/>
      <c r="Y376" s="328" t="n"/>
      <c r="Z376" s="328" t="n"/>
      <c r="AA376" s="328" t="n"/>
      <c r="AB376" s="328" t="n"/>
      <c r="AC376" s="328" t="n"/>
      <c r="AD376" s="328" t="n"/>
      <c r="AE376" s="328" t="n"/>
      <c r="AF376" s="328" t="n"/>
      <c r="AG376" s="328" t="n"/>
      <c r="AH376" s="328" t="n"/>
      <c r="AI376" s="328" t="n"/>
      <c r="AJ376" s="328" t="n"/>
      <c r="AK376" s="328" t="n"/>
      <c r="AL376" s="328" t="n"/>
      <c r="AM376" s="328" t="n"/>
      <c r="AN376" s="328" t="n"/>
      <c r="AO376" s="328" t="n"/>
      <c r="AP376" s="328" t="n"/>
      <c r="AQ376" s="328" t="n"/>
      <c r="AR376" s="328" t="n"/>
      <c r="AS376" s="328" t="n"/>
      <c r="AT376" s="328" t="n"/>
      <c r="AU376" s="328" t="n"/>
      <c r="AV376" s="328" t="n"/>
      <c r="AW376" s="328" t="n"/>
      <c r="AX376" s="328" t="n"/>
      <c r="AY376" s="328" t="n"/>
      <c r="AZ376" s="328" t="n"/>
      <c r="BA376" s="328" t="n"/>
      <c r="BB376" s="328" t="n"/>
      <c r="BC376" s="328" t="n"/>
      <c r="BD376" s="328" t="n"/>
      <c r="BE376" s="328" t="n"/>
      <c r="BF376" s="328" t="n"/>
      <c r="BG376" s="328" t="n"/>
      <c r="BH376" s="328" t="n"/>
      <c r="BI376" s="328" t="n"/>
      <c r="BJ376" s="328" t="n"/>
      <c r="BK376" s="328" t="n"/>
      <c r="BL376" s="328" t="n"/>
      <c r="BM376" s="328" t="n"/>
      <c r="BN376" s="328" t="n"/>
      <c r="BO376" s="328" t="n"/>
      <c r="BP376" s="328" t="n"/>
      <c r="BQ376" s="328" t="n"/>
      <c r="BR376" s="328" t="n"/>
      <c r="BS376" s="328" t="n"/>
      <c r="BT376" s="328" t="n"/>
      <c r="BU376" s="328" t="n"/>
      <c r="BV376" s="328" t="n"/>
      <c r="BW376" s="328" t="n"/>
      <c r="BX376" s="328" t="n"/>
      <c r="BY376" s="328" t="n"/>
      <c r="BZ376" s="328" t="n"/>
      <c r="CA376" s="328" t="n"/>
      <c r="CB376" s="328" t="n"/>
      <c r="CC376" s="328" t="n"/>
      <c r="CD376" s="328" t="n"/>
      <c r="CE376" s="328" t="n"/>
      <c r="CF376" s="328" t="n"/>
      <c r="CG376" s="328" t="n"/>
      <c r="CH376" s="328" t="n"/>
      <c r="CI376" s="328" t="n"/>
      <c r="CJ376" s="328" t="n"/>
      <c r="CK376" s="328" t="n"/>
      <c r="CL376" s="328" t="n"/>
      <c r="CM376" s="328" t="n"/>
      <c r="CN376" s="328" t="n"/>
      <c r="CO376" s="328" t="n"/>
      <c r="CP376" s="328" t="n"/>
      <c r="CQ376" s="328" t="n"/>
      <c r="CR376" s="328" t="n"/>
      <c r="CS376" s="328" t="n"/>
      <c r="CT376" s="328" t="n"/>
      <c r="CU376" s="328" t="n"/>
      <c r="CV376" s="328" t="n"/>
      <c r="CW376" s="328" t="n"/>
      <c r="CX376" s="328" t="n"/>
      <c r="CY376" s="328" t="n"/>
    </row>
    <row r="379" ht="12.75" customHeight="1" s="254">
      <c r="C379" s="258" t="inlineStr">
        <is>
          <t>Bull case</t>
        </is>
      </c>
    </row>
    <row r="380" ht="12.75" customHeight="1" s="254">
      <c r="C380" s="258" t="inlineStr">
        <is>
          <t>Base case</t>
        </is>
      </c>
    </row>
    <row r="381" ht="12.75" customHeight="1" s="254">
      <c r="C381" s="258" t="inlineStr">
        <is>
          <t>Bear case</t>
        </is>
      </c>
    </row>
    <row r="384" ht="12.75" customHeight="1" s="254">
      <c r="C384" s="258" t="inlineStr">
        <is>
          <t>Bull case</t>
        </is>
      </c>
    </row>
    <row r="385" ht="12.75" customHeight="1" s="254">
      <c r="C385" s="258" t="inlineStr">
        <is>
          <t>Base case</t>
        </is>
      </c>
    </row>
    <row r="386" ht="12.75" customHeight="1" s="254">
      <c r="C386" s="258" t="inlineStr">
        <is>
          <t>Bear case</t>
        </is>
      </c>
    </row>
    <row r="389" ht="12.75" customHeight="1" s="254">
      <c r="C389" s="258" t="inlineStr">
        <is>
          <t>% Gross Margin</t>
        </is>
      </c>
    </row>
    <row r="390" ht="12.75" customHeight="1" s="254">
      <c r="C390" s="258" t="inlineStr">
        <is>
          <t>Bull case</t>
        </is>
      </c>
    </row>
    <row r="391" ht="12.75" customHeight="1" s="254">
      <c r="C391" s="258" t="inlineStr">
        <is>
          <t>Base case</t>
        </is>
      </c>
    </row>
    <row r="392" ht="12.75" customHeight="1" s="254">
      <c r="C392" s="258" t="inlineStr">
        <is>
          <t>Bear case</t>
        </is>
      </c>
    </row>
    <row r="395" ht="12.75" customHeight="1" s="254">
      <c r="C395" s="258" t="inlineStr">
        <is>
          <t>Capital expenditures</t>
        </is>
      </c>
    </row>
    <row r="396" ht="12.75" customHeight="1" s="254">
      <c r="C396" s="258" t="inlineStr">
        <is>
          <t>Bull case</t>
        </is>
      </c>
    </row>
    <row r="397" ht="12.75" customHeight="1" s="254">
      <c r="C397" s="258" t="inlineStr">
        <is>
          <t>Base case</t>
        </is>
      </c>
    </row>
    <row r="398" ht="12.75" customHeight="1" s="254">
      <c r="C398" s="258" t="inlineStr">
        <is>
          <t>Bear case</t>
        </is>
      </c>
    </row>
  </sheetData>
  <conditionalFormatting sqref="CU321:CX321">
    <cfRule type="cellIs" rank="0" priority="2" equalAverage="0" operator="notEqual" aboveAverage="0" dxfId="0" text="" percent="0" bottom="0">
      <formula>0</formula>
    </cfRule>
  </conditionalFormatting>
  <conditionalFormatting sqref="CP321:CS321">
    <cfRule type="cellIs" rank="0" priority="3" equalAverage="0" operator="notEqual" aboveAverage="0" dxfId="0" text="" percent="0" bottom="0">
      <formula>0</formula>
    </cfRule>
  </conditionalFormatting>
  <conditionalFormatting sqref="CK321:CN321">
    <cfRule type="cellIs" rank="0" priority="4" equalAverage="0" operator="notEqual" aboveAverage="0" dxfId="0" text="" percent="0" bottom="0">
      <formula>0</formula>
    </cfRule>
  </conditionalFormatting>
  <conditionalFormatting sqref="CF321:CI321">
    <cfRule type="cellIs" rank="0" priority="5" equalAverage="0" operator="notEqual" aboveAverage="0" dxfId="0" text="" percent="0" bottom="0">
      <formula>0</formula>
    </cfRule>
  </conditionalFormatting>
  <conditionalFormatting sqref="CA321:CD321">
    <cfRule type="cellIs" rank="0" priority="6" equalAverage="0" operator="notEqual" aboveAverage="0" dxfId="0" text="" percent="0" bottom="0">
      <formula>0</formula>
    </cfRule>
  </conditionalFormatting>
  <conditionalFormatting sqref="BV321:BY321">
    <cfRule type="cellIs" rank="0" priority="7" equalAverage="0" operator="notEqual" aboveAverage="0" dxfId="0" text="" percent="0" bottom="0">
      <formula>0</formula>
    </cfRule>
  </conditionalFormatting>
  <conditionalFormatting sqref="BQ321:BT321">
    <cfRule type="cellIs" rank="0" priority="8" equalAverage="0" operator="notEqual" aboveAverage="0" dxfId="0" text="" percent="0" bottom="0">
      <formula>0</formula>
    </cfRule>
  </conditionalFormatting>
  <conditionalFormatting sqref="BL321:BO321">
    <cfRule type="cellIs" rank="0" priority="9" equalAverage="0" operator="notEqual" aboveAverage="0" dxfId="0" text="" percent="0" bottom="0">
      <formula>0</formula>
    </cfRule>
  </conditionalFormatting>
  <conditionalFormatting sqref="BG321:BJ321">
    <cfRule type="cellIs" rank="0" priority="10" equalAverage="0" operator="notEqual" aboveAverage="0" dxfId="0" text="" percent="0" bottom="0">
      <formula>0</formula>
    </cfRule>
  </conditionalFormatting>
  <conditionalFormatting sqref="BB321:BE321">
    <cfRule type="cellIs" rank="0" priority="11" equalAverage="0" operator="notEqual" aboveAverage="0" dxfId="0" text="" percent="0" bottom="0">
      <formula>0</formula>
    </cfRule>
  </conditionalFormatting>
  <conditionalFormatting sqref="AW321:AZ321">
    <cfRule type="cellIs" rank="0" priority="12" equalAverage="0" operator="notEqual" aboveAverage="0" dxfId="0" text="" percent="0" bottom="0">
      <formula>0</formula>
    </cfRule>
  </conditionalFormatting>
  <conditionalFormatting sqref="AR321:AU321">
    <cfRule type="cellIs" rank="0" priority="13" equalAverage="0" operator="notEqual" aboveAverage="0" dxfId="0" text="" percent="0" bottom="0">
      <formula>0</formula>
    </cfRule>
  </conditionalFormatting>
  <conditionalFormatting sqref="AM321:AP321">
    <cfRule type="cellIs" rank="0" priority="14" equalAverage="0" operator="notEqual" aboveAverage="0" dxfId="0" text="" percent="0" bottom="0">
      <formula>0</formula>
    </cfRule>
  </conditionalFormatting>
  <conditionalFormatting sqref="AH321:AK321">
    <cfRule type="cellIs" rank="0" priority="15" equalAverage="0" operator="notEqual" aboveAverage="0" dxfId="0" text="" percent="0" bottom="0">
      <formula>0</formula>
    </cfRule>
  </conditionalFormatting>
  <conditionalFormatting sqref="E321:G321">
    <cfRule type="cellIs" rank="0" priority="16" equalAverage="0" operator="notEqual" aboveAverage="0" dxfId="0" text="" percent="0" bottom="0">
      <formula>0</formula>
    </cfRule>
  </conditionalFormatting>
  <conditionalFormatting sqref="E5:H5">
    <cfRule type="cellIs" rank="0" priority="17" equalAverage="0" operator="greaterThan" aboveAverage="0" dxfId="1" text="" percent="0" bottom="0">
      <formula>$B$5</formula>
    </cfRule>
  </conditionalFormatting>
  <conditionalFormatting sqref="D1:CY3">
    <cfRule type="cellIs" rank="0" priority="18" equalAverage="0" operator="greaterThan" aboveAverage="0" dxfId="2" text="" percent="0" bottom="0">
      <formula>1</formula>
    </cfRule>
  </conditionalFormatting>
  <conditionalFormatting sqref="AC321:AF321">
    <cfRule type="cellIs" rank="0" priority="19" equalAverage="0" operator="notEqual" aboveAverage="0" dxfId="0" text="" percent="0" bottom="0">
      <formula>0</formula>
    </cfRule>
  </conditionalFormatting>
  <conditionalFormatting sqref="X321:AA321">
    <cfRule type="cellIs" rank="0" priority="20" equalAverage="0" operator="notEqual" aboveAverage="0" dxfId="0" text="" percent="0" bottom="0">
      <formula>0</formula>
    </cfRule>
  </conditionalFormatting>
  <conditionalFormatting sqref="S321:V321">
    <cfRule type="cellIs" rank="0" priority="21" equalAverage="0" operator="notEqual" aboveAverage="0" dxfId="0" text="" percent="0" bottom="0">
      <formula>0</formula>
    </cfRule>
  </conditionalFormatting>
  <conditionalFormatting sqref="N321:Q321">
    <cfRule type="cellIs" rank="0" priority="22" equalAverage="0" operator="notEqual" aboveAverage="0" dxfId="0" text="" percent="0" bottom="0">
      <formula>0</formula>
    </cfRule>
  </conditionalFormatting>
  <conditionalFormatting sqref="I321:L321">
    <cfRule type="cellIs" rank="0" priority="23" equalAverage="0" operator="notEqual" aboveAverage="0" dxfId="0" text="" percent="0" bottom="0">
      <formula>0</formula>
    </cfRule>
  </conditionalFormatting>
  <conditionalFormatting sqref="J5:CY5">
    <cfRule type="cellIs" rank="0" priority="24" equalAverage="0" operator="greaterThan" aboveAverage="0" dxfId="1" text="" percent="0" bottom="0">
      <formula>$B$5</formula>
    </cfRule>
  </conditionalFormatting>
  <conditionalFormatting sqref="B1:B4 B13:B1048576">
    <cfRule type="expression" rank="0" priority="25" equalAverage="0" aboveAverage="0" dxfId="3" text="" percent="0" bottom="0">
      <formula>B1&lt;&gt;""</formula>
    </cfRule>
  </conditionalFormatting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3:AB102"/>
  <sheetViews>
    <sheetView showFormulas="0" showGridLines="1" showRowColHeaders="1" showZeros="1" rightToLeft="0" tabSelected="0" showOutlineSymbols="1" defaultGridColor="1" view="normal" topLeftCell="A9" colorId="64" zoomScale="100" zoomScaleNormal="100" zoomScalePageLayoutView="100" workbookViewId="0">
      <selection pane="topLeft" activeCell="D9" activeCellId="0" sqref="D9"/>
    </sheetView>
  </sheetViews>
  <sheetFormatPr baseColWidth="8" defaultColWidth="9.14453125" defaultRowHeight="12.75" zeroHeight="0" outlineLevelRow="1"/>
  <cols>
    <col width="2" customWidth="1" style="347" min="1" max="1"/>
    <col outlineLevel="1" width="4.29" customWidth="1" style="347" min="2" max="2"/>
    <col width="54.57" customWidth="1" style="347" min="3" max="3"/>
    <col outlineLevel="1" width="12.86" customWidth="1" style="347" min="4" max="4"/>
    <col outlineLevel="1" width="11.28" customWidth="1" style="347" min="5" max="6"/>
    <col width="11.86" customWidth="1" style="347" min="7" max="7"/>
    <col width="14.14" customWidth="1" style="347" min="8" max="8"/>
    <col width="13.71" customWidth="1" style="347" min="9" max="9"/>
    <col width="11.28" customWidth="1" style="347" min="10" max="12"/>
    <col width="11.72" customWidth="1" style="347" min="13" max="13"/>
    <col width="11.57" customWidth="1" style="347" min="14" max="14"/>
    <col width="11.72" customWidth="1" style="347" min="15" max="15"/>
    <col width="10.86" customWidth="1" style="347" min="16" max="20"/>
    <col width="11.72" customWidth="1" style="347" min="21" max="22"/>
    <col width="9.289999999999999" customWidth="1" style="347" min="23" max="23"/>
    <col width="11.43" customWidth="1" style="347" min="24" max="25"/>
    <col width="10" customWidth="1" style="347" min="26" max="26"/>
    <col width="9.140000000000001" customWidth="1" style="347" min="27" max="27"/>
    <col width="19" customWidth="1" style="347" min="28" max="28"/>
    <col width="9.140000000000001" customWidth="1" style="347" min="29" max="31"/>
    <col width="8" customWidth="1" style="347" min="32" max="32"/>
    <col width="9.140000000000001" customWidth="1" style="347" min="33" max="261"/>
    <col width="2" customWidth="1" style="347" min="262" max="263"/>
    <col width="31.28" customWidth="1" style="347" min="264" max="264"/>
    <col width="13" customWidth="1" style="347" min="265" max="265"/>
    <col width="11.28" customWidth="1" style="347" min="266" max="268"/>
    <col width="13.71" customWidth="1" style="347" min="269" max="269"/>
    <col width="11.28" customWidth="1" style="347" min="270" max="273"/>
    <col width="9.140000000000001" customWidth="1" style="347" min="274" max="275"/>
    <col width="10.86" customWidth="1" style="347" min="276" max="276"/>
    <col width="9.140000000000001" customWidth="1" style="347" min="277" max="517"/>
    <col width="2" customWidth="1" style="347" min="518" max="519"/>
    <col width="31.28" customWidth="1" style="347" min="520" max="520"/>
    <col width="13" customWidth="1" style="347" min="521" max="521"/>
    <col width="11.28" customWidth="1" style="347" min="522" max="524"/>
    <col width="13.71" customWidth="1" style="347" min="525" max="525"/>
    <col width="11.28" customWidth="1" style="347" min="526" max="529"/>
    <col width="9.140000000000001" customWidth="1" style="347" min="530" max="531"/>
    <col width="10.86" customWidth="1" style="347" min="532" max="532"/>
    <col width="9.140000000000001" customWidth="1" style="347" min="533" max="773"/>
    <col width="2" customWidth="1" style="347" min="774" max="775"/>
    <col width="31.28" customWidth="1" style="347" min="776" max="776"/>
    <col width="13" customWidth="1" style="347" min="777" max="777"/>
    <col width="11.28" customWidth="1" style="347" min="778" max="780"/>
    <col width="13.71" customWidth="1" style="347" min="781" max="781"/>
    <col width="11.28" customWidth="1" style="347" min="782" max="785"/>
    <col width="9.140000000000001" customWidth="1" style="347" min="786" max="787"/>
    <col width="10.86" customWidth="1" style="347" min="788" max="788"/>
    <col width="9.140000000000001" customWidth="1" style="347" min="789" max="1029"/>
    <col width="2" customWidth="1" style="347" min="1030" max="1031"/>
    <col width="31.28" customWidth="1" style="347" min="1032" max="1032"/>
    <col width="13" customWidth="1" style="347" min="1033" max="1033"/>
    <col width="11.28" customWidth="1" style="347" min="1034" max="1036"/>
    <col width="13.71" customWidth="1" style="347" min="1037" max="1037"/>
    <col width="11.28" customWidth="1" style="347" min="1038" max="1041"/>
    <col width="9.140000000000001" customWidth="1" style="347" min="1042" max="1043"/>
    <col width="10.86" customWidth="1" style="347" min="1044" max="1044"/>
    <col width="9.140000000000001" customWidth="1" style="347" min="1045" max="1285"/>
    <col width="2" customWidth="1" style="347" min="1286" max="1287"/>
    <col width="31.28" customWidth="1" style="347" min="1288" max="1288"/>
    <col width="13" customWidth="1" style="347" min="1289" max="1289"/>
    <col width="11.28" customWidth="1" style="347" min="1290" max="1292"/>
    <col width="13.71" customWidth="1" style="347" min="1293" max="1293"/>
    <col width="11.28" customWidth="1" style="347" min="1294" max="1297"/>
    <col width="9.140000000000001" customWidth="1" style="347" min="1298" max="1299"/>
    <col width="10.86" customWidth="1" style="347" min="1300" max="1300"/>
    <col width="9.140000000000001" customWidth="1" style="347" min="1301" max="1541"/>
    <col width="2" customWidth="1" style="347" min="1542" max="1543"/>
    <col width="31.28" customWidth="1" style="347" min="1544" max="1544"/>
    <col width="13" customWidth="1" style="347" min="1545" max="1545"/>
    <col width="11.28" customWidth="1" style="347" min="1546" max="1548"/>
    <col width="13.71" customWidth="1" style="347" min="1549" max="1549"/>
    <col width="11.28" customWidth="1" style="347" min="1550" max="1553"/>
    <col width="9.140000000000001" customWidth="1" style="347" min="1554" max="1555"/>
    <col width="10.86" customWidth="1" style="347" min="1556" max="1556"/>
    <col width="9.140000000000001" customWidth="1" style="347" min="1557" max="1797"/>
    <col width="2" customWidth="1" style="347" min="1798" max="1799"/>
    <col width="31.28" customWidth="1" style="347" min="1800" max="1800"/>
    <col width="13" customWidth="1" style="347" min="1801" max="1801"/>
    <col width="11.28" customWidth="1" style="347" min="1802" max="1804"/>
    <col width="13.71" customWidth="1" style="347" min="1805" max="1805"/>
    <col width="11.28" customWidth="1" style="347" min="1806" max="1809"/>
    <col width="9.140000000000001" customWidth="1" style="347" min="1810" max="1811"/>
    <col width="10.86" customWidth="1" style="347" min="1812" max="1812"/>
    <col width="9.140000000000001" customWidth="1" style="347" min="1813" max="2053"/>
    <col width="2" customWidth="1" style="347" min="2054" max="2055"/>
    <col width="31.28" customWidth="1" style="347" min="2056" max="2056"/>
    <col width="13" customWidth="1" style="347" min="2057" max="2057"/>
    <col width="11.28" customWidth="1" style="347" min="2058" max="2060"/>
    <col width="13.71" customWidth="1" style="347" min="2061" max="2061"/>
    <col width="11.28" customWidth="1" style="347" min="2062" max="2065"/>
    <col width="9.140000000000001" customWidth="1" style="347" min="2066" max="2067"/>
    <col width="10.86" customWidth="1" style="347" min="2068" max="2068"/>
    <col width="9.140000000000001" customWidth="1" style="347" min="2069" max="2309"/>
    <col width="2" customWidth="1" style="347" min="2310" max="2311"/>
    <col width="31.28" customWidth="1" style="347" min="2312" max="2312"/>
    <col width="13" customWidth="1" style="347" min="2313" max="2313"/>
    <col width="11.28" customWidth="1" style="347" min="2314" max="2316"/>
    <col width="13.71" customWidth="1" style="347" min="2317" max="2317"/>
    <col width="11.28" customWidth="1" style="347" min="2318" max="2321"/>
    <col width="9.140000000000001" customWidth="1" style="347" min="2322" max="2323"/>
    <col width="10.86" customWidth="1" style="347" min="2324" max="2324"/>
    <col width="9.140000000000001" customWidth="1" style="347" min="2325" max="2565"/>
    <col width="2" customWidth="1" style="347" min="2566" max="2567"/>
    <col width="31.28" customWidth="1" style="347" min="2568" max="2568"/>
    <col width="13" customWidth="1" style="347" min="2569" max="2569"/>
    <col width="11.28" customWidth="1" style="347" min="2570" max="2572"/>
    <col width="13.71" customWidth="1" style="347" min="2573" max="2573"/>
    <col width="11.28" customWidth="1" style="347" min="2574" max="2577"/>
    <col width="9.140000000000001" customWidth="1" style="347" min="2578" max="2579"/>
    <col width="10.86" customWidth="1" style="347" min="2580" max="2580"/>
    <col width="9.140000000000001" customWidth="1" style="347" min="2581" max="2821"/>
    <col width="2" customWidth="1" style="347" min="2822" max="2823"/>
    <col width="31.28" customWidth="1" style="347" min="2824" max="2824"/>
    <col width="13" customWidth="1" style="347" min="2825" max="2825"/>
    <col width="11.28" customWidth="1" style="347" min="2826" max="2828"/>
    <col width="13.71" customWidth="1" style="347" min="2829" max="2829"/>
    <col width="11.28" customWidth="1" style="347" min="2830" max="2833"/>
    <col width="9.140000000000001" customWidth="1" style="347" min="2834" max="2835"/>
    <col width="10.86" customWidth="1" style="347" min="2836" max="2836"/>
    <col width="9.140000000000001" customWidth="1" style="347" min="2837" max="3077"/>
    <col width="2" customWidth="1" style="347" min="3078" max="3079"/>
    <col width="31.28" customWidth="1" style="347" min="3080" max="3080"/>
    <col width="13" customWidth="1" style="347" min="3081" max="3081"/>
    <col width="11.28" customWidth="1" style="347" min="3082" max="3084"/>
    <col width="13.71" customWidth="1" style="347" min="3085" max="3085"/>
    <col width="11.28" customWidth="1" style="347" min="3086" max="3089"/>
    <col width="9.140000000000001" customWidth="1" style="347" min="3090" max="3091"/>
    <col width="10.86" customWidth="1" style="347" min="3092" max="3092"/>
    <col width="9.140000000000001" customWidth="1" style="347" min="3093" max="3333"/>
    <col width="2" customWidth="1" style="347" min="3334" max="3335"/>
    <col width="31.28" customWidth="1" style="347" min="3336" max="3336"/>
    <col width="13" customWidth="1" style="347" min="3337" max="3337"/>
    <col width="11.28" customWidth="1" style="347" min="3338" max="3340"/>
    <col width="13.71" customWidth="1" style="347" min="3341" max="3341"/>
    <col width="11.28" customWidth="1" style="347" min="3342" max="3345"/>
    <col width="9.140000000000001" customWidth="1" style="347" min="3346" max="3347"/>
    <col width="10.86" customWidth="1" style="347" min="3348" max="3348"/>
    <col width="9.140000000000001" customWidth="1" style="347" min="3349" max="3589"/>
    <col width="2" customWidth="1" style="347" min="3590" max="3591"/>
    <col width="31.28" customWidth="1" style="347" min="3592" max="3592"/>
    <col width="13" customWidth="1" style="347" min="3593" max="3593"/>
    <col width="11.28" customWidth="1" style="347" min="3594" max="3596"/>
    <col width="13.71" customWidth="1" style="347" min="3597" max="3597"/>
    <col width="11.28" customWidth="1" style="347" min="3598" max="3601"/>
    <col width="9.140000000000001" customWidth="1" style="347" min="3602" max="3603"/>
    <col width="10.86" customWidth="1" style="347" min="3604" max="3604"/>
    <col width="9.140000000000001" customWidth="1" style="347" min="3605" max="3845"/>
    <col width="2" customWidth="1" style="347" min="3846" max="3847"/>
    <col width="31.28" customWidth="1" style="347" min="3848" max="3848"/>
    <col width="13" customWidth="1" style="347" min="3849" max="3849"/>
    <col width="11.28" customWidth="1" style="347" min="3850" max="3852"/>
    <col width="13.71" customWidth="1" style="347" min="3853" max="3853"/>
    <col width="11.28" customWidth="1" style="347" min="3854" max="3857"/>
    <col width="9.140000000000001" customWidth="1" style="347" min="3858" max="3859"/>
    <col width="10.86" customWidth="1" style="347" min="3860" max="3860"/>
    <col width="9.140000000000001" customWidth="1" style="347" min="3861" max="4101"/>
    <col width="2" customWidth="1" style="347" min="4102" max="4103"/>
    <col width="31.28" customWidth="1" style="347" min="4104" max="4104"/>
    <col width="13" customWidth="1" style="347" min="4105" max="4105"/>
    <col width="11.28" customWidth="1" style="347" min="4106" max="4108"/>
    <col width="13.71" customWidth="1" style="347" min="4109" max="4109"/>
    <col width="11.28" customWidth="1" style="347" min="4110" max="4113"/>
    <col width="9.140000000000001" customWidth="1" style="347" min="4114" max="4115"/>
    <col width="10.86" customWidth="1" style="347" min="4116" max="4116"/>
    <col width="9.140000000000001" customWidth="1" style="347" min="4117" max="4357"/>
    <col width="2" customWidth="1" style="347" min="4358" max="4359"/>
    <col width="31.28" customWidth="1" style="347" min="4360" max="4360"/>
    <col width="13" customWidth="1" style="347" min="4361" max="4361"/>
    <col width="11.28" customWidth="1" style="347" min="4362" max="4364"/>
    <col width="13.71" customWidth="1" style="347" min="4365" max="4365"/>
    <col width="11.28" customWidth="1" style="347" min="4366" max="4369"/>
    <col width="9.140000000000001" customWidth="1" style="347" min="4370" max="4371"/>
    <col width="10.86" customWidth="1" style="347" min="4372" max="4372"/>
    <col width="9.140000000000001" customWidth="1" style="347" min="4373" max="4613"/>
    <col width="2" customWidth="1" style="347" min="4614" max="4615"/>
    <col width="31.28" customWidth="1" style="347" min="4616" max="4616"/>
    <col width="13" customWidth="1" style="347" min="4617" max="4617"/>
    <col width="11.28" customWidth="1" style="347" min="4618" max="4620"/>
    <col width="13.71" customWidth="1" style="347" min="4621" max="4621"/>
    <col width="11.28" customWidth="1" style="347" min="4622" max="4625"/>
    <col width="9.140000000000001" customWidth="1" style="347" min="4626" max="4627"/>
    <col width="10.86" customWidth="1" style="347" min="4628" max="4628"/>
    <col width="9.140000000000001" customWidth="1" style="347" min="4629" max="4869"/>
    <col width="2" customWidth="1" style="347" min="4870" max="4871"/>
    <col width="31.28" customWidth="1" style="347" min="4872" max="4872"/>
    <col width="13" customWidth="1" style="347" min="4873" max="4873"/>
    <col width="11.28" customWidth="1" style="347" min="4874" max="4876"/>
    <col width="13.71" customWidth="1" style="347" min="4877" max="4877"/>
    <col width="11.28" customWidth="1" style="347" min="4878" max="4881"/>
    <col width="9.140000000000001" customWidth="1" style="347" min="4882" max="4883"/>
    <col width="10.86" customWidth="1" style="347" min="4884" max="4884"/>
    <col width="9.140000000000001" customWidth="1" style="347" min="4885" max="5125"/>
    <col width="2" customWidth="1" style="347" min="5126" max="5127"/>
    <col width="31.28" customWidth="1" style="347" min="5128" max="5128"/>
    <col width="13" customWidth="1" style="347" min="5129" max="5129"/>
    <col width="11.28" customWidth="1" style="347" min="5130" max="5132"/>
    <col width="13.71" customWidth="1" style="347" min="5133" max="5133"/>
    <col width="11.28" customWidth="1" style="347" min="5134" max="5137"/>
    <col width="9.140000000000001" customWidth="1" style="347" min="5138" max="5139"/>
    <col width="10.86" customWidth="1" style="347" min="5140" max="5140"/>
    <col width="9.140000000000001" customWidth="1" style="347" min="5141" max="5381"/>
    <col width="2" customWidth="1" style="347" min="5382" max="5383"/>
    <col width="31.28" customWidth="1" style="347" min="5384" max="5384"/>
    <col width="13" customWidth="1" style="347" min="5385" max="5385"/>
    <col width="11.28" customWidth="1" style="347" min="5386" max="5388"/>
    <col width="13.71" customWidth="1" style="347" min="5389" max="5389"/>
    <col width="11.28" customWidth="1" style="347" min="5390" max="5393"/>
    <col width="9.140000000000001" customWidth="1" style="347" min="5394" max="5395"/>
    <col width="10.86" customWidth="1" style="347" min="5396" max="5396"/>
    <col width="9.140000000000001" customWidth="1" style="347" min="5397" max="5637"/>
    <col width="2" customWidth="1" style="347" min="5638" max="5639"/>
    <col width="31.28" customWidth="1" style="347" min="5640" max="5640"/>
    <col width="13" customWidth="1" style="347" min="5641" max="5641"/>
    <col width="11.28" customWidth="1" style="347" min="5642" max="5644"/>
    <col width="13.71" customWidth="1" style="347" min="5645" max="5645"/>
    <col width="11.28" customWidth="1" style="347" min="5646" max="5649"/>
    <col width="9.140000000000001" customWidth="1" style="347" min="5650" max="5651"/>
    <col width="10.86" customWidth="1" style="347" min="5652" max="5652"/>
    <col width="9.140000000000001" customWidth="1" style="347" min="5653" max="5893"/>
    <col width="2" customWidth="1" style="347" min="5894" max="5895"/>
    <col width="31.28" customWidth="1" style="347" min="5896" max="5896"/>
    <col width="13" customWidth="1" style="347" min="5897" max="5897"/>
    <col width="11.28" customWidth="1" style="347" min="5898" max="5900"/>
    <col width="13.71" customWidth="1" style="347" min="5901" max="5901"/>
    <col width="11.28" customWidth="1" style="347" min="5902" max="5905"/>
    <col width="9.140000000000001" customWidth="1" style="347" min="5906" max="5907"/>
    <col width="10.86" customWidth="1" style="347" min="5908" max="5908"/>
    <col width="9.140000000000001" customWidth="1" style="347" min="5909" max="6149"/>
    <col width="2" customWidth="1" style="347" min="6150" max="6151"/>
    <col width="31.28" customWidth="1" style="347" min="6152" max="6152"/>
    <col width="13" customWidth="1" style="347" min="6153" max="6153"/>
    <col width="11.28" customWidth="1" style="347" min="6154" max="6156"/>
    <col width="13.71" customWidth="1" style="347" min="6157" max="6157"/>
    <col width="11.28" customWidth="1" style="347" min="6158" max="6161"/>
    <col width="9.140000000000001" customWidth="1" style="347" min="6162" max="6163"/>
    <col width="10.86" customWidth="1" style="347" min="6164" max="6164"/>
    <col width="9.140000000000001" customWidth="1" style="347" min="6165" max="6405"/>
    <col width="2" customWidth="1" style="347" min="6406" max="6407"/>
    <col width="31.28" customWidth="1" style="347" min="6408" max="6408"/>
    <col width="13" customWidth="1" style="347" min="6409" max="6409"/>
    <col width="11.28" customWidth="1" style="347" min="6410" max="6412"/>
    <col width="13.71" customWidth="1" style="347" min="6413" max="6413"/>
    <col width="11.28" customWidth="1" style="347" min="6414" max="6417"/>
    <col width="9.140000000000001" customWidth="1" style="347" min="6418" max="6419"/>
    <col width="10.86" customWidth="1" style="347" min="6420" max="6420"/>
    <col width="9.140000000000001" customWidth="1" style="347" min="6421" max="6661"/>
    <col width="2" customWidth="1" style="347" min="6662" max="6663"/>
    <col width="31.28" customWidth="1" style="347" min="6664" max="6664"/>
    <col width="13" customWidth="1" style="347" min="6665" max="6665"/>
    <col width="11.28" customWidth="1" style="347" min="6666" max="6668"/>
    <col width="13.71" customWidth="1" style="347" min="6669" max="6669"/>
    <col width="11.28" customWidth="1" style="347" min="6670" max="6673"/>
    <col width="9.140000000000001" customWidth="1" style="347" min="6674" max="6675"/>
    <col width="10.86" customWidth="1" style="347" min="6676" max="6676"/>
    <col width="9.140000000000001" customWidth="1" style="347" min="6677" max="6917"/>
    <col width="2" customWidth="1" style="347" min="6918" max="6919"/>
    <col width="31.28" customWidth="1" style="347" min="6920" max="6920"/>
    <col width="13" customWidth="1" style="347" min="6921" max="6921"/>
    <col width="11.28" customWidth="1" style="347" min="6922" max="6924"/>
    <col width="13.71" customWidth="1" style="347" min="6925" max="6925"/>
    <col width="11.28" customWidth="1" style="347" min="6926" max="6929"/>
    <col width="9.140000000000001" customWidth="1" style="347" min="6930" max="6931"/>
    <col width="10.86" customWidth="1" style="347" min="6932" max="6932"/>
    <col width="9.140000000000001" customWidth="1" style="347" min="6933" max="7173"/>
    <col width="2" customWidth="1" style="347" min="7174" max="7175"/>
    <col width="31.28" customWidth="1" style="347" min="7176" max="7176"/>
    <col width="13" customWidth="1" style="347" min="7177" max="7177"/>
    <col width="11.28" customWidth="1" style="347" min="7178" max="7180"/>
    <col width="13.71" customWidth="1" style="347" min="7181" max="7181"/>
    <col width="11.28" customWidth="1" style="347" min="7182" max="7185"/>
    <col width="9.140000000000001" customWidth="1" style="347" min="7186" max="7187"/>
    <col width="10.86" customWidth="1" style="347" min="7188" max="7188"/>
    <col width="9.140000000000001" customWidth="1" style="347" min="7189" max="7429"/>
    <col width="2" customWidth="1" style="347" min="7430" max="7431"/>
    <col width="31.28" customWidth="1" style="347" min="7432" max="7432"/>
    <col width="13" customWidth="1" style="347" min="7433" max="7433"/>
    <col width="11.28" customWidth="1" style="347" min="7434" max="7436"/>
    <col width="13.71" customWidth="1" style="347" min="7437" max="7437"/>
    <col width="11.28" customWidth="1" style="347" min="7438" max="7441"/>
    <col width="9.140000000000001" customWidth="1" style="347" min="7442" max="7443"/>
    <col width="10.86" customWidth="1" style="347" min="7444" max="7444"/>
    <col width="9.140000000000001" customWidth="1" style="347" min="7445" max="7685"/>
    <col width="2" customWidth="1" style="347" min="7686" max="7687"/>
    <col width="31.28" customWidth="1" style="347" min="7688" max="7688"/>
    <col width="13" customWidth="1" style="347" min="7689" max="7689"/>
    <col width="11.28" customWidth="1" style="347" min="7690" max="7692"/>
    <col width="13.71" customWidth="1" style="347" min="7693" max="7693"/>
    <col width="11.28" customWidth="1" style="347" min="7694" max="7697"/>
    <col width="9.140000000000001" customWidth="1" style="347" min="7698" max="7699"/>
    <col width="10.86" customWidth="1" style="347" min="7700" max="7700"/>
    <col width="9.140000000000001" customWidth="1" style="347" min="7701" max="7941"/>
    <col width="2" customWidth="1" style="347" min="7942" max="7943"/>
    <col width="31.28" customWidth="1" style="347" min="7944" max="7944"/>
    <col width="13" customWidth="1" style="347" min="7945" max="7945"/>
    <col width="11.28" customWidth="1" style="347" min="7946" max="7948"/>
    <col width="13.71" customWidth="1" style="347" min="7949" max="7949"/>
    <col width="11.28" customWidth="1" style="347" min="7950" max="7953"/>
    <col width="9.140000000000001" customWidth="1" style="347" min="7954" max="7955"/>
    <col width="10.86" customWidth="1" style="347" min="7956" max="7956"/>
    <col width="9.140000000000001" customWidth="1" style="347" min="7957" max="8197"/>
    <col width="2" customWidth="1" style="347" min="8198" max="8199"/>
    <col width="31.28" customWidth="1" style="347" min="8200" max="8200"/>
    <col width="13" customWidth="1" style="347" min="8201" max="8201"/>
    <col width="11.28" customWidth="1" style="347" min="8202" max="8204"/>
    <col width="13.71" customWidth="1" style="347" min="8205" max="8205"/>
    <col width="11.28" customWidth="1" style="347" min="8206" max="8209"/>
    <col width="9.140000000000001" customWidth="1" style="347" min="8210" max="8211"/>
    <col width="10.86" customWidth="1" style="347" min="8212" max="8212"/>
    <col width="9.140000000000001" customWidth="1" style="347" min="8213" max="8453"/>
    <col width="2" customWidth="1" style="347" min="8454" max="8455"/>
    <col width="31.28" customWidth="1" style="347" min="8456" max="8456"/>
    <col width="13" customWidth="1" style="347" min="8457" max="8457"/>
    <col width="11.28" customWidth="1" style="347" min="8458" max="8460"/>
    <col width="13.71" customWidth="1" style="347" min="8461" max="8461"/>
    <col width="11.28" customWidth="1" style="347" min="8462" max="8465"/>
    <col width="9.140000000000001" customWidth="1" style="347" min="8466" max="8467"/>
    <col width="10.86" customWidth="1" style="347" min="8468" max="8468"/>
    <col width="9.140000000000001" customWidth="1" style="347" min="8469" max="8709"/>
    <col width="2" customWidth="1" style="347" min="8710" max="8711"/>
    <col width="31.28" customWidth="1" style="347" min="8712" max="8712"/>
    <col width="13" customWidth="1" style="347" min="8713" max="8713"/>
    <col width="11.28" customWidth="1" style="347" min="8714" max="8716"/>
    <col width="13.71" customWidth="1" style="347" min="8717" max="8717"/>
    <col width="11.28" customWidth="1" style="347" min="8718" max="8721"/>
    <col width="9.140000000000001" customWidth="1" style="347" min="8722" max="8723"/>
    <col width="10.86" customWidth="1" style="347" min="8724" max="8724"/>
    <col width="9.140000000000001" customWidth="1" style="347" min="8725" max="8965"/>
    <col width="2" customWidth="1" style="347" min="8966" max="8967"/>
    <col width="31.28" customWidth="1" style="347" min="8968" max="8968"/>
    <col width="13" customWidth="1" style="347" min="8969" max="8969"/>
    <col width="11.28" customWidth="1" style="347" min="8970" max="8972"/>
    <col width="13.71" customWidth="1" style="347" min="8973" max="8973"/>
    <col width="11.28" customWidth="1" style="347" min="8974" max="8977"/>
    <col width="9.140000000000001" customWidth="1" style="347" min="8978" max="8979"/>
    <col width="10.86" customWidth="1" style="347" min="8980" max="8980"/>
    <col width="9.140000000000001" customWidth="1" style="347" min="8981" max="9221"/>
    <col width="2" customWidth="1" style="347" min="9222" max="9223"/>
    <col width="31.28" customWidth="1" style="347" min="9224" max="9224"/>
    <col width="13" customWidth="1" style="347" min="9225" max="9225"/>
    <col width="11.28" customWidth="1" style="347" min="9226" max="9228"/>
    <col width="13.71" customWidth="1" style="347" min="9229" max="9229"/>
    <col width="11.28" customWidth="1" style="347" min="9230" max="9233"/>
    <col width="9.140000000000001" customWidth="1" style="347" min="9234" max="9235"/>
    <col width="10.86" customWidth="1" style="347" min="9236" max="9236"/>
    <col width="9.140000000000001" customWidth="1" style="347" min="9237" max="9477"/>
    <col width="2" customWidth="1" style="347" min="9478" max="9479"/>
    <col width="31.28" customWidth="1" style="347" min="9480" max="9480"/>
    <col width="13" customWidth="1" style="347" min="9481" max="9481"/>
    <col width="11.28" customWidth="1" style="347" min="9482" max="9484"/>
    <col width="13.71" customWidth="1" style="347" min="9485" max="9485"/>
    <col width="11.28" customWidth="1" style="347" min="9486" max="9489"/>
    <col width="9.140000000000001" customWidth="1" style="347" min="9490" max="9491"/>
    <col width="10.86" customWidth="1" style="347" min="9492" max="9492"/>
    <col width="9.140000000000001" customWidth="1" style="347" min="9493" max="9733"/>
    <col width="2" customWidth="1" style="347" min="9734" max="9735"/>
    <col width="31.28" customWidth="1" style="347" min="9736" max="9736"/>
    <col width="13" customWidth="1" style="347" min="9737" max="9737"/>
    <col width="11.28" customWidth="1" style="347" min="9738" max="9740"/>
    <col width="13.71" customWidth="1" style="347" min="9741" max="9741"/>
    <col width="11.28" customWidth="1" style="347" min="9742" max="9745"/>
    <col width="9.140000000000001" customWidth="1" style="347" min="9746" max="9747"/>
    <col width="10.86" customWidth="1" style="347" min="9748" max="9748"/>
    <col width="9.140000000000001" customWidth="1" style="347" min="9749" max="9989"/>
    <col width="2" customWidth="1" style="347" min="9990" max="9991"/>
    <col width="31.28" customWidth="1" style="347" min="9992" max="9992"/>
    <col width="13" customWidth="1" style="347" min="9993" max="9993"/>
    <col width="11.28" customWidth="1" style="347" min="9994" max="9996"/>
    <col width="13.71" customWidth="1" style="347" min="9997" max="9997"/>
    <col width="11.28" customWidth="1" style="347" min="9998" max="10001"/>
    <col width="9.140000000000001" customWidth="1" style="347" min="10002" max="10003"/>
    <col width="10.86" customWidth="1" style="347" min="10004" max="10004"/>
    <col width="9.140000000000001" customWidth="1" style="347" min="10005" max="10245"/>
    <col width="2" customWidth="1" style="347" min="10246" max="10247"/>
    <col width="31.28" customWidth="1" style="347" min="10248" max="10248"/>
    <col width="13" customWidth="1" style="347" min="10249" max="10249"/>
    <col width="11.28" customWidth="1" style="347" min="10250" max="10252"/>
    <col width="13.71" customWidth="1" style="347" min="10253" max="10253"/>
    <col width="11.28" customWidth="1" style="347" min="10254" max="10257"/>
    <col width="9.140000000000001" customWidth="1" style="347" min="10258" max="10259"/>
    <col width="10.86" customWidth="1" style="347" min="10260" max="10260"/>
    <col width="9.140000000000001" customWidth="1" style="347" min="10261" max="10501"/>
    <col width="2" customWidth="1" style="347" min="10502" max="10503"/>
    <col width="31.28" customWidth="1" style="347" min="10504" max="10504"/>
    <col width="13" customWidth="1" style="347" min="10505" max="10505"/>
    <col width="11.28" customWidth="1" style="347" min="10506" max="10508"/>
    <col width="13.71" customWidth="1" style="347" min="10509" max="10509"/>
    <col width="11.28" customWidth="1" style="347" min="10510" max="10513"/>
    <col width="9.140000000000001" customWidth="1" style="347" min="10514" max="10515"/>
    <col width="10.86" customWidth="1" style="347" min="10516" max="10516"/>
    <col width="9.140000000000001" customWidth="1" style="347" min="10517" max="10757"/>
    <col width="2" customWidth="1" style="347" min="10758" max="10759"/>
    <col width="31.28" customWidth="1" style="347" min="10760" max="10760"/>
    <col width="13" customWidth="1" style="347" min="10761" max="10761"/>
    <col width="11.28" customWidth="1" style="347" min="10762" max="10764"/>
    <col width="13.71" customWidth="1" style="347" min="10765" max="10765"/>
    <col width="11.28" customWidth="1" style="347" min="10766" max="10769"/>
    <col width="9.140000000000001" customWidth="1" style="347" min="10770" max="10771"/>
    <col width="10.86" customWidth="1" style="347" min="10772" max="10772"/>
    <col width="9.140000000000001" customWidth="1" style="347" min="10773" max="11013"/>
    <col width="2" customWidth="1" style="347" min="11014" max="11015"/>
    <col width="31.28" customWidth="1" style="347" min="11016" max="11016"/>
    <col width="13" customWidth="1" style="347" min="11017" max="11017"/>
    <col width="11.28" customWidth="1" style="347" min="11018" max="11020"/>
    <col width="13.71" customWidth="1" style="347" min="11021" max="11021"/>
    <col width="11.28" customWidth="1" style="347" min="11022" max="11025"/>
    <col width="9.140000000000001" customWidth="1" style="347" min="11026" max="11027"/>
    <col width="10.86" customWidth="1" style="347" min="11028" max="11028"/>
    <col width="9.140000000000001" customWidth="1" style="347" min="11029" max="11269"/>
    <col width="2" customWidth="1" style="347" min="11270" max="11271"/>
    <col width="31.28" customWidth="1" style="347" min="11272" max="11272"/>
    <col width="13" customWidth="1" style="347" min="11273" max="11273"/>
    <col width="11.28" customWidth="1" style="347" min="11274" max="11276"/>
    <col width="13.71" customWidth="1" style="347" min="11277" max="11277"/>
    <col width="11.28" customWidth="1" style="347" min="11278" max="11281"/>
    <col width="9.140000000000001" customWidth="1" style="347" min="11282" max="11283"/>
    <col width="10.86" customWidth="1" style="347" min="11284" max="11284"/>
    <col width="9.140000000000001" customWidth="1" style="347" min="11285" max="11525"/>
    <col width="2" customWidth="1" style="347" min="11526" max="11527"/>
    <col width="31.28" customWidth="1" style="347" min="11528" max="11528"/>
    <col width="13" customWidth="1" style="347" min="11529" max="11529"/>
    <col width="11.28" customWidth="1" style="347" min="11530" max="11532"/>
    <col width="13.71" customWidth="1" style="347" min="11533" max="11533"/>
    <col width="11.28" customWidth="1" style="347" min="11534" max="11537"/>
    <col width="9.140000000000001" customWidth="1" style="347" min="11538" max="11539"/>
    <col width="10.86" customWidth="1" style="347" min="11540" max="11540"/>
    <col width="9.140000000000001" customWidth="1" style="347" min="11541" max="11781"/>
    <col width="2" customWidth="1" style="347" min="11782" max="11783"/>
    <col width="31.28" customWidth="1" style="347" min="11784" max="11784"/>
    <col width="13" customWidth="1" style="347" min="11785" max="11785"/>
    <col width="11.28" customWidth="1" style="347" min="11786" max="11788"/>
    <col width="13.71" customWidth="1" style="347" min="11789" max="11789"/>
    <col width="11.28" customWidth="1" style="347" min="11790" max="11793"/>
    <col width="9.140000000000001" customWidth="1" style="347" min="11794" max="11795"/>
    <col width="10.86" customWidth="1" style="347" min="11796" max="11796"/>
    <col width="9.140000000000001" customWidth="1" style="347" min="11797" max="12037"/>
    <col width="2" customWidth="1" style="347" min="12038" max="12039"/>
    <col width="31.28" customWidth="1" style="347" min="12040" max="12040"/>
    <col width="13" customWidth="1" style="347" min="12041" max="12041"/>
    <col width="11.28" customWidth="1" style="347" min="12042" max="12044"/>
    <col width="13.71" customWidth="1" style="347" min="12045" max="12045"/>
    <col width="11.28" customWidth="1" style="347" min="12046" max="12049"/>
    <col width="9.140000000000001" customWidth="1" style="347" min="12050" max="12051"/>
    <col width="10.86" customWidth="1" style="347" min="12052" max="12052"/>
    <col width="9.140000000000001" customWidth="1" style="347" min="12053" max="12293"/>
    <col width="2" customWidth="1" style="347" min="12294" max="12295"/>
    <col width="31.28" customWidth="1" style="347" min="12296" max="12296"/>
    <col width="13" customWidth="1" style="347" min="12297" max="12297"/>
    <col width="11.28" customWidth="1" style="347" min="12298" max="12300"/>
    <col width="13.71" customWidth="1" style="347" min="12301" max="12301"/>
    <col width="11.28" customWidth="1" style="347" min="12302" max="12305"/>
    <col width="9.140000000000001" customWidth="1" style="347" min="12306" max="12307"/>
    <col width="10.86" customWidth="1" style="347" min="12308" max="12308"/>
    <col width="9.140000000000001" customWidth="1" style="347" min="12309" max="12549"/>
    <col width="2" customWidth="1" style="347" min="12550" max="12551"/>
    <col width="31.28" customWidth="1" style="347" min="12552" max="12552"/>
    <col width="13" customWidth="1" style="347" min="12553" max="12553"/>
    <col width="11.28" customWidth="1" style="347" min="12554" max="12556"/>
    <col width="13.71" customWidth="1" style="347" min="12557" max="12557"/>
    <col width="11.28" customWidth="1" style="347" min="12558" max="12561"/>
    <col width="9.140000000000001" customWidth="1" style="347" min="12562" max="12563"/>
    <col width="10.86" customWidth="1" style="347" min="12564" max="12564"/>
    <col width="9.140000000000001" customWidth="1" style="347" min="12565" max="12805"/>
    <col width="2" customWidth="1" style="347" min="12806" max="12807"/>
    <col width="31.28" customWidth="1" style="347" min="12808" max="12808"/>
    <col width="13" customWidth="1" style="347" min="12809" max="12809"/>
    <col width="11.28" customWidth="1" style="347" min="12810" max="12812"/>
    <col width="13.71" customWidth="1" style="347" min="12813" max="12813"/>
    <col width="11.28" customWidth="1" style="347" min="12814" max="12817"/>
    <col width="9.140000000000001" customWidth="1" style="347" min="12818" max="12819"/>
    <col width="10.86" customWidth="1" style="347" min="12820" max="12820"/>
    <col width="9.140000000000001" customWidth="1" style="347" min="12821" max="13061"/>
    <col width="2" customWidth="1" style="347" min="13062" max="13063"/>
    <col width="31.28" customWidth="1" style="347" min="13064" max="13064"/>
    <col width="13" customWidth="1" style="347" min="13065" max="13065"/>
    <col width="11.28" customWidth="1" style="347" min="13066" max="13068"/>
    <col width="13.71" customWidth="1" style="347" min="13069" max="13069"/>
    <col width="11.28" customWidth="1" style="347" min="13070" max="13073"/>
    <col width="9.140000000000001" customWidth="1" style="347" min="13074" max="13075"/>
    <col width="10.86" customWidth="1" style="347" min="13076" max="13076"/>
    <col width="9.140000000000001" customWidth="1" style="347" min="13077" max="13317"/>
    <col width="2" customWidth="1" style="347" min="13318" max="13319"/>
    <col width="31.28" customWidth="1" style="347" min="13320" max="13320"/>
    <col width="13" customWidth="1" style="347" min="13321" max="13321"/>
    <col width="11.28" customWidth="1" style="347" min="13322" max="13324"/>
    <col width="13.71" customWidth="1" style="347" min="13325" max="13325"/>
    <col width="11.28" customWidth="1" style="347" min="13326" max="13329"/>
    <col width="9.140000000000001" customWidth="1" style="347" min="13330" max="13331"/>
    <col width="10.86" customWidth="1" style="347" min="13332" max="13332"/>
    <col width="9.140000000000001" customWidth="1" style="347" min="13333" max="13573"/>
    <col width="2" customWidth="1" style="347" min="13574" max="13575"/>
    <col width="31.28" customWidth="1" style="347" min="13576" max="13576"/>
    <col width="13" customWidth="1" style="347" min="13577" max="13577"/>
    <col width="11.28" customWidth="1" style="347" min="13578" max="13580"/>
    <col width="13.71" customWidth="1" style="347" min="13581" max="13581"/>
    <col width="11.28" customWidth="1" style="347" min="13582" max="13585"/>
    <col width="9.140000000000001" customWidth="1" style="347" min="13586" max="13587"/>
    <col width="10.86" customWidth="1" style="347" min="13588" max="13588"/>
    <col width="9.140000000000001" customWidth="1" style="347" min="13589" max="13829"/>
    <col width="2" customWidth="1" style="347" min="13830" max="13831"/>
    <col width="31.28" customWidth="1" style="347" min="13832" max="13832"/>
    <col width="13" customWidth="1" style="347" min="13833" max="13833"/>
    <col width="11.28" customWidth="1" style="347" min="13834" max="13836"/>
    <col width="13.71" customWidth="1" style="347" min="13837" max="13837"/>
    <col width="11.28" customWidth="1" style="347" min="13838" max="13841"/>
    <col width="9.140000000000001" customWidth="1" style="347" min="13842" max="13843"/>
    <col width="10.86" customWidth="1" style="347" min="13844" max="13844"/>
    <col width="9.140000000000001" customWidth="1" style="347" min="13845" max="14085"/>
    <col width="2" customWidth="1" style="347" min="14086" max="14087"/>
    <col width="31.28" customWidth="1" style="347" min="14088" max="14088"/>
    <col width="13" customWidth="1" style="347" min="14089" max="14089"/>
    <col width="11.28" customWidth="1" style="347" min="14090" max="14092"/>
    <col width="13.71" customWidth="1" style="347" min="14093" max="14093"/>
    <col width="11.28" customWidth="1" style="347" min="14094" max="14097"/>
    <col width="9.140000000000001" customWidth="1" style="347" min="14098" max="14099"/>
    <col width="10.86" customWidth="1" style="347" min="14100" max="14100"/>
    <col width="9.140000000000001" customWidth="1" style="347" min="14101" max="14341"/>
    <col width="2" customWidth="1" style="347" min="14342" max="14343"/>
    <col width="31.28" customWidth="1" style="347" min="14344" max="14344"/>
    <col width="13" customWidth="1" style="347" min="14345" max="14345"/>
    <col width="11.28" customWidth="1" style="347" min="14346" max="14348"/>
    <col width="13.71" customWidth="1" style="347" min="14349" max="14349"/>
    <col width="11.28" customWidth="1" style="347" min="14350" max="14353"/>
    <col width="9.140000000000001" customWidth="1" style="347" min="14354" max="14355"/>
    <col width="10.86" customWidth="1" style="347" min="14356" max="14356"/>
    <col width="9.140000000000001" customWidth="1" style="347" min="14357" max="14597"/>
    <col width="2" customWidth="1" style="347" min="14598" max="14599"/>
    <col width="31.28" customWidth="1" style="347" min="14600" max="14600"/>
    <col width="13" customWidth="1" style="347" min="14601" max="14601"/>
    <col width="11.28" customWidth="1" style="347" min="14602" max="14604"/>
    <col width="13.71" customWidth="1" style="347" min="14605" max="14605"/>
    <col width="11.28" customWidth="1" style="347" min="14606" max="14609"/>
    <col width="9.140000000000001" customWidth="1" style="347" min="14610" max="14611"/>
    <col width="10.86" customWidth="1" style="347" min="14612" max="14612"/>
    <col width="9.140000000000001" customWidth="1" style="347" min="14613" max="14853"/>
    <col width="2" customWidth="1" style="347" min="14854" max="14855"/>
    <col width="31.28" customWidth="1" style="347" min="14856" max="14856"/>
    <col width="13" customWidth="1" style="347" min="14857" max="14857"/>
    <col width="11.28" customWidth="1" style="347" min="14858" max="14860"/>
    <col width="13.71" customWidth="1" style="347" min="14861" max="14861"/>
    <col width="11.28" customWidth="1" style="347" min="14862" max="14865"/>
    <col width="9.140000000000001" customWidth="1" style="347" min="14866" max="14867"/>
    <col width="10.86" customWidth="1" style="347" min="14868" max="14868"/>
    <col width="9.140000000000001" customWidth="1" style="347" min="14869" max="15109"/>
    <col width="2" customWidth="1" style="347" min="15110" max="15111"/>
    <col width="31.28" customWidth="1" style="347" min="15112" max="15112"/>
    <col width="13" customWidth="1" style="347" min="15113" max="15113"/>
    <col width="11.28" customWidth="1" style="347" min="15114" max="15116"/>
    <col width="13.71" customWidth="1" style="347" min="15117" max="15117"/>
    <col width="11.28" customWidth="1" style="347" min="15118" max="15121"/>
    <col width="9.140000000000001" customWidth="1" style="347" min="15122" max="15123"/>
    <col width="10.86" customWidth="1" style="347" min="15124" max="15124"/>
    <col width="9.140000000000001" customWidth="1" style="347" min="15125" max="15365"/>
    <col width="2" customWidth="1" style="347" min="15366" max="15367"/>
    <col width="31.28" customWidth="1" style="347" min="15368" max="15368"/>
    <col width="13" customWidth="1" style="347" min="15369" max="15369"/>
    <col width="11.28" customWidth="1" style="347" min="15370" max="15372"/>
    <col width="13.71" customWidth="1" style="347" min="15373" max="15373"/>
    <col width="11.28" customWidth="1" style="347" min="15374" max="15377"/>
    <col width="9.140000000000001" customWidth="1" style="347" min="15378" max="15379"/>
    <col width="10.86" customWidth="1" style="347" min="15380" max="15380"/>
    <col width="9.140000000000001" customWidth="1" style="347" min="15381" max="15621"/>
    <col width="2" customWidth="1" style="347" min="15622" max="15623"/>
    <col width="31.28" customWidth="1" style="347" min="15624" max="15624"/>
    <col width="13" customWidth="1" style="347" min="15625" max="15625"/>
    <col width="11.28" customWidth="1" style="347" min="15626" max="15628"/>
    <col width="13.71" customWidth="1" style="347" min="15629" max="15629"/>
    <col width="11.28" customWidth="1" style="347" min="15630" max="15633"/>
    <col width="9.140000000000001" customWidth="1" style="347" min="15634" max="15635"/>
    <col width="10.86" customWidth="1" style="347" min="15636" max="15636"/>
    <col width="9.140000000000001" customWidth="1" style="347" min="15637" max="15877"/>
    <col width="2" customWidth="1" style="347" min="15878" max="15879"/>
    <col width="31.28" customWidth="1" style="347" min="15880" max="15880"/>
    <col width="13" customWidth="1" style="347" min="15881" max="15881"/>
    <col width="11.28" customWidth="1" style="347" min="15882" max="15884"/>
    <col width="13.71" customWidth="1" style="347" min="15885" max="15885"/>
    <col width="11.28" customWidth="1" style="347" min="15886" max="15889"/>
    <col width="9.140000000000001" customWidth="1" style="347" min="15890" max="15891"/>
    <col width="10.86" customWidth="1" style="347" min="15892" max="15892"/>
    <col width="9.140000000000001" customWidth="1" style="347" min="15893" max="16133"/>
    <col width="2" customWidth="1" style="347" min="16134" max="16135"/>
    <col width="31.28" customWidth="1" style="347" min="16136" max="16136"/>
    <col width="13" customWidth="1" style="347" min="16137" max="16137"/>
    <col width="11.28" customWidth="1" style="347" min="16138" max="16140"/>
    <col width="13.71" customWidth="1" style="347" min="16141" max="16141"/>
    <col width="11.28" customWidth="1" style="347" min="16142" max="16145"/>
    <col width="9.140000000000001" customWidth="1" style="347" min="16146" max="16147"/>
    <col width="10.86" customWidth="1" style="347" min="16148" max="16148"/>
    <col width="9.140000000000001" customWidth="1" style="347" min="16149" max="16384"/>
  </cols>
  <sheetData>
    <row r="1" outlineLevel="1" ht="6.75" customFormat="1" customHeight="1" s="348"/>
    <row r="2" outlineLevel="1" ht="6.75" customFormat="1" customHeight="1" s="348"/>
    <row r="3" outlineLevel="1" ht="12.75" customHeight="1" s="254">
      <c r="C3" s="347" t="str">
        <f>"Discounted Cash Flow Model for "&amp;ticker</f>
        <v>Discounted Cash Flow Model for </v>
      </c>
    </row>
    <row r="4" outlineLevel="1" ht="13.5" customHeight="1" s="254">
      <c r="C4" s="349" t="inlineStr">
        <is>
          <t>All figures in millions, except per share data</t>
        </is>
      </c>
      <c r="D4" s="349" t="n"/>
      <c r="E4" s="349" t="n"/>
      <c r="F4" s="349" t="n"/>
      <c r="G4" s="349" t="n"/>
      <c r="H4" s="349" t="n"/>
      <c r="I4" s="349" t="n"/>
      <c r="J4" s="349" t="n"/>
      <c r="K4" s="349" t="n"/>
      <c r="L4" s="349" t="n"/>
      <c r="M4" s="349" t="n"/>
      <c r="N4" s="349" t="n"/>
      <c r="O4" s="349" t="n"/>
      <c r="P4" s="349" t="n"/>
      <c r="Q4" s="349" t="n"/>
      <c r="R4" s="349" t="n"/>
      <c r="S4" s="349" t="n"/>
      <c r="T4" s="349" t="n"/>
      <c r="U4" s="349" t="n"/>
      <c r="V4" s="349" t="n"/>
    </row>
    <row r="5" outlineLevel="1" ht="12.75" customHeight="1" s="254"/>
    <row r="6" outlineLevel="1" ht="12.75" customHeight="1" s="254"/>
    <row r="7" outlineLevel="1" ht="12.75" customHeight="1" s="254">
      <c r="C7" s="347" t="inlineStr">
        <is>
          <t>Ticker</t>
        </is>
      </c>
      <c r="D7" s="350" t="n"/>
      <c r="F7" s="347" t="inlineStr">
        <is>
          <t>Last close</t>
        </is>
      </c>
      <c r="G7" s="351" t="n"/>
    </row>
    <row r="8" outlineLevel="1" ht="13.8" customHeight="1" s="254">
      <c r="C8" s="347" t="inlineStr">
        <is>
          <t>Operating scenario:</t>
        </is>
      </c>
      <c r="D8" s="352" t="str">
        <f>IF(scenario=2,"Base Case",IF(scenario=1,"Bull Case","Bear Case"))</f>
        <v>Base Case</v>
      </c>
      <c r="E8" s="353" t="n">
        <v>2</v>
      </c>
      <c r="F8" s="347" t="inlineStr">
        <is>
          <t>1 = Bull, 2 = Base, 3 = Bear</t>
        </is>
      </c>
    </row>
    <row r="9" outlineLevel="1" ht="12.75" customHeight="1" s="254">
      <c r="C9" s="347" t="inlineStr">
        <is>
          <t>Last fiscal year end date:</t>
        </is>
      </c>
      <c r="D9" s="354" t="n">
        <v>46022</v>
      </c>
    </row>
    <row r="10" outlineLevel="1" ht="12.75" customHeight="1" s="254">
      <c r="C10" s="347" t="inlineStr">
        <is>
          <t>Valuation / deal date:</t>
        </is>
      </c>
      <c r="D10" s="354" t="n">
        <v>46292</v>
      </c>
    </row>
    <row r="11" outlineLevel="1" ht="12.75" customHeight="1" s="254">
      <c r="C11" s="347" t="inlineStr">
        <is>
          <t>Stub year fraction:</t>
        </is>
      </c>
      <c r="D11" s="355">
        <f>1-(D10-D9)/365</f>
        <v>0.26027397260274</v>
      </c>
      <c r="E11" s="356" t="n"/>
      <c r="I11" s="357" t="n"/>
      <c r="O11" s="358" t="n"/>
      <c r="Z11" s="359" t="n"/>
    </row>
    <row r="12" outlineLevel="1" ht="12.75" customHeight="1" s="254">
      <c r="C12" s="347" t="inlineStr">
        <is>
          <t>Weighted average cost of capital:</t>
        </is>
      </c>
      <c r="D12" s="355" t="e">
        <f>J93</f>
        <v>#DIV/0!</v>
      </c>
      <c r="I12" s="357" t="n"/>
    </row>
    <row r="13" outlineLevel="1" ht="12.75" customHeight="1" s="254">
      <c r="D13" s="355" t="n"/>
      <c r="E13" s="355" t="n"/>
    </row>
    <row r="14" ht="14.9" customHeight="1" s="254">
      <c r="C14" s="360" t="inlineStr">
        <is>
          <t>Historicals</t>
        </is>
      </c>
      <c r="D14" s="360" t="n"/>
      <c r="E14" s="360" t="n"/>
      <c r="F14" s="360" t="n"/>
      <c r="G14" s="361" t="inlineStr">
        <is>
          <t>Projected Annual Forecast</t>
        </is>
      </c>
    </row>
    <row r="15" ht="13.8" customHeight="1" s="254">
      <c r="C15" s="362" t="n"/>
      <c r="D15" s="362" t="n"/>
      <c r="E15" s="362" t="n"/>
      <c r="F15" s="362" t="n"/>
      <c r="G15" s="363" t="inlineStr">
        <is>
          <t>Granular</t>
        </is>
      </c>
      <c r="H15" s="364" t="n"/>
      <c r="I15" s="364" t="n"/>
      <c r="J15" s="364" t="n"/>
      <c r="K15" s="364" t="n"/>
      <c r="L15" s="364" t="n"/>
      <c r="M15" s="365" t="inlineStr">
        <is>
          <t>Synthetic</t>
        </is>
      </c>
      <c r="N15" s="364" t="n"/>
      <c r="O15" s="364" t="n"/>
      <c r="P15" s="364" t="n"/>
      <c r="Q15" s="364" t="n"/>
      <c r="R15" s="364" t="n"/>
      <c r="S15" s="366" t="inlineStr">
        <is>
          <t>Fora do horizonte do Model (projecao vai ate 2037)</t>
        </is>
      </c>
      <c r="T15" s="364" t="n"/>
      <c r="U15" s="364" t="n"/>
      <c r="V15" s="364" t="n"/>
      <c r="X15" s="367" t="inlineStr">
        <is>
          <t>CAGR</t>
        </is>
      </c>
      <c r="Y15" s="368" t="n"/>
      <c r="Z15" s="368" t="n"/>
    </row>
    <row r="16" ht="13.8" customHeight="1" s="254">
      <c r="D16" s="369">
        <f>YEAR(D17)</f>
        <v>2023</v>
      </c>
      <c r="E16" s="369">
        <f>YEAR(E17)</f>
        <v>2024</v>
      </c>
      <c r="F16" s="369">
        <f>YEAR(F17)</f>
        <v>2025</v>
      </c>
      <c r="G16" s="369">
        <f>YEAR(G17)</f>
        <v>2026</v>
      </c>
      <c r="H16" s="369">
        <f>YEAR(H17)</f>
        <v>2027</v>
      </c>
      <c r="I16" s="369">
        <f>YEAR(I17)</f>
        <v>2028</v>
      </c>
      <c r="J16" s="369">
        <f>YEAR(J17)</f>
        <v>2029</v>
      </c>
      <c r="K16" s="369">
        <f>YEAR(K17)</f>
        <v>2030</v>
      </c>
      <c r="L16" s="369">
        <f>YEAR(L17)</f>
        <v>2031</v>
      </c>
      <c r="M16" s="369">
        <f>YEAR(M17)</f>
        <v>2032</v>
      </c>
      <c r="N16" s="369">
        <f>YEAR(N17)</f>
        <v>2033</v>
      </c>
      <c r="O16" s="369">
        <f>YEAR(O17)</f>
        <v>2034</v>
      </c>
      <c r="P16" s="369">
        <f>YEAR(P17)</f>
        <v>2035</v>
      </c>
      <c r="Q16" s="369">
        <f>YEAR(Q17)</f>
        <v>2036</v>
      </c>
      <c r="R16" s="369">
        <f>YEAR(R17)</f>
        <v>2037</v>
      </c>
      <c r="S16" s="370">
        <f>YEAR(S17)</f>
        <v>2038</v>
      </c>
      <c r="T16" s="370">
        <f>YEAR(T17)</f>
        <v>2039</v>
      </c>
      <c r="U16" s="370">
        <f>YEAR(U17)</f>
        <v>2040</v>
      </c>
      <c r="V16" s="370">
        <f>YEAR(V17)</f>
        <v>2041</v>
      </c>
      <c r="W16" s="369" t="n"/>
      <c r="X16" s="368" t="str">
        <f>F16&amp;"-"&amp;L16</f>
        <v>2025-2031</v>
      </c>
      <c r="Y16" s="368" t="str">
        <f>L16&amp;"-"&amp;R16</f>
        <v>2031-2037</v>
      </c>
      <c r="Z16" s="368" t="n"/>
    </row>
    <row r="17" outlineLevel="1" ht="12.75" customHeight="1" s="254">
      <c r="C17" s="371" t="n"/>
      <c r="D17" s="372">
        <f>DATE(YEAR(E17)-1,MONTH(E17),DAY(E17))</f>
        <v>45291.0</v>
      </c>
      <c r="E17" s="372">
        <f>DATE(YEAR(F17)-1,MONTH(F17),DAY(F17))</f>
        <v>45657.0</v>
      </c>
      <c r="F17" s="372">
        <f>DATE(YEAR(G17)-1,MONTH(G17),DAY(G17))</f>
        <v>46022.0</v>
      </c>
      <c r="G17" s="372">
        <f>DATE(YEAR(D9)+1,MONTH(D9),DAY(D9))</f>
        <v>46387.0</v>
      </c>
      <c r="H17" s="372">
        <f>DATE(YEAR(G17)+1,MONTH(G17),DAY(G17))</f>
        <v>46752.0</v>
      </c>
      <c r="I17" s="372">
        <f>DATE(YEAR(H17)+1,MONTH(H17),DAY(H17))</f>
        <v>47118.0</v>
      </c>
      <c r="J17" s="372">
        <f>DATE(YEAR(I17)+1,MONTH(I17),DAY(I17))</f>
        <v>47483.0</v>
      </c>
      <c r="K17" s="372">
        <f>DATE(YEAR(J17)+1,MONTH(J17),DAY(J17))</f>
        <v>47848.0</v>
      </c>
      <c r="L17" s="372">
        <f>DATE(YEAR(K17)+1,MONTH(K17),DAY(K17))</f>
        <v>48213.0</v>
      </c>
      <c r="M17" s="372">
        <f>DATE(YEAR(L17)+1,MONTH(L17),DAY(L17))</f>
        <v>48579.0</v>
      </c>
      <c r="N17" s="372">
        <f>DATE(YEAR(M17)+1,MONTH(M17),DAY(M17))</f>
        <v>48944.0</v>
      </c>
      <c r="O17" s="372">
        <f>DATE(YEAR(N17)+1,MONTH(N17),DAY(N17))</f>
        <v>49309.0</v>
      </c>
      <c r="P17" s="372">
        <f>DATE(YEAR(O17)+1,MONTH(O17),DAY(O17))</f>
        <v>49674.0</v>
      </c>
      <c r="Q17" s="372">
        <f>DATE(YEAR(P17)+1,MONTH(P17),DAY(P17))</f>
        <v>50040.0</v>
      </c>
      <c r="R17" s="372">
        <f>DATE(YEAR(Q17)+1,MONTH(Q17),DAY(Q17))</f>
        <v>50405.0</v>
      </c>
      <c r="S17" s="372">
        <f>DATE(YEAR(R17)+1,MONTH(R17),DAY(R17))</f>
        <v>50770.0</v>
      </c>
      <c r="T17" s="372">
        <f>DATE(YEAR(S17)+1,MONTH(S17),DAY(S17))</f>
        <v>51135.0</v>
      </c>
      <c r="U17" s="372">
        <f>DATE(YEAR(T17)+1,MONTH(T17),DAY(T17))</f>
        <v>51501.0</v>
      </c>
      <c r="V17" s="372">
        <f>DATE(YEAR(U17)+1,MONTH(U17),DAY(U17))</f>
        <v>51866.0</v>
      </c>
      <c r="W17" s="373" t="n"/>
      <c r="X17" s="368" t="n"/>
      <c r="Y17" s="368" t="n"/>
      <c r="Z17" s="368" t="n"/>
    </row>
    <row r="18" ht="12.75" customHeight="1" s="254">
      <c r="C18" s="374" t="inlineStr">
        <is>
          <t>Net Revenues</t>
        </is>
      </c>
      <c r="D18" s="375">
        <f>Model!W15</f>
        <v>316619</v>
      </c>
      <c r="E18" s="375">
        <f>Model!AB15</f>
        <v>284311</v>
      </c>
      <c r="F18" s="375">
        <f>Model!AG15</f>
        <v>266886</v>
      </c>
      <c r="G18" s="375">
        <f>Model!AL15</f>
        <v>296601</v>
      </c>
      <c r="H18" s="375">
        <f>Model!AQ15</f>
        <v>296601</v>
      </c>
      <c r="I18" s="375">
        <f>Model!AV15</f>
        <v>296601</v>
      </c>
      <c r="J18" s="375">
        <f>Model!BA15</f>
        <v>296601</v>
      </c>
      <c r="K18" s="375">
        <f>Model!BF15</f>
        <v>296601</v>
      </c>
      <c r="L18" s="375">
        <f>Model!BK15</f>
        <v>296601</v>
      </c>
      <c r="M18" s="375">
        <f>Model!BP15</f>
        <v>296601</v>
      </c>
      <c r="N18" s="375">
        <f>Model!BU15</f>
        <v>296601</v>
      </c>
      <c r="O18" s="375">
        <f>Model!BZ15</f>
        <v>296601</v>
      </c>
      <c r="P18" s="375">
        <f>Model!CE15</f>
        <v>296601</v>
      </c>
      <c r="Q18" s="375">
        <f>Model!CJ15</f>
        <v>296601</v>
      </c>
      <c r="R18" s="375">
        <f>Model!CO15</f>
        <v>296601</v>
      </c>
      <c r="S18" s="375" t="n"/>
      <c r="T18" s="375" t="n"/>
      <c r="U18" s="375" t="n"/>
      <c r="V18" s="376" t="n"/>
      <c r="X18" s="377">
        <f>((L18/F18)^(1/6))-1</f>
        <v>0.0177500593525619</v>
      </c>
      <c r="Y18" s="377">
        <f>((R18/L18)^(1/6))-1</f>
        <v>0</v>
      </c>
      <c r="Z18" s="368" t="n"/>
    </row>
    <row r="19" ht="12.75" customHeight="1" s="254">
      <c r="C19" s="378" t="n"/>
      <c r="D19" s="371" t="n"/>
      <c r="E19" s="379">
        <f>E18/D18-1</f>
        <v>-0.102040622956929</v>
      </c>
      <c r="F19" s="379">
        <f>F18/E18-1</f>
        <v>-0.0612885185589021</v>
      </c>
      <c r="G19" s="379">
        <f>G18/F18-1</f>
        <v>0.11133967311886</v>
      </c>
      <c r="H19" s="379">
        <f>H18/G18-1</f>
        <v>0</v>
      </c>
      <c r="I19" s="379">
        <f>I18/H18-1</f>
        <v>0</v>
      </c>
      <c r="J19" s="379">
        <f>J18/I18-1</f>
        <v>0</v>
      </c>
      <c r="K19" s="379">
        <f>K18/J18-1</f>
        <v>0</v>
      </c>
      <c r="L19" s="379">
        <f>L18/K18-1</f>
        <v>0</v>
      </c>
      <c r="M19" s="379">
        <f>M18/L18-1</f>
        <v>0</v>
      </c>
      <c r="N19" s="379">
        <f>N18/M18-1</f>
        <v>0</v>
      </c>
      <c r="O19" s="379">
        <f>O18/N18-1</f>
        <v>0</v>
      </c>
      <c r="P19" s="379">
        <f>P18/O18-1</f>
        <v>0</v>
      </c>
      <c r="Q19" s="379">
        <f>Q18/P18-1</f>
        <v>0</v>
      </c>
      <c r="R19" s="379">
        <f>R18/Q18-1</f>
        <v>0</v>
      </c>
      <c r="S19" s="379" t="n"/>
      <c r="T19" s="379" t="n"/>
      <c r="U19" s="379" t="n"/>
      <c r="V19" s="380" t="n"/>
      <c r="X19" s="368" t="n"/>
      <c r="Y19" s="368" t="n"/>
      <c r="Z19" s="368" t="n"/>
    </row>
    <row r="20" outlineLevel="1" ht="12.75" customHeight="1" s="254">
      <c r="C20" s="381" t="inlineStr">
        <is>
          <t>EBITDA</t>
        </is>
      </c>
      <c r="D20" s="375">
        <f>Model!W75</f>
        <v>62026</v>
      </c>
      <c r="E20" s="375">
        <f>Model!AB75</f>
        <v>56861</v>
      </c>
      <c r="F20" s="375">
        <f>Model!AG75</f>
        <v>52881</v>
      </c>
      <c r="G20" s="375">
        <f>Model!AL75</f>
        <v>37463</v>
      </c>
      <c r="H20" s="375">
        <f>Model!AQ75</f>
        <v>0</v>
      </c>
      <c r="I20" s="375">
        <f>Model!BA75</f>
        <v>0</v>
      </c>
      <c r="J20" s="375">
        <f>Model!BA75</f>
        <v>0</v>
      </c>
      <c r="K20" s="375">
        <f>Model!BF75</f>
        <v>0</v>
      </c>
      <c r="L20" s="375">
        <f>Model!BK75</f>
        <v>0</v>
      </c>
      <c r="M20" s="382" t="n"/>
      <c r="N20" s="382" t="n"/>
      <c r="O20" s="382" t="n"/>
      <c r="P20" s="382" t="n"/>
      <c r="Q20" s="382" t="n"/>
      <c r="R20" s="382" t="n"/>
      <c r="S20" s="382" t="n"/>
      <c r="T20" s="382" t="n"/>
      <c r="U20" s="382" t="n"/>
      <c r="V20" s="383" t="n"/>
      <c r="X20" s="368" t="n"/>
      <c r="Y20" s="368" t="n"/>
      <c r="Z20" s="368" t="n"/>
    </row>
    <row r="21" outlineLevel="1" ht="12.75" customHeight="1" s="254">
      <c r="C21" s="378" t="n"/>
      <c r="D21" s="384">
        <f>D20/D18</f>
        <v>0.195901067213275</v>
      </c>
      <c r="E21" s="384">
        <f>E20/E18</f>
        <v>0.199995779269884</v>
      </c>
      <c r="F21" s="384">
        <f>F20/F18</f>
        <v>0.198140779209101</v>
      </c>
      <c r="G21" s="384">
        <f>G20/G18</f>
        <v>0.126307733284783</v>
      </c>
      <c r="H21" s="384">
        <f>H20/H18</f>
        <v>0</v>
      </c>
      <c r="I21" s="384">
        <f>I20/I18</f>
        <v>0</v>
      </c>
      <c r="J21" s="384">
        <f>J20/J18</f>
        <v>0</v>
      </c>
      <c r="K21" s="384">
        <f>K20/K18</f>
        <v>0</v>
      </c>
      <c r="L21" s="384">
        <f>L20/L18</f>
        <v>0</v>
      </c>
      <c r="M21" s="371" t="n"/>
      <c r="N21" s="371" t="n"/>
      <c r="O21" s="371" t="n"/>
      <c r="P21" s="371" t="n"/>
      <c r="Q21" s="371" t="n"/>
      <c r="R21" s="371" t="n"/>
      <c r="S21" s="371" t="n"/>
      <c r="T21" s="371" t="n"/>
      <c r="U21" s="371" t="n"/>
      <c r="V21" s="385" t="n"/>
      <c r="X21" s="377" t="n"/>
      <c r="Y21" s="377" t="n"/>
      <c r="Z21" s="368" t="n"/>
    </row>
    <row r="22" outlineLevel="1" ht="12.75" customHeight="1" s="254">
      <c r="C22" s="374" t="inlineStr">
        <is>
          <t>EBIT</t>
        </is>
      </c>
      <c r="D22" s="375">
        <f>Model!W79</f>
        <v>30737</v>
      </c>
      <c r="E22" s="375">
        <f>Model!AB79</f>
        <v>29989</v>
      </c>
      <c r="F22" s="375">
        <f>Model!AG79</f>
        <v>27582</v>
      </c>
      <c r="G22" s="375">
        <f>Model!AL79</f>
        <v>25537</v>
      </c>
      <c r="H22" s="375">
        <f>Model!AQ79</f>
        <v>0</v>
      </c>
      <c r="I22" s="375">
        <f>Model!AV79</f>
        <v>0</v>
      </c>
      <c r="J22" s="375">
        <f>Model!BA79</f>
        <v>0</v>
      </c>
      <c r="K22" s="375">
        <f>Model!BF79</f>
        <v>0</v>
      </c>
      <c r="L22" s="375">
        <f>Model!BK79</f>
        <v>0</v>
      </c>
      <c r="M22" s="375">
        <f>Model!BP79</f>
        <v>0</v>
      </c>
      <c r="N22" s="375">
        <f>Model!BU79</f>
        <v>0</v>
      </c>
      <c r="O22" s="375">
        <f>Model!BZ79</f>
        <v>0</v>
      </c>
      <c r="P22" s="375">
        <f>Model!CE79</f>
        <v>0</v>
      </c>
      <c r="Q22" s="375">
        <f>Model!CJ79</f>
        <v>0</v>
      </c>
      <c r="R22" s="375">
        <f>Model!CO79</f>
        <v>0</v>
      </c>
      <c r="S22" s="375" t="n"/>
      <c r="T22" s="375" t="n"/>
      <c r="U22" s="375" t="n"/>
      <c r="V22" s="376" t="n"/>
      <c r="X22" s="377">
        <f>((L22/F22)^(1/6))-1</f>
        <v>-1</v>
      </c>
      <c r="Y22" s="377" t="e">
        <f>((R22/L22)^(1/6))-1</f>
        <v>#DIV/0!</v>
      </c>
      <c r="Z22" s="368" t="n"/>
    </row>
    <row r="23" outlineLevel="1" ht="12.75" customHeight="1" s="254">
      <c r="C23" s="378" t="n"/>
      <c r="D23" s="384">
        <f>D22/D18</f>
        <v>0.09707882344395</v>
      </c>
      <c r="E23" s="384">
        <f>E22/E18</f>
        <v>0.105479562873051</v>
      </c>
      <c r="F23" s="384">
        <f>F22/F18</f>
        <v>0.103347496683977</v>
      </c>
      <c r="G23" s="384">
        <f>G22/G18</f>
        <v>0.0860988331124979</v>
      </c>
      <c r="H23" s="384">
        <f>H22/H18</f>
        <v>0</v>
      </c>
      <c r="I23" s="384">
        <f>I22/I18</f>
        <v>0</v>
      </c>
      <c r="J23" s="384">
        <f>J22/J18</f>
        <v>0</v>
      </c>
      <c r="K23" s="384">
        <f>K22/K18</f>
        <v>0</v>
      </c>
      <c r="L23" s="384">
        <f>L22/L18</f>
        <v>0</v>
      </c>
      <c r="M23" s="384">
        <f>M22/M18</f>
        <v>0</v>
      </c>
      <c r="N23" s="384">
        <f>N22/N18</f>
        <v>0</v>
      </c>
      <c r="O23" s="384">
        <f>O22/O18</f>
        <v>0</v>
      </c>
      <c r="P23" s="384">
        <f>P22/P18</f>
        <v>0</v>
      </c>
      <c r="Q23" s="384">
        <f>Q22/Q18</f>
        <v>0</v>
      </c>
      <c r="R23" s="384">
        <f>R22/R18</f>
        <v>0</v>
      </c>
      <c r="S23" s="384" t="n"/>
      <c r="T23" s="384" t="n"/>
      <c r="U23" s="384" t="n"/>
      <c r="V23" s="386" t="n"/>
      <c r="X23" s="368" t="n"/>
      <c r="Y23" s="368" t="n"/>
      <c r="Z23" s="368" t="n"/>
    </row>
    <row r="24" ht="12.75" customHeight="1" s="254">
      <c r="C24" s="374" t="inlineStr">
        <is>
          <t>Tax rate</t>
        </is>
      </c>
      <c r="D24" s="387">
        <f>Model!W138</f>
        <v>0.39815495893098</v>
      </c>
      <c r="E24" s="387">
        <f>Model!AB138</f>
        <v>0.447849480332854</v>
      </c>
      <c r="F24" s="387">
        <f>Model!AG138</f>
        <v>0.391080790428821</v>
      </c>
      <c r="G24" s="387">
        <f>Model!AL138</f>
        <v>0.313037407216874</v>
      </c>
      <c r="H24" s="387">
        <f>Model!AQ138</f>
        <v>0</v>
      </c>
      <c r="I24" s="387">
        <f>Model!AV138</f>
        <v>0</v>
      </c>
      <c r="J24" s="387">
        <f>Model!BA138</f>
        <v>0</v>
      </c>
      <c r="K24" s="387">
        <f>Model!BF138</f>
        <v>0</v>
      </c>
      <c r="L24" s="387">
        <f>Model!BK138</f>
        <v>0</v>
      </c>
      <c r="M24" s="387">
        <f>Model!BP138</f>
        <v>0</v>
      </c>
      <c r="N24" s="387">
        <f>Model!BU138</f>
        <v>0</v>
      </c>
      <c r="O24" s="387">
        <f>Model!BZ138</f>
        <v>0</v>
      </c>
      <c r="P24" s="387">
        <f>Model!CE138</f>
        <v>0</v>
      </c>
      <c r="Q24" s="387">
        <f>Model!CJ138</f>
        <v>0</v>
      </c>
      <c r="R24" s="387">
        <f>Model!CO138</f>
        <v>0</v>
      </c>
      <c r="S24" s="387" t="n"/>
      <c r="T24" s="387" t="n"/>
      <c r="U24" s="387" t="n"/>
      <c r="V24" s="388" t="n"/>
      <c r="X24" s="368" t="n"/>
      <c r="Y24" s="368" t="n"/>
      <c r="Z24" s="368" t="n"/>
    </row>
    <row r="25" ht="12.75" customHeight="1" s="254">
      <c r="C25" s="378" t="inlineStr">
        <is>
          <t>NOPLAT</t>
        </is>
      </c>
      <c r="D25" s="389">
        <f>D22*(1-D24)</f>
        <v>18498.9110273385</v>
      </c>
      <c r="E25" s="389">
        <f>E22*(1-E24)</f>
        <v>16558.441934298</v>
      </c>
      <c r="F25" s="389">
        <f>F22*(1-F24)</f>
        <v>16795.2096383923</v>
      </c>
      <c r="G25" s="389">
        <f>G22*(1-G24)</f>
        <v>17542.9637319027</v>
      </c>
      <c r="H25" s="389">
        <f>H22*(1-H24)</f>
        <v>0</v>
      </c>
      <c r="I25" s="389">
        <f>I22*(1-I24)</f>
        <v>0</v>
      </c>
      <c r="J25" s="389">
        <f>J22*(1-J24)</f>
        <v>0</v>
      </c>
      <c r="K25" s="389">
        <f>K22*(1-K24)</f>
        <v>0</v>
      </c>
      <c r="L25" s="389">
        <f>L22*(1-L24)</f>
        <v>0</v>
      </c>
      <c r="M25" s="389">
        <f>M22*(1-M24)</f>
        <v>0</v>
      </c>
      <c r="N25" s="389">
        <f>N22*(1-N24)</f>
        <v>0</v>
      </c>
      <c r="O25" s="389">
        <f>O22*(1-O24)</f>
        <v>0</v>
      </c>
      <c r="P25" s="389">
        <f>P22*(1-P24)</f>
        <v>0</v>
      </c>
      <c r="Q25" s="389">
        <f>Q22*(1-Q24)</f>
        <v>0</v>
      </c>
      <c r="R25" s="389">
        <f>R22*(1-R24)</f>
        <v>0</v>
      </c>
      <c r="S25" s="389" t="n"/>
      <c r="T25" s="389" t="n"/>
      <c r="U25" s="389" t="n"/>
      <c r="V25" s="390" t="n"/>
      <c r="X25" s="377" t="n"/>
      <c r="Y25" s="377" t="n"/>
      <c r="Z25" s="368" t="n"/>
    </row>
    <row r="26" ht="12.75" customHeight="1" s="254">
      <c r="C26" s="391" t="inlineStr">
        <is>
          <t>Depreciation &amp; Amortization</t>
        </is>
      </c>
      <c r="D26" s="392">
        <f>Model!W76</f>
        <v>-31289</v>
      </c>
      <c r="E26" s="392">
        <f>Model!AB76</f>
        <v>-26872</v>
      </c>
      <c r="F26" s="392">
        <f>Model!AG76</f>
        <v>-25299</v>
      </c>
      <c r="G26" s="392">
        <f>Model!AL76</f>
        <v>-11926</v>
      </c>
      <c r="H26" s="392">
        <f>Model!AQ76</f>
        <v>0</v>
      </c>
      <c r="I26" s="392">
        <f>Model!AV76</f>
        <v>0</v>
      </c>
      <c r="J26" s="392">
        <f>Model!BA76</f>
        <v>0</v>
      </c>
      <c r="K26" s="392">
        <f>Model!BF76</f>
        <v>0</v>
      </c>
      <c r="L26" s="393">
        <f>Model!BK76</f>
        <v>0</v>
      </c>
      <c r="X26" s="368" t="n"/>
      <c r="Y26" s="368" t="n"/>
      <c r="Z26" s="368" t="n"/>
    </row>
    <row r="27" ht="12.75" customHeight="1" s="254">
      <c r="C27" s="394" t="inlineStr">
        <is>
          <t>Cash from working capital</t>
        </is>
      </c>
      <c r="D27" s="395">
        <f>SUM(D28:D39)</f>
        <v>3015</v>
      </c>
      <c r="E27" s="395">
        <f>SUM(E28:E39)</f>
        <v>968</v>
      </c>
      <c r="F27" s="395">
        <f>SUM(F28:F39)</f>
        <v>2733</v>
      </c>
      <c r="G27" s="395">
        <f>SUM(G28:G39)</f>
        <v>7941</v>
      </c>
      <c r="H27" s="395" t="e">
        <f>SUM(H28:H39)</f>
        <v>#DIV/0!</v>
      </c>
      <c r="I27" s="395" t="e">
        <f>SUM(I28:I39)</f>
        <v>#DIV/0!</v>
      </c>
      <c r="J27" s="395" t="e">
        <f>SUM(J28:J39)</f>
        <v>#DIV/0!</v>
      </c>
      <c r="K27" s="395" t="e">
        <f>SUM(K28:K39)</f>
        <v>#DIV/0!</v>
      </c>
      <c r="L27" s="396" t="e">
        <f>SUM(L28:L39)</f>
        <v>#DIV/0!</v>
      </c>
      <c r="X27" s="368" t="n"/>
      <c r="Y27" s="368" t="n"/>
      <c r="Z27" s="368" t="n"/>
    </row>
    <row r="28" outlineLevel="1" ht="12.75" customHeight="1" s="254">
      <c r="C28" s="397" t="inlineStr">
        <is>
          <t>Accounts receivable</t>
        </is>
      </c>
      <c r="D28" s="398">
        <f>Model!W286</f>
        <v>13237</v>
      </c>
      <c r="E28" s="398">
        <f>Model!AB286</f>
        <v>7413</v>
      </c>
      <c r="F28" s="398">
        <f>Model!AG286</f>
        <v>1263</v>
      </c>
      <c r="G28" s="398">
        <f>Model!AL286</f>
        <v>44597</v>
      </c>
      <c r="H28" s="398">
        <f>Model!AQ286</f>
        <v>0</v>
      </c>
      <c r="I28" s="398">
        <f>Model!AV286</f>
        <v>0</v>
      </c>
      <c r="J28" s="398">
        <f>Model!BA286</f>
        <v>0</v>
      </c>
      <c r="K28" s="398">
        <f>Model!BF286</f>
        <v>0</v>
      </c>
      <c r="L28" s="399">
        <f>Model!BK286</f>
        <v>0</v>
      </c>
      <c r="X28" s="368" t="n"/>
      <c r="Y28" s="368" t="n"/>
      <c r="Z28" s="368" t="n"/>
    </row>
    <row r="29" outlineLevel="1" ht="12.75" customHeight="1" s="254">
      <c r="C29" s="397" t="inlineStr">
        <is>
          <t>Inventories</t>
        </is>
      </c>
      <c r="D29" s="398">
        <f>Model!W287</f>
        <v>5875</v>
      </c>
      <c r="E29" s="398">
        <f>Model!AB287</f>
        <v>2593</v>
      </c>
      <c r="F29" s="398">
        <f>Model!AG287</f>
        <v>1210</v>
      </c>
      <c r="G29" s="398">
        <f>Model!AL287</f>
        <v>22216</v>
      </c>
      <c r="H29" s="398">
        <f>Model!AQ287</f>
        <v>0</v>
      </c>
      <c r="I29" s="398">
        <f>Model!AV287</f>
        <v>0</v>
      </c>
      <c r="J29" s="398">
        <f>Model!BA287</f>
        <v>0</v>
      </c>
      <c r="K29" s="398">
        <f>Model!BF287</f>
        <v>0</v>
      </c>
      <c r="L29" s="399">
        <f>Model!BK287</f>
        <v>0</v>
      </c>
      <c r="X29" s="368" t="n"/>
      <c r="Y29" s="368" t="n"/>
      <c r="Z29" s="368" t="n"/>
    </row>
    <row r="30" outlineLevel="1" ht="12.75" customHeight="1" s="254">
      <c r="C30" s="397" t="inlineStr">
        <is>
          <t>Deferred income taxes (assets)</t>
        </is>
      </c>
      <c r="D30" s="398">
        <f>Model!W288</f>
        <v>1361</v>
      </c>
      <c r="E30" s="398">
        <f>Model!AB288</f>
        <v>-403</v>
      </c>
      <c r="F30" s="398">
        <f>Model!AG288</f>
        <v>-1316</v>
      </c>
      <c r="G30" s="398">
        <f>Model!AL288</f>
        <v>1567</v>
      </c>
      <c r="H30" s="398">
        <f>Model!AQ288</f>
        <v>0</v>
      </c>
      <c r="I30" s="398">
        <f>Model!AV288</f>
        <v>0</v>
      </c>
      <c r="J30" s="398">
        <f>Model!BA288</f>
        <v>0</v>
      </c>
      <c r="K30" s="398">
        <f>Model!BF288</f>
        <v>0</v>
      </c>
      <c r="L30" s="399">
        <f>Model!BK288</f>
        <v>0</v>
      </c>
      <c r="X30" s="368" t="n"/>
      <c r="Y30" s="368" t="n"/>
      <c r="Z30" s="368" t="n"/>
    </row>
    <row r="31" outlineLevel="1" ht="12.75" customHeight="1" s="254">
      <c r="C31" s="397" t="inlineStr">
        <is>
          <t>Prepaid expenses</t>
        </is>
      </c>
      <c r="D31" s="398">
        <f>Model!W289</f>
        <v>0</v>
      </c>
      <c r="E31" s="398">
        <f>Model!AB289</f>
        <v>0</v>
      </c>
      <c r="F31" s="398">
        <f>Model!AG289</f>
        <v>0</v>
      </c>
      <c r="G31" s="398">
        <f>Model!AL289</f>
        <v>0</v>
      </c>
      <c r="H31" s="398">
        <f>Model!AQ289</f>
        <v>0</v>
      </c>
      <c r="I31" s="398">
        <f>Model!AV289</f>
        <v>0</v>
      </c>
      <c r="J31" s="398">
        <f>Model!BA289</f>
        <v>0</v>
      </c>
      <c r="K31" s="398">
        <f>Model!BF289</f>
        <v>0</v>
      </c>
      <c r="L31" s="399">
        <f>Model!BK289</f>
        <v>0</v>
      </c>
      <c r="X31" s="368" t="n"/>
      <c r="Y31" s="368" t="n"/>
      <c r="Z31" s="368" t="n"/>
    </row>
    <row r="32" outlineLevel="1" ht="12.75" customHeight="1" s="254">
      <c r="C32" s="397" t="inlineStr">
        <is>
          <t>Other current assets</t>
        </is>
      </c>
      <c r="D32" s="398">
        <f>Model!W290</f>
        <v>11239</v>
      </c>
      <c r="E32" s="398">
        <f>Model!AB290</f>
        <v>-3479</v>
      </c>
      <c r="F32" s="398">
        <f>Model!AG290</f>
        <v>9383</v>
      </c>
      <c r="G32" s="398">
        <f>Model!AL290</f>
        <v>-1736</v>
      </c>
      <c r="H32" s="398">
        <f>Model!AQ290</f>
        <v>0</v>
      </c>
      <c r="I32" s="398">
        <f>Model!AV290</f>
        <v>0</v>
      </c>
      <c r="J32" s="398">
        <f>Model!BA290</f>
        <v>0</v>
      </c>
      <c r="K32" s="398">
        <f>Model!BF290</f>
        <v>0</v>
      </c>
      <c r="L32" s="399">
        <f>Model!BK290</f>
        <v>0</v>
      </c>
      <c r="X32" s="368" t="n"/>
      <c r="Y32" s="368" t="n"/>
      <c r="Z32" s="368" t="n"/>
    </row>
    <row r="33" outlineLevel="1" ht="12.75" customHeight="1" s="254">
      <c r="C33" s="397" t="inlineStr">
        <is>
          <t>Accounts payable</t>
        </is>
      </c>
      <c r="D33" s="398">
        <f>Model!W291</f>
        <v>-11120</v>
      </c>
      <c r="E33" s="398">
        <f>Model!AB291</f>
        <v>-7544</v>
      </c>
      <c r="F33" s="398">
        <f>Model!AG291</f>
        <v>-2923</v>
      </c>
      <c r="G33" s="398">
        <f>Model!AL291</f>
        <v>-57770</v>
      </c>
      <c r="H33" s="398">
        <f>Model!AQ291</f>
        <v>0</v>
      </c>
      <c r="I33" s="398">
        <f>Model!AV291</f>
        <v>0</v>
      </c>
      <c r="J33" s="398">
        <f>Model!BA291</f>
        <v>0</v>
      </c>
      <c r="K33" s="398">
        <f>Model!BF291</f>
        <v>0</v>
      </c>
      <c r="L33" s="399">
        <f>Model!BK291</f>
        <v>0</v>
      </c>
      <c r="X33" s="368" t="n"/>
      <c r="Y33" s="368" t="n"/>
      <c r="Z33" s="368" t="n"/>
    </row>
    <row r="34" outlineLevel="1" ht="12.75" customHeight="1" s="254">
      <c r="C34" s="397" t="inlineStr">
        <is>
          <t>Accrued expenses</t>
        </is>
      </c>
      <c r="D34" s="398">
        <f>Model!W292</f>
        <v>0</v>
      </c>
      <c r="E34" s="398">
        <f>Model!AB292</f>
        <v>0</v>
      </c>
      <c r="F34" s="398">
        <f>Model!AG292</f>
        <v>0</v>
      </c>
      <c r="G34" s="398">
        <f>Model!AL292</f>
        <v>0</v>
      </c>
      <c r="H34" s="398" t="e">
        <f>Model!AQ292</f>
        <v>#DIV/0!</v>
      </c>
      <c r="I34" s="398" t="e">
        <f>Model!AV292</f>
        <v>#DIV/0!</v>
      </c>
      <c r="J34" s="398" t="e">
        <f>Model!BA292</f>
        <v>#DIV/0!</v>
      </c>
      <c r="K34" s="398" t="e">
        <f>Model!BF292</f>
        <v>#DIV/0!</v>
      </c>
      <c r="L34" s="399" t="e">
        <f>Model!BK292</f>
        <v>#DIV/0!</v>
      </c>
      <c r="X34" s="368" t="n"/>
      <c r="Y34" s="368" t="n"/>
      <c r="Z34" s="368" t="n"/>
    </row>
    <row r="35" outlineLevel="1" ht="12.75" customHeight="1" s="254">
      <c r="C35" s="397" t="inlineStr">
        <is>
          <t>Taxes payable</t>
        </is>
      </c>
      <c r="D35" s="398">
        <f>Model!W293</f>
        <v>-1447</v>
      </c>
      <c r="E35" s="398">
        <f>Model!AB293</f>
        <v>1226</v>
      </c>
      <c r="F35" s="398">
        <f>Model!AG293</f>
        <v>-1498</v>
      </c>
      <c r="G35" s="398">
        <f>Model!AL293</f>
        <v>-3150</v>
      </c>
      <c r="H35" s="398" t="e">
        <f>Model!AQ293</f>
        <v>#DIV/0!</v>
      </c>
      <c r="I35" s="398" t="e">
        <f>Model!AV293</f>
        <v>#DIV/0!</v>
      </c>
      <c r="J35" s="398" t="e">
        <f>Model!BA293</f>
        <v>#DIV/0!</v>
      </c>
      <c r="K35" s="398" t="e">
        <f>Model!BF293</f>
        <v>#DIV/0!</v>
      </c>
      <c r="L35" s="399" t="e">
        <f>Model!BK293</f>
        <v>#DIV/0!</v>
      </c>
      <c r="X35" s="368" t="n"/>
      <c r="Y35" s="368" t="n"/>
      <c r="Z35" s="368" t="n"/>
    </row>
    <row r="36" outlineLevel="1" ht="12.75" customHeight="1" s="254">
      <c r="C36" s="397" t="inlineStr">
        <is>
          <t>Other current liabilities</t>
        </is>
      </c>
      <c r="D36" s="398">
        <f>Model!W294</f>
        <v>-14207</v>
      </c>
      <c r="E36" s="398">
        <f>Model!AB294</f>
        <v>4188</v>
      </c>
      <c r="F36" s="398">
        <f>Model!AG294</f>
        <v>-5698</v>
      </c>
      <c r="G36" s="398">
        <f>Model!AL294</f>
        <v>-385</v>
      </c>
      <c r="H36" s="398">
        <f>Model!AQ294</f>
        <v>0</v>
      </c>
      <c r="I36" s="398">
        <f>Model!AV294</f>
        <v>0</v>
      </c>
      <c r="J36" s="398">
        <f>Model!BA294</f>
        <v>0</v>
      </c>
      <c r="K36" s="398">
        <f>Model!BF294</f>
        <v>0</v>
      </c>
      <c r="L36" s="399">
        <f>Model!BK294</f>
        <v>0</v>
      </c>
      <c r="X36" s="368" t="n"/>
      <c r="Y36" s="368" t="n"/>
      <c r="Z36" s="368" t="n"/>
    </row>
    <row r="37" outlineLevel="1" ht="12.75" customHeight="1" s="254">
      <c r="C37" s="397" t="inlineStr">
        <is>
          <t>Deferred tax (liabilities)</t>
        </is>
      </c>
      <c r="D37" s="398">
        <f>Model!W295</f>
        <v>-839</v>
      </c>
      <c r="E37" s="398">
        <f>Model!AB295</f>
        <v>-1842</v>
      </c>
      <c r="F37" s="398">
        <f>Model!AG295</f>
        <v>-1522</v>
      </c>
      <c r="G37" s="398">
        <f>Model!AL295</f>
        <v>-152</v>
      </c>
      <c r="H37" s="398">
        <f>Model!AQ295</f>
        <v>0</v>
      </c>
      <c r="I37" s="398">
        <f>Model!AV295</f>
        <v>0</v>
      </c>
      <c r="J37" s="398">
        <f>Model!BA295</f>
        <v>0</v>
      </c>
      <c r="K37" s="398">
        <f>Model!BF295</f>
        <v>0</v>
      </c>
      <c r="L37" s="399">
        <f>Model!BK295</f>
        <v>0</v>
      </c>
      <c r="X37" s="368" t="n"/>
      <c r="Y37" s="368" t="n"/>
      <c r="Z37" s="368" t="n"/>
    </row>
    <row r="38" outlineLevel="1" ht="15" customHeight="1" s="254">
      <c r="C38" s="397" t="inlineStr">
        <is>
          <t>Other non-current assets</t>
        </is>
      </c>
      <c r="D38" s="398">
        <f>(Model!W195-Model!R195)*-1</f>
        <v>1568</v>
      </c>
      <c r="E38" s="398">
        <f>(Model!AB195-Model!W195)*-1</f>
        <v>846</v>
      </c>
      <c r="F38" s="398">
        <f>(Model!AG195-Model!AB195)*-1</f>
        <v>3170</v>
      </c>
      <c r="G38" s="398">
        <f>(Model!AL195-Model!AG195)*-1</f>
        <v>120</v>
      </c>
      <c r="H38" s="398">
        <f>(Model!AQ195-Model!AL195)*-1</f>
        <v>0</v>
      </c>
      <c r="I38" s="398">
        <f>(Model!AV195-Model!AQ195)*-1</f>
        <v>0</v>
      </c>
      <c r="J38" s="398">
        <f>(Model!BA195-Model!AV195)*-1</f>
        <v>0</v>
      </c>
      <c r="K38" s="398">
        <f>(Model!BF195-Model!BA195)*-1</f>
        <v>0</v>
      </c>
      <c r="L38" s="399">
        <f>(Model!BK195-Model!BF195)*-1</f>
        <v>0</v>
      </c>
      <c r="M38" s="347">
        <f>(Model!BP195-Model!BK195)*-1</f>
        <v>0</v>
      </c>
      <c r="N38" s="347">
        <f>(Model!BU195-Model!BP195)*-1</f>
        <v>0</v>
      </c>
      <c r="O38" s="347">
        <f>(Model!BZ195-Model!BU195)*-1</f>
        <v>0</v>
      </c>
      <c r="P38" s="347">
        <f>(Model!CE195-Model!BZ195)*-1</f>
        <v>0</v>
      </c>
      <c r="Q38" s="347">
        <f>(Model!CJ195-Model!CE195)*-1</f>
        <v>0</v>
      </c>
      <c r="R38" s="347">
        <f>(Model!CO195-Model!CJ195)*-1</f>
        <v>0</v>
      </c>
      <c r="X38" s="368" t="n"/>
      <c r="Y38" s="368" t="n"/>
      <c r="Z38" s="368" t="n"/>
    </row>
    <row r="39" outlineLevel="1" ht="15" customHeight="1" s="254">
      <c r="C39" s="397" t="inlineStr">
        <is>
          <t>Other non-current liabilities</t>
        </is>
      </c>
      <c r="D39" s="398">
        <f>Model!W246-Model!R246</f>
        <v>-2652</v>
      </c>
      <c r="E39" s="398">
        <f>Model!AB246-Model!W246</f>
        <v>-2030</v>
      </c>
      <c r="F39" s="398">
        <f>Model!AG246-Model!AB246</f>
        <v>664</v>
      </c>
      <c r="G39" s="398">
        <f>Model!AL246-Model!AG246</f>
        <v>2634</v>
      </c>
      <c r="H39" s="398">
        <f>Model!AQ246-Model!AL246</f>
        <v>0</v>
      </c>
      <c r="I39" s="398">
        <f>Model!AV246-Model!AQ246</f>
        <v>0</v>
      </c>
      <c r="J39" s="398">
        <f>Model!BA246-Model!AV246</f>
        <v>0</v>
      </c>
      <c r="K39" s="398">
        <f>Model!BF246-Model!BA246</f>
        <v>0</v>
      </c>
      <c r="L39" s="399">
        <f>Model!BK246-Model!BF246</f>
        <v>0</v>
      </c>
      <c r="M39" s="347">
        <f>Model!BP246-Model!BK246</f>
        <v>0</v>
      </c>
      <c r="N39" s="347">
        <f>Model!BU246-Model!BP246</f>
        <v>0</v>
      </c>
      <c r="O39" s="347">
        <f>Model!BZ246-Model!BU246</f>
        <v>0</v>
      </c>
      <c r="P39" s="347">
        <f>Model!CE246-Model!BZ246</f>
        <v>0</v>
      </c>
      <c r="Q39" s="347">
        <f>Model!CJ246-Model!CE246</f>
        <v>0</v>
      </c>
      <c r="R39" s="347">
        <f>Model!CO246-Model!CJ246</f>
        <v>0</v>
      </c>
      <c r="X39" s="368" t="n"/>
      <c r="Y39" s="368" t="n"/>
      <c r="Z39" s="368" t="n"/>
    </row>
    <row r="40" ht="12.75" customHeight="1" s="254">
      <c r="C40" s="397" t="inlineStr">
        <is>
          <t>Capital expenditures</t>
        </is>
      </c>
      <c r="D40" s="398" t="n"/>
      <c r="E40" s="398" t="n"/>
      <c r="F40" s="398" t="n"/>
      <c r="G40" s="398" t="n"/>
      <c r="H40" s="398" t="n"/>
      <c r="I40" s="398" t="n"/>
      <c r="J40" s="398" t="n"/>
      <c r="K40" s="398" t="n"/>
      <c r="L40" s="399" t="n"/>
      <c r="X40" s="368" t="n"/>
      <c r="Y40" s="368" t="n"/>
      <c r="Z40" s="368" t="n"/>
    </row>
    <row r="41" ht="12.75" customHeight="1" s="254">
      <c r="C41" s="397" t="inlineStr">
        <is>
          <t>Capital expenditures [IFRS16 - implied lease payments]</t>
        </is>
      </c>
      <c r="F41" s="398" t="n"/>
      <c r="G41" s="398" t="n"/>
      <c r="H41" s="398" t="n"/>
      <c r="I41" s="398" t="n"/>
      <c r="J41" s="398" t="n"/>
      <c r="K41" s="398" t="n"/>
      <c r="L41" s="399" t="n"/>
      <c r="X41" s="368" t="n"/>
      <c r="Y41" s="368" t="n"/>
      <c r="Z41" s="368" t="n"/>
    </row>
    <row r="42" ht="12.75" customHeight="1" s="254">
      <c r="C42" s="400" t="inlineStr">
        <is>
          <t>Purchase of intangible assets</t>
        </is>
      </c>
      <c r="D42" s="401" t="n">
        <v>0</v>
      </c>
      <c r="E42" s="401" t="n">
        <v>0</v>
      </c>
      <c r="F42" s="401" t="n">
        <v>0</v>
      </c>
      <c r="G42" s="401" t="n">
        <v>0</v>
      </c>
      <c r="H42" s="401" t="n">
        <v>0</v>
      </c>
      <c r="I42" s="401" t="n">
        <v>0</v>
      </c>
      <c r="J42" s="401" t="n">
        <v>0</v>
      </c>
      <c r="K42" s="401" t="n">
        <v>0</v>
      </c>
      <c r="L42" s="402" t="n">
        <v>0</v>
      </c>
      <c r="M42" s="403" t="n"/>
      <c r="X42" s="368" t="n"/>
      <c r="Y42" s="368" t="n"/>
      <c r="Z42" s="368" t="n"/>
      <c r="AB42" s="358" t="n"/>
    </row>
    <row r="43" ht="12.75" customHeight="1" s="254">
      <c r="X43" s="368" t="n"/>
      <c r="Y43" s="368" t="n"/>
      <c r="Z43" s="368" t="n"/>
    </row>
    <row r="44" ht="12.75" customHeight="1" s="254">
      <c r="C44" s="374" t="inlineStr">
        <is>
          <t>Net Investments</t>
        </is>
      </c>
      <c r="D44" s="395">
        <f>SUM(D27+D40+D41+D42+D26)</f>
        <v>-28274</v>
      </c>
      <c r="E44" s="395">
        <f>SUM(E27+E40+E41+E42+E26)</f>
        <v>-25904</v>
      </c>
      <c r="F44" s="395">
        <f>SUM(F27+F40+F41+F42+F26)</f>
        <v>-22566</v>
      </c>
      <c r="G44" s="395">
        <f>SUM(G27+G40+G41+G42+G26)</f>
        <v>-3985</v>
      </c>
      <c r="H44" s="395" t="e">
        <f>SUM(H27+H40+H41+H42+H26)</f>
        <v>#DIV/0!</v>
      </c>
      <c r="I44" s="395" t="e">
        <f>SUM(I27+I40+I41+I42+I26)</f>
        <v>#DIV/0!</v>
      </c>
      <c r="J44" s="395" t="e">
        <f>SUM(J27+J40+J41+J42+J26)</f>
        <v>#DIV/0!</v>
      </c>
      <c r="K44" s="395" t="e">
        <f>SUM(K27+K40+K41+K42+K26)</f>
        <v>#DIV/0!</v>
      </c>
      <c r="L44" s="395" t="e">
        <f>SUM(L27+L40+L41+L42+L26)</f>
        <v>#DIV/0!</v>
      </c>
      <c r="M44" s="404" t="e">
        <f>+L46-M46</f>
        <v>#DIV/0!</v>
      </c>
      <c r="N44" s="395" t="e">
        <f>+M46-N46</f>
        <v>#DIV/0!</v>
      </c>
      <c r="O44" s="395" t="e">
        <f>+N46-O46</f>
        <v>#DIV/0!</v>
      </c>
      <c r="P44" s="395" t="e">
        <f>+O46-P46</f>
        <v>#DIV/0!</v>
      </c>
      <c r="Q44" s="395" t="e">
        <f>+P46-Q46</f>
        <v>#DIV/0!</v>
      </c>
      <c r="R44" s="395" t="e">
        <f>+Q46-R46</f>
        <v>#DIV/0!</v>
      </c>
      <c r="S44" s="395" t="n"/>
      <c r="T44" s="395" t="n"/>
      <c r="U44" s="395" t="n"/>
      <c r="V44" s="396" t="n"/>
      <c r="X44" s="368" t="n"/>
      <c r="Y44" s="403" t="n"/>
      <c r="Z44" s="368" t="n"/>
    </row>
    <row r="45" ht="12.75" customHeight="1" s="254">
      <c r="C45" s="405" t="n"/>
      <c r="D45" s="403" t="n"/>
      <c r="E45" s="403" t="n"/>
      <c r="F45" s="403" t="n"/>
      <c r="G45" s="403" t="n"/>
      <c r="H45" s="403" t="n"/>
      <c r="I45" s="403" t="n"/>
      <c r="J45" s="403" t="n"/>
      <c r="K45" s="403" t="n"/>
      <c r="L45" s="403" t="n"/>
      <c r="V45" s="406" t="n"/>
      <c r="X45" s="368" t="n"/>
      <c r="Y45" s="368" t="n"/>
      <c r="Z45" s="368" t="n"/>
    </row>
    <row r="46" ht="12.75" customHeight="1" s="254">
      <c r="C46" s="405" t="inlineStr">
        <is>
          <t>Invested Capital</t>
        </is>
      </c>
      <c r="D46" s="398">
        <f>Model!W356</f>
        <v>222019</v>
      </c>
      <c r="E46" s="398">
        <f>Model!AB356</f>
        <v>208192</v>
      </c>
      <c r="F46" s="398">
        <f>Model!AG356</f>
        <v>204955</v>
      </c>
      <c r="G46" s="398">
        <f>Model!AL356</f>
        <v>182382</v>
      </c>
      <c r="H46" s="398" t="e">
        <f>Model!AQ356</f>
        <v>#DIV/0!</v>
      </c>
      <c r="I46" s="398" t="e">
        <f>Model!AV356</f>
        <v>#DIV/0!</v>
      </c>
      <c r="J46" s="398" t="e">
        <f>Model!BA356</f>
        <v>#DIV/0!</v>
      </c>
      <c r="K46" s="398" t="e">
        <f>Model!BF356</f>
        <v>#DIV/0!</v>
      </c>
      <c r="L46" s="398" t="e">
        <f>Model!BK356</f>
        <v>#DIV/0!</v>
      </c>
      <c r="M46" s="407" t="e">
        <f>Model!BP356</f>
        <v>#DIV/0!</v>
      </c>
      <c r="N46" s="407" t="e">
        <f>Model!BU356</f>
        <v>#DIV/0!</v>
      </c>
      <c r="O46" s="407" t="e">
        <f>Model!BZ356</f>
        <v>#DIV/0!</v>
      </c>
      <c r="P46" s="407" t="e">
        <f>Model!CE356</f>
        <v>#DIV/0!</v>
      </c>
      <c r="Q46" s="407" t="e">
        <f>Model!CJ356</f>
        <v>#DIV/0!</v>
      </c>
      <c r="R46" s="407" t="e">
        <f>Model!CO356</f>
        <v>#DIV/0!</v>
      </c>
      <c r="S46" s="407" t="n"/>
      <c r="T46" s="407" t="n"/>
      <c r="U46" s="407" t="n"/>
      <c r="V46" s="408" t="n"/>
      <c r="X46" s="403" t="n"/>
      <c r="Y46" s="403" t="n"/>
      <c r="Z46" s="368" t="n"/>
    </row>
    <row r="47" ht="15" customHeight="1" s="254">
      <c r="C47" s="405" t="inlineStr">
        <is>
          <t>Invested Capital (ex Goodwill)</t>
        </is>
      </c>
      <c r="D47" s="398">
        <f>Model!W357</f>
        <v>205359</v>
      </c>
      <c r="E47" s="398">
        <f>Model!AB357</f>
        <v>192160</v>
      </c>
      <c r="F47" s="398">
        <f>Model!AG357</f>
        <v>189293</v>
      </c>
      <c r="G47" s="398">
        <f>Model!AL357</f>
        <v>167413</v>
      </c>
      <c r="H47" s="398" t="e">
        <f>Model!AQ357</f>
        <v>#DIV/0!</v>
      </c>
      <c r="I47" s="398" t="e">
        <f>Model!AV357</f>
        <v>#DIV/0!</v>
      </c>
      <c r="J47" s="398" t="e">
        <f>Model!BA357</f>
        <v>#DIV/0!</v>
      </c>
      <c r="K47" s="398" t="e">
        <f>Model!BF357</f>
        <v>#DIV/0!</v>
      </c>
      <c r="L47" s="398" t="e">
        <f>Model!BK357</f>
        <v>#DIV/0!</v>
      </c>
      <c r="M47" s="347" t="e">
        <f>Model!BP357</f>
        <v>#DIV/0!</v>
      </c>
      <c r="N47" s="347" t="e">
        <f>Model!BU357</f>
        <v>#DIV/0!</v>
      </c>
      <c r="O47" s="347" t="e">
        <f>Model!BZ357</f>
        <v>#DIV/0!</v>
      </c>
      <c r="P47" s="347" t="e">
        <f>Model!CE357</f>
        <v>#DIV/0!</v>
      </c>
      <c r="Q47" s="347" t="e">
        <f>Model!CJ357</f>
        <v>#DIV/0!</v>
      </c>
      <c r="R47" s="347" t="e">
        <f>Model!CO357</f>
        <v>#DIV/0!</v>
      </c>
      <c r="V47" s="406" t="n"/>
      <c r="X47" s="368" t="n"/>
      <c r="Y47" s="368" t="n"/>
      <c r="Z47" s="368" t="n"/>
    </row>
    <row r="48" ht="12.75" customHeight="1" s="254">
      <c r="C48" s="378" t="inlineStr">
        <is>
          <t>Invested Capital / Net Revenues</t>
        </is>
      </c>
      <c r="D48" s="384">
        <f>D46/D18</f>
        <v>0.701218183368655</v>
      </c>
      <c r="E48" s="384">
        <f>E46/E18</f>
        <v>0.732268536919078</v>
      </c>
      <c r="F48" s="384">
        <f>F46/F18</f>
        <v>0.767949611444587</v>
      </c>
      <c r="G48" s="384">
        <f>G46/G18</f>
        <v>0.614906895121729</v>
      </c>
      <c r="H48" s="384" t="e">
        <f>H46/H18</f>
        <v>#DIV/0!</v>
      </c>
      <c r="I48" s="384" t="e">
        <f>I46/I18</f>
        <v>#DIV/0!</v>
      </c>
      <c r="J48" s="384" t="e">
        <f>J46/J18</f>
        <v>#DIV/0!</v>
      </c>
      <c r="K48" s="384" t="e">
        <f>K46/K18</f>
        <v>#DIV/0!</v>
      </c>
      <c r="L48" s="384" t="e">
        <f>L46/L18</f>
        <v>#DIV/0!</v>
      </c>
      <c r="M48" s="409" t="n"/>
      <c r="N48" s="409" t="n"/>
      <c r="O48" s="409" t="n"/>
      <c r="P48" s="409" t="n"/>
      <c r="Q48" s="409" t="n"/>
      <c r="R48" s="409" t="n"/>
      <c r="S48" s="409" t="n"/>
      <c r="T48" s="409" t="n"/>
      <c r="U48" s="409" t="n"/>
      <c r="V48" s="410" t="n"/>
      <c r="X48" s="367" t="inlineStr">
        <is>
          <t>ROIC</t>
        </is>
      </c>
      <c r="Y48" s="368" t="n"/>
      <c r="Z48" s="368" t="n"/>
    </row>
    <row r="49" ht="12.75" customHeight="1" s="254">
      <c r="X49" s="411">
        <f>F16</f>
        <v>2025</v>
      </c>
      <c r="Y49" s="411">
        <f>L16</f>
        <v>2031</v>
      </c>
      <c r="Z49" s="411">
        <f>R16</f>
        <v>2037</v>
      </c>
    </row>
    <row r="50" ht="12.75" customHeight="1" s="254">
      <c r="C50" s="412" t="inlineStr">
        <is>
          <t>ROIC</t>
        </is>
      </c>
      <c r="D50" s="413" t="n"/>
      <c r="E50" s="413" t="n"/>
      <c r="F50" s="413" t="n"/>
      <c r="G50" s="413">
        <f>G25/AVERAGE(F46,G46)</f>
        <v>0.0905824320005716</v>
      </c>
      <c r="H50" s="413" t="e">
        <f>H25/AVERAGE(G46,H46)</f>
        <v>#DIV/0!</v>
      </c>
      <c r="I50" s="413" t="e">
        <f>I25/AVERAGE(H46,I46)</f>
        <v>#DIV/0!</v>
      </c>
      <c r="J50" s="413" t="e">
        <f>J25/AVERAGE(I46,J46)</f>
        <v>#DIV/0!</v>
      </c>
      <c r="K50" s="413" t="e">
        <f>K25/AVERAGE(J46,K46)</f>
        <v>#DIV/0!</v>
      </c>
      <c r="L50" s="413" t="e">
        <f>L25/AVERAGE(K46,L46)</f>
        <v>#DIV/0!</v>
      </c>
      <c r="M50" s="414" t="e">
        <f>M25/AVERAGE(L46,M46)</f>
        <v>#DIV/0!</v>
      </c>
      <c r="N50" s="414" t="e">
        <f>N25/AVERAGE(M46,N46)</f>
        <v>#DIV/0!</v>
      </c>
      <c r="O50" s="414" t="e">
        <f>O25/AVERAGE(N46,O46)</f>
        <v>#DIV/0!</v>
      </c>
      <c r="P50" s="414" t="e">
        <f>P25/AVERAGE(O46,P46)</f>
        <v>#DIV/0!</v>
      </c>
      <c r="Q50" s="414" t="e">
        <f>Q25/AVERAGE(P46,Q46)</f>
        <v>#DIV/0!</v>
      </c>
      <c r="R50" s="414" t="e">
        <f>R25/AVERAGE(Q46,R46)</f>
        <v>#DIV/0!</v>
      </c>
      <c r="S50" s="414" t="n"/>
      <c r="T50" s="414" t="n"/>
      <c r="U50" s="414" t="n"/>
      <c r="V50" s="415" t="n"/>
      <c r="X50" s="377">
        <f>F50</f>
        <v>0</v>
      </c>
      <c r="Y50" s="377" t="e">
        <f>L50</f>
        <v>#DIV/0!</v>
      </c>
      <c r="Z50" s="416" t="e">
        <f>R50</f>
        <v>#DIV/0!</v>
      </c>
    </row>
    <row r="51" ht="12.75" customHeight="1" s="254">
      <c r="C51" s="358" t="inlineStr">
        <is>
          <t>Capital Turnover</t>
        </is>
      </c>
      <c r="D51" s="417">
        <f>D18/D46</f>
        <v>1.42608965899315</v>
      </c>
      <c r="E51" s="417">
        <f>E18/E46</f>
        <v>1.36561923608976</v>
      </c>
      <c r="F51" s="417">
        <f>F18/F46</f>
        <v>1.30216876875412</v>
      </c>
      <c r="G51" s="417">
        <f>G18/G46</f>
        <v>1.6262624601112</v>
      </c>
      <c r="H51" s="417" t="e">
        <f>H18/H46</f>
        <v>#DIV/0!</v>
      </c>
      <c r="I51" s="417" t="e">
        <f>I18/I46</f>
        <v>#DIV/0!</v>
      </c>
      <c r="J51" s="417" t="e">
        <f>J18/J46</f>
        <v>#DIV/0!</v>
      </c>
      <c r="K51" s="417" t="e">
        <f>K18/K46</f>
        <v>#DIV/0!</v>
      </c>
      <c r="L51" s="417" t="e">
        <f>L18/L46</f>
        <v>#DIV/0!</v>
      </c>
      <c r="M51" s="417" t="e">
        <f>M18/M46</f>
        <v>#DIV/0!</v>
      </c>
      <c r="N51" s="417" t="e">
        <f>N18/N46</f>
        <v>#DIV/0!</v>
      </c>
      <c r="O51" s="417" t="e">
        <f>O18/O46</f>
        <v>#DIV/0!</v>
      </c>
      <c r="P51" s="417" t="e">
        <f>P18/P46</f>
        <v>#DIV/0!</v>
      </c>
      <c r="Q51" s="417" t="e">
        <f>Q18/Q46</f>
        <v>#DIV/0!</v>
      </c>
      <c r="R51" s="417" t="e">
        <f>R18/R46</f>
        <v>#DIV/0!</v>
      </c>
      <c r="S51" s="417" t="n"/>
      <c r="T51" s="417" t="n"/>
      <c r="U51" s="417" t="n"/>
      <c r="V51" s="417" t="n"/>
    </row>
    <row r="53" ht="12.75" customFormat="1" customHeight="1" s="358">
      <c r="A53" s="347" t="n"/>
      <c r="B53" s="347" t="n"/>
      <c r="C53" s="358" t="inlineStr">
        <is>
          <t>Unlevered free cash flows = FCFF</t>
        </is>
      </c>
      <c r="D53" s="418">
        <f>D25+D44</f>
        <v>-9775.08897266152</v>
      </c>
      <c r="E53" s="418">
        <f>E25+E44</f>
        <v>-9345.55806570197</v>
      </c>
      <c r="F53" s="418">
        <f>F25+F44</f>
        <v>-5770.79036160775</v>
      </c>
      <c r="G53" s="419">
        <f>(G25+G44)*stub_year_fraction</f>
        <v>3528.78508090618</v>
      </c>
      <c r="H53" s="418" t="e">
        <f>H25+H44</f>
        <v>#DIV/0!</v>
      </c>
      <c r="I53" s="418" t="e">
        <f>I25+I44</f>
        <v>#DIV/0!</v>
      </c>
      <c r="J53" s="418" t="e">
        <f>J25+J44</f>
        <v>#DIV/0!</v>
      </c>
      <c r="K53" s="418" t="e">
        <f>K25+K44</f>
        <v>#DIV/0!</v>
      </c>
      <c r="L53" s="418" t="e">
        <f>L25+L44</f>
        <v>#DIV/0!</v>
      </c>
      <c r="M53" s="418" t="e">
        <f>M25+M44</f>
        <v>#DIV/0!</v>
      </c>
      <c r="N53" s="418" t="e">
        <f>N25+N44</f>
        <v>#DIV/0!</v>
      </c>
      <c r="O53" s="418" t="e">
        <f>O25+O44</f>
        <v>#DIV/0!</v>
      </c>
      <c r="P53" s="418" t="e">
        <f>P25+P44</f>
        <v>#DIV/0!</v>
      </c>
      <c r="Q53" s="418" t="e">
        <f>Q25+Q44</f>
        <v>#DIV/0!</v>
      </c>
      <c r="R53" s="418" t="e">
        <f>R25+R44</f>
        <v>#DIV/0!</v>
      </c>
      <c r="S53" s="418" t="n"/>
      <c r="T53" s="418" t="n"/>
      <c r="U53" s="418" t="n"/>
      <c r="V53" s="418" t="n"/>
    </row>
    <row r="54" ht="12.75" customHeight="1" s="254">
      <c r="C54" s="420" t="inlineStr">
        <is>
          <t>Discount factor</t>
        </is>
      </c>
      <c r="G54" s="421" t="e">
        <f>1/(1+wacc)^stub_year_fraction</f>
        <v>#DIV/0!</v>
      </c>
      <c r="H54" s="421" t="e">
        <f>1/(1+wacc)^(1+stub_year_fraction)</f>
        <v>#DIV/0!</v>
      </c>
      <c r="I54" s="421" t="e">
        <f>1/(1+wacc)^(2+stub_year_fraction)</f>
        <v>#DIV/0!</v>
      </c>
      <c r="J54" s="421" t="e">
        <f>1/(1+wacc)^(3+stub_year_fraction)</f>
        <v>#DIV/0!</v>
      </c>
      <c r="K54" s="421" t="e">
        <f>1/(1+wacc)^(4+stub_year_fraction)</f>
        <v>#DIV/0!</v>
      </c>
      <c r="L54" s="421" t="e">
        <f>1/(1+wacc)^(5+stub_year_fraction)</f>
        <v>#DIV/0!</v>
      </c>
      <c r="M54" s="421" t="e">
        <f>1/(1+wacc)^(6+stub_year_fraction)</f>
        <v>#DIV/0!</v>
      </c>
      <c r="N54" s="421" t="e">
        <f>1/(1+wacc)^(7+stub_year_fraction)</f>
        <v>#DIV/0!</v>
      </c>
      <c r="O54" s="421" t="e">
        <f>1/(1+wacc)^(8+stub_year_fraction)</f>
        <v>#DIV/0!</v>
      </c>
      <c r="P54" s="421" t="e">
        <f>1/(1+wacc)^(9+stub_year_fraction)</f>
        <v>#DIV/0!</v>
      </c>
      <c r="Q54" s="421" t="e">
        <f>1/(1+wacc)^(10+stub_year_fraction)</f>
        <v>#DIV/0!</v>
      </c>
      <c r="R54" s="421" t="e">
        <f>1/(1+wacc)^(11+stub_year_fraction)</f>
        <v>#DIV/0!</v>
      </c>
      <c r="S54" s="421" t="n"/>
      <c r="T54" s="421" t="n"/>
      <c r="U54" s="421" t="n"/>
      <c r="V54" s="421" t="n"/>
    </row>
    <row r="55" ht="12.75" customHeight="1" s="254">
      <c r="C55" s="420" t="inlineStr">
        <is>
          <t>Midyear adjustment factor</t>
        </is>
      </c>
      <c r="G55" s="422" t="e">
        <f>(1+wacc)^(stub_year_fraction/2)</f>
        <v>#DIV/0!</v>
      </c>
      <c r="H55" s="421" t="e">
        <f>(1+wacc)^0.5</f>
        <v>#DIV/0!</v>
      </c>
      <c r="I55" s="421" t="e">
        <f>(1+wacc)^0.5</f>
        <v>#DIV/0!</v>
      </c>
      <c r="J55" s="421" t="e">
        <f>(1+wacc)^0.5</f>
        <v>#DIV/0!</v>
      </c>
      <c r="K55" s="421" t="e">
        <f>(1+wacc)^0.5</f>
        <v>#DIV/0!</v>
      </c>
      <c r="L55" s="421" t="e">
        <f>(1+wacc)^0.5</f>
        <v>#DIV/0!</v>
      </c>
      <c r="M55" s="421" t="e">
        <f>(1+wacc)^0.5</f>
        <v>#DIV/0!</v>
      </c>
      <c r="N55" s="421" t="e">
        <f>(1+wacc)^0.5</f>
        <v>#DIV/0!</v>
      </c>
      <c r="O55" s="421" t="e">
        <f>(1+wacc)^0.5</f>
        <v>#DIV/0!</v>
      </c>
      <c r="P55" s="421" t="e">
        <f>(1+wacc)^0.5</f>
        <v>#DIV/0!</v>
      </c>
      <c r="Q55" s="421" t="e">
        <f>(1+wacc)^0.5</f>
        <v>#DIV/0!</v>
      </c>
      <c r="R55" s="421" t="e">
        <f>(1+wacc)^0.5</f>
        <v>#DIV/0!</v>
      </c>
      <c r="S55" s="421" t="n"/>
      <c r="T55" s="421" t="n"/>
      <c r="U55" s="421" t="n"/>
      <c r="V55" s="421" t="n"/>
    </row>
    <row r="56" ht="12.75" customHeight="1" s="254">
      <c r="C56" s="420" t="inlineStr">
        <is>
          <t>Present value of free cash flows</t>
        </is>
      </c>
      <c r="G56" s="403" t="e">
        <f>G54*G53*G55</f>
        <v>#DIV/0!</v>
      </c>
      <c r="H56" s="403" t="e">
        <f>H54*H53*H55</f>
        <v>#DIV/0!</v>
      </c>
      <c r="I56" s="403" t="e">
        <f>I54*I53*I55</f>
        <v>#DIV/0!</v>
      </c>
      <c r="J56" s="403" t="e">
        <f>J54*J53*J55</f>
        <v>#DIV/0!</v>
      </c>
      <c r="K56" s="403" t="e">
        <f>K54*K53*K55</f>
        <v>#DIV/0!</v>
      </c>
      <c r="L56" s="403" t="e">
        <f>L54*L53*L55</f>
        <v>#DIV/0!</v>
      </c>
      <c r="M56" s="403" t="e">
        <f>M54*M53*M55</f>
        <v>#DIV/0!</v>
      </c>
      <c r="N56" s="403" t="e">
        <f>N54*N53*N55</f>
        <v>#DIV/0!</v>
      </c>
      <c r="O56" s="403" t="e">
        <f>O54*O53*O55</f>
        <v>#DIV/0!</v>
      </c>
      <c r="P56" s="403" t="e">
        <f>P54*P53*P55</f>
        <v>#DIV/0!</v>
      </c>
      <c r="Q56" s="403" t="e">
        <f>Q54*Q53*Q55</f>
        <v>#DIV/0!</v>
      </c>
      <c r="R56" s="403" t="e">
        <f>R54*R53*R55</f>
        <v>#DIV/0!</v>
      </c>
      <c r="S56" s="403" t="n"/>
      <c r="T56" s="403" t="n"/>
      <c r="U56" s="403" t="n"/>
      <c r="V56" s="403" t="n"/>
    </row>
    <row r="57" ht="12.75" customHeight="1" s="254">
      <c r="C57" s="358" t="inlineStr">
        <is>
          <t>Sum of present values of FCFs</t>
        </is>
      </c>
      <c r="G57" s="418" t="e">
        <f>SUM(G56:R56)</f>
        <v>#DIV/0!</v>
      </c>
      <c r="H57" s="403" t="n"/>
      <c r="N57" s="423" t="n"/>
    </row>
    <row r="59" ht="12.75" customHeight="1" s="254">
      <c r="C59" s="358" t="n"/>
      <c r="D59" s="350" t="n">
        <v>50405</v>
      </c>
      <c r="E59" s="424" t="n"/>
      <c r="F59" s="425" t="n"/>
      <c r="G59" s="425" t="n"/>
      <c r="H59" s="350" t="n">
        <v>46022</v>
      </c>
      <c r="I59" s="425" t="n"/>
      <c r="J59" s="425" t="n"/>
      <c r="K59" s="425" t="n"/>
      <c r="L59" s="425" t="n"/>
    </row>
    <row r="60" ht="13.5" customHeight="1" s="254">
      <c r="C60" s="426" t="inlineStr">
        <is>
          <t>Terminal value</t>
        </is>
      </c>
      <c r="D60" s="427" t="n"/>
      <c r="E60" s="428" t="inlineStr">
        <is>
          <t>Equity value calculations</t>
        </is>
      </c>
      <c r="F60" s="429" t="n"/>
      <c r="G60" s="429" t="n"/>
      <c r="H60" s="429" t="n"/>
      <c r="I60" s="430" t="inlineStr">
        <is>
          <t xml:space="preserve"> Shares Outstanding Worksheet</t>
        </is>
      </c>
      <c r="J60" s="431" t="n"/>
      <c r="K60" s="432" t="n"/>
      <c r="L60" s="433" t="n"/>
    </row>
    <row r="61" ht="12.75" customHeight="1" s="254">
      <c r="C61" s="405" t="n"/>
      <c r="D61" s="406" t="n"/>
      <c r="I61" s="405" t="n"/>
      <c r="L61" s="406" t="n"/>
    </row>
    <row r="62" ht="12.75" customHeight="1" s="254">
      <c r="C62" s="434" t="inlineStr">
        <is>
          <t>Key value driver method</t>
        </is>
      </c>
      <c r="D62" s="435" t="n"/>
      <c r="E62" s="436" t="inlineStr">
        <is>
          <t>Enterprise value</t>
        </is>
      </c>
      <c r="H62" s="418" t="e">
        <f>D80</f>
        <v>#DIV/0!</v>
      </c>
      <c r="I62" s="437" t="inlineStr">
        <is>
          <t>Basic Shares Outanding :</t>
        </is>
      </c>
      <c r="J62" s="352" t="n"/>
      <c r="L62" s="438" t="n"/>
    </row>
    <row r="63" ht="13.5" customHeight="1" s="254">
      <c r="C63" s="434" t="inlineStr">
        <is>
          <t>g</t>
        </is>
      </c>
      <c r="D63" s="439" t="n"/>
      <c r="E63" s="440" t="inlineStr">
        <is>
          <t>Calculation of net debt:</t>
        </is>
      </c>
      <c r="H63" s="403" t="n"/>
      <c r="I63" s="437" t="inlineStr">
        <is>
          <t>Current Share Price:</t>
        </is>
      </c>
      <c r="L63" s="441" t="n"/>
    </row>
    <row r="64" ht="13.5" customHeight="1" s="254">
      <c r="C64" s="434" t="inlineStr">
        <is>
          <t>RONIC</t>
        </is>
      </c>
      <c r="D64" s="442" t="e">
        <f>R50</f>
        <v>#DIV/0!</v>
      </c>
      <c r="E64" s="420" t="inlineStr">
        <is>
          <t>Current portion of long-term debt</t>
        </is>
      </c>
      <c r="H64" s="399" t="n"/>
      <c r="I64" s="443" t="inlineStr">
        <is>
          <t>Options / Warrants Data</t>
        </is>
      </c>
      <c r="J64" s="371" t="n"/>
      <c r="K64" s="371" t="n"/>
      <c r="L64" s="444" t="n"/>
    </row>
    <row r="65" ht="12.75" customHeight="1" s="254">
      <c r="C65" s="434" t="inlineStr">
        <is>
          <t>NOPLAT (t+1)</t>
        </is>
      </c>
      <c r="D65" s="445">
        <f>SUMIFS(INDEX($C$17:$AQ$42,,MATCH(D$59,$C$17:$AQ$17,0)),$C$17:$C$42,"NOPLAT")*(1+D63)</f>
        <v>0</v>
      </c>
      <c r="E65" s="420" t="inlineStr">
        <is>
          <t>Short term debt</t>
        </is>
      </c>
      <c r="H65" s="399" t="n"/>
      <c r="I65" s="443" t="n"/>
      <c r="J65" s="446" t="inlineStr">
        <is>
          <t># of options</t>
        </is>
      </c>
      <c r="K65" s="446" t="inlineStr">
        <is>
          <t xml:space="preserve">$ strike </t>
        </is>
      </c>
      <c r="L65" s="444" t="inlineStr">
        <is>
          <t># In-the-$</t>
        </is>
      </c>
    </row>
    <row r="66" ht="12.75" customHeight="1" s="254">
      <c r="C66" s="434" t="inlineStr">
        <is>
          <t>Terminal value</t>
        </is>
      </c>
      <c r="D66" s="445" t="e">
        <f>(noplat_t1*(1-(g/ronic)))/(wacc-g)</f>
        <v>#DIV/0!</v>
      </c>
      <c r="E66" s="420" t="inlineStr">
        <is>
          <t>Long term debt</t>
        </is>
      </c>
      <c r="H66" s="399" t="n"/>
      <c r="I66" s="420" t="inlineStr">
        <is>
          <t>Batch 1</t>
        </is>
      </c>
      <c r="J66" s="447" t="n"/>
      <c r="K66" s="448" t="n"/>
      <c r="L66" s="449">
        <f>IF($K66&lt;$L$62,J66,0)</f>
        <v>0</v>
      </c>
    </row>
    <row r="67" ht="12.75" customHeight="1" s="254">
      <c r="C67" s="434" t="inlineStr">
        <is>
          <t>Midyear adjusted terminal value</t>
        </is>
      </c>
      <c r="D67" s="445" t="e">
        <f>D66*R55</f>
        <v>#DIV/0!</v>
      </c>
      <c r="E67" s="420" t="inlineStr">
        <is>
          <t>Convertible debt</t>
        </is>
      </c>
      <c r="H67" s="399" t="n"/>
      <c r="I67" s="420" t="inlineStr">
        <is>
          <t>Batch 2</t>
        </is>
      </c>
      <c r="J67" s="450" t="n"/>
      <c r="K67" s="451" t="n"/>
      <c r="L67" s="449">
        <f>IF($K67&lt;$L$61,J67,0)</f>
        <v>0</v>
      </c>
    </row>
    <row r="68" ht="12.75" customHeight="1" s="254">
      <c r="C68" s="434" t="inlineStr">
        <is>
          <t>Present value of terminal value</t>
        </is>
      </c>
      <c r="D68" s="445" t="e">
        <f>D67*R54</f>
        <v>#DIV/0!</v>
      </c>
      <c r="E68" s="420" t="inlineStr">
        <is>
          <t>Minority interest</t>
        </is>
      </c>
      <c r="H68" s="399" t="n"/>
      <c r="I68" s="420" t="inlineStr">
        <is>
          <t>Batch 3</t>
        </is>
      </c>
      <c r="J68" s="450" t="n"/>
      <c r="K68" s="451" t="n"/>
      <c r="L68" s="449">
        <f>IF($K68&lt;$L$61,J68,0)</f>
        <v>0</v>
      </c>
    </row>
    <row r="69" ht="12.75" customHeight="1" s="254">
      <c r="C69" s="437" t="inlineStr">
        <is>
          <t>Enterprise value</t>
        </is>
      </c>
      <c r="D69" s="452" t="e">
        <f>D68+G57</f>
        <v>#DIV/0!</v>
      </c>
      <c r="E69" s="420" t="inlineStr">
        <is>
          <t>Convertible preferred stock</t>
        </is>
      </c>
      <c r="H69" s="399" t="n"/>
      <c r="I69" s="420" t="inlineStr">
        <is>
          <t>Batch 4</t>
        </is>
      </c>
      <c r="J69" s="450" t="n"/>
      <c r="K69" s="451" t="n"/>
      <c r="L69" s="449">
        <f>IF($K69&lt;$L$61,J69,0)</f>
        <v>0</v>
      </c>
    </row>
    <row r="70" ht="12.75" customHeight="1" s="254">
      <c r="C70" s="405" t="n"/>
      <c r="D70" s="406" t="n"/>
      <c r="E70" s="420" t="inlineStr">
        <is>
          <t>Short term operating leases</t>
        </is>
      </c>
      <c r="H70" s="399" t="n"/>
      <c r="I70" s="420" t="inlineStr">
        <is>
          <t>Batch 5</t>
        </is>
      </c>
      <c r="J70" s="450" t="n"/>
      <c r="K70" s="451" t="n"/>
      <c r="L70" s="449">
        <f>IF($K70&lt;$L$61,J70,0)</f>
        <v>0</v>
      </c>
    </row>
    <row r="71" ht="12.75" customHeight="1" s="254">
      <c r="C71" s="434" t="inlineStr">
        <is>
          <t>Exit multiple method</t>
        </is>
      </c>
      <c r="D71" s="435" t="n"/>
      <c r="E71" s="420" t="inlineStr">
        <is>
          <t>Long term operating leases</t>
        </is>
      </c>
      <c r="H71" s="399" t="n"/>
      <c r="I71" s="443" t="inlineStr">
        <is>
          <t>Batch 6</t>
        </is>
      </c>
      <c r="J71" s="453" t="n"/>
      <c r="K71" s="454" t="n"/>
      <c r="L71" s="455">
        <f>IF($K71&lt;$L$61,J71,0)</f>
        <v>0</v>
      </c>
    </row>
    <row r="72" ht="12.75" customHeight="1" s="254">
      <c r="C72" s="437" t="inlineStr">
        <is>
          <t>Exit EV / EBITDA multiple</t>
        </is>
      </c>
      <c r="D72" s="456" t="n"/>
      <c r="E72" s="440" t="inlineStr">
        <is>
          <t>Less: Excess cash</t>
        </is>
      </c>
      <c r="H72" s="399" t="n"/>
      <c r="J72" s="425" t="n"/>
      <c r="K72" s="457" t="inlineStr">
        <is>
          <t>Total in-the-$ options:</t>
        </is>
      </c>
      <c r="L72" s="449">
        <f>SUM(L66:L71)</f>
        <v>0</v>
      </c>
    </row>
    <row r="73" ht="12.75" customHeight="1" s="254">
      <c r="C73" s="437" t="inlineStr">
        <is>
          <t>LTM EBITDA at end of projection</t>
        </is>
      </c>
      <c r="D73" s="452">
        <f>L20</f>
        <v>0</v>
      </c>
      <c r="E73" s="440" t="inlineStr">
        <is>
          <t>Less: Equity investments</t>
        </is>
      </c>
      <c r="H73" s="399" t="n"/>
      <c r="J73" s="425" t="n"/>
      <c r="K73" s="457" t="inlineStr">
        <is>
          <t>Total $ proceeds:</t>
        </is>
      </c>
      <c r="L73" s="458">
        <f>SUMPRODUCT(K66:K71,L66:L71)</f>
        <v>0</v>
      </c>
    </row>
    <row r="74" ht="12.75" customHeight="1" s="254">
      <c r="C74" s="437" t="inlineStr">
        <is>
          <t>Terminal value</t>
        </is>
      </c>
      <c r="D74" s="452">
        <f>D73*D72</f>
        <v>0</v>
      </c>
      <c r="E74" s="420" t="inlineStr">
        <is>
          <t>Net debt</t>
        </is>
      </c>
      <c r="H74" s="452">
        <f>SUM(H64:H73)</f>
        <v>0</v>
      </c>
      <c r="J74" s="425" t="n"/>
      <c r="K74" s="457" t="inlineStr">
        <is>
          <t>Total shares repurchased:</t>
        </is>
      </c>
      <c r="L74" s="449" t="e">
        <f>L73/L63</f>
        <v>#DIV/0!</v>
      </c>
    </row>
    <row r="75" ht="12.75" customHeight="1" s="254">
      <c r="C75" s="437" t="inlineStr">
        <is>
          <t>Present value of terminal value</t>
        </is>
      </c>
      <c r="D75" s="452" t="e">
        <f>D74*L54</f>
        <v>#DIV/0!</v>
      </c>
      <c r="E75" s="436" t="inlineStr">
        <is>
          <t>Equity value</t>
        </is>
      </c>
      <c r="H75" s="445" t="e">
        <f>D80-H74</f>
        <v>#DIV/0!</v>
      </c>
      <c r="J75" s="425" t="n"/>
      <c r="K75" s="459" t="inlineStr">
        <is>
          <t>Basic shares outstanding</t>
        </is>
      </c>
      <c r="L75" s="435">
        <f>L62</f>
        <v>0</v>
      </c>
    </row>
    <row r="76" ht="13.5" customHeight="1" s="254">
      <c r="C76" s="437" t="inlineStr">
        <is>
          <t>Enterprise value</t>
        </is>
      </c>
      <c r="D76" s="452" t="e">
        <f>G57+D75</f>
        <v>#DIV/0!</v>
      </c>
      <c r="E76" s="420" t="inlineStr">
        <is>
          <t>Shares outstanding</t>
        </is>
      </c>
      <c r="H76" s="452" t="e">
        <f>L79</f>
        <v>#DIV/0!</v>
      </c>
      <c r="J76" s="460" t="n"/>
      <c r="K76" s="459" t="inlineStr">
        <is>
          <t>New shares from options:</t>
        </is>
      </c>
      <c r="L76" s="435" t="e">
        <f>L72-L74</f>
        <v>#DIV/0!</v>
      </c>
    </row>
    <row r="77" ht="13.5" customHeight="1" s="254">
      <c r="C77" s="405" t="n"/>
      <c r="D77" s="461" t="n"/>
      <c r="E77" s="436" t="inlineStr">
        <is>
          <t>Equity value / share</t>
        </is>
      </c>
      <c r="H77" s="462" t="e">
        <f>H75/H76</f>
        <v>#DIV/0!</v>
      </c>
      <c r="K77" s="459" t="inlineStr">
        <is>
          <t>New shares from convert. pref. stock:</t>
        </is>
      </c>
      <c r="L77" s="463" t="n"/>
    </row>
    <row r="78" ht="12.75" customHeight="1" s="254">
      <c r="C78" s="434" t="inlineStr">
        <is>
          <t>Select a terminal value method</t>
        </is>
      </c>
      <c r="D78" s="464" t="n"/>
      <c r="F78" s="423" t="n"/>
      <c r="H78" s="465" t="n"/>
      <c r="K78" s="459" t="inlineStr">
        <is>
          <t>New shares from convertible debt:</t>
        </is>
      </c>
      <c r="L78" s="466" t="n"/>
    </row>
    <row r="79" ht="12.75" customHeight="1" s="254">
      <c r="C79" s="437" t="inlineStr">
        <is>
          <t>Perpetual growth = 1 / Exit multiple = 2</t>
        </is>
      </c>
      <c r="D79" s="467" t="n"/>
      <c r="H79" s="465" t="n"/>
      <c r="K79" s="468" t="inlineStr">
        <is>
          <t>Total Shares Outstanding:</t>
        </is>
      </c>
      <c r="L79" s="469" t="e">
        <f>L62+SUM(L76:L78)</f>
        <v>#DIV/0!</v>
      </c>
    </row>
    <row r="80" ht="12.75" customHeight="1" s="254">
      <c r="C80" s="437" t="inlineStr">
        <is>
          <t>Enterprise value</t>
        </is>
      </c>
      <c r="D80" s="435" t="e">
        <f>IF(D79=1,D69,D76)</f>
        <v>#DIV/0!</v>
      </c>
      <c r="H80" s="406" t="n"/>
      <c r="K80" s="468" t="n"/>
      <c r="L80" s="469" t="n"/>
    </row>
    <row r="81" ht="12.75" customHeight="1" s="254">
      <c r="C81" s="470" t="inlineStr">
        <is>
          <t>Terminal value as percent of total value</t>
        </is>
      </c>
      <c r="D81" s="471" t="e">
        <f>IF(D79=1,D68/D69,D75/D76)</f>
        <v>#DIV/0!</v>
      </c>
      <c r="E81" s="371" t="n"/>
      <c r="F81" s="371" t="n"/>
      <c r="G81" s="371" t="n"/>
      <c r="H81" s="385" t="n"/>
      <c r="I81" s="371" t="n"/>
      <c r="J81" s="371" t="n"/>
      <c r="K81" s="371" t="n"/>
      <c r="L81" s="385" t="n"/>
    </row>
    <row r="83" ht="13.5" customHeight="1" s="254">
      <c r="C83" s="472" t="inlineStr">
        <is>
          <t>Analysis of WACC</t>
        </is>
      </c>
      <c r="D83" s="473" t="n"/>
      <c r="E83" s="474" t="n"/>
      <c r="F83" s="474" t="n"/>
      <c r="G83" s="472" t="n"/>
      <c r="H83" s="473" t="n"/>
      <c r="I83" s="474" t="n"/>
      <c r="J83" s="474" t="n"/>
      <c r="K83" s="474" t="n"/>
      <c r="L83" s="474" t="n"/>
    </row>
    <row r="85" ht="12.75" customHeight="1" s="254">
      <c r="C85" s="475" t="inlineStr">
        <is>
          <t>Cost of debt</t>
        </is>
      </c>
      <c r="D85" s="371" t="n"/>
      <c r="F85" s="475" t="inlineStr">
        <is>
          <t>Capital structure</t>
        </is>
      </c>
      <c r="G85" s="475" t="n"/>
      <c r="H85" s="475" t="n"/>
      <c r="I85" s="475" t="n"/>
      <c r="J85" s="475" t="n"/>
    </row>
    <row r="86" ht="12.75" customHeight="1" s="254">
      <c r="C86" s="420" t="inlineStr">
        <is>
          <t>Cost of debt</t>
        </is>
      </c>
      <c r="D86" s="476" t="n"/>
      <c r="G86" s="477" t="inlineStr">
        <is>
          <t>Current capital structure</t>
        </is>
      </c>
      <c r="H86" s="364" t="n"/>
      <c r="I86" s="478" t="inlineStr">
        <is>
          <t>Target capital structure</t>
        </is>
      </c>
      <c r="J86" s="479" t="n"/>
    </row>
    <row r="87" ht="12.75" customHeight="1" s="254">
      <c r="C87" s="420" t="inlineStr">
        <is>
          <t>Marginal tax rate</t>
        </is>
      </c>
      <c r="D87" s="476" t="n"/>
      <c r="F87" s="371" t="n"/>
      <c r="G87" s="446" t="inlineStr">
        <is>
          <t>Market value</t>
        </is>
      </c>
      <c r="H87" s="446" t="inlineStr">
        <is>
          <t>% Weight</t>
        </is>
      </c>
      <c r="I87" s="446" t="inlineStr">
        <is>
          <t>override</t>
        </is>
      </c>
      <c r="J87" s="480" t="inlineStr">
        <is>
          <t>% Weight</t>
        </is>
      </c>
      <c r="K87" s="481" t="n"/>
      <c r="L87" s="482" t="n"/>
    </row>
    <row r="88" ht="12.75" customHeight="1" s="254">
      <c r="C88" s="347" t="inlineStr">
        <is>
          <t>Cost of debt after tax shield</t>
        </is>
      </c>
      <c r="D88" s="483">
        <f>costdebtfirm*(1-D87)</f>
        <v>0</v>
      </c>
      <c r="F88" s="347" t="inlineStr">
        <is>
          <t>Net debt</t>
        </is>
      </c>
      <c r="G88" s="484">
        <f>H74</f>
        <v>0</v>
      </c>
      <c r="H88" s="352" t="e">
        <f>debt/totalcap</f>
        <v>#DIV/0!</v>
      </c>
      <c r="I88" s="476" t="n"/>
      <c r="J88" s="352" t="e">
        <f>IF(I88,I88,H88)</f>
        <v>#DIV/0!</v>
      </c>
      <c r="L88" s="485" t="n"/>
    </row>
    <row r="89" ht="12.75" customHeight="1" s="254">
      <c r="F89" s="347" t="inlineStr">
        <is>
          <t>Equity</t>
        </is>
      </c>
      <c r="G89" s="486" t="e">
        <f>L63*L79</f>
        <v>#DIV/0!</v>
      </c>
      <c r="H89" s="352" t="e">
        <f>1-H88</f>
        <v>#DIV/0!</v>
      </c>
      <c r="J89" s="352" t="e">
        <f>1-debt_weight</f>
        <v>#DIV/0!</v>
      </c>
    </row>
    <row r="90" ht="12.75" customHeight="1" s="254">
      <c r="C90" s="475" t="inlineStr">
        <is>
          <t>Cost of equity</t>
        </is>
      </c>
      <c r="D90" s="371" t="n"/>
      <c r="F90" s="347" t="inlineStr">
        <is>
          <t>Total</t>
        </is>
      </c>
      <c r="G90" s="481" t="e">
        <f>SUM(G88:G89)</f>
        <v>#DIV/0!</v>
      </c>
    </row>
    <row r="91" ht="12.75" customHeight="1" s="254">
      <c r="C91" s="420" t="inlineStr">
        <is>
          <t>Risk-Free Rate (rf)</t>
        </is>
      </c>
      <c r="D91" s="476" t="n"/>
      <c r="E91" s="487" t="n"/>
    </row>
    <row r="92" ht="12.75" customHeight="1" s="254">
      <c r="C92" s="420" t="inlineStr">
        <is>
          <t>Market Risk Premium (rm-rf)</t>
        </is>
      </c>
      <c r="D92" s="476" t="n"/>
      <c r="F92" s="475" t="inlineStr">
        <is>
          <t>Weighted average cost of capital</t>
        </is>
      </c>
      <c r="G92" s="371" t="n"/>
      <c r="H92" s="371" t="n"/>
      <c r="I92" s="371" t="n"/>
      <c r="J92" s="371" t="n"/>
    </row>
    <row r="93" ht="12.75" customHeight="1" s="254">
      <c r="C93" s="420" t="inlineStr">
        <is>
          <t>Raw (observed) beta</t>
        </is>
      </c>
      <c r="D93" s="488" t="n"/>
      <c r="F93" s="347" t="inlineStr">
        <is>
          <t>Weighted average cost of capital:</t>
        </is>
      </c>
      <c r="J93" s="352" t="e">
        <f>debt_weight*D88+J89*costequity</f>
        <v>#DIV/0!</v>
      </c>
    </row>
    <row r="94" ht="12.75" customHeight="1" s="254">
      <c r="C94" s="420" t="inlineStr">
        <is>
          <t>Cost of equity using relevered industry beta</t>
        </is>
      </c>
      <c r="D94" s="483" t="e">
        <f>risk_free_rate+relevered_beta*risk_premium</f>
        <v>#DIV/0!</v>
      </c>
      <c r="E94" s="358" t="n"/>
    </row>
    <row r="95" ht="12.75" customHeight="1" s="254">
      <c r="C95" s="420" t="n"/>
      <c r="D95" s="483" t="n"/>
      <c r="E95" s="358" t="n"/>
      <c r="G95" s="481" t="n"/>
    </row>
    <row r="96" ht="12.75" customHeight="1" s="254">
      <c r="C96" s="475" t="inlineStr">
        <is>
          <t>Industry beta calculation</t>
        </is>
      </c>
      <c r="D96" s="371" t="n"/>
      <c r="E96" s="371" t="n"/>
      <c r="F96" s="371" t="n"/>
      <c r="G96" s="371" t="n"/>
      <c r="H96" s="371" t="n"/>
      <c r="I96" s="371" t="n"/>
      <c r="J96" s="371" t="n"/>
      <c r="K96" s="371" t="n"/>
      <c r="L96" s="371" t="n"/>
      <c r="M96" s="371" t="n"/>
    </row>
    <row r="97" ht="25.5" customHeight="1" s="254">
      <c r="C97" s="489" t="inlineStr">
        <is>
          <t xml:space="preserve">Comps </t>
        </is>
      </c>
      <c r="D97" s="490" t="inlineStr">
        <is>
          <t>Raw beta</t>
        </is>
      </c>
      <c r="E97" s="490" t="inlineStr">
        <is>
          <t>Share price</t>
        </is>
      </c>
      <c r="F97" s="490" t="inlineStr">
        <is>
          <t>Shares</t>
        </is>
      </c>
      <c r="G97" s="490" t="inlineStr">
        <is>
          <t>Market cap.</t>
        </is>
      </c>
      <c r="H97" s="490" t="inlineStr">
        <is>
          <t>Debt</t>
        </is>
      </c>
      <c r="I97" s="490" t="inlineStr">
        <is>
          <t>D / E</t>
        </is>
      </c>
      <c r="J97" s="490" t="inlineStr">
        <is>
          <t>Tax rate</t>
        </is>
      </c>
      <c r="K97" s="490" t="inlineStr">
        <is>
          <t>Unl. Beta</t>
        </is>
      </c>
      <c r="L97" s="490" t="inlineStr">
        <is>
          <t>Weigh. Beta</t>
        </is>
      </c>
      <c r="M97" s="490" t="inlineStr">
        <is>
          <t>Relev. Beta</t>
        </is>
      </c>
    </row>
    <row r="98" ht="12.75" customHeight="1" s="254">
      <c r="C98" s="491">
        <f>ticker</f>
        <v>0.0</v>
      </c>
      <c r="D98" s="492">
        <f>beta_observed</f>
        <v>0</v>
      </c>
      <c r="E98" s="493">
        <f>L63</f>
        <v>0</v>
      </c>
      <c r="F98" s="403" t="e">
        <f>L79</f>
        <v>#DIV/0!</v>
      </c>
      <c r="G98" s="403" t="e">
        <f>E98*F98</f>
        <v>#DIV/0!</v>
      </c>
      <c r="H98" s="403">
        <f>debt</f>
        <v>0</v>
      </c>
      <c r="I98" s="494" t="e">
        <f>debt/market_equity</f>
        <v>#DIV/0!</v>
      </c>
      <c r="J98" s="494">
        <f>F24</f>
        <v>0.391080790428821</v>
      </c>
      <c r="K98" s="492" t="e">
        <f>D98/(1+(I98)*(1-J98))</f>
        <v>#DIV/0!</v>
      </c>
      <c r="L98" s="495" t="e">
        <f>K98*G98/$G$102</f>
        <v>#DIV/0!</v>
      </c>
    </row>
    <row r="99" ht="12.75" customHeight="1" s="254">
      <c r="C99" s="496" t="inlineStr">
        <is>
          <t>TICKER 2</t>
        </is>
      </c>
      <c r="D99" s="488" t="n"/>
      <c r="E99" s="497" t="n"/>
      <c r="F99" s="498" t="n"/>
      <c r="G99" s="403">
        <f>E99*F99</f>
        <v>0</v>
      </c>
      <c r="H99" s="498" t="n"/>
      <c r="I99" s="494" t="e">
        <f>H99/(F99*E99)</f>
        <v>#DIV/0!</v>
      </c>
      <c r="J99" s="499" t="n"/>
      <c r="K99" s="492" t="e">
        <f>D99/(1+(I99)*(1-J99))</f>
        <v>#DIV/0!</v>
      </c>
      <c r="L99" s="495" t="e">
        <f>K99*G99/$G$102</f>
        <v>#DIV/0!</v>
      </c>
    </row>
    <row r="100" ht="12.75" customHeight="1" s="254">
      <c r="C100" s="496" t="inlineStr">
        <is>
          <t>TICKER 3</t>
        </is>
      </c>
      <c r="D100" s="488" t="n"/>
      <c r="E100" s="497" t="n"/>
      <c r="F100" s="498" t="n"/>
      <c r="G100" s="403">
        <f>E100*F100</f>
        <v>0</v>
      </c>
      <c r="H100" s="498" t="n"/>
      <c r="I100" s="494" t="e">
        <f>H100/(F100*E100)</f>
        <v>#DIV/0!</v>
      </c>
      <c r="J100" s="499" t="n"/>
      <c r="K100" s="492" t="e">
        <f>D100/(1+(I100)*(1-J100))</f>
        <v>#DIV/0!</v>
      </c>
      <c r="L100" s="495" t="e">
        <f>K100*G100/$G$102</f>
        <v>#DIV/0!</v>
      </c>
    </row>
    <row r="101" ht="12.75" customHeight="1" s="254">
      <c r="C101" s="500" t="inlineStr">
        <is>
          <t>TICKER 4</t>
        </is>
      </c>
      <c r="D101" s="501" t="n"/>
      <c r="E101" s="502" t="n"/>
      <c r="F101" s="503" t="n"/>
      <c r="G101" s="389">
        <f>E101*F101</f>
        <v>0</v>
      </c>
      <c r="H101" s="503" t="n"/>
      <c r="I101" s="504" t="e">
        <f>H101/(F101*E101)</f>
        <v>#DIV/0!</v>
      </c>
      <c r="J101" s="505" t="n"/>
      <c r="K101" s="506" t="e">
        <f>D101/(1+(I101)*(1-J101))</f>
        <v>#DIV/0!</v>
      </c>
      <c r="L101" s="495" t="e">
        <f>K101*G101/$G$102</f>
        <v>#DIV/0!</v>
      </c>
      <c r="M101" s="507" t="n"/>
    </row>
    <row r="102" ht="12.75" customHeight="1" s="254">
      <c r="D102" s="492" t="n"/>
      <c r="E102" s="468" t="n"/>
      <c r="F102" s="424" t="n"/>
      <c r="G102" s="403" t="e">
        <f>SUM(G98:G101)</f>
        <v>#DIV/0!</v>
      </c>
      <c r="I102" s="492" t="n"/>
      <c r="J102" s="507" t="inlineStr">
        <is>
          <t>Average:</t>
        </is>
      </c>
      <c r="K102" s="508" t="e">
        <f>AVERAGE(K98:K101)</f>
        <v>#DIV/0!</v>
      </c>
      <c r="L102" s="508" t="e">
        <f>SUM(L98:L101)</f>
        <v>#DIV/0!</v>
      </c>
      <c r="M102" s="508" t="e">
        <f>L102*(1+(debt/market_equity)*(1-D87))</f>
        <v>#DIV/0!</v>
      </c>
    </row>
  </sheetData>
  <mergeCells count="6">
    <mergeCell ref="G15:L15"/>
    <mergeCell ref="M15:R15"/>
    <mergeCell ref="G14:V14"/>
    <mergeCell ref="G86:H86"/>
    <mergeCell ref="I86:J86"/>
    <mergeCell ref="S15:V1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:language xmlns:dc="http://purl.org/dc/elements/1.1/">en-US</dc:language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2026-10-16T10:51:04+00:00Z</dcterms:modified>
  <cp:lastModifiedBy>Lucas Nascimento</cp:lastModifiedBy>
  <cp:revision>0</cp:revision>
</cp:coreProperties>
</file>